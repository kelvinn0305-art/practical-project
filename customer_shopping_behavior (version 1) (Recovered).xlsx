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24226"/>
  <mc:AlternateContent xmlns:mc="http://schemas.openxmlformats.org/markup-compatibility/2006">
    <mc:Choice Requires="x15">
      <x15ac:absPath xmlns:x15ac="http://schemas.microsoft.com/office/spreadsheetml/2010/11/ac" url="D:\k-excel\"/>
    </mc:Choice>
  </mc:AlternateContent>
  <bookViews>
    <workbookView xWindow="0" yWindow="0" windowWidth="28800" windowHeight="12180" firstSheet="1" activeTab="7"/>
  </bookViews>
  <sheets>
    <sheet name="Worksheet" sheetId="1" r:id="rId1"/>
    <sheet name="Size by sales" sheetId="8" r:id="rId2"/>
    <sheet name="Category-wise Sales" sheetId="2" r:id="rId3"/>
    <sheet name="Location-wise Sales" sheetId="3" r:id="rId4"/>
    <sheet name="Payment Method Analysis" sheetId="4" r:id="rId5"/>
    <sheet name="Season-wise Sales" sheetId="5" r:id="rId6"/>
    <sheet name="Gender-wise Spending" sheetId="6" r:id="rId7"/>
    <sheet name="Dashboard" sheetId="7" r:id="rId8"/>
  </sheets>
  <definedNames>
    <definedName name="Slicer_Category1">#N/A</definedName>
    <definedName name="Slicer_Item_Purchased">#N/A</definedName>
    <definedName name="Slicer_Payment_Method">#N/A</definedName>
    <definedName name="Slicer_Shipping_Type">#N/A</definedName>
  </definedNames>
  <calcPr calcId="162913"/>
  <pivotCaches>
    <pivotCache cacheId="1"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F5002" i="1" l="1"/>
  <c r="W5001" i="1" l="1"/>
  <c r="V5001" i="1"/>
  <c r="U5001" i="1"/>
  <c r="T5001" i="1"/>
  <c r="S5001" i="1"/>
  <c r="W5000" i="1"/>
  <c r="V5000" i="1"/>
  <c r="U5000" i="1"/>
  <c r="T5000" i="1"/>
  <c r="S5000" i="1"/>
  <c r="W4999" i="1"/>
  <c r="V4999" i="1"/>
  <c r="U4999" i="1"/>
  <c r="T4999" i="1"/>
  <c r="S4999" i="1"/>
  <c r="W4998" i="1"/>
  <c r="V4998" i="1"/>
  <c r="U4998" i="1"/>
  <c r="T4998" i="1"/>
  <c r="S4998" i="1"/>
  <c r="W4997" i="1"/>
  <c r="V4997" i="1"/>
  <c r="U4997" i="1"/>
  <c r="T4997" i="1"/>
  <c r="S4997" i="1"/>
  <c r="W4996" i="1"/>
  <c r="V4996" i="1"/>
  <c r="U4996" i="1"/>
  <c r="T4996" i="1"/>
  <c r="S4996" i="1"/>
  <c r="W4995" i="1"/>
  <c r="V4995" i="1"/>
  <c r="U4995" i="1"/>
  <c r="T4995" i="1"/>
  <c r="S4995" i="1"/>
  <c r="W4994" i="1"/>
  <c r="V4994" i="1"/>
  <c r="U4994" i="1"/>
  <c r="T4994" i="1"/>
  <c r="S4994" i="1"/>
  <c r="W4993" i="1"/>
  <c r="V4993" i="1"/>
  <c r="U4993" i="1"/>
  <c r="T4993" i="1"/>
  <c r="S4993" i="1"/>
  <c r="W4992" i="1"/>
  <c r="V4992" i="1"/>
  <c r="U4992" i="1"/>
  <c r="T4992" i="1"/>
  <c r="S4992" i="1"/>
  <c r="W4991" i="1"/>
  <c r="V4991" i="1"/>
  <c r="U4991" i="1"/>
  <c r="T4991" i="1"/>
  <c r="S4991" i="1"/>
  <c r="W4990" i="1"/>
  <c r="V4990" i="1"/>
  <c r="U4990" i="1"/>
  <c r="T4990" i="1"/>
  <c r="S4990" i="1"/>
  <c r="W4989" i="1"/>
  <c r="V4989" i="1"/>
  <c r="U4989" i="1"/>
  <c r="T4989" i="1"/>
  <c r="S4989" i="1"/>
  <c r="W4988" i="1"/>
  <c r="V4988" i="1"/>
  <c r="U4988" i="1"/>
  <c r="T4988" i="1"/>
  <c r="S4988" i="1"/>
  <c r="W4987" i="1"/>
  <c r="V4987" i="1"/>
  <c r="U4987" i="1"/>
  <c r="T4987" i="1"/>
  <c r="S4987" i="1"/>
  <c r="W4986" i="1"/>
  <c r="V4986" i="1"/>
  <c r="U4986" i="1"/>
  <c r="T4986" i="1"/>
  <c r="S4986" i="1"/>
  <c r="W4985" i="1"/>
  <c r="V4985" i="1"/>
  <c r="U4985" i="1"/>
  <c r="T4985" i="1"/>
  <c r="S4985" i="1"/>
  <c r="W4984" i="1"/>
  <c r="V4984" i="1"/>
  <c r="U4984" i="1"/>
  <c r="T4984" i="1"/>
  <c r="S4984" i="1"/>
  <c r="W4983" i="1"/>
  <c r="V4983" i="1"/>
  <c r="U4983" i="1"/>
  <c r="T4983" i="1"/>
  <c r="S4983" i="1"/>
  <c r="W4982" i="1"/>
  <c r="V4982" i="1"/>
  <c r="U4982" i="1"/>
  <c r="T4982" i="1"/>
  <c r="S4982" i="1"/>
  <c r="W4981" i="1"/>
  <c r="V4981" i="1"/>
  <c r="U4981" i="1"/>
  <c r="T4981" i="1"/>
  <c r="S4981" i="1"/>
  <c r="W4980" i="1"/>
  <c r="V4980" i="1"/>
  <c r="U4980" i="1"/>
  <c r="T4980" i="1"/>
  <c r="S4980" i="1"/>
  <c r="W4979" i="1"/>
  <c r="V4979" i="1"/>
  <c r="U4979" i="1"/>
  <c r="T4979" i="1"/>
  <c r="S4979" i="1"/>
  <c r="W4978" i="1"/>
  <c r="V4978" i="1"/>
  <c r="U4978" i="1"/>
  <c r="T4978" i="1"/>
  <c r="S4978" i="1"/>
  <c r="W4977" i="1"/>
  <c r="V4977" i="1"/>
  <c r="U4977" i="1"/>
  <c r="T4977" i="1"/>
  <c r="S4977" i="1"/>
  <c r="W4976" i="1"/>
  <c r="V4976" i="1"/>
  <c r="U4976" i="1"/>
  <c r="T4976" i="1"/>
  <c r="S4976" i="1"/>
  <c r="W4975" i="1"/>
  <c r="V4975" i="1"/>
  <c r="U4975" i="1"/>
  <c r="T4975" i="1"/>
  <c r="S4975" i="1"/>
  <c r="W4974" i="1"/>
  <c r="V4974" i="1"/>
  <c r="U4974" i="1"/>
  <c r="T4974" i="1"/>
  <c r="S4974" i="1"/>
  <c r="W4973" i="1"/>
  <c r="V4973" i="1"/>
  <c r="U4973" i="1"/>
  <c r="T4973" i="1"/>
  <c r="S4973" i="1"/>
  <c r="W4972" i="1"/>
  <c r="V4972" i="1"/>
  <c r="U4972" i="1"/>
  <c r="T4972" i="1"/>
  <c r="S4972" i="1"/>
  <c r="W4971" i="1"/>
  <c r="V4971" i="1"/>
  <c r="U4971" i="1"/>
  <c r="T4971" i="1"/>
  <c r="S4971" i="1"/>
  <c r="W4970" i="1"/>
  <c r="V4970" i="1"/>
  <c r="U4970" i="1"/>
  <c r="T4970" i="1"/>
  <c r="S4970" i="1"/>
  <c r="W4969" i="1"/>
  <c r="V4969" i="1"/>
  <c r="U4969" i="1"/>
  <c r="T4969" i="1"/>
  <c r="S4969" i="1"/>
  <c r="W4968" i="1"/>
  <c r="V4968" i="1"/>
  <c r="U4968" i="1"/>
  <c r="T4968" i="1"/>
  <c r="S4968" i="1"/>
  <c r="W4967" i="1"/>
  <c r="V4967" i="1"/>
  <c r="U4967" i="1"/>
  <c r="T4967" i="1"/>
  <c r="S4967" i="1"/>
  <c r="W4966" i="1"/>
  <c r="V4966" i="1"/>
  <c r="U4966" i="1"/>
  <c r="T4966" i="1"/>
  <c r="S4966" i="1"/>
  <c r="W4965" i="1"/>
  <c r="V4965" i="1"/>
  <c r="U4965" i="1"/>
  <c r="T4965" i="1"/>
  <c r="S4965" i="1"/>
  <c r="W4964" i="1"/>
  <c r="V4964" i="1"/>
  <c r="U4964" i="1"/>
  <c r="T4964" i="1"/>
  <c r="S4964" i="1"/>
  <c r="W4963" i="1"/>
  <c r="V4963" i="1"/>
  <c r="U4963" i="1"/>
  <c r="T4963" i="1"/>
  <c r="S4963" i="1"/>
  <c r="W4962" i="1"/>
  <c r="V4962" i="1"/>
  <c r="U4962" i="1"/>
  <c r="T4962" i="1"/>
  <c r="S4962" i="1"/>
  <c r="W4961" i="1"/>
  <c r="V4961" i="1"/>
  <c r="U4961" i="1"/>
  <c r="T4961" i="1"/>
  <c r="S4961" i="1"/>
  <c r="W4960" i="1"/>
  <c r="V4960" i="1"/>
  <c r="U4960" i="1"/>
  <c r="T4960" i="1"/>
  <c r="S4960" i="1"/>
  <c r="W4959" i="1"/>
  <c r="V4959" i="1"/>
  <c r="U4959" i="1"/>
  <c r="T4959" i="1"/>
  <c r="S4959" i="1"/>
  <c r="W4958" i="1"/>
  <c r="V4958" i="1"/>
  <c r="U4958" i="1"/>
  <c r="T4958" i="1"/>
  <c r="S4958" i="1"/>
  <c r="W4957" i="1"/>
  <c r="V4957" i="1"/>
  <c r="U4957" i="1"/>
  <c r="T4957" i="1"/>
  <c r="S4957" i="1"/>
  <c r="W4956" i="1"/>
  <c r="V4956" i="1"/>
  <c r="U4956" i="1"/>
  <c r="T4956" i="1"/>
  <c r="S4956" i="1"/>
  <c r="W4955" i="1"/>
  <c r="V4955" i="1"/>
  <c r="U4955" i="1"/>
  <c r="T4955" i="1"/>
  <c r="S4955" i="1"/>
  <c r="W4954" i="1"/>
  <c r="V4954" i="1"/>
  <c r="U4954" i="1"/>
  <c r="T4954" i="1"/>
  <c r="S4954" i="1"/>
  <c r="W4953" i="1"/>
  <c r="V4953" i="1"/>
  <c r="U4953" i="1"/>
  <c r="T4953" i="1"/>
  <c r="S4953" i="1"/>
  <c r="W4952" i="1"/>
  <c r="V4952" i="1"/>
  <c r="U4952" i="1"/>
  <c r="T4952" i="1"/>
  <c r="S4952" i="1"/>
  <c r="W4951" i="1"/>
  <c r="V4951" i="1"/>
  <c r="U4951" i="1"/>
  <c r="T4951" i="1"/>
  <c r="S4951" i="1"/>
  <c r="W4950" i="1"/>
  <c r="V4950" i="1"/>
  <c r="U4950" i="1"/>
  <c r="T4950" i="1"/>
  <c r="S4950" i="1"/>
  <c r="W4949" i="1"/>
  <c r="V4949" i="1"/>
  <c r="U4949" i="1"/>
  <c r="T4949" i="1"/>
  <c r="S4949" i="1"/>
  <c r="W4948" i="1"/>
  <c r="V4948" i="1"/>
  <c r="U4948" i="1"/>
  <c r="T4948" i="1"/>
  <c r="S4948" i="1"/>
  <c r="W4947" i="1"/>
  <c r="V4947" i="1"/>
  <c r="U4947" i="1"/>
  <c r="T4947" i="1"/>
  <c r="S4947" i="1"/>
  <c r="W4946" i="1"/>
  <c r="V4946" i="1"/>
  <c r="U4946" i="1"/>
  <c r="T4946" i="1"/>
  <c r="S4946" i="1"/>
  <c r="W4945" i="1"/>
  <c r="V4945" i="1"/>
  <c r="U4945" i="1"/>
  <c r="T4945" i="1"/>
  <c r="S4945" i="1"/>
  <c r="W4944" i="1"/>
  <c r="V4944" i="1"/>
  <c r="U4944" i="1"/>
  <c r="T4944" i="1"/>
  <c r="S4944" i="1"/>
  <c r="W4943" i="1"/>
  <c r="V4943" i="1"/>
  <c r="U4943" i="1"/>
  <c r="T4943" i="1"/>
  <c r="S4943" i="1"/>
  <c r="W4942" i="1"/>
  <c r="V4942" i="1"/>
  <c r="U4942" i="1"/>
  <c r="T4942" i="1"/>
  <c r="S4942" i="1"/>
  <c r="W4941" i="1"/>
  <c r="V4941" i="1"/>
  <c r="U4941" i="1"/>
  <c r="T4941" i="1"/>
  <c r="S4941" i="1"/>
  <c r="W4940" i="1"/>
  <c r="V4940" i="1"/>
  <c r="U4940" i="1"/>
  <c r="T4940" i="1"/>
  <c r="S4940" i="1"/>
  <c r="W4939" i="1"/>
  <c r="V4939" i="1"/>
  <c r="U4939" i="1"/>
  <c r="T4939" i="1"/>
  <c r="S4939" i="1"/>
  <c r="W4938" i="1"/>
  <c r="V4938" i="1"/>
  <c r="U4938" i="1"/>
  <c r="T4938" i="1"/>
  <c r="S4938" i="1"/>
  <c r="W4937" i="1"/>
  <c r="V4937" i="1"/>
  <c r="U4937" i="1"/>
  <c r="T4937" i="1"/>
  <c r="S4937" i="1"/>
  <c r="W4936" i="1"/>
  <c r="V4936" i="1"/>
  <c r="U4936" i="1"/>
  <c r="T4936" i="1"/>
  <c r="S4936" i="1"/>
  <c r="W4935" i="1"/>
  <c r="V4935" i="1"/>
  <c r="U4935" i="1"/>
  <c r="T4935" i="1"/>
  <c r="S4935" i="1"/>
  <c r="W4934" i="1"/>
  <c r="V4934" i="1"/>
  <c r="U4934" i="1"/>
  <c r="T4934" i="1"/>
  <c r="S4934" i="1"/>
  <c r="W4933" i="1"/>
  <c r="V4933" i="1"/>
  <c r="U4933" i="1"/>
  <c r="T4933" i="1"/>
  <c r="S4933" i="1"/>
  <c r="W4932" i="1"/>
  <c r="V4932" i="1"/>
  <c r="U4932" i="1"/>
  <c r="T4932" i="1"/>
  <c r="S4932" i="1"/>
  <c r="W4931" i="1"/>
  <c r="V4931" i="1"/>
  <c r="U4931" i="1"/>
  <c r="T4931" i="1"/>
  <c r="S4931" i="1"/>
  <c r="W4930" i="1"/>
  <c r="V4930" i="1"/>
  <c r="U4930" i="1"/>
  <c r="T4930" i="1"/>
  <c r="S4930" i="1"/>
  <c r="W4929" i="1"/>
  <c r="V4929" i="1"/>
  <c r="U4929" i="1"/>
  <c r="T4929" i="1"/>
  <c r="S4929" i="1"/>
  <c r="W4928" i="1"/>
  <c r="V4928" i="1"/>
  <c r="U4928" i="1"/>
  <c r="T4928" i="1"/>
  <c r="S4928" i="1"/>
  <c r="W4927" i="1"/>
  <c r="V4927" i="1"/>
  <c r="U4927" i="1"/>
  <c r="T4927" i="1"/>
  <c r="S4927" i="1"/>
  <c r="W4926" i="1"/>
  <c r="V4926" i="1"/>
  <c r="U4926" i="1"/>
  <c r="T4926" i="1"/>
  <c r="S4926" i="1"/>
  <c r="W4925" i="1"/>
  <c r="V4925" i="1"/>
  <c r="U4925" i="1"/>
  <c r="T4925" i="1"/>
  <c r="S4925" i="1"/>
  <c r="W4924" i="1"/>
  <c r="V4924" i="1"/>
  <c r="U4924" i="1"/>
  <c r="T4924" i="1"/>
  <c r="S4924" i="1"/>
  <c r="W4923" i="1"/>
  <c r="V4923" i="1"/>
  <c r="U4923" i="1"/>
  <c r="T4923" i="1"/>
  <c r="S4923" i="1"/>
  <c r="W4922" i="1"/>
  <c r="V4922" i="1"/>
  <c r="U4922" i="1"/>
  <c r="T4922" i="1"/>
  <c r="S4922" i="1"/>
  <c r="W4921" i="1"/>
  <c r="V4921" i="1"/>
  <c r="U4921" i="1"/>
  <c r="T4921" i="1"/>
  <c r="S4921" i="1"/>
  <c r="W4920" i="1"/>
  <c r="V4920" i="1"/>
  <c r="U4920" i="1"/>
  <c r="T4920" i="1"/>
  <c r="S4920" i="1"/>
  <c r="W4919" i="1"/>
  <c r="V4919" i="1"/>
  <c r="U4919" i="1"/>
  <c r="T4919" i="1"/>
  <c r="S4919" i="1"/>
  <c r="W4918" i="1"/>
  <c r="V4918" i="1"/>
  <c r="U4918" i="1"/>
  <c r="T4918" i="1"/>
  <c r="S4918" i="1"/>
  <c r="W4917" i="1"/>
  <c r="V4917" i="1"/>
  <c r="U4917" i="1"/>
  <c r="T4917" i="1"/>
  <c r="S4917" i="1"/>
  <c r="W4916" i="1"/>
  <c r="V4916" i="1"/>
  <c r="U4916" i="1"/>
  <c r="T4916" i="1"/>
  <c r="S4916" i="1"/>
  <c r="W4915" i="1"/>
  <c r="V4915" i="1"/>
  <c r="U4915" i="1"/>
  <c r="T4915" i="1"/>
  <c r="S4915" i="1"/>
  <c r="W4914" i="1"/>
  <c r="V4914" i="1"/>
  <c r="U4914" i="1"/>
  <c r="T4914" i="1"/>
  <c r="S4914" i="1"/>
  <c r="W4913" i="1"/>
  <c r="V4913" i="1"/>
  <c r="U4913" i="1"/>
  <c r="T4913" i="1"/>
  <c r="S4913" i="1"/>
  <c r="W4912" i="1"/>
  <c r="V4912" i="1"/>
  <c r="U4912" i="1"/>
  <c r="T4912" i="1"/>
  <c r="S4912" i="1"/>
  <c r="W4911" i="1"/>
  <c r="V4911" i="1"/>
  <c r="U4911" i="1"/>
  <c r="T4911" i="1"/>
  <c r="S4911" i="1"/>
  <c r="W4910" i="1"/>
  <c r="V4910" i="1"/>
  <c r="U4910" i="1"/>
  <c r="T4910" i="1"/>
  <c r="S4910" i="1"/>
  <c r="W4909" i="1"/>
  <c r="V4909" i="1"/>
  <c r="U4909" i="1"/>
  <c r="T4909" i="1"/>
  <c r="S4909" i="1"/>
  <c r="W4908" i="1"/>
  <c r="V4908" i="1"/>
  <c r="U4908" i="1"/>
  <c r="T4908" i="1"/>
  <c r="S4908" i="1"/>
  <c r="W4907" i="1"/>
  <c r="V4907" i="1"/>
  <c r="U4907" i="1"/>
  <c r="T4907" i="1"/>
  <c r="S4907" i="1"/>
  <c r="W4906" i="1"/>
  <c r="V4906" i="1"/>
  <c r="U4906" i="1"/>
  <c r="T4906" i="1"/>
  <c r="S4906" i="1"/>
  <c r="W4905" i="1"/>
  <c r="V4905" i="1"/>
  <c r="U4905" i="1"/>
  <c r="T4905" i="1"/>
  <c r="S4905" i="1"/>
  <c r="W4904" i="1"/>
  <c r="V4904" i="1"/>
  <c r="U4904" i="1"/>
  <c r="T4904" i="1"/>
  <c r="S4904" i="1"/>
  <c r="W4903" i="1"/>
  <c r="V4903" i="1"/>
  <c r="U4903" i="1"/>
  <c r="T4903" i="1"/>
  <c r="S4903" i="1"/>
  <c r="W4902" i="1"/>
  <c r="V4902" i="1"/>
  <c r="U4902" i="1"/>
  <c r="T4902" i="1"/>
  <c r="S4902" i="1"/>
  <c r="W4901" i="1"/>
  <c r="V4901" i="1"/>
  <c r="U4901" i="1"/>
  <c r="T4901" i="1"/>
  <c r="S4901" i="1"/>
  <c r="W4900" i="1"/>
  <c r="V4900" i="1"/>
  <c r="U4900" i="1"/>
  <c r="T4900" i="1"/>
  <c r="S4900" i="1"/>
  <c r="W4899" i="1"/>
  <c r="V4899" i="1"/>
  <c r="U4899" i="1"/>
  <c r="T4899" i="1"/>
  <c r="S4899" i="1"/>
  <c r="W4898" i="1"/>
  <c r="V4898" i="1"/>
  <c r="U4898" i="1"/>
  <c r="T4898" i="1"/>
  <c r="S4898" i="1"/>
  <c r="W4897" i="1"/>
  <c r="V4897" i="1"/>
  <c r="U4897" i="1"/>
  <c r="T4897" i="1"/>
  <c r="S4897" i="1"/>
  <c r="W4896" i="1"/>
  <c r="V4896" i="1"/>
  <c r="U4896" i="1"/>
  <c r="T4896" i="1"/>
  <c r="S4896" i="1"/>
  <c r="W4895" i="1"/>
  <c r="V4895" i="1"/>
  <c r="U4895" i="1"/>
  <c r="T4895" i="1"/>
  <c r="S4895" i="1"/>
  <c r="W4894" i="1"/>
  <c r="V4894" i="1"/>
  <c r="U4894" i="1"/>
  <c r="T4894" i="1"/>
  <c r="S4894" i="1"/>
  <c r="W4893" i="1"/>
  <c r="V4893" i="1"/>
  <c r="U4893" i="1"/>
  <c r="T4893" i="1"/>
  <c r="S4893" i="1"/>
  <c r="W4892" i="1"/>
  <c r="V4892" i="1"/>
  <c r="U4892" i="1"/>
  <c r="T4892" i="1"/>
  <c r="S4892" i="1"/>
  <c r="W4891" i="1"/>
  <c r="V4891" i="1"/>
  <c r="U4891" i="1"/>
  <c r="T4891" i="1"/>
  <c r="S4891" i="1"/>
  <c r="W4890" i="1"/>
  <c r="V4890" i="1"/>
  <c r="U4890" i="1"/>
  <c r="T4890" i="1"/>
  <c r="S4890" i="1"/>
  <c r="W4889" i="1"/>
  <c r="V4889" i="1"/>
  <c r="U4889" i="1"/>
  <c r="T4889" i="1"/>
  <c r="S4889" i="1"/>
  <c r="W4888" i="1"/>
  <c r="V4888" i="1"/>
  <c r="U4888" i="1"/>
  <c r="T4888" i="1"/>
  <c r="S4888" i="1"/>
  <c r="W4887" i="1"/>
  <c r="V4887" i="1"/>
  <c r="U4887" i="1"/>
  <c r="T4887" i="1"/>
  <c r="S4887" i="1"/>
  <c r="W4886" i="1"/>
  <c r="V4886" i="1"/>
  <c r="U4886" i="1"/>
  <c r="T4886" i="1"/>
  <c r="S4886" i="1"/>
  <c r="W4885" i="1"/>
  <c r="V4885" i="1"/>
  <c r="U4885" i="1"/>
  <c r="T4885" i="1"/>
  <c r="S4885" i="1"/>
  <c r="W4884" i="1"/>
  <c r="V4884" i="1"/>
  <c r="U4884" i="1"/>
  <c r="T4884" i="1"/>
  <c r="S4884" i="1"/>
  <c r="W4883" i="1"/>
  <c r="V4883" i="1"/>
  <c r="U4883" i="1"/>
  <c r="T4883" i="1"/>
  <c r="S4883" i="1"/>
  <c r="W4882" i="1"/>
  <c r="V4882" i="1"/>
  <c r="U4882" i="1"/>
  <c r="T4882" i="1"/>
  <c r="S4882" i="1"/>
  <c r="W4881" i="1"/>
  <c r="V4881" i="1"/>
  <c r="U4881" i="1"/>
  <c r="T4881" i="1"/>
  <c r="S4881" i="1"/>
  <c r="W4880" i="1"/>
  <c r="V4880" i="1"/>
  <c r="U4880" i="1"/>
  <c r="T4880" i="1"/>
  <c r="S4880" i="1"/>
  <c r="W4879" i="1"/>
  <c r="V4879" i="1"/>
  <c r="U4879" i="1"/>
  <c r="T4879" i="1"/>
  <c r="S4879" i="1"/>
  <c r="W4878" i="1"/>
  <c r="V4878" i="1"/>
  <c r="U4878" i="1"/>
  <c r="T4878" i="1"/>
  <c r="S4878" i="1"/>
  <c r="W4877" i="1"/>
  <c r="V4877" i="1"/>
  <c r="U4877" i="1"/>
  <c r="T4877" i="1"/>
  <c r="S4877" i="1"/>
  <c r="W4876" i="1"/>
  <c r="V4876" i="1"/>
  <c r="U4876" i="1"/>
  <c r="T4876" i="1"/>
  <c r="S4876" i="1"/>
  <c r="W4875" i="1"/>
  <c r="V4875" i="1"/>
  <c r="U4875" i="1"/>
  <c r="T4875" i="1"/>
  <c r="S4875" i="1"/>
  <c r="W4874" i="1"/>
  <c r="V4874" i="1"/>
  <c r="U4874" i="1"/>
  <c r="T4874" i="1"/>
  <c r="S4874" i="1"/>
  <c r="W4873" i="1"/>
  <c r="V4873" i="1"/>
  <c r="U4873" i="1"/>
  <c r="T4873" i="1"/>
  <c r="S4873" i="1"/>
  <c r="W4872" i="1"/>
  <c r="V4872" i="1"/>
  <c r="U4872" i="1"/>
  <c r="T4872" i="1"/>
  <c r="S4872" i="1"/>
  <c r="W4871" i="1"/>
  <c r="V4871" i="1"/>
  <c r="U4871" i="1"/>
  <c r="T4871" i="1"/>
  <c r="S4871" i="1"/>
  <c r="W4870" i="1"/>
  <c r="V4870" i="1"/>
  <c r="U4870" i="1"/>
  <c r="T4870" i="1"/>
  <c r="S4870" i="1"/>
  <c r="W4869" i="1"/>
  <c r="V4869" i="1"/>
  <c r="U4869" i="1"/>
  <c r="T4869" i="1"/>
  <c r="S4869" i="1"/>
  <c r="W4868" i="1"/>
  <c r="V4868" i="1"/>
  <c r="U4868" i="1"/>
  <c r="T4868" i="1"/>
  <c r="S4868" i="1"/>
  <c r="W4867" i="1"/>
  <c r="V4867" i="1"/>
  <c r="U4867" i="1"/>
  <c r="T4867" i="1"/>
  <c r="S4867" i="1"/>
  <c r="W4866" i="1"/>
  <c r="V4866" i="1"/>
  <c r="U4866" i="1"/>
  <c r="T4866" i="1"/>
  <c r="S4866" i="1"/>
  <c r="W4865" i="1"/>
  <c r="V4865" i="1"/>
  <c r="U4865" i="1"/>
  <c r="T4865" i="1"/>
  <c r="S4865" i="1"/>
  <c r="W4864" i="1"/>
  <c r="V4864" i="1"/>
  <c r="U4864" i="1"/>
  <c r="T4864" i="1"/>
  <c r="S4864" i="1"/>
  <c r="W4863" i="1"/>
  <c r="V4863" i="1"/>
  <c r="U4863" i="1"/>
  <c r="T4863" i="1"/>
  <c r="S4863" i="1"/>
  <c r="W4862" i="1"/>
  <c r="V4862" i="1"/>
  <c r="U4862" i="1"/>
  <c r="T4862" i="1"/>
  <c r="S4862" i="1"/>
  <c r="W4861" i="1"/>
  <c r="V4861" i="1"/>
  <c r="U4861" i="1"/>
  <c r="T4861" i="1"/>
  <c r="S4861" i="1"/>
  <c r="W4860" i="1"/>
  <c r="V4860" i="1"/>
  <c r="U4860" i="1"/>
  <c r="T4860" i="1"/>
  <c r="S4860" i="1"/>
  <c r="W4859" i="1"/>
  <c r="V4859" i="1"/>
  <c r="U4859" i="1"/>
  <c r="T4859" i="1"/>
  <c r="S4859" i="1"/>
  <c r="W4858" i="1"/>
  <c r="V4858" i="1"/>
  <c r="U4858" i="1"/>
  <c r="T4858" i="1"/>
  <c r="S4858" i="1"/>
  <c r="W4857" i="1"/>
  <c r="V4857" i="1"/>
  <c r="U4857" i="1"/>
  <c r="T4857" i="1"/>
  <c r="S4857" i="1"/>
  <c r="W4856" i="1"/>
  <c r="V4856" i="1"/>
  <c r="U4856" i="1"/>
  <c r="T4856" i="1"/>
  <c r="S4856" i="1"/>
  <c r="W4855" i="1"/>
  <c r="V4855" i="1"/>
  <c r="U4855" i="1"/>
  <c r="T4855" i="1"/>
  <c r="S4855" i="1"/>
  <c r="W4854" i="1"/>
  <c r="V4854" i="1"/>
  <c r="U4854" i="1"/>
  <c r="T4854" i="1"/>
  <c r="S4854" i="1"/>
  <c r="W4853" i="1"/>
  <c r="V4853" i="1"/>
  <c r="U4853" i="1"/>
  <c r="T4853" i="1"/>
  <c r="S4853" i="1"/>
  <c r="W4852" i="1"/>
  <c r="V4852" i="1"/>
  <c r="U4852" i="1"/>
  <c r="T4852" i="1"/>
  <c r="S4852" i="1"/>
  <c r="W4851" i="1"/>
  <c r="V4851" i="1"/>
  <c r="U4851" i="1"/>
  <c r="T4851" i="1"/>
  <c r="S4851" i="1"/>
  <c r="W4850" i="1"/>
  <c r="V4850" i="1"/>
  <c r="U4850" i="1"/>
  <c r="T4850" i="1"/>
  <c r="S4850" i="1"/>
  <c r="W4849" i="1"/>
  <c r="V4849" i="1"/>
  <c r="U4849" i="1"/>
  <c r="T4849" i="1"/>
  <c r="S4849" i="1"/>
  <c r="W4848" i="1"/>
  <c r="V4848" i="1"/>
  <c r="U4848" i="1"/>
  <c r="T4848" i="1"/>
  <c r="S4848" i="1"/>
  <c r="W4847" i="1"/>
  <c r="V4847" i="1"/>
  <c r="U4847" i="1"/>
  <c r="T4847" i="1"/>
  <c r="S4847" i="1"/>
  <c r="W4846" i="1"/>
  <c r="V4846" i="1"/>
  <c r="U4846" i="1"/>
  <c r="T4846" i="1"/>
  <c r="S4846" i="1"/>
  <c r="W4845" i="1"/>
  <c r="V4845" i="1"/>
  <c r="U4845" i="1"/>
  <c r="T4845" i="1"/>
  <c r="S4845" i="1"/>
  <c r="W4844" i="1"/>
  <c r="V4844" i="1"/>
  <c r="U4844" i="1"/>
  <c r="T4844" i="1"/>
  <c r="S4844" i="1"/>
  <c r="W4843" i="1"/>
  <c r="V4843" i="1"/>
  <c r="U4843" i="1"/>
  <c r="T4843" i="1"/>
  <c r="S4843" i="1"/>
  <c r="W4842" i="1"/>
  <c r="V4842" i="1"/>
  <c r="U4842" i="1"/>
  <c r="T4842" i="1"/>
  <c r="S4842" i="1"/>
  <c r="W4841" i="1"/>
  <c r="V4841" i="1"/>
  <c r="U4841" i="1"/>
  <c r="T4841" i="1"/>
  <c r="S4841" i="1"/>
  <c r="W4840" i="1"/>
  <c r="V4840" i="1"/>
  <c r="U4840" i="1"/>
  <c r="T4840" i="1"/>
  <c r="S4840" i="1"/>
  <c r="W4839" i="1"/>
  <c r="V4839" i="1"/>
  <c r="U4839" i="1"/>
  <c r="T4839" i="1"/>
  <c r="S4839" i="1"/>
  <c r="W4838" i="1"/>
  <c r="V4838" i="1"/>
  <c r="U4838" i="1"/>
  <c r="T4838" i="1"/>
  <c r="S4838" i="1"/>
  <c r="W4837" i="1"/>
  <c r="V4837" i="1"/>
  <c r="U4837" i="1"/>
  <c r="T4837" i="1"/>
  <c r="S4837" i="1"/>
  <c r="W4836" i="1"/>
  <c r="V4836" i="1"/>
  <c r="U4836" i="1"/>
  <c r="T4836" i="1"/>
  <c r="S4836" i="1"/>
  <c r="W4835" i="1"/>
  <c r="V4835" i="1"/>
  <c r="U4835" i="1"/>
  <c r="T4835" i="1"/>
  <c r="S4835" i="1"/>
  <c r="W4834" i="1"/>
  <c r="V4834" i="1"/>
  <c r="U4834" i="1"/>
  <c r="T4834" i="1"/>
  <c r="S4834" i="1"/>
  <c r="W4833" i="1"/>
  <c r="V4833" i="1"/>
  <c r="U4833" i="1"/>
  <c r="T4833" i="1"/>
  <c r="S4833" i="1"/>
  <c r="W4832" i="1"/>
  <c r="V4832" i="1"/>
  <c r="U4832" i="1"/>
  <c r="T4832" i="1"/>
  <c r="S4832" i="1"/>
  <c r="W4831" i="1"/>
  <c r="V4831" i="1"/>
  <c r="U4831" i="1"/>
  <c r="T4831" i="1"/>
  <c r="S4831" i="1"/>
  <c r="W4830" i="1"/>
  <c r="V4830" i="1"/>
  <c r="U4830" i="1"/>
  <c r="T4830" i="1"/>
  <c r="S4830" i="1"/>
  <c r="W4829" i="1"/>
  <c r="V4829" i="1"/>
  <c r="U4829" i="1"/>
  <c r="T4829" i="1"/>
  <c r="S4829" i="1"/>
  <c r="W4828" i="1"/>
  <c r="V4828" i="1"/>
  <c r="U4828" i="1"/>
  <c r="T4828" i="1"/>
  <c r="S4828" i="1"/>
  <c r="W4827" i="1"/>
  <c r="V4827" i="1"/>
  <c r="U4827" i="1"/>
  <c r="T4827" i="1"/>
  <c r="S4827" i="1"/>
  <c r="W4826" i="1"/>
  <c r="V4826" i="1"/>
  <c r="U4826" i="1"/>
  <c r="T4826" i="1"/>
  <c r="S4826" i="1"/>
  <c r="W4825" i="1"/>
  <c r="V4825" i="1"/>
  <c r="U4825" i="1"/>
  <c r="T4825" i="1"/>
  <c r="S4825" i="1"/>
  <c r="W4824" i="1"/>
  <c r="V4824" i="1"/>
  <c r="U4824" i="1"/>
  <c r="T4824" i="1"/>
  <c r="S4824" i="1"/>
  <c r="W4823" i="1"/>
  <c r="V4823" i="1"/>
  <c r="U4823" i="1"/>
  <c r="T4823" i="1"/>
  <c r="S4823" i="1"/>
  <c r="W4822" i="1"/>
  <c r="V4822" i="1"/>
  <c r="U4822" i="1"/>
  <c r="T4822" i="1"/>
  <c r="S4822" i="1"/>
  <c r="W4821" i="1"/>
  <c r="V4821" i="1"/>
  <c r="U4821" i="1"/>
  <c r="T4821" i="1"/>
  <c r="S4821" i="1"/>
  <c r="W4820" i="1"/>
  <c r="V4820" i="1"/>
  <c r="U4820" i="1"/>
  <c r="T4820" i="1"/>
  <c r="S4820" i="1"/>
  <c r="W4819" i="1"/>
  <c r="V4819" i="1"/>
  <c r="U4819" i="1"/>
  <c r="T4819" i="1"/>
  <c r="S4819" i="1"/>
  <c r="W4818" i="1"/>
  <c r="V4818" i="1"/>
  <c r="U4818" i="1"/>
  <c r="T4818" i="1"/>
  <c r="S4818" i="1"/>
  <c r="W4817" i="1"/>
  <c r="V4817" i="1"/>
  <c r="U4817" i="1"/>
  <c r="T4817" i="1"/>
  <c r="S4817" i="1"/>
  <c r="W4816" i="1"/>
  <c r="V4816" i="1"/>
  <c r="U4816" i="1"/>
  <c r="T4816" i="1"/>
  <c r="S4816" i="1"/>
  <c r="W4815" i="1"/>
  <c r="V4815" i="1"/>
  <c r="U4815" i="1"/>
  <c r="T4815" i="1"/>
  <c r="S4815" i="1"/>
  <c r="W4814" i="1"/>
  <c r="V4814" i="1"/>
  <c r="U4814" i="1"/>
  <c r="T4814" i="1"/>
  <c r="S4814" i="1"/>
  <c r="W4813" i="1"/>
  <c r="V4813" i="1"/>
  <c r="U4813" i="1"/>
  <c r="T4813" i="1"/>
  <c r="S4813" i="1"/>
  <c r="W4812" i="1"/>
  <c r="V4812" i="1"/>
  <c r="U4812" i="1"/>
  <c r="T4812" i="1"/>
  <c r="S4812" i="1"/>
  <c r="W4811" i="1"/>
  <c r="V4811" i="1"/>
  <c r="U4811" i="1"/>
  <c r="T4811" i="1"/>
  <c r="S4811" i="1"/>
  <c r="W4810" i="1"/>
  <c r="V4810" i="1"/>
  <c r="U4810" i="1"/>
  <c r="T4810" i="1"/>
  <c r="S4810" i="1"/>
  <c r="W4809" i="1"/>
  <c r="V4809" i="1"/>
  <c r="U4809" i="1"/>
  <c r="T4809" i="1"/>
  <c r="S4809" i="1"/>
  <c r="W4808" i="1"/>
  <c r="V4808" i="1"/>
  <c r="U4808" i="1"/>
  <c r="T4808" i="1"/>
  <c r="S4808" i="1"/>
  <c r="W4807" i="1"/>
  <c r="V4807" i="1"/>
  <c r="U4807" i="1"/>
  <c r="T4807" i="1"/>
  <c r="S4807" i="1"/>
  <c r="W4806" i="1"/>
  <c r="V4806" i="1"/>
  <c r="U4806" i="1"/>
  <c r="T4806" i="1"/>
  <c r="S4806" i="1"/>
  <c r="W4805" i="1"/>
  <c r="V4805" i="1"/>
  <c r="U4805" i="1"/>
  <c r="T4805" i="1"/>
  <c r="S4805" i="1"/>
  <c r="W4804" i="1"/>
  <c r="V4804" i="1"/>
  <c r="U4804" i="1"/>
  <c r="T4804" i="1"/>
  <c r="S4804" i="1"/>
  <c r="W4803" i="1"/>
  <c r="V4803" i="1"/>
  <c r="U4803" i="1"/>
  <c r="T4803" i="1"/>
  <c r="S4803" i="1"/>
  <c r="W4802" i="1"/>
  <c r="V4802" i="1"/>
  <c r="U4802" i="1"/>
  <c r="T4802" i="1"/>
  <c r="S4802" i="1"/>
  <c r="W4801" i="1"/>
  <c r="V4801" i="1"/>
  <c r="U4801" i="1"/>
  <c r="T4801" i="1"/>
  <c r="S4801" i="1"/>
  <c r="W4800" i="1"/>
  <c r="V4800" i="1"/>
  <c r="U4800" i="1"/>
  <c r="T4800" i="1"/>
  <c r="S4800" i="1"/>
  <c r="W4799" i="1"/>
  <c r="V4799" i="1"/>
  <c r="U4799" i="1"/>
  <c r="T4799" i="1"/>
  <c r="S4799" i="1"/>
  <c r="W4798" i="1"/>
  <c r="V4798" i="1"/>
  <c r="U4798" i="1"/>
  <c r="T4798" i="1"/>
  <c r="S4798" i="1"/>
  <c r="W4797" i="1"/>
  <c r="V4797" i="1"/>
  <c r="U4797" i="1"/>
  <c r="T4797" i="1"/>
  <c r="S4797" i="1"/>
  <c r="W4796" i="1"/>
  <c r="V4796" i="1"/>
  <c r="U4796" i="1"/>
  <c r="T4796" i="1"/>
  <c r="S4796" i="1"/>
  <c r="W4795" i="1"/>
  <c r="V4795" i="1"/>
  <c r="U4795" i="1"/>
  <c r="T4795" i="1"/>
  <c r="S4795" i="1"/>
  <c r="W4794" i="1"/>
  <c r="V4794" i="1"/>
  <c r="U4794" i="1"/>
  <c r="T4794" i="1"/>
  <c r="S4794" i="1"/>
  <c r="W4793" i="1"/>
  <c r="V4793" i="1"/>
  <c r="U4793" i="1"/>
  <c r="T4793" i="1"/>
  <c r="S4793" i="1"/>
  <c r="W4792" i="1"/>
  <c r="V4792" i="1"/>
  <c r="U4792" i="1"/>
  <c r="T4792" i="1"/>
  <c r="S4792" i="1"/>
  <c r="W4791" i="1"/>
  <c r="V4791" i="1"/>
  <c r="U4791" i="1"/>
  <c r="T4791" i="1"/>
  <c r="S4791" i="1"/>
  <c r="W4790" i="1"/>
  <c r="V4790" i="1"/>
  <c r="U4790" i="1"/>
  <c r="T4790" i="1"/>
  <c r="S4790" i="1"/>
  <c r="W4789" i="1"/>
  <c r="V4789" i="1"/>
  <c r="U4789" i="1"/>
  <c r="T4789" i="1"/>
  <c r="S4789" i="1"/>
  <c r="W4788" i="1"/>
  <c r="V4788" i="1"/>
  <c r="U4788" i="1"/>
  <c r="T4788" i="1"/>
  <c r="S4788" i="1"/>
  <c r="W4787" i="1"/>
  <c r="V4787" i="1"/>
  <c r="U4787" i="1"/>
  <c r="T4787" i="1"/>
  <c r="S4787" i="1"/>
  <c r="W4786" i="1"/>
  <c r="V4786" i="1"/>
  <c r="U4786" i="1"/>
  <c r="T4786" i="1"/>
  <c r="S4786" i="1"/>
  <c r="W4785" i="1"/>
  <c r="V4785" i="1"/>
  <c r="U4785" i="1"/>
  <c r="T4785" i="1"/>
  <c r="S4785" i="1"/>
  <c r="W4784" i="1"/>
  <c r="V4784" i="1"/>
  <c r="U4784" i="1"/>
  <c r="T4784" i="1"/>
  <c r="S4784" i="1"/>
  <c r="W4783" i="1"/>
  <c r="V4783" i="1"/>
  <c r="U4783" i="1"/>
  <c r="T4783" i="1"/>
  <c r="S4783" i="1"/>
  <c r="W4782" i="1"/>
  <c r="V4782" i="1"/>
  <c r="U4782" i="1"/>
  <c r="T4782" i="1"/>
  <c r="S4782" i="1"/>
  <c r="W4781" i="1"/>
  <c r="V4781" i="1"/>
  <c r="U4781" i="1"/>
  <c r="T4781" i="1"/>
  <c r="S4781" i="1"/>
  <c r="W4780" i="1"/>
  <c r="V4780" i="1"/>
  <c r="U4780" i="1"/>
  <c r="T4780" i="1"/>
  <c r="S4780" i="1"/>
  <c r="W4779" i="1"/>
  <c r="V4779" i="1"/>
  <c r="U4779" i="1"/>
  <c r="T4779" i="1"/>
  <c r="S4779" i="1"/>
  <c r="W4778" i="1"/>
  <c r="V4778" i="1"/>
  <c r="U4778" i="1"/>
  <c r="T4778" i="1"/>
  <c r="S4778" i="1"/>
  <c r="W4777" i="1"/>
  <c r="V4777" i="1"/>
  <c r="U4777" i="1"/>
  <c r="T4777" i="1"/>
  <c r="S4777" i="1"/>
  <c r="W4776" i="1"/>
  <c r="V4776" i="1"/>
  <c r="U4776" i="1"/>
  <c r="T4776" i="1"/>
  <c r="S4776" i="1"/>
  <c r="W4775" i="1"/>
  <c r="V4775" i="1"/>
  <c r="U4775" i="1"/>
  <c r="T4775" i="1"/>
  <c r="S4775" i="1"/>
  <c r="W4774" i="1"/>
  <c r="V4774" i="1"/>
  <c r="U4774" i="1"/>
  <c r="T4774" i="1"/>
  <c r="S4774" i="1"/>
  <c r="W4773" i="1"/>
  <c r="V4773" i="1"/>
  <c r="U4773" i="1"/>
  <c r="T4773" i="1"/>
  <c r="S4773" i="1"/>
  <c r="W4772" i="1"/>
  <c r="V4772" i="1"/>
  <c r="U4772" i="1"/>
  <c r="T4772" i="1"/>
  <c r="S4772" i="1"/>
  <c r="W4771" i="1"/>
  <c r="V4771" i="1"/>
  <c r="U4771" i="1"/>
  <c r="T4771" i="1"/>
  <c r="S4771" i="1"/>
  <c r="W4770" i="1"/>
  <c r="V4770" i="1"/>
  <c r="U4770" i="1"/>
  <c r="T4770" i="1"/>
  <c r="S4770" i="1"/>
  <c r="W4769" i="1"/>
  <c r="V4769" i="1"/>
  <c r="U4769" i="1"/>
  <c r="T4769" i="1"/>
  <c r="S4769" i="1"/>
  <c r="W4768" i="1"/>
  <c r="V4768" i="1"/>
  <c r="U4768" i="1"/>
  <c r="T4768" i="1"/>
  <c r="S4768" i="1"/>
  <c r="W4767" i="1"/>
  <c r="V4767" i="1"/>
  <c r="U4767" i="1"/>
  <c r="T4767" i="1"/>
  <c r="S4767" i="1"/>
  <c r="W4766" i="1"/>
  <c r="V4766" i="1"/>
  <c r="U4766" i="1"/>
  <c r="T4766" i="1"/>
  <c r="S4766" i="1"/>
  <c r="W4765" i="1"/>
  <c r="V4765" i="1"/>
  <c r="U4765" i="1"/>
  <c r="T4765" i="1"/>
  <c r="S4765" i="1"/>
  <c r="W4764" i="1"/>
  <c r="V4764" i="1"/>
  <c r="U4764" i="1"/>
  <c r="T4764" i="1"/>
  <c r="S4764" i="1"/>
  <c r="W4763" i="1"/>
  <c r="V4763" i="1"/>
  <c r="U4763" i="1"/>
  <c r="T4763" i="1"/>
  <c r="S4763" i="1"/>
  <c r="W4762" i="1"/>
  <c r="V4762" i="1"/>
  <c r="U4762" i="1"/>
  <c r="T4762" i="1"/>
  <c r="S4762" i="1"/>
  <c r="W4761" i="1"/>
  <c r="V4761" i="1"/>
  <c r="U4761" i="1"/>
  <c r="T4761" i="1"/>
  <c r="S4761" i="1"/>
  <c r="W4760" i="1"/>
  <c r="V4760" i="1"/>
  <c r="U4760" i="1"/>
  <c r="T4760" i="1"/>
  <c r="S4760" i="1"/>
  <c r="W4759" i="1"/>
  <c r="V4759" i="1"/>
  <c r="U4759" i="1"/>
  <c r="T4759" i="1"/>
  <c r="S4759" i="1"/>
  <c r="W4758" i="1"/>
  <c r="V4758" i="1"/>
  <c r="U4758" i="1"/>
  <c r="T4758" i="1"/>
  <c r="S4758" i="1"/>
  <c r="W4757" i="1"/>
  <c r="V4757" i="1"/>
  <c r="U4757" i="1"/>
  <c r="T4757" i="1"/>
  <c r="S4757" i="1"/>
  <c r="W4756" i="1"/>
  <c r="V4756" i="1"/>
  <c r="U4756" i="1"/>
  <c r="T4756" i="1"/>
  <c r="S4756" i="1"/>
  <c r="W4755" i="1"/>
  <c r="V4755" i="1"/>
  <c r="U4755" i="1"/>
  <c r="T4755" i="1"/>
  <c r="S4755" i="1"/>
  <c r="W4754" i="1"/>
  <c r="V4754" i="1"/>
  <c r="U4754" i="1"/>
  <c r="T4754" i="1"/>
  <c r="S4754" i="1"/>
  <c r="W4753" i="1"/>
  <c r="V4753" i="1"/>
  <c r="U4753" i="1"/>
  <c r="T4753" i="1"/>
  <c r="S4753" i="1"/>
  <c r="W4752" i="1"/>
  <c r="V4752" i="1"/>
  <c r="U4752" i="1"/>
  <c r="T4752" i="1"/>
  <c r="S4752" i="1"/>
  <c r="W4751" i="1"/>
  <c r="V4751" i="1"/>
  <c r="U4751" i="1"/>
  <c r="T4751" i="1"/>
  <c r="S4751" i="1"/>
  <c r="W4750" i="1"/>
  <c r="V4750" i="1"/>
  <c r="U4750" i="1"/>
  <c r="T4750" i="1"/>
  <c r="S4750" i="1"/>
  <c r="W4749" i="1"/>
  <c r="V4749" i="1"/>
  <c r="U4749" i="1"/>
  <c r="T4749" i="1"/>
  <c r="S4749" i="1"/>
  <c r="W4748" i="1"/>
  <c r="V4748" i="1"/>
  <c r="U4748" i="1"/>
  <c r="T4748" i="1"/>
  <c r="S4748" i="1"/>
  <c r="W4747" i="1"/>
  <c r="V4747" i="1"/>
  <c r="U4747" i="1"/>
  <c r="T4747" i="1"/>
  <c r="S4747" i="1"/>
  <c r="W4746" i="1"/>
  <c r="V4746" i="1"/>
  <c r="U4746" i="1"/>
  <c r="T4746" i="1"/>
  <c r="S4746" i="1"/>
  <c r="W4745" i="1"/>
  <c r="V4745" i="1"/>
  <c r="U4745" i="1"/>
  <c r="T4745" i="1"/>
  <c r="S4745" i="1"/>
  <c r="W4744" i="1"/>
  <c r="V4744" i="1"/>
  <c r="U4744" i="1"/>
  <c r="T4744" i="1"/>
  <c r="S4744" i="1"/>
  <c r="W4743" i="1"/>
  <c r="V4743" i="1"/>
  <c r="U4743" i="1"/>
  <c r="T4743" i="1"/>
  <c r="S4743" i="1"/>
  <c r="W4742" i="1"/>
  <c r="V4742" i="1"/>
  <c r="U4742" i="1"/>
  <c r="T4742" i="1"/>
  <c r="S4742" i="1"/>
  <c r="W4741" i="1"/>
  <c r="V4741" i="1"/>
  <c r="U4741" i="1"/>
  <c r="T4741" i="1"/>
  <c r="S4741" i="1"/>
  <c r="W4740" i="1"/>
  <c r="V4740" i="1"/>
  <c r="U4740" i="1"/>
  <c r="T4740" i="1"/>
  <c r="S4740" i="1"/>
  <c r="W4739" i="1"/>
  <c r="V4739" i="1"/>
  <c r="U4739" i="1"/>
  <c r="T4739" i="1"/>
  <c r="S4739" i="1"/>
  <c r="W4738" i="1"/>
  <c r="V4738" i="1"/>
  <c r="U4738" i="1"/>
  <c r="T4738" i="1"/>
  <c r="S4738" i="1"/>
  <c r="W4737" i="1"/>
  <c r="V4737" i="1"/>
  <c r="U4737" i="1"/>
  <c r="T4737" i="1"/>
  <c r="S4737" i="1"/>
  <c r="W4736" i="1"/>
  <c r="V4736" i="1"/>
  <c r="U4736" i="1"/>
  <c r="T4736" i="1"/>
  <c r="S4736" i="1"/>
  <c r="W4735" i="1"/>
  <c r="V4735" i="1"/>
  <c r="U4735" i="1"/>
  <c r="T4735" i="1"/>
  <c r="S4735" i="1"/>
  <c r="W4734" i="1"/>
  <c r="V4734" i="1"/>
  <c r="U4734" i="1"/>
  <c r="T4734" i="1"/>
  <c r="S4734" i="1"/>
  <c r="W4733" i="1"/>
  <c r="V4733" i="1"/>
  <c r="U4733" i="1"/>
  <c r="T4733" i="1"/>
  <c r="S4733" i="1"/>
  <c r="W4732" i="1"/>
  <c r="V4732" i="1"/>
  <c r="U4732" i="1"/>
  <c r="T4732" i="1"/>
  <c r="S4732" i="1"/>
  <c r="W4731" i="1"/>
  <c r="V4731" i="1"/>
  <c r="U4731" i="1"/>
  <c r="T4731" i="1"/>
  <c r="S4731" i="1"/>
  <c r="W4730" i="1"/>
  <c r="V4730" i="1"/>
  <c r="U4730" i="1"/>
  <c r="T4730" i="1"/>
  <c r="S4730" i="1"/>
  <c r="W4729" i="1"/>
  <c r="V4729" i="1"/>
  <c r="U4729" i="1"/>
  <c r="T4729" i="1"/>
  <c r="S4729" i="1"/>
  <c r="W4728" i="1"/>
  <c r="V4728" i="1"/>
  <c r="U4728" i="1"/>
  <c r="T4728" i="1"/>
  <c r="S4728" i="1"/>
  <c r="W4727" i="1"/>
  <c r="V4727" i="1"/>
  <c r="U4727" i="1"/>
  <c r="T4727" i="1"/>
  <c r="S4727" i="1"/>
  <c r="W4726" i="1"/>
  <c r="V4726" i="1"/>
  <c r="U4726" i="1"/>
  <c r="T4726" i="1"/>
  <c r="S4726" i="1"/>
  <c r="W4725" i="1"/>
  <c r="V4725" i="1"/>
  <c r="U4725" i="1"/>
  <c r="T4725" i="1"/>
  <c r="S4725" i="1"/>
  <c r="W4724" i="1"/>
  <c r="V4724" i="1"/>
  <c r="U4724" i="1"/>
  <c r="T4724" i="1"/>
  <c r="S4724" i="1"/>
  <c r="W4723" i="1"/>
  <c r="V4723" i="1"/>
  <c r="U4723" i="1"/>
  <c r="T4723" i="1"/>
  <c r="S4723" i="1"/>
  <c r="W4722" i="1"/>
  <c r="V4722" i="1"/>
  <c r="U4722" i="1"/>
  <c r="T4722" i="1"/>
  <c r="S4722" i="1"/>
  <c r="W4721" i="1"/>
  <c r="V4721" i="1"/>
  <c r="U4721" i="1"/>
  <c r="T4721" i="1"/>
  <c r="S4721" i="1"/>
  <c r="W4720" i="1"/>
  <c r="V4720" i="1"/>
  <c r="U4720" i="1"/>
  <c r="T4720" i="1"/>
  <c r="S4720" i="1"/>
  <c r="W4719" i="1"/>
  <c r="V4719" i="1"/>
  <c r="U4719" i="1"/>
  <c r="T4719" i="1"/>
  <c r="S4719" i="1"/>
  <c r="W4718" i="1"/>
  <c r="V4718" i="1"/>
  <c r="U4718" i="1"/>
  <c r="T4718" i="1"/>
  <c r="S4718" i="1"/>
  <c r="W4717" i="1"/>
  <c r="V4717" i="1"/>
  <c r="U4717" i="1"/>
  <c r="T4717" i="1"/>
  <c r="S4717" i="1"/>
  <c r="W4716" i="1"/>
  <c r="V4716" i="1"/>
  <c r="U4716" i="1"/>
  <c r="T4716" i="1"/>
  <c r="S4716" i="1"/>
  <c r="W4715" i="1"/>
  <c r="V4715" i="1"/>
  <c r="U4715" i="1"/>
  <c r="T4715" i="1"/>
  <c r="S4715" i="1"/>
  <c r="W4714" i="1"/>
  <c r="V4714" i="1"/>
  <c r="U4714" i="1"/>
  <c r="T4714" i="1"/>
  <c r="S4714" i="1"/>
  <c r="W4713" i="1"/>
  <c r="V4713" i="1"/>
  <c r="U4713" i="1"/>
  <c r="T4713" i="1"/>
  <c r="S4713" i="1"/>
  <c r="W4712" i="1"/>
  <c r="V4712" i="1"/>
  <c r="U4712" i="1"/>
  <c r="T4712" i="1"/>
  <c r="S4712" i="1"/>
  <c r="W4711" i="1"/>
  <c r="V4711" i="1"/>
  <c r="U4711" i="1"/>
  <c r="T4711" i="1"/>
  <c r="S4711" i="1"/>
  <c r="W4710" i="1"/>
  <c r="V4710" i="1"/>
  <c r="U4710" i="1"/>
  <c r="T4710" i="1"/>
  <c r="S4710" i="1"/>
  <c r="W4709" i="1"/>
  <c r="V4709" i="1"/>
  <c r="U4709" i="1"/>
  <c r="T4709" i="1"/>
  <c r="S4709" i="1"/>
  <c r="W4708" i="1"/>
  <c r="V4708" i="1"/>
  <c r="U4708" i="1"/>
  <c r="T4708" i="1"/>
  <c r="S4708" i="1"/>
  <c r="W4707" i="1"/>
  <c r="V4707" i="1"/>
  <c r="U4707" i="1"/>
  <c r="T4707" i="1"/>
  <c r="S4707" i="1"/>
  <c r="W4706" i="1"/>
  <c r="V4706" i="1"/>
  <c r="U4706" i="1"/>
  <c r="T4706" i="1"/>
  <c r="S4706" i="1"/>
  <c r="W4705" i="1"/>
  <c r="V4705" i="1"/>
  <c r="U4705" i="1"/>
  <c r="T4705" i="1"/>
  <c r="S4705" i="1"/>
  <c r="W4704" i="1"/>
  <c r="V4704" i="1"/>
  <c r="U4704" i="1"/>
  <c r="T4704" i="1"/>
  <c r="S4704" i="1"/>
  <c r="W4703" i="1"/>
  <c r="V4703" i="1"/>
  <c r="U4703" i="1"/>
  <c r="T4703" i="1"/>
  <c r="S4703" i="1"/>
  <c r="W4702" i="1"/>
  <c r="V4702" i="1"/>
  <c r="U4702" i="1"/>
  <c r="T4702" i="1"/>
  <c r="S4702" i="1"/>
  <c r="W4701" i="1"/>
  <c r="V4701" i="1"/>
  <c r="U4701" i="1"/>
  <c r="T4701" i="1"/>
  <c r="S4701" i="1"/>
  <c r="W4700" i="1"/>
  <c r="V4700" i="1"/>
  <c r="U4700" i="1"/>
  <c r="T4700" i="1"/>
  <c r="S4700" i="1"/>
  <c r="W4699" i="1"/>
  <c r="V4699" i="1"/>
  <c r="U4699" i="1"/>
  <c r="T4699" i="1"/>
  <c r="S4699" i="1"/>
  <c r="W4698" i="1"/>
  <c r="V4698" i="1"/>
  <c r="U4698" i="1"/>
  <c r="T4698" i="1"/>
  <c r="S4698" i="1"/>
  <c r="W4697" i="1"/>
  <c r="V4697" i="1"/>
  <c r="U4697" i="1"/>
  <c r="T4697" i="1"/>
  <c r="S4697" i="1"/>
  <c r="W4696" i="1"/>
  <c r="V4696" i="1"/>
  <c r="U4696" i="1"/>
  <c r="T4696" i="1"/>
  <c r="S4696" i="1"/>
  <c r="W4695" i="1"/>
  <c r="V4695" i="1"/>
  <c r="U4695" i="1"/>
  <c r="T4695" i="1"/>
  <c r="S4695" i="1"/>
  <c r="W4694" i="1"/>
  <c r="V4694" i="1"/>
  <c r="U4694" i="1"/>
  <c r="T4694" i="1"/>
  <c r="S4694" i="1"/>
  <c r="W4693" i="1"/>
  <c r="V4693" i="1"/>
  <c r="U4693" i="1"/>
  <c r="T4693" i="1"/>
  <c r="S4693" i="1"/>
  <c r="W4692" i="1"/>
  <c r="V4692" i="1"/>
  <c r="U4692" i="1"/>
  <c r="T4692" i="1"/>
  <c r="S4692" i="1"/>
  <c r="W4691" i="1"/>
  <c r="V4691" i="1"/>
  <c r="U4691" i="1"/>
  <c r="T4691" i="1"/>
  <c r="S4691" i="1"/>
  <c r="W4690" i="1"/>
  <c r="V4690" i="1"/>
  <c r="U4690" i="1"/>
  <c r="T4690" i="1"/>
  <c r="S4690" i="1"/>
  <c r="W4689" i="1"/>
  <c r="V4689" i="1"/>
  <c r="U4689" i="1"/>
  <c r="T4689" i="1"/>
  <c r="S4689" i="1"/>
  <c r="W4688" i="1"/>
  <c r="V4688" i="1"/>
  <c r="U4688" i="1"/>
  <c r="T4688" i="1"/>
  <c r="S4688" i="1"/>
  <c r="W4687" i="1"/>
  <c r="V4687" i="1"/>
  <c r="U4687" i="1"/>
  <c r="T4687" i="1"/>
  <c r="S4687" i="1"/>
  <c r="W4686" i="1"/>
  <c r="V4686" i="1"/>
  <c r="U4686" i="1"/>
  <c r="T4686" i="1"/>
  <c r="S4686" i="1"/>
  <c r="W4685" i="1"/>
  <c r="V4685" i="1"/>
  <c r="U4685" i="1"/>
  <c r="T4685" i="1"/>
  <c r="S4685" i="1"/>
  <c r="W4684" i="1"/>
  <c r="V4684" i="1"/>
  <c r="U4684" i="1"/>
  <c r="T4684" i="1"/>
  <c r="S4684" i="1"/>
  <c r="W4683" i="1"/>
  <c r="V4683" i="1"/>
  <c r="U4683" i="1"/>
  <c r="T4683" i="1"/>
  <c r="S4683" i="1"/>
  <c r="W4682" i="1"/>
  <c r="V4682" i="1"/>
  <c r="U4682" i="1"/>
  <c r="T4682" i="1"/>
  <c r="S4682" i="1"/>
  <c r="W4681" i="1"/>
  <c r="V4681" i="1"/>
  <c r="U4681" i="1"/>
  <c r="T4681" i="1"/>
  <c r="S4681" i="1"/>
  <c r="W4680" i="1"/>
  <c r="V4680" i="1"/>
  <c r="U4680" i="1"/>
  <c r="T4680" i="1"/>
  <c r="S4680" i="1"/>
  <c r="W4679" i="1"/>
  <c r="V4679" i="1"/>
  <c r="U4679" i="1"/>
  <c r="T4679" i="1"/>
  <c r="S4679" i="1"/>
  <c r="W4678" i="1"/>
  <c r="V4678" i="1"/>
  <c r="U4678" i="1"/>
  <c r="T4678" i="1"/>
  <c r="S4678" i="1"/>
  <c r="W4677" i="1"/>
  <c r="V4677" i="1"/>
  <c r="U4677" i="1"/>
  <c r="T4677" i="1"/>
  <c r="S4677" i="1"/>
  <c r="W4676" i="1"/>
  <c r="V4676" i="1"/>
  <c r="U4676" i="1"/>
  <c r="T4676" i="1"/>
  <c r="S4676" i="1"/>
  <c r="W4675" i="1"/>
  <c r="V4675" i="1"/>
  <c r="U4675" i="1"/>
  <c r="T4675" i="1"/>
  <c r="S4675" i="1"/>
  <c r="W4674" i="1"/>
  <c r="V4674" i="1"/>
  <c r="U4674" i="1"/>
  <c r="T4674" i="1"/>
  <c r="S4674" i="1"/>
  <c r="W4673" i="1"/>
  <c r="V4673" i="1"/>
  <c r="U4673" i="1"/>
  <c r="T4673" i="1"/>
  <c r="S4673" i="1"/>
  <c r="W4672" i="1"/>
  <c r="V4672" i="1"/>
  <c r="U4672" i="1"/>
  <c r="T4672" i="1"/>
  <c r="S4672" i="1"/>
  <c r="W4671" i="1"/>
  <c r="V4671" i="1"/>
  <c r="U4671" i="1"/>
  <c r="T4671" i="1"/>
  <c r="S4671" i="1"/>
  <c r="W4670" i="1"/>
  <c r="V4670" i="1"/>
  <c r="U4670" i="1"/>
  <c r="T4670" i="1"/>
  <c r="S4670" i="1"/>
  <c r="W4669" i="1"/>
  <c r="V4669" i="1"/>
  <c r="U4669" i="1"/>
  <c r="T4669" i="1"/>
  <c r="S4669" i="1"/>
  <c r="W4668" i="1"/>
  <c r="V4668" i="1"/>
  <c r="U4668" i="1"/>
  <c r="T4668" i="1"/>
  <c r="S4668" i="1"/>
  <c r="W4667" i="1"/>
  <c r="V4667" i="1"/>
  <c r="U4667" i="1"/>
  <c r="T4667" i="1"/>
  <c r="S4667" i="1"/>
  <c r="W4666" i="1"/>
  <c r="V4666" i="1"/>
  <c r="U4666" i="1"/>
  <c r="T4666" i="1"/>
  <c r="S4666" i="1"/>
  <c r="W4665" i="1"/>
  <c r="V4665" i="1"/>
  <c r="U4665" i="1"/>
  <c r="T4665" i="1"/>
  <c r="S4665" i="1"/>
  <c r="W4664" i="1"/>
  <c r="V4664" i="1"/>
  <c r="U4664" i="1"/>
  <c r="T4664" i="1"/>
  <c r="S4664" i="1"/>
  <c r="W4663" i="1"/>
  <c r="V4663" i="1"/>
  <c r="U4663" i="1"/>
  <c r="T4663" i="1"/>
  <c r="S4663" i="1"/>
  <c r="W4662" i="1"/>
  <c r="V4662" i="1"/>
  <c r="U4662" i="1"/>
  <c r="T4662" i="1"/>
  <c r="S4662" i="1"/>
  <c r="W4661" i="1"/>
  <c r="V4661" i="1"/>
  <c r="U4661" i="1"/>
  <c r="T4661" i="1"/>
  <c r="S4661" i="1"/>
  <c r="W4660" i="1"/>
  <c r="V4660" i="1"/>
  <c r="U4660" i="1"/>
  <c r="T4660" i="1"/>
  <c r="S4660" i="1"/>
  <c r="W4659" i="1"/>
  <c r="V4659" i="1"/>
  <c r="U4659" i="1"/>
  <c r="T4659" i="1"/>
  <c r="S4659" i="1"/>
  <c r="W4658" i="1"/>
  <c r="V4658" i="1"/>
  <c r="U4658" i="1"/>
  <c r="T4658" i="1"/>
  <c r="S4658" i="1"/>
  <c r="W4657" i="1"/>
  <c r="V4657" i="1"/>
  <c r="U4657" i="1"/>
  <c r="T4657" i="1"/>
  <c r="S4657" i="1"/>
  <c r="W4656" i="1"/>
  <c r="V4656" i="1"/>
  <c r="U4656" i="1"/>
  <c r="T4656" i="1"/>
  <c r="S4656" i="1"/>
  <c r="W4655" i="1"/>
  <c r="V4655" i="1"/>
  <c r="U4655" i="1"/>
  <c r="T4655" i="1"/>
  <c r="S4655" i="1"/>
  <c r="W4654" i="1"/>
  <c r="V4654" i="1"/>
  <c r="U4654" i="1"/>
  <c r="T4654" i="1"/>
  <c r="S4654" i="1"/>
  <c r="W4653" i="1"/>
  <c r="V4653" i="1"/>
  <c r="U4653" i="1"/>
  <c r="T4653" i="1"/>
  <c r="S4653" i="1"/>
  <c r="W4652" i="1"/>
  <c r="V4652" i="1"/>
  <c r="U4652" i="1"/>
  <c r="T4652" i="1"/>
  <c r="S4652" i="1"/>
  <c r="W4651" i="1"/>
  <c r="V4651" i="1"/>
  <c r="U4651" i="1"/>
  <c r="T4651" i="1"/>
  <c r="S4651" i="1"/>
  <c r="W4650" i="1"/>
  <c r="V4650" i="1"/>
  <c r="U4650" i="1"/>
  <c r="T4650" i="1"/>
  <c r="S4650" i="1"/>
  <c r="W4649" i="1"/>
  <c r="V4649" i="1"/>
  <c r="U4649" i="1"/>
  <c r="T4649" i="1"/>
  <c r="S4649" i="1"/>
  <c r="W4648" i="1"/>
  <c r="V4648" i="1"/>
  <c r="U4648" i="1"/>
  <c r="T4648" i="1"/>
  <c r="S4648" i="1"/>
  <c r="W4647" i="1"/>
  <c r="V4647" i="1"/>
  <c r="U4647" i="1"/>
  <c r="T4647" i="1"/>
  <c r="S4647" i="1"/>
  <c r="W4646" i="1"/>
  <c r="V4646" i="1"/>
  <c r="U4646" i="1"/>
  <c r="T4646" i="1"/>
  <c r="S4646" i="1"/>
  <c r="W4645" i="1"/>
  <c r="V4645" i="1"/>
  <c r="U4645" i="1"/>
  <c r="T4645" i="1"/>
  <c r="S4645" i="1"/>
  <c r="W4644" i="1"/>
  <c r="V4644" i="1"/>
  <c r="U4644" i="1"/>
  <c r="T4644" i="1"/>
  <c r="S4644" i="1"/>
  <c r="W4643" i="1"/>
  <c r="V4643" i="1"/>
  <c r="U4643" i="1"/>
  <c r="T4643" i="1"/>
  <c r="S4643" i="1"/>
  <c r="W4642" i="1"/>
  <c r="V4642" i="1"/>
  <c r="U4642" i="1"/>
  <c r="T4642" i="1"/>
  <c r="S4642" i="1"/>
  <c r="W4641" i="1"/>
  <c r="V4641" i="1"/>
  <c r="U4641" i="1"/>
  <c r="T4641" i="1"/>
  <c r="S4641" i="1"/>
  <c r="W4640" i="1"/>
  <c r="V4640" i="1"/>
  <c r="U4640" i="1"/>
  <c r="T4640" i="1"/>
  <c r="S4640" i="1"/>
  <c r="W4639" i="1"/>
  <c r="V4639" i="1"/>
  <c r="U4639" i="1"/>
  <c r="T4639" i="1"/>
  <c r="S4639" i="1"/>
  <c r="W4638" i="1"/>
  <c r="V4638" i="1"/>
  <c r="U4638" i="1"/>
  <c r="T4638" i="1"/>
  <c r="S4638" i="1"/>
  <c r="W4637" i="1"/>
  <c r="V4637" i="1"/>
  <c r="U4637" i="1"/>
  <c r="T4637" i="1"/>
  <c r="S4637" i="1"/>
  <c r="W4636" i="1"/>
  <c r="V4636" i="1"/>
  <c r="U4636" i="1"/>
  <c r="T4636" i="1"/>
  <c r="S4636" i="1"/>
  <c r="W4635" i="1"/>
  <c r="V4635" i="1"/>
  <c r="U4635" i="1"/>
  <c r="T4635" i="1"/>
  <c r="S4635" i="1"/>
  <c r="W4634" i="1"/>
  <c r="V4634" i="1"/>
  <c r="U4634" i="1"/>
  <c r="T4634" i="1"/>
  <c r="S4634" i="1"/>
  <c r="W4633" i="1"/>
  <c r="V4633" i="1"/>
  <c r="U4633" i="1"/>
  <c r="T4633" i="1"/>
  <c r="S4633" i="1"/>
  <c r="W4632" i="1"/>
  <c r="V4632" i="1"/>
  <c r="U4632" i="1"/>
  <c r="T4632" i="1"/>
  <c r="S4632" i="1"/>
  <c r="W4631" i="1"/>
  <c r="V4631" i="1"/>
  <c r="U4631" i="1"/>
  <c r="T4631" i="1"/>
  <c r="S4631" i="1"/>
  <c r="W4630" i="1"/>
  <c r="V4630" i="1"/>
  <c r="U4630" i="1"/>
  <c r="T4630" i="1"/>
  <c r="S4630" i="1"/>
  <c r="W4629" i="1"/>
  <c r="V4629" i="1"/>
  <c r="U4629" i="1"/>
  <c r="T4629" i="1"/>
  <c r="S4629" i="1"/>
  <c r="W4628" i="1"/>
  <c r="V4628" i="1"/>
  <c r="U4628" i="1"/>
  <c r="T4628" i="1"/>
  <c r="S4628" i="1"/>
  <c r="W4627" i="1"/>
  <c r="V4627" i="1"/>
  <c r="U4627" i="1"/>
  <c r="T4627" i="1"/>
  <c r="S4627" i="1"/>
  <c r="W4626" i="1"/>
  <c r="V4626" i="1"/>
  <c r="U4626" i="1"/>
  <c r="T4626" i="1"/>
  <c r="S4626" i="1"/>
  <c r="W4625" i="1"/>
  <c r="V4625" i="1"/>
  <c r="U4625" i="1"/>
  <c r="T4625" i="1"/>
  <c r="S4625" i="1"/>
  <c r="W4624" i="1"/>
  <c r="V4624" i="1"/>
  <c r="U4624" i="1"/>
  <c r="T4624" i="1"/>
  <c r="S4624" i="1"/>
  <c r="W4623" i="1"/>
  <c r="V4623" i="1"/>
  <c r="U4623" i="1"/>
  <c r="T4623" i="1"/>
  <c r="S4623" i="1"/>
  <c r="W4622" i="1"/>
  <c r="V4622" i="1"/>
  <c r="U4622" i="1"/>
  <c r="T4622" i="1"/>
  <c r="S4622" i="1"/>
  <c r="W4621" i="1"/>
  <c r="V4621" i="1"/>
  <c r="U4621" i="1"/>
  <c r="T4621" i="1"/>
  <c r="S4621" i="1"/>
  <c r="W4620" i="1"/>
  <c r="V4620" i="1"/>
  <c r="U4620" i="1"/>
  <c r="T4620" i="1"/>
  <c r="S4620" i="1"/>
  <c r="W4619" i="1"/>
  <c r="V4619" i="1"/>
  <c r="U4619" i="1"/>
  <c r="T4619" i="1"/>
  <c r="S4619" i="1"/>
  <c r="W4618" i="1"/>
  <c r="V4618" i="1"/>
  <c r="U4618" i="1"/>
  <c r="T4618" i="1"/>
  <c r="S4618" i="1"/>
  <c r="W4617" i="1"/>
  <c r="V4617" i="1"/>
  <c r="U4617" i="1"/>
  <c r="T4617" i="1"/>
  <c r="S4617" i="1"/>
  <c r="W4616" i="1"/>
  <c r="V4616" i="1"/>
  <c r="U4616" i="1"/>
  <c r="T4616" i="1"/>
  <c r="S4616" i="1"/>
  <c r="W4615" i="1"/>
  <c r="V4615" i="1"/>
  <c r="U4615" i="1"/>
  <c r="T4615" i="1"/>
  <c r="S4615" i="1"/>
  <c r="W4614" i="1"/>
  <c r="V4614" i="1"/>
  <c r="U4614" i="1"/>
  <c r="T4614" i="1"/>
  <c r="S4614" i="1"/>
  <c r="W4613" i="1"/>
  <c r="V4613" i="1"/>
  <c r="U4613" i="1"/>
  <c r="T4613" i="1"/>
  <c r="S4613" i="1"/>
  <c r="W4612" i="1"/>
  <c r="V4612" i="1"/>
  <c r="U4612" i="1"/>
  <c r="T4612" i="1"/>
  <c r="S4612" i="1"/>
  <c r="W4611" i="1"/>
  <c r="V4611" i="1"/>
  <c r="U4611" i="1"/>
  <c r="T4611" i="1"/>
  <c r="S4611" i="1"/>
  <c r="W4610" i="1"/>
  <c r="V4610" i="1"/>
  <c r="U4610" i="1"/>
  <c r="T4610" i="1"/>
  <c r="S4610" i="1"/>
  <c r="W4609" i="1"/>
  <c r="V4609" i="1"/>
  <c r="U4609" i="1"/>
  <c r="T4609" i="1"/>
  <c r="S4609" i="1"/>
  <c r="W4608" i="1"/>
  <c r="V4608" i="1"/>
  <c r="U4608" i="1"/>
  <c r="T4608" i="1"/>
  <c r="S4608" i="1"/>
  <c r="W4607" i="1"/>
  <c r="V4607" i="1"/>
  <c r="U4607" i="1"/>
  <c r="T4607" i="1"/>
  <c r="S4607" i="1"/>
  <c r="W4606" i="1"/>
  <c r="V4606" i="1"/>
  <c r="U4606" i="1"/>
  <c r="T4606" i="1"/>
  <c r="S4606" i="1"/>
  <c r="W4605" i="1"/>
  <c r="V4605" i="1"/>
  <c r="U4605" i="1"/>
  <c r="T4605" i="1"/>
  <c r="S4605" i="1"/>
  <c r="W4604" i="1"/>
  <c r="V4604" i="1"/>
  <c r="U4604" i="1"/>
  <c r="T4604" i="1"/>
  <c r="S4604" i="1"/>
  <c r="W4603" i="1"/>
  <c r="V4603" i="1"/>
  <c r="U4603" i="1"/>
  <c r="T4603" i="1"/>
  <c r="S4603" i="1"/>
  <c r="W4602" i="1"/>
  <c r="V4602" i="1"/>
  <c r="U4602" i="1"/>
  <c r="T4602" i="1"/>
  <c r="S4602" i="1"/>
  <c r="W4601" i="1"/>
  <c r="V4601" i="1"/>
  <c r="U4601" i="1"/>
  <c r="T4601" i="1"/>
  <c r="S4601" i="1"/>
  <c r="W4600" i="1"/>
  <c r="V4600" i="1"/>
  <c r="U4600" i="1"/>
  <c r="T4600" i="1"/>
  <c r="S4600" i="1"/>
  <c r="W4599" i="1"/>
  <c r="V4599" i="1"/>
  <c r="U4599" i="1"/>
  <c r="T4599" i="1"/>
  <c r="S4599" i="1"/>
  <c r="W4598" i="1"/>
  <c r="V4598" i="1"/>
  <c r="U4598" i="1"/>
  <c r="T4598" i="1"/>
  <c r="S4598" i="1"/>
  <c r="W4597" i="1"/>
  <c r="V4597" i="1"/>
  <c r="U4597" i="1"/>
  <c r="T4597" i="1"/>
  <c r="S4597" i="1"/>
  <c r="W4596" i="1"/>
  <c r="V4596" i="1"/>
  <c r="U4596" i="1"/>
  <c r="T4596" i="1"/>
  <c r="S4596" i="1"/>
  <c r="W4595" i="1"/>
  <c r="V4595" i="1"/>
  <c r="U4595" i="1"/>
  <c r="T4595" i="1"/>
  <c r="S4595" i="1"/>
  <c r="W4594" i="1"/>
  <c r="V4594" i="1"/>
  <c r="U4594" i="1"/>
  <c r="T4594" i="1"/>
  <c r="S4594" i="1"/>
  <c r="W4593" i="1"/>
  <c r="V4593" i="1"/>
  <c r="U4593" i="1"/>
  <c r="T4593" i="1"/>
  <c r="S4593" i="1"/>
  <c r="W4592" i="1"/>
  <c r="V4592" i="1"/>
  <c r="U4592" i="1"/>
  <c r="T4592" i="1"/>
  <c r="S4592" i="1"/>
  <c r="W4591" i="1"/>
  <c r="V4591" i="1"/>
  <c r="U4591" i="1"/>
  <c r="T4591" i="1"/>
  <c r="S4591" i="1"/>
  <c r="W4590" i="1"/>
  <c r="V4590" i="1"/>
  <c r="U4590" i="1"/>
  <c r="T4590" i="1"/>
  <c r="S4590" i="1"/>
  <c r="W4589" i="1"/>
  <c r="V4589" i="1"/>
  <c r="U4589" i="1"/>
  <c r="T4589" i="1"/>
  <c r="S4589" i="1"/>
  <c r="W4588" i="1"/>
  <c r="V4588" i="1"/>
  <c r="U4588" i="1"/>
  <c r="T4588" i="1"/>
  <c r="S4588" i="1"/>
  <c r="W4587" i="1"/>
  <c r="V4587" i="1"/>
  <c r="U4587" i="1"/>
  <c r="T4587" i="1"/>
  <c r="S4587" i="1"/>
  <c r="W4586" i="1"/>
  <c r="V4586" i="1"/>
  <c r="U4586" i="1"/>
  <c r="T4586" i="1"/>
  <c r="S4586" i="1"/>
  <c r="W4585" i="1"/>
  <c r="V4585" i="1"/>
  <c r="U4585" i="1"/>
  <c r="T4585" i="1"/>
  <c r="S4585" i="1"/>
  <c r="W4584" i="1"/>
  <c r="V4584" i="1"/>
  <c r="U4584" i="1"/>
  <c r="T4584" i="1"/>
  <c r="S4584" i="1"/>
  <c r="W4583" i="1"/>
  <c r="V4583" i="1"/>
  <c r="U4583" i="1"/>
  <c r="T4583" i="1"/>
  <c r="S4583" i="1"/>
  <c r="W4582" i="1"/>
  <c r="V4582" i="1"/>
  <c r="U4582" i="1"/>
  <c r="T4582" i="1"/>
  <c r="S4582" i="1"/>
  <c r="W4581" i="1"/>
  <c r="V4581" i="1"/>
  <c r="U4581" i="1"/>
  <c r="T4581" i="1"/>
  <c r="S4581" i="1"/>
  <c r="W4580" i="1"/>
  <c r="V4580" i="1"/>
  <c r="U4580" i="1"/>
  <c r="T4580" i="1"/>
  <c r="S4580" i="1"/>
  <c r="W4579" i="1"/>
  <c r="V4579" i="1"/>
  <c r="U4579" i="1"/>
  <c r="T4579" i="1"/>
  <c r="S4579" i="1"/>
  <c r="W4578" i="1"/>
  <c r="V4578" i="1"/>
  <c r="U4578" i="1"/>
  <c r="T4578" i="1"/>
  <c r="S4578" i="1"/>
  <c r="W4577" i="1"/>
  <c r="V4577" i="1"/>
  <c r="U4577" i="1"/>
  <c r="T4577" i="1"/>
  <c r="S4577" i="1"/>
  <c r="W4576" i="1"/>
  <c r="V4576" i="1"/>
  <c r="U4576" i="1"/>
  <c r="T4576" i="1"/>
  <c r="S4576" i="1"/>
  <c r="W4575" i="1"/>
  <c r="V4575" i="1"/>
  <c r="U4575" i="1"/>
  <c r="T4575" i="1"/>
  <c r="S4575" i="1"/>
  <c r="W4574" i="1"/>
  <c r="V4574" i="1"/>
  <c r="U4574" i="1"/>
  <c r="T4574" i="1"/>
  <c r="S4574" i="1"/>
  <c r="W4573" i="1"/>
  <c r="V4573" i="1"/>
  <c r="U4573" i="1"/>
  <c r="T4573" i="1"/>
  <c r="S4573" i="1"/>
  <c r="W4572" i="1"/>
  <c r="V4572" i="1"/>
  <c r="U4572" i="1"/>
  <c r="T4572" i="1"/>
  <c r="S4572" i="1"/>
  <c r="W4571" i="1"/>
  <c r="V4571" i="1"/>
  <c r="U4571" i="1"/>
  <c r="T4571" i="1"/>
  <c r="S4571" i="1"/>
  <c r="W4570" i="1"/>
  <c r="V4570" i="1"/>
  <c r="U4570" i="1"/>
  <c r="T4570" i="1"/>
  <c r="S4570" i="1"/>
  <c r="W4569" i="1"/>
  <c r="V4569" i="1"/>
  <c r="U4569" i="1"/>
  <c r="T4569" i="1"/>
  <c r="S4569" i="1"/>
  <c r="W4568" i="1"/>
  <c r="V4568" i="1"/>
  <c r="U4568" i="1"/>
  <c r="T4568" i="1"/>
  <c r="S4568" i="1"/>
  <c r="W4567" i="1"/>
  <c r="V4567" i="1"/>
  <c r="U4567" i="1"/>
  <c r="T4567" i="1"/>
  <c r="S4567" i="1"/>
  <c r="W4566" i="1"/>
  <c r="V4566" i="1"/>
  <c r="U4566" i="1"/>
  <c r="T4566" i="1"/>
  <c r="S4566" i="1"/>
  <c r="W4565" i="1"/>
  <c r="V4565" i="1"/>
  <c r="U4565" i="1"/>
  <c r="T4565" i="1"/>
  <c r="S4565" i="1"/>
  <c r="W4564" i="1"/>
  <c r="V4564" i="1"/>
  <c r="U4564" i="1"/>
  <c r="T4564" i="1"/>
  <c r="S4564" i="1"/>
  <c r="W4563" i="1"/>
  <c r="V4563" i="1"/>
  <c r="U4563" i="1"/>
  <c r="T4563" i="1"/>
  <c r="S4563" i="1"/>
  <c r="W4562" i="1"/>
  <c r="V4562" i="1"/>
  <c r="U4562" i="1"/>
  <c r="T4562" i="1"/>
  <c r="S4562" i="1"/>
  <c r="W4561" i="1"/>
  <c r="V4561" i="1"/>
  <c r="U4561" i="1"/>
  <c r="T4561" i="1"/>
  <c r="S4561" i="1"/>
  <c r="W4560" i="1"/>
  <c r="V4560" i="1"/>
  <c r="U4560" i="1"/>
  <c r="T4560" i="1"/>
  <c r="S4560" i="1"/>
  <c r="W4559" i="1"/>
  <c r="V4559" i="1"/>
  <c r="U4559" i="1"/>
  <c r="T4559" i="1"/>
  <c r="S4559" i="1"/>
  <c r="W4558" i="1"/>
  <c r="V4558" i="1"/>
  <c r="U4558" i="1"/>
  <c r="T4558" i="1"/>
  <c r="S4558" i="1"/>
  <c r="W4557" i="1"/>
  <c r="V4557" i="1"/>
  <c r="U4557" i="1"/>
  <c r="T4557" i="1"/>
  <c r="S4557" i="1"/>
  <c r="W4556" i="1"/>
  <c r="V4556" i="1"/>
  <c r="U4556" i="1"/>
  <c r="T4556" i="1"/>
  <c r="S4556" i="1"/>
  <c r="W4555" i="1"/>
  <c r="V4555" i="1"/>
  <c r="U4555" i="1"/>
  <c r="T4555" i="1"/>
  <c r="S4555" i="1"/>
  <c r="W4554" i="1"/>
  <c r="V4554" i="1"/>
  <c r="U4554" i="1"/>
  <c r="T4554" i="1"/>
  <c r="S4554" i="1"/>
  <c r="W4553" i="1"/>
  <c r="V4553" i="1"/>
  <c r="U4553" i="1"/>
  <c r="T4553" i="1"/>
  <c r="S4553" i="1"/>
  <c r="W4552" i="1"/>
  <c r="V4552" i="1"/>
  <c r="U4552" i="1"/>
  <c r="T4552" i="1"/>
  <c r="S4552" i="1"/>
  <c r="W4551" i="1"/>
  <c r="V4551" i="1"/>
  <c r="U4551" i="1"/>
  <c r="T4551" i="1"/>
  <c r="S4551" i="1"/>
  <c r="W4550" i="1"/>
  <c r="V4550" i="1"/>
  <c r="U4550" i="1"/>
  <c r="T4550" i="1"/>
  <c r="S4550" i="1"/>
  <c r="W4549" i="1"/>
  <c r="V4549" i="1"/>
  <c r="U4549" i="1"/>
  <c r="T4549" i="1"/>
  <c r="S4549" i="1"/>
  <c r="W4548" i="1"/>
  <c r="V4548" i="1"/>
  <c r="U4548" i="1"/>
  <c r="T4548" i="1"/>
  <c r="S4548" i="1"/>
  <c r="W4547" i="1"/>
  <c r="V4547" i="1"/>
  <c r="U4547" i="1"/>
  <c r="T4547" i="1"/>
  <c r="S4547" i="1"/>
  <c r="W4546" i="1"/>
  <c r="V4546" i="1"/>
  <c r="U4546" i="1"/>
  <c r="T4546" i="1"/>
  <c r="S4546" i="1"/>
  <c r="W4545" i="1"/>
  <c r="V4545" i="1"/>
  <c r="U4545" i="1"/>
  <c r="T4545" i="1"/>
  <c r="S4545" i="1"/>
  <c r="W4544" i="1"/>
  <c r="V4544" i="1"/>
  <c r="U4544" i="1"/>
  <c r="T4544" i="1"/>
  <c r="S4544" i="1"/>
  <c r="W4543" i="1"/>
  <c r="V4543" i="1"/>
  <c r="U4543" i="1"/>
  <c r="T4543" i="1"/>
  <c r="S4543" i="1"/>
  <c r="W4542" i="1"/>
  <c r="V4542" i="1"/>
  <c r="U4542" i="1"/>
  <c r="T4542" i="1"/>
  <c r="S4542" i="1"/>
  <c r="W4541" i="1"/>
  <c r="V4541" i="1"/>
  <c r="U4541" i="1"/>
  <c r="T4541" i="1"/>
  <c r="S4541" i="1"/>
  <c r="W4540" i="1"/>
  <c r="V4540" i="1"/>
  <c r="U4540" i="1"/>
  <c r="T4540" i="1"/>
  <c r="S4540" i="1"/>
  <c r="W4539" i="1"/>
  <c r="V4539" i="1"/>
  <c r="U4539" i="1"/>
  <c r="T4539" i="1"/>
  <c r="S4539" i="1"/>
  <c r="W4538" i="1"/>
  <c r="V4538" i="1"/>
  <c r="U4538" i="1"/>
  <c r="T4538" i="1"/>
  <c r="S4538" i="1"/>
  <c r="W4537" i="1"/>
  <c r="V4537" i="1"/>
  <c r="U4537" i="1"/>
  <c r="T4537" i="1"/>
  <c r="S4537" i="1"/>
  <c r="W4536" i="1"/>
  <c r="V4536" i="1"/>
  <c r="U4536" i="1"/>
  <c r="T4536" i="1"/>
  <c r="S4536" i="1"/>
  <c r="W4535" i="1"/>
  <c r="V4535" i="1"/>
  <c r="U4535" i="1"/>
  <c r="T4535" i="1"/>
  <c r="S4535" i="1"/>
  <c r="W4534" i="1"/>
  <c r="V4534" i="1"/>
  <c r="U4534" i="1"/>
  <c r="T4534" i="1"/>
  <c r="S4534" i="1"/>
  <c r="W4533" i="1"/>
  <c r="V4533" i="1"/>
  <c r="U4533" i="1"/>
  <c r="T4533" i="1"/>
  <c r="S4533" i="1"/>
  <c r="W4532" i="1"/>
  <c r="V4532" i="1"/>
  <c r="U4532" i="1"/>
  <c r="T4532" i="1"/>
  <c r="S4532" i="1"/>
  <c r="W4531" i="1"/>
  <c r="V4531" i="1"/>
  <c r="U4531" i="1"/>
  <c r="T4531" i="1"/>
  <c r="S4531" i="1"/>
  <c r="W4530" i="1"/>
  <c r="V4530" i="1"/>
  <c r="U4530" i="1"/>
  <c r="T4530" i="1"/>
  <c r="S4530" i="1"/>
  <c r="W4529" i="1"/>
  <c r="V4529" i="1"/>
  <c r="U4529" i="1"/>
  <c r="T4529" i="1"/>
  <c r="S4529" i="1"/>
  <c r="W4528" i="1"/>
  <c r="V4528" i="1"/>
  <c r="U4528" i="1"/>
  <c r="T4528" i="1"/>
  <c r="S4528" i="1"/>
  <c r="W4527" i="1"/>
  <c r="V4527" i="1"/>
  <c r="U4527" i="1"/>
  <c r="T4527" i="1"/>
  <c r="S4527" i="1"/>
  <c r="W4526" i="1"/>
  <c r="V4526" i="1"/>
  <c r="U4526" i="1"/>
  <c r="T4526" i="1"/>
  <c r="S4526" i="1"/>
  <c r="W4525" i="1"/>
  <c r="V4525" i="1"/>
  <c r="U4525" i="1"/>
  <c r="T4525" i="1"/>
  <c r="S4525" i="1"/>
  <c r="W4524" i="1"/>
  <c r="V4524" i="1"/>
  <c r="U4524" i="1"/>
  <c r="T4524" i="1"/>
  <c r="S4524" i="1"/>
  <c r="W4523" i="1"/>
  <c r="V4523" i="1"/>
  <c r="U4523" i="1"/>
  <c r="T4523" i="1"/>
  <c r="S4523" i="1"/>
  <c r="W4522" i="1"/>
  <c r="V4522" i="1"/>
  <c r="U4522" i="1"/>
  <c r="T4522" i="1"/>
  <c r="S4522" i="1"/>
  <c r="W4521" i="1"/>
  <c r="V4521" i="1"/>
  <c r="U4521" i="1"/>
  <c r="T4521" i="1"/>
  <c r="S4521" i="1"/>
  <c r="W4520" i="1"/>
  <c r="V4520" i="1"/>
  <c r="U4520" i="1"/>
  <c r="T4520" i="1"/>
  <c r="S4520" i="1"/>
  <c r="W4519" i="1"/>
  <c r="V4519" i="1"/>
  <c r="U4519" i="1"/>
  <c r="T4519" i="1"/>
  <c r="S4519" i="1"/>
  <c r="W4518" i="1"/>
  <c r="V4518" i="1"/>
  <c r="U4518" i="1"/>
  <c r="T4518" i="1"/>
  <c r="S4518" i="1"/>
  <c r="W4517" i="1"/>
  <c r="V4517" i="1"/>
  <c r="U4517" i="1"/>
  <c r="T4517" i="1"/>
  <c r="S4517" i="1"/>
  <c r="W4516" i="1"/>
  <c r="V4516" i="1"/>
  <c r="U4516" i="1"/>
  <c r="T4516" i="1"/>
  <c r="S4516" i="1"/>
  <c r="W4515" i="1"/>
  <c r="V4515" i="1"/>
  <c r="U4515" i="1"/>
  <c r="T4515" i="1"/>
  <c r="S4515" i="1"/>
  <c r="W4514" i="1"/>
  <c r="V4514" i="1"/>
  <c r="U4514" i="1"/>
  <c r="T4514" i="1"/>
  <c r="S4514" i="1"/>
  <c r="W4513" i="1"/>
  <c r="V4513" i="1"/>
  <c r="U4513" i="1"/>
  <c r="T4513" i="1"/>
  <c r="S4513" i="1"/>
  <c r="W4512" i="1"/>
  <c r="V4512" i="1"/>
  <c r="U4512" i="1"/>
  <c r="T4512" i="1"/>
  <c r="S4512" i="1"/>
  <c r="W4511" i="1"/>
  <c r="V4511" i="1"/>
  <c r="U4511" i="1"/>
  <c r="T4511" i="1"/>
  <c r="S4511" i="1"/>
  <c r="W4510" i="1"/>
  <c r="V4510" i="1"/>
  <c r="U4510" i="1"/>
  <c r="T4510" i="1"/>
  <c r="S4510" i="1"/>
  <c r="W4509" i="1"/>
  <c r="V4509" i="1"/>
  <c r="U4509" i="1"/>
  <c r="T4509" i="1"/>
  <c r="S4509" i="1"/>
  <c r="W4508" i="1"/>
  <c r="V4508" i="1"/>
  <c r="U4508" i="1"/>
  <c r="T4508" i="1"/>
  <c r="S4508" i="1"/>
  <c r="W4507" i="1"/>
  <c r="V4507" i="1"/>
  <c r="U4507" i="1"/>
  <c r="T4507" i="1"/>
  <c r="S4507" i="1"/>
  <c r="W4506" i="1"/>
  <c r="V4506" i="1"/>
  <c r="U4506" i="1"/>
  <c r="T4506" i="1"/>
  <c r="S4506" i="1"/>
  <c r="W4505" i="1"/>
  <c r="V4505" i="1"/>
  <c r="U4505" i="1"/>
  <c r="T4505" i="1"/>
  <c r="S4505" i="1"/>
  <c r="W4504" i="1"/>
  <c r="V4504" i="1"/>
  <c r="U4504" i="1"/>
  <c r="T4504" i="1"/>
  <c r="S4504" i="1"/>
  <c r="W4503" i="1"/>
  <c r="V4503" i="1"/>
  <c r="U4503" i="1"/>
  <c r="T4503" i="1"/>
  <c r="S4503" i="1"/>
  <c r="W4502" i="1"/>
  <c r="V4502" i="1"/>
  <c r="U4502" i="1"/>
  <c r="T4502" i="1"/>
  <c r="S4502" i="1"/>
  <c r="W4501" i="1"/>
  <c r="V4501" i="1"/>
  <c r="U4501" i="1"/>
  <c r="T4501" i="1"/>
  <c r="S4501" i="1"/>
  <c r="W4500" i="1"/>
  <c r="V4500" i="1"/>
  <c r="U4500" i="1"/>
  <c r="T4500" i="1"/>
  <c r="S4500" i="1"/>
  <c r="W4499" i="1"/>
  <c r="V4499" i="1"/>
  <c r="U4499" i="1"/>
  <c r="T4499" i="1"/>
  <c r="S4499" i="1"/>
  <c r="W4498" i="1"/>
  <c r="V4498" i="1"/>
  <c r="U4498" i="1"/>
  <c r="T4498" i="1"/>
  <c r="S4498" i="1"/>
  <c r="W4497" i="1"/>
  <c r="V4497" i="1"/>
  <c r="U4497" i="1"/>
  <c r="T4497" i="1"/>
  <c r="S4497" i="1"/>
  <c r="W4496" i="1"/>
  <c r="V4496" i="1"/>
  <c r="U4496" i="1"/>
  <c r="T4496" i="1"/>
  <c r="S4496" i="1"/>
  <c r="W4495" i="1"/>
  <c r="V4495" i="1"/>
  <c r="U4495" i="1"/>
  <c r="T4495" i="1"/>
  <c r="S4495" i="1"/>
  <c r="W4494" i="1"/>
  <c r="V4494" i="1"/>
  <c r="U4494" i="1"/>
  <c r="T4494" i="1"/>
  <c r="S4494" i="1"/>
  <c r="W4493" i="1"/>
  <c r="V4493" i="1"/>
  <c r="U4493" i="1"/>
  <c r="T4493" i="1"/>
  <c r="S4493" i="1"/>
  <c r="W4492" i="1"/>
  <c r="V4492" i="1"/>
  <c r="U4492" i="1"/>
  <c r="T4492" i="1"/>
  <c r="S4492" i="1"/>
  <c r="W4491" i="1"/>
  <c r="V4491" i="1"/>
  <c r="U4491" i="1"/>
  <c r="T4491" i="1"/>
  <c r="S4491" i="1"/>
  <c r="W4490" i="1"/>
  <c r="V4490" i="1"/>
  <c r="U4490" i="1"/>
  <c r="T4490" i="1"/>
  <c r="S4490" i="1"/>
  <c r="W4489" i="1"/>
  <c r="V4489" i="1"/>
  <c r="U4489" i="1"/>
  <c r="T4489" i="1"/>
  <c r="S4489" i="1"/>
  <c r="W4488" i="1"/>
  <c r="V4488" i="1"/>
  <c r="U4488" i="1"/>
  <c r="T4488" i="1"/>
  <c r="S4488" i="1"/>
  <c r="W4487" i="1"/>
  <c r="V4487" i="1"/>
  <c r="U4487" i="1"/>
  <c r="T4487" i="1"/>
  <c r="S4487" i="1"/>
  <c r="W4486" i="1"/>
  <c r="V4486" i="1"/>
  <c r="U4486" i="1"/>
  <c r="T4486" i="1"/>
  <c r="S4486" i="1"/>
  <c r="W4485" i="1"/>
  <c r="V4485" i="1"/>
  <c r="U4485" i="1"/>
  <c r="T4485" i="1"/>
  <c r="S4485" i="1"/>
  <c r="W4484" i="1"/>
  <c r="V4484" i="1"/>
  <c r="U4484" i="1"/>
  <c r="T4484" i="1"/>
  <c r="S4484" i="1"/>
  <c r="W4483" i="1"/>
  <c r="V4483" i="1"/>
  <c r="U4483" i="1"/>
  <c r="T4483" i="1"/>
  <c r="S4483" i="1"/>
  <c r="W4482" i="1"/>
  <c r="V4482" i="1"/>
  <c r="U4482" i="1"/>
  <c r="T4482" i="1"/>
  <c r="S4482" i="1"/>
  <c r="W4481" i="1"/>
  <c r="V4481" i="1"/>
  <c r="U4481" i="1"/>
  <c r="T4481" i="1"/>
  <c r="S4481" i="1"/>
  <c r="W4480" i="1"/>
  <c r="V4480" i="1"/>
  <c r="U4480" i="1"/>
  <c r="T4480" i="1"/>
  <c r="S4480" i="1"/>
  <c r="W4479" i="1"/>
  <c r="V4479" i="1"/>
  <c r="U4479" i="1"/>
  <c r="T4479" i="1"/>
  <c r="S4479" i="1"/>
  <c r="W4478" i="1"/>
  <c r="V4478" i="1"/>
  <c r="U4478" i="1"/>
  <c r="T4478" i="1"/>
  <c r="S4478" i="1"/>
  <c r="W4477" i="1"/>
  <c r="V4477" i="1"/>
  <c r="U4477" i="1"/>
  <c r="T4477" i="1"/>
  <c r="S4477" i="1"/>
  <c r="W4476" i="1"/>
  <c r="V4476" i="1"/>
  <c r="U4476" i="1"/>
  <c r="T4476" i="1"/>
  <c r="S4476" i="1"/>
  <c r="W4475" i="1"/>
  <c r="V4475" i="1"/>
  <c r="U4475" i="1"/>
  <c r="T4475" i="1"/>
  <c r="S4475" i="1"/>
  <c r="W4474" i="1"/>
  <c r="V4474" i="1"/>
  <c r="U4474" i="1"/>
  <c r="T4474" i="1"/>
  <c r="S4474" i="1"/>
  <c r="W4473" i="1"/>
  <c r="V4473" i="1"/>
  <c r="U4473" i="1"/>
  <c r="T4473" i="1"/>
  <c r="S4473" i="1"/>
  <c r="W4472" i="1"/>
  <c r="V4472" i="1"/>
  <c r="U4472" i="1"/>
  <c r="T4472" i="1"/>
  <c r="S4472" i="1"/>
  <c r="W4471" i="1"/>
  <c r="V4471" i="1"/>
  <c r="U4471" i="1"/>
  <c r="T4471" i="1"/>
  <c r="S4471" i="1"/>
  <c r="W4470" i="1"/>
  <c r="V4470" i="1"/>
  <c r="U4470" i="1"/>
  <c r="T4470" i="1"/>
  <c r="S4470" i="1"/>
  <c r="W4469" i="1"/>
  <c r="V4469" i="1"/>
  <c r="U4469" i="1"/>
  <c r="T4469" i="1"/>
  <c r="S4469" i="1"/>
  <c r="W4468" i="1"/>
  <c r="V4468" i="1"/>
  <c r="U4468" i="1"/>
  <c r="T4468" i="1"/>
  <c r="S4468" i="1"/>
  <c r="W4467" i="1"/>
  <c r="V4467" i="1"/>
  <c r="U4467" i="1"/>
  <c r="T4467" i="1"/>
  <c r="S4467" i="1"/>
  <c r="W4466" i="1"/>
  <c r="V4466" i="1"/>
  <c r="U4466" i="1"/>
  <c r="T4466" i="1"/>
  <c r="S4466" i="1"/>
  <c r="W4465" i="1"/>
  <c r="V4465" i="1"/>
  <c r="U4465" i="1"/>
  <c r="T4465" i="1"/>
  <c r="S4465" i="1"/>
  <c r="W4464" i="1"/>
  <c r="V4464" i="1"/>
  <c r="U4464" i="1"/>
  <c r="T4464" i="1"/>
  <c r="S4464" i="1"/>
  <c r="W4463" i="1"/>
  <c r="V4463" i="1"/>
  <c r="U4463" i="1"/>
  <c r="T4463" i="1"/>
  <c r="S4463" i="1"/>
  <c r="W4462" i="1"/>
  <c r="V4462" i="1"/>
  <c r="U4462" i="1"/>
  <c r="T4462" i="1"/>
  <c r="S4462" i="1"/>
  <c r="W4461" i="1"/>
  <c r="V4461" i="1"/>
  <c r="U4461" i="1"/>
  <c r="T4461" i="1"/>
  <c r="S4461" i="1"/>
  <c r="W4460" i="1"/>
  <c r="V4460" i="1"/>
  <c r="U4460" i="1"/>
  <c r="T4460" i="1"/>
  <c r="S4460" i="1"/>
  <c r="W4459" i="1"/>
  <c r="V4459" i="1"/>
  <c r="U4459" i="1"/>
  <c r="T4459" i="1"/>
  <c r="S4459" i="1"/>
  <c r="W4458" i="1"/>
  <c r="V4458" i="1"/>
  <c r="U4458" i="1"/>
  <c r="T4458" i="1"/>
  <c r="S4458" i="1"/>
  <c r="W4457" i="1"/>
  <c r="V4457" i="1"/>
  <c r="U4457" i="1"/>
  <c r="T4457" i="1"/>
  <c r="S4457" i="1"/>
  <c r="W4456" i="1"/>
  <c r="V4456" i="1"/>
  <c r="U4456" i="1"/>
  <c r="T4456" i="1"/>
  <c r="S4456" i="1"/>
  <c r="W4455" i="1"/>
  <c r="V4455" i="1"/>
  <c r="U4455" i="1"/>
  <c r="T4455" i="1"/>
  <c r="S4455" i="1"/>
  <c r="W4454" i="1"/>
  <c r="V4454" i="1"/>
  <c r="U4454" i="1"/>
  <c r="T4454" i="1"/>
  <c r="S4454" i="1"/>
  <c r="W4453" i="1"/>
  <c r="V4453" i="1"/>
  <c r="U4453" i="1"/>
  <c r="T4453" i="1"/>
  <c r="S4453" i="1"/>
  <c r="W4452" i="1"/>
  <c r="V4452" i="1"/>
  <c r="U4452" i="1"/>
  <c r="T4452" i="1"/>
  <c r="S4452" i="1"/>
  <c r="W4451" i="1"/>
  <c r="V4451" i="1"/>
  <c r="U4451" i="1"/>
  <c r="T4451" i="1"/>
  <c r="S4451" i="1"/>
  <c r="W4450" i="1"/>
  <c r="V4450" i="1"/>
  <c r="U4450" i="1"/>
  <c r="T4450" i="1"/>
  <c r="S4450" i="1"/>
  <c r="W4449" i="1"/>
  <c r="V4449" i="1"/>
  <c r="U4449" i="1"/>
  <c r="T4449" i="1"/>
  <c r="S4449" i="1"/>
  <c r="W4448" i="1"/>
  <c r="V4448" i="1"/>
  <c r="U4448" i="1"/>
  <c r="T4448" i="1"/>
  <c r="S4448" i="1"/>
  <c r="W4447" i="1"/>
  <c r="V4447" i="1"/>
  <c r="U4447" i="1"/>
  <c r="T4447" i="1"/>
  <c r="S4447" i="1"/>
  <c r="W4446" i="1"/>
  <c r="V4446" i="1"/>
  <c r="U4446" i="1"/>
  <c r="T4446" i="1"/>
  <c r="S4446" i="1"/>
  <c r="W4445" i="1"/>
  <c r="V4445" i="1"/>
  <c r="U4445" i="1"/>
  <c r="T4445" i="1"/>
  <c r="S4445" i="1"/>
  <c r="W4444" i="1"/>
  <c r="V4444" i="1"/>
  <c r="U4444" i="1"/>
  <c r="T4444" i="1"/>
  <c r="S4444" i="1"/>
  <c r="W4443" i="1"/>
  <c r="V4443" i="1"/>
  <c r="U4443" i="1"/>
  <c r="T4443" i="1"/>
  <c r="S4443" i="1"/>
  <c r="W4442" i="1"/>
  <c r="V4442" i="1"/>
  <c r="U4442" i="1"/>
  <c r="T4442" i="1"/>
  <c r="S4442" i="1"/>
  <c r="W4441" i="1"/>
  <c r="V4441" i="1"/>
  <c r="U4441" i="1"/>
  <c r="T4441" i="1"/>
  <c r="S4441" i="1"/>
  <c r="W4440" i="1"/>
  <c r="V4440" i="1"/>
  <c r="U4440" i="1"/>
  <c r="T4440" i="1"/>
  <c r="S4440" i="1"/>
  <c r="W4439" i="1"/>
  <c r="V4439" i="1"/>
  <c r="U4439" i="1"/>
  <c r="T4439" i="1"/>
  <c r="S4439" i="1"/>
  <c r="W4438" i="1"/>
  <c r="V4438" i="1"/>
  <c r="U4438" i="1"/>
  <c r="T4438" i="1"/>
  <c r="S4438" i="1"/>
  <c r="W4437" i="1"/>
  <c r="V4437" i="1"/>
  <c r="U4437" i="1"/>
  <c r="T4437" i="1"/>
  <c r="S4437" i="1"/>
  <c r="W4436" i="1"/>
  <c r="V4436" i="1"/>
  <c r="U4436" i="1"/>
  <c r="T4436" i="1"/>
  <c r="S4436" i="1"/>
  <c r="W4435" i="1"/>
  <c r="V4435" i="1"/>
  <c r="U4435" i="1"/>
  <c r="T4435" i="1"/>
  <c r="S4435" i="1"/>
  <c r="W4434" i="1"/>
  <c r="V4434" i="1"/>
  <c r="U4434" i="1"/>
  <c r="T4434" i="1"/>
  <c r="S4434" i="1"/>
  <c r="W4433" i="1"/>
  <c r="V4433" i="1"/>
  <c r="U4433" i="1"/>
  <c r="T4433" i="1"/>
  <c r="S4433" i="1"/>
  <c r="W4432" i="1"/>
  <c r="V4432" i="1"/>
  <c r="U4432" i="1"/>
  <c r="T4432" i="1"/>
  <c r="S4432" i="1"/>
  <c r="W4431" i="1"/>
  <c r="V4431" i="1"/>
  <c r="U4431" i="1"/>
  <c r="T4431" i="1"/>
  <c r="S4431" i="1"/>
  <c r="W4430" i="1"/>
  <c r="V4430" i="1"/>
  <c r="U4430" i="1"/>
  <c r="T4430" i="1"/>
  <c r="S4430" i="1"/>
  <c r="W4429" i="1"/>
  <c r="V4429" i="1"/>
  <c r="U4429" i="1"/>
  <c r="T4429" i="1"/>
  <c r="S4429" i="1"/>
  <c r="W4428" i="1"/>
  <c r="V4428" i="1"/>
  <c r="U4428" i="1"/>
  <c r="T4428" i="1"/>
  <c r="S4428" i="1"/>
  <c r="W4427" i="1"/>
  <c r="V4427" i="1"/>
  <c r="U4427" i="1"/>
  <c r="T4427" i="1"/>
  <c r="S4427" i="1"/>
  <c r="W4426" i="1"/>
  <c r="V4426" i="1"/>
  <c r="U4426" i="1"/>
  <c r="T4426" i="1"/>
  <c r="S4426" i="1"/>
  <c r="W4425" i="1"/>
  <c r="V4425" i="1"/>
  <c r="U4425" i="1"/>
  <c r="T4425" i="1"/>
  <c r="S4425" i="1"/>
  <c r="W4424" i="1"/>
  <c r="V4424" i="1"/>
  <c r="U4424" i="1"/>
  <c r="T4424" i="1"/>
  <c r="S4424" i="1"/>
  <c r="W4423" i="1"/>
  <c r="V4423" i="1"/>
  <c r="U4423" i="1"/>
  <c r="T4423" i="1"/>
  <c r="S4423" i="1"/>
  <c r="W4422" i="1"/>
  <c r="V4422" i="1"/>
  <c r="U4422" i="1"/>
  <c r="T4422" i="1"/>
  <c r="S4422" i="1"/>
  <c r="W4421" i="1"/>
  <c r="V4421" i="1"/>
  <c r="U4421" i="1"/>
  <c r="T4421" i="1"/>
  <c r="S4421" i="1"/>
  <c r="W4420" i="1"/>
  <c r="V4420" i="1"/>
  <c r="U4420" i="1"/>
  <c r="T4420" i="1"/>
  <c r="S4420" i="1"/>
  <c r="W4419" i="1"/>
  <c r="V4419" i="1"/>
  <c r="U4419" i="1"/>
  <c r="T4419" i="1"/>
  <c r="S4419" i="1"/>
  <c r="W4418" i="1"/>
  <c r="V4418" i="1"/>
  <c r="U4418" i="1"/>
  <c r="T4418" i="1"/>
  <c r="S4418" i="1"/>
  <c r="W4417" i="1"/>
  <c r="V4417" i="1"/>
  <c r="U4417" i="1"/>
  <c r="T4417" i="1"/>
  <c r="S4417" i="1"/>
  <c r="W4416" i="1"/>
  <c r="V4416" i="1"/>
  <c r="U4416" i="1"/>
  <c r="T4416" i="1"/>
  <c r="S4416" i="1"/>
  <c r="W4415" i="1"/>
  <c r="V4415" i="1"/>
  <c r="U4415" i="1"/>
  <c r="T4415" i="1"/>
  <c r="S4415" i="1"/>
  <c r="W4414" i="1"/>
  <c r="V4414" i="1"/>
  <c r="U4414" i="1"/>
  <c r="T4414" i="1"/>
  <c r="S4414" i="1"/>
  <c r="W4413" i="1"/>
  <c r="V4413" i="1"/>
  <c r="U4413" i="1"/>
  <c r="T4413" i="1"/>
  <c r="S4413" i="1"/>
  <c r="W4412" i="1"/>
  <c r="V4412" i="1"/>
  <c r="U4412" i="1"/>
  <c r="T4412" i="1"/>
  <c r="S4412" i="1"/>
  <c r="W4411" i="1"/>
  <c r="V4411" i="1"/>
  <c r="U4411" i="1"/>
  <c r="T4411" i="1"/>
  <c r="S4411" i="1"/>
  <c r="W4410" i="1"/>
  <c r="V4410" i="1"/>
  <c r="U4410" i="1"/>
  <c r="T4410" i="1"/>
  <c r="S4410" i="1"/>
  <c r="W4409" i="1"/>
  <c r="V4409" i="1"/>
  <c r="U4409" i="1"/>
  <c r="T4409" i="1"/>
  <c r="S4409" i="1"/>
  <c r="W4408" i="1"/>
  <c r="V4408" i="1"/>
  <c r="U4408" i="1"/>
  <c r="T4408" i="1"/>
  <c r="S4408" i="1"/>
  <c r="W4407" i="1"/>
  <c r="V4407" i="1"/>
  <c r="U4407" i="1"/>
  <c r="T4407" i="1"/>
  <c r="S4407" i="1"/>
  <c r="W4406" i="1"/>
  <c r="V4406" i="1"/>
  <c r="U4406" i="1"/>
  <c r="T4406" i="1"/>
  <c r="S4406" i="1"/>
  <c r="W4405" i="1"/>
  <c r="V4405" i="1"/>
  <c r="U4405" i="1"/>
  <c r="T4405" i="1"/>
  <c r="S4405" i="1"/>
  <c r="W4404" i="1"/>
  <c r="V4404" i="1"/>
  <c r="U4404" i="1"/>
  <c r="T4404" i="1"/>
  <c r="S4404" i="1"/>
  <c r="W4403" i="1"/>
  <c r="V4403" i="1"/>
  <c r="U4403" i="1"/>
  <c r="T4403" i="1"/>
  <c r="S4403" i="1"/>
  <c r="W4402" i="1"/>
  <c r="V4402" i="1"/>
  <c r="U4402" i="1"/>
  <c r="T4402" i="1"/>
  <c r="S4402" i="1"/>
  <c r="W4401" i="1"/>
  <c r="V4401" i="1"/>
  <c r="U4401" i="1"/>
  <c r="T4401" i="1"/>
  <c r="S4401" i="1"/>
  <c r="W4400" i="1"/>
  <c r="V4400" i="1"/>
  <c r="U4400" i="1"/>
  <c r="T4400" i="1"/>
  <c r="S4400" i="1"/>
  <c r="W4399" i="1"/>
  <c r="V4399" i="1"/>
  <c r="U4399" i="1"/>
  <c r="T4399" i="1"/>
  <c r="S4399" i="1"/>
  <c r="W4398" i="1"/>
  <c r="V4398" i="1"/>
  <c r="U4398" i="1"/>
  <c r="T4398" i="1"/>
  <c r="S4398" i="1"/>
  <c r="W4397" i="1"/>
  <c r="V4397" i="1"/>
  <c r="U4397" i="1"/>
  <c r="T4397" i="1"/>
  <c r="S4397" i="1"/>
  <c r="W4396" i="1"/>
  <c r="V4396" i="1"/>
  <c r="U4396" i="1"/>
  <c r="T4396" i="1"/>
  <c r="S4396" i="1"/>
  <c r="W4395" i="1"/>
  <c r="V4395" i="1"/>
  <c r="U4395" i="1"/>
  <c r="T4395" i="1"/>
  <c r="S4395" i="1"/>
  <c r="W4394" i="1"/>
  <c r="V4394" i="1"/>
  <c r="U4394" i="1"/>
  <c r="T4394" i="1"/>
  <c r="S4394" i="1"/>
  <c r="W4393" i="1"/>
  <c r="V4393" i="1"/>
  <c r="U4393" i="1"/>
  <c r="T4393" i="1"/>
  <c r="S4393" i="1"/>
  <c r="W4392" i="1"/>
  <c r="V4392" i="1"/>
  <c r="U4392" i="1"/>
  <c r="T4392" i="1"/>
  <c r="S4392" i="1"/>
  <c r="W4391" i="1"/>
  <c r="V4391" i="1"/>
  <c r="U4391" i="1"/>
  <c r="T4391" i="1"/>
  <c r="S4391" i="1"/>
  <c r="W4390" i="1"/>
  <c r="V4390" i="1"/>
  <c r="U4390" i="1"/>
  <c r="T4390" i="1"/>
  <c r="S4390" i="1"/>
  <c r="W4389" i="1"/>
  <c r="V4389" i="1"/>
  <c r="U4389" i="1"/>
  <c r="T4389" i="1"/>
  <c r="S4389" i="1"/>
  <c r="W4388" i="1"/>
  <c r="V4388" i="1"/>
  <c r="U4388" i="1"/>
  <c r="T4388" i="1"/>
  <c r="S4388" i="1"/>
  <c r="W4387" i="1"/>
  <c r="V4387" i="1"/>
  <c r="U4387" i="1"/>
  <c r="T4387" i="1"/>
  <c r="S4387" i="1"/>
  <c r="W4386" i="1"/>
  <c r="V4386" i="1"/>
  <c r="U4386" i="1"/>
  <c r="T4386" i="1"/>
  <c r="S4386" i="1"/>
  <c r="W4385" i="1"/>
  <c r="V4385" i="1"/>
  <c r="U4385" i="1"/>
  <c r="T4385" i="1"/>
  <c r="S4385" i="1"/>
  <c r="W4384" i="1"/>
  <c r="V4384" i="1"/>
  <c r="U4384" i="1"/>
  <c r="T4384" i="1"/>
  <c r="S4384" i="1"/>
  <c r="W4383" i="1"/>
  <c r="V4383" i="1"/>
  <c r="U4383" i="1"/>
  <c r="T4383" i="1"/>
  <c r="S4383" i="1"/>
  <c r="W4382" i="1"/>
  <c r="V4382" i="1"/>
  <c r="U4382" i="1"/>
  <c r="T4382" i="1"/>
  <c r="S4382" i="1"/>
  <c r="W4381" i="1"/>
  <c r="V4381" i="1"/>
  <c r="U4381" i="1"/>
  <c r="T4381" i="1"/>
  <c r="S4381" i="1"/>
  <c r="W4380" i="1"/>
  <c r="V4380" i="1"/>
  <c r="U4380" i="1"/>
  <c r="T4380" i="1"/>
  <c r="S4380" i="1"/>
  <c r="W4379" i="1"/>
  <c r="V4379" i="1"/>
  <c r="U4379" i="1"/>
  <c r="T4379" i="1"/>
  <c r="S4379" i="1"/>
  <c r="W4378" i="1"/>
  <c r="V4378" i="1"/>
  <c r="U4378" i="1"/>
  <c r="T4378" i="1"/>
  <c r="S4378" i="1"/>
  <c r="W4377" i="1"/>
  <c r="V4377" i="1"/>
  <c r="U4377" i="1"/>
  <c r="T4377" i="1"/>
  <c r="S4377" i="1"/>
  <c r="W4376" i="1"/>
  <c r="V4376" i="1"/>
  <c r="U4376" i="1"/>
  <c r="T4376" i="1"/>
  <c r="S4376" i="1"/>
  <c r="W4375" i="1"/>
  <c r="V4375" i="1"/>
  <c r="U4375" i="1"/>
  <c r="T4375" i="1"/>
  <c r="S4375" i="1"/>
  <c r="W4374" i="1"/>
  <c r="V4374" i="1"/>
  <c r="U4374" i="1"/>
  <c r="T4374" i="1"/>
  <c r="S4374" i="1"/>
  <c r="W4373" i="1"/>
  <c r="V4373" i="1"/>
  <c r="U4373" i="1"/>
  <c r="T4373" i="1"/>
  <c r="S4373" i="1"/>
  <c r="W4372" i="1"/>
  <c r="V4372" i="1"/>
  <c r="U4372" i="1"/>
  <c r="T4372" i="1"/>
  <c r="S4372" i="1"/>
  <c r="W4371" i="1"/>
  <c r="V4371" i="1"/>
  <c r="U4371" i="1"/>
  <c r="T4371" i="1"/>
  <c r="S4371" i="1"/>
  <c r="W4370" i="1"/>
  <c r="V4370" i="1"/>
  <c r="U4370" i="1"/>
  <c r="T4370" i="1"/>
  <c r="S4370" i="1"/>
  <c r="W4369" i="1"/>
  <c r="V4369" i="1"/>
  <c r="U4369" i="1"/>
  <c r="T4369" i="1"/>
  <c r="S4369" i="1"/>
  <c r="W4368" i="1"/>
  <c r="V4368" i="1"/>
  <c r="U4368" i="1"/>
  <c r="T4368" i="1"/>
  <c r="S4368" i="1"/>
  <c r="W4367" i="1"/>
  <c r="V4367" i="1"/>
  <c r="U4367" i="1"/>
  <c r="T4367" i="1"/>
  <c r="S4367" i="1"/>
  <c r="W4366" i="1"/>
  <c r="V4366" i="1"/>
  <c r="U4366" i="1"/>
  <c r="T4366" i="1"/>
  <c r="S4366" i="1"/>
  <c r="W4365" i="1"/>
  <c r="V4365" i="1"/>
  <c r="U4365" i="1"/>
  <c r="T4365" i="1"/>
  <c r="S4365" i="1"/>
  <c r="W4364" i="1"/>
  <c r="V4364" i="1"/>
  <c r="U4364" i="1"/>
  <c r="T4364" i="1"/>
  <c r="S4364" i="1"/>
  <c r="W4363" i="1"/>
  <c r="V4363" i="1"/>
  <c r="U4363" i="1"/>
  <c r="T4363" i="1"/>
  <c r="S4363" i="1"/>
  <c r="W4362" i="1"/>
  <c r="V4362" i="1"/>
  <c r="U4362" i="1"/>
  <c r="T4362" i="1"/>
  <c r="S4362" i="1"/>
  <c r="W4361" i="1"/>
  <c r="V4361" i="1"/>
  <c r="U4361" i="1"/>
  <c r="T4361" i="1"/>
  <c r="S4361" i="1"/>
  <c r="W4360" i="1"/>
  <c r="V4360" i="1"/>
  <c r="U4360" i="1"/>
  <c r="T4360" i="1"/>
  <c r="S4360" i="1"/>
  <c r="W4359" i="1"/>
  <c r="V4359" i="1"/>
  <c r="U4359" i="1"/>
  <c r="T4359" i="1"/>
  <c r="S4359" i="1"/>
  <c r="W4358" i="1"/>
  <c r="V4358" i="1"/>
  <c r="U4358" i="1"/>
  <c r="T4358" i="1"/>
  <c r="S4358" i="1"/>
  <c r="W4357" i="1"/>
  <c r="V4357" i="1"/>
  <c r="U4357" i="1"/>
  <c r="T4357" i="1"/>
  <c r="S4357" i="1"/>
  <c r="W4356" i="1"/>
  <c r="V4356" i="1"/>
  <c r="U4356" i="1"/>
  <c r="T4356" i="1"/>
  <c r="S4356" i="1"/>
  <c r="W4355" i="1"/>
  <c r="V4355" i="1"/>
  <c r="U4355" i="1"/>
  <c r="T4355" i="1"/>
  <c r="S4355" i="1"/>
  <c r="W4354" i="1"/>
  <c r="V4354" i="1"/>
  <c r="U4354" i="1"/>
  <c r="T4354" i="1"/>
  <c r="S4354" i="1"/>
  <c r="W4353" i="1"/>
  <c r="V4353" i="1"/>
  <c r="U4353" i="1"/>
  <c r="T4353" i="1"/>
  <c r="S4353" i="1"/>
  <c r="W4352" i="1"/>
  <c r="V4352" i="1"/>
  <c r="U4352" i="1"/>
  <c r="T4352" i="1"/>
  <c r="S4352" i="1"/>
  <c r="W4351" i="1"/>
  <c r="V4351" i="1"/>
  <c r="U4351" i="1"/>
  <c r="T4351" i="1"/>
  <c r="S4351" i="1"/>
  <c r="W4350" i="1"/>
  <c r="V4350" i="1"/>
  <c r="U4350" i="1"/>
  <c r="T4350" i="1"/>
  <c r="S4350" i="1"/>
  <c r="W4349" i="1"/>
  <c r="V4349" i="1"/>
  <c r="U4349" i="1"/>
  <c r="T4349" i="1"/>
  <c r="S4349" i="1"/>
  <c r="W4348" i="1"/>
  <c r="V4348" i="1"/>
  <c r="U4348" i="1"/>
  <c r="T4348" i="1"/>
  <c r="S4348" i="1"/>
  <c r="W4347" i="1"/>
  <c r="V4347" i="1"/>
  <c r="U4347" i="1"/>
  <c r="T4347" i="1"/>
  <c r="S4347" i="1"/>
  <c r="W4346" i="1"/>
  <c r="V4346" i="1"/>
  <c r="U4346" i="1"/>
  <c r="T4346" i="1"/>
  <c r="S4346" i="1"/>
  <c r="W4345" i="1"/>
  <c r="V4345" i="1"/>
  <c r="U4345" i="1"/>
  <c r="T4345" i="1"/>
  <c r="S4345" i="1"/>
  <c r="W4344" i="1"/>
  <c r="V4344" i="1"/>
  <c r="U4344" i="1"/>
  <c r="T4344" i="1"/>
  <c r="S4344" i="1"/>
  <c r="W4343" i="1"/>
  <c r="V4343" i="1"/>
  <c r="U4343" i="1"/>
  <c r="T4343" i="1"/>
  <c r="S4343" i="1"/>
  <c r="W4342" i="1"/>
  <c r="V4342" i="1"/>
  <c r="U4342" i="1"/>
  <c r="T4342" i="1"/>
  <c r="S4342" i="1"/>
  <c r="W4341" i="1"/>
  <c r="V4341" i="1"/>
  <c r="U4341" i="1"/>
  <c r="T4341" i="1"/>
  <c r="S4341" i="1"/>
  <c r="W4340" i="1"/>
  <c r="V4340" i="1"/>
  <c r="U4340" i="1"/>
  <c r="T4340" i="1"/>
  <c r="S4340" i="1"/>
  <c r="W4339" i="1"/>
  <c r="V4339" i="1"/>
  <c r="U4339" i="1"/>
  <c r="T4339" i="1"/>
  <c r="S4339" i="1"/>
  <c r="W4338" i="1"/>
  <c r="V4338" i="1"/>
  <c r="U4338" i="1"/>
  <c r="T4338" i="1"/>
  <c r="S4338" i="1"/>
  <c r="W4337" i="1"/>
  <c r="V4337" i="1"/>
  <c r="U4337" i="1"/>
  <c r="T4337" i="1"/>
  <c r="S4337" i="1"/>
  <c r="W4336" i="1"/>
  <c r="V4336" i="1"/>
  <c r="U4336" i="1"/>
  <c r="T4336" i="1"/>
  <c r="S4336" i="1"/>
  <c r="W4335" i="1"/>
  <c r="V4335" i="1"/>
  <c r="U4335" i="1"/>
  <c r="T4335" i="1"/>
  <c r="S4335" i="1"/>
  <c r="W4334" i="1"/>
  <c r="V4334" i="1"/>
  <c r="U4334" i="1"/>
  <c r="T4334" i="1"/>
  <c r="S4334" i="1"/>
  <c r="W4333" i="1"/>
  <c r="V4333" i="1"/>
  <c r="U4333" i="1"/>
  <c r="T4333" i="1"/>
  <c r="S4333" i="1"/>
  <c r="W4332" i="1"/>
  <c r="V4332" i="1"/>
  <c r="U4332" i="1"/>
  <c r="T4332" i="1"/>
  <c r="S4332" i="1"/>
  <c r="W4331" i="1"/>
  <c r="V4331" i="1"/>
  <c r="U4331" i="1"/>
  <c r="T4331" i="1"/>
  <c r="S4331" i="1"/>
  <c r="W4330" i="1"/>
  <c r="V4330" i="1"/>
  <c r="U4330" i="1"/>
  <c r="T4330" i="1"/>
  <c r="S4330" i="1"/>
  <c r="W4329" i="1"/>
  <c r="V4329" i="1"/>
  <c r="U4329" i="1"/>
  <c r="T4329" i="1"/>
  <c r="S4329" i="1"/>
  <c r="W4328" i="1"/>
  <c r="V4328" i="1"/>
  <c r="U4328" i="1"/>
  <c r="T4328" i="1"/>
  <c r="S4328" i="1"/>
  <c r="W4327" i="1"/>
  <c r="V4327" i="1"/>
  <c r="U4327" i="1"/>
  <c r="T4327" i="1"/>
  <c r="S4327" i="1"/>
  <c r="W4326" i="1"/>
  <c r="V4326" i="1"/>
  <c r="U4326" i="1"/>
  <c r="T4326" i="1"/>
  <c r="S4326" i="1"/>
  <c r="W4325" i="1"/>
  <c r="V4325" i="1"/>
  <c r="U4325" i="1"/>
  <c r="T4325" i="1"/>
  <c r="S4325" i="1"/>
  <c r="W4324" i="1"/>
  <c r="V4324" i="1"/>
  <c r="U4324" i="1"/>
  <c r="T4324" i="1"/>
  <c r="S4324" i="1"/>
  <c r="W4323" i="1"/>
  <c r="V4323" i="1"/>
  <c r="U4323" i="1"/>
  <c r="T4323" i="1"/>
  <c r="S4323" i="1"/>
  <c r="W4322" i="1"/>
  <c r="V4322" i="1"/>
  <c r="U4322" i="1"/>
  <c r="T4322" i="1"/>
  <c r="S4322" i="1"/>
  <c r="W4321" i="1"/>
  <c r="V4321" i="1"/>
  <c r="U4321" i="1"/>
  <c r="T4321" i="1"/>
  <c r="S4321" i="1"/>
  <c r="W4320" i="1"/>
  <c r="V4320" i="1"/>
  <c r="U4320" i="1"/>
  <c r="T4320" i="1"/>
  <c r="S4320" i="1"/>
  <c r="W4319" i="1"/>
  <c r="V4319" i="1"/>
  <c r="U4319" i="1"/>
  <c r="T4319" i="1"/>
  <c r="S4319" i="1"/>
  <c r="W4318" i="1"/>
  <c r="V4318" i="1"/>
  <c r="U4318" i="1"/>
  <c r="T4318" i="1"/>
  <c r="S4318" i="1"/>
  <c r="W4317" i="1"/>
  <c r="V4317" i="1"/>
  <c r="U4317" i="1"/>
  <c r="T4317" i="1"/>
  <c r="S4317" i="1"/>
  <c r="W4316" i="1"/>
  <c r="V4316" i="1"/>
  <c r="U4316" i="1"/>
  <c r="T4316" i="1"/>
  <c r="S4316" i="1"/>
  <c r="W4315" i="1"/>
  <c r="V4315" i="1"/>
  <c r="U4315" i="1"/>
  <c r="T4315" i="1"/>
  <c r="S4315" i="1"/>
  <c r="W4314" i="1"/>
  <c r="V4314" i="1"/>
  <c r="U4314" i="1"/>
  <c r="T4314" i="1"/>
  <c r="S4314" i="1"/>
  <c r="W4313" i="1"/>
  <c r="V4313" i="1"/>
  <c r="U4313" i="1"/>
  <c r="T4313" i="1"/>
  <c r="S4313" i="1"/>
  <c r="W4312" i="1"/>
  <c r="V4312" i="1"/>
  <c r="U4312" i="1"/>
  <c r="T4312" i="1"/>
  <c r="S4312" i="1"/>
  <c r="W4311" i="1"/>
  <c r="V4311" i="1"/>
  <c r="U4311" i="1"/>
  <c r="T4311" i="1"/>
  <c r="S4311" i="1"/>
  <c r="W4310" i="1"/>
  <c r="V4310" i="1"/>
  <c r="U4310" i="1"/>
  <c r="T4310" i="1"/>
  <c r="S4310" i="1"/>
  <c r="W4309" i="1"/>
  <c r="V4309" i="1"/>
  <c r="U4309" i="1"/>
  <c r="T4309" i="1"/>
  <c r="S4309" i="1"/>
  <c r="W4308" i="1"/>
  <c r="V4308" i="1"/>
  <c r="U4308" i="1"/>
  <c r="T4308" i="1"/>
  <c r="S4308" i="1"/>
  <c r="W4307" i="1"/>
  <c r="V4307" i="1"/>
  <c r="U4307" i="1"/>
  <c r="T4307" i="1"/>
  <c r="S4307" i="1"/>
  <c r="W4306" i="1"/>
  <c r="V4306" i="1"/>
  <c r="U4306" i="1"/>
  <c r="T4306" i="1"/>
  <c r="S4306" i="1"/>
  <c r="W4305" i="1"/>
  <c r="V4305" i="1"/>
  <c r="U4305" i="1"/>
  <c r="T4305" i="1"/>
  <c r="S4305" i="1"/>
  <c r="W4304" i="1"/>
  <c r="V4304" i="1"/>
  <c r="U4304" i="1"/>
  <c r="T4304" i="1"/>
  <c r="S4304" i="1"/>
  <c r="W4303" i="1"/>
  <c r="V4303" i="1"/>
  <c r="U4303" i="1"/>
  <c r="T4303" i="1"/>
  <c r="S4303" i="1"/>
  <c r="W4302" i="1"/>
  <c r="V4302" i="1"/>
  <c r="U4302" i="1"/>
  <c r="T4302" i="1"/>
  <c r="S4302" i="1"/>
  <c r="W4301" i="1"/>
  <c r="V4301" i="1"/>
  <c r="U4301" i="1"/>
  <c r="T4301" i="1"/>
  <c r="S4301" i="1"/>
  <c r="W4300" i="1"/>
  <c r="V4300" i="1"/>
  <c r="U4300" i="1"/>
  <c r="T4300" i="1"/>
  <c r="S4300" i="1"/>
  <c r="W4299" i="1"/>
  <c r="V4299" i="1"/>
  <c r="U4299" i="1"/>
  <c r="T4299" i="1"/>
  <c r="S4299" i="1"/>
  <c r="W4298" i="1"/>
  <c r="V4298" i="1"/>
  <c r="U4298" i="1"/>
  <c r="T4298" i="1"/>
  <c r="S4298" i="1"/>
  <c r="W4297" i="1"/>
  <c r="V4297" i="1"/>
  <c r="U4297" i="1"/>
  <c r="T4297" i="1"/>
  <c r="S4297" i="1"/>
  <c r="W4296" i="1"/>
  <c r="V4296" i="1"/>
  <c r="U4296" i="1"/>
  <c r="T4296" i="1"/>
  <c r="S4296" i="1"/>
  <c r="W4295" i="1"/>
  <c r="V4295" i="1"/>
  <c r="U4295" i="1"/>
  <c r="T4295" i="1"/>
  <c r="S4295" i="1"/>
  <c r="W4294" i="1"/>
  <c r="V4294" i="1"/>
  <c r="U4294" i="1"/>
  <c r="T4294" i="1"/>
  <c r="S4294" i="1"/>
  <c r="W4293" i="1"/>
  <c r="V4293" i="1"/>
  <c r="U4293" i="1"/>
  <c r="T4293" i="1"/>
  <c r="S4293" i="1"/>
  <c r="W4292" i="1"/>
  <c r="V4292" i="1"/>
  <c r="U4292" i="1"/>
  <c r="T4292" i="1"/>
  <c r="S4292" i="1"/>
  <c r="W4291" i="1"/>
  <c r="V4291" i="1"/>
  <c r="U4291" i="1"/>
  <c r="T4291" i="1"/>
  <c r="S4291" i="1"/>
  <c r="W4290" i="1"/>
  <c r="V4290" i="1"/>
  <c r="U4290" i="1"/>
  <c r="T4290" i="1"/>
  <c r="S4290" i="1"/>
  <c r="W4289" i="1"/>
  <c r="V4289" i="1"/>
  <c r="U4289" i="1"/>
  <c r="T4289" i="1"/>
  <c r="S4289" i="1"/>
  <c r="W4288" i="1"/>
  <c r="V4288" i="1"/>
  <c r="U4288" i="1"/>
  <c r="T4288" i="1"/>
  <c r="S4288" i="1"/>
  <c r="W4287" i="1"/>
  <c r="V4287" i="1"/>
  <c r="U4287" i="1"/>
  <c r="T4287" i="1"/>
  <c r="S4287" i="1"/>
  <c r="W4286" i="1"/>
  <c r="V4286" i="1"/>
  <c r="U4286" i="1"/>
  <c r="T4286" i="1"/>
  <c r="S4286" i="1"/>
  <c r="W4285" i="1"/>
  <c r="V4285" i="1"/>
  <c r="U4285" i="1"/>
  <c r="T4285" i="1"/>
  <c r="S4285" i="1"/>
  <c r="W4284" i="1"/>
  <c r="V4284" i="1"/>
  <c r="U4284" i="1"/>
  <c r="T4284" i="1"/>
  <c r="S4284" i="1"/>
  <c r="W4283" i="1"/>
  <c r="V4283" i="1"/>
  <c r="U4283" i="1"/>
  <c r="T4283" i="1"/>
  <c r="S4283" i="1"/>
  <c r="W4282" i="1"/>
  <c r="V4282" i="1"/>
  <c r="U4282" i="1"/>
  <c r="T4282" i="1"/>
  <c r="S4282" i="1"/>
  <c r="W4281" i="1"/>
  <c r="V4281" i="1"/>
  <c r="U4281" i="1"/>
  <c r="T4281" i="1"/>
  <c r="S4281" i="1"/>
  <c r="W4280" i="1"/>
  <c r="V4280" i="1"/>
  <c r="U4280" i="1"/>
  <c r="T4280" i="1"/>
  <c r="S4280" i="1"/>
  <c r="W4279" i="1"/>
  <c r="V4279" i="1"/>
  <c r="U4279" i="1"/>
  <c r="T4279" i="1"/>
  <c r="S4279" i="1"/>
  <c r="W4278" i="1"/>
  <c r="V4278" i="1"/>
  <c r="U4278" i="1"/>
  <c r="T4278" i="1"/>
  <c r="S4278" i="1"/>
  <c r="W4277" i="1"/>
  <c r="V4277" i="1"/>
  <c r="U4277" i="1"/>
  <c r="T4277" i="1"/>
  <c r="S4277" i="1"/>
  <c r="W4276" i="1"/>
  <c r="V4276" i="1"/>
  <c r="U4276" i="1"/>
  <c r="T4276" i="1"/>
  <c r="S4276" i="1"/>
  <c r="W4275" i="1"/>
  <c r="V4275" i="1"/>
  <c r="U4275" i="1"/>
  <c r="T4275" i="1"/>
  <c r="S4275" i="1"/>
  <c r="W4274" i="1"/>
  <c r="V4274" i="1"/>
  <c r="U4274" i="1"/>
  <c r="T4274" i="1"/>
  <c r="S4274" i="1"/>
  <c r="W4273" i="1"/>
  <c r="V4273" i="1"/>
  <c r="U4273" i="1"/>
  <c r="T4273" i="1"/>
  <c r="S4273" i="1"/>
  <c r="W4272" i="1"/>
  <c r="V4272" i="1"/>
  <c r="U4272" i="1"/>
  <c r="T4272" i="1"/>
  <c r="S4272" i="1"/>
  <c r="W4271" i="1"/>
  <c r="V4271" i="1"/>
  <c r="U4271" i="1"/>
  <c r="T4271" i="1"/>
  <c r="S4271" i="1"/>
  <c r="W4270" i="1"/>
  <c r="V4270" i="1"/>
  <c r="U4270" i="1"/>
  <c r="T4270" i="1"/>
  <c r="S4270" i="1"/>
  <c r="W4269" i="1"/>
  <c r="V4269" i="1"/>
  <c r="U4269" i="1"/>
  <c r="T4269" i="1"/>
  <c r="S4269" i="1"/>
  <c r="W4268" i="1"/>
  <c r="V4268" i="1"/>
  <c r="U4268" i="1"/>
  <c r="T4268" i="1"/>
  <c r="S4268" i="1"/>
  <c r="W4267" i="1"/>
  <c r="V4267" i="1"/>
  <c r="U4267" i="1"/>
  <c r="T4267" i="1"/>
  <c r="S4267" i="1"/>
  <c r="W4266" i="1"/>
  <c r="V4266" i="1"/>
  <c r="U4266" i="1"/>
  <c r="T4266" i="1"/>
  <c r="S4266" i="1"/>
  <c r="W4265" i="1"/>
  <c r="V4265" i="1"/>
  <c r="U4265" i="1"/>
  <c r="T4265" i="1"/>
  <c r="S4265" i="1"/>
  <c r="W4264" i="1"/>
  <c r="V4264" i="1"/>
  <c r="U4264" i="1"/>
  <c r="T4264" i="1"/>
  <c r="S4264" i="1"/>
  <c r="W4263" i="1"/>
  <c r="V4263" i="1"/>
  <c r="U4263" i="1"/>
  <c r="T4263" i="1"/>
  <c r="S4263" i="1"/>
  <c r="W4262" i="1"/>
  <c r="V4262" i="1"/>
  <c r="U4262" i="1"/>
  <c r="T4262" i="1"/>
  <c r="S4262" i="1"/>
  <c r="W4261" i="1"/>
  <c r="V4261" i="1"/>
  <c r="U4261" i="1"/>
  <c r="T4261" i="1"/>
  <c r="S4261" i="1"/>
  <c r="W4260" i="1"/>
  <c r="V4260" i="1"/>
  <c r="U4260" i="1"/>
  <c r="T4260" i="1"/>
  <c r="S4260" i="1"/>
  <c r="W4259" i="1"/>
  <c r="V4259" i="1"/>
  <c r="U4259" i="1"/>
  <c r="T4259" i="1"/>
  <c r="S4259" i="1"/>
  <c r="W4258" i="1"/>
  <c r="V4258" i="1"/>
  <c r="U4258" i="1"/>
  <c r="T4258" i="1"/>
  <c r="S4258" i="1"/>
  <c r="W4257" i="1"/>
  <c r="V4257" i="1"/>
  <c r="U4257" i="1"/>
  <c r="T4257" i="1"/>
  <c r="S4257" i="1"/>
  <c r="W4256" i="1"/>
  <c r="V4256" i="1"/>
  <c r="U4256" i="1"/>
  <c r="T4256" i="1"/>
  <c r="S4256" i="1"/>
  <c r="W4255" i="1"/>
  <c r="V4255" i="1"/>
  <c r="U4255" i="1"/>
  <c r="T4255" i="1"/>
  <c r="S4255" i="1"/>
  <c r="W4254" i="1"/>
  <c r="V4254" i="1"/>
  <c r="U4254" i="1"/>
  <c r="T4254" i="1"/>
  <c r="S4254" i="1"/>
  <c r="W4253" i="1"/>
  <c r="V4253" i="1"/>
  <c r="U4253" i="1"/>
  <c r="T4253" i="1"/>
  <c r="S4253" i="1"/>
  <c r="W4252" i="1"/>
  <c r="V4252" i="1"/>
  <c r="U4252" i="1"/>
  <c r="T4252" i="1"/>
  <c r="S4252" i="1"/>
  <c r="W4251" i="1"/>
  <c r="V4251" i="1"/>
  <c r="U4251" i="1"/>
  <c r="T4251" i="1"/>
  <c r="S4251" i="1"/>
  <c r="W4250" i="1"/>
  <c r="V4250" i="1"/>
  <c r="U4250" i="1"/>
  <c r="T4250" i="1"/>
  <c r="S4250" i="1"/>
  <c r="W4249" i="1"/>
  <c r="V4249" i="1"/>
  <c r="U4249" i="1"/>
  <c r="T4249" i="1"/>
  <c r="S4249" i="1"/>
  <c r="W4248" i="1"/>
  <c r="V4248" i="1"/>
  <c r="U4248" i="1"/>
  <c r="T4248" i="1"/>
  <c r="S4248" i="1"/>
  <c r="W4247" i="1"/>
  <c r="V4247" i="1"/>
  <c r="U4247" i="1"/>
  <c r="T4247" i="1"/>
  <c r="S4247" i="1"/>
  <c r="W4246" i="1"/>
  <c r="V4246" i="1"/>
  <c r="U4246" i="1"/>
  <c r="T4246" i="1"/>
  <c r="S4246" i="1"/>
  <c r="W4245" i="1"/>
  <c r="V4245" i="1"/>
  <c r="U4245" i="1"/>
  <c r="T4245" i="1"/>
  <c r="S4245" i="1"/>
  <c r="W4244" i="1"/>
  <c r="V4244" i="1"/>
  <c r="U4244" i="1"/>
  <c r="T4244" i="1"/>
  <c r="S4244" i="1"/>
  <c r="W4243" i="1"/>
  <c r="V4243" i="1"/>
  <c r="U4243" i="1"/>
  <c r="T4243" i="1"/>
  <c r="S4243" i="1"/>
  <c r="W4242" i="1"/>
  <c r="V4242" i="1"/>
  <c r="U4242" i="1"/>
  <c r="T4242" i="1"/>
  <c r="S4242" i="1"/>
  <c r="W4241" i="1"/>
  <c r="V4241" i="1"/>
  <c r="U4241" i="1"/>
  <c r="T4241" i="1"/>
  <c r="S4241" i="1"/>
  <c r="W4240" i="1"/>
  <c r="V4240" i="1"/>
  <c r="U4240" i="1"/>
  <c r="T4240" i="1"/>
  <c r="S4240" i="1"/>
  <c r="W4239" i="1"/>
  <c r="V4239" i="1"/>
  <c r="U4239" i="1"/>
  <c r="T4239" i="1"/>
  <c r="S4239" i="1"/>
  <c r="W4238" i="1"/>
  <c r="V4238" i="1"/>
  <c r="U4238" i="1"/>
  <c r="T4238" i="1"/>
  <c r="S4238" i="1"/>
  <c r="W4237" i="1"/>
  <c r="V4237" i="1"/>
  <c r="U4237" i="1"/>
  <c r="T4237" i="1"/>
  <c r="S4237" i="1"/>
  <c r="W4236" i="1"/>
  <c r="V4236" i="1"/>
  <c r="U4236" i="1"/>
  <c r="T4236" i="1"/>
  <c r="S4236" i="1"/>
  <c r="W4235" i="1"/>
  <c r="V4235" i="1"/>
  <c r="U4235" i="1"/>
  <c r="T4235" i="1"/>
  <c r="S4235" i="1"/>
  <c r="W4234" i="1"/>
  <c r="V4234" i="1"/>
  <c r="U4234" i="1"/>
  <c r="T4234" i="1"/>
  <c r="S4234" i="1"/>
  <c r="W4233" i="1"/>
  <c r="V4233" i="1"/>
  <c r="U4233" i="1"/>
  <c r="T4233" i="1"/>
  <c r="S4233" i="1"/>
  <c r="W4232" i="1"/>
  <c r="V4232" i="1"/>
  <c r="U4232" i="1"/>
  <c r="T4232" i="1"/>
  <c r="S4232" i="1"/>
  <c r="W4231" i="1"/>
  <c r="V4231" i="1"/>
  <c r="U4231" i="1"/>
  <c r="T4231" i="1"/>
  <c r="S4231" i="1"/>
  <c r="W4230" i="1"/>
  <c r="V4230" i="1"/>
  <c r="U4230" i="1"/>
  <c r="T4230" i="1"/>
  <c r="S4230" i="1"/>
  <c r="W4229" i="1"/>
  <c r="V4229" i="1"/>
  <c r="U4229" i="1"/>
  <c r="T4229" i="1"/>
  <c r="S4229" i="1"/>
  <c r="W4228" i="1"/>
  <c r="V4228" i="1"/>
  <c r="U4228" i="1"/>
  <c r="T4228" i="1"/>
  <c r="S4228" i="1"/>
  <c r="W4227" i="1"/>
  <c r="V4227" i="1"/>
  <c r="U4227" i="1"/>
  <c r="T4227" i="1"/>
  <c r="S4227" i="1"/>
  <c r="W4226" i="1"/>
  <c r="V4226" i="1"/>
  <c r="U4226" i="1"/>
  <c r="T4226" i="1"/>
  <c r="S4226" i="1"/>
  <c r="W4225" i="1"/>
  <c r="V4225" i="1"/>
  <c r="U4225" i="1"/>
  <c r="T4225" i="1"/>
  <c r="S4225" i="1"/>
  <c r="W4224" i="1"/>
  <c r="V4224" i="1"/>
  <c r="U4224" i="1"/>
  <c r="T4224" i="1"/>
  <c r="S4224" i="1"/>
  <c r="W4223" i="1"/>
  <c r="V4223" i="1"/>
  <c r="U4223" i="1"/>
  <c r="T4223" i="1"/>
  <c r="S4223" i="1"/>
  <c r="W4222" i="1"/>
  <c r="V4222" i="1"/>
  <c r="U4222" i="1"/>
  <c r="T4222" i="1"/>
  <c r="S4222" i="1"/>
  <c r="W4221" i="1"/>
  <c r="V4221" i="1"/>
  <c r="U4221" i="1"/>
  <c r="T4221" i="1"/>
  <c r="S4221" i="1"/>
  <c r="W4220" i="1"/>
  <c r="V4220" i="1"/>
  <c r="U4220" i="1"/>
  <c r="T4220" i="1"/>
  <c r="S4220" i="1"/>
  <c r="W4219" i="1"/>
  <c r="V4219" i="1"/>
  <c r="U4219" i="1"/>
  <c r="T4219" i="1"/>
  <c r="S4219" i="1"/>
  <c r="W4218" i="1"/>
  <c r="V4218" i="1"/>
  <c r="U4218" i="1"/>
  <c r="T4218" i="1"/>
  <c r="S4218" i="1"/>
  <c r="W4217" i="1"/>
  <c r="V4217" i="1"/>
  <c r="U4217" i="1"/>
  <c r="T4217" i="1"/>
  <c r="S4217" i="1"/>
  <c r="W4216" i="1"/>
  <c r="V4216" i="1"/>
  <c r="U4216" i="1"/>
  <c r="T4216" i="1"/>
  <c r="S4216" i="1"/>
  <c r="W4215" i="1"/>
  <c r="V4215" i="1"/>
  <c r="U4215" i="1"/>
  <c r="T4215" i="1"/>
  <c r="S4215" i="1"/>
  <c r="W4214" i="1"/>
  <c r="V4214" i="1"/>
  <c r="U4214" i="1"/>
  <c r="T4214" i="1"/>
  <c r="S4214" i="1"/>
  <c r="W4213" i="1"/>
  <c r="V4213" i="1"/>
  <c r="U4213" i="1"/>
  <c r="T4213" i="1"/>
  <c r="S4213" i="1"/>
  <c r="W4212" i="1"/>
  <c r="V4212" i="1"/>
  <c r="U4212" i="1"/>
  <c r="T4212" i="1"/>
  <c r="S4212" i="1"/>
  <c r="W4211" i="1"/>
  <c r="V4211" i="1"/>
  <c r="U4211" i="1"/>
  <c r="T4211" i="1"/>
  <c r="S4211" i="1"/>
  <c r="W4210" i="1"/>
  <c r="V4210" i="1"/>
  <c r="U4210" i="1"/>
  <c r="T4210" i="1"/>
  <c r="S4210" i="1"/>
  <c r="W4209" i="1"/>
  <c r="V4209" i="1"/>
  <c r="U4209" i="1"/>
  <c r="T4209" i="1"/>
  <c r="S4209" i="1"/>
  <c r="W4208" i="1"/>
  <c r="V4208" i="1"/>
  <c r="U4208" i="1"/>
  <c r="T4208" i="1"/>
  <c r="S4208" i="1"/>
  <c r="W4207" i="1"/>
  <c r="V4207" i="1"/>
  <c r="U4207" i="1"/>
  <c r="T4207" i="1"/>
  <c r="S4207" i="1"/>
  <c r="W4206" i="1"/>
  <c r="V4206" i="1"/>
  <c r="U4206" i="1"/>
  <c r="T4206" i="1"/>
  <c r="S4206" i="1"/>
  <c r="W4205" i="1"/>
  <c r="V4205" i="1"/>
  <c r="U4205" i="1"/>
  <c r="T4205" i="1"/>
  <c r="S4205" i="1"/>
  <c r="W4204" i="1"/>
  <c r="V4204" i="1"/>
  <c r="U4204" i="1"/>
  <c r="T4204" i="1"/>
  <c r="S4204" i="1"/>
  <c r="W4203" i="1"/>
  <c r="V4203" i="1"/>
  <c r="U4203" i="1"/>
  <c r="T4203" i="1"/>
  <c r="S4203" i="1"/>
  <c r="W4202" i="1"/>
  <c r="V4202" i="1"/>
  <c r="U4202" i="1"/>
  <c r="T4202" i="1"/>
  <c r="S4202" i="1"/>
  <c r="W4201" i="1"/>
  <c r="V4201" i="1"/>
  <c r="U4201" i="1"/>
  <c r="T4201" i="1"/>
  <c r="S4201" i="1"/>
  <c r="W4200" i="1"/>
  <c r="V4200" i="1"/>
  <c r="U4200" i="1"/>
  <c r="T4200" i="1"/>
  <c r="S4200" i="1"/>
  <c r="W4199" i="1"/>
  <c r="V4199" i="1"/>
  <c r="U4199" i="1"/>
  <c r="T4199" i="1"/>
  <c r="S4199" i="1"/>
  <c r="W4198" i="1"/>
  <c r="V4198" i="1"/>
  <c r="U4198" i="1"/>
  <c r="T4198" i="1"/>
  <c r="S4198" i="1"/>
  <c r="W4197" i="1"/>
  <c r="V4197" i="1"/>
  <c r="U4197" i="1"/>
  <c r="T4197" i="1"/>
  <c r="S4197" i="1"/>
  <c r="W4196" i="1"/>
  <c r="V4196" i="1"/>
  <c r="U4196" i="1"/>
  <c r="T4196" i="1"/>
  <c r="S4196" i="1"/>
  <c r="W4195" i="1"/>
  <c r="V4195" i="1"/>
  <c r="U4195" i="1"/>
  <c r="T4195" i="1"/>
  <c r="S4195" i="1"/>
  <c r="W4194" i="1"/>
  <c r="V4194" i="1"/>
  <c r="U4194" i="1"/>
  <c r="T4194" i="1"/>
  <c r="S4194" i="1"/>
  <c r="W4193" i="1"/>
  <c r="V4193" i="1"/>
  <c r="U4193" i="1"/>
  <c r="T4193" i="1"/>
  <c r="S4193" i="1"/>
  <c r="W4192" i="1"/>
  <c r="V4192" i="1"/>
  <c r="U4192" i="1"/>
  <c r="T4192" i="1"/>
  <c r="S4192" i="1"/>
  <c r="W4191" i="1"/>
  <c r="V4191" i="1"/>
  <c r="U4191" i="1"/>
  <c r="T4191" i="1"/>
  <c r="S4191" i="1"/>
  <c r="W4190" i="1"/>
  <c r="V4190" i="1"/>
  <c r="U4190" i="1"/>
  <c r="T4190" i="1"/>
  <c r="S4190" i="1"/>
  <c r="W4189" i="1"/>
  <c r="V4189" i="1"/>
  <c r="U4189" i="1"/>
  <c r="T4189" i="1"/>
  <c r="S4189" i="1"/>
  <c r="W4188" i="1"/>
  <c r="V4188" i="1"/>
  <c r="U4188" i="1"/>
  <c r="T4188" i="1"/>
  <c r="S4188" i="1"/>
  <c r="W4187" i="1"/>
  <c r="V4187" i="1"/>
  <c r="U4187" i="1"/>
  <c r="T4187" i="1"/>
  <c r="S4187" i="1"/>
  <c r="W4186" i="1"/>
  <c r="V4186" i="1"/>
  <c r="U4186" i="1"/>
  <c r="T4186" i="1"/>
  <c r="S4186" i="1"/>
  <c r="W4185" i="1"/>
  <c r="V4185" i="1"/>
  <c r="U4185" i="1"/>
  <c r="T4185" i="1"/>
  <c r="S4185" i="1"/>
  <c r="W4184" i="1"/>
  <c r="V4184" i="1"/>
  <c r="U4184" i="1"/>
  <c r="T4184" i="1"/>
  <c r="S4184" i="1"/>
  <c r="W4183" i="1"/>
  <c r="V4183" i="1"/>
  <c r="U4183" i="1"/>
  <c r="T4183" i="1"/>
  <c r="S4183" i="1"/>
  <c r="W4182" i="1"/>
  <c r="V4182" i="1"/>
  <c r="U4182" i="1"/>
  <c r="T4182" i="1"/>
  <c r="S4182" i="1"/>
  <c r="W4181" i="1"/>
  <c r="V4181" i="1"/>
  <c r="U4181" i="1"/>
  <c r="T4181" i="1"/>
  <c r="S4181" i="1"/>
  <c r="W4180" i="1"/>
  <c r="V4180" i="1"/>
  <c r="U4180" i="1"/>
  <c r="T4180" i="1"/>
  <c r="S4180" i="1"/>
  <c r="W4179" i="1"/>
  <c r="V4179" i="1"/>
  <c r="U4179" i="1"/>
  <c r="T4179" i="1"/>
  <c r="S4179" i="1"/>
  <c r="W4178" i="1"/>
  <c r="V4178" i="1"/>
  <c r="U4178" i="1"/>
  <c r="T4178" i="1"/>
  <c r="S4178" i="1"/>
  <c r="W4177" i="1"/>
  <c r="V4177" i="1"/>
  <c r="U4177" i="1"/>
  <c r="T4177" i="1"/>
  <c r="S4177" i="1"/>
  <c r="W4176" i="1"/>
  <c r="V4176" i="1"/>
  <c r="U4176" i="1"/>
  <c r="T4176" i="1"/>
  <c r="S4176" i="1"/>
  <c r="W4175" i="1"/>
  <c r="V4175" i="1"/>
  <c r="U4175" i="1"/>
  <c r="T4175" i="1"/>
  <c r="S4175" i="1"/>
  <c r="W4174" i="1"/>
  <c r="V4174" i="1"/>
  <c r="U4174" i="1"/>
  <c r="T4174" i="1"/>
  <c r="S4174" i="1"/>
  <c r="W4173" i="1"/>
  <c r="V4173" i="1"/>
  <c r="U4173" i="1"/>
  <c r="T4173" i="1"/>
  <c r="S4173" i="1"/>
  <c r="W4172" i="1"/>
  <c r="V4172" i="1"/>
  <c r="U4172" i="1"/>
  <c r="T4172" i="1"/>
  <c r="S4172" i="1"/>
  <c r="W4171" i="1"/>
  <c r="V4171" i="1"/>
  <c r="U4171" i="1"/>
  <c r="T4171" i="1"/>
  <c r="S4171" i="1"/>
  <c r="W4170" i="1"/>
  <c r="V4170" i="1"/>
  <c r="U4170" i="1"/>
  <c r="T4170" i="1"/>
  <c r="S4170" i="1"/>
  <c r="W4169" i="1"/>
  <c r="V4169" i="1"/>
  <c r="U4169" i="1"/>
  <c r="T4169" i="1"/>
  <c r="S4169" i="1"/>
  <c r="W4168" i="1"/>
  <c r="V4168" i="1"/>
  <c r="U4168" i="1"/>
  <c r="T4168" i="1"/>
  <c r="S4168" i="1"/>
  <c r="W4167" i="1"/>
  <c r="V4167" i="1"/>
  <c r="U4167" i="1"/>
  <c r="T4167" i="1"/>
  <c r="S4167" i="1"/>
  <c r="W4166" i="1"/>
  <c r="V4166" i="1"/>
  <c r="U4166" i="1"/>
  <c r="T4166" i="1"/>
  <c r="S4166" i="1"/>
  <c r="W4165" i="1"/>
  <c r="V4165" i="1"/>
  <c r="U4165" i="1"/>
  <c r="T4165" i="1"/>
  <c r="S4165" i="1"/>
  <c r="W4164" i="1"/>
  <c r="V4164" i="1"/>
  <c r="U4164" i="1"/>
  <c r="T4164" i="1"/>
  <c r="S4164" i="1"/>
  <c r="W4163" i="1"/>
  <c r="V4163" i="1"/>
  <c r="U4163" i="1"/>
  <c r="T4163" i="1"/>
  <c r="S4163" i="1"/>
  <c r="W4162" i="1"/>
  <c r="V4162" i="1"/>
  <c r="U4162" i="1"/>
  <c r="T4162" i="1"/>
  <c r="S4162" i="1"/>
  <c r="W4161" i="1"/>
  <c r="V4161" i="1"/>
  <c r="U4161" i="1"/>
  <c r="T4161" i="1"/>
  <c r="S4161" i="1"/>
  <c r="W4160" i="1"/>
  <c r="V4160" i="1"/>
  <c r="U4160" i="1"/>
  <c r="T4160" i="1"/>
  <c r="S4160" i="1"/>
  <c r="W4159" i="1"/>
  <c r="V4159" i="1"/>
  <c r="U4159" i="1"/>
  <c r="T4159" i="1"/>
  <c r="S4159" i="1"/>
  <c r="W4158" i="1"/>
  <c r="V4158" i="1"/>
  <c r="U4158" i="1"/>
  <c r="T4158" i="1"/>
  <c r="S4158" i="1"/>
  <c r="W4157" i="1"/>
  <c r="V4157" i="1"/>
  <c r="U4157" i="1"/>
  <c r="T4157" i="1"/>
  <c r="S4157" i="1"/>
  <c r="W4156" i="1"/>
  <c r="V4156" i="1"/>
  <c r="U4156" i="1"/>
  <c r="T4156" i="1"/>
  <c r="S4156" i="1"/>
  <c r="W4155" i="1"/>
  <c r="V4155" i="1"/>
  <c r="U4155" i="1"/>
  <c r="T4155" i="1"/>
  <c r="S4155" i="1"/>
  <c r="W4154" i="1"/>
  <c r="V4154" i="1"/>
  <c r="U4154" i="1"/>
  <c r="T4154" i="1"/>
  <c r="S4154" i="1"/>
  <c r="W4153" i="1"/>
  <c r="V4153" i="1"/>
  <c r="U4153" i="1"/>
  <c r="T4153" i="1"/>
  <c r="S4153" i="1"/>
  <c r="W4152" i="1"/>
  <c r="V4152" i="1"/>
  <c r="U4152" i="1"/>
  <c r="T4152" i="1"/>
  <c r="S4152" i="1"/>
  <c r="W4151" i="1"/>
  <c r="V4151" i="1"/>
  <c r="U4151" i="1"/>
  <c r="T4151" i="1"/>
  <c r="S4151" i="1"/>
  <c r="W4150" i="1"/>
  <c r="V4150" i="1"/>
  <c r="U4150" i="1"/>
  <c r="T4150" i="1"/>
  <c r="S4150" i="1"/>
  <c r="W4149" i="1"/>
  <c r="V4149" i="1"/>
  <c r="U4149" i="1"/>
  <c r="T4149" i="1"/>
  <c r="S4149" i="1"/>
  <c r="W4148" i="1"/>
  <c r="V4148" i="1"/>
  <c r="U4148" i="1"/>
  <c r="T4148" i="1"/>
  <c r="S4148" i="1"/>
  <c r="W4147" i="1"/>
  <c r="V4147" i="1"/>
  <c r="U4147" i="1"/>
  <c r="T4147" i="1"/>
  <c r="S4147" i="1"/>
  <c r="W4146" i="1"/>
  <c r="V4146" i="1"/>
  <c r="U4146" i="1"/>
  <c r="T4146" i="1"/>
  <c r="S4146" i="1"/>
  <c r="W4145" i="1"/>
  <c r="V4145" i="1"/>
  <c r="U4145" i="1"/>
  <c r="T4145" i="1"/>
  <c r="S4145" i="1"/>
  <c r="W4144" i="1"/>
  <c r="V4144" i="1"/>
  <c r="U4144" i="1"/>
  <c r="T4144" i="1"/>
  <c r="S4144" i="1"/>
  <c r="W4143" i="1"/>
  <c r="V4143" i="1"/>
  <c r="U4143" i="1"/>
  <c r="T4143" i="1"/>
  <c r="S4143" i="1"/>
  <c r="W4142" i="1"/>
  <c r="V4142" i="1"/>
  <c r="U4142" i="1"/>
  <c r="T4142" i="1"/>
  <c r="S4142" i="1"/>
  <c r="W4141" i="1"/>
  <c r="V4141" i="1"/>
  <c r="U4141" i="1"/>
  <c r="T4141" i="1"/>
  <c r="S4141" i="1"/>
  <c r="W4140" i="1"/>
  <c r="V4140" i="1"/>
  <c r="U4140" i="1"/>
  <c r="T4140" i="1"/>
  <c r="S4140" i="1"/>
  <c r="W4139" i="1"/>
  <c r="V4139" i="1"/>
  <c r="U4139" i="1"/>
  <c r="T4139" i="1"/>
  <c r="S4139" i="1"/>
  <c r="W4138" i="1"/>
  <c r="V4138" i="1"/>
  <c r="U4138" i="1"/>
  <c r="T4138" i="1"/>
  <c r="S4138" i="1"/>
  <c r="W4137" i="1"/>
  <c r="V4137" i="1"/>
  <c r="U4137" i="1"/>
  <c r="T4137" i="1"/>
  <c r="S4137" i="1"/>
  <c r="W4136" i="1"/>
  <c r="V4136" i="1"/>
  <c r="U4136" i="1"/>
  <c r="T4136" i="1"/>
  <c r="S4136" i="1"/>
  <c r="W4135" i="1"/>
  <c r="V4135" i="1"/>
  <c r="U4135" i="1"/>
  <c r="T4135" i="1"/>
  <c r="S4135" i="1"/>
  <c r="W4134" i="1"/>
  <c r="V4134" i="1"/>
  <c r="U4134" i="1"/>
  <c r="T4134" i="1"/>
  <c r="S4134" i="1"/>
  <c r="W4133" i="1"/>
  <c r="V4133" i="1"/>
  <c r="U4133" i="1"/>
  <c r="T4133" i="1"/>
  <c r="S4133" i="1"/>
  <c r="W4132" i="1"/>
  <c r="V4132" i="1"/>
  <c r="U4132" i="1"/>
  <c r="T4132" i="1"/>
  <c r="S4132" i="1"/>
  <c r="W4131" i="1"/>
  <c r="V4131" i="1"/>
  <c r="U4131" i="1"/>
  <c r="T4131" i="1"/>
  <c r="S4131" i="1"/>
  <c r="W4130" i="1"/>
  <c r="V4130" i="1"/>
  <c r="U4130" i="1"/>
  <c r="T4130" i="1"/>
  <c r="S4130" i="1"/>
  <c r="W4129" i="1"/>
  <c r="V4129" i="1"/>
  <c r="U4129" i="1"/>
  <c r="T4129" i="1"/>
  <c r="S4129" i="1"/>
  <c r="W4128" i="1"/>
  <c r="V4128" i="1"/>
  <c r="U4128" i="1"/>
  <c r="T4128" i="1"/>
  <c r="S4128" i="1"/>
  <c r="W4127" i="1"/>
  <c r="V4127" i="1"/>
  <c r="U4127" i="1"/>
  <c r="T4127" i="1"/>
  <c r="S4127" i="1"/>
  <c r="W4126" i="1"/>
  <c r="V4126" i="1"/>
  <c r="U4126" i="1"/>
  <c r="T4126" i="1"/>
  <c r="S4126" i="1"/>
  <c r="W4125" i="1"/>
  <c r="V4125" i="1"/>
  <c r="U4125" i="1"/>
  <c r="T4125" i="1"/>
  <c r="S4125" i="1"/>
  <c r="W4124" i="1"/>
  <c r="V4124" i="1"/>
  <c r="U4124" i="1"/>
  <c r="T4124" i="1"/>
  <c r="S4124" i="1"/>
  <c r="W4123" i="1"/>
  <c r="V4123" i="1"/>
  <c r="U4123" i="1"/>
  <c r="T4123" i="1"/>
  <c r="S4123" i="1"/>
  <c r="W4122" i="1"/>
  <c r="V4122" i="1"/>
  <c r="U4122" i="1"/>
  <c r="T4122" i="1"/>
  <c r="S4122" i="1"/>
  <c r="W4121" i="1"/>
  <c r="V4121" i="1"/>
  <c r="U4121" i="1"/>
  <c r="T4121" i="1"/>
  <c r="S4121" i="1"/>
  <c r="W4120" i="1"/>
  <c r="V4120" i="1"/>
  <c r="U4120" i="1"/>
  <c r="T4120" i="1"/>
  <c r="S4120" i="1"/>
  <c r="W4119" i="1"/>
  <c r="V4119" i="1"/>
  <c r="U4119" i="1"/>
  <c r="T4119" i="1"/>
  <c r="S4119" i="1"/>
  <c r="W4118" i="1"/>
  <c r="V4118" i="1"/>
  <c r="U4118" i="1"/>
  <c r="T4118" i="1"/>
  <c r="S4118" i="1"/>
  <c r="W4117" i="1"/>
  <c r="V4117" i="1"/>
  <c r="U4117" i="1"/>
  <c r="T4117" i="1"/>
  <c r="S4117" i="1"/>
  <c r="W4116" i="1"/>
  <c r="V4116" i="1"/>
  <c r="U4116" i="1"/>
  <c r="T4116" i="1"/>
  <c r="S4116" i="1"/>
  <c r="W4115" i="1"/>
  <c r="V4115" i="1"/>
  <c r="U4115" i="1"/>
  <c r="T4115" i="1"/>
  <c r="S4115" i="1"/>
  <c r="W4114" i="1"/>
  <c r="V4114" i="1"/>
  <c r="U4114" i="1"/>
  <c r="T4114" i="1"/>
  <c r="S4114" i="1"/>
  <c r="W4113" i="1"/>
  <c r="V4113" i="1"/>
  <c r="U4113" i="1"/>
  <c r="T4113" i="1"/>
  <c r="S4113" i="1"/>
  <c r="W4112" i="1"/>
  <c r="V4112" i="1"/>
  <c r="U4112" i="1"/>
  <c r="T4112" i="1"/>
  <c r="S4112" i="1"/>
  <c r="W4111" i="1"/>
  <c r="V4111" i="1"/>
  <c r="U4111" i="1"/>
  <c r="T4111" i="1"/>
  <c r="S4111" i="1"/>
  <c r="W4110" i="1"/>
  <c r="V4110" i="1"/>
  <c r="U4110" i="1"/>
  <c r="T4110" i="1"/>
  <c r="S4110" i="1"/>
  <c r="W4109" i="1"/>
  <c r="V4109" i="1"/>
  <c r="U4109" i="1"/>
  <c r="T4109" i="1"/>
  <c r="S4109" i="1"/>
  <c r="W4108" i="1"/>
  <c r="V4108" i="1"/>
  <c r="U4108" i="1"/>
  <c r="T4108" i="1"/>
  <c r="S4108" i="1"/>
  <c r="W4107" i="1"/>
  <c r="V4107" i="1"/>
  <c r="U4107" i="1"/>
  <c r="T4107" i="1"/>
  <c r="S4107" i="1"/>
  <c r="W4106" i="1"/>
  <c r="V4106" i="1"/>
  <c r="U4106" i="1"/>
  <c r="T4106" i="1"/>
  <c r="S4106" i="1"/>
  <c r="W4105" i="1"/>
  <c r="V4105" i="1"/>
  <c r="U4105" i="1"/>
  <c r="T4105" i="1"/>
  <c r="S4105" i="1"/>
  <c r="W4104" i="1"/>
  <c r="V4104" i="1"/>
  <c r="U4104" i="1"/>
  <c r="T4104" i="1"/>
  <c r="S4104" i="1"/>
  <c r="W4103" i="1"/>
  <c r="V4103" i="1"/>
  <c r="U4103" i="1"/>
  <c r="T4103" i="1"/>
  <c r="S4103" i="1"/>
  <c r="W4102" i="1"/>
  <c r="V4102" i="1"/>
  <c r="U4102" i="1"/>
  <c r="T4102" i="1"/>
  <c r="S4102" i="1"/>
  <c r="W4101" i="1"/>
  <c r="V4101" i="1"/>
  <c r="U4101" i="1"/>
  <c r="T4101" i="1"/>
  <c r="S4101" i="1"/>
  <c r="W4100" i="1"/>
  <c r="V4100" i="1"/>
  <c r="U4100" i="1"/>
  <c r="T4100" i="1"/>
  <c r="S4100" i="1"/>
  <c r="W4099" i="1"/>
  <c r="V4099" i="1"/>
  <c r="U4099" i="1"/>
  <c r="T4099" i="1"/>
  <c r="S4099" i="1"/>
  <c r="W4098" i="1"/>
  <c r="V4098" i="1"/>
  <c r="U4098" i="1"/>
  <c r="T4098" i="1"/>
  <c r="S4098" i="1"/>
  <c r="W4097" i="1"/>
  <c r="V4097" i="1"/>
  <c r="U4097" i="1"/>
  <c r="T4097" i="1"/>
  <c r="S4097" i="1"/>
  <c r="W4096" i="1"/>
  <c r="V4096" i="1"/>
  <c r="U4096" i="1"/>
  <c r="T4096" i="1"/>
  <c r="S4096" i="1"/>
  <c r="W4095" i="1"/>
  <c r="V4095" i="1"/>
  <c r="U4095" i="1"/>
  <c r="T4095" i="1"/>
  <c r="S4095" i="1"/>
  <c r="W4094" i="1"/>
  <c r="V4094" i="1"/>
  <c r="U4094" i="1"/>
  <c r="T4094" i="1"/>
  <c r="S4094" i="1"/>
  <c r="W4093" i="1"/>
  <c r="V4093" i="1"/>
  <c r="U4093" i="1"/>
  <c r="T4093" i="1"/>
  <c r="S4093" i="1"/>
  <c r="W4092" i="1"/>
  <c r="V4092" i="1"/>
  <c r="U4092" i="1"/>
  <c r="T4092" i="1"/>
  <c r="S4092" i="1"/>
  <c r="W4091" i="1"/>
  <c r="V4091" i="1"/>
  <c r="U4091" i="1"/>
  <c r="T4091" i="1"/>
  <c r="S4091" i="1"/>
  <c r="W4090" i="1"/>
  <c r="V4090" i="1"/>
  <c r="U4090" i="1"/>
  <c r="T4090" i="1"/>
  <c r="S4090" i="1"/>
  <c r="W4089" i="1"/>
  <c r="V4089" i="1"/>
  <c r="U4089" i="1"/>
  <c r="T4089" i="1"/>
  <c r="S4089" i="1"/>
  <c r="W4088" i="1"/>
  <c r="V4088" i="1"/>
  <c r="U4088" i="1"/>
  <c r="T4088" i="1"/>
  <c r="S4088" i="1"/>
  <c r="W4087" i="1"/>
  <c r="V4087" i="1"/>
  <c r="U4087" i="1"/>
  <c r="T4087" i="1"/>
  <c r="S4087" i="1"/>
  <c r="W4086" i="1"/>
  <c r="V4086" i="1"/>
  <c r="U4086" i="1"/>
  <c r="T4086" i="1"/>
  <c r="S4086" i="1"/>
  <c r="W4085" i="1"/>
  <c r="V4085" i="1"/>
  <c r="U4085" i="1"/>
  <c r="T4085" i="1"/>
  <c r="S4085" i="1"/>
  <c r="W4084" i="1"/>
  <c r="V4084" i="1"/>
  <c r="U4084" i="1"/>
  <c r="T4084" i="1"/>
  <c r="S4084" i="1"/>
  <c r="W4083" i="1"/>
  <c r="V4083" i="1"/>
  <c r="U4083" i="1"/>
  <c r="T4083" i="1"/>
  <c r="S4083" i="1"/>
  <c r="W4082" i="1"/>
  <c r="V4082" i="1"/>
  <c r="U4082" i="1"/>
  <c r="T4082" i="1"/>
  <c r="S4082" i="1"/>
  <c r="W4081" i="1"/>
  <c r="V4081" i="1"/>
  <c r="U4081" i="1"/>
  <c r="T4081" i="1"/>
  <c r="S4081" i="1"/>
  <c r="W4080" i="1"/>
  <c r="V4080" i="1"/>
  <c r="U4080" i="1"/>
  <c r="T4080" i="1"/>
  <c r="S4080" i="1"/>
  <c r="W4079" i="1"/>
  <c r="V4079" i="1"/>
  <c r="U4079" i="1"/>
  <c r="T4079" i="1"/>
  <c r="S4079" i="1"/>
  <c r="W4078" i="1"/>
  <c r="V4078" i="1"/>
  <c r="U4078" i="1"/>
  <c r="T4078" i="1"/>
  <c r="S4078" i="1"/>
  <c r="W4077" i="1"/>
  <c r="V4077" i="1"/>
  <c r="U4077" i="1"/>
  <c r="T4077" i="1"/>
  <c r="S4077" i="1"/>
  <c r="W4076" i="1"/>
  <c r="V4076" i="1"/>
  <c r="U4076" i="1"/>
  <c r="T4076" i="1"/>
  <c r="S4076" i="1"/>
  <c r="W4075" i="1"/>
  <c r="V4075" i="1"/>
  <c r="U4075" i="1"/>
  <c r="T4075" i="1"/>
  <c r="S4075" i="1"/>
  <c r="W4074" i="1"/>
  <c r="V4074" i="1"/>
  <c r="U4074" i="1"/>
  <c r="T4074" i="1"/>
  <c r="S4074" i="1"/>
  <c r="W4073" i="1"/>
  <c r="V4073" i="1"/>
  <c r="U4073" i="1"/>
  <c r="T4073" i="1"/>
  <c r="S4073" i="1"/>
  <c r="W4072" i="1"/>
  <c r="V4072" i="1"/>
  <c r="U4072" i="1"/>
  <c r="T4072" i="1"/>
  <c r="S4072" i="1"/>
  <c r="W4071" i="1"/>
  <c r="V4071" i="1"/>
  <c r="U4071" i="1"/>
  <c r="T4071" i="1"/>
  <c r="S4071" i="1"/>
  <c r="W4070" i="1"/>
  <c r="V4070" i="1"/>
  <c r="U4070" i="1"/>
  <c r="T4070" i="1"/>
  <c r="S4070" i="1"/>
  <c r="W4069" i="1"/>
  <c r="V4069" i="1"/>
  <c r="U4069" i="1"/>
  <c r="T4069" i="1"/>
  <c r="S4069" i="1"/>
  <c r="W4068" i="1"/>
  <c r="V4068" i="1"/>
  <c r="U4068" i="1"/>
  <c r="T4068" i="1"/>
  <c r="S4068" i="1"/>
  <c r="W4067" i="1"/>
  <c r="V4067" i="1"/>
  <c r="U4067" i="1"/>
  <c r="T4067" i="1"/>
  <c r="S4067" i="1"/>
  <c r="W4066" i="1"/>
  <c r="V4066" i="1"/>
  <c r="U4066" i="1"/>
  <c r="T4066" i="1"/>
  <c r="S4066" i="1"/>
  <c r="W4065" i="1"/>
  <c r="V4065" i="1"/>
  <c r="U4065" i="1"/>
  <c r="T4065" i="1"/>
  <c r="S4065" i="1"/>
  <c r="W4064" i="1"/>
  <c r="V4064" i="1"/>
  <c r="U4064" i="1"/>
  <c r="T4064" i="1"/>
  <c r="S4064" i="1"/>
  <c r="W4063" i="1"/>
  <c r="V4063" i="1"/>
  <c r="U4063" i="1"/>
  <c r="T4063" i="1"/>
  <c r="S4063" i="1"/>
  <c r="W4062" i="1"/>
  <c r="V4062" i="1"/>
  <c r="U4062" i="1"/>
  <c r="T4062" i="1"/>
  <c r="S4062" i="1"/>
  <c r="W4061" i="1"/>
  <c r="V4061" i="1"/>
  <c r="U4061" i="1"/>
  <c r="T4061" i="1"/>
  <c r="S4061" i="1"/>
  <c r="W4060" i="1"/>
  <c r="V4060" i="1"/>
  <c r="U4060" i="1"/>
  <c r="T4060" i="1"/>
  <c r="S4060" i="1"/>
  <c r="W4059" i="1"/>
  <c r="V4059" i="1"/>
  <c r="U4059" i="1"/>
  <c r="T4059" i="1"/>
  <c r="S4059" i="1"/>
  <c r="W4058" i="1"/>
  <c r="V4058" i="1"/>
  <c r="U4058" i="1"/>
  <c r="T4058" i="1"/>
  <c r="S4058" i="1"/>
  <c r="W4057" i="1"/>
  <c r="V4057" i="1"/>
  <c r="U4057" i="1"/>
  <c r="T4057" i="1"/>
  <c r="S4057" i="1"/>
  <c r="W4056" i="1"/>
  <c r="V4056" i="1"/>
  <c r="U4056" i="1"/>
  <c r="T4056" i="1"/>
  <c r="S4056" i="1"/>
  <c r="W4055" i="1"/>
  <c r="V4055" i="1"/>
  <c r="U4055" i="1"/>
  <c r="T4055" i="1"/>
  <c r="S4055" i="1"/>
  <c r="W4054" i="1"/>
  <c r="V4054" i="1"/>
  <c r="U4054" i="1"/>
  <c r="T4054" i="1"/>
  <c r="S4054" i="1"/>
  <c r="W4053" i="1"/>
  <c r="V4053" i="1"/>
  <c r="U4053" i="1"/>
  <c r="T4053" i="1"/>
  <c r="S4053" i="1"/>
  <c r="W4052" i="1"/>
  <c r="V4052" i="1"/>
  <c r="U4052" i="1"/>
  <c r="T4052" i="1"/>
  <c r="S4052" i="1"/>
  <c r="W4051" i="1"/>
  <c r="V4051" i="1"/>
  <c r="U4051" i="1"/>
  <c r="T4051" i="1"/>
  <c r="S4051" i="1"/>
  <c r="W4050" i="1"/>
  <c r="V4050" i="1"/>
  <c r="U4050" i="1"/>
  <c r="T4050" i="1"/>
  <c r="S4050" i="1"/>
  <c r="W4049" i="1"/>
  <c r="V4049" i="1"/>
  <c r="U4049" i="1"/>
  <c r="T4049" i="1"/>
  <c r="S4049" i="1"/>
  <c r="W4048" i="1"/>
  <c r="V4048" i="1"/>
  <c r="U4048" i="1"/>
  <c r="T4048" i="1"/>
  <c r="S4048" i="1"/>
  <c r="W4047" i="1"/>
  <c r="V4047" i="1"/>
  <c r="U4047" i="1"/>
  <c r="T4047" i="1"/>
  <c r="S4047" i="1"/>
  <c r="W4046" i="1"/>
  <c r="V4046" i="1"/>
  <c r="U4046" i="1"/>
  <c r="T4046" i="1"/>
  <c r="S4046" i="1"/>
  <c r="W4045" i="1"/>
  <c r="V4045" i="1"/>
  <c r="U4045" i="1"/>
  <c r="T4045" i="1"/>
  <c r="S4045" i="1"/>
  <c r="W4044" i="1"/>
  <c r="V4044" i="1"/>
  <c r="U4044" i="1"/>
  <c r="T4044" i="1"/>
  <c r="S4044" i="1"/>
  <c r="W4043" i="1"/>
  <c r="V4043" i="1"/>
  <c r="U4043" i="1"/>
  <c r="T4043" i="1"/>
  <c r="S4043" i="1"/>
  <c r="W4042" i="1"/>
  <c r="V4042" i="1"/>
  <c r="U4042" i="1"/>
  <c r="T4042" i="1"/>
  <c r="S4042" i="1"/>
  <c r="W4041" i="1"/>
  <c r="V4041" i="1"/>
  <c r="U4041" i="1"/>
  <c r="T4041" i="1"/>
  <c r="S4041" i="1"/>
  <c r="W4040" i="1"/>
  <c r="V4040" i="1"/>
  <c r="U4040" i="1"/>
  <c r="T4040" i="1"/>
  <c r="S4040" i="1"/>
  <c r="W4039" i="1"/>
  <c r="V4039" i="1"/>
  <c r="U4039" i="1"/>
  <c r="T4039" i="1"/>
  <c r="S4039" i="1"/>
  <c r="W4038" i="1"/>
  <c r="V4038" i="1"/>
  <c r="U4038" i="1"/>
  <c r="T4038" i="1"/>
  <c r="S4038" i="1"/>
  <c r="W4037" i="1"/>
  <c r="V4037" i="1"/>
  <c r="U4037" i="1"/>
  <c r="T4037" i="1"/>
  <c r="S4037" i="1"/>
  <c r="W4036" i="1"/>
  <c r="V4036" i="1"/>
  <c r="U4036" i="1"/>
  <c r="T4036" i="1"/>
  <c r="S4036" i="1"/>
  <c r="W4035" i="1"/>
  <c r="V4035" i="1"/>
  <c r="U4035" i="1"/>
  <c r="T4035" i="1"/>
  <c r="S4035" i="1"/>
  <c r="W4034" i="1"/>
  <c r="V4034" i="1"/>
  <c r="U4034" i="1"/>
  <c r="T4034" i="1"/>
  <c r="S4034" i="1"/>
  <c r="W4033" i="1"/>
  <c r="V4033" i="1"/>
  <c r="U4033" i="1"/>
  <c r="T4033" i="1"/>
  <c r="S4033" i="1"/>
  <c r="W4032" i="1"/>
  <c r="V4032" i="1"/>
  <c r="U4032" i="1"/>
  <c r="T4032" i="1"/>
  <c r="S4032" i="1"/>
  <c r="W4031" i="1"/>
  <c r="V4031" i="1"/>
  <c r="U4031" i="1"/>
  <c r="T4031" i="1"/>
  <c r="S4031" i="1"/>
  <c r="W4030" i="1"/>
  <c r="V4030" i="1"/>
  <c r="U4030" i="1"/>
  <c r="T4030" i="1"/>
  <c r="S4030" i="1"/>
  <c r="W4029" i="1"/>
  <c r="V4029" i="1"/>
  <c r="U4029" i="1"/>
  <c r="T4029" i="1"/>
  <c r="S4029" i="1"/>
  <c r="W4028" i="1"/>
  <c r="V4028" i="1"/>
  <c r="U4028" i="1"/>
  <c r="T4028" i="1"/>
  <c r="S4028" i="1"/>
  <c r="W4027" i="1"/>
  <c r="V4027" i="1"/>
  <c r="U4027" i="1"/>
  <c r="T4027" i="1"/>
  <c r="S4027" i="1"/>
  <c r="W4026" i="1"/>
  <c r="V4026" i="1"/>
  <c r="U4026" i="1"/>
  <c r="T4026" i="1"/>
  <c r="S4026" i="1"/>
  <c r="W4025" i="1"/>
  <c r="V4025" i="1"/>
  <c r="U4025" i="1"/>
  <c r="T4025" i="1"/>
  <c r="S4025" i="1"/>
  <c r="W4024" i="1"/>
  <c r="V4024" i="1"/>
  <c r="U4024" i="1"/>
  <c r="T4024" i="1"/>
  <c r="S4024" i="1"/>
  <c r="W4023" i="1"/>
  <c r="V4023" i="1"/>
  <c r="U4023" i="1"/>
  <c r="T4023" i="1"/>
  <c r="S4023" i="1"/>
  <c r="W4022" i="1"/>
  <c r="V4022" i="1"/>
  <c r="U4022" i="1"/>
  <c r="T4022" i="1"/>
  <c r="S4022" i="1"/>
  <c r="W4021" i="1"/>
  <c r="V4021" i="1"/>
  <c r="U4021" i="1"/>
  <c r="T4021" i="1"/>
  <c r="S4021" i="1"/>
  <c r="W4020" i="1"/>
  <c r="V4020" i="1"/>
  <c r="U4020" i="1"/>
  <c r="T4020" i="1"/>
  <c r="S4020" i="1"/>
  <c r="W4019" i="1"/>
  <c r="V4019" i="1"/>
  <c r="U4019" i="1"/>
  <c r="T4019" i="1"/>
  <c r="S4019" i="1"/>
  <c r="W4018" i="1"/>
  <c r="V4018" i="1"/>
  <c r="U4018" i="1"/>
  <c r="T4018" i="1"/>
  <c r="S4018" i="1"/>
  <c r="W4017" i="1"/>
  <c r="V4017" i="1"/>
  <c r="U4017" i="1"/>
  <c r="T4017" i="1"/>
  <c r="S4017" i="1"/>
  <c r="W4016" i="1"/>
  <c r="V4016" i="1"/>
  <c r="U4016" i="1"/>
  <c r="T4016" i="1"/>
  <c r="S4016" i="1"/>
  <c r="W4015" i="1"/>
  <c r="V4015" i="1"/>
  <c r="U4015" i="1"/>
  <c r="T4015" i="1"/>
  <c r="S4015" i="1"/>
  <c r="W4014" i="1"/>
  <c r="V4014" i="1"/>
  <c r="U4014" i="1"/>
  <c r="T4014" i="1"/>
  <c r="S4014" i="1"/>
  <c r="W4013" i="1"/>
  <c r="V4013" i="1"/>
  <c r="U4013" i="1"/>
  <c r="T4013" i="1"/>
  <c r="S4013" i="1"/>
  <c r="W4012" i="1"/>
  <c r="V4012" i="1"/>
  <c r="U4012" i="1"/>
  <c r="T4012" i="1"/>
  <c r="S4012" i="1"/>
  <c r="W4011" i="1"/>
  <c r="V4011" i="1"/>
  <c r="U4011" i="1"/>
  <c r="T4011" i="1"/>
  <c r="S4011" i="1"/>
  <c r="W4010" i="1"/>
  <c r="V4010" i="1"/>
  <c r="U4010" i="1"/>
  <c r="T4010" i="1"/>
  <c r="S4010" i="1"/>
  <c r="W4009" i="1"/>
  <c r="V4009" i="1"/>
  <c r="U4009" i="1"/>
  <c r="T4009" i="1"/>
  <c r="S4009" i="1"/>
  <c r="W4008" i="1"/>
  <c r="V4008" i="1"/>
  <c r="U4008" i="1"/>
  <c r="T4008" i="1"/>
  <c r="S4008" i="1"/>
  <c r="W4007" i="1"/>
  <c r="V4007" i="1"/>
  <c r="U4007" i="1"/>
  <c r="T4007" i="1"/>
  <c r="S4007" i="1"/>
  <c r="W4006" i="1"/>
  <c r="V4006" i="1"/>
  <c r="U4006" i="1"/>
  <c r="T4006" i="1"/>
  <c r="S4006" i="1"/>
  <c r="W4005" i="1"/>
  <c r="V4005" i="1"/>
  <c r="U4005" i="1"/>
  <c r="T4005" i="1"/>
  <c r="S4005" i="1"/>
  <c r="W4004" i="1"/>
  <c r="V4004" i="1"/>
  <c r="U4004" i="1"/>
  <c r="T4004" i="1"/>
  <c r="S4004" i="1"/>
  <c r="W4003" i="1"/>
  <c r="V4003" i="1"/>
  <c r="U4003" i="1"/>
  <c r="T4003" i="1"/>
  <c r="S4003" i="1"/>
  <c r="W4002" i="1"/>
  <c r="V4002" i="1"/>
  <c r="U4002" i="1"/>
  <c r="T4002" i="1"/>
  <c r="S4002" i="1"/>
  <c r="W4001" i="1"/>
  <c r="V4001" i="1"/>
  <c r="U4001" i="1"/>
  <c r="T4001" i="1"/>
  <c r="S4001" i="1"/>
  <c r="W4000" i="1"/>
  <c r="V4000" i="1"/>
  <c r="U4000" i="1"/>
  <c r="T4000" i="1"/>
  <c r="S4000" i="1"/>
  <c r="W3999" i="1"/>
  <c r="V3999" i="1"/>
  <c r="U3999" i="1"/>
  <c r="T3999" i="1"/>
  <c r="S3999" i="1"/>
  <c r="W3998" i="1"/>
  <c r="V3998" i="1"/>
  <c r="U3998" i="1"/>
  <c r="T3998" i="1"/>
  <c r="S3998" i="1"/>
  <c r="W3997" i="1"/>
  <c r="V3997" i="1"/>
  <c r="U3997" i="1"/>
  <c r="T3997" i="1"/>
  <c r="S3997" i="1"/>
  <c r="W3996" i="1"/>
  <c r="V3996" i="1"/>
  <c r="U3996" i="1"/>
  <c r="T3996" i="1"/>
  <c r="S3996" i="1"/>
  <c r="W3995" i="1"/>
  <c r="V3995" i="1"/>
  <c r="U3995" i="1"/>
  <c r="T3995" i="1"/>
  <c r="S3995" i="1"/>
  <c r="W3994" i="1"/>
  <c r="V3994" i="1"/>
  <c r="U3994" i="1"/>
  <c r="T3994" i="1"/>
  <c r="S3994" i="1"/>
  <c r="W3993" i="1"/>
  <c r="V3993" i="1"/>
  <c r="U3993" i="1"/>
  <c r="T3993" i="1"/>
  <c r="S3993" i="1"/>
  <c r="W3992" i="1"/>
  <c r="V3992" i="1"/>
  <c r="U3992" i="1"/>
  <c r="T3992" i="1"/>
  <c r="S3992" i="1"/>
  <c r="W3991" i="1"/>
  <c r="V3991" i="1"/>
  <c r="U3991" i="1"/>
  <c r="T3991" i="1"/>
  <c r="S3991" i="1"/>
  <c r="W3990" i="1"/>
  <c r="V3990" i="1"/>
  <c r="U3990" i="1"/>
  <c r="T3990" i="1"/>
  <c r="S3990" i="1"/>
  <c r="W3989" i="1"/>
  <c r="V3989" i="1"/>
  <c r="U3989" i="1"/>
  <c r="T3989" i="1"/>
  <c r="S3989" i="1"/>
  <c r="W3988" i="1"/>
  <c r="V3988" i="1"/>
  <c r="U3988" i="1"/>
  <c r="T3988" i="1"/>
  <c r="S3988" i="1"/>
  <c r="W3987" i="1"/>
  <c r="V3987" i="1"/>
  <c r="U3987" i="1"/>
  <c r="T3987" i="1"/>
  <c r="S3987" i="1"/>
  <c r="W3986" i="1"/>
  <c r="V3986" i="1"/>
  <c r="U3986" i="1"/>
  <c r="T3986" i="1"/>
  <c r="S3986" i="1"/>
  <c r="W3985" i="1"/>
  <c r="V3985" i="1"/>
  <c r="U3985" i="1"/>
  <c r="T3985" i="1"/>
  <c r="S3985" i="1"/>
  <c r="W3984" i="1"/>
  <c r="V3984" i="1"/>
  <c r="U3984" i="1"/>
  <c r="T3984" i="1"/>
  <c r="S3984" i="1"/>
  <c r="W3983" i="1"/>
  <c r="V3983" i="1"/>
  <c r="U3983" i="1"/>
  <c r="T3983" i="1"/>
  <c r="S3983" i="1"/>
  <c r="W3982" i="1"/>
  <c r="V3982" i="1"/>
  <c r="U3982" i="1"/>
  <c r="T3982" i="1"/>
  <c r="S3982" i="1"/>
  <c r="W3981" i="1"/>
  <c r="V3981" i="1"/>
  <c r="U3981" i="1"/>
  <c r="T3981" i="1"/>
  <c r="S3981" i="1"/>
  <c r="W3980" i="1"/>
  <c r="V3980" i="1"/>
  <c r="U3980" i="1"/>
  <c r="T3980" i="1"/>
  <c r="S3980" i="1"/>
  <c r="W3979" i="1"/>
  <c r="V3979" i="1"/>
  <c r="U3979" i="1"/>
  <c r="T3979" i="1"/>
  <c r="S3979" i="1"/>
  <c r="W3978" i="1"/>
  <c r="V3978" i="1"/>
  <c r="U3978" i="1"/>
  <c r="T3978" i="1"/>
  <c r="S3978" i="1"/>
  <c r="W3977" i="1"/>
  <c r="V3977" i="1"/>
  <c r="U3977" i="1"/>
  <c r="T3977" i="1"/>
  <c r="S3977" i="1"/>
  <c r="W3976" i="1"/>
  <c r="V3976" i="1"/>
  <c r="U3976" i="1"/>
  <c r="T3976" i="1"/>
  <c r="S3976" i="1"/>
  <c r="W3975" i="1"/>
  <c r="V3975" i="1"/>
  <c r="U3975" i="1"/>
  <c r="T3975" i="1"/>
  <c r="S3975" i="1"/>
  <c r="W3974" i="1"/>
  <c r="V3974" i="1"/>
  <c r="U3974" i="1"/>
  <c r="T3974" i="1"/>
  <c r="S3974" i="1"/>
  <c r="W3973" i="1"/>
  <c r="V3973" i="1"/>
  <c r="U3973" i="1"/>
  <c r="T3973" i="1"/>
  <c r="S3973" i="1"/>
  <c r="W3972" i="1"/>
  <c r="V3972" i="1"/>
  <c r="U3972" i="1"/>
  <c r="T3972" i="1"/>
  <c r="S3972" i="1"/>
  <c r="W3971" i="1"/>
  <c r="V3971" i="1"/>
  <c r="U3971" i="1"/>
  <c r="T3971" i="1"/>
  <c r="S3971" i="1"/>
  <c r="W3970" i="1"/>
  <c r="V3970" i="1"/>
  <c r="U3970" i="1"/>
  <c r="T3970" i="1"/>
  <c r="S3970" i="1"/>
  <c r="W3969" i="1"/>
  <c r="V3969" i="1"/>
  <c r="U3969" i="1"/>
  <c r="T3969" i="1"/>
  <c r="S3969" i="1"/>
  <c r="W3968" i="1"/>
  <c r="V3968" i="1"/>
  <c r="U3968" i="1"/>
  <c r="T3968" i="1"/>
  <c r="S3968" i="1"/>
  <c r="W3967" i="1"/>
  <c r="V3967" i="1"/>
  <c r="U3967" i="1"/>
  <c r="T3967" i="1"/>
  <c r="S3967" i="1"/>
  <c r="W3966" i="1"/>
  <c r="V3966" i="1"/>
  <c r="U3966" i="1"/>
  <c r="T3966" i="1"/>
  <c r="S3966" i="1"/>
  <c r="W3965" i="1"/>
  <c r="V3965" i="1"/>
  <c r="U3965" i="1"/>
  <c r="T3965" i="1"/>
  <c r="S3965" i="1"/>
  <c r="W3964" i="1"/>
  <c r="V3964" i="1"/>
  <c r="U3964" i="1"/>
  <c r="T3964" i="1"/>
  <c r="S3964" i="1"/>
  <c r="W3963" i="1"/>
  <c r="V3963" i="1"/>
  <c r="U3963" i="1"/>
  <c r="T3963" i="1"/>
  <c r="S3963" i="1"/>
  <c r="W3962" i="1"/>
  <c r="V3962" i="1"/>
  <c r="U3962" i="1"/>
  <c r="T3962" i="1"/>
  <c r="S3962" i="1"/>
  <c r="W3961" i="1"/>
  <c r="V3961" i="1"/>
  <c r="U3961" i="1"/>
  <c r="T3961" i="1"/>
  <c r="S3961" i="1"/>
  <c r="W3960" i="1"/>
  <c r="V3960" i="1"/>
  <c r="U3960" i="1"/>
  <c r="T3960" i="1"/>
  <c r="S3960" i="1"/>
  <c r="W3959" i="1"/>
  <c r="V3959" i="1"/>
  <c r="U3959" i="1"/>
  <c r="T3959" i="1"/>
  <c r="S3959" i="1"/>
  <c r="W3958" i="1"/>
  <c r="V3958" i="1"/>
  <c r="U3958" i="1"/>
  <c r="T3958" i="1"/>
  <c r="S3958" i="1"/>
  <c r="W3957" i="1"/>
  <c r="V3957" i="1"/>
  <c r="U3957" i="1"/>
  <c r="T3957" i="1"/>
  <c r="S3957" i="1"/>
  <c r="W3956" i="1"/>
  <c r="V3956" i="1"/>
  <c r="U3956" i="1"/>
  <c r="T3956" i="1"/>
  <c r="S3956" i="1"/>
  <c r="W3955" i="1"/>
  <c r="V3955" i="1"/>
  <c r="U3955" i="1"/>
  <c r="T3955" i="1"/>
  <c r="S3955" i="1"/>
  <c r="W3954" i="1"/>
  <c r="V3954" i="1"/>
  <c r="U3954" i="1"/>
  <c r="T3954" i="1"/>
  <c r="S3954" i="1"/>
  <c r="W3953" i="1"/>
  <c r="V3953" i="1"/>
  <c r="U3953" i="1"/>
  <c r="T3953" i="1"/>
  <c r="S3953" i="1"/>
  <c r="W3952" i="1"/>
  <c r="V3952" i="1"/>
  <c r="U3952" i="1"/>
  <c r="T3952" i="1"/>
  <c r="S3952" i="1"/>
  <c r="W3951" i="1"/>
  <c r="V3951" i="1"/>
  <c r="U3951" i="1"/>
  <c r="T3951" i="1"/>
  <c r="S3951" i="1"/>
  <c r="W3950" i="1"/>
  <c r="V3950" i="1"/>
  <c r="U3950" i="1"/>
  <c r="T3950" i="1"/>
  <c r="S3950" i="1"/>
  <c r="W3949" i="1"/>
  <c r="V3949" i="1"/>
  <c r="U3949" i="1"/>
  <c r="T3949" i="1"/>
  <c r="S3949" i="1"/>
  <c r="W3948" i="1"/>
  <c r="V3948" i="1"/>
  <c r="U3948" i="1"/>
  <c r="T3948" i="1"/>
  <c r="S3948" i="1"/>
  <c r="W3947" i="1"/>
  <c r="V3947" i="1"/>
  <c r="U3947" i="1"/>
  <c r="T3947" i="1"/>
  <c r="S3947" i="1"/>
  <c r="W3946" i="1"/>
  <c r="V3946" i="1"/>
  <c r="U3946" i="1"/>
  <c r="T3946" i="1"/>
  <c r="S3946" i="1"/>
  <c r="W3945" i="1"/>
  <c r="V3945" i="1"/>
  <c r="U3945" i="1"/>
  <c r="T3945" i="1"/>
  <c r="S3945" i="1"/>
  <c r="W3944" i="1"/>
  <c r="V3944" i="1"/>
  <c r="U3944" i="1"/>
  <c r="T3944" i="1"/>
  <c r="S3944" i="1"/>
  <c r="W3943" i="1"/>
  <c r="V3943" i="1"/>
  <c r="U3943" i="1"/>
  <c r="T3943" i="1"/>
  <c r="S3943" i="1"/>
  <c r="W3942" i="1"/>
  <c r="V3942" i="1"/>
  <c r="U3942" i="1"/>
  <c r="T3942" i="1"/>
  <c r="S3942" i="1"/>
  <c r="W3941" i="1"/>
  <c r="V3941" i="1"/>
  <c r="U3941" i="1"/>
  <c r="T3941" i="1"/>
  <c r="S3941" i="1"/>
  <c r="W3940" i="1"/>
  <c r="V3940" i="1"/>
  <c r="U3940" i="1"/>
  <c r="T3940" i="1"/>
  <c r="S3940" i="1"/>
  <c r="W3939" i="1"/>
  <c r="V3939" i="1"/>
  <c r="U3939" i="1"/>
  <c r="T3939" i="1"/>
  <c r="S3939" i="1"/>
  <c r="W3938" i="1"/>
  <c r="V3938" i="1"/>
  <c r="U3938" i="1"/>
  <c r="T3938" i="1"/>
  <c r="S3938" i="1"/>
  <c r="W3937" i="1"/>
  <c r="V3937" i="1"/>
  <c r="U3937" i="1"/>
  <c r="T3937" i="1"/>
  <c r="S3937" i="1"/>
  <c r="W3936" i="1"/>
  <c r="V3936" i="1"/>
  <c r="U3936" i="1"/>
  <c r="T3936" i="1"/>
  <c r="S3936" i="1"/>
  <c r="W3935" i="1"/>
  <c r="V3935" i="1"/>
  <c r="U3935" i="1"/>
  <c r="T3935" i="1"/>
  <c r="S3935" i="1"/>
  <c r="W3934" i="1"/>
  <c r="V3934" i="1"/>
  <c r="U3934" i="1"/>
  <c r="T3934" i="1"/>
  <c r="S3934" i="1"/>
  <c r="W3933" i="1"/>
  <c r="V3933" i="1"/>
  <c r="U3933" i="1"/>
  <c r="T3933" i="1"/>
  <c r="S3933" i="1"/>
  <c r="W3932" i="1"/>
  <c r="V3932" i="1"/>
  <c r="U3932" i="1"/>
  <c r="T3932" i="1"/>
  <c r="S3932" i="1"/>
  <c r="W3931" i="1"/>
  <c r="V3931" i="1"/>
  <c r="U3931" i="1"/>
  <c r="T3931" i="1"/>
  <c r="S3931" i="1"/>
  <c r="W3930" i="1"/>
  <c r="V3930" i="1"/>
  <c r="U3930" i="1"/>
  <c r="T3930" i="1"/>
  <c r="S3930" i="1"/>
  <c r="W3929" i="1"/>
  <c r="V3929" i="1"/>
  <c r="U3929" i="1"/>
  <c r="T3929" i="1"/>
  <c r="S3929" i="1"/>
  <c r="W3928" i="1"/>
  <c r="V3928" i="1"/>
  <c r="U3928" i="1"/>
  <c r="T3928" i="1"/>
  <c r="S3928" i="1"/>
  <c r="W3927" i="1"/>
  <c r="V3927" i="1"/>
  <c r="U3927" i="1"/>
  <c r="T3927" i="1"/>
  <c r="S3927" i="1"/>
  <c r="W3926" i="1"/>
  <c r="V3926" i="1"/>
  <c r="U3926" i="1"/>
  <c r="T3926" i="1"/>
  <c r="S3926" i="1"/>
  <c r="W3925" i="1"/>
  <c r="V3925" i="1"/>
  <c r="U3925" i="1"/>
  <c r="T3925" i="1"/>
  <c r="S3925" i="1"/>
  <c r="W3924" i="1"/>
  <c r="V3924" i="1"/>
  <c r="U3924" i="1"/>
  <c r="T3924" i="1"/>
  <c r="S3924" i="1"/>
  <c r="W3923" i="1"/>
  <c r="V3923" i="1"/>
  <c r="U3923" i="1"/>
  <c r="T3923" i="1"/>
  <c r="S3923" i="1"/>
  <c r="W3922" i="1"/>
  <c r="V3922" i="1"/>
  <c r="U3922" i="1"/>
  <c r="T3922" i="1"/>
  <c r="S3922" i="1"/>
  <c r="W3921" i="1"/>
  <c r="V3921" i="1"/>
  <c r="U3921" i="1"/>
  <c r="T3921" i="1"/>
  <c r="S3921" i="1"/>
  <c r="W3920" i="1"/>
  <c r="V3920" i="1"/>
  <c r="U3920" i="1"/>
  <c r="T3920" i="1"/>
  <c r="S3920" i="1"/>
  <c r="W3919" i="1"/>
  <c r="V3919" i="1"/>
  <c r="U3919" i="1"/>
  <c r="T3919" i="1"/>
  <c r="S3919" i="1"/>
  <c r="W3918" i="1"/>
  <c r="V3918" i="1"/>
  <c r="U3918" i="1"/>
  <c r="T3918" i="1"/>
  <c r="S3918" i="1"/>
  <c r="W3917" i="1"/>
  <c r="V3917" i="1"/>
  <c r="U3917" i="1"/>
  <c r="T3917" i="1"/>
  <c r="S3917" i="1"/>
  <c r="W3916" i="1"/>
  <c r="V3916" i="1"/>
  <c r="U3916" i="1"/>
  <c r="T3916" i="1"/>
  <c r="S3916" i="1"/>
  <c r="W3915" i="1"/>
  <c r="V3915" i="1"/>
  <c r="U3915" i="1"/>
  <c r="T3915" i="1"/>
  <c r="S3915" i="1"/>
  <c r="W3914" i="1"/>
  <c r="V3914" i="1"/>
  <c r="U3914" i="1"/>
  <c r="T3914" i="1"/>
  <c r="S3914" i="1"/>
  <c r="W3913" i="1"/>
  <c r="V3913" i="1"/>
  <c r="U3913" i="1"/>
  <c r="T3913" i="1"/>
  <c r="S3913" i="1"/>
  <c r="W3912" i="1"/>
  <c r="V3912" i="1"/>
  <c r="U3912" i="1"/>
  <c r="T3912" i="1"/>
  <c r="S3912" i="1"/>
  <c r="W3911" i="1"/>
  <c r="V3911" i="1"/>
  <c r="U3911" i="1"/>
  <c r="T3911" i="1"/>
  <c r="S3911" i="1"/>
  <c r="W3910" i="1"/>
  <c r="V3910" i="1"/>
  <c r="U3910" i="1"/>
  <c r="T3910" i="1"/>
  <c r="S3910" i="1"/>
  <c r="W3909" i="1"/>
  <c r="V3909" i="1"/>
  <c r="U3909" i="1"/>
  <c r="T3909" i="1"/>
  <c r="S3909" i="1"/>
  <c r="W3908" i="1"/>
  <c r="V3908" i="1"/>
  <c r="U3908" i="1"/>
  <c r="T3908" i="1"/>
  <c r="S3908" i="1"/>
  <c r="W3907" i="1"/>
  <c r="V3907" i="1"/>
  <c r="U3907" i="1"/>
  <c r="T3907" i="1"/>
  <c r="S3907" i="1"/>
  <c r="W3906" i="1"/>
  <c r="V3906" i="1"/>
  <c r="U3906" i="1"/>
  <c r="T3906" i="1"/>
  <c r="S3906" i="1"/>
  <c r="W3905" i="1"/>
  <c r="V3905" i="1"/>
  <c r="U3905" i="1"/>
  <c r="T3905" i="1"/>
  <c r="S3905" i="1"/>
  <c r="W3904" i="1"/>
  <c r="V3904" i="1"/>
  <c r="U3904" i="1"/>
  <c r="T3904" i="1"/>
  <c r="S3904" i="1"/>
  <c r="W3903" i="1"/>
  <c r="V3903" i="1"/>
  <c r="U3903" i="1"/>
  <c r="T3903" i="1"/>
  <c r="S3903" i="1"/>
  <c r="W3902" i="1"/>
  <c r="V3902" i="1"/>
  <c r="U3902" i="1"/>
  <c r="T3902" i="1"/>
  <c r="S3902" i="1"/>
  <c r="W3901" i="1"/>
  <c r="V3901" i="1"/>
  <c r="U3901" i="1"/>
  <c r="T3901" i="1"/>
  <c r="S3901" i="1"/>
  <c r="W3900" i="1"/>
  <c r="V3900" i="1"/>
  <c r="U3900" i="1"/>
  <c r="T3900" i="1"/>
  <c r="S3900" i="1"/>
  <c r="W3899" i="1"/>
  <c r="V3899" i="1"/>
  <c r="U3899" i="1"/>
  <c r="T3899" i="1"/>
  <c r="S3899" i="1"/>
  <c r="W3898" i="1"/>
  <c r="V3898" i="1"/>
  <c r="U3898" i="1"/>
  <c r="T3898" i="1"/>
  <c r="S3898" i="1"/>
  <c r="W3897" i="1"/>
  <c r="V3897" i="1"/>
  <c r="U3897" i="1"/>
  <c r="T3897" i="1"/>
  <c r="S3897" i="1"/>
  <c r="W3896" i="1"/>
  <c r="V3896" i="1"/>
  <c r="U3896" i="1"/>
  <c r="T3896" i="1"/>
  <c r="S3896" i="1"/>
  <c r="W3895" i="1"/>
  <c r="V3895" i="1"/>
  <c r="U3895" i="1"/>
  <c r="T3895" i="1"/>
  <c r="S3895" i="1"/>
  <c r="W3894" i="1"/>
  <c r="V3894" i="1"/>
  <c r="U3894" i="1"/>
  <c r="T3894" i="1"/>
  <c r="S3894" i="1"/>
  <c r="W3893" i="1"/>
  <c r="V3893" i="1"/>
  <c r="U3893" i="1"/>
  <c r="T3893" i="1"/>
  <c r="S3893" i="1"/>
  <c r="W3892" i="1"/>
  <c r="V3892" i="1"/>
  <c r="U3892" i="1"/>
  <c r="T3892" i="1"/>
  <c r="S3892" i="1"/>
  <c r="W3891" i="1"/>
  <c r="V3891" i="1"/>
  <c r="U3891" i="1"/>
  <c r="T3891" i="1"/>
  <c r="S3891" i="1"/>
  <c r="W3890" i="1"/>
  <c r="V3890" i="1"/>
  <c r="U3890" i="1"/>
  <c r="T3890" i="1"/>
  <c r="S3890" i="1"/>
  <c r="W3889" i="1"/>
  <c r="V3889" i="1"/>
  <c r="U3889" i="1"/>
  <c r="T3889" i="1"/>
  <c r="S3889" i="1"/>
  <c r="W3888" i="1"/>
  <c r="V3888" i="1"/>
  <c r="U3888" i="1"/>
  <c r="T3888" i="1"/>
  <c r="S3888" i="1"/>
  <c r="W3887" i="1"/>
  <c r="V3887" i="1"/>
  <c r="U3887" i="1"/>
  <c r="T3887" i="1"/>
  <c r="S3887" i="1"/>
  <c r="W3886" i="1"/>
  <c r="V3886" i="1"/>
  <c r="U3886" i="1"/>
  <c r="T3886" i="1"/>
  <c r="S3886" i="1"/>
  <c r="W3885" i="1"/>
  <c r="V3885" i="1"/>
  <c r="U3885" i="1"/>
  <c r="T3885" i="1"/>
  <c r="S3885" i="1"/>
  <c r="W3884" i="1"/>
  <c r="V3884" i="1"/>
  <c r="U3884" i="1"/>
  <c r="T3884" i="1"/>
  <c r="S3884" i="1"/>
  <c r="W3883" i="1"/>
  <c r="V3883" i="1"/>
  <c r="U3883" i="1"/>
  <c r="T3883" i="1"/>
  <c r="S3883" i="1"/>
  <c r="W3882" i="1"/>
  <c r="V3882" i="1"/>
  <c r="U3882" i="1"/>
  <c r="T3882" i="1"/>
  <c r="S3882" i="1"/>
  <c r="W3881" i="1"/>
  <c r="V3881" i="1"/>
  <c r="U3881" i="1"/>
  <c r="T3881" i="1"/>
  <c r="S3881" i="1"/>
  <c r="W3880" i="1"/>
  <c r="V3880" i="1"/>
  <c r="U3880" i="1"/>
  <c r="T3880" i="1"/>
  <c r="S3880" i="1"/>
  <c r="W3879" i="1"/>
  <c r="V3879" i="1"/>
  <c r="U3879" i="1"/>
  <c r="T3879" i="1"/>
  <c r="S3879" i="1"/>
  <c r="W3878" i="1"/>
  <c r="V3878" i="1"/>
  <c r="U3878" i="1"/>
  <c r="T3878" i="1"/>
  <c r="S3878" i="1"/>
  <c r="W3877" i="1"/>
  <c r="V3877" i="1"/>
  <c r="U3877" i="1"/>
  <c r="T3877" i="1"/>
  <c r="S3877" i="1"/>
  <c r="W3876" i="1"/>
  <c r="V3876" i="1"/>
  <c r="U3876" i="1"/>
  <c r="T3876" i="1"/>
  <c r="S3876" i="1"/>
  <c r="W3875" i="1"/>
  <c r="V3875" i="1"/>
  <c r="U3875" i="1"/>
  <c r="T3875" i="1"/>
  <c r="S3875" i="1"/>
  <c r="W3874" i="1"/>
  <c r="V3874" i="1"/>
  <c r="U3874" i="1"/>
  <c r="T3874" i="1"/>
  <c r="S3874" i="1"/>
  <c r="W3873" i="1"/>
  <c r="V3873" i="1"/>
  <c r="U3873" i="1"/>
  <c r="T3873" i="1"/>
  <c r="S3873" i="1"/>
  <c r="W3872" i="1"/>
  <c r="V3872" i="1"/>
  <c r="U3872" i="1"/>
  <c r="T3872" i="1"/>
  <c r="S3872" i="1"/>
  <c r="W3871" i="1"/>
  <c r="V3871" i="1"/>
  <c r="U3871" i="1"/>
  <c r="T3871" i="1"/>
  <c r="S3871" i="1"/>
  <c r="W3870" i="1"/>
  <c r="V3870" i="1"/>
  <c r="U3870" i="1"/>
  <c r="T3870" i="1"/>
  <c r="S3870" i="1"/>
  <c r="W3869" i="1"/>
  <c r="V3869" i="1"/>
  <c r="U3869" i="1"/>
  <c r="T3869" i="1"/>
  <c r="S3869" i="1"/>
  <c r="W3868" i="1"/>
  <c r="V3868" i="1"/>
  <c r="U3868" i="1"/>
  <c r="T3868" i="1"/>
  <c r="S3868" i="1"/>
  <c r="W3867" i="1"/>
  <c r="V3867" i="1"/>
  <c r="U3867" i="1"/>
  <c r="T3867" i="1"/>
  <c r="S3867" i="1"/>
  <c r="W3866" i="1"/>
  <c r="V3866" i="1"/>
  <c r="U3866" i="1"/>
  <c r="T3866" i="1"/>
  <c r="S3866" i="1"/>
  <c r="W3865" i="1"/>
  <c r="V3865" i="1"/>
  <c r="U3865" i="1"/>
  <c r="T3865" i="1"/>
  <c r="S3865" i="1"/>
  <c r="W3864" i="1"/>
  <c r="V3864" i="1"/>
  <c r="U3864" i="1"/>
  <c r="T3864" i="1"/>
  <c r="S3864" i="1"/>
  <c r="W3863" i="1"/>
  <c r="V3863" i="1"/>
  <c r="U3863" i="1"/>
  <c r="T3863" i="1"/>
  <c r="S3863" i="1"/>
  <c r="W3862" i="1"/>
  <c r="V3862" i="1"/>
  <c r="U3862" i="1"/>
  <c r="T3862" i="1"/>
  <c r="S3862" i="1"/>
  <c r="W3861" i="1"/>
  <c r="V3861" i="1"/>
  <c r="U3861" i="1"/>
  <c r="T3861" i="1"/>
  <c r="S3861" i="1"/>
  <c r="W3860" i="1"/>
  <c r="V3860" i="1"/>
  <c r="U3860" i="1"/>
  <c r="T3860" i="1"/>
  <c r="S3860" i="1"/>
  <c r="W3859" i="1"/>
  <c r="V3859" i="1"/>
  <c r="U3859" i="1"/>
  <c r="T3859" i="1"/>
  <c r="S3859" i="1"/>
  <c r="W3858" i="1"/>
  <c r="V3858" i="1"/>
  <c r="U3858" i="1"/>
  <c r="T3858" i="1"/>
  <c r="S3858" i="1"/>
  <c r="W3857" i="1"/>
  <c r="V3857" i="1"/>
  <c r="U3857" i="1"/>
  <c r="T3857" i="1"/>
  <c r="S3857" i="1"/>
  <c r="W3856" i="1"/>
  <c r="V3856" i="1"/>
  <c r="U3856" i="1"/>
  <c r="T3856" i="1"/>
  <c r="S3856" i="1"/>
  <c r="W3855" i="1"/>
  <c r="V3855" i="1"/>
  <c r="U3855" i="1"/>
  <c r="T3855" i="1"/>
  <c r="S3855" i="1"/>
  <c r="W3854" i="1"/>
  <c r="V3854" i="1"/>
  <c r="U3854" i="1"/>
  <c r="T3854" i="1"/>
  <c r="S3854" i="1"/>
  <c r="W3853" i="1"/>
  <c r="V3853" i="1"/>
  <c r="U3853" i="1"/>
  <c r="T3853" i="1"/>
  <c r="S3853" i="1"/>
  <c r="W3852" i="1"/>
  <c r="V3852" i="1"/>
  <c r="U3852" i="1"/>
  <c r="T3852" i="1"/>
  <c r="S3852" i="1"/>
  <c r="W3851" i="1"/>
  <c r="V3851" i="1"/>
  <c r="U3851" i="1"/>
  <c r="T3851" i="1"/>
  <c r="S3851" i="1"/>
  <c r="W3850" i="1"/>
  <c r="V3850" i="1"/>
  <c r="U3850" i="1"/>
  <c r="T3850" i="1"/>
  <c r="S3850" i="1"/>
  <c r="W3849" i="1"/>
  <c r="V3849" i="1"/>
  <c r="U3849" i="1"/>
  <c r="T3849" i="1"/>
  <c r="S3849" i="1"/>
  <c r="W3848" i="1"/>
  <c r="V3848" i="1"/>
  <c r="U3848" i="1"/>
  <c r="T3848" i="1"/>
  <c r="S3848" i="1"/>
  <c r="W3847" i="1"/>
  <c r="V3847" i="1"/>
  <c r="U3847" i="1"/>
  <c r="T3847" i="1"/>
  <c r="S3847" i="1"/>
  <c r="W3846" i="1"/>
  <c r="V3846" i="1"/>
  <c r="U3846" i="1"/>
  <c r="T3846" i="1"/>
  <c r="S3846" i="1"/>
  <c r="W3845" i="1"/>
  <c r="V3845" i="1"/>
  <c r="U3845" i="1"/>
  <c r="T3845" i="1"/>
  <c r="S3845" i="1"/>
  <c r="W3844" i="1"/>
  <c r="V3844" i="1"/>
  <c r="U3844" i="1"/>
  <c r="T3844" i="1"/>
  <c r="S3844" i="1"/>
  <c r="W3843" i="1"/>
  <c r="V3843" i="1"/>
  <c r="U3843" i="1"/>
  <c r="T3843" i="1"/>
  <c r="S3843" i="1"/>
  <c r="W3842" i="1"/>
  <c r="V3842" i="1"/>
  <c r="U3842" i="1"/>
  <c r="T3842" i="1"/>
  <c r="S3842" i="1"/>
  <c r="W3841" i="1"/>
  <c r="V3841" i="1"/>
  <c r="U3841" i="1"/>
  <c r="T3841" i="1"/>
  <c r="S3841" i="1"/>
  <c r="W3840" i="1"/>
  <c r="V3840" i="1"/>
  <c r="U3840" i="1"/>
  <c r="T3840" i="1"/>
  <c r="S3840" i="1"/>
  <c r="W3839" i="1"/>
  <c r="V3839" i="1"/>
  <c r="U3839" i="1"/>
  <c r="T3839" i="1"/>
  <c r="S3839" i="1"/>
  <c r="W3838" i="1"/>
  <c r="V3838" i="1"/>
  <c r="U3838" i="1"/>
  <c r="T3838" i="1"/>
  <c r="S3838" i="1"/>
  <c r="W3837" i="1"/>
  <c r="V3837" i="1"/>
  <c r="U3837" i="1"/>
  <c r="T3837" i="1"/>
  <c r="S3837" i="1"/>
  <c r="W3836" i="1"/>
  <c r="V3836" i="1"/>
  <c r="U3836" i="1"/>
  <c r="T3836" i="1"/>
  <c r="S3836" i="1"/>
  <c r="W3835" i="1"/>
  <c r="V3835" i="1"/>
  <c r="U3835" i="1"/>
  <c r="T3835" i="1"/>
  <c r="S3835" i="1"/>
  <c r="W3834" i="1"/>
  <c r="V3834" i="1"/>
  <c r="U3834" i="1"/>
  <c r="T3834" i="1"/>
  <c r="S3834" i="1"/>
  <c r="W3833" i="1"/>
  <c r="V3833" i="1"/>
  <c r="U3833" i="1"/>
  <c r="T3833" i="1"/>
  <c r="S3833" i="1"/>
  <c r="W3832" i="1"/>
  <c r="V3832" i="1"/>
  <c r="U3832" i="1"/>
  <c r="T3832" i="1"/>
  <c r="S3832" i="1"/>
  <c r="W3831" i="1"/>
  <c r="V3831" i="1"/>
  <c r="U3831" i="1"/>
  <c r="T3831" i="1"/>
  <c r="S3831" i="1"/>
  <c r="W3830" i="1"/>
  <c r="V3830" i="1"/>
  <c r="U3830" i="1"/>
  <c r="T3830" i="1"/>
  <c r="S3830" i="1"/>
  <c r="W3829" i="1"/>
  <c r="V3829" i="1"/>
  <c r="U3829" i="1"/>
  <c r="T3829" i="1"/>
  <c r="S3829" i="1"/>
  <c r="W3828" i="1"/>
  <c r="V3828" i="1"/>
  <c r="U3828" i="1"/>
  <c r="T3828" i="1"/>
  <c r="S3828" i="1"/>
  <c r="W3827" i="1"/>
  <c r="V3827" i="1"/>
  <c r="U3827" i="1"/>
  <c r="T3827" i="1"/>
  <c r="S3827" i="1"/>
  <c r="W3826" i="1"/>
  <c r="V3826" i="1"/>
  <c r="U3826" i="1"/>
  <c r="T3826" i="1"/>
  <c r="S3826" i="1"/>
  <c r="W3825" i="1"/>
  <c r="V3825" i="1"/>
  <c r="U3825" i="1"/>
  <c r="T3825" i="1"/>
  <c r="S3825" i="1"/>
  <c r="W3824" i="1"/>
  <c r="V3824" i="1"/>
  <c r="U3824" i="1"/>
  <c r="T3824" i="1"/>
  <c r="S3824" i="1"/>
  <c r="W3823" i="1"/>
  <c r="V3823" i="1"/>
  <c r="U3823" i="1"/>
  <c r="T3823" i="1"/>
  <c r="S3823" i="1"/>
  <c r="W3822" i="1"/>
  <c r="V3822" i="1"/>
  <c r="U3822" i="1"/>
  <c r="T3822" i="1"/>
  <c r="S3822" i="1"/>
  <c r="W3821" i="1"/>
  <c r="V3821" i="1"/>
  <c r="U3821" i="1"/>
  <c r="T3821" i="1"/>
  <c r="S3821" i="1"/>
  <c r="W3820" i="1"/>
  <c r="V3820" i="1"/>
  <c r="U3820" i="1"/>
  <c r="T3820" i="1"/>
  <c r="S3820" i="1"/>
  <c r="W3819" i="1"/>
  <c r="V3819" i="1"/>
  <c r="U3819" i="1"/>
  <c r="T3819" i="1"/>
  <c r="S3819" i="1"/>
  <c r="W3818" i="1"/>
  <c r="V3818" i="1"/>
  <c r="U3818" i="1"/>
  <c r="T3818" i="1"/>
  <c r="S3818" i="1"/>
  <c r="W3817" i="1"/>
  <c r="V3817" i="1"/>
  <c r="U3817" i="1"/>
  <c r="T3817" i="1"/>
  <c r="S3817" i="1"/>
  <c r="W3816" i="1"/>
  <c r="V3816" i="1"/>
  <c r="U3816" i="1"/>
  <c r="T3816" i="1"/>
  <c r="S3816" i="1"/>
  <c r="W3815" i="1"/>
  <c r="V3815" i="1"/>
  <c r="U3815" i="1"/>
  <c r="T3815" i="1"/>
  <c r="S3815" i="1"/>
  <c r="W3814" i="1"/>
  <c r="V3814" i="1"/>
  <c r="U3814" i="1"/>
  <c r="T3814" i="1"/>
  <c r="S3814" i="1"/>
  <c r="W3813" i="1"/>
  <c r="V3813" i="1"/>
  <c r="U3813" i="1"/>
  <c r="T3813" i="1"/>
  <c r="S3813" i="1"/>
  <c r="W3812" i="1"/>
  <c r="V3812" i="1"/>
  <c r="U3812" i="1"/>
  <c r="T3812" i="1"/>
  <c r="S3812" i="1"/>
  <c r="W3811" i="1"/>
  <c r="V3811" i="1"/>
  <c r="U3811" i="1"/>
  <c r="T3811" i="1"/>
  <c r="S3811" i="1"/>
  <c r="W3810" i="1"/>
  <c r="V3810" i="1"/>
  <c r="U3810" i="1"/>
  <c r="T3810" i="1"/>
  <c r="S3810" i="1"/>
  <c r="W3809" i="1"/>
  <c r="V3809" i="1"/>
  <c r="U3809" i="1"/>
  <c r="T3809" i="1"/>
  <c r="S3809" i="1"/>
  <c r="W3808" i="1"/>
  <c r="V3808" i="1"/>
  <c r="U3808" i="1"/>
  <c r="T3808" i="1"/>
  <c r="S3808" i="1"/>
  <c r="W3807" i="1"/>
  <c r="V3807" i="1"/>
  <c r="U3807" i="1"/>
  <c r="T3807" i="1"/>
  <c r="S3807" i="1"/>
  <c r="W3806" i="1"/>
  <c r="V3806" i="1"/>
  <c r="U3806" i="1"/>
  <c r="T3806" i="1"/>
  <c r="S3806" i="1"/>
  <c r="W3805" i="1"/>
  <c r="V3805" i="1"/>
  <c r="U3805" i="1"/>
  <c r="T3805" i="1"/>
  <c r="S3805" i="1"/>
  <c r="W3804" i="1"/>
  <c r="V3804" i="1"/>
  <c r="U3804" i="1"/>
  <c r="T3804" i="1"/>
  <c r="S3804" i="1"/>
  <c r="W3803" i="1"/>
  <c r="V3803" i="1"/>
  <c r="U3803" i="1"/>
  <c r="T3803" i="1"/>
  <c r="S3803" i="1"/>
  <c r="W3802" i="1"/>
  <c r="V3802" i="1"/>
  <c r="U3802" i="1"/>
  <c r="T3802" i="1"/>
  <c r="S3802" i="1"/>
  <c r="W3801" i="1"/>
  <c r="V3801" i="1"/>
  <c r="U3801" i="1"/>
  <c r="T3801" i="1"/>
  <c r="S3801" i="1"/>
  <c r="W3800" i="1"/>
  <c r="V3800" i="1"/>
  <c r="U3800" i="1"/>
  <c r="T3800" i="1"/>
  <c r="S3800" i="1"/>
  <c r="W3799" i="1"/>
  <c r="V3799" i="1"/>
  <c r="U3799" i="1"/>
  <c r="T3799" i="1"/>
  <c r="S3799" i="1"/>
  <c r="W3798" i="1"/>
  <c r="V3798" i="1"/>
  <c r="U3798" i="1"/>
  <c r="T3798" i="1"/>
  <c r="S3798" i="1"/>
  <c r="W3797" i="1"/>
  <c r="V3797" i="1"/>
  <c r="U3797" i="1"/>
  <c r="T3797" i="1"/>
  <c r="S3797" i="1"/>
  <c r="W3796" i="1"/>
  <c r="V3796" i="1"/>
  <c r="U3796" i="1"/>
  <c r="T3796" i="1"/>
  <c r="S3796" i="1"/>
  <c r="W3795" i="1"/>
  <c r="V3795" i="1"/>
  <c r="U3795" i="1"/>
  <c r="T3795" i="1"/>
  <c r="S3795" i="1"/>
  <c r="W3794" i="1"/>
  <c r="V3794" i="1"/>
  <c r="U3794" i="1"/>
  <c r="T3794" i="1"/>
  <c r="S3794" i="1"/>
  <c r="W3793" i="1"/>
  <c r="V3793" i="1"/>
  <c r="U3793" i="1"/>
  <c r="T3793" i="1"/>
  <c r="S3793" i="1"/>
  <c r="W3792" i="1"/>
  <c r="V3792" i="1"/>
  <c r="U3792" i="1"/>
  <c r="T3792" i="1"/>
  <c r="S3792" i="1"/>
  <c r="W3791" i="1"/>
  <c r="V3791" i="1"/>
  <c r="U3791" i="1"/>
  <c r="T3791" i="1"/>
  <c r="S3791" i="1"/>
  <c r="W3790" i="1"/>
  <c r="V3790" i="1"/>
  <c r="U3790" i="1"/>
  <c r="T3790" i="1"/>
  <c r="S3790" i="1"/>
  <c r="W3789" i="1"/>
  <c r="V3789" i="1"/>
  <c r="U3789" i="1"/>
  <c r="T3789" i="1"/>
  <c r="S3789" i="1"/>
  <c r="W3788" i="1"/>
  <c r="V3788" i="1"/>
  <c r="U3788" i="1"/>
  <c r="T3788" i="1"/>
  <c r="S3788" i="1"/>
  <c r="W3787" i="1"/>
  <c r="V3787" i="1"/>
  <c r="U3787" i="1"/>
  <c r="T3787" i="1"/>
  <c r="S3787" i="1"/>
  <c r="W3786" i="1"/>
  <c r="V3786" i="1"/>
  <c r="U3786" i="1"/>
  <c r="T3786" i="1"/>
  <c r="S3786" i="1"/>
  <c r="W3785" i="1"/>
  <c r="V3785" i="1"/>
  <c r="U3785" i="1"/>
  <c r="T3785" i="1"/>
  <c r="S3785" i="1"/>
  <c r="W3784" i="1"/>
  <c r="V3784" i="1"/>
  <c r="U3784" i="1"/>
  <c r="T3784" i="1"/>
  <c r="S3784" i="1"/>
  <c r="W3783" i="1"/>
  <c r="V3783" i="1"/>
  <c r="U3783" i="1"/>
  <c r="T3783" i="1"/>
  <c r="S3783" i="1"/>
  <c r="W3782" i="1"/>
  <c r="V3782" i="1"/>
  <c r="U3782" i="1"/>
  <c r="T3782" i="1"/>
  <c r="S3782" i="1"/>
  <c r="W3781" i="1"/>
  <c r="V3781" i="1"/>
  <c r="U3781" i="1"/>
  <c r="T3781" i="1"/>
  <c r="S3781" i="1"/>
  <c r="W3780" i="1"/>
  <c r="V3780" i="1"/>
  <c r="U3780" i="1"/>
  <c r="T3780" i="1"/>
  <c r="S3780" i="1"/>
  <c r="W3779" i="1"/>
  <c r="V3779" i="1"/>
  <c r="U3779" i="1"/>
  <c r="T3779" i="1"/>
  <c r="S3779" i="1"/>
  <c r="W3778" i="1"/>
  <c r="V3778" i="1"/>
  <c r="U3778" i="1"/>
  <c r="T3778" i="1"/>
  <c r="S3778" i="1"/>
  <c r="W3777" i="1"/>
  <c r="V3777" i="1"/>
  <c r="U3777" i="1"/>
  <c r="T3777" i="1"/>
  <c r="S3777" i="1"/>
  <c r="W3776" i="1"/>
  <c r="V3776" i="1"/>
  <c r="U3776" i="1"/>
  <c r="T3776" i="1"/>
  <c r="S3776" i="1"/>
  <c r="W3775" i="1"/>
  <c r="V3775" i="1"/>
  <c r="U3775" i="1"/>
  <c r="T3775" i="1"/>
  <c r="S3775" i="1"/>
  <c r="W3774" i="1"/>
  <c r="V3774" i="1"/>
  <c r="U3774" i="1"/>
  <c r="T3774" i="1"/>
  <c r="S3774" i="1"/>
  <c r="W3773" i="1"/>
  <c r="V3773" i="1"/>
  <c r="U3773" i="1"/>
  <c r="T3773" i="1"/>
  <c r="S3773" i="1"/>
  <c r="W3772" i="1"/>
  <c r="V3772" i="1"/>
  <c r="U3772" i="1"/>
  <c r="T3772" i="1"/>
  <c r="S3772" i="1"/>
  <c r="W3771" i="1"/>
  <c r="V3771" i="1"/>
  <c r="U3771" i="1"/>
  <c r="T3771" i="1"/>
  <c r="S3771" i="1"/>
  <c r="W3770" i="1"/>
  <c r="V3770" i="1"/>
  <c r="U3770" i="1"/>
  <c r="T3770" i="1"/>
  <c r="S3770" i="1"/>
  <c r="W3769" i="1"/>
  <c r="V3769" i="1"/>
  <c r="U3769" i="1"/>
  <c r="T3769" i="1"/>
  <c r="S3769" i="1"/>
  <c r="W3768" i="1"/>
  <c r="V3768" i="1"/>
  <c r="U3768" i="1"/>
  <c r="T3768" i="1"/>
  <c r="S3768" i="1"/>
  <c r="W3767" i="1"/>
  <c r="V3767" i="1"/>
  <c r="U3767" i="1"/>
  <c r="T3767" i="1"/>
  <c r="S3767" i="1"/>
  <c r="W3766" i="1"/>
  <c r="V3766" i="1"/>
  <c r="U3766" i="1"/>
  <c r="T3766" i="1"/>
  <c r="S3766" i="1"/>
  <c r="W3765" i="1"/>
  <c r="V3765" i="1"/>
  <c r="U3765" i="1"/>
  <c r="T3765" i="1"/>
  <c r="S3765" i="1"/>
  <c r="W3764" i="1"/>
  <c r="V3764" i="1"/>
  <c r="U3764" i="1"/>
  <c r="T3764" i="1"/>
  <c r="S3764" i="1"/>
  <c r="W3763" i="1"/>
  <c r="V3763" i="1"/>
  <c r="U3763" i="1"/>
  <c r="T3763" i="1"/>
  <c r="S3763" i="1"/>
  <c r="W3762" i="1"/>
  <c r="V3762" i="1"/>
  <c r="U3762" i="1"/>
  <c r="T3762" i="1"/>
  <c r="S3762" i="1"/>
  <c r="W3761" i="1"/>
  <c r="V3761" i="1"/>
  <c r="U3761" i="1"/>
  <c r="T3761" i="1"/>
  <c r="S3761" i="1"/>
  <c r="W3760" i="1"/>
  <c r="V3760" i="1"/>
  <c r="U3760" i="1"/>
  <c r="T3760" i="1"/>
  <c r="S3760" i="1"/>
  <c r="W3759" i="1"/>
  <c r="V3759" i="1"/>
  <c r="U3759" i="1"/>
  <c r="T3759" i="1"/>
  <c r="S3759" i="1"/>
  <c r="W3758" i="1"/>
  <c r="V3758" i="1"/>
  <c r="U3758" i="1"/>
  <c r="T3758" i="1"/>
  <c r="S3758" i="1"/>
  <c r="W3757" i="1"/>
  <c r="V3757" i="1"/>
  <c r="U3757" i="1"/>
  <c r="T3757" i="1"/>
  <c r="S3757" i="1"/>
  <c r="W3756" i="1"/>
  <c r="V3756" i="1"/>
  <c r="U3756" i="1"/>
  <c r="T3756" i="1"/>
  <c r="S3756" i="1"/>
  <c r="W3755" i="1"/>
  <c r="V3755" i="1"/>
  <c r="U3755" i="1"/>
  <c r="T3755" i="1"/>
  <c r="S3755" i="1"/>
  <c r="W3754" i="1"/>
  <c r="V3754" i="1"/>
  <c r="U3754" i="1"/>
  <c r="T3754" i="1"/>
  <c r="S3754" i="1"/>
  <c r="W3753" i="1"/>
  <c r="V3753" i="1"/>
  <c r="U3753" i="1"/>
  <c r="T3753" i="1"/>
  <c r="S3753" i="1"/>
  <c r="W3752" i="1"/>
  <c r="V3752" i="1"/>
  <c r="U3752" i="1"/>
  <c r="T3752" i="1"/>
  <c r="S3752" i="1"/>
  <c r="W3751" i="1"/>
  <c r="V3751" i="1"/>
  <c r="U3751" i="1"/>
  <c r="T3751" i="1"/>
  <c r="S3751" i="1"/>
  <c r="W3750" i="1"/>
  <c r="V3750" i="1"/>
  <c r="U3750" i="1"/>
  <c r="T3750" i="1"/>
  <c r="S3750" i="1"/>
  <c r="W3749" i="1"/>
  <c r="V3749" i="1"/>
  <c r="U3749" i="1"/>
  <c r="T3749" i="1"/>
  <c r="S3749" i="1"/>
  <c r="W3748" i="1"/>
  <c r="V3748" i="1"/>
  <c r="U3748" i="1"/>
  <c r="T3748" i="1"/>
  <c r="S3748" i="1"/>
  <c r="W3747" i="1"/>
  <c r="V3747" i="1"/>
  <c r="U3747" i="1"/>
  <c r="T3747" i="1"/>
  <c r="S3747" i="1"/>
  <c r="W3746" i="1"/>
  <c r="V3746" i="1"/>
  <c r="U3746" i="1"/>
  <c r="T3746" i="1"/>
  <c r="S3746" i="1"/>
  <c r="W3745" i="1"/>
  <c r="V3745" i="1"/>
  <c r="U3745" i="1"/>
  <c r="T3745" i="1"/>
  <c r="S3745" i="1"/>
  <c r="W3744" i="1"/>
  <c r="V3744" i="1"/>
  <c r="U3744" i="1"/>
  <c r="T3744" i="1"/>
  <c r="S3744" i="1"/>
  <c r="W3743" i="1"/>
  <c r="V3743" i="1"/>
  <c r="U3743" i="1"/>
  <c r="T3743" i="1"/>
  <c r="S3743" i="1"/>
  <c r="W3742" i="1"/>
  <c r="V3742" i="1"/>
  <c r="U3742" i="1"/>
  <c r="T3742" i="1"/>
  <c r="S3742" i="1"/>
  <c r="W3741" i="1"/>
  <c r="V3741" i="1"/>
  <c r="U3741" i="1"/>
  <c r="T3741" i="1"/>
  <c r="S3741" i="1"/>
  <c r="W3740" i="1"/>
  <c r="V3740" i="1"/>
  <c r="U3740" i="1"/>
  <c r="T3740" i="1"/>
  <c r="S3740" i="1"/>
  <c r="W3739" i="1"/>
  <c r="V3739" i="1"/>
  <c r="U3739" i="1"/>
  <c r="T3739" i="1"/>
  <c r="S3739" i="1"/>
  <c r="W3738" i="1"/>
  <c r="V3738" i="1"/>
  <c r="U3738" i="1"/>
  <c r="T3738" i="1"/>
  <c r="S3738" i="1"/>
  <c r="W3737" i="1"/>
  <c r="V3737" i="1"/>
  <c r="U3737" i="1"/>
  <c r="T3737" i="1"/>
  <c r="S3737" i="1"/>
  <c r="W3736" i="1"/>
  <c r="V3736" i="1"/>
  <c r="U3736" i="1"/>
  <c r="T3736" i="1"/>
  <c r="S3736" i="1"/>
  <c r="W3735" i="1"/>
  <c r="V3735" i="1"/>
  <c r="U3735" i="1"/>
  <c r="T3735" i="1"/>
  <c r="S3735" i="1"/>
  <c r="W3734" i="1"/>
  <c r="V3734" i="1"/>
  <c r="U3734" i="1"/>
  <c r="T3734" i="1"/>
  <c r="S3734" i="1"/>
  <c r="W3733" i="1"/>
  <c r="V3733" i="1"/>
  <c r="U3733" i="1"/>
  <c r="T3733" i="1"/>
  <c r="S3733" i="1"/>
  <c r="W3732" i="1"/>
  <c r="V3732" i="1"/>
  <c r="U3732" i="1"/>
  <c r="T3732" i="1"/>
  <c r="S3732" i="1"/>
  <c r="W3731" i="1"/>
  <c r="V3731" i="1"/>
  <c r="U3731" i="1"/>
  <c r="T3731" i="1"/>
  <c r="S3731" i="1"/>
  <c r="W3730" i="1"/>
  <c r="V3730" i="1"/>
  <c r="U3730" i="1"/>
  <c r="T3730" i="1"/>
  <c r="S3730" i="1"/>
  <c r="W3729" i="1"/>
  <c r="V3729" i="1"/>
  <c r="U3729" i="1"/>
  <c r="T3729" i="1"/>
  <c r="S3729" i="1"/>
  <c r="W3728" i="1"/>
  <c r="V3728" i="1"/>
  <c r="U3728" i="1"/>
  <c r="T3728" i="1"/>
  <c r="S3728" i="1"/>
  <c r="W3727" i="1"/>
  <c r="V3727" i="1"/>
  <c r="U3727" i="1"/>
  <c r="T3727" i="1"/>
  <c r="S3727" i="1"/>
  <c r="W3726" i="1"/>
  <c r="V3726" i="1"/>
  <c r="U3726" i="1"/>
  <c r="T3726" i="1"/>
  <c r="S3726" i="1"/>
  <c r="W3725" i="1"/>
  <c r="V3725" i="1"/>
  <c r="U3725" i="1"/>
  <c r="T3725" i="1"/>
  <c r="S3725" i="1"/>
  <c r="W3724" i="1"/>
  <c r="V3724" i="1"/>
  <c r="U3724" i="1"/>
  <c r="T3724" i="1"/>
  <c r="S3724" i="1"/>
  <c r="W3723" i="1"/>
  <c r="V3723" i="1"/>
  <c r="U3723" i="1"/>
  <c r="T3723" i="1"/>
  <c r="S3723" i="1"/>
  <c r="W3722" i="1"/>
  <c r="V3722" i="1"/>
  <c r="U3722" i="1"/>
  <c r="T3722" i="1"/>
  <c r="S3722" i="1"/>
  <c r="W3721" i="1"/>
  <c r="V3721" i="1"/>
  <c r="U3721" i="1"/>
  <c r="T3721" i="1"/>
  <c r="S3721" i="1"/>
  <c r="W3720" i="1"/>
  <c r="V3720" i="1"/>
  <c r="U3720" i="1"/>
  <c r="T3720" i="1"/>
  <c r="S3720" i="1"/>
  <c r="W3719" i="1"/>
  <c r="V3719" i="1"/>
  <c r="U3719" i="1"/>
  <c r="T3719" i="1"/>
  <c r="S3719" i="1"/>
  <c r="W3718" i="1"/>
  <c r="V3718" i="1"/>
  <c r="U3718" i="1"/>
  <c r="T3718" i="1"/>
  <c r="S3718" i="1"/>
  <c r="W3717" i="1"/>
  <c r="V3717" i="1"/>
  <c r="U3717" i="1"/>
  <c r="T3717" i="1"/>
  <c r="S3717" i="1"/>
  <c r="W3716" i="1"/>
  <c r="V3716" i="1"/>
  <c r="U3716" i="1"/>
  <c r="T3716" i="1"/>
  <c r="S3716" i="1"/>
  <c r="W3715" i="1"/>
  <c r="V3715" i="1"/>
  <c r="U3715" i="1"/>
  <c r="T3715" i="1"/>
  <c r="S3715" i="1"/>
  <c r="W3714" i="1"/>
  <c r="V3714" i="1"/>
  <c r="U3714" i="1"/>
  <c r="T3714" i="1"/>
  <c r="S3714" i="1"/>
  <c r="W3713" i="1"/>
  <c r="V3713" i="1"/>
  <c r="U3713" i="1"/>
  <c r="T3713" i="1"/>
  <c r="S3713" i="1"/>
  <c r="W3712" i="1"/>
  <c r="V3712" i="1"/>
  <c r="U3712" i="1"/>
  <c r="T3712" i="1"/>
  <c r="S3712" i="1"/>
  <c r="W3711" i="1"/>
  <c r="V3711" i="1"/>
  <c r="U3711" i="1"/>
  <c r="T3711" i="1"/>
  <c r="S3711" i="1"/>
  <c r="W3710" i="1"/>
  <c r="V3710" i="1"/>
  <c r="U3710" i="1"/>
  <c r="T3710" i="1"/>
  <c r="S3710" i="1"/>
  <c r="W3709" i="1"/>
  <c r="V3709" i="1"/>
  <c r="U3709" i="1"/>
  <c r="T3709" i="1"/>
  <c r="S3709" i="1"/>
  <c r="W3708" i="1"/>
  <c r="V3708" i="1"/>
  <c r="U3708" i="1"/>
  <c r="T3708" i="1"/>
  <c r="S3708" i="1"/>
  <c r="W3707" i="1"/>
  <c r="V3707" i="1"/>
  <c r="U3707" i="1"/>
  <c r="T3707" i="1"/>
  <c r="S3707" i="1"/>
  <c r="W3706" i="1"/>
  <c r="V3706" i="1"/>
  <c r="U3706" i="1"/>
  <c r="T3706" i="1"/>
  <c r="S3706" i="1"/>
  <c r="W3705" i="1"/>
  <c r="V3705" i="1"/>
  <c r="U3705" i="1"/>
  <c r="T3705" i="1"/>
  <c r="S3705" i="1"/>
  <c r="W3704" i="1"/>
  <c r="V3704" i="1"/>
  <c r="U3704" i="1"/>
  <c r="T3704" i="1"/>
  <c r="S3704" i="1"/>
  <c r="W3703" i="1"/>
  <c r="V3703" i="1"/>
  <c r="U3703" i="1"/>
  <c r="T3703" i="1"/>
  <c r="S3703" i="1"/>
  <c r="W3702" i="1"/>
  <c r="V3702" i="1"/>
  <c r="U3702" i="1"/>
  <c r="T3702" i="1"/>
  <c r="S3702" i="1"/>
  <c r="W3701" i="1"/>
  <c r="V3701" i="1"/>
  <c r="U3701" i="1"/>
  <c r="T3701" i="1"/>
  <c r="S3701" i="1"/>
  <c r="W3700" i="1"/>
  <c r="V3700" i="1"/>
  <c r="U3700" i="1"/>
  <c r="T3700" i="1"/>
  <c r="S3700" i="1"/>
  <c r="W3699" i="1"/>
  <c r="V3699" i="1"/>
  <c r="U3699" i="1"/>
  <c r="T3699" i="1"/>
  <c r="S3699" i="1"/>
  <c r="W3698" i="1"/>
  <c r="V3698" i="1"/>
  <c r="U3698" i="1"/>
  <c r="T3698" i="1"/>
  <c r="S3698" i="1"/>
  <c r="W3697" i="1"/>
  <c r="V3697" i="1"/>
  <c r="U3697" i="1"/>
  <c r="T3697" i="1"/>
  <c r="S3697" i="1"/>
  <c r="W3696" i="1"/>
  <c r="V3696" i="1"/>
  <c r="U3696" i="1"/>
  <c r="T3696" i="1"/>
  <c r="S3696" i="1"/>
  <c r="W3695" i="1"/>
  <c r="V3695" i="1"/>
  <c r="U3695" i="1"/>
  <c r="T3695" i="1"/>
  <c r="S3695" i="1"/>
  <c r="W3694" i="1"/>
  <c r="V3694" i="1"/>
  <c r="U3694" i="1"/>
  <c r="T3694" i="1"/>
  <c r="S3694" i="1"/>
  <c r="W3693" i="1"/>
  <c r="V3693" i="1"/>
  <c r="U3693" i="1"/>
  <c r="T3693" i="1"/>
  <c r="S3693" i="1"/>
  <c r="W3692" i="1"/>
  <c r="V3692" i="1"/>
  <c r="U3692" i="1"/>
  <c r="T3692" i="1"/>
  <c r="S3692" i="1"/>
  <c r="W3691" i="1"/>
  <c r="V3691" i="1"/>
  <c r="U3691" i="1"/>
  <c r="T3691" i="1"/>
  <c r="S3691" i="1"/>
  <c r="W3690" i="1"/>
  <c r="V3690" i="1"/>
  <c r="U3690" i="1"/>
  <c r="T3690" i="1"/>
  <c r="S3690" i="1"/>
  <c r="W3689" i="1"/>
  <c r="V3689" i="1"/>
  <c r="U3689" i="1"/>
  <c r="T3689" i="1"/>
  <c r="S3689" i="1"/>
  <c r="W3688" i="1"/>
  <c r="V3688" i="1"/>
  <c r="U3688" i="1"/>
  <c r="T3688" i="1"/>
  <c r="S3688" i="1"/>
  <c r="W3687" i="1"/>
  <c r="V3687" i="1"/>
  <c r="U3687" i="1"/>
  <c r="T3687" i="1"/>
  <c r="S3687" i="1"/>
  <c r="W3686" i="1"/>
  <c r="V3686" i="1"/>
  <c r="U3686" i="1"/>
  <c r="T3686" i="1"/>
  <c r="S3686" i="1"/>
  <c r="W3685" i="1"/>
  <c r="V3685" i="1"/>
  <c r="U3685" i="1"/>
  <c r="T3685" i="1"/>
  <c r="S3685" i="1"/>
  <c r="W3684" i="1"/>
  <c r="V3684" i="1"/>
  <c r="U3684" i="1"/>
  <c r="T3684" i="1"/>
  <c r="S3684" i="1"/>
  <c r="W3683" i="1"/>
  <c r="V3683" i="1"/>
  <c r="U3683" i="1"/>
  <c r="T3683" i="1"/>
  <c r="S3683" i="1"/>
  <c r="W3682" i="1"/>
  <c r="V3682" i="1"/>
  <c r="U3682" i="1"/>
  <c r="T3682" i="1"/>
  <c r="S3682" i="1"/>
  <c r="W3681" i="1"/>
  <c r="V3681" i="1"/>
  <c r="U3681" i="1"/>
  <c r="T3681" i="1"/>
  <c r="S3681" i="1"/>
  <c r="W3680" i="1"/>
  <c r="V3680" i="1"/>
  <c r="U3680" i="1"/>
  <c r="T3680" i="1"/>
  <c r="S3680" i="1"/>
  <c r="W3679" i="1"/>
  <c r="V3679" i="1"/>
  <c r="U3679" i="1"/>
  <c r="T3679" i="1"/>
  <c r="S3679" i="1"/>
  <c r="W3678" i="1"/>
  <c r="V3678" i="1"/>
  <c r="U3678" i="1"/>
  <c r="T3678" i="1"/>
  <c r="S3678" i="1"/>
  <c r="W3677" i="1"/>
  <c r="V3677" i="1"/>
  <c r="U3677" i="1"/>
  <c r="T3677" i="1"/>
  <c r="S3677" i="1"/>
  <c r="W3676" i="1"/>
  <c r="V3676" i="1"/>
  <c r="U3676" i="1"/>
  <c r="T3676" i="1"/>
  <c r="S3676" i="1"/>
  <c r="W3675" i="1"/>
  <c r="V3675" i="1"/>
  <c r="U3675" i="1"/>
  <c r="T3675" i="1"/>
  <c r="S3675" i="1"/>
  <c r="W3674" i="1"/>
  <c r="V3674" i="1"/>
  <c r="U3674" i="1"/>
  <c r="T3674" i="1"/>
  <c r="S3674" i="1"/>
  <c r="W3673" i="1"/>
  <c r="V3673" i="1"/>
  <c r="U3673" i="1"/>
  <c r="T3673" i="1"/>
  <c r="S3673" i="1"/>
  <c r="W3672" i="1"/>
  <c r="V3672" i="1"/>
  <c r="U3672" i="1"/>
  <c r="T3672" i="1"/>
  <c r="S3672" i="1"/>
  <c r="W3671" i="1"/>
  <c r="V3671" i="1"/>
  <c r="U3671" i="1"/>
  <c r="T3671" i="1"/>
  <c r="S3671" i="1"/>
  <c r="W3670" i="1"/>
  <c r="V3670" i="1"/>
  <c r="U3670" i="1"/>
  <c r="T3670" i="1"/>
  <c r="S3670" i="1"/>
  <c r="W3669" i="1"/>
  <c r="V3669" i="1"/>
  <c r="U3669" i="1"/>
  <c r="T3669" i="1"/>
  <c r="S3669" i="1"/>
  <c r="W3668" i="1"/>
  <c r="V3668" i="1"/>
  <c r="U3668" i="1"/>
  <c r="T3668" i="1"/>
  <c r="S3668" i="1"/>
  <c r="W3667" i="1"/>
  <c r="V3667" i="1"/>
  <c r="U3667" i="1"/>
  <c r="T3667" i="1"/>
  <c r="S3667" i="1"/>
  <c r="W3666" i="1"/>
  <c r="V3666" i="1"/>
  <c r="U3666" i="1"/>
  <c r="T3666" i="1"/>
  <c r="S3666" i="1"/>
  <c r="W3665" i="1"/>
  <c r="V3665" i="1"/>
  <c r="U3665" i="1"/>
  <c r="T3665" i="1"/>
  <c r="S3665" i="1"/>
  <c r="W3664" i="1"/>
  <c r="V3664" i="1"/>
  <c r="U3664" i="1"/>
  <c r="T3664" i="1"/>
  <c r="S3664" i="1"/>
  <c r="W3663" i="1"/>
  <c r="V3663" i="1"/>
  <c r="U3663" i="1"/>
  <c r="T3663" i="1"/>
  <c r="S3663" i="1"/>
  <c r="W3662" i="1"/>
  <c r="V3662" i="1"/>
  <c r="U3662" i="1"/>
  <c r="T3662" i="1"/>
  <c r="S3662" i="1"/>
  <c r="W3661" i="1"/>
  <c r="V3661" i="1"/>
  <c r="U3661" i="1"/>
  <c r="T3661" i="1"/>
  <c r="S3661" i="1"/>
  <c r="W3660" i="1"/>
  <c r="V3660" i="1"/>
  <c r="U3660" i="1"/>
  <c r="T3660" i="1"/>
  <c r="S3660" i="1"/>
  <c r="W3659" i="1"/>
  <c r="V3659" i="1"/>
  <c r="U3659" i="1"/>
  <c r="T3659" i="1"/>
  <c r="S3659" i="1"/>
  <c r="W3658" i="1"/>
  <c r="V3658" i="1"/>
  <c r="U3658" i="1"/>
  <c r="T3658" i="1"/>
  <c r="S3658" i="1"/>
  <c r="W3657" i="1"/>
  <c r="V3657" i="1"/>
  <c r="U3657" i="1"/>
  <c r="T3657" i="1"/>
  <c r="S3657" i="1"/>
  <c r="W3656" i="1"/>
  <c r="V3656" i="1"/>
  <c r="U3656" i="1"/>
  <c r="T3656" i="1"/>
  <c r="S3656" i="1"/>
  <c r="W3655" i="1"/>
  <c r="V3655" i="1"/>
  <c r="U3655" i="1"/>
  <c r="T3655" i="1"/>
  <c r="S3655" i="1"/>
  <c r="W3654" i="1"/>
  <c r="V3654" i="1"/>
  <c r="U3654" i="1"/>
  <c r="T3654" i="1"/>
  <c r="S3654" i="1"/>
  <c r="W3653" i="1"/>
  <c r="V3653" i="1"/>
  <c r="U3653" i="1"/>
  <c r="T3653" i="1"/>
  <c r="S3653" i="1"/>
  <c r="W3652" i="1"/>
  <c r="V3652" i="1"/>
  <c r="U3652" i="1"/>
  <c r="T3652" i="1"/>
  <c r="S3652" i="1"/>
  <c r="W3651" i="1"/>
  <c r="V3651" i="1"/>
  <c r="U3651" i="1"/>
  <c r="T3651" i="1"/>
  <c r="S3651" i="1"/>
  <c r="W3650" i="1"/>
  <c r="V3650" i="1"/>
  <c r="U3650" i="1"/>
  <c r="T3650" i="1"/>
  <c r="S3650" i="1"/>
  <c r="W3649" i="1"/>
  <c r="V3649" i="1"/>
  <c r="U3649" i="1"/>
  <c r="T3649" i="1"/>
  <c r="S3649" i="1"/>
  <c r="W3648" i="1"/>
  <c r="V3648" i="1"/>
  <c r="U3648" i="1"/>
  <c r="T3648" i="1"/>
  <c r="S3648" i="1"/>
  <c r="W3647" i="1"/>
  <c r="V3647" i="1"/>
  <c r="U3647" i="1"/>
  <c r="T3647" i="1"/>
  <c r="S3647" i="1"/>
  <c r="W3646" i="1"/>
  <c r="V3646" i="1"/>
  <c r="U3646" i="1"/>
  <c r="T3646" i="1"/>
  <c r="S3646" i="1"/>
  <c r="W3645" i="1"/>
  <c r="V3645" i="1"/>
  <c r="U3645" i="1"/>
  <c r="T3645" i="1"/>
  <c r="S3645" i="1"/>
  <c r="W3644" i="1"/>
  <c r="V3644" i="1"/>
  <c r="U3644" i="1"/>
  <c r="T3644" i="1"/>
  <c r="S3644" i="1"/>
  <c r="W3643" i="1"/>
  <c r="V3643" i="1"/>
  <c r="U3643" i="1"/>
  <c r="T3643" i="1"/>
  <c r="S3643" i="1"/>
  <c r="W3642" i="1"/>
  <c r="V3642" i="1"/>
  <c r="U3642" i="1"/>
  <c r="T3642" i="1"/>
  <c r="S3642" i="1"/>
  <c r="W3641" i="1"/>
  <c r="V3641" i="1"/>
  <c r="U3641" i="1"/>
  <c r="T3641" i="1"/>
  <c r="S3641" i="1"/>
  <c r="W3640" i="1"/>
  <c r="V3640" i="1"/>
  <c r="U3640" i="1"/>
  <c r="T3640" i="1"/>
  <c r="S3640" i="1"/>
  <c r="W3639" i="1"/>
  <c r="V3639" i="1"/>
  <c r="U3639" i="1"/>
  <c r="T3639" i="1"/>
  <c r="S3639" i="1"/>
  <c r="W3638" i="1"/>
  <c r="V3638" i="1"/>
  <c r="U3638" i="1"/>
  <c r="T3638" i="1"/>
  <c r="S3638" i="1"/>
  <c r="W3637" i="1"/>
  <c r="V3637" i="1"/>
  <c r="U3637" i="1"/>
  <c r="T3637" i="1"/>
  <c r="S3637" i="1"/>
  <c r="W3636" i="1"/>
  <c r="V3636" i="1"/>
  <c r="U3636" i="1"/>
  <c r="T3636" i="1"/>
  <c r="S3636" i="1"/>
  <c r="W3635" i="1"/>
  <c r="V3635" i="1"/>
  <c r="U3635" i="1"/>
  <c r="T3635" i="1"/>
  <c r="S3635" i="1"/>
  <c r="W3634" i="1"/>
  <c r="V3634" i="1"/>
  <c r="U3634" i="1"/>
  <c r="T3634" i="1"/>
  <c r="S3634" i="1"/>
  <c r="W3633" i="1"/>
  <c r="V3633" i="1"/>
  <c r="U3633" i="1"/>
  <c r="T3633" i="1"/>
  <c r="S3633" i="1"/>
  <c r="W3632" i="1"/>
  <c r="V3632" i="1"/>
  <c r="U3632" i="1"/>
  <c r="T3632" i="1"/>
  <c r="S3632" i="1"/>
  <c r="W3631" i="1"/>
  <c r="V3631" i="1"/>
  <c r="U3631" i="1"/>
  <c r="T3631" i="1"/>
  <c r="S3631" i="1"/>
  <c r="W3630" i="1"/>
  <c r="V3630" i="1"/>
  <c r="U3630" i="1"/>
  <c r="T3630" i="1"/>
  <c r="S3630" i="1"/>
  <c r="W3629" i="1"/>
  <c r="V3629" i="1"/>
  <c r="U3629" i="1"/>
  <c r="T3629" i="1"/>
  <c r="S3629" i="1"/>
  <c r="W3628" i="1"/>
  <c r="V3628" i="1"/>
  <c r="U3628" i="1"/>
  <c r="T3628" i="1"/>
  <c r="S3628" i="1"/>
  <c r="W3627" i="1"/>
  <c r="V3627" i="1"/>
  <c r="U3627" i="1"/>
  <c r="T3627" i="1"/>
  <c r="S3627" i="1"/>
  <c r="W3626" i="1"/>
  <c r="V3626" i="1"/>
  <c r="U3626" i="1"/>
  <c r="T3626" i="1"/>
  <c r="S3626" i="1"/>
  <c r="W3625" i="1"/>
  <c r="V3625" i="1"/>
  <c r="U3625" i="1"/>
  <c r="T3625" i="1"/>
  <c r="S3625" i="1"/>
  <c r="W3624" i="1"/>
  <c r="V3624" i="1"/>
  <c r="U3624" i="1"/>
  <c r="T3624" i="1"/>
  <c r="S3624" i="1"/>
  <c r="W3623" i="1"/>
  <c r="V3623" i="1"/>
  <c r="U3623" i="1"/>
  <c r="T3623" i="1"/>
  <c r="S3623" i="1"/>
  <c r="W3622" i="1"/>
  <c r="V3622" i="1"/>
  <c r="U3622" i="1"/>
  <c r="T3622" i="1"/>
  <c r="S3622" i="1"/>
  <c r="W3621" i="1"/>
  <c r="V3621" i="1"/>
  <c r="U3621" i="1"/>
  <c r="T3621" i="1"/>
  <c r="S3621" i="1"/>
  <c r="W3620" i="1"/>
  <c r="V3620" i="1"/>
  <c r="U3620" i="1"/>
  <c r="T3620" i="1"/>
  <c r="S3620" i="1"/>
  <c r="W3619" i="1"/>
  <c r="V3619" i="1"/>
  <c r="U3619" i="1"/>
  <c r="T3619" i="1"/>
  <c r="S3619" i="1"/>
  <c r="W3618" i="1"/>
  <c r="V3618" i="1"/>
  <c r="U3618" i="1"/>
  <c r="T3618" i="1"/>
  <c r="S3618" i="1"/>
  <c r="W3617" i="1"/>
  <c r="V3617" i="1"/>
  <c r="U3617" i="1"/>
  <c r="T3617" i="1"/>
  <c r="S3617" i="1"/>
  <c r="W3616" i="1"/>
  <c r="V3616" i="1"/>
  <c r="U3616" i="1"/>
  <c r="T3616" i="1"/>
  <c r="S3616" i="1"/>
  <c r="W3615" i="1"/>
  <c r="V3615" i="1"/>
  <c r="U3615" i="1"/>
  <c r="T3615" i="1"/>
  <c r="S3615" i="1"/>
  <c r="W3614" i="1"/>
  <c r="V3614" i="1"/>
  <c r="U3614" i="1"/>
  <c r="T3614" i="1"/>
  <c r="S3614" i="1"/>
  <c r="W3613" i="1"/>
  <c r="V3613" i="1"/>
  <c r="U3613" i="1"/>
  <c r="T3613" i="1"/>
  <c r="S3613" i="1"/>
  <c r="W3612" i="1"/>
  <c r="V3612" i="1"/>
  <c r="U3612" i="1"/>
  <c r="T3612" i="1"/>
  <c r="S3612" i="1"/>
  <c r="W3611" i="1"/>
  <c r="V3611" i="1"/>
  <c r="U3611" i="1"/>
  <c r="T3611" i="1"/>
  <c r="S3611" i="1"/>
  <c r="W3610" i="1"/>
  <c r="V3610" i="1"/>
  <c r="U3610" i="1"/>
  <c r="T3610" i="1"/>
  <c r="S3610" i="1"/>
  <c r="W3609" i="1"/>
  <c r="V3609" i="1"/>
  <c r="U3609" i="1"/>
  <c r="T3609" i="1"/>
  <c r="S3609" i="1"/>
  <c r="W3608" i="1"/>
  <c r="V3608" i="1"/>
  <c r="U3608" i="1"/>
  <c r="T3608" i="1"/>
  <c r="S3608" i="1"/>
  <c r="W3607" i="1"/>
  <c r="V3607" i="1"/>
  <c r="U3607" i="1"/>
  <c r="T3607" i="1"/>
  <c r="S3607" i="1"/>
  <c r="W3606" i="1"/>
  <c r="V3606" i="1"/>
  <c r="U3606" i="1"/>
  <c r="T3606" i="1"/>
  <c r="S3606" i="1"/>
  <c r="W3605" i="1"/>
  <c r="V3605" i="1"/>
  <c r="U3605" i="1"/>
  <c r="T3605" i="1"/>
  <c r="S3605" i="1"/>
  <c r="W3604" i="1"/>
  <c r="V3604" i="1"/>
  <c r="U3604" i="1"/>
  <c r="T3604" i="1"/>
  <c r="S3604" i="1"/>
  <c r="W3603" i="1"/>
  <c r="V3603" i="1"/>
  <c r="U3603" i="1"/>
  <c r="T3603" i="1"/>
  <c r="S3603" i="1"/>
  <c r="W3602" i="1"/>
  <c r="V3602" i="1"/>
  <c r="U3602" i="1"/>
  <c r="T3602" i="1"/>
  <c r="S3602" i="1"/>
  <c r="W3601" i="1"/>
  <c r="V3601" i="1"/>
  <c r="U3601" i="1"/>
  <c r="T3601" i="1"/>
  <c r="S3601" i="1"/>
  <c r="W3600" i="1"/>
  <c r="V3600" i="1"/>
  <c r="U3600" i="1"/>
  <c r="T3600" i="1"/>
  <c r="S3600" i="1"/>
  <c r="W3599" i="1"/>
  <c r="V3599" i="1"/>
  <c r="U3599" i="1"/>
  <c r="T3599" i="1"/>
  <c r="S3599" i="1"/>
  <c r="W3598" i="1"/>
  <c r="V3598" i="1"/>
  <c r="U3598" i="1"/>
  <c r="T3598" i="1"/>
  <c r="S3598" i="1"/>
  <c r="W3597" i="1"/>
  <c r="V3597" i="1"/>
  <c r="U3597" i="1"/>
  <c r="T3597" i="1"/>
  <c r="S3597" i="1"/>
  <c r="W3596" i="1"/>
  <c r="V3596" i="1"/>
  <c r="U3596" i="1"/>
  <c r="T3596" i="1"/>
  <c r="S3596" i="1"/>
  <c r="W3595" i="1"/>
  <c r="V3595" i="1"/>
  <c r="U3595" i="1"/>
  <c r="T3595" i="1"/>
  <c r="S3595" i="1"/>
  <c r="W3594" i="1"/>
  <c r="V3594" i="1"/>
  <c r="U3594" i="1"/>
  <c r="T3594" i="1"/>
  <c r="S3594" i="1"/>
  <c r="W3593" i="1"/>
  <c r="V3593" i="1"/>
  <c r="U3593" i="1"/>
  <c r="T3593" i="1"/>
  <c r="S3593" i="1"/>
  <c r="W3592" i="1"/>
  <c r="V3592" i="1"/>
  <c r="U3592" i="1"/>
  <c r="T3592" i="1"/>
  <c r="S3592" i="1"/>
  <c r="W3591" i="1"/>
  <c r="V3591" i="1"/>
  <c r="U3591" i="1"/>
  <c r="T3591" i="1"/>
  <c r="S3591" i="1"/>
  <c r="W3590" i="1"/>
  <c r="V3590" i="1"/>
  <c r="U3590" i="1"/>
  <c r="T3590" i="1"/>
  <c r="S3590" i="1"/>
  <c r="W3589" i="1"/>
  <c r="V3589" i="1"/>
  <c r="U3589" i="1"/>
  <c r="T3589" i="1"/>
  <c r="S3589" i="1"/>
  <c r="W3588" i="1"/>
  <c r="V3588" i="1"/>
  <c r="U3588" i="1"/>
  <c r="T3588" i="1"/>
  <c r="S3588" i="1"/>
  <c r="W3587" i="1"/>
  <c r="V3587" i="1"/>
  <c r="U3587" i="1"/>
  <c r="T3587" i="1"/>
  <c r="S3587" i="1"/>
  <c r="W3586" i="1"/>
  <c r="V3586" i="1"/>
  <c r="U3586" i="1"/>
  <c r="T3586" i="1"/>
  <c r="S3586" i="1"/>
  <c r="W3585" i="1"/>
  <c r="V3585" i="1"/>
  <c r="U3585" i="1"/>
  <c r="T3585" i="1"/>
  <c r="S3585" i="1"/>
  <c r="W3584" i="1"/>
  <c r="V3584" i="1"/>
  <c r="U3584" i="1"/>
  <c r="T3584" i="1"/>
  <c r="S3584" i="1"/>
  <c r="W3583" i="1"/>
  <c r="V3583" i="1"/>
  <c r="U3583" i="1"/>
  <c r="T3583" i="1"/>
  <c r="S3583" i="1"/>
  <c r="W3582" i="1"/>
  <c r="V3582" i="1"/>
  <c r="U3582" i="1"/>
  <c r="T3582" i="1"/>
  <c r="S3582" i="1"/>
  <c r="W3581" i="1"/>
  <c r="V3581" i="1"/>
  <c r="U3581" i="1"/>
  <c r="T3581" i="1"/>
  <c r="S3581" i="1"/>
  <c r="W3580" i="1"/>
  <c r="V3580" i="1"/>
  <c r="U3580" i="1"/>
  <c r="T3580" i="1"/>
  <c r="S3580" i="1"/>
  <c r="W3579" i="1"/>
  <c r="V3579" i="1"/>
  <c r="U3579" i="1"/>
  <c r="T3579" i="1"/>
  <c r="S3579" i="1"/>
  <c r="W3578" i="1"/>
  <c r="V3578" i="1"/>
  <c r="U3578" i="1"/>
  <c r="T3578" i="1"/>
  <c r="S3578" i="1"/>
  <c r="W3577" i="1"/>
  <c r="V3577" i="1"/>
  <c r="U3577" i="1"/>
  <c r="T3577" i="1"/>
  <c r="S3577" i="1"/>
  <c r="W3576" i="1"/>
  <c r="V3576" i="1"/>
  <c r="U3576" i="1"/>
  <c r="T3576" i="1"/>
  <c r="S3576" i="1"/>
  <c r="W3575" i="1"/>
  <c r="V3575" i="1"/>
  <c r="U3575" i="1"/>
  <c r="T3575" i="1"/>
  <c r="S3575" i="1"/>
  <c r="W3574" i="1"/>
  <c r="V3574" i="1"/>
  <c r="U3574" i="1"/>
  <c r="T3574" i="1"/>
  <c r="S3574" i="1"/>
  <c r="W3573" i="1"/>
  <c r="V3573" i="1"/>
  <c r="U3573" i="1"/>
  <c r="T3573" i="1"/>
  <c r="S3573" i="1"/>
  <c r="W3572" i="1"/>
  <c r="V3572" i="1"/>
  <c r="U3572" i="1"/>
  <c r="T3572" i="1"/>
  <c r="S3572" i="1"/>
  <c r="W3571" i="1"/>
  <c r="V3571" i="1"/>
  <c r="U3571" i="1"/>
  <c r="T3571" i="1"/>
  <c r="S3571" i="1"/>
  <c r="W3570" i="1"/>
  <c r="V3570" i="1"/>
  <c r="U3570" i="1"/>
  <c r="T3570" i="1"/>
  <c r="S3570" i="1"/>
  <c r="W3569" i="1"/>
  <c r="V3569" i="1"/>
  <c r="U3569" i="1"/>
  <c r="T3569" i="1"/>
  <c r="S3569" i="1"/>
  <c r="W3568" i="1"/>
  <c r="V3568" i="1"/>
  <c r="U3568" i="1"/>
  <c r="T3568" i="1"/>
  <c r="S3568" i="1"/>
  <c r="W3567" i="1"/>
  <c r="V3567" i="1"/>
  <c r="U3567" i="1"/>
  <c r="T3567" i="1"/>
  <c r="S3567" i="1"/>
  <c r="W3566" i="1"/>
  <c r="V3566" i="1"/>
  <c r="U3566" i="1"/>
  <c r="T3566" i="1"/>
  <c r="S3566" i="1"/>
  <c r="W3565" i="1"/>
  <c r="V3565" i="1"/>
  <c r="U3565" i="1"/>
  <c r="T3565" i="1"/>
  <c r="S3565" i="1"/>
  <c r="W3564" i="1"/>
  <c r="V3564" i="1"/>
  <c r="U3564" i="1"/>
  <c r="T3564" i="1"/>
  <c r="S3564" i="1"/>
  <c r="W3563" i="1"/>
  <c r="V3563" i="1"/>
  <c r="U3563" i="1"/>
  <c r="T3563" i="1"/>
  <c r="S3563" i="1"/>
  <c r="W3562" i="1"/>
  <c r="V3562" i="1"/>
  <c r="U3562" i="1"/>
  <c r="T3562" i="1"/>
  <c r="S3562" i="1"/>
  <c r="W3561" i="1"/>
  <c r="V3561" i="1"/>
  <c r="U3561" i="1"/>
  <c r="T3561" i="1"/>
  <c r="S3561" i="1"/>
  <c r="W3560" i="1"/>
  <c r="V3560" i="1"/>
  <c r="U3560" i="1"/>
  <c r="T3560" i="1"/>
  <c r="S3560" i="1"/>
  <c r="W3559" i="1"/>
  <c r="V3559" i="1"/>
  <c r="U3559" i="1"/>
  <c r="T3559" i="1"/>
  <c r="S3559" i="1"/>
  <c r="W3558" i="1"/>
  <c r="V3558" i="1"/>
  <c r="U3558" i="1"/>
  <c r="T3558" i="1"/>
  <c r="S3558" i="1"/>
  <c r="W3557" i="1"/>
  <c r="V3557" i="1"/>
  <c r="U3557" i="1"/>
  <c r="T3557" i="1"/>
  <c r="S3557" i="1"/>
  <c r="W3556" i="1"/>
  <c r="V3556" i="1"/>
  <c r="U3556" i="1"/>
  <c r="T3556" i="1"/>
  <c r="S3556" i="1"/>
  <c r="W3555" i="1"/>
  <c r="V3555" i="1"/>
  <c r="U3555" i="1"/>
  <c r="T3555" i="1"/>
  <c r="S3555" i="1"/>
  <c r="W3554" i="1"/>
  <c r="V3554" i="1"/>
  <c r="U3554" i="1"/>
  <c r="T3554" i="1"/>
  <c r="S3554" i="1"/>
  <c r="W3553" i="1"/>
  <c r="V3553" i="1"/>
  <c r="U3553" i="1"/>
  <c r="T3553" i="1"/>
  <c r="S3553" i="1"/>
  <c r="W3552" i="1"/>
  <c r="V3552" i="1"/>
  <c r="U3552" i="1"/>
  <c r="T3552" i="1"/>
  <c r="S3552" i="1"/>
  <c r="W3551" i="1"/>
  <c r="V3551" i="1"/>
  <c r="U3551" i="1"/>
  <c r="T3551" i="1"/>
  <c r="S3551" i="1"/>
  <c r="W3550" i="1"/>
  <c r="V3550" i="1"/>
  <c r="U3550" i="1"/>
  <c r="T3550" i="1"/>
  <c r="S3550" i="1"/>
  <c r="W3549" i="1"/>
  <c r="V3549" i="1"/>
  <c r="U3549" i="1"/>
  <c r="T3549" i="1"/>
  <c r="S3549" i="1"/>
  <c r="W3548" i="1"/>
  <c r="V3548" i="1"/>
  <c r="U3548" i="1"/>
  <c r="T3548" i="1"/>
  <c r="S3548" i="1"/>
  <c r="W3547" i="1"/>
  <c r="V3547" i="1"/>
  <c r="U3547" i="1"/>
  <c r="T3547" i="1"/>
  <c r="S3547" i="1"/>
  <c r="W3546" i="1"/>
  <c r="V3546" i="1"/>
  <c r="U3546" i="1"/>
  <c r="T3546" i="1"/>
  <c r="S3546" i="1"/>
  <c r="W3545" i="1"/>
  <c r="V3545" i="1"/>
  <c r="U3545" i="1"/>
  <c r="T3545" i="1"/>
  <c r="S3545" i="1"/>
  <c r="W3544" i="1"/>
  <c r="V3544" i="1"/>
  <c r="U3544" i="1"/>
  <c r="T3544" i="1"/>
  <c r="S3544" i="1"/>
  <c r="W3543" i="1"/>
  <c r="V3543" i="1"/>
  <c r="U3543" i="1"/>
  <c r="T3543" i="1"/>
  <c r="S3543" i="1"/>
  <c r="W3542" i="1"/>
  <c r="V3542" i="1"/>
  <c r="U3542" i="1"/>
  <c r="T3542" i="1"/>
  <c r="S3542" i="1"/>
  <c r="W3541" i="1"/>
  <c r="V3541" i="1"/>
  <c r="U3541" i="1"/>
  <c r="T3541" i="1"/>
  <c r="S3541" i="1"/>
  <c r="W3540" i="1"/>
  <c r="V3540" i="1"/>
  <c r="U3540" i="1"/>
  <c r="T3540" i="1"/>
  <c r="S3540" i="1"/>
  <c r="W3539" i="1"/>
  <c r="V3539" i="1"/>
  <c r="U3539" i="1"/>
  <c r="T3539" i="1"/>
  <c r="S3539" i="1"/>
  <c r="W3538" i="1"/>
  <c r="V3538" i="1"/>
  <c r="U3538" i="1"/>
  <c r="T3538" i="1"/>
  <c r="S3538" i="1"/>
  <c r="W3537" i="1"/>
  <c r="V3537" i="1"/>
  <c r="U3537" i="1"/>
  <c r="T3537" i="1"/>
  <c r="S3537" i="1"/>
  <c r="W3536" i="1"/>
  <c r="V3536" i="1"/>
  <c r="U3536" i="1"/>
  <c r="T3536" i="1"/>
  <c r="S3536" i="1"/>
  <c r="W3535" i="1"/>
  <c r="V3535" i="1"/>
  <c r="U3535" i="1"/>
  <c r="T3535" i="1"/>
  <c r="S3535" i="1"/>
  <c r="W3534" i="1"/>
  <c r="V3534" i="1"/>
  <c r="U3534" i="1"/>
  <c r="T3534" i="1"/>
  <c r="S3534" i="1"/>
  <c r="W3533" i="1"/>
  <c r="V3533" i="1"/>
  <c r="U3533" i="1"/>
  <c r="T3533" i="1"/>
  <c r="S3533" i="1"/>
  <c r="W3532" i="1"/>
  <c r="V3532" i="1"/>
  <c r="U3532" i="1"/>
  <c r="T3532" i="1"/>
  <c r="S3532" i="1"/>
  <c r="W3531" i="1"/>
  <c r="V3531" i="1"/>
  <c r="U3531" i="1"/>
  <c r="T3531" i="1"/>
  <c r="S3531" i="1"/>
  <c r="W3530" i="1"/>
  <c r="V3530" i="1"/>
  <c r="U3530" i="1"/>
  <c r="T3530" i="1"/>
  <c r="S3530" i="1"/>
  <c r="W3529" i="1"/>
  <c r="V3529" i="1"/>
  <c r="U3529" i="1"/>
  <c r="T3529" i="1"/>
  <c r="S3529" i="1"/>
  <c r="W3528" i="1"/>
  <c r="V3528" i="1"/>
  <c r="U3528" i="1"/>
  <c r="T3528" i="1"/>
  <c r="S3528" i="1"/>
  <c r="W3527" i="1"/>
  <c r="V3527" i="1"/>
  <c r="U3527" i="1"/>
  <c r="T3527" i="1"/>
  <c r="S3527" i="1"/>
  <c r="W3526" i="1"/>
  <c r="V3526" i="1"/>
  <c r="U3526" i="1"/>
  <c r="T3526" i="1"/>
  <c r="S3526" i="1"/>
  <c r="W3525" i="1"/>
  <c r="V3525" i="1"/>
  <c r="U3525" i="1"/>
  <c r="T3525" i="1"/>
  <c r="S3525" i="1"/>
  <c r="W3524" i="1"/>
  <c r="V3524" i="1"/>
  <c r="U3524" i="1"/>
  <c r="T3524" i="1"/>
  <c r="S3524" i="1"/>
  <c r="W3523" i="1"/>
  <c r="V3523" i="1"/>
  <c r="U3523" i="1"/>
  <c r="T3523" i="1"/>
  <c r="S3523" i="1"/>
  <c r="W3522" i="1"/>
  <c r="V3522" i="1"/>
  <c r="U3522" i="1"/>
  <c r="T3522" i="1"/>
  <c r="S3522" i="1"/>
  <c r="W3521" i="1"/>
  <c r="V3521" i="1"/>
  <c r="U3521" i="1"/>
  <c r="T3521" i="1"/>
  <c r="S3521" i="1"/>
  <c r="W3520" i="1"/>
  <c r="V3520" i="1"/>
  <c r="U3520" i="1"/>
  <c r="T3520" i="1"/>
  <c r="S3520" i="1"/>
  <c r="W3519" i="1"/>
  <c r="V3519" i="1"/>
  <c r="U3519" i="1"/>
  <c r="T3519" i="1"/>
  <c r="S3519" i="1"/>
  <c r="W3518" i="1"/>
  <c r="V3518" i="1"/>
  <c r="U3518" i="1"/>
  <c r="T3518" i="1"/>
  <c r="S3518" i="1"/>
  <c r="W3517" i="1"/>
  <c r="V3517" i="1"/>
  <c r="U3517" i="1"/>
  <c r="T3517" i="1"/>
  <c r="S3517" i="1"/>
  <c r="W3516" i="1"/>
  <c r="V3516" i="1"/>
  <c r="U3516" i="1"/>
  <c r="T3516" i="1"/>
  <c r="S3516" i="1"/>
  <c r="W3515" i="1"/>
  <c r="V3515" i="1"/>
  <c r="U3515" i="1"/>
  <c r="T3515" i="1"/>
  <c r="S3515" i="1"/>
  <c r="W3514" i="1"/>
  <c r="V3514" i="1"/>
  <c r="U3514" i="1"/>
  <c r="T3514" i="1"/>
  <c r="S3514" i="1"/>
  <c r="W3513" i="1"/>
  <c r="V3513" i="1"/>
  <c r="U3513" i="1"/>
  <c r="T3513" i="1"/>
  <c r="S3513" i="1"/>
  <c r="W3512" i="1"/>
  <c r="V3512" i="1"/>
  <c r="U3512" i="1"/>
  <c r="T3512" i="1"/>
  <c r="S3512" i="1"/>
  <c r="W3511" i="1"/>
  <c r="V3511" i="1"/>
  <c r="U3511" i="1"/>
  <c r="T3511" i="1"/>
  <c r="S3511" i="1"/>
  <c r="W3510" i="1"/>
  <c r="V3510" i="1"/>
  <c r="U3510" i="1"/>
  <c r="T3510" i="1"/>
  <c r="S3510" i="1"/>
  <c r="W3509" i="1"/>
  <c r="V3509" i="1"/>
  <c r="U3509" i="1"/>
  <c r="T3509" i="1"/>
  <c r="S3509" i="1"/>
  <c r="W3508" i="1"/>
  <c r="V3508" i="1"/>
  <c r="U3508" i="1"/>
  <c r="T3508" i="1"/>
  <c r="S3508" i="1"/>
  <c r="W3507" i="1"/>
  <c r="V3507" i="1"/>
  <c r="U3507" i="1"/>
  <c r="T3507" i="1"/>
  <c r="S3507" i="1"/>
  <c r="W3506" i="1"/>
  <c r="V3506" i="1"/>
  <c r="U3506" i="1"/>
  <c r="T3506" i="1"/>
  <c r="S3506" i="1"/>
  <c r="W3505" i="1"/>
  <c r="V3505" i="1"/>
  <c r="U3505" i="1"/>
  <c r="T3505" i="1"/>
  <c r="S3505" i="1"/>
  <c r="W3504" i="1"/>
  <c r="V3504" i="1"/>
  <c r="U3504" i="1"/>
  <c r="T3504" i="1"/>
  <c r="S3504" i="1"/>
  <c r="W3503" i="1"/>
  <c r="V3503" i="1"/>
  <c r="U3503" i="1"/>
  <c r="T3503" i="1"/>
  <c r="S3503" i="1"/>
  <c r="W3502" i="1"/>
  <c r="V3502" i="1"/>
  <c r="U3502" i="1"/>
  <c r="T3502" i="1"/>
  <c r="S3502" i="1"/>
  <c r="W3501" i="1"/>
  <c r="V3501" i="1"/>
  <c r="U3501" i="1"/>
  <c r="T3501" i="1"/>
  <c r="S3501" i="1"/>
  <c r="W3500" i="1"/>
  <c r="V3500" i="1"/>
  <c r="U3500" i="1"/>
  <c r="T3500" i="1"/>
  <c r="S3500" i="1"/>
  <c r="W3499" i="1"/>
  <c r="V3499" i="1"/>
  <c r="U3499" i="1"/>
  <c r="T3499" i="1"/>
  <c r="S3499" i="1"/>
  <c r="W3498" i="1"/>
  <c r="V3498" i="1"/>
  <c r="U3498" i="1"/>
  <c r="T3498" i="1"/>
  <c r="S3498" i="1"/>
  <c r="W3497" i="1"/>
  <c r="V3497" i="1"/>
  <c r="U3497" i="1"/>
  <c r="T3497" i="1"/>
  <c r="S3497" i="1"/>
  <c r="W3496" i="1"/>
  <c r="V3496" i="1"/>
  <c r="U3496" i="1"/>
  <c r="T3496" i="1"/>
  <c r="S3496" i="1"/>
  <c r="W3495" i="1"/>
  <c r="V3495" i="1"/>
  <c r="U3495" i="1"/>
  <c r="T3495" i="1"/>
  <c r="S3495" i="1"/>
  <c r="W3494" i="1"/>
  <c r="V3494" i="1"/>
  <c r="U3494" i="1"/>
  <c r="T3494" i="1"/>
  <c r="S3494" i="1"/>
  <c r="W3493" i="1"/>
  <c r="V3493" i="1"/>
  <c r="U3493" i="1"/>
  <c r="T3493" i="1"/>
  <c r="S3493" i="1"/>
  <c r="W3492" i="1"/>
  <c r="V3492" i="1"/>
  <c r="U3492" i="1"/>
  <c r="T3492" i="1"/>
  <c r="S3492" i="1"/>
  <c r="W3491" i="1"/>
  <c r="V3491" i="1"/>
  <c r="U3491" i="1"/>
  <c r="T3491" i="1"/>
  <c r="S3491" i="1"/>
  <c r="W3490" i="1"/>
  <c r="V3490" i="1"/>
  <c r="U3490" i="1"/>
  <c r="T3490" i="1"/>
  <c r="S3490" i="1"/>
  <c r="W3489" i="1"/>
  <c r="V3489" i="1"/>
  <c r="U3489" i="1"/>
  <c r="T3489" i="1"/>
  <c r="S3489" i="1"/>
  <c r="W3488" i="1"/>
  <c r="V3488" i="1"/>
  <c r="U3488" i="1"/>
  <c r="T3488" i="1"/>
  <c r="S3488" i="1"/>
  <c r="W3487" i="1"/>
  <c r="V3487" i="1"/>
  <c r="U3487" i="1"/>
  <c r="T3487" i="1"/>
  <c r="S3487" i="1"/>
  <c r="W3486" i="1"/>
  <c r="V3486" i="1"/>
  <c r="U3486" i="1"/>
  <c r="T3486" i="1"/>
  <c r="S3486" i="1"/>
  <c r="W3485" i="1"/>
  <c r="V3485" i="1"/>
  <c r="U3485" i="1"/>
  <c r="T3485" i="1"/>
  <c r="S3485" i="1"/>
  <c r="W3484" i="1"/>
  <c r="V3484" i="1"/>
  <c r="U3484" i="1"/>
  <c r="T3484" i="1"/>
  <c r="S3484" i="1"/>
  <c r="W3483" i="1"/>
  <c r="V3483" i="1"/>
  <c r="U3483" i="1"/>
  <c r="T3483" i="1"/>
  <c r="S3483" i="1"/>
  <c r="W3482" i="1"/>
  <c r="V3482" i="1"/>
  <c r="U3482" i="1"/>
  <c r="T3482" i="1"/>
  <c r="S3482" i="1"/>
  <c r="W3481" i="1"/>
  <c r="V3481" i="1"/>
  <c r="U3481" i="1"/>
  <c r="T3481" i="1"/>
  <c r="S3481" i="1"/>
  <c r="W3480" i="1"/>
  <c r="V3480" i="1"/>
  <c r="U3480" i="1"/>
  <c r="T3480" i="1"/>
  <c r="S3480" i="1"/>
  <c r="W3479" i="1"/>
  <c r="V3479" i="1"/>
  <c r="U3479" i="1"/>
  <c r="T3479" i="1"/>
  <c r="S3479" i="1"/>
  <c r="W3478" i="1"/>
  <c r="V3478" i="1"/>
  <c r="U3478" i="1"/>
  <c r="T3478" i="1"/>
  <c r="S3478" i="1"/>
  <c r="W3477" i="1"/>
  <c r="V3477" i="1"/>
  <c r="U3477" i="1"/>
  <c r="T3477" i="1"/>
  <c r="S3477" i="1"/>
  <c r="W3476" i="1"/>
  <c r="V3476" i="1"/>
  <c r="U3476" i="1"/>
  <c r="T3476" i="1"/>
  <c r="S3476" i="1"/>
  <c r="W3475" i="1"/>
  <c r="V3475" i="1"/>
  <c r="U3475" i="1"/>
  <c r="T3475" i="1"/>
  <c r="S3475" i="1"/>
  <c r="W3474" i="1"/>
  <c r="V3474" i="1"/>
  <c r="U3474" i="1"/>
  <c r="T3474" i="1"/>
  <c r="S3474" i="1"/>
  <c r="W3473" i="1"/>
  <c r="V3473" i="1"/>
  <c r="U3473" i="1"/>
  <c r="T3473" i="1"/>
  <c r="S3473" i="1"/>
  <c r="W3472" i="1"/>
  <c r="V3472" i="1"/>
  <c r="U3472" i="1"/>
  <c r="T3472" i="1"/>
  <c r="S3472" i="1"/>
  <c r="W3471" i="1"/>
  <c r="V3471" i="1"/>
  <c r="U3471" i="1"/>
  <c r="T3471" i="1"/>
  <c r="S3471" i="1"/>
  <c r="W3470" i="1"/>
  <c r="V3470" i="1"/>
  <c r="U3470" i="1"/>
  <c r="T3470" i="1"/>
  <c r="S3470" i="1"/>
  <c r="W3469" i="1"/>
  <c r="V3469" i="1"/>
  <c r="U3469" i="1"/>
  <c r="T3469" i="1"/>
  <c r="S3469" i="1"/>
  <c r="W3468" i="1"/>
  <c r="V3468" i="1"/>
  <c r="U3468" i="1"/>
  <c r="T3468" i="1"/>
  <c r="S3468" i="1"/>
  <c r="W3467" i="1"/>
  <c r="V3467" i="1"/>
  <c r="U3467" i="1"/>
  <c r="T3467" i="1"/>
  <c r="S3467" i="1"/>
  <c r="W3466" i="1"/>
  <c r="V3466" i="1"/>
  <c r="U3466" i="1"/>
  <c r="T3466" i="1"/>
  <c r="S3466" i="1"/>
  <c r="W3465" i="1"/>
  <c r="V3465" i="1"/>
  <c r="U3465" i="1"/>
  <c r="T3465" i="1"/>
  <c r="S3465" i="1"/>
  <c r="W3464" i="1"/>
  <c r="V3464" i="1"/>
  <c r="U3464" i="1"/>
  <c r="T3464" i="1"/>
  <c r="S3464" i="1"/>
  <c r="W3463" i="1"/>
  <c r="V3463" i="1"/>
  <c r="U3463" i="1"/>
  <c r="T3463" i="1"/>
  <c r="S3463" i="1"/>
  <c r="W3462" i="1"/>
  <c r="V3462" i="1"/>
  <c r="U3462" i="1"/>
  <c r="T3462" i="1"/>
  <c r="S3462" i="1"/>
  <c r="W3461" i="1"/>
  <c r="V3461" i="1"/>
  <c r="U3461" i="1"/>
  <c r="T3461" i="1"/>
  <c r="S3461" i="1"/>
  <c r="W3460" i="1"/>
  <c r="V3460" i="1"/>
  <c r="U3460" i="1"/>
  <c r="T3460" i="1"/>
  <c r="S3460" i="1"/>
  <c r="W3459" i="1"/>
  <c r="V3459" i="1"/>
  <c r="U3459" i="1"/>
  <c r="T3459" i="1"/>
  <c r="S3459" i="1"/>
  <c r="W3458" i="1"/>
  <c r="V3458" i="1"/>
  <c r="U3458" i="1"/>
  <c r="T3458" i="1"/>
  <c r="S3458" i="1"/>
  <c r="W3457" i="1"/>
  <c r="V3457" i="1"/>
  <c r="U3457" i="1"/>
  <c r="T3457" i="1"/>
  <c r="S3457" i="1"/>
  <c r="W3456" i="1"/>
  <c r="V3456" i="1"/>
  <c r="U3456" i="1"/>
  <c r="T3456" i="1"/>
  <c r="S3456" i="1"/>
  <c r="W3455" i="1"/>
  <c r="V3455" i="1"/>
  <c r="U3455" i="1"/>
  <c r="T3455" i="1"/>
  <c r="S3455" i="1"/>
  <c r="W3454" i="1"/>
  <c r="V3454" i="1"/>
  <c r="U3454" i="1"/>
  <c r="T3454" i="1"/>
  <c r="S3454" i="1"/>
  <c r="W3453" i="1"/>
  <c r="V3453" i="1"/>
  <c r="U3453" i="1"/>
  <c r="T3453" i="1"/>
  <c r="S3453" i="1"/>
  <c r="W3452" i="1"/>
  <c r="V3452" i="1"/>
  <c r="U3452" i="1"/>
  <c r="T3452" i="1"/>
  <c r="S3452" i="1"/>
  <c r="W3451" i="1"/>
  <c r="V3451" i="1"/>
  <c r="U3451" i="1"/>
  <c r="T3451" i="1"/>
  <c r="S3451" i="1"/>
  <c r="W3450" i="1"/>
  <c r="V3450" i="1"/>
  <c r="U3450" i="1"/>
  <c r="T3450" i="1"/>
  <c r="S3450" i="1"/>
  <c r="W3449" i="1"/>
  <c r="V3449" i="1"/>
  <c r="U3449" i="1"/>
  <c r="T3449" i="1"/>
  <c r="S3449" i="1"/>
  <c r="W3448" i="1"/>
  <c r="V3448" i="1"/>
  <c r="U3448" i="1"/>
  <c r="T3448" i="1"/>
  <c r="S3448" i="1"/>
  <c r="W3447" i="1"/>
  <c r="V3447" i="1"/>
  <c r="U3447" i="1"/>
  <c r="T3447" i="1"/>
  <c r="S3447" i="1"/>
  <c r="W3446" i="1"/>
  <c r="V3446" i="1"/>
  <c r="U3446" i="1"/>
  <c r="T3446" i="1"/>
  <c r="S3446" i="1"/>
  <c r="W3445" i="1"/>
  <c r="V3445" i="1"/>
  <c r="U3445" i="1"/>
  <c r="T3445" i="1"/>
  <c r="S3445" i="1"/>
  <c r="W3444" i="1"/>
  <c r="V3444" i="1"/>
  <c r="U3444" i="1"/>
  <c r="T3444" i="1"/>
  <c r="S3444" i="1"/>
  <c r="W3443" i="1"/>
  <c r="V3443" i="1"/>
  <c r="U3443" i="1"/>
  <c r="T3443" i="1"/>
  <c r="S3443" i="1"/>
  <c r="W3442" i="1"/>
  <c r="V3442" i="1"/>
  <c r="U3442" i="1"/>
  <c r="T3442" i="1"/>
  <c r="S3442" i="1"/>
  <c r="W3441" i="1"/>
  <c r="V3441" i="1"/>
  <c r="U3441" i="1"/>
  <c r="T3441" i="1"/>
  <c r="S3441" i="1"/>
  <c r="W3440" i="1"/>
  <c r="V3440" i="1"/>
  <c r="U3440" i="1"/>
  <c r="T3440" i="1"/>
  <c r="S3440" i="1"/>
  <c r="W3439" i="1"/>
  <c r="V3439" i="1"/>
  <c r="U3439" i="1"/>
  <c r="T3439" i="1"/>
  <c r="S3439" i="1"/>
  <c r="W3438" i="1"/>
  <c r="V3438" i="1"/>
  <c r="U3438" i="1"/>
  <c r="T3438" i="1"/>
  <c r="S3438" i="1"/>
  <c r="W3437" i="1"/>
  <c r="V3437" i="1"/>
  <c r="U3437" i="1"/>
  <c r="T3437" i="1"/>
  <c r="S3437" i="1"/>
  <c r="W3436" i="1"/>
  <c r="V3436" i="1"/>
  <c r="U3436" i="1"/>
  <c r="T3436" i="1"/>
  <c r="S3436" i="1"/>
  <c r="W3435" i="1"/>
  <c r="V3435" i="1"/>
  <c r="U3435" i="1"/>
  <c r="T3435" i="1"/>
  <c r="S3435" i="1"/>
  <c r="W3434" i="1"/>
  <c r="V3434" i="1"/>
  <c r="U3434" i="1"/>
  <c r="T3434" i="1"/>
  <c r="S3434" i="1"/>
  <c r="W3433" i="1"/>
  <c r="V3433" i="1"/>
  <c r="U3433" i="1"/>
  <c r="T3433" i="1"/>
  <c r="S3433" i="1"/>
  <c r="W3432" i="1"/>
  <c r="V3432" i="1"/>
  <c r="U3432" i="1"/>
  <c r="T3432" i="1"/>
  <c r="S3432" i="1"/>
  <c r="W3431" i="1"/>
  <c r="V3431" i="1"/>
  <c r="U3431" i="1"/>
  <c r="T3431" i="1"/>
  <c r="S3431" i="1"/>
  <c r="W3430" i="1"/>
  <c r="V3430" i="1"/>
  <c r="U3430" i="1"/>
  <c r="T3430" i="1"/>
  <c r="S3430" i="1"/>
  <c r="W3429" i="1"/>
  <c r="V3429" i="1"/>
  <c r="U3429" i="1"/>
  <c r="T3429" i="1"/>
  <c r="S3429" i="1"/>
  <c r="W3428" i="1"/>
  <c r="V3428" i="1"/>
  <c r="U3428" i="1"/>
  <c r="T3428" i="1"/>
  <c r="S3428" i="1"/>
  <c r="W3427" i="1"/>
  <c r="V3427" i="1"/>
  <c r="U3427" i="1"/>
  <c r="T3427" i="1"/>
  <c r="S3427" i="1"/>
  <c r="W3426" i="1"/>
  <c r="V3426" i="1"/>
  <c r="U3426" i="1"/>
  <c r="T3426" i="1"/>
  <c r="S3426" i="1"/>
  <c r="W3425" i="1"/>
  <c r="V3425" i="1"/>
  <c r="U3425" i="1"/>
  <c r="T3425" i="1"/>
  <c r="S3425" i="1"/>
  <c r="W3424" i="1"/>
  <c r="V3424" i="1"/>
  <c r="U3424" i="1"/>
  <c r="T3424" i="1"/>
  <c r="S3424" i="1"/>
  <c r="W3423" i="1"/>
  <c r="V3423" i="1"/>
  <c r="U3423" i="1"/>
  <c r="T3423" i="1"/>
  <c r="S3423" i="1"/>
  <c r="W3422" i="1"/>
  <c r="V3422" i="1"/>
  <c r="U3422" i="1"/>
  <c r="T3422" i="1"/>
  <c r="S3422" i="1"/>
  <c r="W3421" i="1"/>
  <c r="V3421" i="1"/>
  <c r="U3421" i="1"/>
  <c r="T3421" i="1"/>
  <c r="S3421" i="1"/>
  <c r="W3420" i="1"/>
  <c r="V3420" i="1"/>
  <c r="U3420" i="1"/>
  <c r="T3420" i="1"/>
  <c r="S3420" i="1"/>
  <c r="W3419" i="1"/>
  <c r="V3419" i="1"/>
  <c r="U3419" i="1"/>
  <c r="T3419" i="1"/>
  <c r="S3419" i="1"/>
  <c r="W3418" i="1"/>
  <c r="V3418" i="1"/>
  <c r="U3418" i="1"/>
  <c r="T3418" i="1"/>
  <c r="S3418" i="1"/>
  <c r="W3417" i="1"/>
  <c r="V3417" i="1"/>
  <c r="U3417" i="1"/>
  <c r="T3417" i="1"/>
  <c r="S3417" i="1"/>
  <c r="W3416" i="1"/>
  <c r="V3416" i="1"/>
  <c r="U3416" i="1"/>
  <c r="T3416" i="1"/>
  <c r="S3416" i="1"/>
  <c r="W3415" i="1"/>
  <c r="V3415" i="1"/>
  <c r="U3415" i="1"/>
  <c r="T3415" i="1"/>
  <c r="S3415" i="1"/>
  <c r="W3414" i="1"/>
  <c r="V3414" i="1"/>
  <c r="U3414" i="1"/>
  <c r="T3414" i="1"/>
  <c r="S3414" i="1"/>
  <c r="W3413" i="1"/>
  <c r="V3413" i="1"/>
  <c r="U3413" i="1"/>
  <c r="T3413" i="1"/>
  <c r="S3413" i="1"/>
  <c r="W3412" i="1"/>
  <c r="V3412" i="1"/>
  <c r="U3412" i="1"/>
  <c r="T3412" i="1"/>
  <c r="S3412" i="1"/>
  <c r="W3411" i="1"/>
  <c r="V3411" i="1"/>
  <c r="U3411" i="1"/>
  <c r="T3411" i="1"/>
  <c r="S3411" i="1"/>
  <c r="W3410" i="1"/>
  <c r="V3410" i="1"/>
  <c r="U3410" i="1"/>
  <c r="T3410" i="1"/>
  <c r="S3410" i="1"/>
  <c r="W3409" i="1"/>
  <c r="V3409" i="1"/>
  <c r="U3409" i="1"/>
  <c r="T3409" i="1"/>
  <c r="S3409" i="1"/>
  <c r="W3408" i="1"/>
  <c r="V3408" i="1"/>
  <c r="U3408" i="1"/>
  <c r="T3408" i="1"/>
  <c r="S3408" i="1"/>
  <c r="W3407" i="1"/>
  <c r="V3407" i="1"/>
  <c r="U3407" i="1"/>
  <c r="T3407" i="1"/>
  <c r="S3407" i="1"/>
  <c r="W3406" i="1"/>
  <c r="V3406" i="1"/>
  <c r="U3406" i="1"/>
  <c r="T3406" i="1"/>
  <c r="S3406" i="1"/>
  <c r="W3405" i="1"/>
  <c r="V3405" i="1"/>
  <c r="U3405" i="1"/>
  <c r="T3405" i="1"/>
  <c r="S3405" i="1"/>
  <c r="W3404" i="1"/>
  <c r="V3404" i="1"/>
  <c r="U3404" i="1"/>
  <c r="T3404" i="1"/>
  <c r="S3404" i="1"/>
  <c r="W3403" i="1"/>
  <c r="V3403" i="1"/>
  <c r="U3403" i="1"/>
  <c r="T3403" i="1"/>
  <c r="S3403" i="1"/>
  <c r="W3402" i="1"/>
  <c r="V3402" i="1"/>
  <c r="U3402" i="1"/>
  <c r="T3402" i="1"/>
  <c r="S3402" i="1"/>
  <c r="W3401" i="1"/>
  <c r="V3401" i="1"/>
  <c r="U3401" i="1"/>
  <c r="T3401" i="1"/>
  <c r="S3401" i="1"/>
  <c r="W3400" i="1"/>
  <c r="V3400" i="1"/>
  <c r="U3400" i="1"/>
  <c r="T3400" i="1"/>
  <c r="S3400" i="1"/>
  <c r="W3399" i="1"/>
  <c r="V3399" i="1"/>
  <c r="U3399" i="1"/>
  <c r="T3399" i="1"/>
  <c r="S3399" i="1"/>
  <c r="W3398" i="1"/>
  <c r="V3398" i="1"/>
  <c r="U3398" i="1"/>
  <c r="T3398" i="1"/>
  <c r="S3398" i="1"/>
  <c r="W3397" i="1"/>
  <c r="V3397" i="1"/>
  <c r="U3397" i="1"/>
  <c r="T3397" i="1"/>
  <c r="S3397" i="1"/>
  <c r="W3396" i="1"/>
  <c r="V3396" i="1"/>
  <c r="U3396" i="1"/>
  <c r="T3396" i="1"/>
  <c r="S3396" i="1"/>
  <c r="W3395" i="1"/>
  <c r="V3395" i="1"/>
  <c r="U3395" i="1"/>
  <c r="T3395" i="1"/>
  <c r="S3395" i="1"/>
  <c r="W3394" i="1"/>
  <c r="V3394" i="1"/>
  <c r="U3394" i="1"/>
  <c r="T3394" i="1"/>
  <c r="S3394" i="1"/>
  <c r="W3393" i="1"/>
  <c r="V3393" i="1"/>
  <c r="U3393" i="1"/>
  <c r="T3393" i="1"/>
  <c r="S3393" i="1"/>
  <c r="W3392" i="1"/>
  <c r="V3392" i="1"/>
  <c r="U3392" i="1"/>
  <c r="T3392" i="1"/>
  <c r="S3392" i="1"/>
  <c r="W3391" i="1"/>
  <c r="V3391" i="1"/>
  <c r="U3391" i="1"/>
  <c r="T3391" i="1"/>
  <c r="S3391" i="1"/>
  <c r="W3390" i="1"/>
  <c r="V3390" i="1"/>
  <c r="U3390" i="1"/>
  <c r="T3390" i="1"/>
  <c r="S3390" i="1"/>
  <c r="W3389" i="1"/>
  <c r="V3389" i="1"/>
  <c r="U3389" i="1"/>
  <c r="T3389" i="1"/>
  <c r="S3389" i="1"/>
  <c r="W3388" i="1"/>
  <c r="V3388" i="1"/>
  <c r="U3388" i="1"/>
  <c r="T3388" i="1"/>
  <c r="S3388" i="1"/>
  <c r="W3387" i="1"/>
  <c r="V3387" i="1"/>
  <c r="U3387" i="1"/>
  <c r="T3387" i="1"/>
  <c r="S3387" i="1"/>
  <c r="W3386" i="1"/>
  <c r="V3386" i="1"/>
  <c r="U3386" i="1"/>
  <c r="T3386" i="1"/>
  <c r="S3386" i="1"/>
  <c r="W3385" i="1"/>
  <c r="V3385" i="1"/>
  <c r="U3385" i="1"/>
  <c r="T3385" i="1"/>
  <c r="S3385" i="1"/>
  <c r="W3384" i="1"/>
  <c r="V3384" i="1"/>
  <c r="U3384" i="1"/>
  <c r="T3384" i="1"/>
  <c r="S3384" i="1"/>
  <c r="W3383" i="1"/>
  <c r="V3383" i="1"/>
  <c r="U3383" i="1"/>
  <c r="T3383" i="1"/>
  <c r="S3383" i="1"/>
  <c r="W3382" i="1"/>
  <c r="V3382" i="1"/>
  <c r="U3382" i="1"/>
  <c r="T3382" i="1"/>
  <c r="S3382" i="1"/>
  <c r="W3381" i="1"/>
  <c r="V3381" i="1"/>
  <c r="U3381" i="1"/>
  <c r="T3381" i="1"/>
  <c r="S3381" i="1"/>
  <c r="W3380" i="1"/>
  <c r="V3380" i="1"/>
  <c r="U3380" i="1"/>
  <c r="T3380" i="1"/>
  <c r="S3380" i="1"/>
  <c r="W3379" i="1"/>
  <c r="V3379" i="1"/>
  <c r="U3379" i="1"/>
  <c r="T3379" i="1"/>
  <c r="S3379" i="1"/>
  <c r="W3378" i="1"/>
  <c r="V3378" i="1"/>
  <c r="U3378" i="1"/>
  <c r="T3378" i="1"/>
  <c r="S3378" i="1"/>
  <c r="W3377" i="1"/>
  <c r="V3377" i="1"/>
  <c r="U3377" i="1"/>
  <c r="T3377" i="1"/>
  <c r="S3377" i="1"/>
  <c r="W3376" i="1"/>
  <c r="V3376" i="1"/>
  <c r="U3376" i="1"/>
  <c r="T3376" i="1"/>
  <c r="S3376" i="1"/>
  <c r="W3375" i="1"/>
  <c r="V3375" i="1"/>
  <c r="U3375" i="1"/>
  <c r="T3375" i="1"/>
  <c r="S3375" i="1"/>
  <c r="W3374" i="1"/>
  <c r="V3374" i="1"/>
  <c r="U3374" i="1"/>
  <c r="T3374" i="1"/>
  <c r="S3374" i="1"/>
  <c r="W3373" i="1"/>
  <c r="V3373" i="1"/>
  <c r="U3373" i="1"/>
  <c r="T3373" i="1"/>
  <c r="S3373" i="1"/>
  <c r="W3372" i="1"/>
  <c r="V3372" i="1"/>
  <c r="U3372" i="1"/>
  <c r="T3372" i="1"/>
  <c r="S3372" i="1"/>
  <c r="W3371" i="1"/>
  <c r="V3371" i="1"/>
  <c r="U3371" i="1"/>
  <c r="T3371" i="1"/>
  <c r="S3371" i="1"/>
  <c r="W3370" i="1"/>
  <c r="V3370" i="1"/>
  <c r="U3370" i="1"/>
  <c r="T3370" i="1"/>
  <c r="S3370" i="1"/>
  <c r="W3369" i="1"/>
  <c r="V3369" i="1"/>
  <c r="U3369" i="1"/>
  <c r="T3369" i="1"/>
  <c r="S3369" i="1"/>
  <c r="W3368" i="1"/>
  <c r="V3368" i="1"/>
  <c r="U3368" i="1"/>
  <c r="T3368" i="1"/>
  <c r="S3368" i="1"/>
  <c r="W3367" i="1"/>
  <c r="V3367" i="1"/>
  <c r="U3367" i="1"/>
  <c r="T3367" i="1"/>
  <c r="S3367" i="1"/>
  <c r="W3366" i="1"/>
  <c r="V3366" i="1"/>
  <c r="U3366" i="1"/>
  <c r="T3366" i="1"/>
  <c r="S3366" i="1"/>
  <c r="W3365" i="1"/>
  <c r="V3365" i="1"/>
  <c r="U3365" i="1"/>
  <c r="T3365" i="1"/>
  <c r="S3365" i="1"/>
  <c r="W3364" i="1"/>
  <c r="V3364" i="1"/>
  <c r="U3364" i="1"/>
  <c r="T3364" i="1"/>
  <c r="S3364" i="1"/>
  <c r="W3363" i="1"/>
  <c r="V3363" i="1"/>
  <c r="U3363" i="1"/>
  <c r="T3363" i="1"/>
  <c r="S3363" i="1"/>
  <c r="W3362" i="1"/>
  <c r="V3362" i="1"/>
  <c r="U3362" i="1"/>
  <c r="T3362" i="1"/>
  <c r="S3362" i="1"/>
  <c r="W3361" i="1"/>
  <c r="V3361" i="1"/>
  <c r="U3361" i="1"/>
  <c r="T3361" i="1"/>
  <c r="S3361" i="1"/>
  <c r="W3360" i="1"/>
  <c r="V3360" i="1"/>
  <c r="U3360" i="1"/>
  <c r="T3360" i="1"/>
  <c r="S3360" i="1"/>
  <c r="W3359" i="1"/>
  <c r="V3359" i="1"/>
  <c r="U3359" i="1"/>
  <c r="T3359" i="1"/>
  <c r="S3359" i="1"/>
  <c r="W3358" i="1"/>
  <c r="V3358" i="1"/>
  <c r="U3358" i="1"/>
  <c r="T3358" i="1"/>
  <c r="S3358" i="1"/>
  <c r="W3357" i="1"/>
  <c r="V3357" i="1"/>
  <c r="U3357" i="1"/>
  <c r="T3357" i="1"/>
  <c r="S3357" i="1"/>
  <c r="W3356" i="1"/>
  <c r="V3356" i="1"/>
  <c r="U3356" i="1"/>
  <c r="T3356" i="1"/>
  <c r="S3356" i="1"/>
  <c r="W3355" i="1"/>
  <c r="V3355" i="1"/>
  <c r="U3355" i="1"/>
  <c r="T3355" i="1"/>
  <c r="S3355" i="1"/>
  <c r="W3354" i="1"/>
  <c r="V3354" i="1"/>
  <c r="U3354" i="1"/>
  <c r="T3354" i="1"/>
  <c r="S3354" i="1"/>
  <c r="W3353" i="1"/>
  <c r="V3353" i="1"/>
  <c r="U3353" i="1"/>
  <c r="T3353" i="1"/>
  <c r="S3353" i="1"/>
  <c r="W3352" i="1"/>
  <c r="V3352" i="1"/>
  <c r="U3352" i="1"/>
  <c r="T3352" i="1"/>
  <c r="S3352" i="1"/>
  <c r="W3351" i="1"/>
  <c r="V3351" i="1"/>
  <c r="U3351" i="1"/>
  <c r="T3351" i="1"/>
  <c r="S3351" i="1"/>
  <c r="W3350" i="1"/>
  <c r="V3350" i="1"/>
  <c r="U3350" i="1"/>
  <c r="T3350" i="1"/>
  <c r="S3350" i="1"/>
  <c r="W3349" i="1"/>
  <c r="V3349" i="1"/>
  <c r="U3349" i="1"/>
  <c r="T3349" i="1"/>
  <c r="S3349" i="1"/>
  <c r="W3348" i="1"/>
  <c r="V3348" i="1"/>
  <c r="U3348" i="1"/>
  <c r="T3348" i="1"/>
  <c r="S3348" i="1"/>
  <c r="W3347" i="1"/>
  <c r="V3347" i="1"/>
  <c r="U3347" i="1"/>
  <c r="T3347" i="1"/>
  <c r="S3347" i="1"/>
  <c r="W3346" i="1"/>
  <c r="V3346" i="1"/>
  <c r="U3346" i="1"/>
  <c r="T3346" i="1"/>
  <c r="S3346" i="1"/>
  <c r="W3345" i="1"/>
  <c r="V3345" i="1"/>
  <c r="U3345" i="1"/>
  <c r="T3345" i="1"/>
  <c r="S3345" i="1"/>
  <c r="W3344" i="1"/>
  <c r="V3344" i="1"/>
  <c r="U3344" i="1"/>
  <c r="T3344" i="1"/>
  <c r="S3344" i="1"/>
  <c r="W3343" i="1"/>
  <c r="V3343" i="1"/>
  <c r="U3343" i="1"/>
  <c r="T3343" i="1"/>
  <c r="S3343" i="1"/>
  <c r="W3342" i="1"/>
  <c r="V3342" i="1"/>
  <c r="U3342" i="1"/>
  <c r="T3342" i="1"/>
  <c r="S3342" i="1"/>
  <c r="W3341" i="1"/>
  <c r="V3341" i="1"/>
  <c r="U3341" i="1"/>
  <c r="T3341" i="1"/>
  <c r="S3341" i="1"/>
  <c r="W3340" i="1"/>
  <c r="V3340" i="1"/>
  <c r="U3340" i="1"/>
  <c r="T3340" i="1"/>
  <c r="S3340" i="1"/>
  <c r="W3339" i="1"/>
  <c r="V3339" i="1"/>
  <c r="U3339" i="1"/>
  <c r="T3339" i="1"/>
  <c r="S3339" i="1"/>
  <c r="W3338" i="1"/>
  <c r="V3338" i="1"/>
  <c r="U3338" i="1"/>
  <c r="T3338" i="1"/>
  <c r="S3338" i="1"/>
  <c r="W3337" i="1"/>
  <c r="V3337" i="1"/>
  <c r="U3337" i="1"/>
  <c r="T3337" i="1"/>
  <c r="S3337" i="1"/>
  <c r="W3336" i="1"/>
  <c r="V3336" i="1"/>
  <c r="U3336" i="1"/>
  <c r="T3336" i="1"/>
  <c r="S3336" i="1"/>
  <c r="W3335" i="1"/>
  <c r="V3335" i="1"/>
  <c r="U3335" i="1"/>
  <c r="T3335" i="1"/>
  <c r="S3335" i="1"/>
  <c r="W3334" i="1"/>
  <c r="V3334" i="1"/>
  <c r="U3334" i="1"/>
  <c r="T3334" i="1"/>
  <c r="S3334" i="1"/>
  <c r="W3333" i="1"/>
  <c r="V3333" i="1"/>
  <c r="U3333" i="1"/>
  <c r="T3333" i="1"/>
  <c r="S3333" i="1"/>
  <c r="W3332" i="1"/>
  <c r="V3332" i="1"/>
  <c r="U3332" i="1"/>
  <c r="T3332" i="1"/>
  <c r="S3332" i="1"/>
  <c r="W3331" i="1"/>
  <c r="V3331" i="1"/>
  <c r="U3331" i="1"/>
  <c r="T3331" i="1"/>
  <c r="S3331" i="1"/>
  <c r="W3330" i="1"/>
  <c r="V3330" i="1"/>
  <c r="U3330" i="1"/>
  <c r="T3330" i="1"/>
  <c r="S3330" i="1"/>
  <c r="W3329" i="1"/>
  <c r="V3329" i="1"/>
  <c r="U3329" i="1"/>
  <c r="T3329" i="1"/>
  <c r="S3329" i="1"/>
  <c r="W3328" i="1"/>
  <c r="V3328" i="1"/>
  <c r="U3328" i="1"/>
  <c r="T3328" i="1"/>
  <c r="S3328" i="1"/>
  <c r="W3327" i="1"/>
  <c r="V3327" i="1"/>
  <c r="U3327" i="1"/>
  <c r="T3327" i="1"/>
  <c r="S3327" i="1"/>
  <c r="W3326" i="1"/>
  <c r="V3326" i="1"/>
  <c r="U3326" i="1"/>
  <c r="T3326" i="1"/>
  <c r="S3326" i="1"/>
  <c r="W3325" i="1"/>
  <c r="V3325" i="1"/>
  <c r="U3325" i="1"/>
  <c r="T3325" i="1"/>
  <c r="S3325" i="1"/>
  <c r="W3324" i="1"/>
  <c r="V3324" i="1"/>
  <c r="U3324" i="1"/>
  <c r="T3324" i="1"/>
  <c r="S3324" i="1"/>
  <c r="W3323" i="1"/>
  <c r="V3323" i="1"/>
  <c r="U3323" i="1"/>
  <c r="T3323" i="1"/>
  <c r="S3323" i="1"/>
  <c r="W3322" i="1"/>
  <c r="V3322" i="1"/>
  <c r="U3322" i="1"/>
  <c r="T3322" i="1"/>
  <c r="S3322" i="1"/>
  <c r="W3321" i="1"/>
  <c r="V3321" i="1"/>
  <c r="U3321" i="1"/>
  <c r="T3321" i="1"/>
  <c r="S3321" i="1"/>
  <c r="W3320" i="1"/>
  <c r="V3320" i="1"/>
  <c r="U3320" i="1"/>
  <c r="T3320" i="1"/>
  <c r="S3320" i="1"/>
  <c r="W3319" i="1"/>
  <c r="V3319" i="1"/>
  <c r="U3319" i="1"/>
  <c r="T3319" i="1"/>
  <c r="S3319" i="1"/>
  <c r="W3318" i="1"/>
  <c r="V3318" i="1"/>
  <c r="U3318" i="1"/>
  <c r="T3318" i="1"/>
  <c r="S3318" i="1"/>
  <c r="W3317" i="1"/>
  <c r="V3317" i="1"/>
  <c r="U3317" i="1"/>
  <c r="T3317" i="1"/>
  <c r="S3317" i="1"/>
  <c r="W3316" i="1"/>
  <c r="V3316" i="1"/>
  <c r="U3316" i="1"/>
  <c r="T3316" i="1"/>
  <c r="S3316" i="1"/>
  <c r="W3315" i="1"/>
  <c r="V3315" i="1"/>
  <c r="U3315" i="1"/>
  <c r="T3315" i="1"/>
  <c r="S3315" i="1"/>
  <c r="W3314" i="1"/>
  <c r="V3314" i="1"/>
  <c r="U3314" i="1"/>
  <c r="T3314" i="1"/>
  <c r="S3314" i="1"/>
  <c r="W3313" i="1"/>
  <c r="V3313" i="1"/>
  <c r="U3313" i="1"/>
  <c r="T3313" i="1"/>
  <c r="S3313" i="1"/>
  <c r="W3312" i="1"/>
  <c r="V3312" i="1"/>
  <c r="U3312" i="1"/>
  <c r="T3312" i="1"/>
  <c r="S3312" i="1"/>
  <c r="W3311" i="1"/>
  <c r="V3311" i="1"/>
  <c r="U3311" i="1"/>
  <c r="T3311" i="1"/>
  <c r="S3311" i="1"/>
  <c r="W3310" i="1"/>
  <c r="V3310" i="1"/>
  <c r="U3310" i="1"/>
  <c r="T3310" i="1"/>
  <c r="S3310" i="1"/>
  <c r="W3309" i="1"/>
  <c r="V3309" i="1"/>
  <c r="U3309" i="1"/>
  <c r="T3309" i="1"/>
  <c r="S3309" i="1"/>
  <c r="W3308" i="1"/>
  <c r="V3308" i="1"/>
  <c r="U3308" i="1"/>
  <c r="T3308" i="1"/>
  <c r="S3308" i="1"/>
  <c r="W3307" i="1"/>
  <c r="V3307" i="1"/>
  <c r="U3307" i="1"/>
  <c r="T3307" i="1"/>
  <c r="S3307" i="1"/>
  <c r="W3306" i="1"/>
  <c r="V3306" i="1"/>
  <c r="U3306" i="1"/>
  <c r="T3306" i="1"/>
  <c r="S3306" i="1"/>
  <c r="W3305" i="1"/>
  <c r="V3305" i="1"/>
  <c r="U3305" i="1"/>
  <c r="T3305" i="1"/>
  <c r="S3305" i="1"/>
  <c r="W3304" i="1"/>
  <c r="V3304" i="1"/>
  <c r="U3304" i="1"/>
  <c r="T3304" i="1"/>
  <c r="S3304" i="1"/>
  <c r="W3303" i="1"/>
  <c r="V3303" i="1"/>
  <c r="U3303" i="1"/>
  <c r="T3303" i="1"/>
  <c r="S3303" i="1"/>
  <c r="W3302" i="1"/>
  <c r="V3302" i="1"/>
  <c r="U3302" i="1"/>
  <c r="T3302" i="1"/>
  <c r="S3302" i="1"/>
  <c r="W3301" i="1"/>
  <c r="V3301" i="1"/>
  <c r="U3301" i="1"/>
  <c r="T3301" i="1"/>
  <c r="S3301" i="1"/>
  <c r="W3300" i="1"/>
  <c r="V3300" i="1"/>
  <c r="U3300" i="1"/>
  <c r="T3300" i="1"/>
  <c r="S3300" i="1"/>
  <c r="W3299" i="1"/>
  <c r="V3299" i="1"/>
  <c r="U3299" i="1"/>
  <c r="T3299" i="1"/>
  <c r="S3299" i="1"/>
  <c r="W3298" i="1"/>
  <c r="V3298" i="1"/>
  <c r="U3298" i="1"/>
  <c r="T3298" i="1"/>
  <c r="S3298" i="1"/>
  <c r="W3297" i="1"/>
  <c r="V3297" i="1"/>
  <c r="U3297" i="1"/>
  <c r="T3297" i="1"/>
  <c r="S3297" i="1"/>
  <c r="W3296" i="1"/>
  <c r="V3296" i="1"/>
  <c r="U3296" i="1"/>
  <c r="T3296" i="1"/>
  <c r="S3296" i="1"/>
  <c r="W3295" i="1"/>
  <c r="V3295" i="1"/>
  <c r="U3295" i="1"/>
  <c r="T3295" i="1"/>
  <c r="S3295" i="1"/>
  <c r="W3294" i="1"/>
  <c r="V3294" i="1"/>
  <c r="U3294" i="1"/>
  <c r="T3294" i="1"/>
  <c r="S3294" i="1"/>
  <c r="W3293" i="1"/>
  <c r="V3293" i="1"/>
  <c r="U3293" i="1"/>
  <c r="T3293" i="1"/>
  <c r="S3293" i="1"/>
  <c r="W3292" i="1"/>
  <c r="V3292" i="1"/>
  <c r="U3292" i="1"/>
  <c r="T3292" i="1"/>
  <c r="S3292" i="1"/>
  <c r="W3291" i="1"/>
  <c r="V3291" i="1"/>
  <c r="U3291" i="1"/>
  <c r="T3291" i="1"/>
  <c r="S3291" i="1"/>
  <c r="W3290" i="1"/>
  <c r="V3290" i="1"/>
  <c r="U3290" i="1"/>
  <c r="T3290" i="1"/>
  <c r="S3290" i="1"/>
  <c r="W3289" i="1"/>
  <c r="V3289" i="1"/>
  <c r="U3289" i="1"/>
  <c r="T3289" i="1"/>
  <c r="S3289" i="1"/>
  <c r="W3288" i="1"/>
  <c r="V3288" i="1"/>
  <c r="U3288" i="1"/>
  <c r="T3288" i="1"/>
  <c r="S3288" i="1"/>
  <c r="W3287" i="1"/>
  <c r="V3287" i="1"/>
  <c r="U3287" i="1"/>
  <c r="T3287" i="1"/>
  <c r="S3287" i="1"/>
  <c r="W3286" i="1"/>
  <c r="V3286" i="1"/>
  <c r="U3286" i="1"/>
  <c r="T3286" i="1"/>
  <c r="S3286" i="1"/>
  <c r="W3285" i="1"/>
  <c r="V3285" i="1"/>
  <c r="U3285" i="1"/>
  <c r="T3285" i="1"/>
  <c r="S3285" i="1"/>
  <c r="W3284" i="1"/>
  <c r="V3284" i="1"/>
  <c r="U3284" i="1"/>
  <c r="T3284" i="1"/>
  <c r="S3284" i="1"/>
  <c r="W3283" i="1"/>
  <c r="V3283" i="1"/>
  <c r="U3283" i="1"/>
  <c r="T3283" i="1"/>
  <c r="S3283" i="1"/>
  <c r="W3282" i="1"/>
  <c r="V3282" i="1"/>
  <c r="U3282" i="1"/>
  <c r="T3282" i="1"/>
  <c r="S3282" i="1"/>
  <c r="W3281" i="1"/>
  <c r="V3281" i="1"/>
  <c r="U3281" i="1"/>
  <c r="T3281" i="1"/>
  <c r="S3281" i="1"/>
  <c r="W3280" i="1"/>
  <c r="V3280" i="1"/>
  <c r="U3280" i="1"/>
  <c r="T3280" i="1"/>
  <c r="S3280" i="1"/>
  <c r="W3279" i="1"/>
  <c r="V3279" i="1"/>
  <c r="U3279" i="1"/>
  <c r="T3279" i="1"/>
  <c r="S3279" i="1"/>
  <c r="W3278" i="1"/>
  <c r="V3278" i="1"/>
  <c r="U3278" i="1"/>
  <c r="T3278" i="1"/>
  <c r="S3278" i="1"/>
  <c r="W3277" i="1"/>
  <c r="V3277" i="1"/>
  <c r="U3277" i="1"/>
  <c r="T3277" i="1"/>
  <c r="S3277" i="1"/>
  <c r="W3276" i="1"/>
  <c r="V3276" i="1"/>
  <c r="U3276" i="1"/>
  <c r="T3276" i="1"/>
  <c r="S3276" i="1"/>
  <c r="W3275" i="1"/>
  <c r="V3275" i="1"/>
  <c r="U3275" i="1"/>
  <c r="T3275" i="1"/>
  <c r="S3275" i="1"/>
  <c r="W3274" i="1"/>
  <c r="V3274" i="1"/>
  <c r="U3274" i="1"/>
  <c r="T3274" i="1"/>
  <c r="S3274" i="1"/>
  <c r="W3273" i="1"/>
  <c r="V3273" i="1"/>
  <c r="U3273" i="1"/>
  <c r="T3273" i="1"/>
  <c r="S3273" i="1"/>
  <c r="W3272" i="1"/>
  <c r="V3272" i="1"/>
  <c r="U3272" i="1"/>
  <c r="T3272" i="1"/>
  <c r="S3272" i="1"/>
  <c r="W3271" i="1"/>
  <c r="V3271" i="1"/>
  <c r="U3271" i="1"/>
  <c r="T3271" i="1"/>
  <c r="S3271" i="1"/>
  <c r="W3270" i="1"/>
  <c r="V3270" i="1"/>
  <c r="U3270" i="1"/>
  <c r="T3270" i="1"/>
  <c r="S3270" i="1"/>
  <c r="W3269" i="1"/>
  <c r="V3269" i="1"/>
  <c r="U3269" i="1"/>
  <c r="T3269" i="1"/>
  <c r="S3269" i="1"/>
  <c r="W3268" i="1"/>
  <c r="V3268" i="1"/>
  <c r="U3268" i="1"/>
  <c r="T3268" i="1"/>
  <c r="S3268" i="1"/>
  <c r="W3267" i="1"/>
  <c r="V3267" i="1"/>
  <c r="U3267" i="1"/>
  <c r="T3267" i="1"/>
  <c r="S3267" i="1"/>
  <c r="W3266" i="1"/>
  <c r="V3266" i="1"/>
  <c r="U3266" i="1"/>
  <c r="T3266" i="1"/>
  <c r="S3266" i="1"/>
  <c r="W3265" i="1"/>
  <c r="V3265" i="1"/>
  <c r="U3265" i="1"/>
  <c r="T3265" i="1"/>
  <c r="S3265" i="1"/>
  <c r="W3264" i="1"/>
  <c r="V3264" i="1"/>
  <c r="U3264" i="1"/>
  <c r="T3264" i="1"/>
  <c r="S3264" i="1"/>
  <c r="W3263" i="1"/>
  <c r="V3263" i="1"/>
  <c r="U3263" i="1"/>
  <c r="T3263" i="1"/>
  <c r="S3263" i="1"/>
  <c r="W3262" i="1"/>
  <c r="V3262" i="1"/>
  <c r="U3262" i="1"/>
  <c r="T3262" i="1"/>
  <c r="S3262" i="1"/>
  <c r="W3261" i="1"/>
  <c r="V3261" i="1"/>
  <c r="U3261" i="1"/>
  <c r="T3261" i="1"/>
  <c r="S3261" i="1"/>
  <c r="W3260" i="1"/>
  <c r="V3260" i="1"/>
  <c r="U3260" i="1"/>
  <c r="T3260" i="1"/>
  <c r="S3260" i="1"/>
  <c r="W3259" i="1"/>
  <c r="V3259" i="1"/>
  <c r="U3259" i="1"/>
  <c r="T3259" i="1"/>
  <c r="S3259" i="1"/>
  <c r="W3258" i="1"/>
  <c r="V3258" i="1"/>
  <c r="U3258" i="1"/>
  <c r="T3258" i="1"/>
  <c r="S3258" i="1"/>
  <c r="W3257" i="1"/>
  <c r="V3257" i="1"/>
  <c r="U3257" i="1"/>
  <c r="T3257" i="1"/>
  <c r="S3257" i="1"/>
  <c r="W3256" i="1"/>
  <c r="V3256" i="1"/>
  <c r="U3256" i="1"/>
  <c r="T3256" i="1"/>
  <c r="S3256" i="1"/>
  <c r="W3255" i="1"/>
  <c r="V3255" i="1"/>
  <c r="U3255" i="1"/>
  <c r="T3255" i="1"/>
  <c r="S3255" i="1"/>
  <c r="W3254" i="1"/>
  <c r="V3254" i="1"/>
  <c r="U3254" i="1"/>
  <c r="T3254" i="1"/>
  <c r="S3254" i="1"/>
  <c r="W3253" i="1"/>
  <c r="V3253" i="1"/>
  <c r="U3253" i="1"/>
  <c r="T3253" i="1"/>
  <c r="S3253" i="1"/>
  <c r="W3252" i="1"/>
  <c r="V3252" i="1"/>
  <c r="U3252" i="1"/>
  <c r="T3252" i="1"/>
  <c r="S3252" i="1"/>
  <c r="W3251" i="1"/>
  <c r="V3251" i="1"/>
  <c r="U3251" i="1"/>
  <c r="T3251" i="1"/>
  <c r="S3251" i="1"/>
  <c r="W3250" i="1"/>
  <c r="V3250" i="1"/>
  <c r="U3250" i="1"/>
  <c r="T3250" i="1"/>
  <c r="S3250" i="1"/>
  <c r="W3249" i="1"/>
  <c r="V3249" i="1"/>
  <c r="U3249" i="1"/>
  <c r="T3249" i="1"/>
  <c r="S3249" i="1"/>
  <c r="W3248" i="1"/>
  <c r="V3248" i="1"/>
  <c r="U3248" i="1"/>
  <c r="T3248" i="1"/>
  <c r="S3248" i="1"/>
  <c r="W3247" i="1"/>
  <c r="V3247" i="1"/>
  <c r="U3247" i="1"/>
  <c r="T3247" i="1"/>
  <c r="S3247" i="1"/>
  <c r="W3246" i="1"/>
  <c r="V3246" i="1"/>
  <c r="U3246" i="1"/>
  <c r="T3246" i="1"/>
  <c r="S3246" i="1"/>
  <c r="W3245" i="1"/>
  <c r="V3245" i="1"/>
  <c r="U3245" i="1"/>
  <c r="T3245" i="1"/>
  <c r="S3245" i="1"/>
  <c r="W3244" i="1"/>
  <c r="V3244" i="1"/>
  <c r="U3244" i="1"/>
  <c r="T3244" i="1"/>
  <c r="S3244" i="1"/>
  <c r="W3243" i="1"/>
  <c r="V3243" i="1"/>
  <c r="U3243" i="1"/>
  <c r="T3243" i="1"/>
  <c r="S3243" i="1"/>
  <c r="W3242" i="1"/>
  <c r="V3242" i="1"/>
  <c r="U3242" i="1"/>
  <c r="T3242" i="1"/>
  <c r="S3242" i="1"/>
  <c r="W3241" i="1"/>
  <c r="V3241" i="1"/>
  <c r="U3241" i="1"/>
  <c r="T3241" i="1"/>
  <c r="S3241" i="1"/>
  <c r="W3240" i="1"/>
  <c r="V3240" i="1"/>
  <c r="U3240" i="1"/>
  <c r="T3240" i="1"/>
  <c r="S3240" i="1"/>
  <c r="W3239" i="1"/>
  <c r="V3239" i="1"/>
  <c r="U3239" i="1"/>
  <c r="T3239" i="1"/>
  <c r="S3239" i="1"/>
  <c r="W3238" i="1"/>
  <c r="V3238" i="1"/>
  <c r="U3238" i="1"/>
  <c r="T3238" i="1"/>
  <c r="S3238" i="1"/>
  <c r="W3237" i="1"/>
  <c r="V3237" i="1"/>
  <c r="U3237" i="1"/>
  <c r="T3237" i="1"/>
  <c r="S3237" i="1"/>
  <c r="W3236" i="1"/>
  <c r="V3236" i="1"/>
  <c r="U3236" i="1"/>
  <c r="T3236" i="1"/>
  <c r="S3236" i="1"/>
  <c r="W3235" i="1"/>
  <c r="V3235" i="1"/>
  <c r="U3235" i="1"/>
  <c r="T3235" i="1"/>
  <c r="S3235" i="1"/>
  <c r="W3234" i="1"/>
  <c r="V3234" i="1"/>
  <c r="U3234" i="1"/>
  <c r="T3234" i="1"/>
  <c r="S3234" i="1"/>
  <c r="W3233" i="1"/>
  <c r="V3233" i="1"/>
  <c r="U3233" i="1"/>
  <c r="T3233" i="1"/>
  <c r="S3233" i="1"/>
  <c r="W3232" i="1"/>
  <c r="V3232" i="1"/>
  <c r="U3232" i="1"/>
  <c r="T3232" i="1"/>
  <c r="S3232" i="1"/>
  <c r="W3231" i="1"/>
  <c r="V3231" i="1"/>
  <c r="U3231" i="1"/>
  <c r="T3231" i="1"/>
  <c r="S3231" i="1"/>
  <c r="W3230" i="1"/>
  <c r="V3230" i="1"/>
  <c r="U3230" i="1"/>
  <c r="T3230" i="1"/>
  <c r="S3230" i="1"/>
  <c r="W3229" i="1"/>
  <c r="V3229" i="1"/>
  <c r="U3229" i="1"/>
  <c r="T3229" i="1"/>
  <c r="S3229" i="1"/>
  <c r="W3228" i="1"/>
  <c r="V3228" i="1"/>
  <c r="U3228" i="1"/>
  <c r="T3228" i="1"/>
  <c r="S3228" i="1"/>
  <c r="W3227" i="1"/>
  <c r="V3227" i="1"/>
  <c r="U3227" i="1"/>
  <c r="T3227" i="1"/>
  <c r="S3227" i="1"/>
  <c r="W3226" i="1"/>
  <c r="V3226" i="1"/>
  <c r="U3226" i="1"/>
  <c r="T3226" i="1"/>
  <c r="S3226" i="1"/>
  <c r="W3225" i="1"/>
  <c r="V3225" i="1"/>
  <c r="U3225" i="1"/>
  <c r="T3225" i="1"/>
  <c r="S3225" i="1"/>
  <c r="W3224" i="1"/>
  <c r="V3224" i="1"/>
  <c r="U3224" i="1"/>
  <c r="T3224" i="1"/>
  <c r="S3224" i="1"/>
  <c r="W3223" i="1"/>
  <c r="V3223" i="1"/>
  <c r="U3223" i="1"/>
  <c r="T3223" i="1"/>
  <c r="S3223" i="1"/>
  <c r="W3222" i="1"/>
  <c r="V3222" i="1"/>
  <c r="U3222" i="1"/>
  <c r="T3222" i="1"/>
  <c r="S3222" i="1"/>
  <c r="W3221" i="1"/>
  <c r="V3221" i="1"/>
  <c r="U3221" i="1"/>
  <c r="T3221" i="1"/>
  <c r="S3221" i="1"/>
  <c r="W3220" i="1"/>
  <c r="V3220" i="1"/>
  <c r="U3220" i="1"/>
  <c r="T3220" i="1"/>
  <c r="S3220" i="1"/>
  <c r="W3219" i="1"/>
  <c r="V3219" i="1"/>
  <c r="U3219" i="1"/>
  <c r="T3219" i="1"/>
  <c r="S3219" i="1"/>
  <c r="W3218" i="1"/>
  <c r="V3218" i="1"/>
  <c r="U3218" i="1"/>
  <c r="T3218" i="1"/>
  <c r="S3218" i="1"/>
  <c r="W3217" i="1"/>
  <c r="V3217" i="1"/>
  <c r="U3217" i="1"/>
  <c r="T3217" i="1"/>
  <c r="S3217" i="1"/>
  <c r="W3216" i="1"/>
  <c r="V3216" i="1"/>
  <c r="U3216" i="1"/>
  <c r="T3216" i="1"/>
  <c r="S3216" i="1"/>
  <c r="W3215" i="1"/>
  <c r="V3215" i="1"/>
  <c r="U3215" i="1"/>
  <c r="T3215" i="1"/>
  <c r="S3215" i="1"/>
  <c r="W3214" i="1"/>
  <c r="V3214" i="1"/>
  <c r="U3214" i="1"/>
  <c r="T3214" i="1"/>
  <c r="S3214" i="1"/>
  <c r="W3213" i="1"/>
  <c r="V3213" i="1"/>
  <c r="U3213" i="1"/>
  <c r="T3213" i="1"/>
  <c r="S3213" i="1"/>
  <c r="W3212" i="1"/>
  <c r="V3212" i="1"/>
  <c r="U3212" i="1"/>
  <c r="T3212" i="1"/>
  <c r="S3212" i="1"/>
  <c r="W3211" i="1"/>
  <c r="V3211" i="1"/>
  <c r="U3211" i="1"/>
  <c r="T3211" i="1"/>
  <c r="S3211" i="1"/>
  <c r="W3210" i="1"/>
  <c r="V3210" i="1"/>
  <c r="U3210" i="1"/>
  <c r="T3210" i="1"/>
  <c r="S3210" i="1"/>
  <c r="W3209" i="1"/>
  <c r="V3209" i="1"/>
  <c r="U3209" i="1"/>
  <c r="T3209" i="1"/>
  <c r="S3209" i="1"/>
  <c r="W3208" i="1"/>
  <c r="V3208" i="1"/>
  <c r="U3208" i="1"/>
  <c r="T3208" i="1"/>
  <c r="S3208" i="1"/>
  <c r="W3207" i="1"/>
  <c r="V3207" i="1"/>
  <c r="U3207" i="1"/>
  <c r="T3207" i="1"/>
  <c r="S3207" i="1"/>
  <c r="W3206" i="1"/>
  <c r="V3206" i="1"/>
  <c r="U3206" i="1"/>
  <c r="T3206" i="1"/>
  <c r="S3206" i="1"/>
  <c r="W3205" i="1"/>
  <c r="V3205" i="1"/>
  <c r="U3205" i="1"/>
  <c r="T3205" i="1"/>
  <c r="S3205" i="1"/>
  <c r="W3204" i="1"/>
  <c r="V3204" i="1"/>
  <c r="U3204" i="1"/>
  <c r="T3204" i="1"/>
  <c r="S3204" i="1"/>
  <c r="W3203" i="1"/>
  <c r="V3203" i="1"/>
  <c r="U3203" i="1"/>
  <c r="T3203" i="1"/>
  <c r="S3203" i="1"/>
  <c r="W3202" i="1"/>
  <c r="V3202" i="1"/>
  <c r="U3202" i="1"/>
  <c r="T3202" i="1"/>
  <c r="S3202" i="1"/>
  <c r="W3201" i="1"/>
  <c r="V3201" i="1"/>
  <c r="U3201" i="1"/>
  <c r="T3201" i="1"/>
  <c r="S3201" i="1"/>
  <c r="W3200" i="1"/>
  <c r="V3200" i="1"/>
  <c r="U3200" i="1"/>
  <c r="T3200" i="1"/>
  <c r="S3200" i="1"/>
  <c r="W3199" i="1"/>
  <c r="V3199" i="1"/>
  <c r="U3199" i="1"/>
  <c r="T3199" i="1"/>
  <c r="S3199" i="1"/>
  <c r="W3198" i="1"/>
  <c r="V3198" i="1"/>
  <c r="U3198" i="1"/>
  <c r="T3198" i="1"/>
  <c r="S3198" i="1"/>
  <c r="W3197" i="1"/>
  <c r="V3197" i="1"/>
  <c r="U3197" i="1"/>
  <c r="T3197" i="1"/>
  <c r="S3197" i="1"/>
  <c r="W3196" i="1"/>
  <c r="V3196" i="1"/>
  <c r="U3196" i="1"/>
  <c r="T3196" i="1"/>
  <c r="S3196" i="1"/>
  <c r="W3195" i="1"/>
  <c r="V3195" i="1"/>
  <c r="U3195" i="1"/>
  <c r="T3195" i="1"/>
  <c r="S3195" i="1"/>
  <c r="W3194" i="1"/>
  <c r="V3194" i="1"/>
  <c r="U3194" i="1"/>
  <c r="T3194" i="1"/>
  <c r="S3194" i="1"/>
  <c r="W3193" i="1"/>
  <c r="V3193" i="1"/>
  <c r="U3193" i="1"/>
  <c r="T3193" i="1"/>
  <c r="S3193" i="1"/>
  <c r="W3192" i="1"/>
  <c r="V3192" i="1"/>
  <c r="U3192" i="1"/>
  <c r="T3192" i="1"/>
  <c r="S3192" i="1"/>
  <c r="W3191" i="1"/>
  <c r="V3191" i="1"/>
  <c r="U3191" i="1"/>
  <c r="T3191" i="1"/>
  <c r="S3191" i="1"/>
  <c r="W3190" i="1"/>
  <c r="V3190" i="1"/>
  <c r="U3190" i="1"/>
  <c r="T3190" i="1"/>
  <c r="S3190" i="1"/>
  <c r="W3189" i="1"/>
  <c r="V3189" i="1"/>
  <c r="U3189" i="1"/>
  <c r="T3189" i="1"/>
  <c r="S3189" i="1"/>
  <c r="W3188" i="1"/>
  <c r="V3188" i="1"/>
  <c r="U3188" i="1"/>
  <c r="T3188" i="1"/>
  <c r="S3188" i="1"/>
  <c r="W3187" i="1"/>
  <c r="V3187" i="1"/>
  <c r="U3187" i="1"/>
  <c r="T3187" i="1"/>
  <c r="S3187" i="1"/>
  <c r="W3186" i="1"/>
  <c r="V3186" i="1"/>
  <c r="U3186" i="1"/>
  <c r="T3186" i="1"/>
  <c r="S3186" i="1"/>
  <c r="W3185" i="1"/>
  <c r="V3185" i="1"/>
  <c r="U3185" i="1"/>
  <c r="T3185" i="1"/>
  <c r="S3185" i="1"/>
  <c r="W3184" i="1"/>
  <c r="V3184" i="1"/>
  <c r="U3184" i="1"/>
  <c r="T3184" i="1"/>
  <c r="S3184" i="1"/>
  <c r="W3183" i="1"/>
  <c r="V3183" i="1"/>
  <c r="U3183" i="1"/>
  <c r="T3183" i="1"/>
  <c r="S3183" i="1"/>
  <c r="W3182" i="1"/>
  <c r="V3182" i="1"/>
  <c r="U3182" i="1"/>
  <c r="T3182" i="1"/>
  <c r="S3182" i="1"/>
  <c r="W3181" i="1"/>
  <c r="V3181" i="1"/>
  <c r="U3181" i="1"/>
  <c r="T3181" i="1"/>
  <c r="S3181" i="1"/>
  <c r="W3180" i="1"/>
  <c r="V3180" i="1"/>
  <c r="U3180" i="1"/>
  <c r="T3180" i="1"/>
  <c r="S3180" i="1"/>
  <c r="W3179" i="1"/>
  <c r="V3179" i="1"/>
  <c r="U3179" i="1"/>
  <c r="T3179" i="1"/>
  <c r="S3179" i="1"/>
  <c r="W3178" i="1"/>
  <c r="V3178" i="1"/>
  <c r="U3178" i="1"/>
  <c r="T3178" i="1"/>
  <c r="S3178" i="1"/>
  <c r="W3177" i="1"/>
  <c r="V3177" i="1"/>
  <c r="U3177" i="1"/>
  <c r="T3177" i="1"/>
  <c r="S3177" i="1"/>
  <c r="W3176" i="1"/>
  <c r="V3176" i="1"/>
  <c r="U3176" i="1"/>
  <c r="T3176" i="1"/>
  <c r="S3176" i="1"/>
  <c r="W3175" i="1"/>
  <c r="V3175" i="1"/>
  <c r="U3175" i="1"/>
  <c r="T3175" i="1"/>
  <c r="S3175" i="1"/>
  <c r="W3174" i="1"/>
  <c r="V3174" i="1"/>
  <c r="U3174" i="1"/>
  <c r="T3174" i="1"/>
  <c r="S3174" i="1"/>
  <c r="W3173" i="1"/>
  <c r="V3173" i="1"/>
  <c r="U3173" i="1"/>
  <c r="T3173" i="1"/>
  <c r="S3173" i="1"/>
  <c r="W3172" i="1"/>
  <c r="V3172" i="1"/>
  <c r="U3172" i="1"/>
  <c r="T3172" i="1"/>
  <c r="S3172" i="1"/>
  <c r="W3171" i="1"/>
  <c r="V3171" i="1"/>
  <c r="U3171" i="1"/>
  <c r="T3171" i="1"/>
  <c r="S3171" i="1"/>
  <c r="W3170" i="1"/>
  <c r="V3170" i="1"/>
  <c r="U3170" i="1"/>
  <c r="T3170" i="1"/>
  <c r="S3170" i="1"/>
  <c r="W3169" i="1"/>
  <c r="V3169" i="1"/>
  <c r="U3169" i="1"/>
  <c r="T3169" i="1"/>
  <c r="S3169" i="1"/>
  <c r="W3168" i="1"/>
  <c r="V3168" i="1"/>
  <c r="U3168" i="1"/>
  <c r="T3168" i="1"/>
  <c r="S3168" i="1"/>
  <c r="W3167" i="1"/>
  <c r="V3167" i="1"/>
  <c r="U3167" i="1"/>
  <c r="T3167" i="1"/>
  <c r="S3167" i="1"/>
  <c r="W3166" i="1"/>
  <c r="V3166" i="1"/>
  <c r="U3166" i="1"/>
  <c r="T3166" i="1"/>
  <c r="S3166" i="1"/>
  <c r="W3165" i="1"/>
  <c r="V3165" i="1"/>
  <c r="U3165" i="1"/>
  <c r="T3165" i="1"/>
  <c r="S3165" i="1"/>
  <c r="W3164" i="1"/>
  <c r="V3164" i="1"/>
  <c r="U3164" i="1"/>
  <c r="T3164" i="1"/>
  <c r="S3164" i="1"/>
  <c r="W3163" i="1"/>
  <c r="V3163" i="1"/>
  <c r="U3163" i="1"/>
  <c r="T3163" i="1"/>
  <c r="S3163" i="1"/>
  <c r="W3162" i="1"/>
  <c r="V3162" i="1"/>
  <c r="U3162" i="1"/>
  <c r="T3162" i="1"/>
  <c r="S3162" i="1"/>
  <c r="W3161" i="1"/>
  <c r="V3161" i="1"/>
  <c r="U3161" i="1"/>
  <c r="T3161" i="1"/>
  <c r="S3161" i="1"/>
  <c r="W3160" i="1"/>
  <c r="V3160" i="1"/>
  <c r="U3160" i="1"/>
  <c r="T3160" i="1"/>
  <c r="S3160" i="1"/>
  <c r="W3159" i="1"/>
  <c r="V3159" i="1"/>
  <c r="U3159" i="1"/>
  <c r="T3159" i="1"/>
  <c r="S3159" i="1"/>
  <c r="W3158" i="1"/>
  <c r="V3158" i="1"/>
  <c r="U3158" i="1"/>
  <c r="T3158" i="1"/>
  <c r="S3158" i="1"/>
  <c r="W3157" i="1"/>
  <c r="V3157" i="1"/>
  <c r="U3157" i="1"/>
  <c r="T3157" i="1"/>
  <c r="S3157" i="1"/>
  <c r="W3156" i="1"/>
  <c r="V3156" i="1"/>
  <c r="U3156" i="1"/>
  <c r="T3156" i="1"/>
  <c r="S3156" i="1"/>
  <c r="W3155" i="1"/>
  <c r="V3155" i="1"/>
  <c r="U3155" i="1"/>
  <c r="T3155" i="1"/>
  <c r="S3155" i="1"/>
  <c r="W3154" i="1"/>
  <c r="V3154" i="1"/>
  <c r="U3154" i="1"/>
  <c r="T3154" i="1"/>
  <c r="S3154" i="1"/>
  <c r="W3153" i="1"/>
  <c r="V3153" i="1"/>
  <c r="U3153" i="1"/>
  <c r="T3153" i="1"/>
  <c r="S3153" i="1"/>
  <c r="W3152" i="1"/>
  <c r="V3152" i="1"/>
  <c r="U3152" i="1"/>
  <c r="T3152" i="1"/>
  <c r="S3152" i="1"/>
  <c r="W3151" i="1"/>
  <c r="V3151" i="1"/>
  <c r="U3151" i="1"/>
  <c r="T3151" i="1"/>
  <c r="S3151" i="1"/>
  <c r="W3150" i="1"/>
  <c r="V3150" i="1"/>
  <c r="U3150" i="1"/>
  <c r="T3150" i="1"/>
  <c r="S3150" i="1"/>
  <c r="W3149" i="1"/>
  <c r="V3149" i="1"/>
  <c r="U3149" i="1"/>
  <c r="T3149" i="1"/>
  <c r="S3149" i="1"/>
  <c r="W3148" i="1"/>
  <c r="V3148" i="1"/>
  <c r="U3148" i="1"/>
  <c r="T3148" i="1"/>
  <c r="S3148" i="1"/>
  <c r="W3147" i="1"/>
  <c r="V3147" i="1"/>
  <c r="U3147" i="1"/>
  <c r="T3147" i="1"/>
  <c r="S3147" i="1"/>
  <c r="W3146" i="1"/>
  <c r="V3146" i="1"/>
  <c r="U3146" i="1"/>
  <c r="T3146" i="1"/>
  <c r="S3146" i="1"/>
  <c r="W3145" i="1"/>
  <c r="V3145" i="1"/>
  <c r="U3145" i="1"/>
  <c r="T3145" i="1"/>
  <c r="S3145" i="1"/>
  <c r="W3144" i="1"/>
  <c r="V3144" i="1"/>
  <c r="U3144" i="1"/>
  <c r="T3144" i="1"/>
  <c r="S3144" i="1"/>
  <c r="W3143" i="1"/>
  <c r="V3143" i="1"/>
  <c r="U3143" i="1"/>
  <c r="T3143" i="1"/>
  <c r="S3143" i="1"/>
  <c r="W3142" i="1"/>
  <c r="V3142" i="1"/>
  <c r="U3142" i="1"/>
  <c r="T3142" i="1"/>
  <c r="S3142" i="1"/>
  <c r="W3141" i="1"/>
  <c r="V3141" i="1"/>
  <c r="U3141" i="1"/>
  <c r="T3141" i="1"/>
  <c r="S3141" i="1"/>
  <c r="W3140" i="1"/>
  <c r="V3140" i="1"/>
  <c r="U3140" i="1"/>
  <c r="T3140" i="1"/>
  <c r="S3140" i="1"/>
  <c r="W3139" i="1"/>
  <c r="V3139" i="1"/>
  <c r="U3139" i="1"/>
  <c r="T3139" i="1"/>
  <c r="S3139" i="1"/>
  <c r="W3138" i="1"/>
  <c r="V3138" i="1"/>
  <c r="U3138" i="1"/>
  <c r="T3138" i="1"/>
  <c r="S3138" i="1"/>
  <c r="W3137" i="1"/>
  <c r="V3137" i="1"/>
  <c r="U3137" i="1"/>
  <c r="T3137" i="1"/>
  <c r="S3137" i="1"/>
  <c r="W3136" i="1"/>
  <c r="V3136" i="1"/>
  <c r="U3136" i="1"/>
  <c r="T3136" i="1"/>
  <c r="S3136" i="1"/>
  <c r="W3135" i="1"/>
  <c r="V3135" i="1"/>
  <c r="U3135" i="1"/>
  <c r="T3135" i="1"/>
  <c r="S3135" i="1"/>
  <c r="W3134" i="1"/>
  <c r="V3134" i="1"/>
  <c r="U3134" i="1"/>
  <c r="T3134" i="1"/>
  <c r="S3134" i="1"/>
  <c r="W3133" i="1"/>
  <c r="V3133" i="1"/>
  <c r="U3133" i="1"/>
  <c r="T3133" i="1"/>
  <c r="S3133" i="1"/>
  <c r="W3132" i="1"/>
  <c r="V3132" i="1"/>
  <c r="U3132" i="1"/>
  <c r="T3132" i="1"/>
  <c r="S3132" i="1"/>
  <c r="W3131" i="1"/>
  <c r="V3131" i="1"/>
  <c r="U3131" i="1"/>
  <c r="T3131" i="1"/>
  <c r="S3131" i="1"/>
  <c r="W3130" i="1"/>
  <c r="V3130" i="1"/>
  <c r="U3130" i="1"/>
  <c r="T3130" i="1"/>
  <c r="S3130" i="1"/>
  <c r="W3129" i="1"/>
  <c r="V3129" i="1"/>
  <c r="U3129" i="1"/>
  <c r="T3129" i="1"/>
  <c r="S3129" i="1"/>
  <c r="W3128" i="1"/>
  <c r="V3128" i="1"/>
  <c r="U3128" i="1"/>
  <c r="T3128" i="1"/>
  <c r="S3128" i="1"/>
  <c r="W3127" i="1"/>
  <c r="V3127" i="1"/>
  <c r="U3127" i="1"/>
  <c r="T3127" i="1"/>
  <c r="S3127" i="1"/>
  <c r="W3126" i="1"/>
  <c r="V3126" i="1"/>
  <c r="U3126" i="1"/>
  <c r="T3126" i="1"/>
  <c r="S3126" i="1"/>
  <c r="W3125" i="1"/>
  <c r="V3125" i="1"/>
  <c r="U3125" i="1"/>
  <c r="T3125" i="1"/>
  <c r="S3125" i="1"/>
  <c r="W3124" i="1"/>
  <c r="V3124" i="1"/>
  <c r="U3124" i="1"/>
  <c r="T3124" i="1"/>
  <c r="S3124" i="1"/>
  <c r="W3123" i="1"/>
  <c r="V3123" i="1"/>
  <c r="U3123" i="1"/>
  <c r="T3123" i="1"/>
  <c r="S3123" i="1"/>
  <c r="W3122" i="1"/>
  <c r="V3122" i="1"/>
  <c r="U3122" i="1"/>
  <c r="T3122" i="1"/>
  <c r="S3122" i="1"/>
  <c r="W3121" i="1"/>
  <c r="V3121" i="1"/>
  <c r="U3121" i="1"/>
  <c r="T3121" i="1"/>
  <c r="S3121" i="1"/>
  <c r="W3120" i="1"/>
  <c r="V3120" i="1"/>
  <c r="U3120" i="1"/>
  <c r="T3120" i="1"/>
  <c r="S3120" i="1"/>
  <c r="W3119" i="1"/>
  <c r="V3119" i="1"/>
  <c r="U3119" i="1"/>
  <c r="T3119" i="1"/>
  <c r="S3119" i="1"/>
  <c r="W3118" i="1"/>
  <c r="V3118" i="1"/>
  <c r="U3118" i="1"/>
  <c r="T3118" i="1"/>
  <c r="S3118" i="1"/>
  <c r="W3117" i="1"/>
  <c r="V3117" i="1"/>
  <c r="U3117" i="1"/>
  <c r="T3117" i="1"/>
  <c r="S3117" i="1"/>
  <c r="W3116" i="1"/>
  <c r="V3116" i="1"/>
  <c r="U3116" i="1"/>
  <c r="T3116" i="1"/>
  <c r="S3116" i="1"/>
  <c r="W3115" i="1"/>
  <c r="V3115" i="1"/>
  <c r="U3115" i="1"/>
  <c r="T3115" i="1"/>
  <c r="S3115" i="1"/>
  <c r="W3114" i="1"/>
  <c r="V3114" i="1"/>
  <c r="U3114" i="1"/>
  <c r="T3114" i="1"/>
  <c r="S3114" i="1"/>
  <c r="W3113" i="1"/>
  <c r="V3113" i="1"/>
  <c r="U3113" i="1"/>
  <c r="T3113" i="1"/>
  <c r="S3113" i="1"/>
  <c r="W3112" i="1"/>
  <c r="V3112" i="1"/>
  <c r="U3112" i="1"/>
  <c r="T3112" i="1"/>
  <c r="S3112" i="1"/>
  <c r="W3111" i="1"/>
  <c r="V3111" i="1"/>
  <c r="U3111" i="1"/>
  <c r="T3111" i="1"/>
  <c r="S3111" i="1"/>
  <c r="W3110" i="1"/>
  <c r="V3110" i="1"/>
  <c r="U3110" i="1"/>
  <c r="T3110" i="1"/>
  <c r="S3110" i="1"/>
  <c r="W3109" i="1"/>
  <c r="V3109" i="1"/>
  <c r="U3109" i="1"/>
  <c r="T3109" i="1"/>
  <c r="S3109" i="1"/>
  <c r="W3108" i="1"/>
  <c r="V3108" i="1"/>
  <c r="U3108" i="1"/>
  <c r="T3108" i="1"/>
  <c r="S3108" i="1"/>
  <c r="W3107" i="1"/>
  <c r="V3107" i="1"/>
  <c r="U3107" i="1"/>
  <c r="T3107" i="1"/>
  <c r="S3107" i="1"/>
  <c r="W3106" i="1"/>
  <c r="V3106" i="1"/>
  <c r="U3106" i="1"/>
  <c r="T3106" i="1"/>
  <c r="S3106" i="1"/>
  <c r="W3105" i="1"/>
  <c r="V3105" i="1"/>
  <c r="U3105" i="1"/>
  <c r="T3105" i="1"/>
  <c r="S3105" i="1"/>
  <c r="W3104" i="1"/>
  <c r="V3104" i="1"/>
  <c r="U3104" i="1"/>
  <c r="T3104" i="1"/>
  <c r="S3104" i="1"/>
  <c r="W3103" i="1"/>
  <c r="V3103" i="1"/>
  <c r="U3103" i="1"/>
  <c r="T3103" i="1"/>
  <c r="S3103" i="1"/>
  <c r="W3102" i="1"/>
  <c r="V3102" i="1"/>
  <c r="U3102" i="1"/>
  <c r="T3102" i="1"/>
  <c r="S3102" i="1"/>
  <c r="W3101" i="1"/>
  <c r="V3101" i="1"/>
  <c r="U3101" i="1"/>
  <c r="T3101" i="1"/>
  <c r="S3101" i="1"/>
  <c r="W3100" i="1"/>
  <c r="V3100" i="1"/>
  <c r="U3100" i="1"/>
  <c r="T3100" i="1"/>
  <c r="S3100" i="1"/>
  <c r="W3099" i="1"/>
  <c r="V3099" i="1"/>
  <c r="U3099" i="1"/>
  <c r="T3099" i="1"/>
  <c r="S3099" i="1"/>
  <c r="W3098" i="1"/>
  <c r="V3098" i="1"/>
  <c r="U3098" i="1"/>
  <c r="T3098" i="1"/>
  <c r="S3098" i="1"/>
  <c r="W3097" i="1"/>
  <c r="V3097" i="1"/>
  <c r="U3097" i="1"/>
  <c r="T3097" i="1"/>
  <c r="S3097" i="1"/>
  <c r="W3096" i="1"/>
  <c r="V3096" i="1"/>
  <c r="U3096" i="1"/>
  <c r="T3096" i="1"/>
  <c r="S3096" i="1"/>
  <c r="W3095" i="1"/>
  <c r="V3095" i="1"/>
  <c r="U3095" i="1"/>
  <c r="T3095" i="1"/>
  <c r="S3095" i="1"/>
  <c r="W3094" i="1"/>
  <c r="V3094" i="1"/>
  <c r="U3094" i="1"/>
  <c r="T3094" i="1"/>
  <c r="S3094" i="1"/>
  <c r="W3093" i="1"/>
  <c r="V3093" i="1"/>
  <c r="U3093" i="1"/>
  <c r="T3093" i="1"/>
  <c r="S3093" i="1"/>
  <c r="W3092" i="1"/>
  <c r="V3092" i="1"/>
  <c r="U3092" i="1"/>
  <c r="T3092" i="1"/>
  <c r="S3092" i="1"/>
  <c r="W3091" i="1"/>
  <c r="V3091" i="1"/>
  <c r="U3091" i="1"/>
  <c r="T3091" i="1"/>
  <c r="S3091" i="1"/>
  <c r="W3090" i="1"/>
  <c r="V3090" i="1"/>
  <c r="U3090" i="1"/>
  <c r="T3090" i="1"/>
  <c r="S3090" i="1"/>
  <c r="W3089" i="1"/>
  <c r="V3089" i="1"/>
  <c r="U3089" i="1"/>
  <c r="T3089" i="1"/>
  <c r="S3089" i="1"/>
  <c r="W3088" i="1"/>
  <c r="V3088" i="1"/>
  <c r="U3088" i="1"/>
  <c r="T3088" i="1"/>
  <c r="S3088" i="1"/>
  <c r="W3087" i="1"/>
  <c r="V3087" i="1"/>
  <c r="U3087" i="1"/>
  <c r="T3087" i="1"/>
  <c r="S3087" i="1"/>
  <c r="W3086" i="1"/>
  <c r="V3086" i="1"/>
  <c r="U3086" i="1"/>
  <c r="T3086" i="1"/>
  <c r="S3086" i="1"/>
  <c r="W3085" i="1"/>
  <c r="V3085" i="1"/>
  <c r="U3085" i="1"/>
  <c r="T3085" i="1"/>
  <c r="S3085" i="1"/>
  <c r="W3084" i="1"/>
  <c r="V3084" i="1"/>
  <c r="U3084" i="1"/>
  <c r="T3084" i="1"/>
  <c r="S3084" i="1"/>
  <c r="W3083" i="1"/>
  <c r="V3083" i="1"/>
  <c r="U3083" i="1"/>
  <c r="T3083" i="1"/>
  <c r="S3083" i="1"/>
  <c r="W3082" i="1"/>
  <c r="V3082" i="1"/>
  <c r="U3082" i="1"/>
  <c r="T3082" i="1"/>
  <c r="S3082" i="1"/>
  <c r="W3081" i="1"/>
  <c r="V3081" i="1"/>
  <c r="U3081" i="1"/>
  <c r="T3081" i="1"/>
  <c r="S3081" i="1"/>
  <c r="W3080" i="1"/>
  <c r="V3080" i="1"/>
  <c r="U3080" i="1"/>
  <c r="T3080" i="1"/>
  <c r="S3080" i="1"/>
  <c r="W3079" i="1"/>
  <c r="V3079" i="1"/>
  <c r="U3079" i="1"/>
  <c r="T3079" i="1"/>
  <c r="S3079" i="1"/>
  <c r="W3078" i="1"/>
  <c r="V3078" i="1"/>
  <c r="U3078" i="1"/>
  <c r="T3078" i="1"/>
  <c r="S3078" i="1"/>
  <c r="W3077" i="1"/>
  <c r="V3077" i="1"/>
  <c r="U3077" i="1"/>
  <c r="T3077" i="1"/>
  <c r="S3077" i="1"/>
  <c r="W3076" i="1"/>
  <c r="V3076" i="1"/>
  <c r="U3076" i="1"/>
  <c r="T3076" i="1"/>
  <c r="S3076" i="1"/>
  <c r="W3075" i="1"/>
  <c r="V3075" i="1"/>
  <c r="U3075" i="1"/>
  <c r="T3075" i="1"/>
  <c r="S3075" i="1"/>
  <c r="W3074" i="1"/>
  <c r="V3074" i="1"/>
  <c r="U3074" i="1"/>
  <c r="T3074" i="1"/>
  <c r="S3074" i="1"/>
  <c r="W3073" i="1"/>
  <c r="V3073" i="1"/>
  <c r="U3073" i="1"/>
  <c r="T3073" i="1"/>
  <c r="S3073" i="1"/>
  <c r="W3072" i="1"/>
  <c r="V3072" i="1"/>
  <c r="U3072" i="1"/>
  <c r="T3072" i="1"/>
  <c r="S3072" i="1"/>
  <c r="W3071" i="1"/>
  <c r="V3071" i="1"/>
  <c r="U3071" i="1"/>
  <c r="T3071" i="1"/>
  <c r="S3071" i="1"/>
  <c r="W3070" i="1"/>
  <c r="V3070" i="1"/>
  <c r="U3070" i="1"/>
  <c r="T3070" i="1"/>
  <c r="S3070" i="1"/>
  <c r="W3069" i="1"/>
  <c r="V3069" i="1"/>
  <c r="U3069" i="1"/>
  <c r="T3069" i="1"/>
  <c r="S3069" i="1"/>
  <c r="W3068" i="1"/>
  <c r="V3068" i="1"/>
  <c r="U3068" i="1"/>
  <c r="T3068" i="1"/>
  <c r="S3068" i="1"/>
  <c r="W3067" i="1"/>
  <c r="V3067" i="1"/>
  <c r="U3067" i="1"/>
  <c r="T3067" i="1"/>
  <c r="S3067" i="1"/>
  <c r="W3066" i="1"/>
  <c r="V3066" i="1"/>
  <c r="U3066" i="1"/>
  <c r="T3066" i="1"/>
  <c r="S3066" i="1"/>
  <c r="W3065" i="1"/>
  <c r="V3065" i="1"/>
  <c r="U3065" i="1"/>
  <c r="T3065" i="1"/>
  <c r="S3065" i="1"/>
  <c r="W3064" i="1"/>
  <c r="V3064" i="1"/>
  <c r="U3064" i="1"/>
  <c r="T3064" i="1"/>
  <c r="S3064" i="1"/>
  <c r="W3063" i="1"/>
  <c r="V3063" i="1"/>
  <c r="U3063" i="1"/>
  <c r="T3063" i="1"/>
  <c r="S3063" i="1"/>
  <c r="W3062" i="1"/>
  <c r="V3062" i="1"/>
  <c r="U3062" i="1"/>
  <c r="T3062" i="1"/>
  <c r="S3062" i="1"/>
  <c r="W3061" i="1"/>
  <c r="V3061" i="1"/>
  <c r="U3061" i="1"/>
  <c r="T3061" i="1"/>
  <c r="S3061" i="1"/>
  <c r="W3060" i="1"/>
  <c r="V3060" i="1"/>
  <c r="U3060" i="1"/>
  <c r="T3060" i="1"/>
  <c r="S3060" i="1"/>
  <c r="W3059" i="1"/>
  <c r="V3059" i="1"/>
  <c r="U3059" i="1"/>
  <c r="T3059" i="1"/>
  <c r="S3059" i="1"/>
  <c r="W3058" i="1"/>
  <c r="V3058" i="1"/>
  <c r="U3058" i="1"/>
  <c r="T3058" i="1"/>
  <c r="S3058" i="1"/>
  <c r="W3057" i="1"/>
  <c r="V3057" i="1"/>
  <c r="U3057" i="1"/>
  <c r="T3057" i="1"/>
  <c r="S3057" i="1"/>
  <c r="W3056" i="1"/>
  <c r="V3056" i="1"/>
  <c r="U3056" i="1"/>
  <c r="T3056" i="1"/>
  <c r="S3056" i="1"/>
  <c r="W3055" i="1"/>
  <c r="V3055" i="1"/>
  <c r="U3055" i="1"/>
  <c r="T3055" i="1"/>
  <c r="S3055" i="1"/>
  <c r="W3054" i="1"/>
  <c r="V3054" i="1"/>
  <c r="U3054" i="1"/>
  <c r="T3054" i="1"/>
  <c r="S3054" i="1"/>
  <c r="W3053" i="1"/>
  <c r="V3053" i="1"/>
  <c r="U3053" i="1"/>
  <c r="T3053" i="1"/>
  <c r="S3053" i="1"/>
  <c r="W3052" i="1"/>
  <c r="V3052" i="1"/>
  <c r="U3052" i="1"/>
  <c r="T3052" i="1"/>
  <c r="S3052" i="1"/>
  <c r="W3051" i="1"/>
  <c r="V3051" i="1"/>
  <c r="U3051" i="1"/>
  <c r="T3051" i="1"/>
  <c r="S3051" i="1"/>
  <c r="W3050" i="1"/>
  <c r="V3050" i="1"/>
  <c r="U3050" i="1"/>
  <c r="T3050" i="1"/>
  <c r="S3050" i="1"/>
  <c r="W3049" i="1"/>
  <c r="V3049" i="1"/>
  <c r="U3049" i="1"/>
  <c r="T3049" i="1"/>
  <c r="S3049" i="1"/>
  <c r="W3048" i="1"/>
  <c r="V3048" i="1"/>
  <c r="U3048" i="1"/>
  <c r="T3048" i="1"/>
  <c r="S3048" i="1"/>
  <c r="W3047" i="1"/>
  <c r="V3047" i="1"/>
  <c r="U3047" i="1"/>
  <c r="T3047" i="1"/>
  <c r="S3047" i="1"/>
  <c r="W3046" i="1"/>
  <c r="V3046" i="1"/>
  <c r="U3046" i="1"/>
  <c r="T3046" i="1"/>
  <c r="S3046" i="1"/>
  <c r="W3045" i="1"/>
  <c r="V3045" i="1"/>
  <c r="U3045" i="1"/>
  <c r="T3045" i="1"/>
  <c r="S3045" i="1"/>
  <c r="W3044" i="1"/>
  <c r="V3044" i="1"/>
  <c r="U3044" i="1"/>
  <c r="T3044" i="1"/>
  <c r="S3044" i="1"/>
  <c r="W3043" i="1"/>
  <c r="V3043" i="1"/>
  <c r="U3043" i="1"/>
  <c r="T3043" i="1"/>
  <c r="S3043" i="1"/>
  <c r="W3042" i="1"/>
  <c r="V3042" i="1"/>
  <c r="U3042" i="1"/>
  <c r="T3042" i="1"/>
  <c r="S3042" i="1"/>
  <c r="W3041" i="1"/>
  <c r="V3041" i="1"/>
  <c r="U3041" i="1"/>
  <c r="T3041" i="1"/>
  <c r="S3041" i="1"/>
  <c r="W3040" i="1"/>
  <c r="V3040" i="1"/>
  <c r="U3040" i="1"/>
  <c r="T3040" i="1"/>
  <c r="S3040" i="1"/>
  <c r="W3039" i="1"/>
  <c r="V3039" i="1"/>
  <c r="U3039" i="1"/>
  <c r="T3039" i="1"/>
  <c r="S3039" i="1"/>
  <c r="W3038" i="1"/>
  <c r="V3038" i="1"/>
  <c r="U3038" i="1"/>
  <c r="T3038" i="1"/>
  <c r="S3038" i="1"/>
  <c r="W3037" i="1"/>
  <c r="V3037" i="1"/>
  <c r="U3037" i="1"/>
  <c r="T3037" i="1"/>
  <c r="S3037" i="1"/>
  <c r="W3036" i="1"/>
  <c r="V3036" i="1"/>
  <c r="U3036" i="1"/>
  <c r="T3036" i="1"/>
  <c r="S3036" i="1"/>
  <c r="W3035" i="1"/>
  <c r="V3035" i="1"/>
  <c r="U3035" i="1"/>
  <c r="T3035" i="1"/>
  <c r="S3035" i="1"/>
  <c r="W3034" i="1"/>
  <c r="V3034" i="1"/>
  <c r="U3034" i="1"/>
  <c r="T3034" i="1"/>
  <c r="S3034" i="1"/>
  <c r="W3033" i="1"/>
  <c r="V3033" i="1"/>
  <c r="U3033" i="1"/>
  <c r="T3033" i="1"/>
  <c r="S3033" i="1"/>
  <c r="W3032" i="1"/>
  <c r="V3032" i="1"/>
  <c r="U3032" i="1"/>
  <c r="T3032" i="1"/>
  <c r="S3032" i="1"/>
  <c r="W3031" i="1"/>
  <c r="V3031" i="1"/>
  <c r="U3031" i="1"/>
  <c r="T3031" i="1"/>
  <c r="S3031" i="1"/>
  <c r="W3030" i="1"/>
  <c r="V3030" i="1"/>
  <c r="U3030" i="1"/>
  <c r="T3030" i="1"/>
  <c r="S3030" i="1"/>
  <c r="W3029" i="1"/>
  <c r="V3029" i="1"/>
  <c r="U3029" i="1"/>
  <c r="T3029" i="1"/>
  <c r="S3029" i="1"/>
  <c r="W3028" i="1"/>
  <c r="V3028" i="1"/>
  <c r="U3028" i="1"/>
  <c r="T3028" i="1"/>
  <c r="S3028" i="1"/>
  <c r="W3027" i="1"/>
  <c r="V3027" i="1"/>
  <c r="U3027" i="1"/>
  <c r="T3027" i="1"/>
  <c r="S3027" i="1"/>
  <c r="W3026" i="1"/>
  <c r="V3026" i="1"/>
  <c r="U3026" i="1"/>
  <c r="T3026" i="1"/>
  <c r="S3026" i="1"/>
  <c r="W3025" i="1"/>
  <c r="V3025" i="1"/>
  <c r="U3025" i="1"/>
  <c r="T3025" i="1"/>
  <c r="S3025" i="1"/>
  <c r="W3024" i="1"/>
  <c r="V3024" i="1"/>
  <c r="U3024" i="1"/>
  <c r="T3024" i="1"/>
  <c r="S3024" i="1"/>
  <c r="W3023" i="1"/>
  <c r="V3023" i="1"/>
  <c r="U3023" i="1"/>
  <c r="T3023" i="1"/>
  <c r="S3023" i="1"/>
  <c r="W3022" i="1"/>
  <c r="V3022" i="1"/>
  <c r="U3022" i="1"/>
  <c r="T3022" i="1"/>
  <c r="S3022" i="1"/>
  <c r="W3021" i="1"/>
  <c r="V3021" i="1"/>
  <c r="U3021" i="1"/>
  <c r="T3021" i="1"/>
  <c r="S3021" i="1"/>
  <c r="W3020" i="1"/>
  <c r="V3020" i="1"/>
  <c r="U3020" i="1"/>
  <c r="T3020" i="1"/>
  <c r="S3020" i="1"/>
  <c r="W3019" i="1"/>
  <c r="V3019" i="1"/>
  <c r="U3019" i="1"/>
  <c r="T3019" i="1"/>
  <c r="S3019" i="1"/>
  <c r="W3018" i="1"/>
  <c r="V3018" i="1"/>
  <c r="U3018" i="1"/>
  <c r="T3018" i="1"/>
  <c r="S3018" i="1"/>
  <c r="W3017" i="1"/>
  <c r="V3017" i="1"/>
  <c r="U3017" i="1"/>
  <c r="T3017" i="1"/>
  <c r="S3017" i="1"/>
  <c r="W3016" i="1"/>
  <c r="V3016" i="1"/>
  <c r="U3016" i="1"/>
  <c r="T3016" i="1"/>
  <c r="S3016" i="1"/>
  <c r="W3015" i="1"/>
  <c r="V3015" i="1"/>
  <c r="U3015" i="1"/>
  <c r="T3015" i="1"/>
  <c r="S3015" i="1"/>
  <c r="W3014" i="1"/>
  <c r="V3014" i="1"/>
  <c r="U3014" i="1"/>
  <c r="T3014" i="1"/>
  <c r="S3014" i="1"/>
  <c r="W3013" i="1"/>
  <c r="V3013" i="1"/>
  <c r="U3013" i="1"/>
  <c r="T3013" i="1"/>
  <c r="S3013" i="1"/>
  <c r="W3012" i="1"/>
  <c r="V3012" i="1"/>
  <c r="U3012" i="1"/>
  <c r="T3012" i="1"/>
  <c r="S3012" i="1"/>
  <c r="W3011" i="1"/>
  <c r="V3011" i="1"/>
  <c r="U3011" i="1"/>
  <c r="T3011" i="1"/>
  <c r="S3011" i="1"/>
  <c r="W3010" i="1"/>
  <c r="V3010" i="1"/>
  <c r="U3010" i="1"/>
  <c r="T3010" i="1"/>
  <c r="S3010" i="1"/>
  <c r="W3009" i="1"/>
  <c r="V3009" i="1"/>
  <c r="U3009" i="1"/>
  <c r="T3009" i="1"/>
  <c r="S3009" i="1"/>
  <c r="W3008" i="1"/>
  <c r="V3008" i="1"/>
  <c r="U3008" i="1"/>
  <c r="T3008" i="1"/>
  <c r="S3008" i="1"/>
  <c r="W3007" i="1"/>
  <c r="V3007" i="1"/>
  <c r="U3007" i="1"/>
  <c r="T3007" i="1"/>
  <c r="S3007" i="1"/>
  <c r="W3006" i="1"/>
  <c r="V3006" i="1"/>
  <c r="U3006" i="1"/>
  <c r="T3006" i="1"/>
  <c r="S3006" i="1"/>
  <c r="W3005" i="1"/>
  <c r="V3005" i="1"/>
  <c r="U3005" i="1"/>
  <c r="T3005" i="1"/>
  <c r="S3005" i="1"/>
  <c r="W3004" i="1"/>
  <c r="V3004" i="1"/>
  <c r="U3004" i="1"/>
  <c r="T3004" i="1"/>
  <c r="S3004" i="1"/>
  <c r="W3003" i="1"/>
  <c r="V3003" i="1"/>
  <c r="U3003" i="1"/>
  <c r="T3003" i="1"/>
  <c r="S3003" i="1"/>
  <c r="W3002" i="1"/>
  <c r="V3002" i="1"/>
  <c r="U3002" i="1"/>
  <c r="T3002" i="1"/>
  <c r="S3002" i="1"/>
  <c r="W3001" i="1"/>
  <c r="V3001" i="1"/>
  <c r="U3001" i="1"/>
  <c r="T3001" i="1"/>
  <c r="S3001" i="1"/>
  <c r="W3000" i="1"/>
  <c r="V3000" i="1"/>
  <c r="U3000" i="1"/>
  <c r="T3000" i="1"/>
  <c r="S3000" i="1"/>
  <c r="W2999" i="1"/>
  <c r="V2999" i="1"/>
  <c r="U2999" i="1"/>
  <c r="T2999" i="1"/>
  <c r="S2999" i="1"/>
  <c r="W2998" i="1"/>
  <c r="V2998" i="1"/>
  <c r="U2998" i="1"/>
  <c r="T2998" i="1"/>
  <c r="S2998" i="1"/>
  <c r="W2997" i="1"/>
  <c r="V2997" i="1"/>
  <c r="U2997" i="1"/>
  <c r="T2997" i="1"/>
  <c r="S2997" i="1"/>
  <c r="W2996" i="1"/>
  <c r="V2996" i="1"/>
  <c r="U2996" i="1"/>
  <c r="T2996" i="1"/>
  <c r="S2996" i="1"/>
  <c r="W2995" i="1"/>
  <c r="V2995" i="1"/>
  <c r="U2995" i="1"/>
  <c r="T2995" i="1"/>
  <c r="S2995" i="1"/>
  <c r="W2994" i="1"/>
  <c r="V2994" i="1"/>
  <c r="U2994" i="1"/>
  <c r="T2994" i="1"/>
  <c r="S2994" i="1"/>
  <c r="W2993" i="1"/>
  <c r="V2993" i="1"/>
  <c r="U2993" i="1"/>
  <c r="T2993" i="1"/>
  <c r="S2993" i="1"/>
  <c r="W2992" i="1"/>
  <c r="V2992" i="1"/>
  <c r="U2992" i="1"/>
  <c r="T2992" i="1"/>
  <c r="S2992" i="1"/>
  <c r="W2991" i="1"/>
  <c r="V2991" i="1"/>
  <c r="U2991" i="1"/>
  <c r="T2991" i="1"/>
  <c r="S2991" i="1"/>
  <c r="W2990" i="1"/>
  <c r="V2990" i="1"/>
  <c r="U2990" i="1"/>
  <c r="T2990" i="1"/>
  <c r="S2990" i="1"/>
  <c r="W2989" i="1"/>
  <c r="V2989" i="1"/>
  <c r="U2989" i="1"/>
  <c r="T2989" i="1"/>
  <c r="S2989" i="1"/>
  <c r="W2988" i="1"/>
  <c r="V2988" i="1"/>
  <c r="U2988" i="1"/>
  <c r="T2988" i="1"/>
  <c r="S2988" i="1"/>
  <c r="W2987" i="1"/>
  <c r="V2987" i="1"/>
  <c r="U2987" i="1"/>
  <c r="T2987" i="1"/>
  <c r="S2987" i="1"/>
  <c r="W2986" i="1"/>
  <c r="V2986" i="1"/>
  <c r="U2986" i="1"/>
  <c r="T2986" i="1"/>
  <c r="S2986" i="1"/>
  <c r="W2985" i="1"/>
  <c r="V2985" i="1"/>
  <c r="U2985" i="1"/>
  <c r="T2985" i="1"/>
  <c r="S2985" i="1"/>
  <c r="W2984" i="1"/>
  <c r="V2984" i="1"/>
  <c r="U2984" i="1"/>
  <c r="T2984" i="1"/>
  <c r="S2984" i="1"/>
  <c r="W2983" i="1"/>
  <c r="V2983" i="1"/>
  <c r="U2983" i="1"/>
  <c r="T2983" i="1"/>
  <c r="S2983" i="1"/>
  <c r="W2982" i="1"/>
  <c r="V2982" i="1"/>
  <c r="U2982" i="1"/>
  <c r="T2982" i="1"/>
  <c r="S2982" i="1"/>
  <c r="W2981" i="1"/>
  <c r="V2981" i="1"/>
  <c r="U2981" i="1"/>
  <c r="T2981" i="1"/>
  <c r="S2981" i="1"/>
  <c r="W2980" i="1"/>
  <c r="V2980" i="1"/>
  <c r="U2980" i="1"/>
  <c r="T2980" i="1"/>
  <c r="S2980" i="1"/>
  <c r="W2979" i="1"/>
  <c r="V2979" i="1"/>
  <c r="U2979" i="1"/>
  <c r="T2979" i="1"/>
  <c r="S2979" i="1"/>
  <c r="W2978" i="1"/>
  <c r="V2978" i="1"/>
  <c r="U2978" i="1"/>
  <c r="T2978" i="1"/>
  <c r="S2978" i="1"/>
  <c r="W2977" i="1"/>
  <c r="V2977" i="1"/>
  <c r="U2977" i="1"/>
  <c r="T2977" i="1"/>
  <c r="S2977" i="1"/>
  <c r="W2976" i="1"/>
  <c r="V2976" i="1"/>
  <c r="U2976" i="1"/>
  <c r="T2976" i="1"/>
  <c r="S2976" i="1"/>
  <c r="W2975" i="1"/>
  <c r="V2975" i="1"/>
  <c r="U2975" i="1"/>
  <c r="T2975" i="1"/>
  <c r="S2975" i="1"/>
  <c r="W2974" i="1"/>
  <c r="V2974" i="1"/>
  <c r="U2974" i="1"/>
  <c r="T2974" i="1"/>
  <c r="S2974" i="1"/>
  <c r="W2973" i="1"/>
  <c r="V2973" i="1"/>
  <c r="U2973" i="1"/>
  <c r="T2973" i="1"/>
  <c r="S2973" i="1"/>
  <c r="W2972" i="1"/>
  <c r="V2972" i="1"/>
  <c r="U2972" i="1"/>
  <c r="T2972" i="1"/>
  <c r="S2972" i="1"/>
  <c r="W2971" i="1"/>
  <c r="V2971" i="1"/>
  <c r="U2971" i="1"/>
  <c r="T2971" i="1"/>
  <c r="S2971" i="1"/>
  <c r="W2970" i="1"/>
  <c r="V2970" i="1"/>
  <c r="U2970" i="1"/>
  <c r="T2970" i="1"/>
  <c r="S2970" i="1"/>
  <c r="W2969" i="1"/>
  <c r="V2969" i="1"/>
  <c r="U2969" i="1"/>
  <c r="T2969" i="1"/>
  <c r="S2969" i="1"/>
  <c r="W2968" i="1"/>
  <c r="V2968" i="1"/>
  <c r="U2968" i="1"/>
  <c r="T2968" i="1"/>
  <c r="S2968" i="1"/>
  <c r="W2967" i="1"/>
  <c r="V2967" i="1"/>
  <c r="U2967" i="1"/>
  <c r="T2967" i="1"/>
  <c r="S2967" i="1"/>
  <c r="W2966" i="1"/>
  <c r="V2966" i="1"/>
  <c r="U2966" i="1"/>
  <c r="T2966" i="1"/>
  <c r="S2966" i="1"/>
  <c r="W2965" i="1"/>
  <c r="V2965" i="1"/>
  <c r="U2965" i="1"/>
  <c r="T2965" i="1"/>
  <c r="S2965" i="1"/>
  <c r="W2964" i="1"/>
  <c r="V2964" i="1"/>
  <c r="U2964" i="1"/>
  <c r="T2964" i="1"/>
  <c r="S2964" i="1"/>
  <c r="W2963" i="1"/>
  <c r="V2963" i="1"/>
  <c r="U2963" i="1"/>
  <c r="T2963" i="1"/>
  <c r="S2963" i="1"/>
  <c r="W2962" i="1"/>
  <c r="V2962" i="1"/>
  <c r="U2962" i="1"/>
  <c r="T2962" i="1"/>
  <c r="S2962" i="1"/>
  <c r="W2961" i="1"/>
  <c r="V2961" i="1"/>
  <c r="U2961" i="1"/>
  <c r="T2961" i="1"/>
  <c r="S2961" i="1"/>
  <c r="W2960" i="1"/>
  <c r="V2960" i="1"/>
  <c r="U2960" i="1"/>
  <c r="T2960" i="1"/>
  <c r="S2960" i="1"/>
  <c r="W2959" i="1"/>
  <c r="V2959" i="1"/>
  <c r="U2959" i="1"/>
  <c r="T2959" i="1"/>
  <c r="S2959" i="1"/>
  <c r="W2958" i="1"/>
  <c r="V2958" i="1"/>
  <c r="U2958" i="1"/>
  <c r="T2958" i="1"/>
  <c r="S2958" i="1"/>
  <c r="W2957" i="1"/>
  <c r="V2957" i="1"/>
  <c r="U2957" i="1"/>
  <c r="T2957" i="1"/>
  <c r="S2957" i="1"/>
  <c r="W2956" i="1"/>
  <c r="V2956" i="1"/>
  <c r="U2956" i="1"/>
  <c r="T2956" i="1"/>
  <c r="S2956" i="1"/>
  <c r="W2955" i="1"/>
  <c r="V2955" i="1"/>
  <c r="U2955" i="1"/>
  <c r="T2955" i="1"/>
  <c r="S2955" i="1"/>
  <c r="W2954" i="1"/>
  <c r="V2954" i="1"/>
  <c r="U2954" i="1"/>
  <c r="T2954" i="1"/>
  <c r="S2954" i="1"/>
  <c r="W2953" i="1"/>
  <c r="V2953" i="1"/>
  <c r="U2953" i="1"/>
  <c r="T2953" i="1"/>
  <c r="S2953" i="1"/>
  <c r="W2952" i="1"/>
  <c r="V2952" i="1"/>
  <c r="U2952" i="1"/>
  <c r="T2952" i="1"/>
  <c r="S2952" i="1"/>
  <c r="W2951" i="1"/>
  <c r="V2951" i="1"/>
  <c r="U2951" i="1"/>
  <c r="T2951" i="1"/>
  <c r="S2951" i="1"/>
  <c r="W2950" i="1"/>
  <c r="V2950" i="1"/>
  <c r="U2950" i="1"/>
  <c r="T2950" i="1"/>
  <c r="S2950" i="1"/>
  <c r="W2949" i="1"/>
  <c r="V2949" i="1"/>
  <c r="U2949" i="1"/>
  <c r="T2949" i="1"/>
  <c r="S2949" i="1"/>
  <c r="W2948" i="1"/>
  <c r="V2948" i="1"/>
  <c r="U2948" i="1"/>
  <c r="T2948" i="1"/>
  <c r="S2948" i="1"/>
  <c r="W2947" i="1"/>
  <c r="V2947" i="1"/>
  <c r="U2947" i="1"/>
  <c r="T2947" i="1"/>
  <c r="S2947" i="1"/>
  <c r="W2946" i="1"/>
  <c r="V2946" i="1"/>
  <c r="U2946" i="1"/>
  <c r="T2946" i="1"/>
  <c r="S2946" i="1"/>
  <c r="W2945" i="1"/>
  <c r="V2945" i="1"/>
  <c r="U2945" i="1"/>
  <c r="T2945" i="1"/>
  <c r="S2945" i="1"/>
  <c r="W2944" i="1"/>
  <c r="V2944" i="1"/>
  <c r="U2944" i="1"/>
  <c r="T2944" i="1"/>
  <c r="S2944" i="1"/>
  <c r="W2943" i="1"/>
  <c r="V2943" i="1"/>
  <c r="U2943" i="1"/>
  <c r="T2943" i="1"/>
  <c r="S2943" i="1"/>
  <c r="W2942" i="1"/>
  <c r="V2942" i="1"/>
  <c r="U2942" i="1"/>
  <c r="T2942" i="1"/>
  <c r="S2942" i="1"/>
  <c r="W2941" i="1"/>
  <c r="V2941" i="1"/>
  <c r="U2941" i="1"/>
  <c r="T2941" i="1"/>
  <c r="S2941" i="1"/>
  <c r="W2940" i="1"/>
  <c r="V2940" i="1"/>
  <c r="U2940" i="1"/>
  <c r="T2940" i="1"/>
  <c r="S2940" i="1"/>
  <c r="W2939" i="1"/>
  <c r="V2939" i="1"/>
  <c r="U2939" i="1"/>
  <c r="T2939" i="1"/>
  <c r="S2939" i="1"/>
  <c r="W2938" i="1"/>
  <c r="V2938" i="1"/>
  <c r="U2938" i="1"/>
  <c r="T2938" i="1"/>
  <c r="S2938" i="1"/>
  <c r="W2937" i="1"/>
  <c r="V2937" i="1"/>
  <c r="U2937" i="1"/>
  <c r="T2937" i="1"/>
  <c r="S2937" i="1"/>
  <c r="W2936" i="1"/>
  <c r="V2936" i="1"/>
  <c r="U2936" i="1"/>
  <c r="T2936" i="1"/>
  <c r="S2936" i="1"/>
  <c r="W2935" i="1"/>
  <c r="V2935" i="1"/>
  <c r="U2935" i="1"/>
  <c r="T2935" i="1"/>
  <c r="S2935" i="1"/>
  <c r="W2934" i="1"/>
  <c r="V2934" i="1"/>
  <c r="U2934" i="1"/>
  <c r="T2934" i="1"/>
  <c r="S2934" i="1"/>
  <c r="W2933" i="1"/>
  <c r="V2933" i="1"/>
  <c r="U2933" i="1"/>
  <c r="T2933" i="1"/>
  <c r="S2933" i="1"/>
  <c r="W2932" i="1"/>
  <c r="V2932" i="1"/>
  <c r="U2932" i="1"/>
  <c r="T2932" i="1"/>
  <c r="S2932" i="1"/>
  <c r="W2931" i="1"/>
  <c r="V2931" i="1"/>
  <c r="U2931" i="1"/>
  <c r="T2931" i="1"/>
  <c r="S2931" i="1"/>
  <c r="W2930" i="1"/>
  <c r="V2930" i="1"/>
  <c r="U2930" i="1"/>
  <c r="T2930" i="1"/>
  <c r="S2930" i="1"/>
  <c r="W2929" i="1"/>
  <c r="V2929" i="1"/>
  <c r="U2929" i="1"/>
  <c r="T2929" i="1"/>
  <c r="S2929" i="1"/>
  <c r="W2928" i="1"/>
  <c r="V2928" i="1"/>
  <c r="U2928" i="1"/>
  <c r="T2928" i="1"/>
  <c r="S2928" i="1"/>
  <c r="W2927" i="1"/>
  <c r="V2927" i="1"/>
  <c r="U2927" i="1"/>
  <c r="T2927" i="1"/>
  <c r="S2927" i="1"/>
  <c r="W2926" i="1"/>
  <c r="V2926" i="1"/>
  <c r="U2926" i="1"/>
  <c r="T2926" i="1"/>
  <c r="S2926" i="1"/>
  <c r="W2925" i="1"/>
  <c r="V2925" i="1"/>
  <c r="U2925" i="1"/>
  <c r="T2925" i="1"/>
  <c r="S2925" i="1"/>
  <c r="W2924" i="1"/>
  <c r="V2924" i="1"/>
  <c r="U2924" i="1"/>
  <c r="T2924" i="1"/>
  <c r="S2924" i="1"/>
  <c r="W2923" i="1"/>
  <c r="V2923" i="1"/>
  <c r="U2923" i="1"/>
  <c r="T2923" i="1"/>
  <c r="S2923" i="1"/>
  <c r="W2922" i="1"/>
  <c r="V2922" i="1"/>
  <c r="U2922" i="1"/>
  <c r="T2922" i="1"/>
  <c r="S2922" i="1"/>
  <c r="W2921" i="1"/>
  <c r="V2921" i="1"/>
  <c r="U2921" i="1"/>
  <c r="T2921" i="1"/>
  <c r="S2921" i="1"/>
  <c r="W2920" i="1"/>
  <c r="V2920" i="1"/>
  <c r="U2920" i="1"/>
  <c r="T2920" i="1"/>
  <c r="S2920" i="1"/>
  <c r="W2919" i="1"/>
  <c r="V2919" i="1"/>
  <c r="U2919" i="1"/>
  <c r="T2919" i="1"/>
  <c r="S2919" i="1"/>
  <c r="W2918" i="1"/>
  <c r="V2918" i="1"/>
  <c r="U2918" i="1"/>
  <c r="T2918" i="1"/>
  <c r="S2918" i="1"/>
  <c r="W2917" i="1"/>
  <c r="V2917" i="1"/>
  <c r="U2917" i="1"/>
  <c r="T2917" i="1"/>
  <c r="S2917" i="1"/>
  <c r="W2916" i="1"/>
  <c r="V2916" i="1"/>
  <c r="U2916" i="1"/>
  <c r="T2916" i="1"/>
  <c r="S2916" i="1"/>
  <c r="W2915" i="1"/>
  <c r="V2915" i="1"/>
  <c r="U2915" i="1"/>
  <c r="T2915" i="1"/>
  <c r="S2915" i="1"/>
  <c r="W2914" i="1"/>
  <c r="V2914" i="1"/>
  <c r="U2914" i="1"/>
  <c r="T2914" i="1"/>
  <c r="S2914" i="1"/>
  <c r="W2913" i="1"/>
  <c r="V2913" i="1"/>
  <c r="U2913" i="1"/>
  <c r="T2913" i="1"/>
  <c r="S2913" i="1"/>
  <c r="W2912" i="1"/>
  <c r="V2912" i="1"/>
  <c r="U2912" i="1"/>
  <c r="T2912" i="1"/>
  <c r="S2912" i="1"/>
  <c r="W2911" i="1"/>
  <c r="V2911" i="1"/>
  <c r="U2911" i="1"/>
  <c r="T2911" i="1"/>
  <c r="S2911" i="1"/>
  <c r="W2910" i="1"/>
  <c r="V2910" i="1"/>
  <c r="U2910" i="1"/>
  <c r="T2910" i="1"/>
  <c r="S2910" i="1"/>
  <c r="W2909" i="1"/>
  <c r="V2909" i="1"/>
  <c r="U2909" i="1"/>
  <c r="T2909" i="1"/>
  <c r="S2909" i="1"/>
  <c r="W2908" i="1"/>
  <c r="V2908" i="1"/>
  <c r="U2908" i="1"/>
  <c r="T2908" i="1"/>
  <c r="S2908" i="1"/>
  <c r="W2907" i="1"/>
  <c r="V2907" i="1"/>
  <c r="U2907" i="1"/>
  <c r="T2907" i="1"/>
  <c r="S2907" i="1"/>
  <c r="W2906" i="1"/>
  <c r="V2906" i="1"/>
  <c r="U2906" i="1"/>
  <c r="T2906" i="1"/>
  <c r="S2906" i="1"/>
  <c r="W2905" i="1"/>
  <c r="V2905" i="1"/>
  <c r="U2905" i="1"/>
  <c r="T2905" i="1"/>
  <c r="S2905" i="1"/>
  <c r="W2904" i="1"/>
  <c r="V2904" i="1"/>
  <c r="U2904" i="1"/>
  <c r="T2904" i="1"/>
  <c r="S2904" i="1"/>
  <c r="W2903" i="1"/>
  <c r="V2903" i="1"/>
  <c r="U2903" i="1"/>
  <c r="T2903" i="1"/>
  <c r="S2903" i="1"/>
  <c r="W2902" i="1"/>
  <c r="V2902" i="1"/>
  <c r="U2902" i="1"/>
  <c r="T2902" i="1"/>
  <c r="S2902" i="1"/>
  <c r="W2901" i="1"/>
  <c r="V2901" i="1"/>
  <c r="U2901" i="1"/>
  <c r="T2901" i="1"/>
  <c r="S2901" i="1"/>
  <c r="W2900" i="1"/>
  <c r="V2900" i="1"/>
  <c r="U2900" i="1"/>
  <c r="T2900" i="1"/>
  <c r="S2900" i="1"/>
  <c r="W2899" i="1"/>
  <c r="V2899" i="1"/>
  <c r="U2899" i="1"/>
  <c r="T2899" i="1"/>
  <c r="S2899" i="1"/>
  <c r="W2898" i="1"/>
  <c r="V2898" i="1"/>
  <c r="U2898" i="1"/>
  <c r="T2898" i="1"/>
  <c r="S2898" i="1"/>
  <c r="W2897" i="1"/>
  <c r="V2897" i="1"/>
  <c r="U2897" i="1"/>
  <c r="T2897" i="1"/>
  <c r="S2897" i="1"/>
  <c r="W2896" i="1"/>
  <c r="V2896" i="1"/>
  <c r="U2896" i="1"/>
  <c r="T2896" i="1"/>
  <c r="S2896" i="1"/>
  <c r="W2895" i="1"/>
  <c r="V2895" i="1"/>
  <c r="U2895" i="1"/>
  <c r="T2895" i="1"/>
  <c r="S2895" i="1"/>
  <c r="W2894" i="1"/>
  <c r="V2894" i="1"/>
  <c r="U2894" i="1"/>
  <c r="T2894" i="1"/>
  <c r="S2894" i="1"/>
  <c r="W2893" i="1"/>
  <c r="V2893" i="1"/>
  <c r="U2893" i="1"/>
  <c r="T2893" i="1"/>
  <c r="S2893" i="1"/>
  <c r="W2892" i="1"/>
  <c r="V2892" i="1"/>
  <c r="U2892" i="1"/>
  <c r="T2892" i="1"/>
  <c r="S2892" i="1"/>
  <c r="W2891" i="1"/>
  <c r="V2891" i="1"/>
  <c r="U2891" i="1"/>
  <c r="T2891" i="1"/>
  <c r="S2891" i="1"/>
  <c r="W2890" i="1"/>
  <c r="V2890" i="1"/>
  <c r="U2890" i="1"/>
  <c r="T2890" i="1"/>
  <c r="S2890" i="1"/>
  <c r="W2889" i="1"/>
  <c r="V2889" i="1"/>
  <c r="U2889" i="1"/>
  <c r="T2889" i="1"/>
  <c r="S2889" i="1"/>
  <c r="W2888" i="1"/>
  <c r="V2888" i="1"/>
  <c r="U2888" i="1"/>
  <c r="T2888" i="1"/>
  <c r="S2888" i="1"/>
  <c r="W2887" i="1"/>
  <c r="V2887" i="1"/>
  <c r="U2887" i="1"/>
  <c r="T2887" i="1"/>
  <c r="S2887" i="1"/>
  <c r="W2886" i="1"/>
  <c r="V2886" i="1"/>
  <c r="U2886" i="1"/>
  <c r="T2886" i="1"/>
  <c r="S2886" i="1"/>
  <c r="W2885" i="1"/>
  <c r="V2885" i="1"/>
  <c r="U2885" i="1"/>
  <c r="T2885" i="1"/>
  <c r="S2885" i="1"/>
  <c r="W2884" i="1"/>
  <c r="V2884" i="1"/>
  <c r="U2884" i="1"/>
  <c r="T2884" i="1"/>
  <c r="S2884" i="1"/>
  <c r="W2883" i="1"/>
  <c r="V2883" i="1"/>
  <c r="U2883" i="1"/>
  <c r="T2883" i="1"/>
  <c r="S2883" i="1"/>
  <c r="W2882" i="1"/>
  <c r="V2882" i="1"/>
  <c r="U2882" i="1"/>
  <c r="T2882" i="1"/>
  <c r="S2882" i="1"/>
  <c r="W2881" i="1"/>
  <c r="V2881" i="1"/>
  <c r="U2881" i="1"/>
  <c r="T2881" i="1"/>
  <c r="S2881" i="1"/>
  <c r="W2880" i="1"/>
  <c r="V2880" i="1"/>
  <c r="U2880" i="1"/>
  <c r="T2880" i="1"/>
  <c r="S2880" i="1"/>
  <c r="W2879" i="1"/>
  <c r="V2879" i="1"/>
  <c r="U2879" i="1"/>
  <c r="T2879" i="1"/>
  <c r="S2879" i="1"/>
  <c r="W2878" i="1"/>
  <c r="V2878" i="1"/>
  <c r="U2878" i="1"/>
  <c r="T2878" i="1"/>
  <c r="S2878" i="1"/>
  <c r="W2877" i="1"/>
  <c r="V2877" i="1"/>
  <c r="U2877" i="1"/>
  <c r="T2877" i="1"/>
  <c r="S2877" i="1"/>
  <c r="W2876" i="1"/>
  <c r="V2876" i="1"/>
  <c r="U2876" i="1"/>
  <c r="T2876" i="1"/>
  <c r="S2876" i="1"/>
  <c r="W2875" i="1"/>
  <c r="V2875" i="1"/>
  <c r="U2875" i="1"/>
  <c r="T2875" i="1"/>
  <c r="S2875" i="1"/>
  <c r="W2874" i="1"/>
  <c r="V2874" i="1"/>
  <c r="U2874" i="1"/>
  <c r="T2874" i="1"/>
  <c r="S2874" i="1"/>
  <c r="W2873" i="1"/>
  <c r="V2873" i="1"/>
  <c r="U2873" i="1"/>
  <c r="T2873" i="1"/>
  <c r="S2873" i="1"/>
  <c r="W2872" i="1"/>
  <c r="V2872" i="1"/>
  <c r="U2872" i="1"/>
  <c r="T2872" i="1"/>
  <c r="S2872" i="1"/>
  <c r="W2871" i="1"/>
  <c r="V2871" i="1"/>
  <c r="U2871" i="1"/>
  <c r="T2871" i="1"/>
  <c r="S2871" i="1"/>
  <c r="W2870" i="1"/>
  <c r="V2870" i="1"/>
  <c r="U2870" i="1"/>
  <c r="T2870" i="1"/>
  <c r="S2870" i="1"/>
  <c r="W2869" i="1"/>
  <c r="V2869" i="1"/>
  <c r="U2869" i="1"/>
  <c r="T2869" i="1"/>
  <c r="S2869" i="1"/>
  <c r="W2868" i="1"/>
  <c r="V2868" i="1"/>
  <c r="U2868" i="1"/>
  <c r="T2868" i="1"/>
  <c r="S2868" i="1"/>
  <c r="W2867" i="1"/>
  <c r="V2867" i="1"/>
  <c r="U2867" i="1"/>
  <c r="T2867" i="1"/>
  <c r="S2867" i="1"/>
  <c r="W2866" i="1"/>
  <c r="V2866" i="1"/>
  <c r="U2866" i="1"/>
  <c r="T2866" i="1"/>
  <c r="S2866" i="1"/>
  <c r="W2865" i="1"/>
  <c r="V2865" i="1"/>
  <c r="U2865" i="1"/>
  <c r="T2865" i="1"/>
  <c r="S2865" i="1"/>
  <c r="W2864" i="1"/>
  <c r="V2864" i="1"/>
  <c r="U2864" i="1"/>
  <c r="T2864" i="1"/>
  <c r="S2864" i="1"/>
  <c r="W2863" i="1"/>
  <c r="V2863" i="1"/>
  <c r="U2863" i="1"/>
  <c r="T2863" i="1"/>
  <c r="S2863" i="1"/>
  <c r="W2862" i="1"/>
  <c r="V2862" i="1"/>
  <c r="U2862" i="1"/>
  <c r="T2862" i="1"/>
  <c r="S2862" i="1"/>
  <c r="W2861" i="1"/>
  <c r="V2861" i="1"/>
  <c r="U2861" i="1"/>
  <c r="T2861" i="1"/>
  <c r="S2861" i="1"/>
  <c r="W2860" i="1"/>
  <c r="V2860" i="1"/>
  <c r="U2860" i="1"/>
  <c r="T2860" i="1"/>
  <c r="S2860" i="1"/>
  <c r="W2859" i="1"/>
  <c r="V2859" i="1"/>
  <c r="U2859" i="1"/>
  <c r="T2859" i="1"/>
  <c r="S2859" i="1"/>
  <c r="W2858" i="1"/>
  <c r="V2858" i="1"/>
  <c r="U2858" i="1"/>
  <c r="T2858" i="1"/>
  <c r="S2858" i="1"/>
  <c r="W2857" i="1"/>
  <c r="V2857" i="1"/>
  <c r="U2857" i="1"/>
  <c r="T2857" i="1"/>
  <c r="S2857" i="1"/>
  <c r="W2856" i="1"/>
  <c r="V2856" i="1"/>
  <c r="U2856" i="1"/>
  <c r="T2856" i="1"/>
  <c r="S2856" i="1"/>
  <c r="W2855" i="1"/>
  <c r="V2855" i="1"/>
  <c r="U2855" i="1"/>
  <c r="T2855" i="1"/>
  <c r="S2855" i="1"/>
  <c r="W2854" i="1"/>
  <c r="V2854" i="1"/>
  <c r="U2854" i="1"/>
  <c r="T2854" i="1"/>
  <c r="S2854" i="1"/>
  <c r="W2853" i="1"/>
  <c r="V2853" i="1"/>
  <c r="U2853" i="1"/>
  <c r="T2853" i="1"/>
  <c r="S2853" i="1"/>
  <c r="W2852" i="1"/>
  <c r="V2852" i="1"/>
  <c r="U2852" i="1"/>
  <c r="T2852" i="1"/>
  <c r="S2852" i="1"/>
  <c r="W2851" i="1"/>
  <c r="V2851" i="1"/>
  <c r="U2851" i="1"/>
  <c r="T2851" i="1"/>
  <c r="S2851" i="1"/>
  <c r="W2850" i="1"/>
  <c r="V2850" i="1"/>
  <c r="U2850" i="1"/>
  <c r="T2850" i="1"/>
  <c r="S2850" i="1"/>
  <c r="W2849" i="1"/>
  <c r="V2849" i="1"/>
  <c r="U2849" i="1"/>
  <c r="T2849" i="1"/>
  <c r="S2849" i="1"/>
  <c r="W2848" i="1"/>
  <c r="V2848" i="1"/>
  <c r="U2848" i="1"/>
  <c r="T2848" i="1"/>
  <c r="S2848" i="1"/>
  <c r="W2847" i="1"/>
  <c r="V2847" i="1"/>
  <c r="U2847" i="1"/>
  <c r="T2847" i="1"/>
  <c r="S2847" i="1"/>
  <c r="W2846" i="1"/>
  <c r="V2846" i="1"/>
  <c r="U2846" i="1"/>
  <c r="T2846" i="1"/>
  <c r="S2846" i="1"/>
  <c r="W2845" i="1"/>
  <c r="V2845" i="1"/>
  <c r="U2845" i="1"/>
  <c r="T2845" i="1"/>
  <c r="S2845" i="1"/>
  <c r="W2844" i="1"/>
  <c r="V2844" i="1"/>
  <c r="U2844" i="1"/>
  <c r="T2844" i="1"/>
  <c r="S2844" i="1"/>
  <c r="W2843" i="1"/>
  <c r="V2843" i="1"/>
  <c r="U2843" i="1"/>
  <c r="T2843" i="1"/>
  <c r="S2843" i="1"/>
  <c r="W2842" i="1"/>
  <c r="V2842" i="1"/>
  <c r="U2842" i="1"/>
  <c r="T2842" i="1"/>
  <c r="S2842" i="1"/>
  <c r="W2841" i="1"/>
  <c r="V2841" i="1"/>
  <c r="U2841" i="1"/>
  <c r="T2841" i="1"/>
  <c r="S2841" i="1"/>
  <c r="W2840" i="1"/>
  <c r="V2840" i="1"/>
  <c r="U2840" i="1"/>
  <c r="T2840" i="1"/>
  <c r="S2840" i="1"/>
  <c r="W2839" i="1"/>
  <c r="V2839" i="1"/>
  <c r="U2839" i="1"/>
  <c r="T2839" i="1"/>
  <c r="S2839" i="1"/>
  <c r="W2838" i="1"/>
  <c r="V2838" i="1"/>
  <c r="U2838" i="1"/>
  <c r="T2838" i="1"/>
  <c r="S2838" i="1"/>
  <c r="W2837" i="1"/>
  <c r="V2837" i="1"/>
  <c r="U2837" i="1"/>
  <c r="T2837" i="1"/>
  <c r="S2837" i="1"/>
  <c r="W2836" i="1"/>
  <c r="V2836" i="1"/>
  <c r="U2836" i="1"/>
  <c r="T2836" i="1"/>
  <c r="S2836" i="1"/>
  <c r="W2835" i="1"/>
  <c r="V2835" i="1"/>
  <c r="U2835" i="1"/>
  <c r="T2835" i="1"/>
  <c r="S2835" i="1"/>
  <c r="W2834" i="1"/>
  <c r="V2834" i="1"/>
  <c r="U2834" i="1"/>
  <c r="T2834" i="1"/>
  <c r="S2834" i="1"/>
  <c r="W2833" i="1"/>
  <c r="V2833" i="1"/>
  <c r="U2833" i="1"/>
  <c r="T2833" i="1"/>
  <c r="S2833" i="1"/>
  <c r="W2832" i="1"/>
  <c r="V2832" i="1"/>
  <c r="U2832" i="1"/>
  <c r="T2832" i="1"/>
  <c r="S2832" i="1"/>
  <c r="W2831" i="1"/>
  <c r="V2831" i="1"/>
  <c r="U2831" i="1"/>
  <c r="T2831" i="1"/>
  <c r="S2831" i="1"/>
  <c r="W2830" i="1"/>
  <c r="V2830" i="1"/>
  <c r="U2830" i="1"/>
  <c r="T2830" i="1"/>
  <c r="S2830" i="1"/>
  <c r="W2829" i="1"/>
  <c r="V2829" i="1"/>
  <c r="U2829" i="1"/>
  <c r="T2829" i="1"/>
  <c r="S2829" i="1"/>
  <c r="W2828" i="1"/>
  <c r="V2828" i="1"/>
  <c r="U2828" i="1"/>
  <c r="T2828" i="1"/>
  <c r="S2828" i="1"/>
  <c r="W2827" i="1"/>
  <c r="V2827" i="1"/>
  <c r="U2827" i="1"/>
  <c r="T2827" i="1"/>
  <c r="S2827" i="1"/>
  <c r="W2826" i="1"/>
  <c r="V2826" i="1"/>
  <c r="U2826" i="1"/>
  <c r="T2826" i="1"/>
  <c r="S2826" i="1"/>
  <c r="W2825" i="1"/>
  <c r="V2825" i="1"/>
  <c r="U2825" i="1"/>
  <c r="T2825" i="1"/>
  <c r="S2825" i="1"/>
  <c r="W2824" i="1"/>
  <c r="V2824" i="1"/>
  <c r="U2824" i="1"/>
  <c r="T2824" i="1"/>
  <c r="S2824" i="1"/>
  <c r="W2823" i="1"/>
  <c r="V2823" i="1"/>
  <c r="U2823" i="1"/>
  <c r="T2823" i="1"/>
  <c r="S2823" i="1"/>
  <c r="W2822" i="1"/>
  <c r="V2822" i="1"/>
  <c r="U2822" i="1"/>
  <c r="T2822" i="1"/>
  <c r="S2822" i="1"/>
  <c r="W2821" i="1"/>
  <c r="V2821" i="1"/>
  <c r="U2821" i="1"/>
  <c r="T2821" i="1"/>
  <c r="S2821" i="1"/>
  <c r="W2820" i="1"/>
  <c r="V2820" i="1"/>
  <c r="U2820" i="1"/>
  <c r="T2820" i="1"/>
  <c r="S2820" i="1"/>
  <c r="W2819" i="1"/>
  <c r="V2819" i="1"/>
  <c r="U2819" i="1"/>
  <c r="T2819" i="1"/>
  <c r="S2819" i="1"/>
  <c r="W2818" i="1"/>
  <c r="V2818" i="1"/>
  <c r="U2818" i="1"/>
  <c r="T2818" i="1"/>
  <c r="S2818" i="1"/>
  <c r="W2817" i="1"/>
  <c r="V2817" i="1"/>
  <c r="U2817" i="1"/>
  <c r="T2817" i="1"/>
  <c r="S2817" i="1"/>
  <c r="W2816" i="1"/>
  <c r="V2816" i="1"/>
  <c r="U2816" i="1"/>
  <c r="T2816" i="1"/>
  <c r="S2816" i="1"/>
  <c r="W2815" i="1"/>
  <c r="V2815" i="1"/>
  <c r="U2815" i="1"/>
  <c r="T2815" i="1"/>
  <c r="S2815" i="1"/>
  <c r="W2814" i="1"/>
  <c r="V2814" i="1"/>
  <c r="U2814" i="1"/>
  <c r="T2814" i="1"/>
  <c r="S2814" i="1"/>
  <c r="W2813" i="1"/>
  <c r="V2813" i="1"/>
  <c r="U2813" i="1"/>
  <c r="T2813" i="1"/>
  <c r="S2813" i="1"/>
  <c r="W2812" i="1"/>
  <c r="V2812" i="1"/>
  <c r="U2812" i="1"/>
  <c r="T2812" i="1"/>
  <c r="S2812" i="1"/>
  <c r="W2811" i="1"/>
  <c r="V2811" i="1"/>
  <c r="U2811" i="1"/>
  <c r="T2811" i="1"/>
  <c r="S2811" i="1"/>
  <c r="W2810" i="1"/>
  <c r="V2810" i="1"/>
  <c r="U2810" i="1"/>
  <c r="T2810" i="1"/>
  <c r="S2810" i="1"/>
  <c r="W2809" i="1"/>
  <c r="V2809" i="1"/>
  <c r="U2809" i="1"/>
  <c r="T2809" i="1"/>
  <c r="S2809" i="1"/>
  <c r="W2808" i="1"/>
  <c r="V2808" i="1"/>
  <c r="U2808" i="1"/>
  <c r="T2808" i="1"/>
  <c r="S2808" i="1"/>
  <c r="W2807" i="1"/>
  <c r="V2807" i="1"/>
  <c r="U2807" i="1"/>
  <c r="T2807" i="1"/>
  <c r="S2807" i="1"/>
  <c r="W2806" i="1"/>
  <c r="V2806" i="1"/>
  <c r="U2806" i="1"/>
  <c r="T2806" i="1"/>
  <c r="S2806" i="1"/>
  <c r="W2805" i="1"/>
  <c r="V2805" i="1"/>
  <c r="U2805" i="1"/>
  <c r="T2805" i="1"/>
  <c r="S2805" i="1"/>
  <c r="W2804" i="1"/>
  <c r="V2804" i="1"/>
  <c r="U2804" i="1"/>
  <c r="T2804" i="1"/>
  <c r="S2804" i="1"/>
  <c r="W2803" i="1"/>
  <c r="V2803" i="1"/>
  <c r="U2803" i="1"/>
  <c r="T2803" i="1"/>
  <c r="S2803" i="1"/>
  <c r="W2802" i="1"/>
  <c r="V2802" i="1"/>
  <c r="U2802" i="1"/>
  <c r="T2802" i="1"/>
  <c r="S2802" i="1"/>
  <c r="W2801" i="1"/>
  <c r="V2801" i="1"/>
  <c r="U2801" i="1"/>
  <c r="T2801" i="1"/>
  <c r="S2801" i="1"/>
  <c r="W2800" i="1"/>
  <c r="V2800" i="1"/>
  <c r="U2800" i="1"/>
  <c r="T2800" i="1"/>
  <c r="S2800" i="1"/>
  <c r="W2799" i="1"/>
  <c r="V2799" i="1"/>
  <c r="U2799" i="1"/>
  <c r="T2799" i="1"/>
  <c r="S2799" i="1"/>
  <c r="W2798" i="1"/>
  <c r="V2798" i="1"/>
  <c r="U2798" i="1"/>
  <c r="T2798" i="1"/>
  <c r="S2798" i="1"/>
  <c r="W2797" i="1"/>
  <c r="V2797" i="1"/>
  <c r="U2797" i="1"/>
  <c r="T2797" i="1"/>
  <c r="S2797" i="1"/>
  <c r="W2796" i="1"/>
  <c r="V2796" i="1"/>
  <c r="U2796" i="1"/>
  <c r="T2796" i="1"/>
  <c r="S2796" i="1"/>
  <c r="W2795" i="1"/>
  <c r="V2795" i="1"/>
  <c r="U2795" i="1"/>
  <c r="T2795" i="1"/>
  <c r="S2795" i="1"/>
  <c r="W2794" i="1"/>
  <c r="V2794" i="1"/>
  <c r="U2794" i="1"/>
  <c r="T2794" i="1"/>
  <c r="S2794" i="1"/>
  <c r="W2793" i="1"/>
  <c r="V2793" i="1"/>
  <c r="U2793" i="1"/>
  <c r="T2793" i="1"/>
  <c r="S2793" i="1"/>
  <c r="W2792" i="1"/>
  <c r="V2792" i="1"/>
  <c r="U2792" i="1"/>
  <c r="T2792" i="1"/>
  <c r="S2792" i="1"/>
  <c r="W2791" i="1"/>
  <c r="V2791" i="1"/>
  <c r="U2791" i="1"/>
  <c r="T2791" i="1"/>
  <c r="S2791" i="1"/>
  <c r="W2790" i="1"/>
  <c r="V2790" i="1"/>
  <c r="U2790" i="1"/>
  <c r="T2790" i="1"/>
  <c r="S2790" i="1"/>
  <c r="W2789" i="1"/>
  <c r="V2789" i="1"/>
  <c r="U2789" i="1"/>
  <c r="T2789" i="1"/>
  <c r="S2789" i="1"/>
  <c r="W2788" i="1"/>
  <c r="V2788" i="1"/>
  <c r="U2788" i="1"/>
  <c r="T2788" i="1"/>
  <c r="S2788" i="1"/>
  <c r="W2787" i="1"/>
  <c r="V2787" i="1"/>
  <c r="U2787" i="1"/>
  <c r="T2787" i="1"/>
  <c r="S2787" i="1"/>
  <c r="W2786" i="1"/>
  <c r="V2786" i="1"/>
  <c r="U2786" i="1"/>
  <c r="T2786" i="1"/>
  <c r="S2786" i="1"/>
  <c r="W2785" i="1"/>
  <c r="V2785" i="1"/>
  <c r="U2785" i="1"/>
  <c r="T2785" i="1"/>
  <c r="S2785" i="1"/>
  <c r="W2784" i="1"/>
  <c r="V2784" i="1"/>
  <c r="U2784" i="1"/>
  <c r="T2784" i="1"/>
  <c r="S2784" i="1"/>
  <c r="W2783" i="1"/>
  <c r="V2783" i="1"/>
  <c r="U2783" i="1"/>
  <c r="T2783" i="1"/>
  <c r="S2783" i="1"/>
  <c r="W2782" i="1"/>
  <c r="V2782" i="1"/>
  <c r="U2782" i="1"/>
  <c r="T2782" i="1"/>
  <c r="S2782" i="1"/>
  <c r="W2781" i="1"/>
  <c r="V2781" i="1"/>
  <c r="U2781" i="1"/>
  <c r="T2781" i="1"/>
  <c r="S2781" i="1"/>
  <c r="W2780" i="1"/>
  <c r="V2780" i="1"/>
  <c r="U2780" i="1"/>
  <c r="T2780" i="1"/>
  <c r="S2780" i="1"/>
  <c r="W2779" i="1"/>
  <c r="V2779" i="1"/>
  <c r="U2779" i="1"/>
  <c r="T2779" i="1"/>
  <c r="S2779" i="1"/>
  <c r="W2778" i="1"/>
  <c r="V2778" i="1"/>
  <c r="U2778" i="1"/>
  <c r="T2778" i="1"/>
  <c r="S2778" i="1"/>
  <c r="W2777" i="1"/>
  <c r="V2777" i="1"/>
  <c r="U2777" i="1"/>
  <c r="T2777" i="1"/>
  <c r="S2777" i="1"/>
  <c r="W2776" i="1"/>
  <c r="V2776" i="1"/>
  <c r="U2776" i="1"/>
  <c r="T2776" i="1"/>
  <c r="S2776" i="1"/>
  <c r="W2775" i="1"/>
  <c r="V2775" i="1"/>
  <c r="U2775" i="1"/>
  <c r="T2775" i="1"/>
  <c r="S2775" i="1"/>
  <c r="W2774" i="1"/>
  <c r="V2774" i="1"/>
  <c r="U2774" i="1"/>
  <c r="T2774" i="1"/>
  <c r="S2774" i="1"/>
  <c r="W2773" i="1"/>
  <c r="V2773" i="1"/>
  <c r="U2773" i="1"/>
  <c r="T2773" i="1"/>
  <c r="S2773" i="1"/>
  <c r="W2772" i="1"/>
  <c r="V2772" i="1"/>
  <c r="U2772" i="1"/>
  <c r="T2772" i="1"/>
  <c r="S2772" i="1"/>
  <c r="W2771" i="1"/>
  <c r="V2771" i="1"/>
  <c r="U2771" i="1"/>
  <c r="T2771" i="1"/>
  <c r="S2771" i="1"/>
  <c r="W2770" i="1"/>
  <c r="V2770" i="1"/>
  <c r="U2770" i="1"/>
  <c r="T2770" i="1"/>
  <c r="S2770" i="1"/>
  <c r="W2769" i="1"/>
  <c r="V2769" i="1"/>
  <c r="U2769" i="1"/>
  <c r="T2769" i="1"/>
  <c r="S2769" i="1"/>
  <c r="W2768" i="1"/>
  <c r="V2768" i="1"/>
  <c r="U2768" i="1"/>
  <c r="T2768" i="1"/>
  <c r="S2768" i="1"/>
  <c r="W2767" i="1"/>
  <c r="V2767" i="1"/>
  <c r="U2767" i="1"/>
  <c r="T2767" i="1"/>
  <c r="S2767" i="1"/>
  <c r="W2766" i="1"/>
  <c r="V2766" i="1"/>
  <c r="U2766" i="1"/>
  <c r="T2766" i="1"/>
  <c r="S2766" i="1"/>
  <c r="W2765" i="1"/>
  <c r="V2765" i="1"/>
  <c r="U2765" i="1"/>
  <c r="T2765" i="1"/>
  <c r="S2765" i="1"/>
  <c r="W2764" i="1"/>
  <c r="V2764" i="1"/>
  <c r="U2764" i="1"/>
  <c r="T2764" i="1"/>
  <c r="S2764" i="1"/>
  <c r="W2763" i="1"/>
  <c r="V2763" i="1"/>
  <c r="U2763" i="1"/>
  <c r="T2763" i="1"/>
  <c r="S2763" i="1"/>
  <c r="W2762" i="1"/>
  <c r="V2762" i="1"/>
  <c r="U2762" i="1"/>
  <c r="T2762" i="1"/>
  <c r="S2762" i="1"/>
  <c r="W2761" i="1"/>
  <c r="V2761" i="1"/>
  <c r="U2761" i="1"/>
  <c r="T2761" i="1"/>
  <c r="S2761" i="1"/>
  <c r="W2760" i="1"/>
  <c r="V2760" i="1"/>
  <c r="U2760" i="1"/>
  <c r="T2760" i="1"/>
  <c r="S2760" i="1"/>
  <c r="W2759" i="1"/>
  <c r="V2759" i="1"/>
  <c r="U2759" i="1"/>
  <c r="T2759" i="1"/>
  <c r="S2759" i="1"/>
  <c r="W2758" i="1"/>
  <c r="V2758" i="1"/>
  <c r="U2758" i="1"/>
  <c r="T2758" i="1"/>
  <c r="S2758" i="1"/>
  <c r="W2757" i="1"/>
  <c r="V2757" i="1"/>
  <c r="U2757" i="1"/>
  <c r="T2757" i="1"/>
  <c r="S2757" i="1"/>
  <c r="W2756" i="1"/>
  <c r="V2756" i="1"/>
  <c r="U2756" i="1"/>
  <c r="T2756" i="1"/>
  <c r="S2756" i="1"/>
  <c r="W2755" i="1"/>
  <c r="V2755" i="1"/>
  <c r="U2755" i="1"/>
  <c r="T2755" i="1"/>
  <c r="S2755" i="1"/>
  <c r="W2754" i="1"/>
  <c r="V2754" i="1"/>
  <c r="U2754" i="1"/>
  <c r="T2754" i="1"/>
  <c r="S2754" i="1"/>
  <c r="W2753" i="1"/>
  <c r="V2753" i="1"/>
  <c r="U2753" i="1"/>
  <c r="T2753" i="1"/>
  <c r="S2753" i="1"/>
  <c r="W2752" i="1"/>
  <c r="V2752" i="1"/>
  <c r="U2752" i="1"/>
  <c r="T2752" i="1"/>
  <c r="S2752" i="1"/>
  <c r="W2751" i="1"/>
  <c r="V2751" i="1"/>
  <c r="U2751" i="1"/>
  <c r="T2751" i="1"/>
  <c r="S2751" i="1"/>
  <c r="W2750" i="1"/>
  <c r="V2750" i="1"/>
  <c r="U2750" i="1"/>
  <c r="T2750" i="1"/>
  <c r="S2750" i="1"/>
  <c r="W2749" i="1"/>
  <c r="V2749" i="1"/>
  <c r="U2749" i="1"/>
  <c r="T2749" i="1"/>
  <c r="S2749" i="1"/>
  <c r="W2748" i="1"/>
  <c r="V2748" i="1"/>
  <c r="U2748" i="1"/>
  <c r="T2748" i="1"/>
  <c r="S2748" i="1"/>
  <c r="W2747" i="1"/>
  <c r="V2747" i="1"/>
  <c r="U2747" i="1"/>
  <c r="T2747" i="1"/>
  <c r="S2747" i="1"/>
  <c r="W2746" i="1"/>
  <c r="V2746" i="1"/>
  <c r="U2746" i="1"/>
  <c r="T2746" i="1"/>
  <c r="S2746" i="1"/>
  <c r="W2745" i="1"/>
  <c r="V2745" i="1"/>
  <c r="U2745" i="1"/>
  <c r="T2745" i="1"/>
  <c r="S2745" i="1"/>
  <c r="W2744" i="1"/>
  <c r="V2744" i="1"/>
  <c r="U2744" i="1"/>
  <c r="T2744" i="1"/>
  <c r="S2744" i="1"/>
  <c r="W2743" i="1"/>
  <c r="V2743" i="1"/>
  <c r="U2743" i="1"/>
  <c r="T2743" i="1"/>
  <c r="S2743" i="1"/>
  <c r="W2742" i="1"/>
  <c r="V2742" i="1"/>
  <c r="U2742" i="1"/>
  <c r="T2742" i="1"/>
  <c r="S2742" i="1"/>
  <c r="W2741" i="1"/>
  <c r="V2741" i="1"/>
  <c r="U2741" i="1"/>
  <c r="T2741" i="1"/>
  <c r="S2741" i="1"/>
  <c r="W2740" i="1"/>
  <c r="V2740" i="1"/>
  <c r="U2740" i="1"/>
  <c r="T2740" i="1"/>
  <c r="S2740" i="1"/>
  <c r="W2739" i="1"/>
  <c r="V2739" i="1"/>
  <c r="U2739" i="1"/>
  <c r="T2739" i="1"/>
  <c r="S2739" i="1"/>
  <c r="W2738" i="1"/>
  <c r="V2738" i="1"/>
  <c r="U2738" i="1"/>
  <c r="T2738" i="1"/>
  <c r="S2738" i="1"/>
  <c r="W2737" i="1"/>
  <c r="V2737" i="1"/>
  <c r="U2737" i="1"/>
  <c r="T2737" i="1"/>
  <c r="S2737" i="1"/>
  <c r="W2736" i="1"/>
  <c r="V2736" i="1"/>
  <c r="U2736" i="1"/>
  <c r="T2736" i="1"/>
  <c r="S2736" i="1"/>
  <c r="W2735" i="1"/>
  <c r="V2735" i="1"/>
  <c r="U2735" i="1"/>
  <c r="T2735" i="1"/>
  <c r="S2735" i="1"/>
  <c r="W2734" i="1"/>
  <c r="V2734" i="1"/>
  <c r="U2734" i="1"/>
  <c r="T2734" i="1"/>
  <c r="S2734" i="1"/>
  <c r="W2733" i="1"/>
  <c r="V2733" i="1"/>
  <c r="U2733" i="1"/>
  <c r="T2733" i="1"/>
  <c r="S2733" i="1"/>
  <c r="W2732" i="1"/>
  <c r="V2732" i="1"/>
  <c r="U2732" i="1"/>
  <c r="T2732" i="1"/>
  <c r="S2732" i="1"/>
  <c r="W2731" i="1"/>
  <c r="V2731" i="1"/>
  <c r="U2731" i="1"/>
  <c r="T2731" i="1"/>
  <c r="S2731" i="1"/>
  <c r="W2730" i="1"/>
  <c r="V2730" i="1"/>
  <c r="U2730" i="1"/>
  <c r="T2730" i="1"/>
  <c r="S2730" i="1"/>
  <c r="W2729" i="1"/>
  <c r="V2729" i="1"/>
  <c r="U2729" i="1"/>
  <c r="T2729" i="1"/>
  <c r="S2729" i="1"/>
  <c r="W2728" i="1"/>
  <c r="V2728" i="1"/>
  <c r="U2728" i="1"/>
  <c r="T2728" i="1"/>
  <c r="S2728" i="1"/>
  <c r="W2727" i="1"/>
  <c r="V2727" i="1"/>
  <c r="U2727" i="1"/>
  <c r="T2727" i="1"/>
  <c r="S2727" i="1"/>
  <c r="W2726" i="1"/>
  <c r="V2726" i="1"/>
  <c r="U2726" i="1"/>
  <c r="T2726" i="1"/>
  <c r="S2726" i="1"/>
  <c r="W2725" i="1"/>
  <c r="V2725" i="1"/>
  <c r="U2725" i="1"/>
  <c r="T2725" i="1"/>
  <c r="S2725" i="1"/>
  <c r="W2724" i="1"/>
  <c r="V2724" i="1"/>
  <c r="U2724" i="1"/>
  <c r="T2724" i="1"/>
  <c r="S2724" i="1"/>
  <c r="W2723" i="1"/>
  <c r="V2723" i="1"/>
  <c r="U2723" i="1"/>
  <c r="T2723" i="1"/>
  <c r="S2723" i="1"/>
  <c r="W2722" i="1"/>
  <c r="V2722" i="1"/>
  <c r="U2722" i="1"/>
  <c r="T2722" i="1"/>
  <c r="S2722" i="1"/>
  <c r="W2721" i="1"/>
  <c r="V2721" i="1"/>
  <c r="U2721" i="1"/>
  <c r="T2721" i="1"/>
  <c r="S2721" i="1"/>
  <c r="W2720" i="1"/>
  <c r="V2720" i="1"/>
  <c r="U2720" i="1"/>
  <c r="T2720" i="1"/>
  <c r="S2720" i="1"/>
  <c r="W2719" i="1"/>
  <c r="V2719" i="1"/>
  <c r="U2719" i="1"/>
  <c r="T2719" i="1"/>
  <c r="S2719" i="1"/>
  <c r="W2718" i="1"/>
  <c r="V2718" i="1"/>
  <c r="U2718" i="1"/>
  <c r="T2718" i="1"/>
  <c r="S2718" i="1"/>
  <c r="W2717" i="1"/>
  <c r="V2717" i="1"/>
  <c r="U2717" i="1"/>
  <c r="T2717" i="1"/>
  <c r="S2717" i="1"/>
  <c r="W2716" i="1"/>
  <c r="V2716" i="1"/>
  <c r="U2716" i="1"/>
  <c r="T2716" i="1"/>
  <c r="S2716" i="1"/>
  <c r="W2715" i="1"/>
  <c r="V2715" i="1"/>
  <c r="U2715" i="1"/>
  <c r="T2715" i="1"/>
  <c r="S2715" i="1"/>
  <c r="W2714" i="1"/>
  <c r="V2714" i="1"/>
  <c r="U2714" i="1"/>
  <c r="T2714" i="1"/>
  <c r="S2714" i="1"/>
  <c r="W2713" i="1"/>
  <c r="V2713" i="1"/>
  <c r="U2713" i="1"/>
  <c r="T2713" i="1"/>
  <c r="S2713" i="1"/>
  <c r="W2712" i="1"/>
  <c r="V2712" i="1"/>
  <c r="U2712" i="1"/>
  <c r="T2712" i="1"/>
  <c r="S2712" i="1"/>
  <c r="W2711" i="1"/>
  <c r="V2711" i="1"/>
  <c r="U2711" i="1"/>
  <c r="T2711" i="1"/>
  <c r="S2711" i="1"/>
  <c r="W2710" i="1"/>
  <c r="V2710" i="1"/>
  <c r="U2710" i="1"/>
  <c r="T2710" i="1"/>
  <c r="S2710" i="1"/>
  <c r="W2709" i="1"/>
  <c r="V2709" i="1"/>
  <c r="U2709" i="1"/>
  <c r="T2709" i="1"/>
  <c r="S2709" i="1"/>
  <c r="W2708" i="1"/>
  <c r="V2708" i="1"/>
  <c r="U2708" i="1"/>
  <c r="T2708" i="1"/>
  <c r="S2708" i="1"/>
  <c r="W2707" i="1"/>
  <c r="V2707" i="1"/>
  <c r="U2707" i="1"/>
  <c r="T2707" i="1"/>
  <c r="S2707" i="1"/>
  <c r="W2706" i="1"/>
  <c r="V2706" i="1"/>
  <c r="U2706" i="1"/>
  <c r="T2706" i="1"/>
  <c r="S2706" i="1"/>
  <c r="W2705" i="1"/>
  <c r="V2705" i="1"/>
  <c r="U2705" i="1"/>
  <c r="T2705" i="1"/>
  <c r="S2705" i="1"/>
  <c r="W2704" i="1"/>
  <c r="V2704" i="1"/>
  <c r="U2704" i="1"/>
  <c r="T2704" i="1"/>
  <c r="S2704" i="1"/>
  <c r="W2703" i="1"/>
  <c r="V2703" i="1"/>
  <c r="U2703" i="1"/>
  <c r="T2703" i="1"/>
  <c r="S2703" i="1"/>
  <c r="W2702" i="1"/>
  <c r="V2702" i="1"/>
  <c r="U2702" i="1"/>
  <c r="T2702" i="1"/>
  <c r="S2702" i="1"/>
  <c r="W2701" i="1"/>
  <c r="V2701" i="1"/>
  <c r="U2701" i="1"/>
  <c r="T2701" i="1"/>
  <c r="S2701" i="1"/>
  <c r="W2700" i="1"/>
  <c r="V2700" i="1"/>
  <c r="U2700" i="1"/>
  <c r="T2700" i="1"/>
  <c r="S2700" i="1"/>
  <c r="W2699" i="1"/>
  <c r="V2699" i="1"/>
  <c r="U2699" i="1"/>
  <c r="T2699" i="1"/>
  <c r="S2699" i="1"/>
  <c r="W2698" i="1"/>
  <c r="V2698" i="1"/>
  <c r="U2698" i="1"/>
  <c r="T2698" i="1"/>
  <c r="S2698" i="1"/>
  <c r="W2697" i="1"/>
  <c r="V2697" i="1"/>
  <c r="U2697" i="1"/>
  <c r="T2697" i="1"/>
  <c r="S2697" i="1"/>
  <c r="W2696" i="1"/>
  <c r="V2696" i="1"/>
  <c r="U2696" i="1"/>
  <c r="T2696" i="1"/>
  <c r="S2696" i="1"/>
  <c r="W2695" i="1"/>
  <c r="V2695" i="1"/>
  <c r="U2695" i="1"/>
  <c r="T2695" i="1"/>
  <c r="S2695" i="1"/>
  <c r="W2694" i="1"/>
  <c r="V2694" i="1"/>
  <c r="U2694" i="1"/>
  <c r="T2694" i="1"/>
  <c r="S2694" i="1"/>
  <c r="W2693" i="1"/>
  <c r="V2693" i="1"/>
  <c r="U2693" i="1"/>
  <c r="T2693" i="1"/>
  <c r="S2693" i="1"/>
  <c r="W2692" i="1"/>
  <c r="V2692" i="1"/>
  <c r="U2692" i="1"/>
  <c r="T2692" i="1"/>
  <c r="S2692" i="1"/>
  <c r="W2691" i="1"/>
  <c r="V2691" i="1"/>
  <c r="U2691" i="1"/>
  <c r="T2691" i="1"/>
  <c r="S2691" i="1"/>
  <c r="W2690" i="1"/>
  <c r="V2690" i="1"/>
  <c r="U2690" i="1"/>
  <c r="T2690" i="1"/>
  <c r="S2690" i="1"/>
  <c r="W2689" i="1"/>
  <c r="V2689" i="1"/>
  <c r="U2689" i="1"/>
  <c r="T2689" i="1"/>
  <c r="S2689" i="1"/>
  <c r="W2688" i="1"/>
  <c r="V2688" i="1"/>
  <c r="U2688" i="1"/>
  <c r="T2688" i="1"/>
  <c r="S2688" i="1"/>
  <c r="W2687" i="1"/>
  <c r="V2687" i="1"/>
  <c r="U2687" i="1"/>
  <c r="T2687" i="1"/>
  <c r="S2687" i="1"/>
  <c r="W2686" i="1"/>
  <c r="V2686" i="1"/>
  <c r="U2686" i="1"/>
  <c r="T2686" i="1"/>
  <c r="S2686" i="1"/>
  <c r="W2685" i="1"/>
  <c r="V2685" i="1"/>
  <c r="U2685" i="1"/>
  <c r="T2685" i="1"/>
  <c r="S2685" i="1"/>
  <c r="W2684" i="1"/>
  <c r="V2684" i="1"/>
  <c r="U2684" i="1"/>
  <c r="T2684" i="1"/>
  <c r="S2684" i="1"/>
  <c r="W2683" i="1"/>
  <c r="V2683" i="1"/>
  <c r="U2683" i="1"/>
  <c r="T2683" i="1"/>
  <c r="S2683" i="1"/>
  <c r="W2682" i="1"/>
  <c r="V2682" i="1"/>
  <c r="U2682" i="1"/>
  <c r="T2682" i="1"/>
  <c r="S2682" i="1"/>
  <c r="W2681" i="1"/>
  <c r="V2681" i="1"/>
  <c r="U2681" i="1"/>
  <c r="T2681" i="1"/>
  <c r="S2681" i="1"/>
  <c r="W2680" i="1"/>
  <c r="V2680" i="1"/>
  <c r="U2680" i="1"/>
  <c r="T2680" i="1"/>
  <c r="S2680" i="1"/>
  <c r="W2679" i="1"/>
  <c r="V2679" i="1"/>
  <c r="U2679" i="1"/>
  <c r="T2679" i="1"/>
  <c r="S2679" i="1"/>
  <c r="W2678" i="1"/>
  <c r="V2678" i="1"/>
  <c r="U2678" i="1"/>
  <c r="T2678" i="1"/>
  <c r="S2678" i="1"/>
  <c r="W2677" i="1"/>
  <c r="V2677" i="1"/>
  <c r="U2677" i="1"/>
  <c r="T2677" i="1"/>
  <c r="S2677" i="1"/>
  <c r="W2676" i="1"/>
  <c r="V2676" i="1"/>
  <c r="U2676" i="1"/>
  <c r="T2676" i="1"/>
  <c r="S2676" i="1"/>
  <c r="W2675" i="1"/>
  <c r="V2675" i="1"/>
  <c r="U2675" i="1"/>
  <c r="T2675" i="1"/>
  <c r="S2675" i="1"/>
  <c r="W2674" i="1"/>
  <c r="V2674" i="1"/>
  <c r="U2674" i="1"/>
  <c r="T2674" i="1"/>
  <c r="S2674" i="1"/>
  <c r="W2673" i="1"/>
  <c r="V2673" i="1"/>
  <c r="U2673" i="1"/>
  <c r="T2673" i="1"/>
  <c r="S2673" i="1"/>
  <c r="W2672" i="1"/>
  <c r="V2672" i="1"/>
  <c r="U2672" i="1"/>
  <c r="T2672" i="1"/>
  <c r="S2672" i="1"/>
  <c r="W2671" i="1"/>
  <c r="V2671" i="1"/>
  <c r="U2671" i="1"/>
  <c r="T2671" i="1"/>
  <c r="S2671" i="1"/>
  <c r="W2670" i="1"/>
  <c r="V2670" i="1"/>
  <c r="U2670" i="1"/>
  <c r="T2670" i="1"/>
  <c r="S2670" i="1"/>
  <c r="W2669" i="1"/>
  <c r="V2669" i="1"/>
  <c r="U2669" i="1"/>
  <c r="T2669" i="1"/>
  <c r="S2669" i="1"/>
  <c r="W2668" i="1"/>
  <c r="V2668" i="1"/>
  <c r="U2668" i="1"/>
  <c r="T2668" i="1"/>
  <c r="S2668" i="1"/>
  <c r="W2667" i="1"/>
  <c r="V2667" i="1"/>
  <c r="U2667" i="1"/>
  <c r="T2667" i="1"/>
  <c r="S2667" i="1"/>
  <c r="W2666" i="1"/>
  <c r="V2666" i="1"/>
  <c r="U2666" i="1"/>
  <c r="T2666" i="1"/>
  <c r="S2666" i="1"/>
  <c r="W2665" i="1"/>
  <c r="V2665" i="1"/>
  <c r="U2665" i="1"/>
  <c r="T2665" i="1"/>
  <c r="S2665" i="1"/>
  <c r="W2664" i="1"/>
  <c r="V2664" i="1"/>
  <c r="U2664" i="1"/>
  <c r="T2664" i="1"/>
  <c r="S2664" i="1"/>
  <c r="W2663" i="1"/>
  <c r="V2663" i="1"/>
  <c r="U2663" i="1"/>
  <c r="T2663" i="1"/>
  <c r="S2663" i="1"/>
  <c r="W2662" i="1"/>
  <c r="V2662" i="1"/>
  <c r="U2662" i="1"/>
  <c r="T2662" i="1"/>
  <c r="S2662" i="1"/>
  <c r="W2661" i="1"/>
  <c r="V2661" i="1"/>
  <c r="U2661" i="1"/>
  <c r="T2661" i="1"/>
  <c r="S2661" i="1"/>
  <c r="W2660" i="1"/>
  <c r="V2660" i="1"/>
  <c r="U2660" i="1"/>
  <c r="T2660" i="1"/>
  <c r="S2660" i="1"/>
  <c r="W2659" i="1"/>
  <c r="V2659" i="1"/>
  <c r="U2659" i="1"/>
  <c r="T2659" i="1"/>
  <c r="S2659" i="1"/>
  <c r="W2658" i="1"/>
  <c r="V2658" i="1"/>
  <c r="U2658" i="1"/>
  <c r="T2658" i="1"/>
  <c r="S2658" i="1"/>
  <c r="W2657" i="1"/>
  <c r="V2657" i="1"/>
  <c r="U2657" i="1"/>
  <c r="T2657" i="1"/>
  <c r="S2657" i="1"/>
  <c r="W2656" i="1"/>
  <c r="V2656" i="1"/>
  <c r="U2656" i="1"/>
  <c r="T2656" i="1"/>
  <c r="S2656" i="1"/>
  <c r="W2655" i="1"/>
  <c r="V2655" i="1"/>
  <c r="U2655" i="1"/>
  <c r="T2655" i="1"/>
  <c r="S2655" i="1"/>
  <c r="W2654" i="1"/>
  <c r="V2654" i="1"/>
  <c r="U2654" i="1"/>
  <c r="T2654" i="1"/>
  <c r="S2654" i="1"/>
  <c r="W2653" i="1"/>
  <c r="V2653" i="1"/>
  <c r="U2653" i="1"/>
  <c r="T2653" i="1"/>
  <c r="S2653" i="1"/>
  <c r="W2652" i="1"/>
  <c r="V2652" i="1"/>
  <c r="U2652" i="1"/>
  <c r="T2652" i="1"/>
  <c r="S2652" i="1"/>
  <c r="W2651" i="1"/>
  <c r="V2651" i="1"/>
  <c r="U2651" i="1"/>
  <c r="T2651" i="1"/>
  <c r="S2651" i="1"/>
  <c r="W2650" i="1"/>
  <c r="V2650" i="1"/>
  <c r="U2650" i="1"/>
  <c r="T2650" i="1"/>
  <c r="S2650" i="1"/>
  <c r="W2649" i="1"/>
  <c r="V2649" i="1"/>
  <c r="U2649" i="1"/>
  <c r="T2649" i="1"/>
  <c r="S2649" i="1"/>
  <c r="W2648" i="1"/>
  <c r="V2648" i="1"/>
  <c r="U2648" i="1"/>
  <c r="T2648" i="1"/>
  <c r="S2648" i="1"/>
  <c r="W2647" i="1"/>
  <c r="V2647" i="1"/>
  <c r="U2647" i="1"/>
  <c r="T2647" i="1"/>
  <c r="S2647" i="1"/>
  <c r="W2646" i="1"/>
  <c r="V2646" i="1"/>
  <c r="U2646" i="1"/>
  <c r="T2646" i="1"/>
  <c r="S2646" i="1"/>
  <c r="W2645" i="1"/>
  <c r="V2645" i="1"/>
  <c r="U2645" i="1"/>
  <c r="T2645" i="1"/>
  <c r="S2645" i="1"/>
  <c r="W2644" i="1"/>
  <c r="V2644" i="1"/>
  <c r="U2644" i="1"/>
  <c r="T2644" i="1"/>
  <c r="S2644" i="1"/>
  <c r="W2643" i="1"/>
  <c r="V2643" i="1"/>
  <c r="U2643" i="1"/>
  <c r="T2643" i="1"/>
  <c r="S2643" i="1"/>
  <c r="W2642" i="1"/>
  <c r="V2642" i="1"/>
  <c r="U2642" i="1"/>
  <c r="T2642" i="1"/>
  <c r="S2642" i="1"/>
  <c r="W2641" i="1"/>
  <c r="V2641" i="1"/>
  <c r="U2641" i="1"/>
  <c r="T2641" i="1"/>
  <c r="S2641" i="1"/>
  <c r="W2640" i="1"/>
  <c r="V2640" i="1"/>
  <c r="U2640" i="1"/>
  <c r="T2640" i="1"/>
  <c r="S2640" i="1"/>
  <c r="W2639" i="1"/>
  <c r="V2639" i="1"/>
  <c r="U2639" i="1"/>
  <c r="T2639" i="1"/>
  <c r="S2639" i="1"/>
  <c r="W2638" i="1"/>
  <c r="V2638" i="1"/>
  <c r="U2638" i="1"/>
  <c r="T2638" i="1"/>
  <c r="S2638" i="1"/>
  <c r="W2637" i="1"/>
  <c r="V2637" i="1"/>
  <c r="U2637" i="1"/>
  <c r="T2637" i="1"/>
  <c r="S2637" i="1"/>
  <c r="W2636" i="1"/>
  <c r="V2636" i="1"/>
  <c r="U2636" i="1"/>
  <c r="T2636" i="1"/>
  <c r="S2636" i="1"/>
  <c r="W2635" i="1"/>
  <c r="V2635" i="1"/>
  <c r="U2635" i="1"/>
  <c r="T2635" i="1"/>
  <c r="S2635" i="1"/>
  <c r="W2634" i="1"/>
  <c r="V2634" i="1"/>
  <c r="U2634" i="1"/>
  <c r="T2634" i="1"/>
  <c r="S2634" i="1"/>
  <c r="W2633" i="1"/>
  <c r="V2633" i="1"/>
  <c r="U2633" i="1"/>
  <c r="T2633" i="1"/>
  <c r="S2633" i="1"/>
  <c r="W2632" i="1"/>
  <c r="V2632" i="1"/>
  <c r="U2632" i="1"/>
  <c r="T2632" i="1"/>
  <c r="S2632" i="1"/>
  <c r="W2631" i="1"/>
  <c r="V2631" i="1"/>
  <c r="U2631" i="1"/>
  <c r="T2631" i="1"/>
  <c r="S2631" i="1"/>
  <c r="W2630" i="1"/>
  <c r="V2630" i="1"/>
  <c r="U2630" i="1"/>
  <c r="T2630" i="1"/>
  <c r="S2630" i="1"/>
  <c r="W2629" i="1"/>
  <c r="V2629" i="1"/>
  <c r="U2629" i="1"/>
  <c r="T2629" i="1"/>
  <c r="S2629" i="1"/>
  <c r="W2628" i="1"/>
  <c r="V2628" i="1"/>
  <c r="U2628" i="1"/>
  <c r="T2628" i="1"/>
  <c r="S2628" i="1"/>
  <c r="W2627" i="1"/>
  <c r="V2627" i="1"/>
  <c r="U2627" i="1"/>
  <c r="T2627" i="1"/>
  <c r="S2627" i="1"/>
  <c r="W2626" i="1"/>
  <c r="V2626" i="1"/>
  <c r="U2626" i="1"/>
  <c r="T2626" i="1"/>
  <c r="S2626" i="1"/>
  <c r="W2625" i="1"/>
  <c r="V2625" i="1"/>
  <c r="U2625" i="1"/>
  <c r="T2625" i="1"/>
  <c r="S2625" i="1"/>
  <c r="W2624" i="1"/>
  <c r="V2624" i="1"/>
  <c r="U2624" i="1"/>
  <c r="T2624" i="1"/>
  <c r="S2624" i="1"/>
  <c r="W2623" i="1"/>
  <c r="V2623" i="1"/>
  <c r="U2623" i="1"/>
  <c r="T2623" i="1"/>
  <c r="S2623" i="1"/>
  <c r="W2622" i="1"/>
  <c r="V2622" i="1"/>
  <c r="U2622" i="1"/>
  <c r="T2622" i="1"/>
  <c r="S2622" i="1"/>
  <c r="W2621" i="1"/>
  <c r="V2621" i="1"/>
  <c r="U2621" i="1"/>
  <c r="T2621" i="1"/>
  <c r="S2621" i="1"/>
  <c r="W2620" i="1"/>
  <c r="V2620" i="1"/>
  <c r="U2620" i="1"/>
  <c r="T2620" i="1"/>
  <c r="S2620" i="1"/>
  <c r="W2619" i="1"/>
  <c r="V2619" i="1"/>
  <c r="U2619" i="1"/>
  <c r="T2619" i="1"/>
  <c r="S2619" i="1"/>
  <c r="W2618" i="1"/>
  <c r="V2618" i="1"/>
  <c r="U2618" i="1"/>
  <c r="T2618" i="1"/>
  <c r="S2618" i="1"/>
  <c r="W2617" i="1"/>
  <c r="V2617" i="1"/>
  <c r="U2617" i="1"/>
  <c r="T2617" i="1"/>
  <c r="S2617" i="1"/>
  <c r="W2616" i="1"/>
  <c r="V2616" i="1"/>
  <c r="U2616" i="1"/>
  <c r="T2616" i="1"/>
  <c r="S2616" i="1"/>
  <c r="W2615" i="1"/>
  <c r="V2615" i="1"/>
  <c r="U2615" i="1"/>
  <c r="T2615" i="1"/>
  <c r="S2615" i="1"/>
  <c r="W2614" i="1"/>
  <c r="V2614" i="1"/>
  <c r="U2614" i="1"/>
  <c r="T2614" i="1"/>
  <c r="S2614" i="1"/>
  <c r="W2613" i="1"/>
  <c r="V2613" i="1"/>
  <c r="U2613" i="1"/>
  <c r="T2613" i="1"/>
  <c r="S2613" i="1"/>
  <c r="W2612" i="1"/>
  <c r="V2612" i="1"/>
  <c r="U2612" i="1"/>
  <c r="T2612" i="1"/>
  <c r="S2612" i="1"/>
  <c r="W2611" i="1"/>
  <c r="V2611" i="1"/>
  <c r="U2611" i="1"/>
  <c r="T2611" i="1"/>
  <c r="S2611" i="1"/>
  <c r="W2610" i="1"/>
  <c r="V2610" i="1"/>
  <c r="U2610" i="1"/>
  <c r="T2610" i="1"/>
  <c r="S2610" i="1"/>
  <c r="W2609" i="1"/>
  <c r="V2609" i="1"/>
  <c r="U2609" i="1"/>
  <c r="T2609" i="1"/>
  <c r="S2609" i="1"/>
  <c r="W2608" i="1"/>
  <c r="V2608" i="1"/>
  <c r="U2608" i="1"/>
  <c r="T2608" i="1"/>
  <c r="S2608" i="1"/>
  <c r="W2607" i="1"/>
  <c r="V2607" i="1"/>
  <c r="U2607" i="1"/>
  <c r="T2607" i="1"/>
  <c r="S2607" i="1"/>
  <c r="W2606" i="1"/>
  <c r="V2606" i="1"/>
  <c r="U2606" i="1"/>
  <c r="T2606" i="1"/>
  <c r="S2606" i="1"/>
  <c r="W2605" i="1"/>
  <c r="V2605" i="1"/>
  <c r="U2605" i="1"/>
  <c r="T2605" i="1"/>
  <c r="S2605" i="1"/>
  <c r="W2604" i="1"/>
  <c r="V2604" i="1"/>
  <c r="U2604" i="1"/>
  <c r="T2604" i="1"/>
  <c r="S2604" i="1"/>
  <c r="W2603" i="1"/>
  <c r="V2603" i="1"/>
  <c r="U2603" i="1"/>
  <c r="T2603" i="1"/>
  <c r="S2603" i="1"/>
  <c r="W2602" i="1"/>
  <c r="V2602" i="1"/>
  <c r="U2602" i="1"/>
  <c r="T2602" i="1"/>
  <c r="S2602" i="1"/>
  <c r="W2601" i="1"/>
  <c r="V2601" i="1"/>
  <c r="U2601" i="1"/>
  <c r="T2601" i="1"/>
  <c r="S2601" i="1"/>
  <c r="W2600" i="1"/>
  <c r="V2600" i="1"/>
  <c r="U2600" i="1"/>
  <c r="T2600" i="1"/>
  <c r="S2600" i="1"/>
  <c r="W2599" i="1"/>
  <c r="V2599" i="1"/>
  <c r="U2599" i="1"/>
  <c r="T2599" i="1"/>
  <c r="S2599" i="1"/>
  <c r="W2598" i="1"/>
  <c r="V2598" i="1"/>
  <c r="U2598" i="1"/>
  <c r="T2598" i="1"/>
  <c r="S2598" i="1"/>
  <c r="W2597" i="1"/>
  <c r="V2597" i="1"/>
  <c r="U2597" i="1"/>
  <c r="T2597" i="1"/>
  <c r="S2597" i="1"/>
  <c r="W2596" i="1"/>
  <c r="V2596" i="1"/>
  <c r="U2596" i="1"/>
  <c r="T2596" i="1"/>
  <c r="S2596" i="1"/>
  <c r="W2595" i="1"/>
  <c r="V2595" i="1"/>
  <c r="U2595" i="1"/>
  <c r="T2595" i="1"/>
  <c r="S2595" i="1"/>
  <c r="W2594" i="1"/>
  <c r="V2594" i="1"/>
  <c r="U2594" i="1"/>
  <c r="T2594" i="1"/>
  <c r="S2594" i="1"/>
  <c r="W2593" i="1"/>
  <c r="V2593" i="1"/>
  <c r="U2593" i="1"/>
  <c r="T2593" i="1"/>
  <c r="S2593" i="1"/>
  <c r="W2592" i="1"/>
  <c r="V2592" i="1"/>
  <c r="U2592" i="1"/>
  <c r="T2592" i="1"/>
  <c r="S2592" i="1"/>
  <c r="W2591" i="1"/>
  <c r="V2591" i="1"/>
  <c r="U2591" i="1"/>
  <c r="T2591" i="1"/>
  <c r="S2591" i="1"/>
  <c r="W2590" i="1"/>
  <c r="V2590" i="1"/>
  <c r="U2590" i="1"/>
  <c r="T2590" i="1"/>
  <c r="S2590" i="1"/>
  <c r="W2589" i="1"/>
  <c r="V2589" i="1"/>
  <c r="U2589" i="1"/>
  <c r="T2589" i="1"/>
  <c r="S2589" i="1"/>
  <c r="W2588" i="1"/>
  <c r="V2588" i="1"/>
  <c r="U2588" i="1"/>
  <c r="T2588" i="1"/>
  <c r="S2588" i="1"/>
  <c r="W2587" i="1"/>
  <c r="V2587" i="1"/>
  <c r="U2587" i="1"/>
  <c r="T2587" i="1"/>
  <c r="S2587" i="1"/>
  <c r="W2586" i="1"/>
  <c r="V2586" i="1"/>
  <c r="U2586" i="1"/>
  <c r="T2586" i="1"/>
  <c r="S2586" i="1"/>
  <c r="W2585" i="1"/>
  <c r="V2585" i="1"/>
  <c r="U2585" i="1"/>
  <c r="T2585" i="1"/>
  <c r="S2585" i="1"/>
  <c r="W2584" i="1"/>
  <c r="V2584" i="1"/>
  <c r="U2584" i="1"/>
  <c r="T2584" i="1"/>
  <c r="S2584" i="1"/>
  <c r="W2583" i="1"/>
  <c r="V2583" i="1"/>
  <c r="U2583" i="1"/>
  <c r="T2583" i="1"/>
  <c r="S2583" i="1"/>
  <c r="W2582" i="1"/>
  <c r="V2582" i="1"/>
  <c r="U2582" i="1"/>
  <c r="T2582" i="1"/>
  <c r="S2582" i="1"/>
  <c r="W2581" i="1"/>
  <c r="V2581" i="1"/>
  <c r="U2581" i="1"/>
  <c r="T2581" i="1"/>
  <c r="S2581" i="1"/>
  <c r="W2580" i="1"/>
  <c r="V2580" i="1"/>
  <c r="U2580" i="1"/>
  <c r="T2580" i="1"/>
  <c r="S2580" i="1"/>
  <c r="W2579" i="1"/>
  <c r="V2579" i="1"/>
  <c r="U2579" i="1"/>
  <c r="T2579" i="1"/>
  <c r="S2579" i="1"/>
  <c r="W2578" i="1"/>
  <c r="V2578" i="1"/>
  <c r="U2578" i="1"/>
  <c r="T2578" i="1"/>
  <c r="S2578" i="1"/>
  <c r="W2577" i="1"/>
  <c r="V2577" i="1"/>
  <c r="U2577" i="1"/>
  <c r="T2577" i="1"/>
  <c r="S2577" i="1"/>
  <c r="W2576" i="1"/>
  <c r="V2576" i="1"/>
  <c r="U2576" i="1"/>
  <c r="T2576" i="1"/>
  <c r="S2576" i="1"/>
  <c r="W2575" i="1"/>
  <c r="V2575" i="1"/>
  <c r="U2575" i="1"/>
  <c r="T2575" i="1"/>
  <c r="S2575" i="1"/>
  <c r="W2574" i="1"/>
  <c r="V2574" i="1"/>
  <c r="U2574" i="1"/>
  <c r="T2574" i="1"/>
  <c r="S2574" i="1"/>
  <c r="W2573" i="1"/>
  <c r="V2573" i="1"/>
  <c r="U2573" i="1"/>
  <c r="T2573" i="1"/>
  <c r="S2573" i="1"/>
  <c r="W2572" i="1"/>
  <c r="V2572" i="1"/>
  <c r="U2572" i="1"/>
  <c r="T2572" i="1"/>
  <c r="S2572" i="1"/>
  <c r="W2571" i="1"/>
  <c r="V2571" i="1"/>
  <c r="U2571" i="1"/>
  <c r="T2571" i="1"/>
  <c r="S2571" i="1"/>
  <c r="W2570" i="1"/>
  <c r="V2570" i="1"/>
  <c r="U2570" i="1"/>
  <c r="T2570" i="1"/>
  <c r="S2570" i="1"/>
  <c r="W2569" i="1"/>
  <c r="V2569" i="1"/>
  <c r="U2569" i="1"/>
  <c r="T2569" i="1"/>
  <c r="S2569" i="1"/>
  <c r="W2568" i="1"/>
  <c r="V2568" i="1"/>
  <c r="U2568" i="1"/>
  <c r="T2568" i="1"/>
  <c r="S2568" i="1"/>
  <c r="W2567" i="1"/>
  <c r="V2567" i="1"/>
  <c r="U2567" i="1"/>
  <c r="T2567" i="1"/>
  <c r="S2567" i="1"/>
  <c r="W2566" i="1"/>
  <c r="V2566" i="1"/>
  <c r="U2566" i="1"/>
  <c r="T2566" i="1"/>
  <c r="S2566" i="1"/>
  <c r="W2565" i="1"/>
  <c r="V2565" i="1"/>
  <c r="U2565" i="1"/>
  <c r="T2565" i="1"/>
  <c r="S2565" i="1"/>
  <c r="W2564" i="1"/>
  <c r="V2564" i="1"/>
  <c r="U2564" i="1"/>
  <c r="T2564" i="1"/>
  <c r="S2564" i="1"/>
  <c r="W2563" i="1"/>
  <c r="V2563" i="1"/>
  <c r="U2563" i="1"/>
  <c r="T2563" i="1"/>
  <c r="S2563" i="1"/>
  <c r="W2562" i="1"/>
  <c r="V2562" i="1"/>
  <c r="U2562" i="1"/>
  <c r="T2562" i="1"/>
  <c r="S2562" i="1"/>
  <c r="W2561" i="1"/>
  <c r="V2561" i="1"/>
  <c r="U2561" i="1"/>
  <c r="T2561" i="1"/>
  <c r="S2561" i="1"/>
  <c r="W2560" i="1"/>
  <c r="V2560" i="1"/>
  <c r="U2560" i="1"/>
  <c r="T2560" i="1"/>
  <c r="S2560" i="1"/>
  <c r="W2559" i="1"/>
  <c r="V2559" i="1"/>
  <c r="U2559" i="1"/>
  <c r="T2559" i="1"/>
  <c r="S2559" i="1"/>
  <c r="W2558" i="1"/>
  <c r="V2558" i="1"/>
  <c r="U2558" i="1"/>
  <c r="T2558" i="1"/>
  <c r="S2558" i="1"/>
  <c r="W2557" i="1"/>
  <c r="V2557" i="1"/>
  <c r="U2557" i="1"/>
  <c r="T2557" i="1"/>
  <c r="S2557" i="1"/>
  <c r="W2556" i="1"/>
  <c r="V2556" i="1"/>
  <c r="U2556" i="1"/>
  <c r="T2556" i="1"/>
  <c r="S2556" i="1"/>
  <c r="W2555" i="1"/>
  <c r="V2555" i="1"/>
  <c r="U2555" i="1"/>
  <c r="T2555" i="1"/>
  <c r="S2555" i="1"/>
  <c r="W2554" i="1"/>
  <c r="V2554" i="1"/>
  <c r="U2554" i="1"/>
  <c r="T2554" i="1"/>
  <c r="S2554" i="1"/>
  <c r="W2553" i="1"/>
  <c r="V2553" i="1"/>
  <c r="U2553" i="1"/>
  <c r="T2553" i="1"/>
  <c r="S2553" i="1"/>
  <c r="W2552" i="1"/>
  <c r="V2552" i="1"/>
  <c r="U2552" i="1"/>
  <c r="T2552" i="1"/>
  <c r="S2552" i="1"/>
  <c r="W2551" i="1"/>
  <c r="V2551" i="1"/>
  <c r="U2551" i="1"/>
  <c r="T2551" i="1"/>
  <c r="S2551" i="1"/>
  <c r="W2550" i="1"/>
  <c r="V2550" i="1"/>
  <c r="U2550" i="1"/>
  <c r="T2550" i="1"/>
  <c r="S2550" i="1"/>
  <c r="W2549" i="1"/>
  <c r="V2549" i="1"/>
  <c r="U2549" i="1"/>
  <c r="T2549" i="1"/>
  <c r="S2549" i="1"/>
  <c r="W2548" i="1"/>
  <c r="V2548" i="1"/>
  <c r="U2548" i="1"/>
  <c r="T2548" i="1"/>
  <c r="S2548" i="1"/>
  <c r="W2547" i="1"/>
  <c r="V2547" i="1"/>
  <c r="U2547" i="1"/>
  <c r="T2547" i="1"/>
  <c r="S2547" i="1"/>
  <c r="W2546" i="1"/>
  <c r="V2546" i="1"/>
  <c r="U2546" i="1"/>
  <c r="T2546" i="1"/>
  <c r="S2546" i="1"/>
  <c r="W2545" i="1"/>
  <c r="V2545" i="1"/>
  <c r="U2545" i="1"/>
  <c r="T2545" i="1"/>
  <c r="S2545" i="1"/>
  <c r="W2544" i="1"/>
  <c r="V2544" i="1"/>
  <c r="U2544" i="1"/>
  <c r="T2544" i="1"/>
  <c r="S2544" i="1"/>
  <c r="W2543" i="1"/>
  <c r="V2543" i="1"/>
  <c r="U2543" i="1"/>
  <c r="T2543" i="1"/>
  <c r="S2543" i="1"/>
  <c r="W2542" i="1"/>
  <c r="V2542" i="1"/>
  <c r="U2542" i="1"/>
  <c r="T2542" i="1"/>
  <c r="S2542" i="1"/>
  <c r="W2541" i="1"/>
  <c r="V2541" i="1"/>
  <c r="U2541" i="1"/>
  <c r="T2541" i="1"/>
  <c r="S2541" i="1"/>
  <c r="W2540" i="1"/>
  <c r="V2540" i="1"/>
  <c r="U2540" i="1"/>
  <c r="T2540" i="1"/>
  <c r="S2540" i="1"/>
  <c r="W2539" i="1"/>
  <c r="V2539" i="1"/>
  <c r="U2539" i="1"/>
  <c r="T2539" i="1"/>
  <c r="S2539" i="1"/>
  <c r="W2538" i="1"/>
  <c r="V2538" i="1"/>
  <c r="U2538" i="1"/>
  <c r="T2538" i="1"/>
  <c r="S2538" i="1"/>
  <c r="W2537" i="1"/>
  <c r="V2537" i="1"/>
  <c r="U2537" i="1"/>
  <c r="T2537" i="1"/>
  <c r="S2537" i="1"/>
  <c r="W2536" i="1"/>
  <c r="V2536" i="1"/>
  <c r="U2536" i="1"/>
  <c r="T2536" i="1"/>
  <c r="S2536" i="1"/>
  <c r="W2535" i="1"/>
  <c r="V2535" i="1"/>
  <c r="U2535" i="1"/>
  <c r="T2535" i="1"/>
  <c r="S2535" i="1"/>
  <c r="W2534" i="1"/>
  <c r="V2534" i="1"/>
  <c r="U2534" i="1"/>
  <c r="T2534" i="1"/>
  <c r="S2534" i="1"/>
  <c r="W2533" i="1"/>
  <c r="V2533" i="1"/>
  <c r="U2533" i="1"/>
  <c r="T2533" i="1"/>
  <c r="S2533" i="1"/>
  <c r="W2532" i="1"/>
  <c r="V2532" i="1"/>
  <c r="U2532" i="1"/>
  <c r="T2532" i="1"/>
  <c r="S2532" i="1"/>
  <c r="W2531" i="1"/>
  <c r="V2531" i="1"/>
  <c r="U2531" i="1"/>
  <c r="T2531" i="1"/>
  <c r="S2531" i="1"/>
  <c r="W2530" i="1"/>
  <c r="V2530" i="1"/>
  <c r="U2530" i="1"/>
  <c r="T2530" i="1"/>
  <c r="S2530" i="1"/>
  <c r="W2529" i="1"/>
  <c r="V2529" i="1"/>
  <c r="U2529" i="1"/>
  <c r="T2529" i="1"/>
  <c r="S2529" i="1"/>
  <c r="W2528" i="1"/>
  <c r="V2528" i="1"/>
  <c r="U2528" i="1"/>
  <c r="T2528" i="1"/>
  <c r="S2528" i="1"/>
  <c r="W2527" i="1"/>
  <c r="V2527" i="1"/>
  <c r="U2527" i="1"/>
  <c r="T2527" i="1"/>
  <c r="S2527" i="1"/>
  <c r="W2526" i="1"/>
  <c r="V2526" i="1"/>
  <c r="U2526" i="1"/>
  <c r="T2526" i="1"/>
  <c r="S2526" i="1"/>
  <c r="W2525" i="1"/>
  <c r="V2525" i="1"/>
  <c r="U2525" i="1"/>
  <c r="T2525" i="1"/>
  <c r="S2525" i="1"/>
  <c r="W2524" i="1"/>
  <c r="V2524" i="1"/>
  <c r="U2524" i="1"/>
  <c r="T2524" i="1"/>
  <c r="S2524" i="1"/>
  <c r="W2523" i="1"/>
  <c r="V2523" i="1"/>
  <c r="U2523" i="1"/>
  <c r="T2523" i="1"/>
  <c r="S2523" i="1"/>
  <c r="W2522" i="1"/>
  <c r="V2522" i="1"/>
  <c r="U2522" i="1"/>
  <c r="T2522" i="1"/>
  <c r="S2522" i="1"/>
  <c r="W2521" i="1"/>
  <c r="V2521" i="1"/>
  <c r="U2521" i="1"/>
  <c r="T2521" i="1"/>
  <c r="S2521" i="1"/>
  <c r="W2520" i="1"/>
  <c r="V2520" i="1"/>
  <c r="U2520" i="1"/>
  <c r="T2520" i="1"/>
  <c r="S2520" i="1"/>
  <c r="W2519" i="1"/>
  <c r="V2519" i="1"/>
  <c r="U2519" i="1"/>
  <c r="T2519" i="1"/>
  <c r="S2519" i="1"/>
  <c r="W2518" i="1"/>
  <c r="V2518" i="1"/>
  <c r="U2518" i="1"/>
  <c r="T2518" i="1"/>
  <c r="S2518" i="1"/>
  <c r="W2517" i="1"/>
  <c r="V2517" i="1"/>
  <c r="U2517" i="1"/>
  <c r="T2517" i="1"/>
  <c r="S2517" i="1"/>
  <c r="W2516" i="1"/>
  <c r="V2516" i="1"/>
  <c r="U2516" i="1"/>
  <c r="T2516" i="1"/>
  <c r="S2516" i="1"/>
  <c r="W2515" i="1"/>
  <c r="V2515" i="1"/>
  <c r="U2515" i="1"/>
  <c r="T2515" i="1"/>
  <c r="S2515" i="1"/>
  <c r="W2514" i="1"/>
  <c r="V2514" i="1"/>
  <c r="U2514" i="1"/>
  <c r="T2514" i="1"/>
  <c r="S2514" i="1"/>
  <c r="W2513" i="1"/>
  <c r="V2513" i="1"/>
  <c r="U2513" i="1"/>
  <c r="T2513" i="1"/>
  <c r="S2513" i="1"/>
  <c r="W2512" i="1"/>
  <c r="V2512" i="1"/>
  <c r="U2512" i="1"/>
  <c r="T2512" i="1"/>
  <c r="S2512" i="1"/>
  <c r="W2511" i="1"/>
  <c r="V2511" i="1"/>
  <c r="U2511" i="1"/>
  <c r="T2511" i="1"/>
  <c r="S2511" i="1"/>
  <c r="W2510" i="1"/>
  <c r="V2510" i="1"/>
  <c r="U2510" i="1"/>
  <c r="T2510" i="1"/>
  <c r="S2510" i="1"/>
  <c r="W2509" i="1"/>
  <c r="V2509" i="1"/>
  <c r="U2509" i="1"/>
  <c r="T2509" i="1"/>
  <c r="S2509" i="1"/>
  <c r="W2508" i="1"/>
  <c r="V2508" i="1"/>
  <c r="U2508" i="1"/>
  <c r="T2508" i="1"/>
  <c r="S2508" i="1"/>
  <c r="W2507" i="1"/>
  <c r="V2507" i="1"/>
  <c r="U2507" i="1"/>
  <c r="T2507" i="1"/>
  <c r="S2507" i="1"/>
  <c r="W2506" i="1"/>
  <c r="V2506" i="1"/>
  <c r="U2506" i="1"/>
  <c r="T2506" i="1"/>
  <c r="S2506" i="1"/>
  <c r="W2505" i="1"/>
  <c r="V2505" i="1"/>
  <c r="U2505" i="1"/>
  <c r="T2505" i="1"/>
  <c r="S2505" i="1"/>
  <c r="W2504" i="1"/>
  <c r="V2504" i="1"/>
  <c r="U2504" i="1"/>
  <c r="T2504" i="1"/>
  <c r="S2504" i="1"/>
  <c r="W2503" i="1"/>
  <c r="V2503" i="1"/>
  <c r="U2503" i="1"/>
  <c r="T2503" i="1"/>
  <c r="S2503" i="1"/>
  <c r="W2502" i="1"/>
  <c r="V2502" i="1"/>
  <c r="U2502" i="1"/>
  <c r="T2502" i="1"/>
  <c r="S2502" i="1"/>
  <c r="W2501" i="1"/>
  <c r="V2501" i="1"/>
  <c r="U2501" i="1"/>
  <c r="T2501" i="1"/>
  <c r="S2501" i="1"/>
  <c r="W2500" i="1"/>
  <c r="V2500" i="1"/>
  <c r="U2500" i="1"/>
  <c r="T2500" i="1"/>
  <c r="S2500" i="1"/>
  <c r="W2499" i="1"/>
  <c r="V2499" i="1"/>
  <c r="U2499" i="1"/>
  <c r="T2499" i="1"/>
  <c r="S2499" i="1"/>
  <c r="W2498" i="1"/>
  <c r="V2498" i="1"/>
  <c r="U2498" i="1"/>
  <c r="T2498" i="1"/>
  <c r="S2498" i="1"/>
  <c r="W2497" i="1"/>
  <c r="V2497" i="1"/>
  <c r="U2497" i="1"/>
  <c r="T2497" i="1"/>
  <c r="S2497" i="1"/>
  <c r="W2496" i="1"/>
  <c r="V2496" i="1"/>
  <c r="U2496" i="1"/>
  <c r="T2496" i="1"/>
  <c r="S2496" i="1"/>
  <c r="W2495" i="1"/>
  <c r="V2495" i="1"/>
  <c r="U2495" i="1"/>
  <c r="T2495" i="1"/>
  <c r="S2495" i="1"/>
  <c r="W2494" i="1"/>
  <c r="V2494" i="1"/>
  <c r="U2494" i="1"/>
  <c r="T2494" i="1"/>
  <c r="S2494" i="1"/>
  <c r="W2493" i="1"/>
  <c r="V2493" i="1"/>
  <c r="U2493" i="1"/>
  <c r="T2493" i="1"/>
  <c r="S2493" i="1"/>
  <c r="W2492" i="1"/>
  <c r="V2492" i="1"/>
  <c r="U2492" i="1"/>
  <c r="T2492" i="1"/>
  <c r="S2492" i="1"/>
  <c r="W2491" i="1"/>
  <c r="V2491" i="1"/>
  <c r="U2491" i="1"/>
  <c r="T2491" i="1"/>
  <c r="S2491" i="1"/>
  <c r="W2490" i="1"/>
  <c r="V2490" i="1"/>
  <c r="U2490" i="1"/>
  <c r="T2490" i="1"/>
  <c r="S2490" i="1"/>
  <c r="W2489" i="1"/>
  <c r="V2489" i="1"/>
  <c r="U2489" i="1"/>
  <c r="T2489" i="1"/>
  <c r="S2489" i="1"/>
  <c r="W2488" i="1"/>
  <c r="V2488" i="1"/>
  <c r="U2488" i="1"/>
  <c r="T2488" i="1"/>
  <c r="S2488" i="1"/>
  <c r="W2487" i="1"/>
  <c r="V2487" i="1"/>
  <c r="U2487" i="1"/>
  <c r="T2487" i="1"/>
  <c r="S2487" i="1"/>
  <c r="W2486" i="1"/>
  <c r="V2486" i="1"/>
  <c r="U2486" i="1"/>
  <c r="T2486" i="1"/>
  <c r="S2486" i="1"/>
  <c r="W2485" i="1"/>
  <c r="V2485" i="1"/>
  <c r="U2485" i="1"/>
  <c r="T2485" i="1"/>
  <c r="S2485" i="1"/>
  <c r="W2484" i="1"/>
  <c r="V2484" i="1"/>
  <c r="U2484" i="1"/>
  <c r="T2484" i="1"/>
  <c r="S2484" i="1"/>
  <c r="W2483" i="1"/>
  <c r="V2483" i="1"/>
  <c r="U2483" i="1"/>
  <c r="T2483" i="1"/>
  <c r="S2483" i="1"/>
  <c r="W2482" i="1"/>
  <c r="V2482" i="1"/>
  <c r="U2482" i="1"/>
  <c r="T2482" i="1"/>
  <c r="S2482" i="1"/>
  <c r="W2481" i="1"/>
  <c r="V2481" i="1"/>
  <c r="U2481" i="1"/>
  <c r="T2481" i="1"/>
  <c r="S2481" i="1"/>
  <c r="W2480" i="1"/>
  <c r="V2480" i="1"/>
  <c r="U2480" i="1"/>
  <c r="T2480" i="1"/>
  <c r="S2480" i="1"/>
  <c r="W2479" i="1"/>
  <c r="V2479" i="1"/>
  <c r="U2479" i="1"/>
  <c r="T2479" i="1"/>
  <c r="S2479" i="1"/>
  <c r="W2478" i="1"/>
  <c r="V2478" i="1"/>
  <c r="U2478" i="1"/>
  <c r="T2478" i="1"/>
  <c r="S2478" i="1"/>
  <c r="W2477" i="1"/>
  <c r="V2477" i="1"/>
  <c r="U2477" i="1"/>
  <c r="T2477" i="1"/>
  <c r="S2477" i="1"/>
  <c r="W2476" i="1"/>
  <c r="V2476" i="1"/>
  <c r="U2476" i="1"/>
  <c r="T2476" i="1"/>
  <c r="S2476" i="1"/>
  <c r="W2475" i="1"/>
  <c r="V2475" i="1"/>
  <c r="U2475" i="1"/>
  <c r="T2475" i="1"/>
  <c r="S2475" i="1"/>
  <c r="W2474" i="1"/>
  <c r="V2474" i="1"/>
  <c r="U2474" i="1"/>
  <c r="T2474" i="1"/>
  <c r="S2474" i="1"/>
  <c r="W2473" i="1"/>
  <c r="V2473" i="1"/>
  <c r="U2473" i="1"/>
  <c r="T2473" i="1"/>
  <c r="S2473" i="1"/>
  <c r="W2472" i="1"/>
  <c r="V2472" i="1"/>
  <c r="U2472" i="1"/>
  <c r="T2472" i="1"/>
  <c r="S2472" i="1"/>
  <c r="W2471" i="1"/>
  <c r="V2471" i="1"/>
  <c r="U2471" i="1"/>
  <c r="T2471" i="1"/>
  <c r="S2471" i="1"/>
  <c r="W2470" i="1"/>
  <c r="V2470" i="1"/>
  <c r="U2470" i="1"/>
  <c r="T2470" i="1"/>
  <c r="S2470" i="1"/>
  <c r="W2469" i="1"/>
  <c r="V2469" i="1"/>
  <c r="U2469" i="1"/>
  <c r="T2469" i="1"/>
  <c r="S2469" i="1"/>
  <c r="W2468" i="1"/>
  <c r="V2468" i="1"/>
  <c r="U2468" i="1"/>
  <c r="T2468" i="1"/>
  <c r="S2468" i="1"/>
  <c r="W2467" i="1"/>
  <c r="V2467" i="1"/>
  <c r="U2467" i="1"/>
  <c r="T2467" i="1"/>
  <c r="S2467" i="1"/>
  <c r="W2466" i="1"/>
  <c r="V2466" i="1"/>
  <c r="U2466" i="1"/>
  <c r="T2466" i="1"/>
  <c r="S2466" i="1"/>
  <c r="W2465" i="1"/>
  <c r="V2465" i="1"/>
  <c r="U2465" i="1"/>
  <c r="T2465" i="1"/>
  <c r="S2465" i="1"/>
  <c r="W2464" i="1"/>
  <c r="V2464" i="1"/>
  <c r="U2464" i="1"/>
  <c r="T2464" i="1"/>
  <c r="S2464" i="1"/>
  <c r="W2463" i="1"/>
  <c r="V2463" i="1"/>
  <c r="U2463" i="1"/>
  <c r="T2463" i="1"/>
  <c r="S2463" i="1"/>
  <c r="W2462" i="1"/>
  <c r="V2462" i="1"/>
  <c r="U2462" i="1"/>
  <c r="T2462" i="1"/>
  <c r="S2462" i="1"/>
  <c r="W2461" i="1"/>
  <c r="V2461" i="1"/>
  <c r="U2461" i="1"/>
  <c r="T2461" i="1"/>
  <c r="S2461" i="1"/>
  <c r="W2460" i="1"/>
  <c r="V2460" i="1"/>
  <c r="U2460" i="1"/>
  <c r="T2460" i="1"/>
  <c r="S2460" i="1"/>
  <c r="W2459" i="1"/>
  <c r="V2459" i="1"/>
  <c r="U2459" i="1"/>
  <c r="T2459" i="1"/>
  <c r="S2459" i="1"/>
  <c r="W2458" i="1"/>
  <c r="V2458" i="1"/>
  <c r="U2458" i="1"/>
  <c r="T2458" i="1"/>
  <c r="S2458" i="1"/>
  <c r="W2457" i="1"/>
  <c r="V2457" i="1"/>
  <c r="U2457" i="1"/>
  <c r="T2457" i="1"/>
  <c r="S2457" i="1"/>
  <c r="W2456" i="1"/>
  <c r="V2456" i="1"/>
  <c r="U2456" i="1"/>
  <c r="T2456" i="1"/>
  <c r="S2456" i="1"/>
  <c r="W2455" i="1"/>
  <c r="V2455" i="1"/>
  <c r="U2455" i="1"/>
  <c r="T2455" i="1"/>
  <c r="S2455" i="1"/>
  <c r="W2454" i="1"/>
  <c r="V2454" i="1"/>
  <c r="U2454" i="1"/>
  <c r="T2454" i="1"/>
  <c r="S2454" i="1"/>
  <c r="W2453" i="1"/>
  <c r="V2453" i="1"/>
  <c r="U2453" i="1"/>
  <c r="T2453" i="1"/>
  <c r="S2453" i="1"/>
  <c r="W2452" i="1"/>
  <c r="V2452" i="1"/>
  <c r="U2452" i="1"/>
  <c r="T2452" i="1"/>
  <c r="S2452" i="1"/>
  <c r="W2451" i="1"/>
  <c r="V2451" i="1"/>
  <c r="U2451" i="1"/>
  <c r="T2451" i="1"/>
  <c r="S2451" i="1"/>
  <c r="W2450" i="1"/>
  <c r="V2450" i="1"/>
  <c r="U2450" i="1"/>
  <c r="T2450" i="1"/>
  <c r="S2450" i="1"/>
  <c r="W2449" i="1"/>
  <c r="V2449" i="1"/>
  <c r="U2449" i="1"/>
  <c r="T2449" i="1"/>
  <c r="S2449" i="1"/>
  <c r="W2448" i="1"/>
  <c r="V2448" i="1"/>
  <c r="U2448" i="1"/>
  <c r="T2448" i="1"/>
  <c r="S2448" i="1"/>
  <c r="W2447" i="1"/>
  <c r="V2447" i="1"/>
  <c r="U2447" i="1"/>
  <c r="T2447" i="1"/>
  <c r="S2447" i="1"/>
  <c r="W2446" i="1"/>
  <c r="V2446" i="1"/>
  <c r="U2446" i="1"/>
  <c r="T2446" i="1"/>
  <c r="S2446" i="1"/>
  <c r="W2445" i="1"/>
  <c r="V2445" i="1"/>
  <c r="U2445" i="1"/>
  <c r="T2445" i="1"/>
  <c r="S2445" i="1"/>
  <c r="W2444" i="1"/>
  <c r="V2444" i="1"/>
  <c r="U2444" i="1"/>
  <c r="T2444" i="1"/>
  <c r="S2444" i="1"/>
  <c r="W2443" i="1"/>
  <c r="V2443" i="1"/>
  <c r="U2443" i="1"/>
  <c r="T2443" i="1"/>
  <c r="S2443" i="1"/>
  <c r="W2442" i="1"/>
  <c r="V2442" i="1"/>
  <c r="U2442" i="1"/>
  <c r="T2442" i="1"/>
  <c r="S2442" i="1"/>
  <c r="W2441" i="1"/>
  <c r="V2441" i="1"/>
  <c r="U2441" i="1"/>
  <c r="T2441" i="1"/>
  <c r="S2441" i="1"/>
  <c r="W2440" i="1"/>
  <c r="V2440" i="1"/>
  <c r="U2440" i="1"/>
  <c r="T2440" i="1"/>
  <c r="S2440" i="1"/>
  <c r="W2439" i="1"/>
  <c r="V2439" i="1"/>
  <c r="U2439" i="1"/>
  <c r="T2439" i="1"/>
  <c r="S2439" i="1"/>
  <c r="W2438" i="1"/>
  <c r="V2438" i="1"/>
  <c r="U2438" i="1"/>
  <c r="T2438" i="1"/>
  <c r="S2438" i="1"/>
  <c r="W2437" i="1"/>
  <c r="V2437" i="1"/>
  <c r="U2437" i="1"/>
  <c r="T2437" i="1"/>
  <c r="S2437" i="1"/>
  <c r="W2436" i="1"/>
  <c r="V2436" i="1"/>
  <c r="U2436" i="1"/>
  <c r="T2436" i="1"/>
  <c r="S2436" i="1"/>
  <c r="W2435" i="1"/>
  <c r="V2435" i="1"/>
  <c r="U2435" i="1"/>
  <c r="T2435" i="1"/>
  <c r="S2435" i="1"/>
  <c r="W2434" i="1"/>
  <c r="V2434" i="1"/>
  <c r="U2434" i="1"/>
  <c r="T2434" i="1"/>
  <c r="S2434" i="1"/>
  <c r="W2433" i="1"/>
  <c r="V2433" i="1"/>
  <c r="U2433" i="1"/>
  <c r="T2433" i="1"/>
  <c r="S2433" i="1"/>
  <c r="W2432" i="1"/>
  <c r="V2432" i="1"/>
  <c r="U2432" i="1"/>
  <c r="T2432" i="1"/>
  <c r="S2432" i="1"/>
  <c r="W2431" i="1"/>
  <c r="V2431" i="1"/>
  <c r="U2431" i="1"/>
  <c r="T2431" i="1"/>
  <c r="S2431" i="1"/>
  <c r="W2430" i="1"/>
  <c r="V2430" i="1"/>
  <c r="U2430" i="1"/>
  <c r="T2430" i="1"/>
  <c r="S2430" i="1"/>
  <c r="W2429" i="1"/>
  <c r="V2429" i="1"/>
  <c r="U2429" i="1"/>
  <c r="T2429" i="1"/>
  <c r="S2429" i="1"/>
  <c r="W2428" i="1"/>
  <c r="V2428" i="1"/>
  <c r="U2428" i="1"/>
  <c r="T2428" i="1"/>
  <c r="S2428" i="1"/>
  <c r="W2427" i="1"/>
  <c r="V2427" i="1"/>
  <c r="U2427" i="1"/>
  <c r="T2427" i="1"/>
  <c r="S2427" i="1"/>
  <c r="W2426" i="1"/>
  <c r="V2426" i="1"/>
  <c r="U2426" i="1"/>
  <c r="T2426" i="1"/>
  <c r="S2426" i="1"/>
  <c r="W2425" i="1"/>
  <c r="V2425" i="1"/>
  <c r="U2425" i="1"/>
  <c r="T2425" i="1"/>
  <c r="S2425" i="1"/>
  <c r="W2424" i="1"/>
  <c r="V2424" i="1"/>
  <c r="U2424" i="1"/>
  <c r="T2424" i="1"/>
  <c r="S2424" i="1"/>
  <c r="W2423" i="1"/>
  <c r="V2423" i="1"/>
  <c r="U2423" i="1"/>
  <c r="T2423" i="1"/>
  <c r="S2423" i="1"/>
  <c r="W2422" i="1"/>
  <c r="V2422" i="1"/>
  <c r="U2422" i="1"/>
  <c r="T2422" i="1"/>
  <c r="S2422" i="1"/>
  <c r="W2421" i="1"/>
  <c r="V2421" i="1"/>
  <c r="U2421" i="1"/>
  <c r="T2421" i="1"/>
  <c r="S2421" i="1"/>
  <c r="W2420" i="1"/>
  <c r="V2420" i="1"/>
  <c r="U2420" i="1"/>
  <c r="T2420" i="1"/>
  <c r="S2420" i="1"/>
  <c r="W2419" i="1"/>
  <c r="V2419" i="1"/>
  <c r="U2419" i="1"/>
  <c r="T2419" i="1"/>
  <c r="S2419" i="1"/>
  <c r="W2418" i="1"/>
  <c r="V2418" i="1"/>
  <c r="U2418" i="1"/>
  <c r="T2418" i="1"/>
  <c r="S2418" i="1"/>
  <c r="W2417" i="1"/>
  <c r="V2417" i="1"/>
  <c r="U2417" i="1"/>
  <c r="T2417" i="1"/>
  <c r="S2417" i="1"/>
  <c r="W2416" i="1"/>
  <c r="V2416" i="1"/>
  <c r="U2416" i="1"/>
  <c r="T2416" i="1"/>
  <c r="S2416" i="1"/>
  <c r="W2415" i="1"/>
  <c r="V2415" i="1"/>
  <c r="U2415" i="1"/>
  <c r="T2415" i="1"/>
  <c r="S2415" i="1"/>
  <c r="W2414" i="1"/>
  <c r="V2414" i="1"/>
  <c r="U2414" i="1"/>
  <c r="T2414" i="1"/>
  <c r="S2414" i="1"/>
  <c r="W2413" i="1"/>
  <c r="V2413" i="1"/>
  <c r="U2413" i="1"/>
  <c r="T2413" i="1"/>
  <c r="S2413" i="1"/>
  <c r="W2412" i="1"/>
  <c r="V2412" i="1"/>
  <c r="U2412" i="1"/>
  <c r="T2412" i="1"/>
  <c r="S2412" i="1"/>
  <c r="W2411" i="1"/>
  <c r="V2411" i="1"/>
  <c r="U2411" i="1"/>
  <c r="T2411" i="1"/>
  <c r="S2411" i="1"/>
  <c r="W2410" i="1"/>
  <c r="V2410" i="1"/>
  <c r="U2410" i="1"/>
  <c r="T2410" i="1"/>
  <c r="S2410" i="1"/>
  <c r="W2409" i="1"/>
  <c r="V2409" i="1"/>
  <c r="U2409" i="1"/>
  <c r="T2409" i="1"/>
  <c r="S2409" i="1"/>
  <c r="W2408" i="1"/>
  <c r="V2408" i="1"/>
  <c r="U2408" i="1"/>
  <c r="T2408" i="1"/>
  <c r="S2408" i="1"/>
  <c r="W2407" i="1"/>
  <c r="V2407" i="1"/>
  <c r="U2407" i="1"/>
  <c r="T2407" i="1"/>
  <c r="S2407" i="1"/>
  <c r="W2406" i="1"/>
  <c r="V2406" i="1"/>
  <c r="U2406" i="1"/>
  <c r="T2406" i="1"/>
  <c r="S2406" i="1"/>
  <c r="W2405" i="1"/>
  <c r="V2405" i="1"/>
  <c r="U2405" i="1"/>
  <c r="T2405" i="1"/>
  <c r="S2405" i="1"/>
  <c r="W2404" i="1"/>
  <c r="V2404" i="1"/>
  <c r="U2404" i="1"/>
  <c r="T2404" i="1"/>
  <c r="S2404" i="1"/>
  <c r="W2403" i="1"/>
  <c r="V2403" i="1"/>
  <c r="U2403" i="1"/>
  <c r="T2403" i="1"/>
  <c r="S2403" i="1"/>
  <c r="W2402" i="1"/>
  <c r="V2402" i="1"/>
  <c r="U2402" i="1"/>
  <c r="T2402" i="1"/>
  <c r="S2402" i="1"/>
  <c r="W2401" i="1"/>
  <c r="V2401" i="1"/>
  <c r="U2401" i="1"/>
  <c r="T2401" i="1"/>
  <c r="S2401" i="1"/>
  <c r="W2400" i="1"/>
  <c r="V2400" i="1"/>
  <c r="U2400" i="1"/>
  <c r="T2400" i="1"/>
  <c r="S2400" i="1"/>
  <c r="W2399" i="1"/>
  <c r="V2399" i="1"/>
  <c r="U2399" i="1"/>
  <c r="T2399" i="1"/>
  <c r="S2399" i="1"/>
  <c r="W2398" i="1"/>
  <c r="V2398" i="1"/>
  <c r="U2398" i="1"/>
  <c r="T2398" i="1"/>
  <c r="S2398" i="1"/>
  <c r="W2397" i="1"/>
  <c r="V2397" i="1"/>
  <c r="U2397" i="1"/>
  <c r="T2397" i="1"/>
  <c r="S2397" i="1"/>
  <c r="W2396" i="1"/>
  <c r="V2396" i="1"/>
  <c r="U2396" i="1"/>
  <c r="T2396" i="1"/>
  <c r="S2396" i="1"/>
  <c r="W2395" i="1"/>
  <c r="V2395" i="1"/>
  <c r="U2395" i="1"/>
  <c r="T2395" i="1"/>
  <c r="S2395" i="1"/>
  <c r="W2394" i="1"/>
  <c r="V2394" i="1"/>
  <c r="U2394" i="1"/>
  <c r="T2394" i="1"/>
  <c r="S2394" i="1"/>
  <c r="W2393" i="1"/>
  <c r="V2393" i="1"/>
  <c r="U2393" i="1"/>
  <c r="T2393" i="1"/>
  <c r="S2393" i="1"/>
  <c r="W2392" i="1"/>
  <c r="V2392" i="1"/>
  <c r="U2392" i="1"/>
  <c r="T2392" i="1"/>
  <c r="S2392" i="1"/>
  <c r="W2391" i="1"/>
  <c r="V2391" i="1"/>
  <c r="U2391" i="1"/>
  <c r="T2391" i="1"/>
  <c r="S2391" i="1"/>
  <c r="W2390" i="1"/>
  <c r="V2390" i="1"/>
  <c r="U2390" i="1"/>
  <c r="T2390" i="1"/>
  <c r="S2390" i="1"/>
  <c r="W2389" i="1"/>
  <c r="V2389" i="1"/>
  <c r="U2389" i="1"/>
  <c r="T2389" i="1"/>
  <c r="S2389" i="1"/>
  <c r="W2388" i="1"/>
  <c r="V2388" i="1"/>
  <c r="U2388" i="1"/>
  <c r="T2388" i="1"/>
  <c r="S2388" i="1"/>
  <c r="W2387" i="1"/>
  <c r="V2387" i="1"/>
  <c r="U2387" i="1"/>
  <c r="T2387" i="1"/>
  <c r="S2387" i="1"/>
  <c r="W2386" i="1"/>
  <c r="V2386" i="1"/>
  <c r="U2386" i="1"/>
  <c r="T2386" i="1"/>
  <c r="S2386" i="1"/>
  <c r="W2385" i="1"/>
  <c r="V2385" i="1"/>
  <c r="U2385" i="1"/>
  <c r="T2385" i="1"/>
  <c r="S2385" i="1"/>
  <c r="W2384" i="1"/>
  <c r="V2384" i="1"/>
  <c r="U2384" i="1"/>
  <c r="T2384" i="1"/>
  <c r="S2384" i="1"/>
  <c r="W2383" i="1"/>
  <c r="V2383" i="1"/>
  <c r="U2383" i="1"/>
  <c r="T2383" i="1"/>
  <c r="S2383" i="1"/>
  <c r="W2382" i="1"/>
  <c r="V2382" i="1"/>
  <c r="U2382" i="1"/>
  <c r="T2382" i="1"/>
  <c r="S2382" i="1"/>
  <c r="W2381" i="1"/>
  <c r="V2381" i="1"/>
  <c r="U2381" i="1"/>
  <c r="T2381" i="1"/>
  <c r="S2381" i="1"/>
  <c r="W2380" i="1"/>
  <c r="V2380" i="1"/>
  <c r="U2380" i="1"/>
  <c r="T2380" i="1"/>
  <c r="S2380" i="1"/>
  <c r="W2379" i="1"/>
  <c r="V2379" i="1"/>
  <c r="U2379" i="1"/>
  <c r="T2379" i="1"/>
  <c r="S2379" i="1"/>
  <c r="W2378" i="1"/>
  <c r="V2378" i="1"/>
  <c r="U2378" i="1"/>
  <c r="T2378" i="1"/>
  <c r="S2378" i="1"/>
  <c r="W2377" i="1"/>
  <c r="V2377" i="1"/>
  <c r="U2377" i="1"/>
  <c r="T2377" i="1"/>
  <c r="S2377" i="1"/>
  <c r="W2376" i="1"/>
  <c r="V2376" i="1"/>
  <c r="U2376" i="1"/>
  <c r="T2376" i="1"/>
  <c r="S2376" i="1"/>
  <c r="W2375" i="1"/>
  <c r="V2375" i="1"/>
  <c r="U2375" i="1"/>
  <c r="T2375" i="1"/>
  <c r="S2375" i="1"/>
  <c r="W2374" i="1"/>
  <c r="V2374" i="1"/>
  <c r="U2374" i="1"/>
  <c r="T2374" i="1"/>
  <c r="S2374" i="1"/>
  <c r="W2373" i="1"/>
  <c r="V2373" i="1"/>
  <c r="U2373" i="1"/>
  <c r="T2373" i="1"/>
  <c r="S2373" i="1"/>
  <c r="W2372" i="1"/>
  <c r="V2372" i="1"/>
  <c r="U2372" i="1"/>
  <c r="T2372" i="1"/>
  <c r="S2372" i="1"/>
  <c r="W2371" i="1"/>
  <c r="V2371" i="1"/>
  <c r="U2371" i="1"/>
  <c r="T2371" i="1"/>
  <c r="S2371" i="1"/>
  <c r="W2370" i="1"/>
  <c r="V2370" i="1"/>
  <c r="U2370" i="1"/>
  <c r="T2370" i="1"/>
  <c r="S2370" i="1"/>
  <c r="W2369" i="1"/>
  <c r="V2369" i="1"/>
  <c r="U2369" i="1"/>
  <c r="T2369" i="1"/>
  <c r="S2369" i="1"/>
  <c r="W2368" i="1"/>
  <c r="V2368" i="1"/>
  <c r="U2368" i="1"/>
  <c r="T2368" i="1"/>
  <c r="S2368" i="1"/>
  <c r="W2367" i="1"/>
  <c r="V2367" i="1"/>
  <c r="U2367" i="1"/>
  <c r="T2367" i="1"/>
  <c r="S2367" i="1"/>
  <c r="W2366" i="1"/>
  <c r="V2366" i="1"/>
  <c r="U2366" i="1"/>
  <c r="T2366" i="1"/>
  <c r="S2366" i="1"/>
  <c r="W2365" i="1"/>
  <c r="V2365" i="1"/>
  <c r="U2365" i="1"/>
  <c r="T2365" i="1"/>
  <c r="S2365" i="1"/>
  <c r="W2364" i="1"/>
  <c r="V2364" i="1"/>
  <c r="U2364" i="1"/>
  <c r="T2364" i="1"/>
  <c r="S2364" i="1"/>
  <c r="W2363" i="1"/>
  <c r="V2363" i="1"/>
  <c r="U2363" i="1"/>
  <c r="T2363" i="1"/>
  <c r="S2363" i="1"/>
  <c r="W2362" i="1"/>
  <c r="V2362" i="1"/>
  <c r="U2362" i="1"/>
  <c r="T2362" i="1"/>
  <c r="S2362" i="1"/>
  <c r="W2361" i="1"/>
  <c r="V2361" i="1"/>
  <c r="U2361" i="1"/>
  <c r="T2361" i="1"/>
  <c r="S2361" i="1"/>
  <c r="W2360" i="1"/>
  <c r="V2360" i="1"/>
  <c r="U2360" i="1"/>
  <c r="T2360" i="1"/>
  <c r="S2360" i="1"/>
  <c r="W2359" i="1"/>
  <c r="V2359" i="1"/>
  <c r="U2359" i="1"/>
  <c r="T2359" i="1"/>
  <c r="S2359" i="1"/>
  <c r="W2358" i="1"/>
  <c r="V2358" i="1"/>
  <c r="U2358" i="1"/>
  <c r="T2358" i="1"/>
  <c r="S2358" i="1"/>
  <c r="W2357" i="1"/>
  <c r="V2357" i="1"/>
  <c r="U2357" i="1"/>
  <c r="T2357" i="1"/>
  <c r="S2357" i="1"/>
  <c r="W2356" i="1"/>
  <c r="V2356" i="1"/>
  <c r="U2356" i="1"/>
  <c r="T2356" i="1"/>
  <c r="S2356" i="1"/>
  <c r="W2355" i="1"/>
  <c r="V2355" i="1"/>
  <c r="U2355" i="1"/>
  <c r="T2355" i="1"/>
  <c r="S2355" i="1"/>
  <c r="W2354" i="1"/>
  <c r="V2354" i="1"/>
  <c r="U2354" i="1"/>
  <c r="T2354" i="1"/>
  <c r="S2354" i="1"/>
  <c r="W2353" i="1"/>
  <c r="V2353" i="1"/>
  <c r="U2353" i="1"/>
  <c r="T2353" i="1"/>
  <c r="S2353" i="1"/>
  <c r="W2352" i="1"/>
  <c r="V2352" i="1"/>
  <c r="U2352" i="1"/>
  <c r="T2352" i="1"/>
  <c r="S2352" i="1"/>
  <c r="W2351" i="1"/>
  <c r="V2351" i="1"/>
  <c r="U2351" i="1"/>
  <c r="T2351" i="1"/>
  <c r="S2351" i="1"/>
  <c r="W2350" i="1"/>
  <c r="V2350" i="1"/>
  <c r="U2350" i="1"/>
  <c r="T2350" i="1"/>
  <c r="S2350" i="1"/>
  <c r="W2349" i="1"/>
  <c r="V2349" i="1"/>
  <c r="U2349" i="1"/>
  <c r="T2349" i="1"/>
  <c r="S2349" i="1"/>
  <c r="W2348" i="1"/>
  <c r="V2348" i="1"/>
  <c r="U2348" i="1"/>
  <c r="T2348" i="1"/>
  <c r="S2348" i="1"/>
  <c r="W2347" i="1"/>
  <c r="V2347" i="1"/>
  <c r="U2347" i="1"/>
  <c r="T2347" i="1"/>
  <c r="S2347" i="1"/>
  <c r="W2346" i="1"/>
  <c r="V2346" i="1"/>
  <c r="U2346" i="1"/>
  <c r="T2346" i="1"/>
  <c r="S2346" i="1"/>
  <c r="W2345" i="1"/>
  <c r="V2345" i="1"/>
  <c r="U2345" i="1"/>
  <c r="T2345" i="1"/>
  <c r="S2345" i="1"/>
  <c r="W2344" i="1"/>
  <c r="V2344" i="1"/>
  <c r="U2344" i="1"/>
  <c r="T2344" i="1"/>
  <c r="S2344" i="1"/>
  <c r="W2343" i="1"/>
  <c r="V2343" i="1"/>
  <c r="U2343" i="1"/>
  <c r="T2343" i="1"/>
  <c r="S2343" i="1"/>
  <c r="W2342" i="1"/>
  <c r="V2342" i="1"/>
  <c r="U2342" i="1"/>
  <c r="T2342" i="1"/>
  <c r="S2342" i="1"/>
  <c r="W2341" i="1"/>
  <c r="V2341" i="1"/>
  <c r="U2341" i="1"/>
  <c r="T2341" i="1"/>
  <c r="S2341" i="1"/>
  <c r="W2340" i="1"/>
  <c r="V2340" i="1"/>
  <c r="U2340" i="1"/>
  <c r="T2340" i="1"/>
  <c r="S2340" i="1"/>
  <c r="W2339" i="1"/>
  <c r="V2339" i="1"/>
  <c r="U2339" i="1"/>
  <c r="T2339" i="1"/>
  <c r="S2339" i="1"/>
  <c r="W2338" i="1"/>
  <c r="V2338" i="1"/>
  <c r="U2338" i="1"/>
  <c r="T2338" i="1"/>
  <c r="S2338" i="1"/>
  <c r="W2337" i="1"/>
  <c r="V2337" i="1"/>
  <c r="U2337" i="1"/>
  <c r="T2337" i="1"/>
  <c r="S2337" i="1"/>
  <c r="W2336" i="1"/>
  <c r="V2336" i="1"/>
  <c r="U2336" i="1"/>
  <c r="T2336" i="1"/>
  <c r="S2336" i="1"/>
  <c r="W2335" i="1"/>
  <c r="V2335" i="1"/>
  <c r="U2335" i="1"/>
  <c r="T2335" i="1"/>
  <c r="S2335" i="1"/>
  <c r="W2334" i="1"/>
  <c r="V2334" i="1"/>
  <c r="U2334" i="1"/>
  <c r="T2334" i="1"/>
  <c r="S2334" i="1"/>
  <c r="W2333" i="1"/>
  <c r="V2333" i="1"/>
  <c r="U2333" i="1"/>
  <c r="T2333" i="1"/>
  <c r="S2333" i="1"/>
  <c r="W2332" i="1"/>
  <c r="V2332" i="1"/>
  <c r="U2332" i="1"/>
  <c r="T2332" i="1"/>
  <c r="S2332" i="1"/>
  <c r="W2331" i="1"/>
  <c r="V2331" i="1"/>
  <c r="U2331" i="1"/>
  <c r="T2331" i="1"/>
  <c r="S2331" i="1"/>
  <c r="W2330" i="1"/>
  <c r="V2330" i="1"/>
  <c r="U2330" i="1"/>
  <c r="T2330" i="1"/>
  <c r="S2330" i="1"/>
  <c r="W2329" i="1"/>
  <c r="V2329" i="1"/>
  <c r="U2329" i="1"/>
  <c r="T2329" i="1"/>
  <c r="S2329" i="1"/>
  <c r="W2328" i="1"/>
  <c r="V2328" i="1"/>
  <c r="U2328" i="1"/>
  <c r="T2328" i="1"/>
  <c r="S2328" i="1"/>
  <c r="W2327" i="1"/>
  <c r="V2327" i="1"/>
  <c r="U2327" i="1"/>
  <c r="T2327" i="1"/>
  <c r="S2327" i="1"/>
  <c r="W2326" i="1"/>
  <c r="V2326" i="1"/>
  <c r="U2326" i="1"/>
  <c r="T2326" i="1"/>
  <c r="S2326" i="1"/>
  <c r="W2325" i="1"/>
  <c r="V2325" i="1"/>
  <c r="U2325" i="1"/>
  <c r="T2325" i="1"/>
  <c r="S2325" i="1"/>
  <c r="W2324" i="1"/>
  <c r="V2324" i="1"/>
  <c r="U2324" i="1"/>
  <c r="T2324" i="1"/>
  <c r="S2324" i="1"/>
  <c r="W2323" i="1"/>
  <c r="V2323" i="1"/>
  <c r="U2323" i="1"/>
  <c r="T2323" i="1"/>
  <c r="S2323" i="1"/>
  <c r="W2322" i="1"/>
  <c r="V2322" i="1"/>
  <c r="U2322" i="1"/>
  <c r="T2322" i="1"/>
  <c r="S2322" i="1"/>
  <c r="W2321" i="1"/>
  <c r="V2321" i="1"/>
  <c r="U2321" i="1"/>
  <c r="T2321" i="1"/>
  <c r="S2321" i="1"/>
  <c r="W2320" i="1"/>
  <c r="V2320" i="1"/>
  <c r="U2320" i="1"/>
  <c r="T2320" i="1"/>
  <c r="S2320" i="1"/>
  <c r="W2319" i="1"/>
  <c r="V2319" i="1"/>
  <c r="U2319" i="1"/>
  <c r="T2319" i="1"/>
  <c r="S2319" i="1"/>
  <c r="W2318" i="1"/>
  <c r="V2318" i="1"/>
  <c r="U2318" i="1"/>
  <c r="T2318" i="1"/>
  <c r="S2318" i="1"/>
  <c r="W2317" i="1"/>
  <c r="V2317" i="1"/>
  <c r="U2317" i="1"/>
  <c r="T2317" i="1"/>
  <c r="S2317" i="1"/>
  <c r="W2316" i="1"/>
  <c r="V2316" i="1"/>
  <c r="U2316" i="1"/>
  <c r="T2316" i="1"/>
  <c r="S2316" i="1"/>
  <c r="W2315" i="1"/>
  <c r="V2315" i="1"/>
  <c r="U2315" i="1"/>
  <c r="T2315" i="1"/>
  <c r="S2315" i="1"/>
  <c r="W2314" i="1"/>
  <c r="V2314" i="1"/>
  <c r="U2314" i="1"/>
  <c r="T2314" i="1"/>
  <c r="S2314" i="1"/>
  <c r="W2313" i="1"/>
  <c r="V2313" i="1"/>
  <c r="U2313" i="1"/>
  <c r="T2313" i="1"/>
  <c r="S2313" i="1"/>
  <c r="W2312" i="1"/>
  <c r="V2312" i="1"/>
  <c r="U2312" i="1"/>
  <c r="T2312" i="1"/>
  <c r="S2312" i="1"/>
  <c r="W2311" i="1"/>
  <c r="V2311" i="1"/>
  <c r="U2311" i="1"/>
  <c r="T2311" i="1"/>
  <c r="S2311" i="1"/>
  <c r="W2310" i="1"/>
  <c r="V2310" i="1"/>
  <c r="U2310" i="1"/>
  <c r="T2310" i="1"/>
  <c r="S2310" i="1"/>
  <c r="W2309" i="1"/>
  <c r="V2309" i="1"/>
  <c r="U2309" i="1"/>
  <c r="T2309" i="1"/>
  <c r="S2309" i="1"/>
  <c r="W2308" i="1"/>
  <c r="V2308" i="1"/>
  <c r="U2308" i="1"/>
  <c r="T2308" i="1"/>
  <c r="S2308" i="1"/>
  <c r="W2307" i="1"/>
  <c r="V2307" i="1"/>
  <c r="U2307" i="1"/>
  <c r="T2307" i="1"/>
  <c r="S2307" i="1"/>
  <c r="W2306" i="1"/>
  <c r="V2306" i="1"/>
  <c r="U2306" i="1"/>
  <c r="T2306" i="1"/>
  <c r="S2306" i="1"/>
  <c r="W2305" i="1"/>
  <c r="V2305" i="1"/>
  <c r="U2305" i="1"/>
  <c r="T2305" i="1"/>
  <c r="S2305" i="1"/>
  <c r="W2304" i="1"/>
  <c r="V2304" i="1"/>
  <c r="U2304" i="1"/>
  <c r="T2304" i="1"/>
  <c r="S2304" i="1"/>
  <c r="W2303" i="1"/>
  <c r="V2303" i="1"/>
  <c r="U2303" i="1"/>
  <c r="T2303" i="1"/>
  <c r="S2303" i="1"/>
  <c r="W2302" i="1"/>
  <c r="V2302" i="1"/>
  <c r="U2302" i="1"/>
  <c r="T2302" i="1"/>
  <c r="S2302" i="1"/>
  <c r="W2301" i="1"/>
  <c r="V2301" i="1"/>
  <c r="U2301" i="1"/>
  <c r="T2301" i="1"/>
  <c r="S2301" i="1"/>
  <c r="W2300" i="1"/>
  <c r="V2300" i="1"/>
  <c r="U2300" i="1"/>
  <c r="T2300" i="1"/>
  <c r="S2300" i="1"/>
  <c r="W2299" i="1"/>
  <c r="V2299" i="1"/>
  <c r="U2299" i="1"/>
  <c r="T2299" i="1"/>
  <c r="S2299" i="1"/>
  <c r="W2298" i="1"/>
  <c r="V2298" i="1"/>
  <c r="U2298" i="1"/>
  <c r="T2298" i="1"/>
  <c r="S2298" i="1"/>
  <c r="W2297" i="1"/>
  <c r="V2297" i="1"/>
  <c r="U2297" i="1"/>
  <c r="T2297" i="1"/>
  <c r="S2297" i="1"/>
  <c r="W2296" i="1"/>
  <c r="V2296" i="1"/>
  <c r="U2296" i="1"/>
  <c r="T2296" i="1"/>
  <c r="S2296" i="1"/>
  <c r="W2295" i="1"/>
  <c r="V2295" i="1"/>
  <c r="U2295" i="1"/>
  <c r="T2295" i="1"/>
  <c r="S2295" i="1"/>
  <c r="W2294" i="1"/>
  <c r="V2294" i="1"/>
  <c r="U2294" i="1"/>
  <c r="T2294" i="1"/>
  <c r="S2294" i="1"/>
  <c r="W2293" i="1"/>
  <c r="V2293" i="1"/>
  <c r="U2293" i="1"/>
  <c r="T2293" i="1"/>
  <c r="S2293" i="1"/>
  <c r="W2292" i="1"/>
  <c r="V2292" i="1"/>
  <c r="U2292" i="1"/>
  <c r="T2292" i="1"/>
  <c r="S2292" i="1"/>
  <c r="W2291" i="1"/>
  <c r="V2291" i="1"/>
  <c r="U2291" i="1"/>
  <c r="T2291" i="1"/>
  <c r="S2291" i="1"/>
  <c r="W2290" i="1"/>
  <c r="V2290" i="1"/>
  <c r="U2290" i="1"/>
  <c r="T2290" i="1"/>
  <c r="S2290" i="1"/>
  <c r="W2289" i="1"/>
  <c r="V2289" i="1"/>
  <c r="U2289" i="1"/>
  <c r="T2289" i="1"/>
  <c r="S2289" i="1"/>
  <c r="W2288" i="1"/>
  <c r="V2288" i="1"/>
  <c r="U2288" i="1"/>
  <c r="T2288" i="1"/>
  <c r="S2288" i="1"/>
  <c r="W2287" i="1"/>
  <c r="V2287" i="1"/>
  <c r="U2287" i="1"/>
  <c r="T2287" i="1"/>
  <c r="S2287" i="1"/>
  <c r="W2286" i="1"/>
  <c r="V2286" i="1"/>
  <c r="U2286" i="1"/>
  <c r="T2286" i="1"/>
  <c r="S2286" i="1"/>
  <c r="W2285" i="1"/>
  <c r="V2285" i="1"/>
  <c r="U2285" i="1"/>
  <c r="T2285" i="1"/>
  <c r="S2285" i="1"/>
  <c r="W2284" i="1"/>
  <c r="V2284" i="1"/>
  <c r="U2284" i="1"/>
  <c r="T2284" i="1"/>
  <c r="S2284" i="1"/>
  <c r="W2283" i="1"/>
  <c r="V2283" i="1"/>
  <c r="U2283" i="1"/>
  <c r="T2283" i="1"/>
  <c r="S2283" i="1"/>
  <c r="W2282" i="1"/>
  <c r="V2282" i="1"/>
  <c r="U2282" i="1"/>
  <c r="T2282" i="1"/>
  <c r="S2282" i="1"/>
  <c r="W2281" i="1"/>
  <c r="V2281" i="1"/>
  <c r="U2281" i="1"/>
  <c r="T2281" i="1"/>
  <c r="S2281" i="1"/>
  <c r="W2280" i="1"/>
  <c r="V2280" i="1"/>
  <c r="U2280" i="1"/>
  <c r="T2280" i="1"/>
  <c r="S2280" i="1"/>
  <c r="W2279" i="1"/>
  <c r="V2279" i="1"/>
  <c r="U2279" i="1"/>
  <c r="T2279" i="1"/>
  <c r="S2279" i="1"/>
  <c r="W2278" i="1"/>
  <c r="V2278" i="1"/>
  <c r="U2278" i="1"/>
  <c r="T2278" i="1"/>
  <c r="S2278" i="1"/>
  <c r="W2277" i="1"/>
  <c r="V2277" i="1"/>
  <c r="U2277" i="1"/>
  <c r="T2277" i="1"/>
  <c r="S2277" i="1"/>
  <c r="W2276" i="1"/>
  <c r="V2276" i="1"/>
  <c r="U2276" i="1"/>
  <c r="T2276" i="1"/>
  <c r="S2276" i="1"/>
  <c r="W2275" i="1"/>
  <c r="V2275" i="1"/>
  <c r="U2275" i="1"/>
  <c r="T2275" i="1"/>
  <c r="S2275" i="1"/>
  <c r="W2274" i="1"/>
  <c r="V2274" i="1"/>
  <c r="U2274" i="1"/>
  <c r="T2274" i="1"/>
  <c r="S2274" i="1"/>
  <c r="W2273" i="1"/>
  <c r="V2273" i="1"/>
  <c r="U2273" i="1"/>
  <c r="T2273" i="1"/>
  <c r="S2273" i="1"/>
  <c r="W2272" i="1"/>
  <c r="V2272" i="1"/>
  <c r="U2272" i="1"/>
  <c r="T2272" i="1"/>
  <c r="S2272" i="1"/>
  <c r="W2271" i="1"/>
  <c r="V2271" i="1"/>
  <c r="U2271" i="1"/>
  <c r="T2271" i="1"/>
  <c r="S2271" i="1"/>
  <c r="W2270" i="1"/>
  <c r="V2270" i="1"/>
  <c r="U2270" i="1"/>
  <c r="T2270" i="1"/>
  <c r="S2270" i="1"/>
  <c r="W2269" i="1"/>
  <c r="V2269" i="1"/>
  <c r="U2269" i="1"/>
  <c r="T2269" i="1"/>
  <c r="S2269" i="1"/>
  <c r="W2268" i="1"/>
  <c r="V2268" i="1"/>
  <c r="U2268" i="1"/>
  <c r="T2268" i="1"/>
  <c r="S2268" i="1"/>
  <c r="W2267" i="1"/>
  <c r="V2267" i="1"/>
  <c r="U2267" i="1"/>
  <c r="T2267" i="1"/>
  <c r="S2267" i="1"/>
  <c r="W2266" i="1"/>
  <c r="V2266" i="1"/>
  <c r="U2266" i="1"/>
  <c r="T2266" i="1"/>
  <c r="S2266" i="1"/>
  <c r="W2265" i="1"/>
  <c r="V2265" i="1"/>
  <c r="U2265" i="1"/>
  <c r="T2265" i="1"/>
  <c r="S2265" i="1"/>
  <c r="W2264" i="1"/>
  <c r="V2264" i="1"/>
  <c r="U2264" i="1"/>
  <c r="T2264" i="1"/>
  <c r="S2264" i="1"/>
  <c r="W2263" i="1"/>
  <c r="V2263" i="1"/>
  <c r="U2263" i="1"/>
  <c r="T2263" i="1"/>
  <c r="S2263" i="1"/>
  <c r="W2262" i="1"/>
  <c r="V2262" i="1"/>
  <c r="U2262" i="1"/>
  <c r="T2262" i="1"/>
  <c r="S2262" i="1"/>
  <c r="W2261" i="1"/>
  <c r="V2261" i="1"/>
  <c r="U2261" i="1"/>
  <c r="T2261" i="1"/>
  <c r="S2261" i="1"/>
  <c r="W2260" i="1"/>
  <c r="V2260" i="1"/>
  <c r="U2260" i="1"/>
  <c r="T2260" i="1"/>
  <c r="S2260" i="1"/>
  <c r="W2259" i="1"/>
  <c r="V2259" i="1"/>
  <c r="U2259" i="1"/>
  <c r="T2259" i="1"/>
  <c r="S2259" i="1"/>
  <c r="W2258" i="1"/>
  <c r="V2258" i="1"/>
  <c r="U2258" i="1"/>
  <c r="T2258" i="1"/>
  <c r="S2258" i="1"/>
  <c r="W2257" i="1"/>
  <c r="V2257" i="1"/>
  <c r="U2257" i="1"/>
  <c r="T2257" i="1"/>
  <c r="S2257" i="1"/>
  <c r="W2256" i="1"/>
  <c r="V2256" i="1"/>
  <c r="U2256" i="1"/>
  <c r="T2256" i="1"/>
  <c r="S2256" i="1"/>
  <c r="W2255" i="1"/>
  <c r="V2255" i="1"/>
  <c r="U2255" i="1"/>
  <c r="T2255" i="1"/>
  <c r="S2255" i="1"/>
  <c r="W2254" i="1"/>
  <c r="V2254" i="1"/>
  <c r="U2254" i="1"/>
  <c r="T2254" i="1"/>
  <c r="S2254" i="1"/>
  <c r="W2253" i="1"/>
  <c r="V2253" i="1"/>
  <c r="U2253" i="1"/>
  <c r="T2253" i="1"/>
  <c r="S2253" i="1"/>
  <c r="W2252" i="1"/>
  <c r="V2252" i="1"/>
  <c r="U2252" i="1"/>
  <c r="T2252" i="1"/>
  <c r="S2252" i="1"/>
  <c r="W2251" i="1"/>
  <c r="V2251" i="1"/>
  <c r="U2251" i="1"/>
  <c r="T2251" i="1"/>
  <c r="S2251" i="1"/>
  <c r="W2250" i="1"/>
  <c r="V2250" i="1"/>
  <c r="U2250" i="1"/>
  <c r="T2250" i="1"/>
  <c r="S2250" i="1"/>
  <c r="W2249" i="1"/>
  <c r="V2249" i="1"/>
  <c r="U2249" i="1"/>
  <c r="T2249" i="1"/>
  <c r="S2249" i="1"/>
  <c r="W2248" i="1"/>
  <c r="V2248" i="1"/>
  <c r="U2248" i="1"/>
  <c r="T2248" i="1"/>
  <c r="S2248" i="1"/>
  <c r="W2247" i="1"/>
  <c r="V2247" i="1"/>
  <c r="U2247" i="1"/>
  <c r="T2247" i="1"/>
  <c r="S2247" i="1"/>
  <c r="W2246" i="1"/>
  <c r="V2246" i="1"/>
  <c r="U2246" i="1"/>
  <c r="T2246" i="1"/>
  <c r="S2246" i="1"/>
  <c r="W2245" i="1"/>
  <c r="V2245" i="1"/>
  <c r="U2245" i="1"/>
  <c r="T2245" i="1"/>
  <c r="S2245" i="1"/>
  <c r="W2244" i="1"/>
  <c r="V2244" i="1"/>
  <c r="U2244" i="1"/>
  <c r="T2244" i="1"/>
  <c r="S2244" i="1"/>
  <c r="W2243" i="1"/>
  <c r="V2243" i="1"/>
  <c r="U2243" i="1"/>
  <c r="T2243" i="1"/>
  <c r="S2243" i="1"/>
  <c r="W2242" i="1"/>
  <c r="V2242" i="1"/>
  <c r="U2242" i="1"/>
  <c r="T2242" i="1"/>
  <c r="S2242" i="1"/>
  <c r="W2241" i="1"/>
  <c r="V2241" i="1"/>
  <c r="U2241" i="1"/>
  <c r="T2241" i="1"/>
  <c r="S2241" i="1"/>
  <c r="W2240" i="1"/>
  <c r="V2240" i="1"/>
  <c r="U2240" i="1"/>
  <c r="T2240" i="1"/>
  <c r="S2240" i="1"/>
  <c r="W2239" i="1"/>
  <c r="V2239" i="1"/>
  <c r="U2239" i="1"/>
  <c r="T2239" i="1"/>
  <c r="S2239" i="1"/>
  <c r="W2238" i="1"/>
  <c r="V2238" i="1"/>
  <c r="U2238" i="1"/>
  <c r="T2238" i="1"/>
  <c r="S2238" i="1"/>
  <c r="W2237" i="1"/>
  <c r="V2237" i="1"/>
  <c r="U2237" i="1"/>
  <c r="T2237" i="1"/>
  <c r="S2237" i="1"/>
  <c r="W2236" i="1"/>
  <c r="V2236" i="1"/>
  <c r="U2236" i="1"/>
  <c r="T2236" i="1"/>
  <c r="S2236" i="1"/>
  <c r="W2235" i="1"/>
  <c r="V2235" i="1"/>
  <c r="U2235" i="1"/>
  <c r="T2235" i="1"/>
  <c r="S2235" i="1"/>
  <c r="W2234" i="1"/>
  <c r="V2234" i="1"/>
  <c r="U2234" i="1"/>
  <c r="T2234" i="1"/>
  <c r="S2234" i="1"/>
  <c r="W2233" i="1"/>
  <c r="V2233" i="1"/>
  <c r="U2233" i="1"/>
  <c r="T2233" i="1"/>
  <c r="S2233" i="1"/>
  <c r="W2232" i="1"/>
  <c r="V2232" i="1"/>
  <c r="U2232" i="1"/>
  <c r="T2232" i="1"/>
  <c r="S2232" i="1"/>
  <c r="W2231" i="1"/>
  <c r="V2231" i="1"/>
  <c r="U2231" i="1"/>
  <c r="T2231" i="1"/>
  <c r="S2231" i="1"/>
  <c r="W2230" i="1"/>
  <c r="V2230" i="1"/>
  <c r="U2230" i="1"/>
  <c r="T2230" i="1"/>
  <c r="S2230" i="1"/>
  <c r="W2229" i="1"/>
  <c r="V2229" i="1"/>
  <c r="U2229" i="1"/>
  <c r="T2229" i="1"/>
  <c r="S2229" i="1"/>
  <c r="W2228" i="1"/>
  <c r="V2228" i="1"/>
  <c r="U2228" i="1"/>
  <c r="T2228" i="1"/>
  <c r="S2228" i="1"/>
  <c r="W2227" i="1"/>
  <c r="V2227" i="1"/>
  <c r="U2227" i="1"/>
  <c r="T2227" i="1"/>
  <c r="S2227" i="1"/>
  <c r="W2226" i="1"/>
  <c r="V2226" i="1"/>
  <c r="U2226" i="1"/>
  <c r="T2226" i="1"/>
  <c r="S2226" i="1"/>
  <c r="W2225" i="1"/>
  <c r="V2225" i="1"/>
  <c r="U2225" i="1"/>
  <c r="T2225" i="1"/>
  <c r="S2225" i="1"/>
  <c r="W2224" i="1"/>
  <c r="V2224" i="1"/>
  <c r="U2224" i="1"/>
  <c r="T2224" i="1"/>
  <c r="S2224" i="1"/>
  <c r="W2223" i="1"/>
  <c r="V2223" i="1"/>
  <c r="U2223" i="1"/>
  <c r="T2223" i="1"/>
  <c r="S2223" i="1"/>
  <c r="W2222" i="1"/>
  <c r="V2222" i="1"/>
  <c r="U2222" i="1"/>
  <c r="T2222" i="1"/>
  <c r="S2222" i="1"/>
  <c r="W2221" i="1"/>
  <c r="V2221" i="1"/>
  <c r="U2221" i="1"/>
  <c r="T2221" i="1"/>
  <c r="S2221" i="1"/>
  <c r="W2220" i="1"/>
  <c r="V2220" i="1"/>
  <c r="U2220" i="1"/>
  <c r="T2220" i="1"/>
  <c r="S2220" i="1"/>
  <c r="W2219" i="1"/>
  <c r="V2219" i="1"/>
  <c r="U2219" i="1"/>
  <c r="T2219" i="1"/>
  <c r="S2219" i="1"/>
  <c r="W2218" i="1"/>
  <c r="V2218" i="1"/>
  <c r="U2218" i="1"/>
  <c r="T2218" i="1"/>
  <c r="S2218" i="1"/>
  <c r="W2217" i="1"/>
  <c r="V2217" i="1"/>
  <c r="U2217" i="1"/>
  <c r="T2217" i="1"/>
  <c r="S2217" i="1"/>
  <c r="W2216" i="1"/>
  <c r="V2216" i="1"/>
  <c r="U2216" i="1"/>
  <c r="T2216" i="1"/>
  <c r="S2216" i="1"/>
  <c r="W2215" i="1"/>
  <c r="V2215" i="1"/>
  <c r="U2215" i="1"/>
  <c r="T2215" i="1"/>
  <c r="S2215" i="1"/>
  <c r="W2214" i="1"/>
  <c r="V2214" i="1"/>
  <c r="U2214" i="1"/>
  <c r="T2214" i="1"/>
  <c r="S2214" i="1"/>
  <c r="W2213" i="1"/>
  <c r="V2213" i="1"/>
  <c r="U2213" i="1"/>
  <c r="T2213" i="1"/>
  <c r="S2213" i="1"/>
  <c r="W2212" i="1"/>
  <c r="V2212" i="1"/>
  <c r="U2212" i="1"/>
  <c r="T2212" i="1"/>
  <c r="S2212" i="1"/>
  <c r="W2211" i="1"/>
  <c r="V2211" i="1"/>
  <c r="U2211" i="1"/>
  <c r="T2211" i="1"/>
  <c r="S2211" i="1"/>
  <c r="W2210" i="1"/>
  <c r="V2210" i="1"/>
  <c r="U2210" i="1"/>
  <c r="T2210" i="1"/>
  <c r="S2210" i="1"/>
  <c r="W2209" i="1"/>
  <c r="V2209" i="1"/>
  <c r="U2209" i="1"/>
  <c r="T2209" i="1"/>
  <c r="S2209" i="1"/>
  <c r="W2208" i="1"/>
  <c r="V2208" i="1"/>
  <c r="U2208" i="1"/>
  <c r="T2208" i="1"/>
  <c r="S2208" i="1"/>
  <c r="W2207" i="1"/>
  <c r="V2207" i="1"/>
  <c r="U2207" i="1"/>
  <c r="T2207" i="1"/>
  <c r="S2207" i="1"/>
  <c r="W2206" i="1"/>
  <c r="V2206" i="1"/>
  <c r="U2206" i="1"/>
  <c r="T2206" i="1"/>
  <c r="S2206" i="1"/>
  <c r="W2205" i="1"/>
  <c r="V2205" i="1"/>
  <c r="U2205" i="1"/>
  <c r="T2205" i="1"/>
  <c r="S2205" i="1"/>
  <c r="W2204" i="1"/>
  <c r="V2204" i="1"/>
  <c r="U2204" i="1"/>
  <c r="T2204" i="1"/>
  <c r="S2204" i="1"/>
  <c r="W2203" i="1"/>
  <c r="V2203" i="1"/>
  <c r="U2203" i="1"/>
  <c r="T2203" i="1"/>
  <c r="S2203" i="1"/>
  <c r="W2202" i="1"/>
  <c r="V2202" i="1"/>
  <c r="U2202" i="1"/>
  <c r="T2202" i="1"/>
  <c r="S2202" i="1"/>
  <c r="W2201" i="1"/>
  <c r="V2201" i="1"/>
  <c r="U2201" i="1"/>
  <c r="T2201" i="1"/>
  <c r="S2201" i="1"/>
  <c r="W2200" i="1"/>
  <c r="V2200" i="1"/>
  <c r="U2200" i="1"/>
  <c r="T2200" i="1"/>
  <c r="S2200" i="1"/>
  <c r="W2199" i="1"/>
  <c r="V2199" i="1"/>
  <c r="U2199" i="1"/>
  <c r="T2199" i="1"/>
  <c r="S2199" i="1"/>
  <c r="W2198" i="1"/>
  <c r="V2198" i="1"/>
  <c r="U2198" i="1"/>
  <c r="T2198" i="1"/>
  <c r="S2198" i="1"/>
  <c r="W2197" i="1"/>
  <c r="V2197" i="1"/>
  <c r="U2197" i="1"/>
  <c r="T2197" i="1"/>
  <c r="S2197" i="1"/>
  <c r="W2196" i="1"/>
  <c r="V2196" i="1"/>
  <c r="U2196" i="1"/>
  <c r="T2196" i="1"/>
  <c r="S2196" i="1"/>
  <c r="W2195" i="1"/>
  <c r="V2195" i="1"/>
  <c r="U2195" i="1"/>
  <c r="T2195" i="1"/>
  <c r="S2195" i="1"/>
  <c r="W2194" i="1"/>
  <c r="V2194" i="1"/>
  <c r="U2194" i="1"/>
  <c r="T2194" i="1"/>
  <c r="S2194" i="1"/>
  <c r="W2193" i="1"/>
  <c r="V2193" i="1"/>
  <c r="U2193" i="1"/>
  <c r="T2193" i="1"/>
  <c r="S2193" i="1"/>
  <c r="W2192" i="1"/>
  <c r="V2192" i="1"/>
  <c r="U2192" i="1"/>
  <c r="T2192" i="1"/>
  <c r="S2192" i="1"/>
  <c r="W2191" i="1"/>
  <c r="V2191" i="1"/>
  <c r="U2191" i="1"/>
  <c r="T2191" i="1"/>
  <c r="S2191" i="1"/>
  <c r="W2190" i="1"/>
  <c r="V2190" i="1"/>
  <c r="U2190" i="1"/>
  <c r="T2190" i="1"/>
  <c r="S2190" i="1"/>
  <c r="W2189" i="1"/>
  <c r="V2189" i="1"/>
  <c r="U2189" i="1"/>
  <c r="T2189" i="1"/>
  <c r="S2189" i="1"/>
  <c r="W2188" i="1"/>
  <c r="V2188" i="1"/>
  <c r="U2188" i="1"/>
  <c r="T2188" i="1"/>
  <c r="S2188" i="1"/>
  <c r="W2187" i="1"/>
  <c r="V2187" i="1"/>
  <c r="U2187" i="1"/>
  <c r="T2187" i="1"/>
  <c r="S2187" i="1"/>
  <c r="W2186" i="1"/>
  <c r="V2186" i="1"/>
  <c r="U2186" i="1"/>
  <c r="T2186" i="1"/>
  <c r="S2186" i="1"/>
  <c r="W2185" i="1"/>
  <c r="V2185" i="1"/>
  <c r="U2185" i="1"/>
  <c r="T2185" i="1"/>
  <c r="S2185" i="1"/>
  <c r="W2184" i="1"/>
  <c r="V2184" i="1"/>
  <c r="U2184" i="1"/>
  <c r="T2184" i="1"/>
  <c r="S2184" i="1"/>
  <c r="W2183" i="1"/>
  <c r="V2183" i="1"/>
  <c r="U2183" i="1"/>
  <c r="T2183" i="1"/>
  <c r="S2183" i="1"/>
  <c r="W2182" i="1"/>
  <c r="V2182" i="1"/>
  <c r="U2182" i="1"/>
  <c r="T2182" i="1"/>
  <c r="S2182" i="1"/>
  <c r="W2181" i="1"/>
  <c r="V2181" i="1"/>
  <c r="U2181" i="1"/>
  <c r="T2181" i="1"/>
  <c r="S2181" i="1"/>
  <c r="W2180" i="1"/>
  <c r="V2180" i="1"/>
  <c r="U2180" i="1"/>
  <c r="T2180" i="1"/>
  <c r="S2180" i="1"/>
  <c r="W2179" i="1"/>
  <c r="V2179" i="1"/>
  <c r="U2179" i="1"/>
  <c r="T2179" i="1"/>
  <c r="S2179" i="1"/>
  <c r="W2178" i="1"/>
  <c r="V2178" i="1"/>
  <c r="U2178" i="1"/>
  <c r="T2178" i="1"/>
  <c r="S2178" i="1"/>
  <c r="W2177" i="1"/>
  <c r="V2177" i="1"/>
  <c r="U2177" i="1"/>
  <c r="T2177" i="1"/>
  <c r="S2177" i="1"/>
  <c r="W2176" i="1"/>
  <c r="V2176" i="1"/>
  <c r="U2176" i="1"/>
  <c r="T2176" i="1"/>
  <c r="S2176" i="1"/>
  <c r="W2175" i="1"/>
  <c r="V2175" i="1"/>
  <c r="U2175" i="1"/>
  <c r="T2175" i="1"/>
  <c r="S2175" i="1"/>
  <c r="W2174" i="1"/>
  <c r="V2174" i="1"/>
  <c r="U2174" i="1"/>
  <c r="T2174" i="1"/>
  <c r="S2174" i="1"/>
  <c r="W2173" i="1"/>
  <c r="V2173" i="1"/>
  <c r="U2173" i="1"/>
  <c r="T2173" i="1"/>
  <c r="S2173" i="1"/>
  <c r="W2172" i="1"/>
  <c r="V2172" i="1"/>
  <c r="U2172" i="1"/>
  <c r="T2172" i="1"/>
  <c r="S2172" i="1"/>
  <c r="W2171" i="1"/>
  <c r="V2171" i="1"/>
  <c r="U2171" i="1"/>
  <c r="T2171" i="1"/>
  <c r="S2171" i="1"/>
  <c r="W2170" i="1"/>
  <c r="V2170" i="1"/>
  <c r="U2170" i="1"/>
  <c r="T2170" i="1"/>
  <c r="S2170" i="1"/>
  <c r="W2169" i="1"/>
  <c r="V2169" i="1"/>
  <c r="U2169" i="1"/>
  <c r="T2169" i="1"/>
  <c r="S2169" i="1"/>
  <c r="W2168" i="1"/>
  <c r="V2168" i="1"/>
  <c r="U2168" i="1"/>
  <c r="T2168" i="1"/>
  <c r="S2168" i="1"/>
  <c r="W2167" i="1"/>
  <c r="V2167" i="1"/>
  <c r="U2167" i="1"/>
  <c r="T2167" i="1"/>
  <c r="S2167" i="1"/>
  <c r="W2166" i="1"/>
  <c r="V2166" i="1"/>
  <c r="U2166" i="1"/>
  <c r="T2166" i="1"/>
  <c r="S2166" i="1"/>
  <c r="W2165" i="1"/>
  <c r="V2165" i="1"/>
  <c r="U2165" i="1"/>
  <c r="T2165" i="1"/>
  <c r="S2165" i="1"/>
  <c r="W2164" i="1"/>
  <c r="V2164" i="1"/>
  <c r="U2164" i="1"/>
  <c r="T2164" i="1"/>
  <c r="S2164" i="1"/>
  <c r="W2163" i="1"/>
  <c r="V2163" i="1"/>
  <c r="U2163" i="1"/>
  <c r="T2163" i="1"/>
  <c r="S2163" i="1"/>
  <c r="W2162" i="1"/>
  <c r="V2162" i="1"/>
  <c r="U2162" i="1"/>
  <c r="T2162" i="1"/>
  <c r="S2162" i="1"/>
  <c r="W2161" i="1"/>
  <c r="V2161" i="1"/>
  <c r="U2161" i="1"/>
  <c r="T2161" i="1"/>
  <c r="S2161" i="1"/>
  <c r="W2160" i="1"/>
  <c r="V2160" i="1"/>
  <c r="U2160" i="1"/>
  <c r="T2160" i="1"/>
  <c r="S2160" i="1"/>
  <c r="W2159" i="1"/>
  <c r="V2159" i="1"/>
  <c r="U2159" i="1"/>
  <c r="T2159" i="1"/>
  <c r="S2159" i="1"/>
  <c r="W2158" i="1"/>
  <c r="V2158" i="1"/>
  <c r="U2158" i="1"/>
  <c r="T2158" i="1"/>
  <c r="S2158" i="1"/>
  <c r="W2157" i="1"/>
  <c r="V2157" i="1"/>
  <c r="U2157" i="1"/>
  <c r="T2157" i="1"/>
  <c r="S2157" i="1"/>
  <c r="W2156" i="1"/>
  <c r="V2156" i="1"/>
  <c r="U2156" i="1"/>
  <c r="T2156" i="1"/>
  <c r="S2156" i="1"/>
  <c r="W2155" i="1"/>
  <c r="V2155" i="1"/>
  <c r="U2155" i="1"/>
  <c r="T2155" i="1"/>
  <c r="S2155" i="1"/>
  <c r="W2154" i="1"/>
  <c r="V2154" i="1"/>
  <c r="U2154" i="1"/>
  <c r="T2154" i="1"/>
  <c r="S2154" i="1"/>
  <c r="W2153" i="1"/>
  <c r="V2153" i="1"/>
  <c r="U2153" i="1"/>
  <c r="T2153" i="1"/>
  <c r="S2153" i="1"/>
  <c r="W2152" i="1"/>
  <c r="V2152" i="1"/>
  <c r="U2152" i="1"/>
  <c r="T2152" i="1"/>
  <c r="S2152" i="1"/>
  <c r="W2151" i="1"/>
  <c r="V2151" i="1"/>
  <c r="U2151" i="1"/>
  <c r="T2151" i="1"/>
  <c r="S2151" i="1"/>
  <c r="W2150" i="1"/>
  <c r="V2150" i="1"/>
  <c r="U2150" i="1"/>
  <c r="T2150" i="1"/>
  <c r="S2150" i="1"/>
  <c r="W2149" i="1"/>
  <c r="V2149" i="1"/>
  <c r="U2149" i="1"/>
  <c r="T2149" i="1"/>
  <c r="S2149" i="1"/>
  <c r="W2148" i="1"/>
  <c r="V2148" i="1"/>
  <c r="U2148" i="1"/>
  <c r="T2148" i="1"/>
  <c r="S2148" i="1"/>
  <c r="W2147" i="1"/>
  <c r="V2147" i="1"/>
  <c r="U2147" i="1"/>
  <c r="T2147" i="1"/>
  <c r="S2147" i="1"/>
  <c r="W2146" i="1"/>
  <c r="V2146" i="1"/>
  <c r="U2146" i="1"/>
  <c r="T2146" i="1"/>
  <c r="S2146" i="1"/>
  <c r="W2145" i="1"/>
  <c r="V2145" i="1"/>
  <c r="U2145" i="1"/>
  <c r="T2145" i="1"/>
  <c r="S2145" i="1"/>
  <c r="W2144" i="1"/>
  <c r="V2144" i="1"/>
  <c r="U2144" i="1"/>
  <c r="T2144" i="1"/>
  <c r="S2144" i="1"/>
  <c r="W2143" i="1"/>
  <c r="V2143" i="1"/>
  <c r="U2143" i="1"/>
  <c r="T2143" i="1"/>
  <c r="S2143" i="1"/>
  <c r="W2142" i="1"/>
  <c r="V2142" i="1"/>
  <c r="U2142" i="1"/>
  <c r="T2142" i="1"/>
  <c r="S2142" i="1"/>
  <c r="W2141" i="1"/>
  <c r="V2141" i="1"/>
  <c r="U2141" i="1"/>
  <c r="T2141" i="1"/>
  <c r="S2141" i="1"/>
  <c r="W2140" i="1"/>
  <c r="V2140" i="1"/>
  <c r="U2140" i="1"/>
  <c r="T2140" i="1"/>
  <c r="S2140" i="1"/>
  <c r="W2139" i="1"/>
  <c r="V2139" i="1"/>
  <c r="U2139" i="1"/>
  <c r="T2139" i="1"/>
  <c r="S2139" i="1"/>
  <c r="W2138" i="1"/>
  <c r="V2138" i="1"/>
  <c r="U2138" i="1"/>
  <c r="T2138" i="1"/>
  <c r="S2138" i="1"/>
  <c r="W2137" i="1"/>
  <c r="V2137" i="1"/>
  <c r="U2137" i="1"/>
  <c r="T2137" i="1"/>
  <c r="S2137" i="1"/>
  <c r="W2136" i="1"/>
  <c r="V2136" i="1"/>
  <c r="U2136" i="1"/>
  <c r="T2136" i="1"/>
  <c r="S2136" i="1"/>
  <c r="W2135" i="1"/>
  <c r="V2135" i="1"/>
  <c r="U2135" i="1"/>
  <c r="T2135" i="1"/>
  <c r="S2135" i="1"/>
  <c r="W2134" i="1"/>
  <c r="V2134" i="1"/>
  <c r="U2134" i="1"/>
  <c r="T2134" i="1"/>
  <c r="S2134" i="1"/>
  <c r="W2133" i="1"/>
  <c r="V2133" i="1"/>
  <c r="U2133" i="1"/>
  <c r="T2133" i="1"/>
  <c r="S2133" i="1"/>
  <c r="W2132" i="1"/>
  <c r="V2132" i="1"/>
  <c r="U2132" i="1"/>
  <c r="T2132" i="1"/>
  <c r="S2132" i="1"/>
  <c r="W2131" i="1"/>
  <c r="V2131" i="1"/>
  <c r="U2131" i="1"/>
  <c r="T2131" i="1"/>
  <c r="S2131" i="1"/>
  <c r="W2130" i="1"/>
  <c r="V2130" i="1"/>
  <c r="U2130" i="1"/>
  <c r="T2130" i="1"/>
  <c r="S2130" i="1"/>
  <c r="W2129" i="1"/>
  <c r="V2129" i="1"/>
  <c r="U2129" i="1"/>
  <c r="T2129" i="1"/>
  <c r="S2129" i="1"/>
  <c r="W2128" i="1"/>
  <c r="V2128" i="1"/>
  <c r="U2128" i="1"/>
  <c r="T2128" i="1"/>
  <c r="S2128" i="1"/>
  <c r="W2127" i="1"/>
  <c r="V2127" i="1"/>
  <c r="U2127" i="1"/>
  <c r="T2127" i="1"/>
  <c r="S2127" i="1"/>
  <c r="W2126" i="1"/>
  <c r="V2126" i="1"/>
  <c r="U2126" i="1"/>
  <c r="T2126" i="1"/>
  <c r="S2126" i="1"/>
  <c r="W2125" i="1"/>
  <c r="V2125" i="1"/>
  <c r="U2125" i="1"/>
  <c r="T2125" i="1"/>
  <c r="S2125" i="1"/>
  <c r="W2124" i="1"/>
  <c r="V2124" i="1"/>
  <c r="U2124" i="1"/>
  <c r="T2124" i="1"/>
  <c r="S2124" i="1"/>
  <c r="W2123" i="1"/>
  <c r="V2123" i="1"/>
  <c r="U2123" i="1"/>
  <c r="T2123" i="1"/>
  <c r="S2123" i="1"/>
  <c r="W2122" i="1"/>
  <c r="V2122" i="1"/>
  <c r="U2122" i="1"/>
  <c r="T2122" i="1"/>
  <c r="S2122" i="1"/>
  <c r="W2121" i="1"/>
  <c r="V2121" i="1"/>
  <c r="U2121" i="1"/>
  <c r="T2121" i="1"/>
  <c r="S2121" i="1"/>
  <c r="W2120" i="1"/>
  <c r="V2120" i="1"/>
  <c r="U2120" i="1"/>
  <c r="T2120" i="1"/>
  <c r="S2120" i="1"/>
  <c r="W2119" i="1"/>
  <c r="V2119" i="1"/>
  <c r="U2119" i="1"/>
  <c r="T2119" i="1"/>
  <c r="S2119" i="1"/>
  <c r="W2118" i="1"/>
  <c r="V2118" i="1"/>
  <c r="U2118" i="1"/>
  <c r="T2118" i="1"/>
  <c r="S2118" i="1"/>
  <c r="W2117" i="1"/>
  <c r="V2117" i="1"/>
  <c r="U2117" i="1"/>
  <c r="T2117" i="1"/>
  <c r="S2117" i="1"/>
  <c r="W2116" i="1"/>
  <c r="V2116" i="1"/>
  <c r="U2116" i="1"/>
  <c r="T2116" i="1"/>
  <c r="S2116" i="1"/>
  <c r="W2115" i="1"/>
  <c r="V2115" i="1"/>
  <c r="U2115" i="1"/>
  <c r="T2115" i="1"/>
  <c r="S2115" i="1"/>
  <c r="W2114" i="1"/>
  <c r="V2114" i="1"/>
  <c r="U2114" i="1"/>
  <c r="T2114" i="1"/>
  <c r="S2114" i="1"/>
  <c r="W2113" i="1"/>
  <c r="V2113" i="1"/>
  <c r="U2113" i="1"/>
  <c r="T2113" i="1"/>
  <c r="S2113" i="1"/>
  <c r="W2112" i="1"/>
  <c r="V2112" i="1"/>
  <c r="U2112" i="1"/>
  <c r="T2112" i="1"/>
  <c r="S2112" i="1"/>
  <c r="W2111" i="1"/>
  <c r="V2111" i="1"/>
  <c r="U2111" i="1"/>
  <c r="T2111" i="1"/>
  <c r="S2111" i="1"/>
  <c r="W2110" i="1"/>
  <c r="V2110" i="1"/>
  <c r="U2110" i="1"/>
  <c r="T2110" i="1"/>
  <c r="S2110" i="1"/>
  <c r="W2109" i="1"/>
  <c r="V2109" i="1"/>
  <c r="U2109" i="1"/>
  <c r="T2109" i="1"/>
  <c r="S2109" i="1"/>
  <c r="W2108" i="1"/>
  <c r="V2108" i="1"/>
  <c r="U2108" i="1"/>
  <c r="T2108" i="1"/>
  <c r="S2108" i="1"/>
  <c r="W2107" i="1"/>
  <c r="V2107" i="1"/>
  <c r="U2107" i="1"/>
  <c r="T2107" i="1"/>
  <c r="S2107" i="1"/>
  <c r="W2106" i="1"/>
  <c r="V2106" i="1"/>
  <c r="U2106" i="1"/>
  <c r="T2106" i="1"/>
  <c r="S2106" i="1"/>
  <c r="W2105" i="1"/>
  <c r="V2105" i="1"/>
  <c r="U2105" i="1"/>
  <c r="T2105" i="1"/>
  <c r="S2105" i="1"/>
  <c r="W2104" i="1"/>
  <c r="V2104" i="1"/>
  <c r="U2104" i="1"/>
  <c r="T2104" i="1"/>
  <c r="S2104" i="1"/>
  <c r="W2103" i="1"/>
  <c r="V2103" i="1"/>
  <c r="U2103" i="1"/>
  <c r="T2103" i="1"/>
  <c r="S2103" i="1"/>
  <c r="W2102" i="1"/>
  <c r="V2102" i="1"/>
  <c r="U2102" i="1"/>
  <c r="T2102" i="1"/>
  <c r="S2102" i="1"/>
  <c r="W2101" i="1"/>
  <c r="V2101" i="1"/>
  <c r="U2101" i="1"/>
  <c r="T2101" i="1"/>
  <c r="S2101" i="1"/>
  <c r="W2100" i="1"/>
  <c r="V2100" i="1"/>
  <c r="U2100" i="1"/>
  <c r="T2100" i="1"/>
  <c r="S2100" i="1"/>
  <c r="W2099" i="1"/>
  <c r="V2099" i="1"/>
  <c r="U2099" i="1"/>
  <c r="T2099" i="1"/>
  <c r="S2099" i="1"/>
  <c r="W2098" i="1"/>
  <c r="V2098" i="1"/>
  <c r="U2098" i="1"/>
  <c r="T2098" i="1"/>
  <c r="S2098" i="1"/>
  <c r="W2097" i="1"/>
  <c r="V2097" i="1"/>
  <c r="U2097" i="1"/>
  <c r="T2097" i="1"/>
  <c r="S2097" i="1"/>
  <c r="W2096" i="1"/>
  <c r="V2096" i="1"/>
  <c r="U2096" i="1"/>
  <c r="T2096" i="1"/>
  <c r="S2096" i="1"/>
  <c r="W2095" i="1"/>
  <c r="V2095" i="1"/>
  <c r="U2095" i="1"/>
  <c r="T2095" i="1"/>
  <c r="S2095" i="1"/>
  <c r="W2094" i="1"/>
  <c r="V2094" i="1"/>
  <c r="U2094" i="1"/>
  <c r="T2094" i="1"/>
  <c r="S2094" i="1"/>
  <c r="W2093" i="1"/>
  <c r="V2093" i="1"/>
  <c r="U2093" i="1"/>
  <c r="T2093" i="1"/>
  <c r="S2093" i="1"/>
  <c r="W2092" i="1"/>
  <c r="V2092" i="1"/>
  <c r="U2092" i="1"/>
  <c r="T2092" i="1"/>
  <c r="S2092" i="1"/>
  <c r="W2091" i="1"/>
  <c r="V2091" i="1"/>
  <c r="U2091" i="1"/>
  <c r="T2091" i="1"/>
  <c r="S2091" i="1"/>
  <c r="W2090" i="1"/>
  <c r="V2090" i="1"/>
  <c r="U2090" i="1"/>
  <c r="T2090" i="1"/>
  <c r="S2090" i="1"/>
  <c r="W2089" i="1"/>
  <c r="V2089" i="1"/>
  <c r="U2089" i="1"/>
  <c r="T2089" i="1"/>
  <c r="S2089" i="1"/>
  <c r="W2088" i="1"/>
  <c r="V2088" i="1"/>
  <c r="U2088" i="1"/>
  <c r="T2088" i="1"/>
  <c r="S2088" i="1"/>
  <c r="W2087" i="1"/>
  <c r="V2087" i="1"/>
  <c r="U2087" i="1"/>
  <c r="T2087" i="1"/>
  <c r="S2087" i="1"/>
  <c r="W2086" i="1"/>
  <c r="V2086" i="1"/>
  <c r="U2086" i="1"/>
  <c r="T2086" i="1"/>
  <c r="S2086" i="1"/>
  <c r="W2085" i="1"/>
  <c r="V2085" i="1"/>
  <c r="U2085" i="1"/>
  <c r="T2085" i="1"/>
  <c r="S2085" i="1"/>
  <c r="W2084" i="1"/>
  <c r="V2084" i="1"/>
  <c r="U2084" i="1"/>
  <c r="T2084" i="1"/>
  <c r="S2084" i="1"/>
  <c r="W2083" i="1"/>
  <c r="V2083" i="1"/>
  <c r="U2083" i="1"/>
  <c r="T2083" i="1"/>
  <c r="S2083" i="1"/>
  <c r="W2082" i="1"/>
  <c r="V2082" i="1"/>
  <c r="U2082" i="1"/>
  <c r="T2082" i="1"/>
  <c r="S2082" i="1"/>
  <c r="W2081" i="1"/>
  <c r="V2081" i="1"/>
  <c r="U2081" i="1"/>
  <c r="T2081" i="1"/>
  <c r="S2081" i="1"/>
  <c r="W2080" i="1"/>
  <c r="V2080" i="1"/>
  <c r="U2080" i="1"/>
  <c r="T2080" i="1"/>
  <c r="S2080" i="1"/>
  <c r="W2079" i="1"/>
  <c r="V2079" i="1"/>
  <c r="U2079" i="1"/>
  <c r="T2079" i="1"/>
  <c r="S2079" i="1"/>
  <c r="W2078" i="1"/>
  <c r="V2078" i="1"/>
  <c r="U2078" i="1"/>
  <c r="T2078" i="1"/>
  <c r="S2078" i="1"/>
  <c r="W2077" i="1"/>
  <c r="V2077" i="1"/>
  <c r="U2077" i="1"/>
  <c r="T2077" i="1"/>
  <c r="S2077" i="1"/>
  <c r="W2076" i="1"/>
  <c r="V2076" i="1"/>
  <c r="U2076" i="1"/>
  <c r="T2076" i="1"/>
  <c r="S2076" i="1"/>
  <c r="W2075" i="1"/>
  <c r="V2075" i="1"/>
  <c r="U2075" i="1"/>
  <c r="T2075" i="1"/>
  <c r="S2075" i="1"/>
  <c r="W2074" i="1"/>
  <c r="V2074" i="1"/>
  <c r="U2074" i="1"/>
  <c r="T2074" i="1"/>
  <c r="S2074" i="1"/>
  <c r="W2073" i="1"/>
  <c r="V2073" i="1"/>
  <c r="U2073" i="1"/>
  <c r="T2073" i="1"/>
  <c r="S2073" i="1"/>
  <c r="W2072" i="1"/>
  <c r="V2072" i="1"/>
  <c r="U2072" i="1"/>
  <c r="T2072" i="1"/>
  <c r="S2072" i="1"/>
  <c r="W2071" i="1"/>
  <c r="V2071" i="1"/>
  <c r="U2071" i="1"/>
  <c r="T2071" i="1"/>
  <c r="S2071" i="1"/>
  <c r="W2070" i="1"/>
  <c r="V2070" i="1"/>
  <c r="U2070" i="1"/>
  <c r="T2070" i="1"/>
  <c r="S2070" i="1"/>
  <c r="W2069" i="1"/>
  <c r="V2069" i="1"/>
  <c r="U2069" i="1"/>
  <c r="T2069" i="1"/>
  <c r="S2069" i="1"/>
  <c r="W2068" i="1"/>
  <c r="V2068" i="1"/>
  <c r="U2068" i="1"/>
  <c r="T2068" i="1"/>
  <c r="S2068" i="1"/>
  <c r="W2067" i="1"/>
  <c r="V2067" i="1"/>
  <c r="U2067" i="1"/>
  <c r="T2067" i="1"/>
  <c r="S2067" i="1"/>
  <c r="W2066" i="1"/>
  <c r="V2066" i="1"/>
  <c r="U2066" i="1"/>
  <c r="T2066" i="1"/>
  <c r="S2066" i="1"/>
  <c r="W2065" i="1"/>
  <c r="V2065" i="1"/>
  <c r="U2065" i="1"/>
  <c r="T2065" i="1"/>
  <c r="S2065" i="1"/>
  <c r="W2064" i="1"/>
  <c r="V2064" i="1"/>
  <c r="U2064" i="1"/>
  <c r="T2064" i="1"/>
  <c r="S2064" i="1"/>
  <c r="W2063" i="1"/>
  <c r="V2063" i="1"/>
  <c r="U2063" i="1"/>
  <c r="T2063" i="1"/>
  <c r="S2063" i="1"/>
  <c r="W2062" i="1"/>
  <c r="V2062" i="1"/>
  <c r="U2062" i="1"/>
  <c r="T2062" i="1"/>
  <c r="S2062" i="1"/>
  <c r="W2061" i="1"/>
  <c r="V2061" i="1"/>
  <c r="U2061" i="1"/>
  <c r="T2061" i="1"/>
  <c r="S2061" i="1"/>
  <c r="W2060" i="1"/>
  <c r="V2060" i="1"/>
  <c r="U2060" i="1"/>
  <c r="T2060" i="1"/>
  <c r="S2060" i="1"/>
  <c r="W2059" i="1"/>
  <c r="V2059" i="1"/>
  <c r="U2059" i="1"/>
  <c r="T2059" i="1"/>
  <c r="S2059" i="1"/>
  <c r="W2058" i="1"/>
  <c r="V2058" i="1"/>
  <c r="U2058" i="1"/>
  <c r="T2058" i="1"/>
  <c r="S2058" i="1"/>
  <c r="W2057" i="1"/>
  <c r="V2057" i="1"/>
  <c r="U2057" i="1"/>
  <c r="T2057" i="1"/>
  <c r="S2057" i="1"/>
  <c r="W2056" i="1"/>
  <c r="V2056" i="1"/>
  <c r="U2056" i="1"/>
  <c r="T2056" i="1"/>
  <c r="S2056" i="1"/>
  <c r="W2055" i="1"/>
  <c r="V2055" i="1"/>
  <c r="U2055" i="1"/>
  <c r="T2055" i="1"/>
  <c r="S2055" i="1"/>
  <c r="W2054" i="1"/>
  <c r="V2054" i="1"/>
  <c r="U2054" i="1"/>
  <c r="T2054" i="1"/>
  <c r="S2054" i="1"/>
  <c r="W2053" i="1"/>
  <c r="V2053" i="1"/>
  <c r="U2053" i="1"/>
  <c r="T2053" i="1"/>
  <c r="S2053" i="1"/>
  <c r="W2052" i="1"/>
  <c r="V2052" i="1"/>
  <c r="U2052" i="1"/>
  <c r="T2052" i="1"/>
  <c r="S2052" i="1"/>
  <c r="W2051" i="1"/>
  <c r="V2051" i="1"/>
  <c r="U2051" i="1"/>
  <c r="T2051" i="1"/>
  <c r="S2051" i="1"/>
  <c r="W2050" i="1"/>
  <c r="V2050" i="1"/>
  <c r="U2050" i="1"/>
  <c r="T2050" i="1"/>
  <c r="S2050" i="1"/>
  <c r="W2049" i="1"/>
  <c r="V2049" i="1"/>
  <c r="U2049" i="1"/>
  <c r="T2049" i="1"/>
  <c r="S2049" i="1"/>
  <c r="W2048" i="1"/>
  <c r="V2048" i="1"/>
  <c r="U2048" i="1"/>
  <c r="T2048" i="1"/>
  <c r="S2048" i="1"/>
  <c r="W2047" i="1"/>
  <c r="V2047" i="1"/>
  <c r="U2047" i="1"/>
  <c r="T2047" i="1"/>
  <c r="S2047" i="1"/>
  <c r="W2046" i="1"/>
  <c r="V2046" i="1"/>
  <c r="U2046" i="1"/>
  <c r="T2046" i="1"/>
  <c r="S2046" i="1"/>
  <c r="W2045" i="1"/>
  <c r="V2045" i="1"/>
  <c r="U2045" i="1"/>
  <c r="T2045" i="1"/>
  <c r="S2045" i="1"/>
  <c r="W2044" i="1"/>
  <c r="V2044" i="1"/>
  <c r="U2044" i="1"/>
  <c r="T2044" i="1"/>
  <c r="S2044" i="1"/>
  <c r="W2043" i="1"/>
  <c r="V2043" i="1"/>
  <c r="U2043" i="1"/>
  <c r="T2043" i="1"/>
  <c r="S2043" i="1"/>
  <c r="W2042" i="1"/>
  <c r="V2042" i="1"/>
  <c r="U2042" i="1"/>
  <c r="T2042" i="1"/>
  <c r="S2042" i="1"/>
  <c r="W2041" i="1"/>
  <c r="V2041" i="1"/>
  <c r="U2041" i="1"/>
  <c r="T2041" i="1"/>
  <c r="S2041" i="1"/>
  <c r="W2040" i="1"/>
  <c r="V2040" i="1"/>
  <c r="U2040" i="1"/>
  <c r="T2040" i="1"/>
  <c r="S2040" i="1"/>
  <c r="W2039" i="1"/>
  <c r="V2039" i="1"/>
  <c r="U2039" i="1"/>
  <c r="T2039" i="1"/>
  <c r="S2039" i="1"/>
  <c r="W2038" i="1"/>
  <c r="V2038" i="1"/>
  <c r="U2038" i="1"/>
  <c r="T2038" i="1"/>
  <c r="S2038" i="1"/>
  <c r="W2037" i="1"/>
  <c r="V2037" i="1"/>
  <c r="U2037" i="1"/>
  <c r="T2037" i="1"/>
  <c r="S2037" i="1"/>
  <c r="W2036" i="1"/>
  <c r="V2036" i="1"/>
  <c r="U2036" i="1"/>
  <c r="T2036" i="1"/>
  <c r="S2036" i="1"/>
  <c r="W2035" i="1"/>
  <c r="V2035" i="1"/>
  <c r="U2035" i="1"/>
  <c r="T2035" i="1"/>
  <c r="S2035" i="1"/>
  <c r="W2034" i="1"/>
  <c r="V2034" i="1"/>
  <c r="U2034" i="1"/>
  <c r="T2034" i="1"/>
  <c r="S2034" i="1"/>
  <c r="W2033" i="1"/>
  <c r="V2033" i="1"/>
  <c r="U2033" i="1"/>
  <c r="T2033" i="1"/>
  <c r="S2033" i="1"/>
  <c r="W2032" i="1"/>
  <c r="V2032" i="1"/>
  <c r="U2032" i="1"/>
  <c r="T2032" i="1"/>
  <c r="S2032" i="1"/>
  <c r="W2031" i="1"/>
  <c r="V2031" i="1"/>
  <c r="U2031" i="1"/>
  <c r="T2031" i="1"/>
  <c r="S2031" i="1"/>
  <c r="W2030" i="1"/>
  <c r="V2030" i="1"/>
  <c r="U2030" i="1"/>
  <c r="T2030" i="1"/>
  <c r="S2030" i="1"/>
  <c r="W2029" i="1"/>
  <c r="V2029" i="1"/>
  <c r="U2029" i="1"/>
  <c r="T2029" i="1"/>
  <c r="S2029" i="1"/>
  <c r="W2028" i="1"/>
  <c r="V2028" i="1"/>
  <c r="U2028" i="1"/>
  <c r="T2028" i="1"/>
  <c r="S2028" i="1"/>
  <c r="W2027" i="1"/>
  <c r="V2027" i="1"/>
  <c r="U2027" i="1"/>
  <c r="T2027" i="1"/>
  <c r="S2027" i="1"/>
  <c r="W2026" i="1"/>
  <c r="V2026" i="1"/>
  <c r="U2026" i="1"/>
  <c r="T2026" i="1"/>
  <c r="S2026" i="1"/>
  <c r="W2025" i="1"/>
  <c r="V2025" i="1"/>
  <c r="U2025" i="1"/>
  <c r="T2025" i="1"/>
  <c r="S2025" i="1"/>
  <c r="W2024" i="1"/>
  <c r="V2024" i="1"/>
  <c r="U2024" i="1"/>
  <c r="T2024" i="1"/>
  <c r="S2024" i="1"/>
  <c r="W2023" i="1"/>
  <c r="V2023" i="1"/>
  <c r="U2023" i="1"/>
  <c r="T2023" i="1"/>
  <c r="S2023" i="1"/>
  <c r="W2022" i="1"/>
  <c r="V2022" i="1"/>
  <c r="U2022" i="1"/>
  <c r="T2022" i="1"/>
  <c r="S2022" i="1"/>
  <c r="W2021" i="1"/>
  <c r="V2021" i="1"/>
  <c r="U2021" i="1"/>
  <c r="T2021" i="1"/>
  <c r="S2021" i="1"/>
  <c r="W2020" i="1"/>
  <c r="V2020" i="1"/>
  <c r="U2020" i="1"/>
  <c r="T2020" i="1"/>
  <c r="S2020" i="1"/>
  <c r="W2019" i="1"/>
  <c r="V2019" i="1"/>
  <c r="U2019" i="1"/>
  <c r="T2019" i="1"/>
  <c r="S2019" i="1"/>
  <c r="W2018" i="1"/>
  <c r="V2018" i="1"/>
  <c r="U2018" i="1"/>
  <c r="T2018" i="1"/>
  <c r="S2018" i="1"/>
  <c r="W2017" i="1"/>
  <c r="V2017" i="1"/>
  <c r="U2017" i="1"/>
  <c r="T2017" i="1"/>
  <c r="S2017" i="1"/>
  <c r="W2016" i="1"/>
  <c r="V2016" i="1"/>
  <c r="U2016" i="1"/>
  <c r="T2016" i="1"/>
  <c r="S2016" i="1"/>
  <c r="W2015" i="1"/>
  <c r="V2015" i="1"/>
  <c r="U2015" i="1"/>
  <c r="T2015" i="1"/>
  <c r="S2015" i="1"/>
  <c r="W2014" i="1"/>
  <c r="V2014" i="1"/>
  <c r="U2014" i="1"/>
  <c r="T2014" i="1"/>
  <c r="S2014" i="1"/>
  <c r="W2013" i="1"/>
  <c r="V2013" i="1"/>
  <c r="U2013" i="1"/>
  <c r="T2013" i="1"/>
  <c r="S2013" i="1"/>
  <c r="W2012" i="1"/>
  <c r="V2012" i="1"/>
  <c r="U2012" i="1"/>
  <c r="T2012" i="1"/>
  <c r="S2012" i="1"/>
  <c r="W2011" i="1"/>
  <c r="V2011" i="1"/>
  <c r="U2011" i="1"/>
  <c r="T2011" i="1"/>
  <c r="S2011" i="1"/>
  <c r="W2010" i="1"/>
  <c r="V2010" i="1"/>
  <c r="U2010" i="1"/>
  <c r="T2010" i="1"/>
  <c r="S2010" i="1"/>
  <c r="W2009" i="1"/>
  <c r="V2009" i="1"/>
  <c r="U2009" i="1"/>
  <c r="T2009" i="1"/>
  <c r="S2009" i="1"/>
  <c r="W2008" i="1"/>
  <c r="V2008" i="1"/>
  <c r="U2008" i="1"/>
  <c r="T2008" i="1"/>
  <c r="S2008" i="1"/>
  <c r="W2007" i="1"/>
  <c r="V2007" i="1"/>
  <c r="U2007" i="1"/>
  <c r="T2007" i="1"/>
  <c r="S2007" i="1"/>
  <c r="W2006" i="1"/>
  <c r="V2006" i="1"/>
  <c r="U2006" i="1"/>
  <c r="T2006" i="1"/>
  <c r="S2006" i="1"/>
  <c r="W2005" i="1"/>
  <c r="V2005" i="1"/>
  <c r="U2005" i="1"/>
  <c r="T2005" i="1"/>
  <c r="S2005" i="1"/>
  <c r="W2004" i="1"/>
  <c r="V2004" i="1"/>
  <c r="U2004" i="1"/>
  <c r="T2004" i="1"/>
  <c r="S2004" i="1"/>
  <c r="W2003" i="1"/>
  <c r="V2003" i="1"/>
  <c r="U2003" i="1"/>
  <c r="T2003" i="1"/>
  <c r="S2003" i="1"/>
  <c r="W2002" i="1"/>
  <c r="V2002" i="1"/>
  <c r="U2002" i="1"/>
  <c r="T2002" i="1"/>
  <c r="S2002" i="1"/>
  <c r="W2001" i="1"/>
  <c r="V2001" i="1"/>
  <c r="U2001" i="1"/>
  <c r="T2001" i="1"/>
  <c r="S2001" i="1"/>
  <c r="W2000" i="1"/>
  <c r="V2000" i="1"/>
  <c r="U2000" i="1"/>
  <c r="T2000" i="1"/>
  <c r="S2000" i="1"/>
  <c r="W1999" i="1"/>
  <c r="V1999" i="1"/>
  <c r="U1999" i="1"/>
  <c r="T1999" i="1"/>
  <c r="S1999" i="1"/>
  <c r="W1998" i="1"/>
  <c r="V1998" i="1"/>
  <c r="U1998" i="1"/>
  <c r="T1998" i="1"/>
  <c r="S1998" i="1"/>
  <c r="W1997" i="1"/>
  <c r="V1997" i="1"/>
  <c r="U1997" i="1"/>
  <c r="T1997" i="1"/>
  <c r="S1997" i="1"/>
  <c r="W1996" i="1"/>
  <c r="V1996" i="1"/>
  <c r="U1996" i="1"/>
  <c r="T1996" i="1"/>
  <c r="S1996" i="1"/>
  <c r="W1995" i="1"/>
  <c r="V1995" i="1"/>
  <c r="U1995" i="1"/>
  <c r="T1995" i="1"/>
  <c r="S1995" i="1"/>
  <c r="W1994" i="1"/>
  <c r="V1994" i="1"/>
  <c r="U1994" i="1"/>
  <c r="T1994" i="1"/>
  <c r="S1994" i="1"/>
  <c r="W1993" i="1"/>
  <c r="V1993" i="1"/>
  <c r="U1993" i="1"/>
  <c r="T1993" i="1"/>
  <c r="S1993" i="1"/>
  <c r="W1992" i="1"/>
  <c r="V1992" i="1"/>
  <c r="U1992" i="1"/>
  <c r="T1992" i="1"/>
  <c r="S1992" i="1"/>
  <c r="W1991" i="1"/>
  <c r="V1991" i="1"/>
  <c r="U1991" i="1"/>
  <c r="T1991" i="1"/>
  <c r="S1991" i="1"/>
  <c r="W1990" i="1"/>
  <c r="V1990" i="1"/>
  <c r="U1990" i="1"/>
  <c r="T1990" i="1"/>
  <c r="S1990" i="1"/>
  <c r="W1989" i="1"/>
  <c r="V1989" i="1"/>
  <c r="U1989" i="1"/>
  <c r="T1989" i="1"/>
  <c r="S1989" i="1"/>
  <c r="W1988" i="1"/>
  <c r="V1988" i="1"/>
  <c r="U1988" i="1"/>
  <c r="T1988" i="1"/>
  <c r="S1988" i="1"/>
  <c r="W1987" i="1"/>
  <c r="V1987" i="1"/>
  <c r="U1987" i="1"/>
  <c r="T1987" i="1"/>
  <c r="S1987" i="1"/>
  <c r="W1986" i="1"/>
  <c r="V1986" i="1"/>
  <c r="U1986" i="1"/>
  <c r="T1986" i="1"/>
  <c r="S1986" i="1"/>
  <c r="W1985" i="1"/>
  <c r="V1985" i="1"/>
  <c r="U1985" i="1"/>
  <c r="T1985" i="1"/>
  <c r="S1985" i="1"/>
  <c r="W1984" i="1"/>
  <c r="V1984" i="1"/>
  <c r="U1984" i="1"/>
  <c r="T1984" i="1"/>
  <c r="S1984" i="1"/>
  <c r="W1983" i="1"/>
  <c r="V1983" i="1"/>
  <c r="U1983" i="1"/>
  <c r="T1983" i="1"/>
  <c r="S1983" i="1"/>
  <c r="W1982" i="1"/>
  <c r="V1982" i="1"/>
  <c r="U1982" i="1"/>
  <c r="T1982" i="1"/>
  <c r="S1982" i="1"/>
  <c r="W1981" i="1"/>
  <c r="V1981" i="1"/>
  <c r="U1981" i="1"/>
  <c r="T1981" i="1"/>
  <c r="S1981" i="1"/>
  <c r="W1980" i="1"/>
  <c r="V1980" i="1"/>
  <c r="U1980" i="1"/>
  <c r="T1980" i="1"/>
  <c r="S1980" i="1"/>
  <c r="W1979" i="1"/>
  <c r="V1979" i="1"/>
  <c r="U1979" i="1"/>
  <c r="T1979" i="1"/>
  <c r="S1979" i="1"/>
  <c r="W1978" i="1"/>
  <c r="V1978" i="1"/>
  <c r="U1978" i="1"/>
  <c r="T1978" i="1"/>
  <c r="S1978" i="1"/>
  <c r="W1977" i="1"/>
  <c r="V1977" i="1"/>
  <c r="U1977" i="1"/>
  <c r="T1977" i="1"/>
  <c r="S1977" i="1"/>
  <c r="W1976" i="1"/>
  <c r="V1976" i="1"/>
  <c r="U1976" i="1"/>
  <c r="T1976" i="1"/>
  <c r="S1976" i="1"/>
  <c r="W1975" i="1"/>
  <c r="V1975" i="1"/>
  <c r="U1975" i="1"/>
  <c r="T1975" i="1"/>
  <c r="S1975" i="1"/>
  <c r="W1974" i="1"/>
  <c r="V1974" i="1"/>
  <c r="U1974" i="1"/>
  <c r="T1974" i="1"/>
  <c r="S1974" i="1"/>
  <c r="W1973" i="1"/>
  <c r="V1973" i="1"/>
  <c r="U1973" i="1"/>
  <c r="T1973" i="1"/>
  <c r="S1973" i="1"/>
  <c r="W1972" i="1"/>
  <c r="V1972" i="1"/>
  <c r="U1972" i="1"/>
  <c r="T1972" i="1"/>
  <c r="S1972" i="1"/>
  <c r="W1971" i="1"/>
  <c r="V1971" i="1"/>
  <c r="U1971" i="1"/>
  <c r="T1971" i="1"/>
  <c r="S1971" i="1"/>
  <c r="W1970" i="1"/>
  <c r="V1970" i="1"/>
  <c r="U1970" i="1"/>
  <c r="T1970" i="1"/>
  <c r="S1970" i="1"/>
  <c r="W1969" i="1"/>
  <c r="V1969" i="1"/>
  <c r="U1969" i="1"/>
  <c r="T1969" i="1"/>
  <c r="S1969" i="1"/>
  <c r="W1968" i="1"/>
  <c r="V1968" i="1"/>
  <c r="U1968" i="1"/>
  <c r="T1968" i="1"/>
  <c r="S1968" i="1"/>
  <c r="W1967" i="1"/>
  <c r="V1967" i="1"/>
  <c r="U1967" i="1"/>
  <c r="T1967" i="1"/>
  <c r="S1967" i="1"/>
  <c r="W1966" i="1"/>
  <c r="V1966" i="1"/>
  <c r="U1966" i="1"/>
  <c r="T1966" i="1"/>
  <c r="S1966" i="1"/>
  <c r="W1965" i="1"/>
  <c r="V1965" i="1"/>
  <c r="U1965" i="1"/>
  <c r="T1965" i="1"/>
  <c r="S1965" i="1"/>
  <c r="W1964" i="1"/>
  <c r="V1964" i="1"/>
  <c r="U1964" i="1"/>
  <c r="T1964" i="1"/>
  <c r="S1964" i="1"/>
  <c r="W1963" i="1"/>
  <c r="V1963" i="1"/>
  <c r="U1963" i="1"/>
  <c r="T1963" i="1"/>
  <c r="S1963" i="1"/>
  <c r="W1962" i="1"/>
  <c r="V1962" i="1"/>
  <c r="U1962" i="1"/>
  <c r="T1962" i="1"/>
  <c r="S1962" i="1"/>
  <c r="W1961" i="1"/>
  <c r="V1961" i="1"/>
  <c r="U1961" i="1"/>
  <c r="T1961" i="1"/>
  <c r="S1961" i="1"/>
  <c r="W1960" i="1"/>
  <c r="V1960" i="1"/>
  <c r="U1960" i="1"/>
  <c r="T1960" i="1"/>
  <c r="S1960" i="1"/>
  <c r="W1959" i="1"/>
  <c r="V1959" i="1"/>
  <c r="U1959" i="1"/>
  <c r="T1959" i="1"/>
  <c r="S1959" i="1"/>
  <c r="W1958" i="1"/>
  <c r="V1958" i="1"/>
  <c r="U1958" i="1"/>
  <c r="T1958" i="1"/>
  <c r="S1958" i="1"/>
  <c r="W1957" i="1"/>
  <c r="V1957" i="1"/>
  <c r="U1957" i="1"/>
  <c r="T1957" i="1"/>
  <c r="S1957" i="1"/>
  <c r="W1956" i="1"/>
  <c r="V1956" i="1"/>
  <c r="U1956" i="1"/>
  <c r="T1956" i="1"/>
  <c r="S1956" i="1"/>
  <c r="W1955" i="1"/>
  <c r="V1955" i="1"/>
  <c r="U1955" i="1"/>
  <c r="T1955" i="1"/>
  <c r="S1955" i="1"/>
  <c r="W1954" i="1"/>
  <c r="V1954" i="1"/>
  <c r="U1954" i="1"/>
  <c r="T1954" i="1"/>
  <c r="S1954" i="1"/>
  <c r="W1953" i="1"/>
  <c r="V1953" i="1"/>
  <c r="U1953" i="1"/>
  <c r="T1953" i="1"/>
  <c r="S1953" i="1"/>
  <c r="W1952" i="1"/>
  <c r="V1952" i="1"/>
  <c r="U1952" i="1"/>
  <c r="T1952" i="1"/>
  <c r="S1952" i="1"/>
  <c r="W1951" i="1"/>
  <c r="V1951" i="1"/>
  <c r="U1951" i="1"/>
  <c r="T1951" i="1"/>
  <c r="S1951" i="1"/>
  <c r="W1950" i="1"/>
  <c r="V1950" i="1"/>
  <c r="U1950" i="1"/>
  <c r="T1950" i="1"/>
  <c r="S1950" i="1"/>
  <c r="W1949" i="1"/>
  <c r="V1949" i="1"/>
  <c r="U1949" i="1"/>
  <c r="T1949" i="1"/>
  <c r="S1949" i="1"/>
  <c r="W1948" i="1"/>
  <c r="V1948" i="1"/>
  <c r="U1948" i="1"/>
  <c r="T1948" i="1"/>
  <c r="S1948" i="1"/>
  <c r="W1947" i="1"/>
  <c r="V1947" i="1"/>
  <c r="U1947" i="1"/>
  <c r="T1947" i="1"/>
  <c r="S1947" i="1"/>
  <c r="W1946" i="1"/>
  <c r="V1946" i="1"/>
  <c r="U1946" i="1"/>
  <c r="T1946" i="1"/>
  <c r="S1946" i="1"/>
  <c r="W1945" i="1"/>
  <c r="V1945" i="1"/>
  <c r="U1945" i="1"/>
  <c r="T1945" i="1"/>
  <c r="S1945" i="1"/>
  <c r="W1944" i="1"/>
  <c r="V1944" i="1"/>
  <c r="U1944" i="1"/>
  <c r="T1944" i="1"/>
  <c r="S1944" i="1"/>
  <c r="W1943" i="1"/>
  <c r="V1943" i="1"/>
  <c r="U1943" i="1"/>
  <c r="T1943" i="1"/>
  <c r="S1943" i="1"/>
  <c r="W1942" i="1"/>
  <c r="V1942" i="1"/>
  <c r="U1942" i="1"/>
  <c r="T1942" i="1"/>
  <c r="S1942" i="1"/>
  <c r="W1941" i="1"/>
  <c r="V1941" i="1"/>
  <c r="U1941" i="1"/>
  <c r="T1941" i="1"/>
  <c r="S1941" i="1"/>
  <c r="W1940" i="1"/>
  <c r="V1940" i="1"/>
  <c r="U1940" i="1"/>
  <c r="T1940" i="1"/>
  <c r="S1940" i="1"/>
  <c r="W1939" i="1"/>
  <c r="V1939" i="1"/>
  <c r="U1939" i="1"/>
  <c r="T1939" i="1"/>
  <c r="S1939" i="1"/>
  <c r="W1938" i="1"/>
  <c r="V1938" i="1"/>
  <c r="U1938" i="1"/>
  <c r="T1938" i="1"/>
  <c r="S1938" i="1"/>
  <c r="W1937" i="1"/>
  <c r="V1937" i="1"/>
  <c r="U1937" i="1"/>
  <c r="T1937" i="1"/>
  <c r="S1937" i="1"/>
  <c r="W1936" i="1"/>
  <c r="V1936" i="1"/>
  <c r="U1936" i="1"/>
  <c r="T1936" i="1"/>
  <c r="S1936" i="1"/>
  <c r="W1935" i="1"/>
  <c r="V1935" i="1"/>
  <c r="U1935" i="1"/>
  <c r="T1935" i="1"/>
  <c r="S1935" i="1"/>
  <c r="W1934" i="1"/>
  <c r="V1934" i="1"/>
  <c r="U1934" i="1"/>
  <c r="T1934" i="1"/>
  <c r="S1934" i="1"/>
  <c r="W1933" i="1"/>
  <c r="V1933" i="1"/>
  <c r="U1933" i="1"/>
  <c r="T1933" i="1"/>
  <c r="S1933" i="1"/>
  <c r="W1932" i="1"/>
  <c r="V1932" i="1"/>
  <c r="U1932" i="1"/>
  <c r="T1932" i="1"/>
  <c r="S1932" i="1"/>
  <c r="W1931" i="1"/>
  <c r="V1931" i="1"/>
  <c r="U1931" i="1"/>
  <c r="T1931" i="1"/>
  <c r="S1931" i="1"/>
  <c r="W1930" i="1"/>
  <c r="V1930" i="1"/>
  <c r="U1930" i="1"/>
  <c r="T1930" i="1"/>
  <c r="S1930" i="1"/>
  <c r="W1929" i="1"/>
  <c r="V1929" i="1"/>
  <c r="U1929" i="1"/>
  <c r="T1929" i="1"/>
  <c r="S1929" i="1"/>
  <c r="W1928" i="1"/>
  <c r="V1928" i="1"/>
  <c r="U1928" i="1"/>
  <c r="T1928" i="1"/>
  <c r="S1928" i="1"/>
  <c r="W1927" i="1"/>
  <c r="V1927" i="1"/>
  <c r="U1927" i="1"/>
  <c r="T1927" i="1"/>
  <c r="S1927" i="1"/>
  <c r="W1926" i="1"/>
  <c r="V1926" i="1"/>
  <c r="U1926" i="1"/>
  <c r="T1926" i="1"/>
  <c r="S1926" i="1"/>
  <c r="W1925" i="1"/>
  <c r="V1925" i="1"/>
  <c r="U1925" i="1"/>
  <c r="T1925" i="1"/>
  <c r="S1925" i="1"/>
  <c r="W1924" i="1"/>
  <c r="V1924" i="1"/>
  <c r="U1924" i="1"/>
  <c r="T1924" i="1"/>
  <c r="S1924" i="1"/>
  <c r="W1923" i="1"/>
  <c r="V1923" i="1"/>
  <c r="U1923" i="1"/>
  <c r="T1923" i="1"/>
  <c r="S1923" i="1"/>
  <c r="W1922" i="1"/>
  <c r="V1922" i="1"/>
  <c r="U1922" i="1"/>
  <c r="T1922" i="1"/>
  <c r="S1922" i="1"/>
  <c r="W1921" i="1"/>
  <c r="V1921" i="1"/>
  <c r="U1921" i="1"/>
  <c r="T1921" i="1"/>
  <c r="S1921" i="1"/>
  <c r="W1920" i="1"/>
  <c r="V1920" i="1"/>
  <c r="U1920" i="1"/>
  <c r="T1920" i="1"/>
  <c r="S1920" i="1"/>
  <c r="W1919" i="1"/>
  <c r="V1919" i="1"/>
  <c r="U1919" i="1"/>
  <c r="T1919" i="1"/>
  <c r="S1919" i="1"/>
  <c r="W1918" i="1"/>
  <c r="V1918" i="1"/>
  <c r="U1918" i="1"/>
  <c r="T1918" i="1"/>
  <c r="S1918" i="1"/>
  <c r="W1917" i="1"/>
  <c r="V1917" i="1"/>
  <c r="U1917" i="1"/>
  <c r="T1917" i="1"/>
  <c r="S1917" i="1"/>
  <c r="W1916" i="1"/>
  <c r="V1916" i="1"/>
  <c r="U1916" i="1"/>
  <c r="T1916" i="1"/>
  <c r="S1916" i="1"/>
  <c r="W1915" i="1"/>
  <c r="V1915" i="1"/>
  <c r="U1915" i="1"/>
  <c r="T1915" i="1"/>
  <c r="S1915" i="1"/>
  <c r="W1914" i="1"/>
  <c r="V1914" i="1"/>
  <c r="U1914" i="1"/>
  <c r="T1914" i="1"/>
  <c r="S1914" i="1"/>
  <c r="W1913" i="1"/>
  <c r="V1913" i="1"/>
  <c r="U1913" i="1"/>
  <c r="T1913" i="1"/>
  <c r="S1913" i="1"/>
  <c r="W1912" i="1"/>
  <c r="V1912" i="1"/>
  <c r="U1912" i="1"/>
  <c r="T1912" i="1"/>
  <c r="S1912" i="1"/>
  <c r="W1911" i="1"/>
  <c r="V1911" i="1"/>
  <c r="U1911" i="1"/>
  <c r="T1911" i="1"/>
  <c r="S1911" i="1"/>
  <c r="W1910" i="1"/>
  <c r="V1910" i="1"/>
  <c r="U1910" i="1"/>
  <c r="T1910" i="1"/>
  <c r="S1910" i="1"/>
  <c r="W1909" i="1"/>
  <c r="V1909" i="1"/>
  <c r="U1909" i="1"/>
  <c r="T1909" i="1"/>
  <c r="S1909" i="1"/>
  <c r="W1908" i="1"/>
  <c r="V1908" i="1"/>
  <c r="U1908" i="1"/>
  <c r="T1908" i="1"/>
  <c r="S1908" i="1"/>
  <c r="W1907" i="1"/>
  <c r="V1907" i="1"/>
  <c r="U1907" i="1"/>
  <c r="T1907" i="1"/>
  <c r="S1907" i="1"/>
  <c r="W1906" i="1"/>
  <c r="V1906" i="1"/>
  <c r="U1906" i="1"/>
  <c r="T1906" i="1"/>
  <c r="S1906" i="1"/>
  <c r="W1905" i="1"/>
  <c r="V1905" i="1"/>
  <c r="U1905" i="1"/>
  <c r="T1905" i="1"/>
  <c r="S1905" i="1"/>
  <c r="W1904" i="1"/>
  <c r="V1904" i="1"/>
  <c r="U1904" i="1"/>
  <c r="T1904" i="1"/>
  <c r="S1904" i="1"/>
  <c r="W1903" i="1"/>
  <c r="V1903" i="1"/>
  <c r="U1903" i="1"/>
  <c r="T1903" i="1"/>
  <c r="S1903" i="1"/>
  <c r="W1902" i="1"/>
  <c r="V1902" i="1"/>
  <c r="U1902" i="1"/>
  <c r="T1902" i="1"/>
  <c r="S1902" i="1"/>
  <c r="W1901" i="1"/>
  <c r="V1901" i="1"/>
  <c r="U1901" i="1"/>
  <c r="T1901" i="1"/>
  <c r="S1901" i="1"/>
  <c r="W1900" i="1"/>
  <c r="V1900" i="1"/>
  <c r="U1900" i="1"/>
  <c r="T1900" i="1"/>
  <c r="S1900" i="1"/>
  <c r="W1899" i="1"/>
  <c r="V1899" i="1"/>
  <c r="U1899" i="1"/>
  <c r="T1899" i="1"/>
  <c r="S1899" i="1"/>
  <c r="W1898" i="1"/>
  <c r="V1898" i="1"/>
  <c r="U1898" i="1"/>
  <c r="T1898" i="1"/>
  <c r="S1898" i="1"/>
  <c r="W1897" i="1"/>
  <c r="V1897" i="1"/>
  <c r="U1897" i="1"/>
  <c r="T1897" i="1"/>
  <c r="S1897" i="1"/>
  <c r="W1896" i="1"/>
  <c r="V1896" i="1"/>
  <c r="U1896" i="1"/>
  <c r="T1896" i="1"/>
  <c r="S1896" i="1"/>
  <c r="W1895" i="1"/>
  <c r="V1895" i="1"/>
  <c r="U1895" i="1"/>
  <c r="T1895" i="1"/>
  <c r="S1895" i="1"/>
  <c r="W1894" i="1"/>
  <c r="V1894" i="1"/>
  <c r="U1894" i="1"/>
  <c r="T1894" i="1"/>
  <c r="S1894" i="1"/>
  <c r="W1893" i="1"/>
  <c r="V1893" i="1"/>
  <c r="U1893" i="1"/>
  <c r="T1893" i="1"/>
  <c r="S1893" i="1"/>
  <c r="W1892" i="1"/>
  <c r="V1892" i="1"/>
  <c r="U1892" i="1"/>
  <c r="T1892" i="1"/>
  <c r="S1892" i="1"/>
  <c r="W1891" i="1"/>
  <c r="V1891" i="1"/>
  <c r="U1891" i="1"/>
  <c r="T1891" i="1"/>
  <c r="S1891" i="1"/>
  <c r="W1890" i="1"/>
  <c r="V1890" i="1"/>
  <c r="U1890" i="1"/>
  <c r="T1890" i="1"/>
  <c r="S1890" i="1"/>
  <c r="W1889" i="1"/>
  <c r="V1889" i="1"/>
  <c r="U1889" i="1"/>
  <c r="T1889" i="1"/>
  <c r="S1889" i="1"/>
  <c r="W1888" i="1"/>
  <c r="V1888" i="1"/>
  <c r="U1888" i="1"/>
  <c r="T1888" i="1"/>
  <c r="S1888" i="1"/>
  <c r="W1887" i="1"/>
  <c r="V1887" i="1"/>
  <c r="U1887" i="1"/>
  <c r="T1887" i="1"/>
  <c r="S1887" i="1"/>
  <c r="W1886" i="1"/>
  <c r="V1886" i="1"/>
  <c r="U1886" i="1"/>
  <c r="T1886" i="1"/>
  <c r="S1886" i="1"/>
  <c r="W1885" i="1"/>
  <c r="V1885" i="1"/>
  <c r="U1885" i="1"/>
  <c r="T1885" i="1"/>
  <c r="S1885" i="1"/>
  <c r="W1884" i="1"/>
  <c r="V1884" i="1"/>
  <c r="U1884" i="1"/>
  <c r="T1884" i="1"/>
  <c r="S1884" i="1"/>
  <c r="W1883" i="1"/>
  <c r="V1883" i="1"/>
  <c r="U1883" i="1"/>
  <c r="T1883" i="1"/>
  <c r="S1883" i="1"/>
  <c r="W1882" i="1"/>
  <c r="V1882" i="1"/>
  <c r="U1882" i="1"/>
  <c r="T1882" i="1"/>
  <c r="S1882" i="1"/>
  <c r="W1881" i="1"/>
  <c r="V1881" i="1"/>
  <c r="U1881" i="1"/>
  <c r="T1881" i="1"/>
  <c r="S1881" i="1"/>
  <c r="W1880" i="1"/>
  <c r="V1880" i="1"/>
  <c r="U1880" i="1"/>
  <c r="T1880" i="1"/>
  <c r="S1880" i="1"/>
  <c r="W1879" i="1"/>
  <c r="V1879" i="1"/>
  <c r="U1879" i="1"/>
  <c r="T1879" i="1"/>
  <c r="S1879" i="1"/>
  <c r="W1878" i="1"/>
  <c r="V1878" i="1"/>
  <c r="U1878" i="1"/>
  <c r="T1878" i="1"/>
  <c r="S1878" i="1"/>
  <c r="W1877" i="1"/>
  <c r="V1877" i="1"/>
  <c r="U1877" i="1"/>
  <c r="T1877" i="1"/>
  <c r="S1877" i="1"/>
  <c r="W1876" i="1"/>
  <c r="V1876" i="1"/>
  <c r="U1876" i="1"/>
  <c r="T1876" i="1"/>
  <c r="S1876" i="1"/>
  <c r="W1875" i="1"/>
  <c r="V1875" i="1"/>
  <c r="U1875" i="1"/>
  <c r="T1875" i="1"/>
  <c r="S1875" i="1"/>
  <c r="W1874" i="1"/>
  <c r="V1874" i="1"/>
  <c r="U1874" i="1"/>
  <c r="T1874" i="1"/>
  <c r="S1874" i="1"/>
  <c r="W1873" i="1"/>
  <c r="V1873" i="1"/>
  <c r="U1873" i="1"/>
  <c r="T1873" i="1"/>
  <c r="S1873" i="1"/>
  <c r="W1872" i="1"/>
  <c r="V1872" i="1"/>
  <c r="U1872" i="1"/>
  <c r="T1872" i="1"/>
  <c r="S1872" i="1"/>
  <c r="W1871" i="1"/>
  <c r="V1871" i="1"/>
  <c r="U1871" i="1"/>
  <c r="T1871" i="1"/>
  <c r="S1871" i="1"/>
  <c r="W1870" i="1"/>
  <c r="V1870" i="1"/>
  <c r="U1870" i="1"/>
  <c r="T1870" i="1"/>
  <c r="S1870" i="1"/>
  <c r="W1869" i="1"/>
  <c r="V1869" i="1"/>
  <c r="U1869" i="1"/>
  <c r="T1869" i="1"/>
  <c r="S1869" i="1"/>
  <c r="W1868" i="1"/>
  <c r="V1868" i="1"/>
  <c r="U1868" i="1"/>
  <c r="T1868" i="1"/>
  <c r="S1868" i="1"/>
  <c r="W1867" i="1"/>
  <c r="V1867" i="1"/>
  <c r="U1867" i="1"/>
  <c r="T1867" i="1"/>
  <c r="S1867" i="1"/>
  <c r="W1866" i="1"/>
  <c r="V1866" i="1"/>
  <c r="U1866" i="1"/>
  <c r="T1866" i="1"/>
  <c r="S1866" i="1"/>
  <c r="W1865" i="1"/>
  <c r="V1865" i="1"/>
  <c r="U1865" i="1"/>
  <c r="T1865" i="1"/>
  <c r="S1865" i="1"/>
  <c r="W1864" i="1"/>
  <c r="V1864" i="1"/>
  <c r="U1864" i="1"/>
  <c r="T1864" i="1"/>
  <c r="S1864" i="1"/>
  <c r="W1863" i="1"/>
  <c r="V1863" i="1"/>
  <c r="U1863" i="1"/>
  <c r="T1863" i="1"/>
  <c r="S1863" i="1"/>
  <c r="W1862" i="1"/>
  <c r="V1862" i="1"/>
  <c r="U1862" i="1"/>
  <c r="T1862" i="1"/>
  <c r="S1862" i="1"/>
  <c r="W1861" i="1"/>
  <c r="V1861" i="1"/>
  <c r="U1861" i="1"/>
  <c r="T1861" i="1"/>
  <c r="S1861" i="1"/>
  <c r="W1860" i="1"/>
  <c r="V1860" i="1"/>
  <c r="U1860" i="1"/>
  <c r="T1860" i="1"/>
  <c r="S1860" i="1"/>
  <c r="W1859" i="1"/>
  <c r="V1859" i="1"/>
  <c r="U1859" i="1"/>
  <c r="T1859" i="1"/>
  <c r="S1859" i="1"/>
  <c r="W1858" i="1"/>
  <c r="V1858" i="1"/>
  <c r="U1858" i="1"/>
  <c r="T1858" i="1"/>
  <c r="S1858" i="1"/>
  <c r="W1857" i="1"/>
  <c r="V1857" i="1"/>
  <c r="U1857" i="1"/>
  <c r="T1857" i="1"/>
  <c r="S1857" i="1"/>
  <c r="W1856" i="1"/>
  <c r="V1856" i="1"/>
  <c r="U1856" i="1"/>
  <c r="T1856" i="1"/>
  <c r="S1856" i="1"/>
  <c r="W1855" i="1"/>
  <c r="V1855" i="1"/>
  <c r="U1855" i="1"/>
  <c r="T1855" i="1"/>
  <c r="S1855" i="1"/>
  <c r="W1854" i="1"/>
  <c r="V1854" i="1"/>
  <c r="U1854" i="1"/>
  <c r="T1854" i="1"/>
  <c r="S1854" i="1"/>
  <c r="W1853" i="1"/>
  <c r="V1853" i="1"/>
  <c r="U1853" i="1"/>
  <c r="T1853" i="1"/>
  <c r="S1853" i="1"/>
  <c r="W1852" i="1"/>
  <c r="V1852" i="1"/>
  <c r="U1852" i="1"/>
  <c r="T1852" i="1"/>
  <c r="S1852" i="1"/>
  <c r="W1851" i="1"/>
  <c r="V1851" i="1"/>
  <c r="U1851" i="1"/>
  <c r="T1851" i="1"/>
  <c r="S1851" i="1"/>
  <c r="W1850" i="1"/>
  <c r="V1850" i="1"/>
  <c r="U1850" i="1"/>
  <c r="T1850" i="1"/>
  <c r="S1850" i="1"/>
  <c r="W1849" i="1"/>
  <c r="V1849" i="1"/>
  <c r="U1849" i="1"/>
  <c r="T1849" i="1"/>
  <c r="S1849" i="1"/>
  <c r="W1848" i="1"/>
  <c r="V1848" i="1"/>
  <c r="U1848" i="1"/>
  <c r="T1848" i="1"/>
  <c r="S1848" i="1"/>
  <c r="W1847" i="1"/>
  <c r="V1847" i="1"/>
  <c r="U1847" i="1"/>
  <c r="T1847" i="1"/>
  <c r="S1847" i="1"/>
  <c r="W1846" i="1"/>
  <c r="V1846" i="1"/>
  <c r="U1846" i="1"/>
  <c r="T1846" i="1"/>
  <c r="S1846" i="1"/>
  <c r="W1845" i="1"/>
  <c r="V1845" i="1"/>
  <c r="U1845" i="1"/>
  <c r="T1845" i="1"/>
  <c r="S1845" i="1"/>
  <c r="W1844" i="1"/>
  <c r="V1844" i="1"/>
  <c r="U1844" i="1"/>
  <c r="T1844" i="1"/>
  <c r="S1844" i="1"/>
  <c r="W1843" i="1"/>
  <c r="V1843" i="1"/>
  <c r="U1843" i="1"/>
  <c r="T1843" i="1"/>
  <c r="S1843" i="1"/>
  <c r="W1842" i="1"/>
  <c r="V1842" i="1"/>
  <c r="U1842" i="1"/>
  <c r="T1842" i="1"/>
  <c r="S1842" i="1"/>
  <c r="W1841" i="1"/>
  <c r="V1841" i="1"/>
  <c r="U1841" i="1"/>
  <c r="T1841" i="1"/>
  <c r="S1841" i="1"/>
  <c r="W1840" i="1"/>
  <c r="V1840" i="1"/>
  <c r="U1840" i="1"/>
  <c r="T1840" i="1"/>
  <c r="S1840" i="1"/>
  <c r="W1839" i="1"/>
  <c r="V1839" i="1"/>
  <c r="U1839" i="1"/>
  <c r="T1839" i="1"/>
  <c r="S1839" i="1"/>
  <c r="W1838" i="1"/>
  <c r="V1838" i="1"/>
  <c r="U1838" i="1"/>
  <c r="T1838" i="1"/>
  <c r="S1838" i="1"/>
  <c r="W1837" i="1"/>
  <c r="V1837" i="1"/>
  <c r="U1837" i="1"/>
  <c r="T1837" i="1"/>
  <c r="S1837" i="1"/>
  <c r="W1836" i="1"/>
  <c r="V1836" i="1"/>
  <c r="U1836" i="1"/>
  <c r="T1836" i="1"/>
  <c r="S1836" i="1"/>
  <c r="W1835" i="1"/>
  <c r="V1835" i="1"/>
  <c r="U1835" i="1"/>
  <c r="T1835" i="1"/>
  <c r="S1835" i="1"/>
  <c r="W1834" i="1"/>
  <c r="V1834" i="1"/>
  <c r="U1834" i="1"/>
  <c r="T1834" i="1"/>
  <c r="S1834" i="1"/>
  <c r="W1833" i="1"/>
  <c r="V1833" i="1"/>
  <c r="U1833" i="1"/>
  <c r="T1833" i="1"/>
  <c r="S1833" i="1"/>
  <c r="W1832" i="1"/>
  <c r="V1832" i="1"/>
  <c r="U1832" i="1"/>
  <c r="T1832" i="1"/>
  <c r="S1832" i="1"/>
  <c r="W1831" i="1"/>
  <c r="V1831" i="1"/>
  <c r="U1831" i="1"/>
  <c r="T1831" i="1"/>
  <c r="S1831" i="1"/>
  <c r="W1830" i="1"/>
  <c r="V1830" i="1"/>
  <c r="U1830" i="1"/>
  <c r="T1830" i="1"/>
  <c r="S1830" i="1"/>
  <c r="W1829" i="1"/>
  <c r="V1829" i="1"/>
  <c r="U1829" i="1"/>
  <c r="T1829" i="1"/>
  <c r="S1829" i="1"/>
  <c r="W1828" i="1"/>
  <c r="V1828" i="1"/>
  <c r="U1828" i="1"/>
  <c r="T1828" i="1"/>
  <c r="S1828" i="1"/>
  <c r="W1827" i="1"/>
  <c r="V1827" i="1"/>
  <c r="U1827" i="1"/>
  <c r="T1827" i="1"/>
  <c r="S1827" i="1"/>
  <c r="W1826" i="1"/>
  <c r="V1826" i="1"/>
  <c r="U1826" i="1"/>
  <c r="T1826" i="1"/>
  <c r="S1826" i="1"/>
  <c r="W1825" i="1"/>
  <c r="V1825" i="1"/>
  <c r="U1825" i="1"/>
  <c r="T1825" i="1"/>
  <c r="S1825" i="1"/>
  <c r="W1824" i="1"/>
  <c r="V1824" i="1"/>
  <c r="U1824" i="1"/>
  <c r="T1824" i="1"/>
  <c r="S1824" i="1"/>
  <c r="W1823" i="1"/>
  <c r="V1823" i="1"/>
  <c r="U1823" i="1"/>
  <c r="T1823" i="1"/>
  <c r="S1823" i="1"/>
  <c r="W1822" i="1"/>
  <c r="V1822" i="1"/>
  <c r="U1822" i="1"/>
  <c r="T1822" i="1"/>
  <c r="S1822" i="1"/>
  <c r="W1821" i="1"/>
  <c r="V1821" i="1"/>
  <c r="U1821" i="1"/>
  <c r="T1821" i="1"/>
  <c r="S1821" i="1"/>
  <c r="W1820" i="1"/>
  <c r="V1820" i="1"/>
  <c r="U1820" i="1"/>
  <c r="T1820" i="1"/>
  <c r="S1820" i="1"/>
  <c r="W1819" i="1"/>
  <c r="V1819" i="1"/>
  <c r="U1819" i="1"/>
  <c r="T1819" i="1"/>
  <c r="S1819" i="1"/>
  <c r="W1818" i="1"/>
  <c r="V1818" i="1"/>
  <c r="U1818" i="1"/>
  <c r="T1818" i="1"/>
  <c r="S1818" i="1"/>
  <c r="W1817" i="1"/>
  <c r="V1817" i="1"/>
  <c r="U1817" i="1"/>
  <c r="T1817" i="1"/>
  <c r="S1817" i="1"/>
  <c r="W1816" i="1"/>
  <c r="V1816" i="1"/>
  <c r="U1816" i="1"/>
  <c r="T1816" i="1"/>
  <c r="S1816" i="1"/>
  <c r="W1815" i="1"/>
  <c r="V1815" i="1"/>
  <c r="U1815" i="1"/>
  <c r="T1815" i="1"/>
  <c r="S1815" i="1"/>
  <c r="W1814" i="1"/>
  <c r="V1814" i="1"/>
  <c r="U1814" i="1"/>
  <c r="T1814" i="1"/>
  <c r="S1814" i="1"/>
  <c r="W1813" i="1"/>
  <c r="V1813" i="1"/>
  <c r="U1813" i="1"/>
  <c r="T1813" i="1"/>
  <c r="S1813" i="1"/>
  <c r="W1812" i="1"/>
  <c r="V1812" i="1"/>
  <c r="U1812" i="1"/>
  <c r="T1812" i="1"/>
  <c r="S1812" i="1"/>
  <c r="W1811" i="1"/>
  <c r="V1811" i="1"/>
  <c r="U1811" i="1"/>
  <c r="T1811" i="1"/>
  <c r="S1811" i="1"/>
  <c r="W1810" i="1"/>
  <c r="V1810" i="1"/>
  <c r="U1810" i="1"/>
  <c r="T1810" i="1"/>
  <c r="S1810" i="1"/>
  <c r="W1809" i="1"/>
  <c r="V1809" i="1"/>
  <c r="U1809" i="1"/>
  <c r="T1809" i="1"/>
  <c r="S1809" i="1"/>
  <c r="W1808" i="1"/>
  <c r="V1808" i="1"/>
  <c r="U1808" i="1"/>
  <c r="T1808" i="1"/>
  <c r="S1808" i="1"/>
  <c r="W1807" i="1"/>
  <c r="V1807" i="1"/>
  <c r="U1807" i="1"/>
  <c r="T1807" i="1"/>
  <c r="S1807" i="1"/>
  <c r="W1806" i="1"/>
  <c r="V1806" i="1"/>
  <c r="U1806" i="1"/>
  <c r="T1806" i="1"/>
  <c r="S1806" i="1"/>
  <c r="W1805" i="1"/>
  <c r="V1805" i="1"/>
  <c r="U1805" i="1"/>
  <c r="T1805" i="1"/>
  <c r="S1805" i="1"/>
  <c r="W1804" i="1"/>
  <c r="V1804" i="1"/>
  <c r="U1804" i="1"/>
  <c r="T1804" i="1"/>
  <c r="S1804" i="1"/>
  <c r="W1803" i="1"/>
  <c r="V1803" i="1"/>
  <c r="U1803" i="1"/>
  <c r="T1803" i="1"/>
  <c r="S1803" i="1"/>
  <c r="W1802" i="1"/>
  <c r="V1802" i="1"/>
  <c r="U1802" i="1"/>
  <c r="T1802" i="1"/>
  <c r="S1802" i="1"/>
  <c r="W1801" i="1"/>
  <c r="V1801" i="1"/>
  <c r="U1801" i="1"/>
  <c r="T1801" i="1"/>
  <c r="S1801" i="1"/>
  <c r="W1800" i="1"/>
  <c r="V1800" i="1"/>
  <c r="U1800" i="1"/>
  <c r="T1800" i="1"/>
  <c r="S1800" i="1"/>
  <c r="W1799" i="1"/>
  <c r="V1799" i="1"/>
  <c r="U1799" i="1"/>
  <c r="T1799" i="1"/>
  <c r="S1799" i="1"/>
  <c r="W1798" i="1"/>
  <c r="V1798" i="1"/>
  <c r="U1798" i="1"/>
  <c r="T1798" i="1"/>
  <c r="S1798" i="1"/>
  <c r="W1797" i="1"/>
  <c r="V1797" i="1"/>
  <c r="U1797" i="1"/>
  <c r="T1797" i="1"/>
  <c r="S1797" i="1"/>
  <c r="W1796" i="1"/>
  <c r="V1796" i="1"/>
  <c r="U1796" i="1"/>
  <c r="T1796" i="1"/>
  <c r="S1796" i="1"/>
  <c r="W1795" i="1"/>
  <c r="V1795" i="1"/>
  <c r="U1795" i="1"/>
  <c r="T1795" i="1"/>
  <c r="S1795" i="1"/>
  <c r="W1794" i="1"/>
  <c r="V1794" i="1"/>
  <c r="U1794" i="1"/>
  <c r="T1794" i="1"/>
  <c r="S1794" i="1"/>
  <c r="W1793" i="1"/>
  <c r="V1793" i="1"/>
  <c r="U1793" i="1"/>
  <c r="T1793" i="1"/>
  <c r="S1793" i="1"/>
  <c r="W1792" i="1"/>
  <c r="V1792" i="1"/>
  <c r="U1792" i="1"/>
  <c r="T1792" i="1"/>
  <c r="S1792" i="1"/>
  <c r="W1791" i="1"/>
  <c r="V1791" i="1"/>
  <c r="U1791" i="1"/>
  <c r="T1791" i="1"/>
  <c r="S1791" i="1"/>
  <c r="W1790" i="1"/>
  <c r="V1790" i="1"/>
  <c r="U1790" i="1"/>
  <c r="T1790" i="1"/>
  <c r="S1790" i="1"/>
  <c r="W1789" i="1"/>
  <c r="V1789" i="1"/>
  <c r="U1789" i="1"/>
  <c r="T1789" i="1"/>
  <c r="S1789" i="1"/>
  <c r="W1788" i="1"/>
  <c r="V1788" i="1"/>
  <c r="U1788" i="1"/>
  <c r="T1788" i="1"/>
  <c r="S1788" i="1"/>
  <c r="W1787" i="1"/>
  <c r="V1787" i="1"/>
  <c r="U1787" i="1"/>
  <c r="T1787" i="1"/>
  <c r="S1787" i="1"/>
  <c r="W1786" i="1"/>
  <c r="V1786" i="1"/>
  <c r="U1786" i="1"/>
  <c r="T1786" i="1"/>
  <c r="S1786" i="1"/>
  <c r="W1785" i="1"/>
  <c r="V1785" i="1"/>
  <c r="U1785" i="1"/>
  <c r="T1785" i="1"/>
  <c r="S1785" i="1"/>
  <c r="W1784" i="1"/>
  <c r="V1784" i="1"/>
  <c r="U1784" i="1"/>
  <c r="T1784" i="1"/>
  <c r="S1784" i="1"/>
  <c r="W1783" i="1"/>
  <c r="V1783" i="1"/>
  <c r="U1783" i="1"/>
  <c r="T1783" i="1"/>
  <c r="S1783" i="1"/>
  <c r="W1782" i="1"/>
  <c r="V1782" i="1"/>
  <c r="U1782" i="1"/>
  <c r="T1782" i="1"/>
  <c r="S1782" i="1"/>
  <c r="W1781" i="1"/>
  <c r="V1781" i="1"/>
  <c r="U1781" i="1"/>
  <c r="T1781" i="1"/>
  <c r="S1781" i="1"/>
  <c r="W1780" i="1"/>
  <c r="V1780" i="1"/>
  <c r="U1780" i="1"/>
  <c r="T1780" i="1"/>
  <c r="S1780" i="1"/>
  <c r="W1779" i="1"/>
  <c r="V1779" i="1"/>
  <c r="U1779" i="1"/>
  <c r="T1779" i="1"/>
  <c r="S1779" i="1"/>
  <c r="W1778" i="1"/>
  <c r="V1778" i="1"/>
  <c r="U1778" i="1"/>
  <c r="T1778" i="1"/>
  <c r="S1778" i="1"/>
  <c r="W1777" i="1"/>
  <c r="V1777" i="1"/>
  <c r="U1777" i="1"/>
  <c r="T1777" i="1"/>
  <c r="S1777" i="1"/>
  <c r="W1776" i="1"/>
  <c r="V1776" i="1"/>
  <c r="U1776" i="1"/>
  <c r="T1776" i="1"/>
  <c r="S1776" i="1"/>
  <c r="W1775" i="1"/>
  <c r="V1775" i="1"/>
  <c r="U1775" i="1"/>
  <c r="T1775" i="1"/>
  <c r="S1775" i="1"/>
  <c r="W1774" i="1"/>
  <c r="V1774" i="1"/>
  <c r="U1774" i="1"/>
  <c r="T1774" i="1"/>
  <c r="S1774" i="1"/>
  <c r="W1773" i="1"/>
  <c r="V1773" i="1"/>
  <c r="U1773" i="1"/>
  <c r="T1773" i="1"/>
  <c r="S1773" i="1"/>
  <c r="W1772" i="1"/>
  <c r="V1772" i="1"/>
  <c r="U1772" i="1"/>
  <c r="T1772" i="1"/>
  <c r="S1772" i="1"/>
  <c r="W1771" i="1"/>
  <c r="V1771" i="1"/>
  <c r="U1771" i="1"/>
  <c r="T1771" i="1"/>
  <c r="S1771" i="1"/>
  <c r="W1770" i="1"/>
  <c r="V1770" i="1"/>
  <c r="U1770" i="1"/>
  <c r="T1770" i="1"/>
  <c r="S1770" i="1"/>
  <c r="W1769" i="1"/>
  <c r="V1769" i="1"/>
  <c r="U1769" i="1"/>
  <c r="T1769" i="1"/>
  <c r="S1769" i="1"/>
  <c r="W1768" i="1"/>
  <c r="V1768" i="1"/>
  <c r="U1768" i="1"/>
  <c r="T1768" i="1"/>
  <c r="S1768" i="1"/>
  <c r="W1767" i="1"/>
  <c r="V1767" i="1"/>
  <c r="U1767" i="1"/>
  <c r="T1767" i="1"/>
  <c r="S1767" i="1"/>
  <c r="W1766" i="1"/>
  <c r="V1766" i="1"/>
  <c r="U1766" i="1"/>
  <c r="T1766" i="1"/>
  <c r="S1766" i="1"/>
  <c r="W1765" i="1"/>
  <c r="V1765" i="1"/>
  <c r="U1765" i="1"/>
  <c r="T1765" i="1"/>
  <c r="S1765" i="1"/>
  <c r="W1764" i="1"/>
  <c r="V1764" i="1"/>
  <c r="U1764" i="1"/>
  <c r="T1764" i="1"/>
  <c r="S1764" i="1"/>
  <c r="W1763" i="1"/>
  <c r="V1763" i="1"/>
  <c r="U1763" i="1"/>
  <c r="T1763" i="1"/>
  <c r="S1763" i="1"/>
  <c r="W1762" i="1"/>
  <c r="V1762" i="1"/>
  <c r="U1762" i="1"/>
  <c r="T1762" i="1"/>
  <c r="S1762" i="1"/>
  <c r="W1761" i="1"/>
  <c r="V1761" i="1"/>
  <c r="U1761" i="1"/>
  <c r="T1761" i="1"/>
  <c r="S1761" i="1"/>
  <c r="W1760" i="1"/>
  <c r="V1760" i="1"/>
  <c r="U1760" i="1"/>
  <c r="T1760" i="1"/>
  <c r="S1760" i="1"/>
  <c r="W1759" i="1"/>
  <c r="V1759" i="1"/>
  <c r="U1759" i="1"/>
  <c r="T1759" i="1"/>
  <c r="S1759" i="1"/>
  <c r="W1758" i="1"/>
  <c r="V1758" i="1"/>
  <c r="U1758" i="1"/>
  <c r="T1758" i="1"/>
  <c r="S1758" i="1"/>
  <c r="W1757" i="1"/>
  <c r="V1757" i="1"/>
  <c r="U1757" i="1"/>
  <c r="T1757" i="1"/>
  <c r="S1757" i="1"/>
  <c r="W1756" i="1"/>
  <c r="V1756" i="1"/>
  <c r="U1756" i="1"/>
  <c r="T1756" i="1"/>
  <c r="S1756" i="1"/>
  <c r="W1755" i="1"/>
  <c r="V1755" i="1"/>
  <c r="U1755" i="1"/>
  <c r="T1755" i="1"/>
  <c r="S1755" i="1"/>
  <c r="W1754" i="1"/>
  <c r="V1754" i="1"/>
  <c r="U1754" i="1"/>
  <c r="T1754" i="1"/>
  <c r="S1754" i="1"/>
  <c r="W1753" i="1"/>
  <c r="V1753" i="1"/>
  <c r="U1753" i="1"/>
  <c r="T1753" i="1"/>
  <c r="S1753" i="1"/>
  <c r="W1752" i="1"/>
  <c r="V1752" i="1"/>
  <c r="U1752" i="1"/>
  <c r="T1752" i="1"/>
  <c r="S1752" i="1"/>
  <c r="W1751" i="1"/>
  <c r="V1751" i="1"/>
  <c r="U1751" i="1"/>
  <c r="T1751" i="1"/>
  <c r="S1751" i="1"/>
  <c r="W1750" i="1"/>
  <c r="V1750" i="1"/>
  <c r="U1750" i="1"/>
  <c r="T1750" i="1"/>
  <c r="S1750" i="1"/>
  <c r="W1749" i="1"/>
  <c r="V1749" i="1"/>
  <c r="U1749" i="1"/>
  <c r="T1749" i="1"/>
  <c r="S1749" i="1"/>
  <c r="W1748" i="1"/>
  <c r="V1748" i="1"/>
  <c r="U1748" i="1"/>
  <c r="T1748" i="1"/>
  <c r="S1748" i="1"/>
  <c r="W1747" i="1"/>
  <c r="V1747" i="1"/>
  <c r="U1747" i="1"/>
  <c r="T1747" i="1"/>
  <c r="S1747" i="1"/>
  <c r="W1746" i="1"/>
  <c r="V1746" i="1"/>
  <c r="U1746" i="1"/>
  <c r="T1746" i="1"/>
  <c r="S1746" i="1"/>
  <c r="W1745" i="1"/>
  <c r="V1745" i="1"/>
  <c r="U1745" i="1"/>
  <c r="T1745" i="1"/>
  <c r="S1745" i="1"/>
  <c r="W1744" i="1"/>
  <c r="V1744" i="1"/>
  <c r="U1744" i="1"/>
  <c r="T1744" i="1"/>
  <c r="S1744" i="1"/>
  <c r="W1743" i="1"/>
  <c r="V1743" i="1"/>
  <c r="U1743" i="1"/>
  <c r="T1743" i="1"/>
  <c r="S1743" i="1"/>
  <c r="W1742" i="1"/>
  <c r="V1742" i="1"/>
  <c r="U1742" i="1"/>
  <c r="T1742" i="1"/>
  <c r="S1742" i="1"/>
  <c r="W1741" i="1"/>
  <c r="V1741" i="1"/>
  <c r="U1741" i="1"/>
  <c r="T1741" i="1"/>
  <c r="S1741" i="1"/>
  <c r="W1740" i="1"/>
  <c r="V1740" i="1"/>
  <c r="U1740" i="1"/>
  <c r="T1740" i="1"/>
  <c r="S1740" i="1"/>
  <c r="W1739" i="1"/>
  <c r="V1739" i="1"/>
  <c r="U1739" i="1"/>
  <c r="T1739" i="1"/>
  <c r="S1739" i="1"/>
  <c r="W1738" i="1"/>
  <c r="V1738" i="1"/>
  <c r="U1738" i="1"/>
  <c r="T1738" i="1"/>
  <c r="S1738" i="1"/>
  <c r="W1737" i="1"/>
  <c r="V1737" i="1"/>
  <c r="U1737" i="1"/>
  <c r="T1737" i="1"/>
  <c r="S1737" i="1"/>
  <c r="W1736" i="1"/>
  <c r="V1736" i="1"/>
  <c r="U1736" i="1"/>
  <c r="T1736" i="1"/>
  <c r="S1736" i="1"/>
  <c r="W1735" i="1"/>
  <c r="V1735" i="1"/>
  <c r="U1735" i="1"/>
  <c r="T1735" i="1"/>
  <c r="S1735" i="1"/>
  <c r="W1734" i="1"/>
  <c r="V1734" i="1"/>
  <c r="U1734" i="1"/>
  <c r="T1734" i="1"/>
  <c r="S1734" i="1"/>
  <c r="W1733" i="1"/>
  <c r="V1733" i="1"/>
  <c r="U1733" i="1"/>
  <c r="T1733" i="1"/>
  <c r="S1733" i="1"/>
  <c r="W1732" i="1"/>
  <c r="V1732" i="1"/>
  <c r="U1732" i="1"/>
  <c r="T1732" i="1"/>
  <c r="S1732" i="1"/>
  <c r="W1731" i="1"/>
  <c r="V1731" i="1"/>
  <c r="U1731" i="1"/>
  <c r="T1731" i="1"/>
  <c r="S1731" i="1"/>
  <c r="W1730" i="1"/>
  <c r="V1730" i="1"/>
  <c r="U1730" i="1"/>
  <c r="T1730" i="1"/>
  <c r="S1730" i="1"/>
  <c r="W1729" i="1"/>
  <c r="V1729" i="1"/>
  <c r="U1729" i="1"/>
  <c r="T1729" i="1"/>
  <c r="S1729" i="1"/>
  <c r="W1728" i="1"/>
  <c r="V1728" i="1"/>
  <c r="U1728" i="1"/>
  <c r="T1728" i="1"/>
  <c r="S1728" i="1"/>
  <c r="W1727" i="1"/>
  <c r="V1727" i="1"/>
  <c r="U1727" i="1"/>
  <c r="T1727" i="1"/>
  <c r="S1727" i="1"/>
  <c r="W1726" i="1"/>
  <c r="V1726" i="1"/>
  <c r="U1726" i="1"/>
  <c r="T1726" i="1"/>
  <c r="S1726" i="1"/>
  <c r="W1725" i="1"/>
  <c r="V1725" i="1"/>
  <c r="U1725" i="1"/>
  <c r="T1725" i="1"/>
  <c r="S1725" i="1"/>
  <c r="W1724" i="1"/>
  <c r="V1724" i="1"/>
  <c r="U1724" i="1"/>
  <c r="T1724" i="1"/>
  <c r="S1724" i="1"/>
  <c r="W1723" i="1"/>
  <c r="V1723" i="1"/>
  <c r="U1723" i="1"/>
  <c r="T1723" i="1"/>
  <c r="S1723" i="1"/>
  <c r="W1722" i="1"/>
  <c r="V1722" i="1"/>
  <c r="U1722" i="1"/>
  <c r="T1722" i="1"/>
  <c r="S1722" i="1"/>
  <c r="W1721" i="1"/>
  <c r="V1721" i="1"/>
  <c r="U1721" i="1"/>
  <c r="T1721" i="1"/>
  <c r="S1721" i="1"/>
  <c r="W1720" i="1"/>
  <c r="V1720" i="1"/>
  <c r="U1720" i="1"/>
  <c r="T1720" i="1"/>
  <c r="S1720" i="1"/>
  <c r="W1719" i="1"/>
  <c r="V1719" i="1"/>
  <c r="U1719" i="1"/>
  <c r="T1719" i="1"/>
  <c r="S1719" i="1"/>
  <c r="W1718" i="1"/>
  <c r="V1718" i="1"/>
  <c r="U1718" i="1"/>
  <c r="T1718" i="1"/>
  <c r="S1718" i="1"/>
  <c r="W1717" i="1"/>
  <c r="V1717" i="1"/>
  <c r="U1717" i="1"/>
  <c r="T1717" i="1"/>
  <c r="S1717" i="1"/>
  <c r="W1716" i="1"/>
  <c r="V1716" i="1"/>
  <c r="U1716" i="1"/>
  <c r="T1716" i="1"/>
  <c r="S1716" i="1"/>
  <c r="W1715" i="1"/>
  <c r="V1715" i="1"/>
  <c r="U1715" i="1"/>
  <c r="T1715" i="1"/>
  <c r="S1715" i="1"/>
  <c r="W1714" i="1"/>
  <c r="V1714" i="1"/>
  <c r="U1714" i="1"/>
  <c r="T1714" i="1"/>
  <c r="S1714" i="1"/>
  <c r="W1713" i="1"/>
  <c r="V1713" i="1"/>
  <c r="U1713" i="1"/>
  <c r="T1713" i="1"/>
  <c r="S1713" i="1"/>
  <c r="W1712" i="1"/>
  <c r="V1712" i="1"/>
  <c r="U1712" i="1"/>
  <c r="T1712" i="1"/>
  <c r="S1712" i="1"/>
  <c r="W1711" i="1"/>
  <c r="V1711" i="1"/>
  <c r="U1711" i="1"/>
  <c r="T1711" i="1"/>
  <c r="S1711" i="1"/>
  <c r="W1710" i="1"/>
  <c r="V1710" i="1"/>
  <c r="U1710" i="1"/>
  <c r="T1710" i="1"/>
  <c r="S1710" i="1"/>
  <c r="W1709" i="1"/>
  <c r="V1709" i="1"/>
  <c r="U1709" i="1"/>
  <c r="T1709" i="1"/>
  <c r="S1709" i="1"/>
  <c r="W1708" i="1"/>
  <c r="V1708" i="1"/>
  <c r="U1708" i="1"/>
  <c r="T1708" i="1"/>
  <c r="S1708" i="1"/>
  <c r="W1707" i="1"/>
  <c r="V1707" i="1"/>
  <c r="U1707" i="1"/>
  <c r="T1707" i="1"/>
  <c r="S1707" i="1"/>
  <c r="W1706" i="1"/>
  <c r="V1706" i="1"/>
  <c r="U1706" i="1"/>
  <c r="T1706" i="1"/>
  <c r="S1706" i="1"/>
  <c r="W1705" i="1"/>
  <c r="V1705" i="1"/>
  <c r="U1705" i="1"/>
  <c r="T1705" i="1"/>
  <c r="S1705" i="1"/>
  <c r="W1704" i="1"/>
  <c r="V1704" i="1"/>
  <c r="U1704" i="1"/>
  <c r="T1704" i="1"/>
  <c r="S1704" i="1"/>
  <c r="W1703" i="1"/>
  <c r="V1703" i="1"/>
  <c r="U1703" i="1"/>
  <c r="T1703" i="1"/>
  <c r="S1703" i="1"/>
  <c r="W1702" i="1"/>
  <c r="V1702" i="1"/>
  <c r="U1702" i="1"/>
  <c r="T1702" i="1"/>
  <c r="S1702" i="1"/>
  <c r="W1701" i="1"/>
  <c r="V1701" i="1"/>
  <c r="U1701" i="1"/>
  <c r="T1701" i="1"/>
  <c r="S1701" i="1"/>
  <c r="W1700" i="1"/>
  <c r="V1700" i="1"/>
  <c r="U1700" i="1"/>
  <c r="T1700" i="1"/>
  <c r="S1700" i="1"/>
  <c r="W1699" i="1"/>
  <c r="V1699" i="1"/>
  <c r="U1699" i="1"/>
  <c r="T1699" i="1"/>
  <c r="S1699" i="1"/>
  <c r="W1698" i="1"/>
  <c r="V1698" i="1"/>
  <c r="U1698" i="1"/>
  <c r="T1698" i="1"/>
  <c r="S1698" i="1"/>
  <c r="W1697" i="1"/>
  <c r="V1697" i="1"/>
  <c r="U1697" i="1"/>
  <c r="T1697" i="1"/>
  <c r="S1697" i="1"/>
  <c r="W1696" i="1"/>
  <c r="V1696" i="1"/>
  <c r="U1696" i="1"/>
  <c r="T1696" i="1"/>
  <c r="S1696" i="1"/>
  <c r="W1695" i="1"/>
  <c r="V1695" i="1"/>
  <c r="U1695" i="1"/>
  <c r="T1695" i="1"/>
  <c r="S1695" i="1"/>
  <c r="W1694" i="1"/>
  <c r="V1694" i="1"/>
  <c r="U1694" i="1"/>
  <c r="T1694" i="1"/>
  <c r="S1694" i="1"/>
  <c r="W1693" i="1"/>
  <c r="V1693" i="1"/>
  <c r="U1693" i="1"/>
  <c r="T1693" i="1"/>
  <c r="S1693" i="1"/>
  <c r="W1692" i="1"/>
  <c r="V1692" i="1"/>
  <c r="U1692" i="1"/>
  <c r="T1692" i="1"/>
  <c r="S1692" i="1"/>
  <c r="W1691" i="1"/>
  <c r="V1691" i="1"/>
  <c r="U1691" i="1"/>
  <c r="T1691" i="1"/>
  <c r="S1691" i="1"/>
  <c r="W1690" i="1"/>
  <c r="V1690" i="1"/>
  <c r="U1690" i="1"/>
  <c r="T1690" i="1"/>
  <c r="S1690" i="1"/>
  <c r="W1689" i="1"/>
  <c r="V1689" i="1"/>
  <c r="U1689" i="1"/>
  <c r="T1689" i="1"/>
  <c r="S1689" i="1"/>
  <c r="W1688" i="1"/>
  <c r="V1688" i="1"/>
  <c r="U1688" i="1"/>
  <c r="T1688" i="1"/>
  <c r="S1688" i="1"/>
  <c r="W1687" i="1"/>
  <c r="V1687" i="1"/>
  <c r="U1687" i="1"/>
  <c r="T1687" i="1"/>
  <c r="S1687" i="1"/>
  <c r="W1686" i="1"/>
  <c r="V1686" i="1"/>
  <c r="U1686" i="1"/>
  <c r="T1686" i="1"/>
  <c r="S1686" i="1"/>
  <c r="W1685" i="1"/>
  <c r="V1685" i="1"/>
  <c r="U1685" i="1"/>
  <c r="T1685" i="1"/>
  <c r="S1685" i="1"/>
  <c r="W1684" i="1"/>
  <c r="V1684" i="1"/>
  <c r="U1684" i="1"/>
  <c r="T1684" i="1"/>
  <c r="S1684" i="1"/>
  <c r="W1683" i="1"/>
  <c r="V1683" i="1"/>
  <c r="U1683" i="1"/>
  <c r="T1683" i="1"/>
  <c r="S1683" i="1"/>
  <c r="W1682" i="1"/>
  <c r="V1682" i="1"/>
  <c r="U1682" i="1"/>
  <c r="T1682" i="1"/>
  <c r="S1682" i="1"/>
  <c r="W1681" i="1"/>
  <c r="V1681" i="1"/>
  <c r="U1681" i="1"/>
  <c r="T1681" i="1"/>
  <c r="S1681" i="1"/>
  <c r="W1680" i="1"/>
  <c r="V1680" i="1"/>
  <c r="U1680" i="1"/>
  <c r="T1680" i="1"/>
  <c r="S1680" i="1"/>
  <c r="W1679" i="1"/>
  <c r="V1679" i="1"/>
  <c r="U1679" i="1"/>
  <c r="T1679" i="1"/>
  <c r="S1679" i="1"/>
  <c r="W1678" i="1"/>
  <c r="V1678" i="1"/>
  <c r="U1678" i="1"/>
  <c r="T1678" i="1"/>
  <c r="S1678" i="1"/>
  <c r="W1677" i="1"/>
  <c r="V1677" i="1"/>
  <c r="U1677" i="1"/>
  <c r="T1677" i="1"/>
  <c r="S1677" i="1"/>
  <c r="W1676" i="1"/>
  <c r="V1676" i="1"/>
  <c r="U1676" i="1"/>
  <c r="T1676" i="1"/>
  <c r="S1676" i="1"/>
  <c r="W1675" i="1"/>
  <c r="V1675" i="1"/>
  <c r="U1675" i="1"/>
  <c r="T1675" i="1"/>
  <c r="S1675" i="1"/>
  <c r="W1674" i="1"/>
  <c r="V1674" i="1"/>
  <c r="U1674" i="1"/>
  <c r="T1674" i="1"/>
  <c r="S1674" i="1"/>
  <c r="W1673" i="1"/>
  <c r="V1673" i="1"/>
  <c r="U1673" i="1"/>
  <c r="T1673" i="1"/>
  <c r="S1673" i="1"/>
  <c r="W1672" i="1"/>
  <c r="V1672" i="1"/>
  <c r="U1672" i="1"/>
  <c r="T1672" i="1"/>
  <c r="S1672" i="1"/>
  <c r="W1671" i="1"/>
  <c r="V1671" i="1"/>
  <c r="U1671" i="1"/>
  <c r="T1671" i="1"/>
  <c r="S1671" i="1"/>
  <c r="W1670" i="1"/>
  <c r="V1670" i="1"/>
  <c r="U1670" i="1"/>
  <c r="T1670" i="1"/>
  <c r="S1670" i="1"/>
  <c r="W1669" i="1"/>
  <c r="V1669" i="1"/>
  <c r="U1669" i="1"/>
  <c r="T1669" i="1"/>
  <c r="S1669" i="1"/>
  <c r="W1668" i="1"/>
  <c r="V1668" i="1"/>
  <c r="U1668" i="1"/>
  <c r="T1668" i="1"/>
  <c r="S1668" i="1"/>
  <c r="W1667" i="1"/>
  <c r="V1667" i="1"/>
  <c r="U1667" i="1"/>
  <c r="T1667" i="1"/>
  <c r="S1667" i="1"/>
  <c r="W1666" i="1"/>
  <c r="V1666" i="1"/>
  <c r="U1666" i="1"/>
  <c r="T1666" i="1"/>
  <c r="S1666" i="1"/>
  <c r="W1665" i="1"/>
  <c r="V1665" i="1"/>
  <c r="U1665" i="1"/>
  <c r="T1665" i="1"/>
  <c r="S1665" i="1"/>
  <c r="W1664" i="1"/>
  <c r="V1664" i="1"/>
  <c r="U1664" i="1"/>
  <c r="T1664" i="1"/>
  <c r="S1664" i="1"/>
  <c r="W1663" i="1"/>
  <c r="V1663" i="1"/>
  <c r="U1663" i="1"/>
  <c r="T1663" i="1"/>
  <c r="S1663" i="1"/>
  <c r="W1662" i="1"/>
  <c r="V1662" i="1"/>
  <c r="U1662" i="1"/>
  <c r="T1662" i="1"/>
  <c r="S1662" i="1"/>
  <c r="W1661" i="1"/>
  <c r="V1661" i="1"/>
  <c r="U1661" i="1"/>
  <c r="T1661" i="1"/>
  <c r="S1661" i="1"/>
  <c r="W1660" i="1"/>
  <c r="V1660" i="1"/>
  <c r="U1660" i="1"/>
  <c r="T1660" i="1"/>
  <c r="S1660" i="1"/>
  <c r="W1659" i="1"/>
  <c r="V1659" i="1"/>
  <c r="U1659" i="1"/>
  <c r="T1659" i="1"/>
  <c r="S1659" i="1"/>
  <c r="W1658" i="1"/>
  <c r="V1658" i="1"/>
  <c r="U1658" i="1"/>
  <c r="T1658" i="1"/>
  <c r="S1658" i="1"/>
  <c r="W1657" i="1"/>
  <c r="V1657" i="1"/>
  <c r="U1657" i="1"/>
  <c r="T1657" i="1"/>
  <c r="S1657" i="1"/>
  <c r="W1656" i="1"/>
  <c r="V1656" i="1"/>
  <c r="U1656" i="1"/>
  <c r="T1656" i="1"/>
  <c r="S1656" i="1"/>
  <c r="W1655" i="1"/>
  <c r="V1655" i="1"/>
  <c r="U1655" i="1"/>
  <c r="T1655" i="1"/>
  <c r="S1655" i="1"/>
  <c r="W1654" i="1"/>
  <c r="V1654" i="1"/>
  <c r="U1654" i="1"/>
  <c r="T1654" i="1"/>
  <c r="S1654" i="1"/>
  <c r="W1653" i="1"/>
  <c r="V1653" i="1"/>
  <c r="U1653" i="1"/>
  <c r="T1653" i="1"/>
  <c r="S1653" i="1"/>
  <c r="W1652" i="1"/>
  <c r="V1652" i="1"/>
  <c r="U1652" i="1"/>
  <c r="T1652" i="1"/>
  <c r="S1652" i="1"/>
  <c r="W1651" i="1"/>
  <c r="V1651" i="1"/>
  <c r="U1651" i="1"/>
  <c r="T1651" i="1"/>
  <c r="S1651" i="1"/>
  <c r="W1650" i="1"/>
  <c r="V1650" i="1"/>
  <c r="U1650" i="1"/>
  <c r="T1650" i="1"/>
  <c r="S1650" i="1"/>
  <c r="W1649" i="1"/>
  <c r="V1649" i="1"/>
  <c r="U1649" i="1"/>
  <c r="T1649" i="1"/>
  <c r="S1649" i="1"/>
  <c r="W1648" i="1"/>
  <c r="V1648" i="1"/>
  <c r="U1648" i="1"/>
  <c r="T1648" i="1"/>
  <c r="S1648" i="1"/>
  <c r="W1647" i="1"/>
  <c r="V1647" i="1"/>
  <c r="U1647" i="1"/>
  <c r="T1647" i="1"/>
  <c r="S1647" i="1"/>
  <c r="W1646" i="1"/>
  <c r="V1646" i="1"/>
  <c r="U1646" i="1"/>
  <c r="T1646" i="1"/>
  <c r="S1646" i="1"/>
  <c r="W1645" i="1"/>
  <c r="V1645" i="1"/>
  <c r="U1645" i="1"/>
  <c r="T1645" i="1"/>
  <c r="S1645" i="1"/>
  <c r="W1644" i="1"/>
  <c r="V1644" i="1"/>
  <c r="U1644" i="1"/>
  <c r="T1644" i="1"/>
  <c r="S1644" i="1"/>
  <c r="W1643" i="1"/>
  <c r="V1643" i="1"/>
  <c r="U1643" i="1"/>
  <c r="T1643" i="1"/>
  <c r="S1643" i="1"/>
  <c r="W1642" i="1"/>
  <c r="V1642" i="1"/>
  <c r="U1642" i="1"/>
  <c r="T1642" i="1"/>
  <c r="S1642" i="1"/>
  <c r="W1641" i="1"/>
  <c r="V1641" i="1"/>
  <c r="U1641" i="1"/>
  <c r="T1641" i="1"/>
  <c r="S1641" i="1"/>
  <c r="W1640" i="1"/>
  <c r="V1640" i="1"/>
  <c r="U1640" i="1"/>
  <c r="T1640" i="1"/>
  <c r="S1640" i="1"/>
  <c r="W1639" i="1"/>
  <c r="V1639" i="1"/>
  <c r="U1639" i="1"/>
  <c r="T1639" i="1"/>
  <c r="S1639" i="1"/>
  <c r="W1638" i="1"/>
  <c r="V1638" i="1"/>
  <c r="U1638" i="1"/>
  <c r="T1638" i="1"/>
  <c r="S1638" i="1"/>
  <c r="W1637" i="1"/>
  <c r="V1637" i="1"/>
  <c r="U1637" i="1"/>
  <c r="T1637" i="1"/>
  <c r="S1637" i="1"/>
  <c r="W1636" i="1"/>
  <c r="V1636" i="1"/>
  <c r="U1636" i="1"/>
  <c r="T1636" i="1"/>
  <c r="S1636" i="1"/>
  <c r="W1635" i="1"/>
  <c r="V1635" i="1"/>
  <c r="U1635" i="1"/>
  <c r="T1635" i="1"/>
  <c r="S1635" i="1"/>
  <c r="W1634" i="1"/>
  <c r="V1634" i="1"/>
  <c r="U1634" i="1"/>
  <c r="T1634" i="1"/>
  <c r="S1634" i="1"/>
  <c r="W1633" i="1"/>
  <c r="V1633" i="1"/>
  <c r="U1633" i="1"/>
  <c r="T1633" i="1"/>
  <c r="S1633" i="1"/>
  <c r="W1632" i="1"/>
  <c r="V1632" i="1"/>
  <c r="U1632" i="1"/>
  <c r="T1632" i="1"/>
  <c r="S1632" i="1"/>
  <c r="W1631" i="1"/>
  <c r="V1631" i="1"/>
  <c r="U1631" i="1"/>
  <c r="T1631" i="1"/>
  <c r="S1631" i="1"/>
  <c r="W1630" i="1"/>
  <c r="V1630" i="1"/>
  <c r="U1630" i="1"/>
  <c r="T1630" i="1"/>
  <c r="S1630" i="1"/>
  <c r="W1629" i="1"/>
  <c r="V1629" i="1"/>
  <c r="U1629" i="1"/>
  <c r="T1629" i="1"/>
  <c r="S1629" i="1"/>
  <c r="W1628" i="1"/>
  <c r="V1628" i="1"/>
  <c r="U1628" i="1"/>
  <c r="T1628" i="1"/>
  <c r="S1628" i="1"/>
  <c r="W1627" i="1"/>
  <c r="V1627" i="1"/>
  <c r="U1627" i="1"/>
  <c r="T1627" i="1"/>
  <c r="S1627" i="1"/>
  <c r="W1626" i="1"/>
  <c r="V1626" i="1"/>
  <c r="U1626" i="1"/>
  <c r="T1626" i="1"/>
  <c r="S1626" i="1"/>
  <c r="W1625" i="1"/>
  <c r="V1625" i="1"/>
  <c r="U1625" i="1"/>
  <c r="T1625" i="1"/>
  <c r="S1625" i="1"/>
  <c r="W1624" i="1"/>
  <c r="V1624" i="1"/>
  <c r="U1624" i="1"/>
  <c r="T1624" i="1"/>
  <c r="S1624" i="1"/>
  <c r="W1623" i="1"/>
  <c r="V1623" i="1"/>
  <c r="U1623" i="1"/>
  <c r="T1623" i="1"/>
  <c r="S1623" i="1"/>
  <c r="W1622" i="1"/>
  <c r="V1622" i="1"/>
  <c r="U1622" i="1"/>
  <c r="T1622" i="1"/>
  <c r="S1622" i="1"/>
  <c r="W1621" i="1"/>
  <c r="V1621" i="1"/>
  <c r="U1621" i="1"/>
  <c r="T1621" i="1"/>
  <c r="S1621" i="1"/>
  <c r="W1620" i="1"/>
  <c r="V1620" i="1"/>
  <c r="U1620" i="1"/>
  <c r="T1620" i="1"/>
  <c r="S1620" i="1"/>
  <c r="W1619" i="1"/>
  <c r="V1619" i="1"/>
  <c r="U1619" i="1"/>
  <c r="T1619" i="1"/>
  <c r="S1619" i="1"/>
  <c r="W1618" i="1"/>
  <c r="V1618" i="1"/>
  <c r="U1618" i="1"/>
  <c r="T1618" i="1"/>
  <c r="S1618" i="1"/>
  <c r="W1617" i="1"/>
  <c r="V1617" i="1"/>
  <c r="U1617" i="1"/>
  <c r="T1617" i="1"/>
  <c r="S1617" i="1"/>
  <c r="W1616" i="1"/>
  <c r="V1616" i="1"/>
  <c r="U1616" i="1"/>
  <c r="T1616" i="1"/>
  <c r="S1616" i="1"/>
  <c r="W1615" i="1"/>
  <c r="V1615" i="1"/>
  <c r="U1615" i="1"/>
  <c r="T1615" i="1"/>
  <c r="S1615" i="1"/>
  <c r="W1614" i="1"/>
  <c r="V1614" i="1"/>
  <c r="U1614" i="1"/>
  <c r="T1614" i="1"/>
  <c r="S1614" i="1"/>
  <c r="W1613" i="1"/>
  <c r="V1613" i="1"/>
  <c r="U1613" i="1"/>
  <c r="T1613" i="1"/>
  <c r="S1613" i="1"/>
  <c r="W1612" i="1"/>
  <c r="V1612" i="1"/>
  <c r="U1612" i="1"/>
  <c r="T1612" i="1"/>
  <c r="S1612" i="1"/>
  <c r="W1611" i="1"/>
  <c r="V1611" i="1"/>
  <c r="U1611" i="1"/>
  <c r="T1611" i="1"/>
  <c r="S1611" i="1"/>
  <c r="W1610" i="1"/>
  <c r="V1610" i="1"/>
  <c r="U1610" i="1"/>
  <c r="T1610" i="1"/>
  <c r="S1610" i="1"/>
  <c r="W1609" i="1"/>
  <c r="V1609" i="1"/>
  <c r="U1609" i="1"/>
  <c r="T1609" i="1"/>
  <c r="S1609" i="1"/>
  <c r="W1608" i="1"/>
  <c r="V1608" i="1"/>
  <c r="U1608" i="1"/>
  <c r="T1608" i="1"/>
  <c r="S1608" i="1"/>
  <c r="W1607" i="1"/>
  <c r="V1607" i="1"/>
  <c r="U1607" i="1"/>
  <c r="T1607" i="1"/>
  <c r="S1607" i="1"/>
  <c r="W1606" i="1"/>
  <c r="V1606" i="1"/>
  <c r="U1606" i="1"/>
  <c r="T1606" i="1"/>
  <c r="S1606" i="1"/>
  <c r="W1605" i="1"/>
  <c r="V1605" i="1"/>
  <c r="U1605" i="1"/>
  <c r="T1605" i="1"/>
  <c r="S1605" i="1"/>
  <c r="W1604" i="1"/>
  <c r="V1604" i="1"/>
  <c r="U1604" i="1"/>
  <c r="T1604" i="1"/>
  <c r="S1604" i="1"/>
  <c r="W1603" i="1"/>
  <c r="V1603" i="1"/>
  <c r="U1603" i="1"/>
  <c r="T1603" i="1"/>
  <c r="S1603" i="1"/>
  <c r="W1602" i="1"/>
  <c r="V1602" i="1"/>
  <c r="U1602" i="1"/>
  <c r="T1602" i="1"/>
  <c r="S1602" i="1"/>
  <c r="W1601" i="1"/>
  <c r="V1601" i="1"/>
  <c r="U1601" i="1"/>
  <c r="T1601" i="1"/>
  <c r="S1601" i="1"/>
  <c r="W1600" i="1"/>
  <c r="V1600" i="1"/>
  <c r="U1600" i="1"/>
  <c r="T1600" i="1"/>
  <c r="S1600" i="1"/>
  <c r="W1599" i="1"/>
  <c r="V1599" i="1"/>
  <c r="U1599" i="1"/>
  <c r="T1599" i="1"/>
  <c r="S1599" i="1"/>
  <c r="W1598" i="1"/>
  <c r="V1598" i="1"/>
  <c r="U1598" i="1"/>
  <c r="T1598" i="1"/>
  <c r="S1598" i="1"/>
  <c r="W1597" i="1"/>
  <c r="V1597" i="1"/>
  <c r="U1597" i="1"/>
  <c r="T1597" i="1"/>
  <c r="S1597" i="1"/>
  <c r="W1596" i="1"/>
  <c r="V1596" i="1"/>
  <c r="U1596" i="1"/>
  <c r="T1596" i="1"/>
  <c r="S1596" i="1"/>
  <c r="W1595" i="1"/>
  <c r="V1595" i="1"/>
  <c r="U1595" i="1"/>
  <c r="T1595" i="1"/>
  <c r="S1595" i="1"/>
  <c r="W1594" i="1"/>
  <c r="V1594" i="1"/>
  <c r="U1594" i="1"/>
  <c r="T1594" i="1"/>
  <c r="S1594" i="1"/>
  <c r="W1593" i="1"/>
  <c r="V1593" i="1"/>
  <c r="U1593" i="1"/>
  <c r="T1593" i="1"/>
  <c r="S1593" i="1"/>
  <c r="W1592" i="1"/>
  <c r="V1592" i="1"/>
  <c r="U1592" i="1"/>
  <c r="T1592" i="1"/>
  <c r="S1592" i="1"/>
  <c r="W1591" i="1"/>
  <c r="V1591" i="1"/>
  <c r="U1591" i="1"/>
  <c r="T1591" i="1"/>
  <c r="S1591" i="1"/>
  <c r="W1590" i="1"/>
  <c r="V1590" i="1"/>
  <c r="U1590" i="1"/>
  <c r="T1590" i="1"/>
  <c r="S1590" i="1"/>
  <c r="W1589" i="1"/>
  <c r="V1589" i="1"/>
  <c r="U1589" i="1"/>
  <c r="T1589" i="1"/>
  <c r="S1589" i="1"/>
  <c r="W1588" i="1"/>
  <c r="V1588" i="1"/>
  <c r="U1588" i="1"/>
  <c r="T1588" i="1"/>
  <c r="S1588" i="1"/>
  <c r="W1587" i="1"/>
  <c r="V1587" i="1"/>
  <c r="U1587" i="1"/>
  <c r="T1587" i="1"/>
  <c r="S1587" i="1"/>
  <c r="W1586" i="1"/>
  <c r="V1586" i="1"/>
  <c r="U1586" i="1"/>
  <c r="T1586" i="1"/>
  <c r="S1586" i="1"/>
  <c r="W1585" i="1"/>
  <c r="V1585" i="1"/>
  <c r="U1585" i="1"/>
  <c r="T1585" i="1"/>
  <c r="S1585" i="1"/>
  <c r="W1584" i="1"/>
  <c r="V1584" i="1"/>
  <c r="U1584" i="1"/>
  <c r="T1584" i="1"/>
  <c r="S1584" i="1"/>
  <c r="W1583" i="1"/>
  <c r="V1583" i="1"/>
  <c r="U1583" i="1"/>
  <c r="T1583" i="1"/>
  <c r="S1583" i="1"/>
  <c r="W1582" i="1"/>
  <c r="V1582" i="1"/>
  <c r="U1582" i="1"/>
  <c r="T1582" i="1"/>
  <c r="S1582" i="1"/>
  <c r="W1581" i="1"/>
  <c r="V1581" i="1"/>
  <c r="U1581" i="1"/>
  <c r="T1581" i="1"/>
  <c r="S1581" i="1"/>
  <c r="W1580" i="1"/>
  <c r="V1580" i="1"/>
  <c r="U1580" i="1"/>
  <c r="T1580" i="1"/>
  <c r="S1580" i="1"/>
  <c r="W1579" i="1"/>
  <c r="V1579" i="1"/>
  <c r="U1579" i="1"/>
  <c r="T1579" i="1"/>
  <c r="S1579" i="1"/>
  <c r="W1578" i="1"/>
  <c r="V1578" i="1"/>
  <c r="U1578" i="1"/>
  <c r="T1578" i="1"/>
  <c r="S1578" i="1"/>
  <c r="W1577" i="1"/>
  <c r="V1577" i="1"/>
  <c r="U1577" i="1"/>
  <c r="T1577" i="1"/>
  <c r="S1577" i="1"/>
  <c r="W1576" i="1"/>
  <c r="V1576" i="1"/>
  <c r="U1576" i="1"/>
  <c r="T1576" i="1"/>
  <c r="S1576" i="1"/>
  <c r="W1575" i="1"/>
  <c r="V1575" i="1"/>
  <c r="U1575" i="1"/>
  <c r="T1575" i="1"/>
  <c r="S1575" i="1"/>
  <c r="W1574" i="1"/>
  <c r="V1574" i="1"/>
  <c r="U1574" i="1"/>
  <c r="T1574" i="1"/>
  <c r="S1574" i="1"/>
  <c r="W1573" i="1"/>
  <c r="V1573" i="1"/>
  <c r="U1573" i="1"/>
  <c r="T1573" i="1"/>
  <c r="S1573" i="1"/>
  <c r="W1572" i="1"/>
  <c r="V1572" i="1"/>
  <c r="U1572" i="1"/>
  <c r="T1572" i="1"/>
  <c r="S1572" i="1"/>
  <c r="W1571" i="1"/>
  <c r="V1571" i="1"/>
  <c r="U1571" i="1"/>
  <c r="T1571" i="1"/>
  <c r="S1571" i="1"/>
  <c r="W1570" i="1"/>
  <c r="V1570" i="1"/>
  <c r="U1570" i="1"/>
  <c r="T1570" i="1"/>
  <c r="S1570" i="1"/>
  <c r="W1569" i="1"/>
  <c r="V1569" i="1"/>
  <c r="U1569" i="1"/>
  <c r="T1569" i="1"/>
  <c r="S1569" i="1"/>
  <c r="W1568" i="1"/>
  <c r="V1568" i="1"/>
  <c r="U1568" i="1"/>
  <c r="T1568" i="1"/>
  <c r="S1568" i="1"/>
  <c r="W1567" i="1"/>
  <c r="V1567" i="1"/>
  <c r="U1567" i="1"/>
  <c r="T1567" i="1"/>
  <c r="S1567" i="1"/>
  <c r="W1566" i="1"/>
  <c r="V1566" i="1"/>
  <c r="U1566" i="1"/>
  <c r="T1566" i="1"/>
  <c r="S1566" i="1"/>
  <c r="W1565" i="1"/>
  <c r="V1565" i="1"/>
  <c r="U1565" i="1"/>
  <c r="T1565" i="1"/>
  <c r="S1565" i="1"/>
  <c r="W1564" i="1"/>
  <c r="V1564" i="1"/>
  <c r="U1564" i="1"/>
  <c r="T1564" i="1"/>
  <c r="S1564" i="1"/>
  <c r="W1563" i="1"/>
  <c r="V1563" i="1"/>
  <c r="U1563" i="1"/>
  <c r="T1563" i="1"/>
  <c r="S1563" i="1"/>
  <c r="W1562" i="1"/>
  <c r="V1562" i="1"/>
  <c r="U1562" i="1"/>
  <c r="T1562" i="1"/>
  <c r="S1562" i="1"/>
  <c r="W1561" i="1"/>
  <c r="V1561" i="1"/>
  <c r="U1561" i="1"/>
  <c r="T1561" i="1"/>
  <c r="S1561" i="1"/>
  <c r="W1560" i="1"/>
  <c r="V1560" i="1"/>
  <c r="U1560" i="1"/>
  <c r="T1560" i="1"/>
  <c r="S1560" i="1"/>
  <c r="W1559" i="1"/>
  <c r="V1559" i="1"/>
  <c r="U1559" i="1"/>
  <c r="T1559" i="1"/>
  <c r="S1559" i="1"/>
  <c r="W1558" i="1"/>
  <c r="V1558" i="1"/>
  <c r="U1558" i="1"/>
  <c r="T1558" i="1"/>
  <c r="S1558" i="1"/>
  <c r="W1557" i="1"/>
  <c r="V1557" i="1"/>
  <c r="U1557" i="1"/>
  <c r="T1557" i="1"/>
  <c r="S1557" i="1"/>
  <c r="W1556" i="1"/>
  <c r="V1556" i="1"/>
  <c r="U1556" i="1"/>
  <c r="T1556" i="1"/>
  <c r="S1556" i="1"/>
  <c r="W1555" i="1"/>
  <c r="V1555" i="1"/>
  <c r="U1555" i="1"/>
  <c r="T1555" i="1"/>
  <c r="S1555" i="1"/>
  <c r="W1554" i="1"/>
  <c r="V1554" i="1"/>
  <c r="U1554" i="1"/>
  <c r="T1554" i="1"/>
  <c r="S1554" i="1"/>
  <c r="W1553" i="1"/>
  <c r="V1553" i="1"/>
  <c r="U1553" i="1"/>
  <c r="T1553" i="1"/>
  <c r="S1553" i="1"/>
  <c r="W1552" i="1"/>
  <c r="V1552" i="1"/>
  <c r="U1552" i="1"/>
  <c r="T1552" i="1"/>
  <c r="S1552" i="1"/>
  <c r="W1551" i="1"/>
  <c r="V1551" i="1"/>
  <c r="U1551" i="1"/>
  <c r="T1551" i="1"/>
  <c r="S1551" i="1"/>
  <c r="W1550" i="1"/>
  <c r="V1550" i="1"/>
  <c r="U1550" i="1"/>
  <c r="T1550" i="1"/>
  <c r="S1550" i="1"/>
  <c r="W1549" i="1"/>
  <c r="V1549" i="1"/>
  <c r="U1549" i="1"/>
  <c r="T1549" i="1"/>
  <c r="S1549" i="1"/>
  <c r="W1548" i="1"/>
  <c r="V1548" i="1"/>
  <c r="U1548" i="1"/>
  <c r="T1548" i="1"/>
  <c r="S1548" i="1"/>
  <c r="W1547" i="1"/>
  <c r="V1547" i="1"/>
  <c r="U1547" i="1"/>
  <c r="T1547" i="1"/>
  <c r="S1547" i="1"/>
  <c r="W1546" i="1"/>
  <c r="V1546" i="1"/>
  <c r="U1546" i="1"/>
  <c r="T1546" i="1"/>
  <c r="S1546" i="1"/>
  <c r="W1545" i="1"/>
  <c r="V1545" i="1"/>
  <c r="U1545" i="1"/>
  <c r="T1545" i="1"/>
  <c r="S1545" i="1"/>
  <c r="W1544" i="1"/>
  <c r="V1544" i="1"/>
  <c r="U1544" i="1"/>
  <c r="T1544" i="1"/>
  <c r="S1544" i="1"/>
  <c r="W1543" i="1"/>
  <c r="V1543" i="1"/>
  <c r="U1543" i="1"/>
  <c r="T1543" i="1"/>
  <c r="S1543" i="1"/>
  <c r="W1542" i="1"/>
  <c r="V1542" i="1"/>
  <c r="U1542" i="1"/>
  <c r="T1542" i="1"/>
  <c r="S1542" i="1"/>
  <c r="W1541" i="1"/>
  <c r="V1541" i="1"/>
  <c r="U1541" i="1"/>
  <c r="T1541" i="1"/>
  <c r="S1541" i="1"/>
  <c r="W1540" i="1"/>
  <c r="V1540" i="1"/>
  <c r="U1540" i="1"/>
  <c r="T1540" i="1"/>
  <c r="S1540" i="1"/>
  <c r="W1539" i="1"/>
  <c r="V1539" i="1"/>
  <c r="U1539" i="1"/>
  <c r="T1539" i="1"/>
  <c r="S1539" i="1"/>
  <c r="W1538" i="1"/>
  <c r="V1538" i="1"/>
  <c r="U1538" i="1"/>
  <c r="T1538" i="1"/>
  <c r="S1538" i="1"/>
  <c r="W1537" i="1"/>
  <c r="V1537" i="1"/>
  <c r="U1537" i="1"/>
  <c r="T1537" i="1"/>
  <c r="S1537" i="1"/>
  <c r="W1536" i="1"/>
  <c r="V1536" i="1"/>
  <c r="U1536" i="1"/>
  <c r="T1536" i="1"/>
  <c r="S1536" i="1"/>
  <c r="W1535" i="1"/>
  <c r="V1535" i="1"/>
  <c r="U1535" i="1"/>
  <c r="T1535" i="1"/>
  <c r="S1535" i="1"/>
  <c r="W1534" i="1"/>
  <c r="V1534" i="1"/>
  <c r="U1534" i="1"/>
  <c r="T1534" i="1"/>
  <c r="S1534" i="1"/>
  <c r="W1533" i="1"/>
  <c r="V1533" i="1"/>
  <c r="U1533" i="1"/>
  <c r="T1533" i="1"/>
  <c r="S1533" i="1"/>
  <c r="W1532" i="1"/>
  <c r="V1532" i="1"/>
  <c r="U1532" i="1"/>
  <c r="T1532" i="1"/>
  <c r="S1532" i="1"/>
  <c r="W1531" i="1"/>
  <c r="V1531" i="1"/>
  <c r="U1531" i="1"/>
  <c r="T1531" i="1"/>
  <c r="S1531" i="1"/>
  <c r="W1530" i="1"/>
  <c r="V1530" i="1"/>
  <c r="U1530" i="1"/>
  <c r="T1530" i="1"/>
  <c r="S1530" i="1"/>
  <c r="W1529" i="1"/>
  <c r="V1529" i="1"/>
  <c r="U1529" i="1"/>
  <c r="T1529" i="1"/>
  <c r="S1529" i="1"/>
  <c r="W1528" i="1"/>
  <c r="V1528" i="1"/>
  <c r="U1528" i="1"/>
  <c r="T1528" i="1"/>
  <c r="S1528" i="1"/>
  <c r="W1527" i="1"/>
  <c r="V1527" i="1"/>
  <c r="U1527" i="1"/>
  <c r="T1527" i="1"/>
  <c r="S1527" i="1"/>
  <c r="W1526" i="1"/>
  <c r="V1526" i="1"/>
  <c r="U1526" i="1"/>
  <c r="T1526" i="1"/>
  <c r="S1526" i="1"/>
  <c r="W1525" i="1"/>
  <c r="V1525" i="1"/>
  <c r="U1525" i="1"/>
  <c r="T1525" i="1"/>
  <c r="S1525" i="1"/>
  <c r="W1524" i="1"/>
  <c r="V1524" i="1"/>
  <c r="U1524" i="1"/>
  <c r="T1524" i="1"/>
  <c r="S1524" i="1"/>
  <c r="W1523" i="1"/>
  <c r="V1523" i="1"/>
  <c r="U1523" i="1"/>
  <c r="T1523" i="1"/>
  <c r="S1523" i="1"/>
  <c r="W1522" i="1"/>
  <c r="V1522" i="1"/>
  <c r="U1522" i="1"/>
  <c r="T1522" i="1"/>
  <c r="S1522" i="1"/>
  <c r="W1521" i="1"/>
  <c r="V1521" i="1"/>
  <c r="U1521" i="1"/>
  <c r="T1521" i="1"/>
  <c r="S1521" i="1"/>
  <c r="W1520" i="1"/>
  <c r="V1520" i="1"/>
  <c r="U1520" i="1"/>
  <c r="T1520" i="1"/>
  <c r="S1520" i="1"/>
  <c r="W1519" i="1"/>
  <c r="V1519" i="1"/>
  <c r="U1519" i="1"/>
  <c r="T1519" i="1"/>
  <c r="S1519" i="1"/>
  <c r="W1518" i="1"/>
  <c r="V1518" i="1"/>
  <c r="U1518" i="1"/>
  <c r="T1518" i="1"/>
  <c r="S1518" i="1"/>
  <c r="W1517" i="1"/>
  <c r="V1517" i="1"/>
  <c r="U1517" i="1"/>
  <c r="T1517" i="1"/>
  <c r="S1517" i="1"/>
  <c r="W1516" i="1"/>
  <c r="V1516" i="1"/>
  <c r="U1516" i="1"/>
  <c r="T1516" i="1"/>
  <c r="S1516" i="1"/>
  <c r="W1515" i="1"/>
  <c r="V1515" i="1"/>
  <c r="U1515" i="1"/>
  <c r="T1515" i="1"/>
  <c r="S1515" i="1"/>
  <c r="W1514" i="1"/>
  <c r="V1514" i="1"/>
  <c r="U1514" i="1"/>
  <c r="T1514" i="1"/>
  <c r="S1514" i="1"/>
  <c r="W1513" i="1"/>
  <c r="V1513" i="1"/>
  <c r="U1513" i="1"/>
  <c r="T1513" i="1"/>
  <c r="S1513" i="1"/>
  <c r="W1512" i="1"/>
  <c r="V1512" i="1"/>
  <c r="U1512" i="1"/>
  <c r="T1512" i="1"/>
  <c r="S1512" i="1"/>
  <c r="W1511" i="1"/>
  <c r="V1511" i="1"/>
  <c r="U1511" i="1"/>
  <c r="T1511" i="1"/>
  <c r="S1511" i="1"/>
  <c r="W1510" i="1"/>
  <c r="V1510" i="1"/>
  <c r="U1510" i="1"/>
  <c r="T1510" i="1"/>
  <c r="S1510" i="1"/>
  <c r="W1509" i="1"/>
  <c r="V1509" i="1"/>
  <c r="U1509" i="1"/>
  <c r="T1509" i="1"/>
  <c r="S1509" i="1"/>
  <c r="W1508" i="1"/>
  <c r="V1508" i="1"/>
  <c r="U1508" i="1"/>
  <c r="T1508" i="1"/>
  <c r="S1508" i="1"/>
  <c r="W1507" i="1"/>
  <c r="V1507" i="1"/>
  <c r="U1507" i="1"/>
  <c r="T1507" i="1"/>
  <c r="S1507" i="1"/>
  <c r="W1506" i="1"/>
  <c r="V1506" i="1"/>
  <c r="U1506" i="1"/>
  <c r="T1506" i="1"/>
  <c r="S1506" i="1"/>
  <c r="W1505" i="1"/>
  <c r="V1505" i="1"/>
  <c r="U1505" i="1"/>
  <c r="T1505" i="1"/>
  <c r="S1505" i="1"/>
  <c r="W1504" i="1"/>
  <c r="V1504" i="1"/>
  <c r="U1504" i="1"/>
  <c r="T1504" i="1"/>
  <c r="S1504" i="1"/>
  <c r="W1503" i="1"/>
  <c r="V1503" i="1"/>
  <c r="U1503" i="1"/>
  <c r="T1503" i="1"/>
  <c r="S1503" i="1"/>
  <c r="W1502" i="1"/>
  <c r="V1502" i="1"/>
  <c r="U1502" i="1"/>
  <c r="T1502" i="1"/>
  <c r="S1502" i="1"/>
  <c r="W1501" i="1"/>
  <c r="V1501" i="1"/>
  <c r="U1501" i="1"/>
  <c r="T1501" i="1"/>
  <c r="S1501" i="1"/>
  <c r="W1500" i="1"/>
  <c r="V1500" i="1"/>
  <c r="U1500" i="1"/>
  <c r="T1500" i="1"/>
  <c r="S1500" i="1"/>
  <c r="W1499" i="1"/>
  <c r="V1499" i="1"/>
  <c r="U1499" i="1"/>
  <c r="T1499" i="1"/>
  <c r="S1499" i="1"/>
  <c r="W1498" i="1"/>
  <c r="V1498" i="1"/>
  <c r="U1498" i="1"/>
  <c r="T1498" i="1"/>
  <c r="S1498" i="1"/>
  <c r="W1497" i="1"/>
  <c r="V1497" i="1"/>
  <c r="U1497" i="1"/>
  <c r="T1497" i="1"/>
  <c r="S1497" i="1"/>
  <c r="W1496" i="1"/>
  <c r="V1496" i="1"/>
  <c r="U1496" i="1"/>
  <c r="T1496" i="1"/>
  <c r="S1496" i="1"/>
  <c r="W1495" i="1"/>
  <c r="V1495" i="1"/>
  <c r="U1495" i="1"/>
  <c r="T1495" i="1"/>
  <c r="S1495" i="1"/>
  <c r="W1494" i="1"/>
  <c r="V1494" i="1"/>
  <c r="U1494" i="1"/>
  <c r="T1494" i="1"/>
  <c r="S1494" i="1"/>
  <c r="W1493" i="1"/>
  <c r="V1493" i="1"/>
  <c r="U1493" i="1"/>
  <c r="T1493" i="1"/>
  <c r="S1493" i="1"/>
  <c r="W1492" i="1"/>
  <c r="V1492" i="1"/>
  <c r="U1492" i="1"/>
  <c r="T1492" i="1"/>
  <c r="S1492" i="1"/>
  <c r="W1491" i="1"/>
  <c r="V1491" i="1"/>
  <c r="U1491" i="1"/>
  <c r="T1491" i="1"/>
  <c r="S1491" i="1"/>
  <c r="W1490" i="1"/>
  <c r="V1490" i="1"/>
  <c r="U1490" i="1"/>
  <c r="T1490" i="1"/>
  <c r="S1490" i="1"/>
  <c r="W1489" i="1"/>
  <c r="V1489" i="1"/>
  <c r="U1489" i="1"/>
  <c r="T1489" i="1"/>
  <c r="S1489" i="1"/>
  <c r="W1488" i="1"/>
  <c r="V1488" i="1"/>
  <c r="U1488" i="1"/>
  <c r="T1488" i="1"/>
  <c r="S1488" i="1"/>
  <c r="W1487" i="1"/>
  <c r="V1487" i="1"/>
  <c r="U1487" i="1"/>
  <c r="T1487" i="1"/>
  <c r="S1487" i="1"/>
  <c r="W1486" i="1"/>
  <c r="V1486" i="1"/>
  <c r="U1486" i="1"/>
  <c r="T1486" i="1"/>
  <c r="S1486" i="1"/>
  <c r="W1485" i="1"/>
  <c r="V1485" i="1"/>
  <c r="U1485" i="1"/>
  <c r="T1485" i="1"/>
  <c r="S1485" i="1"/>
  <c r="W1484" i="1"/>
  <c r="V1484" i="1"/>
  <c r="U1484" i="1"/>
  <c r="T1484" i="1"/>
  <c r="S1484" i="1"/>
  <c r="W1483" i="1"/>
  <c r="V1483" i="1"/>
  <c r="U1483" i="1"/>
  <c r="T1483" i="1"/>
  <c r="S1483" i="1"/>
  <c r="W1482" i="1"/>
  <c r="V1482" i="1"/>
  <c r="U1482" i="1"/>
  <c r="T1482" i="1"/>
  <c r="S1482" i="1"/>
  <c r="W1481" i="1"/>
  <c r="V1481" i="1"/>
  <c r="U1481" i="1"/>
  <c r="T1481" i="1"/>
  <c r="S1481" i="1"/>
  <c r="W1480" i="1"/>
  <c r="V1480" i="1"/>
  <c r="U1480" i="1"/>
  <c r="T1480" i="1"/>
  <c r="S1480" i="1"/>
  <c r="W1479" i="1"/>
  <c r="V1479" i="1"/>
  <c r="U1479" i="1"/>
  <c r="T1479" i="1"/>
  <c r="S1479" i="1"/>
  <c r="W1478" i="1"/>
  <c r="V1478" i="1"/>
  <c r="U1478" i="1"/>
  <c r="T1478" i="1"/>
  <c r="S1478" i="1"/>
  <c r="W1477" i="1"/>
  <c r="V1477" i="1"/>
  <c r="U1477" i="1"/>
  <c r="T1477" i="1"/>
  <c r="S1477" i="1"/>
  <c r="W1476" i="1"/>
  <c r="V1476" i="1"/>
  <c r="U1476" i="1"/>
  <c r="T1476" i="1"/>
  <c r="S1476" i="1"/>
  <c r="W1475" i="1"/>
  <c r="V1475" i="1"/>
  <c r="U1475" i="1"/>
  <c r="T1475" i="1"/>
  <c r="S1475" i="1"/>
  <c r="W1474" i="1"/>
  <c r="V1474" i="1"/>
  <c r="U1474" i="1"/>
  <c r="T1474" i="1"/>
  <c r="S1474" i="1"/>
  <c r="W1473" i="1"/>
  <c r="V1473" i="1"/>
  <c r="U1473" i="1"/>
  <c r="T1473" i="1"/>
  <c r="S1473" i="1"/>
  <c r="W1472" i="1"/>
  <c r="V1472" i="1"/>
  <c r="U1472" i="1"/>
  <c r="T1472" i="1"/>
  <c r="S1472" i="1"/>
  <c r="W1471" i="1"/>
  <c r="V1471" i="1"/>
  <c r="U1471" i="1"/>
  <c r="T1471" i="1"/>
  <c r="S1471" i="1"/>
  <c r="W1470" i="1"/>
  <c r="V1470" i="1"/>
  <c r="U1470" i="1"/>
  <c r="T1470" i="1"/>
  <c r="S1470" i="1"/>
  <c r="W1469" i="1"/>
  <c r="V1469" i="1"/>
  <c r="U1469" i="1"/>
  <c r="T1469" i="1"/>
  <c r="S1469" i="1"/>
  <c r="W1468" i="1"/>
  <c r="V1468" i="1"/>
  <c r="U1468" i="1"/>
  <c r="T1468" i="1"/>
  <c r="S1468" i="1"/>
  <c r="W1467" i="1"/>
  <c r="V1467" i="1"/>
  <c r="U1467" i="1"/>
  <c r="T1467" i="1"/>
  <c r="S1467" i="1"/>
  <c r="W1466" i="1"/>
  <c r="V1466" i="1"/>
  <c r="U1466" i="1"/>
  <c r="T1466" i="1"/>
  <c r="S1466" i="1"/>
  <c r="W1465" i="1"/>
  <c r="V1465" i="1"/>
  <c r="U1465" i="1"/>
  <c r="T1465" i="1"/>
  <c r="S1465" i="1"/>
  <c r="W1464" i="1"/>
  <c r="V1464" i="1"/>
  <c r="U1464" i="1"/>
  <c r="T1464" i="1"/>
  <c r="S1464" i="1"/>
  <c r="W1463" i="1"/>
  <c r="V1463" i="1"/>
  <c r="U1463" i="1"/>
  <c r="T1463" i="1"/>
  <c r="S1463" i="1"/>
  <c r="W1462" i="1"/>
  <c r="V1462" i="1"/>
  <c r="U1462" i="1"/>
  <c r="T1462" i="1"/>
  <c r="S1462" i="1"/>
  <c r="W1461" i="1"/>
  <c r="V1461" i="1"/>
  <c r="U1461" i="1"/>
  <c r="T1461" i="1"/>
  <c r="S1461" i="1"/>
  <c r="W1460" i="1"/>
  <c r="V1460" i="1"/>
  <c r="U1460" i="1"/>
  <c r="T1460" i="1"/>
  <c r="S1460" i="1"/>
  <c r="W1459" i="1"/>
  <c r="V1459" i="1"/>
  <c r="U1459" i="1"/>
  <c r="T1459" i="1"/>
  <c r="S1459" i="1"/>
  <c r="W1458" i="1"/>
  <c r="V1458" i="1"/>
  <c r="U1458" i="1"/>
  <c r="T1458" i="1"/>
  <c r="S1458" i="1"/>
  <c r="W1457" i="1"/>
  <c r="V1457" i="1"/>
  <c r="U1457" i="1"/>
  <c r="T1457" i="1"/>
  <c r="S1457" i="1"/>
  <c r="W1456" i="1"/>
  <c r="V1456" i="1"/>
  <c r="U1456" i="1"/>
  <c r="T1456" i="1"/>
  <c r="S1456" i="1"/>
  <c r="W1455" i="1"/>
  <c r="V1455" i="1"/>
  <c r="U1455" i="1"/>
  <c r="T1455" i="1"/>
  <c r="S1455" i="1"/>
  <c r="W1454" i="1"/>
  <c r="V1454" i="1"/>
  <c r="U1454" i="1"/>
  <c r="T1454" i="1"/>
  <c r="S1454" i="1"/>
  <c r="W1453" i="1"/>
  <c r="V1453" i="1"/>
  <c r="U1453" i="1"/>
  <c r="T1453" i="1"/>
  <c r="S1453" i="1"/>
  <c r="W1452" i="1"/>
  <c r="V1452" i="1"/>
  <c r="U1452" i="1"/>
  <c r="T1452" i="1"/>
  <c r="S1452" i="1"/>
  <c r="W1451" i="1"/>
  <c r="V1451" i="1"/>
  <c r="U1451" i="1"/>
  <c r="T1451" i="1"/>
  <c r="S1451" i="1"/>
  <c r="W1450" i="1"/>
  <c r="V1450" i="1"/>
  <c r="U1450" i="1"/>
  <c r="T1450" i="1"/>
  <c r="S1450" i="1"/>
  <c r="W1449" i="1"/>
  <c r="V1449" i="1"/>
  <c r="U1449" i="1"/>
  <c r="T1449" i="1"/>
  <c r="S1449" i="1"/>
  <c r="W1448" i="1"/>
  <c r="V1448" i="1"/>
  <c r="U1448" i="1"/>
  <c r="T1448" i="1"/>
  <c r="S1448" i="1"/>
  <c r="W1447" i="1"/>
  <c r="V1447" i="1"/>
  <c r="U1447" i="1"/>
  <c r="T1447" i="1"/>
  <c r="S1447" i="1"/>
  <c r="W1446" i="1"/>
  <c r="V1446" i="1"/>
  <c r="U1446" i="1"/>
  <c r="T1446" i="1"/>
  <c r="S1446" i="1"/>
  <c r="W1445" i="1"/>
  <c r="V1445" i="1"/>
  <c r="U1445" i="1"/>
  <c r="T1445" i="1"/>
  <c r="S1445" i="1"/>
  <c r="W1444" i="1"/>
  <c r="V1444" i="1"/>
  <c r="U1444" i="1"/>
  <c r="T1444" i="1"/>
  <c r="S1444" i="1"/>
  <c r="W1443" i="1"/>
  <c r="V1443" i="1"/>
  <c r="U1443" i="1"/>
  <c r="T1443" i="1"/>
  <c r="S1443" i="1"/>
  <c r="W1442" i="1"/>
  <c r="V1442" i="1"/>
  <c r="U1442" i="1"/>
  <c r="T1442" i="1"/>
  <c r="S1442" i="1"/>
  <c r="W1441" i="1"/>
  <c r="V1441" i="1"/>
  <c r="U1441" i="1"/>
  <c r="T1441" i="1"/>
  <c r="S1441" i="1"/>
  <c r="W1440" i="1"/>
  <c r="V1440" i="1"/>
  <c r="U1440" i="1"/>
  <c r="T1440" i="1"/>
  <c r="S1440" i="1"/>
  <c r="W1439" i="1"/>
  <c r="V1439" i="1"/>
  <c r="U1439" i="1"/>
  <c r="T1439" i="1"/>
  <c r="S1439" i="1"/>
  <c r="W1438" i="1"/>
  <c r="V1438" i="1"/>
  <c r="U1438" i="1"/>
  <c r="T1438" i="1"/>
  <c r="S1438" i="1"/>
  <c r="W1437" i="1"/>
  <c r="V1437" i="1"/>
  <c r="U1437" i="1"/>
  <c r="T1437" i="1"/>
  <c r="S1437" i="1"/>
  <c r="W1436" i="1"/>
  <c r="V1436" i="1"/>
  <c r="U1436" i="1"/>
  <c r="T1436" i="1"/>
  <c r="S1436" i="1"/>
  <c r="W1435" i="1"/>
  <c r="V1435" i="1"/>
  <c r="U1435" i="1"/>
  <c r="T1435" i="1"/>
  <c r="S1435" i="1"/>
  <c r="W1434" i="1"/>
  <c r="V1434" i="1"/>
  <c r="U1434" i="1"/>
  <c r="T1434" i="1"/>
  <c r="S1434" i="1"/>
  <c r="W1433" i="1"/>
  <c r="V1433" i="1"/>
  <c r="U1433" i="1"/>
  <c r="T1433" i="1"/>
  <c r="S1433" i="1"/>
  <c r="W1432" i="1"/>
  <c r="V1432" i="1"/>
  <c r="U1432" i="1"/>
  <c r="T1432" i="1"/>
  <c r="S1432" i="1"/>
  <c r="W1431" i="1"/>
  <c r="V1431" i="1"/>
  <c r="U1431" i="1"/>
  <c r="T1431" i="1"/>
  <c r="S1431" i="1"/>
  <c r="W1430" i="1"/>
  <c r="V1430" i="1"/>
  <c r="U1430" i="1"/>
  <c r="T1430" i="1"/>
  <c r="S1430" i="1"/>
  <c r="W1429" i="1"/>
  <c r="V1429" i="1"/>
  <c r="U1429" i="1"/>
  <c r="T1429" i="1"/>
  <c r="S1429" i="1"/>
  <c r="W1428" i="1"/>
  <c r="V1428" i="1"/>
  <c r="U1428" i="1"/>
  <c r="T1428" i="1"/>
  <c r="S1428" i="1"/>
  <c r="W1427" i="1"/>
  <c r="V1427" i="1"/>
  <c r="U1427" i="1"/>
  <c r="T1427" i="1"/>
  <c r="S1427" i="1"/>
  <c r="W1426" i="1"/>
  <c r="V1426" i="1"/>
  <c r="U1426" i="1"/>
  <c r="T1426" i="1"/>
  <c r="S1426" i="1"/>
  <c r="W1425" i="1"/>
  <c r="V1425" i="1"/>
  <c r="U1425" i="1"/>
  <c r="T1425" i="1"/>
  <c r="S1425" i="1"/>
  <c r="W1424" i="1"/>
  <c r="V1424" i="1"/>
  <c r="U1424" i="1"/>
  <c r="T1424" i="1"/>
  <c r="S1424" i="1"/>
  <c r="W1423" i="1"/>
  <c r="V1423" i="1"/>
  <c r="U1423" i="1"/>
  <c r="T1423" i="1"/>
  <c r="S1423" i="1"/>
  <c r="W1422" i="1"/>
  <c r="V1422" i="1"/>
  <c r="U1422" i="1"/>
  <c r="T1422" i="1"/>
  <c r="S1422" i="1"/>
  <c r="W1421" i="1"/>
  <c r="V1421" i="1"/>
  <c r="U1421" i="1"/>
  <c r="T1421" i="1"/>
  <c r="S1421" i="1"/>
  <c r="W1420" i="1"/>
  <c r="V1420" i="1"/>
  <c r="U1420" i="1"/>
  <c r="T1420" i="1"/>
  <c r="S1420" i="1"/>
  <c r="W1419" i="1"/>
  <c r="V1419" i="1"/>
  <c r="U1419" i="1"/>
  <c r="T1419" i="1"/>
  <c r="S1419" i="1"/>
  <c r="W1418" i="1"/>
  <c r="V1418" i="1"/>
  <c r="U1418" i="1"/>
  <c r="T1418" i="1"/>
  <c r="S1418" i="1"/>
  <c r="W1417" i="1"/>
  <c r="V1417" i="1"/>
  <c r="U1417" i="1"/>
  <c r="T1417" i="1"/>
  <c r="S1417" i="1"/>
  <c r="W1416" i="1"/>
  <c r="V1416" i="1"/>
  <c r="U1416" i="1"/>
  <c r="T1416" i="1"/>
  <c r="S1416" i="1"/>
  <c r="W1415" i="1"/>
  <c r="V1415" i="1"/>
  <c r="U1415" i="1"/>
  <c r="T1415" i="1"/>
  <c r="S1415" i="1"/>
  <c r="W1414" i="1"/>
  <c r="V1414" i="1"/>
  <c r="U1414" i="1"/>
  <c r="T1414" i="1"/>
  <c r="S1414" i="1"/>
  <c r="W1413" i="1"/>
  <c r="V1413" i="1"/>
  <c r="U1413" i="1"/>
  <c r="T1413" i="1"/>
  <c r="S1413" i="1"/>
  <c r="W1412" i="1"/>
  <c r="V1412" i="1"/>
  <c r="U1412" i="1"/>
  <c r="T1412" i="1"/>
  <c r="S1412" i="1"/>
  <c r="W1411" i="1"/>
  <c r="V1411" i="1"/>
  <c r="U1411" i="1"/>
  <c r="T1411" i="1"/>
  <c r="S1411" i="1"/>
  <c r="W1410" i="1"/>
  <c r="V1410" i="1"/>
  <c r="U1410" i="1"/>
  <c r="T1410" i="1"/>
  <c r="S1410" i="1"/>
  <c r="W1409" i="1"/>
  <c r="V1409" i="1"/>
  <c r="U1409" i="1"/>
  <c r="T1409" i="1"/>
  <c r="S1409" i="1"/>
  <c r="W1408" i="1"/>
  <c r="V1408" i="1"/>
  <c r="U1408" i="1"/>
  <c r="T1408" i="1"/>
  <c r="S1408" i="1"/>
  <c r="W1407" i="1"/>
  <c r="V1407" i="1"/>
  <c r="U1407" i="1"/>
  <c r="T1407" i="1"/>
  <c r="S1407" i="1"/>
  <c r="W1406" i="1"/>
  <c r="V1406" i="1"/>
  <c r="U1406" i="1"/>
  <c r="T1406" i="1"/>
  <c r="S1406" i="1"/>
  <c r="W1405" i="1"/>
  <c r="V1405" i="1"/>
  <c r="U1405" i="1"/>
  <c r="T1405" i="1"/>
  <c r="S1405" i="1"/>
  <c r="W1404" i="1"/>
  <c r="V1404" i="1"/>
  <c r="U1404" i="1"/>
  <c r="T1404" i="1"/>
  <c r="S1404" i="1"/>
  <c r="W1403" i="1"/>
  <c r="V1403" i="1"/>
  <c r="U1403" i="1"/>
  <c r="T1403" i="1"/>
  <c r="S1403" i="1"/>
  <c r="W1402" i="1"/>
  <c r="V1402" i="1"/>
  <c r="U1402" i="1"/>
  <c r="T1402" i="1"/>
  <c r="S1402" i="1"/>
  <c r="W1401" i="1"/>
  <c r="V1401" i="1"/>
  <c r="U1401" i="1"/>
  <c r="T1401" i="1"/>
  <c r="S1401" i="1"/>
  <c r="W1400" i="1"/>
  <c r="V1400" i="1"/>
  <c r="U1400" i="1"/>
  <c r="T1400" i="1"/>
  <c r="S1400" i="1"/>
  <c r="W1399" i="1"/>
  <c r="V1399" i="1"/>
  <c r="U1399" i="1"/>
  <c r="T1399" i="1"/>
  <c r="S1399" i="1"/>
  <c r="W1398" i="1"/>
  <c r="V1398" i="1"/>
  <c r="U1398" i="1"/>
  <c r="T1398" i="1"/>
  <c r="S1398" i="1"/>
  <c r="W1397" i="1"/>
  <c r="V1397" i="1"/>
  <c r="U1397" i="1"/>
  <c r="T1397" i="1"/>
  <c r="S1397" i="1"/>
  <c r="W1396" i="1"/>
  <c r="V1396" i="1"/>
  <c r="U1396" i="1"/>
  <c r="T1396" i="1"/>
  <c r="S1396" i="1"/>
  <c r="W1395" i="1"/>
  <c r="V1395" i="1"/>
  <c r="U1395" i="1"/>
  <c r="T1395" i="1"/>
  <c r="S1395" i="1"/>
  <c r="W1394" i="1"/>
  <c r="V1394" i="1"/>
  <c r="U1394" i="1"/>
  <c r="T1394" i="1"/>
  <c r="S1394" i="1"/>
  <c r="W1393" i="1"/>
  <c r="V1393" i="1"/>
  <c r="U1393" i="1"/>
  <c r="T1393" i="1"/>
  <c r="S1393" i="1"/>
  <c r="W1392" i="1"/>
  <c r="V1392" i="1"/>
  <c r="U1392" i="1"/>
  <c r="T1392" i="1"/>
  <c r="S1392" i="1"/>
  <c r="W1391" i="1"/>
  <c r="V1391" i="1"/>
  <c r="U1391" i="1"/>
  <c r="T1391" i="1"/>
  <c r="S1391" i="1"/>
  <c r="W1390" i="1"/>
  <c r="V1390" i="1"/>
  <c r="U1390" i="1"/>
  <c r="T1390" i="1"/>
  <c r="S1390" i="1"/>
  <c r="W1389" i="1"/>
  <c r="V1389" i="1"/>
  <c r="U1389" i="1"/>
  <c r="T1389" i="1"/>
  <c r="S1389" i="1"/>
  <c r="W1388" i="1"/>
  <c r="V1388" i="1"/>
  <c r="U1388" i="1"/>
  <c r="T1388" i="1"/>
  <c r="S1388" i="1"/>
  <c r="W1387" i="1"/>
  <c r="V1387" i="1"/>
  <c r="U1387" i="1"/>
  <c r="T1387" i="1"/>
  <c r="S1387" i="1"/>
  <c r="W1386" i="1"/>
  <c r="V1386" i="1"/>
  <c r="U1386" i="1"/>
  <c r="T1386" i="1"/>
  <c r="S1386" i="1"/>
  <c r="W1385" i="1"/>
  <c r="V1385" i="1"/>
  <c r="U1385" i="1"/>
  <c r="T1385" i="1"/>
  <c r="S1385" i="1"/>
  <c r="W1384" i="1"/>
  <c r="V1384" i="1"/>
  <c r="U1384" i="1"/>
  <c r="T1384" i="1"/>
  <c r="S1384" i="1"/>
  <c r="W1383" i="1"/>
  <c r="V1383" i="1"/>
  <c r="U1383" i="1"/>
  <c r="T1383" i="1"/>
  <c r="S1383" i="1"/>
  <c r="W1382" i="1"/>
  <c r="V1382" i="1"/>
  <c r="U1382" i="1"/>
  <c r="T1382" i="1"/>
  <c r="S1382" i="1"/>
  <c r="W1381" i="1"/>
  <c r="V1381" i="1"/>
  <c r="U1381" i="1"/>
  <c r="T1381" i="1"/>
  <c r="S1381" i="1"/>
  <c r="W1380" i="1"/>
  <c r="V1380" i="1"/>
  <c r="U1380" i="1"/>
  <c r="T1380" i="1"/>
  <c r="S1380" i="1"/>
  <c r="W1379" i="1"/>
  <c r="V1379" i="1"/>
  <c r="U1379" i="1"/>
  <c r="T1379" i="1"/>
  <c r="S1379" i="1"/>
  <c r="W1378" i="1"/>
  <c r="V1378" i="1"/>
  <c r="U1378" i="1"/>
  <c r="T1378" i="1"/>
  <c r="S1378" i="1"/>
  <c r="W1377" i="1"/>
  <c r="V1377" i="1"/>
  <c r="U1377" i="1"/>
  <c r="T1377" i="1"/>
  <c r="S1377" i="1"/>
  <c r="W1376" i="1"/>
  <c r="V1376" i="1"/>
  <c r="U1376" i="1"/>
  <c r="T1376" i="1"/>
  <c r="S1376" i="1"/>
  <c r="W1375" i="1"/>
  <c r="V1375" i="1"/>
  <c r="U1375" i="1"/>
  <c r="T1375" i="1"/>
  <c r="S1375" i="1"/>
  <c r="W1374" i="1"/>
  <c r="V1374" i="1"/>
  <c r="U1374" i="1"/>
  <c r="T1374" i="1"/>
  <c r="S1374" i="1"/>
  <c r="W1373" i="1"/>
  <c r="V1373" i="1"/>
  <c r="U1373" i="1"/>
  <c r="T1373" i="1"/>
  <c r="S1373" i="1"/>
  <c r="W1372" i="1"/>
  <c r="V1372" i="1"/>
  <c r="U1372" i="1"/>
  <c r="T1372" i="1"/>
  <c r="S1372" i="1"/>
  <c r="W1371" i="1"/>
  <c r="V1371" i="1"/>
  <c r="U1371" i="1"/>
  <c r="T1371" i="1"/>
  <c r="S1371" i="1"/>
  <c r="W1370" i="1"/>
  <c r="V1370" i="1"/>
  <c r="U1370" i="1"/>
  <c r="T1370" i="1"/>
  <c r="S1370" i="1"/>
  <c r="W1369" i="1"/>
  <c r="V1369" i="1"/>
  <c r="U1369" i="1"/>
  <c r="T1369" i="1"/>
  <c r="S1369" i="1"/>
  <c r="W1368" i="1"/>
  <c r="V1368" i="1"/>
  <c r="U1368" i="1"/>
  <c r="T1368" i="1"/>
  <c r="S1368" i="1"/>
  <c r="W1367" i="1"/>
  <c r="V1367" i="1"/>
  <c r="U1367" i="1"/>
  <c r="T1367" i="1"/>
  <c r="S1367" i="1"/>
  <c r="W1366" i="1"/>
  <c r="V1366" i="1"/>
  <c r="U1366" i="1"/>
  <c r="T1366" i="1"/>
  <c r="S1366" i="1"/>
  <c r="W1365" i="1"/>
  <c r="V1365" i="1"/>
  <c r="U1365" i="1"/>
  <c r="T1365" i="1"/>
  <c r="S1365" i="1"/>
  <c r="W1364" i="1"/>
  <c r="V1364" i="1"/>
  <c r="U1364" i="1"/>
  <c r="T1364" i="1"/>
  <c r="S1364" i="1"/>
  <c r="W1363" i="1"/>
  <c r="V1363" i="1"/>
  <c r="U1363" i="1"/>
  <c r="T1363" i="1"/>
  <c r="S1363" i="1"/>
  <c r="W1362" i="1"/>
  <c r="V1362" i="1"/>
  <c r="U1362" i="1"/>
  <c r="T1362" i="1"/>
  <c r="S1362" i="1"/>
  <c r="W1361" i="1"/>
  <c r="V1361" i="1"/>
  <c r="U1361" i="1"/>
  <c r="T1361" i="1"/>
  <c r="S1361" i="1"/>
  <c r="W1360" i="1"/>
  <c r="V1360" i="1"/>
  <c r="U1360" i="1"/>
  <c r="T1360" i="1"/>
  <c r="S1360" i="1"/>
  <c r="W1359" i="1"/>
  <c r="V1359" i="1"/>
  <c r="U1359" i="1"/>
  <c r="T1359" i="1"/>
  <c r="S1359" i="1"/>
  <c r="W1358" i="1"/>
  <c r="V1358" i="1"/>
  <c r="U1358" i="1"/>
  <c r="T1358" i="1"/>
  <c r="S1358" i="1"/>
  <c r="W1357" i="1"/>
  <c r="V1357" i="1"/>
  <c r="U1357" i="1"/>
  <c r="T1357" i="1"/>
  <c r="S1357" i="1"/>
  <c r="W1356" i="1"/>
  <c r="V1356" i="1"/>
  <c r="U1356" i="1"/>
  <c r="T1356" i="1"/>
  <c r="S1356" i="1"/>
  <c r="W1355" i="1"/>
  <c r="V1355" i="1"/>
  <c r="U1355" i="1"/>
  <c r="T1355" i="1"/>
  <c r="S1355" i="1"/>
  <c r="W1354" i="1"/>
  <c r="V1354" i="1"/>
  <c r="U1354" i="1"/>
  <c r="T1354" i="1"/>
  <c r="S1354" i="1"/>
  <c r="W1353" i="1"/>
  <c r="V1353" i="1"/>
  <c r="U1353" i="1"/>
  <c r="T1353" i="1"/>
  <c r="S1353" i="1"/>
  <c r="W1352" i="1"/>
  <c r="V1352" i="1"/>
  <c r="U1352" i="1"/>
  <c r="T1352" i="1"/>
  <c r="S1352" i="1"/>
  <c r="W1351" i="1"/>
  <c r="V1351" i="1"/>
  <c r="U1351" i="1"/>
  <c r="T1351" i="1"/>
  <c r="S1351" i="1"/>
  <c r="W1350" i="1"/>
  <c r="V1350" i="1"/>
  <c r="U1350" i="1"/>
  <c r="T1350" i="1"/>
  <c r="S1350" i="1"/>
  <c r="W1349" i="1"/>
  <c r="V1349" i="1"/>
  <c r="U1349" i="1"/>
  <c r="T1349" i="1"/>
  <c r="S1349" i="1"/>
  <c r="W1348" i="1"/>
  <c r="V1348" i="1"/>
  <c r="U1348" i="1"/>
  <c r="T1348" i="1"/>
  <c r="S1348" i="1"/>
  <c r="W1347" i="1"/>
  <c r="V1347" i="1"/>
  <c r="U1347" i="1"/>
  <c r="T1347" i="1"/>
  <c r="S1347" i="1"/>
  <c r="W1346" i="1"/>
  <c r="V1346" i="1"/>
  <c r="U1346" i="1"/>
  <c r="T1346" i="1"/>
  <c r="S1346" i="1"/>
  <c r="W1345" i="1"/>
  <c r="V1345" i="1"/>
  <c r="U1345" i="1"/>
  <c r="T1345" i="1"/>
  <c r="S1345" i="1"/>
  <c r="W1344" i="1"/>
  <c r="V1344" i="1"/>
  <c r="U1344" i="1"/>
  <c r="T1344" i="1"/>
  <c r="S1344" i="1"/>
  <c r="W1343" i="1"/>
  <c r="V1343" i="1"/>
  <c r="U1343" i="1"/>
  <c r="T1343" i="1"/>
  <c r="S1343" i="1"/>
  <c r="W1342" i="1"/>
  <c r="V1342" i="1"/>
  <c r="U1342" i="1"/>
  <c r="T1342" i="1"/>
  <c r="S1342" i="1"/>
  <c r="W1341" i="1"/>
  <c r="V1341" i="1"/>
  <c r="U1341" i="1"/>
  <c r="T1341" i="1"/>
  <c r="S1341" i="1"/>
  <c r="W1340" i="1"/>
  <c r="V1340" i="1"/>
  <c r="U1340" i="1"/>
  <c r="T1340" i="1"/>
  <c r="S1340" i="1"/>
  <c r="W1339" i="1"/>
  <c r="V1339" i="1"/>
  <c r="U1339" i="1"/>
  <c r="T1339" i="1"/>
  <c r="S1339" i="1"/>
  <c r="W1338" i="1"/>
  <c r="V1338" i="1"/>
  <c r="U1338" i="1"/>
  <c r="T1338" i="1"/>
  <c r="S1338" i="1"/>
  <c r="W1337" i="1"/>
  <c r="V1337" i="1"/>
  <c r="U1337" i="1"/>
  <c r="T1337" i="1"/>
  <c r="S1337" i="1"/>
  <c r="W1336" i="1"/>
  <c r="V1336" i="1"/>
  <c r="U1336" i="1"/>
  <c r="T1336" i="1"/>
  <c r="S1336" i="1"/>
  <c r="W1335" i="1"/>
  <c r="V1335" i="1"/>
  <c r="U1335" i="1"/>
  <c r="T1335" i="1"/>
  <c r="S1335" i="1"/>
  <c r="W1334" i="1"/>
  <c r="V1334" i="1"/>
  <c r="U1334" i="1"/>
  <c r="T1334" i="1"/>
  <c r="S1334" i="1"/>
  <c r="W1333" i="1"/>
  <c r="V1333" i="1"/>
  <c r="U1333" i="1"/>
  <c r="T1333" i="1"/>
  <c r="S1333" i="1"/>
  <c r="W1332" i="1"/>
  <c r="V1332" i="1"/>
  <c r="U1332" i="1"/>
  <c r="T1332" i="1"/>
  <c r="S1332" i="1"/>
  <c r="W1331" i="1"/>
  <c r="V1331" i="1"/>
  <c r="U1331" i="1"/>
  <c r="T1331" i="1"/>
  <c r="S1331" i="1"/>
  <c r="W1330" i="1"/>
  <c r="V1330" i="1"/>
  <c r="U1330" i="1"/>
  <c r="T1330" i="1"/>
  <c r="S1330" i="1"/>
  <c r="W1329" i="1"/>
  <c r="V1329" i="1"/>
  <c r="U1329" i="1"/>
  <c r="T1329" i="1"/>
  <c r="S1329" i="1"/>
  <c r="W1328" i="1"/>
  <c r="V1328" i="1"/>
  <c r="U1328" i="1"/>
  <c r="T1328" i="1"/>
  <c r="S1328" i="1"/>
  <c r="W1327" i="1"/>
  <c r="V1327" i="1"/>
  <c r="U1327" i="1"/>
  <c r="T1327" i="1"/>
  <c r="S1327" i="1"/>
  <c r="W1326" i="1"/>
  <c r="V1326" i="1"/>
  <c r="U1326" i="1"/>
  <c r="T1326" i="1"/>
  <c r="S1326" i="1"/>
  <c r="W1325" i="1"/>
  <c r="V1325" i="1"/>
  <c r="U1325" i="1"/>
  <c r="T1325" i="1"/>
  <c r="S1325" i="1"/>
  <c r="W1324" i="1"/>
  <c r="V1324" i="1"/>
  <c r="U1324" i="1"/>
  <c r="T1324" i="1"/>
  <c r="S1324" i="1"/>
  <c r="W1323" i="1"/>
  <c r="V1323" i="1"/>
  <c r="U1323" i="1"/>
  <c r="T1323" i="1"/>
  <c r="S1323" i="1"/>
  <c r="W1322" i="1"/>
  <c r="V1322" i="1"/>
  <c r="U1322" i="1"/>
  <c r="T1322" i="1"/>
  <c r="S1322" i="1"/>
  <c r="W1321" i="1"/>
  <c r="V1321" i="1"/>
  <c r="U1321" i="1"/>
  <c r="T1321" i="1"/>
  <c r="S1321" i="1"/>
  <c r="W1320" i="1"/>
  <c r="V1320" i="1"/>
  <c r="U1320" i="1"/>
  <c r="T1320" i="1"/>
  <c r="S1320" i="1"/>
  <c r="W1319" i="1"/>
  <c r="V1319" i="1"/>
  <c r="U1319" i="1"/>
  <c r="T1319" i="1"/>
  <c r="S1319" i="1"/>
  <c r="W1318" i="1"/>
  <c r="V1318" i="1"/>
  <c r="U1318" i="1"/>
  <c r="T1318" i="1"/>
  <c r="S1318" i="1"/>
  <c r="W1317" i="1"/>
  <c r="V1317" i="1"/>
  <c r="U1317" i="1"/>
  <c r="T1317" i="1"/>
  <c r="S1317" i="1"/>
  <c r="W1316" i="1"/>
  <c r="V1316" i="1"/>
  <c r="U1316" i="1"/>
  <c r="T1316" i="1"/>
  <c r="S1316" i="1"/>
  <c r="W1315" i="1"/>
  <c r="V1315" i="1"/>
  <c r="U1315" i="1"/>
  <c r="T1315" i="1"/>
  <c r="S1315" i="1"/>
  <c r="W1314" i="1"/>
  <c r="V1314" i="1"/>
  <c r="U1314" i="1"/>
  <c r="T1314" i="1"/>
  <c r="S1314" i="1"/>
  <c r="W1313" i="1"/>
  <c r="V1313" i="1"/>
  <c r="U1313" i="1"/>
  <c r="T1313" i="1"/>
  <c r="S1313" i="1"/>
  <c r="W1312" i="1"/>
  <c r="V1312" i="1"/>
  <c r="U1312" i="1"/>
  <c r="T1312" i="1"/>
  <c r="S1312" i="1"/>
  <c r="W1311" i="1"/>
  <c r="V1311" i="1"/>
  <c r="U1311" i="1"/>
  <c r="T1311" i="1"/>
  <c r="S1311" i="1"/>
  <c r="W1310" i="1"/>
  <c r="V1310" i="1"/>
  <c r="U1310" i="1"/>
  <c r="T1310" i="1"/>
  <c r="S1310" i="1"/>
  <c r="W1309" i="1"/>
  <c r="V1309" i="1"/>
  <c r="U1309" i="1"/>
  <c r="T1309" i="1"/>
  <c r="S1309" i="1"/>
  <c r="W1308" i="1"/>
  <c r="V1308" i="1"/>
  <c r="U1308" i="1"/>
  <c r="T1308" i="1"/>
  <c r="S1308" i="1"/>
  <c r="W1307" i="1"/>
  <c r="V1307" i="1"/>
  <c r="U1307" i="1"/>
  <c r="T1307" i="1"/>
  <c r="S1307" i="1"/>
  <c r="W1306" i="1"/>
  <c r="V1306" i="1"/>
  <c r="U1306" i="1"/>
  <c r="T1306" i="1"/>
  <c r="S1306" i="1"/>
  <c r="W1305" i="1"/>
  <c r="V1305" i="1"/>
  <c r="U1305" i="1"/>
  <c r="T1305" i="1"/>
  <c r="S1305" i="1"/>
  <c r="W1304" i="1"/>
  <c r="V1304" i="1"/>
  <c r="U1304" i="1"/>
  <c r="T1304" i="1"/>
  <c r="S1304" i="1"/>
  <c r="W1303" i="1"/>
  <c r="V1303" i="1"/>
  <c r="U1303" i="1"/>
  <c r="T1303" i="1"/>
  <c r="S1303" i="1"/>
  <c r="W1302" i="1"/>
  <c r="V1302" i="1"/>
  <c r="U1302" i="1"/>
  <c r="T1302" i="1"/>
  <c r="S1302" i="1"/>
  <c r="W1301" i="1"/>
  <c r="V1301" i="1"/>
  <c r="U1301" i="1"/>
  <c r="T1301" i="1"/>
  <c r="S1301" i="1"/>
  <c r="W1300" i="1"/>
  <c r="V1300" i="1"/>
  <c r="U1300" i="1"/>
  <c r="T1300" i="1"/>
  <c r="S1300" i="1"/>
  <c r="W1299" i="1"/>
  <c r="V1299" i="1"/>
  <c r="U1299" i="1"/>
  <c r="T1299" i="1"/>
  <c r="S1299" i="1"/>
  <c r="W1298" i="1"/>
  <c r="V1298" i="1"/>
  <c r="U1298" i="1"/>
  <c r="T1298" i="1"/>
  <c r="S1298" i="1"/>
  <c r="W1297" i="1"/>
  <c r="V1297" i="1"/>
  <c r="U1297" i="1"/>
  <c r="T1297" i="1"/>
  <c r="S1297" i="1"/>
  <c r="W1296" i="1"/>
  <c r="V1296" i="1"/>
  <c r="U1296" i="1"/>
  <c r="T1296" i="1"/>
  <c r="S1296" i="1"/>
  <c r="W1295" i="1"/>
  <c r="V1295" i="1"/>
  <c r="U1295" i="1"/>
  <c r="T1295" i="1"/>
  <c r="S1295" i="1"/>
  <c r="W1294" i="1"/>
  <c r="V1294" i="1"/>
  <c r="U1294" i="1"/>
  <c r="T1294" i="1"/>
  <c r="S1294" i="1"/>
  <c r="W1293" i="1"/>
  <c r="V1293" i="1"/>
  <c r="U1293" i="1"/>
  <c r="T1293" i="1"/>
  <c r="S1293" i="1"/>
  <c r="W1292" i="1"/>
  <c r="V1292" i="1"/>
  <c r="U1292" i="1"/>
  <c r="T1292" i="1"/>
  <c r="S1292" i="1"/>
  <c r="W1291" i="1"/>
  <c r="V1291" i="1"/>
  <c r="U1291" i="1"/>
  <c r="T1291" i="1"/>
  <c r="S1291" i="1"/>
  <c r="W1290" i="1"/>
  <c r="V1290" i="1"/>
  <c r="U1290" i="1"/>
  <c r="T1290" i="1"/>
  <c r="S1290" i="1"/>
  <c r="W1289" i="1"/>
  <c r="V1289" i="1"/>
  <c r="U1289" i="1"/>
  <c r="T1289" i="1"/>
  <c r="S1289" i="1"/>
  <c r="W1288" i="1"/>
  <c r="V1288" i="1"/>
  <c r="U1288" i="1"/>
  <c r="T1288" i="1"/>
  <c r="S1288" i="1"/>
  <c r="W1287" i="1"/>
  <c r="V1287" i="1"/>
  <c r="U1287" i="1"/>
  <c r="T1287" i="1"/>
  <c r="S1287" i="1"/>
  <c r="W1286" i="1"/>
  <c r="V1286" i="1"/>
  <c r="U1286" i="1"/>
  <c r="T1286" i="1"/>
  <c r="S1286" i="1"/>
  <c r="W1285" i="1"/>
  <c r="V1285" i="1"/>
  <c r="U1285" i="1"/>
  <c r="T1285" i="1"/>
  <c r="S1285" i="1"/>
  <c r="W1284" i="1"/>
  <c r="V1284" i="1"/>
  <c r="U1284" i="1"/>
  <c r="T1284" i="1"/>
  <c r="S1284" i="1"/>
  <c r="W1283" i="1"/>
  <c r="V1283" i="1"/>
  <c r="U1283" i="1"/>
  <c r="T1283" i="1"/>
  <c r="S1283" i="1"/>
  <c r="W1282" i="1"/>
  <c r="V1282" i="1"/>
  <c r="U1282" i="1"/>
  <c r="T1282" i="1"/>
  <c r="S1282" i="1"/>
  <c r="W1281" i="1"/>
  <c r="V1281" i="1"/>
  <c r="U1281" i="1"/>
  <c r="T1281" i="1"/>
  <c r="S1281" i="1"/>
  <c r="W1280" i="1"/>
  <c r="V1280" i="1"/>
  <c r="U1280" i="1"/>
  <c r="T1280" i="1"/>
  <c r="S1280" i="1"/>
  <c r="W1279" i="1"/>
  <c r="V1279" i="1"/>
  <c r="U1279" i="1"/>
  <c r="T1279" i="1"/>
  <c r="S1279" i="1"/>
  <c r="W1278" i="1"/>
  <c r="V1278" i="1"/>
  <c r="U1278" i="1"/>
  <c r="T1278" i="1"/>
  <c r="S1278" i="1"/>
  <c r="W1277" i="1"/>
  <c r="V1277" i="1"/>
  <c r="U1277" i="1"/>
  <c r="T1277" i="1"/>
  <c r="S1277" i="1"/>
  <c r="W1276" i="1"/>
  <c r="V1276" i="1"/>
  <c r="U1276" i="1"/>
  <c r="T1276" i="1"/>
  <c r="S1276" i="1"/>
  <c r="W1275" i="1"/>
  <c r="V1275" i="1"/>
  <c r="U1275" i="1"/>
  <c r="T1275" i="1"/>
  <c r="S1275" i="1"/>
  <c r="W1274" i="1"/>
  <c r="V1274" i="1"/>
  <c r="U1274" i="1"/>
  <c r="T1274" i="1"/>
  <c r="S1274" i="1"/>
  <c r="W1273" i="1"/>
  <c r="V1273" i="1"/>
  <c r="U1273" i="1"/>
  <c r="T1273" i="1"/>
  <c r="S1273" i="1"/>
  <c r="W1272" i="1"/>
  <c r="V1272" i="1"/>
  <c r="U1272" i="1"/>
  <c r="T1272" i="1"/>
  <c r="S1272" i="1"/>
  <c r="W1271" i="1"/>
  <c r="V1271" i="1"/>
  <c r="U1271" i="1"/>
  <c r="T1271" i="1"/>
  <c r="S1271" i="1"/>
  <c r="W1270" i="1"/>
  <c r="V1270" i="1"/>
  <c r="U1270" i="1"/>
  <c r="T1270" i="1"/>
  <c r="S1270" i="1"/>
  <c r="W1269" i="1"/>
  <c r="V1269" i="1"/>
  <c r="U1269" i="1"/>
  <c r="T1269" i="1"/>
  <c r="S1269" i="1"/>
  <c r="W1268" i="1"/>
  <c r="V1268" i="1"/>
  <c r="U1268" i="1"/>
  <c r="T1268" i="1"/>
  <c r="S1268" i="1"/>
  <c r="W1267" i="1"/>
  <c r="V1267" i="1"/>
  <c r="U1267" i="1"/>
  <c r="T1267" i="1"/>
  <c r="S1267" i="1"/>
  <c r="W1266" i="1"/>
  <c r="V1266" i="1"/>
  <c r="U1266" i="1"/>
  <c r="T1266" i="1"/>
  <c r="S1266" i="1"/>
  <c r="W1265" i="1"/>
  <c r="V1265" i="1"/>
  <c r="U1265" i="1"/>
  <c r="T1265" i="1"/>
  <c r="S1265" i="1"/>
  <c r="W1264" i="1"/>
  <c r="V1264" i="1"/>
  <c r="U1264" i="1"/>
  <c r="T1264" i="1"/>
  <c r="S1264" i="1"/>
  <c r="W1263" i="1"/>
  <c r="V1263" i="1"/>
  <c r="U1263" i="1"/>
  <c r="T1263" i="1"/>
  <c r="S1263" i="1"/>
  <c r="W1262" i="1"/>
  <c r="V1262" i="1"/>
  <c r="U1262" i="1"/>
  <c r="T1262" i="1"/>
  <c r="S1262" i="1"/>
  <c r="W1261" i="1"/>
  <c r="V1261" i="1"/>
  <c r="U1261" i="1"/>
  <c r="T1261" i="1"/>
  <c r="S1261" i="1"/>
  <c r="W1260" i="1"/>
  <c r="V1260" i="1"/>
  <c r="U1260" i="1"/>
  <c r="T1260" i="1"/>
  <c r="S1260" i="1"/>
  <c r="W1259" i="1"/>
  <c r="V1259" i="1"/>
  <c r="U1259" i="1"/>
  <c r="T1259" i="1"/>
  <c r="S1259" i="1"/>
  <c r="W1258" i="1"/>
  <c r="V1258" i="1"/>
  <c r="U1258" i="1"/>
  <c r="T1258" i="1"/>
  <c r="S1258" i="1"/>
  <c r="W1257" i="1"/>
  <c r="V1257" i="1"/>
  <c r="U1257" i="1"/>
  <c r="T1257" i="1"/>
  <c r="S1257" i="1"/>
  <c r="W1256" i="1"/>
  <c r="V1256" i="1"/>
  <c r="U1256" i="1"/>
  <c r="T1256" i="1"/>
  <c r="S1256" i="1"/>
  <c r="W1255" i="1"/>
  <c r="V1255" i="1"/>
  <c r="U1255" i="1"/>
  <c r="T1255" i="1"/>
  <c r="S1255" i="1"/>
  <c r="W1254" i="1"/>
  <c r="V1254" i="1"/>
  <c r="U1254" i="1"/>
  <c r="T1254" i="1"/>
  <c r="S1254" i="1"/>
  <c r="W1253" i="1"/>
  <c r="V1253" i="1"/>
  <c r="U1253" i="1"/>
  <c r="T1253" i="1"/>
  <c r="S1253" i="1"/>
  <c r="W1252" i="1"/>
  <c r="V1252" i="1"/>
  <c r="U1252" i="1"/>
  <c r="T1252" i="1"/>
  <c r="S1252" i="1"/>
  <c r="W1251" i="1"/>
  <c r="V1251" i="1"/>
  <c r="U1251" i="1"/>
  <c r="T1251" i="1"/>
  <c r="S1251" i="1"/>
  <c r="W1250" i="1"/>
  <c r="V1250" i="1"/>
  <c r="U1250" i="1"/>
  <c r="T1250" i="1"/>
  <c r="S1250" i="1"/>
  <c r="W1249" i="1"/>
  <c r="V1249" i="1"/>
  <c r="U1249" i="1"/>
  <c r="T1249" i="1"/>
  <c r="S1249" i="1"/>
  <c r="W1248" i="1"/>
  <c r="V1248" i="1"/>
  <c r="U1248" i="1"/>
  <c r="T1248" i="1"/>
  <c r="S1248" i="1"/>
  <c r="W1247" i="1"/>
  <c r="V1247" i="1"/>
  <c r="U1247" i="1"/>
  <c r="T1247" i="1"/>
  <c r="S1247" i="1"/>
  <c r="W1246" i="1"/>
  <c r="V1246" i="1"/>
  <c r="U1246" i="1"/>
  <c r="T1246" i="1"/>
  <c r="S1246" i="1"/>
  <c r="W1245" i="1"/>
  <c r="V1245" i="1"/>
  <c r="U1245" i="1"/>
  <c r="T1245" i="1"/>
  <c r="S1245" i="1"/>
  <c r="W1244" i="1"/>
  <c r="V1244" i="1"/>
  <c r="U1244" i="1"/>
  <c r="T1244" i="1"/>
  <c r="S1244" i="1"/>
  <c r="W1243" i="1"/>
  <c r="V1243" i="1"/>
  <c r="U1243" i="1"/>
  <c r="T1243" i="1"/>
  <c r="S1243" i="1"/>
  <c r="W1242" i="1"/>
  <c r="V1242" i="1"/>
  <c r="U1242" i="1"/>
  <c r="T1242" i="1"/>
  <c r="S1242" i="1"/>
  <c r="W1241" i="1"/>
  <c r="V1241" i="1"/>
  <c r="U1241" i="1"/>
  <c r="T1241" i="1"/>
  <c r="S1241" i="1"/>
  <c r="W1240" i="1"/>
  <c r="V1240" i="1"/>
  <c r="U1240" i="1"/>
  <c r="T1240" i="1"/>
  <c r="S1240" i="1"/>
  <c r="W1239" i="1"/>
  <c r="V1239" i="1"/>
  <c r="U1239" i="1"/>
  <c r="T1239" i="1"/>
  <c r="S1239" i="1"/>
  <c r="W1238" i="1"/>
  <c r="V1238" i="1"/>
  <c r="U1238" i="1"/>
  <c r="T1238" i="1"/>
  <c r="S1238" i="1"/>
  <c r="W1237" i="1"/>
  <c r="V1237" i="1"/>
  <c r="U1237" i="1"/>
  <c r="T1237" i="1"/>
  <c r="S1237" i="1"/>
  <c r="W1236" i="1"/>
  <c r="V1236" i="1"/>
  <c r="U1236" i="1"/>
  <c r="T1236" i="1"/>
  <c r="S1236" i="1"/>
  <c r="W1235" i="1"/>
  <c r="V1235" i="1"/>
  <c r="U1235" i="1"/>
  <c r="T1235" i="1"/>
  <c r="S1235" i="1"/>
  <c r="W1234" i="1"/>
  <c r="V1234" i="1"/>
  <c r="U1234" i="1"/>
  <c r="T1234" i="1"/>
  <c r="S1234" i="1"/>
  <c r="W1233" i="1"/>
  <c r="V1233" i="1"/>
  <c r="U1233" i="1"/>
  <c r="T1233" i="1"/>
  <c r="S1233" i="1"/>
  <c r="W1232" i="1"/>
  <c r="V1232" i="1"/>
  <c r="U1232" i="1"/>
  <c r="T1232" i="1"/>
  <c r="S1232" i="1"/>
  <c r="W1231" i="1"/>
  <c r="V1231" i="1"/>
  <c r="U1231" i="1"/>
  <c r="T1231" i="1"/>
  <c r="S1231" i="1"/>
  <c r="W1230" i="1"/>
  <c r="V1230" i="1"/>
  <c r="U1230" i="1"/>
  <c r="T1230" i="1"/>
  <c r="S1230" i="1"/>
  <c r="W1229" i="1"/>
  <c r="V1229" i="1"/>
  <c r="U1229" i="1"/>
  <c r="T1229" i="1"/>
  <c r="S1229" i="1"/>
  <c r="W1228" i="1"/>
  <c r="V1228" i="1"/>
  <c r="U1228" i="1"/>
  <c r="T1228" i="1"/>
  <c r="S1228" i="1"/>
  <c r="W1227" i="1"/>
  <c r="V1227" i="1"/>
  <c r="U1227" i="1"/>
  <c r="T1227" i="1"/>
  <c r="S1227" i="1"/>
  <c r="W1226" i="1"/>
  <c r="V1226" i="1"/>
  <c r="U1226" i="1"/>
  <c r="T1226" i="1"/>
  <c r="S1226" i="1"/>
  <c r="W1225" i="1"/>
  <c r="V1225" i="1"/>
  <c r="U1225" i="1"/>
  <c r="T1225" i="1"/>
  <c r="S1225" i="1"/>
  <c r="W1224" i="1"/>
  <c r="V1224" i="1"/>
  <c r="U1224" i="1"/>
  <c r="T1224" i="1"/>
  <c r="S1224" i="1"/>
  <c r="W1223" i="1"/>
  <c r="V1223" i="1"/>
  <c r="U1223" i="1"/>
  <c r="T1223" i="1"/>
  <c r="S1223" i="1"/>
  <c r="W1222" i="1"/>
  <c r="V1222" i="1"/>
  <c r="U1222" i="1"/>
  <c r="T1222" i="1"/>
  <c r="S1222" i="1"/>
  <c r="W1221" i="1"/>
  <c r="V1221" i="1"/>
  <c r="U1221" i="1"/>
  <c r="T1221" i="1"/>
  <c r="S1221" i="1"/>
  <c r="W1220" i="1"/>
  <c r="V1220" i="1"/>
  <c r="U1220" i="1"/>
  <c r="T1220" i="1"/>
  <c r="S1220" i="1"/>
  <c r="W1219" i="1"/>
  <c r="V1219" i="1"/>
  <c r="U1219" i="1"/>
  <c r="T1219" i="1"/>
  <c r="S1219" i="1"/>
  <c r="W1218" i="1"/>
  <c r="V1218" i="1"/>
  <c r="U1218" i="1"/>
  <c r="T1218" i="1"/>
  <c r="S1218" i="1"/>
  <c r="W1217" i="1"/>
  <c r="V1217" i="1"/>
  <c r="U1217" i="1"/>
  <c r="T1217" i="1"/>
  <c r="S1217" i="1"/>
  <c r="W1216" i="1"/>
  <c r="V1216" i="1"/>
  <c r="U1216" i="1"/>
  <c r="T1216" i="1"/>
  <c r="S1216" i="1"/>
  <c r="W1215" i="1"/>
  <c r="V1215" i="1"/>
  <c r="U1215" i="1"/>
  <c r="T1215" i="1"/>
  <c r="S1215" i="1"/>
  <c r="W1214" i="1"/>
  <c r="V1214" i="1"/>
  <c r="U1214" i="1"/>
  <c r="T1214" i="1"/>
  <c r="S1214" i="1"/>
  <c r="W1213" i="1"/>
  <c r="V1213" i="1"/>
  <c r="U1213" i="1"/>
  <c r="T1213" i="1"/>
  <c r="S1213" i="1"/>
  <c r="W1212" i="1"/>
  <c r="V1212" i="1"/>
  <c r="U1212" i="1"/>
  <c r="T1212" i="1"/>
  <c r="S1212" i="1"/>
  <c r="W1211" i="1"/>
  <c r="V1211" i="1"/>
  <c r="U1211" i="1"/>
  <c r="T1211" i="1"/>
  <c r="S1211" i="1"/>
  <c r="W1210" i="1"/>
  <c r="V1210" i="1"/>
  <c r="U1210" i="1"/>
  <c r="T1210" i="1"/>
  <c r="S1210" i="1"/>
  <c r="W1209" i="1"/>
  <c r="V1209" i="1"/>
  <c r="U1209" i="1"/>
  <c r="T1209" i="1"/>
  <c r="S1209" i="1"/>
  <c r="W1208" i="1"/>
  <c r="V1208" i="1"/>
  <c r="U1208" i="1"/>
  <c r="T1208" i="1"/>
  <c r="S1208" i="1"/>
  <c r="W1207" i="1"/>
  <c r="V1207" i="1"/>
  <c r="U1207" i="1"/>
  <c r="T1207" i="1"/>
  <c r="S1207" i="1"/>
  <c r="W1206" i="1"/>
  <c r="V1206" i="1"/>
  <c r="U1206" i="1"/>
  <c r="T1206" i="1"/>
  <c r="S1206" i="1"/>
  <c r="W1205" i="1"/>
  <c r="V1205" i="1"/>
  <c r="U1205" i="1"/>
  <c r="T1205" i="1"/>
  <c r="S1205" i="1"/>
  <c r="W1204" i="1"/>
  <c r="V1204" i="1"/>
  <c r="U1204" i="1"/>
  <c r="T1204" i="1"/>
  <c r="S1204" i="1"/>
  <c r="W1203" i="1"/>
  <c r="V1203" i="1"/>
  <c r="U1203" i="1"/>
  <c r="T1203" i="1"/>
  <c r="S1203" i="1"/>
  <c r="W1202" i="1"/>
  <c r="V1202" i="1"/>
  <c r="U1202" i="1"/>
  <c r="T1202" i="1"/>
  <c r="S1202" i="1"/>
  <c r="W1201" i="1"/>
  <c r="V1201" i="1"/>
  <c r="U1201" i="1"/>
  <c r="T1201" i="1"/>
  <c r="S1201" i="1"/>
  <c r="W1200" i="1"/>
  <c r="V1200" i="1"/>
  <c r="U1200" i="1"/>
  <c r="T1200" i="1"/>
  <c r="S1200" i="1"/>
  <c r="W1199" i="1"/>
  <c r="V1199" i="1"/>
  <c r="U1199" i="1"/>
  <c r="T1199" i="1"/>
  <c r="S1199" i="1"/>
  <c r="W1198" i="1"/>
  <c r="V1198" i="1"/>
  <c r="U1198" i="1"/>
  <c r="T1198" i="1"/>
  <c r="S1198" i="1"/>
  <c r="W1197" i="1"/>
  <c r="V1197" i="1"/>
  <c r="U1197" i="1"/>
  <c r="T1197" i="1"/>
  <c r="S1197" i="1"/>
  <c r="W1196" i="1"/>
  <c r="V1196" i="1"/>
  <c r="U1196" i="1"/>
  <c r="T1196" i="1"/>
  <c r="S1196" i="1"/>
  <c r="W1195" i="1"/>
  <c r="V1195" i="1"/>
  <c r="U1195" i="1"/>
  <c r="T1195" i="1"/>
  <c r="S1195" i="1"/>
  <c r="W1194" i="1"/>
  <c r="V1194" i="1"/>
  <c r="U1194" i="1"/>
  <c r="T1194" i="1"/>
  <c r="S1194" i="1"/>
  <c r="W1193" i="1"/>
  <c r="V1193" i="1"/>
  <c r="U1193" i="1"/>
  <c r="T1193" i="1"/>
  <c r="S1193" i="1"/>
  <c r="W1192" i="1"/>
  <c r="V1192" i="1"/>
  <c r="U1192" i="1"/>
  <c r="T1192" i="1"/>
  <c r="S1192" i="1"/>
  <c r="W1191" i="1"/>
  <c r="V1191" i="1"/>
  <c r="U1191" i="1"/>
  <c r="T1191" i="1"/>
  <c r="S1191" i="1"/>
  <c r="W1190" i="1"/>
  <c r="V1190" i="1"/>
  <c r="U1190" i="1"/>
  <c r="T1190" i="1"/>
  <c r="S1190" i="1"/>
  <c r="W1189" i="1"/>
  <c r="V1189" i="1"/>
  <c r="U1189" i="1"/>
  <c r="T1189" i="1"/>
  <c r="S1189" i="1"/>
  <c r="W1188" i="1"/>
  <c r="V1188" i="1"/>
  <c r="U1188" i="1"/>
  <c r="T1188" i="1"/>
  <c r="S1188" i="1"/>
  <c r="W1187" i="1"/>
  <c r="V1187" i="1"/>
  <c r="U1187" i="1"/>
  <c r="T1187" i="1"/>
  <c r="S1187" i="1"/>
  <c r="W1186" i="1"/>
  <c r="V1186" i="1"/>
  <c r="U1186" i="1"/>
  <c r="T1186" i="1"/>
  <c r="S1186" i="1"/>
  <c r="W1185" i="1"/>
  <c r="V1185" i="1"/>
  <c r="U1185" i="1"/>
  <c r="T1185" i="1"/>
  <c r="S1185" i="1"/>
  <c r="W1184" i="1"/>
  <c r="V1184" i="1"/>
  <c r="U1184" i="1"/>
  <c r="T1184" i="1"/>
  <c r="S1184" i="1"/>
  <c r="W1183" i="1"/>
  <c r="V1183" i="1"/>
  <c r="U1183" i="1"/>
  <c r="T1183" i="1"/>
  <c r="S1183" i="1"/>
  <c r="W1182" i="1"/>
  <c r="V1182" i="1"/>
  <c r="U1182" i="1"/>
  <c r="T1182" i="1"/>
  <c r="S1182" i="1"/>
  <c r="W1181" i="1"/>
  <c r="V1181" i="1"/>
  <c r="U1181" i="1"/>
  <c r="T1181" i="1"/>
  <c r="S1181" i="1"/>
  <c r="W1180" i="1"/>
  <c r="V1180" i="1"/>
  <c r="U1180" i="1"/>
  <c r="T1180" i="1"/>
  <c r="S1180" i="1"/>
  <c r="W1179" i="1"/>
  <c r="V1179" i="1"/>
  <c r="U1179" i="1"/>
  <c r="T1179" i="1"/>
  <c r="S1179" i="1"/>
  <c r="W1178" i="1"/>
  <c r="V1178" i="1"/>
  <c r="U1178" i="1"/>
  <c r="T1178" i="1"/>
  <c r="S1178" i="1"/>
  <c r="W1177" i="1"/>
  <c r="V1177" i="1"/>
  <c r="U1177" i="1"/>
  <c r="T1177" i="1"/>
  <c r="S1177" i="1"/>
  <c r="W1176" i="1"/>
  <c r="V1176" i="1"/>
  <c r="U1176" i="1"/>
  <c r="T1176" i="1"/>
  <c r="S1176" i="1"/>
  <c r="W1175" i="1"/>
  <c r="V1175" i="1"/>
  <c r="U1175" i="1"/>
  <c r="T1175" i="1"/>
  <c r="S1175" i="1"/>
  <c r="W1174" i="1"/>
  <c r="V1174" i="1"/>
  <c r="U1174" i="1"/>
  <c r="T1174" i="1"/>
  <c r="S1174" i="1"/>
  <c r="W1173" i="1"/>
  <c r="V1173" i="1"/>
  <c r="U1173" i="1"/>
  <c r="T1173" i="1"/>
  <c r="S1173" i="1"/>
  <c r="W1172" i="1"/>
  <c r="V1172" i="1"/>
  <c r="U1172" i="1"/>
  <c r="T1172" i="1"/>
  <c r="S1172" i="1"/>
  <c r="W1171" i="1"/>
  <c r="V1171" i="1"/>
  <c r="U1171" i="1"/>
  <c r="T1171" i="1"/>
  <c r="S1171" i="1"/>
  <c r="W1170" i="1"/>
  <c r="V1170" i="1"/>
  <c r="U1170" i="1"/>
  <c r="T1170" i="1"/>
  <c r="S1170" i="1"/>
  <c r="W1169" i="1"/>
  <c r="V1169" i="1"/>
  <c r="U1169" i="1"/>
  <c r="T1169" i="1"/>
  <c r="S1169" i="1"/>
  <c r="W1168" i="1"/>
  <c r="V1168" i="1"/>
  <c r="U1168" i="1"/>
  <c r="T1168" i="1"/>
  <c r="S1168" i="1"/>
  <c r="W1167" i="1"/>
  <c r="V1167" i="1"/>
  <c r="U1167" i="1"/>
  <c r="T1167" i="1"/>
  <c r="S1167" i="1"/>
  <c r="W1166" i="1"/>
  <c r="V1166" i="1"/>
  <c r="U1166" i="1"/>
  <c r="T1166" i="1"/>
  <c r="S1166" i="1"/>
  <c r="W1165" i="1"/>
  <c r="V1165" i="1"/>
  <c r="U1165" i="1"/>
  <c r="T1165" i="1"/>
  <c r="S1165" i="1"/>
  <c r="W1164" i="1"/>
  <c r="V1164" i="1"/>
  <c r="U1164" i="1"/>
  <c r="T1164" i="1"/>
  <c r="S1164" i="1"/>
  <c r="W1163" i="1"/>
  <c r="V1163" i="1"/>
  <c r="U1163" i="1"/>
  <c r="T1163" i="1"/>
  <c r="S1163" i="1"/>
  <c r="W1162" i="1"/>
  <c r="V1162" i="1"/>
  <c r="U1162" i="1"/>
  <c r="T1162" i="1"/>
  <c r="S1162" i="1"/>
  <c r="W1161" i="1"/>
  <c r="V1161" i="1"/>
  <c r="U1161" i="1"/>
  <c r="T1161" i="1"/>
  <c r="S1161" i="1"/>
  <c r="W1160" i="1"/>
  <c r="V1160" i="1"/>
  <c r="U1160" i="1"/>
  <c r="T1160" i="1"/>
  <c r="S1160" i="1"/>
  <c r="W1159" i="1"/>
  <c r="V1159" i="1"/>
  <c r="U1159" i="1"/>
  <c r="T1159" i="1"/>
  <c r="S1159" i="1"/>
  <c r="W1158" i="1"/>
  <c r="V1158" i="1"/>
  <c r="U1158" i="1"/>
  <c r="T1158" i="1"/>
  <c r="S1158" i="1"/>
  <c r="W1157" i="1"/>
  <c r="V1157" i="1"/>
  <c r="U1157" i="1"/>
  <c r="T1157" i="1"/>
  <c r="S1157" i="1"/>
  <c r="W1156" i="1"/>
  <c r="V1156" i="1"/>
  <c r="U1156" i="1"/>
  <c r="T1156" i="1"/>
  <c r="S1156" i="1"/>
  <c r="W1155" i="1"/>
  <c r="V1155" i="1"/>
  <c r="U1155" i="1"/>
  <c r="T1155" i="1"/>
  <c r="S1155" i="1"/>
  <c r="W1154" i="1"/>
  <c r="V1154" i="1"/>
  <c r="U1154" i="1"/>
  <c r="T1154" i="1"/>
  <c r="S1154" i="1"/>
  <c r="W1153" i="1"/>
  <c r="V1153" i="1"/>
  <c r="U1153" i="1"/>
  <c r="T1153" i="1"/>
  <c r="S1153" i="1"/>
  <c r="W1152" i="1"/>
  <c r="V1152" i="1"/>
  <c r="U1152" i="1"/>
  <c r="T1152" i="1"/>
  <c r="S1152" i="1"/>
  <c r="W1151" i="1"/>
  <c r="V1151" i="1"/>
  <c r="U1151" i="1"/>
  <c r="T1151" i="1"/>
  <c r="S1151" i="1"/>
  <c r="W1150" i="1"/>
  <c r="V1150" i="1"/>
  <c r="U1150" i="1"/>
  <c r="T1150" i="1"/>
  <c r="S1150" i="1"/>
  <c r="W1149" i="1"/>
  <c r="V1149" i="1"/>
  <c r="U1149" i="1"/>
  <c r="T1149" i="1"/>
  <c r="S1149" i="1"/>
  <c r="W1148" i="1"/>
  <c r="V1148" i="1"/>
  <c r="U1148" i="1"/>
  <c r="T1148" i="1"/>
  <c r="S1148" i="1"/>
  <c r="W1147" i="1"/>
  <c r="V1147" i="1"/>
  <c r="U1147" i="1"/>
  <c r="T1147" i="1"/>
  <c r="S1147" i="1"/>
  <c r="W1146" i="1"/>
  <c r="V1146" i="1"/>
  <c r="U1146" i="1"/>
  <c r="T1146" i="1"/>
  <c r="S1146" i="1"/>
  <c r="W1145" i="1"/>
  <c r="V1145" i="1"/>
  <c r="U1145" i="1"/>
  <c r="T1145" i="1"/>
  <c r="S1145" i="1"/>
  <c r="W1144" i="1"/>
  <c r="V1144" i="1"/>
  <c r="U1144" i="1"/>
  <c r="T1144" i="1"/>
  <c r="S1144" i="1"/>
  <c r="W1143" i="1"/>
  <c r="V1143" i="1"/>
  <c r="U1143" i="1"/>
  <c r="T1143" i="1"/>
  <c r="S1143" i="1"/>
  <c r="W1142" i="1"/>
  <c r="V1142" i="1"/>
  <c r="U1142" i="1"/>
  <c r="T1142" i="1"/>
  <c r="S1142" i="1"/>
  <c r="W1141" i="1"/>
  <c r="V1141" i="1"/>
  <c r="U1141" i="1"/>
  <c r="T1141" i="1"/>
  <c r="S1141" i="1"/>
  <c r="W1140" i="1"/>
  <c r="V1140" i="1"/>
  <c r="U1140" i="1"/>
  <c r="T1140" i="1"/>
  <c r="S1140" i="1"/>
  <c r="W1139" i="1"/>
  <c r="V1139" i="1"/>
  <c r="U1139" i="1"/>
  <c r="T1139" i="1"/>
  <c r="S1139" i="1"/>
  <c r="W1138" i="1"/>
  <c r="V1138" i="1"/>
  <c r="U1138" i="1"/>
  <c r="T1138" i="1"/>
  <c r="S1138" i="1"/>
  <c r="W1137" i="1"/>
  <c r="V1137" i="1"/>
  <c r="U1137" i="1"/>
  <c r="T1137" i="1"/>
  <c r="S1137" i="1"/>
  <c r="W1136" i="1"/>
  <c r="V1136" i="1"/>
  <c r="U1136" i="1"/>
  <c r="T1136" i="1"/>
  <c r="S1136" i="1"/>
  <c r="W1135" i="1"/>
  <c r="V1135" i="1"/>
  <c r="U1135" i="1"/>
  <c r="T1135" i="1"/>
  <c r="S1135" i="1"/>
  <c r="W1134" i="1"/>
  <c r="V1134" i="1"/>
  <c r="U1134" i="1"/>
  <c r="T1134" i="1"/>
  <c r="S1134" i="1"/>
  <c r="W1133" i="1"/>
  <c r="V1133" i="1"/>
  <c r="U1133" i="1"/>
  <c r="T1133" i="1"/>
  <c r="S1133" i="1"/>
  <c r="W1132" i="1"/>
  <c r="V1132" i="1"/>
  <c r="U1132" i="1"/>
  <c r="T1132" i="1"/>
  <c r="S1132" i="1"/>
  <c r="W1131" i="1"/>
  <c r="V1131" i="1"/>
  <c r="U1131" i="1"/>
  <c r="T1131" i="1"/>
  <c r="S1131" i="1"/>
  <c r="W1130" i="1"/>
  <c r="V1130" i="1"/>
  <c r="U1130" i="1"/>
  <c r="T1130" i="1"/>
  <c r="S1130" i="1"/>
  <c r="W1129" i="1"/>
  <c r="V1129" i="1"/>
  <c r="U1129" i="1"/>
  <c r="T1129" i="1"/>
  <c r="S1129" i="1"/>
  <c r="W1128" i="1"/>
  <c r="V1128" i="1"/>
  <c r="U1128" i="1"/>
  <c r="T1128" i="1"/>
  <c r="S1128" i="1"/>
  <c r="W1127" i="1"/>
  <c r="V1127" i="1"/>
  <c r="U1127" i="1"/>
  <c r="T1127" i="1"/>
  <c r="S1127" i="1"/>
  <c r="W1126" i="1"/>
  <c r="V1126" i="1"/>
  <c r="U1126" i="1"/>
  <c r="T1126" i="1"/>
  <c r="S1126" i="1"/>
  <c r="W1125" i="1"/>
  <c r="V1125" i="1"/>
  <c r="U1125" i="1"/>
  <c r="T1125" i="1"/>
  <c r="S1125" i="1"/>
  <c r="W1124" i="1"/>
  <c r="V1124" i="1"/>
  <c r="U1124" i="1"/>
  <c r="T1124" i="1"/>
  <c r="S1124" i="1"/>
  <c r="W1123" i="1"/>
  <c r="V1123" i="1"/>
  <c r="U1123" i="1"/>
  <c r="T1123" i="1"/>
  <c r="S1123" i="1"/>
  <c r="W1122" i="1"/>
  <c r="V1122" i="1"/>
  <c r="U1122" i="1"/>
  <c r="T1122" i="1"/>
  <c r="S1122" i="1"/>
  <c r="W1121" i="1"/>
  <c r="V1121" i="1"/>
  <c r="U1121" i="1"/>
  <c r="T1121" i="1"/>
  <c r="S1121" i="1"/>
  <c r="W1120" i="1"/>
  <c r="V1120" i="1"/>
  <c r="U1120" i="1"/>
  <c r="T1120" i="1"/>
  <c r="S1120" i="1"/>
  <c r="W1119" i="1"/>
  <c r="V1119" i="1"/>
  <c r="U1119" i="1"/>
  <c r="T1119" i="1"/>
  <c r="S1119" i="1"/>
  <c r="W1118" i="1"/>
  <c r="V1118" i="1"/>
  <c r="U1118" i="1"/>
  <c r="T1118" i="1"/>
  <c r="S1118" i="1"/>
  <c r="W1117" i="1"/>
  <c r="V1117" i="1"/>
  <c r="U1117" i="1"/>
  <c r="T1117" i="1"/>
  <c r="S1117" i="1"/>
  <c r="W1116" i="1"/>
  <c r="V1116" i="1"/>
  <c r="U1116" i="1"/>
  <c r="T1116" i="1"/>
  <c r="S1116" i="1"/>
  <c r="W1115" i="1"/>
  <c r="V1115" i="1"/>
  <c r="U1115" i="1"/>
  <c r="T1115" i="1"/>
  <c r="S1115" i="1"/>
  <c r="W1114" i="1"/>
  <c r="V1114" i="1"/>
  <c r="U1114" i="1"/>
  <c r="T1114" i="1"/>
  <c r="S1114" i="1"/>
  <c r="W1113" i="1"/>
  <c r="V1113" i="1"/>
  <c r="U1113" i="1"/>
  <c r="T1113" i="1"/>
  <c r="S1113" i="1"/>
  <c r="W1112" i="1"/>
  <c r="V1112" i="1"/>
  <c r="U1112" i="1"/>
  <c r="T1112" i="1"/>
  <c r="S1112" i="1"/>
  <c r="W1111" i="1"/>
  <c r="V1111" i="1"/>
  <c r="U1111" i="1"/>
  <c r="T1111" i="1"/>
  <c r="S1111" i="1"/>
  <c r="W1110" i="1"/>
  <c r="V1110" i="1"/>
  <c r="U1110" i="1"/>
  <c r="T1110" i="1"/>
  <c r="S1110" i="1"/>
  <c r="W1109" i="1"/>
  <c r="V1109" i="1"/>
  <c r="U1109" i="1"/>
  <c r="T1109" i="1"/>
  <c r="S1109" i="1"/>
  <c r="W1108" i="1"/>
  <c r="V1108" i="1"/>
  <c r="U1108" i="1"/>
  <c r="T1108" i="1"/>
  <c r="S1108" i="1"/>
  <c r="W1107" i="1"/>
  <c r="V1107" i="1"/>
  <c r="U1107" i="1"/>
  <c r="T1107" i="1"/>
  <c r="S1107" i="1"/>
  <c r="W1106" i="1"/>
  <c r="V1106" i="1"/>
  <c r="U1106" i="1"/>
  <c r="T1106" i="1"/>
  <c r="S1106" i="1"/>
  <c r="W1105" i="1"/>
  <c r="V1105" i="1"/>
  <c r="U1105" i="1"/>
  <c r="T1105" i="1"/>
  <c r="S1105" i="1"/>
  <c r="W1104" i="1"/>
  <c r="V1104" i="1"/>
  <c r="U1104" i="1"/>
  <c r="T1104" i="1"/>
  <c r="S1104" i="1"/>
  <c r="W1103" i="1"/>
  <c r="V1103" i="1"/>
  <c r="U1103" i="1"/>
  <c r="T1103" i="1"/>
  <c r="S1103" i="1"/>
  <c r="W1102" i="1"/>
  <c r="V1102" i="1"/>
  <c r="U1102" i="1"/>
  <c r="T1102" i="1"/>
  <c r="S1102" i="1"/>
  <c r="W1101" i="1"/>
  <c r="V1101" i="1"/>
  <c r="U1101" i="1"/>
  <c r="T1101" i="1"/>
  <c r="S1101" i="1"/>
  <c r="W1100" i="1"/>
  <c r="V1100" i="1"/>
  <c r="U1100" i="1"/>
  <c r="T1100" i="1"/>
  <c r="S1100" i="1"/>
  <c r="W1099" i="1"/>
  <c r="V1099" i="1"/>
  <c r="U1099" i="1"/>
  <c r="T1099" i="1"/>
  <c r="S1099" i="1"/>
  <c r="W1098" i="1"/>
  <c r="V1098" i="1"/>
  <c r="U1098" i="1"/>
  <c r="T1098" i="1"/>
  <c r="S1098" i="1"/>
  <c r="W1097" i="1"/>
  <c r="V1097" i="1"/>
  <c r="U1097" i="1"/>
  <c r="T1097" i="1"/>
  <c r="S1097" i="1"/>
  <c r="W1096" i="1"/>
  <c r="V1096" i="1"/>
  <c r="U1096" i="1"/>
  <c r="T1096" i="1"/>
  <c r="S1096" i="1"/>
  <c r="W1095" i="1"/>
  <c r="V1095" i="1"/>
  <c r="U1095" i="1"/>
  <c r="T1095" i="1"/>
  <c r="S1095" i="1"/>
  <c r="W1094" i="1"/>
  <c r="V1094" i="1"/>
  <c r="U1094" i="1"/>
  <c r="T1094" i="1"/>
  <c r="S1094" i="1"/>
  <c r="W1093" i="1"/>
  <c r="V1093" i="1"/>
  <c r="U1093" i="1"/>
  <c r="T1093" i="1"/>
  <c r="S1093" i="1"/>
  <c r="W1092" i="1"/>
  <c r="V1092" i="1"/>
  <c r="U1092" i="1"/>
  <c r="T1092" i="1"/>
  <c r="S1092" i="1"/>
  <c r="W1091" i="1"/>
  <c r="V1091" i="1"/>
  <c r="U1091" i="1"/>
  <c r="T1091" i="1"/>
  <c r="S1091" i="1"/>
  <c r="W1090" i="1"/>
  <c r="V1090" i="1"/>
  <c r="U1090" i="1"/>
  <c r="T1090" i="1"/>
  <c r="S1090" i="1"/>
  <c r="W1089" i="1"/>
  <c r="V1089" i="1"/>
  <c r="U1089" i="1"/>
  <c r="T1089" i="1"/>
  <c r="S1089" i="1"/>
  <c r="W1088" i="1"/>
  <c r="V1088" i="1"/>
  <c r="U1088" i="1"/>
  <c r="T1088" i="1"/>
  <c r="S1088" i="1"/>
  <c r="W1087" i="1"/>
  <c r="V1087" i="1"/>
  <c r="U1087" i="1"/>
  <c r="T1087" i="1"/>
  <c r="S1087" i="1"/>
  <c r="W1086" i="1"/>
  <c r="V1086" i="1"/>
  <c r="U1086" i="1"/>
  <c r="T1086" i="1"/>
  <c r="S1086" i="1"/>
  <c r="W1085" i="1"/>
  <c r="V1085" i="1"/>
  <c r="U1085" i="1"/>
  <c r="T1085" i="1"/>
  <c r="S1085" i="1"/>
  <c r="W1084" i="1"/>
  <c r="V1084" i="1"/>
  <c r="U1084" i="1"/>
  <c r="T1084" i="1"/>
  <c r="S1084" i="1"/>
  <c r="W1083" i="1"/>
  <c r="V1083" i="1"/>
  <c r="U1083" i="1"/>
  <c r="T1083" i="1"/>
  <c r="S1083" i="1"/>
  <c r="W1082" i="1"/>
  <c r="V1082" i="1"/>
  <c r="U1082" i="1"/>
  <c r="T1082" i="1"/>
  <c r="S1082" i="1"/>
  <c r="W1081" i="1"/>
  <c r="V1081" i="1"/>
  <c r="U1081" i="1"/>
  <c r="T1081" i="1"/>
  <c r="S1081" i="1"/>
  <c r="W1080" i="1"/>
  <c r="V1080" i="1"/>
  <c r="U1080" i="1"/>
  <c r="T1080" i="1"/>
  <c r="S1080" i="1"/>
  <c r="W1079" i="1"/>
  <c r="V1079" i="1"/>
  <c r="U1079" i="1"/>
  <c r="T1079" i="1"/>
  <c r="S1079" i="1"/>
  <c r="W1078" i="1"/>
  <c r="V1078" i="1"/>
  <c r="U1078" i="1"/>
  <c r="T1078" i="1"/>
  <c r="S1078" i="1"/>
  <c r="W1077" i="1"/>
  <c r="V1077" i="1"/>
  <c r="U1077" i="1"/>
  <c r="T1077" i="1"/>
  <c r="S1077" i="1"/>
  <c r="W1076" i="1"/>
  <c r="V1076" i="1"/>
  <c r="U1076" i="1"/>
  <c r="T1076" i="1"/>
  <c r="S1076" i="1"/>
  <c r="W1075" i="1"/>
  <c r="V1075" i="1"/>
  <c r="U1075" i="1"/>
  <c r="T1075" i="1"/>
  <c r="S1075" i="1"/>
  <c r="W1074" i="1"/>
  <c r="V1074" i="1"/>
  <c r="U1074" i="1"/>
  <c r="T1074" i="1"/>
  <c r="S1074" i="1"/>
  <c r="W1073" i="1"/>
  <c r="V1073" i="1"/>
  <c r="U1073" i="1"/>
  <c r="T1073" i="1"/>
  <c r="S1073" i="1"/>
  <c r="W1072" i="1"/>
  <c r="V1072" i="1"/>
  <c r="U1072" i="1"/>
  <c r="T1072" i="1"/>
  <c r="S1072" i="1"/>
  <c r="W1071" i="1"/>
  <c r="V1071" i="1"/>
  <c r="U1071" i="1"/>
  <c r="T1071" i="1"/>
  <c r="S1071" i="1"/>
  <c r="W1070" i="1"/>
  <c r="V1070" i="1"/>
  <c r="U1070" i="1"/>
  <c r="T1070" i="1"/>
  <c r="S1070" i="1"/>
  <c r="W1069" i="1"/>
  <c r="V1069" i="1"/>
  <c r="U1069" i="1"/>
  <c r="T1069" i="1"/>
  <c r="S1069" i="1"/>
  <c r="W1068" i="1"/>
  <c r="V1068" i="1"/>
  <c r="U1068" i="1"/>
  <c r="T1068" i="1"/>
  <c r="S1068" i="1"/>
  <c r="W1067" i="1"/>
  <c r="V1067" i="1"/>
  <c r="U1067" i="1"/>
  <c r="T1067" i="1"/>
  <c r="S1067" i="1"/>
  <c r="W1066" i="1"/>
  <c r="V1066" i="1"/>
  <c r="U1066" i="1"/>
  <c r="T1066" i="1"/>
  <c r="S1066" i="1"/>
  <c r="W1065" i="1"/>
  <c r="V1065" i="1"/>
  <c r="U1065" i="1"/>
  <c r="T1065" i="1"/>
  <c r="S1065" i="1"/>
  <c r="W1064" i="1"/>
  <c r="V1064" i="1"/>
  <c r="U1064" i="1"/>
  <c r="T1064" i="1"/>
  <c r="S1064" i="1"/>
  <c r="W1063" i="1"/>
  <c r="V1063" i="1"/>
  <c r="U1063" i="1"/>
  <c r="T1063" i="1"/>
  <c r="S1063" i="1"/>
  <c r="W1062" i="1"/>
  <c r="V1062" i="1"/>
  <c r="U1062" i="1"/>
  <c r="T1062" i="1"/>
  <c r="S1062" i="1"/>
  <c r="W1061" i="1"/>
  <c r="V1061" i="1"/>
  <c r="U1061" i="1"/>
  <c r="T1061" i="1"/>
  <c r="S1061" i="1"/>
  <c r="W1060" i="1"/>
  <c r="V1060" i="1"/>
  <c r="U1060" i="1"/>
  <c r="T1060" i="1"/>
  <c r="S1060" i="1"/>
  <c r="W1059" i="1"/>
  <c r="V1059" i="1"/>
  <c r="U1059" i="1"/>
  <c r="T1059" i="1"/>
  <c r="S1059" i="1"/>
  <c r="W1058" i="1"/>
  <c r="V1058" i="1"/>
  <c r="U1058" i="1"/>
  <c r="T1058" i="1"/>
  <c r="S1058" i="1"/>
  <c r="W1057" i="1"/>
  <c r="V1057" i="1"/>
  <c r="U1057" i="1"/>
  <c r="T1057" i="1"/>
  <c r="S1057" i="1"/>
  <c r="W1056" i="1"/>
  <c r="V1056" i="1"/>
  <c r="U1056" i="1"/>
  <c r="T1056" i="1"/>
  <c r="S1056" i="1"/>
  <c r="W1055" i="1"/>
  <c r="V1055" i="1"/>
  <c r="U1055" i="1"/>
  <c r="T1055" i="1"/>
  <c r="S1055" i="1"/>
  <c r="W1054" i="1"/>
  <c r="V1054" i="1"/>
  <c r="U1054" i="1"/>
  <c r="T1054" i="1"/>
  <c r="S1054" i="1"/>
  <c r="W1053" i="1"/>
  <c r="V1053" i="1"/>
  <c r="U1053" i="1"/>
  <c r="T1053" i="1"/>
  <c r="S1053" i="1"/>
  <c r="W1052" i="1"/>
  <c r="V1052" i="1"/>
  <c r="U1052" i="1"/>
  <c r="T1052" i="1"/>
  <c r="S1052" i="1"/>
  <c r="W1051" i="1"/>
  <c r="V1051" i="1"/>
  <c r="U1051" i="1"/>
  <c r="T1051" i="1"/>
  <c r="S1051" i="1"/>
  <c r="W1050" i="1"/>
  <c r="V1050" i="1"/>
  <c r="U1050" i="1"/>
  <c r="T1050" i="1"/>
  <c r="S1050" i="1"/>
  <c r="W1049" i="1"/>
  <c r="V1049" i="1"/>
  <c r="U1049" i="1"/>
  <c r="T1049" i="1"/>
  <c r="S1049" i="1"/>
  <c r="W1048" i="1"/>
  <c r="V1048" i="1"/>
  <c r="U1048" i="1"/>
  <c r="T1048" i="1"/>
  <c r="S1048" i="1"/>
  <c r="W1047" i="1"/>
  <c r="V1047" i="1"/>
  <c r="U1047" i="1"/>
  <c r="T1047" i="1"/>
  <c r="S1047" i="1"/>
  <c r="W1046" i="1"/>
  <c r="V1046" i="1"/>
  <c r="U1046" i="1"/>
  <c r="T1046" i="1"/>
  <c r="S1046" i="1"/>
  <c r="W1045" i="1"/>
  <c r="V1045" i="1"/>
  <c r="U1045" i="1"/>
  <c r="T1045" i="1"/>
  <c r="S1045" i="1"/>
  <c r="W1044" i="1"/>
  <c r="V1044" i="1"/>
  <c r="U1044" i="1"/>
  <c r="T1044" i="1"/>
  <c r="S1044" i="1"/>
  <c r="W1043" i="1"/>
  <c r="V1043" i="1"/>
  <c r="U1043" i="1"/>
  <c r="T1043" i="1"/>
  <c r="S1043" i="1"/>
  <c r="W1042" i="1"/>
  <c r="V1042" i="1"/>
  <c r="U1042" i="1"/>
  <c r="T1042" i="1"/>
  <c r="S1042" i="1"/>
  <c r="W1041" i="1"/>
  <c r="V1041" i="1"/>
  <c r="U1041" i="1"/>
  <c r="T1041" i="1"/>
  <c r="S1041" i="1"/>
  <c r="W1040" i="1"/>
  <c r="V1040" i="1"/>
  <c r="U1040" i="1"/>
  <c r="T1040" i="1"/>
  <c r="S1040" i="1"/>
  <c r="W1039" i="1"/>
  <c r="V1039" i="1"/>
  <c r="U1039" i="1"/>
  <c r="T1039" i="1"/>
  <c r="S1039" i="1"/>
  <c r="W1038" i="1"/>
  <c r="V1038" i="1"/>
  <c r="U1038" i="1"/>
  <c r="T1038" i="1"/>
  <c r="S1038" i="1"/>
  <c r="W1037" i="1"/>
  <c r="V1037" i="1"/>
  <c r="U1037" i="1"/>
  <c r="T1037" i="1"/>
  <c r="S1037" i="1"/>
  <c r="W1036" i="1"/>
  <c r="V1036" i="1"/>
  <c r="U1036" i="1"/>
  <c r="T1036" i="1"/>
  <c r="S1036" i="1"/>
  <c r="W1035" i="1"/>
  <c r="V1035" i="1"/>
  <c r="U1035" i="1"/>
  <c r="T1035" i="1"/>
  <c r="S1035" i="1"/>
  <c r="W1034" i="1"/>
  <c r="V1034" i="1"/>
  <c r="U1034" i="1"/>
  <c r="T1034" i="1"/>
  <c r="S1034" i="1"/>
  <c r="W1033" i="1"/>
  <c r="V1033" i="1"/>
  <c r="U1033" i="1"/>
  <c r="T1033" i="1"/>
  <c r="S1033" i="1"/>
  <c r="W1032" i="1"/>
  <c r="V1032" i="1"/>
  <c r="U1032" i="1"/>
  <c r="T1032" i="1"/>
  <c r="S1032" i="1"/>
  <c r="W1031" i="1"/>
  <c r="V1031" i="1"/>
  <c r="U1031" i="1"/>
  <c r="T1031" i="1"/>
  <c r="S1031" i="1"/>
  <c r="W1030" i="1"/>
  <c r="V1030" i="1"/>
  <c r="U1030" i="1"/>
  <c r="T1030" i="1"/>
  <c r="S1030" i="1"/>
  <c r="W1029" i="1"/>
  <c r="V1029" i="1"/>
  <c r="U1029" i="1"/>
  <c r="T1029" i="1"/>
  <c r="S1029" i="1"/>
  <c r="W1028" i="1"/>
  <c r="V1028" i="1"/>
  <c r="U1028" i="1"/>
  <c r="T1028" i="1"/>
  <c r="S1028" i="1"/>
  <c r="W1027" i="1"/>
  <c r="V1027" i="1"/>
  <c r="U1027" i="1"/>
  <c r="T1027" i="1"/>
  <c r="S1027" i="1"/>
  <c r="W1026" i="1"/>
  <c r="V1026" i="1"/>
  <c r="U1026" i="1"/>
  <c r="T1026" i="1"/>
  <c r="S1026" i="1"/>
  <c r="W1025" i="1"/>
  <c r="V1025" i="1"/>
  <c r="U1025" i="1"/>
  <c r="T1025" i="1"/>
  <c r="S1025" i="1"/>
  <c r="W1024" i="1"/>
  <c r="V1024" i="1"/>
  <c r="U1024" i="1"/>
  <c r="T1024" i="1"/>
  <c r="S1024" i="1"/>
  <c r="W1023" i="1"/>
  <c r="V1023" i="1"/>
  <c r="U1023" i="1"/>
  <c r="T1023" i="1"/>
  <c r="S1023" i="1"/>
  <c r="W1022" i="1"/>
  <c r="V1022" i="1"/>
  <c r="U1022" i="1"/>
  <c r="T1022" i="1"/>
  <c r="S1022" i="1"/>
  <c r="W1021" i="1"/>
  <c r="V1021" i="1"/>
  <c r="U1021" i="1"/>
  <c r="T1021" i="1"/>
  <c r="S1021" i="1"/>
  <c r="W1020" i="1"/>
  <c r="V1020" i="1"/>
  <c r="U1020" i="1"/>
  <c r="T1020" i="1"/>
  <c r="S1020" i="1"/>
  <c r="W1019" i="1"/>
  <c r="V1019" i="1"/>
  <c r="U1019" i="1"/>
  <c r="T1019" i="1"/>
  <c r="S1019" i="1"/>
  <c r="W1018" i="1"/>
  <c r="V1018" i="1"/>
  <c r="U1018" i="1"/>
  <c r="T1018" i="1"/>
  <c r="S1018" i="1"/>
  <c r="W1017" i="1"/>
  <c r="V1017" i="1"/>
  <c r="U1017" i="1"/>
  <c r="T1017" i="1"/>
  <c r="S1017" i="1"/>
  <c r="W1016" i="1"/>
  <c r="V1016" i="1"/>
  <c r="U1016" i="1"/>
  <c r="T1016" i="1"/>
  <c r="S1016" i="1"/>
  <c r="W1015" i="1"/>
  <c r="V1015" i="1"/>
  <c r="U1015" i="1"/>
  <c r="T1015" i="1"/>
  <c r="S1015" i="1"/>
  <c r="W1014" i="1"/>
  <c r="V1014" i="1"/>
  <c r="U1014" i="1"/>
  <c r="T1014" i="1"/>
  <c r="S1014" i="1"/>
  <c r="W1013" i="1"/>
  <c r="V1013" i="1"/>
  <c r="U1013" i="1"/>
  <c r="T1013" i="1"/>
  <c r="S1013" i="1"/>
  <c r="W1012" i="1"/>
  <c r="V1012" i="1"/>
  <c r="U1012" i="1"/>
  <c r="T1012" i="1"/>
  <c r="S1012" i="1"/>
  <c r="W1011" i="1"/>
  <c r="V1011" i="1"/>
  <c r="U1011" i="1"/>
  <c r="T1011" i="1"/>
  <c r="S1011" i="1"/>
  <c r="W1010" i="1"/>
  <c r="V1010" i="1"/>
  <c r="U1010" i="1"/>
  <c r="T1010" i="1"/>
  <c r="S1010" i="1"/>
  <c r="W1009" i="1"/>
  <c r="V1009" i="1"/>
  <c r="U1009" i="1"/>
  <c r="T1009" i="1"/>
  <c r="S1009" i="1"/>
  <c r="W1008" i="1"/>
  <c r="V1008" i="1"/>
  <c r="U1008" i="1"/>
  <c r="T1008" i="1"/>
  <c r="S1008" i="1"/>
  <c r="W1007" i="1"/>
  <c r="V1007" i="1"/>
  <c r="U1007" i="1"/>
  <c r="T1007" i="1"/>
  <c r="S1007" i="1"/>
  <c r="W1006" i="1"/>
  <c r="V1006" i="1"/>
  <c r="U1006" i="1"/>
  <c r="T1006" i="1"/>
  <c r="S1006" i="1"/>
  <c r="W1005" i="1"/>
  <c r="V1005" i="1"/>
  <c r="U1005" i="1"/>
  <c r="T1005" i="1"/>
  <c r="S1005" i="1"/>
  <c r="W1004" i="1"/>
  <c r="V1004" i="1"/>
  <c r="U1004" i="1"/>
  <c r="T1004" i="1"/>
  <c r="S1004" i="1"/>
  <c r="W1003" i="1"/>
  <c r="V1003" i="1"/>
  <c r="U1003" i="1"/>
  <c r="T1003" i="1"/>
  <c r="S1003" i="1"/>
  <c r="W1002" i="1"/>
  <c r="V1002" i="1"/>
  <c r="U1002" i="1"/>
  <c r="T1002" i="1"/>
  <c r="S1002" i="1"/>
  <c r="W1001" i="1"/>
  <c r="V1001" i="1"/>
  <c r="U1001" i="1"/>
  <c r="T1001" i="1"/>
  <c r="S1001" i="1"/>
  <c r="W1000" i="1"/>
  <c r="V1000" i="1"/>
  <c r="U1000" i="1"/>
  <c r="T1000" i="1"/>
  <c r="S1000" i="1"/>
  <c r="W999" i="1"/>
  <c r="V999" i="1"/>
  <c r="U999" i="1"/>
  <c r="T999" i="1"/>
  <c r="S999" i="1"/>
  <c r="W998" i="1"/>
  <c r="V998" i="1"/>
  <c r="U998" i="1"/>
  <c r="T998" i="1"/>
  <c r="S998" i="1"/>
  <c r="W997" i="1"/>
  <c r="V997" i="1"/>
  <c r="U997" i="1"/>
  <c r="T997" i="1"/>
  <c r="S997" i="1"/>
  <c r="W996" i="1"/>
  <c r="V996" i="1"/>
  <c r="U996" i="1"/>
  <c r="T996" i="1"/>
  <c r="S996" i="1"/>
  <c r="W995" i="1"/>
  <c r="V995" i="1"/>
  <c r="U995" i="1"/>
  <c r="T995" i="1"/>
  <c r="S995" i="1"/>
  <c r="W994" i="1"/>
  <c r="V994" i="1"/>
  <c r="U994" i="1"/>
  <c r="T994" i="1"/>
  <c r="S994" i="1"/>
  <c r="W993" i="1"/>
  <c r="V993" i="1"/>
  <c r="U993" i="1"/>
  <c r="T993" i="1"/>
  <c r="S993" i="1"/>
  <c r="W992" i="1"/>
  <c r="V992" i="1"/>
  <c r="U992" i="1"/>
  <c r="T992" i="1"/>
  <c r="S992" i="1"/>
  <c r="W991" i="1"/>
  <c r="V991" i="1"/>
  <c r="U991" i="1"/>
  <c r="T991" i="1"/>
  <c r="S991" i="1"/>
  <c r="W990" i="1"/>
  <c r="V990" i="1"/>
  <c r="U990" i="1"/>
  <c r="T990" i="1"/>
  <c r="S990" i="1"/>
  <c r="W989" i="1"/>
  <c r="V989" i="1"/>
  <c r="U989" i="1"/>
  <c r="T989" i="1"/>
  <c r="S989" i="1"/>
  <c r="W988" i="1"/>
  <c r="V988" i="1"/>
  <c r="U988" i="1"/>
  <c r="T988" i="1"/>
  <c r="S988" i="1"/>
  <c r="W987" i="1"/>
  <c r="V987" i="1"/>
  <c r="U987" i="1"/>
  <c r="T987" i="1"/>
  <c r="S987" i="1"/>
  <c r="W986" i="1"/>
  <c r="V986" i="1"/>
  <c r="U986" i="1"/>
  <c r="T986" i="1"/>
  <c r="S986" i="1"/>
  <c r="W985" i="1"/>
  <c r="V985" i="1"/>
  <c r="U985" i="1"/>
  <c r="T985" i="1"/>
  <c r="S985" i="1"/>
  <c r="W984" i="1"/>
  <c r="V984" i="1"/>
  <c r="U984" i="1"/>
  <c r="T984" i="1"/>
  <c r="S984" i="1"/>
  <c r="W983" i="1"/>
  <c r="V983" i="1"/>
  <c r="U983" i="1"/>
  <c r="T983" i="1"/>
  <c r="S983" i="1"/>
  <c r="W982" i="1"/>
  <c r="V982" i="1"/>
  <c r="U982" i="1"/>
  <c r="T982" i="1"/>
  <c r="S982" i="1"/>
  <c r="W981" i="1"/>
  <c r="V981" i="1"/>
  <c r="U981" i="1"/>
  <c r="T981" i="1"/>
  <c r="S981" i="1"/>
  <c r="W980" i="1"/>
  <c r="V980" i="1"/>
  <c r="U980" i="1"/>
  <c r="T980" i="1"/>
  <c r="S980" i="1"/>
  <c r="W979" i="1"/>
  <c r="V979" i="1"/>
  <c r="U979" i="1"/>
  <c r="T979" i="1"/>
  <c r="S979" i="1"/>
  <c r="W978" i="1"/>
  <c r="V978" i="1"/>
  <c r="U978" i="1"/>
  <c r="T978" i="1"/>
  <c r="S978" i="1"/>
  <c r="W977" i="1"/>
  <c r="V977" i="1"/>
  <c r="U977" i="1"/>
  <c r="T977" i="1"/>
  <c r="S977" i="1"/>
  <c r="W976" i="1"/>
  <c r="V976" i="1"/>
  <c r="U976" i="1"/>
  <c r="T976" i="1"/>
  <c r="S976" i="1"/>
  <c r="W975" i="1"/>
  <c r="V975" i="1"/>
  <c r="U975" i="1"/>
  <c r="T975" i="1"/>
  <c r="S975" i="1"/>
  <c r="W974" i="1"/>
  <c r="V974" i="1"/>
  <c r="U974" i="1"/>
  <c r="T974" i="1"/>
  <c r="S974" i="1"/>
  <c r="W973" i="1"/>
  <c r="V973" i="1"/>
  <c r="U973" i="1"/>
  <c r="T973" i="1"/>
  <c r="S973" i="1"/>
  <c r="W972" i="1"/>
  <c r="V972" i="1"/>
  <c r="U972" i="1"/>
  <c r="T972" i="1"/>
  <c r="S972" i="1"/>
  <c r="W971" i="1"/>
  <c r="V971" i="1"/>
  <c r="U971" i="1"/>
  <c r="T971" i="1"/>
  <c r="S971" i="1"/>
  <c r="W970" i="1"/>
  <c r="V970" i="1"/>
  <c r="U970" i="1"/>
  <c r="T970" i="1"/>
  <c r="S970" i="1"/>
  <c r="W969" i="1"/>
  <c r="V969" i="1"/>
  <c r="U969" i="1"/>
  <c r="T969" i="1"/>
  <c r="S969" i="1"/>
  <c r="W968" i="1"/>
  <c r="V968" i="1"/>
  <c r="U968" i="1"/>
  <c r="T968" i="1"/>
  <c r="S968" i="1"/>
  <c r="W967" i="1"/>
  <c r="V967" i="1"/>
  <c r="U967" i="1"/>
  <c r="T967" i="1"/>
  <c r="S967" i="1"/>
  <c r="W966" i="1"/>
  <c r="V966" i="1"/>
  <c r="U966" i="1"/>
  <c r="T966" i="1"/>
  <c r="S966" i="1"/>
  <c r="W965" i="1"/>
  <c r="V965" i="1"/>
  <c r="U965" i="1"/>
  <c r="T965" i="1"/>
  <c r="S965" i="1"/>
  <c r="W964" i="1"/>
  <c r="V964" i="1"/>
  <c r="U964" i="1"/>
  <c r="T964" i="1"/>
  <c r="S964" i="1"/>
  <c r="W963" i="1"/>
  <c r="V963" i="1"/>
  <c r="U963" i="1"/>
  <c r="T963" i="1"/>
  <c r="S963" i="1"/>
  <c r="W962" i="1"/>
  <c r="V962" i="1"/>
  <c r="U962" i="1"/>
  <c r="T962" i="1"/>
  <c r="S962" i="1"/>
  <c r="W961" i="1"/>
  <c r="V961" i="1"/>
  <c r="U961" i="1"/>
  <c r="T961" i="1"/>
  <c r="S961" i="1"/>
  <c r="W960" i="1"/>
  <c r="V960" i="1"/>
  <c r="U960" i="1"/>
  <c r="T960" i="1"/>
  <c r="S960" i="1"/>
  <c r="W959" i="1"/>
  <c r="V959" i="1"/>
  <c r="U959" i="1"/>
  <c r="T959" i="1"/>
  <c r="S959" i="1"/>
  <c r="W958" i="1"/>
  <c r="V958" i="1"/>
  <c r="U958" i="1"/>
  <c r="T958" i="1"/>
  <c r="S958" i="1"/>
  <c r="W957" i="1"/>
  <c r="V957" i="1"/>
  <c r="U957" i="1"/>
  <c r="T957" i="1"/>
  <c r="S957" i="1"/>
  <c r="W956" i="1"/>
  <c r="V956" i="1"/>
  <c r="U956" i="1"/>
  <c r="T956" i="1"/>
  <c r="S956" i="1"/>
  <c r="W955" i="1"/>
  <c r="V955" i="1"/>
  <c r="U955" i="1"/>
  <c r="T955" i="1"/>
  <c r="S955" i="1"/>
  <c r="W954" i="1"/>
  <c r="V954" i="1"/>
  <c r="U954" i="1"/>
  <c r="T954" i="1"/>
  <c r="S954" i="1"/>
  <c r="W953" i="1"/>
  <c r="V953" i="1"/>
  <c r="U953" i="1"/>
  <c r="T953" i="1"/>
  <c r="S953" i="1"/>
  <c r="W952" i="1"/>
  <c r="V952" i="1"/>
  <c r="U952" i="1"/>
  <c r="T952" i="1"/>
  <c r="S952" i="1"/>
  <c r="W951" i="1"/>
  <c r="V951" i="1"/>
  <c r="U951" i="1"/>
  <c r="T951" i="1"/>
  <c r="S951" i="1"/>
  <c r="W950" i="1"/>
  <c r="V950" i="1"/>
  <c r="U950" i="1"/>
  <c r="T950" i="1"/>
  <c r="S950" i="1"/>
  <c r="W949" i="1"/>
  <c r="V949" i="1"/>
  <c r="U949" i="1"/>
  <c r="T949" i="1"/>
  <c r="S949" i="1"/>
  <c r="W948" i="1"/>
  <c r="V948" i="1"/>
  <c r="U948" i="1"/>
  <c r="T948" i="1"/>
  <c r="S948" i="1"/>
  <c r="W947" i="1"/>
  <c r="V947" i="1"/>
  <c r="U947" i="1"/>
  <c r="T947" i="1"/>
  <c r="S947" i="1"/>
  <c r="W946" i="1"/>
  <c r="V946" i="1"/>
  <c r="U946" i="1"/>
  <c r="T946" i="1"/>
  <c r="S946" i="1"/>
  <c r="W945" i="1"/>
  <c r="V945" i="1"/>
  <c r="U945" i="1"/>
  <c r="T945" i="1"/>
  <c r="S945" i="1"/>
  <c r="W944" i="1"/>
  <c r="V944" i="1"/>
  <c r="U944" i="1"/>
  <c r="T944" i="1"/>
  <c r="S944" i="1"/>
  <c r="W943" i="1"/>
  <c r="V943" i="1"/>
  <c r="U943" i="1"/>
  <c r="T943" i="1"/>
  <c r="S943" i="1"/>
  <c r="W942" i="1"/>
  <c r="V942" i="1"/>
  <c r="U942" i="1"/>
  <c r="T942" i="1"/>
  <c r="S942" i="1"/>
  <c r="W941" i="1"/>
  <c r="V941" i="1"/>
  <c r="U941" i="1"/>
  <c r="T941" i="1"/>
  <c r="S941" i="1"/>
  <c r="W940" i="1"/>
  <c r="V940" i="1"/>
  <c r="U940" i="1"/>
  <c r="T940" i="1"/>
  <c r="S940" i="1"/>
  <c r="W939" i="1"/>
  <c r="V939" i="1"/>
  <c r="U939" i="1"/>
  <c r="T939" i="1"/>
  <c r="S939" i="1"/>
  <c r="W938" i="1"/>
  <c r="V938" i="1"/>
  <c r="U938" i="1"/>
  <c r="T938" i="1"/>
  <c r="S938" i="1"/>
  <c r="W937" i="1"/>
  <c r="V937" i="1"/>
  <c r="U937" i="1"/>
  <c r="T937" i="1"/>
  <c r="S937" i="1"/>
  <c r="W936" i="1"/>
  <c r="V936" i="1"/>
  <c r="U936" i="1"/>
  <c r="T936" i="1"/>
  <c r="S936" i="1"/>
  <c r="W935" i="1"/>
  <c r="V935" i="1"/>
  <c r="U935" i="1"/>
  <c r="T935" i="1"/>
  <c r="S935" i="1"/>
  <c r="W934" i="1"/>
  <c r="V934" i="1"/>
  <c r="U934" i="1"/>
  <c r="T934" i="1"/>
  <c r="S934" i="1"/>
  <c r="W933" i="1"/>
  <c r="V933" i="1"/>
  <c r="U933" i="1"/>
  <c r="T933" i="1"/>
  <c r="S933" i="1"/>
  <c r="W932" i="1"/>
  <c r="V932" i="1"/>
  <c r="U932" i="1"/>
  <c r="T932" i="1"/>
  <c r="S932" i="1"/>
  <c r="W931" i="1"/>
  <c r="V931" i="1"/>
  <c r="U931" i="1"/>
  <c r="T931" i="1"/>
  <c r="S931" i="1"/>
  <c r="W930" i="1"/>
  <c r="V930" i="1"/>
  <c r="U930" i="1"/>
  <c r="T930" i="1"/>
  <c r="S930" i="1"/>
  <c r="W929" i="1"/>
  <c r="V929" i="1"/>
  <c r="U929" i="1"/>
  <c r="T929" i="1"/>
  <c r="S929" i="1"/>
  <c r="W928" i="1"/>
  <c r="V928" i="1"/>
  <c r="U928" i="1"/>
  <c r="T928" i="1"/>
  <c r="S928" i="1"/>
  <c r="W927" i="1"/>
  <c r="V927" i="1"/>
  <c r="U927" i="1"/>
  <c r="T927" i="1"/>
  <c r="S927" i="1"/>
  <c r="W926" i="1"/>
  <c r="V926" i="1"/>
  <c r="U926" i="1"/>
  <c r="T926" i="1"/>
  <c r="S926" i="1"/>
  <c r="W925" i="1"/>
  <c r="V925" i="1"/>
  <c r="U925" i="1"/>
  <c r="T925" i="1"/>
  <c r="S925" i="1"/>
  <c r="W924" i="1"/>
  <c r="V924" i="1"/>
  <c r="U924" i="1"/>
  <c r="T924" i="1"/>
  <c r="S924" i="1"/>
  <c r="W923" i="1"/>
  <c r="V923" i="1"/>
  <c r="U923" i="1"/>
  <c r="T923" i="1"/>
  <c r="S923" i="1"/>
  <c r="W922" i="1"/>
  <c r="V922" i="1"/>
  <c r="U922" i="1"/>
  <c r="T922" i="1"/>
  <c r="S922" i="1"/>
  <c r="W921" i="1"/>
  <c r="V921" i="1"/>
  <c r="U921" i="1"/>
  <c r="T921" i="1"/>
  <c r="S921" i="1"/>
  <c r="W920" i="1"/>
  <c r="V920" i="1"/>
  <c r="U920" i="1"/>
  <c r="T920" i="1"/>
  <c r="S920" i="1"/>
  <c r="W919" i="1"/>
  <c r="V919" i="1"/>
  <c r="U919" i="1"/>
  <c r="T919" i="1"/>
  <c r="S919" i="1"/>
  <c r="W918" i="1"/>
  <c r="V918" i="1"/>
  <c r="U918" i="1"/>
  <c r="T918" i="1"/>
  <c r="S918" i="1"/>
  <c r="W917" i="1"/>
  <c r="V917" i="1"/>
  <c r="U917" i="1"/>
  <c r="T917" i="1"/>
  <c r="S917" i="1"/>
  <c r="W916" i="1"/>
  <c r="V916" i="1"/>
  <c r="U916" i="1"/>
  <c r="T916" i="1"/>
  <c r="S916" i="1"/>
  <c r="W915" i="1"/>
  <c r="V915" i="1"/>
  <c r="U915" i="1"/>
  <c r="T915" i="1"/>
  <c r="S915" i="1"/>
  <c r="W914" i="1"/>
  <c r="V914" i="1"/>
  <c r="U914" i="1"/>
  <c r="T914" i="1"/>
  <c r="S914" i="1"/>
  <c r="W913" i="1"/>
  <c r="V913" i="1"/>
  <c r="U913" i="1"/>
  <c r="T913" i="1"/>
  <c r="S913" i="1"/>
  <c r="W912" i="1"/>
  <c r="V912" i="1"/>
  <c r="U912" i="1"/>
  <c r="T912" i="1"/>
  <c r="S912" i="1"/>
  <c r="W911" i="1"/>
  <c r="V911" i="1"/>
  <c r="U911" i="1"/>
  <c r="T911" i="1"/>
  <c r="S911" i="1"/>
  <c r="W910" i="1"/>
  <c r="V910" i="1"/>
  <c r="U910" i="1"/>
  <c r="T910" i="1"/>
  <c r="S910" i="1"/>
  <c r="W909" i="1"/>
  <c r="V909" i="1"/>
  <c r="U909" i="1"/>
  <c r="T909" i="1"/>
  <c r="S909" i="1"/>
  <c r="W908" i="1"/>
  <c r="V908" i="1"/>
  <c r="U908" i="1"/>
  <c r="T908" i="1"/>
  <c r="S908" i="1"/>
  <c r="W907" i="1"/>
  <c r="V907" i="1"/>
  <c r="U907" i="1"/>
  <c r="T907" i="1"/>
  <c r="S907" i="1"/>
  <c r="W906" i="1"/>
  <c r="V906" i="1"/>
  <c r="U906" i="1"/>
  <c r="T906" i="1"/>
  <c r="S906" i="1"/>
  <c r="W905" i="1"/>
  <c r="V905" i="1"/>
  <c r="U905" i="1"/>
  <c r="T905" i="1"/>
  <c r="S905" i="1"/>
  <c r="W904" i="1"/>
  <c r="V904" i="1"/>
  <c r="U904" i="1"/>
  <c r="T904" i="1"/>
  <c r="S904" i="1"/>
  <c r="W903" i="1"/>
  <c r="V903" i="1"/>
  <c r="U903" i="1"/>
  <c r="T903" i="1"/>
  <c r="S903" i="1"/>
  <c r="W902" i="1"/>
  <c r="V902" i="1"/>
  <c r="U902" i="1"/>
  <c r="T902" i="1"/>
  <c r="S902" i="1"/>
  <c r="W901" i="1"/>
  <c r="V901" i="1"/>
  <c r="U901" i="1"/>
  <c r="T901" i="1"/>
  <c r="S901" i="1"/>
  <c r="W900" i="1"/>
  <c r="V900" i="1"/>
  <c r="U900" i="1"/>
  <c r="T900" i="1"/>
  <c r="S900" i="1"/>
  <c r="W899" i="1"/>
  <c r="V899" i="1"/>
  <c r="U899" i="1"/>
  <c r="T899" i="1"/>
  <c r="S899" i="1"/>
  <c r="W898" i="1"/>
  <c r="V898" i="1"/>
  <c r="U898" i="1"/>
  <c r="T898" i="1"/>
  <c r="S898" i="1"/>
  <c r="W897" i="1"/>
  <c r="V897" i="1"/>
  <c r="U897" i="1"/>
  <c r="T897" i="1"/>
  <c r="S897" i="1"/>
  <c r="W896" i="1"/>
  <c r="V896" i="1"/>
  <c r="U896" i="1"/>
  <c r="T896" i="1"/>
  <c r="S896" i="1"/>
  <c r="W895" i="1"/>
  <c r="V895" i="1"/>
  <c r="U895" i="1"/>
  <c r="T895" i="1"/>
  <c r="S895" i="1"/>
  <c r="W894" i="1"/>
  <c r="V894" i="1"/>
  <c r="U894" i="1"/>
  <c r="T894" i="1"/>
  <c r="S894" i="1"/>
  <c r="W893" i="1"/>
  <c r="V893" i="1"/>
  <c r="U893" i="1"/>
  <c r="T893" i="1"/>
  <c r="S893" i="1"/>
  <c r="W892" i="1"/>
  <c r="V892" i="1"/>
  <c r="U892" i="1"/>
  <c r="T892" i="1"/>
  <c r="S892" i="1"/>
  <c r="W891" i="1"/>
  <c r="V891" i="1"/>
  <c r="U891" i="1"/>
  <c r="T891" i="1"/>
  <c r="S891" i="1"/>
  <c r="W890" i="1"/>
  <c r="V890" i="1"/>
  <c r="U890" i="1"/>
  <c r="T890" i="1"/>
  <c r="S890" i="1"/>
  <c r="W889" i="1"/>
  <c r="V889" i="1"/>
  <c r="U889" i="1"/>
  <c r="T889" i="1"/>
  <c r="S889" i="1"/>
  <c r="W888" i="1"/>
  <c r="V888" i="1"/>
  <c r="U888" i="1"/>
  <c r="T888" i="1"/>
  <c r="S888" i="1"/>
  <c r="W887" i="1"/>
  <c r="V887" i="1"/>
  <c r="U887" i="1"/>
  <c r="T887" i="1"/>
  <c r="S887" i="1"/>
  <c r="W886" i="1"/>
  <c r="V886" i="1"/>
  <c r="U886" i="1"/>
  <c r="T886" i="1"/>
  <c r="S886" i="1"/>
  <c r="W885" i="1"/>
  <c r="V885" i="1"/>
  <c r="U885" i="1"/>
  <c r="T885" i="1"/>
  <c r="S885" i="1"/>
  <c r="W884" i="1"/>
  <c r="V884" i="1"/>
  <c r="U884" i="1"/>
  <c r="T884" i="1"/>
  <c r="S884" i="1"/>
  <c r="W883" i="1"/>
  <c r="V883" i="1"/>
  <c r="U883" i="1"/>
  <c r="T883" i="1"/>
  <c r="S883" i="1"/>
  <c r="W882" i="1"/>
  <c r="V882" i="1"/>
  <c r="U882" i="1"/>
  <c r="T882" i="1"/>
  <c r="S882" i="1"/>
  <c r="W881" i="1"/>
  <c r="V881" i="1"/>
  <c r="U881" i="1"/>
  <c r="T881" i="1"/>
  <c r="S881" i="1"/>
  <c r="W880" i="1"/>
  <c r="V880" i="1"/>
  <c r="U880" i="1"/>
  <c r="T880" i="1"/>
  <c r="S880" i="1"/>
  <c r="W879" i="1"/>
  <c r="V879" i="1"/>
  <c r="U879" i="1"/>
  <c r="T879" i="1"/>
  <c r="S879" i="1"/>
  <c r="W878" i="1"/>
  <c r="V878" i="1"/>
  <c r="U878" i="1"/>
  <c r="T878" i="1"/>
  <c r="S878" i="1"/>
  <c r="W877" i="1"/>
  <c r="V877" i="1"/>
  <c r="U877" i="1"/>
  <c r="T877" i="1"/>
  <c r="S877" i="1"/>
  <c r="W876" i="1"/>
  <c r="V876" i="1"/>
  <c r="U876" i="1"/>
  <c r="T876" i="1"/>
  <c r="S876" i="1"/>
  <c r="W875" i="1"/>
  <c r="V875" i="1"/>
  <c r="U875" i="1"/>
  <c r="T875" i="1"/>
  <c r="S875" i="1"/>
  <c r="W874" i="1"/>
  <c r="V874" i="1"/>
  <c r="U874" i="1"/>
  <c r="T874" i="1"/>
  <c r="S874" i="1"/>
  <c r="W873" i="1"/>
  <c r="V873" i="1"/>
  <c r="U873" i="1"/>
  <c r="T873" i="1"/>
  <c r="S873" i="1"/>
  <c r="W872" i="1"/>
  <c r="V872" i="1"/>
  <c r="U872" i="1"/>
  <c r="T872" i="1"/>
  <c r="S872" i="1"/>
  <c r="W871" i="1"/>
  <c r="V871" i="1"/>
  <c r="U871" i="1"/>
  <c r="T871" i="1"/>
  <c r="S871" i="1"/>
  <c r="W870" i="1"/>
  <c r="V870" i="1"/>
  <c r="U870" i="1"/>
  <c r="T870" i="1"/>
  <c r="S870" i="1"/>
  <c r="W869" i="1"/>
  <c r="V869" i="1"/>
  <c r="U869" i="1"/>
  <c r="T869" i="1"/>
  <c r="S869" i="1"/>
  <c r="W868" i="1"/>
  <c r="V868" i="1"/>
  <c r="U868" i="1"/>
  <c r="T868" i="1"/>
  <c r="S868" i="1"/>
  <c r="W867" i="1"/>
  <c r="V867" i="1"/>
  <c r="U867" i="1"/>
  <c r="T867" i="1"/>
  <c r="S867" i="1"/>
  <c r="W866" i="1"/>
  <c r="V866" i="1"/>
  <c r="U866" i="1"/>
  <c r="T866" i="1"/>
  <c r="S866" i="1"/>
  <c r="W865" i="1"/>
  <c r="V865" i="1"/>
  <c r="U865" i="1"/>
  <c r="T865" i="1"/>
  <c r="S865" i="1"/>
  <c r="W864" i="1"/>
  <c r="V864" i="1"/>
  <c r="U864" i="1"/>
  <c r="T864" i="1"/>
  <c r="S864" i="1"/>
  <c r="W863" i="1"/>
  <c r="V863" i="1"/>
  <c r="U863" i="1"/>
  <c r="T863" i="1"/>
  <c r="S863" i="1"/>
  <c r="W862" i="1"/>
  <c r="V862" i="1"/>
  <c r="U862" i="1"/>
  <c r="T862" i="1"/>
  <c r="S862" i="1"/>
  <c r="W861" i="1"/>
  <c r="V861" i="1"/>
  <c r="U861" i="1"/>
  <c r="T861" i="1"/>
  <c r="S861" i="1"/>
  <c r="W860" i="1"/>
  <c r="V860" i="1"/>
  <c r="U860" i="1"/>
  <c r="T860" i="1"/>
  <c r="S860" i="1"/>
  <c r="W859" i="1"/>
  <c r="V859" i="1"/>
  <c r="U859" i="1"/>
  <c r="T859" i="1"/>
  <c r="S859" i="1"/>
  <c r="W858" i="1"/>
  <c r="V858" i="1"/>
  <c r="U858" i="1"/>
  <c r="T858" i="1"/>
  <c r="S858" i="1"/>
  <c r="W857" i="1"/>
  <c r="V857" i="1"/>
  <c r="U857" i="1"/>
  <c r="T857" i="1"/>
  <c r="S857" i="1"/>
  <c r="W856" i="1"/>
  <c r="V856" i="1"/>
  <c r="U856" i="1"/>
  <c r="T856" i="1"/>
  <c r="S856" i="1"/>
  <c r="W855" i="1"/>
  <c r="V855" i="1"/>
  <c r="U855" i="1"/>
  <c r="T855" i="1"/>
  <c r="S855" i="1"/>
  <c r="W854" i="1"/>
  <c r="V854" i="1"/>
  <c r="U854" i="1"/>
  <c r="T854" i="1"/>
  <c r="S854" i="1"/>
  <c r="W853" i="1"/>
  <c r="V853" i="1"/>
  <c r="U853" i="1"/>
  <c r="T853" i="1"/>
  <c r="S853" i="1"/>
  <c r="W852" i="1"/>
  <c r="V852" i="1"/>
  <c r="U852" i="1"/>
  <c r="T852" i="1"/>
  <c r="S852" i="1"/>
  <c r="W851" i="1"/>
  <c r="V851" i="1"/>
  <c r="U851" i="1"/>
  <c r="T851" i="1"/>
  <c r="S851" i="1"/>
  <c r="W850" i="1"/>
  <c r="V850" i="1"/>
  <c r="U850" i="1"/>
  <c r="T850" i="1"/>
  <c r="S850" i="1"/>
  <c r="W849" i="1"/>
  <c r="V849" i="1"/>
  <c r="U849" i="1"/>
  <c r="T849" i="1"/>
  <c r="S849" i="1"/>
  <c r="W848" i="1"/>
  <c r="V848" i="1"/>
  <c r="U848" i="1"/>
  <c r="T848" i="1"/>
  <c r="S848" i="1"/>
  <c r="W847" i="1"/>
  <c r="V847" i="1"/>
  <c r="U847" i="1"/>
  <c r="T847" i="1"/>
  <c r="S847" i="1"/>
  <c r="W846" i="1"/>
  <c r="V846" i="1"/>
  <c r="U846" i="1"/>
  <c r="T846" i="1"/>
  <c r="S846" i="1"/>
  <c r="W845" i="1"/>
  <c r="V845" i="1"/>
  <c r="U845" i="1"/>
  <c r="T845" i="1"/>
  <c r="S845" i="1"/>
  <c r="W844" i="1"/>
  <c r="V844" i="1"/>
  <c r="U844" i="1"/>
  <c r="T844" i="1"/>
  <c r="S844" i="1"/>
  <c r="W843" i="1"/>
  <c r="V843" i="1"/>
  <c r="U843" i="1"/>
  <c r="T843" i="1"/>
  <c r="S843" i="1"/>
  <c r="W842" i="1"/>
  <c r="V842" i="1"/>
  <c r="U842" i="1"/>
  <c r="T842" i="1"/>
  <c r="S842" i="1"/>
  <c r="W841" i="1"/>
  <c r="V841" i="1"/>
  <c r="U841" i="1"/>
  <c r="T841" i="1"/>
  <c r="S841" i="1"/>
  <c r="W840" i="1"/>
  <c r="V840" i="1"/>
  <c r="U840" i="1"/>
  <c r="T840" i="1"/>
  <c r="S840" i="1"/>
  <c r="W839" i="1"/>
  <c r="V839" i="1"/>
  <c r="U839" i="1"/>
  <c r="T839" i="1"/>
  <c r="S839" i="1"/>
  <c r="W838" i="1"/>
  <c r="V838" i="1"/>
  <c r="U838" i="1"/>
  <c r="T838" i="1"/>
  <c r="S838" i="1"/>
  <c r="W837" i="1"/>
  <c r="V837" i="1"/>
  <c r="U837" i="1"/>
  <c r="T837" i="1"/>
  <c r="S837" i="1"/>
  <c r="W836" i="1"/>
  <c r="V836" i="1"/>
  <c r="U836" i="1"/>
  <c r="T836" i="1"/>
  <c r="S836" i="1"/>
  <c r="W835" i="1"/>
  <c r="V835" i="1"/>
  <c r="U835" i="1"/>
  <c r="T835" i="1"/>
  <c r="S835" i="1"/>
  <c r="W834" i="1"/>
  <c r="V834" i="1"/>
  <c r="U834" i="1"/>
  <c r="T834" i="1"/>
  <c r="S834" i="1"/>
  <c r="W833" i="1"/>
  <c r="V833" i="1"/>
  <c r="U833" i="1"/>
  <c r="T833" i="1"/>
  <c r="S833" i="1"/>
  <c r="W832" i="1"/>
  <c r="V832" i="1"/>
  <c r="U832" i="1"/>
  <c r="T832" i="1"/>
  <c r="S832" i="1"/>
  <c r="W831" i="1"/>
  <c r="V831" i="1"/>
  <c r="U831" i="1"/>
  <c r="T831" i="1"/>
  <c r="S831" i="1"/>
  <c r="W830" i="1"/>
  <c r="V830" i="1"/>
  <c r="U830" i="1"/>
  <c r="T830" i="1"/>
  <c r="S830" i="1"/>
  <c r="W829" i="1"/>
  <c r="V829" i="1"/>
  <c r="U829" i="1"/>
  <c r="T829" i="1"/>
  <c r="S829" i="1"/>
  <c r="W828" i="1"/>
  <c r="V828" i="1"/>
  <c r="U828" i="1"/>
  <c r="T828" i="1"/>
  <c r="S828" i="1"/>
  <c r="W827" i="1"/>
  <c r="V827" i="1"/>
  <c r="U827" i="1"/>
  <c r="T827" i="1"/>
  <c r="S827" i="1"/>
  <c r="W826" i="1"/>
  <c r="V826" i="1"/>
  <c r="U826" i="1"/>
  <c r="T826" i="1"/>
  <c r="S826" i="1"/>
  <c r="W825" i="1"/>
  <c r="V825" i="1"/>
  <c r="U825" i="1"/>
  <c r="T825" i="1"/>
  <c r="S825" i="1"/>
  <c r="W824" i="1"/>
  <c r="V824" i="1"/>
  <c r="U824" i="1"/>
  <c r="T824" i="1"/>
  <c r="S824" i="1"/>
  <c r="W823" i="1"/>
  <c r="V823" i="1"/>
  <c r="U823" i="1"/>
  <c r="T823" i="1"/>
  <c r="S823" i="1"/>
  <c r="W822" i="1"/>
  <c r="V822" i="1"/>
  <c r="U822" i="1"/>
  <c r="T822" i="1"/>
  <c r="S822" i="1"/>
  <c r="W821" i="1"/>
  <c r="V821" i="1"/>
  <c r="U821" i="1"/>
  <c r="T821" i="1"/>
  <c r="S821" i="1"/>
  <c r="W820" i="1"/>
  <c r="V820" i="1"/>
  <c r="U820" i="1"/>
  <c r="T820" i="1"/>
  <c r="S820" i="1"/>
  <c r="W819" i="1"/>
  <c r="V819" i="1"/>
  <c r="U819" i="1"/>
  <c r="T819" i="1"/>
  <c r="S819" i="1"/>
  <c r="W818" i="1"/>
  <c r="V818" i="1"/>
  <c r="U818" i="1"/>
  <c r="T818" i="1"/>
  <c r="S818" i="1"/>
  <c r="W817" i="1"/>
  <c r="V817" i="1"/>
  <c r="U817" i="1"/>
  <c r="T817" i="1"/>
  <c r="S817" i="1"/>
  <c r="W816" i="1"/>
  <c r="V816" i="1"/>
  <c r="U816" i="1"/>
  <c r="T816" i="1"/>
  <c r="S816" i="1"/>
  <c r="W815" i="1"/>
  <c r="V815" i="1"/>
  <c r="U815" i="1"/>
  <c r="T815" i="1"/>
  <c r="S815" i="1"/>
  <c r="W814" i="1"/>
  <c r="V814" i="1"/>
  <c r="U814" i="1"/>
  <c r="T814" i="1"/>
  <c r="S814" i="1"/>
  <c r="W813" i="1"/>
  <c r="V813" i="1"/>
  <c r="U813" i="1"/>
  <c r="T813" i="1"/>
  <c r="S813" i="1"/>
  <c r="W812" i="1"/>
  <c r="V812" i="1"/>
  <c r="U812" i="1"/>
  <c r="T812" i="1"/>
  <c r="S812" i="1"/>
  <c r="W811" i="1"/>
  <c r="V811" i="1"/>
  <c r="U811" i="1"/>
  <c r="T811" i="1"/>
  <c r="S811" i="1"/>
  <c r="W810" i="1"/>
  <c r="V810" i="1"/>
  <c r="U810" i="1"/>
  <c r="T810" i="1"/>
  <c r="S810" i="1"/>
  <c r="W809" i="1"/>
  <c r="V809" i="1"/>
  <c r="U809" i="1"/>
  <c r="T809" i="1"/>
  <c r="S809" i="1"/>
  <c r="W808" i="1"/>
  <c r="V808" i="1"/>
  <c r="U808" i="1"/>
  <c r="T808" i="1"/>
  <c r="S808" i="1"/>
  <c r="W807" i="1"/>
  <c r="V807" i="1"/>
  <c r="U807" i="1"/>
  <c r="T807" i="1"/>
  <c r="S807" i="1"/>
  <c r="W806" i="1"/>
  <c r="V806" i="1"/>
  <c r="U806" i="1"/>
  <c r="T806" i="1"/>
  <c r="S806" i="1"/>
  <c r="W805" i="1"/>
  <c r="V805" i="1"/>
  <c r="U805" i="1"/>
  <c r="T805" i="1"/>
  <c r="S805" i="1"/>
  <c r="W804" i="1"/>
  <c r="V804" i="1"/>
  <c r="U804" i="1"/>
  <c r="T804" i="1"/>
  <c r="S804" i="1"/>
  <c r="W803" i="1"/>
  <c r="V803" i="1"/>
  <c r="U803" i="1"/>
  <c r="T803" i="1"/>
  <c r="S803" i="1"/>
  <c r="W802" i="1"/>
  <c r="V802" i="1"/>
  <c r="U802" i="1"/>
  <c r="T802" i="1"/>
  <c r="S802" i="1"/>
  <c r="W801" i="1"/>
  <c r="V801" i="1"/>
  <c r="U801" i="1"/>
  <c r="T801" i="1"/>
  <c r="S801" i="1"/>
  <c r="W800" i="1"/>
  <c r="V800" i="1"/>
  <c r="U800" i="1"/>
  <c r="T800" i="1"/>
  <c r="S800" i="1"/>
  <c r="W799" i="1"/>
  <c r="V799" i="1"/>
  <c r="U799" i="1"/>
  <c r="T799" i="1"/>
  <c r="S799" i="1"/>
  <c r="W798" i="1"/>
  <c r="V798" i="1"/>
  <c r="U798" i="1"/>
  <c r="T798" i="1"/>
  <c r="S798" i="1"/>
  <c r="W797" i="1"/>
  <c r="V797" i="1"/>
  <c r="U797" i="1"/>
  <c r="T797" i="1"/>
  <c r="S797" i="1"/>
  <c r="W796" i="1"/>
  <c r="V796" i="1"/>
  <c r="U796" i="1"/>
  <c r="T796" i="1"/>
  <c r="S796" i="1"/>
  <c r="W795" i="1"/>
  <c r="V795" i="1"/>
  <c r="U795" i="1"/>
  <c r="T795" i="1"/>
  <c r="S795" i="1"/>
  <c r="W794" i="1"/>
  <c r="V794" i="1"/>
  <c r="U794" i="1"/>
  <c r="T794" i="1"/>
  <c r="S794" i="1"/>
  <c r="W793" i="1"/>
  <c r="V793" i="1"/>
  <c r="U793" i="1"/>
  <c r="T793" i="1"/>
  <c r="S793" i="1"/>
  <c r="W792" i="1"/>
  <c r="V792" i="1"/>
  <c r="U792" i="1"/>
  <c r="T792" i="1"/>
  <c r="S792" i="1"/>
  <c r="W791" i="1"/>
  <c r="V791" i="1"/>
  <c r="U791" i="1"/>
  <c r="T791" i="1"/>
  <c r="S791" i="1"/>
  <c r="W790" i="1"/>
  <c r="V790" i="1"/>
  <c r="U790" i="1"/>
  <c r="T790" i="1"/>
  <c r="S790" i="1"/>
  <c r="W789" i="1"/>
  <c r="V789" i="1"/>
  <c r="U789" i="1"/>
  <c r="T789" i="1"/>
  <c r="S789" i="1"/>
  <c r="W788" i="1"/>
  <c r="V788" i="1"/>
  <c r="U788" i="1"/>
  <c r="T788" i="1"/>
  <c r="S788" i="1"/>
  <c r="W787" i="1"/>
  <c r="V787" i="1"/>
  <c r="U787" i="1"/>
  <c r="T787" i="1"/>
  <c r="S787" i="1"/>
  <c r="W786" i="1"/>
  <c r="V786" i="1"/>
  <c r="U786" i="1"/>
  <c r="T786" i="1"/>
  <c r="S786" i="1"/>
  <c r="W785" i="1"/>
  <c r="V785" i="1"/>
  <c r="U785" i="1"/>
  <c r="T785" i="1"/>
  <c r="S785" i="1"/>
  <c r="W784" i="1"/>
  <c r="V784" i="1"/>
  <c r="U784" i="1"/>
  <c r="T784" i="1"/>
  <c r="S784" i="1"/>
  <c r="W783" i="1"/>
  <c r="V783" i="1"/>
  <c r="U783" i="1"/>
  <c r="T783" i="1"/>
  <c r="S783" i="1"/>
  <c r="W782" i="1"/>
  <c r="V782" i="1"/>
  <c r="U782" i="1"/>
  <c r="T782" i="1"/>
  <c r="S782" i="1"/>
  <c r="W781" i="1"/>
  <c r="V781" i="1"/>
  <c r="U781" i="1"/>
  <c r="T781" i="1"/>
  <c r="S781" i="1"/>
  <c r="W780" i="1"/>
  <c r="V780" i="1"/>
  <c r="U780" i="1"/>
  <c r="T780" i="1"/>
  <c r="S780" i="1"/>
  <c r="W779" i="1"/>
  <c r="V779" i="1"/>
  <c r="U779" i="1"/>
  <c r="T779" i="1"/>
  <c r="S779" i="1"/>
  <c r="W778" i="1"/>
  <c r="V778" i="1"/>
  <c r="U778" i="1"/>
  <c r="T778" i="1"/>
  <c r="S778" i="1"/>
  <c r="W777" i="1"/>
  <c r="V777" i="1"/>
  <c r="U777" i="1"/>
  <c r="T777" i="1"/>
  <c r="S777" i="1"/>
  <c r="W776" i="1"/>
  <c r="V776" i="1"/>
  <c r="U776" i="1"/>
  <c r="T776" i="1"/>
  <c r="S776" i="1"/>
  <c r="W775" i="1"/>
  <c r="V775" i="1"/>
  <c r="U775" i="1"/>
  <c r="T775" i="1"/>
  <c r="S775" i="1"/>
  <c r="W774" i="1"/>
  <c r="V774" i="1"/>
  <c r="U774" i="1"/>
  <c r="T774" i="1"/>
  <c r="S774" i="1"/>
  <c r="W773" i="1"/>
  <c r="V773" i="1"/>
  <c r="U773" i="1"/>
  <c r="T773" i="1"/>
  <c r="S773" i="1"/>
  <c r="W772" i="1"/>
  <c r="V772" i="1"/>
  <c r="U772" i="1"/>
  <c r="T772" i="1"/>
  <c r="S772" i="1"/>
  <c r="W771" i="1"/>
  <c r="V771" i="1"/>
  <c r="U771" i="1"/>
  <c r="T771" i="1"/>
  <c r="S771" i="1"/>
  <c r="W770" i="1"/>
  <c r="V770" i="1"/>
  <c r="U770" i="1"/>
  <c r="T770" i="1"/>
  <c r="S770" i="1"/>
  <c r="W769" i="1"/>
  <c r="V769" i="1"/>
  <c r="U769" i="1"/>
  <c r="T769" i="1"/>
  <c r="S769" i="1"/>
  <c r="W768" i="1"/>
  <c r="V768" i="1"/>
  <c r="U768" i="1"/>
  <c r="T768" i="1"/>
  <c r="S768" i="1"/>
  <c r="W767" i="1"/>
  <c r="V767" i="1"/>
  <c r="U767" i="1"/>
  <c r="T767" i="1"/>
  <c r="S767" i="1"/>
  <c r="W766" i="1"/>
  <c r="V766" i="1"/>
  <c r="U766" i="1"/>
  <c r="T766" i="1"/>
  <c r="S766" i="1"/>
  <c r="W765" i="1"/>
  <c r="V765" i="1"/>
  <c r="U765" i="1"/>
  <c r="T765" i="1"/>
  <c r="S765" i="1"/>
  <c r="W764" i="1"/>
  <c r="V764" i="1"/>
  <c r="U764" i="1"/>
  <c r="T764" i="1"/>
  <c r="S764" i="1"/>
  <c r="W763" i="1"/>
  <c r="V763" i="1"/>
  <c r="U763" i="1"/>
  <c r="T763" i="1"/>
  <c r="S763" i="1"/>
  <c r="W762" i="1"/>
  <c r="V762" i="1"/>
  <c r="U762" i="1"/>
  <c r="T762" i="1"/>
  <c r="S762" i="1"/>
  <c r="W761" i="1"/>
  <c r="V761" i="1"/>
  <c r="U761" i="1"/>
  <c r="T761" i="1"/>
  <c r="S761" i="1"/>
  <c r="W760" i="1"/>
  <c r="V760" i="1"/>
  <c r="U760" i="1"/>
  <c r="T760" i="1"/>
  <c r="S760" i="1"/>
  <c r="W759" i="1"/>
  <c r="V759" i="1"/>
  <c r="U759" i="1"/>
  <c r="T759" i="1"/>
  <c r="S759" i="1"/>
  <c r="W758" i="1"/>
  <c r="V758" i="1"/>
  <c r="U758" i="1"/>
  <c r="T758" i="1"/>
  <c r="S758" i="1"/>
  <c r="W757" i="1"/>
  <c r="V757" i="1"/>
  <c r="U757" i="1"/>
  <c r="T757" i="1"/>
  <c r="S757" i="1"/>
  <c r="W756" i="1"/>
  <c r="V756" i="1"/>
  <c r="U756" i="1"/>
  <c r="T756" i="1"/>
  <c r="S756" i="1"/>
  <c r="W755" i="1"/>
  <c r="V755" i="1"/>
  <c r="U755" i="1"/>
  <c r="T755" i="1"/>
  <c r="S755" i="1"/>
  <c r="W754" i="1"/>
  <c r="V754" i="1"/>
  <c r="U754" i="1"/>
  <c r="T754" i="1"/>
  <c r="S754" i="1"/>
  <c r="W753" i="1"/>
  <c r="V753" i="1"/>
  <c r="U753" i="1"/>
  <c r="T753" i="1"/>
  <c r="S753" i="1"/>
  <c r="W752" i="1"/>
  <c r="V752" i="1"/>
  <c r="U752" i="1"/>
  <c r="T752" i="1"/>
  <c r="S752" i="1"/>
  <c r="W751" i="1"/>
  <c r="V751" i="1"/>
  <c r="U751" i="1"/>
  <c r="T751" i="1"/>
  <c r="S751" i="1"/>
  <c r="W750" i="1"/>
  <c r="V750" i="1"/>
  <c r="U750" i="1"/>
  <c r="T750" i="1"/>
  <c r="S750" i="1"/>
  <c r="W749" i="1"/>
  <c r="V749" i="1"/>
  <c r="U749" i="1"/>
  <c r="T749" i="1"/>
  <c r="S749" i="1"/>
  <c r="W748" i="1"/>
  <c r="V748" i="1"/>
  <c r="U748" i="1"/>
  <c r="T748" i="1"/>
  <c r="S748" i="1"/>
  <c r="W747" i="1"/>
  <c r="V747" i="1"/>
  <c r="U747" i="1"/>
  <c r="T747" i="1"/>
  <c r="S747" i="1"/>
  <c r="W746" i="1"/>
  <c r="V746" i="1"/>
  <c r="U746" i="1"/>
  <c r="T746" i="1"/>
  <c r="S746" i="1"/>
  <c r="W745" i="1"/>
  <c r="V745" i="1"/>
  <c r="U745" i="1"/>
  <c r="T745" i="1"/>
  <c r="S745" i="1"/>
  <c r="W744" i="1"/>
  <c r="V744" i="1"/>
  <c r="U744" i="1"/>
  <c r="T744" i="1"/>
  <c r="S744" i="1"/>
  <c r="W743" i="1"/>
  <c r="V743" i="1"/>
  <c r="U743" i="1"/>
  <c r="T743" i="1"/>
  <c r="S743" i="1"/>
  <c r="W742" i="1"/>
  <c r="V742" i="1"/>
  <c r="U742" i="1"/>
  <c r="T742" i="1"/>
  <c r="S742" i="1"/>
  <c r="W741" i="1"/>
  <c r="V741" i="1"/>
  <c r="U741" i="1"/>
  <c r="T741" i="1"/>
  <c r="S741" i="1"/>
  <c r="W740" i="1"/>
  <c r="V740" i="1"/>
  <c r="U740" i="1"/>
  <c r="T740" i="1"/>
  <c r="S740" i="1"/>
  <c r="W739" i="1"/>
  <c r="V739" i="1"/>
  <c r="U739" i="1"/>
  <c r="T739" i="1"/>
  <c r="S739" i="1"/>
  <c r="W738" i="1"/>
  <c r="V738" i="1"/>
  <c r="U738" i="1"/>
  <c r="T738" i="1"/>
  <c r="S738" i="1"/>
  <c r="W737" i="1"/>
  <c r="V737" i="1"/>
  <c r="U737" i="1"/>
  <c r="T737" i="1"/>
  <c r="S737" i="1"/>
  <c r="W736" i="1"/>
  <c r="V736" i="1"/>
  <c r="U736" i="1"/>
  <c r="T736" i="1"/>
  <c r="S736" i="1"/>
  <c r="W735" i="1"/>
  <c r="V735" i="1"/>
  <c r="U735" i="1"/>
  <c r="T735" i="1"/>
  <c r="S735" i="1"/>
  <c r="W734" i="1"/>
  <c r="V734" i="1"/>
  <c r="U734" i="1"/>
  <c r="T734" i="1"/>
  <c r="S734" i="1"/>
  <c r="W733" i="1"/>
  <c r="V733" i="1"/>
  <c r="U733" i="1"/>
  <c r="T733" i="1"/>
  <c r="S733" i="1"/>
  <c r="W732" i="1"/>
  <c r="V732" i="1"/>
  <c r="U732" i="1"/>
  <c r="T732" i="1"/>
  <c r="S732" i="1"/>
  <c r="W731" i="1"/>
  <c r="V731" i="1"/>
  <c r="U731" i="1"/>
  <c r="T731" i="1"/>
  <c r="S731" i="1"/>
  <c r="W730" i="1"/>
  <c r="V730" i="1"/>
  <c r="U730" i="1"/>
  <c r="T730" i="1"/>
  <c r="S730" i="1"/>
  <c r="W729" i="1"/>
  <c r="V729" i="1"/>
  <c r="U729" i="1"/>
  <c r="T729" i="1"/>
  <c r="S729" i="1"/>
  <c r="W728" i="1"/>
  <c r="V728" i="1"/>
  <c r="U728" i="1"/>
  <c r="T728" i="1"/>
  <c r="S728" i="1"/>
  <c r="W727" i="1"/>
  <c r="V727" i="1"/>
  <c r="U727" i="1"/>
  <c r="T727" i="1"/>
  <c r="S727" i="1"/>
  <c r="W726" i="1"/>
  <c r="V726" i="1"/>
  <c r="U726" i="1"/>
  <c r="T726" i="1"/>
  <c r="S726" i="1"/>
  <c r="W725" i="1"/>
  <c r="V725" i="1"/>
  <c r="U725" i="1"/>
  <c r="T725" i="1"/>
  <c r="S725" i="1"/>
  <c r="W724" i="1"/>
  <c r="V724" i="1"/>
  <c r="U724" i="1"/>
  <c r="T724" i="1"/>
  <c r="S724" i="1"/>
  <c r="W723" i="1"/>
  <c r="V723" i="1"/>
  <c r="U723" i="1"/>
  <c r="T723" i="1"/>
  <c r="S723" i="1"/>
  <c r="W722" i="1"/>
  <c r="V722" i="1"/>
  <c r="U722" i="1"/>
  <c r="T722" i="1"/>
  <c r="S722" i="1"/>
  <c r="W721" i="1"/>
  <c r="V721" i="1"/>
  <c r="U721" i="1"/>
  <c r="T721" i="1"/>
  <c r="S721" i="1"/>
  <c r="W720" i="1"/>
  <c r="V720" i="1"/>
  <c r="U720" i="1"/>
  <c r="T720" i="1"/>
  <c r="S720" i="1"/>
  <c r="W719" i="1"/>
  <c r="V719" i="1"/>
  <c r="U719" i="1"/>
  <c r="T719" i="1"/>
  <c r="S719" i="1"/>
  <c r="W718" i="1"/>
  <c r="V718" i="1"/>
  <c r="U718" i="1"/>
  <c r="T718" i="1"/>
  <c r="S718" i="1"/>
  <c r="W717" i="1"/>
  <c r="V717" i="1"/>
  <c r="U717" i="1"/>
  <c r="T717" i="1"/>
  <c r="S717" i="1"/>
  <c r="W716" i="1"/>
  <c r="V716" i="1"/>
  <c r="U716" i="1"/>
  <c r="T716" i="1"/>
  <c r="S716" i="1"/>
  <c r="W715" i="1"/>
  <c r="V715" i="1"/>
  <c r="U715" i="1"/>
  <c r="T715" i="1"/>
  <c r="S715" i="1"/>
  <c r="W714" i="1"/>
  <c r="V714" i="1"/>
  <c r="U714" i="1"/>
  <c r="T714" i="1"/>
  <c r="S714" i="1"/>
  <c r="W713" i="1"/>
  <c r="V713" i="1"/>
  <c r="U713" i="1"/>
  <c r="T713" i="1"/>
  <c r="S713" i="1"/>
  <c r="W712" i="1"/>
  <c r="V712" i="1"/>
  <c r="U712" i="1"/>
  <c r="T712" i="1"/>
  <c r="S712" i="1"/>
  <c r="W711" i="1"/>
  <c r="V711" i="1"/>
  <c r="U711" i="1"/>
  <c r="T711" i="1"/>
  <c r="S711" i="1"/>
  <c r="W710" i="1"/>
  <c r="V710" i="1"/>
  <c r="U710" i="1"/>
  <c r="T710" i="1"/>
  <c r="S710" i="1"/>
  <c r="W709" i="1"/>
  <c r="V709" i="1"/>
  <c r="U709" i="1"/>
  <c r="T709" i="1"/>
  <c r="S709" i="1"/>
  <c r="W708" i="1"/>
  <c r="V708" i="1"/>
  <c r="U708" i="1"/>
  <c r="T708" i="1"/>
  <c r="S708" i="1"/>
  <c r="W707" i="1"/>
  <c r="V707" i="1"/>
  <c r="U707" i="1"/>
  <c r="T707" i="1"/>
  <c r="S707" i="1"/>
  <c r="W706" i="1"/>
  <c r="V706" i="1"/>
  <c r="U706" i="1"/>
  <c r="T706" i="1"/>
  <c r="S706" i="1"/>
  <c r="W705" i="1"/>
  <c r="V705" i="1"/>
  <c r="U705" i="1"/>
  <c r="T705" i="1"/>
  <c r="S705" i="1"/>
  <c r="W704" i="1"/>
  <c r="V704" i="1"/>
  <c r="U704" i="1"/>
  <c r="T704" i="1"/>
  <c r="S704" i="1"/>
  <c r="W703" i="1"/>
  <c r="V703" i="1"/>
  <c r="U703" i="1"/>
  <c r="T703" i="1"/>
  <c r="S703" i="1"/>
  <c r="W702" i="1"/>
  <c r="V702" i="1"/>
  <c r="U702" i="1"/>
  <c r="T702" i="1"/>
  <c r="S702" i="1"/>
  <c r="W701" i="1"/>
  <c r="V701" i="1"/>
  <c r="U701" i="1"/>
  <c r="T701" i="1"/>
  <c r="S701" i="1"/>
  <c r="W700" i="1"/>
  <c r="V700" i="1"/>
  <c r="U700" i="1"/>
  <c r="T700" i="1"/>
  <c r="S700" i="1"/>
  <c r="W699" i="1"/>
  <c r="V699" i="1"/>
  <c r="U699" i="1"/>
  <c r="T699" i="1"/>
  <c r="S699" i="1"/>
  <c r="W698" i="1"/>
  <c r="V698" i="1"/>
  <c r="U698" i="1"/>
  <c r="T698" i="1"/>
  <c r="S698" i="1"/>
  <c r="W697" i="1"/>
  <c r="V697" i="1"/>
  <c r="U697" i="1"/>
  <c r="T697" i="1"/>
  <c r="S697" i="1"/>
  <c r="W696" i="1"/>
  <c r="V696" i="1"/>
  <c r="U696" i="1"/>
  <c r="T696" i="1"/>
  <c r="S696" i="1"/>
  <c r="W695" i="1"/>
  <c r="V695" i="1"/>
  <c r="U695" i="1"/>
  <c r="T695" i="1"/>
  <c r="S695" i="1"/>
  <c r="W694" i="1"/>
  <c r="V694" i="1"/>
  <c r="U694" i="1"/>
  <c r="T694" i="1"/>
  <c r="S694" i="1"/>
  <c r="W693" i="1"/>
  <c r="V693" i="1"/>
  <c r="U693" i="1"/>
  <c r="T693" i="1"/>
  <c r="S693" i="1"/>
  <c r="W692" i="1"/>
  <c r="V692" i="1"/>
  <c r="U692" i="1"/>
  <c r="T692" i="1"/>
  <c r="S692" i="1"/>
  <c r="W691" i="1"/>
  <c r="V691" i="1"/>
  <c r="U691" i="1"/>
  <c r="T691" i="1"/>
  <c r="S691" i="1"/>
  <c r="W690" i="1"/>
  <c r="V690" i="1"/>
  <c r="U690" i="1"/>
  <c r="T690" i="1"/>
  <c r="S690" i="1"/>
  <c r="W689" i="1"/>
  <c r="V689" i="1"/>
  <c r="U689" i="1"/>
  <c r="T689" i="1"/>
  <c r="S689" i="1"/>
  <c r="W688" i="1"/>
  <c r="V688" i="1"/>
  <c r="U688" i="1"/>
  <c r="T688" i="1"/>
  <c r="S688" i="1"/>
  <c r="W687" i="1"/>
  <c r="V687" i="1"/>
  <c r="U687" i="1"/>
  <c r="T687" i="1"/>
  <c r="S687" i="1"/>
  <c r="W686" i="1"/>
  <c r="V686" i="1"/>
  <c r="U686" i="1"/>
  <c r="T686" i="1"/>
  <c r="S686" i="1"/>
  <c r="W685" i="1"/>
  <c r="V685" i="1"/>
  <c r="U685" i="1"/>
  <c r="T685" i="1"/>
  <c r="S685" i="1"/>
  <c r="W684" i="1"/>
  <c r="V684" i="1"/>
  <c r="U684" i="1"/>
  <c r="T684" i="1"/>
  <c r="S684" i="1"/>
  <c r="W683" i="1"/>
  <c r="V683" i="1"/>
  <c r="U683" i="1"/>
  <c r="T683" i="1"/>
  <c r="S683" i="1"/>
  <c r="W682" i="1"/>
  <c r="V682" i="1"/>
  <c r="U682" i="1"/>
  <c r="T682" i="1"/>
  <c r="S682" i="1"/>
  <c r="W681" i="1"/>
  <c r="V681" i="1"/>
  <c r="U681" i="1"/>
  <c r="T681" i="1"/>
  <c r="S681" i="1"/>
  <c r="W680" i="1"/>
  <c r="V680" i="1"/>
  <c r="U680" i="1"/>
  <c r="T680" i="1"/>
  <c r="S680" i="1"/>
  <c r="W679" i="1"/>
  <c r="V679" i="1"/>
  <c r="U679" i="1"/>
  <c r="T679" i="1"/>
  <c r="S679" i="1"/>
  <c r="W678" i="1"/>
  <c r="V678" i="1"/>
  <c r="U678" i="1"/>
  <c r="T678" i="1"/>
  <c r="S678" i="1"/>
  <c r="W677" i="1"/>
  <c r="V677" i="1"/>
  <c r="U677" i="1"/>
  <c r="T677" i="1"/>
  <c r="S677" i="1"/>
  <c r="W676" i="1"/>
  <c r="V676" i="1"/>
  <c r="U676" i="1"/>
  <c r="T676" i="1"/>
  <c r="S676" i="1"/>
  <c r="W675" i="1"/>
  <c r="V675" i="1"/>
  <c r="U675" i="1"/>
  <c r="T675" i="1"/>
  <c r="S675" i="1"/>
  <c r="W674" i="1"/>
  <c r="V674" i="1"/>
  <c r="U674" i="1"/>
  <c r="T674" i="1"/>
  <c r="S674" i="1"/>
  <c r="W673" i="1"/>
  <c r="V673" i="1"/>
  <c r="U673" i="1"/>
  <c r="T673" i="1"/>
  <c r="S673" i="1"/>
  <c r="W672" i="1"/>
  <c r="V672" i="1"/>
  <c r="U672" i="1"/>
  <c r="T672" i="1"/>
  <c r="S672" i="1"/>
  <c r="W671" i="1"/>
  <c r="V671" i="1"/>
  <c r="U671" i="1"/>
  <c r="T671" i="1"/>
  <c r="S671" i="1"/>
  <c r="W670" i="1"/>
  <c r="V670" i="1"/>
  <c r="U670" i="1"/>
  <c r="T670" i="1"/>
  <c r="S670" i="1"/>
  <c r="W669" i="1"/>
  <c r="V669" i="1"/>
  <c r="U669" i="1"/>
  <c r="T669" i="1"/>
  <c r="S669" i="1"/>
  <c r="W668" i="1"/>
  <c r="V668" i="1"/>
  <c r="U668" i="1"/>
  <c r="T668" i="1"/>
  <c r="S668" i="1"/>
  <c r="W667" i="1"/>
  <c r="V667" i="1"/>
  <c r="U667" i="1"/>
  <c r="T667" i="1"/>
  <c r="S667" i="1"/>
  <c r="W666" i="1"/>
  <c r="V666" i="1"/>
  <c r="U666" i="1"/>
  <c r="T666" i="1"/>
  <c r="S666" i="1"/>
  <c r="W665" i="1"/>
  <c r="V665" i="1"/>
  <c r="U665" i="1"/>
  <c r="T665" i="1"/>
  <c r="S665" i="1"/>
  <c r="W664" i="1"/>
  <c r="V664" i="1"/>
  <c r="U664" i="1"/>
  <c r="T664" i="1"/>
  <c r="S664" i="1"/>
  <c r="W663" i="1"/>
  <c r="V663" i="1"/>
  <c r="U663" i="1"/>
  <c r="T663" i="1"/>
  <c r="S663" i="1"/>
  <c r="W662" i="1"/>
  <c r="V662" i="1"/>
  <c r="U662" i="1"/>
  <c r="T662" i="1"/>
  <c r="S662" i="1"/>
  <c r="W661" i="1"/>
  <c r="V661" i="1"/>
  <c r="U661" i="1"/>
  <c r="T661" i="1"/>
  <c r="S661" i="1"/>
  <c r="W660" i="1"/>
  <c r="V660" i="1"/>
  <c r="U660" i="1"/>
  <c r="T660" i="1"/>
  <c r="S660" i="1"/>
  <c r="W659" i="1"/>
  <c r="V659" i="1"/>
  <c r="U659" i="1"/>
  <c r="T659" i="1"/>
  <c r="S659" i="1"/>
  <c r="W658" i="1"/>
  <c r="V658" i="1"/>
  <c r="U658" i="1"/>
  <c r="T658" i="1"/>
  <c r="S658" i="1"/>
  <c r="W657" i="1"/>
  <c r="V657" i="1"/>
  <c r="U657" i="1"/>
  <c r="T657" i="1"/>
  <c r="S657" i="1"/>
  <c r="W656" i="1"/>
  <c r="V656" i="1"/>
  <c r="U656" i="1"/>
  <c r="T656" i="1"/>
  <c r="S656" i="1"/>
  <c r="W655" i="1"/>
  <c r="V655" i="1"/>
  <c r="U655" i="1"/>
  <c r="T655" i="1"/>
  <c r="S655" i="1"/>
  <c r="W654" i="1"/>
  <c r="V654" i="1"/>
  <c r="U654" i="1"/>
  <c r="T654" i="1"/>
  <c r="S654" i="1"/>
  <c r="W653" i="1"/>
  <c r="V653" i="1"/>
  <c r="U653" i="1"/>
  <c r="T653" i="1"/>
  <c r="S653" i="1"/>
  <c r="W652" i="1"/>
  <c r="V652" i="1"/>
  <c r="U652" i="1"/>
  <c r="T652" i="1"/>
  <c r="S652" i="1"/>
  <c r="W651" i="1"/>
  <c r="V651" i="1"/>
  <c r="U651" i="1"/>
  <c r="T651" i="1"/>
  <c r="S651" i="1"/>
  <c r="W650" i="1"/>
  <c r="V650" i="1"/>
  <c r="U650" i="1"/>
  <c r="T650" i="1"/>
  <c r="S650" i="1"/>
  <c r="W649" i="1"/>
  <c r="V649" i="1"/>
  <c r="U649" i="1"/>
  <c r="T649" i="1"/>
  <c r="S649" i="1"/>
  <c r="W648" i="1"/>
  <c r="V648" i="1"/>
  <c r="U648" i="1"/>
  <c r="T648" i="1"/>
  <c r="S648" i="1"/>
  <c r="W647" i="1"/>
  <c r="V647" i="1"/>
  <c r="U647" i="1"/>
  <c r="T647" i="1"/>
  <c r="S647" i="1"/>
  <c r="W646" i="1"/>
  <c r="V646" i="1"/>
  <c r="U646" i="1"/>
  <c r="T646" i="1"/>
  <c r="S646" i="1"/>
  <c r="W645" i="1"/>
  <c r="V645" i="1"/>
  <c r="U645" i="1"/>
  <c r="T645" i="1"/>
  <c r="S645" i="1"/>
  <c r="W644" i="1"/>
  <c r="V644" i="1"/>
  <c r="U644" i="1"/>
  <c r="T644" i="1"/>
  <c r="S644" i="1"/>
  <c r="W643" i="1"/>
  <c r="V643" i="1"/>
  <c r="U643" i="1"/>
  <c r="T643" i="1"/>
  <c r="S643" i="1"/>
  <c r="W642" i="1"/>
  <c r="V642" i="1"/>
  <c r="U642" i="1"/>
  <c r="T642" i="1"/>
  <c r="S642" i="1"/>
  <c r="W641" i="1"/>
  <c r="V641" i="1"/>
  <c r="U641" i="1"/>
  <c r="T641" i="1"/>
  <c r="S641" i="1"/>
  <c r="W640" i="1"/>
  <c r="V640" i="1"/>
  <c r="U640" i="1"/>
  <c r="T640" i="1"/>
  <c r="S640" i="1"/>
  <c r="W639" i="1"/>
  <c r="V639" i="1"/>
  <c r="U639" i="1"/>
  <c r="T639" i="1"/>
  <c r="S639" i="1"/>
  <c r="W638" i="1"/>
  <c r="V638" i="1"/>
  <c r="U638" i="1"/>
  <c r="T638" i="1"/>
  <c r="S638" i="1"/>
  <c r="W637" i="1"/>
  <c r="V637" i="1"/>
  <c r="U637" i="1"/>
  <c r="T637" i="1"/>
  <c r="S637" i="1"/>
  <c r="W636" i="1"/>
  <c r="V636" i="1"/>
  <c r="U636" i="1"/>
  <c r="T636" i="1"/>
  <c r="S636" i="1"/>
  <c r="W635" i="1"/>
  <c r="V635" i="1"/>
  <c r="U635" i="1"/>
  <c r="T635" i="1"/>
  <c r="S635" i="1"/>
  <c r="W634" i="1"/>
  <c r="V634" i="1"/>
  <c r="U634" i="1"/>
  <c r="T634" i="1"/>
  <c r="S634" i="1"/>
  <c r="W633" i="1"/>
  <c r="V633" i="1"/>
  <c r="U633" i="1"/>
  <c r="T633" i="1"/>
  <c r="S633" i="1"/>
  <c r="W632" i="1"/>
  <c r="V632" i="1"/>
  <c r="U632" i="1"/>
  <c r="T632" i="1"/>
  <c r="S632" i="1"/>
  <c r="W631" i="1"/>
  <c r="V631" i="1"/>
  <c r="U631" i="1"/>
  <c r="T631" i="1"/>
  <c r="S631" i="1"/>
  <c r="W630" i="1"/>
  <c r="V630" i="1"/>
  <c r="U630" i="1"/>
  <c r="T630" i="1"/>
  <c r="S630" i="1"/>
  <c r="W629" i="1"/>
  <c r="V629" i="1"/>
  <c r="U629" i="1"/>
  <c r="T629" i="1"/>
  <c r="S629" i="1"/>
  <c r="W628" i="1"/>
  <c r="V628" i="1"/>
  <c r="U628" i="1"/>
  <c r="T628" i="1"/>
  <c r="S628" i="1"/>
  <c r="W627" i="1"/>
  <c r="V627" i="1"/>
  <c r="U627" i="1"/>
  <c r="T627" i="1"/>
  <c r="S627" i="1"/>
  <c r="W626" i="1"/>
  <c r="V626" i="1"/>
  <c r="U626" i="1"/>
  <c r="T626" i="1"/>
  <c r="S626" i="1"/>
  <c r="W625" i="1"/>
  <c r="V625" i="1"/>
  <c r="U625" i="1"/>
  <c r="T625" i="1"/>
  <c r="S625" i="1"/>
  <c r="W624" i="1"/>
  <c r="V624" i="1"/>
  <c r="U624" i="1"/>
  <c r="T624" i="1"/>
  <c r="S624" i="1"/>
  <c r="W623" i="1"/>
  <c r="V623" i="1"/>
  <c r="U623" i="1"/>
  <c r="T623" i="1"/>
  <c r="S623" i="1"/>
  <c r="W622" i="1"/>
  <c r="V622" i="1"/>
  <c r="U622" i="1"/>
  <c r="T622" i="1"/>
  <c r="S622" i="1"/>
  <c r="W621" i="1"/>
  <c r="V621" i="1"/>
  <c r="U621" i="1"/>
  <c r="T621" i="1"/>
  <c r="S621" i="1"/>
  <c r="W620" i="1"/>
  <c r="V620" i="1"/>
  <c r="U620" i="1"/>
  <c r="T620" i="1"/>
  <c r="S620" i="1"/>
  <c r="W619" i="1"/>
  <c r="V619" i="1"/>
  <c r="U619" i="1"/>
  <c r="T619" i="1"/>
  <c r="S619" i="1"/>
  <c r="W618" i="1"/>
  <c r="V618" i="1"/>
  <c r="U618" i="1"/>
  <c r="T618" i="1"/>
  <c r="S618" i="1"/>
  <c r="W617" i="1"/>
  <c r="V617" i="1"/>
  <c r="U617" i="1"/>
  <c r="T617" i="1"/>
  <c r="S617" i="1"/>
  <c r="W616" i="1"/>
  <c r="V616" i="1"/>
  <c r="U616" i="1"/>
  <c r="T616" i="1"/>
  <c r="S616" i="1"/>
  <c r="W615" i="1"/>
  <c r="V615" i="1"/>
  <c r="U615" i="1"/>
  <c r="T615" i="1"/>
  <c r="S615" i="1"/>
  <c r="W614" i="1"/>
  <c r="V614" i="1"/>
  <c r="U614" i="1"/>
  <c r="T614" i="1"/>
  <c r="S614" i="1"/>
  <c r="W613" i="1"/>
  <c r="V613" i="1"/>
  <c r="U613" i="1"/>
  <c r="T613" i="1"/>
  <c r="S613" i="1"/>
  <c r="W612" i="1"/>
  <c r="V612" i="1"/>
  <c r="U612" i="1"/>
  <c r="T612" i="1"/>
  <c r="S612" i="1"/>
  <c r="W611" i="1"/>
  <c r="V611" i="1"/>
  <c r="U611" i="1"/>
  <c r="T611" i="1"/>
  <c r="S611" i="1"/>
  <c r="W610" i="1"/>
  <c r="V610" i="1"/>
  <c r="U610" i="1"/>
  <c r="T610" i="1"/>
  <c r="S610" i="1"/>
  <c r="W609" i="1"/>
  <c r="V609" i="1"/>
  <c r="U609" i="1"/>
  <c r="T609" i="1"/>
  <c r="S609" i="1"/>
  <c r="W608" i="1"/>
  <c r="V608" i="1"/>
  <c r="U608" i="1"/>
  <c r="T608" i="1"/>
  <c r="S608" i="1"/>
  <c r="W607" i="1"/>
  <c r="V607" i="1"/>
  <c r="U607" i="1"/>
  <c r="T607" i="1"/>
  <c r="S607" i="1"/>
  <c r="W606" i="1"/>
  <c r="V606" i="1"/>
  <c r="U606" i="1"/>
  <c r="T606" i="1"/>
  <c r="S606" i="1"/>
  <c r="W605" i="1"/>
  <c r="V605" i="1"/>
  <c r="U605" i="1"/>
  <c r="T605" i="1"/>
  <c r="S605" i="1"/>
  <c r="W604" i="1"/>
  <c r="V604" i="1"/>
  <c r="U604" i="1"/>
  <c r="T604" i="1"/>
  <c r="S604" i="1"/>
  <c r="W603" i="1"/>
  <c r="V603" i="1"/>
  <c r="U603" i="1"/>
  <c r="T603" i="1"/>
  <c r="S603" i="1"/>
  <c r="W602" i="1"/>
  <c r="V602" i="1"/>
  <c r="U602" i="1"/>
  <c r="T602" i="1"/>
  <c r="S602" i="1"/>
  <c r="W601" i="1"/>
  <c r="V601" i="1"/>
  <c r="U601" i="1"/>
  <c r="T601" i="1"/>
  <c r="S601" i="1"/>
  <c r="W600" i="1"/>
  <c r="V600" i="1"/>
  <c r="U600" i="1"/>
  <c r="T600" i="1"/>
  <c r="S600" i="1"/>
  <c r="W599" i="1"/>
  <c r="V599" i="1"/>
  <c r="U599" i="1"/>
  <c r="T599" i="1"/>
  <c r="S599" i="1"/>
  <c r="W598" i="1"/>
  <c r="V598" i="1"/>
  <c r="U598" i="1"/>
  <c r="T598" i="1"/>
  <c r="S598" i="1"/>
  <c r="W597" i="1"/>
  <c r="V597" i="1"/>
  <c r="U597" i="1"/>
  <c r="T597" i="1"/>
  <c r="S597" i="1"/>
  <c r="W596" i="1"/>
  <c r="V596" i="1"/>
  <c r="U596" i="1"/>
  <c r="T596" i="1"/>
  <c r="S596" i="1"/>
  <c r="W595" i="1"/>
  <c r="V595" i="1"/>
  <c r="U595" i="1"/>
  <c r="T595" i="1"/>
  <c r="S595" i="1"/>
  <c r="W594" i="1"/>
  <c r="V594" i="1"/>
  <c r="U594" i="1"/>
  <c r="T594" i="1"/>
  <c r="S594" i="1"/>
  <c r="W593" i="1"/>
  <c r="V593" i="1"/>
  <c r="U593" i="1"/>
  <c r="T593" i="1"/>
  <c r="S593" i="1"/>
  <c r="W592" i="1"/>
  <c r="V592" i="1"/>
  <c r="U592" i="1"/>
  <c r="T592" i="1"/>
  <c r="S592" i="1"/>
  <c r="W591" i="1"/>
  <c r="V591" i="1"/>
  <c r="U591" i="1"/>
  <c r="T591" i="1"/>
  <c r="S591" i="1"/>
  <c r="W590" i="1"/>
  <c r="V590" i="1"/>
  <c r="U590" i="1"/>
  <c r="T590" i="1"/>
  <c r="S590" i="1"/>
  <c r="W589" i="1"/>
  <c r="V589" i="1"/>
  <c r="U589" i="1"/>
  <c r="T589" i="1"/>
  <c r="S589" i="1"/>
  <c r="W588" i="1"/>
  <c r="V588" i="1"/>
  <c r="U588" i="1"/>
  <c r="T588" i="1"/>
  <c r="S588" i="1"/>
  <c r="W587" i="1"/>
  <c r="V587" i="1"/>
  <c r="U587" i="1"/>
  <c r="T587" i="1"/>
  <c r="S587" i="1"/>
  <c r="W586" i="1"/>
  <c r="V586" i="1"/>
  <c r="U586" i="1"/>
  <c r="T586" i="1"/>
  <c r="S586" i="1"/>
  <c r="W585" i="1"/>
  <c r="V585" i="1"/>
  <c r="U585" i="1"/>
  <c r="T585" i="1"/>
  <c r="S585" i="1"/>
  <c r="W584" i="1"/>
  <c r="V584" i="1"/>
  <c r="U584" i="1"/>
  <c r="T584" i="1"/>
  <c r="S584" i="1"/>
  <c r="W583" i="1"/>
  <c r="V583" i="1"/>
  <c r="U583" i="1"/>
  <c r="T583" i="1"/>
  <c r="S583" i="1"/>
  <c r="W582" i="1"/>
  <c r="V582" i="1"/>
  <c r="U582" i="1"/>
  <c r="T582" i="1"/>
  <c r="S582" i="1"/>
  <c r="W581" i="1"/>
  <c r="V581" i="1"/>
  <c r="U581" i="1"/>
  <c r="T581" i="1"/>
  <c r="S581" i="1"/>
  <c r="W580" i="1"/>
  <c r="V580" i="1"/>
  <c r="U580" i="1"/>
  <c r="T580" i="1"/>
  <c r="S580" i="1"/>
  <c r="W579" i="1"/>
  <c r="V579" i="1"/>
  <c r="U579" i="1"/>
  <c r="T579" i="1"/>
  <c r="S579" i="1"/>
  <c r="W578" i="1"/>
  <c r="V578" i="1"/>
  <c r="U578" i="1"/>
  <c r="T578" i="1"/>
  <c r="S578" i="1"/>
  <c r="W577" i="1"/>
  <c r="V577" i="1"/>
  <c r="U577" i="1"/>
  <c r="T577" i="1"/>
  <c r="S577" i="1"/>
  <c r="W576" i="1"/>
  <c r="V576" i="1"/>
  <c r="U576" i="1"/>
  <c r="T576" i="1"/>
  <c r="S576" i="1"/>
  <c r="W575" i="1"/>
  <c r="V575" i="1"/>
  <c r="U575" i="1"/>
  <c r="T575" i="1"/>
  <c r="S575" i="1"/>
  <c r="W574" i="1"/>
  <c r="V574" i="1"/>
  <c r="U574" i="1"/>
  <c r="T574" i="1"/>
  <c r="S574" i="1"/>
  <c r="W573" i="1"/>
  <c r="V573" i="1"/>
  <c r="U573" i="1"/>
  <c r="T573" i="1"/>
  <c r="S573" i="1"/>
  <c r="W572" i="1"/>
  <c r="V572" i="1"/>
  <c r="U572" i="1"/>
  <c r="T572" i="1"/>
  <c r="S572" i="1"/>
  <c r="W571" i="1"/>
  <c r="V571" i="1"/>
  <c r="U571" i="1"/>
  <c r="T571" i="1"/>
  <c r="S571" i="1"/>
  <c r="W570" i="1"/>
  <c r="V570" i="1"/>
  <c r="U570" i="1"/>
  <c r="T570" i="1"/>
  <c r="S570" i="1"/>
  <c r="W569" i="1"/>
  <c r="V569" i="1"/>
  <c r="U569" i="1"/>
  <c r="T569" i="1"/>
  <c r="S569" i="1"/>
  <c r="W568" i="1"/>
  <c r="V568" i="1"/>
  <c r="U568" i="1"/>
  <c r="T568" i="1"/>
  <c r="S568" i="1"/>
  <c r="W567" i="1"/>
  <c r="V567" i="1"/>
  <c r="U567" i="1"/>
  <c r="T567" i="1"/>
  <c r="S567" i="1"/>
  <c r="W566" i="1"/>
  <c r="V566" i="1"/>
  <c r="U566" i="1"/>
  <c r="T566" i="1"/>
  <c r="S566" i="1"/>
  <c r="W565" i="1"/>
  <c r="V565" i="1"/>
  <c r="U565" i="1"/>
  <c r="T565" i="1"/>
  <c r="S565" i="1"/>
  <c r="W564" i="1"/>
  <c r="V564" i="1"/>
  <c r="U564" i="1"/>
  <c r="T564" i="1"/>
  <c r="S564" i="1"/>
  <c r="W563" i="1"/>
  <c r="V563" i="1"/>
  <c r="U563" i="1"/>
  <c r="T563" i="1"/>
  <c r="S563" i="1"/>
  <c r="W562" i="1"/>
  <c r="V562" i="1"/>
  <c r="U562" i="1"/>
  <c r="T562" i="1"/>
  <c r="S562" i="1"/>
  <c r="W561" i="1"/>
  <c r="V561" i="1"/>
  <c r="U561" i="1"/>
  <c r="T561" i="1"/>
  <c r="S561" i="1"/>
  <c r="W560" i="1"/>
  <c r="V560" i="1"/>
  <c r="U560" i="1"/>
  <c r="T560" i="1"/>
  <c r="S560" i="1"/>
  <c r="W559" i="1"/>
  <c r="V559" i="1"/>
  <c r="U559" i="1"/>
  <c r="T559" i="1"/>
  <c r="S559" i="1"/>
  <c r="W558" i="1"/>
  <c r="V558" i="1"/>
  <c r="U558" i="1"/>
  <c r="T558" i="1"/>
  <c r="S558" i="1"/>
  <c r="W557" i="1"/>
  <c r="V557" i="1"/>
  <c r="U557" i="1"/>
  <c r="T557" i="1"/>
  <c r="S557" i="1"/>
  <c r="W556" i="1"/>
  <c r="V556" i="1"/>
  <c r="U556" i="1"/>
  <c r="T556" i="1"/>
  <c r="S556" i="1"/>
  <c r="W555" i="1"/>
  <c r="V555" i="1"/>
  <c r="U555" i="1"/>
  <c r="T555" i="1"/>
  <c r="S555" i="1"/>
  <c r="W554" i="1"/>
  <c r="V554" i="1"/>
  <c r="U554" i="1"/>
  <c r="T554" i="1"/>
  <c r="S554" i="1"/>
  <c r="W553" i="1"/>
  <c r="V553" i="1"/>
  <c r="U553" i="1"/>
  <c r="T553" i="1"/>
  <c r="S553" i="1"/>
  <c r="W552" i="1"/>
  <c r="V552" i="1"/>
  <c r="U552" i="1"/>
  <c r="T552" i="1"/>
  <c r="S552" i="1"/>
  <c r="W551" i="1"/>
  <c r="V551" i="1"/>
  <c r="U551" i="1"/>
  <c r="T551" i="1"/>
  <c r="S551" i="1"/>
  <c r="W550" i="1"/>
  <c r="V550" i="1"/>
  <c r="U550" i="1"/>
  <c r="T550" i="1"/>
  <c r="S550" i="1"/>
  <c r="W549" i="1"/>
  <c r="V549" i="1"/>
  <c r="U549" i="1"/>
  <c r="T549" i="1"/>
  <c r="S549" i="1"/>
  <c r="W548" i="1"/>
  <c r="V548" i="1"/>
  <c r="U548" i="1"/>
  <c r="T548" i="1"/>
  <c r="S548" i="1"/>
  <c r="W547" i="1"/>
  <c r="V547" i="1"/>
  <c r="U547" i="1"/>
  <c r="T547" i="1"/>
  <c r="S547" i="1"/>
  <c r="W546" i="1"/>
  <c r="V546" i="1"/>
  <c r="U546" i="1"/>
  <c r="T546" i="1"/>
  <c r="S546" i="1"/>
  <c r="W545" i="1"/>
  <c r="V545" i="1"/>
  <c r="U545" i="1"/>
  <c r="T545" i="1"/>
  <c r="S545" i="1"/>
  <c r="W544" i="1"/>
  <c r="V544" i="1"/>
  <c r="U544" i="1"/>
  <c r="T544" i="1"/>
  <c r="S544" i="1"/>
  <c r="W543" i="1"/>
  <c r="V543" i="1"/>
  <c r="U543" i="1"/>
  <c r="T543" i="1"/>
  <c r="S543" i="1"/>
  <c r="W542" i="1"/>
  <c r="V542" i="1"/>
  <c r="U542" i="1"/>
  <c r="T542" i="1"/>
  <c r="S542" i="1"/>
  <c r="W541" i="1"/>
  <c r="V541" i="1"/>
  <c r="U541" i="1"/>
  <c r="T541" i="1"/>
  <c r="S541" i="1"/>
  <c r="W540" i="1"/>
  <c r="V540" i="1"/>
  <c r="U540" i="1"/>
  <c r="T540" i="1"/>
  <c r="S540" i="1"/>
  <c r="W539" i="1"/>
  <c r="V539" i="1"/>
  <c r="U539" i="1"/>
  <c r="T539" i="1"/>
  <c r="S539" i="1"/>
  <c r="W538" i="1"/>
  <c r="V538" i="1"/>
  <c r="U538" i="1"/>
  <c r="T538" i="1"/>
  <c r="S538" i="1"/>
  <c r="W537" i="1"/>
  <c r="V537" i="1"/>
  <c r="U537" i="1"/>
  <c r="T537" i="1"/>
  <c r="S537" i="1"/>
  <c r="W536" i="1"/>
  <c r="V536" i="1"/>
  <c r="U536" i="1"/>
  <c r="T536" i="1"/>
  <c r="S536" i="1"/>
  <c r="W535" i="1"/>
  <c r="V535" i="1"/>
  <c r="U535" i="1"/>
  <c r="T535" i="1"/>
  <c r="S535" i="1"/>
  <c r="W534" i="1"/>
  <c r="V534" i="1"/>
  <c r="U534" i="1"/>
  <c r="T534" i="1"/>
  <c r="S534" i="1"/>
  <c r="W533" i="1"/>
  <c r="V533" i="1"/>
  <c r="U533" i="1"/>
  <c r="T533" i="1"/>
  <c r="S533" i="1"/>
  <c r="W532" i="1"/>
  <c r="V532" i="1"/>
  <c r="U532" i="1"/>
  <c r="T532" i="1"/>
  <c r="S532" i="1"/>
  <c r="W531" i="1"/>
  <c r="V531" i="1"/>
  <c r="U531" i="1"/>
  <c r="T531" i="1"/>
  <c r="S531" i="1"/>
  <c r="W530" i="1"/>
  <c r="V530" i="1"/>
  <c r="U530" i="1"/>
  <c r="T530" i="1"/>
  <c r="S530" i="1"/>
  <c r="W529" i="1"/>
  <c r="V529" i="1"/>
  <c r="U529" i="1"/>
  <c r="T529" i="1"/>
  <c r="S529" i="1"/>
  <c r="W528" i="1"/>
  <c r="V528" i="1"/>
  <c r="U528" i="1"/>
  <c r="T528" i="1"/>
  <c r="S528" i="1"/>
  <c r="W527" i="1"/>
  <c r="V527" i="1"/>
  <c r="U527" i="1"/>
  <c r="T527" i="1"/>
  <c r="S527" i="1"/>
  <c r="W526" i="1"/>
  <c r="V526" i="1"/>
  <c r="U526" i="1"/>
  <c r="T526" i="1"/>
  <c r="S526" i="1"/>
  <c r="W525" i="1"/>
  <c r="V525" i="1"/>
  <c r="U525" i="1"/>
  <c r="T525" i="1"/>
  <c r="S525" i="1"/>
  <c r="W524" i="1"/>
  <c r="V524" i="1"/>
  <c r="U524" i="1"/>
  <c r="T524" i="1"/>
  <c r="S524" i="1"/>
  <c r="W523" i="1"/>
  <c r="V523" i="1"/>
  <c r="U523" i="1"/>
  <c r="T523" i="1"/>
  <c r="S523" i="1"/>
  <c r="W522" i="1"/>
  <c r="V522" i="1"/>
  <c r="U522" i="1"/>
  <c r="T522" i="1"/>
  <c r="S522" i="1"/>
  <c r="W521" i="1"/>
  <c r="V521" i="1"/>
  <c r="U521" i="1"/>
  <c r="T521" i="1"/>
  <c r="S521" i="1"/>
  <c r="W520" i="1"/>
  <c r="V520" i="1"/>
  <c r="U520" i="1"/>
  <c r="T520" i="1"/>
  <c r="S520" i="1"/>
  <c r="W519" i="1"/>
  <c r="V519" i="1"/>
  <c r="U519" i="1"/>
  <c r="T519" i="1"/>
  <c r="S519" i="1"/>
  <c r="W518" i="1"/>
  <c r="V518" i="1"/>
  <c r="U518" i="1"/>
  <c r="T518" i="1"/>
  <c r="S518" i="1"/>
  <c r="W517" i="1"/>
  <c r="V517" i="1"/>
  <c r="U517" i="1"/>
  <c r="T517" i="1"/>
  <c r="S517" i="1"/>
  <c r="W516" i="1"/>
  <c r="V516" i="1"/>
  <c r="U516" i="1"/>
  <c r="T516" i="1"/>
  <c r="S516" i="1"/>
  <c r="W515" i="1"/>
  <c r="V515" i="1"/>
  <c r="U515" i="1"/>
  <c r="T515" i="1"/>
  <c r="S515" i="1"/>
  <c r="W514" i="1"/>
  <c r="V514" i="1"/>
  <c r="U514" i="1"/>
  <c r="T514" i="1"/>
  <c r="S514" i="1"/>
  <c r="W513" i="1"/>
  <c r="V513" i="1"/>
  <c r="U513" i="1"/>
  <c r="T513" i="1"/>
  <c r="S513" i="1"/>
  <c r="W512" i="1"/>
  <c r="V512" i="1"/>
  <c r="U512" i="1"/>
  <c r="T512" i="1"/>
  <c r="S512" i="1"/>
  <c r="W511" i="1"/>
  <c r="V511" i="1"/>
  <c r="U511" i="1"/>
  <c r="T511" i="1"/>
  <c r="S511" i="1"/>
  <c r="W510" i="1"/>
  <c r="V510" i="1"/>
  <c r="U510" i="1"/>
  <c r="T510" i="1"/>
  <c r="S510" i="1"/>
  <c r="W509" i="1"/>
  <c r="V509" i="1"/>
  <c r="U509" i="1"/>
  <c r="T509" i="1"/>
  <c r="S509" i="1"/>
  <c r="W508" i="1"/>
  <c r="V508" i="1"/>
  <c r="U508" i="1"/>
  <c r="T508" i="1"/>
  <c r="S508" i="1"/>
  <c r="W507" i="1"/>
  <c r="V507" i="1"/>
  <c r="U507" i="1"/>
  <c r="T507" i="1"/>
  <c r="S507" i="1"/>
  <c r="W506" i="1"/>
  <c r="V506" i="1"/>
  <c r="U506" i="1"/>
  <c r="T506" i="1"/>
  <c r="S506" i="1"/>
  <c r="W505" i="1"/>
  <c r="V505" i="1"/>
  <c r="U505" i="1"/>
  <c r="T505" i="1"/>
  <c r="S505" i="1"/>
  <c r="W504" i="1"/>
  <c r="V504" i="1"/>
  <c r="U504" i="1"/>
  <c r="T504" i="1"/>
  <c r="S504" i="1"/>
  <c r="W503" i="1"/>
  <c r="V503" i="1"/>
  <c r="U503" i="1"/>
  <c r="T503" i="1"/>
  <c r="S503" i="1"/>
  <c r="W502" i="1"/>
  <c r="V502" i="1"/>
  <c r="U502" i="1"/>
  <c r="T502" i="1"/>
  <c r="S502" i="1"/>
  <c r="W501" i="1"/>
  <c r="V501" i="1"/>
  <c r="U501" i="1"/>
  <c r="T501" i="1"/>
  <c r="S501" i="1"/>
  <c r="W500" i="1"/>
  <c r="V500" i="1"/>
  <c r="U500" i="1"/>
  <c r="T500" i="1"/>
  <c r="S500" i="1"/>
  <c r="W499" i="1"/>
  <c r="V499" i="1"/>
  <c r="U499" i="1"/>
  <c r="T499" i="1"/>
  <c r="S499" i="1"/>
  <c r="W498" i="1"/>
  <c r="V498" i="1"/>
  <c r="U498" i="1"/>
  <c r="T498" i="1"/>
  <c r="S498" i="1"/>
  <c r="W497" i="1"/>
  <c r="V497" i="1"/>
  <c r="U497" i="1"/>
  <c r="T497" i="1"/>
  <c r="S497" i="1"/>
  <c r="W496" i="1"/>
  <c r="V496" i="1"/>
  <c r="U496" i="1"/>
  <c r="T496" i="1"/>
  <c r="S496" i="1"/>
  <c r="W495" i="1"/>
  <c r="V495" i="1"/>
  <c r="U495" i="1"/>
  <c r="T495" i="1"/>
  <c r="S495" i="1"/>
  <c r="W494" i="1"/>
  <c r="V494" i="1"/>
  <c r="U494" i="1"/>
  <c r="T494" i="1"/>
  <c r="S494" i="1"/>
  <c r="W493" i="1"/>
  <c r="V493" i="1"/>
  <c r="U493" i="1"/>
  <c r="T493" i="1"/>
  <c r="S493" i="1"/>
  <c r="W492" i="1"/>
  <c r="V492" i="1"/>
  <c r="U492" i="1"/>
  <c r="T492" i="1"/>
  <c r="S492" i="1"/>
  <c r="W491" i="1"/>
  <c r="V491" i="1"/>
  <c r="U491" i="1"/>
  <c r="T491" i="1"/>
  <c r="S491" i="1"/>
  <c r="W490" i="1"/>
  <c r="V490" i="1"/>
  <c r="U490" i="1"/>
  <c r="T490" i="1"/>
  <c r="S490" i="1"/>
  <c r="W489" i="1"/>
  <c r="V489" i="1"/>
  <c r="U489" i="1"/>
  <c r="T489" i="1"/>
  <c r="S489" i="1"/>
  <c r="W488" i="1"/>
  <c r="V488" i="1"/>
  <c r="U488" i="1"/>
  <c r="T488" i="1"/>
  <c r="S488" i="1"/>
  <c r="W487" i="1"/>
  <c r="V487" i="1"/>
  <c r="U487" i="1"/>
  <c r="T487" i="1"/>
  <c r="S487" i="1"/>
  <c r="W486" i="1"/>
  <c r="V486" i="1"/>
  <c r="U486" i="1"/>
  <c r="T486" i="1"/>
  <c r="S486" i="1"/>
  <c r="W485" i="1"/>
  <c r="V485" i="1"/>
  <c r="U485" i="1"/>
  <c r="T485" i="1"/>
  <c r="S485" i="1"/>
  <c r="W484" i="1"/>
  <c r="V484" i="1"/>
  <c r="U484" i="1"/>
  <c r="T484" i="1"/>
  <c r="S484" i="1"/>
  <c r="W483" i="1"/>
  <c r="V483" i="1"/>
  <c r="U483" i="1"/>
  <c r="T483" i="1"/>
  <c r="S483" i="1"/>
  <c r="W482" i="1"/>
  <c r="V482" i="1"/>
  <c r="U482" i="1"/>
  <c r="T482" i="1"/>
  <c r="S482" i="1"/>
  <c r="W481" i="1"/>
  <c r="V481" i="1"/>
  <c r="U481" i="1"/>
  <c r="T481" i="1"/>
  <c r="S481" i="1"/>
  <c r="W480" i="1"/>
  <c r="V480" i="1"/>
  <c r="U480" i="1"/>
  <c r="T480" i="1"/>
  <c r="S480" i="1"/>
  <c r="W479" i="1"/>
  <c r="V479" i="1"/>
  <c r="U479" i="1"/>
  <c r="T479" i="1"/>
  <c r="S479" i="1"/>
  <c r="W478" i="1"/>
  <c r="V478" i="1"/>
  <c r="U478" i="1"/>
  <c r="T478" i="1"/>
  <c r="S478" i="1"/>
  <c r="W477" i="1"/>
  <c r="V477" i="1"/>
  <c r="U477" i="1"/>
  <c r="T477" i="1"/>
  <c r="S477" i="1"/>
  <c r="W476" i="1"/>
  <c r="V476" i="1"/>
  <c r="U476" i="1"/>
  <c r="T476" i="1"/>
  <c r="S476" i="1"/>
  <c r="W475" i="1"/>
  <c r="V475" i="1"/>
  <c r="U475" i="1"/>
  <c r="T475" i="1"/>
  <c r="S475" i="1"/>
  <c r="W474" i="1"/>
  <c r="V474" i="1"/>
  <c r="U474" i="1"/>
  <c r="T474" i="1"/>
  <c r="S474" i="1"/>
  <c r="W473" i="1"/>
  <c r="V473" i="1"/>
  <c r="U473" i="1"/>
  <c r="T473" i="1"/>
  <c r="S473" i="1"/>
  <c r="W472" i="1"/>
  <c r="V472" i="1"/>
  <c r="U472" i="1"/>
  <c r="T472" i="1"/>
  <c r="S472" i="1"/>
  <c r="W471" i="1"/>
  <c r="V471" i="1"/>
  <c r="U471" i="1"/>
  <c r="T471" i="1"/>
  <c r="S471" i="1"/>
  <c r="W470" i="1"/>
  <c r="V470" i="1"/>
  <c r="U470" i="1"/>
  <c r="T470" i="1"/>
  <c r="S470" i="1"/>
  <c r="W469" i="1"/>
  <c r="V469" i="1"/>
  <c r="U469" i="1"/>
  <c r="T469" i="1"/>
  <c r="S469" i="1"/>
  <c r="W468" i="1"/>
  <c r="V468" i="1"/>
  <c r="U468" i="1"/>
  <c r="T468" i="1"/>
  <c r="S468" i="1"/>
  <c r="W467" i="1"/>
  <c r="V467" i="1"/>
  <c r="U467" i="1"/>
  <c r="T467" i="1"/>
  <c r="S467" i="1"/>
  <c r="W466" i="1"/>
  <c r="V466" i="1"/>
  <c r="U466" i="1"/>
  <c r="T466" i="1"/>
  <c r="S466" i="1"/>
  <c r="W465" i="1"/>
  <c r="V465" i="1"/>
  <c r="U465" i="1"/>
  <c r="T465" i="1"/>
  <c r="S465" i="1"/>
  <c r="W464" i="1"/>
  <c r="V464" i="1"/>
  <c r="U464" i="1"/>
  <c r="T464" i="1"/>
  <c r="S464" i="1"/>
  <c r="W463" i="1"/>
  <c r="V463" i="1"/>
  <c r="U463" i="1"/>
  <c r="T463" i="1"/>
  <c r="S463" i="1"/>
  <c r="W462" i="1"/>
  <c r="V462" i="1"/>
  <c r="U462" i="1"/>
  <c r="T462" i="1"/>
  <c r="S462" i="1"/>
  <c r="W461" i="1"/>
  <c r="V461" i="1"/>
  <c r="U461" i="1"/>
  <c r="T461" i="1"/>
  <c r="S461" i="1"/>
  <c r="W460" i="1"/>
  <c r="V460" i="1"/>
  <c r="U460" i="1"/>
  <c r="T460" i="1"/>
  <c r="S460" i="1"/>
  <c r="W459" i="1"/>
  <c r="V459" i="1"/>
  <c r="U459" i="1"/>
  <c r="T459" i="1"/>
  <c r="S459" i="1"/>
  <c r="W458" i="1"/>
  <c r="V458" i="1"/>
  <c r="U458" i="1"/>
  <c r="T458" i="1"/>
  <c r="S458" i="1"/>
  <c r="W457" i="1"/>
  <c r="V457" i="1"/>
  <c r="U457" i="1"/>
  <c r="T457" i="1"/>
  <c r="S457" i="1"/>
  <c r="W456" i="1"/>
  <c r="V456" i="1"/>
  <c r="U456" i="1"/>
  <c r="T456" i="1"/>
  <c r="S456" i="1"/>
  <c r="W455" i="1"/>
  <c r="V455" i="1"/>
  <c r="U455" i="1"/>
  <c r="T455" i="1"/>
  <c r="S455" i="1"/>
  <c r="W454" i="1"/>
  <c r="V454" i="1"/>
  <c r="U454" i="1"/>
  <c r="T454" i="1"/>
  <c r="S454" i="1"/>
  <c r="W453" i="1"/>
  <c r="V453" i="1"/>
  <c r="U453" i="1"/>
  <c r="T453" i="1"/>
  <c r="S453" i="1"/>
  <c r="W452" i="1"/>
  <c r="V452" i="1"/>
  <c r="U452" i="1"/>
  <c r="T452" i="1"/>
  <c r="S452" i="1"/>
  <c r="W451" i="1"/>
  <c r="V451" i="1"/>
  <c r="U451" i="1"/>
  <c r="T451" i="1"/>
  <c r="S451" i="1"/>
  <c r="W450" i="1"/>
  <c r="V450" i="1"/>
  <c r="U450" i="1"/>
  <c r="T450" i="1"/>
  <c r="S450" i="1"/>
  <c r="W449" i="1"/>
  <c r="V449" i="1"/>
  <c r="U449" i="1"/>
  <c r="T449" i="1"/>
  <c r="S449" i="1"/>
  <c r="W448" i="1"/>
  <c r="V448" i="1"/>
  <c r="U448" i="1"/>
  <c r="T448" i="1"/>
  <c r="S448" i="1"/>
  <c r="W447" i="1"/>
  <c r="V447" i="1"/>
  <c r="U447" i="1"/>
  <c r="T447" i="1"/>
  <c r="S447" i="1"/>
  <c r="W446" i="1"/>
  <c r="V446" i="1"/>
  <c r="U446" i="1"/>
  <c r="T446" i="1"/>
  <c r="S446" i="1"/>
  <c r="W445" i="1"/>
  <c r="V445" i="1"/>
  <c r="U445" i="1"/>
  <c r="T445" i="1"/>
  <c r="S445" i="1"/>
  <c r="W444" i="1"/>
  <c r="V444" i="1"/>
  <c r="U444" i="1"/>
  <c r="T444" i="1"/>
  <c r="S444" i="1"/>
  <c r="W443" i="1"/>
  <c r="V443" i="1"/>
  <c r="U443" i="1"/>
  <c r="T443" i="1"/>
  <c r="S443" i="1"/>
  <c r="W442" i="1"/>
  <c r="V442" i="1"/>
  <c r="U442" i="1"/>
  <c r="T442" i="1"/>
  <c r="S442" i="1"/>
  <c r="W441" i="1"/>
  <c r="V441" i="1"/>
  <c r="U441" i="1"/>
  <c r="T441" i="1"/>
  <c r="S441" i="1"/>
  <c r="W440" i="1"/>
  <c r="V440" i="1"/>
  <c r="U440" i="1"/>
  <c r="T440" i="1"/>
  <c r="S440" i="1"/>
  <c r="W439" i="1"/>
  <c r="V439" i="1"/>
  <c r="U439" i="1"/>
  <c r="T439" i="1"/>
  <c r="S439" i="1"/>
  <c r="W438" i="1"/>
  <c r="V438" i="1"/>
  <c r="U438" i="1"/>
  <c r="T438" i="1"/>
  <c r="S438" i="1"/>
  <c r="W437" i="1"/>
  <c r="V437" i="1"/>
  <c r="U437" i="1"/>
  <c r="T437" i="1"/>
  <c r="S437" i="1"/>
  <c r="W436" i="1"/>
  <c r="V436" i="1"/>
  <c r="U436" i="1"/>
  <c r="T436" i="1"/>
  <c r="S436" i="1"/>
  <c r="W435" i="1"/>
  <c r="V435" i="1"/>
  <c r="U435" i="1"/>
  <c r="T435" i="1"/>
  <c r="S435" i="1"/>
  <c r="W434" i="1"/>
  <c r="V434" i="1"/>
  <c r="U434" i="1"/>
  <c r="T434" i="1"/>
  <c r="S434" i="1"/>
  <c r="W433" i="1"/>
  <c r="V433" i="1"/>
  <c r="U433" i="1"/>
  <c r="T433" i="1"/>
  <c r="S433" i="1"/>
  <c r="W432" i="1"/>
  <c r="V432" i="1"/>
  <c r="U432" i="1"/>
  <c r="T432" i="1"/>
  <c r="S432" i="1"/>
  <c r="W431" i="1"/>
  <c r="V431" i="1"/>
  <c r="U431" i="1"/>
  <c r="T431" i="1"/>
  <c r="S431" i="1"/>
  <c r="W430" i="1"/>
  <c r="V430" i="1"/>
  <c r="U430" i="1"/>
  <c r="T430" i="1"/>
  <c r="S430" i="1"/>
  <c r="W429" i="1"/>
  <c r="V429" i="1"/>
  <c r="U429" i="1"/>
  <c r="T429" i="1"/>
  <c r="S429" i="1"/>
  <c r="W428" i="1"/>
  <c r="V428" i="1"/>
  <c r="U428" i="1"/>
  <c r="T428" i="1"/>
  <c r="S428" i="1"/>
  <c r="W427" i="1"/>
  <c r="V427" i="1"/>
  <c r="U427" i="1"/>
  <c r="T427" i="1"/>
  <c r="S427" i="1"/>
  <c r="W426" i="1"/>
  <c r="V426" i="1"/>
  <c r="U426" i="1"/>
  <c r="T426" i="1"/>
  <c r="S426" i="1"/>
  <c r="W425" i="1"/>
  <c r="V425" i="1"/>
  <c r="U425" i="1"/>
  <c r="T425" i="1"/>
  <c r="S425" i="1"/>
  <c r="W424" i="1"/>
  <c r="V424" i="1"/>
  <c r="U424" i="1"/>
  <c r="T424" i="1"/>
  <c r="S424" i="1"/>
  <c r="W423" i="1"/>
  <c r="V423" i="1"/>
  <c r="U423" i="1"/>
  <c r="T423" i="1"/>
  <c r="S423" i="1"/>
  <c r="W422" i="1"/>
  <c r="V422" i="1"/>
  <c r="U422" i="1"/>
  <c r="T422" i="1"/>
  <c r="S422" i="1"/>
  <c r="W421" i="1"/>
  <c r="V421" i="1"/>
  <c r="U421" i="1"/>
  <c r="T421" i="1"/>
  <c r="S421" i="1"/>
  <c r="W420" i="1"/>
  <c r="V420" i="1"/>
  <c r="U420" i="1"/>
  <c r="T420" i="1"/>
  <c r="S420" i="1"/>
  <c r="W419" i="1"/>
  <c r="V419" i="1"/>
  <c r="U419" i="1"/>
  <c r="T419" i="1"/>
  <c r="S419" i="1"/>
  <c r="W418" i="1"/>
  <c r="V418" i="1"/>
  <c r="U418" i="1"/>
  <c r="T418" i="1"/>
  <c r="S418" i="1"/>
  <c r="W417" i="1"/>
  <c r="V417" i="1"/>
  <c r="U417" i="1"/>
  <c r="T417" i="1"/>
  <c r="S417" i="1"/>
  <c r="W416" i="1"/>
  <c r="V416" i="1"/>
  <c r="U416" i="1"/>
  <c r="T416" i="1"/>
  <c r="S416" i="1"/>
  <c r="W415" i="1"/>
  <c r="V415" i="1"/>
  <c r="U415" i="1"/>
  <c r="T415" i="1"/>
  <c r="S415" i="1"/>
  <c r="W414" i="1"/>
  <c r="V414" i="1"/>
  <c r="U414" i="1"/>
  <c r="T414" i="1"/>
  <c r="S414" i="1"/>
  <c r="W413" i="1"/>
  <c r="V413" i="1"/>
  <c r="U413" i="1"/>
  <c r="T413" i="1"/>
  <c r="S413" i="1"/>
  <c r="W412" i="1"/>
  <c r="V412" i="1"/>
  <c r="U412" i="1"/>
  <c r="T412" i="1"/>
  <c r="S412" i="1"/>
  <c r="W411" i="1"/>
  <c r="V411" i="1"/>
  <c r="U411" i="1"/>
  <c r="T411" i="1"/>
  <c r="S411" i="1"/>
  <c r="W410" i="1"/>
  <c r="V410" i="1"/>
  <c r="U410" i="1"/>
  <c r="T410" i="1"/>
  <c r="S410" i="1"/>
  <c r="W409" i="1"/>
  <c r="V409" i="1"/>
  <c r="U409" i="1"/>
  <c r="T409" i="1"/>
  <c r="S409" i="1"/>
  <c r="W408" i="1"/>
  <c r="V408" i="1"/>
  <c r="U408" i="1"/>
  <c r="T408" i="1"/>
  <c r="S408" i="1"/>
  <c r="W407" i="1"/>
  <c r="V407" i="1"/>
  <c r="U407" i="1"/>
  <c r="T407" i="1"/>
  <c r="S407" i="1"/>
  <c r="W406" i="1"/>
  <c r="V406" i="1"/>
  <c r="U406" i="1"/>
  <c r="T406" i="1"/>
  <c r="S406" i="1"/>
  <c r="W405" i="1"/>
  <c r="V405" i="1"/>
  <c r="U405" i="1"/>
  <c r="T405" i="1"/>
  <c r="S405" i="1"/>
  <c r="W404" i="1"/>
  <c r="V404" i="1"/>
  <c r="U404" i="1"/>
  <c r="T404" i="1"/>
  <c r="S404" i="1"/>
  <c r="W403" i="1"/>
  <c r="V403" i="1"/>
  <c r="U403" i="1"/>
  <c r="T403" i="1"/>
  <c r="S403" i="1"/>
  <c r="W402" i="1"/>
  <c r="V402" i="1"/>
  <c r="U402" i="1"/>
  <c r="T402" i="1"/>
  <c r="S402" i="1"/>
  <c r="W401" i="1"/>
  <c r="V401" i="1"/>
  <c r="U401" i="1"/>
  <c r="T401" i="1"/>
  <c r="S401" i="1"/>
  <c r="W400" i="1"/>
  <c r="V400" i="1"/>
  <c r="U400" i="1"/>
  <c r="T400" i="1"/>
  <c r="S400" i="1"/>
  <c r="W399" i="1"/>
  <c r="V399" i="1"/>
  <c r="U399" i="1"/>
  <c r="T399" i="1"/>
  <c r="S399" i="1"/>
  <c r="W398" i="1"/>
  <c r="V398" i="1"/>
  <c r="U398" i="1"/>
  <c r="T398" i="1"/>
  <c r="S398" i="1"/>
  <c r="W397" i="1"/>
  <c r="V397" i="1"/>
  <c r="U397" i="1"/>
  <c r="T397" i="1"/>
  <c r="S397" i="1"/>
  <c r="W396" i="1"/>
  <c r="V396" i="1"/>
  <c r="U396" i="1"/>
  <c r="T396" i="1"/>
  <c r="S396" i="1"/>
  <c r="W395" i="1"/>
  <c r="V395" i="1"/>
  <c r="U395" i="1"/>
  <c r="T395" i="1"/>
  <c r="S395" i="1"/>
  <c r="W394" i="1"/>
  <c r="V394" i="1"/>
  <c r="U394" i="1"/>
  <c r="T394" i="1"/>
  <c r="S394" i="1"/>
  <c r="W393" i="1"/>
  <c r="V393" i="1"/>
  <c r="U393" i="1"/>
  <c r="T393" i="1"/>
  <c r="S393" i="1"/>
  <c r="W392" i="1"/>
  <c r="V392" i="1"/>
  <c r="U392" i="1"/>
  <c r="T392" i="1"/>
  <c r="S392" i="1"/>
  <c r="W391" i="1"/>
  <c r="V391" i="1"/>
  <c r="U391" i="1"/>
  <c r="T391" i="1"/>
  <c r="S391" i="1"/>
  <c r="W390" i="1"/>
  <c r="V390" i="1"/>
  <c r="U390" i="1"/>
  <c r="T390" i="1"/>
  <c r="S390" i="1"/>
  <c r="W389" i="1"/>
  <c r="V389" i="1"/>
  <c r="U389" i="1"/>
  <c r="T389" i="1"/>
  <c r="S389" i="1"/>
  <c r="W388" i="1"/>
  <c r="V388" i="1"/>
  <c r="U388" i="1"/>
  <c r="T388" i="1"/>
  <c r="S388" i="1"/>
  <c r="W387" i="1"/>
  <c r="V387" i="1"/>
  <c r="U387" i="1"/>
  <c r="T387" i="1"/>
  <c r="S387" i="1"/>
  <c r="W386" i="1"/>
  <c r="V386" i="1"/>
  <c r="U386" i="1"/>
  <c r="T386" i="1"/>
  <c r="S386" i="1"/>
  <c r="W385" i="1"/>
  <c r="V385" i="1"/>
  <c r="U385" i="1"/>
  <c r="T385" i="1"/>
  <c r="S385" i="1"/>
  <c r="W384" i="1"/>
  <c r="V384" i="1"/>
  <c r="U384" i="1"/>
  <c r="T384" i="1"/>
  <c r="S384" i="1"/>
  <c r="W383" i="1"/>
  <c r="V383" i="1"/>
  <c r="U383" i="1"/>
  <c r="T383" i="1"/>
  <c r="S383" i="1"/>
  <c r="W382" i="1"/>
  <c r="V382" i="1"/>
  <c r="U382" i="1"/>
  <c r="T382" i="1"/>
  <c r="S382" i="1"/>
  <c r="W381" i="1"/>
  <c r="V381" i="1"/>
  <c r="U381" i="1"/>
  <c r="T381" i="1"/>
  <c r="S381" i="1"/>
  <c r="W380" i="1"/>
  <c r="V380" i="1"/>
  <c r="U380" i="1"/>
  <c r="T380" i="1"/>
  <c r="S380" i="1"/>
  <c r="W379" i="1"/>
  <c r="V379" i="1"/>
  <c r="U379" i="1"/>
  <c r="T379" i="1"/>
  <c r="S379" i="1"/>
  <c r="W378" i="1"/>
  <c r="V378" i="1"/>
  <c r="U378" i="1"/>
  <c r="T378" i="1"/>
  <c r="S378" i="1"/>
  <c r="W377" i="1"/>
  <c r="V377" i="1"/>
  <c r="U377" i="1"/>
  <c r="T377" i="1"/>
  <c r="S377" i="1"/>
  <c r="W376" i="1"/>
  <c r="V376" i="1"/>
  <c r="U376" i="1"/>
  <c r="T376" i="1"/>
  <c r="S376" i="1"/>
  <c r="W375" i="1"/>
  <c r="V375" i="1"/>
  <c r="U375" i="1"/>
  <c r="T375" i="1"/>
  <c r="S375" i="1"/>
  <c r="W374" i="1"/>
  <c r="V374" i="1"/>
  <c r="U374" i="1"/>
  <c r="T374" i="1"/>
  <c r="S374" i="1"/>
  <c r="W373" i="1"/>
  <c r="V373" i="1"/>
  <c r="U373" i="1"/>
  <c r="T373" i="1"/>
  <c r="S373" i="1"/>
  <c r="W372" i="1"/>
  <c r="V372" i="1"/>
  <c r="U372" i="1"/>
  <c r="T372" i="1"/>
  <c r="S372" i="1"/>
  <c r="W371" i="1"/>
  <c r="V371" i="1"/>
  <c r="U371" i="1"/>
  <c r="T371" i="1"/>
  <c r="S371" i="1"/>
  <c r="W370" i="1"/>
  <c r="V370" i="1"/>
  <c r="U370" i="1"/>
  <c r="T370" i="1"/>
  <c r="S370" i="1"/>
  <c r="W369" i="1"/>
  <c r="V369" i="1"/>
  <c r="U369" i="1"/>
  <c r="T369" i="1"/>
  <c r="S369" i="1"/>
  <c r="W368" i="1"/>
  <c r="V368" i="1"/>
  <c r="U368" i="1"/>
  <c r="T368" i="1"/>
  <c r="S368" i="1"/>
  <c r="W367" i="1"/>
  <c r="V367" i="1"/>
  <c r="U367" i="1"/>
  <c r="T367" i="1"/>
  <c r="S367" i="1"/>
  <c r="W366" i="1"/>
  <c r="V366" i="1"/>
  <c r="U366" i="1"/>
  <c r="T366" i="1"/>
  <c r="S366" i="1"/>
  <c r="W365" i="1"/>
  <c r="V365" i="1"/>
  <c r="U365" i="1"/>
  <c r="T365" i="1"/>
  <c r="S365" i="1"/>
  <c r="W364" i="1"/>
  <c r="V364" i="1"/>
  <c r="U364" i="1"/>
  <c r="T364" i="1"/>
  <c r="S364" i="1"/>
  <c r="W363" i="1"/>
  <c r="V363" i="1"/>
  <c r="U363" i="1"/>
  <c r="T363" i="1"/>
  <c r="S363" i="1"/>
  <c r="W362" i="1"/>
  <c r="V362" i="1"/>
  <c r="U362" i="1"/>
  <c r="T362" i="1"/>
  <c r="S362" i="1"/>
  <c r="W361" i="1"/>
  <c r="V361" i="1"/>
  <c r="U361" i="1"/>
  <c r="T361" i="1"/>
  <c r="S361" i="1"/>
  <c r="W360" i="1"/>
  <c r="V360" i="1"/>
  <c r="U360" i="1"/>
  <c r="T360" i="1"/>
  <c r="S360" i="1"/>
  <c r="W359" i="1"/>
  <c r="V359" i="1"/>
  <c r="U359" i="1"/>
  <c r="T359" i="1"/>
  <c r="S359" i="1"/>
  <c r="W358" i="1"/>
  <c r="V358" i="1"/>
  <c r="U358" i="1"/>
  <c r="T358" i="1"/>
  <c r="S358" i="1"/>
  <c r="W357" i="1"/>
  <c r="V357" i="1"/>
  <c r="U357" i="1"/>
  <c r="T357" i="1"/>
  <c r="S357" i="1"/>
  <c r="W356" i="1"/>
  <c r="V356" i="1"/>
  <c r="U356" i="1"/>
  <c r="T356" i="1"/>
  <c r="S356" i="1"/>
  <c r="W355" i="1"/>
  <c r="V355" i="1"/>
  <c r="U355" i="1"/>
  <c r="T355" i="1"/>
  <c r="S355" i="1"/>
  <c r="W354" i="1"/>
  <c r="V354" i="1"/>
  <c r="U354" i="1"/>
  <c r="T354" i="1"/>
  <c r="S354" i="1"/>
  <c r="W353" i="1"/>
  <c r="V353" i="1"/>
  <c r="U353" i="1"/>
  <c r="T353" i="1"/>
  <c r="S353" i="1"/>
  <c r="W352" i="1"/>
  <c r="V352" i="1"/>
  <c r="U352" i="1"/>
  <c r="T352" i="1"/>
  <c r="S352" i="1"/>
  <c r="W351" i="1"/>
  <c r="V351" i="1"/>
  <c r="U351" i="1"/>
  <c r="T351" i="1"/>
  <c r="S351" i="1"/>
  <c r="W350" i="1"/>
  <c r="V350" i="1"/>
  <c r="U350" i="1"/>
  <c r="T350" i="1"/>
  <c r="S350" i="1"/>
  <c r="W349" i="1"/>
  <c r="V349" i="1"/>
  <c r="U349" i="1"/>
  <c r="T349" i="1"/>
  <c r="S349" i="1"/>
  <c r="W348" i="1"/>
  <c r="V348" i="1"/>
  <c r="U348" i="1"/>
  <c r="T348" i="1"/>
  <c r="S348" i="1"/>
  <c r="W347" i="1"/>
  <c r="V347" i="1"/>
  <c r="U347" i="1"/>
  <c r="T347" i="1"/>
  <c r="S347" i="1"/>
  <c r="W346" i="1"/>
  <c r="V346" i="1"/>
  <c r="U346" i="1"/>
  <c r="T346" i="1"/>
  <c r="S346" i="1"/>
  <c r="W345" i="1"/>
  <c r="V345" i="1"/>
  <c r="U345" i="1"/>
  <c r="T345" i="1"/>
  <c r="S345" i="1"/>
  <c r="W344" i="1"/>
  <c r="V344" i="1"/>
  <c r="U344" i="1"/>
  <c r="T344" i="1"/>
  <c r="S344" i="1"/>
  <c r="W343" i="1"/>
  <c r="V343" i="1"/>
  <c r="U343" i="1"/>
  <c r="T343" i="1"/>
  <c r="S343" i="1"/>
  <c r="W342" i="1"/>
  <c r="V342" i="1"/>
  <c r="U342" i="1"/>
  <c r="T342" i="1"/>
  <c r="S342" i="1"/>
  <c r="W341" i="1"/>
  <c r="V341" i="1"/>
  <c r="U341" i="1"/>
  <c r="T341" i="1"/>
  <c r="S341" i="1"/>
  <c r="W340" i="1"/>
  <c r="V340" i="1"/>
  <c r="U340" i="1"/>
  <c r="T340" i="1"/>
  <c r="S340" i="1"/>
  <c r="W339" i="1"/>
  <c r="V339" i="1"/>
  <c r="U339" i="1"/>
  <c r="T339" i="1"/>
  <c r="S339" i="1"/>
  <c r="W338" i="1"/>
  <c r="V338" i="1"/>
  <c r="U338" i="1"/>
  <c r="T338" i="1"/>
  <c r="S338" i="1"/>
  <c r="W337" i="1"/>
  <c r="V337" i="1"/>
  <c r="U337" i="1"/>
  <c r="T337" i="1"/>
  <c r="S337" i="1"/>
  <c r="W336" i="1"/>
  <c r="V336" i="1"/>
  <c r="U336" i="1"/>
  <c r="T336" i="1"/>
  <c r="S336" i="1"/>
  <c r="W335" i="1"/>
  <c r="V335" i="1"/>
  <c r="U335" i="1"/>
  <c r="T335" i="1"/>
  <c r="S335" i="1"/>
  <c r="W334" i="1"/>
  <c r="V334" i="1"/>
  <c r="U334" i="1"/>
  <c r="T334" i="1"/>
  <c r="S334" i="1"/>
  <c r="W333" i="1"/>
  <c r="V333" i="1"/>
  <c r="U333" i="1"/>
  <c r="T333" i="1"/>
  <c r="S333" i="1"/>
  <c r="W332" i="1"/>
  <c r="V332" i="1"/>
  <c r="U332" i="1"/>
  <c r="T332" i="1"/>
  <c r="S332" i="1"/>
  <c r="W331" i="1"/>
  <c r="V331" i="1"/>
  <c r="U331" i="1"/>
  <c r="T331" i="1"/>
  <c r="S331" i="1"/>
  <c r="W330" i="1"/>
  <c r="V330" i="1"/>
  <c r="U330" i="1"/>
  <c r="T330" i="1"/>
  <c r="S330" i="1"/>
  <c r="W329" i="1"/>
  <c r="V329" i="1"/>
  <c r="U329" i="1"/>
  <c r="T329" i="1"/>
  <c r="S329" i="1"/>
  <c r="W328" i="1"/>
  <c r="V328" i="1"/>
  <c r="U328" i="1"/>
  <c r="T328" i="1"/>
  <c r="S328" i="1"/>
  <c r="W327" i="1"/>
  <c r="V327" i="1"/>
  <c r="U327" i="1"/>
  <c r="T327" i="1"/>
  <c r="S327" i="1"/>
  <c r="W326" i="1"/>
  <c r="V326" i="1"/>
  <c r="U326" i="1"/>
  <c r="T326" i="1"/>
  <c r="S326" i="1"/>
  <c r="W325" i="1"/>
  <c r="V325" i="1"/>
  <c r="U325" i="1"/>
  <c r="T325" i="1"/>
  <c r="S325" i="1"/>
  <c r="W324" i="1"/>
  <c r="V324" i="1"/>
  <c r="U324" i="1"/>
  <c r="T324" i="1"/>
  <c r="S324" i="1"/>
  <c r="W323" i="1"/>
  <c r="V323" i="1"/>
  <c r="U323" i="1"/>
  <c r="T323" i="1"/>
  <c r="S323" i="1"/>
  <c r="W322" i="1"/>
  <c r="V322" i="1"/>
  <c r="U322" i="1"/>
  <c r="T322" i="1"/>
  <c r="S322" i="1"/>
  <c r="W321" i="1"/>
  <c r="V321" i="1"/>
  <c r="U321" i="1"/>
  <c r="T321" i="1"/>
  <c r="S321" i="1"/>
  <c r="W320" i="1"/>
  <c r="V320" i="1"/>
  <c r="U320" i="1"/>
  <c r="T320" i="1"/>
  <c r="S320" i="1"/>
  <c r="W319" i="1"/>
  <c r="V319" i="1"/>
  <c r="U319" i="1"/>
  <c r="T319" i="1"/>
  <c r="S319" i="1"/>
  <c r="W318" i="1"/>
  <c r="V318" i="1"/>
  <c r="U318" i="1"/>
  <c r="T318" i="1"/>
  <c r="S318" i="1"/>
  <c r="W317" i="1"/>
  <c r="V317" i="1"/>
  <c r="U317" i="1"/>
  <c r="T317" i="1"/>
  <c r="S317" i="1"/>
  <c r="W316" i="1"/>
  <c r="V316" i="1"/>
  <c r="U316" i="1"/>
  <c r="T316" i="1"/>
  <c r="S316" i="1"/>
  <c r="W315" i="1"/>
  <c r="V315" i="1"/>
  <c r="U315" i="1"/>
  <c r="T315" i="1"/>
  <c r="S315" i="1"/>
  <c r="W314" i="1"/>
  <c r="V314" i="1"/>
  <c r="U314" i="1"/>
  <c r="T314" i="1"/>
  <c r="S314" i="1"/>
  <c r="W313" i="1"/>
  <c r="V313" i="1"/>
  <c r="U313" i="1"/>
  <c r="T313" i="1"/>
  <c r="S313" i="1"/>
  <c r="W312" i="1"/>
  <c r="V312" i="1"/>
  <c r="U312" i="1"/>
  <c r="T312" i="1"/>
  <c r="S312" i="1"/>
  <c r="W311" i="1"/>
  <c r="V311" i="1"/>
  <c r="U311" i="1"/>
  <c r="T311" i="1"/>
  <c r="S311" i="1"/>
  <c r="W310" i="1"/>
  <c r="V310" i="1"/>
  <c r="U310" i="1"/>
  <c r="T310" i="1"/>
  <c r="S310" i="1"/>
  <c r="W309" i="1"/>
  <c r="V309" i="1"/>
  <c r="U309" i="1"/>
  <c r="T309" i="1"/>
  <c r="S309" i="1"/>
  <c r="W308" i="1"/>
  <c r="V308" i="1"/>
  <c r="U308" i="1"/>
  <c r="T308" i="1"/>
  <c r="S308" i="1"/>
  <c r="W307" i="1"/>
  <c r="V307" i="1"/>
  <c r="U307" i="1"/>
  <c r="T307" i="1"/>
  <c r="S307" i="1"/>
  <c r="W306" i="1"/>
  <c r="V306" i="1"/>
  <c r="U306" i="1"/>
  <c r="T306" i="1"/>
  <c r="S306" i="1"/>
  <c r="W305" i="1"/>
  <c r="V305" i="1"/>
  <c r="U305" i="1"/>
  <c r="T305" i="1"/>
  <c r="S305" i="1"/>
  <c r="W304" i="1"/>
  <c r="V304" i="1"/>
  <c r="U304" i="1"/>
  <c r="T304" i="1"/>
  <c r="S304" i="1"/>
  <c r="W303" i="1"/>
  <c r="V303" i="1"/>
  <c r="U303" i="1"/>
  <c r="T303" i="1"/>
  <c r="S303" i="1"/>
  <c r="W302" i="1"/>
  <c r="V302" i="1"/>
  <c r="U302" i="1"/>
  <c r="T302" i="1"/>
  <c r="S302" i="1"/>
  <c r="W301" i="1"/>
  <c r="V301" i="1"/>
  <c r="U301" i="1"/>
  <c r="T301" i="1"/>
  <c r="S301" i="1"/>
  <c r="W300" i="1"/>
  <c r="V300" i="1"/>
  <c r="U300" i="1"/>
  <c r="T300" i="1"/>
  <c r="S300" i="1"/>
  <c r="W299" i="1"/>
  <c r="V299" i="1"/>
  <c r="U299" i="1"/>
  <c r="T299" i="1"/>
  <c r="S299" i="1"/>
  <c r="W298" i="1"/>
  <c r="V298" i="1"/>
  <c r="U298" i="1"/>
  <c r="T298" i="1"/>
  <c r="S298" i="1"/>
  <c r="W297" i="1"/>
  <c r="V297" i="1"/>
  <c r="U297" i="1"/>
  <c r="T297" i="1"/>
  <c r="S297" i="1"/>
  <c r="W296" i="1"/>
  <c r="V296" i="1"/>
  <c r="U296" i="1"/>
  <c r="T296" i="1"/>
  <c r="S296" i="1"/>
  <c r="W295" i="1"/>
  <c r="V295" i="1"/>
  <c r="U295" i="1"/>
  <c r="T295" i="1"/>
  <c r="S295" i="1"/>
  <c r="W294" i="1"/>
  <c r="V294" i="1"/>
  <c r="U294" i="1"/>
  <c r="T294" i="1"/>
  <c r="S294" i="1"/>
  <c r="W293" i="1"/>
  <c r="V293" i="1"/>
  <c r="U293" i="1"/>
  <c r="T293" i="1"/>
  <c r="S293" i="1"/>
  <c r="W292" i="1"/>
  <c r="V292" i="1"/>
  <c r="U292" i="1"/>
  <c r="T292" i="1"/>
  <c r="S292" i="1"/>
  <c r="W291" i="1"/>
  <c r="V291" i="1"/>
  <c r="U291" i="1"/>
  <c r="T291" i="1"/>
  <c r="S291" i="1"/>
  <c r="W290" i="1"/>
  <c r="V290" i="1"/>
  <c r="U290" i="1"/>
  <c r="T290" i="1"/>
  <c r="S290" i="1"/>
  <c r="W289" i="1"/>
  <c r="V289" i="1"/>
  <c r="U289" i="1"/>
  <c r="T289" i="1"/>
  <c r="S289" i="1"/>
  <c r="W288" i="1"/>
  <c r="V288" i="1"/>
  <c r="U288" i="1"/>
  <c r="T288" i="1"/>
  <c r="S288" i="1"/>
  <c r="W287" i="1"/>
  <c r="V287" i="1"/>
  <c r="U287" i="1"/>
  <c r="T287" i="1"/>
  <c r="S287" i="1"/>
  <c r="W286" i="1"/>
  <c r="V286" i="1"/>
  <c r="U286" i="1"/>
  <c r="T286" i="1"/>
  <c r="S286" i="1"/>
  <c r="W285" i="1"/>
  <c r="V285" i="1"/>
  <c r="U285" i="1"/>
  <c r="T285" i="1"/>
  <c r="S285" i="1"/>
  <c r="W284" i="1"/>
  <c r="V284" i="1"/>
  <c r="U284" i="1"/>
  <c r="T284" i="1"/>
  <c r="S284" i="1"/>
  <c r="W283" i="1"/>
  <c r="V283" i="1"/>
  <c r="U283" i="1"/>
  <c r="T283" i="1"/>
  <c r="S283" i="1"/>
  <c r="W282" i="1"/>
  <c r="V282" i="1"/>
  <c r="U282" i="1"/>
  <c r="T282" i="1"/>
  <c r="S282" i="1"/>
  <c r="W281" i="1"/>
  <c r="V281" i="1"/>
  <c r="U281" i="1"/>
  <c r="T281" i="1"/>
  <c r="S281" i="1"/>
  <c r="W280" i="1"/>
  <c r="V280" i="1"/>
  <c r="U280" i="1"/>
  <c r="T280" i="1"/>
  <c r="S280" i="1"/>
  <c r="W279" i="1"/>
  <c r="V279" i="1"/>
  <c r="U279" i="1"/>
  <c r="T279" i="1"/>
  <c r="S279" i="1"/>
  <c r="W278" i="1"/>
  <c r="V278" i="1"/>
  <c r="U278" i="1"/>
  <c r="T278" i="1"/>
  <c r="S278" i="1"/>
  <c r="W277" i="1"/>
  <c r="V277" i="1"/>
  <c r="U277" i="1"/>
  <c r="T277" i="1"/>
  <c r="S277" i="1"/>
  <c r="W276" i="1"/>
  <c r="V276" i="1"/>
  <c r="U276" i="1"/>
  <c r="T276" i="1"/>
  <c r="S276" i="1"/>
  <c r="W275" i="1"/>
  <c r="V275" i="1"/>
  <c r="U275" i="1"/>
  <c r="T275" i="1"/>
  <c r="S275" i="1"/>
  <c r="W274" i="1"/>
  <c r="V274" i="1"/>
  <c r="U274" i="1"/>
  <c r="T274" i="1"/>
  <c r="S274" i="1"/>
  <c r="W273" i="1"/>
  <c r="V273" i="1"/>
  <c r="U273" i="1"/>
  <c r="T273" i="1"/>
  <c r="S273" i="1"/>
  <c r="W272" i="1"/>
  <c r="V272" i="1"/>
  <c r="U272" i="1"/>
  <c r="T272" i="1"/>
  <c r="S272" i="1"/>
  <c r="W271" i="1"/>
  <c r="V271" i="1"/>
  <c r="U271" i="1"/>
  <c r="T271" i="1"/>
  <c r="S271" i="1"/>
  <c r="W270" i="1"/>
  <c r="V270" i="1"/>
  <c r="U270" i="1"/>
  <c r="T270" i="1"/>
  <c r="S270" i="1"/>
  <c r="W269" i="1"/>
  <c r="V269" i="1"/>
  <c r="U269" i="1"/>
  <c r="T269" i="1"/>
  <c r="S269" i="1"/>
  <c r="W268" i="1"/>
  <c r="V268" i="1"/>
  <c r="U268" i="1"/>
  <c r="T268" i="1"/>
  <c r="S268" i="1"/>
  <c r="W267" i="1"/>
  <c r="V267" i="1"/>
  <c r="U267" i="1"/>
  <c r="T267" i="1"/>
  <c r="S267" i="1"/>
  <c r="W266" i="1"/>
  <c r="V266" i="1"/>
  <c r="U266" i="1"/>
  <c r="T266" i="1"/>
  <c r="S266" i="1"/>
  <c r="W265" i="1"/>
  <c r="V265" i="1"/>
  <c r="U265" i="1"/>
  <c r="T265" i="1"/>
  <c r="S265" i="1"/>
  <c r="W264" i="1"/>
  <c r="V264" i="1"/>
  <c r="U264" i="1"/>
  <c r="T264" i="1"/>
  <c r="S264" i="1"/>
  <c r="W263" i="1"/>
  <c r="V263" i="1"/>
  <c r="U263" i="1"/>
  <c r="T263" i="1"/>
  <c r="S263" i="1"/>
  <c r="W262" i="1"/>
  <c r="V262" i="1"/>
  <c r="U262" i="1"/>
  <c r="T262" i="1"/>
  <c r="S262" i="1"/>
  <c r="W261" i="1"/>
  <c r="V261" i="1"/>
  <c r="U261" i="1"/>
  <c r="T261" i="1"/>
  <c r="S261" i="1"/>
  <c r="W260" i="1"/>
  <c r="V260" i="1"/>
  <c r="U260" i="1"/>
  <c r="T260" i="1"/>
  <c r="S260" i="1"/>
  <c r="W259" i="1"/>
  <c r="V259" i="1"/>
  <c r="U259" i="1"/>
  <c r="T259" i="1"/>
  <c r="S259" i="1"/>
  <c r="W258" i="1"/>
  <c r="V258" i="1"/>
  <c r="U258" i="1"/>
  <c r="T258" i="1"/>
  <c r="S258" i="1"/>
  <c r="W257" i="1"/>
  <c r="V257" i="1"/>
  <c r="U257" i="1"/>
  <c r="T257" i="1"/>
  <c r="S257" i="1"/>
  <c r="W256" i="1"/>
  <c r="V256" i="1"/>
  <c r="U256" i="1"/>
  <c r="T256" i="1"/>
  <c r="S256" i="1"/>
  <c r="W255" i="1"/>
  <c r="V255" i="1"/>
  <c r="U255" i="1"/>
  <c r="T255" i="1"/>
  <c r="S255" i="1"/>
  <c r="W254" i="1"/>
  <c r="V254" i="1"/>
  <c r="U254" i="1"/>
  <c r="T254" i="1"/>
  <c r="S254" i="1"/>
  <c r="W253" i="1"/>
  <c r="V253" i="1"/>
  <c r="U253" i="1"/>
  <c r="T253" i="1"/>
  <c r="S253" i="1"/>
  <c r="W252" i="1"/>
  <c r="V252" i="1"/>
  <c r="U252" i="1"/>
  <c r="T252" i="1"/>
  <c r="S252" i="1"/>
  <c r="W251" i="1"/>
  <c r="V251" i="1"/>
  <c r="U251" i="1"/>
  <c r="T251" i="1"/>
  <c r="S251" i="1"/>
  <c r="W250" i="1"/>
  <c r="V250" i="1"/>
  <c r="U250" i="1"/>
  <c r="T250" i="1"/>
  <c r="S250" i="1"/>
  <c r="W249" i="1"/>
  <c r="V249" i="1"/>
  <c r="U249" i="1"/>
  <c r="T249" i="1"/>
  <c r="S249" i="1"/>
  <c r="W248" i="1"/>
  <c r="V248" i="1"/>
  <c r="U248" i="1"/>
  <c r="T248" i="1"/>
  <c r="S248" i="1"/>
  <c r="W247" i="1"/>
  <c r="V247" i="1"/>
  <c r="U247" i="1"/>
  <c r="T247" i="1"/>
  <c r="S247" i="1"/>
  <c r="W246" i="1"/>
  <c r="V246" i="1"/>
  <c r="U246" i="1"/>
  <c r="T246" i="1"/>
  <c r="S246" i="1"/>
  <c r="W245" i="1"/>
  <c r="V245" i="1"/>
  <c r="U245" i="1"/>
  <c r="T245" i="1"/>
  <c r="S245" i="1"/>
  <c r="W244" i="1"/>
  <c r="V244" i="1"/>
  <c r="U244" i="1"/>
  <c r="T244" i="1"/>
  <c r="S244" i="1"/>
  <c r="W243" i="1"/>
  <c r="V243" i="1"/>
  <c r="U243" i="1"/>
  <c r="T243" i="1"/>
  <c r="S243" i="1"/>
  <c r="W242" i="1"/>
  <c r="V242" i="1"/>
  <c r="U242" i="1"/>
  <c r="T242" i="1"/>
  <c r="S242" i="1"/>
  <c r="W241" i="1"/>
  <c r="V241" i="1"/>
  <c r="U241" i="1"/>
  <c r="T241" i="1"/>
  <c r="S241" i="1"/>
  <c r="W240" i="1"/>
  <c r="V240" i="1"/>
  <c r="U240" i="1"/>
  <c r="T240" i="1"/>
  <c r="S240" i="1"/>
  <c r="W239" i="1"/>
  <c r="V239" i="1"/>
  <c r="U239" i="1"/>
  <c r="T239" i="1"/>
  <c r="S239" i="1"/>
  <c r="W238" i="1"/>
  <c r="V238" i="1"/>
  <c r="U238" i="1"/>
  <c r="T238" i="1"/>
  <c r="S238" i="1"/>
  <c r="W237" i="1"/>
  <c r="V237" i="1"/>
  <c r="U237" i="1"/>
  <c r="T237" i="1"/>
  <c r="S237" i="1"/>
  <c r="W236" i="1"/>
  <c r="V236" i="1"/>
  <c r="U236" i="1"/>
  <c r="T236" i="1"/>
  <c r="S236" i="1"/>
  <c r="W235" i="1"/>
  <c r="V235" i="1"/>
  <c r="U235" i="1"/>
  <c r="T235" i="1"/>
  <c r="S235" i="1"/>
  <c r="W234" i="1"/>
  <c r="V234" i="1"/>
  <c r="U234" i="1"/>
  <c r="T234" i="1"/>
  <c r="S234" i="1"/>
  <c r="W233" i="1"/>
  <c r="V233" i="1"/>
  <c r="U233" i="1"/>
  <c r="T233" i="1"/>
  <c r="S233" i="1"/>
  <c r="W232" i="1"/>
  <c r="V232" i="1"/>
  <c r="U232" i="1"/>
  <c r="T232" i="1"/>
  <c r="S232" i="1"/>
  <c r="W231" i="1"/>
  <c r="V231" i="1"/>
  <c r="U231" i="1"/>
  <c r="T231" i="1"/>
  <c r="S231" i="1"/>
  <c r="W230" i="1"/>
  <c r="V230" i="1"/>
  <c r="U230" i="1"/>
  <c r="T230" i="1"/>
  <c r="S230" i="1"/>
  <c r="W229" i="1"/>
  <c r="V229" i="1"/>
  <c r="U229" i="1"/>
  <c r="T229" i="1"/>
  <c r="S229" i="1"/>
  <c r="W228" i="1"/>
  <c r="V228" i="1"/>
  <c r="U228" i="1"/>
  <c r="T228" i="1"/>
  <c r="S228" i="1"/>
  <c r="W227" i="1"/>
  <c r="V227" i="1"/>
  <c r="U227" i="1"/>
  <c r="T227" i="1"/>
  <c r="S227" i="1"/>
  <c r="W226" i="1"/>
  <c r="V226" i="1"/>
  <c r="U226" i="1"/>
  <c r="T226" i="1"/>
  <c r="S226" i="1"/>
  <c r="W225" i="1"/>
  <c r="V225" i="1"/>
  <c r="U225" i="1"/>
  <c r="T225" i="1"/>
  <c r="S225" i="1"/>
  <c r="W224" i="1"/>
  <c r="V224" i="1"/>
  <c r="U224" i="1"/>
  <c r="T224" i="1"/>
  <c r="S224" i="1"/>
  <c r="W223" i="1"/>
  <c r="V223" i="1"/>
  <c r="U223" i="1"/>
  <c r="T223" i="1"/>
  <c r="S223" i="1"/>
  <c r="W222" i="1"/>
  <c r="V222" i="1"/>
  <c r="U222" i="1"/>
  <c r="T222" i="1"/>
  <c r="S222" i="1"/>
  <c r="W221" i="1"/>
  <c r="V221" i="1"/>
  <c r="U221" i="1"/>
  <c r="T221" i="1"/>
  <c r="S221" i="1"/>
  <c r="W220" i="1"/>
  <c r="V220" i="1"/>
  <c r="U220" i="1"/>
  <c r="T220" i="1"/>
  <c r="S220" i="1"/>
  <c r="W219" i="1"/>
  <c r="V219" i="1"/>
  <c r="U219" i="1"/>
  <c r="T219" i="1"/>
  <c r="S219" i="1"/>
  <c r="W218" i="1"/>
  <c r="V218" i="1"/>
  <c r="U218" i="1"/>
  <c r="T218" i="1"/>
  <c r="S218" i="1"/>
  <c r="W217" i="1"/>
  <c r="V217" i="1"/>
  <c r="U217" i="1"/>
  <c r="T217" i="1"/>
  <c r="S217" i="1"/>
  <c r="W216" i="1"/>
  <c r="V216" i="1"/>
  <c r="U216" i="1"/>
  <c r="T216" i="1"/>
  <c r="S216" i="1"/>
  <c r="W215" i="1"/>
  <c r="V215" i="1"/>
  <c r="U215" i="1"/>
  <c r="T215" i="1"/>
  <c r="S215" i="1"/>
  <c r="W214" i="1"/>
  <c r="V214" i="1"/>
  <c r="U214" i="1"/>
  <c r="T214" i="1"/>
  <c r="S214" i="1"/>
  <c r="W213" i="1"/>
  <c r="V213" i="1"/>
  <c r="U213" i="1"/>
  <c r="T213" i="1"/>
  <c r="S213" i="1"/>
  <c r="W212" i="1"/>
  <c r="V212" i="1"/>
  <c r="U212" i="1"/>
  <c r="T212" i="1"/>
  <c r="S212" i="1"/>
  <c r="W211" i="1"/>
  <c r="V211" i="1"/>
  <c r="U211" i="1"/>
  <c r="T211" i="1"/>
  <c r="S211" i="1"/>
  <c r="W210" i="1"/>
  <c r="V210" i="1"/>
  <c r="U210" i="1"/>
  <c r="T210" i="1"/>
  <c r="S210" i="1"/>
  <c r="W209" i="1"/>
  <c r="V209" i="1"/>
  <c r="U209" i="1"/>
  <c r="T209" i="1"/>
  <c r="S209" i="1"/>
  <c r="W208" i="1"/>
  <c r="V208" i="1"/>
  <c r="U208" i="1"/>
  <c r="T208" i="1"/>
  <c r="S208" i="1"/>
  <c r="W207" i="1"/>
  <c r="V207" i="1"/>
  <c r="U207" i="1"/>
  <c r="T207" i="1"/>
  <c r="S207" i="1"/>
  <c r="W206" i="1"/>
  <c r="V206" i="1"/>
  <c r="U206" i="1"/>
  <c r="T206" i="1"/>
  <c r="S206" i="1"/>
  <c r="W205" i="1"/>
  <c r="V205" i="1"/>
  <c r="U205" i="1"/>
  <c r="T205" i="1"/>
  <c r="S205" i="1"/>
  <c r="W204" i="1"/>
  <c r="V204" i="1"/>
  <c r="U204" i="1"/>
  <c r="T204" i="1"/>
  <c r="S204" i="1"/>
  <c r="W203" i="1"/>
  <c r="V203" i="1"/>
  <c r="U203" i="1"/>
  <c r="T203" i="1"/>
  <c r="S203" i="1"/>
  <c r="W202" i="1"/>
  <c r="V202" i="1"/>
  <c r="U202" i="1"/>
  <c r="T202" i="1"/>
  <c r="S202" i="1"/>
  <c r="W201" i="1"/>
  <c r="V201" i="1"/>
  <c r="U201" i="1"/>
  <c r="T201" i="1"/>
  <c r="S201" i="1"/>
  <c r="W200" i="1"/>
  <c r="V200" i="1"/>
  <c r="U200" i="1"/>
  <c r="T200" i="1"/>
  <c r="S200" i="1"/>
  <c r="W199" i="1"/>
  <c r="V199" i="1"/>
  <c r="U199" i="1"/>
  <c r="T199" i="1"/>
  <c r="S199" i="1"/>
  <c r="W198" i="1"/>
  <c r="V198" i="1"/>
  <c r="U198" i="1"/>
  <c r="T198" i="1"/>
  <c r="S198" i="1"/>
  <c r="W197" i="1"/>
  <c r="V197" i="1"/>
  <c r="U197" i="1"/>
  <c r="T197" i="1"/>
  <c r="S197" i="1"/>
  <c r="W196" i="1"/>
  <c r="V196" i="1"/>
  <c r="U196" i="1"/>
  <c r="T196" i="1"/>
  <c r="S196" i="1"/>
  <c r="W195" i="1"/>
  <c r="V195" i="1"/>
  <c r="U195" i="1"/>
  <c r="T195" i="1"/>
  <c r="S195" i="1"/>
  <c r="W194" i="1"/>
  <c r="V194" i="1"/>
  <c r="U194" i="1"/>
  <c r="T194" i="1"/>
  <c r="S194" i="1"/>
  <c r="W193" i="1"/>
  <c r="V193" i="1"/>
  <c r="U193" i="1"/>
  <c r="T193" i="1"/>
  <c r="S193" i="1"/>
  <c r="W192" i="1"/>
  <c r="V192" i="1"/>
  <c r="U192" i="1"/>
  <c r="T192" i="1"/>
  <c r="S192" i="1"/>
  <c r="W191" i="1"/>
  <c r="V191" i="1"/>
  <c r="U191" i="1"/>
  <c r="T191" i="1"/>
  <c r="S191" i="1"/>
  <c r="W190" i="1"/>
  <c r="V190" i="1"/>
  <c r="U190" i="1"/>
  <c r="T190" i="1"/>
  <c r="S190" i="1"/>
  <c r="W189" i="1"/>
  <c r="V189" i="1"/>
  <c r="U189" i="1"/>
  <c r="T189" i="1"/>
  <c r="S189" i="1"/>
  <c r="W188" i="1"/>
  <c r="V188" i="1"/>
  <c r="U188" i="1"/>
  <c r="T188" i="1"/>
  <c r="S188" i="1"/>
  <c r="W187" i="1"/>
  <c r="V187" i="1"/>
  <c r="U187" i="1"/>
  <c r="T187" i="1"/>
  <c r="S187" i="1"/>
  <c r="W186" i="1"/>
  <c r="V186" i="1"/>
  <c r="U186" i="1"/>
  <c r="T186" i="1"/>
  <c r="S186" i="1"/>
  <c r="W185" i="1"/>
  <c r="V185" i="1"/>
  <c r="U185" i="1"/>
  <c r="T185" i="1"/>
  <c r="S185" i="1"/>
  <c r="W184" i="1"/>
  <c r="V184" i="1"/>
  <c r="U184" i="1"/>
  <c r="T184" i="1"/>
  <c r="S184" i="1"/>
  <c r="W183" i="1"/>
  <c r="V183" i="1"/>
  <c r="U183" i="1"/>
  <c r="T183" i="1"/>
  <c r="S183" i="1"/>
  <c r="W182" i="1"/>
  <c r="V182" i="1"/>
  <c r="U182" i="1"/>
  <c r="T182" i="1"/>
  <c r="S182" i="1"/>
  <c r="W181" i="1"/>
  <c r="V181" i="1"/>
  <c r="U181" i="1"/>
  <c r="T181" i="1"/>
  <c r="S181" i="1"/>
  <c r="W180" i="1"/>
  <c r="V180" i="1"/>
  <c r="U180" i="1"/>
  <c r="T180" i="1"/>
  <c r="S180" i="1"/>
  <c r="W179" i="1"/>
  <c r="V179" i="1"/>
  <c r="U179" i="1"/>
  <c r="T179" i="1"/>
  <c r="S179" i="1"/>
  <c r="W178" i="1"/>
  <c r="V178" i="1"/>
  <c r="U178" i="1"/>
  <c r="T178" i="1"/>
  <c r="S178" i="1"/>
  <c r="W177" i="1"/>
  <c r="V177" i="1"/>
  <c r="U177" i="1"/>
  <c r="T177" i="1"/>
  <c r="S177" i="1"/>
  <c r="W176" i="1"/>
  <c r="V176" i="1"/>
  <c r="U176" i="1"/>
  <c r="T176" i="1"/>
  <c r="S176" i="1"/>
  <c r="W175" i="1"/>
  <c r="V175" i="1"/>
  <c r="U175" i="1"/>
  <c r="T175" i="1"/>
  <c r="S175" i="1"/>
  <c r="W174" i="1"/>
  <c r="V174" i="1"/>
  <c r="U174" i="1"/>
  <c r="T174" i="1"/>
  <c r="S174" i="1"/>
  <c r="W173" i="1"/>
  <c r="V173" i="1"/>
  <c r="U173" i="1"/>
  <c r="T173" i="1"/>
  <c r="S173" i="1"/>
  <c r="W172" i="1"/>
  <c r="V172" i="1"/>
  <c r="U172" i="1"/>
  <c r="T172" i="1"/>
  <c r="S172" i="1"/>
  <c r="W171" i="1"/>
  <c r="V171" i="1"/>
  <c r="U171" i="1"/>
  <c r="T171" i="1"/>
  <c r="S171" i="1"/>
  <c r="W170" i="1"/>
  <c r="V170" i="1"/>
  <c r="U170" i="1"/>
  <c r="T170" i="1"/>
  <c r="S170" i="1"/>
  <c r="W169" i="1"/>
  <c r="V169" i="1"/>
  <c r="U169" i="1"/>
  <c r="T169" i="1"/>
  <c r="S169" i="1"/>
  <c r="W168" i="1"/>
  <c r="V168" i="1"/>
  <c r="U168" i="1"/>
  <c r="T168" i="1"/>
  <c r="S168" i="1"/>
  <c r="W167" i="1"/>
  <c r="V167" i="1"/>
  <c r="U167" i="1"/>
  <c r="T167" i="1"/>
  <c r="S167" i="1"/>
  <c r="W166" i="1"/>
  <c r="V166" i="1"/>
  <c r="U166" i="1"/>
  <c r="T166" i="1"/>
  <c r="S166" i="1"/>
  <c r="W165" i="1"/>
  <c r="V165" i="1"/>
  <c r="U165" i="1"/>
  <c r="T165" i="1"/>
  <c r="S165" i="1"/>
  <c r="W164" i="1"/>
  <c r="V164" i="1"/>
  <c r="U164" i="1"/>
  <c r="T164" i="1"/>
  <c r="S164" i="1"/>
  <c r="W163" i="1"/>
  <c r="V163" i="1"/>
  <c r="U163" i="1"/>
  <c r="T163" i="1"/>
  <c r="S163" i="1"/>
  <c r="W162" i="1"/>
  <c r="V162" i="1"/>
  <c r="U162" i="1"/>
  <c r="T162" i="1"/>
  <c r="S162" i="1"/>
  <c r="W161" i="1"/>
  <c r="V161" i="1"/>
  <c r="U161" i="1"/>
  <c r="T161" i="1"/>
  <c r="S161" i="1"/>
  <c r="W160" i="1"/>
  <c r="V160" i="1"/>
  <c r="U160" i="1"/>
  <c r="T160" i="1"/>
  <c r="S160" i="1"/>
  <c r="W159" i="1"/>
  <c r="V159" i="1"/>
  <c r="U159" i="1"/>
  <c r="T159" i="1"/>
  <c r="S159" i="1"/>
  <c r="W158" i="1"/>
  <c r="V158" i="1"/>
  <c r="U158" i="1"/>
  <c r="T158" i="1"/>
  <c r="S158" i="1"/>
  <c r="W157" i="1"/>
  <c r="V157" i="1"/>
  <c r="U157" i="1"/>
  <c r="T157" i="1"/>
  <c r="S157" i="1"/>
  <c r="W156" i="1"/>
  <c r="V156" i="1"/>
  <c r="U156" i="1"/>
  <c r="T156" i="1"/>
  <c r="S156" i="1"/>
  <c r="W155" i="1"/>
  <c r="V155" i="1"/>
  <c r="U155" i="1"/>
  <c r="T155" i="1"/>
  <c r="S155" i="1"/>
  <c r="W154" i="1"/>
  <c r="V154" i="1"/>
  <c r="U154" i="1"/>
  <c r="T154" i="1"/>
  <c r="S154" i="1"/>
  <c r="W153" i="1"/>
  <c r="V153" i="1"/>
  <c r="U153" i="1"/>
  <c r="T153" i="1"/>
  <c r="S153" i="1"/>
  <c r="W152" i="1"/>
  <c r="V152" i="1"/>
  <c r="U152" i="1"/>
  <c r="T152" i="1"/>
  <c r="S152" i="1"/>
  <c r="W151" i="1"/>
  <c r="V151" i="1"/>
  <c r="U151" i="1"/>
  <c r="T151" i="1"/>
  <c r="S151" i="1"/>
  <c r="W150" i="1"/>
  <c r="V150" i="1"/>
  <c r="U150" i="1"/>
  <c r="T150" i="1"/>
  <c r="S150" i="1"/>
  <c r="W149" i="1"/>
  <c r="V149" i="1"/>
  <c r="U149" i="1"/>
  <c r="T149" i="1"/>
  <c r="S149" i="1"/>
  <c r="W148" i="1"/>
  <c r="V148" i="1"/>
  <c r="U148" i="1"/>
  <c r="T148" i="1"/>
  <c r="S148" i="1"/>
  <c r="W147" i="1"/>
  <c r="V147" i="1"/>
  <c r="U147" i="1"/>
  <c r="T147" i="1"/>
  <c r="S147" i="1"/>
  <c r="W146" i="1"/>
  <c r="V146" i="1"/>
  <c r="U146" i="1"/>
  <c r="T146" i="1"/>
  <c r="S146" i="1"/>
  <c r="W145" i="1"/>
  <c r="V145" i="1"/>
  <c r="U145" i="1"/>
  <c r="T145" i="1"/>
  <c r="S145" i="1"/>
  <c r="W144" i="1"/>
  <c r="V144" i="1"/>
  <c r="U144" i="1"/>
  <c r="T144" i="1"/>
  <c r="S144" i="1"/>
  <c r="W143" i="1"/>
  <c r="V143" i="1"/>
  <c r="U143" i="1"/>
  <c r="T143" i="1"/>
  <c r="S143" i="1"/>
  <c r="W142" i="1"/>
  <c r="V142" i="1"/>
  <c r="U142" i="1"/>
  <c r="T142" i="1"/>
  <c r="S142" i="1"/>
  <c r="W141" i="1"/>
  <c r="V141" i="1"/>
  <c r="U141" i="1"/>
  <c r="T141" i="1"/>
  <c r="S141" i="1"/>
  <c r="W140" i="1"/>
  <c r="V140" i="1"/>
  <c r="U140" i="1"/>
  <c r="T140" i="1"/>
  <c r="S140" i="1"/>
  <c r="W139" i="1"/>
  <c r="V139" i="1"/>
  <c r="U139" i="1"/>
  <c r="T139" i="1"/>
  <c r="S139" i="1"/>
  <c r="W138" i="1"/>
  <c r="V138" i="1"/>
  <c r="U138" i="1"/>
  <c r="T138" i="1"/>
  <c r="S138" i="1"/>
  <c r="W137" i="1"/>
  <c r="V137" i="1"/>
  <c r="U137" i="1"/>
  <c r="T137" i="1"/>
  <c r="S137" i="1"/>
  <c r="W136" i="1"/>
  <c r="V136" i="1"/>
  <c r="U136" i="1"/>
  <c r="T136" i="1"/>
  <c r="S136" i="1"/>
  <c r="W135" i="1"/>
  <c r="V135" i="1"/>
  <c r="U135" i="1"/>
  <c r="T135" i="1"/>
  <c r="S135" i="1"/>
  <c r="W134" i="1"/>
  <c r="V134" i="1"/>
  <c r="U134" i="1"/>
  <c r="T134" i="1"/>
  <c r="S134" i="1"/>
  <c r="W133" i="1"/>
  <c r="V133" i="1"/>
  <c r="U133" i="1"/>
  <c r="T133" i="1"/>
  <c r="S133" i="1"/>
  <c r="W132" i="1"/>
  <c r="V132" i="1"/>
  <c r="U132" i="1"/>
  <c r="T132" i="1"/>
  <c r="S132" i="1"/>
  <c r="W131" i="1"/>
  <c r="V131" i="1"/>
  <c r="U131" i="1"/>
  <c r="T131" i="1"/>
  <c r="S131" i="1"/>
  <c r="W130" i="1"/>
  <c r="V130" i="1"/>
  <c r="U130" i="1"/>
  <c r="T130" i="1"/>
  <c r="S130" i="1"/>
  <c r="W129" i="1"/>
  <c r="V129" i="1"/>
  <c r="U129" i="1"/>
  <c r="T129" i="1"/>
  <c r="S129" i="1"/>
  <c r="W128" i="1"/>
  <c r="V128" i="1"/>
  <c r="U128" i="1"/>
  <c r="T128" i="1"/>
  <c r="S128" i="1"/>
  <c r="W127" i="1"/>
  <c r="V127" i="1"/>
  <c r="U127" i="1"/>
  <c r="T127" i="1"/>
  <c r="S127" i="1"/>
  <c r="W126" i="1"/>
  <c r="V126" i="1"/>
  <c r="U126" i="1"/>
  <c r="T126" i="1"/>
  <c r="S126" i="1"/>
  <c r="W125" i="1"/>
  <c r="V125" i="1"/>
  <c r="U125" i="1"/>
  <c r="T125" i="1"/>
  <c r="S125" i="1"/>
  <c r="W124" i="1"/>
  <c r="V124" i="1"/>
  <c r="U124" i="1"/>
  <c r="T124" i="1"/>
  <c r="S124" i="1"/>
  <c r="W123" i="1"/>
  <c r="V123" i="1"/>
  <c r="U123" i="1"/>
  <c r="T123" i="1"/>
  <c r="S123" i="1"/>
  <c r="W122" i="1"/>
  <c r="V122" i="1"/>
  <c r="U122" i="1"/>
  <c r="T122" i="1"/>
  <c r="S122" i="1"/>
  <c r="W121" i="1"/>
  <c r="V121" i="1"/>
  <c r="U121" i="1"/>
  <c r="T121" i="1"/>
  <c r="S121" i="1"/>
  <c r="W120" i="1"/>
  <c r="V120" i="1"/>
  <c r="U120" i="1"/>
  <c r="T120" i="1"/>
  <c r="S120" i="1"/>
  <c r="W119" i="1"/>
  <c r="V119" i="1"/>
  <c r="U119" i="1"/>
  <c r="T119" i="1"/>
  <c r="S119" i="1"/>
  <c r="W118" i="1"/>
  <c r="V118" i="1"/>
  <c r="U118" i="1"/>
  <c r="T118" i="1"/>
  <c r="S118" i="1"/>
  <c r="W117" i="1"/>
  <c r="V117" i="1"/>
  <c r="U117" i="1"/>
  <c r="T117" i="1"/>
  <c r="S117" i="1"/>
  <c r="W116" i="1"/>
  <c r="V116" i="1"/>
  <c r="U116" i="1"/>
  <c r="T116" i="1"/>
  <c r="S116" i="1"/>
  <c r="W115" i="1"/>
  <c r="V115" i="1"/>
  <c r="U115" i="1"/>
  <c r="T115" i="1"/>
  <c r="S115" i="1"/>
  <c r="W114" i="1"/>
  <c r="V114" i="1"/>
  <c r="U114" i="1"/>
  <c r="T114" i="1"/>
  <c r="S114" i="1"/>
  <c r="W113" i="1"/>
  <c r="V113" i="1"/>
  <c r="U113" i="1"/>
  <c r="T113" i="1"/>
  <c r="S113" i="1"/>
  <c r="W112" i="1"/>
  <c r="V112" i="1"/>
  <c r="U112" i="1"/>
  <c r="T112" i="1"/>
  <c r="S112" i="1"/>
  <c r="W111" i="1"/>
  <c r="V111" i="1"/>
  <c r="U111" i="1"/>
  <c r="T111" i="1"/>
  <c r="S111" i="1"/>
  <c r="W110" i="1"/>
  <c r="V110" i="1"/>
  <c r="U110" i="1"/>
  <c r="T110" i="1"/>
  <c r="S110" i="1"/>
  <c r="W109" i="1"/>
  <c r="V109" i="1"/>
  <c r="U109" i="1"/>
  <c r="T109" i="1"/>
  <c r="S109" i="1"/>
  <c r="W108" i="1"/>
  <c r="V108" i="1"/>
  <c r="U108" i="1"/>
  <c r="T108" i="1"/>
  <c r="S108" i="1"/>
  <c r="W107" i="1"/>
  <c r="V107" i="1"/>
  <c r="U107" i="1"/>
  <c r="T107" i="1"/>
  <c r="S107" i="1"/>
  <c r="W106" i="1"/>
  <c r="V106" i="1"/>
  <c r="U106" i="1"/>
  <c r="T106" i="1"/>
  <c r="S106" i="1"/>
  <c r="W105" i="1"/>
  <c r="V105" i="1"/>
  <c r="U105" i="1"/>
  <c r="T105" i="1"/>
  <c r="S105" i="1"/>
  <c r="W104" i="1"/>
  <c r="V104" i="1"/>
  <c r="U104" i="1"/>
  <c r="T104" i="1"/>
  <c r="S104" i="1"/>
  <c r="W103" i="1"/>
  <c r="V103" i="1"/>
  <c r="U103" i="1"/>
  <c r="T103" i="1"/>
  <c r="S103" i="1"/>
  <c r="W102" i="1"/>
  <c r="V102" i="1"/>
  <c r="U102" i="1"/>
  <c r="T102" i="1"/>
  <c r="S102" i="1"/>
  <c r="W101" i="1"/>
  <c r="V101" i="1"/>
  <c r="U101" i="1"/>
  <c r="T101" i="1"/>
  <c r="S101" i="1"/>
  <c r="W100" i="1"/>
  <c r="V100" i="1"/>
  <c r="U100" i="1"/>
  <c r="T100" i="1"/>
  <c r="S100" i="1"/>
  <c r="W99" i="1"/>
  <c r="V99" i="1"/>
  <c r="U99" i="1"/>
  <c r="T99" i="1"/>
  <c r="S99" i="1"/>
  <c r="W98" i="1"/>
  <c r="V98" i="1"/>
  <c r="U98" i="1"/>
  <c r="T98" i="1"/>
  <c r="S98" i="1"/>
  <c r="W97" i="1"/>
  <c r="V97" i="1"/>
  <c r="U97" i="1"/>
  <c r="T97" i="1"/>
  <c r="S97" i="1"/>
  <c r="W96" i="1"/>
  <c r="V96" i="1"/>
  <c r="U96" i="1"/>
  <c r="T96" i="1"/>
  <c r="S96" i="1"/>
  <c r="W95" i="1"/>
  <c r="V95" i="1"/>
  <c r="U95" i="1"/>
  <c r="T95" i="1"/>
  <c r="S95" i="1"/>
  <c r="W94" i="1"/>
  <c r="V94" i="1"/>
  <c r="U94" i="1"/>
  <c r="T94" i="1"/>
  <c r="S94" i="1"/>
  <c r="W93" i="1"/>
  <c r="V93" i="1"/>
  <c r="U93" i="1"/>
  <c r="T93" i="1"/>
  <c r="S93" i="1"/>
  <c r="W92" i="1"/>
  <c r="V92" i="1"/>
  <c r="U92" i="1"/>
  <c r="T92" i="1"/>
  <c r="S92" i="1"/>
  <c r="W91" i="1"/>
  <c r="V91" i="1"/>
  <c r="U91" i="1"/>
  <c r="T91" i="1"/>
  <c r="S91" i="1"/>
  <c r="W90" i="1"/>
  <c r="V90" i="1"/>
  <c r="U90" i="1"/>
  <c r="T90" i="1"/>
  <c r="S90" i="1"/>
  <c r="W89" i="1"/>
  <c r="V89" i="1"/>
  <c r="U89" i="1"/>
  <c r="T89" i="1"/>
  <c r="S89" i="1"/>
  <c r="W88" i="1"/>
  <c r="V88" i="1"/>
  <c r="U88" i="1"/>
  <c r="T88" i="1"/>
  <c r="S88" i="1"/>
  <c r="W87" i="1"/>
  <c r="V87" i="1"/>
  <c r="U87" i="1"/>
  <c r="T87" i="1"/>
  <c r="S87" i="1"/>
  <c r="W86" i="1"/>
  <c r="V86" i="1"/>
  <c r="U86" i="1"/>
  <c r="T86" i="1"/>
  <c r="S86" i="1"/>
  <c r="W85" i="1"/>
  <c r="V85" i="1"/>
  <c r="U85" i="1"/>
  <c r="T85" i="1"/>
  <c r="S85" i="1"/>
  <c r="W84" i="1"/>
  <c r="V84" i="1"/>
  <c r="U84" i="1"/>
  <c r="T84" i="1"/>
  <c r="S84" i="1"/>
  <c r="W83" i="1"/>
  <c r="V83" i="1"/>
  <c r="U83" i="1"/>
  <c r="T83" i="1"/>
  <c r="S83" i="1"/>
  <c r="W82" i="1"/>
  <c r="V82" i="1"/>
  <c r="U82" i="1"/>
  <c r="T82" i="1"/>
  <c r="S82" i="1"/>
  <c r="W81" i="1"/>
  <c r="V81" i="1"/>
  <c r="U81" i="1"/>
  <c r="T81" i="1"/>
  <c r="S81" i="1"/>
  <c r="W80" i="1"/>
  <c r="V80" i="1"/>
  <c r="U80" i="1"/>
  <c r="T80" i="1"/>
  <c r="S80" i="1"/>
  <c r="W79" i="1"/>
  <c r="V79" i="1"/>
  <c r="U79" i="1"/>
  <c r="T79" i="1"/>
  <c r="S79" i="1"/>
  <c r="W78" i="1"/>
  <c r="V78" i="1"/>
  <c r="U78" i="1"/>
  <c r="T78" i="1"/>
  <c r="S78" i="1"/>
  <c r="W77" i="1"/>
  <c r="V77" i="1"/>
  <c r="U77" i="1"/>
  <c r="T77" i="1"/>
  <c r="S77" i="1"/>
  <c r="W76" i="1"/>
  <c r="V76" i="1"/>
  <c r="U76" i="1"/>
  <c r="T76" i="1"/>
  <c r="S76" i="1"/>
  <c r="W75" i="1"/>
  <c r="V75" i="1"/>
  <c r="U75" i="1"/>
  <c r="T75" i="1"/>
  <c r="S75" i="1"/>
  <c r="W74" i="1"/>
  <c r="V74" i="1"/>
  <c r="U74" i="1"/>
  <c r="T74" i="1"/>
  <c r="S74" i="1"/>
  <c r="W73" i="1"/>
  <c r="V73" i="1"/>
  <c r="U73" i="1"/>
  <c r="T73" i="1"/>
  <c r="S73" i="1"/>
  <c r="W72" i="1"/>
  <c r="V72" i="1"/>
  <c r="U72" i="1"/>
  <c r="T72" i="1"/>
  <c r="S72" i="1"/>
  <c r="W71" i="1"/>
  <c r="V71" i="1"/>
  <c r="U71" i="1"/>
  <c r="T71" i="1"/>
  <c r="S71" i="1"/>
  <c r="W70" i="1"/>
  <c r="V70" i="1"/>
  <c r="U70" i="1"/>
  <c r="T70" i="1"/>
  <c r="S70" i="1"/>
  <c r="W69" i="1"/>
  <c r="V69" i="1"/>
  <c r="U69" i="1"/>
  <c r="T69" i="1"/>
  <c r="S69" i="1"/>
  <c r="W68" i="1"/>
  <c r="V68" i="1"/>
  <c r="U68" i="1"/>
  <c r="T68" i="1"/>
  <c r="S68" i="1"/>
  <c r="W67" i="1"/>
  <c r="V67" i="1"/>
  <c r="U67" i="1"/>
  <c r="T67" i="1"/>
  <c r="S67" i="1"/>
  <c r="W66" i="1"/>
  <c r="V66" i="1"/>
  <c r="U66" i="1"/>
  <c r="T66" i="1"/>
  <c r="S66" i="1"/>
  <c r="W65" i="1"/>
  <c r="V65" i="1"/>
  <c r="U65" i="1"/>
  <c r="T65" i="1"/>
  <c r="S65" i="1"/>
  <c r="W64" i="1"/>
  <c r="V64" i="1"/>
  <c r="U64" i="1"/>
  <c r="T64" i="1"/>
  <c r="S64" i="1"/>
  <c r="W63" i="1"/>
  <c r="V63" i="1"/>
  <c r="U63" i="1"/>
  <c r="T63" i="1"/>
  <c r="S63" i="1"/>
  <c r="W62" i="1"/>
  <c r="V62" i="1"/>
  <c r="U62" i="1"/>
  <c r="T62" i="1"/>
  <c r="S62" i="1"/>
  <c r="W61" i="1"/>
  <c r="V61" i="1"/>
  <c r="U61" i="1"/>
  <c r="T61" i="1"/>
  <c r="S61" i="1"/>
  <c r="W60" i="1"/>
  <c r="V60" i="1"/>
  <c r="U60" i="1"/>
  <c r="T60" i="1"/>
  <c r="S60" i="1"/>
  <c r="W59" i="1"/>
  <c r="V59" i="1"/>
  <c r="U59" i="1"/>
  <c r="T59" i="1"/>
  <c r="S59" i="1"/>
  <c r="W58" i="1"/>
  <c r="V58" i="1"/>
  <c r="U58" i="1"/>
  <c r="T58" i="1"/>
  <c r="S58" i="1"/>
  <c r="W57" i="1"/>
  <c r="V57" i="1"/>
  <c r="U57" i="1"/>
  <c r="T57" i="1"/>
  <c r="S57" i="1"/>
  <c r="W56" i="1"/>
  <c r="V56" i="1"/>
  <c r="U56" i="1"/>
  <c r="T56" i="1"/>
  <c r="S56" i="1"/>
  <c r="W55" i="1"/>
  <c r="V55" i="1"/>
  <c r="U55" i="1"/>
  <c r="T55" i="1"/>
  <c r="S55" i="1"/>
  <c r="W54" i="1"/>
  <c r="V54" i="1"/>
  <c r="U54" i="1"/>
  <c r="T54" i="1"/>
  <c r="S54" i="1"/>
  <c r="W53" i="1"/>
  <c r="V53" i="1"/>
  <c r="U53" i="1"/>
  <c r="T53" i="1"/>
  <c r="S53" i="1"/>
  <c r="W52" i="1"/>
  <c r="V52" i="1"/>
  <c r="U52" i="1"/>
  <c r="T52" i="1"/>
  <c r="S52" i="1"/>
  <c r="W51" i="1"/>
  <c r="V51" i="1"/>
  <c r="U51" i="1"/>
  <c r="T51" i="1"/>
  <c r="S51" i="1"/>
  <c r="W50" i="1"/>
  <c r="V50" i="1"/>
  <c r="U50" i="1"/>
  <c r="T50" i="1"/>
  <c r="S50" i="1"/>
  <c r="W49" i="1"/>
  <c r="V49" i="1"/>
  <c r="U49" i="1"/>
  <c r="T49" i="1"/>
  <c r="S49" i="1"/>
  <c r="W48" i="1"/>
  <c r="V48" i="1"/>
  <c r="U48" i="1"/>
  <c r="T48" i="1"/>
  <c r="S48" i="1"/>
  <c r="W47" i="1"/>
  <c r="V47" i="1"/>
  <c r="U47" i="1"/>
  <c r="T47" i="1"/>
  <c r="S47" i="1"/>
  <c r="W46" i="1"/>
  <c r="V46" i="1"/>
  <c r="U46" i="1"/>
  <c r="T46" i="1"/>
  <c r="S46" i="1"/>
  <c r="W45" i="1"/>
  <c r="V45" i="1"/>
  <c r="U45" i="1"/>
  <c r="T45" i="1"/>
  <c r="S45" i="1"/>
  <c r="W44" i="1"/>
  <c r="V44" i="1"/>
  <c r="U44" i="1"/>
  <c r="T44" i="1"/>
  <c r="S44" i="1"/>
  <c r="W43" i="1"/>
  <c r="V43" i="1"/>
  <c r="U43" i="1"/>
  <c r="T43" i="1"/>
  <c r="S43" i="1"/>
  <c r="W42" i="1"/>
  <c r="V42" i="1"/>
  <c r="U42" i="1"/>
  <c r="T42" i="1"/>
  <c r="S42" i="1"/>
  <c r="W41" i="1"/>
  <c r="V41" i="1"/>
  <c r="U41" i="1"/>
  <c r="T41" i="1"/>
  <c r="S41" i="1"/>
  <c r="W40" i="1"/>
  <c r="V40" i="1"/>
  <c r="U40" i="1"/>
  <c r="T40" i="1"/>
  <c r="S40" i="1"/>
  <c r="W39" i="1"/>
  <c r="V39" i="1"/>
  <c r="U39" i="1"/>
  <c r="T39" i="1"/>
  <c r="S39" i="1"/>
  <c r="W38" i="1"/>
  <c r="V38" i="1"/>
  <c r="U38" i="1"/>
  <c r="T38" i="1"/>
  <c r="S38" i="1"/>
  <c r="W37" i="1"/>
  <c r="V37" i="1"/>
  <c r="U37" i="1"/>
  <c r="T37" i="1"/>
  <c r="S37" i="1"/>
  <c r="W36" i="1"/>
  <c r="V36" i="1"/>
  <c r="U36" i="1"/>
  <c r="T36" i="1"/>
  <c r="S36" i="1"/>
  <c r="W35" i="1"/>
  <c r="V35" i="1"/>
  <c r="U35" i="1"/>
  <c r="T35" i="1"/>
  <c r="S35" i="1"/>
  <c r="W34" i="1"/>
  <c r="V34" i="1"/>
  <c r="U34" i="1"/>
  <c r="T34" i="1"/>
  <c r="S34" i="1"/>
  <c r="W33" i="1"/>
  <c r="V33" i="1"/>
  <c r="U33" i="1"/>
  <c r="T33" i="1"/>
  <c r="S33" i="1"/>
  <c r="W32" i="1"/>
  <c r="V32" i="1"/>
  <c r="U32" i="1"/>
  <c r="T32" i="1"/>
  <c r="S32" i="1"/>
  <c r="W31" i="1"/>
  <c r="V31" i="1"/>
  <c r="U31" i="1"/>
  <c r="T31" i="1"/>
  <c r="S31" i="1"/>
  <c r="W30" i="1"/>
  <c r="V30" i="1"/>
  <c r="U30" i="1"/>
  <c r="T30" i="1"/>
  <c r="S30" i="1"/>
  <c r="W29" i="1"/>
  <c r="V29" i="1"/>
  <c r="U29" i="1"/>
  <c r="T29" i="1"/>
  <c r="S29" i="1"/>
  <c r="W28" i="1"/>
  <c r="V28" i="1"/>
  <c r="U28" i="1"/>
  <c r="T28" i="1"/>
  <c r="S28" i="1"/>
  <c r="W27" i="1"/>
  <c r="V27" i="1"/>
  <c r="U27" i="1"/>
  <c r="T27" i="1"/>
  <c r="S27" i="1"/>
  <c r="W26" i="1"/>
  <c r="V26" i="1"/>
  <c r="U26" i="1"/>
  <c r="T26" i="1"/>
  <c r="S26" i="1"/>
  <c r="W25" i="1"/>
  <c r="V25" i="1"/>
  <c r="U25" i="1"/>
  <c r="T25" i="1"/>
  <c r="S25" i="1"/>
  <c r="W24" i="1"/>
  <c r="V24" i="1"/>
  <c r="U24" i="1"/>
  <c r="T24" i="1"/>
  <c r="S24" i="1"/>
  <c r="W23" i="1"/>
  <c r="V23" i="1"/>
  <c r="U23" i="1"/>
  <c r="T23" i="1"/>
  <c r="S23" i="1"/>
  <c r="W22" i="1"/>
  <c r="V22" i="1"/>
  <c r="U22" i="1"/>
  <c r="T22" i="1"/>
  <c r="S22" i="1"/>
  <c r="W21" i="1"/>
  <c r="V21" i="1"/>
  <c r="U21" i="1"/>
  <c r="T21" i="1"/>
  <c r="S21" i="1"/>
  <c r="W20" i="1"/>
  <c r="V20" i="1"/>
  <c r="U20" i="1"/>
  <c r="T20" i="1"/>
  <c r="S20" i="1"/>
  <c r="W19" i="1"/>
  <c r="V19" i="1"/>
  <c r="U19" i="1"/>
  <c r="T19" i="1"/>
  <c r="S19" i="1"/>
  <c r="W18" i="1"/>
  <c r="V18" i="1"/>
  <c r="U18" i="1"/>
  <c r="T18" i="1"/>
  <c r="S18" i="1"/>
  <c r="W17" i="1"/>
  <c r="V17" i="1"/>
  <c r="U17" i="1"/>
  <c r="T17" i="1"/>
  <c r="S17" i="1"/>
  <c r="W16" i="1"/>
  <c r="V16" i="1"/>
  <c r="U16" i="1"/>
  <c r="T16" i="1"/>
  <c r="S16" i="1"/>
  <c r="W15" i="1"/>
  <c r="V15" i="1"/>
  <c r="U15" i="1"/>
  <c r="T15" i="1"/>
  <c r="S15" i="1"/>
  <c r="W14" i="1"/>
  <c r="V14" i="1"/>
  <c r="U14" i="1"/>
  <c r="T14" i="1"/>
  <c r="S14" i="1"/>
  <c r="W13" i="1"/>
  <c r="V13" i="1"/>
  <c r="U13" i="1"/>
  <c r="T13" i="1"/>
  <c r="S13" i="1"/>
  <c r="W12" i="1"/>
  <c r="V12" i="1"/>
  <c r="U12" i="1"/>
  <c r="T12" i="1"/>
  <c r="S12" i="1"/>
  <c r="W11" i="1"/>
  <c r="V11" i="1"/>
  <c r="U11" i="1"/>
  <c r="T11" i="1"/>
  <c r="S11" i="1"/>
  <c r="W10" i="1"/>
  <c r="V10" i="1"/>
  <c r="U10" i="1"/>
  <c r="T10" i="1"/>
  <c r="S10" i="1"/>
  <c r="W9" i="1"/>
  <c r="V9" i="1"/>
  <c r="U9" i="1"/>
  <c r="T9" i="1"/>
  <c r="S9" i="1"/>
  <c r="W8" i="1"/>
  <c r="V8" i="1"/>
  <c r="U8" i="1"/>
  <c r="T8" i="1"/>
  <c r="S8" i="1"/>
  <c r="W7" i="1"/>
  <c r="V7" i="1"/>
  <c r="U7" i="1"/>
  <c r="T7" i="1"/>
  <c r="S7" i="1"/>
  <c r="W6" i="1"/>
  <c r="V6" i="1"/>
  <c r="U6" i="1"/>
  <c r="T6" i="1"/>
  <c r="S6" i="1"/>
  <c r="W5" i="1"/>
  <c r="V5" i="1"/>
  <c r="U5" i="1"/>
  <c r="T5" i="1"/>
  <c r="S5" i="1"/>
  <c r="W4" i="1"/>
  <c r="V4" i="1"/>
  <c r="U4" i="1"/>
  <c r="T4" i="1"/>
  <c r="S4" i="1"/>
  <c r="W3" i="1"/>
  <c r="V3" i="1"/>
  <c r="U3" i="1"/>
  <c r="T3" i="1"/>
  <c r="S3" i="1"/>
  <c r="W2" i="1"/>
  <c r="V2" i="1"/>
  <c r="U2" i="1"/>
  <c r="T2" i="1"/>
  <c r="S2" i="1"/>
  <c r="X14" i="1" l="1"/>
  <c r="X26" i="1"/>
  <c r="X38" i="1"/>
  <c r="X50" i="1"/>
  <c r="X62" i="1"/>
  <c r="X74" i="1"/>
  <c r="X86" i="1"/>
  <c r="X98" i="1"/>
  <c r="X110" i="1"/>
  <c r="X122" i="1"/>
  <c r="X134" i="1"/>
  <c r="X146" i="1"/>
  <c r="X158" i="1"/>
  <c r="X170" i="1"/>
  <c r="X182" i="1"/>
  <c r="X194" i="1"/>
  <c r="X206" i="1"/>
  <c r="X218" i="1"/>
  <c r="X230" i="1"/>
  <c r="X242" i="1"/>
  <c r="X254" i="1"/>
  <c r="X266" i="1"/>
  <c r="X278" i="1"/>
  <c r="X290" i="1"/>
  <c r="X302" i="1"/>
  <c r="X314" i="1"/>
  <c r="X326" i="1"/>
  <c r="X338" i="1"/>
  <c r="X350" i="1"/>
  <c r="X362" i="1"/>
  <c r="X374" i="1"/>
  <c r="X386" i="1"/>
  <c r="X398" i="1"/>
  <c r="X410" i="1"/>
  <c r="X422" i="1"/>
  <c r="X434" i="1"/>
  <c r="X446" i="1"/>
  <c r="X458" i="1"/>
  <c r="X470" i="1"/>
  <c r="X482" i="1"/>
  <c r="X494" i="1"/>
  <c r="X506" i="1"/>
  <c r="X518" i="1"/>
  <c r="X530" i="1"/>
  <c r="X542" i="1"/>
  <c r="X554" i="1"/>
  <c r="X566" i="1"/>
  <c r="X578" i="1"/>
  <c r="X590" i="1"/>
  <c r="X602" i="1"/>
  <c r="X614" i="1"/>
  <c r="X626" i="1"/>
  <c r="X638" i="1"/>
  <c r="X650" i="1"/>
  <c r="X662" i="1"/>
  <c r="X674" i="1"/>
  <c r="X686" i="1"/>
  <c r="X698" i="1"/>
  <c r="X710" i="1"/>
  <c r="X722" i="1"/>
  <c r="X734" i="1"/>
  <c r="X746" i="1"/>
  <c r="X758" i="1"/>
  <c r="X770" i="1"/>
  <c r="X782" i="1"/>
  <c r="X794" i="1"/>
  <c r="X806" i="1"/>
  <c r="X818" i="1"/>
  <c r="X830" i="1"/>
  <c r="X842" i="1"/>
  <c r="X854" i="1"/>
  <c r="X866" i="1"/>
  <c r="X878" i="1"/>
  <c r="X890" i="1"/>
  <c r="X902" i="1"/>
  <c r="X914" i="1"/>
  <c r="X926" i="1"/>
  <c r="X938" i="1"/>
  <c r="X950" i="1"/>
  <c r="X962" i="1"/>
  <c r="X974" i="1"/>
  <c r="X986" i="1"/>
  <c r="X998" i="1"/>
  <c r="X1010" i="1"/>
  <c r="X3" i="1"/>
  <c r="X15" i="1"/>
  <c r="X27" i="1"/>
  <c r="X39" i="1"/>
  <c r="X51" i="1"/>
  <c r="X63" i="1"/>
  <c r="X75" i="1"/>
  <c r="X87" i="1"/>
  <c r="X99" i="1"/>
  <c r="X111" i="1"/>
  <c r="X123" i="1"/>
  <c r="X135" i="1"/>
  <c r="X147" i="1"/>
  <c r="X159" i="1"/>
  <c r="X171" i="1"/>
  <c r="X183" i="1"/>
  <c r="X195" i="1"/>
  <c r="X207" i="1"/>
  <c r="X219" i="1"/>
  <c r="X231" i="1"/>
  <c r="X243" i="1"/>
  <c r="X255" i="1"/>
  <c r="X267" i="1"/>
  <c r="X279" i="1"/>
  <c r="X291" i="1"/>
  <c r="X303" i="1"/>
  <c r="X315" i="1"/>
  <c r="X327" i="1"/>
  <c r="X339" i="1"/>
  <c r="X351" i="1"/>
  <c r="X363" i="1"/>
  <c r="X375" i="1"/>
  <c r="X387" i="1"/>
  <c r="X399" i="1"/>
  <c r="X411" i="1"/>
  <c r="X423" i="1"/>
  <c r="X435" i="1"/>
  <c r="X447" i="1"/>
  <c r="X459" i="1"/>
  <c r="X471" i="1"/>
  <c r="X483" i="1"/>
  <c r="X495" i="1"/>
  <c r="X507" i="1"/>
  <c r="X519" i="1"/>
  <c r="X531" i="1"/>
  <c r="X543" i="1"/>
  <c r="X555" i="1"/>
  <c r="X567" i="1"/>
  <c r="X579" i="1"/>
  <c r="X591" i="1"/>
  <c r="X603" i="1"/>
  <c r="X615" i="1"/>
  <c r="X627" i="1"/>
  <c r="X639" i="1"/>
  <c r="X651" i="1"/>
  <c r="X663" i="1"/>
  <c r="X675" i="1"/>
  <c r="X687" i="1"/>
  <c r="X699" i="1"/>
  <c r="X711" i="1"/>
  <c r="X723" i="1"/>
  <c r="X735" i="1"/>
  <c r="X747" i="1"/>
  <c r="X759" i="1"/>
  <c r="X771" i="1"/>
  <c r="X783" i="1"/>
  <c r="X795" i="1"/>
  <c r="X807" i="1"/>
  <c r="X819" i="1"/>
  <c r="X831" i="1"/>
  <c r="X843" i="1"/>
  <c r="X855" i="1"/>
  <c r="X867" i="1"/>
  <c r="X879" i="1"/>
  <c r="X891" i="1"/>
  <c r="X903" i="1"/>
  <c r="X915" i="1"/>
  <c r="X927" i="1"/>
  <c r="X939" i="1"/>
  <c r="X951" i="1"/>
  <c r="X963" i="1"/>
  <c r="X975" i="1"/>
  <c r="X987" i="1"/>
  <c r="X999" i="1"/>
  <c r="X4" i="1"/>
  <c r="X16" i="1"/>
  <c r="X28" i="1"/>
  <c r="X40" i="1"/>
  <c r="X52" i="1"/>
  <c r="X64" i="1"/>
  <c r="X76" i="1"/>
  <c r="X88" i="1"/>
  <c r="X100" i="1"/>
  <c r="X112" i="1"/>
  <c r="X124" i="1"/>
  <c r="X136" i="1"/>
  <c r="X148" i="1"/>
  <c r="X160" i="1"/>
  <c r="X172" i="1"/>
  <c r="X184" i="1"/>
  <c r="X196" i="1"/>
  <c r="X208" i="1"/>
  <c r="X220" i="1"/>
  <c r="X232" i="1"/>
  <c r="X244" i="1"/>
  <c r="X256" i="1"/>
  <c r="X268" i="1"/>
  <c r="X280" i="1"/>
  <c r="X292" i="1"/>
  <c r="X304" i="1"/>
  <c r="X316" i="1"/>
  <c r="X328" i="1"/>
  <c r="X340" i="1"/>
  <c r="X352" i="1"/>
  <c r="X364" i="1"/>
  <c r="X376" i="1"/>
  <c r="X388" i="1"/>
  <c r="X400" i="1"/>
  <c r="X412" i="1"/>
  <c r="X424" i="1"/>
  <c r="X436" i="1"/>
  <c r="X448" i="1"/>
  <c r="X460" i="1"/>
  <c r="X472" i="1"/>
  <c r="X484" i="1"/>
  <c r="X5" i="1"/>
  <c r="X17" i="1"/>
  <c r="X29" i="1"/>
  <c r="X41" i="1"/>
  <c r="X53" i="1"/>
  <c r="X65" i="1"/>
  <c r="X77" i="1"/>
  <c r="X89" i="1"/>
  <c r="X101" i="1"/>
  <c r="X113" i="1"/>
  <c r="X125" i="1"/>
  <c r="X137" i="1"/>
  <c r="X149" i="1"/>
  <c r="X161" i="1"/>
  <c r="X173" i="1"/>
  <c r="X185" i="1"/>
  <c r="X197" i="1"/>
  <c r="X209" i="1"/>
  <c r="X221" i="1"/>
  <c r="X233" i="1"/>
  <c r="X245" i="1"/>
  <c r="X257" i="1"/>
  <c r="X269" i="1"/>
  <c r="X281" i="1"/>
  <c r="X293" i="1"/>
  <c r="X305" i="1"/>
  <c r="X317" i="1"/>
  <c r="X329" i="1"/>
  <c r="X341" i="1"/>
  <c r="X353" i="1"/>
  <c r="X365" i="1"/>
  <c r="X377" i="1"/>
  <c r="X389" i="1"/>
  <c r="X401" i="1"/>
  <c r="X413" i="1"/>
  <c r="X425" i="1"/>
  <c r="X437" i="1"/>
  <c r="X449" i="1"/>
  <c r="X461" i="1"/>
  <c r="X473" i="1"/>
  <c r="X485" i="1"/>
  <c r="X497" i="1"/>
  <c r="X509" i="1"/>
  <c r="X521" i="1"/>
  <c r="X6" i="1"/>
  <c r="X18" i="1"/>
  <c r="X30" i="1"/>
  <c r="X42" i="1"/>
  <c r="X54" i="1"/>
  <c r="X66" i="1"/>
  <c r="X78" i="1"/>
  <c r="X90" i="1"/>
  <c r="X102" i="1"/>
  <c r="X114" i="1"/>
  <c r="X126" i="1"/>
  <c r="X138" i="1"/>
  <c r="X150" i="1"/>
  <c r="X162" i="1"/>
  <c r="X174" i="1"/>
  <c r="X186" i="1"/>
  <c r="X198" i="1"/>
  <c r="X210" i="1"/>
  <c r="X222" i="1"/>
  <c r="X234" i="1"/>
  <c r="X246" i="1"/>
  <c r="X258" i="1"/>
  <c r="X270" i="1"/>
  <c r="X282" i="1"/>
  <c r="X294" i="1"/>
  <c r="X306" i="1"/>
  <c r="X318" i="1"/>
  <c r="X330" i="1"/>
  <c r="X342" i="1"/>
  <c r="X354" i="1"/>
  <c r="X366" i="1"/>
  <c r="X378" i="1"/>
  <c r="X390" i="1"/>
  <c r="X402" i="1"/>
  <c r="X414" i="1"/>
  <c r="X426" i="1"/>
  <c r="X438" i="1"/>
  <c r="X450" i="1"/>
  <c r="X462" i="1"/>
  <c r="X474" i="1"/>
  <c r="X486" i="1"/>
  <c r="X498" i="1"/>
  <c r="X510" i="1"/>
  <c r="X522" i="1"/>
  <c r="X534" i="1"/>
  <c r="X546" i="1"/>
  <c r="X558" i="1"/>
  <c r="X570" i="1"/>
  <c r="X582" i="1"/>
  <c r="X594" i="1"/>
  <c r="X606" i="1"/>
  <c r="X618" i="1"/>
  <c r="X630" i="1"/>
  <c r="X642" i="1"/>
  <c r="X654" i="1"/>
  <c r="X666" i="1"/>
  <c r="X678" i="1"/>
  <c r="X690" i="1"/>
  <c r="X702" i="1"/>
  <c r="X714" i="1"/>
  <c r="X726" i="1"/>
  <c r="X738" i="1"/>
  <c r="X750" i="1"/>
  <c r="X762" i="1"/>
  <c r="X774" i="1"/>
  <c r="X786" i="1"/>
  <c r="X798" i="1"/>
  <c r="X810" i="1"/>
  <c r="X822" i="1"/>
  <c r="X834" i="1"/>
  <c r="X846" i="1"/>
  <c r="X858" i="1"/>
  <c r="X870" i="1"/>
  <c r="X7" i="1"/>
  <c r="X19" i="1"/>
  <c r="X31" i="1"/>
  <c r="X43" i="1"/>
  <c r="X55" i="1"/>
  <c r="X67" i="1"/>
  <c r="X79" i="1"/>
  <c r="X91" i="1"/>
  <c r="X103" i="1"/>
  <c r="X115" i="1"/>
  <c r="X127" i="1"/>
  <c r="X139" i="1"/>
  <c r="X151" i="1"/>
  <c r="X163" i="1"/>
  <c r="X175" i="1"/>
  <c r="X187" i="1"/>
  <c r="X199" i="1"/>
  <c r="X211" i="1"/>
  <c r="X223" i="1"/>
  <c r="X235" i="1"/>
  <c r="X247" i="1"/>
  <c r="X259" i="1"/>
  <c r="X271" i="1"/>
  <c r="X283" i="1"/>
  <c r="X295" i="1"/>
  <c r="X307" i="1"/>
  <c r="X319" i="1"/>
  <c r="X331" i="1"/>
  <c r="X343" i="1"/>
  <c r="X355" i="1"/>
  <c r="X367" i="1"/>
  <c r="X379" i="1"/>
  <c r="X391" i="1"/>
  <c r="X403" i="1"/>
  <c r="X415" i="1"/>
  <c r="X427" i="1"/>
  <c r="X439" i="1"/>
  <c r="X451" i="1"/>
  <c r="X463" i="1"/>
  <c r="X475" i="1"/>
  <c r="X487" i="1"/>
  <c r="X499" i="1"/>
  <c r="X511" i="1"/>
  <c r="X523" i="1"/>
  <c r="X535" i="1"/>
  <c r="X547" i="1"/>
  <c r="X559" i="1"/>
  <c r="X571" i="1"/>
  <c r="X583" i="1"/>
  <c r="X595" i="1"/>
  <c r="X607" i="1"/>
  <c r="X619" i="1"/>
  <c r="X631" i="1"/>
  <c r="X643" i="1"/>
  <c r="X655" i="1"/>
  <c r="X667" i="1"/>
  <c r="X679" i="1"/>
  <c r="X691" i="1"/>
  <c r="X703" i="1"/>
  <c r="X715" i="1"/>
  <c r="X727" i="1"/>
  <c r="X739" i="1"/>
  <c r="X751" i="1"/>
  <c r="X763" i="1"/>
  <c r="X775" i="1"/>
  <c r="X787" i="1"/>
  <c r="X799" i="1"/>
  <c r="X811" i="1"/>
  <c r="X823" i="1"/>
  <c r="X835" i="1"/>
  <c r="X847" i="1"/>
  <c r="X859" i="1"/>
  <c r="X871" i="1"/>
  <c r="X883" i="1"/>
  <c r="X895" i="1"/>
  <c r="X907" i="1"/>
  <c r="X919" i="1"/>
  <c r="X931" i="1"/>
  <c r="X943" i="1"/>
  <c r="X955" i="1"/>
  <c r="X967" i="1"/>
  <c r="X979" i="1"/>
  <c r="X991" i="1"/>
  <c r="X1003" i="1"/>
  <c r="X1015" i="1"/>
  <c r="X1027" i="1"/>
  <c r="X8" i="1"/>
  <c r="X20" i="1"/>
  <c r="X32" i="1"/>
  <c r="X44" i="1"/>
  <c r="X56" i="1"/>
  <c r="X68" i="1"/>
  <c r="X80" i="1"/>
  <c r="X92" i="1"/>
  <c r="X104" i="1"/>
  <c r="X116" i="1"/>
  <c r="X128" i="1"/>
  <c r="X140" i="1"/>
  <c r="X152" i="1"/>
  <c r="X164" i="1"/>
  <c r="X176" i="1"/>
  <c r="X188" i="1"/>
  <c r="X200" i="1"/>
  <c r="X212" i="1"/>
  <c r="X224" i="1"/>
  <c r="X236" i="1"/>
  <c r="X248" i="1"/>
  <c r="X260" i="1"/>
  <c r="X272" i="1"/>
  <c r="X284" i="1"/>
  <c r="X296" i="1"/>
  <c r="X308" i="1"/>
  <c r="X320" i="1"/>
  <c r="X332" i="1"/>
  <c r="X344" i="1"/>
  <c r="X356" i="1"/>
  <c r="X368" i="1"/>
  <c r="X380" i="1"/>
  <c r="X392" i="1"/>
  <c r="X404" i="1"/>
  <c r="X416" i="1"/>
  <c r="X428" i="1"/>
  <c r="X440" i="1"/>
  <c r="X452" i="1"/>
  <c r="X464" i="1"/>
  <c r="X476" i="1"/>
  <c r="X488" i="1"/>
  <c r="X500" i="1"/>
  <c r="X512" i="1"/>
  <c r="X524" i="1"/>
  <c r="X536" i="1"/>
  <c r="X548" i="1"/>
  <c r="X560" i="1"/>
  <c r="X572" i="1"/>
  <c r="X584" i="1"/>
  <c r="X596" i="1"/>
  <c r="X608" i="1"/>
  <c r="X620" i="1"/>
  <c r="X632" i="1"/>
  <c r="X644" i="1"/>
  <c r="X656" i="1"/>
  <c r="X668" i="1"/>
  <c r="X680" i="1"/>
  <c r="X692" i="1"/>
  <c r="X704" i="1"/>
  <c r="X716" i="1"/>
  <c r="X728" i="1"/>
  <c r="X740" i="1"/>
  <c r="X752" i="1"/>
  <c r="X764" i="1"/>
  <c r="X776" i="1"/>
  <c r="X788" i="1"/>
  <c r="X800" i="1"/>
  <c r="X812" i="1"/>
  <c r="X824" i="1"/>
  <c r="X836" i="1"/>
  <c r="X848" i="1"/>
  <c r="X860" i="1"/>
  <c r="X872" i="1"/>
  <c r="X884" i="1"/>
  <c r="X896" i="1"/>
  <c r="X908" i="1"/>
  <c r="X920" i="1"/>
  <c r="X932" i="1"/>
  <c r="X944" i="1"/>
  <c r="X956" i="1"/>
  <c r="X968" i="1"/>
  <c r="X980" i="1"/>
  <c r="X992" i="1"/>
  <c r="X1004" i="1"/>
  <c r="X1016" i="1"/>
  <c r="X9" i="1"/>
  <c r="X21" i="1"/>
  <c r="X33" i="1"/>
  <c r="X45" i="1"/>
  <c r="X57" i="1"/>
  <c r="X69" i="1"/>
  <c r="X81" i="1"/>
  <c r="X93" i="1"/>
  <c r="X105" i="1"/>
  <c r="X117" i="1"/>
  <c r="X129" i="1"/>
  <c r="X141" i="1"/>
  <c r="X153" i="1"/>
  <c r="X165" i="1"/>
  <c r="X177" i="1"/>
  <c r="X189" i="1"/>
  <c r="X201" i="1"/>
  <c r="X213" i="1"/>
  <c r="X225" i="1"/>
  <c r="X237" i="1"/>
  <c r="X249" i="1"/>
  <c r="X261" i="1"/>
  <c r="X273" i="1"/>
  <c r="X285" i="1"/>
  <c r="X297" i="1"/>
  <c r="X309" i="1"/>
  <c r="X321" i="1"/>
  <c r="X333" i="1"/>
  <c r="X345" i="1"/>
  <c r="X357" i="1"/>
  <c r="X369" i="1"/>
  <c r="X381" i="1"/>
  <c r="X393" i="1"/>
  <c r="X405" i="1"/>
  <c r="X417" i="1"/>
  <c r="X429" i="1"/>
  <c r="X441" i="1"/>
  <c r="X453" i="1"/>
  <c r="X465" i="1"/>
  <c r="X477" i="1"/>
  <c r="X489" i="1"/>
  <c r="X501" i="1"/>
  <c r="X513" i="1"/>
  <c r="X525" i="1"/>
  <c r="X537" i="1"/>
  <c r="X549" i="1"/>
  <c r="X561" i="1"/>
  <c r="X573" i="1"/>
  <c r="X585" i="1"/>
  <c r="X597" i="1"/>
  <c r="X609" i="1"/>
  <c r="X621" i="1"/>
  <c r="X633" i="1"/>
  <c r="X645" i="1"/>
  <c r="X657" i="1"/>
  <c r="X669" i="1"/>
  <c r="X681" i="1"/>
  <c r="X693" i="1"/>
  <c r="X705" i="1"/>
  <c r="X717" i="1"/>
  <c r="X729" i="1"/>
  <c r="X741" i="1"/>
  <c r="X753" i="1"/>
  <c r="X765" i="1"/>
  <c r="X777" i="1"/>
  <c r="X789" i="1"/>
  <c r="X801" i="1"/>
  <c r="X813" i="1"/>
  <c r="X825" i="1"/>
  <c r="X837" i="1"/>
  <c r="X849" i="1"/>
  <c r="X861" i="1"/>
  <c r="X873" i="1"/>
  <c r="X885" i="1"/>
  <c r="X897" i="1"/>
  <c r="X909" i="1"/>
  <c r="X921" i="1"/>
  <c r="X933" i="1"/>
  <c r="X945" i="1"/>
  <c r="X957" i="1"/>
  <c r="X10" i="1"/>
  <c r="X22" i="1"/>
  <c r="X34" i="1"/>
  <c r="X46" i="1"/>
  <c r="X58" i="1"/>
  <c r="X70" i="1"/>
  <c r="X82" i="1"/>
  <c r="X94" i="1"/>
  <c r="X106" i="1"/>
  <c r="X118" i="1"/>
  <c r="X130" i="1"/>
  <c r="X142" i="1"/>
  <c r="X154" i="1"/>
  <c r="X166" i="1"/>
  <c r="X178" i="1"/>
  <c r="X190" i="1"/>
  <c r="X202" i="1"/>
  <c r="X214" i="1"/>
  <c r="X226" i="1"/>
  <c r="X238" i="1"/>
  <c r="X250" i="1"/>
  <c r="X262" i="1"/>
  <c r="X274" i="1"/>
  <c r="X286" i="1"/>
  <c r="X298" i="1"/>
  <c r="X310" i="1"/>
  <c r="X322" i="1"/>
  <c r="X334" i="1"/>
  <c r="X346" i="1"/>
  <c r="X358" i="1"/>
  <c r="X370" i="1"/>
  <c r="X382" i="1"/>
  <c r="X394" i="1"/>
  <c r="X406" i="1"/>
  <c r="X418" i="1"/>
  <c r="X430" i="1"/>
  <c r="X442" i="1"/>
  <c r="X454" i="1"/>
  <c r="X466" i="1"/>
  <c r="X478" i="1"/>
  <c r="X490" i="1"/>
  <c r="X502" i="1"/>
  <c r="X514" i="1"/>
  <c r="X526" i="1"/>
  <c r="X538" i="1"/>
  <c r="X550" i="1"/>
  <c r="X562" i="1"/>
  <c r="X574" i="1"/>
  <c r="X586" i="1"/>
  <c r="X598" i="1"/>
  <c r="X610" i="1"/>
  <c r="X622" i="1"/>
  <c r="X634" i="1"/>
  <c r="X646" i="1"/>
  <c r="X658" i="1"/>
  <c r="X670" i="1"/>
  <c r="X682" i="1"/>
  <c r="X694" i="1"/>
  <c r="X706" i="1"/>
  <c r="X718" i="1"/>
  <c r="X730" i="1"/>
  <c r="X742" i="1"/>
  <c r="X754" i="1"/>
  <c r="X766" i="1"/>
  <c r="X778" i="1"/>
  <c r="X790" i="1"/>
  <c r="X802" i="1"/>
  <c r="X814" i="1"/>
  <c r="X826" i="1"/>
  <c r="X838" i="1"/>
  <c r="X850" i="1"/>
  <c r="X862" i="1"/>
  <c r="X874" i="1"/>
  <c r="X886" i="1"/>
  <c r="X898" i="1"/>
  <c r="X910" i="1"/>
  <c r="X11" i="1"/>
  <c r="X23" i="1"/>
  <c r="X35" i="1"/>
  <c r="X47" i="1"/>
  <c r="X59" i="1"/>
  <c r="X71" i="1"/>
  <c r="X83" i="1"/>
  <c r="X95" i="1"/>
  <c r="X107" i="1"/>
  <c r="X119" i="1"/>
  <c r="X131" i="1"/>
  <c r="X143" i="1"/>
  <c r="X155" i="1"/>
  <c r="X167" i="1"/>
  <c r="X179" i="1"/>
  <c r="X191" i="1"/>
  <c r="X203" i="1"/>
  <c r="X215" i="1"/>
  <c r="X227" i="1"/>
  <c r="X239" i="1"/>
  <c r="X251" i="1"/>
  <c r="X263" i="1"/>
  <c r="X275" i="1"/>
  <c r="X287" i="1"/>
  <c r="X299" i="1"/>
  <c r="X311" i="1"/>
  <c r="X323" i="1"/>
  <c r="X335" i="1"/>
  <c r="X347" i="1"/>
  <c r="X359" i="1"/>
  <c r="X371" i="1"/>
  <c r="X383" i="1"/>
  <c r="X395" i="1"/>
  <c r="X407" i="1"/>
  <c r="X419" i="1"/>
  <c r="X431" i="1"/>
  <c r="X443" i="1"/>
  <c r="X455" i="1"/>
  <c r="X467" i="1"/>
  <c r="X479" i="1"/>
  <c r="X491" i="1"/>
  <c r="X503" i="1"/>
  <c r="X515" i="1"/>
  <c r="X527" i="1"/>
  <c r="X539" i="1"/>
  <c r="X551" i="1"/>
  <c r="X563" i="1"/>
  <c r="X575" i="1"/>
  <c r="X587" i="1"/>
  <c r="X599" i="1"/>
  <c r="X611" i="1"/>
  <c r="X623" i="1"/>
  <c r="X635" i="1"/>
  <c r="X647" i="1"/>
  <c r="X659" i="1"/>
  <c r="X671" i="1"/>
  <c r="X683" i="1"/>
  <c r="X695" i="1"/>
  <c r="X707" i="1"/>
  <c r="X719" i="1"/>
  <c r="X731" i="1"/>
  <c r="X743" i="1"/>
  <c r="X755" i="1"/>
  <c r="X767" i="1"/>
  <c r="X779" i="1"/>
  <c r="X791" i="1"/>
  <c r="X803" i="1"/>
  <c r="X815" i="1"/>
  <c r="X827" i="1"/>
  <c r="X839" i="1"/>
  <c r="X851" i="1"/>
  <c r="X12" i="1"/>
  <c r="X84" i="1"/>
  <c r="X156" i="1"/>
  <c r="X228" i="1"/>
  <c r="X300" i="1"/>
  <c r="X372" i="1"/>
  <c r="X444" i="1"/>
  <c r="X505" i="1"/>
  <c r="X545" i="1"/>
  <c r="X581" i="1"/>
  <c r="X617" i="1"/>
  <c r="X653" i="1"/>
  <c r="X689" i="1"/>
  <c r="X725" i="1"/>
  <c r="X761" i="1"/>
  <c r="X797" i="1"/>
  <c r="X833" i="1"/>
  <c r="X868" i="1"/>
  <c r="X893" i="1"/>
  <c r="X917" i="1"/>
  <c r="X937" i="1"/>
  <c r="X13" i="1"/>
  <c r="X85" i="1"/>
  <c r="X157" i="1"/>
  <c r="X229" i="1"/>
  <c r="X301" i="1"/>
  <c r="X373" i="1"/>
  <c r="X445" i="1"/>
  <c r="X508" i="1"/>
  <c r="X552" i="1"/>
  <c r="X588" i="1"/>
  <c r="X624" i="1"/>
  <c r="X660" i="1"/>
  <c r="X696" i="1"/>
  <c r="X732" i="1"/>
  <c r="X768" i="1"/>
  <c r="X804" i="1"/>
  <c r="X840" i="1"/>
  <c r="X869" i="1"/>
  <c r="X894" i="1"/>
  <c r="X24" i="1"/>
  <c r="X96" i="1"/>
  <c r="X168" i="1"/>
  <c r="X240" i="1"/>
  <c r="X312" i="1"/>
  <c r="X384" i="1"/>
  <c r="X456" i="1"/>
  <c r="X516" i="1"/>
  <c r="X553" i="1"/>
  <c r="X589" i="1"/>
  <c r="X625" i="1"/>
  <c r="X661" i="1"/>
  <c r="X697" i="1"/>
  <c r="X733" i="1"/>
  <c r="X769" i="1"/>
  <c r="X805" i="1"/>
  <c r="X841" i="1"/>
  <c r="X875" i="1"/>
  <c r="X899" i="1"/>
  <c r="X25" i="1"/>
  <c r="X97" i="1"/>
  <c r="X169" i="1"/>
  <c r="X241" i="1"/>
  <c r="X313" i="1"/>
  <c r="X385" i="1"/>
  <c r="X457" i="1"/>
  <c r="X517" i="1"/>
  <c r="X556" i="1"/>
  <c r="X592" i="1"/>
  <c r="X628" i="1"/>
  <c r="X664" i="1"/>
  <c r="X700" i="1"/>
  <c r="X736" i="1"/>
  <c r="X772" i="1"/>
  <c r="X808" i="1"/>
  <c r="X844" i="1"/>
  <c r="X876" i="1"/>
  <c r="X900" i="1"/>
  <c r="X923" i="1"/>
  <c r="X942" i="1"/>
  <c r="X964" i="1"/>
  <c r="X982" i="1"/>
  <c r="X1000" i="1"/>
  <c r="X1017" i="1"/>
  <c r="X1030" i="1"/>
  <c r="X1042" i="1"/>
  <c r="X1054" i="1"/>
  <c r="X1066" i="1"/>
  <c r="X1078" i="1"/>
  <c r="X1090" i="1"/>
  <c r="X1102" i="1"/>
  <c r="X1114" i="1"/>
  <c r="X1126" i="1"/>
  <c r="X1138" i="1"/>
  <c r="X1150" i="1"/>
  <c r="X1162" i="1"/>
  <c r="X1174" i="1"/>
  <c r="X1186" i="1"/>
  <c r="X1198" i="1"/>
  <c r="X1210" i="1"/>
  <c r="X1222" i="1"/>
  <c r="X1234" i="1"/>
  <c r="X1246" i="1"/>
  <c r="X1258" i="1"/>
  <c r="X1270" i="1"/>
  <c r="X1282" i="1"/>
  <c r="X1294" i="1"/>
  <c r="X1306" i="1"/>
  <c r="X1318" i="1"/>
  <c r="X1330" i="1"/>
  <c r="X1342" i="1"/>
  <c r="X1354" i="1"/>
  <c r="X1366" i="1"/>
  <c r="X1378" i="1"/>
  <c r="X1390" i="1"/>
  <c r="X1402" i="1"/>
  <c r="X1414" i="1"/>
  <c r="X1426" i="1"/>
  <c r="X1438" i="1"/>
  <c r="X1450" i="1"/>
  <c r="X1462" i="1"/>
  <c r="X1474" i="1"/>
  <c r="X1486" i="1"/>
  <c r="X1498" i="1"/>
  <c r="X1510" i="1"/>
  <c r="X1522" i="1"/>
  <c r="X1534" i="1"/>
  <c r="X1546" i="1"/>
  <c r="X1558" i="1"/>
  <c r="X1570" i="1"/>
  <c r="X1582" i="1"/>
  <c r="X1594" i="1"/>
  <c r="X1606" i="1"/>
  <c r="X1618" i="1"/>
  <c r="X1630" i="1"/>
  <c r="X1642" i="1"/>
  <c r="X1654" i="1"/>
  <c r="X1666" i="1"/>
  <c r="X1678" i="1"/>
  <c r="X1690" i="1"/>
  <c r="X1702" i="1"/>
  <c r="X1714" i="1"/>
  <c r="X1726" i="1"/>
  <c r="X1738" i="1"/>
  <c r="X36" i="1"/>
  <c r="X108" i="1"/>
  <c r="X180" i="1"/>
  <c r="X252" i="1"/>
  <c r="X324" i="1"/>
  <c r="X396" i="1"/>
  <c r="X468" i="1"/>
  <c r="X520" i="1"/>
  <c r="X557" i="1"/>
  <c r="X593" i="1"/>
  <c r="X629" i="1"/>
  <c r="X665" i="1"/>
  <c r="X701" i="1"/>
  <c r="X737" i="1"/>
  <c r="X773" i="1"/>
  <c r="X809" i="1"/>
  <c r="X845" i="1"/>
  <c r="X877" i="1"/>
  <c r="X901" i="1"/>
  <c r="X924" i="1"/>
  <c r="X946" i="1"/>
  <c r="X965" i="1"/>
  <c r="X983" i="1"/>
  <c r="X1001" i="1"/>
  <c r="X1018" i="1"/>
  <c r="X1031" i="1"/>
  <c r="X1043" i="1"/>
  <c r="X1055" i="1"/>
  <c r="X1067" i="1"/>
  <c r="X1079" i="1"/>
  <c r="X1091" i="1"/>
  <c r="X1103" i="1"/>
  <c r="X1115" i="1"/>
  <c r="X1127" i="1"/>
  <c r="X1139" i="1"/>
  <c r="X1151" i="1"/>
  <c r="X1163" i="1"/>
  <c r="X1175" i="1"/>
  <c r="X1187" i="1"/>
  <c r="X1199" i="1"/>
  <c r="X1211" i="1"/>
  <c r="X1223" i="1"/>
  <c r="X1235" i="1"/>
  <c r="X1247" i="1"/>
  <c r="X1259" i="1"/>
  <c r="X1271" i="1"/>
  <c r="X1283" i="1"/>
  <c r="X1295" i="1"/>
  <c r="X1307" i="1"/>
  <c r="X1319" i="1"/>
  <c r="X1331" i="1"/>
  <c r="X1343" i="1"/>
  <c r="X1355" i="1"/>
  <c r="X1367" i="1"/>
  <c r="X1379" i="1"/>
  <c r="X1391" i="1"/>
  <c r="X1403" i="1"/>
  <c r="X1415" i="1"/>
  <c r="X1427" i="1"/>
  <c r="X1439" i="1"/>
  <c r="X1451" i="1"/>
  <c r="X1463" i="1"/>
  <c r="X1475" i="1"/>
  <c r="X1487" i="1"/>
  <c r="X1499" i="1"/>
  <c r="X1511" i="1"/>
  <c r="X1523" i="1"/>
  <c r="X1535" i="1"/>
  <c r="X1547" i="1"/>
  <c r="X1559" i="1"/>
  <c r="X1571" i="1"/>
  <c r="X1583" i="1"/>
  <c r="X1595" i="1"/>
  <c r="X1607" i="1"/>
  <c r="X1619" i="1"/>
  <c r="X1631" i="1"/>
  <c r="X1643" i="1"/>
  <c r="X1655" i="1"/>
  <c r="X1667" i="1"/>
  <c r="X1679" i="1"/>
  <c r="X1691" i="1"/>
  <c r="X1703" i="1"/>
  <c r="X1715" i="1"/>
  <c r="X1727" i="1"/>
  <c r="X1739" i="1"/>
  <c r="X37" i="1"/>
  <c r="X109" i="1"/>
  <c r="X181" i="1"/>
  <c r="X253" i="1"/>
  <c r="X325" i="1"/>
  <c r="X397" i="1"/>
  <c r="X469" i="1"/>
  <c r="X528" i="1"/>
  <c r="X564" i="1"/>
  <c r="X600" i="1"/>
  <c r="X636" i="1"/>
  <c r="X672" i="1"/>
  <c r="X708" i="1"/>
  <c r="X744" i="1"/>
  <c r="X780" i="1"/>
  <c r="X816" i="1"/>
  <c r="X852" i="1"/>
  <c r="X880" i="1"/>
  <c r="X904" i="1"/>
  <c r="X925" i="1"/>
  <c r="X48" i="1"/>
  <c r="X120" i="1"/>
  <c r="X192" i="1"/>
  <c r="X264" i="1"/>
  <c r="X336" i="1"/>
  <c r="X408" i="1"/>
  <c r="X480" i="1"/>
  <c r="X529" i="1"/>
  <c r="X565" i="1"/>
  <c r="X601" i="1"/>
  <c r="X637" i="1"/>
  <c r="X673" i="1"/>
  <c r="X709" i="1"/>
  <c r="X745" i="1"/>
  <c r="X781" i="1"/>
  <c r="X817" i="1"/>
  <c r="X853" i="1"/>
  <c r="X881" i="1"/>
  <c r="X905" i="1"/>
  <c r="X49" i="1"/>
  <c r="X121" i="1"/>
  <c r="X193" i="1"/>
  <c r="X265" i="1"/>
  <c r="X337" i="1"/>
  <c r="X409" i="1"/>
  <c r="X481" i="1"/>
  <c r="X532" i="1"/>
  <c r="X568" i="1"/>
  <c r="X604" i="1"/>
  <c r="X640" i="1"/>
  <c r="X676" i="1"/>
  <c r="X712" i="1"/>
  <c r="X748" i="1"/>
  <c r="X784" i="1"/>
  <c r="X820" i="1"/>
  <c r="X856" i="1"/>
  <c r="X882" i="1"/>
  <c r="X906" i="1"/>
  <c r="X60" i="1"/>
  <c r="X132" i="1"/>
  <c r="X204" i="1"/>
  <c r="X276" i="1"/>
  <c r="X348" i="1"/>
  <c r="X420" i="1"/>
  <c r="X492" i="1"/>
  <c r="X533" i="1"/>
  <c r="X569" i="1"/>
  <c r="X605" i="1"/>
  <c r="X641" i="1"/>
  <c r="X677" i="1"/>
  <c r="X713" i="1"/>
  <c r="X749" i="1"/>
  <c r="X785" i="1"/>
  <c r="X821" i="1"/>
  <c r="X857" i="1"/>
  <c r="X887" i="1"/>
  <c r="X911" i="1"/>
  <c r="X930" i="1"/>
  <c r="X952" i="1"/>
  <c r="X971" i="1"/>
  <c r="X989" i="1"/>
  <c r="X1007" i="1"/>
  <c r="X1022" i="1"/>
  <c r="X1035" i="1"/>
  <c r="X1047" i="1"/>
  <c r="X1059" i="1"/>
  <c r="X1071" i="1"/>
  <c r="X1083" i="1"/>
  <c r="X1095" i="1"/>
  <c r="X1107" i="1"/>
  <c r="X1119" i="1"/>
  <c r="X1131" i="1"/>
  <c r="X1143" i="1"/>
  <c r="X1155" i="1"/>
  <c r="X1167" i="1"/>
  <c r="X1179" i="1"/>
  <c r="X1191" i="1"/>
  <c r="X1203" i="1"/>
  <c r="X1215" i="1"/>
  <c r="X1227" i="1"/>
  <c r="X1239" i="1"/>
  <c r="X1251" i="1"/>
  <c r="X1263" i="1"/>
  <c r="X1275" i="1"/>
  <c r="X1287" i="1"/>
  <c r="X1299" i="1"/>
  <c r="X1311" i="1"/>
  <c r="X1323" i="1"/>
  <c r="X1335" i="1"/>
  <c r="X1347" i="1"/>
  <c r="X61" i="1"/>
  <c r="X133" i="1"/>
  <c r="X205" i="1"/>
  <c r="X277" i="1"/>
  <c r="X349" i="1"/>
  <c r="X421" i="1"/>
  <c r="X493" i="1"/>
  <c r="X540" i="1"/>
  <c r="X576" i="1"/>
  <c r="X612" i="1"/>
  <c r="X648" i="1"/>
  <c r="X684" i="1"/>
  <c r="X720" i="1"/>
  <c r="X756" i="1"/>
  <c r="X792" i="1"/>
  <c r="X828" i="1"/>
  <c r="X863" i="1"/>
  <c r="X888" i="1"/>
  <c r="X912" i="1"/>
  <c r="X934" i="1"/>
  <c r="X953" i="1"/>
  <c r="X972" i="1"/>
  <c r="X990" i="1"/>
  <c r="X1008" i="1"/>
  <c r="X1023" i="1"/>
  <c r="X1036" i="1"/>
  <c r="X1048" i="1"/>
  <c r="X1060" i="1"/>
  <c r="X1072" i="1"/>
  <c r="X1084" i="1"/>
  <c r="X1096" i="1"/>
  <c r="X1108" i="1"/>
  <c r="X1120" i="1"/>
  <c r="X1132" i="1"/>
  <c r="X1144" i="1"/>
  <c r="X1156" i="1"/>
  <c r="X1168" i="1"/>
  <c r="X1180" i="1"/>
  <c r="X1192" i="1"/>
  <c r="X1204" i="1"/>
  <c r="X1216" i="1"/>
  <c r="X1228" i="1"/>
  <c r="X1240" i="1"/>
  <c r="X1252" i="1"/>
  <c r="X1264" i="1"/>
  <c r="X1276" i="1"/>
  <c r="X1288" i="1"/>
  <c r="X1300" i="1"/>
  <c r="X1312" i="1"/>
  <c r="X1324" i="1"/>
  <c r="X1336" i="1"/>
  <c r="X1348" i="1"/>
  <c r="X1360" i="1"/>
  <c r="X1372" i="1"/>
  <c r="X1384" i="1"/>
  <c r="X1396" i="1"/>
  <c r="X1408" i="1"/>
  <c r="X1420" i="1"/>
  <c r="X1432" i="1"/>
  <c r="X1444" i="1"/>
  <c r="X1456" i="1"/>
  <c r="X1468" i="1"/>
  <c r="X1480" i="1"/>
  <c r="X1492" i="1"/>
  <c r="X1504" i="1"/>
  <c r="X1516" i="1"/>
  <c r="X1528" i="1"/>
  <c r="X1540" i="1"/>
  <c r="X1552" i="1"/>
  <c r="X1564" i="1"/>
  <c r="X1576" i="1"/>
  <c r="X1588" i="1"/>
  <c r="X1600" i="1"/>
  <c r="X1612" i="1"/>
  <c r="X1624" i="1"/>
  <c r="X1636" i="1"/>
  <c r="X1648" i="1"/>
  <c r="X1660" i="1"/>
  <c r="X1672" i="1"/>
  <c r="X1684" i="1"/>
  <c r="X1696" i="1"/>
  <c r="X1708" i="1"/>
  <c r="X1720" i="1"/>
  <c r="X1732" i="1"/>
  <c r="X1744" i="1"/>
  <c r="X72" i="1"/>
  <c r="X144" i="1"/>
  <c r="X216" i="1"/>
  <c r="X288" i="1"/>
  <c r="X360" i="1"/>
  <c r="X432" i="1"/>
  <c r="X496" i="1"/>
  <c r="X541" i="1"/>
  <c r="X577" i="1"/>
  <c r="X613" i="1"/>
  <c r="X649" i="1"/>
  <c r="X685" i="1"/>
  <c r="X721" i="1"/>
  <c r="X757" i="1"/>
  <c r="X793" i="1"/>
  <c r="X829" i="1"/>
  <c r="X864" i="1"/>
  <c r="X889" i="1"/>
  <c r="X913" i="1"/>
  <c r="X935" i="1"/>
  <c r="X954" i="1"/>
  <c r="X973" i="1"/>
  <c r="X993" i="1"/>
  <c r="X1009" i="1"/>
  <c r="X1024" i="1"/>
  <c r="X1037" i="1"/>
  <c r="X1049" i="1"/>
  <c r="X1061" i="1"/>
  <c r="X1073" i="1"/>
  <c r="X1085" i="1"/>
  <c r="X1097" i="1"/>
  <c r="X1109" i="1"/>
  <c r="X1121" i="1"/>
  <c r="X1133" i="1"/>
  <c r="X1145" i="1"/>
  <c r="X1157" i="1"/>
  <c r="X1169" i="1"/>
  <c r="X1181" i="1"/>
  <c r="X1193" i="1"/>
  <c r="X1205" i="1"/>
  <c r="X1217" i="1"/>
  <c r="X1229" i="1"/>
  <c r="X1241" i="1"/>
  <c r="X1253" i="1"/>
  <c r="X1265" i="1"/>
  <c r="X1277" i="1"/>
  <c r="X1289" i="1"/>
  <c r="X1301" i="1"/>
  <c r="X1313" i="1"/>
  <c r="X1325" i="1"/>
  <c r="X1337" i="1"/>
  <c r="X1349" i="1"/>
  <c r="X1361" i="1"/>
  <c r="X1373" i="1"/>
  <c r="X1385" i="1"/>
  <c r="X1397" i="1"/>
  <c r="X1409" i="1"/>
  <c r="X1421" i="1"/>
  <c r="X1433" i="1"/>
  <c r="X1445" i="1"/>
  <c r="X1457" i="1"/>
  <c r="X1469" i="1"/>
  <c r="X1481" i="1"/>
  <c r="X1493" i="1"/>
  <c r="X1505" i="1"/>
  <c r="X1517" i="1"/>
  <c r="X1529" i="1"/>
  <c r="X1541" i="1"/>
  <c r="X1553" i="1"/>
  <c r="X1565" i="1"/>
  <c r="X1577" i="1"/>
  <c r="X1589" i="1"/>
  <c r="X1601" i="1"/>
  <c r="X1613" i="1"/>
  <c r="X1625" i="1"/>
  <c r="X1637" i="1"/>
  <c r="X1649" i="1"/>
  <c r="X1661" i="1"/>
  <c r="X1673" i="1"/>
  <c r="X1685" i="1"/>
  <c r="X1697" i="1"/>
  <c r="X1709" i="1"/>
  <c r="X1721" i="1"/>
  <c r="X1733" i="1"/>
  <c r="X145" i="1"/>
  <c r="X760" i="1"/>
  <c r="X941" i="1"/>
  <c r="X977" i="1"/>
  <c r="X1006" i="1"/>
  <c r="X1032" i="1"/>
  <c r="X1052" i="1"/>
  <c r="X1074" i="1"/>
  <c r="X1093" i="1"/>
  <c r="X1113" i="1"/>
  <c r="X1135" i="1"/>
  <c r="X1154" i="1"/>
  <c r="X1176" i="1"/>
  <c r="X1196" i="1"/>
  <c r="X1218" i="1"/>
  <c r="X1237" i="1"/>
  <c r="X1257" i="1"/>
  <c r="X1279" i="1"/>
  <c r="X1298" i="1"/>
  <c r="X1320" i="1"/>
  <c r="X1340" i="1"/>
  <c r="X1359" i="1"/>
  <c r="X217" i="1"/>
  <c r="X796" i="1"/>
  <c r="X947" i="1"/>
  <c r="X978" i="1"/>
  <c r="X1011" i="1"/>
  <c r="X1033" i="1"/>
  <c r="X1053" i="1"/>
  <c r="X1075" i="1"/>
  <c r="X1094" i="1"/>
  <c r="X1116" i="1"/>
  <c r="X1136" i="1"/>
  <c r="X1158" i="1"/>
  <c r="X1177" i="1"/>
  <c r="X1197" i="1"/>
  <c r="X1219" i="1"/>
  <c r="X1238" i="1"/>
  <c r="X1260" i="1"/>
  <c r="X1280" i="1"/>
  <c r="X1302" i="1"/>
  <c r="X1321" i="1"/>
  <c r="X1341" i="1"/>
  <c r="X1362" i="1"/>
  <c r="X289" i="1"/>
  <c r="X832" i="1"/>
  <c r="X948" i="1"/>
  <c r="X981" i="1"/>
  <c r="X1012" i="1"/>
  <c r="X1034" i="1"/>
  <c r="X1056" i="1"/>
  <c r="X1076" i="1"/>
  <c r="X1098" i="1"/>
  <c r="X1117" i="1"/>
  <c r="X1137" i="1"/>
  <c r="X1159" i="1"/>
  <c r="X1178" i="1"/>
  <c r="X1200" i="1"/>
  <c r="X1220" i="1"/>
  <c r="X1242" i="1"/>
  <c r="X1261" i="1"/>
  <c r="X1281" i="1"/>
  <c r="X1303" i="1"/>
  <c r="X1322" i="1"/>
  <c r="X1344" i="1"/>
  <c r="X1363" i="1"/>
  <c r="X1381" i="1"/>
  <c r="X1399" i="1"/>
  <c r="X1417" i="1"/>
  <c r="X1435" i="1"/>
  <c r="X361" i="1"/>
  <c r="X865" i="1"/>
  <c r="X949" i="1"/>
  <c r="X984" i="1"/>
  <c r="X1013" i="1"/>
  <c r="X1038" i="1"/>
  <c r="X1057" i="1"/>
  <c r="X1077" i="1"/>
  <c r="X1099" i="1"/>
  <c r="X1118" i="1"/>
  <c r="X1140" i="1"/>
  <c r="X1160" i="1"/>
  <c r="X1182" i="1"/>
  <c r="X1201" i="1"/>
  <c r="X1221" i="1"/>
  <c r="X1243" i="1"/>
  <c r="X1262" i="1"/>
  <c r="X1284" i="1"/>
  <c r="X1304" i="1"/>
  <c r="X1326" i="1"/>
  <c r="X1345" i="1"/>
  <c r="X1364" i="1"/>
  <c r="X1382" i="1"/>
  <c r="X1400" i="1"/>
  <c r="X1418" i="1"/>
  <c r="X1436" i="1"/>
  <c r="X1454" i="1"/>
  <c r="X1472" i="1"/>
  <c r="X1490" i="1"/>
  <c r="X1508" i="1"/>
  <c r="X1526" i="1"/>
  <c r="X1544" i="1"/>
  <c r="X1562" i="1"/>
  <c r="X1580" i="1"/>
  <c r="X1598" i="1"/>
  <c r="X1616" i="1"/>
  <c r="X1634" i="1"/>
  <c r="X1652" i="1"/>
  <c r="X1670" i="1"/>
  <c r="X1688" i="1"/>
  <c r="X1706" i="1"/>
  <c r="X1724" i="1"/>
  <c r="X1742" i="1"/>
  <c r="X1755" i="1"/>
  <c r="X1767" i="1"/>
  <c r="X1779" i="1"/>
  <c r="X1791" i="1"/>
  <c r="X1803" i="1"/>
  <c r="X1815" i="1"/>
  <c r="X1827" i="1"/>
  <c r="X1839" i="1"/>
  <c r="X1851" i="1"/>
  <c r="X1863" i="1"/>
  <c r="X1875" i="1"/>
  <c r="X1887" i="1"/>
  <c r="X1899" i="1"/>
  <c r="X1911" i="1"/>
  <c r="X1923" i="1"/>
  <c r="X1935" i="1"/>
  <c r="X1947" i="1"/>
  <c r="X1959" i="1"/>
  <c r="X1971" i="1"/>
  <c r="X1983" i="1"/>
  <c r="X1995" i="1"/>
  <c r="X2007" i="1"/>
  <c r="X2019" i="1"/>
  <c r="X2031" i="1"/>
  <c r="X2043" i="1"/>
  <c r="X2055" i="1"/>
  <c r="X2067" i="1"/>
  <c r="X2079" i="1"/>
  <c r="X2091" i="1"/>
  <c r="X2103" i="1"/>
  <c r="X2115" i="1"/>
  <c r="X2127" i="1"/>
  <c r="X2139" i="1"/>
  <c r="X2151" i="1"/>
  <c r="X2163" i="1"/>
  <c r="X2175" i="1"/>
  <c r="X2187" i="1"/>
  <c r="X2199" i="1"/>
  <c r="X2211" i="1"/>
  <c r="X2223" i="1"/>
  <c r="X2235" i="1"/>
  <c r="X2247" i="1"/>
  <c r="X504" i="1"/>
  <c r="X916" i="1"/>
  <c r="X959" i="1"/>
  <c r="X988" i="1"/>
  <c r="X1019" i="1"/>
  <c r="X1040" i="1"/>
  <c r="X1062" i="1"/>
  <c r="X1081" i="1"/>
  <c r="X1101" i="1"/>
  <c r="X1123" i="1"/>
  <c r="X1142" i="1"/>
  <c r="X1164" i="1"/>
  <c r="X1184" i="1"/>
  <c r="X1206" i="1"/>
  <c r="X1225" i="1"/>
  <c r="X1245" i="1"/>
  <c r="X1267" i="1"/>
  <c r="X1286" i="1"/>
  <c r="X1308" i="1"/>
  <c r="X1328" i="1"/>
  <c r="X1350" i="1"/>
  <c r="X1368" i="1"/>
  <c r="X544" i="1"/>
  <c r="X918" i="1"/>
  <c r="X960" i="1"/>
  <c r="X994" i="1"/>
  <c r="X1020" i="1"/>
  <c r="X1041" i="1"/>
  <c r="X1063" i="1"/>
  <c r="X1082" i="1"/>
  <c r="X1104" i="1"/>
  <c r="X1124" i="1"/>
  <c r="X1146" i="1"/>
  <c r="X1165" i="1"/>
  <c r="X1185" i="1"/>
  <c r="X1207" i="1"/>
  <c r="X1226" i="1"/>
  <c r="X1248" i="1"/>
  <c r="X1268" i="1"/>
  <c r="X1290" i="1"/>
  <c r="X1309" i="1"/>
  <c r="X1329" i="1"/>
  <c r="X1351" i="1"/>
  <c r="X580" i="1"/>
  <c r="X922" i="1"/>
  <c r="X961" i="1"/>
  <c r="X995" i="1"/>
  <c r="X1021" i="1"/>
  <c r="X1044" i="1"/>
  <c r="X1064" i="1"/>
  <c r="X1086" i="1"/>
  <c r="X1105" i="1"/>
  <c r="X1125" i="1"/>
  <c r="X1147" i="1"/>
  <c r="X1166" i="1"/>
  <c r="X1188" i="1"/>
  <c r="X1208" i="1"/>
  <c r="X1230" i="1"/>
  <c r="X1249" i="1"/>
  <c r="X1269" i="1"/>
  <c r="X1291" i="1"/>
  <c r="X1310" i="1"/>
  <c r="X1332" i="1"/>
  <c r="X1352" i="1"/>
  <c r="X1370" i="1"/>
  <c r="X1388" i="1"/>
  <c r="X1406" i="1"/>
  <c r="X1424" i="1"/>
  <c r="X1442" i="1"/>
  <c r="X1460" i="1"/>
  <c r="X1478" i="1"/>
  <c r="X1496" i="1"/>
  <c r="X1514" i="1"/>
  <c r="X1532" i="1"/>
  <c r="X1550" i="1"/>
  <c r="X1568" i="1"/>
  <c r="X1586" i="1"/>
  <c r="X1604" i="1"/>
  <c r="X1622" i="1"/>
  <c r="X1640" i="1"/>
  <c r="X1658" i="1"/>
  <c r="X1676" i="1"/>
  <c r="X1694" i="1"/>
  <c r="X1712" i="1"/>
  <c r="X1730" i="1"/>
  <c r="X1747" i="1"/>
  <c r="X1759" i="1"/>
  <c r="X1771" i="1"/>
  <c r="X1783" i="1"/>
  <c r="X1795" i="1"/>
  <c r="X1807" i="1"/>
  <c r="X1819" i="1"/>
  <c r="X1831" i="1"/>
  <c r="X1843" i="1"/>
  <c r="X1855" i="1"/>
  <c r="X1867" i="1"/>
  <c r="X1879" i="1"/>
  <c r="X1891" i="1"/>
  <c r="X1903" i="1"/>
  <c r="X1915" i="1"/>
  <c r="X1927" i="1"/>
  <c r="X1939" i="1"/>
  <c r="X1951" i="1"/>
  <c r="X1963" i="1"/>
  <c r="X1975" i="1"/>
  <c r="X1987" i="1"/>
  <c r="X1999" i="1"/>
  <c r="X2011" i="1"/>
  <c r="X2023" i="1"/>
  <c r="X2035" i="1"/>
  <c r="X2047" i="1"/>
  <c r="X2059" i="1"/>
  <c r="X2071" i="1"/>
  <c r="X2083" i="1"/>
  <c r="X2095" i="1"/>
  <c r="X2107" i="1"/>
  <c r="X2119" i="1"/>
  <c r="X2131" i="1"/>
  <c r="X2143" i="1"/>
  <c r="X2155" i="1"/>
  <c r="X2167" i="1"/>
  <c r="X2179" i="1"/>
  <c r="X2191" i="1"/>
  <c r="X616" i="1"/>
  <c r="X928" i="1"/>
  <c r="X966" i="1"/>
  <c r="X996" i="1"/>
  <c r="X1025" i="1"/>
  <c r="X1045" i="1"/>
  <c r="X1065" i="1"/>
  <c r="X1087" i="1"/>
  <c r="X1106" i="1"/>
  <c r="X1128" i="1"/>
  <c r="X1148" i="1"/>
  <c r="X1170" i="1"/>
  <c r="X1189" i="1"/>
  <c r="X1209" i="1"/>
  <c r="X1231" i="1"/>
  <c r="X1250" i="1"/>
  <c r="X1272" i="1"/>
  <c r="X1292" i="1"/>
  <c r="X1314" i="1"/>
  <c r="X1333" i="1"/>
  <c r="X1353" i="1"/>
  <c r="X1371" i="1"/>
  <c r="X1389" i="1"/>
  <c r="X1407" i="1"/>
  <c r="X1425" i="1"/>
  <c r="X1443" i="1"/>
  <c r="X652" i="1"/>
  <c r="X929" i="1"/>
  <c r="X969" i="1"/>
  <c r="X997" i="1"/>
  <c r="X1026" i="1"/>
  <c r="X1046" i="1"/>
  <c r="X1068" i="1"/>
  <c r="X1088" i="1"/>
  <c r="X1110" i="1"/>
  <c r="X1129" i="1"/>
  <c r="X1149" i="1"/>
  <c r="X1171" i="1"/>
  <c r="X1190" i="1"/>
  <c r="X1212" i="1"/>
  <c r="X1232" i="1"/>
  <c r="X1254" i="1"/>
  <c r="X1273" i="1"/>
  <c r="X1293" i="1"/>
  <c r="X1315" i="1"/>
  <c r="X1334" i="1"/>
  <c r="X1356" i="1"/>
  <c r="X1374" i="1"/>
  <c r="X1392" i="1"/>
  <c r="X1410" i="1"/>
  <c r="X1428" i="1"/>
  <c r="X1446" i="1"/>
  <c r="X1464" i="1"/>
  <c r="X1482" i="1"/>
  <c r="X1500" i="1"/>
  <c r="X1518" i="1"/>
  <c r="X1536" i="1"/>
  <c r="X1554" i="1"/>
  <c r="X1572" i="1"/>
  <c r="X1590" i="1"/>
  <c r="X1608" i="1"/>
  <c r="X1626" i="1"/>
  <c r="X1644" i="1"/>
  <c r="X1662" i="1"/>
  <c r="X1680" i="1"/>
  <c r="X1698" i="1"/>
  <c r="X1716" i="1"/>
  <c r="X1734" i="1"/>
  <c r="X1749" i="1"/>
  <c r="X1761" i="1"/>
  <c r="X1773" i="1"/>
  <c r="X1785" i="1"/>
  <c r="X1797" i="1"/>
  <c r="X1809" i="1"/>
  <c r="X1821" i="1"/>
  <c r="X1833" i="1"/>
  <c r="X1845" i="1"/>
  <c r="X1857" i="1"/>
  <c r="X1869" i="1"/>
  <c r="X1881" i="1"/>
  <c r="X1893" i="1"/>
  <c r="X1905" i="1"/>
  <c r="X1917" i="1"/>
  <c r="X1929" i="1"/>
  <c r="X1941" i="1"/>
  <c r="X1953" i="1"/>
  <c r="X1965" i="1"/>
  <c r="X1977" i="1"/>
  <c r="X1989" i="1"/>
  <c r="X2001" i="1"/>
  <c r="X2013" i="1"/>
  <c r="X2025" i="1"/>
  <c r="X2037" i="1"/>
  <c r="X2049" i="1"/>
  <c r="X2061" i="1"/>
  <c r="X2073" i="1"/>
  <c r="X2085" i="1"/>
  <c r="X2097" i="1"/>
  <c r="X2109" i="1"/>
  <c r="X2121" i="1"/>
  <c r="X2133" i="1"/>
  <c r="X2145" i="1"/>
  <c r="X2157" i="1"/>
  <c r="X2169" i="1"/>
  <c r="X2181" i="1"/>
  <c r="X2193" i="1"/>
  <c r="X2205" i="1"/>
  <c r="X2217" i="1"/>
  <c r="X2229" i="1"/>
  <c r="X2241" i="1"/>
  <c r="X2253" i="1"/>
  <c r="X73" i="1"/>
  <c r="X1005" i="1"/>
  <c r="X1092" i="1"/>
  <c r="X1173" i="1"/>
  <c r="X1256" i="1"/>
  <c r="X1339" i="1"/>
  <c r="X1387" i="1"/>
  <c r="X1419" i="1"/>
  <c r="X1449" i="1"/>
  <c r="X1473" i="1"/>
  <c r="X1497" i="1"/>
  <c r="X1521" i="1"/>
  <c r="X1545" i="1"/>
  <c r="X1569" i="1"/>
  <c r="X1593" i="1"/>
  <c r="X1617" i="1"/>
  <c r="X1641" i="1"/>
  <c r="X1665" i="1"/>
  <c r="X1689" i="1"/>
  <c r="X1713" i="1"/>
  <c r="X1737" i="1"/>
  <c r="X1756" i="1"/>
  <c r="X1772" i="1"/>
  <c r="X1788" i="1"/>
  <c r="X1804" i="1"/>
  <c r="X1820" i="1"/>
  <c r="X1836" i="1"/>
  <c r="X1852" i="1"/>
  <c r="X1868" i="1"/>
  <c r="X1884" i="1"/>
  <c r="X1900" i="1"/>
  <c r="X1916" i="1"/>
  <c r="X1932" i="1"/>
  <c r="X1948" i="1"/>
  <c r="X1964" i="1"/>
  <c r="X1980" i="1"/>
  <c r="X1996" i="1"/>
  <c r="X2012" i="1"/>
  <c r="X2028" i="1"/>
  <c r="X2044" i="1"/>
  <c r="X2060" i="1"/>
  <c r="X2076" i="1"/>
  <c r="X2092" i="1"/>
  <c r="X433" i="1"/>
  <c r="X1014" i="1"/>
  <c r="X1100" i="1"/>
  <c r="X1183" i="1"/>
  <c r="X1266" i="1"/>
  <c r="X1346" i="1"/>
  <c r="X1393" i="1"/>
  <c r="X1422" i="1"/>
  <c r="X1452" i="1"/>
  <c r="X1476" i="1"/>
  <c r="X1501" i="1"/>
  <c r="X1524" i="1"/>
  <c r="X1548" i="1"/>
  <c r="X1573" i="1"/>
  <c r="X1596" i="1"/>
  <c r="X1620" i="1"/>
  <c r="X1645" i="1"/>
  <c r="X1668" i="1"/>
  <c r="X1692" i="1"/>
  <c r="X1717" i="1"/>
  <c r="X1740" i="1"/>
  <c r="X1757" i="1"/>
  <c r="X1774" i="1"/>
  <c r="X1789" i="1"/>
  <c r="X1805" i="1"/>
  <c r="X1822" i="1"/>
  <c r="X1837" i="1"/>
  <c r="X1853" i="1"/>
  <c r="X1870" i="1"/>
  <c r="X1885" i="1"/>
  <c r="X1901" i="1"/>
  <c r="X1918" i="1"/>
  <c r="X1933" i="1"/>
  <c r="X1949" i="1"/>
  <c r="X1966" i="1"/>
  <c r="X1981" i="1"/>
  <c r="X1997" i="1"/>
  <c r="X688" i="1"/>
  <c r="X1028" i="1"/>
  <c r="X1111" i="1"/>
  <c r="X1194" i="1"/>
  <c r="X1274" i="1"/>
  <c r="X1357" i="1"/>
  <c r="X1394" i="1"/>
  <c r="X1423" i="1"/>
  <c r="X1453" i="1"/>
  <c r="X1477" i="1"/>
  <c r="X1502" i="1"/>
  <c r="X1525" i="1"/>
  <c r="X1549" i="1"/>
  <c r="X1574" i="1"/>
  <c r="X1597" i="1"/>
  <c r="X1621" i="1"/>
  <c r="X1646" i="1"/>
  <c r="X1669" i="1"/>
  <c r="X1693" i="1"/>
  <c r="X1718" i="1"/>
  <c r="X1741" i="1"/>
  <c r="X1758" i="1"/>
  <c r="X1775" i="1"/>
  <c r="X1790" i="1"/>
  <c r="X1806" i="1"/>
  <c r="X1823" i="1"/>
  <c r="X1838" i="1"/>
  <c r="X1854" i="1"/>
  <c r="X1871" i="1"/>
  <c r="X1886" i="1"/>
  <c r="X1902" i="1"/>
  <c r="X1919" i="1"/>
  <c r="X1934" i="1"/>
  <c r="X1950" i="1"/>
  <c r="X1967" i="1"/>
  <c r="X1982" i="1"/>
  <c r="X892" i="1"/>
  <c r="X1039" i="1"/>
  <c r="X1122" i="1"/>
  <c r="X1202" i="1"/>
  <c r="X1285" i="1"/>
  <c r="X1365" i="1"/>
  <c r="X1398" i="1"/>
  <c r="X1430" i="1"/>
  <c r="X1458" i="1"/>
  <c r="X1483" i="1"/>
  <c r="X1506" i="1"/>
  <c r="X1530" i="1"/>
  <c r="X1555" i="1"/>
  <c r="X1578" i="1"/>
  <c r="X1602" i="1"/>
  <c r="X1627" i="1"/>
  <c r="X1650" i="1"/>
  <c r="X1674" i="1"/>
  <c r="X1699" i="1"/>
  <c r="X1722" i="1"/>
  <c r="X1745" i="1"/>
  <c r="X1762" i="1"/>
  <c r="X1777" i="1"/>
  <c r="X1793" i="1"/>
  <c r="X1810" i="1"/>
  <c r="X1825" i="1"/>
  <c r="X1841" i="1"/>
  <c r="X1858" i="1"/>
  <c r="X1873" i="1"/>
  <c r="X1889" i="1"/>
  <c r="X1906" i="1"/>
  <c r="X1921" i="1"/>
  <c r="X1937" i="1"/>
  <c r="X1954" i="1"/>
  <c r="X1969" i="1"/>
  <c r="X1985" i="1"/>
  <c r="X2002" i="1"/>
  <c r="X2017" i="1"/>
  <c r="X2033" i="1"/>
  <c r="X2050" i="1"/>
  <c r="X2065" i="1"/>
  <c r="X2081" i="1"/>
  <c r="X2098" i="1"/>
  <c r="X2113" i="1"/>
  <c r="X2129" i="1"/>
  <c r="X2146" i="1"/>
  <c r="X2161" i="1"/>
  <c r="X2177" i="1"/>
  <c r="X2194" i="1"/>
  <c r="X2208" i="1"/>
  <c r="X2222" i="1"/>
  <c r="X2237" i="1"/>
  <c r="X2251" i="1"/>
  <c r="X2264" i="1"/>
  <c r="X2276" i="1"/>
  <c r="X2288" i="1"/>
  <c r="X2300" i="1"/>
  <c r="X2312" i="1"/>
  <c r="X2324" i="1"/>
  <c r="X2336" i="1"/>
  <c r="X2348" i="1"/>
  <c r="X2360" i="1"/>
  <c r="X2372" i="1"/>
  <c r="X2384" i="1"/>
  <c r="X2396" i="1"/>
  <c r="X2408" i="1"/>
  <c r="X2420" i="1"/>
  <c r="X2432" i="1"/>
  <c r="X2444" i="1"/>
  <c r="X2456" i="1"/>
  <c r="X2468" i="1"/>
  <c r="X2480" i="1"/>
  <c r="X2492" i="1"/>
  <c r="X2504" i="1"/>
  <c r="X2516" i="1"/>
  <c r="X2528" i="1"/>
  <c r="X2540" i="1"/>
  <c r="X2552" i="1"/>
  <c r="X2564" i="1"/>
  <c r="X2576" i="1"/>
  <c r="X2588" i="1"/>
  <c r="X2600" i="1"/>
  <c r="X2612" i="1"/>
  <c r="X2624" i="1"/>
  <c r="X2636" i="1"/>
  <c r="X2648" i="1"/>
  <c r="X2660" i="1"/>
  <c r="X2672" i="1"/>
  <c r="X2684" i="1"/>
  <c r="X2696" i="1"/>
  <c r="X2708" i="1"/>
  <c r="X2720" i="1"/>
  <c r="X2732" i="1"/>
  <c r="X2744" i="1"/>
  <c r="X936" i="1"/>
  <c r="X1050" i="1"/>
  <c r="X1130" i="1"/>
  <c r="X1213" i="1"/>
  <c r="X1296" i="1"/>
  <c r="X1369" i="1"/>
  <c r="X1401" i="1"/>
  <c r="X1431" i="1"/>
  <c r="X1459" i="1"/>
  <c r="X1484" i="1"/>
  <c r="X1507" i="1"/>
  <c r="X1531" i="1"/>
  <c r="X1556" i="1"/>
  <c r="X1579" i="1"/>
  <c r="X1603" i="1"/>
  <c r="X1628" i="1"/>
  <c r="X1651" i="1"/>
  <c r="X1675" i="1"/>
  <c r="X1700" i="1"/>
  <c r="X1723" i="1"/>
  <c r="X1746" i="1"/>
  <c r="X1763" i="1"/>
  <c r="X1778" i="1"/>
  <c r="X1794" i="1"/>
  <c r="X1811" i="1"/>
  <c r="X1826" i="1"/>
  <c r="X1842" i="1"/>
  <c r="X1859" i="1"/>
  <c r="X1874" i="1"/>
  <c r="X1890" i="1"/>
  <c r="X1907" i="1"/>
  <c r="X1922" i="1"/>
  <c r="X1938" i="1"/>
  <c r="X1955" i="1"/>
  <c r="X1970" i="1"/>
  <c r="X1986" i="1"/>
  <c r="X2003" i="1"/>
  <c r="X2018" i="1"/>
  <c r="X2034" i="1"/>
  <c r="X2051" i="1"/>
  <c r="X2066" i="1"/>
  <c r="X2082" i="1"/>
  <c r="X2099" i="1"/>
  <c r="X2114" i="1"/>
  <c r="X940" i="1"/>
  <c r="X1051" i="1"/>
  <c r="X1134" i="1"/>
  <c r="X1214" i="1"/>
  <c r="X1297" i="1"/>
  <c r="X1375" i="1"/>
  <c r="X1404" i="1"/>
  <c r="X1434" i="1"/>
  <c r="X1461" i="1"/>
  <c r="X1485" i="1"/>
  <c r="X1509" i="1"/>
  <c r="X1533" i="1"/>
  <c r="X1557" i="1"/>
  <c r="X1581" i="1"/>
  <c r="X1605" i="1"/>
  <c r="X1629" i="1"/>
  <c r="X1653" i="1"/>
  <c r="X1677" i="1"/>
  <c r="X1701" i="1"/>
  <c r="X1725" i="1"/>
  <c r="X1748" i="1"/>
  <c r="X1764" i="1"/>
  <c r="X1780" i="1"/>
  <c r="X1796" i="1"/>
  <c r="X1812" i="1"/>
  <c r="X1828" i="1"/>
  <c r="X1844" i="1"/>
  <c r="X1860" i="1"/>
  <c r="X1876" i="1"/>
  <c r="X1892" i="1"/>
  <c r="X1908" i="1"/>
  <c r="X1924" i="1"/>
  <c r="X1940" i="1"/>
  <c r="X1956" i="1"/>
  <c r="X1972" i="1"/>
  <c r="X1988" i="1"/>
  <c r="X958" i="1"/>
  <c r="X1058" i="1"/>
  <c r="X1141" i="1"/>
  <c r="X1224" i="1"/>
  <c r="X1305" i="1"/>
  <c r="X1376" i="1"/>
  <c r="X1405" i="1"/>
  <c r="X1437" i="1"/>
  <c r="X1465" i="1"/>
  <c r="X1488" i="1"/>
  <c r="X1512" i="1"/>
  <c r="X1537" i="1"/>
  <c r="X1560" i="1"/>
  <c r="X1584" i="1"/>
  <c r="X1609" i="1"/>
  <c r="X1632" i="1"/>
  <c r="X1656" i="1"/>
  <c r="X1681" i="1"/>
  <c r="X1704" i="1"/>
  <c r="X1728" i="1"/>
  <c r="X1750" i="1"/>
  <c r="X1765" i="1"/>
  <c r="X1781" i="1"/>
  <c r="X1798" i="1"/>
  <c r="X1813" i="1"/>
  <c r="X1829" i="1"/>
  <c r="X1846" i="1"/>
  <c r="X1861" i="1"/>
  <c r="X1877" i="1"/>
  <c r="X1894" i="1"/>
  <c r="X1909" i="1"/>
  <c r="X1925" i="1"/>
  <c r="X1942" i="1"/>
  <c r="X1957" i="1"/>
  <c r="X1973" i="1"/>
  <c r="X1990" i="1"/>
  <c r="X970" i="1"/>
  <c r="X1069" i="1"/>
  <c r="X1152" i="1"/>
  <c r="X1233" i="1"/>
  <c r="X1316" i="1"/>
  <c r="X1377" i="1"/>
  <c r="X1411" i="1"/>
  <c r="X1440" i="1"/>
  <c r="X1466" i="1"/>
  <c r="X1489" i="1"/>
  <c r="X1513" i="1"/>
  <c r="X1538" i="1"/>
  <c r="X1561" i="1"/>
  <c r="X1585" i="1"/>
  <c r="X1610" i="1"/>
  <c r="X1633" i="1"/>
  <c r="X1657" i="1"/>
  <c r="X1682" i="1"/>
  <c r="X1705" i="1"/>
  <c r="X1729" i="1"/>
  <c r="X1751" i="1"/>
  <c r="X1766" i="1"/>
  <c r="X1782" i="1"/>
  <c r="X1799" i="1"/>
  <c r="X1814" i="1"/>
  <c r="X1830" i="1"/>
  <c r="X1847" i="1"/>
  <c r="X1862" i="1"/>
  <c r="X1878" i="1"/>
  <c r="X1895" i="1"/>
  <c r="X1910" i="1"/>
  <c r="X1926" i="1"/>
  <c r="X1943" i="1"/>
  <c r="X1958" i="1"/>
  <c r="X1974" i="1"/>
  <c r="X1991" i="1"/>
  <c r="X2006" i="1"/>
  <c r="X2022" i="1"/>
  <c r="X2039" i="1"/>
  <c r="X2054" i="1"/>
  <c r="X2070" i="1"/>
  <c r="X2087" i="1"/>
  <c r="X2102" i="1"/>
  <c r="X2118" i="1"/>
  <c r="X2135" i="1"/>
  <c r="X2150" i="1"/>
  <c r="X2166" i="1"/>
  <c r="X2183" i="1"/>
  <c r="X2198" i="1"/>
  <c r="X2213" i="1"/>
  <c r="X2227" i="1"/>
  <c r="X2242" i="1"/>
  <c r="X2256" i="1"/>
  <c r="X2268" i="1"/>
  <c r="X2280" i="1"/>
  <c r="X2292" i="1"/>
  <c r="X2304" i="1"/>
  <c r="X2316" i="1"/>
  <c r="X2328" i="1"/>
  <c r="X2340" i="1"/>
  <c r="X2352" i="1"/>
  <c r="X2364" i="1"/>
  <c r="X2376" i="1"/>
  <c r="X2388" i="1"/>
  <c r="X2400" i="1"/>
  <c r="X2412" i="1"/>
  <c r="X2424" i="1"/>
  <c r="X2436" i="1"/>
  <c r="X2448" i="1"/>
  <c r="X2460" i="1"/>
  <c r="X2472" i="1"/>
  <c r="X2484" i="1"/>
  <c r="X2496" i="1"/>
  <c r="X2508" i="1"/>
  <c r="X2520" i="1"/>
  <c r="X2532" i="1"/>
  <c r="X2544" i="1"/>
  <c r="X2556" i="1"/>
  <c r="X2568" i="1"/>
  <c r="X2580" i="1"/>
  <c r="X2592" i="1"/>
  <c r="X2604" i="1"/>
  <c r="X2616" i="1"/>
  <c r="X2628" i="1"/>
  <c r="X985" i="1"/>
  <c r="X1080" i="1"/>
  <c r="X1161" i="1"/>
  <c r="X1244" i="1"/>
  <c r="X1327" i="1"/>
  <c r="X1383" i="1"/>
  <c r="X1413" i="1"/>
  <c r="X1447" i="1"/>
  <c r="X1470" i="1"/>
  <c r="X1494" i="1"/>
  <c r="X1519" i="1"/>
  <c r="X1542" i="1"/>
  <c r="X1566" i="1"/>
  <c r="X1591" i="1"/>
  <c r="X1614" i="1"/>
  <c r="X1638" i="1"/>
  <c r="X1663" i="1"/>
  <c r="X1686" i="1"/>
  <c r="X1710" i="1"/>
  <c r="X1735" i="1"/>
  <c r="X1753" i="1"/>
  <c r="X1769" i="1"/>
  <c r="X1786" i="1"/>
  <c r="X1801" i="1"/>
  <c r="X1817" i="1"/>
  <c r="X1834" i="1"/>
  <c r="X1849" i="1"/>
  <c r="X1865" i="1"/>
  <c r="X1882" i="1"/>
  <c r="X1897" i="1"/>
  <c r="X1913" i="1"/>
  <c r="X1930" i="1"/>
  <c r="X1945" i="1"/>
  <c r="X1961" i="1"/>
  <c r="X1978" i="1"/>
  <c r="X1993" i="1"/>
  <c r="X2009" i="1"/>
  <c r="X2026" i="1"/>
  <c r="X2041" i="1"/>
  <c r="X2057" i="1"/>
  <c r="X2074" i="1"/>
  <c r="X2089" i="1"/>
  <c r="X2105" i="1"/>
  <c r="X2122" i="1"/>
  <c r="X2137" i="1"/>
  <c r="X2153" i="1"/>
  <c r="X2170" i="1"/>
  <c r="X2185" i="1"/>
  <c r="X2201" i="1"/>
  <c r="X2215" i="1"/>
  <c r="X2230" i="1"/>
  <c r="X2244" i="1"/>
  <c r="X2258" i="1"/>
  <c r="X2270" i="1"/>
  <c r="X2282" i="1"/>
  <c r="X2294" i="1"/>
  <c r="X2306" i="1"/>
  <c r="X2318" i="1"/>
  <c r="X2330" i="1"/>
  <c r="X2342" i="1"/>
  <c r="X2354" i="1"/>
  <c r="X2366" i="1"/>
  <c r="X2378" i="1"/>
  <c r="X2390" i="1"/>
  <c r="X2402" i="1"/>
  <c r="X2414" i="1"/>
  <c r="X2426" i="1"/>
  <c r="X2438" i="1"/>
  <c r="X2450" i="1"/>
  <c r="X2462" i="1"/>
  <c r="X2474" i="1"/>
  <c r="X2486" i="1"/>
  <c r="X2498" i="1"/>
  <c r="X2510" i="1"/>
  <c r="X2522" i="1"/>
  <c r="X2534" i="1"/>
  <c r="X2546" i="1"/>
  <c r="X2558" i="1"/>
  <c r="X2570" i="1"/>
  <c r="X2582" i="1"/>
  <c r="X2594" i="1"/>
  <c r="X2606" i="1"/>
  <c r="X2618" i="1"/>
  <c r="X2630" i="1"/>
  <c r="X2642" i="1"/>
  <c r="X724" i="1"/>
  <c r="X976" i="1"/>
  <c r="X1317" i="1"/>
  <c r="X1002" i="1"/>
  <c r="X1338" i="1"/>
  <c r="X1029" i="1"/>
  <c r="X1358" i="1"/>
  <c r="X1479" i="1"/>
  <c r="X1070" i="1"/>
  <c r="X1380" i="1"/>
  <c r="X1491" i="1"/>
  <c r="X1587" i="1"/>
  <c r="X1683" i="1"/>
  <c r="X1768" i="1"/>
  <c r="X1832" i="1"/>
  <c r="X1896" i="1"/>
  <c r="X1960" i="1"/>
  <c r="X2008" i="1"/>
  <c r="X2036" i="1"/>
  <c r="X2063" i="1"/>
  <c r="X2090" i="1"/>
  <c r="X2116" i="1"/>
  <c r="X2138" i="1"/>
  <c r="X2159" i="1"/>
  <c r="X2180" i="1"/>
  <c r="X2202" i="1"/>
  <c r="X2220" i="1"/>
  <c r="X2239" i="1"/>
  <c r="X2259" i="1"/>
  <c r="X2274" i="1"/>
  <c r="X2290" i="1"/>
  <c r="X2307" i="1"/>
  <c r="X2322" i="1"/>
  <c r="X2338" i="1"/>
  <c r="X2355" i="1"/>
  <c r="X2370" i="1"/>
  <c r="X2386" i="1"/>
  <c r="X2403" i="1"/>
  <c r="X2418" i="1"/>
  <c r="X2434" i="1"/>
  <c r="X2451" i="1"/>
  <c r="X2466" i="1"/>
  <c r="X2482" i="1"/>
  <c r="X2499" i="1"/>
  <c r="X2514" i="1"/>
  <c r="X2530" i="1"/>
  <c r="X2547" i="1"/>
  <c r="X2562" i="1"/>
  <c r="X2578" i="1"/>
  <c r="X2595" i="1"/>
  <c r="X2610" i="1"/>
  <c r="X2626" i="1"/>
  <c r="X2641" i="1"/>
  <c r="X2655" i="1"/>
  <c r="X2668" i="1"/>
  <c r="X2681" i="1"/>
  <c r="X2694" i="1"/>
  <c r="X2707" i="1"/>
  <c r="X2721" i="1"/>
  <c r="X2734" i="1"/>
  <c r="X2747" i="1"/>
  <c r="X2759" i="1"/>
  <c r="X2771" i="1"/>
  <c r="X2783" i="1"/>
  <c r="X2795" i="1"/>
  <c r="X2807" i="1"/>
  <c r="X2819" i="1"/>
  <c r="X2831" i="1"/>
  <c r="X2843" i="1"/>
  <c r="X2855" i="1"/>
  <c r="X2867" i="1"/>
  <c r="X2879" i="1"/>
  <c r="X2891" i="1"/>
  <c r="X2903" i="1"/>
  <c r="X2915" i="1"/>
  <c r="X2927" i="1"/>
  <c r="X2939" i="1"/>
  <c r="X2951" i="1"/>
  <c r="X2963" i="1"/>
  <c r="X2975" i="1"/>
  <c r="X2987" i="1"/>
  <c r="X2999" i="1"/>
  <c r="X3011" i="1"/>
  <c r="X3023" i="1"/>
  <c r="X3035" i="1"/>
  <c r="X3047" i="1"/>
  <c r="X3059" i="1"/>
  <c r="X3071" i="1"/>
  <c r="X3083" i="1"/>
  <c r="X3095" i="1"/>
  <c r="X3107" i="1"/>
  <c r="X3119" i="1"/>
  <c r="X3131" i="1"/>
  <c r="X3143" i="1"/>
  <c r="X3155" i="1"/>
  <c r="X3167" i="1"/>
  <c r="X3179" i="1"/>
  <c r="X3191" i="1"/>
  <c r="X3203" i="1"/>
  <c r="X3215" i="1"/>
  <c r="X3227" i="1"/>
  <c r="X3239" i="1"/>
  <c r="X3251" i="1"/>
  <c r="X3263" i="1"/>
  <c r="X3275" i="1"/>
  <c r="X3287" i="1"/>
  <c r="X3299" i="1"/>
  <c r="X3311" i="1"/>
  <c r="X1089" i="1"/>
  <c r="X1112" i="1"/>
  <c r="X1395" i="1"/>
  <c r="X1153" i="1"/>
  <c r="X1412" i="1"/>
  <c r="X1172" i="1"/>
  <c r="X1416" i="1"/>
  <c r="X1520" i="1"/>
  <c r="X1615" i="1"/>
  <c r="X1711" i="1"/>
  <c r="X1787" i="1"/>
  <c r="X1850" i="1"/>
  <c r="X1914" i="1"/>
  <c r="X1979" i="1"/>
  <c r="X2016" i="1"/>
  <c r="X2045" i="1"/>
  <c r="X2072" i="1"/>
  <c r="X2100" i="1"/>
  <c r="X2124" i="1"/>
  <c r="X2144" i="1"/>
  <c r="X2165" i="1"/>
  <c r="X2188" i="1"/>
  <c r="X2207" i="1"/>
  <c r="X2226" i="1"/>
  <c r="X2246" i="1"/>
  <c r="X2263" i="1"/>
  <c r="X2279" i="1"/>
  <c r="X2296" i="1"/>
  <c r="X2311" i="1"/>
  <c r="X2327" i="1"/>
  <c r="X2344" i="1"/>
  <c r="X2359" i="1"/>
  <c r="X2375" i="1"/>
  <c r="X2392" i="1"/>
  <c r="X2407" i="1"/>
  <c r="X2423" i="1"/>
  <c r="X2440" i="1"/>
  <c r="X2455" i="1"/>
  <c r="X2471" i="1"/>
  <c r="X2488" i="1"/>
  <c r="X2503" i="1"/>
  <c r="X2519" i="1"/>
  <c r="X2536" i="1"/>
  <c r="X2551" i="1"/>
  <c r="X2567" i="1"/>
  <c r="X2584" i="1"/>
  <c r="X2599" i="1"/>
  <c r="X2615" i="1"/>
  <c r="X2632" i="1"/>
  <c r="X2646" i="1"/>
  <c r="X2659" i="1"/>
  <c r="X2673" i="1"/>
  <c r="X2686" i="1"/>
  <c r="X2699" i="1"/>
  <c r="X2712" i="1"/>
  <c r="X2725" i="1"/>
  <c r="X2738" i="1"/>
  <c r="X2751" i="1"/>
  <c r="X2763" i="1"/>
  <c r="X2775" i="1"/>
  <c r="X2787" i="1"/>
  <c r="X2799" i="1"/>
  <c r="X2811" i="1"/>
  <c r="X2823" i="1"/>
  <c r="X2835" i="1"/>
  <c r="X2847" i="1"/>
  <c r="X2859" i="1"/>
  <c r="X2871" i="1"/>
  <c r="X2883" i="1"/>
  <c r="X2895" i="1"/>
  <c r="X2907" i="1"/>
  <c r="X2919" i="1"/>
  <c r="X2931" i="1"/>
  <c r="X2943" i="1"/>
  <c r="X2955" i="1"/>
  <c r="X2967" i="1"/>
  <c r="X2979" i="1"/>
  <c r="X2991" i="1"/>
  <c r="X3003" i="1"/>
  <c r="X3015" i="1"/>
  <c r="X3027" i="1"/>
  <c r="X3039" i="1"/>
  <c r="X3051" i="1"/>
  <c r="X3063" i="1"/>
  <c r="X3075" i="1"/>
  <c r="X3087" i="1"/>
  <c r="X3099" i="1"/>
  <c r="X3111" i="1"/>
  <c r="X3123" i="1"/>
  <c r="X3135" i="1"/>
  <c r="X1195" i="1"/>
  <c r="X1429" i="1"/>
  <c r="X1527" i="1"/>
  <c r="X1236" i="1"/>
  <c r="X1441" i="1"/>
  <c r="X1539" i="1"/>
  <c r="X1635" i="1"/>
  <c r="X1731" i="1"/>
  <c r="X1800" i="1"/>
  <c r="X1864" i="1"/>
  <c r="X1928" i="1"/>
  <c r="X1992" i="1"/>
  <c r="X2021" i="1"/>
  <c r="X2048" i="1"/>
  <c r="X2077" i="1"/>
  <c r="X2104" i="1"/>
  <c r="X2126" i="1"/>
  <c r="X2148" i="1"/>
  <c r="X2171" i="1"/>
  <c r="X2190" i="1"/>
  <c r="X2210" i="1"/>
  <c r="X2231" i="1"/>
  <c r="X2249" i="1"/>
  <c r="X2266" i="1"/>
  <c r="X2283" i="1"/>
  <c r="X2298" i="1"/>
  <c r="X2314" i="1"/>
  <c r="X2331" i="1"/>
  <c r="X2346" i="1"/>
  <c r="X2362" i="1"/>
  <c r="X2379" i="1"/>
  <c r="X2394" i="1"/>
  <c r="X2410" i="1"/>
  <c r="X2427" i="1"/>
  <c r="X2442" i="1"/>
  <c r="X2458" i="1"/>
  <c r="X2475" i="1"/>
  <c r="X2490" i="1"/>
  <c r="X2506" i="1"/>
  <c r="X2523" i="1"/>
  <c r="X2538" i="1"/>
  <c r="X2554" i="1"/>
  <c r="X2571" i="1"/>
  <c r="X2586" i="1"/>
  <c r="X2602" i="1"/>
  <c r="X2619" i="1"/>
  <c r="X2634" i="1"/>
  <c r="X2649" i="1"/>
  <c r="X2662" i="1"/>
  <c r="X2675" i="1"/>
  <c r="X2688" i="1"/>
  <c r="X2701" i="1"/>
  <c r="X2714" i="1"/>
  <c r="X2727" i="1"/>
  <c r="X2740" i="1"/>
  <c r="X2753" i="1"/>
  <c r="X2765" i="1"/>
  <c r="X2777" i="1"/>
  <c r="X2789" i="1"/>
  <c r="X2801" i="1"/>
  <c r="X2813" i="1"/>
  <c r="X2825" i="1"/>
  <c r="X2837" i="1"/>
  <c r="X2849" i="1"/>
  <c r="X2861" i="1"/>
  <c r="X2873" i="1"/>
  <c r="X2885" i="1"/>
  <c r="X2897" i="1"/>
  <c r="X2909" i="1"/>
  <c r="X2921" i="1"/>
  <c r="X2933" i="1"/>
  <c r="X2945" i="1"/>
  <c r="X2957" i="1"/>
  <c r="X2969" i="1"/>
  <c r="X2981" i="1"/>
  <c r="X2993" i="1"/>
  <c r="X3005" i="1"/>
  <c r="X3017" i="1"/>
  <c r="X3029" i="1"/>
  <c r="X3041" i="1"/>
  <c r="X3053" i="1"/>
  <c r="X3065" i="1"/>
  <c r="X3077" i="1"/>
  <c r="X3089" i="1"/>
  <c r="X3101" i="1"/>
  <c r="X3113" i="1"/>
  <c r="X3125" i="1"/>
  <c r="X3137" i="1"/>
  <c r="X3149" i="1"/>
  <c r="X3161" i="1"/>
  <c r="X3173" i="1"/>
  <c r="X3185" i="1"/>
  <c r="X3197" i="1"/>
  <c r="X3209" i="1"/>
  <c r="X3221" i="1"/>
  <c r="X3233" i="1"/>
  <c r="X3245" i="1"/>
  <c r="X3257" i="1"/>
  <c r="X3269" i="1"/>
  <c r="X3281" i="1"/>
  <c r="X3293" i="1"/>
  <c r="X3305" i="1"/>
  <c r="X1255" i="1"/>
  <c r="X1563" i="1"/>
  <c r="X1687" i="1"/>
  <c r="X1792" i="1"/>
  <c r="X1880" i="1"/>
  <c r="X1962" i="1"/>
  <c r="X2020" i="1"/>
  <c r="X2056" i="1"/>
  <c r="X2093" i="1"/>
  <c r="X2125" i="1"/>
  <c r="X2154" i="1"/>
  <c r="X2182" i="1"/>
  <c r="X2209" i="1"/>
  <c r="X2234" i="1"/>
  <c r="X2260" i="1"/>
  <c r="X2281" i="1"/>
  <c r="X2302" i="1"/>
  <c r="X2323" i="1"/>
  <c r="X2345" i="1"/>
  <c r="X2367" i="1"/>
  <c r="X2387" i="1"/>
  <c r="X2409" i="1"/>
  <c r="X2430" i="1"/>
  <c r="X2452" i="1"/>
  <c r="X2473" i="1"/>
  <c r="X2494" i="1"/>
  <c r="X2515" i="1"/>
  <c r="X2537" i="1"/>
  <c r="X2559" i="1"/>
  <c r="X2579" i="1"/>
  <c r="X2601" i="1"/>
  <c r="X2622" i="1"/>
  <c r="X2643" i="1"/>
  <c r="X2661" i="1"/>
  <c r="X2678" i="1"/>
  <c r="X2695" i="1"/>
  <c r="X2713" i="1"/>
  <c r="X2730" i="1"/>
  <c r="X2748" i="1"/>
  <c r="X2764" i="1"/>
  <c r="X2780" i="1"/>
  <c r="X2796" i="1"/>
  <c r="X2812" i="1"/>
  <c r="X2828" i="1"/>
  <c r="X2844" i="1"/>
  <c r="X2860" i="1"/>
  <c r="X2876" i="1"/>
  <c r="X2892" i="1"/>
  <c r="X2908" i="1"/>
  <c r="X2924" i="1"/>
  <c r="X2940" i="1"/>
  <c r="X2956" i="1"/>
  <c r="X1278" i="1"/>
  <c r="X1567" i="1"/>
  <c r="X1695" i="1"/>
  <c r="X1802" i="1"/>
  <c r="X1883" i="1"/>
  <c r="X1968" i="1"/>
  <c r="X2024" i="1"/>
  <c r="X2058" i="1"/>
  <c r="X2094" i="1"/>
  <c r="X2128" i="1"/>
  <c r="X2156" i="1"/>
  <c r="X2184" i="1"/>
  <c r="X2212" i="1"/>
  <c r="X2236" i="1"/>
  <c r="X2261" i="1"/>
  <c r="X2284" i="1"/>
  <c r="X2303" i="1"/>
  <c r="X2325" i="1"/>
  <c r="X2347" i="1"/>
  <c r="X2368" i="1"/>
  <c r="X2389" i="1"/>
  <c r="X2411" i="1"/>
  <c r="X2431" i="1"/>
  <c r="X2453" i="1"/>
  <c r="X2476" i="1"/>
  <c r="X2495" i="1"/>
  <c r="X2517" i="1"/>
  <c r="X2539" i="1"/>
  <c r="X2560" i="1"/>
  <c r="X2581" i="1"/>
  <c r="X2603" i="1"/>
  <c r="X2623" i="1"/>
  <c r="X2644" i="1"/>
  <c r="X2663" i="1"/>
  <c r="X2679" i="1"/>
  <c r="X2697" i="1"/>
  <c r="X2715" i="1"/>
  <c r="X2731" i="1"/>
  <c r="X2749" i="1"/>
  <c r="X2766" i="1"/>
  <c r="X2781" i="1"/>
  <c r="X2797" i="1"/>
  <c r="X2814" i="1"/>
  <c r="X2829" i="1"/>
  <c r="X2845" i="1"/>
  <c r="X2862" i="1"/>
  <c r="X2877" i="1"/>
  <c r="X2893" i="1"/>
  <c r="X2910" i="1"/>
  <c r="X2925" i="1"/>
  <c r="X2941" i="1"/>
  <c r="X1386" i="1"/>
  <c r="X1575" i="1"/>
  <c r="X1707" i="1"/>
  <c r="X1808" i="1"/>
  <c r="X1888" i="1"/>
  <c r="X1976" i="1"/>
  <c r="X2027" i="1"/>
  <c r="X2062" i="1"/>
  <c r="X2096" i="1"/>
  <c r="X2130" i="1"/>
  <c r="X2158" i="1"/>
  <c r="X2186" i="1"/>
  <c r="X2214" i="1"/>
  <c r="X2238" i="1"/>
  <c r="X2262" i="1"/>
  <c r="X2285" i="1"/>
  <c r="X2305" i="1"/>
  <c r="X2326" i="1"/>
  <c r="X2349" i="1"/>
  <c r="X2369" i="1"/>
  <c r="X2391" i="1"/>
  <c r="X2413" i="1"/>
  <c r="X2433" i="1"/>
  <c r="X2454" i="1"/>
  <c r="X2477" i="1"/>
  <c r="X2497" i="1"/>
  <c r="X2518" i="1"/>
  <c r="X2541" i="1"/>
  <c r="X2561" i="1"/>
  <c r="X2583" i="1"/>
  <c r="X2605" i="1"/>
  <c r="X2625" i="1"/>
  <c r="X2645" i="1"/>
  <c r="X2664" i="1"/>
  <c r="X2680" i="1"/>
  <c r="X2698" i="1"/>
  <c r="X2716" i="1"/>
  <c r="X2733" i="1"/>
  <c r="X2750" i="1"/>
  <c r="X2767" i="1"/>
  <c r="X2782" i="1"/>
  <c r="X2798" i="1"/>
  <c r="X2815" i="1"/>
  <c r="X2830" i="1"/>
  <c r="X2846" i="1"/>
  <c r="X2863" i="1"/>
  <c r="X2878" i="1"/>
  <c r="X2894" i="1"/>
  <c r="X2911" i="1"/>
  <c r="X2926" i="1"/>
  <c r="X2942" i="1"/>
  <c r="X1448" i="1"/>
  <c r="X1592" i="1"/>
  <c r="X1719" i="1"/>
  <c r="X1816" i="1"/>
  <c r="X1898" i="1"/>
  <c r="X1984" i="1"/>
  <c r="X2029" i="1"/>
  <c r="X2064" i="1"/>
  <c r="X2101" i="1"/>
  <c r="X2132" i="1"/>
  <c r="X2160" i="1"/>
  <c r="X2189" i="1"/>
  <c r="X2216" i="1"/>
  <c r="X2240" i="1"/>
  <c r="X2265" i="1"/>
  <c r="X2286" i="1"/>
  <c r="X2308" i="1"/>
  <c r="X2329" i="1"/>
  <c r="X2350" i="1"/>
  <c r="X2371" i="1"/>
  <c r="X2393" i="1"/>
  <c r="X2415" i="1"/>
  <c r="X2435" i="1"/>
  <c r="X2457" i="1"/>
  <c r="X2478" i="1"/>
  <c r="X2500" i="1"/>
  <c r="X2521" i="1"/>
  <c r="X2542" i="1"/>
  <c r="X2563" i="1"/>
  <c r="X2585" i="1"/>
  <c r="X2607" i="1"/>
  <c r="X2627" i="1"/>
  <c r="X2647" i="1"/>
  <c r="X2665" i="1"/>
  <c r="X2682" i="1"/>
  <c r="X2700" i="1"/>
  <c r="X2717" i="1"/>
  <c r="X2735" i="1"/>
  <c r="X2752" i="1"/>
  <c r="X2768" i="1"/>
  <c r="X2784" i="1"/>
  <c r="X2800" i="1"/>
  <c r="X2816" i="1"/>
  <c r="X2832" i="1"/>
  <c r="X2848" i="1"/>
  <c r="X2864" i="1"/>
  <c r="X2880" i="1"/>
  <c r="X2896" i="1"/>
  <c r="X2912" i="1"/>
  <c r="X2928" i="1"/>
  <c r="X2944" i="1"/>
  <c r="X2960" i="1"/>
  <c r="X2976" i="1"/>
  <c r="X2992" i="1"/>
  <c r="X3008" i="1"/>
  <c r="X3024" i="1"/>
  <c r="X3040" i="1"/>
  <c r="X3056" i="1"/>
  <c r="X3072" i="1"/>
  <c r="X3088" i="1"/>
  <c r="X3104" i="1"/>
  <c r="X1455" i="1"/>
  <c r="X1599" i="1"/>
  <c r="X1736" i="1"/>
  <c r="X1818" i="1"/>
  <c r="X1904" i="1"/>
  <c r="X1994" i="1"/>
  <c r="X2030" i="1"/>
  <c r="X2068" i="1"/>
  <c r="X2106" i="1"/>
  <c r="X2134" i="1"/>
  <c r="X2162" i="1"/>
  <c r="X2192" i="1"/>
  <c r="X2218" i="1"/>
  <c r="X2243" i="1"/>
  <c r="X2267" i="1"/>
  <c r="X2287" i="1"/>
  <c r="X2309" i="1"/>
  <c r="X2332" i="1"/>
  <c r="X2351" i="1"/>
  <c r="X2373" i="1"/>
  <c r="X2395" i="1"/>
  <c r="X2416" i="1"/>
  <c r="X2437" i="1"/>
  <c r="X2459" i="1"/>
  <c r="X2479" i="1"/>
  <c r="X2501" i="1"/>
  <c r="X2524" i="1"/>
  <c r="X2543" i="1"/>
  <c r="X2565" i="1"/>
  <c r="X2587" i="1"/>
  <c r="X2608" i="1"/>
  <c r="X2629" i="1"/>
  <c r="X2650" i="1"/>
  <c r="X2666" i="1"/>
  <c r="X2683" i="1"/>
  <c r="X2702" i="1"/>
  <c r="X2718" i="1"/>
  <c r="X2736" i="1"/>
  <c r="X2754" i="1"/>
  <c r="X2769" i="1"/>
  <c r="X2785" i="1"/>
  <c r="X2802" i="1"/>
  <c r="X2817" i="1"/>
  <c r="X2833" i="1"/>
  <c r="X2850" i="1"/>
  <c r="X2865" i="1"/>
  <c r="X2881" i="1"/>
  <c r="X2898" i="1"/>
  <c r="X2913" i="1"/>
  <c r="X2929" i="1"/>
  <c r="X2946" i="1"/>
  <c r="X2961" i="1"/>
  <c r="X2977" i="1"/>
  <c r="X2994" i="1"/>
  <c r="X3009" i="1"/>
  <c r="X3025" i="1"/>
  <c r="X3042" i="1"/>
  <c r="X3057" i="1"/>
  <c r="X3073" i="1"/>
  <c r="X3090" i="1"/>
  <c r="X3105" i="1"/>
  <c r="X3121" i="1"/>
  <c r="X3138" i="1"/>
  <c r="X3152" i="1"/>
  <c r="X3166" i="1"/>
  <c r="X3181" i="1"/>
  <c r="X3195" i="1"/>
  <c r="X3210" i="1"/>
  <c r="X3224" i="1"/>
  <c r="X3238" i="1"/>
  <c r="X3253" i="1"/>
  <c r="X3267" i="1"/>
  <c r="X3282" i="1"/>
  <c r="X3296" i="1"/>
  <c r="X3310" i="1"/>
  <c r="X3323" i="1"/>
  <c r="X3335" i="1"/>
  <c r="X3347" i="1"/>
  <c r="X3359" i="1"/>
  <c r="X3371" i="1"/>
  <c r="X3383" i="1"/>
  <c r="X3395" i="1"/>
  <c r="X3407" i="1"/>
  <c r="X3419" i="1"/>
  <c r="X3431" i="1"/>
  <c r="X3443" i="1"/>
  <c r="X3455" i="1"/>
  <c r="X3467" i="1"/>
  <c r="X3479" i="1"/>
  <c r="X3491" i="1"/>
  <c r="X3503" i="1"/>
  <c r="X3515" i="1"/>
  <c r="X3527" i="1"/>
  <c r="X3539" i="1"/>
  <c r="X3551" i="1"/>
  <c r="X3563" i="1"/>
  <c r="X3575" i="1"/>
  <c r="X3587" i="1"/>
  <c r="X3599" i="1"/>
  <c r="X3611" i="1"/>
  <c r="X3623" i="1"/>
  <c r="X3635" i="1"/>
  <c r="X3647" i="1"/>
  <c r="X3659" i="1"/>
  <c r="X3671" i="1"/>
  <c r="X3683" i="1"/>
  <c r="X3695" i="1"/>
  <c r="X3707" i="1"/>
  <c r="X3719" i="1"/>
  <c r="X3731" i="1"/>
  <c r="X3743" i="1"/>
  <c r="X3755" i="1"/>
  <c r="X3767" i="1"/>
  <c r="X3779" i="1"/>
  <c r="X3791" i="1"/>
  <c r="X3803" i="1"/>
  <c r="X3815" i="1"/>
  <c r="X3827" i="1"/>
  <c r="X3839" i="1"/>
  <c r="X3851" i="1"/>
  <c r="X3863" i="1"/>
  <c r="X3875" i="1"/>
  <c r="X3887" i="1"/>
  <c r="X3899" i="1"/>
  <c r="X3911" i="1"/>
  <c r="X3923" i="1"/>
  <c r="X3935" i="1"/>
  <c r="X3947" i="1"/>
  <c r="X3959" i="1"/>
  <c r="X3971" i="1"/>
  <c r="X3983" i="1"/>
  <c r="X3995" i="1"/>
  <c r="X4007" i="1"/>
  <c r="X4019" i="1"/>
  <c r="X4031" i="1"/>
  <c r="X4043" i="1"/>
  <c r="X4055" i="1"/>
  <c r="X4067" i="1"/>
  <c r="X4079" i="1"/>
  <c r="X4091" i="1"/>
  <c r="X4103" i="1"/>
  <c r="X4115" i="1"/>
  <c r="X4127" i="1"/>
  <c r="X4139" i="1"/>
  <c r="X4151" i="1"/>
  <c r="X4163" i="1"/>
  <c r="X4175" i="1"/>
  <c r="X4187" i="1"/>
  <c r="X4199" i="1"/>
  <c r="X4211" i="1"/>
  <c r="X4223" i="1"/>
  <c r="X4235" i="1"/>
  <c r="X4247" i="1"/>
  <c r="X4259" i="1"/>
  <c r="X4271" i="1"/>
  <c r="X4283" i="1"/>
  <c r="X4295" i="1"/>
  <c r="X4307" i="1"/>
  <c r="X4319" i="1"/>
  <c r="X4331" i="1"/>
  <c r="X4343" i="1"/>
  <c r="X4355" i="1"/>
  <c r="X4367" i="1"/>
  <c r="X4379" i="1"/>
  <c r="X4391" i="1"/>
  <c r="X4403" i="1"/>
  <c r="X4415" i="1"/>
  <c r="X4427" i="1"/>
  <c r="X4439" i="1"/>
  <c r="X4451" i="1"/>
  <c r="X1467" i="1"/>
  <c r="X1611" i="1"/>
  <c r="X1743" i="1"/>
  <c r="X1824" i="1"/>
  <c r="X1912" i="1"/>
  <c r="X1998" i="1"/>
  <c r="X2032" i="1"/>
  <c r="X2069" i="1"/>
  <c r="X2108" i="1"/>
  <c r="X2136" i="1"/>
  <c r="X2164" i="1"/>
  <c r="X2195" i="1"/>
  <c r="X2219" i="1"/>
  <c r="X2245" i="1"/>
  <c r="X2269" i="1"/>
  <c r="X2289" i="1"/>
  <c r="X2310" i="1"/>
  <c r="X2333" i="1"/>
  <c r="X2353" i="1"/>
  <c r="X2374" i="1"/>
  <c r="X2397" i="1"/>
  <c r="X2417" i="1"/>
  <c r="X2439" i="1"/>
  <c r="X2461" i="1"/>
  <c r="X2481" i="1"/>
  <c r="X2502" i="1"/>
  <c r="X2525" i="1"/>
  <c r="X2545" i="1"/>
  <c r="X2566" i="1"/>
  <c r="X2589" i="1"/>
  <c r="X2609" i="1"/>
  <c r="X2631" i="1"/>
  <c r="X2651" i="1"/>
  <c r="X2667" i="1"/>
  <c r="X2685" i="1"/>
  <c r="X2703" i="1"/>
  <c r="X2719" i="1"/>
  <c r="X2737" i="1"/>
  <c r="X2755" i="1"/>
  <c r="X2770" i="1"/>
  <c r="X2786" i="1"/>
  <c r="X2803" i="1"/>
  <c r="X2818" i="1"/>
  <c r="X2834" i="1"/>
  <c r="X2851" i="1"/>
  <c r="X2866" i="1"/>
  <c r="X2882" i="1"/>
  <c r="X2899" i="1"/>
  <c r="X2914" i="1"/>
  <c r="X2930" i="1"/>
  <c r="X2947" i="1"/>
  <c r="X1471" i="1"/>
  <c r="X1623" i="1"/>
  <c r="X1752" i="1"/>
  <c r="X1835" i="1"/>
  <c r="X1920" i="1"/>
  <c r="X2000" i="1"/>
  <c r="X2038" i="1"/>
  <c r="X2075" i="1"/>
  <c r="X2110" i="1"/>
  <c r="X2140" i="1"/>
  <c r="X2168" i="1"/>
  <c r="X2196" i="1"/>
  <c r="X2221" i="1"/>
  <c r="X2248" i="1"/>
  <c r="X2271" i="1"/>
  <c r="X2291" i="1"/>
  <c r="X2313" i="1"/>
  <c r="X2334" i="1"/>
  <c r="X2356" i="1"/>
  <c r="X2377" i="1"/>
  <c r="X2398" i="1"/>
  <c r="X2419" i="1"/>
  <c r="X2441" i="1"/>
  <c r="X2463" i="1"/>
  <c r="X2483" i="1"/>
  <c r="X2505" i="1"/>
  <c r="X2526" i="1"/>
  <c r="X2548" i="1"/>
  <c r="X2569" i="1"/>
  <c r="X2590" i="1"/>
  <c r="X2611" i="1"/>
  <c r="X2633" i="1"/>
  <c r="X2652" i="1"/>
  <c r="X2669" i="1"/>
  <c r="X2687" i="1"/>
  <c r="X2704" i="1"/>
  <c r="X2722" i="1"/>
  <c r="X2739" i="1"/>
  <c r="X2756" i="1"/>
  <c r="X2772" i="1"/>
  <c r="X2788" i="1"/>
  <c r="X2804" i="1"/>
  <c r="X2820" i="1"/>
  <c r="X2836" i="1"/>
  <c r="X2852" i="1"/>
  <c r="X2868" i="1"/>
  <c r="X2884" i="1"/>
  <c r="X2900" i="1"/>
  <c r="X2916" i="1"/>
  <c r="X2932" i="1"/>
  <c r="X2948" i="1"/>
  <c r="X1495" i="1"/>
  <c r="X1639" i="1"/>
  <c r="X1754" i="1"/>
  <c r="X1840" i="1"/>
  <c r="X1931" i="1"/>
  <c r="X2004" i="1"/>
  <c r="X2040" i="1"/>
  <c r="X2078" i="1"/>
  <c r="X2111" i="1"/>
  <c r="X2141" i="1"/>
  <c r="X2172" i="1"/>
  <c r="X2197" i="1"/>
  <c r="X2224" i="1"/>
  <c r="X2250" i="1"/>
  <c r="X2272" i="1"/>
  <c r="X2293" i="1"/>
  <c r="X2315" i="1"/>
  <c r="X2335" i="1"/>
  <c r="X2357" i="1"/>
  <c r="X2380" i="1"/>
  <c r="X2399" i="1"/>
  <c r="X2421" i="1"/>
  <c r="X2443" i="1"/>
  <c r="X2464" i="1"/>
  <c r="X2485" i="1"/>
  <c r="X2507" i="1"/>
  <c r="X2527" i="1"/>
  <c r="X2549" i="1"/>
  <c r="X2572" i="1"/>
  <c r="X2591" i="1"/>
  <c r="X2613" i="1"/>
  <c r="X2635" i="1"/>
  <c r="X2653" i="1"/>
  <c r="X2670" i="1"/>
  <c r="X2689" i="1"/>
  <c r="X2705" i="1"/>
  <c r="X2723" i="1"/>
  <c r="X2741" i="1"/>
  <c r="X2757" i="1"/>
  <c r="X2773" i="1"/>
  <c r="X2790" i="1"/>
  <c r="X2805" i="1"/>
  <c r="X2821" i="1"/>
  <c r="X2838" i="1"/>
  <c r="X2853" i="1"/>
  <c r="X2869" i="1"/>
  <c r="X2886" i="1"/>
  <c r="X2901" i="1"/>
  <c r="X2917" i="1"/>
  <c r="X2934" i="1"/>
  <c r="X2949" i="1"/>
  <c r="X1503" i="1"/>
  <c r="X1647" i="1"/>
  <c r="X1760" i="1"/>
  <c r="X1848" i="1"/>
  <c r="X1936" i="1"/>
  <c r="X2005" i="1"/>
  <c r="X2042" i="1"/>
  <c r="X2080" i="1"/>
  <c r="X2112" i="1"/>
  <c r="X2142" i="1"/>
  <c r="X2173" i="1"/>
  <c r="X2200" i="1"/>
  <c r="X2225" i="1"/>
  <c r="X2252" i="1"/>
  <c r="X2273" i="1"/>
  <c r="X2295" i="1"/>
  <c r="X2317" i="1"/>
  <c r="X2337" i="1"/>
  <c r="X2358" i="1"/>
  <c r="X2381" i="1"/>
  <c r="X2401" i="1"/>
  <c r="X2422" i="1"/>
  <c r="X2445" i="1"/>
  <c r="X2465" i="1"/>
  <c r="X2487" i="1"/>
  <c r="X2509" i="1"/>
  <c r="X2529" i="1"/>
  <c r="X2550" i="1"/>
  <c r="X2573" i="1"/>
  <c r="X2593" i="1"/>
  <c r="X2614" i="1"/>
  <c r="X2637" i="1"/>
  <c r="X2654" i="1"/>
  <c r="X2671" i="1"/>
  <c r="X2690" i="1"/>
  <c r="X2706" i="1"/>
  <c r="X2724" i="1"/>
  <c r="X2742" i="1"/>
  <c r="X2758" i="1"/>
  <c r="X2774" i="1"/>
  <c r="X2791" i="1"/>
  <c r="X2806" i="1"/>
  <c r="X2822" i="1"/>
  <c r="X2839" i="1"/>
  <c r="X2854" i="1"/>
  <c r="X2870" i="1"/>
  <c r="X2887" i="1"/>
  <c r="X2902" i="1"/>
  <c r="X2918" i="1"/>
  <c r="X2935" i="1"/>
  <c r="X2950" i="1"/>
  <c r="X2966" i="1"/>
  <c r="X2983" i="1"/>
  <c r="X2998" i="1"/>
  <c r="X3014" i="1"/>
  <c r="X3031" i="1"/>
  <c r="X3046" i="1"/>
  <c r="X3062" i="1"/>
  <c r="X3079" i="1"/>
  <c r="X3094" i="1"/>
  <c r="X3110" i="1"/>
  <c r="X3127" i="1"/>
  <c r="X3142" i="1"/>
  <c r="X3157" i="1"/>
  <c r="X3171" i="1"/>
  <c r="X3186" i="1"/>
  <c r="X3200" i="1"/>
  <c r="X3214" i="1"/>
  <c r="X3229" i="1"/>
  <c r="X3243" i="1"/>
  <c r="X3258" i="1"/>
  <c r="X3272" i="1"/>
  <c r="X3286" i="1"/>
  <c r="X3301" i="1"/>
  <c r="X3315" i="1"/>
  <c r="X3327" i="1"/>
  <c r="X3339" i="1"/>
  <c r="X3351" i="1"/>
  <c r="X3363" i="1"/>
  <c r="X3375" i="1"/>
  <c r="X3387" i="1"/>
  <c r="X3399" i="1"/>
  <c r="X3411" i="1"/>
  <c r="X3423" i="1"/>
  <c r="X3435" i="1"/>
  <c r="X3447" i="1"/>
  <c r="X3459" i="1"/>
  <c r="X3471" i="1"/>
  <c r="X3483" i="1"/>
  <c r="X3495" i="1"/>
  <c r="X3507" i="1"/>
  <c r="X3519" i="1"/>
  <c r="X3531" i="1"/>
  <c r="X3543" i="1"/>
  <c r="X3555" i="1"/>
  <c r="X3567" i="1"/>
  <c r="X3579" i="1"/>
  <c r="X3591" i="1"/>
  <c r="X3603" i="1"/>
  <c r="X3615" i="1"/>
  <c r="X3627" i="1"/>
  <c r="X3639" i="1"/>
  <c r="X3651" i="1"/>
  <c r="X3663" i="1"/>
  <c r="X3675" i="1"/>
  <c r="X3687" i="1"/>
  <c r="X3699" i="1"/>
  <c r="X3711" i="1"/>
  <c r="X3723" i="1"/>
  <c r="X3735" i="1"/>
  <c r="X3747" i="1"/>
  <c r="X3759" i="1"/>
  <c r="X3771" i="1"/>
  <c r="X3783" i="1"/>
  <c r="X3795" i="1"/>
  <c r="X3807" i="1"/>
  <c r="X3819" i="1"/>
  <c r="X3831" i="1"/>
  <c r="X3843" i="1"/>
  <c r="X3855" i="1"/>
  <c r="X3867" i="1"/>
  <c r="X3879" i="1"/>
  <c r="X3891" i="1"/>
  <c r="X3903" i="1"/>
  <c r="X3915" i="1"/>
  <c r="X3927" i="1"/>
  <c r="X3939" i="1"/>
  <c r="X3951" i="1"/>
  <c r="X3963" i="1"/>
  <c r="X3975" i="1"/>
  <c r="X3987" i="1"/>
  <c r="X3999" i="1"/>
  <c r="X4011" i="1"/>
  <c r="X4023" i="1"/>
  <c r="X4035" i="1"/>
  <c r="X4047" i="1"/>
  <c r="X4059" i="1"/>
  <c r="X4071" i="1"/>
  <c r="X4083" i="1"/>
  <c r="X4095" i="1"/>
  <c r="X4107" i="1"/>
  <c r="X4119" i="1"/>
  <c r="X4131" i="1"/>
  <c r="X4143" i="1"/>
  <c r="X4155" i="1"/>
  <c r="X4167" i="1"/>
  <c r="X4179" i="1"/>
  <c r="X4191" i="1"/>
  <c r="X4203" i="1"/>
  <c r="X4215" i="1"/>
  <c r="X4227" i="1"/>
  <c r="X4239" i="1"/>
  <c r="X4251" i="1"/>
  <c r="X4263" i="1"/>
  <c r="X4275" i="1"/>
  <c r="X4287" i="1"/>
  <c r="X4299" i="1"/>
  <c r="X4311" i="1"/>
  <c r="X4323" i="1"/>
  <c r="X4335" i="1"/>
  <c r="X4347" i="1"/>
  <c r="X4359" i="1"/>
  <c r="X1515" i="1"/>
  <c r="X1659" i="1"/>
  <c r="X1770" i="1"/>
  <c r="X1856" i="1"/>
  <c r="X1944" i="1"/>
  <c r="X2010" i="1"/>
  <c r="X2046" i="1"/>
  <c r="X2084" i="1"/>
  <c r="X2117" i="1"/>
  <c r="X2147" i="1"/>
  <c r="X2174" i="1"/>
  <c r="X2203" i="1"/>
  <c r="X2228" i="1"/>
  <c r="X2254" i="1"/>
  <c r="X2275" i="1"/>
  <c r="X2297" i="1"/>
  <c r="X2319" i="1"/>
  <c r="X2339" i="1"/>
  <c r="X2361" i="1"/>
  <c r="X2382" i="1"/>
  <c r="X2404" i="1"/>
  <c r="X2425" i="1"/>
  <c r="X2446" i="1"/>
  <c r="X2467" i="1"/>
  <c r="X2489" i="1"/>
  <c r="X2511" i="1"/>
  <c r="X2531" i="1"/>
  <c r="X2553" i="1"/>
  <c r="X2574" i="1"/>
  <c r="X2596" i="1"/>
  <c r="X2617" i="1"/>
  <c r="X2638" i="1"/>
  <c r="X2656" i="1"/>
  <c r="X2674" i="1"/>
  <c r="X2691" i="1"/>
  <c r="X2709" i="1"/>
  <c r="X2726" i="1"/>
  <c r="X2743" i="1"/>
  <c r="X2760" i="1"/>
  <c r="X2776" i="1"/>
  <c r="X2792" i="1"/>
  <c r="X2808" i="1"/>
  <c r="X2824" i="1"/>
  <c r="X2840" i="1"/>
  <c r="X2856" i="1"/>
  <c r="X2872" i="1"/>
  <c r="X2888" i="1"/>
  <c r="X2904" i="1"/>
  <c r="X2920" i="1"/>
  <c r="X2936" i="1"/>
  <c r="X2952" i="1"/>
  <c r="X2968" i="1"/>
  <c r="X2984" i="1"/>
  <c r="X3000" i="1"/>
  <c r="X3016" i="1"/>
  <c r="X3032" i="1"/>
  <c r="X3048" i="1"/>
  <c r="X3064" i="1"/>
  <c r="X3080" i="1"/>
  <c r="X3096" i="1"/>
  <c r="X3112" i="1"/>
  <c r="X1543" i="1"/>
  <c r="X1664" i="1"/>
  <c r="X1776" i="1"/>
  <c r="X1866" i="1"/>
  <c r="X1946" i="1"/>
  <c r="X2014" i="1"/>
  <c r="X2052" i="1"/>
  <c r="X2086" i="1"/>
  <c r="X2120" i="1"/>
  <c r="X2149" i="1"/>
  <c r="X2176" i="1"/>
  <c r="X2204" i="1"/>
  <c r="X2232" i="1"/>
  <c r="X2255" i="1"/>
  <c r="X2277" i="1"/>
  <c r="X2299" i="1"/>
  <c r="X2320" i="1"/>
  <c r="X2341" i="1"/>
  <c r="X2363" i="1"/>
  <c r="X2383" i="1"/>
  <c r="X2405" i="1"/>
  <c r="X2428" i="1"/>
  <c r="X2447" i="1"/>
  <c r="X2469" i="1"/>
  <c r="X2491" i="1"/>
  <c r="X2512" i="1"/>
  <c r="X2533" i="1"/>
  <c r="X2555" i="1"/>
  <c r="X2575" i="1"/>
  <c r="X2597" i="1"/>
  <c r="X2620" i="1"/>
  <c r="X2639" i="1"/>
  <c r="X2657" i="1"/>
  <c r="X2676" i="1"/>
  <c r="X2692" i="1"/>
  <c r="X2710" i="1"/>
  <c r="X2728" i="1"/>
  <c r="X2745" i="1"/>
  <c r="X2761" i="1"/>
  <c r="X2778" i="1"/>
  <c r="X2793" i="1"/>
  <c r="X2809" i="1"/>
  <c r="X2826" i="1"/>
  <c r="X2841" i="1"/>
  <c r="X2857" i="1"/>
  <c r="X2874" i="1"/>
  <c r="X2889" i="1"/>
  <c r="X2905" i="1"/>
  <c r="X2922" i="1"/>
  <c r="X2937" i="1"/>
  <c r="X2953" i="1"/>
  <c r="X2970" i="1"/>
  <c r="X2985" i="1"/>
  <c r="X3001" i="1"/>
  <c r="X3018" i="1"/>
  <c r="X3033" i="1"/>
  <c r="X3049" i="1"/>
  <c r="X3066" i="1"/>
  <c r="X3081" i="1"/>
  <c r="X3097" i="1"/>
  <c r="X3114" i="1"/>
  <c r="X3129" i="1"/>
  <c r="X3145" i="1"/>
  <c r="X3159" i="1"/>
  <c r="X3174" i="1"/>
  <c r="X3188" i="1"/>
  <c r="X3202" i="1"/>
  <c r="X3217" i="1"/>
  <c r="X3231" i="1"/>
  <c r="X3246" i="1"/>
  <c r="X3260" i="1"/>
  <c r="X3274" i="1"/>
  <c r="X3289" i="1"/>
  <c r="X3303" i="1"/>
  <c r="X3317" i="1"/>
  <c r="X3329" i="1"/>
  <c r="X3341" i="1"/>
  <c r="X3353" i="1"/>
  <c r="X3365" i="1"/>
  <c r="X3377" i="1"/>
  <c r="X3389" i="1"/>
  <c r="X3401" i="1"/>
  <c r="X3413" i="1"/>
  <c r="X3425" i="1"/>
  <c r="X3437" i="1"/>
  <c r="X3449" i="1"/>
  <c r="X3461" i="1"/>
  <c r="X3473" i="1"/>
  <c r="X3485" i="1"/>
  <c r="X3497" i="1"/>
  <c r="X3509" i="1"/>
  <c r="X3521" i="1"/>
  <c r="X3533" i="1"/>
  <c r="X3545" i="1"/>
  <c r="X3557" i="1"/>
  <c r="X3569" i="1"/>
  <c r="X3581" i="1"/>
  <c r="X3593" i="1"/>
  <c r="X3605" i="1"/>
  <c r="X3617" i="1"/>
  <c r="X3629" i="1"/>
  <c r="X3641" i="1"/>
  <c r="X3653" i="1"/>
  <c r="X3665" i="1"/>
  <c r="X3677" i="1"/>
  <c r="X3689" i="1"/>
  <c r="X3701" i="1"/>
  <c r="X3713" i="1"/>
  <c r="X3725" i="1"/>
  <c r="X3737" i="1"/>
  <c r="X3749" i="1"/>
  <c r="X3761" i="1"/>
  <c r="X3773" i="1"/>
  <c r="X3785" i="1"/>
  <c r="X3797" i="1"/>
  <c r="X3809" i="1"/>
  <c r="X3821" i="1"/>
  <c r="X3833" i="1"/>
  <c r="X3845" i="1"/>
  <c r="X3857" i="1"/>
  <c r="X3869" i="1"/>
  <c r="X3881" i="1"/>
  <c r="X3893" i="1"/>
  <c r="X3905" i="1"/>
  <c r="X3917" i="1"/>
  <c r="X3929" i="1"/>
  <c r="X3941" i="1"/>
  <c r="X3953" i="1"/>
  <c r="X3965" i="1"/>
  <c r="X3977" i="1"/>
  <c r="X3989" i="1"/>
  <c r="X4001" i="1"/>
  <c r="X4013" i="1"/>
  <c r="X4025" i="1"/>
  <c r="X4037" i="1"/>
  <c r="X4049" i="1"/>
  <c r="X4061" i="1"/>
  <c r="X4073" i="1"/>
  <c r="X4085" i="1"/>
  <c r="X4097" i="1"/>
  <c r="X4109" i="1"/>
  <c r="X4121" i="1"/>
  <c r="X4133" i="1"/>
  <c r="X4145" i="1"/>
  <c r="X4157" i="1"/>
  <c r="X4169" i="1"/>
  <c r="X4181" i="1"/>
  <c r="X4193" i="1"/>
  <c r="X4205" i="1"/>
  <c r="X4217" i="1"/>
  <c r="X4229" i="1"/>
  <c r="X4241" i="1"/>
  <c r="X4253" i="1"/>
  <c r="X4265" i="1"/>
  <c r="X4277" i="1"/>
  <c r="X4289" i="1"/>
  <c r="X4301" i="1"/>
  <c r="X4313" i="1"/>
  <c r="X4325" i="1"/>
  <c r="X4337" i="1"/>
  <c r="X4349" i="1"/>
  <c r="X4361" i="1"/>
  <c r="X4373" i="1"/>
  <c r="X4385" i="1"/>
  <c r="X4397" i="1"/>
  <c r="X4409" i="1"/>
  <c r="X4421" i="1"/>
  <c r="X4433" i="1"/>
  <c r="X4445" i="1"/>
  <c r="X4457" i="1"/>
  <c r="X1551" i="1"/>
  <c r="X2233" i="1"/>
  <c r="X2493" i="1"/>
  <c r="X2729" i="1"/>
  <c r="X2923" i="1"/>
  <c r="X2978" i="1"/>
  <c r="X3006" i="1"/>
  <c r="X3034" i="1"/>
  <c r="X3060" i="1"/>
  <c r="X3086" i="1"/>
  <c r="X3116" i="1"/>
  <c r="X3136" i="1"/>
  <c r="X3156" i="1"/>
  <c r="X3176" i="1"/>
  <c r="X3194" i="1"/>
  <c r="X3213" i="1"/>
  <c r="X3234" i="1"/>
  <c r="X3252" i="1"/>
  <c r="X3271" i="1"/>
  <c r="X3291" i="1"/>
  <c r="X3309" i="1"/>
  <c r="X3326" i="1"/>
  <c r="X3343" i="1"/>
  <c r="X3358" i="1"/>
  <c r="X3374" i="1"/>
  <c r="X3391" i="1"/>
  <c r="X3406" i="1"/>
  <c r="X3422" i="1"/>
  <c r="X3439" i="1"/>
  <c r="X3454" i="1"/>
  <c r="X3470" i="1"/>
  <c r="X3487" i="1"/>
  <c r="X3502" i="1"/>
  <c r="X3518" i="1"/>
  <c r="X3535" i="1"/>
  <c r="X3550" i="1"/>
  <c r="X3566" i="1"/>
  <c r="X3583" i="1"/>
  <c r="X3598" i="1"/>
  <c r="X3614" i="1"/>
  <c r="X3631" i="1"/>
  <c r="X3646" i="1"/>
  <c r="X3662" i="1"/>
  <c r="X3679" i="1"/>
  <c r="X3694" i="1"/>
  <c r="X1671" i="1"/>
  <c r="X2257" i="1"/>
  <c r="X2513" i="1"/>
  <c r="X2746" i="1"/>
  <c r="X2938" i="1"/>
  <c r="X2980" i="1"/>
  <c r="X3007" i="1"/>
  <c r="X3036" i="1"/>
  <c r="X3061" i="1"/>
  <c r="X3091" i="1"/>
  <c r="X3117" i="1"/>
  <c r="X3139" i="1"/>
  <c r="X3158" i="1"/>
  <c r="X3177" i="1"/>
  <c r="X3196" i="1"/>
  <c r="X3216" i="1"/>
  <c r="X3235" i="1"/>
  <c r="X3254" i="1"/>
  <c r="X3273" i="1"/>
  <c r="X3292" i="1"/>
  <c r="X3312" i="1"/>
  <c r="X3328" i="1"/>
  <c r="X3344" i="1"/>
  <c r="X3360" i="1"/>
  <c r="X3376" i="1"/>
  <c r="X3392" i="1"/>
  <c r="X3408" i="1"/>
  <c r="X3424" i="1"/>
  <c r="X3440" i="1"/>
  <c r="X3456" i="1"/>
  <c r="X3472" i="1"/>
  <c r="X3488" i="1"/>
  <c r="X3504" i="1"/>
  <c r="X3520" i="1"/>
  <c r="X3536" i="1"/>
  <c r="X3552" i="1"/>
  <c r="X3568" i="1"/>
  <c r="X3584" i="1"/>
  <c r="X3600" i="1"/>
  <c r="X3616" i="1"/>
  <c r="X3632" i="1"/>
  <c r="X3648" i="1"/>
  <c r="X3664" i="1"/>
  <c r="X3680" i="1"/>
  <c r="X3696" i="1"/>
  <c r="X1784" i="1"/>
  <c r="X2278" i="1"/>
  <c r="X2535" i="1"/>
  <c r="X2762" i="1"/>
  <c r="X2954" i="1"/>
  <c r="X2982" i="1"/>
  <c r="X3010" i="1"/>
  <c r="X3037" i="1"/>
  <c r="X3067" i="1"/>
  <c r="X3092" i="1"/>
  <c r="X3118" i="1"/>
  <c r="X3140" i="1"/>
  <c r="X3160" i="1"/>
  <c r="X3178" i="1"/>
  <c r="X3198" i="1"/>
  <c r="X3218" i="1"/>
  <c r="X1872" i="1"/>
  <c r="X2301" i="1"/>
  <c r="X2557" i="1"/>
  <c r="X2779" i="1"/>
  <c r="X2958" i="1"/>
  <c r="X2986" i="1"/>
  <c r="X3012" i="1"/>
  <c r="X3038" i="1"/>
  <c r="X3068" i="1"/>
  <c r="X3093" i="1"/>
  <c r="X3120" i="1"/>
  <c r="X3141" i="1"/>
  <c r="X3162" i="1"/>
  <c r="X3180" i="1"/>
  <c r="X3199" i="1"/>
  <c r="X1952" i="1"/>
  <c r="X2321" i="1"/>
  <c r="X2577" i="1"/>
  <c r="X2794" i="1"/>
  <c r="X2959" i="1"/>
  <c r="X2988" i="1"/>
  <c r="X3013" i="1"/>
  <c r="X3043" i="1"/>
  <c r="X3069" i="1"/>
  <c r="X3098" i="1"/>
  <c r="X3122" i="1"/>
  <c r="X3144" i="1"/>
  <c r="X3163" i="1"/>
  <c r="X3182" i="1"/>
  <c r="X3201" i="1"/>
  <c r="X2015" i="1"/>
  <c r="X2343" i="1"/>
  <c r="X2598" i="1"/>
  <c r="X2810" i="1"/>
  <c r="X2962" i="1"/>
  <c r="X2989" i="1"/>
  <c r="X3019" i="1"/>
  <c r="X3044" i="1"/>
  <c r="X3070" i="1"/>
  <c r="X3100" i="1"/>
  <c r="X3124" i="1"/>
  <c r="X3146" i="1"/>
  <c r="X3164" i="1"/>
  <c r="X3183" i="1"/>
  <c r="X3204" i="1"/>
  <c r="X3222" i="1"/>
  <c r="X3241" i="1"/>
  <c r="X3261" i="1"/>
  <c r="X3279" i="1"/>
  <c r="X3298" i="1"/>
  <c r="X3318" i="1"/>
  <c r="X3333" i="1"/>
  <c r="X3349" i="1"/>
  <c r="X3366" i="1"/>
  <c r="X3381" i="1"/>
  <c r="X3397" i="1"/>
  <c r="X3414" i="1"/>
  <c r="X3429" i="1"/>
  <c r="X3445" i="1"/>
  <c r="X3462" i="1"/>
  <c r="X3477" i="1"/>
  <c r="X3493" i="1"/>
  <c r="X3510" i="1"/>
  <c r="X3525" i="1"/>
  <c r="X3541" i="1"/>
  <c r="X3558" i="1"/>
  <c r="X3573" i="1"/>
  <c r="X3589" i="1"/>
  <c r="X3606" i="1"/>
  <c r="X3621" i="1"/>
  <c r="X3637" i="1"/>
  <c r="X3654" i="1"/>
  <c r="X3669" i="1"/>
  <c r="X3685" i="1"/>
  <c r="X2053" i="1"/>
  <c r="X2365" i="1"/>
  <c r="X2621" i="1"/>
  <c r="X2827" i="1"/>
  <c r="X2964" i="1"/>
  <c r="X2990" i="1"/>
  <c r="X3020" i="1"/>
  <c r="X3045" i="1"/>
  <c r="X3074" i="1"/>
  <c r="X3102" i="1"/>
  <c r="X3126" i="1"/>
  <c r="X3147" i="1"/>
  <c r="X3165" i="1"/>
  <c r="X3184" i="1"/>
  <c r="X3205" i="1"/>
  <c r="X3223" i="1"/>
  <c r="X3242" i="1"/>
  <c r="X3262" i="1"/>
  <c r="X3280" i="1"/>
  <c r="X3300" i="1"/>
  <c r="X3319" i="1"/>
  <c r="X3334" i="1"/>
  <c r="X3350" i="1"/>
  <c r="X3367" i="1"/>
  <c r="X3382" i="1"/>
  <c r="X3398" i="1"/>
  <c r="X3415" i="1"/>
  <c r="X3430" i="1"/>
  <c r="X3446" i="1"/>
  <c r="X3463" i="1"/>
  <c r="X3478" i="1"/>
  <c r="X3494" i="1"/>
  <c r="X3511" i="1"/>
  <c r="X3526" i="1"/>
  <c r="X3542" i="1"/>
  <c r="X3559" i="1"/>
  <c r="X3574" i="1"/>
  <c r="X3590" i="1"/>
  <c r="X3607" i="1"/>
  <c r="X3622" i="1"/>
  <c r="X3638" i="1"/>
  <c r="X3655" i="1"/>
  <c r="X3670" i="1"/>
  <c r="X3686" i="1"/>
  <c r="X2088" i="1"/>
  <c r="X2385" i="1"/>
  <c r="X2640" i="1"/>
  <c r="X2842" i="1"/>
  <c r="X2965" i="1"/>
  <c r="X2995" i="1"/>
  <c r="X3021" i="1"/>
  <c r="X3050" i="1"/>
  <c r="X3076" i="1"/>
  <c r="X3103" i="1"/>
  <c r="X3128" i="1"/>
  <c r="X3148" i="1"/>
  <c r="X3168" i="1"/>
  <c r="X3187" i="1"/>
  <c r="X3206" i="1"/>
  <c r="X3225" i="1"/>
  <c r="X2123" i="1"/>
  <c r="X2406" i="1"/>
  <c r="X2658" i="1"/>
  <c r="X2858" i="1"/>
  <c r="X2971" i="1"/>
  <c r="X2996" i="1"/>
  <c r="X3022" i="1"/>
  <c r="X3052" i="1"/>
  <c r="X3078" i="1"/>
  <c r="X3106" i="1"/>
  <c r="X3130" i="1"/>
  <c r="X3150" i="1"/>
  <c r="X3169" i="1"/>
  <c r="X3189" i="1"/>
  <c r="X3207" i="1"/>
  <c r="X3226" i="1"/>
  <c r="X3247" i="1"/>
  <c r="X3265" i="1"/>
  <c r="X3284" i="1"/>
  <c r="X3304" i="1"/>
  <c r="X3321" i="1"/>
  <c r="X3337" i="1"/>
  <c r="X3354" i="1"/>
  <c r="X3369" i="1"/>
  <c r="X3385" i="1"/>
  <c r="X3402" i="1"/>
  <c r="X3417" i="1"/>
  <c r="X3433" i="1"/>
  <c r="X3450" i="1"/>
  <c r="X3465" i="1"/>
  <c r="X3481" i="1"/>
  <c r="X3498" i="1"/>
  <c r="X3513" i="1"/>
  <c r="X3529" i="1"/>
  <c r="X3546" i="1"/>
  <c r="X3561" i="1"/>
  <c r="X3577" i="1"/>
  <c r="X3594" i="1"/>
  <c r="X3609" i="1"/>
  <c r="X3625" i="1"/>
  <c r="X3642" i="1"/>
  <c r="X3657" i="1"/>
  <c r="X3673" i="1"/>
  <c r="X3690" i="1"/>
  <c r="X3705" i="1"/>
  <c r="X3721" i="1"/>
  <c r="X3738" i="1"/>
  <c r="X3753" i="1"/>
  <c r="X3769" i="1"/>
  <c r="X3786" i="1"/>
  <c r="X3801" i="1"/>
  <c r="X3817" i="1"/>
  <c r="X3834" i="1"/>
  <c r="X3849" i="1"/>
  <c r="X3865" i="1"/>
  <c r="X3882" i="1"/>
  <c r="X3897" i="1"/>
  <c r="X3913" i="1"/>
  <c r="X3930" i="1"/>
  <c r="X3945" i="1"/>
  <c r="X3961" i="1"/>
  <c r="X3978" i="1"/>
  <c r="X3993" i="1"/>
  <c r="X4009" i="1"/>
  <c r="X4026" i="1"/>
  <c r="X4041" i="1"/>
  <c r="X4057" i="1"/>
  <c r="X4074" i="1"/>
  <c r="X4089" i="1"/>
  <c r="X4105" i="1"/>
  <c r="X4122" i="1"/>
  <c r="X4137" i="1"/>
  <c r="X4153" i="1"/>
  <c r="X4170" i="1"/>
  <c r="X4185" i="1"/>
  <c r="X4201" i="1"/>
  <c r="X4218" i="1"/>
  <c r="X4233" i="1"/>
  <c r="X4249" i="1"/>
  <c r="X4266" i="1"/>
  <c r="X4281" i="1"/>
  <c r="X2152" i="1"/>
  <c r="X2429" i="1"/>
  <c r="X2677" i="1"/>
  <c r="X2875" i="1"/>
  <c r="X2972" i="1"/>
  <c r="X2997" i="1"/>
  <c r="X3026" i="1"/>
  <c r="X3054" i="1"/>
  <c r="X3082" i="1"/>
  <c r="X3108" i="1"/>
  <c r="X3132" i="1"/>
  <c r="X3151" i="1"/>
  <c r="X3170" i="1"/>
  <c r="X3190" i="1"/>
  <c r="X3208" i="1"/>
  <c r="X3228" i="1"/>
  <c r="X3248" i="1"/>
  <c r="X3266" i="1"/>
  <c r="X3285" i="1"/>
  <c r="X3306" i="1"/>
  <c r="X3322" i="1"/>
  <c r="X3338" i="1"/>
  <c r="X3355" i="1"/>
  <c r="X3370" i="1"/>
  <c r="X3386" i="1"/>
  <c r="X3403" i="1"/>
  <c r="X3418" i="1"/>
  <c r="X3434" i="1"/>
  <c r="X3451" i="1"/>
  <c r="X3466" i="1"/>
  <c r="X3482" i="1"/>
  <c r="X3499" i="1"/>
  <c r="X3514" i="1"/>
  <c r="X3530" i="1"/>
  <c r="X3547" i="1"/>
  <c r="X3562" i="1"/>
  <c r="X3578" i="1"/>
  <c r="X3595" i="1"/>
  <c r="X3610" i="1"/>
  <c r="X3626" i="1"/>
  <c r="X3643" i="1"/>
  <c r="X3658" i="1"/>
  <c r="X3674" i="1"/>
  <c r="X3691" i="1"/>
  <c r="X3706" i="1"/>
  <c r="X3722" i="1"/>
  <c r="X3739" i="1"/>
  <c r="X3754" i="1"/>
  <c r="X3770" i="1"/>
  <c r="X3787" i="1"/>
  <c r="X3802" i="1"/>
  <c r="X3818" i="1"/>
  <c r="X3835" i="1"/>
  <c r="X3850" i="1"/>
  <c r="X3866" i="1"/>
  <c r="X3883" i="1"/>
  <c r="X3898" i="1"/>
  <c r="X3914" i="1"/>
  <c r="X3931" i="1"/>
  <c r="X3946" i="1"/>
  <c r="X3962" i="1"/>
  <c r="X3979" i="1"/>
  <c r="X3994" i="1"/>
  <c r="X4010" i="1"/>
  <c r="X4027" i="1"/>
  <c r="X4042" i="1"/>
  <c r="X4058" i="1"/>
  <c r="X4075" i="1"/>
  <c r="X4090" i="1"/>
  <c r="X4106" i="1"/>
  <c r="X4123" i="1"/>
  <c r="X4138" i="1"/>
  <c r="X4154" i="1"/>
  <c r="X4171" i="1"/>
  <c r="X4186" i="1"/>
  <c r="X4202" i="1"/>
  <c r="X4219" i="1"/>
  <c r="X4234" i="1"/>
  <c r="X4250" i="1"/>
  <c r="X4267" i="1"/>
  <c r="X4282" i="1"/>
  <c r="X4298" i="1"/>
  <c r="X4315" i="1"/>
  <c r="X4330" i="1"/>
  <c r="X4346" i="1"/>
  <c r="X4363" i="1"/>
  <c r="X2206" i="1"/>
  <c r="X2470" i="1"/>
  <c r="X2711" i="1"/>
  <c r="X2906" i="1"/>
  <c r="X2974" i="1"/>
  <c r="X3004" i="1"/>
  <c r="X3030" i="1"/>
  <c r="X3058" i="1"/>
  <c r="X3085" i="1"/>
  <c r="X3115" i="1"/>
  <c r="X3134" i="1"/>
  <c r="X3154" i="1"/>
  <c r="X3175" i="1"/>
  <c r="X3193" i="1"/>
  <c r="X3212" i="1"/>
  <c r="X3232" i="1"/>
  <c r="X3250" i="1"/>
  <c r="X3270" i="1"/>
  <c r="X3290" i="1"/>
  <c r="X3308" i="1"/>
  <c r="X3325" i="1"/>
  <c r="X3342" i="1"/>
  <c r="X3357" i="1"/>
  <c r="X3373" i="1"/>
  <c r="X3390" i="1"/>
  <c r="X3405" i="1"/>
  <c r="X3421" i="1"/>
  <c r="X3438" i="1"/>
  <c r="X3453" i="1"/>
  <c r="X3469" i="1"/>
  <c r="X3486" i="1"/>
  <c r="X3501" i="1"/>
  <c r="X3517" i="1"/>
  <c r="X3534" i="1"/>
  <c r="X3549" i="1"/>
  <c r="X3565" i="1"/>
  <c r="X3582" i="1"/>
  <c r="X3597" i="1"/>
  <c r="X3613" i="1"/>
  <c r="X3630" i="1"/>
  <c r="X3645" i="1"/>
  <c r="X3661" i="1"/>
  <c r="X3678" i="1"/>
  <c r="X3693" i="1"/>
  <c r="X3709" i="1"/>
  <c r="X3726" i="1"/>
  <c r="X3741" i="1"/>
  <c r="X3757" i="1"/>
  <c r="X3774" i="1"/>
  <c r="X3789" i="1"/>
  <c r="X3805" i="1"/>
  <c r="X3822" i="1"/>
  <c r="X3837" i="1"/>
  <c r="X3853" i="1"/>
  <c r="X3870" i="1"/>
  <c r="X3885" i="1"/>
  <c r="X3901" i="1"/>
  <c r="X3918" i="1"/>
  <c r="X3933" i="1"/>
  <c r="X3949" i="1"/>
  <c r="X3966" i="1"/>
  <c r="X3981" i="1"/>
  <c r="X3997" i="1"/>
  <c r="X4014" i="1"/>
  <c r="X4029" i="1"/>
  <c r="X4045" i="1"/>
  <c r="X4062" i="1"/>
  <c r="X4077" i="1"/>
  <c r="X4093" i="1"/>
  <c r="X4110" i="1"/>
  <c r="X4125" i="1"/>
  <c r="X4141" i="1"/>
  <c r="X4158" i="1"/>
  <c r="X4173" i="1"/>
  <c r="X4189" i="1"/>
  <c r="X4206" i="1"/>
  <c r="X4221" i="1"/>
  <c r="X4237" i="1"/>
  <c r="X4254" i="1"/>
  <c r="X4269" i="1"/>
  <c r="X4285" i="1"/>
  <c r="X4302" i="1"/>
  <c r="X4317" i="1"/>
  <c r="X4333" i="1"/>
  <c r="X4350" i="1"/>
  <c r="X3991" i="1"/>
  <c r="X4366" i="1"/>
  <c r="X4438" i="1"/>
  <c r="X4466" i="1"/>
  <c r="X4490" i="1"/>
  <c r="X4514" i="1"/>
  <c r="X4538" i="1"/>
  <c r="X4574" i="1"/>
  <c r="X4598" i="1"/>
  <c r="X4622" i="1"/>
  <c r="X4646" i="1"/>
  <c r="X4658" i="1"/>
  <c r="X4682" i="1"/>
  <c r="X4706" i="1"/>
  <c r="X4742" i="1"/>
  <c r="X4766" i="1"/>
  <c r="X4790" i="1"/>
  <c r="X4814" i="1"/>
  <c r="X4826" i="1"/>
  <c r="X4862" i="1"/>
  <c r="X4886" i="1"/>
  <c r="X4910" i="1"/>
  <c r="X4946" i="1"/>
  <c r="X4970" i="1"/>
  <c r="X4994" i="1"/>
  <c r="X4329" i="1"/>
  <c r="X4454" i="1"/>
  <c r="X2449" i="1"/>
  <c r="X3192" i="1"/>
  <c r="X3259" i="1"/>
  <c r="X3307" i="1"/>
  <c r="X3346" i="1"/>
  <c r="X3384" i="1"/>
  <c r="X3426" i="1"/>
  <c r="X3460" i="1"/>
  <c r="X3500" i="1"/>
  <c r="X3538" i="1"/>
  <c r="X3576" i="1"/>
  <c r="X3618" i="1"/>
  <c r="X3652" i="1"/>
  <c r="X3692" i="1"/>
  <c r="X3716" i="1"/>
  <c r="X3736" i="1"/>
  <c r="X3760" i="1"/>
  <c r="X3780" i="1"/>
  <c r="X3800" i="1"/>
  <c r="X3824" i="1"/>
  <c r="X3844" i="1"/>
  <c r="X3864" i="1"/>
  <c r="X3888" i="1"/>
  <c r="X3908" i="1"/>
  <c r="X3928" i="1"/>
  <c r="X3952" i="1"/>
  <c r="X3972" i="1"/>
  <c r="X3992" i="1"/>
  <c r="X4016" i="1"/>
  <c r="X4036" i="1"/>
  <c r="X4056" i="1"/>
  <c r="X4080" i="1"/>
  <c r="X4100" i="1"/>
  <c r="X4120" i="1"/>
  <c r="X4144" i="1"/>
  <c r="X4164" i="1"/>
  <c r="X4184" i="1"/>
  <c r="X4208" i="1"/>
  <c r="X4228" i="1"/>
  <c r="X4248" i="1"/>
  <c r="X4272" i="1"/>
  <c r="X4310" i="1"/>
  <c r="X4351" i="1"/>
  <c r="X4368" i="1"/>
  <c r="X4382" i="1"/>
  <c r="X4396" i="1"/>
  <c r="X4411" i="1"/>
  <c r="X4425" i="1"/>
  <c r="X4467" i="1"/>
  <c r="X4479" i="1"/>
  <c r="X4491" i="1"/>
  <c r="X2693" i="1"/>
  <c r="X3211" i="1"/>
  <c r="X3264" i="1"/>
  <c r="X3313" i="1"/>
  <c r="X3348" i="1"/>
  <c r="X3388" i="1"/>
  <c r="X3427" i="1"/>
  <c r="X3464" i="1"/>
  <c r="X3505" i="1"/>
  <c r="X3540" i="1"/>
  <c r="X3580" i="1"/>
  <c r="X3619" i="1"/>
  <c r="X3656" i="1"/>
  <c r="X3697" i="1"/>
  <c r="X3717" i="1"/>
  <c r="X3740" i="1"/>
  <c r="X3762" i="1"/>
  <c r="X3781" i="1"/>
  <c r="X3804" i="1"/>
  <c r="X3825" i="1"/>
  <c r="X3846" i="1"/>
  <c r="X3868" i="1"/>
  <c r="X3889" i="1"/>
  <c r="X3909" i="1"/>
  <c r="X3932" i="1"/>
  <c r="X3954" i="1"/>
  <c r="X3973" i="1"/>
  <c r="X3996" i="1"/>
  <c r="X4017" i="1"/>
  <c r="X4038" i="1"/>
  <c r="X4060" i="1"/>
  <c r="X4081" i="1"/>
  <c r="X4101" i="1"/>
  <c r="X4124" i="1"/>
  <c r="X4146" i="1"/>
  <c r="X4165" i="1"/>
  <c r="X4188" i="1"/>
  <c r="X4209" i="1"/>
  <c r="X4230" i="1"/>
  <c r="X4252" i="1"/>
  <c r="X4273" i="1"/>
  <c r="X4293" i="1"/>
  <c r="X4312" i="1"/>
  <c r="X4332" i="1"/>
  <c r="X4352" i="1"/>
  <c r="X4369" i="1"/>
  <c r="X4383" i="1"/>
  <c r="X4398" i="1"/>
  <c r="X4412" i="1"/>
  <c r="X4426" i="1"/>
  <c r="X2890" i="1"/>
  <c r="X3219" i="1"/>
  <c r="X3268" i="1"/>
  <c r="X3314" i="1"/>
  <c r="X3352" i="1"/>
  <c r="X3393" i="1"/>
  <c r="X3428" i="1"/>
  <c r="X3468" i="1"/>
  <c r="X3506" i="1"/>
  <c r="X3544" i="1"/>
  <c r="X3585" i="1"/>
  <c r="X3620" i="1"/>
  <c r="X3660" i="1"/>
  <c r="X3698" i="1"/>
  <c r="X3718" i="1"/>
  <c r="X3742" i="1"/>
  <c r="X3763" i="1"/>
  <c r="X3782" i="1"/>
  <c r="X3806" i="1"/>
  <c r="X3826" i="1"/>
  <c r="X3847" i="1"/>
  <c r="X3871" i="1"/>
  <c r="X3890" i="1"/>
  <c r="X3910" i="1"/>
  <c r="X3934" i="1"/>
  <c r="X3955" i="1"/>
  <c r="X3974" i="1"/>
  <c r="X3998" i="1"/>
  <c r="X4018" i="1"/>
  <c r="X4039" i="1"/>
  <c r="X4063" i="1"/>
  <c r="X4082" i="1"/>
  <c r="X4102" i="1"/>
  <c r="X4126" i="1"/>
  <c r="X4147" i="1"/>
  <c r="X4166" i="1"/>
  <c r="X4190" i="1"/>
  <c r="X4210" i="1"/>
  <c r="X4231" i="1"/>
  <c r="X4255" i="1"/>
  <c r="X4274" i="1"/>
  <c r="X4294" i="1"/>
  <c r="X4314" i="1"/>
  <c r="X4334" i="1"/>
  <c r="X4353" i="1"/>
  <c r="X4370" i="1"/>
  <c r="X4384" i="1"/>
  <c r="X4399" i="1"/>
  <c r="X4413" i="1"/>
  <c r="X4428" i="1"/>
  <c r="X4442" i="1"/>
  <c r="X4456" i="1"/>
  <c r="X4469" i="1"/>
  <c r="X4481" i="1"/>
  <c r="X2973" i="1"/>
  <c r="X3220" i="1"/>
  <c r="X3276" i="1"/>
  <c r="X3316" i="1"/>
  <c r="X3356" i="1"/>
  <c r="X3394" i="1"/>
  <c r="X3432" i="1"/>
  <c r="X3474" i="1"/>
  <c r="X3508" i="1"/>
  <c r="X3548" i="1"/>
  <c r="X3586" i="1"/>
  <c r="X3624" i="1"/>
  <c r="X3666" i="1"/>
  <c r="X3700" i="1"/>
  <c r="X3720" i="1"/>
  <c r="X3744" i="1"/>
  <c r="X3764" i="1"/>
  <c r="X3784" i="1"/>
  <c r="X3808" i="1"/>
  <c r="X3828" i="1"/>
  <c r="X3848" i="1"/>
  <c r="X3872" i="1"/>
  <c r="X3892" i="1"/>
  <c r="X3912" i="1"/>
  <c r="X3936" i="1"/>
  <c r="X3956" i="1"/>
  <c r="X3976" i="1"/>
  <c r="X4000" i="1"/>
  <c r="X4020" i="1"/>
  <c r="X4040" i="1"/>
  <c r="X4064" i="1"/>
  <c r="X4084" i="1"/>
  <c r="X4104" i="1"/>
  <c r="X4128" i="1"/>
  <c r="X4148" i="1"/>
  <c r="X4168" i="1"/>
  <c r="X4192" i="1"/>
  <c r="X4212" i="1"/>
  <c r="X4232" i="1"/>
  <c r="X4256" i="1"/>
  <c r="X4276" i="1"/>
  <c r="X4296" i="1"/>
  <c r="X4316" i="1"/>
  <c r="X4336" i="1"/>
  <c r="X4354" i="1"/>
  <c r="X4371" i="1"/>
  <c r="X4386" i="1"/>
  <c r="X4400" i="1"/>
  <c r="X4414" i="1"/>
  <c r="X4429" i="1"/>
  <c r="X4443" i="1"/>
  <c r="X4458" i="1"/>
  <c r="X4470" i="1"/>
  <c r="X4482" i="1"/>
  <c r="X4494" i="1"/>
  <c r="X4506" i="1"/>
  <c r="X4518" i="1"/>
  <c r="X4530" i="1"/>
  <c r="X4542" i="1"/>
  <c r="X4554" i="1"/>
  <c r="X4566" i="1"/>
  <c r="X4578" i="1"/>
  <c r="X4590" i="1"/>
  <c r="X4602" i="1"/>
  <c r="X4614" i="1"/>
  <c r="X4626" i="1"/>
  <c r="X4638" i="1"/>
  <c r="X4650" i="1"/>
  <c r="X4662" i="1"/>
  <c r="X4674" i="1"/>
  <c r="X4686" i="1"/>
  <c r="X4698" i="1"/>
  <c r="X4710" i="1"/>
  <c r="X4722" i="1"/>
  <c r="X4734" i="1"/>
  <c r="X4746" i="1"/>
  <c r="X4758" i="1"/>
  <c r="X4770" i="1"/>
  <c r="X4782" i="1"/>
  <c r="X4794" i="1"/>
  <c r="X4806" i="1"/>
  <c r="X4818" i="1"/>
  <c r="X4830" i="1"/>
  <c r="X4842" i="1"/>
  <c r="X4854" i="1"/>
  <c r="X4866" i="1"/>
  <c r="X4878" i="1"/>
  <c r="X4890" i="1"/>
  <c r="X4902" i="1"/>
  <c r="X4914" i="1"/>
  <c r="X4926" i="1"/>
  <c r="X4938" i="1"/>
  <c r="X4950" i="1"/>
  <c r="X4962" i="1"/>
  <c r="X4974" i="1"/>
  <c r="X4986" i="1"/>
  <c r="X4998" i="1"/>
  <c r="X3002" i="1"/>
  <c r="X3230" i="1"/>
  <c r="X3277" i="1"/>
  <c r="X3320" i="1"/>
  <c r="X3361" i="1"/>
  <c r="X3396" i="1"/>
  <c r="X3436" i="1"/>
  <c r="X3475" i="1"/>
  <c r="X3512" i="1"/>
  <c r="X3553" i="1"/>
  <c r="X3588" i="1"/>
  <c r="X3628" i="1"/>
  <c r="X3667" i="1"/>
  <c r="X3702" i="1"/>
  <c r="X3724" i="1"/>
  <c r="X3745" i="1"/>
  <c r="X3765" i="1"/>
  <c r="X3788" i="1"/>
  <c r="X3810" i="1"/>
  <c r="X3829" i="1"/>
  <c r="X3852" i="1"/>
  <c r="X3873" i="1"/>
  <c r="X3894" i="1"/>
  <c r="X3916" i="1"/>
  <c r="X3937" i="1"/>
  <c r="X3957" i="1"/>
  <c r="X4002" i="1"/>
  <c r="X4021" i="1"/>
  <c r="X4044" i="1"/>
  <c r="X4065" i="1"/>
  <c r="X4086" i="1"/>
  <c r="X4108" i="1"/>
  <c r="X4129" i="1"/>
  <c r="X4149" i="1"/>
  <c r="X4172" i="1"/>
  <c r="X4194" i="1"/>
  <c r="X4213" i="1"/>
  <c r="X4236" i="1"/>
  <c r="X4257" i="1"/>
  <c r="X4278" i="1"/>
  <c r="X4297" i="1"/>
  <c r="X4318" i="1"/>
  <c r="X4338" i="1"/>
  <c r="X4372" i="1"/>
  <c r="X4387" i="1"/>
  <c r="X4401" i="1"/>
  <c r="X4430" i="1"/>
  <c r="X4459" i="1"/>
  <c r="X4483" i="1"/>
  <c r="X4507" i="1"/>
  <c r="X4531" i="1"/>
  <c r="X4555" i="1"/>
  <c r="X4579" i="1"/>
  <c r="X4603" i="1"/>
  <c r="X4627" i="1"/>
  <c r="X4651" i="1"/>
  <c r="X4675" i="1"/>
  <c r="X4699" i="1"/>
  <c r="X4723" i="1"/>
  <c r="X4747" i="1"/>
  <c r="X4771" i="1"/>
  <c r="X4795" i="1"/>
  <c r="X4819" i="1"/>
  <c r="X4855" i="1"/>
  <c r="X4879" i="1"/>
  <c r="X4903" i="1"/>
  <c r="X4927" i="1"/>
  <c r="X4951" i="1"/>
  <c r="X4963" i="1"/>
  <c r="X4987" i="1"/>
  <c r="X4999" i="1"/>
  <c r="X4300" i="1"/>
  <c r="X4431" i="1"/>
  <c r="X4496" i="1"/>
  <c r="X3980" i="1"/>
  <c r="X4356" i="1"/>
  <c r="X4416" i="1"/>
  <c r="X4444" i="1"/>
  <c r="X4471" i="1"/>
  <c r="X4495" i="1"/>
  <c r="X4519" i="1"/>
  <c r="X4543" i="1"/>
  <c r="X4567" i="1"/>
  <c r="X4591" i="1"/>
  <c r="X4615" i="1"/>
  <c r="X4639" i="1"/>
  <c r="X4663" i="1"/>
  <c r="X4687" i="1"/>
  <c r="X4711" i="1"/>
  <c r="X4735" i="1"/>
  <c r="X4759" i="1"/>
  <c r="X4783" i="1"/>
  <c r="X4807" i="1"/>
  <c r="X4831" i="1"/>
  <c r="X4843" i="1"/>
  <c r="X4867" i="1"/>
  <c r="X4891" i="1"/>
  <c r="X4915" i="1"/>
  <c r="X4939" i="1"/>
  <c r="X4975" i="1"/>
  <c r="X4320" i="1"/>
  <c r="X4460" i="1"/>
  <c r="X3028" i="1"/>
  <c r="X3236" i="1"/>
  <c r="X3278" i="1"/>
  <c r="X3324" i="1"/>
  <c r="X3362" i="1"/>
  <c r="X3400" i="1"/>
  <c r="X3441" i="1"/>
  <c r="X3476" i="1"/>
  <c r="X3516" i="1"/>
  <c r="X3554" i="1"/>
  <c r="X3592" i="1"/>
  <c r="X3633" i="1"/>
  <c r="X3668" i="1"/>
  <c r="X3703" i="1"/>
  <c r="X3727" i="1"/>
  <c r="X3746" i="1"/>
  <c r="X3766" i="1"/>
  <c r="X3790" i="1"/>
  <c r="X3811" i="1"/>
  <c r="X3830" i="1"/>
  <c r="X3854" i="1"/>
  <c r="X3874" i="1"/>
  <c r="X3895" i="1"/>
  <c r="X3919" i="1"/>
  <c r="X3938" i="1"/>
  <c r="X3958" i="1"/>
  <c r="X3982" i="1"/>
  <c r="X4003" i="1"/>
  <c r="X4022" i="1"/>
  <c r="X4046" i="1"/>
  <c r="X4066" i="1"/>
  <c r="X4087" i="1"/>
  <c r="X4111" i="1"/>
  <c r="X4130" i="1"/>
  <c r="X4150" i="1"/>
  <c r="X4174" i="1"/>
  <c r="X4195" i="1"/>
  <c r="X4214" i="1"/>
  <c r="X4238" i="1"/>
  <c r="X4258" i="1"/>
  <c r="X4279" i="1"/>
  <c r="X4339" i="1"/>
  <c r="X4357" i="1"/>
  <c r="X4374" i="1"/>
  <c r="X4388" i="1"/>
  <c r="X4402" i="1"/>
  <c r="X4417" i="1"/>
  <c r="X4446" i="1"/>
  <c r="X4472" i="1"/>
  <c r="X4484" i="1"/>
  <c r="X3055" i="1"/>
  <c r="X3237" i="1"/>
  <c r="X3283" i="1"/>
  <c r="X3330" i="1"/>
  <c r="X3364" i="1"/>
  <c r="X3404" i="1"/>
  <c r="X3442" i="1"/>
  <c r="X3480" i="1"/>
  <c r="X3522" i="1"/>
  <c r="X3556" i="1"/>
  <c r="X3596" i="1"/>
  <c r="X3634" i="1"/>
  <c r="X3672" i="1"/>
  <c r="X3704" i="1"/>
  <c r="X3728" i="1"/>
  <c r="X3748" i="1"/>
  <c r="X3768" i="1"/>
  <c r="X3792" i="1"/>
  <c r="X3812" i="1"/>
  <c r="X3832" i="1"/>
  <c r="X3856" i="1"/>
  <c r="X3876" i="1"/>
  <c r="X3896" i="1"/>
  <c r="X3920" i="1"/>
  <c r="X3940" i="1"/>
  <c r="X3960" i="1"/>
  <c r="X3984" i="1"/>
  <c r="X4004" i="1"/>
  <c r="X4024" i="1"/>
  <c r="X4048" i="1"/>
  <c r="X4068" i="1"/>
  <c r="X4088" i="1"/>
  <c r="X4112" i="1"/>
  <c r="X4132" i="1"/>
  <c r="X4152" i="1"/>
  <c r="X4176" i="1"/>
  <c r="X4196" i="1"/>
  <c r="X4216" i="1"/>
  <c r="X4240" i="1"/>
  <c r="X4260" i="1"/>
  <c r="X4280" i="1"/>
  <c r="X4303" i="1"/>
  <c r="X4321" i="1"/>
  <c r="X4340" i="1"/>
  <c r="X4358" i="1"/>
  <c r="X4375" i="1"/>
  <c r="X4389" i="1"/>
  <c r="X4404" i="1"/>
  <c r="X4418" i="1"/>
  <c r="X4432" i="1"/>
  <c r="X3084" i="1"/>
  <c r="X3240" i="1"/>
  <c r="X3288" i="1"/>
  <c r="X3331" i="1"/>
  <c r="X3368" i="1"/>
  <c r="X3409" i="1"/>
  <c r="X3444" i="1"/>
  <c r="X3484" i="1"/>
  <c r="X3523" i="1"/>
  <c r="X3560" i="1"/>
  <c r="X3601" i="1"/>
  <c r="X3636" i="1"/>
  <c r="X3676" i="1"/>
  <c r="X3708" i="1"/>
  <c r="X3729" i="1"/>
  <c r="X3750" i="1"/>
  <c r="X3772" i="1"/>
  <c r="X3793" i="1"/>
  <c r="X3813" i="1"/>
  <c r="X3836" i="1"/>
  <c r="X3858" i="1"/>
  <c r="X3877" i="1"/>
  <c r="X3900" i="1"/>
  <c r="X3921" i="1"/>
  <c r="X3942" i="1"/>
  <c r="X3964" i="1"/>
  <c r="X3985" i="1"/>
  <c r="X4005" i="1"/>
  <c r="X4028" i="1"/>
  <c r="X4050" i="1"/>
  <c r="X4069" i="1"/>
  <c r="X4092" i="1"/>
  <c r="X4113" i="1"/>
  <c r="X4134" i="1"/>
  <c r="X4156" i="1"/>
  <c r="X4177" i="1"/>
  <c r="X4197" i="1"/>
  <c r="X4220" i="1"/>
  <c r="X4242" i="1"/>
  <c r="X4261" i="1"/>
  <c r="X4284" i="1"/>
  <c r="X4304" i="1"/>
  <c r="X4322" i="1"/>
  <c r="X4341" i="1"/>
  <c r="X4360" i="1"/>
  <c r="X4376" i="1"/>
  <c r="X4390" i="1"/>
  <c r="X4405" i="1"/>
  <c r="X4419" i="1"/>
  <c r="X4434" i="1"/>
  <c r="X4448" i="1"/>
  <c r="X4462" i="1"/>
  <c r="X4474" i="1"/>
  <c r="X4486" i="1"/>
  <c r="X4498" i="1"/>
  <c r="X4510" i="1"/>
  <c r="X4522" i="1"/>
  <c r="X4534" i="1"/>
  <c r="X4546" i="1"/>
  <c r="X4558" i="1"/>
  <c r="X4570" i="1"/>
  <c r="X4582" i="1"/>
  <c r="X4594" i="1"/>
  <c r="X4606" i="1"/>
  <c r="X4618" i="1"/>
  <c r="X4630" i="1"/>
  <c r="X4642" i="1"/>
  <c r="X4654" i="1"/>
  <c r="X4666" i="1"/>
  <c r="X4678" i="1"/>
  <c r="X4690" i="1"/>
  <c r="X4702" i="1"/>
  <c r="X4714" i="1"/>
  <c r="X4726" i="1"/>
  <c r="X4738" i="1"/>
  <c r="X4750" i="1"/>
  <c r="X4762" i="1"/>
  <c r="X4774" i="1"/>
  <c r="X4786" i="1"/>
  <c r="X4798" i="1"/>
  <c r="X4810" i="1"/>
  <c r="X4822" i="1"/>
  <c r="X4834" i="1"/>
  <c r="X4846" i="1"/>
  <c r="X4858" i="1"/>
  <c r="X4870" i="1"/>
  <c r="X4882" i="1"/>
  <c r="X4894" i="1"/>
  <c r="X4906" i="1"/>
  <c r="X4918" i="1"/>
  <c r="X4930" i="1"/>
  <c r="X4942" i="1"/>
  <c r="X4954" i="1"/>
  <c r="X4966" i="1"/>
  <c r="X4978" i="1"/>
  <c r="X4990" i="1"/>
  <c r="X3109" i="1"/>
  <c r="X3244" i="1"/>
  <c r="X3294" i="1"/>
  <c r="X3332" i="1"/>
  <c r="X3372" i="1"/>
  <c r="X3410" i="1"/>
  <c r="X3448" i="1"/>
  <c r="X3489" i="1"/>
  <c r="X3524" i="1"/>
  <c r="X3564" i="1"/>
  <c r="X3602" i="1"/>
  <c r="X3640" i="1"/>
  <c r="X3681" i="1"/>
  <c r="X3710" i="1"/>
  <c r="X3730" i="1"/>
  <c r="X3751" i="1"/>
  <c r="X3775" i="1"/>
  <c r="X3794" i="1"/>
  <c r="X3814" i="1"/>
  <c r="X3838" i="1"/>
  <c r="X3859" i="1"/>
  <c r="X3878" i="1"/>
  <c r="X3902" i="1"/>
  <c r="X3922" i="1"/>
  <c r="X3943" i="1"/>
  <c r="X3967" i="1"/>
  <c r="X3986" i="1"/>
  <c r="X4006" i="1"/>
  <c r="X4030" i="1"/>
  <c r="X4051" i="1"/>
  <c r="X4070" i="1"/>
  <c r="X4094" i="1"/>
  <c r="X4114" i="1"/>
  <c r="X4135" i="1"/>
  <c r="X4159" i="1"/>
  <c r="X4178" i="1"/>
  <c r="X4198" i="1"/>
  <c r="X4222" i="1"/>
  <c r="X4243" i="1"/>
  <c r="X4262" i="1"/>
  <c r="X4286" i="1"/>
  <c r="X4305" i="1"/>
  <c r="X4324" i="1"/>
  <c r="X4342" i="1"/>
  <c r="X4362" i="1"/>
  <c r="X4377" i="1"/>
  <c r="X4392" i="1"/>
  <c r="X4406" i="1"/>
  <c r="X4420" i="1"/>
  <c r="X3153" i="1"/>
  <c r="X3255" i="1"/>
  <c r="X3297" i="1"/>
  <c r="X3340" i="1"/>
  <c r="X3379" i="1"/>
  <c r="X3416" i="1"/>
  <c r="X3457" i="1"/>
  <c r="X3492" i="1"/>
  <c r="X3532" i="1"/>
  <c r="X3571" i="1"/>
  <c r="X3608" i="1"/>
  <c r="X3649" i="1"/>
  <c r="X3684" i="1"/>
  <c r="X3714" i="1"/>
  <c r="X3733" i="1"/>
  <c r="X3756" i="1"/>
  <c r="X3777" i="1"/>
  <c r="X3798" i="1"/>
  <c r="X3820" i="1"/>
  <c r="X3841" i="1"/>
  <c r="X3861" i="1"/>
  <c r="X3884" i="1"/>
  <c r="X3906" i="1"/>
  <c r="X3925" i="1"/>
  <c r="X3948" i="1"/>
  <c r="X3969" i="1"/>
  <c r="X3990" i="1"/>
  <c r="X4012" i="1"/>
  <c r="X4033" i="1"/>
  <c r="X4053" i="1"/>
  <c r="X4076" i="1"/>
  <c r="X4098" i="1"/>
  <c r="X4117" i="1"/>
  <c r="X4140" i="1"/>
  <c r="X4161" i="1"/>
  <c r="X4182" i="1"/>
  <c r="X4204" i="1"/>
  <c r="X4225" i="1"/>
  <c r="X4245" i="1"/>
  <c r="X4268" i="1"/>
  <c r="X4290" i="1"/>
  <c r="X4308" i="1"/>
  <c r="X4327" i="1"/>
  <c r="X4345" i="1"/>
  <c r="X4365" i="1"/>
  <c r="X4380" i="1"/>
  <c r="X4394" i="1"/>
  <c r="X4408" i="1"/>
  <c r="X4423" i="1"/>
  <c r="X4437" i="1"/>
  <c r="X4452" i="1"/>
  <c r="X4465" i="1"/>
  <c r="X4477" i="1"/>
  <c r="X4489" i="1"/>
  <c r="X4501" i="1"/>
  <c r="X4513" i="1"/>
  <c r="X4525" i="1"/>
  <c r="X4537" i="1"/>
  <c r="X4549" i="1"/>
  <c r="X4561" i="1"/>
  <c r="X4573" i="1"/>
  <c r="X4585" i="1"/>
  <c r="X4597" i="1"/>
  <c r="X4609" i="1"/>
  <c r="X4621" i="1"/>
  <c r="X4633" i="1"/>
  <c r="X4645" i="1"/>
  <c r="X4657" i="1"/>
  <c r="X4669" i="1"/>
  <c r="X4681" i="1"/>
  <c r="X4693" i="1"/>
  <c r="X4705" i="1"/>
  <c r="X4717" i="1"/>
  <c r="X4729" i="1"/>
  <c r="X4741" i="1"/>
  <c r="X4753" i="1"/>
  <c r="X4765" i="1"/>
  <c r="X4777" i="1"/>
  <c r="X4789" i="1"/>
  <c r="X4801" i="1"/>
  <c r="X4813" i="1"/>
  <c r="X4825" i="1"/>
  <c r="X4837" i="1"/>
  <c r="X4849" i="1"/>
  <c r="X4861" i="1"/>
  <c r="X4873" i="1"/>
  <c r="X4885" i="1"/>
  <c r="X4897" i="1"/>
  <c r="X4909" i="1"/>
  <c r="X4921" i="1"/>
  <c r="X4933" i="1"/>
  <c r="X4945" i="1"/>
  <c r="X4957" i="1"/>
  <c r="X4969" i="1"/>
  <c r="X4981" i="1"/>
  <c r="X4993" i="1"/>
  <c r="X2178" i="1"/>
  <c r="X3172" i="1"/>
  <c r="X3256" i="1"/>
  <c r="X3302" i="1"/>
  <c r="X3345" i="1"/>
  <c r="X3380" i="1"/>
  <c r="X3420" i="1"/>
  <c r="X3458" i="1"/>
  <c r="X3496" i="1"/>
  <c r="X3537" i="1"/>
  <c r="X3572" i="1"/>
  <c r="X3612" i="1"/>
  <c r="X3650" i="1"/>
  <c r="X3688" i="1"/>
  <c r="X3715" i="1"/>
  <c r="X3734" i="1"/>
  <c r="X3758" i="1"/>
  <c r="X3778" i="1"/>
  <c r="X3799" i="1"/>
  <c r="X3823" i="1"/>
  <c r="X3842" i="1"/>
  <c r="X3862" i="1"/>
  <c r="X3886" i="1"/>
  <c r="X3907" i="1"/>
  <c r="X3926" i="1"/>
  <c r="X3950" i="1"/>
  <c r="X3970" i="1"/>
  <c r="X4015" i="1"/>
  <c r="X4034" i="1"/>
  <c r="X4054" i="1"/>
  <c r="X4078" i="1"/>
  <c r="X4099" i="1"/>
  <c r="X4118" i="1"/>
  <c r="X4142" i="1"/>
  <c r="X4162" i="1"/>
  <c r="X4183" i="1"/>
  <c r="X4207" i="1"/>
  <c r="X4226" i="1"/>
  <c r="X4246" i="1"/>
  <c r="X4270" i="1"/>
  <c r="X4291" i="1"/>
  <c r="X4309" i="1"/>
  <c r="X4328" i="1"/>
  <c r="X4348" i="1"/>
  <c r="X4381" i="1"/>
  <c r="X4395" i="1"/>
  <c r="X4410" i="1"/>
  <c r="X4424" i="1"/>
  <c r="X4453" i="1"/>
  <c r="X4478" i="1"/>
  <c r="X4502" i="1"/>
  <c r="X4526" i="1"/>
  <c r="X4550" i="1"/>
  <c r="X4562" i="1"/>
  <c r="X4586" i="1"/>
  <c r="X4610" i="1"/>
  <c r="X4634" i="1"/>
  <c r="X4670" i="1"/>
  <c r="X4694" i="1"/>
  <c r="X4718" i="1"/>
  <c r="X4730" i="1"/>
  <c r="X4754" i="1"/>
  <c r="X4778" i="1"/>
  <c r="X4802" i="1"/>
  <c r="X4838" i="1"/>
  <c r="X4850" i="1"/>
  <c r="X4874" i="1"/>
  <c r="X4898" i="1"/>
  <c r="X4922" i="1"/>
  <c r="X4934" i="1"/>
  <c r="X4958" i="1"/>
  <c r="X4982" i="1"/>
  <c r="X4292" i="1"/>
  <c r="X4440" i="1"/>
  <c r="X3133" i="1"/>
  <c r="X3944" i="1"/>
  <c r="X4422" i="1"/>
  <c r="X4503" i="1"/>
  <c r="X4544" i="1"/>
  <c r="X4584" i="1"/>
  <c r="X4667" i="1"/>
  <c r="X4728" i="1"/>
  <c r="X4769" i="1"/>
  <c r="X4832" i="1"/>
  <c r="X4913" i="1"/>
  <c r="X4731" i="1"/>
  <c r="X4792" i="1"/>
  <c r="X4833" i="1"/>
  <c r="X4916" i="1"/>
  <c r="X4997" i="1"/>
  <c r="X4876" i="1"/>
  <c r="X5001" i="1"/>
  <c r="X3249" i="1"/>
  <c r="X3712" i="1"/>
  <c r="X3968" i="1"/>
  <c r="X4224" i="1"/>
  <c r="X4435" i="1"/>
  <c r="X4475" i="1"/>
  <c r="X4504" i="1"/>
  <c r="X4524" i="1"/>
  <c r="X4545" i="1"/>
  <c r="X4565" i="1"/>
  <c r="X4587" i="1"/>
  <c r="X4607" i="1"/>
  <c r="X4628" i="1"/>
  <c r="X4648" i="1"/>
  <c r="X4709" i="1"/>
  <c r="X4772" i="1"/>
  <c r="X4853" i="1"/>
  <c r="X4956" i="1"/>
  <c r="X4835" i="1"/>
  <c r="X3295" i="1"/>
  <c r="X3732" i="1"/>
  <c r="X3988" i="1"/>
  <c r="X4244" i="1"/>
  <c r="X4436" i="1"/>
  <c r="X4476" i="1"/>
  <c r="X4505" i="1"/>
  <c r="X4527" i="1"/>
  <c r="X4547" i="1"/>
  <c r="X4568" i="1"/>
  <c r="X4588" i="1"/>
  <c r="X4608" i="1"/>
  <c r="X4629" i="1"/>
  <c r="X4649" i="1"/>
  <c r="X4671" i="1"/>
  <c r="X4691" i="1"/>
  <c r="X4712" i="1"/>
  <c r="X4732" i="1"/>
  <c r="X4752" i="1"/>
  <c r="X4773" i="1"/>
  <c r="X4917" i="1"/>
  <c r="X4960" i="1"/>
  <c r="X3336" i="1"/>
  <c r="X3752" i="1"/>
  <c r="X4008" i="1"/>
  <c r="X4264" i="1"/>
  <c r="X4441" i="1"/>
  <c r="X4480" i="1"/>
  <c r="X4508" i="1"/>
  <c r="X4528" i="1"/>
  <c r="X4548" i="1"/>
  <c r="X4569" i="1"/>
  <c r="X4589" i="1"/>
  <c r="X4611" i="1"/>
  <c r="X4631" i="1"/>
  <c r="X4652" i="1"/>
  <c r="X4672" i="1"/>
  <c r="X4692" i="1"/>
  <c r="X4713" i="1"/>
  <c r="X4733" i="1"/>
  <c r="X4755" i="1"/>
  <c r="X4775" i="1"/>
  <c r="X4796" i="1"/>
  <c r="X4816" i="1"/>
  <c r="X4836" i="1"/>
  <c r="X4857" i="1"/>
  <c r="X4877" i="1"/>
  <c r="X4899" i="1"/>
  <c r="X4940" i="1"/>
  <c r="X3378" i="1"/>
  <c r="X3776" i="1"/>
  <c r="X4032" i="1"/>
  <c r="X4288" i="1"/>
  <c r="X4447" i="1"/>
  <c r="X4485" i="1"/>
  <c r="X4509" i="1"/>
  <c r="X4529" i="1"/>
  <c r="X4551" i="1"/>
  <c r="X4571" i="1"/>
  <c r="X4592" i="1"/>
  <c r="X4612" i="1"/>
  <c r="X4632" i="1"/>
  <c r="X4653" i="1"/>
  <c r="X4673" i="1"/>
  <c r="X4695" i="1"/>
  <c r="X4715" i="1"/>
  <c r="X4736" i="1"/>
  <c r="X4756" i="1"/>
  <c r="X4776" i="1"/>
  <c r="X4797" i="1"/>
  <c r="X4817" i="1"/>
  <c r="X4839" i="1"/>
  <c r="X4859" i="1"/>
  <c r="X4880" i="1"/>
  <c r="X4900" i="1"/>
  <c r="X4920" i="1"/>
  <c r="X4941" i="1"/>
  <c r="X4961" i="1"/>
  <c r="X4983" i="1"/>
  <c r="X3412" i="1"/>
  <c r="X3796" i="1"/>
  <c r="X4052" i="1"/>
  <c r="X4306" i="1"/>
  <c r="X4449" i="1"/>
  <c r="X4487" i="1"/>
  <c r="X4511" i="1"/>
  <c r="X4532" i="1"/>
  <c r="X4552" i="1"/>
  <c r="X4572" i="1"/>
  <c r="X4593" i="1"/>
  <c r="X4613" i="1"/>
  <c r="X4635" i="1"/>
  <c r="X4655" i="1"/>
  <c r="X4676" i="1"/>
  <c r="X4696" i="1"/>
  <c r="X4716" i="1"/>
  <c r="X4737" i="1"/>
  <c r="X4757" i="1"/>
  <c r="X4779" i="1"/>
  <c r="X4799" i="1"/>
  <c r="X4820" i="1"/>
  <c r="X4840" i="1"/>
  <c r="X4860" i="1"/>
  <c r="X4881" i="1"/>
  <c r="X4901" i="1"/>
  <c r="X4923" i="1"/>
  <c r="X4943" i="1"/>
  <c r="X4964" i="1"/>
  <c r="X4984" i="1"/>
  <c r="X3452" i="1"/>
  <c r="X3816" i="1"/>
  <c r="X4072" i="1"/>
  <c r="X4326" i="1"/>
  <c r="X4488" i="1"/>
  <c r="X4512" i="1"/>
  <c r="X4533" i="1"/>
  <c r="X4553" i="1"/>
  <c r="X4575" i="1"/>
  <c r="X4595" i="1"/>
  <c r="X4616" i="1"/>
  <c r="X4656" i="1"/>
  <c r="X4697" i="1"/>
  <c r="X4719" i="1"/>
  <c r="X4739" i="1"/>
  <c r="X4780" i="1"/>
  <c r="X4821" i="1"/>
  <c r="X4863" i="1"/>
  <c r="X4924" i="1"/>
  <c r="X4965" i="1"/>
  <c r="X4596" i="1"/>
  <c r="X4679" i="1"/>
  <c r="X4740" i="1"/>
  <c r="X4823" i="1"/>
  <c r="X4905" i="1"/>
  <c r="X4988" i="1"/>
  <c r="X4937" i="1"/>
  <c r="X4919" i="1"/>
  <c r="X4636" i="1"/>
  <c r="X4800" i="1"/>
  <c r="X4883" i="1"/>
  <c r="X4944" i="1"/>
  <c r="X4576" i="1"/>
  <c r="X4720" i="1"/>
  <c r="X4803" i="1"/>
  <c r="X4884" i="1"/>
  <c r="X4947" i="1"/>
  <c r="X4815" i="1"/>
  <c r="X4450" i="1"/>
  <c r="X4677" i="1"/>
  <c r="X4760" i="1"/>
  <c r="X4841" i="1"/>
  <c r="X4904" i="1"/>
  <c r="X4985" i="1"/>
  <c r="X4637" i="1"/>
  <c r="X4781" i="1"/>
  <c r="X4864" i="1"/>
  <c r="X4925" i="1"/>
  <c r="X4793" i="1"/>
  <c r="X3490" i="1"/>
  <c r="X3840" i="1"/>
  <c r="X4096" i="1"/>
  <c r="X4344" i="1"/>
  <c r="X4455" i="1"/>
  <c r="X4492" i="1"/>
  <c r="X4515" i="1"/>
  <c r="X4535" i="1"/>
  <c r="X4556" i="1"/>
  <c r="X4617" i="1"/>
  <c r="X4659" i="1"/>
  <c r="X4700" i="1"/>
  <c r="X4761" i="1"/>
  <c r="X4844" i="1"/>
  <c r="X4967" i="1"/>
  <c r="X4979" i="1"/>
  <c r="X4980" i="1"/>
  <c r="X3528" i="1"/>
  <c r="X3860" i="1"/>
  <c r="X4116" i="1"/>
  <c r="X4364" i="1"/>
  <c r="X4461" i="1"/>
  <c r="X4493" i="1"/>
  <c r="X4516" i="1"/>
  <c r="X4536" i="1"/>
  <c r="X4557" i="1"/>
  <c r="X4577" i="1"/>
  <c r="X4599" i="1"/>
  <c r="X4619" i="1"/>
  <c r="X4640" i="1"/>
  <c r="X4660" i="1"/>
  <c r="X4680" i="1"/>
  <c r="X4701" i="1"/>
  <c r="X4721" i="1"/>
  <c r="X4743" i="1"/>
  <c r="X4763" i="1"/>
  <c r="X4784" i="1"/>
  <c r="X4804" i="1"/>
  <c r="X4824" i="1"/>
  <c r="X4845" i="1"/>
  <c r="X4865" i="1"/>
  <c r="X4887" i="1"/>
  <c r="X4907" i="1"/>
  <c r="X4928" i="1"/>
  <c r="X4948" i="1"/>
  <c r="X4968" i="1"/>
  <c r="X4989" i="1"/>
  <c r="X3570" i="1"/>
  <c r="X3880" i="1"/>
  <c r="X4136" i="1"/>
  <c r="X4378" i="1"/>
  <c r="X4463" i="1"/>
  <c r="X4497" i="1"/>
  <c r="X4517" i="1"/>
  <c r="X4539" i="1"/>
  <c r="X4559" i="1"/>
  <c r="X4580" i="1"/>
  <c r="X4600" i="1"/>
  <c r="X4620" i="1"/>
  <c r="X4661" i="1"/>
  <c r="X4683" i="1"/>
  <c r="X4703" i="1"/>
  <c r="X4724" i="1"/>
  <c r="X4744" i="1"/>
  <c r="X4764" i="1"/>
  <c r="X4785" i="1"/>
  <c r="X4805" i="1"/>
  <c r="X4847" i="1"/>
  <c r="X4868" i="1"/>
  <c r="X4908" i="1"/>
  <c r="X4929" i="1"/>
  <c r="X4971" i="1"/>
  <c r="X4647" i="1"/>
  <c r="X4791" i="1"/>
  <c r="X4893" i="1"/>
  <c r="X4976" i="1"/>
  <c r="X4751" i="1"/>
  <c r="X4895" i="1"/>
  <c r="X4896" i="1"/>
  <c r="X4641" i="1"/>
  <c r="X4827" i="1"/>
  <c r="X4888" i="1"/>
  <c r="X4949" i="1"/>
  <c r="X4991" i="1"/>
  <c r="X4708" i="1"/>
  <c r="X4852" i="1"/>
  <c r="X4955" i="1"/>
  <c r="X4668" i="1"/>
  <c r="X4875" i="1"/>
  <c r="X4977" i="1"/>
  <c r="X4959" i="1"/>
  <c r="X5000" i="1"/>
  <c r="X3604" i="1"/>
  <c r="X3904" i="1"/>
  <c r="X4160" i="1"/>
  <c r="X4393" i="1"/>
  <c r="X4464" i="1"/>
  <c r="X4499" i="1"/>
  <c r="X4520" i="1"/>
  <c r="X4540" i="1"/>
  <c r="X4560" i="1"/>
  <c r="X4581" i="1"/>
  <c r="X4601" i="1"/>
  <c r="X4623" i="1"/>
  <c r="X4643" i="1"/>
  <c r="X4664" i="1"/>
  <c r="X4684" i="1"/>
  <c r="X4704" i="1"/>
  <c r="X4725" i="1"/>
  <c r="X4745" i="1"/>
  <c r="X4767" i="1"/>
  <c r="X4787" i="1"/>
  <c r="X4808" i="1"/>
  <c r="X4828" i="1"/>
  <c r="X4848" i="1"/>
  <c r="X4869" i="1"/>
  <c r="X4889" i="1"/>
  <c r="X4911" i="1"/>
  <c r="X4931" i="1"/>
  <c r="X4952" i="1"/>
  <c r="X4972" i="1"/>
  <c r="X4992" i="1"/>
  <c r="X3644" i="1"/>
  <c r="X3924" i="1"/>
  <c r="X4180" i="1"/>
  <c r="X4407" i="1"/>
  <c r="X4468" i="1"/>
  <c r="X4500" i="1"/>
  <c r="X4521" i="1"/>
  <c r="X4541" i="1"/>
  <c r="X4563" i="1"/>
  <c r="X4583" i="1"/>
  <c r="X4604" i="1"/>
  <c r="X4624" i="1"/>
  <c r="X4644" i="1"/>
  <c r="X4665" i="1"/>
  <c r="X4685" i="1"/>
  <c r="X4707" i="1"/>
  <c r="X4727" i="1"/>
  <c r="X4748" i="1"/>
  <c r="X4768" i="1"/>
  <c r="X4788" i="1"/>
  <c r="X4809" i="1"/>
  <c r="X4829" i="1"/>
  <c r="X4851" i="1"/>
  <c r="X4871" i="1"/>
  <c r="X4892" i="1"/>
  <c r="X4912" i="1"/>
  <c r="X4932" i="1"/>
  <c r="X4953" i="1"/>
  <c r="X4973" i="1"/>
  <c r="X4995" i="1"/>
  <c r="X3682" i="1"/>
  <c r="X4200" i="1"/>
  <c r="X4473" i="1"/>
  <c r="X4523" i="1"/>
  <c r="X4564" i="1"/>
  <c r="X4605" i="1"/>
  <c r="X4625" i="1"/>
  <c r="X4688" i="1"/>
  <c r="X4749" i="1"/>
  <c r="X4811" i="1"/>
  <c r="X4872" i="1"/>
  <c r="X4935" i="1"/>
  <c r="X4996" i="1"/>
  <c r="X4689" i="1"/>
  <c r="X4812" i="1"/>
  <c r="X4936" i="1"/>
  <c r="X4856" i="1"/>
</calcChain>
</file>

<file path=xl/sharedStrings.xml><?xml version="1.0" encoding="utf-8"?>
<sst xmlns="http://schemas.openxmlformats.org/spreadsheetml/2006/main" count="60115" uniqueCount="176">
  <si>
    <t>Customer ID</t>
  </si>
  <si>
    <t>Age</t>
  </si>
  <si>
    <t>Gender</t>
  </si>
  <si>
    <t>Item Purchased</t>
  </si>
  <si>
    <t>Category</t>
  </si>
  <si>
    <t>Location</t>
  </si>
  <si>
    <t>Size</t>
  </si>
  <si>
    <t>Color</t>
  </si>
  <si>
    <t>Season</t>
  </si>
  <si>
    <t>Review Rating</t>
  </si>
  <si>
    <t>Subscription Status</t>
  </si>
  <si>
    <t>Shipping Type</t>
  </si>
  <si>
    <t>Discount Applied</t>
  </si>
  <si>
    <t>Previous Purchases</t>
  </si>
  <si>
    <t>Payment Method</t>
  </si>
  <si>
    <t>Frequency of Purchases</t>
  </si>
  <si>
    <t>Female</t>
  </si>
  <si>
    <t>T-shirt</t>
  </si>
  <si>
    <t>Clothing</t>
  </si>
  <si>
    <t>California</t>
  </si>
  <si>
    <t>XL</t>
  </si>
  <si>
    <t>Olive</t>
  </si>
  <si>
    <t>Winter</t>
  </si>
  <si>
    <t>No</t>
  </si>
  <si>
    <t>Standard</t>
  </si>
  <si>
    <t>Cash</t>
  </si>
  <si>
    <t>Weekly</t>
  </si>
  <si>
    <t>Male</t>
  </si>
  <si>
    <t>Sunglasses</t>
  </si>
  <si>
    <t>Accessories</t>
  </si>
  <si>
    <t>South Carolina</t>
  </si>
  <si>
    <t>M</t>
  </si>
  <si>
    <t>White</t>
  </si>
  <si>
    <t>Spring</t>
  </si>
  <si>
    <t>Yes</t>
  </si>
  <si>
    <t>Free Shipping</t>
  </si>
  <si>
    <t>Debit Card</t>
  </si>
  <si>
    <t>Quarterly</t>
  </si>
  <si>
    <t>Shirt</t>
  </si>
  <si>
    <t>Montana</t>
  </si>
  <si>
    <t>Black</t>
  </si>
  <si>
    <t>2-Day Shipping</t>
  </si>
  <si>
    <t>Monthly</t>
  </si>
  <si>
    <t>Gloves</t>
  </si>
  <si>
    <t>Illinois</t>
  </si>
  <si>
    <t>L</t>
  </si>
  <si>
    <t>Red</t>
  </si>
  <si>
    <t>Fall</t>
  </si>
  <si>
    <t>Store Pickup</t>
  </si>
  <si>
    <t>Annually</t>
  </si>
  <si>
    <t>Jewelry</t>
  </si>
  <si>
    <t>Alabama</t>
  </si>
  <si>
    <t>Yellow</t>
  </si>
  <si>
    <t>Credit Card</t>
  </si>
  <si>
    <t>Shorts</t>
  </si>
  <si>
    <t>S</t>
  </si>
  <si>
    <t>Beige</t>
  </si>
  <si>
    <t>Summer</t>
  </si>
  <si>
    <t>PayPal</t>
  </si>
  <si>
    <t>Wisconsin</t>
  </si>
  <si>
    <t>Brown</t>
  </si>
  <si>
    <t>Express</t>
  </si>
  <si>
    <t>Venmo</t>
  </si>
  <si>
    <t>Every 3 Months</t>
  </si>
  <si>
    <t>Hat</t>
  </si>
  <si>
    <t>Tennessee</t>
  </si>
  <si>
    <t>Purple</t>
  </si>
  <si>
    <t>Florida</t>
  </si>
  <si>
    <t>Bi-Weekly</t>
  </si>
  <si>
    <t>Handbag</t>
  </si>
  <si>
    <t>Kentucky</t>
  </si>
  <si>
    <t>Other</t>
  </si>
  <si>
    <t>Shoes</t>
  </si>
  <si>
    <t>Phoenix</t>
  </si>
  <si>
    <t>Blue</t>
  </si>
  <si>
    <t>Autumn</t>
  </si>
  <si>
    <t>Coat</t>
  </si>
  <si>
    <t>Outerwear</t>
  </si>
  <si>
    <t>Pennsylvania</t>
  </si>
  <si>
    <t>Next Day Air</t>
  </si>
  <si>
    <t>Laptop</t>
  </si>
  <si>
    <t>Electronics</t>
  </si>
  <si>
    <t>Los Angeles</t>
  </si>
  <si>
    <t>Hoodie</t>
  </si>
  <si>
    <t>Vermont</t>
  </si>
  <si>
    <t>Gray</t>
  </si>
  <si>
    <t>North Dakota</t>
  </si>
  <si>
    <t>Magenta</t>
  </si>
  <si>
    <t>Bank Transfer</t>
  </si>
  <si>
    <t>Fortnightly</t>
  </si>
  <si>
    <t>Ohio</t>
  </si>
  <si>
    <t>Indigo</t>
  </si>
  <si>
    <t>Colorado</t>
  </si>
  <si>
    <t>Green</t>
  </si>
  <si>
    <t>Maine</t>
  </si>
  <si>
    <t>Phone</t>
  </si>
  <si>
    <t>Jacket</t>
  </si>
  <si>
    <t>Massachusetts</t>
  </si>
  <si>
    <t>Footwear</t>
  </si>
  <si>
    <t>Pants</t>
  </si>
  <si>
    <t>Arkansas</t>
  </si>
  <si>
    <t>New York</t>
  </si>
  <si>
    <t>Indiana</t>
  </si>
  <si>
    <t>Charcoal</t>
  </si>
  <si>
    <t>Backpack</t>
  </si>
  <si>
    <t>Socks</t>
  </si>
  <si>
    <t>Maryland</t>
  </si>
  <si>
    <t>Lavender</t>
  </si>
  <si>
    <t>Orange</t>
  </si>
  <si>
    <t>Jeans</t>
  </si>
  <si>
    <t>New Mexico</t>
  </si>
  <si>
    <t>Violet</t>
  </si>
  <si>
    <t>Bag</t>
  </si>
  <si>
    <t>Michigan</t>
  </si>
  <si>
    <t>Belt</t>
  </si>
  <si>
    <t>Connecticut</t>
  </si>
  <si>
    <t>Watch</t>
  </si>
  <si>
    <t>Headphones</t>
  </si>
  <si>
    <t>Blouse</t>
  </si>
  <si>
    <t>Louisiana</t>
  </si>
  <si>
    <t>Minnesota</t>
  </si>
  <si>
    <t>Sandals</t>
  </si>
  <si>
    <t>Skirt</t>
  </si>
  <si>
    <t>Oregon</t>
  </si>
  <si>
    <t>Kansas</t>
  </si>
  <si>
    <t>Maroon</t>
  </si>
  <si>
    <t>Houston</t>
  </si>
  <si>
    <t>Sweater</t>
  </si>
  <si>
    <t>Cyan</t>
  </si>
  <si>
    <t>Scarf</t>
  </si>
  <si>
    <t>South Dakota</t>
  </si>
  <si>
    <t>New Jersey</t>
  </si>
  <si>
    <t>New Hampshire</t>
  </si>
  <si>
    <t>Gold</t>
  </si>
  <si>
    <t>North Carolina</t>
  </si>
  <si>
    <t>Hawaii</t>
  </si>
  <si>
    <t>Pink</t>
  </si>
  <si>
    <t>Nebraska</t>
  </si>
  <si>
    <t>Virginia</t>
  </si>
  <si>
    <t>Chicago</t>
  </si>
  <si>
    <t>Sneakers</t>
  </si>
  <si>
    <t>Iowa</t>
  </si>
  <si>
    <t>Oklahoma</t>
  </si>
  <si>
    <t>Delaware</t>
  </si>
  <si>
    <t>Utah</t>
  </si>
  <si>
    <t>Peach</t>
  </si>
  <si>
    <t>Missouri</t>
  </si>
  <si>
    <t>Teal</t>
  </si>
  <si>
    <t>Alaska</t>
  </si>
  <si>
    <t>Mississippi</t>
  </si>
  <si>
    <t>Arizona</t>
  </si>
  <si>
    <t>Boots</t>
  </si>
  <si>
    <t>Texas</t>
  </si>
  <si>
    <t>Silver</t>
  </si>
  <si>
    <t>West Virginia</t>
  </si>
  <si>
    <t>Washington</t>
  </si>
  <si>
    <t>Turquoise</t>
  </si>
  <si>
    <t>Dress</t>
  </si>
  <si>
    <t>Nevada</t>
  </si>
  <si>
    <t>Rhode Island</t>
  </si>
  <si>
    <t>Georgia</t>
  </si>
  <si>
    <t>Idaho</t>
  </si>
  <si>
    <t>Wyoming</t>
  </si>
  <si>
    <t xml:space="preserve">Purchase Amount </t>
  </si>
  <si>
    <t xml:space="preserve"> + </t>
  </si>
  <si>
    <t>Discount</t>
  </si>
  <si>
    <t>Discount Amount</t>
  </si>
  <si>
    <t>Purchase Amount</t>
  </si>
  <si>
    <t>Get Payment Method</t>
  </si>
  <si>
    <t>Subscription Status2</t>
  </si>
  <si>
    <t>Subscription Status3</t>
  </si>
  <si>
    <t>Row Labels</t>
  </si>
  <si>
    <t>Grand Total</t>
  </si>
  <si>
    <t xml:space="preserve">Sum of Purchase Amount </t>
  </si>
  <si>
    <t>Subscription Status4</t>
  </si>
  <si>
    <t>Payment Method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</si>
</sst>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Red]0.00"/>
  </numFmts>
  <fonts count="2" x14ac:knownFonts="1">
    <font>
      <sz val="11"/>
      <color rgb="FF000000"/>
      <name val="Calibri"/>
    </font>
    <font>
      <sz val="11"/>
      <color rgb="FF000000"/>
      <name val="Calibri"/>
      <family val="2"/>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13">
    <xf numFmtId="0" fontId="0" fillId="0" borderId="0" xfId="0"/>
    <xf numFmtId="9" fontId="0" fillId="0" borderId="0" xfId="0" applyNumberFormat="1"/>
    <xf numFmtId="164" fontId="0" fillId="0" borderId="0" xfId="0" applyNumberFormat="1"/>
    <xf numFmtId="0" fontId="1" fillId="0" borderId="0" xfId="0" applyFont="1"/>
    <xf numFmtId="0" fontId="0" fillId="0" borderId="0" xfId="0" applyNumberFormat="1"/>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5" xfId="0" applyNumberFormat="1" applyBorder="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13" formatCode="0%"/>
    </dxf>
    <dxf>
      <numFmt numFmtId="164" formatCode="0.00;[Red]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64" formatCode="0.00;[Red]0.00"/>
    </dxf>
    <dxf>
      <font>
        <color rgb="FF9C0006"/>
      </font>
      <fill>
        <patternFill>
          <bgColor rgb="FFFFC7CE"/>
        </patternFill>
      </fill>
    </dxf>
    <dxf>
      <font>
        <color rgb="FF9C0006"/>
      </font>
      <fill>
        <patternFill>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(Recovered).xlsx]Size by sales!PivotTable1</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s>
    <c:plotArea>
      <c:layout/>
      <c:barChart>
        <c:barDir val="col"/>
        <c:grouping val="clustered"/>
        <c:varyColors val="0"/>
        <c:ser>
          <c:idx val="0"/>
          <c:order val="0"/>
          <c:tx>
            <c:strRef>
              <c:f>'Size by sales'!$B$1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'Size by sales'!$A$2:$A$6</c:f>
              <c:strCache>
                <c:ptCount val="4"/>
                <c:pt idx="0">
                  <c:v>L</c:v>
                </c:pt>
                <c:pt idx="1">
                  <c:v>M</c:v>
                </c:pt>
                <c:pt idx="2">
                  <c:v>S</c:v>
                </c:pt>
                <c:pt idx="3">
                  <c:v>XL</c:v>
                </c:pt>
              </c:strCache>
            </c:strRef>
          </c:cat>
          <c:val>
            <c:numRef>
              <c:f>'Size by sales'!$B$2:$B$6</c:f>
              <c:numCache>
                <c:formatCode>General</c:formatCode>
                <c:ptCount val="4"/>
                <c:pt idx="0">
                  <c:v>154932.74000000008</c:v>
                </c:pt>
                <c:pt idx="1">
                  <c:v>316898.72999999963</c:v>
                </c:pt>
                <c:pt idx="2">
                  <c:v>110187.37999999998</c:v>
                </c:pt>
                <c:pt idx="3">
                  <c:v>65402.12000000001</c:v>
                </c:pt>
              </c:numCache>
            </c:numRef>
          </c:val>
          <c:extLst>
            <c:ext xmlns:c16="http://schemas.microsoft.com/office/drawing/2014/chart" uri="{C3380CC4-5D6E-409C-BE32-E72D297353CC}">
              <c16:uniqueId val="{00000000-356B-4942-AE45-470B1EEE304A}"/>
            </c:ext>
          </c:extLst>
        </c:ser>
        <c:dLbls>
          <c:showLegendKey val="0"/>
          <c:showVal val="0"/>
          <c:showCatName val="0"/>
          <c:showSerName val="0"/>
          <c:showPercent val="0"/>
          <c:showBubbleSize val="0"/>
        </c:dLbls>
        <c:gapWidth val="100"/>
        <c:overlap val="-24"/>
        <c:axId val="1639210800"/>
        <c:axId val="1639214544"/>
      </c:barChart>
      <c:catAx>
        <c:axId val="1639210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14544"/>
        <c:crosses val="autoZero"/>
        <c:auto val="1"/>
        <c:lblAlgn val="ctr"/>
        <c:lblOffset val="100"/>
        <c:noMultiLvlLbl val="0"/>
      </c:catAx>
      <c:valAx>
        <c:axId val="163921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10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(Recovered).xlsx]Category-wise Sales!PivotTable1</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s>
    <c:plotArea>
      <c:layout/>
      <c:barChart>
        <c:barDir val="col"/>
        <c:grouping val="clustered"/>
        <c:varyColors val="0"/>
        <c:ser>
          <c:idx val="0"/>
          <c:order val="0"/>
          <c:tx>
            <c:strRef>
              <c:f>'Category-wise Sales'!$C$2</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'Category-wise Sales'!$B$3:$B$8</c:f>
              <c:strCache>
                <c:ptCount val="5"/>
                <c:pt idx="0">
                  <c:v>Accessories</c:v>
                </c:pt>
                <c:pt idx="1">
                  <c:v>Clothing</c:v>
                </c:pt>
                <c:pt idx="2">
                  <c:v>Electronics</c:v>
                </c:pt>
                <c:pt idx="3">
                  <c:v>Footwear</c:v>
                </c:pt>
                <c:pt idx="4">
                  <c:v>Outerwear</c:v>
                </c:pt>
              </c:strCache>
            </c:strRef>
          </c:cat>
          <c:val>
            <c:numRef>
              <c:f>'Category-wise Sales'!$C$3:$C$8</c:f>
              <c:numCache>
                <c:formatCode>General</c:formatCode>
                <c:ptCount val="5"/>
                <c:pt idx="0">
                  <c:v>201059.33000000002</c:v>
                </c:pt>
                <c:pt idx="1">
                  <c:v>254933.82999999996</c:v>
                </c:pt>
                <c:pt idx="2">
                  <c:v>136810.80999999994</c:v>
                </c:pt>
                <c:pt idx="3">
                  <c:v>36093</c:v>
                </c:pt>
                <c:pt idx="4">
                  <c:v>18524</c:v>
                </c:pt>
              </c:numCache>
            </c:numRef>
          </c:val>
          <c:extLst>
            <c:ext xmlns:c16="http://schemas.microsoft.com/office/drawing/2014/chart" uri="{C3380CC4-5D6E-409C-BE32-E72D297353CC}">
              <c16:uniqueId val="{00000000-C1E3-47DF-9D17-84A0C701CBE6}"/>
            </c:ext>
          </c:extLst>
        </c:ser>
        <c:dLbls>
          <c:showLegendKey val="0"/>
          <c:showVal val="0"/>
          <c:showCatName val="0"/>
          <c:showSerName val="0"/>
          <c:showPercent val="0"/>
          <c:showBubbleSize val="0"/>
        </c:dLbls>
        <c:gapWidth val="100"/>
        <c:overlap val="-24"/>
        <c:axId val="2021716736"/>
        <c:axId val="2021718400"/>
      </c:barChart>
      <c:catAx>
        <c:axId val="202171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21718400"/>
        <c:crosses val="autoZero"/>
        <c:auto val="1"/>
        <c:lblAlgn val="ctr"/>
        <c:lblOffset val="100"/>
        <c:noMultiLvlLbl val="0"/>
      </c:catAx>
      <c:valAx>
        <c:axId val="202171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21716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(Recovered).xlsx]Location-wise Sales!PivotTable2</c:name>
    <c:fmtId val="1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'Location-wise Sales'!$B$1</c:f>
              <c:strCache>
                <c:ptCount val="1"/>
                <c:pt idx="0">
                  <c:v>Total</c:v>
                </c:pt>
              </c:strCache>
            </c:strRef>
          </c:tx>
          <c:spPr>
            <a:ln w="28575" cap="rnd">
              <a:solidFill>
                <a:schemeClr val="accent1"/>
              </a:solidFill>
              <a:round/>
            </a:ln>
            <a:effectLst/>
          </c:spPr>
          <c:marker>
            <c:symbol val="none"/>
          </c:marker>
          <c:cat>
            <c:strRef>
              <c:f>'Location-wise Sales'!$A$2:$A$52</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'Location-wise Sales'!$B$2:$B$52</c:f>
              <c:numCache>
                <c:formatCode>General</c:formatCode>
                <c:ptCount val="50"/>
                <c:pt idx="0">
                  <c:v>959</c:v>
                </c:pt>
                <c:pt idx="1">
                  <c:v>904</c:v>
                </c:pt>
                <c:pt idx="2">
                  <c:v>609</c:v>
                </c:pt>
                <c:pt idx="3">
                  <c:v>750</c:v>
                </c:pt>
                <c:pt idx="4">
                  <c:v>743</c:v>
                </c:pt>
                <c:pt idx="5">
                  <c:v>688</c:v>
                </c:pt>
                <c:pt idx="6">
                  <c:v>869</c:v>
                </c:pt>
                <c:pt idx="7">
                  <c:v>724</c:v>
                </c:pt>
                <c:pt idx="8">
                  <c:v>689</c:v>
                </c:pt>
                <c:pt idx="9">
                  <c:v>715</c:v>
                </c:pt>
                <c:pt idx="10">
                  <c:v>400</c:v>
                </c:pt>
                <c:pt idx="11">
                  <c:v>928</c:v>
                </c:pt>
                <c:pt idx="12">
                  <c:v>781</c:v>
                </c:pt>
                <c:pt idx="13">
                  <c:v>712</c:v>
                </c:pt>
                <c:pt idx="14">
                  <c:v>475</c:v>
                </c:pt>
                <c:pt idx="15">
                  <c:v>453</c:v>
                </c:pt>
                <c:pt idx="16">
                  <c:v>607</c:v>
                </c:pt>
                <c:pt idx="17">
                  <c:v>632</c:v>
                </c:pt>
                <c:pt idx="18">
                  <c:v>506</c:v>
                </c:pt>
                <c:pt idx="19">
                  <c:v>1060</c:v>
                </c:pt>
                <c:pt idx="20">
                  <c:v>853</c:v>
                </c:pt>
                <c:pt idx="21">
                  <c:v>833</c:v>
                </c:pt>
                <c:pt idx="22">
                  <c:v>997</c:v>
                </c:pt>
                <c:pt idx="23">
                  <c:v>1136</c:v>
                </c:pt>
                <c:pt idx="24">
                  <c:v>466</c:v>
                </c:pt>
                <c:pt idx="25">
                  <c:v>1183</c:v>
                </c:pt>
                <c:pt idx="26">
                  <c:v>794</c:v>
                </c:pt>
                <c:pt idx="27">
                  <c:v>909</c:v>
                </c:pt>
                <c:pt idx="28">
                  <c:v>725</c:v>
                </c:pt>
                <c:pt idx="29">
                  <c:v>730</c:v>
                </c:pt>
                <c:pt idx="30">
                  <c:v>787</c:v>
                </c:pt>
                <c:pt idx="31">
                  <c:v>994</c:v>
                </c:pt>
                <c:pt idx="32">
                  <c:v>869</c:v>
                </c:pt>
                <c:pt idx="33">
                  <c:v>1026</c:v>
                </c:pt>
                <c:pt idx="34">
                  <c:v>1004</c:v>
                </c:pt>
                <c:pt idx="35">
                  <c:v>322</c:v>
                </c:pt>
                <c:pt idx="36">
                  <c:v>1047</c:v>
                </c:pt>
                <c:pt idx="37">
                  <c:v>1024</c:v>
                </c:pt>
                <c:pt idx="38">
                  <c:v>390</c:v>
                </c:pt>
                <c:pt idx="39">
                  <c:v>667</c:v>
                </c:pt>
                <c:pt idx="40">
                  <c:v>893</c:v>
                </c:pt>
                <c:pt idx="41">
                  <c:v>964</c:v>
                </c:pt>
                <c:pt idx="42">
                  <c:v>397</c:v>
                </c:pt>
                <c:pt idx="43">
                  <c:v>486</c:v>
                </c:pt>
                <c:pt idx="44">
                  <c:v>1031</c:v>
                </c:pt>
                <c:pt idx="45">
                  <c:v>502</c:v>
                </c:pt>
                <c:pt idx="46">
                  <c:v>822</c:v>
                </c:pt>
                <c:pt idx="47">
                  <c:v>847</c:v>
                </c:pt>
                <c:pt idx="48">
                  <c:v>644</c:v>
                </c:pt>
                <c:pt idx="49">
                  <c:v>534</c:v>
                </c:pt>
              </c:numCache>
            </c:numRef>
          </c:val>
          <c:smooth val="0"/>
          <c:extLst>
            <c:ext xmlns:c16="http://schemas.microsoft.com/office/drawing/2014/chart" uri="{C3380CC4-5D6E-409C-BE32-E72D297353CC}">
              <c16:uniqueId val="{00000000-6EB1-4390-A6FA-1AB766E9BF59}"/>
            </c:ext>
          </c:extLst>
        </c:ser>
        <c:dLbls>
          <c:showLegendKey val="0"/>
          <c:showVal val="0"/>
          <c:showCatName val="0"/>
          <c:showSerName val="0"/>
          <c:showPercent val="0"/>
          <c:showBubbleSize val="0"/>
        </c:dLbls>
        <c:smooth val="0"/>
        <c:axId val="2132686960"/>
        <c:axId val="2132684464"/>
      </c:lineChart>
      <c:catAx>
        <c:axId val="213268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84464"/>
        <c:crosses val="autoZero"/>
        <c:auto val="1"/>
        <c:lblAlgn val="ctr"/>
        <c:lblOffset val="100"/>
        <c:noMultiLvlLbl val="0"/>
      </c:catAx>
      <c:valAx>
        <c:axId val="213268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86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(Recovered).xlsx]Payment Method Analysis!PivotTable3</c:name>
    <c:fmtId val="2"/>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'Payment Method Analysis'!$B$1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27D-49CC-BDC8-A4BBEFE4310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27D-49CC-BDC8-A4BBEFE4310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27D-49CC-BDC8-A4BBEFE4310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27D-49CC-BDC8-A4BBEFE4310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27D-49CC-BDC8-A4BBEFE4310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27D-49CC-BDC8-A4BBEFE431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'Payment Method Analysis'!$A$2:$A$8</c:f>
              <c:strCache>
                <c:ptCount val="6"/>
                <c:pt idx="0">
                  <c:v>Bank Transfer</c:v>
                </c:pt>
                <c:pt idx="1">
                  <c:v>Cash</c:v>
                </c:pt>
                <c:pt idx="2">
                  <c:v>Credit Card</c:v>
                </c:pt>
                <c:pt idx="3">
                  <c:v>Debit Card</c:v>
                </c:pt>
                <c:pt idx="4">
                  <c:v>PayPal</c:v>
                </c:pt>
                <c:pt idx="5">
                  <c:v>Venmo</c:v>
                </c:pt>
              </c:strCache>
            </c:strRef>
          </c:cat>
          <c:val>
            <c:numRef>
              <c:f>'Payment Method Analysis'!$B$2:$B$8</c:f>
              <c:numCache>
                <c:formatCode>General</c:formatCode>
                <c:ptCount val="6"/>
                <c:pt idx="0">
                  <c:v>10606</c:v>
                </c:pt>
                <c:pt idx="1">
                  <c:v>41043.869999999995</c:v>
                </c:pt>
                <c:pt idx="2">
                  <c:v>43610.5</c:v>
                </c:pt>
                <c:pt idx="3">
                  <c:v>47901.58</c:v>
                </c:pt>
                <c:pt idx="4">
                  <c:v>46425.380000000005</c:v>
                </c:pt>
                <c:pt idx="5">
                  <c:v>11472</c:v>
                </c:pt>
              </c:numCache>
            </c:numRef>
          </c:val>
          <c:extLst>
            <c:ext xmlns:c16="http://schemas.microsoft.com/office/drawing/2014/chart" uri="{C3380CC4-5D6E-409C-BE32-E72D297353CC}">
              <c16:uniqueId val="{00000000-D4EB-4C1F-B043-8C51E6787B7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(Recovered).xlsx]Season-wise Sales!PivotTable4</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'Season-wise Sales'!$B$2</c:f>
              <c:strCache>
                <c:ptCount val="1"/>
                <c:pt idx="0">
                  <c:v>Total</c:v>
                </c:pt>
              </c:strCache>
            </c:strRef>
          </c:tx>
          <c:spPr>
            <a:solidFill>
              <a:schemeClr val="accent1"/>
            </a:solidFill>
            <a:ln>
              <a:noFill/>
            </a:ln>
            <a:effectLst/>
          </c:spPr>
          <c:invertIfNegative val="0"/>
          <c:cat>
            <c:strRef>
              <c:f>'Season-wise Sales'!$A$3:$A$7</c:f>
              <c:strCache>
                <c:ptCount val="4"/>
                <c:pt idx="0">
                  <c:v>Fall</c:v>
                </c:pt>
                <c:pt idx="1">
                  <c:v>Spring</c:v>
                </c:pt>
                <c:pt idx="2">
                  <c:v>Summer</c:v>
                </c:pt>
                <c:pt idx="3">
                  <c:v>Winter</c:v>
                </c:pt>
              </c:strCache>
            </c:strRef>
          </c:cat>
          <c:val>
            <c:numRef>
              <c:f>'Season-wise Sales'!$B$3:$B$7</c:f>
              <c:numCache>
                <c:formatCode>General</c:formatCode>
                <c:ptCount val="4"/>
                <c:pt idx="0">
                  <c:v>1992</c:v>
                </c:pt>
                <c:pt idx="1">
                  <c:v>1881</c:v>
                </c:pt>
                <c:pt idx="2">
                  <c:v>1842</c:v>
                </c:pt>
                <c:pt idx="3">
                  <c:v>1833</c:v>
                </c:pt>
              </c:numCache>
            </c:numRef>
          </c:val>
          <c:extLst>
            <c:ext xmlns:c16="http://schemas.microsoft.com/office/drawing/2014/chart" uri="{C3380CC4-5D6E-409C-BE32-E72D297353CC}">
              <c16:uniqueId val="{00000000-9C5F-4020-AC1C-711145BCDB32}"/>
            </c:ext>
          </c:extLst>
        </c:ser>
        <c:dLbls>
          <c:showLegendKey val="0"/>
          <c:showVal val="0"/>
          <c:showCatName val="0"/>
          <c:showSerName val="0"/>
          <c:showPercent val="0"/>
          <c:showBubbleSize val="0"/>
        </c:dLbls>
        <c:gapWidth val="182"/>
        <c:axId val="2132674896"/>
        <c:axId val="2132677392"/>
      </c:barChart>
      <c:catAx>
        <c:axId val="213267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77392"/>
        <c:crosses val="autoZero"/>
        <c:auto val="1"/>
        <c:lblAlgn val="ctr"/>
        <c:lblOffset val="100"/>
        <c:noMultiLvlLbl val="0"/>
      </c:catAx>
      <c:valAx>
        <c:axId val="213267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74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(Recovered).xlsx]Gender-wise Spending!PivotTable5</c:name>
    <c:fmtId val="13"/>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666666666666666E-2"/>
          <c:y val="0.2905304024496938"/>
          <c:w val="0.7993055555555556"/>
          <c:h val="0.66317330125400986"/>
        </c:manualLayout>
      </c:layout>
      <c:pie3DChart>
        <c:varyColors val="1"/>
        <c:ser>
          <c:idx val="0"/>
          <c:order val="0"/>
          <c:tx>
            <c:strRef>
              <c:f>'Gender-wise Spending'!$B$3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B25-4A2D-8D11-DDE3A2F0E05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B25-4A2D-8D11-DDE3A2F0E05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B25-4A2D-8D11-DDE3A2F0E05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'Gender-wise Spending'!$A$4:$A$6</c:f>
              <c:strCache>
                <c:ptCount val="2"/>
                <c:pt idx="0">
                  <c:v>Female</c:v>
                </c:pt>
                <c:pt idx="1">
                  <c:v>Male</c:v>
                </c:pt>
              </c:strCache>
            </c:strRef>
          </c:cat>
          <c:val>
            <c:numRef>
              <c:f>'Gender-wise Spending'!$B$4:$B$6</c:f>
              <c:numCache>
                <c:formatCode>General</c:formatCode>
                <c:ptCount val="2"/>
                <c:pt idx="0">
                  <c:v>12174</c:v>
                </c:pt>
                <c:pt idx="1">
                  <c:v>24370</c:v>
                </c:pt>
              </c:numCache>
            </c:numRef>
          </c:val>
          <c:extLst>
            <c:ext xmlns:c16="http://schemas.microsoft.com/office/drawing/2014/chart" uri="{C3380CC4-5D6E-409C-BE32-E72D297353CC}">
              <c16:uniqueId val="{00000000-210D-4F9F-AE28-59B587DD6B7F}"/>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(Recovered).xlsx]Category-wise Sales!PivotTable1</c:name>
    <c:fmtId val="8"/>
  </c:pivotSource>
  <c:chart>
    <c:autoTitleDeleted val="1"/>
    <c:pivotFmts>
      <c:pivotFmt>
        <c:idx val="0"/>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s>
    <c:plotArea>
      <c:layout/>
      <c:barChart>
        <c:barDir val="col"/>
        <c:grouping val="clustered"/>
        <c:varyColors val="0"/>
        <c:ser>
          <c:idx val="0"/>
          <c:order val="0"/>
          <c:tx>
            <c:strRef>
              <c:f>'Category-wise Sales'!$C$2</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'Category-wise Sales'!$B$3:$B$8</c:f>
              <c:strCache>
                <c:ptCount val="5"/>
                <c:pt idx="0">
                  <c:v>Accessories</c:v>
                </c:pt>
                <c:pt idx="1">
                  <c:v>Clothing</c:v>
                </c:pt>
                <c:pt idx="2">
                  <c:v>Electronics</c:v>
                </c:pt>
                <c:pt idx="3">
                  <c:v>Footwear</c:v>
                </c:pt>
                <c:pt idx="4">
                  <c:v>Outerwear</c:v>
                </c:pt>
              </c:strCache>
            </c:strRef>
          </c:cat>
          <c:val>
            <c:numRef>
              <c:f>'Category-wise Sales'!$C$3:$C$8</c:f>
              <c:numCache>
                <c:formatCode>General</c:formatCode>
                <c:ptCount val="5"/>
                <c:pt idx="0">
                  <c:v>201059.33000000002</c:v>
                </c:pt>
                <c:pt idx="1">
                  <c:v>254933.82999999996</c:v>
                </c:pt>
                <c:pt idx="2">
                  <c:v>136810.80999999994</c:v>
                </c:pt>
                <c:pt idx="3">
                  <c:v>36093</c:v>
                </c:pt>
                <c:pt idx="4">
                  <c:v>18524</c:v>
                </c:pt>
              </c:numCache>
            </c:numRef>
          </c:val>
          <c:extLst>
            <c:ext xmlns:c16="http://schemas.microsoft.com/office/drawing/2014/chart" uri="{C3380CC4-5D6E-409C-BE32-E72D297353CC}">
              <c16:uniqueId val="{00000000-C9C0-4925-AFE0-7D603CF20368}"/>
            </c:ext>
          </c:extLst>
        </c:ser>
        <c:dLbls>
          <c:showLegendKey val="0"/>
          <c:showVal val="0"/>
          <c:showCatName val="0"/>
          <c:showSerName val="0"/>
          <c:showPercent val="0"/>
          <c:showBubbleSize val="0"/>
        </c:dLbls>
        <c:gapWidth val="100"/>
        <c:overlap val="-24"/>
        <c:axId val="2021716736"/>
        <c:axId val="2021718400"/>
      </c:barChart>
      <c:catAx>
        <c:axId val="202171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21718400"/>
        <c:crosses val="autoZero"/>
        <c:auto val="1"/>
        <c:lblAlgn val="ctr"/>
        <c:lblOffset val="100"/>
        <c:noMultiLvlLbl val="0"/>
      </c:catAx>
      <c:valAx>
        <c:axId val="202171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21716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(Recovered).xlsx]Location-wise Sales!PivotTable2</c:name>
    <c:fmtId val="20"/>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'Location-wise Sales'!$B$1</c:f>
              <c:strCache>
                <c:ptCount val="1"/>
                <c:pt idx="0">
                  <c:v>Total</c:v>
                </c:pt>
              </c:strCache>
            </c:strRef>
          </c:tx>
          <c:spPr>
            <a:ln w="28575" cap="rnd">
              <a:solidFill>
                <a:schemeClr val="accent1"/>
              </a:solidFill>
              <a:round/>
            </a:ln>
            <a:effectLst/>
          </c:spPr>
          <c:marker>
            <c:symbol val="none"/>
          </c:marker>
          <c:cat>
            <c:strRef>
              <c:f>'Location-wise Sales'!$A$2:$A$52</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'Location-wise Sales'!$B$2:$B$52</c:f>
              <c:numCache>
                <c:formatCode>General</c:formatCode>
                <c:ptCount val="50"/>
                <c:pt idx="0">
                  <c:v>959</c:v>
                </c:pt>
                <c:pt idx="1">
                  <c:v>904</c:v>
                </c:pt>
                <c:pt idx="2">
                  <c:v>609</c:v>
                </c:pt>
                <c:pt idx="3">
                  <c:v>750</c:v>
                </c:pt>
                <c:pt idx="4">
                  <c:v>743</c:v>
                </c:pt>
                <c:pt idx="5">
                  <c:v>688</c:v>
                </c:pt>
                <c:pt idx="6">
                  <c:v>869</c:v>
                </c:pt>
                <c:pt idx="7">
                  <c:v>724</c:v>
                </c:pt>
                <c:pt idx="8">
                  <c:v>689</c:v>
                </c:pt>
                <c:pt idx="9">
                  <c:v>715</c:v>
                </c:pt>
                <c:pt idx="10">
                  <c:v>400</c:v>
                </c:pt>
                <c:pt idx="11">
                  <c:v>928</c:v>
                </c:pt>
                <c:pt idx="12">
                  <c:v>781</c:v>
                </c:pt>
                <c:pt idx="13">
                  <c:v>712</c:v>
                </c:pt>
                <c:pt idx="14">
                  <c:v>475</c:v>
                </c:pt>
                <c:pt idx="15">
                  <c:v>453</c:v>
                </c:pt>
                <c:pt idx="16">
                  <c:v>607</c:v>
                </c:pt>
                <c:pt idx="17">
                  <c:v>632</c:v>
                </c:pt>
                <c:pt idx="18">
                  <c:v>506</c:v>
                </c:pt>
                <c:pt idx="19">
                  <c:v>1060</c:v>
                </c:pt>
                <c:pt idx="20">
                  <c:v>853</c:v>
                </c:pt>
                <c:pt idx="21">
                  <c:v>833</c:v>
                </c:pt>
                <c:pt idx="22">
                  <c:v>997</c:v>
                </c:pt>
                <c:pt idx="23">
                  <c:v>1136</c:v>
                </c:pt>
                <c:pt idx="24">
                  <c:v>466</c:v>
                </c:pt>
                <c:pt idx="25">
                  <c:v>1183</c:v>
                </c:pt>
                <c:pt idx="26">
                  <c:v>794</c:v>
                </c:pt>
                <c:pt idx="27">
                  <c:v>909</c:v>
                </c:pt>
                <c:pt idx="28">
                  <c:v>725</c:v>
                </c:pt>
                <c:pt idx="29">
                  <c:v>730</c:v>
                </c:pt>
                <c:pt idx="30">
                  <c:v>787</c:v>
                </c:pt>
                <c:pt idx="31">
                  <c:v>994</c:v>
                </c:pt>
                <c:pt idx="32">
                  <c:v>869</c:v>
                </c:pt>
                <c:pt idx="33">
                  <c:v>1026</c:v>
                </c:pt>
                <c:pt idx="34">
                  <c:v>1004</c:v>
                </c:pt>
                <c:pt idx="35">
                  <c:v>322</c:v>
                </c:pt>
                <c:pt idx="36">
                  <c:v>1047</c:v>
                </c:pt>
                <c:pt idx="37">
                  <c:v>1024</c:v>
                </c:pt>
                <c:pt idx="38">
                  <c:v>390</c:v>
                </c:pt>
                <c:pt idx="39">
                  <c:v>667</c:v>
                </c:pt>
                <c:pt idx="40">
                  <c:v>893</c:v>
                </c:pt>
                <c:pt idx="41">
                  <c:v>964</c:v>
                </c:pt>
                <c:pt idx="42">
                  <c:v>397</c:v>
                </c:pt>
                <c:pt idx="43">
                  <c:v>486</c:v>
                </c:pt>
                <c:pt idx="44">
                  <c:v>1031</c:v>
                </c:pt>
                <c:pt idx="45">
                  <c:v>502</c:v>
                </c:pt>
                <c:pt idx="46">
                  <c:v>822</c:v>
                </c:pt>
                <c:pt idx="47">
                  <c:v>847</c:v>
                </c:pt>
                <c:pt idx="48">
                  <c:v>644</c:v>
                </c:pt>
                <c:pt idx="49">
                  <c:v>534</c:v>
                </c:pt>
              </c:numCache>
            </c:numRef>
          </c:val>
          <c:smooth val="0"/>
          <c:extLst>
            <c:ext xmlns:c16="http://schemas.microsoft.com/office/drawing/2014/chart" uri="{C3380CC4-5D6E-409C-BE32-E72D297353CC}">
              <c16:uniqueId val="{00000002-BD5A-4AA9-AF4D-6B96474B279D}"/>
            </c:ext>
          </c:extLst>
        </c:ser>
        <c:dLbls>
          <c:showLegendKey val="0"/>
          <c:showVal val="0"/>
          <c:showCatName val="0"/>
          <c:showSerName val="0"/>
          <c:showPercent val="0"/>
          <c:showBubbleSize val="0"/>
        </c:dLbls>
        <c:smooth val="0"/>
        <c:axId val="2132686960"/>
        <c:axId val="2132684464"/>
      </c:lineChart>
      <c:catAx>
        <c:axId val="213268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84464"/>
        <c:crosses val="autoZero"/>
        <c:auto val="1"/>
        <c:lblAlgn val="ctr"/>
        <c:lblOffset val="100"/>
        <c:noMultiLvlLbl val="0"/>
      </c:catAx>
      <c:valAx>
        <c:axId val="213268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86960"/>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ln>
      <a:solidFill>
        <a:schemeClr val="tx1"/>
      </a:solid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(Recovered).xlsx]Payment Method Analysis!PivotTable3</c:name>
    <c:fmtId val="5"/>
  </c:pivotSource>
  <c:chart>
    <c:autoTitleDeleted val="1"/>
    <c:pivotFmts>
      <c:pivotFmt>
        <c:idx val="0"/>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'Payment Method Analysis'!$B$1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94B-4075-B8B3-F9134FE00BB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94B-4075-B8B3-F9134FE00BB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94B-4075-B8B3-F9134FE00BB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94B-4075-B8B3-F9134FE00BB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94B-4075-B8B3-F9134FE00BB4}"/>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94B-4075-B8B3-F9134FE00B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'Payment Method Analysis'!$A$2:$A$8</c:f>
              <c:strCache>
                <c:ptCount val="6"/>
                <c:pt idx="0">
                  <c:v>Bank Transfer</c:v>
                </c:pt>
                <c:pt idx="1">
                  <c:v>Cash</c:v>
                </c:pt>
                <c:pt idx="2">
                  <c:v>Credit Card</c:v>
                </c:pt>
                <c:pt idx="3">
                  <c:v>Debit Card</c:v>
                </c:pt>
                <c:pt idx="4">
                  <c:v>PayPal</c:v>
                </c:pt>
                <c:pt idx="5">
                  <c:v>Venmo</c:v>
                </c:pt>
              </c:strCache>
            </c:strRef>
          </c:cat>
          <c:val>
            <c:numRef>
              <c:f>'Payment Method Analysis'!$B$2:$B$8</c:f>
              <c:numCache>
                <c:formatCode>General</c:formatCode>
                <c:ptCount val="6"/>
                <c:pt idx="0">
                  <c:v>10606</c:v>
                </c:pt>
                <c:pt idx="1">
                  <c:v>41043.869999999995</c:v>
                </c:pt>
                <c:pt idx="2">
                  <c:v>43610.5</c:v>
                </c:pt>
                <c:pt idx="3">
                  <c:v>47901.58</c:v>
                </c:pt>
                <c:pt idx="4">
                  <c:v>46425.380000000005</c:v>
                </c:pt>
                <c:pt idx="5">
                  <c:v>11472</c:v>
                </c:pt>
              </c:numCache>
            </c:numRef>
          </c:val>
          <c:extLst>
            <c:ext xmlns:c16="http://schemas.microsoft.com/office/drawing/2014/chart" uri="{C3380CC4-5D6E-409C-BE32-E72D297353CC}">
              <c16:uniqueId val="{0000000C-B94B-4075-B8B3-F9134FE00BB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(Recovered).xlsx]Season-wise Sales!PivotTable4</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'Season-wise Sales'!$B$2</c:f>
              <c:strCache>
                <c:ptCount val="1"/>
                <c:pt idx="0">
                  <c:v>Total</c:v>
                </c:pt>
              </c:strCache>
            </c:strRef>
          </c:tx>
          <c:spPr>
            <a:solidFill>
              <a:schemeClr val="accent1"/>
            </a:solidFill>
            <a:ln>
              <a:noFill/>
            </a:ln>
            <a:effectLst/>
          </c:spPr>
          <c:invertIfNegative val="0"/>
          <c:cat>
            <c:strRef>
              <c:f>'Season-wise Sales'!$A$3:$A$7</c:f>
              <c:strCache>
                <c:ptCount val="4"/>
                <c:pt idx="0">
                  <c:v>Fall</c:v>
                </c:pt>
                <c:pt idx="1">
                  <c:v>Spring</c:v>
                </c:pt>
                <c:pt idx="2">
                  <c:v>Summer</c:v>
                </c:pt>
                <c:pt idx="3">
                  <c:v>Winter</c:v>
                </c:pt>
              </c:strCache>
            </c:strRef>
          </c:cat>
          <c:val>
            <c:numRef>
              <c:f>'Season-wise Sales'!$B$3:$B$7</c:f>
              <c:numCache>
                <c:formatCode>General</c:formatCode>
                <c:ptCount val="4"/>
                <c:pt idx="0">
                  <c:v>1992</c:v>
                </c:pt>
                <c:pt idx="1">
                  <c:v>1881</c:v>
                </c:pt>
                <c:pt idx="2">
                  <c:v>1842</c:v>
                </c:pt>
                <c:pt idx="3">
                  <c:v>1833</c:v>
                </c:pt>
              </c:numCache>
            </c:numRef>
          </c:val>
          <c:extLst>
            <c:ext xmlns:c16="http://schemas.microsoft.com/office/drawing/2014/chart" uri="{C3380CC4-5D6E-409C-BE32-E72D297353CC}">
              <c16:uniqueId val="{00000000-7A0B-43ED-B608-A7AA54420AE1}"/>
            </c:ext>
          </c:extLst>
        </c:ser>
        <c:dLbls>
          <c:showLegendKey val="0"/>
          <c:showVal val="0"/>
          <c:showCatName val="0"/>
          <c:showSerName val="0"/>
          <c:showPercent val="0"/>
          <c:showBubbleSize val="0"/>
        </c:dLbls>
        <c:gapWidth val="182"/>
        <c:axId val="2132674896"/>
        <c:axId val="2132677392"/>
      </c:barChart>
      <c:catAx>
        <c:axId val="213267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77392"/>
        <c:crosses val="autoZero"/>
        <c:auto val="1"/>
        <c:lblAlgn val="ctr"/>
        <c:lblOffset val="100"/>
        <c:noMultiLvlLbl val="0"/>
      </c:catAx>
      <c:valAx>
        <c:axId val="213267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74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(Recovered).xlsx]Gender-wise Spending!PivotTable5</c:name>
    <c:fmtId val="16"/>
  </c:pivotSource>
  <c:chart>
    <c:autoTitleDeleted val="1"/>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chemeClr val="tx2">
                  <a:lumMod val="60000"/>
                  <a:lumOff val="40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666666666666666E-2"/>
          <c:y val="0.2905304024496938"/>
          <c:w val="0.7993055555555556"/>
          <c:h val="0.66317330125400986"/>
        </c:manualLayout>
      </c:layout>
      <c:pie3DChart>
        <c:varyColors val="1"/>
        <c:ser>
          <c:idx val="0"/>
          <c:order val="0"/>
          <c:tx>
            <c:strRef>
              <c:f>'Gender-wise Spending'!$B$3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3E1-4984-A943-B0AB75910D1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3E1-4984-A943-B0AB75910D1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3E1-4984-A943-B0AB75910D1C}"/>
              </c:ext>
            </c:extLst>
          </c:dPt>
          <c:dLbls>
            <c:delete val="1"/>
          </c:dLbls>
          <c:cat>
            <c:strRef>
              <c:f>'Gender-wise Spending'!$A$4:$A$6</c:f>
              <c:strCache>
                <c:ptCount val="2"/>
                <c:pt idx="0">
                  <c:v>Female</c:v>
                </c:pt>
                <c:pt idx="1">
                  <c:v>Male</c:v>
                </c:pt>
              </c:strCache>
            </c:strRef>
          </c:cat>
          <c:val>
            <c:numRef>
              <c:f>'Gender-wise Spending'!$B$4:$B$6</c:f>
              <c:numCache>
                <c:formatCode>General</c:formatCode>
                <c:ptCount val="2"/>
                <c:pt idx="0">
                  <c:v>12174</c:v>
                </c:pt>
                <c:pt idx="1">
                  <c:v>24370</c:v>
                </c:pt>
              </c:numCache>
            </c:numRef>
          </c:val>
          <c:extLst>
            <c:ext xmlns:c16="http://schemas.microsoft.com/office/drawing/2014/chart" uri="{C3380CC4-5D6E-409C-BE32-E72D297353CC}">
              <c16:uniqueId val="{00000006-73E1-4984-A943-B0AB75910D1C}"/>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 (version 1) (Recovered).xlsx]Size by sales!PivotTable1</c:name>
    <c:fmtId val="4"/>
  </c:pivotSource>
  <c:chart>
    <c:autoTitleDeleted val="1"/>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'Size by sales'!$B$1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'Size by sales'!$A$2:$A$6</c:f>
              <c:strCache>
                <c:ptCount val="4"/>
                <c:pt idx="0">
                  <c:v>L</c:v>
                </c:pt>
                <c:pt idx="1">
                  <c:v>M</c:v>
                </c:pt>
                <c:pt idx="2">
                  <c:v>S</c:v>
                </c:pt>
                <c:pt idx="3">
                  <c:v>XL</c:v>
                </c:pt>
              </c:strCache>
            </c:strRef>
          </c:cat>
          <c:val>
            <c:numRef>
              <c:f>'Size by sales'!$B$2:$B$6</c:f>
              <c:numCache>
                <c:formatCode>General</c:formatCode>
                <c:ptCount val="4"/>
                <c:pt idx="0">
                  <c:v>154932.74000000008</c:v>
                </c:pt>
                <c:pt idx="1">
                  <c:v>316898.72999999963</c:v>
                </c:pt>
                <c:pt idx="2">
                  <c:v>110187.37999999998</c:v>
                </c:pt>
                <c:pt idx="3">
                  <c:v>65402.12000000001</c:v>
                </c:pt>
              </c:numCache>
            </c:numRef>
          </c:val>
          <c:extLst>
            <c:ext xmlns:c16="http://schemas.microsoft.com/office/drawing/2014/chart" uri="{C3380CC4-5D6E-409C-BE32-E72D297353CC}">
              <c16:uniqueId val="{00000000-6892-49C4-A44E-5D1F15B67BBD}"/>
            </c:ext>
          </c:extLst>
        </c:ser>
        <c:dLbls>
          <c:showLegendKey val="0"/>
          <c:showVal val="0"/>
          <c:showCatName val="0"/>
          <c:showSerName val="0"/>
          <c:showPercent val="0"/>
          <c:showBubbleSize val="0"/>
        </c:dLbls>
        <c:gapWidth val="100"/>
        <c:overlap val="-24"/>
        <c:axId val="1639210800"/>
        <c:axId val="1639214544"/>
      </c:barChart>
      <c:catAx>
        <c:axId val="1639210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14544"/>
        <c:crosses val="autoZero"/>
        <c:auto val="1"/>
        <c:lblAlgn val="ctr"/>
        <c:lblOffset val="100"/>
        <c:noMultiLvlLbl val="0"/>
      </c:catAx>
      <c:valAx>
        <c:axId val="163921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10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595312</xdr:colOff>
      <xdr:row>12</xdr:row>
      <xdr:rowOff>76200</xdr:rowOff>
    </xdr:from>
    <xdr:to>
      <xdr:col>14</xdr:col>
      <xdr:colOff>290512</xdr:colOff>
      <xdr:row>26</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385762</xdr:colOff>
      <xdr:row>10</xdr:row>
      <xdr:rowOff>161925</xdr:rowOff>
    </xdr:from>
    <xdr:to>
      <xdr:col>7</xdr:col>
      <xdr:colOff>42862</xdr:colOff>
      <xdr:row>25</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100012</xdr:colOff>
      <xdr:row>9</xdr:row>
      <xdr:rowOff>28575</xdr:rowOff>
    </xdr:from>
    <xdr:to>
      <xdr:col>13</xdr:col>
      <xdr:colOff>404812</xdr:colOff>
      <xdr:row>23</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238125</xdr:colOff>
      <xdr:row>9</xdr:row>
      <xdr:rowOff>47625</xdr:rowOff>
    </xdr:from>
    <xdr:to>
      <xdr:col>18</xdr:col>
      <xdr:colOff>238125</xdr:colOff>
      <xdr:row>22</xdr:row>
      <xdr:rowOff>95250</xdr:rowOff>
    </xdr:to>
    <mc:AlternateContent xmlns:mc="http://schemas.openxmlformats.org/markup-compatibility/2006" xmlns:a14="http://schemas.microsoft.com/office/drawing/2010/main">
      <mc:Choice Requires="a14">
        <xdr:graphicFrame macro="">
          <xdr:nvGraphicFramePr>
            <xdr:cNvPr id="4" name="Shipping Type"/>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10782300" y="1762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347662</xdr:colOff>
      <xdr:row>13</xdr:row>
      <xdr:rowOff>85725</xdr:rowOff>
    </xdr:from>
    <xdr:to>
      <xdr:col>7</xdr:col>
      <xdr:colOff>271462</xdr:colOff>
      <xdr:row>27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85725</xdr:colOff>
      <xdr:row>8</xdr:row>
      <xdr:rowOff>180975</xdr:rowOff>
    </xdr:from>
    <xdr:to>
      <xdr:col>12</xdr:col>
      <xdr:colOff>85725</xdr:colOff>
      <xdr:row>22</xdr:row>
      <xdr:rowOff>38100</xdr:rowOff>
    </xdr:to>
    <mc:AlternateContent xmlns:mc="http://schemas.openxmlformats.org/markup-compatibility/2006" xmlns:a14="http://schemas.microsoft.com/office/drawing/2010/main">
      <mc:Choice Requires="a14">
        <xdr:graphicFrame macro="">
          <xdr:nvGraphicFramePr>
            <xdr:cNvPr id="3"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829425" y="1704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414337</xdr:colOff>
      <xdr:row>7</xdr:row>
      <xdr:rowOff>104775</xdr:rowOff>
    </xdr:from>
    <xdr:to>
      <xdr:col>12</xdr:col>
      <xdr:colOff>109537</xdr:colOff>
      <xdr:row>21</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342900</xdr:colOff>
      <xdr:row>14</xdr:row>
      <xdr:rowOff>123825</xdr:rowOff>
    </xdr:from>
    <xdr:to>
      <xdr:col>2</xdr:col>
      <xdr:colOff>571500</xdr:colOff>
      <xdr:row>27</xdr:row>
      <xdr:rowOff>171450</xdr:rowOff>
    </xdr:to>
    <mc:AlternateContent xmlns:mc="http://schemas.openxmlformats.org/markup-compatibility/2006" xmlns:a14="http://schemas.microsoft.com/office/drawing/2010/main">
      <mc:Choice Requires="a14">
        <xdr:graphicFrame macro="">
          <xdr:nvGraphicFramePr>
            <xdr:cNvPr id="3" name="Item Purchased"/>
            <xdr:cNvGraphicFramePr/>
          </xdr:nvGraphicFramePr>
          <xdr:xfrm>
            <a:off x="0" y="0"/>
            <a:ext cx="0" cy="0"/>
          </xdr:xfrm>
          <a:graphic>
            <a:graphicData uri="http://schemas.microsoft.com/office/drawing/2010/slicer">
              <sle:slicer xmlns:sle="http://schemas.microsoft.com/office/drawing/2010/slicer" name="Item Purchased"/>
            </a:graphicData>
          </a:graphic>
        </xdr:graphicFrame>
      </mc:Choice>
      <mc:Fallback xmlns="">
        <xdr:sp macro="" textlink="">
          <xdr:nvSpPr>
            <xdr:cNvPr id="0" name=""/>
            <xdr:cNvSpPr>
              <a:spLocks noTextEdit="1"/>
            </xdr:cNvSpPr>
          </xdr:nvSpPr>
          <xdr:spPr>
            <a:xfrm>
              <a:off x="1219200" y="2790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909637</xdr:colOff>
      <xdr:row>10</xdr:row>
      <xdr:rowOff>9525</xdr:rowOff>
    </xdr:from>
    <xdr:to>
      <xdr:col>8</xdr:col>
      <xdr:colOff>223837</xdr:colOff>
      <xdr:row>24</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142875</xdr:colOff>
      <xdr:row>6</xdr:row>
      <xdr:rowOff>114300</xdr:rowOff>
    </xdr:from>
    <xdr:to>
      <xdr:col>12</xdr:col>
      <xdr:colOff>142875</xdr:colOff>
      <xdr:row>19</xdr:row>
      <xdr:rowOff>161925</xdr:rowOff>
    </xdr:to>
    <mc:AlternateContent xmlns:mc="http://schemas.openxmlformats.org/markup-compatibility/2006" xmlns:a14="http://schemas.microsoft.com/office/drawing/2010/main">
      <mc:Choice Requires="a14">
        <xdr:graphicFrame macro="">
          <xdr:nvGraphicFramePr>
            <xdr:cNvPr id="4"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886575" y="1257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561974</xdr:colOff>
      <xdr:row>1</xdr:row>
      <xdr:rowOff>95250</xdr:rowOff>
    </xdr:from>
    <xdr:to>
      <xdr:col>23</xdr:col>
      <xdr:colOff>19049</xdr:colOff>
      <xdr:row>5</xdr:row>
      <xdr:rowOff>66675</xdr:rowOff>
    </xdr:to>
    <xdr:sp macro="" textlink="">
      <xdr:nvSpPr>
        <xdr:cNvPr id="2" name="Rounded Rectangle 1"/>
        <xdr:cNvSpPr/>
      </xdr:nvSpPr>
      <xdr:spPr>
        <a:xfrm>
          <a:off x="561974" y="285750"/>
          <a:ext cx="13477875" cy="733425"/>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CUTOMER</a:t>
          </a:r>
          <a:r>
            <a:rPr lang="en-IN" sz="2000" baseline="0"/>
            <a:t> </a:t>
          </a:r>
          <a:r>
            <a:rPr lang="en-IN" sz="2000" b="1" baseline="0"/>
            <a:t>PURCHASES DASHBOARD</a:t>
          </a:r>
          <a:endParaRPr lang="en-IN" sz="2000" b="1"/>
        </a:p>
      </xdr:txBody>
    </xdr:sp>
    <xdr:clientData/>
  </xdr:twoCellAnchor>
  <xdr:twoCellAnchor editAs="oneCell">
    <xdr:from>
      <xdr:col>1</xdr:col>
      <xdr:colOff>66675</xdr:colOff>
      <xdr:row>8</xdr:row>
      <xdr:rowOff>171449</xdr:rowOff>
    </xdr:from>
    <xdr:to>
      <xdr:col>5</xdr:col>
      <xdr:colOff>352425</xdr:colOff>
      <xdr:row>17</xdr:row>
      <xdr:rowOff>161924</xdr:rowOff>
    </xdr:to>
    <mc:AlternateContent xmlns:mc="http://schemas.openxmlformats.org/markup-compatibility/2006">
      <mc:Choice xmlns:a14="http://schemas.microsoft.com/office/drawing/2010/main" Requires="a14">
        <xdr:graphicFrame macro="">
          <xdr:nvGraphicFramePr>
            <xdr:cNvPr id="3" name="Shipping Type 1"/>
            <xdr:cNvGraphicFramePr/>
          </xdr:nvGraphicFramePr>
          <xdr:xfrm>
            <a:off x="0" y="0"/>
            <a:ext cx="0" cy="0"/>
          </xdr:xfrm>
          <a:graphic>
            <a:graphicData uri="http://schemas.microsoft.com/office/drawing/2010/slicer">
              <sle:slicer xmlns:sle="http://schemas.microsoft.com/office/drawing/2010/slicer" name="Shipping Type 1"/>
            </a:graphicData>
          </a:graphic>
        </xdr:graphicFrame>
      </mc:Choice>
      <mc:Fallback>
        <xdr:sp macro="" textlink="">
          <xdr:nvSpPr>
            <xdr:cNvPr id="0" name=""/>
            <xdr:cNvSpPr>
              <a:spLocks noTextEdit="1"/>
            </xdr:cNvSpPr>
          </xdr:nvSpPr>
          <xdr:spPr>
            <a:xfrm>
              <a:off x="679588" y="1695449"/>
              <a:ext cx="2737402"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400050</xdr:colOff>
      <xdr:row>8</xdr:row>
      <xdr:rowOff>142876</xdr:rowOff>
    </xdr:from>
    <xdr:to>
      <xdr:col>11</xdr:col>
      <xdr:colOff>76200</xdr:colOff>
      <xdr:row>17</xdr:row>
      <xdr:rowOff>180976</xdr:rowOff>
    </xdr:to>
    <mc:AlternateContent xmlns:mc="http://schemas.openxmlformats.org/markup-compatibility/2006">
      <mc:Choice xmlns:a14="http://schemas.microsoft.com/office/drawing/2010/main" Requires="a14">
        <xdr:graphicFrame macro="">
          <xdr:nvGraphicFramePr>
            <xdr:cNvPr id="4"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4077528" y="1666876"/>
              <a:ext cx="2740715"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66675</xdr:colOff>
      <xdr:row>8</xdr:row>
      <xdr:rowOff>161925</xdr:rowOff>
    </xdr:from>
    <xdr:to>
      <xdr:col>16</xdr:col>
      <xdr:colOff>371475</xdr:colOff>
      <xdr:row>18</xdr:row>
      <xdr:rowOff>9525</xdr:rowOff>
    </xdr:to>
    <mc:AlternateContent xmlns:mc="http://schemas.openxmlformats.org/markup-compatibility/2006">
      <mc:Choice xmlns:a14="http://schemas.microsoft.com/office/drawing/2010/main" Requires="a14">
        <xdr:graphicFrame macro="">
          <xdr:nvGraphicFramePr>
            <xdr:cNvPr id="5" name="Item Purchased 1"/>
            <xdr:cNvGraphicFramePr/>
          </xdr:nvGraphicFramePr>
          <xdr:xfrm>
            <a:off x="0" y="0"/>
            <a:ext cx="0" cy="0"/>
          </xdr:xfrm>
          <a:graphic>
            <a:graphicData uri="http://schemas.microsoft.com/office/drawing/2010/slicer">
              <sle:slicer xmlns:sle="http://schemas.microsoft.com/office/drawing/2010/slicer" name="Item Purchased 1"/>
            </a:graphicData>
          </a:graphic>
        </xdr:graphicFrame>
      </mc:Choice>
      <mc:Fallback>
        <xdr:sp macro="" textlink="">
          <xdr:nvSpPr>
            <xdr:cNvPr id="0" name=""/>
            <xdr:cNvSpPr>
              <a:spLocks noTextEdit="1"/>
            </xdr:cNvSpPr>
          </xdr:nvSpPr>
          <xdr:spPr>
            <a:xfrm>
              <a:off x="7421632" y="1685925"/>
              <a:ext cx="2756452"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333375</xdr:colOff>
      <xdr:row>9</xdr:row>
      <xdr:rowOff>9525</xdr:rowOff>
    </xdr:from>
    <xdr:to>
      <xdr:col>22</xdr:col>
      <xdr:colOff>142875</xdr:colOff>
      <xdr:row>18</xdr:row>
      <xdr:rowOff>0</xdr:rowOff>
    </xdr:to>
    <mc:AlternateContent xmlns:mc="http://schemas.openxmlformats.org/markup-compatibility/2006">
      <mc:Choice xmlns:a14="http://schemas.microsoft.com/office/drawing/2010/main" Requires="a14">
        <xdr:graphicFrame macro="">
          <xdr:nvGraphicFramePr>
            <xdr:cNvPr id="6" name="Payment Method 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0752897" y="1724025"/>
              <a:ext cx="2874065"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95250</xdr:colOff>
      <xdr:row>7</xdr:row>
      <xdr:rowOff>9524</xdr:rowOff>
    </xdr:from>
    <xdr:to>
      <xdr:col>2</xdr:col>
      <xdr:colOff>438150</xdr:colOff>
      <xdr:row>8</xdr:row>
      <xdr:rowOff>57149</xdr:rowOff>
    </xdr:to>
    <xdr:sp macro="" textlink="">
      <xdr:nvSpPr>
        <xdr:cNvPr id="7" name="Rectangle 6"/>
        <xdr:cNvSpPr/>
      </xdr:nvSpPr>
      <xdr:spPr>
        <a:xfrm>
          <a:off x="704850" y="1343024"/>
          <a:ext cx="952500" cy="23812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SLICERS</a:t>
          </a:r>
        </a:p>
      </xdr:txBody>
    </xdr:sp>
    <xdr:clientData/>
  </xdr:twoCellAnchor>
  <xdr:twoCellAnchor>
    <xdr:from>
      <xdr:col>1</xdr:col>
      <xdr:colOff>169261</xdr:colOff>
      <xdr:row>25</xdr:row>
      <xdr:rowOff>175177</xdr:rowOff>
    </xdr:from>
    <xdr:to>
      <xdr:col>8</xdr:col>
      <xdr:colOff>107676</xdr:colOff>
      <xdr:row>38</xdr:row>
      <xdr:rowOff>8282</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142875</xdr:colOff>
      <xdr:row>19</xdr:row>
      <xdr:rowOff>57150</xdr:rowOff>
    </xdr:from>
    <xdr:to>
      <xdr:col>5</xdr:col>
      <xdr:colOff>295275</xdr:colOff>
      <xdr:row>24</xdr:row>
      <xdr:rowOff>19050</xdr:rowOff>
    </xdr:to>
    <xdr:sp macro="" textlink="">
      <xdr:nvSpPr>
        <xdr:cNvPr id="9" name="Rounded Rectangle 8"/>
        <xdr:cNvSpPr/>
      </xdr:nvSpPr>
      <xdr:spPr>
        <a:xfrm>
          <a:off x="752475" y="3676650"/>
          <a:ext cx="2590800" cy="914400"/>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TOTAL SALES</a:t>
          </a:r>
        </a:p>
        <a:p>
          <a:pPr algn="ctr"/>
          <a:r>
            <a:rPr lang="en-IN" sz="2400" b="1" i="0" u="none" strike="noStrike">
              <a:solidFill>
                <a:schemeClr val="tx2">
                  <a:lumMod val="60000"/>
                  <a:lumOff val="40000"/>
                </a:schemeClr>
              </a:solidFill>
              <a:effectLst/>
              <a:latin typeface="+mn-lt"/>
              <a:ea typeface="+mn-ea"/>
              <a:cs typeface="+mn-cs"/>
            </a:rPr>
            <a:t>647420.97</a:t>
          </a:r>
          <a:r>
            <a:rPr lang="en-IN" sz="1400"/>
            <a:t> </a:t>
          </a:r>
          <a:endParaRPr lang="en-IN" sz="1400" b="1">
            <a:solidFill>
              <a:sysClr val="windowText" lastClr="000000"/>
            </a:solidFill>
          </a:endParaRPr>
        </a:p>
        <a:p>
          <a:pPr algn="ctr"/>
          <a:endParaRPr lang="en-IN" sz="1400" b="1">
            <a:solidFill>
              <a:sysClr val="windowText" lastClr="000000"/>
            </a:solidFill>
          </a:endParaRPr>
        </a:p>
      </xdr:txBody>
    </xdr:sp>
    <xdr:clientData/>
  </xdr:twoCellAnchor>
  <xdr:twoCellAnchor>
    <xdr:from>
      <xdr:col>6</xdr:col>
      <xdr:colOff>447675</xdr:colOff>
      <xdr:row>19</xdr:row>
      <xdr:rowOff>76200</xdr:rowOff>
    </xdr:from>
    <xdr:to>
      <xdr:col>10</xdr:col>
      <xdr:colOff>600075</xdr:colOff>
      <xdr:row>24</xdr:row>
      <xdr:rowOff>38100</xdr:rowOff>
    </xdr:to>
    <xdr:sp macro="" textlink="">
      <xdr:nvSpPr>
        <xdr:cNvPr id="10" name="Rounded Rectangle 9"/>
        <xdr:cNvSpPr/>
      </xdr:nvSpPr>
      <xdr:spPr>
        <a:xfrm>
          <a:off x="4105275" y="3695700"/>
          <a:ext cx="2590800" cy="914400"/>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TOTAL ORDER</a:t>
          </a:r>
        </a:p>
        <a:p>
          <a:pPr algn="ctr"/>
          <a:r>
            <a:rPr lang="en-IN" sz="2400" b="1" i="0" u="none" strike="noStrike">
              <a:solidFill>
                <a:schemeClr val="tx2">
                  <a:lumMod val="60000"/>
                  <a:lumOff val="40000"/>
                </a:schemeClr>
              </a:solidFill>
              <a:effectLst/>
              <a:latin typeface="+mn-lt"/>
              <a:ea typeface="+mn-ea"/>
              <a:cs typeface="+mn-cs"/>
            </a:rPr>
            <a:t>5099</a:t>
          </a:r>
          <a:r>
            <a:rPr lang="en-IN" sz="1400"/>
            <a:t> </a:t>
          </a:r>
          <a:endParaRPr lang="en-IN" sz="1400" b="1">
            <a:solidFill>
              <a:sysClr val="windowText" lastClr="000000"/>
            </a:solidFill>
          </a:endParaRPr>
        </a:p>
        <a:p>
          <a:pPr algn="ctr"/>
          <a:endParaRPr lang="en-IN" sz="1400" b="1">
            <a:solidFill>
              <a:sysClr val="windowText" lastClr="000000"/>
            </a:solidFill>
          </a:endParaRPr>
        </a:p>
      </xdr:txBody>
    </xdr:sp>
    <xdr:clientData/>
  </xdr:twoCellAnchor>
  <xdr:twoCellAnchor>
    <xdr:from>
      <xdr:col>12</xdr:col>
      <xdr:colOff>209550</xdr:colOff>
      <xdr:row>19</xdr:row>
      <xdr:rowOff>66675</xdr:rowOff>
    </xdr:from>
    <xdr:to>
      <xdr:col>16</xdr:col>
      <xdr:colOff>361950</xdr:colOff>
      <xdr:row>24</xdr:row>
      <xdr:rowOff>28575</xdr:rowOff>
    </xdr:to>
    <xdr:sp macro="" textlink="">
      <xdr:nvSpPr>
        <xdr:cNvPr id="11" name="Rounded Rectangle 10"/>
        <xdr:cNvSpPr/>
      </xdr:nvSpPr>
      <xdr:spPr>
        <a:xfrm>
          <a:off x="7524750" y="3686175"/>
          <a:ext cx="2590800" cy="914400"/>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AVERAGE</a:t>
          </a:r>
          <a:r>
            <a:rPr lang="en-IN" sz="1400" b="1" baseline="0">
              <a:solidFill>
                <a:sysClr val="windowText" lastClr="000000"/>
              </a:solidFill>
            </a:rPr>
            <a:t> RATING</a:t>
          </a:r>
        </a:p>
        <a:p>
          <a:pPr algn="ctr"/>
          <a:r>
            <a:rPr lang="en-IN" sz="2400" b="1" i="0" u="none" strike="noStrike">
              <a:solidFill>
                <a:schemeClr val="tx2">
                  <a:lumMod val="60000"/>
                  <a:lumOff val="40000"/>
                </a:schemeClr>
              </a:solidFill>
              <a:effectLst/>
              <a:latin typeface="+mn-lt"/>
              <a:ea typeface="+mn-ea"/>
              <a:cs typeface="+mn-cs"/>
            </a:rPr>
            <a:t>3.3479</a:t>
          </a:r>
          <a:r>
            <a:rPr lang="en-IN" sz="1400" b="1">
              <a:solidFill>
                <a:schemeClr val="tx2">
                  <a:lumMod val="60000"/>
                  <a:lumOff val="40000"/>
                </a:schemeClr>
              </a:solidFill>
            </a:rPr>
            <a:t> </a:t>
          </a:r>
        </a:p>
      </xdr:txBody>
    </xdr:sp>
    <xdr:clientData/>
  </xdr:twoCellAnchor>
  <xdr:twoCellAnchor>
    <xdr:from>
      <xdr:col>17</xdr:col>
      <xdr:colOff>561975</xdr:colOff>
      <xdr:row>19</xdr:row>
      <xdr:rowOff>95250</xdr:rowOff>
    </xdr:from>
    <xdr:to>
      <xdr:col>22</xdr:col>
      <xdr:colOff>104775</xdr:colOff>
      <xdr:row>24</xdr:row>
      <xdr:rowOff>57150</xdr:rowOff>
    </xdr:to>
    <xdr:sp macro="" textlink="">
      <xdr:nvSpPr>
        <xdr:cNvPr id="12" name="Rounded Rectangle 11"/>
        <xdr:cNvSpPr/>
      </xdr:nvSpPr>
      <xdr:spPr>
        <a:xfrm>
          <a:off x="10925175" y="3714750"/>
          <a:ext cx="2590800" cy="914400"/>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AVERAGE</a:t>
          </a:r>
          <a:r>
            <a:rPr lang="en-IN" sz="1400" b="1" baseline="0">
              <a:solidFill>
                <a:sysClr val="windowText" lastClr="000000"/>
              </a:solidFill>
            </a:rPr>
            <a:t> DISCOUNT</a:t>
          </a:r>
        </a:p>
        <a:p>
          <a:pPr algn="ctr"/>
          <a:r>
            <a:rPr lang="en-IN" sz="2400" b="1" i="0" u="none" strike="noStrike">
              <a:solidFill>
                <a:schemeClr val="tx2">
                  <a:lumMod val="60000"/>
                  <a:lumOff val="40000"/>
                </a:schemeClr>
              </a:solidFill>
              <a:effectLst/>
              <a:latin typeface="+mn-lt"/>
              <a:ea typeface="+mn-ea"/>
              <a:cs typeface="+mn-cs"/>
            </a:rPr>
            <a:t>129.4842</a:t>
          </a:r>
          <a:endParaRPr lang="en-IN" sz="1400" b="1">
            <a:solidFill>
              <a:schemeClr val="tx2">
                <a:lumMod val="60000"/>
                <a:lumOff val="40000"/>
              </a:schemeClr>
            </a:solidFill>
          </a:endParaRPr>
        </a:p>
      </xdr:txBody>
    </xdr:sp>
    <xdr:clientData/>
  </xdr:twoCellAnchor>
  <xdr:twoCellAnchor>
    <xdr:from>
      <xdr:col>9</xdr:col>
      <xdr:colOff>16565</xdr:colOff>
      <xdr:row>25</xdr:row>
      <xdr:rowOff>115957</xdr:rowOff>
    </xdr:from>
    <xdr:to>
      <xdr:col>15</xdr:col>
      <xdr:colOff>472109</xdr:colOff>
      <xdr:row>37</xdr:row>
      <xdr:rowOff>140804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372717</xdr:colOff>
      <xdr:row>25</xdr:row>
      <xdr:rowOff>124238</xdr:rowOff>
    </xdr:from>
    <xdr:to>
      <xdr:col>22</xdr:col>
      <xdr:colOff>339587</xdr:colOff>
      <xdr:row>37</xdr:row>
      <xdr:rowOff>66260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372717</xdr:colOff>
      <xdr:row>25</xdr:row>
      <xdr:rowOff>132521</xdr:rowOff>
    </xdr:from>
    <xdr:to>
      <xdr:col>19</xdr:col>
      <xdr:colOff>389282</xdr:colOff>
      <xdr:row>26</xdr:row>
      <xdr:rowOff>149086</xdr:rowOff>
    </xdr:to>
    <xdr:sp macro="" textlink="">
      <xdr:nvSpPr>
        <xdr:cNvPr id="16" name="Rounded Rectangle 15"/>
        <xdr:cNvSpPr/>
      </xdr:nvSpPr>
      <xdr:spPr>
        <a:xfrm>
          <a:off x="10179326" y="4895021"/>
          <a:ext cx="1855304" cy="207065"/>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3. Payment Method Analysis</a:t>
          </a:r>
        </a:p>
      </xdr:txBody>
    </xdr:sp>
    <xdr:clientData/>
  </xdr:twoCellAnchor>
  <xdr:twoCellAnchor>
    <xdr:from>
      <xdr:col>21</xdr:col>
      <xdr:colOff>66260</xdr:colOff>
      <xdr:row>68</xdr:row>
      <xdr:rowOff>156290</xdr:rowOff>
    </xdr:from>
    <xdr:to>
      <xdr:col>21</xdr:col>
      <xdr:colOff>111979</xdr:colOff>
      <xdr:row>69</xdr:row>
      <xdr:rowOff>11509</xdr:rowOff>
    </xdr:to>
    <xdr:sp macro="" textlink="">
      <xdr:nvSpPr>
        <xdr:cNvPr id="6149" name="Text Box 5"/>
        <xdr:cNvSpPr txBox="1">
          <a:spLocks noChangeArrowheads="1"/>
        </xdr:cNvSpPr>
      </xdr:nvSpPr>
      <xdr:spPr bwMode="auto">
        <a:xfrm>
          <a:off x="12937434" y="13110290"/>
          <a:ext cx="45719" cy="4571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1</xdr:col>
      <xdr:colOff>165652</xdr:colOff>
      <xdr:row>39</xdr:row>
      <xdr:rowOff>99391</xdr:rowOff>
    </xdr:from>
    <xdr:to>
      <xdr:col>8</xdr:col>
      <xdr:colOff>91109</xdr:colOff>
      <xdr:row>52</xdr:row>
      <xdr:rowOff>24848</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165652</xdr:colOff>
      <xdr:row>39</xdr:row>
      <xdr:rowOff>99391</xdr:rowOff>
    </xdr:from>
    <xdr:to>
      <xdr:col>3</xdr:col>
      <xdr:colOff>405848</xdr:colOff>
      <xdr:row>40</xdr:row>
      <xdr:rowOff>140804</xdr:rowOff>
    </xdr:to>
    <xdr:sp macro="" textlink="">
      <xdr:nvSpPr>
        <xdr:cNvPr id="17" name="Rounded Rectangle 16"/>
        <xdr:cNvSpPr/>
      </xdr:nvSpPr>
      <xdr:spPr>
        <a:xfrm>
          <a:off x="778565" y="7528891"/>
          <a:ext cx="1466022" cy="231913"/>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4. Season-wise Sales</a:t>
          </a:r>
        </a:p>
      </xdr:txBody>
    </xdr:sp>
    <xdr:clientData/>
  </xdr:twoCellAnchor>
  <xdr:twoCellAnchor>
    <xdr:from>
      <xdr:col>9</xdr:col>
      <xdr:colOff>8283</xdr:colOff>
      <xdr:row>38</xdr:row>
      <xdr:rowOff>190499</xdr:rowOff>
    </xdr:from>
    <xdr:to>
      <xdr:col>15</xdr:col>
      <xdr:colOff>513522</xdr:colOff>
      <xdr:row>51</xdr:row>
      <xdr:rowOff>165651</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364438</xdr:colOff>
      <xdr:row>39</xdr:row>
      <xdr:rowOff>8283</xdr:rowOff>
    </xdr:from>
    <xdr:to>
      <xdr:col>22</xdr:col>
      <xdr:colOff>347872</xdr:colOff>
      <xdr:row>51</xdr:row>
      <xdr:rowOff>149087</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372716</xdr:colOff>
      <xdr:row>39</xdr:row>
      <xdr:rowOff>8283</xdr:rowOff>
    </xdr:from>
    <xdr:to>
      <xdr:col>18</xdr:col>
      <xdr:colOff>306455</xdr:colOff>
      <xdr:row>40</xdr:row>
      <xdr:rowOff>24848</xdr:rowOff>
    </xdr:to>
    <xdr:sp macro="" textlink="">
      <xdr:nvSpPr>
        <xdr:cNvPr id="18" name="Rounded Rectangle 17"/>
        <xdr:cNvSpPr/>
      </xdr:nvSpPr>
      <xdr:spPr>
        <a:xfrm>
          <a:off x="10179325" y="7437783"/>
          <a:ext cx="1159565" cy="207065"/>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6. Size by sales</a:t>
          </a:r>
        </a:p>
      </xdr:txBody>
    </xdr:sp>
    <xdr:clientData/>
  </xdr:twoCellAnchor>
</xdr:wsDr>
</file>

<file path=xl/drawings/drawing8.xml><?xml version="1.0" encoding="utf-8"?>
<c:userShapes xmlns:c="http://schemas.openxmlformats.org/drawingml/2006/chart">
  <cdr:relSizeAnchor xmlns:cdr="http://schemas.openxmlformats.org/drawingml/2006/chartDrawing">
    <cdr:from>
      <cdr:x>0.00306</cdr:x>
      <cdr:y>0</cdr:y>
    </cdr:from>
    <cdr:to>
      <cdr:x>0.39087</cdr:x>
      <cdr:y>0.09683</cdr:y>
    </cdr:to>
    <cdr:sp macro="" textlink="">
      <cdr:nvSpPr>
        <cdr:cNvPr id="2" name="Rounded Rectangle 1"/>
        <cdr:cNvSpPr/>
      </cdr:nvSpPr>
      <cdr:spPr>
        <a:xfrm xmlns:a="http://schemas.openxmlformats.org/drawingml/2006/main">
          <a:off x="12957" y="0"/>
          <a:ext cx="1639957" cy="223630"/>
        </a:xfrm>
        <a:prstGeom xmlns:a="http://schemas.openxmlformats.org/drawingml/2006/main" prst="roundRect">
          <a:avLst/>
        </a:prstGeom>
        <a:solidFill xmlns:a="http://schemas.openxmlformats.org/drawingml/2006/main">
          <a:schemeClr val="tx2">
            <a:lumMod val="5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l"/>
          <a:r>
            <a:rPr lang="en-US"/>
            <a:t>1.</a:t>
          </a:r>
          <a:r>
            <a:rPr lang="en-US" baseline="0"/>
            <a:t> Category-wise Sales</a:t>
          </a:r>
          <a:endParaRPr lang="en-US"/>
        </a:p>
      </cdr:txBody>
    </cdr:sp>
  </cdr:relSizeAnchor>
</c:userShapes>
</file>

<file path=xl/drawings/drawing9.xml><?xml version="1.0" encoding="utf-8"?>
<c:userShapes xmlns:c="http://schemas.openxmlformats.org/drawingml/2006/chart">
  <cdr:relSizeAnchor xmlns:cdr="http://schemas.openxmlformats.org/drawingml/2006/chartDrawing">
    <cdr:from>
      <cdr:x>2.41954E-7</cdr:x>
      <cdr:y>0</cdr:y>
    </cdr:from>
    <cdr:to>
      <cdr:x>0.3507</cdr:x>
      <cdr:y>0.09225</cdr:y>
    </cdr:to>
    <cdr:sp macro="" textlink="">
      <cdr:nvSpPr>
        <cdr:cNvPr id="2" name="Rounded Rectangle 1"/>
        <cdr:cNvSpPr/>
      </cdr:nvSpPr>
      <cdr:spPr>
        <a:xfrm xmlns:a="http://schemas.openxmlformats.org/drawingml/2006/main">
          <a:off x="1" y="0"/>
          <a:ext cx="1449456" cy="207065"/>
        </a:xfrm>
        <a:prstGeom xmlns:a="http://schemas.openxmlformats.org/drawingml/2006/main" prst="roundRect">
          <a:avLst/>
        </a:prstGeom>
        <a:solidFill xmlns:a="http://schemas.openxmlformats.org/drawingml/2006/main">
          <a:schemeClr val="tx2">
            <a:lumMod val="75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a:t>2. Location-wise Sales</a:t>
          </a:r>
        </a:p>
      </cdr:txBody>
    </cdr:sp>
  </cdr:relSizeAnchor>
</c:userShapes>
</file>

<file path=xl/drawings/drawing10.xml><?xml version="1.0" encoding="utf-8"?>
<c:userShapes xmlns:c="http://schemas.openxmlformats.org/drawingml/2006/chart">
  <cdr:relSizeAnchor xmlns:cdr="http://schemas.openxmlformats.org/drawingml/2006/chartDrawing">
    <cdr:from>
      <cdr:x>0</cdr:x>
      <cdr:y>0</cdr:y>
    </cdr:from>
    <cdr:to>
      <cdr:x>0.4</cdr:x>
      <cdr:y>0.08784</cdr:y>
    </cdr:to>
    <cdr:sp macro="" textlink="">
      <cdr:nvSpPr>
        <cdr:cNvPr id="2" name="Rounded Rectangle 1"/>
        <cdr:cNvSpPr/>
      </cdr:nvSpPr>
      <cdr:spPr>
        <a:xfrm xmlns:a="http://schemas.openxmlformats.org/drawingml/2006/main">
          <a:off x="0" y="0"/>
          <a:ext cx="1673087" cy="215347"/>
        </a:xfrm>
        <a:prstGeom xmlns:a="http://schemas.openxmlformats.org/drawingml/2006/main" prst="roundRect">
          <a:avLst/>
        </a:prstGeom>
        <a:solidFill xmlns:a="http://schemas.openxmlformats.org/drawingml/2006/main">
          <a:schemeClr val="tx2">
            <a:lumMod val="75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a:t>5. Gender-wise Spending</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WR2" refreshedDate="46147.731244328701" createdVersion="6" refreshedVersion="6" minRefreshableVersion="3" recordCount="5000">
  <cacheSource type="worksheet">
    <worksheetSource name="table1"/>
  </cacheSource>
  <cacheFields count="23">
    <cacheField name="Customer ID" numFmtId="0">
      <sharedItems containsSemiMixedTypes="0" containsString="0" containsNumber="1" containsInteger="1" minValue="1" maxValue="5099"/>
    </cacheField>
    <cacheField name="Age" numFmtId="0">
      <sharedItems containsSemiMixedTypes="0" containsString="0" containsNumber="1" containsInteger="1" minValue="18" maxValue="70"/>
    </cacheField>
    <cacheField name="Gender" numFmtId="0">
      <sharedItems count="3">
        <s v="Male"/>
        <s v="Female"/>
        <s v="Other"/>
      </sharedItems>
    </cacheField>
    <cacheField name="Item Purchased" numFmtId="0">
      <sharedItems count="30">
        <s v="Blouse"/>
        <s v="Sweater"/>
        <s v="Jeans"/>
        <s v="Sandals"/>
        <s v="Sneakers"/>
        <s v="Shirt"/>
        <s v="Shorts"/>
        <s v="Coat"/>
        <s v="Handbag"/>
        <s v="Shoes"/>
        <s v="Dress"/>
        <s v="Skirt"/>
        <s v="Sunglasses"/>
        <s v="Pants"/>
        <s v="Jacket"/>
        <s v="Hoodie"/>
        <s v="Jewelry"/>
        <s v="T-shirt"/>
        <s v="Scarf"/>
        <s v="Hat"/>
        <s v="Socks"/>
        <s v="Backpack"/>
        <s v="Belt"/>
        <s v="Boots"/>
        <s v="Gloves"/>
        <s v="Headphones"/>
        <s v="Phone"/>
        <s v="Watch"/>
        <s v="Bag"/>
        <s v="Laptop"/>
      </sharedItems>
    </cacheField>
    <cacheField name="Category" numFmtId="0">
      <sharedItems count="5">
        <s v="Clothing"/>
        <s v="Footwear"/>
        <s v="Outerwear"/>
        <s v="Accessories"/>
        <s v="Electronics"/>
      </sharedItems>
    </cacheField>
    <cacheField name="Purchase Amount " numFmtId="164">
      <sharedItems containsSemiMixedTypes="0" containsString="0" containsNumber="1" minValue="0" maxValue="1499.76"/>
    </cacheField>
    <cacheField name="Location" numFmtId="0">
      <sharedItems count="54">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 v="Phoenix"/>
        <s v="Los Angeles"/>
        <s v="Chicago"/>
        <s v="Houston"/>
      </sharedItems>
    </cacheField>
    <cacheField name="Size" numFmtId="0">
      <sharedItems count="4">
        <s v="L"/>
        <s v="S"/>
        <s v="M"/>
        <s v="XL"/>
      </sharedItems>
    </cacheField>
    <cacheField name="Color" numFmtId="0">
      <sharedItems/>
    </cacheField>
    <cacheField name="Season" numFmtId="0">
      <sharedItems count="5">
        <s v="Winter"/>
        <s v="Spring"/>
        <s v="Summer"/>
        <s v="Fall"/>
        <s v="Autumn"/>
      </sharedItems>
    </cacheField>
    <cacheField name="Review Rating" numFmtId="0">
      <sharedItems containsSemiMixedTypes="0" containsString="0" containsNumber="1" minValue="1" maxValue="5"/>
    </cacheField>
    <cacheField name="Subscription Status" numFmtId="0">
      <sharedItems/>
    </cacheField>
    <cacheField name="Shipping Type" numFmtId="0">
      <sharedItems count="6">
        <s v="Express"/>
        <s v="Free Shipping"/>
        <s v="Next Day Air"/>
        <s v="Standard"/>
        <s v="2-Day Shipping"/>
        <s v="Store Pickup"/>
      </sharedItems>
    </cacheField>
    <cacheField name="Discount Applied" numFmtId="0">
      <sharedItems/>
    </cacheField>
    <cacheField name="Previous Purchases" numFmtId="0">
      <sharedItems containsMixedTypes="1" containsNumber="1" containsInteger="1" minValue="0" maxValue="50"/>
    </cacheField>
    <cacheField name="Payment Method" numFmtId="0">
      <sharedItems count="6">
        <s v="Venmo"/>
        <s v="Cash"/>
        <s v="Credit Card"/>
        <s v="PayPal"/>
        <s v="Bank Transfer"/>
        <s v="Debit Card"/>
      </sharedItems>
    </cacheField>
    <cacheField name="Frequency of Purchases" numFmtId="0">
      <sharedItems/>
    </cacheField>
    <cacheField name="Discount" numFmtId="9">
      <sharedItems containsSemiMixedTypes="0" containsString="0" containsNumber="1" minValue="0.1" maxValue="0.1"/>
    </cacheField>
    <cacheField name="Discount Amount" numFmtId="0">
      <sharedItems containsSemiMixedTypes="0" containsString="0" containsNumber="1" minValue="0" maxValue="1349.7840000000001"/>
    </cacheField>
    <cacheField name="Purchase Amount" numFmtId="0">
      <sharedItems containsSemiMixedTypes="0" containsString="0" containsNumber="1" minValue="0" maxValue="1499.76"/>
    </cacheField>
    <cacheField name="Get Payment Method" numFmtId="0">
      <sharedItems/>
    </cacheField>
    <cacheField name="Subscription Status2" numFmtId="0">
      <sharedItems/>
    </cacheField>
    <cacheField name="Subscription Status3"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n v="1"/>
    <n v="55"/>
    <x v="0"/>
    <x v="0"/>
    <x v="0"/>
    <n v="53"/>
    <x v="0"/>
    <x v="0"/>
    <s v="Gray"/>
    <x v="0"/>
    <n v="3.1"/>
    <s v="Yes"/>
    <x v="0"/>
    <s v="Yes"/>
    <n v="14"/>
    <x v="0"/>
    <s v="Fortnightly"/>
    <n v="0.1"/>
    <n v="47.7"/>
    <n v="53"/>
    <s v="Venmo"/>
    <s v="Normal"/>
    <s v="Good"/>
  </r>
  <r>
    <n v="2"/>
    <n v="19"/>
    <x v="0"/>
    <x v="1"/>
    <x v="0"/>
    <n v="64"/>
    <x v="1"/>
    <x v="0"/>
    <s v="Maroon"/>
    <x v="0"/>
    <n v="3.1"/>
    <s v="Yes"/>
    <x v="0"/>
    <s v="Yes"/>
    <n v="2"/>
    <x v="1"/>
    <s v="Fortnightly"/>
    <n v="0.1"/>
    <n v="57.6"/>
    <n v="64"/>
    <s v="Cash"/>
    <s v="Normal"/>
    <s v="Good"/>
  </r>
  <r>
    <n v="3"/>
    <n v="50"/>
    <x v="0"/>
    <x v="2"/>
    <x v="0"/>
    <n v="73"/>
    <x v="2"/>
    <x v="1"/>
    <s v="Maroon"/>
    <x v="1"/>
    <n v="3.1"/>
    <s v="Yes"/>
    <x v="1"/>
    <s v="Yes"/>
    <n v="23"/>
    <x v="2"/>
    <s v="Weekly"/>
    <n v="0.1"/>
    <n v="65.7"/>
    <n v="73"/>
    <s v="Credit Card"/>
    <s v="Normal"/>
    <s v="Good"/>
  </r>
  <r>
    <n v="4"/>
    <n v="21"/>
    <x v="0"/>
    <x v="3"/>
    <x v="1"/>
    <n v="90"/>
    <x v="3"/>
    <x v="2"/>
    <s v="Maroon"/>
    <x v="1"/>
    <n v="3.5"/>
    <s v="Yes"/>
    <x v="2"/>
    <s v="Yes"/>
    <n v="49"/>
    <x v="3"/>
    <s v="Weekly"/>
    <n v="0.1"/>
    <n v="81"/>
    <n v="90"/>
    <s v="PayPal"/>
    <s v="Normal"/>
    <s v="Good"/>
  </r>
  <r>
    <n v="5"/>
    <n v="45"/>
    <x v="0"/>
    <x v="0"/>
    <x v="0"/>
    <n v="49"/>
    <x v="4"/>
    <x v="2"/>
    <s v="Turquoise"/>
    <x v="1"/>
    <n v="2.7"/>
    <s v="Yes"/>
    <x v="1"/>
    <s v="Yes"/>
    <n v="31"/>
    <x v="3"/>
    <s v="Annually"/>
    <n v="0.1"/>
    <n v="44.1"/>
    <n v="49"/>
    <s v="PayPal"/>
    <s v="Normal"/>
    <s v="Poor"/>
  </r>
  <r>
    <n v="6"/>
    <n v="46"/>
    <x v="0"/>
    <x v="4"/>
    <x v="1"/>
    <n v="20"/>
    <x v="5"/>
    <x v="2"/>
    <s v="White"/>
    <x v="2"/>
    <n v="2.9"/>
    <s v="Yes"/>
    <x v="3"/>
    <s v="Yes"/>
    <n v="14"/>
    <x v="0"/>
    <s v="Weekly"/>
    <n v="0.1"/>
    <n v="18"/>
    <n v="20"/>
    <s v="Venmo"/>
    <s v="Normal"/>
    <s v="Poor"/>
  </r>
  <r>
    <n v="7"/>
    <n v="63"/>
    <x v="0"/>
    <x v="5"/>
    <x v="0"/>
    <n v="85"/>
    <x v="6"/>
    <x v="2"/>
    <s v="Gray"/>
    <x v="3"/>
    <n v="3.2"/>
    <s v="Yes"/>
    <x v="1"/>
    <s v="Yes"/>
    <n v="49"/>
    <x v="1"/>
    <s v="Quarterly"/>
    <n v="0.1"/>
    <n v="76.5"/>
    <n v="85"/>
    <s v="Cash"/>
    <s v="Normal"/>
    <s v="Good"/>
  </r>
  <r>
    <n v="8"/>
    <n v="27"/>
    <x v="0"/>
    <x v="6"/>
    <x v="0"/>
    <n v="34"/>
    <x v="7"/>
    <x v="0"/>
    <s v="Charcoal"/>
    <x v="0"/>
    <n v="3.2"/>
    <s v="Yes"/>
    <x v="1"/>
    <s v="Yes"/>
    <n v="19"/>
    <x v="2"/>
    <s v="Weekly"/>
    <n v="0.1"/>
    <n v="30.6"/>
    <n v="34"/>
    <s v="Credit Card"/>
    <s v="Normal"/>
    <s v="Good"/>
  </r>
  <r>
    <n v="9"/>
    <n v="26"/>
    <x v="0"/>
    <x v="7"/>
    <x v="2"/>
    <n v="97"/>
    <x v="8"/>
    <x v="0"/>
    <s v="Silver"/>
    <x v="2"/>
    <n v="2.6"/>
    <s v="Yes"/>
    <x v="0"/>
    <s v="Yes"/>
    <n v="8"/>
    <x v="0"/>
    <s v="Annually"/>
    <n v="0.1"/>
    <n v="87.3"/>
    <n v="97"/>
    <s v="Venmo"/>
    <s v="Normal"/>
    <s v="Poor"/>
  </r>
  <r>
    <n v="10"/>
    <n v="57"/>
    <x v="0"/>
    <x v="8"/>
    <x v="3"/>
    <n v="31"/>
    <x v="9"/>
    <x v="2"/>
    <s v="Pink"/>
    <x v="1"/>
    <n v="4.8"/>
    <s v="Yes"/>
    <x v="4"/>
    <s v="Yes"/>
    <n v="4"/>
    <x v="1"/>
    <s v="Quarterly"/>
    <n v="0.1"/>
    <n v="27.9"/>
    <n v="31"/>
    <s v="Cash"/>
    <s v="Normal"/>
    <s v="Good"/>
  </r>
  <r>
    <n v="11"/>
    <n v="53"/>
    <x v="0"/>
    <x v="9"/>
    <x v="1"/>
    <n v="34"/>
    <x v="10"/>
    <x v="0"/>
    <s v="Purple"/>
    <x v="3"/>
    <n v="4.0999999999999996"/>
    <s v="Yes"/>
    <x v="5"/>
    <s v="Yes"/>
    <n v="26"/>
    <x v="4"/>
    <s v="Bi-Weekly"/>
    <n v="0.1"/>
    <n v="30.6"/>
    <n v="34"/>
    <s v="Bank Transfer"/>
    <s v="Normal"/>
    <s v="Good"/>
  </r>
  <r>
    <n v="12"/>
    <n v="30"/>
    <x v="0"/>
    <x v="6"/>
    <x v="0"/>
    <n v="68"/>
    <x v="11"/>
    <x v="1"/>
    <s v="Olive"/>
    <x v="0"/>
    <n v="4.9000000000000004"/>
    <s v="Yes"/>
    <x v="5"/>
    <s v="Yes"/>
    <n v="10"/>
    <x v="4"/>
    <s v="Fortnightly"/>
    <n v="0.1"/>
    <n v="61.2"/>
    <n v="68"/>
    <s v="Bank Transfer"/>
    <s v="Normal"/>
    <s v="Good"/>
  </r>
  <r>
    <n v="13"/>
    <n v="61"/>
    <x v="0"/>
    <x v="7"/>
    <x v="2"/>
    <n v="72"/>
    <x v="12"/>
    <x v="2"/>
    <s v="Gold"/>
    <x v="0"/>
    <n v="4.5"/>
    <s v="Yes"/>
    <x v="0"/>
    <s v="Yes"/>
    <n v="37"/>
    <x v="0"/>
    <s v="Fortnightly"/>
    <n v="0.1"/>
    <n v="64.8"/>
    <n v="72"/>
    <s v="Venmo"/>
    <s v="Normal"/>
    <s v="Good"/>
  </r>
  <r>
    <n v="14"/>
    <n v="65"/>
    <x v="0"/>
    <x v="10"/>
    <x v="0"/>
    <n v="51"/>
    <x v="13"/>
    <x v="2"/>
    <s v="Violet"/>
    <x v="1"/>
    <n v="4.7"/>
    <s v="Yes"/>
    <x v="0"/>
    <s v="Yes"/>
    <n v="31"/>
    <x v="3"/>
    <s v="Weekly"/>
    <n v="0.1"/>
    <n v="45.9"/>
    <n v="51"/>
    <s v="PayPal"/>
    <s v="Normal"/>
    <s v="Good"/>
  </r>
  <r>
    <n v="15"/>
    <n v="64"/>
    <x v="0"/>
    <x v="7"/>
    <x v="2"/>
    <n v="53"/>
    <x v="14"/>
    <x v="0"/>
    <s v="Teal"/>
    <x v="0"/>
    <n v="4.7"/>
    <s v="Yes"/>
    <x v="1"/>
    <s v="Yes"/>
    <n v="34"/>
    <x v="5"/>
    <s v="Weekly"/>
    <n v="0.1"/>
    <n v="47.7"/>
    <n v="53"/>
    <s v="Debit Card"/>
    <s v="Normal"/>
    <s v="Good"/>
  </r>
  <r>
    <n v="16"/>
    <n v="64"/>
    <x v="0"/>
    <x v="11"/>
    <x v="0"/>
    <n v="81"/>
    <x v="3"/>
    <x v="2"/>
    <s v="Teal"/>
    <x v="0"/>
    <n v="2.8"/>
    <s v="Yes"/>
    <x v="5"/>
    <s v="Yes"/>
    <n v="8"/>
    <x v="3"/>
    <s v="Monthly"/>
    <n v="0.1"/>
    <n v="72.900000000000006"/>
    <n v="81"/>
    <s v="PayPal"/>
    <s v="Normal"/>
    <s v="Poor"/>
  </r>
  <r>
    <n v="17"/>
    <n v="25"/>
    <x v="0"/>
    <x v="12"/>
    <x v="3"/>
    <n v="36"/>
    <x v="15"/>
    <x v="1"/>
    <s v="Gray"/>
    <x v="1"/>
    <n v="4.0999999999999996"/>
    <s v="Yes"/>
    <x v="2"/>
    <s v="Yes"/>
    <n v="44"/>
    <x v="5"/>
    <s v="Bi-Weekly"/>
    <n v="0.1"/>
    <n v="32.4"/>
    <n v="36"/>
    <s v="Debit Card"/>
    <s v="Normal"/>
    <s v="Good"/>
  </r>
  <r>
    <n v="18"/>
    <n v="53"/>
    <x v="0"/>
    <x v="10"/>
    <x v="0"/>
    <n v="38"/>
    <x v="16"/>
    <x v="3"/>
    <s v="Lavender"/>
    <x v="0"/>
    <n v="4.7"/>
    <s v="Yes"/>
    <x v="4"/>
    <s v="Yes"/>
    <n v="36"/>
    <x v="0"/>
    <s v="Quarterly"/>
    <n v="0.1"/>
    <n v="34.200000000000003"/>
    <n v="38"/>
    <s v="Venmo"/>
    <s v="Normal"/>
    <s v="Good"/>
  </r>
  <r>
    <n v="19"/>
    <n v="52"/>
    <x v="0"/>
    <x v="1"/>
    <x v="0"/>
    <n v="48"/>
    <x v="6"/>
    <x v="1"/>
    <s v="Black"/>
    <x v="2"/>
    <n v="4.5999999999999996"/>
    <s v="Yes"/>
    <x v="1"/>
    <s v="Yes"/>
    <n v="17"/>
    <x v="1"/>
    <s v="Weekly"/>
    <n v="0.1"/>
    <n v="43.2"/>
    <n v="48"/>
    <s v="Cash"/>
    <s v="Normal"/>
    <s v="Good"/>
  </r>
  <r>
    <n v="20"/>
    <n v="66"/>
    <x v="0"/>
    <x v="13"/>
    <x v="0"/>
    <n v="90"/>
    <x v="3"/>
    <x v="2"/>
    <s v="Green"/>
    <x v="2"/>
    <n v="3.3"/>
    <s v="Yes"/>
    <x v="3"/>
    <s v="Yes"/>
    <n v="46"/>
    <x v="5"/>
    <s v="Bi-Weekly"/>
    <n v="0.1"/>
    <n v="81"/>
    <n v="90"/>
    <s v="Debit Card"/>
    <s v="Normal"/>
    <s v="Good"/>
  </r>
  <r>
    <n v="21"/>
    <n v="21"/>
    <x v="0"/>
    <x v="13"/>
    <x v="0"/>
    <n v="51"/>
    <x v="7"/>
    <x v="2"/>
    <s v="Black"/>
    <x v="0"/>
    <n v="2.8"/>
    <s v="Yes"/>
    <x v="0"/>
    <s v="Yes"/>
    <n v="50"/>
    <x v="1"/>
    <s v="Every 3 Months"/>
    <n v="0.1"/>
    <n v="45.9"/>
    <n v="51"/>
    <s v="Cash"/>
    <s v="Normal"/>
    <s v="Poor"/>
  </r>
  <r>
    <n v="22"/>
    <n v="31"/>
    <x v="0"/>
    <x v="13"/>
    <x v="0"/>
    <n v="62"/>
    <x v="17"/>
    <x v="2"/>
    <s v="Charcoal"/>
    <x v="0"/>
    <n v="4.0999999999999996"/>
    <s v="Yes"/>
    <x v="5"/>
    <s v="Yes"/>
    <n v="22"/>
    <x v="5"/>
    <s v="Quarterly"/>
    <n v="0.1"/>
    <n v="55.8"/>
    <n v="62"/>
    <s v="Debit Card"/>
    <s v="Normal"/>
    <s v="Good"/>
  </r>
  <r>
    <n v="23"/>
    <n v="56"/>
    <x v="0"/>
    <x v="13"/>
    <x v="0"/>
    <n v="37"/>
    <x v="18"/>
    <x v="2"/>
    <s v="Peach"/>
    <x v="2"/>
    <n v="3.2"/>
    <s v="Yes"/>
    <x v="5"/>
    <s v="Yes"/>
    <n v="32"/>
    <x v="5"/>
    <s v="Annually"/>
    <n v="0.1"/>
    <n v="33.299999999999997"/>
    <n v="37"/>
    <s v="Debit Card"/>
    <s v="Normal"/>
    <s v="Good"/>
  </r>
  <r>
    <n v="24"/>
    <n v="31"/>
    <x v="0"/>
    <x v="13"/>
    <x v="0"/>
    <n v="88"/>
    <x v="19"/>
    <x v="3"/>
    <s v="White"/>
    <x v="0"/>
    <n v="4.4000000000000004"/>
    <s v="Yes"/>
    <x v="0"/>
    <s v="Yes"/>
    <n v="40"/>
    <x v="2"/>
    <s v="Weekly"/>
    <n v="0.1"/>
    <n v="79.2"/>
    <n v="88"/>
    <s v="Credit Card"/>
    <s v="Normal"/>
    <s v="Good"/>
  </r>
  <r>
    <n v="25"/>
    <n v="18"/>
    <x v="0"/>
    <x v="14"/>
    <x v="2"/>
    <n v="22"/>
    <x v="20"/>
    <x v="2"/>
    <s v="Green"/>
    <x v="3"/>
    <n v="2.9"/>
    <s v="Yes"/>
    <x v="5"/>
    <s v="Yes"/>
    <n v="16"/>
    <x v="5"/>
    <s v="Weekly"/>
    <n v="0.1"/>
    <n v="19.8"/>
    <n v="22"/>
    <s v="Debit Card"/>
    <s v="Normal"/>
    <s v="Poor"/>
  </r>
  <r>
    <n v="26"/>
    <n v="18"/>
    <x v="0"/>
    <x v="15"/>
    <x v="0"/>
    <n v="25"/>
    <x v="21"/>
    <x v="2"/>
    <s v="Silver"/>
    <x v="2"/>
    <n v="3.6"/>
    <s v="Yes"/>
    <x v="0"/>
    <s v="Yes"/>
    <n v="14"/>
    <x v="3"/>
    <s v="Annually"/>
    <n v="0.1"/>
    <n v="22.5"/>
    <n v="25"/>
    <s v="PayPal"/>
    <s v="Normal"/>
    <s v="Good"/>
  </r>
  <r>
    <n v="27"/>
    <n v="38"/>
    <x v="0"/>
    <x v="16"/>
    <x v="3"/>
    <n v="20"/>
    <x v="22"/>
    <x v="2"/>
    <s v="Red"/>
    <x v="1"/>
    <n v="3.6"/>
    <s v="Yes"/>
    <x v="2"/>
    <s v="Yes"/>
    <n v="13"/>
    <x v="2"/>
    <s v="Annually"/>
    <n v="0.1"/>
    <n v="18"/>
    <n v="20"/>
    <s v="Credit Card"/>
    <s v="Normal"/>
    <s v="Good"/>
  </r>
  <r>
    <n v="28"/>
    <n v="56"/>
    <x v="0"/>
    <x v="6"/>
    <x v="0"/>
    <n v="56"/>
    <x v="0"/>
    <x v="0"/>
    <s v="Cyan"/>
    <x v="2"/>
    <n v="5"/>
    <s v="Yes"/>
    <x v="2"/>
    <s v="Yes"/>
    <n v="7"/>
    <x v="4"/>
    <s v="Every 3 Months"/>
    <n v="0.1"/>
    <n v="50.4"/>
    <n v="56"/>
    <s v="Bank Transfer"/>
    <s v="Normal"/>
    <s v="Good"/>
  </r>
  <r>
    <n v="29"/>
    <n v="54"/>
    <x v="0"/>
    <x v="8"/>
    <x v="3"/>
    <n v="94"/>
    <x v="17"/>
    <x v="2"/>
    <s v="Gray"/>
    <x v="3"/>
    <n v="4.4000000000000004"/>
    <s v="Yes"/>
    <x v="1"/>
    <s v="Yes"/>
    <n v="41"/>
    <x v="3"/>
    <s v="Every 3 Months"/>
    <n v="0.1"/>
    <n v="84.6"/>
    <n v="94"/>
    <s v="PayPal"/>
    <s v="Normal"/>
    <s v="Good"/>
  </r>
  <r>
    <n v="30"/>
    <n v="31"/>
    <x v="0"/>
    <x v="10"/>
    <x v="0"/>
    <n v="48"/>
    <x v="5"/>
    <x v="1"/>
    <s v="Black"/>
    <x v="3"/>
    <n v="4.0999999999999996"/>
    <s v="Yes"/>
    <x v="5"/>
    <s v="Yes"/>
    <n v="14"/>
    <x v="2"/>
    <s v="Weekly"/>
    <n v="0.1"/>
    <n v="43.2"/>
    <n v="48"/>
    <s v="Credit Card"/>
    <s v="Normal"/>
    <s v="Good"/>
  </r>
  <r>
    <n v="31"/>
    <n v="57"/>
    <x v="0"/>
    <x v="16"/>
    <x v="3"/>
    <n v="31"/>
    <x v="17"/>
    <x v="0"/>
    <s v="Black"/>
    <x v="0"/>
    <n v="4.7"/>
    <s v="Yes"/>
    <x v="3"/>
    <s v="Yes"/>
    <n v="16"/>
    <x v="2"/>
    <s v="Monthly"/>
    <n v="0.1"/>
    <n v="27.9"/>
    <n v="31"/>
    <s v="Credit Card"/>
    <s v="Normal"/>
    <s v="Good"/>
  </r>
  <r>
    <n v="32"/>
    <n v="33"/>
    <x v="0"/>
    <x v="10"/>
    <x v="0"/>
    <n v="79"/>
    <x v="8"/>
    <x v="0"/>
    <s v="Brown"/>
    <x v="0"/>
    <n v="4.7"/>
    <s v="Yes"/>
    <x v="5"/>
    <s v="Yes"/>
    <n v="45"/>
    <x v="0"/>
    <s v="Monthly"/>
    <n v="0.1"/>
    <n v="71.099999999999994"/>
    <n v="79"/>
    <s v="Venmo"/>
    <s v="Normal"/>
    <s v="Good"/>
  </r>
  <r>
    <n v="33"/>
    <n v="36"/>
    <x v="0"/>
    <x v="14"/>
    <x v="2"/>
    <n v="67"/>
    <x v="23"/>
    <x v="2"/>
    <s v="Silver"/>
    <x v="2"/>
    <n v="4.9000000000000004"/>
    <s v="Yes"/>
    <x v="1"/>
    <s v="Yes"/>
    <n v="37"/>
    <x v="0"/>
    <s v="Annually"/>
    <n v="0.1"/>
    <n v="60.3"/>
    <n v="67"/>
    <s v="Venmo"/>
    <s v="Normal"/>
    <s v="Good"/>
  </r>
  <r>
    <n v="34"/>
    <n v="54"/>
    <x v="0"/>
    <x v="13"/>
    <x v="0"/>
    <n v="38"/>
    <x v="24"/>
    <x v="0"/>
    <s v="Green"/>
    <x v="2"/>
    <n v="3.3"/>
    <s v="Yes"/>
    <x v="5"/>
    <s v="Yes"/>
    <n v="45"/>
    <x v="1"/>
    <s v="Quarterly"/>
    <n v="0.1"/>
    <n v="34.200000000000003"/>
    <n v="38"/>
    <s v="Cash"/>
    <s v="Normal"/>
    <s v="Good"/>
  </r>
  <r>
    <n v="35"/>
    <n v="36"/>
    <x v="0"/>
    <x v="17"/>
    <x v="0"/>
    <n v="91"/>
    <x v="25"/>
    <x v="0"/>
    <s v="Violet"/>
    <x v="1"/>
    <n v="4.5999999999999996"/>
    <s v="Yes"/>
    <x v="4"/>
    <s v="Yes"/>
    <n v="38"/>
    <x v="3"/>
    <s v="Quarterly"/>
    <n v="0.1"/>
    <n v="81.900000000000006"/>
    <n v="91"/>
    <s v="PayPal"/>
    <s v="Normal"/>
    <s v="Good"/>
  </r>
  <r>
    <n v="36"/>
    <n v="54"/>
    <x v="0"/>
    <x v="0"/>
    <x v="0"/>
    <n v="33"/>
    <x v="2"/>
    <x v="2"/>
    <s v="Cyan"/>
    <x v="2"/>
    <n v="4"/>
    <s v="Yes"/>
    <x v="4"/>
    <s v="Yes"/>
    <n v="48"/>
    <x v="2"/>
    <s v="Bi-Weekly"/>
    <n v="0.1"/>
    <n v="29.7"/>
    <n v="33"/>
    <s v="Credit Card"/>
    <s v="Normal"/>
    <s v="Good"/>
  </r>
  <r>
    <n v="37"/>
    <n v="35"/>
    <x v="0"/>
    <x v="17"/>
    <x v="0"/>
    <n v="69"/>
    <x v="26"/>
    <x v="2"/>
    <s v="Maroon"/>
    <x v="0"/>
    <n v="4.5999999999999996"/>
    <s v="Yes"/>
    <x v="1"/>
    <s v="Yes"/>
    <s v=" + "/>
    <x v="3"/>
    <s v="Fortnightly"/>
    <n v="0.1"/>
    <n v="62.1"/>
    <n v="69"/>
    <s v="PayPal"/>
    <s v="Normal"/>
    <s v="Good"/>
  </r>
  <r>
    <n v="38"/>
    <n v="35"/>
    <x v="0"/>
    <x v="2"/>
    <x v="0"/>
    <n v="45"/>
    <x v="27"/>
    <x v="1"/>
    <s v="Cyan"/>
    <x v="2"/>
    <n v="2.8"/>
    <s v="Yes"/>
    <x v="5"/>
    <s v="Yes"/>
    <n v="10"/>
    <x v="3"/>
    <s v="Weekly"/>
    <n v="0.1"/>
    <n v="40.5"/>
    <n v="45"/>
    <s v="PayPal"/>
    <s v="Normal"/>
    <s v="Poor"/>
  </r>
  <r>
    <n v="39"/>
    <n v="29"/>
    <x v="0"/>
    <x v="10"/>
    <x v="0"/>
    <n v="37"/>
    <x v="20"/>
    <x v="2"/>
    <s v="Red"/>
    <x v="0"/>
    <n v="1"/>
    <s v="Yes"/>
    <x v="4"/>
    <s v="Yes"/>
    <n v="44"/>
    <x v="0"/>
    <s v="Every 3 Months"/>
    <n v="0.1"/>
    <n v="33.299999999999997"/>
    <n v="37"/>
    <s v="Venmo"/>
    <s v="Normal"/>
    <s v="Poor"/>
  </r>
  <r>
    <n v="40"/>
    <n v="70"/>
    <x v="0"/>
    <x v="13"/>
    <x v="0"/>
    <n v="60"/>
    <x v="28"/>
    <x v="1"/>
    <s v="Turquoise"/>
    <x v="2"/>
    <n v="4.2"/>
    <s v="Yes"/>
    <x v="0"/>
    <s v="Yes"/>
    <n v="18"/>
    <x v="2"/>
    <s v="Monthly"/>
    <n v="0.1"/>
    <n v="54"/>
    <n v="60"/>
    <s v="Credit Card"/>
    <s v="Normal"/>
    <s v="Good"/>
  </r>
  <r>
    <n v="41"/>
    <n v="69"/>
    <x v="0"/>
    <x v="8"/>
    <x v="3"/>
    <n v="76"/>
    <x v="7"/>
    <x v="0"/>
    <s v="Beige"/>
    <x v="0"/>
    <n v="4.5999999999999996"/>
    <s v="Yes"/>
    <x v="2"/>
    <s v="Yes"/>
    <n v="31"/>
    <x v="5"/>
    <s v="Quarterly"/>
    <n v="0.1"/>
    <n v="68.400000000000006"/>
    <n v="76"/>
    <s v="Debit Card"/>
    <s v="Normal"/>
    <s v="Good"/>
  </r>
  <r>
    <n v="42"/>
    <n v="67"/>
    <x v="0"/>
    <x v="18"/>
    <x v="3"/>
    <n v="39"/>
    <x v="29"/>
    <x v="2"/>
    <s v="Orange"/>
    <x v="1"/>
    <n v="4.5"/>
    <s v="Yes"/>
    <x v="3"/>
    <s v="Yes"/>
    <n v="40"/>
    <x v="0"/>
    <s v="Annually"/>
    <n v="0.1"/>
    <n v="35.1"/>
    <n v="39"/>
    <s v="Venmo"/>
    <s v="Normal"/>
    <s v="Good"/>
  </r>
  <r>
    <n v="43"/>
    <n v="20"/>
    <x v="0"/>
    <x v="7"/>
    <x v="2"/>
    <n v="100"/>
    <x v="30"/>
    <x v="2"/>
    <s v="Beige"/>
    <x v="1"/>
    <n v="4.0999999999999996"/>
    <s v="Yes"/>
    <x v="1"/>
    <s v="Yes"/>
    <n v="15"/>
    <x v="3"/>
    <s v="Annually"/>
    <n v="0.1"/>
    <n v="90"/>
    <n v="100"/>
    <s v="PayPal"/>
    <s v="Normal"/>
    <s v="Good"/>
  </r>
  <r>
    <n v="44"/>
    <n v="25"/>
    <x v="0"/>
    <x v="18"/>
    <x v="3"/>
    <n v="69"/>
    <x v="31"/>
    <x v="0"/>
    <s v="Lavender"/>
    <x v="3"/>
    <n v="3.7"/>
    <s v="Yes"/>
    <x v="5"/>
    <s v="Yes"/>
    <n v="19"/>
    <x v="3"/>
    <s v="Fortnightly"/>
    <n v="0.1"/>
    <n v="62.1"/>
    <n v="69"/>
    <s v="PayPal"/>
    <s v="Normal"/>
    <s v="Good"/>
  </r>
  <r>
    <n v="45"/>
    <n v="39"/>
    <x v="0"/>
    <x v="19"/>
    <x v="3"/>
    <n v="53"/>
    <x v="0"/>
    <x v="1"/>
    <s v="Silver"/>
    <x v="2"/>
    <n v="4.5999999999999996"/>
    <s v="Yes"/>
    <x v="1"/>
    <s v="Yes"/>
    <n v="45"/>
    <x v="3"/>
    <s v="Weekly"/>
    <n v="0.1"/>
    <n v="47.7"/>
    <n v="53"/>
    <s v="PayPal"/>
    <s v="Normal"/>
    <s v="Good"/>
  </r>
  <r>
    <n v="46"/>
    <n v="50"/>
    <x v="0"/>
    <x v="20"/>
    <x v="0"/>
    <n v="21"/>
    <x v="30"/>
    <x v="3"/>
    <s v="Indigo"/>
    <x v="3"/>
    <n v="2.9"/>
    <s v="Yes"/>
    <x v="4"/>
    <s v="Yes"/>
    <n v="25"/>
    <x v="3"/>
    <s v="Annually"/>
    <n v="0.1"/>
    <n v="18.899999999999999"/>
    <n v="21"/>
    <s v="PayPal"/>
    <s v="Normal"/>
    <s v="Poor"/>
  </r>
  <r>
    <n v="47"/>
    <n v="57"/>
    <x v="0"/>
    <x v="5"/>
    <x v="0"/>
    <n v="43"/>
    <x v="18"/>
    <x v="0"/>
    <s v="White"/>
    <x v="2"/>
    <n v="2.9"/>
    <s v="Yes"/>
    <x v="5"/>
    <s v="Yes"/>
    <n v="45"/>
    <x v="1"/>
    <s v="Quarterly"/>
    <n v="0.1"/>
    <n v="38.700000000000003"/>
    <n v="43"/>
    <s v="Cash"/>
    <s v="Normal"/>
    <s v="Poor"/>
  </r>
  <r>
    <n v="48"/>
    <n v="55"/>
    <x v="0"/>
    <x v="16"/>
    <x v="3"/>
    <n v="54"/>
    <x v="6"/>
    <x v="2"/>
    <s v="Charcoal"/>
    <x v="0"/>
    <n v="4.5"/>
    <s v="Yes"/>
    <x v="1"/>
    <s v="Yes"/>
    <n v="36"/>
    <x v="1"/>
    <s v="Weekly"/>
    <n v="0.1"/>
    <n v="48.6"/>
    <n v="54"/>
    <s v="Cash"/>
    <s v="Normal"/>
    <s v="Good"/>
  </r>
  <r>
    <n v="49"/>
    <n v="42"/>
    <x v="0"/>
    <x v="5"/>
    <x v="0"/>
    <n v="55"/>
    <x v="22"/>
    <x v="2"/>
    <s v="Orange"/>
    <x v="2"/>
    <n v="2.7"/>
    <s v="Yes"/>
    <x v="5"/>
    <s v="Yes"/>
    <n v="38"/>
    <x v="1"/>
    <s v="Monthly"/>
    <n v="0.1"/>
    <n v="49.5"/>
    <n v="55"/>
    <s v="Cash"/>
    <s v="Normal"/>
    <s v="Poor"/>
  </r>
  <r>
    <n v="50"/>
    <n v="68"/>
    <x v="0"/>
    <x v="15"/>
    <x v="0"/>
    <n v="30"/>
    <x v="32"/>
    <x v="1"/>
    <s v="Indigo"/>
    <x v="1"/>
    <n v="4.5999999999999996"/>
    <s v="Yes"/>
    <x v="2"/>
    <s v="Yes"/>
    <n v="34"/>
    <x v="5"/>
    <s v="Bi-Weekly"/>
    <n v="0.1"/>
    <n v="27"/>
    <n v="30"/>
    <s v="Debit Card"/>
    <s v="Normal"/>
    <s v="Good"/>
  </r>
  <r>
    <n v="51"/>
    <n v="49"/>
    <x v="0"/>
    <x v="0"/>
    <x v="0"/>
    <n v="28"/>
    <x v="33"/>
    <x v="2"/>
    <s v="Red"/>
    <x v="1"/>
    <n v="1"/>
    <s v="Yes"/>
    <x v="5"/>
    <s v="Yes"/>
    <n v="39"/>
    <x v="5"/>
    <s v="Bi-Weekly"/>
    <n v="0.1"/>
    <n v="25.2"/>
    <n v="28"/>
    <s v="Debit Card"/>
    <s v="Normal"/>
    <s v="Poor"/>
  </r>
  <r>
    <n v="52"/>
    <n v="59"/>
    <x v="0"/>
    <x v="11"/>
    <x v="0"/>
    <n v="59"/>
    <x v="34"/>
    <x v="3"/>
    <s v="Gray"/>
    <x v="0"/>
    <n v="4.7"/>
    <s v="Yes"/>
    <x v="4"/>
    <s v="Yes"/>
    <n v="7"/>
    <x v="2"/>
    <s v="Quarterly"/>
    <n v="0.1"/>
    <n v="53.1"/>
    <n v="59"/>
    <s v="Credit Card"/>
    <s v="Normal"/>
    <s v="Good"/>
  </r>
  <r>
    <n v="53"/>
    <n v="42"/>
    <x v="0"/>
    <x v="17"/>
    <x v="0"/>
    <n v="20"/>
    <x v="29"/>
    <x v="2"/>
    <s v="Green"/>
    <x v="2"/>
    <n v="2.6"/>
    <s v="Yes"/>
    <x v="1"/>
    <s v="Yes"/>
    <n v="26"/>
    <x v="2"/>
    <s v="Weekly"/>
    <n v="0.1"/>
    <n v="18"/>
    <n v="20"/>
    <s v="Credit Card"/>
    <s v="Normal"/>
    <s v="Poor"/>
  </r>
  <r>
    <n v="54"/>
    <n v="29"/>
    <x v="0"/>
    <x v="11"/>
    <x v="0"/>
    <n v="24"/>
    <x v="16"/>
    <x v="1"/>
    <s v="Peach"/>
    <x v="0"/>
    <n v="3.9"/>
    <s v="Yes"/>
    <x v="2"/>
    <s v="Yes"/>
    <n v="35"/>
    <x v="2"/>
    <s v="Weekly"/>
    <n v="0.1"/>
    <n v="21.6"/>
    <n v="24"/>
    <s v="Credit Card"/>
    <s v="Normal"/>
    <s v="Good"/>
  </r>
  <r>
    <n v="55"/>
    <n v="47"/>
    <x v="0"/>
    <x v="7"/>
    <x v="2"/>
    <n v="94"/>
    <x v="35"/>
    <x v="2"/>
    <s v="Brown"/>
    <x v="2"/>
    <n v="4.2"/>
    <s v="Yes"/>
    <x v="2"/>
    <s v="Yes"/>
    <n v="35"/>
    <x v="5"/>
    <s v="Bi-Weekly"/>
    <n v="0.1"/>
    <n v="84.6"/>
    <n v="94"/>
    <s v="Debit Card"/>
    <s v="Normal"/>
    <s v="Good"/>
  </r>
  <r>
    <n v="56"/>
    <n v="40"/>
    <x v="0"/>
    <x v="14"/>
    <x v="2"/>
    <n v="28"/>
    <x v="36"/>
    <x v="2"/>
    <s v="Lavender"/>
    <x v="0"/>
    <n v="3"/>
    <s v="Yes"/>
    <x v="4"/>
    <s v="Yes"/>
    <n v="49"/>
    <x v="2"/>
    <s v="Annually"/>
    <n v="0.1"/>
    <n v="25.2"/>
    <n v="28"/>
    <s v="Credit Card"/>
    <s v="Normal"/>
    <s v="Good"/>
  </r>
  <r>
    <n v="57"/>
    <n v="41"/>
    <x v="0"/>
    <x v="21"/>
    <x v="3"/>
    <n v="73"/>
    <x v="16"/>
    <x v="3"/>
    <s v="Brown"/>
    <x v="2"/>
    <n v="4.7"/>
    <s v="Yes"/>
    <x v="5"/>
    <s v="Yes"/>
    <n v="46"/>
    <x v="2"/>
    <s v="Weekly"/>
    <n v="0.1"/>
    <n v="65.7"/>
    <n v="73"/>
    <s v="Credit Card"/>
    <s v="Normal"/>
    <s v="Good"/>
  </r>
  <r>
    <n v="58"/>
    <n v="21"/>
    <x v="0"/>
    <x v="7"/>
    <x v="2"/>
    <n v="64"/>
    <x v="8"/>
    <x v="2"/>
    <s v="White"/>
    <x v="2"/>
    <n v="4.4000000000000004"/>
    <s v="Yes"/>
    <x v="5"/>
    <s v="Yes"/>
    <n v="17"/>
    <x v="5"/>
    <s v="Fortnightly"/>
    <n v="0.1"/>
    <n v="57.6"/>
    <n v="64"/>
    <s v="Debit Card"/>
    <s v="Normal"/>
    <s v="Good"/>
  </r>
  <r>
    <n v="59"/>
    <n v="69"/>
    <x v="0"/>
    <x v="15"/>
    <x v="0"/>
    <n v="54"/>
    <x v="9"/>
    <x v="2"/>
    <s v="Charcoal"/>
    <x v="2"/>
    <n v="4.2"/>
    <s v="Yes"/>
    <x v="1"/>
    <s v="Yes"/>
    <n v="29"/>
    <x v="0"/>
    <s v="Monthly"/>
    <n v="0.1"/>
    <n v="48.6"/>
    <n v="54"/>
    <s v="Venmo"/>
    <s v="Normal"/>
    <s v="Good"/>
  </r>
  <r>
    <n v="60"/>
    <n v="63"/>
    <x v="0"/>
    <x v="22"/>
    <x v="3"/>
    <n v="79"/>
    <x v="7"/>
    <x v="0"/>
    <s v="Yellow"/>
    <x v="1"/>
    <n v="4.5999999999999996"/>
    <s v="Yes"/>
    <x v="3"/>
    <s v="Yes"/>
    <n v="4"/>
    <x v="5"/>
    <s v="Weekly"/>
    <n v="0.1"/>
    <n v="71.099999999999994"/>
    <n v="79"/>
    <s v="Debit Card"/>
    <s v="Normal"/>
    <s v="Good"/>
  </r>
  <r>
    <n v="61"/>
    <n v="50"/>
    <x v="0"/>
    <x v="1"/>
    <x v="0"/>
    <n v="37"/>
    <x v="37"/>
    <x v="0"/>
    <s v="Brown"/>
    <x v="2"/>
    <n v="4"/>
    <s v="Yes"/>
    <x v="0"/>
    <s v="Yes"/>
    <n v="17"/>
    <x v="1"/>
    <s v="Weekly"/>
    <n v="0.1"/>
    <n v="33.299999999999997"/>
    <n v="37"/>
    <s v="Cash"/>
    <s v="Normal"/>
    <s v="Good"/>
  </r>
  <r>
    <n v="62"/>
    <n v="55"/>
    <x v="0"/>
    <x v="18"/>
    <x v="3"/>
    <n v="68"/>
    <x v="21"/>
    <x v="2"/>
    <s v="Orange"/>
    <x v="0"/>
    <n v="4.7"/>
    <s v="Yes"/>
    <x v="5"/>
    <s v="Yes"/>
    <n v="21"/>
    <x v="2"/>
    <s v="Every 3 Months"/>
    <n v="0.1"/>
    <n v="61.2"/>
    <n v="68"/>
    <s v="Credit Card"/>
    <s v="Normal"/>
    <s v="Good"/>
  </r>
  <r>
    <n v="63"/>
    <n v="30"/>
    <x v="0"/>
    <x v="4"/>
    <x v="1"/>
    <n v="21"/>
    <x v="16"/>
    <x v="1"/>
    <s v="Magenta"/>
    <x v="1"/>
    <n v="3.8"/>
    <s v="Yes"/>
    <x v="1"/>
    <s v="Yes"/>
    <n v="31"/>
    <x v="2"/>
    <s v="Fortnightly"/>
    <n v="0.1"/>
    <n v="18.899999999999999"/>
    <n v="21"/>
    <s v="Credit Card"/>
    <s v="Normal"/>
    <s v="Good"/>
  </r>
  <r>
    <n v="64"/>
    <n v="33"/>
    <x v="0"/>
    <x v="12"/>
    <x v="3"/>
    <n v="79"/>
    <x v="28"/>
    <x v="0"/>
    <s v="Lavender"/>
    <x v="0"/>
    <n v="2.7"/>
    <s v="Yes"/>
    <x v="4"/>
    <s v="Yes"/>
    <n v="43"/>
    <x v="2"/>
    <s v="Weekly"/>
    <n v="0.1"/>
    <n v="71.099999999999994"/>
    <n v="79"/>
    <s v="Credit Card"/>
    <s v="Normal"/>
    <s v="Poor"/>
  </r>
  <r>
    <n v="65"/>
    <n v="65"/>
    <x v="0"/>
    <x v="23"/>
    <x v="1"/>
    <n v="83"/>
    <x v="15"/>
    <x v="1"/>
    <s v="Green"/>
    <x v="3"/>
    <n v="4.8"/>
    <s v="Yes"/>
    <x v="3"/>
    <s v="Yes"/>
    <n v="18"/>
    <x v="5"/>
    <s v="Fortnightly"/>
    <n v="0.1"/>
    <n v="74.7"/>
    <n v="83"/>
    <s v="Debit Card"/>
    <s v="Normal"/>
    <s v="Good"/>
  </r>
  <r>
    <n v="66"/>
    <n v="65"/>
    <x v="0"/>
    <x v="21"/>
    <x v="3"/>
    <n v="36"/>
    <x v="32"/>
    <x v="2"/>
    <s v="Purple"/>
    <x v="1"/>
    <n v="4.8"/>
    <s v="Yes"/>
    <x v="4"/>
    <s v="Yes"/>
    <n v="44"/>
    <x v="0"/>
    <s v="Every 3 Months"/>
    <n v="0.1"/>
    <n v="32.4"/>
    <n v="36"/>
    <s v="Venmo"/>
    <s v="Normal"/>
    <s v="Good"/>
  </r>
  <r>
    <n v="67"/>
    <n v="31"/>
    <x v="0"/>
    <x v="0"/>
    <x v="0"/>
    <n v="94"/>
    <x v="38"/>
    <x v="1"/>
    <s v="Magenta"/>
    <x v="0"/>
    <n v="4.7"/>
    <s v="Yes"/>
    <x v="4"/>
    <s v="Yes"/>
    <n v="3"/>
    <x v="0"/>
    <s v="Every 3 Months"/>
    <n v="0.1"/>
    <n v="84.6"/>
    <n v="94"/>
    <s v="Venmo"/>
    <s v="Normal"/>
    <s v="Good"/>
  </r>
  <r>
    <n v="68"/>
    <n v="45"/>
    <x v="0"/>
    <x v="7"/>
    <x v="2"/>
    <n v="33"/>
    <x v="39"/>
    <x v="0"/>
    <s v="Gray"/>
    <x v="0"/>
    <n v="4.4000000000000004"/>
    <s v="Yes"/>
    <x v="5"/>
    <s v="Yes"/>
    <n v="49"/>
    <x v="5"/>
    <s v="Monthly"/>
    <n v="0.1"/>
    <n v="29.7"/>
    <n v="33"/>
    <s v="Debit Card"/>
    <s v="Normal"/>
    <s v="Good"/>
  </r>
  <r>
    <n v="69"/>
    <n v="57"/>
    <x v="0"/>
    <x v="8"/>
    <x v="3"/>
    <n v="46"/>
    <x v="40"/>
    <x v="0"/>
    <s v="Silver"/>
    <x v="2"/>
    <n v="3.9"/>
    <s v="Yes"/>
    <x v="2"/>
    <s v="Yes"/>
    <n v="21"/>
    <x v="1"/>
    <s v="Every 3 Months"/>
    <n v="0.1"/>
    <n v="41.4"/>
    <n v="46"/>
    <s v="Cash"/>
    <s v="Normal"/>
    <s v="Good"/>
  </r>
  <r>
    <n v="70"/>
    <n v="48"/>
    <x v="0"/>
    <x v="22"/>
    <x v="3"/>
    <n v="70"/>
    <x v="30"/>
    <x v="1"/>
    <s v="Cyan"/>
    <x v="2"/>
    <n v="4.4000000000000004"/>
    <s v="Yes"/>
    <x v="0"/>
    <s v="Yes"/>
    <n v="5"/>
    <x v="1"/>
    <s v="Weekly"/>
    <n v="0.1"/>
    <n v="63"/>
    <n v="70"/>
    <s v="Cash"/>
    <s v="Normal"/>
    <s v="Good"/>
  </r>
  <r>
    <n v="71"/>
    <n v="22"/>
    <x v="0"/>
    <x v="22"/>
    <x v="3"/>
    <n v="29"/>
    <x v="15"/>
    <x v="2"/>
    <s v="Magenta"/>
    <x v="3"/>
    <n v="4.2"/>
    <s v="Yes"/>
    <x v="0"/>
    <s v="Yes"/>
    <n v="32"/>
    <x v="5"/>
    <s v="Every 3 Months"/>
    <n v="0.1"/>
    <n v="26.1"/>
    <n v="29"/>
    <s v="Debit Card"/>
    <s v="Normal"/>
    <s v="Good"/>
  </r>
  <r>
    <n v="72"/>
    <n v="36"/>
    <x v="0"/>
    <x v="10"/>
    <x v="0"/>
    <n v="48"/>
    <x v="41"/>
    <x v="0"/>
    <s v="Gold"/>
    <x v="2"/>
    <n v="2.9"/>
    <s v="Yes"/>
    <x v="0"/>
    <s v="Yes"/>
    <n v="34"/>
    <x v="4"/>
    <s v="Annually"/>
    <n v="0.1"/>
    <n v="43.2"/>
    <n v="48"/>
    <s v="Bank Transfer"/>
    <s v="Normal"/>
    <s v="Poor"/>
  </r>
  <r>
    <n v="73"/>
    <n v="18"/>
    <x v="0"/>
    <x v="10"/>
    <x v="0"/>
    <n v="26"/>
    <x v="42"/>
    <x v="2"/>
    <s v="Olive"/>
    <x v="0"/>
    <n v="2.9"/>
    <s v="Yes"/>
    <x v="5"/>
    <s v="Yes"/>
    <n v="21"/>
    <x v="4"/>
    <s v="Every 3 Months"/>
    <n v="0.1"/>
    <n v="23.4"/>
    <n v="26"/>
    <s v="Bank Transfer"/>
    <s v="Normal"/>
    <s v="Poor"/>
  </r>
  <r>
    <n v="74"/>
    <n v="48"/>
    <x v="0"/>
    <x v="13"/>
    <x v="0"/>
    <n v="85"/>
    <x v="11"/>
    <x v="2"/>
    <s v="Teal"/>
    <x v="1"/>
    <n v="2.7"/>
    <s v="Yes"/>
    <x v="1"/>
    <s v="Yes"/>
    <n v="43"/>
    <x v="4"/>
    <s v="Bi-Weekly"/>
    <n v="0.1"/>
    <n v="76.5"/>
    <n v="85"/>
    <s v="Bank Transfer"/>
    <s v="Normal"/>
    <s v="Poor"/>
  </r>
  <r>
    <n v="75"/>
    <n v="49"/>
    <x v="0"/>
    <x v="24"/>
    <x v="3"/>
    <n v="58"/>
    <x v="27"/>
    <x v="0"/>
    <s v="Violet"/>
    <x v="1"/>
    <n v="4.5"/>
    <s v="Yes"/>
    <x v="0"/>
    <s v="Yes"/>
    <n v="3"/>
    <x v="1"/>
    <s v="Monthly"/>
    <n v="0.1"/>
    <n v="52.2"/>
    <n v="58"/>
    <s v="Cash"/>
    <s v="Normal"/>
    <s v="Good"/>
  </r>
  <r>
    <n v="76"/>
    <n v="64"/>
    <x v="0"/>
    <x v="18"/>
    <x v="3"/>
    <n v="85"/>
    <x v="40"/>
    <x v="2"/>
    <s v="Blue"/>
    <x v="2"/>
    <n v="2.7"/>
    <s v="Yes"/>
    <x v="1"/>
    <s v="Yes"/>
    <n v="21"/>
    <x v="2"/>
    <s v="Annually"/>
    <n v="0.1"/>
    <n v="76.5"/>
    <n v="85"/>
    <s v="Credit Card"/>
    <s v="Normal"/>
    <s v="Poor"/>
  </r>
  <r>
    <n v="77"/>
    <n v="50"/>
    <x v="0"/>
    <x v="19"/>
    <x v="3"/>
    <n v="43"/>
    <x v="12"/>
    <x v="1"/>
    <s v="Teal"/>
    <x v="2"/>
    <n v="4.2"/>
    <s v="Yes"/>
    <x v="1"/>
    <s v="Yes"/>
    <n v="32"/>
    <x v="0"/>
    <s v="Monthly"/>
    <n v="0.1"/>
    <n v="38.700000000000003"/>
    <n v="43"/>
    <s v="Venmo"/>
    <s v="Normal"/>
    <s v="Good"/>
  </r>
  <r>
    <n v="78"/>
    <n v="22"/>
    <x v="0"/>
    <x v="10"/>
    <x v="0"/>
    <n v="53"/>
    <x v="12"/>
    <x v="0"/>
    <s v="Gold"/>
    <x v="2"/>
    <n v="3.3"/>
    <s v="Yes"/>
    <x v="2"/>
    <s v="Yes"/>
    <n v="36"/>
    <x v="5"/>
    <s v="Fortnightly"/>
    <n v="0.1"/>
    <n v="47.7"/>
    <n v="53"/>
    <s v="Debit Card"/>
    <s v="Normal"/>
    <s v="Good"/>
  </r>
  <r>
    <n v="79"/>
    <n v="50"/>
    <x v="0"/>
    <x v="11"/>
    <x v="0"/>
    <n v="91"/>
    <x v="43"/>
    <x v="2"/>
    <s v="Maroon"/>
    <x v="1"/>
    <n v="4.7"/>
    <s v="Yes"/>
    <x v="1"/>
    <s v="Yes"/>
    <n v="50"/>
    <x v="0"/>
    <s v="Fortnightly"/>
    <n v="0.1"/>
    <n v="81.900000000000006"/>
    <n v="91"/>
    <s v="Venmo"/>
    <s v="Normal"/>
    <s v="Good"/>
  </r>
  <r>
    <n v="80"/>
    <n v="38"/>
    <x v="0"/>
    <x v="14"/>
    <x v="2"/>
    <n v="96"/>
    <x v="44"/>
    <x v="2"/>
    <s v="Olive"/>
    <x v="0"/>
    <n v="2.6"/>
    <s v="Yes"/>
    <x v="4"/>
    <s v="Yes"/>
    <n v="43"/>
    <x v="4"/>
    <s v="Every 3 Months"/>
    <n v="0.1"/>
    <n v="86.4"/>
    <n v="96"/>
    <s v="Bank Transfer"/>
    <s v="Normal"/>
    <s v="Poor"/>
  </r>
  <r>
    <n v="81"/>
    <n v="19"/>
    <x v="0"/>
    <x v="3"/>
    <x v="1"/>
    <n v="72"/>
    <x v="14"/>
    <x v="3"/>
    <s v="Blue"/>
    <x v="2"/>
    <n v="1"/>
    <s v="Yes"/>
    <x v="5"/>
    <s v="Yes"/>
    <n v="24"/>
    <x v="2"/>
    <s v="Every 3 Months"/>
    <n v="0.1"/>
    <n v="64.8"/>
    <n v="72"/>
    <s v="Credit Card"/>
    <s v="Normal"/>
    <s v="Poor"/>
  </r>
  <r>
    <n v="82"/>
    <n v="67"/>
    <x v="0"/>
    <x v="9"/>
    <x v="1"/>
    <n v="96"/>
    <x v="41"/>
    <x v="0"/>
    <s v="Maroon"/>
    <x v="2"/>
    <n v="2.6"/>
    <s v="Yes"/>
    <x v="0"/>
    <s v="Yes"/>
    <n v="36"/>
    <x v="2"/>
    <s v="Every 3 Months"/>
    <n v="0.1"/>
    <n v="86.4"/>
    <n v="96"/>
    <s v="Credit Card"/>
    <s v="Normal"/>
    <s v="Poor"/>
  </r>
  <r>
    <n v="83"/>
    <n v="19"/>
    <x v="0"/>
    <x v="13"/>
    <x v="0"/>
    <n v="28"/>
    <x v="42"/>
    <x v="1"/>
    <s v="Olive"/>
    <x v="1"/>
    <n v="4"/>
    <s v="Yes"/>
    <x v="4"/>
    <s v="Yes"/>
    <n v="21"/>
    <x v="2"/>
    <s v="Every 3 Months"/>
    <n v="0.1"/>
    <n v="25.2"/>
    <n v="28"/>
    <s v="Credit Card"/>
    <s v="Normal"/>
    <s v="Good"/>
  </r>
  <r>
    <n v="84"/>
    <n v="36"/>
    <x v="0"/>
    <x v="10"/>
    <x v="0"/>
    <n v="40"/>
    <x v="21"/>
    <x v="2"/>
    <s v="Turquoise"/>
    <x v="2"/>
    <n v="4.0999999999999996"/>
    <s v="Yes"/>
    <x v="3"/>
    <s v="Yes"/>
    <n v="34"/>
    <x v="4"/>
    <s v="Weekly"/>
    <n v="0.1"/>
    <n v="36"/>
    <n v="40"/>
    <s v="Bank Transfer"/>
    <s v="Normal"/>
    <s v="Good"/>
  </r>
  <r>
    <n v="85"/>
    <n v="52"/>
    <x v="0"/>
    <x v="7"/>
    <x v="2"/>
    <n v="32"/>
    <x v="28"/>
    <x v="1"/>
    <s v="Peach"/>
    <x v="1"/>
    <n v="4.4000000000000004"/>
    <s v="Yes"/>
    <x v="3"/>
    <s v="Yes"/>
    <n v="42"/>
    <x v="4"/>
    <s v="Every 3 Months"/>
    <n v="0.1"/>
    <n v="28.8"/>
    <n v="32"/>
    <s v="Bank Transfer"/>
    <s v="Normal"/>
    <s v="Good"/>
  </r>
  <r>
    <n v="86"/>
    <n v="53"/>
    <x v="0"/>
    <x v="12"/>
    <x v="3"/>
    <n v="95"/>
    <x v="35"/>
    <x v="2"/>
    <s v="Charcoal"/>
    <x v="0"/>
    <n v="4.5"/>
    <s v="Yes"/>
    <x v="2"/>
    <s v="Yes"/>
    <n v="2"/>
    <x v="5"/>
    <s v="Bi-Weekly"/>
    <n v="0.1"/>
    <n v="85.5"/>
    <n v="95"/>
    <s v="Debit Card"/>
    <s v="Normal"/>
    <s v="Good"/>
  </r>
  <r>
    <n v="87"/>
    <n v="24"/>
    <x v="0"/>
    <x v="15"/>
    <x v="0"/>
    <n v="41"/>
    <x v="22"/>
    <x v="0"/>
    <s v="Pink"/>
    <x v="1"/>
    <n v="3.7"/>
    <s v="Yes"/>
    <x v="4"/>
    <s v="Yes"/>
    <n v="47"/>
    <x v="1"/>
    <s v="Bi-Weekly"/>
    <n v="0.1"/>
    <n v="36.9"/>
    <n v="41"/>
    <s v="Cash"/>
    <s v="Normal"/>
    <s v="Good"/>
  </r>
  <r>
    <n v="88"/>
    <n v="52"/>
    <x v="0"/>
    <x v="9"/>
    <x v="1"/>
    <n v="53"/>
    <x v="31"/>
    <x v="2"/>
    <s v="Green"/>
    <x v="3"/>
    <n v="3.7"/>
    <s v="Yes"/>
    <x v="4"/>
    <s v="Yes"/>
    <n v="44"/>
    <x v="5"/>
    <s v="Fortnightly"/>
    <n v="0.1"/>
    <n v="47.7"/>
    <n v="53"/>
    <s v="Debit Card"/>
    <s v="Normal"/>
    <s v="Good"/>
  </r>
  <r>
    <n v="89"/>
    <n v="33"/>
    <x v="0"/>
    <x v="17"/>
    <x v="0"/>
    <n v="47"/>
    <x v="5"/>
    <x v="2"/>
    <s v="Orange"/>
    <x v="3"/>
    <n v="3.5"/>
    <s v="Yes"/>
    <x v="1"/>
    <s v="Yes"/>
    <n v="35"/>
    <x v="2"/>
    <s v="Monthly"/>
    <n v="0.1"/>
    <n v="42.3"/>
    <n v="47"/>
    <s v="Credit Card"/>
    <s v="Normal"/>
    <s v="Good"/>
  </r>
  <r>
    <n v="90"/>
    <n v="47"/>
    <x v="0"/>
    <x v="14"/>
    <x v="2"/>
    <n v="83"/>
    <x v="18"/>
    <x v="3"/>
    <s v="Pink"/>
    <x v="3"/>
    <n v="3.6"/>
    <s v="Yes"/>
    <x v="2"/>
    <s v="Yes"/>
    <n v="15"/>
    <x v="1"/>
    <s v="Quarterly"/>
    <n v="0.1"/>
    <n v="74.7"/>
    <n v="83"/>
    <s v="Cash"/>
    <s v="Normal"/>
    <s v="Good"/>
  </r>
  <r>
    <n v="91"/>
    <n v="25"/>
    <x v="0"/>
    <x v="19"/>
    <x v="3"/>
    <n v="48"/>
    <x v="36"/>
    <x v="0"/>
    <s v="Violet"/>
    <x v="2"/>
    <n v="2.9"/>
    <s v="Yes"/>
    <x v="0"/>
    <s v="Yes"/>
    <n v="29"/>
    <x v="2"/>
    <s v="Monthly"/>
    <n v="0.1"/>
    <n v="43.2"/>
    <n v="48"/>
    <s v="Credit Card"/>
    <s v="Normal"/>
    <s v="Poor"/>
  </r>
  <r>
    <n v="92"/>
    <n v="44"/>
    <x v="0"/>
    <x v="18"/>
    <x v="3"/>
    <n v="99"/>
    <x v="36"/>
    <x v="1"/>
    <s v="Green"/>
    <x v="0"/>
    <n v="4.5999999999999996"/>
    <s v="Yes"/>
    <x v="3"/>
    <s v="Yes"/>
    <n v="18"/>
    <x v="2"/>
    <s v="Every 3 Months"/>
    <n v="0.1"/>
    <n v="89.1"/>
    <n v="99"/>
    <s v="Credit Card"/>
    <s v="Normal"/>
    <s v="Good"/>
  </r>
  <r>
    <n v="93"/>
    <n v="61"/>
    <x v="0"/>
    <x v="14"/>
    <x v="2"/>
    <n v="87"/>
    <x v="21"/>
    <x v="2"/>
    <s v="Olive"/>
    <x v="0"/>
    <n v="4.4000000000000004"/>
    <s v="Yes"/>
    <x v="4"/>
    <s v="Yes"/>
    <n v="13"/>
    <x v="0"/>
    <s v="Every 3 Months"/>
    <n v="0.1"/>
    <n v="78.3"/>
    <n v="87"/>
    <s v="Venmo"/>
    <s v="Normal"/>
    <s v="Good"/>
  </r>
  <r>
    <n v="94"/>
    <n v="37"/>
    <x v="0"/>
    <x v="1"/>
    <x v="0"/>
    <n v="62"/>
    <x v="20"/>
    <x v="2"/>
    <s v="Purple"/>
    <x v="3"/>
    <n v="4.5"/>
    <s v="Yes"/>
    <x v="3"/>
    <s v="Yes"/>
    <n v="46"/>
    <x v="2"/>
    <s v="Weekly"/>
    <n v="0.1"/>
    <n v="55.8"/>
    <n v="62"/>
    <s v="Credit Card"/>
    <s v="Normal"/>
    <s v="Good"/>
  </r>
  <r>
    <n v="95"/>
    <n v="58"/>
    <x v="0"/>
    <x v="11"/>
    <x v="0"/>
    <n v="76"/>
    <x v="22"/>
    <x v="1"/>
    <s v="Silver"/>
    <x v="1"/>
    <n v="4.5999999999999996"/>
    <s v="Yes"/>
    <x v="1"/>
    <s v="Yes"/>
    <n v="28"/>
    <x v="2"/>
    <s v="Weekly"/>
    <n v="0.1"/>
    <n v="68.400000000000006"/>
    <n v="76"/>
    <s v="Credit Card"/>
    <s v="Normal"/>
    <s v="Good"/>
  </r>
  <r>
    <n v="96"/>
    <n v="37"/>
    <x v="0"/>
    <x v="4"/>
    <x v="1"/>
    <n v="100"/>
    <x v="9"/>
    <x v="0"/>
    <s v="Pink"/>
    <x v="3"/>
    <n v="3.8"/>
    <s v="Yes"/>
    <x v="1"/>
    <s v="Yes"/>
    <n v="48"/>
    <x v="3"/>
    <s v="Monthly"/>
    <n v="0.1"/>
    <n v="90"/>
    <n v="100"/>
    <s v="PayPal"/>
    <s v="Normal"/>
    <s v="Good"/>
  </r>
  <r>
    <n v="97"/>
    <n v="32"/>
    <x v="0"/>
    <x v="24"/>
    <x v="3"/>
    <n v="73"/>
    <x v="12"/>
    <x v="1"/>
    <s v="Gold"/>
    <x v="1"/>
    <n v="1"/>
    <s v="Yes"/>
    <x v="0"/>
    <s v="Yes"/>
    <n v="43"/>
    <x v="0"/>
    <s v="Every 3 Months"/>
    <n v="0.1"/>
    <n v="65.7"/>
    <n v="73"/>
    <s v="Venmo"/>
    <s v="Normal"/>
    <s v="Poor"/>
  </r>
  <r>
    <n v="98"/>
    <n v="21"/>
    <x v="0"/>
    <x v="9"/>
    <x v="1"/>
    <n v="92"/>
    <x v="41"/>
    <x v="2"/>
    <s v="Teal"/>
    <x v="0"/>
    <n v="4.8"/>
    <s v="Yes"/>
    <x v="5"/>
    <s v="Yes"/>
    <n v="37"/>
    <x v="1"/>
    <s v="Annually"/>
    <n v="0.1"/>
    <n v="82.8"/>
    <n v="92"/>
    <s v="Cash"/>
    <s v="Normal"/>
    <s v="Good"/>
  </r>
  <r>
    <n v="99"/>
    <n v="20"/>
    <x v="0"/>
    <x v="2"/>
    <x v="0"/>
    <n v="67"/>
    <x v="14"/>
    <x v="3"/>
    <s v="Teal"/>
    <x v="1"/>
    <n v="2.6"/>
    <s v="Yes"/>
    <x v="2"/>
    <s v="Yes"/>
    <n v="20"/>
    <x v="4"/>
    <s v="Annually"/>
    <n v="0.1"/>
    <n v="60.3"/>
    <n v="67"/>
    <s v="Bank Transfer"/>
    <s v="Normal"/>
    <s v="Poor"/>
  </r>
  <r>
    <n v="100"/>
    <n v="26"/>
    <x v="0"/>
    <x v="15"/>
    <x v="0"/>
    <n v="40"/>
    <x v="9"/>
    <x v="3"/>
    <s v="Indigo"/>
    <x v="2"/>
    <n v="3.7"/>
    <s v="Yes"/>
    <x v="0"/>
    <s v="Yes"/>
    <n v="33"/>
    <x v="5"/>
    <s v="Quarterly"/>
    <n v="0.1"/>
    <n v="36"/>
    <n v="40"/>
    <s v="Debit Card"/>
    <s v="Normal"/>
    <s v="Good"/>
  </r>
  <r>
    <n v="101"/>
    <n v="62"/>
    <x v="0"/>
    <x v="12"/>
    <x v="3"/>
    <n v="98"/>
    <x v="45"/>
    <x v="2"/>
    <s v="Maroon"/>
    <x v="3"/>
    <n v="2.7"/>
    <s v="Yes"/>
    <x v="0"/>
    <s v="Yes"/>
    <n v="31"/>
    <x v="1"/>
    <s v="Fortnightly"/>
    <n v="0.1"/>
    <n v="88.2"/>
    <n v="98"/>
    <s v="Cash"/>
    <s v="Normal"/>
    <s v="Poor"/>
  </r>
  <r>
    <n v="102"/>
    <n v="27"/>
    <x v="0"/>
    <x v="7"/>
    <x v="2"/>
    <n v="85"/>
    <x v="25"/>
    <x v="3"/>
    <s v="White"/>
    <x v="1"/>
    <n v="4.5999999999999996"/>
    <s v="Yes"/>
    <x v="0"/>
    <s v="Yes"/>
    <n v="50"/>
    <x v="2"/>
    <s v="Bi-Weekly"/>
    <n v="0.1"/>
    <n v="76.5"/>
    <n v="85"/>
    <s v="Credit Card"/>
    <s v="Normal"/>
    <s v="Good"/>
  </r>
  <r>
    <n v="103"/>
    <n v="51"/>
    <x v="0"/>
    <x v="20"/>
    <x v="0"/>
    <n v="67"/>
    <x v="19"/>
    <x v="0"/>
    <s v="Violet"/>
    <x v="0"/>
    <n v="4.8"/>
    <s v="Yes"/>
    <x v="2"/>
    <s v="Yes"/>
    <n v="35"/>
    <x v="2"/>
    <s v="Quarterly"/>
    <n v="0.1"/>
    <n v="60.3"/>
    <n v="67"/>
    <s v="Credit Card"/>
    <s v="Normal"/>
    <s v="Good"/>
  </r>
  <r>
    <n v="104"/>
    <n v="54"/>
    <x v="0"/>
    <x v="23"/>
    <x v="1"/>
    <n v="89"/>
    <x v="8"/>
    <x v="0"/>
    <s v="Red"/>
    <x v="0"/>
    <n v="4"/>
    <s v="Yes"/>
    <x v="2"/>
    <s v="Yes"/>
    <n v="22"/>
    <x v="0"/>
    <s v="Bi-Weekly"/>
    <n v="0.1"/>
    <n v="80.099999999999994"/>
    <n v="89"/>
    <s v="Venmo"/>
    <s v="Normal"/>
    <s v="Good"/>
  </r>
  <r>
    <n v="105"/>
    <n v="55"/>
    <x v="0"/>
    <x v="12"/>
    <x v="3"/>
    <n v="24"/>
    <x v="13"/>
    <x v="0"/>
    <s v="Pink"/>
    <x v="1"/>
    <n v="4.4000000000000004"/>
    <s v="Yes"/>
    <x v="4"/>
    <s v="Yes"/>
    <n v="1"/>
    <x v="3"/>
    <s v="Monthly"/>
    <n v="0.1"/>
    <n v="21.6"/>
    <n v="24"/>
    <s v="PayPal"/>
    <s v="Normal"/>
    <s v="Good"/>
  </r>
  <r>
    <n v="106"/>
    <n v="69"/>
    <x v="0"/>
    <x v="21"/>
    <x v="3"/>
    <n v="96"/>
    <x v="14"/>
    <x v="2"/>
    <s v="Charcoal"/>
    <x v="3"/>
    <n v="3.6"/>
    <s v="Yes"/>
    <x v="2"/>
    <s v="Yes"/>
    <n v="4"/>
    <x v="4"/>
    <s v="Annually"/>
    <n v="0.1"/>
    <n v="86.4"/>
    <n v="96"/>
    <s v="Bank Transfer"/>
    <s v="Normal"/>
    <s v="Good"/>
  </r>
  <r>
    <n v="107"/>
    <n v="64"/>
    <x v="0"/>
    <x v="14"/>
    <x v="2"/>
    <n v="35"/>
    <x v="46"/>
    <x v="0"/>
    <s v="White"/>
    <x v="2"/>
    <n v="3.7"/>
    <s v="Yes"/>
    <x v="3"/>
    <s v="Yes"/>
    <n v="31"/>
    <x v="2"/>
    <s v="Monthly"/>
    <n v="0.1"/>
    <n v="31.5"/>
    <n v="35"/>
    <s v="Credit Card"/>
    <s v="Normal"/>
    <s v="Good"/>
  </r>
  <r>
    <n v="108"/>
    <n v="28"/>
    <x v="0"/>
    <x v="4"/>
    <x v="1"/>
    <n v="67"/>
    <x v="33"/>
    <x v="0"/>
    <s v="Olive"/>
    <x v="0"/>
    <n v="3.1"/>
    <s v="Yes"/>
    <x v="2"/>
    <s v="Yes"/>
    <n v="46"/>
    <x v="3"/>
    <s v="Fortnightly"/>
    <n v="0.1"/>
    <n v="60.3"/>
    <n v="67"/>
    <s v="PayPal"/>
    <s v="Normal"/>
    <s v="Good"/>
  </r>
  <r>
    <n v="109"/>
    <n v="70"/>
    <x v="0"/>
    <x v="20"/>
    <x v="0"/>
    <n v="79"/>
    <x v="6"/>
    <x v="0"/>
    <s v="Purple"/>
    <x v="1"/>
    <n v="3.4"/>
    <s v="Yes"/>
    <x v="2"/>
    <s v="Yes"/>
    <n v="32"/>
    <x v="4"/>
    <s v="Bi-Weekly"/>
    <n v="0.1"/>
    <n v="71.099999999999994"/>
    <n v="79"/>
    <s v="Bank Transfer"/>
    <s v="Normal"/>
    <s v="Good"/>
  </r>
  <r>
    <n v="110"/>
    <n v="58"/>
    <x v="0"/>
    <x v="17"/>
    <x v="0"/>
    <n v="85"/>
    <x v="15"/>
    <x v="2"/>
    <s v="Violet"/>
    <x v="1"/>
    <n v="2.6"/>
    <s v="Yes"/>
    <x v="2"/>
    <s v="Yes"/>
    <n v="43"/>
    <x v="4"/>
    <s v="Fortnightly"/>
    <n v="0.1"/>
    <n v="76.5"/>
    <n v="85"/>
    <s v="Bank Transfer"/>
    <s v="Normal"/>
    <s v="Poor"/>
  </r>
  <r>
    <n v="111"/>
    <n v="56"/>
    <x v="0"/>
    <x v="21"/>
    <x v="3"/>
    <n v="26"/>
    <x v="14"/>
    <x v="2"/>
    <s v="Black"/>
    <x v="2"/>
    <n v="4"/>
    <s v="Yes"/>
    <x v="3"/>
    <s v="Yes"/>
    <n v="26"/>
    <x v="0"/>
    <s v="Fortnightly"/>
    <n v="0.1"/>
    <n v="23.4"/>
    <n v="26"/>
    <s v="Venmo"/>
    <s v="Normal"/>
    <s v="Good"/>
  </r>
  <r>
    <n v="112"/>
    <n v="26"/>
    <x v="0"/>
    <x v="22"/>
    <x v="3"/>
    <n v="75"/>
    <x v="2"/>
    <x v="0"/>
    <s v="Purple"/>
    <x v="2"/>
    <n v="5"/>
    <s v="Yes"/>
    <x v="1"/>
    <s v="Yes"/>
    <n v="9"/>
    <x v="2"/>
    <s v="Annually"/>
    <n v="0.1"/>
    <n v="67.5"/>
    <n v="75"/>
    <s v="Credit Card"/>
    <s v="Normal"/>
    <s v="Good"/>
  </r>
  <r>
    <n v="113"/>
    <n v="37"/>
    <x v="0"/>
    <x v="24"/>
    <x v="3"/>
    <n v="65"/>
    <x v="20"/>
    <x v="2"/>
    <s v="Red"/>
    <x v="1"/>
    <n v="4.3"/>
    <s v="Yes"/>
    <x v="1"/>
    <s v="Yes"/>
    <n v="28"/>
    <x v="3"/>
    <s v="Bi-Weekly"/>
    <n v="0.1"/>
    <n v="58.5"/>
    <n v="65"/>
    <s v="PayPal"/>
    <s v="Normal"/>
    <s v="Good"/>
  </r>
  <r>
    <n v="114"/>
    <n v="44"/>
    <x v="0"/>
    <x v="19"/>
    <x v="3"/>
    <n v="54"/>
    <x v="32"/>
    <x v="0"/>
    <s v="Maroon"/>
    <x v="0"/>
    <n v="3.1"/>
    <s v="Yes"/>
    <x v="2"/>
    <s v="Yes"/>
    <n v="20"/>
    <x v="3"/>
    <s v="Quarterly"/>
    <n v="0.1"/>
    <n v="48.6"/>
    <n v="54"/>
    <s v="PayPal"/>
    <s v="Normal"/>
    <s v="Good"/>
  </r>
  <r>
    <n v="115"/>
    <n v="70"/>
    <x v="0"/>
    <x v="7"/>
    <x v="2"/>
    <n v="95"/>
    <x v="2"/>
    <x v="1"/>
    <s v="Blue"/>
    <x v="2"/>
    <n v="3.7"/>
    <s v="Yes"/>
    <x v="5"/>
    <s v="Yes"/>
    <n v="9"/>
    <x v="1"/>
    <s v="Weekly"/>
    <n v="0.1"/>
    <n v="85.5"/>
    <n v="95"/>
    <s v="Cash"/>
    <s v="Normal"/>
    <s v="Good"/>
  </r>
  <r>
    <n v="116"/>
    <n v="53"/>
    <x v="0"/>
    <x v="11"/>
    <x v="0"/>
    <n v="94"/>
    <x v="5"/>
    <x v="2"/>
    <s v="Gray"/>
    <x v="1"/>
    <n v="3.8"/>
    <s v="Yes"/>
    <x v="3"/>
    <s v="Yes"/>
    <n v="48"/>
    <x v="5"/>
    <s v="Every 3 Months"/>
    <n v="0.1"/>
    <n v="84.6"/>
    <n v="94"/>
    <s v="Debit Card"/>
    <s v="Normal"/>
    <s v="Good"/>
  </r>
  <r>
    <n v="117"/>
    <n v="55"/>
    <x v="0"/>
    <x v="9"/>
    <x v="1"/>
    <n v="86"/>
    <x v="41"/>
    <x v="1"/>
    <s v="Blue"/>
    <x v="1"/>
    <n v="3.4"/>
    <s v="Yes"/>
    <x v="1"/>
    <s v="Yes"/>
    <n v="12"/>
    <x v="0"/>
    <s v="Annually"/>
    <n v="0.1"/>
    <n v="77.400000000000006"/>
    <n v="86"/>
    <s v="Venmo"/>
    <s v="Normal"/>
    <s v="Good"/>
  </r>
  <r>
    <n v="118"/>
    <n v="50"/>
    <x v="0"/>
    <x v="3"/>
    <x v="1"/>
    <n v="32"/>
    <x v="45"/>
    <x v="0"/>
    <s v="Yellow"/>
    <x v="2"/>
    <n v="4.5999999999999996"/>
    <s v="Yes"/>
    <x v="0"/>
    <s v="Yes"/>
    <n v="29"/>
    <x v="1"/>
    <s v="Fortnightly"/>
    <n v="0.1"/>
    <n v="28.8"/>
    <n v="32"/>
    <s v="Cash"/>
    <s v="Normal"/>
    <s v="Good"/>
  </r>
  <r>
    <n v="119"/>
    <n v="50"/>
    <x v="0"/>
    <x v="1"/>
    <x v="0"/>
    <n v="45"/>
    <x v="0"/>
    <x v="0"/>
    <s v="Orange"/>
    <x v="3"/>
    <n v="4.8"/>
    <s v="Yes"/>
    <x v="4"/>
    <s v="Yes"/>
    <n v="27"/>
    <x v="1"/>
    <s v="Bi-Weekly"/>
    <n v="0.1"/>
    <n v="40.5"/>
    <n v="45"/>
    <s v="Cash"/>
    <s v="Normal"/>
    <s v="Good"/>
  </r>
  <r>
    <n v="120"/>
    <n v="38"/>
    <x v="0"/>
    <x v="7"/>
    <x v="2"/>
    <n v="76"/>
    <x v="5"/>
    <x v="2"/>
    <s v="Orange"/>
    <x v="3"/>
    <n v="4.3"/>
    <s v="Yes"/>
    <x v="0"/>
    <s v="Yes"/>
    <n v="44"/>
    <x v="1"/>
    <s v="Annually"/>
    <n v="0.1"/>
    <n v="68.400000000000006"/>
    <n v="76"/>
    <s v="Cash"/>
    <s v="Normal"/>
    <s v="Good"/>
  </r>
  <r>
    <n v="121"/>
    <n v="64"/>
    <x v="0"/>
    <x v="19"/>
    <x v="3"/>
    <n v="84"/>
    <x v="8"/>
    <x v="0"/>
    <s v="Red"/>
    <x v="2"/>
    <n v="4"/>
    <s v="Yes"/>
    <x v="0"/>
    <s v="Yes"/>
    <n v="32"/>
    <x v="4"/>
    <s v="Annually"/>
    <n v="0.1"/>
    <n v="75.599999999999994"/>
    <n v="84"/>
    <s v="Bank Transfer"/>
    <s v="Normal"/>
    <s v="Good"/>
  </r>
  <r>
    <n v="122"/>
    <n v="19"/>
    <x v="0"/>
    <x v="6"/>
    <x v="0"/>
    <n v="72"/>
    <x v="41"/>
    <x v="2"/>
    <s v="Olive"/>
    <x v="0"/>
    <n v="4.2"/>
    <s v="Yes"/>
    <x v="3"/>
    <s v="Yes"/>
    <n v="11"/>
    <x v="1"/>
    <s v="Fortnightly"/>
    <n v="0.1"/>
    <n v="64.8"/>
    <n v="72"/>
    <s v="Cash"/>
    <s v="Normal"/>
    <s v="Good"/>
  </r>
  <r>
    <n v="123"/>
    <n v="40"/>
    <x v="0"/>
    <x v="21"/>
    <x v="3"/>
    <n v="40"/>
    <x v="47"/>
    <x v="0"/>
    <s v="Brown"/>
    <x v="1"/>
    <n v="4.8"/>
    <s v="Yes"/>
    <x v="4"/>
    <s v="Yes"/>
    <n v="44"/>
    <x v="1"/>
    <s v="Fortnightly"/>
    <n v="0.1"/>
    <n v="36"/>
    <n v="40"/>
    <s v="Cash"/>
    <s v="Normal"/>
    <s v="Good"/>
  </r>
  <r>
    <n v="124"/>
    <n v="57"/>
    <x v="0"/>
    <x v="1"/>
    <x v="0"/>
    <n v="89"/>
    <x v="7"/>
    <x v="0"/>
    <s v="Brown"/>
    <x v="3"/>
    <n v="3.1"/>
    <s v="Yes"/>
    <x v="1"/>
    <s v="Yes"/>
    <n v="46"/>
    <x v="1"/>
    <s v="Weekly"/>
    <n v="0.1"/>
    <n v="80.099999999999994"/>
    <n v="89"/>
    <s v="Cash"/>
    <s v="Normal"/>
    <s v="Good"/>
  </r>
  <r>
    <n v="125"/>
    <n v="44"/>
    <x v="0"/>
    <x v="1"/>
    <x v="0"/>
    <n v="86"/>
    <x v="22"/>
    <x v="2"/>
    <s v="Gray"/>
    <x v="1"/>
    <n v="3.1"/>
    <s v="Yes"/>
    <x v="2"/>
    <s v="Yes"/>
    <n v="50"/>
    <x v="3"/>
    <s v="Annually"/>
    <n v="0.1"/>
    <n v="77.400000000000006"/>
    <n v="86"/>
    <s v="PayPal"/>
    <s v="Normal"/>
    <s v="Good"/>
  </r>
  <r>
    <n v="126"/>
    <n v="49"/>
    <x v="0"/>
    <x v="6"/>
    <x v="0"/>
    <n v="54"/>
    <x v="18"/>
    <x v="2"/>
    <s v="Indigo"/>
    <x v="0"/>
    <n v="3.6"/>
    <s v="Yes"/>
    <x v="2"/>
    <s v="Yes"/>
    <n v="45"/>
    <x v="0"/>
    <s v="Every 3 Months"/>
    <n v="0.1"/>
    <n v="48.6"/>
    <n v="54"/>
    <s v="Venmo"/>
    <s v="Normal"/>
    <s v="Good"/>
  </r>
  <r>
    <n v="127"/>
    <n v="43"/>
    <x v="0"/>
    <x v="6"/>
    <x v="0"/>
    <n v="36"/>
    <x v="16"/>
    <x v="0"/>
    <s v="Pink"/>
    <x v="1"/>
    <n v="3.9"/>
    <s v="Yes"/>
    <x v="5"/>
    <s v="Yes"/>
    <n v="48"/>
    <x v="1"/>
    <s v="Every 3 Months"/>
    <n v="0.1"/>
    <n v="32.4"/>
    <n v="36"/>
    <s v="Cash"/>
    <s v="Normal"/>
    <s v="Good"/>
  </r>
  <r>
    <n v="128"/>
    <n v="24"/>
    <x v="0"/>
    <x v="1"/>
    <x v="0"/>
    <n v="89"/>
    <x v="16"/>
    <x v="2"/>
    <s v="Gray"/>
    <x v="0"/>
    <n v="4.8"/>
    <s v="Yes"/>
    <x v="2"/>
    <s v="Yes"/>
    <n v="26"/>
    <x v="2"/>
    <s v="Weekly"/>
    <n v="0.1"/>
    <n v="80.099999999999994"/>
    <n v="89"/>
    <s v="Credit Card"/>
    <s v="Normal"/>
    <s v="Good"/>
  </r>
  <r>
    <n v="129"/>
    <n v="20"/>
    <x v="0"/>
    <x v="18"/>
    <x v="3"/>
    <n v="32"/>
    <x v="18"/>
    <x v="2"/>
    <s v="Gold"/>
    <x v="1"/>
    <n v="4.7"/>
    <s v="Yes"/>
    <x v="3"/>
    <s v="Yes"/>
    <n v="21"/>
    <x v="2"/>
    <s v="Fortnightly"/>
    <n v="0.1"/>
    <n v="28.8"/>
    <n v="32"/>
    <s v="Credit Card"/>
    <s v="Normal"/>
    <s v="Good"/>
  </r>
  <r>
    <n v="130"/>
    <n v="24"/>
    <x v="0"/>
    <x v="10"/>
    <x v="0"/>
    <n v="67"/>
    <x v="38"/>
    <x v="3"/>
    <s v="Olive"/>
    <x v="2"/>
    <n v="4.2"/>
    <s v="Yes"/>
    <x v="4"/>
    <s v="Yes"/>
    <n v="49"/>
    <x v="3"/>
    <s v="Bi-Weekly"/>
    <n v="0.1"/>
    <n v="60.3"/>
    <n v="67"/>
    <s v="PayPal"/>
    <s v="Normal"/>
    <s v="Good"/>
  </r>
  <r>
    <n v="131"/>
    <n v="44"/>
    <x v="0"/>
    <x v="18"/>
    <x v="3"/>
    <n v="39"/>
    <x v="0"/>
    <x v="0"/>
    <s v="Violet"/>
    <x v="3"/>
    <n v="3.7"/>
    <s v="Yes"/>
    <x v="2"/>
    <s v="Yes"/>
    <n v="13"/>
    <x v="3"/>
    <s v="Fortnightly"/>
    <n v="0.1"/>
    <n v="35.1"/>
    <n v="39"/>
    <s v="PayPal"/>
    <s v="Normal"/>
    <s v="Good"/>
  </r>
  <r>
    <n v="132"/>
    <n v="28"/>
    <x v="0"/>
    <x v="11"/>
    <x v="0"/>
    <n v="29"/>
    <x v="1"/>
    <x v="0"/>
    <s v="Indigo"/>
    <x v="2"/>
    <n v="3.9"/>
    <s v="Yes"/>
    <x v="3"/>
    <s v="Yes"/>
    <n v="46"/>
    <x v="2"/>
    <s v="Weekly"/>
    <n v="0.1"/>
    <n v="26.1"/>
    <n v="29"/>
    <s v="Credit Card"/>
    <s v="Normal"/>
    <s v="Good"/>
  </r>
  <r>
    <n v="133"/>
    <n v="30"/>
    <x v="0"/>
    <x v="21"/>
    <x v="3"/>
    <n v="58"/>
    <x v="35"/>
    <x v="2"/>
    <s v="Orange"/>
    <x v="3"/>
    <n v="4.7"/>
    <s v="Yes"/>
    <x v="4"/>
    <s v="Yes"/>
    <n v="42"/>
    <x v="3"/>
    <s v="Weekly"/>
    <n v="0.1"/>
    <n v="52.2"/>
    <n v="58"/>
    <s v="PayPal"/>
    <s v="Normal"/>
    <s v="Good"/>
  </r>
  <r>
    <n v="134"/>
    <n v="52"/>
    <x v="0"/>
    <x v="1"/>
    <x v="0"/>
    <n v="65"/>
    <x v="6"/>
    <x v="2"/>
    <s v="Violet"/>
    <x v="0"/>
    <n v="2.5"/>
    <s v="Yes"/>
    <x v="2"/>
    <s v="Yes"/>
    <n v="25"/>
    <x v="0"/>
    <s v="Annually"/>
    <n v="0.1"/>
    <n v="58.5"/>
    <n v="65"/>
    <s v="Venmo"/>
    <s v="Normal"/>
    <s v="Poor"/>
  </r>
  <r>
    <n v="135"/>
    <n v="43"/>
    <x v="0"/>
    <x v="19"/>
    <x v="3"/>
    <n v="94"/>
    <x v="21"/>
    <x v="0"/>
    <s v="Gray"/>
    <x v="3"/>
    <n v="4.9000000000000004"/>
    <s v="Yes"/>
    <x v="5"/>
    <s v="Yes"/>
    <n v="25"/>
    <x v="1"/>
    <s v="Monthly"/>
    <n v="0.1"/>
    <n v="84.6"/>
    <n v="94"/>
    <s v="Cash"/>
    <s v="Normal"/>
    <s v="Good"/>
  </r>
  <r>
    <n v="136"/>
    <n v="43"/>
    <x v="0"/>
    <x v="3"/>
    <x v="1"/>
    <n v="81"/>
    <x v="23"/>
    <x v="2"/>
    <s v="Purple"/>
    <x v="3"/>
    <n v="4.0999999999999996"/>
    <s v="Yes"/>
    <x v="0"/>
    <s v="Yes"/>
    <n v="12"/>
    <x v="3"/>
    <s v="Quarterly"/>
    <n v="0.1"/>
    <n v="72.900000000000006"/>
    <n v="81"/>
    <s v="PayPal"/>
    <s v="Normal"/>
    <s v="Good"/>
  </r>
  <r>
    <n v="137"/>
    <n v="39"/>
    <x v="0"/>
    <x v="0"/>
    <x v="0"/>
    <n v="86"/>
    <x v="36"/>
    <x v="2"/>
    <s v="White"/>
    <x v="0"/>
    <n v="3.3"/>
    <s v="Yes"/>
    <x v="1"/>
    <s v="Yes"/>
    <n v="4"/>
    <x v="5"/>
    <s v="Quarterly"/>
    <n v="0.1"/>
    <n v="77.400000000000006"/>
    <n v="86"/>
    <s v="Debit Card"/>
    <s v="Normal"/>
    <s v="Good"/>
  </r>
  <r>
    <n v="138"/>
    <n v="68"/>
    <x v="0"/>
    <x v="4"/>
    <x v="1"/>
    <n v="43"/>
    <x v="24"/>
    <x v="2"/>
    <s v="Turquoise"/>
    <x v="1"/>
    <n v="4.7"/>
    <s v="Yes"/>
    <x v="1"/>
    <s v="Yes"/>
    <n v="38"/>
    <x v="3"/>
    <s v="Weekly"/>
    <n v="0.1"/>
    <n v="38.700000000000003"/>
    <n v="43"/>
    <s v="PayPal"/>
    <s v="Normal"/>
    <s v="Good"/>
  </r>
  <r>
    <n v="139"/>
    <n v="68"/>
    <x v="0"/>
    <x v="11"/>
    <x v="0"/>
    <n v="29"/>
    <x v="42"/>
    <x v="2"/>
    <s v="Maroon"/>
    <x v="0"/>
    <n v="4.4000000000000004"/>
    <s v="Yes"/>
    <x v="5"/>
    <s v="Yes"/>
    <n v="42"/>
    <x v="4"/>
    <s v="Weekly"/>
    <n v="0.1"/>
    <n v="26.1"/>
    <n v="29"/>
    <s v="Bank Transfer"/>
    <s v="Normal"/>
    <s v="Good"/>
  </r>
  <r>
    <n v="140"/>
    <n v="49"/>
    <x v="0"/>
    <x v="7"/>
    <x v="2"/>
    <n v="95"/>
    <x v="20"/>
    <x v="2"/>
    <s v="White"/>
    <x v="3"/>
    <n v="3.8"/>
    <s v="Yes"/>
    <x v="5"/>
    <s v="Yes"/>
    <n v="30"/>
    <x v="0"/>
    <s v="Annually"/>
    <n v="0.1"/>
    <n v="85.5"/>
    <n v="95"/>
    <s v="Venmo"/>
    <s v="Normal"/>
    <s v="Good"/>
  </r>
  <r>
    <n v="141"/>
    <n v="63"/>
    <x v="0"/>
    <x v="5"/>
    <x v="0"/>
    <n v="28"/>
    <x v="17"/>
    <x v="0"/>
    <s v="Yellow"/>
    <x v="3"/>
    <n v="3.9"/>
    <s v="Yes"/>
    <x v="4"/>
    <s v="Yes"/>
    <n v="50"/>
    <x v="2"/>
    <s v="Weekly"/>
    <n v="0.1"/>
    <n v="25.2"/>
    <n v="28"/>
    <s v="Credit Card"/>
    <s v="Normal"/>
    <s v="Good"/>
  </r>
  <r>
    <n v="142"/>
    <n v="56"/>
    <x v="0"/>
    <x v="24"/>
    <x v="3"/>
    <n v="46"/>
    <x v="41"/>
    <x v="2"/>
    <s v="Turquoise"/>
    <x v="3"/>
    <n v="4.9000000000000004"/>
    <s v="Yes"/>
    <x v="1"/>
    <s v="Yes"/>
    <n v="45"/>
    <x v="3"/>
    <s v="Weekly"/>
    <n v="0.1"/>
    <n v="41.4"/>
    <n v="46"/>
    <s v="PayPal"/>
    <s v="Normal"/>
    <s v="Good"/>
  </r>
  <r>
    <n v="143"/>
    <n v="37"/>
    <x v="0"/>
    <x v="14"/>
    <x v="2"/>
    <n v="58"/>
    <x v="43"/>
    <x v="0"/>
    <s v="Violet"/>
    <x v="3"/>
    <n v="3.1"/>
    <s v="Yes"/>
    <x v="1"/>
    <s v="Yes"/>
    <n v="33"/>
    <x v="2"/>
    <s v="Fortnightly"/>
    <n v="0.1"/>
    <n v="52.2"/>
    <n v="58"/>
    <s v="Credit Card"/>
    <s v="Normal"/>
    <s v="Good"/>
  </r>
  <r>
    <n v="144"/>
    <n v="30"/>
    <x v="0"/>
    <x v="7"/>
    <x v="2"/>
    <n v="48"/>
    <x v="9"/>
    <x v="2"/>
    <s v="Beige"/>
    <x v="3"/>
    <n v="2.7"/>
    <s v="Yes"/>
    <x v="5"/>
    <s v="Yes"/>
    <n v="25"/>
    <x v="3"/>
    <s v="Quarterly"/>
    <n v="0.1"/>
    <n v="43.2"/>
    <n v="48"/>
    <s v="PayPal"/>
    <s v="Normal"/>
    <s v="Poor"/>
  </r>
  <r>
    <n v="145"/>
    <n v="19"/>
    <x v="0"/>
    <x v="9"/>
    <x v="1"/>
    <n v="43"/>
    <x v="32"/>
    <x v="2"/>
    <s v="Silver"/>
    <x v="3"/>
    <n v="3.2"/>
    <s v="Yes"/>
    <x v="0"/>
    <s v="Yes"/>
    <n v="25"/>
    <x v="1"/>
    <s v="Monthly"/>
    <n v="0.1"/>
    <n v="38.700000000000003"/>
    <n v="43"/>
    <s v="Cash"/>
    <s v="Normal"/>
    <s v="Good"/>
  </r>
  <r>
    <n v="146"/>
    <n v="24"/>
    <x v="0"/>
    <x v="16"/>
    <x v="3"/>
    <n v="95"/>
    <x v="9"/>
    <x v="2"/>
    <s v="Teal"/>
    <x v="3"/>
    <n v="4.5"/>
    <s v="Yes"/>
    <x v="3"/>
    <s v="Yes"/>
    <n v="44"/>
    <x v="5"/>
    <s v="Quarterly"/>
    <n v="0.1"/>
    <n v="85.5"/>
    <n v="95"/>
    <s v="Debit Card"/>
    <s v="Normal"/>
    <s v="Good"/>
  </r>
  <r>
    <n v="147"/>
    <n v="52"/>
    <x v="0"/>
    <x v="11"/>
    <x v="0"/>
    <n v="30"/>
    <x v="24"/>
    <x v="1"/>
    <s v="Black"/>
    <x v="3"/>
    <n v="4"/>
    <s v="Yes"/>
    <x v="3"/>
    <s v="Yes"/>
    <n v="21"/>
    <x v="0"/>
    <s v="Fortnightly"/>
    <n v="0.1"/>
    <n v="27"/>
    <n v="30"/>
    <s v="Venmo"/>
    <s v="Normal"/>
    <s v="Good"/>
  </r>
  <r>
    <n v="148"/>
    <n v="63"/>
    <x v="0"/>
    <x v="9"/>
    <x v="1"/>
    <n v="64"/>
    <x v="37"/>
    <x v="2"/>
    <s v="Purple"/>
    <x v="2"/>
    <n v="3.5"/>
    <s v="Yes"/>
    <x v="4"/>
    <s v="Yes"/>
    <n v="31"/>
    <x v="4"/>
    <s v="Fortnightly"/>
    <n v="0.1"/>
    <n v="57.6"/>
    <n v="64"/>
    <s v="Bank Transfer"/>
    <s v="Normal"/>
    <s v="Good"/>
  </r>
  <r>
    <n v="149"/>
    <n v="37"/>
    <x v="0"/>
    <x v="24"/>
    <x v="3"/>
    <n v="90"/>
    <x v="5"/>
    <x v="2"/>
    <s v="Gray"/>
    <x v="3"/>
    <n v="2.6"/>
    <s v="Yes"/>
    <x v="5"/>
    <s v="Yes"/>
    <n v="47"/>
    <x v="5"/>
    <s v="Annually"/>
    <n v="0.1"/>
    <n v="81"/>
    <n v="90"/>
    <s v="Debit Card"/>
    <s v="Normal"/>
    <s v="Poor"/>
  </r>
  <r>
    <n v="150"/>
    <n v="38"/>
    <x v="0"/>
    <x v="13"/>
    <x v="0"/>
    <n v="76"/>
    <x v="12"/>
    <x v="2"/>
    <s v="White"/>
    <x v="2"/>
    <n v="3.2"/>
    <s v="Yes"/>
    <x v="1"/>
    <s v="Yes"/>
    <n v="14"/>
    <x v="3"/>
    <s v="Monthly"/>
    <n v="0.1"/>
    <n v="68.400000000000006"/>
    <n v="76"/>
    <s v="PayPal"/>
    <s v="Normal"/>
    <s v="Good"/>
  </r>
  <r>
    <n v="151"/>
    <n v="35"/>
    <x v="0"/>
    <x v="23"/>
    <x v="1"/>
    <n v="96"/>
    <x v="18"/>
    <x v="0"/>
    <s v="Cyan"/>
    <x v="3"/>
    <n v="4.9000000000000004"/>
    <s v="Yes"/>
    <x v="3"/>
    <s v="Yes"/>
    <n v="17"/>
    <x v="5"/>
    <s v="Every 3 Months"/>
    <n v="0.1"/>
    <n v="86.4"/>
    <n v="96"/>
    <s v="Debit Card"/>
    <s v="Normal"/>
    <s v="Good"/>
  </r>
  <r>
    <n v="152"/>
    <n v="28"/>
    <x v="0"/>
    <x v="12"/>
    <x v="3"/>
    <n v="47"/>
    <x v="25"/>
    <x v="0"/>
    <s v="Turquoise"/>
    <x v="3"/>
    <n v="4.5"/>
    <s v="Yes"/>
    <x v="2"/>
    <s v="Yes"/>
    <n v="3"/>
    <x v="0"/>
    <s v="Annually"/>
    <n v="0.1"/>
    <n v="42.3"/>
    <n v="47"/>
    <s v="Venmo"/>
    <s v="Normal"/>
    <s v="Good"/>
  </r>
  <r>
    <n v="153"/>
    <n v="30"/>
    <x v="0"/>
    <x v="5"/>
    <x v="0"/>
    <n v="85"/>
    <x v="36"/>
    <x v="1"/>
    <s v="Brown"/>
    <x v="2"/>
    <n v="4.3"/>
    <s v="Yes"/>
    <x v="0"/>
    <s v="Yes"/>
    <n v="42"/>
    <x v="0"/>
    <s v="Annually"/>
    <n v="0.1"/>
    <n v="76.5"/>
    <n v="85"/>
    <s v="Venmo"/>
    <s v="Normal"/>
    <s v="Good"/>
  </r>
  <r>
    <n v="154"/>
    <n v="69"/>
    <x v="0"/>
    <x v="15"/>
    <x v="0"/>
    <n v="55"/>
    <x v="17"/>
    <x v="2"/>
    <s v="Maroon"/>
    <x v="0"/>
    <n v="3.2"/>
    <s v="Yes"/>
    <x v="3"/>
    <s v="Yes"/>
    <n v="22"/>
    <x v="5"/>
    <s v="Annually"/>
    <n v="0.1"/>
    <n v="49.5"/>
    <n v="55"/>
    <s v="Debit Card"/>
    <s v="Normal"/>
    <s v="Good"/>
  </r>
  <r>
    <n v="155"/>
    <n v="41"/>
    <x v="0"/>
    <x v="10"/>
    <x v="0"/>
    <n v="98"/>
    <x v="19"/>
    <x v="2"/>
    <s v="Charcoal"/>
    <x v="3"/>
    <n v="3.6"/>
    <s v="Yes"/>
    <x v="2"/>
    <s v="Yes"/>
    <n v="21"/>
    <x v="0"/>
    <s v="Quarterly"/>
    <n v="0.1"/>
    <n v="88.2"/>
    <n v="98"/>
    <s v="Venmo"/>
    <s v="Normal"/>
    <s v="Good"/>
  </r>
  <r>
    <n v="156"/>
    <n v="63"/>
    <x v="0"/>
    <x v="20"/>
    <x v="0"/>
    <n v="77"/>
    <x v="1"/>
    <x v="1"/>
    <s v="Olive"/>
    <x v="1"/>
    <n v="4.3"/>
    <s v="Yes"/>
    <x v="1"/>
    <s v="Yes"/>
    <n v="21"/>
    <x v="4"/>
    <s v="Quarterly"/>
    <n v="0.1"/>
    <n v="69.3"/>
    <n v="77"/>
    <s v="Bank Transfer"/>
    <s v="Normal"/>
    <s v="Good"/>
  </r>
  <r>
    <n v="157"/>
    <n v="35"/>
    <x v="0"/>
    <x v="6"/>
    <x v="0"/>
    <n v="26"/>
    <x v="9"/>
    <x v="2"/>
    <s v="Lavender"/>
    <x v="3"/>
    <n v="4"/>
    <s v="Yes"/>
    <x v="3"/>
    <s v="Yes"/>
    <n v="40"/>
    <x v="5"/>
    <s v="Annually"/>
    <n v="0.1"/>
    <n v="23.4"/>
    <n v="26"/>
    <s v="Debit Card"/>
    <s v="Normal"/>
    <s v="Good"/>
  </r>
  <r>
    <n v="158"/>
    <n v="36"/>
    <x v="0"/>
    <x v="19"/>
    <x v="3"/>
    <n v="68"/>
    <x v="34"/>
    <x v="1"/>
    <s v="Yellow"/>
    <x v="3"/>
    <n v="3"/>
    <s v="Yes"/>
    <x v="2"/>
    <s v="Yes"/>
    <n v="1"/>
    <x v="4"/>
    <s v="Fortnightly"/>
    <n v="0.1"/>
    <n v="61.2"/>
    <n v="68"/>
    <s v="Bank Transfer"/>
    <s v="Normal"/>
    <s v="Good"/>
  </r>
  <r>
    <n v="159"/>
    <n v="25"/>
    <x v="0"/>
    <x v="5"/>
    <x v="0"/>
    <n v="73"/>
    <x v="39"/>
    <x v="3"/>
    <s v="Teal"/>
    <x v="3"/>
    <n v="4.0999999999999996"/>
    <s v="Yes"/>
    <x v="3"/>
    <s v="Yes"/>
    <n v="50"/>
    <x v="4"/>
    <s v="Monthly"/>
    <n v="0.1"/>
    <n v="65.7"/>
    <n v="73"/>
    <s v="Bank Transfer"/>
    <s v="Normal"/>
    <s v="Good"/>
  </r>
  <r>
    <n v="160"/>
    <n v="58"/>
    <x v="0"/>
    <x v="24"/>
    <x v="3"/>
    <n v="27"/>
    <x v="13"/>
    <x v="2"/>
    <s v="Charcoal"/>
    <x v="3"/>
    <n v="3.8"/>
    <s v="Yes"/>
    <x v="5"/>
    <s v="Yes"/>
    <n v="39"/>
    <x v="4"/>
    <s v="Every 3 Months"/>
    <n v="0.1"/>
    <n v="24.3"/>
    <n v="27"/>
    <s v="Bank Transfer"/>
    <s v="Normal"/>
    <s v="Good"/>
  </r>
  <r>
    <n v="161"/>
    <n v="27"/>
    <x v="0"/>
    <x v="24"/>
    <x v="3"/>
    <n v="23"/>
    <x v="21"/>
    <x v="2"/>
    <s v="Orange"/>
    <x v="2"/>
    <n v="4.5999999999999996"/>
    <s v="Yes"/>
    <x v="1"/>
    <s v="Yes"/>
    <n v="34"/>
    <x v="0"/>
    <s v="Monthly"/>
    <n v="0.1"/>
    <n v="20.7"/>
    <n v="23"/>
    <s v="Venmo"/>
    <s v="Normal"/>
    <s v="Good"/>
  </r>
  <r>
    <n v="162"/>
    <n v="65"/>
    <x v="0"/>
    <x v="21"/>
    <x v="3"/>
    <n v="49"/>
    <x v="25"/>
    <x v="2"/>
    <s v="Olive"/>
    <x v="3"/>
    <n v="3"/>
    <s v="Yes"/>
    <x v="0"/>
    <s v="Yes"/>
    <n v="29"/>
    <x v="0"/>
    <s v="Fortnightly"/>
    <n v="0.1"/>
    <n v="44.1"/>
    <n v="49"/>
    <s v="Venmo"/>
    <s v="Normal"/>
    <s v="Good"/>
  </r>
  <r>
    <n v="163"/>
    <n v="54"/>
    <x v="0"/>
    <x v="12"/>
    <x v="3"/>
    <n v="74"/>
    <x v="18"/>
    <x v="2"/>
    <s v="Turquoise"/>
    <x v="2"/>
    <n v="3"/>
    <s v="Yes"/>
    <x v="5"/>
    <s v="Yes"/>
    <n v="31"/>
    <x v="3"/>
    <s v="Bi-Weekly"/>
    <n v="0.1"/>
    <n v="66.599999999999994"/>
    <n v="74"/>
    <s v="PayPal"/>
    <s v="Normal"/>
    <s v="Good"/>
  </r>
  <r>
    <n v="164"/>
    <n v="54"/>
    <x v="0"/>
    <x v="11"/>
    <x v="0"/>
    <n v="67"/>
    <x v="41"/>
    <x v="2"/>
    <s v="Purple"/>
    <x v="2"/>
    <n v="3.4"/>
    <s v="Yes"/>
    <x v="3"/>
    <s v="Yes"/>
    <n v="8"/>
    <x v="5"/>
    <s v="Weekly"/>
    <n v="0.1"/>
    <n v="60.3"/>
    <n v="67"/>
    <s v="Debit Card"/>
    <s v="Normal"/>
    <s v="Good"/>
  </r>
  <r>
    <n v="165"/>
    <n v="59"/>
    <x v="0"/>
    <x v="8"/>
    <x v="3"/>
    <n v="65"/>
    <x v="12"/>
    <x v="1"/>
    <s v="Purple"/>
    <x v="1"/>
    <n v="2.6"/>
    <s v="Yes"/>
    <x v="1"/>
    <s v="Yes"/>
    <n v="5"/>
    <x v="2"/>
    <s v="Fortnightly"/>
    <n v="0.1"/>
    <n v="58.5"/>
    <n v="65"/>
    <s v="Credit Card"/>
    <s v="Normal"/>
    <s v="Poor"/>
  </r>
  <r>
    <n v="166"/>
    <n v="42"/>
    <x v="0"/>
    <x v="8"/>
    <x v="3"/>
    <n v="60"/>
    <x v="0"/>
    <x v="1"/>
    <s v="Yellow"/>
    <x v="0"/>
    <n v="2.8"/>
    <s v="Yes"/>
    <x v="5"/>
    <s v="Yes"/>
    <n v="7"/>
    <x v="1"/>
    <s v="Monthly"/>
    <n v="0.1"/>
    <n v="54"/>
    <n v="60"/>
    <s v="Cash"/>
    <s v="Normal"/>
    <s v="Poor"/>
  </r>
  <r>
    <n v="167"/>
    <n v="46"/>
    <x v="0"/>
    <x v="4"/>
    <x v="1"/>
    <n v="31"/>
    <x v="12"/>
    <x v="3"/>
    <s v="Indigo"/>
    <x v="3"/>
    <n v="4"/>
    <s v="Yes"/>
    <x v="5"/>
    <s v="Yes"/>
    <n v="30"/>
    <x v="1"/>
    <s v="Monthly"/>
    <n v="0.1"/>
    <n v="27.9"/>
    <n v="31"/>
    <s v="Cash"/>
    <s v="Normal"/>
    <s v="Good"/>
  </r>
  <r>
    <n v="168"/>
    <n v="33"/>
    <x v="0"/>
    <x v="24"/>
    <x v="3"/>
    <n v="27"/>
    <x v="10"/>
    <x v="2"/>
    <s v="Green"/>
    <x v="3"/>
    <n v="4"/>
    <s v="Yes"/>
    <x v="0"/>
    <s v="Yes"/>
    <n v="14"/>
    <x v="2"/>
    <s v="Every 3 Months"/>
    <n v="0.1"/>
    <n v="24.3"/>
    <n v="27"/>
    <s v="Credit Card"/>
    <s v="Normal"/>
    <s v="Good"/>
  </r>
  <r>
    <n v="169"/>
    <n v="34"/>
    <x v="0"/>
    <x v="9"/>
    <x v="1"/>
    <n v="80"/>
    <x v="7"/>
    <x v="2"/>
    <s v="Magenta"/>
    <x v="2"/>
    <n v="3"/>
    <s v="Yes"/>
    <x v="0"/>
    <s v="Yes"/>
    <n v="5"/>
    <x v="1"/>
    <s v="Fortnightly"/>
    <n v="0.1"/>
    <n v="72"/>
    <n v="80"/>
    <s v="Cash"/>
    <s v="Normal"/>
    <s v="Good"/>
  </r>
  <r>
    <n v="170"/>
    <n v="27"/>
    <x v="0"/>
    <x v="14"/>
    <x v="2"/>
    <n v="30"/>
    <x v="22"/>
    <x v="1"/>
    <s v="Gold"/>
    <x v="2"/>
    <n v="3.3"/>
    <s v="Yes"/>
    <x v="3"/>
    <s v="Yes"/>
    <n v="3"/>
    <x v="3"/>
    <s v="Every 3 Months"/>
    <n v="0.1"/>
    <n v="27"/>
    <n v="30"/>
    <s v="PayPal"/>
    <s v="Normal"/>
    <s v="Good"/>
  </r>
  <r>
    <n v="171"/>
    <n v="52"/>
    <x v="0"/>
    <x v="5"/>
    <x v="0"/>
    <n v="25"/>
    <x v="5"/>
    <x v="2"/>
    <s v="Maroon"/>
    <x v="3"/>
    <n v="2.6"/>
    <s v="Yes"/>
    <x v="5"/>
    <s v="Yes"/>
    <n v="46"/>
    <x v="0"/>
    <s v="Bi-Weekly"/>
    <n v="0.1"/>
    <n v="22.5"/>
    <n v="25"/>
    <s v="Venmo"/>
    <s v="Normal"/>
    <s v="Poor"/>
  </r>
  <r>
    <n v="172"/>
    <n v="29"/>
    <x v="0"/>
    <x v="6"/>
    <x v="0"/>
    <n v="35"/>
    <x v="41"/>
    <x v="2"/>
    <s v="Blue"/>
    <x v="2"/>
    <n v="3.6"/>
    <s v="Yes"/>
    <x v="5"/>
    <s v="Yes"/>
    <n v="4"/>
    <x v="2"/>
    <s v="Weekly"/>
    <n v="0.1"/>
    <n v="31.5"/>
    <n v="35"/>
    <s v="Credit Card"/>
    <s v="Normal"/>
    <s v="Good"/>
  </r>
  <r>
    <n v="173"/>
    <n v="54"/>
    <x v="0"/>
    <x v="16"/>
    <x v="3"/>
    <n v="67"/>
    <x v="43"/>
    <x v="2"/>
    <s v="Violet"/>
    <x v="2"/>
    <n v="3.9"/>
    <s v="Yes"/>
    <x v="2"/>
    <s v="Yes"/>
    <n v="42"/>
    <x v="2"/>
    <s v="Bi-Weekly"/>
    <n v="0.1"/>
    <n v="60.3"/>
    <n v="67"/>
    <s v="Credit Card"/>
    <s v="Normal"/>
    <s v="Good"/>
  </r>
  <r>
    <n v="174"/>
    <n v="25"/>
    <x v="0"/>
    <x v="19"/>
    <x v="3"/>
    <n v="46"/>
    <x v="11"/>
    <x v="2"/>
    <s v="Turquoise"/>
    <x v="3"/>
    <n v="3.4"/>
    <s v="Yes"/>
    <x v="3"/>
    <s v="Yes"/>
    <n v="30"/>
    <x v="1"/>
    <s v="Annually"/>
    <n v="0.1"/>
    <n v="41.4"/>
    <n v="46"/>
    <s v="Cash"/>
    <s v="Normal"/>
    <s v="Good"/>
  </r>
  <r>
    <n v="175"/>
    <n v="41"/>
    <x v="0"/>
    <x v="9"/>
    <x v="1"/>
    <n v="35"/>
    <x v="34"/>
    <x v="0"/>
    <s v="Brown"/>
    <x v="0"/>
    <n v="3.5"/>
    <s v="Yes"/>
    <x v="0"/>
    <s v="Yes"/>
    <n v="37"/>
    <x v="0"/>
    <s v="Annually"/>
    <n v="0.1"/>
    <n v="31.5"/>
    <n v="35"/>
    <s v="Venmo"/>
    <s v="Normal"/>
    <s v="Good"/>
  </r>
  <r>
    <n v="176"/>
    <n v="53"/>
    <x v="0"/>
    <x v="7"/>
    <x v="2"/>
    <n v="86"/>
    <x v="19"/>
    <x v="0"/>
    <s v="Violet"/>
    <x v="3"/>
    <n v="2.8"/>
    <s v="Yes"/>
    <x v="2"/>
    <s v="Yes"/>
    <n v="2"/>
    <x v="4"/>
    <s v="Annually"/>
    <n v="0.1"/>
    <n v="77.400000000000006"/>
    <n v="86"/>
    <s v="Bank Transfer"/>
    <s v="Normal"/>
    <s v="Poor"/>
  </r>
  <r>
    <n v="177"/>
    <n v="53"/>
    <x v="0"/>
    <x v="21"/>
    <x v="3"/>
    <n v="81"/>
    <x v="13"/>
    <x v="0"/>
    <s v="Black"/>
    <x v="1"/>
    <n v="2.7"/>
    <s v="Yes"/>
    <x v="2"/>
    <s v="Yes"/>
    <n v="30"/>
    <x v="2"/>
    <s v="Quarterly"/>
    <n v="0.1"/>
    <n v="72.900000000000006"/>
    <n v="81"/>
    <s v="Credit Card"/>
    <s v="Normal"/>
    <s v="Poor"/>
  </r>
  <r>
    <n v="178"/>
    <n v="21"/>
    <x v="0"/>
    <x v="15"/>
    <x v="0"/>
    <n v="42"/>
    <x v="23"/>
    <x v="0"/>
    <s v="Magenta"/>
    <x v="3"/>
    <n v="3.7"/>
    <s v="Yes"/>
    <x v="2"/>
    <s v="Yes"/>
    <n v="47"/>
    <x v="4"/>
    <s v="Monthly"/>
    <n v="0.1"/>
    <n v="37.799999999999997"/>
    <n v="42"/>
    <s v="Bank Transfer"/>
    <s v="Normal"/>
    <s v="Good"/>
  </r>
  <r>
    <n v="179"/>
    <n v="61"/>
    <x v="0"/>
    <x v="11"/>
    <x v="0"/>
    <n v="43"/>
    <x v="37"/>
    <x v="0"/>
    <s v="Lavender"/>
    <x v="3"/>
    <n v="4.3"/>
    <s v="Yes"/>
    <x v="4"/>
    <s v="Yes"/>
    <n v="21"/>
    <x v="3"/>
    <s v="Quarterly"/>
    <n v="0.1"/>
    <n v="38.700000000000003"/>
    <n v="43"/>
    <s v="PayPal"/>
    <s v="Normal"/>
    <s v="Good"/>
  </r>
  <r>
    <n v="180"/>
    <n v="64"/>
    <x v="0"/>
    <x v="23"/>
    <x v="1"/>
    <n v="31"/>
    <x v="26"/>
    <x v="2"/>
    <s v="Violet"/>
    <x v="3"/>
    <n v="4.9000000000000004"/>
    <s v="Yes"/>
    <x v="5"/>
    <s v="Yes"/>
    <n v="9"/>
    <x v="4"/>
    <s v="Fortnightly"/>
    <n v="0.1"/>
    <n v="27.9"/>
    <n v="31"/>
    <s v="Bank Transfer"/>
    <s v="Normal"/>
    <s v="Good"/>
  </r>
  <r>
    <n v="181"/>
    <n v="51"/>
    <x v="0"/>
    <x v="3"/>
    <x v="1"/>
    <n v="81"/>
    <x v="45"/>
    <x v="0"/>
    <s v="Green"/>
    <x v="3"/>
    <n v="3.3"/>
    <s v="Yes"/>
    <x v="5"/>
    <s v="Yes"/>
    <n v="12"/>
    <x v="5"/>
    <s v="Fortnightly"/>
    <n v="0.1"/>
    <n v="72.900000000000006"/>
    <n v="81"/>
    <s v="Debit Card"/>
    <s v="Normal"/>
    <s v="Good"/>
  </r>
  <r>
    <n v="182"/>
    <n v="32"/>
    <x v="0"/>
    <x v="13"/>
    <x v="0"/>
    <n v="61"/>
    <x v="2"/>
    <x v="2"/>
    <s v="Beige"/>
    <x v="2"/>
    <n v="4.7"/>
    <s v="Yes"/>
    <x v="2"/>
    <s v="Yes"/>
    <n v="4"/>
    <x v="4"/>
    <s v="Weekly"/>
    <n v="0.1"/>
    <n v="54.9"/>
    <n v="61"/>
    <s v="Bank Transfer"/>
    <s v="Normal"/>
    <s v="Good"/>
  </r>
  <r>
    <n v="183"/>
    <n v="38"/>
    <x v="0"/>
    <x v="24"/>
    <x v="3"/>
    <n v="96"/>
    <x v="15"/>
    <x v="3"/>
    <s v="Purple"/>
    <x v="2"/>
    <n v="2.8"/>
    <s v="Yes"/>
    <x v="5"/>
    <s v="Yes"/>
    <n v="10"/>
    <x v="5"/>
    <s v="Annually"/>
    <n v="0.1"/>
    <n v="86.4"/>
    <n v="96"/>
    <s v="Debit Card"/>
    <s v="Normal"/>
    <s v="Poor"/>
  </r>
  <r>
    <n v="184"/>
    <n v="58"/>
    <x v="0"/>
    <x v="11"/>
    <x v="0"/>
    <n v="29"/>
    <x v="31"/>
    <x v="3"/>
    <s v="Beige"/>
    <x v="1"/>
    <n v="3.6"/>
    <s v="Yes"/>
    <x v="4"/>
    <s v="Yes"/>
    <n v="26"/>
    <x v="2"/>
    <s v="Weekly"/>
    <n v="0.1"/>
    <n v="26.1"/>
    <n v="29"/>
    <s v="Credit Card"/>
    <s v="Normal"/>
    <s v="Good"/>
  </r>
  <r>
    <n v="185"/>
    <n v="32"/>
    <x v="0"/>
    <x v="4"/>
    <x v="1"/>
    <n v="33"/>
    <x v="11"/>
    <x v="0"/>
    <s v="Cyan"/>
    <x v="1"/>
    <n v="3"/>
    <s v="Yes"/>
    <x v="0"/>
    <s v="Yes"/>
    <n v="40"/>
    <x v="1"/>
    <s v="Fortnightly"/>
    <n v="0.1"/>
    <n v="29.7"/>
    <n v="33"/>
    <s v="Cash"/>
    <s v="Normal"/>
    <s v="Good"/>
  </r>
  <r>
    <n v="186"/>
    <n v="46"/>
    <x v="0"/>
    <x v="17"/>
    <x v="0"/>
    <n v="32"/>
    <x v="48"/>
    <x v="3"/>
    <s v="Silver"/>
    <x v="2"/>
    <n v="4.5"/>
    <s v="Yes"/>
    <x v="5"/>
    <s v="Yes"/>
    <n v="34"/>
    <x v="4"/>
    <s v="Fortnightly"/>
    <n v="0.1"/>
    <n v="28.8"/>
    <n v="32"/>
    <s v="Bank Transfer"/>
    <s v="Normal"/>
    <s v="Good"/>
  </r>
  <r>
    <n v="187"/>
    <n v="39"/>
    <x v="0"/>
    <x v="21"/>
    <x v="3"/>
    <n v="56"/>
    <x v="46"/>
    <x v="1"/>
    <s v="Lavender"/>
    <x v="2"/>
    <n v="2.9"/>
    <s v="Yes"/>
    <x v="3"/>
    <s v="Yes"/>
    <n v="31"/>
    <x v="5"/>
    <s v="Annually"/>
    <n v="0.1"/>
    <n v="50.4"/>
    <n v="56"/>
    <s v="Debit Card"/>
    <s v="Normal"/>
    <s v="Poor"/>
  </r>
  <r>
    <n v="188"/>
    <n v="19"/>
    <x v="0"/>
    <x v="9"/>
    <x v="1"/>
    <n v="94"/>
    <x v="42"/>
    <x v="1"/>
    <s v="Purple"/>
    <x v="1"/>
    <n v="3.3"/>
    <s v="Yes"/>
    <x v="5"/>
    <s v="Yes"/>
    <n v="1"/>
    <x v="4"/>
    <s v="Bi-Weekly"/>
    <n v="0.1"/>
    <n v="84.6"/>
    <n v="94"/>
    <s v="Bank Transfer"/>
    <s v="Normal"/>
    <s v="Good"/>
  </r>
  <r>
    <n v="189"/>
    <n v="50"/>
    <x v="0"/>
    <x v="15"/>
    <x v="0"/>
    <n v="53"/>
    <x v="10"/>
    <x v="2"/>
    <s v="Pink"/>
    <x v="1"/>
    <n v="3.1"/>
    <s v="Yes"/>
    <x v="0"/>
    <s v="Yes"/>
    <n v="5"/>
    <x v="4"/>
    <s v="Bi-Weekly"/>
    <n v="0.1"/>
    <n v="47.7"/>
    <n v="53"/>
    <s v="Bank Transfer"/>
    <s v="Normal"/>
    <s v="Good"/>
  </r>
  <r>
    <n v="190"/>
    <n v="36"/>
    <x v="0"/>
    <x v="0"/>
    <x v="0"/>
    <n v="82"/>
    <x v="8"/>
    <x v="2"/>
    <s v="Maroon"/>
    <x v="3"/>
    <n v="4.4000000000000004"/>
    <s v="Yes"/>
    <x v="2"/>
    <s v="Yes"/>
    <n v="4"/>
    <x v="2"/>
    <s v="Weekly"/>
    <n v="0.1"/>
    <n v="73.8"/>
    <n v="82"/>
    <s v="Credit Card"/>
    <s v="Normal"/>
    <s v="Good"/>
  </r>
  <r>
    <n v="191"/>
    <n v="65"/>
    <x v="0"/>
    <x v="7"/>
    <x v="2"/>
    <n v="70"/>
    <x v="27"/>
    <x v="3"/>
    <s v="Beige"/>
    <x v="3"/>
    <n v="3"/>
    <s v="Yes"/>
    <x v="1"/>
    <s v="Yes"/>
    <n v="48"/>
    <x v="0"/>
    <s v="Quarterly"/>
    <n v="0.1"/>
    <n v="63"/>
    <n v="70"/>
    <s v="Venmo"/>
    <s v="Normal"/>
    <s v="Good"/>
  </r>
  <r>
    <n v="192"/>
    <n v="64"/>
    <x v="0"/>
    <x v="19"/>
    <x v="3"/>
    <n v="76"/>
    <x v="40"/>
    <x v="2"/>
    <s v="Gray"/>
    <x v="3"/>
    <n v="3.9"/>
    <s v="Yes"/>
    <x v="1"/>
    <s v="Yes"/>
    <n v="29"/>
    <x v="1"/>
    <s v="Every 3 Months"/>
    <n v="0.1"/>
    <n v="68.400000000000006"/>
    <n v="76"/>
    <s v="Cash"/>
    <s v="Normal"/>
    <s v="Good"/>
  </r>
  <r>
    <n v="193"/>
    <n v="46"/>
    <x v="0"/>
    <x v="9"/>
    <x v="1"/>
    <n v="29"/>
    <x v="43"/>
    <x v="0"/>
    <s v="Turquoise"/>
    <x v="2"/>
    <n v="2.9"/>
    <s v="Yes"/>
    <x v="0"/>
    <s v="Yes"/>
    <n v="12"/>
    <x v="3"/>
    <s v="Bi-Weekly"/>
    <n v="0.1"/>
    <n v="26.1"/>
    <n v="29"/>
    <s v="PayPal"/>
    <s v="Normal"/>
    <s v="Poor"/>
  </r>
  <r>
    <n v="194"/>
    <n v="36"/>
    <x v="0"/>
    <x v="22"/>
    <x v="3"/>
    <n v="100"/>
    <x v="25"/>
    <x v="1"/>
    <s v="Silver"/>
    <x v="3"/>
    <n v="3"/>
    <s v="Yes"/>
    <x v="3"/>
    <s v="Yes"/>
    <n v="29"/>
    <x v="0"/>
    <s v="Annually"/>
    <n v="0.1"/>
    <n v="90"/>
    <n v="100"/>
    <s v="Venmo"/>
    <s v="Normal"/>
    <s v="Good"/>
  </r>
  <r>
    <n v="195"/>
    <n v="51"/>
    <x v="0"/>
    <x v="21"/>
    <x v="3"/>
    <n v="94"/>
    <x v="9"/>
    <x v="2"/>
    <s v="Olive"/>
    <x v="1"/>
    <n v="3.1"/>
    <s v="Yes"/>
    <x v="0"/>
    <s v="Yes"/>
    <n v="15"/>
    <x v="5"/>
    <s v="Quarterly"/>
    <n v="0.1"/>
    <n v="84.6"/>
    <n v="94"/>
    <s v="Debit Card"/>
    <s v="Normal"/>
    <s v="Good"/>
  </r>
  <r>
    <n v="196"/>
    <n v="51"/>
    <x v="0"/>
    <x v="14"/>
    <x v="2"/>
    <n v="25"/>
    <x v="14"/>
    <x v="2"/>
    <s v="Magenta"/>
    <x v="3"/>
    <n v="4.3"/>
    <s v="Yes"/>
    <x v="1"/>
    <s v="Yes"/>
    <n v="34"/>
    <x v="2"/>
    <s v="Monthly"/>
    <n v="0.1"/>
    <n v="22.5"/>
    <n v="25"/>
    <s v="Credit Card"/>
    <s v="Normal"/>
    <s v="Good"/>
  </r>
  <r>
    <n v="197"/>
    <n v="38"/>
    <x v="0"/>
    <x v="23"/>
    <x v="1"/>
    <n v="88"/>
    <x v="47"/>
    <x v="2"/>
    <s v="Lavender"/>
    <x v="2"/>
    <n v="3.9"/>
    <s v="Yes"/>
    <x v="2"/>
    <s v="Yes"/>
    <n v="41"/>
    <x v="2"/>
    <s v="Fortnightly"/>
    <n v="0.1"/>
    <n v="79.2"/>
    <n v="88"/>
    <s v="Credit Card"/>
    <s v="Normal"/>
    <s v="Good"/>
  </r>
  <r>
    <n v="198"/>
    <n v="59"/>
    <x v="0"/>
    <x v="18"/>
    <x v="3"/>
    <n v="78"/>
    <x v="36"/>
    <x v="2"/>
    <s v="Black"/>
    <x v="3"/>
    <n v="3.2"/>
    <s v="Yes"/>
    <x v="4"/>
    <s v="Yes"/>
    <n v="41"/>
    <x v="2"/>
    <s v="Monthly"/>
    <n v="0.1"/>
    <n v="70.2"/>
    <n v="78"/>
    <s v="Credit Card"/>
    <s v="Normal"/>
    <s v="Good"/>
  </r>
  <r>
    <n v="199"/>
    <n v="57"/>
    <x v="0"/>
    <x v="16"/>
    <x v="3"/>
    <n v="45"/>
    <x v="40"/>
    <x v="2"/>
    <s v="Turquoise"/>
    <x v="0"/>
    <n v="4.8"/>
    <s v="Yes"/>
    <x v="3"/>
    <s v="Yes"/>
    <n v="39"/>
    <x v="2"/>
    <s v="Fortnightly"/>
    <n v="0.1"/>
    <n v="40.5"/>
    <n v="45"/>
    <s v="Credit Card"/>
    <s v="Normal"/>
    <s v="Good"/>
  </r>
  <r>
    <n v="200"/>
    <n v="54"/>
    <x v="0"/>
    <x v="19"/>
    <x v="3"/>
    <n v="73"/>
    <x v="37"/>
    <x v="3"/>
    <s v="Green"/>
    <x v="2"/>
    <n v="3.8"/>
    <s v="Yes"/>
    <x v="0"/>
    <s v="Yes"/>
    <n v="32"/>
    <x v="1"/>
    <s v="Weekly"/>
    <n v="0.1"/>
    <n v="65.7"/>
    <n v="73"/>
    <s v="Cash"/>
    <s v="Normal"/>
    <s v="Good"/>
  </r>
  <r>
    <n v="201"/>
    <n v="25"/>
    <x v="0"/>
    <x v="10"/>
    <x v="0"/>
    <n v="61"/>
    <x v="38"/>
    <x v="1"/>
    <s v="Teal"/>
    <x v="2"/>
    <n v="3.3"/>
    <s v="Yes"/>
    <x v="2"/>
    <s v="Yes"/>
    <n v="29"/>
    <x v="0"/>
    <s v="Monthly"/>
    <n v="0.1"/>
    <n v="54.9"/>
    <n v="61"/>
    <s v="Venmo"/>
    <s v="Normal"/>
    <s v="Good"/>
  </r>
  <r>
    <n v="202"/>
    <n v="69"/>
    <x v="0"/>
    <x v="0"/>
    <x v="0"/>
    <n v="22"/>
    <x v="9"/>
    <x v="1"/>
    <s v="Beige"/>
    <x v="3"/>
    <n v="4.3"/>
    <s v="Yes"/>
    <x v="1"/>
    <s v="Yes"/>
    <n v="15"/>
    <x v="4"/>
    <s v="Annually"/>
    <n v="0.1"/>
    <n v="19.8"/>
    <n v="22"/>
    <s v="Bank Transfer"/>
    <s v="Normal"/>
    <s v="Good"/>
  </r>
  <r>
    <n v="203"/>
    <n v="57"/>
    <x v="0"/>
    <x v="19"/>
    <x v="3"/>
    <n v="38"/>
    <x v="43"/>
    <x v="0"/>
    <s v="Magenta"/>
    <x v="1"/>
    <n v="2.7"/>
    <s v="Yes"/>
    <x v="0"/>
    <s v="Yes"/>
    <n v="33"/>
    <x v="0"/>
    <s v="Annually"/>
    <n v="0.1"/>
    <n v="34.200000000000003"/>
    <n v="38"/>
    <s v="Venmo"/>
    <s v="Normal"/>
    <s v="Poor"/>
  </r>
  <r>
    <n v="204"/>
    <n v="70"/>
    <x v="0"/>
    <x v="18"/>
    <x v="3"/>
    <n v="38"/>
    <x v="27"/>
    <x v="1"/>
    <s v="Yellow"/>
    <x v="3"/>
    <n v="3.2"/>
    <s v="Yes"/>
    <x v="2"/>
    <s v="Yes"/>
    <n v="18"/>
    <x v="4"/>
    <s v="Weekly"/>
    <n v="0.1"/>
    <n v="34.200000000000003"/>
    <n v="38"/>
    <s v="Bank Transfer"/>
    <s v="Normal"/>
    <s v="Good"/>
  </r>
  <r>
    <n v="205"/>
    <n v="24"/>
    <x v="0"/>
    <x v="4"/>
    <x v="1"/>
    <n v="100"/>
    <x v="28"/>
    <x v="2"/>
    <s v="Yellow"/>
    <x v="3"/>
    <n v="4"/>
    <s v="Yes"/>
    <x v="5"/>
    <s v="Yes"/>
    <n v="35"/>
    <x v="1"/>
    <s v="Bi-Weekly"/>
    <n v="0.1"/>
    <n v="90"/>
    <n v="100"/>
    <s v="Cash"/>
    <s v="Normal"/>
    <s v="Good"/>
  </r>
  <r>
    <n v="206"/>
    <n v="67"/>
    <x v="0"/>
    <x v="5"/>
    <x v="0"/>
    <n v="64"/>
    <x v="11"/>
    <x v="2"/>
    <s v="Silver"/>
    <x v="0"/>
    <n v="3"/>
    <s v="Yes"/>
    <x v="3"/>
    <s v="Yes"/>
    <n v="25"/>
    <x v="3"/>
    <s v="Weekly"/>
    <n v="0.1"/>
    <n v="57.6"/>
    <n v="64"/>
    <s v="PayPal"/>
    <s v="Normal"/>
    <s v="Good"/>
  </r>
  <r>
    <n v="207"/>
    <n v="24"/>
    <x v="0"/>
    <x v="17"/>
    <x v="0"/>
    <n v="55"/>
    <x v="48"/>
    <x v="0"/>
    <s v="Silver"/>
    <x v="2"/>
    <n v="4.2"/>
    <s v="Yes"/>
    <x v="1"/>
    <s v="Yes"/>
    <n v="6"/>
    <x v="0"/>
    <s v="Fortnightly"/>
    <n v="0.1"/>
    <n v="49.5"/>
    <n v="55"/>
    <s v="Venmo"/>
    <s v="Normal"/>
    <s v="Good"/>
  </r>
  <r>
    <n v="208"/>
    <n v="62"/>
    <x v="0"/>
    <x v="24"/>
    <x v="3"/>
    <n v="91"/>
    <x v="3"/>
    <x v="2"/>
    <s v="Silver"/>
    <x v="2"/>
    <n v="2.9"/>
    <s v="Yes"/>
    <x v="0"/>
    <s v="Yes"/>
    <n v="17"/>
    <x v="4"/>
    <s v="Bi-Weekly"/>
    <n v="0.1"/>
    <n v="81.900000000000006"/>
    <n v="91"/>
    <s v="Bank Transfer"/>
    <s v="Normal"/>
    <s v="Poor"/>
  </r>
  <r>
    <n v="209"/>
    <n v="57"/>
    <x v="0"/>
    <x v="11"/>
    <x v="0"/>
    <n v="38"/>
    <x v="48"/>
    <x v="2"/>
    <s v="Gold"/>
    <x v="1"/>
    <n v="4.0999999999999996"/>
    <s v="Yes"/>
    <x v="5"/>
    <s v="Yes"/>
    <n v="17"/>
    <x v="2"/>
    <s v="Monthly"/>
    <n v="0.1"/>
    <n v="34.200000000000003"/>
    <n v="38"/>
    <s v="Credit Card"/>
    <s v="Normal"/>
    <s v="Good"/>
  </r>
  <r>
    <n v="210"/>
    <n v="55"/>
    <x v="0"/>
    <x v="3"/>
    <x v="1"/>
    <n v="97"/>
    <x v="46"/>
    <x v="1"/>
    <s v="Olive"/>
    <x v="0"/>
    <n v="3.2"/>
    <s v="Yes"/>
    <x v="5"/>
    <s v="Yes"/>
    <n v="44"/>
    <x v="1"/>
    <s v="Every 3 Months"/>
    <n v="0.1"/>
    <n v="87.3"/>
    <n v="97"/>
    <s v="Cash"/>
    <s v="Normal"/>
    <s v="Good"/>
  </r>
  <r>
    <n v="211"/>
    <n v="45"/>
    <x v="0"/>
    <x v="14"/>
    <x v="2"/>
    <n v="22"/>
    <x v="34"/>
    <x v="0"/>
    <s v="Teal"/>
    <x v="3"/>
    <n v="3"/>
    <s v="Yes"/>
    <x v="4"/>
    <s v="Yes"/>
    <n v="6"/>
    <x v="3"/>
    <s v="Fortnightly"/>
    <n v="0.1"/>
    <n v="19.8"/>
    <n v="22"/>
    <s v="PayPal"/>
    <s v="Normal"/>
    <s v="Good"/>
  </r>
  <r>
    <n v="212"/>
    <n v="69"/>
    <x v="0"/>
    <x v="11"/>
    <x v="0"/>
    <n v="92"/>
    <x v="45"/>
    <x v="0"/>
    <s v="Maroon"/>
    <x v="3"/>
    <n v="4.2"/>
    <s v="Yes"/>
    <x v="4"/>
    <s v="Yes"/>
    <n v="45"/>
    <x v="5"/>
    <s v="Fortnightly"/>
    <n v="0.1"/>
    <n v="82.8"/>
    <n v="92"/>
    <s v="Debit Card"/>
    <s v="Normal"/>
    <s v="Good"/>
  </r>
  <r>
    <n v="213"/>
    <n v="67"/>
    <x v="0"/>
    <x v="8"/>
    <x v="3"/>
    <n v="84"/>
    <x v="41"/>
    <x v="0"/>
    <s v="Blue"/>
    <x v="3"/>
    <n v="4.2"/>
    <s v="Yes"/>
    <x v="0"/>
    <s v="Yes"/>
    <n v="7"/>
    <x v="5"/>
    <s v="Annually"/>
    <n v="0.1"/>
    <n v="75.599999999999994"/>
    <n v="84"/>
    <s v="Debit Card"/>
    <s v="Normal"/>
    <s v="Good"/>
  </r>
  <r>
    <n v="214"/>
    <n v="30"/>
    <x v="0"/>
    <x v="8"/>
    <x v="3"/>
    <n v="93"/>
    <x v="22"/>
    <x v="0"/>
    <s v="Peach"/>
    <x v="3"/>
    <n v="4.4000000000000004"/>
    <s v="Yes"/>
    <x v="5"/>
    <s v="Yes"/>
    <n v="11"/>
    <x v="5"/>
    <s v="Every 3 Months"/>
    <n v="0.1"/>
    <n v="83.7"/>
    <n v="93"/>
    <s v="Debit Card"/>
    <s v="Normal"/>
    <s v="Good"/>
  </r>
  <r>
    <n v="215"/>
    <n v="24"/>
    <x v="0"/>
    <x v="14"/>
    <x v="2"/>
    <n v="50"/>
    <x v="11"/>
    <x v="0"/>
    <s v="Blue"/>
    <x v="2"/>
    <n v="4.2"/>
    <s v="Yes"/>
    <x v="2"/>
    <s v="Yes"/>
    <n v="41"/>
    <x v="1"/>
    <s v="Every 3 Months"/>
    <n v="0.1"/>
    <n v="45"/>
    <n v="50"/>
    <s v="Cash"/>
    <s v="Normal"/>
    <s v="Good"/>
  </r>
  <r>
    <n v="216"/>
    <n v="62"/>
    <x v="0"/>
    <x v="18"/>
    <x v="3"/>
    <n v="64"/>
    <x v="32"/>
    <x v="1"/>
    <s v="Orange"/>
    <x v="1"/>
    <n v="2.8"/>
    <s v="Yes"/>
    <x v="4"/>
    <s v="Yes"/>
    <n v="24"/>
    <x v="3"/>
    <s v="Bi-Weekly"/>
    <n v="0.1"/>
    <n v="57.6"/>
    <n v="64"/>
    <s v="PayPal"/>
    <s v="Normal"/>
    <s v="Poor"/>
  </r>
  <r>
    <n v="217"/>
    <n v="43"/>
    <x v="0"/>
    <x v="6"/>
    <x v="0"/>
    <n v="61"/>
    <x v="2"/>
    <x v="0"/>
    <s v="Yellow"/>
    <x v="1"/>
    <n v="3.7"/>
    <s v="Yes"/>
    <x v="1"/>
    <s v="Yes"/>
    <n v="21"/>
    <x v="0"/>
    <s v="Weekly"/>
    <n v="0.1"/>
    <n v="54.9"/>
    <n v="61"/>
    <s v="Venmo"/>
    <s v="Normal"/>
    <s v="Good"/>
  </r>
  <r>
    <n v="218"/>
    <n v="35"/>
    <x v="0"/>
    <x v="12"/>
    <x v="3"/>
    <n v="48"/>
    <x v="19"/>
    <x v="2"/>
    <s v="Purple"/>
    <x v="0"/>
    <n v="3.5"/>
    <s v="Yes"/>
    <x v="2"/>
    <s v="Yes"/>
    <n v="24"/>
    <x v="4"/>
    <s v="Annually"/>
    <n v="0.1"/>
    <n v="43.2"/>
    <n v="48"/>
    <s v="Bank Transfer"/>
    <s v="Normal"/>
    <s v="Good"/>
  </r>
  <r>
    <n v="219"/>
    <n v="28"/>
    <x v="0"/>
    <x v="17"/>
    <x v="0"/>
    <n v="45"/>
    <x v="18"/>
    <x v="1"/>
    <s v="Magenta"/>
    <x v="1"/>
    <n v="2.9"/>
    <s v="Yes"/>
    <x v="5"/>
    <s v="Yes"/>
    <n v="8"/>
    <x v="2"/>
    <s v="Quarterly"/>
    <n v="0.1"/>
    <n v="40.5"/>
    <n v="45"/>
    <s v="Credit Card"/>
    <s v="Normal"/>
    <s v="Poor"/>
  </r>
  <r>
    <n v="220"/>
    <n v="32"/>
    <x v="0"/>
    <x v="22"/>
    <x v="3"/>
    <n v="88"/>
    <x v="22"/>
    <x v="2"/>
    <s v="Cyan"/>
    <x v="1"/>
    <n v="3"/>
    <s v="Yes"/>
    <x v="1"/>
    <s v="Yes"/>
    <n v="12"/>
    <x v="1"/>
    <s v="Fortnightly"/>
    <n v="0.1"/>
    <n v="79.2"/>
    <n v="88"/>
    <s v="Cash"/>
    <s v="Normal"/>
    <s v="Good"/>
  </r>
  <r>
    <n v="221"/>
    <n v="39"/>
    <x v="0"/>
    <x v="4"/>
    <x v="1"/>
    <n v="57"/>
    <x v="28"/>
    <x v="1"/>
    <s v="Indigo"/>
    <x v="1"/>
    <n v="3.7"/>
    <s v="Yes"/>
    <x v="0"/>
    <s v="Yes"/>
    <n v="48"/>
    <x v="5"/>
    <s v="Fortnightly"/>
    <n v="0.1"/>
    <n v="51.3"/>
    <n v="57"/>
    <s v="Debit Card"/>
    <s v="Normal"/>
    <s v="Good"/>
  </r>
  <r>
    <n v="222"/>
    <n v="28"/>
    <x v="0"/>
    <x v="19"/>
    <x v="3"/>
    <n v="68"/>
    <x v="17"/>
    <x v="3"/>
    <s v="Magenta"/>
    <x v="2"/>
    <n v="4.4000000000000004"/>
    <s v="Yes"/>
    <x v="5"/>
    <s v="Yes"/>
    <n v="6"/>
    <x v="4"/>
    <s v="Quarterly"/>
    <n v="0.1"/>
    <n v="61.2"/>
    <n v="68"/>
    <s v="Bank Transfer"/>
    <s v="Normal"/>
    <s v="Good"/>
  </r>
  <r>
    <n v="223"/>
    <n v="47"/>
    <x v="0"/>
    <x v="24"/>
    <x v="3"/>
    <n v="94"/>
    <x v="14"/>
    <x v="3"/>
    <s v="Gray"/>
    <x v="1"/>
    <n v="4.5"/>
    <s v="Yes"/>
    <x v="4"/>
    <s v="Yes"/>
    <n v="14"/>
    <x v="3"/>
    <s v="Fortnightly"/>
    <n v="0.1"/>
    <n v="84.6"/>
    <n v="94"/>
    <s v="PayPal"/>
    <s v="Normal"/>
    <s v="Good"/>
  </r>
  <r>
    <n v="224"/>
    <n v="20"/>
    <x v="0"/>
    <x v="13"/>
    <x v="0"/>
    <n v="41"/>
    <x v="5"/>
    <x v="2"/>
    <s v="Turquoise"/>
    <x v="1"/>
    <n v="4.8"/>
    <s v="Yes"/>
    <x v="1"/>
    <s v="Yes"/>
    <n v="34"/>
    <x v="3"/>
    <s v="Annually"/>
    <n v="0.1"/>
    <n v="36.9"/>
    <n v="41"/>
    <s v="PayPal"/>
    <s v="Normal"/>
    <s v="Good"/>
  </r>
  <r>
    <n v="225"/>
    <n v="63"/>
    <x v="0"/>
    <x v="20"/>
    <x v="0"/>
    <n v="83"/>
    <x v="45"/>
    <x v="1"/>
    <s v="Beige"/>
    <x v="2"/>
    <n v="2.9"/>
    <s v="Yes"/>
    <x v="1"/>
    <s v="Yes"/>
    <n v="12"/>
    <x v="1"/>
    <s v="Every 3 Months"/>
    <n v="0.1"/>
    <n v="74.7"/>
    <n v="83"/>
    <s v="Cash"/>
    <s v="Normal"/>
    <s v="Poor"/>
  </r>
  <r>
    <n v="226"/>
    <n v="25"/>
    <x v="0"/>
    <x v="14"/>
    <x v="2"/>
    <n v="22"/>
    <x v="10"/>
    <x v="2"/>
    <s v="Olive"/>
    <x v="1"/>
    <n v="3.2"/>
    <s v="Yes"/>
    <x v="2"/>
    <s v="Yes"/>
    <n v="11"/>
    <x v="4"/>
    <s v="Annually"/>
    <n v="0.1"/>
    <n v="19.8"/>
    <n v="22"/>
    <s v="Bank Transfer"/>
    <s v="Normal"/>
    <s v="Good"/>
  </r>
  <r>
    <n v="227"/>
    <n v="29"/>
    <x v="0"/>
    <x v="9"/>
    <x v="1"/>
    <n v="74"/>
    <x v="21"/>
    <x v="0"/>
    <s v="Violet"/>
    <x v="1"/>
    <n v="3.3"/>
    <s v="Yes"/>
    <x v="1"/>
    <s v="Yes"/>
    <n v="5"/>
    <x v="3"/>
    <s v="Monthly"/>
    <n v="0.1"/>
    <n v="66.599999999999994"/>
    <n v="74"/>
    <s v="PayPal"/>
    <s v="Normal"/>
    <s v="Good"/>
  </r>
  <r>
    <n v="228"/>
    <n v="50"/>
    <x v="0"/>
    <x v="2"/>
    <x v="0"/>
    <n v="90"/>
    <x v="3"/>
    <x v="2"/>
    <s v="Turquoise"/>
    <x v="0"/>
    <n v="4.2"/>
    <s v="Yes"/>
    <x v="3"/>
    <s v="Yes"/>
    <n v="25"/>
    <x v="0"/>
    <s v="Fortnightly"/>
    <n v="0.1"/>
    <n v="81"/>
    <n v="90"/>
    <s v="Venmo"/>
    <s v="Normal"/>
    <s v="Good"/>
  </r>
  <r>
    <n v="229"/>
    <n v="18"/>
    <x v="0"/>
    <x v="20"/>
    <x v="0"/>
    <n v="79"/>
    <x v="13"/>
    <x v="2"/>
    <s v="White"/>
    <x v="1"/>
    <n v="2.9"/>
    <s v="Yes"/>
    <x v="5"/>
    <s v="Yes"/>
    <n v="11"/>
    <x v="2"/>
    <s v="Annually"/>
    <n v="0.1"/>
    <n v="71.099999999999994"/>
    <n v="79"/>
    <s v="Credit Card"/>
    <s v="Normal"/>
    <s v="Poor"/>
  </r>
  <r>
    <n v="230"/>
    <n v="70"/>
    <x v="0"/>
    <x v="3"/>
    <x v="1"/>
    <n v="28"/>
    <x v="31"/>
    <x v="1"/>
    <s v="Silver"/>
    <x v="1"/>
    <n v="4.5999999999999996"/>
    <s v="Yes"/>
    <x v="2"/>
    <s v="Yes"/>
    <n v="27"/>
    <x v="3"/>
    <s v="Every 3 Months"/>
    <n v="0.1"/>
    <n v="25.2"/>
    <n v="28"/>
    <s v="PayPal"/>
    <s v="Normal"/>
    <s v="Good"/>
  </r>
  <r>
    <n v="231"/>
    <n v="66"/>
    <x v="0"/>
    <x v="18"/>
    <x v="3"/>
    <n v="88"/>
    <x v="40"/>
    <x v="0"/>
    <s v="Olive"/>
    <x v="3"/>
    <n v="4.0999999999999996"/>
    <s v="Yes"/>
    <x v="3"/>
    <s v="Yes"/>
    <n v="43"/>
    <x v="2"/>
    <s v="Annually"/>
    <n v="0.1"/>
    <n v="79.2"/>
    <n v="88"/>
    <s v="Credit Card"/>
    <s v="Normal"/>
    <s v="Good"/>
  </r>
  <r>
    <n v="232"/>
    <n v="28"/>
    <x v="0"/>
    <x v="0"/>
    <x v="0"/>
    <n v="26"/>
    <x v="30"/>
    <x v="2"/>
    <s v="Blue"/>
    <x v="1"/>
    <n v="3.1"/>
    <s v="Yes"/>
    <x v="4"/>
    <s v="Yes"/>
    <n v="18"/>
    <x v="5"/>
    <s v="Every 3 Months"/>
    <n v="0.1"/>
    <n v="23.4"/>
    <n v="26"/>
    <s v="Debit Card"/>
    <s v="Normal"/>
    <s v="Good"/>
  </r>
  <r>
    <n v="233"/>
    <n v="54"/>
    <x v="0"/>
    <x v="16"/>
    <x v="3"/>
    <n v="27"/>
    <x v="11"/>
    <x v="0"/>
    <s v="Purple"/>
    <x v="0"/>
    <n v="4.2"/>
    <s v="Yes"/>
    <x v="0"/>
    <s v="Yes"/>
    <n v="32"/>
    <x v="4"/>
    <s v="Bi-Weekly"/>
    <n v="0.1"/>
    <n v="24.3"/>
    <n v="27"/>
    <s v="Bank Transfer"/>
    <s v="Normal"/>
    <s v="Good"/>
  </r>
  <r>
    <n v="234"/>
    <n v="19"/>
    <x v="0"/>
    <x v="1"/>
    <x v="0"/>
    <n v="83"/>
    <x v="28"/>
    <x v="3"/>
    <s v="Yellow"/>
    <x v="3"/>
    <n v="4.5"/>
    <s v="Yes"/>
    <x v="2"/>
    <s v="Yes"/>
    <n v="27"/>
    <x v="4"/>
    <s v="Every 3 Months"/>
    <n v="0.1"/>
    <n v="74.7"/>
    <n v="83"/>
    <s v="Bank Transfer"/>
    <s v="Normal"/>
    <s v="Good"/>
  </r>
  <r>
    <n v="235"/>
    <n v="20"/>
    <x v="0"/>
    <x v="24"/>
    <x v="3"/>
    <n v="39"/>
    <x v="45"/>
    <x v="1"/>
    <s v="Silver"/>
    <x v="2"/>
    <n v="3.7"/>
    <s v="Yes"/>
    <x v="2"/>
    <s v="Yes"/>
    <n v="24"/>
    <x v="2"/>
    <s v="Weekly"/>
    <n v="0.1"/>
    <n v="35.1"/>
    <n v="39"/>
    <s v="Credit Card"/>
    <s v="Normal"/>
    <s v="Good"/>
  </r>
  <r>
    <n v="236"/>
    <n v="43"/>
    <x v="0"/>
    <x v="12"/>
    <x v="3"/>
    <n v="89"/>
    <x v="32"/>
    <x v="2"/>
    <s v="Cyan"/>
    <x v="0"/>
    <n v="3.7"/>
    <s v="Yes"/>
    <x v="1"/>
    <s v="Yes"/>
    <n v="31"/>
    <x v="5"/>
    <s v="Quarterly"/>
    <n v="0.1"/>
    <n v="80.099999999999994"/>
    <n v="89"/>
    <s v="Debit Card"/>
    <s v="Normal"/>
    <s v="Good"/>
  </r>
  <r>
    <n v="237"/>
    <n v="38"/>
    <x v="0"/>
    <x v="7"/>
    <x v="2"/>
    <n v="68"/>
    <x v="25"/>
    <x v="0"/>
    <s v="Green"/>
    <x v="0"/>
    <n v="3.4"/>
    <s v="Yes"/>
    <x v="2"/>
    <s v="Yes"/>
    <n v="39"/>
    <x v="3"/>
    <s v="Fortnightly"/>
    <n v="0.1"/>
    <n v="61.2"/>
    <n v="68"/>
    <s v="PayPal"/>
    <s v="Normal"/>
    <s v="Good"/>
  </r>
  <r>
    <n v="238"/>
    <n v="50"/>
    <x v="0"/>
    <x v="10"/>
    <x v="0"/>
    <n v="90"/>
    <x v="44"/>
    <x v="2"/>
    <s v="Beige"/>
    <x v="2"/>
    <n v="3"/>
    <s v="Yes"/>
    <x v="5"/>
    <s v="Yes"/>
    <n v="36"/>
    <x v="5"/>
    <s v="Fortnightly"/>
    <n v="0.1"/>
    <n v="81"/>
    <n v="90"/>
    <s v="Debit Card"/>
    <s v="Normal"/>
    <s v="Good"/>
  </r>
  <r>
    <n v="239"/>
    <n v="64"/>
    <x v="0"/>
    <x v="11"/>
    <x v="0"/>
    <n v="34"/>
    <x v="31"/>
    <x v="2"/>
    <s v="Peach"/>
    <x v="3"/>
    <n v="4.2"/>
    <s v="Yes"/>
    <x v="1"/>
    <s v="Yes"/>
    <n v="5"/>
    <x v="1"/>
    <s v="Annually"/>
    <n v="0.1"/>
    <n v="30.6"/>
    <n v="34"/>
    <s v="Cash"/>
    <s v="Normal"/>
    <s v="Good"/>
  </r>
  <r>
    <n v="240"/>
    <n v="49"/>
    <x v="0"/>
    <x v="13"/>
    <x v="0"/>
    <n v="51"/>
    <x v="34"/>
    <x v="0"/>
    <s v="Yellow"/>
    <x v="2"/>
    <n v="2.9"/>
    <s v="Yes"/>
    <x v="0"/>
    <s v="Yes"/>
    <n v="47"/>
    <x v="2"/>
    <s v="Bi-Weekly"/>
    <n v="0.1"/>
    <n v="45.9"/>
    <n v="51"/>
    <s v="Credit Card"/>
    <s v="Normal"/>
    <s v="Poor"/>
  </r>
  <r>
    <n v="241"/>
    <n v="47"/>
    <x v="0"/>
    <x v="1"/>
    <x v="0"/>
    <n v="45"/>
    <x v="6"/>
    <x v="3"/>
    <s v="Turquoise"/>
    <x v="0"/>
    <n v="3.5"/>
    <s v="Yes"/>
    <x v="1"/>
    <s v="Yes"/>
    <n v="29"/>
    <x v="4"/>
    <s v="Fortnightly"/>
    <n v="0.1"/>
    <n v="40.5"/>
    <n v="45"/>
    <s v="Bank Transfer"/>
    <s v="Normal"/>
    <s v="Good"/>
  </r>
  <r>
    <n v="242"/>
    <n v="36"/>
    <x v="0"/>
    <x v="15"/>
    <x v="0"/>
    <n v="88"/>
    <x v="12"/>
    <x v="2"/>
    <s v="Peach"/>
    <x v="0"/>
    <n v="4.0999999999999996"/>
    <s v="Yes"/>
    <x v="1"/>
    <s v="Yes"/>
    <n v="43"/>
    <x v="0"/>
    <s v="Bi-Weekly"/>
    <n v="0.1"/>
    <n v="79.2"/>
    <n v="88"/>
    <s v="Venmo"/>
    <s v="Normal"/>
    <s v="Good"/>
  </r>
  <r>
    <n v="243"/>
    <n v="55"/>
    <x v="0"/>
    <x v="7"/>
    <x v="2"/>
    <n v="85"/>
    <x v="14"/>
    <x v="0"/>
    <s v="Gray"/>
    <x v="2"/>
    <n v="4.3"/>
    <s v="Yes"/>
    <x v="5"/>
    <s v="Yes"/>
    <n v="40"/>
    <x v="5"/>
    <s v="Every 3 Months"/>
    <n v="0.1"/>
    <n v="76.5"/>
    <n v="85"/>
    <s v="Debit Card"/>
    <s v="Normal"/>
    <s v="Good"/>
  </r>
  <r>
    <n v="244"/>
    <n v="25"/>
    <x v="0"/>
    <x v="16"/>
    <x v="3"/>
    <n v="100"/>
    <x v="0"/>
    <x v="2"/>
    <s v="Olive"/>
    <x v="0"/>
    <n v="2.8"/>
    <s v="Yes"/>
    <x v="4"/>
    <s v="Yes"/>
    <n v="4"/>
    <x v="5"/>
    <s v="Monthly"/>
    <n v="0.1"/>
    <n v="90"/>
    <n v="100"/>
    <s v="Debit Card"/>
    <s v="Normal"/>
    <s v="Poor"/>
  </r>
  <r>
    <n v="245"/>
    <n v="53"/>
    <x v="0"/>
    <x v="22"/>
    <x v="3"/>
    <n v="42"/>
    <x v="4"/>
    <x v="1"/>
    <s v="Indigo"/>
    <x v="1"/>
    <n v="4.9000000000000004"/>
    <s v="Yes"/>
    <x v="4"/>
    <s v="Yes"/>
    <n v="39"/>
    <x v="3"/>
    <s v="Weekly"/>
    <n v="0.1"/>
    <n v="37.799999999999997"/>
    <n v="42"/>
    <s v="PayPal"/>
    <s v="Normal"/>
    <s v="Good"/>
  </r>
  <r>
    <n v="246"/>
    <n v="49"/>
    <x v="0"/>
    <x v="3"/>
    <x v="1"/>
    <n v="53"/>
    <x v="3"/>
    <x v="0"/>
    <s v="Charcoal"/>
    <x v="2"/>
    <n v="3.3"/>
    <s v="Yes"/>
    <x v="2"/>
    <s v="Yes"/>
    <n v="45"/>
    <x v="0"/>
    <s v="Fortnightly"/>
    <n v="0.1"/>
    <n v="47.7"/>
    <n v="53"/>
    <s v="Venmo"/>
    <s v="Normal"/>
    <s v="Good"/>
  </r>
  <r>
    <n v="247"/>
    <n v="35"/>
    <x v="0"/>
    <x v="12"/>
    <x v="3"/>
    <n v="86"/>
    <x v="22"/>
    <x v="3"/>
    <s v="Beige"/>
    <x v="1"/>
    <n v="3.2"/>
    <s v="Yes"/>
    <x v="0"/>
    <s v="Yes"/>
    <n v="20"/>
    <x v="0"/>
    <s v="Bi-Weekly"/>
    <n v="0.1"/>
    <n v="77.400000000000006"/>
    <n v="86"/>
    <s v="Venmo"/>
    <s v="Normal"/>
    <s v="Good"/>
  </r>
  <r>
    <n v="248"/>
    <n v="29"/>
    <x v="0"/>
    <x v="1"/>
    <x v="0"/>
    <n v="66"/>
    <x v="6"/>
    <x v="3"/>
    <s v="Brown"/>
    <x v="1"/>
    <n v="4.4000000000000004"/>
    <s v="Yes"/>
    <x v="3"/>
    <s v="Yes"/>
    <n v="14"/>
    <x v="5"/>
    <s v="Weekly"/>
    <n v="0.1"/>
    <n v="59.4"/>
    <n v="66"/>
    <s v="Debit Card"/>
    <s v="Normal"/>
    <s v="Good"/>
  </r>
  <r>
    <n v="249"/>
    <n v="47"/>
    <x v="0"/>
    <x v="22"/>
    <x v="3"/>
    <n v="100"/>
    <x v="38"/>
    <x v="2"/>
    <s v="Blue"/>
    <x v="0"/>
    <n v="4.8"/>
    <s v="Yes"/>
    <x v="0"/>
    <s v="Yes"/>
    <n v="33"/>
    <x v="3"/>
    <s v="Weekly"/>
    <n v="0.1"/>
    <n v="90"/>
    <n v="100"/>
    <s v="PayPal"/>
    <s v="Normal"/>
    <s v="Good"/>
  </r>
  <r>
    <n v="250"/>
    <n v="53"/>
    <x v="0"/>
    <x v="8"/>
    <x v="3"/>
    <n v="47"/>
    <x v="29"/>
    <x v="1"/>
    <s v="Teal"/>
    <x v="3"/>
    <n v="4.2"/>
    <s v="Yes"/>
    <x v="3"/>
    <s v="Yes"/>
    <n v="18"/>
    <x v="2"/>
    <s v="Annually"/>
    <n v="0.1"/>
    <n v="42.3"/>
    <n v="47"/>
    <s v="Credit Card"/>
    <s v="Normal"/>
    <s v="Good"/>
  </r>
  <r>
    <n v="251"/>
    <n v="33"/>
    <x v="0"/>
    <x v="11"/>
    <x v="0"/>
    <n v="25"/>
    <x v="16"/>
    <x v="0"/>
    <s v="Black"/>
    <x v="3"/>
    <n v="4"/>
    <s v="Yes"/>
    <x v="0"/>
    <s v="Yes"/>
    <n v="9"/>
    <x v="4"/>
    <s v="Weekly"/>
    <n v="0.1"/>
    <n v="22.5"/>
    <n v="25"/>
    <s v="Bank Transfer"/>
    <s v="Normal"/>
    <s v="Good"/>
  </r>
  <r>
    <n v="252"/>
    <n v="21"/>
    <x v="0"/>
    <x v="8"/>
    <x v="3"/>
    <n v="51"/>
    <x v="5"/>
    <x v="3"/>
    <s v="Gold"/>
    <x v="0"/>
    <n v="2.5"/>
    <s v="Yes"/>
    <x v="3"/>
    <s v="Yes"/>
    <n v="34"/>
    <x v="3"/>
    <s v="Annually"/>
    <n v="0.1"/>
    <n v="45.9"/>
    <n v="51"/>
    <s v="PayPal"/>
    <s v="Normal"/>
    <s v="Poor"/>
  </r>
  <r>
    <n v="253"/>
    <n v="32"/>
    <x v="0"/>
    <x v="6"/>
    <x v="0"/>
    <n v="41"/>
    <x v="12"/>
    <x v="2"/>
    <s v="Violet"/>
    <x v="2"/>
    <n v="3.9"/>
    <s v="Yes"/>
    <x v="1"/>
    <s v="Yes"/>
    <n v="33"/>
    <x v="0"/>
    <s v="Fortnightly"/>
    <n v="0.1"/>
    <n v="36.9"/>
    <n v="41"/>
    <s v="Venmo"/>
    <s v="Normal"/>
    <s v="Good"/>
  </r>
  <r>
    <n v="254"/>
    <n v="52"/>
    <x v="0"/>
    <x v="23"/>
    <x v="1"/>
    <n v="73"/>
    <x v="19"/>
    <x v="0"/>
    <s v="Cyan"/>
    <x v="0"/>
    <n v="4.9000000000000004"/>
    <s v="Yes"/>
    <x v="4"/>
    <s v="Yes"/>
    <n v="15"/>
    <x v="4"/>
    <s v="Bi-Weekly"/>
    <n v="0.1"/>
    <n v="65.7"/>
    <n v="73"/>
    <s v="Bank Transfer"/>
    <s v="Normal"/>
    <s v="Good"/>
  </r>
  <r>
    <n v="255"/>
    <n v="67"/>
    <x v="0"/>
    <x v="12"/>
    <x v="3"/>
    <n v="42"/>
    <x v="27"/>
    <x v="2"/>
    <s v="White"/>
    <x v="0"/>
    <n v="3.5"/>
    <s v="Yes"/>
    <x v="5"/>
    <s v="Yes"/>
    <n v="4"/>
    <x v="3"/>
    <s v="Bi-Weekly"/>
    <n v="0.1"/>
    <n v="37.799999999999997"/>
    <n v="42"/>
    <s v="PayPal"/>
    <s v="Normal"/>
    <s v="Good"/>
  </r>
  <r>
    <n v="256"/>
    <n v="43"/>
    <x v="0"/>
    <x v="18"/>
    <x v="3"/>
    <n v="20"/>
    <x v="33"/>
    <x v="2"/>
    <s v="Charcoal"/>
    <x v="1"/>
    <n v="4.2"/>
    <s v="Yes"/>
    <x v="1"/>
    <s v="Yes"/>
    <n v="25"/>
    <x v="5"/>
    <s v="Annually"/>
    <n v="0.1"/>
    <n v="18"/>
    <n v="20"/>
    <s v="Debit Card"/>
    <s v="Normal"/>
    <s v="Good"/>
  </r>
  <r>
    <n v="257"/>
    <n v="58"/>
    <x v="0"/>
    <x v="16"/>
    <x v="3"/>
    <n v="30"/>
    <x v="45"/>
    <x v="3"/>
    <s v="Violet"/>
    <x v="1"/>
    <n v="4.7"/>
    <s v="Yes"/>
    <x v="0"/>
    <s v="Yes"/>
    <n v="20"/>
    <x v="2"/>
    <s v="Every 3 Months"/>
    <n v="0.1"/>
    <n v="27"/>
    <n v="30"/>
    <s v="Credit Card"/>
    <s v="Normal"/>
    <s v="Good"/>
  </r>
  <r>
    <n v="258"/>
    <n v="20"/>
    <x v="0"/>
    <x v="8"/>
    <x v="3"/>
    <n v="53"/>
    <x v="8"/>
    <x v="2"/>
    <s v="Red"/>
    <x v="2"/>
    <n v="4.5"/>
    <s v="Yes"/>
    <x v="0"/>
    <s v="Yes"/>
    <n v="5"/>
    <x v="2"/>
    <s v="Quarterly"/>
    <n v="0.1"/>
    <n v="47.7"/>
    <n v="53"/>
    <s v="Credit Card"/>
    <s v="Normal"/>
    <s v="Good"/>
  </r>
  <r>
    <n v="259"/>
    <n v="61"/>
    <x v="0"/>
    <x v="24"/>
    <x v="3"/>
    <n v="74"/>
    <x v="15"/>
    <x v="1"/>
    <s v="Lavender"/>
    <x v="1"/>
    <n v="2.8"/>
    <s v="Yes"/>
    <x v="0"/>
    <s v="Yes"/>
    <n v="16"/>
    <x v="1"/>
    <s v="Quarterly"/>
    <n v="0.1"/>
    <n v="66.599999999999994"/>
    <n v="74"/>
    <s v="Cash"/>
    <s v="Normal"/>
    <s v="Poor"/>
  </r>
  <r>
    <n v="260"/>
    <n v="32"/>
    <x v="0"/>
    <x v="2"/>
    <x v="0"/>
    <n v="57"/>
    <x v="7"/>
    <x v="2"/>
    <s v="Gold"/>
    <x v="3"/>
    <n v="2.9"/>
    <s v="Yes"/>
    <x v="3"/>
    <s v="Yes"/>
    <n v="13"/>
    <x v="5"/>
    <s v="Annually"/>
    <n v="0.1"/>
    <n v="51.3"/>
    <n v="57"/>
    <s v="Debit Card"/>
    <s v="Normal"/>
    <s v="Poor"/>
  </r>
  <r>
    <n v="261"/>
    <n v="38"/>
    <x v="0"/>
    <x v="19"/>
    <x v="3"/>
    <n v="57"/>
    <x v="6"/>
    <x v="1"/>
    <s v="Red"/>
    <x v="0"/>
    <n v="3.2"/>
    <s v="Yes"/>
    <x v="4"/>
    <s v="Yes"/>
    <n v="11"/>
    <x v="2"/>
    <s v="Every 3 Months"/>
    <n v="0.1"/>
    <n v="51.3"/>
    <n v="57"/>
    <s v="Credit Card"/>
    <s v="Normal"/>
    <s v="Good"/>
  </r>
  <r>
    <n v="262"/>
    <n v="21"/>
    <x v="0"/>
    <x v="2"/>
    <x v="0"/>
    <n v="77"/>
    <x v="18"/>
    <x v="0"/>
    <s v="Magenta"/>
    <x v="0"/>
    <n v="4.9000000000000004"/>
    <s v="Yes"/>
    <x v="3"/>
    <s v="Yes"/>
    <n v="21"/>
    <x v="2"/>
    <s v="Annually"/>
    <n v="0.1"/>
    <n v="69.3"/>
    <n v="77"/>
    <s v="Credit Card"/>
    <s v="Normal"/>
    <s v="Good"/>
  </r>
  <r>
    <n v="263"/>
    <n v="37"/>
    <x v="0"/>
    <x v="13"/>
    <x v="0"/>
    <n v="40"/>
    <x v="11"/>
    <x v="2"/>
    <s v="Teal"/>
    <x v="2"/>
    <n v="1"/>
    <s v="Yes"/>
    <x v="2"/>
    <s v="Yes"/>
    <n v="6"/>
    <x v="5"/>
    <s v="Annually"/>
    <n v="0.1"/>
    <n v="36"/>
    <n v="40"/>
    <s v="Debit Card"/>
    <s v="Normal"/>
    <s v="Poor"/>
  </r>
  <r>
    <n v="264"/>
    <n v="27"/>
    <x v="0"/>
    <x v="6"/>
    <x v="0"/>
    <n v="46"/>
    <x v="44"/>
    <x v="2"/>
    <s v="Purple"/>
    <x v="2"/>
    <n v="4.3"/>
    <s v="Yes"/>
    <x v="5"/>
    <s v="Yes"/>
    <n v="29"/>
    <x v="0"/>
    <s v="Monthly"/>
    <n v="0.1"/>
    <n v="41.4"/>
    <n v="46"/>
    <s v="Venmo"/>
    <s v="Normal"/>
    <s v="Good"/>
  </r>
  <r>
    <n v="265"/>
    <n v="36"/>
    <x v="0"/>
    <x v="13"/>
    <x v="0"/>
    <n v="78"/>
    <x v="24"/>
    <x v="1"/>
    <s v="Charcoal"/>
    <x v="3"/>
    <n v="3.9"/>
    <s v="Yes"/>
    <x v="5"/>
    <s v="Yes"/>
    <n v="15"/>
    <x v="1"/>
    <s v="Annually"/>
    <n v="0.1"/>
    <n v="70.2"/>
    <n v="78"/>
    <s v="Cash"/>
    <s v="Normal"/>
    <s v="Good"/>
  </r>
  <r>
    <n v="266"/>
    <n v="32"/>
    <x v="0"/>
    <x v="21"/>
    <x v="3"/>
    <n v="59"/>
    <x v="49"/>
    <x v="2"/>
    <s v="Gray"/>
    <x v="1"/>
    <n v="3.2"/>
    <s v="Yes"/>
    <x v="4"/>
    <s v="Yes"/>
    <n v="17"/>
    <x v="4"/>
    <s v="Bi-Weekly"/>
    <n v="0.1"/>
    <n v="53.1"/>
    <n v="59"/>
    <s v="Bank Transfer"/>
    <s v="Normal"/>
    <s v="Good"/>
  </r>
  <r>
    <n v="267"/>
    <n v="51"/>
    <x v="0"/>
    <x v="16"/>
    <x v="3"/>
    <n v="75"/>
    <x v="7"/>
    <x v="0"/>
    <s v="White"/>
    <x v="2"/>
    <n v="3.1"/>
    <s v="Yes"/>
    <x v="0"/>
    <s v="Yes"/>
    <n v="32"/>
    <x v="2"/>
    <s v="Weekly"/>
    <n v="0.1"/>
    <n v="67.5"/>
    <n v="75"/>
    <s v="Credit Card"/>
    <s v="Normal"/>
    <s v="Good"/>
  </r>
  <r>
    <n v="268"/>
    <n v="64"/>
    <x v="0"/>
    <x v="1"/>
    <x v="0"/>
    <n v="54"/>
    <x v="33"/>
    <x v="2"/>
    <s v="Olive"/>
    <x v="1"/>
    <n v="3.9"/>
    <s v="Yes"/>
    <x v="4"/>
    <s v="Yes"/>
    <n v="42"/>
    <x v="0"/>
    <s v="Annually"/>
    <n v="0.1"/>
    <n v="48.6"/>
    <n v="54"/>
    <s v="Venmo"/>
    <s v="Normal"/>
    <s v="Good"/>
  </r>
  <r>
    <n v="269"/>
    <n v="68"/>
    <x v="0"/>
    <x v="9"/>
    <x v="1"/>
    <n v="42"/>
    <x v="42"/>
    <x v="2"/>
    <s v="Charcoal"/>
    <x v="1"/>
    <n v="2.6"/>
    <s v="Yes"/>
    <x v="5"/>
    <s v="Yes"/>
    <n v="21"/>
    <x v="1"/>
    <s v="Monthly"/>
    <n v="0.1"/>
    <n v="37.799999999999997"/>
    <n v="42"/>
    <s v="Cash"/>
    <s v="Normal"/>
    <s v="Poor"/>
  </r>
  <r>
    <n v="270"/>
    <n v="68"/>
    <x v="0"/>
    <x v="0"/>
    <x v="0"/>
    <n v="44"/>
    <x v="42"/>
    <x v="2"/>
    <s v="Charcoal"/>
    <x v="0"/>
    <n v="3.3"/>
    <s v="Yes"/>
    <x v="2"/>
    <s v="Yes"/>
    <n v="9"/>
    <x v="1"/>
    <s v="Bi-Weekly"/>
    <n v="0.1"/>
    <n v="39.6"/>
    <n v="44"/>
    <s v="Cash"/>
    <s v="Normal"/>
    <s v="Good"/>
  </r>
  <r>
    <n v="271"/>
    <n v="33"/>
    <x v="0"/>
    <x v="2"/>
    <x v="0"/>
    <n v="52"/>
    <x v="25"/>
    <x v="3"/>
    <s v="Orange"/>
    <x v="3"/>
    <n v="4.5999999999999996"/>
    <s v="Yes"/>
    <x v="1"/>
    <s v="Yes"/>
    <n v="16"/>
    <x v="4"/>
    <s v="Annually"/>
    <n v="0.1"/>
    <n v="46.8"/>
    <n v="52"/>
    <s v="Bank Transfer"/>
    <s v="Normal"/>
    <s v="Good"/>
  </r>
  <r>
    <n v="272"/>
    <n v="65"/>
    <x v="0"/>
    <x v="12"/>
    <x v="3"/>
    <n v="69"/>
    <x v="33"/>
    <x v="3"/>
    <s v="Yellow"/>
    <x v="2"/>
    <n v="4.5999999999999996"/>
    <s v="Yes"/>
    <x v="0"/>
    <s v="Yes"/>
    <n v="42"/>
    <x v="2"/>
    <s v="Fortnightly"/>
    <n v="0.1"/>
    <n v="62.1"/>
    <n v="69"/>
    <s v="Credit Card"/>
    <s v="Normal"/>
    <s v="Good"/>
  </r>
  <r>
    <n v="273"/>
    <n v="48"/>
    <x v="0"/>
    <x v="16"/>
    <x v="3"/>
    <n v="26"/>
    <x v="4"/>
    <x v="2"/>
    <s v="Beige"/>
    <x v="2"/>
    <n v="4.4000000000000004"/>
    <s v="Yes"/>
    <x v="4"/>
    <s v="Yes"/>
    <n v="37"/>
    <x v="5"/>
    <s v="Bi-Weekly"/>
    <n v="0.1"/>
    <n v="23.4"/>
    <n v="26"/>
    <s v="Debit Card"/>
    <s v="Normal"/>
    <s v="Good"/>
  </r>
  <r>
    <n v="274"/>
    <n v="69"/>
    <x v="0"/>
    <x v="7"/>
    <x v="2"/>
    <n v="33"/>
    <x v="25"/>
    <x v="1"/>
    <s v="Silver"/>
    <x v="1"/>
    <n v="4.2"/>
    <s v="Yes"/>
    <x v="0"/>
    <s v="Yes"/>
    <n v="32"/>
    <x v="5"/>
    <s v="Quarterly"/>
    <n v="0.1"/>
    <n v="29.7"/>
    <n v="33"/>
    <s v="Debit Card"/>
    <s v="Normal"/>
    <s v="Good"/>
  </r>
  <r>
    <n v="275"/>
    <n v="59"/>
    <x v="0"/>
    <x v="16"/>
    <x v="3"/>
    <n v="32"/>
    <x v="33"/>
    <x v="2"/>
    <s v="Indigo"/>
    <x v="1"/>
    <n v="3"/>
    <s v="Yes"/>
    <x v="0"/>
    <s v="Yes"/>
    <n v="28"/>
    <x v="1"/>
    <s v="Bi-Weekly"/>
    <n v="0.1"/>
    <n v="28.8"/>
    <n v="32"/>
    <s v="Cash"/>
    <s v="Normal"/>
    <s v="Good"/>
  </r>
  <r>
    <n v="276"/>
    <n v="48"/>
    <x v="0"/>
    <x v="21"/>
    <x v="3"/>
    <n v="85"/>
    <x v="41"/>
    <x v="3"/>
    <s v="Lavender"/>
    <x v="0"/>
    <n v="4"/>
    <s v="Yes"/>
    <x v="0"/>
    <s v="Yes"/>
    <n v="13"/>
    <x v="2"/>
    <s v="Weekly"/>
    <n v="0.1"/>
    <n v="76.5"/>
    <n v="85"/>
    <s v="Credit Card"/>
    <s v="Normal"/>
    <s v="Good"/>
  </r>
  <r>
    <n v="277"/>
    <n v="25"/>
    <x v="0"/>
    <x v="11"/>
    <x v="0"/>
    <n v="30"/>
    <x v="45"/>
    <x v="3"/>
    <s v="Turquoise"/>
    <x v="3"/>
    <n v="3.5"/>
    <s v="Yes"/>
    <x v="0"/>
    <s v="Yes"/>
    <n v="11"/>
    <x v="4"/>
    <s v="Fortnightly"/>
    <n v="0.1"/>
    <n v="27"/>
    <n v="30"/>
    <s v="Bank Transfer"/>
    <s v="Normal"/>
    <s v="Good"/>
  </r>
  <r>
    <n v="278"/>
    <n v="29"/>
    <x v="0"/>
    <x v="5"/>
    <x v="0"/>
    <n v="29"/>
    <x v="42"/>
    <x v="2"/>
    <s v="Green"/>
    <x v="0"/>
    <n v="3"/>
    <s v="Yes"/>
    <x v="5"/>
    <s v="Yes"/>
    <n v="36"/>
    <x v="4"/>
    <s v="Bi-Weekly"/>
    <n v="0.1"/>
    <n v="26.1"/>
    <n v="29"/>
    <s v="Bank Transfer"/>
    <s v="Normal"/>
    <s v="Good"/>
  </r>
  <r>
    <n v="279"/>
    <n v="57"/>
    <x v="0"/>
    <x v="1"/>
    <x v="0"/>
    <n v="95"/>
    <x v="11"/>
    <x v="2"/>
    <s v="Orange"/>
    <x v="1"/>
    <n v="3.7"/>
    <s v="Yes"/>
    <x v="0"/>
    <s v="Yes"/>
    <n v="23"/>
    <x v="5"/>
    <s v="Annually"/>
    <n v="0.1"/>
    <n v="85.5"/>
    <n v="95"/>
    <s v="Debit Card"/>
    <s v="Normal"/>
    <s v="Good"/>
  </r>
  <r>
    <n v="280"/>
    <n v="23"/>
    <x v="0"/>
    <x v="4"/>
    <x v="1"/>
    <n v="69"/>
    <x v="10"/>
    <x v="0"/>
    <s v="Turquoise"/>
    <x v="2"/>
    <n v="4"/>
    <s v="Yes"/>
    <x v="3"/>
    <s v="Yes"/>
    <n v="37"/>
    <x v="4"/>
    <s v="Monthly"/>
    <n v="0.1"/>
    <n v="62.1"/>
    <n v="69"/>
    <s v="Bank Transfer"/>
    <s v="Normal"/>
    <s v="Good"/>
  </r>
  <r>
    <n v="281"/>
    <n v="45"/>
    <x v="0"/>
    <x v="3"/>
    <x v="1"/>
    <n v="69"/>
    <x v="6"/>
    <x v="1"/>
    <s v="Cyan"/>
    <x v="3"/>
    <n v="4.2"/>
    <s v="Yes"/>
    <x v="4"/>
    <s v="Yes"/>
    <n v="21"/>
    <x v="1"/>
    <s v="Bi-Weekly"/>
    <n v="0.1"/>
    <n v="62.1"/>
    <n v="69"/>
    <s v="Cash"/>
    <s v="Normal"/>
    <s v="Good"/>
  </r>
  <r>
    <n v="282"/>
    <n v="38"/>
    <x v="0"/>
    <x v="22"/>
    <x v="3"/>
    <n v="61"/>
    <x v="19"/>
    <x v="3"/>
    <s v="Charcoal"/>
    <x v="1"/>
    <n v="2.5"/>
    <s v="Yes"/>
    <x v="3"/>
    <s v="Yes"/>
    <n v="22"/>
    <x v="5"/>
    <s v="Bi-Weekly"/>
    <n v="0.1"/>
    <n v="54.9"/>
    <n v="61"/>
    <s v="Debit Card"/>
    <s v="Normal"/>
    <s v="Poor"/>
  </r>
  <r>
    <n v="283"/>
    <n v="21"/>
    <x v="0"/>
    <x v="11"/>
    <x v="0"/>
    <n v="94"/>
    <x v="46"/>
    <x v="2"/>
    <s v="Teal"/>
    <x v="2"/>
    <n v="3"/>
    <s v="Yes"/>
    <x v="4"/>
    <s v="Yes"/>
    <n v="9"/>
    <x v="1"/>
    <s v="Monthly"/>
    <n v="0.1"/>
    <n v="84.6"/>
    <n v="94"/>
    <s v="Cash"/>
    <s v="Normal"/>
    <s v="Good"/>
  </r>
  <r>
    <n v="284"/>
    <n v="32"/>
    <x v="0"/>
    <x v="1"/>
    <x v="0"/>
    <n v="30"/>
    <x v="6"/>
    <x v="1"/>
    <s v="Maroon"/>
    <x v="3"/>
    <n v="3.2"/>
    <s v="Yes"/>
    <x v="2"/>
    <s v="Yes"/>
    <n v="16"/>
    <x v="0"/>
    <s v="Annually"/>
    <n v="0.1"/>
    <n v="27"/>
    <n v="30"/>
    <s v="Venmo"/>
    <s v="Normal"/>
    <s v="Good"/>
  </r>
  <r>
    <n v="285"/>
    <n v="63"/>
    <x v="0"/>
    <x v="11"/>
    <x v="0"/>
    <n v="45"/>
    <x v="31"/>
    <x v="2"/>
    <s v="Red"/>
    <x v="2"/>
    <n v="3.5"/>
    <s v="Yes"/>
    <x v="3"/>
    <s v="Yes"/>
    <n v="4"/>
    <x v="3"/>
    <s v="Quarterly"/>
    <n v="0.1"/>
    <n v="40.5"/>
    <n v="45"/>
    <s v="PayPal"/>
    <s v="Normal"/>
    <s v="Good"/>
  </r>
  <r>
    <n v="286"/>
    <n v="29"/>
    <x v="0"/>
    <x v="8"/>
    <x v="3"/>
    <n v="39"/>
    <x v="0"/>
    <x v="3"/>
    <s v="Yellow"/>
    <x v="2"/>
    <n v="4.8"/>
    <s v="Yes"/>
    <x v="0"/>
    <s v="Yes"/>
    <n v="3"/>
    <x v="5"/>
    <s v="Bi-Weekly"/>
    <n v="0.1"/>
    <n v="35.1"/>
    <n v="39"/>
    <s v="Debit Card"/>
    <s v="Normal"/>
    <s v="Good"/>
  </r>
  <r>
    <n v="287"/>
    <n v="27"/>
    <x v="0"/>
    <x v="16"/>
    <x v="3"/>
    <n v="51"/>
    <x v="43"/>
    <x v="0"/>
    <s v="Gray"/>
    <x v="2"/>
    <n v="2.6"/>
    <s v="Yes"/>
    <x v="5"/>
    <s v="Yes"/>
    <n v="6"/>
    <x v="5"/>
    <s v="Annually"/>
    <n v="0.1"/>
    <n v="45.9"/>
    <n v="51"/>
    <s v="Debit Card"/>
    <s v="Normal"/>
    <s v="Poor"/>
  </r>
  <r>
    <n v="288"/>
    <n v="56"/>
    <x v="0"/>
    <x v="18"/>
    <x v="3"/>
    <n v="37"/>
    <x v="12"/>
    <x v="0"/>
    <s v="Blue"/>
    <x v="1"/>
    <n v="3.4"/>
    <s v="Yes"/>
    <x v="4"/>
    <s v="Yes"/>
    <n v="18"/>
    <x v="0"/>
    <s v="Fortnightly"/>
    <n v="0.1"/>
    <n v="33.299999999999997"/>
    <n v="37"/>
    <s v="Venmo"/>
    <s v="Normal"/>
    <s v="Good"/>
  </r>
  <r>
    <n v="289"/>
    <n v="30"/>
    <x v="0"/>
    <x v="17"/>
    <x v="0"/>
    <n v="62"/>
    <x v="17"/>
    <x v="2"/>
    <s v="Lavender"/>
    <x v="0"/>
    <n v="3.7"/>
    <s v="Yes"/>
    <x v="4"/>
    <s v="Yes"/>
    <n v="34"/>
    <x v="0"/>
    <s v="Bi-Weekly"/>
    <n v="0.1"/>
    <n v="55.8"/>
    <n v="62"/>
    <s v="Venmo"/>
    <s v="Normal"/>
    <s v="Good"/>
  </r>
  <r>
    <n v="290"/>
    <n v="49"/>
    <x v="0"/>
    <x v="7"/>
    <x v="2"/>
    <n v="85"/>
    <x v="14"/>
    <x v="2"/>
    <s v="Yellow"/>
    <x v="3"/>
    <n v="4.5"/>
    <s v="Yes"/>
    <x v="4"/>
    <s v="Yes"/>
    <n v="26"/>
    <x v="2"/>
    <s v="Monthly"/>
    <n v="0.1"/>
    <n v="76.5"/>
    <n v="85"/>
    <s v="Credit Card"/>
    <s v="Normal"/>
    <s v="Good"/>
  </r>
  <r>
    <n v="291"/>
    <n v="58"/>
    <x v="0"/>
    <x v="17"/>
    <x v="0"/>
    <n v="33"/>
    <x v="24"/>
    <x v="2"/>
    <s v="Indigo"/>
    <x v="0"/>
    <n v="3.7"/>
    <s v="Yes"/>
    <x v="3"/>
    <s v="Yes"/>
    <n v="50"/>
    <x v="3"/>
    <s v="Weekly"/>
    <n v="0.1"/>
    <n v="29.7"/>
    <n v="33"/>
    <s v="PayPal"/>
    <s v="Normal"/>
    <s v="Good"/>
  </r>
  <r>
    <n v="292"/>
    <n v="57"/>
    <x v="0"/>
    <x v="10"/>
    <x v="0"/>
    <n v="26"/>
    <x v="12"/>
    <x v="3"/>
    <s v="Violet"/>
    <x v="3"/>
    <n v="3.3"/>
    <s v="Yes"/>
    <x v="2"/>
    <s v="Yes"/>
    <n v="40"/>
    <x v="4"/>
    <s v="Monthly"/>
    <n v="0.1"/>
    <n v="23.4"/>
    <n v="26"/>
    <s v="Bank Transfer"/>
    <s v="Normal"/>
    <s v="Good"/>
  </r>
  <r>
    <n v="293"/>
    <n v="60"/>
    <x v="0"/>
    <x v="9"/>
    <x v="1"/>
    <n v="99"/>
    <x v="40"/>
    <x v="2"/>
    <s v="Green"/>
    <x v="1"/>
    <n v="4.7"/>
    <s v="Yes"/>
    <x v="1"/>
    <s v="Yes"/>
    <n v="24"/>
    <x v="1"/>
    <s v="Quarterly"/>
    <n v="0.1"/>
    <n v="89.1"/>
    <n v="99"/>
    <s v="Cash"/>
    <s v="Normal"/>
    <s v="Good"/>
  </r>
  <r>
    <n v="294"/>
    <n v="69"/>
    <x v="0"/>
    <x v="8"/>
    <x v="3"/>
    <n v="39"/>
    <x v="39"/>
    <x v="2"/>
    <s v="White"/>
    <x v="1"/>
    <n v="2.7"/>
    <s v="Yes"/>
    <x v="0"/>
    <s v="Yes"/>
    <n v="33"/>
    <x v="3"/>
    <s v="Annually"/>
    <n v="0.1"/>
    <n v="35.1"/>
    <n v="39"/>
    <s v="PayPal"/>
    <s v="Normal"/>
    <s v="Poor"/>
  </r>
  <r>
    <n v="295"/>
    <n v="70"/>
    <x v="0"/>
    <x v="11"/>
    <x v="0"/>
    <n v="20"/>
    <x v="32"/>
    <x v="2"/>
    <s v="Gold"/>
    <x v="1"/>
    <n v="4.5999999999999996"/>
    <s v="Yes"/>
    <x v="5"/>
    <s v="Yes"/>
    <n v="19"/>
    <x v="2"/>
    <s v="Every 3 Months"/>
    <n v="0.1"/>
    <n v="18"/>
    <n v="20"/>
    <s v="Credit Card"/>
    <s v="Normal"/>
    <s v="Good"/>
  </r>
  <r>
    <n v="296"/>
    <n v="53"/>
    <x v="0"/>
    <x v="12"/>
    <x v="3"/>
    <n v="42"/>
    <x v="8"/>
    <x v="2"/>
    <s v="Indigo"/>
    <x v="0"/>
    <n v="2.7"/>
    <s v="Yes"/>
    <x v="5"/>
    <s v="Yes"/>
    <n v="24"/>
    <x v="2"/>
    <s v="Quarterly"/>
    <n v="0.1"/>
    <n v="37.799999999999997"/>
    <n v="42"/>
    <s v="Credit Card"/>
    <s v="Normal"/>
    <s v="Poor"/>
  </r>
  <r>
    <n v="297"/>
    <n v="25"/>
    <x v="0"/>
    <x v="3"/>
    <x v="1"/>
    <n v="74"/>
    <x v="27"/>
    <x v="1"/>
    <s v="Lavender"/>
    <x v="1"/>
    <n v="4.8"/>
    <s v="Yes"/>
    <x v="4"/>
    <s v="Yes"/>
    <n v="19"/>
    <x v="2"/>
    <s v="Weekly"/>
    <n v="0.1"/>
    <n v="66.599999999999994"/>
    <n v="74"/>
    <s v="Credit Card"/>
    <s v="Normal"/>
    <s v="Good"/>
  </r>
  <r>
    <n v="298"/>
    <n v="48"/>
    <x v="0"/>
    <x v="9"/>
    <x v="1"/>
    <n v="26"/>
    <x v="12"/>
    <x v="3"/>
    <s v="Purple"/>
    <x v="2"/>
    <n v="4.4000000000000004"/>
    <s v="Yes"/>
    <x v="3"/>
    <s v="Yes"/>
    <n v="4"/>
    <x v="2"/>
    <s v="Bi-Weekly"/>
    <n v="0.1"/>
    <n v="23.4"/>
    <n v="26"/>
    <s v="Credit Card"/>
    <s v="Normal"/>
    <s v="Good"/>
  </r>
  <r>
    <n v="299"/>
    <n v="69"/>
    <x v="0"/>
    <x v="17"/>
    <x v="0"/>
    <n v="53"/>
    <x v="33"/>
    <x v="2"/>
    <s v="Lavender"/>
    <x v="0"/>
    <n v="4"/>
    <s v="Yes"/>
    <x v="3"/>
    <s v="Yes"/>
    <n v="11"/>
    <x v="0"/>
    <s v="Every 3 Months"/>
    <n v="0.1"/>
    <n v="47.7"/>
    <n v="53"/>
    <s v="Venmo"/>
    <s v="Normal"/>
    <s v="Good"/>
  </r>
  <r>
    <n v="300"/>
    <n v="25"/>
    <x v="0"/>
    <x v="4"/>
    <x v="1"/>
    <n v="80"/>
    <x v="38"/>
    <x v="2"/>
    <s v="Maroon"/>
    <x v="2"/>
    <n v="3.2"/>
    <s v="Yes"/>
    <x v="2"/>
    <s v="Yes"/>
    <n v="28"/>
    <x v="3"/>
    <s v="Fortnightly"/>
    <n v="0.1"/>
    <n v="72"/>
    <n v="80"/>
    <s v="PayPal"/>
    <s v="Normal"/>
    <s v="Good"/>
  </r>
  <r>
    <n v="301"/>
    <n v="29"/>
    <x v="0"/>
    <x v="19"/>
    <x v="3"/>
    <n v="98"/>
    <x v="44"/>
    <x v="2"/>
    <s v="Teal"/>
    <x v="1"/>
    <n v="4.4000000000000004"/>
    <s v="Yes"/>
    <x v="5"/>
    <s v="Yes"/>
    <n v="24"/>
    <x v="3"/>
    <s v="Weekly"/>
    <n v="0.1"/>
    <n v="88.2"/>
    <n v="98"/>
    <s v="PayPal"/>
    <s v="Normal"/>
    <s v="Good"/>
  </r>
  <r>
    <n v="302"/>
    <n v="46"/>
    <x v="0"/>
    <x v="11"/>
    <x v="0"/>
    <n v="95"/>
    <x v="38"/>
    <x v="2"/>
    <s v="Green"/>
    <x v="1"/>
    <n v="3.8"/>
    <s v="Yes"/>
    <x v="3"/>
    <s v="Yes"/>
    <n v="25"/>
    <x v="2"/>
    <s v="Every 3 Months"/>
    <n v="0.1"/>
    <n v="85.5"/>
    <n v="95"/>
    <s v="Credit Card"/>
    <s v="Normal"/>
    <s v="Good"/>
  </r>
  <r>
    <n v="303"/>
    <n v="37"/>
    <x v="0"/>
    <x v="1"/>
    <x v="0"/>
    <n v="44"/>
    <x v="12"/>
    <x v="0"/>
    <s v="Olive"/>
    <x v="2"/>
    <n v="3.6"/>
    <s v="Yes"/>
    <x v="0"/>
    <s v="Yes"/>
    <n v="27"/>
    <x v="4"/>
    <s v="Every 3 Months"/>
    <n v="0.1"/>
    <n v="39.6"/>
    <n v="44"/>
    <s v="Bank Transfer"/>
    <s v="Normal"/>
    <s v="Good"/>
  </r>
  <r>
    <n v="304"/>
    <n v="20"/>
    <x v="0"/>
    <x v="3"/>
    <x v="1"/>
    <n v="60"/>
    <x v="4"/>
    <x v="2"/>
    <s v="Turquoise"/>
    <x v="2"/>
    <n v="3.3"/>
    <s v="Yes"/>
    <x v="2"/>
    <s v="Yes"/>
    <n v="49"/>
    <x v="0"/>
    <s v="Weekly"/>
    <n v="0.1"/>
    <n v="54"/>
    <n v="60"/>
    <s v="Venmo"/>
    <s v="Normal"/>
    <s v="Good"/>
  </r>
  <r>
    <n v="305"/>
    <n v="40"/>
    <x v="0"/>
    <x v="10"/>
    <x v="0"/>
    <n v="84"/>
    <x v="4"/>
    <x v="2"/>
    <s v="Green"/>
    <x v="0"/>
    <n v="3.4"/>
    <s v="Yes"/>
    <x v="2"/>
    <s v="Yes"/>
    <n v="45"/>
    <x v="2"/>
    <s v="Bi-Weekly"/>
    <n v="0.1"/>
    <n v="75.599999999999994"/>
    <n v="84"/>
    <s v="Credit Card"/>
    <s v="Normal"/>
    <s v="Good"/>
  </r>
  <r>
    <n v="306"/>
    <n v="60"/>
    <x v="0"/>
    <x v="1"/>
    <x v="0"/>
    <n v="59"/>
    <x v="40"/>
    <x v="2"/>
    <s v="Teal"/>
    <x v="3"/>
    <n v="3.5"/>
    <s v="Yes"/>
    <x v="4"/>
    <s v="Yes"/>
    <n v="26"/>
    <x v="3"/>
    <s v="Annually"/>
    <n v="0.1"/>
    <n v="53.1"/>
    <n v="59"/>
    <s v="PayPal"/>
    <s v="Normal"/>
    <s v="Good"/>
  </r>
  <r>
    <n v="307"/>
    <n v="26"/>
    <x v="0"/>
    <x v="14"/>
    <x v="2"/>
    <n v="49"/>
    <x v="25"/>
    <x v="1"/>
    <s v="White"/>
    <x v="2"/>
    <n v="3.6"/>
    <s v="Yes"/>
    <x v="0"/>
    <s v="Yes"/>
    <n v="4"/>
    <x v="1"/>
    <s v="Annually"/>
    <n v="0.1"/>
    <n v="44.1"/>
    <n v="49"/>
    <s v="Cash"/>
    <s v="Normal"/>
    <s v="Good"/>
  </r>
  <r>
    <n v="308"/>
    <n v="29"/>
    <x v="0"/>
    <x v="24"/>
    <x v="3"/>
    <n v="32"/>
    <x v="20"/>
    <x v="2"/>
    <s v="Orange"/>
    <x v="0"/>
    <n v="3.2"/>
    <s v="Yes"/>
    <x v="1"/>
    <s v="Yes"/>
    <n v="3"/>
    <x v="2"/>
    <s v="Every 3 Months"/>
    <n v="0.1"/>
    <n v="28.8"/>
    <n v="32"/>
    <s v="Credit Card"/>
    <s v="Normal"/>
    <s v="Good"/>
  </r>
  <r>
    <n v="309"/>
    <n v="66"/>
    <x v="0"/>
    <x v="8"/>
    <x v="3"/>
    <n v="29"/>
    <x v="33"/>
    <x v="2"/>
    <s v="Beige"/>
    <x v="3"/>
    <n v="3.7"/>
    <s v="Yes"/>
    <x v="3"/>
    <s v="Yes"/>
    <n v="45"/>
    <x v="0"/>
    <s v="Bi-Weekly"/>
    <n v="0.1"/>
    <n v="26.1"/>
    <n v="29"/>
    <s v="Venmo"/>
    <s v="Normal"/>
    <s v="Good"/>
  </r>
  <r>
    <n v="310"/>
    <n v="66"/>
    <x v="0"/>
    <x v="10"/>
    <x v="0"/>
    <n v="22"/>
    <x v="46"/>
    <x v="2"/>
    <s v="Yellow"/>
    <x v="1"/>
    <n v="4.5"/>
    <s v="Yes"/>
    <x v="3"/>
    <s v="Yes"/>
    <n v="21"/>
    <x v="1"/>
    <s v="Fortnightly"/>
    <n v="0.1"/>
    <n v="19.8"/>
    <n v="22"/>
    <s v="Cash"/>
    <s v="Normal"/>
    <s v="Good"/>
  </r>
  <r>
    <n v="311"/>
    <n v="56"/>
    <x v="0"/>
    <x v="13"/>
    <x v="0"/>
    <n v="85"/>
    <x v="6"/>
    <x v="2"/>
    <s v="Charcoal"/>
    <x v="0"/>
    <n v="4.5999999999999996"/>
    <s v="Yes"/>
    <x v="3"/>
    <s v="Yes"/>
    <n v="50"/>
    <x v="1"/>
    <s v="Fortnightly"/>
    <n v="0.1"/>
    <n v="76.5"/>
    <n v="85"/>
    <s v="Cash"/>
    <s v="Normal"/>
    <s v="Good"/>
  </r>
  <r>
    <n v="312"/>
    <n v="69"/>
    <x v="0"/>
    <x v="2"/>
    <x v="0"/>
    <n v="52"/>
    <x v="3"/>
    <x v="0"/>
    <s v="Silver"/>
    <x v="0"/>
    <n v="4.0999999999999996"/>
    <s v="Yes"/>
    <x v="5"/>
    <s v="Yes"/>
    <n v="19"/>
    <x v="4"/>
    <s v="Monthly"/>
    <n v="0.1"/>
    <n v="46.8"/>
    <n v="52"/>
    <s v="Bank Transfer"/>
    <s v="Normal"/>
    <s v="Good"/>
  </r>
  <r>
    <n v="313"/>
    <n v="38"/>
    <x v="0"/>
    <x v="13"/>
    <x v="0"/>
    <n v="89"/>
    <x v="2"/>
    <x v="0"/>
    <s v="Green"/>
    <x v="1"/>
    <n v="3.4"/>
    <s v="Yes"/>
    <x v="2"/>
    <s v="Yes"/>
    <n v="6"/>
    <x v="3"/>
    <s v="Annually"/>
    <n v="0.1"/>
    <n v="80.099999999999994"/>
    <n v="89"/>
    <s v="PayPal"/>
    <s v="Normal"/>
    <s v="Good"/>
  </r>
  <r>
    <n v="314"/>
    <n v="42"/>
    <x v="0"/>
    <x v="10"/>
    <x v="0"/>
    <n v="77"/>
    <x v="34"/>
    <x v="2"/>
    <s v="Pink"/>
    <x v="1"/>
    <n v="3.7"/>
    <s v="Yes"/>
    <x v="0"/>
    <s v="Yes"/>
    <n v="50"/>
    <x v="2"/>
    <s v="Every 3 Months"/>
    <n v="0.1"/>
    <n v="69.3"/>
    <n v="77"/>
    <s v="Credit Card"/>
    <s v="Normal"/>
    <s v="Good"/>
  </r>
  <r>
    <n v="315"/>
    <n v="30"/>
    <x v="0"/>
    <x v="13"/>
    <x v="0"/>
    <n v="24"/>
    <x v="32"/>
    <x v="2"/>
    <s v="Purple"/>
    <x v="2"/>
    <n v="3.3"/>
    <s v="Yes"/>
    <x v="5"/>
    <s v="Yes"/>
    <n v="17"/>
    <x v="5"/>
    <s v="Every 3 Months"/>
    <n v="0.1"/>
    <n v="21.6"/>
    <n v="24"/>
    <s v="Debit Card"/>
    <s v="Normal"/>
    <s v="Good"/>
  </r>
  <r>
    <n v="316"/>
    <n v="66"/>
    <x v="0"/>
    <x v="16"/>
    <x v="3"/>
    <n v="24"/>
    <x v="48"/>
    <x v="3"/>
    <s v="Orange"/>
    <x v="1"/>
    <n v="4.5"/>
    <s v="Yes"/>
    <x v="0"/>
    <s v="Yes"/>
    <n v="24"/>
    <x v="5"/>
    <s v="Annually"/>
    <n v="0.1"/>
    <n v="21.6"/>
    <n v="24"/>
    <s v="Debit Card"/>
    <s v="Normal"/>
    <s v="Good"/>
  </r>
  <r>
    <n v="317"/>
    <n v="36"/>
    <x v="0"/>
    <x v="8"/>
    <x v="3"/>
    <n v="22"/>
    <x v="18"/>
    <x v="2"/>
    <s v="Charcoal"/>
    <x v="3"/>
    <n v="3.3"/>
    <s v="Yes"/>
    <x v="1"/>
    <s v="Yes"/>
    <n v="46"/>
    <x v="0"/>
    <s v="Monthly"/>
    <n v="0.1"/>
    <n v="19.8"/>
    <n v="22"/>
    <s v="Venmo"/>
    <s v="Normal"/>
    <s v="Good"/>
  </r>
  <r>
    <n v="318"/>
    <n v="58"/>
    <x v="0"/>
    <x v="1"/>
    <x v="0"/>
    <n v="82"/>
    <x v="8"/>
    <x v="0"/>
    <s v="Teal"/>
    <x v="3"/>
    <n v="4.3"/>
    <s v="Yes"/>
    <x v="3"/>
    <s v="Yes"/>
    <n v="42"/>
    <x v="1"/>
    <s v="Every 3 Months"/>
    <n v="0.1"/>
    <n v="73.8"/>
    <n v="82"/>
    <s v="Cash"/>
    <s v="Normal"/>
    <s v="Good"/>
  </r>
  <r>
    <n v="319"/>
    <n v="45"/>
    <x v="0"/>
    <x v="21"/>
    <x v="3"/>
    <n v="67"/>
    <x v="45"/>
    <x v="2"/>
    <s v="Beige"/>
    <x v="0"/>
    <n v="2.5"/>
    <s v="Yes"/>
    <x v="3"/>
    <s v="Yes"/>
    <n v="10"/>
    <x v="1"/>
    <s v="Annually"/>
    <n v="0.1"/>
    <n v="60.3"/>
    <n v="67"/>
    <s v="Cash"/>
    <s v="Normal"/>
    <s v="Poor"/>
  </r>
  <r>
    <n v="320"/>
    <n v="47"/>
    <x v="0"/>
    <x v="6"/>
    <x v="0"/>
    <n v="74"/>
    <x v="1"/>
    <x v="3"/>
    <s v="White"/>
    <x v="1"/>
    <n v="2.6"/>
    <s v="Yes"/>
    <x v="3"/>
    <s v="Yes"/>
    <n v="1"/>
    <x v="1"/>
    <s v="Every 3 Months"/>
    <n v="0.1"/>
    <n v="66.599999999999994"/>
    <n v="74"/>
    <s v="Cash"/>
    <s v="Normal"/>
    <s v="Poor"/>
  </r>
  <r>
    <n v="321"/>
    <n v="66"/>
    <x v="0"/>
    <x v="16"/>
    <x v="3"/>
    <n v="72"/>
    <x v="23"/>
    <x v="0"/>
    <s v="White"/>
    <x v="2"/>
    <n v="4.9000000000000004"/>
    <s v="Yes"/>
    <x v="3"/>
    <s v="Yes"/>
    <n v="28"/>
    <x v="5"/>
    <s v="Quarterly"/>
    <n v="0.1"/>
    <n v="64.8"/>
    <n v="72"/>
    <s v="Debit Card"/>
    <s v="Normal"/>
    <s v="Good"/>
  </r>
  <r>
    <n v="322"/>
    <n v="41"/>
    <x v="0"/>
    <x v="4"/>
    <x v="1"/>
    <n v="36"/>
    <x v="34"/>
    <x v="0"/>
    <s v="Orange"/>
    <x v="2"/>
    <n v="4.7"/>
    <s v="Yes"/>
    <x v="1"/>
    <s v="Yes"/>
    <n v="48"/>
    <x v="5"/>
    <s v="Quarterly"/>
    <n v="0.1"/>
    <n v="32.4"/>
    <n v="36"/>
    <s v="Debit Card"/>
    <s v="Normal"/>
    <s v="Good"/>
  </r>
  <r>
    <n v="323"/>
    <n v="41"/>
    <x v="0"/>
    <x v="22"/>
    <x v="3"/>
    <n v="95"/>
    <x v="30"/>
    <x v="1"/>
    <s v="Cyan"/>
    <x v="0"/>
    <n v="3"/>
    <s v="Yes"/>
    <x v="3"/>
    <s v="Yes"/>
    <n v="47"/>
    <x v="2"/>
    <s v="Monthly"/>
    <n v="0.1"/>
    <n v="85.5"/>
    <n v="95"/>
    <s v="Credit Card"/>
    <s v="Normal"/>
    <s v="Good"/>
  </r>
  <r>
    <n v="324"/>
    <n v="66"/>
    <x v="0"/>
    <x v="15"/>
    <x v="0"/>
    <n v="78"/>
    <x v="30"/>
    <x v="2"/>
    <s v="Orange"/>
    <x v="0"/>
    <n v="3.5"/>
    <s v="Yes"/>
    <x v="2"/>
    <s v="Yes"/>
    <n v="29"/>
    <x v="3"/>
    <s v="Bi-Weekly"/>
    <n v="0.1"/>
    <n v="70.2"/>
    <n v="78"/>
    <s v="PayPal"/>
    <s v="Normal"/>
    <s v="Good"/>
  </r>
  <r>
    <n v="325"/>
    <n v="37"/>
    <x v="0"/>
    <x v="5"/>
    <x v="0"/>
    <n v="82"/>
    <x v="5"/>
    <x v="2"/>
    <s v="Olive"/>
    <x v="2"/>
    <n v="4.8"/>
    <s v="Yes"/>
    <x v="3"/>
    <s v="Yes"/>
    <n v="37"/>
    <x v="0"/>
    <s v="Quarterly"/>
    <n v="0.1"/>
    <n v="73.8"/>
    <n v="82"/>
    <s v="Venmo"/>
    <s v="Normal"/>
    <s v="Good"/>
  </r>
  <r>
    <n v="326"/>
    <n v="70"/>
    <x v="0"/>
    <x v="13"/>
    <x v="0"/>
    <n v="70"/>
    <x v="34"/>
    <x v="2"/>
    <s v="Charcoal"/>
    <x v="0"/>
    <n v="4.3"/>
    <s v="Yes"/>
    <x v="1"/>
    <s v="Yes"/>
    <n v="38"/>
    <x v="5"/>
    <s v="Annually"/>
    <n v="0.1"/>
    <n v="63"/>
    <n v="70"/>
    <s v="Debit Card"/>
    <s v="Normal"/>
    <s v="Good"/>
  </r>
  <r>
    <n v="327"/>
    <n v="62"/>
    <x v="0"/>
    <x v="18"/>
    <x v="3"/>
    <n v="41"/>
    <x v="32"/>
    <x v="2"/>
    <s v="White"/>
    <x v="3"/>
    <n v="3.2"/>
    <s v="Yes"/>
    <x v="5"/>
    <s v="Yes"/>
    <n v="48"/>
    <x v="4"/>
    <s v="Weekly"/>
    <n v="0.1"/>
    <n v="36.9"/>
    <n v="41"/>
    <s v="Bank Transfer"/>
    <s v="Normal"/>
    <s v="Good"/>
  </r>
  <r>
    <n v="328"/>
    <n v="61"/>
    <x v="0"/>
    <x v="7"/>
    <x v="2"/>
    <n v="42"/>
    <x v="44"/>
    <x v="2"/>
    <s v="Teal"/>
    <x v="2"/>
    <n v="3.1"/>
    <s v="Yes"/>
    <x v="1"/>
    <s v="Yes"/>
    <n v="36"/>
    <x v="3"/>
    <s v="Weekly"/>
    <n v="0.1"/>
    <n v="37.799999999999997"/>
    <n v="42"/>
    <s v="PayPal"/>
    <s v="Normal"/>
    <s v="Good"/>
  </r>
  <r>
    <n v="329"/>
    <n v="48"/>
    <x v="0"/>
    <x v="7"/>
    <x v="2"/>
    <n v="50"/>
    <x v="20"/>
    <x v="2"/>
    <s v="Yellow"/>
    <x v="3"/>
    <n v="2.8"/>
    <s v="Yes"/>
    <x v="1"/>
    <s v="Yes"/>
    <n v="9"/>
    <x v="2"/>
    <s v="Weekly"/>
    <n v="0.1"/>
    <n v="45"/>
    <n v="50"/>
    <s v="Credit Card"/>
    <s v="Normal"/>
    <s v="Poor"/>
  </r>
  <r>
    <n v="330"/>
    <n v="70"/>
    <x v="0"/>
    <x v="20"/>
    <x v="0"/>
    <n v="31"/>
    <x v="22"/>
    <x v="1"/>
    <s v="White"/>
    <x v="2"/>
    <n v="2.9"/>
    <s v="Yes"/>
    <x v="4"/>
    <s v="Yes"/>
    <n v="34"/>
    <x v="4"/>
    <s v="Monthly"/>
    <n v="0.1"/>
    <n v="27.9"/>
    <n v="31"/>
    <s v="Bank Transfer"/>
    <s v="Normal"/>
    <s v="Poor"/>
  </r>
  <r>
    <n v="331"/>
    <n v="46"/>
    <x v="0"/>
    <x v="1"/>
    <x v="0"/>
    <n v="51"/>
    <x v="25"/>
    <x v="2"/>
    <s v="Beige"/>
    <x v="0"/>
    <n v="1"/>
    <s v="Yes"/>
    <x v="0"/>
    <s v="Yes"/>
    <n v="43"/>
    <x v="0"/>
    <s v="Bi-Weekly"/>
    <n v="0.1"/>
    <n v="45.9"/>
    <n v="51"/>
    <s v="Venmo"/>
    <s v="Normal"/>
    <s v="Poor"/>
  </r>
  <r>
    <n v="332"/>
    <n v="31"/>
    <x v="0"/>
    <x v="5"/>
    <x v="0"/>
    <n v="98"/>
    <x v="20"/>
    <x v="0"/>
    <s v="Beige"/>
    <x v="3"/>
    <n v="3.3"/>
    <s v="Yes"/>
    <x v="5"/>
    <s v="Yes"/>
    <n v="46"/>
    <x v="3"/>
    <s v="Quarterly"/>
    <n v="0.1"/>
    <n v="88.2"/>
    <n v="98"/>
    <s v="PayPal"/>
    <s v="Normal"/>
    <s v="Good"/>
  </r>
  <r>
    <n v="333"/>
    <n v="19"/>
    <x v="0"/>
    <x v="5"/>
    <x v="0"/>
    <n v="86"/>
    <x v="14"/>
    <x v="2"/>
    <s v="Maroon"/>
    <x v="0"/>
    <n v="2.8"/>
    <s v="Yes"/>
    <x v="4"/>
    <s v="Yes"/>
    <n v="5"/>
    <x v="2"/>
    <s v="Monthly"/>
    <n v="0.1"/>
    <n v="77.400000000000006"/>
    <n v="86"/>
    <s v="Credit Card"/>
    <s v="Normal"/>
    <s v="Poor"/>
  </r>
  <r>
    <n v="334"/>
    <n v="39"/>
    <x v="0"/>
    <x v="1"/>
    <x v="0"/>
    <n v="64"/>
    <x v="29"/>
    <x v="2"/>
    <s v="Teal"/>
    <x v="0"/>
    <n v="4.5"/>
    <s v="Yes"/>
    <x v="3"/>
    <s v="Yes"/>
    <n v="15"/>
    <x v="4"/>
    <s v="Bi-Weekly"/>
    <n v="0.1"/>
    <n v="57.6"/>
    <n v="64"/>
    <s v="Bank Transfer"/>
    <s v="Normal"/>
    <s v="Good"/>
  </r>
  <r>
    <n v="335"/>
    <n v="41"/>
    <x v="0"/>
    <x v="0"/>
    <x v="0"/>
    <n v="46"/>
    <x v="23"/>
    <x v="2"/>
    <s v="Lavender"/>
    <x v="3"/>
    <n v="2.6"/>
    <s v="Yes"/>
    <x v="2"/>
    <s v="Yes"/>
    <n v="30"/>
    <x v="2"/>
    <s v="Annually"/>
    <n v="0.1"/>
    <n v="41.4"/>
    <n v="46"/>
    <s v="Credit Card"/>
    <s v="Normal"/>
    <s v="Poor"/>
  </r>
  <r>
    <n v="336"/>
    <n v="20"/>
    <x v="0"/>
    <x v="1"/>
    <x v="0"/>
    <n v="85"/>
    <x v="4"/>
    <x v="0"/>
    <s v="Maroon"/>
    <x v="1"/>
    <n v="3.7"/>
    <s v="Yes"/>
    <x v="3"/>
    <s v="Yes"/>
    <n v="44"/>
    <x v="0"/>
    <s v="Every 3 Months"/>
    <n v="0.1"/>
    <n v="76.5"/>
    <n v="85"/>
    <s v="Venmo"/>
    <s v="Normal"/>
    <s v="Good"/>
  </r>
  <r>
    <n v="337"/>
    <n v="36"/>
    <x v="0"/>
    <x v="19"/>
    <x v="3"/>
    <n v="81"/>
    <x v="3"/>
    <x v="1"/>
    <s v="Orange"/>
    <x v="3"/>
    <n v="4.4000000000000004"/>
    <s v="Yes"/>
    <x v="0"/>
    <s v="Yes"/>
    <n v="16"/>
    <x v="3"/>
    <s v="Annually"/>
    <n v="0.1"/>
    <n v="72.900000000000006"/>
    <n v="81"/>
    <s v="PayPal"/>
    <s v="Normal"/>
    <s v="Good"/>
  </r>
  <r>
    <n v="338"/>
    <n v="32"/>
    <x v="0"/>
    <x v="1"/>
    <x v="0"/>
    <n v="59"/>
    <x v="35"/>
    <x v="2"/>
    <s v="Cyan"/>
    <x v="0"/>
    <n v="4.3"/>
    <s v="Yes"/>
    <x v="4"/>
    <s v="Yes"/>
    <n v="16"/>
    <x v="4"/>
    <s v="Annually"/>
    <n v="0.1"/>
    <n v="53.1"/>
    <n v="59"/>
    <s v="Bank Transfer"/>
    <s v="Normal"/>
    <s v="Good"/>
  </r>
  <r>
    <n v="339"/>
    <n v="69"/>
    <x v="0"/>
    <x v="15"/>
    <x v="0"/>
    <n v="79"/>
    <x v="2"/>
    <x v="2"/>
    <s v="Silver"/>
    <x v="0"/>
    <n v="3.5"/>
    <s v="Yes"/>
    <x v="0"/>
    <s v="Yes"/>
    <n v="16"/>
    <x v="1"/>
    <s v="Weekly"/>
    <n v="0.1"/>
    <n v="71.099999999999994"/>
    <n v="79"/>
    <s v="Cash"/>
    <s v="Normal"/>
    <s v="Good"/>
  </r>
  <r>
    <n v="340"/>
    <n v="40"/>
    <x v="0"/>
    <x v="6"/>
    <x v="0"/>
    <n v="33"/>
    <x v="38"/>
    <x v="2"/>
    <s v="Teal"/>
    <x v="1"/>
    <n v="3.8"/>
    <s v="Yes"/>
    <x v="4"/>
    <s v="Yes"/>
    <n v="21"/>
    <x v="2"/>
    <s v="Every 3 Months"/>
    <n v="0.1"/>
    <n v="29.7"/>
    <n v="33"/>
    <s v="Credit Card"/>
    <s v="Normal"/>
    <s v="Good"/>
  </r>
  <r>
    <n v="341"/>
    <n v="40"/>
    <x v="0"/>
    <x v="6"/>
    <x v="0"/>
    <n v="47"/>
    <x v="32"/>
    <x v="0"/>
    <s v="Blue"/>
    <x v="2"/>
    <n v="3.5"/>
    <s v="Yes"/>
    <x v="0"/>
    <s v="Yes"/>
    <n v="39"/>
    <x v="0"/>
    <s v="Every 3 Months"/>
    <n v="0.1"/>
    <n v="42.3"/>
    <n v="47"/>
    <s v="Venmo"/>
    <s v="Normal"/>
    <s v="Good"/>
  </r>
  <r>
    <n v="342"/>
    <n v="20"/>
    <x v="0"/>
    <x v="19"/>
    <x v="3"/>
    <n v="20"/>
    <x v="40"/>
    <x v="1"/>
    <s v="Blue"/>
    <x v="2"/>
    <n v="4.5999999999999996"/>
    <s v="Yes"/>
    <x v="5"/>
    <s v="Yes"/>
    <n v="40"/>
    <x v="5"/>
    <s v="Bi-Weekly"/>
    <n v="0.1"/>
    <n v="18"/>
    <n v="20"/>
    <s v="Debit Card"/>
    <s v="Normal"/>
    <s v="Good"/>
  </r>
  <r>
    <n v="343"/>
    <n v="64"/>
    <x v="0"/>
    <x v="7"/>
    <x v="2"/>
    <n v="36"/>
    <x v="0"/>
    <x v="2"/>
    <s v="Olive"/>
    <x v="1"/>
    <n v="2.6"/>
    <s v="Yes"/>
    <x v="2"/>
    <s v="Yes"/>
    <n v="48"/>
    <x v="2"/>
    <s v="Every 3 Months"/>
    <n v="0.1"/>
    <n v="32.4"/>
    <n v="36"/>
    <s v="Credit Card"/>
    <s v="Normal"/>
    <s v="Poor"/>
  </r>
  <r>
    <n v="344"/>
    <n v="27"/>
    <x v="0"/>
    <x v="3"/>
    <x v="1"/>
    <n v="39"/>
    <x v="43"/>
    <x v="2"/>
    <s v="Purple"/>
    <x v="2"/>
    <n v="4.4000000000000004"/>
    <s v="Yes"/>
    <x v="2"/>
    <s v="Yes"/>
    <n v="26"/>
    <x v="0"/>
    <s v="Monthly"/>
    <n v="0.1"/>
    <n v="35.1"/>
    <n v="39"/>
    <s v="Venmo"/>
    <s v="Normal"/>
    <s v="Good"/>
  </r>
  <r>
    <n v="345"/>
    <n v="24"/>
    <x v="0"/>
    <x v="11"/>
    <x v="0"/>
    <n v="71"/>
    <x v="41"/>
    <x v="2"/>
    <s v="Charcoal"/>
    <x v="0"/>
    <n v="4"/>
    <s v="Yes"/>
    <x v="3"/>
    <s v="Yes"/>
    <n v="46"/>
    <x v="5"/>
    <s v="Monthly"/>
    <n v="0.1"/>
    <n v="63.9"/>
    <n v="71"/>
    <s v="Debit Card"/>
    <s v="Normal"/>
    <s v="Good"/>
  </r>
  <r>
    <n v="346"/>
    <n v="48"/>
    <x v="0"/>
    <x v="9"/>
    <x v="1"/>
    <n v="59"/>
    <x v="5"/>
    <x v="1"/>
    <s v="Olive"/>
    <x v="0"/>
    <n v="4.4000000000000004"/>
    <s v="Yes"/>
    <x v="2"/>
    <s v="Yes"/>
    <n v="27"/>
    <x v="4"/>
    <s v="Annually"/>
    <n v="0.1"/>
    <n v="53.1"/>
    <n v="59"/>
    <s v="Bank Transfer"/>
    <s v="Normal"/>
    <s v="Good"/>
  </r>
  <r>
    <n v="347"/>
    <n v="49"/>
    <x v="0"/>
    <x v="2"/>
    <x v="0"/>
    <n v="50"/>
    <x v="35"/>
    <x v="0"/>
    <s v="Violet"/>
    <x v="1"/>
    <n v="4.7"/>
    <s v="Yes"/>
    <x v="2"/>
    <s v="Yes"/>
    <n v="5"/>
    <x v="1"/>
    <s v="Weekly"/>
    <n v="0.1"/>
    <n v="45"/>
    <n v="50"/>
    <s v="Cash"/>
    <s v="Normal"/>
    <s v="Good"/>
  </r>
  <r>
    <n v="348"/>
    <n v="36"/>
    <x v="0"/>
    <x v="3"/>
    <x v="1"/>
    <n v="41"/>
    <x v="4"/>
    <x v="0"/>
    <s v="Red"/>
    <x v="3"/>
    <n v="3.9"/>
    <s v="Yes"/>
    <x v="5"/>
    <s v="Yes"/>
    <n v="43"/>
    <x v="3"/>
    <s v="Fortnightly"/>
    <n v="0.1"/>
    <n v="36.9"/>
    <n v="41"/>
    <s v="PayPal"/>
    <s v="Normal"/>
    <s v="Good"/>
  </r>
  <r>
    <n v="349"/>
    <n v="56"/>
    <x v="0"/>
    <x v="0"/>
    <x v="0"/>
    <n v="59"/>
    <x v="36"/>
    <x v="2"/>
    <s v="Beige"/>
    <x v="3"/>
    <n v="2.7"/>
    <s v="Yes"/>
    <x v="1"/>
    <s v="Yes"/>
    <n v="17"/>
    <x v="3"/>
    <s v="Fortnightly"/>
    <n v="0.1"/>
    <n v="53.1"/>
    <n v="59"/>
    <s v="PayPal"/>
    <s v="Normal"/>
    <s v="Poor"/>
  </r>
  <r>
    <n v="350"/>
    <n v="37"/>
    <x v="0"/>
    <x v="19"/>
    <x v="3"/>
    <n v="87"/>
    <x v="28"/>
    <x v="2"/>
    <s v="Green"/>
    <x v="0"/>
    <n v="3.7"/>
    <s v="Yes"/>
    <x v="4"/>
    <s v="Yes"/>
    <n v="3"/>
    <x v="4"/>
    <s v="Bi-Weekly"/>
    <n v="0.1"/>
    <n v="78.3"/>
    <n v="87"/>
    <s v="Bank Transfer"/>
    <s v="Normal"/>
    <s v="Good"/>
  </r>
  <r>
    <n v="351"/>
    <n v="42"/>
    <x v="0"/>
    <x v="1"/>
    <x v="0"/>
    <n v="68"/>
    <x v="0"/>
    <x v="2"/>
    <s v="Violet"/>
    <x v="1"/>
    <n v="2.6"/>
    <s v="Yes"/>
    <x v="4"/>
    <s v="Yes"/>
    <n v="47"/>
    <x v="4"/>
    <s v="Fortnightly"/>
    <n v="0.1"/>
    <n v="61.2"/>
    <n v="68"/>
    <s v="Bank Transfer"/>
    <s v="Normal"/>
    <s v="Poor"/>
  </r>
  <r>
    <n v="352"/>
    <n v="28"/>
    <x v="0"/>
    <x v="11"/>
    <x v="0"/>
    <n v="90"/>
    <x v="14"/>
    <x v="2"/>
    <s v="Teal"/>
    <x v="0"/>
    <n v="3.9"/>
    <s v="Yes"/>
    <x v="3"/>
    <s v="Yes"/>
    <n v="24"/>
    <x v="5"/>
    <s v="Bi-Weekly"/>
    <n v="0.1"/>
    <n v="81"/>
    <n v="90"/>
    <s v="Debit Card"/>
    <s v="Normal"/>
    <s v="Good"/>
  </r>
  <r>
    <n v="353"/>
    <n v="27"/>
    <x v="0"/>
    <x v="2"/>
    <x v="0"/>
    <n v="71"/>
    <x v="21"/>
    <x v="3"/>
    <s v="Yellow"/>
    <x v="3"/>
    <n v="4.9000000000000004"/>
    <s v="Yes"/>
    <x v="2"/>
    <s v="Yes"/>
    <n v="12"/>
    <x v="1"/>
    <s v="Every 3 Months"/>
    <n v="0.1"/>
    <n v="63.9"/>
    <n v="71"/>
    <s v="Cash"/>
    <s v="Normal"/>
    <s v="Good"/>
  </r>
  <r>
    <n v="354"/>
    <n v="63"/>
    <x v="0"/>
    <x v="4"/>
    <x v="1"/>
    <n v="64"/>
    <x v="9"/>
    <x v="0"/>
    <s v="Yellow"/>
    <x v="3"/>
    <n v="4.0999999999999996"/>
    <s v="Yes"/>
    <x v="5"/>
    <s v="Yes"/>
    <n v="35"/>
    <x v="5"/>
    <s v="Monthly"/>
    <n v="0.1"/>
    <n v="57.6"/>
    <n v="64"/>
    <s v="Debit Card"/>
    <s v="Normal"/>
    <s v="Good"/>
  </r>
  <r>
    <n v="355"/>
    <n v="58"/>
    <x v="0"/>
    <x v="16"/>
    <x v="3"/>
    <n v="76"/>
    <x v="38"/>
    <x v="1"/>
    <s v="Olive"/>
    <x v="3"/>
    <n v="3"/>
    <s v="Yes"/>
    <x v="1"/>
    <s v="Yes"/>
    <n v="42"/>
    <x v="0"/>
    <s v="Weekly"/>
    <n v="0.1"/>
    <n v="68.400000000000006"/>
    <n v="76"/>
    <s v="Venmo"/>
    <s v="Normal"/>
    <s v="Good"/>
  </r>
  <r>
    <n v="356"/>
    <n v="37"/>
    <x v="0"/>
    <x v="16"/>
    <x v="3"/>
    <n v="42"/>
    <x v="4"/>
    <x v="3"/>
    <s v="Magenta"/>
    <x v="3"/>
    <n v="4.0999999999999996"/>
    <s v="Yes"/>
    <x v="4"/>
    <s v="Yes"/>
    <n v="1"/>
    <x v="3"/>
    <s v="Every 3 Months"/>
    <n v="0.1"/>
    <n v="37.799999999999997"/>
    <n v="42"/>
    <s v="PayPal"/>
    <s v="Normal"/>
    <s v="Good"/>
  </r>
  <r>
    <n v="357"/>
    <n v="56"/>
    <x v="0"/>
    <x v="13"/>
    <x v="0"/>
    <n v="80"/>
    <x v="22"/>
    <x v="0"/>
    <s v="Black"/>
    <x v="1"/>
    <n v="1"/>
    <s v="Yes"/>
    <x v="3"/>
    <s v="Yes"/>
    <n v="27"/>
    <x v="1"/>
    <s v="Weekly"/>
    <n v="0.1"/>
    <n v="72"/>
    <n v="80"/>
    <s v="Cash"/>
    <s v="Normal"/>
    <s v="Poor"/>
  </r>
  <r>
    <n v="358"/>
    <n v="18"/>
    <x v="0"/>
    <x v="22"/>
    <x v="3"/>
    <n v="56"/>
    <x v="10"/>
    <x v="2"/>
    <s v="Olive"/>
    <x v="1"/>
    <n v="4"/>
    <s v="Yes"/>
    <x v="3"/>
    <s v="Yes"/>
    <n v="16"/>
    <x v="2"/>
    <s v="Bi-Weekly"/>
    <n v="0.1"/>
    <n v="50.4"/>
    <n v="56"/>
    <s v="Credit Card"/>
    <s v="Normal"/>
    <s v="Good"/>
  </r>
  <r>
    <n v="359"/>
    <n v="48"/>
    <x v="0"/>
    <x v="19"/>
    <x v="3"/>
    <n v="25"/>
    <x v="46"/>
    <x v="3"/>
    <s v="Magenta"/>
    <x v="2"/>
    <n v="3.6"/>
    <s v="Yes"/>
    <x v="0"/>
    <s v="Yes"/>
    <n v="36"/>
    <x v="2"/>
    <s v="Every 3 Months"/>
    <n v="0.1"/>
    <n v="22.5"/>
    <n v="25"/>
    <s v="Credit Card"/>
    <s v="Normal"/>
    <s v="Good"/>
  </r>
  <r>
    <n v="360"/>
    <n v="31"/>
    <x v="0"/>
    <x v="4"/>
    <x v="1"/>
    <n v="74"/>
    <x v="42"/>
    <x v="2"/>
    <s v="Olive"/>
    <x v="0"/>
    <n v="3"/>
    <s v="Yes"/>
    <x v="5"/>
    <s v="Yes"/>
    <n v="30"/>
    <x v="2"/>
    <s v="Every 3 Months"/>
    <n v="0.1"/>
    <n v="66.599999999999994"/>
    <n v="74"/>
    <s v="Credit Card"/>
    <s v="Normal"/>
    <s v="Good"/>
  </r>
  <r>
    <n v="361"/>
    <n v="51"/>
    <x v="0"/>
    <x v="13"/>
    <x v="0"/>
    <n v="30"/>
    <x v="3"/>
    <x v="2"/>
    <s v="Teal"/>
    <x v="2"/>
    <n v="3"/>
    <s v="Yes"/>
    <x v="3"/>
    <s v="Yes"/>
    <n v="18"/>
    <x v="5"/>
    <s v="Fortnightly"/>
    <n v="0.1"/>
    <n v="27"/>
    <n v="30"/>
    <s v="Debit Card"/>
    <s v="Normal"/>
    <s v="Good"/>
  </r>
  <r>
    <n v="362"/>
    <n v="65"/>
    <x v="0"/>
    <x v="17"/>
    <x v="0"/>
    <n v="96"/>
    <x v="22"/>
    <x v="2"/>
    <s v="White"/>
    <x v="1"/>
    <n v="2.6"/>
    <s v="Yes"/>
    <x v="1"/>
    <s v="Yes"/>
    <n v="45"/>
    <x v="1"/>
    <s v="Annually"/>
    <n v="0.1"/>
    <n v="86.4"/>
    <n v="96"/>
    <s v="Cash"/>
    <s v="Normal"/>
    <s v="Poor"/>
  </r>
  <r>
    <n v="363"/>
    <n v="53"/>
    <x v="0"/>
    <x v="4"/>
    <x v="1"/>
    <n v="64"/>
    <x v="21"/>
    <x v="2"/>
    <s v="Charcoal"/>
    <x v="3"/>
    <n v="3.4"/>
    <s v="Yes"/>
    <x v="1"/>
    <s v="Yes"/>
    <n v="1"/>
    <x v="0"/>
    <s v="Fortnightly"/>
    <n v="0.1"/>
    <n v="57.6"/>
    <n v="64"/>
    <s v="Venmo"/>
    <s v="Normal"/>
    <s v="Good"/>
  </r>
  <r>
    <n v="364"/>
    <n v="55"/>
    <x v="0"/>
    <x v="6"/>
    <x v="0"/>
    <n v="88"/>
    <x v="20"/>
    <x v="0"/>
    <s v="Yellow"/>
    <x v="0"/>
    <n v="3.1"/>
    <s v="Yes"/>
    <x v="1"/>
    <s v="Yes"/>
    <n v="42"/>
    <x v="4"/>
    <s v="Fortnightly"/>
    <n v="0.1"/>
    <n v="79.2"/>
    <n v="88"/>
    <s v="Bank Transfer"/>
    <s v="Normal"/>
    <s v="Good"/>
  </r>
  <r>
    <n v="365"/>
    <n v="62"/>
    <x v="0"/>
    <x v="9"/>
    <x v="1"/>
    <n v="88"/>
    <x v="25"/>
    <x v="0"/>
    <s v="Charcoal"/>
    <x v="2"/>
    <n v="3"/>
    <s v="Yes"/>
    <x v="1"/>
    <s v="Yes"/>
    <n v="7"/>
    <x v="0"/>
    <s v="Every 3 Months"/>
    <n v="0.1"/>
    <n v="79.2"/>
    <n v="88"/>
    <s v="Venmo"/>
    <s v="Normal"/>
    <s v="Good"/>
  </r>
  <r>
    <n v="366"/>
    <n v="55"/>
    <x v="0"/>
    <x v="24"/>
    <x v="3"/>
    <n v="88"/>
    <x v="8"/>
    <x v="3"/>
    <s v="Gray"/>
    <x v="2"/>
    <n v="3.7"/>
    <s v="Yes"/>
    <x v="3"/>
    <s v="Yes"/>
    <n v="50"/>
    <x v="3"/>
    <s v="Quarterly"/>
    <n v="0.1"/>
    <n v="79.2"/>
    <n v="88"/>
    <s v="PayPal"/>
    <s v="Normal"/>
    <s v="Good"/>
  </r>
  <r>
    <n v="367"/>
    <n v="64"/>
    <x v="0"/>
    <x v="20"/>
    <x v="0"/>
    <n v="36"/>
    <x v="43"/>
    <x v="2"/>
    <s v="Turquoise"/>
    <x v="1"/>
    <n v="3.5"/>
    <s v="Yes"/>
    <x v="5"/>
    <s v="Yes"/>
    <n v="37"/>
    <x v="0"/>
    <s v="Fortnightly"/>
    <n v="0.1"/>
    <n v="32.4"/>
    <n v="36"/>
    <s v="Venmo"/>
    <s v="Normal"/>
    <s v="Good"/>
  </r>
  <r>
    <n v="368"/>
    <n v="52"/>
    <x v="0"/>
    <x v="10"/>
    <x v="0"/>
    <n v="40"/>
    <x v="30"/>
    <x v="3"/>
    <s v="Cyan"/>
    <x v="1"/>
    <n v="2.8"/>
    <s v="Yes"/>
    <x v="5"/>
    <s v="Yes"/>
    <n v="18"/>
    <x v="4"/>
    <s v="Monthly"/>
    <n v="0.1"/>
    <n v="36"/>
    <n v="40"/>
    <s v="Bank Transfer"/>
    <s v="Normal"/>
    <s v="Poor"/>
  </r>
  <r>
    <n v="369"/>
    <n v="24"/>
    <x v="0"/>
    <x v="8"/>
    <x v="3"/>
    <n v="39"/>
    <x v="19"/>
    <x v="2"/>
    <s v="Charcoal"/>
    <x v="1"/>
    <n v="4.5"/>
    <s v="Yes"/>
    <x v="3"/>
    <s v="Yes"/>
    <n v="29"/>
    <x v="1"/>
    <s v="Monthly"/>
    <n v="0.1"/>
    <n v="35.1"/>
    <n v="39"/>
    <s v="Cash"/>
    <s v="Normal"/>
    <s v="Good"/>
  </r>
  <r>
    <n v="370"/>
    <n v="38"/>
    <x v="0"/>
    <x v="22"/>
    <x v="3"/>
    <n v="40"/>
    <x v="48"/>
    <x v="2"/>
    <s v="Silver"/>
    <x v="2"/>
    <n v="3.3"/>
    <s v="Yes"/>
    <x v="5"/>
    <s v="Yes"/>
    <n v="45"/>
    <x v="3"/>
    <s v="Quarterly"/>
    <n v="0.1"/>
    <n v="36"/>
    <n v="40"/>
    <s v="PayPal"/>
    <s v="Normal"/>
    <s v="Good"/>
  </r>
  <r>
    <n v="371"/>
    <n v="59"/>
    <x v="0"/>
    <x v="18"/>
    <x v="3"/>
    <n v="34"/>
    <x v="4"/>
    <x v="2"/>
    <s v="Olive"/>
    <x v="0"/>
    <n v="3.4"/>
    <s v="Yes"/>
    <x v="0"/>
    <s v="Yes"/>
    <n v="13"/>
    <x v="3"/>
    <s v="Weekly"/>
    <n v="0.1"/>
    <n v="30.6"/>
    <n v="34"/>
    <s v="PayPal"/>
    <s v="Normal"/>
    <s v="Good"/>
  </r>
  <r>
    <n v="372"/>
    <n v="27"/>
    <x v="0"/>
    <x v="4"/>
    <x v="1"/>
    <n v="83"/>
    <x v="17"/>
    <x v="1"/>
    <s v="Pink"/>
    <x v="0"/>
    <n v="3.2"/>
    <s v="Yes"/>
    <x v="4"/>
    <s v="Yes"/>
    <n v="47"/>
    <x v="3"/>
    <s v="Monthly"/>
    <n v="0.1"/>
    <n v="74.7"/>
    <n v="83"/>
    <s v="PayPal"/>
    <s v="Normal"/>
    <s v="Good"/>
  </r>
  <r>
    <n v="373"/>
    <n v="24"/>
    <x v="0"/>
    <x v="1"/>
    <x v="0"/>
    <n v="85"/>
    <x v="38"/>
    <x v="0"/>
    <s v="Orange"/>
    <x v="2"/>
    <n v="3.7"/>
    <s v="Yes"/>
    <x v="3"/>
    <s v="Yes"/>
    <n v="7"/>
    <x v="5"/>
    <s v="Weekly"/>
    <n v="0.1"/>
    <n v="76.5"/>
    <n v="85"/>
    <s v="Debit Card"/>
    <s v="Normal"/>
    <s v="Good"/>
  </r>
  <r>
    <n v="374"/>
    <n v="23"/>
    <x v="0"/>
    <x v="7"/>
    <x v="2"/>
    <n v="27"/>
    <x v="25"/>
    <x v="0"/>
    <s v="White"/>
    <x v="2"/>
    <n v="4.5999999999999996"/>
    <s v="Yes"/>
    <x v="0"/>
    <s v="Yes"/>
    <n v="11"/>
    <x v="0"/>
    <s v="Bi-Weekly"/>
    <n v="0.1"/>
    <n v="24.3"/>
    <n v="27"/>
    <s v="Venmo"/>
    <s v="Normal"/>
    <s v="Good"/>
  </r>
  <r>
    <n v="375"/>
    <n v="69"/>
    <x v="0"/>
    <x v="16"/>
    <x v="3"/>
    <n v="78"/>
    <x v="31"/>
    <x v="1"/>
    <s v="Purple"/>
    <x v="1"/>
    <n v="5"/>
    <s v="Yes"/>
    <x v="5"/>
    <s v="Yes"/>
    <n v="39"/>
    <x v="4"/>
    <s v="Monthly"/>
    <n v="0.1"/>
    <n v="70.2"/>
    <n v="78"/>
    <s v="Bank Transfer"/>
    <s v="Normal"/>
    <s v="Good"/>
  </r>
  <r>
    <n v="376"/>
    <n v="59"/>
    <x v="0"/>
    <x v="12"/>
    <x v="3"/>
    <n v="32"/>
    <x v="19"/>
    <x v="2"/>
    <s v="Olive"/>
    <x v="2"/>
    <n v="4.4000000000000004"/>
    <s v="Yes"/>
    <x v="3"/>
    <s v="Yes"/>
    <n v="6"/>
    <x v="5"/>
    <s v="Quarterly"/>
    <n v="0.1"/>
    <n v="28.8"/>
    <n v="32"/>
    <s v="Debit Card"/>
    <s v="Normal"/>
    <s v="Good"/>
  </r>
  <r>
    <n v="377"/>
    <n v="51"/>
    <x v="0"/>
    <x v="9"/>
    <x v="1"/>
    <n v="51"/>
    <x v="36"/>
    <x v="1"/>
    <s v="Gray"/>
    <x v="3"/>
    <n v="4.9000000000000004"/>
    <s v="Yes"/>
    <x v="0"/>
    <s v="Yes"/>
    <n v="2"/>
    <x v="0"/>
    <s v="Bi-Weekly"/>
    <n v="0.1"/>
    <n v="45.9"/>
    <n v="51"/>
    <s v="Venmo"/>
    <s v="Normal"/>
    <s v="Good"/>
  </r>
  <r>
    <n v="378"/>
    <n v="63"/>
    <x v="0"/>
    <x v="18"/>
    <x v="3"/>
    <n v="32"/>
    <x v="1"/>
    <x v="2"/>
    <s v="Silver"/>
    <x v="1"/>
    <n v="4.0999999999999996"/>
    <s v="Yes"/>
    <x v="3"/>
    <s v="Yes"/>
    <n v="39"/>
    <x v="2"/>
    <s v="Every 3 Months"/>
    <n v="0.1"/>
    <n v="28.8"/>
    <n v="32"/>
    <s v="Credit Card"/>
    <s v="Normal"/>
    <s v="Good"/>
  </r>
  <r>
    <n v="379"/>
    <n v="54"/>
    <x v="0"/>
    <x v="10"/>
    <x v="0"/>
    <n v="62"/>
    <x v="22"/>
    <x v="0"/>
    <s v="Orange"/>
    <x v="0"/>
    <n v="4.9000000000000004"/>
    <s v="Yes"/>
    <x v="2"/>
    <s v="Yes"/>
    <n v="23"/>
    <x v="2"/>
    <s v="Monthly"/>
    <n v="0.1"/>
    <n v="55.8"/>
    <n v="62"/>
    <s v="Credit Card"/>
    <s v="Normal"/>
    <s v="Good"/>
  </r>
  <r>
    <n v="380"/>
    <n v="32"/>
    <x v="0"/>
    <x v="17"/>
    <x v="0"/>
    <n v="29"/>
    <x v="6"/>
    <x v="1"/>
    <s v="Magenta"/>
    <x v="3"/>
    <n v="4.7"/>
    <s v="Yes"/>
    <x v="4"/>
    <s v="Yes"/>
    <n v="46"/>
    <x v="5"/>
    <s v="Bi-Weekly"/>
    <n v="0.1"/>
    <n v="26.1"/>
    <n v="29"/>
    <s v="Debit Card"/>
    <s v="Normal"/>
    <s v="Good"/>
  </r>
  <r>
    <n v="381"/>
    <n v="39"/>
    <x v="0"/>
    <x v="21"/>
    <x v="3"/>
    <n v="69"/>
    <x v="13"/>
    <x v="3"/>
    <s v="Beige"/>
    <x v="3"/>
    <n v="3"/>
    <s v="Yes"/>
    <x v="5"/>
    <s v="Yes"/>
    <n v="19"/>
    <x v="4"/>
    <s v="Weekly"/>
    <n v="0.1"/>
    <n v="62.1"/>
    <n v="69"/>
    <s v="Bank Transfer"/>
    <s v="Normal"/>
    <s v="Good"/>
  </r>
  <r>
    <n v="382"/>
    <n v="66"/>
    <x v="0"/>
    <x v="16"/>
    <x v="3"/>
    <n v="25"/>
    <x v="1"/>
    <x v="0"/>
    <s v="Lavender"/>
    <x v="0"/>
    <n v="3.4"/>
    <s v="Yes"/>
    <x v="5"/>
    <s v="Yes"/>
    <n v="3"/>
    <x v="2"/>
    <s v="Every 3 Months"/>
    <n v="0.1"/>
    <n v="22.5"/>
    <n v="25"/>
    <s v="Credit Card"/>
    <s v="Normal"/>
    <s v="Good"/>
  </r>
  <r>
    <n v="383"/>
    <n v="28"/>
    <x v="0"/>
    <x v="2"/>
    <x v="0"/>
    <n v="76"/>
    <x v="18"/>
    <x v="2"/>
    <s v="Peach"/>
    <x v="0"/>
    <n v="3.2"/>
    <s v="Yes"/>
    <x v="5"/>
    <s v="Yes"/>
    <n v="47"/>
    <x v="3"/>
    <s v="Quarterly"/>
    <n v="0.1"/>
    <n v="68.400000000000006"/>
    <n v="76"/>
    <s v="PayPal"/>
    <s v="Normal"/>
    <s v="Good"/>
  </r>
  <r>
    <n v="384"/>
    <n v="50"/>
    <x v="0"/>
    <x v="12"/>
    <x v="3"/>
    <n v="77"/>
    <x v="8"/>
    <x v="1"/>
    <s v="Magenta"/>
    <x v="3"/>
    <n v="1"/>
    <s v="Yes"/>
    <x v="3"/>
    <s v="Yes"/>
    <n v="6"/>
    <x v="3"/>
    <s v="Quarterly"/>
    <n v="0.1"/>
    <n v="69.3"/>
    <n v="77"/>
    <s v="PayPal"/>
    <s v="Normal"/>
    <s v="Poor"/>
  </r>
  <r>
    <n v="385"/>
    <n v="70"/>
    <x v="0"/>
    <x v="1"/>
    <x v="0"/>
    <n v="33"/>
    <x v="18"/>
    <x v="2"/>
    <s v="Beige"/>
    <x v="3"/>
    <n v="4.5"/>
    <s v="Yes"/>
    <x v="4"/>
    <s v="Yes"/>
    <n v="6"/>
    <x v="0"/>
    <s v="Annually"/>
    <n v="0.1"/>
    <n v="29.7"/>
    <n v="33"/>
    <s v="Venmo"/>
    <s v="Normal"/>
    <s v="Good"/>
  </r>
  <r>
    <n v="386"/>
    <n v="67"/>
    <x v="0"/>
    <x v="6"/>
    <x v="0"/>
    <n v="93"/>
    <x v="8"/>
    <x v="1"/>
    <s v="Yellow"/>
    <x v="3"/>
    <n v="2.7"/>
    <s v="Yes"/>
    <x v="2"/>
    <s v="Yes"/>
    <n v="12"/>
    <x v="2"/>
    <s v="Bi-Weekly"/>
    <n v="0.1"/>
    <n v="83.7"/>
    <n v="93"/>
    <s v="Credit Card"/>
    <s v="Normal"/>
    <s v="Poor"/>
  </r>
  <r>
    <n v="387"/>
    <n v="64"/>
    <x v="0"/>
    <x v="16"/>
    <x v="3"/>
    <n v="39"/>
    <x v="7"/>
    <x v="0"/>
    <s v="Brown"/>
    <x v="1"/>
    <n v="3.4"/>
    <s v="Yes"/>
    <x v="0"/>
    <s v="Yes"/>
    <n v="40"/>
    <x v="3"/>
    <s v="Quarterly"/>
    <n v="0.1"/>
    <n v="35.1"/>
    <n v="39"/>
    <s v="PayPal"/>
    <s v="Normal"/>
    <s v="Good"/>
  </r>
  <r>
    <n v="388"/>
    <n v="45"/>
    <x v="0"/>
    <x v="7"/>
    <x v="2"/>
    <n v="93"/>
    <x v="42"/>
    <x v="0"/>
    <s v="Silver"/>
    <x v="2"/>
    <n v="4.5999999999999996"/>
    <s v="Yes"/>
    <x v="5"/>
    <s v="Yes"/>
    <n v="38"/>
    <x v="3"/>
    <s v="Fortnightly"/>
    <n v="0.1"/>
    <n v="83.7"/>
    <n v="93"/>
    <s v="PayPal"/>
    <s v="Normal"/>
    <s v="Good"/>
  </r>
  <r>
    <n v="389"/>
    <n v="22"/>
    <x v="0"/>
    <x v="8"/>
    <x v="3"/>
    <n v="82"/>
    <x v="47"/>
    <x v="2"/>
    <s v="Orange"/>
    <x v="2"/>
    <n v="2.7"/>
    <s v="Yes"/>
    <x v="5"/>
    <s v="Yes"/>
    <n v="10"/>
    <x v="3"/>
    <s v="Quarterly"/>
    <n v="0.1"/>
    <n v="73.8"/>
    <n v="82"/>
    <s v="PayPal"/>
    <s v="Normal"/>
    <s v="Poor"/>
  </r>
  <r>
    <n v="390"/>
    <n v="27"/>
    <x v="0"/>
    <x v="23"/>
    <x v="1"/>
    <n v="42"/>
    <x v="41"/>
    <x v="0"/>
    <s v="Purple"/>
    <x v="1"/>
    <n v="4.2"/>
    <s v="Yes"/>
    <x v="3"/>
    <s v="Yes"/>
    <n v="28"/>
    <x v="4"/>
    <s v="Monthly"/>
    <n v="0.1"/>
    <n v="37.799999999999997"/>
    <n v="42"/>
    <s v="Bank Transfer"/>
    <s v="Normal"/>
    <s v="Good"/>
  </r>
  <r>
    <n v="391"/>
    <n v="25"/>
    <x v="0"/>
    <x v="24"/>
    <x v="3"/>
    <n v="71"/>
    <x v="27"/>
    <x v="2"/>
    <s v="Indigo"/>
    <x v="0"/>
    <n v="3.2"/>
    <s v="Yes"/>
    <x v="4"/>
    <s v="Yes"/>
    <n v="19"/>
    <x v="3"/>
    <s v="Annually"/>
    <n v="0.1"/>
    <n v="63.9"/>
    <n v="71"/>
    <s v="PayPal"/>
    <s v="Normal"/>
    <s v="Good"/>
  </r>
  <r>
    <n v="392"/>
    <n v="37"/>
    <x v="0"/>
    <x v="1"/>
    <x v="0"/>
    <n v="86"/>
    <x v="46"/>
    <x v="0"/>
    <s v="Gray"/>
    <x v="1"/>
    <n v="4.8"/>
    <s v="Yes"/>
    <x v="3"/>
    <s v="Yes"/>
    <n v="25"/>
    <x v="1"/>
    <s v="Fortnightly"/>
    <n v="0.1"/>
    <n v="77.400000000000006"/>
    <n v="86"/>
    <s v="Cash"/>
    <s v="Normal"/>
    <s v="Good"/>
  </r>
  <r>
    <n v="393"/>
    <n v="26"/>
    <x v="0"/>
    <x v="17"/>
    <x v="0"/>
    <n v="82"/>
    <x v="37"/>
    <x v="3"/>
    <s v="Black"/>
    <x v="1"/>
    <n v="3.3"/>
    <s v="Yes"/>
    <x v="2"/>
    <s v="Yes"/>
    <n v="38"/>
    <x v="2"/>
    <s v="Annually"/>
    <n v="0.1"/>
    <n v="73.8"/>
    <n v="82"/>
    <s v="Credit Card"/>
    <s v="Normal"/>
    <s v="Good"/>
  </r>
  <r>
    <n v="394"/>
    <n v="33"/>
    <x v="0"/>
    <x v="9"/>
    <x v="1"/>
    <n v="65"/>
    <x v="34"/>
    <x v="0"/>
    <s v="Maroon"/>
    <x v="3"/>
    <n v="4.2"/>
    <s v="Yes"/>
    <x v="3"/>
    <s v="Yes"/>
    <n v="6"/>
    <x v="3"/>
    <s v="Fortnightly"/>
    <n v="0.1"/>
    <n v="58.5"/>
    <n v="65"/>
    <s v="PayPal"/>
    <s v="Normal"/>
    <s v="Good"/>
  </r>
  <r>
    <n v="395"/>
    <n v="43"/>
    <x v="0"/>
    <x v="18"/>
    <x v="3"/>
    <n v="29"/>
    <x v="25"/>
    <x v="2"/>
    <s v="Beige"/>
    <x v="1"/>
    <n v="4.8"/>
    <s v="Yes"/>
    <x v="5"/>
    <s v="Yes"/>
    <n v="7"/>
    <x v="5"/>
    <s v="Bi-Weekly"/>
    <n v="0.1"/>
    <n v="26.1"/>
    <n v="29"/>
    <s v="Debit Card"/>
    <s v="Normal"/>
    <s v="Good"/>
  </r>
  <r>
    <n v="396"/>
    <n v="37"/>
    <x v="0"/>
    <x v="4"/>
    <x v="1"/>
    <n v="65"/>
    <x v="3"/>
    <x v="0"/>
    <s v="Brown"/>
    <x v="0"/>
    <n v="4.9000000000000004"/>
    <s v="Yes"/>
    <x v="5"/>
    <s v="Yes"/>
    <n v="2"/>
    <x v="3"/>
    <s v="Annually"/>
    <n v="0.1"/>
    <n v="58.5"/>
    <n v="65"/>
    <s v="PayPal"/>
    <s v="Normal"/>
    <s v="Good"/>
  </r>
  <r>
    <n v="397"/>
    <n v="46"/>
    <x v="0"/>
    <x v="10"/>
    <x v="0"/>
    <n v="88"/>
    <x v="36"/>
    <x v="1"/>
    <s v="Black"/>
    <x v="3"/>
    <n v="3.9"/>
    <s v="Yes"/>
    <x v="3"/>
    <s v="Yes"/>
    <n v="24"/>
    <x v="4"/>
    <s v="Annually"/>
    <n v="0.1"/>
    <n v="79.2"/>
    <n v="88"/>
    <s v="Bank Transfer"/>
    <s v="Normal"/>
    <s v="Good"/>
  </r>
  <r>
    <n v="398"/>
    <n v="22"/>
    <x v="0"/>
    <x v="22"/>
    <x v="3"/>
    <n v="46"/>
    <x v="16"/>
    <x v="2"/>
    <s v="Indigo"/>
    <x v="3"/>
    <n v="3"/>
    <s v="Yes"/>
    <x v="1"/>
    <s v="Yes"/>
    <n v="26"/>
    <x v="1"/>
    <s v="Annually"/>
    <n v="0.1"/>
    <n v="41.4"/>
    <n v="46"/>
    <s v="Cash"/>
    <s v="Normal"/>
    <s v="Good"/>
  </r>
  <r>
    <n v="399"/>
    <n v="20"/>
    <x v="0"/>
    <x v="23"/>
    <x v="1"/>
    <n v="67"/>
    <x v="6"/>
    <x v="1"/>
    <s v="Silver"/>
    <x v="0"/>
    <n v="4.5999999999999996"/>
    <s v="Yes"/>
    <x v="1"/>
    <s v="Yes"/>
    <n v="25"/>
    <x v="5"/>
    <s v="Every 3 Months"/>
    <n v="0.1"/>
    <n v="60.3"/>
    <n v="67"/>
    <s v="Debit Card"/>
    <s v="Normal"/>
    <s v="Good"/>
  </r>
  <r>
    <n v="400"/>
    <n v="60"/>
    <x v="0"/>
    <x v="18"/>
    <x v="3"/>
    <n v="35"/>
    <x v="37"/>
    <x v="0"/>
    <s v="Blue"/>
    <x v="3"/>
    <n v="3.5"/>
    <s v="Yes"/>
    <x v="4"/>
    <s v="Yes"/>
    <n v="10"/>
    <x v="5"/>
    <s v="Monthly"/>
    <n v="0.1"/>
    <n v="31.5"/>
    <n v="35"/>
    <s v="Debit Card"/>
    <s v="Normal"/>
    <s v="Good"/>
  </r>
  <r>
    <n v="401"/>
    <n v="39"/>
    <x v="0"/>
    <x v="23"/>
    <x v="1"/>
    <n v="66"/>
    <x v="40"/>
    <x v="2"/>
    <s v="Green"/>
    <x v="0"/>
    <n v="4.8"/>
    <s v="Yes"/>
    <x v="1"/>
    <s v="Yes"/>
    <n v="14"/>
    <x v="3"/>
    <s v="Fortnightly"/>
    <n v="0.1"/>
    <n v="59.4"/>
    <n v="66"/>
    <s v="PayPal"/>
    <s v="Normal"/>
    <s v="Good"/>
  </r>
  <r>
    <n v="402"/>
    <n v="43"/>
    <x v="0"/>
    <x v="17"/>
    <x v="0"/>
    <n v="91"/>
    <x v="19"/>
    <x v="0"/>
    <s v="Orange"/>
    <x v="3"/>
    <n v="4.8"/>
    <s v="Yes"/>
    <x v="3"/>
    <s v="Yes"/>
    <n v="21"/>
    <x v="1"/>
    <s v="Quarterly"/>
    <n v="0.1"/>
    <n v="81.900000000000006"/>
    <n v="91"/>
    <s v="Cash"/>
    <s v="Normal"/>
    <s v="Good"/>
  </r>
  <r>
    <n v="403"/>
    <n v="31"/>
    <x v="0"/>
    <x v="21"/>
    <x v="3"/>
    <n v="78"/>
    <x v="18"/>
    <x v="0"/>
    <s v="Cyan"/>
    <x v="3"/>
    <n v="3"/>
    <s v="Yes"/>
    <x v="0"/>
    <s v="Yes"/>
    <n v="26"/>
    <x v="3"/>
    <s v="Monthly"/>
    <n v="0.1"/>
    <n v="70.2"/>
    <n v="78"/>
    <s v="PayPal"/>
    <s v="Normal"/>
    <s v="Good"/>
  </r>
  <r>
    <n v="404"/>
    <n v="19"/>
    <x v="0"/>
    <x v="4"/>
    <x v="1"/>
    <n v="45"/>
    <x v="22"/>
    <x v="2"/>
    <s v="Orange"/>
    <x v="0"/>
    <n v="4.5"/>
    <s v="Yes"/>
    <x v="2"/>
    <s v="Yes"/>
    <n v="12"/>
    <x v="4"/>
    <s v="Annually"/>
    <n v="0.1"/>
    <n v="40.5"/>
    <n v="45"/>
    <s v="Bank Transfer"/>
    <s v="Normal"/>
    <s v="Good"/>
  </r>
  <r>
    <n v="405"/>
    <n v="35"/>
    <x v="0"/>
    <x v="17"/>
    <x v="0"/>
    <n v="93"/>
    <x v="12"/>
    <x v="2"/>
    <s v="Indigo"/>
    <x v="1"/>
    <n v="4.8"/>
    <s v="Yes"/>
    <x v="5"/>
    <s v="Yes"/>
    <n v="11"/>
    <x v="2"/>
    <s v="Monthly"/>
    <n v="0.1"/>
    <n v="83.7"/>
    <n v="93"/>
    <s v="Credit Card"/>
    <s v="Normal"/>
    <s v="Good"/>
  </r>
  <r>
    <n v="406"/>
    <n v="41"/>
    <x v="0"/>
    <x v="2"/>
    <x v="0"/>
    <n v="74"/>
    <x v="36"/>
    <x v="1"/>
    <s v="Silver"/>
    <x v="2"/>
    <n v="3.8"/>
    <s v="Yes"/>
    <x v="3"/>
    <s v="Yes"/>
    <n v="15"/>
    <x v="1"/>
    <s v="Annually"/>
    <n v="0.1"/>
    <n v="66.599999999999994"/>
    <n v="74"/>
    <s v="Cash"/>
    <s v="Normal"/>
    <s v="Good"/>
  </r>
  <r>
    <n v="407"/>
    <n v="52"/>
    <x v="0"/>
    <x v="24"/>
    <x v="3"/>
    <n v="55"/>
    <x v="33"/>
    <x v="2"/>
    <s v="Peach"/>
    <x v="1"/>
    <n v="4.5999999999999996"/>
    <s v="Yes"/>
    <x v="0"/>
    <s v="Yes"/>
    <n v="13"/>
    <x v="1"/>
    <s v="Monthly"/>
    <n v="0.1"/>
    <n v="49.5"/>
    <n v="55"/>
    <s v="Cash"/>
    <s v="Normal"/>
    <s v="Good"/>
  </r>
  <r>
    <n v="408"/>
    <n v="45"/>
    <x v="0"/>
    <x v="15"/>
    <x v="0"/>
    <n v="76"/>
    <x v="17"/>
    <x v="3"/>
    <s v="Teal"/>
    <x v="1"/>
    <n v="3.1"/>
    <s v="Yes"/>
    <x v="2"/>
    <s v="Yes"/>
    <n v="5"/>
    <x v="2"/>
    <s v="Bi-Weekly"/>
    <n v="0.1"/>
    <n v="68.400000000000006"/>
    <n v="76"/>
    <s v="Credit Card"/>
    <s v="Normal"/>
    <s v="Good"/>
  </r>
  <r>
    <n v="409"/>
    <n v="34"/>
    <x v="0"/>
    <x v="4"/>
    <x v="1"/>
    <n v="66"/>
    <x v="15"/>
    <x v="0"/>
    <s v="White"/>
    <x v="1"/>
    <n v="3.4"/>
    <s v="Yes"/>
    <x v="0"/>
    <s v="Yes"/>
    <n v="36"/>
    <x v="1"/>
    <s v="Fortnightly"/>
    <n v="0.1"/>
    <n v="59.4"/>
    <n v="66"/>
    <s v="Cash"/>
    <s v="Normal"/>
    <s v="Good"/>
  </r>
  <r>
    <n v="410"/>
    <n v="35"/>
    <x v="0"/>
    <x v="6"/>
    <x v="0"/>
    <n v="51"/>
    <x v="46"/>
    <x v="2"/>
    <s v="Brown"/>
    <x v="0"/>
    <n v="3.3"/>
    <s v="Yes"/>
    <x v="4"/>
    <s v="Yes"/>
    <n v="32"/>
    <x v="4"/>
    <s v="Monthly"/>
    <n v="0.1"/>
    <n v="45.9"/>
    <n v="51"/>
    <s v="Bank Transfer"/>
    <s v="Normal"/>
    <s v="Good"/>
  </r>
  <r>
    <n v="411"/>
    <n v="29"/>
    <x v="0"/>
    <x v="1"/>
    <x v="0"/>
    <n v="26"/>
    <x v="41"/>
    <x v="0"/>
    <s v="Lavender"/>
    <x v="1"/>
    <n v="4.8"/>
    <s v="Yes"/>
    <x v="4"/>
    <s v="Yes"/>
    <n v="1"/>
    <x v="2"/>
    <s v="Quarterly"/>
    <n v="0.1"/>
    <n v="23.4"/>
    <n v="26"/>
    <s v="Credit Card"/>
    <s v="Normal"/>
    <s v="Good"/>
  </r>
  <r>
    <n v="412"/>
    <n v="59"/>
    <x v="0"/>
    <x v="2"/>
    <x v="0"/>
    <n v="29"/>
    <x v="49"/>
    <x v="2"/>
    <s v="Indigo"/>
    <x v="2"/>
    <n v="2.8"/>
    <s v="Yes"/>
    <x v="0"/>
    <s v="Yes"/>
    <n v="15"/>
    <x v="3"/>
    <s v="Annually"/>
    <n v="0.1"/>
    <n v="26.1"/>
    <n v="29"/>
    <s v="PayPal"/>
    <s v="Normal"/>
    <s v="Poor"/>
  </r>
  <r>
    <n v="413"/>
    <n v="24"/>
    <x v="0"/>
    <x v="14"/>
    <x v="2"/>
    <n v="74"/>
    <x v="1"/>
    <x v="2"/>
    <s v="Yellow"/>
    <x v="2"/>
    <n v="3.1"/>
    <s v="Yes"/>
    <x v="5"/>
    <s v="Yes"/>
    <n v="3"/>
    <x v="4"/>
    <s v="Weekly"/>
    <n v="0.1"/>
    <n v="66.599999999999994"/>
    <n v="74"/>
    <s v="Bank Transfer"/>
    <s v="Normal"/>
    <s v="Good"/>
  </r>
  <r>
    <n v="414"/>
    <n v="70"/>
    <x v="0"/>
    <x v="16"/>
    <x v="3"/>
    <n v="99"/>
    <x v="22"/>
    <x v="1"/>
    <s v="White"/>
    <x v="2"/>
    <n v="4.5999999999999996"/>
    <s v="Yes"/>
    <x v="1"/>
    <s v="Yes"/>
    <n v="48"/>
    <x v="1"/>
    <s v="Monthly"/>
    <n v="0.1"/>
    <n v="89.1"/>
    <n v="99"/>
    <s v="Cash"/>
    <s v="Normal"/>
    <s v="Good"/>
  </r>
  <r>
    <n v="415"/>
    <n v="29"/>
    <x v="0"/>
    <x v="21"/>
    <x v="3"/>
    <n v="88"/>
    <x v="5"/>
    <x v="0"/>
    <s v="Violet"/>
    <x v="0"/>
    <n v="2.6"/>
    <s v="Yes"/>
    <x v="5"/>
    <s v="Yes"/>
    <n v="30"/>
    <x v="5"/>
    <s v="Weekly"/>
    <n v="0.1"/>
    <n v="79.2"/>
    <n v="88"/>
    <s v="Debit Card"/>
    <s v="Normal"/>
    <s v="Poor"/>
  </r>
  <r>
    <n v="416"/>
    <n v="67"/>
    <x v="0"/>
    <x v="7"/>
    <x v="2"/>
    <n v="31"/>
    <x v="39"/>
    <x v="2"/>
    <s v="Lavender"/>
    <x v="0"/>
    <n v="2.6"/>
    <s v="Yes"/>
    <x v="0"/>
    <s v="Yes"/>
    <n v="40"/>
    <x v="4"/>
    <s v="Monthly"/>
    <n v="0.1"/>
    <n v="27.9"/>
    <n v="31"/>
    <s v="Bank Transfer"/>
    <s v="Normal"/>
    <s v="Poor"/>
  </r>
  <r>
    <n v="417"/>
    <n v="36"/>
    <x v="0"/>
    <x v="22"/>
    <x v="3"/>
    <n v="55"/>
    <x v="4"/>
    <x v="0"/>
    <s v="Olive"/>
    <x v="1"/>
    <n v="3.8"/>
    <s v="Yes"/>
    <x v="1"/>
    <s v="Yes"/>
    <n v="24"/>
    <x v="4"/>
    <s v="Fortnightly"/>
    <n v="0.1"/>
    <n v="49.5"/>
    <n v="55"/>
    <s v="Bank Transfer"/>
    <s v="Normal"/>
    <s v="Good"/>
  </r>
  <r>
    <n v="418"/>
    <n v="23"/>
    <x v="0"/>
    <x v="3"/>
    <x v="1"/>
    <n v="81"/>
    <x v="16"/>
    <x v="0"/>
    <s v="Beige"/>
    <x v="3"/>
    <n v="4.5"/>
    <s v="Yes"/>
    <x v="1"/>
    <s v="Yes"/>
    <n v="48"/>
    <x v="5"/>
    <s v="Quarterly"/>
    <n v="0.1"/>
    <n v="72.900000000000006"/>
    <n v="81"/>
    <s v="Debit Card"/>
    <s v="Normal"/>
    <s v="Good"/>
  </r>
  <r>
    <n v="419"/>
    <n v="18"/>
    <x v="0"/>
    <x v="1"/>
    <x v="0"/>
    <n v="73"/>
    <x v="26"/>
    <x v="0"/>
    <s v="Purple"/>
    <x v="1"/>
    <n v="3"/>
    <s v="Yes"/>
    <x v="3"/>
    <s v="Yes"/>
    <n v="27"/>
    <x v="0"/>
    <s v="Bi-Weekly"/>
    <n v="0.1"/>
    <n v="65.7"/>
    <n v="73"/>
    <s v="Venmo"/>
    <s v="Normal"/>
    <s v="Good"/>
  </r>
  <r>
    <n v="420"/>
    <n v="53"/>
    <x v="0"/>
    <x v="6"/>
    <x v="0"/>
    <n v="91"/>
    <x v="40"/>
    <x v="1"/>
    <s v="Teal"/>
    <x v="0"/>
    <n v="1"/>
    <s v="Yes"/>
    <x v="1"/>
    <s v="Yes"/>
    <n v="14"/>
    <x v="2"/>
    <s v="Every 3 Months"/>
    <n v="0.1"/>
    <n v="81.900000000000006"/>
    <n v="91"/>
    <s v="Credit Card"/>
    <s v="Normal"/>
    <s v="Poor"/>
  </r>
  <r>
    <n v="421"/>
    <n v="32"/>
    <x v="0"/>
    <x v="20"/>
    <x v="0"/>
    <n v="54"/>
    <x v="17"/>
    <x v="1"/>
    <s v="Peach"/>
    <x v="1"/>
    <n v="3.8"/>
    <s v="Yes"/>
    <x v="1"/>
    <s v="Yes"/>
    <n v="18"/>
    <x v="5"/>
    <s v="Bi-Weekly"/>
    <n v="0.1"/>
    <n v="48.6"/>
    <n v="54"/>
    <s v="Debit Card"/>
    <s v="Normal"/>
    <s v="Good"/>
  </r>
  <r>
    <n v="422"/>
    <n v="38"/>
    <x v="0"/>
    <x v="5"/>
    <x v="0"/>
    <n v="40"/>
    <x v="0"/>
    <x v="2"/>
    <s v="Violet"/>
    <x v="0"/>
    <n v="3.5"/>
    <s v="Yes"/>
    <x v="3"/>
    <s v="Yes"/>
    <n v="48"/>
    <x v="1"/>
    <s v="Bi-Weekly"/>
    <n v="0.1"/>
    <n v="36"/>
    <n v="40"/>
    <s v="Cash"/>
    <s v="Normal"/>
    <s v="Good"/>
  </r>
  <r>
    <n v="423"/>
    <n v="47"/>
    <x v="0"/>
    <x v="13"/>
    <x v="0"/>
    <n v="59"/>
    <x v="46"/>
    <x v="2"/>
    <s v="Purple"/>
    <x v="3"/>
    <n v="3.1"/>
    <s v="Yes"/>
    <x v="5"/>
    <s v="Yes"/>
    <n v="32"/>
    <x v="5"/>
    <s v="Annually"/>
    <n v="0.1"/>
    <n v="53.1"/>
    <n v="59"/>
    <s v="Debit Card"/>
    <s v="Normal"/>
    <s v="Good"/>
  </r>
  <r>
    <n v="424"/>
    <n v="46"/>
    <x v="0"/>
    <x v="18"/>
    <x v="3"/>
    <n v="26"/>
    <x v="14"/>
    <x v="0"/>
    <s v="Teal"/>
    <x v="1"/>
    <n v="3"/>
    <s v="Yes"/>
    <x v="5"/>
    <s v="Yes"/>
    <n v="21"/>
    <x v="2"/>
    <s v="Bi-Weekly"/>
    <n v="0.1"/>
    <n v="23.4"/>
    <n v="26"/>
    <s v="Credit Card"/>
    <s v="Normal"/>
    <s v="Good"/>
  </r>
  <r>
    <n v="425"/>
    <n v="66"/>
    <x v="0"/>
    <x v="1"/>
    <x v="0"/>
    <n v="23"/>
    <x v="26"/>
    <x v="2"/>
    <s v="Gold"/>
    <x v="0"/>
    <n v="4.3"/>
    <s v="Yes"/>
    <x v="3"/>
    <s v="Yes"/>
    <n v="42"/>
    <x v="3"/>
    <s v="Fortnightly"/>
    <n v="0.1"/>
    <n v="20.7"/>
    <n v="23"/>
    <s v="PayPal"/>
    <s v="Normal"/>
    <s v="Good"/>
  </r>
  <r>
    <n v="426"/>
    <n v="40"/>
    <x v="0"/>
    <x v="2"/>
    <x v="0"/>
    <n v="87"/>
    <x v="25"/>
    <x v="1"/>
    <s v="Teal"/>
    <x v="0"/>
    <n v="3.3"/>
    <s v="Yes"/>
    <x v="5"/>
    <s v="Yes"/>
    <n v="4"/>
    <x v="2"/>
    <s v="Quarterly"/>
    <n v="0.1"/>
    <n v="78.3"/>
    <n v="87"/>
    <s v="Credit Card"/>
    <s v="Normal"/>
    <s v="Good"/>
  </r>
  <r>
    <n v="427"/>
    <n v="43"/>
    <x v="0"/>
    <x v="13"/>
    <x v="0"/>
    <n v="71"/>
    <x v="7"/>
    <x v="2"/>
    <s v="Violet"/>
    <x v="0"/>
    <n v="4.7"/>
    <s v="Yes"/>
    <x v="0"/>
    <s v="Yes"/>
    <n v="19"/>
    <x v="2"/>
    <s v="Quarterly"/>
    <n v="0.1"/>
    <n v="63.9"/>
    <n v="71"/>
    <s v="Credit Card"/>
    <s v="Normal"/>
    <s v="Good"/>
  </r>
  <r>
    <n v="428"/>
    <n v="58"/>
    <x v="0"/>
    <x v="21"/>
    <x v="3"/>
    <n v="91"/>
    <x v="26"/>
    <x v="0"/>
    <s v="Black"/>
    <x v="0"/>
    <n v="4.5"/>
    <s v="Yes"/>
    <x v="5"/>
    <s v="Yes"/>
    <n v="6"/>
    <x v="2"/>
    <s v="Quarterly"/>
    <n v="0.1"/>
    <n v="81.900000000000006"/>
    <n v="91"/>
    <s v="Credit Card"/>
    <s v="Normal"/>
    <s v="Good"/>
  </r>
  <r>
    <n v="429"/>
    <n v="21"/>
    <x v="0"/>
    <x v="7"/>
    <x v="2"/>
    <n v="64"/>
    <x v="5"/>
    <x v="3"/>
    <s v="Gold"/>
    <x v="0"/>
    <n v="2.9"/>
    <s v="Yes"/>
    <x v="1"/>
    <s v="Yes"/>
    <n v="2"/>
    <x v="5"/>
    <s v="Fortnightly"/>
    <n v="0.1"/>
    <n v="57.6"/>
    <n v="64"/>
    <s v="Debit Card"/>
    <s v="Normal"/>
    <s v="Poor"/>
  </r>
  <r>
    <n v="430"/>
    <n v="42"/>
    <x v="0"/>
    <x v="3"/>
    <x v="1"/>
    <n v="94"/>
    <x v="47"/>
    <x v="2"/>
    <s v="Gold"/>
    <x v="0"/>
    <n v="4.0999999999999996"/>
    <s v="Yes"/>
    <x v="4"/>
    <s v="Yes"/>
    <n v="21"/>
    <x v="1"/>
    <s v="Fortnightly"/>
    <n v="0.1"/>
    <n v="84.6"/>
    <n v="94"/>
    <s v="Cash"/>
    <s v="Normal"/>
    <s v="Good"/>
  </r>
  <r>
    <n v="431"/>
    <n v="24"/>
    <x v="0"/>
    <x v="5"/>
    <x v="0"/>
    <n v="40"/>
    <x v="21"/>
    <x v="2"/>
    <s v="Brown"/>
    <x v="2"/>
    <n v="3.5"/>
    <s v="Yes"/>
    <x v="5"/>
    <s v="Yes"/>
    <n v="40"/>
    <x v="5"/>
    <s v="Annually"/>
    <n v="0.1"/>
    <n v="36"/>
    <n v="40"/>
    <s v="Debit Card"/>
    <s v="Normal"/>
    <s v="Good"/>
  </r>
  <r>
    <n v="432"/>
    <n v="43"/>
    <x v="0"/>
    <x v="19"/>
    <x v="3"/>
    <n v="76"/>
    <x v="13"/>
    <x v="0"/>
    <s v="Cyan"/>
    <x v="0"/>
    <n v="3.4"/>
    <s v="Yes"/>
    <x v="5"/>
    <s v="Yes"/>
    <n v="33"/>
    <x v="1"/>
    <s v="Fortnightly"/>
    <n v="0.1"/>
    <n v="68.400000000000006"/>
    <n v="76"/>
    <s v="Cash"/>
    <s v="Normal"/>
    <s v="Good"/>
  </r>
  <r>
    <n v="433"/>
    <n v="47"/>
    <x v="0"/>
    <x v="5"/>
    <x v="0"/>
    <n v="86"/>
    <x v="27"/>
    <x v="1"/>
    <s v="Indigo"/>
    <x v="3"/>
    <n v="3.3"/>
    <s v="Yes"/>
    <x v="1"/>
    <s v="Yes"/>
    <n v="26"/>
    <x v="0"/>
    <s v="Weekly"/>
    <n v="0.1"/>
    <n v="77.400000000000006"/>
    <n v="86"/>
    <s v="Venmo"/>
    <s v="Normal"/>
    <s v="Good"/>
  </r>
  <r>
    <n v="434"/>
    <n v="49"/>
    <x v="0"/>
    <x v="11"/>
    <x v="0"/>
    <n v="92"/>
    <x v="15"/>
    <x v="2"/>
    <s v="Orange"/>
    <x v="3"/>
    <n v="3.2"/>
    <s v="Yes"/>
    <x v="5"/>
    <s v="Yes"/>
    <n v="23"/>
    <x v="2"/>
    <s v="Fortnightly"/>
    <n v="0.1"/>
    <n v="82.8"/>
    <n v="92"/>
    <s v="Credit Card"/>
    <s v="Normal"/>
    <s v="Good"/>
  </r>
  <r>
    <n v="435"/>
    <n v="50"/>
    <x v="0"/>
    <x v="9"/>
    <x v="1"/>
    <n v="52"/>
    <x v="19"/>
    <x v="0"/>
    <s v="Pink"/>
    <x v="1"/>
    <n v="4"/>
    <s v="Yes"/>
    <x v="5"/>
    <s v="Yes"/>
    <n v="39"/>
    <x v="3"/>
    <s v="Every 3 Months"/>
    <n v="0.1"/>
    <n v="46.8"/>
    <n v="52"/>
    <s v="PayPal"/>
    <s v="Normal"/>
    <s v="Good"/>
  </r>
  <r>
    <n v="436"/>
    <n v="51"/>
    <x v="0"/>
    <x v="7"/>
    <x v="2"/>
    <n v="28"/>
    <x v="6"/>
    <x v="3"/>
    <s v="Olive"/>
    <x v="0"/>
    <n v="3.6"/>
    <s v="Yes"/>
    <x v="2"/>
    <s v="Yes"/>
    <n v="42"/>
    <x v="4"/>
    <s v="Monthly"/>
    <n v="0.1"/>
    <n v="25.2"/>
    <n v="28"/>
    <s v="Bank Transfer"/>
    <s v="Normal"/>
    <s v="Good"/>
  </r>
  <r>
    <n v="437"/>
    <n v="40"/>
    <x v="0"/>
    <x v="13"/>
    <x v="0"/>
    <n v="46"/>
    <x v="30"/>
    <x v="0"/>
    <s v="Cyan"/>
    <x v="2"/>
    <n v="4.5999999999999996"/>
    <s v="Yes"/>
    <x v="1"/>
    <s v="Yes"/>
    <n v="41"/>
    <x v="4"/>
    <s v="Weekly"/>
    <n v="0.1"/>
    <n v="41.4"/>
    <n v="46"/>
    <s v="Bank Transfer"/>
    <s v="Normal"/>
    <s v="Good"/>
  </r>
  <r>
    <n v="438"/>
    <n v="45"/>
    <x v="0"/>
    <x v="16"/>
    <x v="3"/>
    <n v="50"/>
    <x v="35"/>
    <x v="2"/>
    <s v="Peach"/>
    <x v="2"/>
    <n v="2.6"/>
    <s v="Yes"/>
    <x v="2"/>
    <s v="Yes"/>
    <n v="41"/>
    <x v="3"/>
    <s v="Annually"/>
    <n v="0.1"/>
    <n v="45"/>
    <n v="50"/>
    <s v="PayPal"/>
    <s v="Normal"/>
    <s v="Poor"/>
  </r>
  <r>
    <n v="439"/>
    <n v="52"/>
    <x v="0"/>
    <x v="22"/>
    <x v="3"/>
    <n v="23"/>
    <x v="44"/>
    <x v="2"/>
    <s v="Turquoise"/>
    <x v="0"/>
    <n v="4.3"/>
    <s v="Yes"/>
    <x v="0"/>
    <s v="Yes"/>
    <n v="12"/>
    <x v="2"/>
    <s v="Fortnightly"/>
    <n v="0.1"/>
    <n v="20.7"/>
    <n v="23"/>
    <s v="Credit Card"/>
    <s v="Normal"/>
    <s v="Good"/>
  </r>
  <r>
    <n v="440"/>
    <n v="62"/>
    <x v="0"/>
    <x v="14"/>
    <x v="2"/>
    <n v="50"/>
    <x v="37"/>
    <x v="2"/>
    <s v="Turquoise"/>
    <x v="2"/>
    <n v="3.4"/>
    <s v="Yes"/>
    <x v="1"/>
    <s v="Yes"/>
    <n v="31"/>
    <x v="1"/>
    <s v="Monthly"/>
    <n v="0.1"/>
    <n v="45"/>
    <n v="50"/>
    <s v="Cash"/>
    <s v="Normal"/>
    <s v="Good"/>
  </r>
  <r>
    <n v="441"/>
    <n v="20"/>
    <x v="0"/>
    <x v="5"/>
    <x v="0"/>
    <n v="89"/>
    <x v="19"/>
    <x v="3"/>
    <s v="Maroon"/>
    <x v="0"/>
    <n v="3.5"/>
    <s v="Yes"/>
    <x v="5"/>
    <s v="Yes"/>
    <n v="34"/>
    <x v="5"/>
    <s v="Fortnightly"/>
    <n v="0.1"/>
    <n v="80.099999999999994"/>
    <n v="89"/>
    <s v="Debit Card"/>
    <s v="Normal"/>
    <s v="Good"/>
  </r>
  <r>
    <n v="442"/>
    <n v="43"/>
    <x v="0"/>
    <x v="15"/>
    <x v="0"/>
    <n v="81"/>
    <x v="20"/>
    <x v="2"/>
    <s v="Maroon"/>
    <x v="0"/>
    <n v="4.2"/>
    <s v="Yes"/>
    <x v="3"/>
    <s v="Yes"/>
    <n v="32"/>
    <x v="2"/>
    <s v="Annually"/>
    <n v="0.1"/>
    <n v="72.900000000000006"/>
    <n v="81"/>
    <s v="Credit Card"/>
    <s v="Normal"/>
    <s v="Good"/>
  </r>
  <r>
    <n v="443"/>
    <n v="29"/>
    <x v="0"/>
    <x v="12"/>
    <x v="3"/>
    <n v="69"/>
    <x v="49"/>
    <x v="2"/>
    <s v="Olive"/>
    <x v="3"/>
    <n v="1"/>
    <s v="Yes"/>
    <x v="5"/>
    <s v="Yes"/>
    <n v="31"/>
    <x v="2"/>
    <s v="Quarterly"/>
    <n v="0.1"/>
    <n v="62.1"/>
    <n v="69"/>
    <s v="Credit Card"/>
    <s v="Normal"/>
    <s v="Poor"/>
  </r>
  <r>
    <n v="444"/>
    <n v="22"/>
    <x v="0"/>
    <x v="12"/>
    <x v="3"/>
    <n v="67"/>
    <x v="11"/>
    <x v="2"/>
    <s v="Magenta"/>
    <x v="2"/>
    <n v="3.6"/>
    <s v="Yes"/>
    <x v="1"/>
    <s v="Yes"/>
    <n v="24"/>
    <x v="3"/>
    <s v="Annually"/>
    <n v="0.1"/>
    <n v="60.3"/>
    <n v="67"/>
    <s v="PayPal"/>
    <s v="Normal"/>
    <s v="Good"/>
  </r>
  <r>
    <n v="445"/>
    <n v="48"/>
    <x v="0"/>
    <x v="10"/>
    <x v="0"/>
    <n v="20"/>
    <x v="18"/>
    <x v="2"/>
    <s v="Red"/>
    <x v="2"/>
    <n v="4.3"/>
    <s v="Yes"/>
    <x v="5"/>
    <s v="Yes"/>
    <n v="31"/>
    <x v="5"/>
    <s v="Annually"/>
    <n v="0.1"/>
    <n v="18"/>
    <n v="20"/>
    <s v="Debit Card"/>
    <s v="Normal"/>
    <s v="Good"/>
  </r>
  <r>
    <n v="446"/>
    <n v="42"/>
    <x v="0"/>
    <x v="23"/>
    <x v="1"/>
    <n v="29"/>
    <x v="44"/>
    <x v="2"/>
    <s v="Olive"/>
    <x v="3"/>
    <n v="4.9000000000000004"/>
    <s v="Yes"/>
    <x v="3"/>
    <s v="Yes"/>
    <n v="18"/>
    <x v="0"/>
    <s v="Annually"/>
    <n v="0.1"/>
    <n v="26.1"/>
    <n v="29"/>
    <s v="Venmo"/>
    <s v="Normal"/>
    <s v="Good"/>
  </r>
  <r>
    <n v="447"/>
    <n v="19"/>
    <x v="0"/>
    <x v="5"/>
    <x v="0"/>
    <n v="74"/>
    <x v="8"/>
    <x v="2"/>
    <s v="Silver"/>
    <x v="2"/>
    <n v="4.0999999999999996"/>
    <s v="Yes"/>
    <x v="5"/>
    <s v="Yes"/>
    <n v="15"/>
    <x v="0"/>
    <s v="Monthly"/>
    <n v="0.1"/>
    <n v="66.599999999999994"/>
    <n v="74"/>
    <s v="Venmo"/>
    <s v="Normal"/>
    <s v="Good"/>
  </r>
  <r>
    <n v="448"/>
    <n v="60"/>
    <x v="0"/>
    <x v="6"/>
    <x v="0"/>
    <n v="82"/>
    <x v="47"/>
    <x v="1"/>
    <s v="Turquoise"/>
    <x v="1"/>
    <n v="3.6"/>
    <s v="Yes"/>
    <x v="3"/>
    <s v="Yes"/>
    <n v="7"/>
    <x v="4"/>
    <s v="Every 3 Months"/>
    <n v="0.1"/>
    <n v="73.8"/>
    <n v="82"/>
    <s v="Bank Transfer"/>
    <s v="Normal"/>
    <s v="Good"/>
  </r>
  <r>
    <n v="449"/>
    <n v="32"/>
    <x v="0"/>
    <x v="24"/>
    <x v="3"/>
    <n v="23"/>
    <x v="9"/>
    <x v="2"/>
    <s v="Yellow"/>
    <x v="2"/>
    <n v="3.4"/>
    <s v="Yes"/>
    <x v="2"/>
    <s v="Yes"/>
    <n v="35"/>
    <x v="4"/>
    <s v="Fortnightly"/>
    <n v="0.1"/>
    <n v="20.7"/>
    <n v="23"/>
    <s v="Bank Transfer"/>
    <s v="Normal"/>
    <s v="Good"/>
  </r>
  <r>
    <n v="450"/>
    <n v="26"/>
    <x v="0"/>
    <x v="16"/>
    <x v="3"/>
    <n v="45"/>
    <x v="14"/>
    <x v="0"/>
    <s v="Peach"/>
    <x v="2"/>
    <n v="2.9"/>
    <s v="Yes"/>
    <x v="4"/>
    <s v="Yes"/>
    <n v="35"/>
    <x v="4"/>
    <s v="Monthly"/>
    <n v="0.1"/>
    <n v="40.5"/>
    <n v="45"/>
    <s v="Bank Transfer"/>
    <s v="Normal"/>
    <s v="Poor"/>
  </r>
  <r>
    <n v="451"/>
    <n v="25"/>
    <x v="0"/>
    <x v="23"/>
    <x v="1"/>
    <n v="21"/>
    <x v="39"/>
    <x v="0"/>
    <s v="Beige"/>
    <x v="2"/>
    <n v="2.7"/>
    <s v="Yes"/>
    <x v="5"/>
    <s v="Yes"/>
    <n v="19"/>
    <x v="2"/>
    <s v="Monthly"/>
    <n v="0.1"/>
    <n v="18.899999999999999"/>
    <n v="21"/>
    <s v="Credit Card"/>
    <s v="Normal"/>
    <s v="Poor"/>
  </r>
  <r>
    <n v="452"/>
    <n v="66"/>
    <x v="0"/>
    <x v="16"/>
    <x v="3"/>
    <n v="31"/>
    <x v="41"/>
    <x v="2"/>
    <s v="Pink"/>
    <x v="2"/>
    <n v="4.3"/>
    <s v="Yes"/>
    <x v="0"/>
    <s v="Yes"/>
    <n v="26"/>
    <x v="2"/>
    <s v="Fortnightly"/>
    <n v="0.1"/>
    <n v="27.9"/>
    <n v="31"/>
    <s v="Credit Card"/>
    <s v="Normal"/>
    <s v="Good"/>
  </r>
  <r>
    <n v="453"/>
    <n v="45"/>
    <x v="0"/>
    <x v="13"/>
    <x v="0"/>
    <n v="45"/>
    <x v="9"/>
    <x v="2"/>
    <s v="Violet"/>
    <x v="2"/>
    <n v="1"/>
    <s v="Yes"/>
    <x v="0"/>
    <s v="Yes"/>
    <n v="39"/>
    <x v="3"/>
    <s v="Fortnightly"/>
    <n v="0.1"/>
    <n v="40.5"/>
    <n v="45"/>
    <s v="PayPal"/>
    <s v="Normal"/>
    <s v="Poor"/>
  </r>
  <r>
    <n v="454"/>
    <n v="54"/>
    <x v="0"/>
    <x v="16"/>
    <x v="3"/>
    <n v="56"/>
    <x v="43"/>
    <x v="3"/>
    <s v="Peach"/>
    <x v="0"/>
    <n v="2.8"/>
    <s v="Yes"/>
    <x v="2"/>
    <s v="Yes"/>
    <n v="22"/>
    <x v="2"/>
    <s v="Weekly"/>
    <n v="0.1"/>
    <n v="50.4"/>
    <n v="56"/>
    <s v="Credit Card"/>
    <s v="Normal"/>
    <s v="Poor"/>
  </r>
  <r>
    <n v="455"/>
    <n v="37"/>
    <x v="0"/>
    <x v="14"/>
    <x v="2"/>
    <n v="97"/>
    <x v="32"/>
    <x v="1"/>
    <s v="Gold"/>
    <x v="2"/>
    <n v="3.2"/>
    <s v="Yes"/>
    <x v="2"/>
    <s v="Yes"/>
    <n v="14"/>
    <x v="1"/>
    <s v="Bi-Weekly"/>
    <n v="0.1"/>
    <n v="87.3"/>
    <n v="97"/>
    <s v="Cash"/>
    <s v="Normal"/>
    <s v="Good"/>
  </r>
  <r>
    <n v="456"/>
    <n v="54"/>
    <x v="0"/>
    <x v="0"/>
    <x v="0"/>
    <n v="100"/>
    <x v="40"/>
    <x v="3"/>
    <s v="Gold"/>
    <x v="3"/>
    <n v="3.6"/>
    <s v="Yes"/>
    <x v="5"/>
    <s v="Yes"/>
    <n v="50"/>
    <x v="5"/>
    <s v="Fortnightly"/>
    <n v="0.1"/>
    <n v="90"/>
    <n v="100"/>
    <s v="Debit Card"/>
    <s v="Normal"/>
    <s v="Good"/>
  </r>
  <r>
    <n v="457"/>
    <n v="50"/>
    <x v="0"/>
    <x v="0"/>
    <x v="0"/>
    <n v="96"/>
    <x v="17"/>
    <x v="1"/>
    <s v="Indigo"/>
    <x v="3"/>
    <n v="4"/>
    <s v="Yes"/>
    <x v="4"/>
    <s v="Yes"/>
    <n v="33"/>
    <x v="2"/>
    <s v="Quarterly"/>
    <n v="0.1"/>
    <n v="86.4"/>
    <n v="96"/>
    <s v="Credit Card"/>
    <s v="Normal"/>
    <s v="Good"/>
  </r>
  <r>
    <n v="458"/>
    <n v="25"/>
    <x v="0"/>
    <x v="24"/>
    <x v="3"/>
    <n v="99"/>
    <x v="3"/>
    <x v="2"/>
    <s v="Blue"/>
    <x v="1"/>
    <n v="4.9000000000000004"/>
    <s v="Yes"/>
    <x v="2"/>
    <s v="Yes"/>
    <n v="48"/>
    <x v="5"/>
    <s v="Every 3 Months"/>
    <n v="0.1"/>
    <n v="89.1"/>
    <n v="99"/>
    <s v="Debit Card"/>
    <s v="Normal"/>
    <s v="Good"/>
  </r>
  <r>
    <n v="459"/>
    <n v="47"/>
    <x v="0"/>
    <x v="6"/>
    <x v="0"/>
    <n v="91"/>
    <x v="10"/>
    <x v="0"/>
    <s v="Black"/>
    <x v="0"/>
    <n v="4"/>
    <s v="Yes"/>
    <x v="4"/>
    <s v="Yes"/>
    <n v="48"/>
    <x v="3"/>
    <s v="Monthly"/>
    <n v="0.1"/>
    <n v="81.900000000000006"/>
    <n v="91"/>
    <s v="PayPal"/>
    <s v="Normal"/>
    <s v="Good"/>
  </r>
  <r>
    <n v="460"/>
    <n v="63"/>
    <x v="0"/>
    <x v="19"/>
    <x v="3"/>
    <n v="30"/>
    <x v="33"/>
    <x v="0"/>
    <s v="Black"/>
    <x v="0"/>
    <n v="3.8"/>
    <s v="Yes"/>
    <x v="3"/>
    <s v="Yes"/>
    <n v="27"/>
    <x v="3"/>
    <s v="Fortnightly"/>
    <n v="0.1"/>
    <n v="27"/>
    <n v="30"/>
    <s v="PayPal"/>
    <s v="Normal"/>
    <s v="Good"/>
  </r>
  <r>
    <n v="461"/>
    <n v="64"/>
    <x v="0"/>
    <x v="9"/>
    <x v="1"/>
    <n v="65"/>
    <x v="36"/>
    <x v="0"/>
    <s v="Teal"/>
    <x v="2"/>
    <n v="1"/>
    <s v="Yes"/>
    <x v="5"/>
    <s v="Yes"/>
    <n v="27"/>
    <x v="4"/>
    <s v="Weekly"/>
    <n v="0.1"/>
    <n v="58.5"/>
    <n v="65"/>
    <s v="Bank Transfer"/>
    <s v="Normal"/>
    <s v="Poor"/>
  </r>
  <r>
    <n v="462"/>
    <n v="18"/>
    <x v="0"/>
    <x v="23"/>
    <x v="1"/>
    <n v="93"/>
    <x v="31"/>
    <x v="2"/>
    <s v="Yellow"/>
    <x v="0"/>
    <n v="3.9"/>
    <s v="Yes"/>
    <x v="0"/>
    <s v="Yes"/>
    <n v="20"/>
    <x v="0"/>
    <s v="Weekly"/>
    <n v="0.1"/>
    <n v="83.7"/>
    <n v="93"/>
    <s v="Venmo"/>
    <s v="Normal"/>
    <s v="Good"/>
  </r>
  <r>
    <n v="463"/>
    <n v="59"/>
    <x v="0"/>
    <x v="14"/>
    <x v="2"/>
    <n v="81"/>
    <x v="26"/>
    <x v="2"/>
    <s v="White"/>
    <x v="3"/>
    <n v="3.3"/>
    <s v="Yes"/>
    <x v="0"/>
    <s v="Yes"/>
    <n v="48"/>
    <x v="0"/>
    <s v="Every 3 Months"/>
    <n v="0.1"/>
    <n v="72.900000000000006"/>
    <n v="81"/>
    <s v="Venmo"/>
    <s v="Normal"/>
    <s v="Good"/>
  </r>
  <r>
    <n v="464"/>
    <n v="37"/>
    <x v="0"/>
    <x v="16"/>
    <x v="3"/>
    <n v="81"/>
    <x v="42"/>
    <x v="1"/>
    <s v="Orange"/>
    <x v="2"/>
    <n v="2.7"/>
    <s v="Yes"/>
    <x v="3"/>
    <s v="Yes"/>
    <n v="29"/>
    <x v="0"/>
    <s v="Weekly"/>
    <n v="0.1"/>
    <n v="72.900000000000006"/>
    <n v="81"/>
    <s v="Venmo"/>
    <s v="Normal"/>
    <s v="Poor"/>
  </r>
  <r>
    <n v="465"/>
    <n v="23"/>
    <x v="0"/>
    <x v="12"/>
    <x v="3"/>
    <n v="52"/>
    <x v="15"/>
    <x v="2"/>
    <s v="Silver"/>
    <x v="0"/>
    <n v="4.7"/>
    <s v="Yes"/>
    <x v="2"/>
    <s v="Yes"/>
    <n v="45"/>
    <x v="3"/>
    <s v="Monthly"/>
    <n v="0.1"/>
    <n v="46.8"/>
    <n v="52"/>
    <s v="PayPal"/>
    <s v="Normal"/>
    <s v="Good"/>
  </r>
  <r>
    <n v="466"/>
    <n v="54"/>
    <x v="0"/>
    <x v="11"/>
    <x v="0"/>
    <n v="88"/>
    <x v="19"/>
    <x v="2"/>
    <s v="Pink"/>
    <x v="2"/>
    <n v="2.8"/>
    <s v="Yes"/>
    <x v="2"/>
    <s v="Yes"/>
    <n v="25"/>
    <x v="1"/>
    <s v="Quarterly"/>
    <n v="0.1"/>
    <n v="79.2"/>
    <n v="88"/>
    <s v="Cash"/>
    <s v="Normal"/>
    <s v="Poor"/>
  </r>
  <r>
    <n v="467"/>
    <n v="38"/>
    <x v="0"/>
    <x v="2"/>
    <x v="0"/>
    <n v="24"/>
    <x v="34"/>
    <x v="0"/>
    <s v="Turquoise"/>
    <x v="0"/>
    <n v="4.5999999999999996"/>
    <s v="Yes"/>
    <x v="1"/>
    <s v="Yes"/>
    <n v="25"/>
    <x v="3"/>
    <s v="Weekly"/>
    <n v="0.1"/>
    <n v="21.6"/>
    <n v="24"/>
    <s v="PayPal"/>
    <s v="Normal"/>
    <s v="Good"/>
  </r>
  <r>
    <n v="468"/>
    <n v="19"/>
    <x v="0"/>
    <x v="21"/>
    <x v="3"/>
    <n v="51"/>
    <x v="43"/>
    <x v="1"/>
    <s v="Orange"/>
    <x v="1"/>
    <n v="4.5"/>
    <s v="Yes"/>
    <x v="4"/>
    <s v="Yes"/>
    <n v="37"/>
    <x v="5"/>
    <s v="Every 3 Months"/>
    <n v="0.1"/>
    <n v="45.9"/>
    <n v="51"/>
    <s v="Debit Card"/>
    <s v="Normal"/>
    <s v="Good"/>
  </r>
  <r>
    <n v="469"/>
    <n v="34"/>
    <x v="0"/>
    <x v="21"/>
    <x v="3"/>
    <n v="38"/>
    <x v="42"/>
    <x v="1"/>
    <s v="Peach"/>
    <x v="3"/>
    <n v="5"/>
    <s v="Yes"/>
    <x v="1"/>
    <s v="Yes"/>
    <n v="16"/>
    <x v="1"/>
    <s v="Quarterly"/>
    <n v="0.1"/>
    <n v="34.200000000000003"/>
    <n v="38"/>
    <s v="Cash"/>
    <s v="Normal"/>
    <s v="Good"/>
  </r>
  <r>
    <n v="470"/>
    <n v="21"/>
    <x v="0"/>
    <x v="6"/>
    <x v="0"/>
    <n v="46"/>
    <x v="15"/>
    <x v="0"/>
    <s v="Pink"/>
    <x v="3"/>
    <n v="4.0999999999999996"/>
    <s v="Yes"/>
    <x v="4"/>
    <s v="Yes"/>
    <n v="30"/>
    <x v="5"/>
    <s v="Bi-Weekly"/>
    <n v="0.1"/>
    <n v="41.4"/>
    <n v="46"/>
    <s v="Debit Card"/>
    <s v="Normal"/>
    <s v="Good"/>
  </r>
  <r>
    <n v="471"/>
    <n v="50"/>
    <x v="0"/>
    <x v="10"/>
    <x v="0"/>
    <n v="63"/>
    <x v="46"/>
    <x v="0"/>
    <s v="Teal"/>
    <x v="2"/>
    <n v="4.5999999999999996"/>
    <s v="Yes"/>
    <x v="0"/>
    <s v="Yes"/>
    <n v="6"/>
    <x v="1"/>
    <s v="Every 3 Months"/>
    <n v="0.1"/>
    <n v="56.7"/>
    <n v="63"/>
    <s v="Cash"/>
    <s v="Normal"/>
    <s v="Good"/>
  </r>
  <r>
    <n v="472"/>
    <n v="55"/>
    <x v="0"/>
    <x v="18"/>
    <x v="3"/>
    <n v="72"/>
    <x v="9"/>
    <x v="3"/>
    <s v="White"/>
    <x v="0"/>
    <n v="4.9000000000000004"/>
    <s v="Yes"/>
    <x v="4"/>
    <s v="Yes"/>
    <n v="36"/>
    <x v="4"/>
    <s v="Quarterly"/>
    <n v="0.1"/>
    <n v="64.8"/>
    <n v="72"/>
    <s v="Bank Transfer"/>
    <s v="Normal"/>
    <s v="Good"/>
  </r>
  <r>
    <n v="473"/>
    <n v="20"/>
    <x v="0"/>
    <x v="2"/>
    <x v="0"/>
    <n v="39"/>
    <x v="42"/>
    <x v="0"/>
    <s v="Gray"/>
    <x v="0"/>
    <n v="3.9"/>
    <s v="Yes"/>
    <x v="1"/>
    <s v="Yes"/>
    <n v="3"/>
    <x v="4"/>
    <s v="Quarterly"/>
    <n v="0.1"/>
    <n v="35.1"/>
    <n v="39"/>
    <s v="Bank Transfer"/>
    <s v="Normal"/>
    <s v="Good"/>
  </r>
  <r>
    <n v="474"/>
    <n v="34"/>
    <x v="0"/>
    <x v="7"/>
    <x v="2"/>
    <n v="42"/>
    <x v="8"/>
    <x v="0"/>
    <s v="Olive"/>
    <x v="1"/>
    <n v="3.9"/>
    <s v="Yes"/>
    <x v="5"/>
    <s v="Yes"/>
    <n v="29"/>
    <x v="3"/>
    <s v="Every 3 Months"/>
    <n v="0.1"/>
    <n v="37.799999999999997"/>
    <n v="42"/>
    <s v="PayPal"/>
    <s v="Normal"/>
    <s v="Good"/>
  </r>
  <r>
    <n v="475"/>
    <n v="62"/>
    <x v="0"/>
    <x v="1"/>
    <x v="0"/>
    <n v="76"/>
    <x v="10"/>
    <x v="3"/>
    <s v="Maroon"/>
    <x v="2"/>
    <n v="2.6"/>
    <s v="Yes"/>
    <x v="4"/>
    <s v="Yes"/>
    <n v="15"/>
    <x v="1"/>
    <s v="Quarterly"/>
    <n v="0.1"/>
    <n v="68.400000000000006"/>
    <n v="76"/>
    <s v="Cash"/>
    <s v="Normal"/>
    <s v="Poor"/>
  </r>
  <r>
    <n v="476"/>
    <n v="21"/>
    <x v="0"/>
    <x v="4"/>
    <x v="1"/>
    <n v="66"/>
    <x v="31"/>
    <x v="0"/>
    <s v="Magenta"/>
    <x v="2"/>
    <n v="2.7"/>
    <s v="Yes"/>
    <x v="1"/>
    <s v="Yes"/>
    <n v="18"/>
    <x v="5"/>
    <s v="Annually"/>
    <n v="0.1"/>
    <n v="59.4"/>
    <n v="66"/>
    <s v="Debit Card"/>
    <s v="Normal"/>
    <s v="Poor"/>
  </r>
  <r>
    <n v="477"/>
    <n v="21"/>
    <x v="0"/>
    <x v="18"/>
    <x v="3"/>
    <n v="90"/>
    <x v="39"/>
    <x v="2"/>
    <s v="Magenta"/>
    <x v="1"/>
    <n v="3.5"/>
    <s v="Yes"/>
    <x v="1"/>
    <s v="Yes"/>
    <n v="2"/>
    <x v="5"/>
    <s v="Fortnightly"/>
    <n v="0.1"/>
    <n v="81"/>
    <n v="90"/>
    <s v="Debit Card"/>
    <s v="Normal"/>
    <s v="Good"/>
  </r>
  <r>
    <n v="478"/>
    <n v="42"/>
    <x v="0"/>
    <x v="1"/>
    <x v="0"/>
    <n v="56"/>
    <x v="25"/>
    <x v="2"/>
    <s v="Green"/>
    <x v="2"/>
    <n v="3.7"/>
    <s v="Yes"/>
    <x v="1"/>
    <s v="Yes"/>
    <n v="49"/>
    <x v="5"/>
    <s v="Weekly"/>
    <n v="0.1"/>
    <n v="50.4"/>
    <n v="56"/>
    <s v="Debit Card"/>
    <s v="Normal"/>
    <s v="Good"/>
  </r>
  <r>
    <n v="479"/>
    <n v="35"/>
    <x v="0"/>
    <x v="16"/>
    <x v="3"/>
    <n v="43"/>
    <x v="23"/>
    <x v="3"/>
    <s v="Turquoise"/>
    <x v="0"/>
    <n v="3.2"/>
    <s v="Yes"/>
    <x v="1"/>
    <s v="Yes"/>
    <n v="48"/>
    <x v="0"/>
    <s v="Annually"/>
    <n v="0.1"/>
    <n v="38.700000000000003"/>
    <n v="43"/>
    <s v="Venmo"/>
    <s v="Normal"/>
    <s v="Good"/>
  </r>
  <r>
    <n v="480"/>
    <n v="39"/>
    <x v="0"/>
    <x v="8"/>
    <x v="3"/>
    <n v="84"/>
    <x v="44"/>
    <x v="0"/>
    <s v="Yellow"/>
    <x v="0"/>
    <n v="3.3"/>
    <s v="Yes"/>
    <x v="5"/>
    <s v="Yes"/>
    <n v="43"/>
    <x v="0"/>
    <s v="Monthly"/>
    <n v="0.1"/>
    <n v="75.599999999999994"/>
    <n v="84"/>
    <s v="Venmo"/>
    <s v="Normal"/>
    <s v="Good"/>
  </r>
  <r>
    <n v="481"/>
    <n v="68"/>
    <x v="0"/>
    <x v="15"/>
    <x v="0"/>
    <n v="88"/>
    <x v="34"/>
    <x v="2"/>
    <s v="Gray"/>
    <x v="2"/>
    <n v="4.8"/>
    <s v="Yes"/>
    <x v="3"/>
    <s v="Yes"/>
    <n v="30"/>
    <x v="5"/>
    <s v="Bi-Weekly"/>
    <n v="0.1"/>
    <n v="79.2"/>
    <n v="88"/>
    <s v="Debit Card"/>
    <s v="Normal"/>
    <s v="Good"/>
  </r>
  <r>
    <n v="482"/>
    <n v="46"/>
    <x v="0"/>
    <x v="19"/>
    <x v="3"/>
    <n v="88"/>
    <x v="48"/>
    <x v="0"/>
    <s v="Peach"/>
    <x v="3"/>
    <n v="3.2"/>
    <s v="Yes"/>
    <x v="4"/>
    <s v="Yes"/>
    <n v="10"/>
    <x v="3"/>
    <s v="Fortnightly"/>
    <n v="0.1"/>
    <n v="79.2"/>
    <n v="88"/>
    <s v="PayPal"/>
    <s v="Normal"/>
    <s v="Good"/>
  </r>
  <r>
    <n v="483"/>
    <n v="41"/>
    <x v="0"/>
    <x v="22"/>
    <x v="3"/>
    <n v="42"/>
    <x v="39"/>
    <x v="2"/>
    <s v="Yellow"/>
    <x v="0"/>
    <n v="2.5"/>
    <s v="Yes"/>
    <x v="4"/>
    <s v="Yes"/>
    <n v="11"/>
    <x v="0"/>
    <s v="Annually"/>
    <n v="0.1"/>
    <n v="37.799999999999997"/>
    <n v="42"/>
    <s v="Venmo"/>
    <s v="Normal"/>
    <s v="Poor"/>
  </r>
  <r>
    <n v="484"/>
    <n v="23"/>
    <x v="0"/>
    <x v="15"/>
    <x v="0"/>
    <n v="73"/>
    <x v="19"/>
    <x v="2"/>
    <s v="White"/>
    <x v="3"/>
    <n v="3.9"/>
    <s v="Yes"/>
    <x v="5"/>
    <s v="Yes"/>
    <n v="12"/>
    <x v="5"/>
    <s v="Weekly"/>
    <n v="0.1"/>
    <n v="65.7"/>
    <n v="73"/>
    <s v="Debit Card"/>
    <s v="Normal"/>
    <s v="Good"/>
  </r>
  <r>
    <n v="485"/>
    <n v="68"/>
    <x v="0"/>
    <x v="19"/>
    <x v="3"/>
    <n v="73"/>
    <x v="9"/>
    <x v="0"/>
    <s v="Lavender"/>
    <x v="2"/>
    <n v="4.7"/>
    <s v="Yes"/>
    <x v="1"/>
    <s v="Yes"/>
    <n v="28"/>
    <x v="4"/>
    <s v="Quarterly"/>
    <n v="0.1"/>
    <n v="65.7"/>
    <n v="73"/>
    <s v="Bank Transfer"/>
    <s v="Normal"/>
    <s v="Good"/>
  </r>
  <r>
    <n v="486"/>
    <n v="48"/>
    <x v="0"/>
    <x v="9"/>
    <x v="1"/>
    <n v="44"/>
    <x v="30"/>
    <x v="1"/>
    <s v="Blue"/>
    <x v="1"/>
    <n v="2.6"/>
    <s v="Yes"/>
    <x v="2"/>
    <s v="Yes"/>
    <n v="36"/>
    <x v="5"/>
    <s v="Fortnightly"/>
    <n v="0.1"/>
    <n v="39.6"/>
    <n v="44"/>
    <s v="Debit Card"/>
    <s v="Normal"/>
    <s v="Poor"/>
  </r>
  <r>
    <n v="487"/>
    <n v="38"/>
    <x v="0"/>
    <x v="3"/>
    <x v="1"/>
    <n v="63"/>
    <x v="35"/>
    <x v="2"/>
    <s v="Charcoal"/>
    <x v="3"/>
    <n v="2.8"/>
    <s v="Yes"/>
    <x v="5"/>
    <s v="Yes"/>
    <n v="37"/>
    <x v="0"/>
    <s v="Every 3 Months"/>
    <n v="0.1"/>
    <n v="56.7"/>
    <n v="63"/>
    <s v="Venmo"/>
    <s v="Normal"/>
    <s v="Poor"/>
  </r>
  <r>
    <n v="488"/>
    <n v="41"/>
    <x v="0"/>
    <x v="14"/>
    <x v="2"/>
    <n v="68"/>
    <x v="44"/>
    <x v="0"/>
    <s v="Red"/>
    <x v="0"/>
    <n v="4.4000000000000004"/>
    <s v="Yes"/>
    <x v="5"/>
    <s v="Yes"/>
    <n v="22"/>
    <x v="2"/>
    <s v="Quarterly"/>
    <n v="0.1"/>
    <n v="61.2"/>
    <n v="68"/>
    <s v="Credit Card"/>
    <s v="Normal"/>
    <s v="Good"/>
  </r>
  <r>
    <n v="489"/>
    <n v="58"/>
    <x v="0"/>
    <x v="1"/>
    <x v="0"/>
    <n v="29"/>
    <x v="1"/>
    <x v="0"/>
    <s v="Olive"/>
    <x v="1"/>
    <n v="4.5999999999999996"/>
    <s v="Yes"/>
    <x v="3"/>
    <s v="Yes"/>
    <n v="32"/>
    <x v="0"/>
    <s v="Weekly"/>
    <n v="0.1"/>
    <n v="26.1"/>
    <n v="29"/>
    <s v="Venmo"/>
    <s v="Normal"/>
    <s v="Good"/>
  </r>
  <r>
    <n v="490"/>
    <n v="49"/>
    <x v="0"/>
    <x v="20"/>
    <x v="0"/>
    <n v="85"/>
    <x v="45"/>
    <x v="2"/>
    <s v="Green"/>
    <x v="2"/>
    <n v="3.2"/>
    <s v="Yes"/>
    <x v="3"/>
    <s v="Yes"/>
    <n v="40"/>
    <x v="3"/>
    <s v="Annually"/>
    <n v="0.1"/>
    <n v="76.5"/>
    <n v="85"/>
    <s v="PayPal"/>
    <s v="Normal"/>
    <s v="Good"/>
  </r>
  <r>
    <n v="491"/>
    <n v="57"/>
    <x v="0"/>
    <x v="4"/>
    <x v="1"/>
    <n v="42"/>
    <x v="24"/>
    <x v="2"/>
    <s v="Silver"/>
    <x v="0"/>
    <n v="4.2"/>
    <s v="Yes"/>
    <x v="4"/>
    <s v="Yes"/>
    <n v="47"/>
    <x v="1"/>
    <s v="Monthly"/>
    <n v="0.1"/>
    <n v="37.799999999999997"/>
    <n v="42"/>
    <s v="Cash"/>
    <s v="Normal"/>
    <s v="Good"/>
  </r>
  <r>
    <n v="492"/>
    <n v="49"/>
    <x v="0"/>
    <x v="7"/>
    <x v="2"/>
    <n v="69"/>
    <x v="34"/>
    <x v="2"/>
    <s v="Silver"/>
    <x v="2"/>
    <n v="1"/>
    <s v="Yes"/>
    <x v="4"/>
    <s v="Yes"/>
    <n v="24"/>
    <x v="2"/>
    <s v="Bi-Weekly"/>
    <n v="0.1"/>
    <n v="62.1"/>
    <n v="69"/>
    <s v="Credit Card"/>
    <s v="Normal"/>
    <s v="Poor"/>
  </r>
  <r>
    <n v="493"/>
    <n v="50"/>
    <x v="0"/>
    <x v="5"/>
    <x v="0"/>
    <n v="62"/>
    <x v="49"/>
    <x v="2"/>
    <s v="Black"/>
    <x v="3"/>
    <n v="3.9"/>
    <s v="Yes"/>
    <x v="3"/>
    <s v="Yes"/>
    <n v="11"/>
    <x v="5"/>
    <s v="Weekly"/>
    <n v="0.1"/>
    <n v="55.8"/>
    <n v="62"/>
    <s v="Debit Card"/>
    <s v="Normal"/>
    <s v="Good"/>
  </r>
  <r>
    <n v="494"/>
    <n v="28"/>
    <x v="0"/>
    <x v="21"/>
    <x v="3"/>
    <n v="48"/>
    <x v="22"/>
    <x v="3"/>
    <s v="Red"/>
    <x v="2"/>
    <n v="4.7"/>
    <s v="Yes"/>
    <x v="5"/>
    <s v="Yes"/>
    <n v="19"/>
    <x v="1"/>
    <s v="Bi-Weekly"/>
    <n v="0.1"/>
    <n v="43.2"/>
    <n v="48"/>
    <s v="Cash"/>
    <s v="Normal"/>
    <s v="Good"/>
  </r>
  <r>
    <n v="495"/>
    <n v="38"/>
    <x v="0"/>
    <x v="23"/>
    <x v="1"/>
    <n v="68"/>
    <x v="27"/>
    <x v="2"/>
    <s v="Indigo"/>
    <x v="0"/>
    <n v="4.5"/>
    <s v="Yes"/>
    <x v="0"/>
    <s v="Yes"/>
    <n v="42"/>
    <x v="5"/>
    <s v="Weekly"/>
    <n v="0.1"/>
    <n v="61.2"/>
    <n v="68"/>
    <s v="Debit Card"/>
    <s v="Normal"/>
    <s v="Good"/>
  </r>
  <r>
    <n v="496"/>
    <n v="33"/>
    <x v="0"/>
    <x v="8"/>
    <x v="3"/>
    <n v="36"/>
    <x v="49"/>
    <x v="3"/>
    <s v="Cyan"/>
    <x v="3"/>
    <n v="3.3"/>
    <s v="Yes"/>
    <x v="1"/>
    <s v="Yes"/>
    <n v="6"/>
    <x v="5"/>
    <s v="Fortnightly"/>
    <n v="0.1"/>
    <n v="32.4"/>
    <n v="36"/>
    <s v="Debit Card"/>
    <s v="Normal"/>
    <s v="Good"/>
  </r>
  <r>
    <n v="497"/>
    <n v="30"/>
    <x v="0"/>
    <x v="10"/>
    <x v="0"/>
    <n v="63"/>
    <x v="18"/>
    <x v="1"/>
    <s v="Maroon"/>
    <x v="3"/>
    <n v="3.3"/>
    <s v="Yes"/>
    <x v="0"/>
    <s v="Yes"/>
    <n v="31"/>
    <x v="0"/>
    <s v="Fortnightly"/>
    <n v="0.1"/>
    <n v="56.7"/>
    <n v="63"/>
    <s v="Venmo"/>
    <s v="Normal"/>
    <s v="Good"/>
  </r>
  <r>
    <n v="498"/>
    <n v="43"/>
    <x v="0"/>
    <x v="4"/>
    <x v="1"/>
    <n v="39"/>
    <x v="19"/>
    <x v="1"/>
    <s v="Silver"/>
    <x v="0"/>
    <n v="4.5999999999999996"/>
    <s v="Yes"/>
    <x v="1"/>
    <s v="Yes"/>
    <n v="31"/>
    <x v="1"/>
    <s v="Weekly"/>
    <n v="0.1"/>
    <n v="35.1"/>
    <n v="39"/>
    <s v="Cash"/>
    <s v="Normal"/>
    <s v="Good"/>
  </r>
  <r>
    <n v="499"/>
    <n v="43"/>
    <x v="0"/>
    <x v="23"/>
    <x v="1"/>
    <n v="78"/>
    <x v="44"/>
    <x v="2"/>
    <s v="Lavender"/>
    <x v="1"/>
    <n v="3.6"/>
    <s v="Yes"/>
    <x v="1"/>
    <s v="Yes"/>
    <n v="27"/>
    <x v="4"/>
    <s v="Monthly"/>
    <n v="0.1"/>
    <n v="70.2"/>
    <n v="78"/>
    <s v="Bank Transfer"/>
    <s v="Normal"/>
    <s v="Good"/>
  </r>
  <r>
    <n v="500"/>
    <n v="36"/>
    <x v="0"/>
    <x v="9"/>
    <x v="1"/>
    <n v="99"/>
    <x v="3"/>
    <x v="0"/>
    <s v="Silver"/>
    <x v="0"/>
    <n v="4.8"/>
    <s v="Yes"/>
    <x v="0"/>
    <s v="Yes"/>
    <n v="24"/>
    <x v="3"/>
    <s v="Monthly"/>
    <n v="0.1"/>
    <n v="89.1"/>
    <n v="99"/>
    <s v="PayPal"/>
    <s v="Normal"/>
    <s v="Good"/>
  </r>
  <r>
    <n v="501"/>
    <n v="36"/>
    <x v="0"/>
    <x v="17"/>
    <x v="0"/>
    <n v="31"/>
    <x v="47"/>
    <x v="0"/>
    <s v="Purple"/>
    <x v="3"/>
    <n v="4.8"/>
    <s v="Yes"/>
    <x v="2"/>
    <s v="Yes"/>
    <n v="35"/>
    <x v="0"/>
    <s v="Every 3 Months"/>
    <n v="0.1"/>
    <n v="27.9"/>
    <n v="31"/>
    <s v="Venmo"/>
    <s v="Normal"/>
    <s v="Good"/>
  </r>
  <r>
    <n v="502"/>
    <n v="64"/>
    <x v="0"/>
    <x v="23"/>
    <x v="1"/>
    <n v="45"/>
    <x v="20"/>
    <x v="2"/>
    <s v="Cyan"/>
    <x v="1"/>
    <n v="2.9"/>
    <s v="Yes"/>
    <x v="2"/>
    <s v="Yes"/>
    <n v="21"/>
    <x v="0"/>
    <s v="Annually"/>
    <n v="0.1"/>
    <n v="40.5"/>
    <n v="45"/>
    <s v="Venmo"/>
    <s v="Normal"/>
    <s v="Poor"/>
  </r>
  <r>
    <n v="503"/>
    <n v="59"/>
    <x v="0"/>
    <x v="13"/>
    <x v="0"/>
    <n v="30"/>
    <x v="36"/>
    <x v="1"/>
    <s v="Cyan"/>
    <x v="3"/>
    <n v="2.8"/>
    <s v="Yes"/>
    <x v="0"/>
    <s v="Yes"/>
    <n v="8"/>
    <x v="3"/>
    <s v="Fortnightly"/>
    <n v="0.1"/>
    <n v="27"/>
    <n v="30"/>
    <s v="PayPal"/>
    <s v="Normal"/>
    <s v="Poor"/>
  </r>
  <r>
    <n v="504"/>
    <n v="55"/>
    <x v="0"/>
    <x v="9"/>
    <x v="1"/>
    <n v="24"/>
    <x v="8"/>
    <x v="2"/>
    <s v="Lavender"/>
    <x v="2"/>
    <n v="3.2"/>
    <s v="Yes"/>
    <x v="2"/>
    <s v="Yes"/>
    <n v="26"/>
    <x v="4"/>
    <s v="Quarterly"/>
    <n v="0.1"/>
    <n v="21.6"/>
    <n v="24"/>
    <s v="Bank Transfer"/>
    <s v="Normal"/>
    <s v="Good"/>
  </r>
  <r>
    <n v="505"/>
    <n v="42"/>
    <x v="0"/>
    <x v="9"/>
    <x v="1"/>
    <n v="22"/>
    <x v="9"/>
    <x v="2"/>
    <s v="Maroon"/>
    <x v="0"/>
    <n v="3.9"/>
    <s v="Yes"/>
    <x v="1"/>
    <s v="Yes"/>
    <n v="26"/>
    <x v="3"/>
    <s v="Annually"/>
    <n v="0.1"/>
    <n v="19.8"/>
    <n v="22"/>
    <s v="PayPal"/>
    <s v="Normal"/>
    <s v="Good"/>
  </r>
  <r>
    <n v="506"/>
    <n v="61"/>
    <x v="0"/>
    <x v="17"/>
    <x v="0"/>
    <n v="63"/>
    <x v="1"/>
    <x v="0"/>
    <s v="Gray"/>
    <x v="1"/>
    <n v="4.3"/>
    <s v="Yes"/>
    <x v="0"/>
    <s v="Yes"/>
    <n v="9"/>
    <x v="1"/>
    <s v="Bi-Weekly"/>
    <n v="0.1"/>
    <n v="56.7"/>
    <n v="63"/>
    <s v="Cash"/>
    <s v="Normal"/>
    <s v="Good"/>
  </r>
  <r>
    <n v="507"/>
    <n v="28"/>
    <x v="0"/>
    <x v="18"/>
    <x v="3"/>
    <n v="40"/>
    <x v="42"/>
    <x v="2"/>
    <s v="Olive"/>
    <x v="3"/>
    <n v="2.7"/>
    <s v="Yes"/>
    <x v="4"/>
    <s v="Yes"/>
    <n v="48"/>
    <x v="5"/>
    <s v="Annually"/>
    <n v="0.1"/>
    <n v="36"/>
    <n v="40"/>
    <s v="Debit Card"/>
    <s v="Normal"/>
    <s v="Poor"/>
  </r>
  <r>
    <n v="508"/>
    <n v="65"/>
    <x v="0"/>
    <x v="6"/>
    <x v="0"/>
    <n v="20"/>
    <x v="1"/>
    <x v="2"/>
    <s v="Magenta"/>
    <x v="1"/>
    <n v="5"/>
    <s v="Yes"/>
    <x v="5"/>
    <s v="Yes"/>
    <n v="33"/>
    <x v="5"/>
    <s v="Fortnightly"/>
    <n v="0.1"/>
    <n v="18"/>
    <n v="20"/>
    <s v="Debit Card"/>
    <s v="Normal"/>
    <s v="Good"/>
  </r>
  <r>
    <n v="509"/>
    <n v="27"/>
    <x v="0"/>
    <x v="16"/>
    <x v="3"/>
    <n v="20"/>
    <x v="26"/>
    <x v="1"/>
    <s v="Yellow"/>
    <x v="0"/>
    <n v="3.7"/>
    <s v="Yes"/>
    <x v="5"/>
    <s v="Yes"/>
    <n v="31"/>
    <x v="3"/>
    <s v="Quarterly"/>
    <n v="0.1"/>
    <n v="18"/>
    <n v="20"/>
    <s v="PayPal"/>
    <s v="Normal"/>
    <s v="Good"/>
  </r>
  <r>
    <n v="510"/>
    <n v="41"/>
    <x v="0"/>
    <x v="17"/>
    <x v="0"/>
    <n v="80"/>
    <x v="12"/>
    <x v="0"/>
    <s v="Cyan"/>
    <x v="2"/>
    <n v="3.9"/>
    <s v="Yes"/>
    <x v="1"/>
    <s v="Yes"/>
    <n v="17"/>
    <x v="5"/>
    <s v="Weekly"/>
    <n v="0.1"/>
    <n v="72"/>
    <n v="80"/>
    <s v="Debit Card"/>
    <s v="Normal"/>
    <s v="Good"/>
  </r>
  <r>
    <n v="511"/>
    <n v="21"/>
    <x v="0"/>
    <x v="5"/>
    <x v="0"/>
    <n v="87"/>
    <x v="8"/>
    <x v="2"/>
    <s v="Teal"/>
    <x v="3"/>
    <n v="3.9"/>
    <s v="Yes"/>
    <x v="4"/>
    <s v="Yes"/>
    <n v="22"/>
    <x v="0"/>
    <s v="Annually"/>
    <n v="0.1"/>
    <n v="78.3"/>
    <n v="87"/>
    <s v="Venmo"/>
    <s v="Normal"/>
    <s v="Good"/>
  </r>
  <r>
    <n v="512"/>
    <n v="61"/>
    <x v="0"/>
    <x v="5"/>
    <x v="0"/>
    <n v="46"/>
    <x v="11"/>
    <x v="0"/>
    <s v="Yellow"/>
    <x v="3"/>
    <n v="3.1"/>
    <s v="Yes"/>
    <x v="1"/>
    <s v="Yes"/>
    <n v="8"/>
    <x v="3"/>
    <s v="Annually"/>
    <n v="0.1"/>
    <n v="41.4"/>
    <n v="46"/>
    <s v="PayPal"/>
    <s v="Normal"/>
    <s v="Good"/>
  </r>
  <r>
    <n v="513"/>
    <n v="19"/>
    <x v="0"/>
    <x v="24"/>
    <x v="3"/>
    <n v="49"/>
    <x v="14"/>
    <x v="0"/>
    <s v="Peach"/>
    <x v="0"/>
    <n v="1"/>
    <s v="Yes"/>
    <x v="2"/>
    <s v="Yes"/>
    <n v="2"/>
    <x v="4"/>
    <s v="Monthly"/>
    <n v="0.1"/>
    <n v="44.1"/>
    <n v="49"/>
    <s v="Bank Transfer"/>
    <s v="Normal"/>
    <s v="Poor"/>
  </r>
  <r>
    <n v="514"/>
    <n v="22"/>
    <x v="0"/>
    <x v="18"/>
    <x v="3"/>
    <n v="65"/>
    <x v="35"/>
    <x v="2"/>
    <s v="Peach"/>
    <x v="3"/>
    <n v="3.6"/>
    <s v="Yes"/>
    <x v="5"/>
    <s v="Yes"/>
    <n v="45"/>
    <x v="0"/>
    <s v="Annually"/>
    <n v="0.1"/>
    <n v="58.5"/>
    <n v="65"/>
    <s v="Venmo"/>
    <s v="Normal"/>
    <s v="Good"/>
  </r>
  <r>
    <n v="515"/>
    <n v="64"/>
    <x v="0"/>
    <x v="11"/>
    <x v="0"/>
    <n v="62"/>
    <x v="27"/>
    <x v="1"/>
    <s v="Olive"/>
    <x v="0"/>
    <n v="4.3"/>
    <s v="Yes"/>
    <x v="3"/>
    <s v="Yes"/>
    <n v="47"/>
    <x v="3"/>
    <s v="Quarterly"/>
    <n v="0.1"/>
    <n v="55.8"/>
    <n v="62"/>
    <s v="PayPal"/>
    <s v="Normal"/>
    <s v="Good"/>
  </r>
  <r>
    <n v="516"/>
    <n v="28"/>
    <x v="0"/>
    <x v="19"/>
    <x v="3"/>
    <n v="67"/>
    <x v="0"/>
    <x v="0"/>
    <s v="Charcoal"/>
    <x v="1"/>
    <n v="4.5"/>
    <s v="Yes"/>
    <x v="2"/>
    <s v="Yes"/>
    <n v="7"/>
    <x v="1"/>
    <s v="Monthly"/>
    <n v="0.1"/>
    <n v="60.3"/>
    <n v="67"/>
    <s v="Cash"/>
    <s v="Normal"/>
    <s v="Good"/>
  </r>
  <r>
    <n v="517"/>
    <n v="34"/>
    <x v="0"/>
    <x v="15"/>
    <x v="0"/>
    <n v="41"/>
    <x v="8"/>
    <x v="0"/>
    <s v="Indigo"/>
    <x v="3"/>
    <n v="2.8"/>
    <s v="Yes"/>
    <x v="4"/>
    <s v="Yes"/>
    <n v="19"/>
    <x v="5"/>
    <s v="Bi-Weekly"/>
    <n v="0.1"/>
    <n v="36.9"/>
    <n v="41"/>
    <s v="Debit Card"/>
    <s v="Normal"/>
    <s v="Poor"/>
  </r>
  <r>
    <n v="518"/>
    <n v="61"/>
    <x v="0"/>
    <x v="23"/>
    <x v="1"/>
    <n v="49"/>
    <x v="25"/>
    <x v="0"/>
    <s v="Silver"/>
    <x v="3"/>
    <n v="2.7"/>
    <s v="Yes"/>
    <x v="1"/>
    <s v="Yes"/>
    <n v="44"/>
    <x v="1"/>
    <s v="Every 3 Months"/>
    <n v="0.1"/>
    <n v="44.1"/>
    <n v="49"/>
    <s v="Cash"/>
    <s v="Normal"/>
    <s v="Poor"/>
  </r>
  <r>
    <n v="519"/>
    <n v="24"/>
    <x v="0"/>
    <x v="0"/>
    <x v="0"/>
    <n v="100"/>
    <x v="4"/>
    <x v="2"/>
    <s v="Beige"/>
    <x v="3"/>
    <n v="2.9"/>
    <s v="Yes"/>
    <x v="2"/>
    <s v="Yes"/>
    <n v="16"/>
    <x v="0"/>
    <s v="Every 3 Months"/>
    <n v="0.1"/>
    <n v="90"/>
    <n v="100"/>
    <s v="Venmo"/>
    <s v="Normal"/>
    <s v="Poor"/>
  </r>
  <r>
    <n v="520"/>
    <n v="19"/>
    <x v="0"/>
    <x v="22"/>
    <x v="3"/>
    <n v="54"/>
    <x v="46"/>
    <x v="0"/>
    <s v="Blue"/>
    <x v="2"/>
    <n v="4.4000000000000004"/>
    <s v="Yes"/>
    <x v="4"/>
    <s v="Yes"/>
    <n v="17"/>
    <x v="4"/>
    <s v="Quarterly"/>
    <n v="0.1"/>
    <n v="48.6"/>
    <n v="54"/>
    <s v="Bank Transfer"/>
    <s v="Normal"/>
    <s v="Good"/>
  </r>
  <r>
    <n v="521"/>
    <n v="51"/>
    <x v="0"/>
    <x v="12"/>
    <x v="3"/>
    <n v="84"/>
    <x v="36"/>
    <x v="2"/>
    <s v="White"/>
    <x v="1"/>
    <n v="3.9"/>
    <s v="Yes"/>
    <x v="1"/>
    <s v="Yes"/>
    <n v="20"/>
    <x v="5"/>
    <s v="Quarterly"/>
    <n v="0.1"/>
    <n v="75.599999999999994"/>
    <n v="84"/>
    <s v="Debit Card"/>
    <s v="Normal"/>
    <s v="Good"/>
  </r>
  <r>
    <n v="522"/>
    <n v="36"/>
    <x v="0"/>
    <x v="6"/>
    <x v="0"/>
    <n v="41"/>
    <x v="34"/>
    <x v="0"/>
    <s v="Gold"/>
    <x v="0"/>
    <n v="3.5"/>
    <s v="Yes"/>
    <x v="3"/>
    <s v="Yes"/>
    <n v="50"/>
    <x v="4"/>
    <s v="Annually"/>
    <n v="0.1"/>
    <n v="36.9"/>
    <n v="41"/>
    <s v="Bank Transfer"/>
    <s v="Normal"/>
    <s v="Good"/>
  </r>
  <r>
    <n v="523"/>
    <n v="65"/>
    <x v="0"/>
    <x v="24"/>
    <x v="3"/>
    <n v="88"/>
    <x v="46"/>
    <x v="2"/>
    <s v="Blue"/>
    <x v="1"/>
    <n v="2.5"/>
    <s v="Yes"/>
    <x v="5"/>
    <s v="Yes"/>
    <n v="37"/>
    <x v="1"/>
    <s v="Quarterly"/>
    <n v="0.1"/>
    <n v="79.2"/>
    <n v="88"/>
    <s v="Cash"/>
    <s v="Normal"/>
    <s v="Poor"/>
  </r>
  <r>
    <n v="524"/>
    <n v="46"/>
    <x v="0"/>
    <x v="3"/>
    <x v="1"/>
    <n v="40"/>
    <x v="12"/>
    <x v="2"/>
    <s v="Orange"/>
    <x v="1"/>
    <n v="4.9000000000000004"/>
    <s v="Yes"/>
    <x v="0"/>
    <s v="Yes"/>
    <n v="5"/>
    <x v="3"/>
    <s v="Quarterly"/>
    <n v="0.1"/>
    <n v="36"/>
    <n v="40"/>
    <s v="PayPal"/>
    <s v="Normal"/>
    <s v="Good"/>
  </r>
  <r>
    <n v="525"/>
    <n v="59"/>
    <x v="0"/>
    <x v="5"/>
    <x v="0"/>
    <n v="39"/>
    <x v="38"/>
    <x v="2"/>
    <s v="Gold"/>
    <x v="2"/>
    <n v="4.8"/>
    <s v="Yes"/>
    <x v="1"/>
    <s v="Yes"/>
    <n v="44"/>
    <x v="3"/>
    <s v="Annually"/>
    <n v="0.1"/>
    <n v="35.1"/>
    <n v="39"/>
    <s v="PayPal"/>
    <s v="Normal"/>
    <s v="Good"/>
  </r>
  <r>
    <n v="526"/>
    <n v="51"/>
    <x v="0"/>
    <x v="7"/>
    <x v="2"/>
    <n v="37"/>
    <x v="44"/>
    <x v="2"/>
    <s v="Cyan"/>
    <x v="1"/>
    <n v="3.2"/>
    <s v="Yes"/>
    <x v="2"/>
    <s v="Yes"/>
    <n v="41"/>
    <x v="5"/>
    <s v="Monthly"/>
    <n v="0.1"/>
    <n v="33.299999999999997"/>
    <n v="37"/>
    <s v="Debit Card"/>
    <s v="Normal"/>
    <s v="Good"/>
  </r>
  <r>
    <n v="527"/>
    <n v="51"/>
    <x v="0"/>
    <x v="13"/>
    <x v="0"/>
    <n v="52"/>
    <x v="32"/>
    <x v="1"/>
    <s v="Red"/>
    <x v="0"/>
    <n v="4.9000000000000004"/>
    <s v="Yes"/>
    <x v="3"/>
    <s v="Yes"/>
    <n v="19"/>
    <x v="1"/>
    <s v="Monthly"/>
    <n v="0.1"/>
    <n v="46.8"/>
    <n v="52"/>
    <s v="Cash"/>
    <s v="Normal"/>
    <s v="Good"/>
  </r>
  <r>
    <n v="528"/>
    <n v="21"/>
    <x v="0"/>
    <x v="17"/>
    <x v="0"/>
    <n v="23"/>
    <x v="36"/>
    <x v="0"/>
    <s v="Yellow"/>
    <x v="0"/>
    <n v="4.3"/>
    <s v="Yes"/>
    <x v="2"/>
    <s v="Yes"/>
    <n v="47"/>
    <x v="4"/>
    <s v="Every 3 Months"/>
    <n v="0.1"/>
    <n v="20.7"/>
    <n v="23"/>
    <s v="Bank Transfer"/>
    <s v="Normal"/>
    <s v="Good"/>
  </r>
  <r>
    <n v="529"/>
    <n v="34"/>
    <x v="0"/>
    <x v="4"/>
    <x v="1"/>
    <n v="88"/>
    <x v="33"/>
    <x v="1"/>
    <s v="Beige"/>
    <x v="0"/>
    <n v="3.2"/>
    <s v="Yes"/>
    <x v="0"/>
    <s v="Yes"/>
    <n v="40"/>
    <x v="1"/>
    <s v="Annually"/>
    <n v="0.1"/>
    <n v="79.2"/>
    <n v="88"/>
    <s v="Cash"/>
    <s v="Normal"/>
    <s v="Good"/>
  </r>
  <r>
    <n v="530"/>
    <n v="32"/>
    <x v="0"/>
    <x v="6"/>
    <x v="0"/>
    <n v="84"/>
    <x v="18"/>
    <x v="2"/>
    <s v="Orange"/>
    <x v="3"/>
    <n v="3.7"/>
    <s v="Yes"/>
    <x v="3"/>
    <s v="Yes"/>
    <n v="6"/>
    <x v="2"/>
    <s v="Monthly"/>
    <n v="0.1"/>
    <n v="75.599999999999994"/>
    <n v="84"/>
    <s v="Credit Card"/>
    <s v="Normal"/>
    <s v="Good"/>
  </r>
  <r>
    <n v="531"/>
    <n v="48"/>
    <x v="0"/>
    <x v="7"/>
    <x v="2"/>
    <n v="37"/>
    <x v="6"/>
    <x v="3"/>
    <s v="Magenta"/>
    <x v="0"/>
    <n v="3.2"/>
    <s v="Yes"/>
    <x v="5"/>
    <s v="Yes"/>
    <n v="25"/>
    <x v="2"/>
    <s v="Bi-Weekly"/>
    <n v="0.1"/>
    <n v="33.299999999999997"/>
    <n v="37"/>
    <s v="Credit Card"/>
    <s v="Normal"/>
    <s v="Good"/>
  </r>
  <r>
    <n v="532"/>
    <n v="50"/>
    <x v="0"/>
    <x v="3"/>
    <x v="1"/>
    <n v="51"/>
    <x v="34"/>
    <x v="0"/>
    <s v="Purple"/>
    <x v="3"/>
    <n v="3.4"/>
    <s v="Yes"/>
    <x v="2"/>
    <s v="Yes"/>
    <n v="42"/>
    <x v="1"/>
    <s v="Weekly"/>
    <n v="0.1"/>
    <n v="45.9"/>
    <n v="51"/>
    <s v="Cash"/>
    <s v="Normal"/>
    <s v="Good"/>
  </r>
  <r>
    <n v="533"/>
    <n v="26"/>
    <x v="0"/>
    <x v="13"/>
    <x v="0"/>
    <n v="76"/>
    <x v="21"/>
    <x v="0"/>
    <s v="Black"/>
    <x v="0"/>
    <n v="4.0999999999999996"/>
    <s v="Yes"/>
    <x v="0"/>
    <s v="Yes"/>
    <n v="35"/>
    <x v="4"/>
    <s v="Every 3 Months"/>
    <n v="0.1"/>
    <n v="68.400000000000006"/>
    <n v="76"/>
    <s v="Bank Transfer"/>
    <s v="Normal"/>
    <s v="Good"/>
  </r>
  <r>
    <n v="534"/>
    <n v="57"/>
    <x v="0"/>
    <x v="3"/>
    <x v="1"/>
    <n v="60"/>
    <x v="17"/>
    <x v="0"/>
    <s v="Pink"/>
    <x v="1"/>
    <n v="4.5"/>
    <s v="Yes"/>
    <x v="2"/>
    <s v="Yes"/>
    <n v="17"/>
    <x v="5"/>
    <s v="Weekly"/>
    <n v="0.1"/>
    <n v="54"/>
    <n v="60"/>
    <s v="Debit Card"/>
    <s v="Normal"/>
    <s v="Good"/>
  </r>
  <r>
    <n v="535"/>
    <n v="65"/>
    <x v="0"/>
    <x v="24"/>
    <x v="3"/>
    <n v="72"/>
    <x v="20"/>
    <x v="0"/>
    <s v="Pink"/>
    <x v="3"/>
    <n v="4.5"/>
    <s v="Yes"/>
    <x v="2"/>
    <s v="Yes"/>
    <n v="4"/>
    <x v="3"/>
    <s v="Quarterly"/>
    <n v="0.1"/>
    <n v="64.8"/>
    <n v="72"/>
    <s v="PayPal"/>
    <s v="Normal"/>
    <s v="Good"/>
  </r>
  <r>
    <n v="536"/>
    <n v="56"/>
    <x v="0"/>
    <x v="17"/>
    <x v="0"/>
    <n v="45"/>
    <x v="8"/>
    <x v="0"/>
    <s v="Maroon"/>
    <x v="1"/>
    <n v="3.2"/>
    <s v="Yes"/>
    <x v="1"/>
    <s v="Yes"/>
    <n v="24"/>
    <x v="4"/>
    <s v="Weekly"/>
    <n v="0.1"/>
    <n v="40.5"/>
    <n v="45"/>
    <s v="Bank Transfer"/>
    <s v="Normal"/>
    <s v="Good"/>
  </r>
  <r>
    <n v="537"/>
    <n v="44"/>
    <x v="0"/>
    <x v="14"/>
    <x v="2"/>
    <n v="84"/>
    <x v="26"/>
    <x v="1"/>
    <s v="Maroon"/>
    <x v="3"/>
    <n v="4.4000000000000004"/>
    <s v="Yes"/>
    <x v="5"/>
    <s v="Yes"/>
    <n v="16"/>
    <x v="5"/>
    <s v="Every 3 Months"/>
    <n v="0.1"/>
    <n v="75.599999999999994"/>
    <n v="84"/>
    <s v="Debit Card"/>
    <s v="Normal"/>
    <s v="Good"/>
  </r>
  <r>
    <n v="538"/>
    <n v="50"/>
    <x v="0"/>
    <x v="0"/>
    <x v="0"/>
    <n v="49"/>
    <x v="41"/>
    <x v="1"/>
    <s v="Turquoise"/>
    <x v="2"/>
    <n v="3"/>
    <s v="Yes"/>
    <x v="5"/>
    <s v="Yes"/>
    <n v="14"/>
    <x v="5"/>
    <s v="Annually"/>
    <n v="0.1"/>
    <n v="44.1"/>
    <n v="49"/>
    <s v="Debit Card"/>
    <s v="Normal"/>
    <s v="Good"/>
  </r>
  <r>
    <n v="539"/>
    <n v="27"/>
    <x v="0"/>
    <x v="20"/>
    <x v="0"/>
    <n v="22"/>
    <x v="41"/>
    <x v="3"/>
    <s v="Green"/>
    <x v="1"/>
    <n v="3.2"/>
    <s v="Yes"/>
    <x v="1"/>
    <s v="Yes"/>
    <n v="43"/>
    <x v="1"/>
    <s v="Weekly"/>
    <n v="0.1"/>
    <n v="19.8"/>
    <n v="22"/>
    <s v="Cash"/>
    <s v="Normal"/>
    <s v="Good"/>
  </r>
  <r>
    <n v="540"/>
    <n v="49"/>
    <x v="0"/>
    <x v="7"/>
    <x v="2"/>
    <n v="48"/>
    <x v="5"/>
    <x v="2"/>
    <s v="Violet"/>
    <x v="0"/>
    <n v="4"/>
    <s v="Yes"/>
    <x v="5"/>
    <s v="Yes"/>
    <n v="49"/>
    <x v="5"/>
    <s v="Weekly"/>
    <n v="0.1"/>
    <n v="43.2"/>
    <n v="48"/>
    <s v="Debit Card"/>
    <s v="Normal"/>
    <s v="Good"/>
  </r>
  <r>
    <n v="541"/>
    <n v="49"/>
    <x v="0"/>
    <x v="10"/>
    <x v="0"/>
    <n v="37"/>
    <x v="36"/>
    <x v="2"/>
    <s v="Lavender"/>
    <x v="1"/>
    <n v="3.1"/>
    <s v="Yes"/>
    <x v="2"/>
    <s v="Yes"/>
    <n v="33"/>
    <x v="1"/>
    <s v="Every 3 Months"/>
    <n v="0.1"/>
    <n v="33.299999999999997"/>
    <n v="37"/>
    <s v="Cash"/>
    <s v="Normal"/>
    <s v="Good"/>
  </r>
  <r>
    <n v="542"/>
    <n v="52"/>
    <x v="0"/>
    <x v="14"/>
    <x v="2"/>
    <n v="27"/>
    <x v="39"/>
    <x v="0"/>
    <s v="Gray"/>
    <x v="3"/>
    <n v="2.8"/>
    <s v="Yes"/>
    <x v="2"/>
    <s v="Yes"/>
    <n v="45"/>
    <x v="1"/>
    <s v="Bi-Weekly"/>
    <n v="0.1"/>
    <n v="24.3"/>
    <n v="27"/>
    <s v="Cash"/>
    <s v="Normal"/>
    <s v="Poor"/>
  </r>
  <r>
    <n v="543"/>
    <n v="27"/>
    <x v="0"/>
    <x v="23"/>
    <x v="1"/>
    <n v="79"/>
    <x v="26"/>
    <x v="3"/>
    <s v="Teal"/>
    <x v="1"/>
    <n v="4.5999999999999996"/>
    <s v="Yes"/>
    <x v="2"/>
    <s v="Yes"/>
    <n v="35"/>
    <x v="1"/>
    <s v="Bi-Weekly"/>
    <n v="0.1"/>
    <n v="71.099999999999994"/>
    <n v="79"/>
    <s v="Cash"/>
    <s v="Normal"/>
    <s v="Good"/>
  </r>
  <r>
    <n v="544"/>
    <n v="53"/>
    <x v="0"/>
    <x v="11"/>
    <x v="0"/>
    <n v="98"/>
    <x v="15"/>
    <x v="1"/>
    <s v="Red"/>
    <x v="1"/>
    <n v="4.3"/>
    <s v="Yes"/>
    <x v="0"/>
    <s v="Yes"/>
    <n v="11"/>
    <x v="2"/>
    <s v="Monthly"/>
    <n v="0.1"/>
    <n v="88.2"/>
    <n v="98"/>
    <s v="Credit Card"/>
    <s v="Normal"/>
    <s v="Good"/>
  </r>
  <r>
    <n v="545"/>
    <n v="34"/>
    <x v="0"/>
    <x v="3"/>
    <x v="1"/>
    <n v="64"/>
    <x v="47"/>
    <x v="1"/>
    <s v="Yellow"/>
    <x v="2"/>
    <n v="3.3"/>
    <s v="Yes"/>
    <x v="3"/>
    <s v="Yes"/>
    <n v="30"/>
    <x v="4"/>
    <s v="Every 3 Months"/>
    <n v="0.1"/>
    <n v="57.6"/>
    <n v="64"/>
    <s v="Bank Transfer"/>
    <s v="Normal"/>
    <s v="Good"/>
  </r>
  <r>
    <n v="546"/>
    <n v="33"/>
    <x v="0"/>
    <x v="7"/>
    <x v="2"/>
    <n v="32"/>
    <x v="15"/>
    <x v="0"/>
    <s v="Magenta"/>
    <x v="2"/>
    <n v="3.5"/>
    <s v="Yes"/>
    <x v="4"/>
    <s v="Yes"/>
    <n v="48"/>
    <x v="5"/>
    <s v="Annually"/>
    <n v="0.1"/>
    <n v="28.8"/>
    <n v="32"/>
    <s v="Debit Card"/>
    <s v="Normal"/>
    <s v="Good"/>
  </r>
  <r>
    <n v="547"/>
    <n v="62"/>
    <x v="0"/>
    <x v="15"/>
    <x v="0"/>
    <n v="74"/>
    <x v="35"/>
    <x v="2"/>
    <s v="Brown"/>
    <x v="0"/>
    <n v="3.4"/>
    <s v="Yes"/>
    <x v="1"/>
    <s v="Yes"/>
    <n v="45"/>
    <x v="0"/>
    <s v="Bi-Weekly"/>
    <n v="0.1"/>
    <n v="66.599999999999994"/>
    <n v="74"/>
    <s v="Venmo"/>
    <s v="Normal"/>
    <s v="Good"/>
  </r>
  <r>
    <n v="548"/>
    <n v="38"/>
    <x v="0"/>
    <x v="14"/>
    <x v="2"/>
    <n v="50"/>
    <x v="22"/>
    <x v="2"/>
    <s v="Blue"/>
    <x v="0"/>
    <n v="2.8"/>
    <s v="Yes"/>
    <x v="1"/>
    <s v="Yes"/>
    <n v="26"/>
    <x v="0"/>
    <s v="Weekly"/>
    <n v="0.1"/>
    <n v="45"/>
    <n v="50"/>
    <s v="Venmo"/>
    <s v="Normal"/>
    <s v="Poor"/>
  </r>
  <r>
    <n v="549"/>
    <n v="36"/>
    <x v="0"/>
    <x v="21"/>
    <x v="3"/>
    <n v="64"/>
    <x v="43"/>
    <x v="2"/>
    <s v="Black"/>
    <x v="0"/>
    <n v="4.5999999999999996"/>
    <s v="Yes"/>
    <x v="5"/>
    <s v="Yes"/>
    <n v="41"/>
    <x v="5"/>
    <s v="Every 3 Months"/>
    <n v="0.1"/>
    <n v="57.6"/>
    <n v="64"/>
    <s v="Debit Card"/>
    <s v="Normal"/>
    <s v="Good"/>
  </r>
  <r>
    <n v="550"/>
    <n v="31"/>
    <x v="0"/>
    <x v="21"/>
    <x v="3"/>
    <n v="29"/>
    <x v="28"/>
    <x v="1"/>
    <s v="Olive"/>
    <x v="3"/>
    <n v="3.6"/>
    <s v="Yes"/>
    <x v="0"/>
    <s v="Yes"/>
    <n v="37"/>
    <x v="0"/>
    <s v="Bi-Weekly"/>
    <n v="0.1"/>
    <n v="26.1"/>
    <n v="29"/>
    <s v="Venmo"/>
    <s v="Normal"/>
    <s v="Good"/>
  </r>
  <r>
    <n v="551"/>
    <n v="62"/>
    <x v="0"/>
    <x v="22"/>
    <x v="3"/>
    <n v="62"/>
    <x v="42"/>
    <x v="2"/>
    <s v="Olive"/>
    <x v="2"/>
    <n v="3.3"/>
    <s v="Yes"/>
    <x v="5"/>
    <s v="Yes"/>
    <n v="12"/>
    <x v="3"/>
    <s v="Weekly"/>
    <n v="0.1"/>
    <n v="55.8"/>
    <n v="62"/>
    <s v="PayPal"/>
    <s v="Normal"/>
    <s v="Good"/>
  </r>
  <r>
    <n v="552"/>
    <n v="29"/>
    <x v="0"/>
    <x v="7"/>
    <x v="2"/>
    <n v="78"/>
    <x v="37"/>
    <x v="3"/>
    <s v="Green"/>
    <x v="3"/>
    <n v="3.1"/>
    <s v="Yes"/>
    <x v="4"/>
    <s v="Yes"/>
    <n v="27"/>
    <x v="1"/>
    <s v="Bi-Weekly"/>
    <n v="0.1"/>
    <n v="70.2"/>
    <n v="78"/>
    <s v="Cash"/>
    <s v="Normal"/>
    <s v="Good"/>
  </r>
  <r>
    <n v="553"/>
    <n v="24"/>
    <x v="0"/>
    <x v="17"/>
    <x v="0"/>
    <n v="94"/>
    <x v="9"/>
    <x v="2"/>
    <s v="Peach"/>
    <x v="3"/>
    <n v="3.5"/>
    <s v="Yes"/>
    <x v="0"/>
    <s v="Yes"/>
    <n v="18"/>
    <x v="4"/>
    <s v="Weekly"/>
    <n v="0.1"/>
    <n v="84.6"/>
    <n v="94"/>
    <s v="Bank Transfer"/>
    <s v="Normal"/>
    <s v="Good"/>
  </r>
  <r>
    <n v="554"/>
    <n v="63"/>
    <x v="0"/>
    <x v="12"/>
    <x v="3"/>
    <n v="59"/>
    <x v="20"/>
    <x v="2"/>
    <s v="White"/>
    <x v="0"/>
    <n v="3.2"/>
    <s v="Yes"/>
    <x v="0"/>
    <s v="Yes"/>
    <n v="15"/>
    <x v="2"/>
    <s v="Quarterly"/>
    <n v="0.1"/>
    <n v="53.1"/>
    <n v="59"/>
    <s v="Credit Card"/>
    <s v="Normal"/>
    <s v="Good"/>
  </r>
  <r>
    <n v="555"/>
    <n v="56"/>
    <x v="0"/>
    <x v="4"/>
    <x v="1"/>
    <n v="47"/>
    <x v="46"/>
    <x v="2"/>
    <s v="Red"/>
    <x v="2"/>
    <n v="3"/>
    <s v="Yes"/>
    <x v="0"/>
    <s v="Yes"/>
    <n v="34"/>
    <x v="4"/>
    <s v="Weekly"/>
    <n v="0.1"/>
    <n v="42.3"/>
    <n v="47"/>
    <s v="Bank Transfer"/>
    <s v="Normal"/>
    <s v="Good"/>
  </r>
  <r>
    <n v="556"/>
    <n v="63"/>
    <x v="0"/>
    <x v="24"/>
    <x v="3"/>
    <n v="57"/>
    <x v="1"/>
    <x v="2"/>
    <s v="White"/>
    <x v="3"/>
    <n v="4.8"/>
    <s v="Yes"/>
    <x v="0"/>
    <s v="Yes"/>
    <n v="37"/>
    <x v="0"/>
    <s v="Annually"/>
    <n v="0.1"/>
    <n v="51.3"/>
    <n v="57"/>
    <s v="Venmo"/>
    <s v="Normal"/>
    <s v="Good"/>
  </r>
  <r>
    <n v="557"/>
    <n v="40"/>
    <x v="0"/>
    <x v="7"/>
    <x v="2"/>
    <n v="90"/>
    <x v="6"/>
    <x v="0"/>
    <s v="Indigo"/>
    <x v="0"/>
    <n v="5"/>
    <s v="Yes"/>
    <x v="5"/>
    <s v="Yes"/>
    <n v="21"/>
    <x v="1"/>
    <s v="Fortnightly"/>
    <n v="0.1"/>
    <n v="81"/>
    <n v="90"/>
    <s v="Cash"/>
    <s v="Normal"/>
    <s v="Good"/>
  </r>
  <r>
    <n v="558"/>
    <n v="18"/>
    <x v="0"/>
    <x v="5"/>
    <x v="0"/>
    <n v="60"/>
    <x v="29"/>
    <x v="2"/>
    <s v="White"/>
    <x v="1"/>
    <n v="2.9"/>
    <s v="Yes"/>
    <x v="1"/>
    <s v="Yes"/>
    <n v="31"/>
    <x v="5"/>
    <s v="Weekly"/>
    <n v="0.1"/>
    <n v="54"/>
    <n v="60"/>
    <s v="Debit Card"/>
    <s v="Normal"/>
    <s v="Poor"/>
  </r>
  <r>
    <n v="559"/>
    <n v="50"/>
    <x v="0"/>
    <x v="4"/>
    <x v="1"/>
    <n v="77"/>
    <x v="44"/>
    <x v="0"/>
    <s v="Teal"/>
    <x v="3"/>
    <n v="3.2"/>
    <s v="Yes"/>
    <x v="0"/>
    <s v="Yes"/>
    <n v="43"/>
    <x v="5"/>
    <s v="Every 3 Months"/>
    <n v="0.1"/>
    <n v="69.3"/>
    <n v="77"/>
    <s v="Debit Card"/>
    <s v="Normal"/>
    <s v="Good"/>
  </r>
  <r>
    <n v="560"/>
    <n v="66"/>
    <x v="0"/>
    <x v="18"/>
    <x v="3"/>
    <n v="41"/>
    <x v="28"/>
    <x v="2"/>
    <s v="Indigo"/>
    <x v="3"/>
    <n v="2.9"/>
    <s v="Yes"/>
    <x v="5"/>
    <s v="Yes"/>
    <n v="22"/>
    <x v="4"/>
    <s v="Monthly"/>
    <n v="0.1"/>
    <n v="36.9"/>
    <n v="41"/>
    <s v="Bank Transfer"/>
    <s v="Normal"/>
    <s v="Poor"/>
  </r>
  <r>
    <n v="561"/>
    <n v="25"/>
    <x v="0"/>
    <x v="16"/>
    <x v="3"/>
    <n v="48"/>
    <x v="7"/>
    <x v="0"/>
    <s v="Red"/>
    <x v="3"/>
    <n v="1"/>
    <s v="Yes"/>
    <x v="1"/>
    <s v="Yes"/>
    <n v="12"/>
    <x v="5"/>
    <s v="Annually"/>
    <n v="0.1"/>
    <n v="43.2"/>
    <n v="48"/>
    <s v="Debit Card"/>
    <s v="Normal"/>
    <s v="Poor"/>
  </r>
  <r>
    <n v="562"/>
    <n v="65"/>
    <x v="0"/>
    <x v="14"/>
    <x v="2"/>
    <n v="65"/>
    <x v="15"/>
    <x v="2"/>
    <s v="Blue"/>
    <x v="3"/>
    <n v="2.6"/>
    <s v="Yes"/>
    <x v="2"/>
    <s v="Yes"/>
    <n v="25"/>
    <x v="3"/>
    <s v="Fortnightly"/>
    <n v="0.1"/>
    <n v="58.5"/>
    <n v="65"/>
    <s v="PayPal"/>
    <s v="Normal"/>
    <s v="Poor"/>
  </r>
  <r>
    <n v="563"/>
    <n v="53"/>
    <x v="0"/>
    <x v="2"/>
    <x v="0"/>
    <n v="62"/>
    <x v="9"/>
    <x v="2"/>
    <s v="Blue"/>
    <x v="2"/>
    <n v="3.5"/>
    <s v="Yes"/>
    <x v="3"/>
    <s v="Yes"/>
    <n v="40"/>
    <x v="5"/>
    <s v="Annually"/>
    <n v="0.1"/>
    <n v="55.8"/>
    <n v="62"/>
    <s v="Debit Card"/>
    <s v="Normal"/>
    <s v="Good"/>
  </r>
  <r>
    <n v="564"/>
    <n v="61"/>
    <x v="0"/>
    <x v="9"/>
    <x v="1"/>
    <n v="99"/>
    <x v="37"/>
    <x v="2"/>
    <s v="Black"/>
    <x v="3"/>
    <n v="4.4000000000000004"/>
    <s v="Yes"/>
    <x v="3"/>
    <s v="Yes"/>
    <n v="16"/>
    <x v="5"/>
    <s v="Quarterly"/>
    <n v="0.1"/>
    <n v="89.1"/>
    <n v="99"/>
    <s v="Debit Card"/>
    <s v="Normal"/>
    <s v="Good"/>
  </r>
  <r>
    <n v="565"/>
    <n v="67"/>
    <x v="0"/>
    <x v="15"/>
    <x v="0"/>
    <n v="58"/>
    <x v="20"/>
    <x v="2"/>
    <s v="Olive"/>
    <x v="0"/>
    <n v="3.4"/>
    <s v="Yes"/>
    <x v="2"/>
    <s v="Yes"/>
    <n v="30"/>
    <x v="4"/>
    <s v="Weekly"/>
    <n v="0.1"/>
    <n v="52.2"/>
    <n v="58"/>
    <s v="Bank Transfer"/>
    <s v="Normal"/>
    <s v="Good"/>
  </r>
  <r>
    <n v="566"/>
    <n v="59"/>
    <x v="0"/>
    <x v="21"/>
    <x v="3"/>
    <n v="43"/>
    <x v="37"/>
    <x v="0"/>
    <s v="Lavender"/>
    <x v="3"/>
    <n v="4.2"/>
    <s v="Yes"/>
    <x v="5"/>
    <s v="Yes"/>
    <n v="10"/>
    <x v="0"/>
    <s v="Weekly"/>
    <n v="0.1"/>
    <n v="38.700000000000003"/>
    <n v="43"/>
    <s v="Venmo"/>
    <s v="Normal"/>
    <s v="Good"/>
  </r>
  <r>
    <n v="567"/>
    <n v="55"/>
    <x v="0"/>
    <x v="4"/>
    <x v="1"/>
    <n v="93"/>
    <x v="15"/>
    <x v="2"/>
    <s v="Indigo"/>
    <x v="1"/>
    <n v="3.6"/>
    <s v="Yes"/>
    <x v="5"/>
    <s v="Yes"/>
    <n v="1"/>
    <x v="5"/>
    <s v="Fortnightly"/>
    <n v="0.1"/>
    <n v="83.7"/>
    <n v="93"/>
    <s v="Debit Card"/>
    <s v="Normal"/>
    <s v="Good"/>
  </r>
  <r>
    <n v="568"/>
    <n v="21"/>
    <x v="0"/>
    <x v="0"/>
    <x v="0"/>
    <n v="50"/>
    <x v="13"/>
    <x v="1"/>
    <s v="Red"/>
    <x v="0"/>
    <n v="3"/>
    <s v="Yes"/>
    <x v="2"/>
    <s v="Yes"/>
    <n v="24"/>
    <x v="0"/>
    <s v="Fortnightly"/>
    <n v="0.1"/>
    <n v="45"/>
    <n v="50"/>
    <s v="Venmo"/>
    <s v="Normal"/>
    <s v="Good"/>
  </r>
  <r>
    <n v="569"/>
    <n v="44"/>
    <x v="0"/>
    <x v="13"/>
    <x v="0"/>
    <n v="88"/>
    <x v="40"/>
    <x v="0"/>
    <s v="Red"/>
    <x v="2"/>
    <n v="4"/>
    <s v="Yes"/>
    <x v="1"/>
    <s v="Yes"/>
    <n v="36"/>
    <x v="3"/>
    <s v="Monthly"/>
    <n v="0.1"/>
    <n v="79.2"/>
    <n v="88"/>
    <s v="PayPal"/>
    <s v="Normal"/>
    <s v="Good"/>
  </r>
  <r>
    <n v="570"/>
    <n v="65"/>
    <x v="0"/>
    <x v="11"/>
    <x v="0"/>
    <n v="33"/>
    <x v="15"/>
    <x v="2"/>
    <s v="Pink"/>
    <x v="3"/>
    <n v="4.4000000000000004"/>
    <s v="Yes"/>
    <x v="0"/>
    <s v="Yes"/>
    <n v="46"/>
    <x v="2"/>
    <s v="Every 3 Months"/>
    <n v="0.1"/>
    <n v="29.7"/>
    <n v="33"/>
    <s v="Credit Card"/>
    <s v="Normal"/>
    <s v="Good"/>
  </r>
  <r>
    <n v="571"/>
    <n v="65"/>
    <x v="0"/>
    <x v="17"/>
    <x v="0"/>
    <n v="99"/>
    <x v="44"/>
    <x v="3"/>
    <s v="Purple"/>
    <x v="3"/>
    <n v="4.0999999999999996"/>
    <s v="Yes"/>
    <x v="3"/>
    <s v="Yes"/>
    <n v="20"/>
    <x v="1"/>
    <s v="Annually"/>
    <n v="0.1"/>
    <n v="89.1"/>
    <n v="99"/>
    <s v="Cash"/>
    <s v="Normal"/>
    <s v="Good"/>
  </r>
  <r>
    <n v="572"/>
    <n v="54"/>
    <x v="0"/>
    <x v="14"/>
    <x v="2"/>
    <n v="76"/>
    <x v="0"/>
    <x v="3"/>
    <s v="Cyan"/>
    <x v="1"/>
    <n v="3.6"/>
    <s v="Yes"/>
    <x v="1"/>
    <s v="Yes"/>
    <n v="37"/>
    <x v="0"/>
    <s v="Weekly"/>
    <n v="0.1"/>
    <n v="68.400000000000006"/>
    <n v="76"/>
    <s v="Venmo"/>
    <s v="Normal"/>
    <s v="Good"/>
  </r>
  <r>
    <n v="573"/>
    <n v="56"/>
    <x v="0"/>
    <x v="18"/>
    <x v="3"/>
    <n v="97"/>
    <x v="36"/>
    <x v="3"/>
    <s v="Cyan"/>
    <x v="2"/>
    <n v="4.5999999999999996"/>
    <s v="Yes"/>
    <x v="2"/>
    <s v="Yes"/>
    <n v="26"/>
    <x v="4"/>
    <s v="Annually"/>
    <n v="0.1"/>
    <n v="87.3"/>
    <n v="97"/>
    <s v="Bank Transfer"/>
    <s v="Normal"/>
    <s v="Good"/>
  </r>
  <r>
    <n v="574"/>
    <n v="58"/>
    <x v="0"/>
    <x v="13"/>
    <x v="0"/>
    <n v="68"/>
    <x v="18"/>
    <x v="2"/>
    <s v="Charcoal"/>
    <x v="2"/>
    <n v="3.2"/>
    <s v="Yes"/>
    <x v="4"/>
    <s v="Yes"/>
    <n v="23"/>
    <x v="2"/>
    <s v="Bi-Weekly"/>
    <n v="0.1"/>
    <n v="61.2"/>
    <n v="68"/>
    <s v="Credit Card"/>
    <s v="Normal"/>
    <s v="Good"/>
  </r>
  <r>
    <n v="575"/>
    <n v="54"/>
    <x v="0"/>
    <x v="4"/>
    <x v="1"/>
    <n v="79"/>
    <x v="1"/>
    <x v="0"/>
    <s v="Red"/>
    <x v="3"/>
    <n v="4.8"/>
    <s v="Yes"/>
    <x v="1"/>
    <s v="Yes"/>
    <n v="20"/>
    <x v="4"/>
    <s v="Bi-Weekly"/>
    <n v="0.1"/>
    <n v="71.099999999999994"/>
    <n v="79"/>
    <s v="Bank Transfer"/>
    <s v="Normal"/>
    <s v="Good"/>
  </r>
  <r>
    <n v="576"/>
    <n v="58"/>
    <x v="0"/>
    <x v="2"/>
    <x v="0"/>
    <n v="86"/>
    <x v="43"/>
    <x v="2"/>
    <s v="Peach"/>
    <x v="3"/>
    <n v="4.8"/>
    <s v="Yes"/>
    <x v="0"/>
    <s v="Yes"/>
    <n v="38"/>
    <x v="3"/>
    <s v="Monthly"/>
    <n v="0.1"/>
    <n v="77.400000000000006"/>
    <n v="86"/>
    <s v="PayPal"/>
    <s v="Normal"/>
    <s v="Good"/>
  </r>
  <r>
    <n v="577"/>
    <n v="48"/>
    <x v="0"/>
    <x v="19"/>
    <x v="3"/>
    <n v="68"/>
    <x v="47"/>
    <x v="2"/>
    <s v="Black"/>
    <x v="0"/>
    <n v="5"/>
    <s v="Yes"/>
    <x v="4"/>
    <s v="Yes"/>
    <n v="5"/>
    <x v="2"/>
    <s v="Every 3 Months"/>
    <n v="0.1"/>
    <n v="61.2"/>
    <n v="68"/>
    <s v="Credit Card"/>
    <s v="Normal"/>
    <s v="Good"/>
  </r>
  <r>
    <n v="578"/>
    <n v="19"/>
    <x v="0"/>
    <x v="11"/>
    <x v="0"/>
    <n v="52"/>
    <x v="15"/>
    <x v="2"/>
    <s v="Black"/>
    <x v="3"/>
    <n v="3.7"/>
    <s v="Yes"/>
    <x v="5"/>
    <s v="Yes"/>
    <n v="41"/>
    <x v="0"/>
    <s v="Annually"/>
    <n v="0.1"/>
    <n v="46.8"/>
    <n v="52"/>
    <s v="Venmo"/>
    <s v="Normal"/>
    <s v="Good"/>
  </r>
  <r>
    <n v="579"/>
    <n v="69"/>
    <x v="0"/>
    <x v="3"/>
    <x v="1"/>
    <n v="90"/>
    <x v="1"/>
    <x v="2"/>
    <s v="Purple"/>
    <x v="3"/>
    <n v="4.5999999999999996"/>
    <s v="Yes"/>
    <x v="2"/>
    <s v="Yes"/>
    <n v="22"/>
    <x v="2"/>
    <s v="Fortnightly"/>
    <n v="0.1"/>
    <n v="81"/>
    <n v="90"/>
    <s v="Credit Card"/>
    <s v="Normal"/>
    <s v="Good"/>
  </r>
  <r>
    <n v="580"/>
    <n v="58"/>
    <x v="0"/>
    <x v="3"/>
    <x v="1"/>
    <n v="41"/>
    <x v="18"/>
    <x v="2"/>
    <s v="Violet"/>
    <x v="0"/>
    <n v="3.7"/>
    <s v="Yes"/>
    <x v="1"/>
    <s v="Yes"/>
    <n v="48"/>
    <x v="2"/>
    <s v="Annually"/>
    <n v="0.1"/>
    <n v="36.9"/>
    <n v="41"/>
    <s v="Credit Card"/>
    <s v="Normal"/>
    <s v="Good"/>
  </r>
  <r>
    <n v="581"/>
    <n v="49"/>
    <x v="0"/>
    <x v="1"/>
    <x v="0"/>
    <n v="80"/>
    <x v="44"/>
    <x v="2"/>
    <s v="Orange"/>
    <x v="1"/>
    <n v="4.0999999999999996"/>
    <s v="Yes"/>
    <x v="1"/>
    <s v="Yes"/>
    <n v="10"/>
    <x v="3"/>
    <s v="Weekly"/>
    <n v="0.1"/>
    <n v="72"/>
    <n v="80"/>
    <s v="PayPal"/>
    <s v="Normal"/>
    <s v="Good"/>
  </r>
  <r>
    <n v="582"/>
    <n v="32"/>
    <x v="0"/>
    <x v="1"/>
    <x v="0"/>
    <n v="100"/>
    <x v="44"/>
    <x v="3"/>
    <s v="Charcoal"/>
    <x v="0"/>
    <n v="2.7"/>
    <s v="Yes"/>
    <x v="5"/>
    <s v="Yes"/>
    <n v="12"/>
    <x v="4"/>
    <s v="Every 3 Months"/>
    <n v="0.1"/>
    <n v="90"/>
    <n v="100"/>
    <s v="Bank Transfer"/>
    <s v="Normal"/>
    <s v="Poor"/>
  </r>
  <r>
    <n v="583"/>
    <n v="40"/>
    <x v="0"/>
    <x v="14"/>
    <x v="2"/>
    <n v="77"/>
    <x v="24"/>
    <x v="0"/>
    <s v="Turquoise"/>
    <x v="1"/>
    <n v="4.9000000000000004"/>
    <s v="Yes"/>
    <x v="5"/>
    <s v="Yes"/>
    <n v="2"/>
    <x v="4"/>
    <s v="Quarterly"/>
    <n v="0.1"/>
    <n v="69.3"/>
    <n v="77"/>
    <s v="Bank Transfer"/>
    <s v="Normal"/>
    <s v="Good"/>
  </r>
  <r>
    <n v="584"/>
    <n v="25"/>
    <x v="0"/>
    <x v="6"/>
    <x v="0"/>
    <n v="78"/>
    <x v="18"/>
    <x v="0"/>
    <s v="Yellow"/>
    <x v="1"/>
    <n v="4"/>
    <s v="Yes"/>
    <x v="5"/>
    <s v="Yes"/>
    <n v="38"/>
    <x v="3"/>
    <s v="Monthly"/>
    <n v="0.1"/>
    <n v="70.2"/>
    <n v="78"/>
    <s v="PayPal"/>
    <s v="Normal"/>
    <s v="Good"/>
  </r>
  <r>
    <n v="585"/>
    <n v="70"/>
    <x v="0"/>
    <x v="20"/>
    <x v="0"/>
    <n v="94"/>
    <x v="27"/>
    <x v="2"/>
    <s v="White"/>
    <x v="1"/>
    <n v="4.7"/>
    <s v="Yes"/>
    <x v="1"/>
    <s v="Yes"/>
    <n v="20"/>
    <x v="5"/>
    <s v="Monthly"/>
    <n v="0.1"/>
    <n v="84.6"/>
    <n v="94"/>
    <s v="Debit Card"/>
    <s v="Normal"/>
    <s v="Good"/>
  </r>
  <r>
    <n v="586"/>
    <n v="69"/>
    <x v="0"/>
    <x v="20"/>
    <x v="0"/>
    <n v="23"/>
    <x v="36"/>
    <x v="2"/>
    <s v="Gray"/>
    <x v="3"/>
    <n v="2.8"/>
    <s v="Yes"/>
    <x v="2"/>
    <s v="Yes"/>
    <n v="5"/>
    <x v="1"/>
    <s v="Every 3 Months"/>
    <n v="0.1"/>
    <n v="20.7"/>
    <n v="23"/>
    <s v="Cash"/>
    <s v="Normal"/>
    <s v="Poor"/>
  </r>
  <r>
    <n v="587"/>
    <n v="45"/>
    <x v="0"/>
    <x v="15"/>
    <x v="0"/>
    <n v="20"/>
    <x v="48"/>
    <x v="1"/>
    <s v="Blue"/>
    <x v="0"/>
    <n v="4.9000000000000004"/>
    <s v="Yes"/>
    <x v="4"/>
    <s v="Yes"/>
    <n v="9"/>
    <x v="0"/>
    <s v="Annually"/>
    <n v="0.1"/>
    <n v="18"/>
    <n v="20"/>
    <s v="Venmo"/>
    <s v="Normal"/>
    <s v="Good"/>
  </r>
  <r>
    <n v="588"/>
    <n v="29"/>
    <x v="0"/>
    <x v="20"/>
    <x v="0"/>
    <n v="86"/>
    <x v="47"/>
    <x v="1"/>
    <s v="Maroon"/>
    <x v="3"/>
    <n v="4.2"/>
    <s v="Yes"/>
    <x v="0"/>
    <s v="Yes"/>
    <n v="48"/>
    <x v="5"/>
    <s v="Every 3 Months"/>
    <n v="0.1"/>
    <n v="77.400000000000006"/>
    <n v="86"/>
    <s v="Debit Card"/>
    <s v="Normal"/>
    <s v="Good"/>
  </r>
  <r>
    <n v="589"/>
    <n v="47"/>
    <x v="0"/>
    <x v="23"/>
    <x v="1"/>
    <n v="60"/>
    <x v="45"/>
    <x v="2"/>
    <s v="Violet"/>
    <x v="3"/>
    <n v="3"/>
    <s v="Yes"/>
    <x v="3"/>
    <s v="Yes"/>
    <n v="9"/>
    <x v="5"/>
    <s v="Quarterly"/>
    <n v="0.1"/>
    <n v="54"/>
    <n v="60"/>
    <s v="Debit Card"/>
    <s v="Normal"/>
    <s v="Good"/>
  </r>
  <r>
    <n v="590"/>
    <n v="28"/>
    <x v="0"/>
    <x v="5"/>
    <x v="0"/>
    <n v="70"/>
    <x v="46"/>
    <x v="2"/>
    <s v="Orange"/>
    <x v="3"/>
    <n v="3.4"/>
    <s v="Yes"/>
    <x v="4"/>
    <s v="Yes"/>
    <n v="40"/>
    <x v="3"/>
    <s v="Annually"/>
    <n v="0.1"/>
    <n v="63"/>
    <n v="70"/>
    <s v="PayPal"/>
    <s v="Normal"/>
    <s v="Good"/>
  </r>
  <r>
    <n v="591"/>
    <n v="64"/>
    <x v="0"/>
    <x v="22"/>
    <x v="3"/>
    <n v="39"/>
    <x v="29"/>
    <x v="1"/>
    <s v="Turquoise"/>
    <x v="3"/>
    <n v="4.5999999999999996"/>
    <s v="Yes"/>
    <x v="3"/>
    <s v="Yes"/>
    <n v="30"/>
    <x v="0"/>
    <s v="Fortnightly"/>
    <n v="0.1"/>
    <n v="35.1"/>
    <n v="39"/>
    <s v="Venmo"/>
    <s v="Normal"/>
    <s v="Good"/>
  </r>
  <r>
    <n v="592"/>
    <n v="47"/>
    <x v="0"/>
    <x v="21"/>
    <x v="3"/>
    <n v="37"/>
    <x v="0"/>
    <x v="0"/>
    <s v="Olive"/>
    <x v="3"/>
    <n v="4.2"/>
    <s v="Yes"/>
    <x v="5"/>
    <s v="Yes"/>
    <n v="6"/>
    <x v="5"/>
    <s v="Bi-Weekly"/>
    <n v="0.1"/>
    <n v="33.299999999999997"/>
    <n v="37"/>
    <s v="Debit Card"/>
    <s v="Normal"/>
    <s v="Good"/>
  </r>
  <r>
    <n v="593"/>
    <n v="60"/>
    <x v="0"/>
    <x v="23"/>
    <x v="1"/>
    <n v="29"/>
    <x v="25"/>
    <x v="2"/>
    <s v="Brown"/>
    <x v="3"/>
    <n v="3.2"/>
    <s v="Yes"/>
    <x v="1"/>
    <s v="Yes"/>
    <n v="42"/>
    <x v="0"/>
    <s v="Every 3 Months"/>
    <n v="0.1"/>
    <n v="26.1"/>
    <n v="29"/>
    <s v="Venmo"/>
    <s v="Normal"/>
    <s v="Good"/>
  </r>
  <r>
    <n v="594"/>
    <n v="67"/>
    <x v="0"/>
    <x v="7"/>
    <x v="2"/>
    <n v="35"/>
    <x v="29"/>
    <x v="1"/>
    <s v="Green"/>
    <x v="0"/>
    <n v="4.4000000000000004"/>
    <s v="Yes"/>
    <x v="5"/>
    <s v="Yes"/>
    <n v="9"/>
    <x v="3"/>
    <s v="Every 3 Months"/>
    <n v="0.1"/>
    <n v="31.5"/>
    <n v="35"/>
    <s v="PayPal"/>
    <s v="Normal"/>
    <s v="Good"/>
  </r>
  <r>
    <n v="595"/>
    <n v="35"/>
    <x v="0"/>
    <x v="15"/>
    <x v="0"/>
    <n v="83"/>
    <x v="19"/>
    <x v="1"/>
    <s v="Brown"/>
    <x v="0"/>
    <n v="2.5"/>
    <s v="Yes"/>
    <x v="2"/>
    <s v="Yes"/>
    <n v="6"/>
    <x v="5"/>
    <s v="Monthly"/>
    <n v="0.1"/>
    <n v="74.7"/>
    <n v="83"/>
    <s v="Debit Card"/>
    <s v="Normal"/>
    <s v="Poor"/>
  </r>
  <r>
    <n v="596"/>
    <n v="30"/>
    <x v="0"/>
    <x v="9"/>
    <x v="1"/>
    <n v="77"/>
    <x v="12"/>
    <x v="2"/>
    <s v="Silver"/>
    <x v="2"/>
    <n v="3.6"/>
    <s v="Yes"/>
    <x v="2"/>
    <s v="Yes"/>
    <n v="47"/>
    <x v="3"/>
    <s v="Quarterly"/>
    <n v="0.1"/>
    <n v="69.3"/>
    <n v="77"/>
    <s v="PayPal"/>
    <s v="Normal"/>
    <s v="Good"/>
  </r>
  <r>
    <n v="597"/>
    <n v="23"/>
    <x v="0"/>
    <x v="9"/>
    <x v="1"/>
    <n v="37"/>
    <x v="6"/>
    <x v="3"/>
    <s v="White"/>
    <x v="2"/>
    <n v="4.5"/>
    <s v="Yes"/>
    <x v="5"/>
    <s v="Yes"/>
    <n v="36"/>
    <x v="0"/>
    <s v="Annually"/>
    <n v="0.1"/>
    <n v="33.299999999999997"/>
    <n v="37"/>
    <s v="Venmo"/>
    <s v="Normal"/>
    <s v="Good"/>
  </r>
  <r>
    <n v="598"/>
    <n v="70"/>
    <x v="0"/>
    <x v="16"/>
    <x v="3"/>
    <n v="69"/>
    <x v="29"/>
    <x v="0"/>
    <s v="Gold"/>
    <x v="2"/>
    <n v="3.4"/>
    <s v="Yes"/>
    <x v="3"/>
    <s v="Yes"/>
    <n v="19"/>
    <x v="4"/>
    <s v="Fortnightly"/>
    <n v="0.1"/>
    <n v="62.1"/>
    <n v="69"/>
    <s v="Bank Transfer"/>
    <s v="Normal"/>
    <s v="Good"/>
  </r>
  <r>
    <n v="599"/>
    <n v="21"/>
    <x v="0"/>
    <x v="10"/>
    <x v="0"/>
    <n v="66"/>
    <x v="18"/>
    <x v="0"/>
    <s v="Green"/>
    <x v="0"/>
    <n v="3.2"/>
    <s v="Yes"/>
    <x v="4"/>
    <s v="Yes"/>
    <n v="30"/>
    <x v="1"/>
    <s v="Every 3 Months"/>
    <n v="0.1"/>
    <n v="59.4"/>
    <n v="66"/>
    <s v="Cash"/>
    <s v="Normal"/>
    <s v="Good"/>
  </r>
  <r>
    <n v="600"/>
    <n v="51"/>
    <x v="0"/>
    <x v="23"/>
    <x v="1"/>
    <n v="26"/>
    <x v="2"/>
    <x v="0"/>
    <s v="Teal"/>
    <x v="1"/>
    <n v="4.2"/>
    <s v="Yes"/>
    <x v="3"/>
    <s v="Yes"/>
    <n v="27"/>
    <x v="5"/>
    <s v="Every 3 Months"/>
    <n v="0.1"/>
    <n v="23.4"/>
    <n v="26"/>
    <s v="Debit Card"/>
    <s v="Normal"/>
    <s v="Good"/>
  </r>
  <r>
    <n v="601"/>
    <n v="22"/>
    <x v="0"/>
    <x v="19"/>
    <x v="3"/>
    <n v="63"/>
    <x v="36"/>
    <x v="2"/>
    <s v="Charcoal"/>
    <x v="1"/>
    <n v="5"/>
    <s v="Yes"/>
    <x v="4"/>
    <s v="Yes"/>
    <n v="25"/>
    <x v="0"/>
    <s v="Monthly"/>
    <n v="0.1"/>
    <n v="56.7"/>
    <n v="63"/>
    <s v="Venmo"/>
    <s v="Normal"/>
    <s v="Good"/>
  </r>
  <r>
    <n v="602"/>
    <n v="32"/>
    <x v="0"/>
    <x v="21"/>
    <x v="3"/>
    <n v="38"/>
    <x v="8"/>
    <x v="2"/>
    <s v="Maroon"/>
    <x v="2"/>
    <n v="4.7"/>
    <s v="Yes"/>
    <x v="5"/>
    <s v="Yes"/>
    <n v="5"/>
    <x v="1"/>
    <s v="Fortnightly"/>
    <n v="0.1"/>
    <n v="34.200000000000003"/>
    <n v="38"/>
    <s v="Cash"/>
    <s v="Normal"/>
    <s v="Good"/>
  </r>
  <r>
    <n v="603"/>
    <n v="37"/>
    <x v="0"/>
    <x v="9"/>
    <x v="1"/>
    <n v="58"/>
    <x v="4"/>
    <x v="0"/>
    <s v="Lavender"/>
    <x v="2"/>
    <n v="4.2"/>
    <s v="Yes"/>
    <x v="2"/>
    <s v="Yes"/>
    <n v="10"/>
    <x v="1"/>
    <s v="Every 3 Months"/>
    <n v="0.1"/>
    <n v="52.2"/>
    <n v="58"/>
    <s v="Cash"/>
    <s v="Normal"/>
    <s v="Good"/>
  </r>
  <r>
    <n v="604"/>
    <n v="31"/>
    <x v="0"/>
    <x v="8"/>
    <x v="3"/>
    <n v="46"/>
    <x v="2"/>
    <x v="0"/>
    <s v="Green"/>
    <x v="0"/>
    <n v="3.4"/>
    <s v="Yes"/>
    <x v="4"/>
    <s v="Yes"/>
    <n v="26"/>
    <x v="3"/>
    <s v="Every 3 Months"/>
    <n v="0.1"/>
    <n v="41.4"/>
    <n v="46"/>
    <s v="PayPal"/>
    <s v="Normal"/>
    <s v="Good"/>
  </r>
  <r>
    <n v="605"/>
    <n v="44"/>
    <x v="0"/>
    <x v="12"/>
    <x v="3"/>
    <n v="92"/>
    <x v="8"/>
    <x v="1"/>
    <s v="Pink"/>
    <x v="3"/>
    <n v="4.4000000000000004"/>
    <s v="Yes"/>
    <x v="5"/>
    <s v="Yes"/>
    <n v="11"/>
    <x v="2"/>
    <s v="Every 3 Months"/>
    <n v="0.1"/>
    <n v="82.8"/>
    <n v="92"/>
    <s v="Credit Card"/>
    <s v="Normal"/>
    <s v="Good"/>
  </r>
  <r>
    <n v="606"/>
    <n v="40"/>
    <x v="0"/>
    <x v="19"/>
    <x v="3"/>
    <n v="32"/>
    <x v="18"/>
    <x v="3"/>
    <s v="Charcoal"/>
    <x v="0"/>
    <n v="4.2"/>
    <s v="Yes"/>
    <x v="3"/>
    <s v="Yes"/>
    <n v="17"/>
    <x v="4"/>
    <s v="Weekly"/>
    <n v="0.1"/>
    <n v="28.8"/>
    <n v="32"/>
    <s v="Bank Transfer"/>
    <s v="Normal"/>
    <s v="Good"/>
  </r>
  <r>
    <n v="607"/>
    <n v="27"/>
    <x v="0"/>
    <x v="18"/>
    <x v="3"/>
    <n v="90"/>
    <x v="24"/>
    <x v="2"/>
    <s v="Blue"/>
    <x v="1"/>
    <n v="4.5"/>
    <s v="Yes"/>
    <x v="3"/>
    <s v="Yes"/>
    <n v="44"/>
    <x v="3"/>
    <s v="Monthly"/>
    <n v="0.1"/>
    <n v="81"/>
    <n v="90"/>
    <s v="PayPal"/>
    <s v="Normal"/>
    <s v="Good"/>
  </r>
  <r>
    <n v="608"/>
    <n v="47"/>
    <x v="0"/>
    <x v="15"/>
    <x v="0"/>
    <n v="23"/>
    <x v="27"/>
    <x v="0"/>
    <s v="Purple"/>
    <x v="3"/>
    <n v="2.8"/>
    <s v="Yes"/>
    <x v="2"/>
    <s v="Yes"/>
    <n v="44"/>
    <x v="1"/>
    <s v="Monthly"/>
    <n v="0.1"/>
    <n v="20.7"/>
    <n v="23"/>
    <s v="Cash"/>
    <s v="Normal"/>
    <s v="Poor"/>
  </r>
  <r>
    <n v="609"/>
    <n v="41"/>
    <x v="0"/>
    <x v="21"/>
    <x v="3"/>
    <n v="25"/>
    <x v="12"/>
    <x v="1"/>
    <s v="Gold"/>
    <x v="3"/>
    <n v="3.3"/>
    <s v="Yes"/>
    <x v="2"/>
    <s v="Yes"/>
    <n v="21"/>
    <x v="0"/>
    <s v="Every 3 Months"/>
    <n v="0.1"/>
    <n v="22.5"/>
    <n v="25"/>
    <s v="Venmo"/>
    <s v="Normal"/>
    <s v="Good"/>
  </r>
  <r>
    <n v="610"/>
    <n v="51"/>
    <x v="0"/>
    <x v="1"/>
    <x v="0"/>
    <n v="54"/>
    <x v="31"/>
    <x v="0"/>
    <s v="Purple"/>
    <x v="3"/>
    <n v="4.5999999999999996"/>
    <s v="Yes"/>
    <x v="2"/>
    <s v="Yes"/>
    <n v="49"/>
    <x v="2"/>
    <s v="Fortnightly"/>
    <n v="0.1"/>
    <n v="48.6"/>
    <n v="54"/>
    <s v="Credit Card"/>
    <s v="Normal"/>
    <s v="Good"/>
  </r>
  <r>
    <n v="611"/>
    <n v="53"/>
    <x v="0"/>
    <x v="6"/>
    <x v="0"/>
    <n v="72"/>
    <x v="19"/>
    <x v="2"/>
    <s v="Charcoal"/>
    <x v="2"/>
    <n v="2.5"/>
    <s v="Yes"/>
    <x v="1"/>
    <s v="Yes"/>
    <n v="27"/>
    <x v="4"/>
    <s v="Every 3 Months"/>
    <n v="0.1"/>
    <n v="64.8"/>
    <n v="72"/>
    <s v="Bank Transfer"/>
    <s v="Normal"/>
    <s v="Poor"/>
  </r>
  <r>
    <n v="612"/>
    <n v="43"/>
    <x v="0"/>
    <x v="18"/>
    <x v="3"/>
    <n v="33"/>
    <x v="18"/>
    <x v="2"/>
    <s v="Black"/>
    <x v="0"/>
    <n v="4.7"/>
    <s v="Yes"/>
    <x v="5"/>
    <s v="Yes"/>
    <n v="19"/>
    <x v="1"/>
    <s v="Monthly"/>
    <n v="0.1"/>
    <n v="29.7"/>
    <n v="33"/>
    <s v="Cash"/>
    <s v="Normal"/>
    <s v="Good"/>
  </r>
  <r>
    <n v="613"/>
    <n v="67"/>
    <x v="0"/>
    <x v="19"/>
    <x v="3"/>
    <n v="43"/>
    <x v="13"/>
    <x v="0"/>
    <s v="Lavender"/>
    <x v="3"/>
    <n v="4.5999999999999996"/>
    <s v="Yes"/>
    <x v="0"/>
    <s v="Yes"/>
    <n v="33"/>
    <x v="2"/>
    <s v="Quarterly"/>
    <n v="0.1"/>
    <n v="38.700000000000003"/>
    <n v="43"/>
    <s v="Credit Card"/>
    <s v="Normal"/>
    <s v="Good"/>
  </r>
  <r>
    <n v="614"/>
    <n v="61"/>
    <x v="0"/>
    <x v="7"/>
    <x v="2"/>
    <n v="51"/>
    <x v="38"/>
    <x v="0"/>
    <s v="Lavender"/>
    <x v="3"/>
    <n v="2.6"/>
    <s v="Yes"/>
    <x v="3"/>
    <s v="Yes"/>
    <n v="46"/>
    <x v="1"/>
    <s v="Bi-Weekly"/>
    <n v="0.1"/>
    <n v="45.9"/>
    <n v="51"/>
    <s v="Cash"/>
    <s v="Normal"/>
    <s v="Poor"/>
  </r>
  <r>
    <n v="615"/>
    <n v="68"/>
    <x v="0"/>
    <x v="16"/>
    <x v="3"/>
    <n v="85"/>
    <x v="37"/>
    <x v="2"/>
    <s v="Lavender"/>
    <x v="0"/>
    <n v="4"/>
    <s v="Yes"/>
    <x v="3"/>
    <s v="Yes"/>
    <n v="21"/>
    <x v="2"/>
    <s v="Bi-Weekly"/>
    <n v="0.1"/>
    <n v="76.5"/>
    <n v="85"/>
    <s v="Credit Card"/>
    <s v="Normal"/>
    <s v="Good"/>
  </r>
  <r>
    <n v="616"/>
    <n v="67"/>
    <x v="0"/>
    <x v="3"/>
    <x v="1"/>
    <n v="100"/>
    <x v="33"/>
    <x v="0"/>
    <s v="Olive"/>
    <x v="2"/>
    <n v="2.6"/>
    <s v="Yes"/>
    <x v="2"/>
    <s v="Yes"/>
    <n v="23"/>
    <x v="0"/>
    <s v="Annually"/>
    <n v="0.1"/>
    <n v="90"/>
    <n v="100"/>
    <s v="Venmo"/>
    <s v="Normal"/>
    <s v="Poor"/>
  </r>
  <r>
    <n v="617"/>
    <n v="29"/>
    <x v="0"/>
    <x v="24"/>
    <x v="3"/>
    <n v="72"/>
    <x v="38"/>
    <x v="0"/>
    <s v="Teal"/>
    <x v="1"/>
    <n v="4.5999999999999996"/>
    <s v="Yes"/>
    <x v="1"/>
    <s v="Yes"/>
    <n v="38"/>
    <x v="2"/>
    <s v="Every 3 Months"/>
    <n v="0.1"/>
    <n v="64.8"/>
    <n v="72"/>
    <s v="Credit Card"/>
    <s v="Normal"/>
    <s v="Good"/>
  </r>
  <r>
    <n v="618"/>
    <n v="50"/>
    <x v="0"/>
    <x v="21"/>
    <x v="3"/>
    <n v="57"/>
    <x v="24"/>
    <x v="2"/>
    <s v="Maroon"/>
    <x v="3"/>
    <n v="2.6"/>
    <s v="Yes"/>
    <x v="3"/>
    <s v="Yes"/>
    <n v="2"/>
    <x v="4"/>
    <s v="Quarterly"/>
    <n v="0.1"/>
    <n v="51.3"/>
    <n v="57"/>
    <s v="Bank Transfer"/>
    <s v="Normal"/>
    <s v="Poor"/>
  </r>
  <r>
    <n v="619"/>
    <n v="61"/>
    <x v="0"/>
    <x v="14"/>
    <x v="2"/>
    <n v="94"/>
    <x v="27"/>
    <x v="0"/>
    <s v="Cyan"/>
    <x v="1"/>
    <n v="4"/>
    <s v="Yes"/>
    <x v="0"/>
    <s v="Yes"/>
    <n v="21"/>
    <x v="5"/>
    <s v="Bi-Weekly"/>
    <n v="0.1"/>
    <n v="84.6"/>
    <n v="94"/>
    <s v="Debit Card"/>
    <s v="Normal"/>
    <s v="Good"/>
  </r>
  <r>
    <n v="620"/>
    <n v="19"/>
    <x v="0"/>
    <x v="21"/>
    <x v="3"/>
    <n v="34"/>
    <x v="43"/>
    <x v="2"/>
    <s v="Charcoal"/>
    <x v="2"/>
    <n v="4.5999999999999996"/>
    <s v="Yes"/>
    <x v="5"/>
    <s v="Yes"/>
    <n v="1"/>
    <x v="5"/>
    <s v="Every 3 Months"/>
    <n v="0.1"/>
    <n v="30.6"/>
    <n v="34"/>
    <s v="Debit Card"/>
    <s v="Normal"/>
    <s v="Good"/>
  </r>
  <r>
    <n v="621"/>
    <n v="33"/>
    <x v="0"/>
    <x v="21"/>
    <x v="3"/>
    <n v="89"/>
    <x v="3"/>
    <x v="2"/>
    <s v="Black"/>
    <x v="3"/>
    <n v="3.7"/>
    <s v="Yes"/>
    <x v="4"/>
    <s v="Yes"/>
    <n v="10"/>
    <x v="0"/>
    <s v="Every 3 Months"/>
    <n v="0.1"/>
    <n v="80.099999999999994"/>
    <n v="89"/>
    <s v="Venmo"/>
    <s v="Normal"/>
    <s v="Good"/>
  </r>
  <r>
    <n v="622"/>
    <n v="51"/>
    <x v="0"/>
    <x v="12"/>
    <x v="3"/>
    <n v="27"/>
    <x v="23"/>
    <x v="1"/>
    <s v="Red"/>
    <x v="3"/>
    <n v="4.4000000000000004"/>
    <s v="Yes"/>
    <x v="5"/>
    <s v="Yes"/>
    <n v="45"/>
    <x v="2"/>
    <s v="Weekly"/>
    <n v="0.1"/>
    <n v="24.3"/>
    <n v="27"/>
    <s v="Credit Card"/>
    <s v="Normal"/>
    <s v="Good"/>
  </r>
  <r>
    <n v="623"/>
    <n v="69"/>
    <x v="0"/>
    <x v="20"/>
    <x v="0"/>
    <n v="63"/>
    <x v="42"/>
    <x v="1"/>
    <s v="Peach"/>
    <x v="1"/>
    <n v="4"/>
    <s v="Yes"/>
    <x v="2"/>
    <s v="Yes"/>
    <n v="44"/>
    <x v="4"/>
    <s v="Fortnightly"/>
    <n v="0.1"/>
    <n v="56.7"/>
    <n v="63"/>
    <s v="Bank Transfer"/>
    <s v="Normal"/>
    <s v="Good"/>
  </r>
  <r>
    <n v="624"/>
    <n v="19"/>
    <x v="0"/>
    <x v="9"/>
    <x v="1"/>
    <n v="70"/>
    <x v="22"/>
    <x v="2"/>
    <s v="White"/>
    <x v="3"/>
    <n v="4.7"/>
    <s v="Yes"/>
    <x v="3"/>
    <s v="Yes"/>
    <n v="48"/>
    <x v="3"/>
    <s v="Bi-Weekly"/>
    <n v="0.1"/>
    <n v="63"/>
    <n v="70"/>
    <s v="PayPal"/>
    <s v="Normal"/>
    <s v="Good"/>
  </r>
  <r>
    <n v="625"/>
    <n v="55"/>
    <x v="0"/>
    <x v="13"/>
    <x v="0"/>
    <n v="87"/>
    <x v="36"/>
    <x v="3"/>
    <s v="Pink"/>
    <x v="3"/>
    <n v="3.4"/>
    <s v="Yes"/>
    <x v="0"/>
    <s v="Yes"/>
    <n v="21"/>
    <x v="3"/>
    <s v="Annually"/>
    <n v="0.1"/>
    <n v="78.3"/>
    <n v="87"/>
    <s v="PayPal"/>
    <s v="Normal"/>
    <s v="Good"/>
  </r>
  <r>
    <n v="626"/>
    <n v="49"/>
    <x v="0"/>
    <x v="16"/>
    <x v="3"/>
    <n v="79"/>
    <x v="12"/>
    <x v="2"/>
    <s v="Red"/>
    <x v="3"/>
    <n v="4"/>
    <s v="Yes"/>
    <x v="2"/>
    <s v="Yes"/>
    <n v="1"/>
    <x v="0"/>
    <s v="Weekly"/>
    <n v="0.1"/>
    <n v="71.099999999999994"/>
    <n v="79"/>
    <s v="Venmo"/>
    <s v="Normal"/>
    <s v="Good"/>
  </r>
  <r>
    <n v="627"/>
    <n v="31"/>
    <x v="0"/>
    <x v="12"/>
    <x v="3"/>
    <n v="79"/>
    <x v="13"/>
    <x v="2"/>
    <s v="Indigo"/>
    <x v="1"/>
    <n v="3.9"/>
    <s v="Yes"/>
    <x v="3"/>
    <s v="Yes"/>
    <n v="10"/>
    <x v="0"/>
    <s v="Annually"/>
    <n v="0.1"/>
    <n v="71.099999999999994"/>
    <n v="79"/>
    <s v="Venmo"/>
    <s v="Normal"/>
    <s v="Good"/>
  </r>
  <r>
    <n v="628"/>
    <n v="42"/>
    <x v="0"/>
    <x v="3"/>
    <x v="1"/>
    <n v="44"/>
    <x v="4"/>
    <x v="0"/>
    <s v="Black"/>
    <x v="0"/>
    <n v="4.0999999999999996"/>
    <s v="Yes"/>
    <x v="0"/>
    <s v="Yes"/>
    <n v="24"/>
    <x v="3"/>
    <s v="Monthly"/>
    <n v="0.1"/>
    <n v="39.6"/>
    <n v="44"/>
    <s v="PayPal"/>
    <s v="Normal"/>
    <s v="Good"/>
  </r>
  <r>
    <n v="629"/>
    <n v="69"/>
    <x v="0"/>
    <x v="1"/>
    <x v="0"/>
    <n v="85"/>
    <x v="2"/>
    <x v="2"/>
    <s v="White"/>
    <x v="3"/>
    <n v="1"/>
    <s v="Yes"/>
    <x v="4"/>
    <s v="Yes"/>
    <n v="29"/>
    <x v="2"/>
    <s v="Monthly"/>
    <n v="0.1"/>
    <n v="76.5"/>
    <n v="85"/>
    <s v="Credit Card"/>
    <s v="Normal"/>
    <s v="Poor"/>
  </r>
  <r>
    <n v="630"/>
    <n v="26"/>
    <x v="0"/>
    <x v="9"/>
    <x v="1"/>
    <n v="90"/>
    <x v="34"/>
    <x v="0"/>
    <s v="Beige"/>
    <x v="1"/>
    <n v="4.7"/>
    <s v="Yes"/>
    <x v="3"/>
    <s v="Yes"/>
    <n v="11"/>
    <x v="5"/>
    <s v="Annually"/>
    <n v="0.1"/>
    <n v="81"/>
    <n v="90"/>
    <s v="Debit Card"/>
    <s v="Normal"/>
    <s v="Good"/>
  </r>
  <r>
    <n v="631"/>
    <n v="41"/>
    <x v="0"/>
    <x v="16"/>
    <x v="3"/>
    <n v="94"/>
    <x v="16"/>
    <x v="1"/>
    <s v="Silver"/>
    <x v="3"/>
    <n v="4.3"/>
    <s v="Yes"/>
    <x v="4"/>
    <s v="Yes"/>
    <n v="33"/>
    <x v="5"/>
    <s v="Annually"/>
    <n v="0.1"/>
    <n v="84.6"/>
    <n v="94"/>
    <s v="Debit Card"/>
    <s v="Normal"/>
    <s v="Good"/>
  </r>
  <r>
    <n v="632"/>
    <n v="55"/>
    <x v="0"/>
    <x v="23"/>
    <x v="1"/>
    <n v="68"/>
    <x v="47"/>
    <x v="1"/>
    <s v="Violet"/>
    <x v="2"/>
    <n v="4.0999999999999996"/>
    <s v="Yes"/>
    <x v="5"/>
    <s v="Yes"/>
    <n v="27"/>
    <x v="1"/>
    <s v="Fortnightly"/>
    <n v="0.1"/>
    <n v="61.2"/>
    <n v="68"/>
    <s v="Cash"/>
    <s v="Normal"/>
    <s v="Good"/>
  </r>
  <r>
    <n v="633"/>
    <n v="35"/>
    <x v="0"/>
    <x v="21"/>
    <x v="3"/>
    <n v="51"/>
    <x v="5"/>
    <x v="2"/>
    <s v="Red"/>
    <x v="0"/>
    <n v="3.9"/>
    <s v="Yes"/>
    <x v="2"/>
    <s v="Yes"/>
    <n v="19"/>
    <x v="0"/>
    <s v="Fortnightly"/>
    <n v="0.1"/>
    <n v="45.9"/>
    <n v="51"/>
    <s v="Venmo"/>
    <s v="Normal"/>
    <s v="Good"/>
  </r>
  <r>
    <n v="634"/>
    <n v="66"/>
    <x v="0"/>
    <x v="3"/>
    <x v="1"/>
    <n v="33"/>
    <x v="46"/>
    <x v="2"/>
    <s v="Orange"/>
    <x v="1"/>
    <n v="2.9"/>
    <s v="Yes"/>
    <x v="0"/>
    <s v="Yes"/>
    <n v="50"/>
    <x v="5"/>
    <s v="Quarterly"/>
    <n v="0.1"/>
    <n v="29.7"/>
    <n v="33"/>
    <s v="Debit Card"/>
    <s v="Normal"/>
    <s v="Poor"/>
  </r>
  <r>
    <n v="635"/>
    <n v="36"/>
    <x v="0"/>
    <x v="4"/>
    <x v="1"/>
    <n v="60"/>
    <x v="31"/>
    <x v="2"/>
    <s v="Teal"/>
    <x v="2"/>
    <n v="3.9"/>
    <s v="Yes"/>
    <x v="3"/>
    <s v="Yes"/>
    <n v="46"/>
    <x v="3"/>
    <s v="Weekly"/>
    <n v="0.1"/>
    <n v="54"/>
    <n v="60"/>
    <s v="PayPal"/>
    <s v="Normal"/>
    <s v="Good"/>
  </r>
  <r>
    <n v="636"/>
    <n v="27"/>
    <x v="0"/>
    <x v="15"/>
    <x v="0"/>
    <n v="59"/>
    <x v="36"/>
    <x v="2"/>
    <s v="Brown"/>
    <x v="3"/>
    <n v="4.3"/>
    <s v="Yes"/>
    <x v="4"/>
    <s v="Yes"/>
    <n v="28"/>
    <x v="1"/>
    <s v="Quarterly"/>
    <n v="0.1"/>
    <n v="53.1"/>
    <n v="59"/>
    <s v="Cash"/>
    <s v="Normal"/>
    <s v="Good"/>
  </r>
  <r>
    <n v="637"/>
    <n v="41"/>
    <x v="0"/>
    <x v="8"/>
    <x v="3"/>
    <n v="30"/>
    <x v="48"/>
    <x v="2"/>
    <s v="Indigo"/>
    <x v="2"/>
    <n v="2.8"/>
    <s v="Yes"/>
    <x v="5"/>
    <s v="Yes"/>
    <n v="14"/>
    <x v="4"/>
    <s v="Every 3 Months"/>
    <n v="0.1"/>
    <n v="27"/>
    <n v="30"/>
    <s v="Bank Transfer"/>
    <s v="Normal"/>
    <s v="Poor"/>
  </r>
  <r>
    <n v="638"/>
    <n v="21"/>
    <x v="0"/>
    <x v="1"/>
    <x v="0"/>
    <n v="20"/>
    <x v="30"/>
    <x v="2"/>
    <s v="Cyan"/>
    <x v="0"/>
    <n v="3.4"/>
    <s v="Yes"/>
    <x v="4"/>
    <s v="Yes"/>
    <n v="46"/>
    <x v="1"/>
    <s v="Fortnightly"/>
    <n v="0.1"/>
    <n v="18"/>
    <n v="20"/>
    <s v="Cash"/>
    <s v="Normal"/>
    <s v="Good"/>
  </r>
  <r>
    <n v="639"/>
    <n v="53"/>
    <x v="0"/>
    <x v="3"/>
    <x v="1"/>
    <n v="20"/>
    <x v="33"/>
    <x v="1"/>
    <s v="Blue"/>
    <x v="2"/>
    <n v="2.7"/>
    <s v="Yes"/>
    <x v="0"/>
    <s v="Yes"/>
    <n v="41"/>
    <x v="3"/>
    <s v="Monthly"/>
    <n v="0.1"/>
    <n v="18"/>
    <n v="20"/>
    <s v="PayPal"/>
    <s v="Normal"/>
    <s v="Poor"/>
  </r>
  <r>
    <n v="640"/>
    <n v="54"/>
    <x v="0"/>
    <x v="10"/>
    <x v="0"/>
    <n v="24"/>
    <x v="16"/>
    <x v="0"/>
    <s v="Olive"/>
    <x v="1"/>
    <n v="4"/>
    <s v="Yes"/>
    <x v="4"/>
    <s v="Yes"/>
    <n v="50"/>
    <x v="2"/>
    <s v="Annually"/>
    <n v="0.1"/>
    <n v="21.6"/>
    <n v="24"/>
    <s v="Credit Card"/>
    <s v="Normal"/>
    <s v="Good"/>
  </r>
  <r>
    <n v="641"/>
    <n v="53"/>
    <x v="0"/>
    <x v="11"/>
    <x v="0"/>
    <n v="88"/>
    <x v="46"/>
    <x v="2"/>
    <s v="Gray"/>
    <x v="2"/>
    <n v="4.4000000000000004"/>
    <s v="Yes"/>
    <x v="5"/>
    <s v="Yes"/>
    <n v="28"/>
    <x v="5"/>
    <s v="Fortnightly"/>
    <n v="0.1"/>
    <n v="79.2"/>
    <n v="88"/>
    <s v="Debit Card"/>
    <s v="Normal"/>
    <s v="Good"/>
  </r>
  <r>
    <n v="642"/>
    <n v="47"/>
    <x v="0"/>
    <x v="0"/>
    <x v="0"/>
    <n v="78"/>
    <x v="29"/>
    <x v="2"/>
    <s v="Red"/>
    <x v="0"/>
    <n v="3.9"/>
    <s v="Yes"/>
    <x v="4"/>
    <s v="Yes"/>
    <n v="23"/>
    <x v="2"/>
    <s v="Every 3 Months"/>
    <n v="0.1"/>
    <n v="70.2"/>
    <n v="78"/>
    <s v="Credit Card"/>
    <s v="Normal"/>
    <s v="Good"/>
  </r>
  <r>
    <n v="643"/>
    <n v="64"/>
    <x v="0"/>
    <x v="11"/>
    <x v="0"/>
    <n v="25"/>
    <x v="10"/>
    <x v="0"/>
    <s v="Red"/>
    <x v="1"/>
    <n v="2.8"/>
    <s v="Yes"/>
    <x v="4"/>
    <s v="Yes"/>
    <n v="14"/>
    <x v="5"/>
    <s v="Bi-Weekly"/>
    <n v="0.1"/>
    <n v="22.5"/>
    <n v="25"/>
    <s v="Debit Card"/>
    <s v="Normal"/>
    <s v="Poor"/>
  </r>
  <r>
    <n v="644"/>
    <n v="18"/>
    <x v="0"/>
    <x v="1"/>
    <x v="0"/>
    <n v="57"/>
    <x v="4"/>
    <x v="3"/>
    <s v="Green"/>
    <x v="0"/>
    <n v="3.2"/>
    <s v="Yes"/>
    <x v="2"/>
    <s v="Yes"/>
    <n v="10"/>
    <x v="4"/>
    <s v="Every 3 Months"/>
    <n v="0.1"/>
    <n v="51.3"/>
    <n v="57"/>
    <s v="Bank Transfer"/>
    <s v="Normal"/>
    <s v="Good"/>
  </r>
  <r>
    <n v="645"/>
    <n v="68"/>
    <x v="0"/>
    <x v="21"/>
    <x v="3"/>
    <n v="93"/>
    <x v="7"/>
    <x v="1"/>
    <s v="Blue"/>
    <x v="2"/>
    <n v="4.3"/>
    <s v="Yes"/>
    <x v="2"/>
    <s v="Yes"/>
    <n v="37"/>
    <x v="1"/>
    <s v="Weekly"/>
    <n v="0.1"/>
    <n v="83.7"/>
    <n v="93"/>
    <s v="Cash"/>
    <s v="Normal"/>
    <s v="Good"/>
  </r>
  <r>
    <n v="646"/>
    <n v="62"/>
    <x v="0"/>
    <x v="15"/>
    <x v="0"/>
    <n v="42"/>
    <x v="19"/>
    <x v="1"/>
    <s v="Purple"/>
    <x v="2"/>
    <n v="4.2"/>
    <s v="Yes"/>
    <x v="0"/>
    <s v="Yes"/>
    <n v="15"/>
    <x v="0"/>
    <s v="Bi-Weekly"/>
    <n v="0.1"/>
    <n v="37.799999999999997"/>
    <n v="42"/>
    <s v="Venmo"/>
    <s v="Normal"/>
    <s v="Good"/>
  </r>
  <r>
    <n v="647"/>
    <n v="51"/>
    <x v="0"/>
    <x v="23"/>
    <x v="1"/>
    <n v="54"/>
    <x v="27"/>
    <x v="3"/>
    <s v="Pink"/>
    <x v="1"/>
    <n v="4.9000000000000004"/>
    <s v="Yes"/>
    <x v="3"/>
    <s v="Yes"/>
    <n v="19"/>
    <x v="0"/>
    <s v="Bi-Weekly"/>
    <n v="0.1"/>
    <n v="48.6"/>
    <n v="54"/>
    <s v="Venmo"/>
    <s v="Normal"/>
    <s v="Good"/>
  </r>
  <r>
    <n v="648"/>
    <n v="54"/>
    <x v="0"/>
    <x v="0"/>
    <x v="0"/>
    <n v="70"/>
    <x v="16"/>
    <x v="3"/>
    <s v="Charcoal"/>
    <x v="2"/>
    <n v="3.7"/>
    <s v="Yes"/>
    <x v="0"/>
    <s v="Yes"/>
    <n v="23"/>
    <x v="2"/>
    <s v="Fortnightly"/>
    <n v="0.1"/>
    <n v="63"/>
    <n v="70"/>
    <s v="Credit Card"/>
    <s v="Normal"/>
    <s v="Good"/>
  </r>
  <r>
    <n v="649"/>
    <n v="22"/>
    <x v="0"/>
    <x v="15"/>
    <x v="0"/>
    <n v="31"/>
    <x v="49"/>
    <x v="2"/>
    <s v="Brown"/>
    <x v="0"/>
    <n v="4.0999999999999996"/>
    <s v="Yes"/>
    <x v="5"/>
    <s v="Yes"/>
    <n v="35"/>
    <x v="2"/>
    <s v="Weekly"/>
    <n v="0.1"/>
    <n v="27.9"/>
    <n v="31"/>
    <s v="Credit Card"/>
    <s v="Normal"/>
    <s v="Good"/>
  </r>
  <r>
    <n v="650"/>
    <n v="53"/>
    <x v="0"/>
    <x v="13"/>
    <x v="0"/>
    <n v="93"/>
    <x v="12"/>
    <x v="0"/>
    <s v="Orange"/>
    <x v="1"/>
    <n v="4.2"/>
    <s v="Yes"/>
    <x v="5"/>
    <s v="Yes"/>
    <n v="33"/>
    <x v="3"/>
    <s v="Every 3 Months"/>
    <n v="0.1"/>
    <n v="83.7"/>
    <n v="93"/>
    <s v="PayPal"/>
    <s v="Normal"/>
    <s v="Good"/>
  </r>
  <r>
    <n v="651"/>
    <n v="34"/>
    <x v="0"/>
    <x v="24"/>
    <x v="3"/>
    <n v="40"/>
    <x v="20"/>
    <x v="2"/>
    <s v="Magenta"/>
    <x v="1"/>
    <n v="3.9"/>
    <s v="Yes"/>
    <x v="2"/>
    <s v="Yes"/>
    <n v="12"/>
    <x v="4"/>
    <s v="Annually"/>
    <n v="0.1"/>
    <n v="36"/>
    <n v="40"/>
    <s v="Bank Transfer"/>
    <s v="Normal"/>
    <s v="Good"/>
  </r>
  <r>
    <n v="652"/>
    <n v="32"/>
    <x v="0"/>
    <x v="19"/>
    <x v="3"/>
    <n v="32"/>
    <x v="10"/>
    <x v="0"/>
    <s v="Yellow"/>
    <x v="2"/>
    <n v="2.9"/>
    <s v="Yes"/>
    <x v="2"/>
    <s v="Yes"/>
    <n v="41"/>
    <x v="0"/>
    <s v="Fortnightly"/>
    <n v="0.1"/>
    <n v="28.8"/>
    <n v="32"/>
    <s v="Venmo"/>
    <s v="Normal"/>
    <s v="Poor"/>
  </r>
  <r>
    <n v="653"/>
    <n v="64"/>
    <x v="0"/>
    <x v="12"/>
    <x v="3"/>
    <n v="27"/>
    <x v="46"/>
    <x v="2"/>
    <s v="Beige"/>
    <x v="0"/>
    <n v="3.1"/>
    <s v="Yes"/>
    <x v="1"/>
    <s v="Yes"/>
    <n v="27"/>
    <x v="0"/>
    <s v="Weekly"/>
    <n v="0.1"/>
    <n v="24.3"/>
    <n v="27"/>
    <s v="Venmo"/>
    <s v="Normal"/>
    <s v="Good"/>
  </r>
  <r>
    <n v="654"/>
    <n v="20"/>
    <x v="0"/>
    <x v="18"/>
    <x v="3"/>
    <n v="68"/>
    <x v="25"/>
    <x v="2"/>
    <s v="Olive"/>
    <x v="0"/>
    <n v="3.6"/>
    <s v="Yes"/>
    <x v="4"/>
    <s v="Yes"/>
    <n v="45"/>
    <x v="1"/>
    <s v="Fortnightly"/>
    <n v="0.1"/>
    <n v="61.2"/>
    <n v="68"/>
    <s v="Cash"/>
    <s v="Normal"/>
    <s v="Good"/>
  </r>
  <r>
    <n v="655"/>
    <n v="24"/>
    <x v="0"/>
    <x v="8"/>
    <x v="3"/>
    <n v="59"/>
    <x v="18"/>
    <x v="0"/>
    <s v="Gray"/>
    <x v="2"/>
    <n v="4.4000000000000004"/>
    <s v="Yes"/>
    <x v="4"/>
    <s v="Yes"/>
    <n v="23"/>
    <x v="0"/>
    <s v="Annually"/>
    <n v="0.1"/>
    <n v="53.1"/>
    <n v="59"/>
    <s v="Venmo"/>
    <s v="Normal"/>
    <s v="Good"/>
  </r>
  <r>
    <n v="656"/>
    <n v="20"/>
    <x v="0"/>
    <x v="8"/>
    <x v="3"/>
    <n v="36"/>
    <x v="16"/>
    <x v="1"/>
    <s v="Purple"/>
    <x v="3"/>
    <n v="3.1"/>
    <s v="Yes"/>
    <x v="1"/>
    <s v="Yes"/>
    <n v="19"/>
    <x v="0"/>
    <s v="Monthly"/>
    <n v="0.1"/>
    <n v="32.4"/>
    <n v="36"/>
    <s v="Venmo"/>
    <s v="Normal"/>
    <s v="Good"/>
  </r>
  <r>
    <n v="657"/>
    <n v="42"/>
    <x v="0"/>
    <x v="2"/>
    <x v="0"/>
    <n v="23"/>
    <x v="38"/>
    <x v="2"/>
    <s v="Beige"/>
    <x v="2"/>
    <n v="3.9"/>
    <s v="Yes"/>
    <x v="3"/>
    <s v="Yes"/>
    <n v="6"/>
    <x v="3"/>
    <s v="Quarterly"/>
    <n v="0.1"/>
    <n v="20.7"/>
    <n v="23"/>
    <s v="PayPal"/>
    <s v="Normal"/>
    <s v="Good"/>
  </r>
  <r>
    <n v="658"/>
    <n v="48"/>
    <x v="0"/>
    <x v="14"/>
    <x v="2"/>
    <n v="80"/>
    <x v="28"/>
    <x v="2"/>
    <s v="White"/>
    <x v="0"/>
    <n v="4.3"/>
    <s v="Yes"/>
    <x v="1"/>
    <s v="Yes"/>
    <n v="6"/>
    <x v="3"/>
    <s v="Quarterly"/>
    <n v="0.1"/>
    <n v="72"/>
    <n v="80"/>
    <s v="PayPal"/>
    <s v="Normal"/>
    <s v="Good"/>
  </r>
  <r>
    <n v="659"/>
    <n v="62"/>
    <x v="0"/>
    <x v="21"/>
    <x v="3"/>
    <n v="37"/>
    <x v="7"/>
    <x v="1"/>
    <s v="White"/>
    <x v="3"/>
    <n v="4.9000000000000004"/>
    <s v="Yes"/>
    <x v="5"/>
    <s v="Yes"/>
    <n v="20"/>
    <x v="0"/>
    <s v="Weekly"/>
    <n v="0.1"/>
    <n v="33.299999999999997"/>
    <n v="37"/>
    <s v="Venmo"/>
    <s v="Normal"/>
    <s v="Good"/>
  </r>
  <r>
    <n v="660"/>
    <n v="62"/>
    <x v="0"/>
    <x v="6"/>
    <x v="0"/>
    <n v="52"/>
    <x v="41"/>
    <x v="1"/>
    <s v="Gold"/>
    <x v="1"/>
    <n v="3.6"/>
    <s v="Yes"/>
    <x v="4"/>
    <s v="Yes"/>
    <n v="8"/>
    <x v="1"/>
    <s v="Weekly"/>
    <n v="0.1"/>
    <n v="46.8"/>
    <n v="52"/>
    <s v="Cash"/>
    <s v="Normal"/>
    <s v="Good"/>
  </r>
  <r>
    <n v="661"/>
    <n v="50"/>
    <x v="0"/>
    <x v="7"/>
    <x v="2"/>
    <n v="79"/>
    <x v="6"/>
    <x v="2"/>
    <s v="Olive"/>
    <x v="3"/>
    <n v="5"/>
    <s v="Yes"/>
    <x v="4"/>
    <s v="Yes"/>
    <n v="39"/>
    <x v="2"/>
    <s v="Quarterly"/>
    <n v="0.1"/>
    <n v="71.099999999999994"/>
    <n v="79"/>
    <s v="Credit Card"/>
    <s v="Normal"/>
    <s v="Good"/>
  </r>
  <r>
    <n v="662"/>
    <n v="57"/>
    <x v="0"/>
    <x v="5"/>
    <x v="0"/>
    <n v="68"/>
    <x v="44"/>
    <x v="3"/>
    <s v="Green"/>
    <x v="3"/>
    <n v="4.0999999999999996"/>
    <s v="Yes"/>
    <x v="5"/>
    <s v="Yes"/>
    <n v="39"/>
    <x v="2"/>
    <s v="Quarterly"/>
    <n v="0.1"/>
    <n v="61.2"/>
    <n v="68"/>
    <s v="Credit Card"/>
    <s v="Normal"/>
    <s v="Good"/>
  </r>
  <r>
    <n v="663"/>
    <n v="24"/>
    <x v="0"/>
    <x v="24"/>
    <x v="3"/>
    <n v="98"/>
    <x v="26"/>
    <x v="0"/>
    <s v="Magenta"/>
    <x v="3"/>
    <n v="2.8"/>
    <s v="Yes"/>
    <x v="0"/>
    <s v="Yes"/>
    <n v="39"/>
    <x v="0"/>
    <s v="Bi-Weekly"/>
    <n v="0.1"/>
    <n v="88.2"/>
    <n v="98"/>
    <s v="Venmo"/>
    <s v="Normal"/>
    <s v="Poor"/>
  </r>
  <r>
    <n v="664"/>
    <n v="59"/>
    <x v="0"/>
    <x v="10"/>
    <x v="0"/>
    <n v="83"/>
    <x v="29"/>
    <x v="2"/>
    <s v="Charcoal"/>
    <x v="3"/>
    <n v="4.7"/>
    <s v="Yes"/>
    <x v="0"/>
    <s v="Yes"/>
    <n v="23"/>
    <x v="2"/>
    <s v="Monthly"/>
    <n v="0.1"/>
    <n v="74.7"/>
    <n v="83"/>
    <s v="Credit Card"/>
    <s v="Normal"/>
    <s v="Good"/>
  </r>
  <r>
    <n v="665"/>
    <n v="63"/>
    <x v="0"/>
    <x v="13"/>
    <x v="0"/>
    <n v="83"/>
    <x v="24"/>
    <x v="2"/>
    <s v="Indigo"/>
    <x v="0"/>
    <n v="4.4000000000000004"/>
    <s v="Yes"/>
    <x v="0"/>
    <s v="Yes"/>
    <n v="41"/>
    <x v="3"/>
    <s v="Bi-Weekly"/>
    <n v="0.1"/>
    <n v="74.7"/>
    <n v="83"/>
    <s v="PayPal"/>
    <s v="Normal"/>
    <s v="Good"/>
  </r>
  <r>
    <n v="666"/>
    <n v="41"/>
    <x v="0"/>
    <x v="13"/>
    <x v="0"/>
    <n v="55"/>
    <x v="35"/>
    <x v="2"/>
    <s v="Peach"/>
    <x v="1"/>
    <n v="4.9000000000000004"/>
    <s v="Yes"/>
    <x v="4"/>
    <s v="Yes"/>
    <n v="50"/>
    <x v="2"/>
    <s v="Annually"/>
    <n v="0.1"/>
    <n v="49.5"/>
    <n v="55"/>
    <s v="Credit Card"/>
    <s v="Normal"/>
    <s v="Good"/>
  </r>
  <r>
    <n v="667"/>
    <n v="35"/>
    <x v="0"/>
    <x v="15"/>
    <x v="0"/>
    <n v="26"/>
    <x v="24"/>
    <x v="0"/>
    <s v="Turquoise"/>
    <x v="0"/>
    <n v="3.1"/>
    <s v="Yes"/>
    <x v="1"/>
    <s v="Yes"/>
    <n v="30"/>
    <x v="5"/>
    <s v="Quarterly"/>
    <n v="0.1"/>
    <n v="23.4"/>
    <n v="26"/>
    <s v="Debit Card"/>
    <s v="Normal"/>
    <s v="Good"/>
  </r>
  <r>
    <n v="668"/>
    <n v="34"/>
    <x v="0"/>
    <x v="12"/>
    <x v="3"/>
    <n v="76"/>
    <x v="28"/>
    <x v="1"/>
    <s v="Blue"/>
    <x v="0"/>
    <n v="2.6"/>
    <s v="Yes"/>
    <x v="3"/>
    <s v="Yes"/>
    <n v="32"/>
    <x v="4"/>
    <s v="Quarterly"/>
    <n v="0.1"/>
    <n v="68.400000000000006"/>
    <n v="76"/>
    <s v="Bank Transfer"/>
    <s v="Normal"/>
    <s v="Poor"/>
  </r>
  <r>
    <n v="669"/>
    <n v="49"/>
    <x v="0"/>
    <x v="17"/>
    <x v="0"/>
    <n v="85"/>
    <x v="11"/>
    <x v="1"/>
    <s v="Turquoise"/>
    <x v="3"/>
    <n v="2.9"/>
    <s v="Yes"/>
    <x v="0"/>
    <s v="Yes"/>
    <n v="35"/>
    <x v="4"/>
    <s v="Monthly"/>
    <n v="0.1"/>
    <n v="76.5"/>
    <n v="85"/>
    <s v="Bank Transfer"/>
    <s v="Normal"/>
    <s v="Poor"/>
  </r>
  <r>
    <n v="670"/>
    <n v="43"/>
    <x v="0"/>
    <x v="14"/>
    <x v="2"/>
    <n v="89"/>
    <x v="26"/>
    <x v="2"/>
    <s v="Gray"/>
    <x v="1"/>
    <n v="3.3"/>
    <s v="Yes"/>
    <x v="1"/>
    <s v="Yes"/>
    <n v="45"/>
    <x v="0"/>
    <s v="Bi-Weekly"/>
    <n v="0.1"/>
    <n v="80.099999999999994"/>
    <n v="89"/>
    <s v="Venmo"/>
    <s v="Normal"/>
    <s v="Good"/>
  </r>
  <r>
    <n v="671"/>
    <n v="63"/>
    <x v="0"/>
    <x v="1"/>
    <x v="0"/>
    <n v="41"/>
    <x v="7"/>
    <x v="3"/>
    <s v="Purple"/>
    <x v="1"/>
    <n v="4.8"/>
    <s v="Yes"/>
    <x v="2"/>
    <s v="Yes"/>
    <n v="37"/>
    <x v="1"/>
    <s v="Bi-Weekly"/>
    <n v="0.1"/>
    <n v="36.9"/>
    <n v="41"/>
    <s v="Cash"/>
    <s v="Normal"/>
    <s v="Good"/>
  </r>
  <r>
    <n v="672"/>
    <n v="38"/>
    <x v="0"/>
    <x v="14"/>
    <x v="2"/>
    <n v="30"/>
    <x v="44"/>
    <x v="0"/>
    <s v="Black"/>
    <x v="0"/>
    <n v="4.7"/>
    <s v="Yes"/>
    <x v="0"/>
    <s v="Yes"/>
    <n v="45"/>
    <x v="1"/>
    <s v="Weekly"/>
    <n v="0.1"/>
    <n v="27"/>
    <n v="30"/>
    <s v="Cash"/>
    <s v="Normal"/>
    <s v="Good"/>
  </r>
  <r>
    <n v="673"/>
    <n v="59"/>
    <x v="0"/>
    <x v="20"/>
    <x v="0"/>
    <n v="53"/>
    <x v="47"/>
    <x v="2"/>
    <s v="Peach"/>
    <x v="0"/>
    <n v="3.3"/>
    <s v="Yes"/>
    <x v="4"/>
    <s v="Yes"/>
    <n v="29"/>
    <x v="1"/>
    <s v="Quarterly"/>
    <n v="0.1"/>
    <n v="47.7"/>
    <n v="53"/>
    <s v="Cash"/>
    <s v="Normal"/>
    <s v="Good"/>
  </r>
  <r>
    <n v="674"/>
    <n v="35"/>
    <x v="0"/>
    <x v="5"/>
    <x v="0"/>
    <n v="66"/>
    <x v="19"/>
    <x v="2"/>
    <s v="Indigo"/>
    <x v="1"/>
    <n v="4.2"/>
    <s v="Yes"/>
    <x v="1"/>
    <s v="Yes"/>
    <n v="27"/>
    <x v="0"/>
    <s v="Bi-Weekly"/>
    <n v="0.1"/>
    <n v="59.4"/>
    <n v="66"/>
    <s v="Venmo"/>
    <s v="Normal"/>
    <s v="Good"/>
  </r>
  <r>
    <n v="675"/>
    <n v="48"/>
    <x v="0"/>
    <x v="16"/>
    <x v="3"/>
    <n v="33"/>
    <x v="47"/>
    <x v="3"/>
    <s v="Beige"/>
    <x v="0"/>
    <n v="4.7"/>
    <s v="Yes"/>
    <x v="5"/>
    <s v="Yes"/>
    <n v="36"/>
    <x v="4"/>
    <s v="Annually"/>
    <n v="0.1"/>
    <n v="29.7"/>
    <n v="33"/>
    <s v="Bank Transfer"/>
    <s v="Normal"/>
    <s v="Good"/>
  </r>
  <r>
    <n v="676"/>
    <n v="64"/>
    <x v="0"/>
    <x v="12"/>
    <x v="3"/>
    <n v="86"/>
    <x v="10"/>
    <x v="2"/>
    <s v="Yellow"/>
    <x v="1"/>
    <n v="2.6"/>
    <s v="Yes"/>
    <x v="4"/>
    <s v="Yes"/>
    <n v="9"/>
    <x v="1"/>
    <s v="Annually"/>
    <n v="0.1"/>
    <n v="77.400000000000006"/>
    <n v="86"/>
    <s v="Cash"/>
    <s v="Normal"/>
    <s v="Poor"/>
  </r>
  <r>
    <n v="677"/>
    <n v="28"/>
    <x v="0"/>
    <x v="13"/>
    <x v="0"/>
    <n v="60"/>
    <x v="39"/>
    <x v="2"/>
    <s v="Peach"/>
    <x v="0"/>
    <n v="2.9"/>
    <s v="Yes"/>
    <x v="4"/>
    <s v="Yes"/>
    <n v="38"/>
    <x v="0"/>
    <s v="Bi-Weekly"/>
    <n v="0.1"/>
    <n v="54"/>
    <n v="60"/>
    <s v="Venmo"/>
    <s v="Normal"/>
    <s v="Poor"/>
  </r>
  <r>
    <n v="678"/>
    <n v="60"/>
    <x v="0"/>
    <x v="20"/>
    <x v="0"/>
    <n v="62"/>
    <x v="47"/>
    <x v="1"/>
    <s v="Turquoise"/>
    <x v="2"/>
    <n v="2.7"/>
    <s v="Yes"/>
    <x v="0"/>
    <s v="Yes"/>
    <n v="41"/>
    <x v="3"/>
    <s v="Annually"/>
    <n v="0.1"/>
    <n v="55.8"/>
    <n v="62"/>
    <s v="PayPal"/>
    <s v="Normal"/>
    <s v="Poor"/>
  </r>
  <r>
    <n v="679"/>
    <n v="27"/>
    <x v="0"/>
    <x v="0"/>
    <x v="0"/>
    <n v="74"/>
    <x v="1"/>
    <x v="2"/>
    <s v="Teal"/>
    <x v="3"/>
    <n v="3.3"/>
    <s v="Yes"/>
    <x v="5"/>
    <s v="Yes"/>
    <n v="25"/>
    <x v="5"/>
    <s v="Every 3 Months"/>
    <n v="0.1"/>
    <n v="66.599999999999994"/>
    <n v="74"/>
    <s v="Debit Card"/>
    <s v="Normal"/>
    <s v="Good"/>
  </r>
  <r>
    <n v="680"/>
    <n v="56"/>
    <x v="0"/>
    <x v="3"/>
    <x v="1"/>
    <n v="95"/>
    <x v="49"/>
    <x v="2"/>
    <s v="Turquoise"/>
    <x v="3"/>
    <n v="3.4"/>
    <s v="Yes"/>
    <x v="0"/>
    <s v="Yes"/>
    <n v="37"/>
    <x v="0"/>
    <s v="Fortnightly"/>
    <n v="0.1"/>
    <n v="85.5"/>
    <n v="95"/>
    <s v="Venmo"/>
    <s v="Normal"/>
    <s v="Good"/>
  </r>
  <r>
    <n v="681"/>
    <n v="58"/>
    <x v="0"/>
    <x v="4"/>
    <x v="1"/>
    <n v="25"/>
    <x v="30"/>
    <x v="2"/>
    <s v="Magenta"/>
    <x v="1"/>
    <n v="4.2"/>
    <s v="Yes"/>
    <x v="0"/>
    <s v="Yes"/>
    <n v="3"/>
    <x v="3"/>
    <s v="Annually"/>
    <n v="0.1"/>
    <n v="22.5"/>
    <n v="25"/>
    <s v="PayPal"/>
    <s v="Normal"/>
    <s v="Good"/>
  </r>
  <r>
    <n v="682"/>
    <n v="30"/>
    <x v="0"/>
    <x v="5"/>
    <x v="0"/>
    <n v="59"/>
    <x v="7"/>
    <x v="3"/>
    <s v="Purple"/>
    <x v="0"/>
    <n v="3.8"/>
    <s v="Yes"/>
    <x v="4"/>
    <s v="Yes"/>
    <n v="24"/>
    <x v="2"/>
    <s v="Every 3 Months"/>
    <n v="0.1"/>
    <n v="53.1"/>
    <n v="59"/>
    <s v="Credit Card"/>
    <s v="Normal"/>
    <s v="Good"/>
  </r>
  <r>
    <n v="683"/>
    <n v="23"/>
    <x v="0"/>
    <x v="14"/>
    <x v="2"/>
    <n v="29"/>
    <x v="9"/>
    <x v="2"/>
    <s v="Brown"/>
    <x v="2"/>
    <n v="4"/>
    <s v="Yes"/>
    <x v="3"/>
    <s v="Yes"/>
    <n v="49"/>
    <x v="2"/>
    <s v="Bi-Weekly"/>
    <n v="0.1"/>
    <n v="26.1"/>
    <n v="29"/>
    <s v="Credit Card"/>
    <s v="Normal"/>
    <s v="Good"/>
  </r>
  <r>
    <n v="684"/>
    <n v="33"/>
    <x v="0"/>
    <x v="3"/>
    <x v="1"/>
    <n v="36"/>
    <x v="49"/>
    <x v="1"/>
    <s v="Violet"/>
    <x v="0"/>
    <n v="2.7"/>
    <s v="Yes"/>
    <x v="1"/>
    <s v="Yes"/>
    <n v="3"/>
    <x v="4"/>
    <s v="Monthly"/>
    <n v="0.1"/>
    <n v="32.4"/>
    <n v="36"/>
    <s v="Bank Transfer"/>
    <s v="Normal"/>
    <s v="Poor"/>
  </r>
  <r>
    <n v="685"/>
    <n v="63"/>
    <x v="0"/>
    <x v="19"/>
    <x v="3"/>
    <n v="82"/>
    <x v="15"/>
    <x v="2"/>
    <s v="Yellow"/>
    <x v="2"/>
    <n v="4.7"/>
    <s v="Yes"/>
    <x v="0"/>
    <s v="Yes"/>
    <n v="42"/>
    <x v="5"/>
    <s v="Monthly"/>
    <n v="0.1"/>
    <n v="73.8"/>
    <n v="82"/>
    <s v="Debit Card"/>
    <s v="Normal"/>
    <s v="Good"/>
  </r>
  <r>
    <n v="686"/>
    <n v="70"/>
    <x v="0"/>
    <x v="0"/>
    <x v="0"/>
    <n v="71"/>
    <x v="2"/>
    <x v="3"/>
    <s v="Magenta"/>
    <x v="0"/>
    <n v="3.5"/>
    <s v="Yes"/>
    <x v="3"/>
    <s v="Yes"/>
    <n v="32"/>
    <x v="1"/>
    <s v="Fortnightly"/>
    <n v="0.1"/>
    <n v="63.9"/>
    <n v="71"/>
    <s v="Cash"/>
    <s v="Normal"/>
    <s v="Good"/>
  </r>
  <r>
    <n v="687"/>
    <n v="70"/>
    <x v="0"/>
    <x v="1"/>
    <x v="0"/>
    <n v="35"/>
    <x v="27"/>
    <x v="0"/>
    <s v="Beige"/>
    <x v="3"/>
    <n v="3"/>
    <s v="Yes"/>
    <x v="4"/>
    <s v="Yes"/>
    <n v="33"/>
    <x v="0"/>
    <s v="Fortnightly"/>
    <n v="0.1"/>
    <n v="31.5"/>
    <n v="35"/>
    <s v="Venmo"/>
    <s v="Normal"/>
    <s v="Good"/>
  </r>
  <r>
    <n v="688"/>
    <n v="19"/>
    <x v="0"/>
    <x v="24"/>
    <x v="3"/>
    <n v="38"/>
    <x v="8"/>
    <x v="3"/>
    <s v="Turquoise"/>
    <x v="0"/>
    <n v="3.3"/>
    <s v="Yes"/>
    <x v="1"/>
    <s v="Yes"/>
    <n v="46"/>
    <x v="4"/>
    <s v="Quarterly"/>
    <n v="0.1"/>
    <n v="34.200000000000003"/>
    <n v="38"/>
    <s v="Bank Transfer"/>
    <s v="Normal"/>
    <s v="Good"/>
  </r>
  <r>
    <n v="689"/>
    <n v="25"/>
    <x v="0"/>
    <x v="18"/>
    <x v="3"/>
    <n v="59"/>
    <x v="49"/>
    <x v="1"/>
    <s v="Peach"/>
    <x v="2"/>
    <n v="4.7"/>
    <s v="Yes"/>
    <x v="5"/>
    <s v="Yes"/>
    <n v="44"/>
    <x v="0"/>
    <s v="Monthly"/>
    <n v="0.1"/>
    <n v="53.1"/>
    <n v="59"/>
    <s v="Venmo"/>
    <s v="Normal"/>
    <s v="Good"/>
  </r>
  <r>
    <n v="690"/>
    <n v="19"/>
    <x v="0"/>
    <x v="15"/>
    <x v="0"/>
    <n v="91"/>
    <x v="38"/>
    <x v="2"/>
    <s v="Orange"/>
    <x v="2"/>
    <n v="4.7"/>
    <s v="Yes"/>
    <x v="0"/>
    <s v="Yes"/>
    <n v="35"/>
    <x v="2"/>
    <s v="Every 3 Months"/>
    <n v="0.1"/>
    <n v="81.900000000000006"/>
    <n v="91"/>
    <s v="Credit Card"/>
    <s v="Normal"/>
    <s v="Good"/>
  </r>
  <r>
    <n v="691"/>
    <n v="25"/>
    <x v="0"/>
    <x v="6"/>
    <x v="0"/>
    <n v="68"/>
    <x v="29"/>
    <x v="3"/>
    <s v="Red"/>
    <x v="1"/>
    <n v="4.8"/>
    <s v="Yes"/>
    <x v="3"/>
    <s v="Yes"/>
    <n v="45"/>
    <x v="4"/>
    <s v="Weekly"/>
    <n v="0.1"/>
    <n v="61.2"/>
    <n v="68"/>
    <s v="Bank Transfer"/>
    <s v="Normal"/>
    <s v="Good"/>
  </r>
  <r>
    <n v="692"/>
    <n v="60"/>
    <x v="0"/>
    <x v="21"/>
    <x v="3"/>
    <n v="21"/>
    <x v="2"/>
    <x v="0"/>
    <s v="Silver"/>
    <x v="2"/>
    <n v="2.9"/>
    <s v="Yes"/>
    <x v="3"/>
    <s v="Yes"/>
    <n v="37"/>
    <x v="3"/>
    <s v="Bi-Weekly"/>
    <n v="0.1"/>
    <n v="18.899999999999999"/>
    <n v="21"/>
    <s v="PayPal"/>
    <s v="Normal"/>
    <s v="Poor"/>
  </r>
  <r>
    <n v="693"/>
    <n v="35"/>
    <x v="0"/>
    <x v="12"/>
    <x v="3"/>
    <n v="95"/>
    <x v="25"/>
    <x v="2"/>
    <s v="Cyan"/>
    <x v="1"/>
    <n v="4"/>
    <s v="Yes"/>
    <x v="4"/>
    <s v="Yes"/>
    <n v="40"/>
    <x v="5"/>
    <s v="Every 3 Months"/>
    <n v="0.1"/>
    <n v="85.5"/>
    <n v="95"/>
    <s v="Debit Card"/>
    <s v="Normal"/>
    <s v="Good"/>
  </r>
  <r>
    <n v="694"/>
    <n v="46"/>
    <x v="0"/>
    <x v="6"/>
    <x v="0"/>
    <n v="52"/>
    <x v="34"/>
    <x v="0"/>
    <s v="Turquoise"/>
    <x v="1"/>
    <n v="3.1"/>
    <s v="Yes"/>
    <x v="1"/>
    <s v="Yes"/>
    <n v="30"/>
    <x v="1"/>
    <s v="Every 3 Months"/>
    <n v="0.1"/>
    <n v="46.8"/>
    <n v="52"/>
    <s v="Cash"/>
    <s v="Normal"/>
    <s v="Good"/>
  </r>
  <r>
    <n v="695"/>
    <n v="41"/>
    <x v="0"/>
    <x v="10"/>
    <x v="0"/>
    <n v="21"/>
    <x v="0"/>
    <x v="1"/>
    <s v="Charcoal"/>
    <x v="3"/>
    <n v="3.5"/>
    <s v="Yes"/>
    <x v="4"/>
    <s v="Yes"/>
    <n v="38"/>
    <x v="0"/>
    <s v="Every 3 Months"/>
    <n v="0.1"/>
    <n v="18.899999999999999"/>
    <n v="21"/>
    <s v="Venmo"/>
    <s v="Normal"/>
    <s v="Good"/>
  </r>
  <r>
    <n v="696"/>
    <n v="30"/>
    <x v="0"/>
    <x v="6"/>
    <x v="0"/>
    <n v="67"/>
    <x v="22"/>
    <x v="3"/>
    <s v="Peach"/>
    <x v="2"/>
    <n v="3.7"/>
    <s v="Yes"/>
    <x v="2"/>
    <s v="Yes"/>
    <n v="15"/>
    <x v="5"/>
    <s v="Every 3 Months"/>
    <n v="0.1"/>
    <n v="60.3"/>
    <n v="67"/>
    <s v="Debit Card"/>
    <s v="Normal"/>
    <s v="Good"/>
  </r>
  <r>
    <n v="697"/>
    <n v="44"/>
    <x v="0"/>
    <x v="22"/>
    <x v="3"/>
    <n v="42"/>
    <x v="40"/>
    <x v="0"/>
    <s v="Green"/>
    <x v="3"/>
    <n v="2.8"/>
    <s v="Yes"/>
    <x v="3"/>
    <s v="Yes"/>
    <n v="49"/>
    <x v="1"/>
    <s v="Monthly"/>
    <n v="0.1"/>
    <n v="37.799999999999997"/>
    <n v="42"/>
    <s v="Cash"/>
    <s v="Normal"/>
    <s v="Poor"/>
  </r>
  <r>
    <n v="698"/>
    <n v="61"/>
    <x v="0"/>
    <x v="18"/>
    <x v="3"/>
    <n v="63"/>
    <x v="25"/>
    <x v="3"/>
    <s v="Brown"/>
    <x v="2"/>
    <n v="4.5999999999999996"/>
    <s v="Yes"/>
    <x v="1"/>
    <s v="Yes"/>
    <n v="40"/>
    <x v="5"/>
    <s v="Quarterly"/>
    <n v="0.1"/>
    <n v="56.7"/>
    <n v="63"/>
    <s v="Debit Card"/>
    <s v="Normal"/>
    <s v="Good"/>
  </r>
  <r>
    <n v="699"/>
    <n v="55"/>
    <x v="0"/>
    <x v="23"/>
    <x v="1"/>
    <n v="41"/>
    <x v="44"/>
    <x v="2"/>
    <s v="Yellow"/>
    <x v="0"/>
    <n v="3.8"/>
    <s v="Yes"/>
    <x v="3"/>
    <s v="Yes"/>
    <n v="40"/>
    <x v="5"/>
    <s v="Weekly"/>
    <n v="0.1"/>
    <n v="36.9"/>
    <n v="41"/>
    <s v="Debit Card"/>
    <s v="Normal"/>
    <s v="Good"/>
  </r>
  <r>
    <n v="700"/>
    <n v="50"/>
    <x v="0"/>
    <x v="8"/>
    <x v="3"/>
    <n v="46"/>
    <x v="39"/>
    <x v="2"/>
    <s v="Charcoal"/>
    <x v="3"/>
    <n v="2.6"/>
    <s v="Yes"/>
    <x v="4"/>
    <s v="Yes"/>
    <n v="5"/>
    <x v="3"/>
    <s v="Weekly"/>
    <n v="0.1"/>
    <n v="41.4"/>
    <n v="46"/>
    <s v="PayPal"/>
    <s v="Normal"/>
    <s v="Poor"/>
  </r>
  <r>
    <n v="701"/>
    <n v="57"/>
    <x v="0"/>
    <x v="13"/>
    <x v="0"/>
    <n v="79"/>
    <x v="48"/>
    <x v="0"/>
    <s v="Olive"/>
    <x v="0"/>
    <n v="4.0999999999999996"/>
    <s v="Yes"/>
    <x v="3"/>
    <s v="Yes"/>
    <n v="5"/>
    <x v="3"/>
    <s v="Monthly"/>
    <n v="0.1"/>
    <n v="71.099999999999994"/>
    <n v="79"/>
    <s v="PayPal"/>
    <s v="Normal"/>
    <s v="Good"/>
  </r>
  <r>
    <n v="702"/>
    <n v="51"/>
    <x v="0"/>
    <x v="23"/>
    <x v="1"/>
    <n v="90"/>
    <x v="37"/>
    <x v="0"/>
    <s v="Red"/>
    <x v="3"/>
    <n v="3.3"/>
    <s v="Yes"/>
    <x v="2"/>
    <s v="Yes"/>
    <n v="5"/>
    <x v="5"/>
    <s v="Every 3 Months"/>
    <n v="0.1"/>
    <n v="81"/>
    <n v="90"/>
    <s v="Debit Card"/>
    <s v="Normal"/>
    <s v="Good"/>
  </r>
  <r>
    <n v="703"/>
    <n v="18"/>
    <x v="0"/>
    <x v="5"/>
    <x v="0"/>
    <n v="71"/>
    <x v="6"/>
    <x v="2"/>
    <s v="White"/>
    <x v="0"/>
    <n v="3.4"/>
    <s v="Yes"/>
    <x v="5"/>
    <s v="Yes"/>
    <n v="1"/>
    <x v="1"/>
    <s v="Weekly"/>
    <n v="0.1"/>
    <n v="63.9"/>
    <n v="71"/>
    <s v="Cash"/>
    <s v="Normal"/>
    <s v="Good"/>
  </r>
  <r>
    <n v="704"/>
    <n v="63"/>
    <x v="0"/>
    <x v="10"/>
    <x v="0"/>
    <n v="87"/>
    <x v="39"/>
    <x v="0"/>
    <s v="Pink"/>
    <x v="2"/>
    <n v="3"/>
    <s v="Yes"/>
    <x v="3"/>
    <s v="Yes"/>
    <n v="21"/>
    <x v="0"/>
    <s v="Weekly"/>
    <n v="0.1"/>
    <n v="78.3"/>
    <n v="87"/>
    <s v="Venmo"/>
    <s v="Normal"/>
    <s v="Good"/>
  </r>
  <r>
    <n v="705"/>
    <n v="34"/>
    <x v="0"/>
    <x v="15"/>
    <x v="0"/>
    <n v="66"/>
    <x v="37"/>
    <x v="1"/>
    <s v="Black"/>
    <x v="1"/>
    <n v="3.2"/>
    <s v="Yes"/>
    <x v="0"/>
    <s v="Yes"/>
    <n v="18"/>
    <x v="3"/>
    <s v="Annually"/>
    <n v="0.1"/>
    <n v="59.4"/>
    <n v="66"/>
    <s v="PayPal"/>
    <s v="Normal"/>
    <s v="Good"/>
  </r>
  <r>
    <n v="706"/>
    <n v="25"/>
    <x v="0"/>
    <x v="13"/>
    <x v="0"/>
    <n v="90"/>
    <x v="10"/>
    <x v="3"/>
    <s v="Indigo"/>
    <x v="2"/>
    <n v="4.5"/>
    <s v="Yes"/>
    <x v="1"/>
    <s v="Yes"/>
    <n v="49"/>
    <x v="1"/>
    <s v="Quarterly"/>
    <n v="0.1"/>
    <n v="81"/>
    <n v="90"/>
    <s v="Cash"/>
    <s v="Normal"/>
    <s v="Good"/>
  </r>
  <r>
    <n v="707"/>
    <n v="46"/>
    <x v="0"/>
    <x v="2"/>
    <x v="0"/>
    <n v="47"/>
    <x v="44"/>
    <x v="0"/>
    <s v="Turquoise"/>
    <x v="2"/>
    <n v="4.8"/>
    <s v="Yes"/>
    <x v="0"/>
    <s v="Yes"/>
    <n v="27"/>
    <x v="5"/>
    <s v="Weekly"/>
    <n v="0.1"/>
    <n v="42.3"/>
    <n v="47"/>
    <s v="Debit Card"/>
    <s v="Normal"/>
    <s v="Good"/>
  </r>
  <r>
    <n v="708"/>
    <n v="59"/>
    <x v="0"/>
    <x v="5"/>
    <x v="0"/>
    <n v="38"/>
    <x v="7"/>
    <x v="0"/>
    <s v="Purple"/>
    <x v="1"/>
    <n v="3.7"/>
    <s v="Yes"/>
    <x v="2"/>
    <s v="Yes"/>
    <n v="21"/>
    <x v="0"/>
    <s v="Annually"/>
    <n v="0.1"/>
    <n v="34.200000000000003"/>
    <n v="38"/>
    <s v="Venmo"/>
    <s v="Normal"/>
    <s v="Good"/>
  </r>
  <r>
    <n v="709"/>
    <n v="37"/>
    <x v="0"/>
    <x v="21"/>
    <x v="3"/>
    <n v="50"/>
    <x v="0"/>
    <x v="0"/>
    <s v="Beige"/>
    <x v="2"/>
    <n v="3.4"/>
    <s v="Yes"/>
    <x v="5"/>
    <s v="Yes"/>
    <n v="19"/>
    <x v="1"/>
    <s v="Fortnightly"/>
    <n v="0.1"/>
    <n v="45"/>
    <n v="50"/>
    <s v="Cash"/>
    <s v="Normal"/>
    <s v="Good"/>
  </r>
  <r>
    <n v="710"/>
    <n v="49"/>
    <x v="0"/>
    <x v="14"/>
    <x v="2"/>
    <n v="79"/>
    <x v="2"/>
    <x v="0"/>
    <s v="Charcoal"/>
    <x v="2"/>
    <n v="4.5999999999999996"/>
    <s v="Yes"/>
    <x v="3"/>
    <s v="Yes"/>
    <n v="23"/>
    <x v="5"/>
    <s v="Monthly"/>
    <n v="0.1"/>
    <n v="71.099999999999994"/>
    <n v="79"/>
    <s v="Debit Card"/>
    <s v="Normal"/>
    <s v="Good"/>
  </r>
  <r>
    <n v="711"/>
    <n v="22"/>
    <x v="0"/>
    <x v="18"/>
    <x v="3"/>
    <n v="91"/>
    <x v="41"/>
    <x v="0"/>
    <s v="Turquoise"/>
    <x v="1"/>
    <n v="4.0999999999999996"/>
    <s v="Yes"/>
    <x v="3"/>
    <s v="Yes"/>
    <n v="26"/>
    <x v="3"/>
    <s v="Fortnightly"/>
    <n v="0.1"/>
    <n v="81.900000000000006"/>
    <n v="91"/>
    <s v="PayPal"/>
    <s v="Normal"/>
    <s v="Good"/>
  </r>
  <r>
    <n v="712"/>
    <n v="64"/>
    <x v="0"/>
    <x v="23"/>
    <x v="1"/>
    <n v="60"/>
    <x v="13"/>
    <x v="2"/>
    <s v="Maroon"/>
    <x v="1"/>
    <n v="3.5"/>
    <s v="Yes"/>
    <x v="4"/>
    <s v="Yes"/>
    <n v="13"/>
    <x v="4"/>
    <s v="Bi-Weekly"/>
    <n v="0.1"/>
    <n v="54"/>
    <n v="60"/>
    <s v="Bank Transfer"/>
    <s v="Normal"/>
    <s v="Good"/>
  </r>
  <r>
    <n v="713"/>
    <n v="42"/>
    <x v="0"/>
    <x v="0"/>
    <x v="0"/>
    <n v="81"/>
    <x v="13"/>
    <x v="3"/>
    <s v="Black"/>
    <x v="2"/>
    <n v="3.8"/>
    <s v="Yes"/>
    <x v="2"/>
    <s v="Yes"/>
    <n v="36"/>
    <x v="4"/>
    <s v="Quarterly"/>
    <n v="0.1"/>
    <n v="72.900000000000006"/>
    <n v="81"/>
    <s v="Bank Transfer"/>
    <s v="Normal"/>
    <s v="Good"/>
  </r>
  <r>
    <n v="714"/>
    <n v="37"/>
    <x v="0"/>
    <x v="15"/>
    <x v="0"/>
    <n v="90"/>
    <x v="4"/>
    <x v="2"/>
    <s v="Lavender"/>
    <x v="2"/>
    <n v="2.6"/>
    <s v="Yes"/>
    <x v="0"/>
    <s v="Yes"/>
    <n v="39"/>
    <x v="4"/>
    <s v="Bi-Weekly"/>
    <n v="0.1"/>
    <n v="81"/>
    <n v="90"/>
    <s v="Bank Transfer"/>
    <s v="Normal"/>
    <s v="Poor"/>
  </r>
  <r>
    <n v="715"/>
    <n v="26"/>
    <x v="0"/>
    <x v="14"/>
    <x v="2"/>
    <n v="70"/>
    <x v="45"/>
    <x v="2"/>
    <s v="Magenta"/>
    <x v="3"/>
    <n v="4.4000000000000004"/>
    <s v="Yes"/>
    <x v="5"/>
    <s v="Yes"/>
    <n v="40"/>
    <x v="5"/>
    <s v="Fortnightly"/>
    <n v="0.1"/>
    <n v="63"/>
    <n v="70"/>
    <s v="Debit Card"/>
    <s v="Normal"/>
    <s v="Good"/>
  </r>
  <r>
    <n v="716"/>
    <n v="33"/>
    <x v="0"/>
    <x v="2"/>
    <x v="0"/>
    <n v="63"/>
    <x v="12"/>
    <x v="0"/>
    <s v="Green"/>
    <x v="1"/>
    <n v="2.6"/>
    <s v="Yes"/>
    <x v="0"/>
    <s v="Yes"/>
    <n v="37"/>
    <x v="5"/>
    <s v="Quarterly"/>
    <n v="0.1"/>
    <n v="56.7"/>
    <n v="63"/>
    <s v="Debit Card"/>
    <s v="Normal"/>
    <s v="Poor"/>
  </r>
  <r>
    <n v="717"/>
    <n v="30"/>
    <x v="0"/>
    <x v="16"/>
    <x v="3"/>
    <n v="29"/>
    <x v="9"/>
    <x v="2"/>
    <s v="Olive"/>
    <x v="1"/>
    <n v="3.6"/>
    <s v="Yes"/>
    <x v="0"/>
    <s v="Yes"/>
    <n v="9"/>
    <x v="0"/>
    <s v="Bi-Weekly"/>
    <n v="0.1"/>
    <n v="26.1"/>
    <n v="29"/>
    <s v="Venmo"/>
    <s v="Normal"/>
    <s v="Good"/>
  </r>
  <r>
    <n v="718"/>
    <n v="21"/>
    <x v="0"/>
    <x v="20"/>
    <x v="0"/>
    <n v="90"/>
    <x v="29"/>
    <x v="0"/>
    <s v="Green"/>
    <x v="1"/>
    <n v="4.2"/>
    <s v="Yes"/>
    <x v="0"/>
    <s v="Yes"/>
    <n v="7"/>
    <x v="0"/>
    <s v="Every 3 Months"/>
    <n v="0.1"/>
    <n v="81"/>
    <n v="90"/>
    <s v="Venmo"/>
    <s v="Normal"/>
    <s v="Good"/>
  </r>
  <r>
    <n v="719"/>
    <n v="22"/>
    <x v="0"/>
    <x v="5"/>
    <x v="0"/>
    <n v="22"/>
    <x v="20"/>
    <x v="2"/>
    <s v="Peach"/>
    <x v="2"/>
    <n v="4.5999999999999996"/>
    <s v="Yes"/>
    <x v="3"/>
    <s v="Yes"/>
    <n v="25"/>
    <x v="4"/>
    <s v="Annually"/>
    <n v="0.1"/>
    <n v="19.8"/>
    <n v="22"/>
    <s v="Bank Transfer"/>
    <s v="Normal"/>
    <s v="Good"/>
  </r>
  <r>
    <n v="720"/>
    <n v="63"/>
    <x v="0"/>
    <x v="6"/>
    <x v="0"/>
    <n v="22"/>
    <x v="16"/>
    <x v="0"/>
    <s v="Turquoise"/>
    <x v="2"/>
    <n v="3.3"/>
    <s v="Yes"/>
    <x v="2"/>
    <s v="Yes"/>
    <n v="42"/>
    <x v="0"/>
    <s v="Bi-Weekly"/>
    <n v="0.1"/>
    <n v="19.8"/>
    <n v="22"/>
    <s v="Venmo"/>
    <s v="Normal"/>
    <s v="Good"/>
  </r>
  <r>
    <n v="721"/>
    <n v="33"/>
    <x v="0"/>
    <x v="16"/>
    <x v="3"/>
    <n v="62"/>
    <x v="35"/>
    <x v="0"/>
    <s v="Orange"/>
    <x v="3"/>
    <n v="3.4"/>
    <s v="Yes"/>
    <x v="1"/>
    <s v="Yes"/>
    <n v="19"/>
    <x v="5"/>
    <s v="Weekly"/>
    <n v="0.1"/>
    <n v="55.8"/>
    <n v="62"/>
    <s v="Debit Card"/>
    <s v="Normal"/>
    <s v="Good"/>
  </r>
  <r>
    <n v="722"/>
    <n v="43"/>
    <x v="0"/>
    <x v="0"/>
    <x v="0"/>
    <n v="57"/>
    <x v="18"/>
    <x v="0"/>
    <s v="Silver"/>
    <x v="2"/>
    <n v="4.4000000000000004"/>
    <s v="Yes"/>
    <x v="2"/>
    <s v="Yes"/>
    <n v="41"/>
    <x v="5"/>
    <s v="Every 3 Months"/>
    <n v="0.1"/>
    <n v="51.3"/>
    <n v="57"/>
    <s v="Debit Card"/>
    <s v="Normal"/>
    <s v="Good"/>
  </r>
  <r>
    <n v="723"/>
    <n v="27"/>
    <x v="0"/>
    <x v="1"/>
    <x v="0"/>
    <n v="32"/>
    <x v="5"/>
    <x v="1"/>
    <s v="Blue"/>
    <x v="2"/>
    <n v="4.3"/>
    <s v="Yes"/>
    <x v="5"/>
    <s v="Yes"/>
    <n v="50"/>
    <x v="1"/>
    <s v="Bi-Weekly"/>
    <n v="0.1"/>
    <n v="28.8"/>
    <n v="32"/>
    <s v="Cash"/>
    <s v="Normal"/>
    <s v="Good"/>
  </r>
  <r>
    <n v="724"/>
    <n v="35"/>
    <x v="0"/>
    <x v="16"/>
    <x v="3"/>
    <n v="53"/>
    <x v="9"/>
    <x v="0"/>
    <s v="Cyan"/>
    <x v="3"/>
    <n v="3.5"/>
    <s v="Yes"/>
    <x v="0"/>
    <s v="Yes"/>
    <n v="43"/>
    <x v="3"/>
    <s v="Monthly"/>
    <n v="0.1"/>
    <n v="47.7"/>
    <n v="53"/>
    <s v="PayPal"/>
    <s v="Normal"/>
    <s v="Good"/>
  </r>
  <r>
    <n v="725"/>
    <n v="37"/>
    <x v="0"/>
    <x v="17"/>
    <x v="0"/>
    <n v="79"/>
    <x v="13"/>
    <x v="3"/>
    <s v="Green"/>
    <x v="3"/>
    <n v="4.7"/>
    <s v="Yes"/>
    <x v="5"/>
    <s v="Yes"/>
    <n v="36"/>
    <x v="0"/>
    <s v="Every 3 Months"/>
    <n v="0.1"/>
    <n v="71.099999999999994"/>
    <n v="79"/>
    <s v="Venmo"/>
    <s v="Normal"/>
    <s v="Good"/>
  </r>
  <r>
    <n v="726"/>
    <n v="61"/>
    <x v="0"/>
    <x v="19"/>
    <x v="3"/>
    <n v="61"/>
    <x v="21"/>
    <x v="0"/>
    <s v="Silver"/>
    <x v="0"/>
    <n v="3.1"/>
    <s v="Yes"/>
    <x v="3"/>
    <s v="Yes"/>
    <n v="33"/>
    <x v="5"/>
    <s v="Fortnightly"/>
    <n v="0.1"/>
    <n v="54.9"/>
    <n v="61"/>
    <s v="Debit Card"/>
    <s v="Normal"/>
    <s v="Good"/>
  </r>
  <r>
    <n v="727"/>
    <n v="32"/>
    <x v="0"/>
    <x v="6"/>
    <x v="0"/>
    <n v="78"/>
    <x v="25"/>
    <x v="0"/>
    <s v="Yellow"/>
    <x v="2"/>
    <n v="3.6"/>
    <s v="Yes"/>
    <x v="2"/>
    <s v="Yes"/>
    <n v="20"/>
    <x v="4"/>
    <s v="Every 3 Months"/>
    <n v="0.1"/>
    <n v="70.2"/>
    <n v="78"/>
    <s v="Bank Transfer"/>
    <s v="Normal"/>
    <s v="Good"/>
  </r>
  <r>
    <n v="728"/>
    <n v="62"/>
    <x v="0"/>
    <x v="1"/>
    <x v="0"/>
    <n v="97"/>
    <x v="10"/>
    <x v="1"/>
    <s v="Gray"/>
    <x v="0"/>
    <n v="4.8"/>
    <s v="Yes"/>
    <x v="2"/>
    <s v="Yes"/>
    <n v="37"/>
    <x v="0"/>
    <s v="Every 3 Months"/>
    <n v="0.1"/>
    <n v="87.3"/>
    <n v="97"/>
    <s v="Venmo"/>
    <s v="Normal"/>
    <s v="Good"/>
  </r>
  <r>
    <n v="729"/>
    <n v="29"/>
    <x v="0"/>
    <x v="2"/>
    <x v="0"/>
    <n v="78"/>
    <x v="43"/>
    <x v="2"/>
    <s v="Pink"/>
    <x v="0"/>
    <n v="3.7"/>
    <s v="Yes"/>
    <x v="2"/>
    <s v="Yes"/>
    <n v="12"/>
    <x v="3"/>
    <s v="Every 3 Months"/>
    <n v="0.1"/>
    <n v="70.2"/>
    <n v="78"/>
    <s v="PayPal"/>
    <s v="Normal"/>
    <s v="Good"/>
  </r>
  <r>
    <n v="730"/>
    <n v="41"/>
    <x v="0"/>
    <x v="12"/>
    <x v="3"/>
    <n v="56"/>
    <x v="46"/>
    <x v="0"/>
    <s v="Beige"/>
    <x v="2"/>
    <n v="3.2"/>
    <s v="Yes"/>
    <x v="0"/>
    <s v="Yes"/>
    <n v="46"/>
    <x v="3"/>
    <s v="Every 3 Months"/>
    <n v="0.1"/>
    <n v="50.4"/>
    <n v="56"/>
    <s v="PayPal"/>
    <s v="Normal"/>
    <s v="Good"/>
  </r>
  <r>
    <n v="731"/>
    <n v="48"/>
    <x v="0"/>
    <x v="23"/>
    <x v="1"/>
    <n v="25"/>
    <x v="2"/>
    <x v="2"/>
    <s v="Indigo"/>
    <x v="2"/>
    <n v="3.9"/>
    <s v="Yes"/>
    <x v="3"/>
    <s v="Yes"/>
    <n v="28"/>
    <x v="0"/>
    <s v="Fortnightly"/>
    <n v="0.1"/>
    <n v="22.5"/>
    <n v="25"/>
    <s v="Venmo"/>
    <s v="Normal"/>
    <s v="Good"/>
  </r>
  <r>
    <n v="732"/>
    <n v="43"/>
    <x v="0"/>
    <x v="7"/>
    <x v="2"/>
    <n v="28"/>
    <x v="10"/>
    <x v="2"/>
    <s v="Red"/>
    <x v="1"/>
    <n v="3.5"/>
    <s v="Yes"/>
    <x v="1"/>
    <s v="Yes"/>
    <n v="30"/>
    <x v="3"/>
    <s v="Fortnightly"/>
    <n v="0.1"/>
    <n v="25.2"/>
    <n v="28"/>
    <s v="PayPal"/>
    <s v="Normal"/>
    <s v="Good"/>
  </r>
  <r>
    <n v="733"/>
    <n v="34"/>
    <x v="0"/>
    <x v="5"/>
    <x v="0"/>
    <n v="57"/>
    <x v="13"/>
    <x v="0"/>
    <s v="Blue"/>
    <x v="1"/>
    <n v="2.8"/>
    <s v="Yes"/>
    <x v="0"/>
    <s v="Yes"/>
    <n v="28"/>
    <x v="1"/>
    <s v="Bi-Weekly"/>
    <n v="0.1"/>
    <n v="51.3"/>
    <n v="57"/>
    <s v="Cash"/>
    <s v="Normal"/>
    <s v="Poor"/>
  </r>
  <r>
    <n v="734"/>
    <n v="45"/>
    <x v="0"/>
    <x v="10"/>
    <x v="0"/>
    <n v="36"/>
    <x v="3"/>
    <x v="0"/>
    <s v="Cyan"/>
    <x v="3"/>
    <n v="2.7"/>
    <s v="Yes"/>
    <x v="4"/>
    <s v="Yes"/>
    <n v="20"/>
    <x v="5"/>
    <s v="Bi-Weekly"/>
    <n v="0.1"/>
    <n v="32.4"/>
    <n v="36"/>
    <s v="Debit Card"/>
    <s v="Normal"/>
    <s v="Poor"/>
  </r>
  <r>
    <n v="735"/>
    <n v="65"/>
    <x v="0"/>
    <x v="5"/>
    <x v="0"/>
    <n v="69"/>
    <x v="32"/>
    <x v="1"/>
    <s v="Violet"/>
    <x v="0"/>
    <n v="3.1"/>
    <s v="Yes"/>
    <x v="0"/>
    <s v="Yes"/>
    <n v="39"/>
    <x v="4"/>
    <s v="Every 3 Months"/>
    <n v="0.1"/>
    <n v="62.1"/>
    <n v="69"/>
    <s v="Bank Transfer"/>
    <s v="Normal"/>
    <s v="Good"/>
  </r>
  <r>
    <n v="736"/>
    <n v="61"/>
    <x v="0"/>
    <x v="12"/>
    <x v="3"/>
    <n v="48"/>
    <x v="6"/>
    <x v="2"/>
    <s v="Orange"/>
    <x v="3"/>
    <n v="3.6"/>
    <s v="Yes"/>
    <x v="4"/>
    <s v="Yes"/>
    <n v="48"/>
    <x v="1"/>
    <s v="Bi-Weekly"/>
    <n v="0.1"/>
    <n v="43.2"/>
    <n v="48"/>
    <s v="Cash"/>
    <s v="Normal"/>
    <s v="Good"/>
  </r>
  <r>
    <n v="737"/>
    <n v="18"/>
    <x v="0"/>
    <x v="10"/>
    <x v="0"/>
    <n v="58"/>
    <x v="24"/>
    <x v="0"/>
    <s v="Maroon"/>
    <x v="1"/>
    <n v="2.9"/>
    <s v="Yes"/>
    <x v="4"/>
    <s v="Yes"/>
    <n v="32"/>
    <x v="2"/>
    <s v="Every 3 Months"/>
    <n v="0.1"/>
    <n v="52.2"/>
    <n v="58"/>
    <s v="Credit Card"/>
    <s v="Normal"/>
    <s v="Poor"/>
  </r>
  <r>
    <n v="738"/>
    <n v="47"/>
    <x v="0"/>
    <x v="12"/>
    <x v="3"/>
    <n v="24"/>
    <x v="43"/>
    <x v="2"/>
    <s v="Teal"/>
    <x v="1"/>
    <n v="3.6"/>
    <s v="Yes"/>
    <x v="5"/>
    <s v="Yes"/>
    <n v="28"/>
    <x v="3"/>
    <s v="Annually"/>
    <n v="0.1"/>
    <n v="21.6"/>
    <n v="24"/>
    <s v="PayPal"/>
    <s v="Normal"/>
    <s v="Good"/>
  </r>
  <r>
    <n v="739"/>
    <n v="56"/>
    <x v="0"/>
    <x v="12"/>
    <x v="3"/>
    <n v="31"/>
    <x v="46"/>
    <x v="0"/>
    <s v="Orange"/>
    <x v="0"/>
    <n v="3.5"/>
    <s v="Yes"/>
    <x v="4"/>
    <s v="Yes"/>
    <n v="27"/>
    <x v="0"/>
    <s v="Quarterly"/>
    <n v="0.1"/>
    <n v="27.9"/>
    <n v="31"/>
    <s v="Venmo"/>
    <s v="Normal"/>
    <s v="Good"/>
  </r>
  <r>
    <n v="740"/>
    <n v="64"/>
    <x v="0"/>
    <x v="6"/>
    <x v="0"/>
    <n v="29"/>
    <x v="46"/>
    <x v="1"/>
    <s v="Purple"/>
    <x v="2"/>
    <n v="3.5"/>
    <s v="Yes"/>
    <x v="1"/>
    <s v="Yes"/>
    <n v="26"/>
    <x v="0"/>
    <s v="Bi-Weekly"/>
    <n v="0.1"/>
    <n v="26.1"/>
    <n v="29"/>
    <s v="Venmo"/>
    <s v="Normal"/>
    <s v="Good"/>
  </r>
  <r>
    <n v="741"/>
    <n v="26"/>
    <x v="0"/>
    <x v="2"/>
    <x v="0"/>
    <n v="69"/>
    <x v="45"/>
    <x v="2"/>
    <s v="Orange"/>
    <x v="2"/>
    <n v="2.8"/>
    <s v="Yes"/>
    <x v="2"/>
    <s v="Yes"/>
    <n v="22"/>
    <x v="2"/>
    <s v="Fortnightly"/>
    <n v="0.1"/>
    <n v="62.1"/>
    <n v="69"/>
    <s v="Credit Card"/>
    <s v="Normal"/>
    <s v="Poor"/>
  </r>
  <r>
    <n v="742"/>
    <n v="22"/>
    <x v="0"/>
    <x v="17"/>
    <x v="0"/>
    <n v="79"/>
    <x v="8"/>
    <x v="3"/>
    <s v="Yellow"/>
    <x v="2"/>
    <n v="4.7"/>
    <s v="Yes"/>
    <x v="1"/>
    <s v="Yes"/>
    <n v="23"/>
    <x v="4"/>
    <s v="Every 3 Months"/>
    <n v="0.1"/>
    <n v="71.099999999999994"/>
    <n v="79"/>
    <s v="Bank Transfer"/>
    <s v="Normal"/>
    <s v="Good"/>
  </r>
  <r>
    <n v="743"/>
    <n v="64"/>
    <x v="0"/>
    <x v="13"/>
    <x v="0"/>
    <n v="39"/>
    <x v="22"/>
    <x v="2"/>
    <s v="Charcoal"/>
    <x v="2"/>
    <n v="3.1"/>
    <s v="Yes"/>
    <x v="0"/>
    <s v="Yes"/>
    <n v="21"/>
    <x v="5"/>
    <s v="Quarterly"/>
    <n v="0.1"/>
    <n v="35.1"/>
    <n v="39"/>
    <s v="Debit Card"/>
    <s v="Normal"/>
    <s v="Good"/>
  </r>
  <r>
    <n v="744"/>
    <n v="21"/>
    <x v="0"/>
    <x v="12"/>
    <x v="3"/>
    <n v="84"/>
    <x v="17"/>
    <x v="0"/>
    <s v="Gray"/>
    <x v="3"/>
    <n v="4.9000000000000004"/>
    <s v="Yes"/>
    <x v="1"/>
    <s v="Yes"/>
    <n v="36"/>
    <x v="1"/>
    <s v="Weekly"/>
    <n v="0.1"/>
    <n v="75.599999999999994"/>
    <n v="84"/>
    <s v="Cash"/>
    <s v="Normal"/>
    <s v="Good"/>
  </r>
  <r>
    <n v="745"/>
    <n v="67"/>
    <x v="0"/>
    <x v="23"/>
    <x v="1"/>
    <n v="66"/>
    <x v="26"/>
    <x v="1"/>
    <s v="Charcoal"/>
    <x v="1"/>
    <n v="4.0999999999999996"/>
    <s v="Yes"/>
    <x v="2"/>
    <s v="Yes"/>
    <n v="42"/>
    <x v="5"/>
    <s v="Bi-Weekly"/>
    <n v="0.1"/>
    <n v="59.4"/>
    <n v="66"/>
    <s v="Debit Card"/>
    <s v="Normal"/>
    <s v="Good"/>
  </r>
  <r>
    <n v="746"/>
    <n v="46"/>
    <x v="0"/>
    <x v="17"/>
    <x v="0"/>
    <n v="92"/>
    <x v="49"/>
    <x v="0"/>
    <s v="Orange"/>
    <x v="3"/>
    <n v="4.7"/>
    <s v="Yes"/>
    <x v="3"/>
    <s v="Yes"/>
    <n v="4"/>
    <x v="0"/>
    <s v="Monthly"/>
    <n v="0.1"/>
    <n v="82.8"/>
    <n v="92"/>
    <s v="Venmo"/>
    <s v="Normal"/>
    <s v="Good"/>
  </r>
  <r>
    <n v="747"/>
    <n v="40"/>
    <x v="0"/>
    <x v="3"/>
    <x v="1"/>
    <n v="45"/>
    <x v="49"/>
    <x v="2"/>
    <s v="Red"/>
    <x v="0"/>
    <n v="2.5"/>
    <s v="Yes"/>
    <x v="1"/>
    <s v="Yes"/>
    <n v="47"/>
    <x v="2"/>
    <s v="Annually"/>
    <n v="0.1"/>
    <n v="40.5"/>
    <n v="45"/>
    <s v="Credit Card"/>
    <s v="Normal"/>
    <s v="Poor"/>
  </r>
  <r>
    <n v="748"/>
    <n v="51"/>
    <x v="0"/>
    <x v="6"/>
    <x v="0"/>
    <n v="74"/>
    <x v="19"/>
    <x v="0"/>
    <s v="Gold"/>
    <x v="1"/>
    <n v="4.4000000000000004"/>
    <s v="Yes"/>
    <x v="2"/>
    <s v="Yes"/>
    <n v="13"/>
    <x v="4"/>
    <s v="Weekly"/>
    <n v="0.1"/>
    <n v="66.599999999999994"/>
    <n v="74"/>
    <s v="Bank Transfer"/>
    <s v="Normal"/>
    <s v="Good"/>
  </r>
  <r>
    <n v="749"/>
    <n v="35"/>
    <x v="0"/>
    <x v="19"/>
    <x v="3"/>
    <n v="39"/>
    <x v="45"/>
    <x v="0"/>
    <s v="Brown"/>
    <x v="3"/>
    <n v="3.9"/>
    <s v="Yes"/>
    <x v="1"/>
    <s v="Yes"/>
    <n v="8"/>
    <x v="4"/>
    <s v="Quarterly"/>
    <n v="0.1"/>
    <n v="35.1"/>
    <n v="39"/>
    <s v="Bank Transfer"/>
    <s v="Normal"/>
    <s v="Good"/>
  </r>
  <r>
    <n v="750"/>
    <n v="56"/>
    <x v="0"/>
    <x v="18"/>
    <x v="3"/>
    <n v="71"/>
    <x v="19"/>
    <x v="2"/>
    <s v="Olive"/>
    <x v="0"/>
    <n v="3.7"/>
    <s v="Yes"/>
    <x v="3"/>
    <s v="Yes"/>
    <n v="11"/>
    <x v="5"/>
    <s v="Quarterly"/>
    <n v="0.1"/>
    <n v="63.9"/>
    <n v="71"/>
    <s v="Debit Card"/>
    <s v="Normal"/>
    <s v="Good"/>
  </r>
  <r>
    <n v="751"/>
    <n v="25"/>
    <x v="0"/>
    <x v="17"/>
    <x v="0"/>
    <n v="95"/>
    <x v="33"/>
    <x v="0"/>
    <s v="Violet"/>
    <x v="3"/>
    <n v="3.4"/>
    <s v="Yes"/>
    <x v="1"/>
    <s v="Yes"/>
    <n v="5"/>
    <x v="0"/>
    <s v="Annually"/>
    <n v="0.1"/>
    <n v="85.5"/>
    <n v="95"/>
    <s v="Venmo"/>
    <s v="Normal"/>
    <s v="Good"/>
  </r>
  <r>
    <n v="752"/>
    <n v="65"/>
    <x v="0"/>
    <x v="24"/>
    <x v="3"/>
    <n v="72"/>
    <x v="31"/>
    <x v="0"/>
    <s v="Indigo"/>
    <x v="3"/>
    <n v="4.8"/>
    <s v="Yes"/>
    <x v="1"/>
    <s v="Yes"/>
    <n v="1"/>
    <x v="2"/>
    <s v="Monthly"/>
    <n v="0.1"/>
    <n v="64.8"/>
    <n v="72"/>
    <s v="Credit Card"/>
    <s v="Normal"/>
    <s v="Good"/>
  </r>
  <r>
    <n v="753"/>
    <n v="39"/>
    <x v="0"/>
    <x v="18"/>
    <x v="3"/>
    <n v="85"/>
    <x v="31"/>
    <x v="0"/>
    <s v="Yellow"/>
    <x v="3"/>
    <n v="4.2"/>
    <s v="Yes"/>
    <x v="4"/>
    <s v="Yes"/>
    <n v="17"/>
    <x v="3"/>
    <s v="Every 3 Months"/>
    <n v="0.1"/>
    <n v="76.5"/>
    <n v="85"/>
    <s v="PayPal"/>
    <s v="Normal"/>
    <s v="Good"/>
  </r>
  <r>
    <n v="754"/>
    <n v="47"/>
    <x v="0"/>
    <x v="23"/>
    <x v="1"/>
    <n v="54"/>
    <x v="2"/>
    <x v="2"/>
    <s v="Teal"/>
    <x v="3"/>
    <n v="3.4"/>
    <s v="Yes"/>
    <x v="5"/>
    <s v="Yes"/>
    <n v="27"/>
    <x v="0"/>
    <s v="Quarterly"/>
    <n v="0.1"/>
    <n v="48.6"/>
    <n v="54"/>
    <s v="Venmo"/>
    <s v="Normal"/>
    <s v="Good"/>
  </r>
  <r>
    <n v="755"/>
    <n v="36"/>
    <x v="0"/>
    <x v="24"/>
    <x v="3"/>
    <n v="41"/>
    <x v="17"/>
    <x v="0"/>
    <s v="Pink"/>
    <x v="1"/>
    <n v="2.9"/>
    <s v="Yes"/>
    <x v="5"/>
    <s v="Yes"/>
    <n v="3"/>
    <x v="5"/>
    <s v="Quarterly"/>
    <n v="0.1"/>
    <n v="36.9"/>
    <n v="41"/>
    <s v="Debit Card"/>
    <s v="Normal"/>
    <s v="Poor"/>
  </r>
  <r>
    <n v="756"/>
    <n v="66"/>
    <x v="0"/>
    <x v="7"/>
    <x v="2"/>
    <n v="24"/>
    <x v="20"/>
    <x v="2"/>
    <s v="Violet"/>
    <x v="1"/>
    <n v="3.3"/>
    <s v="Yes"/>
    <x v="1"/>
    <s v="Yes"/>
    <n v="22"/>
    <x v="3"/>
    <s v="Weekly"/>
    <n v="0.1"/>
    <n v="21.6"/>
    <n v="24"/>
    <s v="PayPal"/>
    <s v="Normal"/>
    <s v="Good"/>
  </r>
  <r>
    <n v="757"/>
    <n v="62"/>
    <x v="0"/>
    <x v="22"/>
    <x v="3"/>
    <n v="99"/>
    <x v="6"/>
    <x v="1"/>
    <s v="Orange"/>
    <x v="2"/>
    <n v="4.8"/>
    <s v="Yes"/>
    <x v="3"/>
    <s v="Yes"/>
    <n v="24"/>
    <x v="1"/>
    <s v="Fortnightly"/>
    <n v="0.1"/>
    <n v="89.1"/>
    <n v="99"/>
    <s v="Cash"/>
    <s v="Normal"/>
    <s v="Good"/>
  </r>
  <r>
    <n v="758"/>
    <n v="41"/>
    <x v="0"/>
    <x v="15"/>
    <x v="0"/>
    <n v="32"/>
    <x v="46"/>
    <x v="2"/>
    <s v="Red"/>
    <x v="3"/>
    <n v="3.8"/>
    <s v="Yes"/>
    <x v="5"/>
    <s v="Yes"/>
    <n v="18"/>
    <x v="5"/>
    <s v="Quarterly"/>
    <n v="0.1"/>
    <n v="28.8"/>
    <n v="32"/>
    <s v="Debit Card"/>
    <s v="Normal"/>
    <s v="Good"/>
  </r>
  <r>
    <n v="759"/>
    <n v="66"/>
    <x v="0"/>
    <x v="9"/>
    <x v="1"/>
    <n v="71"/>
    <x v="2"/>
    <x v="0"/>
    <s v="Peach"/>
    <x v="2"/>
    <n v="4.5999999999999996"/>
    <s v="Yes"/>
    <x v="4"/>
    <s v="Yes"/>
    <n v="39"/>
    <x v="4"/>
    <s v="Every 3 Months"/>
    <n v="0.1"/>
    <n v="63.9"/>
    <n v="71"/>
    <s v="Bank Transfer"/>
    <s v="Normal"/>
    <s v="Good"/>
  </r>
  <r>
    <n v="760"/>
    <n v="51"/>
    <x v="0"/>
    <x v="10"/>
    <x v="0"/>
    <n v="49"/>
    <x v="3"/>
    <x v="3"/>
    <s v="Green"/>
    <x v="0"/>
    <n v="2.6"/>
    <s v="Yes"/>
    <x v="2"/>
    <s v="Yes"/>
    <n v="25"/>
    <x v="2"/>
    <s v="Fortnightly"/>
    <n v="0.1"/>
    <n v="44.1"/>
    <n v="49"/>
    <s v="Credit Card"/>
    <s v="Normal"/>
    <s v="Poor"/>
  </r>
  <r>
    <n v="761"/>
    <n v="33"/>
    <x v="0"/>
    <x v="24"/>
    <x v="3"/>
    <n v="50"/>
    <x v="46"/>
    <x v="3"/>
    <s v="Violet"/>
    <x v="3"/>
    <n v="3.4"/>
    <s v="Yes"/>
    <x v="1"/>
    <s v="Yes"/>
    <n v="6"/>
    <x v="1"/>
    <s v="Annually"/>
    <n v="0.1"/>
    <n v="45"/>
    <n v="50"/>
    <s v="Cash"/>
    <s v="Normal"/>
    <s v="Good"/>
  </r>
  <r>
    <n v="762"/>
    <n v="57"/>
    <x v="0"/>
    <x v="16"/>
    <x v="3"/>
    <n v="91"/>
    <x v="22"/>
    <x v="0"/>
    <s v="Yellow"/>
    <x v="3"/>
    <n v="4.2"/>
    <s v="Yes"/>
    <x v="0"/>
    <s v="Yes"/>
    <n v="26"/>
    <x v="4"/>
    <s v="Weekly"/>
    <n v="0.1"/>
    <n v="81.900000000000006"/>
    <n v="91"/>
    <s v="Bank Transfer"/>
    <s v="Normal"/>
    <s v="Good"/>
  </r>
  <r>
    <n v="763"/>
    <n v="45"/>
    <x v="0"/>
    <x v="22"/>
    <x v="3"/>
    <n v="46"/>
    <x v="35"/>
    <x v="2"/>
    <s v="Pink"/>
    <x v="3"/>
    <n v="3.9"/>
    <s v="Yes"/>
    <x v="3"/>
    <s v="Yes"/>
    <n v="43"/>
    <x v="5"/>
    <s v="Fortnightly"/>
    <n v="0.1"/>
    <n v="41.4"/>
    <n v="46"/>
    <s v="Debit Card"/>
    <s v="Normal"/>
    <s v="Good"/>
  </r>
  <r>
    <n v="764"/>
    <n v="61"/>
    <x v="0"/>
    <x v="1"/>
    <x v="0"/>
    <n v="50"/>
    <x v="17"/>
    <x v="2"/>
    <s v="Brown"/>
    <x v="1"/>
    <n v="2.9"/>
    <s v="Yes"/>
    <x v="4"/>
    <s v="Yes"/>
    <n v="6"/>
    <x v="2"/>
    <s v="Monthly"/>
    <n v="0.1"/>
    <n v="45"/>
    <n v="50"/>
    <s v="Credit Card"/>
    <s v="Normal"/>
    <s v="Poor"/>
  </r>
  <r>
    <n v="765"/>
    <n v="55"/>
    <x v="0"/>
    <x v="11"/>
    <x v="0"/>
    <n v="39"/>
    <x v="41"/>
    <x v="3"/>
    <s v="Silver"/>
    <x v="3"/>
    <n v="4.2"/>
    <s v="Yes"/>
    <x v="1"/>
    <s v="Yes"/>
    <n v="6"/>
    <x v="5"/>
    <s v="Quarterly"/>
    <n v="0.1"/>
    <n v="35.1"/>
    <n v="39"/>
    <s v="Debit Card"/>
    <s v="Normal"/>
    <s v="Good"/>
  </r>
  <r>
    <n v="766"/>
    <n v="54"/>
    <x v="0"/>
    <x v="4"/>
    <x v="1"/>
    <n v="99"/>
    <x v="29"/>
    <x v="2"/>
    <s v="Pink"/>
    <x v="2"/>
    <n v="3"/>
    <s v="Yes"/>
    <x v="5"/>
    <s v="Yes"/>
    <n v="13"/>
    <x v="1"/>
    <s v="Quarterly"/>
    <n v="0.1"/>
    <n v="89.1"/>
    <n v="99"/>
    <s v="Cash"/>
    <s v="Normal"/>
    <s v="Good"/>
  </r>
  <r>
    <n v="767"/>
    <n v="57"/>
    <x v="0"/>
    <x v="24"/>
    <x v="3"/>
    <n v="48"/>
    <x v="22"/>
    <x v="2"/>
    <s v="Cyan"/>
    <x v="0"/>
    <n v="3.6"/>
    <s v="Yes"/>
    <x v="2"/>
    <s v="Yes"/>
    <n v="13"/>
    <x v="3"/>
    <s v="Monthly"/>
    <n v="0.1"/>
    <n v="43.2"/>
    <n v="48"/>
    <s v="PayPal"/>
    <s v="Normal"/>
    <s v="Good"/>
  </r>
  <r>
    <n v="768"/>
    <n v="27"/>
    <x v="0"/>
    <x v="7"/>
    <x v="2"/>
    <n v="77"/>
    <x v="38"/>
    <x v="2"/>
    <s v="Brown"/>
    <x v="3"/>
    <n v="2.5"/>
    <s v="Yes"/>
    <x v="2"/>
    <s v="Yes"/>
    <n v="11"/>
    <x v="1"/>
    <s v="Annually"/>
    <n v="0.1"/>
    <n v="69.3"/>
    <n v="77"/>
    <s v="Cash"/>
    <s v="Normal"/>
    <s v="Poor"/>
  </r>
  <r>
    <n v="769"/>
    <n v="64"/>
    <x v="0"/>
    <x v="21"/>
    <x v="3"/>
    <n v="95"/>
    <x v="26"/>
    <x v="3"/>
    <s v="Red"/>
    <x v="1"/>
    <n v="2.6"/>
    <s v="Yes"/>
    <x v="0"/>
    <s v="Yes"/>
    <n v="45"/>
    <x v="0"/>
    <s v="Weekly"/>
    <n v="0.1"/>
    <n v="85.5"/>
    <n v="95"/>
    <s v="Venmo"/>
    <s v="Normal"/>
    <s v="Poor"/>
  </r>
  <r>
    <n v="770"/>
    <n v="52"/>
    <x v="0"/>
    <x v="20"/>
    <x v="0"/>
    <n v="100"/>
    <x v="12"/>
    <x v="2"/>
    <s v="Silver"/>
    <x v="1"/>
    <n v="4.3"/>
    <s v="Yes"/>
    <x v="5"/>
    <s v="Yes"/>
    <n v="8"/>
    <x v="3"/>
    <s v="Monthly"/>
    <n v="0.1"/>
    <n v="90"/>
    <n v="100"/>
    <s v="PayPal"/>
    <s v="Normal"/>
    <s v="Good"/>
  </r>
  <r>
    <n v="771"/>
    <n v="19"/>
    <x v="0"/>
    <x v="4"/>
    <x v="1"/>
    <n v="54"/>
    <x v="34"/>
    <x v="2"/>
    <s v="Gray"/>
    <x v="1"/>
    <n v="3.3"/>
    <s v="Yes"/>
    <x v="0"/>
    <s v="Yes"/>
    <n v="8"/>
    <x v="2"/>
    <s v="Annually"/>
    <n v="0.1"/>
    <n v="48.6"/>
    <n v="54"/>
    <s v="Credit Card"/>
    <s v="Normal"/>
    <s v="Good"/>
  </r>
  <r>
    <n v="772"/>
    <n v="22"/>
    <x v="0"/>
    <x v="1"/>
    <x v="0"/>
    <n v="68"/>
    <x v="11"/>
    <x v="0"/>
    <s v="Cyan"/>
    <x v="3"/>
    <n v="2.6"/>
    <s v="Yes"/>
    <x v="2"/>
    <s v="Yes"/>
    <n v="34"/>
    <x v="4"/>
    <s v="Fortnightly"/>
    <n v="0.1"/>
    <n v="61.2"/>
    <n v="68"/>
    <s v="Bank Transfer"/>
    <s v="Normal"/>
    <s v="Poor"/>
  </r>
  <r>
    <n v="773"/>
    <n v="18"/>
    <x v="0"/>
    <x v="2"/>
    <x v="0"/>
    <n v="22"/>
    <x v="26"/>
    <x v="0"/>
    <s v="Teal"/>
    <x v="3"/>
    <n v="3.6"/>
    <s v="Yes"/>
    <x v="1"/>
    <s v="Yes"/>
    <n v="40"/>
    <x v="5"/>
    <s v="Bi-Weekly"/>
    <n v="0.1"/>
    <n v="19.8"/>
    <n v="22"/>
    <s v="Debit Card"/>
    <s v="Normal"/>
    <s v="Good"/>
  </r>
  <r>
    <n v="774"/>
    <n v="29"/>
    <x v="0"/>
    <x v="19"/>
    <x v="3"/>
    <n v="84"/>
    <x v="18"/>
    <x v="0"/>
    <s v="Indigo"/>
    <x v="0"/>
    <n v="2.6"/>
    <s v="Yes"/>
    <x v="0"/>
    <s v="Yes"/>
    <n v="14"/>
    <x v="5"/>
    <s v="Bi-Weekly"/>
    <n v="0.1"/>
    <n v="75.599999999999994"/>
    <n v="84"/>
    <s v="Debit Card"/>
    <s v="Normal"/>
    <s v="Poor"/>
  </r>
  <r>
    <n v="775"/>
    <n v="42"/>
    <x v="0"/>
    <x v="19"/>
    <x v="3"/>
    <n v="46"/>
    <x v="22"/>
    <x v="2"/>
    <s v="Yellow"/>
    <x v="2"/>
    <n v="3.5"/>
    <s v="Yes"/>
    <x v="3"/>
    <s v="Yes"/>
    <n v="11"/>
    <x v="2"/>
    <s v="Quarterly"/>
    <n v="0.1"/>
    <n v="41.4"/>
    <n v="46"/>
    <s v="Credit Card"/>
    <s v="Normal"/>
    <s v="Good"/>
  </r>
  <r>
    <n v="776"/>
    <n v="49"/>
    <x v="0"/>
    <x v="8"/>
    <x v="3"/>
    <n v="53"/>
    <x v="0"/>
    <x v="1"/>
    <s v="Gold"/>
    <x v="0"/>
    <n v="3"/>
    <s v="Yes"/>
    <x v="5"/>
    <s v="Yes"/>
    <n v="8"/>
    <x v="3"/>
    <s v="Monthly"/>
    <n v="0.1"/>
    <n v="47.7"/>
    <n v="53"/>
    <s v="PayPal"/>
    <s v="Normal"/>
    <s v="Good"/>
  </r>
  <r>
    <n v="777"/>
    <n v="49"/>
    <x v="0"/>
    <x v="5"/>
    <x v="0"/>
    <n v="60"/>
    <x v="15"/>
    <x v="2"/>
    <s v="Maroon"/>
    <x v="1"/>
    <n v="5"/>
    <s v="Yes"/>
    <x v="3"/>
    <s v="Yes"/>
    <n v="8"/>
    <x v="0"/>
    <s v="Every 3 Months"/>
    <n v="0.1"/>
    <n v="54"/>
    <n v="60"/>
    <s v="Venmo"/>
    <s v="Normal"/>
    <s v="Good"/>
  </r>
  <r>
    <n v="778"/>
    <n v="55"/>
    <x v="0"/>
    <x v="20"/>
    <x v="0"/>
    <n v="32"/>
    <x v="5"/>
    <x v="3"/>
    <s v="Silver"/>
    <x v="1"/>
    <n v="2.5"/>
    <s v="Yes"/>
    <x v="0"/>
    <s v="Yes"/>
    <n v="37"/>
    <x v="0"/>
    <s v="Weekly"/>
    <n v="0.1"/>
    <n v="28.8"/>
    <n v="32"/>
    <s v="Venmo"/>
    <s v="Normal"/>
    <s v="Poor"/>
  </r>
  <r>
    <n v="779"/>
    <n v="29"/>
    <x v="0"/>
    <x v="20"/>
    <x v="0"/>
    <n v="50"/>
    <x v="2"/>
    <x v="2"/>
    <s v="Yellow"/>
    <x v="2"/>
    <n v="2.9"/>
    <s v="Yes"/>
    <x v="5"/>
    <s v="Yes"/>
    <n v="23"/>
    <x v="5"/>
    <s v="Annually"/>
    <n v="0.1"/>
    <n v="45"/>
    <n v="50"/>
    <s v="Debit Card"/>
    <s v="Normal"/>
    <s v="Poor"/>
  </r>
  <r>
    <n v="780"/>
    <n v="60"/>
    <x v="0"/>
    <x v="10"/>
    <x v="0"/>
    <n v="94"/>
    <x v="40"/>
    <x v="2"/>
    <s v="Blue"/>
    <x v="1"/>
    <n v="4.5999999999999996"/>
    <s v="Yes"/>
    <x v="0"/>
    <s v="Yes"/>
    <n v="38"/>
    <x v="1"/>
    <s v="Annually"/>
    <n v="0.1"/>
    <n v="84.6"/>
    <n v="94"/>
    <s v="Cash"/>
    <s v="Normal"/>
    <s v="Good"/>
  </r>
  <r>
    <n v="781"/>
    <n v="34"/>
    <x v="0"/>
    <x v="9"/>
    <x v="1"/>
    <n v="26"/>
    <x v="14"/>
    <x v="2"/>
    <s v="Turquoise"/>
    <x v="1"/>
    <n v="3.6"/>
    <s v="Yes"/>
    <x v="1"/>
    <s v="Yes"/>
    <n v="38"/>
    <x v="1"/>
    <s v="Quarterly"/>
    <n v="0.1"/>
    <n v="23.4"/>
    <n v="26"/>
    <s v="Cash"/>
    <s v="Normal"/>
    <s v="Good"/>
  </r>
  <r>
    <n v="782"/>
    <n v="30"/>
    <x v="0"/>
    <x v="18"/>
    <x v="3"/>
    <n v="44"/>
    <x v="34"/>
    <x v="0"/>
    <s v="Indigo"/>
    <x v="0"/>
    <n v="3"/>
    <s v="Yes"/>
    <x v="5"/>
    <s v="Yes"/>
    <n v="12"/>
    <x v="2"/>
    <s v="Fortnightly"/>
    <n v="0.1"/>
    <n v="39.6"/>
    <n v="44"/>
    <s v="Credit Card"/>
    <s v="Normal"/>
    <s v="Good"/>
  </r>
  <r>
    <n v="783"/>
    <n v="28"/>
    <x v="0"/>
    <x v="15"/>
    <x v="0"/>
    <n v="57"/>
    <x v="11"/>
    <x v="2"/>
    <s v="Green"/>
    <x v="2"/>
    <n v="4.5"/>
    <s v="Yes"/>
    <x v="3"/>
    <s v="Yes"/>
    <n v="15"/>
    <x v="1"/>
    <s v="Weekly"/>
    <n v="0.1"/>
    <n v="51.3"/>
    <n v="57"/>
    <s v="Cash"/>
    <s v="Normal"/>
    <s v="Good"/>
  </r>
  <r>
    <n v="784"/>
    <n v="63"/>
    <x v="0"/>
    <x v="17"/>
    <x v="0"/>
    <n v="65"/>
    <x v="7"/>
    <x v="0"/>
    <s v="Purple"/>
    <x v="0"/>
    <n v="4.5"/>
    <s v="Yes"/>
    <x v="2"/>
    <s v="Yes"/>
    <n v="38"/>
    <x v="3"/>
    <s v="Fortnightly"/>
    <n v="0.1"/>
    <n v="58.5"/>
    <n v="65"/>
    <s v="PayPal"/>
    <s v="Normal"/>
    <s v="Good"/>
  </r>
  <r>
    <n v="785"/>
    <n v="31"/>
    <x v="0"/>
    <x v="2"/>
    <x v="0"/>
    <n v="72"/>
    <x v="15"/>
    <x v="2"/>
    <s v="Peach"/>
    <x v="0"/>
    <n v="3.2"/>
    <s v="Yes"/>
    <x v="5"/>
    <s v="Yes"/>
    <n v="41"/>
    <x v="4"/>
    <s v="Every 3 Months"/>
    <n v="0.1"/>
    <n v="64.8"/>
    <n v="72"/>
    <s v="Bank Transfer"/>
    <s v="Normal"/>
    <s v="Good"/>
  </r>
  <r>
    <n v="786"/>
    <n v="46"/>
    <x v="0"/>
    <x v="6"/>
    <x v="0"/>
    <n v="62"/>
    <x v="7"/>
    <x v="1"/>
    <s v="Purple"/>
    <x v="1"/>
    <n v="4"/>
    <s v="Yes"/>
    <x v="2"/>
    <s v="Yes"/>
    <n v="37"/>
    <x v="3"/>
    <s v="Fortnightly"/>
    <n v="0.1"/>
    <n v="55.8"/>
    <n v="62"/>
    <s v="PayPal"/>
    <s v="Normal"/>
    <s v="Good"/>
  </r>
  <r>
    <n v="787"/>
    <n v="70"/>
    <x v="0"/>
    <x v="19"/>
    <x v="3"/>
    <n v="21"/>
    <x v="27"/>
    <x v="1"/>
    <s v="Teal"/>
    <x v="0"/>
    <n v="4.8"/>
    <s v="Yes"/>
    <x v="0"/>
    <s v="Yes"/>
    <n v="16"/>
    <x v="4"/>
    <s v="Every 3 Months"/>
    <n v="0.1"/>
    <n v="18.899999999999999"/>
    <n v="21"/>
    <s v="Bank Transfer"/>
    <s v="Normal"/>
    <s v="Good"/>
  </r>
  <r>
    <n v="788"/>
    <n v="53"/>
    <x v="0"/>
    <x v="8"/>
    <x v="3"/>
    <n v="85"/>
    <x v="49"/>
    <x v="1"/>
    <s v="Green"/>
    <x v="1"/>
    <n v="3.7"/>
    <s v="Yes"/>
    <x v="1"/>
    <s v="Yes"/>
    <n v="25"/>
    <x v="0"/>
    <s v="Weekly"/>
    <n v="0.1"/>
    <n v="76.5"/>
    <n v="85"/>
    <s v="Venmo"/>
    <s v="Normal"/>
    <s v="Good"/>
  </r>
  <r>
    <n v="789"/>
    <n v="50"/>
    <x v="0"/>
    <x v="13"/>
    <x v="0"/>
    <n v="51"/>
    <x v="3"/>
    <x v="3"/>
    <s v="Yellow"/>
    <x v="2"/>
    <n v="3.8"/>
    <s v="Yes"/>
    <x v="5"/>
    <s v="Yes"/>
    <n v="18"/>
    <x v="4"/>
    <s v="Quarterly"/>
    <n v="0.1"/>
    <n v="45.9"/>
    <n v="51"/>
    <s v="Bank Transfer"/>
    <s v="Normal"/>
    <s v="Good"/>
  </r>
  <r>
    <n v="790"/>
    <n v="33"/>
    <x v="0"/>
    <x v="8"/>
    <x v="3"/>
    <n v="84"/>
    <x v="37"/>
    <x v="1"/>
    <s v="Purple"/>
    <x v="3"/>
    <n v="2.7"/>
    <s v="Yes"/>
    <x v="3"/>
    <s v="Yes"/>
    <n v="4"/>
    <x v="2"/>
    <s v="Bi-Weekly"/>
    <n v="0.1"/>
    <n v="75.599999999999994"/>
    <n v="84"/>
    <s v="Credit Card"/>
    <s v="Normal"/>
    <s v="Poor"/>
  </r>
  <r>
    <n v="791"/>
    <n v="22"/>
    <x v="0"/>
    <x v="1"/>
    <x v="0"/>
    <n v="37"/>
    <x v="7"/>
    <x v="2"/>
    <s v="Indigo"/>
    <x v="2"/>
    <n v="4.9000000000000004"/>
    <s v="Yes"/>
    <x v="5"/>
    <s v="Yes"/>
    <n v="12"/>
    <x v="4"/>
    <s v="Quarterly"/>
    <n v="0.1"/>
    <n v="33.299999999999997"/>
    <n v="37"/>
    <s v="Bank Transfer"/>
    <s v="Normal"/>
    <s v="Good"/>
  </r>
  <r>
    <n v="792"/>
    <n v="50"/>
    <x v="0"/>
    <x v="18"/>
    <x v="3"/>
    <n v="44"/>
    <x v="17"/>
    <x v="1"/>
    <s v="Magenta"/>
    <x v="2"/>
    <n v="3.1"/>
    <s v="Yes"/>
    <x v="4"/>
    <s v="Yes"/>
    <n v="35"/>
    <x v="3"/>
    <s v="Fortnightly"/>
    <n v="0.1"/>
    <n v="39.6"/>
    <n v="44"/>
    <s v="PayPal"/>
    <s v="Normal"/>
    <s v="Good"/>
  </r>
  <r>
    <n v="793"/>
    <n v="34"/>
    <x v="0"/>
    <x v="4"/>
    <x v="1"/>
    <n v="45"/>
    <x v="32"/>
    <x v="2"/>
    <s v="Violet"/>
    <x v="1"/>
    <n v="4.2"/>
    <s v="Yes"/>
    <x v="2"/>
    <s v="Yes"/>
    <n v="45"/>
    <x v="0"/>
    <s v="Weekly"/>
    <n v="0.1"/>
    <n v="40.5"/>
    <n v="45"/>
    <s v="Venmo"/>
    <s v="Normal"/>
    <s v="Good"/>
  </r>
  <r>
    <n v="794"/>
    <n v="24"/>
    <x v="0"/>
    <x v="13"/>
    <x v="0"/>
    <n v="35"/>
    <x v="15"/>
    <x v="0"/>
    <s v="Maroon"/>
    <x v="2"/>
    <n v="3.8"/>
    <s v="Yes"/>
    <x v="1"/>
    <s v="Yes"/>
    <n v="16"/>
    <x v="2"/>
    <s v="Monthly"/>
    <n v="0.1"/>
    <n v="31.5"/>
    <n v="35"/>
    <s v="Credit Card"/>
    <s v="Normal"/>
    <s v="Good"/>
  </r>
  <r>
    <n v="795"/>
    <n v="69"/>
    <x v="0"/>
    <x v="21"/>
    <x v="3"/>
    <n v="50"/>
    <x v="0"/>
    <x v="3"/>
    <s v="Yellow"/>
    <x v="0"/>
    <n v="4.2"/>
    <s v="Yes"/>
    <x v="5"/>
    <s v="Yes"/>
    <n v="10"/>
    <x v="5"/>
    <s v="Fortnightly"/>
    <n v="0.1"/>
    <n v="45"/>
    <n v="50"/>
    <s v="Debit Card"/>
    <s v="Normal"/>
    <s v="Good"/>
  </r>
  <r>
    <n v="796"/>
    <n v="39"/>
    <x v="0"/>
    <x v="3"/>
    <x v="1"/>
    <n v="26"/>
    <x v="14"/>
    <x v="2"/>
    <s v="Beige"/>
    <x v="2"/>
    <n v="4.5999999999999996"/>
    <s v="Yes"/>
    <x v="5"/>
    <s v="Yes"/>
    <n v="34"/>
    <x v="0"/>
    <s v="Annually"/>
    <n v="0.1"/>
    <n v="23.4"/>
    <n v="26"/>
    <s v="Venmo"/>
    <s v="Normal"/>
    <s v="Good"/>
  </r>
  <r>
    <n v="797"/>
    <n v="42"/>
    <x v="0"/>
    <x v="20"/>
    <x v="0"/>
    <n v="78"/>
    <x v="28"/>
    <x v="3"/>
    <s v="Black"/>
    <x v="3"/>
    <n v="4"/>
    <s v="Yes"/>
    <x v="4"/>
    <s v="Yes"/>
    <n v="43"/>
    <x v="2"/>
    <s v="Annually"/>
    <n v="0.1"/>
    <n v="70.2"/>
    <n v="78"/>
    <s v="Credit Card"/>
    <s v="Normal"/>
    <s v="Good"/>
  </r>
  <r>
    <n v="798"/>
    <n v="42"/>
    <x v="0"/>
    <x v="7"/>
    <x v="2"/>
    <n v="82"/>
    <x v="33"/>
    <x v="2"/>
    <s v="Violet"/>
    <x v="3"/>
    <n v="4"/>
    <s v="Yes"/>
    <x v="4"/>
    <s v="Yes"/>
    <n v="38"/>
    <x v="5"/>
    <s v="Weekly"/>
    <n v="0.1"/>
    <n v="73.8"/>
    <n v="82"/>
    <s v="Debit Card"/>
    <s v="Normal"/>
    <s v="Good"/>
  </r>
  <r>
    <n v="799"/>
    <n v="29"/>
    <x v="0"/>
    <x v="20"/>
    <x v="0"/>
    <n v="39"/>
    <x v="29"/>
    <x v="2"/>
    <s v="Violet"/>
    <x v="1"/>
    <n v="3.8"/>
    <s v="Yes"/>
    <x v="4"/>
    <s v="Yes"/>
    <n v="48"/>
    <x v="3"/>
    <s v="Every 3 Months"/>
    <n v="0.1"/>
    <n v="35.1"/>
    <n v="39"/>
    <s v="PayPal"/>
    <s v="Normal"/>
    <s v="Good"/>
  </r>
  <r>
    <n v="800"/>
    <n v="55"/>
    <x v="0"/>
    <x v="22"/>
    <x v="3"/>
    <n v="55"/>
    <x v="22"/>
    <x v="0"/>
    <s v="Brown"/>
    <x v="2"/>
    <n v="1"/>
    <s v="Yes"/>
    <x v="1"/>
    <s v="Yes"/>
    <n v="31"/>
    <x v="3"/>
    <s v="Annually"/>
    <n v="0.1"/>
    <n v="49.5"/>
    <n v="55"/>
    <s v="PayPal"/>
    <s v="Normal"/>
    <s v="Poor"/>
  </r>
  <r>
    <n v="801"/>
    <n v="32"/>
    <x v="0"/>
    <x v="20"/>
    <x v="0"/>
    <n v="20"/>
    <x v="40"/>
    <x v="1"/>
    <s v="Gold"/>
    <x v="2"/>
    <n v="2.6"/>
    <s v="Yes"/>
    <x v="1"/>
    <s v="Yes"/>
    <n v="20"/>
    <x v="1"/>
    <s v="Every 3 Months"/>
    <n v="0.1"/>
    <n v="18"/>
    <n v="20"/>
    <s v="Cash"/>
    <s v="Normal"/>
    <s v="Poor"/>
  </r>
  <r>
    <n v="802"/>
    <n v="25"/>
    <x v="0"/>
    <x v="22"/>
    <x v="3"/>
    <n v="29"/>
    <x v="35"/>
    <x v="0"/>
    <s v="Blue"/>
    <x v="3"/>
    <n v="4.9000000000000004"/>
    <s v="Yes"/>
    <x v="0"/>
    <s v="Yes"/>
    <n v="12"/>
    <x v="2"/>
    <s v="Fortnightly"/>
    <n v="0.1"/>
    <n v="26.1"/>
    <n v="29"/>
    <s v="Credit Card"/>
    <s v="Normal"/>
    <s v="Good"/>
  </r>
  <r>
    <n v="803"/>
    <n v="38"/>
    <x v="0"/>
    <x v="13"/>
    <x v="0"/>
    <n v="41"/>
    <x v="12"/>
    <x v="2"/>
    <s v="Teal"/>
    <x v="0"/>
    <n v="3.5"/>
    <s v="Yes"/>
    <x v="2"/>
    <s v="Yes"/>
    <n v="2"/>
    <x v="4"/>
    <s v="Weekly"/>
    <n v="0.1"/>
    <n v="36.9"/>
    <n v="41"/>
    <s v="Bank Transfer"/>
    <s v="Normal"/>
    <s v="Good"/>
  </r>
  <r>
    <n v="804"/>
    <n v="32"/>
    <x v="0"/>
    <x v="6"/>
    <x v="0"/>
    <n v="38"/>
    <x v="39"/>
    <x v="0"/>
    <s v="Silver"/>
    <x v="0"/>
    <n v="2.8"/>
    <s v="Yes"/>
    <x v="0"/>
    <s v="Yes"/>
    <n v="30"/>
    <x v="0"/>
    <s v="Every 3 Months"/>
    <n v="0.1"/>
    <n v="34.200000000000003"/>
    <n v="38"/>
    <s v="Venmo"/>
    <s v="Normal"/>
    <s v="Poor"/>
  </r>
  <r>
    <n v="805"/>
    <n v="43"/>
    <x v="0"/>
    <x v="23"/>
    <x v="1"/>
    <n v="47"/>
    <x v="16"/>
    <x v="2"/>
    <s v="Maroon"/>
    <x v="2"/>
    <n v="2.6"/>
    <s v="Yes"/>
    <x v="5"/>
    <s v="Yes"/>
    <n v="28"/>
    <x v="0"/>
    <s v="Quarterly"/>
    <n v="0.1"/>
    <n v="42.3"/>
    <n v="47"/>
    <s v="Venmo"/>
    <s v="Normal"/>
    <s v="Poor"/>
  </r>
  <r>
    <n v="806"/>
    <n v="41"/>
    <x v="0"/>
    <x v="10"/>
    <x v="0"/>
    <n v="30"/>
    <x v="39"/>
    <x v="0"/>
    <s v="White"/>
    <x v="2"/>
    <n v="3.7"/>
    <s v="Yes"/>
    <x v="2"/>
    <s v="Yes"/>
    <n v="40"/>
    <x v="5"/>
    <s v="Monthly"/>
    <n v="0.1"/>
    <n v="27"/>
    <n v="30"/>
    <s v="Debit Card"/>
    <s v="Normal"/>
    <s v="Good"/>
  </r>
  <r>
    <n v="807"/>
    <n v="56"/>
    <x v="0"/>
    <x v="2"/>
    <x v="0"/>
    <n v="56"/>
    <x v="20"/>
    <x v="0"/>
    <s v="Charcoal"/>
    <x v="2"/>
    <n v="2.7"/>
    <s v="Yes"/>
    <x v="3"/>
    <s v="Yes"/>
    <n v="46"/>
    <x v="3"/>
    <s v="Quarterly"/>
    <n v="0.1"/>
    <n v="50.4"/>
    <n v="56"/>
    <s v="PayPal"/>
    <s v="Normal"/>
    <s v="Poor"/>
  </r>
  <r>
    <n v="808"/>
    <n v="27"/>
    <x v="0"/>
    <x v="17"/>
    <x v="0"/>
    <n v="89"/>
    <x v="14"/>
    <x v="1"/>
    <s v="Brown"/>
    <x v="0"/>
    <n v="3.3"/>
    <s v="Yes"/>
    <x v="0"/>
    <s v="Yes"/>
    <n v="15"/>
    <x v="2"/>
    <s v="Weekly"/>
    <n v="0.1"/>
    <n v="80.099999999999994"/>
    <n v="89"/>
    <s v="Credit Card"/>
    <s v="Normal"/>
    <s v="Good"/>
  </r>
  <r>
    <n v="809"/>
    <n v="46"/>
    <x v="0"/>
    <x v="9"/>
    <x v="1"/>
    <n v="96"/>
    <x v="48"/>
    <x v="0"/>
    <s v="Lavender"/>
    <x v="3"/>
    <n v="4.5999999999999996"/>
    <s v="Yes"/>
    <x v="2"/>
    <s v="Yes"/>
    <n v="38"/>
    <x v="1"/>
    <s v="Every 3 Months"/>
    <n v="0.1"/>
    <n v="86.4"/>
    <n v="96"/>
    <s v="Cash"/>
    <s v="Normal"/>
    <s v="Good"/>
  </r>
  <r>
    <n v="810"/>
    <n v="48"/>
    <x v="0"/>
    <x v="23"/>
    <x v="1"/>
    <n v="81"/>
    <x v="36"/>
    <x v="2"/>
    <s v="Violet"/>
    <x v="3"/>
    <n v="4.9000000000000004"/>
    <s v="Yes"/>
    <x v="2"/>
    <s v="Yes"/>
    <n v="30"/>
    <x v="3"/>
    <s v="Bi-Weekly"/>
    <n v="0.1"/>
    <n v="72.900000000000006"/>
    <n v="81"/>
    <s v="PayPal"/>
    <s v="Normal"/>
    <s v="Good"/>
  </r>
  <r>
    <n v="811"/>
    <n v="52"/>
    <x v="0"/>
    <x v="18"/>
    <x v="3"/>
    <n v="83"/>
    <x v="45"/>
    <x v="1"/>
    <s v="Lavender"/>
    <x v="3"/>
    <n v="4.9000000000000004"/>
    <s v="Yes"/>
    <x v="5"/>
    <s v="Yes"/>
    <n v="32"/>
    <x v="5"/>
    <s v="Bi-Weekly"/>
    <n v="0.1"/>
    <n v="74.7"/>
    <n v="83"/>
    <s v="Debit Card"/>
    <s v="Normal"/>
    <s v="Good"/>
  </r>
  <r>
    <n v="812"/>
    <n v="18"/>
    <x v="0"/>
    <x v="4"/>
    <x v="1"/>
    <n v="35"/>
    <x v="26"/>
    <x v="2"/>
    <s v="Green"/>
    <x v="0"/>
    <n v="2.7"/>
    <s v="Yes"/>
    <x v="1"/>
    <s v="Yes"/>
    <n v="36"/>
    <x v="0"/>
    <s v="Quarterly"/>
    <n v="0.1"/>
    <n v="31.5"/>
    <n v="35"/>
    <s v="Venmo"/>
    <s v="Normal"/>
    <s v="Poor"/>
  </r>
  <r>
    <n v="813"/>
    <n v="64"/>
    <x v="0"/>
    <x v="23"/>
    <x v="1"/>
    <n v="56"/>
    <x v="29"/>
    <x v="2"/>
    <s v="Olive"/>
    <x v="2"/>
    <n v="3.2"/>
    <s v="Yes"/>
    <x v="3"/>
    <s v="Yes"/>
    <n v="32"/>
    <x v="2"/>
    <s v="Weekly"/>
    <n v="0.1"/>
    <n v="50.4"/>
    <n v="56"/>
    <s v="Credit Card"/>
    <s v="Normal"/>
    <s v="Good"/>
  </r>
  <r>
    <n v="814"/>
    <n v="54"/>
    <x v="0"/>
    <x v="8"/>
    <x v="3"/>
    <n v="45"/>
    <x v="6"/>
    <x v="1"/>
    <s v="Olive"/>
    <x v="2"/>
    <n v="2.9"/>
    <s v="Yes"/>
    <x v="5"/>
    <s v="Yes"/>
    <n v="14"/>
    <x v="5"/>
    <s v="Annually"/>
    <n v="0.1"/>
    <n v="40.5"/>
    <n v="45"/>
    <s v="Debit Card"/>
    <s v="Normal"/>
    <s v="Poor"/>
  </r>
  <r>
    <n v="815"/>
    <n v="31"/>
    <x v="0"/>
    <x v="5"/>
    <x v="0"/>
    <n v="62"/>
    <x v="46"/>
    <x v="2"/>
    <s v="Pink"/>
    <x v="0"/>
    <n v="3.8"/>
    <s v="Yes"/>
    <x v="0"/>
    <s v="Yes"/>
    <n v="8"/>
    <x v="3"/>
    <s v="Monthly"/>
    <n v="0.1"/>
    <n v="55.8"/>
    <n v="62"/>
    <s v="PayPal"/>
    <s v="Normal"/>
    <s v="Good"/>
  </r>
  <r>
    <n v="816"/>
    <n v="30"/>
    <x v="0"/>
    <x v="19"/>
    <x v="3"/>
    <n v="84"/>
    <x v="8"/>
    <x v="0"/>
    <s v="Teal"/>
    <x v="1"/>
    <n v="3"/>
    <s v="Yes"/>
    <x v="2"/>
    <s v="Yes"/>
    <n v="27"/>
    <x v="0"/>
    <s v="Bi-Weekly"/>
    <n v="0.1"/>
    <n v="75.599999999999994"/>
    <n v="84"/>
    <s v="Venmo"/>
    <s v="Normal"/>
    <s v="Good"/>
  </r>
  <r>
    <n v="817"/>
    <n v="26"/>
    <x v="0"/>
    <x v="1"/>
    <x v="0"/>
    <n v="24"/>
    <x v="26"/>
    <x v="0"/>
    <s v="Cyan"/>
    <x v="2"/>
    <n v="3.9"/>
    <s v="Yes"/>
    <x v="5"/>
    <s v="Yes"/>
    <n v="24"/>
    <x v="5"/>
    <s v="Monthly"/>
    <n v="0.1"/>
    <n v="21.6"/>
    <n v="24"/>
    <s v="Debit Card"/>
    <s v="Normal"/>
    <s v="Good"/>
  </r>
  <r>
    <n v="818"/>
    <n v="25"/>
    <x v="0"/>
    <x v="8"/>
    <x v="3"/>
    <n v="21"/>
    <x v="22"/>
    <x v="1"/>
    <s v="Gray"/>
    <x v="1"/>
    <n v="4.7"/>
    <s v="Yes"/>
    <x v="5"/>
    <s v="Yes"/>
    <n v="30"/>
    <x v="3"/>
    <s v="Fortnightly"/>
    <n v="0.1"/>
    <n v="18.899999999999999"/>
    <n v="21"/>
    <s v="PayPal"/>
    <s v="Normal"/>
    <s v="Good"/>
  </r>
  <r>
    <n v="819"/>
    <n v="59"/>
    <x v="0"/>
    <x v="5"/>
    <x v="0"/>
    <n v="91"/>
    <x v="37"/>
    <x v="2"/>
    <s v="Peach"/>
    <x v="0"/>
    <n v="4.9000000000000004"/>
    <s v="Yes"/>
    <x v="5"/>
    <s v="Yes"/>
    <n v="34"/>
    <x v="5"/>
    <s v="Monthly"/>
    <n v="0.1"/>
    <n v="81.900000000000006"/>
    <n v="91"/>
    <s v="Debit Card"/>
    <s v="Normal"/>
    <s v="Good"/>
  </r>
  <r>
    <n v="820"/>
    <n v="55"/>
    <x v="0"/>
    <x v="12"/>
    <x v="3"/>
    <n v="36"/>
    <x v="24"/>
    <x v="1"/>
    <s v="Teal"/>
    <x v="0"/>
    <n v="4.8"/>
    <s v="Yes"/>
    <x v="2"/>
    <s v="Yes"/>
    <n v="28"/>
    <x v="5"/>
    <s v="Quarterly"/>
    <n v="0.1"/>
    <n v="32.4"/>
    <n v="36"/>
    <s v="Debit Card"/>
    <s v="Normal"/>
    <s v="Good"/>
  </r>
  <r>
    <n v="821"/>
    <n v="56"/>
    <x v="0"/>
    <x v="4"/>
    <x v="1"/>
    <n v="39"/>
    <x v="7"/>
    <x v="2"/>
    <s v="Turquoise"/>
    <x v="1"/>
    <n v="2.5"/>
    <s v="Yes"/>
    <x v="4"/>
    <s v="Yes"/>
    <n v="27"/>
    <x v="5"/>
    <s v="Monthly"/>
    <n v="0.1"/>
    <n v="35.1"/>
    <n v="39"/>
    <s v="Debit Card"/>
    <s v="Normal"/>
    <s v="Poor"/>
  </r>
  <r>
    <n v="822"/>
    <n v="62"/>
    <x v="0"/>
    <x v="15"/>
    <x v="0"/>
    <n v="39"/>
    <x v="34"/>
    <x v="2"/>
    <s v="Green"/>
    <x v="1"/>
    <n v="3.9"/>
    <s v="Yes"/>
    <x v="3"/>
    <s v="Yes"/>
    <n v="31"/>
    <x v="2"/>
    <s v="Bi-Weekly"/>
    <n v="0.1"/>
    <n v="35.1"/>
    <n v="39"/>
    <s v="Credit Card"/>
    <s v="Normal"/>
    <s v="Good"/>
  </r>
  <r>
    <n v="823"/>
    <n v="35"/>
    <x v="0"/>
    <x v="5"/>
    <x v="0"/>
    <n v="59"/>
    <x v="16"/>
    <x v="0"/>
    <s v="Magenta"/>
    <x v="0"/>
    <n v="3.4"/>
    <s v="Yes"/>
    <x v="3"/>
    <s v="Yes"/>
    <n v="23"/>
    <x v="4"/>
    <s v="Annually"/>
    <n v="0.1"/>
    <n v="53.1"/>
    <n v="59"/>
    <s v="Bank Transfer"/>
    <s v="Normal"/>
    <s v="Good"/>
  </r>
  <r>
    <n v="824"/>
    <n v="51"/>
    <x v="0"/>
    <x v="12"/>
    <x v="3"/>
    <n v="27"/>
    <x v="42"/>
    <x v="2"/>
    <s v="Green"/>
    <x v="0"/>
    <n v="2.5"/>
    <s v="Yes"/>
    <x v="1"/>
    <s v="Yes"/>
    <n v="11"/>
    <x v="2"/>
    <s v="Quarterly"/>
    <n v="0.1"/>
    <n v="24.3"/>
    <n v="27"/>
    <s v="Credit Card"/>
    <s v="Normal"/>
    <s v="Poor"/>
  </r>
  <r>
    <n v="825"/>
    <n v="61"/>
    <x v="0"/>
    <x v="0"/>
    <x v="0"/>
    <n v="94"/>
    <x v="42"/>
    <x v="2"/>
    <s v="White"/>
    <x v="1"/>
    <n v="3"/>
    <s v="Yes"/>
    <x v="5"/>
    <s v="Yes"/>
    <n v="48"/>
    <x v="1"/>
    <s v="Quarterly"/>
    <n v="0.1"/>
    <n v="84.6"/>
    <n v="94"/>
    <s v="Cash"/>
    <s v="Normal"/>
    <s v="Good"/>
  </r>
  <r>
    <n v="826"/>
    <n v="27"/>
    <x v="0"/>
    <x v="22"/>
    <x v="3"/>
    <n v="94"/>
    <x v="43"/>
    <x v="3"/>
    <s v="Brown"/>
    <x v="3"/>
    <n v="3.6"/>
    <s v="Yes"/>
    <x v="2"/>
    <s v="Yes"/>
    <n v="17"/>
    <x v="1"/>
    <s v="Monthly"/>
    <n v="0.1"/>
    <n v="84.6"/>
    <n v="94"/>
    <s v="Cash"/>
    <s v="Normal"/>
    <s v="Good"/>
  </r>
  <r>
    <n v="827"/>
    <n v="54"/>
    <x v="0"/>
    <x v="10"/>
    <x v="0"/>
    <n v="94"/>
    <x v="2"/>
    <x v="2"/>
    <s v="Purple"/>
    <x v="0"/>
    <n v="3.6"/>
    <s v="Yes"/>
    <x v="3"/>
    <s v="Yes"/>
    <n v="36"/>
    <x v="3"/>
    <s v="Weekly"/>
    <n v="0.1"/>
    <n v="84.6"/>
    <n v="94"/>
    <s v="PayPal"/>
    <s v="Normal"/>
    <s v="Good"/>
  </r>
  <r>
    <n v="828"/>
    <n v="31"/>
    <x v="0"/>
    <x v="9"/>
    <x v="1"/>
    <n v="51"/>
    <x v="24"/>
    <x v="1"/>
    <s v="Green"/>
    <x v="3"/>
    <n v="4.0999999999999996"/>
    <s v="Yes"/>
    <x v="1"/>
    <s v="Yes"/>
    <n v="33"/>
    <x v="4"/>
    <s v="Fortnightly"/>
    <n v="0.1"/>
    <n v="45.9"/>
    <n v="51"/>
    <s v="Bank Transfer"/>
    <s v="Normal"/>
    <s v="Good"/>
  </r>
  <r>
    <n v="829"/>
    <n v="24"/>
    <x v="0"/>
    <x v="20"/>
    <x v="0"/>
    <n v="62"/>
    <x v="22"/>
    <x v="2"/>
    <s v="Peach"/>
    <x v="3"/>
    <n v="3.7"/>
    <s v="Yes"/>
    <x v="4"/>
    <s v="Yes"/>
    <n v="27"/>
    <x v="3"/>
    <s v="Bi-Weekly"/>
    <n v="0.1"/>
    <n v="55.8"/>
    <n v="62"/>
    <s v="PayPal"/>
    <s v="Normal"/>
    <s v="Good"/>
  </r>
  <r>
    <n v="830"/>
    <n v="42"/>
    <x v="0"/>
    <x v="20"/>
    <x v="0"/>
    <n v="57"/>
    <x v="37"/>
    <x v="1"/>
    <s v="Silver"/>
    <x v="1"/>
    <n v="1"/>
    <s v="Yes"/>
    <x v="4"/>
    <s v="Yes"/>
    <n v="14"/>
    <x v="2"/>
    <s v="Fortnightly"/>
    <n v="0.1"/>
    <n v="51.3"/>
    <n v="57"/>
    <s v="Credit Card"/>
    <s v="Normal"/>
    <s v="Poor"/>
  </r>
  <r>
    <n v="831"/>
    <n v="41"/>
    <x v="0"/>
    <x v="6"/>
    <x v="0"/>
    <n v="76"/>
    <x v="5"/>
    <x v="2"/>
    <s v="Maroon"/>
    <x v="3"/>
    <n v="4.2"/>
    <s v="Yes"/>
    <x v="0"/>
    <s v="Yes"/>
    <n v="5"/>
    <x v="2"/>
    <s v="Annually"/>
    <n v="0.1"/>
    <n v="68.400000000000006"/>
    <n v="76"/>
    <s v="Credit Card"/>
    <s v="Normal"/>
    <s v="Good"/>
  </r>
  <r>
    <n v="832"/>
    <n v="66"/>
    <x v="0"/>
    <x v="24"/>
    <x v="3"/>
    <n v="63"/>
    <x v="47"/>
    <x v="2"/>
    <s v="Red"/>
    <x v="2"/>
    <n v="4.3"/>
    <s v="Yes"/>
    <x v="0"/>
    <s v="Yes"/>
    <n v="47"/>
    <x v="1"/>
    <s v="Every 3 Months"/>
    <n v="0.1"/>
    <n v="56.7"/>
    <n v="63"/>
    <s v="Cash"/>
    <s v="Normal"/>
    <s v="Good"/>
  </r>
  <r>
    <n v="833"/>
    <n v="58"/>
    <x v="0"/>
    <x v="14"/>
    <x v="2"/>
    <n v="80"/>
    <x v="18"/>
    <x v="0"/>
    <s v="Blue"/>
    <x v="3"/>
    <n v="2.5"/>
    <s v="Yes"/>
    <x v="0"/>
    <s v="Yes"/>
    <n v="28"/>
    <x v="1"/>
    <s v="Bi-Weekly"/>
    <n v="0.1"/>
    <n v="72"/>
    <n v="80"/>
    <s v="Cash"/>
    <s v="Normal"/>
    <s v="Poor"/>
  </r>
  <r>
    <n v="834"/>
    <n v="43"/>
    <x v="0"/>
    <x v="8"/>
    <x v="3"/>
    <n v="68"/>
    <x v="19"/>
    <x v="2"/>
    <s v="Purple"/>
    <x v="3"/>
    <n v="3.5"/>
    <s v="Yes"/>
    <x v="3"/>
    <s v="Yes"/>
    <n v="11"/>
    <x v="2"/>
    <s v="Annually"/>
    <n v="0.1"/>
    <n v="61.2"/>
    <n v="68"/>
    <s v="Credit Card"/>
    <s v="Normal"/>
    <s v="Good"/>
  </r>
  <r>
    <n v="835"/>
    <n v="52"/>
    <x v="0"/>
    <x v="21"/>
    <x v="3"/>
    <n v="89"/>
    <x v="22"/>
    <x v="2"/>
    <s v="Indigo"/>
    <x v="2"/>
    <n v="3.1"/>
    <s v="Yes"/>
    <x v="1"/>
    <s v="Yes"/>
    <n v="18"/>
    <x v="2"/>
    <s v="Weekly"/>
    <n v="0.1"/>
    <n v="80.099999999999994"/>
    <n v="89"/>
    <s v="Credit Card"/>
    <s v="Normal"/>
    <s v="Good"/>
  </r>
  <r>
    <n v="836"/>
    <n v="35"/>
    <x v="0"/>
    <x v="23"/>
    <x v="1"/>
    <n v="26"/>
    <x v="33"/>
    <x v="0"/>
    <s v="Indigo"/>
    <x v="2"/>
    <n v="2.5"/>
    <s v="Yes"/>
    <x v="2"/>
    <s v="Yes"/>
    <n v="21"/>
    <x v="5"/>
    <s v="Weekly"/>
    <n v="0.1"/>
    <n v="23.4"/>
    <n v="26"/>
    <s v="Debit Card"/>
    <s v="Normal"/>
    <s v="Poor"/>
  </r>
  <r>
    <n v="837"/>
    <n v="23"/>
    <x v="0"/>
    <x v="24"/>
    <x v="3"/>
    <n v="90"/>
    <x v="8"/>
    <x v="0"/>
    <s v="Violet"/>
    <x v="0"/>
    <n v="3.9"/>
    <s v="Yes"/>
    <x v="5"/>
    <s v="Yes"/>
    <n v="22"/>
    <x v="1"/>
    <s v="Bi-Weekly"/>
    <n v="0.1"/>
    <n v="81"/>
    <n v="90"/>
    <s v="Cash"/>
    <s v="Normal"/>
    <s v="Good"/>
  </r>
  <r>
    <n v="838"/>
    <n v="25"/>
    <x v="0"/>
    <x v="15"/>
    <x v="0"/>
    <n v="28"/>
    <x v="26"/>
    <x v="0"/>
    <s v="Brown"/>
    <x v="1"/>
    <n v="4.9000000000000004"/>
    <s v="Yes"/>
    <x v="0"/>
    <s v="Yes"/>
    <n v="33"/>
    <x v="1"/>
    <s v="Every 3 Months"/>
    <n v="0.1"/>
    <n v="25.2"/>
    <n v="28"/>
    <s v="Cash"/>
    <s v="Normal"/>
    <s v="Good"/>
  </r>
  <r>
    <n v="839"/>
    <n v="33"/>
    <x v="0"/>
    <x v="7"/>
    <x v="2"/>
    <n v="29"/>
    <x v="0"/>
    <x v="2"/>
    <s v="Gray"/>
    <x v="1"/>
    <n v="4.3"/>
    <s v="Yes"/>
    <x v="0"/>
    <s v="Yes"/>
    <n v="49"/>
    <x v="2"/>
    <s v="Annually"/>
    <n v="0.1"/>
    <n v="26.1"/>
    <n v="29"/>
    <s v="Credit Card"/>
    <s v="Normal"/>
    <s v="Good"/>
  </r>
  <r>
    <n v="840"/>
    <n v="48"/>
    <x v="0"/>
    <x v="5"/>
    <x v="0"/>
    <n v="31"/>
    <x v="26"/>
    <x v="0"/>
    <s v="Teal"/>
    <x v="1"/>
    <n v="2.6"/>
    <s v="Yes"/>
    <x v="1"/>
    <s v="Yes"/>
    <n v="10"/>
    <x v="5"/>
    <s v="Every 3 Months"/>
    <n v="0.1"/>
    <n v="27.9"/>
    <n v="31"/>
    <s v="Debit Card"/>
    <s v="Normal"/>
    <s v="Poor"/>
  </r>
  <r>
    <n v="841"/>
    <n v="42"/>
    <x v="0"/>
    <x v="5"/>
    <x v="0"/>
    <n v="24"/>
    <x v="15"/>
    <x v="0"/>
    <s v="Teal"/>
    <x v="2"/>
    <n v="4.2"/>
    <s v="Yes"/>
    <x v="4"/>
    <s v="Yes"/>
    <n v="18"/>
    <x v="3"/>
    <s v="Weekly"/>
    <n v="0.1"/>
    <n v="21.6"/>
    <n v="24"/>
    <s v="PayPal"/>
    <s v="Normal"/>
    <s v="Good"/>
  </r>
  <r>
    <n v="842"/>
    <n v="55"/>
    <x v="0"/>
    <x v="1"/>
    <x v="0"/>
    <n v="88"/>
    <x v="21"/>
    <x v="2"/>
    <s v="Beige"/>
    <x v="2"/>
    <n v="2.6"/>
    <s v="Yes"/>
    <x v="5"/>
    <s v="Yes"/>
    <n v="28"/>
    <x v="3"/>
    <s v="Fortnightly"/>
    <n v="0.1"/>
    <n v="79.2"/>
    <n v="88"/>
    <s v="PayPal"/>
    <s v="Normal"/>
    <s v="Poor"/>
  </r>
  <r>
    <n v="843"/>
    <n v="59"/>
    <x v="0"/>
    <x v="5"/>
    <x v="0"/>
    <n v="87"/>
    <x v="9"/>
    <x v="2"/>
    <s v="Violet"/>
    <x v="1"/>
    <n v="3.6"/>
    <s v="Yes"/>
    <x v="0"/>
    <s v="Yes"/>
    <n v="25"/>
    <x v="3"/>
    <s v="Weekly"/>
    <n v="0.1"/>
    <n v="78.3"/>
    <n v="87"/>
    <s v="PayPal"/>
    <s v="Normal"/>
    <s v="Good"/>
  </r>
  <r>
    <n v="844"/>
    <n v="65"/>
    <x v="0"/>
    <x v="15"/>
    <x v="0"/>
    <n v="80"/>
    <x v="38"/>
    <x v="1"/>
    <s v="Beige"/>
    <x v="2"/>
    <n v="3.2"/>
    <s v="Yes"/>
    <x v="0"/>
    <s v="Yes"/>
    <n v="6"/>
    <x v="3"/>
    <s v="Weekly"/>
    <n v="0.1"/>
    <n v="72"/>
    <n v="80"/>
    <s v="PayPal"/>
    <s v="Normal"/>
    <s v="Good"/>
  </r>
  <r>
    <n v="845"/>
    <n v="59"/>
    <x v="0"/>
    <x v="3"/>
    <x v="1"/>
    <n v="48"/>
    <x v="9"/>
    <x v="0"/>
    <s v="Purple"/>
    <x v="0"/>
    <n v="4.4000000000000004"/>
    <s v="Yes"/>
    <x v="0"/>
    <s v="Yes"/>
    <n v="44"/>
    <x v="0"/>
    <s v="Bi-Weekly"/>
    <n v="0.1"/>
    <n v="43.2"/>
    <n v="48"/>
    <s v="Venmo"/>
    <s v="Normal"/>
    <s v="Good"/>
  </r>
  <r>
    <n v="846"/>
    <n v="31"/>
    <x v="0"/>
    <x v="22"/>
    <x v="3"/>
    <n v="21"/>
    <x v="49"/>
    <x v="3"/>
    <s v="Charcoal"/>
    <x v="0"/>
    <n v="3.7"/>
    <s v="Yes"/>
    <x v="3"/>
    <s v="Yes"/>
    <n v="30"/>
    <x v="0"/>
    <s v="Monthly"/>
    <n v="0.1"/>
    <n v="18.899999999999999"/>
    <n v="21"/>
    <s v="Venmo"/>
    <s v="Normal"/>
    <s v="Good"/>
  </r>
  <r>
    <n v="847"/>
    <n v="49"/>
    <x v="0"/>
    <x v="23"/>
    <x v="1"/>
    <n v="72"/>
    <x v="0"/>
    <x v="2"/>
    <s v="Pink"/>
    <x v="1"/>
    <n v="3.7"/>
    <s v="Yes"/>
    <x v="0"/>
    <s v="Yes"/>
    <n v="42"/>
    <x v="5"/>
    <s v="Quarterly"/>
    <n v="0.1"/>
    <n v="64.8"/>
    <n v="72"/>
    <s v="Debit Card"/>
    <s v="Normal"/>
    <s v="Good"/>
  </r>
  <r>
    <n v="848"/>
    <n v="53"/>
    <x v="0"/>
    <x v="15"/>
    <x v="0"/>
    <n v="44"/>
    <x v="32"/>
    <x v="0"/>
    <s v="Blue"/>
    <x v="3"/>
    <n v="4.0999999999999996"/>
    <s v="Yes"/>
    <x v="3"/>
    <s v="Yes"/>
    <n v="30"/>
    <x v="3"/>
    <s v="Monthly"/>
    <n v="0.1"/>
    <n v="39.6"/>
    <n v="44"/>
    <s v="PayPal"/>
    <s v="Normal"/>
    <s v="Good"/>
  </r>
  <r>
    <n v="849"/>
    <n v="48"/>
    <x v="0"/>
    <x v="3"/>
    <x v="1"/>
    <n v="73"/>
    <x v="12"/>
    <x v="2"/>
    <s v="Lavender"/>
    <x v="3"/>
    <n v="3.6"/>
    <s v="Yes"/>
    <x v="5"/>
    <s v="Yes"/>
    <n v="33"/>
    <x v="2"/>
    <s v="Bi-Weekly"/>
    <n v="0.1"/>
    <n v="65.7"/>
    <n v="73"/>
    <s v="Credit Card"/>
    <s v="Normal"/>
    <s v="Good"/>
  </r>
  <r>
    <n v="850"/>
    <n v="23"/>
    <x v="0"/>
    <x v="2"/>
    <x v="0"/>
    <n v="61"/>
    <x v="9"/>
    <x v="1"/>
    <s v="Charcoal"/>
    <x v="1"/>
    <n v="4.3"/>
    <s v="Yes"/>
    <x v="0"/>
    <s v="Yes"/>
    <n v="24"/>
    <x v="3"/>
    <s v="Quarterly"/>
    <n v="0.1"/>
    <n v="54.9"/>
    <n v="61"/>
    <s v="PayPal"/>
    <s v="Normal"/>
    <s v="Good"/>
  </r>
  <r>
    <n v="851"/>
    <n v="68"/>
    <x v="0"/>
    <x v="9"/>
    <x v="1"/>
    <n v="20"/>
    <x v="39"/>
    <x v="0"/>
    <s v="Turquoise"/>
    <x v="0"/>
    <n v="2.6"/>
    <s v="Yes"/>
    <x v="5"/>
    <s v="Yes"/>
    <n v="13"/>
    <x v="0"/>
    <s v="Monthly"/>
    <n v="0.1"/>
    <n v="18"/>
    <n v="20"/>
    <s v="Venmo"/>
    <s v="Normal"/>
    <s v="Poor"/>
  </r>
  <r>
    <n v="852"/>
    <n v="35"/>
    <x v="0"/>
    <x v="3"/>
    <x v="1"/>
    <n v="86"/>
    <x v="2"/>
    <x v="2"/>
    <s v="Red"/>
    <x v="2"/>
    <n v="2.9"/>
    <s v="Yes"/>
    <x v="0"/>
    <s v="Yes"/>
    <n v="19"/>
    <x v="5"/>
    <s v="Monthly"/>
    <n v="0.1"/>
    <n v="77.400000000000006"/>
    <n v="86"/>
    <s v="Debit Card"/>
    <s v="Normal"/>
    <s v="Poor"/>
  </r>
  <r>
    <n v="853"/>
    <n v="34"/>
    <x v="0"/>
    <x v="10"/>
    <x v="0"/>
    <n v="60"/>
    <x v="20"/>
    <x v="0"/>
    <s v="Yellow"/>
    <x v="1"/>
    <n v="4.2"/>
    <s v="Yes"/>
    <x v="2"/>
    <s v="Yes"/>
    <n v="23"/>
    <x v="5"/>
    <s v="Every 3 Months"/>
    <n v="0.1"/>
    <n v="54"/>
    <n v="60"/>
    <s v="Debit Card"/>
    <s v="Normal"/>
    <s v="Good"/>
  </r>
  <r>
    <n v="854"/>
    <n v="62"/>
    <x v="0"/>
    <x v="19"/>
    <x v="3"/>
    <n v="43"/>
    <x v="12"/>
    <x v="0"/>
    <s v="Orange"/>
    <x v="0"/>
    <n v="4"/>
    <s v="Yes"/>
    <x v="1"/>
    <s v="Yes"/>
    <n v="35"/>
    <x v="1"/>
    <s v="Monthly"/>
    <n v="0.1"/>
    <n v="38.700000000000003"/>
    <n v="43"/>
    <s v="Cash"/>
    <s v="Normal"/>
    <s v="Good"/>
  </r>
  <r>
    <n v="855"/>
    <n v="21"/>
    <x v="0"/>
    <x v="13"/>
    <x v="0"/>
    <n v="44"/>
    <x v="18"/>
    <x v="0"/>
    <s v="Blue"/>
    <x v="1"/>
    <n v="4.3"/>
    <s v="Yes"/>
    <x v="1"/>
    <s v="Yes"/>
    <n v="22"/>
    <x v="0"/>
    <s v="Monthly"/>
    <n v="0.1"/>
    <n v="39.6"/>
    <n v="44"/>
    <s v="Venmo"/>
    <s v="Normal"/>
    <s v="Good"/>
  </r>
  <r>
    <n v="856"/>
    <n v="70"/>
    <x v="0"/>
    <x v="20"/>
    <x v="0"/>
    <n v="76"/>
    <x v="4"/>
    <x v="0"/>
    <s v="Gold"/>
    <x v="1"/>
    <n v="3"/>
    <s v="Yes"/>
    <x v="4"/>
    <s v="Yes"/>
    <n v="14"/>
    <x v="2"/>
    <s v="Quarterly"/>
    <n v="0.1"/>
    <n v="68.400000000000006"/>
    <n v="76"/>
    <s v="Credit Card"/>
    <s v="Normal"/>
    <s v="Good"/>
  </r>
  <r>
    <n v="857"/>
    <n v="55"/>
    <x v="0"/>
    <x v="5"/>
    <x v="0"/>
    <n v="33"/>
    <x v="29"/>
    <x v="2"/>
    <s v="Gold"/>
    <x v="2"/>
    <n v="3.5"/>
    <s v="Yes"/>
    <x v="0"/>
    <s v="Yes"/>
    <n v="47"/>
    <x v="5"/>
    <s v="Fortnightly"/>
    <n v="0.1"/>
    <n v="29.7"/>
    <n v="33"/>
    <s v="Debit Card"/>
    <s v="Normal"/>
    <s v="Good"/>
  </r>
  <r>
    <n v="858"/>
    <n v="43"/>
    <x v="0"/>
    <x v="6"/>
    <x v="0"/>
    <n v="60"/>
    <x v="9"/>
    <x v="0"/>
    <s v="Cyan"/>
    <x v="3"/>
    <n v="3"/>
    <s v="Yes"/>
    <x v="3"/>
    <s v="Yes"/>
    <n v="50"/>
    <x v="5"/>
    <s v="Every 3 Months"/>
    <n v="0.1"/>
    <n v="54"/>
    <n v="60"/>
    <s v="Debit Card"/>
    <s v="Normal"/>
    <s v="Good"/>
  </r>
  <r>
    <n v="859"/>
    <n v="19"/>
    <x v="0"/>
    <x v="14"/>
    <x v="2"/>
    <n v="26"/>
    <x v="19"/>
    <x v="0"/>
    <s v="Olive"/>
    <x v="3"/>
    <n v="3.1"/>
    <s v="Yes"/>
    <x v="1"/>
    <s v="Yes"/>
    <n v="33"/>
    <x v="3"/>
    <s v="Weekly"/>
    <n v="0.1"/>
    <n v="23.4"/>
    <n v="26"/>
    <s v="PayPal"/>
    <s v="Normal"/>
    <s v="Good"/>
  </r>
  <r>
    <n v="860"/>
    <n v="47"/>
    <x v="0"/>
    <x v="15"/>
    <x v="0"/>
    <n v="73"/>
    <x v="48"/>
    <x v="2"/>
    <s v="Teal"/>
    <x v="0"/>
    <n v="4"/>
    <s v="Yes"/>
    <x v="2"/>
    <s v="Yes"/>
    <n v="7"/>
    <x v="5"/>
    <s v="Monthly"/>
    <n v="0.1"/>
    <n v="65.7"/>
    <n v="73"/>
    <s v="Debit Card"/>
    <s v="Normal"/>
    <s v="Good"/>
  </r>
  <r>
    <n v="861"/>
    <n v="26"/>
    <x v="0"/>
    <x v="9"/>
    <x v="1"/>
    <n v="87"/>
    <x v="36"/>
    <x v="2"/>
    <s v="Maroon"/>
    <x v="1"/>
    <n v="4.0999999999999996"/>
    <s v="Yes"/>
    <x v="3"/>
    <s v="Yes"/>
    <n v="3"/>
    <x v="1"/>
    <s v="Monthly"/>
    <n v="0.1"/>
    <n v="78.3"/>
    <n v="87"/>
    <s v="Cash"/>
    <s v="Normal"/>
    <s v="Good"/>
  </r>
  <r>
    <n v="862"/>
    <n v="46"/>
    <x v="0"/>
    <x v="11"/>
    <x v="0"/>
    <n v="100"/>
    <x v="41"/>
    <x v="3"/>
    <s v="Green"/>
    <x v="1"/>
    <n v="1"/>
    <s v="Yes"/>
    <x v="4"/>
    <s v="Yes"/>
    <n v="35"/>
    <x v="2"/>
    <s v="Every 3 Months"/>
    <n v="0.1"/>
    <n v="90"/>
    <n v="100"/>
    <s v="Credit Card"/>
    <s v="Normal"/>
    <s v="Poor"/>
  </r>
  <r>
    <n v="863"/>
    <n v="19"/>
    <x v="0"/>
    <x v="7"/>
    <x v="2"/>
    <n v="84"/>
    <x v="10"/>
    <x v="2"/>
    <s v="Charcoal"/>
    <x v="0"/>
    <n v="4.9000000000000004"/>
    <s v="Yes"/>
    <x v="3"/>
    <s v="Yes"/>
    <n v="13"/>
    <x v="3"/>
    <s v="Fortnightly"/>
    <n v="0.1"/>
    <n v="75.599999999999994"/>
    <n v="84"/>
    <s v="PayPal"/>
    <s v="Normal"/>
    <s v="Good"/>
  </r>
  <r>
    <n v="864"/>
    <n v="49"/>
    <x v="0"/>
    <x v="4"/>
    <x v="1"/>
    <n v="41"/>
    <x v="34"/>
    <x v="2"/>
    <s v="Cyan"/>
    <x v="2"/>
    <n v="3.9"/>
    <s v="Yes"/>
    <x v="3"/>
    <s v="Yes"/>
    <n v="42"/>
    <x v="3"/>
    <s v="Fortnightly"/>
    <n v="0.1"/>
    <n v="36.9"/>
    <n v="41"/>
    <s v="PayPal"/>
    <s v="Normal"/>
    <s v="Good"/>
  </r>
  <r>
    <n v="865"/>
    <n v="51"/>
    <x v="0"/>
    <x v="2"/>
    <x v="0"/>
    <n v="59"/>
    <x v="0"/>
    <x v="1"/>
    <s v="Charcoal"/>
    <x v="0"/>
    <n v="3.9"/>
    <s v="Yes"/>
    <x v="2"/>
    <s v="Yes"/>
    <n v="5"/>
    <x v="3"/>
    <s v="Annually"/>
    <n v="0.1"/>
    <n v="53.1"/>
    <n v="59"/>
    <s v="PayPal"/>
    <s v="Normal"/>
    <s v="Good"/>
  </r>
  <r>
    <n v="866"/>
    <n v="64"/>
    <x v="0"/>
    <x v="0"/>
    <x v="0"/>
    <n v="26"/>
    <x v="24"/>
    <x v="0"/>
    <s v="Charcoal"/>
    <x v="0"/>
    <n v="4.8"/>
    <s v="Yes"/>
    <x v="5"/>
    <s v="Yes"/>
    <n v="23"/>
    <x v="0"/>
    <s v="Annually"/>
    <n v="0.1"/>
    <n v="23.4"/>
    <n v="26"/>
    <s v="Venmo"/>
    <s v="Normal"/>
    <s v="Good"/>
  </r>
  <r>
    <n v="867"/>
    <n v="67"/>
    <x v="0"/>
    <x v="12"/>
    <x v="3"/>
    <n v="69"/>
    <x v="35"/>
    <x v="2"/>
    <s v="Lavender"/>
    <x v="2"/>
    <n v="2.7"/>
    <s v="Yes"/>
    <x v="1"/>
    <s v="Yes"/>
    <n v="11"/>
    <x v="3"/>
    <s v="Bi-Weekly"/>
    <n v="0.1"/>
    <n v="62.1"/>
    <n v="69"/>
    <s v="PayPal"/>
    <s v="Normal"/>
    <s v="Poor"/>
  </r>
  <r>
    <n v="868"/>
    <n v="37"/>
    <x v="0"/>
    <x v="14"/>
    <x v="2"/>
    <n v="20"/>
    <x v="24"/>
    <x v="2"/>
    <s v="Turquoise"/>
    <x v="1"/>
    <n v="3.1"/>
    <s v="Yes"/>
    <x v="1"/>
    <s v="Yes"/>
    <n v="23"/>
    <x v="4"/>
    <s v="Fortnightly"/>
    <n v="0.1"/>
    <n v="18"/>
    <n v="20"/>
    <s v="Bank Transfer"/>
    <s v="Normal"/>
    <s v="Good"/>
  </r>
  <r>
    <n v="869"/>
    <n v="40"/>
    <x v="0"/>
    <x v="10"/>
    <x v="0"/>
    <n v="83"/>
    <x v="17"/>
    <x v="2"/>
    <s v="Green"/>
    <x v="2"/>
    <n v="3.2"/>
    <s v="Yes"/>
    <x v="2"/>
    <s v="Yes"/>
    <n v="2"/>
    <x v="2"/>
    <s v="Every 3 Months"/>
    <n v="0.1"/>
    <n v="74.7"/>
    <n v="83"/>
    <s v="Credit Card"/>
    <s v="Normal"/>
    <s v="Good"/>
  </r>
  <r>
    <n v="870"/>
    <n v="38"/>
    <x v="0"/>
    <x v="19"/>
    <x v="3"/>
    <n v="54"/>
    <x v="13"/>
    <x v="2"/>
    <s v="Silver"/>
    <x v="1"/>
    <n v="2.7"/>
    <s v="Yes"/>
    <x v="4"/>
    <s v="Yes"/>
    <n v="33"/>
    <x v="3"/>
    <s v="Weekly"/>
    <n v="0.1"/>
    <n v="48.6"/>
    <n v="54"/>
    <s v="PayPal"/>
    <s v="Normal"/>
    <s v="Poor"/>
  </r>
  <r>
    <n v="871"/>
    <n v="66"/>
    <x v="0"/>
    <x v="15"/>
    <x v="0"/>
    <n v="66"/>
    <x v="8"/>
    <x v="2"/>
    <s v="Blue"/>
    <x v="3"/>
    <n v="2.5"/>
    <s v="Yes"/>
    <x v="3"/>
    <s v="Yes"/>
    <n v="6"/>
    <x v="4"/>
    <s v="Bi-Weekly"/>
    <n v="0.1"/>
    <n v="59.4"/>
    <n v="66"/>
    <s v="Bank Transfer"/>
    <s v="Normal"/>
    <s v="Poor"/>
  </r>
  <r>
    <n v="872"/>
    <n v="47"/>
    <x v="0"/>
    <x v="8"/>
    <x v="3"/>
    <n v="42"/>
    <x v="11"/>
    <x v="2"/>
    <s v="Charcoal"/>
    <x v="1"/>
    <n v="2.6"/>
    <s v="Yes"/>
    <x v="2"/>
    <s v="Yes"/>
    <n v="45"/>
    <x v="5"/>
    <s v="Quarterly"/>
    <n v="0.1"/>
    <n v="37.799999999999997"/>
    <n v="42"/>
    <s v="Debit Card"/>
    <s v="Normal"/>
    <s v="Poor"/>
  </r>
  <r>
    <n v="873"/>
    <n v="56"/>
    <x v="0"/>
    <x v="2"/>
    <x v="0"/>
    <n v="33"/>
    <x v="25"/>
    <x v="2"/>
    <s v="Pink"/>
    <x v="1"/>
    <n v="2.9"/>
    <s v="Yes"/>
    <x v="3"/>
    <s v="Yes"/>
    <n v="25"/>
    <x v="1"/>
    <s v="Quarterly"/>
    <n v="0.1"/>
    <n v="29.7"/>
    <n v="33"/>
    <s v="Cash"/>
    <s v="Normal"/>
    <s v="Poor"/>
  </r>
  <r>
    <n v="874"/>
    <n v="51"/>
    <x v="0"/>
    <x v="23"/>
    <x v="1"/>
    <n v="77"/>
    <x v="16"/>
    <x v="2"/>
    <s v="Pink"/>
    <x v="2"/>
    <n v="4.2"/>
    <s v="Yes"/>
    <x v="1"/>
    <s v="Yes"/>
    <n v="24"/>
    <x v="0"/>
    <s v="Quarterly"/>
    <n v="0.1"/>
    <n v="69.3"/>
    <n v="77"/>
    <s v="Venmo"/>
    <s v="Normal"/>
    <s v="Good"/>
  </r>
  <r>
    <n v="875"/>
    <n v="25"/>
    <x v="0"/>
    <x v="14"/>
    <x v="2"/>
    <n v="65"/>
    <x v="1"/>
    <x v="2"/>
    <s v="Magenta"/>
    <x v="3"/>
    <n v="4.4000000000000004"/>
    <s v="Yes"/>
    <x v="1"/>
    <s v="Yes"/>
    <n v="10"/>
    <x v="0"/>
    <s v="Every 3 Months"/>
    <n v="0.1"/>
    <n v="58.5"/>
    <n v="65"/>
    <s v="Venmo"/>
    <s v="Normal"/>
    <s v="Good"/>
  </r>
  <r>
    <n v="876"/>
    <n v="37"/>
    <x v="0"/>
    <x v="3"/>
    <x v="1"/>
    <n v="39"/>
    <x v="25"/>
    <x v="0"/>
    <s v="Gray"/>
    <x v="2"/>
    <n v="4.0999999999999996"/>
    <s v="Yes"/>
    <x v="1"/>
    <s v="Yes"/>
    <n v="7"/>
    <x v="4"/>
    <s v="Every 3 Months"/>
    <n v="0.1"/>
    <n v="35.1"/>
    <n v="39"/>
    <s v="Bank Transfer"/>
    <s v="Normal"/>
    <s v="Good"/>
  </r>
  <r>
    <n v="877"/>
    <n v="41"/>
    <x v="0"/>
    <x v="22"/>
    <x v="3"/>
    <n v="51"/>
    <x v="43"/>
    <x v="0"/>
    <s v="Gray"/>
    <x v="2"/>
    <n v="3.8"/>
    <s v="Yes"/>
    <x v="4"/>
    <s v="Yes"/>
    <n v="1"/>
    <x v="5"/>
    <s v="Weekly"/>
    <n v="0.1"/>
    <n v="45.9"/>
    <n v="51"/>
    <s v="Debit Card"/>
    <s v="Normal"/>
    <s v="Good"/>
  </r>
  <r>
    <n v="878"/>
    <n v="64"/>
    <x v="0"/>
    <x v="8"/>
    <x v="3"/>
    <n v="65"/>
    <x v="43"/>
    <x v="2"/>
    <s v="Orange"/>
    <x v="0"/>
    <n v="4.9000000000000004"/>
    <s v="Yes"/>
    <x v="2"/>
    <s v="Yes"/>
    <n v="45"/>
    <x v="0"/>
    <s v="Every 3 Months"/>
    <n v="0.1"/>
    <n v="58.5"/>
    <n v="65"/>
    <s v="Venmo"/>
    <s v="Normal"/>
    <s v="Good"/>
  </r>
  <r>
    <n v="879"/>
    <n v="23"/>
    <x v="0"/>
    <x v="12"/>
    <x v="3"/>
    <n v="89"/>
    <x v="30"/>
    <x v="1"/>
    <s v="Black"/>
    <x v="2"/>
    <n v="4.9000000000000004"/>
    <s v="Yes"/>
    <x v="0"/>
    <s v="Yes"/>
    <n v="37"/>
    <x v="5"/>
    <s v="Weekly"/>
    <n v="0.1"/>
    <n v="80.099999999999994"/>
    <n v="89"/>
    <s v="Debit Card"/>
    <s v="Normal"/>
    <s v="Good"/>
  </r>
  <r>
    <n v="880"/>
    <n v="62"/>
    <x v="0"/>
    <x v="11"/>
    <x v="0"/>
    <n v="76"/>
    <x v="5"/>
    <x v="1"/>
    <s v="Lavender"/>
    <x v="1"/>
    <n v="4.0999999999999996"/>
    <s v="Yes"/>
    <x v="1"/>
    <s v="Yes"/>
    <n v="14"/>
    <x v="3"/>
    <s v="Quarterly"/>
    <n v="0.1"/>
    <n v="68.400000000000006"/>
    <n v="76"/>
    <s v="PayPal"/>
    <s v="Normal"/>
    <s v="Good"/>
  </r>
  <r>
    <n v="881"/>
    <n v="39"/>
    <x v="0"/>
    <x v="21"/>
    <x v="3"/>
    <n v="75"/>
    <x v="22"/>
    <x v="0"/>
    <s v="Red"/>
    <x v="1"/>
    <n v="3.1"/>
    <s v="Yes"/>
    <x v="0"/>
    <s v="Yes"/>
    <n v="25"/>
    <x v="5"/>
    <s v="Monthly"/>
    <n v="0.1"/>
    <n v="67.5"/>
    <n v="75"/>
    <s v="Debit Card"/>
    <s v="Normal"/>
    <s v="Good"/>
  </r>
  <r>
    <n v="882"/>
    <n v="52"/>
    <x v="0"/>
    <x v="3"/>
    <x v="1"/>
    <n v="61"/>
    <x v="36"/>
    <x v="2"/>
    <s v="Silver"/>
    <x v="2"/>
    <n v="2.7"/>
    <s v="Yes"/>
    <x v="2"/>
    <s v="Yes"/>
    <n v="18"/>
    <x v="0"/>
    <s v="Annually"/>
    <n v="0.1"/>
    <n v="54.9"/>
    <n v="61"/>
    <s v="Venmo"/>
    <s v="Normal"/>
    <s v="Poor"/>
  </r>
  <r>
    <n v="883"/>
    <n v="50"/>
    <x v="0"/>
    <x v="23"/>
    <x v="1"/>
    <n v="35"/>
    <x v="41"/>
    <x v="2"/>
    <s v="Cyan"/>
    <x v="3"/>
    <n v="3.8"/>
    <s v="Yes"/>
    <x v="2"/>
    <s v="Yes"/>
    <n v="37"/>
    <x v="1"/>
    <s v="Every 3 Months"/>
    <n v="0.1"/>
    <n v="31.5"/>
    <n v="35"/>
    <s v="Cash"/>
    <s v="Normal"/>
    <s v="Good"/>
  </r>
  <r>
    <n v="884"/>
    <n v="28"/>
    <x v="0"/>
    <x v="4"/>
    <x v="1"/>
    <n v="37"/>
    <x v="38"/>
    <x v="1"/>
    <s v="Gold"/>
    <x v="3"/>
    <n v="4.3"/>
    <s v="Yes"/>
    <x v="1"/>
    <s v="Yes"/>
    <n v="30"/>
    <x v="4"/>
    <s v="Monthly"/>
    <n v="0.1"/>
    <n v="33.299999999999997"/>
    <n v="37"/>
    <s v="Bank Transfer"/>
    <s v="Normal"/>
    <s v="Good"/>
  </r>
  <r>
    <n v="885"/>
    <n v="67"/>
    <x v="0"/>
    <x v="11"/>
    <x v="0"/>
    <n v="91"/>
    <x v="11"/>
    <x v="0"/>
    <s v="Yellow"/>
    <x v="0"/>
    <n v="4.0999999999999996"/>
    <s v="Yes"/>
    <x v="0"/>
    <s v="Yes"/>
    <n v="34"/>
    <x v="4"/>
    <s v="Weekly"/>
    <n v="0.1"/>
    <n v="81.900000000000006"/>
    <n v="91"/>
    <s v="Bank Transfer"/>
    <s v="Normal"/>
    <s v="Good"/>
  </r>
  <r>
    <n v="886"/>
    <n v="41"/>
    <x v="0"/>
    <x v="10"/>
    <x v="0"/>
    <n v="99"/>
    <x v="31"/>
    <x v="0"/>
    <s v="Purple"/>
    <x v="3"/>
    <n v="4.4000000000000004"/>
    <s v="Yes"/>
    <x v="1"/>
    <s v="Yes"/>
    <n v="49"/>
    <x v="5"/>
    <s v="Every 3 Months"/>
    <n v="0.1"/>
    <n v="89.1"/>
    <n v="99"/>
    <s v="Debit Card"/>
    <s v="Normal"/>
    <s v="Good"/>
  </r>
  <r>
    <n v="887"/>
    <n v="19"/>
    <x v="0"/>
    <x v="6"/>
    <x v="0"/>
    <n v="54"/>
    <x v="40"/>
    <x v="1"/>
    <s v="Brown"/>
    <x v="2"/>
    <n v="3.6"/>
    <s v="Yes"/>
    <x v="0"/>
    <s v="Yes"/>
    <n v="48"/>
    <x v="4"/>
    <s v="Monthly"/>
    <n v="0.1"/>
    <n v="48.6"/>
    <n v="54"/>
    <s v="Bank Transfer"/>
    <s v="Normal"/>
    <s v="Good"/>
  </r>
  <r>
    <n v="888"/>
    <n v="70"/>
    <x v="0"/>
    <x v="8"/>
    <x v="3"/>
    <n v="47"/>
    <x v="46"/>
    <x v="0"/>
    <s v="Turquoise"/>
    <x v="0"/>
    <n v="3.3"/>
    <s v="Yes"/>
    <x v="4"/>
    <s v="Yes"/>
    <n v="33"/>
    <x v="3"/>
    <s v="Fortnightly"/>
    <n v="0.1"/>
    <n v="42.3"/>
    <n v="47"/>
    <s v="PayPal"/>
    <s v="Normal"/>
    <s v="Good"/>
  </r>
  <r>
    <n v="889"/>
    <n v="49"/>
    <x v="0"/>
    <x v="18"/>
    <x v="3"/>
    <n v="77"/>
    <x v="13"/>
    <x v="1"/>
    <s v="Gold"/>
    <x v="1"/>
    <n v="1"/>
    <s v="Yes"/>
    <x v="0"/>
    <s v="Yes"/>
    <n v="44"/>
    <x v="1"/>
    <s v="Annually"/>
    <n v="0.1"/>
    <n v="69.3"/>
    <n v="77"/>
    <s v="Cash"/>
    <s v="Normal"/>
    <s v="Poor"/>
  </r>
  <r>
    <n v="890"/>
    <n v="59"/>
    <x v="0"/>
    <x v="22"/>
    <x v="3"/>
    <n v="84"/>
    <x v="28"/>
    <x v="1"/>
    <s v="Olive"/>
    <x v="3"/>
    <n v="2.8"/>
    <s v="Yes"/>
    <x v="1"/>
    <s v="Yes"/>
    <n v="50"/>
    <x v="0"/>
    <s v="Weekly"/>
    <n v="0.1"/>
    <n v="75.599999999999994"/>
    <n v="84"/>
    <s v="Venmo"/>
    <s v="Normal"/>
    <s v="Poor"/>
  </r>
  <r>
    <n v="891"/>
    <n v="52"/>
    <x v="0"/>
    <x v="24"/>
    <x v="3"/>
    <n v="51"/>
    <x v="14"/>
    <x v="1"/>
    <s v="Purple"/>
    <x v="1"/>
    <n v="4.3"/>
    <s v="Yes"/>
    <x v="4"/>
    <s v="Yes"/>
    <n v="47"/>
    <x v="2"/>
    <s v="Monthly"/>
    <n v="0.1"/>
    <n v="45.9"/>
    <n v="51"/>
    <s v="Credit Card"/>
    <s v="Normal"/>
    <s v="Good"/>
  </r>
  <r>
    <n v="892"/>
    <n v="20"/>
    <x v="0"/>
    <x v="11"/>
    <x v="0"/>
    <n v="26"/>
    <x v="38"/>
    <x v="1"/>
    <s v="Lavender"/>
    <x v="2"/>
    <n v="3.9"/>
    <s v="Yes"/>
    <x v="5"/>
    <s v="Yes"/>
    <n v="24"/>
    <x v="3"/>
    <s v="Every 3 Months"/>
    <n v="0.1"/>
    <n v="23.4"/>
    <n v="26"/>
    <s v="PayPal"/>
    <s v="Normal"/>
    <s v="Good"/>
  </r>
  <r>
    <n v="893"/>
    <n v="31"/>
    <x v="0"/>
    <x v="6"/>
    <x v="0"/>
    <n v="64"/>
    <x v="35"/>
    <x v="0"/>
    <s v="Gray"/>
    <x v="2"/>
    <n v="2.7"/>
    <s v="Yes"/>
    <x v="1"/>
    <s v="Yes"/>
    <n v="43"/>
    <x v="5"/>
    <s v="Monthly"/>
    <n v="0.1"/>
    <n v="57.6"/>
    <n v="64"/>
    <s v="Debit Card"/>
    <s v="Normal"/>
    <s v="Poor"/>
  </r>
  <r>
    <n v="894"/>
    <n v="33"/>
    <x v="0"/>
    <x v="21"/>
    <x v="3"/>
    <n v="51"/>
    <x v="43"/>
    <x v="2"/>
    <s v="Red"/>
    <x v="1"/>
    <n v="4.7"/>
    <s v="Yes"/>
    <x v="0"/>
    <s v="Yes"/>
    <n v="14"/>
    <x v="0"/>
    <s v="Monthly"/>
    <n v="0.1"/>
    <n v="45.9"/>
    <n v="51"/>
    <s v="Venmo"/>
    <s v="Normal"/>
    <s v="Good"/>
  </r>
  <r>
    <n v="895"/>
    <n v="44"/>
    <x v="0"/>
    <x v="15"/>
    <x v="0"/>
    <n v="60"/>
    <x v="5"/>
    <x v="0"/>
    <s v="Purple"/>
    <x v="1"/>
    <n v="3.8"/>
    <s v="Yes"/>
    <x v="1"/>
    <s v="Yes"/>
    <n v="3"/>
    <x v="5"/>
    <s v="Quarterly"/>
    <n v="0.1"/>
    <n v="54"/>
    <n v="60"/>
    <s v="Debit Card"/>
    <s v="Normal"/>
    <s v="Good"/>
  </r>
  <r>
    <n v="896"/>
    <n v="40"/>
    <x v="0"/>
    <x v="19"/>
    <x v="3"/>
    <n v="69"/>
    <x v="16"/>
    <x v="3"/>
    <s v="Olive"/>
    <x v="1"/>
    <n v="4.7"/>
    <s v="Yes"/>
    <x v="2"/>
    <s v="Yes"/>
    <n v="33"/>
    <x v="5"/>
    <s v="Quarterly"/>
    <n v="0.1"/>
    <n v="62.1"/>
    <n v="69"/>
    <s v="Debit Card"/>
    <s v="Normal"/>
    <s v="Good"/>
  </r>
  <r>
    <n v="897"/>
    <n v="69"/>
    <x v="0"/>
    <x v="16"/>
    <x v="3"/>
    <n v="29"/>
    <x v="10"/>
    <x v="2"/>
    <s v="Lavender"/>
    <x v="1"/>
    <n v="4.7"/>
    <s v="Yes"/>
    <x v="0"/>
    <s v="Yes"/>
    <n v="38"/>
    <x v="1"/>
    <s v="Fortnightly"/>
    <n v="0.1"/>
    <n v="26.1"/>
    <n v="29"/>
    <s v="Cash"/>
    <s v="Normal"/>
    <s v="Good"/>
  </r>
  <r>
    <n v="898"/>
    <n v="29"/>
    <x v="0"/>
    <x v="5"/>
    <x v="0"/>
    <n v="91"/>
    <x v="26"/>
    <x v="2"/>
    <s v="Gray"/>
    <x v="1"/>
    <n v="3.4"/>
    <s v="Yes"/>
    <x v="0"/>
    <s v="Yes"/>
    <n v="46"/>
    <x v="0"/>
    <s v="Weekly"/>
    <n v="0.1"/>
    <n v="81.900000000000006"/>
    <n v="91"/>
    <s v="Venmo"/>
    <s v="Normal"/>
    <s v="Good"/>
  </r>
  <r>
    <n v="899"/>
    <n v="54"/>
    <x v="0"/>
    <x v="22"/>
    <x v="3"/>
    <n v="70"/>
    <x v="22"/>
    <x v="0"/>
    <s v="Red"/>
    <x v="1"/>
    <n v="3.5"/>
    <s v="Yes"/>
    <x v="4"/>
    <s v="Yes"/>
    <n v="19"/>
    <x v="4"/>
    <s v="Every 3 Months"/>
    <n v="0.1"/>
    <n v="63"/>
    <n v="70"/>
    <s v="Bank Transfer"/>
    <s v="Normal"/>
    <s v="Good"/>
  </r>
  <r>
    <n v="900"/>
    <n v="65"/>
    <x v="0"/>
    <x v="1"/>
    <x v="0"/>
    <n v="58"/>
    <x v="3"/>
    <x v="2"/>
    <s v="Peach"/>
    <x v="2"/>
    <n v="4"/>
    <s v="Yes"/>
    <x v="3"/>
    <s v="Yes"/>
    <n v="20"/>
    <x v="3"/>
    <s v="Annually"/>
    <n v="0.1"/>
    <n v="52.2"/>
    <n v="58"/>
    <s v="PayPal"/>
    <s v="Normal"/>
    <s v="Good"/>
  </r>
  <r>
    <n v="901"/>
    <n v="54"/>
    <x v="0"/>
    <x v="19"/>
    <x v="3"/>
    <n v="98"/>
    <x v="8"/>
    <x v="0"/>
    <s v="Gray"/>
    <x v="3"/>
    <n v="3.3"/>
    <s v="Yes"/>
    <x v="1"/>
    <s v="Yes"/>
    <n v="42"/>
    <x v="4"/>
    <s v="Quarterly"/>
    <n v="0.1"/>
    <n v="88.2"/>
    <n v="98"/>
    <s v="Bank Transfer"/>
    <s v="Normal"/>
    <s v="Good"/>
  </r>
  <r>
    <n v="902"/>
    <n v="60"/>
    <x v="0"/>
    <x v="18"/>
    <x v="3"/>
    <n v="68"/>
    <x v="9"/>
    <x v="0"/>
    <s v="Violet"/>
    <x v="2"/>
    <n v="4.7"/>
    <s v="Yes"/>
    <x v="4"/>
    <s v="Yes"/>
    <n v="34"/>
    <x v="1"/>
    <s v="Monthly"/>
    <n v="0.1"/>
    <n v="61.2"/>
    <n v="68"/>
    <s v="Cash"/>
    <s v="Normal"/>
    <s v="Good"/>
  </r>
  <r>
    <n v="903"/>
    <n v="43"/>
    <x v="0"/>
    <x v="19"/>
    <x v="3"/>
    <n v="44"/>
    <x v="0"/>
    <x v="2"/>
    <s v="Beige"/>
    <x v="2"/>
    <n v="2.8"/>
    <s v="Yes"/>
    <x v="2"/>
    <s v="Yes"/>
    <n v="5"/>
    <x v="1"/>
    <s v="Monthly"/>
    <n v="0.1"/>
    <n v="39.6"/>
    <n v="44"/>
    <s v="Cash"/>
    <s v="Normal"/>
    <s v="Poor"/>
  </r>
  <r>
    <n v="904"/>
    <n v="44"/>
    <x v="0"/>
    <x v="14"/>
    <x v="2"/>
    <n v="45"/>
    <x v="47"/>
    <x v="2"/>
    <s v="Blue"/>
    <x v="0"/>
    <n v="3.3"/>
    <s v="Yes"/>
    <x v="0"/>
    <s v="Yes"/>
    <n v="3"/>
    <x v="3"/>
    <s v="Quarterly"/>
    <n v="0.1"/>
    <n v="40.5"/>
    <n v="45"/>
    <s v="PayPal"/>
    <s v="Normal"/>
    <s v="Good"/>
  </r>
  <r>
    <n v="905"/>
    <n v="69"/>
    <x v="0"/>
    <x v="17"/>
    <x v="0"/>
    <n v="99"/>
    <x v="29"/>
    <x v="0"/>
    <s v="Magenta"/>
    <x v="1"/>
    <n v="2.9"/>
    <s v="Yes"/>
    <x v="1"/>
    <s v="Yes"/>
    <n v="46"/>
    <x v="3"/>
    <s v="Every 3 Months"/>
    <n v="0.1"/>
    <n v="89.1"/>
    <n v="99"/>
    <s v="PayPal"/>
    <s v="Normal"/>
    <s v="Poor"/>
  </r>
  <r>
    <n v="906"/>
    <n v="46"/>
    <x v="0"/>
    <x v="10"/>
    <x v="0"/>
    <n v="68"/>
    <x v="16"/>
    <x v="1"/>
    <s v="Cyan"/>
    <x v="1"/>
    <n v="2.8"/>
    <s v="Yes"/>
    <x v="3"/>
    <s v="Yes"/>
    <n v="16"/>
    <x v="0"/>
    <s v="Annually"/>
    <n v="0.1"/>
    <n v="61.2"/>
    <n v="68"/>
    <s v="Venmo"/>
    <s v="Normal"/>
    <s v="Poor"/>
  </r>
  <r>
    <n v="907"/>
    <n v="41"/>
    <x v="0"/>
    <x v="13"/>
    <x v="0"/>
    <n v="56"/>
    <x v="36"/>
    <x v="2"/>
    <s v="Red"/>
    <x v="1"/>
    <n v="4.2"/>
    <s v="Yes"/>
    <x v="3"/>
    <s v="Yes"/>
    <n v="21"/>
    <x v="5"/>
    <s v="Bi-Weekly"/>
    <n v="0.1"/>
    <n v="50.4"/>
    <n v="56"/>
    <s v="Debit Card"/>
    <s v="Normal"/>
    <s v="Good"/>
  </r>
  <r>
    <n v="908"/>
    <n v="32"/>
    <x v="0"/>
    <x v="1"/>
    <x v="0"/>
    <n v="43"/>
    <x v="9"/>
    <x v="0"/>
    <s v="Cyan"/>
    <x v="0"/>
    <n v="4.4000000000000004"/>
    <s v="Yes"/>
    <x v="0"/>
    <s v="Yes"/>
    <n v="34"/>
    <x v="2"/>
    <s v="Bi-Weekly"/>
    <n v="0.1"/>
    <n v="38.700000000000003"/>
    <n v="43"/>
    <s v="Credit Card"/>
    <s v="Normal"/>
    <s v="Good"/>
  </r>
  <r>
    <n v="909"/>
    <n v="26"/>
    <x v="0"/>
    <x v="12"/>
    <x v="3"/>
    <n v="99"/>
    <x v="32"/>
    <x v="2"/>
    <s v="Turquoise"/>
    <x v="0"/>
    <n v="3.6"/>
    <s v="Yes"/>
    <x v="1"/>
    <s v="Yes"/>
    <n v="9"/>
    <x v="3"/>
    <s v="Every 3 Months"/>
    <n v="0.1"/>
    <n v="89.1"/>
    <n v="99"/>
    <s v="PayPal"/>
    <s v="Normal"/>
    <s v="Good"/>
  </r>
  <r>
    <n v="910"/>
    <n v="61"/>
    <x v="0"/>
    <x v="22"/>
    <x v="3"/>
    <n v="56"/>
    <x v="7"/>
    <x v="0"/>
    <s v="Silver"/>
    <x v="3"/>
    <n v="2.7"/>
    <s v="Yes"/>
    <x v="0"/>
    <s v="Yes"/>
    <n v="36"/>
    <x v="3"/>
    <s v="Weekly"/>
    <n v="0.1"/>
    <n v="50.4"/>
    <n v="56"/>
    <s v="PayPal"/>
    <s v="Normal"/>
    <s v="Poor"/>
  </r>
  <r>
    <n v="911"/>
    <n v="49"/>
    <x v="0"/>
    <x v="15"/>
    <x v="0"/>
    <n v="25"/>
    <x v="36"/>
    <x v="1"/>
    <s v="Pink"/>
    <x v="1"/>
    <n v="3.4"/>
    <s v="Yes"/>
    <x v="0"/>
    <s v="Yes"/>
    <n v="22"/>
    <x v="2"/>
    <s v="Monthly"/>
    <n v="0.1"/>
    <n v="22.5"/>
    <n v="25"/>
    <s v="Credit Card"/>
    <s v="Normal"/>
    <s v="Good"/>
  </r>
  <r>
    <n v="912"/>
    <n v="53"/>
    <x v="0"/>
    <x v="13"/>
    <x v="0"/>
    <n v="74"/>
    <x v="34"/>
    <x v="2"/>
    <s v="Black"/>
    <x v="0"/>
    <n v="2.8"/>
    <s v="Yes"/>
    <x v="4"/>
    <s v="Yes"/>
    <n v="2"/>
    <x v="4"/>
    <s v="Quarterly"/>
    <n v="0.1"/>
    <n v="66.599999999999994"/>
    <n v="74"/>
    <s v="Bank Transfer"/>
    <s v="Normal"/>
    <s v="Poor"/>
  </r>
  <r>
    <n v="913"/>
    <n v="24"/>
    <x v="0"/>
    <x v="15"/>
    <x v="0"/>
    <n v="56"/>
    <x v="10"/>
    <x v="2"/>
    <s v="Green"/>
    <x v="0"/>
    <n v="3.4"/>
    <s v="Yes"/>
    <x v="2"/>
    <s v="Yes"/>
    <n v="32"/>
    <x v="4"/>
    <s v="Monthly"/>
    <n v="0.1"/>
    <n v="50.4"/>
    <n v="56"/>
    <s v="Bank Transfer"/>
    <s v="Normal"/>
    <s v="Good"/>
  </r>
  <r>
    <n v="914"/>
    <n v="37"/>
    <x v="0"/>
    <x v="4"/>
    <x v="1"/>
    <n v="47"/>
    <x v="40"/>
    <x v="2"/>
    <s v="Yellow"/>
    <x v="3"/>
    <n v="2.6"/>
    <s v="Yes"/>
    <x v="2"/>
    <s v="Yes"/>
    <n v="29"/>
    <x v="1"/>
    <s v="Every 3 Months"/>
    <n v="0.1"/>
    <n v="42.3"/>
    <n v="47"/>
    <s v="Cash"/>
    <s v="Normal"/>
    <s v="Poor"/>
  </r>
  <r>
    <n v="915"/>
    <n v="43"/>
    <x v="0"/>
    <x v="10"/>
    <x v="0"/>
    <n v="67"/>
    <x v="47"/>
    <x v="0"/>
    <s v="Purple"/>
    <x v="2"/>
    <n v="4.0999999999999996"/>
    <s v="Yes"/>
    <x v="3"/>
    <s v="Yes"/>
    <n v="27"/>
    <x v="0"/>
    <s v="Every 3 Months"/>
    <n v="0.1"/>
    <n v="60.3"/>
    <n v="67"/>
    <s v="Venmo"/>
    <s v="Normal"/>
    <s v="Good"/>
  </r>
  <r>
    <n v="916"/>
    <n v="31"/>
    <x v="0"/>
    <x v="10"/>
    <x v="0"/>
    <n v="22"/>
    <x v="3"/>
    <x v="0"/>
    <s v="Purple"/>
    <x v="0"/>
    <n v="2.9"/>
    <s v="Yes"/>
    <x v="5"/>
    <s v="Yes"/>
    <n v="33"/>
    <x v="2"/>
    <s v="Fortnightly"/>
    <n v="0.1"/>
    <n v="19.8"/>
    <n v="22"/>
    <s v="Credit Card"/>
    <s v="Normal"/>
    <s v="Poor"/>
  </r>
  <r>
    <n v="917"/>
    <n v="49"/>
    <x v="0"/>
    <x v="2"/>
    <x v="0"/>
    <n v="34"/>
    <x v="26"/>
    <x v="1"/>
    <s v="Blue"/>
    <x v="1"/>
    <n v="2.7"/>
    <s v="Yes"/>
    <x v="3"/>
    <s v="Yes"/>
    <n v="16"/>
    <x v="0"/>
    <s v="Monthly"/>
    <n v="0.1"/>
    <n v="30.6"/>
    <n v="34"/>
    <s v="Venmo"/>
    <s v="Normal"/>
    <s v="Poor"/>
  </r>
  <r>
    <n v="918"/>
    <n v="69"/>
    <x v="0"/>
    <x v="1"/>
    <x v="0"/>
    <n v="64"/>
    <x v="9"/>
    <x v="2"/>
    <s v="Maroon"/>
    <x v="1"/>
    <n v="3.7"/>
    <s v="Yes"/>
    <x v="3"/>
    <s v="Yes"/>
    <n v="11"/>
    <x v="4"/>
    <s v="Quarterly"/>
    <n v="0.1"/>
    <n v="57.6"/>
    <n v="64"/>
    <s v="Bank Transfer"/>
    <s v="Normal"/>
    <s v="Good"/>
  </r>
  <r>
    <n v="919"/>
    <n v="65"/>
    <x v="0"/>
    <x v="6"/>
    <x v="0"/>
    <n v="42"/>
    <x v="17"/>
    <x v="2"/>
    <s v="Orange"/>
    <x v="1"/>
    <n v="4.3"/>
    <s v="Yes"/>
    <x v="4"/>
    <s v="Yes"/>
    <n v="11"/>
    <x v="1"/>
    <s v="Fortnightly"/>
    <n v="0.1"/>
    <n v="37.799999999999997"/>
    <n v="42"/>
    <s v="Cash"/>
    <s v="Normal"/>
    <s v="Good"/>
  </r>
  <r>
    <n v="920"/>
    <n v="41"/>
    <x v="0"/>
    <x v="5"/>
    <x v="0"/>
    <n v="82"/>
    <x v="2"/>
    <x v="0"/>
    <s v="Green"/>
    <x v="0"/>
    <n v="2.6"/>
    <s v="Yes"/>
    <x v="4"/>
    <s v="Yes"/>
    <n v="17"/>
    <x v="5"/>
    <s v="Bi-Weekly"/>
    <n v="0.1"/>
    <n v="73.8"/>
    <n v="82"/>
    <s v="Debit Card"/>
    <s v="Normal"/>
    <s v="Poor"/>
  </r>
  <r>
    <n v="921"/>
    <n v="37"/>
    <x v="0"/>
    <x v="22"/>
    <x v="3"/>
    <n v="81"/>
    <x v="10"/>
    <x v="3"/>
    <s v="Gold"/>
    <x v="2"/>
    <n v="4.3"/>
    <s v="Yes"/>
    <x v="1"/>
    <s v="Yes"/>
    <n v="37"/>
    <x v="1"/>
    <s v="Weekly"/>
    <n v="0.1"/>
    <n v="72.900000000000006"/>
    <n v="81"/>
    <s v="Cash"/>
    <s v="Normal"/>
    <s v="Good"/>
  </r>
  <r>
    <n v="922"/>
    <n v="70"/>
    <x v="0"/>
    <x v="7"/>
    <x v="2"/>
    <n v="24"/>
    <x v="45"/>
    <x v="0"/>
    <s v="Silver"/>
    <x v="2"/>
    <n v="4.0999999999999996"/>
    <s v="Yes"/>
    <x v="0"/>
    <s v="Yes"/>
    <n v="18"/>
    <x v="3"/>
    <s v="Weekly"/>
    <n v="0.1"/>
    <n v="21.6"/>
    <n v="24"/>
    <s v="PayPal"/>
    <s v="Normal"/>
    <s v="Good"/>
  </r>
  <r>
    <n v="923"/>
    <n v="63"/>
    <x v="0"/>
    <x v="4"/>
    <x v="1"/>
    <n v="60"/>
    <x v="42"/>
    <x v="2"/>
    <s v="Cyan"/>
    <x v="3"/>
    <n v="4.2"/>
    <s v="Yes"/>
    <x v="3"/>
    <s v="Yes"/>
    <n v="13"/>
    <x v="2"/>
    <s v="Monthly"/>
    <n v="0.1"/>
    <n v="54"/>
    <n v="60"/>
    <s v="Credit Card"/>
    <s v="Normal"/>
    <s v="Good"/>
  </r>
  <r>
    <n v="924"/>
    <n v="55"/>
    <x v="0"/>
    <x v="5"/>
    <x v="0"/>
    <n v="24"/>
    <x v="10"/>
    <x v="2"/>
    <s v="Silver"/>
    <x v="1"/>
    <n v="4.2"/>
    <s v="Yes"/>
    <x v="4"/>
    <s v="Yes"/>
    <n v="7"/>
    <x v="3"/>
    <s v="Weekly"/>
    <n v="0.1"/>
    <n v="21.6"/>
    <n v="24"/>
    <s v="PayPal"/>
    <s v="Normal"/>
    <s v="Good"/>
  </r>
  <r>
    <n v="925"/>
    <n v="52"/>
    <x v="0"/>
    <x v="20"/>
    <x v="0"/>
    <n v="78"/>
    <x v="23"/>
    <x v="3"/>
    <s v="Beige"/>
    <x v="0"/>
    <n v="3.1"/>
    <s v="Yes"/>
    <x v="3"/>
    <s v="Yes"/>
    <n v="37"/>
    <x v="1"/>
    <s v="Quarterly"/>
    <n v="0.1"/>
    <n v="70.2"/>
    <n v="78"/>
    <s v="Cash"/>
    <s v="Normal"/>
    <s v="Good"/>
  </r>
  <r>
    <n v="926"/>
    <n v="22"/>
    <x v="0"/>
    <x v="2"/>
    <x v="0"/>
    <n v="88"/>
    <x v="28"/>
    <x v="0"/>
    <s v="Teal"/>
    <x v="0"/>
    <n v="4.9000000000000004"/>
    <s v="Yes"/>
    <x v="0"/>
    <s v="Yes"/>
    <n v="8"/>
    <x v="1"/>
    <s v="Monthly"/>
    <n v="0.1"/>
    <n v="79.2"/>
    <n v="88"/>
    <s v="Cash"/>
    <s v="Normal"/>
    <s v="Good"/>
  </r>
  <r>
    <n v="927"/>
    <n v="54"/>
    <x v="0"/>
    <x v="2"/>
    <x v="0"/>
    <n v="63"/>
    <x v="2"/>
    <x v="3"/>
    <s v="Green"/>
    <x v="1"/>
    <n v="4.4000000000000004"/>
    <s v="Yes"/>
    <x v="0"/>
    <s v="Yes"/>
    <n v="11"/>
    <x v="1"/>
    <s v="Bi-Weekly"/>
    <n v="0.1"/>
    <n v="56.7"/>
    <n v="63"/>
    <s v="Cash"/>
    <s v="Normal"/>
    <s v="Good"/>
  </r>
  <r>
    <n v="928"/>
    <n v="28"/>
    <x v="0"/>
    <x v="4"/>
    <x v="1"/>
    <n v="78"/>
    <x v="35"/>
    <x v="0"/>
    <s v="Black"/>
    <x v="2"/>
    <n v="4.4000000000000004"/>
    <s v="Yes"/>
    <x v="3"/>
    <s v="Yes"/>
    <n v="8"/>
    <x v="0"/>
    <s v="Bi-Weekly"/>
    <n v="0.1"/>
    <n v="70.2"/>
    <n v="78"/>
    <s v="Venmo"/>
    <s v="Normal"/>
    <s v="Good"/>
  </r>
  <r>
    <n v="929"/>
    <n v="67"/>
    <x v="0"/>
    <x v="10"/>
    <x v="0"/>
    <n v="37"/>
    <x v="10"/>
    <x v="3"/>
    <s v="Yellow"/>
    <x v="0"/>
    <n v="3.4"/>
    <s v="Yes"/>
    <x v="5"/>
    <s v="Yes"/>
    <n v="31"/>
    <x v="1"/>
    <s v="Every 3 Months"/>
    <n v="0.1"/>
    <n v="33.299999999999997"/>
    <n v="37"/>
    <s v="Cash"/>
    <s v="Normal"/>
    <s v="Good"/>
  </r>
  <r>
    <n v="930"/>
    <n v="59"/>
    <x v="0"/>
    <x v="23"/>
    <x v="1"/>
    <n v="94"/>
    <x v="43"/>
    <x v="2"/>
    <s v="White"/>
    <x v="3"/>
    <n v="4.5"/>
    <s v="Yes"/>
    <x v="4"/>
    <s v="Yes"/>
    <n v="26"/>
    <x v="5"/>
    <s v="Fortnightly"/>
    <n v="0.1"/>
    <n v="84.6"/>
    <n v="94"/>
    <s v="Debit Card"/>
    <s v="Normal"/>
    <s v="Good"/>
  </r>
  <r>
    <n v="931"/>
    <n v="26"/>
    <x v="0"/>
    <x v="17"/>
    <x v="0"/>
    <n v="78"/>
    <x v="11"/>
    <x v="0"/>
    <s v="Green"/>
    <x v="3"/>
    <n v="4.5"/>
    <s v="Yes"/>
    <x v="5"/>
    <s v="Yes"/>
    <n v="20"/>
    <x v="2"/>
    <s v="Bi-Weekly"/>
    <n v="0.1"/>
    <n v="70.2"/>
    <n v="78"/>
    <s v="Credit Card"/>
    <s v="Normal"/>
    <s v="Good"/>
  </r>
  <r>
    <n v="932"/>
    <n v="24"/>
    <x v="0"/>
    <x v="7"/>
    <x v="2"/>
    <n v="36"/>
    <x v="43"/>
    <x v="2"/>
    <s v="Silver"/>
    <x v="0"/>
    <n v="4.0999999999999996"/>
    <s v="Yes"/>
    <x v="3"/>
    <s v="Yes"/>
    <n v="24"/>
    <x v="4"/>
    <s v="Fortnightly"/>
    <n v="0.1"/>
    <n v="32.4"/>
    <n v="36"/>
    <s v="Bank Transfer"/>
    <s v="Normal"/>
    <s v="Good"/>
  </r>
  <r>
    <n v="933"/>
    <n v="62"/>
    <x v="0"/>
    <x v="11"/>
    <x v="0"/>
    <n v="24"/>
    <x v="27"/>
    <x v="0"/>
    <s v="Blue"/>
    <x v="0"/>
    <n v="3.2"/>
    <s v="Yes"/>
    <x v="3"/>
    <s v="Yes"/>
    <n v="45"/>
    <x v="5"/>
    <s v="Bi-Weekly"/>
    <n v="0.1"/>
    <n v="21.6"/>
    <n v="24"/>
    <s v="Debit Card"/>
    <s v="Normal"/>
    <s v="Good"/>
  </r>
  <r>
    <n v="934"/>
    <n v="70"/>
    <x v="0"/>
    <x v="4"/>
    <x v="1"/>
    <n v="84"/>
    <x v="24"/>
    <x v="2"/>
    <s v="Magenta"/>
    <x v="1"/>
    <n v="2.7"/>
    <s v="Yes"/>
    <x v="5"/>
    <s v="Yes"/>
    <n v="33"/>
    <x v="5"/>
    <s v="Monthly"/>
    <n v="0.1"/>
    <n v="75.599999999999994"/>
    <n v="84"/>
    <s v="Debit Card"/>
    <s v="Normal"/>
    <s v="Poor"/>
  </r>
  <r>
    <n v="935"/>
    <n v="45"/>
    <x v="0"/>
    <x v="2"/>
    <x v="0"/>
    <n v="47"/>
    <x v="4"/>
    <x v="1"/>
    <s v="Yellow"/>
    <x v="1"/>
    <n v="3.7"/>
    <s v="Yes"/>
    <x v="0"/>
    <s v="Yes"/>
    <n v="21"/>
    <x v="4"/>
    <s v="Monthly"/>
    <n v="0.1"/>
    <n v="42.3"/>
    <n v="47"/>
    <s v="Bank Transfer"/>
    <s v="Normal"/>
    <s v="Good"/>
  </r>
  <r>
    <n v="936"/>
    <n v="58"/>
    <x v="0"/>
    <x v="15"/>
    <x v="0"/>
    <n v="51"/>
    <x v="31"/>
    <x v="0"/>
    <s v="White"/>
    <x v="3"/>
    <n v="2.6"/>
    <s v="Yes"/>
    <x v="5"/>
    <s v="Yes"/>
    <n v="2"/>
    <x v="4"/>
    <s v="Fortnightly"/>
    <n v="0.1"/>
    <n v="45.9"/>
    <n v="51"/>
    <s v="Bank Transfer"/>
    <s v="Normal"/>
    <s v="Poor"/>
  </r>
  <r>
    <n v="937"/>
    <n v="31"/>
    <x v="0"/>
    <x v="9"/>
    <x v="1"/>
    <n v="84"/>
    <x v="1"/>
    <x v="2"/>
    <s v="Pink"/>
    <x v="2"/>
    <n v="2.7"/>
    <s v="Yes"/>
    <x v="1"/>
    <s v="Yes"/>
    <n v="28"/>
    <x v="1"/>
    <s v="Weekly"/>
    <n v="0.1"/>
    <n v="75.599999999999994"/>
    <n v="84"/>
    <s v="Cash"/>
    <s v="Normal"/>
    <s v="Poor"/>
  </r>
  <r>
    <n v="938"/>
    <n v="32"/>
    <x v="0"/>
    <x v="6"/>
    <x v="0"/>
    <n v="24"/>
    <x v="44"/>
    <x v="2"/>
    <s v="Magenta"/>
    <x v="2"/>
    <n v="2.7"/>
    <s v="Yes"/>
    <x v="0"/>
    <s v="Yes"/>
    <n v="18"/>
    <x v="0"/>
    <s v="Quarterly"/>
    <n v="0.1"/>
    <n v="21.6"/>
    <n v="24"/>
    <s v="Venmo"/>
    <s v="Normal"/>
    <s v="Poor"/>
  </r>
  <r>
    <n v="939"/>
    <n v="36"/>
    <x v="0"/>
    <x v="0"/>
    <x v="0"/>
    <n v="97"/>
    <x v="48"/>
    <x v="1"/>
    <s v="Teal"/>
    <x v="3"/>
    <n v="4.8"/>
    <s v="Yes"/>
    <x v="1"/>
    <s v="Yes"/>
    <n v="21"/>
    <x v="5"/>
    <s v="Fortnightly"/>
    <n v="0.1"/>
    <n v="87.3"/>
    <n v="97"/>
    <s v="Debit Card"/>
    <s v="Normal"/>
    <s v="Good"/>
  </r>
  <r>
    <n v="940"/>
    <n v="25"/>
    <x v="0"/>
    <x v="17"/>
    <x v="0"/>
    <n v="89"/>
    <x v="14"/>
    <x v="0"/>
    <s v="Indigo"/>
    <x v="0"/>
    <n v="4.8"/>
    <s v="Yes"/>
    <x v="2"/>
    <s v="Yes"/>
    <n v="24"/>
    <x v="2"/>
    <s v="Monthly"/>
    <n v="0.1"/>
    <n v="80.099999999999994"/>
    <n v="89"/>
    <s v="Credit Card"/>
    <s v="Normal"/>
    <s v="Good"/>
  </r>
  <r>
    <n v="941"/>
    <n v="48"/>
    <x v="0"/>
    <x v="22"/>
    <x v="3"/>
    <n v="44"/>
    <x v="24"/>
    <x v="1"/>
    <s v="Maroon"/>
    <x v="1"/>
    <n v="2.6"/>
    <s v="Yes"/>
    <x v="5"/>
    <s v="Yes"/>
    <n v="15"/>
    <x v="3"/>
    <s v="Every 3 Months"/>
    <n v="0.1"/>
    <n v="39.6"/>
    <n v="44"/>
    <s v="PayPal"/>
    <s v="Normal"/>
    <s v="Poor"/>
  </r>
  <r>
    <n v="942"/>
    <n v="39"/>
    <x v="0"/>
    <x v="8"/>
    <x v="3"/>
    <n v="35"/>
    <x v="26"/>
    <x v="0"/>
    <s v="Black"/>
    <x v="0"/>
    <n v="4.5"/>
    <s v="Yes"/>
    <x v="4"/>
    <s v="Yes"/>
    <n v="38"/>
    <x v="3"/>
    <s v="Every 3 Months"/>
    <n v="0.1"/>
    <n v="31.5"/>
    <n v="35"/>
    <s v="PayPal"/>
    <s v="Normal"/>
    <s v="Good"/>
  </r>
  <r>
    <n v="943"/>
    <n v="26"/>
    <x v="0"/>
    <x v="10"/>
    <x v="0"/>
    <n v="91"/>
    <x v="28"/>
    <x v="2"/>
    <s v="Cyan"/>
    <x v="0"/>
    <n v="3.2"/>
    <s v="Yes"/>
    <x v="0"/>
    <s v="Yes"/>
    <n v="38"/>
    <x v="3"/>
    <s v="Bi-Weekly"/>
    <n v="0.1"/>
    <n v="81.900000000000006"/>
    <n v="91"/>
    <s v="PayPal"/>
    <s v="Normal"/>
    <s v="Good"/>
  </r>
  <r>
    <n v="944"/>
    <n v="32"/>
    <x v="0"/>
    <x v="19"/>
    <x v="3"/>
    <n v="63"/>
    <x v="19"/>
    <x v="0"/>
    <s v="Cyan"/>
    <x v="0"/>
    <n v="3.8"/>
    <s v="Yes"/>
    <x v="2"/>
    <s v="Yes"/>
    <n v="13"/>
    <x v="0"/>
    <s v="Fortnightly"/>
    <n v="0.1"/>
    <n v="56.7"/>
    <n v="63"/>
    <s v="Venmo"/>
    <s v="Normal"/>
    <s v="Good"/>
  </r>
  <r>
    <n v="945"/>
    <n v="54"/>
    <x v="0"/>
    <x v="22"/>
    <x v="3"/>
    <n v="97"/>
    <x v="27"/>
    <x v="1"/>
    <s v="Gray"/>
    <x v="1"/>
    <n v="4.8"/>
    <s v="Yes"/>
    <x v="0"/>
    <s v="Yes"/>
    <n v="39"/>
    <x v="1"/>
    <s v="Bi-Weekly"/>
    <n v="0.1"/>
    <n v="87.3"/>
    <n v="97"/>
    <s v="Cash"/>
    <s v="Normal"/>
    <s v="Good"/>
  </r>
  <r>
    <n v="946"/>
    <n v="38"/>
    <x v="0"/>
    <x v="23"/>
    <x v="1"/>
    <n v="38"/>
    <x v="46"/>
    <x v="2"/>
    <s v="Violet"/>
    <x v="2"/>
    <n v="4.0999999999999996"/>
    <s v="Yes"/>
    <x v="5"/>
    <s v="Yes"/>
    <n v="8"/>
    <x v="0"/>
    <s v="Every 3 Months"/>
    <n v="0.1"/>
    <n v="34.200000000000003"/>
    <n v="38"/>
    <s v="Venmo"/>
    <s v="Normal"/>
    <s v="Good"/>
  </r>
  <r>
    <n v="947"/>
    <n v="46"/>
    <x v="0"/>
    <x v="7"/>
    <x v="2"/>
    <n v="24"/>
    <x v="38"/>
    <x v="3"/>
    <s v="Blue"/>
    <x v="1"/>
    <n v="2.8"/>
    <s v="Yes"/>
    <x v="2"/>
    <s v="Yes"/>
    <n v="4"/>
    <x v="3"/>
    <s v="Quarterly"/>
    <n v="0.1"/>
    <n v="21.6"/>
    <n v="24"/>
    <s v="PayPal"/>
    <s v="Normal"/>
    <s v="Poor"/>
  </r>
  <r>
    <n v="948"/>
    <n v="57"/>
    <x v="0"/>
    <x v="0"/>
    <x v="0"/>
    <n v="32"/>
    <x v="27"/>
    <x v="2"/>
    <s v="Charcoal"/>
    <x v="0"/>
    <n v="3.9"/>
    <s v="Yes"/>
    <x v="5"/>
    <s v="Yes"/>
    <n v="6"/>
    <x v="1"/>
    <s v="Every 3 Months"/>
    <n v="0.1"/>
    <n v="28.8"/>
    <n v="32"/>
    <s v="Cash"/>
    <s v="Normal"/>
    <s v="Good"/>
  </r>
  <r>
    <n v="949"/>
    <n v="49"/>
    <x v="0"/>
    <x v="19"/>
    <x v="3"/>
    <n v="90"/>
    <x v="15"/>
    <x v="0"/>
    <s v="Olive"/>
    <x v="2"/>
    <n v="4.9000000000000004"/>
    <s v="Yes"/>
    <x v="0"/>
    <s v="Yes"/>
    <n v="11"/>
    <x v="0"/>
    <s v="Every 3 Months"/>
    <n v="0.1"/>
    <n v="81"/>
    <n v="90"/>
    <s v="Venmo"/>
    <s v="Normal"/>
    <s v="Good"/>
  </r>
  <r>
    <n v="950"/>
    <n v="33"/>
    <x v="0"/>
    <x v="2"/>
    <x v="0"/>
    <n v="36"/>
    <x v="6"/>
    <x v="2"/>
    <s v="Olive"/>
    <x v="2"/>
    <n v="3.4"/>
    <s v="Yes"/>
    <x v="3"/>
    <s v="Yes"/>
    <n v="49"/>
    <x v="0"/>
    <s v="Monthly"/>
    <n v="0.1"/>
    <n v="32.4"/>
    <n v="36"/>
    <s v="Venmo"/>
    <s v="Normal"/>
    <s v="Good"/>
  </r>
  <r>
    <n v="951"/>
    <n v="54"/>
    <x v="0"/>
    <x v="21"/>
    <x v="3"/>
    <n v="37"/>
    <x v="35"/>
    <x v="3"/>
    <s v="Turquoise"/>
    <x v="0"/>
    <n v="4.0999999999999996"/>
    <s v="Yes"/>
    <x v="1"/>
    <s v="Yes"/>
    <n v="30"/>
    <x v="3"/>
    <s v="Quarterly"/>
    <n v="0.1"/>
    <n v="33.299999999999997"/>
    <n v="37"/>
    <s v="PayPal"/>
    <s v="Normal"/>
    <s v="Good"/>
  </r>
  <r>
    <n v="952"/>
    <n v="47"/>
    <x v="0"/>
    <x v="10"/>
    <x v="0"/>
    <n v="51"/>
    <x v="29"/>
    <x v="2"/>
    <s v="Cyan"/>
    <x v="2"/>
    <n v="2.9"/>
    <s v="Yes"/>
    <x v="0"/>
    <s v="Yes"/>
    <n v="34"/>
    <x v="4"/>
    <s v="Monthly"/>
    <n v="0.1"/>
    <n v="45.9"/>
    <n v="51"/>
    <s v="Bank Transfer"/>
    <s v="Normal"/>
    <s v="Poor"/>
  </r>
  <r>
    <n v="953"/>
    <n v="36"/>
    <x v="0"/>
    <x v="19"/>
    <x v="3"/>
    <n v="71"/>
    <x v="37"/>
    <x v="1"/>
    <s v="Red"/>
    <x v="3"/>
    <n v="3.1"/>
    <s v="Yes"/>
    <x v="4"/>
    <s v="Yes"/>
    <n v="28"/>
    <x v="3"/>
    <s v="Monthly"/>
    <n v="0.1"/>
    <n v="63.9"/>
    <n v="71"/>
    <s v="PayPal"/>
    <s v="Normal"/>
    <s v="Good"/>
  </r>
  <r>
    <n v="954"/>
    <n v="68"/>
    <x v="0"/>
    <x v="12"/>
    <x v="3"/>
    <n v="50"/>
    <x v="40"/>
    <x v="1"/>
    <s v="Cyan"/>
    <x v="1"/>
    <n v="3.6"/>
    <s v="Yes"/>
    <x v="4"/>
    <s v="Yes"/>
    <n v="36"/>
    <x v="0"/>
    <s v="Quarterly"/>
    <n v="0.1"/>
    <n v="45"/>
    <n v="50"/>
    <s v="Venmo"/>
    <s v="Normal"/>
    <s v="Good"/>
  </r>
  <r>
    <n v="955"/>
    <n v="60"/>
    <x v="0"/>
    <x v="19"/>
    <x v="3"/>
    <n v="74"/>
    <x v="7"/>
    <x v="1"/>
    <s v="Turquoise"/>
    <x v="3"/>
    <n v="3.5"/>
    <s v="Yes"/>
    <x v="3"/>
    <s v="Yes"/>
    <n v="18"/>
    <x v="2"/>
    <s v="Every 3 Months"/>
    <n v="0.1"/>
    <n v="66.599999999999994"/>
    <n v="74"/>
    <s v="Credit Card"/>
    <s v="Normal"/>
    <s v="Good"/>
  </r>
  <r>
    <n v="956"/>
    <n v="55"/>
    <x v="0"/>
    <x v="10"/>
    <x v="0"/>
    <n v="75"/>
    <x v="16"/>
    <x v="0"/>
    <s v="Lavender"/>
    <x v="2"/>
    <n v="3.4"/>
    <s v="Yes"/>
    <x v="1"/>
    <s v="Yes"/>
    <n v="4"/>
    <x v="3"/>
    <s v="Monthly"/>
    <n v="0.1"/>
    <n v="67.5"/>
    <n v="75"/>
    <s v="PayPal"/>
    <s v="Normal"/>
    <s v="Good"/>
  </r>
  <r>
    <n v="957"/>
    <n v="29"/>
    <x v="0"/>
    <x v="5"/>
    <x v="0"/>
    <n v="99"/>
    <x v="16"/>
    <x v="3"/>
    <s v="Cyan"/>
    <x v="1"/>
    <n v="2.9"/>
    <s v="Yes"/>
    <x v="4"/>
    <s v="Yes"/>
    <n v="42"/>
    <x v="5"/>
    <s v="Quarterly"/>
    <n v="0.1"/>
    <n v="89.1"/>
    <n v="99"/>
    <s v="Debit Card"/>
    <s v="Normal"/>
    <s v="Poor"/>
  </r>
  <r>
    <n v="958"/>
    <n v="38"/>
    <x v="0"/>
    <x v="18"/>
    <x v="3"/>
    <n v="23"/>
    <x v="27"/>
    <x v="3"/>
    <s v="Violet"/>
    <x v="1"/>
    <n v="4.7"/>
    <s v="Yes"/>
    <x v="5"/>
    <s v="Yes"/>
    <n v="11"/>
    <x v="1"/>
    <s v="Quarterly"/>
    <n v="0.1"/>
    <n v="20.7"/>
    <n v="23"/>
    <s v="Cash"/>
    <s v="Normal"/>
    <s v="Good"/>
  </r>
  <r>
    <n v="959"/>
    <n v="70"/>
    <x v="0"/>
    <x v="4"/>
    <x v="1"/>
    <n v="53"/>
    <x v="47"/>
    <x v="3"/>
    <s v="Beige"/>
    <x v="0"/>
    <n v="4.4000000000000004"/>
    <s v="Yes"/>
    <x v="1"/>
    <s v="Yes"/>
    <n v="31"/>
    <x v="2"/>
    <s v="Bi-Weekly"/>
    <n v="0.1"/>
    <n v="47.7"/>
    <n v="53"/>
    <s v="Credit Card"/>
    <s v="Normal"/>
    <s v="Good"/>
  </r>
  <r>
    <n v="960"/>
    <n v="36"/>
    <x v="0"/>
    <x v="11"/>
    <x v="0"/>
    <n v="99"/>
    <x v="22"/>
    <x v="2"/>
    <s v="Cyan"/>
    <x v="1"/>
    <n v="2.6"/>
    <s v="Yes"/>
    <x v="3"/>
    <s v="Yes"/>
    <n v="12"/>
    <x v="1"/>
    <s v="Fortnightly"/>
    <n v="0.1"/>
    <n v="89.1"/>
    <n v="99"/>
    <s v="Cash"/>
    <s v="Normal"/>
    <s v="Poor"/>
  </r>
  <r>
    <n v="961"/>
    <n v="18"/>
    <x v="0"/>
    <x v="16"/>
    <x v="3"/>
    <n v="48"/>
    <x v="7"/>
    <x v="3"/>
    <s v="Indigo"/>
    <x v="1"/>
    <n v="4.4000000000000004"/>
    <s v="Yes"/>
    <x v="3"/>
    <s v="Yes"/>
    <n v="20"/>
    <x v="0"/>
    <s v="Quarterly"/>
    <n v="0.1"/>
    <n v="43.2"/>
    <n v="48"/>
    <s v="Venmo"/>
    <s v="Normal"/>
    <s v="Good"/>
  </r>
  <r>
    <n v="962"/>
    <n v="62"/>
    <x v="0"/>
    <x v="23"/>
    <x v="1"/>
    <n v="72"/>
    <x v="38"/>
    <x v="0"/>
    <s v="Olive"/>
    <x v="3"/>
    <n v="3.7"/>
    <s v="Yes"/>
    <x v="2"/>
    <s v="Yes"/>
    <n v="37"/>
    <x v="5"/>
    <s v="Quarterly"/>
    <n v="0.1"/>
    <n v="64.8"/>
    <n v="72"/>
    <s v="Debit Card"/>
    <s v="Normal"/>
    <s v="Good"/>
  </r>
  <r>
    <n v="963"/>
    <n v="29"/>
    <x v="0"/>
    <x v="12"/>
    <x v="3"/>
    <n v="64"/>
    <x v="49"/>
    <x v="0"/>
    <s v="Green"/>
    <x v="1"/>
    <n v="4.4000000000000004"/>
    <s v="Yes"/>
    <x v="3"/>
    <s v="Yes"/>
    <n v="26"/>
    <x v="5"/>
    <s v="Fortnightly"/>
    <n v="0.1"/>
    <n v="57.6"/>
    <n v="64"/>
    <s v="Debit Card"/>
    <s v="Normal"/>
    <s v="Good"/>
  </r>
  <r>
    <n v="964"/>
    <n v="21"/>
    <x v="0"/>
    <x v="23"/>
    <x v="1"/>
    <n v="63"/>
    <x v="36"/>
    <x v="0"/>
    <s v="Green"/>
    <x v="1"/>
    <n v="2.5"/>
    <s v="Yes"/>
    <x v="4"/>
    <s v="Yes"/>
    <n v="14"/>
    <x v="2"/>
    <s v="Weekly"/>
    <n v="0.1"/>
    <n v="56.7"/>
    <n v="63"/>
    <s v="Credit Card"/>
    <s v="Normal"/>
    <s v="Poor"/>
  </r>
  <r>
    <n v="965"/>
    <n v="42"/>
    <x v="0"/>
    <x v="3"/>
    <x v="1"/>
    <n v="51"/>
    <x v="28"/>
    <x v="2"/>
    <s v="Beige"/>
    <x v="1"/>
    <n v="2.6"/>
    <s v="Yes"/>
    <x v="2"/>
    <s v="Yes"/>
    <n v="12"/>
    <x v="0"/>
    <s v="Bi-Weekly"/>
    <n v="0.1"/>
    <n v="45.9"/>
    <n v="51"/>
    <s v="Venmo"/>
    <s v="Normal"/>
    <s v="Poor"/>
  </r>
  <r>
    <n v="966"/>
    <n v="43"/>
    <x v="0"/>
    <x v="23"/>
    <x v="1"/>
    <n v="55"/>
    <x v="12"/>
    <x v="0"/>
    <s v="Black"/>
    <x v="1"/>
    <n v="5"/>
    <s v="Yes"/>
    <x v="5"/>
    <s v="Yes"/>
    <n v="10"/>
    <x v="2"/>
    <s v="Annually"/>
    <n v="0.1"/>
    <n v="49.5"/>
    <n v="55"/>
    <s v="Credit Card"/>
    <s v="Normal"/>
    <s v="Good"/>
  </r>
  <r>
    <n v="967"/>
    <n v="58"/>
    <x v="0"/>
    <x v="10"/>
    <x v="0"/>
    <n v="55"/>
    <x v="0"/>
    <x v="2"/>
    <s v="Brown"/>
    <x v="1"/>
    <n v="4.9000000000000004"/>
    <s v="Yes"/>
    <x v="0"/>
    <s v="Yes"/>
    <n v="19"/>
    <x v="1"/>
    <s v="Annually"/>
    <n v="0.1"/>
    <n v="49.5"/>
    <n v="55"/>
    <s v="Cash"/>
    <s v="Normal"/>
    <s v="Good"/>
  </r>
  <r>
    <n v="968"/>
    <n v="27"/>
    <x v="0"/>
    <x v="15"/>
    <x v="0"/>
    <n v="26"/>
    <x v="42"/>
    <x v="1"/>
    <s v="Silver"/>
    <x v="2"/>
    <n v="3.7"/>
    <s v="Yes"/>
    <x v="5"/>
    <s v="Yes"/>
    <n v="4"/>
    <x v="1"/>
    <s v="Weekly"/>
    <n v="0.1"/>
    <n v="23.4"/>
    <n v="26"/>
    <s v="Cash"/>
    <s v="Normal"/>
    <s v="Good"/>
  </r>
  <r>
    <n v="969"/>
    <n v="57"/>
    <x v="0"/>
    <x v="6"/>
    <x v="0"/>
    <n v="67"/>
    <x v="17"/>
    <x v="0"/>
    <s v="Gray"/>
    <x v="2"/>
    <n v="3.1"/>
    <s v="Yes"/>
    <x v="2"/>
    <s v="Yes"/>
    <n v="48"/>
    <x v="4"/>
    <s v="Quarterly"/>
    <n v="0.1"/>
    <n v="60.3"/>
    <n v="67"/>
    <s v="Bank Transfer"/>
    <s v="Normal"/>
    <s v="Good"/>
  </r>
  <r>
    <n v="970"/>
    <n v="40"/>
    <x v="0"/>
    <x v="7"/>
    <x v="2"/>
    <n v="31"/>
    <x v="18"/>
    <x v="1"/>
    <s v="Pink"/>
    <x v="3"/>
    <n v="3.2"/>
    <s v="Yes"/>
    <x v="0"/>
    <s v="Yes"/>
    <n v="37"/>
    <x v="3"/>
    <s v="Monthly"/>
    <n v="0.1"/>
    <n v="27.9"/>
    <n v="31"/>
    <s v="PayPal"/>
    <s v="Normal"/>
    <s v="Good"/>
  </r>
  <r>
    <n v="971"/>
    <n v="45"/>
    <x v="0"/>
    <x v="2"/>
    <x v="0"/>
    <n v="66"/>
    <x v="18"/>
    <x v="1"/>
    <s v="Maroon"/>
    <x v="0"/>
    <n v="4.4000000000000004"/>
    <s v="Yes"/>
    <x v="1"/>
    <s v="Yes"/>
    <n v="4"/>
    <x v="1"/>
    <s v="Monthly"/>
    <n v="0.1"/>
    <n v="59.4"/>
    <n v="66"/>
    <s v="Cash"/>
    <s v="Normal"/>
    <s v="Good"/>
  </r>
  <r>
    <n v="972"/>
    <n v="47"/>
    <x v="0"/>
    <x v="12"/>
    <x v="3"/>
    <n v="67"/>
    <x v="27"/>
    <x v="2"/>
    <s v="Cyan"/>
    <x v="2"/>
    <n v="4.3"/>
    <s v="Yes"/>
    <x v="2"/>
    <s v="Yes"/>
    <n v="15"/>
    <x v="2"/>
    <s v="Weekly"/>
    <n v="0.1"/>
    <n v="60.3"/>
    <n v="67"/>
    <s v="Credit Card"/>
    <s v="Normal"/>
    <s v="Good"/>
  </r>
  <r>
    <n v="973"/>
    <n v="61"/>
    <x v="0"/>
    <x v="4"/>
    <x v="1"/>
    <n v="61"/>
    <x v="24"/>
    <x v="0"/>
    <s v="Gold"/>
    <x v="0"/>
    <n v="3"/>
    <s v="Yes"/>
    <x v="3"/>
    <s v="Yes"/>
    <n v="33"/>
    <x v="2"/>
    <s v="Weekly"/>
    <n v="0.1"/>
    <n v="54.9"/>
    <n v="61"/>
    <s v="Credit Card"/>
    <s v="Normal"/>
    <s v="Good"/>
  </r>
  <r>
    <n v="974"/>
    <n v="60"/>
    <x v="0"/>
    <x v="14"/>
    <x v="2"/>
    <n v="75"/>
    <x v="24"/>
    <x v="2"/>
    <s v="Teal"/>
    <x v="3"/>
    <n v="3.5"/>
    <s v="Yes"/>
    <x v="4"/>
    <s v="Yes"/>
    <n v="30"/>
    <x v="4"/>
    <s v="Quarterly"/>
    <n v="0.1"/>
    <n v="67.5"/>
    <n v="75"/>
    <s v="Bank Transfer"/>
    <s v="Normal"/>
    <s v="Good"/>
  </r>
  <r>
    <n v="975"/>
    <n v="69"/>
    <x v="0"/>
    <x v="11"/>
    <x v="0"/>
    <n v="90"/>
    <x v="17"/>
    <x v="2"/>
    <s v="Beige"/>
    <x v="1"/>
    <n v="3.6"/>
    <s v="Yes"/>
    <x v="4"/>
    <s v="Yes"/>
    <n v="23"/>
    <x v="4"/>
    <s v="Monthly"/>
    <n v="0.1"/>
    <n v="81"/>
    <n v="90"/>
    <s v="Bank Transfer"/>
    <s v="Normal"/>
    <s v="Good"/>
  </r>
  <r>
    <n v="976"/>
    <n v="58"/>
    <x v="0"/>
    <x v="1"/>
    <x v="0"/>
    <n v="40"/>
    <x v="47"/>
    <x v="2"/>
    <s v="Olive"/>
    <x v="2"/>
    <n v="3.8"/>
    <s v="Yes"/>
    <x v="4"/>
    <s v="Yes"/>
    <n v="2"/>
    <x v="4"/>
    <s v="Weekly"/>
    <n v="0.1"/>
    <n v="36"/>
    <n v="40"/>
    <s v="Bank Transfer"/>
    <s v="Normal"/>
    <s v="Good"/>
  </r>
  <r>
    <n v="977"/>
    <n v="34"/>
    <x v="0"/>
    <x v="17"/>
    <x v="0"/>
    <n v="90"/>
    <x v="20"/>
    <x v="2"/>
    <s v="Gray"/>
    <x v="3"/>
    <n v="3.6"/>
    <s v="Yes"/>
    <x v="0"/>
    <s v="Yes"/>
    <n v="50"/>
    <x v="2"/>
    <s v="Every 3 Months"/>
    <n v="0.1"/>
    <n v="81"/>
    <n v="90"/>
    <s v="Credit Card"/>
    <s v="Normal"/>
    <s v="Good"/>
  </r>
  <r>
    <n v="978"/>
    <n v="20"/>
    <x v="0"/>
    <x v="22"/>
    <x v="3"/>
    <n v="20"/>
    <x v="47"/>
    <x v="2"/>
    <s v="Black"/>
    <x v="1"/>
    <n v="4.5999999999999996"/>
    <s v="Yes"/>
    <x v="0"/>
    <s v="Yes"/>
    <n v="34"/>
    <x v="1"/>
    <s v="Bi-Weekly"/>
    <n v="0.1"/>
    <n v="18"/>
    <n v="20"/>
    <s v="Cash"/>
    <s v="Normal"/>
    <s v="Good"/>
  </r>
  <r>
    <n v="979"/>
    <n v="56"/>
    <x v="0"/>
    <x v="24"/>
    <x v="3"/>
    <n v="40"/>
    <x v="24"/>
    <x v="2"/>
    <s v="Turquoise"/>
    <x v="2"/>
    <n v="2.5"/>
    <s v="Yes"/>
    <x v="3"/>
    <s v="Yes"/>
    <n v="33"/>
    <x v="2"/>
    <s v="Weekly"/>
    <n v="0.1"/>
    <n v="36"/>
    <n v="40"/>
    <s v="Credit Card"/>
    <s v="Normal"/>
    <s v="Poor"/>
  </r>
  <r>
    <n v="980"/>
    <n v="64"/>
    <x v="0"/>
    <x v="19"/>
    <x v="3"/>
    <n v="33"/>
    <x v="13"/>
    <x v="1"/>
    <s v="Brown"/>
    <x v="3"/>
    <n v="3.5"/>
    <s v="Yes"/>
    <x v="5"/>
    <s v="Yes"/>
    <n v="34"/>
    <x v="5"/>
    <s v="Monthly"/>
    <n v="0.1"/>
    <n v="29.7"/>
    <n v="33"/>
    <s v="Debit Card"/>
    <s v="Normal"/>
    <s v="Good"/>
  </r>
  <r>
    <n v="981"/>
    <n v="56"/>
    <x v="0"/>
    <x v="23"/>
    <x v="1"/>
    <n v="98"/>
    <x v="33"/>
    <x v="1"/>
    <s v="Magenta"/>
    <x v="1"/>
    <n v="4"/>
    <s v="Yes"/>
    <x v="1"/>
    <s v="Yes"/>
    <n v="39"/>
    <x v="3"/>
    <s v="Every 3 Months"/>
    <n v="0.1"/>
    <n v="88.2"/>
    <n v="98"/>
    <s v="PayPal"/>
    <s v="Normal"/>
    <s v="Good"/>
  </r>
  <r>
    <n v="982"/>
    <n v="27"/>
    <x v="0"/>
    <x v="22"/>
    <x v="3"/>
    <n v="42"/>
    <x v="33"/>
    <x v="2"/>
    <s v="Silver"/>
    <x v="1"/>
    <n v="3.5"/>
    <s v="Yes"/>
    <x v="2"/>
    <s v="Yes"/>
    <n v="47"/>
    <x v="2"/>
    <s v="Quarterly"/>
    <n v="0.1"/>
    <n v="37.799999999999997"/>
    <n v="42"/>
    <s v="Credit Card"/>
    <s v="Normal"/>
    <s v="Good"/>
  </r>
  <r>
    <n v="983"/>
    <n v="35"/>
    <x v="0"/>
    <x v="7"/>
    <x v="2"/>
    <n v="62"/>
    <x v="21"/>
    <x v="1"/>
    <s v="Red"/>
    <x v="2"/>
    <n v="3.2"/>
    <s v="Yes"/>
    <x v="3"/>
    <s v="Yes"/>
    <n v="37"/>
    <x v="3"/>
    <s v="Monthly"/>
    <n v="0.1"/>
    <n v="55.8"/>
    <n v="62"/>
    <s v="PayPal"/>
    <s v="Normal"/>
    <s v="Good"/>
  </r>
  <r>
    <n v="984"/>
    <n v="24"/>
    <x v="0"/>
    <x v="19"/>
    <x v="3"/>
    <n v="45"/>
    <x v="35"/>
    <x v="0"/>
    <s v="Indigo"/>
    <x v="0"/>
    <n v="3.5"/>
    <s v="Yes"/>
    <x v="1"/>
    <s v="Yes"/>
    <n v="40"/>
    <x v="0"/>
    <s v="Bi-Weekly"/>
    <n v="0.1"/>
    <n v="40.5"/>
    <n v="45"/>
    <s v="Venmo"/>
    <s v="Normal"/>
    <s v="Good"/>
  </r>
  <r>
    <n v="985"/>
    <n v="26"/>
    <x v="0"/>
    <x v="9"/>
    <x v="1"/>
    <n v="78"/>
    <x v="40"/>
    <x v="2"/>
    <s v="Green"/>
    <x v="2"/>
    <n v="3.4"/>
    <s v="Yes"/>
    <x v="1"/>
    <s v="Yes"/>
    <n v="8"/>
    <x v="2"/>
    <s v="Bi-Weekly"/>
    <n v="0.1"/>
    <n v="70.2"/>
    <n v="78"/>
    <s v="Credit Card"/>
    <s v="Normal"/>
    <s v="Good"/>
  </r>
  <r>
    <n v="986"/>
    <n v="32"/>
    <x v="0"/>
    <x v="8"/>
    <x v="3"/>
    <n v="80"/>
    <x v="8"/>
    <x v="2"/>
    <s v="Gray"/>
    <x v="3"/>
    <n v="5"/>
    <s v="Yes"/>
    <x v="0"/>
    <s v="Yes"/>
    <n v="12"/>
    <x v="4"/>
    <s v="Annually"/>
    <n v="0.1"/>
    <n v="72"/>
    <n v="80"/>
    <s v="Bank Transfer"/>
    <s v="Normal"/>
    <s v="Good"/>
  </r>
  <r>
    <n v="987"/>
    <n v="54"/>
    <x v="0"/>
    <x v="18"/>
    <x v="3"/>
    <n v="96"/>
    <x v="39"/>
    <x v="1"/>
    <s v="Peach"/>
    <x v="1"/>
    <n v="4.5"/>
    <s v="Yes"/>
    <x v="5"/>
    <s v="Yes"/>
    <n v="36"/>
    <x v="4"/>
    <s v="Monthly"/>
    <n v="0.1"/>
    <n v="86.4"/>
    <n v="96"/>
    <s v="Bank Transfer"/>
    <s v="Normal"/>
    <s v="Good"/>
  </r>
  <r>
    <n v="988"/>
    <n v="62"/>
    <x v="0"/>
    <x v="8"/>
    <x v="3"/>
    <n v="47"/>
    <x v="8"/>
    <x v="2"/>
    <s v="Charcoal"/>
    <x v="2"/>
    <n v="2.8"/>
    <s v="Yes"/>
    <x v="0"/>
    <s v="Yes"/>
    <n v="48"/>
    <x v="3"/>
    <s v="Weekly"/>
    <n v="0.1"/>
    <n v="42.3"/>
    <n v="47"/>
    <s v="PayPal"/>
    <s v="Normal"/>
    <s v="Poor"/>
  </r>
  <r>
    <n v="989"/>
    <n v="50"/>
    <x v="0"/>
    <x v="13"/>
    <x v="0"/>
    <n v="84"/>
    <x v="31"/>
    <x v="2"/>
    <s v="Orange"/>
    <x v="0"/>
    <n v="4.9000000000000004"/>
    <s v="Yes"/>
    <x v="4"/>
    <s v="Yes"/>
    <n v="47"/>
    <x v="3"/>
    <s v="Fortnightly"/>
    <n v="0.1"/>
    <n v="75.599999999999994"/>
    <n v="84"/>
    <s v="PayPal"/>
    <s v="Normal"/>
    <s v="Good"/>
  </r>
  <r>
    <n v="990"/>
    <n v="70"/>
    <x v="0"/>
    <x v="9"/>
    <x v="1"/>
    <n v="31"/>
    <x v="21"/>
    <x v="2"/>
    <s v="Beige"/>
    <x v="1"/>
    <n v="3.1"/>
    <s v="Yes"/>
    <x v="5"/>
    <s v="Yes"/>
    <n v="2"/>
    <x v="4"/>
    <s v="Monthly"/>
    <n v="0.1"/>
    <n v="27.9"/>
    <n v="31"/>
    <s v="Bank Transfer"/>
    <s v="Normal"/>
    <s v="Good"/>
  </r>
  <r>
    <n v="991"/>
    <n v="48"/>
    <x v="0"/>
    <x v="12"/>
    <x v="3"/>
    <n v="63"/>
    <x v="47"/>
    <x v="1"/>
    <s v="Yellow"/>
    <x v="1"/>
    <n v="4.8"/>
    <s v="Yes"/>
    <x v="5"/>
    <s v="Yes"/>
    <n v="24"/>
    <x v="1"/>
    <s v="Weekly"/>
    <n v="0.1"/>
    <n v="56.7"/>
    <n v="63"/>
    <s v="Cash"/>
    <s v="Normal"/>
    <s v="Good"/>
  </r>
  <r>
    <n v="992"/>
    <n v="20"/>
    <x v="0"/>
    <x v="6"/>
    <x v="0"/>
    <n v="97"/>
    <x v="48"/>
    <x v="3"/>
    <s v="White"/>
    <x v="1"/>
    <n v="2.7"/>
    <s v="Yes"/>
    <x v="3"/>
    <s v="Yes"/>
    <n v="40"/>
    <x v="4"/>
    <s v="Bi-Weekly"/>
    <n v="0.1"/>
    <n v="87.3"/>
    <n v="97"/>
    <s v="Bank Transfer"/>
    <s v="Normal"/>
    <s v="Poor"/>
  </r>
  <r>
    <n v="993"/>
    <n v="46"/>
    <x v="0"/>
    <x v="14"/>
    <x v="2"/>
    <n v="99"/>
    <x v="7"/>
    <x v="2"/>
    <s v="Gray"/>
    <x v="0"/>
    <n v="4.5999999999999996"/>
    <s v="Yes"/>
    <x v="0"/>
    <s v="Yes"/>
    <n v="50"/>
    <x v="5"/>
    <s v="Weekly"/>
    <n v="0.1"/>
    <n v="89.1"/>
    <n v="99"/>
    <s v="Debit Card"/>
    <s v="Normal"/>
    <s v="Good"/>
  </r>
  <r>
    <n v="994"/>
    <n v="51"/>
    <x v="0"/>
    <x v="3"/>
    <x v="1"/>
    <n v="90"/>
    <x v="44"/>
    <x v="2"/>
    <s v="Peach"/>
    <x v="0"/>
    <n v="4.4000000000000004"/>
    <s v="Yes"/>
    <x v="5"/>
    <s v="Yes"/>
    <n v="25"/>
    <x v="1"/>
    <s v="Weekly"/>
    <n v="0.1"/>
    <n v="81"/>
    <n v="90"/>
    <s v="Cash"/>
    <s v="Normal"/>
    <s v="Good"/>
  </r>
  <r>
    <n v="995"/>
    <n v="53"/>
    <x v="0"/>
    <x v="9"/>
    <x v="1"/>
    <n v="68"/>
    <x v="14"/>
    <x v="0"/>
    <s v="Violet"/>
    <x v="3"/>
    <n v="3.2"/>
    <s v="Yes"/>
    <x v="0"/>
    <s v="Yes"/>
    <n v="20"/>
    <x v="5"/>
    <s v="Monthly"/>
    <n v="0.1"/>
    <n v="61.2"/>
    <n v="68"/>
    <s v="Debit Card"/>
    <s v="Normal"/>
    <s v="Good"/>
  </r>
  <r>
    <n v="996"/>
    <n v="44"/>
    <x v="0"/>
    <x v="16"/>
    <x v="3"/>
    <n v="80"/>
    <x v="37"/>
    <x v="2"/>
    <s v="Magenta"/>
    <x v="1"/>
    <n v="3"/>
    <s v="Yes"/>
    <x v="4"/>
    <s v="Yes"/>
    <n v="10"/>
    <x v="0"/>
    <s v="Weekly"/>
    <n v="0.1"/>
    <n v="72"/>
    <n v="80"/>
    <s v="Venmo"/>
    <s v="Normal"/>
    <s v="Good"/>
  </r>
  <r>
    <n v="997"/>
    <n v="29"/>
    <x v="0"/>
    <x v="3"/>
    <x v="1"/>
    <n v="91"/>
    <x v="12"/>
    <x v="0"/>
    <s v="Maroon"/>
    <x v="2"/>
    <n v="4.9000000000000004"/>
    <s v="Yes"/>
    <x v="3"/>
    <s v="Yes"/>
    <n v="32"/>
    <x v="4"/>
    <s v="Quarterly"/>
    <n v="0.1"/>
    <n v="81.900000000000006"/>
    <n v="91"/>
    <s v="Bank Transfer"/>
    <s v="Normal"/>
    <s v="Good"/>
  </r>
  <r>
    <n v="998"/>
    <n v="64"/>
    <x v="0"/>
    <x v="13"/>
    <x v="0"/>
    <n v="30"/>
    <x v="0"/>
    <x v="2"/>
    <s v="Cyan"/>
    <x v="1"/>
    <n v="3.6"/>
    <s v="Yes"/>
    <x v="0"/>
    <s v="Yes"/>
    <n v="31"/>
    <x v="1"/>
    <s v="Fortnightly"/>
    <n v="0.1"/>
    <n v="27"/>
    <n v="30"/>
    <s v="Cash"/>
    <s v="Normal"/>
    <s v="Good"/>
  </r>
  <r>
    <n v="999"/>
    <n v="51"/>
    <x v="0"/>
    <x v="9"/>
    <x v="1"/>
    <n v="90"/>
    <x v="39"/>
    <x v="2"/>
    <s v="White"/>
    <x v="1"/>
    <n v="3.8"/>
    <s v="Yes"/>
    <x v="2"/>
    <s v="Yes"/>
    <n v="48"/>
    <x v="4"/>
    <s v="Bi-Weekly"/>
    <n v="0.1"/>
    <n v="81"/>
    <n v="90"/>
    <s v="Bank Transfer"/>
    <s v="Normal"/>
    <s v="Good"/>
  </r>
  <r>
    <n v="1000"/>
    <n v="50"/>
    <x v="0"/>
    <x v="20"/>
    <x v="0"/>
    <n v="28"/>
    <x v="35"/>
    <x v="0"/>
    <s v="Brown"/>
    <x v="1"/>
    <n v="2.9"/>
    <s v="Yes"/>
    <x v="3"/>
    <s v="Yes"/>
    <n v="23"/>
    <x v="5"/>
    <s v="Monthly"/>
    <n v="0.1"/>
    <n v="25.2"/>
    <n v="28"/>
    <s v="Debit Card"/>
    <s v="Normal"/>
    <s v="Poor"/>
  </r>
  <r>
    <n v="1001"/>
    <n v="43"/>
    <x v="0"/>
    <x v="20"/>
    <x v="0"/>
    <n v="46"/>
    <x v="42"/>
    <x v="2"/>
    <s v="Red"/>
    <x v="0"/>
    <n v="3.9"/>
    <s v="Yes"/>
    <x v="0"/>
    <s v="Yes"/>
    <n v="1"/>
    <x v="4"/>
    <s v="Bi-Weekly"/>
    <n v="0.1"/>
    <n v="41.4"/>
    <n v="46"/>
    <s v="Bank Transfer"/>
    <s v="Normal"/>
    <s v="Good"/>
  </r>
  <r>
    <n v="1002"/>
    <n v="61"/>
    <x v="0"/>
    <x v="10"/>
    <x v="0"/>
    <n v="60"/>
    <x v="47"/>
    <x v="2"/>
    <s v="Orange"/>
    <x v="3"/>
    <n v="3.6"/>
    <s v="Yes"/>
    <x v="3"/>
    <s v="Yes"/>
    <n v="4"/>
    <x v="5"/>
    <s v="Fortnightly"/>
    <n v="0.1"/>
    <n v="54"/>
    <n v="60"/>
    <s v="Debit Card"/>
    <s v="Normal"/>
    <s v="Good"/>
  </r>
  <r>
    <n v="1003"/>
    <n v="55"/>
    <x v="0"/>
    <x v="9"/>
    <x v="1"/>
    <n v="59"/>
    <x v="25"/>
    <x v="2"/>
    <s v="White"/>
    <x v="1"/>
    <n v="3.5"/>
    <s v="Yes"/>
    <x v="5"/>
    <s v="Yes"/>
    <n v="3"/>
    <x v="4"/>
    <s v="Bi-Weekly"/>
    <n v="0.1"/>
    <n v="53.1"/>
    <n v="59"/>
    <s v="Bank Transfer"/>
    <s v="Normal"/>
    <s v="Good"/>
  </r>
  <r>
    <n v="1004"/>
    <n v="56"/>
    <x v="0"/>
    <x v="19"/>
    <x v="3"/>
    <n v="68"/>
    <x v="31"/>
    <x v="2"/>
    <s v="Green"/>
    <x v="3"/>
    <n v="4"/>
    <s v="Yes"/>
    <x v="5"/>
    <s v="Yes"/>
    <n v="3"/>
    <x v="1"/>
    <s v="Bi-Weekly"/>
    <n v="0.1"/>
    <n v="61.2"/>
    <n v="68"/>
    <s v="Cash"/>
    <s v="Normal"/>
    <s v="Good"/>
  </r>
  <r>
    <n v="1005"/>
    <n v="33"/>
    <x v="0"/>
    <x v="21"/>
    <x v="3"/>
    <n v="79"/>
    <x v="30"/>
    <x v="2"/>
    <s v="Black"/>
    <x v="2"/>
    <n v="4.8"/>
    <s v="Yes"/>
    <x v="4"/>
    <s v="Yes"/>
    <n v="44"/>
    <x v="1"/>
    <s v="Annually"/>
    <n v="0.1"/>
    <n v="71.099999999999994"/>
    <n v="79"/>
    <s v="Cash"/>
    <s v="Normal"/>
    <s v="Good"/>
  </r>
  <r>
    <n v="1006"/>
    <n v="43"/>
    <x v="0"/>
    <x v="21"/>
    <x v="3"/>
    <n v="94"/>
    <x v="14"/>
    <x v="2"/>
    <s v="Gold"/>
    <x v="0"/>
    <n v="3.9"/>
    <s v="Yes"/>
    <x v="5"/>
    <s v="Yes"/>
    <n v="5"/>
    <x v="5"/>
    <s v="Bi-Weekly"/>
    <n v="0.1"/>
    <n v="84.6"/>
    <n v="94"/>
    <s v="Debit Card"/>
    <s v="Normal"/>
    <s v="Good"/>
  </r>
  <r>
    <n v="1007"/>
    <n v="21"/>
    <x v="0"/>
    <x v="13"/>
    <x v="0"/>
    <n v="83"/>
    <x v="49"/>
    <x v="1"/>
    <s v="Lavender"/>
    <x v="2"/>
    <n v="4.5"/>
    <s v="Yes"/>
    <x v="2"/>
    <s v="Yes"/>
    <n v="50"/>
    <x v="0"/>
    <s v="Quarterly"/>
    <n v="0.1"/>
    <n v="74.7"/>
    <n v="83"/>
    <s v="Venmo"/>
    <s v="Normal"/>
    <s v="Good"/>
  </r>
  <r>
    <n v="1008"/>
    <n v="58"/>
    <x v="0"/>
    <x v="24"/>
    <x v="3"/>
    <n v="62"/>
    <x v="42"/>
    <x v="3"/>
    <s v="Turquoise"/>
    <x v="1"/>
    <n v="4.8"/>
    <s v="Yes"/>
    <x v="3"/>
    <s v="Yes"/>
    <n v="2"/>
    <x v="2"/>
    <s v="Annually"/>
    <n v="0.1"/>
    <n v="55.8"/>
    <n v="62"/>
    <s v="Credit Card"/>
    <s v="Normal"/>
    <s v="Good"/>
  </r>
  <r>
    <n v="1009"/>
    <n v="41"/>
    <x v="0"/>
    <x v="18"/>
    <x v="3"/>
    <n v="85"/>
    <x v="35"/>
    <x v="2"/>
    <s v="Pink"/>
    <x v="1"/>
    <n v="2.6"/>
    <s v="Yes"/>
    <x v="5"/>
    <s v="Yes"/>
    <n v="29"/>
    <x v="3"/>
    <s v="Annually"/>
    <n v="0.1"/>
    <n v="76.5"/>
    <n v="85"/>
    <s v="PayPal"/>
    <s v="Normal"/>
    <s v="Poor"/>
  </r>
  <r>
    <n v="1010"/>
    <n v="39"/>
    <x v="0"/>
    <x v="15"/>
    <x v="0"/>
    <n v="30"/>
    <x v="7"/>
    <x v="2"/>
    <s v="Silver"/>
    <x v="2"/>
    <n v="3.1"/>
    <s v="Yes"/>
    <x v="0"/>
    <s v="Yes"/>
    <n v="11"/>
    <x v="0"/>
    <s v="Annually"/>
    <n v="0.1"/>
    <n v="27"/>
    <n v="30"/>
    <s v="Venmo"/>
    <s v="Normal"/>
    <s v="Good"/>
  </r>
  <r>
    <n v="1011"/>
    <n v="54"/>
    <x v="0"/>
    <x v="2"/>
    <x v="0"/>
    <n v="24"/>
    <x v="45"/>
    <x v="3"/>
    <s v="Gray"/>
    <x v="1"/>
    <n v="4.7"/>
    <s v="Yes"/>
    <x v="4"/>
    <s v="Yes"/>
    <n v="37"/>
    <x v="2"/>
    <s v="Fortnightly"/>
    <n v="0.1"/>
    <n v="21.6"/>
    <n v="24"/>
    <s v="Credit Card"/>
    <s v="Normal"/>
    <s v="Good"/>
  </r>
  <r>
    <n v="1012"/>
    <n v="43"/>
    <x v="0"/>
    <x v="21"/>
    <x v="3"/>
    <n v="25"/>
    <x v="6"/>
    <x v="0"/>
    <s v="Indigo"/>
    <x v="1"/>
    <n v="2.9"/>
    <s v="Yes"/>
    <x v="2"/>
    <s v="Yes"/>
    <n v="32"/>
    <x v="5"/>
    <s v="Fortnightly"/>
    <n v="0.1"/>
    <n v="22.5"/>
    <n v="25"/>
    <s v="Debit Card"/>
    <s v="Normal"/>
    <s v="Poor"/>
  </r>
  <r>
    <n v="1013"/>
    <n v="28"/>
    <x v="0"/>
    <x v="3"/>
    <x v="1"/>
    <n v="37"/>
    <x v="35"/>
    <x v="0"/>
    <s v="Teal"/>
    <x v="2"/>
    <n v="3.8"/>
    <s v="Yes"/>
    <x v="0"/>
    <s v="Yes"/>
    <n v="27"/>
    <x v="2"/>
    <s v="Annually"/>
    <n v="0.1"/>
    <n v="33.299999999999997"/>
    <n v="37"/>
    <s v="Credit Card"/>
    <s v="Normal"/>
    <s v="Good"/>
  </r>
  <r>
    <n v="1014"/>
    <n v="59"/>
    <x v="0"/>
    <x v="22"/>
    <x v="3"/>
    <n v="69"/>
    <x v="36"/>
    <x v="3"/>
    <s v="Green"/>
    <x v="2"/>
    <n v="3.8"/>
    <s v="Yes"/>
    <x v="4"/>
    <s v="Yes"/>
    <n v="31"/>
    <x v="0"/>
    <s v="Bi-Weekly"/>
    <n v="0.1"/>
    <n v="62.1"/>
    <n v="69"/>
    <s v="Venmo"/>
    <s v="Normal"/>
    <s v="Good"/>
  </r>
  <r>
    <n v="1015"/>
    <n v="28"/>
    <x v="0"/>
    <x v="9"/>
    <x v="1"/>
    <n v="97"/>
    <x v="31"/>
    <x v="2"/>
    <s v="Violet"/>
    <x v="2"/>
    <n v="3"/>
    <s v="Yes"/>
    <x v="3"/>
    <s v="Yes"/>
    <n v="36"/>
    <x v="5"/>
    <s v="Fortnightly"/>
    <n v="0.1"/>
    <n v="87.3"/>
    <n v="97"/>
    <s v="Debit Card"/>
    <s v="Normal"/>
    <s v="Good"/>
  </r>
  <r>
    <n v="1016"/>
    <n v="68"/>
    <x v="0"/>
    <x v="24"/>
    <x v="3"/>
    <n v="24"/>
    <x v="17"/>
    <x v="2"/>
    <s v="Cyan"/>
    <x v="2"/>
    <n v="4.0999999999999996"/>
    <s v="Yes"/>
    <x v="3"/>
    <s v="Yes"/>
    <n v="34"/>
    <x v="1"/>
    <s v="Weekly"/>
    <n v="0.1"/>
    <n v="21.6"/>
    <n v="24"/>
    <s v="Cash"/>
    <s v="Normal"/>
    <s v="Good"/>
  </r>
  <r>
    <n v="1017"/>
    <n v="20"/>
    <x v="0"/>
    <x v="22"/>
    <x v="3"/>
    <n v="30"/>
    <x v="37"/>
    <x v="3"/>
    <s v="Blue"/>
    <x v="2"/>
    <n v="3.4"/>
    <s v="Yes"/>
    <x v="0"/>
    <s v="Yes"/>
    <n v="15"/>
    <x v="4"/>
    <s v="Every 3 Months"/>
    <n v="0.1"/>
    <n v="27"/>
    <n v="30"/>
    <s v="Bank Transfer"/>
    <s v="Normal"/>
    <s v="Good"/>
  </r>
  <r>
    <n v="1018"/>
    <n v="21"/>
    <x v="0"/>
    <x v="14"/>
    <x v="2"/>
    <n v="53"/>
    <x v="19"/>
    <x v="0"/>
    <s v="Orange"/>
    <x v="3"/>
    <n v="2.5"/>
    <s v="Yes"/>
    <x v="0"/>
    <s v="Yes"/>
    <n v="14"/>
    <x v="2"/>
    <s v="Annually"/>
    <n v="0.1"/>
    <n v="47.7"/>
    <n v="53"/>
    <s v="Credit Card"/>
    <s v="Normal"/>
    <s v="Poor"/>
  </r>
  <r>
    <n v="1019"/>
    <n v="50"/>
    <x v="0"/>
    <x v="10"/>
    <x v="0"/>
    <n v="70"/>
    <x v="42"/>
    <x v="3"/>
    <s v="Charcoal"/>
    <x v="1"/>
    <n v="4.9000000000000004"/>
    <s v="Yes"/>
    <x v="2"/>
    <s v="Yes"/>
    <n v="46"/>
    <x v="1"/>
    <s v="Weekly"/>
    <n v="0.1"/>
    <n v="63"/>
    <n v="70"/>
    <s v="Cash"/>
    <s v="Normal"/>
    <s v="Good"/>
  </r>
  <r>
    <n v="1020"/>
    <n v="32"/>
    <x v="0"/>
    <x v="5"/>
    <x v="0"/>
    <n v="76"/>
    <x v="0"/>
    <x v="1"/>
    <s v="Beige"/>
    <x v="0"/>
    <n v="2.8"/>
    <s v="Yes"/>
    <x v="3"/>
    <s v="Yes"/>
    <n v="33"/>
    <x v="0"/>
    <s v="Bi-Weekly"/>
    <n v="0.1"/>
    <n v="68.400000000000006"/>
    <n v="76"/>
    <s v="Venmo"/>
    <s v="Normal"/>
    <s v="Poor"/>
  </r>
  <r>
    <n v="1021"/>
    <n v="24"/>
    <x v="0"/>
    <x v="18"/>
    <x v="3"/>
    <n v="95"/>
    <x v="12"/>
    <x v="2"/>
    <s v="Black"/>
    <x v="3"/>
    <n v="4.5"/>
    <s v="Yes"/>
    <x v="0"/>
    <s v="Yes"/>
    <n v="41"/>
    <x v="5"/>
    <s v="Annually"/>
    <n v="0.1"/>
    <n v="85.5"/>
    <n v="95"/>
    <s v="Debit Card"/>
    <s v="Normal"/>
    <s v="Good"/>
  </r>
  <r>
    <n v="1022"/>
    <n v="55"/>
    <x v="0"/>
    <x v="7"/>
    <x v="2"/>
    <n v="51"/>
    <x v="2"/>
    <x v="1"/>
    <s v="Lavender"/>
    <x v="0"/>
    <n v="4.9000000000000004"/>
    <s v="Yes"/>
    <x v="4"/>
    <s v="Yes"/>
    <n v="39"/>
    <x v="3"/>
    <s v="Weekly"/>
    <n v="0.1"/>
    <n v="45.9"/>
    <n v="51"/>
    <s v="PayPal"/>
    <s v="Normal"/>
    <s v="Good"/>
  </r>
  <r>
    <n v="1023"/>
    <n v="61"/>
    <x v="0"/>
    <x v="8"/>
    <x v="3"/>
    <n v="41"/>
    <x v="43"/>
    <x v="2"/>
    <s v="Lavender"/>
    <x v="0"/>
    <n v="4.9000000000000004"/>
    <s v="Yes"/>
    <x v="5"/>
    <s v="Yes"/>
    <n v="7"/>
    <x v="1"/>
    <s v="Annually"/>
    <n v="0.1"/>
    <n v="36.9"/>
    <n v="41"/>
    <s v="Cash"/>
    <s v="Normal"/>
    <s v="Good"/>
  </r>
  <r>
    <n v="1024"/>
    <n v="61"/>
    <x v="0"/>
    <x v="12"/>
    <x v="3"/>
    <n v="71"/>
    <x v="1"/>
    <x v="1"/>
    <s v="Turquoise"/>
    <x v="0"/>
    <n v="3.5"/>
    <s v="Yes"/>
    <x v="1"/>
    <s v="Yes"/>
    <n v="29"/>
    <x v="4"/>
    <s v="Every 3 Months"/>
    <n v="0.1"/>
    <n v="63.9"/>
    <n v="71"/>
    <s v="Bank Transfer"/>
    <s v="Normal"/>
    <s v="Good"/>
  </r>
  <r>
    <n v="1025"/>
    <n v="28"/>
    <x v="0"/>
    <x v="17"/>
    <x v="0"/>
    <n v="66"/>
    <x v="38"/>
    <x v="2"/>
    <s v="Purple"/>
    <x v="2"/>
    <n v="3.5"/>
    <s v="Yes"/>
    <x v="1"/>
    <s v="Yes"/>
    <n v="18"/>
    <x v="0"/>
    <s v="Quarterly"/>
    <n v="0.1"/>
    <n v="59.4"/>
    <n v="66"/>
    <s v="Venmo"/>
    <s v="Normal"/>
    <s v="Good"/>
  </r>
  <r>
    <n v="1026"/>
    <n v="60"/>
    <x v="0"/>
    <x v="5"/>
    <x v="0"/>
    <n v="84"/>
    <x v="43"/>
    <x v="2"/>
    <s v="Olive"/>
    <x v="0"/>
    <n v="4.9000000000000004"/>
    <s v="Yes"/>
    <x v="1"/>
    <s v="Yes"/>
    <n v="15"/>
    <x v="2"/>
    <s v="Annually"/>
    <n v="0.1"/>
    <n v="75.599999999999994"/>
    <n v="84"/>
    <s v="Credit Card"/>
    <s v="Normal"/>
    <s v="Good"/>
  </r>
  <r>
    <n v="1027"/>
    <n v="49"/>
    <x v="0"/>
    <x v="8"/>
    <x v="3"/>
    <n v="95"/>
    <x v="41"/>
    <x v="0"/>
    <s v="Turquoise"/>
    <x v="0"/>
    <n v="3"/>
    <s v="Yes"/>
    <x v="0"/>
    <s v="Yes"/>
    <n v="39"/>
    <x v="3"/>
    <s v="Bi-Weekly"/>
    <n v="0.1"/>
    <n v="85.5"/>
    <n v="95"/>
    <s v="PayPal"/>
    <s v="Normal"/>
    <s v="Good"/>
  </r>
  <r>
    <n v="1028"/>
    <n v="33"/>
    <x v="0"/>
    <x v="16"/>
    <x v="3"/>
    <n v="90"/>
    <x v="31"/>
    <x v="0"/>
    <s v="Teal"/>
    <x v="2"/>
    <n v="2.8"/>
    <s v="Yes"/>
    <x v="2"/>
    <s v="Yes"/>
    <n v="11"/>
    <x v="1"/>
    <s v="Monthly"/>
    <n v="0.1"/>
    <n v="81"/>
    <n v="90"/>
    <s v="Cash"/>
    <s v="Normal"/>
    <s v="Poor"/>
  </r>
  <r>
    <n v="1029"/>
    <n v="45"/>
    <x v="0"/>
    <x v="15"/>
    <x v="0"/>
    <n v="36"/>
    <x v="43"/>
    <x v="1"/>
    <s v="Lavender"/>
    <x v="2"/>
    <n v="3.7"/>
    <s v="Yes"/>
    <x v="3"/>
    <s v="Yes"/>
    <n v="4"/>
    <x v="1"/>
    <s v="Fortnightly"/>
    <n v="0.1"/>
    <n v="32.4"/>
    <n v="36"/>
    <s v="Cash"/>
    <s v="Normal"/>
    <s v="Good"/>
  </r>
  <r>
    <n v="1030"/>
    <n v="29"/>
    <x v="0"/>
    <x v="24"/>
    <x v="3"/>
    <n v="22"/>
    <x v="31"/>
    <x v="2"/>
    <s v="Purple"/>
    <x v="1"/>
    <n v="3.6"/>
    <s v="Yes"/>
    <x v="4"/>
    <s v="Yes"/>
    <n v="33"/>
    <x v="0"/>
    <s v="Bi-Weekly"/>
    <n v="0.1"/>
    <n v="19.8"/>
    <n v="22"/>
    <s v="Venmo"/>
    <s v="Normal"/>
    <s v="Good"/>
  </r>
  <r>
    <n v="1031"/>
    <n v="58"/>
    <x v="0"/>
    <x v="7"/>
    <x v="2"/>
    <n v="89"/>
    <x v="0"/>
    <x v="0"/>
    <s v="Blue"/>
    <x v="0"/>
    <n v="3.3"/>
    <s v="Yes"/>
    <x v="2"/>
    <s v="Yes"/>
    <n v="37"/>
    <x v="5"/>
    <s v="Quarterly"/>
    <n v="0.1"/>
    <n v="80.099999999999994"/>
    <n v="89"/>
    <s v="Debit Card"/>
    <s v="Normal"/>
    <s v="Good"/>
  </r>
  <r>
    <n v="1032"/>
    <n v="22"/>
    <x v="0"/>
    <x v="3"/>
    <x v="1"/>
    <n v="50"/>
    <x v="30"/>
    <x v="2"/>
    <s v="Teal"/>
    <x v="1"/>
    <n v="3.4"/>
    <s v="Yes"/>
    <x v="1"/>
    <s v="Yes"/>
    <n v="32"/>
    <x v="1"/>
    <s v="Quarterly"/>
    <n v="0.1"/>
    <n v="45"/>
    <n v="50"/>
    <s v="Cash"/>
    <s v="Normal"/>
    <s v="Good"/>
  </r>
  <r>
    <n v="1033"/>
    <n v="55"/>
    <x v="0"/>
    <x v="23"/>
    <x v="1"/>
    <n v="36"/>
    <x v="1"/>
    <x v="2"/>
    <s v="Lavender"/>
    <x v="3"/>
    <n v="4"/>
    <s v="Yes"/>
    <x v="1"/>
    <s v="Yes"/>
    <n v="44"/>
    <x v="2"/>
    <s v="Quarterly"/>
    <n v="0.1"/>
    <n v="32.4"/>
    <n v="36"/>
    <s v="Credit Card"/>
    <s v="Normal"/>
    <s v="Good"/>
  </r>
  <r>
    <n v="1034"/>
    <n v="19"/>
    <x v="0"/>
    <x v="13"/>
    <x v="0"/>
    <n v="52"/>
    <x v="6"/>
    <x v="1"/>
    <s v="Silver"/>
    <x v="1"/>
    <n v="4.5999999999999996"/>
    <s v="Yes"/>
    <x v="1"/>
    <s v="Yes"/>
    <n v="41"/>
    <x v="4"/>
    <s v="Quarterly"/>
    <n v="0.1"/>
    <n v="46.8"/>
    <n v="52"/>
    <s v="Bank Transfer"/>
    <s v="Normal"/>
    <s v="Good"/>
  </r>
  <r>
    <n v="1035"/>
    <n v="68"/>
    <x v="0"/>
    <x v="20"/>
    <x v="0"/>
    <n v="29"/>
    <x v="33"/>
    <x v="2"/>
    <s v="Olive"/>
    <x v="3"/>
    <n v="4.2"/>
    <s v="Yes"/>
    <x v="2"/>
    <s v="Yes"/>
    <n v="44"/>
    <x v="4"/>
    <s v="Weekly"/>
    <n v="0.1"/>
    <n v="26.1"/>
    <n v="29"/>
    <s v="Bank Transfer"/>
    <s v="Normal"/>
    <s v="Good"/>
  </r>
  <r>
    <n v="1036"/>
    <n v="61"/>
    <x v="0"/>
    <x v="0"/>
    <x v="0"/>
    <n v="89"/>
    <x v="42"/>
    <x v="2"/>
    <s v="Brown"/>
    <x v="3"/>
    <n v="2.8"/>
    <s v="Yes"/>
    <x v="0"/>
    <s v="Yes"/>
    <n v="32"/>
    <x v="0"/>
    <s v="Annually"/>
    <n v="0.1"/>
    <n v="80.099999999999994"/>
    <n v="89"/>
    <s v="Venmo"/>
    <s v="Normal"/>
    <s v="Poor"/>
  </r>
  <r>
    <n v="1037"/>
    <n v="68"/>
    <x v="0"/>
    <x v="8"/>
    <x v="3"/>
    <n v="47"/>
    <x v="11"/>
    <x v="2"/>
    <s v="Yellow"/>
    <x v="3"/>
    <n v="3.7"/>
    <s v="Yes"/>
    <x v="4"/>
    <s v="Yes"/>
    <n v="13"/>
    <x v="4"/>
    <s v="Monthly"/>
    <n v="0.1"/>
    <n v="42.3"/>
    <n v="47"/>
    <s v="Bank Transfer"/>
    <s v="Normal"/>
    <s v="Good"/>
  </r>
  <r>
    <n v="1038"/>
    <n v="52"/>
    <x v="0"/>
    <x v="16"/>
    <x v="3"/>
    <n v="25"/>
    <x v="3"/>
    <x v="3"/>
    <s v="Brown"/>
    <x v="1"/>
    <n v="3.4"/>
    <s v="Yes"/>
    <x v="3"/>
    <s v="Yes"/>
    <n v="48"/>
    <x v="5"/>
    <s v="Quarterly"/>
    <n v="0.1"/>
    <n v="22.5"/>
    <n v="25"/>
    <s v="Debit Card"/>
    <s v="Normal"/>
    <s v="Good"/>
  </r>
  <r>
    <n v="1039"/>
    <n v="41"/>
    <x v="0"/>
    <x v="13"/>
    <x v="0"/>
    <n v="74"/>
    <x v="43"/>
    <x v="3"/>
    <s v="Cyan"/>
    <x v="3"/>
    <n v="3"/>
    <s v="Yes"/>
    <x v="0"/>
    <s v="Yes"/>
    <n v="3"/>
    <x v="4"/>
    <s v="Weekly"/>
    <n v="0.1"/>
    <n v="66.599999999999994"/>
    <n v="74"/>
    <s v="Bank Transfer"/>
    <s v="Normal"/>
    <s v="Good"/>
  </r>
  <r>
    <n v="1040"/>
    <n v="29"/>
    <x v="0"/>
    <x v="22"/>
    <x v="3"/>
    <n v="46"/>
    <x v="49"/>
    <x v="2"/>
    <s v="Magenta"/>
    <x v="3"/>
    <n v="4.8"/>
    <s v="Yes"/>
    <x v="3"/>
    <s v="Yes"/>
    <n v="39"/>
    <x v="0"/>
    <s v="Monthly"/>
    <n v="0.1"/>
    <n v="41.4"/>
    <n v="46"/>
    <s v="Venmo"/>
    <s v="Normal"/>
    <s v="Good"/>
  </r>
  <r>
    <n v="1041"/>
    <n v="68"/>
    <x v="0"/>
    <x v="2"/>
    <x v="0"/>
    <n v="22"/>
    <x v="17"/>
    <x v="1"/>
    <s v="Magenta"/>
    <x v="3"/>
    <n v="4"/>
    <s v="Yes"/>
    <x v="2"/>
    <s v="Yes"/>
    <n v="7"/>
    <x v="1"/>
    <s v="Fortnightly"/>
    <n v="0.1"/>
    <n v="19.8"/>
    <n v="22"/>
    <s v="Cash"/>
    <s v="Normal"/>
    <s v="Good"/>
  </r>
  <r>
    <n v="1042"/>
    <n v="36"/>
    <x v="0"/>
    <x v="5"/>
    <x v="0"/>
    <n v="25"/>
    <x v="46"/>
    <x v="2"/>
    <s v="Orange"/>
    <x v="2"/>
    <n v="4.9000000000000004"/>
    <s v="Yes"/>
    <x v="2"/>
    <s v="Yes"/>
    <n v="11"/>
    <x v="1"/>
    <s v="Fortnightly"/>
    <n v="0.1"/>
    <n v="22.5"/>
    <n v="25"/>
    <s v="Cash"/>
    <s v="Normal"/>
    <s v="Good"/>
  </r>
  <r>
    <n v="1043"/>
    <n v="55"/>
    <x v="0"/>
    <x v="22"/>
    <x v="3"/>
    <n v="80"/>
    <x v="33"/>
    <x v="2"/>
    <s v="Maroon"/>
    <x v="1"/>
    <n v="4.9000000000000004"/>
    <s v="Yes"/>
    <x v="2"/>
    <s v="Yes"/>
    <n v="47"/>
    <x v="2"/>
    <s v="Weekly"/>
    <n v="0.1"/>
    <n v="72"/>
    <n v="80"/>
    <s v="Credit Card"/>
    <s v="Normal"/>
    <s v="Good"/>
  </r>
  <r>
    <n v="1044"/>
    <n v="28"/>
    <x v="0"/>
    <x v="2"/>
    <x v="0"/>
    <n v="76"/>
    <x v="11"/>
    <x v="2"/>
    <s v="Green"/>
    <x v="1"/>
    <n v="3.3"/>
    <s v="Yes"/>
    <x v="4"/>
    <s v="Yes"/>
    <n v="28"/>
    <x v="5"/>
    <s v="Fortnightly"/>
    <n v="0.1"/>
    <n v="68.400000000000006"/>
    <n v="76"/>
    <s v="Debit Card"/>
    <s v="Normal"/>
    <s v="Good"/>
  </r>
  <r>
    <n v="1045"/>
    <n v="39"/>
    <x v="0"/>
    <x v="2"/>
    <x v="0"/>
    <n v="30"/>
    <x v="4"/>
    <x v="0"/>
    <s v="Teal"/>
    <x v="2"/>
    <n v="4.4000000000000004"/>
    <s v="Yes"/>
    <x v="2"/>
    <s v="Yes"/>
    <n v="17"/>
    <x v="4"/>
    <s v="Every 3 Months"/>
    <n v="0.1"/>
    <n v="27"/>
    <n v="30"/>
    <s v="Bank Transfer"/>
    <s v="Normal"/>
    <s v="Good"/>
  </r>
  <r>
    <n v="1046"/>
    <n v="54"/>
    <x v="0"/>
    <x v="1"/>
    <x v="0"/>
    <n v="79"/>
    <x v="35"/>
    <x v="0"/>
    <s v="Black"/>
    <x v="3"/>
    <n v="3.5"/>
    <s v="Yes"/>
    <x v="4"/>
    <s v="Yes"/>
    <n v="11"/>
    <x v="3"/>
    <s v="Bi-Weekly"/>
    <n v="0.1"/>
    <n v="71.099999999999994"/>
    <n v="79"/>
    <s v="PayPal"/>
    <s v="Normal"/>
    <s v="Good"/>
  </r>
  <r>
    <n v="1047"/>
    <n v="40"/>
    <x v="0"/>
    <x v="4"/>
    <x v="1"/>
    <n v="22"/>
    <x v="26"/>
    <x v="2"/>
    <s v="Magenta"/>
    <x v="0"/>
    <n v="4.2"/>
    <s v="Yes"/>
    <x v="3"/>
    <s v="Yes"/>
    <n v="12"/>
    <x v="0"/>
    <s v="Annually"/>
    <n v="0.1"/>
    <n v="19.8"/>
    <n v="22"/>
    <s v="Venmo"/>
    <s v="Normal"/>
    <s v="Good"/>
  </r>
  <r>
    <n v="1048"/>
    <n v="31"/>
    <x v="0"/>
    <x v="20"/>
    <x v="0"/>
    <n v="36"/>
    <x v="40"/>
    <x v="1"/>
    <s v="Olive"/>
    <x v="3"/>
    <n v="4.2"/>
    <s v="Yes"/>
    <x v="3"/>
    <s v="Yes"/>
    <n v="7"/>
    <x v="2"/>
    <s v="Fortnightly"/>
    <n v="0.1"/>
    <n v="32.4"/>
    <n v="36"/>
    <s v="Credit Card"/>
    <s v="Normal"/>
    <s v="Good"/>
  </r>
  <r>
    <n v="1049"/>
    <n v="30"/>
    <x v="0"/>
    <x v="20"/>
    <x v="0"/>
    <n v="77"/>
    <x v="1"/>
    <x v="0"/>
    <s v="Yellow"/>
    <x v="3"/>
    <n v="2.7"/>
    <s v="Yes"/>
    <x v="3"/>
    <s v="Yes"/>
    <n v="19"/>
    <x v="0"/>
    <s v="Fortnightly"/>
    <n v="0.1"/>
    <n v="69.3"/>
    <n v="77"/>
    <s v="Venmo"/>
    <s v="Normal"/>
    <s v="Poor"/>
  </r>
  <r>
    <n v="1050"/>
    <n v="45"/>
    <x v="0"/>
    <x v="12"/>
    <x v="3"/>
    <n v="33"/>
    <x v="41"/>
    <x v="1"/>
    <s v="Purple"/>
    <x v="3"/>
    <n v="2.8"/>
    <s v="Yes"/>
    <x v="5"/>
    <s v="Yes"/>
    <n v="24"/>
    <x v="1"/>
    <s v="Quarterly"/>
    <n v="0.1"/>
    <n v="29.7"/>
    <n v="33"/>
    <s v="Cash"/>
    <s v="Normal"/>
    <s v="Poor"/>
  </r>
  <r>
    <n v="1051"/>
    <n v="48"/>
    <x v="0"/>
    <x v="4"/>
    <x v="1"/>
    <n v="64"/>
    <x v="20"/>
    <x v="2"/>
    <s v="Beige"/>
    <x v="0"/>
    <n v="3.8"/>
    <s v="Yes"/>
    <x v="2"/>
    <s v="Yes"/>
    <n v="19"/>
    <x v="0"/>
    <s v="Monthly"/>
    <n v="0.1"/>
    <n v="57.6"/>
    <n v="64"/>
    <s v="Venmo"/>
    <s v="Normal"/>
    <s v="Good"/>
  </r>
  <r>
    <n v="1052"/>
    <n v="45"/>
    <x v="0"/>
    <x v="20"/>
    <x v="0"/>
    <n v="53"/>
    <x v="31"/>
    <x v="2"/>
    <s v="Indigo"/>
    <x v="3"/>
    <n v="2.6"/>
    <s v="Yes"/>
    <x v="1"/>
    <s v="Yes"/>
    <n v="39"/>
    <x v="3"/>
    <s v="Annually"/>
    <n v="0.1"/>
    <n v="47.7"/>
    <n v="53"/>
    <s v="PayPal"/>
    <s v="Normal"/>
    <s v="Poor"/>
  </r>
  <r>
    <n v="1053"/>
    <n v="60"/>
    <x v="0"/>
    <x v="9"/>
    <x v="1"/>
    <n v="36"/>
    <x v="41"/>
    <x v="3"/>
    <s v="Pink"/>
    <x v="3"/>
    <n v="3"/>
    <s v="Yes"/>
    <x v="4"/>
    <s v="Yes"/>
    <n v="1"/>
    <x v="2"/>
    <s v="Fortnightly"/>
    <n v="0.1"/>
    <n v="32.4"/>
    <n v="36"/>
    <s v="Credit Card"/>
    <s v="Normal"/>
    <s v="Good"/>
  </r>
  <r>
    <n v="1054"/>
    <n v="59"/>
    <x v="0"/>
    <x v="0"/>
    <x v="0"/>
    <n v="70"/>
    <x v="23"/>
    <x v="2"/>
    <s v="Blue"/>
    <x v="1"/>
    <n v="3.3"/>
    <s v="No"/>
    <x v="4"/>
    <s v="Yes"/>
    <n v="10"/>
    <x v="5"/>
    <s v="Bi-Weekly"/>
    <n v="0.1"/>
    <n v="63"/>
    <n v="70"/>
    <s v="Debit Card"/>
    <s v="Normal"/>
    <s v="Good"/>
  </r>
  <r>
    <n v="1055"/>
    <n v="18"/>
    <x v="0"/>
    <x v="6"/>
    <x v="0"/>
    <n v="96"/>
    <x v="10"/>
    <x v="0"/>
    <s v="Cyan"/>
    <x v="0"/>
    <n v="4.9000000000000004"/>
    <s v="No"/>
    <x v="0"/>
    <s v="Yes"/>
    <n v="48"/>
    <x v="3"/>
    <s v="Quarterly"/>
    <n v="0.1"/>
    <n v="86.4"/>
    <n v="96"/>
    <s v="PayPal"/>
    <s v="Normal"/>
    <s v="Good"/>
  </r>
  <r>
    <n v="1056"/>
    <n v="70"/>
    <x v="0"/>
    <x v="14"/>
    <x v="2"/>
    <n v="27"/>
    <x v="2"/>
    <x v="2"/>
    <s v="Orange"/>
    <x v="1"/>
    <n v="3.3"/>
    <s v="No"/>
    <x v="2"/>
    <s v="Yes"/>
    <n v="24"/>
    <x v="5"/>
    <s v="Annually"/>
    <n v="0.1"/>
    <n v="24.3"/>
    <n v="27"/>
    <s v="Debit Card"/>
    <s v="Normal"/>
    <s v="Good"/>
  </r>
  <r>
    <n v="1057"/>
    <n v="20"/>
    <x v="0"/>
    <x v="1"/>
    <x v="0"/>
    <n v="64"/>
    <x v="37"/>
    <x v="0"/>
    <s v="Black"/>
    <x v="0"/>
    <n v="2.9"/>
    <s v="No"/>
    <x v="4"/>
    <s v="Yes"/>
    <n v="42"/>
    <x v="0"/>
    <s v="Fortnightly"/>
    <n v="0.1"/>
    <n v="57.6"/>
    <n v="64"/>
    <s v="Venmo"/>
    <s v="Normal"/>
    <s v="Poor"/>
  </r>
  <r>
    <n v="1058"/>
    <n v="65"/>
    <x v="0"/>
    <x v="14"/>
    <x v="2"/>
    <n v="23"/>
    <x v="48"/>
    <x v="1"/>
    <s v="Maroon"/>
    <x v="1"/>
    <n v="4.4000000000000004"/>
    <s v="No"/>
    <x v="4"/>
    <s v="Yes"/>
    <n v="20"/>
    <x v="2"/>
    <s v="Weekly"/>
    <n v="0.1"/>
    <n v="20.7"/>
    <n v="23"/>
    <s v="Credit Card"/>
    <s v="Normal"/>
    <s v="Good"/>
  </r>
  <r>
    <n v="1059"/>
    <n v="29"/>
    <x v="0"/>
    <x v="18"/>
    <x v="3"/>
    <n v="33"/>
    <x v="35"/>
    <x v="0"/>
    <s v="Violet"/>
    <x v="2"/>
    <n v="3.1"/>
    <s v="No"/>
    <x v="2"/>
    <s v="Yes"/>
    <n v="49"/>
    <x v="4"/>
    <s v="Every 3 Months"/>
    <n v="0.1"/>
    <n v="29.7"/>
    <n v="33"/>
    <s v="Bank Transfer"/>
    <s v="Normal"/>
    <s v="Good"/>
  </r>
  <r>
    <n v="1060"/>
    <n v="22"/>
    <x v="0"/>
    <x v="14"/>
    <x v="2"/>
    <n v="34"/>
    <x v="17"/>
    <x v="2"/>
    <s v="Beige"/>
    <x v="0"/>
    <n v="2.5"/>
    <s v="No"/>
    <x v="3"/>
    <s v="Yes"/>
    <n v="25"/>
    <x v="5"/>
    <s v="Monthly"/>
    <n v="0.1"/>
    <n v="30.6"/>
    <n v="34"/>
    <s v="Debit Card"/>
    <s v="Normal"/>
    <s v="Poor"/>
  </r>
  <r>
    <n v="1061"/>
    <n v="27"/>
    <x v="0"/>
    <x v="1"/>
    <x v="0"/>
    <n v="35"/>
    <x v="44"/>
    <x v="1"/>
    <s v="Gray"/>
    <x v="2"/>
    <n v="2.6"/>
    <s v="No"/>
    <x v="2"/>
    <s v="Yes"/>
    <n v="21"/>
    <x v="5"/>
    <s v="Every 3 Months"/>
    <n v="0.1"/>
    <n v="31.5"/>
    <n v="35"/>
    <s v="Debit Card"/>
    <s v="Normal"/>
    <s v="Poor"/>
  </r>
  <r>
    <n v="1062"/>
    <n v="36"/>
    <x v="0"/>
    <x v="7"/>
    <x v="2"/>
    <n v="62"/>
    <x v="37"/>
    <x v="2"/>
    <s v="Gray"/>
    <x v="2"/>
    <n v="4.4000000000000004"/>
    <s v="No"/>
    <x v="1"/>
    <s v="Yes"/>
    <n v="12"/>
    <x v="0"/>
    <s v="Every 3 Months"/>
    <n v="0.1"/>
    <n v="55.8"/>
    <n v="62"/>
    <s v="Venmo"/>
    <s v="Normal"/>
    <s v="Good"/>
  </r>
  <r>
    <n v="1063"/>
    <n v="59"/>
    <x v="0"/>
    <x v="23"/>
    <x v="1"/>
    <n v="75"/>
    <x v="31"/>
    <x v="2"/>
    <s v="Brown"/>
    <x v="3"/>
    <n v="2.6"/>
    <s v="No"/>
    <x v="2"/>
    <s v="Yes"/>
    <n v="21"/>
    <x v="5"/>
    <s v="Every 3 Months"/>
    <n v="0.1"/>
    <n v="67.5"/>
    <n v="75"/>
    <s v="Debit Card"/>
    <s v="Normal"/>
    <s v="Poor"/>
  </r>
  <r>
    <n v="1064"/>
    <n v="62"/>
    <x v="0"/>
    <x v="15"/>
    <x v="0"/>
    <n v="29"/>
    <x v="15"/>
    <x v="1"/>
    <s v="Indigo"/>
    <x v="2"/>
    <n v="3.3"/>
    <s v="No"/>
    <x v="1"/>
    <s v="Yes"/>
    <n v="35"/>
    <x v="1"/>
    <s v="Monthly"/>
    <n v="0.1"/>
    <n v="26.1"/>
    <n v="29"/>
    <s v="Cash"/>
    <s v="Normal"/>
    <s v="Good"/>
  </r>
  <r>
    <n v="1065"/>
    <n v="34"/>
    <x v="0"/>
    <x v="19"/>
    <x v="3"/>
    <n v="28"/>
    <x v="5"/>
    <x v="2"/>
    <s v="Violet"/>
    <x v="1"/>
    <n v="3.5"/>
    <s v="No"/>
    <x v="0"/>
    <s v="Yes"/>
    <n v="42"/>
    <x v="2"/>
    <s v="Every 3 Months"/>
    <n v="0.1"/>
    <n v="25.2"/>
    <n v="28"/>
    <s v="Credit Card"/>
    <s v="Normal"/>
    <s v="Good"/>
  </r>
  <r>
    <n v="1066"/>
    <n v="59"/>
    <x v="0"/>
    <x v="17"/>
    <x v="0"/>
    <n v="20"/>
    <x v="15"/>
    <x v="3"/>
    <s v="Blue"/>
    <x v="1"/>
    <n v="4.0999999999999996"/>
    <s v="No"/>
    <x v="5"/>
    <s v="Yes"/>
    <n v="3"/>
    <x v="3"/>
    <s v="Every 3 Months"/>
    <n v="0.1"/>
    <n v="18"/>
    <n v="20"/>
    <s v="PayPal"/>
    <s v="Normal"/>
    <s v="Good"/>
  </r>
  <r>
    <n v="1067"/>
    <n v="49"/>
    <x v="0"/>
    <x v="7"/>
    <x v="2"/>
    <n v="96"/>
    <x v="16"/>
    <x v="2"/>
    <s v="Red"/>
    <x v="0"/>
    <n v="4"/>
    <s v="No"/>
    <x v="5"/>
    <s v="Yes"/>
    <n v="11"/>
    <x v="3"/>
    <s v="Bi-Weekly"/>
    <n v="0.1"/>
    <n v="86.4"/>
    <n v="96"/>
    <s v="PayPal"/>
    <s v="Normal"/>
    <s v="Good"/>
  </r>
  <r>
    <n v="1068"/>
    <n v="18"/>
    <x v="0"/>
    <x v="10"/>
    <x v="0"/>
    <n v="43"/>
    <x v="38"/>
    <x v="1"/>
    <s v="Peach"/>
    <x v="2"/>
    <n v="2.7"/>
    <s v="No"/>
    <x v="4"/>
    <s v="Yes"/>
    <n v="22"/>
    <x v="3"/>
    <s v="Quarterly"/>
    <n v="0.1"/>
    <n v="38.700000000000003"/>
    <n v="43"/>
    <s v="PayPal"/>
    <s v="Normal"/>
    <s v="Poor"/>
  </r>
  <r>
    <n v="1069"/>
    <n v="55"/>
    <x v="0"/>
    <x v="5"/>
    <x v="0"/>
    <n v="94"/>
    <x v="5"/>
    <x v="2"/>
    <s v="Olive"/>
    <x v="3"/>
    <n v="2.5"/>
    <s v="No"/>
    <x v="3"/>
    <s v="Yes"/>
    <n v="47"/>
    <x v="2"/>
    <s v="Weekly"/>
    <n v="0.1"/>
    <n v="84.6"/>
    <n v="94"/>
    <s v="Credit Card"/>
    <s v="Normal"/>
    <s v="Poor"/>
  </r>
  <r>
    <n v="1070"/>
    <n v="38"/>
    <x v="0"/>
    <x v="11"/>
    <x v="0"/>
    <n v="81"/>
    <x v="33"/>
    <x v="3"/>
    <s v="White"/>
    <x v="3"/>
    <n v="4.3"/>
    <s v="No"/>
    <x v="2"/>
    <s v="Yes"/>
    <n v="33"/>
    <x v="0"/>
    <s v="Every 3 Months"/>
    <n v="0.1"/>
    <n v="72.900000000000006"/>
    <n v="81"/>
    <s v="Venmo"/>
    <s v="Normal"/>
    <s v="Good"/>
  </r>
  <r>
    <n v="1071"/>
    <n v="50"/>
    <x v="0"/>
    <x v="16"/>
    <x v="3"/>
    <n v="75"/>
    <x v="17"/>
    <x v="2"/>
    <s v="Magenta"/>
    <x v="2"/>
    <n v="3.3"/>
    <s v="No"/>
    <x v="1"/>
    <s v="Yes"/>
    <n v="50"/>
    <x v="5"/>
    <s v="Weekly"/>
    <n v="0.1"/>
    <n v="67.5"/>
    <n v="75"/>
    <s v="Debit Card"/>
    <s v="Normal"/>
    <s v="Good"/>
  </r>
  <r>
    <n v="1072"/>
    <n v="61"/>
    <x v="0"/>
    <x v="19"/>
    <x v="3"/>
    <n v="81"/>
    <x v="38"/>
    <x v="2"/>
    <s v="Beige"/>
    <x v="2"/>
    <n v="2.6"/>
    <s v="No"/>
    <x v="0"/>
    <s v="Yes"/>
    <n v="46"/>
    <x v="2"/>
    <s v="Monthly"/>
    <n v="0.1"/>
    <n v="72.900000000000006"/>
    <n v="81"/>
    <s v="Credit Card"/>
    <s v="Normal"/>
    <s v="Poor"/>
  </r>
  <r>
    <n v="1073"/>
    <n v="48"/>
    <x v="0"/>
    <x v="6"/>
    <x v="0"/>
    <n v="92"/>
    <x v="37"/>
    <x v="0"/>
    <s v="Gold"/>
    <x v="3"/>
    <n v="1"/>
    <s v="No"/>
    <x v="0"/>
    <s v="Yes"/>
    <n v="34"/>
    <x v="5"/>
    <s v="Fortnightly"/>
    <n v="0.1"/>
    <n v="82.8"/>
    <n v="92"/>
    <s v="Debit Card"/>
    <s v="Normal"/>
    <s v="Poor"/>
  </r>
  <r>
    <n v="1074"/>
    <n v="22"/>
    <x v="0"/>
    <x v="18"/>
    <x v="3"/>
    <n v="96"/>
    <x v="18"/>
    <x v="3"/>
    <s v="Purple"/>
    <x v="1"/>
    <n v="4"/>
    <s v="No"/>
    <x v="5"/>
    <s v="Yes"/>
    <n v="33"/>
    <x v="2"/>
    <s v="Monthly"/>
    <n v="0.1"/>
    <n v="86.4"/>
    <n v="96"/>
    <s v="Credit Card"/>
    <s v="Normal"/>
    <s v="Good"/>
  </r>
  <r>
    <n v="1075"/>
    <n v="48"/>
    <x v="0"/>
    <x v="16"/>
    <x v="3"/>
    <n v="71"/>
    <x v="30"/>
    <x v="1"/>
    <s v="White"/>
    <x v="3"/>
    <n v="2.6"/>
    <s v="No"/>
    <x v="3"/>
    <s v="Yes"/>
    <n v="45"/>
    <x v="4"/>
    <s v="Fortnightly"/>
    <n v="0.1"/>
    <n v="63.9"/>
    <n v="71"/>
    <s v="Bank Transfer"/>
    <s v="Normal"/>
    <s v="Poor"/>
  </r>
  <r>
    <n v="1076"/>
    <n v="57"/>
    <x v="0"/>
    <x v="12"/>
    <x v="3"/>
    <n v="50"/>
    <x v="9"/>
    <x v="0"/>
    <s v="Indigo"/>
    <x v="2"/>
    <n v="4.9000000000000004"/>
    <s v="No"/>
    <x v="2"/>
    <s v="Yes"/>
    <n v="32"/>
    <x v="5"/>
    <s v="Bi-Weekly"/>
    <n v="0.1"/>
    <n v="45"/>
    <n v="50"/>
    <s v="Debit Card"/>
    <s v="Normal"/>
    <s v="Good"/>
  </r>
  <r>
    <n v="1077"/>
    <n v="33"/>
    <x v="0"/>
    <x v="7"/>
    <x v="2"/>
    <n v="72"/>
    <x v="25"/>
    <x v="0"/>
    <s v="Charcoal"/>
    <x v="1"/>
    <n v="2.9"/>
    <s v="No"/>
    <x v="3"/>
    <s v="Yes"/>
    <n v="47"/>
    <x v="0"/>
    <s v="Bi-Weekly"/>
    <n v="0.1"/>
    <n v="64.8"/>
    <n v="72"/>
    <s v="Venmo"/>
    <s v="Normal"/>
    <s v="Poor"/>
  </r>
  <r>
    <n v="1078"/>
    <n v="58"/>
    <x v="0"/>
    <x v="14"/>
    <x v="2"/>
    <n v="28"/>
    <x v="8"/>
    <x v="2"/>
    <s v="Pink"/>
    <x v="0"/>
    <n v="3.7"/>
    <s v="No"/>
    <x v="3"/>
    <s v="Yes"/>
    <n v="5"/>
    <x v="3"/>
    <s v="Quarterly"/>
    <n v="0.1"/>
    <n v="25.2"/>
    <n v="28"/>
    <s v="PayPal"/>
    <s v="Normal"/>
    <s v="Good"/>
  </r>
  <r>
    <n v="1079"/>
    <n v="37"/>
    <x v="0"/>
    <x v="1"/>
    <x v="0"/>
    <n v="59"/>
    <x v="28"/>
    <x v="2"/>
    <s v="Silver"/>
    <x v="3"/>
    <n v="4.4000000000000004"/>
    <s v="No"/>
    <x v="0"/>
    <s v="Yes"/>
    <n v="49"/>
    <x v="2"/>
    <s v="Fortnightly"/>
    <n v="0.1"/>
    <n v="53.1"/>
    <n v="59"/>
    <s v="Credit Card"/>
    <s v="Normal"/>
    <s v="Good"/>
  </r>
  <r>
    <n v="1080"/>
    <n v="18"/>
    <x v="0"/>
    <x v="7"/>
    <x v="2"/>
    <n v="33"/>
    <x v="19"/>
    <x v="1"/>
    <s v="Blue"/>
    <x v="2"/>
    <n v="4.4000000000000004"/>
    <s v="No"/>
    <x v="1"/>
    <s v="Yes"/>
    <n v="48"/>
    <x v="4"/>
    <s v="Monthly"/>
    <n v="0.1"/>
    <n v="29.7"/>
    <n v="33"/>
    <s v="Bank Transfer"/>
    <s v="Normal"/>
    <s v="Good"/>
  </r>
  <r>
    <n v="1081"/>
    <n v="65"/>
    <x v="0"/>
    <x v="18"/>
    <x v="3"/>
    <n v="59"/>
    <x v="38"/>
    <x v="0"/>
    <s v="Blue"/>
    <x v="3"/>
    <n v="3.8"/>
    <s v="No"/>
    <x v="0"/>
    <s v="Yes"/>
    <n v="22"/>
    <x v="1"/>
    <s v="Every 3 Months"/>
    <n v="0.1"/>
    <n v="53.1"/>
    <n v="59"/>
    <s v="Cash"/>
    <s v="Normal"/>
    <s v="Good"/>
  </r>
  <r>
    <n v="1082"/>
    <n v="62"/>
    <x v="0"/>
    <x v="22"/>
    <x v="3"/>
    <n v="30"/>
    <x v="37"/>
    <x v="3"/>
    <s v="Brown"/>
    <x v="1"/>
    <n v="4.5"/>
    <s v="No"/>
    <x v="3"/>
    <s v="Yes"/>
    <n v="45"/>
    <x v="2"/>
    <s v="Annually"/>
    <n v="0.1"/>
    <n v="27"/>
    <n v="30"/>
    <s v="Credit Card"/>
    <s v="Normal"/>
    <s v="Good"/>
  </r>
  <r>
    <n v="1083"/>
    <n v="54"/>
    <x v="0"/>
    <x v="19"/>
    <x v="3"/>
    <n v="85"/>
    <x v="36"/>
    <x v="3"/>
    <s v="Cyan"/>
    <x v="0"/>
    <n v="2.6"/>
    <s v="No"/>
    <x v="2"/>
    <s v="Yes"/>
    <n v="30"/>
    <x v="0"/>
    <s v="Quarterly"/>
    <n v="0.1"/>
    <n v="76.5"/>
    <n v="85"/>
    <s v="Venmo"/>
    <s v="Normal"/>
    <s v="Poor"/>
  </r>
  <r>
    <n v="1084"/>
    <n v="35"/>
    <x v="0"/>
    <x v="21"/>
    <x v="3"/>
    <n v="97"/>
    <x v="47"/>
    <x v="0"/>
    <s v="Teal"/>
    <x v="2"/>
    <n v="3.3"/>
    <s v="No"/>
    <x v="5"/>
    <s v="Yes"/>
    <n v="43"/>
    <x v="1"/>
    <s v="Weekly"/>
    <n v="0.1"/>
    <n v="87.3"/>
    <n v="97"/>
    <s v="Cash"/>
    <s v="Normal"/>
    <s v="Good"/>
  </r>
  <r>
    <n v="1085"/>
    <n v="34"/>
    <x v="0"/>
    <x v="17"/>
    <x v="0"/>
    <n v="36"/>
    <x v="10"/>
    <x v="1"/>
    <s v="Purple"/>
    <x v="3"/>
    <n v="4.0999999999999996"/>
    <s v="No"/>
    <x v="2"/>
    <s v="Yes"/>
    <n v="48"/>
    <x v="1"/>
    <s v="Quarterly"/>
    <n v="0.1"/>
    <n v="32.4"/>
    <n v="36"/>
    <s v="Cash"/>
    <s v="Normal"/>
    <s v="Good"/>
  </r>
  <r>
    <n v="1086"/>
    <n v="25"/>
    <x v="0"/>
    <x v="16"/>
    <x v="3"/>
    <n v="85"/>
    <x v="40"/>
    <x v="2"/>
    <s v="Turquoise"/>
    <x v="0"/>
    <n v="3"/>
    <s v="No"/>
    <x v="5"/>
    <s v="Yes"/>
    <n v="23"/>
    <x v="0"/>
    <s v="Fortnightly"/>
    <n v="0.1"/>
    <n v="76.5"/>
    <n v="85"/>
    <s v="Venmo"/>
    <s v="Normal"/>
    <s v="Good"/>
  </r>
  <r>
    <n v="1087"/>
    <n v="53"/>
    <x v="0"/>
    <x v="12"/>
    <x v="3"/>
    <n v="62"/>
    <x v="29"/>
    <x v="2"/>
    <s v="Olive"/>
    <x v="0"/>
    <n v="3"/>
    <s v="No"/>
    <x v="1"/>
    <s v="Yes"/>
    <n v="27"/>
    <x v="3"/>
    <s v="Bi-Weekly"/>
    <n v="0.1"/>
    <n v="55.8"/>
    <n v="62"/>
    <s v="PayPal"/>
    <s v="Normal"/>
    <s v="Good"/>
  </r>
  <r>
    <n v="1088"/>
    <n v="45"/>
    <x v="0"/>
    <x v="2"/>
    <x v="0"/>
    <n v="71"/>
    <x v="8"/>
    <x v="1"/>
    <s v="White"/>
    <x v="0"/>
    <n v="3.4"/>
    <s v="No"/>
    <x v="2"/>
    <s v="Yes"/>
    <n v="7"/>
    <x v="4"/>
    <s v="Monthly"/>
    <n v="0.1"/>
    <n v="63.9"/>
    <n v="71"/>
    <s v="Bank Transfer"/>
    <s v="Normal"/>
    <s v="Good"/>
  </r>
  <r>
    <n v="1089"/>
    <n v="49"/>
    <x v="0"/>
    <x v="13"/>
    <x v="0"/>
    <n v="21"/>
    <x v="7"/>
    <x v="2"/>
    <s v="Turquoise"/>
    <x v="0"/>
    <n v="2.7"/>
    <s v="No"/>
    <x v="1"/>
    <s v="Yes"/>
    <n v="2"/>
    <x v="3"/>
    <s v="Weekly"/>
    <n v="0.1"/>
    <n v="18.899999999999999"/>
    <n v="21"/>
    <s v="PayPal"/>
    <s v="Normal"/>
    <s v="Poor"/>
  </r>
  <r>
    <n v="1090"/>
    <n v="40"/>
    <x v="0"/>
    <x v="21"/>
    <x v="3"/>
    <n v="61"/>
    <x v="28"/>
    <x v="2"/>
    <s v="Silver"/>
    <x v="1"/>
    <n v="3.8"/>
    <s v="No"/>
    <x v="2"/>
    <s v="Yes"/>
    <n v="33"/>
    <x v="3"/>
    <s v="Bi-Weekly"/>
    <n v="0.1"/>
    <n v="54.9"/>
    <n v="61"/>
    <s v="PayPal"/>
    <s v="Normal"/>
    <s v="Good"/>
  </r>
  <r>
    <n v="1091"/>
    <n v="38"/>
    <x v="0"/>
    <x v="18"/>
    <x v="3"/>
    <n v="58"/>
    <x v="39"/>
    <x v="2"/>
    <s v="Violet"/>
    <x v="1"/>
    <n v="4.2"/>
    <s v="No"/>
    <x v="5"/>
    <s v="Yes"/>
    <n v="27"/>
    <x v="1"/>
    <s v="Fortnightly"/>
    <n v="0.1"/>
    <n v="52.2"/>
    <n v="58"/>
    <s v="Cash"/>
    <s v="Normal"/>
    <s v="Good"/>
  </r>
  <r>
    <n v="1092"/>
    <n v="44"/>
    <x v="0"/>
    <x v="1"/>
    <x v="0"/>
    <n v="80"/>
    <x v="17"/>
    <x v="0"/>
    <s v="Lavender"/>
    <x v="1"/>
    <n v="4.7"/>
    <s v="No"/>
    <x v="5"/>
    <s v="Yes"/>
    <n v="6"/>
    <x v="2"/>
    <s v="Fortnightly"/>
    <n v="0.1"/>
    <n v="72"/>
    <n v="80"/>
    <s v="Credit Card"/>
    <s v="Normal"/>
    <s v="Good"/>
  </r>
  <r>
    <n v="1093"/>
    <n v="68"/>
    <x v="0"/>
    <x v="16"/>
    <x v="3"/>
    <n v="50"/>
    <x v="45"/>
    <x v="0"/>
    <s v="Magenta"/>
    <x v="1"/>
    <n v="4.0999999999999996"/>
    <s v="No"/>
    <x v="4"/>
    <s v="Yes"/>
    <n v="20"/>
    <x v="0"/>
    <s v="Quarterly"/>
    <n v="0.1"/>
    <n v="45"/>
    <n v="50"/>
    <s v="Venmo"/>
    <s v="Normal"/>
    <s v="Good"/>
  </r>
  <r>
    <n v="1094"/>
    <n v="60"/>
    <x v="0"/>
    <x v="4"/>
    <x v="1"/>
    <n v="48"/>
    <x v="12"/>
    <x v="1"/>
    <s v="Indigo"/>
    <x v="0"/>
    <n v="4.2"/>
    <s v="No"/>
    <x v="4"/>
    <s v="Yes"/>
    <n v="46"/>
    <x v="0"/>
    <s v="Every 3 Months"/>
    <n v="0.1"/>
    <n v="43.2"/>
    <n v="48"/>
    <s v="Venmo"/>
    <s v="Normal"/>
    <s v="Good"/>
  </r>
  <r>
    <n v="1095"/>
    <n v="25"/>
    <x v="0"/>
    <x v="16"/>
    <x v="3"/>
    <n v="40"/>
    <x v="39"/>
    <x v="2"/>
    <s v="Black"/>
    <x v="0"/>
    <n v="4.8"/>
    <s v="No"/>
    <x v="2"/>
    <s v="Yes"/>
    <n v="25"/>
    <x v="1"/>
    <s v="Quarterly"/>
    <n v="0.1"/>
    <n v="36"/>
    <n v="40"/>
    <s v="Cash"/>
    <s v="Normal"/>
    <s v="Good"/>
  </r>
  <r>
    <n v="1096"/>
    <n v="19"/>
    <x v="0"/>
    <x v="7"/>
    <x v="2"/>
    <n v="34"/>
    <x v="30"/>
    <x v="1"/>
    <s v="Peach"/>
    <x v="2"/>
    <n v="3"/>
    <s v="No"/>
    <x v="1"/>
    <s v="Yes"/>
    <n v="30"/>
    <x v="4"/>
    <s v="Quarterly"/>
    <n v="0.1"/>
    <n v="30.6"/>
    <n v="34"/>
    <s v="Bank Transfer"/>
    <s v="Normal"/>
    <s v="Good"/>
  </r>
  <r>
    <n v="1097"/>
    <n v="57"/>
    <x v="0"/>
    <x v="7"/>
    <x v="2"/>
    <n v="46"/>
    <x v="13"/>
    <x v="1"/>
    <s v="Beige"/>
    <x v="3"/>
    <n v="2.6"/>
    <s v="No"/>
    <x v="3"/>
    <s v="Yes"/>
    <n v="48"/>
    <x v="2"/>
    <s v="Annually"/>
    <n v="0.1"/>
    <n v="41.4"/>
    <n v="46"/>
    <s v="Credit Card"/>
    <s v="Normal"/>
    <s v="Poor"/>
  </r>
  <r>
    <n v="1098"/>
    <n v="58"/>
    <x v="0"/>
    <x v="12"/>
    <x v="3"/>
    <n v="27"/>
    <x v="34"/>
    <x v="2"/>
    <s v="Black"/>
    <x v="2"/>
    <n v="3.2"/>
    <s v="No"/>
    <x v="5"/>
    <s v="Yes"/>
    <n v="47"/>
    <x v="4"/>
    <s v="Weekly"/>
    <n v="0.1"/>
    <n v="24.3"/>
    <n v="27"/>
    <s v="Bank Transfer"/>
    <s v="Normal"/>
    <s v="Good"/>
  </r>
  <r>
    <n v="1099"/>
    <n v="49"/>
    <x v="0"/>
    <x v="8"/>
    <x v="3"/>
    <n v="98"/>
    <x v="37"/>
    <x v="1"/>
    <s v="Turquoise"/>
    <x v="1"/>
    <n v="3.6"/>
    <s v="No"/>
    <x v="2"/>
    <s v="Yes"/>
    <n v="27"/>
    <x v="2"/>
    <s v="Weekly"/>
    <n v="0.1"/>
    <n v="88.2"/>
    <n v="98"/>
    <s v="Credit Card"/>
    <s v="Normal"/>
    <s v="Good"/>
  </r>
  <r>
    <n v="1100"/>
    <n v="19"/>
    <x v="0"/>
    <x v="1"/>
    <x v="0"/>
    <n v="73"/>
    <x v="17"/>
    <x v="2"/>
    <s v="Peach"/>
    <x v="3"/>
    <n v="2.6"/>
    <s v="No"/>
    <x v="2"/>
    <s v="Yes"/>
    <n v="45"/>
    <x v="4"/>
    <s v="Fortnightly"/>
    <n v="0.1"/>
    <n v="65.7"/>
    <n v="73"/>
    <s v="Bank Transfer"/>
    <s v="Normal"/>
    <s v="Poor"/>
  </r>
  <r>
    <n v="1101"/>
    <n v="50"/>
    <x v="0"/>
    <x v="13"/>
    <x v="0"/>
    <n v="28"/>
    <x v="22"/>
    <x v="0"/>
    <s v="Gold"/>
    <x v="1"/>
    <n v="4.4000000000000004"/>
    <s v="No"/>
    <x v="0"/>
    <s v="Yes"/>
    <n v="2"/>
    <x v="2"/>
    <s v="Weekly"/>
    <n v="0.1"/>
    <n v="25.2"/>
    <n v="28"/>
    <s v="Credit Card"/>
    <s v="Normal"/>
    <s v="Good"/>
  </r>
  <r>
    <n v="1102"/>
    <n v="30"/>
    <x v="0"/>
    <x v="24"/>
    <x v="3"/>
    <n v="76"/>
    <x v="12"/>
    <x v="3"/>
    <s v="Silver"/>
    <x v="3"/>
    <n v="3"/>
    <s v="No"/>
    <x v="1"/>
    <s v="Yes"/>
    <n v="39"/>
    <x v="1"/>
    <s v="Fortnightly"/>
    <n v="0.1"/>
    <n v="68.400000000000006"/>
    <n v="76"/>
    <s v="Cash"/>
    <s v="Normal"/>
    <s v="Good"/>
  </r>
  <r>
    <n v="1103"/>
    <n v="52"/>
    <x v="0"/>
    <x v="1"/>
    <x v="0"/>
    <n v="83"/>
    <x v="21"/>
    <x v="2"/>
    <s v="Peach"/>
    <x v="3"/>
    <n v="2.9"/>
    <s v="No"/>
    <x v="0"/>
    <s v="Yes"/>
    <n v="24"/>
    <x v="1"/>
    <s v="Fortnightly"/>
    <n v="0.1"/>
    <n v="74.7"/>
    <n v="83"/>
    <s v="Cash"/>
    <s v="Normal"/>
    <s v="Poor"/>
  </r>
  <r>
    <n v="1104"/>
    <n v="35"/>
    <x v="0"/>
    <x v="15"/>
    <x v="0"/>
    <n v="23"/>
    <x v="30"/>
    <x v="1"/>
    <s v="Charcoal"/>
    <x v="1"/>
    <n v="4.3"/>
    <s v="No"/>
    <x v="1"/>
    <s v="Yes"/>
    <n v="8"/>
    <x v="5"/>
    <s v="Bi-Weekly"/>
    <n v="0.1"/>
    <n v="20.7"/>
    <n v="23"/>
    <s v="Debit Card"/>
    <s v="Normal"/>
    <s v="Good"/>
  </r>
  <r>
    <n v="1105"/>
    <n v="35"/>
    <x v="0"/>
    <x v="19"/>
    <x v="3"/>
    <n v="28"/>
    <x v="12"/>
    <x v="2"/>
    <s v="Beige"/>
    <x v="3"/>
    <n v="3.1"/>
    <s v="No"/>
    <x v="0"/>
    <s v="Yes"/>
    <n v="8"/>
    <x v="4"/>
    <s v="Quarterly"/>
    <n v="0.1"/>
    <n v="25.2"/>
    <n v="28"/>
    <s v="Bank Transfer"/>
    <s v="Normal"/>
    <s v="Good"/>
  </r>
  <r>
    <n v="1106"/>
    <n v="33"/>
    <x v="0"/>
    <x v="17"/>
    <x v="0"/>
    <n v="83"/>
    <x v="2"/>
    <x v="1"/>
    <s v="Olive"/>
    <x v="1"/>
    <n v="3"/>
    <s v="No"/>
    <x v="2"/>
    <s v="Yes"/>
    <n v="6"/>
    <x v="0"/>
    <s v="Every 3 Months"/>
    <n v="0.1"/>
    <n v="74.7"/>
    <n v="83"/>
    <s v="Venmo"/>
    <s v="Normal"/>
    <s v="Good"/>
  </r>
  <r>
    <n v="1107"/>
    <n v="52"/>
    <x v="0"/>
    <x v="11"/>
    <x v="0"/>
    <n v="96"/>
    <x v="46"/>
    <x v="0"/>
    <s v="Violet"/>
    <x v="0"/>
    <n v="3.6"/>
    <s v="No"/>
    <x v="5"/>
    <s v="Yes"/>
    <n v="12"/>
    <x v="0"/>
    <s v="Fortnightly"/>
    <n v="0.1"/>
    <n v="86.4"/>
    <n v="96"/>
    <s v="Venmo"/>
    <s v="Normal"/>
    <s v="Good"/>
  </r>
  <r>
    <n v="1108"/>
    <n v="69"/>
    <x v="0"/>
    <x v="4"/>
    <x v="1"/>
    <n v="62"/>
    <x v="21"/>
    <x v="2"/>
    <s v="Peach"/>
    <x v="3"/>
    <n v="2.8"/>
    <s v="No"/>
    <x v="5"/>
    <s v="Yes"/>
    <n v="26"/>
    <x v="4"/>
    <s v="Weekly"/>
    <n v="0.1"/>
    <n v="55.8"/>
    <n v="62"/>
    <s v="Bank Transfer"/>
    <s v="Normal"/>
    <s v="Poor"/>
  </r>
  <r>
    <n v="1109"/>
    <n v="27"/>
    <x v="0"/>
    <x v="6"/>
    <x v="0"/>
    <n v="25"/>
    <x v="43"/>
    <x v="2"/>
    <s v="Teal"/>
    <x v="3"/>
    <n v="2.8"/>
    <s v="No"/>
    <x v="3"/>
    <s v="Yes"/>
    <n v="50"/>
    <x v="1"/>
    <s v="Fortnightly"/>
    <n v="0.1"/>
    <n v="22.5"/>
    <n v="25"/>
    <s v="Cash"/>
    <s v="Normal"/>
    <s v="Poor"/>
  </r>
  <r>
    <n v="1110"/>
    <n v="66"/>
    <x v="0"/>
    <x v="15"/>
    <x v="0"/>
    <n v="97"/>
    <x v="19"/>
    <x v="0"/>
    <s v="Violet"/>
    <x v="0"/>
    <n v="1"/>
    <s v="No"/>
    <x v="2"/>
    <s v="Yes"/>
    <n v="2"/>
    <x v="0"/>
    <s v="Weekly"/>
    <n v="0.1"/>
    <n v="87.3"/>
    <n v="97"/>
    <s v="Venmo"/>
    <s v="Normal"/>
    <s v="Poor"/>
  </r>
  <r>
    <n v="1111"/>
    <n v="28"/>
    <x v="0"/>
    <x v="15"/>
    <x v="0"/>
    <n v="61"/>
    <x v="21"/>
    <x v="0"/>
    <s v="Cyan"/>
    <x v="3"/>
    <n v="3"/>
    <s v="No"/>
    <x v="3"/>
    <s v="Yes"/>
    <n v="31"/>
    <x v="1"/>
    <s v="Bi-Weekly"/>
    <n v="0.1"/>
    <n v="54.9"/>
    <n v="61"/>
    <s v="Cash"/>
    <s v="Normal"/>
    <s v="Good"/>
  </r>
  <r>
    <n v="1112"/>
    <n v="22"/>
    <x v="0"/>
    <x v="9"/>
    <x v="1"/>
    <n v="66"/>
    <x v="14"/>
    <x v="1"/>
    <s v="Olive"/>
    <x v="2"/>
    <n v="4.0999999999999996"/>
    <s v="No"/>
    <x v="2"/>
    <s v="Yes"/>
    <n v="4"/>
    <x v="2"/>
    <s v="Bi-Weekly"/>
    <n v="0.1"/>
    <n v="59.4"/>
    <n v="66"/>
    <s v="Credit Card"/>
    <s v="Normal"/>
    <s v="Good"/>
  </r>
  <r>
    <n v="1113"/>
    <n v="69"/>
    <x v="0"/>
    <x v="15"/>
    <x v="0"/>
    <n v="67"/>
    <x v="47"/>
    <x v="3"/>
    <s v="Pink"/>
    <x v="1"/>
    <n v="4.5999999999999996"/>
    <s v="No"/>
    <x v="1"/>
    <s v="Yes"/>
    <n v="32"/>
    <x v="3"/>
    <s v="Quarterly"/>
    <n v="0.1"/>
    <n v="60.3"/>
    <n v="67"/>
    <s v="PayPal"/>
    <s v="Normal"/>
    <s v="Good"/>
  </r>
  <r>
    <n v="1114"/>
    <n v="28"/>
    <x v="0"/>
    <x v="12"/>
    <x v="3"/>
    <n v="80"/>
    <x v="33"/>
    <x v="2"/>
    <s v="Purple"/>
    <x v="2"/>
    <n v="4.8"/>
    <s v="No"/>
    <x v="2"/>
    <s v="Yes"/>
    <n v="11"/>
    <x v="3"/>
    <s v="Bi-Weekly"/>
    <n v="0.1"/>
    <n v="72"/>
    <n v="80"/>
    <s v="PayPal"/>
    <s v="Normal"/>
    <s v="Good"/>
  </r>
  <r>
    <n v="1115"/>
    <n v="55"/>
    <x v="0"/>
    <x v="11"/>
    <x v="0"/>
    <n v="25"/>
    <x v="13"/>
    <x v="0"/>
    <s v="Violet"/>
    <x v="3"/>
    <n v="2.6"/>
    <s v="No"/>
    <x v="2"/>
    <s v="Yes"/>
    <n v="47"/>
    <x v="4"/>
    <s v="Every 3 Months"/>
    <n v="0.1"/>
    <n v="22.5"/>
    <n v="25"/>
    <s v="Bank Transfer"/>
    <s v="Normal"/>
    <s v="Poor"/>
  </r>
  <r>
    <n v="1116"/>
    <n v="30"/>
    <x v="0"/>
    <x v="19"/>
    <x v="3"/>
    <n v="58"/>
    <x v="14"/>
    <x v="1"/>
    <s v="Peach"/>
    <x v="3"/>
    <n v="4"/>
    <s v="No"/>
    <x v="4"/>
    <s v="Yes"/>
    <n v="37"/>
    <x v="1"/>
    <s v="Weekly"/>
    <n v="0.1"/>
    <n v="52.2"/>
    <n v="58"/>
    <s v="Cash"/>
    <s v="Normal"/>
    <s v="Good"/>
  </r>
  <r>
    <n v="1117"/>
    <n v="67"/>
    <x v="0"/>
    <x v="21"/>
    <x v="3"/>
    <n v="96"/>
    <x v="11"/>
    <x v="2"/>
    <s v="Charcoal"/>
    <x v="0"/>
    <n v="4.2"/>
    <s v="No"/>
    <x v="0"/>
    <s v="Yes"/>
    <n v="39"/>
    <x v="3"/>
    <s v="Fortnightly"/>
    <n v="0.1"/>
    <n v="86.4"/>
    <n v="96"/>
    <s v="PayPal"/>
    <s v="Normal"/>
    <s v="Good"/>
  </r>
  <r>
    <n v="1118"/>
    <n v="25"/>
    <x v="0"/>
    <x v="12"/>
    <x v="3"/>
    <n v="77"/>
    <x v="18"/>
    <x v="0"/>
    <s v="Lavender"/>
    <x v="1"/>
    <n v="4.5"/>
    <s v="No"/>
    <x v="5"/>
    <s v="Yes"/>
    <n v="24"/>
    <x v="2"/>
    <s v="Monthly"/>
    <n v="0.1"/>
    <n v="69.3"/>
    <n v="77"/>
    <s v="Credit Card"/>
    <s v="Normal"/>
    <s v="Good"/>
  </r>
  <r>
    <n v="1119"/>
    <n v="49"/>
    <x v="0"/>
    <x v="22"/>
    <x v="3"/>
    <n v="65"/>
    <x v="27"/>
    <x v="2"/>
    <s v="Purple"/>
    <x v="2"/>
    <n v="4.9000000000000004"/>
    <s v="No"/>
    <x v="3"/>
    <s v="Yes"/>
    <n v="11"/>
    <x v="3"/>
    <s v="Every 3 Months"/>
    <n v="0.1"/>
    <n v="58.5"/>
    <n v="65"/>
    <s v="PayPal"/>
    <s v="Normal"/>
    <s v="Good"/>
  </r>
  <r>
    <n v="1120"/>
    <n v="34"/>
    <x v="0"/>
    <x v="16"/>
    <x v="3"/>
    <n v="36"/>
    <x v="7"/>
    <x v="2"/>
    <s v="Indigo"/>
    <x v="1"/>
    <n v="3.1"/>
    <s v="No"/>
    <x v="3"/>
    <s v="Yes"/>
    <n v="36"/>
    <x v="2"/>
    <s v="Weekly"/>
    <n v="0.1"/>
    <n v="32.4"/>
    <n v="36"/>
    <s v="Credit Card"/>
    <s v="Normal"/>
    <s v="Good"/>
  </r>
  <r>
    <n v="1121"/>
    <n v="22"/>
    <x v="0"/>
    <x v="4"/>
    <x v="1"/>
    <n v="84"/>
    <x v="38"/>
    <x v="2"/>
    <s v="Magenta"/>
    <x v="0"/>
    <n v="4"/>
    <s v="No"/>
    <x v="2"/>
    <s v="Yes"/>
    <n v="40"/>
    <x v="5"/>
    <s v="Monthly"/>
    <n v="0.1"/>
    <n v="75.599999999999994"/>
    <n v="84"/>
    <s v="Debit Card"/>
    <s v="Normal"/>
    <s v="Good"/>
  </r>
  <r>
    <n v="1122"/>
    <n v="63"/>
    <x v="0"/>
    <x v="17"/>
    <x v="0"/>
    <n v="58"/>
    <x v="20"/>
    <x v="3"/>
    <s v="Peach"/>
    <x v="3"/>
    <n v="3.2"/>
    <s v="No"/>
    <x v="0"/>
    <s v="Yes"/>
    <n v="25"/>
    <x v="1"/>
    <s v="Quarterly"/>
    <n v="0.1"/>
    <n v="52.2"/>
    <n v="58"/>
    <s v="Cash"/>
    <s v="Normal"/>
    <s v="Good"/>
  </r>
  <r>
    <n v="1123"/>
    <n v="70"/>
    <x v="0"/>
    <x v="8"/>
    <x v="3"/>
    <n v="62"/>
    <x v="17"/>
    <x v="1"/>
    <s v="Charcoal"/>
    <x v="1"/>
    <n v="4.3"/>
    <s v="No"/>
    <x v="4"/>
    <s v="Yes"/>
    <n v="12"/>
    <x v="2"/>
    <s v="Annually"/>
    <n v="0.1"/>
    <n v="55.8"/>
    <n v="62"/>
    <s v="Credit Card"/>
    <s v="Normal"/>
    <s v="Good"/>
  </r>
  <r>
    <n v="1124"/>
    <n v="36"/>
    <x v="0"/>
    <x v="19"/>
    <x v="3"/>
    <n v="67"/>
    <x v="2"/>
    <x v="1"/>
    <s v="Purple"/>
    <x v="3"/>
    <n v="2.5"/>
    <s v="No"/>
    <x v="5"/>
    <s v="Yes"/>
    <n v="38"/>
    <x v="1"/>
    <s v="Monthly"/>
    <n v="0.1"/>
    <n v="60.3"/>
    <n v="67"/>
    <s v="Cash"/>
    <s v="Normal"/>
    <s v="Poor"/>
  </r>
  <r>
    <n v="1125"/>
    <n v="42"/>
    <x v="0"/>
    <x v="1"/>
    <x v="0"/>
    <n v="20"/>
    <x v="44"/>
    <x v="2"/>
    <s v="Orange"/>
    <x v="1"/>
    <n v="1"/>
    <s v="No"/>
    <x v="0"/>
    <s v="Yes"/>
    <n v="40"/>
    <x v="1"/>
    <s v="Quarterly"/>
    <n v="0.1"/>
    <n v="18"/>
    <n v="20"/>
    <s v="Cash"/>
    <s v="Normal"/>
    <s v="Poor"/>
  </r>
  <r>
    <n v="1126"/>
    <n v="27"/>
    <x v="0"/>
    <x v="3"/>
    <x v="1"/>
    <n v="90"/>
    <x v="25"/>
    <x v="2"/>
    <s v="Lavender"/>
    <x v="2"/>
    <n v="2.7"/>
    <s v="No"/>
    <x v="4"/>
    <s v="Yes"/>
    <n v="10"/>
    <x v="4"/>
    <s v="Weekly"/>
    <n v="0.1"/>
    <n v="81"/>
    <n v="90"/>
    <s v="Bank Transfer"/>
    <s v="Normal"/>
    <s v="Poor"/>
  </r>
  <r>
    <n v="1127"/>
    <n v="23"/>
    <x v="0"/>
    <x v="18"/>
    <x v="3"/>
    <n v="58"/>
    <x v="44"/>
    <x v="0"/>
    <s v="Beige"/>
    <x v="0"/>
    <n v="3.4"/>
    <s v="No"/>
    <x v="3"/>
    <s v="Yes"/>
    <n v="47"/>
    <x v="0"/>
    <s v="Fortnightly"/>
    <n v="0.1"/>
    <n v="52.2"/>
    <n v="58"/>
    <s v="Venmo"/>
    <s v="Normal"/>
    <s v="Good"/>
  </r>
  <r>
    <n v="1128"/>
    <n v="50"/>
    <x v="0"/>
    <x v="5"/>
    <x v="0"/>
    <n v="53"/>
    <x v="12"/>
    <x v="3"/>
    <s v="Maroon"/>
    <x v="1"/>
    <n v="4.8"/>
    <s v="No"/>
    <x v="5"/>
    <s v="Yes"/>
    <n v="22"/>
    <x v="5"/>
    <s v="Monthly"/>
    <n v="0.1"/>
    <n v="47.7"/>
    <n v="53"/>
    <s v="Debit Card"/>
    <s v="Normal"/>
    <s v="Good"/>
  </r>
  <r>
    <n v="1129"/>
    <n v="56"/>
    <x v="0"/>
    <x v="24"/>
    <x v="3"/>
    <n v="30"/>
    <x v="14"/>
    <x v="0"/>
    <s v="Charcoal"/>
    <x v="0"/>
    <n v="4.7"/>
    <s v="No"/>
    <x v="2"/>
    <s v="Yes"/>
    <n v="35"/>
    <x v="5"/>
    <s v="Monthly"/>
    <n v="0.1"/>
    <n v="27"/>
    <n v="30"/>
    <s v="Debit Card"/>
    <s v="Normal"/>
    <s v="Good"/>
  </r>
  <r>
    <n v="1130"/>
    <n v="37"/>
    <x v="0"/>
    <x v="15"/>
    <x v="0"/>
    <n v="65"/>
    <x v="13"/>
    <x v="3"/>
    <s v="White"/>
    <x v="0"/>
    <n v="4.7"/>
    <s v="No"/>
    <x v="0"/>
    <s v="Yes"/>
    <n v="46"/>
    <x v="0"/>
    <s v="Fortnightly"/>
    <n v="0.1"/>
    <n v="58.5"/>
    <n v="65"/>
    <s v="Venmo"/>
    <s v="Normal"/>
    <s v="Good"/>
  </r>
  <r>
    <n v="1131"/>
    <n v="67"/>
    <x v="0"/>
    <x v="16"/>
    <x v="3"/>
    <n v="41"/>
    <x v="0"/>
    <x v="2"/>
    <s v="Lavender"/>
    <x v="2"/>
    <n v="3.9"/>
    <s v="No"/>
    <x v="3"/>
    <s v="Yes"/>
    <n v="30"/>
    <x v="3"/>
    <s v="Bi-Weekly"/>
    <n v="0.1"/>
    <n v="36.9"/>
    <n v="41"/>
    <s v="PayPal"/>
    <s v="Normal"/>
    <s v="Good"/>
  </r>
  <r>
    <n v="1132"/>
    <n v="67"/>
    <x v="0"/>
    <x v="5"/>
    <x v="0"/>
    <n v="73"/>
    <x v="26"/>
    <x v="2"/>
    <s v="Black"/>
    <x v="1"/>
    <n v="3.7"/>
    <s v="No"/>
    <x v="0"/>
    <s v="Yes"/>
    <n v="20"/>
    <x v="4"/>
    <s v="Monthly"/>
    <n v="0.1"/>
    <n v="65.7"/>
    <n v="73"/>
    <s v="Bank Transfer"/>
    <s v="Normal"/>
    <s v="Good"/>
  </r>
  <r>
    <n v="1133"/>
    <n v="50"/>
    <x v="0"/>
    <x v="15"/>
    <x v="0"/>
    <n v="98"/>
    <x v="17"/>
    <x v="1"/>
    <s v="Teal"/>
    <x v="1"/>
    <n v="4.3"/>
    <s v="No"/>
    <x v="5"/>
    <s v="Yes"/>
    <n v="25"/>
    <x v="1"/>
    <s v="Fortnightly"/>
    <n v="0.1"/>
    <n v="88.2"/>
    <n v="98"/>
    <s v="Cash"/>
    <s v="Normal"/>
    <s v="Good"/>
  </r>
  <r>
    <n v="1134"/>
    <n v="36"/>
    <x v="0"/>
    <x v="9"/>
    <x v="1"/>
    <n v="36"/>
    <x v="39"/>
    <x v="3"/>
    <s v="Magenta"/>
    <x v="0"/>
    <n v="4.0999999999999996"/>
    <s v="No"/>
    <x v="4"/>
    <s v="Yes"/>
    <n v="29"/>
    <x v="1"/>
    <s v="Weekly"/>
    <n v="0.1"/>
    <n v="32.4"/>
    <n v="36"/>
    <s v="Cash"/>
    <s v="Normal"/>
    <s v="Good"/>
  </r>
  <r>
    <n v="1135"/>
    <n v="62"/>
    <x v="0"/>
    <x v="17"/>
    <x v="0"/>
    <n v="81"/>
    <x v="48"/>
    <x v="2"/>
    <s v="Brown"/>
    <x v="2"/>
    <n v="1"/>
    <s v="No"/>
    <x v="0"/>
    <s v="Yes"/>
    <n v="2"/>
    <x v="0"/>
    <s v="Every 3 Months"/>
    <n v="0.1"/>
    <n v="72.900000000000006"/>
    <n v="81"/>
    <s v="Venmo"/>
    <s v="Normal"/>
    <s v="Poor"/>
  </r>
  <r>
    <n v="1136"/>
    <n v="65"/>
    <x v="0"/>
    <x v="11"/>
    <x v="0"/>
    <n v="90"/>
    <x v="2"/>
    <x v="0"/>
    <s v="Peach"/>
    <x v="0"/>
    <n v="3.6"/>
    <s v="No"/>
    <x v="4"/>
    <s v="Yes"/>
    <n v="32"/>
    <x v="4"/>
    <s v="Quarterly"/>
    <n v="0.1"/>
    <n v="81"/>
    <n v="90"/>
    <s v="Bank Transfer"/>
    <s v="Normal"/>
    <s v="Good"/>
  </r>
  <r>
    <n v="1137"/>
    <n v="23"/>
    <x v="0"/>
    <x v="8"/>
    <x v="3"/>
    <n v="83"/>
    <x v="26"/>
    <x v="1"/>
    <s v="Cyan"/>
    <x v="2"/>
    <n v="4.8"/>
    <s v="No"/>
    <x v="1"/>
    <s v="Yes"/>
    <n v="37"/>
    <x v="1"/>
    <s v="Monthly"/>
    <n v="0.1"/>
    <n v="74.7"/>
    <n v="83"/>
    <s v="Cash"/>
    <s v="Normal"/>
    <s v="Good"/>
  </r>
  <r>
    <n v="1138"/>
    <n v="46"/>
    <x v="0"/>
    <x v="5"/>
    <x v="0"/>
    <n v="91"/>
    <x v="35"/>
    <x v="3"/>
    <s v="Pink"/>
    <x v="0"/>
    <n v="2.8"/>
    <s v="No"/>
    <x v="4"/>
    <s v="Yes"/>
    <n v="16"/>
    <x v="4"/>
    <s v="Every 3 Months"/>
    <n v="0.1"/>
    <n v="81.900000000000006"/>
    <n v="91"/>
    <s v="Bank Transfer"/>
    <s v="Normal"/>
    <s v="Poor"/>
  </r>
  <r>
    <n v="1139"/>
    <n v="18"/>
    <x v="0"/>
    <x v="13"/>
    <x v="0"/>
    <n v="36"/>
    <x v="44"/>
    <x v="2"/>
    <s v="Purple"/>
    <x v="2"/>
    <n v="4.7"/>
    <s v="No"/>
    <x v="0"/>
    <s v="Yes"/>
    <n v="32"/>
    <x v="0"/>
    <s v="Fortnightly"/>
    <n v="0.1"/>
    <n v="32.4"/>
    <n v="36"/>
    <s v="Venmo"/>
    <s v="Normal"/>
    <s v="Good"/>
  </r>
  <r>
    <n v="1140"/>
    <n v="58"/>
    <x v="0"/>
    <x v="7"/>
    <x v="2"/>
    <n v="53"/>
    <x v="15"/>
    <x v="0"/>
    <s v="Purple"/>
    <x v="1"/>
    <n v="3.9"/>
    <s v="No"/>
    <x v="3"/>
    <s v="Yes"/>
    <n v="42"/>
    <x v="5"/>
    <s v="Bi-Weekly"/>
    <n v="0.1"/>
    <n v="47.7"/>
    <n v="53"/>
    <s v="Debit Card"/>
    <s v="Normal"/>
    <s v="Good"/>
  </r>
  <r>
    <n v="1141"/>
    <n v="31"/>
    <x v="0"/>
    <x v="2"/>
    <x v="0"/>
    <n v="39"/>
    <x v="33"/>
    <x v="2"/>
    <s v="White"/>
    <x v="0"/>
    <n v="2.6"/>
    <s v="No"/>
    <x v="5"/>
    <s v="Yes"/>
    <n v="6"/>
    <x v="2"/>
    <s v="Every 3 Months"/>
    <n v="0.1"/>
    <n v="35.1"/>
    <n v="39"/>
    <s v="Credit Card"/>
    <s v="Normal"/>
    <s v="Poor"/>
  </r>
  <r>
    <n v="1142"/>
    <n v="39"/>
    <x v="0"/>
    <x v="24"/>
    <x v="3"/>
    <n v="33"/>
    <x v="31"/>
    <x v="1"/>
    <s v="Silver"/>
    <x v="0"/>
    <n v="4.7"/>
    <s v="No"/>
    <x v="2"/>
    <s v="Yes"/>
    <n v="23"/>
    <x v="3"/>
    <s v="Fortnightly"/>
    <n v="0.1"/>
    <n v="29.7"/>
    <n v="33"/>
    <s v="PayPal"/>
    <s v="Normal"/>
    <s v="Good"/>
  </r>
  <r>
    <n v="1143"/>
    <n v="69"/>
    <x v="0"/>
    <x v="17"/>
    <x v="0"/>
    <n v="76"/>
    <x v="31"/>
    <x v="0"/>
    <s v="Green"/>
    <x v="1"/>
    <n v="3.5"/>
    <s v="No"/>
    <x v="5"/>
    <s v="Yes"/>
    <n v="27"/>
    <x v="0"/>
    <s v="Bi-Weekly"/>
    <n v="0.1"/>
    <n v="68.400000000000006"/>
    <n v="76"/>
    <s v="Venmo"/>
    <s v="Normal"/>
    <s v="Good"/>
  </r>
  <r>
    <n v="1144"/>
    <n v="68"/>
    <x v="0"/>
    <x v="23"/>
    <x v="1"/>
    <n v="23"/>
    <x v="22"/>
    <x v="0"/>
    <s v="Teal"/>
    <x v="0"/>
    <n v="4.4000000000000004"/>
    <s v="No"/>
    <x v="3"/>
    <s v="Yes"/>
    <n v="43"/>
    <x v="3"/>
    <s v="Quarterly"/>
    <n v="0.1"/>
    <n v="20.7"/>
    <n v="23"/>
    <s v="PayPal"/>
    <s v="Normal"/>
    <s v="Good"/>
  </r>
  <r>
    <n v="1145"/>
    <n v="41"/>
    <x v="0"/>
    <x v="2"/>
    <x v="0"/>
    <n v="54"/>
    <x v="36"/>
    <x v="1"/>
    <s v="Indigo"/>
    <x v="3"/>
    <n v="4.4000000000000004"/>
    <s v="No"/>
    <x v="4"/>
    <s v="Yes"/>
    <n v="25"/>
    <x v="4"/>
    <s v="Fortnightly"/>
    <n v="0.1"/>
    <n v="48.6"/>
    <n v="54"/>
    <s v="Bank Transfer"/>
    <s v="Normal"/>
    <s v="Good"/>
  </r>
  <r>
    <n v="1146"/>
    <n v="31"/>
    <x v="0"/>
    <x v="4"/>
    <x v="1"/>
    <n v="89"/>
    <x v="22"/>
    <x v="0"/>
    <s v="Pink"/>
    <x v="2"/>
    <n v="3"/>
    <s v="No"/>
    <x v="0"/>
    <s v="Yes"/>
    <n v="30"/>
    <x v="1"/>
    <s v="Every 3 Months"/>
    <n v="0.1"/>
    <n v="80.099999999999994"/>
    <n v="89"/>
    <s v="Cash"/>
    <s v="Normal"/>
    <s v="Good"/>
  </r>
  <r>
    <n v="1147"/>
    <n v="48"/>
    <x v="0"/>
    <x v="4"/>
    <x v="1"/>
    <n v="38"/>
    <x v="48"/>
    <x v="2"/>
    <s v="Indigo"/>
    <x v="2"/>
    <n v="4.2"/>
    <s v="No"/>
    <x v="3"/>
    <s v="Yes"/>
    <n v="7"/>
    <x v="4"/>
    <s v="Every 3 Months"/>
    <n v="0.1"/>
    <n v="34.200000000000003"/>
    <n v="38"/>
    <s v="Bank Transfer"/>
    <s v="Normal"/>
    <s v="Good"/>
  </r>
  <r>
    <n v="1148"/>
    <n v="59"/>
    <x v="0"/>
    <x v="19"/>
    <x v="3"/>
    <n v="36"/>
    <x v="30"/>
    <x v="3"/>
    <s v="Red"/>
    <x v="0"/>
    <n v="4.3"/>
    <s v="No"/>
    <x v="2"/>
    <s v="Yes"/>
    <n v="17"/>
    <x v="5"/>
    <s v="Annually"/>
    <n v="0.1"/>
    <n v="32.4"/>
    <n v="36"/>
    <s v="Debit Card"/>
    <s v="Normal"/>
    <s v="Good"/>
  </r>
  <r>
    <n v="1149"/>
    <n v="34"/>
    <x v="0"/>
    <x v="13"/>
    <x v="0"/>
    <n v="66"/>
    <x v="20"/>
    <x v="2"/>
    <s v="Violet"/>
    <x v="1"/>
    <n v="2.6"/>
    <s v="No"/>
    <x v="5"/>
    <s v="Yes"/>
    <n v="10"/>
    <x v="3"/>
    <s v="Fortnightly"/>
    <n v="0.1"/>
    <n v="59.4"/>
    <n v="66"/>
    <s v="PayPal"/>
    <s v="Normal"/>
    <s v="Poor"/>
  </r>
  <r>
    <n v="1150"/>
    <n v="21"/>
    <x v="0"/>
    <x v="16"/>
    <x v="3"/>
    <n v="42"/>
    <x v="42"/>
    <x v="0"/>
    <s v="Cyan"/>
    <x v="1"/>
    <n v="3.3"/>
    <s v="No"/>
    <x v="5"/>
    <s v="Yes"/>
    <n v="40"/>
    <x v="0"/>
    <s v="Annually"/>
    <n v="0.1"/>
    <n v="37.799999999999997"/>
    <n v="42"/>
    <s v="Venmo"/>
    <s v="Normal"/>
    <s v="Good"/>
  </r>
  <r>
    <n v="1151"/>
    <n v="29"/>
    <x v="0"/>
    <x v="16"/>
    <x v="3"/>
    <n v="36"/>
    <x v="0"/>
    <x v="1"/>
    <s v="Red"/>
    <x v="0"/>
    <n v="2.7"/>
    <s v="No"/>
    <x v="2"/>
    <s v="Yes"/>
    <n v="50"/>
    <x v="0"/>
    <s v="Bi-Weekly"/>
    <n v="0.1"/>
    <n v="32.4"/>
    <n v="36"/>
    <s v="Venmo"/>
    <s v="Normal"/>
    <s v="Poor"/>
  </r>
  <r>
    <n v="1152"/>
    <n v="41"/>
    <x v="0"/>
    <x v="0"/>
    <x v="0"/>
    <n v="86"/>
    <x v="31"/>
    <x v="2"/>
    <s v="Gray"/>
    <x v="1"/>
    <n v="1"/>
    <s v="No"/>
    <x v="0"/>
    <s v="Yes"/>
    <n v="24"/>
    <x v="2"/>
    <s v="Weekly"/>
    <n v="0.1"/>
    <n v="77.400000000000006"/>
    <n v="86"/>
    <s v="Credit Card"/>
    <s v="Normal"/>
    <s v="Poor"/>
  </r>
  <r>
    <n v="1153"/>
    <n v="62"/>
    <x v="0"/>
    <x v="8"/>
    <x v="3"/>
    <n v="49"/>
    <x v="39"/>
    <x v="2"/>
    <s v="Gold"/>
    <x v="3"/>
    <n v="4"/>
    <s v="No"/>
    <x v="3"/>
    <s v="Yes"/>
    <n v="8"/>
    <x v="3"/>
    <s v="Every 3 Months"/>
    <n v="0.1"/>
    <n v="44.1"/>
    <n v="49"/>
    <s v="PayPal"/>
    <s v="Normal"/>
    <s v="Good"/>
  </r>
  <r>
    <n v="1154"/>
    <n v="27"/>
    <x v="0"/>
    <x v="5"/>
    <x v="0"/>
    <n v="41"/>
    <x v="37"/>
    <x v="2"/>
    <s v="Pink"/>
    <x v="2"/>
    <n v="4"/>
    <s v="No"/>
    <x v="1"/>
    <s v="Yes"/>
    <n v="6"/>
    <x v="4"/>
    <s v="Quarterly"/>
    <n v="0.1"/>
    <n v="36.9"/>
    <n v="41"/>
    <s v="Bank Transfer"/>
    <s v="Normal"/>
    <s v="Good"/>
  </r>
  <r>
    <n v="1155"/>
    <n v="49"/>
    <x v="0"/>
    <x v="10"/>
    <x v="0"/>
    <n v="82"/>
    <x v="42"/>
    <x v="0"/>
    <s v="Cyan"/>
    <x v="1"/>
    <n v="2.9"/>
    <s v="No"/>
    <x v="4"/>
    <s v="Yes"/>
    <n v="44"/>
    <x v="2"/>
    <s v="Bi-Weekly"/>
    <n v="0.1"/>
    <n v="73.8"/>
    <n v="82"/>
    <s v="Credit Card"/>
    <s v="Normal"/>
    <s v="Poor"/>
  </r>
  <r>
    <n v="1156"/>
    <n v="67"/>
    <x v="0"/>
    <x v="17"/>
    <x v="0"/>
    <n v="53"/>
    <x v="30"/>
    <x v="1"/>
    <s v="Red"/>
    <x v="3"/>
    <n v="2.6"/>
    <s v="No"/>
    <x v="0"/>
    <s v="Yes"/>
    <n v="47"/>
    <x v="3"/>
    <s v="Quarterly"/>
    <n v="0.1"/>
    <n v="47.7"/>
    <n v="53"/>
    <s v="PayPal"/>
    <s v="Normal"/>
    <s v="Poor"/>
  </r>
  <r>
    <n v="1157"/>
    <n v="20"/>
    <x v="0"/>
    <x v="9"/>
    <x v="1"/>
    <n v="21"/>
    <x v="11"/>
    <x v="2"/>
    <s v="Gold"/>
    <x v="2"/>
    <n v="4.8"/>
    <s v="No"/>
    <x v="0"/>
    <s v="Yes"/>
    <n v="6"/>
    <x v="0"/>
    <s v="Every 3 Months"/>
    <n v="0.1"/>
    <n v="18.899999999999999"/>
    <n v="21"/>
    <s v="Venmo"/>
    <s v="Normal"/>
    <s v="Good"/>
  </r>
  <r>
    <n v="1158"/>
    <n v="37"/>
    <x v="0"/>
    <x v="22"/>
    <x v="3"/>
    <n v="66"/>
    <x v="33"/>
    <x v="2"/>
    <s v="Charcoal"/>
    <x v="3"/>
    <n v="4.4000000000000004"/>
    <s v="No"/>
    <x v="3"/>
    <s v="Yes"/>
    <n v="11"/>
    <x v="1"/>
    <s v="Quarterly"/>
    <n v="0.1"/>
    <n v="59.4"/>
    <n v="66"/>
    <s v="Cash"/>
    <s v="Normal"/>
    <s v="Good"/>
  </r>
  <r>
    <n v="1159"/>
    <n v="69"/>
    <x v="0"/>
    <x v="22"/>
    <x v="3"/>
    <n v="89"/>
    <x v="22"/>
    <x v="0"/>
    <s v="Orange"/>
    <x v="2"/>
    <n v="4"/>
    <s v="No"/>
    <x v="4"/>
    <s v="Yes"/>
    <n v="41"/>
    <x v="4"/>
    <s v="Annually"/>
    <n v="0.1"/>
    <n v="80.099999999999994"/>
    <n v="89"/>
    <s v="Bank Transfer"/>
    <s v="Normal"/>
    <s v="Good"/>
  </r>
  <r>
    <n v="1160"/>
    <n v="66"/>
    <x v="0"/>
    <x v="8"/>
    <x v="3"/>
    <n v="55"/>
    <x v="13"/>
    <x v="0"/>
    <s v="Blue"/>
    <x v="3"/>
    <n v="3.6"/>
    <s v="No"/>
    <x v="4"/>
    <s v="Yes"/>
    <n v="46"/>
    <x v="0"/>
    <s v="Every 3 Months"/>
    <n v="0.1"/>
    <n v="49.5"/>
    <n v="55"/>
    <s v="Venmo"/>
    <s v="Normal"/>
    <s v="Good"/>
  </r>
  <r>
    <n v="1161"/>
    <n v="37"/>
    <x v="0"/>
    <x v="18"/>
    <x v="3"/>
    <n v="42"/>
    <x v="25"/>
    <x v="1"/>
    <s v="Blue"/>
    <x v="2"/>
    <n v="3.2"/>
    <s v="No"/>
    <x v="2"/>
    <s v="Yes"/>
    <n v="9"/>
    <x v="0"/>
    <s v="Bi-Weekly"/>
    <n v="0.1"/>
    <n v="37.799999999999997"/>
    <n v="42"/>
    <s v="Venmo"/>
    <s v="Normal"/>
    <s v="Good"/>
  </r>
  <r>
    <n v="1162"/>
    <n v="63"/>
    <x v="0"/>
    <x v="6"/>
    <x v="0"/>
    <n v="52"/>
    <x v="19"/>
    <x v="1"/>
    <s v="Orange"/>
    <x v="3"/>
    <n v="3.1"/>
    <s v="No"/>
    <x v="4"/>
    <s v="Yes"/>
    <n v="37"/>
    <x v="3"/>
    <s v="Monthly"/>
    <n v="0.1"/>
    <n v="46.8"/>
    <n v="52"/>
    <s v="PayPal"/>
    <s v="Normal"/>
    <s v="Good"/>
  </r>
  <r>
    <n v="1163"/>
    <n v="47"/>
    <x v="0"/>
    <x v="3"/>
    <x v="1"/>
    <n v="92"/>
    <x v="17"/>
    <x v="2"/>
    <s v="Blue"/>
    <x v="0"/>
    <n v="4.2"/>
    <s v="No"/>
    <x v="0"/>
    <s v="Yes"/>
    <n v="13"/>
    <x v="3"/>
    <s v="Weekly"/>
    <n v="0.1"/>
    <n v="82.8"/>
    <n v="92"/>
    <s v="PayPal"/>
    <s v="Normal"/>
    <s v="Good"/>
  </r>
  <r>
    <n v="1164"/>
    <n v="26"/>
    <x v="0"/>
    <x v="13"/>
    <x v="0"/>
    <n v="56"/>
    <x v="30"/>
    <x v="0"/>
    <s v="White"/>
    <x v="2"/>
    <n v="3"/>
    <s v="No"/>
    <x v="4"/>
    <s v="Yes"/>
    <n v="24"/>
    <x v="5"/>
    <s v="Monthly"/>
    <n v="0.1"/>
    <n v="50.4"/>
    <n v="56"/>
    <s v="Debit Card"/>
    <s v="Normal"/>
    <s v="Good"/>
  </r>
  <r>
    <n v="1165"/>
    <n v="68"/>
    <x v="0"/>
    <x v="10"/>
    <x v="0"/>
    <n v="96"/>
    <x v="6"/>
    <x v="2"/>
    <s v="Green"/>
    <x v="0"/>
    <n v="4.2"/>
    <s v="No"/>
    <x v="3"/>
    <s v="Yes"/>
    <n v="47"/>
    <x v="3"/>
    <s v="Quarterly"/>
    <n v="0.1"/>
    <n v="86.4"/>
    <n v="96"/>
    <s v="PayPal"/>
    <s v="Normal"/>
    <s v="Good"/>
  </r>
  <r>
    <n v="1166"/>
    <n v="51"/>
    <x v="0"/>
    <x v="17"/>
    <x v="0"/>
    <n v="64"/>
    <x v="48"/>
    <x v="2"/>
    <s v="Silver"/>
    <x v="0"/>
    <n v="2.9"/>
    <s v="No"/>
    <x v="2"/>
    <s v="Yes"/>
    <n v="21"/>
    <x v="0"/>
    <s v="Every 3 Months"/>
    <n v="0.1"/>
    <n v="57.6"/>
    <n v="64"/>
    <s v="Venmo"/>
    <s v="Normal"/>
    <s v="Poor"/>
  </r>
  <r>
    <n v="1167"/>
    <n v="48"/>
    <x v="0"/>
    <x v="10"/>
    <x v="0"/>
    <n v="48"/>
    <x v="39"/>
    <x v="1"/>
    <s v="Lavender"/>
    <x v="0"/>
    <n v="3.7"/>
    <s v="No"/>
    <x v="5"/>
    <s v="Yes"/>
    <n v="22"/>
    <x v="0"/>
    <s v="Fortnightly"/>
    <n v="0.1"/>
    <n v="43.2"/>
    <n v="48"/>
    <s v="Venmo"/>
    <s v="Normal"/>
    <s v="Good"/>
  </r>
  <r>
    <n v="1168"/>
    <n v="60"/>
    <x v="0"/>
    <x v="20"/>
    <x v="0"/>
    <n v="83"/>
    <x v="32"/>
    <x v="3"/>
    <s v="Beige"/>
    <x v="2"/>
    <n v="3.6"/>
    <s v="No"/>
    <x v="1"/>
    <s v="Yes"/>
    <n v="16"/>
    <x v="3"/>
    <s v="Quarterly"/>
    <n v="0.1"/>
    <n v="74.7"/>
    <n v="83"/>
    <s v="PayPal"/>
    <s v="Normal"/>
    <s v="Good"/>
  </r>
  <r>
    <n v="1169"/>
    <n v="68"/>
    <x v="0"/>
    <x v="18"/>
    <x v="3"/>
    <n v="91"/>
    <x v="16"/>
    <x v="0"/>
    <s v="Violet"/>
    <x v="2"/>
    <n v="3.6"/>
    <s v="No"/>
    <x v="3"/>
    <s v="Yes"/>
    <n v="37"/>
    <x v="5"/>
    <s v="Fortnightly"/>
    <n v="0.1"/>
    <n v="81.900000000000006"/>
    <n v="91"/>
    <s v="Debit Card"/>
    <s v="Normal"/>
    <s v="Good"/>
  </r>
  <r>
    <n v="1170"/>
    <n v="25"/>
    <x v="0"/>
    <x v="21"/>
    <x v="3"/>
    <n v="94"/>
    <x v="5"/>
    <x v="1"/>
    <s v="Gray"/>
    <x v="3"/>
    <n v="4.5"/>
    <s v="No"/>
    <x v="4"/>
    <s v="Yes"/>
    <n v="3"/>
    <x v="1"/>
    <s v="Annually"/>
    <n v="0.1"/>
    <n v="84.6"/>
    <n v="94"/>
    <s v="Cash"/>
    <s v="Normal"/>
    <s v="Good"/>
  </r>
  <r>
    <n v="1171"/>
    <n v="57"/>
    <x v="0"/>
    <x v="11"/>
    <x v="0"/>
    <n v="62"/>
    <x v="26"/>
    <x v="1"/>
    <s v="Red"/>
    <x v="1"/>
    <n v="3.2"/>
    <s v="No"/>
    <x v="0"/>
    <s v="Yes"/>
    <n v="33"/>
    <x v="1"/>
    <s v="Bi-Weekly"/>
    <n v="0.1"/>
    <n v="55.8"/>
    <n v="62"/>
    <s v="Cash"/>
    <s v="Normal"/>
    <s v="Good"/>
  </r>
  <r>
    <n v="1172"/>
    <n v="41"/>
    <x v="0"/>
    <x v="20"/>
    <x v="0"/>
    <n v="55"/>
    <x v="7"/>
    <x v="2"/>
    <s v="Lavender"/>
    <x v="1"/>
    <n v="3.9"/>
    <s v="No"/>
    <x v="2"/>
    <s v="Yes"/>
    <n v="15"/>
    <x v="5"/>
    <s v="Annually"/>
    <n v="0.1"/>
    <n v="49.5"/>
    <n v="55"/>
    <s v="Debit Card"/>
    <s v="Normal"/>
    <s v="Good"/>
  </r>
  <r>
    <n v="1173"/>
    <n v="59"/>
    <x v="0"/>
    <x v="7"/>
    <x v="2"/>
    <n v="68"/>
    <x v="4"/>
    <x v="0"/>
    <s v="Peach"/>
    <x v="1"/>
    <n v="4.5999999999999996"/>
    <s v="No"/>
    <x v="5"/>
    <s v="Yes"/>
    <n v="42"/>
    <x v="4"/>
    <s v="Bi-Weekly"/>
    <n v="0.1"/>
    <n v="61.2"/>
    <n v="68"/>
    <s v="Bank Transfer"/>
    <s v="Normal"/>
    <s v="Good"/>
  </r>
  <r>
    <n v="1174"/>
    <n v="44"/>
    <x v="0"/>
    <x v="16"/>
    <x v="3"/>
    <n v="76"/>
    <x v="45"/>
    <x v="2"/>
    <s v="Indigo"/>
    <x v="0"/>
    <n v="2.5"/>
    <s v="No"/>
    <x v="0"/>
    <s v="Yes"/>
    <n v="42"/>
    <x v="1"/>
    <s v="Bi-Weekly"/>
    <n v="0.1"/>
    <n v="68.400000000000006"/>
    <n v="76"/>
    <s v="Cash"/>
    <s v="Normal"/>
    <s v="Poor"/>
  </r>
  <r>
    <n v="1175"/>
    <n v="42"/>
    <x v="0"/>
    <x v="21"/>
    <x v="3"/>
    <n v="31"/>
    <x v="49"/>
    <x v="2"/>
    <s v="Black"/>
    <x v="0"/>
    <n v="4.3"/>
    <s v="No"/>
    <x v="0"/>
    <s v="Yes"/>
    <n v="19"/>
    <x v="4"/>
    <s v="Bi-Weekly"/>
    <n v="0.1"/>
    <n v="27.9"/>
    <n v="31"/>
    <s v="Bank Transfer"/>
    <s v="Normal"/>
    <s v="Good"/>
  </r>
  <r>
    <n v="1176"/>
    <n v="35"/>
    <x v="0"/>
    <x v="22"/>
    <x v="3"/>
    <n v="81"/>
    <x v="32"/>
    <x v="2"/>
    <s v="Beige"/>
    <x v="1"/>
    <n v="4.0999999999999996"/>
    <s v="No"/>
    <x v="5"/>
    <s v="Yes"/>
    <n v="26"/>
    <x v="3"/>
    <s v="Quarterly"/>
    <n v="0.1"/>
    <n v="72.900000000000006"/>
    <n v="81"/>
    <s v="PayPal"/>
    <s v="Normal"/>
    <s v="Good"/>
  </r>
  <r>
    <n v="1177"/>
    <n v="36"/>
    <x v="0"/>
    <x v="10"/>
    <x v="0"/>
    <n v="83"/>
    <x v="4"/>
    <x v="2"/>
    <s v="Red"/>
    <x v="0"/>
    <n v="1"/>
    <s v="No"/>
    <x v="1"/>
    <s v="Yes"/>
    <n v="39"/>
    <x v="3"/>
    <s v="Quarterly"/>
    <n v="0.1"/>
    <n v="74.7"/>
    <n v="83"/>
    <s v="PayPal"/>
    <s v="Normal"/>
    <s v="Poor"/>
  </r>
  <r>
    <n v="1178"/>
    <n v="54"/>
    <x v="0"/>
    <x v="11"/>
    <x v="0"/>
    <n v="21"/>
    <x v="44"/>
    <x v="2"/>
    <s v="Black"/>
    <x v="1"/>
    <n v="4.8"/>
    <s v="No"/>
    <x v="3"/>
    <s v="Yes"/>
    <n v="24"/>
    <x v="5"/>
    <s v="Monthly"/>
    <n v="0.1"/>
    <n v="18.899999999999999"/>
    <n v="21"/>
    <s v="Debit Card"/>
    <s v="Normal"/>
    <s v="Good"/>
  </r>
  <r>
    <n v="1179"/>
    <n v="37"/>
    <x v="0"/>
    <x v="10"/>
    <x v="0"/>
    <n v="22"/>
    <x v="36"/>
    <x v="2"/>
    <s v="Teal"/>
    <x v="1"/>
    <n v="4.9000000000000004"/>
    <s v="No"/>
    <x v="0"/>
    <s v="Yes"/>
    <n v="23"/>
    <x v="5"/>
    <s v="Annually"/>
    <n v="0.1"/>
    <n v="19.8"/>
    <n v="22"/>
    <s v="Debit Card"/>
    <s v="Normal"/>
    <s v="Good"/>
  </r>
  <r>
    <n v="1180"/>
    <n v="20"/>
    <x v="0"/>
    <x v="17"/>
    <x v="0"/>
    <n v="33"/>
    <x v="27"/>
    <x v="2"/>
    <s v="Blue"/>
    <x v="2"/>
    <n v="2.8"/>
    <s v="No"/>
    <x v="1"/>
    <s v="Yes"/>
    <n v="44"/>
    <x v="4"/>
    <s v="Annually"/>
    <n v="0.1"/>
    <n v="29.7"/>
    <n v="33"/>
    <s v="Bank Transfer"/>
    <s v="Normal"/>
    <s v="Poor"/>
  </r>
  <r>
    <n v="1181"/>
    <n v="23"/>
    <x v="0"/>
    <x v="11"/>
    <x v="0"/>
    <n v="23"/>
    <x v="4"/>
    <x v="1"/>
    <s v="Beige"/>
    <x v="1"/>
    <n v="4.9000000000000004"/>
    <s v="No"/>
    <x v="3"/>
    <s v="Yes"/>
    <n v="34"/>
    <x v="1"/>
    <s v="Monthly"/>
    <n v="0.1"/>
    <n v="20.7"/>
    <n v="23"/>
    <s v="Cash"/>
    <s v="Normal"/>
    <s v="Good"/>
  </r>
  <r>
    <n v="1182"/>
    <n v="61"/>
    <x v="0"/>
    <x v="6"/>
    <x v="0"/>
    <n v="96"/>
    <x v="14"/>
    <x v="0"/>
    <s v="Teal"/>
    <x v="2"/>
    <n v="3.5"/>
    <s v="No"/>
    <x v="1"/>
    <s v="Yes"/>
    <n v="43"/>
    <x v="4"/>
    <s v="Quarterly"/>
    <n v="0.1"/>
    <n v="86.4"/>
    <n v="96"/>
    <s v="Bank Transfer"/>
    <s v="Normal"/>
    <s v="Good"/>
  </r>
  <r>
    <n v="1183"/>
    <n v="37"/>
    <x v="0"/>
    <x v="16"/>
    <x v="3"/>
    <n v="21"/>
    <x v="35"/>
    <x v="2"/>
    <s v="Maroon"/>
    <x v="1"/>
    <n v="3.8"/>
    <s v="No"/>
    <x v="0"/>
    <s v="Yes"/>
    <n v="45"/>
    <x v="3"/>
    <s v="Quarterly"/>
    <n v="0.1"/>
    <n v="18.899999999999999"/>
    <n v="21"/>
    <s v="PayPal"/>
    <s v="Normal"/>
    <s v="Good"/>
  </r>
  <r>
    <n v="1184"/>
    <n v="23"/>
    <x v="0"/>
    <x v="13"/>
    <x v="0"/>
    <n v="39"/>
    <x v="7"/>
    <x v="2"/>
    <s v="Yellow"/>
    <x v="1"/>
    <n v="4.5"/>
    <s v="No"/>
    <x v="4"/>
    <s v="Yes"/>
    <n v="4"/>
    <x v="2"/>
    <s v="Weekly"/>
    <n v="0.1"/>
    <n v="35.1"/>
    <n v="39"/>
    <s v="Credit Card"/>
    <s v="Normal"/>
    <s v="Good"/>
  </r>
  <r>
    <n v="1185"/>
    <n v="63"/>
    <x v="0"/>
    <x v="22"/>
    <x v="3"/>
    <n v="73"/>
    <x v="36"/>
    <x v="1"/>
    <s v="Indigo"/>
    <x v="3"/>
    <n v="3.4"/>
    <s v="No"/>
    <x v="0"/>
    <s v="Yes"/>
    <n v="19"/>
    <x v="2"/>
    <s v="Annually"/>
    <n v="0.1"/>
    <n v="65.7"/>
    <n v="73"/>
    <s v="Credit Card"/>
    <s v="Normal"/>
    <s v="Good"/>
  </r>
  <r>
    <n v="1186"/>
    <n v="47"/>
    <x v="0"/>
    <x v="2"/>
    <x v="0"/>
    <n v="64"/>
    <x v="1"/>
    <x v="2"/>
    <s v="Magenta"/>
    <x v="1"/>
    <n v="3.9"/>
    <s v="No"/>
    <x v="3"/>
    <s v="Yes"/>
    <n v="29"/>
    <x v="2"/>
    <s v="Monthly"/>
    <n v="0.1"/>
    <n v="57.6"/>
    <n v="64"/>
    <s v="Credit Card"/>
    <s v="Normal"/>
    <s v="Good"/>
  </r>
  <r>
    <n v="1187"/>
    <n v="63"/>
    <x v="0"/>
    <x v="2"/>
    <x v="0"/>
    <n v="68"/>
    <x v="27"/>
    <x v="2"/>
    <s v="Beige"/>
    <x v="2"/>
    <n v="4.0999999999999996"/>
    <s v="No"/>
    <x v="4"/>
    <s v="Yes"/>
    <n v="27"/>
    <x v="2"/>
    <s v="Annually"/>
    <n v="0.1"/>
    <n v="61.2"/>
    <n v="68"/>
    <s v="Credit Card"/>
    <s v="Normal"/>
    <s v="Good"/>
  </r>
  <r>
    <n v="1188"/>
    <n v="56"/>
    <x v="0"/>
    <x v="19"/>
    <x v="3"/>
    <n v="89"/>
    <x v="44"/>
    <x v="0"/>
    <s v="Maroon"/>
    <x v="3"/>
    <n v="3"/>
    <s v="No"/>
    <x v="0"/>
    <s v="Yes"/>
    <n v="37"/>
    <x v="2"/>
    <s v="Every 3 Months"/>
    <n v="0.1"/>
    <n v="80.099999999999994"/>
    <n v="89"/>
    <s v="Credit Card"/>
    <s v="Normal"/>
    <s v="Good"/>
  </r>
  <r>
    <n v="1189"/>
    <n v="68"/>
    <x v="0"/>
    <x v="0"/>
    <x v="0"/>
    <n v="29"/>
    <x v="16"/>
    <x v="2"/>
    <s v="Magenta"/>
    <x v="2"/>
    <n v="3.3"/>
    <s v="No"/>
    <x v="2"/>
    <s v="Yes"/>
    <n v="11"/>
    <x v="2"/>
    <s v="Weekly"/>
    <n v="0.1"/>
    <n v="26.1"/>
    <n v="29"/>
    <s v="Credit Card"/>
    <s v="Normal"/>
    <s v="Good"/>
  </r>
  <r>
    <n v="1190"/>
    <n v="64"/>
    <x v="0"/>
    <x v="5"/>
    <x v="0"/>
    <n v="97"/>
    <x v="10"/>
    <x v="3"/>
    <s v="Teal"/>
    <x v="2"/>
    <n v="1"/>
    <s v="No"/>
    <x v="1"/>
    <s v="Yes"/>
    <n v="28"/>
    <x v="5"/>
    <s v="Annually"/>
    <n v="0.1"/>
    <n v="87.3"/>
    <n v="97"/>
    <s v="Debit Card"/>
    <s v="Normal"/>
    <s v="Poor"/>
  </r>
  <r>
    <n v="1191"/>
    <n v="62"/>
    <x v="0"/>
    <x v="5"/>
    <x v="0"/>
    <n v="45"/>
    <x v="36"/>
    <x v="2"/>
    <s v="Orange"/>
    <x v="0"/>
    <n v="4.3"/>
    <s v="No"/>
    <x v="2"/>
    <s v="Yes"/>
    <n v="31"/>
    <x v="2"/>
    <s v="Weekly"/>
    <n v="0.1"/>
    <n v="40.5"/>
    <n v="45"/>
    <s v="Credit Card"/>
    <s v="Normal"/>
    <s v="Good"/>
  </r>
  <r>
    <n v="1192"/>
    <n v="34"/>
    <x v="0"/>
    <x v="17"/>
    <x v="0"/>
    <n v="70"/>
    <x v="27"/>
    <x v="0"/>
    <s v="Charcoal"/>
    <x v="0"/>
    <n v="4.0999999999999996"/>
    <s v="No"/>
    <x v="1"/>
    <s v="Yes"/>
    <n v="50"/>
    <x v="0"/>
    <s v="Quarterly"/>
    <n v="0.1"/>
    <n v="63"/>
    <n v="70"/>
    <s v="Venmo"/>
    <s v="Normal"/>
    <s v="Good"/>
  </r>
  <r>
    <n v="1193"/>
    <n v="49"/>
    <x v="0"/>
    <x v="7"/>
    <x v="2"/>
    <n v="56"/>
    <x v="20"/>
    <x v="2"/>
    <s v="Turquoise"/>
    <x v="2"/>
    <n v="4"/>
    <s v="No"/>
    <x v="4"/>
    <s v="Yes"/>
    <n v="42"/>
    <x v="0"/>
    <s v="Quarterly"/>
    <n v="0.1"/>
    <n v="50.4"/>
    <n v="56"/>
    <s v="Venmo"/>
    <s v="Normal"/>
    <s v="Good"/>
  </r>
  <r>
    <n v="1194"/>
    <n v="40"/>
    <x v="0"/>
    <x v="14"/>
    <x v="2"/>
    <n v="55"/>
    <x v="29"/>
    <x v="0"/>
    <s v="Pink"/>
    <x v="3"/>
    <n v="5"/>
    <s v="No"/>
    <x v="4"/>
    <s v="Yes"/>
    <n v="18"/>
    <x v="2"/>
    <s v="Fortnightly"/>
    <n v="0.1"/>
    <n v="49.5"/>
    <n v="55"/>
    <s v="Credit Card"/>
    <s v="Normal"/>
    <s v="Good"/>
  </r>
  <r>
    <n v="1195"/>
    <n v="50"/>
    <x v="0"/>
    <x v="15"/>
    <x v="0"/>
    <n v="46"/>
    <x v="14"/>
    <x v="1"/>
    <s v="Teal"/>
    <x v="0"/>
    <n v="3.1"/>
    <s v="No"/>
    <x v="4"/>
    <s v="Yes"/>
    <n v="6"/>
    <x v="2"/>
    <s v="Fortnightly"/>
    <n v="0.1"/>
    <n v="41.4"/>
    <n v="46"/>
    <s v="Credit Card"/>
    <s v="Normal"/>
    <s v="Good"/>
  </r>
  <r>
    <n v="1196"/>
    <n v="25"/>
    <x v="0"/>
    <x v="18"/>
    <x v="3"/>
    <n v="95"/>
    <x v="21"/>
    <x v="2"/>
    <s v="White"/>
    <x v="0"/>
    <n v="4"/>
    <s v="No"/>
    <x v="4"/>
    <s v="Yes"/>
    <n v="33"/>
    <x v="0"/>
    <s v="Monthly"/>
    <n v="0.1"/>
    <n v="85.5"/>
    <n v="95"/>
    <s v="Venmo"/>
    <s v="Normal"/>
    <s v="Good"/>
  </r>
  <r>
    <n v="1197"/>
    <n v="30"/>
    <x v="0"/>
    <x v="22"/>
    <x v="3"/>
    <n v="88"/>
    <x v="25"/>
    <x v="2"/>
    <s v="Maroon"/>
    <x v="0"/>
    <n v="3.2"/>
    <s v="No"/>
    <x v="4"/>
    <s v="Yes"/>
    <n v="13"/>
    <x v="4"/>
    <s v="Bi-Weekly"/>
    <n v="0.1"/>
    <n v="79.2"/>
    <n v="88"/>
    <s v="Bank Transfer"/>
    <s v="Normal"/>
    <s v="Good"/>
  </r>
  <r>
    <n v="1198"/>
    <n v="54"/>
    <x v="0"/>
    <x v="4"/>
    <x v="1"/>
    <n v="92"/>
    <x v="34"/>
    <x v="0"/>
    <s v="Violet"/>
    <x v="3"/>
    <n v="3.9"/>
    <s v="No"/>
    <x v="3"/>
    <s v="Yes"/>
    <n v="26"/>
    <x v="3"/>
    <s v="Annually"/>
    <n v="0.1"/>
    <n v="82.8"/>
    <n v="92"/>
    <s v="PayPal"/>
    <s v="Normal"/>
    <s v="Good"/>
  </r>
  <r>
    <n v="1199"/>
    <n v="40"/>
    <x v="0"/>
    <x v="20"/>
    <x v="0"/>
    <n v="49"/>
    <x v="32"/>
    <x v="2"/>
    <s v="Brown"/>
    <x v="2"/>
    <n v="3.9"/>
    <s v="No"/>
    <x v="4"/>
    <s v="Yes"/>
    <n v="17"/>
    <x v="1"/>
    <s v="Annually"/>
    <n v="0.1"/>
    <n v="44.1"/>
    <n v="49"/>
    <s v="Cash"/>
    <s v="Normal"/>
    <s v="Good"/>
  </r>
  <r>
    <n v="1200"/>
    <n v="49"/>
    <x v="0"/>
    <x v="3"/>
    <x v="1"/>
    <n v="89"/>
    <x v="33"/>
    <x v="2"/>
    <s v="Indigo"/>
    <x v="3"/>
    <n v="4.5"/>
    <s v="No"/>
    <x v="1"/>
    <s v="Yes"/>
    <n v="3"/>
    <x v="5"/>
    <s v="Weekly"/>
    <n v="0.1"/>
    <n v="80.099999999999994"/>
    <n v="89"/>
    <s v="Debit Card"/>
    <s v="Normal"/>
    <s v="Good"/>
  </r>
  <r>
    <n v="1201"/>
    <n v="27"/>
    <x v="0"/>
    <x v="7"/>
    <x v="2"/>
    <n v="22"/>
    <x v="39"/>
    <x v="3"/>
    <s v="Black"/>
    <x v="0"/>
    <n v="4.4000000000000004"/>
    <s v="No"/>
    <x v="5"/>
    <s v="Yes"/>
    <n v="7"/>
    <x v="3"/>
    <s v="Weekly"/>
    <n v="0.1"/>
    <n v="19.8"/>
    <n v="22"/>
    <s v="PayPal"/>
    <s v="Normal"/>
    <s v="Good"/>
  </r>
  <r>
    <n v="1202"/>
    <n v="27"/>
    <x v="0"/>
    <x v="9"/>
    <x v="1"/>
    <n v="61"/>
    <x v="26"/>
    <x v="3"/>
    <s v="Black"/>
    <x v="2"/>
    <n v="3.1"/>
    <s v="No"/>
    <x v="4"/>
    <s v="Yes"/>
    <n v="46"/>
    <x v="0"/>
    <s v="Fortnightly"/>
    <n v="0.1"/>
    <n v="54.9"/>
    <n v="61"/>
    <s v="Venmo"/>
    <s v="Normal"/>
    <s v="Good"/>
  </r>
  <r>
    <n v="1203"/>
    <n v="48"/>
    <x v="0"/>
    <x v="18"/>
    <x v="3"/>
    <n v="29"/>
    <x v="33"/>
    <x v="1"/>
    <s v="Olive"/>
    <x v="1"/>
    <n v="2.9"/>
    <s v="No"/>
    <x v="3"/>
    <s v="Yes"/>
    <n v="14"/>
    <x v="0"/>
    <s v="Every 3 Months"/>
    <n v="0.1"/>
    <n v="26.1"/>
    <n v="29"/>
    <s v="Venmo"/>
    <s v="Normal"/>
    <s v="Poor"/>
  </r>
  <r>
    <n v="1204"/>
    <n v="40"/>
    <x v="0"/>
    <x v="4"/>
    <x v="1"/>
    <n v="82"/>
    <x v="46"/>
    <x v="2"/>
    <s v="Orange"/>
    <x v="0"/>
    <n v="3.7"/>
    <s v="No"/>
    <x v="1"/>
    <s v="Yes"/>
    <n v="23"/>
    <x v="4"/>
    <s v="Annually"/>
    <n v="0.1"/>
    <n v="73.8"/>
    <n v="82"/>
    <s v="Bank Transfer"/>
    <s v="Normal"/>
    <s v="Good"/>
  </r>
  <r>
    <n v="1205"/>
    <n v="67"/>
    <x v="0"/>
    <x v="22"/>
    <x v="3"/>
    <n v="94"/>
    <x v="20"/>
    <x v="2"/>
    <s v="Pink"/>
    <x v="1"/>
    <n v="3.2"/>
    <s v="No"/>
    <x v="4"/>
    <s v="Yes"/>
    <n v="20"/>
    <x v="2"/>
    <s v="Every 3 Months"/>
    <n v="0.1"/>
    <n v="84.6"/>
    <n v="94"/>
    <s v="Credit Card"/>
    <s v="Normal"/>
    <s v="Good"/>
  </r>
  <r>
    <n v="1206"/>
    <n v="52"/>
    <x v="0"/>
    <x v="8"/>
    <x v="3"/>
    <n v="99"/>
    <x v="18"/>
    <x v="2"/>
    <s v="Olive"/>
    <x v="1"/>
    <n v="3.5"/>
    <s v="No"/>
    <x v="3"/>
    <s v="Yes"/>
    <n v="38"/>
    <x v="4"/>
    <s v="Fortnightly"/>
    <n v="0.1"/>
    <n v="89.1"/>
    <n v="99"/>
    <s v="Bank Transfer"/>
    <s v="Normal"/>
    <s v="Good"/>
  </r>
  <r>
    <n v="1207"/>
    <n v="22"/>
    <x v="0"/>
    <x v="8"/>
    <x v="3"/>
    <n v="59"/>
    <x v="16"/>
    <x v="1"/>
    <s v="Cyan"/>
    <x v="3"/>
    <n v="3"/>
    <s v="No"/>
    <x v="1"/>
    <s v="Yes"/>
    <n v="16"/>
    <x v="0"/>
    <s v="Every 3 Months"/>
    <n v="0.1"/>
    <n v="53.1"/>
    <n v="59"/>
    <s v="Venmo"/>
    <s v="Normal"/>
    <s v="Good"/>
  </r>
  <r>
    <n v="1208"/>
    <n v="62"/>
    <x v="0"/>
    <x v="23"/>
    <x v="1"/>
    <n v="90"/>
    <x v="47"/>
    <x v="2"/>
    <s v="White"/>
    <x v="2"/>
    <n v="4.0999999999999996"/>
    <s v="No"/>
    <x v="2"/>
    <s v="Yes"/>
    <n v="48"/>
    <x v="2"/>
    <s v="Every 3 Months"/>
    <n v="0.1"/>
    <n v="81"/>
    <n v="90"/>
    <s v="Credit Card"/>
    <s v="Normal"/>
    <s v="Good"/>
  </r>
  <r>
    <n v="1209"/>
    <n v="20"/>
    <x v="0"/>
    <x v="23"/>
    <x v="1"/>
    <n v="100"/>
    <x v="48"/>
    <x v="1"/>
    <s v="Red"/>
    <x v="0"/>
    <n v="1"/>
    <s v="No"/>
    <x v="4"/>
    <s v="Yes"/>
    <n v="8"/>
    <x v="5"/>
    <s v="Annually"/>
    <n v="0.1"/>
    <n v="90"/>
    <n v="100"/>
    <s v="Debit Card"/>
    <s v="Normal"/>
    <s v="Poor"/>
  </r>
  <r>
    <n v="1210"/>
    <n v="41"/>
    <x v="0"/>
    <x v="13"/>
    <x v="0"/>
    <n v="62"/>
    <x v="38"/>
    <x v="2"/>
    <s v="Blue"/>
    <x v="0"/>
    <n v="3.8"/>
    <s v="No"/>
    <x v="2"/>
    <s v="Yes"/>
    <n v="16"/>
    <x v="4"/>
    <s v="Monthly"/>
    <n v="0.1"/>
    <n v="55.8"/>
    <n v="62"/>
    <s v="Bank Transfer"/>
    <s v="Normal"/>
    <s v="Good"/>
  </r>
  <r>
    <n v="1211"/>
    <n v="34"/>
    <x v="0"/>
    <x v="12"/>
    <x v="3"/>
    <n v="78"/>
    <x v="9"/>
    <x v="2"/>
    <s v="Olive"/>
    <x v="3"/>
    <n v="4.0999999999999996"/>
    <s v="No"/>
    <x v="2"/>
    <s v="Yes"/>
    <n v="5"/>
    <x v="1"/>
    <s v="Quarterly"/>
    <n v="0.1"/>
    <n v="70.2"/>
    <n v="78"/>
    <s v="Cash"/>
    <s v="Normal"/>
    <s v="Good"/>
  </r>
  <r>
    <n v="1212"/>
    <n v="23"/>
    <x v="0"/>
    <x v="15"/>
    <x v="0"/>
    <n v="94"/>
    <x v="19"/>
    <x v="2"/>
    <s v="Green"/>
    <x v="1"/>
    <n v="4.5999999999999996"/>
    <s v="No"/>
    <x v="5"/>
    <s v="Yes"/>
    <n v="14"/>
    <x v="0"/>
    <s v="Every 3 Months"/>
    <n v="0.1"/>
    <n v="84.6"/>
    <n v="94"/>
    <s v="Venmo"/>
    <s v="Normal"/>
    <s v="Good"/>
  </r>
  <r>
    <n v="1213"/>
    <n v="32"/>
    <x v="0"/>
    <x v="9"/>
    <x v="1"/>
    <n v="74"/>
    <x v="38"/>
    <x v="2"/>
    <s v="Yellow"/>
    <x v="2"/>
    <n v="2.5"/>
    <s v="No"/>
    <x v="1"/>
    <s v="Yes"/>
    <n v="18"/>
    <x v="2"/>
    <s v="Weekly"/>
    <n v="0.1"/>
    <n v="66.599999999999994"/>
    <n v="74"/>
    <s v="Credit Card"/>
    <s v="Normal"/>
    <s v="Poor"/>
  </r>
  <r>
    <n v="1214"/>
    <n v="68"/>
    <x v="0"/>
    <x v="8"/>
    <x v="3"/>
    <n v="52"/>
    <x v="0"/>
    <x v="3"/>
    <s v="Black"/>
    <x v="1"/>
    <n v="3.7"/>
    <s v="No"/>
    <x v="0"/>
    <s v="Yes"/>
    <n v="14"/>
    <x v="5"/>
    <s v="Every 3 Months"/>
    <n v="0.1"/>
    <n v="46.8"/>
    <n v="52"/>
    <s v="Debit Card"/>
    <s v="Normal"/>
    <s v="Good"/>
  </r>
  <r>
    <n v="1215"/>
    <n v="30"/>
    <x v="0"/>
    <x v="14"/>
    <x v="2"/>
    <n v="81"/>
    <x v="34"/>
    <x v="2"/>
    <s v="Blue"/>
    <x v="3"/>
    <n v="3.8"/>
    <s v="No"/>
    <x v="1"/>
    <s v="Yes"/>
    <n v="5"/>
    <x v="1"/>
    <s v="Every 3 Months"/>
    <n v="0.1"/>
    <n v="72.900000000000006"/>
    <n v="81"/>
    <s v="Cash"/>
    <s v="Normal"/>
    <s v="Good"/>
  </r>
  <r>
    <n v="1216"/>
    <n v="66"/>
    <x v="0"/>
    <x v="0"/>
    <x v="0"/>
    <n v="20"/>
    <x v="4"/>
    <x v="0"/>
    <s v="Pink"/>
    <x v="0"/>
    <n v="2.6"/>
    <s v="No"/>
    <x v="4"/>
    <s v="Yes"/>
    <n v="15"/>
    <x v="2"/>
    <s v="Every 3 Months"/>
    <n v="0.1"/>
    <n v="18"/>
    <n v="20"/>
    <s v="Credit Card"/>
    <s v="Normal"/>
    <s v="Poor"/>
  </r>
  <r>
    <n v="1217"/>
    <n v="62"/>
    <x v="0"/>
    <x v="13"/>
    <x v="0"/>
    <n v="32"/>
    <x v="40"/>
    <x v="3"/>
    <s v="Lavender"/>
    <x v="2"/>
    <n v="3.7"/>
    <s v="No"/>
    <x v="1"/>
    <s v="Yes"/>
    <n v="3"/>
    <x v="0"/>
    <s v="Every 3 Months"/>
    <n v="0.1"/>
    <n v="28.8"/>
    <n v="32"/>
    <s v="Venmo"/>
    <s v="Normal"/>
    <s v="Good"/>
  </r>
  <r>
    <n v="1218"/>
    <n v="50"/>
    <x v="0"/>
    <x v="23"/>
    <x v="1"/>
    <n v="63"/>
    <x v="43"/>
    <x v="3"/>
    <s v="Cyan"/>
    <x v="3"/>
    <n v="2.6"/>
    <s v="No"/>
    <x v="1"/>
    <s v="Yes"/>
    <n v="12"/>
    <x v="1"/>
    <s v="Every 3 Months"/>
    <n v="0.1"/>
    <n v="56.7"/>
    <n v="63"/>
    <s v="Cash"/>
    <s v="Normal"/>
    <s v="Poor"/>
  </r>
  <r>
    <n v="1219"/>
    <n v="55"/>
    <x v="0"/>
    <x v="23"/>
    <x v="1"/>
    <n v="79"/>
    <x v="38"/>
    <x v="2"/>
    <s v="Cyan"/>
    <x v="1"/>
    <n v="3.1"/>
    <s v="No"/>
    <x v="5"/>
    <s v="Yes"/>
    <n v="43"/>
    <x v="1"/>
    <s v="Every 3 Months"/>
    <n v="0.1"/>
    <n v="71.099999999999994"/>
    <n v="79"/>
    <s v="Cash"/>
    <s v="Normal"/>
    <s v="Good"/>
  </r>
  <r>
    <n v="1220"/>
    <n v="19"/>
    <x v="0"/>
    <x v="1"/>
    <x v="0"/>
    <n v="23"/>
    <x v="34"/>
    <x v="2"/>
    <s v="Gold"/>
    <x v="0"/>
    <n v="2.5"/>
    <s v="No"/>
    <x v="2"/>
    <s v="Yes"/>
    <n v="35"/>
    <x v="2"/>
    <s v="Bi-Weekly"/>
    <n v="0.1"/>
    <n v="20.7"/>
    <n v="23"/>
    <s v="Credit Card"/>
    <s v="Normal"/>
    <s v="Poor"/>
  </r>
  <r>
    <n v="1221"/>
    <n v="67"/>
    <x v="0"/>
    <x v="24"/>
    <x v="3"/>
    <n v="64"/>
    <x v="0"/>
    <x v="2"/>
    <s v="Green"/>
    <x v="0"/>
    <n v="1"/>
    <s v="No"/>
    <x v="0"/>
    <s v="Yes"/>
    <n v="36"/>
    <x v="4"/>
    <s v="Quarterly"/>
    <n v="0.1"/>
    <n v="57.6"/>
    <n v="64"/>
    <s v="Bank Transfer"/>
    <s v="Normal"/>
    <s v="Poor"/>
  </r>
  <r>
    <n v="1222"/>
    <n v="18"/>
    <x v="0"/>
    <x v="20"/>
    <x v="0"/>
    <n v="69"/>
    <x v="44"/>
    <x v="2"/>
    <s v="Red"/>
    <x v="0"/>
    <n v="4.5"/>
    <s v="No"/>
    <x v="3"/>
    <s v="Yes"/>
    <n v="3"/>
    <x v="1"/>
    <s v="Quarterly"/>
    <n v="0.1"/>
    <n v="62.1"/>
    <n v="69"/>
    <s v="Cash"/>
    <s v="Normal"/>
    <s v="Good"/>
  </r>
  <r>
    <n v="1223"/>
    <n v="58"/>
    <x v="0"/>
    <x v="2"/>
    <x v="0"/>
    <n v="69"/>
    <x v="27"/>
    <x v="0"/>
    <s v="Magenta"/>
    <x v="3"/>
    <n v="3.4"/>
    <s v="No"/>
    <x v="5"/>
    <s v="Yes"/>
    <n v="27"/>
    <x v="4"/>
    <s v="Annually"/>
    <n v="0.1"/>
    <n v="62.1"/>
    <n v="69"/>
    <s v="Bank Transfer"/>
    <s v="Normal"/>
    <s v="Good"/>
  </r>
  <r>
    <n v="1224"/>
    <n v="69"/>
    <x v="0"/>
    <x v="13"/>
    <x v="0"/>
    <n v="24"/>
    <x v="23"/>
    <x v="0"/>
    <s v="Red"/>
    <x v="0"/>
    <n v="3.9"/>
    <s v="No"/>
    <x v="1"/>
    <s v="Yes"/>
    <n v="21"/>
    <x v="4"/>
    <s v="Weekly"/>
    <n v="0.1"/>
    <n v="21.6"/>
    <n v="24"/>
    <s v="Bank Transfer"/>
    <s v="Normal"/>
    <s v="Good"/>
  </r>
  <r>
    <n v="1225"/>
    <n v="62"/>
    <x v="0"/>
    <x v="6"/>
    <x v="0"/>
    <n v="50"/>
    <x v="26"/>
    <x v="2"/>
    <s v="Yellow"/>
    <x v="2"/>
    <n v="3.7"/>
    <s v="No"/>
    <x v="5"/>
    <s v="Yes"/>
    <n v="18"/>
    <x v="0"/>
    <s v="Weekly"/>
    <n v="0.1"/>
    <n v="45"/>
    <n v="50"/>
    <s v="Venmo"/>
    <s v="Normal"/>
    <s v="Good"/>
  </r>
  <r>
    <n v="1226"/>
    <n v="28"/>
    <x v="0"/>
    <x v="24"/>
    <x v="3"/>
    <n v="97"/>
    <x v="17"/>
    <x v="1"/>
    <s v="Turquoise"/>
    <x v="3"/>
    <n v="2.6"/>
    <s v="No"/>
    <x v="1"/>
    <s v="Yes"/>
    <n v="16"/>
    <x v="5"/>
    <s v="Weekly"/>
    <n v="0.1"/>
    <n v="87.3"/>
    <n v="97"/>
    <s v="Debit Card"/>
    <s v="Normal"/>
    <s v="Poor"/>
  </r>
  <r>
    <n v="1227"/>
    <n v="53"/>
    <x v="0"/>
    <x v="3"/>
    <x v="1"/>
    <n v="91"/>
    <x v="31"/>
    <x v="1"/>
    <s v="Cyan"/>
    <x v="3"/>
    <n v="3.4"/>
    <s v="No"/>
    <x v="5"/>
    <s v="Yes"/>
    <n v="18"/>
    <x v="0"/>
    <s v="Bi-Weekly"/>
    <n v="0.1"/>
    <n v="81.900000000000006"/>
    <n v="91"/>
    <s v="Venmo"/>
    <s v="Normal"/>
    <s v="Good"/>
  </r>
  <r>
    <n v="1228"/>
    <n v="27"/>
    <x v="0"/>
    <x v="0"/>
    <x v="0"/>
    <n v="37"/>
    <x v="26"/>
    <x v="0"/>
    <s v="Yellow"/>
    <x v="1"/>
    <n v="4.9000000000000004"/>
    <s v="No"/>
    <x v="5"/>
    <s v="Yes"/>
    <n v="19"/>
    <x v="4"/>
    <s v="Bi-Weekly"/>
    <n v="0.1"/>
    <n v="33.299999999999997"/>
    <n v="37"/>
    <s v="Bank Transfer"/>
    <s v="Normal"/>
    <s v="Good"/>
  </r>
  <r>
    <n v="1229"/>
    <n v="55"/>
    <x v="0"/>
    <x v="14"/>
    <x v="2"/>
    <n v="55"/>
    <x v="27"/>
    <x v="1"/>
    <s v="Yellow"/>
    <x v="0"/>
    <n v="3.9"/>
    <s v="No"/>
    <x v="0"/>
    <s v="Yes"/>
    <n v="1"/>
    <x v="1"/>
    <s v="Annually"/>
    <n v="0.1"/>
    <n v="49.5"/>
    <n v="55"/>
    <s v="Cash"/>
    <s v="Normal"/>
    <s v="Good"/>
  </r>
  <r>
    <n v="1230"/>
    <n v="34"/>
    <x v="0"/>
    <x v="16"/>
    <x v="3"/>
    <n v="52"/>
    <x v="23"/>
    <x v="3"/>
    <s v="Maroon"/>
    <x v="0"/>
    <n v="3.6"/>
    <s v="No"/>
    <x v="0"/>
    <s v="Yes"/>
    <n v="39"/>
    <x v="4"/>
    <s v="Annually"/>
    <n v="0.1"/>
    <n v="46.8"/>
    <n v="52"/>
    <s v="Bank Transfer"/>
    <s v="Normal"/>
    <s v="Good"/>
  </r>
  <r>
    <n v="1231"/>
    <n v="25"/>
    <x v="0"/>
    <x v="19"/>
    <x v="3"/>
    <n v="80"/>
    <x v="26"/>
    <x v="0"/>
    <s v="Brown"/>
    <x v="1"/>
    <n v="1"/>
    <s v="No"/>
    <x v="3"/>
    <s v="Yes"/>
    <n v="49"/>
    <x v="0"/>
    <s v="Monthly"/>
    <n v="0.1"/>
    <n v="72"/>
    <n v="80"/>
    <s v="Venmo"/>
    <s v="Normal"/>
    <s v="Poor"/>
  </r>
  <r>
    <n v="1232"/>
    <n v="66"/>
    <x v="0"/>
    <x v="20"/>
    <x v="0"/>
    <n v="79"/>
    <x v="38"/>
    <x v="2"/>
    <s v="Gold"/>
    <x v="1"/>
    <n v="4"/>
    <s v="No"/>
    <x v="4"/>
    <s v="Yes"/>
    <n v="43"/>
    <x v="2"/>
    <s v="Fortnightly"/>
    <n v="0.1"/>
    <n v="71.099999999999994"/>
    <n v="79"/>
    <s v="Credit Card"/>
    <s v="Normal"/>
    <s v="Good"/>
  </r>
  <r>
    <n v="1233"/>
    <n v="57"/>
    <x v="0"/>
    <x v="8"/>
    <x v="3"/>
    <n v="23"/>
    <x v="14"/>
    <x v="2"/>
    <s v="Charcoal"/>
    <x v="2"/>
    <n v="3.6"/>
    <s v="No"/>
    <x v="1"/>
    <s v="Yes"/>
    <n v="31"/>
    <x v="5"/>
    <s v="Every 3 Months"/>
    <n v="0.1"/>
    <n v="20.7"/>
    <n v="23"/>
    <s v="Debit Card"/>
    <s v="Normal"/>
    <s v="Good"/>
  </r>
  <r>
    <n v="1234"/>
    <n v="46"/>
    <x v="0"/>
    <x v="13"/>
    <x v="0"/>
    <n v="73"/>
    <x v="40"/>
    <x v="0"/>
    <s v="Beige"/>
    <x v="0"/>
    <n v="3.5"/>
    <s v="No"/>
    <x v="2"/>
    <s v="Yes"/>
    <n v="40"/>
    <x v="0"/>
    <s v="Every 3 Months"/>
    <n v="0.1"/>
    <n v="65.7"/>
    <n v="73"/>
    <s v="Venmo"/>
    <s v="Normal"/>
    <s v="Good"/>
  </r>
  <r>
    <n v="1235"/>
    <n v="38"/>
    <x v="0"/>
    <x v="24"/>
    <x v="3"/>
    <n v="99"/>
    <x v="32"/>
    <x v="2"/>
    <s v="Indigo"/>
    <x v="3"/>
    <n v="4.0999999999999996"/>
    <s v="No"/>
    <x v="5"/>
    <s v="Yes"/>
    <n v="2"/>
    <x v="4"/>
    <s v="Bi-Weekly"/>
    <n v="0.1"/>
    <n v="89.1"/>
    <n v="99"/>
    <s v="Bank Transfer"/>
    <s v="Normal"/>
    <s v="Good"/>
  </r>
  <r>
    <n v="1236"/>
    <n v="23"/>
    <x v="0"/>
    <x v="1"/>
    <x v="0"/>
    <n v="22"/>
    <x v="37"/>
    <x v="2"/>
    <s v="Red"/>
    <x v="1"/>
    <n v="3"/>
    <s v="No"/>
    <x v="5"/>
    <s v="Yes"/>
    <n v="46"/>
    <x v="3"/>
    <s v="Every 3 Months"/>
    <n v="0.1"/>
    <n v="19.8"/>
    <n v="22"/>
    <s v="PayPal"/>
    <s v="Normal"/>
    <s v="Good"/>
  </r>
  <r>
    <n v="1237"/>
    <n v="42"/>
    <x v="0"/>
    <x v="19"/>
    <x v="3"/>
    <n v="68"/>
    <x v="35"/>
    <x v="2"/>
    <s v="White"/>
    <x v="2"/>
    <n v="4.4000000000000004"/>
    <s v="No"/>
    <x v="5"/>
    <s v="Yes"/>
    <n v="35"/>
    <x v="5"/>
    <s v="Every 3 Months"/>
    <n v="0.1"/>
    <n v="61.2"/>
    <n v="68"/>
    <s v="Debit Card"/>
    <s v="Normal"/>
    <s v="Good"/>
  </r>
  <r>
    <n v="1238"/>
    <n v="25"/>
    <x v="0"/>
    <x v="10"/>
    <x v="0"/>
    <n v="92"/>
    <x v="49"/>
    <x v="1"/>
    <s v="Charcoal"/>
    <x v="1"/>
    <n v="4.4000000000000004"/>
    <s v="No"/>
    <x v="4"/>
    <s v="Yes"/>
    <n v="42"/>
    <x v="2"/>
    <s v="Quarterly"/>
    <n v="0.1"/>
    <n v="82.8"/>
    <n v="92"/>
    <s v="Credit Card"/>
    <s v="Normal"/>
    <s v="Good"/>
  </r>
  <r>
    <n v="1239"/>
    <n v="55"/>
    <x v="0"/>
    <x v="13"/>
    <x v="0"/>
    <n v="77"/>
    <x v="5"/>
    <x v="2"/>
    <s v="Violet"/>
    <x v="0"/>
    <n v="3.7"/>
    <s v="No"/>
    <x v="0"/>
    <s v="Yes"/>
    <n v="3"/>
    <x v="0"/>
    <s v="Fortnightly"/>
    <n v="0.1"/>
    <n v="69.3"/>
    <n v="77"/>
    <s v="Venmo"/>
    <s v="Normal"/>
    <s v="Good"/>
  </r>
  <r>
    <n v="1240"/>
    <n v="62"/>
    <x v="0"/>
    <x v="7"/>
    <x v="2"/>
    <n v="37"/>
    <x v="32"/>
    <x v="3"/>
    <s v="Magenta"/>
    <x v="1"/>
    <n v="4.8"/>
    <s v="No"/>
    <x v="3"/>
    <s v="Yes"/>
    <n v="32"/>
    <x v="5"/>
    <s v="Every 3 Months"/>
    <n v="0.1"/>
    <n v="33.299999999999997"/>
    <n v="37"/>
    <s v="Debit Card"/>
    <s v="Normal"/>
    <s v="Good"/>
  </r>
  <r>
    <n v="1241"/>
    <n v="41"/>
    <x v="0"/>
    <x v="18"/>
    <x v="3"/>
    <n v="79"/>
    <x v="32"/>
    <x v="0"/>
    <s v="White"/>
    <x v="0"/>
    <n v="2.9"/>
    <s v="No"/>
    <x v="5"/>
    <s v="Yes"/>
    <n v="48"/>
    <x v="5"/>
    <s v="Annually"/>
    <n v="0.1"/>
    <n v="71.099999999999994"/>
    <n v="79"/>
    <s v="Debit Card"/>
    <s v="Normal"/>
    <s v="Poor"/>
  </r>
  <r>
    <n v="1242"/>
    <n v="58"/>
    <x v="0"/>
    <x v="15"/>
    <x v="0"/>
    <n v="51"/>
    <x v="11"/>
    <x v="3"/>
    <s v="Pink"/>
    <x v="0"/>
    <n v="3.1"/>
    <s v="No"/>
    <x v="0"/>
    <s v="Yes"/>
    <n v="34"/>
    <x v="2"/>
    <s v="Weekly"/>
    <n v="0.1"/>
    <n v="45.9"/>
    <n v="51"/>
    <s v="Credit Card"/>
    <s v="Normal"/>
    <s v="Good"/>
  </r>
  <r>
    <n v="1243"/>
    <n v="56"/>
    <x v="0"/>
    <x v="20"/>
    <x v="0"/>
    <n v="27"/>
    <x v="22"/>
    <x v="2"/>
    <s v="Lavender"/>
    <x v="2"/>
    <n v="4"/>
    <s v="No"/>
    <x v="2"/>
    <s v="Yes"/>
    <n v="15"/>
    <x v="4"/>
    <s v="Quarterly"/>
    <n v="0.1"/>
    <n v="24.3"/>
    <n v="27"/>
    <s v="Bank Transfer"/>
    <s v="Normal"/>
    <s v="Good"/>
  </r>
  <r>
    <n v="1244"/>
    <n v="25"/>
    <x v="0"/>
    <x v="0"/>
    <x v="0"/>
    <n v="23"/>
    <x v="13"/>
    <x v="1"/>
    <s v="Pink"/>
    <x v="1"/>
    <n v="3"/>
    <s v="No"/>
    <x v="5"/>
    <s v="Yes"/>
    <n v="22"/>
    <x v="5"/>
    <s v="Annually"/>
    <n v="0.1"/>
    <n v="20.7"/>
    <n v="23"/>
    <s v="Debit Card"/>
    <s v="Normal"/>
    <s v="Good"/>
  </r>
  <r>
    <n v="1245"/>
    <n v="70"/>
    <x v="0"/>
    <x v="20"/>
    <x v="0"/>
    <n v="76"/>
    <x v="27"/>
    <x v="1"/>
    <s v="Silver"/>
    <x v="2"/>
    <n v="3.9"/>
    <s v="No"/>
    <x v="4"/>
    <s v="Yes"/>
    <n v="2"/>
    <x v="1"/>
    <s v="Monthly"/>
    <n v="0.1"/>
    <n v="68.400000000000006"/>
    <n v="76"/>
    <s v="Cash"/>
    <s v="Normal"/>
    <s v="Good"/>
  </r>
  <r>
    <n v="1246"/>
    <n v="42"/>
    <x v="0"/>
    <x v="10"/>
    <x v="0"/>
    <n v="31"/>
    <x v="14"/>
    <x v="2"/>
    <s v="Violet"/>
    <x v="3"/>
    <n v="3.4"/>
    <s v="No"/>
    <x v="3"/>
    <s v="Yes"/>
    <n v="30"/>
    <x v="4"/>
    <s v="Weekly"/>
    <n v="0.1"/>
    <n v="27.9"/>
    <n v="31"/>
    <s v="Bank Transfer"/>
    <s v="Normal"/>
    <s v="Good"/>
  </r>
  <r>
    <n v="1247"/>
    <n v="27"/>
    <x v="0"/>
    <x v="15"/>
    <x v="0"/>
    <n v="60"/>
    <x v="7"/>
    <x v="2"/>
    <s v="Charcoal"/>
    <x v="0"/>
    <n v="2.7"/>
    <s v="No"/>
    <x v="3"/>
    <s v="Yes"/>
    <n v="27"/>
    <x v="1"/>
    <s v="Monthly"/>
    <n v="0.1"/>
    <n v="54"/>
    <n v="60"/>
    <s v="Cash"/>
    <s v="Normal"/>
    <s v="Poor"/>
  </r>
  <r>
    <n v="1248"/>
    <n v="65"/>
    <x v="0"/>
    <x v="17"/>
    <x v="0"/>
    <n v="99"/>
    <x v="41"/>
    <x v="2"/>
    <s v="Charcoal"/>
    <x v="1"/>
    <n v="1"/>
    <s v="No"/>
    <x v="0"/>
    <s v="Yes"/>
    <n v="18"/>
    <x v="0"/>
    <s v="Bi-Weekly"/>
    <n v="0.1"/>
    <n v="89.1"/>
    <n v="99"/>
    <s v="Venmo"/>
    <s v="Normal"/>
    <s v="Poor"/>
  </r>
  <r>
    <n v="1249"/>
    <n v="62"/>
    <x v="0"/>
    <x v="19"/>
    <x v="3"/>
    <n v="37"/>
    <x v="48"/>
    <x v="3"/>
    <s v="Red"/>
    <x v="0"/>
    <n v="3"/>
    <s v="No"/>
    <x v="1"/>
    <s v="Yes"/>
    <n v="8"/>
    <x v="2"/>
    <s v="Annually"/>
    <n v="0.1"/>
    <n v="33.299999999999997"/>
    <n v="37"/>
    <s v="Credit Card"/>
    <s v="Normal"/>
    <s v="Good"/>
  </r>
  <r>
    <n v="1250"/>
    <n v="62"/>
    <x v="0"/>
    <x v="23"/>
    <x v="1"/>
    <n v="50"/>
    <x v="4"/>
    <x v="2"/>
    <s v="Peach"/>
    <x v="0"/>
    <n v="4.5"/>
    <s v="No"/>
    <x v="0"/>
    <s v="Yes"/>
    <n v="48"/>
    <x v="0"/>
    <s v="Fortnightly"/>
    <n v="0.1"/>
    <n v="45"/>
    <n v="50"/>
    <s v="Venmo"/>
    <s v="Normal"/>
    <s v="Good"/>
  </r>
  <r>
    <n v="1251"/>
    <n v="52"/>
    <x v="0"/>
    <x v="2"/>
    <x v="0"/>
    <n v="26"/>
    <x v="13"/>
    <x v="3"/>
    <s v="Purple"/>
    <x v="0"/>
    <n v="4.0999999999999996"/>
    <s v="No"/>
    <x v="1"/>
    <s v="Yes"/>
    <n v="24"/>
    <x v="1"/>
    <s v="Monthly"/>
    <n v="0.1"/>
    <n v="23.4"/>
    <n v="26"/>
    <s v="Cash"/>
    <s v="Normal"/>
    <s v="Good"/>
  </r>
  <r>
    <n v="1252"/>
    <n v="56"/>
    <x v="0"/>
    <x v="6"/>
    <x v="0"/>
    <n v="86"/>
    <x v="27"/>
    <x v="3"/>
    <s v="Orange"/>
    <x v="1"/>
    <n v="5"/>
    <s v="No"/>
    <x v="2"/>
    <s v="Yes"/>
    <n v="43"/>
    <x v="2"/>
    <s v="Monthly"/>
    <n v="0.1"/>
    <n v="77.400000000000006"/>
    <n v="86"/>
    <s v="Credit Card"/>
    <s v="Normal"/>
    <s v="Good"/>
  </r>
  <r>
    <n v="1253"/>
    <n v="28"/>
    <x v="0"/>
    <x v="3"/>
    <x v="1"/>
    <n v="41"/>
    <x v="2"/>
    <x v="0"/>
    <s v="Magenta"/>
    <x v="3"/>
    <n v="4"/>
    <s v="No"/>
    <x v="3"/>
    <s v="Yes"/>
    <n v="8"/>
    <x v="1"/>
    <s v="Quarterly"/>
    <n v="0.1"/>
    <n v="36.9"/>
    <n v="41"/>
    <s v="Cash"/>
    <s v="Normal"/>
    <s v="Good"/>
  </r>
  <r>
    <n v="1254"/>
    <n v="39"/>
    <x v="0"/>
    <x v="3"/>
    <x v="1"/>
    <n v="23"/>
    <x v="6"/>
    <x v="3"/>
    <s v="Red"/>
    <x v="0"/>
    <n v="4.9000000000000004"/>
    <s v="No"/>
    <x v="0"/>
    <s v="Yes"/>
    <n v="49"/>
    <x v="3"/>
    <s v="Annually"/>
    <n v="0.1"/>
    <n v="20.7"/>
    <n v="23"/>
    <s v="PayPal"/>
    <s v="Normal"/>
    <s v="Good"/>
  </r>
  <r>
    <n v="1255"/>
    <n v="54"/>
    <x v="0"/>
    <x v="4"/>
    <x v="1"/>
    <n v="56"/>
    <x v="18"/>
    <x v="3"/>
    <s v="Black"/>
    <x v="1"/>
    <n v="3.3"/>
    <s v="No"/>
    <x v="4"/>
    <s v="Yes"/>
    <n v="2"/>
    <x v="2"/>
    <s v="Bi-Weekly"/>
    <n v="0.1"/>
    <n v="50.4"/>
    <n v="56"/>
    <s v="Credit Card"/>
    <s v="Normal"/>
    <s v="Good"/>
  </r>
  <r>
    <n v="1256"/>
    <n v="30"/>
    <x v="0"/>
    <x v="19"/>
    <x v="3"/>
    <n v="68"/>
    <x v="27"/>
    <x v="2"/>
    <s v="Peach"/>
    <x v="3"/>
    <n v="4.0999999999999996"/>
    <s v="No"/>
    <x v="3"/>
    <s v="Yes"/>
    <n v="38"/>
    <x v="1"/>
    <s v="Fortnightly"/>
    <n v="0.1"/>
    <n v="61.2"/>
    <n v="68"/>
    <s v="Cash"/>
    <s v="Normal"/>
    <s v="Good"/>
  </r>
  <r>
    <n v="1257"/>
    <n v="45"/>
    <x v="0"/>
    <x v="7"/>
    <x v="2"/>
    <n v="48"/>
    <x v="8"/>
    <x v="1"/>
    <s v="Olive"/>
    <x v="0"/>
    <n v="3.6"/>
    <s v="No"/>
    <x v="0"/>
    <s v="Yes"/>
    <n v="4"/>
    <x v="1"/>
    <s v="Fortnightly"/>
    <n v="0.1"/>
    <n v="43.2"/>
    <n v="48"/>
    <s v="Cash"/>
    <s v="Normal"/>
    <s v="Good"/>
  </r>
  <r>
    <n v="1258"/>
    <n v="68"/>
    <x v="0"/>
    <x v="10"/>
    <x v="0"/>
    <n v="67"/>
    <x v="46"/>
    <x v="0"/>
    <s v="Gold"/>
    <x v="1"/>
    <n v="3"/>
    <s v="No"/>
    <x v="1"/>
    <s v="Yes"/>
    <n v="31"/>
    <x v="1"/>
    <s v="Every 3 Months"/>
    <n v="0.1"/>
    <n v="60.3"/>
    <n v="67"/>
    <s v="Cash"/>
    <s v="Normal"/>
    <s v="Good"/>
  </r>
  <r>
    <n v="1259"/>
    <n v="47"/>
    <x v="0"/>
    <x v="23"/>
    <x v="1"/>
    <n v="87"/>
    <x v="31"/>
    <x v="3"/>
    <s v="Gold"/>
    <x v="1"/>
    <n v="4.0999999999999996"/>
    <s v="No"/>
    <x v="4"/>
    <s v="Yes"/>
    <n v="34"/>
    <x v="5"/>
    <s v="Every 3 Months"/>
    <n v="0.1"/>
    <n v="78.3"/>
    <n v="87"/>
    <s v="Debit Card"/>
    <s v="Normal"/>
    <s v="Good"/>
  </r>
  <r>
    <n v="1260"/>
    <n v="68"/>
    <x v="0"/>
    <x v="11"/>
    <x v="0"/>
    <n v="64"/>
    <x v="46"/>
    <x v="2"/>
    <s v="Turquoise"/>
    <x v="3"/>
    <n v="3.9"/>
    <s v="No"/>
    <x v="3"/>
    <s v="Yes"/>
    <n v="45"/>
    <x v="2"/>
    <s v="Monthly"/>
    <n v="0.1"/>
    <n v="57.6"/>
    <n v="64"/>
    <s v="Credit Card"/>
    <s v="Normal"/>
    <s v="Good"/>
  </r>
  <r>
    <n v="1261"/>
    <n v="63"/>
    <x v="0"/>
    <x v="5"/>
    <x v="0"/>
    <n v="93"/>
    <x v="41"/>
    <x v="3"/>
    <s v="Green"/>
    <x v="1"/>
    <n v="4.0999999999999996"/>
    <s v="No"/>
    <x v="5"/>
    <s v="Yes"/>
    <n v="30"/>
    <x v="5"/>
    <s v="Quarterly"/>
    <n v="0.1"/>
    <n v="83.7"/>
    <n v="93"/>
    <s v="Debit Card"/>
    <s v="Normal"/>
    <s v="Good"/>
  </r>
  <r>
    <n v="1262"/>
    <n v="20"/>
    <x v="0"/>
    <x v="5"/>
    <x v="0"/>
    <n v="29"/>
    <x v="39"/>
    <x v="0"/>
    <s v="Maroon"/>
    <x v="2"/>
    <n v="2.8"/>
    <s v="No"/>
    <x v="2"/>
    <s v="Yes"/>
    <n v="2"/>
    <x v="2"/>
    <s v="Fortnightly"/>
    <n v="0.1"/>
    <n v="26.1"/>
    <n v="29"/>
    <s v="Credit Card"/>
    <s v="Normal"/>
    <s v="Poor"/>
  </r>
  <r>
    <n v="1263"/>
    <n v="29"/>
    <x v="0"/>
    <x v="23"/>
    <x v="1"/>
    <n v="62"/>
    <x v="30"/>
    <x v="0"/>
    <s v="Brown"/>
    <x v="0"/>
    <n v="4.8"/>
    <s v="No"/>
    <x v="5"/>
    <s v="Yes"/>
    <n v="44"/>
    <x v="0"/>
    <s v="Monthly"/>
    <n v="0.1"/>
    <n v="55.8"/>
    <n v="62"/>
    <s v="Venmo"/>
    <s v="Normal"/>
    <s v="Good"/>
  </r>
  <r>
    <n v="1264"/>
    <n v="41"/>
    <x v="0"/>
    <x v="15"/>
    <x v="0"/>
    <n v="70"/>
    <x v="12"/>
    <x v="0"/>
    <s v="Brown"/>
    <x v="0"/>
    <n v="4.5999999999999996"/>
    <s v="No"/>
    <x v="4"/>
    <s v="Yes"/>
    <n v="1"/>
    <x v="2"/>
    <s v="Bi-Weekly"/>
    <n v="0.1"/>
    <n v="63"/>
    <n v="70"/>
    <s v="Credit Card"/>
    <s v="Normal"/>
    <s v="Good"/>
  </r>
  <r>
    <n v="1265"/>
    <n v="52"/>
    <x v="0"/>
    <x v="1"/>
    <x v="0"/>
    <n v="92"/>
    <x v="34"/>
    <x v="1"/>
    <s v="Blue"/>
    <x v="0"/>
    <n v="2.5"/>
    <s v="No"/>
    <x v="2"/>
    <s v="Yes"/>
    <n v="1"/>
    <x v="0"/>
    <s v="Bi-Weekly"/>
    <n v="0.1"/>
    <n v="82.8"/>
    <n v="92"/>
    <s v="Venmo"/>
    <s v="Normal"/>
    <s v="Poor"/>
  </r>
  <r>
    <n v="1266"/>
    <n v="32"/>
    <x v="0"/>
    <x v="5"/>
    <x v="0"/>
    <n v="79"/>
    <x v="7"/>
    <x v="2"/>
    <s v="Lavender"/>
    <x v="1"/>
    <n v="2.7"/>
    <s v="No"/>
    <x v="2"/>
    <s v="Yes"/>
    <n v="27"/>
    <x v="4"/>
    <s v="Weekly"/>
    <n v="0.1"/>
    <n v="71.099999999999994"/>
    <n v="79"/>
    <s v="Bank Transfer"/>
    <s v="Normal"/>
    <s v="Poor"/>
  </r>
  <r>
    <n v="1267"/>
    <n v="20"/>
    <x v="0"/>
    <x v="0"/>
    <x v="0"/>
    <n v="31"/>
    <x v="25"/>
    <x v="2"/>
    <s v="Peach"/>
    <x v="3"/>
    <n v="4"/>
    <s v="No"/>
    <x v="3"/>
    <s v="Yes"/>
    <n v="14"/>
    <x v="5"/>
    <s v="Every 3 Months"/>
    <n v="0.1"/>
    <n v="27.9"/>
    <n v="31"/>
    <s v="Debit Card"/>
    <s v="Normal"/>
    <s v="Good"/>
  </r>
  <r>
    <n v="1268"/>
    <n v="47"/>
    <x v="0"/>
    <x v="17"/>
    <x v="0"/>
    <n v="83"/>
    <x v="4"/>
    <x v="1"/>
    <s v="Gray"/>
    <x v="1"/>
    <n v="2.7"/>
    <s v="No"/>
    <x v="3"/>
    <s v="Yes"/>
    <n v="41"/>
    <x v="1"/>
    <s v="Weekly"/>
    <n v="0.1"/>
    <n v="74.7"/>
    <n v="83"/>
    <s v="Cash"/>
    <s v="Normal"/>
    <s v="Poor"/>
  </r>
  <r>
    <n v="1269"/>
    <n v="23"/>
    <x v="0"/>
    <x v="14"/>
    <x v="2"/>
    <n v="88"/>
    <x v="37"/>
    <x v="3"/>
    <s v="Charcoal"/>
    <x v="0"/>
    <n v="2.9"/>
    <s v="No"/>
    <x v="2"/>
    <s v="Yes"/>
    <n v="25"/>
    <x v="5"/>
    <s v="Bi-Weekly"/>
    <n v="0.1"/>
    <n v="79.2"/>
    <n v="88"/>
    <s v="Debit Card"/>
    <s v="Normal"/>
    <s v="Poor"/>
  </r>
  <r>
    <n v="1270"/>
    <n v="43"/>
    <x v="0"/>
    <x v="16"/>
    <x v="3"/>
    <n v="53"/>
    <x v="34"/>
    <x v="2"/>
    <s v="Lavender"/>
    <x v="1"/>
    <n v="3"/>
    <s v="No"/>
    <x v="3"/>
    <s v="Yes"/>
    <n v="47"/>
    <x v="3"/>
    <s v="Quarterly"/>
    <n v="0.1"/>
    <n v="47.7"/>
    <n v="53"/>
    <s v="PayPal"/>
    <s v="Normal"/>
    <s v="Good"/>
  </r>
  <r>
    <n v="1271"/>
    <n v="67"/>
    <x v="0"/>
    <x v="15"/>
    <x v="0"/>
    <n v="98"/>
    <x v="8"/>
    <x v="2"/>
    <s v="Green"/>
    <x v="3"/>
    <n v="3.3"/>
    <s v="No"/>
    <x v="3"/>
    <s v="Yes"/>
    <n v="20"/>
    <x v="1"/>
    <s v="Annually"/>
    <n v="0.1"/>
    <n v="88.2"/>
    <n v="98"/>
    <s v="Cash"/>
    <s v="Normal"/>
    <s v="Good"/>
  </r>
  <r>
    <n v="1272"/>
    <n v="70"/>
    <x v="0"/>
    <x v="16"/>
    <x v="3"/>
    <n v="57"/>
    <x v="0"/>
    <x v="1"/>
    <s v="Gray"/>
    <x v="1"/>
    <n v="4.3"/>
    <s v="No"/>
    <x v="5"/>
    <s v="Yes"/>
    <n v="42"/>
    <x v="3"/>
    <s v="Annually"/>
    <n v="0.1"/>
    <n v="51.3"/>
    <n v="57"/>
    <s v="PayPal"/>
    <s v="Normal"/>
    <s v="Good"/>
  </r>
  <r>
    <n v="1273"/>
    <n v="35"/>
    <x v="0"/>
    <x v="3"/>
    <x v="1"/>
    <n v="80"/>
    <x v="48"/>
    <x v="2"/>
    <s v="Orange"/>
    <x v="0"/>
    <n v="4.4000000000000004"/>
    <s v="No"/>
    <x v="0"/>
    <s v="Yes"/>
    <n v="16"/>
    <x v="4"/>
    <s v="Monthly"/>
    <n v="0.1"/>
    <n v="72"/>
    <n v="80"/>
    <s v="Bank Transfer"/>
    <s v="Normal"/>
    <s v="Good"/>
  </r>
  <r>
    <n v="1274"/>
    <n v="41"/>
    <x v="0"/>
    <x v="2"/>
    <x v="0"/>
    <n v="29"/>
    <x v="16"/>
    <x v="0"/>
    <s v="Silver"/>
    <x v="1"/>
    <n v="4.0999999999999996"/>
    <s v="No"/>
    <x v="2"/>
    <s v="Yes"/>
    <n v="32"/>
    <x v="2"/>
    <s v="Every 3 Months"/>
    <n v="0.1"/>
    <n v="26.1"/>
    <n v="29"/>
    <s v="Credit Card"/>
    <s v="Normal"/>
    <s v="Good"/>
  </r>
  <r>
    <n v="1275"/>
    <n v="54"/>
    <x v="0"/>
    <x v="19"/>
    <x v="3"/>
    <n v="73"/>
    <x v="9"/>
    <x v="2"/>
    <s v="Olive"/>
    <x v="1"/>
    <n v="3.1"/>
    <s v="No"/>
    <x v="4"/>
    <s v="Yes"/>
    <n v="37"/>
    <x v="3"/>
    <s v="Quarterly"/>
    <n v="0.1"/>
    <n v="65.7"/>
    <n v="73"/>
    <s v="PayPal"/>
    <s v="Normal"/>
    <s v="Good"/>
  </r>
  <r>
    <n v="1276"/>
    <n v="55"/>
    <x v="0"/>
    <x v="1"/>
    <x v="0"/>
    <n v="32"/>
    <x v="10"/>
    <x v="1"/>
    <s v="Turquoise"/>
    <x v="3"/>
    <n v="4.5"/>
    <s v="No"/>
    <x v="3"/>
    <s v="Yes"/>
    <n v="1"/>
    <x v="3"/>
    <s v="Monthly"/>
    <n v="0.1"/>
    <n v="28.8"/>
    <n v="32"/>
    <s v="PayPal"/>
    <s v="Normal"/>
    <s v="Good"/>
  </r>
  <r>
    <n v="1277"/>
    <n v="51"/>
    <x v="0"/>
    <x v="23"/>
    <x v="1"/>
    <n v="68"/>
    <x v="5"/>
    <x v="0"/>
    <s v="Turquoise"/>
    <x v="1"/>
    <n v="4.8"/>
    <s v="No"/>
    <x v="2"/>
    <s v="Yes"/>
    <n v="37"/>
    <x v="4"/>
    <s v="Weekly"/>
    <n v="0.1"/>
    <n v="61.2"/>
    <n v="68"/>
    <s v="Bank Transfer"/>
    <s v="Normal"/>
    <s v="Good"/>
  </r>
  <r>
    <n v="1278"/>
    <n v="19"/>
    <x v="0"/>
    <x v="0"/>
    <x v="0"/>
    <n v="97"/>
    <x v="3"/>
    <x v="0"/>
    <s v="Green"/>
    <x v="1"/>
    <n v="5"/>
    <s v="No"/>
    <x v="0"/>
    <s v="Yes"/>
    <n v="5"/>
    <x v="0"/>
    <s v="Quarterly"/>
    <n v="0.1"/>
    <n v="87.3"/>
    <n v="97"/>
    <s v="Venmo"/>
    <s v="Normal"/>
    <s v="Good"/>
  </r>
  <r>
    <n v="1279"/>
    <n v="28"/>
    <x v="0"/>
    <x v="6"/>
    <x v="0"/>
    <n v="98"/>
    <x v="40"/>
    <x v="2"/>
    <s v="Violet"/>
    <x v="3"/>
    <n v="2.8"/>
    <s v="No"/>
    <x v="2"/>
    <s v="Yes"/>
    <n v="31"/>
    <x v="0"/>
    <s v="Fortnightly"/>
    <n v="0.1"/>
    <n v="88.2"/>
    <n v="98"/>
    <s v="Venmo"/>
    <s v="Normal"/>
    <s v="Poor"/>
  </r>
  <r>
    <n v="1280"/>
    <n v="63"/>
    <x v="0"/>
    <x v="15"/>
    <x v="0"/>
    <n v="56"/>
    <x v="33"/>
    <x v="0"/>
    <s v="Charcoal"/>
    <x v="3"/>
    <n v="3.7"/>
    <s v="No"/>
    <x v="0"/>
    <s v="Yes"/>
    <n v="18"/>
    <x v="5"/>
    <s v="Annually"/>
    <n v="0.1"/>
    <n v="50.4"/>
    <n v="56"/>
    <s v="Debit Card"/>
    <s v="Normal"/>
    <s v="Good"/>
  </r>
  <r>
    <n v="1281"/>
    <n v="30"/>
    <x v="0"/>
    <x v="13"/>
    <x v="0"/>
    <n v="78"/>
    <x v="42"/>
    <x v="0"/>
    <s v="White"/>
    <x v="0"/>
    <n v="4.4000000000000004"/>
    <s v="No"/>
    <x v="4"/>
    <s v="Yes"/>
    <n v="39"/>
    <x v="0"/>
    <s v="Every 3 Months"/>
    <n v="0.1"/>
    <n v="70.2"/>
    <n v="78"/>
    <s v="Venmo"/>
    <s v="Normal"/>
    <s v="Good"/>
  </r>
  <r>
    <n v="1282"/>
    <n v="29"/>
    <x v="0"/>
    <x v="22"/>
    <x v="3"/>
    <n v="81"/>
    <x v="32"/>
    <x v="2"/>
    <s v="Olive"/>
    <x v="1"/>
    <n v="4.5"/>
    <s v="No"/>
    <x v="5"/>
    <s v="Yes"/>
    <n v="8"/>
    <x v="0"/>
    <s v="Bi-Weekly"/>
    <n v="0.1"/>
    <n v="72.900000000000006"/>
    <n v="81"/>
    <s v="Venmo"/>
    <s v="Normal"/>
    <s v="Good"/>
  </r>
  <r>
    <n v="1283"/>
    <n v="24"/>
    <x v="0"/>
    <x v="5"/>
    <x v="0"/>
    <n v="68"/>
    <x v="13"/>
    <x v="0"/>
    <s v="Violet"/>
    <x v="0"/>
    <n v="3"/>
    <s v="No"/>
    <x v="1"/>
    <s v="Yes"/>
    <n v="20"/>
    <x v="0"/>
    <s v="Monthly"/>
    <n v="0.1"/>
    <n v="61.2"/>
    <n v="68"/>
    <s v="Venmo"/>
    <s v="Normal"/>
    <s v="Good"/>
  </r>
  <r>
    <n v="1284"/>
    <n v="69"/>
    <x v="0"/>
    <x v="5"/>
    <x v="0"/>
    <n v="94"/>
    <x v="4"/>
    <x v="2"/>
    <s v="Violet"/>
    <x v="0"/>
    <n v="3.9"/>
    <s v="No"/>
    <x v="4"/>
    <s v="Yes"/>
    <n v="23"/>
    <x v="5"/>
    <s v="Every 3 Months"/>
    <n v="0.1"/>
    <n v="84.6"/>
    <n v="94"/>
    <s v="Debit Card"/>
    <s v="Normal"/>
    <s v="Good"/>
  </r>
  <r>
    <n v="1285"/>
    <n v="65"/>
    <x v="0"/>
    <x v="10"/>
    <x v="0"/>
    <n v="93"/>
    <x v="10"/>
    <x v="2"/>
    <s v="Black"/>
    <x v="1"/>
    <n v="3.9"/>
    <s v="No"/>
    <x v="0"/>
    <s v="Yes"/>
    <n v="38"/>
    <x v="3"/>
    <s v="Fortnightly"/>
    <n v="0.1"/>
    <n v="83.7"/>
    <n v="93"/>
    <s v="PayPal"/>
    <s v="Normal"/>
    <s v="Good"/>
  </r>
  <r>
    <n v="1286"/>
    <n v="64"/>
    <x v="0"/>
    <x v="24"/>
    <x v="3"/>
    <n v="99"/>
    <x v="17"/>
    <x v="2"/>
    <s v="Charcoal"/>
    <x v="3"/>
    <n v="3.5"/>
    <s v="No"/>
    <x v="2"/>
    <s v="Yes"/>
    <n v="45"/>
    <x v="4"/>
    <s v="Fortnightly"/>
    <n v="0.1"/>
    <n v="89.1"/>
    <n v="99"/>
    <s v="Bank Transfer"/>
    <s v="Normal"/>
    <s v="Good"/>
  </r>
  <r>
    <n v="1287"/>
    <n v="40"/>
    <x v="0"/>
    <x v="24"/>
    <x v="3"/>
    <n v="49"/>
    <x v="8"/>
    <x v="0"/>
    <s v="Yellow"/>
    <x v="0"/>
    <n v="4.9000000000000004"/>
    <s v="No"/>
    <x v="2"/>
    <s v="Yes"/>
    <n v="44"/>
    <x v="5"/>
    <s v="Fortnightly"/>
    <n v="0.1"/>
    <n v="44.1"/>
    <n v="49"/>
    <s v="Debit Card"/>
    <s v="Normal"/>
    <s v="Good"/>
  </r>
  <r>
    <n v="1288"/>
    <n v="24"/>
    <x v="0"/>
    <x v="2"/>
    <x v="0"/>
    <n v="28"/>
    <x v="40"/>
    <x v="3"/>
    <s v="Blue"/>
    <x v="0"/>
    <n v="3.4"/>
    <s v="No"/>
    <x v="3"/>
    <s v="Yes"/>
    <n v="20"/>
    <x v="3"/>
    <s v="Monthly"/>
    <n v="0.1"/>
    <n v="25.2"/>
    <n v="28"/>
    <s v="PayPal"/>
    <s v="Normal"/>
    <s v="Good"/>
  </r>
  <r>
    <n v="1289"/>
    <n v="66"/>
    <x v="0"/>
    <x v="22"/>
    <x v="3"/>
    <n v="93"/>
    <x v="45"/>
    <x v="3"/>
    <s v="Charcoal"/>
    <x v="0"/>
    <n v="4.0999999999999996"/>
    <s v="No"/>
    <x v="3"/>
    <s v="Yes"/>
    <n v="34"/>
    <x v="3"/>
    <s v="Bi-Weekly"/>
    <n v="0.1"/>
    <n v="83.7"/>
    <n v="93"/>
    <s v="PayPal"/>
    <s v="Normal"/>
    <s v="Good"/>
  </r>
  <r>
    <n v="1290"/>
    <n v="35"/>
    <x v="0"/>
    <x v="14"/>
    <x v="2"/>
    <n v="24"/>
    <x v="13"/>
    <x v="2"/>
    <s v="Red"/>
    <x v="3"/>
    <n v="2.9"/>
    <s v="No"/>
    <x v="2"/>
    <s v="Yes"/>
    <n v="10"/>
    <x v="3"/>
    <s v="Weekly"/>
    <n v="0.1"/>
    <n v="21.6"/>
    <n v="24"/>
    <s v="PayPal"/>
    <s v="Normal"/>
    <s v="Poor"/>
  </r>
  <r>
    <n v="1291"/>
    <n v="67"/>
    <x v="0"/>
    <x v="11"/>
    <x v="0"/>
    <n v="35"/>
    <x v="33"/>
    <x v="2"/>
    <s v="Indigo"/>
    <x v="1"/>
    <n v="3.4"/>
    <s v="No"/>
    <x v="1"/>
    <s v="Yes"/>
    <n v="3"/>
    <x v="3"/>
    <s v="Annually"/>
    <n v="0.1"/>
    <n v="31.5"/>
    <n v="35"/>
    <s v="PayPal"/>
    <s v="Normal"/>
    <s v="Good"/>
  </r>
  <r>
    <n v="1292"/>
    <n v="69"/>
    <x v="0"/>
    <x v="3"/>
    <x v="1"/>
    <n v="68"/>
    <x v="45"/>
    <x v="1"/>
    <s v="Beige"/>
    <x v="1"/>
    <n v="3.2"/>
    <s v="No"/>
    <x v="4"/>
    <s v="Yes"/>
    <n v="23"/>
    <x v="5"/>
    <s v="Fortnightly"/>
    <n v="0.1"/>
    <n v="61.2"/>
    <n v="68"/>
    <s v="Debit Card"/>
    <s v="Normal"/>
    <s v="Good"/>
  </r>
  <r>
    <n v="1293"/>
    <n v="26"/>
    <x v="0"/>
    <x v="22"/>
    <x v="3"/>
    <n v="61"/>
    <x v="0"/>
    <x v="2"/>
    <s v="Maroon"/>
    <x v="2"/>
    <n v="1"/>
    <s v="No"/>
    <x v="1"/>
    <s v="Yes"/>
    <n v="42"/>
    <x v="4"/>
    <s v="Annually"/>
    <n v="0.1"/>
    <n v="54.9"/>
    <n v="61"/>
    <s v="Bank Transfer"/>
    <s v="Normal"/>
    <s v="Poor"/>
  </r>
  <r>
    <n v="1294"/>
    <n v="23"/>
    <x v="0"/>
    <x v="1"/>
    <x v="0"/>
    <n v="74"/>
    <x v="20"/>
    <x v="3"/>
    <s v="Yellow"/>
    <x v="3"/>
    <n v="4.0999999999999996"/>
    <s v="No"/>
    <x v="3"/>
    <s v="Yes"/>
    <n v="30"/>
    <x v="5"/>
    <s v="Annually"/>
    <n v="0.1"/>
    <n v="66.599999999999994"/>
    <n v="74"/>
    <s v="Debit Card"/>
    <s v="Normal"/>
    <s v="Good"/>
  </r>
  <r>
    <n v="1295"/>
    <n v="27"/>
    <x v="0"/>
    <x v="5"/>
    <x v="0"/>
    <n v="64"/>
    <x v="21"/>
    <x v="2"/>
    <s v="Silver"/>
    <x v="2"/>
    <n v="4.5"/>
    <s v="No"/>
    <x v="3"/>
    <s v="Yes"/>
    <n v="21"/>
    <x v="1"/>
    <s v="Every 3 Months"/>
    <n v="0.1"/>
    <n v="57.6"/>
    <n v="64"/>
    <s v="Cash"/>
    <s v="Normal"/>
    <s v="Good"/>
  </r>
  <r>
    <n v="1296"/>
    <n v="30"/>
    <x v="0"/>
    <x v="4"/>
    <x v="1"/>
    <n v="60"/>
    <x v="35"/>
    <x v="2"/>
    <s v="Olive"/>
    <x v="3"/>
    <n v="2.8"/>
    <s v="No"/>
    <x v="3"/>
    <s v="Yes"/>
    <n v="50"/>
    <x v="3"/>
    <s v="Weekly"/>
    <n v="0.1"/>
    <n v="54"/>
    <n v="60"/>
    <s v="PayPal"/>
    <s v="Normal"/>
    <s v="Poor"/>
  </r>
  <r>
    <n v="1297"/>
    <n v="48"/>
    <x v="0"/>
    <x v="2"/>
    <x v="0"/>
    <n v="29"/>
    <x v="45"/>
    <x v="1"/>
    <s v="Teal"/>
    <x v="1"/>
    <n v="2.8"/>
    <s v="No"/>
    <x v="0"/>
    <s v="Yes"/>
    <n v="16"/>
    <x v="1"/>
    <s v="Bi-Weekly"/>
    <n v="0.1"/>
    <n v="26.1"/>
    <n v="29"/>
    <s v="Cash"/>
    <s v="Normal"/>
    <s v="Poor"/>
  </r>
  <r>
    <n v="1298"/>
    <n v="44"/>
    <x v="0"/>
    <x v="3"/>
    <x v="1"/>
    <n v="85"/>
    <x v="32"/>
    <x v="2"/>
    <s v="Silver"/>
    <x v="2"/>
    <n v="4.5999999999999996"/>
    <s v="No"/>
    <x v="3"/>
    <s v="Yes"/>
    <n v="32"/>
    <x v="0"/>
    <s v="Annually"/>
    <n v="0.1"/>
    <n v="76.5"/>
    <n v="85"/>
    <s v="Venmo"/>
    <s v="Normal"/>
    <s v="Good"/>
  </r>
  <r>
    <n v="1299"/>
    <n v="29"/>
    <x v="0"/>
    <x v="13"/>
    <x v="0"/>
    <n v="81"/>
    <x v="27"/>
    <x v="1"/>
    <s v="Indigo"/>
    <x v="2"/>
    <n v="3"/>
    <s v="No"/>
    <x v="1"/>
    <s v="Yes"/>
    <n v="14"/>
    <x v="4"/>
    <s v="Fortnightly"/>
    <n v="0.1"/>
    <n v="72.900000000000006"/>
    <n v="81"/>
    <s v="Bank Transfer"/>
    <s v="Normal"/>
    <s v="Good"/>
  </r>
  <r>
    <n v="1300"/>
    <n v="29"/>
    <x v="0"/>
    <x v="22"/>
    <x v="3"/>
    <n v="23"/>
    <x v="7"/>
    <x v="0"/>
    <s v="Teal"/>
    <x v="3"/>
    <n v="3.6"/>
    <s v="No"/>
    <x v="4"/>
    <s v="Yes"/>
    <n v="42"/>
    <x v="0"/>
    <s v="Bi-Weekly"/>
    <n v="0.1"/>
    <n v="20.7"/>
    <n v="23"/>
    <s v="Venmo"/>
    <s v="Normal"/>
    <s v="Good"/>
  </r>
  <r>
    <n v="1301"/>
    <n v="67"/>
    <x v="0"/>
    <x v="17"/>
    <x v="0"/>
    <n v="100"/>
    <x v="8"/>
    <x v="2"/>
    <s v="Charcoal"/>
    <x v="1"/>
    <n v="4.5"/>
    <s v="No"/>
    <x v="2"/>
    <s v="Yes"/>
    <n v="47"/>
    <x v="2"/>
    <s v="Every 3 Months"/>
    <n v="0.1"/>
    <n v="90"/>
    <n v="100"/>
    <s v="Credit Card"/>
    <s v="Normal"/>
    <s v="Good"/>
  </r>
  <r>
    <n v="1302"/>
    <n v="42"/>
    <x v="0"/>
    <x v="5"/>
    <x v="0"/>
    <n v="54"/>
    <x v="1"/>
    <x v="2"/>
    <s v="Orange"/>
    <x v="3"/>
    <n v="5"/>
    <s v="No"/>
    <x v="0"/>
    <s v="Yes"/>
    <n v="21"/>
    <x v="5"/>
    <s v="Weekly"/>
    <n v="0.1"/>
    <n v="48.6"/>
    <n v="54"/>
    <s v="Debit Card"/>
    <s v="Normal"/>
    <s v="Good"/>
  </r>
  <r>
    <n v="1303"/>
    <n v="23"/>
    <x v="0"/>
    <x v="4"/>
    <x v="1"/>
    <n v="25"/>
    <x v="37"/>
    <x v="2"/>
    <s v="Gold"/>
    <x v="3"/>
    <n v="2.9"/>
    <s v="No"/>
    <x v="2"/>
    <s v="Yes"/>
    <n v="37"/>
    <x v="2"/>
    <s v="Monthly"/>
    <n v="0.1"/>
    <n v="22.5"/>
    <n v="25"/>
    <s v="Credit Card"/>
    <s v="Normal"/>
    <s v="Poor"/>
  </r>
  <r>
    <n v="1304"/>
    <n v="34"/>
    <x v="0"/>
    <x v="0"/>
    <x v="0"/>
    <n v="32"/>
    <x v="14"/>
    <x v="0"/>
    <s v="Silver"/>
    <x v="2"/>
    <n v="3.1"/>
    <s v="No"/>
    <x v="2"/>
    <s v="Yes"/>
    <n v="10"/>
    <x v="2"/>
    <s v="Annually"/>
    <n v="0.1"/>
    <n v="28.8"/>
    <n v="32"/>
    <s v="Credit Card"/>
    <s v="Normal"/>
    <s v="Good"/>
  </r>
  <r>
    <n v="1305"/>
    <n v="64"/>
    <x v="0"/>
    <x v="21"/>
    <x v="3"/>
    <n v="63"/>
    <x v="6"/>
    <x v="1"/>
    <s v="Orange"/>
    <x v="1"/>
    <n v="4"/>
    <s v="No"/>
    <x v="4"/>
    <s v="Yes"/>
    <n v="18"/>
    <x v="3"/>
    <s v="Every 3 Months"/>
    <n v="0.1"/>
    <n v="56.7"/>
    <n v="63"/>
    <s v="PayPal"/>
    <s v="Normal"/>
    <s v="Good"/>
  </r>
  <r>
    <n v="1306"/>
    <n v="31"/>
    <x v="0"/>
    <x v="13"/>
    <x v="0"/>
    <n v="56"/>
    <x v="16"/>
    <x v="3"/>
    <s v="Peach"/>
    <x v="1"/>
    <n v="4.5"/>
    <s v="No"/>
    <x v="0"/>
    <s v="Yes"/>
    <n v="2"/>
    <x v="3"/>
    <s v="Every 3 Months"/>
    <n v="0.1"/>
    <n v="50.4"/>
    <n v="56"/>
    <s v="PayPal"/>
    <s v="Normal"/>
    <s v="Good"/>
  </r>
  <r>
    <n v="1307"/>
    <n v="54"/>
    <x v="0"/>
    <x v="1"/>
    <x v="0"/>
    <n v="33"/>
    <x v="29"/>
    <x v="0"/>
    <s v="Brown"/>
    <x v="0"/>
    <n v="4.5"/>
    <s v="No"/>
    <x v="2"/>
    <s v="Yes"/>
    <n v="40"/>
    <x v="3"/>
    <s v="Annually"/>
    <n v="0.1"/>
    <n v="29.7"/>
    <n v="33"/>
    <s v="PayPal"/>
    <s v="Normal"/>
    <s v="Good"/>
  </r>
  <r>
    <n v="1308"/>
    <n v="23"/>
    <x v="0"/>
    <x v="7"/>
    <x v="2"/>
    <n v="32"/>
    <x v="9"/>
    <x v="0"/>
    <s v="Black"/>
    <x v="2"/>
    <n v="3.1"/>
    <s v="No"/>
    <x v="0"/>
    <s v="Yes"/>
    <n v="43"/>
    <x v="3"/>
    <s v="Annually"/>
    <n v="0.1"/>
    <n v="28.8"/>
    <n v="32"/>
    <s v="PayPal"/>
    <s v="Normal"/>
    <s v="Good"/>
  </r>
  <r>
    <n v="1309"/>
    <n v="59"/>
    <x v="0"/>
    <x v="10"/>
    <x v="0"/>
    <n v="38"/>
    <x v="3"/>
    <x v="0"/>
    <s v="Red"/>
    <x v="2"/>
    <n v="4.4000000000000004"/>
    <s v="No"/>
    <x v="2"/>
    <s v="Yes"/>
    <n v="14"/>
    <x v="2"/>
    <s v="Every 3 Months"/>
    <n v="0.1"/>
    <n v="34.200000000000003"/>
    <n v="38"/>
    <s v="Credit Card"/>
    <s v="Normal"/>
    <s v="Good"/>
  </r>
  <r>
    <n v="1310"/>
    <n v="32"/>
    <x v="0"/>
    <x v="0"/>
    <x v="0"/>
    <n v="21"/>
    <x v="11"/>
    <x v="0"/>
    <s v="Lavender"/>
    <x v="2"/>
    <n v="4.7"/>
    <s v="No"/>
    <x v="5"/>
    <s v="Yes"/>
    <n v="41"/>
    <x v="1"/>
    <s v="Quarterly"/>
    <n v="0.1"/>
    <n v="18.899999999999999"/>
    <n v="21"/>
    <s v="Cash"/>
    <s v="Normal"/>
    <s v="Good"/>
  </r>
  <r>
    <n v="1311"/>
    <n v="43"/>
    <x v="0"/>
    <x v="15"/>
    <x v="0"/>
    <n v="59"/>
    <x v="36"/>
    <x v="0"/>
    <s v="Brown"/>
    <x v="0"/>
    <n v="3.1"/>
    <s v="No"/>
    <x v="5"/>
    <s v="Yes"/>
    <n v="38"/>
    <x v="2"/>
    <s v="Every 3 Months"/>
    <n v="0.1"/>
    <n v="53.1"/>
    <n v="59"/>
    <s v="Credit Card"/>
    <s v="Normal"/>
    <s v="Good"/>
  </r>
  <r>
    <n v="1312"/>
    <n v="32"/>
    <x v="0"/>
    <x v="9"/>
    <x v="1"/>
    <n v="87"/>
    <x v="30"/>
    <x v="2"/>
    <s v="Maroon"/>
    <x v="3"/>
    <n v="4.2"/>
    <s v="No"/>
    <x v="0"/>
    <s v="Yes"/>
    <n v="12"/>
    <x v="0"/>
    <s v="Annually"/>
    <n v="0.1"/>
    <n v="78.3"/>
    <n v="87"/>
    <s v="Venmo"/>
    <s v="Normal"/>
    <s v="Good"/>
  </r>
  <r>
    <n v="1313"/>
    <n v="66"/>
    <x v="0"/>
    <x v="17"/>
    <x v="0"/>
    <n v="79"/>
    <x v="9"/>
    <x v="2"/>
    <s v="Violet"/>
    <x v="0"/>
    <n v="3"/>
    <s v="No"/>
    <x v="5"/>
    <s v="Yes"/>
    <n v="19"/>
    <x v="4"/>
    <s v="Monthly"/>
    <n v="0.1"/>
    <n v="71.099999999999994"/>
    <n v="79"/>
    <s v="Bank Transfer"/>
    <s v="Normal"/>
    <s v="Good"/>
  </r>
  <r>
    <n v="1314"/>
    <n v="70"/>
    <x v="0"/>
    <x v="9"/>
    <x v="1"/>
    <n v="28"/>
    <x v="9"/>
    <x v="2"/>
    <s v="Lavender"/>
    <x v="2"/>
    <n v="1"/>
    <s v="No"/>
    <x v="1"/>
    <s v="Yes"/>
    <n v="23"/>
    <x v="2"/>
    <s v="Bi-Weekly"/>
    <n v="0.1"/>
    <n v="25.2"/>
    <n v="28"/>
    <s v="Credit Card"/>
    <s v="Normal"/>
    <s v="Poor"/>
  </r>
  <r>
    <n v="1315"/>
    <n v="42"/>
    <x v="0"/>
    <x v="23"/>
    <x v="1"/>
    <n v="67"/>
    <x v="9"/>
    <x v="1"/>
    <s v="Magenta"/>
    <x v="2"/>
    <n v="3.4"/>
    <s v="No"/>
    <x v="1"/>
    <s v="Yes"/>
    <n v="49"/>
    <x v="5"/>
    <s v="Annually"/>
    <n v="0.1"/>
    <n v="60.3"/>
    <n v="67"/>
    <s v="Debit Card"/>
    <s v="Normal"/>
    <s v="Good"/>
  </r>
  <r>
    <n v="1316"/>
    <n v="56"/>
    <x v="0"/>
    <x v="6"/>
    <x v="0"/>
    <n v="75"/>
    <x v="16"/>
    <x v="0"/>
    <s v="Green"/>
    <x v="1"/>
    <n v="4.2"/>
    <s v="No"/>
    <x v="4"/>
    <s v="Yes"/>
    <n v="29"/>
    <x v="5"/>
    <s v="Quarterly"/>
    <n v="0.1"/>
    <n v="67.5"/>
    <n v="75"/>
    <s v="Debit Card"/>
    <s v="Normal"/>
    <s v="Good"/>
  </r>
  <r>
    <n v="1317"/>
    <n v="28"/>
    <x v="0"/>
    <x v="22"/>
    <x v="3"/>
    <n v="32"/>
    <x v="10"/>
    <x v="1"/>
    <s v="Lavender"/>
    <x v="1"/>
    <n v="4.5999999999999996"/>
    <s v="No"/>
    <x v="3"/>
    <s v="Yes"/>
    <n v="14"/>
    <x v="5"/>
    <s v="Bi-Weekly"/>
    <n v="0.1"/>
    <n v="28.8"/>
    <n v="32"/>
    <s v="Debit Card"/>
    <s v="Normal"/>
    <s v="Good"/>
  </r>
  <r>
    <n v="1318"/>
    <n v="28"/>
    <x v="0"/>
    <x v="13"/>
    <x v="0"/>
    <n v="43"/>
    <x v="0"/>
    <x v="2"/>
    <s v="Green"/>
    <x v="1"/>
    <n v="2.8"/>
    <s v="No"/>
    <x v="1"/>
    <s v="Yes"/>
    <n v="19"/>
    <x v="1"/>
    <s v="Monthly"/>
    <n v="0.1"/>
    <n v="38.700000000000003"/>
    <n v="43"/>
    <s v="Cash"/>
    <s v="Normal"/>
    <s v="Poor"/>
  </r>
  <r>
    <n v="1319"/>
    <n v="52"/>
    <x v="0"/>
    <x v="6"/>
    <x v="0"/>
    <n v="93"/>
    <x v="39"/>
    <x v="2"/>
    <s v="Maroon"/>
    <x v="1"/>
    <n v="2.7"/>
    <s v="No"/>
    <x v="0"/>
    <s v="Yes"/>
    <n v="19"/>
    <x v="2"/>
    <s v="Bi-Weekly"/>
    <n v="0.1"/>
    <n v="83.7"/>
    <n v="93"/>
    <s v="Credit Card"/>
    <s v="Normal"/>
    <s v="Poor"/>
  </r>
  <r>
    <n v="1320"/>
    <n v="65"/>
    <x v="0"/>
    <x v="12"/>
    <x v="3"/>
    <n v="24"/>
    <x v="19"/>
    <x v="2"/>
    <s v="Magenta"/>
    <x v="1"/>
    <n v="4"/>
    <s v="No"/>
    <x v="3"/>
    <s v="Yes"/>
    <n v="48"/>
    <x v="4"/>
    <s v="Weekly"/>
    <n v="0.1"/>
    <n v="21.6"/>
    <n v="24"/>
    <s v="Bank Transfer"/>
    <s v="Normal"/>
    <s v="Good"/>
  </r>
  <r>
    <n v="1321"/>
    <n v="56"/>
    <x v="0"/>
    <x v="19"/>
    <x v="3"/>
    <n v="31"/>
    <x v="18"/>
    <x v="3"/>
    <s v="Teal"/>
    <x v="3"/>
    <n v="3.1"/>
    <s v="No"/>
    <x v="1"/>
    <s v="Yes"/>
    <n v="19"/>
    <x v="5"/>
    <s v="Annually"/>
    <n v="0.1"/>
    <n v="27.9"/>
    <n v="31"/>
    <s v="Debit Card"/>
    <s v="Normal"/>
    <s v="Good"/>
  </r>
  <r>
    <n v="1322"/>
    <n v="59"/>
    <x v="0"/>
    <x v="17"/>
    <x v="0"/>
    <n v="84"/>
    <x v="9"/>
    <x v="0"/>
    <s v="Orange"/>
    <x v="0"/>
    <n v="3.7"/>
    <s v="No"/>
    <x v="0"/>
    <s v="Yes"/>
    <n v="45"/>
    <x v="4"/>
    <s v="Every 3 Months"/>
    <n v="0.1"/>
    <n v="75.599999999999994"/>
    <n v="84"/>
    <s v="Bank Transfer"/>
    <s v="Normal"/>
    <s v="Good"/>
  </r>
  <r>
    <n v="1323"/>
    <n v="23"/>
    <x v="0"/>
    <x v="13"/>
    <x v="0"/>
    <n v="74"/>
    <x v="47"/>
    <x v="2"/>
    <s v="Violet"/>
    <x v="0"/>
    <n v="4"/>
    <s v="No"/>
    <x v="2"/>
    <s v="Yes"/>
    <n v="17"/>
    <x v="4"/>
    <s v="Quarterly"/>
    <n v="0.1"/>
    <n v="66.599999999999994"/>
    <n v="74"/>
    <s v="Bank Transfer"/>
    <s v="Normal"/>
    <s v="Good"/>
  </r>
  <r>
    <n v="1324"/>
    <n v="58"/>
    <x v="0"/>
    <x v="6"/>
    <x v="0"/>
    <n v="62"/>
    <x v="14"/>
    <x v="2"/>
    <s v="Yellow"/>
    <x v="1"/>
    <n v="4.5999999999999996"/>
    <s v="No"/>
    <x v="3"/>
    <s v="Yes"/>
    <n v="15"/>
    <x v="5"/>
    <s v="Every 3 Months"/>
    <n v="0.1"/>
    <n v="55.8"/>
    <n v="62"/>
    <s v="Debit Card"/>
    <s v="Normal"/>
    <s v="Good"/>
  </r>
  <r>
    <n v="1325"/>
    <n v="39"/>
    <x v="0"/>
    <x v="16"/>
    <x v="3"/>
    <n v="77"/>
    <x v="27"/>
    <x v="1"/>
    <s v="Orange"/>
    <x v="2"/>
    <n v="3.8"/>
    <s v="No"/>
    <x v="1"/>
    <s v="Yes"/>
    <n v="11"/>
    <x v="2"/>
    <s v="Fortnightly"/>
    <n v="0.1"/>
    <n v="69.3"/>
    <n v="77"/>
    <s v="Credit Card"/>
    <s v="Normal"/>
    <s v="Good"/>
  </r>
  <r>
    <n v="1326"/>
    <n v="28"/>
    <x v="0"/>
    <x v="21"/>
    <x v="3"/>
    <n v="73"/>
    <x v="4"/>
    <x v="0"/>
    <s v="Gold"/>
    <x v="2"/>
    <n v="3.5"/>
    <s v="No"/>
    <x v="0"/>
    <s v="Yes"/>
    <n v="1"/>
    <x v="1"/>
    <s v="Monthly"/>
    <n v="0.1"/>
    <n v="65.7"/>
    <n v="73"/>
    <s v="Cash"/>
    <s v="Normal"/>
    <s v="Good"/>
  </r>
  <r>
    <n v="1327"/>
    <n v="40"/>
    <x v="0"/>
    <x v="9"/>
    <x v="1"/>
    <n v="50"/>
    <x v="21"/>
    <x v="2"/>
    <s v="Indigo"/>
    <x v="1"/>
    <n v="1"/>
    <s v="No"/>
    <x v="1"/>
    <s v="Yes"/>
    <n v="17"/>
    <x v="1"/>
    <s v="Monthly"/>
    <n v="0.1"/>
    <n v="45"/>
    <n v="50"/>
    <s v="Cash"/>
    <s v="Normal"/>
    <s v="Poor"/>
  </r>
  <r>
    <n v="1328"/>
    <n v="52"/>
    <x v="0"/>
    <x v="7"/>
    <x v="2"/>
    <n v="40"/>
    <x v="20"/>
    <x v="2"/>
    <s v="Turquoise"/>
    <x v="0"/>
    <n v="2.8"/>
    <s v="No"/>
    <x v="3"/>
    <s v="Yes"/>
    <n v="37"/>
    <x v="1"/>
    <s v="Weekly"/>
    <n v="0.1"/>
    <n v="36"/>
    <n v="40"/>
    <s v="Cash"/>
    <s v="Normal"/>
    <s v="Poor"/>
  </r>
  <r>
    <n v="1329"/>
    <n v="37"/>
    <x v="0"/>
    <x v="1"/>
    <x v="0"/>
    <n v="97"/>
    <x v="3"/>
    <x v="2"/>
    <s v="Orange"/>
    <x v="0"/>
    <n v="3.7"/>
    <s v="No"/>
    <x v="3"/>
    <s v="Yes"/>
    <n v="40"/>
    <x v="4"/>
    <s v="Weekly"/>
    <n v="0.1"/>
    <n v="87.3"/>
    <n v="97"/>
    <s v="Bank Transfer"/>
    <s v="Normal"/>
    <s v="Good"/>
  </r>
  <r>
    <n v="1330"/>
    <n v="70"/>
    <x v="0"/>
    <x v="24"/>
    <x v="3"/>
    <n v="63"/>
    <x v="21"/>
    <x v="2"/>
    <s v="Indigo"/>
    <x v="3"/>
    <n v="3.3"/>
    <s v="No"/>
    <x v="0"/>
    <s v="Yes"/>
    <n v="50"/>
    <x v="3"/>
    <s v="Every 3 Months"/>
    <n v="0.1"/>
    <n v="56.7"/>
    <n v="63"/>
    <s v="PayPal"/>
    <s v="Normal"/>
    <s v="Good"/>
  </r>
  <r>
    <n v="1331"/>
    <n v="30"/>
    <x v="0"/>
    <x v="8"/>
    <x v="3"/>
    <n v="65"/>
    <x v="34"/>
    <x v="2"/>
    <s v="Charcoal"/>
    <x v="3"/>
    <n v="2.9"/>
    <s v="No"/>
    <x v="3"/>
    <s v="Yes"/>
    <n v="20"/>
    <x v="3"/>
    <s v="Bi-Weekly"/>
    <n v="0.1"/>
    <n v="58.5"/>
    <n v="65"/>
    <s v="PayPal"/>
    <s v="Normal"/>
    <s v="Poor"/>
  </r>
  <r>
    <n v="1332"/>
    <n v="38"/>
    <x v="0"/>
    <x v="20"/>
    <x v="0"/>
    <n v="91"/>
    <x v="33"/>
    <x v="2"/>
    <s v="Lavender"/>
    <x v="1"/>
    <n v="3.2"/>
    <s v="No"/>
    <x v="3"/>
    <s v="Yes"/>
    <n v="8"/>
    <x v="3"/>
    <s v="Bi-Weekly"/>
    <n v="0.1"/>
    <n v="81.900000000000006"/>
    <n v="91"/>
    <s v="PayPal"/>
    <s v="Normal"/>
    <s v="Good"/>
  </r>
  <r>
    <n v="1333"/>
    <n v="66"/>
    <x v="0"/>
    <x v="15"/>
    <x v="0"/>
    <n v="60"/>
    <x v="29"/>
    <x v="1"/>
    <s v="Gold"/>
    <x v="1"/>
    <n v="4.3"/>
    <s v="No"/>
    <x v="5"/>
    <s v="Yes"/>
    <n v="16"/>
    <x v="4"/>
    <s v="Quarterly"/>
    <n v="0.1"/>
    <n v="54"/>
    <n v="60"/>
    <s v="Bank Transfer"/>
    <s v="Normal"/>
    <s v="Good"/>
  </r>
  <r>
    <n v="1334"/>
    <n v="29"/>
    <x v="0"/>
    <x v="13"/>
    <x v="0"/>
    <n v="69"/>
    <x v="37"/>
    <x v="2"/>
    <s v="Lavender"/>
    <x v="0"/>
    <n v="2.7"/>
    <s v="No"/>
    <x v="2"/>
    <s v="Yes"/>
    <n v="9"/>
    <x v="4"/>
    <s v="Quarterly"/>
    <n v="0.1"/>
    <n v="62.1"/>
    <n v="69"/>
    <s v="Bank Transfer"/>
    <s v="Normal"/>
    <s v="Poor"/>
  </r>
  <r>
    <n v="1335"/>
    <n v="46"/>
    <x v="0"/>
    <x v="7"/>
    <x v="2"/>
    <n v="52"/>
    <x v="8"/>
    <x v="1"/>
    <s v="White"/>
    <x v="1"/>
    <n v="1"/>
    <s v="No"/>
    <x v="5"/>
    <s v="Yes"/>
    <n v="12"/>
    <x v="0"/>
    <s v="Monthly"/>
    <n v="0.1"/>
    <n v="46.8"/>
    <n v="52"/>
    <s v="Venmo"/>
    <s v="Normal"/>
    <s v="Poor"/>
  </r>
  <r>
    <n v="1336"/>
    <n v="56"/>
    <x v="0"/>
    <x v="23"/>
    <x v="1"/>
    <n v="49"/>
    <x v="22"/>
    <x v="2"/>
    <s v="Lavender"/>
    <x v="3"/>
    <n v="4.8"/>
    <s v="No"/>
    <x v="4"/>
    <s v="Yes"/>
    <n v="26"/>
    <x v="2"/>
    <s v="Weekly"/>
    <n v="0.1"/>
    <n v="44.1"/>
    <n v="49"/>
    <s v="Credit Card"/>
    <s v="Normal"/>
    <s v="Good"/>
  </r>
  <r>
    <n v="1337"/>
    <n v="23"/>
    <x v="0"/>
    <x v="4"/>
    <x v="1"/>
    <n v="85"/>
    <x v="4"/>
    <x v="2"/>
    <s v="Charcoal"/>
    <x v="1"/>
    <n v="4.8"/>
    <s v="No"/>
    <x v="5"/>
    <s v="Yes"/>
    <n v="44"/>
    <x v="5"/>
    <s v="Fortnightly"/>
    <n v="0.1"/>
    <n v="76.5"/>
    <n v="85"/>
    <s v="Debit Card"/>
    <s v="Normal"/>
    <s v="Good"/>
  </r>
  <r>
    <n v="1338"/>
    <n v="37"/>
    <x v="0"/>
    <x v="1"/>
    <x v="0"/>
    <n v="86"/>
    <x v="30"/>
    <x v="0"/>
    <s v="Silver"/>
    <x v="1"/>
    <n v="3.4"/>
    <s v="No"/>
    <x v="0"/>
    <s v="Yes"/>
    <n v="19"/>
    <x v="2"/>
    <s v="Bi-Weekly"/>
    <n v="0.1"/>
    <n v="77.400000000000006"/>
    <n v="86"/>
    <s v="Credit Card"/>
    <s v="Normal"/>
    <s v="Good"/>
  </r>
  <r>
    <n v="1339"/>
    <n v="56"/>
    <x v="0"/>
    <x v="8"/>
    <x v="3"/>
    <n v="51"/>
    <x v="15"/>
    <x v="1"/>
    <s v="Yellow"/>
    <x v="0"/>
    <n v="2.6"/>
    <s v="No"/>
    <x v="3"/>
    <s v="Yes"/>
    <n v="43"/>
    <x v="3"/>
    <s v="Fortnightly"/>
    <n v="0.1"/>
    <n v="45.9"/>
    <n v="51"/>
    <s v="PayPal"/>
    <s v="Normal"/>
    <s v="Poor"/>
  </r>
  <r>
    <n v="1340"/>
    <n v="36"/>
    <x v="0"/>
    <x v="22"/>
    <x v="3"/>
    <n v="56"/>
    <x v="27"/>
    <x v="0"/>
    <s v="Olive"/>
    <x v="0"/>
    <n v="5"/>
    <s v="No"/>
    <x v="2"/>
    <s v="Yes"/>
    <n v="5"/>
    <x v="4"/>
    <s v="Every 3 Months"/>
    <n v="0.1"/>
    <n v="50.4"/>
    <n v="56"/>
    <s v="Bank Transfer"/>
    <s v="Normal"/>
    <s v="Good"/>
  </r>
  <r>
    <n v="1341"/>
    <n v="40"/>
    <x v="0"/>
    <x v="22"/>
    <x v="3"/>
    <n v="72"/>
    <x v="37"/>
    <x v="2"/>
    <s v="Peach"/>
    <x v="3"/>
    <n v="4.4000000000000004"/>
    <s v="No"/>
    <x v="2"/>
    <s v="Yes"/>
    <n v="5"/>
    <x v="5"/>
    <s v="Every 3 Months"/>
    <n v="0.1"/>
    <n v="64.8"/>
    <n v="72"/>
    <s v="Debit Card"/>
    <s v="Normal"/>
    <s v="Good"/>
  </r>
  <r>
    <n v="1342"/>
    <n v="26"/>
    <x v="0"/>
    <x v="15"/>
    <x v="0"/>
    <n v="27"/>
    <x v="3"/>
    <x v="3"/>
    <s v="Yellow"/>
    <x v="3"/>
    <n v="1"/>
    <s v="No"/>
    <x v="3"/>
    <s v="Yes"/>
    <n v="31"/>
    <x v="4"/>
    <s v="Quarterly"/>
    <n v="0.1"/>
    <n v="24.3"/>
    <n v="27"/>
    <s v="Bank Transfer"/>
    <s v="Normal"/>
    <s v="Poor"/>
  </r>
  <r>
    <n v="1343"/>
    <n v="57"/>
    <x v="0"/>
    <x v="12"/>
    <x v="3"/>
    <n v="43"/>
    <x v="28"/>
    <x v="3"/>
    <s v="Yellow"/>
    <x v="2"/>
    <n v="3.4"/>
    <s v="No"/>
    <x v="4"/>
    <s v="Yes"/>
    <n v="11"/>
    <x v="4"/>
    <s v="Monthly"/>
    <n v="0.1"/>
    <n v="38.700000000000003"/>
    <n v="43"/>
    <s v="Bank Transfer"/>
    <s v="Normal"/>
    <s v="Good"/>
  </r>
  <r>
    <n v="1344"/>
    <n v="68"/>
    <x v="0"/>
    <x v="4"/>
    <x v="1"/>
    <n v="56"/>
    <x v="20"/>
    <x v="2"/>
    <s v="Indigo"/>
    <x v="1"/>
    <n v="3.4"/>
    <s v="No"/>
    <x v="3"/>
    <s v="Yes"/>
    <n v="34"/>
    <x v="4"/>
    <s v="Monthly"/>
    <n v="0.1"/>
    <n v="50.4"/>
    <n v="56"/>
    <s v="Bank Transfer"/>
    <s v="Normal"/>
    <s v="Good"/>
  </r>
  <r>
    <n v="1345"/>
    <n v="56"/>
    <x v="0"/>
    <x v="17"/>
    <x v="0"/>
    <n v="37"/>
    <x v="14"/>
    <x v="1"/>
    <s v="Violet"/>
    <x v="3"/>
    <n v="4.9000000000000004"/>
    <s v="No"/>
    <x v="2"/>
    <s v="Yes"/>
    <n v="14"/>
    <x v="1"/>
    <s v="Annually"/>
    <n v="0.1"/>
    <n v="33.299999999999997"/>
    <n v="37"/>
    <s v="Cash"/>
    <s v="Normal"/>
    <s v="Good"/>
  </r>
  <r>
    <n v="1346"/>
    <n v="40"/>
    <x v="0"/>
    <x v="10"/>
    <x v="0"/>
    <n v="21"/>
    <x v="43"/>
    <x v="2"/>
    <s v="White"/>
    <x v="3"/>
    <n v="3.6"/>
    <s v="No"/>
    <x v="3"/>
    <s v="Yes"/>
    <n v="42"/>
    <x v="0"/>
    <s v="Weekly"/>
    <n v="0.1"/>
    <n v="18.899999999999999"/>
    <n v="21"/>
    <s v="Venmo"/>
    <s v="Normal"/>
    <s v="Good"/>
  </r>
  <r>
    <n v="1347"/>
    <n v="44"/>
    <x v="0"/>
    <x v="15"/>
    <x v="0"/>
    <n v="91"/>
    <x v="16"/>
    <x v="0"/>
    <s v="White"/>
    <x v="0"/>
    <n v="3"/>
    <s v="No"/>
    <x v="1"/>
    <s v="Yes"/>
    <n v="15"/>
    <x v="0"/>
    <s v="Bi-Weekly"/>
    <n v="0.1"/>
    <n v="81.900000000000006"/>
    <n v="91"/>
    <s v="Venmo"/>
    <s v="Normal"/>
    <s v="Good"/>
  </r>
  <r>
    <n v="1348"/>
    <n v="44"/>
    <x v="0"/>
    <x v="1"/>
    <x v="0"/>
    <n v="95"/>
    <x v="34"/>
    <x v="2"/>
    <s v="Cyan"/>
    <x v="2"/>
    <n v="3.9"/>
    <s v="No"/>
    <x v="4"/>
    <s v="Yes"/>
    <n v="47"/>
    <x v="4"/>
    <s v="Monthly"/>
    <n v="0.1"/>
    <n v="85.5"/>
    <n v="95"/>
    <s v="Bank Transfer"/>
    <s v="Normal"/>
    <s v="Good"/>
  </r>
  <r>
    <n v="1349"/>
    <n v="19"/>
    <x v="0"/>
    <x v="22"/>
    <x v="3"/>
    <n v="54"/>
    <x v="43"/>
    <x v="3"/>
    <s v="Purple"/>
    <x v="1"/>
    <n v="3.2"/>
    <s v="No"/>
    <x v="3"/>
    <s v="Yes"/>
    <n v="23"/>
    <x v="2"/>
    <s v="Fortnightly"/>
    <n v="0.1"/>
    <n v="48.6"/>
    <n v="54"/>
    <s v="Credit Card"/>
    <s v="Normal"/>
    <s v="Good"/>
  </r>
  <r>
    <n v="1350"/>
    <n v="21"/>
    <x v="0"/>
    <x v="20"/>
    <x v="0"/>
    <n v="36"/>
    <x v="36"/>
    <x v="3"/>
    <s v="Black"/>
    <x v="1"/>
    <n v="3.2"/>
    <s v="No"/>
    <x v="2"/>
    <s v="Yes"/>
    <n v="23"/>
    <x v="1"/>
    <s v="Bi-Weekly"/>
    <n v="0.1"/>
    <n v="32.4"/>
    <n v="36"/>
    <s v="Cash"/>
    <s v="Normal"/>
    <s v="Good"/>
  </r>
  <r>
    <n v="1351"/>
    <n v="31"/>
    <x v="0"/>
    <x v="12"/>
    <x v="3"/>
    <n v="71"/>
    <x v="12"/>
    <x v="2"/>
    <s v="Orange"/>
    <x v="3"/>
    <n v="4.3"/>
    <s v="No"/>
    <x v="2"/>
    <s v="Yes"/>
    <n v="1"/>
    <x v="1"/>
    <s v="Every 3 Months"/>
    <n v="0.1"/>
    <n v="63.9"/>
    <n v="71"/>
    <s v="Cash"/>
    <s v="Normal"/>
    <s v="Good"/>
  </r>
  <r>
    <n v="1352"/>
    <n v="30"/>
    <x v="0"/>
    <x v="7"/>
    <x v="2"/>
    <n v="31"/>
    <x v="34"/>
    <x v="0"/>
    <s v="Maroon"/>
    <x v="2"/>
    <n v="2.8"/>
    <s v="No"/>
    <x v="4"/>
    <s v="Yes"/>
    <n v="28"/>
    <x v="4"/>
    <s v="Quarterly"/>
    <n v="0.1"/>
    <n v="27.9"/>
    <n v="31"/>
    <s v="Bank Transfer"/>
    <s v="Normal"/>
    <s v="Poor"/>
  </r>
  <r>
    <n v="1353"/>
    <n v="65"/>
    <x v="0"/>
    <x v="19"/>
    <x v="3"/>
    <n v="89"/>
    <x v="27"/>
    <x v="3"/>
    <s v="Orange"/>
    <x v="1"/>
    <n v="4.5"/>
    <s v="No"/>
    <x v="2"/>
    <s v="Yes"/>
    <n v="37"/>
    <x v="2"/>
    <s v="Bi-Weekly"/>
    <n v="0.1"/>
    <n v="80.099999999999994"/>
    <n v="89"/>
    <s v="Credit Card"/>
    <s v="Normal"/>
    <s v="Good"/>
  </r>
  <r>
    <n v="1354"/>
    <n v="39"/>
    <x v="0"/>
    <x v="13"/>
    <x v="0"/>
    <n v="83"/>
    <x v="4"/>
    <x v="2"/>
    <s v="Teal"/>
    <x v="0"/>
    <n v="4.0999999999999996"/>
    <s v="No"/>
    <x v="2"/>
    <s v="Yes"/>
    <n v="4"/>
    <x v="1"/>
    <s v="Every 3 Months"/>
    <n v="0.1"/>
    <n v="74.7"/>
    <n v="83"/>
    <s v="Cash"/>
    <s v="Normal"/>
    <s v="Good"/>
  </r>
  <r>
    <n v="1355"/>
    <n v="64"/>
    <x v="0"/>
    <x v="21"/>
    <x v="3"/>
    <n v="42"/>
    <x v="33"/>
    <x v="2"/>
    <s v="Gray"/>
    <x v="1"/>
    <n v="3.6"/>
    <s v="No"/>
    <x v="4"/>
    <s v="Yes"/>
    <n v="21"/>
    <x v="4"/>
    <s v="Quarterly"/>
    <n v="0.1"/>
    <n v="37.799999999999997"/>
    <n v="42"/>
    <s v="Bank Transfer"/>
    <s v="Normal"/>
    <s v="Good"/>
  </r>
  <r>
    <n v="1356"/>
    <n v="59"/>
    <x v="0"/>
    <x v="6"/>
    <x v="0"/>
    <n v="91"/>
    <x v="20"/>
    <x v="2"/>
    <s v="Blue"/>
    <x v="2"/>
    <n v="3"/>
    <s v="No"/>
    <x v="4"/>
    <s v="Yes"/>
    <n v="50"/>
    <x v="3"/>
    <s v="Bi-Weekly"/>
    <n v="0.1"/>
    <n v="81.900000000000006"/>
    <n v="91"/>
    <s v="PayPal"/>
    <s v="Normal"/>
    <s v="Good"/>
  </r>
  <r>
    <n v="1357"/>
    <n v="49"/>
    <x v="0"/>
    <x v="14"/>
    <x v="2"/>
    <n v="61"/>
    <x v="27"/>
    <x v="2"/>
    <s v="Cyan"/>
    <x v="1"/>
    <n v="4"/>
    <s v="No"/>
    <x v="1"/>
    <s v="Yes"/>
    <n v="34"/>
    <x v="4"/>
    <s v="Annually"/>
    <n v="0.1"/>
    <n v="54.9"/>
    <n v="61"/>
    <s v="Bank Transfer"/>
    <s v="Normal"/>
    <s v="Good"/>
  </r>
  <r>
    <n v="1358"/>
    <n v="24"/>
    <x v="0"/>
    <x v="21"/>
    <x v="3"/>
    <n v="66"/>
    <x v="21"/>
    <x v="1"/>
    <s v="Red"/>
    <x v="2"/>
    <n v="3.5"/>
    <s v="No"/>
    <x v="2"/>
    <s v="Yes"/>
    <n v="20"/>
    <x v="1"/>
    <s v="Quarterly"/>
    <n v="0.1"/>
    <n v="59.4"/>
    <n v="66"/>
    <s v="Cash"/>
    <s v="Normal"/>
    <s v="Good"/>
  </r>
  <r>
    <n v="1359"/>
    <n v="19"/>
    <x v="0"/>
    <x v="18"/>
    <x v="3"/>
    <n v="22"/>
    <x v="43"/>
    <x v="3"/>
    <s v="Pink"/>
    <x v="1"/>
    <n v="2.5"/>
    <s v="No"/>
    <x v="5"/>
    <s v="Yes"/>
    <n v="25"/>
    <x v="0"/>
    <s v="Every 3 Months"/>
    <n v="0.1"/>
    <n v="19.8"/>
    <n v="22"/>
    <s v="Venmo"/>
    <s v="Normal"/>
    <s v="Poor"/>
  </r>
  <r>
    <n v="1360"/>
    <n v="27"/>
    <x v="0"/>
    <x v="15"/>
    <x v="0"/>
    <n v="68"/>
    <x v="17"/>
    <x v="1"/>
    <s v="Cyan"/>
    <x v="0"/>
    <n v="4.3"/>
    <s v="No"/>
    <x v="5"/>
    <s v="Yes"/>
    <n v="26"/>
    <x v="4"/>
    <s v="Fortnightly"/>
    <n v="0.1"/>
    <n v="61.2"/>
    <n v="68"/>
    <s v="Bank Transfer"/>
    <s v="Normal"/>
    <s v="Good"/>
  </r>
  <r>
    <n v="1361"/>
    <n v="56"/>
    <x v="0"/>
    <x v="11"/>
    <x v="0"/>
    <n v="43"/>
    <x v="15"/>
    <x v="0"/>
    <s v="Black"/>
    <x v="3"/>
    <n v="2.8"/>
    <s v="No"/>
    <x v="0"/>
    <s v="Yes"/>
    <n v="4"/>
    <x v="4"/>
    <s v="Annually"/>
    <n v="0.1"/>
    <n v="38.700000000000003"/>
    <n v="43"/>
    <s v="Bank Transfer"/>
    <s v="Normal"/>
    <s v="Poor"/>
  </r>
  <r>
    <n v="1362"/>
    <n v="49"/>
    <x v="0"/>
    <x v="10"/>
    <x v="0"/>
    <n v="32"/>
    <x v="15"/>
    <x v="2"/>
    <s v="Beige"/>
    <x v="3"/>
    <n v="3.7"/>
    <s v="No"/>
    <x v="2"/>
    <s v="Yes"/>
    <n v="39"/>
    <x v="5"/>
    <s v="Monthly"/>
    <n v="0.1"/>
    <n v="28.8"/>
    <n v="32"/>
    <s v="Debit Card"/>
    <s v="Normal"/>
    <s v="Good"/>
  </r>
  <r>
    <n v="1363"/>
    <n v="41"/>
    <x v="0"/>
    <x v="7"/>
    <x v="2"/>
    <n v="46"/>
    <x v="24"/>
    <x v="2"/>
    <s v="Gray"/>
    <x v="3"/>
    <n v="4.3"/>
    <s v="No"/>
    <x v="0"/>
    <s v="Yes"/>
    <n v="29"/>
    <x v="1"/>
    <s v="Weekly"/>
    <n v="0.1"/>
    <n v="41.4"/>
    <n v="46"/>
    <s v="Cash"/>
    <s v="Normal"/>
    <s v="Good"/>
  </r>
  <r>
    <n v="1364"/>
    <n v="36"/>
    <x v="0"/>
    <x v="0"/>
    <x v="0"/>
    <n v="90"/>
    <x v="48"/>
    <x v="0"/>
    <s v="Red"/>
    <x v="2"/>
    <n v="4"/>
    <s v="No"/>
    <x v="0"/>
    <s v="Yes"/>
    <n v="47"/>
    <x v="3"/>
    <s v="Quarterly"/>
    <n v="0.1"/>
    <n v="81"/>
    <n v="90"/>
    <s v="PayPal"/>
    <s v="Normal"/>
    <s v="Good"/>
  </r>
  <r>
    <n v="1365"/>
    <n v="68"/>
    <x v="0"/>
    <x v="19"/>
    <x v="3"/>
    <n v="75"/>
    <x v="12"/>
    <x v="0"/>
    <s v="Yellow"/>
    <x v="3"/>
    <n v="4.7"/>
    <s v="No"/>
    <x v="0"/>
    <s v="Yes"/>
    <n v="5"/>
    <x v="1"/>
    <s v="Every 3 Months"/>
    <n v="0.1"/>
    <n v="67.5"/>
    <n v="75"/>
    <s v="Cash"/>
    <s v="Normal"/>
    <s v="Good"/>
  </r>
  <r>
    <n v="1366"/>
    <n v="28"/>
    <x v="0"/>
    <x v="8"/>
    <x v="3"/>
    <n v="69"/>
    <x v="27"/>
    <x v="2"/>
    <s v="Magenta"/>
    <x v="0"/>
    <n v="4.5"/>
    <s v="No"/>
    <x v="5"/>
    <s v="Yes"/>
    <n v="18"/>
    <x v="4"/>
    <s v="Fortnightly"/>
    <n v="0.1"/>
    <n v="62.1"/>
    <n v="69"/>
    <s v="Bank Transfer"/>
    <s v="Normal"/>
    <s v="Good"/>
  </r>
  <r>
    <n v="1367"/>
    <n v="45"/>
    <x v="0"/>
    <x v="22"/>
    <x v="3"/>
    <n v="40"/>
    <x v="44"/>
    <x v="2"/>
    <s v="Magenta"/>
    <x v="3"/>
    <n v="3.1"/>
    <s v="No"/>
    <x v="1"/>
    <s v="Yes"/>
    <n v="10"/>
    <x v="2"/>
    <s v="Fortnightly"/>
    <n v="0.1"/>
    <n v="36"/>
    <n v="40"/>
    <s v="Credit Card"/>
    <s v="Normal"/>
    <s v="Good"/>
  </r>
  <r>
    <n v="1368"/>
    <n v="60"/>
    <x v="0"/>
    <x v="22"/>
    <x v="3"/>
    <n v="63"/>
    <x v="44"/>
    <x v="1"/>
    <s v="Black"/>
    <x v="3"/>
    <n v="3.8"/>
    <s v="No"/>
    <x v="0"/>
    <s v="Yes"/>
    <n v="25"/>
    <x v="1"/>
    <s v="Quarterly"/>
    <n v="0.1"/>
    <n v="56.7"/>
    <n v="63"/>
    <s v="Cash"/>
    <s v="Normal"/>
    <s v="Good"/>
  </r>
  <r>
    <n v="1369"/>
    <n v="21"/>
    <x v="0"/>
    <x v="5"/>
    <x v="0"/>
    <n v="36"/>
    <x v="48"/>
    <x v="0"/>
    <s v="Orange"/>
    <x v="2"/>
    <n v="4.9000000000000004"/>
    <s v="No"/>
    <x v="0"/>
    <s v="Yes"/>
    <n v="2"/>
    <x v="1"/>
    <s v="Weekly"/>
    <n v="0.1"/>
    <n v="32.4"/>
    <n v="36"/>
    <s v="Cash"/>
    <s v="Normal"/>
    <s v="Good"/>
  </r>
  <r>
    <n v="1370"/>
    <n v="32"/>
    <x v="0"/>
    <x v="9"/>
    <x v="1"/>
    <n v="75"/>
    <x v="44"/>
    <x v="2"/>
    <s v="Green"/>
    <x v="0"/>
    <n v="3.2"/>
    <s v="No"/>
    <x v="3"/>
    <s v="Yes"/>
    <n v="48"/>
    <x v="0"/>
    <s v="Fortnightly"/>
    <n v="0.1"/>
    <n v="67.5"/>
    <n v="75"/>
    <s v="Venmo"/>
    <s v="Normal"/>
    <s v="Good"/>
  </r>
  <r>
    <n v="1371"/>
    <n v="27"/>
    <x v="0"/>
    <x v="18"/>
    <x v="3"/>
    <n v="67"/>
    <x v="6"/>
    <x v="0"/>
    <s v="Peach"/>
    <x v="2"/>
    <n v="1"/>
    <s v="No"/>
    <x v="4"/>
    <s v="Yes"/>
    <n v="41"/>
    <x v="4"/>
    <s v="Every 3 Months"/>
    <n v="0.1"/>
    <n v="60.3"/>
    <n v="67"/>
    <s v="Bank Transfer"/>
    <s v="Normal"/>
    <s v="Poor"/>
  </r>
  <r>
    <n v="1372"/>
    <n v="40"/>
    <x v="0"/>
    <x v="13"/>
    <x v="0"/>
    <n v="64"/>
    <x v="16"/>
    <x v="2"/>
    <s v="Charcoal"/>
    <x v="1"/>
    <n v="2.8"/>
    <s v="No"/>
    <x v="5"/>
    <s v="Yes"/>
    <n v="42"/>
    <x v="2"/>
    <s v="Monthly"/>
    <n v="0.1"/>
    <n v="57.6"/>
    <n v="64"/>
    <s v="Credit Card"/>
    <s v="Normal"/>
    <s v="Poor"/>
  </r>
  <r>
    <n v="1373"/>
    <n v="64"/>
    <x v="0"/>
    <x v="0"/>
    <x v="0"/>
    <n v="61"/>
    <x v="49"/>
    <x v="2"/>
    <s v="Gray"/>
    <x v="3"/>
    <n v="4"/>
    <s v="No"/>
    <x v="4"/>
    <s v="Yes"/>
    <n v="44"/>
    <x v="3"/>
    <s v="Bi-Weekly"/>
    <n v="0.1"/>
    <n v="54.9"/>
    <n v="61"/>
    <s v="PayPal"/>
    <s v="Normal"/>
    <s v="Good"/>
  </r>
  <r>
    <n v="1374"/>
    <n v="18"/>
    <x v="0"/>
    <x v="24"/>
    <x v="3"/>
    <n v="40"/>
    <x v="41"/>
    <x v="0"/>
    <s v="Turquoise"/>
    <x v="0"/>
    <n v="2.6"/>
    <s v="No"/>
    <x v="5"/>
    <s v="Yes"/>
    <n v="6"/>
    <x v="1"/>
    <s v="Quarterly"/>
    <n v="0.1"/>
    <n v="36"/>
    <n v="40"/>
    <s v="Cash"/>
    <s v="Normal"/>
    <s v="Poor"/>
  </r>
  <r>
    <n v="1375"/>
    <n v="22"/>
    <x v="0"/>
    <x v="8"/>
    <x v="3"/>
    <n v="97"/>
    <x v="14"/>
    <x v="2"/>
    <s v="Red"/>
    <x v="3"/>
    <n v="2.7"/>
    <s v="No"/>
    <x v="1"/>
    <s v="Yes"/>
    <n v="5"/>
    <x v="4"/>
    <s v="Quarterly"/>
    <n v="0.1"/>
    <n v="87.3"/>
    <n v="97"/>
    <s v="Bank Transfer"/>
    <s v="Normal"/>
    <s v="Poor"/>
  </r>
  <r>
    <n v="1376"/>
    <n v="42"/>
    <x v="0"/>
    <x v="4"/>
    <x v="1"/>
    <n v="31"/>
    <x v="1"/>
    <x v="0"/>
    <s v="Brown"/>
    <x v="1"/>
    <n v="4.0999999999999996"/>
    <s v="No"/>
    <x v="4"/>
    <s v="Yes"/>
    <n v="8"/>
    <x v="2"/>
    <s v="Annually"/>
    <n v="0.1"/>
    <n v="27.9"/>
    <n v="31"/>
    <s v="Credit Card"/>
    <s v="Normal"/>
    <s v="Good"/>
  </r>
  <r>
    <n v="1377"/>
    <n v="57"/>
    <x v="0"/>
    <x v="3"/>
    <x v="1"/>
    <n v="65"/>
    <x v="32"/>
    <x v="0"/>
    <s v="Pink"/>
    <x v="1"/>
    <n v="5"/>
    <s v="No"/>
    <x v="1"/>
    <s v="Yes"/>
    <n v="24"/>
    <x v="3"/>
    <s v="Annually"/>
    <n v="0.1"/>
    <n v="58.5"/>
    <n v="65"/>
    <s v="PayPal"/>
    <s v="Normal"/>
    <s v="Good"/>
  </r>
  <r>
    <n v="1378"/>
    <n v="33"/>
    <x v="0"/>
    <x v="12"/>
    <x v="3"/>
    <n v="54"/>
    <x v="33"/>
    <x v="0"/>
    <s v="Olive"/>
    <x v="1"/>
    <n v="3"/>
    <s v="No"/>
    <x v="2"/>
    <s v="Yes"/>
    <n v="42"/>
    <x v="0"/>
    <s v="Monthly"/>
    <n v="0.1"/>
    <n v="48.6"/>
    <n v="54"/>
    <s v="Venmo"/>
    <s v="Normal"/>
    <s v="Good"/>
  </r>
  <r>
    <n v="1379"/>
    <n v="37"/>
    <x v="0"/>
    <x v="14"/>
    <x v="2"/>
    <n v="49"/>
    <x v="0"/>
    <x v="3"/>
    <s v="Lavender"/>
    <x v="3"/>
    <n v="3.6"/>
    <s v="No"/>
    <x v="1"/>
    <s v="Yes"/>
    <n v="24"/>
    <x v="0"/>
    <s v="Weekly"/>
    <n v="0.1"/>
    <n v="44.1"/>
    <n v="49"/>
    <s v="Venmo"/>
    <s v="Normal"/>
    <s v="Good"/>
  </r>
  <r>
    <n v="1380"/>
    <n v="21"/>
    <x v="0"/>
    <x v="17"/>
    <x v="0"/>
    <n v="64"/>
    <x v="46"/>
    <x v="0"/>
    <s v="Purple"/>
    <x v="3"/>
    <n v="2.8"/>
    <s v="No"/>
    <x v="4"/>
    <s v="Yes"/>
    <n v="38"/>
    <x v="0"/>
    <s v="Bi-Weekly"/>
    <n v="0.1"/>
    <n v="57.6"/>
    <n v="64"/>
    <s v="Venmo"/>
    <s v="Normal"/>
    <s v="Poor"/>
  </r>
  <r>
    <n v="1381"/>
    <n v="51"/>
    <x v="0"/>
    <x v="4"/>
    <x v="1"/>
    <n v="35"/>
    <x v="2"/>
    <x v="1"/>
    <s v="Beige"/>
    <x v="0"/>
    <n v="4.5999999999999996"/>
    <s v="No"/>
    <x v="3"/>
    <s v="Yes"/>
    <n v="41"/>
    <x v="1"/>
    <s v="Fortnightly"/>
    <n v="0.1"/>
    <n v="31.5"/>
    <n v="35"/>
    <s v="Cash"/>
    <s v="Normal"/>
    <s v="Good"/>
  </r>
  <r>
    <n v="1382"/>
    <n v="30"/>
    <x v="0"/>
    <x v="9"/>
    <x v="1"/>
    <n v="86"/>
    <x v="26"/>
    <x v="0"/>
    <s v="Green"/>
    <x v="0"/>
    <n v="2.9"/>
    <s v="No"/>
    <x v="3"/>
    <s v="Yes"/>
    <n v="48"/>
    <x v="0"/>
    <s v="Quarterly"/>
    <n v="0.1"/>
    <n v="77.400000000000006"/>
    <n v="86"/>
    <s v="Venmo"/>
    <s v="Normal"/>
    <s v="Poor"/>
  </r>
  <r>
    <n v="1383"/>
    <n v="68"/>
    <x v="0"/>
    <x v="14"/>
    <x v="2"/>
    <n v="55"/>
    <x v="49"/>
    <x v="0"/>
    <s v="Brown"/>
    <x v="0"/>
    <n v="4.8"/>
    <s v="No"/>
    <x v="0"/>
    <s v="Yes"/>
    <n v="16"/>
    <x v="4"/>
    <s v="Quarterly"/>
    <n v="0.1"/>
    <n v="49.5"/>
    <n v="55"/>
    <s v="Bank Transfer"/>
    <s v="Normal"/>
    <s v="Good"/>
  </r>
  <r>
    <n v="1384"/>
    <n v="36"/>
    <x v="0"/>
    <x v="18"/>
    <x v="3"/>
    <n v="58"/>
    <x v="48"/>
    <x v="2"/>
    <s v="Beige"/>
    <x v="1"/>
    <n v="3.3"/>
    <s v="No"/>
    <x v="0"/>
    <s v="Yes"/>
    <n v="4"/>
    <x v="0"/>
    <s v="Monthly"/>
    <n v="0.1"/>
    <n v="52.2"/>
    <n v="58"/>
    <s v="Venmo"/>
    <s v="Normal"/>
    <s v="Good"/>
  </r>
  <r>
    <n v="1385"/>
    <n v="46"/>
    <x v="0"/>
    <x v="4"/>
    <x v="1"/>
    <n v="96"/>
    <x v="29"/>
    <x v="2"/>
    <s v="Beige"/>
    <x v="3"/>
    <n v="4.5999999999999996"/>
    <s v="No"/>
    <x v="3"/>
    <s v="Yes"/>
    <n v="8"/>
    <x v="4"/>
    <s v="Weekly"/>
    <n v="0.1"/>
    <n v="86.4"/>
    <n v="96"/>
    <s v="Bank Transfer"/>
    <s v="Normal"/>
    <s v="Good"/>
  </r>
  <r>
    <n v="1386"/>
    <n v="41"/>
    <x v="0"/>
    <x v="16"/>
    <x v="3"/>
    <n v="64"/>
    <x v="16"/>
    <x v="2"/>
    <s v="Indigo"/>
    <x v="3"/>
    <n v="2.6"/>
    <s v="No"/>
    <x v="5"/>
    <s v="Yes"/>
    <n v="1"/>
    <x v="4"/>
    <s v="Bi-Weekly"/>
    <n v="0.1"/>
    <n v="57.6"/>
    <n v="64"/>
    <s v="Bank Transfer"/>
    <s v="Normal"/>
    <s v="Poor"/>
  </r>
  <r>
    <n v="1387"/>
    <n v="68"/>
    <x v="0"/>
    <x v="14"/>
    <x v="2"/>
    <n v="56"/>
    <x v="4"/>
    <x v="2"/>
    <s v="Silver"/>
    <x v="3"/>
    <n v="4"/>
    <s v="No"/>
    <x v="2"/>
    <s v="Yes"/>
    <n v="4"/>
    <x v="5"/>
    <s v="Quarterly"/>
    <n v="0.1"/>
    <n v="50.4"/>
    <n v="56"/>
    <s v="Debit Card"/>
    <s v="Normal"/>
    <s v="Good"/>
  </r>
  <r>
    <n v="1388"/>
    <n v="21"/>
    <x v="0"/>
    <x v="0"/>
    <x v="0"/>
    <n v="85"/>
    <x v="33"/>
    <x v="2"/>
    <s v="Gold"/>
    <x v="0"/>
    <n v="3.8"/>
    <s v="No"/>
    <x v="3"/>
    <s v="Yes"/>
    <n v="20"/>
    <x v="2"/>
    <s v="Monthly"/>
    <n v="0.1"/>
    <n v="76.5"/>
    <n v="85"/>
    <s v="Credit Card"/>
    <s v="Normal"/>
    <s v="Good"/>
  </r>
  <r>
    <n v="1389"/>
    <n v="62"/>
    <x v="0"/>
    <x v="10"/>
    <x v="0"/>
    <n v="23"/>
    <x v="10"/>
    <x v="2"/>
    <s v="Lavender"/>
    <x v="1"/>
    <n v="3.9"/>
    <s v="No"/>
    <x v="0"/>
    <s v="Yes"/>
    <n v="40"/>
    <x v="1"/>
    <s v="Quarterly"/>
    <n v="0.1"/>
    <n v="20.7"/>
    <n v="23"/>
    <s v="Cash"/>
    <s v="Normal"/>
    <s v="Good"/>
  </r>
  <r>
    <n v="1390"/>
    <n v="59"/>
    <x v="0"/>
    <x v="18"/>
    <x v="3"/>
    <n v="72"/>
    <x v="26"/>
    <x v="0"/>
    <s v="Orange"/>
    <x v="3"/>
    <n v="2.6"/>
    <s v="No"/>
    <x v="5"/>
    <s v="Yes"/>
    <n v="8"/>
    <x v="5"/>
    <s v="Fortnightly"/>
    <n v="0.1"/>
    <n v="64.8"/>
    <n v="72"/>
    <s v="Debit Card"/>
    <s v="Normal"/>
    <s v="Poor"/>
  </r>
  <r>
    <n v="1391"/>
    <n v="25"/>
    <x v="0"/>
    <x v="19"/>
    <x v="3"/>
    <n v="38"/>
    <x v="10"/>
    <x v="2"/>
    <s v="Maroon"/>
    <x v="2"/>
    <n v="4.3"/>
    <s v="No"/>
    <x v="3"/>
    <s v="Yes"/>
    <n v="42"/>
    <x v="5"/>
    <s v="Weekly"/>
    <n v="0.1"/>
    <n v="34.200000000000003"/>
    <n v="38"/>
    <s v="Debit Card"/>
    <s v="Normal"/>
    <s v="Good"/>
  </r>
  <r>
    <n v="1392"/>
    <n v="53"/>
    <x v="0"/>
    <x v="0"/>
    <x v="0"/>
    <n v="29"/>
    <x v="16"/>
    <x v="1"/>
    <s v="White"/>
    <x v="0"/>
    <n v="3.6"/>
    <s v="No"/>
    <x v="0"/>
    <s v="Yes"/>
    <n v="38"/>
    <x v="2"/>
    <s v="Annually"/>
    <n v="0.1"/>
    <n v="26.1"/>
    <n v="29"/>
    <s v="Credit Card"/>
    <s v="Normal"/>
    <s v="Good"/>
  </r>
  <r>
    <n v="1393"/>
    <n v="31"/>
    <x v="0"/>
    <x v="24"/>
    <x v="3"/>
    <n v="46"/>
    <x v="10"/>
    <x v="2"/>
    <s v="Yellow"/>
    <x v="1"/>
    <n v="4.2"/>
    <s v="No"/>
    <x v="0"/>
    <s v="Yes"/>
    <n v="34"/>
    <x v="0"/>
    <s v="Every 3 Months"/>
    <n v="0.1"/>
    <n v="41.4"/>
    <n v="46"/>
    <s v="Venmo"/>
    <s v="Normal"/>
    <s v="Good"/>
  </r>
  <r>
    <n v="1394"/>
    <n v="46"/>
    <x v="0"/>
    <x v="24"/>
    <x v="3"/>
    <n v="58"/>
    <x v="37"/>
    <x v="0"/>
    <s v="Yellow"/>
    <x v="1"/>
    <n v="3.9"/>
    <s v="No"/>
    <x v="0"/>
    <s v="Yes"/>
    <n v="14"/>
    <x v="3"/>
    <s v="Fortnightly"/>
    <n v="0.1"/>
    <n v="52.2"/>
    <n v="58"/>
    <s v="PayPal"/>
    <s v="Normal"/>
    <s v="Good"/>
  </r>
  <r>
    <n v="1395"/>
    <n v="26"/>
    <x v="0"/>
    <x v="7"/>
    <x v="2"/>
    <n v="43"/>
    <x v="44"/>
    <x v="0"/>
    <s v="Magenta"/>
    <x v="3"/>
    <n v="4.7"/>
    <s v="No"/>
    <x v="2"/>
    <s v="Yes"/>
    <n v="39"/>
    <x v="1"/>
    <s v="Weekly"/>
    <n v="0.1"/>
    <n v="38.700000000000003"/>
    <n v="43"/>
    <s v="Cash"/>
    <s v="Normal"/>
    <s v="Good"/>
  </r>
  <r>
    <n v="1396"/>
    <n v="47"/>
    <x v="0"/>
    <x v="18"/>
    <x v="3"/>
    <n v="32"/>
    <x v="8"/>
    <x v="0"/>
    <s v="Turquoise"/>
    <x v="1"/>
    <n v="2.8"/>
    <s v="No"/>
    <x v="2"/>
    <s v="Yes"/>
    <n v="40"/>
    <x v="3"/>
    <s v="Bi-Weekly"/>
    <n v="0.1"/>
    <n v="28.8"/>
    <n v="32"/>
    <s v="PayPal"/>
    <s v="Normal"/>
    <s v="Poor"/>
  </r>
  <r>
    <n v="1397"/>
    <n v="37"/>
    <x v="0"/>
    <x v="13"/>
    <x v="0"/>
    <n v="30"/>
    <x v="48"/>
    <x v="3"/>
    <s v="Lavender"/>
    <x v="0"/>
    <n v="3"/>
    <s v="No"/>
    <x v="2"/>
    <s v="Yes"/>
    <n v="49"/>
    <x v="5"/>
    <s v="Monthly"/>
    <n v="0.1"/>
    <n v="27"/>
    <n v="30"/>
    <s v="Debit Card"/>
    <s v="Normal"/>
    <s v="Good"/>
  </r>
  <r>
    <n v="1398"/>
    <n v="55"/>
    <x v="0"/>
    <x v="12"/>
    <x v="3"/>
    <n v="67"/>
    <x v="2"/>
    <x v="1"/>
    <s v="Magenta"/>
    <x v="2"/>
    <n v="4.7"/>
    <s v="No"/>
    <x v="5"/>
    <s v="Yes"/>
    <n v="33"/>
    <x v="3"/>
    <s v="Annually"/>
    <n v="0.1"/>
    <n v="60.3"/>
    <n v="67"/>
    <s v="PayPal"/>
    <s v="Normal"/>
    <s v="Good"/>
  </r>
  <r>
    <n v="1399"/>
    <n v="30"/>
    <x v="0"/>
    <x v="10"/>
    <x v="0"/>
    <n v="45"/>
    <x v="21"/>
    <x v="2"/>
    <s v="Cyan"/>
    <x v="2"/>
    <n v="2.5"/>
    <s v="No"/>
    <x v="1"/>
    <s v="Yes"/>
    <n v="25"/>
    <x v="2"/>
    <s v="Weekly"/>
    <n v="0.1"/>
    <n v="40.5"/>
    <n v="45"/>
    <s v="Credit Card"/>
    <s v="Normal"/>
    <s v="Poor"/>
  </r>
  <r>
    <n v="1400"/>
    <n v="19"/>
    <x v="0"/>
    <x v="19"/>
    <x v="3"/>
    <n v="81"/>
    <x v="43"/>
    <x v="2"/>
    <s v="Olive"/>
    <x v="0"/>
    <n v="3.1"/>
    <s v="No"/>
    <x v="5"/>
    <s v="Yes"/>
    <n v="48"/>
    <x v="0"/>
    <s v="Annually"/>
    <n v="0.1"/>
    <n v="72.900000000000006"/>
    <n v="81"/>
    <s v="Venmo"/>
    <s v="Normal"/>
    <s v="Good"/>
  </r>
  <r>
    <n v="1401"/>
    <n v="36"/>
    <x v="0"/>
    <x v="21"/>
    <x v="3"/>
    <n v="23"/>
    <x v="22"/>
    <x v="2"/>
    <s v="Red"/>
    <x v="3"/>
    <n v="3.6"/>
    <s v="No"/>
    <x v="2"/>
    <s v="Yes"/>
    <n v="22"/>
    <x v="2"/>
    <s v="Every 3 Months"/>
    <n v="0.1"/>
    <n v="20.7"/>
    <n v="23"/>
    <s v="Credit Card"/>
    <s v="Normal"/>
    <s v="Good"/>
  </r>
  <r>
    <n v="1402"/>
    <n v="23"/>
    <x v="0"/>
    <x v="3"/>
    <x v="1"/>
    <n v="59"/>
    <x v="27"/>
    <x v="2"/>
    <s v="Blue"/>
    <x v="3"/>
    <n v="3.5"/>
    <s v="No"/>
    <x v="4"/>
    <s v="Yes"/>
    <n v="1"/>
    <x v="3"/>
    <s v="Weekly"/>
    <n v="0.1"/>
    <n v="53.1"/>
    <n v="59"/>
    <s v="PayPal"/>
    <s v="Normal"/>
    <s v="Good"/>
  </r>
  <r>
    <n v="1403"/>
    <n v="62"/>
    <x v="0"/>
    <x v="12"/>
    <x v="3"/>
    <n v="21"/>
    <x v="25"/>
    <x v="0"/>
    <s v="White"/>
    <x v="2"/>
    <n v="3.1"/>
    <s v="No"/>
    <x v="0"/>
    <s v="Yes"/>
    <n v="47"/>
    <x v="3"/>
    <s v="Monthly"/>
    <n v="0.1"/>
    <n v="18.899999999999999"/>
    <n v="21"/>
    <s v="PayPal"/>
    <s v="Normal"/>
    <s v="Good"/>
  </r>
  <r>
    <n v="1404"/>
    <n v="26"/>
    <x v="0"/>
    <x v="21"/>
    <x v="3"/>
    <n v="20"/>
    <x v="42"/>
    <x v="2"/>
    <s v="Peach"/>
    <x v="1"/>
    <n v="3.6"/>
    <s v="No"/>
    <x v="5"/>
    <s v="Yes"/>
    <n v="20"/>
    <x v="2"/>
    <s v="Bi-Weekly"/>
    <n v="0.1"/>
    <n v="18"/>
    <n v="20"/>
    <s v="Credit Card"/>
    <s v="Normal"/>
    <s v="Good"/>
  </r>
  <r>
    <n v="1405"/>
    <n v="36"/>
    <x v="0"/>
    <x v="16"/>
    <x v="3"/>
    <n v="28"/>
    <x v="35"/>
    <x v="2"/>
    <s v="Charcoal"/>
    <x v="0"/>
    <n v="3.5"/>
    <s v="No"/>
    <x v="2"/>
    <s v="Yes"/>
    <n v="10"/>
    <x v="5"/>
    <s v="Weekly"/>
    <n v="0.1"/>
    <n v="25.2"/>
    <n v="28"/>
    <s v="Debit Card"/>
    <s v="Normal"/>
    <s v="Good"/>
  </r>
  <r>
    <n v="1406"/>
    <n v="33"/>
    <x v="0"/>
    <x v="20"/>
    <x v="0"/>
    <n v="100"/>
    <x v="13"/>
    <x v="2"/>
    <s v="Peach"/>
    <x v="0"/>
    <n v="2.7"/>
    <s v="No"/>
    <x v="5"/>
    <s v="Yes"/>
    <n v="39"/>
    <x v="2"/>
    <s v="Monthly"/>
    <n v="0.1"/>
    <n v="90"/>
    <n v="100"/>
    <s v="Credit Card"/>
    <s v="Normal"/>
    <s v="Poor"/>
  </r>
  <r>
    <n v="1407"/>
    <n v="32"/>
    <x v="0"/>
    <x v="5"/>
    <x v="0"/>
    <n v="46"/>
    <x v="47"/>
    <x v="0"/>
    <s v="Turquoise"/>
    <x v="1"/>
    <n v="3.6"/>
    <s v="No"/>
    <x v="0"/>
    <s v="Yes"/>
    <n v="15"/>
    <x v="5"/>
    <s v="Monthly"/>
    <n v="0.1"/>
    <n v="41.4"/>
    <n v="46"/>
    <s v="Debit Card"/>
    <s v="Normal"/>
    <s v="Good"/>
  </r>
  <r>
    <n v="1408"/>
    <n v="56"/>
    <x v="0"/>
    <x v="8"/>
    <x v="3"/>
    <n v="61"/>
    <x v="22"/>
    <x v="3"/>
    <s v="Charcoal"/>
    <x v="1"/>
    <n v="4.5"/>
    <s v="No"/>
    <x v="0"/>
    <s v="Yes"/>
    <n v="11"/>
    <x v="2"/>
    <s v="Annually"/>
    <n v="0.1"/>
    <n v="54.9"/>
    <n v="61"/>
    <s v="Credit Card"/>
    <s v="Normal"/>
    <s v="Good"/>
  </r>
  <r>
    <n v="1409"/>
    <n v="58"/>
    <x v="0"/>
    <x v="0"/>
    <x v="0"/>
    <n v="58"/>
    <x v="1"/>
    <x v="2"/>
    <s v="Yellow"/>
    <x v="0"/>
    <n v="4.0999999999999996"/>
    <s v="No"/>
    <x v="1"/>
    <s v="Yes"/>
    <n v="38"/>
    <x v="0"/>
    <s v="Weekly"/>
    <n v="0.1"/>
    <n v="52.2"/>
    <n v="58"/>
    <s v="Venmo"/>
    <s v="Normal"/>
    <s v="Good"/>
  </r>
  <r>
    <n v="1410"/>
    <n v="34"/>
    <x v="0"/>
    <x v="21"/>
    <x v="3"/>
    <n v="50"/>
    <x v="37"/>
    <x v="2"/>
    <s v="Blue"/>
    <x v="1"/>
    <n v="4.2"/>
    <s v="No"/>
    <x v="3"/>
    <s v="Yes"/>
    <n v="41"/>
    <x v="1"/>
    <s v="Fortnightly"/>
    <n v="0.1"/>
    <n v="45"/>
    <n v="50"/>
    <s v="Cash"/>
    <s v="Normal"/>
    <s v="Good"/>
  </r>
  <r>
    <n v="1411"/>
    <n v="61"/>
    <x v="0"/>
    <x v="19"/>
    <x v="3"/>
    <n v="93"/>
    <x v="30"/>
    <x v="2"/>
    <s v="Purple"/>
    <x v="2"/>
    <n v="4"/>
    <s v="No"/>
    <x v="5"/>
    <s v="Yes"/>
    <n v="18"/>
    <x v="5"/>
    <s v="Annually"/>
    <n v="0.1"/>
    <n v="83.7"/>
    <n v="93"/>
    <s v="Debit Card"/>
    <s v="Normal"/>
    <s v="Good"/>
  </r>
  <r>
    <n v="1412"/>
    <n v="48"/>
    <x v="0"/>
    <x v="11"/>
    <x v="0"/>
    <n v="24"/>
    <x v="7"/>
    <x v="0"/>
    <s v="Green"/>
    <x v="2"/>
    <n v="2.8"/>
    <s v="No"/>
    <x v="5"/>
    <s v="Yes"/>
    <n v="13"/>
    <x v="0"/>
    <s v="Quarterly"/>
    <n v="0.1"/>
    <n v="21.6"/>
    <n v="24"/>
    <s v="Venmo"/>
    <s v="Normal"/>
    <s v="Poor"/>
  </r>
  <r>
    <n v="1413"/>
    <n v="25"/>
    <x v="0"/>
    <x v="6"/>
    <x v="0"/>
    <n v="100"/>
    <x v="49"/>
    <x v="2"/>
    <s v="Charcoal"/>
    <x v="2"/>
    <n v="2.6"/>
    <s v="No"/>
    <x v="4"/>
    <s v="Yes"/>
    <n v="43"/>
    <x v="0"/>
    <s v="Annually"/>
    <n v="0.1"/>
    <n v="90"/>
    <n v="100"/>
    <s v="Venmo"/>
    <s v="Normal"/>
    <s v="Poor"/>
  </r>
  <r>
    <n v="1414"/>
    <n v="51"/>
    <x v="0"/>
    <x v="0"/>
    <x v="0"/>
    <n v="79"/>
    <x v="13"/>
    <x v="1"/>
    <s v="Indigo"/>
    <x v="3"/>
    <n v="2.7"/>
    <s v="No"/>
    <x v="5"/>
    <s v="Yes"/>
    <n v="12"/>
    <x v="4"/>
    <s v="Quarterly"/>
    <n v="0.1"/>
    <n v="71.099999999999994"/>
    <n v="79"/>
    <s v="Bank Transfer"/>
    <s v="Normal"/>
    <s v="Poor"/>
  </r>
  <r>
    <n v="1415"/>
    <n v="29"/>
    <x v="0"/>
    <x v="20"/>
    <x v="0"/>
    <n v="51"/>
    <x v="46"/>
    <x v="2"/>
    <s v="Black"/>
    <x v="2"/>
    <n v="4.5"/>
    <s v="No"/>
    <x v="5"/>
    <s v="Yes"/>
    <n v="3"/>
    <x v="2"/>
    <s v="Bi-Weekly"/>
    <n v="0.1"/>
    <n v="45.9"/>
    <n v="51"/>
    <s v="Credit Card"/>
    <s v="Normal"/>
    <s v="Good"/>
  </r>
  <r>
    <n v="1416"/>
    <n v="54"/>
    <x v="0"/>
    <x v="22"/>
    <x v="3"/>
    <n v="90"/>
    <x v="26"/>
    <x v="2"/>
    <s v="Blue"/>
    <x v="0"/>
    <n v="3.7"/>
    <s v="No"/>
    <x v="1"/>
    <s v="Yes"/>
    <n v="12"/>
    <x v="2"/>
    <s v="Every 3 Months"/>
    <n v="0.1"/>
    <n v="81"/>
    <n v="90"/>
    <s v="Credit Card"/>
    <s v="Normal"/>
    <s v="Good"/>
  </r>
  <r>
    <n v="1417"/>
    <n v="48"/>
    <x v="0"/>
    <x v="23"/>
    <x v="1"/>
    <n v="56"/>
    <x v="37"/>
    <x v="0"/>
    <s v="Silver"/>
    <x v="2"/>
    <n v="3.4"/>
    <s v="No"/>
    <x v="1"/>
    <s v="Yes"/>
    <n v="46"/>
    <x v="1"/>
    <s v="Quarterly"/>
    <n v="0.1"/>
    <n v="50.4"/>
    <n v="56"/>
    <s v="Cash"/>
    <s v="Normal"/>
    <s v="Good"/>
  </r>
  <r>
    <n v="1418"/>
    <n v="62"/>
    <x v="0"/>
    <x v="6"/>
    <x v="0"/>
    <n v="25"/>
    <x v="6"/>
    <x v="1"/>
    <s v="Brown"/>
    <x v="1"/>
    <n v="4.5999999999999996"/>
    <s v="No"/>
    <x v="3"/>
    <s v="Yes"/>
    <n v="21"/>
    <x v="5"/>
    <s v="Fortnightly"/>
    <n v="0.1"/>
    <n v="22.5"/>
    <n v="25"/>
    <s v="Debit Card"/>
    <s v="Normal"/>
    <s v="Good"/>
  </r>
  <r>
    <n v="1419"/>
    <n v="18"/>
    <x v="0"/>
    <x v="5"/>
    <x v="0"/>
    <n v="75"/>
    <x v="15"/>
    <x v="2"/>
    <s v="Violet"/>
    <x v="2"/>
    <n v="4.0999999999999996"/>
    <s v="No"/>
    <x v="4"/>
    <s v="Yes"/>
    <n v="23"/>
    <x v="0"/>
    <s v="Every 3 Months"/>
    <n v="0.1"/>
    <n v="67.5"/>
    <n v="75"/>
    <s v="Venmo"/>
    <s v="Normal"/>
    <s v="Good"/>
  </r>
  <r>
    <n v="1420"/>
    <n v="43"/>
    <x v="0"/>
    <x v="8"/>
    <x v="3"/>
    <n v="75"/>
    <x v="6"/>
    <x v="2"/>
    <s v="Orange"/>
    <x v="2"/>
    <n v="2.6"/>
    <s v="No"/>
    <x v="1"/>
    <s v="Yes"/>
    <n v="4"/>
    <x v="5"/>
    <s v="Quarterly"/>
    <n v="0.1"/>
    <n v="67.5"/>
    <n v="75"/>
    <s v="Debit Card"/>
    <s v="Normal"/>
    <s v="Poor"/>
  </r>
  <r>
    <n v="1421"/>
    <n v="22"/>
    <x v="0"/>
    <x v="2"/>
    <x v="0"/>
    <n v="53"/>
    <x v="18"/>
    <x v="3"/>
    <s v="Gray"/>
    <x v="2"/>
    <n v="4.5999999999999996"/>
    <s v="No"/>
    <x v="5"/>
    <s v="Yes"/>
    <n v="45"/>
    <x v="3"/>
    <s v="Every 3 Months"/>
    <n v="0.1"/>
    <n v="47.7"/>
    <n v="53"/>
    <s v="PayPal"/>
    <s v="Normal"/>
    <s v="Good"/>
  </r>
  <r>
    <n v="1422"/>
    <n v="68"/>
    <x v="0"/>
    <x v="10"/>
    <x v="0"/>
    <n v="100"/>
    <x v="38"/>
    <x v="1"/>
    <s v="Gold"/>
    <x v="1"/>
    <n v="3"/>
    <s v="No"/>
    <x v="3"/>
    <s v="Yes"/>
    <n v="24"/>
    <x v="4"/>
    <s v="Fortnightly"/>
    <n v="0.1"/>
    <n v="90"/>
    <n v="100"/>
    <s v="Bank Transfer"/>
    <s v="Normal"/>
    <s v="Good"/>
  </r>
  <r>
    <n v="1423"/>
    <n v="44"/>
    <x v="0"/>
    <x v="10"/>
    <x v="0"/>
    <n v="27"/>
    <x v="21"/>
    <x v="0"/>
    <s v="Charcoal"/>
    <x v="3"/>
    <n v="3.4"/>
    <s v="No"/>
    <x v="1"/>
    <s v="Yes"/>
    <n v="3"/>
    <x v="3"/>
    <s v="Bi-Weekly"/>
    <n v="0.1"/>
    <n v="24.3"/>
    <n v="27"/>
    <s v="PayPal"/>
    <s v="Normal"/>
    <s v="Good"/>
  </r>
  <r>
    <n v="1424"/>
    <n v="51"/>
    <x v="0"/>
    <x v="3"/>
    <x v="1"/>
    <n v="60"/>
    <x v="49"/>
    <x v="1"/>
    <s v="Black"/>
    <x v="3"/>
    <n v="3.5"/>
    <s v="No"/>
    <x v="1"/>
    <s v="Yes"/>
    <n v="12"/>
    <x v="0"/>
    <s v="Every 3 Months"/>
    <n v="0.1"/>
    <n v="54"/>
    <n v="60"/>
    <s v="Venmo"/>
    <s v="Normal"/>
    <s v="Good"/>
  </r>
  <r>
    <n v="1425"/>
    <n v="66"/>
    <x v="0"/>
    <x v="14"/>
    <x v="2"/>
    <n v="23"/>
    <x v="39"/>
    <x v="1"/>
    <s v="Indigo"/>
    <x v="3"/>
    <n v="3.5"/>
    <s v="No"/>
    <x v="3"/>
    <s v="Yes"/>
    <n v="34"/>
    <x v="4"/>
    <s v="Every 3 Months"/>
    <n v="0.1"/>
    <n v="20.7"/>
    <n v="23"/>
    <s v="Bank Transfer"/>
    <s v="Normal"/>
    <s v="Good"/>
  </r>
  <r>
    <n v="1426"/>
    <n v="59"/>
    <x v="0"/>
    <x v="7"/>
    <x v="2"/>
    <n v="40"/>
    <x v="5"/>
    <x v="1"/>
    <s v="White"/>
    <x v="0"/>
    <n v="3.7"/>
    <s v="No"/>
    <x v="2"/>
    <s v="Yes"/>
    <n v="39"/>
    <x v="2"/>
    <s v="Annually"/>
    <n v="0.1"/>
    <n v="36"/>
    <n v="40"/>
    <s v="Credit Card"/>
    <s v="Normal"/>
    <s v="Good"/>
  </r>
  <r>
    <n v="1427"/>
    <n v="60"/>
    <x v="0"/>
    <x v="13"/>
    <x v="0"/>
    <n v="38"/>
    <x v="49"/>
    <x v="2"/>
    <s v="Yellow"/>
    <x v="2"/>
    <n v="4.8"/>
    <s v="No"/>
    <x v="1"/>
    <s v="Yes"/>
    <n v="35"/>
    <x v="3"/>
    <s v="Every 3 Months"/>
    <n v="0.1"/>
    <n v="34.200000000000003"/>
    <n v="38"/>
    <s v="PayPal"/>
    <s v="Normal"/>
    <s v="Good"/>
  </r>
  <r>
    <n v="1428"/>
    <n v="31"/>
    <x v="0"/>
    <x v="21"/>
    <x v="3"/>
    <n v="90"/>
    <x v="45"/>
    <x v="1"/>
    <s v="Orange"/>
    <x v="2"/>
    <n v="4.9000000000000004"/>
    <s v="No"/>
    <x v="5"/>
    <s v="Yes"/>
    <n v="8"/>
    <x v="2"/>
    <s v="Annually"/>
    <n v="0.1"/>
    <n v="81"/>
    <n v="90"/>
    <s v="Credit Card"/>
    <s v="Normal"/>
    <s v="Good"/>
  </r>
  <r>
    <n v="1429"/>
    <n v="20"/>
    <x v="0"/>
    <x v="0"/>
    <x v="0"/>
    <n v="97"/>
    <x v="25"/>
    <x v="1"/>
    <s v="Green"/>
    <x v="2"/>
    <n v="4.9000000000000004"/>
    <s v="No"/>
    <x v="0"/>
    <s v="Yes"/>
    <n v="42"/>
    <x v="3"/>
    <s v="Quarterly"/>
    <n v="0.1"/>
    <n v="87.3"/>
    <n v="97"/>
    <s v="PayPal"/>
    <s v="Normal"/>
    <s v="Good"/>
  </r>
  <r>
    <n v="1430"/>
    <n v="24"/>
    <x v="0"/>
    <x v="11"/>
    <x v="0"/>
    <n v="38"/>
    <x v="33"/>
    <x v="0"/>
    <s v="Gold"/>
    <x v="3"/>
    <n v="4.7"/>
    <s v="No"/>
    <x v="3"/>
    <s v="Yes"/>
    <n v="6"/>
    <x v="2"/>
    <s v="Every 3 Months"/>
    <n v="0.1"/>
    <n v="34.200000000000003"/>
    <n v="38"/>
    <s v="Credit Card"/>
    <s v="Normal"/>
    <s v="Good"/>
  </r>
  <r>
    <n v="1431"/>
    <n v="48"/>
    <x v="0"/>
    <x v="3"/>
    <x v="1"/>
    <n v="30"/>
    <x v="49"/>
    <x v="1"/>
    <s v="Orange"/>
    <x v="2"/>
    <n v="4.9000000000000004"/>
    <s v="No"/>
    <x v="1"/>
    <s v="Yes"/>
    <n v="3"/>
    <x v="2"/>
    <s v="Fortnightly"/>
    <n v="0.1"/>
    <n v="27"/>
    <n v="30"/>
    <s v="Credit Card"/>
    <s v="Normal"/>
    <s v="Good"/>
  </r>
  <r>
    <n v="1432"/>
    <n v="39"/>
    <x v="0"/>
    <x v="13"/>
    <x v="0"/>
    <n v="88"/>
    <x v="45"/>
    <x v="2"/>
    <s v="Cyan"/>
    <x v="3"/>
    <n v="2.9"/>
    <s v="No"/>
    <x v="0"/>
    <s v="Yes"/>
    <n v="29"/>
    <x v="0"/>
    <s v="Quarterly"/>
    <n v="0.1"/>
    <n v="79.2"/>
    <n v="88"/>
    <s v="Venmo"/>
    <s v="Normal"/>
    <s v="Poor"/>
  </r>
  <r>
    <n v="1433"/>
    <n v="34"/>
    <x v="0"/>
    <x v="19"/>
    <x v="3"/>
    <n v="33"/>
    <x v="20"/>
    <x v="0"/>
    <s v="Black"/>
    <x v="0"/>
    <n v="4.4000000000000004"/>
    <s v="No"/>
    <x v="0"/>
    <s v="Yes"/>
    <n v="32"/>
    <x v="5"/>
    <s v="Quarterly"/>
    <n v="0.1"/>
    <n v="29.7"/>
    <n v="33"/>
    <s v="Debit Card"/>
    <s v="Normal"/>
    <s v="Good"/>
  </r>
  <r>
    <n v="1434"/>
    <n v="70"/>
    <x v="0"/>
    <x v="15"/>
    <x v="0"/>
    <n v="60"/>
    <x v="46"/>
    <x v="0"/>
    <s v="Yellow"/>
    <x v="0"/>
    <n v="3.2"/>
    <s v="No"/>
    <x v="2"/>
    <s v="Yes"/>
    <n v="45"/>
    <x v="5"/>
    <s v="Weekly"/>
    <n v="0.1"/>
    <n v="54"/>
    <n v="60"/>
    <s v="Debit Card"/>
    <s v="Normal"/>
    <s v="Good"/>
  </r>
  <r>
    <n v="1435"/>
    <n v="59"/>
    <x v="0"/>
    <x v="1"/>
    <x v="0"/>
    <n v="64"/>
    <x v="14"/>
    <x v="0"/>
    <s v="Maroon"/>
    <x v="2"/>
    <n v="4.5999999999999996"/>
    <s v="No"/>
    <x v="1"/>
    <s v="Yes"/>
    <n v="21"/>
    <x v="5"/>
    <s v="Bi-Weekly"/>
    <n v="0.1"/>
    <n v="57.6"/>
    <n v="64"/>
    <s v="Debit Card"/>
    <s v="Normal"/>
    <s v="Good"/>
  </r>
  <r>
    <n v="1436"/>
    <n v="45"/>
    <x v="0"/>
    <x v="18"/>
    <x v="3"/>
    <n v="95"/>
    <x v="4"/>
    <x v="3"/>
    <s v="Black"/>
    <x v="3"/>
    <n v="4"/>
    <s v="No"/>
    <x v="3"/>
    <s v="Yes"/>
    <n v="41"/>
    <x v="1"/>
    <s v="Weekly"/>
    <n v="0.1"/>
    <n v="85.5"/>
    <n v="95"/>
    <s v="Cash"/>
    <s v="Normal"/>
    <s v="Good"/>
  </r>
  <r>
    <n v="1437"/>
    <n v="35"/>
    <x v="0"/>
    <x v="4"/>
    <x v="1"/>
    <n v="83"/>
    <x v="46"/>
    <x v="2"/>
    <s v="Gray"/>
    <x v="0"/>
    <n v="3.7"/>
    <s v="No"/>
    <x v="1"/>
    <s v="Yes"/>
    <n v="23"/>
    <x v="3"/>
    <s v="Fortnightly"/>
    <n v="0.1"/>
    <n v="74.7"/>
    <n v="83"/>
    <s v="PayPal"/>
    <s v="Normal"/>
    <s v="Good"/>
  </r>
  <r>
    <n v="1438"/>
    <n v="69"/>
    <x v="0"/>
    <x v="23"/>
    <x v="1"/>
    <n v="97"/>
    <x v="6"/>
    <x v="3"/>
    <s v="Orange"/>
    <x v="0"/>
    <n v="4.2"/>
    <s v="No"/>
    <x v="1"/>
    <s v="Yes"/>
    <n v="14"/>
    <x v="1"/>
    <s v="Annually"/>
    <n v="0.1"/>
    <n v="87.3"/>
    <n v="97"/>
    <s v="Cash"/>
    <s v="Normal"/>
    <s v="Good"/>
  </r>
  <r>
    <n v="1439"/>
    <n v="58"/>
    <x v="0"/>
    <x v="7"/>
    <x v="2"/>
    <n v="38"/>
    <x v="47"/>
    <x v="2"/>
    <s v="Cyan"/>
    <x v="1"/>
    <n v="2.9"/>
    <s v="No"/>
    <x v="3"/>
    <s v="Yes"/>
    <n v="24"/>
    <x v="5"/>
    <s v="Monthly"/>
    <n v="0.1"/>
    <n v="34.200000000000003"/>
    <n v="38"/>
    <s v="Debit Card"/>
    <s v="Normal"/>
    <s v="Poor"/>
  </r>
  <r>
    <n v="1440"/>
    <n v="25"/>
    <x v="0"/>
    <x v="23"/>
    <x v="1"/>
    <n v="48"/>
    <x v="35"/>
    <x v="2"/>
    <s v="Magenta"/>
    <x v="2"/>
    <n v="4.8"/>
    <s v="No"/>
    <x v="2"/>
    <s v="Yes"/>
    <n v="25"/>
    <x v="1"/>
    <s v="Fortnightly"/>
    <n v="0.1"/>
    <n v="43.2"/>
    <n v="48"/>
    <s v="Cash"/>
    <s v="Normal"/>
    <s v="Good"/>
  </r>
  <r>
    <n v="1441"/>
    <n v="27"/>
    <x v="0"/>
    <x v="3"/>
    <x v="1"/>
    <n v="76"/>
    <x v="28"/>
    <x v="2"/>
    <s v="Pink"/>
    <x v="1"/>
    <n v="4.4000000000000004"/>
    <s v="No"/>
    <x v="3"/>
    <s v="Yes"/>
    <n v="13"/>
    <x v="0"/>
    <s v="Monthly"/>
    <n v="0.1"/>
    <n v="68.400000000000006"/>
    <n v="76"/>
    <s v="Venmo"/>
    <s v="Normal"/>
    <s v="Good"/>
  </r>
  <r>
    <n v="1442"/>
    <n v="34"/>
    <x v="0"/>
    <x v="13"/>
    <x v="0"/>
    <n v="25"/>
    <x v="43"/>
    <x v="1"/>
    <s v="Turquoise"/>
    <x v="2"/>
    <n v="3.4"/>
    <s v="No"/>
    <x v="1"/>
    <s v="Yes"/>
    <n v="3"/>
    <x v="0"/>
    <s v="Every 3 Months"/>
    <n v="0.1"/>
    <n v="22.5"/>
    <n v="25"/>
    <s v="Venmo"/>
    <s v="Normal"/>
    <s v="Good"/>
  </r>
  <r>
    <n v="1443"/>
    <n v="53"/>
    <x v="0"/>
    <x v="15"/>
    <x v="0"/>
    <n v="92"/>
    <x v="37"/>
    <x v="1"/>
    <s v="Violet"/>
    <x v="1"/>
    <n v="2.8"/>
    <s v="No"/>
    <x v="4"/>
    <s v="Yes"/>
    <n v="42"/>
    <x v="2"/>
    <s v="Annually"/>
    <n v="0.1"/>
    <n v="82.8"/>
    <n v="92"/>
    <s v="Credit Card"/>
    <s v="Normal"/>
    <s v="Poor"/>
  </r>
  <r>
    <n v="1444"/>
    <n v="58"/>
    <x v="0"/>
    <x v="3"/>
    <x v="1"/>
    <n v="47"/>
    <x v="37"/>
    <x v="0"/>
    <s v="Teal"/>
    <x v="3"/>
    <n v="4.2"/>
    <s v="No"/>
    <x v="2"/>
    <s v="Yes"/>
    <n v="2"/>
    <x v="1"/>
    <s v="Monthly"/>
    <n v="0.1"/>
    <n v="42.3"/>
    <n v="47"/>
    <s v="Cash"/>
    <s v="Normal"/>
    <s v="Good"/>
  </r>
  <r>
    <n v="1445"/>
    <n v="32"/>
    <x v="0"/>
    <x v="1"/>
    <x v="0"/>
    <n v="36"/>
    <x v="34"/>
    <x v="0"/>
    <s v="Pink"/>
    <x v="3"/>
    <n v="3.8"/>
    <s v="No"/>
    <x v="0"/>
    <s v="Yes"/>
    <n v="26"/>
    <x v="1"/>
    <s v="Quarterly"/>
    <n v="0.1"/>
    <n v="32.4"/>
    <n v="36"/>
    <s v="Cash"/>
    <s v="Normal"/>
    <s v="Good"/>
  </r>
  <r>
    <n v="1446"/>
    <n v="64"/>
    <x v="0"/>
    <x v="22"/>
    <x v="3"/>
    <n v="51"/>
    <x v="10"/>
    <x v="2"/>
    <s v="Gold"/>
    <x v="3"/>
    <n v="3.1"/>
    <s v="No"/>
    <x v="4"/>
    <s v="Yes"/>
    <n v="24"/>
    <x v="2"/>
    <s v="Annually"/>
    <n v="0.1"/>
    <n v="45.9"/>
    <n v="51"/>
    <s v="Credit Card"/>
    <s v="Normal"/>
    <s v="Good"/>
  </r>
  <r>
    <n v="1447"/>
    <n v="63"/>
    <x v="0"/>
    <x v="2"/>
    <x v="0"/>
    <n v="35"/>
    <x v="5"/>
    <x v="3"/>
    <s v="Red"/>
    <x v="2"/>
    <n v="3.2"/>
    <s v="No"/>
    <x v="0"/>
    <s v="Yes"/>
    <n v="6"/>
    <x v="2"/>
    <s v="Quarterly"/>
    <n v="0.1"/>
    <n v="31.5"/>
    <n v="35"/>
    <s v="Credit Card"/>
    <s v="Normal"/>
    <s v="Good"/>
  </r>
  <r>
    <n v="1448"/>
    <n v="23"/>
    <x v="0"/>
    <x v="15"/>
    <x v="0"/>
    <n v="57"/>
    <x v="35"/>
    <x v="1"/>
    <s v="Beige"/>
    <x v="2"/>
    <n v="3"/>
    <s v="No"/>
    <x v="2"/>
    <s v="Yes"/>
    <n v="25"/>
    <x v="3"/>
    <s v="Monthly"/>
    <n v="0.1"/>
    <n v="51.3"/>
    <n v="57"/>
    <s v="PayPal"/>
    <s v="Normal"/>
    <s v="Good"/>
  </r>
  <r>
    <n v="1449"/>
    <n v="64"/>
    <x v="0"/>
    <x v="23"/>
    <x v="1"/>
    <n v="95"/>
    <x v="8"/>
    <x v="2"/>
    <s v="Black"/>
    <x v="2"/>
    <n v="3.6"/>
    <s v="No"/>
    <x v="1"/>
    <s v="Yes"/>
    <n v="11"/>
    <x v="2"/>
    <s v="Every 3 Months"/>
    <n v="0.1"/>
    <n v="85.5"/>
    <n v="95"/>
    <s v="Credit Card"/>
    <s v="Normal"/>
    <s v="Good"/>
  </r>
  <r>
    <n v="1450"/>
    <n v="18"/>
    <x v="0"/>
    <x v="20"/>
    <x v="0"/>
    <n v="41"/>
    <x v="14"/>
    <x v="0"/>
    <s v="Lavender"/>
    <x v="0"/>
    <n v="2.5"/>
    <s v="No"/>
    <x v="5"/>
    <s v="Yes"/>
    <n v="20"/>
    <x v="1"/>
    <s v="Every 3 Months"/>
    <n v="0.1"/>
    <n v="36.9"/>
    <n v="41"/>
    <s v="Cash"/>
    <s v="Normal"/>
    <s v="Poor"/>
  </r>
  <r>
    <n v="1451"/>
    <n v="25"/>
    <x v="0"/>
    <x v="10"/>
    <x v="0"/>
    <n v="44"/>
    <x v="26"/>
    <x v="1"/>
    <s v="Teal"/>
    <x v="0"/>
    <n v="3.4"/>
    <s v="No"/>
    <x v="1"/>
    <s v="Yes"/>
    <n v="25"/>
    <x v="1"/>
    <s v="Quarterly"/>
    <n v="0.1"/>
    <n v="39.6"/>
    <n v="44"/>
    <s v="Cash"/>
    <s v="Normal"/>
    <s v="Good"/>
  </r>
  <r>
    <n v="1452"/>
    <n v="54"/>
    <x v="0"/>
    <x v="14"/>
    <x v="2"/>
    <n v="34"/>
    <x v="40"/>
    <x v="2"/>
    <s v="Maroon"/>
    <x v="3"/>
    <n v="2.5"/>
    <s v="No"/>
    <x v="2"/>
    <s v="Yes"/>
    <n v="35"/>
    <x v="3"/>
    <s v="Quarterly"/>
    <n v="0.1"/>
    <n v="30.6"/>
    <n v="34"/>
    <s v="PayPal"/>
    <s v="Normal"/>
    <s v="Poor"/>
  </r>
  <r>
    <n v="1453"/>
    <n v="60"/>
    <x v="0"/>
    <x v="14"/>
    <x v="2"/>
    <n v="25"/>
    <x v="24"/>
    <x v="0"/>
    <s v="Blue"/>
    <x v="1"/>
    <n v="4.7"/>
    <s v="No"/>
    <x v="4"/>
    <s v="Yes"/>
    <n v="11"/>
    <x v="4"/>
    <s v="Quarterly"/>
    <n v="0.1"/>
    <n v="22.5"/>
    <n v="25"/>
    <s v="Bank Transfer"/>
    <s v="Normal"/>
    <s v="Good"/>
  </r>
  <r>
    <n v="1454"/>
    <n v="36"/>
    <x v="0"/>
    <x v="23"/>
    <x v="1"/>
    <n v="93"/>
    <x v="41"/>
    <x v="1"/>
    <s v="Teal"/>
    <x v="0"/>
    <n v="3.2"/>
    <s v="No"/>
    <x v="4"/>
    <s v="Yes"/>
    <n v="41"/>
    <x v="4"/>
    <s v="Fortnightly"/>
    <n v="0.1"/>
    <n v="83.7"/>
    <n v="93"/>
    <s v="Bank Transfer"/>
    <s v="Normal"/>
    <s v="Good"/>
  </r>
  <r>
    <n v="1455"/>
    <n v="66"/>
    <x v="0"/>
    <x v="4"/>
    <x v="1"/>
    <n v="50"/>
    <x v="42"/>
    <x v="0"/>
    <s v="Maroon"/>
    <x v="0"/>
    <n v="2.9"/>
    <s v="No"/>
    <x v="1"/>
    <s v="Yes"/>
    <n v="17"/>
    <x v="2"/>
    <s v="Annually"/>
    <n v="0.1"/>
    <n v="45"/>
    <n v="50"/>
    <s v="Credit Card"/>
    <s v="Normal"/>
    <s v="Poor"/>
  </r>
  <r>
    <n v="1456"/>
    <n v="60"/>
    <x v="0"/>
    <x v="13"/>
    <x v="0"/>
    <n v="79"/>
    <x v="15"/>
    <x v="0"/>
    <s v="Silver"/>
    <x v="3"/>
    <n v="4.9000000000000004"/>
    <s v="No"/>
    <x v="0"/>
    <s v="Yes"/>
    <n v="1"/>
    <x v="3"/>
    <s v="Every 3 Months"/>
    <n v="0.1"/>
    <n v="71.099999999999994"/>
    <n v="79"/>
    <s v="PayPal"/>
    <s v="Normal"/>
    <s v="Good"/>
  </r>
  <r>
    <n v="1457"/>
    <n v="59"/>
    <x v="0"/>
    <x v="7"/>
    <x v="2"/>
    <n v="100"/>
    <x v="6"/>
    <x v="1"/>
    <s v="Olive"/>
    <x v="1"/>
    <n v="2.7"/>
    <s v="No"/>
    <x v="5"/>
    <s v="Yes"/>
    <n v="30"/>
    <x v="3"/>
    <s v="Every 3 Months"/>
    <n v="0.1"/>
    <n v="90"/>
    <n v="100"/>
    <s v="PayPal"/>
    <s v="Normal"/>
    <s v="Poor"/>
  </r>
  <r>
    <n v="1458"/>
    <n v="58"/>
    <x v="0"/>
    <x v="5"/>
    <x v="0"/>
    <n v="57"/>
    <x v="38"/>
    <x v="1"/>
    <s v="Gray"/>
    <x v="1"/>
    <n v="4.7"/>
    <s v="No"/>
    <x v="0"/>
    <s v="Yes"/>
    <n v="47"/>
    <x v="0"/>
    <s v="Fortnightly"/>
    <n v="0.1"/>
    <n v="51.3"/>
    <n v="57"/>
    <s v="Venmo"/>
    <s v="Normal"/>
    <s v="Good"/>
  </r>
  <r>
    <n v="1459"/>
    <n v="35"/>
    <x v="0"/>
    <x v="1"/>
    <x v="0"/>
    <n v="28"/>
    <x v="9"/>
    <x v="2"/>
    <s v="Peach"/>
    <x v="1"/>
    <n v="2.9"/>
    <s v="No"/>
    <x v="4"/>
    <s v="Yes"/>
    <n v="34"/>
    <x v="0"/>
    <s v="Weekly"/>
    <n v="0.1"/>
    <n v="25.2"/>
    <n v="28"/>
    <s v="Venmo"/>
    <s v="Normal"/>
    <s v="Poor"/>
  </r>
  <r>
    <n v="1460"/>
    <n v="20"/>
    <x v="0"/>
    <x v="9"/>
    <x v="1"/>
    <n v="35"/>
    <x v="1"/>
    <x v="0"/>
    <s v="Yellow"/>
    <x v="0"/>
    <n v="4.8"/>
    <s v="No"/>
    <x v="0"/>
    <s v="Yes"/>
    <n v="18"/>
    <x v="0"/>
    <s v="Fortnightly"/>
    <n v="0.1"/>
    <n v="31.5"/>
    <n v="35"/>
    <s v="Venmo"/>
    <s v="Normal"/>
    <s v="Good"/>
  </r>
  <r>
    <n v="1461"/>
    <n v="70"/>
    <x v="0"/>
    <x v="23"/>
    <x v="1"/>
    <n v="85"/>
    <x v="38"/>
    <x v="0"/>
    <s v="Violet"/>
    <x v="3"/>
    <n v="4.5999999999999996"/>
    <s v="No"/>
    <x v="3"/>
    <s v="Yes"/>
    <n v="33"/>
    <x v="0"/>
    <s v="Bi-Weekly"/>
    <n v="0.1"/>
    <n v="76.5"/>
    <n v="85"/>
    <s v="Venmo"/>
    <s v="Normal"/>
    <s v="Good"/>
  </r>
  <r>
    <n v="1462"/>
    <n v="54"/>
    <x v="0"/>
    <x v="12"/>
    <x v="3"/>
    <n v="95"/>
    <x v="4"/>
    <x v="1"/>
    <s v="Red"/>
    <x v="2"/>
    <n v="5"/>
    <s v="No"/>
    <x v="4"/>
    <s v="Yes"/>
    <n v="42"/>
    <x v="0"/>
    <s v="Quarterly"/>
    <n v="0.1"/>
    <n v="85.5"/>
    <n v="95"/>
    <s v="Venmo"/>
    <s v="Normal"/>
    <s v="Good"/>
  </r>
  <r>
    <n v="1463"/>
    <n v="38"/>
    <x v="0"/>
    <x v="4"/>
    <x v="1"/>
    <n v="90"/>
    <x v="40"/>
    <x v="1"/>
    <s v="Charcoal"/>
    <x v="2"/>
    <n v="4.8"/>
    <s v="No"/>
    <x v="4"/>
    <s v="Yes"/>
    <n v="2"/>
    <x v="0"/>
    <s v="Quarterly"/>
    <n v="0.1"/>
    <n v="81"/>
    <n v="90"/>
    <s v="Venmo"/>
    <s v="Normal"/>
    <s v="Good"/>
  </r>
  <r>
    <n v="1464"/>
    <n v="54"/>
    <x v="0"/>
    <x v="16"/>
    <x v="3"/>
    <n v="49"/>
    <x v="19"/>
    <x v="2"/>
    <s v="Beige"/>
    <x v="2"/>
    <n v="4.9000000000000004"/>
    <s v="No"/>
    <x v="5"/>
    <s v="Yes"/>
    <n v="1"/>
    <x v="4"/>
    <s v="Monthly"/>
    <n v="0.1"/>
    <n v="44.1"/>
    <n v="49"/>
    <s v="Bank Transfer"/>
    <s v="Normal"/>
    <s v="Good"/>
  </r>
  <r>
    <n v="1465"/>
    <n v="33"/>
    <x v="0"/>
    <x v="22"/>
    <x v="3"/>
    <n v="92"/>
    <x v="6"/>
    <x v="2"/>
    <s v="Peach"/>
    <x v="0"/>
    <n v="4.5999999999999996"/>
    <s v="No"/>
    <x v="4"/>
    <s v="Yes"/>
    <n v="23"/>
    <x v="4"/>
    <s v="Quarterly"/>
    <n v="0.1"/>
    <n v="82.8"/>
    <n v="92"/>
    <s v="Bank Transfer"/>
    <s v="Normal"/>
    <s v="Good"/>
  </r>
  <r>
    <n v="1466"/>
    <n v="46"/>
    <x v="0"/>
    <x v="24"/>
    <x v="3"/>
    <n v="72"/>
    <x v="43"/>
    <x v="3"/>
    <s v="Violet"/>
    <x v="0"/>
    <n v="3.9"/>
    <s v="No"/>
    <x v="5"/>
    <s v="Yes"/>
    <n v="42"/>
    <x v="1"/>
    <s v="Bi-Weekly"/>
    <n v="0.1"/>
    <n v="64.8"/>
    <n v="72"/>
    <s v="Cash"/>
    <s v="Normal"/>
    <s v="Good"/>
  </r>
  <r>
    <n v="1467"/>
    <n v="58"/>
    <x v="0"/>
    <x v="6"/>
    <x v="0"/>
    <n v="71"/>
    <x v="15"/>
    <x v="2"/>
    <s v="Green"/>
    <x v="2"/>
    <n v="4.5"/>
    <s v="No"/>
    <x v="5"/>
    <s v="Yes"/>
    <n v="3"/>
    <x v="3"/>
    <s v="Annually"/>
    <n v="0.1"/>
    <n v="63.9"/>
    <n v="71"/>
    <s v="PayPal"/>
    <s v="Normal"/>
    <s v="Good"/>
  </r>
  <r>
    <n v="1468"/>
    <n v="30"/>
    <x v="0"/>
    <x v="16"/>
    <x v="3"/>
    <n v="27"/>
    <x v="31"/>
    <x v="3"/>
    <s v="Olive"/>
    <x v="0"/>
    <n v="4.7"/>
    <s v="No"/>
    <x v="5"/>
    <s v="Yes"/>
    <n v="16"/>
    <x v="5"/>
    <s v="Fortnightly"/>
    <n v="0.1"/>
    <n v="24.3"/>
    <n v="27"/>
    <s v="Debit Card"/>
    <s v="Normal"/>
    <s v="Good"/>
  </r>
  <r>
    <n v="1469"/>
    <n v="42"/>
    <x v="0"/>
    <x v="24"/>
    <x v="3"/>
    <n v="39"/>
    <x v="10"/>
    <x v="1"/>
    <s v="Silver"/>
    <x v="3"/>
    <n v="3.9"/>
    <s v="No"/>
    <x v="0"/>
    <s v="Yes"/>
    <n v="46"/>
    <x v="1"/>
    <s v="Fortnightly"/>
    <n v="0.1"/>
    <n v="35.1"/>
    <n v="39"/>
    <s v="Cash"/>
    <s v="Normal"/>
    <s v="Good"/>
  </r>
  <r>
    <n v="1470"/>
    <n v="28"/>
    <x v="0"/>
    <x v="16"/>
    <x v="3"/>
    <n v="98"/>
    <x v="16"/>
    <x v="2"/>
    <s v="Purple"/>
    <x v="0"/>
    <n v="4.4000000000000004"/>
    <s v="No"/>
    <x v="3"/>
    <s v="Yes"/>
    <n v="31"/>
    <x v="3"/>
    <s v="Every 3 Months"/>
    <n v="0.1"/>
    <n v="88.2"/>
    <n v="98"/>
    <s v="PayPal"/>
    <s v="Normal"/>
    <s v="Good"/>
  </r>
  <r>
    <n v="1471"/>
    <n v="43"/>
    <x v="0"/>
    <x v="3"/>
    <x v="1"/>
    <n v="27"/>
    <x v="18"/>
    <x v="2"/>
    <s v="Silver"/>
    <x v="1"/>
    <n v="3.9"/>
    <s v="No"/>
    <x v="2"/>
    <s v="Yes"/>
    <n v="15"/>
    <x v="1"/>
    <s v="Every 3 Months"/>
    <n v="0.1"/>
    <n v="24.3"/>
    <n v="27"/>
    <s v="Cash"/>
    <s v="Normal"/>
    <s v="Good"/>
  </r>
  <r>
    <n v="1472"/>
    <n v="31"/>
    <x v="0"/>
    <x v="16"/>
    <x v="3"/>
    <n v="71"/>
    <x v="29"/>
    <x v="1"/>
    <s v="Gray"/>
    <x v="1"/>
    <n v="2.8"/>
    <s v="No"/>
    <x v="4"/>
    <s v="Yes"/>
    <n v="48"/>
    <x v="0"/>
    <s v="Every 3 Months"/>
    <n v="0.1"/>
    <n v="63.9"/>
    <n v="71"/>
    <s v="Venmo"/>
    <s v="Normal"/>
    <s v="Poor"/>
  </r>
  <r>
    <n v="1473"/>
    <n v="39"/>
    <x v="0"/>
    <x v="19"/>
    <x v="3"/>
    <n v="24"/>
    <x v="27"/>
    <x v="0"/>
    <s v="Turquoise"/>
    <x v="1"/>
    <n v="3.5"/>
    <s v="No"/>
    <x v="5"/>
    <s v="Yes"/>
    <n v="11"/>
    <x v="1"/>
    <s v="Weekly"/>
    <n v="0.1"/>
    <n v="21.6"/>
    <n v="24"/>
    <s v="Cash"/>
    <s v="Normal"/>
    <s v="Good"/>
  </r>
  <r>
    <n v="1474"/>
    <n v="69"/>
    <x v="0"/>
    <x v="6"/>
    <x v="0"/>
    <n v="63"/>
    <x v="48"/>
    <x v="2"/>
    <s v="Violet"/>
    <x v="3"/>
    <n v="4.3"/>
    <s v="No"/>
    <x v="0"/>
    <s v="Yes"/>
    <n v="20"/>
    <x v="2"/>
    <s v="Every 3 Months"/>
    <n v="0.1"/>
    <n v="56.7"/>
    <n v="63"/>
    <s v="Credit Card"/>
    <s v="Normal"/>
    <s v="Good"/>
  </r>
  <r>
    <n v="1475"/>
    <n v="31"/>
    <x v="0"/>
    <x v="1"/>
    <x v="0"/>
    <n v="72"/>
    <x v="32"/>
    <x v="1"/>
    <s v="Pink"/>
    <x v="3"/>
    <n v="3.9"/>
    <s v="No"/>
    <x v="2"/>
    <s v="Yes"/>
    <n v="6"/>
    <x v="2"/>
    <s v="Monthly"/>
    <n v="0.1"/>
    <n v="64.8"/>
    <n v="72"/>
    <s v="Credit Card"/>
    <s v="Normal"/>
    <s v="Good"/>
  </r>
  <r>
    <n v="1476"/>
    <n v="44"/>
    <x v="0"/>
    <x v="0"/>
    <x v="0"/>
    <n v="61"/>
    <x v="3"/>
    <x v="2"/>
    <s v="Teal"/>
    <x v="1"/>
    <n v="4"/>
    <s v="No"/>
    <x v="0"/>
    <s v="Yes"/>
    <n v="24"/>
    <x v="1"/>
    <s v="Monthly"/>
    <n v="0.1"/>
    <n v="54.9"/>
    <n v="61"/>
    <s v="Cash"/>
    <s v="Normal"/>
    <s v="Good"/>
  </r>
  <r>
    <n v="1477"/>
    <n v="39"/>
    <x v="0"/>
    <x v="19"/>
    <x v="3"/>
    <n v="56"/>
    <x v="5"/>
    <x v="2"/>
    <s v="Magenta"/>
    <x v="3"/>
    <n v="4.0999999999999996"/>
    <s v="No"/>
    <x v="2"/>
    <s v="Yes"/>
    <n v="18"/>
    <x v="2"/>
    <s v="Monthly"/>
    <n v="0.1"/>
    <n v="50.4"/>
    <n v="56"/>
    <s v="Credit Card"/>
    <s v="Normal"/>
    <s v="Good"/>
  </r>
  <r>
    <n v="1478"/>
    <n v="24"/>
    <x v="0"/>
    <x v="22"/>
    <x v="3"/>
    <n v="32"/>
    <x v="4"/>
    <x v="3"/>
    <s v="Silver"/>
    <x v="2"/>
    <n v="4.3"/>
    <s v="No"/>
    <x v="3"/>
    <s v="Yes"/>
    <n v="1"/>
    <x v="3"/>
    <s v="Every 3 Months"/>
    <n v="0.1"/>
    <n v="28.8"/>
    <n v="32"/>
    <s v="PayPal"/>
    <s v="Normal"/>
    <s v="Good"/>
  </r>
  <r>
    <n v="1479"/>
    <n v="28"/>
    <x v="0"/>
    <x v="24"/>
    <x v="3"/>
    <n v="23"/>
    <x v="47"/>
    <x v="2"/>
    <s v="Blue"/>
    <x v="2"/>
    <n v="4.2"/>
    <s v="No"/>
    <x v="1"/>
    <s v="Yes"/>
    <n v="13"/>
    <x v="0"/>
    <s v="Bi-Weekly"/>
    <n v="0.1"/>
    <n v="20.7"/>
    <n v="23"/>
    <s v="Venmo"/>
    <s v="Normal"/>
    <s v="Good"/>
  </r>
  <r>
    <n v="1480"/>
    <n v="48"/>
    <x v="0"/>
    <x v="7"/>
    <x v="2"/>
    <n v="100"/>
    <x v="47"/>
    <x v="0"/>
    <s v="Black"/>
    <x v="1"/>
    <n v="4"/>
    <s v="No"/>
    <x v="3"/>
    <s v="Yes"/>
    <n v="2"/>
    <x v="4"/>
    <s v="Weekly"/>
    <n v="0.1"/>
    <n v="90"/>
    <n v="100"/>
    <s v="Bank Transfer"/>
    <s v="Normal"/>
    <s v="Good"/>
  </r>
  <r>
    <n v="1481"/>
    <n v="39"/>
    <x v="0"/>
    <x v="16"/>
    <x v="3"/>
    <n v="74"/>
    <x v="13"/>
    <x v="2"/>
    <s v="Gold"/>
    <x v="3"/>
    <n v="3.6"/>
    <s v="No"/>
    <x v="0"/>
    <s v="Yes"/>
    <n v="26"/>
    <x v="1"/>
    <s v="Quarterly"/>
    <n v="0.1"/>
    <n v="66.599999999999994"/>
    <n v="74"/>
    <s v="Cash"/>
    <s v="Normal"/>
    <s v="Good"/>
  </r>
  <r>
    <n v="1482"/>
    <n v="64"/>
    <x v="0"/>
    <x v="11"/>
    <x v="0"/>
    <n v="33"/>
    <x v="33"/>
    <x v="1"/>
    <s v="Gray"/>
    <x v="1"/>
    <n v="3.3"/>
    <s v="No"/>
    <x v="3"/>
    <s v="Yes"/>
    <n v="31"/>
    <x v="3"/>
    <s v="Quarterly"/>
    <n v="0.1"/>
    <n v="29.7"/>
    <n v="33"/>
    <s v="PayPal"/>
    <s v="Normal"/>
    <s v="Good"/>
  </r>
  <r>
    <n v="1483"/>
    <n v="28"/>
    <x v="0"/>
    <x v="24"/>
    <x v="3"/>
    <n v="67"/>
    <x v="48"/>
    <x v="1"/>
    <s v="Magenta"/>
    <x v="1"/>
    <n v="4.0999999999999996"/>
    <s v="No"/>
    <x v="4"/>
    <s v="Yes"/>
    <n v="43"/>
    <x v="4"/>
    <s v="Weekly"/>
    <n v="0.1"/>
    <n v="60.3"/>
    <n v="67"/>
    <s v="Bank Transfer"/>
    <s v="Normal"/>
    <s v="Good"/>
  </r>
  <r>
    <n v="1484"/>
    <n v="39"/>
    <x v="0"/>
    <x v="16"/>
    <x v="3"/>
    <n v="61"/>
    <x v="2"/>
    <x v="1"/>
    <s v="Yellow"/>
    <x v="2"/>
    <n v="4.7"/>
    <s v="No"/>
    <x v="2"/>
    <s v="Yes"/>
    <n v="12"/>
    <x v="5"/>
    <s v="Bi-Weekly"/>
    <n v="0.1"/>
    <n v="54.9"/>
    <n v="61"/>
    <s v="Debit Card"/>
    <s v="Normal"/>
    <s v="Good"/>
  </r>
  <r>
    <n v="1485"/>
    <n v="49"/>
    <x v="0"/>
    <x v="6"/>
    <x v="0"/>
    <n v="46"/>
    <x v="43"/>
    <x v="2"/>
    <s v="Teal"/>
    <x v="2"/>
    <n v="4.4000000000000004"/>
    <s v="No"/>
    <x v="5"/>
    <s v="Yes"/>
    <n v="22"/>
    <x v="0"/>
    <s v="Every 3 Months"/>
    <n v="0.1"/>
    <n v="41.4"/>
    <n v="46"/>
    <s v="Venmo"/>
    <s v="Normal"/>
    <s v="Good"/>
  </r>
  <r>
    <n v="1486"/>
    <n v="22"/>
    <x v="0"/>
    <x v="24"/>
    <x v="3"/>
    <n v="56"/>
    <x v="43"/>
    <x v="0"/>
    <s v="Red"/>
    <x v="1"/>
    <n v="3.4"/>
    <s v="No"/>
    <x v="3"/>
    <s v="Yes"/>
    <n v="3"/>
    <x v="1"/>
    <s v="Fortnightly"/>
    <n v="0.1"/>
    <n v="50.4"/>
    <n v="56"/>
    <s v="Cash"/>
    <s v="Normal"/>
    <s v="Good"/>
  </r>
  <r>
    <n v="1487"/>
    <n v="25"/>
    <x v="0"/>
    <x v="4"/>
    <x v="1"/>
    <n v="73"/>
    <x v="37"/>
    <x v="1"/>
    <s v="Yellow"/>
    <x v="1"/>
    <n v="5"/>
    <s v="No"/>
    <x v="1"/>
    <s v="Yes"/>
    <n v="23"/>
    <x v="0"/>
    <s v="Every 3 Months"/>
    <n v="0.1"/>
    <n v="65.7"/>
    <n v="73"/>
    <s v="Venmo"/>
    <s v="Normal"/>
    <s v="Good"/>
  </r>
  <r>
    <n v="1488"/>
    <n v="40"/>
    <x v="0"/>
    <x v="11"/>
    <x v="0"/>
    <n v="44"/>
    <x v="28"/>
    <x v="0"/>
    <s v="Black"/>
    <x v="2"/>
    <n v="4.5999999999999996"/>
    <s v="No"/>
    <x v="5"/>
    <s v="Yes"/>
    <n v="26"/>
    <x v="3"/>
    <s v="Annually"/>
    <n v="0.1"/>
    <n v="39.6"/>
    <n v="44"/>
    <s v="PayPal"/>
    <s v="Normal"/>
    <s v="Good"/>
  </r>
  <r>
    <n v="1489"/>
    <n v="23"/>
    <x v="0"/>
    <x v="19"/>
    <x v="3"/>
    <n v="44"/>
    <x v="11"/>
    <x v="0"/>
    <s v="Pink"/>
    <x v="0"/>
    <n v="4"/>
    <s v="No"/>
    <x v="3"/>
    <s v="Yes"/>
    <n v="37"/>
    <x v="2"/>
    <s v="Weekly"/>
    <n v="0.1"/>
    <n v="39.6"/>
    <n v="44"/>
    <s v="Credit Card"/>
    <s v="Normal"/>
    <s v="Good"/>
  </r>
  <r>
    <n v="1490"/>
    <n v="24"/>
    <x v="0"/>
    <x v="16"/>
    <x v="3"/>
    <n v="26"/>
    <x v="9"/>
    <x v="3"/>
    <s v="Magenta"/>
    <x v="2"/>
    <n v="4.0999999999999996"/>
    <s v="No"/>
    <x v="2"/>
    <s v="Yes"/>
    <n v="42"/>
    <x v="0"/>
    <s v="Quarterly"/>
    <n v="0.1"/>
    <n v="23.4"/>
    <n v="26"/>
    <s v="Venmo"/>
    <s v="Normal"/>
    <s v="Good"/>
  </r>
  <r>
    <n v="1491"/>
    <n v="66"/>
    <x v="0"/>
    <x v="4"/>
    <x v="1"/>
    <n v="52"/>
    <x v="7"/>
    <x v="0"/>
    <s v="Olive"/>
    <x v="1"/>
    <n v="4.9000000000000004"/>
    <s v="No"/>
    <x v="0"/>
    <s v="Yes"/>
    <n v="15"/>
    <x v="0"/>
    <s v="Bi-Weekly"/>
    <n v="0.1"/>
    <n v="46.8"/>
    <n v="52"/>
    <s v="Venmo"/>
    <s v="Normal"/>
    <s v="Good"/>
  </r>
  <r>
    <n v="1492"/>
    <n v="27"/>
    <x v="0"/>
    <x v="5"/>
    <x v="0"/>
    <n v="54"/>
    <x v="10"/>
    <x v="1"/>
    <s v="Black"/>
    <x v="2"/>
    <n v="2.7"/>
    <s v="No"/>
    <x v="1"/>
    <s v="Yes"/>
    <n v="10"/>
    <x v="4"/>
    <s v="Quarterly"/>
    <n v="0.1"/>
    <n v="48.6"/>
    <n v="54"/>
    <s v="Bank Transfer"/>
    <s v="Normal"/>
    <s v="Poor"/>
  </r>
  <r>
    <n v="1493"/>
    <n v="62"/>
    <x v="0"/>
    <x v="14"/>
    <x v="2"/>
    <n v="38"/>
    <x v="17"/>
    <x v="2"/>
    <s v="Maroon"/>
    <x v="2"/>
    <n v="4.5"/>
    <s v="No"/>
    <x v="1"/>
    <s v="Yes"/>
    <n v="3"/>
    <x v="0"/>
    <s v="Quarterly"/>
    <n v="0.1"/>
    <n v="34.200000000000003"/>
    <n v="38"/>
    <s v="Venmo"/>
    <s v="Normal"/>
    <s v="Good"/>
  </r>
  <r>
    <n v="1494"/>
    <n v="70"/>
    <x v="0"/>
    <x v="22"/>
    <x v="3"/>
    <n v="44"/>
    <x v="25"/>
    <x v="1"/>
    <s v="Gold"/>
    <x v="3"/>
    <n v="2.7"/>
    <s v="No"/>
    <x v="3"/>
    <s v="Yes"/>
    <n v="44"/>
    <x v="2"/>
    <s v="Quarterly"/>
    <n v="0.1"/>
    <n v="39.6"/>
    <n v="44"/>
    <s v="Credit Card"/>
    <s v="Normal"/>
    <s v="Poor"/>
  </r>
  <r>
    <n v="1495"/>
    <n v="43"/>
    <x v="0"/>
    <x v="17"/>
    <x v="0"/>
    <n v="76"/>
    <x v="6"/>
    <x v="2"/>
    <s v="Gray"/>
    <x v="1"/>
    <n v="3"/>
    <s v="No"/>
    <x v="2"/>
    <s v="Yes"/>
    <n v="23"/>
    <x v="4"/>
    <s v="Fortnightly"/>
    <n v="0.1"/>
    <n v="68.400000000000006"/>
    <n v="76"/>
    <s v="Bank Transfer"/>
    <s v="Normal"/>
    <s v="Good"/>
  </r>
  <r>
    <n v="1496"/>
    <n v="45"/>
    <x v="0"/>
    <x v="16"/>
    <x v="3"/>
    <n v="23"/>
    <x v="3"/>
    <x v="2"/>
    <s v="Brown"/>
    <x v="0"/>
    <n v="4.5"/>
    <s v="No"/>
    <x v="2"/>
    <s v="Yes"/>
    <n v="6"/>
    <x v="3"/>
    <s v="Weekly"/>
    <n v="0.1"/>
    <n v="20.7"/>
    <n v="23"/>
    <s v="PayPal"/>
    <s v="Normal"/>
    <s v="Good"/>
  </r>
  <r>
    <n v="1497"/>
    <n v="63"/>
    <x v="0"/>
    <x v="17"/>
    <x v="0"/>
    <n v="98"/>
    <x v="37"/>
    <x v="2"/>
    <s v="Purple"/>
    <x v="0"/>
    <n v="5"/>
    <s v="No"/>
    <x v="3"/>
    <s v="Yes"/>
    <n v="9"/>
    <x v="0"/>
    <s v="Bi-Weekly"/>
    <n v="0.1"/>
    <n v="88.2"/>
    <n v="98"/>
    <s v="Venmo"/>
    <s v="Normal"/>
    <s v="Good"/>
  </r>
  <r>
    <n v="1498"/>
    <n v="69"/>
    <x v="0"/>
    <x v="14"/>
    <x v="2"/>
    <n v="33"/>
    <x v="49"/>
    <x v="1"/>
    <s v="Magenta"/>
    <x v="1"/>
    <n v="3.8"/>
    <s v="No"/>
    <x v="4"/>
    <s v="Yes"/>
    <n v="16"/>
    <x v="5"/>
    <s v="Every 3 Months"/>
    <n v="0.1"/>
    <n v="29.7"/>
    <n v="33"/>
    <s v="Debit Card"/>
    <s v="Normal"/>
    <s v="Good"/>
  </r>
  <r>
    <n v="1499"/>
    <n v="59"/>
    <x v="0"/>
    <x v="1"/>
    <x v="0"/>
    <n v="32"/>
    <x v="26"/>
    <x v="2"/>
    <s v="Teal"/>
    <x v="2"/>
    <n v="3.1"/>
    <s v="No"/>
    <x v="3"/>
    <s v="Yes"/>
    <n v="46"/>
    <x v="0"/>
    <s v="Fortnightly"/>
    <n v="0.1"/>
    <n v="28.8"/>
    <n v="32"/>
    <s v="Venmo"/>
    <s v="Normal"/>
    <s v="Good"/>
  </r>
  <r>
    <n v="1500"/>
    <n v="19"/>
    <x v="0"/>
    <x v="23"/>
    <x v="1"/>
    <n v="85"/>
    <x v="42"/>
    <x v="1"/>
    <s v="Olive"/>
    <x v="3"/>
    <n v="3.4"/>
    <s v="No"/>
    <x v="1"/>
    <s v="Yes"/>
    <n v="24"/>
    <x v="2"/>
    <s v="Every 3 Months"/>
    <n v="0.1"/>
    <n v="76.5"/>
    <n v="85"/>
    <s v="Credit Card"/>
    <s v="Normal"/>
    <s v="Good"/>
  </r>
  <r>
    <n v="1501"/>
    <n v="63"/>
    <x v="0"/>
    <x v="2"/>
    <x v="0"/>
    <n v="69"/>
    <x v="15"/>
    <x v="0"/>
    <s v="Maroon"/>
    <x v="2"/>
    <n v="4.8"/>
    <s v="No"/>
    <x v="2"/>
    <s v="Yes"/>
    <n v="22"/>
    <x v="5"/>
    <s v="Monthly"/>
    <n v="0.1"/>
    <n v="62.1"/>
    <n v="69"/>
    <s v="Debit Card"/>
    <s v="Normal"/>
    <s v="Good"/>
  </r>
  <r>
    <n v="1502"/>
    <n v="37"/>
    <x v="0"/>
    <x v="2"/>
    <x v="0"/>
    <n v="55"/>
    <x v="29"/>
    <x v="3"/>
    <s v="Silver"/>
    <x v="1"/>
    <n v="2.7"/>
    <s v="No"/>
    <x v="3"/>
    <s v="Yes"/>
    <n v="13"/>
    <x v="5"/>
    <s v="Every 3 Months"/>
    <n v="0.1"/>
    <n v="49.5"/>
    <n v="55"/>
    <s v="Debit Card"/>
    <s v="Normal"/>
    <s v="Poor"/>
  </r>
  <r>
    <n v="1503"/>
    <n v="37"/>
    <x v="0"/>
    <x v="13"/>
    <x v="0"/>
    <n v="66"/>
    <x v="2"/>
    <x v="2"/>
    <s v="Black"/>
    <x v="2"/>
    <n v="3.2"/>
    <s v="No"/>
    <x v="5"/>
    <s v="Yes"/>
    <n v="20"/>
    <x v="1"/>
    <s v="Fortnightly"/>
    <n v="0.1"/>
    <n v="59.4"/>
    <n v="66"/>
    <s v="Cash"/>
    <s v="Normal"/>
    <s v="Good"/>
  </r>
  <r>
    <n v="1504"/>
    <n v="50"/>
    <x v="0"/>
    <x v="14"/>
    <x v="2"/>
    <n v="30"/>
    <x v="49"/>
    <x v="2"/>
    <s v="Maroon"/>
    <x v="3"/>
    <n v="3.9"/>
    <s v="No"/>
    <x v="4"/>
    <s v="Yes"/>
    <n v="46"/>
    <x v="1"/>
    <s v="Quarterly"/>
    <n v="0.1"/>
    <n v="27"/>
    <n v="30"/>
    <s v="Cash"/>
    <s v="Normal"/>
    <s v="Good"/>
  </r>
  <r>
    <n v="1505"/>
    <n v="60"/>
    <x v="0"/>
    <x v="14"/>
    <x v="2"/>
    <n v="80"/>
    <x v="29"/>
    <x v="2"/>
    <s v="Teal"/>
    <x v="0"/>
    <n v="4.2"/>
    <s v="No"/>
    <x v="2"/>
    <s v="Yes"/>
    <n v="10"/>
    <x v="4"/>
    <s v="Monthly"/>
    <n v="0.1"/>
    <n v="72"/>
    <n v="80"/>
    <s v="Bank Transfer"/>
    <s v="Normal"/>
    <s v="Good"/>
  </r>
  <r>
    <n v="1506"/>
    <n v="46"/>
    <x v="0"/>
    <x v="22"/>
    <x v="3"/>
    <n v="20"/>
    <x v="25"/>
    <x v="2"/>
    <s v="Teal"/>
    <x v="2"/>
    <n v="3"/>
    <s v="No"/>
    <x v="0"/>
    <s v="Yes"/>
    <n v="39"/>
    <x v="1"/>
    <s v="Monthly"/>
    <n v="0.1"/>
    <n v="18"/>
    <n v="20"/>
    <s v="Cash"/>
    <s v="Normal"/>
    <s v="Good"/>
  </r>
  <r>
    <n v="1507"/>
    <n v="35"/>
    <x v="0"/>
    <x v="5"/>
    <x v="0"/>
    <n v="30"/>
    <x v="36"/>
    <x v="0"/>
    <s v="Beige"/>
    <x v="3"/>
    <n v="3"/>
    <s v="No"/>
    <x v="4"/>
    <s v="Yes"/>
    <n v="44"/>
    <x v="3"/>
    <s v="Quarterly"/>
    <n v="0.1"/>
    <n v="27"/>
    <n v="30"/>
    <s v="PayPal"/>
    <s v="Normal"/>
    <s v="Good"/>
  </r>
  <r>
    <n v="1508"/>
    <n v="66"/>
    <x v="0"/>
    <x v="10"/>
    <x v="0"/>
    <n v="86"/>
    <x v="38"/>
    <x v="1"/>
    <s v="Maroon"/>
    <x v="0"/>
    <n v="3.7"/>
    <s v="No"/>
    <x v="4"/>
    <s v="Yes"/>
    <n v="7"/>
    <x v="0"/>
    <s v="Annually"/>
    <n v="0.1"/>
    <n v="77.400000000000006"/>
    <n v="86"/>
    <s v="Venmo"/>
    <s v="Normal"/>
    <s v="Good"/>
  </r>
  <r>
    <n v="1509"/>
    <n v="35"/>
    <x v="0"/>
    <x v="0"/>
    <x v="0"/>
    <n v="84"/>
    <x v="24"/>
    <x v="0"/>
    <s v="Beige"/>
    <x v="1"/>
    <n v="4.4000000000000004"/>
    <s v="No"/>
    <x v="5"/>
    <s v="Yes"/>
    <n v="3"/>
    <x v="1"/>
    <s v="Every 3 Months"/>
    <n v="0.1"/>
    <n v="75.599999999999994"/>
    <n v="84"/>
    <s v="Cash"/>
    <s v="Normal"/>
    <s v="Good"/>
  </r>
  <r>
    <n v="1510"/>
    <n v="20"/>
    <x v="0"/>
    <x v="10"/>
    <x v="0"/>
    <n v="54"/>
    <x v="13"/>
    <x v="3"/>
    <s v="White"/>
    <x v="2"/>
    <n v="4.5999999999999996"/>
    <s v="No"/>
    <x v="1"/>
    <s v="Yes"/>
    <n v="44"/>
    <x v="5"/>
    <s v="Annually"/>
    <n v="0.1"/>
    <n v="48.6"/>
    <n v="54"/>
    <s v="Debit Card"/>
    <s v="Normal"/>
    <s v="Good"/>
  </r>
  <r>
    <n v="1511"/>
    <n v="55"/>
    <x v="0"/>
    <x v="0"/>
    <x v="0"/>
    <n v="30"/>
    <x v="33"/>
    <x v="3"/>
    <s v="Gray"/>
    <x v="3"/>
    <n v="3"/>
    <s v="No"/>
    <x v="1"/>
    <s v="Yes"/>
    <n v="31"/>
    <x v="0"/>
    <s v="Annually"/>
    <n v="0.1"/>
    <n v="27"/>
    <n v="30"/>
    <s v="Venmo"/>
    <s v="Normal"/>
    <s v="Good"/>
  </r>
  <r>
    <n v="1512"/>
    <n v="34"/>
    <x v="0"/>
    <x v="10"/>
    <x v="0"/>
    <n v="91"/>
    <x v="42"/>
    <x v="2"/>
    <s v="Violet"/>
    <x v="0"/>
    <n v="3.6"/>
    <s v="No"/>
    <x v="0"/>
    <s v="Yes"/>
    <n v="48"/>
    <x v="2"/>
    <s v="Weekly"/>
    <n v="0.1"/>
    <n v="81.900000000000006"/>
    <n v="91"/>
    <s v="Credit Card"/>
    <s v="Normal"/>
    <s v="Good"/>
  </r>
  <r>
    <n v="1513"/>
    <n v="60"/>
    <x v="0"/>
    <x v="4"/>
    <x v="1"/>
    <n v="23"/>
    <x v="48"/>
    <x v="0"/>
    <s v="Silver"/>
    <x v="0"/>
    <n v="3.9"/>
    <s v="No"/>
    <x v="3"/>
    <s v="Yes"/>
    <n v="18"/>
    <x v="3"/>
    <s v="Bi-Weekly"/>
    <n v="0.1"/>
    <n v="20.7"/>
    <n v="23"/>
    <s v="PayPal"/>
    <s v="Normal"/>
    <s v="Good"/>
  </r>
  <r>
    <n v="1514"/>
    <n v="22"/>
    <x v="0"/>
    <x v="20"/>
    <x v="0"/>
    <n v="35"/>
    <x v="21"/>
    <x v="2"/>
    <s v="Red"/>
    <x v="1"/>
    <n v="4.0999999999999996"/>
    <s v="No"/>
    <x v="1"/>
    <s v="Yes"/>
    <n v="27"/>
    <x v="1"/>
    <s v="Monthly"/>
    <n v="0.1"/>
    <n v="31.5"/>
    <n v="35"/>
    <s v="Cash"/>
    <s v="Normal"/>
    <s v="Good"/>
  </r>
  <r>
    <n v="1515"/>
    <n v="26"/>
    <x v="0"/>
    <x v="9"/>
    <x v="1"/>
    <n v="90"/>
    <x v="40"/>
    <x v="0"/>
    <s v="Brown"/>
    <x v="0"/>
    <n v="3.9"/>
    <s v="No"/>
    <x v="4"/>
    <s v="Yes"/>
    <n v="1"/>
    <x v="0"/>
    <s v="Weekly"/>
    <n v="0.1"/>
    <n v="81"/>
    <n v="90"/>
    <s v="Venmo"/>
    <s v="Normal"/>
    <s v="Good"/>
  </r>
  <r>
    <n v="1516"/>
    <n v="39"/>
    <x v="0"/>
    <x v="2"/>
    <x v="0"/>
    <n v="93"/>
    <x v="27"/>
    <x v="1"/>
    <s v="Turquoise"/>
    <x v="3"/>
    <n v="3.9"/>
    <s v="No"/>
    <x v="4"/>
    <s v="Yes"/>
    <n v="34"/>
    <x v="1"/>
    <s v="Weekly"/>
    <n v="0.1"/>
    <n v="83.7"/>
    <n v="93"/>
    <s v="Cash"/>
    <s v="Normal"/>
    <s v="Good"/>
  </r>
  <r>
    <n v="1517"/>
    <n v="20"/>
    <x v="0"/>
    <x v="2"/>
    <x v="0"/>
    <n v="68"/>
    <x v="22"/>
    <x v="0"/>
    <s v="Indigo"/>
    <x v="0"/>
    <n v="4.5"/>
    <s v="No"/>
    <x v="0"/>
    <s v="Yes"/>
    <n v="5"/>
    <x v="4"/>
    <s v="Bi-Weekly"/>
    <n v="0.1"/>
    <n v="61.2"/>
    <n v="68"/>
    <s v="Bank Transfer"/>
    <s v="Normal"/>
    <s v="Good"/>
  </r>
  <r>
    <n v="1518"/>
    <n v="57"/>
    <x v="0"/>
    <x v="24"/>
    <x v="3"/>
    <n v="41"/>
    <x v="13"/>
    <x v="2"/>
    <s v="Violet"/>
    <x v="1"/>
    <n v="3.4"/>
    <s v="No"/>
    <x v="3"/>
    <s v="Yes"/>
    <n v="12"/>
    <x v="1"/>
    <s v="Quarterly"/>
    <n v="0.1"/>
    <n v="36.9"/>
    <n v="41"/>
    <s v="Cash"/>
    <s v="Normal"/>
    <s v="Good"/>
  </r>
  <r>
    <n v="1519"/>
    <n v="68"/>
    <x v="0"/>
    <x v="22"/>
    <x v="3"/>
    <n v="73"/>
    <x v="14"/>
    <x v="2"/>
    <s v="Yellow"/>
    <x v="0"/>
    <n v="4.0999999999999996"/>
    <s v="No"/>
    <x v="2"/>
    <s v="Yes"/>
    <n v="14"/>
    <x v="0"/>
    <s v="Fortnightly"/>
    <n v="0.1"/>
    <n v="65.7"/>
    <n v="73"/>
    <s v="Venmo"/>
    <s v="Normal"/>
    <s v="Good"/>
  </r>
  <r>
    <n v="1520"/>
    <n v="50"/>
    <x v="0"/>
    <x v="12"/>
    <x v="3"/>
    <n v="73"/>
    <x v="21"/>
    <x v="0"/>
    <s v="Cyan"/>
    <x v="3"/>
    <n v="4.9000000000000004"/>
    <s v="No"/>
    <x v="2"/>
    <s v="Yes"/>
    <n v="40"/>
    <x v="3"/>
    <s v="Weekly"/>
    <n v="0.1"/>
    <n v="65.7"/>
    <n v="73"/>
    <s v="PayPal"/>
    <s v="Normal"/>
    <s v="Good"/>
  </r>
  <r>
    <n v="1521"/>
    <n v="21"/>
    <x v="0"/>
    <x v="19"/>
    <x v="3"/>
    <n v="66"/>
    <x v="44"/>
    <x v="2"/>
    <s v="Brown"/>
    <x v="2"/>
    <n v="4.4000000000000004"/>
    <s v="No"/>
    <x v="4"/>
    <s v="Yes"/>
    <n v="39"/>
    <x v="1"/>
    <s v="Quarterly"/>
    <n v="0.1"/>
    <n v="59.4"/>
    <n v="66"/>
    <s v="Cash"/>
    <s v="Normal"/>
    <s v="Good"/>
  </r>
  <r>
    <n v="1522"/>
    <n v="29"/>
    <x v="0"/>
    <x v="21"/>
    <x v="3"/>
    <n v="59"/>
    <x v="47"/>
    <x v="2"/>
    <s v="White"/>
    <x v="2"/>
    <n v="2.7"/>
    <s v="No"/>
    <x v="4"/>
    <s v="Yes"/>
    <n v="50"/>
    <x v="4"/>
    <s v="Weekly"/>
    <n v="0.1"/>
    <n v="53.1"/>
    <n v="59"/>
    <s v="Bank Transfer"/>
    <s v="Normal"/>
    <s v="Poor"/>
  </r>
  <r>
    <n v="1523"/>
    <n v="38"/>
    <x v="0"/>
    <x v="6"/>
    <x v="0"/>
    <n v="72"/>
    <x v="30"/>
    <x v="0"/>
    <s v="Yellow"/>
    <x v="1"/>
    <n v="4.8"/>
    <s v="No"/>
    <x v="1"/>
    <s v="Yes"/>
    <n v="5"/>
    <x v="5"/>
    <s v="Monthly"/>
    <n v="0.1"/>
    <n v="64.8"/>
    <n v="72"/>
    <s v="Debit Card"/>
    <s v="Normal"/>
    <s v="Good"/>
  </r>
  <r>
    <n v="1524"/>
    <n v="54"/>
    <x v="0"/>
    <x v="20"/>
    <x v="0"/>
    <n v="88"/>
    <x v="42"/>
    <x v="2"/>
    <s v="White"/>
    <x v="2"/>
    <n v="3.3"/>
    <s v="No"/>
    <x v="4"/>
    <s v="Yes"/>
    <n v="35"/>
    <x v="5"/>
    <s v="Annually"/>
    <n v="0.1"/>
    <n v="79.2"/>
    <n v="88"/>
    <s v="Debit Card"/>
    <s v="Normal"/>
    <s v="Good"/>
  </r>
  <r>
    <n v="1525"/>
    <n v="22"/>
    <x v="0"/>
    <x v="20"/>
    <x v="0"/>
    <n v="76"/>
    <x v="2"/>
    <x v="0"/>
    <s v="Pink"/>
    <x v="2"/>
    <n v="4.4000000000000004"/>
    <s v="No"/>
    <x v="1"/>
    <s v="Yes"/>
    <n v="6"/>
    <x v="1"/>
    <s v="Bi-Weekly"/>
    <n v="0.1"/>
    <n v="68.400000000000006"/>
    <n v="76"/>
    <s v="Cash"/>
    <s v="Normal"/>
    <s v="Good"/>
  </r>
  <r>
    <n v="1526"/>
    <n v="29"/>
    <x v="0"/>
    <x v="22"/>
    <x v="3"/>
    <n v="31"/>
    <x v="4"/>
    <x v="2"/>
    <s v="Indigo"/>
    <x v="0"/>
    <n v="4.5999999999999996"/>
    <s v="No"/>
    <x v="4"/>
    <s v="Yes"/>
    <n v="22"/>
    <x v="1"/>
    <s v="Fortnightly"/>
    <n v="0.1"/>
    <n v="27.9"/>
    <n v="31"/>
    <s v="Cash"/>
    <s v="Normal"/>
    <s v="Good"/>
  </r>
  <r>
    <n v="1527"/>
    <n v="41"/>
    <x v="0"/>
    <x v="14"/>
    <x v="2"/>
    <n v="22"/>
    <x v="19"/>
    <x v="0"/>
    <s v="White"/>
    <x v="2"/>
    <n v="3.1"/>
    <s v="No"/>
    <x v="2"/>
    <s v="Yes"/>
    <n v="27"/>
    <x v="3"/>
    <s v="Monthly"/>
    <n v="0.1"/>
    <n v="19.8"/>
    <n v="22"/>
    <s v="PayPal"/>
    <s v="Normal"/>
    <s v="Good"/>
  </r>
  <r>
    <n v="1528"/>
    <n v="26"/>
    <x v="0"/>
    <x v="19"/>
    <x v="3"/>
    <n v="75"/>
    <x v="48"/>
    <x v="0"/>
    <s v="Red"/>
    <x v="3"/>
    <n v="4.5"/>
    <s v="No"/>
    <x v="4"/>
    <s v="Yes"/>
    <n v="33"/>
    <x v="5"/>
    <s v="Fortnightly"/>
    <n v="0.1"/>
    <n v="67.5"/>
    <n v="75"/>
    <s v="Debit Card"/>
    <s v="Normal"/>
    <s v="Good"/>
  </r>
  <r>
    <n v="1529"/>
    <n v="69"/>
    <x v="0"/>
    <x v="17"/>
    <x v="0"/>
    <n v="75"/>
    <x v="4"/>
    <x v="1"/>
    <s v="Red"/>
    <x v="1"/>
    <n v="4"/>
    <s v="No"/>
    <x v="5"/>
    <s v="Yes"/>
    <n v="47"/>
    <x v="0"/>
    <s v="Bi-Weekly"/>
    <n v="0.1"/>
    <n v="67.5"/>
    <n v="75"/>
    <s v="Venmo"/>
    <s v="Normal"/>
    <s v="Good"/>
  </r>
  <r>
    <n v="1530"/>
    <n v="20"/>
    <x v="0"/>
    <x v="21"/>
    <x v="3"/>
    <n v="63"/>
    <x v="42"/>
    <x v="2"/>
    <s v="Lavender"/>
    <x v="0"/>
    <n v="3.1"/>
    <s v="No"/>
    <x v="1"/>
    <s v="Yes"/>
    <n v="48"/>
    <x v="2"/>
    <s v="Bi-Weekly"/>
    <n v="0.1"/>
    <n v="56.7"/>
    <n v="63"/>
    <s v="Credit Card"/>
    <s v="Normal"/>
    <s v="Good"/>
  </r>
  <r>
    <n v="1531"/>
    <n v="59"/>
    <x v="0"/>
    <x v="7"/>
    <x v="2"/>
    <n v="21"/>
    <x v="35"/>
    <x v="2"/>
    <s v="Teal"/>
    <x v="1"/>
    <n v="3.9"/>
    <s v="No"/>
    <x v="2"/>
    <s v="Yes"/>
    <n v="22"/>
    <x v="4"/>
    <s v="Quarterly"/>
    <n v="0.1"/>
    <n v="18.899999999999999"/>
    <n v="21"/>
    <s v="Bank Transfer"/>
    <s v="Normal"/>
    <s v="Good"/>
  </r>
  <r>
    <n v="1532"/>
    <n v="63"/>
    <x v="0"/>
    <x v="21"/>
    <x v="3"/>
    <n v="83"/>
    <x v="16"/>
    <x v="1"/>
    <s v="Violet"/>
    <x v="1"/>
    <n v="4.5"/>
    <s v="No"/>
    <x v="2"/>
    <s v="Yes"/>
    <n v="8"/>
    <x v="3"/>
    <s v="Bi-Weekly"/>
    <n v="0.1"/>
    <n v="74.7"/>
    <n v="83"/>
    <s v="PayPal"/>
    <s v="Normal"/>
    <s v="Good"/>
  </r>
  <r>
    <n v="1533"/>
    <n v="68"/>
    <x v="0"/>
    <x v="14"/>
    <x v="2"/>
    <n v="46"/>
    <x v="48"/>
    <x v="1"/>
    <s v="Silver"/>
    <x v="0"/>
    <n v="4.4000000000000004"/>
    <s v="No"/>
    <x v="2"/>
    <s v="Yes"/>
    <n v="5"/>
    <x v="3"/>
    <s v="Every 3 Months"/>
    <n v="0.1"/>
    <n v="41.4"/>
    <n v="46"/>
    <s v="PayPal"/>
    <s v="Normal"/>
    <s v="Good"/>
  </r>
  <r>
    <n v="1534"/>
    <n v="50"/>
    <x v="0"/>
    <x v="9"/>
    <x v="1"/>
    <n v="59"/>
    <x v="13"/>
    <x v="2"/>
    <s v="Gold"/>
    <x v="2"/>
    <n v="3.6"/>
    <s v="No"/>
    <x v="4"/>
    <s v="Yes"/>
    <n v="16"/>
    <x v="4"/>
    <s v="Quarterly"/>
    <n v="0.1"/>
    <n v="53.1"/>
    <n v="59"/>
    <s v="Bank Transfer"/>
    <s v="Normal"/>
    <s v="Good"/>
  </r>
  <r>
    <n v="1535"/>
    <n v="55"/>
    <x v="0"/>
    <x v="0"/>
    <x v="0"/>
    <n v="66"/>
    <x v="5"/>
    <x v="2"/>
    <s v="Green"/>
    <x v="2"/>
    <n v="3.4"/>
    <s v="No"/>
    <x v="1"/>
    <s v="Yes"/>
    <n v="26"/>
    <x v="0"/>
    <s v="Fortnightly"/>
    <n v="0.1"/>
    <n v="59.4"/>
    <n v="66"/>
    <s v="Venmo"/>
    <s v="Normal"/>
    <s v="Good"/>
  </r>
  <r>
    <n v="1536"/>
    <n v="36"/>
    <x v="0"/>
    <x v="3"/>
    <x v="1"/>
    <n v="74"/>
    <x v="8"/>
    <x v="1"/>
    <s v="Turquoise"/>
    <x v="3"/>
    <n v="4"/>
    <s v="No"/>
    <x v="4"/>
    <s v="Yes"/>
    <n v="8"/>
    <x v="0"/>
    <s v="Monthly"/>
    <n v="0.1"/>
    <n v="66.599999999999994"/>
    <n v="74"/>
    <s v="Venmo"/>
    <s v="Normal"/>
    <s v="Good"/>
  </r>
  <r>
    <n v="1537"/>
    <n v="18"/>
    <x v="0"/>
    <x v="12"/>
    <x v="3"/>
    <n v="82"/>
    <x v="49"/>
    <x v="2"/>
    <s v="Indigo"/>
    <x v="2"/>
    <n v="2.6"/>
    <s v="No"/>
    <x v="5"/>
    <s v="Yes"/>
    <n v="17"/>
    <x v="1"/>
    <s v="Quarterly"/>
    <n v="0.1"/>
    <n v="73.8"/>
    <n v="82"/>
    <s v="Cash"/>
    <s v="Normal"/>
    <s v="Poor"/>
  </r>
  <r>
    <n v="1538"/>
    <n v="68"/>
    <x v="0"/>
    <x v="9"/>
    <x v="1"/>
    <n v="89"/>
    <x v="29"/>
    <x v="0"/>
    <s v="Black"/>
    <x v="1"/>
    <n v="3.2"/>
    <s v="No"/>
    <x v="2"/>
    <s v="Yes"/>
    <n v="50"/>
    <x v="0"/>
    <s v="Annually"/>
    <n v="0.1"/>
    <n v="80.099999999999994"/>
    <n v="89"/>
    <s v="Venmo"/>
    <s v="Normal"/>
    <s v="Good"/>
  </r>
  <r>
    <n v="1539"/>
    <n v="56"/>
    <x v="0"/>
    <x v="10"/>
    <x v="0"/>
    <n v="65"/>
    <x v="26"/>
    <x v="0"/>
    <s v="Charcoal"/>
    <x v="3"/>
    <n v="3.2"/>
    <s v="No"/>
    <x v="3"/>
    <s v="Yes"/>
    <n v="22"/>
    <x v="0"/>
    <s v="Bi-Weekly"/>
    <n v="0.1"/>
    <n v="58.5"/>
    <n v="65"/>
    <s v="Venmo"/>
    <s v="Normal"/>
    <s v="Good"/>
  </r>
  <r>
    <n v="1540"/>
    <n v="32"/>
    <x v="0"/>
    <x v="22"/>
    <x v="3"/>
    <n v="55"/>
    <x v="11"/>
    <x v="2"/>
    <s v="Turquoise"/>
    <x v="1"/>
    <n v="5"/>
    <s v="No"/>
    <x v="4"/>
    <s v="Yes"/>
    <n v="19"/>
    <x v="1"/>
    <s v="Every 3 Months"/>
    <n v="0.1"/>
    <n v="49.5"/>
    <n v="55"/>
    <s v="Cash"/>
    <s v="Normal"/>
    <s v="Good"/>
  </r>
  <r>
    <n v="1541"/>
    <n v="28"/>
    <x v="0"/>
    <x v="6"/>
    <x v="0"/>
    <n v="95"/>
    <x v="24"/>
    <x v="2"/>
    <s v="Red"/>
    <x v="0"/>
    <n v="2.9"/>
    <s v="No"/>
    <x v="2"/>
    <s v="Yes"/>
    <n v="14"/>
    <x v="4"/>
    <s v="Monthly"/>
    <n v="0.1"/>
    <n v="85.5"/>
    <n v="95"/>
    <s v="Bank Transfer"/>
    <s v="Normal"/>
    <s v="Poor"/>
  </r>
  <r>
    <n v="1542"/>
    <n v="24"/>
    <x v="0"/>
    <x v="8"/>
    <x v="3"/>
    <n v="77"/>
    <x v="26"/>
    <x v="1"/>
    <s v="Indigo"/>
    <x v="0"/>
    <n v="2.9"/>
    <s v="No"/>
    <x v="5"/>
    <s v="Yes"/>
    <n v="35"/>
    <x v="1"/>
    <s v="Bi-Weekly"/>
    <n v="0.1"/>
    <n v="69.3"/>
    <n v="77"/>
    <s v="Cash"/>
    <s v="Normal"/>
    <s v="Poor"/>
  </r>
  <r>
    <n v="1543"/>
    <n v="59"/>
    <x v="0"/>
    <x v="0"/>
    <x v="0"/>
    <n v="44"/>
    <x v="11"/>
    <x v="2"/>
    <s v="Maroon"/>
    <x v="0"/>
    <n v="3.5"/>
    <s v="No"/>
    <x v="2"/>
    <s v="Yes"/>
    <n v="43"/>
    <x v="3"/>
    <s v="Weekly"/>
    <n v="0.1"/>
    <n v="39.6"/>
    <n v="44"/>
    <s v="PayPal"/>
    <s v="Normal"/>
    <s v="Good"/>
  </r>
  <r>
    <n v="1544"/>
    <n v="56"/>
    <x v="0"/>
    <x v="2"/>
    <x v="0"/>
    <n v="89"/>
    <x v="48"/>
    <x v="2"/>
    <s v="Indigo"/>
    <x v="3"/>
    <n v="4"/>
    <s v="No"/>
    <x v="3"/>
    <s v="Yes"/>
    <n v="24"/>
    <x v="0"/>
    <s v="Annually"/>
    <n v="0.1"/>
    <n v="80.099999999999994"/>
    <n v="89"/>
    <s v="Venmo"/>
    <s v="Normal"/>
    <s v="Good"/>
  </r>
  <r>
    <n v="1545"/>
    <n v="30"/>
    <x v="0"/>
    <x v="16"/>
    <x v="3"/>
    <n v="24"/>
    <x v="10"/>
    <x v="2"/>
    <s v="Maroon"/>
    <x v="1"/>
    <n v="3.9"/>
    <s v="No"/>
    <x v="3"/>
    <s v="Yes"/>
    <n v="17"/>
    <x v="5"/>
    <s v="Bi-Weekly"/>
    <n v="0.1"/>
    <n v="21.6"/>
    <n v="24"/>
    <s v="Debit Card"/>
    <s v="Normal"/>
    <s v="Good"/>
  </r>
  <r>
    <n v="1546"/>
    <n v="48"/>
    <x v="0"/>
    <x v="22"/>
    <x v="3"/>
    <n v="43"/>
    <x v="12"/>
    <x v="2"/>
    <s v="Black"/>
    <x v="0"/>
    <n v="4.9000000000000004"/>
    <s v="No"/>
    <x v="5"/>
    <s v="Yes"/>
    <n v="49"/>
    <x v="4"/>
    <s v="Annually"/>
    <n v="0.1"/>
    <n v="38.700000000000003"/>
    <n v="43"/>
    <s v="Bank Transfer"/>
    <s v="Normal"/>
    <s v="Good"/>
  </r>
  <r>
    <n v="1547"/>
    <n v="60"/>
    <x v="0"/>
    <x v="4"/>
    <x v="1"/>
    <n v="51"/>
    <x v="4"/>
    <x v="3"/>
    <s v="Purple"/>
    <x v="2"/>
    <n v="3.8"/>
    <s v="No"/>
    <x v="0"/>
    <s v="Yes"/>
    <n v="17"/>
    <x v="4"/>
    <s v="Annually"/>
    <n v="0.1"/>
    <n v="45.9"/>
    <n v="51"/>
    <s v="Bank Transfer"/>
    <s v="Normal"/>
    <s v="Good"/>
  </r>
  <r>
    <n v="1548"/>
    <n v="46"/>
    <x v="0"/>
    <x v="19"/>
    <x v="3"/>
    <n v="46"/>
    <x v="36"/>
    <x v="0"/>
    <s v="Teal"/>
    <x v="2"/>
    <n v="3.5"/>
    <s v="No"/>
    <x v="3"/>
    <s v="Yes"/>
    <n v="40"/>
    <x v="1"/>
    <s v="Quarterly"/>
    <n v="0.1"/>
    <n v="41.4"/>
    <n v="46"/>
    <s v="Cash"/>
    <s v="Normal"/>
    <s v="Good"/>
  </r>
  <r>
    <n v="1549"/>
    <n v="69"/>
    <x v="0"/>
    <x v="10"/>
    <x v="0"/>
    <n v="32"/>
    <x v="33"/>
    <x v="2"/>
    <s v="Silver"/>
    <x v="2"/>
    <n v="3.7"/>
    <s v="No"/>
    <x v="5"/>
    <s v="Yes"/>
    <n v="43"/>
    <x v="4"/>
    <s v="Weekly"/>
    <n v="0.1"/>
    <n v="28.8"/>
    <n v="32"/>
    <s v="Bank Transfer"/>
    <s v="Normal"/>
    <s v="Good"/>
  </r>
  <r>
    <n v="1550"/>
    <n v="19"/>
    <x v="0"/>
    <x v="4"/>
    <x v="1"/>
    <n v="55"/>
    <x v="23"/>
    <x v="2"/>
    <s v="Black"/>
    <x v="1"/>
    <n v="2.9"/>
    <s v="No"/>
    <x v="4"/>
    <s v="Yes"/>
    <n v="19"/>
    <x v="5"/>
    <s v="Every 3 Months"/>
    <n v="0.1"/>
    <n v="49.5"/>
    <n v="55"/>
    <s v="Debit Card"/>
    <s v="Normal"/>
    <s v="Poor"/>
  </r>
  <r>
    <n v="1551"/>
    <n v="66"/>
    <x v="0"/>
    <x v="12"/>
    <x v="3"/>
    <n v="26"/>
    <x v="10"/>
    <x v="1"/>
    <s v="Black"/>
    <x v="2"/>
    <n v="2.8"/>
    <s v="No"/>
    <x v="1"/>
    <s v="Yes"/>
    <n v="40"/>
    <x v="4"/>
    <s v="Quarterly"/>
    <n v="0.1"/>
    <n v="23.4"/>
    <n v="26"/>
    <s v="Bank Transfer"/>
    <s v="Normal"/>
    <s v="Poor"/>
  </r>
  <r>
    <n v="1552"/>
    <n v="64"/>
    <x v="0"/>
    <x v="8"/>
    <x v="3"/>
    <n v="29"/>
    <x v="46"/>
    <x v="2"/>
    <s v="Olive"/>
    <x v="2"/>
    <n v="3.7"/>
    <s v="No"/>
    <x v="4"/>
    <s v="Yes"/>
    <n v="13"/>
    <x v="2"/>
    <s v="Monthly"/>
    <n v="0.1"/>
    <n v="26.1"/>
    <n v="29"/>
    <s v="Credit Card"/>
    <s v="Normal"/>
    <s v="Good"/>
  </r>
  <r>
    <n v="1553"/>
    <n v="54"/>
    <x v="0"/>
    <x v="0"/>
    <x v="0"/>
    <n v="49"/>
    <x v="35"/>
    <x v="0"/>
    <s v="Purple"/>
    <x v="1"/>
    <n v="3"/>
    <s v="No"/>
    <x v="0"/>
    <s v="Yes"/>
    <n v="20"/>
    <x v="2"/>
    <s v="Monthly"/>
    <n v="0.1"/>
    <n v="44.1"/>
    <n v="49"/>
    <s v="Credit Card"/>
    <s v="Normal"/>
    <s v="Good"/>
  </r>
  <r>
    <n v="1554"/>
    <n v="27"/>
    <x v="0"/>
    <x v="0"/>
    <x v="0"/>
    <n v="45"/>
    <x v="12"/>
    <x v="2"/>
    <s v="Indigo"/>
    <x v="1"/>
    <n v="4.8"/>
    <s v="No"/>
    <x v="1"/>
    <s v="Yes"/>
    <n v="21"/>
    <x v="5"/>
    <s v="Quarterly"/>
    <n v="0.1"/>
    <n v="40.5"/>
    <n v="45"/>
    <s v="Debit Card"/>
    <s v="Normal"/>
    <s v="Good"/>
  </r>
  <r>
    <n v="1555"/>
    <n v="64"/>
    <x v="0"/>
    <x v="6"/>
    <x v="0"/>
    <n v="48"/>
    <x v="40"/>
    <x v="1"/>
    <s v="Lavender"/>
    <x v="0"/>
    <n v="2.7"/>
    <s v="No"/>
    <x v="3"/>
    <s v="Yes"/>
    <n v="18"/>
    <x v="1"/>
    <s v="Bi-Weekly"/>
    <n v="0.1"/>
    <n v="43.2"/>
    <n v="48"/>
    <s v="Cash"/>
    <s v="Normal"/>
    <s v="Poor"/>
  </r>
  <r>
    <n v="1556"/>
    <n v="43"/>
    <x v="0"/>
    <x v="6"/>
    <x v="0"/>
    <n v="47"/>
    <x v="31"/>
    <x v="1"/>
    <s v="Cyan"/>
    <x v="0"/>
    <n v="4.5"/>
    <s v="No"/>
    <x v="1"/>
    <s v="Yes"/>
    <n v="44"/>
    <x v="1"/>
    <s v="Quarterly"/>
    <n v="0.1"/>
    <n v="42.3"/>
    <n v="47"/>
    <s v="Cash"/>
    <s v="Normal"/>
    <s v="Good"/>
  </r>
  <r>
    <n v="1557"/>
    <n v="43"/>
    <x v="0"/>
    <x v="15"/>
    <x v="0"/>
    <n v="57"/>
    <x v="15"/>
    <x v="2"/>
    <s v="Gold"/>
    <x v="3"/>
    <n v="2.7"/>
    <s v="No"/>
    <x v="3"/>
    <s v="Yes"/>
    <n v="26"/>
    <x v="2"/>
    <s v="Quarterly"/>
    <n v="0.1"/>
    <n v="51.3"/>
    <n v="57"/>
    <s v="Credit Card"/>
    <s v="Normal"/>
    <s v="Poor"/>
  </r>
  <r>
    <n v="1558"/>
    <n v="27"/>
    <x v="0"/>
    <x v="21"/>
    <x v="3"/>
    <n v="34"/>
    <x v="45"/>
    <x v="0"/>
    <s v="Magenta"/>
    <x v="3"/>
    <n v="3.5"/>
    <s v="No"/>
    <x v="2"/>
    <s v="Yes"/>
    <n v="34"/>
    <x v="3"/>
    <s v="Quarterly"/>
    <n v="0.1"/>
    <n v="30.6"/>
    <n v="34"/>
    <s v="PayPal"/>
    <s v="Normal"/>
    <s v="Good"/>
  </r>
  <r>
    <n v="1559"/>
    <n v="35"/>
    <x v="0"/>
    <x v="12"/>
    <x v="3"/>
    <n v="75"/>
    <x v="35"/>
    <x v="3"/>
    <s v="Teal"/>
    <x v="3"/>
    <n v="3.5"/>
    <s v="No"/>
    <x v="0"/>
    <s v="Yes"/>
    <n v="24"/>
    <x v="2"/>
    <s v="Every 3 Months"/>
    <n v="0.1"/>
    <n v="67.5"/>
    <n v="75"/>
    <s v="Credit Card"/>
    <s v="Normal"/>
    <s v="Good"/>
  </r>
  <r>
    <n v="1560"/>
    <n v="43"/>
    <x v="0"/>
    <x v="18"/>
    <x v="3"/>
    <n v="94"/>
    <x v="4"/>
    <x v="0"/>
    <s v="Beige"/>
    <x v="3"/>
    <n v="4.5"/>
    <s v="No"/>
    <x v="5"/>
    <s v="Yes"/>
    <n v="23"/>
    <x v="3"/>
    <s v="Fortnightly"/>
    <n v="0.1"/>
    <n v="84.6"/>
    <n v="94"/>
    <s v="PayPal"/>
    <s v="Normal"/>
    <s v="Good"/>
  </r>
  <r>
    <n v="1561"/>
    <n v="57"/>
    <x v="0"/>
    <x v="19"/>
    <x v="3"/>
    <n v="84"/>
    <x v="4"/>
    <x v="2"/>
    <s v="Teal"/>
    <x v="0"/>
    <n v="3.8"/>
    <s v="No"/>
    <x v="1"/>
    <s v="Yes"/>
    <n v="3"/>
    <x v="5"/>
    <s v="Weekly"/>
    <n v="0.1"/>
    <n v="75.599999999999994"/>
    <n v="84"/>
    <s v="Debit Card"/>
    <s v="Normal"/>
    <s v="Good"/>
  </r>
  <r>
    <n v="1562"/>
    <n v="50"/>
    <x v="0"/>
    <x v="18"/>
    <x v="3"/>
    <n v="38"/>
    <x v="16"/>
    <x v="2"/>
    <s v="Indigo"/>
    <x v="2"/>
    <n v="3.8"/>
    <s v="No"/>
    <x v="3"/>
    <s v="Yes"/>
    <n v="2"/>
    <x v="4"/>
    <s v="Quarterly"/>
    <n v="0.1"/>
    <n v="34.200000000000003"/>
    <n v="38"/>
    <s v="Bank Transfer"/>
    <s v="Normal"/>
    <s v="Good"/>
  </r>
  <r>
    <n v="1563"/>
    <n v="37"/>
    <x v="0"/>
    <x v="18"/>
    <x v="3"/>
    <n v="75"/>
    <x v="15"/>
    <x v="2"/>
    <s v="Purple"/>
    <x v="0"/>
    <n v="3.2"/>
    <s v="No"/>
    <x v="2"/>
    <s v="Yes"/>
    <n v="23"/>
    <x v="0"/>
    <s v="Bi-Weekly"/>
    <n v="0.1"/>
    <n v="67.5"/>
    <n v="75"/>
    <s v="Venmo"/>
    <s v="Normal"/>
    <s v="Good"/>
  </r>
  <r>
    <n v="1564"/>
    <n v="68"/>
    <x v="0"/>
    <x v="13"/>
    <x v="0"/>
    <n v="44"/>
    <x v="23"/>
    <x v="2"/>
    <s v="Teal"/>
    <x v="3"/>
    <n v="4.3"/>
    <s v="No"/>
    <x v="2"/>
    <s v="Yes"/>
    <n v="8"/>
    <x v="1"/>
    <s v="Weekly"/>
    <n v="0.1"/>
    <n v="39.6"/>
    <n v="44"/>
    <s v="Cash"/>
    <s v="Normal"/>
    <s v="Good"/>
  </r>
  <r>
    <n v="1565"/>
    <n v="22"/>
    <x v="0"/>
    <x v="21"/>
    <x v="3"/>
    <n v="33"/>
    <x v="18"/>
    <x v="3"/>
    <s v="Turquoise"/>
    <x v="2"/>
    <n v="4.5"/>
    <s v="No"/>
    <x v="2"/>
    <s v="Yes"/>
    <n v="30"/>
    <x v="5"/>
    <s v="Every 3 Months"/>
    <n v="0.1"/>
    <n v="29.7"/>
    <n v="33"/>
    <s v="Debit Card"/>
    <s v="Normal"/>
    <s v="Good"/>
  </r>
  <r>
    <n v="1566"/>
    <n v="58"/>
    <x v="0"/>
    <x v="12"/>
    <x v="3"/>
    <n v="93"/>
    <x v="37"/>
    <x v="0"/>
    <s v="Peach"/>
    <x v="3"/>
    <n v="4.2"/>
    <s v="No"/>
    <x v="1"/>
    <s v="Yes"/>
    <n v="48"/>
    <x v="3"/>
    <s v="Annually"/>
    <n v="0.1"/>
    <n v="83.7"/>
    <n v="93"/>
    <s v="PayPal"/>
    <s v="Normal"/>
    <s v="Good"/>
  </r>
  <r>
    <n v="1567"/>
    <n v="48"/>
    <x v="0"/>
    <x v="4"/>
    <x v="1"/>
    <n v="99"/>
    <x v="5"/>
    <x v="1"/>
    <s v="Green"/>
    <x v="0"/>
    <n v="3"/>
    <s v="No"/>
    <x v="1"/>
    <s v="Yes"/>
    <n v="21"/>
    <x v="1"/>
    <s v="Bi-Weekly"/>
    <n v="0.1"/>
    <n v="89.1"/>
    <n v="99"/>
    <s v="Cash"/>
    <s v="Normal"/>
    <s v="Good"/>
  </r>
  <r>
    <n v="1568"/>
    <n v="30"/>
    <x v="0"/>
    <x v="21"/>
    <x v="3"/>
    <n v="33"/>
    <x v="46"/>
    <x v="2"/>
    <s v="Turquoise"/>
    <x v="1"/>
    <n v="4.0999999999999996"/>
    <s v="No"/>
    <x v="3"/>
    <s v="Yes"/>
    <n v="9"/>
    <x v="1"/>
    <s v="Monthly"/>
    <n v="0.1"/>
    <n v="29.7"/>
    <n v="33"/>
    <s v="Cash"/>
    <s v="Normal"/>
    <s v="Good"/>
  </r>
  <r>
    <n v="1569"/>
    <n v="51"/>
    <x v="0"/>
    <x v="4"/>
    <x v="1"/>
    <n v="76"/>
    <x v="47"/>
    <x v="0"/>
    <s v="Yellow"/>
    <x v="1"/>
    <n v="4.5999999999999996"/>
    <s v="No"/>
    <x v="5"/>
    <s v="Yes"/>
    <n v="8"/>
    <x v="5"/>
    <s v="Monthly"/>
    <n v="0.1"/>
    <n v="68.400000000000006"/>
    <n v="76"/>
    <s v="Debit Card"/>
    <s v="Normal"/>
    <s v="Good"/>
  </r>
  <r>
    <n v="1570"/>
    <n v="20"/>
    <x v="0"/>
    <x v="11"/>
    <x v="0"/>
    <n v="63"/>
    <x v="11"/>
    <x v="2"/>
    <s v="Orange"/>
    <x v="2"/>
    <n v="2.9"/>
    <s v="No"/>
    <x v="3"/>
    <s v="Yes"/>
    <n v="29"/>
    <x v="5"/>
    <s v="Weekly"/>
    <n v="0.1"/>
    <n v="56.7"/>
    <n v="63"/>
    <s v="Debit Card"/>
    <s v="Normal"/>
    <s v="Poor"/>
  </r>
  <r>
    <n v="1571"/>
    <n v="30"/>
    <x v="0"/>
    <x v="13"/>
    <x v="0"/>
    <n v="41"/>
    <x v="9"/>
    <x v="0"/>
    <s v="Brown"/>
    <x v="0"/>
    <n v="4.8"/>
    <s v="No"/>
    <x v="2"/>
    <s v="Yes"/>
    <n v="3"/>
    <x v="4"/>
    <s v="Every 3 Months"/>
    <n v="0.1"/>
    <n v="36.9"/>
    <n v="41"/>
    <s v="Bank Transfer"/>
    <s v="Normal"/>
    <s v="Good"/>
  </r>
  <r>
    <n v="1572"/>
    <n v="28"/>
    <x v="0"/>
    <x v="16"/>
    <x v="3"/>
    <n v="88"/>
    <x v="24"/>
    <x v="0"/>
    <s v="Silver"/>
    <x v="0"/>
    <n v="4.5"/>
    <s v="No"/>
    <x v="2"/>
    <s v="Yes"/>
    <n v="11"/>
    <x v="4"/>
    <s v="Fortnightly"/>
    <n v="0.1"/>
    <n v="79.2"/>
    <n v="88"/>
    <s v="Bank Transfer"/>
    <s v="Normal"/>
    <s v="Good"/>
  </r>
  <r>
    <n v="1573"/>
    <n v="37"/>
    <x v="0"/>
    <x v="11"/>
    <x v="0"/>
    <n v="92"/>
    <x v="47"/>
    <x v="0"/>
    <s v="White"/>
    <x v="2"/>
    <n v="3.4"/>
    <s v="No"/>
    <x v="4"/>
    <s v="Yes"/>
    <n v="16"/>
    <x v="5"/>
    <s v="Monthly"/>
    <n v="0.1"/>
    <n v="82.8"/>
    <n v="92"/>
    <s v="Debit Card"/>
    <s v="Normal"/>
    <s v="Good"/>
  </r>
  <r>
    <n v="1574"/>
    <n v="36"/>
    <x v="0"/>
    <x v="17"/>
    <x v="0"/>
    <n v="31"/>
    <x v="25"/>
    <x v="0"/>
    <s v="Indigo"/>
    <x v="2"/>
    <n v="4.3"/>
    <s v="No"/>
    <x v="4"/>
    <s v="Yes"/>
    <n v="25"/>
    <x v="5"/>
    <s v="Weekly"/>
    <n v="0.1"/>
    <n v="27.9"/>
    <n v="31"/>
    <s v="Debit Card"/>
    <s v="Normal"/>
    <s v="Good"/>
  </r>
  <r>
    <n v="1575"/>
    <n v="18"/>
    <x v="0"/>
    <x v="11"/>
    <x v="0"/>
    <n v="25"/>
    <x v="46"/>
    <x v="1"/>
    <s v="Magenta"/>
    <x v="1"/>
    <n v="4.2"/>
    <s v="No"/>
    <x v="1"/>
    <s v="Yes"/>
    <n v="32"/>
    <x v="3"/>
    <s v="Bi-Weekly"/>
    <n v="0.1"/>
    <n v="22.5"/>
    <n v="25"/>
    <s v="PayPal"/>
    <s v="Normal"/>
    <s v="Good"/>
  </r>
  <r>
    <n v="1576"/>
    <n v="52"/>
    <x v="0"/>
    <x v="5"/>
    <x v="0"/>
    <n v="28"/>
    <x v="18"/>
    <x v="2"/>
    <s v="Turquoise"/>
    <x v="1"/>
    <n v="3.6"/>
    <s v="No"/>
    <x v="2"/>
    <s v="Yes"/>
    <n v="28"/>
    <x v="1"/>
    <s v="Fortnightly"/>
    <n v="0.1"/>
    <n v="25.2"/>
    <n v="28"/>
    <s v="Cash"/>
    <s v="Normal"/>
    <s v="Good"/>
  </r>
  <r>
    <n v="1577"/>
    <n v="56"/>
    <x v="0"/>
    <x v="10"/>
    <x v="0"/>
    <n v="75"/>
    <x v="49"/>
    <x v="2"/>
    <s v="White"/>
    <x v="1"/>
    <n v="3.7"/>
    <s v="No"/>
    <x v="4"/>
    <s v="Yes"/>
    <n v="36"/>
    <x v="3"/>
    <s v="Monthly"/>
    <n v="0.1"/>
    <n v="67.5"/>
    <n v="75"/>
    <s v="PayPal"/>
    <s v="Normal"/>
    <s v="Good"/>
  </r>
  <r>
    <n v="1578"/>
    <n v="68"/>
    <x v="0"/>
    <x v="23"/>
    <x v="1"/>
    <n v="34"/>
    <x v="12"/>
    <x v="1"/>
    <s v="Olive"/>
    <x v="1"/>
    <n v="4"/>
    <s v="No"/>
    <x v="3"/>
    <s v="Yes"/>
    <n v="7"/>
    <x v="0"/>
    <s v="Fortnightly"/>
    <n v="0.1"/>
    <n v="30.6"/>
    <n v="34"/>
    <s v="Venmo"/>
    <s v="Normal"/>
    <s v="Good"/>
  </r>
  <r>
    <n v="1579"/>
    <n v="62"/>
    <x v="0"/>
    <x v="13"/>
    <x v="0"/>
    <n v="97"/>
    <x v="18"/>
    <x v="1"/>
    <s v="Maroon"/>
    <x v="0"/>
    <n v="4.9000000000000004"/>
    <s v="No"/>
    <x v="4"/>
    <s v="Yes"/>
    <n v="2"/>
    <x v="3"/>
    <s v="Quarterly"/>
    <n v="0.1"/>
    <n v="87.3"/>
    <n v="97"/>
    <s v="PayPal"/>
    <s v="Normal"/>
    <s v="Good"/>
  </r>
  <r>
    <n v="1580"/>
    <n v="35"/>
    <x v="0"/>
    <x v="14"/>
    <x v="2"/>
    <n v="80"/>
    <x v="19"/>
    <x v="2"/>
    <s v="Violet"/>
    <x v="2"/>
    <n v="3.1"/>
    <s v="No"/>
    <x v="1"/>
    <s v="Yes"/>
    <n v="6"/>
    <x v="4"/>
    <s v="Monthly"/>
    <n v="0.1"/>
    <n v="72"/>
    <n v="80"/>
    <s v="Bank Transfer"/>
    <s v="Normal"/>
    <s v="Good"/>
  </r>
  <r>
    <n v="1581"/>
    <n v="65"/>
    <x v="0"/>
    <x v="4"/>
    <x v="1"/>
    <n v="71"/>
    <x v="25"/>
    <x v="0"/>
    <s v="Cyan"/>
    <x v="2"/>
    <n v="3.7"/>
    <s v="No"/>
    <x v="3"/>
    <s v="Yes"/>
    <n v="30"/>
    <x v="1"/>
    <s v="Annually"/>
    <n v="0.1"/>
    <n v="63.9"/>
    <n v="71"/>
    <s v="Cash"/>
    <s v="Normal"/>
    <s v="Good"/>
  </r>
  <r>
    <n v="1582"/>
    <n v="69"/>
    <x v="0"/>
    <x v="16"/>
    <x v="3"/>
    <n v="77"/>
    <x v="31"/>
    <x v="0"/>
    <s v="Teal"/>
    <x v="3"/>
    <n v="4.2"/>
    <s v="No"/>
    <x v="1"/>
    <s v="Yes"/>
    <n v="46"/>
    <x v="1"/>
    <s v="Quarterly"/>
    <n v="0.1"/>
    <n v="69.3"/>
    <n v="77"/>
    <s v="Cash"/>
    <s v="Normal"/>
    <s v="Good"/>
  </r>
  <r>
    <n v="1583"/>
    <n v="28"/>
    <x v="0"/>
    <x v="22"/>
    <x v="3"/>
    <n v="41"/>
    <x v="11"/>
    <x v="0"/>
    <s v="Red"/>
    <x v="1"/>
    <n v="2.5"/>
    <s v="No"/>
    <x v="2"/>
    <s v="Yes"/>
    <n v="39"/>
    <x v="1"/>
    <s v="Monthly"/>
    <n v="0.1"/>
    <n v="36.9"/>
    <n v="41"/>
    <s v="Cash"/>
    <s v="Normal"/>
    <s v="Poor"/>
  </r>
  <r>
    <n v="1584"/>
    <n v="37"/>
    <x v="0"/>
    <x v="18"/>
    <x v="3"/>
    <n v="92"/>
    <x v="33"/>
    <x v="3"/>
    <s v="Yellow"/>
    <x v="2"/>
    <n v="4.3"/>
    <s v="No"/>
    <x v="2"/>
    <s v="Yes"/>
    <n v="8"/>
    <x v="0"/>
    <s v="Annually"/>
    <n v="0.1"/>
    <n v="82.8"/>
    <n v="92"/>
    <s v="Venmo"/>
    <s v="Normal"/>
    <s v="Good"/>
  </r>
  <r>
    <n v="1585"/>
    <n v="41"/>
    <x v="0"/>
    <x v="0"/>
    <x v="0"/>
    <n v="95"/>
    <x v="11"/>
    <x v="1"/>
    <s v="Silver"/>
    <x v="1"/>
    <n v="3.1"/>
    <s v="No"/>
    <x v="5"/>
    <s v="Yes"/>
    <n v="46"/>
    <x v="2"/>
    <s v="Quarterly"/>
    <n v="0.1"/>
    <n v="85.5"/>
    <n v="95"/>
    <s v="Credit Card"/>
    <s v="Normal"/>
    <s v="Good"/>
  </r>
  <r>
    <n v="1586"/>
    <n v="37"/>
    <x v="0"/>
    <x v="1"/>
    <x v="0"/>
    <n v="25"/>
    <x v="15"/>
    <x v="2"/>
    <s v="Charcoal"/>
    <x v="3"/>
    <n v="3"/>
    <s v="No"/>
    <x v="2"/>
    <s v="Yes"/>
    <n v="40"/>
    <x v="5"/>
    <s v="Fortnightly"/>
    <n v="0.1"/>
    <n v="22.5"/>
    <n v="25"/>
    <s v="Debit Card"/>
    <s v="Normal"/>
    <s v="Good"/>
  </r>
  <r>
    <n v="1587"/>
    <n v="25"/>
    <x v="0"/>
    <x v="23"/>
    <x v="1"/>
    <n v="77"/>
    <x v="19"/>
    <x v="2"/>
    <s v="Purple"/>
    <x v="3"/>
    <n v="4"/>
    <s v="No"/>
    <x v="0"/>
    <s v="Yes"/>
    <n v="21"/>
    <x v="4"/>
    <s v="Weekly"/>
    <n v="0.1"/>
    <n v="69.3"/>
    <n v="77"/>
    <s v="Bank Transfer"/>
    <s v="Normal"/>
    <s v="Good"/>
  </r>
  <r>
    <n v="1588"/>
    <n v="41"/>
    <x v="0"/>
    <x v="20"/>
    <x v="0"/>
    <n v="99"/>
    <x v="15"/>
    <x v="2"/>
    <s v="Beige"/>
    <x v="2"/>
    <n v="3.5"/>
    <s v="No"/>
    <x v="1"/>
    <s v="Yes"/>
    <n v="33"/>
    <x v="2"/>
    <s v="Fortnightly"/>
    <n v="0.1"/>
    <n v="89.1"/>
    <n v="99"/>
    <s v="Credit Card"/>
    <s v="Normal"/>
    <s v="Good"/>
  </r>
  <r>
    <n v="1589"/>
    <n v="48"/>
    <x v="0"/>
    <x v="22"/>
    <x v="3"/>
    <n v="24"/>
    <x v="34"/>
    <x v="0"/>
    <s v="Cyan"/>
    <x v="0"/>
    <n v="3.2"/>
    <s v="No"/>
    <x v="2"/>
    <s v="Yes"/>
    <n v="3"/>
    <x v="0"/>
    <s v="Monthly"/>
    <n v="0.1"/>
    <n v="21.6"/>
    <n v="24"/>
    <s v="Venmo"/>
    <s v="Normal"/>
    <s v="Good"/>
  </r>
  <r>
    <n v="1590"/>
    <n v="42"/>
    <x v="0"/>
    <x v="4"/>
    <x v="1"/>
    <n v="72"/>
    <x v="31"/>
    <x v="2"/>
    <s v="Silver"/>
    <x v="2"/>
    <n v="2.7"/>
    <s v="No"/>
    <x v="5"/>
    <s v="Yes"/>
    <n v="48"/>
    <x v="1"/>
    <s v="Weekly"/>
    <n v="0.1"/>
    <n v="64.8"/>
    <n v="72"/>
    <s v="Cash"/>
    <s v="Normal"/>
    <s v="Poor"/>
  </r>
  <r>
    <n v="1591"/>
    <n v="54"/>
    <x v="0"/>
    <x v="2"/>
    <x v="0"/>
    <n v="80"/>
    <x v="48"/>
    <x v="1"/>
    <s v="Pink"/>
    <x v="0"/>
    <n v="3"/>
    <s v="No"/>
    <x v="1"/>
    <s v="Yes"/>
    <n v="8"/>
    <x v="3"/>
    <s v="Annually"/>
    <n v="0.1"/>
    <n v="72"/>
    <n v="80"/>
    <s v="PayPal"/>
    <s v="Normal"/>
    <s v="Good"/>
  </r>
  <r>
    <n v="1592"/>
    <n v="18"/>
    <x v="0"/>
    <x v="11"/>
    <x v="0"/>
    <n v="100"/>
    <x v="45"/>
    <x v="0"/>
    <s v="Gold"/>
    <x v="0"/>
    <n v="2.9"/>
    <s v="No"/>
    <x v="2"/>
    <s v="Yes"/>
    <n v="24"/>
    <x v="3"/>
    <s v="Annually"/>
    <n v="0.1"/>
    <n v="90"/>
    <n v="100"/>
    <s v="PayPal"/>
    <s v="Normal"/>
    <s v="Poor"/>
  </r>
  <r>
    <n v="1593"/>
    <n v="56"/>
    <x v="0"/>
    <x v="9"/>
    <x v="1"/>
    <n v="83"/>
    <x v="44"/>
    <x v="2"/>
    <s v="Cyan"/>
    <x v="2"/>
    <n v="3.3"/>
    <s v="No"/>
    <x v="1"/>
    <s v="Yes"/>
    <n v="10"/>
    <x v="4"/>
    <s v="Every 3 Months"/>
    <n v="0.1"/>
    <n v="74.7"/>
    <n v="83"/>
    <s v="Bank Transfer"/>
    <s v="Normal"/>
    <s v="Good"/>
  </r>
  <r>
    <n v="1594"/>
    <n v="61"/>
    <x v="0"/>
    <x v="10"/>
    <x v="0"/>
    <n v="95"/>
    <x v="33"/>
    <x v="2"/>
    <s v="Black"/>
    <x v="1"/>
    <n v="4.9000000000000004"/>
    <s v="No"/>
    <x v="4"/>
    <s v="Yes"/>
    <n v="25"/>
    <x v="4"/>
    <s v="Monthly"/>
    <n v="0.1"/>
    <n v="85.5"/>
    <n v="95"/>
    <s v="Bank Transfer"/>
    <s v="Normal"/>
    <s v="Good"/>
  </r>
  <r>
    <n v="1595"/>
    <n v="40"/>
    <x v="0"/>
    <x v="8"/>
    <x v="3"/>
    <n v="41"/>
    <x v="24"/>
    <x v="3"/>
    <s v="Charcoal"/>
    <x v="2"/>
    <n v="3.7"/>
    <s v="No"/>
    <x v="5"/>
    <s v="Yes"/>
    <n v="3"/>
    <x v="1"/>
    <s v="Fortnightly"/>
    <n v="0.1"/>
    <n v="36.9"/>
    <n v="41"/>
    <s v="Cash"/>
    <s v="Normal"/>
    <s v="Good"/>
  </r>
  <r>
    <n v="1596"/>
    <n v="34"/>
    <x v="0"/>
    <x v="21"/>
    <x v="3"/>
    <n v="35"/>
    <x v="48"/>
    <x v="1"/>
    <s v="Magenta"/>
    <x v="1"/>
    <n v="3.5"/>
    <s v="No"/>
    <x v="3"/>
    <s v="Yes"/>
    <n v="45"/>
    <x v="5"/>
    <s v="Fortnightly"/>
    <n v="0.1"/>
    <n v="31.5"/>
    <n v="35"/>
    <s v="Debit Card"/>
    <s v="Normal"/>
    <s v="Good"/>
  </r>
  <r>
    <n v="1597"/>
    <n v="42"/>
    <x v="0"/>
    <x v="16"/>
    <x v="3"/>
    <n v="30"/>
    <x v="16"/>
    <x v="1"/>
    <s v="Pink"/>
    <x v="3"/>
    <n v="4.7"/>
    <s v="No"/>
    <x v="5"/>
    <s v="Yes"/>
    <n v="15"/>
    <x v="5"/>
    <s v="Monthly"/>
    <n v="0.1"/>
    <n v="27"/>
    <n v="30"/>
    <s v="Debit Card"/>
    <s v="Normal"/>
    <s v="Good"/>
  </r>
  <r>
    <n v="1598"/>
    <n v="43"/>
    <x v="0"/>
    <x v="19"/>
    <x v="3"/>
    <n v="21"/>
    <x v="16"/>
    <x v="3"/>
    <s v="Maroon"/>
    <x v="0"/>
    <n v="2.6"/>
    <s v="No"/>
    <x v="5"/>
    <s v="Yes"/>
    <n v="34"/>
    <x v="4"/>
    <s v="Quarterly"/>
    <n v="0.1"/>
    <n v="18.899999999999999"/>
    <n v="21"/>
    <s v="Bank Transfer"/>
    <s v="Normal"/>
    <s v="Poor"/>
  </r>
  <r>
    <n v="1599"/>
    <n v="47"/>
    <x v="0"/>
    <x v="16"/>
    <x v="3"/>
    <n v="85"/>
    <x v="18"/>
    <x v="2"/>
    <s v="Teal"/>
    <x v="3"/>
    <n v="4.0999999999999996"/>
    <s v="No"/>
    <x v="0"/>
    <s v="Yes"/>
    <n v="21"/>
    <x v="0"/>
    <s v="Bi-Weekly"/>
    <n v="0.1"/>
    <n v="76.5"/>
    <n v="85"/>
    <s v="Venmo"/>
    <s v="Normal"/>
    <s v="Good"/>
  </r>
  <r>
    <n v="1600"/>
    <n v="48"/>
    <x v="0"/>
    <x v="5"/>
    <x v="0"/>
    <n v="54"/>
    <x v="12"/>
    <x v="2"/>
    <s v="Orange"/>
    <x v="0"/>
    <n v="2.8"/>
    <s v="No"/>
    <x v="4"/>
    <s v="Yes"/>
    <n v="22"/>
    <x v="5"/>
    <s v="Bi-Weekly"/>
    <n v="0.1"/>
    <n v="48.6"/>
    <n v="54"/>
    <s v="Debit Card"/>
    <s v="Normal"/>
    <s v="Poor"/>
  </r>
  <r>
    <n v="1601"/>
    <n v="20"/>
    <x v="0"/>
    <x v="23"/>
    <x v="1"/>
    <n v="26"/>
    <x v="6"/>
    <x v="1"/>
    <s v="Yellow"/>
    <x v="1"/>
    <n v="4.7"/>
    <s v="No"/>
    <x v="2"/>
    <s v="Yes"/>
    <n v="24"/>
    <x v="3"/>
    <s v="Weekly"/>
    <n v="0.1"/>
    <n v="23.4"/>
    <n v="26"/>
    <s v="PayPal"/>
    <s v="Normal"/>
    <s v="Good"/>
  </r>
  <r>
    <n v="1602"/>
    <n v="65"/>
    <x v="0"/>
    <x v="5"/>
    <x v="0"/>
    <n v="59"/>
    <x v="27"/>
    <x v="3"/>
    <s v="Red"/>
    <x v="1"/>
    <n v="2.9"/>
    <s v="No"/>
    <x v="5"/>
    <s v="Yes"/>
    <n v="33"/>
    <x v="2"/>
    <s v="Monthly"/>
    <n v="0.1"/>
    <n v="53.1"/>
    <n v="59"/>
    <s v="Credit Card"/>
    <s v="Normal"/>
    <s v="Poor"/>
  </r>
  <r>
    <n v="1603"/>
    <n v="54"/>
    <x v="0"/>
    <x v="12"/>
    <x v="3"/>
    <n v="48"/>
    <x v="8"/>
    <x v="1"/>
    <s v="Charcoal"/>
    <x v="0"/>
    <n v="2.8"/>
    <s v="No"/>
    <x v="1"/>
    <s v="Yes"/>
    <n v="13"/>
    <x v="0"/>
    <s v="Fortnightly"/>
    <n v="0.1"/>
    <n v="43.2"/>
    <n v="48"/>
    <s v="Venmo"/>
    <s v="Normal"/>
    <s v="Poor"/>
  </r>
  <r>
    <n v="1604"/>
    <n v="23"/>
    <x v="0"/>
    <x v="6"/>
    <x v="0"/>
    <n v="98"/>
    <x v="44"/>
    <x v="0"/>
    <s v="Black"/>
    <x v="2"/>
    <n v="4.3"/>
    <s v="No"/>
    <x v="2"/>
    <s v="Yes"/>
    <n v="17"/>
    <x v="5"/>
    <s v="Bi-Weekly"/>
    <n v="0.1"/>
    <n v="88.2"/>
    <n v="98"/>
    <s v="Debit Card"/>
    <s v="Normal"/>
    <s v="Good"/>
  </r>
  <r>
    <n v="1605"/>
    <n v="18"/>
    <x v="0"/>
    <x v="1"/>
    <x v="0"/>
    <n v="92"/>
    <x v="1"/>
    <x v="2"/>
    <s v="White"/>
    <x v="2"/>
    <n v="4.8"/>
    <s v="No"/>
    <x v="4"/>
    <s v="Yes"/>
    <n v="25"/>
    <x v="2"/>
    <s v="Every 3 Months"/>
    <n v="0.1"/>
    <n v="82.8"/>
    <n v="92"/>
    <s v="Credit Card"/>
    <s v="Normal"/>
    <s v="Good"/>
  </r>
  <r>
    <n v="1606"/>
    <n v="70"/>
    <x v="0"/>
    <x v="22"/>
    <x v="3"/>
    <n v="46"/>
    <x v="39"/>
    <x v="2"/>
    <s v="Lavender"/>
    <x v="0"/>
    <n v="3.4"/>
    <s v="No"/>
    <x v="2"/>
    <s v="Yes"/>
    <n v="15"/>
    <x v="2"/>
    <s v="Bi-Weekly"/>
    <n v="0.1"/>
    <n v="41.4"/>
    <n v="46"/>
    <s v="Credit Card"/>
    <s v="Normal"/>
    <s v="Good"/>
  </r>
  <r>
    <n v="1607"/>
    <n v="55"/>
    <x v="0"/>
    <x v="17"/>
    <x v="0"/>
    <n v="21"/>
    <x v="23"/>
    <x v="1"/>
    <s v="White"/>
    <x v="1"/>
    <n v="4.3"/>
    <s v="No"/>
    <x v="3"/>
    <s v="Yes"/>
    <n v="4"/>
    <x v="3"/>
    <s v="Fortnightly"/>
    <n v="0.1"/>
    <n v="18.899999999999999"/>
    <n v="21"/>
    <s v="PayPal"/>
    <s v="Normal"/>
    <s v="Good"/>
  </r>
  <r>
    <n v="1608"/>
    <n v="49"/>
    <x v="0"/>
    <x v="6"/>
    <x v="0"/>
    <n v="72"/>
    <x v="34"/>
    <x v="1"/>
    <s v="Gray"/>
    <x v="3"/>
    <n v="2.7"/>
    <s v="No"/>
    <x v="1"/>
    <s v="Yes"/>
    <n v="43"/>
    <x v="5"/>
    <s v="Quarterly"/>
    <n v="0.1"/>
    <n v="64.8"/>
    <n v="72"/>
    <s v="Debit Card"/>
    <s v="Normal"/>
    <s v="Poor"/>
  </r>
  <r>
    <n v="1609"/>
    <n v="26"/>
    <x v="0"/>
    <x v="3"/>
    <x v="1"/>
    <n v="58"/>
    <x v="43"/>
    <x v="3"/>
    <s v="Cyan"/>
    <x v="3"/>
    <n v="4.5999999999999996"/>
    <s v="No"/>
    <x v="2"/>
    <s v="Yes"/>
    <n v="12"/>
    <x v="4"/>
    <s v="Bi-Weekly"/>
    <n v="0.1"/>
    <n v="52.2"/>
    <n v="58"/>
    <s v="Bank Transfer"/>
    <s v="Normal"/>
    <s v="Good"/>
  </r>
  <r>
    <n v="1610"/>
    <n v="33"/>
    <x v="0"/>
    <x v="5"/>
    <x v="0"/>
    <n v="93"/>
    <x v="22"/>
    <x v="1"/>
    <s v="Brown"/>
    <x v="3"/>
    <n v="4.0999999999999996"/>
    <s v="No"/>
    <x v="3"/>
    <s v="Yes"/>
    <n v="3"/>
    <x v="0"/>
    <s v="Monthly"/>
    <n v="0.1"/>
    <n v="83.7"/>
    <n v="93"/>
    <s v="Venmo"/>
    <s v="Normal"/>
    <s v="Good"/>
  </r>
  <r>
    <n v="1611"/>
    <n v="20"/>
    <x v="0"/>
    <x v="20"/>
    <x v="0"/>
    <n v="31"/>
    <x v="30"/>
    <x v="0"/>
    <s v="Purple"/>
    <x v="1"/>
    <n v="3.4"/>
    <s v="No"/>
    <x v="4"/>
    <s v="Yes"/>
    <n v="1"/>
    <x v="3"/>
    <s v="Annually"/>
    <n v="0.1"/>
    <n v="27.9"/>
    <n v="31"/>
    <s v="PayPal"/>
    <s v="Normal"/>
    <s v="Good"/>
  </r>
  <r>
    <n v="1612"/>
    <n v="41"/>
    <x v="0"/>
    <x v="13"/>
    <x v="0"/>
    <n v="26"/>
    <x v="10"/>
    <x v="0"/>
    <s v="Yellow"/>
    <x v="0"/>
    <n v="4.5"/>
    <s v="No"/>
    <x v="2"/>
    <s v="Yes"/>
    <n v="6"/>
    <x v="5"/>
    <s v="Monthly"/>
    <n v="0.1"/>
    <n v="23.4"/>
    <n v="26"/>
    <s v="Debit Card"/>
    <s v="Normal"/>
    <s v="Good"/>
  </r>
  <r>
    <n v="1613"/>
    <n v="18"/>
    <x v="0"/>
    <x v="11"/>
    <x v="0"/>
    <n v="68"/>
    <x v="48"/>
    <x v="2"/>
    <s v="Indigo"/>
    <x v="2"/>
    <n v="4.4000000000000004"/>
    <s v="No"/>
    <x v="3"/>
    <s v="Yes"/>
    <n v="26"/>
    <x v="0"/>
    <s v="Monthly"/>
    <n v="0.1"/>
    <n v="61.2"/>
    <n v="68"/>
    <s v="Venmo"/>
    <s v="Normal"/>
    <s v="Good"/>
  </r>
  <r>
    <n v="1614"/>
    <n v="26"/>
    <x v="0"/>
    <x v="16"/>
    <x v="3"/>
    <n v="31"/>
    <x v="26"/>
    <x v="1"/>
    <s v="Black"/>
    <x v="2"/>
    <n v="4"/>
    <s v="No"/>
    <x v="2"/>
    <s v="Yes"/>
    <n v="6"/>
    <x v="2"/>
    <s v="Fortnightly"/>
    <n v="0.1"/>
    <n v="27.9"/>
    <n v="31"/>
    <s v="Credit Card"/>
    <s v="Normal"/>
    <s v="Good"/>
  </r>
  <r>
    <n v="1615"/>
    <n v="30"/>
    <x v="0"/>
    <x v="17"/>
    <x v="0"/>
    <n v="41"/>
    <x v="23"/>
    <x v="1"/>
    <s v="Gray"/>
    <x v="2"/>
    <n v="3.4"/>
    <s v="No"/>
    <x v="1"/>
    <s v="Yes"/>
    <n v="22"/>
    <x v="1"/>
    <s v="Bi-Weekly"/>
    <n v="0.1"/>
    <n v="36.9"/>
    <n v="41"/>
    <s v="Cash"/>
    <s v="Normal"/>
    <s v="Good"/>
  </r>
  <r>
    <n v="1616"/>
    <n v="64"/>
    <x v="0"/>
    <x v="16"/>
    <x v="3"/>
    <n v="62"/>
    <x v="14"/>
    <x v="2"/>
    <s v="Indigo"/>
    <x v="3"/>
    <n v="3.2"/>
    <s v="No"/>
    <x v="3"/>
    <s v="Yes"/>
    <n v="45"/>
    <x v="1"/>
    <s v="Bi-Weekly"/>
    <n v="0.1"/>
    <n v="55.8"/>
    <n v="62"/>
    <s v="Cash"/>
    <s v="Normal"/>
    <s v="Good"/>
  </r>
  <r>
    <n v="1617"/>
    <n v="26"/>
    <x v="0"/>
    <x v="19"/>
    <x v="3"/>
    <n v="41"/>
    <x v="24"/>
    <x v="2"/>
    <s v="Green"/>
    <x v="1"/>
    <n v="3.4"/>
    <s v="No"/>
    <x v="3"/>
    <s v="Yes"/>
    <n v="50"/>
    <x v="1"/>
    <s v="Quarterly"/>
    <n v="0.1"/>
    <n v="36.9"/>
    <n v="41"/>
    <s v="Cash"/>
    <s v="Normal"/>
    <s v="Good"/>
  </r>
  <r>
    <n v="1618"/>
    <n v="43"/>
    <x v="0"/>
    <x v="0"/>
    <x v="0"/>
    <n v="64"/>
    <x v="48"/>
    <x v="2"/>
    <s v="Peach"/>
    <x v="0"/>
    <n v="4.3"/>
    <s v="No"/>
    <x v="3"/>
    <s v="Yes"/>
    <n v="50"/>
    <x v="2"/>
    <s v="Fortnightly"/>
    <n v="0.1"/>
    <n v="57.6"/>
    <n v="64"/>
    <s v="Credit Card"/>
    <s v="Normal"/>
    <s v="Good"/>
  </r>
  <r>
    <n v="1619"/>
    <n v="63"/>
    <x v="0"/>
    <x v="3"/>
    <x v="1"/>
    <n v="72"/>
    <x v="49"/>
    <x v="0"/>
    <s v="Purple"/>
    <x v="2"/>
    <n v="5"/>
    <s v="No"/>
    <x v="3"/>
    <s v="Yes"/>
    <n v="39"/>
    <x v="5"/>
    <s v="Quarterly"/>
    <n v="0.1"/>
    <n v="64.8"/>
    <n v="72"/>
    <s v="Debit Card"/>
    <s v="Normal"/>
    <s v="Good"/>
  </r>
  <r>
    <n v="1620"/>
    <n v="57"/>
    <x v="0"/>
    <x v="8"/>
    <x v="3"/>
    <n v="78"/>
    <x v="11"/>
    <x v="0"/>
    <s v="Beige"/>
    <x v="0"/>
    <n v="3.5"/>
    <s v="No"/>
    <x v="5"/>
    <s v="Yes"/>
    <n v="50"/>
    <x v="0"/>
    <s v="Bi-Weekly"/>
    <n v="0.1"/>
    <n v="70.2"/>
    <n v="78"/>
    <s v="Venmo"/>
    <s v="Normal"/>
    <s v="Good"/>
  </r>
  <r>
    <n v="1621"/>
    <n v="25"/>
    <x v="0"/>
    <x v="19"/>
    <x v="3"/>
    <n v="47"/>
    <x v="41"/>
    <x v="2"/>
    <s v="Charcoal"/>
    <x v="0"/>
    <n v="3.1"/>
    <s v="No"/>
    <x v="4"/>
    <s v="Yes"/>
    <n v="27"/>
    <x v="3"/>
    <s v="Every 3 Months"/>
    <n v="0.1"/>
    <n v="42.3"/>
    <n v="47"/>
    <s v="PayPal"/>
    <s v="Normal"/>
    <s v="Good"/>
  </r>
  <r>
    <n v="1622"/>
    <n v="68"/>
    <x v="0"/>
    <x v="18"/>
    <x v="3"/>
    <n v="46"/>
    <x v="31"/>
    <x v="0"/>
    <s v="Gray"/>
    <x v="2"/>
    <n v="3.9"/>
    <s v="No"/>
    <x v="4"/>
    <s v="Yes"/>
    <n v="38"/>
    <x v="5"/>
    <s v="Fortnightly"/>
    <n v="0.1"/>
    <n v="41.4"/>
    <n v="46"/>
    <s v="Debit Card"/>
    <s v="Normal"/>
    <s v="Good"/>
  </r>
  <r>
    <n v="1623"/>
    <n v="31"/>
    <x v="0"/>
    <x v="6"/>
    <x v="0"/>
    <n v="43"/>
    <x v="9"/>
    <x v="1"/>
    <s v="Brown"/>
    <x v="0"/>
    <n v="4"/>
    <s v="No"/>
    <x v="5"/>
    <s v="Yes"/>
    <n v="37"/>
    <x v="4"/>
    <s v="Every 3 Months"/>
    <n v="0.1"/>
    <n v="38.700000000000003"/>
    <n v="43"/>
    <s v="Bank Transfer"/>
    <s v="Normal"/>
    <s v="Good"/>
  </r>
  <r>
    <n v="1624"/>
    <n v="64"/>
    <x v="0"/>
    <x v="21"/>
    <x v="3"/>
    <n v="58"/>
    <x v="27"/>
    <x v="2"/>
    <s v="Cyan"/>
    <x v="2"/>
    <n v="3.5"/>
    <s v="No"/>
    <x v="2"/>
    <s v="Yes"/>
    <n v="50"/>
    <x v="5"/>
    <s v="Annually"/>
    <n v="0.1"/>
    <n v="52.2"/>
    <n v="58"/>
    <s v="Debit Card"/>
    <s v="Normal"/>
    <s v="Good"/>
  </r>
  <r>
    <n v="1625"/>
    <n v="38"/>
    <x v="0"/>
    <x v="1"/>
    <x v="0"/>
    <n v="32"/>
    <x v="20"/>
    <x v="2"/>
    <s v="White"/>
    <x v="0"/>
    <n v="3.6"/>
    <s v="No"/>
    <x v="1"/>
    <s v="Yes"/>
    <n v="40"/>
    <x v="3"/>
    <s v="Every 3 Months"/>
    <n v="0.1"/>
    <n v="28.8"/>
    <n v="32"/>
    <s v="PayPal"/>
    <s v="Normal"/>
    <s v="Good"/>
  </r>
  <r>
    <n v="1626"/>
    <n v="34"/>
    <x v="0"/>
    <x v="11"/>
    <x v="0"/>
    <n v="45"/>
    <x v="46"/>
    <x v="0"/>
    <s v="Beige"/>
    <x v="0"/>
    <n v="3"/>
    <s v="No"/>
    <x v="2"/>
    <s v="Yes"/>
    <n v="3"/>
    <x v="3"/>
    <s v="Bi-Weekly"/>
    <n v="0.1"/>
    <n v="40.5"/>
    <n v="45"/>
    <s v="PayPal"/>
    <s v="Normal"/>
    <s v="Good"/>
  </r>
  <r>
    <n v="1627"/>
    <n v="32"/>
    <x v="0"/>
    <x v="4"/>
    <x v="1"/>
    <n v="35"/>
    <x v="22"/>
    <x v="0"/>
    <s v="Orange"/>
    <x v="2"/>
    <n v="2.6"/>
    <s v="No"/>
    <x v="2"/>
    <s v="Yes"/>
    <n v="45"/>
    <x v="2"/>
    <s v="Bi-Weekly"/>
    <n v="0.1"/>
    <n v="31.5"/>
    <n v="35"/>
    <s v="Credit Card"/>
    <s v="Normal"/>
    <s v="Poor"/>
  </r>
  <r>
    <n v="1628"/>
    <n v="69"/>
    <x v="0"/>
    <x v="12"/>
    <x v="3"/>
    <n v="21"/>
    <x v="1"/>
    <x v="2"/>
    <s v="Olive"/>
    <x v="0"/>
    <n v="2.9"/>
    <s v="No"/>
    <x v="2"/>
    <s v="Yes"/>
    <n v="8"/>
    <x v="2"/>
    <s v="Annually"/>
    <n v="0.1"/>
    <n v="18.899999999999999"/>
    <n v="21"/>
    <s v="Credit Card"/>
    <s v="Normal"/>
    <s v="Poor"/>
  </r>
  <r>
    <n v="1629"/>
    <n v="45"/>
    <x v="0"/>
    <x v="10"/>
    <x v="0"/>
    <n v="64"/>
    <x v="2"/>
    <x v="1"/>
    <s v="Teal"/>
    <x v="0"/>
    <n v="3.1"/>
    <s v="No"/>
    <x v="2"/>
    <s v="Yes"/>
    <n v="7"/>
    <x v="1"/>
    <s v="Monthly"/>
    <n v="0.1"/>
    <n v="57.6"/>
    <n v="64"/>
    <s v="Cash"/>
    <s v="Normal"/>
    <s v="Good"/>
  </r>
  <r>
    <n v="1630"/>
    <n v="35"/>
    <x v="0"/>
    <x v="0"/>
    <x v="0"/>
    <n v="88"/>
    <x v="25"/>
    <x v="1"/>
    <s v="Silver"/>
    <x v="1"/>
    <n v="3.3"/>
    <s v="No"/>
    <x v="2"/>
    <s v="Yes"/>
    <n v="13"/>
    <x v="0"/>
    <s v="Quarterly"/>
    <n v="0.1"/>
    <n v="79.2"/>
    <n v="88"/>
    <s v="Venmo"/>
    <s v="Normal"/>
    <s v="Good"/>
  </r>
  <r>
    <n v="1631"/>
    <n v="63"/>
    <x v="0"/>
    <x v="9"/>
    <x v="1"/>
    <n v="48"/>
    <x v="32"/>
    <x v="2"/>
    <s v="Gold"/>
    <x v="2"/>
    <n v="2.9"/>
    <s v="No"/>
    <x v="5"/>
    <s v="Yes"/>
    <n v="29"/>
    <x v="0"/>
    <s v="Every 3 Months"/>
    <n v="0.1"/>
    <n v="43.2"/>
    <n v="48"/>
    <s v="Venmo"/>
    <s v="Normal"/>
    <s v="Poor"/>
  </r>
  <r>
    <n v="1632"/>
    <n v="65"/>
    <x v="0"/>
    <x v="1"/>
    <x v="0"/>
    <n v="36"/>
    <x v="27"/>
    <x v="0"/>
    <s v="Violet"/>
    <x v="2"/>
    <n v="3.9"/>
    <s v="No"/>
    <x v="4"/>
    <s v="Yes"/>
    <n v="7"/>
    <x v="4"/>
    <s v="Fortnightly"/>
    <n v="0.1"/>
    <n v="32.4"/>
    <n v="36"/>
    <s v="Bank Transfer"/>
    <s v="Normal"/>
    <s v="Good"/>
  </r>
  <r>
    <n v="1633"/>
    <n v="35"/>
    <x v="0"/>
    <x v="24"/>
    <x v="3"/>
    <n v="28"/>
    <x v="4"/>
    <x v="1"/>
    <s v="White"/>
    <x v="2"/>
    <n v="4.7"/>
    <s v="No"/>
    <x v="4"/>
    <s v="Yes"/>
    <n v="50"/>
    <x v="5"/>
    <s v="Every 3 Months"/>
    <n v="0.1"/>
    <n v="25.2"/>
    <n v="28"/>
    <s v="Debit Card"/>
    <s v="Normal"/>
    <s v="Good"/>
  </r>
  <r>
    <n v="1634"/>
    <n v="54"/>
    <x v="0"/>
    <x v="20"/>
    <x v="0"/>
    <n v="80"/>
    <x v="25"/>
    <x v="2"/>
    <s v="Peach"/>
    <x v="1"/>
    <n v="4.4000000000000004"/>
    <s v="No"/>
    <x v="4"/>
    <s v="Yes"/>
    <n v="33"/>
    <x v="5"/>
    <s v="Bi-Weekly"/>
    <n v="0.1"/>
    <n v="72"/>
    <n v="80"/>
    <s v="Debit Card"/>
    <s v="Normal"/>
    <s v="Good"/>
  </r>
  <r>
    <n v="1635"/>
    <n v="28"/>
    <x v="0"/>
    <x v="7"/>
    <x v="2"/>
    <n v="23"/>
    <x v="36"/>
    <x v="1"/>
    <s v="Orange"/>
    <x v="2"/>
    <n v="3.6"/>
    <s v="No"/>
    <x v="5"/>
    <s v="Yes"/>
    <n v="30"/>
    <x v="1"/>
    <s v="Every 3 Months"/>
    <n v="0.1"/>
    <n v="20.7"/>
    <n v="23"/>
    <s v="Cash"/>
    <s v="Normal"/>
    <s v="Good"/>
  </r>
  <r>
    <n v="1636"/>
    <n v="68"/>
    <x v="0"/>
    <x v="12"/>
    <x v="3"/>
    <n v="24"/>
    <x v="17"/>
    <x v="0"/>
    <s v="Violet"/>
    <x v="2"/>
    <n v="3.2"/>
    <s v="No"/>
    <x v="3"/>
    <s v="Yes"/>
    <n v="40"/>
    <x v="1"/>
    <s v="Annually"/>
    <n v="0.1"/>
    <n v="21.6"/>
    <n v="24"/>
    <s v="Cash"/>
    <s v="Normal"/>
    <s v="Good"/>
  </r>
  <r>
    <n v="1637"/>
    <n v="58"/>
    <x v="0"/>
    <x v="23"/>
    <x v="1"/>
    <n v="22"/>
    <x v="25"/>
    <x v="0"/>
    <s v="Green"/>
    <x v="3"/>
    <n v="4"/>
    <s v="No"/>
    <x v="1"/>
    <s v="Yes"/>
    <n v="49"/>
    <x v="1"/>
    <s v="Fortnightly"/>
    <n v="0.1"/>
    <n v="19.8"/>
    <n v="22"/>
    <s v="Cash"/>
    <s v="Normal"/>
    <s v="Good"/>
  </r>
  <r>
    <n v="1638"/>
    <n v="35"/>
    <x v="0"/>
    <x v="10"/>
    <x v="0"/>
    <n v="21"/>
    <x v="2"/>
    <x v="2"/>
    <s v="Peach"/>
    <x v="1"/>
    <n v="3.5"/>
    <s v="No"/>
    <x v="2"/>
    <s v="Yes"/>
    <n v="32"/>
    <x v="0"/>
    <s v="Fortnightly"/>
    <n v="0.1"/>
    <n v="18.899999999999999"/>
    <n v="21"/>
    <s v="Venmo"/>
    <s v="Normal"/>
    <s v="Good"/>
  </r>
  <r>
    <n v="1639"/>
    <n v="68"/>
    <x v="0"/>
    <x v="14"/>
    <x v="2"/>
    <n v="51"/>
    <x v="30"/>
    <x v="2"/>
    <s v="Black"/>
    <x v="1"/>
    <n v="4.5999999999999996"/>
    <s v="No"/>
    <x v="1"/>
    <s v="Yes"/>
    <n v="18"/>
    <x v="0"/>
    <s v="Weekly"/>
    <n v="0.1"/>
    <n v="45.9"/>
    <n v="51"/>
    <s v="Venmo"/>
    <s v="Normal"/>
    <s v="Good"/>
  </r>
  <r>
    <n v="1640"/>
    <n v="41"/>
    <x v="0"/>
    <x v="24"/>
    <x v="3"/>
    <n v="65"/>
    <x v="9"/>
    <x v="0"/>
    <s v="Blue"/>
    <x v="2"/>
    <n v="3.3"/>
    <s v="No"/>
    <x v="1"/>
    <s v="Yes"/>
    <n v="50"/>
    <x v="3"/>
    <s v="Annually"/>
    <n v="0.1"/>
    <n v="58.5"/>
    <n v="65"/>
    <s v="PayPal"/>
    <s v="Normal"/>
    <s v="Good"/>
  </r>
  <r>
    <n v="1641"/>
    <n v="65"/>
    <x v="0"/>
    <x v="18"/>
    <x v="3"/>
    <n v="51"/>
    <x v="30"/>
    <x v="1"/>
    <s v="Magenta"/>
    <x v="1"/>
    <n v="4"/>
    <s v="No"/>
    <x v="4"/>
    <s v="Yes"/>
    <n v="13"/>
    <x v="3"/>
    <s v="Weekly"/>
    <n v="0.1"/>
    <n v="45.9"/>
    <n v="51"/>
    <s v="PayPal"/>
    <s v="Normal"/>
    <s v="Good"/>
  </r>
  <r>
    <n v="1642"/>
    <n v="50"/>
    <x v="0"/>
    <x v="15"/>
    <x v="0"/>
    <n v="32"/>
    <x v="24"/>
    <x v="0"/>
    <s v="Violet"/>
    <x v="2"/>
    <n v="3.4"/>
    <s v="No"/>
    <x v="1"/>
    <s v="Yes"/>
    <n v="1"/>
    <x v="4"/>
    <s v="Every 3 Months"/>
    <n v="0.1"/>
    <n v="28.8"/>
    <n v="32"/>
    <s v="Bank Transfer"/>
    <s v="Normal"/>
    <s v="Good"/>
  </r>
  <r>
    <n v="1643"/>
    <n v="18"/>
    <x v="0"/>
    <x v="7"/>
    <x v="2"/>
    <n v="70"/>
    <x v="16"/>
    <x v="2"/>
    <s v="Beige"/>
    <x v="1"/>
    <n v="4.2"/>
    <s v="No"/>
    <x v="5"/>
    <s v="Yes"/>
    <n v="16"/>
    <x v="3"/>
    <s v="Fortnightly"/>
    <n v="0.1"/>
    <n v="63"/>
    <n v="70"/>
    <s v="PayPal"/>
    <s v="Normal"/>
    <s v="Good"/>
  </r>
  <r>
    <n v="1644"/>
    <n v="38"/>
    <x v="0"/>
    <x v="18"/>
    <x v="3"/>
    <n v="77"/>
    <x v="31"/>
    <x v="0"/>
    <s v="Pink"/>
    <x v="2"/>
    <n v="3.9"/>
    <s v="No"/>
    <x v="4"/>
    <s v="Yes"/>
    <n v="6"/>
    <x v="3"/>
    <s v="Monthly"/>
    <n v="0.1"/>
    <n v="69.3"/>
    <n v="77"/>
    <s v="PayPal"/>
    <s v="Normal"/>
    <s v="Good"/>
  </r>
  <r>
    <n v="1645"/>
    <n v="68"/>
    <x v="0"/>
    <x v="7"/>
    <x v="2"/>
    <n v="90"/>
    <x v="17"/>
    <x v="1"/>
    <s v="Beige"/>
    <x v="2"/>
    <n v="3.9"/>
    <s v="No"/>
    <x v="2"/>
    <s v="Yes"/>
    <n v="21"/>
    <x v="5"/>
    <s v="Monthly"/>
    <n v="0.1"/>
    <n v="81"/>
    <n v="90"/>
    <s v="Debit Card"/>
    <s v="Normal"/>
    <s v="Good"/>
  </r>
  <r>
    <n v="1646"/>
    <n v="53"/>
    <x v="0"/>
    <x v="18"/>
    <x v="3"/>
    <n v="36"/>
    <x v="31"/>
    <x v="0"/>
    <s v="Green"/>
    <x v="2"/>
    <n v="2.8"/>
    <s v="No"/>
    <x v="3"/>
    <s v="Yes"/>
    <n v="36"/>
    <x v="0"/>
    <s v="Every 3 Months"/>
    <n v="0.1"/>
    <n v="32.4"/>
    <n v="36"/>
    <s v="Venmo"/>
    <s v="Normal"/>
    <s v="Poor"/>
  </r>
  <r>
    <n v="1647"/>
    <n v="58"/>
    <x v="0"/>
    <x v="8"/>
    <x v="3"/>
    <n v="77"/>
    <x v="43"/>
    <x v="1"/>
    <s v="Silver"/>
    <x v="2"/>
    <n v="3.7"/>
    <s v="No"/>
    <x v="3"/>
    <s v="Yes"/>
    <n v="20"/>
    <x v="4"/>
    <s v="Every 3 Months"/>
    <n v="0.1"/>
    <n v="69.3"/>
    <n v="77"/>
    <s v="Bank Transfer"/>
    <s v="Normal"/>
    <s v="Good"/>
  </r>
  <r>
    <n v="1648"/>
    <n v="34"/>
    <x v="0"/>
    <x v="23"/>
    <x v="1"/>
    <n v="78"/>
    <x v="11"/>
    <x v="2"/>
    <s v="Purple"/>
    <x v="2"/>
    <n v="4.9000000000000004"/>
    <s v="No"/>
    <x v="5"/>
    <s v="Yes"/>
    <n v="8"/>
    <x v="5"/>
    <s v="Quarterly"/>
    <n v="0.1"/>
    <n v="70.2"/>
    <n v="78"/>
    <s v="Debit Card"/>
    <s v="Normal"/>
    <s v="Good"/>
  </r>
  <r>
    <n v="1649"/>
    <n v="36"/>
    <x v="0"/>
    <x v="13"/>
    <x v="0"/>
    <n v="69"/>
    <x v="19"/>
    <x v="2"/>
    <s v="Gray"/>
    <x v="2"/>
    <n v="2.6"/>
    <s v="No"/>
    <x v="0"/>
    <s v="Yes"/>
    <n v="22"/>
    <x v="2"/>
    <s v="Monthly"/>
    <n v="0.1"/>
    <n v="62.1"/>
    <n v="69"/>
    <s v="Credit Card"/>
    <s v="Normal"/>
    <s v="Poor"/>
  </r>
  <r>
    <n v="1650"/>
    <n v="58"/>
    <x v="0"/>
    <x v="17"/>
    <x v="0"/>
    <n v="63"/>
    <x v="48"/>
    <x v="2"/>
    <s v="White"/>
    <x v="2"/>
    <n v="4.9000000000000004"/>
    <s v="No"/>
    <x v="1"/>
    <s v="Yes"/>
    <n v="3"/>
    <x v="2"/>
    <s v="Quarterly"/>
    <n v="0.1"/>
    <n v="56.7"/>
    <n v="63"/>
    <s v="Credit Card"/>
    <s v="Normal"/>
    <s v="Good"/>
  </r>
  <r>
    <n v="1651"/>
    <n v="60"/>
    <x v="0"/>
    <x v="18"/>
    <x v="3"/>
    <n v="36"/>
    <x v="10"/>
    <x v="2"/>
    <s v="Silver"/>
    <x v="0"/>
    <n v="3.4"/>
    <s v="No"/>
    <x v="2"/>
    <s v="Yes"/>
    <n v="46"/>
    <x v="2"/>
    <s v="Fortnightly"/>
    <n v="0.1"/>
    <n v="32.4"/>
    <n v="36"/>
    <s v="Credit Card"/>
    <s v="Normal"/>
    <s v="Good"/>
  </r>
  <r>
    <n v="1652"/>
    <n v="59"/>
    <x v="0"/>
    <x v="7"/>
    <x v="2"/>
    <n v="80"/>
    <x v="21"/>
    <x v="2"/>
    <s v="Blue"/>
    <x v="0"/>
    <n v="3.9"/>
    <s v="No"/>
    <x v="3"/>
    <s v="Yes"/>
    <n v="42"/>
    <x v="5"/>
    <s v="Monthly"/>
    <n v="0.1"/>
    <n v="72"/>
    <n v="80"/>
    <s v="Debit Card"/>
    <s v="Normal"/>
    <s v="Good"/>
  </r>
  <r>
    <n v="1653"/>
    <n v="65"/>
    <x v="0"/>
    <x v="1"/>
    <x v="0"/>
    <n v="35"/>
    <x v="35"/>
    <x v="2"/>
    <s v="Orange"/>
    <x v="2"/>
    <n v="4"/>
    <s v="No"/>
    <x v="2"/>
    <s v="Yes"/>
    <n v="1"/>
    <x v="4"/>
    <s v="Fortnightly"/>
    <n v="0.1"/>
    <n v="31.5"/>
    <n v="35"/>
    <s v="Bank Transfer"/>
    <s v="Normal"/>
    <s v="Good"/>
  </r>
  <r>
    <n v="1654"/>
    <n v="31"/>
    <x v="0"/>
    <x v="22"/>
    <x v="3"/>
    <n v="93"/>
    <x v="24"/>
    <x v="0"/>
    <s v="Silver"/>
    <x v="0"/>
    <n v="3"/>
    <s v="No"/>
    <x v="4"/>
    <s v="Yes"/>
    <n v="29"/>
    <x v="5"/>
    <s v="Bi-Weekly"/>
    <n v="0.1"/>
    <n v="83.7"/>
    <n v="93"/>
    <s v="Debit Card"/>
    <s v="Normal"/>
    <s v="Good"/>
  </r>
  <r>
    <n v="1655"/>
    <n v="43"/>
    <x v="0"/>
    <x v="22"/>
    <x v="3"/>
    <n v="25"/>
    <x v="27"/>
    <x v="0"/>
    <s v="Gray"/>
    <x v="1"/>
    <n v="2.6"/>
    <s v="No"/>
    <x v="5"/>
    <s v="Yes"/>
    <n v="14"/>
    <x v="2"/>
    <s v="Quarterly"/>
    <n v="0.1"/>
    <n v="22.5"/>
    <n v="25"/>
    <s v="Credit Card"/>
    <s v="Normal"/>
    <s v="Poor"/>
  </r>
  <r>
    <n v="1656"/>
    <n v="37"/>
    <x v="0"/>
    <x v="1"/>
    <x v="0"/>
    <n v="81"/>
    <x v="28"/>
    <x v="0"/>
    <s v="Gold"/>
    <x v="1"/>
    <n v="3.2"/>
    <s v="No"/>
    <x v="2"/>
    <s v="Yes"/>
    <n v="4"/>
    <x v="3"/>
    <s v="Monthly"/>
    <n v="0.1"/>
    <n v="72.900000000000006"/>
    <n v="81"/>
    <s v="PayPal"/>
    <s v="Normal"/>
    <s v="Good"/>
  </r>
  <r>
    <n v="1657"/>
    <n v="21"/>
    <x v="0"/>
    <x v="0"/>
    <x v="0"/>
    <n v="42"/>
    <x v="27"/>
    <x v="0"/>
    <s v="Brown"/>
    <x v="1"/>
    <n v="2.6"/>
    <s v="No"/>
    <x v="4"/>
    <s v="Yes"/>
    <n v="41"/>
    <x v="3"/>
    <s v="Every 3 Months"/>
    <n v="0.1"/>
    <n v="37.799999999999997"/>
    <n v="42"/>
    <s v="PayPal"/>
    <s v="Normal"/>
    <s v="Poor"/>
  </r>
  <r>
    <n v="1658"/>
    <n v="69"/>
    <x v="0"/>
    <x v="11"/>
    <x v="0"/>
    <n v="36"/>
    <x v="27"/>
    <x v="0"/>
    <s v="Turquoise"/>
    <x v="1"/>
    <n v="3.2"/>
    <s v="No"/>
    <x v="5"/>
    <s v="Yes"/>
    <n v="4"/>
    <x v="5"/>
    <s v="Bi-Weekly"/>
    <n v="0.1"/>
    <n v="32.4"/>
    <n v="36"/>
    <s v="Debit Card"/>
    <s v="Normal"/>
    <s v="Good"/>
  </r>
  <r>
    <n v="1659"/>
    <n v="32"/>
    <x v="0"/>
    <x v="16"/>
    <x v="3"/>
    <n v="66"/>
    <x v="29"/>
    <x v="1"/>
    <s v="Pink"/>
    <x v="1"/>
    <n v="4.0999999999999996"/>
    <s v="No"/>
    <x v="5"/>
    <s v="Yes"/>
    <n v="47"/>
    <x v="1"/>
    <s v="Weekly"/>
    <n v="0.1"/>
    <n v="59.4"/>
    <n v="66"/>
    <s v="Cash"/>
    <s v="Normal"/>
    <s v="Good"/>
  </r>
  <r>
    <n v="1660"/>
    <n v="53"/>
    <x v="0"/>
    <x v="24"/>
    <x v="3"/>
    <n v="37"/>
    <x v="40"/>
    <x v="2"/>
    <s v="Black"/>
    <x v="3"/>
    <n v="3.9"/>
    <s v="No"/>
    <x v="2"/>
    <s v="Yes"/>
    <n v="44"/>
    <x v="0"/>
    <s v="Annually"/>
    <n v="0.1"/>
    <n v="33.299999999999997"/>
    <n v="37"/>
    <s v="Venmo"/>
    <s v="Normal"/>
    <s v="Good"/>
  </r>
  <r>
    <n v="1661"/>
    <n v="59"/>
    <x v="0"/>
    <x v="17"/>
    <x v="0"/>
    <n v="45"/>
    <x v="7"/>
    <x v="0"/>
    <s v="Yellow"/>
    <x v="0"/>
    <n v="4.0999999999999996"/>
    <s v="No"/>
    <x v="3"/>
    <s v="Yes"/>
    <n v="37"/>
    <x v="0"/>
    <s v="Monthly"/>
    <n v="0.1"/>
    <n v="40.5"/>
    <n v="45"/>
    <s v="Venmo"/>
    <s v="Normal"/>
    <s v="Good"/>
  </r>
  <r>
    <n v="1662"/>
    <n v="64"/>
    <x v="0"/>
    <x v="24"/>
    <x v="3"/>
    <n v="86"/>
    <x v="44"/>
    <x v="1"/>
    <s v="Beige"/>
    <x v="2"/>
    <n v="2.7"/>
    <s v="No"/>
    <x v="4"/>
    <s v="Yes"/>
    <n v="21"/>
    <x v="5"/>
    <s v="Quarterly"/>
    <n v="0.1"/>
    <n v="77.400000000000006"/>
    <n v="86"/>
    <s v="Debit Card"/>
    <s v="Normal"/>
    <s v="Poor"/>
  </r>
  <r>
    <n v="1663"/>
    <n v="63"/>
    <x v="0"/>
    <x v="12"/>
    <x v="3"/>
    <n v="24"/>
    <x v="35"/>
    <x v="2"/>
    <s v="Olive"/>
    <x v="0"/>
    <n v="4.5999999999999996"/>
    <s v="No"/>
    <x v="1"/>
    <s v="Yes"/>
    <n v="46"/>
    <x v="5"/>
    <s v="Fortnightly"/>
    <n v="0.1"/>
    <n v="21.6"/>
    <n v="24"/>
    <s v="Debit Card"/>
    <s v="Normal"/>
    <s v="Good"/>
  </r>
  <r>
    <n v="1664"/>
    <n v="43"/>
    <x v="0"/>
    <x v="5"/>
    <x v="0"/>
    <n v="22"/>
    <x v="1"/>
    <x v="3"/>
    <s v="Gold"/>
    <x v="2"/>
    <n v="3.5"/>
    <s v="No"/>
    <x v="3"/>
    <s v="Yes"/>
    <n v="1"/>
    <x v="1"/>
    <s v="Bi-Weekly"/>
    <n v="0.1"/>
    <n v="19.8"/>
    <n v="22"/>
    <s v="Cash"/>
    <s v="Normal"/>
    <s v="Good"/>
  </r>
  <r>
    <n v="1665"/>
    <n v="19"/>
    <x v="0"/>
    <x v="8"/>
    <x v="3"/>
    <n v="53"/>
    <x v="46"/>
    <x v="2"/>
    <s v="Purple"/>
    <x v="1"/>
    <n v="5"/>
    <s v="No"/>
    <x v="2"/>
    <s v="Yes"/>
    <n v="35"/>
    <x v="3"/>
    <s v="Weekly"/>
    <n v="0.1"/>
    <n v="47.7"/>
    <n v="53"/>
    <s v="PayPal"/>
    <s v="Normal"/>
    <s v="Good"/>
  </r>
  <r>
    <n v="1666"/>
    <n v="40"/>
    <x v="0"/>
    <x v="14"/>
    <x v="2"/>
    <n v="41"/>
    <x v="35"/>
    <x v="0"/>
    <s v="Pink"/>
    <x v="3"/>
    <n v="3.4"/>
    <s v="No"/>
    <x v="2"/>
    <s v="Yes"/>
    <n v="49"/>
    <x v="0"/>
    <s v="Monthly"/>
    <n v="0.1"/>
    <n v="36.9"/>
    <n v="41"/>
    <s v="Venmo"/>
    <s v="Normal"/>
    <s v="Good"/>
  </r>
  <r>
    <n v="1667"/>
    <n v="51"/>
    <x v="0"/>
    <x v="11"/>
    <x v="0"/>
    <n v="64"/>
    <x v="10"/>
    <x v="2"/>
    <s v="Blue"/>
    <x v="2"/>
    <n v="3.1"/>
    <s v="No"/>
    <x v="5"/>
    <s v="Yes"/>
    <n v="47"/>
    <x v="3"/>
    <s v="Annually"/>
    <n v="0.1"/>
    <n v="57.6"/>
    <n v="64"/>
    <s v="PayPal"/>
    <s v="Normal"/>
    <s v="Good"/>
  </r>
  <r>
    <n v="1668"/>
    <n v="51"/>
    <x v="0"/>
    <x v="8"/>
    <x v="3"/>
    <n v="40"/>
    <x v="19"/>
    <x v="0"/>
    <s v="Brown"/>
    <x v="0"/>
    <n v="3.4"/>
    <s v="No"/>
    <x v="4"/>
    <s v="Yes"/>
    <n v="24"/>
    <x v="4"/>
    <s v="Every 3 Months"/>
    <n v="0.1"/>
    <n v="36"/>
    <n v="40"/>
    <s v="Bank Transfer"/>
    <s v="Normal"/>
    <s v="Good"/>
  </r>
  <r>
    <n v="1669"/>
    <n v="66"/>
    <x v="0"/>
    <x v="0"/>
    <x v="0"/>
    <n v="33"/>
    <x v="40"/>
    <x v="0"/>
    <s v="Charcoal"/>
    <x v="2"/>
    <n v="4"/>
    <s v="No"/>
    <x v="3"/>
    <s v="Yes"/>
    <n v="28"/>
    <x v="5"/>
    <s v="Fortnightly"/>
    <n v="0.1"/>
    <n v="29.7"/>
    <n v="33"/>
    <s v="Debit Card"/>
    <s v="Normal"/>
    <s v="Good"/>
  </r>
  <r>
    <n v="1670"/>
    <n v="42"/>
    <x v="0"/>
    <x v="17"/>
    <x v="0"/>
    <n v="59"/>
    <x v="48"/>
    <x v="0"/>
    <s v="Maroon"/>
    <x v="0"/>
    <n v="2.7"/>
    <s v="No"/>
    <x v="5"/>
    <s v="Yes"/>
    <n v="22"/>
    <x v="4"/>
    <s v="Quarterly"/>
    <n v="0.1"/>
    <n v="53.1"/>
    <n v="59"/>
    <s v="Bank Transfer"/>
    <s v="Normal"/>
    <s v="Poor"/>
  </r>
  <r>
    <n v="1671"/>
    <n v="22"/>
    <x v="0"/>
    <x v="13"/>
    <x v="0"/>
    <n v="73"/>
    <x v="40"/>
    <x v="0"/>
    <s v="Cyan"/>
    <x v="3"/>
    <n v="3.6"/>
    <s v="No"/>
    <x v="1"/>
    <s v="Yes"/>
    <n v="20"/>
    <x v="1"/>
    <s v="Weekly"/>
    <n v="0.1"/>
    <n v="65.7"/>
    <n v="73"/>
    <s v="Cash"/>
    <s v="Normal"/>
    <s v="Good"/>
  </r>
  <r>
    <n v="1672"/>
    <n v="31"/>
    <x v="0"/>
    <x v="15"/>
    <x v="0"/>
    <n v="22"/>
    <x v="40"/>
    <x v="2"/>
    <s v="Olive"/>
    <x v="0"/>
    <n v="4"/>
    <s v="No"/>
    <x v="1"/>
    <s v="Yes"/>
    <n v="25"/>
    <x v="4"/>
    <s v="Weekly"/>
    <n v="0.1"/>
    <n v="19.8"/>
    <n v="22"/>
    <s v="Bank Transfer"/>
    <s v="Normal"/>
    <s v="Good"/>
  </r>
  <r>
    <n v="1673"/>
    <n v="18"/>
    <x v="0"/>
    <x v="23"/>
    <x v="1"/>
    <n v="73"/>
    <x v="36"/>
    <x v="0"/>
    <s v="Gold"/>
    <x v="3"/>
    <n v="3.8"/>
    <s v="No"/>
    <x v="1"/>
    <s v="Yes"/>
    <n v="15"/>
    <x v="0"/>
    <s v="Quarterly"/>
    <n v="0.1"/>
    <n v="65.7"/>
    <n v="73"/>
    <s v="Venmo"/>
    <s v="Normal"/>
    <s v="Good"/>
  </r>
  <r>
    <n v="1674"/>
    <n v="21"/>
    <x v="0"/>
    <x v="0"/>
    <x v="0"/>
    <n v="62"/>
    <x v="11"/>
    <x v="2"/>
    <s v="Violet"/>
    <x v="3"/>
    <n v="3.4"/>
    <s v="No"/>
    <x v="2"/>
    <s v="Yes"/>
    <n v="49"/>
    <x v="0"/>
    <s v="Bi-Weekly"/>
    <n v="0.1"/>
    <n v="55.8"/>
    <n v="62"/>
    <s v="Venmo"/>
    <s v="Normal"/>
    <s v="Good"/>
  </r>
  <r>
    <n v="1675"/>
    <n v="35"/>
    <x v="0"/>
    <x v="7"/>
    <x v="2"/>
    <n v="56"/>
    <x v="29"/>
    <x v="2"/>
    <s v="Peach"/>
    <x v="0"/>
    <n v="3.2"/>
    <s v="No"/>
    <x v="1"/>
    <s v="Yes"/>
    <n v="10"/>
    <x v="5"/>
    <s v="Fortnightly"/>
    <n v="0.1"/>
    <n v="50.4"/>
    <n v="56"/>
    <s v="Debit Card"/>
    <s v="Normal"/>
    <s v="Good"/>
  </r>
  <r>
    <n v="1676"/>
    <n v="35"/>
    <x v="0"/>
    <x v="13"/>
    <x v="0"/>
    <n v="90"/>
    <x v="24"/>
    <x v="2"/>
    <s v="Beige"/>
    <x v="1"/>
    <n v="4.7"/>
    <s v="No"/>
    <x v="2"/>
    <s v="Yes"/>
    <n v="21"/>
    <x v="2"/>
    <s v="Annually"/>
    <n v="0.1"/>
    <n v="81"/>
    <n v="90"/>
    <s v="Credit Card"/>
    <s v="Normal"/>
    <s v="Good"/>
  </r>
  <r>
    <n v="1677"/>
    <n v="27"/>
    <x v="0"/>
    <x v="12"/>
    <x v="3"/>
    <n v="44"/>
    <x v="8"/>
    <x v="2"/>
    <s v="Cyan"/>
    <x v="0"/>
    <n v="3.1"/>
    <s v="No"/>
    <x v="2"/>
    <s v="Yes"/>
    <n v="34"/>
    <x v="4"/>
    <s v="Weekly"/>
    <n v="0.1"/>
    <n v="39.6"/>
    <n v="44"/>
    <s v="Bank Transfer"/>
    <s v="Normal"/>
    <s v="Good"/>
  </r>
  <r>
    <n v="1678"/>
    <n v="65"/>
    <x v="0"/>
    <x v="2"/>
    <x v="0"/>
    <n v="35"/>
    <x v="4"/>
    <x v="0"/>
    <s v="Silver"/>
    <x v="2"/>
    <n v="3.3"/>
    <s v="No"/>
    <x v="2"/>
    <s v="No"/>
    <n v="41"/>
    <x v="5"/>
    <s v="Weekly"/>
    <n v="0.1"/>
    <n v="31.5"/>
    <n v="35"/>
    <s v="Debit Card"/>
    <s v="Normal"/>
    <s v="Good"/>
  </r>
  <r>
    <n v="1679"/>
    <n v="41"/>
    <x v="0"/>
    <x v="13"/>
    <x v="0"/>
    <n v="71"/>
    <x v="31"/>
    <x v="1"/>
    <s v="Magenta"/>
    <x v="2"/>
    <n v="4.8"/>
    <s v="No"/>
    <x v="4"/>
    <s v="No"/>
    <n v="30"/>
    <x v="0"/>
    <s v="Fortnightly"/>
    <n v="0.1"/>
    <n v="63.9"/>
    <n v="71"/>
    <s v="Venmo"/>
    <s v="Normal"/>
    <s v="Good"/>
  </r>
  <r>
    <n v="1680"/>
    <n v="60"/>
    <x v="0"/>
    <x v="10"/>
    <x v="0"/>
    <n v="52"/>
    <x v="2"/>
    <x v="1"/>
    <s v="Black"/>
    <x v="3"/>
    <n v="4.5"/>
    <s v="No"/>
    <x v="2"/>
    <s v="No"/>
    <n v="24"/>
    <x v="5"/>
    <s v="Bi-Weekly"/>
    <n v="0.1"/>
    <n v="46.8"/>
    <n v="52"/>
    <s v="Debit Card"/>
    <s v="Normal"/>
    <s v="Good"/>
  </r>
  <r>
    <n v="1681"/>
    <n v="61"/>
    <x v="0"/>
    <x v="9"/>
    <x v="1"/>
    <n v="37"/>
    <x v="7"/>
    <x v="2"/>
    <s v="Olive"/>
    <x v="2"/>
    <n v="3.4"/>
    <s v="No"/>
    <x v="5"/>
    <s v="No"/>
    <n v="6"/>
    <x v="2"/>
    <s v="Annually"/>
    <n v="0.1"/>
    <n v="33.299999999999997"/>
    <n v="37"/>
    <s v="Credit Card"/>
    <s v="Normal"/>
    <s v="Good"/>
  </r>
  <r>
    <n v="1682"/>
    <n v="24"/>
    <x v="0"/>
    <x v="4"/>
    <x v="1"/>
    <n v="95"/>
    <x v="41"/>
    <x v="0"/>
    <s v="Green"/>
    <x v="0"/>
    <n v="3.7"/>
    <s v="No"/>
    <x v="4"/>
    <s v="No"/>
    <n v="14"/>
    <x v="2"/>
    <s v="Bi-Weekly"/>
    <n v="0.1"/>
    <n v="85.5"/>
    <n v="95"/>
    <s v="Credit Card"/>
    <s v="Normal"/>
    <s v="Good"/>
  </r>
  <r>
    <n v="1683"/>
    <n v="65"/>
    <x v="0"/>
    <x v="20"/>
    <x v="0"/>
    <n v="97"/>
    <x v="14"/>
    <x v="2"/>
    <s v="Yellow"/>
    <x v="3"/>
    <n v="4.9000000000000004"/>
    <s v="No"/>
    <x v="4"/>
    <s v="No"/>
    <n v="37"/>
    <x v="2"/>
    <s v="Bi-Weekly"/>
    <n v="0.1"/>
    <n v="87.3"/>
    <n v="97"/>
    <s v="Credit Card"/>
    <s v="Normal"/>
    <s v="Good"/>
  </r>
  <r>
    <n v="1684"/>
    <n v="23"/>
    <x v="0"/>
    <x v="7"/>
    <x v="2"/>
    <n v="57"/>
    <x v="10"/>
    <x v="1"/>
    <s v="Lavender"/>
    <x v="1"/>
    <n v="3.5"/>
    <s v="No"/>
    <x v="2"/>
    <s v="No"/>
    <n v="37"/>
    <x v="0"/>
    <s v="Quarterly"/>
    <n v="0.1"/>
    <n v="51.3"/>
    <n v="57"/>
    <s v="Venmo"/>
    <s v="Normal"/>
    <s v="Good"/>
  </r>
  <r>
    <n v="1685"/>
    <n v="30"/>
    <x v="0"/>
    <x v="5"/>
    <x v="0"/>
    <n v="93"/>
    <x v="35"/>
    <x v="2"/>
    <s v="Indigo"/>
    <x v="1"/>
    <n v="4.5999999999999996"/>
    <s v="No"/>
    <x v="3"/>
    <s v="No"/>
    <n v="28"/>
    <x v="3"/>
    <s v="Weekly"/>
    <n v="0.1"/>
    <n v="83.7"/>
    <n v="93"/>
    <s v="PayPal"/>
    <s v="Normal"/>
    <s v="Good"/>
  </r>
  <r>
    <n v="1686"/>
    <n v="33"/>
    <x v="0"/>
    <x v="0"/>
    <x v="0"/>
    <n v="48"/>
    <x v="46"/>
    <x v="2"/>
    <s v="Pink"/>
    <x v="0"/>
    <n v="4.5999999999999996"/>
    <s v="No"/>
    <x v="3"/>
    <s v="No"/>
    <n v="43"/>
    <x v="3"/>
    <s v="Bi-Weekly"/>
    <n v="0.1"/>
    <n v="43.2"/>
    <n v="48"/>
    <s v="PayPal"/>
    <s v="Normal"/>
    <s v="Good"/>
  </r>
  <r>
    <n v="1687"/>
    <n v="22"/>
    <x v="0"/>
    <x v="24"/>
    <x v="3"/>
    <n v="75"/>
    <x v="26"/>
    <x v="0"/>
    <s v="Red"/>
    <x v="3"/>
    <n v="4.2"/>
    <s v="No"/>
    <x v="5"/>
    <s v="No"/>
    <n v="25"/>
    <x v="1"/>
    <s v="Annually"/>
    <n v="0.1"/>
    <n v="67.5"/>
    <n v="75"/>
    <s v="Cash"/>
    <s v="Normal"/>
    <s v="Good"/>
  </r>
  <r>
    <n v="1688"/>
    <n v="67"/>
    <x v="0"/>
    <x v="11"/>
    <x v="0"/>
    <n v="70"/>
    <x v="42"/>
    <x v="1"/>
    <s v="Magenta"/>
    <x v="0"/>
    <n v="3.7"/>
    <s v="No"/>
    <x v="1"/>
    <s v="No"/>
    <n v="4"/>
    <x v="3"/>
    <s v="Annually"/>
    <n v="0.1"/>
    <n v="63"/>
    <n v="70"/>
    <s v="PayPal"/>
    <s v="Normal"/>
    <s v="Good"/>
  </r>
  <r>
    <n v="1689"/>
    <n v="28"/>
    <x v="0"/>
    <x v="8"/>
    <x v="3"/>
    <n v="26"/>
    <x v="16"/>
    <x v="1"/>
    <s v="Peach"/>
    <x v="0"/>
    <n v="3"/>
    <s v="No"/>
    <x v="2"/>
    <s v="No"/>
    <n v="13"/>
    <x v="0"/>
    <s v="Fortnightly"/>
    <n v="0.1"/>
    <n v="23.4"/>
    <n v="26"/>
    <s v="Venmo"/>
    <s v="Normal"/>
    <s v="Good"/>
  </r>
  <r>
    <n v="1690"/>
    <n v="32"/>
    <x v="0"/>
    <x v="5"/>
    <x v="0"/>
    <n v="73"/>
    <x v="17"/>
    <x v="0"/>
    <s v="Turquoise"/>
    <x v="0"/>
    <n v="4.5999999999999996"/>
    <s v="No"/>
    <x v="5"/>
    <s v="No"/>
    <n v="32"/>
    <x v="4"/>
    <s v="Monthly"/>
    <n v="0.1"/>
    <n v="65.7"/>
    <n v="73"/>
    <s v="Bank Transfer"/>
    <s v="Normal"/>
    <s v="Good"/>
  </r>
  <r>
    <n v="1691"/>
    <n v="40"/>
    <x v="0"/>
    <x v="7"/>
    <x v="2"/>
    <n v="30"/>
    <x v="22"/>
    <x v="2"/>
    <s v="Black"/>
    <x v="2"/>
    <n v="3.2"/>
    <s v="No"/>
    <x v="1"/>
    <s v="No"/>
    <n v="1"/>
    <x v="1"/>
    <s v="Annually"/>
    <n v="0.1"/>
    <n v="27"/>
    <n v="30"/>
    <s v="Cash"/>
    <s v="Normal"/>
    <s v="Good"/>
  </r>
  <r>
    <n v="1692"/>
    <n v="64"/>
    <x v="0"/>
    <x v="9"/>
    <x v="1"/>
    <n v="61"/>
    <x v="39"/>
    <x v="0"/>
    <s v="Blue"/>
    <x v="2"/>
    <n v="3.5"/>
    <s v="No"/>
    <x v="2"/>
    <s v="No"/>
    <n v="4"/>
    <x v="1"/>
    <s v="Annually"/>
    <n v="0.1"/>
    <n v="54.9"/>
    <n v="61"/>
    <s v="Cash"/>
    <s v="Normal"/>
    <s v="Good"/>
  </r>
  <r>
    <n v="1693"/>
    <n v="56"/>
    <x v="0"/>
    <x v="8"/>
    <x v="3"/>
    <n v="75"/>
    <x v="40"/>
    <x v="2"/>
    <s v="Beige"/>
    <x v="0"/>
    <n v="2.6"/>
    <s v="No"/>
    <x v="3"/>
    <s v="No"/>
    <n v="33"/>
    <x v="1"/>
    <s v="Bi-Weekly"/>
    <n v="0.1"/>
    <n v="67.5"/>
    <n v="75"/>
    <s v="Cash"/>
    <s v="Normal"/>
    <s v="Poor"/>
  </r>
  <r>
    <n v="1694"/>
    <n v="63"/>
    <x v="0"/>
    <x v="14"/>
    <x v="2"/>
    <n v="88"/>
    <x v="30"/>
    <x v="3"/>
    <s v="Olive"/>
    <x v="3"/>
    <n v="4.9000000000000004"/>
    <s v="No"/>
    <x v="3"/>
    <s v="No"/>
    <n v="45"/>
    <x v="4"/>
    <s v="Fortnightly"/>
    <n v="0.1"/>
    <n v="79.2"/>
    <n v="88"/>
    <s v="Bank Transfer"/>
    <s v="Normal"/>
    <s v="Good"/>
  </r>
  <r>
    <n v="1695"/>
    <n v="20"/>
    <x v="0"/>
    <x v="5"/>
    <x v="0"/>
    <n v="67"/>
    <x v="16"/>
    <x v="2"/>
    <s v="Turquoise"/>
    <x v="2"/>
    <n v="2.7"/>
    <s v="No"/>
    <x v="0"/>
    <s v="No"/>
    <n v="20"/>
    <x v="5"/>
    <s v="Fortnightly"/>
    <n v="0.1"/>
    <n v="60.3"/>
    <n v="67"/>
    <s v="Debit Card"/>
    <s v="Normal"/>
    <s v="Poor"/>
  </r>
  <r>
    <n v="1696"/>
    <n v="54"/>
    <x v="0"/>
    <x v="19"/>
    <x v="3"/>
    <n v="95"/>
    <x v="43"/>
    <x v="1"/>
    <s v="Yellow"/>
    <x v="3"/>
    <n v="4.7"/>
    <s v="No"/>
    <x v="4"/>
    <s v="No"/>
    <n v="1"/>
    <x v="3"/>
    <s v="Fortnightly"/>
    <n v="0.1"/>
    <n v="85.5"/>
    <n v="95"/>
    <s v="PayPal"/>
    <s v="Normal"/>
    <s v="Good"/>
  </r>
  <r>
    <n v="1697"/>
    <n v="31"/>
    <x v="0"/>
    <x v="12"/>
    <x v="3"/>
    <n v="69"/>
    <x v="8"/>
    <x v="1"/>
    <s v="Turquoise"/>
    <x v="1"/>
    <n v="4"/>
    <s v="No"/>
    <x v="1"/>
    <s v="No"/>
    <n v="7"/>
    <x v="2"/>
    <s v="Bi-Weekly"/>
    <n v="0.1"/>
    <n v="62.1"/>
    <n v="69"/>
    <s v="Credit Card"/>
    <s v="Normal"/>
    <s v="Good"/>
  </r>
  <r>
    <n v="1698"/>
    <n v="36"/>
    <x v="0"/>
    <x v="5"/>
    <x v="0"/>
    <n v="87"/>
    <x v="36"/>
    <x v="0"/>
    <s v="Lavender"/>
    <x v="3"/>
    <n v="3.5"/>
    <s v="No"/>
    <x v="2"/>
    <s v="No"/>
    <n v="48"/>
    <x v="2"/>
    <s v="Every 3 Months"/>
    <n v="0.1"/>
    <n v="78.3"/>
    <n v="87"/>
    <s v="Credit Card"/>
    <s v="Normal"/>
    <s v="Good"/>
  </r>
  <r>
    <n v="1699"/>
    <n v="25"/>
    <x v="0"/>
    <x v="22"/>
    <x v="3"/>
    <n v="41"/>
    <x v="44"/>
    <x v="3"/>
    <s v="Turquoise"/>
    <x v="0"/>
    <n v="4.8"/>
    <s v="No"/>
    <x v="3"/>
    <s v="No"/>
    <n v="46"/>
    <x v="4"/>
    <s v="Quarterly"/>
    <n v="0.1"/>
    <n v="36.9"/>
    <n v="41"/>
    <s v="Bank Transfer"/>
    <s v="Normal"/>
    <s v="Good"/>
  </r>
  <r>
    <n v="1700"/>
    <n v="20"/>
    <x v="0"/>
    <x v="1"/>
    <x v="0"/>
    <n v="67"/>
    <x v="25"/>
    <x v="0"/>
    <s v="Teal"/>
    <x v="1"/>
    <n v="4"/>
    <s v="No"/>
    <x v="1"/>
    <s v="No"/>
    <n v="34"/>
    <x v="5"/>
    <s v="Annually"/>
    <n v="0.1"/>
    <n v="60.3"/>
    <n v="67"/>
    <s v="Debit Card"/>
    <s v="Normal"/>
    <s v="Good"/>
  </r>
  <r>
    <n v="1701"/>
    <n v="62"/>
    <x v="0"/>
    <x v="15"/>
    <x v="0"/>
    <n v="70"/>
    <x v="8"/>
    <x v="0"/>
    <s v="Black"/>
    <x v="3"/>
    <n v="4.0999999999999996"/>
    <s v="No"/>
    <x v="0"/>
    <s v="No"/>
    <n v="36"/>
    <x v="4"/>
    <s v="Monthly"/>
    <n v="0.1"/>
    <n v="63"/>
    <n v="70"/>
    <s v="Bank Transfer"/>
    <s v="Normal"/>
    <s v="Good"/>
  </r>
  <r>
    <n v="1702"/>
    <n v="69"/>
    <x v="0"/>
    <x v="8"/>
    <x v="3"/>
    <n v="41"/>
    <x v="16"/>
    <x v="3"/>
    <s v="Blue"/>
    <x v="0"/>
    <n v="3.8"/>
    <s v="No"/>
    <x v="2"/>
    <s v="No"/>
    <n v="44"/>
    <x v="5"/>
    <s v="Every 3 Months"/>
    <n v="0.1"/>
    <n v="36.9"/>
    <n v="41"/>
    <s v="Debit Card"/>
    <s v="Normal"/>
    <s v="Good"/>
  </r>
  <r>
    <n v="1703"/>
    <n v="54"/>
    <x v="0"/>
    <x v="2"/>
    <x v="0"/>
    <n v="83"/>
    <x v="15"/>
    <x v="3"/>
    <s v="Yellow"/>
    <x v="2"/>
    <n v="5"/>
    <s v="No"/>
    <x v="0"/>
    <s v="No"/>
    <n v="48"/>
    <x v="4"/>
    <s v="Weekly"/>
    <n v="0.1"/>
    <n v="74.7"/>
    <n v="83"/>
    <s v="Bank Transfer"/>
    <s v="Normal"/>
    <s v="Good"/>
  </r>
  <r>
    <n v="1704"/>
    <n v="39"/>
    <x v="0"/>
    <x v="21"/>
    <x v="3"/>
    <n v="22"/>
    <x v="18"/>
    <x v="2"/>
    <s v="Black"/>
    <x v="1"/>
    <n v="4"/>
    <s v="No"/>
    <x v="2"/>
    <s v="No"/>
    <n v="12"/>
    <x v="4"/>
    <s v="Annually"/>
    <n v="0.1"/>
    <n v="19.8"/>
    <n v="22"/>
    <s v="Bank Transfer"/>
    <s v="Normal"/>
    <s v="Good"/>
  </r>
  <r>
    <n v="1705"/>
    <n v="56"/>
    <x v="0"/>
    <x v="4"/>
    <x v="1"/>
    <n v="20"/>
    <x v="37"/>
    <x v="2"/>
    <s v="Lavender"/>
    <x v="2"/>
    <n v="3.9"/>
    <s v="No"/>
    <x v="5"/>
    <s v="No"/>
    <n v="19"/>
    <x v="1"/>
    <s v="Every 3 Months"/>
    <n v="0.1"/>
    <n v="18"/>
    <n v="20"/>
    <s v="Cash"/>
    <s v="Normal"/>
    <s v="Good"/>
  </r>
  <r>
    <n v="1706"/>
    <n v="39"/>
    <x v="0"/>
    <x v="16"/>
    <x v="3"/>
    <n v="29"/>
    <x v="45"/>
    <x v="0"/>
    <s v="Cyan"/>
    <x v="2"/>
    <n v="3.4"/>
    <s v="No"/>
    <x v="4"/>
    <s v="No"/>
    <n v="49"/>
    <x v="0"/>
    <s v="Bi-Weekly"/>
    <n v="0.1"/>
    <n v="26.1"/>
    <n v="29"/>
    <s v="Venmo"/>
    <s v="Normal"/>
    <s v="Good"/>
  </r>
  <r>
    <n v="1707"/>
    <n v="37"/>
    <x v="0"/>
    <x v="12"/>
    <x v="3"/>
    <n v="87"/>
    <x v="25"/>
    <x v="2"/>
    <s v="Brown"/>
    <x v="1"/>
    <n v="3"/>
    <s v="No"/>
    <x v="3"/>
    <s v="No"/>
    <n v="25"/>
    <x v="0"/>
    <s v="Fortnightly"/>
    <n v="0.1"/>
    <n v="78.3"/>
    <n v="87"/>
    <s v="Venmo"/>
    <s v="Normal"/>
    <s v="Good"/>
  </r>
  <r>
    <n v="1708"/>
    <n v="25"/>
    <x v="0"/>
    <x v="6"/>
    <x v="0"/>
    <n v="81"/>
    <x v="22"/>
    <x v="0"/>
    <s v="Maroon"/>
    <x v="3"/>
    <n v="4.9000000000000004"/>
    <s v="No"/>
    <x v="4"/>
    <s v="No"/>
    <n v="25"/>
    <x v="1"/>
    <s v="Bi-Weekly"/>
    <n v="0.1"/>
    <n v="72.900000000000006"/>
    <n v="81"/>
    <s v="Cash"/>
    <s v="Normal"/>
    <s v="Good"/>
  </r>
  <r>
    <n v="1709"/>
    <n v="35"/>
    <x v="0"/>
    <x v="23"/>
    <x v="1"/>
    <n v="58"/>
    <x v="20"/>
    <x v="0"/>
    <s v="Cyan"/>
    <x v="1"/>
    <n v="3.2"/>
    <s v="No"/>
    <x v="0"/>
    <s v="No"/>
    <n v="1"/>
    <x v="2"/>
    <s v="Quarterly"/>
    <n v="0.1"/>
    <n v="52.2"/>
    <n v="58"/>
    <s v="Credit Card"/>
    <s v="Normal"/>
    <s v="Good"/>
  </r>
  <r>
    <n v="1710"/>
    <n v="45"/>
    <x v="0"/>
    <x v="11"/>
    <x v="0"/>
    <n v="83"/>
    <x v="27"/>
    <x v="2"/>
    <s v="Pink"/>
    <x v="0"/>
    <n v="3.8"/>
    <s v="No"/>
    <x v="3"/>
    <s v="No"/>
    <n v="19"/>
    <x v="4"/>
    <s v="Annually"/>
    <n v="0.1"/>
    <n v="74.7"/>
    <n v="83"/>
    <s v="Bank Transfer"/>
    <s v="Normal"/>
    <s v="Good"/>
  </r>
  <r>
    <n v="1711"/>
    <n v="19"/>
    <x v="0"/>
    <x v="13"/>
    <x v="0"/>
    <n v="59"/>
    <x v="10"/>
    <x v="3"/>
    <s v="Orange"/>
    <x v="3"/>
    <n v="3.8"/>
    <s v="No"/>
    <x v="5"/>
    <s v="No"/>
    <n v="7"/>
    <x v="2"/>
    <s v="Quarterly"/>
    <n v="0.1"/>
    <n v="53.1"/>
    <n v="59"/>
    <s v="Credit Card"/>
    <s v="Normal"/>
    <s v="Good"/>
  </r>
  <r>
    <n v="1712"/>
    <n v="21"/>
    <x v="0"/>
    <x v="17"/>
    <x v="0"/>
    <n v="93"/>
    <x v="17"/>
    <x v="2"/>
    <s v="Lavender"/>
    <x v="1"/>
    <n v="4.7"/>
    <s v="No"/>
    <x v="0"/>
    <s v="No"/>
    <n v="19"/>
    <x v="2"/>
    <s v="Monthly"/>
    <n v="0.1"/>
    <n v="83.7"/>
    <n v="93"/>
    <s v="Credit Card"/>
    <s v="Normal"/>
    <s v="Good"/>
  </r>
  <r>
    <n v="1713"/>
    <n v="65"/>
    <x v="0"/>
    <x v="17"/>
    <x v="0"/>
    <n v="87"/>
    <x v="26"/>
    <x v="1"/>
    <s v="Beige"/>
    <x v="3"/>
    <n v="3.8"/>
    <s v="No"/>
    <x v="4"/>
    <s v="No"/>
    <n v="9"/>
    <x v="1"/>
    <s v="Fortnightly"/>
    <n v="0.1"/>
    <n v="78.3"/>
    <n v="87"/>
    <s v="Cash"/>
    <s v="Normal"/>
    <s v="Good"/>
  </r>
  <r>
    <n v="1714"/>
    <n v="49"/>
    <x v="0"/>
    <x v="14"/>
    <x v="2"/>
    <n v="22"/>
    <x v="9"/>
    <x v="2"/>
    <s v="Pink"/>
    <x v="0"/>
    <n v="4.5999999999999996"/>
    <s v="No"/>
    <x v="1"/>
    <s v="No"/>
    <n v="37"/>
    <x v="3"/>
    <s v="Quarterly"/>
    <n v="0.1"/>
    <n v="19.8"/>
    <n v="22"/>
    <s v="PayPal"/>
    <s v="Normal"/>
    <s v="Good"/>
  </r>
  <r>
    <n v="1715"/>
    <n v="30"/>
    <x v="0"/>
    <x v="2"/>
    <x v="0"/>
    <n v="71"/>
    <x v="45"/>
    <x v="1"/>
    <s v="Charcoal"/>
    <x v="2"/>
    <n v="4.4000000000000004"/>
    <s v="No"/>
    <x v="3"/>
    <s v="No"/>
    <n v="15"/>
    <x v="1"/>
    <s v="Monthly"/>
    <n v="0.1"/>
    <n v="63.9"/>
    <n v="71"/>
    <s v="Cash"/>
    <s v="Normal"/>
    <s v="Good"/>
  </r>
  <r>
    <n v="1716"/>
    <n v="23"/>
    <x v="0"/>
    <x v="10"/>
    <x v="0"/>
    <n v="69"/>
    <x v="37"/>
    <x v="3"/>
    <s v="Gray"/>
    <x v="1"/>
    <n v="3.4"/>
    <s v="No"/>
    <x v="4"/>
    <s v="No"/>
    <n v="30"/>
    <x v="3"/>
    <s v="Bi-Weekly"/>
    <n v="0.1"/>
    <n v="62.1"/>
    <n v="69"/>
    <s v="PayPal"/>
    <s v="Normal"/>
    <s v="Good"/>
  </r>
  <r>
    <n v="1717"/>
    <n v="69"/>
    <x v="0"/>
    <x v="0"/>
    <x v="0"/>
    <n v="47"/>
    <x v="39"/>
    <x v="2"/>
    <s v="Cyan"/>
    <x v="0"/>
    <n v="4.7"/>
    <s v="No"/>
    <x v="3"/>
    <s v="No"/>
    <n v="30"/>
    <x v="1"/>
    <s v="Every 3 Months"/>
    <n v="0.1"/>
    <n v="42.3"/>
    <n v="47"/>
    <s v="Cash"/>
    <s v="Normal"/>
    <s v="Good"/>
  </r>
  <r>
    <n v="1718"/>
    <n v="29"/>
    <x v="0"/>
    <x v="15"/>
    <x v="0"/>
    <n v="50"/>
    <x v="11"/>
    <x v="0"/>
    <s v="Orange"/>
    <x v="2"/>
    <n v="2.9"/>
    <s v="No"/>
    <x v="0"/>
    <s v="No"/>
    <n v="16"/>
    <x v="5"/>
    <s v="Bi-Weekly"/>
    <n v="0.1"/>
    <n v="45"/>
    <n v="50"/>
    <s v="Debit Card"/>
    <s v="Normal"/>
    <s v="Poor"/>
  </r>
  <r>
    <n v="1719"/>
    <n v="54"/>
    <x v="0"/>
    <x v="17"/>
    <x v="0"/>
    <n v="96"/>
    <x v="33"/>
    <x v="0"/>
    <s v="Pink"/>
    <x v="0"/>
    <n v="3.4"/>
    <s v="No"/>
    <x v="4"/>
    <s v="No"/>
    <n v="14"/>
    <x v="3"/>
    <s v="Every 3 Months"/>
    <n v="0.1"/>
    <n v="86.4"/>
    <n v="96"/>
    <s v="PayPal"/>
    <s v="Normal"/>
    <s v="Good"/>
  </r>
  <r>
    <n v="1720"/>
    <n v="45"/>
    <x v="0"/>
    <x v="1"/>
    <x v="0"/>
    <n v="39"/>
    <x v="33"/>
    <x v="2"/>
    <s v="White"/>
    <x v="0"/>
    <n v="3.2"/>
    <s v="No"/>
    <x v="1"/>
    <s v="No"/>
    <n v="8"/>
    <x v="0"/>
    <s v="Quarterly"/>
    <n v="0.1"/>
    <n v="35.1"/>
    <n v="39"/>
    <s v="Venmo"/>
    <s v="Normal"/>
    <s v="Good"/>
  </r>
  <r>
    <n v="1721"/>
    <n v="25"/>
    <x v="0"/>
    <x v="6"/>
    <x v="0"/>
    <n v="84"/>
    <x v="2"/>
    <x v="1"/>
    <s v="Beige"/>
    <x v="0"/>
    <n v="2.8"/>
    <s v="No"/>
    <x v="0"/>
    <s v="No"/>
    <n v="40"/>
    <x v="5"/>
    <s v="Bi-Weekly"/>
    <n v="0.1"/>
    <n v="75.599999999999994"/>
    <n v="84"/>
    <s v="Debit Card"/>
    <s v="Normal"/>
    <s v="Poor"/>
  </r>
  <r>
    <n v="1722"/>
    <n v="34"/>
    <x v="0"/>
    <x v="16"/>
    <x v="3"/>
    <n v="28"/>
    <x v="12"/>
    <x v="1"/>
    <s v="Magenta"/>
    <x v="1"/>
    <n v="4.3"/>
    <s v="No"/>
    <x v="1"/>
    <s v="No"/>
    <n v="24"/>
    <x v="2"/>
    <s v="Monthly"/>
    <n v="0.1"/>
    <n v="25.2"/>
    <n v="28"/>
    <s v="Credit Card"/>
    <s v="Normal"/>
    <s v="Good"/>
  </r>
  <r>
    <n v="1723"/>
    <n v="46"/>
    <x v="0"/>
    <x v="17"/>
    <x v="0"/>
    <n v="51"/>
    <x v="2"/>
    <x v="0"/>
    <s v="Violet"/>
    <x v="2"/>
    <n v="3.3"/>
    <s v="No"/>
    <x v="3"/>
    <s v="No"/>
    <n v="14"/>
    <x v="1"/>
    <s v="Fortnightly"/>
    <n v="0.1"/>
    <n v="45.9"/>
    <n v="51"/>
    <s v="Cash"/>
    <s v="Normal"/>
    <s v="Good"/>
  </r>
  <r>
    <n v="1724"/>
    <n v="70"/>
    <x v="0"/>
    <x v="18"/>
    <x v="3"/>
    <n v="20"/>
    <x v="14"/>
    <x v="3"/>
    <s v="Gold"/>
    <x v="1"/>
    <n v="3.3"/>
    <s v="No"/>
    <x v="3"/>
    <s v="No"/>
    <n v="39"/>
    <x v="3"/>
    <s v="Annually"/>
    <n v="0.1"/>
    <n v="18"/>
    <n v="20"/>
    <s v="PayPal"/>
    <s v="Normal"/>
    <s v="Good"/>
  </r>
  <r>
    <n v="1725"/>
    <n v="42"/>
    <x v="0"/>
    <x v="9"/>
    <x v="1"/>
    <n v="72"/>
    <x v="12"/>
    <x v="1"/>
    <s v="Teal"/>
    <x v="0"/>
    <n v="3.3"/>
    <s v="No"/>
    <x v="1"/>
    <s v="No"/>
    <n v="21"/>
    <x v="3"/>
    <s v="Weekly"/>
    <n v="0.1"/>
    <n v="64.8"/>
    <n v="72"/>
    <s v="PayPal"/>
    <s v="Normal"/>
    <s v="Good"/>
  </r>
  <r>
    <n v="1726"/>
    <n v="45"/>
    <x v="0"/>
    <x v="12"/>
    <x v="3"/>
    <n v="33"/>
    <x v="2"/>
    <x v="2"/>
    <s v="Indigo"/>
    <x v="1"/>
    <n v="3"/>
    <s v="No"/>
    <x v="2"/>
    <s v="No"/>
    <n v="32"/>
    <x v="0"/>
    <s v="Quarterly"/>
    <n v="0.1"/>
    <n v="29.7"/>
    <n v="33"/>
    <s v="Venmo"/>
    <s v="Normal"/>
    <s v="Good"/>
  </r>
  <r>
    <n v="1727"/>
    <n v="57"/>
    <x v="0"/>
    <x v="7"/>
    <x v="2"/>
    <n v="28"/>
    <x v="27"/>
    <x v="1"/>
    <s v="Olive"/>
    <x v="2"/>
    <n v="2.8"/>
    <s v="No"/>
    <x v="0"/>
    <s v="No"/>
    <n v="45"/>
    <x v="5"/>
    <s v="Weekly"/>
    <n v="0.1"/>
    <n v="25.2"/>
    <n v="28"/>
    <s v="Debit Card"/>
    <s v="Normal"/>
    <s v="Poor"/>
  </r>
  <r>
    <n v="1728"/>
    <n v="49"/>
    <x v="0"/>
    <x v="0"/>
    <x v="0"/>
    <n v="53"/>
    <x v="41"/>
    <x v="1"/>
    <s v="Violet"/>
    <x v="1"/>
    <n v="4"/>
    <s v="No"/>
    <x v="0"/>
    <s v="No"/>
    <n v="19"/>
    <x v="3"/>
    <s v="Monthly"/>
    <n v="0.1"/>
    <n v="47.7"/>
    <n v="53"/>
    <s v="PayPal"/>
    <s v="Normal"/>
    <s v="Good"/>
  </r>
  <r>
    <n v="1729"/>
    <n v="23"/>
    <x v="0"/>
    <x v="2"/>
    <x v="0"/>
    <n v="48"/>
    <x v="5"/>
    <x v="0"/>
    <s v="Black"/>
    <x v="3"/>
    <n v="4.3"/>
    <s v="No"/>
    <x v="0"/>
    <s v="No"/>
    <n v="1"/>
    <x v="5"/>
    <s v="Every 3 Months"/>
    <n v="0.1"/>
    <n v="43.2"/>
    <n v="48"/>
    <s v="Debit Card"/>
    <s v="Normal"/>
    <s v="Good"/>
  </r>
  <r>
    <n v="1730"/>
    <n v="47"/>
    <x v="0"/>
    <x v="6"/>
    <x v="0"/>
    <n v="21"/>
    <x v="26"/>
    <x v="2"/>
    <s v="Brown"/>
    <x v="0"/>
    <n v="3.8"/>
    <s v="No"/>
    <x v="5"/>
    <s v="No"/>
    <n v="12"/>
    <x v="0"/>
    <s v="Fortnightly"/>
    <n v="0.1"/>
    <n v="18.899999999999999"/>
    <n v="21"/>
    <s v="Venmo"/>
    <s v="Normal"/>
    <s v="Good"/>
  </r>
  <r>
    <n v="1731"/>
    <n v="23"/>
    <x v="0"/>
    <x v="5"/>
    <x v="0"/>
    <n v="22"/>
    <x v="15"/>
    <x v="1"/>
    <s v="Silver"/>
    <x v="3"/>
    <n v="4.2"/>
    <s v="No"/>
    <x v="1"/>
    <s v="No"/>
    <n v="26"/>
    <x v="2"/>
    <s v="Weekly"/>
    <n v="0.1"/>
    <n v="19.8"/>
    <n v="22"/>
    <s v="Credit Card"/>
    <s v="Normal"/>
    <s v="Good"/>
  </r>
  <r>
    <n v="1732"/>
    <n v="21"/>
    <x v="0"/>
    <x v="21"/>
    <x v="3"/>
    <n v="87"/>
    <x v="37"/>
    <x v="2"/>
    <s v="Gray"/>
    <x v="3"/>
    <n v="3.1"/>
    <s v="No"/>
    <x v="2"/>
    <s v="No"/>
    <n v="12"/>
    <x v="1"/>
    <s v="Monthly"/>
    <n v="0.1"/>
    <n v="78.3"/>
    <n v="87"/>
    <s v="Cash"/>
    <s v="Normal"/>
    <s v="Good"/>
  </r>
  <r>
    <n v="1733"/>
    <n v="45"/>
    <x v="0"/>
    <x v="22"/>
    <x v="3"/>
    <n v="50"/>
    <x v="3"/>
    <x v="1"/>
    <s v="Charcoal"/>
    <x v="0"/>
    <n v="2.6"/>
    <s v="No"/>
    <x v="1"/>
    <s v="No"/>
    <n v="36"/>
    <x v="1"/>
    <s v="Every 3 Months"/>
    <n v="0.1"/>
    <n v="45"/>
    <n v="50"/>
    <s v="Cash"/>
    <s v="Normal"/>
    <s v="Poor"/>
  </r>
  <r>
    <n v="1734"/>
    <n v="67"/>
    <x v="0"/>
    <x v="0"/>
    <x v="0"/>
    <n v="85"/>
    <x v="14"/>
    <x v="0"/>
    <s v="Black"/>
    <x v="2"/>
    <n v="3.4"/>
    <s v="No"/>
    <x v="0"/>
    <s v="No"/>
    <n v="22"/>
    <x v="2"/>
    <s v="Annually"/>
    <n v="0.1"/>
    <n v="76.5"/>
    <n v="85"/>
    <s v="Credit Card"/>
    <s v="Normal"/>
    <s v="Good"/>
  </r>
  <r>
    <n v="1735"/>
    <n v="31"/>
    <x v="0"/>
    <x v="2"/>
    <x v="0"/>
    <n v="98"/>
    <x v="9"/>
    <x v="0"/>
    <s v="Brown"/>
    <x v="1"/>
    <n v="3.1"/>
    <s v="No"/>
    <x v="2"/>
    <s v="No"/>
    <n v="16"/>
    <x v="3"/>
    <s v="Quarterly"/>
    <n v="0.1"/>
    <n v="88.2"/>
    <n v="98"/>
    <s v="PayPal"/>
    <s v="Normal"/>
    <s v="Good"/>
  </r>
  <r>
    <n v="1736"/>
    <n v="58"/>
    <x v="0"/>
    <x v="10"/>
    <x v="0"/>
    <n v="34"/>
    <x v="21"/>
    <x v="2"/>
    <s v="Purple"/>
    <x v="0"/>
    <n v="3.6"/>
    <s v="No"/>
    <x v="0"/>
    <s v="No"/>
    <n v="31"/>
    <x v="0"/>
    <s v="Annually"/>
    <n v="0.1"/>
    <n v="30.6"/>
    <n v="34"/>
    <s v="Venmo"/>
    <s v="Normal"/>
    <s v="Good"/>
  </r>
  <r>
    <n v="1737"/>
    <n v="57"/>
    <x v="0"/>
    <x v="6"/>
    <x v="0"/>
    <n v="61"/>
    <x v="30"/>
    <x v="2"/>
    <s v="Purple"/>
    <x v="2"/>
    <n v="2.6"/>
    <s v="No"/>
    <x v="4"/>
    <s v="No"/>
    <n v="43"/>
    <x v="1"/>
    <s v="Quarterly"/>
    <n v="0.1"/>
    <n v="54.9"/>
    <n v="61"/>
    <s v="Cash"/>
    <s v="Normal"/>
    <s v="Poor"/>
  </r>
  <r>
    <n v="1738"/>
    <n v="42"/>
    <x v="0"/>
    <x v="16"/>
    <x v="3"/>
    <n v="98"/>
    <x v="31"/>
    <x v="0"/>
    <s v="Gray"/>
    <x v="2"/>
    <n v="4.2"/>
    <s v="No"/>
    <x v="5"/>
    <s v="No"/>
    <n v="50"/>
    <x v="0"/>
    <s v="Bi-Weekly"/>
    <n v="0.1"/>
    <n v="88.2"/>
    <n v="98"/>
    <s v="Venmo"/>
    <s v="Normal"/>
    <s v="Good"/>
  </r>
  <r>
    <n v="1739"/>
    <n v="60"/>
    <x v="0"/>
    <x v="8"/>
    <x v="3"/>
    <n v="61"/>
    <x v="30"/>
    <x v="2"/>
    <s v="Green"/>
    <x v="1"/>
    <n v="2.9"/>
    <s v="No"/>
    <x v="4"/>
    <s v="No"/>
    <n v="37"/>
    <x v="2"/>
    <s v="Weekly"/>
    <n v="0.1"/>
    <n v="54.9"/>
    <n v="61"/>
    <s v="Credit Card"/>
    <s v="Normal"/>
    <s v="Poor"/>
  </r>
  <r>
    <n v="1740"/>
    <n v="21"/>
    <x v="0"/>
    <x v="16"/>
    <x v="3"/>
    <n v="98"/>
    <x v="46"/>
    <x v="0"/>
    <s v="Silver"/>
    <x v="0"/>
    <n v="4.2"/>
    <s v="No"/>
    <x v="0"/>
    <s v="No"/>
    <n v="23"/>
    <x v="1"/>
    <s v="Weekly"/>
    <n v="0.1"/>
    <n v="88.2"/>
    <n v="98"/>
    <s v="Cash"/>
    <s v="Normal"/>
    <s v="Good"/>
  </r>
  <r>
    <n v="1741"/>
    <n v="69"/>
    <x v="0"/>
    <x v="13"/>
    <x v="0"/>
    <n v="21"/>
    <x v="48"/>
    <x v="0"/>
    <s v="Charcoal"/>
    <x v="3"/>
    <n v="3.3"/>
    <s v="No"/>
    <x v="2"/>
    <s v="No"/>
    <n v="10"/>
    <x v="4"/>
    <s v="Every 3 Months"/>
    <n v="0.1"/>
    <n v="18.899999999999999"/>
    <n v="21"/>
    <s v="Bank Transfer"/>
    <s v="Normal"/>
    <s v="Good"/>
  </r>
  <r>
    <n v="1742"/>
    <n v="41"/>
    <x v="0"/>
    <x v="13"/>
    <x v="0"/>
    <n v="51"/>
    <x v="12"/>
    <x v="3"/>
    <s v="Teal"/>
    <x v="0"/>
    <n v="3.6"/>
    <s v="No"/>
    <x v="2"/>
    <s v="No"/>
    <n v="20"/>
    <x v="4"/>
    <s v="Monthly"/>
    <n v="0.1"/>
    <n v="45.9"/>
    <n v="51"/>
    <s v="Bank Transfer"/>
    <s v="Normal"/>
    <s v="Good"/>
  </r>
  <r>
    <n v="1743"/>
    <n v="51"/>
    <x v="0"/>
    <x v="3"/>
    <x v="1"/>
    <n v="80"/>
    <x v="23"/>
    <x v="3"/>
    <s v="White"/>
    <x v="1"/>
    <n v="4.3"/>
    <s v="No"/>
    <x v="0"/>
    <s v="No"/>
    <n v="18"/>
    <x v="0"/>
    <s v="Every 3 Months"/>
    <n v="0.1"/>
    <n v="72"/>
    <n v="80"/>
    <s v="Venmo"/>
    <s v="Normal"/>
    <s v="Good"/>
  </r>
  <r>
    <n v="1744"/>
    <n v="23"/>
    <x v="0"/>
    <x v="11"/>
    <x v="0"/>
    <n v="72"/>
    <x v="9"/>
    <x v="3"/>
    <s v="Brown"/>
    <x v="0"/>
    <n v="3.3"/>
    <s v="No"/>
    <x v="3"/>
    <s v="No"/>
    <n v="3"/>
    <x v="4"/>
    <s v="Weekly"/>
    <n v="0.1"/>
    <n v="64.8"/>
    <n v="72"/>
    <s v="Bank Transfer"/>
    <s v="Normal"/>
    <s v="Good"/>
  </r>
  <r>
    <n v="1745"/>
    <n v="57"/>
    <x v="0"/>
    <x v="12"/>
    <x v="3"/>
    <n v="63"/>
    <x v="49"/>
    <x v="0"/>
    <s v="Teal"/>
    <x v="0"/>
    <n v="3"/>
    <s v="No"/>
    <x v="3"/>
    <s v="No"/>
    <n v="23"/>
    <x v="3"/>
    <s v="Weekly"/>
    <n v="0.1"/>
    <n v="56.7"/>
    <n v="63"/>
    <s v="PayPal"/>
    <s v="Normal"/>
    <s v="Good"/>
  </r>
  <r>
    <n v="1746"/>
    <n v="40"/>
    <x v="0"/>
    <x v="11"/>
    <x v="0"/>
    <n v="27"/>
    <x v="8"/>
    <x v="0"/>
    <s v="Red"/>
    <x v="0"/>
    <n v="3.6"/>
    <s v="No"/>
    <x v="5"/>
    <s v="No"/>
    <n v="27"/>
    <x v="1"/>
    <s v="Weekly"/>
    <n v="0.1"/>
    <n v="24.3"/>
    <n v="27"/>
    <s v="Cash"/>
    <s v="Normal"/>
    <s v="Good"/>
  </r>
  <r>
    <n v="1747"/>
    <n v="65"/>
    <x v="0"/>
    <x v="8"/>
    <x v="3"/>
    <n v="44"/>
    <x v="15"/>
    <x v="0"/>
    <s v="Brown"/>
    <x v="2"/>
    <n v="3.1"/>
    <s v="No"/>
    <x v="5"/>
    <s v="No"/>
    <n v="44"/>
    <x v="4"/>
    <s v="Fortnightly"/>
    <n v="0.1"/>
    <n v="39.6"/>
    <n v="44"/>
    <s v="Bank Transfer"/>
    <s v="Normal"/>
    <s v="Good"/>
  </r>
  <r>
    <n v="1748"/>
    <n v="61"/>
    <x v="0"/>
    <x v="7"/>
    <x v="2"/>
    <n v="23"/>
    <x v="13"/>
    <x v="2"/>
    <s v="Yellow"/>
    <x v="0"/>
    <n v="2.9"/>
    <s v="No"/>
    <x v="0"/>
    <s v="No"/>
    <n v="41"/>
    <x v="0"/>
    <s v="Quarterly"/>
    <n v="0.1"/>
    <n v="20.7"/>
    <n v="23"/>
    <s v="Venmo"/>
    <s v="Normal"/>
    <s v="Poor"/>
  </r>
  <r>
    <n v="1749"/>
    <n v="34"/>
    <x v="0"/>
    <x v="11"/>
    <x v="0"/>
    <n v="93"/>
    <x v="6"/>
    <x v="0"/>
    <s v="Teal"/>
    <x v="0"/>
    <n v="3.9"/>
    <s v="No"/>
    <x v="4"/>
    <s v="No"/>
    <n v="41"/>
    <x v="4"/>
    <s v="Annually"/>
    <n v="0.1"/>
    <n v="83.7"/>
    <n v="93"/>
    <s v="Bank Transfer"/>
    <s v="Normal"/>
    <s v="Good"/>
  </r>
  <r>
    <n v="1750"/>
    <n v="43"/>
    <x v="0"/>
    <x v="15"/>
    <x v="0"/>
    <n v="70"/>
    <x v="5"/>
    <x v="0"/>
    <s v="Pink"/>
    <x v="3"/>
    <n v="3.2"/>
    <s v="No"/>
    <x v="4"/>
    <s v="No"/>
    <n v="36"/>
    <x v="5"/>
    <s v="Every 3 Months"/>
    <n v="0.1"/>
    <n v="63"/>
    <n v="70"/>
    <s v="Debit Card"/>
    <s v="Normal"/>
    <s v="Good"/>
  </r>
  <r>
    <n v="1751"/>
    <n v="31"/>
    <x v="0"/>
    <x v="12"/>
    <x v="3"/>
    <n v="85"/>
    <x v="9"/>
    <x v="2"/>
    <s v="White"/>
    <x v="3"/>
    <n v="3.1"/>
    <s v="No"/>
    <x v="0"/>
    <s v="No"/>
    <n v="38"/>
    <x v="0"/>
    <s v="Every 3 Months"/>
    <n v="0.1"/>
    <n v="76.5"/>
    <n v="85"/>
    <s v="Venmo"/>
    <s v="Normal"/>
    <s v="Good"/>
  </r>
  <r>
    <n v="1752"/>
    <n v="57"/>
    <x v="0"/>
    <x v="1"/>
    <x v="0"/>
    <n v="40"/>
    <x v="31"/>
    <x v="2"/>
    <s v="Silver"/>
    <x v="0"/>
    <n v="3.2"/>
    <s v="No"/>
    <x v="4"/>
    <s v="No"/>
    <n v="34"/>
    <x v="1"/>
    <s v="Annually"/>
    <n v="0.1"/>
    <n v="36"/>
    <n v="40"/>
    <s v="Cash"/>
    <s v="Normal"/>
    <s v="Good"/>
  </r>
  <r>
    <n v="1753"/>
    <n v="34"/>
    <x v="0"/>
    <x v="23"/>
    <x v="1"/>
    <n v="29"/>
    <x v="45"/>
    <x v="0"/>
    <s v="Blue"/>
    <x v="0"/>
    <n v="3.3"/>
    <s v="No"/>
    <x v="5"/>
    <s v="No"/>
    <n v="14"/>
    <x v="0"/>
    <s v="Quarterly"/>
    <n v="0.1"/>
    <n v="26.1"/>
    <n v="29"/>
    <s v="Venmo"/>
    <s v="Normal"/>
    <s v="Good"/>
  </r>
  <r>
    <n v="1754"/>
    <n v="25"/>
    <x v="0"/>
    <x v="11"/>
    <x v="0"/>
    <n v="27"/>
    <x v="24"/>
    <x v="0"/>
    <s v="Black"/>
    <x v="3"/>
    <n v="4.8"/>
    <s v="No"/>
    <x v="2"/>
    <s v="No"/>
    <n v="23"/>
    <x v="2"/>
    <s v="Fortnightly"/>
    <n v="0.1"/>
    <n v="24.3"/>
    <n v="27"/>
    <s v="Credit Card"/>
    <s v="Normal"/>
    <s v="Good"/>
  </r>
  <r>
    <n v="1755"/>
    <n v="66"/>
    <x v="0"/>
    <x v="10"/>
    <x v="0"/>
    <n v="93"/>
    <x v="2"/>
    <x v="1"/>
    <s v="Beige"/>
    <x v="3"/>
    <n v="3.8"/>
    <s v="No"/>
    <x v="4"/>
    <s v="No"/>
    <n v="18"/>
    <x v="2"/>
    <s v="Fortnightly"/>
    <n v="0.1"/>
    <n v="83.7"/>
    <n v="93"/>
    <s v="Credit Card"/>
    <s v="Normal"/>
    <s v="Good"/>
  </r>
  <r>
    <n v="1756"/>
    <n v="56"/>
    <x v="0"/>
    <x v="22"/>
    <x v="3"/>
    <n v="20"/>
    <x v="12"/>
    <x v="3"/>
    <s v="Charcoal"/>
    <x v="1"/>
    <n v="4.5999999999999996"/>
    <s v="No"/>
    <x v="2"/>
    <s v="No"/>
    <n v="45"/>
    <x v="1"/>
    <s v="Monthly"/>
    <n v="0.1"/>
    <n v="18"/>
    <n v="20"/>
    <s v="Cash"/>
    <s v="Normal"/>
    <s v="Good"/>
  </r>
  <r>
    <n v="1757"/>
    <n v="49"/>
    <x v="0"/>
    <x v="16"/>
    <x v="3"/>
    <n v="55"/>
    <x v="13"/>
    <x v="1"/>
    <s v="Cyan"/>
    <x v="3"/>
    <n v="2.8"/>
    <s v="No"/>
    <x v="1"/>
    <s v="No"/>
    <n v="14"/>
    <x v="4"/>
    <s v="Weekly"/>
    <n v="0.1"/>
    <n v="49.5"/>
    <n v="55"/>
    <s v="Bank Transfer"/>
    <s v="Normal"/>
    <s v="Poor"/>
  </r>
  <r>
    <n v="1758"/>
    <n v="19"/>
    <x v="0"/>
    <x v="10"/>
    <x v="0"/>
    <n v="94"/>
    <x v="49"/>
    <x v="0"/>
    <s v="Yellow"/>
    <x v="3"/>
    <n v="3.6"/>
    <s v="No"/>
    <x v="3"/>
    <s v="No"/>
    <n v="48"/>
    <x v="5"/>
    <s v="Annually"/>
    <n v="0.1"/>
    <n v="84.6"/>
    <n v="94"/>
    <s v="Debit Card"/>
    <s v="Normal"/>
    <s v="Good"/>
  </r>
  <r>
    <n v="1759"/>
    <n v="27"/>
    <x v="0"/>
    <x v="19"/>
    <x v="3"/>
    <n v="56"/>
    <x v="38"/>
    <x v="2"/>
    <s v="Silver"/>
    <x v="0"/>
    <n v="4.3"/>
    <s v="No"/>
    <x v="1"/>
    <s v="No"/>
    <n v="17"/>
    <x v="0"/>
    <s v="Bi-Weekly"/>
    <n v="0.1"/>
    <n v="50.4"/>
    <n v="56"/>
    <s v="Venmo"/>
    <s v="Normal"/>
    <s v="Good"/>
  </r>
  <r>
    <n v="1760"/>
    <n v="68"/>
    <x v="0"/>
    <x v="1"/>
    <x v="0"/>
    <n v="58"/>
    <x v="7"/>
    <x v="0"/>
    <s v="Green"/>
    <x v="1"/>
    <n v="4"/>
    <s v="No"/>
    <x v="2"/>
    <s v="No"/>
    <n v="1"/>
    <x v="3"/>
    <s v="Weekly"/>
    <n v="0.1"/>
    <n v="52.2"/>
    <n v="58"/>
    <s v="PayPal"/>
    <s v="Normal"/>
    <s v="Good"/>
  </r>
  <r>
    <n v="1761"/>
    <n v="20"/>
    <x v="0"/>
    <x v="11"/>
    <x v="0"/>
    <n v="44"/>
    <x v="46"/>
    <x v="3"/>
    <s v="Peach"/>
    <x v="1"/>
    <n v="3.5"/>
    <s v="No"/>
    <x v="3"/>
    <s v="No"/>
    <n v="39"/>
    <x v="3"/>
    <s v="Weekly"/>
    <n v="0.1"/>
    <n v="39.6"/>
    <n v="44"/>
    <s v="PayPal"/>
    <s v="Normal"/>
    <s v="Good"/>
  </r>
  <r>
    <n v="1762"/>
    <n v="21"/>
    <x v="0"/>
    <x v="15"/>
    <x v="0"/>
    <n v="95"/>
    <x v="11"/>
    <x v="1"/>
    <s v="Green"/>
    <x v="3"/>
    <n v="4.9000000000000004"/>
    <s v="No"/>
    <x v="4"/>
    <s v="No"/>
    <n v="24"/>
    <x v="1"/>
    <s v="Weekly"/>
    <n v="0.1"/>
    <n v="85.5"/>
    <n v="95"/>
    <s v="Cash"/>
    <s v="Normal"/>
    <s v="Good"/>
  </r>
  <r>
    <n v="1763"/>
    <n v="36"/>
    <x v="0"/>
    <x v="3"/>
    <x v="1"/>
    <n v="42"/>
    <x v="37"/>
    <x v="2"/>
    <s v="Brown"/>
    <x v="2"/>
    <n v="3.1"/>
    <s v="No"/>
    <x v="0"/>
    <s v="No"/>
    <n v="41"/>
    <x v="4"/>
    <s v="Fortnightly"/>
    <n v="0.1"/>
    <n v="37.799999999999997"/>
    <n v="42"/>
    <s v="Bank Transfer"/>
    <s v="Normal"/>
    <s v="Good"/>
  </r>
  <r>
    <n v="1764"/>
    <n v="37"/>
    <x v="0"/>
    <x v="16"/>
    <x v="3"/>
    <n v="93"/>
    <x v="34"/>
    <x v="2"/>
    <s v="Lavender"/>
    <x v="0"/>
    <n v="3.9"/>
    <s v="No"/>
    <x v="5"/>
    <s v="No"/>
    <n v="28"/>
    <x v="3"/>
    <s v="Annually"/>
    <n v="0.1"/>
    <n v="83.7"/>
    <n v="93"/>
    <s v="PayPal"/>
    <s v="Normal"/>
    <s v="Good"/>
  </r>
  <r>
    <n v="1765"/>
    <n v="61"/>
    <x v="0"/>
    <x v="10"/>
    <x v="0"/>
    <n v="56"/>
    <x v="12"/>
    <x v="2"/>
    <s v="Charcoal"/>
    <x v="2"/>
    <n v="3"/>
    <s v="No"/>
    <x v="5"/>
    <s v="No"/>
    <n v="34"/>
    <x v="0"/>
    <s v="Quarterly"/>
    <n v="0.1"/>
    <n v="50.4"/>
    <n v="56"/>
    <s v="Venmo"/>
    <s v="Normal"/>
    <s v="Good"/>
  </r>
  <r>
    <n v="1766"/>
    <n v="68"/>
    <x v="0"/>
    <x v="15"/>
    <x v="0"/>
    <n v="88"/>
    <x v="35"/>
    <x v="2"/>
    <s v="Orange"/>
    <x v="1"/>
    <n v="4.0999999999999996"/>
    <s v="No"/>
    <x v="4"/>
    <s v="No"/>
    <n v="41"/>
    <x v="0"/>
    <s v="Quarterly"/>
    <n v="0.1"/>
    <n v="79.2"/>
    <n v="88"/>
    <s v="Venmo"/>
    <s v="Normal"/>
    <s v="Good"/>
  </r>
  <r>
    <n v="1767"/>
    <n v="60"/>
    <x v="0"/>
    <x v="1"/>
    <x v="0"/>
    <n v="54"/>
    <x v="29"/>
    <x v="1"/>
    <s v="Cyan"/>
    <x v="0"/>
    <n v="4.3"/>
    <s v="No"/>
    <x v="4"/>
    <s v="No"/>
    <n v="27"/>
    <x v="1"/>
    <s v="Bi-Weekly"/>
    <n v="0.1"/>
    <n v="48.6"/>
    <n v="54"/>
    <s v="Cash"/>
    <s v="Normal"/>
    <s v="Good"/>
  </r>
  <r>
    <n v="1768"/>
    <n v="69"/>
    <x v="0"/>
    <x v="16"/>
    <x v="3"/>
    <n v="89"/>
    <x v="46"/>
    <x v="0"/>
    <s v="Lavender"/>
    <x v="3"/>
    <n v="3.8"/>
    <s v="No"/>
    <x v="4"/>
    <s v="No"/>
    <n v="46"/>
    <x v="5"/>
    <s v="Fortnightly"/>
    <n v="0.1"/>
    <n v="80.099999999999994"/>
    <n v="89"/>
    <s v="Debit Card"/>
    <s v="Normal"/>
    <s v="Good"/>
  </r>
  <r>
    <n v="1769"/>
    <n v="25"/>
    <x v="0"/>
    <x v="3"/>
    <x v="1"/>
    <n v="45"/>
    <x v="43"/>
    <x v="2"/>
    <s v="Indigo"/>
    <x v="2"/>
    <n v="3.9"/>
    <s v="No"/>
    <x v="4"/>
    <s v="No"/>
    <n v="2"/>
    <x v="3"/>
    <s v="Every 3 Months"/>
    <n v="0.1"/>
    <n v="40.5"/>
    <n v="45"/>
    <s v="PayPal"/>
    <s v="Normal"/>
    <s v="Good"/>
  </r>
  <r>
    <n v="1770"/>
    <n v="32"/>
    <x v="0"/>
    <x v="20"/>
    <x v="0"/>
    <n v="75"/>
    <x v="29"/>
    <x v="0"/>
    <s v="Brown"/>
    <x v="0"/>
    <n v="4.3"/>
    <s v="No"/>
    <x v="1"/>
    <s v="No"/>
    <n v="45"/>
    <x v="1"/>
    <s v="Monthly"/>
    <n v="0.1"/>
    <n v="67.5"/>
    <n v="75"/>
    <s v="Cash"/>
    <s v="Normal"/>
    <s v="Good"/>
  </r>
  <r>
    <n v="1771"/>
    <n v="53"/>
    <x v="0"/>
    <x v="21"/>
    <x v="3"/>
    <n v="22"/>
    <x v="49"/>
    <x v="2"/>
    <s v="Pink"/>
    <x v="3"/>
    <n v="4.3"/>
    <s v="No"/>
    <x v="0"/>
    <s v="No"/>
    <n v="34"/>
    <x v="4"/>
    <s v="Weekly"/>
    <n v="0.1"/>
    <n v="19.8"/>
    <n v="22"/>
    <s v="Bank Transfer"/>
    <s v="Normal"/>
    <s v="Good"/>
  </r>
  <r>
    <n v="1772"/>
    <n v="46"/>
    <x v="0"/>
    <x v="5"/>
    <x v="0"/>
    <n v="82"/>
    <x v="27"/>
    <x v="3"/>
    <s v="Turquoise"/>
    <x v="3"/>
    <n v="4.7"/>
    <s v="No"/>
    <x v="5"/>
    <s v="No"/>
    <n v="9"/>
    <x v="2"/>
    <s v="Annually"/>
    <n v="0.1"/>
    <n v="73.8"/>
    <n v="82"/>
    <s v="Credit Card"/>
    <s v="Normal"/>
    <s v="Good"/>
  </r>
  <r>
    <n v="1773"/>
    <n v="58"/>
    <x v="0"/>
    <x v="9"/>
    <x v="1"/>
    <n v="34"/>
    <x v="11"/>
    <x v="2"/>
    <s v="Gold"/>
    <x v="2"/>
    <n v="3.1"/>
    <s v="No"/>
    <x v="4"/>
    <s v="No"/>
    <n v="1"/>
    <x v="4"/>
    <s v="Annually"/>
    <n v="0.1"/>
    <n v="30.6"/>
    <n v="34"/>
    <s v="Bank Transfer"/>
    <s v="Normal"/>
    <s v="Good"/>
  </r>
  <r>
    <n v="1774"/>
    <n v="21"/>
    <x v="0"/>
    <x v="7"/>
    <x v="2"/>
    <n v="92"/>
    <x v="8"/>
    <x v="2"/>
    <s v="Blue"/>
    <x v="2"/>
    <n v="2.7"/>
    <s v="No"/>
    <x v="1"/>
    <s v="No"/>
    <n v="17"/>
    <x v="3"/>
    <s v="Annually"/>
    <n v="0.1"/>
    <n v="82.8"/>
    <n v="92"/>
    <s v="PayPal"/>
    <s v="Normal"/>
    <s v="Poor"/>
  </r>
  <r>
    <n v="1775"/>
    <n v="46"/>
    <x v="0"/>
    <x v="1"/>
    <x v="0"/>
    <n v="78"/>
    <x v="14"/>
    <x v="2"/>
    <s v="Lavender"/>
    <x v="1"/>
    <n v="3.7"/>
    <s v="No"/>
    <x v="0"/>
    <s v="No"/>
    <n v="6"/>
    <x v="3"/>
    <s v="Weekly"/>
    <n v="0.1"/>
    <n v="70.2"/>
    <n v="78"/>
    <s v="PayPal"/>
    <s v="Normal"/>
    <s v="Good"/>
  </r>
  <r>
    <n v="1776"/>
    <n v="18"/>
    <x v="0"/>
    <x v="14"/>
    <x v="2"/>
    <n v="47"/>
    <x v="44"/>
    <x v="2"/>
    <s v="Violet"/>
    <x v="1"/>
    <n v="3.3"/>
    <s v="No"/>
    <x v="4"/>
    <s v="No"/>
    <n v="12"/>
    <x v="1"/>
    <s v="Bi-Weekly"/>
    <n v="0.1"/>
    <n v="42.3"/>
    <n v="47"/>
    <s v="Cash"/>
    <s v="Normal"/>
    <s v="Good"/>
  </r>
  <r>
    <n v="1777"/>
    <n v="56"/>
    <x v="0"/>
    <x v="14"/>
    <x v="2"/>
    <n v="64"/>
    <x v="28"/>
    <x v="0"/>
    <s v="Cyan"/>
    <x v="2"/>
    <n v="3.4"/>
    <s v="No"/>
    <x v="1"/>
    <s v="No"/>
    <n v="10"/>
    <x v="0"/>
    <s v="Every 3 Months"/>
    <n v="0.1"/>
    <n v="57.6"/>
    <n v="64"/>
    <s v="Venmo"/>
    <s v="Normal"/>
    <s v="Good"/>
  </r>
  <r>
    <n v="1778"/>
    <n v="18"/>
    <x v="0"/>
    <x v="4"/>
    <x v="1"/>
    <n v="44"/>
    <x v="46"/>
    <x v="0"/>
    <s v="Purple"/>
    <x v="0"/>
    <n v="4.7"/>
    <s v="No"/>
    <x v="1"/>
    <s v="No"/>
    <n v="4"/>
    <x v="1"/>
    <s v="Fortnightly"/>
    <n v="0.1"/>
    <n v="39.6"/>
    <n v="44"/>
    <s v="Cash"/>
    <s v="Normal"/>
    <s v="Good"/>
  </r>
  <r>
    <n v="1779"/>
    <n v="49"/>
    <x v="0"/>
    <x v="22"/>
    <x v="3"/>
    <n v="94"/>
    <x v="21"/>
    <x v="2"/>
    <s v="Red"/>
    <x v="0"/>
    <n v="4.9000000000000004"/>
    <s v="No"/>
    <x v="5"/>
    <s v="No"/>
    <n v="8"/>
    <x v="5"/>
    <s v="Bi-Weekly"/>
    <n v="0.1"/>
    <n v="84.6"/>
    <n v="94"/>
    <s v="Debit Card"/>
    <s v="Normal"/>
    <s v="Good"/>
  </r>
  <r>
    <n v="1780"/>
    <n v="29"/>
    <x v="0"/>
    <x v="18"/>
    <x v="3"/>
    <n v="62"/>
    <x v="41"/>
    <x v="2"/>
    <s v="Charcoal"/>
    <x v="0"/>
    <n v="4.3"/>
    <s v="No"/>
    <x v="1"/>
    <s v="No"/>
    <n v="41"/>
    <x v="0"/>
    <s v="Weekly"/>
    <n v="0.1"/>
    <n v="55.8"/>
    <n v="62"/>
    <s v="Venmo"/>
    <s v="Normal"/>
    <s v="Good"/>
  </r>
  <r>
    <n v="1781"/>
    <n v="67"/>
    <x v="0"/>
    <x v="16"/>
    <x v="3"/>
    <n v="81"/>
    <x v="25"/>
    <x v="1"/>
    <s v="Gray"/>
    <x v="2"/>
    <n v="4.2"/>
    <s v="No"/>
    <x v="2"/>
    <s v="No"/>
    <n v="49"/>
    <x v="2"/>
    <s v="Weekly"/>
    <n v="0.1"/>
    <n v="72.900000000000006"/>
    <n v="81"/>
    <s v="Credit Card"/>
    <s v="Normal"/>
    <s v="Good"/>
  </r>
  <r>
    <n v="1782"/>
    <n v="31"/>
    <x v="0"/>
    <x v="17"/>
    <x v="0"/>
    <n v="33"/>
    <x v="44"/>
    <x v="2"/>
    <s v="Pink"/>
    <x v="3"/>
    <n v="3.7"/>
    <s v="No"/>
    <x v="0"/>
    <s v="No"/>
    <n v="49"/>
    <x v="4"/>
    <s v="Quarterly"/>
    <n v="0.1"/>
    <n v="29.7"/>
    <n v="33"/>
    <s v="Bank Transfer"/>
    <s v="Normal"/>
    <s v="Good"/>
  </r>
  <r>
    <n v="1783"/>
    <n v="52"/>
    <x v="0"/>
    <x v="13"/>
    <x v="0"/>
    <n v="88"/>
    <x v="40"/>
    <x v="2"/>
    <s v="Lavender"/>
    <x v="3"/>
    <n v="2.7"/>
    <s v="No"/>
    <x v="2"/>
    <s v="No"/>
    <n v="40"/>
    <x v="4"/>
    <s v="Fortnightly"/>
    <n v="0.1"/>
    <n v="79.2"/>
    <n v="88"/>
    <s v="Bank Transfer"/>
    <s v="Normal"/>
    <s v="Poor"/>
  </r>
  <r>
    <n v="1784"/>
    <n v="42"/>
    <x v="0"/>
    <x v="8"/>
    <x v="3"/>
    <n v="49"/>
    <x v="31"/>
    <x v="0"/>
    <s v="Lavender"/>
    <x v="0"/>
    <n v="3.3"/>
    <s v="No"/>
    <x v="1"/>
    <s v="No"/>
    <n v="30"/>
    <x v="2"/>
    <s v="Monthly"/>
    <n v="0.1"/>
    <n v="44.1"/>
    <n v="49"/>
    <s v="Credit Card"/>
    <s v="Normal"/>
    <s v="Good"/>
  </r>
  <r>
    <n v="1785"/>
    <n v="32"/>
    <x v="0"/>
    <x v="21"/>
    <x v="3"/>
    <n v="31"/>
    <x v="7"/>
    <x v="0"/>
    <s v="Yellow"/>
    <x v="2"/>
    <n v="4.8"/>
    <s v="No"/>
    <x v="3"/>
    <s v="No"/>
    <n v="4"/>
    <x v="5"/>
    <s v="Quarterly"/>
    <n v="0.1"/>
    <n v="27.9"/>
    <n v="31"/>
    <s v="Debit Card"/>
    <s v="Normal"/>
    <s v="Good"/>
  </r>
  <r>
    <n v="1786"/>
    <n v="47"/>
    <x v="0"/>
    <x v="24"/>
    <x v="3"/>
    <n v="29"/>
    <x v="44"/>
    <x v="1"/>
    <s v="Peach"/>
    <x v="3"/>
    <n v="4.0999999999999996"/>
    <s v="No"/>
    <x v="2"/>
    <s v="No"/>
    <n v="22"/>
    <x v="0"/>
    <s v="Monthly"/>
    <n v="0.1"/>
    <n v="26.1"/>
    <n v="29"/>
    <s v="Venmo"/>
    <s v="Normal"/>
    <s v="Good"/>
  </r>
  <r>
    <n v="1787"/>
    <n v="45"/>
    <x v="0"/>
    <x v="14"/>
    <x v="2"/>
    <n v="34"/>
    <x v="33"/>
    <x v="2"/>
    <s v="Brown"/>
    <x v="1"/>
    <n v="4.5999999999999996"/>
    <s v="No"/>
    <x v="4"/>
    <s v="No"/>
    <n v="22"/>
    <x v="0"/>
    <s v="Monthly"/>
    <n v="0.1"/>
    <n v="30.6"/>
    <n v="34"/>
    <s v="Venmo"/>
    <s v="Normal"/>
    <s v="Good"/>
  </r>
  <r>
    <n v="1788"/>
    <n v="20"/>
    <x v="0"/>
    <x v="1"/>
    <x v="0"/>
    <n v="38"/>
    <x v="6"/>
    <x v="0"/>
    <s v="Gold"/>
    <x v="3"/>
    <n v="4.9000000000000004"/>
    <s v="No"/>
    <x v="4"/>
    <s v="No"/>
    <n v="10"/>
    <x v="4"/>
    <s v="Quarterly"/>
    <n v="0.1"/>
    <n v="34.200000000000003"/>
    <n v="38"/>
    <s v="Bank Transfer"/>
    <s v="Normal"/>
    <s v="Good"/>
  </r>
  <r>
    <n v="1789"/>
    <n v="66"/>
    <x v="0"/>
    <x v="0"/>
    <x v="0"/>
    <n v="41"/>
    <x v="26"/>
    <x v="0"/>
    <s v="Pink"/>
    <x v="2"/>
    <n v="3.1"/>
    <s v="No"/>
    <x v="5"/>
    <s v="No"/>
    <n v="23"/>
    <x v="1"/>
    <s v="Bi-Weekly"/>
    <n v="0.1"/>
    <n v="36.9"/>
    <n v="41"/>
    <s v="Cash"/>
    <s v="Normal"/>
    <s v="Good"/>
  </r>
  <r>
    <n v="1790"/>
    <n v="52"/>
    <x v="0"/>
    <x v="0"/>
    <x v="0"/>
    <n v="34"/>
    <x v="28"/>
    <x v="0"/>
    <s v="Peach"/>
    <x v="1"/>
    <n v="3"/>
    <s v="No"/>
    <x v="4"/>
    <s v="No"/>
    <n v="43"/>
    <x v="5"/>
    <s v="Quarterly"/>
    <n v="0.1"/>
    <n v="30.6"/>
    <n v="34"/>
    <s v="Debit Card"/>
    <s v="Normal"/>
    <s v="Good"/>
  </r>
  <r>
    <n v="1791"/>
    <n v="50"/>
    <x v="0"/>
    <x v="24"/>
    <x v="3"/>
    <n v="26"/>
    <x v="17"/>
    <x v="1"/>
    <s v="Violet"/>
    <x v="2"/>
    <n v="3.7"/>
    <s v="No"/>
    <x v="5"/>
    <s v="No"/>
    <n v="31"/>
    <x v="3"/>
    <s v="Bi-Weekly"/>
    <n v="0.1"/>
    <n v="23.4"/>
    <n v="26"/>
    <s v="PayPal"/>
    <s v="Normal"/>
    <s v="Good"/>
  </r>
  <r>
    <n v="1792"/>
    <n v="62"/>
    <x v="0"/>
    <x v="2"/>
    <x v="0"/>
    <n v="98"/>
    <x v="6"/>
    <x v="1"/>
    <s v="Purple"/>
    <x v="0"/>
    <n v="4"/>
    <s v="No"/>
    <x v="5"/>
    <s v="No"/>
    <n v="38"/>
    <x v="1"/>
    <s v="Annually"/>
    <n v="0.1"/>
    <n v="88.2"/>
    <n v="98"/>
    <s v="Cash"/>
    <s v="Normal"/>
    <s v="Good"/>
  </r>
  <r>
    <n v="1793"/>
    <n v="38"/>
    <x v="0"/>
    <x v="4"/>
    <x v="1"/>
    <n v="59"/>
    <x v="44"/>
    <x v="2"/>
    <s v="Peach"/>
    <x v="3"/>
    <n v="3"/>
    <s v="No"/>
    <x v="0"/>
    <s v="No"/>
    <n v="22"/>
    <x v="5"/>
    <s v="Every 3 Months"/>
    <n v="0.1"/>
    <n v="53.1"/>
    <n v="59"/>
    <s v="Debit Card"/>
    <s v="Normal"/>
    <s v="Good"/>
  </r>
  <r>
    <n v="1794"/>
    <n v="65"/>
    <x v="0"/>
    <x v="19"/>
    <x v="3"/>
    <n v="92"/>
    <x v="44"/>
    <x v="1"/>
    <s v="White"/>
    <x v="3"/>
    <n v="3.8"/>
    <s v="No"/>
    <x v="5"/>
    <s v="No"/>
    <n v="45"/>
    <x v="1"/>
    <s v="Every 3 Months"/>
    <n v="0.1"/>
    <n v="82.8"/>
    <n v="92"/>
    <s v="Cash"/>
    <s v="Normal"/>
    <s v="Good"/>
  </r>
  <r>
    <n v="1795"/>
    <n v="60"/>
    <x v="0"/>
    <x v="21"/>
    <x v="3"/>
    <n v="40"/>
    <x v="31"/>
    <x v="0"/>
    <s v="Indigo"/>
    <x v="1"/>
    <n v="3.7"/>
    <s v="No"/>
    <x v="0"/>
    <s v="No"/>
    <n v="21"/>
    <x v="5"/>
    <s v="Fortnightly"/>
    <n v="0.1"/>
    <n v="36"/>
    <n v="40"/>
    <s v="Debit Card"/>
    <s v="Normal"/>
    <s v="Good"/>
  </r>
  <r>
    <n v="1796"/>
    <n v="68"/>
    <x v="0"/>
    <x v="2"/>
    <x v="0"/>
    <n v="20"/>
    <x v="48"/>
    <x v="1"/>
    <s v="Violet"/>
    <x v="3"/>
    <n v="4"/>
    <s v="No"/>
    <x v="4"/>
    <s v="No"/>
    <n v="9"/>
    <x v="5"/>
    <s v="Fortnightly"/>
    <n v="0.1"/>
    <n v="18"/>
    <n v="20"/>
    <s v="Debit Card"/>
    <s v="Normal"/>
    <s v="Good"/>
  </r>
  <r>
    <n v="1797"/>
    <n v="62"/>
    <x v="0"/>
    <x v="11"/>
    <x v="0"/>
    <n v="35"/>
    <x v="36"/>
    <x v="1"/>
    <s v="Brown"/>
    <x v="1"/>
    <n v="3.1"/>
    <s v="No"/>
    <x v="5"/>
    <s v="No"/>
    <n v="34"/>
    <x v="0"/>
    <s v="Weekly"/>
    <n v="0.1"/>
    <n v="31.5"/>
    <n v="35"/>
    <s v="Venmo"/>
    <s v="Normal"/>
    <s v="Good"/>
  </r>
  <r>
    <n v="1798"/>
    <n v="62"/>
    <x v="0"/>
    <x v="22"/>
    <x v="3"/>
    <n v="35"/>
    <x v="4"/>
    <x v="0"/>
    <s v="Maroon"/>
    <x v="1"/>
    <n v="3.9"/>
    <s v="No"/>
    <x v="4"/>
    <s v="No"/>
    <n v="26"/>
    <x v="0"/>
    <s v="Weekly"/>
    <n v="0.1"/>
    <n v="31.5"/>
    <n v="35"/>
    <s v="Venmo"/>
    <s v="Normal"/>
    <s v="Good"/>
  </r>
  <r>
    <n v="1799"/>
    <n v="40"/>
    <x v="0"/>
    <x v="10"/>
    <x v="0"/>
    <n v="82"/>
    <x v="25"/>
    <x v="0"/>
    <s v="Magenta"/>
    <x v="0"/>
    <n v="3.7"/>
    <s v="No"/>
    <x v="0"/>
    <s v="No"/>
    <n v="1"/>
    <x v="1"/>
    <s v="Weekly"/>
    <n v="0.1"/>
    <n v="73.8"/>
    <n v="82"/>
    <s v="Cash"/>
    <s v="Normal"/>
    <s v="Good"/>
  </r>
  <r>
    <n v="1800"/>
    <n v="32"/>
    <x v="0"/>
    <x v="15"/>
    <x v="0"/>
    <n v="48"/>
    <x v="18"/>
    <x v="2"/>
    <s v="Charcoal"/>
    <x v="3"/>
    <n v="3.9"/>
    <s v="No"/>
    <x v="0"/>
    <s v="No"/>
    <n v="47"/>
    <x v="0"/>
    <s v="Weekly"/>
    <n v="0.1"/>
    <n v="43.2"/>
    <n v="48"/>
    <s v="Venmo"/>
    <s v="Normal"/>
    <s v="Good"/>
  </r>
  <r>
    <n v="1801"/>
    <n v="22"/>
    <x v="0"/>
    <x v="7"/>
    <x v="2"/>
    <n v="58"/>
    <x v="16"/>
    <x v="3"/>
    <s v="Indigo"/>
    <x v="0"/>
    <n v="2.7"/>
    <s v="No"/>
    <x v="0"/>
    <s v="No"/>
    <n v="30"/>
    <x v="2"/>
    <s v="Weekly"/>
    <n v="0.1"/>
    <n v="52.2"/>
    <n v="58"/>
    <s v="Credit Card"/>
    <s v="Normal"/>
    <s v="Poor"/>
  </r>
  <r>
    <n v="1802"/>
    <n v="33"/>
    <x v="0"/>
    <x v="1"/>
    <x v="0"/>
    <n v="57"/>
    <x v="32"/>
    <x v="2"/>
    <s v="Turquoise"/>
    <x v="1"/>
    <n v="3.9"/>
    <s v="No"/>
    <x v="0"/>
    <s v="No"/>
    <n v="48"/>
    <x v="5"/>
    <s v="Fortnightly"/>
    <n v="0.1"/>
    <n v="51.3"/>
    <n v="57"/>
    <s v="Debit Card"/>
    <s v="Normal"/>
    <s v="Good"/>
  </r>
  <r>
    <n v="1803"/>
    <n v="57"/>
    <x v="0"/>
    <x v="6"/>
    <x v="0"/>
    <n v="96"/>
    <x v="3"/>
    <x v="0"/>
    <s v="Turquoise"/>
    <x v="0"/>
    <n v="2.6"/>
    <s v="No"/>
    <x v="5"/>
    <s v="No"/>
    <n v="31"/>
    <x v="0"/>
    <s v="Bi-Weekly"/>
    <n v="0.1"/>
    <n v="86.4"/>
    <n v="96"/>
    <s v="Venmo"/>
    <s v="Normal"/>
    <s v="Poor"/>
  </r>
  <r>
    <n v="1804"/>
    <n v="60"/>
    <x v="0"/>
    <x v="4"/>
    <x v="1"/>
    <n v="97"/>
    <x v="13"/>
    <x v="1"/>
    <s v="Gray"/>
    <x v="2"/>
    <n v="3.5"/>
    <s v="No"/>
    <x v="1"/>
    <s v="No"/>
    <n v="33"/>
    <x v="0"/>
    <s v="Fortnightly"/>
    <n v="0.1"/>
    <n v="87.3"/>
    <n v="97"/>
    <s v="Venmo"/>
    <s v="Normal"/>
    <s v="Good"/>
  </r>
  <r>
    <n v="1805"/>
    <n v="30"/>
    <x v="0"/>
    <x v="1"/>
    <x v="0"/>
    <n v="42"/>
    <x v="7"/>
    <x v="0"/>
    <s v="Peach"/>
    <x v="0"/>
    <n v="4.4000000000000004"/>
    <s v="No"/>
    <x v="2"/>
    <s v="No"/>
    <n v="39"/>
    <x v="2"/>
    <s v="Weekly"/>
    <n v="0.1"/>
    <n v="37.799999999999997"/>
    <n v="42"/>
    <s v="Credit Card"/>
    <s v="Normal"/>
    <s v="Good"/>
  </r>
  <r>
    <n v="1806"/>
    <n v="41"/>
    <x v="0"/>
    <x v="17"/>
    <x v="0"/>
    <n v="62"/>
    <x v="28"/>
    <x v="0"/>
    <s v="Gold"/>
    <x v="1"/>
    <n v="4.9000000000000004"/>
    <s v="No"/>
    <x v="5"/>
    <s v="No"/>
    <n v="46"/>
    <x v="5"/>
    <s v="Weekly"/>
    <n v="0.1"/>
    <n v="55.8"/>
    <n v="62"/>
    <s v="Debit Card"/>
    <s v="Normal"/>
    <s v="Good"/>
  </r>
  <r>
    <n v="1807"/>
    <n v="58"/>
    <x v="0"/>
    <x v="8"/>
    <x v="3"/>
    <n v="67"/>
    <x v="3"/>
    <x v="2"/>
    <s v="Green"/>
    <x v="3"/>
    <n v="3.9"/>
    <s v="No"/>
    <x v="3"/>
    <s v="No"/>
    <n v="24"/>
    <x v="0"/>
    <s v="Annually"/>
    <n v="0.1"/>
    <n v="60.3"/>
    <n v="67"/>
    <s v="Venmo"/>
    <s v="Normal"/>
    <s v="Good"/>
  </r>
  <r>
    <n v="1808"/>
    <n v="34"/>
    <x v="0"/>
    <x v="4"/>
    <x v="1"/>
    <n v="46"/>
    <x v="34"/>
    <x v="0"/>
    <s v="Gold"/>
    <x v="2"/>
    <n v="3.5"/>
    <s v="No"/>
    <x v="3"/>
    <s v="No"/>
    <n v="37"/>
    <x v="0"/>
    <s v="Fortnightly"/>
    <n v="0.1"/>
    <n v="41.4"/>
    <n v="46"/>
    <s v="Venmo"/>
    <s v="Normal"/>
    <s v="Good"/>
  </r>
  <r>
    <n v="1809"/>
    <n v="67"/>
    <x v="0"/>
    <x v="14"/>
    <x v="2"/>
    <n v="71"/>
    <x v="30"/>
    <x v="2"/>
    <s v="Lavender"/>
    <x v="1"/>
    <n v="4.3"/>
    <s v="No"/>
    <x v="2"/>
    <s v="No"/>
    <n v="7"/>
    <x v="5"/>
    <s v="Monthly"/>
    <n v="0.1"/>
    <n v="63.9"/>
    <n v="71"/>
    <s v="Debit Card"/>
    <s v="Normal"/>
    <s v="Good"/>
  </r>
  <r>
    <n v="1810"/>
    <n v="58"/>
    <x v="0"/>
    <x v="21"/>
    <x v="3"/>
    <n v="99"/>
    <x v="29"/>
    <x v="1"/>
    <s v="Blue"/>
    <x v="3"/>
    <n v="3.4"/>
    <s v="No"/>
    <x v="1"/>
    <s v="No"/>
    <n v="6"/>
    <x v="5"/>
    <s v="Fortnightly"/>
    <n v="0.1"/>
    <n v="89.1"/>
    <n v="99"/>
    <s v="Debit Card"/>
    <s v="Normal"/>
    <s v="Good"/>
  </r>
  <r>
    <n v="1811"/>
    <n v="41"/>
    <x v="0"/>
    <x v="2"/>
    <x v="0"/>
    <n v="28"/>
    <x v="33"/>
    <x v="2"/>
    <s v="Magenta"/>
    <x v="3"/>
    <n v="2.7"/>
    <s v="No"/>
    <x v="3"/>
    <s v="No"/>
    <n v="16"/>
    <x v="1"/>
    <s v="Bi-Weekly"/>
    <n v="0.1"/>
    <n v="25.2"/>
    <n v="28"/>
    <s v="Cash"/>
    <s v="Normal"/>
    <s v="Poor"/>
  </r>
  <r>
    <n v="1812"/>
    <n v="42"/>
    <x v="0"/>
    <x v="22"/>
    <x v="3"/>
    <n v="77"/>
    <x v="48"/>
    <x v="0"/>
    <s v="Blue"/>
    <x v="2"/>
    <n v="3.6"/>
    <s v="No"/>
    <x v="3"/>
    <s v="No"/>
    <n v="33"/>
    <x v="4"/>
    <s v="Annually"/>
    <n v="0.1"/>
    <n v="69.3"/>
    <n v="77"/>
    <s v="Bank Transfer"/>
    <s v="Normal"/>
    <s v="Good"/>
  </r>
  <r>
    <n v="1813"/>
    <n v="50"/>
    <x v="0"/>
    <x v="23"/>
    <x v="1"/>
    <n v="63"/>
    <x v="22"/>
    <x v="1"/>
    <s v="Blue"/>
    <x v="2"/>
    <n v="4.9000000000000004"/>
    <s v="No"/>
    <x v="0"/>
    <s v="No"/>
    <n v="18"/>
    <x v="3"/>
    <s v="Bi-Weekly"/>
    <n v="0.1"/>
    <n v="56.7"/>
    <n v="63"/>
    <s v="PayPal"/>
    <s v="Normal"/>
    <s v="Good"/>
  </r>
  <r>
    <n v="1814"/>
    <n v="40"/>
    <x v="0"/>
    <x v="6"/>
    <x v="0"/>
    <n v="62"/>
    <x v="26"/>
    <x v="2"/>
    <s v="Olive"/>
    <x v="1"/>
    <n v="3.5"/>
    <s v="No"/>
    <x v="1"/>
    <s v="No"/>
    <n v="24"/>
    <x v="3"/>
    <s v="Weekly"/>
    <n v="0.1"/>
    <n v="55.8"/>
    <n v="62"/>
    <s v="PayPal"/>
    <s v="Normal"/>
    <s v="Good"/>
  </r>
  <r>
    <n v="1815"/>
    <n v="32"/>
    <x v="0"/>
    <x v="2"/>
    <x v="0"/>
    <n v="92"/>
    <x v="6"/>
    <x v="2"/>
    <s v="White"/>
    <x v="2"/>
    <n v="3.8"/>
    <s v="No"/>
    <x v="1"/>
    <s v="No"/>
    <n v="24"/>
    <x v="1"/>
    <s v="Quarterly"/>
    <n v="0.1"/>
    <n v="82.8"/>
    <n v="92"/>
    <s v="Cash"/>
    <s v="Normal"/>
    <s v="Good"/>
  </r>
  <r>
    <n v="1816"/>
    <n v="51"/>
    <x v="0"/>
    <x v="9"/>
    <x v="1"/>
    <n v="72"/>
    <x v="35"/>
    <x v="0"/>
    <s v="White"/>
    <x v="0"/>
    <n v="4.5"/>
    <s v="No"/>
    <x v="4"/>
    <s v="No"/>
    <n v="48"/>
    <x v="2"/>
    <s v="Every 3 Months"/>
    <n v="0.1"/>
    <n v="64.8"/>
    <n v="72"/>
    <s v="Credit Card"/>
    <s v="Normal"/>
    <s v="Good"/>
  </r>
  <r>
    <n v="1817"/>
    <n v="26"/>
    <x v="0"/>
    <x v="19"/>
    <x v="3"/>
    <n v="79"/>
    <x v="41"/>
    <x v="2"/>
    <s v="Purple"/>
    <x v="2"/>
    <n v="4"/>
    <s v="No"/>
    <x v="0"/>
    <s v="No"/>
    <n v="4"/>
    <x v="1"/>
    <s v="Weekly"/>
    <n v="0.1"/>
    <n v="71.099999999999994"/>
    <n v="79"/>
    <s v="Cash"/>
    <s v="Normal"/>
    <s v="Good"/>
  </r>
  <r>
    <n v="1818"/>
    <n v="32"/>
    <x v="0"/>
    <x v="17"/>
    <x v="0"/>
    <n v="27"/>
    <x v="12"/>
    <x v="2"/>
    <s v="White"/>
    <x v="2"/>
    <n v="4.7"/>
    <s v="No"/>
    <x v="1"/>
    <s v="No"/>
    <n v="20"/>
    <x v="1"/>
    <s v="Weekly"/>
    <n v="0.1"/>
    <n v="24.3"/>
    <n v="27"/>
    <s v="Cash"/>
    <s v="Normal"/>
    <s v="Good"/>
  </r>
  <r>
    <n v="1819"/>
    <n v="58"/>
    <x v="0"/>
    <x v="12"/>
    <x v="3"/>
    <n v="39"/>
    <x v="17"/>
    <x v="2"/>
    <s v="White"/>
    <x v="3"/>
    <n v="3.8"/>
    <s v="No"/>
    <x v="0"/>
    <s v="No"/>
    <n v="47"/>
    <x v="5"/>
    <s v="Every 3 Months"/>
    <n v="0.1"/>
    <n v="35.1"/>
    <n v="39"/>
    <s v="Debit Card"/>
    <s v="Normal"/>
    <s v="Good"/>
  </r>
  <r>
    <n v="1820"/>
    <n v="51"/>
    <x v="0"/>
    <x v="20"/>
    <x v="0"/>
    <n v="86"/>
    <x v="22"/>
    <x v="1"/>
    <s v="Peach"/>
    <x v="1"/>
    <n v="4.5"/>
    <s v="No"/>
    <x v="2"/>
    <s v="No"/>
    <n v="50"/>
    <x v="1"/>
    <s v="Quarterly"/>
    <n v="0.1"/>
    <n v="77.400000000000006"/>
    <n v="86"/>
    <s v="Cash"/>
    <s v="Normal"/>
    <s v="Good"/>
  </r>
  <r>
    <n v="1821"/>
    <n v="19"/>
    <x v="0"/>
    <x v="5"/>
    <x v="0"/>
    <n v="94"/>
    <x v="47"/>
    <x v="3"/>
    <s v="Gold"/>
    <x v="3"/>
    <n v="5"/>
    <s v="No"/>
    <x v="0"/>
    <s v="No"/>
    <n v="31"/>
    <x v="3"/>
    <s v="Monthly"/>
    <n v="0.1"/>
    <n v="84.6"/>
    <n v="94"/>
    <s v="PayPal"/>
    <s v="Normal"/>
    <s v="Good"/>
  </r>
  <r>
    <n v="1822"/>
    <n v="57"/>
    <x v="0"/>
    <x v="6"/>
    <x v="0"/>
    <n v="53"/>
    <x v="1"/>
    <x v="2"/>
    <s v="Teal"/>
    <x v="1"/>
    <n v="2.8"/>
    <s v="No"/>
    <x v="0"/>
    <s v="No"/>
    <n v="29"/>
    <x v="3"/>
    <s v="Quarterly"/>
    <n v="0.1"/>
    <n v="47.7"/>
    <n v="53"/>
    <s v="PayPal"/>
    <s v="Normal"/>
    <s v="Poor"/>
  </r>
  <r>
    <n v="1823"/>
    <n v="66"/>
    <x v="0"/>
    <x v="5"/>
    <x v="0"/>
    <n v="85"/>
    <x v="39"/>
    <x v="1"/>
    <s v="Cyan"/>
    <x v="2"/>
    <n v="4.4000000000000004"/>
    <s v="No"/>
    <x v="3"/>
    <s v="No"/>
    <n v="4"/>
    <x v="1"/>
    <s v="Annually"/>
    <n v="0.1"/>
    <n v="76.5"/>
    <n v="85"/>
    <s v="Cash"/>
    <s v="Normal"/>
    <s v="Good"/>
  </r>
  <r>
    <n v="1824"/>
    <n v="62"/>
    <x v="0"/>
    <x v="20"/>
    <x v="0"/>
    <n v="50"/>
    <x v="7"/>
    <x v="0"/>
    <s v="Pink"/>
    <x v="3"/>
    <n v="4.7"/>
    <s v="No"/>
    <x v="1"/>
    <s v="No"/>
    <n v="40"/>
    <x v="4"/>
    <s v="Bi-Weekly"/>
    <n v="0.1"/>
    <n v="45"/>
    <n v="50"/>
    <s v="Bank Transfer"/>
    <s v="Normal"/>
    <s v="Good"/>
  </r>
  <r>
    <n v="1825"/>
    <n v="58"/>
    <x v="0"/>
    <x v="13"/>
    <x v="0"/>
    <n v="47"/>
    <x v="26"/>
    <x v="3"/>
    <s v="Magenta"/>
    <x v="0"/>
    <n v="3.8"/>
    <s v="No"/>
    <x v="0"/>
    <s v="No"/>
    <n v="31"/>
    <x v="1"/>
    <s v="Monthly"/>
    <n v="0.1"/>
    <n v="42.3"/>
    <n v="47"/>
    <s v="Cash"/>
    <s v="Normal"/>
    <s v="Good"/>
  </r>
  <r>
    <n v="1826"/>
    <n v="23"/>
    <x v="0"/>
    <x v="23"/>
    <x v="1"/>
    <n v="75"/>
    <x v="45"/>
    <x v="2"/>
    <s v="Pink"/>
    <x v="0"/>
    <n v="4.9000000000000004"/>
    <s v="No"/>
    <x v="2"/>
    <s v="No"/>
    <n v="41"/>
    <x v="2"/>
    <s v="Weekly"/>
    <n v="0.1"/>
    <n v="67.5"/>
    <n v="75"/>
    <s v="Credit Card"/>
    <s v="Normal"/>
    <s v="Good"/>
  </r>
  <r>
    <n v="1827"/>
    <n v="45"/>
    <x v="0"/>
    <x v="17"/>
    <x v="0"/>
    <n v="60"/>
    <x v="27"/>
    <x v="2"/>
    <s v="Turquoise"/>
    <x v="0"/>
    <n v="4.2"/>
    <s v="No"/>
    <x v="0"/>
    <s v="No"/>
    <n v="44"/>
    <x v="5"/>
    <s v="Annually"/>
    <n v="0.1"/>
    <n v="54"/>
    <n v="60"/>
    <s v="Debit Card"/>
    <s v="Normal"/>
    <s v="Good"/>
  </r>
  <r>
    <n v="1828"/>
    <n v="20"/>
    <x v="0"/>
    <x v="17"/>
    <x v="0"/>
    <n v="36"/>
    <x v="34"/>
    <x v="1"/>
    <s v="Pink"/>
    <x v="1"/>
    <n v="4.9000000000000004"/>
    <s v="No"/>
    <x v="4"/>
    <s v="No"/>
    <n v="31"/>
    <x v="4"/>
    <s v="Weekly"/>
    <n v="0.1"/>
    <n v="32.4"/>
    <n v="36"/>
    <s v="Bank Transfer"/>
    <s v="Normal"/>
    <s v="Good"/>
  </r>
  <r>
    <n v="1829"/>
    <n v="33"/>
    <x v="0"/>
    <x v="7"/>
    <x v="2"/>
    <n v="80"/>
    <x v="13"/>
    <x v="0"/>
    <s v="Gray"/>
    <x v="1"/>
    <n v="3.9"/>
    <s v="No"/>
    <x v="0"/>
    <s v="No"/>
    <n v="45"/>
    <x v="1"/>
    <s v="Every 3 Months"/>
    <n v="0.1"/>
    <n v="72"/>
    <n v="80"/>
    <s v="Cash"/>
    <s v="Normal"/>
    <s v="Good"/>
  </r>
  <r>
    <n v="1830"/>
    <n v="30"/>
    <x v="0"/>
    <x v="19"/>
    <x v="3"/>
    <n v="96"/>
    <x v="4"/>
    <x v="2"/>
    <s v="White"/>
    <x v="1"/>
    <n v="4.9000000000000004"/>
    <s v="No"/>
    <x v="4"/>
    <s v="No"/>
    <n v="50"/>
    <x v="2"/>
    <s v="Quarterly"/>
    <n v="0.1"/>
    <n v="86.4"/>
    <n v="96"/>
    <s v="Credit Card"/>
    <s v="Normal"/>
    <s v="Good"/>
  </r>
  <r>
    <n v="1831"/>
    <n v="50"/>
    <x v="0"/>
    <x v="12"/>
    <x v="3"/>
    <n v="80"/>
    <x v="23"/>
    <x v="2"/>
    <s v="Blue"/>
    <x v="0"/>
    <n v="4.8"/>
    <s v="No"/>
    <x v="0"/>
    <s v="No"/>
    <n v="7"/>
    <x v="0"/>
    <s v="Annually"/>
    <n v="0.1"/>
    <n v="72"/>
    <n v="80"/>
    <s v="Venmo"/>
    <s v="Normal"/>
    <s v="Good"/>
  </r>
  <r>
    <n v="1832"/>
    <n v="62"/>
    <x v="0"/>
    <x v="0"/>
    <x v="0"/>
    <n v="71"/>
    <x v="1"/>
    <x v="2"/>
    <s v="Cyan"/>
    <x v="2"/>
    <n v="3.3"/>
    <s v="No"/>
    <x v="1"/>
    <s v="No"/>
    <n v="5"/>
    <x v="4"/>
    <s v="Every 3 Months"/>
    <n v="0.1"/>
    <n v="63.9"/>
    <n v="71"/>
    <s v="Bank Transfer"/>
    <s v="Normal"/>
    <s v="Good"/>
  </r>
  <r>
    <n v="1833"/>
    <n v="69"/>
    <x v="0"/>
    <x v="16"/>
    <x v="3"/>
    <n v="29"/>
    <x v="7"/>
    <x v="2"/>
    <s v="Blue"/>
    <x v="3"/>
    <n v="4.5999999999999996"/>
    <s v="No"/>
    <x v="1"/>
    <s v="No"/>
    <n v="48"/>
    <x v="1"/>
    <s v="Monthly"/>
    <n v="0.1"/>
    <n v="26.1"/>
    <n v="29"/>
    <s v="Cash"/>
    <s v="Normal"/>
    <s v="Good"/>
  </r>
  <r>
    <n v="1834"/>
    <n v="34"/>
    <x v="0"/>
    <x v="16"/>
    <x v="3"/>
    <n v="53"/>
    <x v="7"/>
    <x v="2"/>
    <s v="Yellow"/>
    <x v="1"/>
    <n v="4.5"/>
    <s v="No"/>
    <x v="4"/>
    <s v="No"/>
    <n v="19"/>
    <x v="3"/>
    <s v="Fortnightly"/>
    <n v="0.1"/>
    <n v="47.7"/>
    <n v="53"/>
    <s v="PayPal"/>
    <s v="Normal"/>
    <s v="Good"/>
  </r>
  <r>
    <n v="1835"/>
    <n v="49"/>
    <x v="0"/>
    <x v="11"/>
    <x v="0"/>
    <n v="35"/>
    <x v="27"/>
    <x v="2"/>
    <s v="Charcoal"/>
    <x v="2"/>
    <n v="4.0999999999999996"/>
    <s v="No"/>
    <x v="4"/>
    <s v="No"/>
    <n v="39"/>
    <x v="0"/>
    <s v="Fortnightly"/>
    <n v="0.1"/>
    <n v="31.5"/>
    <n v="35"/>
    <s v="Venmo"/>
    <s v="Normal"/>
    <s v="Good"/>
  </r>
  <r>
    <n v="1836"/>
    <n v="65"/>
    <x v="0"/>
    <x v="18"/>
    <x v="3"/>
    <n v="75"/>
    <x v="0"/>
    <x v="2"/>
    <s v="Lavender"/>
    <x v="3"/>
    <n v="3.2"/>
    <s v="No"/>
    <x v="4"/>
    <s v="No"/>
    <n v="45"/>
    <x v="2"/>
    <s v="Quarterly"/>
    <n v="0.1"/>
    <n v="67.5"/>
    <n v="75"/>
    <s v="Credit Card"/>
    <s v="Normal"/>
    <s v="Good"/>
  </r>
  <r>
    <n v="1837"/>
    <n v="66"/>
    <x v="0"/>
    <x v="13"/>
    <x v="0"/>
    <n v="52"/>
    <x v="36"/>
    <x v="2"/>
    <s v="Teal"/>
    <x v="3"/>
    <n v="4.2"/>
    <s v="No"/>
    <x v="4"/>
    <s v="No"/>
    <n v="35"/>
    <x v="2"/>
    <s v="Monthly"/>
    <n v="0.1"/>
    <n v="46.8"/>
    <n v="52"/>
    <s v="Credit Card"/>
    <s v="Normal"/>
    <s v="Good"/>
  </r>
  <r>
    <n v="1838"/>
    <n v="41"/>
    <x v="0"/>
    <x v="19"/>
    <x v="3"/>
    <n v="77"/>
    <x v="6"/>
    <x v="2"/>
    <s v="Beige"/>
    <x v="0"/>
    <n v="4.8"/>
    <s v="No"/>
    <x v="1"/>
    <s v="No"/>
    <n v="8"/>
    <x v="0"/>
    <s v="Monthly"/>
    <n v="0.1"/>
    <n v="69.3"/>
    <n v="77"/>
    <s v="Venmo"/>
    <s v="Normal"/>
    <s v="Good"/>
  </r>
  <r>
    <n v="1839"/>
    <n v="37"/>
    <x v="0"/>
    <x v="24"/>
    <x v="3"/>
    <n v="24"/>
    <x v="34"/>
    <x v="0"/>
    <s v="Blue"/>
    <x v="3"/>
    <n v="4.0999999999999996"/>
    <s v="No"/>
    <x v="2"/>
    <s v="No"/>
    <n v="11"/>
    <x v="2"/>
    <s v="Quarterly"/>
    <n v="0.1"/>
    <n v="21.6"/>
    <n v="24"/>
    <s v="Credit Card"/>
    <s v="Normal"/>
    <s v="Good"/>
  </r>
  <r>
    <n v="1840"/>
    <n v="32"/>
    <x v="0"/>
    <x v="5"/>
    <x v="0"/>
    <n v="78"/>
    <x v="16"/>
    <x v="3"/>
    <s v="Purple"/>
    <x v="0"/>
    <n v="3.7"/>
    <s v="No"/>
    <x v="5"/>
    <s v="No"/>
    <n v="32"/>
    <x v="1"/>
    <s v="Annually"/>
    <n v="0.1"/>
    <n v="70.2"/>
    <n v="78"/>
    <s v="Cash"/>
    <s v="Normal"/>
    <s v="Good"/>
  </r>
  <r>
    <n v="1841"/>
    <n v="42"/>
    <x v="0"/>
    <x v="3"/>
    <x v="1"/>
    <n v="98"/>
    <x v="5"/>
    <x v="2"/>
    <s v="Gold"/>
    <x v="0"/>
    <n v="2.6"/>
    <s v="No"/>
    <x v="5"/>
    <s v="No"/>
    <n v="46"/>
    <x v="4"/>
    <s v="Every 3 Months"/>
    <n v="0.1"/>
    <n v="88.2"/>
    <n v="98"/>
    <s v="Bank Transfer"/>
    <s v="Normal"/>
    <s v="Poor"/>
  </r>
  <r>
    <n v="1842"/>
    <n v="31"/>
    <x v="0"/>
    <x v="20"/>
    <x v="0"/>
    <n v="57"/>
    <x v="34"/>
    <x v="0"/>
    <s v="Blue"/>
    <x v="0"/>
    <n v="3"/>
    <s v="No"/>
    <x v="3"/>
    <s v="No"/>
    <n v="7"/>
    <x v="3"/>
    <s v="Every 3 Months"/>
    <n v="0.1"/>
    <n v="51.3"/>
    <n v="57"/>
    <s v="PayPal"/>
    <s v="Normal"/>
    <s v="Good"/>
  </r>
  <r>
    <n v="1843"/>
    <n v="61"/>
    <x v="0"/>
    <x v="8"/>
    <x v="3"/>
    <n v="78"/>
    <x v="15"/>
    <x v="2"/>
    <s v="Black"/>
    <x v="2"/>
    <n v="4.4000000000000004"/>
    <s v="No"/>
    <x v="0"/>
    <s v="No"/>
    <n v="1"/>
    <x v="5"/>
    <s v="Annually"/>
    <n v="0.1"/>
    <n v="70.2"/>
    <n v="78"/>
    <s v="Debit Card"/>
    <s v="Normal"/>
    <s v="Good"/>
  </r>
  <r>
    <n v="1844"/>
    <n v="36"/>
    <x v="0"/>
    <x v="14"/>
    <x v="2"/>
    <n v="76"/>
    <x v="0"/>
    <x v="2"/>
    <s v="Charcoal"/>
    <x v="3"/>
    <n v="4.7"/>
    <s v="No"/>
    <x v="2"/>
    <s v="No"/>
    <n v="32"/>
    <x v="2"/>
    <s v="Monthly"/>
    <n v="0.1"/>
    <n v="68.400000000000006"/>
    <n v="76"/>
    <s v="Credit Card"/>
    <s v="Normal"/>
    <s v="Good"/>
  </r>
  <r>
    <n v="1845"/>
    <n v="60"/>
    <x v="0"/>
    <x v="6"/>
    <x v="0"/>
    <n v="26"/>
    <x v="45"/>
    <x v="2"/>
    <s v="Purple"/>
    <x v="1"/>
    <n v="2.7"/>
    <s v="No"/>
    <x v="4"/>
    <s v="No"/>
    <n v="31"/>
    <x v="2"/>
    <s v="Annually"/>
    <n v="0.1"/>
    <n v="23.4"/>
    <n v="26"/>
    <s v="Credit Card"/>
    <s v="Normal"/>
    <s v="Poor"/>
  </r>
  <r>
    <n v="1846"/>
    <n v="51"/>
    <x v="0"/>
    <x v="3"/>
    <x v="1"/>
    <n v="78"/>
    <x v="12"/>
    <x v="2"/>
    <s v="Orange"/>
    <x v="0"/>
    <n v="2.8"/>
    <s v="No"/>
    <x v="4"/>
    <s v="No"/>
    <n v="39"/>
    <x v="4"/>
    <s v="Quarterly"/>
    <n v="0.1"/>
    <n v="70.2"/>
    <n v="78"/>
    <s v="Bank Transfer"/>
    <s v="Normal"/>
    <s v="Poor"/>
  </r>
  <r>
    <n v="1847"/>
    <n v="68"/>
    <x v="0"/>
    <x v="18"/>
    <x v="3"/>
    <n v="53"/>
    <x v="48"/>
    <x v="2"/>
    <s v="Yellow"/>
    <x v="2"/>
    <n v="2.9"/>
    <s v="No"/>
    <x v="3"/>
    <s v="No"/>
    <n v="9"/>
    <x v="0"/>
    <s v="Quarterly"/>
    <n v="0.1"/>
    <n v="47.7"/>
    <n v="53"/>
    <s v="Venmo"/>
    <s v="Normal"/>
    <s v="Poor"/>
  </r>
  <r>
    <n v="1848"/>
    <n v="46"/>
    <x v="0"/>
    <x v="3"/>
    <x v="1"/>
    <n v="100"/>
    <x v="28"/>
    <x v="3"/>
    <s v="Cyan"/>
    <x v="2"/>
    <n v="4.4000000000000004"/>
    <s v="No"/>
    <x v="1"/>
    <s v="No"/>
    <n v="49"/>
    <x v="2"/>
    <s v="Weekly"/>
    <n v="0.1"/>
    <n v="90"/>
    <n v="100"/>
    <s v="Credit Card"/>
    <s v="Normal"/>
    <s v="Good"/>
  </r>
  <r>
    <n v="1849"/>
    <n v="19"/>
    <x v="0"/>
    <x v="2"/>
    <x v="0"/>
    <n v="73"/>
    <x v="1"/>
    <x v="3"/>
    <s v="Yellow"/>
    <x v="0"/>
    <n v="2.7"/>
    <s v="No"/>
    <x v="0"/>
    <s v="No"/>
    <n v="34"/>
    <x v="1"/>
    <s v="Every 3 Months"/>
    <n v="0.1"/>
    <n v="65.7"/>
    <n v="73"/>
    <s v="Cash"/>
    <s v="Normal"/>
    <s v="Poor"/>
  </r>
  <r>
    <n v="1850"/>
    <n v="30"/>
    <x v="0"/>
    <x v="11"/>
    <x v="0"/>
    <n v="40"/>
    <x v="35"/>
    <x v="2"/>
    <s v="Maroon"/>
    <x v="0"/>
    <n v="4.5"/>
    <s v="No"/>
    <x v="5"/>
    <s v="No"/>
    <n v="35"/>
    <x v="4"/>
    <s v="Monthly"/>
    <n v="0.1"/>
    <n v="36"/>
    <n v="40"/>
    <s v="Bank Transfer"/>
    <s v="Normal"/>
    <s v="Good"/>
  </r>
  <r>
    <n v="1851"/>
    <n v="51"/>
    <x v="0"/>
    <x v="24"/>
    <x v="3"/>
    <n v="76"/>
    <x v="5"/>
    <x v="1"/>
    <s v="Black"/>
    <x v="0"/>
    <n v="2.8"/>
    <s v="No"/>
    <x v="5"/>
    <s v="No"/>
    <n v="50"/>
    <x v="5"/>
    <s v="Weekly"/>
    <n v="0.1"/>
    <n v="68.400000000000006"/>
    <n v="76"/>
    <s v="Debit Card"/>
    <s v="Normal"/>
    <s v="Poor"/>
  </r>
  <r>
    <n v="1852"/>
    <n v="28"/>
    <x v="0"/>
    <x v="11"/>
    <x v="0"/>
    <n v="80"/>
    <x v="12"/>
    <x v="1"/>
    <s v="Lavender"/>
    <x v="3"/>
    <n v="3.1"/>
    <s v="No"/>
    <x v="1"/>
    <s v="No"/>
    <n v="4"/>
    <x v="4"/>
    <s v="Fortnightly"/>
    <n v="0.1"/>
    <n v="72"/>
    <n v="80"/>
    <s v="Bank Transfer"/>
    <s v="Normal"/>
    <s v="Good"/>
  </r>
  <r>
    <n v="1853"/>
    <n v="41"/>
    <x v="0"/>
    <x v="1"/>
    <x v="0"/>
    <n v="80"/>
    <x v="38"/>
    <x v="3"/>
    <s v="Violet"/>
    <x v="0"/>
    <n v="3.8"/>
    <s v="No"/>
    <x v="5"/>
    <s v="No"/>
    <n v="32"/>
    <x v="1"/>
    <s v="Weekly"/>
    <n v="0.1"/>
    <n v="72"/>
    <n v="80"/>
    <s v="Cash"/>
    <s v="Normal"/>
    <s v="Good"/>
  </r>
  <r>
    <n v="1854"/>
    <n v="29"/>
    <x v="0"/>
    <x v="0"/>
    <x v="0"/>
    <n v="67"/>
    <x v="25"/>
    <x v="3"/>
    <s v="Olive"/>
    <x v="1"/>
    <n v="2.9"/>
    <s v="No"/>
    <x v="0"/>
    <s v="No"/>
    <n v="11"/>
    <x v="3"/>
    <s v="Fortnightly"/>
    <n v="0.1"/>
    <n v="60.3"/>
    <n v="67"/>
    <s v="PayPal"/>
    <s v="Normal"/>
    <s v="Poor"/>
  </r>
  <r>
    <n v="1855"/>
    <n v="25"/>
    <x v="0"/>
    <x v="1"/>
    <x v="0"/>
    <n v="61"/>
    <x v="0"/>
    <x v="2"/>
    <s v="Teal"/>
    <x v="1"/>
    <n v="3.8"/>
    <s v="No"/>
    <x v="0"/>
    <s v="No"/>
    <n v="49"/>
    <x v="2"/>
    <s v="Annually"/>
    <n v="0.1"/>
    <n v="54.9"/>
    <n v="61"/>
    <s v="Credit Card"/>
    <s v="Normal"/>
    <s v="Good"/>
  </r>
  <r>
    <n v="1856"/>
    <n v="60"/>
    <x v="0"/>
    <x v="5"/>
    <x v="0"/>
    <n v="76"/>
    <x v="3"/>
    <x v="3"/>
    <s v="Teal"/>
    <x v="1"/>
    <n v="4.7"/>
    <s v="No"/>
    <x v="3"/>
    <s v="No"/>
    <n v="9"/>
    <x v="1"/>
    <s v="Annually"/>
    <n v="0.1"/>
    <n v="68.400000000000006"/>
    <n v="76"/>
    <s v="Cash"/>
    <s v="Normal"/>
    <s v="Good"/>
  </r>
  <r>
    <n v="1857"/>
    <n v="63"/>
    <x v="0"/>
    <x v="16"/>
    <x v="3"/>
    <n v="55"/>
    <x v="28"/>
    <x v="3"/>
    <s v="Beige"/>
    <x v="2"/>
    <n v="3.2"/>
    <s v="No"/>
    <x v="1"/>
    <s v="No"/>
    <n v="30"/>
    <x v="3"/>
    <s v="Bi-Weekly"/>
    <n v="0.1"/>
    <n v="49.5"/>
    <n v="55"/>
    <s v="PayPal"/>
    <s v="Normal"/>
    <s v="Good"/>
  </r>
  <r>
    <n v="1858"/>
    <n v="51"/>
    <x v="0"/>
    <x v="17"/>
    <x v="0"/>
    <n v="85"/>
    <x v="24"/>
    <x v="0"/>
    <s v="Maroon"/>
    <x v="2"/>
    <n v="4"/>
    <s v="No"/>
    <x v="2"/>
    <s v="No"/>
    <n v="33"/>
    <x v="1"/>
    <s v="Monthly"/>
    <n v="0.1"/>
    <n v="76.5"/>
    <n v="85"/>
    <s v="Cash"/>
    <s v="Normal"/>
    <s v="Good"/>
  </r>
  <r>
    <n v="1859"/>
    <n v="22"/>
    <x v="0"/>
    <x v="18"/>
    <x v="3"/>
    <n v="69"/>
    <x v="1"/>
    <x v="1"/>
    <s v="Peach"/>
    <x v="1"/>
    <n v="4.9000000000000004"/>
    <s v="No"/>
    <x v="4"/>
    <s v="No"/>
    <n v="8"/>
    <x v="5"/>
    <s v="Annually"/>
    <n v="0.1"/>
    <n v="62.1"/>
    <n v="69"/>
    <s v="Debit Card"/>
    <s v="Normal"/>
    <s v="Good"/>
  </r>
  <r>
    <n v="1860"/>
    <n v="54"/>
    <x v="0"/>
    <x v="22"/>
    <x v="3"/>
    <n v="26"/>
    <x v="32"/>
    <x v="0"/>
    <s v="Beige"/>
    <x v="2"/>
    <n v="3.7"/>
    <s v="No"/>
    <x v="5"/>
    <s v="No"/>
    <n v="29"/>
    <x v="5"/>
    <s v="Fortnightly"/>
    <n v="0.1"/>
    <n v="23.4"/>
    <n v="26"/>
    <s v="Debit Card"/>
    <s v="Normal"/>
    <s v="Good"/>
  </r>
  <r>
    <n v="1861"/>
    <n v="18"/>
    <x v="0"/>
    <x v="17"/>
    <x v="0"/>
    <n v="64"/>
    <x v="23"/>
    <x v="2"/>
    <s v="Silver"/>
    <x v="2"/>
    <n v="4.8"/>
    <s v="No"/>
    <x v="2"/>
    <s v="No"/>
    <n v="4"/>
    <x v="2"/>
    <s v="Monthly"/>
    <n v="0.1"/>
    <n v="57.6"/>
    <n v="64"/>
    <s v="Credit Card"/>
    <s v="Normal"/>
    <s v="Good"/>
  </r>
  <r>
    <n v="1862"/>
    <n v="29"/>
    <x v="0"/>
    <x v="4"/>
    <x v="1"/>
    <n v="60"/>
    <x v="45"/>
    <x v="1"/>
    <s v="Peach"/>
    <x v="3"/>
    <n v="3.6"/>
    <s v="No"/>
    <x v="3"/>
    <s v="No"/>
    <n v="19"/>
    <x v="5"/>
    <s v="Monthly"/>
    <n v="0.1"/>
    <n v="54"/>
    <n v="60"/>
    <s v="Debit Card"/>
    <s v="Normal"/>
    <s v="Good"/>
  </r>
  <r>
    <n v="1863"/>
    <n v="59"/>
    <x v="0"/>
    <x v="24"/>
    <x v="3"/>
    <n v="36"/>
    <x v="13"/>
    <x v="2"/>
    <s v="Turquoise"/>
    <x v="0"/>
    <n v="4.5999999999999996"/>
    <s v="No"/>
    <x v="0"/>
    <s v="No"/>
    <n v="10"/>
    <x v="3"/>
    <s v="Fortnightly"/>
    <n v="0.1"/>
    <n v="32.4"/>
    <n v="36"/>
    <s v="PayPal"/>
    <s v="Normal"/>
    <s v="Good"/>
  </r>
  <r>
    <n v="1864"/>
    <n v="25"/>
    <x v="0"/>
    <x v="3"/>
    <x v="1"/>
    <n v="21"/>
    <x v="39"/>
    <x v="0"/>
    <s v="Orange"/>
    <x v="1"/>
    <n v="4.3"/>
    <s v="No"/>
    <x v="4"/>
    <s v="No"/>
    <n v="39"/>
    <x v="5"/>
    <s v="Monthly"/>
    <n v="0.1"/>
    <n v="18.899999999999999"/>
    <n v="21"/>
    <s v="Debit Card"/>
    <s v="Normal"/>
    <s v="Good"/>
  </r>
  <r>
    <n v="1865"/>
    <n v="19"/>
    <x v="0"/>
    <x v="21"/>
    <x v="3"/>
    <n v="72"/>
    <x v="5"/>
    <x v="1"/>
    <s v="Cyan"/>
    <x v="3"/>
    <n v="3.2"/>
    <s v="No"/>
    <x v="4"/>
    <s v="No"/>
    <n v="21"/>
    <x v="0"/>
    <s v="Quarterly"/>
    <n v="0.1"/>
    <n v="64.8"/>
    <n v="72"/>
    <s v="Venmo"/>
    <s v="Normal"/>
    <s v="Good"/>
  </r>
  <r>
    <n v="1866"/>
    <n v="56"/>
    <x v="0"/>
    <x v="13"/>
    <x v="0"/>
    <n v="62"/>
    <x v="9"/>
    <x v="1"/>
    <s v="Silver"/>
    <x v="2"/>
    <n v="3.8"/>
    <s v="No"/>
    <x v="5"/>
    <s v="No"/>
    <n v="12"/>
    <x v="4"/>
    <s v="Monthly"/>
    <n v="0.1"/>
    <n v="55.8"/>
    <n v="62"/>
    <s v="Bank Transfer"/>
    <s v="Normal"/>
    <s v="Good"/>
  </r>
  <r>
    <n v="1867"/>
    <n v="31"/>
    <x v="0"/>
    <x v="17"/>
    <x v="0"/>
    <n v="44"/>
    <x v="29"/>
    <x v="3"/>
    <s v="Gold"/>
    <x v="0"/>
    <n v="4.2"/>
    <s v="No"/>
    <x v="3"/>
    <s v="No"/>
    <n v="9"/>
    <x v="2"/>
    <s v="Fortnightly"/>
    <n v="0.1"/>
    <n v="39.6"/>
    <n v="44"/>
    <s v="Credit Card"/>
    <s v="Normal"/>
    <s v="Good"/>
  </r>
  <r>
    <n v="1868"/>
    <n v="45"/>
    <x v="0"/>
    <x v="11"/>
    <x v="0"/>
    <n v="52"/>
    <x v="12"/>
    <x v="2"/>
    <s v="Brown"/>
    <x v="3"/>
    <n v="3.4"/>
    <s v="No"/>
    <x v="4"/>
    <s v="No"/>
    <n v="20"/>
    <x v="0"/>
    <s v="Quarterly"/>
    <n v="0.1"/>
    <n v="46.8"/>
    <n v="52"/>
    <s v="Venmo"/>
    <s v="Normal"/>
    <s v="Good"/>
  </r>
  <r>
    <n v="1869"/>
    <n v="23"/>
    <x v="0"/>
    <x v="24"/>
    <x v="3"/>
    <n v="58"/>
    <x v="27"/>
    <x v="2"/>
    <s v="Silver"/>
    <x v="1"/>
    <n v="4.7"/>
    <s v="No"/>
    <x v="2"/>
    <s v="No"/>
    <n v="44"/>
    <x v="1"/>
    <s v="Fortnightly"/>
    <n v="0.1"/>
    <n v="52.2"/>
    <n v="58"/>
    <s v="Cash"/>
    <s v="Normal"/>
    <s v="Good"/>
  </r>
  <r>
    <n v="1870"/>
    <n v="18"/>
    <x v="0"/>
    <x v="0"/>
    <x v="0"/>
    <n v="77"/>
    <x v="8"/>
    <x v="1"/>
    <s v="Beige"/>
    <x v="1"/>
    <n v="3.9"/>
    <s v="No"/>
    <x v="4"/>
    <s v="No"/>
    <n v="16"/>
    <x v="5"/>
    <s v="Every 3 Months"/>
    <n v="0.1"/>
    <n v="69.3"/>
    <n v="77"/>
    <s v="Debit Card"/>
    <s v="Normal"/>
    <s v="Good"/>
  </r>
  <r>
    <n v="1871"/>
    <n v="43"/>
    <x v="0"/>
    <x v="0"/>
    <x v="0"/>
    <n v="99"/>
    <x v="5"/>
    <x v="0"/>
    <s v="Violet"/>
    <x v="1"/>
    <n v="4.3"/>
    <s v="No"/>
    <x v="5"/>
    <s v="No"/>
    <n v="27"/>
    <x v="5"/>
    <s v="Fortnightly"/>
    <n v="0.1"/>
    <n v="89.1"/>
    <n v="99"/>
    <s v="Debit Card"/>
    <s v="Normal"/>
    <s v="Good"/>
  </r>
  <r>
    <n v="1872"/>
    <n v="56"/>
    <x v="0"/>
    <x v="2"/>
    <x v="0"/>
    <n v="96"/>
    <x v="26"/>
    <x v="3"/>
    <s v="Violet"/>
    <x v="3"/>
    <n v="2.7"/>
    <s v="No"/>
    <x v="3"/>
    <s v="No"/>
    <n v="14"/>
    <x v="1"/>
    <s v="Every 3 Months"/>
    <n v="0.1"/>
    <n v="86.4"/>
    <n v="96"/>
    <s v="Cash"/>
    <s v="Normal"/>
    <s v="Poor"/>
  </r>
  <r>
    <n v="1873"/>
    <n v="43"/>
    <x v="0"/>
    <x v="17"/>
    <x v="0"/>
    <n v="64"/>
    <x v="29"/>
    <x v="2"/>
    <s v="Lavender"/>
    <x v="2"/>
    <n v="4.5999999999999996"/>
    <s v="No"/>
    <x v="3"/>
    <s v="No"/>
    <n v="24"/>
    <x v="2"/>
    <s v="Monthly"/>
    <n v="0.1"/>
    <n v="57.6"/>
    <n v="64"/>
    <s v="Credit Card"/>
    <s v="Normal"/>
    <s v="Good"/>
  </r>
  <r>
    <n v="1874"/>
    <n v="64"/>
    <x v="0"/>
    <x v="1"/>
    <x v="0"/>
    <n v="44"/>
    <x v="48"/>
    <x v="3"/>
    <s v="Red"/>
    <x v="3"/>
    <n v="2.9"/>
    <s v="No"/>
    <x v="0"/>
    <s v="No"/>
    <n v="49"/>
    <x v="4"/>
    <s v="Weekly"/>
    <n v="0.1"/>
    <n v="39.6"/>
    <n v="44"/>
    <s v="Bank Transfer"/>
    <s v="Normal"/>
    <s v="Poor"/>
  </r>
  <r>
    <n v="1875"/>
    <n v="67"/>
    <x v="0"/>
    <x v="13"/>
    <x v="0"/>
    <n v="33"/>
    <x v="27"/>
    <x v="0"/>
    <s v="Purple"/>
    <x v="3"/>
    <n v="3.6"/>
    <s v="No"/>
    <x v="1"/>
    <s v="No"/>
    <n v="14"/>
    <x v="1"/>
    <s v="Weekly"/>
    <n v="0.1"/>
    <n v="29.7"/>
    <n v="33"/>
    <s v="Cash"/>
    <s v="Normal"/>
    <s v="Good"/>
  </r>
  <r>
    <n v="1876"/>
    <n v="63"/>
    <x v="0"/>
    <x v="23"/>
    <x v="1"/>
    <n v="71"/>
    <x v="30"/>
    <x v="2"/>
    <s v="Brown"/>
    <x v="0"/>
    <n v="3.9"/>
    <s v="No"/>
    <x v="2"/>
    <s v="No"/>
    <n v="6"/>
    <x v="2"/>
    <s v="Quarterly"/>
    <n v="0.1"/>
    <n v="63.9"/>
    <n v="71"/>
    <s v="Credit Card"/>
    <s v="Normal"/>
    <s v="Good"/>
  </r>
  <r>
    <n v="1877"/>
    <n v="54"/>
    <x v="0"/>
    <x v="11"/>
    <x v="0"/>
    <n v="36"/>
    <x v="26"/>
    <x v="2"/>
    <s v="Gray"/>
    <x v="3"/>
    <n v="2.6"/>
    <s v="No"/>
    <x v="3"/>
    <s v="No"/>
    <n v="20"/>
    <x v="0"/>
    <s v="Quarterly"/>
    <n v="0.1"/>
    <n v="32.4"/>
    <n v="36"/>
    <s v="Venmo"/>
    <s v="Normal"/>
    <s v="Poor"/>
  </r>
  <r>
    <n v="1878"/>
    <n v="69"/>
    <x v="0"/>
    <x v="24"/>
    <x v="3"/>
    <n v="62"/>
    <x v="38"/>
    <x v="0"/>
    <s v="Pink"/>
    <x v="3"/>
    <n v="3.6"/>
    <s v="No"/>
    <x v="0"/>
    <s v="No"/>
    <n v="3"/>
    <x v="2"/>
    <s v="Annually"/>
    <n v="0.1"/>
    <n v="55.8"/>
    <n v="62"/>
    <s v="Credit Card"/>
    <s v="Normal"/>
    <s v="Good"/>
  </r>
  <r>
    <n v="1879"/>
    <n v="34"/>
    <x v="0"/>
    <x v="20"/>
    <x v="0"/>
    <n v="29"/>
    <x v="19"/>
    <x v="0"/>
    <s v="Magenta"/>
    <x v="2"/>
    <n v="3.4"/>
    <s v="No"/>
    <x v="5"/>
    <s v="No"/>
    <n v="5"/>
    <x v="2"/>
    <s v="Monthly"/>
    <n v="0.1"/>
    <n v="26.1"/>
    <n v="29"/>
    <s v="Credit Card"/>
    <s v="Normal"/>
    <s v="Good"/>
  </r>
  <r>
    <n v="1880"/>
    <n v="56"/>
    <x v="0"/>
    <x v="17"/>
    <x v="0"/>
    <n v="33"/>
    <x v="30"/>
    <x v="0"/>
    <s v="Charcoal"/>
    <x v="1"/>
    <n v="3.5"/>
    <s v="No"/>
    <x v="0"/>
    <s v="No"/>
    <n v="46"/>
    <x v="1"/>
    <s v="Bi-Weekly"/>
    <n v="0.1"/>
    <n v="29.7"/>
    <n v="33"/>
    <s v="Cash"/>
    <s v="Normal"/>
    <s v="Good"/>
  </r>
  <r>
    <n v="1881"/>
    <n v="34"/>
    <x v="0"/>
    <x v="0"/>
    <x v="0"/>
    <n v="33"/>
    <x v="32"/>
    <x v="0"/>
    <s v="Yellow"/>
    <x v="3"/>
    <n v="3.1"/>
    <s v="No"/>
    <x v="4"/>
    <s v="No"/>
    <n v="8"/>
    <x v="5"/>
    <s v="Monthly"/>
    <n v="0.1"/>
    <n v="29.7"/>
    <n v="33"/>
    <s v="Debit Card"/>
    <s v="Normal"/>
    <s v="Good"/>
  </r>
  <r>
    <n v="1882"/>
    <n v="58"/>
    <x v="0"/>
    <x v="0"/>
    <x v="0"/>
    <n v="41"/>
    <x v="32"/>
    <x v="2"/>
    <s v="Red"/>
    <x v="0"/>
    <n v="4.3"/>
    <s v="No"/>
    <x v="3"/>
    <s v="No"/>
    <n v="13"/>
    <x v="1"/>
    <s v="Bi-Weekly"/>
    <n v="0.1"/>
    <n v="36.9"/>
    <n v="41"/>
    <s v="Cash"/>
    <s v="Normal"/>
    <s v="Good"/>
  </r>
  <r>
    <n v="1883"/>
    <n v="44"/>
    <x v="0"/>
    <x v="18"/>
    <x v="3"/>
    <n v="54"/>
    <x v="30"/>
    <x v="0"/>
    <s v="Blue"/>
    <x v="0"/>
    <n v="5"/>
    <s v="No"/>
    <x v="5"/>
    <s v="No"/>
    <n v="25"/>
    <x v="4"/>
    <s v="Quarterly"/>
    <n v="0.1"/>
    <n v="48.6"/>
    <n v="54"/>
    <s v="Bank Transfer"/>
    <s v="Normal"/>
    <s v="Good"/>
  </r>
  <r>
    <n v="1884"/>
    <n v="25"/>
    <x v="0"/>
    <x v="21"/>
    <x v="3"/>
    <n v="58"/>
    <x v="42"/>
    <x v="2"/>
    <s v="Cyan"/>
    <x v="1"/>
    <n v="4.9000000000000004"/>
    <s v="No"/>
    <x v="5"/>
    <s v="No"/>
    <n v="39"/>
    <x v="5"/>
    <s v="Fortnightly"/>
    <n v="0.1"/>
    <n v="52.2"/>
    <n v="58"/>
    <s v="Debit Card"/>
    <s v="Normal"/>
    <s v="Good"/>
  </r>
  <r>
    <n v="1885"/>
    <n v="27"/>
    <x v="0"/>
    <x v="6"/>
    <x v="0"/>
    <n v="30"/>
    <x v="28"/>
    <x v="1"/>
    <s v="Pink"/>
    <x v="2"/>
    <n v="4.3"/>
    <s v="No"/>
    <x v="2"/>
    <s v="No"/>
    <n v="15"/>
    <x v="4"/>
    <s v="Bi-Weekly"/>
    <n v="0.1"/>
    <n v="27"/>
    <n v="30"/>
    <s v="Bank Transfer"/>
    <s v="Normal"/>
    <s v="Good"/>
  </r>
  <r>
    <n v="1886"/>
    <n v="26"/>
    <x v="0"/>
    <x v="16"/>
    <x v="3"/>
    <n v="53"/>
    <x v="22"/>
    <x v="1"/>
    <s v="Maroon"/>
    <x v="0"/>
    <n v="4.4000000000000004"/>
    <s v="No"/>
    <x v="3"/>
    <s v="No"/>
    <n v="35"/>
    <x v="1"/>
    <s v="Monthly"/>
    <n v="0.1"/>
    <n v="47.7"/>
    <n v="53"/>
    <s v="Cash"/>
    <s v="Normal"/>
    <s v="Good"/>
  </r>
  <r>
    <n v="1887"/>
    <n v="18"/>
    <x v="0"/>
    <x v="24"/>
    <x v="3"/>
    <n v="91"/>
    <x v="10"/>
    <x v="0"/>
    <s v="Beige"/>
    <x v="1"/>
    <n v="4.4000000000000004"/>
    <s v="No"/>
    <x v="2"/>
    <s v="No"/>
    <n v="46"/>
    <x v="1"/>
    <s v="Bi-Weekly"/>
    <n v="0.1"/>
    <n v="81.900000000000006"/>
    <n v="91"/>
    <s v="Cash"/>
    <s v="Normal"/>
    <s v="Good"/>
  </r>
  <r>
    <n v="1888"/>
    <n v="64"/>
    <x v="0"/>
    <x v="15"/>
    <x v="0"/>
    <n v="44"/>
    <x v="25"/>
    <x v="3"/>
    <s v="Gold"/>
    <x v="3"/>
    <n v="3.5"/>
    <s v="No"/>
    <x v="0"/>
    <s v="No"/>
    <n v="3"/>
    <x v="3"/>
    <s v="Monthly"/>
    <n v="0.1"/>
    <n v="39.6"/>
    <n v="44"/>
    <s v="PayPal"/>
    <s v="Normal"/>
    <s v="Good"/>
  </r>
  <r>
    <n v="1889"/>
    <n v="62"/>
    <x v="0"/>
    <x v="15"/>
    <x v="0"/>
    <n v="89"/>
    <x v="45"/>
    <x v="3"/>
    <s v="Turquoise"/>
    <x v="0"/>
    <n v="3.4"/>
    <s v="No"/>
    <x v="1"/>
    <s v="No"/>
    <n v="48"/>
    <x v="2"/>
    <s v="Weekly"/>
    <n v="0.1"/>
    <n v="80.099999999999994"/>
    <n v="89"/>
    <s v="Credit Card"/>
    <s v="Normal"/>
    <s v="Good"/>
  </r>
  <r>
    <n v="1890"/>
    <n v="59"/>
    <x v="0"/>
    <x v="11"/>
    <x v="0"/>
    <n v="57"/>
    <x v="17"/>
    <x v="0"/>
    <s v="Peach"/>
    <x v="1"/>
    <n v="2.5"/>
    <s v="No"/>
    <x v="2"/>
    <s v="No"/>
    <n v="27"/>
    <x v="4"/>
    <s v="Weekly"/>
    <n v="0.1"/>
    <n v="51.3"/>
    <n v="57"/>
    <s v="Bank Transfer"/>
    <s v="Normal"/>
    <s v="Poor"/>
  </r>
  <r>
    <n v="1891"/>
    <n v="36"/>
    <x v="0"/>
    <x v="12"/>
    <x v="3"/>
    <n v="57"/>
    <x v="11"/>
    <x v="2"/>
    <s v="Lavender"/>
    <x v="1"/>
    <n v="3.4"/>
    <s v="No"/>
    <x v="5"/>
    <s v="No"/>
    <n v="5"/>
    <x v="2"/>
    <s v="Weekly"/>
    <n v="0.1"/>
    <n v="51.3"/>
    <n v="57"/>
    <s v="Credit Card"/>
    <s v="Normal"/>
    <s v="Good"/>
  </r>
  <r>
    <n v="1892"/>
    <n v="69"/>
    <x v="0"/>
    <x v="16"/>
    <x v="3"/>
    <n v="74"/>
    <x v="13"/>
    <x v="2"/>
    <s v="Gray"/>
    <x v="2"/>
    <n v="2.6"/>
    <s v="No"/>
    <x v="2"/>
    <s v="No"/>
    <n v="48"/>
    <x v="5"/>
    <s v="Quarterly"/>
    <n v="0.1"/>
    <n v="66.599999999999994"/>
    <n v="74"/>
    <s v="Debit Card"/>
    <s v="Normal"/>
    <s v="Poor"/>
  </r>
  <r>
    <n v="1893"/>
    <n v="39"/>
    <x v="0"/>
    <x v="14"/>
    <x v="2"/>
    <n v="30"/>
    <x v="18"/>
    <x v="2"/>
    <s v="Blue"/>
    <x v="3"/>
    <n v="4.5999999999999996"/>
    <s v="No"/>
    <x v="4"/>
    <s v="No"/>
    <n v="12"/>
    <x v="0"/>
    <s v="Weekly"/>
    <n v="0.1"/>
    <n v="27"/>
    <n v="30"/>
    <s v="Venmo"/>
    <s v="Normal"/>
    <s v="Good"/>
  </r>
  <r>
    <n v="1894"/>
    <n v="28"/>
    <x v="0"/>
    <x v="10"/>
    <x v="0"/>
    <n v="20"/>
    <x v="12"/>
    <x v="0"/>
    <s v="Red"/>
    <x v="2"/>
    <n v="3.7"/>
    <s v="No"/>
    <x v="0"/>
    <s v="No"/>
    <n v="10"/>
    <x v="3"/>
    <s v="Fortnightly"/>
    <n v="0.1"/>
    <n v="18"/>
    <n v="20"/>
    <s v="PayPal"/>
    <s v="Normal"/>
    <s v="Good"/>
  </r>
  <r>
    <n v="1895"/>
    <n v="42"/>
    <x v="0"/>
    <x v="15"/>
    <x v="0"/>
    <n v="90"/>
    <x v="28"/>
    <x v="2"/>
    <s v="Purple"/>
    <x v="3"/>
    <n v="2.5"/>
    <s v="No"/>
    <x v="1"/>
    <s v="No"/>
    <n v="48"/>
    <x v="5"/>
    <s v="Bi-Weekly"/>
    <n v="0.1"/>
    <n v="81"/>
    <n v="90"/>
    <s v="Debit Card"/>
    <s v="Normal"/>
    <s v="Poor"/>
  </r>
  <r>
    <n v="1896"/>
    <n v="31"/>
    <x v="0"/>
    <x v="2"/>
    <x v="0"/>
    <n v="61"/>
    <x v="47"/>
    <x v="0"/>
    <s v="Indigo"/>
    <x v="3"/>
    <n v="4.5"/>
    <s v="No"/>
    <x v="0"/>
    <s v="No"/>
    <n v="3"/>
    <x v="5"/>
    <s v="Monthly"/>
    <n v="0.1"/>
    <n v="54.9"/>
    <n v="61"/>
    <s v="Debit Card"/>
    <s v="Normal"/>
    <s v="Good"/>
  </r>
  <r>
    <n v="1897"/>
    <n v="57"/>
    <x v="0"/>
    <x v="3"/>
    <x v="1"/>
    <n v="51"/>
    <x v="22"/>
    <x v="2"/>
    <s v="Gold"/>
    <x v="3"/>
    <n v="2.9"/>
    <s v="No"/>
    <x v="3"/>
    <s v="No"/>
    <n v="19"/>
    <x v="0"/>
    <s v="Monthly"/>
    <n v="0.1"/>
    <n v="45.9"/>
    <n v="51"/>
    <s v="Venmo"/>
    <s v="Normal"/>
    <s v="Poor"/>
  </r>
  <r>
    <n v="1898"/>
    <n v="53"/>
    <x v="0"/>
    <x v="12"/>
    <x v="3"/>
    <n v="97"/>
    <x v="29"/>
    <x v="0"/>
    <s v="Teal"/>
    <x v="0"/>
    <n v="2.9"/>
    <s v="No"/>
    <x v="1"/>
    <s v="No"/>
    <n v="11"/>
    <x v="5"/>
    <s v="Fortnightly"/>
    <n v="0.1"/>
    <n v="87.3"/>
    <n v="97"/>
    <s v="Debit Card"/>
    <s v="Normal"/>
    <s v="Poor"/>
  </r>
  <r>
    <n v="1899"/>
    <n v="59"/>
    <x v="0"/>
    <x v="13"/>
    <x v="0"/>
    <n v="97"/>
    <x v="21"/>
    <x v="0"/>
    <s v="Magenta"/>
    <x v="3"/>
    <n v="3.5"/>
    <s v="No"/>
    <x v="2"/>
    <s v="No"/>
    <n v="25"/>
    <x v="0"/>
    <s v="Monthly"/>
    <n v="0.1"/>
    <n v="87.3"/>
    <n v="97"/>
    <s v="Venmo"/>
    <s v="Normal"/>
    <s v="Good"/>
  </r>
  <r>
    <n v="1900"/>
    <n v="32"/>
    <x v="0"/>
    <x v="6"/>
    <x v="0"/>
    <n v="40"/>
    <x v="14"/>
    <x v="0"/>
    <s v="Maroon"/>
    <x v="0"/>
    <n v="4.2"/>
    <s v="No"/>
    <x v="5"/>
    <s v="No"/>
    <n v="42"/>
    <x v="3"/>
    <s v="Weekly"/>
    <n v="0.1"/>
    <n v="36"/>
    <n v="40"/>
    <s v="PayPal"/>
    <s v="Normal"/>
    <s v="Good"/>
  </r>
  <r>
    <n v="1901"/>
    <n v="65"/>
    <x v="0"/>
    <x v="16"/>
    <x v="3"/>
    <n v="85"/>
    <x v="44"/>
    <x v="1"/>
    <s v="Blue"/>
    <x v="2"/>
    <n v="3.3"/>
    <s v="No"/>
    <x v="1"/>
    <s v="No"/>
    <n v="34"/>
    <x v="1"/>
    <s v="Quarterly"/>
    <n v="0.1"/>
    <n v="76.5"/>
    <n v="85"/>
    <s v="Cash"/>
    <s v="Normal"/>
    <s v="Good"/>
  </r>
  <r>
    <n v="1902"/>
    <n v="56"/>
    <x v="0"/>
    <x v="20"/>
    <x v="0"/>
    <n v="76"/>
    <x v="28"/>
    <x v="1"/>
    <s v="Beige"/>
    <x v="0"/>
    <n v="3.9"/>
    <s v="No"/>
    <x v="5"/>
    <s v="No"/>
    <n v="50"/>
    <x v="1"/>
    <s v="Quarterly"/>
    <n v="0.1"/>
    <n v="68.400000000000006"/>
    <n v="76"/>
    <s v="Cash"/>
    <s v="Normal"/>
    <s v="Good"/>
  </r>
  <r>
    <n v="1903"/>
    <n v="31"/>
    <x v="0"/>
    <x v="3"/>
    <x v="1"/>
    <n v="22"/>
    <x v="35"/>
    <x v="1"/>
    <s v="Olive"/>
    <x v="1"/>
    <n v="5"/>
    <s v="No"/>
    <x v="5"/>
    <s v="No"/>
    <n v="21"/>
    <x v="0"/>
    <s v="Monthly"/>
    <n v="0.1"/>
    <n v="19.8"/>
    <n v="22"/>
    <s v="Venmo"/>
    <s v="Normal"/>
    <s v="Good"/>
  </r>
  <r>
    <n v="1904"/>
    <n v="59"/>
    <x v="0"/>
    <x v="13"/>
    <x v="0"/>
    <n v="63"/>
    <x v="17"/>
    <x v="2"/>
    <s v="Gold"/>
    <x v="2"/>
    <n v="3.3"/>
    <s v="No"/>
    <x v="3"/>
    <s v="No"/>
    <n v="37"/>
    <x v="4"/>
    <s v="Weekly"/>
    <n v="0.1"/>
    <n v="56.7"/>
    <n v="63"/>
    <s v="Bank Transfer"/>
    <s v="Normal"/>
    <s v="Good"/>
  </r>
  <r>
    <n v="1905"/>
    <n v="22"/>
    <x v="0"/>
    <x v="17"/>
    <x v="0"/>
    <n v="71"/>
    <x v="22"/>
    <x v="1"/>
    <s v="Silver"/>
    <x v="1"/>
    <n v="4.2"/>
    <s v="No"/>
    <x v="1"/>
    <s v="No"/>
    <n v="46"/>
    <x v="1"/>
    <s v="Monthly"/>
    <n v="0.1"/>
    <n v="63.9"/>
    <n v="71"/>
    <s v="Cash"/>
    <s v="Normal"/>
    <s v="Good"/>
  </r>
  <r>
    <n v="1906"/>
    <n v="47"/>
    <x v="0"/>
    <x v="23"/>
    <x v="1"/>
    <n v="35"/>
    <x v="37"/>
    <x v="2"/>
    <s v="Teal"/>
    <x v="2"/>
    <n v="4.9000000000000004"/>
    <s v="No"/>
    <x v="4"/>
    <s v="No"/>
    <n v="14"/>
    <x v="4"/>
    <s v="Fortnightly"/>
    <n v="0.1"/>
    <n v="31.5"/>
    <n v="35"/>
    <s v="Bank Transfer"/>
    <s v="Normal"/>
    <s v="Good"/>
  </r>
  <r>
    <n v="1907"/>
    <n v="23"/>
    <x v="0"/>
    <x v="21"/>
    <x v="3"/>
    <n v="30"/>
    <x v="34"/>
    <x v="2"/>
    <s v="Green"/>
    <x v="1"/>
    <n v="4.5999999999999996"/>
    <s v="No"/>
    <x v="4"/>
    <s v="No"/>
    <n v="24"/>
    <x v="3"/>
    <s v="Fortnightly"/>
    <n v="0.1"/>
    <n v="27"/>
    <n v="30"/>
    <s v="PayPal"/>
    <s v="Normal"/>
    <s v="Good"/>
  </r>
  <r>
    <n v="1908"/>
    <n v="69"/>
    <x v="0"/>
    <x v="11"/>
    <x v="0"/>
    <n v="74"/>
    <x v="35"/>
    <x v="0"/>
    <s v="Orange"/>
    <x v="3"/>
    <n v="4.8"/>
    <s v="No"/>
    <x v="5"/>
    <s v="No"/>
    <n v="36"/>
    <x v="2"/>
    <s v="Every 3 Months"/>
    <n v="0.1"/>
    <n v="66.599999999999994"/>
    <n v="74"/>
    <s v="Credit Card"/>
    <s v="Normal"/>
    <s v="Good"/>
  </r>
  <r>
    <n v="1909"/>
    <n v="18"/>
    <x v="0"/>
    <x v="18"/>
    <x v="3"/>
    <n v="71"/>
    <x v="42"/>
    <x v="3"/>
    <s v="Charcoal"/>
    <x v="0"/>
    <n v="2.7"/>
    <s v="No"/>
    <x v="2"/>
    <s v="No"/>
    <n v="19"/>
    <x v="5"/>
    <s v="Bi-Weekly"/>
    <n v="0.1"/>
    <n v="63.9"/>
    <n v="71"/>
    <s v="Debit Card"/>
    <s v="Normal"/>
    <s v="Poor"/>
  </r>
  <r>
    <n v="1910"/>
    <n v="50"/>
    <x v="0"/>
    <x v="1"/>
    <x v="0"/>
    <n v="84"/>
    <x v="0"/>
    <x v="1"/>
    <s v="Black"/>
    <x v="1"/>
    <n v="4.3"/>
    <s v="No"/>
    <x v="5"/>
    <s v="No"/>
    <n v="12"/>
    <x v="2"/>
    <s v="Monthly"/>
    <n v="0.1"/>
    <n v="75.599999999999994"/>
    <n v="84"/>
    <s v="Credit Card"/>
    <s v="Normal"/>
    <s v="Good"/>
  </r>
  <r>
    <n v="1911"/>
    <n v="29"/>
    <x v="0"/>
    <x v="3"/>
    <x v="1"/>
    <n v="38"/>
    <x v="14"/>
    <x v="1"/>
    <s v="Yellow"/>
    <x v="3"/>
    <n v="3.8"/>
    <s v="No"/>
    <x v="0"/>
    <s v="No"/>
    <n v="13"/>
    <x v="5"/>
    <s v="Quarterly"/>
    <n v="0.1"/>
    <n v="34.200000000000003"/>
    <n v="38"/>
    <s v="Debit Card"/>
    <s v="Normal"/>
    <s v="Good"/>
  </r>
  <r>
    <n v="1912"/>
    <n v="65"/>
    <x v="0"/>
    <x v="16"/>
    <x v="3"/>
    <n v="81"/>
    <x v="28"/>
    <x v="2"/>
    <s v="Gray"/>
    <x v="1"/>
    <n v="4.9000000000000004"/>
    <s v="No"/>
    <x v="0"/>
    <s v="No"/>
    <n v="32"/>
    <x v="5"/>
    <s v="Bi-Weekly"/>
    <n v="0.1"/>
    <n v="72.900000000000006"/>
    <n v="81"/>
    <s v="Debit Card"/>
    <s v="Normal"/>
    <s v="Good"/>
  </r>
  <r>
    <n v="1913"/>
    <n v="29"/>
    <x v="0"/>
    <x v="1"/>
    <x v="0"/>
    <n v="56"/>
    <x v="24"/>
    <x v="1"/>
    <s v="Charcoal"/>
    <x v="0"/>
    <n v="3.4"/>
    <s v="No"/>
    <x v="4"/>
    <s v="No"/>
    <n v="5"/>
    <x v="2"/>
    <s v="Bi-Weekly"/>
    <n v="0.1"/>
    <n v="50.4"/>
    <n v="56"/>
    <s v="Credit Card"/>
    <s v="Normal"/>
    <s v="Good"/>
  </r>
  <r>
    <n v="1914"/>
    <n v="49"/>
    <x v="0"/>
    <x v="11"/>
    <x v="0"/>
    <n v="48"/>
    <x v="0"/>
    <x v="2"/>
    <s v="Peach"/>
    <x v="0"/>
    <n v="3.6"/>
    <s v="No"/>
    <x v="0"/>
    <s v="No"/>
    <n v="29"/>
    <x v="1"/>
    <s v="Annually"/>
    <n v="0.1"/>
    <n v="43.2"/>
    <n v="48"/>
    <s v="Cash"/>
    <s v="Normal"/>
    <s v="Good"/>
  </r>
  <r>
    <n v="1915"/>
    <n v="28"/>
    <x v="0"/>
    <x v="6"/>
    <x v="0"/>
    <n v="97"/>
    <x v="29"/>
    <x v="0"/>
    <s v="Green"/>
    <x v="3"/>
    <n v="3.4"/>
    <s v="No"/>
    <x v="3"/>
    <s v="No"/>
    <n v="40"/>
    <x v="2"/>
    <s v="Fortnightly"/>
    <n v="0.1"/>
    <n v="87.3"/>
    <n v="97"/>
    <s v="Credit Card"/>
    <s v="Normal"/>
    <s v="Good"/>
  </r>
  <r>
    <n v="1916"/>
    <n v="51"/>
    <x v="0"/>
    <x v="21"/>
    <x v="3"/>
    <n v="74"/>
    <x v="15"/>
    <x v="2"/>
    <s v="Magenta"/>
    <x v="3"/>
    <n v="4.7"/>
    <s v="No"/>
    <x v="4"/>
    <s v="No"/>
    <n v="44"/>
    <x v="1"/>
    <s v="Weekly"/>
    <n v="0.1"/>
    <n v="66.599999999999994"/>
    <n v="74"/>
    <s v="Cash"/>
    <s v="Normal"/>
    <s v="Good"/>
  </r>
  <r>
    <n v="1917"/>
    <n v="26"/>
    <x v="0"/>
    <x v="15"/>
    <x v="0"/>
    <n v="50"/>
    <x v="39"/>
    <x v="1"/>
    <s v="Beige"/>
    <x v="0"/>
    <n v="3"/>
    <s v="No"/>
    <x v="2"/>
    <s v="No"/>
    <n v="3"/>
    <x v="5"/>
    <s v="Bi-Weekly"/>
    <n v="0.1"/>
    <n v="45"/>
    <n v="50"/>
    <s v="Debit Card"/>
    <s v="Normal"/>
    <s v="Good"/>
  </r>
  <r>
    <n v="1918"/>
    <n v="38"/>
    <x v="0"/>
    <x v="11"/>
    <x v="0"/>
    <n v="71"/>
    <x v="11"/>
    <x v="0"/>
    <s v="Black"/>
    <x v="0"/>
    <n v="3.4"/>
    <s v="No"/>
    <x v="1"/>
    <s v="No"/>
    <n v="35"/>
    <x v="3"/>
    <s v="Bi-Weekly"/>
    <n v="0.1"/>
    <n v="63.9"/>
    <n v="71"/>
    <s v="PayPal"/>
    <s v="Normal"/>
    <s v="Good"/>
  </r>
  <r>
    <n v="1919"/>
    <n v="35"/>
    <x v="0"/>
    <x v="11"/>
    <x v="0"/>
    <n v="33"/>
    <x v="37"/>
    <x v="1"/>
    <s v="Purple"/>
    <x v="2"/>
    <n v="4.5999999999999996"/>
    <s v="No"/>
    <x v="3"/>
    <s v="No"/>
    <n v="33"/>
    <x v="5"/>
    <s v="Monthly"/>
    <n v="0.1"/>
    <n v="29.7"/>
    <n v="33"/>
    <s v="Debit Card"/>
    <s v="Normal"/>
    <s v="Good"/>
  </r>
  <r>
    <n v="1920"/>
    <n v="34"/>
    <x v="0"/>
    <x v="21"/>
    <x v="3"/>
    <n v="56"/>
    <x v="41"/>
    <x v="2"/>
    <s v="Olive"/>
    <x v="2"/>
    <n v="3.1"/>
    <s v="No"/>
    <x v="0"/>
    <s v="No"/>
    <n v="20"/>
    <x v="3"/>
    <s v="Bi-Weekly"/>
    <n v="0.1"/>
    <n v="50.4"/>
    <n v="56"/>
    <s v="PayPal"/>
    <s v="Normal"/>
    <s v="Good"/>
  </r>
  <r>
    <n v="1921"/>
    <n v="51"/>
    <x v="0"/>
    <x v="0"/>
    <x v="0"/>
    <n v="84"/>
    <x v="39"/>
    <x v="2"/>
    <s v="Purple"/>
    <x v="1"/>
    <n v="2.8"/>
    <s v="No"/>
    <x v="3"/>
    <s v="No"/>
    <n v="40"/>
    <x v="1"/>
    <s v="Every 3 Months"/>
    <n v="0.1"/>
    <n v="75.599999999999994"/>
    <n v="84"/>
    <s v="Cash"/>
    <s v="Normal"/>
    <s v="Poor"/>
  </r>
  <r>
    <n v="1922"/>
    <n v="47"/>
    <x v="0"/>
    <x v="5"/>
    <x v="0"/>
    <n v="36"/>
    <x v="49"/>
    <x v="2"/>
    <s v="Green"/>
    <x v="3"/>
    <n v="3.5"/>
    <s v="No"/>
    <x v="5"/>
    <s v="No"/>
    <n v="13"/>
    <x v="0"/>
    <s v="Annually"/>
    <n v="0.1"/>
    <n v="32.4"/>
    <n v="36"/>
    <s v="Venmo"/>
    <s v="Normal"/>
    <s v="Good"/>
  </r>
  <r>
    <n v="1923"/>
    <n v="18"/>
    <x v="0"/>
    <x v="24"/>
    <x v="3"/>
    <n v="63"/>
    <x v="0"/>
    <x v="1"/>
    <s v="Peach"/>
    <x v="2"/>
    <n v="4.5999999999999996"/>
    <s v="No"/>
    <x v="3"/>
    <s v="No"/>
    <n v="9"/>
    <x v="3"/>
    <s v="Monthly"/>
    <n v="0.1"/>
    <n v="56.7"/>
    <n v="63"/>
    <s v="PayPal"/>
    <s v="Normal"/>
    <s v="Good"/>
  </r>
  <r>
    <n v="1924"/>
    <n v="64"/>
    <x v="0"/>
    <x v="3"/>
    <x v="1"/>
    <n v="36"/>
    <x v="43"/>
    <x v="3"/>
    <s v="Blue"/>
    <x v="2"/>
    <n v="4.3"/>
    <s v="No"/>
    <x v="3"/>
    <s v="No"/>
    <n v="7"/>
    <x v="1"/>
    <s v="Annually"/>
    <n v="0.1"/>
    <n v="32.4"/>
    <n v="36"/>
    <s v="Cash"/>
    <s v="Normal"/>
    <s v="Good"/>
  </r>
  <r>
    <n v="1925"/>
    <n v="30"/>
    <x v="0"/>
    <x v="14"/>
    <x v="2"/>
    <n v="63"/>
    <x v="49"/>
    <x v="2"/>
    <s v="Gray"/>
    <x v="3"/>
    <n v="4.8"/>
    <s v="No"/>
    <x v="1"/>
    <s v="No"/>
    <n v="42"/>
    <x v="3"/>
    <s v="Quarterly"/>
    <n v="0.1"/>
    <n v="56.7"/>
    <n v="63"/>
    <s v="PayPal"/>
    <s v="Normal"/>
    <s v="Good"/>
  </r>
  <r>
    <n v="1926"/>
    <n v="59"/>
    <x v="0"/>
    <x v="4"/>
    <x v="1"/>
    <n v="32"/>
    <x v="40"/>
    <x v="0"/>
    <s v="Black"/>
    <x v="0"/>
    <n v="2.9"/>
    <s v="No"/>
    <x v="0"/>
    <s v="No"/>
    <n v="44"/>
    <x v="2"/>
    <s v="Fortnightly"/>
    <n v="0.1"/>
    <n v="28.8"/>
    <n v="32"/>
    <s v="Credit Card"/>
    <s v="Normal"/>
    <s v="Poor"/>
  </r>
  <r>
    <n v="1927"/>
    <n v="66"/>
    <x v="0"/>
    <x v="21"/>
    <x v="3"/>
    <n v="93"/>
    <x v="35"/>
    <x v="2"/>
    <s v="Silver"/>
    <x v="1"/>
    <n v="3"/>
    <s v="No"/>
    <x v="0"/>
    <s v="No"/>
    <n v="6"/>
    <x v="3"/>
    <s v="Annually"/>
    <n v="0.1"/>
    <n v="83.7"/>
    <n v="93"/>
    <s v="PayPal"/>
    <s v="Normal"/>
    <s v="Good"/>
  </r>
  <r>
    <n v="1928"/>
    <n v="40"/>
    <x v="0"/>
    <x v="13"/>
    <x v="0"/>
    <n v="29"/>
    <x v="20"/>
    <x v="2"/>
    <s v="Pink"/>
    <x v="2"/>
    <n v="2.9"/>
    <s v="No"/>
    <x v="3"/>
    <s v="No"/>
    <n v="8"/>
    <x v="1"/>
    <s v="Every 3 Months"/>
    <n v="0.1"/>
    <n v="26.1"/>
    <n v="29"/>
    <s v="Cash"/>
    <s v="Normal"/>
    <s v="Poor"/>
  </r>
  <r>
    <n v="1929"/>
    <n v="25"/>
    <x v="0"/>
    <x v="12"/>
    <x v="3"/>
    <n v="92"/>
    <x v="16"/>
    <x v="1"/>
    <s v="Lavender"/>
    <x v="2"/>
    <n v="3.7"/>
    <s v="No"/>
    <x v="3"/>
    <s v="No"/>
    <n v="10"/>
    <x v="3"/>
    <s v="Weekly"/>
    <n v="0.1"/>
    <n v="82.8"/>
    <n v="92"/>
    <s v="PayPal"/>
    <s v="Normal"/>
    <s v="Good"/>
  </r>
  <r>
    <n v="1930"/>
    <n v="59"/>
    <x v="0"/>
    <x v="2"/>
    <x v="0"/>
    <n v="33"/>
    <x v="11"/>
    <x v="0"/>
    <s v="Brown"/>
    <x v="3"/>
    <n v="4.7"/>
    <s v="No"/>
    <x v="3"/>
    <s v="No"/>
    <n v="46"/>
    <x v="0"/>
    <s v="Quarterly"/>
    <n v="0.1"/>
    <n v="29.7"/>
    <n v="33"/>
    <s v="Venmo"/>
    <s v="Normal"/>
    <s v="Good"/>
  </r>
  <r>
    <n v="1931"/>
    <n v="66"/>
    <x v="0"/>
    <x v="13"/>
    <x v="0"/>
    <n v="52"/>
    <x v="17"/>
    <x v="0"/>
    <s v="Turquoise"/>
    <x v="1"/>
    <n v="3.5"/>
    <s v="No"/>
    <x v="5"/>
    <s v="No"/>
    <n v="26"/>
    <x v="1"/>
    <s v="Weekly"/>
    <n v="0.1"/>
    <n v="46.8"/>
    <n v="52"/>
    <s v="Cash"/>
    <s v="Normal"/>
    <s v="Good"/>
  </r>
  <r>
    <n v="1932"/>
    <n v="54"/>
    <x v="0"/>
    <x v="16"/>
    <x v="3"/>
    <n v="42"/>
    <x v="26"/>
    <x v="1"/>
    <s v="Olive"/>
    <x v="1"/>
    <n v="2.7"/>
    <s v="No"/>
    <x v="5"/>
    <s v="No"/>
    <n v="6"/>
    <x v="5"/>
    <s v="Every 3 Months"/>
    <n v="0.1"/>
    <n v="37.799999999999997"/>
    <n v="42"/>
    <s v="Debit Card"/>
    <s v="Normal"/>
    <s v="Poor"/>
  </r>
  <r>
    <n v="1933"/>
    <n v="42"/>
    <x v="0"/>
    <x v="15"/>
    <x v="0"/>
    <n v="36"/>
    <x v="33"/>
    <x v="2"/>
    <s v="White"/>
    <x v="1"/>
    <n v="5"/>
    <s v="No"/>
    <x v="1"/>
    <s v="No"/>
    <n v="47"/>
    <x v="2"/>
    <s v="Every 3 Months"/>
    <n v="0.1"/>
    <n v="32.4"/>
    <n v="36"/>
    <s v="Credit Card"/>
    <s v="Normal"/>
    <s v="Good"/>
  </r>
  <r>
    <n v="1934"/>
    <n v="48"/>
    <x v="0"/>
    <x v="3"/>
    <x v="1"/>
    <n v="67"/>
    <x v="6"/>
    <x v="0"/>
    <s v="Violet"/>
    <x v="2"/>
    <n v="4.0999999999999996"/>
    <s v="No"/>
    <x v="2"/>
    <s v="No"/>
    <n v="28"/>
    <x v="0"/>
    <s v="Annually"/>
    <n v="0.1"/>
    <n v="60.3"/>
    <n v="67"/>
    <s v="Venmo"/>
    <s v="Normal"/>
    <s v="Good"/>
  </r>
  <r>
    <n v="1935"/>
    <n v="34"/>
    <x v="0"/>
    <x v="14"/>
    <x v="2"/>
    <n v="43"/>
    <x v="49"/>
    <x v="0"/>
    <s v="Gold"/>
    <x v="0"/>
    <n v="2.7"/>
    <s v="No"/>
    <x v="1"/>
    <s v="No"/>
    <n v="23"/>
    <x v="4"/>
    <s v="Annually"/>
    <n v="0.1"/>
    <n v="38.700000000000003"/>
    <n v="43"/>
    <s v="Bank Transfer"/>
    <s v="Normal"/>
    <s v="Poor"/>
  </r>
  <r>
    <n v="1936"/>
    <n v="19"/>
    <x v="0"/>
    <x v="0"/>
    <x v="0"/>
    <n v="68"/>
    <x v="17"/>
    <x v="3"/>
    <s v="Violet"/>
    <x v="1"/>
    <n v="4.8"/>
    <s v="No"/>
    <x v="1"/>
    <s v="No"/>
    <n v="45"/>
    <x v="1"/>
    <s v="Fortnightly"/>
    <n v="0.1"/>
    <n v="61.2"/>
    <n v="68"/>
    <s v="Cash"/>
    <s v="Normal"/>
    <s v="Good"/>
  </r>
  <r>
    <n v="1937"/>
    <n v="70"/>
    <x v="0"/>
    <x v="16"/>
    <x v="3"/>
    <n v="60"/>
    <x v="46"/>
    <x v="1"/>
    <s v="Teal"/>
    <x v="2"/>
    <n v="4.3"/>
    <s v="No"/>
    <x v="4"/>
    <s v="No"/>
    <n v="44"/>
    <x v="3"/>
    <s v="Every 3 Months"/>
    <n v="0.1"/>
    <n v="54"/>
    <n v="60"/>
    <s v="PayPal"/>
    <s v="Normal"/>
    <s v="Good"/>
  </r>
  <r>
    <n v="1938"/>
    <n v="43"/>
    <x v="0"/>
    <x v="20"/>
    <x v="0"/>
    <n v="53"/>
    <x v="12"/>
    <x v="2"/>
    <s v="Olive"/>
    <x v="2"/>
    <n v="4.5"/>
    <s v="No"/>
    <x v="4"/>
    <s v="No"/>
    <n v="11"/>
    <x v="4"/>
    <s v="Monthly"/>
    <n v="0.1"/>
    <n v="47.7"/>
    <n v="53"/>
    <s v="Bank Transfer"/>
    <s v="Normal"/>
    <s v="Good"/>
  </r>
  <r>
    <n v="1939"/>
    <n v="46"/>
    <x v="0"/>
    <x v="2"/>
    <x v="0"/>
    <n v="23"/>
    <x v="0"/>
    <x v="0"/>
    <s v="Blue"/>
    <x v="1"/>
    <n v="3.8"/>
    <s v="No"/>
    <x v="3"/>
    <s v="No"/>
    <n v="39"/>
    <x v="5"/>
    <s v="Bi-Weekly"/>
    <n v="0.1"/>
    <n v="20.7"/>
    <n v="23"/>
    <s v="Debit Card"/>
    <s v="Normal"/>
    <s v="Good"/>
  </r>
  <r>
    <n v="1940"/>
    <n v="66"/>
    <x v="0"/>
    <x v="24"/>
    <x v="3"/>
    <n v="57"/>
    <x v="31"/>
    <x v="0"/>
    <s v="Magenta"/>
    <x v="0"/>
    <n v="3.7"/>
    <s v="No"/>
    <x v="5"/>
    <s v="No"/>
    <n v="20"/>
    <x v="3"/>
    <s v="Every 3 Months"/>
    <n v="0.1"/>
    <n v="51.3"/>
    <n v="57"/>
    <s v="PayPal"/>
    <s v="Normal"/>
    <s v="Good"/>
  </r>
  <r>
    <n v="1941"/>
    <n v="50"/>
    <x v="0"/>
    <x v="19"/>
    <x v="3"/>
    <n v="89"/>
    <x v="29"/>
    <x v="0"/>
    <s v="Gray"/>
    <x v="3"/>
    <n v="3.9"/>
    <s v="No"/>
    <x v="4"/>
    <s v="No"/>
    <n v="48"/>
    <x v="3"/>
    <s v="Fortnightly"/>
    <n v="0.1"/>
    <n v="80.099999999999994"/>
    <n v="89"/>
    <s v="PayPal"/>
    <s v="Normal"/>
    <s v="Good"/>
  </r>
  <r>
    <n v="1942"/>
    <n v="55"/>
    <x v="0"/>
    <x v="9"/>
    <x v="1"/>
    <n v="99"/>
    <x v="34"/>
    <x v="3"/>
    <s v="Peach"/>
    <x v="0"/>
    <n v="3.3"/>
    <s v="No"/>
    <x v="3"/>
    <s v="No"/>
    <n v="46"/>
    <x v="2"/>
    <s v="Quarterly"/>
    <n v="0.1"/>
    <n v="89.1"/>
    <n v="99"/>
    <s v="Credit Card"/>
    <s v="Normal"/>
    <s v="Good"/>
  </r>
  <r>
    <n v="1943"/>
    <n v="63"/>
    <x v="0"/>
    <x v="13"/>
    <x v="0"/>
    <n v="28"/>
    <x v="15"/>
    <x v="2"/>
    <s v="Cyan"/>
    <x v="3"/>
    <n v="3.4"/>
    <s v="No"/>
    <x v="0"/>
    <s v="No"/>
    <n v="22"/>
    <x v="3"/>
    <s v="Monthly"/>
    <n v="0.1"/>
    <n v="25.2"/>
    <n v="28"/>
    <s v="PayPal"/>
    <s v="Normal"/>
    <s v="Good"/>
  </r>
  <r>
    <n v="1944"/>
    <n v="32"/>
    <x v="0"/>
    <x v="20"/>
    <x v="0"/>
    <n v="53"/>
    <x v="48"/>
    <x v="0"/>
    <s v="Violet"/>
    <x v="2"/>
    <n v="3.8"/>
    <s v="No"/>
    <x v="2"/>
    <s v="No"/>
    <n v="45"/>
    <x v="1"/>
    <s v="Annually"/>
    <n v="0.1"/>
    <n v="47.7"/>
    <n v="53"/>
    <s v="Cash"/>
    <s v="Normal"/>
    <s v="Good"/>
  </r>
  <r>
    <n v="1945"/>
    <n v="30"/>
    <x v="0"/>
    <x v="15"/>
    <x v="0"/>
    <n v="45"/>
    <x v="10"/>
    <x v="2"/>
    <s v="Gold"/>
    <x v="0"/>
    <n v="2.7"/>
    <s v="No"/>
    <x v="1"/>
    <s v="No"/>
    <n v="49"/>
    <x v="1"/>
    <s v="Every 3 Months"/>
    <n v="0.1"/>
    <n v="40.5"/>
    <n v="45"/>
    <s v="Cash"/>
    <s v="Normal"/>
    <s v="Poor"/>
  </r>
  <r>
    <n v="1946"/>
    <n v="35"/>
    <x v="0"/>
    <x v="15"/>
    <x v="0"/>
    <n v="38"/>
    <x v="42"/>
    <x v="2"/>
    <s v="Gold"/>
    <x v="0"/>
    <n v="2.9"/>
    <s v="No"/>
    <x v="4"/>
    <s v="No"/>
    <n v="9"/>
    <x v="2"/>
    <s v="Every 3 Months"/>
    <n v="0.1"/>
    <n v="34.200000000000003"/>
    <n v="38"/>
    <s v="Credit Card"/>
    <s v="Normal"/>
    <s v="Poor"/>
  </r>
  <r>
    <n v="1947"/>
    <n v="59"/>
    <x v="0"/>
    <x v="13"/>
    <x v="0"/>
    <n v="49"/>
    <x v="7"/>
    <x v="2"/>
    <s v="White"/>
    <x v="2"/>
    <n v="4.5"/>
    <s v="No"/>
    <x v="3"/>
    <s v="No"/>
    <n v="41"/>
    <x v="2"/>
    <s v="Quarterly"/>
    <n v="0.1"/>
    <n v="44.1"/>
    <n v="49"/>
    <s v="Credit Card"/>
    <s v="Normal"/>
    <s v="Good"/>
  </r>
  <r>
    <n v="1948"/>
    <n v="59"/>
    <x v="0"/>
    <x v="5"/>
    <x v="0"/>
    <n v="32"/>
    <x v="14"/>
    <x v="2"/>
    <s v="Gray"/>
    <x v="2"/>
    <n v="2.6"/>
    <s v="No"/>
    <x v="5"/>
    <s v="No"/>
    <n v="2"/>
    <x v="3"/>
    <s v="Monthly"/>
    <n v="0.1"/>
    <n v="28.8"/>
    <n v="32"/>
    <s v="PayPal"/>
    <s v="Normal"/>
    <s v="Poor"/>
  </r>
  <r>
    <n v="1949"/>
    <n v="54"/>
    <x v="0"/>
    <x v="17"/>
    <x v="0"/>
    <n v="37"/>
    <x v="39"/>
    <x v="0"/>
    <s v="Brown"/>
    <x v="0"/>
    <n v="3.1"/>
    <s v="No"/>
    <x v="2"/>
    <s v="No"/>
    <n v="39"/>
    <x v="3"/>
    <s v="Bi-Weekly"/>
    <n v="0.1"/>
    <n v="33.299999999999997"/>
    <n v="37"/>
    <s v="PayPal"/>
    <s v="Normal"/>
    <s v="Good"/>
  </r>
  <r>
    <n v="1950"/>
    <n v="63"/>
    <x v="0"/>
    <x v="10"/>
    <x v="0"/>
    <n v="80"/>
    <x v="43"/>
    <x v="0"/>
    <s v="Gray"/>
    <x v="0"/>
    <n v="4.7"/>
    <s v="No"/>
    <x v="5"/>
    <s v="No"/>
    <n v="12"/>
    <x v="3"/>
    <s v="Quarterly"/>
    <n v="0.1"/>
    <n v="72"/>
    <n v="80"/>
    <s v="PayPal"/>
    <s v="Normal"/>
    <s v="Good"/>
  </r>
  <r>
    <n v="1951"/>
    <n v="43"/>
    <x v="0"/>
    <x v="21"/>
    <x v="3"/>
    <n v="78"/>
    <x v="10"/>
    <x v="0"/>
    <s v="Blue"/>
    <x v="2"/>
    <n v="4.5999999999999996"/>
    <s v="No"/>
    <x v="1"/>
    <s v="No"/>
    <n v="26"/>
    <x v="3"/>
    <s v="Every 3 Months"/>
    <n v="0.1"/>
    <n v="70.2"/>
    <n v="78"/>
    <s v="PayPal"/>
    <s v="Normal"/>
    <s v="Good"/>
  </r>
  <r>
    <n v="1952"/>
    <n v="33"/>
    <x v="0"/>
    <x v="24"/>
    <x v="3"/>
    <n v="53"/>
    <x v="39"/>
    <x v="0"/>
    <s v="Gold"/>
    <x v="2"/>
    <n v="2.7"/>
    <s v="No"/>
    <x v="2"/>
    <s v="No"/>
    <n v="32"/>
    <x v="4"/>
    <s v="Bi-Weekly"/>
    <n v="0.1"/>
    <n v="47.7"/>
    <n v="53"/>
    <s v="Bank Transfer"/>
    <s v="Normal"/>
    <s v="Poor"/>
  </r>
  <r>
    <n v="1953"/>
    <n v="57"/>
    <x v="0"/>
    <x v="9"/>
    <x v="1"/>
    <n v="82"/>
    <x v="33"/>
    <x v="0"/>
    <s v="Yellow"/>
    <x v="2"/>
    <n v="4.5999999999999996"/>
    <s v="No"/>
    <x v="4"/>
    <s v="No"/>
    <n v="50"/>
    <x v="1"/>
    <s v="Bi-Weekly"/>
    <n v="0.1"/>
    <n v="73.8"/>
    <n v="82"/>
    <s v="Cash"/>
    <s v="Normal"/>
    <s v="Good"/>
  </r>
  <r>
    <n v="1954"/>
    <n v="25"/>
    <x v="0"/>
    <x v="11"/>
    <x v="0"/>
    <n v="33"/>
    <x v="24"/>
    <x v="3"/>
    <s v="Green"/>
    <x v="1"/>
    <n v="4.8"/>
    <s v="No"/>
    <x v="3"/>
    <s v="No"/>
    <n v="3"/>
    <x v="3"/>
    <s v="Fortnightly"/>
    <n v="0.1"/>
    <n v="29.7"/>
    <n v="33"/>
    <s v="PayPal"/>
    <s v="Normal"/>
    <s v="Good"/>
  </r>
  <r>
    <n v="1955"/>
    <n v="26"/>
    <x v="0"/>
    <x v="24"/>
    <x v="3"/>
    <n v="77"/>
    <x v="24"/>
    <x v="2"/>
    <s v="Pink"/>
    <x v="0"/>
    <n v="4.2"/>
    <s v="No"/>
    <x v="1"/>
    <s v="No"/>
    <n v="3"/>
    <x v="0"/>
    <s v="Quarterly"/>
    <n v="0.1"/>
    <n v="69.3"/>
    <n v="77"/>
    <s v="Venmo"/>
    <s v="Normal"/>
    <s v="Good"/>
  </r>
  <r>
    <n v="1956"/>
    <n v="50"/>
    <x v="0"/>
    <x v="15"/>
    <x v="0"/>
    <n v="56"/>
    <x v="1"/>
    <x v="2"/>
    <s v="Pink"/>
    <x v="0"/>
    <n v="4.9000000000000004"/>
    <s v="No"/>
    <x v="0"/>
    <s v="No"/>
    <n v="37"/>
    <x v="1"/>
    <s v="Monthly"/>
    <n v="0.1"/>
    <n v="50.4"/>
    <n v="56"/>
    <s v="Cash"/>
    <s v="Normal"/>
    <s v="Good"/>
  </r>
  <r>
    <n v="1957"/>
    <n v="70"/>
    <x v="0"/>
    <x v="20"/>
    <x v="0"/>
    <n v="37"/>
    <x v="19"/>
    <x v="2"/>
    <s v="Pink"/>
    <x v="0"/>
    <n v="4.9000000000000004"/>
    <s v="No"/>
    <x v="0"/>
    <s v="No"/>
    <n v="20"/>
    <x v="2"/>
    <s v="Fortnightly"/>
    <n v="0.1"/>
    <n v="33.299999999999997"/>
    <n v="37"/>
    <s v="Credit Card"/>
    <s v="Normal"/>
    <s v="Good"/>
  </r>
  <r>
    <n v="1958"/>
    <n v="68"/>
    <x v="0"/>
    <x v="24"/>
    <x v="3"/>
    <n v="54"/>
    <x v="36"/>
    <x v="2"/>
    <s v="Cyan"/>
    <x v="1"/>
    <n v="4.5"/>
    <s v="No"/>
    <x v="5"/>
    <s v="No"/>
    <n v="26"/>
    <x v="1"/>
    <s v="Bi-Weekly"/>
    <n v="0.1"/>
    <n v="48.6"/>
    <n v="54"/>
    <s v="Cash"/>
    <s v="Normal"/>
    <s v="Good"/>
  </r>
  <r>
    <n v="1959"/>
    <n v="39"/>
    <x v="0"/>
    <x v="6"/>
    <x v="0"/>
    <n v="67"/>
    <x v="22"/>
    <x v="2"/>
    <s v="Gray"/>
    <x v="0"/>
    <n v="2.7"/>
    <s v="No"/>
    <x v="5"/>
    <s v="No"/>
    <n v="47"/>
    <x v="1"/>
    <s v="Quarterly"/>
    <n v="0.1"/>
    <n v="60.3"/>
    <n v="67"/>
    <s v="Cash"/>
    <s v="Normal"/>
    <s v="Poor"/>
  </r>
  <r>
    <n v="1960"/>
    <n v="46"/>
    <x v="0"/>
    <x v="9"/>
    <x v="1"/>
    <n v="90"/>
    <x v="24"/>
    <x v="2"/>
    <s v="White"/>
    <x v="3"/>
    <n v="3.1"/>
    <s v="No"/>
    <x v="5"/>
    <s v="No"/>
    <n v="7"/>
    <x v="2"/>
    <s v="Every 3 Months"/>
    <n v="0.1"/>
    <n v="81"/>
    <n v="90"/>
    <s v="Credit Card"/>
    <s v="Normal"/>
    <s v="Good"/>
  </r>
  <r>
    <n v="1961"/>
    <n v="57"/>
    <x v="0"/>
    <x v="2"/>
    <x v="0"/>
    <n v="72"/>
    <x v="2"/>
    <x v="0"/>
    <s v="Red"/>
    <x v="2"/>
    <n v="3.3"/>
    <s v="No"/>
    <x v="4"/>
    <s v="No"/>
    <n v="40"/>
    <x v="2"/>
    <s v="Annually"/>
    <n v="0.1"/>
    <n v="64.8"/>
    <n v="72"/>
    <s v="Credit Card"/>
    <s v="Normal"/>
    <s v="Good"/>
  </r>
  <r>
    <n v="1962"/>
    <n v="47"/>
    <x v="0"/>
    <x v="23"/>
    <x v="1"/>
    <n v="59"/>
    <x v="22"/>
    <x v="0"/>
    <s v="Black"/>
    <x v="2"/>
    <n v="2.6"/>
    <s v="No"/>
    <x v="1"/>
    <s v="No"/>
    <n v="45"/>
    <x v="5"/>
    <s v="Quarterly"/>
    <n v="0.1"/>
    <n v="53.1"/>
    <n v="59"/>
    <s v="Debit Card"/>
    <s v="Normal"/>
    <s v="Poor"/>
  </r>
  <r>
    <n v="1963"/>
    <n v="40"/>
    <x v="0"/>
    <x v="19"/>
    <x v="3"/>
    <n v="45"/>
    <x v="44"/>
    <x v="2"/>
    <s v="Silver"/>
    <x v="3"/>
    <n v="4.4000000000000004"/>
    <s v="No"/>
    <x v="3"/>
    <s v="No"/>
    <n v="20"/>
    <x v="3"/>
    <s v="Fortnightly"/>
    <n v="0.1"/>
    <n v="40.5"/>
    <n v="45"/>
    <s v="PayPal"/>
    <s v="Normal"/>
    <s v="Good"/>
  </r>
  <r>
    <n v="1964"/>
    <n v="52"/>
    <x v="0"/>
    <x v="6"/>
    <x v="0"/>
    <n v="30"/>
    <x v="49"/>
    <x v="0"/>
    <s v="Pink"/>
    <x v="1"/>
    <n v="3.9"/>
    <s v="No"/>
    <x v="3"/>
    <s v="No"/>
    <n v="11"/>
    <x v="2"/>
    <s v="Weekly"/>
    <n v="0.1"/>
    <n v="27"/>
    <n v="30"/>
    <s v="Credit Card"/>
    <s v="Normal"/>
    <s v="Good"/>
  </r>
  <r>
    <n v="1965"/>
    <n v="40"/>
    <x v="0"/>
    <x v="13"/>
    <x v="0"/>
    <n v="51"/>
    <x v="8"/>
    <x v="1"/>
    <s v="Cyan"/>
    <x v="2"/>
    <n v="4.5999999999999996"/>
    <s v="No"/>
    <x v="0"/>
    <s v="No"/>
    <n v="50"/>
    <x v="5"/>
    <s v="Monthly"/>
    <n v="0.1"/>
    <n v="45.9"/>
    <n v="51"/>
    <s v="Debit Card"/>
    <s v="Normal"/>
    <s v="Good"/>
  </r>
  <r>
    <n v="1966"/>
    <n v="67"/>
    <x v="0"/>
    <x v="1"/>
    <x v="0"/>
    <n v="90"/>
    <x v="27"/>
    <x v="2"/>
    <s v="White"/>
    <x v="3"/>
    <n v="4.9000000000000004"/>
    <s v="No"/>
    <x v="0"/>
    <s v="No"/>
    <n v="25"/>
    <x v="5"/>
    <s v="Quarterly"/>
    <n v="0.1"/>
    <n v="81"/>
    <n v="90"/>
    <s v="Debit Card"/>
    <s v="Normal"/>
    <s v="Good"/>
  </r>
  <r>
    <n v="1967"/>
    <n v="67"/>
    <x v="0"/>
    <x v="14"/>
    <x v="2"/>
    <n v="95"/>
    <x v="27"/>
    <x v="3"/>
    <s v="Purple"/>
    <x v="0"/>
    <n v="3.7"/>
    <s v="No"/>
    <x v="0"/>
    <s v="No"/>
    <n v="5"/>
    <x v="2"/>
    <s v="Fortnightly"/>
    <n v="0.1"/>
    <n v="85.5"/>
    <n v="95"/>
    <s v="Credit Card"/>
    <s v="Normal"/>
    <s v="Good"/>
  </r>
  <r>
    <n v="1968"/>
    <n v="37"/>
    <x v="0"/>
    <x v="10"/>
    <x v="0"/>
    <n v="81"/>
    <x v="42"/>
    <x v="0"/>
    <s v="Yellow"/>
    <x v="3"/>
    <n v="3.7"/>
    <s v="No"/>
    <x v="3"/>
    <s v="No"/>
    <n v="4"/>
    <x v="0"/>
    <s v="Annually"/>
    <n v="0.1"/>
    <n v="72.900000000000006"/>
    <n v="81"/>
    <s v="Venmo"/>
    <s v="Normal"/>
    <s v="Good"/>
  </r>
  <r>
    <n v="1969"/>
    <n v="67"/>
    <x v="0"/>
    <x v="5"/>
    <x v="0"/>
    <n v="70"/>
    <x v="46"/>
    <x v="1"/>
    <s v="Blue"/>
    <x v="1"/>
    <n v="4.2"/>
    <s v="No"/>
    <x v="3"/>
    <s v="No"/>
    <n v="25"/>
    <x v="2"/>
    <s v="Weekly"/>
    <n v="0.1"/>
    <n v="63"/>
    <n v="70"/>
    <s v="Credit Card"/>
    <s v="Normal"/>
    <s v="Good"/>
  </r>
  <r>
    <n v="1970"/>
    <n v="64"/>
    <x v="0"/>
    <x v="10"/>
    <x v="0"/>
    <n v="32"/>
    <x v="7"/>
    <x v="1"/>
    <s v="Cyan"/>
    <x v="0"/>
    <n v="3.5"/>
    <s v="No"/>
    <x v="2"/>
    <s v="No"/>
    <n v="11"/>
    <x v="4"/>
    <s v="Fortnightly"/>
    <n v="0.1"/>
    <n v="28.8"/>
    <n v="32"/>
    <s v="Bank Transfer"/>
    <s v="Normal"/>
    <s v="Good"/>
  </r>
  <r>
    <n v="1971"/>
    <n v="28"/>
    <x v="0"/>
    <x v="22"/>
    <x v="3"/>
    <n v="94"/>
    <x v="33"/>
    <x v="2"/>
    <s v="Indigo"/>
    <x v="1"/>
    <n v="2.9"/>
    <s v="No"/>
    <x v="2"/>
    <s v="No"/>
    <n v="4"/>
    <x v="2"/>
    <s v="Bi-Weekly"/>
    <n v="0.1"/>
    <n v="84.6"/>
    <n v="94"/>
    <s v="Credit Card"/>
    <s v="Normal"/>
    <s v="Poor"/>
  </r>
  <r>
    <n v="1972"/>
    <n v="54"/>
    <x v="0"/>
    <x v="19"/>
    <x v="3"/>
    <n v="29"/>
    <x v="38"/>
    <x v="3"/>
    <s v="Indigo"/>
    <x v="1"/>
    <n v="3.4"/>
    <s v="No"/>
    <x v="2"/>
    <s v="No"/>
    <n v="1"/>
    <x v="0"/>
    <s v="Monthly"/>
    <n v="0.1"/>
    <n v="26.1"/>
    <n v="29"/>
    <s v="Venmo"/>
    <s v="Normal"/>
    <s v="Good"/>
  </r>
  <r>
    <n v="1973"/>
    <n v="54"/>
    <x v="0"/>
    <x v="21"/>
    <x v="3"/>
    <n v="31"/>
    <x v="7"/>
    <x v="2"/>
    <s v="Silver"/>
    <x v="2"/>
    <n v="3.3"/>
    <s v="No"/>
    <x v="0"/>
    <s v="No"/>
    <n v="48"/>
    <x v="3"/>
    <s v="Every 3 Months"/>
    <n v="0.1"/>
    <n v="27.9"/>
    <n v="31"/>
    <s v="PayPal"/>
    <s v="Normal"/>
    <s v="Good"/>
  </r>
  <r>
    <n v="1974"/>
    <n v="24"/>
    <x v="0"/>
    <x v="11"/>
    <x v="0"/>
    <n v="20"/>
    <x v="33"/>
    <x v="3"/>
    <s v="Red"/>
    <x v="3"/>
    <n v="4.5"/>
    <s v="No"/>
    <x v="3"/>
    <s v="No"/>
    <n v="9"/>
    <x v="0"/>
    <s v="Every 3 Months"/>
    <n v="0.1"/>
    <n v="18"/>
    <n v="20"/>
    <s v="Venmo"/>
    <s v="Normal"/>
    <s v="Good"/>
  </r>
  <r>
    <n v="1975"/>
    <n v="27"/>
    <x v="0"/>
    <x v="24"/>
    <x v="3"/>
    <n v="44"/>
    <x v="30"/>
    <x v="2"/>
    <s v="Peach"/>
    <x v="0"/>
    <n v="4.5999999999999996"/>
    <s v="No"/>
    <x v="4"/>
    <s v="No"/>
    <n v="2"/>
    <x v="3"/>
    <s v="Fortnightly"/>
    <n v="0.1"/>
    <n v="39.6"/>
    <n v="44"/>
    <s v="PayPal"/>
    <s v="Normal"/>
    <s v="Good"/>
  </r>
  <r>
    <n v="1976"/>
    <n v="53"/>
    <x v="0"/>
    <x v="14"/>
    <x v="2"/>
    <n v="77"/>
    <x v="26"/>
    <x v="0"/>
    <s v="Turquoise"/>
    <x v="3"/>
    <n v="2.9"/>
    <s v="No"/>
    <x v="0"/>
    <s v="No"/>
    <n v="4"/>
    <x v="1"/>
    <s v="Quarterly"/>
    <n v="0.1"/>
    <n v="69.3"/>
    <n v="77"/>
    <s v="Cash"/>
    <s v="Normal"/>
    <s v="Poor"/>
  </r>
  <r>
    <n v="1977"/>
    <n v="32"/>
    <x v="0"/>
    <x v="8"/>
    <x v="3"/>
    <n v="51"/>
    <x v="5"/>
    <x v="2"/>
    <s v="Pink"/>
    <x v="1"/>
    <n v="3.2"/>
    <s v="No"/>
    <x v="2"/>
    <s v="No"/>
    <n v="43"/>
    <x v="3"/>
    <s v="Fortnightly"/>
    <n v="0.1"/>
    <n v="45.9"/>
    <n v="51"/>
    <s v="PayPal"/>
    <s v="Normal"/>
    <s v="Good"/>
  </r>
  <r>
    <n v="1978"/>
    <n v="24"/>
    <x v="0"/>
    <x v="3"/>
    <x v="1"/>
    <n v="49"/>
    <x v="20"/>
    <x v="2"/>
    <s v="Teal"/>
    <x v="2"/>
    <n v="2.6"/>
    <s v="No"/>
    <x v="1"/>
    <s v="No"/>
    <n v="32"/>
    <x v="4"/>
    <s v="Annually"/>
    <n v="0.1"/>
    <n v="44.1"/>
    <n v="49"/>
    <s v="Bank Transfer"/>
    <s v="Normal"/>
    <s v="Poor"/>
  </r>
  <r>
    <n v="1979"/>
    <n v="45"/>
    <x v="0"/>
    <x v="12"/>
    <x v="3"/>
    <n v="78"/>
    <x v="2"/>
    <x v="0"/>
    <s v="Magenta"/>
    <x v="1"/>
    <n v="3.8"/>
    <s v="No"/>
    <x v="5"/>
    <s v="No"/>
    <n v="1"/>
    <x v="1"/>
    <s v="Quarterly"/>
    <n v="0.1"/>
    <n v="70.2"/>
    <n v="78"/>
    <s v="Cash"/>
    <s v="Normal"/>
    <s v="Good"/>
  </r>
  <r>
    <n v="1980"/>
    <n v="49"/>
    <x v="0"/>
    <x v="2"/>
    <x v="0"/>
    <n v="98"/>
    <x v="30"/>
    <x v="0"/>
    <s v="Blue"/>
    <x v="1"/>
    <n v="2.8"/>
    <s v="No"/>
    <x v="5"/>
    <s v="No"/>
    <n v="38"/>
    <x v="5"/>
    <s v="Fortnightly"/>
    <n v="0.1"/>
    <n v="88.2"/>
    <n v="98"/>
    <s v="Debit Card"/>
    <s v="Normal"/>
    <s v="Poor"/>
  </r>
  <r>
    <n v="1981"/>
    <n v="51"/>
    <x v="0"/>
    <x v="3"/>
    <x v="1"/>
    <n v="94"/>
    <x v="44"/>
    <x v="2"/>
    <s v="Green"/>
    <x v="0"/>
    <n v="4.4000000000000004"/>
    <s v="No"/>
    <x v="5"/>
    <s v="No"/>
    <n v="25"/>
    <x v="3"/>
    <s v="Fortnightly"/>
    <n v="0.1"/>
    <n v="84.6"/>
    <n v="94"/>
    <s v="PayPal"/>
    <s v="Normal"/>
    <s v="Good"/>
  </r>
  <r>
    <n v="1982"/>
    <n v="69"/>
    <x v="0"/>
    <x v="9"/>
    <x v="1"/>
    <n v="91"/>
    <x v="49"/>
    <x v="0"/>
    <s v="Violet"/>
    <x v="2"/>
    <n v="4.7"/>
    <s v="No"/>
    <x v="0"/>
    <s v="No"/>
    <n v="42"/>
    <x v="3"/>
    <s v="Quarterly"/>
    <n v="0.1"/>
    <n v="81.900000000000006"/>
    <n v="91"/>
    <s v="PayPal"/>
    <s v="Normal"/>
    <s v="Good"/>
  </r>
  <r>
    <n v="1983"/>
    <n v="41"/>
    <x v="0"/>
    <x v="12"/>
    <x v="3"/>
    <n v="77"/>
    <x v="23"/>
    <x v="2"/>
    <s v="Turquoise"/>
    <x v="2"/>
    <n v="2.7"/>
    <s v="No"/>
    <x v="4"/>
    <s v="No"/>
    <n v="32"/>
    <x v="3"/>
    <s v="Monthly"/>
    <n v="0.1"/>
    <n v="69.3"/>
    <n v="77"/>
    <s v="PayPal"/>
    <s v="Normal"/>
    <s v="Poor"/>
  </r>
  <r>
    <n v="1984"/>
    <n v="59"/>
    <x v="0"/>
    <x v="18"/>
    <x v="3"/>
    <n v="97"/>
    <x v="42"/>
    <x v="2"/>
    <s v="Pink"/>
    <x v="2"/>
    <n v="2.6"/>
    <s v="No"/>
    <x v="2"/>
    <s v="No"/>
    <n v="21"/>
    <x v="5"/>
    <s v="Quarterly"/>
    <n v="0.1"/>
    <n v="87.3"/>
    <n v="97"/>
    <s v="Debit Card"/>
    <s v="Normal"/>
    <s v="Poor"/>
  </r>
  <r>
    <n v="1985"/>
    <n v="26"/>
    <x v="0"/>
    <x v="11"/>
    <x v="0"/>
    <n v="58"/>
    <x v="8"/>
    <x v="2"/>
    <s v="Black"/>
    <x v="2"/>
    <n v="3.4"/>
    <s v="No"/>
    <x v="4"/>
    <s v="No"/>
    <n v="26"/>
    <x v="3"/>
    <s v="Fortnightly"/>
    <n v="0.1"/>
    <n v="52.2"/>
    <n v="58"/>
    <s v="PayPal"/>
    <s v="Normal"/>
    <s v="Good"/>
  </r>
  <r>
    <n v="1986"/>
    <n v="23"/>
    <x v="0"/>
    <x v="24"/>
    <x v="3"/>
    <n v="97"/>
    <x v="30"/>
    <x v="2"/>
    <s v="Gold"/>
    <x v="1"/>
    <n v="3.9"/>
    <s v="No"/>
    <x v="4"/>
    <s v="No"/>
    <n v="6"/>
    <x v="2"/>
    <s v="Fortnightly"/>
    <n v="0.1"/>
    <n v="87.3"/>
    <n v="97"/>
    <s v="Credit Card"/>
    <s v="Normal"/>
    <s v="Good"/>
  </r>
  <r>
    <n v="1987"/>
    <n v="62"/>
    <x v="0"/>
    <x v="7"/>
    <x v="2"/>
    <n v="48"/>
    <x v="10"/>
    <x v="0"/>
    <s v="Green"/>
    <x v="2"/>
    <n v="3.4"/>
    <s v="No"/>
    <x v="4"/>
    <s v="No"/>
    <n v="14"/>
    <x v="0"/>
    <s v="Quarterly"/>
    <n v="0.1"/>
    <n v="43.2"/>
    <n v="48"/>
    <s v="Venmo"/>
    <s v="Normal"/>
    <s v="Good"/>
  </r>
  <r>
    <n v="1988"/>
    <n v="69"/>
    <x v="0"/>
    <x v="22"/>
    <x v="3"/>
    <n v="23"/>
    <x v="34"/>
    <x v="3"/>
    <s v="White"/>
    <x v="2"/>
    <n v="3.4"/>
    <s v="No"/>
    <x v="0"/>
    <s v="No"/>
    <n v="4"/>
    <x v="1"/>
    <s v="Quarterly"/>
    <n v="0.1"/>
    <n v="20.7"/>
    <n v="23"/>
    <s v="Cash"/>
    <s v="Normal"/>
    <s v="Good"/>
  </r>
  <r>
    <n v="1989"/>
    <n v="46"/>
    <x v="0"/>
    <x v="13"/>
    <x v="0"/>
    <n v="79"/>
    <x v="41"/>
    <x v="2"/>
    <s v="Gold"/>
    <x v="0"/>
    <n v="3.9"/>
    <s v="No"/>
    <x v="1"/>
    <s v="No"/>
    <n v="26"/>
    <x v="4"/>
    <s v="Weekly"/>
    <n v="0.1"/>
    <n v="71.099999999999994"/>
    <n v="79"/>
    <s v="Bank Transfer"/>
    <s v="Normal"/>
    <s v="Good"/>
  </r>
  <r>
    <n v="1990"/>
    <n v="35"/>
    <x v="0"/>
    <x v="16"/>
    <x v="3"/>
    <n v="42"/>
    <x v="33"/>
    <x v="1"/>
    <s v="Charcoal"/>
    <x v="1"/>
    <n v="4"/>
    <s v="No"/>
    <x v="0"/>
    <s v="No"/>
    <n v="39"/>
    <x v="3"/>
    <s v="Bi-Weekly"/>
    <n v="0.1"/>
    <n v="37.799999999999997"/>
    <n v="42"/>
    <s v="PayPal"/>
    <s v="Normal"/>
    <s v="Good"/>
  </r>
  <r>
    <n v="1991"/>
    <n v="32"/>
    <x v="0"/>
    <x v="21"/>
    <x v="3"/>
    <n v="95"/>
    <x v="39"/>
    <x v="0"/>
    <s v="White"/>
    <x v="1"/>
    <n v="3.4"/>
    <s v="No"/>
    <x v="4"/>
    <s v="No"/>
    <n v="15"/>
    <x v="3"/>
    <s v="Annually"/>
    <n v="0.1"/>
    <n v="85.5"/>
    <n v="95"/>
    <s v="PayPal"/>
    <s v="Normal"/>
    <s v="Good"/>
  </r>
  <r>
    <n v="1992"/>
    <n v="46"/>
    <x v="0"/>
    <x v="4"/>
    <x v="1"/>
    <n v="29"/>
    <x v="9"/>
    <x v="2"/>
    <s v="Brown"/>
    <x v="2"/>
    <n v="3.7"/>
    <s v="No"/>
    <x v="2"/>
    <s v="No"/>
    <n v="1"/>
    <x v="0"/>
    <s v="Every 3 Months"/>
    <n v="0.1"/>
    <n v="26.1"/>
    <n v="29"/>
    <s v="Venmo"/>
    <s v="Normal"/>
    <s v="Good"/>
  </r>
  <r>
    <n v="1993"/>
    <n v="33"/>
    <x v="0"/>
    <x v="15"/>
    <x v="0"/>
    <n v="98"/>
    <x v="32"/>
    <x v="0"/>
    <s v="Gold"/>
    <x v="0"/>
    <n v="4.9000000000000004"/>
    <s v="No"/>
    <x v="4"/>
    <s v="No"/>
    <n v="28"/>
    <x v="0"/>
    <s v="Monthly"/>
    <n v="0.1"/>
    <n v="88.2"/>
    <n v="98"/>
    <s v="Venmo"/>
    <s v="Normal"/>
    <s v="Good"/>
  </r>
  <r>
    <n v="1994"/>
    <n v="32"/>
    <x v="0"/>
    <x v="0"/>
    <x v="0"/>
    <n v="96"/>
    <x v="10"/>
    <x v="1"/>
    <s v="Purple"/>
    <x v="1"/>
    <n v="5"/>
    <s v="No"/>
    <x v="0"/>
    <s v="No"/>
    <n v="17"/>
    <x v="1"/>
    <s v="Weekly"/>
    <n v="0.1"/>
    <n v="86.4"/>
    <n v="96"/>
    <s v="Cash"/>
    <s v="Normal"/>
    <s v="Good"/>
  </r>
  <r>
    <n v="1995"/>
    <n v="33"/>
    <x v="0"/>
    <x v="12"/>
    <x v="3"/>
    <n v="66"/>
    <x v="22"/>
    <x v="2"/>
    <s v="Brown"/>
    <x v="3"/>
    <n v="2.9"/>
    <s v="No"/>
    <x v="2"/>
    <s v="No"/>
    <n v="24"/>
    <x v="2"/>
    <s v="Weekly"/>
    <n v="0.1"/>
    <n v="59.4"/>
    <n v="66"/>
    <s v="Credit Card"/>
    <s v="Normal"/>
    <s v="Poor"/>
  </r>
  <r>
    <n v="1996"/>
    <n v="67"/>
    <x v="0"/>
    <x v="23"/>
    <x v="1"/>
    <n v="80"/>
    <x v="9"/>
    <x v="1"/>
    <s v="Teal"/>
    <x v="1"/>
    <n v="3"/>
    <s v="No"/>
    <x v="3"/>
    <s v="No"/>
    <n v="29"/>
    <x v="5"/>
    <s v="Quarterly"/>
    <n v="0.1"/>
    <n v="72"/>
    <n v="80"/>
    <s v="Debit Card"/>
    <s v="Normal"/>
    <s v="Good"/>
  </r>
  <r>
    <n v="1997"/>
    <n v="67"/>
    <x v="0"/>
    <x v="4"/>
    <x v="1"/>
    <n v="27"/>
    <x v="45"/>
    <x v="0"/>
    <s v="Indigo"/>
    <x v="2"/>
    <n v="3.3"/>
    <s v="No"/>
    <x v="2"/>
    <s v="No"/>
    <n v="18"/>
    <x v="1"/>
    <s v="Every 3 Months"/>
    <n v="0.1"/>
    <n v="24.3"/>
    <n v="27"/>
    <s v="Cash"/>
    <s v="Normal"/>
    <s v="Good"/>
  </r>
  <r>
    <n v="1998"/>
    <n v="42"/>
    <x v="0"/>
    <x v="21"/>
    <x v="3"/>
    <n v="25"/>
    <x v="39"/>
    <x v="2"/>
    <s v="Purple"/>
    <x v="3"/>
    <n v="4.7"/>
    <s v="No"/>
    <x v="0"/>
    <s v="No"/>
    <n v="10"/>
    <x v="5"/>
    <s v="Bi-Weekly"/>
    <n v="0.1"/>
    <n v="22.5"/>
    <n v="25"/>
    <s v="Debit Card"/>
    <s v="Normal"/>
    <s v="Good"/>
  </r>
  <r>
    <n v="1999"/>
    <n v="20"/>
    <x v="0"/>
    <x v="13"/>
    <x v="0"/>
    <n v="45"/>
    <x v="34"/>
    <x v="2"/>
    <s v="Orange"/>
    <x v="3"/>
    <n v="3.4"/>
    <s v="No"/>
    <x v="4"/>
    <s v="No"/>
    <n v="19"/>
    <x v="1"/>
    <s v="Quarterly"/>
    <n v="0.1"/>
    <n v="40.5"/>
    <n v="45"/>
    <s v="Cash"/>
    <s v="Normal"/>
    <s v="Good"/>
  </r>
  <r>
    <n v="2000"/>
    <n v="39"/>
    <x v="0"/>
    <x v="20"/>
    <x v="0"/>
    <n v="89"/>
    <x v="30"/>
    <x v="0"/>
    <s v="Indigo"/>
    <x v="0"/>
    <n v="4.5999999999999996"/>
    <s v="No"/>
    <x v="4"/>
    <s v="No"/>
    <n v="26"/>
    <x v="5"/>
    <s v="Monthly"/>
    <n v="0.1"/>
    <n v="80.099999999999994"/>
    <n v="89"/>
    <s v="Debit Card"/>
    <s v="Normal"/>
    <s v="Good"/>
  </r>
  <r>
    <n v="2001"/>
    <n v="26"/>
    <x v="0"/>
    <x v="22"/>
    <x v="3"/>
    <n v="27"/>
    <x v="18"/>
    <x v="2"/>
    <s v="Lavender"/>
    <x v="0"/>
    <n v="3.6"/>
    <s v="No"/>
    <x v="4"/>
    <s v="No"/>
    <n v="25"/>
    <x v="1"/>
    <s v="Bi-Weekly"/>
    <n v="0.1"/>
    <n v="24.3"/>
    <n v="27"/>
    <s v="Cash"/>
    <s v="Normal"/>
    <s v="Good"/>
  </r>
  <r>
    <n v="2002"/>
    <n v="51"/>
    <x v="0"/>
    <x v="12"/>
    <x v="3"/>
    <n v="90"/>
    <x v="5"/>
    <x v="1"/>
    <s v="Purple"/>
    <x v="0"/>
    <n v="2.6"/>
    <s v="No"/>
    <x v="1"/>
    <s v="No"/>
    <n v="2"/>
    <x v="5"/>
    <s v="Fortnightly"/>
    <n v="0.1"/>
    <n v="81"/>
    <n v="90"/>
    <s v="Debit Card"/>
    <s v="Normal"/>
    <s v="Poor"/>
  </r>
  <r>
    <n v="2003"/>
    <n v="31"/>
    <x v="0"/>
    <x v="5"/>
    <x v="0"/>
    <n v="65"/>
    <x v="14"/>
    <x v="2"/>
    <s v="Red"/>
    <x v="2"/>
    <n v="2.7"/>
    <s v="No"/>
    <x v="0"/>
    <s v="No"/>
    <n v="19"/>
    <x v="3"/>
    <s v="Every 3 Months"/>
    <n v="0.1"/>
    <n v="58.5"/>
    <n v="65"/>
    <s v="PayPal"/>
    <s v="Normal"/>
    <s v="Poor"/>
  </r>
  <r>
    <n v="2004"/>
    <n v="68"/>
    <x v="0"/>
    <x v="4"/>
    <x v="1"/>
    <n v="72"/>
    <x v="1"/>
    <x v="1"/>
    <s v="Blue"/>
    <x v="1"/>
    <n v="3.1"/>
    <s v="No"/>
    <x v="0"/>
    <s v="No"/>
    <n v="32"/>
    <x v="1"/>
    <s v="Quarterly"/>
    <n v="0.1"/>
    <n v="64.8"/>
    <n v="72"/>
    <s v="Cash"/>
    <s v="Normal"/>
    <s v="Good"/>
  </r>
  <r>
    <n v="2005"/>
    <n v="44"/>
    <x v="0"/>
    <x v="9"/>
    <x v="1"/>
    <n v="70"/>
    <x v="42"/>
    <x v="0"/>
    <s v="Blue"/>
    <x v="3"/>
    <n v="3.2"/>
    <s v="No"/>
    <x v="4"/>
    <s v="No"/>
    <n v="13"/>
    <x v="1"/>
    <s v="Bi-Weekly"/>
    <n v="0.1"/>
    <n v="63"/>
    <n v="70"/>
    <s v="Cash"/>
    <s v="Normal"/>
    <s v="Good"/>
  </r>
  <r>
    <n v="2006"/>
    <n v="18"/>
    <x v="0"/>
    <x v="3"/>
    <x v="1"/>
    <n v="82"/>
    <x v="30"/>
    <x v="2"/>
    <s v="Cyan"/>
    <x v="0"/>
    <n v="3.4"/>
    <s v="No"/>
    <x v="5"/>
    <s v="No"/>
    <n v="30"/>
    <x v="3"/>
    <s v="Fortnightly"/>
    <n v="0.1"/>
    <n v="73.8"/>
    <n v="82"/>
    <s v="PayPal"/>
    <s v="Normal"/>
    <s v="Good"/>
  </r>
  <r>
    <n v="2007"/>
    <n v="58"/>
    <x v="0"/>
    <x v="18"/>
    <x v="3"/>
    <n v="97"/>
    <x v="35"/>
    <x v="1"/>
    <s v="Pink"/>
    <x v="3"/>
    <n v="4.4000000000000004"/>
    <s v="No"/>
    <x v="0"/>
    <s v="No"/>
    <n v="2"/>
    <x v="2"/>
    <s v="Annually"/>
    <n v="0.1"/>
    <n v="87.3"/>
    <n v="97"/>
    <s v="Credit Card"/>
    <s v="Normal"/>
    <s v="Good"/>
  </r>
  <r>
    <n v="2008"/>
    <n v="26"/>
    <x v="0"/>
    <x v="5"/>
    <x v="0"/>
    <n v="25"/>
    <x v="41"/>
    <x v="2"/>
    <s v="Silver"/>
    <x v="2"/>
    <n v="3.2"/>
    <s v="No"/>
    <x v="4"/>
    <s v="No"/>
    <n v="8"/>
    <x v="3"/>
    <s v="Quarterly"/>
    <n v="0.1"/>
    <n v="22.5"/>
    <n v="25"/>
    <s v="PayPal"/>
    <s v="Normal"/>
    <s v="Good"/>
  </r>
  <r>
    <n v="2009"/>
    <n v="57"/>
    <x v="0"/>
    <x v="11"/>
    <x v="0"/>
    <n v="48"/>
    <x v="20"/>
    <x v="2"/>
    <s v="Gray"/>
    <x v="1"/>
    <n v="2.5"/>
    <s v="No"/>
    <x v="1"/>
    <s v="No"/>
    <n v="27"/>
    <x v="3"/>
    <s v="Every 3 Months"/>
    <n v="0.1"/>
    <n v="43.2"/>
    <n v="48"/>
    <s v="PayPal"/>
    <s v="Normal"/>
    <s v="Poor"/>
  </r>
  <r>
    <n v="2010"/>
    <n v="37"/>
    <x v="0"/>
    <x v="23"/>
    <x v="1"/>
    <n v="99"/>
    <x v="15"/>
    <x v="2"/>
    <s v="Indigo"/>
    <x v="2"/>
    <n v="3.8"/>
    <s v="No"/>
    <x v="2"/>
    <s v="No"/>
    <n v="26"/>
    <x v="0"/>
    <s v="Bi-Weekly"/>
    <n v="0.1"/>
    <n v="89.1"/>
    <n v="99"/>
    <s v="Venmo"/>
    <s v="Normal"/>
    <s v="Good"/>
  </r>
  <r>
    <n v="2011"/>
    <n v="24"/>
    <x v="0"/>
    <x v="1"/>
    <x v="0"/>
    <n v="21"/>
    <x v="21"/>
    <x v="2"/>
    <s v="Maroon"/>
    <x v="2"/>
    <n v="4.4000000000000004"/>
    <s v="No"/>
    <x v="4"/>
    <s v="No"/>
    <n v="3"/>
    <x v="5"/>
    <s v="Bi-Weekly"/>
    <n v="0.1"/>
    <n v="18.899999999999999"/>
    <n v="21"/>
    <s v="Debit Card"/>
    <s v="Normal"/>
    <s v="Good"/>
  </r>
  <r>
    <n v="2012"/>
    <n v="57"/>
    <x v="0"/>
    <x v="3"/>
    <x v="1"/>
    <n v="94"/>
    <x v="8"/>
    <x v="2"/>
    <s v="Beige"/>
    <x v="1"/>
    <n v="3.7"/>
    <s v="No"/>
    <x v="0"/>
    <s v="No"/>
    <n v="4"/>
    <x v="4"/>
    <s v="Monthly"/>
    <n v="0.1"/>
    <n v="84.6"/>
    <n v="94"/>
    <s v="Bank Transfer"/>
    <s v="Normal"/>
    <s v="Good"/>
  </r>
  <r>
    <n v="2013"/>
    <n v="48"/>
    <x v="0"/>
    <x v="2"/>
    <x v="0"/>
    <n v="53"/>
    <x v="22"/>
    <x v="0"/>
    <s v="Green"/>
    <x v="3"/>
    <n v="3.2"/>
    <s v="No"/>
    <x v="5"/>
    <s v="No"/>
    <n v="5"/>
    <x v="1"/>
    <s v="Fortnightly"/>
    <n v="0.1"/>
    <n v="47.7"/>
    <n v="53"/>
    <s v="Cash"/>
    <s v="Normal"/>
    <s v="Good"/>
  </r>
  <r>
    <n v="2014"/>
    <n v="39"/>
    <x v="0"/>
    <x v="21"/>
    <x v="3"/>
    <n v="70"/>
    <x v="41"/>
    <x v="2"/>
    <s v="Peach"/>
    <x v="0"/>
    <n v="4.9000000000000004"/>
    <s v="No"/>
    <x v="3"/>
    <s v="No"/>
    <n v="25"/>
    <x v="5"/>
    <s v="Quarterly"/>
    <n v="0.1"/>
    <n v="63"/>
    <n v="70"/>
    <s v="Debit Card"/>
    <s v="Normal"/>
    <s v="Good"/>
  </r>
  <r>
    <n v="2015"/>
    <n v="51"/>
    <x v="0"/>
    <x v="11"/>
    <x v="0"/>
    <n v="26"/>
    <x v="48"/>
    <x v="0"/>
    <s v="Black"/>
    <x v="2"/>
    <n v="3.9"/>
    <s v="No"/>
    <x v="3"/>
    <s v="No"/>
    <n v="47"/>
    <x v="3"/>
    <s v="Bi-Weekly"/>
    <n v="0.1"/>
    <n v="23.4"/>
    <n v="26"/>
    <s v="PayPal"/>
    <s v="Normal"/>
    <s v="Good"/>
  </r>
  <r>
    <n v="2016"/>
    <n v="57"/>
    <x v="0"/>
    <x v="22"/>
    <x v="3"/>
    <n v="82"/>
    <x v="41"/>
    <x v="1"/>
    <s v="Pink"/>
    <x v="2"/>
    <n v="4.5"/>
    <s v="No"/>
    <x v="2"/>
    <s v="No"/>
    <n v="8"/>
    <x v="2"/>
    <s v="Fortnightly"/>
    <n v="0.1"/>
    <n v="73.8"/>
    <n v="82"/>
    <s v="Credit Card"/>
    <s v="Normal"/>
    <s v="Good"/>
  </r>
  <r>
    <n v="2017"/>
    <n v="53"/>
    <x v="0"/>
    <x v="9"/>
    <x v="1"/>
    <n v="47"/>
    <x v="1"/>
    <x v="1"/>
    <s v="Violet"/>
    <x v="0"/>
    <n v="3.4"/>
    <s v="No"/>
    <x v="3"/>
    <s v="No"/>
    <n v="20"/>
    <x v="5"/>
    <s v="Fortnightly"/>
    <n v="0.1"/>
    <n v="42.3"/>
    <n v="47"/>
    <s v="Debit Card"/>
    <s v="Normal"/>
    <s v="Good"/>
  </r>
  <r>
    <n v="2018"/>
    <n v="70"/>
    <x v="0"/>
    <x v="20"/>
    <x v="0"/>
    <n v="32"/>
    <x v="2"/>
    <x v="1"/>
    <s v="Green"/>
    <x v="0"/>
    <n v="4.0999999999999996"/>
    <s v="No"/>
    <x v="2"/>
    <s v="No"/>
    <n v="42"/>
    <x v="4"/>
    <s v="Every 3 Months"/>
    <n v="0.1"/>
    <n v="28.8"/>
    <n v="32"/>
    <s v="Bank Transfer"/>
    <s v="Normal"/>
    <s v="Good"/>
  </r>
  <r>
    <n v="2019"/>
    <n v="60"/>
    <x v="0"/>
    <x v="21"/>
    <x v="3"/>
    <n v="97"/>
    <x v="10"/>
    <x v="1"/>
    <s v="Gold"/>
    <x v="3"/>
    <n v="4.5"/>
    <s v="No"/>
    <x v="5"/>
    <s v="No"/>
    <n v="20"/>
    <x v="4"/>
    <s v="Weekly"/>
    <n v="0.1"/>
    <n v="87.3"/>
    <n v="97"/>
    <s v="Bank Transfer"/>
    <s v="Normal"/>
    <s v="Good"/>
  </r>
  <r>
    <n v="2020"/>
    <n v="31"/>
    <x v="0"/>
    <x v="5"/>
    <x v="0"/>
    <n v="68"/>
    <x v="37"/>
    <x v="1"/>
    <s v="Red"/>
    <x v="0"/>
    <n v="4.7"/>
    <s v="No"/>
    <x v="5"/>
    <s v="No"/>
    <n v="23"/>
    <x v="1"/>
    <s v="Fortnightly"/>
    <n v="0.1"/>
    <n v="61.2"/>
    <n v="68"/>
    <s v="Cash"/>
    <s v="Normal"/>
    <s v="Good"/>
  </r>
  <r>
    <n v="2021"/>
    <n v="41"/>
    <x v="0"/>
    <x v="1"/>
    <x v="0"/>
    <n v="23"/>
    <x v="38"/>
    <x v="2"/>
    <s v="Beige"/>
    <x v="0"/>
    <n v="4.8"/>
    <s v="No"/>
    <x v="2"/>
    <s v="No"/>
    <n v="26"/>
    <x v="1"/>
    <s v="Quarterly"/>
    <n v="0.1"/>
    <n v="20.7"/>
    <n v="23"/>
    <s v="Cash"/>
    <s v="Normal"/>
    <s v="Good"/>
  </r>
  <r>
    <n v="2022"/>
    <n v="62"/>
    <x v="0"/>
    <x v="8"/>
    <x v="3"/>
    <n v="33"/>
    <x v="1"/>
    <x v="2"/>
    <s v="Green"/>
    <x v="0"/>
    <n v="4.4000000000000004"/>
    <s v="No"/>
    <x v="3"/>
    <s v="No"/>
    <n v="48"/>
    <x v="0"/>
    <s v="Quarterly"/>
    <n v="0.1"/>
    <n v="29.7"/>
    <n v="33"/>
    <s v="Venmo"/>
    <s v="Normal"/>
    <s v="Good"/>
  </r>
  <r>
    <n v="2023"/>
    <n v="59"/>
    <x v="0"/>
    <x v="16"/>
    <x v="3"/>
    <n v="38"/>
    <x v="15"/>
    <x v="1"/>
    <s v="Black"/>
    <x v="0"/>
    <n v="4"/>
    <s v="No"/>
    <x v="5"/>
    <s v="No"/>
    <n v="16"/>
    <x v="1"/>
    <s v="Bi-Weekly"/>
    <n v="0.1"/>
    <n v="34.200000000000003"/>
    <n v="38"/>
    <s v="Cash"/>
    <s v="Normal"/>
    <s v="Good"/>
  </r>
  <r>
    <n v="2024"/>
    <n v="46"/>
    <x v="0"/>
    <x v="20"/>
    <x v="0"/>
    <n v="68"/>
    <x v="37"/>
    <x v="1"/>
    <s v="Teal"/>
    <x v="0"/>
    <n v="4.0999999999999996"/>
    <s v="No"/>
    <x v="5"/>
    <s v="No"/>
    <n v="28"/>
    <x v="1"/>
    <s v="Bi-Weekly"/>
    <n v="0.1"/>
    <n v="61.2"/>
    <n v="68"/>
    <s v="Cash"/>
    <s v="Normal"/>
    <s v="Good"/>
  </r>
  <r>
    <n v="2025"/>
    <n v="62"/>
    <x v="0"/>
    <x v="20"/>
    <x v="0"/>
    <n v="23"/>
    <x v="10"/>
    <x v="0"/>
    <s v="Silver"/>
    <x v="3"/>
    <n v="3.7"/>
    <s v="No"/>
    <x v="0"/>
    <s v="No"/>
    <n v="39"/>
    <x v="3"/>
    <s v="Weekly"/>
    <n v="0.1"/>
    <n v="20.7"/>
    <n v="23"/>
    <s v="PayPal"/>
    <s v="Normal"/>
    <s v="Good"/>
  </r>
  <r>
    <n v="2026"/>
    <n v="42"/>
    <x v="0"/>
    <x v="5"/>
    <x v="0"/>
    <n v="29"/>
    <x v="12"/>
    <x v="2"/>
    <s v="Turquoise"/>
    <x v="2"/>
    <n v="3"/>
    <s v="No"/>
    <x v="0"/>
    <s v="No"/>
    <n v="43"/>
    <x v="5"/>
    <s v="Fortnightly"/>
    <n v="0.1"/>
    <n v="26.1"/>
    <n v="29"/>
    <s v="Debit Card"/>
    <s v="Normal"/>
    <s v="Good"/>
  </r>
  <r>
    <n v="2027"/>
    <n v="37"/>
    <x v="0"/>
    <x v="18"/>
    <x v="3"/>
    <n v="35"/>
    <x v="1"/>
    <x v="2"/>
    <s v="Orange"/>
    <x v="0"/>
    <n v="3.6"/>
    <s v="No"/>
    <x v="0"/>
    <s v="No"/>
    <n v="45"/>
    <x v="4"/>
    <s v="Every 3 Months"/>
    <n v="0.1"/>
    <n v="31.5"/>
    <n v="35"/>
    <s v="Bank Transfer"/>
    <s v="Normal"/>
    <s v="Good"/>
  </r>
  <r>
    <n v="2028"/>
    <n v="50"/>
    <x v="0"/>
    <x v="9"/>
    <x v="1"/>
    <n v="73"/>
    <x v="43"/>
    <x v="1"/>
    <s v="Gold"/>
    <x v="3"/>
    <n v="4.8"/>
    <s v="No"/>
    <x v="3"/>
    <s v="No"/>
    <n v="50"/>
    <x v="2"/>
    <s v="Every 3 Months"/>
    <n v="0.1"/>
    <n v="65.7"/>
    <n v="73"/>
    <s v="Credit Card"/>
    <s v="Normal"/>
    <s v="Good"/>
  </r>
  <r>
    <n v="2029"/>
    <n v="29"/>
    <x v="0"/>
    <x v="9"/>
    <x v="1"/>
    <n v="84"/>
    <x v="31"/>
    <x v="3"/>
    <s v="Purple"/>
    <x v="3"/>
    <n v="3.7"/>
    <s v="No"/>
    <x v="4"/>
    <s v="No"/>
    <n v="10"/>
    <x v="0"/>
    <s v="Bi-Weekly"/>
    <n v="0.1"/>
    <n v="75.599999999999994"/>
    <n v="84"/>
    <s v="Venmo"/>
    <s v="Normal"/>
    <s v="Good"/>
  </r>
  <r>
    <n v="2030"/>
    <n v="25"/>
    <x v="0"/>
    <x v="18"/>
    <x v="3"/>
    <n v="23"/>
    <x v="6"/>
    <x v="2"/>
    <s v="Pink"/>
    <x v="1"/>
    <n v="4.5999999999999996"/>
    <s v="No"/>
    <x v="2"/>
    <s v="No"/>
    <n v="40"/>
    <x v="3"/>
    <s v="Quarterly"/>
    <n v="0.1"/>
    <n v="20.7"/>
    <n v="23"/>
    <s v="PayPal"/>
    <s v="Normal"/>
    <s v="Good"/>
  </r>
  <r>
    <n v="2031"/>
    <n v="66"/>
    <x v="0"/>
    <x v="12"/>
    <x v="3"/>
    <n v="67"/>
    <x v="35"/>
    <x v="1"/>
    <s v="Green"/>
    <x v="2"/>
    <n v="2.8"/>
    <s v="No"/>
    <x v="3"/>
    <s v="No"/>
    <n v="38"/>
    <x v="2"/>
    <s v="Monthly"/>
    <n v="0.1"/>
    <n v="60.3"/>
    <n v="67"/>
    <s v="Credit Card"/>
    <s v="Normal"/>
    <s v="Poor"/>
  </r>
  <r>
    <n v="2032"/>
    <n v="21"/>
    <x v="0"/>
    <x v="20"/>
    <x v="0"/>
    <n v="51"/>
    <x v="17"/>
    <x v="0"/>
    <s v="Charcoal"/>
    <x v="1"/>
    <n v="4"/>
    <s v="No"/>
    <x v="3"/>
    <s v="No"/>
    <n v="2"/>
    <x v="2"/>
    <s v="Monthly"/>
    <n v="0.1"/>
    <n v="45.9"/>
    <n v="51"/>
    <s v="Credit Card"/>
    <s v="Normal"/>
    <s v="Good"/>
  </r>
  <r>
    <n v="2033"/>
    <n v="46"/>
    <x v="0"/>
    <x v="0"/>
    <x v="0"/>
    <n v="36"/>
    <x v="36"/>
    <x v="2"/>
    <s v="Maroon"/>
    <x v="0"/>
    <n v="4.2"/>
    <s v="No"/>
    <x v="2"/>
    <s v="No"/>
    <n v="13"/>
    <x v="1"/>
    <s v="Annually"/>
    <n v="0.1"/>
    <n v="32.4"/>
    <n v="36"/>
    <s v="Cash"/>
    <s v="Normal"/>
    <s v="Good"/>
  </r>
  <r>
    <n v="2034"/>
    <n v="57"/>
    <x v="0"/>
    <x v="2"/>
    <x v="0"/>
    <n v="55"/>
    <x v="26"/>
    <x v="0"/>
    <s v="Olive"/>
    <x v="2"/>
    <n v="3.6"/>
    <s v="No"/>
    <x v="0"/>
    <s v="No"/>
    <n v="33"/>
    <x v="0"/>
    <s v="Annually"/>
    <n v="0.1"/>
    <n v="49.5"/>
    <n v="55"/>
    <s v="Venmo"/>
    <s v="Normal"/>
    <s v="Good"/>
  </r>
  <r>
    <n v="2035"/>
    <n v="61"/>
    <x v="0"/>
    <x v="6"/>
    <x v="0"/>
    <n v="30"/>
    <x v="15"/>
    <x v="2"/>
    <s v="Peach"/>
    <x v="1"/>
    <n v="2.9"/>
    <s v="No"/>
    <x v="5"/>
    <s v="No"/>
    <n v="27"/>
    <x v="3"/>
    <s v="Monthly"/>
    <n v="0.1"/>
    <n v="27"/>
    <n v="30"/>
    <s v="PayPal"/>
    <s v="Normal"/>
    <s v="Poor"/>
  </r>
  <r>
    <n v="2036"/>
    <n v="53"/>
    <x v="0"/>
    <x v="17"/>
    <x v="0"/>
    <n v="70"/>
    <x v="19"/>
    <x v="1"/>
    <s v="Yellow"/>
    <x v="2"/>
    <n v="4.0999999999999996"/>
    <s v="No"/>
    <x v="0"/>
    <s v="No"/>
    <n v="43"/>
    <x v="4"/>
    <s v="Weekly"/>
    <n v="0.1"/>
    <n v="63"/>
    <n v="70"/>
    <s v="Bank Transfer"/>
    <s v="Normal"/>
    <s v="Good"/>
  </r>
  <r>
    <n v="2037"/>
    <n v="37"/>
    <x v="0"/>
    <x v="0"/>
    <x v="0"/>
    <n v="63"/>
    <x v="46"/>
    <x v="1"/>
    <s v="Lavender"/>
    <x v="0"/>
    <n v="3.1"/>
    <s v="No"/>
    <x v="2"/>
    <s v="No"/>
    <n v="46"/>
    <x v="1"/>
    <s v="Weekly"/>
    <n v="0.1"/>
    <n v="56.7"/>
    <n v="63"/>
    <s v="Cash"/>
    <s v="Normal"/>
    <s v="Good"/>
  </r>
  <r>
    <n v="2038"/>
    <n v="39"/>
    <x v="0"/>
    <x v="22"/>
    <x v="3"/>
    <n v="87"/>
    <x v="26"/>
    <x v="1"/>
    <s v="Green"/>
    <x v="2"/>
    <n v="4.3"/>
    <s v="No"/>
    <x v="0"/>
    <s v="No"/>
    <n v="7"/>
    <x v="0"/>
    <s v="Bi-Weekly"/>
    <n v="0.1"/>
    <n v="78.3"/>
    <n v="87"/>
    <s v="Venmo"/>
    <s v="Normal"/>
    <s v="Good"/>
  </r>
  <r>
    <n v="2039"/>
    <n v="53"/>
    <x v="0"/>
    <x v="0"/>
    <x v="0"/>
    <n v="70"/>
    <x v="10"/>
    <x v="0"/>
    <s v="Orange"/>
    <x v="1"/>
    <n v="4.4000000000000004"/>
    <s v="No"/>
    <x v="2"/>
    <s v="No"/>
    <n v="35"/>
    <x v="2"/>
    <s v="Fortnightly"/>
    <n v="0.1"/>
    <n v="63"/>
    <n v="70"/>
    <s v="Credit Card"/>
    <s v="Normal"/>
    <s v="Good"/>
  </r>
  <r>
    <n v="2040"/>
    <n v="35"/>
    <x v="0"/>
    <x v="17"/>
    <x v="0"/>
    <n v="51"/>
    <x v="46"/>
    <x v="2"/>
    <s v="Olive"/>
    <x v="1"/>
    <n v="3.1"/>
    <s v="No"/>
    <x v="2"/>
    <s v="No"/>
    <n v="31"/>
    <x v="5"/>
    <s v="Bi-Weekly"/>
    <n v="0.1"/>
    <n v="45.9"/>
    <n v="51"/>
    <s v="Debit Card"/>
    <s v="Normal"/>
    <s v="Good"/>
  </r>
  <r>
    <n v="2041"/>
    <n v="69"/>
    <x v="0"/>
    <x v="16"/>
    <x v="3"/>
    <n v="25"/>
    <x v="36"/>
    <x v="3"/>
    <s v="Gray"/>
    <x v="1"/>
    <n v="2.9"/>
    <s v="No"/>
    <x v="1"/>
    <s v="No"/>
    <n v="42"/>
    <x v="0"/>
    <s v="Quarterly"/>
    <n v="0.1"/>
    <n v="22.5"/>
    <n v="25"/>
    <s v="Venmo"/>
    <s v="Normal"/>
    <s v="Poor"/>
  </r>
  <r>
    <n v="2042"/>
    <n v="66"/>
    <x v="0"/>
    <x v="14"/>
    <x v="2"/>
    <n v="32"/>
    <x v="14"/>
    <x v="1"/>
    <s v="Lavender"/>
    <x v="0"/>
    <n v="3.2"/>
    <s v="No"/>
    <x v="2"/>
    <s v="No"/>
    <n v="14"/>
    <x v="3"/>
    <s v="Bi-Weekly"/>
    <n v="0.1"/>
    <n v="28.8"/>
    <n v="32"/>
    <s v="PayPal"/>
    <s v="Normal"/>
    <s v="Good"/>
  </r>
  <r>
    <n v="2043"/>
    <n v="19"/>
    <x v="0"/>
    <x v="9"/>
    <x v="1"/>
    <n v="52"/>
    <x v="15"/>
    <x v="2"/>
    <s v="Red"/>
    <x v="1"/>
    <n v="4"/>
    <s v="No"/>
    <x v="4"/>
    <s v="No"/>
    <n v="35"/>
    <x v="0"/>
    <s v="Monthly"/>
    <n v="0.1"/>
    <n v="46.8"/>
    <n v="52"/>
    <s v="Venmo"/>
    <s v="Normal"/>
    <s v="Good"/>
  </r>
  <r>
    <n v="2044"/>
    <n v="47"/>
    <x v="0"/>
    <x v="24"/>
    <x v="3"/>
    <n v="33"/>
    <x v="14"/>
    <x v="2"/>
    <s v="Charcoal"/>
    <x v="2"/>
    <n v="2.7"/>
    <s v="No"/>
    <x v="3"/>
    <s v="No"/>
    <n v="49"/>
    <x v="3"/>
    <s v="Weekly"/>
    <n v="0.1"/>
    <n v="29.7"/>
    <n v="33"/>
    <s v="PayPal"/>
    <s v="Normal"/>
    <s v="Poor"/>
  </r>
  <r>
    <n v="2045"/>
    <n v="49"/>
    <x v="0"/>
    <x v="2"/>
    <x v="0"/>
    <n v="68"/>
    <x v="9"/>
    <x v="0"/>
    <s v="Orange"/>
    <x v="1"/>
    <n v="3"/>
    <s v="No"/>
    <x v="1"/>
    <s v="No"/>
    <n v="17"/>
    <x v="3"/>
    <s v="Fortnightly"/>
    <n v="0.1"/>
    <n v="61.2"/>
    <n v="68"/>
    <s v="PayPal"/>
    <s v="Normal"/>
    <s v="Good"/>
  </r>
  <r>
    <n v="2046"/>
    <n v="31"/>
    <x v="0"/>
    <x v="16"/>
    <x v="3"/>
    <n v="20"/>
    <x v="42"/>
    <x v="2"/>
    <s v="Red"/>
    <x v="3"/>
    <n v="4.4000000000000004"/>
    <s v="No"/>
    <x v="0"/>
    <s v="No"/>
    <n v="26"/>
    <x v="3"/>
    <s v="Quarterly"/>
    <n v="0.1"/>
    <n v="18"/>
    <n v="20"/>
    <s v="PayPal"/>
    <s v="Normal"/>
    <s v="Good"/>
  </r>
  <r>
    <n v="2047"/>
    <n v="39"/>
    <x v="0"/>
    <x v="13"/>
    <x v="0"/>
    <n v="32"/>
    <x v="19"/>
    <x v="2"/>
    <s v="Maroon"/>
    <x v="0"/>
    <n v="2.8"/>
    <s v="No"/>
    <x v="1"/>
    <s v="No"/>
    <n v="30"/>
    <x v="1"/>
    <s v="Every 3 Months"/>
    <n v="0.1"/>
    <n v="28.8"/>
    <n v="32"/>
    <s v="Cash"/>
    <s v="Normal"/>
    <s v="Poor"/>
  </r>
  <r>
    <n v="2048"/>
    <n v="58"/>
    <x v="0"/>
    <x v="16"/>
    <x v="3"/>
    <n v="82"/>
    <x v="39"/>
    <x v="2"/>
    <s v="Silver"/>
    <x v="2"/>
    <n v="3.1"/>
    <s v="No"/>
    <x v="5"/>
    <s v="No"/>
    <n v="32"/>
    <x v="1"/>
    <s v="Annually"/>
    <n v="0.1"/>
    <n v="73.8"/>
    <n v="82"/>
    <s v="Cash"/>
    <s v="Normal"/>
    <s v="Good"/>
  </r>
  <r>
    <n v="2049"/>
    <n v="45"/>
    <x v="0"/>
    <x v="4"/>
    <x v="1"/>
    <n v="64"/>
    <x v="49"/>
    <x v="3"/>
    <s v="Pink"/>
    <x v="0"/>
    <n v="3.9"/>
    <s v="No"/>
    <x v="0"/>
    <s v="No"/>
    <n v="35"/>
    <x v="4"/>
    <s v="Quarterly"/>
    <n v="0.1"/>
    <n v="57.6"/>
    <n v="64"/>
    <s v="Bank Transfer"/>
    <s v="Normal"/>
    <s v="Good"/>
  </r>
  <r>
    <n v="2050"/>
    <n v="68"/>
    <x v="0"/>
    <x v="23"/>
    <x v="1"/>
    <n v="24"/>
    <x v="3"/>
    <x v="0"/>
    <s v="Blue"/>
    <x v="3"/>
    <n v="2.7"/>
    <s v="No"/>
    <x v="3"/>
    <s v="No"/>
    <n v="15"/>
    <x v="0"/>
    <s v="Annually"/>
    <n v="0.1"/>
    <n v="21.6"/>
    <n v="24"/>
    <s v="Venmo"/>
    <s v="Normal"/>
    <s v="Poor"/>
  </r>
  <r>
    <n v="2051"/>
    <n v="35"/>
    <x v="0"/>
    <x v="19"/>
    <x v="3"/>
    <n v="96"/>
    <x v="16"/>
    <x v="2"/>
    <s v="Teal"/>
    <x v="2"/>
    <n v="3.4"/>
    <s v="No"/>
    <x v="5"/>
    <s v="No"/>
    <n v="10"/>
    <x v="5"/>
    <s v="Annually"/>
    <n v="0.1"/>
    <n v="86.4"/>
    <n v="96"/>
    <s v="Debit Card"/>
    <s v="Normal"/>
    <s v="Good"/>
  </r>
  <r>
    <n v="2052"/>
    <n v="65"/>
    <x v="0"/>
    <x v="17"/>
    <x v="0"/>
    <n v="94"/>
    <x v="2"/>
    <x v="0"/>
    <s v="Black"/>
    <x v="1"/>
    <n v="3.8"/>
    <s v="No"/>
    <x v="1"/>
    <s v="No"/>
    <n v="14"/>
    <x v="2"/>
    <s v="Monthly"/>
    <n v="0.1"/>
    <n v="84.6"/>
    <n v="94"/>
    <s v="Credit Card"/>
    <s v="Normal"/>
    <s v="Good"/>
  </r>
  <r>
    <n v="2053"/>
    <n v="45"/>
    <x v="0"/>
    <x v="21"/>
    <x v="3"/>
    <n v="48"/>
    <x v="13"/>
    <x v="2"/>
    <s v="Gray"/>
    <x v="0"/>
    <n v="3.7"/>
    <s v="No"/>
    <x v="4"/>
    <s v="No"/>
    <n v="30"/>
    <x v="4"/>
    <s v="Annually"/>
    <n v="0.1"/>
    <n v="43.2"/>
    <n v="48"/>
    <s v="Bank Transfer"/>
    <s v="Normal"/>
    <s v="Good"/>
  </r>
  <r>
    <n v="2054"/>
    <n v="19"/>
    <x v="0"/>
    <x v="12"/>
    <x v="3"/>
    <n v="60"/>
    <x v="5"/>
    <x v="1"/>
    <s v="Purple"/>
    <x v="1"/>
    <n v="4.5"/>
    <s v="No"/>
    <x v="4"/>
    <s v="No"/>
    <n v="16"/>
    <x v="2"/>
    <s v="Fortnightly"/>
    <n v="0.1"/>
    <n v="54"/>
    <n v="60"/>
    <s v="Credit Card"/>
    <s v="Normal"/>
    <s v="Good"/>
  </r>
  <r>
    <n v="2055"/>
    <n v="65"/>
    <x v="0"/>
    <x v="1"/>
    <x v="0"/>
    <n v="56"/>
    <x v="32"/>
    <x v="3"/>
    <s v="Gold"/>
    <x v="1"/>
    <n v="2.9"/>
    <s v="No"/>
    <x v="0"/>
    <s v="No"/>
    <n v="14"/>
    <x v="3"/>
    <s v="Annually"/>
    <n v="0.1"/>
    <n v="50.4"/>
    <n v="56"/>
    <s v="PayPal"/>
    <s v="Normal"/>
    <s v="Poor"/>
  </r>
  <r>
    <n v="2056"/>
    <n v="28"/>
    <x v="0"/>
    <x v="8"/>
    <x v="3"/>
    <n v="33"/>
    <x v="21"/>
    <x v="2"/>
    <s v="Silver"/>
    <x v="3"/>
    <n v="3.4"/>
    <s v="No"/>
    <x v="4"/>
    <s v="No"/>
    <n v="28"/>
    <x v="4"/>
    <s v="Weekly"/>
    <n v="0.1"/>
    <n v="29.7"/>
    <n v="33"/>
    <s v="Bank Transfer"/>
    <s v="Normal"/>
    <s v="Good"/>
  </r>
  <r>
    <n v="2057"/>
    <n v="55"/>
    <x v="0"/>
    <x v="21"/>
    <x v="3"/>
    <n v="46"/>
    <x v="46"/>
    <x v="0"/>
    <s v="Blue"/>
    <x v="1"/>
    <n v="4.4000000000000004"/>
    <s v="No"/>
    <x v="4"/>
    <s v="No"/>
    <n v="29"/>
    <x v="3"/>
    <s v="Monthly"/>
    <n v="0.1"/>
    <n v="41.4"/>
    <n v="46"/>
    <s v="PayPal"/>
    <s v="Normal"/>
    <s v="Good"/>
  </r>
  <r>
    <n v="2058"/>
    <n v="66"/>
    <x v="0"/>
    <x v="20"/>
    <x v="0"/>
    <n v="37"/>
    <x v="45"/>
    <x v="0"/>
    <s v="Yellow"/>
    <x v="1"/>
    <n v="4.2"/>
    <s v="No"/>
    <x v="3"/>
    <s v="No"/>
    <n v="5"/>
    <x v="3"/>
    <s v="Every 3 Months"/>
    <n v="0.1"/>
    <n v="33.299999999999997"/>
    <n v="37"/>
    <s v="PayPal"/>
    <s v="Normal"/>
    <s v="Good"/>
  </r>
  <r>
    <n v="2059"/>
    <n v="29"/>
    <x v="0"/>
    <x v="5"/>
    <x v="0"/>
    <n v="98"/>
    <x v="47"/>
    <x v="2"/>
    <s v="Brown"/>
    <x v="0"/>
    <n v="3.3"/>
    <s v="No"/>
    <x v="5"/>
    <s v="No"/>
    <n v="17"/>
    <x v="4"/>
    <s v="Quarterly"/>
    <n v="0.1"/>
    <n v="88.2"/>
    <n v="98"/>
    <s v="Bank Transfer"/>
    <s v="Normal"/>
    <s v="Good"/>
  </r>
  <r>
    <n v="2060"/>
    <n v="56"/>
    <x v="0"/>
    <x v="6"/>
    <x v="0"/>
    <n v="50"/>
    <x v="18"/>
    <x v="3"/>
    <s v="Beige"/>
    <x v="1"/>
    <n v="3.7"/>
    <s v="No"/>
    <x v="0"/>
    <s v="No"/>
    <n v="50"/>
    <x v="3"/>
    <s v="Weekly"/>
    <n v="0.1"/>
    <n v="45"/>
    <n v="50"/>
    <s v="PayPal"/>
    <s v="Normal"/>
    <s v="Good"/>
  </r>
  <r>
    <n v="2061"/>
    <n v="21"/>
    <x v="0"/>
    <x v="22"/>
    <x v="3"/>
    <n v="63"/>
    <x v="48"/>
    <x v="2"/>
    <s v="Blue"/>
    <x v="3"/>
    <n v="3.2"/>
    <s v="No"/>
    <x v="2"/>
    <s v="No"/>
    <n v="23"/>
    <x v="4"/>
    <s v="Quarterly"/>
    <n v="0.1"/>
    <n v="56.7"/>
    <n v="63"/>
    <s v="Bank Transfer"/>
    <s v="Normal"/>
    <s v="Good"/>
  </r>
  <r>
    <n v="2062"/>
    <n v="32"/>
    <x v="0"/>
    <x v="1"/>
    <x v="0"/>
    <n v="70"/>
    <x v="49"/>
    <x v="1"/>
    <s v="Magenta"/>
    <x v="2"/>
    <n v="2.6"/>
    <s v="No"/>
    <x v="5"/>
    <s v="No"/>
    <n v="22"/>
    <x v="5"/>
    <s v="Annually"/>
    <n v="0.1"/>
    <n v="63"/>
    <n v="70"/>
    <s v="Debit Card"/>
    <s v="Normal"/>
    <s v="Poor"/>
  </r>
  <r>
    <n v="2063"/>
    <n v="54"/>
    <x v="0"/>
    <x v="7"/>
    <x v="2"/>
    <n v="63"/>
    <x v="36"/>
    <x v="0"/>
    <s v="Silver"/>
    <x v="3"/>
    <n v="2.8"/>
    <s v="No"/>
    <x v="3"/>
    <s v="No"/>
    <n v="15"/>
    <x v="1"/>
    <s v="Quarterly"/>
    <n v="0.1"/>
    <n v="56.7"/>
    <n v="63"/>
    <s v="Cash"/>
    <s v="Normal"/>
    <s v="Poor"/>
  </r>
  <r>
    <n v="2064"/>
    <n v="61"/>
    <x v="0"/>
    <x v="6"/>
    <x v="0"/>
    <n v="86"/>
    <x v="27"/>
    <x v="2"/>
    <s v="Cyan"/>
    <x v="3"/>
    <n v="2.9"/>
    <s v="No"/>
    <x v="3"/>
    <s v="No"/>
    <n v="32"/>
    <x v="1"/>
    <s v="Monthly"/>
    <n v="0.1"/>
    <n v="77.400000000000006"/>
    <n v="86"/>
    <s v="Cash"/>
    <s v="Normal"/>
    <s v="Poor"/>
  </r>
  <r>
    <n v="2065"/>
    <n v="31"/>
    <x v="0"/>
    <x v="9"/>
    <x v="1"/>
    <n v="99"/>
    <x v="10"/>
    <x v="2"/>
    <s v="Green"/>
    <x v="2"/>
    <n v="4"/>
    <s v="No"/>
    <x v="4"/>
    <s v="No"/>
    <n v="5"/>
    <x v="4"/>
    <s v="Monthly"/>
    <n v="0.1"/>
    <n v="89.1"/>
    <n v="99"/>
    <s v="Bank Transfer"/>
    <s v="Normal"/>
    <s v="Good"/>
  </r>
  <r>
    <n v="2066"/>
    <n v="27"/>
    <x v="0"/>
    <x v="4"/>
    <x v="1"/>
    <n v="40"/>
    <x v="4"/>
    <x v="2"/>
    <s v="Blue"/>
    <x v="1"/>
    <n v="2.9"/>
    <s v="No"/>
    <x v="1"/>
    <s v="No"/>
    <n v="6"/>
    <x v="4"/>
    <s v="Bi-Weekly"/>
    <n v="0.1"/>
    <n v="36"/>
    <n v="40"/>
    <s v="Bank Transfer"/>
    <s v="Normal"/>
    <s v="Poor"/>
  </r>
  <r>
    <n v="2067"/>
    <n v="64"/>
    <x v="0"/>
    <x v="4"/>
    <x v="1"/>
    <n v="92"/>
    <x v="26"/>
    <x v="2"/>
    <s v="Olive"/>
    <x v="3"/>
    <n v="4.7"/>
    <s v="No"/>
    <x v="5"/>
    <s v="No"/>
    <n v="44"/>
    <x v="5"/>
    <s v="Fortnightly"/>
    <n v="0.1"/>
    <n v="82.8"/>
    <n v="92"/>
    <s v="Debit Card"/>
    <s v="Normal"/>
    <s v="Good"/>
  </r>
  <r>
    <n v="2068"/>
    <n v="60"/>
    <x v="0"/>
    <x v="13"/>
    <x v="0"/>
    <n v="21"/>
    <x v="33"/>
    <x v="3"/>
    <s v="Beige"/>
    <x v="3"/>
    <n v="3.1"/>
    <s v="No"/>
    <x v="4"/>
    <s v="No"/>
    <n v="23"/>
    <x v="1"/>
    <s v="Fortnightly"/>
    <n v="0.1"/>
    <n v="18.899999999999999"/>
    <n v="21"/>
    <s v="Cash"/>
    <s v="Normal"/>
    <s v="Good"/>
  </r>
  <r>
    <n v="2069"/>
    <n v="70"/>
    <x v="0"/>
    <x v="16"/>
    <x v="3"/>
    <n v="81"/>
    <x v="34"/>
    <x v="3"/>
    <s v="Black"/>
    <x v="2"/>
    <n v="3.9"/>
    <s v="No"/>
    <x v="5"/>
    <s v="No"/>
    <n v="44"/>
    <x v="0"/>
    <s v="Monthly"/>
    <n v="0.1"/>
    <n v="72.900000000000006"/>
    <n v="81"/>
    <s v="Venmo"/>
    <s v="Normal"/>
    <s v="Good"/>
  </r>
  <r>
    <n v="2070"/>
    <n v="36"/>
    <x v="0"/>
    <x v="17"/>
    <x v="0"/>
    <n v="82"/>
    <x v="21"/>
    <x v="2"/>
    <s v="Indigo"/>
    <x v="3"/>
    <n v="3.4"/>
    <s v="No"/>
    <x v="1"/>
    <s v="No"/>
    <n v="3"/>
    <x v="5"/>
    <s v="Quarterly"/>
    <n v="0.1"/>
    <n v="73.8"/>
    <n v="82"/>
    <s v="Debit Card"/>
    <s v="Normal"/>
    <s v="Good"/>
  </r>
  <r>
    <n v="2071"/>
    <n v="56"/>
    <x v="0"/>
    <x v="16"/>
    <x v="3"/>
    <n v="88"/>
    <x v="43"/>
    <x v="3"/>
    <s v="Red"/>
    <x v="1"/>
    <n v="3.1"/>
    <s v="No"/>
    <x v="0"/>
    <s v="No"/>
    <n v="14"/>
    <x v="1"/>
    <s v="Monthly"/>
    <n v="0.1"/>
    <n v="79.2"/>
    <n v="88"/>
    <s v="Cash"/>
    <s v="Normal"/>
    <s v="Good"/>
  </r>
  <r>
    <n v="2072"/>
    <n v="69"/>
    <x v="0"/>
    <x v="14"/>
    <x v="2"/>
    <n v="100"/>
    <x v="36"/>
    <x v="1"/>
    <s v="Yellow"/>
    <x v="3"/>
    <n v="4.8"/>
    <s v="No"/>
    <x v="5"/>
    <s v="No"/>
    <n v="37"/>
    <x v="3"/>
    <s v="Quarterly"/>
    <n v="0.1"/>
    <n v="90"/>
    <n v="100"/>
    <s v="PayPal"/>
    <s v="Normal"/>
    <s v="Good"/>
  </r>
  <r>
    <n v="2073"/>
    <n v="39"/>
    <x v="0"/>
    <x v="21"/>
    <x v="3"/>
    <n v="66"/>
    <x v="2"/>
    <x v="2"/>
    <s v="Beige"/>
    <x v="0"/>
    <n v="3.9"/>
    <s v="No"/>
    <x v="2"/>
    <s v="No"/>
    <n v="22"/>
    <x v="4"/>
    <s v="Weekly"/>
    <n v="0.1"/>
    <n v="59.4"/>
    <n v="66"/>
    <s v="Bank Transfer"/>
    <s v="Normal"/>
    <s v="Good"/>
  </r>
  <r>
    <n v="2074"/>
    <n v="38"/>
    <x v="0"/>
    <x v="22"/>
    <x v="3"/>
    <n v="25"/>
    <x v="21"/>
    <x v="1"/>
    <s v="Green"/>
    <x v="0"/>
    <n v="3.5"/>
    <s v="No"/>
    <x v="2"/>
    <s v="No"/>
    <n v="2"/>
    <x v="3"/>
    <s v="Every 3 Months"/>
    <n v="0.1"/>
    <n v="22.5"/>
    <n v="25"/>
    <s v="PayPal"/>
    <s v="Normal"/>
    <s v="Good"/>
  </r>
  <r>
    <n v="2075"/>
    <n v="36"/>
    <x v="0"/>
    <x v="18"/>
    <x v="3"/>
    <n v="53"/>
    <x v="20"/>
    <x v="2"/>
    <s v="White"/>
    <x v="2"/>
    <n v="3.1"/>
    <s v="No"/>
    <x v="1"/>
    <s v="No"/>
    <n v="44"/>
    <x v="5"/>
    <s v="Fortnightly"/>
    <n v="0.1"/>
    <n v="47.7"/>
    <n v="53"/>
    <s v="Debit Card"/>
    <s v="Normal"/>
    <s v="Good"/>
  </r>
  <r>
    <n v="2076"/>
    <n v="46"/>
    <x v="0"/>
    <x v="1"/>
    <x v="0"/>
    <n v="28"/>
    <x v="36"/>
    <x v="1"/>
    <s v="Turquoise"/>
    <x v="3"/>
    <n v="4.7"/>
    <s v="No"/>
    <x v="0"/>
    <s v="No"/>
    <n v="49"/>
    <x v="5"/>
    <s v="Monthly"/>
    <n v="0.1"/>
    <n v="25.2"/>
    <n v="28"/>
    <s v="Debit Card"/>
    <s v="Normal"/>
    <s v="Good"/>
  </r>
  <r>
    <n v="2077"/>
    <n v="59"/>
    <x v="0"/>
    <x v="24"/>
    <x v="3"/>
    <n v="23"/>
    <x v="20"/>
    <x v="1"/>
    <s v="Indigo"/>
    <x v="3"/>
    <n v="4.5999999999999996"/>
    <s v="No"/>
    <x v="1"/>
    <s v="No"/>
    <n v="22"/>
    <x v="5"/>
    <s v="Bi-Weekly"/>
    <n v="0.1"/>
    <n v="20.7"/>
    <n v="23"/>
    <s v="Debit Card"/>
    <s v="Normal"/>
    <s v="Good"/>
  </r>
  <r>
    <n v="2078"/>
    <n v="64"/>
    <x v="0"/>
    <x v="18"/>
    <x v="3"/>
    <n v="34"/>
    <x v="43"/>
    <x v="0"/>
    <s v="Orange"/>
    <x v="3"/>
    <n v="3.3"/>
    <s v="No"/>
    <x v="1"/>
    <s v="No"/>
    <n v="26"/>
    <x v="4"/>
    <s v="Annually"/>
    <n v="0.1"/>
    <n v="30.6"/>
    <n v="34"/>
    <s v="Bank Transfer"/>
    <s v="Normal"/>
    <s v="Good"/>
  </r>
  <r>
    <n v="2079"/>
    <n v="49"/>
    <x v="0"/>
    <x v="10"/>
    <x v="0"/>
    <n v="42"/>
    <x v="11"/>
    <x v="2"/>
    <s v="Blue"/>
    <x v="1"/>
    <n v="3.2"/>
    <s v="No"/>
    <x v="2"/>
    <s v="No"/>
    <n v="40"/>
    <x v="5"/>
    <s v="Weekly"/>
    <n v="0.1"/>
    <n v="37.799999999999997"/>
    <n v="42"/>
    <s v="Debit Card"/>
    <s v="Normal"/>
    <s v="Good"/>
  </r>
  <r>
    <n v="2080"/>
    <n v="32"/>
    <x v="0"/>
    <x v="2"/>
    <x v="0"/>
    <n v="24"/>
    <x v="6"/>
    <x v="0"/>
    <s v="Violet"/>
    <x v="2"/>
    <n v="3.1"/>
    <s v="No"/>
    <x v="2"/>
    <s v="No"/>
    <n v="16"/>
    <x v="3"/>
    <s v="Quarterly"/>
    <n v="0.1"/>
    <n v="21.6"/>
    <n v="24"/>
    <s v="PayPal"/>
    <s v="Normal"/>
    <s v="Good"/>
  </r>
  <r>
    <n v="2081"/>
    <n v="29"/>
    <x v="0"/>
    <x v="12"/>
    <x v="3"/>
    <n v="47"/>
    <x v="45"/>
    <x v="1"/>
    <s v="Gray"/>
    <x v="3"/>
    <n v="3.5"/>
    <s v="No"/>
    <x v="1"/>
    <s v="No"/>
    <n v="17"/>
    <x v="5"/>
    <s v="Bi-Weekly"/>
    <n v="0.1"/>
    <n v="42.3"/>
    <n v="47"/>
    <s v="Debit Card"/>
    <s v="Normal"/>
    <s v="Good"/>
  </r>
  <r>
    <n v="2082"/>
    <n v="24"/>
    <x v="0"/>
    <x v="7"/>
    <x v="2"/>
    <n v="78"/>
    <x v="15"/>
    <x v="1"/>
    <s v="Cyan"/>
    <x v="1"/>
    <n v="4.3"/>
    <s v="No"/>
    <x v="3"/>
    <s v="No"/>
    <n v="48"/>
    <x v="4"/>
    <s v="Bi-Weekly"/>
    <n v="0.1"/>
    <n v="70.2"/>
    <n v="78"/>
    <s v="Bank Transfer"/>
    <s v="Normal"/>
    <s v="Good"/>
  </r>
  <r>
    <n v="2083"/>
    <n v="41"/>
    <x v="0"/>
    <x v="2"/>
    <x v="0"/>
    <n v="89"/>
    <x v="10"/>
    <x v="2"/>
    <s v="Yellow"/>
    <x v="2"/>
    <n v="2.9"/>
    <s v="No"/>
    <x v="1"/>
    <s v="No"/>
    <n v="28"/>
    <x v="0"/>
    <s v="Every 3 Months"/>
    <n v="0.1"/>
    <n v="80.099999999999994"/>
    <n v="89"/>
    <s v="Venmo"/>
    <s v="Normal"/>
    <s v="Poor"/>
  </r>
  <r>
    <n v="2084"/>
    <n v="41"/>
    <x v="0"/>
    <x v="18"/>
    <x v="3"/>
    <n v="59"/>
    <x v="16"/>
    <x v="0"/>
    <s v="Orange"/>
    <x v="3"/>
    <n v="2.7"/>
    <s v="No"/>
    <x v="5"/>
    <s v="No"/>
    <n v="26"/>
    <x v="2"/>
    <s v="Fortnightly"/>
    <n v="0.1"/>
    <n v="53.1"/>
    <n v="59"/>
    <s v="Credit Card"/>
    <s v="Normal"/>
    <s v="Poor"/>
  </r>
  <r>
    <n v="2085"/>
    <n v="32"/>
    <x v="0"/>
    <x v="0"/>
    <x v="0"/>
    <n v="94"/>
    <x v="34"/>
    <x v="1"/>
    <s v="Brown"/>
    <x v="2"/>
    <n v="4"/>
    <s v="No"/>
    <x v="3"/>
    <s v="No"/>
    <n v="43"/>
    <x v="4"/>
    <s v="Quarterly"/>
    <n v="0.1"/>
    <n v="84.6"/>
    <n v="94"/>
    <s v="Bank Transfer"/>
    <s v="Normal"/>
    <s v="Good"/>
  </r>
  <r>
    <n v="2086"/>
    <n v="69"/>
    <x v="0"/>
    <x v="2"/>
    <x v="0"/>
    <n v="49"/>
    <x v="14"/>
    <x v="2"/>
    <s v="Teal"/>
    <x v="3"/>
    <n v="4.5999999999999996"/>
    <s v="No"/>
    <x v="1"/>
    <s v="No"/>
    <n v="38"/>
    <x v="5"/>
    <s v="Weekly"/>
    <n v="0.1"/>
    <n v="44.1"/>
    <n v="49"/>
    <s v="Debit Card"/>
    <s v="Normal"/>
    <s v="Good"/>
  </r>
  <r>
    <n v="2087"/>
    <n v="65"/>
    <x v="0"/>
    <x v="10"/>
    <x v="0"/>
    <n v="89"/>
    <x v="25"/>
    <x v="0"/>
    <s v="Beige"/>
    <x v="2"/>
    <n v="4.7"/>
    <s v="No"/>
    <x v="4"/>
    <s v="No"/>
    <n v="36"/>
    <x v="1"/>
    <s v="Every 3 Months"/>
    <n v="0.1"/>
    <n v="80.099999999999994"/>
    <n v="89"/>
    <s v="Cash"/>
    <s v="Normal"/>
    <s v="Good"/>
  </r>
  <r>
    <n v="2088"/>
    <n v="54"/>
    <x v="0"/>
    <x v="19"/>
    <x v="3"/>
    <n v="91"/>
    <x v="48"/>
    <x v="2"/>
    <s v="Blue"/>
    <x v="2"/>
    <n v="4.7"/>
    <s v="No"/>
    <x v="3"/>
    <s v="No"/>
    <n v="1"/>
    <x v="2"/>
    <s v="Weekly"/>
    <n v="0.1"/>
    <n v="81.900000000000006"/>
    <n v="91"/>
    <s v="Credit Card"/>
    <s v="Normal"/>
    <s v="Good"/>
  </r>
  <r>
    <n v="2089"/>
    <n v="39"/>
    <x v="0"/>
    <x v="3"/>
    <x v="1"/>
    <n v="89"/>
    <x v="18"/>
    <x v="0"/>
    <s v="Orange"/>
    <x v="1"/>
    <n v="4"/>
    <s v="No"/>
    <x v="3"/>
    <s v="No"/>
    <n v="49"/>
    <x v="5"/>
    <s v="Annually"/>
    <n v="0.1"/>
    <n v="80.099999999999994"/>
    <n v="89"/>
    <s v="Debit Card"/>
    <s v="Normal"/>
    <s v="Good"/>
  </r>
  <r>
    <n v="2090"/>
    <n v="37"/>
    <x v="0"/>
    <x v="14"/>
    <x v="2"/>
    <n v="57"/>
    <x v="33"/>
    <x v="0"/>
    <s v="Gold"/>
    <x v="1"/>
    <n v="3.6"/>
    <s v="No"/>
    <x v="1"/>
    <s v="No"/>
    <n v="41"/>
    <x v="2"/>
    <s v="Every 3 Months"/>
    <n v="0.1"/>
    <n v="51.3"/>
    <n v="57"/>
    <s v="Credit Card"/>
    <s v="Normal"/>
    <s v="Good"/>
  </r>
  <r>
    <n v="2091"/>
    <n v="51"/>
    <x v="0"/>
    <x v="20"/>
    <x v="0"/>
    <n v="71"/>
    <x v="2"/>
    <x v="1"/>
    <s v="Teal"/>
    <x v="0"/>
    <n v="3.4"/>
    <s v="No"/>
    <x v="1"/>
    <s v="No"/>
    <n v="21"/>
    <x v="5"/>
    <s v="Monthly"/>
    <n v="0.1"/>
    <n v="63.9"/>
    <n v="71"/>
    <s v="Debit Card"/>
    <s v="Normal"/>
    <s v="Good"/>
  </r>
  <r>
    <n v="2092"/>
    <n v="26"/>
    <x v="0"/>
    <x v="2"/>
    <x v="0"/>
    <n v="97"/>
    <x v="47"/>
    <x v="3"/>
    <s v="Beige"/>
    <x v="3"/>
    <n v="3"/>
    <s v="No"/>
    <x v="2"/>
    <s v="No"/>
    <n v="24"/>
    <x v="4"/>
    <s v="Quarterly"/>
    <n v="0.1"/>
    <n v="87.3"/>
    <n v="97"/>
    <s v="Bank Transfer"/>
    <s v="Normal"/>
    <s v="Good"/>
  </r>
  <r>
    <n v="2093"/>
    <n v="42"/>
    <x v="0"/>
    <x v="3"/>
    <x v="1"/>
    <n v="45"/>
    <x v="46"/>
    <x v="2"/>
    <s v="Silver"/>
    <x v="3"/>
    <n v="2.6"/>
    <s v="No"/>
    <x v="2"/>
    <s v="No"/>
    <n v="27"/>
    <x v="4"/>
    <s v="Weekly"/>
    <n v="0.1"/>
    <n v="40.5"/>
    <n v="45"/>
    <s v="Bank Transfer"/>
    <s v="Normal"/>
    <s v="Poor"/>
  </r>
  <r>
    <n v="2094"/>
    <n v="21"/>
    <x v="0"/>
    <x v="10"/>
    <x v="0"/>
    <n v="91"/>
    <x v="47"/>
    <x v="2"/>
    <s v="Maroon"/>
    <x v="1"/>
    <n v="4.2"/>
    <s v="No"/>
    <x v="5"/>
    <s v="No"/>
    <n v="4"/>
    <x v="5"/>
    <s v="Annually"/>
    <n v="0.1"/>
    <n v="81.900000000000006"/>
    <n v="91"/>
    <s v="Debit Card"/>
    <s v="Normal"/>
    <s v="Good"/>
  </r>
  <r>
    <n v="2095"/>
    <n v="53"/>
    <x v="0"/>
    <x v="20"/>
    <x v="0"/>
    <n v="25"/>
    <x v="36"/>
    <x v="2"/>
    <s v="Indigo"/>
    <x v="1"/>
    <n v="3.4"/>
    <s v="No"/>
    <x v="3"/>
    <s v="No"/>
    <n v="19"/>
    <x v="0"/>
    <s v="Annually"/>
    <n v="0.1"/>
    <n v="22.5"/>
    <n v="25"/>
    <s v="Venmo"/>
    <s v="Normal"/>
    <s v="Good"/>
  </r>
  <r>
    <n v="2096"/>
    <n v="36"/>
    <x v="0"/>
    <x v="15"/>
    <x v="0"/>
    <n v="63"/>
    <x v="35"/>
    <x v="2"/>
    <s v="Gray"/>
    <x v="3"/>
    <n v="4"/>
    <s v="No"/>
    <x v="5"/>
    <s v="No"/>
    <n v="1"/>
    <x v="4"/>
    <s v="Fortnightly"/>
    <n v="0.1"/>
    <n v="56.7"/>
    <n v="63"/>
    <s v="Bank Transfer"/>
    <s v="Normal"/>
    <s v="Good"/>
  </r>
  <r>
    <n v="2097"/>
    <n v="21"/>
    <x v="0"/>
    <x v="10"/>
    <x v="0"/>
    <n v="52"/>
    <x v="17"/>
    <x v="0"/>
    <s v="Blue"/>
    <x v="2"/>
    <n v="4.7"/>
    <s v="No"/>
    <x v="1"/>
    <s v="No"/>
    <n v="27"/>
    <x v="5"/>
    <s v="Annually"/>
    <n v="0.1"/>
    <n v="46.8"/>
    <n v="52"/>
    <s v="Debit Card"/>
    <s v="Normal"/>
    <s v="Good"/>
  </r>
  <r>
    <n v="2098"/>
    <n v="33"/>
    <x v="0"/>
    <x v="4"/>
    <x v="1"/>
    <n v="43"/>
    <x v="44"/>
    <x v="1"/>
    <s v="Cyan"/>
    <x v="0"/>
    <n v="3.9"/>
    <s v="No"/>
    <x v="2"/>
    <s v="No"/>
    <n v="5"/>
    <x v="2"/>
    <s v="Weekly"/>
    <n v="0.1"/>
    <n v="38.700000000000003"/>
    <n v="43"/>
    <s v="Credit Card"/>
    <s v="Normal"/>
    <s v="Good"/>
  </r>
  <r>
    <n v="2099"/>
    <n v="49"/>
    <x v="0"/>
    <x v="17"/>
    <x v="0"/>
    <n v="28"/>
    <x v="7"/>
    <x v="2"/>
    <s v="White"/>
    <x v="2"/>
    <n v="3.3"/>
    <s v="No"/>
    <x v="4"/>
    <s v="No"/>
    <n v="20"/>
    <x v="0"/>
    <s v="Quarterly"/>
    <n v="0.1"/>
    <n v="25.2"/>
    <n v="28"/>
    <s v="Venmo"/>
    <s v="Normal"/>
    <s v="Good"/>
  </r>
  <r>
    <n v="2100"/>
    <n v="31"/>
    <x v="0"/>
    <x v="17"/>
    <x v="0"/>
    <n v="78"/>
    <x v="19"/>
    <x v="0"/>
    <s v="Green"/>
    <x v="2"/>
    <n v="2.9"/>
    <s v="No"/>
    <x v="0"/>
    <s v="No"/>
    <n v="50"/>
    <x v="3"/>
    <s v="Annually"/>
    <n v="0.1"/>
    <n v="70.2"/>
    <n v="78"/>
    <s v="PayPal"/>
    <s v="Normal"/>
    <s v="Poor"/>
  </r>
  <r>
    <n v="2101"/>
    <n v="68"/>
    <x v="0"/>
    <x v="1"/>
    <x v="0"/>
    <n v="31"/>
    <x v="49"/>
    <x v="2"/>
    <s v="Silver"/>
    <x v="1"/>
    <n v="4.4000000000000004"/>
    <s v="No"/>
    <x v="1"/>
    <s v="No"/>
    <n v="36"/>
    <x v="1"/>
    <s v="Fortnightly"/>
    <n v="0.1"/>
    <n v="27.9"/>
    <n v="31"/>
    <s v="Cash"/>
    <s v="Normal"/>
    <s v="Good"/>
  </r>
  <r>
    <n v="2102"/>
    <n v="49"/>
    <x v="0"/>
    <x v="5"/>
    <x v="0"/>
    <n v="23"/>
    <x v="4"/>
    <x v="2"/>
    <s v="Blue"/>
    <x v="0"/>
    <n v="3.6"/>
    <s v="No"/>
    <x v="2"/>
    <s v="No"/>
    <n v="12"/>
    <x v="4"/>
    <s v="Bi-Weekly"/>
    <n v="0.1"/>
    <n v="20.7"/>
    <n v="23"/>
    <s v="Bank Transfer"/>
    <s v="Normal"/>
    <s v="Good"/>
  </r>
  <r>
    <n v="2103"/>
    <n v="23"/>
    <x v="0"/>
    <x v="19"/>
    <x v="3"/>
    <n v="25"/>
    <x v="37"/>
    <x v="2"/>
    <s v="Brown"/>
    <x v="1"/>
    <n v="4.5"/>
    <s v="No"/>
    <x v="5"/>
    <s v="No"/>
    <n v="23"/>
    <x v="1"/>
    <s v="Monthly"/>
    <n v="0.1"/>
    <n v="22.5"/>
    <n v="25"/>
    <s v="Cash"/>
    <s v="Normal"/>
    <s v="Good"/>
  </r>
  <r>
    <n v="2104"/>
    <n v="30"/>
    <x v="0"/>
    <x v="13"/>
    <x v="0"/>
    <n v="86"/>
    <x v="27"/>
    <x v="1"/>
    <s v="Red"/>
    <x v="2"/>
    <n v="3.7"/>
    <s v="No"/>
    <x v="5"/>
    <s v="No"/>
    <n v="21"/>
    <x v="0"/>
    <s v="Weekly"/>
    <n v="0.1"/>
    <n v="77.400000000000006"/>
    <n v="86"/>
    <s v="Venmo"/>
    <s v="Normal"/>
    <s v="Good"/>
  </r>
  <r>
    <n v="2105"/>
    <n v="53"/>
    <x v="0"/>
    <x v="9"/>
    <x v="1"/>
    <n v="88"/>
    <x v="35"/>
    <x v="2"/>
    <s v="Gold"/>
    <x v="1"/>
    <n v="2.8"/>
    <s v="No"/>
    <x v="1"/>
    <s v="No"/>
    <n v="47"/>
    <x v="0"/>
    <s v="Weekly"/>
    <n v="0.1"/>
    <n v="79.2"/>
    <n v="88"/>
    <s v="Venmo"/>
    <s v="Normal"/>
    <s v="Poor"/>
  </r>
  <r>
    <n v="2106"/>
    <n v="65"/>
    <x v="0"/>
    <x v="24"/>
    <x v="3"/>
    <n v="35"/>
    <x v="36"/>
    <x v="2"/>
    <s v="Silver"/>
    <x v="1"/>
    <n v="4.5"/>
    <s v="No"/>
    <x v="1"/>
    <s v="No"/>
    <n v="38"/>
    <x v="0"/>
    <s v="Bi-Weekly"/>
    <n v="0.1"/>
    <n v="31.5"/>
    <n v="35"/>
    <s v="Venmo"/>
    <s v="Normal"/>
    <s v="Good"/>
  </r>
  <r>
    <n v="2107"/>
    <n v="60"/>
    <x v="0"/>
    <x v="16"/>
    <x v="3"/>
    <n v="34"/>
    <x v="34"/>
    <x v="2"/>
    <s v="Gray"/>
    <x v="3"/>
    <n v="4.4000000000000004"/>
    <s v="No"/>
    <x v="3"/>
    <s v="No"/>
    <n v="40"/>
    <x v="2"/>
    <s v="Every 3 Months"/>
    <n v="0.1"/>
    <n v="30.6"/>
    <n v="34"/>
    <s v="Credit Card"/>
    <s v="Normal"/>
    <s v="Good"/>
  </r>
  <r>
    <n v="2108"/>
    <n v="46"/>
    <x v="0"/>
    <x v="13"/>
    <x v="0"/>
    <n v="75"/>
    <x v="12"/>
    <x v="2"/>
    <s v="Black"/>
    <x v="0"/>
    <n v="3.3"/>
    <s v="No"/>
    <x v="3"/>
    <s v="No"/>
    <n v="35"/>
    <x v="3"/>
    <s v="Quarterly"/>
    <n v="0.1"/>
    <n v="67.5"/>
    <n v="75"/>
    <s v="PayPal"/>
    <s v="Normal"/>
    <s v="Good"/>
  </r>
  <r>
    <n v="2109"/>
    <n v="54"/>
    <x v="0"/>
    <x v="15"/>
    <x v="0"/>
    <n v="46"/>
    <x v="25"/>
    <x v="3"/>
    <s v="Beige"/>
    <x v="0"/>
    <n v="4.2"/>
    <s v="No"/>
    <x v="0"/>
    <s v="No"/>
    <n v="4"/>
    <x v="2"/>
    <s v="Quarterly"/>
    <n v="0.1"/>
    <n v="41.4"/>
    <n v="46"/>
    <s v="Credit Card"/>
    <s v="Normal"/>
    <s v="Good"/>
  </r>
  <r>
    <n v="2110"/>
    <n v="59"/>
    <x v="0"/>
    <x v="16"/>
    <x v="3"/>
    <n v="31"/>
    <x v="18"/>
    <x v="0"/>
    <s v="Peach"/>
    <x v="3"/>
    <n v="2.7"/>
    <s v="No"/>
    <x v="1"/>
    <s v="No"/>
    <n v="28"/>
    <x v="0"/>
    <s v="Every 3 Months"/>
    <n v="0.1"/>
    <n v="27.9"/>
    <n v="31"/>
    <s v="Venmo"/>
    <s v="Normal"/>
    <s v="Poor"/>
  </r>
  <r>
    <n v="2111"/>
    <n v="52"/>
    <x v="0"/>
    <x v="20"/>
    <x v="0"/>
    <n v="93"/>
    <x v="6"/>
    <x v="0"/>
    <s v="Cyan"/>
    <x v="1"/>
    <n v="3.9"/>
    <s v="No"/>
    <x v="5"/>
    <s v="No"/>
    <n v="36"/>
    <x v="5"/>
    <s v="Every 3 Months"/>
    <n v="0.1"/>
    <n v="83.7"/>
    <n v="93"/>
    <s v="Debit Card"/>
    <s v="Normal"/>
    <s v="Good"/>
  </r>
  <r>
    <n v="2112"/>
    <n v="41"/>
    <x v="0"/>
    <x v="12"/>
    <x v="3"/>
    <n v="85"/>
    <x v="9"/>
    <x v="3"/>
    <s v="Pink"/>
    <x v="1"/>
    <n v="2.6"/>
    <s v="No"/>
    <x v="1"/>
    <s v="No"/>
    <n v="15"/>
    <x v="4"/>
    <s v="Annually"/>
    <n v="0.1"/>
    <n v="76.5"/>
    <n v="85"/>
    <s v="Bank Transfer"/>
    <s v="Normal"/>
    <s v="Poor"/>
  </r>
  <r>
    <n v="2113"/>
    <n v="43"/>
    <x v="0"/>
    <x v="22"/>
    <x v="3"/>
    <n v="68"/>
    <x v="30"/>
    <x v="2"/>
    <s v="Lavender"/>
    <x v="3"/>
    <n v="4.5"/>
    <s v="No"/>
    <x v="4"/>
    <s v="No"/>
    <n v="7"/>
    <x v="1"/>
    <s v="Fortnightly"/>
    <n v="0.1"/>
    <n v="61.2"/>
    <n v="68"/>
    <s v="Cash"/>
    <s v="Normal"/>
    <s v="Good"/>
  </r>
  <r>
    <n v="2114"/>
    <n v="63"/>
    <x v="0"/>
    <x v="10"/>
    <x v="0"/>
    <n v="40"/>
    <x v="41"/>
    <x v="2"/>
    <s v="Brown"/>
    <x v="1"/>
    <n v="2.7"/>
    <s v="No"/>
    <x v="5"/>
    <s v="No"/>
    <n v="29"/>
    <x v="3"/>
    <s v="Every 3 Months"/>
    <n v="0.1"/>
    <n v="36"/>
    <n v="40"/>
    <s v="PayPal"/>
    <s v="Normal"/>
    <s v="Poor"/>
  </r>
  <r>
    <n v="2115"/>
    <n v="37"/>
    <x v="0"/>
    <x v="5"/>
    <x v="0"/>
    <n v="51"/>
    <x v="34"/>
    <x v="2"/>
    <s v="Magenta"/>
    <x v="0"/>
    <n v="2.9"/>
    <s v="No"/>
    <x v="3"/>
    <s v="No"/>
    <n v="12"/>
    <x v="5"/>
    <s v="Annually"/>
    <n v="0.1"/>
    <n v="45.9"/>
    <n v="51"/>
    <s v="Debit Card"/>
    <s v="Normal"/>
    <s v="Poor"/>
  </r>
  <r>
    <n v="2116"/>
    <n v="44"/>
    <x v="0"/>
    <x v="18"/>
    <x v="3"/>
    <n v="85"/>
    <x v="3"/>
    <x v="2"/>
    <s v="Violet"/>
    <x v="0"/>
    <n v="3.4"/>
    <s v="No"/>
    <x v="5"/>
    <s v="No"/>
    <n v="16"/>
    <x v="4"/>
    <s v="Bi-Weekly"/>
    <n v="0.1"/>
    <n v="76.5"/>
    <n v="85"/>
    <s v="Bank Transfer"/>
    <s v="Normal"/>
    <s v="Good"/>
  </r>
  <r>
    <n v="2117"/>
    <n v="67"/>
    <x v="0"/>
    <x v="14"/>
    <x v="2"/>
    <n v="23"/>
    <x v="23"/>
    <x v="2"/>
    <s v="Teal"/>
    <x v="2"/>
    <n v="2.9"/>
    <s v="No"/>
    <x v="0"/>
    <s v="No"/>
    <n v="50"/>
    <x v="5"/>
    <s v="Bi-Weekly"/>
    <n v="0.1"/>
    <n v="20.7"/>
    <n v="23"/>
    <s v="Debit Card"/>
    <s v="Normal"/>
    <s v="Poor"/>
  </r>
  <r>
    <n v="2118"/>
    <n v="27"/>
    <x v="0"/>
    <x v="10"/>
    <x v="0"/>
    <n v="28"/>
    <x v="24"/>
    <x v="0"/>
    <s v="Brown"/>
    <x v="2"/>
    <n v="3.8"/>
    <s v="No"/>
    <x v="1"/>
    <s v="No"/>
    <n v="11"/>
    <x v="5"/>
    <s v="Annually"/>
    <n v="0.1"/>
    <n v="25.2"/>
    <n v="28"/>
    <s v="Debit Card"/>
    <s v="Normal"/>
    <s v="Good"/>
  </r>
  <r>
    <n v="2119"/>
    <n v="60"/>
    <x v="0"/>
    <x v="20"/>
    <x v="0"/>
    <n v="44"/>
    <x v="42"/>
    <x v="2"/>
    <s v="Olive"/>
    <x v="3"/>
    <n v="4.2"/>
    <s v="No"/>
    <x v="4"/>
    <s v="No"/>
    <n v="28"/>
    <x v="5"/>
    <s v="Quarterly"/>
    <n v="0.1"/>
    <n v="39.6"/>
    <n v="44"/>
    <s v="Debit Card"/>
    <s v="Normal"/>
    <s v="Good"/>
  </r>
  <r>
    <n v="2120"/>
    <n v="58"/>
    <x v="0"/>
    <x v="16"/>
    <x v="3"/>
    <n v="57"/>
    <x v="43"/>
    <x v="2"/>
    <s v="Indigo"/>
    <x v="1"/>
    <n v="3.5"/>
    <s v="No"/>
    <x v="5"/>
    <s v="No"/>
    <n v="36"/>
    <x v="0"/>
    <s v="Bi-Weekly"/>
    <n v="0.1"/>
    <n v="51.3"/>
    <n v="57"/>
    <s v="Venmo"/>
    <s v="Normal"/>
    <s v="Good"/>
  </r>
  <r>
    <n v="2121"/>
    <n v="53"/>
    <x v="0"/>
    <x v="18"/>
    <x v="3"/>
    <n v="98"/>
    <x v="9"/>
    <x v="1"/>
    <s v="Red"/>
    <x v="3"/>
    <n v="3.1"/>
    <s v="No"/>
    <x v="2"/>
    <s v="No"/>
    <n v="38"/>
    <x v="3"/>
    <s v="Quarterly"/>
    <n v="0.1"/>
    <n v="88.2"/>
    <n v="98"/>
    <s v="PayPal"/>
    <s v="Normal"/>
    <s v="Good"/>
  </r>
  <r>
    <n v="2122"/>
    <n v="43"/>
    <x v="0"/>
    <x v="21"/>
    <x v="3"/>
    <n v="68"/>
    <x v="29"/>
    <x v="2"/>
    <s v="Olive"/>
    <x v="0"/>
    <n v="3.5"/>
    <s v="No"/>
    <x v="4"/>
    <s v="No"/>
    <n v="32"/>
    <x v="4"/>
    <s v="Monthly"/>
    <n v="0.1"/>
    <n v="61.2"/>
    <n v="68"/>
    <s v="Bank Transfer"/>
    <s v="Normal"/>
    <s v="Good"/>
  </r>
  <r>
    <n v="2123"/>
    <n v="32"/>
    <x v="0"/>
    <x v="14"/>
    <x v="2"/>
    <n v="36"/>
    <x v="41"/>
    <x v="0"/>
    <s v="Teal"/>
    <x v="3"/>
    <n v="4"/>
    <s v="No"/>
    <x v="0"/>
    <s v="No"/>
    <n v="42"/>
    <x v="5"/>
    <s v="Weekly"/>
    <n v="0.1"/>
    <n v="32.4"/>
    <n v="36"/>
    <s v="Debit Card"/>
    <s v="Normal"/>
    <s v="Good"/>
  </r>
  <r>
    <n v="2124"/>
    <n v="54"/>
    <x v="0"/>
    <x v="7"/>
    <x v="2"/>
    <n v="71"/>
    <x v="43"/>
    <x v="0"/>
    <s v="Cyan"/>
    <x v="1"/>
    <n v="3.7"/>
    <s v="No"/>
    <x v="0"/>
    <s v="No"/>
    <n v="22"/>
    <x v="5"/>
    <s v="Bi-Weekly"/>
    <n v="0.1"/>
    <n v="63.9"/>
    <n v="71"/>
    <s v="Debit Card"/>
    <s v="Normal"/>
    <s v="Good"/>
  </r>
  <r>
    <n v="2125"/>
    <n v="47"/>
    <x v="0"/>
    <x v="11"/>
    <x v="0"/>
    <n v="60"/>
    <x v="3"/>
    <x v="2"/>
    <s v="Teal"/>
    <x v="3"/>
    <n v="4.2"/>
    <s v="No"/>
    <x v="2"/>
    <s v="No"/>
    <n v="22"/>
    <x v="0"/>
    <s v="Quarterly"/>
    <n v="0.1"/>
    <n v="54"/>
    <n v="60"/>
    <s v="Venmo"/>
    <s v="Normal"/>
    <s v="Good"/>
  </r>
  <r>
    <n v="2126"/>
    <n v="57"/>
    <x v="0"/>
    <x v="7"/>
    <x v="2"/>
    <n v="87"/>
    <x v="13"/>
    <x v="2"/>
    <s v="Beige"/>
    <x v="3"/>
    <n v="4.8"/>
    <s v="No"/>
    <x v="5"/>
    <s v="No"/>
    <n v="31"/>
    <x v="3"/>
    <s v="Quarterly"/>
    <n v="0.1"/>
    <n v="78.3"/>
    <n v="87"/>
    <s v="PayPal"/>
    <s v="Normal"/>
    <s v="Good"/>
  </r>
  <r>
    <n v="2127"/>
    <n v="63"/>
    <x v="0"/>
    <x v="9"/>
    <x v="1"/>
    <n v="38"/>
    <x v="15"/>
    <x v="3"/>
    <s v="Magenta"/>
    <x v="0"/>
    <n v="4.0999999999999996"/>
    <s v="No"/>
    <x v="0"/>
    <s v="No"/>
    <n v="28"/>
    <x v="2"/>
    <s v="Monthly"/>
    <n v="0.1"/>
    <n v="34.200000000000003"/>
    <n v="38"/>
    <s v="Credit Card"/>
    <s v="Normal"/>
    <s v="Good"/>
  </r>
  <r>
    <n v="2128"/>
    <n v="70"/>
    <x v="0"/>
    <x v="23"/>
    <x v="1"/>
    <n v="45"/>
    <x v="17"/>
    <x v="2"/>
    <s v="Indigo"/>
    <x v="1"/>
    <n v="4.5"/>
    <s v="No"/>
    <x v="4"/>
    <s v="No"/>
    <n v="40"/>
    <x v="5"/>
    <s v="Weekly"/>
    <n v="0.1"/>
    <n v="40.5"/>
    <n v="45"/>
    <s v="Debit Card"/>
    <s v="Normal"/>
    <s v="Good"/>
  </r>
  <r>
    <n v="2129"/>
    <n v="62"/>
    <x v="0"/>
    <x v="7"/>
    <x v="2"/>
    <n v="47"/>
    <x v="35"/>
    <x v="0"/>
    <s v="Cyan"/>
    <x v="3"/>
    <n v="2.7"/>
    <s v="No"/>
    <x v="4"/>
    <s v="No"/>
    <n v="21"/>
    <x v="3"/>
    <s v="Weekly"/>
    <n v="0.1"/>
    <n v="42.3"/>
    <n v="47"/>
    <s v="PayPal"/>
    <s v="Normal"/>
    <s v="Poor"/>
  </r>
  <r>
    <n v="2130"/>
    <n v="40"/>
    <x v="0"/>
    <x v="11"/>
    <x v="0"/>
    <n v="57"/>
    <x v="46"/>
    <x v="0"/>
    <s v="Orange"/>
    <x v="3"/>
    <n v="2.8"/>
    <s v="No"/>
    <x v="5"/>
    <s v="No"/>
    <n v="12"/>
    <x v="3"/>
    <s v="Every 3 Months"/>
    <n v="0.1"/>
    <n v="51.3"/>
    <n v="57"/>
    <s v="PayPal"/>
    <s v="Normal"/>
    <s v="Poor"/>
  </r>
  <r>
    <n v="2131"/>
    <n v="25"/>
    <x v="0"/>
    <x v="21"/>
    <x v="3"/>
    <n v="68"/>
    <x v="28"/>
    <x v="0"/>
    <s v="Violet"/>
    <x v="2"/>
    <n v="3.7"/>
    <s v="No"/>
    <x v="1"/>
    <s v="No"/>
    <n v="33"/>
    <x v="2"/>
    <s v="Annually"/>
    <n v="0.1"/>
    <n v="61.2"/>
    <n v="68"/>
    <s v="Credit Card"/>
    <s v="Normal"/>
    <s v="Good"/>
  </r>
  <r>
    <n v="2132"/>
    <n v="19"/>
    <x v="0"/>
    <x v="6"/>
    <x v="0"/>
    <n v="52"/>
    <x v="6"/>
    <x v="2"/>
    <s v="Red"/>
    <x v="3"/>
    <n v="3.6"/>
    <s v="No"/>
    <x v="0"/>
    <s v="No"/>
    <n v="9"/>
    <x v="4"/>
    <s v="Fortnightly"/>
    <n v="0.1"/>
    <n v="46.8"/>
    <n v="52"/>
    <s v="Bank Transfer"/>
    <s v="Normal"/>
    <s v="Good"/>
  </r>
  <r>
    <n v="2133"/>
    <n v="25"/>
    <x v="0"/>
    <x v="11"/>
    <x v="0"/>
    <n v="87"/>
    <x v="34"/>
    <x v="2"/>
    <s v="Magenta"/>
    <x v="3"/>
    <n v="4.7"/>
    <s v="No"/>
    <x v="4"/>
    <s v="No"/>
    <n v="15"/>
    <x v="5"/>
    <s v="Weekly"/>
    <n v="0.1"/>
    <n v="78.3"/>
    <n v="87"/>
    <s v="Debit Card"/>
    <s v="Normal"/>
    <s v="Good"/>
  </r>
  <r>
    <n v="2134"/>
    <n v="21"/>
    <x v="0"/>
    <x v="19"/>
    <x v="3"/>
    <n v="34"/>
    <x v="1"/>
    <x v="2"/>
    <s v="Olive"/>
    <x v="2"/>
    <n v="3.8"/>
    <s v="No"/>
    <x v="3"/>
    <s v="No"/>
    <n v="13"/>
    <x v="4"/>
    <s v="Annually"/>
    <n v="0.1"/>
    <n v="30.6"/>
    <n v="34"/>
    <s v="Bank Transfer"/>
    <s v="Normal"/>
    <s v="Good"/>
  </r>
  <r>
    <n v="2135"/>
    <n v="55"/>
    <x v="0"/>
    <x v="3"/>
    <x v="1"/>
    <n v="41"/>
    <x v="41"/>
    <x v="3"/>
    <s v="Maroon"/>
    <x v="0"/>
    <n v="2.9"/>
    <s v="No"/>
    <x v="3"/>
    <s v="No"/>
    <n v="35"/>
    <x v="2"/>
    <s v="Fortnightly"/>
    <n v="0.1"/>
    <n v="36.9"/>
    <n v="41"/>
    <s v="Credit Card"/>
    <s v="Normal"/>
    <s v="Poor"/>
  </r>
  <r>
    <n v="2136"/>
    <n v="34"/>
    <x v="0"/>
    <x v="12"/>
    <x v="3"/>
    <n v="94"/>
    <x v="18"/>
    <x v="1"/>
    <s v="Yellow"/>
    <x v="0"/>
    <n v="4.5999999999999996"/>
    <s v="No"/>
    <x v="2"/>
    <s v="No"/>
    <n v="1"/>
    <x v="5"/>
    <s v="Every 3 Months"/>
    <n v="0.1"/>
    <n v="84.6"/>
    <n v="94"/>
    <s v="Debit Card"/>
    <s v="Normal"/>
    <s v="Good"/>
  </r>
  <r>
    <n v="2137"/>
    <n v="47"/>
    <x v="0"/>
    <x v="12"/>
    <x v="3"/>
    <n v="93"/>
    <x v="14"/>
    <x v="2"/>
    <s v="Red"/>
    <x v="2"/>
    <n v="2.8"/>
    <s v="No"/>
    <x v="3"/>
    <s v="No"/>
    <n v="25"/>
    <x v="4"/>
    <s v="Fortnightly"/>
    <n v="0.1"/>
    <n v="83.7"/>
    <n v="93"/>
    <s v="Bank Transfer"/>
    <s v="Normal"/>
    <s v="Poor"/>
  </r>
  <r>
    <n v="2138"/>
    <n v="27"/>
    <x v="0"/>
    <x v="20"/>
    <x v="0"/>
    <n v="51"/>
    <x v="27"/>
    <x v="3"/>
    <s v="Purple"/>
    <x v="0"/>
    <n v="4.5999999999999996"/>
    <s v="No"/>
    <x v="4"/>
    <s v="No"/>
    <n v="20"/>
    <x v="2"/>
    <s v="Every 3 Months"/>
    <n v="0.1"/>
    <n v="45.9"/>
    <n v="51"/>
    <s v="Credit Card"/>
    <s v="Normal"/>
    <s v="Good"/>
  </r>
  <r>
    <n v="2139"/>
    <n v="67"/>
    <x v="0"/>
    <x v="1"/>
    <x v="0"/>
    <n v="42"/>
    <x v="16"/>
    <x v="2"/>
    <s v="Teal"/>
    <x v="3"/>
    <n v="2.8"/>
    <s v="No"/>
    <x v="2"/>
    <s v="No"/>
    <n v="36"/>
    <x v="0"/>
    <s v="Quarterly"/>
    <n v="0.1"/>
    <n v="37.799999999999997"/>
    <n v="42"/>
    <s v="Venmo"/>
    <s v="Normal"/>
    <s v="Poor"/>
  </r>
  <r>
    <n v="2140"/>
    <n v="40"/>
    <x v="0"/>
    <x v="23"/>
    <x v="1"/>
    <n v="95"/>
    <x v="14"/>
    <x v="2"/>
    <s v="Red"/>
    <x v="0"/>
    <n v="3"/>
    <s v="No"/>
    <x v="1"/>
    <s v="No"/>
    <n v="33"/>
    <x v="1"/>
    <s v="Weekly"/>
    <n v="0.1"/>
    <n v="85.5"/>
    <n v="95"/>
    <s v="Cash"/>
    <s v="Normal"/>
    <s v="Good"/>
  </r>
  <r>
    <n v="2141"/>
    <n v="53"/>
    <x v="0"/>
    <x v="8"/>
    <x v="3"/>
    <n v="90"/>
    <x v="35"/>
    <x v="2"/>
    <s v="Brown"/>
    <x v="3"/>
    <n v="3.7"/>
    <s v="No"/>
    <x v="3"/>
    <s v="No"/>
    <n v="36"/>
    <x v="1"/>
    <s v="Fortnightly"/>
    <n v="0.1"/>
    <n v="81"/>
    <n v="90"/>
    <s v="Cash"/>
    <s v="Normal"/>
    <s v="Good"/>
  </r>
  <r>
    <n v="2142"/>
    <n v="24"/>
    <x v="0"/>
    <x v="10"/>
    <x v="0"/>
    <n v="98"/>
    <x v="0"/>
    <x v="2"/>
    <s v="Peach"/>
    <x v="0"/>
    <n v="4.0999999999999996"/>
    <s v="No"/>
    <x v="4"/>
    <s v="No"/>
    <n v="32"/>
    <x v="3"/>
    <s v="Annually"/>
    <n v="0.1"/>
    <n v="88.2"/>
    <n v="98"/>
    <s v="PayPal"/>
    <s v="Normal"/>
    <s v="Good"/>
  </r>
  <r>
    <n v="2143"/>
    <n v="47"/>
    <x v="0"/>
    <x v="19"/>
    <x v="3"/>
    <n v="39"/>
    <x v="25"/>
    <x v="2"/>
    <s v="Maroon"/>
    <x v="0"/>
    <n v="4.3"/>
    <s v="No"/>
    <x v="2"/>
    <s v="No"/>
    <n v="21"/>
    <x v="0"/>
    <s v="Quarterly"/>
    <n v="0.1"/>
    <n v="35.1"/>
    <n v="39"/>
    <s v="Venmo"/>
    <s v="Normal"/>
    <s v="Good"/>
  </r>
  <r>
    <n v="2144"/>
    <n v="53"/>
    <x v="0"/>
    <x v="3"/>
    <x v="1"/>
    <n v="66"/>
    <x v="10"/>
    <x v="0"/>
    <s v="Red"/>
    <x v="3"/>
    <n v="3.8"/>
    <s v="No"/>
    <x v="2"/>
    <s v="No"/>
    <n v="48"/>
    <x v="0"/>
    <s v="Bi-Weekly"/>
    <n v="0.1"/>
    <n v="59.4"/>
    <n v="66"/>
    <s v="Venmo"/>
    <s v="Normal"/>
    <s v="Good"/>
  </r>
  <r>
    <n v="2145"/>
    <n v="47"/>
    <x v="0"/>
    <x v="9"/>
    <x v="1"/>
    <n v="23"/>
    <x v="33"/>
    <x v="0"/>
    <s v="Orange"/>
    <x v="0"/>
    <n v="3.7"/>
    <s v="No"/>
    <x v="1"/>
    <s v="No"/>
    <n v="25"/>
    <x v="3"/>
    <s v="Quarterly"/>
    <n v="0.1"/>
    <n v="20.7"/>
    <n v="23"/>
    <s v="PayPal"/>
    <s v="Normal"/>
    <s v="Good"/>
  </r>
  <r>
    <n v="2146"/>
    <n v="38"/>
    <x v="0"/>
    <x v="11"/>
    <x v="0"/>
    <n v="73"/>
    <x v="39"/>
    <x v="1"/>
    <s v="White"/>
    <x v="0"/>
    <n v="4.8"/>
    <s v="No"/>
    <x v="3"/>
    <s v="No"/>
    <n v="32"/>
    <x v="3"/>
    <s v="Annually"/>
    <n v="0.1"/>
    <n v="65.7"/>
    <n v="73"/>
    <s v="PayPal"/>
    <s v="Normal"/>
    <s v="Good"/>
  </r>
  <r>
    <n v="2147"/>
    <n v="48"/>
    <x v="0"/>
    <x v="12"/>
    <x v="3"/>
    <n v="23"/>
    <x v="40"/>
    <x v="3"/>
    <s v="White"/>
    <x v="2"/>
    <n v="4.5999999999999996"/>
    <s v="No"/>
    <x v="3"/>
    <s v="No"/>
    <n v="45"/>
    <x v="3"/>
    <s v="Every 3 Months"/>
    <n v="0.1"/>
    <n v="20.7"/>
    <n v="23"/>
    <s v="PayPal"/>
    <s v="Normal"/>
    <s v="Good"/>
  </r>
  <r>
    <n v="2148"/>
    <n v="47"/>
    <x v="0"/>
    <x v="11"/>
    <x v="0"/>
    <n v="43"/>
    <x v="9"/>
    <x v="1"/>
    <s v="Charcoal"/>
    <x v="3"/>
    <n v="4.8"/>
    <s v="No"/>
    <x v="3"/>
    <s v="No"/>
    <n v="4"/>
    <x v="1"/>
    <s v="Fortnightly"/>
    <n v="0.1"/>
    <n v="38.700000000000003"/>
    <n v="43"/>
    <s v="Cash"/>
    <s v="Normal"/>
    <s v="Good"/>
  </r>
  <r>
    <n v="2149"/>
    <n v="19"/>
    <x v="0"/>
    <x v="17"/>
    <x v="0"/>
    <n v="45"/>
    <x v="43"/>
    <x v="3"/>
    <s v="Turquoise"/>
    <x v="0"/>
    <n v="4.5999999999999996"/>
    <s v="No"/>
    <x v="4"/>
    <s v="No"/>
    <n v="19"/>
    <x v="3"/>
    <s v="Bi-Weekly"/>
    <n v="0.1"/>
    <n v="40.5"/>
    <n v="45"/>
    <s v="PayPal"/>
    <s v="Normal"/>
    <s v="Good"/>
  </r>
  <r>
    <n v="2150"/>
    <n v="38"/>
    <x v="0"/>
    <x v="3"/>
    <x v="1"/>
    <n v="21"/>
    <x v="11"/>
    <x v="0"/>
    <s v="Orange"/>
    <x v="0"/>
    <n v="4"/>
    <s v="No"/>
    <x v="3"/>
    <s v="No"/>
    <n v="1"/>
    <x v="4"/>
    <s v="Weekly"/>
    <n v="0.1"/>
    <n v="18.899999999999999"/>
    <n v="21"/>
    <s v="Bank Transfer"/>
    <s v="Normal"/>
    <s v="Good"/>
  </r>
  <r>
    <n v="2151"/>
    <n v="57"/>
    <x v="0"/>
    <x v="5"/>
    <x v="0"/>
    <n v="40"/>
    <x v="26"/>
    <x v="2"/>
    <s v="Orange"/>
    <x v="1"/>
    <n v="2.6"/>
    <s v="No"/>
    <x v="4"/>
    <s v="No"/>
    <n v="12"/>
    <x v="1"/>
    <s v="Weekly"/>
    <n v="0.1"/>
    <n v="36"/>
    <n v="40"/>
    <s v="Cash"/>
    <s v="Normal"/>
    <s v="Poor"/>
  </r>
  <r>
    <n v="2152"/>
    <n v="70"/>
    <x v="0"/>
    <x v="2"/>
    <x v="0"/>
    <n v="58"/>
    <x v="34"/>
    <x v="0"/>
    <s v="Brown"/>
    <x v="3"/>
    <n v="2.6"/>
    <s v="No"/>
    <x v="4"/>
    <s v="No"/>
    <n v="18"/>
    <x v="0"/>
    <s v="Monthly"/>
    <n v="0.1"/>
    <n v="52.2"/>
    <n v="58"/>
    <s v="Venmo"/>
    <s v="Normal"/>
    <s v="Poor"/>
  </r>
  <r>
    <n v="2153"/>
    <n v="38"/>
    <x v="0"/>
    <x v="6"/>
    <x v="0"/>
    <n v="48"/>
    <x v="32"/>
    <x v="0"/>
    <s v="Magenta"/>
    <x v="2"/>
    <n v="4.5"/>
    <s v="No"/>
    <x v="2"/>
    <s v="No"/>
    <n v="43"/>
    <x v="4"/>
    <s v="Bi-Weekly"/>
    <n v="0.1"/>
    <n v="43.2"/>
    <n v="48"/>
    <s v="Bank Transfer"/>
    <s v="Normal"/>
    <s v="Good"/>
  </r>
  <r>
    <n v="2154"/>
    <n v="35"/>
    <x v="0"/>
    <x v="5"/>
    <x v="0"/>
    <n v="94"/>
    <x v="0"/>
    <x v="2"/>
    <s v="Violet"/>
    <x v="3"/>
    <n v="4.2"/>
    <s v="No"/>
    <x v="1"/>
    <s v="No"/>
    <n v="31"/>
    <x v="3"/>
    <s v="Annually"/>
    <n v="0.1"/>
    <n v="84.6"/>
    <n v="94"/>
    <s v="PayPal"/>
    <s v="Normal"/>
    <s v="Good"/>
  </r>
  <r>
    <n v="2155"/>
    <n v="46"/>
    <x v="0"/>
    <x v="18"/>
    <x v="3"/>
    <n v="74"/>
    <x v="5"/>
    <x v="2"/>
    <s v="Violet"/>
    <x v="1"/>
    <n v="3.4"/>
    <s v="No"/>
    <x v="5"/>
    <s v="No"/>
    <n v="33"/>
    <x v="1"/>
    <s v="Every 3 Months"/>
    <n v="0.1"/>
    <n v="66.599999999999994"/>
    <n v="74"/>
    <s v="Cash"/>
    <s v="Normal"/>
    <s v="Good"/>
  </r>
  <r>
    <n v="2156"/>
    <n v="32"/>
    <x v="0"/>
    <x v="8"/>
    <x v="3"/>
    <n v="51"/>
    <x v="11"/>
    <x v="0"/>
    <s v="Yellow"/>
    <x v="3"/>
    <n v="3.7"/>
    <s v="No"/>
    <x v="5"/>
    <s v="No"/>
    <n v="46"/>
    <x v="3"/>
    <s v="Monthly"/>
    <n v="0.1"/>
    <n v="45.9"/>
    <n v="51"/>
    <s v="PayPal"/>
    <s v="Normal"/>
    <s v="Good"/>
  </r>
  <r>
    <n v="2157"/>
    <n v="38"/>
    <x v="0"/>
    <x v="11"/>
    <x v="0"/>
    <n v="83"/>
    <x v="9"/>
    <x v="2"/>
    <s v="Maroon"/>
    <x v="0"/>
    <n v="3.6"/>
    <s v="No"/>
    <x v="2"/>
    <s v="No"/>
    <n v="41"/>
    <x v="5"/>
    <s v="Bi-Weekly"/>
    <n v="0.1"/>
    <n v="74.7"/>
    <n v="83"/>
    <s v="Debit Card"/>
    <s v="Normal"/>
    <s v="Good"/>
  </r>
  <r>
    <n v="2158"/>
    <n v="41"/>
    <x v="0"/>
    <x v="8"/>
    <x v="3"/>
    <n v="68"/>
    <x v="16"/>
    <x v="0"/>
    <s v="Turquoise"/>
    <x v="0"/>
    <n v="4"/>
    <s v="No"/>
    <x v="2"/>
    <s v="No"/>
    <n v="41"/>
    <x v="0"/>
    <s v="Fortnightly"/>
    <n v="0.1"/>
    <n v="61.2"/>
    <n v="68"/>
    <s v="Venmo"/>
    <s v="Normal"/>
    <s v="Good"/>
  </r>
  <r>
    <n v="2159"/>
    <n v="19"/>
    <x v="0"/>
    <x v="24"/>
    <x v="3"/>
    <n v="84"/>
    <x v="2"/>
    <x v="3"/>
    <s v="Olive"/>
    <x v="1"/>
    <n v="4.5999999999999996"/>
    <s v="No"/>
    <x v="3"/>
    <s v="No"/>
    <n v="9"/>
    <x v="4"/>
    <s v="Fortnightly"/>
    <n v="0.1"/>
    <n v="75.599999999999994"/>
    <n v="84"/>
    <s v="Bank Transfer"/>
    <s v="Normal"/>
    <s v="Good"/>
  </r>
  <r>
    <n v="2160"/>
    <n v="18"/>
    <x v="0"/>
    <x v="5"/>
    <x v="0"/>
    <n v="58"/>
    <x v="7"/>
    <x v="2"/>
    <s v="Peach"/>
    <x v="3"/>
    <n v="3"/>
    <s v="No"/>
    <x v="1"/>
    <s v="No"/>
    <n v="34"/>
    <x v="1"/>
    <s v="Annually"/>
    <n v="0.1"/>
    <n v="52.2"/>
    <n v="58"/>
    <s v="Cash"/>
    <s v="Normal"/>
    <s v="Good"/>
  </r>
  <r>
    <n v="2161"/>
    <n v="45"/>
    <x v="0"/>
    <x v="0"/>
    <x v="0"/>
    <n v="92"/>
    <x v="8"/>
    <x v="0"/>
    <s v="Charcoal"/>
    <x v="0"/>
    <n v="3.3"/>
    <s v="No"/>
    <x v="0"/>
    <s v="No"/>
    <n v="21"/>
    <x v="3"/>
    <s v="Annually"/>
    <n v="0.1"/>
    <n v="82.8"/>
    <n v="92"/>
    <s v="PayPal"/>
    <s v="Normal"/>
    <s v="Good"/>
  </r>
  <r>
    <n v="2162"/>
    <n v="23"/>
    <x v="0"/>
    <x v="10"/>
    <x v="0"/>
    <n v="69"/>
    <x v="47"/>
    <x v="1"/>
    <s v="Peach"/>
    <x v="2"/>
    <n v="3.8"/>
    <s v="No"/>
    <x v="0"/>
    <s v="No"/>
    <n v="5"/>
    <x v="5"/>
    <s v="Fortnightly"/>
    <n v="0.1"/>
    <n v="62.1"/>
    <n v="69"/>
    <s v="Debit Card"/>
    <s v="Normal"/>
    <s v="Good"/>
  </r>
  <r>
    <n v="2163"/>
    <n v="60"/>
    <x v="0"/>
    <x v="6"/>
    <x v="0"/>
    <n v="48"/>
    <x v="4"/>
    <x v="1"/>
    <s v="Black"/>
    <x v="2"/>
    <n v="2.7"/>
    <s v="No"/>
    <x v="1"/>
    <s v="No"/>
    <n v="32"/>
    <x v="3"/>
    <s v="Weekly"/>
    <n v="0.1"/>
    <n v="43.2"/>
    <n v="48"/>
    <s v="PayPal"/>
    <s v="Normal"/>
    <s v="Poor"/>
  </r>
  <r>
    <n v="2164"/>
    <n v="52"/>
    <x v="0"/>
    <x v="9"/>
    <x v="1"/>
    <n v="60"/>
    <x v="14"/>
    <x v="0"/>
    <s v="Gray"/>
    <x v="1"/>
    <n v="4.5"/>
    <s v="No"/>
    <x v="0"/>
    <s v="No"/>
    <n v="44"/>
    <x v="4"/>
    <s v="Monthly"/>
    <n v="0.1"/>
    <n v="54"/>
    <n v="60"/>
    <s v="Bank Transfer"/>
    <s v="Normal"/>
    <s v="Good"/>
  </r>
  <r>
    <n v="2165"/>
    <n v="42"/>
    <x v="0"/>
    <x v="3"/>
    <x v="1"/>
    <n v="20"/>
    <x v="44"/>
    <x v="1"/>
    <s v="Olive"/>
    <x v="0"/>
    <n v="4.8"/>
    <s v="No"/>
    <x v="2"/>
    <s v="No"/>
    <n v="46"/>
    <x v="3"/>
    <s v="Bi-Weekly"/>
    <n v="0.1"/>
    <n v="18"/>
    <n v="20"/>
    <s v="PayPal"/>
    <s v="Normal"/>
    <s v="Good"/>
  </r>
  <r>
    <n v="2166"/>
    <n v="29"/>
    <x v="0"/>
    <x v="13"/>
    <x v="0"/>
    <n v="55"/>
    <x v="37"/>
    <x v="2"/>
    <s v="Turquoise"/>
    <x v="2"/>
    <n v="4.2"/>
    <s v="No"/>
    <x v="0"/>
    <s v="No"/>
    <n v="42"/>
    <x v="2"/>
    <s v="Every 3 Months"/>
    <n v="0.1"/>
    <n v="49.5"/>
    <n v="55"/>
    <s v="Credit Card"/>
    <s v="Normal"/>
    <s v="Good"/>
  </r>
  <r>
    <n v="2167"/>
    <n v="31"/>
    <x v="0"/>
    <x v="14"/>
    <x v="2"/>
    <n v="88"/>
    <x v="32"/>
    <x v="1"/>
    <s v="Purple"/>
    <x v="1"/>
    <n v="3.5"/>
    <s v="No"/>
    <x v="0"/>
    <s v="No"/>
    <n v="50"/>
    <x v="2"/>
    <s v="Bi-Weekly"/>
    <n v="0.1"/>
    <n v="79.2"/>
    <n v="88"/>
    <s v="Credit Card"/>
    <s v="Normal"/>
    <s v="Good"/>
  </r>
  <r>
    <n v="2168"/>
    <n v="30"/>
    <x v="0"/>
    <x v="11"/>
    <x v="0"/>
    <n v="48"/>
    <x v="31"/>
    <x v="0"/>
    <s v="Green"/>
    <x v="0"/>
    <n v="4.9000000000000004"/>
    <s v="No"/>
    <x v="3"/>
    <s v="No"/>
    <n v="33"/>
    <x v="0"/>
    <s v="Fortnightly"/>
    <n v="0.1"/>
    <n v="43.2"/>
    <n v="48"/>
    <s v="Venmo"/>
    <s v="Normal"/>
    <s v="Good"/>
  </r>
  <r>
    <n v="2169"/>
    <n v="23"/>
    <x v="0"/>
    <x v="8"/>
    <x v="3"/>
    <n v="74"/>
    <x v="39"/>
    <x v="2"/>
    <s v="Beige"/>
    <x v="1"/>
    <n v="4.0999999999999996"/>
    <s v="No"/>
    <x v="2"/>
    <s v="No"/>
    <n v="32"/>
    <x v="1"/>
    <s v="Quarterly"/>
    <n v="0.1"/>
    <n v="66.599999999999994"/>
    <n v="74"/>
    <s v="Cash"/>
    <s v="Normal"/>
    <s v="Good"/>
  </r>
  <r>
    <n v="2170"/>
    <n v="31"/>
    <x v="0"/>
    <x v="7"/>
    <x v="2"/>
    <n v="42"/>
    <x v="20"/>
    <x v="2"/>
    <s v="Brown"/>
    <x v="3"/>
    <n v="2.9"/>
    <s v="No"/>
    <x v="2"/>
    <s v="No"/>
    <n v="32"/>
    <x v="4"/>
    <s v="Bi-Weekly"/>
    <n v="0.1"/>
    <n v="37.799999999999997"/>
    <n v="42"/>
    <s v="Bank Transfer"/>
    <s v="Normal"/>
    <s v="Poor"/>
  </r>
  <r>
    <n v="2171"/>
    <n v="40"/>
    <x v="0"/>
    <x v="1"/>
    <x v="0"/>
    <n v="32"/>
    <x v="36"/>
    <x v="2"/>
    <s v="Turquoise"/>
    <x v="3"/>
    <n v="4"/>
    <s v="No"/>
    <x v="2"/>
    <s v="No"/>
    <n v="37"/>
    <x v="0"/>
    <s v="Every 3 Months"/>
    <n v="0.1"/>
    <n v="28.8"/>
    <n v="32"/>
    <s v="Venmo"/>
    <s v="Normal"/>
    <s v="Good"/>
  </r>
  <r>
    <n v="2172"/>
    <n v="39"/>
    <x v="0"/>
    <x v="6"/>
    <x v="0"/>
    <n v="98"/>
    <x v="9"/>
    <x v="2"/>
    <s v="Yellow"/>
    <x v="2"/>
    <n v="4.5999999999999996"/>
    <s v="No"/>
    <x v="5"/>
    <s v="No"/>
    <n v="9"/>
    <x v="1"/>
    <s v="Fortnightly"/>
    <n v="0.1"/>
    <n v="88.2"/>
    <n v="98"/>
    <s v="Cash"/>
    <s v="Normal"/>
    <s v="Good"/>
  </r>
  <r>
    <n v="2173"/>
    <n v="28"/>
    <x v="0"/>
    <x v="11"/>
    <x v="0"/>
    <n v="89"/>
    <x v="3"/>
    <x v="1"/>
    <s v="Lavender"/>
    <x v="3"/>
    <n v="2.8"/>
    <s v="No"/>
    <x v="5"/>
    <s v="No"/>
    <n v="6"/>
    <x v="3"/>
    <s v="Fortnightly"/>
    <n v="0.1"/>
    <n v="80.099999999999994"/>
    <n v="89"/>
    <s v="PayPal"/>
    <s v="Normal"/>
    <s v="Poor"/>
  </r>
  <r>
    <n v="2174"/>
    <n v="23"/>
    <x v="0"/>
    <x v="24"/>
    <x v="3"/>
    <n v="97"/>
    <x v="12"/>
    <x v="1"/>
    <s v="Cyan"/>
    <x v="2"/>
    <n v="5"/>
    <s v="No"/>
    <x v="4"/>
    <s v="No"/>
    <n v="36"/>
    <x v="0"/>
    <s v="Quarterly"/>
    <n v="0.1"/>
    <n v="87.3"/>
    <n v="97"/>
    <s v="Venmo"/>
    <s v="Normal"/>
    <s v="Good"/>
  </r>
  <r>
    <n v="2175"/>
    <n v="42"/>
    <x v="0"/>
    <x v="21"/>
    <x v="3"/>
    <n v="49"/>
    <x v="24"/>
    <x v="1"/>
    <s v="Olive"/>
    <x v="1"/>
    <n v="2.9"/>
    <s v="No"/>
    <x v="5"/>
    <s v="No"/>
    <n v="1"/>
    <x v="1"/>
    <s v="Annually"/>
    <n v="0.1"/>
    <n v="44.1"/>
    <n v="49"/>
    <s v="Cash"/>
    <s v="Normal"/>
    <s v="Poor"/>
  </r>
  <r>
    <n v="2176"/>
    <n v="68"/>
    <x v="0"/>
    <x v="10"/>
    <x v="0"/>
    <n v="50"/>
    <x v="43"/>
    <x v="2"/>
    <s v="Silver"/>
    <x v="1"/>
    <n v="3.3"/>
    <s v="No"/>
    <x v="1"/>
    <s v="No"/>
    <n v="48"/>
    <x v="2"/>
    <s v="Fortnightly"/>
    <n v="0.1"/>
    <n v="45"/>
    <n v="50"/>
    <s v="Credit Card"/>
    <s v="Normal"/>
    <s v="Good"/>
  </r>
  <r>
    <n v="2177"/>
    <n v="24"/>
    <x v="0"/>
    <x v="22"/>
    <x v="3"/>
    <n v="91"/>
    <x v="34"/>
    <x v="1"/>
    <s v="Red"/>
    <x v="0"/>
    <n v="3.4"/>
    <s v="No"/>
    <x v="4"/>
    <s v="No"/>
    <n v="44"/>
    <x v="5"/>
    <s v="Quarterly"/>
    <n v="0.1"/>
    <n v="81.900000000000006"/>
    <n v="91"/>
    <s v="Debit Card"/>
    <s v="Normal"/>
    <s v="Good"/>
  </r>
  <r>
    <n v="2178"/>
    <n v="24"/>
    <x v="0"/>
    <x v="24"/>
    <x v="3"/>
    <n v="93"/>
    <x v="6"/>
    <x v="3"/>
    <s v="Green"/>
    <x v="0"/>
    <n v="3"/>
    <s v="No"/>
    <x v="0"/>
    <s v="No"/>
    <n v="9"/>
    <x v="3"/>
    <s v="Bi-Weekly"/>
    <n v="0.1"/>
    <n v="83.7"/>
    <n v="93"/>
    <s v="PayPal"/>
    <s v="Normal"/>
    <s v="Good"/>
  </r>
  <r>
    <n v="2179"/>
    <n v="21"/>
    <x v="0"/>
    <x v="16"/>
    <x v="3"/>
    <n v="98"/>
    <x v="20"/>
    <x v="2"/>
    <s v="Gold"/>
    <x v="2"/>
    <n v="4.7"/>
    <s v="No"/>
    <x v="3"/>
    <s v="No"/>
    <n v="32"/>
    <x v="0"/>
    <s v="Annually"/>
    <n v="0.1"/>
    <n v="88.2"/>
    <n v="98"/>
    <s v="Venmo"/>
    <s v="Normal"/>
    <s v="Good"/>
  </r>
  <r>
    <n v="2180"/>
    <n v="49"/>
    <x v="0"/>
    <x v="20"/>
    <x v="0"/>
    <n v="82"/>
    <x v="12"/>
    <x v="0"/>
    <s v="Lavender"/>
    <x v="3"/>
    <n v="2.9"/>
    <s v="No"/>
    <x v="2"/>
    <s v="No"/>
    <n v="14"/>
    <x v="3"/>
    <s v="Monthly"/>
    <n v="0.1"/>
    <n v="73.8"/>
    <n v="82"/>
    <s v="PayPal"/>
    <s v="Normal"/>
    <s v="Poor"/>
  </r>
  <r>
    <n v="2181"/>
    <n v="41"/>
    <x v="0"/>
    <x v="7"/>
    <x v="2"/>
    <n v="37"/>
    <x v="39"/>
    <x v="2"/>
    <s v="Yellow"/>
    <x v="2"/>
    <n v="4.0999999999999996"/>
    <s v="No"/>
    <x v="5"/>
    <s v="No"/>
    <n v="43"/>
    <x v="1"/>
    <s v="Quarterly"/>
    <n v="0.1"/>
    <n v="33.299999999999997"/>
    <n v="37"/>
    <s v="Cash"/>
    <s v="Normal"/>
    <s v="Good"/>
  </r>
  <r>
    <n v="2182"/>
    <n v="22"/>
    <x v="0"/>
    <x v="8"/>
    <x v="3"/>
    <n v="63"/>
    <x v="11"/>
    <x v="2"/>
    <s v="Black"/>
    <x v="3"/>
    <n v="3.2"/>
    <s v="No"/>
    <x v="1"/>
    <s v="No"/>
    <n v="32"/>
    <x v="4"/>
    <s v="Bi-Weekly"/>
    <n v="0.1"/>
    <n v="56.7"/>
    <n v="63"/>
    <s v="Bank Transfer"/>
    <s v="Normal"/>
    <s v="Good"/>
  </r>
  <r>
    <n v="2183"/>
    <n v="42"/>
    <x v="0"/>
    <x v="0"/>
    <x v="0"/>
    <n v="99"/>
    <x v="35"/>
    <x v="2"/>
    <s v="Maroon"/>
    <x v="0"/>
    <n v="2.7"/>
    <s v="No"/>
    <x v="5"/>
    <s v="No"/>
    <n v="26"/>
    <x v="0"/>
    <s v="Bi-Weekly"/>
    <n v="0.1"/>
    <n v="89.1"/>
    <n v="99"/>
    <s v="Venmo"/>
    <s v="Normal"/>
    <s v="Poor"/>
  </r>
  <r>
    <n v="2184"/>
    <n v="30"/>
    <x v="0"/>
    <x v="6"/>
    <x v="0"/>
    <n v="37"/>
    <x v="23"/>
    <x v="2"/>
    <s v="Maroon"/>
    <x v="1"/>
    <n v="4.7"/>
    <s v="No"/>
    <x v="5"/>
    <s v="No"/>
    <n v="2"/>
    <x v="1"/>
    <s v="Monthly"/>
    <n v="0.1"/>
    <n v="33.299999999999997"/>
    <n v="37"/>
    <s v="Cash"/>
    <s v="Normal"/>
    <s v="Good"/>
  </r>
  <r>
    <n v="2185"/>
    <n v="38"/>
    <x v="0"/>
    <x v="9"/>
    <x v="1"/>
    <n v="34"/>
    <x v="22"/>
    <x v="1"/>
    <s v="Gold"/>
    <x v="1"/>
    <n v="3.2"/>
    <s v="No"/>
    <x v="1"/>
    <s v="No"/>
    <n v="16"/>
    <x v="3"/>
    <s v="Every 3 Months"/>
    <n v="0.1"/>
    <n v="30.6"/>
    <n v="34"/>
    <s v="PayPal"/>
    <s v="Normal"/>
    <s v="Good"/>
  </r>
  <r>
    <n v="2186"/>
    <n v="40"/>
    <x v="0"/>
    <x v="6"/>
    <x v="0"/>
    <n v="32"/>
    <x v="17"/>
    <x v="2"/>
    <s v="Violet"/>
    <x v="0"/>
    <n v="2.5"/>
    <s v="No"/>
    <x v="0"/>
    <s v="No"/>
    <n v="50"/>
    <x v="5"/>
    <s v="Every 3 Months"/>
    <n v="0.1"/>
    <n v="28.8"/>
    <n v="32"/>
    <s v="Debit Card"/>
    <s v="Normal"/>
    <s v="Poor"/>
  </r>
  <r>
    <n v="2187"/>
    <n v="55"/>
    <x v="0"/>
    <x v="3"/>
    <x v="1"/>
    <n v="23"/>
    <x v="35"/>
    <x v="3"/>
    <s v="Teal"/>
    <x v="0"/>
    <n v="4.3"/>
    <s v="No"/>
    <x v="2"/>
    <s v="No"/>
    <n v="6"/>
    <x v="3"/>
    <s v="Every 3 Months"/>
    <n v="0.1"/>
    <n v="20.7"/>
    <n v="23"/>
    <s v="PayPal"/>
    <s v="Normal"/>
    <s v="Good"/>
  </r>
  <r>
    <n v="2188"/>
    <n v="37"/>
    <x v="0"/>
    <x v="0"/>
    <x v="0"/>
    <n v="78"/>
    <x v="37"/>
    <x v="2"/>
    <s v="Violet"/>
    <x v="1"/>
    <n v="4.4000000000000004"/>
    <s v="No"/>
    <x v="1"/>
    <s v="No"/>
    <n v="20"/>
    <x v="3"/>
    <s v="Annually"/>
    <n v="0.1"/>
    <n v="70.2"/>
    <n v="78"/>
    <s v="PayPal"/>
    <s v="Normal"/>
    <s v="Good"/>
  </r>
  <r>
    <n v="2189"/>
    <n v="41"/>
    <x v="0"/>
    <x v="7"/>
    <x v="2"/>
    <n v="54"/>
    <x v="18"/>
    <x v="2"/>
    <s v="Brown"/>
    <x v="0"/>
    <n v="4.7"/>
    <s v="No"/>
    <x v="2"/>
    <s v="No"/>
    <n v="9"/>
    <x v="2"/>
    <s v="Weekly"/>
    <n v="0.1"/>
    <n v="48.6"/>
    <n v="54"/>
    <s v="Credit Card"/>
    <s v="Normal"/>
    <s v="Good"/>
  </r>
  <r>
    <n v="2190"/>
    <n v="38"/>
    <x v="0"/>
    <x v="0"/>
    <x v="0"/>
    <n v="94"/>
    <x v="48"/>
    <x v="3"/>
    <s v="Brown"/>
    <x v="3"/>
    <n v="4"/>
    <s v="No"/>
    <x v="0"/>
    <s v="No"/>
    <n v="47"/>
    <x v="2"/>
    <s v="Bi-Weekly"/>
    <n v="0.1"/>
    <n v="84.6"/>
    <n v="94"/>
    <s v="Credit Card"/>
    <s v="Normal"/>
    <s v="Good"/>
  </r>
  <r>
    <n v="2191"/>
    <n v="42"/>
    <x v="0"/>
    <x v="22"/>
    <x v="3"/>
    <n v="75"/>
    <x v="29"/>
    <x v="1"/>
    <s v="Maroon"/>
    <x v="1"/>
    <n v="4.5999999999999996"/>
    <s v="No"/>
    <x v="0"/>
    <s v="No"/>
    <n v="33"/>
    <x v="2"/>
    <s v="Annually"/>
    <n v="0.1"/>
    <n v="67.5"/>
    <n v="75"/>
    <s v="Credit Card"/>
    <s v="Normal"/>
    <s v="Good"/>
  </r>
  <r>
    <n v="2192"/>
    <n v="26"/>
    <x v="0"/>
    <x v="0"/>
    <x v="0"/>
    <n v="69"/>
    <x v="38"/>
    <x v="1"/>
    <s v="Maroon"/>
    <x v="2"/>
    <n v="3.8"/>
    <s v="No"/>
    <x v="2"/>
    <s v="No"/>
    <n v="46"/>
    <x v="1"/>
    <s v="Bi-Weekly"/>
    <n v="0.1"/>
    <n v="62.1"/>
    <n v="69"/>
    <s v="Cash"/>
    <s v="Normal"/>
    <s v="Good"/>
  </r>
  <r>
    <n v="2193"/>
    <n v="41"/>
    <x v="0"/>
    <x v="18"/>
    <x v="3"/>
    <n v="35"/>
    <x v="41"/>
    <x v="0"/>
    <s v="Yellow"/>
    <x v="0"/>
    <n v="3.2"/>
    <s v="No"/>
    <x v="2"/>
    <s v="No"/>
    <n v="9"/>
    <x v="2"/>
    <s v="Monthly"/>
    <n v="0.1"/>
    <n v="31.5"/>
    <n v="35"/>
    <s v="Credit Card"/>
    <s v="Normal"/>
    <s v="Good"/>
  </r>
  <r>
    <n v="2194"/>
    <n v="27"/>
    <x v="0"/>
    <x v="5"/>
    <x v="0"/>
    <n v="78"/>
    <x v="18"/>
    <x v="0"/>
    <s v="Turquoise"/>
    <x v="1"/>
    <n v="5"/>
    <s v="No"/>
    <x v="0"/>
    <s v="No"/>
    <n v="8"/>
    <x v="3"/>
    <s v="Monthly"/>
    <n v="0.1"/>
    <n v="70.2"/>
    <n v="78"/>
    <s v="PayPal"/>
    <s v="Normal"/>
    <s v="Good"/>
  </r>
  <r>
    <n v="2195"/>
    <n v="61"/>
    <x v="0"/>
    <x v="20"/>
    <x v="0"/>
    <n v="29"/>
    <x v="0"/>
    <x v="2"/>
    <s v="Silver"/>
    <x v="2"/>
    <n v="3.5"/>
    <s v="No"/>
    <x v="3"/>
    <s v="No"/>
    <n v="48"/>
    <x v="4"/>
    <s v="Quarterly"/>
    <n v="0.1"/>
    <n v="26.1"/>
    <n v="29"/>
    <s v="Bank Transfer"/>
    <s v="Normal"/>
    <s v="Good"/>
  </r>
  <r>
    <n v="2196"/>
    <n v="58"/>
    <x v="0"/>
    <x v="2"/>
    <x v="0"/>
    <n v="62"/>
    <x v="14"/>
    <x v="2"/>
    <s v="Brown"/>
    <x v="3"/>
    <n v="3.7"/>
    <s v="No"/>
    <x v="2"/>
    <s v="No"/>
    <n v="2"/>
    <x v="1"/>
    <s v="Monthly"/>
    <n v="0.1"/>
    <n v="55.8"/>
    <n v="62"/>
    <s v="Cash"/>
    <s v="Normal"/>
    <s v="Good"/>
  </r>
  <r>
    <n v="2197"/>
    <n v="25"/>
    <x v="0"/>
    <x v="10"/>
    <x v="0"/>
    <n v="58"/>
    <x v="34"/>
    <x v="2"/>
    <s v="Gray"/>
    <x v="1"/>
    <n v="4.8"/>
    <s v="No"/>
    <x v="2"/>
    <s v="No"/>
    <n v="31"/>
    <x v="3"/>
    <s v="Weekly"/>
    <n v="0.1"/>
    <n v="52.2"/>
    <n v="58"/>
    <s v="PayPal"/>
    <s v="Normal"/>
    <s v="Good"/>
  </r>
  <r>
    <n v="2198"/>
    <n v="33"/>
    <x v="0"/>
    <x v="23"/>
    <x v="1"/>
    <n v="88"/>
    <x v="38"/>
    <x v="2"/>
    <s v="Indigo"/>
    <x v="2"/>
    <n v="3.7"/>
    <s v="No"/>
    <x v="4"/>
    <s v="No"/>
    <n v="40"/>
    <x v="0"/>
    <s v="Monthly"/>
    <n v="0.1"/>
    <n v="79.2"/>
    <n v="88"/>
    <s v="Venmo"/>
    <s v="Normal"/>
    <s v="Good"/>
  </r>
  <r>
    <n v="2199"/>
    <n v="57"/>
    <x v="0"/>
    <x v="18"/>
    <x v="3"/>
    <n v="80"/>
    <x v="14"/>
    <x v="0"/>
    <s v="Turquoise"/>
    <x v="2"/>
    <n v="3.5"/>
    <s v="No"/>
    <x v="1"/>
    <s v="No"/>
    <n v="35"/>
    <x v="0"/>
    <s v="Monthly"/>
    <n v="0.1"/>
    <n v="72"/>
    <n v="80"/>
    <s v="Venmo"/>
    <s v="Normal"/>
    <s v="Good"/>
  </r>
  <r>
    <n v="2200"/>
    <n v="39"/>
    <x v="0"/>
    <x v="18"/>
    <x v="3"/>
    <n v="47"/>
    <x v="17"/>
    <x v="2"/>
    <s v="Maroon"/>
    <x v="2"/>
    <n v="4.9000000000000004"/>
    <s v="No"/>
    <x v="5"/>
    <s v="No"/>
    <n v="40"/>
    <x v="5"/>
    <s v="Monthly"/>
    <n v="0.1"/>
    <n v="42.3"/>
    <n v="47"/>
    <s v="Debit Card"/>
    <s v="Normal"/>
    <s v="Good"/>
  </r>
  <r>
    <n v="2201"/>
    <n v="60"/>
    <x v="0"/>
    <x v="24"/>
    <x v="3"/>
    <n v="51"/>
    <x v="5"/>
    <x v="0"/>
    <s v="Charcoal"/>
    <x v="2"/>
    <n v="4.7"/>
    <s v="No"/>
    <x v="2"/>
    <s v="No"/>
    <n v="27"/>
    <x v="5"/>
    <s v="Every 3 Months"/>
    <n v="0.1"/>
    <n v="45.9"/>
    <n v="51"/>
    <s v="Debit Card"/>
    <s v="Normal"/>
    <s v="Good"/>
  </r>
  <r>
    <n v="2202"/>
    <n v="39"/>
    <x v="0"/>
    <x v="13"/>
    <x v="0"/>
    <n v="25"/>
    <x v="31"/>
    <x v="0"/>
    <s v="Peach"/>
    <x v="1"/>
    <n v="4.9000000000000004"/>
    <s v="No"/>
    <x v="4"/>
    <s v="No"/>
    <n v="10"/>
    <x v="0"/>
    <s v="Annually"/>
    <n v="0.1"/>
    <n v="22.5"/>
    <n v="25"/>
    <s v="Venmo"/>
    <s v="Normal"/>
    <s v="Good"/>
  </r>
  <r>
    <n v="2203"/>
    <n v="42"/>
    <x v="0"/>
    <x v="10"/>
    <x v="0"/>
    <n v="36"/>
    <x v="15"/>
    <x v="2"/>
    <s v="Red"/>
    <x v="2"/>
    <n v="4.3"/>
    <s v="No"/>
    <x v="2"/>
    <s v="No"/>
    <n v="23"/>
    <x v="2"/>
    <s v="Weekly"/>
    <n v="0.1"/>
    <n v="32.4"/>
    <n v="36"/>
    <s v="Credit Card"/>
    <s v="Normal"/>
    <s v="Good"/>
  </r>
  <r>
    <n v="2204"/>
    <n v="53"/>
    <x v="0"/>
    <x v="10"/>
    <x v="0"/>
    <n v="79"/>
    <x v="3"/>
    <x v="2"/>
    <s v="Indigo"/>
    <x v="0"/>
    <n v="3.1"/>
    <s v="No"/>
    <x v="1"/>
    <s v="No"/>
    <n v="32"/>
    <x v="1"/>
    <s v="Quarterly"/>
    <n v="0.1"/>
    <n v="71.099999999999994"/>
    <n v="79"/>
    <s v="Cash"/>
    <s v="Normal"/>
    <s v="Good"/>
  </r>
  <r>
    <n v="2205"/>
    <n v="20"/>
    <x v="0"/>
    <x v="2"/>
    <x v="0"/>
    <n v="41"/>
    <x v="4"/>
    <x v="1"/>
    <s v="Lavender"/>
    <x v="0"/>
    <n v="3.4"/>
    <s v="No"/>
    <x v="4"/>
    <s v="No"/>
    <n v="6"/>
    <x v="5"/>
    <s v="Monthly"/>
    <n v="0.1"/>
    <n v="36.9"/>
    <n v="41"/>
    <s v="Debit Card"/>
    <s v="Normal"/>
    <s v="Good"/>
  </r>
  <r>
    <n v="2206"/>
    <n v="46"/>
    <x v="0"/>
    <x v="1"/>
    <x v="0"/>
    <n v="68"/>
    <x v="25"/>
    <x v="3"/>
    <s v="Red"/>
    <x v="3"/>
    <n v="2.7"/>
    <s v="No"/>
    <x v="0"/>
    <s v="No"/>
    <n v="27"/>
    <x v="3"/>
    <s v="Weekly"/>
    <n v="0.1"/>
    <n v="61.2"/>
    <n v="68"/>
    <s v="PayPal"/>
    <s v="Normal"/>
    <s v="Poor"/>
  </r>
  <r>
    <n v="2207"/>
    <n v="46"/>
    <x v="0"/>
    <x v="3"/>
    <x v="1"/>
    <n v="51"/>
    <x v="26"/>
    <x v="0"/>
    <s v="Green"/>
    <x v="1"/>
    <n v="2.6"/>
    <s v="No"/>
    <x v="5"/>
    <s v="No"/>
    <n v="25"/>
    <x v="4"/>
    <s v="Fortnightly"/>
    <n v="0.1"/>
    <n v="45.9"/>
    <n v="51"/>
    <s v="Bank Transfer"/>
    <s v="Normal"/>
    <s v="Poor"/>
  </r>
  <r>
    <n v="2208"/>
    <n v="69"/>
    <x v="0"/>
    <x v="8"/>
    <x v="3"/>
    <n v="38"/>
    <x v="35"/>
    <x v="2"/>
    <s v="Gray"/>
    <x v="3"/>
    <n v="2.9"/>
    <s v="No"/>
    <x v="2"/>
    <s v="No"/>
    <n v="11"/>
    <x v="2"/>
    <s v="Annually"/>
    <n v="0.1"/>
    <n v="34.200000000000003"/>
    <n v="38"/>
    <s v="Credit Card"/>
    <s v="Normal"/>
    <s v="Poor"/>
  </r>
  <r>
    <n v="2209"/>
    <n v="28"/>
    <x v="0"/>
    <x v="18"/>
    <x v="3"/>
    <n v="46"/>
    <x v="24"/>
    <x v="3"/>
    <s v="Violet"/>
    <x v="2"/>
    <n v="2.7"/>
    <s v="No"/>
    <x v="4"/>
    <s v="No"/>
    <n v="23"/>
    <x v="3"/>
    <s v="Monthly"/>
    <n v="0.1"/>
    <n v="41.4"/>
    <n v="46"/>
    <s v="PayPal"/>
    <s v="Normal"/>
    <s v="Poor"/>
  </r>
  <r>
    <n v="2210"/>
    <n v="42"/>
    <x v="0"/>
    <x v="3"/>
    <x v="1"/>
    <n v="20"/>
    <x v="40"/>
    <x v="3"/>
    <s v="Beige"/>
    <x v="2"/>
    <n v="4.5"/>
    <s v="No"/>
    <x v="4"/>
    <s v="No"/>
    <n v="44"/>
    <x v="4"/>
    <s v="Quarterly"/>
    <n v="0.1"/>
    <n v="18"/>
    <n v="20"/>
    <s v="Bank Transfer"/>
    <s v="Normal"/>
    <s v="Good"/>
  </r>
  <r>
    <n v="2211"/>
    <n v="30"/>
    <x v="0"/>
    <x v="12"/>
    <x v="3"/>
    <n v="25"/>
    <x v="41"/>
    <x v="2"/>
    <s v="Orange"/>
    <x v="2"/>
    <n v="3.1"/>
    <s v="No"/>
    <x v="5"/>
    <s v="No"/>
    <n v="35"/>
    <x v="3"/>
    <s v="Fortnightly"/>
    <n v="0.1"/>
    <n v="22.5"/>
    <n v="25"/>
    <s v="PayPal"/>
    <s v="Normal"/>
    <s v="Good"/>
  </r>
  <r>
    <n v="2212"/>
    <n v="50"/>
    <x v="0"/>
    <x v="1"/>
    <x v="0"/>
    <n v="89"/>
    <x v="1"/>
    <x v="0"/>
    <s v="Purple"/>
    <x v="0"/>
    <n v="3.2"/>
    <s v="No"/>
    <x v="1"/>
    <s v="No"/>
    <n v="45"/>
    <x v="5"/>
    <s v="Every 3 Months"/>
    <n v="0.1"/>
    <n v="80.099999999999994"/>
    <n v="89"/>
    <s v="Debit Card"/>
    <s v="Normal"/>
    <s v="Good"/>
  </r>
  <r>
    <n v="2213"/>
    <n v="59"/>
    <x v="0"/>
    <x v="13"/>
    <x v="0"/>
    <n v="77"/>
    <x v="43"/>
    <x v="2"/>
    <s v="Brown"/>
    <x v="0"/>
    <n v="3.3"/>
    <s v="No"/>
    <x v="2"/>
    <s v="No"/>
    <n v="22"/>
    <x v="4"/>
    <s v="Quarterly"/>
    <n v="0.1"/>
    <n v="69.3"/>
    <n v="77"/>
    <s v="Bank Transfer"/>
    <s v="Normal"/>
    <s v="Good"/>
  </r>
  <r>
    <n v="2214"/>
    <n v="54"/>
    <x v="0"/>
    <x v="19"/>
    <x v="3"/>
    <n v="94"/>
    <x v="11"/>
    <x v="2"/>
    <s v="Maroon"/>
    <x v="3"/>
    <n v="2.9"/>
    <s v="No"/>
    <x v="0"/>
    <s v="No"/>
    <n v="18"/>
    <x v="5"/>
    <s v="Quarterly"/>
    <n v="0.1"/>
    <n v="84.6"/>
    <n v="94"/>
    <s v="Debit Card"/>
    <s v="Normal"/>
    <s v="Poor"/>
  </r>
  <r>
    <n v="2215"/>
    <n v="50"/>
    <x v="0"/>
    <x v="22"/>
    <x v="3"/>
    <n v="100"/>
    <x v="37"/>
    <x v="0"/>
    <s v="Gold"/>
    <x v="3"/>
    <n v="4.0999999999999996"/>
    <s v="No"/>
    <x v="3"/>
    <s v="No"/>
    <n v="20"/>
    <x v="5"/>
    <s v="Weekly"/>
    <n v="0.1"/>
    <n v="90"/>
    <n v="100"/>
    <s v="Debit Card"/>
    <s v="Normal"/>
    <s v="Good"/>
  </r>
  <r>
    <n v="2216"/>
    <n v="25"/>
    <x v="0"/>
    <x v="3"/>
    <x v="1"/>
    <n v="96"/>
    <x v="8"/>
    <x v="2"/>
    <s v="Indigo"/>
    <x v="0"/>
    <n v="2.7"/>
    <s v="No"/>
    <x v="0"/>
    <s v="No"/>
    <n v="28"/>
    <x v="2"/>
    <s v="Fortnightly"/>
    <n v="0.1"/>
    <n v="86.4"/>
    <n v="96"/>
    <s v="Credit Card"/>
    <s v="Normal"/>
    <s v="Poor"/>
  </r>
  <r>
    <n v="2217"/>
    <n v="41"/>
    <x v="0"/>
    <x v="13"/>
    <x v="0"/>
    <n v="36"/>
    <x v="34"/>
    <x v="3"/>
    <s v="Silver"/>
    <x v="0"/>
    <n v="4"/>
    <s v="No"/>
    <x v="5"/>
    <s v="No"/>
    <n v="15"/>
    <x v="0"/>
    <s v="Bi-Weekly"/>
    <n v="0.1"/>
    <n v="32.4"/>
    <n v="36"/>
    <s v="Venmo"/>
    <s v="Normal"/>
    <s v="Good"/>
  </r>
  <r>
    <n v="2218"/>
    <n v="35"/>
    <x v="0"/>
    <x v="16"/>
    <x v="3"/>
    <n v="27"/>
    <x v="27"/>
    <x v="3"/>
    <s v="Red"/>
    <x v="3"/>
    <n v="2.6"/>
    <s v="No"/>
    <x v="5"/>
    <s v="No"/>
    <n v="42"/>
    <x v="4"/>
    <s v="Fortnightly"/>
    <n v="0.1"/>
    <n v="24.3"/>
    <n v="27"/>
    <s v="Bank Transfer"/>
    <s v="Normal"/>
    <s v="Poor"/>
  </r>
  <r>
    <n v="2219"/>
    <n v="67"/>
    <x v="0"/>
    <x v="12"/>
    <x v="3"/>
    <n v="67"/>
    <x v="37"/>
    <x v="2"/>
    <s v="Magenta"/>
    <x v="0"/>
    <n v="3.5"/>
    <s v="No"/>
    <x v="5"/>
    <s v="No"/>
    <n v="20"/>
    <x v="5"/>
    <s v="Quarterly"/>
    <n v="0.1"/>
    <n v="60.3"/>
    <n v="67"/>
    <s v="Debit Card"/>
    <s v="Normal"/>
    <s v="Good"/>
  </r>
  <r>
    <n v="2220"/>
    <n v="33"/>
    <x v="0"/>
    <x v="0"/>
    <x v="0"/>
    <n v="91"/>
    <x v="46"/>
    <x v="1"/>
    <s v="Purple"/>
    <x v="3"/>
    <n v="2.8"/>
    <s v="No"/>
    <x v="5"/>
    <s v="No"/>
    <n v="16"/>
    <x v="4"/>
    <s v="Fortnightly"/>
    <n v="0.1"/>
    <n v="81.900000000000006"/>
    <n v="91"/>
    <s v="Bank Transfer"/>
    <s v="Normal"/>
    <s v="Poor"/>
  </r>
  <r>
    <n v="2221"/>
    <n v="19"/>
    <x v="0"/>
    <x v="22"/>
    <x v="3"/>
    <n v="62"/>
    <x v="5"/>
    <x v="3"/>
    <s v="Beige"/>
    <x v="3"/>
    <n v="4.5"/>
    <s v="No"/>
    <x v="5"/>
    <s v="No"/>
    <n v="47"/>
    <x v="1"/>
    <s v="Annually"/>
    <n v="0.1"/>
    <n v="55.8"/>
    <n v="62"/>
    <s v="Cash"/>
    <s v="Normal"/>
    <s v="Good"/>
  </r>
  <r>
    <n v="2222"/>
    <n v="25"/>
    <x v="0"/>
    <x v="6"/>
    <x v="0"/>
    <n v="88"/>
    <x v="23"/>
    <x v="3"/>
    <s v="White"/>
    <x v="3"/>
    <n v="3"/>
    <s v="No"/>
    <x v="1"/>
    <s v="No"/>
    <n v="34"/>
    <x v="2"/>
    <s v="Annually"/>
    <n v="0.1"/>
    <n v="79.2"/>
    <n v="88"/>
    <s v="Credit Card"/>
    <s v="Normal"/>
    <s v="Good"/>
  </r>
  <r>
    <n v="2223"/>
    <n v="32"/>
    <x v="0"/>
    <x v="13"/>
    <x v="0"/>
    <n v="66"/>
    <x v="42"/>
    <x v="2"/>
    <s v="Teal"/>
    <x v="2"/>
    <n v="4.4000000000000004"/>
    <s v="No"/>
    <x v="5"/>
    <s v="No"/>
    <n v="30"/>
    <x v="2"/>
    <s v="Weekly"/>
    <n v="0.1"/>
    <n v="59.4"/>
    <n v="66"/>
    <s v="Credit Card"/>
    <s v="Normal"/>
    <s v="Good"/>
  </r>
  <r>
    <n v="2224"/>
    <n v="30"/>
    <x v="0"/>
    <x v="3"/>
    <x v="1"/>
    <n v="65"/>
    <x v="23"/>
    <x v="2"/>
    <s v="Gray"/>
    <x v="3"/>
    <n v="4.7"/>
    <s v="No"/>
    <x v="2"/>
    <s v="No"/>
    <n v="5"/>
    <x v="3"/>
    <s v="Quarterly"/>
    <n v="0.1"/>
    <n v="58.5"/>
    <n v="65"/>
    <s v="PayPal"/>
    <s v="Normal"/>
    <s v="Good"/>
  </r>
  <r>
    <n v="2225"/>
    <n v="18"/>
    <x v="0"/>
    <x v="24"/>
    <x v="3"/>
    <n v="25"/>
    <x v="43"/>
    <x v="0"/>
    <s v="Charcoal"/>
    <x v="0"/>
    <n v="4.3"/>
    <s v="No"/>
    <x v="3"/>
    <s v="No"/>
    <n v="38"/>
    <x v="1"/>
    <s v="Quarterly"/>
    <n v="0.1"/>
    <n v="22.5"/>
    <n v="25"/>
    <s v="Cash"/>
    <s v="Normal"/>
    <s v="Good"/>
  </r>
  <r>
    <n v="2226"/>
    <n v="38"/>
    <x v="0"/>
    <x v="22"/>
    <x v="3"/>
    <n v="64"/>
    <x v="47"/>
    <x v="1"/>
    <s v="Olive"/>
    <x v="1"/>
    <n v="4.8"/>
    <s v="No"/>
    <x v="1"/>
    <s v="No"/>
    <n v="18"/>
    <x v="2"/>
    <s v="Annually"/>
    <n v="0.1"/>
    <n v="57.6"/>
    <n v="64"/>
    <s v="Credit Card"/>
    <s v="Normal"/>
    <s v="Good"/>
  </r>
  <r>
    <n v="2227"/>
    <n v="22"/>
    <x v="0"/>
    <x v="5"/>
    <x v="0"/>
    <n v="72"/>
    <x v="9"/>
    <x v="0"/>
    <s v="Blue"/>
    <x v="1"/>
    <n v="4.8"/>
    <s v="No"/>
    <x v="5"/>
    <s v="No"/>
    <n v="28"/>
    <x v="1"/>
    <s v="Annually"/>
    <n v="0.1"/>
    <n v="64.8"/>
    <n v="72"/>
    <s v="Cash"/>
    <s v="Normal"/>
    <s v="Good"/>
  </r>
  <r>
    <n v="2228"/>
    <n v="40"/>
    <x v="0"/>
    <x v="18"/>
    <x v="3"/>
    <n v="74"/>
    <x v="47"/>
    <x v="1"/>
    <s v="Gray"/>
    <x v="2"/>
    <n v="4.4000000000000004"/>
    <s v="No"/>
    <x v="2"/>
    <s v="No"/>
    <n v="42"/>
    <x v="2"/>
    <s v="Fortnightly"/>
    <n v="0.1"/>
    <n v="66.599999999999994"/>
    <n v="74"/>
    <s v="Credit Card"/>
    <s v="Normal"/>
    <s v="Good"/>
  </r>
  <r>
    <n v="2229"/>
    <n v="54"/>
    <x v="0"/>
    <x v="24"/>
    <x v="3"/>
    <n v="50"/>
    <x v="23"/>
    <x v="2"/>
    <s v="Green"/>
    <x v="3"/>
    <n v="3.7"/>
    <s v="No"/>
    <x v="1"/>
    <s v="No"/>
    <n v="5"/>
    <x v="2"/>
    <s v="Weekly"/>
    <n v="0.1"/>
    <n v="45"/>
    <n v="50"/>
    <s v="Credit Card"/>
    <s v="Normal"/>
    <s v="Good"/>
  </r>
  <r>
    <n v="2230"/>
    <n v="70"/>
    <x v="0"/>
    <x v="13"/>
    <x v="0"/>
    <n v="97"/>
    <x v="46"/>
    <x v="2"/>
    <s v="Silver"/>
    <x v="3"/>
    <n v="3.9"/>
    <s v="No"/>
    <x v="0"/>
    <s v="No"/>
    <n v="50"/>
    <x v="0"/>
    <s v="Monthly"/>
    <n v="0.1"/>
    <n v="87.3"/>
    <n v="97"/>
    <s v="Venmo"/>
    <s v="Normal"/>
    <s v="Good"/>
  </r>
  <r>
    <n v="2231"/>
    <n v="52"/>
    <x v="0"/>
    <x v="4"/>
    <x v="1"/>
    <n v="36"/>
    <x v="24"/>
    <x v="1"/>
    <s v="Teal"/>
    <x v="1"/>
    <n v="3.8"/>
    <s v="No"/>
    <x v="0"/>
    <s v="No"/>
    <n v="33"/>
    <x v="0"/>
    <s v="Fortnightly"/>
    <n v="0.1"/>
    <n v="32.4"/>
    <n v="36"/>
    <s v="Venmo"/>
    <s v="Normal"/>
    <s v="Good"/>
  </r>
  <r>
    <n v="2232"/>
    <n v="34"/>
    <x v="0"/>
    <x v="14"/>
    <x v="2"/>
    <n v="49"/>
    <x v="40"/>
    <x v="2"/>
    <s v="Beige"/>
    <x v="3"/>
    <n v="4.0999999999999996"/>
    <s v="No"/>
    <x v="5"/>
    <s v="No"/>
    <n v="1"/>
    <x v="2"/>
    <s v="Weekly"/>
    <n v="0.1"/>
    <n v="44.1"/>
    <n v="49"/>
    <s v="Credit Card"/>
    <s v="Normal"/>
    <s v="Good"/>
  </r>
  <r>
    <n v="2233"/>
    <n v="65"/>
    <x v="0"/>
    <x v="9"/>
    <x v="1"/>
    <n v="64"/>
    <x v="17"/>
    <x v="0"/>
    <s v="Lavender"/>
    <x v="1"/>
    <n v="4"/>
    <s v="No"/>
    <x v="5"/>
    <s v="No"/>
    <n v="14"/>
    <x v="1"/>
    <s v="Fortnightly"/>
    <n v="0.1"/>
    <n v="57.6"/>
    <n v="64"/>
    <s v="Cash"/>
    <s v="Normal"/>
    <s v="Good"/>
  </r>
  <r>
    <n v="2234"/>
    <n v="38"/>
    <x v="0"/>
    <x v="0"/>
    <x v="0"/>
    <n v="31"/>
    <x v="20"/>
    <x v="3"/>
    <s v="Gray"/>
    <x v="2"/>
    <n v="4.5"/>
    <s v="No"/>
    <x v="0"/>
    <s v="No"/>
    <n v="48"/>
    <x v="2"/>
    <s v="Monthly"/>
    <n v="0.1"/>
    <n v="27.9"/>
    <n v="31"/>
    <s v="Credit Card"/>
    <s v="Normal"/>
    <s v="Good"/>
  </r>
  <r>
    <n v="2235"/>
    <n v="35"/>
    <x v="0"/>
    <x v="23"/>
    <x v="1"/>
    <n v="66"/>
    <x v="13"/>
    <x v="1"/>
    <s v="Yellow"/>
    <x v="0"/>
    <n v="4"/>
    <s v="No"/>
    <x v="0"/>
    <s v="No"/>
    <n v="26"/>
    <x v="1"/>
    <s v="Weekly"/>
    <n v="0.1"/>
    <n v="59.4"/>
    <n v="66"/>
    <s v="Cash"/>
    <s v="Normal"/>
    <s v="Good"/>
  </r>
  <r>
    <n v="2236"/>
    <n v="40"/>
    <x v="0"/>
    <x v="20"/>
    <x v="0"/>
    <n v="82"/>
    <x v="26"/>
    <x v="2"/>
    <s v="Gray"/>
    <x v="1"/>
    <n v="4.5"/>
    <s v="No"/>
    <x v="4"/>
    <s v="No"/>
    <n v="44"/>
    <x v="2"/>
    <s v="Annually"/>
    <n v="0.1"/>
    <n v="73.8"/>
    <n v="82"/>
    <s v="Credit Card"/>
    <s v="Normal"/>
    <s v="Good"/>
  </r>
  <r>
    <n v="2237"/>
    <n v="23"/>
    <x v="0"/>
    <x v="17"/>
    <x v="0"/>
    <n v="88"/>
    <x v="7"/>
    <x v="2"/>
    <s v="Yellow"/>
    <x v="0"/>
    <n v="2.7"/>
    <s v="No"/>
    <x v="3"/>
    <s v="No"/>
    <n v="18"/>
    <x v="5"/>
    <s v="Fortnightly"/>
    <n v="0.1"/>
    <n v="79.2"/>
    <n v="88"/>
    <s v="Debit Card"/>
    <s v="Normal"/>
    <s v="Poor"/>
  </r>
  <r>
    <n v="2238"/>
    <n v="45"/>
    <x v="0"/>
    <x v="3"/>
    <x v="1"/>
    <n v="34"/>
    <x v="15"/>
    <x v="1"/>
    <s v="Black"/>
    <x v="2"/>
    <n v="3.8"/>
    <s v="No"/>
    <x v="2"/>
    <s v="No"/>
    <n v="31"/>
    <x v="0"/>
    <s v="Every 3 Months"/>
    <n v="0.1"/>
    <n v="30.6"/>
    <n v="34"/>
    <s v="Venmo"/>
    <s v="Normal"/>
    <s v="Good"/>
  </r>
  <r>
    <n v="2239"/>
    <n v="40"/>
    <x v="0"/>
    <x v="4"/>
    <x v="1"/>
    <n v="84"/>
    <x v="20"/>
    <x v="0"/>
    <s v="Beige"/>
    <x v="0"/>
    <n v="3.8"/>
    <s v="No"/>
    <x v="3"/>
    <s v="No"/>
    <n v="18"/>
    <x v="5"/>
    <s v="Weekly"/>
    <n v="0.1"/>
    <n v="75.599999999999994"/>
    <n v="84"/>
    <s v="Debit Card"/>
    <s v="Normal"/>
    <s v="Good"/>
  </r>
  <r>
    <n v="2240"/>
    <n v="42"/>
    <x v="0"/>
    <x v="16"/>
    <x v="3"/>
    <n v="96"/>
    <x v="15"/>
    <x v="0"/>
    <s v="Indigo"/>
    <x v="2"/>
    <n v="3.8"/>
    <s v="No"/>
    <x v="4"/>
    <s v="No"/>
    <n v="41"/>
    <x v="2"/>
    <s v="Every 3 Months"/>
    <n v="0.1"/>
    <n v="86.4"/>
    <n v="96"/>
    <s v="Credit Card"/>
    <s v="Normal"/>
    <s v="Good"/>
  </r>
  <r>
    <n v="2241"/>
    <n v="57"/>
    <x v="0"/>
    <x v="3"/>
    <x v="1"/>
    <n v="71"/>
    <x v="18"/>
    <x v="0"/>
    <s v="Green"/>
    <x v="0"/>
    <n v="4.3"/>
    <s v="No"/>
    <x v="2"/>
    <s v="No"/>
    <n v="18"/>
    <x v="5"/>
    <s v="Every 3 Months"/>
    <n v="0.1"/>
    <n v="63.9"/>
    <n v="71"/>
    <s v="Debit Card"/>
    <s v="Normal"/>
    <s v="Good"/>
  </r>
  <r>
    <n v="2242"/>
    <n v="18"/>
    <x v="0"/>
    <x v="14"/>
    <x v="2"/>
    <n v="77"/>
    <x v="33"/>
    <x v="2"/>
    <s v="Purple"/>
    <x v="2"/>
    <n v="3.5"/>
    <s v="No"/>
    <x v="1"/>
    <s v="No"/>
    <n v="3"/>
    <x v="4"/>
    <s v="Bi-Weekly"/>
    <n v="0.1"/>
    <n v="69.3"/>
    <n v="77"/>
    <s v="Bank Transfer"/>
    <s v="Normal"/>
    <s v="Good"/>
  </r>
  <r>
    <n v="2243"/>
    <n v="18"/>
    <x v="0"/>
    <x v="11"/>
    <x v="0"/>
    <n v="66"/>
    <x v="22"/>
    <x v="2"/>
    <s v="Orange"/>
    <x v="1"/>
    <n v="3.8"/>
    <s v="No"/>
    <x v="2"/>
    <s v="No"/>
    <n v="5"/>
    <x v="2"/>
    <s v="Bi-Weekly"/>
    <n v="0.1"/>
    <n v="59.4"/>
    <n v="66"/>
    <s v="Credit Card"/>
    <s v="Normal"/>
    <s v="Good"/>
  </r>
  <r>
    <n v="2244"/>
    <n v="56"/>
    <x v="0"/>
    <x v="5"/>
    <x v="0"/>
    <n v="21"/>
    <x v="2"/>
    <x v="2"/>
    <s v="Teal"/>
    <x v="0"/>
    <n v="3.7"/>
    <s v="No"/>
    <x v="4"/>
    <s v="No"/>
    <n v="13"/>
    <x v="5"/>
    <s v="Annually"/>
    <n v="0.1"/>
    <n v="18.899999999999999"/>
    <n v="21"/>
    <s v="Debit Card"/>
    <s v="Normal"/>
    <s v="Good"/>
  </r>
  <r>
    <n v="2245"/>
    <n v="35"/>
    <x v="0"/>
    <x v="6"/>
    <x v="0"/>
    <n v="37"/>
    <x v="36"/>
    <x v="2"/>
    <s v="Gold"/>
    <x v="2"/>
    <n v="4.8"/>
    <s v="No"/>
    <x v="4"/>
    <s v="No"/>
    <n v="22"/>
    <x v="3"/>
    <s v="Annually"/>
    <n v="0.1"/>
    <n v="33.299999999999997"/>
    <n v="37"/>
    <s v="PayPal"/>
    <s v="Normal"/>
    <s v="Good"/>
  </r>
  <r>
    <n v="2246"/>
    <n v="49"/>
    <x v="0"/>
    <x v="20"/>
    <x v="0"/>
    <n v="90"/>
    <x v="12"/>
    <x v="0"/>
    <s v="Gray"/>
    <x v="3"/>
    <n v="4.9000000000000004"/>
    <s v="No"/>
    <x v="1"/>
    <s v="No"/>
    <n v="45"/>
    <x v="3"/>
    <s v="Fortnightly"/>
    <n v="0.1"/>
    <n v="81"/>
    <n v="90"/>
    <s v="PayPal"/>
    <s v="Normal"/>
    <s v="Good"/>
  </r>
  <r>
    <n v="2247"/>
    <n v="49"/>
    <x v="0"/>
    <x v="14"/>
    <x v="2"/>
    <n v="96"/>
    <x v="11"/>
    <x v="2"/>
    <s v="Cyan"/>
    <x v="3"/>
    <n v="4.3"/>
    <s v="No"/>
    <x v="5"/>
    <s v="No"/>
    <n v="39"/>
    <x v="3"/>
    <s v="Every 3 Months"/>
    <n v="0.1"/>
    <n v="86.4"/>
    <n v="96"/>
    <s v="PayPal"/>
    <s v="Normal"/>
    <s v="Good"/>
  </r>
  <r>
    <n v="2248"/>
    <n v="34"/>
    <x v="0"/>
    <x v="16"/>
    <x v="3"/>
    <n v="37"/>
    <x v="20"/>
    <x v="0"/>
    <s v="Teal"/>
    <x v="2"/>
    <n v="4.4000000000000004"/>
    <s v="No"/>
    <x v="2"/>
    <s v="No"/>
    <n v="18"/>
    <x v="0"/>
    <s v="Annually"/>
    <n v="0.1"/>
    <n v="33.299999999999997"/>
    <n v="37"/>
    <s v="Venmo"/>
    <s v="Normal"/>
    <s v="Good"/>
  </r>
  <r>
    <n v="2249"/>
    <n v="63"/>
    <x v="0"/>
    <x v="17"/>
    <x v="0"/>
    <n v="66"/>
    <x v="3"/>
    <x v="2"/>
    <s v="Violet"/>
    <x v="0"/>
    <n v="3.4"/>
    <s v="No"/>
    <x v="1"/>
    <s v="No"/>
    <n v="19"/>
    <x v="3"/>
    <s v="Fortnightly"/>
    <n v="0.1"/>
    <n v="59.4"/>
    <n v="66"/>
    <s v="PayPal"/>
    <s v="Normal"/>
    <s v="Good"/>
  </r>
  <r>
    <n v="2250"/>
    <n v="42"/>
    <x v="0"/>
    <x v="24"/>
    <x v="3"/>
    <n v="45"/>
    <x v="5"/>
    <x v="3"/>
    <s v="Indigo"/>
    <x v="1"/>
    <n v="4.3"/>
    <s v="No"/>
    <x v="2"/>
    <s v="No"/>
    <n v="29"/>
    <x v="5"/>
    <s v="Weekly"/>
    <n v="0.1"/>
    <n v="40.5"/>
    <n v="45"/>
    <s v="Debit Card"/>
    <s v="Normal"/>
    <s v="Good"/>
  </r>
  <r>
    <n v="2251"/>
    <n v="41"/>
    <x v="0"/>
    <x v="9"/>
    <x v="1"/>
    <n v="89"/>
    <x v="24"/>
    <x v="0"/>
    <s v="Pink"/>
    <x v="2"/>
    <n v="4.5999999999999996"/>
    <s v="No"/>
    <x v="5"/>
    <s v="No"/>
    <n v="19"/>
    <x v="2"/>
    <s v="Weekly"/>
    <n v="0.1"/>
    <n v="80.099999999999994"/>
    <n v="89"/>
    <s v="Credit Card"/>
    <s v="Normal"/>
    <s v="Good"/>
  </r>
  <r>
    <n v="2252"/>
    <n v="26"/>
    <x v="0"/>
    <x v="9"/>
    <x v="1"/>
    <n v="94"/>
    <x v="41"/>
    <x v="0"/>
    <s v="Gold"/>
    <x v="3"/>
    <n v="3.8"/>
    <s v="No"/>
    <x v="1"/>
    <s v="No"/>
    <n v="22"/>
    <x v="5"/>
    <s v="Monthly"/>
    <n v="0.1"/>
    <n v="84.6"/>
    <n v="94"/>
    <s v="Debit Card"/>
    <s v="Normal"/>
    <s v="Good"/>
  </r>
  <r>
    <n v="2253"/>
    <n v="48"/>
    <x v="0"/>
    <x v="9"/>
    <x v="1"/>
    <n v="96"/>
    <x v="43"/>
    <x v="1"/>
    <s v="Maroon"/>
    <x v="2"/>
    <n v="3.9"/>
    <s v="No"/>
    <x v="0"/>
    <s v="No"/>
    <n v="21"/>
    <x v="4"/>
    <s v="Annually"/>
    <n v="0.1"/>
    <n v="86.4"/>
    <n v="96"/>
    <s v="Bank Transfer"/>
    <s v="Normal"/>
    <s v="Good"/>
  </r>
  <r>
    <n v="2254"/>
    <n v="62"/>
    <x v="0"/>
    <x v="15"/>
    <x v="0"/>
    <n v="31"/>
    <x v="19"/>
    <x v="2"/>
    <s v="Brown"/>
    <x v="1"/>
    <n v="2.6"/>
    <s v="No"/>
    <x v="5"/>
    <s v="No"/>
    <n v="22"/>
    <x v="3"/>
    <s v="Monthly"/>
    <n v="0.1"/>
    <n v="27.9"/>
    <n v="31"/>
    <s v="PayPal"/>
    <s v="Normal"/>
    <s v="Poor"/>
  </r>
  <r>
    <n v="2255"/>
    <n v="24"/>
    <x v="0"/>
    <x v="22"/>
    <x v="3"/>
    <n v="79"/>
    <x v="25"/>
    <x v="2"/>
    <s v="Gold"/>
    <x v="0"/>
    <n v="4.2"/>
    <s v="No"/>
    <x v="5"/>
    <s v="No"/>
    <n v="44"/>
    <x v="3"/>
    <s v="Every 3 Months"/>
    <n v="0.1"/>
    <n v="71.099999999999994"/>
    <n v="79"/>
    <s v="PayPal"/>
    <s v="Normal"/>
    <s v="Good"/>
  </r>
  <r>
    <n v="2256"/>
    <n v="48"/>
    <x v="0"/>
    <x v="7"/>
    <x v="2"/>
    <n v="39"/>
    <x v="49"/>
    <x v="0"/>
    <s v="Teal"/>
    <x v="1"/>
    <n v="4.5999999999999996"/>
    <s v="No"/>
    <x v="5"/>
    <s v="No"/>
    <n v="42"/>
    <x v="4"/>
    <s v="Quarterly"/>
    <n v="0.1"/>
    <n v="35.1"/>
    <n v="39"/>
    <s v="Bank Transfer"/>
    <s v="Normal"/>
    <s v="Good"/>
  </r>
  <r>
    <n v="2257"/>
    <n v="31"/>
    <x v="0"/>
    <x v="0"/>
    <x v="0"/>
    <n v="22"/>
    <x v="18"/>
    <x v="2"/>
    <s v="Turquoise"/>
    <x v="3"/>
    <n v="5"/>
    <s v="No"/>
    <x v="3"/>
    <s v="No"/>
    <n v="33"/>
    <x v="2"/>
    <s v="Quarterly"/>
    <n v="0.1"/>
    <n v="19.8"/>
    <n v="22"/>
    <s v="Credit Card"/>
    <s v="Normal"/>
    <s v="Good"/>
  </r>
  <r>
    <n v="2258"/>
    <n v="41"/>
    <x v="0"/>
    <x v="11"/>
    <x v="0"/>
    <n v="32"/>
    <x v="30"/>
    <x v="0"/>
    <s v="Olive"/>
    <x v="3"/>
    <n v="4.2"/>
    <s v="No"/>
    <x v="3"/>
    <s v="No"/>
    <n v="6"/>
    <x v="4"/>
    <s v="Annually"/>
    <n v="0.1"/>
    <n v="28.8"/>
    <n v="32"/>
    <s v="Bank Transfer"/>
    <s v="Normal"/>
    <s v="Good"/>
  </r>
  <r>
    <n v="2259"/>
    <n v="24"/>
    <x v="0"/>
    <x v="17"/>
    <x v="0"/>
    <n v="71"/>
    <x v="31"/>
    <x v="0"/>
    <s v="Cyan"/>
    <x v="0"/>
    <n v="4.3"/>
    <s v="No"/>
    <x v="5"/>
    <s v="No"/>
    <n v="44"/>
    <x v="2"/>
    <s v="Every 3 Months"/>
    <n v="0.1"/>
    <n v="63.9"/>
    <n v="71"/>
    <s v="Credit Card"/>
    <s v="Normal"/>
    <s v="Good"/>
  </r>
  <r>
    <n v="2260"/>
    <n v="60"/>
    <x v="0"/>
    <x v="2"/>
    <x v="0"/>
    <n v="96"/>
    <x v="20"/>
    <x v="3"/>
    <s v="Beige"/>
    <x v="1"/>
    <n v="3.3"/>
    <s v="No"/>
    <x v="1"/>
    <s v="No"/>
    <n v="24"/>
    <x v="1"/>
    <s v="Annually"/>
    <n v="0.1"/>
    <n v="86.4"/>
    <n v="96"/>
    <s v="Cash"/>
    <s v="Normal"/>
    <s v="Good"/>
  </r>
  <r>
    <n v="2261"/>
    <n v="38"/>
    <x v="0"/>
    <x v="18"/>
    <x v="3"/>
    <n v="82"/>
    <x v="9"/>
    <x v="2"/>
    <s v="Blue"/>
    <x v="3"/>
    <n v="4.9000000000000004"/>
    <s v="No"/>
    <x v="0"/>
    <s v="No"/>
    <n v="16"/>
    <x v="3"/>
    <s v="Quarterly"/>
    <n v="0.1"/>
    <n v="73.8"/>
    <n v="82"/>
    <s v="PayPal"/>
    <s v="Normal"/>
    <s v="Good"/>
  </r>
  <r>
    <n v="2262"/>
    <n v="58"/>
    <x v="0"/>
    <x v="21"/>
    <x v="3"/>
    <n v="76"/>
    <x v="36"/>
    <x v="0"/>
    <s v="Gold"/>
    <x v="1"/>
    <n v="4.4000000000000004"/>
    <s v="No"/>
    <x v="3"/>
    <s v="No"/>
    <n v="12"/>
    <x v="4"/>
    <s v="Fortnightly"/>
    <n v="0.1"/>
    <n v="68.400000000000006"/>
    <n v="76"/>
    <s v="Bank Transfer"/>
    <s v="Normal"/>
    <s v="Good"/>
  </r>
  <r>
    <n v="2263"/>
    <n v="53"/>
    <x v="0"/>
    <x v="21"/>
    <x v="3"/>
    <n v="22"/>
    <x v="28"/>
    <x v="2"/>
    <s v="Green"/>
    <x v="0"/>
    <n v="3.1"/>
    <s v="No"/>
    <x v="4"/>
    <s v="No"/>
    <n v="50"/>
    <x v="3"/>
    <s v="Monthly"/>
    <n v="0.1"/>
    <n v="19.8"/>
    <n v="22"/>
    <s v="PayPal"/>
    <s v="Normal"/>
    <s v="Good"/>
  </r>
  <r>
    <n v="2264"/>
    <n v="44"/>
    <x v="0"/>
    <x v="18"/>
    <x v="3"/>
    <n v="40"/>
    <x v="27"/>
    <x v="3"/>
    <s v="Green"/>
    <x v="0"/>
    <n v="3.5"/>
    <s v="No"/>
    <x v="5"/>
    <s v="No"/>
    <n v="42"/>
    <x v="1"/>
    <s v="Quarterly"/>
    <n v="0.1"/>
    <n v="36"/>
    <n v="40"/>
    <s v="Cash"/>
    <s v="Normal"/>
    <s v="Good"/>
  </r>
  <r>
    <n v="2265"/>
    <n v="51"/>
    <x v="0"/>
    <x v="19"/>
    <x v="3"/>
    <n v="92"/>
    <x v="25"/>
    <x v="2"/>
    <s v="Turquoise"/>
    <x v="2"/>
    <n v="3.9"/>
    <s v="No"/>
    <x v="4"/>
    <s v="No"/>
    <n v="50"/>
    <x v="3"/>
    <s v="Monthly"/>
    <n v="0.1"/>
    <n v="82.8"/>
    <n v="92"/>
    <s v="PayPal"/>
    <s v="Normal"/>
    <s v="Good"/>
  </r>
  <r>
    <n v="2266"/>
    <n v="36"/>
    <x v="0"/>
    <x v="7"/>
    <x v="2"/>
    <n v="94"/>
    <x v="6"/>
    <x v="3"/>
    <s v="Yellow"/>
    <x v="3"/>
    <n v="3.9"/>
    <s v="No"/>
    <x v="5"/>
    <s v="No"/>
    <n v="10"/>
    <x v="3"/>
    <s v="Quarterly"/>
    <n v="0.1"/>
    <n v="84.6"/>
    <n v="94"/>
    <s v="PayPal"/>
    <s v="Normal"/>
    <s v="Good"/>
  </r>
  <r>
    <n v="2267"/>
    <n v="20"/>
    <x v="0"/>
    <x v="10"/>
    <x v="0"/>
    <n v="44"/>
    <x v="9"/>
    <x v="2"/>
    <s v="Yellow"/>
    <x v="3"/>
    <n v="4.3"/>
    <s v="No"/>
    <x v="5"/>
    <s v="No"/>
    <n v="32"/>
    <x v="5"/>
    <s v="Weekly"/>
    <n v="0.1"/>
    <n v="39.6"/>
    <n v="44"/>
    <s v="Debit Card"/>
    <s v="Normal"/>
    <s v="Good"/>
  </r>
  <r>
    <n v="2268"/>
    <n v="32"/>
    <x v="0"/>
    <x v="24"/>
    <x v="3"/>
    <n v="49"/>
    <x v="0"/>
    <x v="1"/>
    <s v="Blue"/>
    <x v="1"/>
    <n v="3.8"/>
    <s v="No"/>
    <x v="0"/>
    <s v="No"/>
    <n v="37"/>
    <x v="0"/>
    <s v="Weekly"/>
    <n v="0.1"/>
    <n v="44.1"/>
    <n v="49"/>
    <s v="Venmo"/>
    <s v="Normal"/>
    <s v="Good"/>
  </r>
  <r>
    <n v="2269"/>
    <n v="66"/>
    <x v="0"/>
    <x v="1"/>
    <x v="0"/>
    <n v="26"/>
    <x v="42"/>
    <x v="0"/>
    <s v="Charcoal"/>
    <x v="1"/>
    <n v="2.7"/>
    <s v="No"/>
    <x v="4"/>
    <s v="No"/>
    <n v="15"/>
    <x v="4"/>
    <s v="Monthly"/>
    <n v="0.1"/>
    <n v="23.4"/>
    <n v="26"/>
    <s v="Bank Transfer"/>
    <s v="Normal"/>
    <s v="Poor"/>
  </r>
  <r>
    <n v="2270"/>
    <n v="49"/>
    <x v="0"/>
    <x v="11"/>
    <x v="0"/>
    <n v="38"/>
    <x v="0"/>
    <x v="2"/>
    <s v="Yellow"/>
    <x v="3"/>
    <n v="4.4000000000000004"/>
    <s v="No"/>
    <x v="5"/>
    <s v="No"/>
    <n v="27"/>
    <x v="2"/>
    <s v="Annually"/>
    <n v="0.1"/>
    <n v="34.200000000000003"/>
    <n v="38"/>
    <s v="Credit Card"/>
    <s v="Normal"/>
    <s v="Good"/>
  </r>
  <r>
    <n v="2271"/>
    <n v="27"/>
    <x v="0"/>
    <x v="0"/>
    <x v="0"/>
    <n v="72"/>
    <x v="42"/>
    <x v="0"/>
    <s v="Purple"/>
    <x v="1"/>
    <n v="3.5"/>
    <s v="No"/>
    <x v="0"/>
    <s v="No"/>
    <n v="7"/>
    <x v="0"/>
    <s v="Weekly"/>
    <n v="0.1"/>
    <n v="64.8"/>
    <n v="72"/>
    <s v="Venmo"/>
    <s v="Normal"/>
    <s v="Good"/>
  </r>
  <r>
    <n v="2272"/>
    <n v="29"/>
    <x v="0"/>
    <x v="10"/>
    <x v="0"/>
    <n v="99"/>
    <x v="29"/>
    <x v="2"/>
    <s v="Green"/>
    <x v="2"/>
    <n v="3.4"/>
    <s v="No"/>
    <x v="1"/>
    <s v="No"/>
    <n v="49"/>
    <x v="3"/>
    <s v="Quarterly"/>
    <n v="0.1"/>
    <n v="89.1"/>
    <n v="99"/>
    <s v="PayPal"/>
    <s v="Normal"/>
    <s v="Good"/>
  </r>
  <r>
    <n v="2273"/>
    <n v="29"/>
    <x v="0"/>
    <x v="14"/>
    <x v="2"/>
    <n v="38"/>
    <x v="1"/>
    <x v="0"/>
    <s v="Charcoal"/>
    <x v="1"/>
    <n v="4"/>
    <s v="No"/>
    <x v="3"/>
    <s v="No"/>
    <n v="44"/>
    <x v="3"/>
    <s v="Monthly"/>
    <n v="0.1"/>
    <n v="34.200000000000003"/>
    <n v="38"/>
    <s v="PayPal"/>
    <s v="Normal"/>
    <s v="Good"/>
  </r>
  <r>
    <n v="2274"/>
    <n v="55"/>
    <x v="0"/>
    <x v="7"/>
    <x v="2"/>
    <n v="96"/>
    <x v="35"/>
    <x v="0"/>
    <s v="Silver"/>
    <x v="0"/>
    <n v="4.8"/>
    <s v="No"/>
    <x v="0"/>
    <s v="No"/>
    <n v="13"/>
    <x v="3"/>
    <s v="Bi-Weekly"/>
    <n v="0.1"/>
    <n v="86.4"/>
    <n v="96"/>
    <s v="PayPal"/>
    <s v="Normal"/>
    <s v="Good"/>
  </r>
  <r>
    <n v="2275"/>
    <n v="57"/>
    <x v="0"/>
    <x v="10"/>
    <x v="0"/>
    <n v="27"/>
    <x v="14"/>
    <x v="0"/>
    <s v="Turquoise"/>
    <x v="1"/>
    <n v="4.5"/>
    <s v="No"/>
    <x v="2"/>
    <s v="No"/>
    <n v="38"/>
    <x v="3"/>
    <s v="Fortnightly"/>
    <n v="0.1"/>
    <n v="24.3"/>
    <n v="27"/>
    <s v="PayPal"/>
    <s v="Normal"/>
    <s v="Good"/>
  </r>
  <r>
    <n v="2276"/>
    <n v="29"/>
    <x v="0"/>
    <x v="6"/>
    <x v="0"/>
    <n v="24"/>
    <x v="19"/>
    <x v="2"/>
    <s v="Gray"/>
    <x v="0"/>
    <n v="4.4000000000000004"/>
    <s v="No"/>
    <x v="3"/>
    <s v="No"/>
    <n v="10"/>
    <x v="5"/>
    <s v="Weekly"/>
    <n v="0.1"/>
    <n v="21.6"/>
    <n v="24"/>
    <s v="Debit Card"/>
    <s v="Normal"/>
    <s v="Good"/>
  </r>
  <r>
    <n v="2277"/>
    <n v="31"/>
    <x v="0"/>
    <x v="2"/>
    <x v="0"/>
    <n v="82"/>
    <x v="5"/>
    <x v="0"/>
    <s v="Red"/>
    <x v="2"/>
    <n v="4.0999999999999996"/>
    <s v="No"/>
    <x v="4"/>
    <s v="No"/>
    <n v="25"/>
    <x v="5"/>
    <s v="Weekly"/>
    <n v="0.1"/>
    <n v="73.8"/>
    <n v="82"/>
    <s v="Debit Card"/>
    <s v="Normal"/>
    <s v="Good"/>
  </r>
  <r>
    <n v="2278"/>
    <n v="25"/>
    <x v="0"/>
    <x v="19"/>
    <x v="3"/>
    <n v="56"/>
    <x v="15"/>
    <x v="2"/>
    <s v="Beige"/>
    <x v="2"/>
    <n v="4.5999999999999996"/>
    <s v="No"/>
    <x v="2"/>
    <s v="No"/>
    <n v="18"/>
    <x v="2"/>
    <s v="Quarterly"/>
    <n v="0.1"/>
    <n v="50.4"/>
    <n v="56"/>
    <s v="Credit Card"/>
    <s v="Normal"/>
    <s v="Good"/>
  </r>
  <r>
    <n v="2279"/>
    <n v="61"/>
    <x v="0"/>
    <x v="24"/>
    <x v="3"/>
    <n v="25"/>
    <x v="33"/>
    <x v="2"/>
    <s v="Maroon"/>
    <x v="3"/>
    <n v="3.8"/>
    <s v="No"/>
    <x v="5"/>
    <s v="No"/>
    <n v="6"/>
    <x v="1"/>
    <s v="Every 3 Months"/>
    <n v="0.1"/>
    <n v="22.5"/>
    <n v="25"/>
    <s v="Cash"/>
    <s v="Normal"/>
    <s v="Good"/>
  </r>
  <r>
    <n v="2280"/>
    <n v="53"/>
    <x v="0"/>
    <x v="4"/>
    <x v="1"/>
    <n v="67"/>
    <x v="8"/>
    <x v="0"/>
    <s v="Indigo"/>
    <x v="1"/>
    <n v="2.9"/>
    <s v="No"/>
    <x v="1"/>
    <s v="No"/>
    <n v="35"/>
    <x v="4"/>
    <s v="Quarterly"/>
    <n v="0.1"/>
    <n v="60.3"/>
    <n v="67"/>
    <s v="Bank Transfer"/>
    <s v="Normal"/>
    <s v="Poor"/>
  </r>
  <r>
    <n v="2281"/>
    <n v="22"/>
    <x v="0"/>
    <x v="9"/>
    <x v="1"/>
    <n v="21"/>
    <x v="0"/>
    <x v="2"/>
    <s v="Red"/>
    <x v="2"/>
    <n v="2.8"/>
    <s v="No"/>
    <x v="3"/>
    <s v="No"/>
    <n v="31"/>
    <x v="2"/>
    <s v="Fortnightly"/>
    <n v="0.1"/>
    <n v="18.899999999999999"/>
    <n v="21"/>
    <s v="Credit Card"/>
    <s v="Normal"/>
    <s v="Poor"/>
  </r>
  <r>
    <n v="2282"/>
    <n v="28"/>
    <x v="0"/>
    <x v="15"/>
    <x v="0"/>
    <n v="27"/>
    <x v="23"/>
    <x v="3"/>
    <s v="Maroon"/>
    <x v="2"/>
    <n v="3"/>
    <s v="No"/>
    <x v="5"/>
    <s v="No"/>
    <n v="41"/>
    <x v="4"/>
    <s v="Annually"/>
    <n v="0.1"/>
    <n v="24.3"/>
    <n v="27"/>
    <s v="Bank Transfer"/>
    <s v="Normal"/>
    <s v="Good"/>
  </r>
  <r>
    <n v="2283"/>
    <n v="18"/>
    <x v="0"/>
    <x v="4"/>
    <x v="1"/>
    <n v="97"/>
    <x v="37"/>
    <x v="1"/>
    <s v="Red"/>
    <x v="3"/>
    <n v="4.2"/>
    <s v="No"/>
    <x v="4"/>
    <s v="No"/>
    <n v="8"/>
    <x v="2"/>
    <s v="Annually"/>
    <n v="0.1"/>
    <n v="87.3"/>
    <n v="97"/>
    <s v="Credit Card"/>
    <s v="Normal"/>
    <s v="Good"/>
  </r>
  <r>
    <n v="2284"/>
    <n v="44"/>
    <x v="0"/>
    <x v="8"/>
    <x v="3"/>
    <n v="45"/>
    <x v="31"/>
    <x v="1"/>
    <s v="Black"/>
    <x v="0"/>
    <n v="4.0999999999999996"/>
    <s v="No"/>
    <x v="1"/>
    <s v="No"/>
    <n v="34"/>
    <x v="2"/>
    <s v="Fortnightly"/>
    <n v="0.1"/>
    <n v="40.5"/>
    <n v="45"/>
    <s v="Credit Card"/>
    <s v="Normal"/>
    <s v="Good"/>
  </r>
  <r>
    <n v="2285"/>
    <n v="32"/>
    <x v="0"/>
    <x v="0"/>
    <x v="0"/>
    <n v="63"/>
    <x v="44"/>
    <x v="3"/>
    <s v="Black"/>
    <x v="3"/>
    <n v="4.0999999999999996"/>
    <s v="No"/>
    <x v="0"/>
    <s v="No"/>
    <n v="20"/>
    <x v="0"/>
    <s v="Annually"/>
    <n v="0.1"/>
    <n v="56.7"/>
    <n v="63"/>
    <s v="Venmo"/>
    <s v="Normal"/>
    <s v="Good"/>
  </r>
  <r>
    <n v="2286"/>
    <n v="34"/>
    <x v="0"/>
    <x v="22"/>
    <x v="3"/>
    <n v="100"/>
    <x v="49"/>
    <x v="0"/>
    <s v="Pink"/>
    <x v="2"/>
    <n v="4.5999999999999996"/>
    <s v="No"/>
    <x v="4"/>
    <s v="No"/>
    <n v="38"/>
    <x v="3"/>
    <s v="Every 3 Months"/>
    <n v="0.1"/>
    <n v="90"/>
    <n v="100"/>
    <s v="PayPal"/>
    <s v="Normal"/>
    <s v="Good"/>
  </r>
  <r>
    <n v="2287"/>
    <n v="67"/>
    <x v="0"/>
    <x v="20"/>
    <x v="0"/>
    <n v="38"/>
    <x v="45"/>
    <x v="0"/>
    <s v="Blue"/>
    <x v="1"/>
    <n v="2.5"/>
    <s v="No"/>
    <x v="5"/>
    <s v="No"/>
    <n v="35"/>
    <x v="0"/>
    <s v="Quarterly"/>
    <n v="0.1"/>
    <n v="34.200000000000003"/>
    <n v="38"/>
    <s v="Venmo"/>
    <s v="Normal"/>
    <s v="Poor"/>
  </r>
  <r>
    <n v="2288"/>
    <n v="66"/>
    <x v="0"/>
    <x v="0"/>
    <x v="0"/>
    <n v="45"/>
    <x v="43"/>
    <x v="0"/>
    <s v="Green"/>
    <x v="2"/>
    <n v="3"/>
    <s v="No"/>
    <x v="5"/>
    <s v="No"/>
    <n v="6"/>
    <x v="5"/>
    <s v="Annually"/>
    <n v="0.1"/>
    <n v="40.5"/>
    <n v="45"/>
    <s v="Debit Card"/>
    <s v="Normal"/>
    <s v="Good"/>
  </r>
  <r>
    <n v="2289"/>
    <n v="28"/>
    <x v="0"/>
    <x v="16"/>
    <x v="3"/>
    <n v="91"/>
    <x v="18"/>
    <x v="2"/>
    <s v="Orange"/>
    <x v="3"/>
    <n v="3.8"/>
    <s v="No"/>
    <x v="2"/>
    <s v="No"/>
    <n v="50"/>
    <x v="3"/>
    <s v="Weekly"/>
    <n v="0.1"/>
    <n v="81.900000000000006"/>
    <n v="91"/>
    <s v="PayPal"/>
    <s v="Normal"/>
    <s v="Good"/>
  </r>
  <r>
    <n v="2290"/>
    <n v="70"/>
    <x v="0"/>
    <x v="6"/>
    <x v="0"/>
    <n v="82"/>
    <x v="22"/>
    <x v="2"/>
    <s v="Orange"/>
    <x v="3"/>
    <n v="4.0999999999999996"/>
    <s v="No"/>
    <x v="1"/>
    <s v="No"/>
    <n v="47"/>
    <x v="0"/>
    <s v="Weekly"/>
    <n v="0.1"/>
    <n v="73.8"/>
    <n v="82"/>
    <s v="Venmo"/>
    <s v="Normal"/>
    <s v="Good"/>
  </r>
  <r>
    <n v="2291"/>
    <n v="37"/>
    <x v="0"/>
    <x v="23"/>
    <x v="1"/>
    <n v="48"/>
    <x v="23"/>
    <x v="0"/>
    <s v="Magenta"/>
    <x v="0"/>
    <n v="3.3"/>
    <s v="No"/>
    <x v="3"/>
    <s v="No"/>
    <n v="23"/>
    <x v="3"/>
    <s v="Quarterly"/>
    <n v="0.1"/>
    <n v="43.2"/>
    <n v="48"/>
    <s v="PayPal"/>
    <s v="Normal"/>
    <s v="Good"/>
  </r>
  <r>
    <n v="2292"/>
    <n v="28"/>
    <x v="0"/>
    <x v="7"/>
    <x v="2"/>
    <n v="30"/>
    <x v="31"/>
    <x v="2"/>
    <s v="Indigo"/>
    <x v="1"/>
    <n v="5"/>
    <s v="No"/>
    <x v="4"/>
    <s v="No"/>
    <n v="13"/>
    <x v="2"/>
    <s v="Quarterly"/>
    <n v="0.1"/>
    <n v="27"/>
    <n v="30"/>
    <s v="Credit Card"/>
    <s v="Normal"/>
    <s v="Good"/>
  </r>
  <r>
    <n v="2293"/>
    <n v="43"/>
    <x v="0"/>
    <x v="17"/>
    <x v="0"/>
    <n v="34"/>
    <x v="34"/>
    <x v="1"/>
    <s v="Beige"/>
    <x v="1"/>
    <n v="3.8"/>
    <s v="No"/>
    <x v="2"/>
    <s v="No"/>
    <n v="31"/>
    <x v="5"/>
    <s v="Monthly"/>
    <n v="0.1"/>
    <n v="30.6"/>
    <n v="34"/>
    <s v="Debit Card"/>
    <s v="Normal"/>
    <s v="Good"/>
  </r>
  <r>
    <n v="2294"/>
    <n v="37"/>
    <x v="0"/>
    <x v="1"/>
    <x v="0"/>
    <n v="68"/>
    <x v="42"/>
    <x v="0"/>
    <s v="Green"/>
    <x v="3"/>
    <n v="3.3"/>
    <s v="No"/>
    <x v="0"/>
    <s v="No"/>
    <n v="16"/>
    <x v="5"/>
    <s v="Every 3 Months"/>
    <n v="0.1"/>
    <n v="61.2"/>
    <n v="68"/>
    <s v="Debit Card"/>
    <s v="Normal"/>
    <s v="Good"/>
  </r>
  <r>
    <n v="2295"/>
    <n v="54"/>
    <x v="0"/>
    <x v="12"/>
    <x v="3"/>
    <n v="95"/>
    <x v="33"/>
    <x v="2"/>
    <s v="Red"/>
    <x v="0"/>
    <n v="5"/>
    <s v="No"/>
    <x v="0"/>
    <s v="No"/>
    <n v="40"/>
    <x v="5"/>
    <s v="Annually"/>
    <n v="0.1"/>
    <n v="85.5"/>
    <n v="95"/>
    <s v="Debit Card"/>
    <s v="Normal"/>
    <s v="Good"/>
  </r>
  <r>
    <n v="2296"/>
    <n v="50"/>
    <x v="0"/>
    <x v="19"/>
    <x v="3"/>
    <n v="22"/>
    <x v="39"/>
    <x v="0"/>
    <s v="Beige"/>
    <x v="1"/>
    <n v="2.9"/>
    <s v="No"/>
    <x v="4"/>
    <s v="No"/>
    <n v="45"/>
    <x v="3"/>
    <s v="Quarterly"/>
    <n v="0.1"/>
    <n v="19.8"/>
    <n v="22"/>
    <s v="PayPal"/>
    <s v="Normal"/>
    <s v="Poor"/>
  </r>
  <r>
    <n v="2297"/>
    <n v="46"/>
    <x v="0"/>
    <x v="24"/>
    <x v="3"/>
    <n v="88"/>
    <x v="47"/>
    <x v="2"/>
    <s v="Green"/>
    <x v="3"/>
    <n v="2.5"/>
    <s v="No"/>
    <x v="2"/>
    <s v="No"/>
    <n v="50"/>
    <x v="0"/>
    <s v="Every 3 Months"/>
    <n v="0.1"/>
    <n v="79.2"/>
    <n v="88"/>
    <s v="Venmo"/>
    <s v="Normal"/>
    <s v="Poor"/>
  </r>
  <r>
    <n v="2298"/>
    <n v="60"/>
    <x v="0"/>
    <x v="20"/>
    <x v="0"/>
    <n v="83"/>
    <x v="18"/>
    <x v="2"/>
    <s v="Orange"/>
    <x v="2"/>
    <n v="4.7"/>
    <s v="No"/>
    <x v="3"/>
    <s v="No"/>
    <n v="1"/>
    <x v="4"/>
    <s v="Quarterly"/>
    <n v="0.1"/>
    <n v="74.7"/>
    <n v="83"/>
    <s v="Bank Transfer"/>
    <s v="Normal"/>
    <s v="Good"/>
  </r>
  <r>
    <n v="2299"/>
    <n v="40"/>
    <x v="0"/>
    <x v="8"/>
    <x v="3"/>
    <n v="87"/>
    <x v="6"/>
    <x v="0"/>
    <s v="Cyan"/>
    <x v="1"/>
    <n v="2.9"/>
    <s v="No"/>
    <x v="4"/>
    <s v="No"/>
    <n v="10"/>
    <x v="1"/>
    <s v="Every 3 Months"/>
    <n v="0.1"/>
    <n v="78.3"/>
    <n v="87"/>
    <s v="Cash"/>
    <s v="Normal"/>
    <s v="Poor"/>
  </r>
  <r>
    <n v="2300"/>
    <n v="64"/>
    <x v="0"/>
    <x v="7"/>
    <x v="2"/>
    <n v="57"/>
    <x v="37"/>
    <x v="2"/>
    <s v="Violet"/>
    <x v="2"/>
    <n v="3.7"/>
    <s v="No"/>
    <x v="5"/>
    <s v="No"/>
    <n v="48"/>
    <x v="2"/>
    <s v="Every 3 Months"/>
    <n v="0.1"/>
    <n v="51.3"/>
    <n v="57"/>
    <s v="Credit Card"/>
    <s v="Normal"/>
    <s v="Good"/>
  </r>
  <r>
    <n v="2301"/>
    <n v="18"/>
    <x v="0"/>
    <x v="7"/>
    <x v="2"/>
    <n v="88"/>
    <x v="38"/>
    <x v="3"/>
    <s v="Lavender"/>
    <x v="2"/>
    <n v="4.4000000000000004"/>
    <s v="No"/>
    <x v="4"/>
    <s v="No"/>
    <n v="38"/>
    <x v="2"/>
    <s v="Monthly"/>
    <n v="0.1"/>
    <n v="79.2"/>
    <n v="88"/>
    <s v="Credit Card"/>
    <s v="Normal"/>
    <s v="Good"/>
  </r>
  <r>
    <n v="2302"/>
    <n v="37"/>
    <x v="0"/>
    <x v="13"/>
    <x v="0"/>
    <n v="20"/>
    <x v="1"/>
    <x v="0"/>
    <s v="Turquoise"/>
    <x v="0"/>
    <n v="2.9"/>
    <s v="No"/>
    <x v="2"/>
    <s v="No"/>
    <n v="21"/>
    <x v="5"/>
    <s v="Annually"/>
    <n v="0.1"/>
    <n v="18"/>
    <n v="20"/>
    <s v="Debit Card"/>
    <s v="Normal"/>
    <s v="Poor"/>
  </r>
  <r>
    <n v="2303"/>
    <n v="36"/>
    <x v="0"/>
    <x v="22"/>
    <x v="3"/>
    <n v="39"/>
    <x v="6"/>
    <x v="0"/>
    <s v="Pink"/>
    <x v="2"/>
    <n v="3.6"/>
    <s v="No"/>
    <x v="5"/>
    <s v="No"/>
    <n v="38"/>
    <x v="0"/>
    <s v="Monthly"/>
    <n v="0.1"/>
    <n v="35.1"/>
    <n v="39"/>
    <s v="Venmo"/>
    <s v="Normal"/>
    <s v="Good"/>
  </r>
  <r>
    <n v="2304"/>
    <n v="51"/>
    <x v="0"/>
    <x v="12"/>
    <x v="3"/>
    <n v="71"/>
    <x v="32"/>
    <x v="1"/>
    <s v="Beige"/>
    <x v="1"/>
    <n v="4.8"/>
    <s v="No"/>
    <x v="4"/>
    <s v="No"/>
    <n v="31"/>
    <x v="2"/>
    <s v="Fortnightly"/>
    <n v="0.1"/>
    <n v="63.9"/>
    <n v="71"/>
    <s v="Credit Card"/>
    <s v="Normal"/>
    <s v="Good"/>
  </r>
  <r>
    <n v="2305"/>
    <n v="26"/>
    <x v="0"/>
    <x v="15"/>
    <x v="0"/>
    <n v="73"/>
    <x v="7"/>
    <x v="0"/>
    <s v="Silver"/>
    <x v="0"/>
    <n v="4.7"/>
    <s v="No"/>
    <x v="1"/>
    <s v="No"/>
    <n v="9"/>
    <x v="5"/>
    <s v="Fortnightly"/>
    <n v="0.1"/>
    <n v="65.7"/>
    <n v="73"/>
    <s v="Debit Card"/>
    <s v="Normal"/>
    <s v="Good"/>
  </r>
  <r>
    <n v="2306"/>
    <n v="68"/>
    <x v="0"/>
    <x v="8"/>
    <x v="3"/>
    <n v="63"/>
    <x v="1"/>
    <x v="2"/>
    <s v="Gold"/>
    <x v="2"/>
    <n v="2.6"/>
    <s v="No"/>
    <x v="1"/>
    <s v="No"/>
    <n v="47"/>
    <x v="1"/>
    <s v="Weekly"/>
    <n v="0.1"/>
    <n v="56.7"/>
    <n v="63"/>
    <s v="Cash"/>
    <s v="Normal"/>
    <s v="Poor"/>
  </r>
  <r>
    <n v="2307"/>
    <n v="27"/>
    <x v="0"/>
    <x v="24"/>
    <x v="3"/>
    <n v="78"/>
    <x v="20"/>
    <x v="0"/>
    <s v="Silver"/>
    <x v="0"/>
    <n v="3.4"/>
    <s v="No"/>
    <x v="3"/>
    <s v="No"/>
    <n v="8"/>
    <x v="1"/>
    <s v="Bi-Weekly"/>
    <n v="0.1"/>
    <n v="70.2"/>
    <n v="78"/>
    <s v="Cash"/>
    <s v="Normal"/>
    <s v="Good"/>
  </r>
  <r>
    <n v="2308"/>
    <n v="28"/>
    <x v="0"/>
    <x v="11"/>
    <x v="0"/>
    <n v="96"/>
    <x v="9"/>
    <x v="0"/>
    <s v="Green"/>
    <x v="3"/>
    <n v="3.5"/>
    <s v="No"/>
    <x v="2"/>
    <s v="No"/>
    <n v="30"/>
    <x v="5"/>
    <s v="Annually"/>
    <n v="0.1"/>
    <n v="86.4"/>
    <n v="96"/>
    <s v="Debit Card"/>
    <s v="Normal"/>
    <s v="Good"/>
  </r>
  <r>
    <n v="2309"/>
    <n v="49"/>
    <x v="0"/>
    <x v="12"/>
    <x v="3"/>
    <n v="81"/>
    <x v="25"/>
    <x v="2"/>
    <s v="Teal"/>
    <x v="0"/>
    <n v="3.4"/>
    <s v="No"/>
    <x v="4"/>
    <s v="No"/>
    <n v="22"/>
    <x v="4"/>
    <s v="Quarterly"/>
    <n v="0.1"/>
    <n v="72.900000000000006"/>
    <n v="81"/>
    <s v="Bank Transfer"/>
    <s v="Normal"/>
    <s v="Good"/>
  </r>
  <r>
    <n v="2310"/>
    <n v="70"/>
    <x v="0"/>
    <x v="10"/>
    <x v="0"/>
    <n v="95"/>
    <x v="39"/>
    <x v="1"/>
    <s v="Gold"/>
    <x v="3"/>
    <n v="5"/>
    <s v="No"/>
    <x v="4"/>
    <s v="No"/>
    <n v="3"/>
    <x v="4"/>
    <s v="Quarterly"/>
    <n v="0.1"/>
    <n v="85.5"/>
    <n v="95"/>
    <s v="Bank Transfer"/>
    <s v="Normal"/>
    <s v="Good"/>
  </r>
  <r>
    <n v="2311"/>
    <n v="30"/>
    <x v="0"/>
    <x v="24"/>
    <x v="3"/>
    <n v="68"/>
    <x v="41"/>
    <x v="2"/>
    <s v="Cyan"/>
    <x v="1"/>
    <n v="4.5999999999999996"/>
    <s v="No"/>
    <x v="3"/>
    <s v="No"/>
    <n v="15"/>
    <x v="3"/>
    <s v="Monthly"/>
    <n v="0.1"/>
    <n v="61.2"/>
    <n v="68"/>
    <s v="PayPal"/>
    <s v="Normal"/>
    <s v="Good"/>
  </r>
  <r>
    <n v="2312"/>
    <n v="27"/>
    <x v="0"/>
    <x v="4"/>
    <x v="1"/>
    <n v="28"/>
    <x v="6"/>
    <x v="0"/>
    <s v="Gold"/>
    <x v="1"/>
    <n v="4.8"/>
    <s v="No"/>
    <x v="4"/>
    <s v="No"/>
    <n v="10"/>
    <x v="4"/>
    <s v="Every 3 Months"/>
    <n v="0.1"/>
    <n v="25.2"/>
    <n v="28"/>
    <s v="Bank Transfer"/>
    <s v="Normal"/>
    <s v="Good"/>
  </r>
  <r>
    <n v="2313"/>
    <n v="19"/>
    <x v="0"/>
    <x v="17"/>
    <x v="0"/>
    <n v="30"/>
    <x v="34"/>
    <x v="0"/>
    <s v="Violet"/>
    <x v="2"/>
    <n v="3.7"/>
    <s v="No"/>
    <x v="1"/>
    <s v="No"/>
    <n v="19"/>
    <x v="1"/>
    <s v="Every 3 Months"/>
    <n v="0.1"/>
    <n v="27"/>
    <n v="30"/>
    <s v="Cash"/>
    <s v="Normal"/>
    <s v="Good"/>
  </r>
  <r>
    <n v="2314"/>
    <n v="64"/>
    <x v="0"/>
    <x v="10"/>
    <x v="0"/>
    <n v="31"/>
    <x v="42"/>
    <x v="2"/>
    <s v="Black"/>
    <x v="2"/>
    <n v="4.7"/>
    <s v="No"/>
    <x v="2"/>
    <s v="No"/>
    <n v="36"/>
    <x v="4"/>
    <s v="Fortnightly"/>
    <n v="0.1"/>
    <n v="27.9"/>
    <n v="31"/>
    <s v="Bank Transfer"/>
    <s v="Normal"/>
    <s v="Good"/>
  </r>
  <r>
    <n v="2315"/>
    <n v="42"/>
    <x v="0"/>
    <x v="8"/>
    <x v="3"/>
    <n v="95"/>
    <x v="41"/>
    <x v="3"/>
    <s v="Brown"/>
    <x v="0"/>
    <n v="4.4000000000000004"/>
    <s v="No"/>
    <x v="0"/>
    <s v="No"/>
    <n v="12"/>
    <x v="4"/>
    <s v="Every 3 Months"/>
    <n v="0.1"/>
    <n v="85.5"/>
    <n v="95"/>
    <s v="Bank Transfer"/>
    <s v="Normal"/>
    <s v="Good"/>
  </r>
  <r>
    <n v="2316"/>
    <n v="69"/>
    <x v="0"/>
    <x v="20"/>
    <x v="0"/>
    <n v="79"/>
    <x v="34"/>
    <x v="2"/>
    <s v="Indigo"/>
    <x v="0"/>
    <n v="3.5"/>
    <s v="No"/>
    <x v="4"/>
    <s v="No"/>
    <n v="49"/>
    <x v="5"/>
    <s v="Quarterly"/>
    <n v="0.1"/>
    <n v="71.099999999999994"/>
    <n v="79"/>
    <s v="Debit Card"/>
    <s v="Normal"/>
    <s v="Good"/>
  </r>
  <r>
    <n v="2317"/>
    <n v="28"/>
    <x v="0"/>
    <x v="4"/>
    <x v="1"/>
    <n v="39"/>
    <x v="6"/>
    <x v="0"/>
    <s v="Yellow"/>
    <x v="0"/>
    <n v="3.8"/>
    <s v="No"/>
    <x v="3"/>
    <s v="No"/>
    <n v="7"/>
    <x v="5"/>
    <s v="Annually"/>
    <n v="0.1"/>
    <n v="35.1"/>
    <n v="39"/>
    <s v="Debit Card"/>
    <s v="Normal"/>
    <s v="Good"/>
  </r>
  <r>
    <n v="2318"/>
    <n v="47"/>
    <x v="0"/>
    <x v="14"/>
    <x v="2"/>
    <n v="34"/>
    <x v="32"/>
    <x v="2"/>
    <s v="Purple"/>
    <x v="2"/>
    <n v="4.7"/>
    <s v="No"/>
    <x v="2"/>
    <s v="No"/>
    <n v="28"/>
    <x v="4"/>
    <s v="Monthly"/>
    <n v="0.1"/>
    <n v="30.6"/>
    <n v="34"/>
    <s v="Bank Transfer"/>
    <s v="Normal"/>
    <s v="Good"/>
  </r>
  <r>
    <n v="2319"/>
    <n v="69"/>
    <x v="0"/>
    <x v="15"/>
    <x v="0"/>
    <n v="28"/>
    <x v="5"/>
    <x v="0"/>
    <s v="White"/>
    <x v="1"/>
    <n v="3.1"/>
    <s v="No"/>
    <x v="5"/>
    <s v="No"/>
    <n v="30"/>
    <x v="2"/>
    <s v="Annually"/>
    <n v="0.1"/>
    <n v="25.2"/>
    <n v="28"/>
    <s v="Credit Card"/>
    <s v="Normal"/>
    <s v="Good"/>
  </r>
  <r>
    <n v="2320"/>
    <n v="56"/>
    <x v="0"/>
    <x v="3"/>
    <x v="1"/>
    <n v="38"/>
    <x v="1"/>
    <x v="3"/>
    <s v="Turquoise"/>
    <x v="0"/>
    <n v="5"/>
    <s v="No"/>
    <x v="1"/>
    <s v="No"/>
    <n v="29"/>
    <x v="3"/>
    <s v="Monthly"/>
    <n v="0.1"/>
    <n v="34.200000000000003"/>
    <n v="38"/>
    <s v="PayPal"/>
    <s v="Normal"/>
    <s v="Good"/>
  </r>
  <r>
    <n v="2321"/>
    <n v="28"/>
    <x v="0"/>
    <x v="9"/>
    <x v="1"/>
    <n v="55"/>
    <x v="35"/>
    <x v="2"/>
    <s v="Olive"/>
    <x v="1"/>
    <n v="3.7"/>
    <s v="No"/>
    <x v="1"/>
    <s v="No"/>
    <n v="9"/>
    <x v="5"/>
    <s v="Every 3 Months"/>
    <n v="0.1"/>
    <n v="49.5"/>
    <n v="55"/>
    <s v="Debit Card"/>
    <s v="Normal"/>
    <s v="Good"/>
  </r>
  <r>
    <n v="2322"/>
    <n v="50"/>
    <x v="0"/>
    <x v="3"/>
    <x v="1"/>
    <n v="31"/>
    <x v="24"/>
    <x v="2"/>
    <s v="Beige"/>
    <x v="0"/>
    <n v="3"/>
    <s v="No"/>
    <x v="2"/>
    <s v="No"/>
    <n v="27"/>
    <x v="5"/>
    <s v="Fortnightly"/>
    <n v="0.1"/>
    <n v="27.9"/>
    <n v="31"/>
    <s v="Debit Card"/>
    <s v="Normal"/>
    <s v="Good"/>
  </r>
  <r>
    <n v="2323"/>
    <n v="39"/>
    <x v="0"/>
    <x v="7"/>
    <x v="2"/>
    <n v="84"/>
    <x v="39"/>
    <x v="1"/>
    <s v="Lavender"/>
    <x v="1"/>
    <n v="4.5"/>
    <s v="No"/>
    <x v="5"/>
    <s v="No"/>
    <n v="21"/>
    <x v="0"/>
    <s v="Fortnightly"/>
    <n v="0.1"/>
    <n v="75.599999999999994"/>
    <n v="84"/>
    <s v="Venmo"/>
    <s v="Normal"/>
    <s v="Good"/>
  </r>
  <r>
    <n v="2324"/>
    <n v="35"/>
    <x v="0"/>
    <x v="24"/>
    <x v="3"/>
    <n v="93"/>
    <x v="33"/>
    <x v="0"/>
    <s v="White"/>
    <x v="0"/>
    <n v="4.7"/>
    <s v="No"/>
    <x v="0"/>
    <s v="No"/>
    <n v="36"/>
    <x v="2"/>
    <s v="Monthly"/>
    <n v="0.1"/>
    <n v="83.7"/>
    <n v="93"/>
    <s v="Credit Card"/>
    <s v="Normal"/>
    <s v="Good"/>
  </r>
  <r>
    <n v="2325"/>
    <n v="59"/>
    <x v="0"/>
    <x v="7"/>
    <x v="2"/>
    <n v="28"/>
    <x v="4"/>
    <x v="0"/>
    <s v="Brown"/>
    <x v="0"/>
    <n v="3.5"/>
    <s v="No"/>
    <x v="1"/>
    <s v="No"/>
    <n v="19"/>
    <x v="5"/>
    <s v="Annually"/>
    <n v="0.1"/>
    <n v="25.2"/>
    <n v="28"/>
    <s v="Debit Card"/>
    <s v="Normal"/>
    <s v="Good"/>
  </r>
  <r>
    <n v="2326"/>
    <n v="44"/>
    <x v="0"/>
    <x v="23"/>
    <x v="1"/>
    <n v="55"/>
    <x v="14"/>
    <x v="2"/>
    <s v="Charcoal"/>
    <x v="2"/>
    <n v="4.4000000000000004"/>
    <s v="No"/>
    <x v="4"/>
    <s v="No"/>
    <n v="47"/>
    <x v="1"/>
    <s v="Weekly"/>
    <n v="0.1"/>
    <n v="49.5"/>
    <n v="55"/>
    <s v="Cash"/>
    <s v="Normal"/>
    <s v="Good"/>
  </r>
  <r>
    <n v="2327"/>
    <n v="66"/>
    <x v="0"/>
    <x v="11"/>
    <x v="0"/>
    <n v="63"/>
    <x v="19"/>
    <x v="0"/>
    <s v="Maroon"/>
    <x v="0"/>
    <n v="2.6"/>
    <s v="No"/>
    <x v="3"/>
    <s v="No"/>
    <n v="38"/>
    <x v="4"/>
    <s v="Annually"/>
    <n v="0.1"/>
    <n v="56.7"/>
    <n v="63"/>
    <s v="Bank Transfer"/>
    <s v="Normal"/>
    <s v="Poor"/>
  </r>
  <r>
    <n v="2328"/>
    <n v="20"/>
    <x v="0"/>
    <x v="11"/>
    <x v="0"/>
    <n v="94"/>
    <x v="15"/>
    <x v="2"/>
    <s v="Red"/>
    <x v="0"/>
    <n v="4.2"/>
    <s v="No"/>
    <x v="4"/>
    <s v="No"/>
    <n v="22"/>
    <x v="0"/>
    <s v="Bi-Weekly"/>
    <n v="0.1"/>
    <n v="84.6"/>
    <n v="94"/>
    <s v="Venmo"/>
    <s v="Normal"/>
    <s v="Good"/>
  </r>
  <r>
    <n v="2329"/>
    <n v="45"/>
    <x v="0"/>
    <x v="13"/>
    <x v="0"/>
    <n v="36"/>
    <x v="25"/>
    <x v="2"/>
    <s v="Maroon"/>
    <x v="3"/>
    <n v="2.6"/>
    <s v="No"/>
    <x v="0"/>
    <s v="No"/>
    <n v="29"/>
    <x v="0"/>
    <s v="Bi-Weekly"/>
    <n v="0.1"/>
    <n v="32.4"/>
    <n v="36"/>
    <s v="Venmo"/>
    <s v="Normal"/>
    <s v="Poor"/>
  </r>
  <r>
    <n v="2330"/>
    <n v="49"/>
    <x v="0"/>
    <x v="19"/>
    <x v="3"/>
    <n v="97"/>
    <x v="43"/>
    <x v="1"/>
    <s v="Teal"/>
    <x v="1"/>
    <n v="4.8"/>
    <s v="No"/>
    <x v="1"/>
    <s v="No"/>
    <n v="42"/>
    <x v="4"/>
    <s v="Annually"/>
    <n v="0.1"/>
    <n v="87.3"/>
    <n v="97"/>
    <s v="Bank Transfer"/>
    <s v="Normal"/>
    <s v="Good"/>
  </r>
  <r>
    <n v="2331"/>
    <n v="60"/>
    <x v="0"/>
    <x v="21"/>
    <x v="3"/>
    <n v="63"/>
    <x v="28"/>
    <x v="0"/>
    <s v="Orange"/>
    <x v="2"/>
    <n v="2.9"/>
    <s v="No"/>
    <x v="5"/>
    <s v="No"/>
    <n v="47"/>
    <x v="3"/>
    <s v="Every 3 Months"/>
    <n v="0.1"/>
    <n v="56.7"/>
    <n v="63"/>
    <s v="PayPal"/>
    <s v="Normal"/>
    <s v="Poor"/>
  </r>
  <r>
    <n v="2332"/>
    <n v="61"/>
    <x v="0"/>
    <x v="18"/>
    <x v="3"/>
    <n v="77"/>
    <x v="26"/>
    <x v="1"/>
    <s v="Olive"/>
    <x v="1"/>
    <n v="4.3"/>
    <s v="No"/>
    <x v="4"/>
    <s v="No"/>
    <n v="10"/>
    <x v="2"/>
    <s v="Bi-Weekly"/>
    <n v="0.1"/>
    <n v="69.3"/>
    <n v="77"/>
    <s v="Credit Card"/>
    <s v="Normal"/>
    <s v="Good"/>
  </r>
  <r>
    <n v="2333"/>
    <n v="36"/>
    <x v="0"/>
    <x v="18"/>
    <x v="3"/>
    <n v="53"/>
    <x v="36"/>
    <x v="3"/>
    <s v="Olive"/>
    <x v="3"/>
    <n v="2.6"/>
    <s v="No"/>
    <x v="5"/>
    <s v="No"/>
    <n v="10"/>
    <x v="0"/>
    <s v="Monthly"/>
    <n v="0.1"/>
    <n v="47.7"/>
    <n v="53"/>
    <s v="Venmo"/>
    <s v="Normal"/>
    <s v="Poor"/>
  </r>
  <r>
    <n v="2334"/>
    <n v="33"/>
    <x v="0"/>
    <x v="5"/>
    <x v="0"/>
    <n v="77"/>
    <x v="23"/>
    <x v="2"/>
    <s v="Beige"/>
    <x v="1"/>
    <n v="3.8"/>
    <s v="No"/>
    <x v="2"/>
    <s v="No"/>
    <n v="1"/>
    <x v="3"/>
    <s v="Every 3 Months"/>
    <n v="0.1"/>
    <n v="69.3"/>
    <n v="77"/>
    <s v="PayPal"/>
    <s v="Normal"/>
    <s v="Good"/>
  </r>
  <r>
    <n v="2335"/>
    <n v="49"/>
    <x v="0"/>
    <x v="23"/>
    <x v="1"/>
    <n v="79"/>
    <x v="23"/>
    <x v="0"/>
    <s v="Green"/>
    <x v="2"/>
    <n v="4.2"/>
    <s v="No"/>
    <x v="3"/>
    <s v="No"/>
    <n v="7"/>
    <x v="2"/>
    <s v="Monthly"/>
    <n v="0.1"/>
    <n v="71.099999999999994"/>
    <n v="79"/>
    <s v="Credit Card"/>
    <s v="Normal"/>
    <s v="Good"/>
  </r>
  <r>
    <n v="2336"/>
    <n v="31"/>
    <x v="0"/>
    <x v="7"/>
    <x v="2"/>
    <n v="37"/>
    <x v="37"/>
    <x v="2"/>
    <s v="Black"/>
    <x v="2"/>
    <n v="3.9"/>
    <s v="No"/>
    <x v="5"/>
    <s v="No"/>
    <n v="10"/>
    <x v="0"/>
    <s v="Fortnightly"/>
    <n v="0.1"/>
    <n v="33.299999999999997"/>
    <n v="37"/>
    <s v="Venmo"/>
    <s v="Normal"/>
    <s v="Good"/>
  </r>
  <r>
    <n v="2337"/>
    <n v="19"/>
    <x v="0"/>
    <x v="22"/>
    <x v="3"/>
    <n v="94"/>
    <x v="18"/>
    <x v="2"/>
    <s v="Green"/>
    <x v="0"/>
    <n v="3.1"/>
    <s v="No"/>
    <x v="1"/>
    <s v="No"/>
    <n v="11"/>
    <x v="2"/>
    <s v="Weekly"/>
    <n v="0.1"/>
    <n v="84.6"/>
    <n v="94"/>
    <s v="Credit Card"/>
    <s v="Normal"/>
    <s v="Good"/>
  </r>
  <r>
    <n v="2338"/>
    <n v="39"/>
    <x v="0"/>
    <x v="23"/>
    <x v="1"/>
    <n v="76"/>
    <x v="25"/>
    <x v="1"/>
    <s v="Violet"/>
    <x v="3"/>
    <n v="3.6"/>
    <s v="No"/>
    <x v="5"/>
    <s v="No"/>
    <n v="5"/>
    <x v="1"/>
    <s v="Annually"/>
    <n v="0.1"/>
    <n v="68.400000000000006"/>
    <n v="76"/>
    <s v="Cash"/>
    <s v="Normal"/>
    <s v="Good"/>
  </r>
  <r>
    <n v="2339"/>
    <n v="66"/>
    <x v="0"/>
    <x v="4"/>
    <x v="1"/>
    <n v="68"/>
    <x v="42"/>
    <x v="1"/>
    <s v="Silver"/>
    <x v="3"/>
    <n v="4"/>
    <s v="No"/>
    <x v="0"/>
    <s v="No"/>
    <n v="21"/>
    <x v="3"/>
    <s v="Quarterly"/>
    <n v="0.1"/>
    <n v="61.2"/>
    <n v="68"/>
    <s v="PayPal"/>
    <s v="Normal"/>
    <s v="Good"/>
  </r>
  <r>
    <n v="2340"/>
    <n v="25"/>
    <x v="0"/>
    <x v="5"/>
    <x v="0"/>
    <n v="65"/>
    <x v="26"/>
    <x v="0"/>
    <s v="Maroon"/>
    <x v="1"/>
    <n v="3.4"/>
    <s v="No"/>
    <x v="2"/>
    <s v="No"/>
    <n v="24"/>
    <x v="4"/>
    <s v="Quarterly"/>
    <n v="0.1"/>
    <n v="58.5"/>
    <n v="65"/>
    <s v="Bank Transfer"/>
    <s v="Normal"/>
    <s v="Good"/>
  </r>
  <r>
    <n v="2341"/>
    <n v="63"/>
    <x v="0"/>
    <x v="0"/>
    <x v="0"/>
    <n v="24"/>
    <x v="12"/>
    <x v="2"/>
    <s v="Cyan"/>
    <x v="2"/>
    <n v="2.6"/>
    <s v="No"/>
    <x v="3"/>
    <s v="No"/>
    <n v="37"/>
    <x v="2"/>
    <s v="Fortnightly"/>
    <n v="0.1"/>
    <n v="21.6"/>
    <n v="24"/>
    <s v="Credit Card"/>
    <s v="Normal"/>
    <s v="Poor"/>
  </r>
  <r>
    <n v="2342"/>
    <n v="56"/>
    <x v="0"/>
    <x v="14"/>
    <x v="2"/>
    <n v="31"/>
    <x v="39"/>
    <x v="0"/>
    <s v="Teal"/>
    <x v="2"/>
    <n v="4.5"/>
    <s v="No"/>
    <x v="0"/>
    <s v="No"/>
    <n v="22"/>
    <x v="0"/>
    <s v="Every 3 Months"/>
    <n v="0.1"/>
    <n v="27.9"/>
    <n v="31"/>
    <s v="Venmo"/>
    <s v="Normal"/>
    <s v="Good"/>
  </r>
  <r>
    <n v="2343"/>
    <n v="20"/>
    <x v="0"/>
    <x v="11"/>
    <x v="0"/>
    <n v="89"/>
    <x v="30"/>
    <x v="2"/>
    <s v="Olive"/>
    <x v="3"/>
    <n v="4.9000000000000004"/>
    <s v="No"/>
    <x v="3"/>
    <s v="No"/>
    <n v="16"/>
    <x v="5"/>
    <s v="Fortnightly"/>
    <n v="0.1"/>
    <n v="80.099999999999994"/>
    <n v="89"/>
    <s v="Debit Card"/>
    <s v="Normal"/>
    <s v="Good"/>
  </r>
  <r>
    <n v="2344"/>
    <n v="58"/>
    <x v="0"/>
    <x v="20"/>
    <x v="0"/>
    <n v="49"/>
    <x v="33"/>
    <x v="2"/>
    <s v="Red"/>
    <x v="2"/>
    <n v="4.4000000000000004"/>
    <s v="No"/>
    <x v="4"/>
    <s v="No"/>
    <n v="44"/>
    <x v="3"/>
    <s v="Monthly"/>
    <n v="0.1"/>
    <n v="44.1"/>
    <n v="49"/>
    <s v="PayPal"/>
    <s v="Normal"/>
    <s v="Good"/>
  </r>
  <r>
    <n v="2345"/>
    <n v="34"/>
    <x v="0"/>
    <x v="3"/>
    <x v="1"/>
    <n v="92"/>
    <x v="3"/>
    <x v="3"/>
    <s v="Lavender"/>
    <x v="3"/>
    <n v="3.5"/>
    <s v="No"/>
    <x v="0"/>
    <s v="No"/>
    <n v="14"/>
    <x v="0"/>
    <s v="Bi-Weekly"/>
    <n v="0.1"/>
    <n v="82.8"/>
    <n v="92"/>
    <s v="Venmo"/>
    <s v="Normal"/>
    <s v="Good"/>
  </r>
  <r>
    <n v="2346"/>
    <n v="28"/>
    <x v="0"/>
    <x v="17"/>
    <x v="0"/>
    <n v="32"/>
    <x v="14"/>
    <x v="1"/>
    <s v="Orange"/>
    <x v="0"/>
    <n v="3.3"/>
    <s v="No"/>
    <x v="0"/>
    <s v="No"/>
    <n v="23"/>
    <x v="4"/>
    <s v="Every 3 Months"/>
    <n v="0.1"/>
    <n v="28.8"/>
    <n v="32"/>
    <s v="Bank Transfer"/>
    <s v="Normal"/>
    <s v="Good"/>
  </r>
  <r>
    <n v="2347"/>
    <n v="22"/>
    <x v="0"/>
    <x v="14"/>
    <x v="2"/>
    <n v="67"/>
    <x v="35"/>
    <x v="0"/>
    <s v="Brown"/>
    <x v="0"/>
    <n v="3.1"/>
    <s v="No"/>
    <x v="3"/>
    <s v="No"/>
    <n v="46"/>
    <x v="5"/>
    <s v="Fortnightly"/>
    <n v="0.1"/>
    <n v="60.3"/>
    <n v="67"/>
    <s v="Debit Card"/>
    <s v="Normal"/>
    <s v="Good"/>
  </r>
  <r>
    <n v="2348"/>
    <n v="37"/>
    <x v="0"/>
    <x v="22"/>
    <x v="3"/>
    <n v="64"/>
    <x v="18"/>
    <x v="1"/>
    <s v="Gray"/>
    <x v="3"/>
    <n v="4.2"/>
    <s v="No"/>
    <x v="0"/>
    <s v="No"/>
    <n v="46"/>
    <x v="1"/>
    <s v="Every 3 Months"/>
    <n v="0.1"/>
    <n v="57.6"/>
    <n v="64"/>
    <s v="Cash"/>
    <s v="Normal"/>
    <s v="Good"/>
  </r>
  <r>
    <n v="2349"/>
    <n v="54"/>
    <x v="0"/>
    <x v="9"/>
    <x v="1"/>
    <n v="84"/>
    <x v="1"/>
    <x v="2"/>
    <s v="Orange"/>
    <x v="1"/>
    <n v="4.9000000000000004"/>
    <s v="No"/>
    <x v="2"/>
    <s v="No"/>
    <n v="16"/>
    <x v="3"/>
    <s v="Every 3 Months"/>
    <n v="0.1"/>
    <n v="75.599999999999994"/>
    <n v="84"/>
    <s v="PayPal"/>
    <s v="Normal"/>
    <s v="Good"/>
  </r>
  <r>
    <n v="2350"/>
    <n v="65"/>
    <x v="0"/>
    <x v="0"/>
    <x v="0"/>
    <n v="34"/>
    <x v="14"/>
    <x v="2"/>
    <s v="Orange"/>
    <x v="3"/>
    <n v="3.9"/>
    <s v="No"/>
    <x v="3"/>
    <s v="No"/>
    <n v="40"/>
    <x v="2"/>
    <s v="Every 3 Months"/>
    <n v="0.1"/>
    <n v="30.6"/>
    <n v="34"/>
    <s v="Credit Card"/>
    <s v="Normal"/>
    <s v="Good"/>
  </r>
  <r>
    <n v="2351"/>
    <n v="57"/>
    <x v="0"/>
    <x v="9"/>
    <x v="1"/>
    <n v="26"/>
    <x v="11"/>
    <x v="2"/>
    <s v="Turquoise"/>
    <x v="0"/>
    <n v="4.2"/>
    <s v="No"/>
    <x v="1"/>
    <s v="No"/>
    <n v="21"/>
    <x v="1"/>
    <s v="Annually"/>
    <n v="0.1"/>
    <n v="23.4"/>
    <n v="26"/>
    <s v="Cash"/>
    <s v="Normal"/>
    <s v="Good"/>
  </r>
  <r>
    <n v="2352"/>
    <n v="38"/>
    <x v="0"/>
    <x v="1"/>
    <x v="0"/>
    <n v="50"/>
    <x v="13"/>
    <x v="1"/>
    <s v="Cyan"/>
    <x v="3"/>
    <n v="4.9000000000000004"/>
    <s v="No"/>
    <x v="5"/>
    <s v="No"/>
    <n v="25"/>
    <x v="3"/>
    <s v="Bi-Weekly"/>
    <n v="0.1"/>
    <n v="45"/>
    <n v="50"/>
    <s v="PayPal"/>
    <s v="Normal"/>
    <s v="Good"/>
  </r>
  <r>
    <n v="2353"/>
    <n v="70"/>
    <x v="0"/>
    <x v="23"/>
    <x v="1"/>
    <n v="46"/>
    <x v="43"/>
    <x v="2"/>
    <s v="Yellow"/>
    <x v="3"/>
    <n v="2.8"/>
    <s v="No"/>
    <x v="5"/>
    <s v="No"/>
    <n v="25"/>
    <x v="4"/>
    <s v="Quarterly"/>
    <n v="0.1"/>
    <n v="41.4"/>
    <n v="46"/>
    <s v="Bank Transfer"/>
    <s v="Normal"/>
    <s v="Poor"/>
  </r>
  <r>
    <n v="2354"/>
    <n v="56"/>
    <x v="0"/>
    <x v="8"/>
    <x v="3"/>
    <n v="71"/>
    <x v="6"/>
    <x v="2"/>
    <s v="White"/>
    <x v="3"/>
    <n v="4.0999999999999996"/>
    <s v="No"/>
    <x v="3"/>
    <s v="No"/>
    <n v="25"/>
    <x v="5"/>
    <s v="Every 3 Months"/>
    <n v="0.1"/>
    <n v="63.9"/>
    <n v="71"/>
    <s v="Debit Card"/>
    <s v="Normal"/>
    <s v="Good"/>
  </r>
  <r>
    <n v="2355"/>
    <n v="56"/>
    <x v="0"/>
    <x v="0"/>
    <x v="0"/>
    <n v="78"/>
    <x v="48"/>
    <x v="2"/>
    <s v="Blue"/>
    <x v="2"/>
    <n v="4.8"/>
    <s v="No"/>
    <x v="2"/>
    <s v="No"/>
    <n v="27"/>
    <x v="0"/>
    <s v="Monthly"/>
    <n v="0.1"/>
    <n v="70.2"/>
    <n v="78"/>
    <s v="Venmo"/>
    <s v="Normal"/>
    <s v="Good"/>
  </r>
  <r>
    <n v="2356"/>
    <n v="22"/>
    <x v="0"/>
    <x v="11"/>
    <x v="0"/>
    <n v="35"/>
    <x v="30"/>
    <x v="1"/>
    <s v="Purple"/>
    <x v="0"/>
    <n v="4.0999999999999996"/>
    <s v="No"/>
    <x v="2"/>
    <s v="No"/>
    <n v="12"/>
    <x v="1"/>
    <s v="Monthly"/>
    <n v="0.1"/>
    <n v="31.5"/>
    <n v="35"/>
    <s v="Cash"/>
    <s v="Normal"/>
    <s v="Good"/>
  </r>
  <r>
    <n v="2357"/>
    <n v="57"/>
    <x v="0"/>
    <x v="21"/>
    <x v="3"/>
    <n v="58"/>
    <x v="6"/>
    <x v="2"/>
    <s v="Gray"/>
    <x v="2"/>
    <n v="3"/>
    <s v="No"/>
    <x v="1"/>
    <s v="No"/>
    <n v="27"/>
    <x v="5"/>
    <s v="Quarterly"/>
    <n v="0.1"/>
    <n v="52.2"/>
    <n v="58"/>
    <s v="Debit Card"/>
    <s v="Normal"/>
    <s v="Good"/>
  </r>
  <r>
    <n v="2358"/>
    <n v="53"/>
    <x v="0"/>
    <x v="5"/>
    <x v="0"/>
    <n v="67"/>
    <x v="49"/>
    <x v="0"/>
    <s v="Cyan"/>
    <x v="3"/>
    <n v="4.2"/>
    <s v="No"/>
    <x v="4"/>
    <s v="No"/>
    <n v="40"/>
    <x v="2"/>
    <s v="Bi-Weekly"/>
    <n v="0.1"/>
    <n v="60.3"/>
    <n v="67"/>
    <s v="Credit Card"/>
    <s v="Normal"/>
    <s v="Good"/>
  </r>
  <r>
    <n v="2359"/>
    <n v="53"/>
    <x v="0"/>
    <x v="1"/>
    <x v="0"/>
    <n v="93"/>
    <x v="21"/>
    <x v="0"/>
    <s v="Pink"/>
    <x v="1"/>
    <n v="3.8"/>
    <s v="No"/>
    <x v="3"/>
    <s v="No"/>
    <n v="38"/>
    <x v="2"/>
    <s v="Quarterly"/>
    <n v="0.1"/>
    <n v="83.7"/>
    <n v="93"/>
    <s v="Credit Card"/>
    <s v="Normal"/>
    <s v="Good"/>
  </r>
  <r>
    <n v="2360"/>
    <n v="19"/>
    <x v="0"/>
    <x v="18"/>
    <x v="3"/>
    <n v="81"/>
    <x v="38"/>
    <x v="1"/>
    <s v="Gold"/>
    <x v="1"/>
    <n v="3.3"/>
    <s v="No"/>
    <x v="4"/>
    <s v="No"/>
    <n v="44"/>
    <x v="4"/>
    <s v="Every 3 Months"/>
    <n v="0.1"/>
    <n v="72.900000000000006"/>
    <n v="81"/>
    <s v="Bank Transfer"/>
    <s v="Normal"/>
    <s v="Good"/>
  </r>
  <r>
    <n v="2361"/>
    <n v="49"/>
    <x v="0"/>
    <x v="8"/>
    <x v="3"/>
    <n v="80"/>
    <x v="14"/>
    <x v="0"/>
    <s v="Silver"/>
    <x v="3"/>
    <n v="4.7"/>
    <s v="No"/>
    <x v="4"/>
    <s v="No"/>
    <n v="27"/>
    <x v="0"/>
    <s v="Every 3 Months"/>
    <n v="0.1"/>
    <n v="72"/>
    <n v="80"/>
    <s v="Venmo"/>
    <s v="Normal"/>
    <s v="Good"/>
  </r>
  <r>
    <n v="2362"/>
    <n v="44"/>
    <x v="0"/>
    <x v="18"/>
    <x v="3"/>
    <n v="64"/>
    <x v="15"/>
    <x v="2"/>
    <s v="Gray"/>
    <x v="1"/>
    <n v="4.3"/>
    <s v="No"/>
    <x v="4"/>
    <s v="No"/>
    <n v="30"/>
    <x v="2"/>
    <s v="Every 3 Months"/>
    <n v="0.1"/>
    <n v="57.6"/>
    <n v="64"/>
    <s v="Credit Card"/>
    <s v="Normal"/>
    <s v="Good"/>
  </r>
  <r>
    <n v="2363"/>
    <n v="27"/>
    <x v="0"/>
    <x v="2"/>
    <x v="0"/>
    <n v="41"/>
    <x v="41"/>
    <x v="2"/>
    <s v="Brown"/>
    <x v="3"/>
    <n v="2.7"/>
    <s v="No"/>
    <x v="3"/>
    <s v="No"/>
    <n v="24"/>
    <x v="2"/>
    <s v="Monthly"/>
    <n v="0.1"/>
    <n v="36.9"/>
    <n v="41"/>
    <s v="Credit Card"/>
    <s v="Normal"/>
    <s v="Poor"/>
  </r>
  <r>
    <n v="2364"/>
    <n v="60"/>
    <x v="0"/>
    <x v="20"/>
    <x v="0"/>
    <n v="79"/>
    <x v="38"/>
    <x v="3"/>
    <s v="Pink"/>
    <x v="0"/>
    <n v="4.2"/>
    <s v="No"/>
    <x v="0"/>
    <s v="No"/>
    <n v="38"/>
    <x v="1"/>
    <s v="Bi-Weekly"/>
    <n v="0.1"/>
    <n v="71.099999999999994"/>
    <n v="79"/>
    <s v="Cash"/>
    <s v="Normal"/>
    <s v="Good"/>
  </r>
  <r>
    <n v="2365"/>
    <n v="62"/>
    <x v="0"/>
    <x v="12"/>
    <x v="3"/>
    <n v="60"/>
    <x v="16"/>
    <x v="0"/>
    <s v="Maroon"/>
    <x v="0"/>
    <n v="4.2"/>
    <s v="No"/>
    <x v="1"/>
    <s v="No"/>
    <n v="4"/>
    <x v="3"/>
    <s v="Quarterly"/>
    <n v="0.1"/>
    <n v="54"/>
    <n v="60"/>
    <s v="PayPal"/>
    <s v="Normal"/>
    <s v="Good"/>
  </r>
  <r>
    <n v="2366"/>
    <n v="52"/>
    <x v="0"/>
    <x v="4"/>
    <x v="1"/>
    <n v="91"/>
    <x v="5"/>
    <x v="1"/>
    <s v="Peach"/>
    <x v="0"/>
    <n v="2.5"/>
    <s v="No"/>
    <x v="2"/>
    <s v="No"/>
    <n v="32"/>
    <x v="0"/>
    <s v="Monthly"/>
    <n v="0.1"/>
    <n v="81.900000000000006"/>
    <n v="91"/>
    <s v="Venmo"/>
    <s v="Normal"/>
    <s v="Poor"/>
  </r>
  <r>
    <n v="2367"/>
    <n v="30"/>
    <x v="0"/>
    <x v="9"/>
    <x v="1"/>
    <n v="66"/>
    <x v="35"/>
    <x v="0"/>
    <s v="Brown"/>
    <x v="0"/>
    <n v="3.6"/>
    <s v="No"/>
    <x v="0"/>
    <s v="No"/>
    <n v="32"/>
    <x v="2"/>
    <s v="Fortnightly"/>
    <n v="0.1"/>
    <n v="59.4"/>
    <n v="66"/>
    <s v="Credit Card"/>
    <s v="Normal"/>
    <s v="Good"/>
  </r>
  <r>
    <n v="2368"/>
    <n v="66"/>
    <x v="0"/>
    <x v="20"/>
    <x v="0"/>
    <n v="85"/>
    <x v="25"/>
    <x v="0"/>
    <s v="Green"/>
    <x v="0"/>
    <n v="3.4"/>
    <s v="No"/>
    <x v="3"/>
    <s v="No"/>
    <n v="28"/>
    <x v="4"/>
    <s v="Bi-Weekly"/>
    <n v="0.1"/>
    <n v="76.5"/>
    <n v="85"/>
    <s v="Bank Transfer"/>
    <s v="Normal"/>
    <s v="Good"/>
  </r>
  <r>
    <n v="2369"/>
    <n v="29"/>
    <x v="0"/>
    <x v="12"/>
    <x v="3"/>
    <n v="38"/>
    <x v="32"/>
    <x v="2"/>
    <s v="Lavender"/>
    <x v="2"/>
    <n v="3.3"/>
    <s v="No"/>
    <x v="3"/>
    <s v="No"/>
    <n v="6"/>
    <x v="5"/>
    <s v="Every 3 Months"/>
    <n v="0.1"/>
    <n v="34.200000000000003"/>
    <n v="38"/>
    <s v="Debit Card"/>
    <s v="Normal"/>
    <s v="Good"/>
  </r>
  <r>
    <n v="2370"/>
    <n v="24"/>
    <x v="0"/>
    <x v="1"/>
    <x v="0"/>
    <n v="23"/>
    <x v="34"/>
    <x v="2"/>
    <s v="Cyan"/>
    <x v="0"/>
    <n v="4.5999999999999996"/>
    <s v="No"/>
    <x v="3"/>
    <s v="No"/>
    <n v="24"/>
    <x v="3"/>
    <s v="Monthly"/>
    <n v="0.1"/>
    <n v="20.7"/>
    <n v="23"/>
    <s v="PayPal"/>
    <s v="Normal"/>
    <s v="Good"/>
  </r>
  <r>
    <n v="2371"/>
    <n v="51"/>
    <x v="0"/>
    <x v="9"/>
    <x v="1"/>
    <n v="71"/>
    <x v="29"/>
    <x v="2"/>
    <s v="Black"/>
    <x v="1"/>
    <n v="3.9"/>
    <s v="No"/>
    <x v="5"/>
    <s v="No"/>
    <n v="38"/>
    <x v="0"/>
    <s v="Weekly"/>
    <n v="0.1"/>
    <n v="63.9"/>
    <n v="71"/>
    <s v="Venmo"/>
    <s v="Normal"/>
    <s v="Good"/>
  </r>
  <r>
    <n v="2372"/>
    <n v="67"/>
    <x v="0"/>
    <x v="20"/>
    <x v="0"/>
    <n v="25"/>
    <x v="27"/>
    <x v="2"/>
    <s v="Charcoal"/>
    <x v="0"/>
    <n v="3.7"/>
    <s v="No"/>
    <x v="2"/>
    <s v="No"/>
    <n v="28"/>
    <x v="5"/>
    <s v="Annually"/>
    <n v="0.1"/>
    <n v="22.5"/>
    <n v="25"/>
    <s v="Debit Card"/>
    <s v="Normal"/>
    <s v="Good"/>
  </r>
  <r>
    <n v="2373"/>
    <n v="50"/>
    <x v="0"/>
    <x v="23"/>
    <x v="1"/>
    <n v="39"/>
    <x v="15"/>
    <x v="3"/>
    <s v="Silver"/>
    <x v="1"/>
    <n v="3.1"/>
    <s v="No"/>
    <x v="0"/>
    <s v="No"/>
    <n v="9"/>
    <x v="3"/>
    <s v="Fortnightly"/>
    <n v="0.1"/>
    <n v="35.1"/>
    <n v="39"/>
    <s v="PayPal"/>
    <s v="Normal"/>
    <s v="Good"/>
  </r>
  <r>
    <n v="2374"/>
    <n v="37"/>
    <x v="0"/>
    <x v="15"/>
    <x v="0"/>
    <n v="20"/>
    <x v="49"/>
    <x v="2"/>
    <s v="Gray"/>
    <x v="1"/>
    <n v="4.9000000000000004"/>
    <s v="No"/>
    <x v="0"/>
    <s v="No"/>
    <n v="21"/>
    <x v="5"/>
    <s v="Every 3 Months"/>
    <n v="0.1"/>
    <n v="18"/>
    <n v="20"/>
    <s v="Debit Card"/>
    <s v="Normal"/>
    <s v="Good"/>
  </r>
  <r>
    <n v="2375"/>
    <n v="69"/>
    <x v="0"/>
    <x v="24"/>
    <x v="3"/>
    <n v="73"/>
    <x v="47"/>
    <x v="0"/>
    <s v="Peach"/>
    <x v="0"/>
    <n v="4.7"/>
    <s v="No"/>
    <x v="3"/>
    <s v="No"/>
    <n v="31"/>
    <x v="5"/>
    <s v="Monthly"/>
    <n v="0.1"/>
    <n v="65.7"/>
    <n v="73"/>
    <s v="Debit Card"/>
    <s v="Normal"/>
    <s v="Good"/>
  </r>
  <r>
    <n v="2376"/>
    <n v="60"/>
    <x v="0"/>
    <x v="21"/>
    <x v="3"/>
    <n v="63"/>
    <x v="41"/>
    <x v="0"/>
    <s v="Peach"/>
    <x v="3"/>
    <n v="2.9"/>
    <s v="No"/>
    <x v="2"/>
    <s v="No"/>
    <n v="18"/>
    <x v="2"/>
    <s v="Quarterly"/>
    <n v="0.1"/>
    <n v="56.7"/>
    <n v="63"/>
    <s v="Credit Card"/>
    <s v="Normal"/>
    <s v="Poor"/>
  </r>
  <r>
    <n v="2377"/>
    <n v="21"/>
    <x v="0"/>
    <x v="24"/>
    <x v="3"/>
    <n v="94"/>
    <x v="30"/>
    <x v="3"/>
    <s v="Cyan"/>
    <x v="1"/>
    <n v="4.0999999999999996"/>
    <s v="No"/>
    <x v="0"/>
    <s v="No"/>
    <n v="5"/>
    <x v="1"/>
    <s v="Weekly"/>
    <n v="0.1"/>
    <n v="84.6"/>
    <n v="94"/>
    <s v="Cash"/>
    <s v="Normal"/>
    <s v="Good"/>
  </r>
  <r>
    <n v="2378"/>
    <n v="44"/>
    <x v="0"/>
    <x v="0"/>
    <x v="0"/>
    <n v="94"/>
    <x v="45"/>
    <x v="0"/>
    <s v="Magenta"/>
    <x v="3"/>
    <n v="4"/>
    <s v="No"/>
    <x v="2"/>
    <s v="No"/>
    <n v="22"/>
    <x v="1"/>
    <s v="Annually"/>
    <n v="0.1"/>
    <n v="84.6"/>
    <n v="94"/>
    <s v="Cash"/>
    <s v="Normal"/>
    <s v="Good"/>
  </r>
  <r>
    <n v="2379"/>
    <n v="26"/>
    <x v="0"/>
    <x v="18"/>
    <x v="3"/>
    <n v="71"/>
    <x v="13"/>
    <x v="0"/>
    <s v="Teal"/>
    <x v="2"/>
    <n v="2.7"/>
    <s v="No"/>
    <x v="5"/>
    <s v="No"/>
    <n v="37"/>
    <x v="3"/>
    <s v="Bi-Weekly"/>
    <n v="0.1"/>
    <n v="63.9"/>
    <n v="71"/>
    <s v="PayPal"/>
    <s v="Normal"/>
    <s v="Poor"/>
  </r>
  <r>
    <n v="2380"/>
    <n v="40"/>
    <x v="0"/>
    <x v="19"/>
    <x v="3"/>
    <n v="77"/>
    <x v="45"/>
    <x v="2"/>
    <s v="Peach"/>
    <x v="1"/>
    <n v="4"/>
    <s v="No"/>
    <x v="4"/>
    <s v="No"/>
    <n v="22"/>
    <x v="5"/>
    <s v="Monthly"/>
    <n v="0.1"/>
    <n v="69.3"/>
    <n v="77"/>
    <s v="Debit Card"/>
    <s v="Normal"/>
    <s v="Good"/>
  </r>
  <r>
    <n v="2381"/>
    <n v="41"/>
    <x v="0"/>
    <x v="18"/>
    <x v="3"/>
    <n v="66"/>
    <x v="38"/>
    <x v="2"/>
    <s v="Black"/>
    <x v="3"/>
    <n v="2.5"/>
    <s v="No"/>
    <x v="2"/>
    <s v="No"/>
    <n v="36"/>
    <x v="3"/>
    <s v="Fortnightly"/>
    <n v="0.1"/>
    <n v="59.4"/>
    <n v="66"/>
    <s v="PayPal"/>
    <s v="Normal"/>
    <s v="Poor"/>
  </r>
  <r>
    <n v="2382"/>
    <n v="62"/>
    <x v="0"/>
    <x v="3"/>
    <x v="1"/>
    <n v="23"/>
    <x v="48"/>
    <x v="2"/>
    <s v="Teal"/>
    <x v="2"/>
    <n v="4.5"/>
    <s v="No"/>
    <x v="1"/>
    <s v="No"/>
    <n v="23"/>
    <x v="3"/>
    <s v="Annually"/>
    <n v="0.1"/>
    <n v="20.7"/>
    <n v="23"/>
    <s v="PayPal"/>
    <s v="Normal"/>
    <s v="Good"/>
  </r>
  <r>
    <n v="2383"/>
    <n v="39"/>
    <x v="0"/>
    <x v="1"/>
    <x v="0"/>
    <n v="60"/>
    <x v="18"/>
    <x v="2"/>
    <s v="Turquoise"/>
    <x v="1"/>
    <n v="3.9"/>
    <s v="No"/>
    <x v="0"/>
    <s v="No"/>
    <n v="44"/>
    <x v="5"/>
    <s v="Weekly"/>
    <n v="0.1"/>
    <n v="54"/>
    <n v="60"/>
    <s v="Debit Card"/>
    <s v="Normal"/>
    <s v="Good"/>
  </r>
  <r>
    <n v="2384"/>
    <n v="53"/>
    <x v="0"/>
    <x v="21"/>
    <x v="3"/>
    <n v="72"/>
    <x v="3"/>
    <x v="0"/>
    <s v="Gold"/>
    <x v="1"/>
    <n v="4.9000000000000004"/>
    <s v="No"/>
    <x v="4"/>
    <s v="No"/>
    <n v="25"/>
    <x v="4"/>
    <s v="Annually"/>
    <n v="0.1"/>
    <n v="64.8"/>
    <n v="72"/>
    <s v="Bank Transfer"/>
    <s v="Normal"/>
    <s v="Good"/>
  </r>
  <r>
    <n v="2385"/>
    <n v="24"/>
    <x v="0"/>
    <x v="0"/>
    <x v="0"/>
    <n v="35"/>
    <x v="15"/>
    <x v="0"/>
    <s v="Green"/>
    <x v="0"/>
    <n v="3.3"/>
    <s v="No"/>
    <x v="4"/>
    <s v="No"/>
    <n v="40"/>
    <x v="3"/>
    <s v="Quarterly"/>
    <n v="0.1"/>
    <n v="31.5"/>
    <n v="35"/>
    <s v="PayPal"/>
    <s v="Normal"/>
    <s v="Good"/>
  </r>
  <r>
    <n v="2386"/>
    <n v="41"/>
    <x v="0"/>
    <x v="18"/>
    <x v="3"/>
    <n v="31"/>
    <x v="19"/>
    <x v="2"/>
    <s v="Brown"/>
    <x v="3"/>
    <n v="3.8"/>
    <s v="No"/>
    <x v="0"/>
    <s v="No"/>
    <n v="12"/>
    <x v="3"/>
    <s v="Weekly"/>
    <n v="0.1"/>
    <n v="27.9"/>
    <n v="31"/>
    <s v="PayPal"/>
    <s v="Normal"/>
    <s v="Good"/>
  </r>
  <r>
    <n v="2387"/>
    <n v="19"/>
    <x v="0"/>
    <x v="20"/>
    <x v="0"/>
    <n v="33"/>
    <x v="26"/>
    <x v="0"/>
    <s v="Blue"/>
    <x v="2"/>
    <n v="2.9"/>
    <s v="No"/>
    <x v="3"/>
    <s v="No"/>
    <n v="14"/>
    <x v="0"/>
    <s v="Monthly"/>
    <n v="0.1"/>
    <n v="29.7"/>
    <n v="33"/>
    <s v="Venmo"/>
    <s v="Normal"/>
    <s v="Poor"/>
  </r>
  <r>
    <n v="2388"/>
    <n v="36"/>
    <x v="0"/>
    <x v="19"/>
    <x v="3"/>
    <n v="95"/>
    <x v="30"/>
    <x v="2"/>
    <s v="Gold"/>
    <x v="2"/>
    <n v="4"/>
    <s v="No"/>
    <x v="4"/>
    <s v="No"/>
    <n v="14"/>
    <x v="5"/>
    <s v="Monthly"/>
    <n v="0.1"/>
    <n v="85.5"/>
    <n v="95"/>
    <s v="Debit Card"/>
    <s v="Normal"/>
    <s v="Good"/>
  </r>
  <r>
    <n v="2389"/>
    <n v="21"/>
    <x v="0"/>
    <x v="10"/>
    <x v="0"/>
    <n v="68"/>
    <x v="15"/>
    <x v="2"/>
    <s v="Peach"/>
    <x v="3"/>
    <n v="4.0999999999999996"/>
    <s v="No"/>
    <x v="5"/>
    <s v="No"/>
    <n v="10"/>
    <x v="5"/>
    <s v="Annually"/>
    <n v="0.1"/>
    <n v="61.2"/>
    <n v="68"/>
    <s v="Debit Card"/>
    <s v="Normal"/>
    <s v="Good"/>
  </r>
  <r>
    <n v="2390"/>
    <n v="25"/>
    <x v="0"/>
    <x v="7"/>
    <x v="2"/>
    <n v="87"/>
    <x v="23"/>
    <x v="2"/>
    <s v="Violet"/>
    <x v="1"/>
    <n v="3.1"/>
    <s v="No"/>
    <x v="5"/>
    <s v="No"/>
    <n v="17"/>
    <x v="4"/>
    <s v="Every 3 Months"/>
    <n v="0.1"/>
    <n v="78.3"/>
    <n v="87"/>
    <s v="Bank Transfer"/>
    <s v="Normal"/>
    <s v="Good"/>
  </r>
  <r>
    <n v="2391"/>
    <n v="65"/>
    <x v="0"/>
    <x v="5"/>
    <x v="0"/>
    <n v="64"/>
    <x v="28"/>
    <x v="3"/>
    <s v="Yellow"/>
    <x v="0"/>
    <n v="4.5999999999999996"/>
    <s v="No"/>
    <x v="0"/>
    <s v="No"/>
    <n v="24"/>
    <x v="5"/>
    <s v="Fortnightly"/>
    <n v="0.1"/>
    <n v="57.6"/>
    <n v="64"/>
    <s v="Debit Card"/>
    <s v="Normal"/>
    <s v="Good"/>
  </r>
  <r>
    <n v="2392"/>
    <n v="42"/>
    <x v="0"/>
    <x v="5"/>
    <x v="0"/>
    <n v="74"/>
    <x v="49"/>
    <x v="2"/>
    <s v="Black"/>
    <x v="0"/>
    <n v="4.5999999999999996"/>
    <s v="No"/>
    <x v="2"/>
    <s v="No"/>
    <n v="31"/>
    <x v="4"/>
    <s v="Quarterly"/>
    <n v="0.1"/>
    <n v="66.599999999999994"/>
    <n v="74"/>
    <s v="Bank Transfer"/>
    <s v="Normal"/>
    <s v="Good"/>
  </r>
  <r>
    <n v="2393"/>
    <n v="40"/>
    <x v="0"/>
    <x v="2"/>
    <x v="0"/>
    <n v="62"/>
    <x v="9"/>
    <x v="0"/>
    <s v="Silver"/>
    <x v="1"/>
    <n v="2.6"/>
    <s v="No"/>
    <x v="4"/>
    <s v="No"/>
    <n v="36"/>
    <x v="1"/>
    <s v="Annually"/>
    <n v="0.1"/>
    <n v="55.8"/>
    <n v="62"/>
    <s v="Cash"/>
    <s v="Normal"/>
    <s v="Poor"/>
  </r>
  <r>
    <n v="2394"/>
    <n v="58"/>
    <x v="0"/>
    <x v="20"/>
    <x v="0"/>
    <n v="97"/>
    <x v="7"/>
    <x v="2"/>
    <s v="Brown"/>
    <x v="0"/>
    <n v="5"/>
    <s v="No"/>
    <x v="4"/>
    <s v="No"/>
    <n v="38"/>
    <x v="3"/>
    <s v="Every 3 Months"/>
    <n v="0.1"/>
    <n v="87.3"/>
    <n v="97"/>
    <s v="PayPal"/>
    <s v="Normal"/>
    <s v="Good"/>
  </r>
  <r>
    <n v="2395"/>
    <n v="40"/>
    <x v="0"/>
    <x v="3"/>
    <x v="1"/>
    <n v="47"/>
    <x v="39"/>
    <x v="0"/>
    <s v="Peach"/>
    <x v="3"/>
    <n v="2.9"/>
    <s v="No"/>
    <x v="4"/>
    <s v="No"/>
    <n v="23"/>
    <x v="5"/>
    <s v="Fortnightly"/>
    <n v="0.1"/>
    <n v="42.3"/>
    <n v="47"/>
    <s v="Debit Card"/>
    <s v="Normal"/>
    <s v="Poor"/>
  </r>
  <r>
    <n v="2396"/>
    <n v="62"/>
    <x v="0"/>
    <x v="0"/>
    <x v="0"/>
    <n v="83"/>
    <x v="39"/>
    <x v="2"/>
    <s v="Cyan"/>
    <x v="0"/>
    <n v="3.5"/>
    <s v="No"/>
    <x v="4"/>
    <s v="No"/>
    <n v="47"/>
    <x v="3"/>
    <s v="Bi-Weekly"/>
    <n v="0.1"/>
    <n v="74.7"/>
    <n v="83"/>
    <s v="PayPal"/>
    <s v="Normal"/>
    <s v="Good"/>
  </r>
  <r>
    <n v="2397"/>
    <n v="38"/>
    <x v="0"/>
    <x v="5"/>
    <x v="0"/>
    <n v="82"/>
    <x v="4"/>
    <x v="2"/>
    <s v="Olive"/>
    <x v="1"/>
    <n v="3.7"/>
    <s v="No"/>
    <x v="4"/>
    <s v="No"/>
    <n v="20"/>
    <x v="0"/>
    <s v="Weekly"/>
    <n v="0.1"/>
    <n v="73.8"/>
    <n v="82"/>
    <s v="Venmo"/>
    <s v="Normal"/>
    <s v="Good"/>
  </r>
  <r>
    <n v="2398"/>
    <n v="37"/>
    <x v="0"/>
    <x v="12"/>
    <x v="3"/>
    <n v="26"/>
    <x v="8"/>
    <x v="0"/>
    <s v="Black"/>
    <x v="3"/>
    <n v="2.9"/>
    <s v="No"/>
    <x v="5"/>
    <s v="No"/>
    <n v="41"/>
    <x v="0"/>
    <s v="Monthly"/>
    <n v="0.1"/>
    <n v="23.4"/>
    <n v="26"/>
    <s v="Venmo"/>
    <s v="Normal"/>
    <s v="Poor"/>
  </r>
  <r>
    <n v="2399"/>
    <n v="65"/>
    <x v="0"/>
    <x v="14"/>
    <x v="2"/>
    <n v="81"/>
    <x v="20"/>
    <x v="2"/>
    <s v="Orange"/>
    <x v="0"/>
    <n v="4.3"/>
    <s v="No"/>
    <x v="1"/>
    <s v="No"/>
    <n v="44"/>
    <x v="4"/>
    <s v="Fortnightly"/>
    <n v="0.1"/>
    <n v="72.900000000000006"/>
    <n v="81"/>
    <s v="Bank Transfer"/>
    <s v="Normal"/>
    <s v="Good"/>
  </r>
  <r>
    <n v="2400"/>
    <n v="55"/>
    <x v="0"/>
    <x v="10"/>
    <x v="0"/>
    <n v="44"/>
    <x v="13"/>
    <x v="0"/>
    <s v="Beige"/>
    <x v="1"/>
    <n v="3.2"/>
    <s v="No"/>
    <x v="5"/>
    <s v="No"/>
    <n v="31"/>
    <x v="1"/>
    <s v="Monthly"/>
    <n v="0.1"/>
    <n v="39.6"/>
    <n v="44"/>
    <s v="Cash"/>
    <s v="Normal"/>
    <s v="Good"/>
  </r>
  <r>
    <n v="2401"/>
    <n v="43"/>
    <x v="0"/>
    <x v="12"/>
    <x v="3"/>
    <n v="88"/>
    <x v="4"/>
    <x v="2"/>
    <s v="Peach"/>
    <x v="0"/>
    <n v="4.2"/>
    <s v="No"/>
    <x v="2"/>
    <s v="No"/>
    <n v="11"/>
    <x v="2"/>
    <s v="Bi-Weekly"/>
    <n v="0.1"/>
    <n v="79.2"/>
    <n v="88"/>
    <s v="Credit Card"/>
    <s v="Normal"/>
    <s v="Good"/>
  </r>
  <r>
    <n v="2402"/>
    <n v="43"/>
    <x v="0"/>
    <x v="23"/>
    <x v="1"/>
    <n v="76"/>
    <x v="4"/>
    <x v="2"/>
    <s v="Pink"/>
    <x v="0"/>
    <n v="4.2"/>
    <s v="No"/>
    <x v="3"/>
    <s v="No"/>
    <n v="25"/>
    <x v="3"/>
    <s v="Bi-Weekly"/>
    <n v="0.1"/>
    <n v="68.400000000000006"/>
    <n v="76"/>
    <s v="PayPal"/>
    <s v="Normal"/>
    <s v="Good"/>
  </r>
  <r>
    <n v="2403"/>
    <n v="45"/>
    <x v="0"/>
    <x v="18"/>
    <x v="3"/>
    <n v="89"/>
    <x v="40"/>
    <x v="2"/>
    <s v="Brown"/>
    <x v="0"/>
    <n v="3.8"/>
    <s v="No"/>
    <x v="1"/>
    <s v="No"/>
    <n v="31"/>
    <x v="1"/>
    <s v="Weekly"/>
    <n v="0.1"/>
    <n v="80.099999999999994"/>
    <n v="89"/>
    <s v="Cash"/>
    <s v="Normal"/>
    <s v="Good"/>
  </r>
  <r>
    <n v="2404"/>
    <n v="64"/>
    <x v="0"/>
    <x v="6"/>
    <x v="0"/>
    <n v="22"/>
    <x v="9"/>
    <x v="2"/>
    <s v="Magenta"/>
    <x v="3"/>
    <n v="4.4000000000000004"/>
    <s v="No"/>
    <x v="3"/>
    <s v="No"/>
    <n v="40"/>
    <x v="5"/>
    <s v="Weekly"/>
    <n v="0.1"/>
    <n v="19.8"/>
    <n v="22"/>
    <s v="Debit Card"/>
    <s v="Normal"/>
    <s v="Good"/>
  </r>
  <r>
    <n v="2405"/>
    <n v="28"/>
    <x v="0"/>
    <x v="6"/>
    <x v="0"/>
    <n v="33"/>
    <x v="8"/>
    <x v="0"/>
    <s v="Cyan"/>
    <x v="0"/>
    <n v="3.1"/>
    <s v="No"/>
    <x v="4"/>
    <s v="No"/>
    <n v="23"/>
    <x v="2"/>
    <s v="Bi-Weekly"/>
    <n v="0.1"/>
    <n v="29.7"/>
    <n v="33"/>
    <s v="Credit Card"/>
    <s v="Normal"/>
    <s v="Good"/>
  </r>
  <r>
    <n v="2406"/>
    <n v="69"/>
    <x v="0"/>
    <x v="2"/>
    <x v="0"/>
    <n v="97"/>
    <x v="18"/>
    <x v="3"/>
    <s v="Silver"/>
    <x v="3"/>
    <n v="5"/>
    <s v="No"/>
    <x v="3"/>
    <s v="No"/>
    <n v="5"/>
    <x v="5"/>
    <s v="Quarterly"/>
    <n v="0.1"/>
    <n v="87.3"/>
    <n v="97"/>
    <s v="Debit Card"/>
    <s v="Normal"/>
    <s v="Good"/>
  </r>
  <r>
    <n v="2407"/>
    <n v="54"/>
    <x v="0"/>
    <x v="18"/>
    <x v="3"/>
    <n v="57"/>
    <x v="18"/>
    <x v="2"/>
    <s v="Indigo"/>
    <x v="0"/>
    <n v="4.7"/>
    <s v="No"/>
    <x v="3"/>
    <s v="No"/>
    <n v="26"/>
    <x v="3"/>
    <s v="Weekly"/>
    <n v="0.1"/>
    <n v="51.3"/>
    <n v="57"/>
    <s v="PayPal"/>
    <s v="Normal"/>
    <s v="Good"/>
  </r>
  <r>
    <n v="2408"/>
    <n v="52"/>
    <x v="0"/>
    <x v="6"/>
    <x v="0"/>
    <n v="38"/>
    <x v="26"/>
    <x v="2"/>
    <s v="Beige"/>
    <x v="2"/>
    <n v="3"/>
    <s v="No"/>
    <x v="0"/>
    <s v="No"/>
    <n v="11"/>
    <x v="2"/>
    <s v="Bi-Weekly"/>
    <n v="0.1"/>
    <n v="34.200000000000003"/>
    <n v="38"/>
    <s v="Credit Card"/>
    <s v="Normal"/>
    <s v="Good"/>
  </r>
  <r>
    <n v="2409"/>
    <n v="23"/>
    <x v="0"/>
    <x v="4"/>
    <x v="1"/>
    <n v="55"/>
    <x v="11"/>
    <x v="3"/>
    <s v="Black"/>
    <x v="3"/>
    <n v="4.2"/>
    <s v="No"/>
    <x v="2"/>
    <s v="No"/>
    <n v="44"/>
    <x v="5"/>
    <s v="Every 3 Months"/>
    <n v="0.1"/>
    <n v="49.5"/>
    <n v="55"/>
    <s v="Debit Card"/>
    <s v="Normal"/>
    <s v="Good"/>
  </r>
  <r>
    <n v="2410"/>
    <n v="26"/>
    <x v="0"/>
    <x v="16"/>
    <x v="3"/>
    <n v="37"/>
    <x v="47"/>
    <x v="0"/>
    <s v="Yellow"/>
    <x v="1"/>
    <n v="3"/>
    <s v="No"/>
    <x v="5"/>
    <s v="No"/>
    <n v="47"/>
    <x v="1"/>
    <s v="Every 3 Months"/>
    <n v="0.1"/>
    <n v="33.299999999999997"/>
    <n v="37"/>
    <s v="Cash"/>
    <s v="Normal"/>
    <s v="Good"/>
  </r>
  <r>
    <n v="2411"/>
    <n v="48"/>
    <x v="0"/>
    <x v="9"/>
    <x v="1"/>
    <n v="43"/>
    <x v="48"/>
    <x v="2"/>
    <s v="Maroon"/>
    <x v="2"/>
    <n v="3.7"/>
    <s v="No"/>
    <x v="1"/>
    <s v="No"/>
    <n v="46"/>
    <x v="3"/>
    <s v="Monthly"/>
    <n v="0.1"/>
    <n v="38.700000000000003"/>
    <n v="43"/>
    <s v="PayPal"/>
    <s v="Normal"/>
    <s v="Good"/>
  </r>
  <r>
    <n v="2412"/>
    <n v="49"/>
    <x v="0"/>
    <x v="15"/>
    <x v="0"/>
    <n v="96"/>
    <x v="41"/>
    <x v="2"/>
    <s v="Cyan"/>
    <x v="2"/>
    <n v="2.7"/>
    <s v="No"/>
    <x v="1"/>
    <s v="No"/>
    <n v="35"/>
    <x v="1"/>
    <s v="Every 3 Months"/>
    <n v="0.1"/>
    <n v="86.4"/>
    <n v="96"/>
    <s v="Cash"/>
    <s v="Normal"/>
    <s v="Poor"/>
  </r>
  <r>
    <n v="2413"/>
    <n v="53"/>
    <x v="0"/>
    <x v="14"/>
    <x v="2"/>
    <n v="51"/>
    <x v="4"/>
    <x v="2"/>
    <s v="Pink"/>
    <x v="0"/>
    <n v="4.3"/>
    <s v="No"/>
    <x v="4"/>
    <s v="No"/>
    <n v="8"/>
    <x v="4"/>
    <s v="Bi-Weekly"/>
    <n v="0.1"/>
    <n v="45.9"/>
    <n v="51"/>
    <s v="Bank Transfer"/>
    <s v="Normal"/>
    <s v="Good"/>
  </r>
  <r>
    <n v="2414"/>
    <n v="69"/>
    <x v="0"/>
    <x v="6"/>
    <x v="0"/>
    <n v="95"/>
    <x v="38"/>
    <x v="3"/>
    <s v="Violet"/>
    <x v="3"/>
    <n v="2.7"/>
    <s v="No"/>
    <x v="4"/>
    <s v="No"/>
    <n v="30"/>
    <x v="4"/>
    <s v="Weekly"/>
    <n v="0.1"/>
    <n v="85.5"/>
    <n v="95"/>
    <s v="Bank Transfer"/>
    <s v="Normal"/>
    <s v="Poor"/>
  </r>
  <r>
    <n v="2415"/>
    <n v="26"/>
    <x v="0"/>
    <x v="20"/>
    <x v="0"/>
    <n v="26"/>
    <x v="41"/>
    <x v="2"/>
    <s v="Lavender"/>
    <x v="2"/>
    <n v="3.7"/>
    <s v="No"/>
    <x v="2"/>
    <s v="No"/>
    <n v="14"/>
    <x v="2"/>
    <s v="Bi-Weekly"/>
    <n v="0.1"/>
    <n v="23.4"/>
    <n v="26"/>
    <s v="Credit Card"/>
    <s v="Normal"/>
    <s v="Good"/>
  </r>
  <r>
    <n v="2416"/>
    <n v="21"/>
    <x v="0"/>
    <x v="7"/>
    <x v="2"/>
    <n v="34"/>
    <x v="11"/>
    <x v="3"/>
    <s v="Lavender"/>
    <x v="3"/>
    <n v="4.3"/>
    <s v="No"/>
    <x v="3"/>
    <s v="No"/>
    <n v="30"/>
    <x v="4"/>
    <s v="Weekly"/>
    <n v="0.1"/>
    <n v="30.6"/>
    <n v="34"/>
    <s v="Bank Transfer"/>
    <s v="Normal"/>
    <s v="Good"/>
  </r>
  <r>
    <n v="2417"/>
    <n v="59"/>
    <x v="0"/>
    <x v="3"/>
    <x v="1"/>
    <n v="83"/>
    <x v="43"/>
    <x v="1"/>
    <s v="Black"/>
    <x v="2"/>
    <n v="4"/>
    <s v="No"/>
    <x v="2"/>
    <s v="No"/>
    <n v="26"/>
    <x v="2"/>
    <s v="Every 3 Months"/>
    <n v="0.1"/>
    <n v="74.7"/>
    <n v="83"/>
    <s v="Credit Card"/>
    <s v="Normal"/>
    <s v="Good"/>
  </r>
  <r>
    <n v="2418"/>
    <n v="21"/>
    <x v="0"/>
    <x v="21"/>
    <x v="3"/>
    <n v="24"/>
    <x v="29"/>
    <x v="2"/>
    <s v="Olive"/>
    <x v="3"/>
    <n v="3.3"/>
    <s v="No"/>
    <x v="3"/>
    <s v="No"/>
    <n v="32"/>
    <x v="0"/>
    <s v="Fortnightly"/>
    <n v="0.1"/>
    <n v="21.6"/>
    <n v="24"/>
    <s v="Venmo"/>
    <s v="Normal"/>
    <s v="Good"/>
  </r>
  <r>
    <n v="2419"/>
    <n v="22"/>
    <x v="0"/>
    <x v="13"/>
    <x v="0"/>
    <n v="69"/>
    <x v="49"/>
    <x v="1"/>
    <s v="Indigo"/>
    <x v="3"/>
    <n v="4"/>
    <s v="No"/>
    <x v="2"/>
    <s v="No"/>
    <n v="47"/>
    <x v="1"/>
    <s v="Every 3 Months"/>
    <n v="0.1"/>
    <n v="62.1"/>
    <n v="69"/>
    <s v="Cash"/>
    <s v="Normal"/>
    <s v="Good"/>
  </r>
  <r>
    <n v="2420"/>
    <n v="26"/>
    <x v="0"/>
    <x v="1"/>
    <x v="0"/>
    <n v="40"/>
    <x v="17"/>
    <x v="2"/>
    <s v="Blue"/>
    <x v="3"/>
    <n v="2.7"/>
    <s v="No"/>
    <x v="2"/>
    <s v="No"/>
    <n v="11"/>
    <x v="2"/>
    <s v="Every 3 Months"/>
    <n v="0.1"/>
    <n v="36"/>
    <n v="40"/>
    <s v="Credit Card"/>
    <s v="Normal"/>
    <s v="Poor"/>
  </r>
  <r>
    <n v="2421"/>
    <n v="41"/>
    <x v="0"/>
    <x v="14"/>
    <x v="2"/>
    <n v="87"/>
    <x v="17"/>
    <x v="1"/>
    <s v="Green"/>
    <x v="0"/>
    <n v="4.2"/>
    <s v="No"/>
    <x v="1"/>
    <s v="No"/>
    <n v="28"/>
    <x v="3"/>
    <s v="Annually"/>
    <n v="0.1"/>
    <n v="78.3"/>
    <n v="87"/>
    <s v="PayPal"/>
    <s v="Normal"/>
    <s v="Good"/>
  </r>
  <r>
    <n v="2422"/>
    <n v="37"/>
    <x v="0"/>
    <x v="4"/>
    <x v="1"/>
    <n v="46"/>
    <x v="46"/>
    <x v="0"/>
    <s v="Pink"/>
    <x v="1"/>
    <n v="4.5999999999999996"/>
    <s v="No"/>
    <x v="3"/>
    <s v="No"/>
    <n v="2"/>
    <x v="5"/>
    <s v="Every 3 Months"/>
    <n v="0.1"/>
    <n v="41.4"/>
    <n v="46"/>
    <s v="Debit Card"/>
    <s v="Normal"/>
    <s v="Good"/>
  </r>
  <r>
    <n v="2423"/>
    <n v="30"/>
    <x v="0"/>
    <x v="16"/>
    <x v="3"/>
    <n v="82"/>
    <x v="42"/>
    <x v="2"/>
    <s v="Peach"/>
    <x v="0"/>
    <n v="4.8"/>
    <s v="No"/>
    <x v="5"/>
    <s v="No"/>
    <n v="45"/>
    <x v="2"/>
    <s v="Weekly"/>
    <n v="0.1"/>
    <n v="73.8"/>
    <n v="82"/>
    <s v="Credit Card"/>
    <s v="Normal"/>
    <s v="Good"/>
  </r>
  <r>
    <n v="2424"/>
    <n v="49"/>
    <x v="0"/>
    <x v="21"/>
    <x v="3"/>
    <n v="81"/>
    <x v="8"/>
    <x v="2"/>
    <s v="Purple"/>
    <x v="2"/>
    <n v="2.8"/>
    <s v="No"/>
    <x v="1"/>
    <s v="No"/>
    <n v="7"/>
    <x v="2"/>
    <s v="Every 3 Months"/>
    <n v="0.1"/>
    <n v="72.900000000000006"/>
    <n v="81"/>
    <s v="Credit Card"/>
    <s v="Normal"/>
    <s v="Poor"/>
  </r>
  <r>
    <n v="2425"/>
    <n v="49"/>
    <x v="0"/>
    <x v="16"/>
    <x v="3"/>
    <n v="57"/>
    <x v="12"/>
    <x v="2"/>
    <s v="Peach"/>
    <x v="0"/>
    <n v="4.5"/>
    <s v="No"/>
    <x v="2"/>
    <s v="No"/>
    <n v="28"/>
    <x v="4"/>
    <s v="Bi-Weekly"/>
    <n v="0.1"/>
    <n v="51.3"/>
    <n v="57"/>
    <s v="Bank Transfer"/>
    <s v="Normal"/>
    <s v="Good"/>
  </r>
  <r>
    <n v="2426"/>
    <n v="58"/>
    <x v="0"/>
    <x v="9"/>
    <x v="1"/>
    <n v="49"/>
    <x v="25"/>
    <x v="1"/>
    <s v="Olive"/>
    <x v="2"/>
    <n v="3"/>
    <s v="No"/>
    <x v="4"/>
    <s v="No"/>
    <n v="34"/>
    <x v="4"/>
    <s v="Quarterly"/>
    <n v="0.1"/>
    <n v="44.1"/>
    <n v="49"/>
    <s v="Bank Transfer"/>
    <s v="Normal"/>
    <s v="Good"/>
  </r>
  <r>
    <n v="2427"/>
    <n v="70"/>
    <x v="0"/>
    <x v="14"/>
    <x v="2"/>
    <n v="42"/>
    <x v="20"/>
    <x v="2"/>
    <s v="Olive"/>
    <x v="3"/>
    <n v="4.5999999999999996"/>
    <s v="No"/>
    <x v="1"/>
    <s v="No"/>
    <n v="26"/>
    <x v="5"/>
    <s v="Every 3 Months"/>
    <n v="0.1"/>
    <n v="37.799999999999997"/>
    <n v="42"/>
    <s v="Debit Card"/>
    <s v="Normal"/>
    <s v="Good"/>
  </r>
  <r>
    <n v="2428"/>
    <n v="27"/>
    <x v="0"/>
    <x v="14"/>
    <x v="2"/>
    <n v="26"/>
    <x v="4"/>
    <x v="2"/>
    <s v="Purple"/>
    <x v="1"/>
    <n v="3.3"/>
    <s v="No"/>
    <x v="3"/>
    <s v="No"/>
    <n v="45"/>
    <x v="1"/>
    <s v="Quarterly"/>
    <n v="0.1"/>
    <n v="23.4"/>
    <n v="26"/>
    <s v="Cash"/>
    <s v="Normal"/>
    <s v="Good"/>
  </r>
  <r>
    <n v="2429"/>
    <n v="65"/>
    <x v="0"/>
    <x v="17"/>
    <x v="0"/>
    <n v="38"/>
    <x v="37"/>
    <x v="2"/>
    <s v="Violet"/>
    <x v="1"/>
    <n v="4.4000000000000004"/>
    <s v="No"/>
    <x v="2"/>
    <s v="No"/>
    <n v="34"/>
    <x v="5"/>
    <s v="Annually"/>
    <n v="0.1"/>
    <n v="34.200000000000003"/>
    <n v="38"/>
    <s v="Debit Card"/>
    <s v="Normal"/>
    <s v="Good"/>
  </r>
  <r>
    <n v="2430"/>
    <n v="57"/>
    <x v="0"/>
    <x v="4"/>
    <x v="1"/>
    <n v="57"/>
    <x v="41"/>
    <x v="3"/>
    <s v="Maroon"/>
    <x v="2"/>
    <n v="4.4000000000000004"/>
    <s v="No"/>
    <x v="3"/>
    <s v="No"/>
    <n v="47"/>
    <x v="2"/>
    <s v="Fortnightly"/>
    <n v="0.1"/>
    <n v="51.3"/>
    <n v="57"/>
    <s v="Credit Card"/>
    <s v="Normal"/>
    <s v="Good"/>
  </r>
  <r>
    <n v="2431"/>
    <n v="20"/>
    <x v="0"/>
    <x v="14"/>
    <x v="2"/>
    <n v="100"/>
    <x v="25"/>
    <x v="3"/>
    <s v="White"/>
    <x v="2"/>
    <n v="4.3"/>
    <s v="No"/>
    <x v="0"/>
    <s v="No"/>
    <n v="42"/>
    <x v="1"/>
    <s v="Quarterly"/>
    <n v="0.1"/>
    <n v="90"/>
    <n v="100"/>
    <s v="Cash"/>
    <s v="Normal"/>
    <s v="Good"/>
  </r>
  <r>
    <n v="2432"/>
    <n v="34"/>
    <x v="0"/>
    <x v="15"/>
    <x v="0"/>
    <n v="73"/>
    <x v="15"/>
    <x v="1"/>
    <s v="Olive"/>
    <x v="3"/>
    <n v="3.4"/>
    <s v="No"/>
    <x v="0"/>
    <s v="No"/>
    <n v="27"/>
    <x v="4"/>
    <s v="Every 3 Months"/>
    <n v="0.1"/>
    <n v="65.7"/>
    <n v="73"/>
    <s v="Bank Transfer"/>
    <s v="Normal"/>
    <s v="Good"/>
  </r>
  <r>
    <n v="2433"/>
    <n v="59"/>
    <x v="0"/>
    <x v="14"/>
    <x v="2"/>
    <n v="66"/>
    <x v="11"/>
    <x v="2"/>
    <s v="Peach"/>
    <x v="0"/>
    <n v="2.8"/>
    <s v="No"/>
    <x v="5"/>
    <s v="No"/>
    <n v="43"/>
    <x v="0"/>
    <s v="Monthly"/>
    <n v="0.1"/>
    <n v="59.4"/>
    <n v="66"/>
    <s v="Venmo"/>
    <s v="Normal"/>
    <s v="Poor"/>
  </r>
  <r>
    <n v="2434"/>
    <n v="54"/>
    <x v="0"/>
    <x v="17"/>
    <x v="0"/>
    <n v="73"/>
    <x v="4"/>
    <x v="2"/>
    <s v="Blue"/>
    <x v="1"/>
    <n v="3.4"/>
    <s v="No"/>
    <x v="3"/>
    <s v="No"/>
    <n v="16"/>
    <x v="1"/>
    <s v="Bi-Weekly"/>
    <n v="0.1"/>
    <n v="65.7"/>
    <n v="73"/>
    <s v="Cash"/>
    <s v="Normal"/>
    <s v="Good"/>
  </r>
  <r>
    <n v="2435"/>
    <n v="36"/>
    <x v="0"/>
    <x v="24"/>
    <x v="3"/>
    <n v="45"/>
    <x v="40"/>
    <x v="2"/>
    <s v="Brown"/>
    <x v="1"/>
    <n v="5"/>
    <s v="No"/>
    <x v="5"/>
    <s v="No"/>
    <n v="40"/>
    <x v="2"/>
    <s v="Monthly"/>
    <n v="0.1"/>
    <n v="40.5"/>
    <n v="45"/>
    <s v="Credit Card"/>
    <s v="Normal"/>
    <s v="Good"/>
  </r>
  <r>
    <n v="2436"/>
    <n v="21"/>
    <x v="0"/>
    <x v="4"/>
    <x v="1"/>
    <n v="27"/>
    <x v="11"/>
    <x v="1"/>
    <s v="Black"/>
    <x v="3"/>
    <n v="4.5"/>
    <s v="No"/>
    <x v="1"/>
    <s v="No"/>
    <n v="29"/>
    <x v="1"/>
    <s v="Bi-Weekly"/>
    <n v="0.1"/>
    <n v="24.3"/>
    <n v="27"/>
    <s v="Cash"/>
    <s v="Normal"/>
    <s v="Good"/>
  </r>
  <r>
    <n v="2437"/>
    <n v="52"/>
    <x v="0"/>
    <x v="17"/>
    <x v="0"/>
    <n v="24"/>
    <x v="39"/>
    <x v="2"/>
    <s v="Yellow"/>
    <x v="3"/>
    <n v="2.7"/>
    <s v="No"/>
    <x v="5"/>
    <s v="No"/>
    <n v="38"/>
    <x v="2"/>
    <s v="Quarterly"/>
    <n v="0.1"/>
    <n v="21.6"/>
    <n v="24"/>
    <s v="Credit Card"/>
    <s v="Normal"/>
    <s v="Poor"/>
  </r>
  <r>
    <n v="2438"/>
    <n v="43"/>
    <x v="0"/>
    <x v="4"/>
    <x v="1"/>
    <n v="59"/>
    <x v="5"/>
    <x v="3"/>
    <s v="Magenta"/>
    <x v="0"/>
    <n v="3.4"/>
    <s v="No"/>
    <x v="5"/>
    <s v="No"/>
    <n v="34"/>
    <x v="2"/>
    <s v="Weekly"/>
    <n v="0.1"/>
    <n v="53.1"/>
    <n v="59"/>
    <s v="Credit Card"/>
    <s v="Normal"/>
    <s v="Good"/>
  </r>
  <r>
    <n v="2439"/>
    <n v="32"/>
    <x v="0"/>
    <x v="2"/>
    <x v="0"/>
    <n v="20"/>
    <x v="12"/>
    <x v="1"/>
    <s v="Cyan"/>
    <x v="0"/>
    <n v="3.4"/>
    <s v="No"/>
    <x v="0"/>
    <s v="No"/>
    <n v="30"/>
    <x v="0"/>
    <s v="Weekly"/>
    <n v="0.1"/>
    <n v="18"/>
    <n v="20"/>
    <s v="Venmo"/>
    <s v="Normal"/>
    <s v="Good"/>
  </r>
  <r>
    <n v="2440"/>
    <n v="55"/>
    <x v="0"/>
    <x v="8"/>
    <x v="3"/>
    <n v="44"/>
    <x v="10"/>
    <x v="2"/>
    <s v="Maroon"/>
    <x v="2"/>
    <n v="2.8"/>
    <s v="No"/>
    <x v="3"/>
    <s v="No"/>
    <n v="45"/>
    <x v="4"/>
    <s v="Annually"/>
    <n v="0.1"/>
    <n v="39.6"/>
    <n v="44"/>
    <s v="Bank Transfer"/>
    <s v="Normal"/>
    <s v="Poor"/>
  </r>
  <r>
    <n v="2441"/>
    <n v="31"/>
    <x v="0"/>
    <x v="20"/>
    <x v="0"/>
    <n v="90"/>
    <x v="27"/>
    <x v="2"/>
    <s v="Red"/>
    <x v="1"/>
    <n v="4.7"/>
    <s v="No"/>
    <x v="3"/>
    <s v="No"/>
    <n v="47"/>
    <x v="4"/>
    <s v="Annually"/>
    <n v="0.1"/>
    <n v="81"/>
    <n v="90"/>
    <s v="Bank Transfer"/>
    <s v="Normal"/>
    <s v="Good"/>
  </r>
  <r>
    <n v="2442"/>
    <n v="45"/>
    <x v="0"/>
    <x v="16"/>
    <x v="3"/>
    <n v="36"/>
    <x v="18"/>
    <x v="2"/>
    <s v="Black"/>
    <x v="3"/>
    <n v="4.7"/>
    <s v="No"/>
    <x v="1"/>
    <s v="No"/>
    <n v="5"/>
    <x v="2"/>
    <s v="Monthly"/>
    <n v="0.1"/>
    <n v="32.4"/>
    <n v="36"/>
    <s v="Credit Card"/>
    <s v="Normal"/>
    <s v="Good"/>
  </r>
  <r>
    <n v="2443"/>
    <n v="53"/>
    <x v="0"/>
    <x v="0"/>
    <x v="0"/>
    <n v="95"/>
    <x v="5"/>
    <x v="0"/>
    <s v="Violet"/>
    <x v="0"/>
    <n v="4.7"/>
    <s v="No"/>
    <x v="1"/>
    <s v="No"/>
    <n v="50"/>
    <x v="5"/>
    <s v="Bi-Weekly"/>
    <n v="0.1"/>
    <n v="85.5"/>
    <n v="95"/>
    <s v="Debit Card"/>
    <s v="Normal"/>
    <s v="Good"/>
  </r>
  <r>
    <n v="2444"/>
    <n v="24"/>
    <x v="0"/>
    <x v="21"/>
    <x v="3"/>
    <n v="30"/>
    <x v="45"/>
    <x v="2"/>
    <s v="Green"/>
    <x v="1"/>
    <n v="3.4"/>
    <s v="No"/>
    <x v="4"/>
    <s v="No"/>
    <n v="24"/>
    <x v="4"/>
    <s v="Bi-Weekly"/>
    <n v="0.1"/>
    <n v="27"/>
    <n v="30"/>
    <s v="Bank Transfer"/>
    <s v="Normal"/>
    <s v="Good"/>
  </r>
  <r>
    <n v="2445"/>
    <n v="47"/>
    <x v="0"/>
    <x v="18"/>
    <x v="3"/>
    <n v="65"/>
    <x v="8"/>
    <x v="1"/>
    <s v="Gold"/>
    <x v="3"/>
    <n v="3.7"/>
    <s v="No"/>
    <x v="0"/>
    <s v="No"/>
    <n v="15"/>
    <x v="5"/>
    <s v="Bi-Weekly"/>
    <n v="0.1"/>
    <n v="58.5"/>
    <n v="65"/>
    <s v="Debit Card"/>
    <s v="Normal"/>
    <s v="Good"/>
  </r>
  <r>
    <n v="2446"/>
    <n v="63"/>
    <x v="0"/>
    <x v="18"/>
    <x v="3"/>
    <n v="96"/>
    <x v="30"/>
    <x v="2"/>
    <s v="Brown"/>
    <x v="2"/>
    <n v="4.0999999999999996"/>
    <s v="No"/>
    <x v="5"/>
    <s v="No"/>
    <n v="50"/>
    <x v="1"/>
    <s v="Weekly"/>
    <n v="0.1"/>
    <n v="86.4"/>
    <n v="96"/>
    <s v="Cash"/>
    <s v="Normal"/>
    <s v="Good"/>
  </r>
  <r>
    <n v="2447"/>
    <n v="38"/>
    <x v="0"/>
    <x v="5"/>
    <x v="0"/>
    <n v="65"/>
    <x v="29"/>
    <x v="0"/>
    <s v="Peach"/>
    <x v="1"/>
    <n v="2.9"/>
    <s v="No"/>
    <x v="4"/>
    <s v="No"/>
    <n v="7"/>
    <x v="2"/>
    <s v="Monthly"/>
    <n v="0.1"/>
    <n v="58.5"/>
    <n v="65"/>
    <s v="Credit Card"/>
    <s v="Normal"/>
    <s v="Poor"/>
  </r>
  <r>
    <n v="2448"/>
    <n v="59"/>
    <x v="0"/>
    <x v="13"/>
    <x v="0"/>
    <n v="47"/>
    <x v="45"/>
    <x v="0"/>
    <s v="Peach"/>
    <x v="3"/>
    <n v="3.2"/>
    <s v="No"/>
    <x v="5"/>
    <s v="No"/>
    <n v="10"/>
    <x v="0"/>
    <s v="Fortnightly"/>
    <n v="0.1"/>
    <n v="42.3"/>
    <n v="47"/>
    <s v="Venmo"/>
    <s v="Normal"/>
    <s v="Good"/>
  </r>
  <r>
    <n v="2449"/>
    <n v="54"/>
    <x v="0"/>
    <x v="19"/>
    <x v="3"/>
    <n v="25"/>
    <x v="30"/>
    <x v="1"/>
    <s v="Violet"/>
    <x v="3"/>
    <n v="3"/>
    <s v="No"/>
    <x v="1"/>
    <s v="No"/>
    <n v="38"/>
    <x v="3"/>
    <s v="Bi-Weekly"/>
    <n v="0.1"/>
    <n v="22.5"/>
    <n v="25"/>
    <s v="PayPal"/>
    <s v="Normal"/>
    <s v="Good"/>
  </r>
  <r>
    <n v="2450"/>
    <n v="26"/>
    <x v="0"/>
    <x v="7"/>
    <x v="2"/>
    <n v="56"/>
    <x v="15"/>
    <x v="1"/>
    <s v="Violet"/>
    <x v="3"/>
    <n v="4.0999999999999996"/>
    <s v="No"/>
    <x v="0"/>
    <s v="No"/>
    <n v="31"/>
    <x v="0"/>
    <s v="Fortnightly"/>
    <n v="0.1"/>
    <n v="50.4"/>
    <n v="56"/>
    <s v="Venmo"/>
    <s v="Normal"/>
    <s v="Good"/>
  </r>
  <r>
    <n v="2451"/>
    <n v="68"/>
    <x v="0"/>
    <x v="17"/>
    <x v="0"/>
    <n v="76"/>
    <x v="17"/>
    <x v="2"/>
    <s v="Magenta"/>
    <x v="3"/>
    <n v="4.5"/>
    <s v="No"/>
    <x v="3"/>
    <s v="No"/>
    <n v="7"/>
    <x v="0"/>
    <s v="Quarterly"/>
    <n v="0.1"/>
    <n v="68.400000000000006"/>
    <n v="76"/>
    <s v="Venmo"/>
    <s v="Normal"/>
    <s v="Good"/>
  </r>
  <r>
    <n v="2452"/>
    <n v="41"/>
    <x v="0"/>
    <x v="20"/>
    <x v="0"/>
    <n v="60"/>
    <x v="19"/>
    <x v="2"/>
    <s v="Purple"/>
    <x v="3"/>
    <n v="3.4"/>
    <s v="No"/>
    <x v="5"/>
    <s v="No"/>
    <n v="27"/>
    <x v="0"/>
    <s v="Monthly"/>
    <n v="0.1"/>
    <n v="54"/>
    <n v="60"/>
    <s v="Venmo"/>
    <s v="Normal"/>
    <s v="Good"/>
  </r>
  <r>
    <n v="2453"/>
    <n v="68"/>
    <x v="0"/>
    <x v="5"/>
    <x v="0"/>
    <n v="67"/>
    <x v="14"/>
    <x v="0"/>
    <s v="Purple"/>
    <x v="0"/>
    <n v="4.0999999999999996"/>
    <s v="No"/>
    <x v="0"/>
    <s v="No"/>
    <n v="45"/>
    <x v="4"/>
    <s v="Every 3 Months"/>
    <n v="0.1"/>
    <n v="60.3"/>
    <n v="67"/>
    <s v="Bank Transfer"/>
    <s v="Normal"/>
    <s v="Good"/>
  </r>
  <r>
    <n v="2454"/>
    <n v="21"/>
    <x v="0"/>
    <x v="1"/>
    <x v="0"/>
    <n v="95"/>
    <x v="44"/>
    <x v="3"/>
    <s v="Cyan"/>
    <x v="1"/>
    <n v="4.5999999999999996"/>
    <s v="No"/>
    <x v="5"/>
    <s v="No"/>
    <n v="13"/>
    <x v="1"/>
    <s v="Annually"/>
    <n v="0.1"/>
    <n v="85.5"/>
    <n v="95"/>
    <s v="Cash"/>
    <s v="Normal"/>
    <s v="Good"/>
  </r>
  <r>
    <n v="2455"/>
    <n v="32"/>
    <x v="0"/>
    <x v="24"/>
    <x v="3"/>
    <n v="72"/>
    <x v="29"/>
    <x v="2"/>
    <s v="Magenta"/>
    <x v="0"/>
    <n v="4.5999999999999996"/>
    <s v="No"/>
    <x v="0"/>
    <s v="No"/>
    <n v="33"/>
    <x v="0"/>
    <s v="Annually"/>
    <n v="0.1"/>
    <n v="64.8"/>
    <n v="72"/>
    <s v="Venmo"/>
    <s v="Normal"/>
    <s v="Good"/>
  </r>
  <r>
    <n v="2456"/>
    <n v="20"/>
    <x v="0"/>
    <x v="22"/>
    <x v="3"/>
    <n v="98"/>
    <x v="29"/>
    <x v="0"/>
    <s v="Lavender"/>
    <x v="1"/>
    <n v="3.4"/>
    <s v="No"/>
    <x v="0"/>
    <s v="No"/>
    <n v="25"/>
    <x v="1"/>
    <s v="Every 3 Months"/>
    <n v="0.1"/>
    <n v="88.2"/>
    <n v="98"/>
    <s v="Cash"/>
    <s v="Normal"/>
    <s v="Good"/>
  </r>
  <r>
    <n v="2457"/>
    <n v="59"/>
    <x v="0"/>
    <x v="2"/>
    <x v="0"/>
    <n v="83"/>
    <x v="43"/>
    <x v="2"/>
    <s v="Green"/>
    <x v="0"/>
    <n v="3.3"/>
    <s v="No"/>
    <x v="4"/>
    <s v="No"/>
    <n v="5"/>
    <x v="3"/>
    <s v="Monthly"/>
    <n v="0.1"/>
    <n v="74.7"/>
    <n v="83"/>
    <s v="PayPal"/>
    <s v="Normal"/>
    <s v="Good"/>
  </r>
  <r>
    <n v="2458"/>
    <n v="53"/>
    <x v="0"/>
    <x v="8"/>
    <x v="3"/>
    <n v="37"/>
    <x v="12"/>
    <x v="2"/>
    <s v="Maroon"/>
    <x v="3"/>
    <n v="3.6"/>
    <s v="No"/>
    <x v="4"/>
    <s v="No"/>
    <n v="23"/>
    <x v="1"/>
    <s v="Quarterly"/>
    <n v="0.1"/>
    <n v="33.299999999999997"/>
    <n v="37"/>
    <s v="Cash"/>
    <s v="Normal"/>
    <s v="Good"/>
  </r>
  <r>
    <n v="2459"/>
    <n v="66"/>
    <x v="0"/>
    <x v="17"/>
    <x v="0"/>
    <n v="85"/>
    <x v="21"/>
    <x v="0"/>
    <s v="Turquoise"/>
    <x v="3"/>
    <n v="4.5999999999999996"/>
    <s v="No"/>
    <x v="1"/>
    <s v="No"/>
    <n v="17"/>
    <x v="4"/>
    <s v="Weekly"/>
    <n v="0.1"/>
    <n v="76.5"/>
    <n v="85"/>
    <s v="Bank Transfer"/>
    <s v="Normal"/>
    <s v="Good"/>
  </r>
  <r>
    <n v="2460"/>
    <n v="47"/>
    <x v="0"/>
    <x v="20"/>
    <x v="0"/>
    <n v="36"/>
    <x v="9"/>
    <x v="0"/>
    <s v="Violet"/>
    <x v="3"/>
    <n v="4.3"/>
    <s v="No"/>
    <x v="4"/>
    <s v="No"/>
    <n v="14"/>
    <x v="1"/>
    <s v="Weekly"/>
    <n v="0.1"/>
    <n v="32.4"/>
    <n v="36"/>
    <s v="Cash"/>
    <s v="Normal"/>
    <s v="Good"/>
  </r>
  <r>
    <n v="2461"/>
    <n v="58"/>
    <x v="0"/>
    <x v="2"/>
    <x v="0"/>
    <n v="36"/>
    <x v="1"/>
    <x v="1"/>
    <s v="Lavender"/>
    <x v="0"/>
    <n v="4"/>
    <s v="No"/>
    <x v="5"/>
    <s v="No"/>
    <n v="28"/>
    <x v="2"/>
    <s v="Annually"/>
    <n v="0.1"/>
    <n v="32.4"/>
    <n v="36"/>
    <s v="Credit Card"/>
    <s v="Normal"/>
    <s v="Good"/>
  </r>
  <r>
    <n v="2462"/>
    <n v="28"/>
    <x v="0"/>
    <x v="18"/>
    <x v="3"/>
    <n v="86"/>
    <x v="38"/>
    <x v="0"/>
    <s v="Red"/>
    <x v="2"/>
    <n v="4.8"/>
    <s v="No"/>
    <x v="2"/>
    <s v="No"/>
    <n v="19"/>
    <x v="2"/>
    <s v="Weekly"/>
    <n v="0.1"/>
    <n v="77.400000000000006"/>
    <n v="86"/>
    <s v="Credit Card"/>
    <s v="Normal"/>
    <s v="Good"/>
  </r>
  <r>
    <n v="2463"/>
    <n v="68"/>
    <x v="0"/>
    <x v="13"/>
    <x v="0"/>
    <n v="99"/>
    <x v="9"/>
    <x v="3"/>
    <s v="Orange"/>
    <x v="1"/>
    <n v="4.3"/>
    <s v="No"/>
    <x v="3"/>
    <s v="No"/>
    <n v="31"/>
    <x v="4"/>
    <s v="Bi-Weekly"/>
    <n v="0.1"/>
    <n v="89.1"/>
    <n v="99"/>
    <s v="Bank Transfer"/>
    <s v="Normal"/>
    <s v="Good"/>
  </r>
  <r>
    <n v="2464"/>
    <n v="60"/>
    <x v="0"/>
    <x v="0"/>
    <x v="0"/>
    <n v="21"/>
    <x v="16"/>
    <x v="3"/>
    <s v="Indigo"/>
    <x v="2"/>
    <n v="3.3"/>
    <s v="No"/>
    <x v="3"/>
    <s v="No"/>
    <n v="25"/>
    <x v="1"/>
    <s v="Bi-Weekly"/>
    <n v="0.1"/>
    <n v="18.899999999999999"/>
    <n v="21"/>
    <s v="Cash"/>
    <s v="Normal"/>
    <s v="Good"/>
  </r>
  <r>
    <n v="2465"/>
    <n v="47"/>
    <x v="0"/>
    <x v="14"/>
    <x v="2"/>
    <n v="84"/>
    <x v="11"/>
    <x v="0"/>
    <s v="Teal"/>
    <x v="0"/>
    <n v="2.8"/>
    <s v="No"/>
    <x v="0"/>
    <s v="No"/>
    <n v="4"/>
    <x v="1"/>
    <s v="Bi-Weekly"/>
    <n v="0.1"/>
    <n v="75.599999999999994"/>
    <n v="84"/>
    <s v="Cash"/>
    <s v="Normal"/>
    <s v="Poor"/>
  </r>
  <r>
    <n v="2466"/>
    <n v="18"/>
    <x v="0"/>
    <x v="3"/>
    <x v="1"/>
    <n v="63"/>
    <x v="21"/>
    <x v="2"/>
    <s v="Brown"/>
    <x v="1"/>
    <n v="4.4000000000000004"/>
    <s v="No"/>
    <x v="1"/>
    <s v="No"/>
    <n v="20"/>
    <x v="4"/>
    <s v="Weekly"/>
    <n v="0.1"/>
    <n v="56.7"/>
    <n v="63"/>
    <s v="Bank Transfer"/>
    <s v="Normal"/>
    <s v="Good"/>
  </r>
  <r>
    <n v="2467"/>
    <n v="32"/>
    <x v="0"/>
    <x v="6"/>
    <x v="0"/>
    <n v="84"/>
    <x v="45"/>
    <x v="1"/>
    <s v="Pink"/>
    <x v="2"/>
    <n v="3.7"/>
    <s v="No"/>
    <x v="0"/>
    <s v="No"/>
    <n v="37"/>
    <x v="1"/>
    <s v="Annually"/>
    <n v="0.1"/>
    <n v="75.599999999999994"/>
    <n v="84"/>
    <s v="Cash"/>
    <s v="Normal"/>
    <s v="Good"/>
  </r>
  <r>
    <n v="2468"/>
    <n v="27"/>
    <x v="0"/>
    <x v="6"/>
    <x v="0"/>
    <n v="72"/>
    <x v="32"/>
    <x v="2"/>
    <s v="Lavender"/>
    <x v="1"/>
    <n v="3.6"/>
    <s v="No"/>
    <x v="0"/>
    <s v="No"/>
    <n v="28"/>
    <x v="2"/>
    <s v="Annually"/>
    <n v="0.1"/>
    <n v="64.8"/>
    <n v="72"/>
    <s v="Credit Card"/>
    <s v="Normal"/>
    <s v="Good"/>
  </r>
  <r>
    <n v="2469"/>
    <n v="65"/>
    <x v="0"/>
    <x v="11"/>
    <x v="0"/>
    <n v="21"/>
    <x v="39"/>
    <x v="0"/>
    <s v="Cyan"/>
    <x v="0"/>
    <n v="3.7"/>
    <s v="No"/>
    <x v="4"/>
    <s v="No"/>
    <n v="6"/>
    <x v="0"/>
    <s v="Weekly"/>
    <n v="0.1"/>
    <n v="18.899999999999999"/>
    <n v="21"/>
    <s v="Venmo"/>
    <s v="Normal"/>
    <s v="Good"/>
  </r>
  <r>
    <n v="2470"/>
    <n v="68"/>
    <x v="0"/>
    <x v="3"/>
    <x v="1"/>
    <n v="92"/>
    <x v="33"/>
    <x v="2"/>
    <s v="Yellow"/>
    <x v="3"/>
    <n v="5"/>
    <s v="No"/>
    <x v="3"/>
    <s v="No"/>
    <n v="27"/>
    <x v="3"/>
    <s v="Annually"/>
    <n v="0.1"/>
    <n v="82.8"/>
    <n v="92"/>
    <s v="PayPal"/>
    <s v="Normal"/>
    <s v="Good"/>
  </r>
  <r>
    <n v="2471"/>
    <n v="55"/>
    <x v="0"/>
    <x v="0"/>
    <x v="0"/>
    <n v="72"/>
    <x v="28"/>
    <x v="3"/>
    <s v="Pink"/>
    <x v="3"/>
    <n v="2.7"/>
    <s v="No"/>
    <x v="2"/>
    <s v="No"/>
    <n v="29"/>
    <x v="2"/>
    <s v="Fortnightly"/>
    <n v="0.1"/>
    <n v="64.8"/>
    <n v="72"/>
    <s v="Credit Card"/>
    <s v="Normal"/>
    <s v="Poor"/>
  </r>
  <r>
    <n v="2472"/>
    <n v="30"/>
    <x v="0"/>
    <x v="3"/>
    <x v="1"/>
    <n v="83"/>
    <x v="19"/>
    <x v="2"/>
    <s v="Gray"/>
    <x v="1"/>
    <n v="4.3"/>
    <s v="No"/>
    <x v="5"/>
    <s v="No"/>
    <n v="1"/>
    <x v="1"/>
    <s v="Annually"/>
    <n v="0.1"/>
    <n v="74.7"/>
    <n v="83"/>
    <s v="Cash"/>
    <s v="Normal"/>
    <s v="Good"/>
  </r>
  <r>
    <n v="2473"/>
    <n v="24"/>
    <x v="0"/>
    <x v="5"/>
    <x v="0"/>
    <n v="73"/>
    <x v="40"/>
    <x v="2"/>
    <s v="Peach"/>
    <x v="2"/>
    <n v="4.0999999999999996"/>
    <s v="No"/>
    <x v="3"/>
    <s v="No"/>
    <n v="31"/>
    <x v="2"/>
    <s v="Annually"/>
    <n v="0.1"/>
    <n v="65.7"/>
    <n v="73"/>
    <s v="Credit Card"/>
    <s v="Normal"/>
    <s v="Good"/>
  </r>
  <r>
    <n v="2474"/>
    <n v="57"/>
    <x v="0"/>
    <x v="20"/>
    <x v="0"/>
    <n v="98"/>
    <x v="10"/>
    <x v="2"/>
    <s v="Red"/>
    <x v="0"/>
    <n v="2.6"/>
    <s v="No"/>
    <x v="2"/>
    <s v="No"/>
    <n v="28"/>
    <x v="1"/>
    <s v="Quarterly"/>
    <n v="0.1"/>
    <n v="88.2"/>
    <n v="98"/>
    <s v="Cash"/>
    <s v="Normal"/>
    <s v="Poor"/>
  </r>
  <r>
    <n v="2475"/>
    <n v="23"/>
    <x v="0"/>
    <x v="17"/>
    <x v="0"/>
    <n v="76"/>
    <x v="17"/>
    <x v="2"/>
    <s v="Olive"/>
    <x v="3"/>
    <n v="3.2"/>
    <s v="No"/>
    <x v="5"/>
    <s v="No"/>
    <n v="19"/>
    <x v="4"/>
    <s v="Quarterly"/>
    <n v="0.1"/>
    <n v="68.400000000000006"/>
    <n v="76"/>
    <s v="Bank Transfer"/>
    <s v="Normal"/>
    <s v="Good"/>
  </r>
  <r>
    <n v="2476"/>
    <n v="69"/>
    <x v="0"/>
    <x v="10"/>
    <x v="0"/>
    <n v="43"/>
    <x v="18"/>
    <x v="1"/>
    <s v="Lavender"/>
    <x v="2"/>
    <n v="3.5"/>
    <s v="No"/>
    <x v="2"/>
    <s v="No"/>
    <n v="36"/>
    <x v="0"/>
    <s v="Monthly"/>
    <n v="0.1"/>
    <n v="38.700000000000003"/>
    <n v="43"/>
    <s v="Venmo"/>
    <s v="Normal"/>
    <s v="Good"/>
  </r>
  <r>
    <n v="2477"/>
    <n v="60"/>
    <x v="0"/>
    <x v="19"/>
    <x v="3"/>
    <n v="60"/>
    <x v="24"/>
    <x v="2"/>
    <s v="Turquoise"/>
    <x v="2"/>
    <n v="3.7"/>
    <s v="No"/>
    <x v="2"/>
    <s v="No"/>
    <n v="28"/>
    <x v="1"/>
    <s v="Monthly"/>
    <n v="0.1"/>
    <n v="54"/>
    <n v="60"/>
    <s v="Cash"/>
    <s v="Normal"/>
    <s v="Good"/>
  </r>
  <r>
    <n v="2478"/>
    <n v="25"/>
    <x v="0"/>
    <x v="24"/>
    <x v="3"/>
    <n v="40"/>
    <x v="18"/>
    <x v="0"/>
    <s v="Turquoise"/>
    <x v="1"/>
    <n v="3.8"/>
    <s v="No"/>
    <x v="4"/>
    <s v="No"/>
    <n v="29"/>
    <x v="3"/>
    <s v="Weekly"/>
    <n v="0.1"/>
    <n v="36"/>
    <n v="40"/>
    <s v="PayPal"/>
    <s v="Normal"/>
    <s v="Good"/>
  </r>
  <r>
    <n v="2479"/>
    <n v="18"/>
    <x v="0"/>
    <x v="20"/>
    <x v="0"/>
    <n v="93"/>
    <x v="34"/>
    <x v="1"/>
    <s v="Maroon"/>
    <x v="0"/>
    <n v="4.8"/>
    <s v="No"/>
    <x v="4"/>
    <s v="No"/>
    <n v="9"/>
    <x v="4"/>
    <s v="Every 3 Months"/>
    <n v="0.1"/>
    <n v="83.7"/>
    <n v="93"/>
    <s v="Bank Transfer"/>
    <s v="Normal"/>
    <s v="Good"/>
  </r>
  <r>
    <n v="2480"/>
    <n v="37"/>
    <x v="0"/>
    <x v="10"/>
    <x v="0"/>
    <n v="98"/>
    <x v="23"/>
    <x v="1"/>
    <s v="Olive"/>
    <x v="3"/>
    <n v="4.2"/>
    <s v="No"/>
    <x v="3"/>
    <s v="No"/>
    <n v="26"/>
    <x v="2"/>
    <s v="Every 3 Months"/>
    <n v="0.1"/>
    <n v="88.2"/>
    <n v="98"/>
    <s v="Credit Card"/>
    <s v="Normal"/>
    <s v="Good"/>
  </r>
  <r>
    <n v="2481"/>
    <n v="61"/>
    <x v="0"/>
    <x v="20"/>
    <x v="0"/>
    <n v="91"/>
    <x v="31"/>
    <x v="3"/>
    <s v="Maroon"/>
    <x v="2"/>
    <n v="2.9"/>
    <s v="No"/>
    <x v="2"/>
    <s v="No"/>
    <n v="7"/>
    <x v="2"/>
    <s v="Fortnightly"/>
    <n v="0.1"/>
    <n v="81.900000000000006"/>
    <n v="91"/>
    <s v="Credit Card"/>
    <s v="Normal"/>
    <s v="Poor"/>
  </r>
  <r>
    <n v="2482"/>
    <n v="41"/>
    <x v="0"/>
    <x v="22"/>
    <x v="3"/>
    <n v="92"/>
    <x v="32"/>
    <x v="3"/>
    <s v="Cyan"/>
    <x v="3"/>
    <n v="2.9"/>
    <s v="No"/>
    <x v="1"/>
    <s v="No"/>
    <n v="35"/>
    <x v="5"/>
    <s v="Weekly"/>
    <n v="0.1"/>
    <n v="82.8"/>
    <n v="92"/>
    <s v="Debit Card"/>
    <s v="Normal"/>
    <s v="Poor"/>
  </r>
  <r>
    <n v="2483"/>
    <n v="69"/>
    <x v="0"/>
    <x v="8"/>
    <x v="3"/>
    <n v="87"/>
    <x v="28"/>
    <x v="1"/>
    <s v="Peach"/>
    <x v="0"/>
    <n v="4.8"/>
    <s v="No"/>
    <x v="2"/>
    <s v="No"/>
    <n v="46"/>
    <x v="2"/>
    <s v="Every 3 Months"/>
    <n v="0.1"/>
    <n v="78.3"/>
    <n v="87"/>
    <s v="Credit Card"/>
    <s v="Normal"/>
    <s v="Good"/>
  </r>
  <r>
    <n v="2484"/>
    <n v="32"/>
    <x v="0"/>
    <x v="11"/>
    <x v="0"/>
    <n v="96"/>
    <x v="28"/>
    <x v="1"/>
    <s v="Teal"/>
    <x v="3"/>
    <n v="2.9"/>
    <s v="No"/>
    <x v="3"/>
    <s v="No"/>
    <n v="8"/>
    <x v="5"/>
    <s v="Monthly"/>
    <n v="0.1"/>
    <n v="86.4"/>
    <n v="96"/>
    <s v="Debit Card"/>
    <s v="Normal"/>
    <s v="Poor"/>
  </r>
  <r>
    <n v="2485"/>
    <n v="60"/>
    <x v="0"/>
    <x v="15"/>
    <x v="0"/>
    <n v="97"/>
    <x v="13"/>
    <x v="2"/>
    <s v="Green"/>
    <x v="2"/>
    <n v="4.8"/>
    <s v="No"/>
    <x v="4"/>
    <s v="No"/>
    <n v="50"/>
    <x v="1"/>
    <s v="Every 3 Months"/>
    <n v="0.1"/>
    <n v="87.3"/>
    <n v="97"/>
    <s v="Cash"/>
    <s v="Normal"/>
    <s v="Good"/>
  </r>
  <r>
    <n v="2486"/>
    <n v="43"/>
    <x v="0"/>
    <x v="0"/>
    <x v="0"/>
    <n v="55"/>
    <x v="7"/>
    <x v="2"/>
    <s v="Beige"/>
    <x v="1"/>
    <n v="4.5999999999999996"/>
    <s v="No"/>
    <x v="4"/>
    <s v="No"/>
    <n v="37"/>
    <x v="4"/>
    <s v="Annually"/>
    <n v="0.1"/>
    <n v="49.5"/>
    <n v="55"/>
    <s v="Bank Transfer"/>
    <s v="Normal"/>
    <s v="Good"/>
  </r>
  <r>
    <n v="2487"/>
    <n v="61"/>
    <x v="0"/>
    <x v="2"/>
    <x v="0"/>
    <n v="58"/>
    <x v="21"/>
    <x v="0"/>
    <s v="Magenta"/>
    <x v="1"/>
    <n v="4.4000000000000004"/>
    <s v="No"/>
    <x v="5"/>
    <s v="No"/>
    <n v="6"/>
    <x v="2"/>
    <s v="Fortnightly"/>
    <n v="0.1"/>
    <n v="52.2"/>
    <n v="58"/>
    <s v="Credit Card"/>
    <s v="Normal"/>
    <s v="Good"/>
  </r>
  <r>
    <n v="2488"/>
    <n v="57"/>
    <x v="0"/>
    <x v="23"/>
    <x v="1"/>
    <n v="21"/>
    <x v="6"/>
    <x v="0"/>
    <s v="Violet"/>
    <x v="1"/>
    <n v="3"/>
    <s v="No"/>
    <x v="2"/>
    <s v="No"/>
    <n v="16"/>
    <x v="3"/>
    <s v="Bi-Weekly"/>
    <n v="0.1"/>
    <n v="18.899999999999999"/>
    <n v="21"/>
    <s v="PayPal"/>
    <s v="Normal"/>
    <s v="Good"/>
  </r>
  <r>
    <n v="2489"/>
    <n v="56"/>
    <x v="0"/>
    <x v="8"/>
    <x v="3"/>
    <n v="82"/>
    <x v="13"/>
    <x v="3"/>
    <s v="Charcoal"/>
    <x v="2"/>
    <n v="4.4000000000000004"/>
    <s v="No"/>
    <x v="0"/>
    <s v="No"/>
    <n v="30"/>
    <x v="3"/>
    <s v="Monthly"/>
    <n v="0.1"/>
    <n v="73.8"/>
    <n v="82"/>
    <s v="PayPal"/>
    <s v="Normal"/>
    <s v="Good"/>
  </r>
  <r>
    <n v="2490"/>
    <n v="66"/>
    <x v="0"/>
    <x v="7"/>
    <x v="2"/>
    <n v="34"/>
    <x v="45"/>
    <x v="2"/>
    <s v="Green"/>
    <x v="0"/>
    <n v="3.9"/>
    <s v="No"/>
    <x v="0"/>
    <s v="No"/>
    <n v="50"/>
    <x v="0"/>
    <s v="Quarterly"/>
    <n v="0.1"/>
    <n v="30.6"/>
    <n v="34"/>
    <s v="Venmo"/>
    <s v="Normal"/>
    <s v="Good"/>
  </r>
  <r>
    <n v="2491"/>
    <n v="52"/>
    <x v="0"/>
    <x v="0"/>
    <x v="0"/>
    <n v="78"/>
    <x v="6"/>
    <x v="2"/>
    <s v="Gray"/>
    <x v="1"/>
    <n v="4"/>
    <s v="No"/>
    <x v="1"/>
    <s v="No"/>
    <n v="5"/>
    <x v="1"/>
    <s v="Every 3 Months"/>
    <n v="0.1"/>
    <n v="70.2"/>
    <n v="78"/>
    <s v="Cash"/>
    <s v="Normal"/>
    <s v="Good"/>
  </r>
  <r>
    <n v="2492"/>
    <n v="63"/>
    <x v="0"/>
    <x v="8"/>
    <x v="3"/>
    <n v="47"/>
    <x v="17"/>
    <x v="2"/>
    <s v="Magenta"/>
    <x v="1"/>
    <n v="2.5"/>
    <s v="No"/>
    <x v="0"/>
    <s v="No"/>
    <n v="15"/>
    <x v="4"/>
    <s v="Monthly"/>
    <n v="0.1"/>
    <n v="42.3"/>
    <n v="47"/>
    <s v="Bank Transfer"/>
    <s v="Normal"/>
    <s v="Poor"/>
  </r>
  <r>
    <n v="2493"/>
    <n v="50"/>
    <x v="0"/>
    <x v="12"/>
    <x v="3"/>
    <n v="96"/>
    <x v="45"/>
    <x v="1"/>
    <s v="Silver"/>
    <x v="2"/>
    <n v="4.0999999999999996"/>
    <s v="No"/>
    <x v="2"/>
    <s v="No"/>
    <n v="34"/>
    <x v="4"/>
    <s v="Bi-Weekly"/>
    <n v="0.1"/>
    <n v="86.4"/>
    <n v="96"/>
    <s v="Bank Transfer"/>
    <s v="Normal"/>
    <s v="Good"/>
  </r>
  <r>
    <n v="2494"/>
    <n v="21"/>
    <x v="0"/>
    <x v="20"/>
    <x v="0"/>
    <n v="23"/>
    <x v="1"/>
    <x v="1"/>
    <s v="Beige"/>
    <x v="3"/>
    <n v="4.8"/>
    <s v="No"/>
    <x v="4"/>
    <s v="No"/>
    <n v="6"/>
    <x v="0"/>
    <s v="Every 3 Months"/>
    <n v="0.1"/>
    <n v="20.7"/>
    <n v="23"/>
    <s v="Venmo"/>
    <s v="Normal"/>
    <s v="Good"/>
  </r>
  <r>
    <n v="2495"/>
    <n v="42"/>
    <x v="0"/>
    <x v="9"/>
    <x v="1"/>
    <n v="27"/>
    <x v="19"/>
    <x v="1"/>
    <s v="Peach"/>
    <x v="0"/>
    <n v="2.6"/>
    <s v="No"/>
    <x v="5"/>
    <s v="No"/>
    <n v="26"/>
    <x v="5"/>
    <s v="Annually"/>
    <n v="0.1"/>
    <n v="24.3"/>
    <n v="27"/>
    <s v="Debit Card"/>
    <s v="Normal"/>
    <s v="Poor"/>
  </r>
  <r>
    <n v="2496"/>
    <n v="40"/>
    <x v="0"/>
    <x v="21"/>
    <x v="3"/>
    <n v="37"/>
    <x v="43"/>
    <x v="3"/>
    <s v="Orange"/>
    <x v="1"/>
    <n v="3.1"/>
    <s v="No"/>
    <x v="1"/>
    <s v="No"/>
    <n v="34"/>
    <x v="2"/>
    <s v="Every 3 Months"/>
    <n v="0.1"/>
    <n v="33.299999999999997"/>
    <n v="37"/>
    <s v="Credit Card"/>
    <s v="Normal"/>
    <s v="Good"/>
  </r>
  <r>
    <n v="2497"/>
    <n v="67"/>
    <x v="0"/>
    <x v="18"/>
    <x v="3"/>
    <n v="79"/>
    <x v="26"/>
    <x v="1"/>
    <s v="Yellow"/>
    <x v="2"/>
    <n v="3.2"/>
    <s v="No"/>
    <x v="5"/>
    <s v="No"/>
    <n v="37"/>
    <x v="2"/>
    <s v="Weekly"/>
    <n v="0.1"/>
    <n v="71.099999999999994"/>
    <n v="79"/>
    <s v="Credit Card"/>
    <s v="Normal"/>
    <s v="Good"/>
  </r>
  <r>
    <n v="2498"/>
    <n v="35"/>
    <x v="0"/>
    <x v="21"/>
    <x v="3"/>
    <n v="40"/>
    <x v="24"/>
    <x v="2"/>
    <s v="Violet"/>
    <x v="2"/>
    <n v="4.2"/>
    <s v="No"/>
    <x v="3"/>
    <s v="No"/>
    <n v="28"/>
    <x v="4"/>
    <s v="Annually"/>
    <n v="0.1"/>
    <n v="36"/>
    <n v="40"/>
    <s v="Bank Transfer"/>
    <s v="Normal"/>
    <s v="Good"/>
  </r>
  <r>
    <n v="2499"/>
    <n v="18"/>
    <x v="0"/>
    <x v="7"/>
    <x v="2"/>
    <n v="39"/>
    <x v="2"/>
    <x v="1"/>
    <s v="Green"/>
    <x v="3"/>
    <n v="2.6"/>
    <s v="No"/>
    <x v="2"/>
    <s v="No"/>
    <n v="38"/>
    <x v="1"/>
    <s v="Fortnightly"/>
    <n v="0.1"/>
    <n v="35.1"/>
    <n v="39"/>
    <s v="Cash"/>
    <s v="Normal"/>
    <s v="Poor"/>
  </r>
  <r>
    <n v="2500"/>
    <n v="52"/>
    <x v="0"/>
    <x v="15"/>
    <x v="0"/>
    <n v="73"/>
    <x v="7"/>
    <x v="0"/>
    <s v="Pink"/>
    <x v="2"/>
    <n v="3.1"/>
    <s v="No"/>
    <x v="2"/>
    <s v="No"/>
    <n v="2"/>
    <x v="1"/>
    <s v="Quarterly"/>
    <n v="0.1"/>
    <n v="65.7"/>
    <n v="73"/>
    <s v="Cash"/>
    <s v="Normal"/>
    <s v="Good"/>
  </r>
  <r>
    <n v="2501"/>
    <n v="59"/>
    <x v="0"/>
    <x v="24"/>
    <x v="3"/>
    <n v="84"/>
    <x v="2"/>
    <x v="2"/>
    <s v="Violet"/>
    <x v="3"/>
    <n v="2.9"/>
    <s v="No"/>
    <x v="5"/>
    <s v="No"/>
    <n v="32"/>
    <x v="1"/>
    <s v="Bi-Weekly"/>
    <n v="0.1"/>
    <n v="75.599999999999994"/>
    <n v="84"/>
    <s v="Cash"/>
    <s v="Normal"/>
    <s v="Poor"/>
  </r>
  <r>
    <n v="2502"/>
    <n v="49"/>
    <x v="0"/>
    <x v="6"/>
    <x v="0"/>
    <n v="94"/>
    <x v="8"/>
    <x v="2"/>
    <s v="Violet"/>
    <x v="3"/>
    <n v="4.5999999999999996"/>
    <s v="No"/>
    <x v="1"/>
    <s v="No"/>
    <n v="30"/>
    <x v="0"/>
    <s v="Bi-Weekly"/>
    <n v="0.1"/>
    <n v="84.6"/>
    <n v="94"/>
    <s v="Venmo"/>
    <s v="Normal"/>
    <s v="Good"/>
  </r>
  <r>
    <n v="2503"/>
    <n v="46"/>
    <x v="0"/>
    <x v="11"/>
    <x v="0"/>
    <n v="47"/>
    <x v="37"/>
    <x v="0"/>
    <s v="Pink"/>
    <x v="1"/>
    <n v="4.0999999999999996"/>
    <s v="No"/>
    <x v="3"/>
    <s v="No"/>
    <n v="17"/>
    <x v="3"/>
    <s v="Every 3 Months"/>
    <n v="0.1"/>
    <n v="42.3"/>
    <n v="47"/>
    <s v="PayPal"/>
    <s v="Normal"/>
    <s v="Good"/>
  </r>
  <r>
    <n v="2504"/>
    <n v="69"/>
    <x v="0"/>
    <x v="23"/>
    <x v="1"/>
    <n v="77"/>
    <x v="31"/>
    <x v="2"/>
    <s v="Violet"/>
    <x v="2"/>
    <n v="2.5"/>
    <s v="No"/>
    <x v="5"/>
    <s v="No"/>
    <n v="5"/>
    <x v="5"/>
    <s v="Bi-Weekly"/>
    <n v="0.1"/>
    <n v="69.3"/>
    <n v="77"/>
    <s v="Debit Card"/>
    <s v="Normal"/>
    <s v="Poor"/>
  </r>
  <r>
    <n v="2505"/>
    <n v="56"/>
    <x v="0"/>
    <x v="6"/>
    <x v="0"/>
    <n v="94"/>
    <x v="3"/>
    <x v="2"/>
    <s v="Turquoise"/>
    <x v="0"/>
    <n v="4"/>
    <s v="No"/>
    <x v="5"/>
    <s v="No"/>
    <n v="31"/>
    <x v="1"/>
    <s v="Bi-Weekly"/>
    <n v="0.1"/>
    <n v="84.6"/>
    <n v="94"/>
    <s v="Cash"/>
    <s v="Normal"/>
    <s v="Good"/>
  </r>
  <r>
    <n v="2506"/>
    <n v="27"/>
    <x v="0"/>
    <x v="8"/>
    <x v="3"/>
    <n v="75"/>
    <x v="26"/>
    <x v="2"/>
    <s v="Cyan"/>
    <x v="2"/>
    <n v="3.5"/>
    <s v="No"/>
    <x v="0"/>
    <s v="No"/>
    <n v="43"/>
    <x v="3"/>
    <s v="Quarterly"/>
    <n v="0.1"/>
    <n v="67.5"/>
    <n v="75"/>
    <s v="PayPal"/>
    <s v="Normal"/>
    <s v="Good"/>
  </r>
  <r>
    <n v="2507"/>
    <n v="57"/>
    <x v="0"/>
    <x v="10"/>
    <x v="0"/>
    <n v="82"/>
    <x v="14"/>
    <x v="3"/>
    <s v="Orange"/>
    <x v="1"/>
    <n v="4.4000000000000004"/>
    <s v="No"/>
    <x v="1"/>
    <s v="No"/>
    <n v="19"/>
    <x v="0"/>
    <s v="Annually"/>
    <n v="0.1"/>
    <n v="73.8"/>
    <n v="82"/>
    <s v="Venmo"/>
    <s v="Normal"/>
    <s v="Good"/>
  </r>
  <r>
    <n v="2508"/>
    <n v="58"/>
    <x v="0"/>
    <x v="9"/>
    <x v="1"/>
    <n v="36"/>
    <x v="7"/>
    <x v="2"/>
    <s v="Cyan"/>
    <x v="3"/>
    <n v="2.9"/>
    <s v="No"/>
    <x v="5"/>
    <s v="No"/>
    <n v="32"/>
    <x v="2"/>
    <s v="Every 3 Months"/>
    <n v="0.1"/>
    <n v="32.4"/>
    <n v="36"/>
    <s v="Credit Card"/>
    <s v="Normal"/>
    <s v="Poor"/>
  </r>
  <r>
    <n v="2509"/>
    <n v="23"/>
    <x v="0"/>
    <x v="4"/>
    <x v="1"/>
    <n v="90"/>
    <x v="18"/>
    <x v="3"/>
    <s v="Indigo"/>
    <x v="1"/>
    <n v="3.1"/>
    <s v="No"/>
    <x v="4"/>
    <s v="No"/>
    <n v="5"/>
    <x v="5"/>
    <s v="Bi-Weekly"/>
    <n v="0.1"/>
    <n v="81"/>
    <n v="90"/>
    <s v="Debit Card"/>
    <s v="Normal"/>
    <s v="Good"/>
  </r>
  <r>
    <n v="2510"/>
    <n v="19"/>
    <x v="0"/>
    <x v="20"/>
    <x v="0"/>
    <n v="48"/>
    <x v="47"/>
    <x v="2"/>
    <s v="Black"/>
    <x v="1"/>
    <n v="4.4000000000000004"/>
    <s v="No"/>
    <x v="1"/>
    <s v="No"/>
    <n v="9"/>
    <x v="4"/>
    <s v="Quarterly"/>
    <n v="0.1"/>
    <n v="43.2"/>
    <n v="48"/>
    <s v="Bank Transfer"/>
    <s v="Normal"/>
    <s v="Good"/>
  </r>
  <r>
    <n v="2511"/>
    <n v="40"/>
    <x v="0"/>
    <x v="14"/>
    <x v="2"/>
    <n v="42"/>
    <x v="45"/>
    <x v="0"/>
    <s v="Purple"/>
    <x v="0"/>
    <n v="4.4000000000000004"/>
    <s v="No"/>
    <x v="3"/>
    <s v="No"/>
    <n v="48"/>
    <x v="2"/>
    <s v="Weekly"/>
    <n v="0.1"/>
    <n v="37.799999999999997"/>
    <n v="42"/>
    <s v="Credit Card"/>
    <s v="Normal"/>
    <s v="Good"/>
  </r>
  <r>
    <n v="2512"/>
    <n v="54"/>
    <x v="0"/>
    <x v="21"/>
    <x v="3"/>
    <n v="33"/>
    <x v="37"/>
    <x v="2"/>
    <s v="Cyan"/>
    <x v="2"/>
    <n v="2.7"/>
    <s v="No"/>
    <x v="5"/>
    <s v="No"/>
    <n v="1"/>
    <x v="3"/>
    <s v="Quarterly"/>
    <n v="0.1"/>
    <n v="29.7"/>
    <n v="33"/>
    <s v="PayPal"/>
    <s v="Normal"/>
    <s v="Poor"/>
  </r>
  <r>
    <n v="2513"/>
    <n v="50"/>
    <x v="0"/>
    <x v="20"/>
    <x v="0"/>
    <n v="63"/>
    <x v="25"/>
    <x v="2"/>
    <s v="Green"/>
    <x v="2"/>
    <n v="4.9000000000000004"/>
    <s v="No"/>
    <x v="1"/>
    <s v="No"/>
    <n v="20"/>
    <x v="2"/>
    <s v="Monthly"/>
    <n v="0.1"/>
    <n v="56.7"/>
    <n v="63"/>
    <s v="Credit Card"/>
    <s v="Normal"/>
    <s v="Good"/>
  </r>
  <r>
    <n v="2514"/>
    <n v="69"/>
    <x v="0"/>
    <x v="8"/>
    <x v="3"/>
    <n v="53"/>
    <x v="47"/>
    <x v="0"/>
    <s v="Teal"/>
    <x v="0"/>
    <n v="3.5"/>
    <s v="No"/>
    <x v="4"/>
    <s v="No"/>
    <n v="42"/>
    <x v="1"/>
    <s v="Annually"/>
    <n v="0.1"/>
    <n v="47.7"/>
    <n v="53"/>
    <s v="Cash"/>
    <s v="Normal"/>
    <s v="Good"/>
  </r>
  <r>
    <n v="2515"/>
    <n v="42"/>
    <x v="0"/>
    <x v="19"/>
    <x v="3"/>
    <n v="37"/>
    <x v="29"/>
    <x v="0"/>
    <s v="Teal"/>
    <x v="1"/>
    <n v="4.8"/>
    <s v="No"/>
    <x v="1"/>
    <s v="No"/>
    <n v="45"/>
    <x v="3"/>
    <s v="Bi-Weekly"/>
    <n v="0.1"/>
    <n v="33.299999999999997"/>
    <n v="37"/>
    <s v="PayPal"/>
    <s v="Normal"/>
    <s v="Good"/>
  </r>
  <r>
    <n v="2516"/>
    <n v="37"/>
    <x v="0"/>
    <x v="0"/>
    <x v="0"/>
    <n v="92"/>
    <x v="23"/>
    <x v="2"/>
    <s v="Magenta"/>
    <x v="2"/>
    <n v="4.2"/>
    <s v="No"/>
    <x v="4"/>
    <s v="No"/>
    <n v="41"/>
    <x v="1"/>
    <s v="Monthly"/>
    <n v="0.1"/>
    <n v="82.8"/>
    <n v="92"/>
    <s v="Cash"/>
    <s v="Normal"/>
    <s v="Good"/>
  </r>
  <r>
    <n v="2517"/>
    <n v="46"/>
    <x v="0"/>
    <x v="6"/>
    <x v="0"/>
    <n v="73"/>
    <x v="40"/>
    <x v="3"/>
    <s v="Brown"/>
    <x v="1"/>
    <n v="4.5999999999999996"/>
    <s v="No"/>
    <x v="3"/>
    <s v="No"/>
    <n v="36"/>
    <x v="5"/>
    <s v="Quarterly"/>
    <n v="0.1"/>
    <n v="65.7"/>
    <n v="73"/>
    <s v="Debit Card"/>
    <s v="Normal"/>
    <s v="Good"/>
  </r>
  <r>
    <n v="2518"/>
    <n v="64"/>
    <x v="0"/>
    <x v="5"/>
    <x v="0"/>
    <n v="38"/>
    <x v="5"/>
    <x v="0"/>
    <s v="Orange"/>
    <x v="1"/>
    <n v="2.9"/>
    <s v="No"/>
    <x v="3"/>
    <s v="No"/>
    <n v="10"/>
    <x v="0"/>
    <s v="Annually"/>
    <n v="0.1"/>
    <n v="34.200000000000003"/>
    <n v="38"/>
    <s v="Venmo"/>
    <s v="Normal"/>
    <s v="Poor"/>
  </r>
  <r>
    <n v="2519"/>
    <n v="20"/>
    <x v="0"/>
    <x v="23"/>
    <x v="1"/>
    <n v="51"/>
    <x v="1"/>
    <x v="3"/>
    <s v="Blue"/>
    <x v="3"/>
    <n v="4"/>
    <s v="No"/>
    <x v="5"/>
    <s v="No"/>
    <n v="31"/>
    <x v="0"/>
    <s v="Annually"/>
    <n v="0.1"/>
    <n v="45.9"/>
    <n v="51"/>
    <s v="Venmo"/>
    <s v="Normal"/>
    <s v="Good"/>
  </r>
  <r>
    <n v="2520"/>
    <n v="40"/>
    <x v="0"/>
    <x v="14"/>
    <x v="2"/>
    <n v="90"/>
    <x v="49"/>
    <x v="0"/>
    <s v="Magenta"/>
    <x v="1"/>
    <n v="4.9000000000000004"/>
    <s v="No"/>
    <x v="3"/>
    <s v="No"/>
    <n v="21"/>
    <x v="2"/>
    <s v="Quarterly"/>
    <n v="0.1"/>
    <n v="81"/>
    <n v="90"/>
    <s v="Credit Card"/>
    <s v="Normal"/>
    <s v="Good"/>
  </r>
  <r>
    <n v="2521"/>
    <n v="64"/>
    <x v="0"/>
    <x v="14"/>
    <x v="2"/>
    <n v="56"/>
    <x v="26"/>
    <x v="0"/>
    <s v="Magenta"/>
    <x v="2"/>
    <n v="3.1"/>
    <s v="No"/>
    <x v="2"/>
    <s v="No"/>
    <n v="16"/>
    <x v="1"/>
    <s v="Every 3 Months"/>
    <n v="0.1"/>
    <n v="50.4"/>
    <n v="56"/>
    <s v="Cash"/>
    <s v="Normal"/>
    <s v="Good"/>
  </r>
  <r>
    <n v="2522"/>
    <n v="29"/>
    <x v="0"/>
    <x v="8"/>
    <x v="3"/>
    <n v="33"/>
    <x v="46"/>
    <x v="2"/>
    <s v="Magenta"/>
    <x v="3"/>
    <n v="4.4000000000000004"/>
    <s v="No"/>
    <x v="3"/>
    <s v="No"/>
    <n v="18"/>
    <x v="3"/>
    <s v="Every 3 Months"/>
    <n v="0.1"/>
    <n v="29.7"/>
    <n v="33"/>
    <s v="PayPal"/>
    <s v="Normal"/>
    <s v="Good"/>
  </r>
  <r>
    <n v="2523"/>
    <n v="20"/>
    <x v="0"/>
    <x v="22"/>
    <x v="3"/>
    <n v="53"/>
    <x v="2"/>
    <x v="1"/>
    <s v="Olive"/>
    <x v="0"/>
    <n v="2.5"/>
    <s v="No"/>
    <x v="4"/>
    <s v="No"/>
    <n v="20"/>
    <x v="5"/>
    <s v="Weekly"/>
    <n v="0.1"/>
    <n v="47.7"/>
    <n v="53"/>
    <s v="Debit Card"/>
    <s v="Normal"/>
    <s v="Poor"/>
  </r>
  <r>
    <n v="2524"/>
    <n v="43"/>
    <x v="0"/>
    <x v="8"/>
    <x v="3"/>
    <n v="24"/>
    <x v="32"/>
    <x v="1"/>
    <s v="Cyan"/>
    <x v="1"/>
    <n v="3.4"/>
    <s v="No"/>
    <x v="0"/>
    <s v="No"/>
    <n v="21"/>
    <x v="4"/>
    <s v="Annually"/>
    <n v="0.1"/>
    <n v="21.6"/>
    <n v="24"/>
    <s v="Bank Transfer"/>
    <s v="Normal"/>
    <s v="Good"/>
  </r>
  <r>
    <n v="2525"/>
    <n v="60"/>
    <x v="0"/>
    <x v="7"/>
    <x v="2"/>
    <n v="59"/>
    <x v="23"/>
    <x v="2"/>
    <s v="Purple"/>
    <x v="1"/>
    <n v="3.7"/>
    <s v="No"/>
    <x v="0"/>
    <s v="No"/>
    <n v="23"/>
    <x v="2"/>
    <s v="Quarterly"/>
    <n v="0.1"/>
    <n v="53.1"/>
    <n v="59"/>
    <s v="Credit Card"/>
    <s v="Normal"/>
    <s v="Good"/>
  </r>
  <r>
    <n v="2526"/>
    <n v="39"/>
    <x v="0"/>
    <x v="1"/>
    <x v="0"/>
    <n v="72"/>
    <x v="0"/>
    <x v="2"/>
    <s v="Purple"/>
    <x v="0"/>
    <n v="4.2"/>
    <s v="No"/>
    <x v="3"/>
    <s v="No"/>
    <n v="20"/>
    <x v="3"/>
    <s v="Weekly"/>
    <n v="0.1"/>
    <n v="64.8"/>
    <n v="72"/>
    <s v="PayPal"/>
    <s v="Normal"/>
    <s v="Good"/>
  </r>
  <r>
    <n v="2527"/>
    <n v="47"/>
    <x v="0"/>
    <x v="6"/>
    <x v="0"/>
    <n v="28"/>
    <x v="3"/>
    <x v="1"/>
    <s v="Peach"/>
    <x v="1"/>
    <n v="3.4"/>
    <s v="No"/>
    <x v="0"/>
    <s v="No"/>
    <n v="30"/>
    <x v="3"/>
    <s v="Bi-Weekly"/>
    <n v="0.1"/>
    <n v="25.2"/>
    <n v="28"/>
    <s v="PayPal"/>
    <s v="Normal"/>
    <s v="Good"/>
  </r>
  <r>
    <n v="2528"/>
    <n v="19"/>
    <x v="0"/>
    <x v="13"/>
    <x v="0"/>
    <n v="36"/>
    <x v="26"/>
    <x v="2"/>
    <s v="Gold"/>
    <x v="3"/>
    <n v="3.6"/>
    <s v="No"/>
    <x v="0"/>
    <s v="No"/>
    <n v="33"/>
    <x v="4"/>
    <s v="Every 3 Months"/>
    <n v="0.1"/>
    <n v="32.4"/>
    <n v="36"/>
    <s v="Bank Transfer"/>
    <s v="Normal"/>
    <s v="Good"/>
  </r>
  <r>
    <n v="2529"/>
    <n v="52"/>
    <x v="0"/>
    <x v="16"/>
    <x v="3"/>
    <n v="47"/>
    <x v="15"/>
    <x v="1"/>
    <s v="Peach"/>
    <x v="3"/>
    <n v="4.7"/>
    <s v="No"/>
    <x v="4"/>
    <s v="No"/>
    <n v="31"/>
    <x v="5"/>
    <s v="Monthly"/>
    <n v="0.1"/>
    <n v="42.3"/>
    <n v="47"/>
    <s v="Debit Card"/>
    <s v="Normal"/>
    <s v="Good"/>
  </r>
  <r>
    <n v="2530"/>
    <n v="34"/>
    <x v="0"/>
    <x v="24"/>
    <x v="3"/>
    <n v="62"/>
    <x v="30"/>
    <x v="2"/>
    <s v="Magenta"/>
    <x v="1"/>
    <n v="4.7"/>
    <s v="No"/>
    <x v="2"/>
    <s v="No"/>
    <n v="48"/>
    <x v="4"/>
    <s v="Monthly"/>
    <n v="0.1"/>
    <n v="55.8"/>
    <n v="62"/>
    <s v="Bank Transfer"/>
    <s v="Normal"/>
    <s v="Good"/>
  </r>
  <r>
    <n v="2531"/>
    <n v="25"/>
    <x v="0"/>
    <x v="11"/>
    <x v="0"/>
    <n v="98"/>
    <x v="2"/>
    <x v="1"/>
    <s v="Cyan"/>
    <x v="1"/>
    <n v="3.6"/>
    <s v="No"/>
    <x v="1"/>
    <s v="No"/>
    <n v="28"/>
    <x v="5"/>
    <s v="Weekly"/>
    <n v="0.1"/>
    <n v="88.2"/>
    <n v="98"/>
    <s v="Debit Card"/>
    <s v="Normal"/>
    <s v="Good"/>
  </r>
  <r>
    <n v="2532"/>
    <n v="43"/>
    <x v="0"/>
    <x v="3"/>
    <x v="1"/>
    <n v="28"/>
    <x v="21"/>
    <x v="2"/>
    <s v="Violet"/>
    <x v="2"/>
    <n v="4.5999999999999996"/>
    <s v="No"/>
    <x v="1"/>
    <s v="No"/>
    <n v="7"/>
    <x v="1"/>
    <s v="Every 3 Months"/>
    <n v="0.1"/>
    <n v="25.2"/>
    <n v="28"/>
    <s v="Cash"/>
    <s v="Normal"/>
    <s v="Good"/>
  </r>
  <r>
    <n v="2533"/>
    <n v="55"/>
    <x v="0"/>
    <x v="20"/>
    <x v="0"/>
    <n v="86"/>
    <x v="43"/>
    <x v="1"/>
    <s v="Charcoal"/>
    <x v="2"/>
    <n v="2.6"/>
    <s v="No"/>
    <x v="2"/>
    <s v="No"/>
    <n v="4"/>
    <x v="5"/>
    <s v="Weekly"/>
    <n v="0.1"/>
    <n v="77.400000000000006"/>
    <n v="86"/>
    <s v="Debit Card"/>
    <s v="Normal"/>
    <s v="Poor"/>
  </r>
  <r>
    <n v="2534"/>
    <n v="66"/>
    <x v="0"/>
    <x v="16"/>
    <x v="3"/>
    <n v="46"/>
    <x v="38"/>
    <x v="1"/>
    <s v="Blue"/>
    <x v="2"/>
    <n v="3.1"/>
    <s v="No"/>
    <x v="3"/>
    <s v="No"/>
    <n v="49"/>
    <x v="1"/>
    <s v="Bi-Weekly"/>
    <n v="0.1"/>
    <n v="41.4"/>
    <n v="46"/>
    <s v="Cash"/>
    <s v="Normal"/>
    <s v="Good"/>
  </r>
  <r>
    <n v="2535"/>
    <n v="41"/>
    <x v="0"/>
    <x v="12"/>
    <x v="3"/>
    <n v="42"/>
    <x v="41"/>
    <x v="3"/>
    <s v="Red"/>
    <x v="3"/>
    <n v="3.2"/>
    <s v="No"/>
    <x v="1"/>
    <s v="No"/>
    <n v="22"/>
    <x v="1"/>
    <s v="Weekly"/>
    <n v="0.1"/>
    <n v="37.799999999999997"/>
    <n v="42"/>
    <s v="Cash"/>
    <s v="Normal"/>
    <s v="Good"/>
  </r>
  <r>
    <n v="2536"/>
    <n v="47"/>
    <x v="0"/>
    <x v="7"/>
    <x v="2"/>
    <n v="80"/>
    <x v="34"/>
    <x v="1"/>
    <s v="Purple"/>
    <x v="0"/>
    <n v="3.9"/>
    <s v="No"/>
    <x v="0"/>
    <s v="No"/>
    <n v="39"/>
    <x v="4"/>
    <s v="Fortnightly"/>
    <n v="0.1"/>
    <n v="72"/>
    <n v="80"/>
    <s v="Bank Transfer"/>
    <s v="Normal"/>
    <s v="Good"/>
  </r>
  <r>
    <n v="2537"/>
    <n v="51"/>
    <x v="0"/>
    <x v="22"/>
    <x v="3"/>
    <n v="39"/>
    <x v="19"/>
    <x v="0"/>
    <s v="Gray"/>
    <x v="1"/>
    <n v="4.9000000000000004"/>
    <s v="No"/>
    <x v="0"/>
    <s v="No"/>
    <n v="45"/>
    <x v="3"/>
    <s v="Every 3 Months"/>
    <n v="0.1"/>
    <n v="35.1"/>
    <n v="39"/>
    <s v="PayPal"/>
    <s v="Normal"/>
    <s v="Good"/>
  </r>
  <r>
    <n v="2538"/>
    <n v="44"/>
    <x v="0"/>
    <x v="7"/>
    <x v="2"/>
    <n v="49"/>
    <x v="1"/>
    <x v="2"/>
    <s v="Purple"/>
    <x v="2"/>
    <n v="4.0999999999999996"/>
    <s v="No"/>
    <x v="4"/>
    <s v="No"/>
    <n v="30"/>
    <x v="3"/>
    <s v="Fortnightly"/>
    <n v="0.1"/>
    <n v="44.1"/>
    <n v="49"/>
    <s v="PayPal"/>
    <s v="Normal"/>
    <s v="Good"/>
  </r>
  <r>
    <n v="2539"/>
    <n v="18"/>
    <x v="0"/>
    <x v="18"/>
    <x v="3"/>
    <n v="32"/>
    <x v="32"/>
    <x v="2"/>
    <s v="Silver"/>
    <x v="2"/>
    <n v="4.2"/>
    <s v="No"/>
    <x v="2"/>
    <s v="No"/>
    <n v="33"/>
    <x v="2"/>
    <s v="Bi-Weekly"/>
    <n v="0.1"/>
    <n v="28.8"/>
    <n v="32"/>
    <s v="Credit Card"/>
    <s v="Normal"/>
    <s v="Good"/>
  </r>
  <r>
    <n v="2540"/>
    <n v="33"/>
    <x v="0"/>
    <x v="3"/>
    <x v="1"/>
    <n v="73"/>
    <x v="2"/>
    <x v="2"/>
    <s v="Purple"/>
    <x v="3"/>
    <n v="4.0999999999999996"/>
    <s v="No"/>
    <x v="2"/>
    <s v="No"/>
    <n v="24"/>
    <x v="1"/>
    <s v="Bi-Weekly"/>
    <n v="0.1"/>
    <n v="65.7"/>
    <n v="73"/>
    <s v="Cash"/>
    <s v="Normal"/>
    <s v="Good"/>
  </r>
  <r>
    <n v="2541"/>
    <n v="24"/>
    <x v="0"/>
    <x v="22"/>
    <x v="3"/>
    <n v="42"/>
    <x v="32"/>
    <x v="2"/>
    <s v="Charcoal"/>
    <x v="2"/>
    <n v="3.9"/>
    <s v="No"/>
    <x v="1"/>
    <s v="No"/>
    <n v="11"/>
    <x v="5"/>
    <s v="Quarterly"/>
    <n v="0.1"/>
    <n v="37.799999999999997"/>
    <n v="42"/>
    <s v="Debit Card"/>
    <s v="Normal"/>
    <s v="Good"/>
  </r>
  <r>
    <n v="2542"/>
    <n v="33"/>
    <x v="0"/>
    <x v="18"/>
    <x v="3"/>
    <n v="58"/>
    <x v="47"/>
    <x v="2"/>
    <s v="Silver"/>
    <x v="1"/>
    <n v="2.7"/>
    <s v="No"/>
    <x v="2"/>
    <s v="No"/>
    <n v="13"/>
    <x v="0"/>
    <s v="Every 3 Months"/>
    <n v="0.1"/>
    <n v="52.2"/>
    <n v="58"/>
    <s v="Venmo"/>
    <s v="Normal"/>
    <s v="Poor"/>
  </r>
  <r>
    <n v="2543"/>
    <n v="61"/>
    <x v="0"/>
    <x v="16"/>
    <x v="3"/>
    <n v="22"/>
    <x v="10"/>
    <x v="2"/>
    <s v="White"/>
    <x v="0"/>
    <n v="3.7"/>
    <s v="No"/>
    <x v="0"/>
    <s v="No"/>
    <n v="27"/>
    <x v="3"/>
    <s v="Annually"/>
    <n v="0.1"/>
    <n v="19.8"/>
    <n v="22"/>
    <s v="PayPal"/>
    <s v="Normal"/>
    <s v="Good"/>
  </r>
  <r>
    <n v="2544"/>
    <n v="27"/>
    <x v="0"/>
    <x v="18"/>
    <x v="3"/>
    <n v="56"/>
    <x v="8"/>
    <x v="0"/>
    <s v="Peach"/>
    <x v="1"/>
    <n v="2.7"/>
    <s v="No"/>
    <x v="2"/>
    <s v="No"/>
    <n v="30"/>
    <x v="3"/>
    <s v="Bi-Weekly"/>
    <n v="0.1"/>
    <n v="50.4"/>
    <n v="56"/>
    <s v="PayPal"/>
    <s v="Normal"/>
    <s v="Poor"/>
  </r>
  <r>
    <n v="2545"/>
    <n v="46"/>
    <x v="0"/>
    <x v="13"/>
    <x v="0"/>
    <n v="70"/>
    <x v="12"/>
    <x v="2"/>
    <s v="Red"/>
    <x v="1"/>
    <n v="2.5"/>
    <s v="No"/>
    <x v="2"/>
    <s v="No"/>
    <n v="39"/>
    <x v="0"/>
    <s v="Quarterly"/>
    <n v="0.1"/>
    <n v="63"/>
    <n v="70"/>
    <s v="Venmo"/>
    <s v="Normal"/>
    <s v="Poor"/>
  </r>
  <r>
    <n v="2546"/>
    <n v="38"/>
    <x v="0"/>
    <x v="9"/>
    <x v="1"/>
    <n v="50"/>
    <x v="21"/>
    <x v="0"/>
    <s v="Olive"/>
    <x v="1"/>
    <n v="3.9"/>
    <s v="No"/>
    <x v="1"/>
    <s v="No"/>
    <n v="10"/>
    <x v="5"/>
    <s v="Annually"/>
    <n v="0.1"/>
    <n v="45"/>
    <n v="50"/>
    <s v="Debit Card"/>
    <s v="Normal"/>
    <s v="Good"/>
  </r>
  <r>
    <n v="2547"/>
    <n v="63"/>
    <x v="0"/>
    <x v="23"/>
    <x v="1"/>
    <n v="21"/>
    <x v="21"/>
    <x v="0"/>
    <s v="Gray"/>
    <x v="2"/>
    <n v="3"/>
    <s v="No"/>
    <x v="0"/>
    <s v="No"/>
    <n v="4"/>
    <x v="2"/>
    <s v="Quarterly"/>
    <n v="0.1"/>
    <n v="18.899999999999999"/>
    <n v="21"/>
    <s v="Credit Card"/>
    <s v="Normal"/>
    <s v="Good"/>
  </r>
  <r>
    <n v="2548"/>
    <n v="47"/>
    <x v="0"/>
    <x v="14"/>
    <x v="2"/>
    <n v="97"/>
    <x v="16"/>
    <x v="2"/>
    <s v="Beige"/>
    <x v="2"/>
    <n v="3.2"/>
    <s v="No"/>
    <x v="4"/>
    <s v="No"/>
    <n v="16"/>
    <x v="1"/>
    <s v="Weekly"/>
    <n v="0.1"/>
    <n v="87.3"/>
    <n v="97"/>
    <s v="Cash"/>
    <s v="Normal"/>
    <s v="Good"/>
  </r>
  <r>
    <n v="2549"/>
    <n v="42"/>
    <x v="0"/>
    <x v="21"/>
    <x v="3"/>
    <n v="63"/>
    <x v="21"/>
    <x v="0"/>
    <s v="Pink"/>
    <x v="0"/>
    <n v="3.8"/>
    <s v="No"/>
    <x v="3"/>
    <s v="No"/>
    <n v="34"/>
    <x v="2"/>
    <s v="Monthly"/>
    <n v="0.1"/>
    <n v="56.7"/>
    <n v="63"/>
    <s v="Credit Card"/>
    <s v="Normal"/>
    <s v="Good"/>
  </r>
  <r>
    <n v="2550"/>
    <n v="41"/>
    <x v="0"/>
    <x v="14"/>
    <x v="2"/>
    <n v="60"/>
    <x v="41"/>
    <x v="2"/>
    <s v="Red"/>
    <x v="3"/>
    <n v="2.7"/>
    <s v="No"/>
    <x v="3"/>
    <s v="No"/>
    <n v="11"/>
    <x v="5"/>
    <s v="Every 3 Months"/>
    <n v="0.1"/>
    <n v="54"/>
    <n v="60"/>
    <s v="Debit Card"/>
    <s v="Normal"/>
    <s v="Poor"/>
  </r>
  <r>
    <n v="2551"/>
    <n v="53"/>
    <x v="0"/>
    <x v="23"/>
    <x v="1"/>
    <n v="52"/>
    <x v="13"/>
    <x v="3"/>
    <s v="Peach"/>
    <x v="3"/>
    <n v="3"/>
    <s v="No"/>
    <x v="5"/>
    <s v="No"/>
    <n v="30"/>
    <x v="5"/>
    <s v="Fortnightly"/>
    <n v="0.1"/>
    <n v="46.8"/>
    <n v="52"/>
    <s v="Debit Card"/>
    <s v="Normal"/>
    <s v="Good"/>
  </r>
  <r>
    <n v="2552"/>
    <n v="29"/>
    <x v="0"/>
    <x v="9"/>
    <x v="1"/>
    <n v="32"/>
    <x v="46"/>
    <x v="2"/>
    <s v="Maroon"/>
    <x v="0"/>
    <n v="4.0999999999999996"/>
    <s v="No"/>
    <x v="2"/>
    <s v="No"/>
    <n v="40"/>
    <x v="5"/>
    <s v="Annually"/>
    <n v="0.1"/>
    <n v="28.8"/>
    <n v="32"/>
    <s v="Debit Card"/>
    <s v="Normal"/>
    <s v="Good"/>
  </r>
  <r>
    <n v="2553"/>
    <n v="61"/>
    <x v="0"/>
    <x v="22"/>
    <x v="3"/>
    <n v="48"/>
    <x v="33"/>
    <x v="3"/>
    <s v="Purple"/>
    <x v="1"/>
    <n v="3.2"/>
    <s v="No"/>
    <x v="4"/>
    <s v="No"/>
    <n v="13"/>
    <x v="2"/>
    <s v="Annually"/>
    <n v="0.1"/>
    <n v="43.2"/>
    <n v="48"/>
    <s v="Credit Card"/>
    <s v="Normal"/>
    <s v="Good"/>
  </r>
  <r>
    <n v="2554"/>
    <n v="69"/>
    <x v="0"/>
    <x v="16"/>
    <x v="3"/>
    <n v="25"/>
    <x v="34"/>
    <x v="2"/>
    <s v="Maroon"/>
    <x v="2"/>
    <n v="4.5"/>
    <s v="No"/>
    <x v="5"/>
    <s v="No"/>
    <n v="28"/>
    <x v="0"/>
    <s v="Every 3 Months"/>
    <n v="0.1"/>
    <n v="22.5"/>
    <n v="25"/>
    <s v="Venmo"/>
    <s v="Normal"/>
    <s v="Good"/>
  </r>
  <r>
    <n v="2555"/>
    <n v="51"/>
    <x v="0"/>
    <x v="16"/>
    <x v="3"/>
    <n v="68"/>
    <x v="23"/>
    <x v="2"/>
    <s v="Gray"/>
    <x v="2"/>
    <n v="4.3"/>
    <s v="No"/>
    <x v="5"/>
    <s v="No"/>
    <n v="49"/>
    <x v="5"/>
    <s v="Bi-Weekly"/>
    <n v="0.1"/>
    <n v="61.2"/>
    <n v="68"/>
    <s v="Debit Card"/>
    <s v="Normal"/>
    <s v="Good"/>
  </r>
  <r>
    <n v="2556"/>
    <n v="24"/>
    <x v="0"/>
    <x v="13"/>
    <x v="0"/>
    <n v="74"/>
    <x v="37"/>
    <x v="2"/>
    <s v="Gray"/>
    <x v="3"/>
    <n v="3.5"/>
    <s v="No"/>
    <x v="3"/>
    <s v="No"/>
    <n v="23"/>
    <x v="2"/>
    <s v="Weekly"/>
    <n v="0.1"/>
    <n v="66.599999999999994"/>
    <n v="74"/>
    <s v="Credit Card"/>
    <s v="Normal"/>
    <s v="Good"/>
  </r>
  <r>
    <n v="2557"/>
    <n v="24"/>
    <x v="0"/>
    <x v="17"/>
    <x v="0"/>
    <n v="88"/>
    <x v="6"/>
    <x v="3"/>
    <s v="Magenta"/>
    <x v="3"/>
    <n v="3.1"/>
    <s v="No"/>
    <x v="3"/>
    <s v="No"/>
    <n v="4"/>
    <x v="4"/>
    <s v="Quarterly"/>
    <n v="0.1"/>
    <n v="79.2"/>
    <n v="88"/>
    <s v="Bank Transfer"/>
    <s v="Normal"/>
    <s v="Good"/>
  </r>
  <r>
    <n v="2558"/>
    <n v="70"/>
    <x v="0"/>
    <x v="6"/>
    <x v="0"/>
    <n v="23"/>
    <x v="19"/>
    <x v="0"/>
    <s v="Cyan"/>
    <x v="1"/>
    <n v="3.9"/>
    <s v="No"/>
    <x v="3"/>
    <s v="No"/>
    <n v="17"/>
    <x v="3"/>
    <s v="Fortnightly"/>
    <n v="0.1"/>
    <n v="20.7"/>
    <n v="23"/>
    <s v="PayPal"/>
    <s v="Normal"/>
    <s v="Good"/>
  </r>
  <r>
    <n v="2559"/>
    <n v="49"/>
    <x v="0"/>
    <x v="15"/>
    <x v="0"/>
    <n v="32"/>
    <x v="18"/>
    <x v="2"/>
    <s v="Silver"/>
    <x v="3"/>
    <n v="2.7"/>
    <s v="No"/>
    <x v="0"/>
    <s v="No"/>
    <n v="24"/>
    <x v="3"/>
    <s v="Fortnightly"/>
    <n v="0.1"/>
    <n v="28.8"/>
    <n v="32"/>
    <s v="PayPal"/>
    <s v="Normal"/>
    <s v="Poor"/>
  </r>
  <r>
    <n v="2560"/>
    <n v="48"/>
    <x v="0"/>
    <x v="22"/>
    <x v="3"/>
    <n v="71"/>
    <x v="16"/>
    <x v="1"/>
    <s v="Green"/>
    <x v="0"/>
    <n v="4"/>
    <s v="No"/>
    <x v="1"/>
    <s v="No"/>
    <n v="21"/>
    <x v="5"/>
    <s v="Every 3 Months"/>
    <n v="0.1"/>
    <n v="63.9"/>
    <n v="71"/>
    <s v="Debit Card"/>
    <s v="Normal"/>
    <s v="Good"/>
  </r>
  <r>
    <n v="2561"/>
    <n v="58"/>
    <x v="0"/>
    <x v="23"/>
    <x v="1"/>
    <n v="62"/>
    <x v="18"/>
    <x v="2"/>
    <s v="Violet"/>
    <x v="1"/>
    <n v="2.7"/>
    <s v="No"/>
    <x v="2"/>
    <s v="No"/>
    <n v="17"/>
    <x v="5"/>
    <s v="Bi-Weekly"/>
    <n v="0.1"/>
    <n v="55.8"/>
    <n v="62"/>
    <s v="Debit Card"/>
    <s v="Normal"/>
    <s v="Poor"/>
  </r>
  <r>
    <n v="2562"/>
    <n v="32"/>
    <x v="0"/>
    <x v="15"/>
    <x v="0"/>
    <n v="20"/>
    <x v="14"/>
    <x v="0"/>
    <s v="Magenta"/>
    <x v="1"/>
    <n v="2.7"/>
    <s v="No"/>
    <x v="1"/>
    <s v="No"/>
    <n v="22"/>
    <x v="5"/>
    <s v="Quarterly"/>
    <n v="0.1"/>
    <n v="18"/>
    <n v="20"/>
    <s v="Debit Card"/>
    <s v="Normal"/>
    <s v="Poor"/>
  </r>
  <r>
    <n v="2563"/>
    <n v="57"/>
    <x v="0"/>
    <x v="6"/>
    <x v="0"/>
    <n v="62"/>
    <x v="28"/>
    <x v="3"/>
    <s v="Yellow"/>
    <x v="1"/>
    <n v="4.7"/>
    <s v="No"/>
    <x v="3"/>
    <s v="No"/>
    <n v="27"/>
    <x v="1"/>
    <s v="Fortnightly"/>
    <n v="0.1"/>
    <n v="55.8"/>
    <n v="62"/>
    <s v="Cash"/>
    <s v="Normal"/>
    <s v="Good"/>
  </r>
  <r>
    <n v="2564"/>
    <n v="69"/>
    <x v="0"/>
    <x v="21"/>
    <x v="3"/>
    <n v="81"/>
    <x v="2"/>
    <x v="3"/>
    <s v="Gray"/>
    <x v="0"/>
    <n v="4.5"/>
    <s v="No"/>
    <x v="3"/>
    <s v="No"/>
    <n v="1"/>
    <x v="0"/>
    <s v="Every 3 Months"/>
    <n v="0.1"/>
    <n v="72.900000000000006"/>
    <n v="81"/>
    <s v="Venmo"/>
    <s v="Normal"/>
    <s v="Good"/>
  </r>
  <r>
    <n v="2565"/>
    <n v="42"/>
    <x v="0"/>
    <x v="18"/>
    <x v="3"/>
    <n v="90"/>
    <x v="0"/>
    <x v="0"/>
    <s v="Indigo"/>
    <x v="0"/>
    <n v="3"/>
    <s v="No"/>
    <x v="4"/>
    <s v="No"/>
    <n v="27"/>
    <x v="4"/>
    <s v="Weekly"/>
    <n v="0.1"/>
    <n v="81"/>
    <n v="90"/>
    <s v="Bank Transfer"/>
    <s v="Normal"/>
    <s v="Good"/>
  </r>
  <r>
    <n v="2566"/>
    <n v="30"/>
    <x v="0"/>
    <x v="20"/>
    <x v="0"/>
    <n v="43"/>
    <x v="34"/>
    <x v="1"/>
    <s v="Indigo"/>
    <x v="3"/>
    <n v="3.6"/>
    <s v="No"/>
    <x v="5"/>
    <s v="No"/>
    <n v="8"/>
    <x v="0"/>
    <s v="Quarterly"/>
    <n v="0.1"/>
    <n v="38.700000000000003"/>
    <n v="43"/>
    <s v="Venmo"/>
    <s v="Normal"/>
    <s v="Good"/>
  </r>
  <r>
    <n v="2567"/>
    <n v="35"/>
    <x v="0"/>
    <x v="8"/>
    <x v="3"/>
    <n v="38"/>
    <x v="9"/>
    <x v="1"/>
    <s v="Yellow"/>
    <x v="3"/>
    <n v="3.3"/>
    <s v="No"/>
    <x v="3"/>
    <s v="No"/>
    <n v="43"/>
    <x v="3"/>
    <s v="Quarterly"/>
    <n v="0.1"/>
    <n v="34.200000000000003"/>
    <n v="38"/>
    <s v="PayPal"/>
    <s v="Normal"/>
    <s v="Good"/>
  </r>
  <r>
    <n v="2568"/>
    <n v="19"/>
    <x v="0"/>
    <x v="12"/>
    <x v="3"/>
    <n v="25"/>
    <x v="49"/>
    <x v="3"/>
    <s v="Gold"/>
    <x v="1"/>
    <n v="4.3"/>
    <s v="No"/>
    <x v="5"/>
    <s v="No"/>
    <n v="24"/>
    <x v="1"/>
    <s v="Fortnightly"/>
    <n v="0.1"/>
    <n v="22.5"/>
    <n v="25"/>
    <s v="Cash"/>
    <s v="Normal"/>
    <s v="Good"/>
  </r>
  <r>
    <n v="2569"/>
    <n v="52"/>
    <x v="0"/>
    <x v="17"/>
    <x v="0"/>
    <n v="98"/>
    <x v="21"/>
    <x v="3"/>
    <s v="Green"/>
    <x v="0"/>
    <n v="4.3"/>
    <s v="No"/>
    <x v="0"/>
    <s v="No"/>
    <n v="29"/>
    <x v="3"/>
    <s v="Fortnightly"/>
    <n v="0.1"/>
    <n v="88.2"/>
    <n v="98"/>
    <s v="PayPal"/>
    <s v="Normal"/>
    <s v="Good"/>
  </r>
  <r>
    <n v="2570"/>
    <n v="42"/>
    <x v="0"/>
    <x v="10"/>
    <x v="0"/>
    <n v="75"/>
    <x v="14"/>
    <x v="2"/>
    <s v="Charcoal"/>
    <x v="1"/>
    <n v="4.8"/>
    <s v="No"/>
    <x v="1"/>
    <s v="No"/>
    <n v="10"/>
    <x v="4"/>
    <s v="Bi-Weekly"/>
    <n v="0.1"/>
    <n v="67.5"/>
    <n v="75"/>
    <s v="Bank Transfer"/>
    <s v="Normal"/>
    <s v="Good"/>
  </r>
  <r>
    <n v="2571"/>
    <n v="36"/>
    <x v="0"/>
    <x v="4"/>
    <x v="1"/>
    <n v="27"/>
    <x v="35"/>
    <x v="3"/>
    <s v="Olive"/>
    <x v="1"/>
    <n v="4"/>
    <s v="No"/>
    <x v="5"/>
    <s v="No"/>
    <n v="12"/>
    <x v="3"/>
    <s v="Fortnightly"/>
    <n v="0.1"/>
    <n v="24.3"/>
    <n v="27"/>
    <s v="PayPal"/>
    <s v="Normal"/>
    <s v="Good"/>
  </r>
  <r>
    <n v="2572"/>
    <n v="45"/>
    <x v="0"/>
    <x v="12"/>
    <x v="3"/>
    <n v="27"/>
    <x v="16"/>
    <x v="0"/>
    <s v="Black"/>
    <x v="0"/>
    <n v="3.5"/>
    <s v="No"/>
    <x v="3"/>
    <s v="No"/>
    <n v="48"/>
    <x v="1"/>
    <s v="Fortnightly"/>
    <n v="0.1"/>
    <n v="24.3"/>
    <n v="27"/>
    <s v="Cash"/>
    <s v="Normal"/>
    <s v="Good"/>
  </r>
  <r>
    <n v="2573"/>
    <n v="54"/>
    <x v="0"/>
    <x v="0"/>
    <x v="0"/>
    <n v="42"/>
    <x v="47"/>
    <x v="2"/>
    <s v="Silver"/>
    <x v="3"/>
    <n v="3.9"/>
    <s v="No"/>
    <x v="2"/>
    <s v="No"/>
    <n v="40"/>
    <x v="4"/>
    <s v="Quarterly"/>
    <n v="0.1"/>
    <n v="37.799999999999997"/>
    <n v="42"/>
    <s v="Bank Transfer"/>
    <s v="Normal"/>
    <s v="Good"/>
  </r>
  <r>
    <n v="2574"/>
    <n v="54"/>
    <x v="0"/>
    <x v="17"/>
    <x v="0"/>
    <n v="90"/>
    <x v="35"/>
    <x v="2"/>
    <s v="Red"/>
    <x v="2"/>
    <n v="4.4000000000000004"/>
    <s v="No"/>
    <x v="5"/>
    <s v="No"/>
    <n v="1"/>
    <x v="4"/>
    <s v="Annually"/>
    <n v="0.1"/>
    <n v="81"/>
    <n v="90"/>
    <s v="Bank Transfer"/>
    <s v="Normal"/>
    <s v="Good"/>
  </r>
  <r>
    <n v="2575"/>
    <n v="27"/>
    <x v="0"/>
    <x v="19"/>
    <x v="3"/>
    <n v="63"/>
    <x v="20"/>
    <x v="2"/>
    <s v="Brown"/>
    <x v="2"/>
    <n v="4.5999999999999996"/>
    <s v="No"/>
    <x v="4"/>
    <s v="No"/>
    <n v="26"/>
    <x v="2"/>
    <s v="Fortnightly"/>
    <n v="0.1"/>
    <n v="56.7"/>
    <n v="63"/>
    <s v="Credit Card"/>
    <s v="Normal"/>
    <s v="Good"/>
  </r>
  <r>
    <n v="2576"/>
    <n v="53"/>
    <x v="0"/>
    <x v="6"/>
    <x v="0"/>
    <n v="96"/>
    <x v="46"/>
    <x v="2"/>
    <s v="Silver"/>
    <x v="3"/>
    <n v="4"/>
    <s v="No"/>
    <x v="0"/>
    <s v="No"/>
    <n v="9"/>
    <x v="3"/>
    <s v="Annually"/>
    <n v="0.1"/>
    <n v="86.4"/>
    <n v="96"/>
    <s v="PayPal"/>
    <s v="Normal"/>
    <s v="Good"/>
  </r>
  <r>
    <n v="2577"/>
    <n v="20"/>
    <x v="0"/>
    <x v="15"/>
    <x v="0"/>
    <n v="40"/>
    <x v="13"/>
    <x v="2"/>
    <s v="Silver"/>
    <x v="0"/>
    <n v="4.2"/>
    <s v="No"/>
    <x v="1"/>
    <s v="No"/>
    <n v="19"/>
    <x v="5"/>
    <s v="Quarterly"/>
    <n v="0.1"/>
    <n v="36"/>
    <n v="40"/>
    <s v="Debit Card"/>
    <s v="Normal"/>
    <s v="Good"/>
  </r>
  <r>
    <n v="2578"/>
    <n v="52"/>
    <x v="0"/>
    <x v="20"/>
    <x v="0"/>
    <n v="39"/>
    <x v="46"/>
    <x v="0"/>
    <s v="Black"/>
    <x v="3"/>
    <n v="4.5"/>
    <s v="No"/>
    <x v="2"/>
    <s v="No"/>
    <n v="37"/>
    <x v="4"/>
    <s v="Monthly"/>
    <n v="0.1"/>
    <n v="35.1"/>
    <n v="39"/>
    <s v="Bank Transfer"/>
    <s v="Normal"/>
    <s v="Good"/>
  </r>
  <r>
    <n v="2579"/>
    <n v="54"/>
    <x v="0"/>
    <x v="12"/>
    <x v="3"/>
    <n v="48"/>
    <x v="34"/>
    <x v="2"/>
    <s v="Purple"/>
    <x v="3"/>
    <n v="3.9"/>
    <s v="No"/>
    <x v="1"/>
    <s v="No"/>
    <n v="3"/>
    <x v="1"/>
    <s v="Quarterly"/>
    <n v="0.1"/>
    <n v="43.2"/>
    <n v="48"/>
    <s v="Cash"/>
    <s v="Normal"/>
    <s v="Good"/>
  </r>
  <r>
    <n v="2580"/>
    <n v="65"/>
    <x v="0"/>
    <x v="0"/>
    <x v="0"/>
    <n v="20"/>
    <x v="46"/>
    <x v="2"/>
    <s v="Purple"/>
    <x v="2"/>
    <n v="3.7"/>
    <s v="No"/>
    <x v="0"/>
    <s v="No"/>
    <n v="40"/>
    <x v="0"/>
    <s v="Weekly"/>
    <n v="0.1"/>
    <n v="18"/>
    <n v="20"/>
    <s v="Venmo"/>
    <s v="Normal"/>
    <s v="Good"/>
  </r>
  <r>
    <n v="2581"/>
    <n v="43"/>
    <x v="0"/>
    <x v="2"/>
    <x v="0"/>
    <n v="29"/>
    <x v="2"/>
    <x v="1"/>
    <s v="Turquoise"/>
    <x v="2"/>
    <n v="3.6"/>
    <s v="No"/>
    <x v="5"/>
    <s v="No"/>
    <n v="13"/>
    <x v="4"/>
    <s v="Quarterly"/>
    <n v="0.1"/>
    <n v="26.1"/>
    <n v="29"/>
    <s v="Bank Transfer"/>
    <s v="Normal"/>
    <s v="Good"/>
  </r>
  <r>
    <n v="2582"/>
    <n v="57"/>
    <x v="0"/>
    <x v="10"/>
    <x v="0"/>
    <n v="81"/>
    <x v="5"/>
    <x v="2"/>
    <s v="Gold"/>
    <x v="0"/>
    <n v="4.7"/>
    <s v="No"/>
    <x v="0"/>
    <s v="No"/>
    <n v="48"/>
    <x v="2"/>
    <s v="Monthly"/>
    <n v="0.1"/>
    <n v="72.900000000000006"/>
    <n v="81"/>
    <s v="Credit Card"/>
    <s v="Normal"/>
    <s v="Good"/>
  </r>
  <r>
    <n v="2583"/>
    <n v="19"/>
    <x v="0"/>
    <x v="10"/>
    <x v="0"/>
    <n v="98"/>
    <x v="45"/>
    <x v="1"/>
    <s v="Indigo"/>
    <x v="3"/>
    <n v="3.6"/>
    <s v="No"/>
    <x v="4"/>
    <s v="No"/>
    <n v="4"/>
    <x v="0"/>
    <s v="Every 3 Months"/>
    <n v="0.1"/>
    <n v="88.2"/>
    <n v="98"/>
    <s v="Venmo"/>
    <s v="Normal"/>
    <s v="Good"/>
  </r>
  <r>
    <n v="2584"/>
    <n v="69"/>
    <x v="0"/>
    <x v="2"/>
    <x v="0"/>
    <n v="93"/>
    <x v="19"/>
    <x v="2"/>
    <s v="Lavender"/>
    <x v="3"/>
    <n v="2.5"/>
    <s v="No"/>
    <x v="2"/>
    <s v="No"/>
    <n v="9"/>
    <x v="1"/>
    <s v="Weekly"/>
    <n v="0.1"/>
    <n v="83.7"/>
    <n v="93"/>
    <s v="Cash"/>
    <s v="Normal"/>
    <s v="Poor"/>
  </r>
  <r>
    <n v="2585"/>
    <n v="26"/>
    <x v="0"/>
    <x v="20"/>
    <x v="0"/>
    <n v="30"/>
    <x v="20"/>
    <x v="0"/>
    <s v="Blue"/>
    <x v="2"/>
    <n v="2.9"/>
    <s v="No"/>
    <x v="5"/>
    <s v="No"/>
    <n v="26"/>
    <x v="4"/>
    <s v="Bi-Weekly"/>
    <n v="0.1"/>
    <n v="27"/>
    <n v="30"/>
    <s v="Bank Transfer"/>
    <s v="Normal"/>
    <s v="Poor"/>
  </r>
  <r>
    <n v="2586"/>
    <n v="57"/>
    <x v="0"/>
    <x v="12"/>
    <x v="3"/>
    <n v="37"/>
    <x v="48"/>
    <x v="0"/>
    <s v="Maroon"/>
    <x v="3"/>
    <n v="4.4000000000000004"/>
    <s v="No"/>
    <x v="1"/>
    <s v="No"/>
    <n v="19"/>
    <x v="5"/>
    <s v="Weekly"/>
    <n v="0.1"/>
    <n v="33.299999999999997"/>
    <n v="37"/>
    <s v="Debit Card"/>
    <s v="Normal"/>
    <s v="Good"/>
  </r>
  <r>
    <n v="2587"/>
    <n v="20"/>
    <x v="0"/>
    <x v="7"/>
    <x v="2"/>
    <n v="28"/>
    <x v="1"/>
    <x v="0"/>
    <s v="Yellow"/>
    <x v="0"/>
    <n v="4.5999999999999996"/>
    <s v="No"/>
    <x v="0"/>
    <s v="No"/>
    <n v="1"/>
    <x v="2"/>
    <s v="Every 3 Months"/>
    <n v="0.1"/>
    <n v="25.2"/>
    <n v="28"/>
    <s v="Credit Card"/>
    <s v="Normal"/>
    <s v="Good"/>
  </r>
  <r>
    <n v="2588"/>
    <n v="55"/>
    <x v="0"/>
    <x v="18"/>
    <x v="3"/>
    <n v="29"/>
    <x v="39"/>
    <x v="2"/>
    <s v="Purple"/>
    <x v="0"/>
    <n v="3.7"/>
    <s v="No"/>
    <x v="0"/>
    <s v="No"/>
    <n v="29"/>
    <x v="3"/>
    <s v="Every 3 Months"/>
    <n v="0.1"/>
    <n v="26.1"/>
    <n v="29"/>
    <s v="PayPal"/>
    <s v="Normal"/>
    <s v="Good"/>
  </r>
  <r>
    <n v="2589"/>
    <n v="44"/>
    <x v="0"/>
    <x v="21"/>
    <x v="3"/>
    <n v="49"/>
    <x v="12"/>
    <x v="2"/>
    <s v="Peach"/>
    <x v="2"/>
    <n v="3.2"/>
    <s v="No"/>
    <x v="1"/>
    <s v="No"/>
    <n v="38"/>
    <x v="0"/>
    <s v="Bi-Weekly"/>
    <n v="0.1"/>
    <n v="44.1"/>
    <n v="49"/>
    <s v="Venmo"/>
    <s v="Normal"/>
    <s v="Good"/>
  </r>
  <r>
    <n v="2590"/>
    <n v="52"/>
    <x v="0"/>
    <x v="13"/>
    <x v="0"/>
    <n v="53"/>
    <x v="25"/>
    <x v="2"/>
    <s v="Silver"/>
    <x v="0"/>
    <n v="4.9000000000000004"/>
    <s v="No"/>
    <x v="4"/>
    <s v="No"/>
    <n v="31"/>
    <x v="3"/>
    <s v="Annually"/>
    <n v="0.1"/>
    <n v="47.7"/>
    <n v="53"/>
    <s v="PayPal"/>
    <s v="Normal"/>
    <s v="Good"/>
  </r>
  <r>
    <n v="2591"/>
    <n v="57"/>
    <x v="0"/>
    <x v="24"/>
    <x v="3"/>
    <n v="66"/>
    <x v="18"/>
    <x v="2"/>
    <s v="Turquoise"/>
    <x v="2"/>
    <n v="5"/>
    <s v="No"/>
    <x v="1"/>
    <s v="No"/>
    <n v="35"/>
    <x v="0"/>
    <s v="Annually"/>
    <n v="0.1"/>
    <n v="59.4"/>
    <n v="66"/>
    <s v="Venmo"/>
    <s v="Normal"/>
    <s v="Good"/>
  </r>
  <r>
    <n v="2592"/>
    <n v="40"/>
    <x v="0"/>
    <x v="14"/>
    <x v="2"/>
    <n v="61"/>
    <x v="35"/>
    <x v="1"/>
    <s v="Olive"/>
    <x v="1"/>
    <n v="3.3"/>
    <s v="No"/>
    <x v="0"/>
    <s v="No"/>
    <n v="40"/>
    <x v="1"/>
    <s v="Quarterly"/>
    <n v="0.1"/>
    <n v="54.9"/>
    <n v="61"/>
    <s v="Cash"/>
    <s v="Normal"/>
    <s v="Good"/>
  </r>
  <r>
    <n v="2593"/>
    <n v="23"/>
    <x v="0"/>
    <x v="6"/>
    <x v="0"/>
    <n v="23"/>
    <x v="44"/>
    <x v="3"/>
    <s v="Peach"/>
    <x v="2"/>
    <n v="4.4000000000000004"/>
    <s v="No"/>
    <x v="5"/>
    <s v="No"/>
    <n v="13"/>
    <x v="0"/>
    <s v="Quarterly"/>
    <n v="0.1"/>
    <n v="20.7"/>
    <n v="23"/>
    <s v="Venmo"/>
    <s v="Normal"/>
    <s v="Good"/>
  </r>
  <r>
    <n v="2594"/>
    <n v="36"/>
    <x v="0"/>
    <x v="13"/>
    <x v="0"/>
    <n v="36"/>
    <x v="24"/>
    <x v="1"/>
    <s v="Indigo"/>
    <x v="3"/>
    <n v="4.7"/>
    <s v="No"/>
    <x v="5"/>
    <s v="No"/>
    <n v="9"/>
    <x v="4"/>
    <s v="Every 3 Months"/>
    <n v="0.1"/>
    <n v="32.4"/>
    <n v="36"/>
    <s v="Bank Transfer"/>
    <s v="Normal"/>
    <s v="Good"/>
  </r>
  <r>
    <n v="2595"/>
    <n v="59"/>
    <x v="0"/>
    <x v="11"/>
    <x v="0"/>
    <n v="81"/>
    <x v="6"/>
    <x v="0"/>
    <s v="Indigo"/>
    <x v="3"/>
    <n v="3.6"/>
    <s v="No"/>
    <x v="1"/>
    <s v="No"/>
    <n v="25"/>
    <x v="1"/>
    <s v="Every 3 Months"/>
    <n v="0.1"/>
    <n v="72.900000000000006"/>
    <n v="81"/>
    <s v="Cash"/>
    <s v="Normal"/>
    <s v="Good"/>
  </r>
  <r>
    <n v="2596"/>
    <n v="29"/>
    <x v="0"/>
    <x v="0"/>
    <x v="0"/>
    <n v="56"/>
    <x v="44"/>
    <x v="3"/>
    <s v="Maroon"/>
    <x v="2"/>
    <n v="3.2"/>
    <s v="No"/>
    <x v="1"/>
    <s v="No"/>
    <n v="3"/>
    <x v="4"/>
    <s v="Bi-Weekly"/>
    <n v="0.1"/>
    <n v="50.4"/>
    <n v="56"/>
    <s v="Bank Transfer"/>
    <s v="Normal"/>
    <s v="Good"/>
  </r>
  <r>
    <n v="2597"/>
    <n v="63"/>
    <x v="0"/>
    <x v="5"/>
    <x v="0"/>
    <n v="78"/>
    <x v="7"/>
    <x v="0"/>
    <s v="Black"/>
    <x v="1"/>
    <n v="3"/>
    <s v="No"/>
    <x v="2"/>
    <s v="No"/>
    <n v="35"/>
    <x v="2"/>
    <s v="Monthly"/>
    <n v="0.1"/>
    <n v="70.2"/>
    <n v="78"/>
    <s v="Credit Card"/>
    <s v="Normal"/>
    <s v="Good"/>
  </r>
  <r>
    <n v="2598"/>
    <n v="60"/>
    <x v="0"/>
    <x v="16"/>
    <x v="3"/>
    <n v="25"/>
    <x v="15"/>
    <x v="3"/>
    <s v="Teal"/>
    <x v="2"/>
    <n v="4.4000000000000004"/>
    <s v="No"/>
    <x v="5"/>
    <s v="No"/>
    <n v="13"/>
    <x v="0"/>
    <s v="Bi-Weekly"/>
    <n v="0.1"/>
    <n v="22.5"/>
    <n v="25"/>
    <s v="Venmo"/>
    <s v="Normal"/>
    <s v="Good"/>
  </r>
  <r>
    <n v="2599"/>
    <n v="64"/>
    <x v="0"/>
    <x v="21"/>
    <x v="3"/>
    <n v="86"/>
    <x v="22"/>
    <x v="3"/>
    <s v="Olive"/>
    <x v="3"/>
    <n v="3.3"/>
    <s v="No"/>
    <x v="0"/>
    <s v="No"/>
    <n v="31"/>
    <x v="5"/>
    <s v="Annually"/>
    <n v="0.1"/>
    <n v="77.400000000000006"/>
    <n v="86"/>
    <s v="Debit Card"/>
    <s v="Normal"/>
    <s v="Good"/>
  </r>
  <r>
    <n v="2600"/>
    <n v="63"/>
    <x v="0"/>
    <x v="16"/>
    <x v="3"/>
    <n v="99"/>
    <x v="34"/>
    <x v="2"/>
    <s v="Gold"/>
    <x v="0"/>
    <n v="3.4"/>
    <s v="No"/>
    <x v="0"/>
    <s v="No"/>
    <n v="48"/>
    <x v="2"/>
    <s v="Monthly"/>
    <n v="0.1"/>
    <n v="89.1"/>
    <n v="99"/>
    <s v="Credit Card"/>
    <s v="Normal"/>
    <s v="Good"/>
  </r>
  <r>
    <n v="2601"/>
    <n v="21"/>
    <x v="0"/>
    <x v="22"/>
    <x v="3"/>
    <n v="83"/>
    <x v="14"/>
    <x v="2"/>
    <s v="Gray"/>
    <x v="3"/>
    <n v="3.9"/>
    <s v="No"/>
    <x v="0"/>
    <s v="No"/>
    <n v="6"/>
    <x v="4"/>
    <s v="Bi-Weekly"/>
    <n v="0.1"/>
    <n v="74.7"/>
    <n v="83"/>
    <s v="Bank Transfer"/>
    <s v="Normal"/>
    <s v="Good"/>
  </r>
  <r>
    <n v="2602"/>
    <n v="61"/>
    <x v="0"/>
    <x v="10"/>
    <x v="0"/>
    <n v="33"/>
    <x v="16"/>
    <x v="0"/>
    <s v="Orange"/>
    <x v="0"/>
    <n v="2.9"/>
    <s v="No"/>
    <x v="5"/>
    <s v="No"/>
    <n v="43"/>
    <x v="1"/>
    <s v="Monthly"/>
    <n v="0.1"/>
    <n v="29.7"/>
    <n v="33"/>
    <s v="Cash"/>
    <s v="Normal"/>
    <s v="Poor"/>
  </r>
  <r>
    <n v="2603"/>
    <n v="65"/>
    <x v="0"/>
    <x v="7"/>
    <x v="2"/>
    <n v="44"/>
    <x v="36"/>
    <x v="2"/>
    <s v="Black"/>
    <x v="3"/>
    <n v="2.9"/>
    <s v="No"/>
    <x v="1"/>
    <s v="No"/>
    <n v="1"/>
    <x v="0"/>
    <s v="Quarterly"/>
    <n v="0.1"/>
    <n v="39.6"/>
    <n v="44"/>
    <s v="Venmo"/>
    <s v="Normal"/>
    <s v="Poor"/>
  </r>
  <r>
    <n v="2604"/>
    <n v="69"/>
    <x v="0"/>
    <x v="10"/>
    <x v="0"/>
    <n v="58"/>
    <x v="47"/>
    <x v="2"/>
    <s v="Teal"/>
    <x v="1"/>
    <n v="2.7"/>
    <s v="No"/>
    <x v="4"/>
    <s v="No"/>
    <n v="8"/>
    <x v="1"/>
    <s v="Annually"/>
    <n v="0.1"/>
    <n v="52.2"/>
    <n v="58"/>
    <s v="Cash"/>
    <s v="Normal"/>
    <s v="Poor"/>
  </r>
  <r>
    <n v="2605"/>
    <n v="47"/>
    <x v="0"/>
    <x v="1"/>
    <x v="0"/>
    <n v="54"/>
    <x v="24"/>
    <x v="2"/>
    <s v="Beige"/>
    <x v="1"/>
    <n v="3.4"/>
    <s v="No"/>
    <x v="5"/>
    <s v="No"/>
    <n v="6"/>
    <x v="5"/>
    <s v="Weekly"/>
    <n v="0.1"/>
    <n v="48.6"/>
    <n v="54"/>
    <s v="Debit Card"/>
    <s v="Normal"/>
    <s v="Good"/>
  </r>
  <r>
    <n v="2606"/>
    <n v="41"/>
    <x v="0"/>
    <x v="15"/>
    <x v="0"/>
    <n v="93"/>
    <x v="22"/>
    <x v="2"/>
    <s v="White"/>
    <x v="1"/>
    <n v="3.7"/>
    <s v="No"/>
    <x v="4"/>
    <s v="No"/>
    <n v="32"/>
    <x v="0"/>
    <s v="Fortnightly"/>
    <n v="0.1"/>
    <n v="83.7"/>
    <n v="93"/>
    <s v="Venmo"/>
    <s v="Normal"/>
    <s v="Good"/>
  </r>
  <r>
    <n v="2607"/>
    <n v="68"/>
    <x v="0"/>
    <x v="9"/>
    <x v="1"/>
    <n v="98"/>
    <x v="22"/>
    <x v="0"/>
    <s v="Turquoise"/>
    <x v="1"/>
    <n v="4.7"/>
    <s v="No"/>
    <x v="3"/>
    <s v="No"/>
    <n v="46"/>
    <x v="4"/>
    <s v="Bi-Weekly"/>
    <n v="0.1"/>
    <n v="88.2"/>
    <n v="98"/>
    <s v="Bank Transfer"/>
    <s v="Normal"/>
    <s v="Good"/>
  </r>
  <r>
    <n v="2608"/>
    <n v="41"/>
    <x v="0"/>
    <x v="9"/>
    <x v="1"/>
    <n v="36"/>
    <x v="19"/>
    <x v="3"/>
    <s v="Teal"/>
    <x v="1"/>
    <n v="3.1"/>
    <s v="No"/>
    <x v="0"/>
    <s v="No"/>
    <n v="38"/>
    <x v="3"/>
    <s v="Every 3 Months"/>
    <n v="0.1"/>
    <n v="32.4"/>
    <n v="36"/>
    <s v="PayPal"/>
    <s v="Normal"/>
    <s v="Good"/>
  </r>
  <r>
    <n v="2609"/>
    <n v="42"/>
    <x v="0"/>
    <x v="14"/>
    <x v="2"/>
    <n v="68"/>
    <x v="16"/>
    <x v="0"/>
    <s v="Orange"/>
    <x v="3"/>
    <n v="4.2"/>
    <s v="No"/>
    <x v="4"/>
    <s v="No"/>
    <n v="48"/>
    <x v="2"/>
    <s v="Fortnightly"/>
    <n v="0.1"/>
    <n v="61.2"/>
    <n v="68"/>
    <s v="Credit Card"/>
    <s v="Normal"/>
    <s v="Good"/>
  </r>
  <r>
    <n v="2610"/>
    <n v="66"/>
    <x v="0"/>
    <x v="21"/>
    <x v="3"/>
    <n v="95"/>
    <x v="10"/>
    <x v="2"/>
    <s v="Black"/>
    <x v="2"/>
    <n v="3"/>
    <s v="No"/>
    <x v="5"/>
    <s v="No"/>
    <n v="18"/>
    <x v="5"/>
    <s v="Bi-Weekly"/>
    <n v="0.1"/>
    <n v="85.5"/>
    <n v="95"/>
    <s v="Debit Card"/>
    <s v="Normal"/>
    <s v="Good"/>
  </r>
  <r>
    <n v="2611"/>
    <n v="66"/>
    <x v="0"/>
    <x v="2"/>
    <x v="0"/>
    <n v="93"/>
    <x v="8"/>
    <x v="2"/>
    <s v="Violet"/>
    <x v="1"/>
    <n v="3.1"/>
    <s v="No"/>
    <x v="0"/>
    <s v="No"/>
    <n v="25"/>
    <x v="1"/>
    <s v="Quarterly"/>
    <n v="0.1"/>
    <n v="83.7"/>
    <n v="93"/>
    <s v="Cash"/>
    <s v="Normal"/>
    <s v="Good"/>
  </r>
  <r>
    <n v="2612"/>
    <n v="33"/>
    <x v="0"/>
    <x v="14"/>
    <x v="2"/>
    <n v="99"/>
    <x v="49"/>
    <x v="0"/>
    <s v="Maroon"/>
    <x v="3"/>
    <n v="4.2"/>
    <s v="No"/>
    <x v="4"/>
    <s v="No"/>
    <n v="4"/>
    <x v="1"/>
    <s v="Fortnightly"/>
    <n v="0.1"/>
    <n v="89.1"/>
    <n v="99"/>
    <s v="Cash"/>
    <s v="Normal"/>
    <s v="Good"/>
  </r>
  <r>
    <n v="2613"/>
    <n v="55"/>
    <x v="0"/>
    <x v="12"/>
    <x v="3"/>
    <n v="22"/>
    <x v="7"/>
    <x v="2"/>
    <s v="Turquoise"/>
    <x v="0"/>
    <n v="3.8"/>
    <s v="No"/>
    <x v="2"/>
    <s v="No"/>
    <n v="27"/>
    <x v="0"/>
    <s v="Quarterly"/>
    <n v="0.1"/>
    <n v="19.8"/>
    <n v="22"/>
    <s v="Venmo"/>
    <s v="Normal"/>
    <s v="Good"/>
  </r>
  <r>
    <n v="2614"/>
    <n v="58"/>
    <x v="0"/>
    <x v="24"/>
    <x v="3"/>
    <n v="88"/>
    <x v="45"/>
    <x v="2"/>
    <s v="Gold"/>
    <x v="3"/>
    <n v="2.9"/>
    <s v="No"/>
    <x v="0"/>
    <s v="No"/>
    <n v="14"/>
    <x v="4"/>
    <s v="Monthly"/>
    <n v="0.1"/>
    <n v="79.2"/>
    <n v="88"/>
    <s v="Bank Transfer"/>
    <s v="Normal"/>
    <s v="Poor"/>
  </r>
  <r>
    <n v="2615"/>
    <n v="18"/>
    <x v="0"/>
    <x v="14"/>
    <x v="2"/>
    <n v="65"/>
    <x v="25"/>
    <x v="2"/>
    <s v="Turquoise"/>
    <x v="1"/>
    <n v="4.2"/>
    <s v="No"/>
    <x v="0"/>
    <s v="No"/>
    <n v="36"/>
    <x v="4"/>
    <s v="Fortnightly"/>
    <n v="0.1"/>
    <n v="58.5"/>
    <n v="65"/>
    <s v="Bank Transfer"/>
    <s v="Normal"/>
    <s v="Good"/>
  </r>
  <r>
    <n v="2616"/>
    <n v="49"/>
    <x v="0"/>
    <x v="17"/>
    <x v="0"/>
    <n v="62"/>
    <x v="28"/>
    <x v="2"/>
    <s v="Maroon"/>
    <x v="3"/>
    <n v="3.1"/>
    <s v="No"/>
    <x v="4"/>
    <s v="No"/>
    <n v="6"/>
    <x v="5"/>
    <s v="Quarterly"/>
    <n v="0.1"/>
    <n v="55.8"/>
    <n v="62"/>
    <s v="Debit Card"/>
    <s v="Normal"/>
    <s v="Good"/>
  </r>
  <r>
    <n v="2617"/>
    <n v="61"/>
    <x v="0"/>
    <x v="3"/>
    <x v="1"/>
    <n v="55"/>
    <x v="42"/>
    <x v="3"/>
    <s v="Purple"/>
    <x v="1"/>
    <n v="3.6"/>
    <s v="No"/>
    <x v="0"/>
    <s v="No"/>
    <n v="46"/>
    <x v="1"/>
    <s v="Annually"/>
    <n v="0.1"/>
    <n v="49.5"/>
    <n v="55"/>
    <s v="Cash"/>
    <s v="Normal"/>
    <s v="Good"/>
  </r>
  <r>
    <n v="2618"/>
    <n v="31"/>
    <x v="0"/>
    <x v="6"/>
    <x v="0"/>
    <n v="97"/>
    <x v="37"/>
    <x v="1"/>
    <s v="Maroon"/>
    <x v="1"/>
    <n v="4.8"/>
    <s v="No"/>
    <x v="3"/>
    <s v="No"/>
    <n v="29"/>
    <x v="4"/>
    <s v="Annually"/>
    <n v="0.1"/>
    <n v="87.3"/>
    <n v="97"/>
    <s v="Bank Transfer"/>
    <s v="Normal"/>
    <s v="Good"/>
  </r>
  <r>
    <n v="2619"/>
    <n v="70"/>
    <x v="0"/>
    <x v="8"/>
    <x v="3"/>
    <n v="77"/>
    <x v="7"/>
    <x v="0"/>
    <s v="Brown"/>
    <x v="3"/>
    <n v="4.0999999999999996"/>
    <s v="No"/>
    <x v="0"/>
    <s v="No"/>
    <n v="12"/>
    <x v="0"/>
    <s v="Monthly"/>
    <n v="0.1"/>
    <n v="69.3"/>
    <n v="77"/>
    <s v="Venmo"/>
    <s v="Normal"/>
    <s v="Good"/>
  </r>
  <r>
    <n v="2620"/>
    <n v="68"/>
    <x v="0"/>
    <x v="13"/>
    <x v="0"/>
    <n v="40"/>
    <x v="39"/>
    <x v="0"/>
    <s v="Indigo"/>
    <x v="0"/>
    <n v="3.9"/>
    <s v="No"/>
    <x v="1"/>
    <s v="No"/>
    <n v="47"/>
    <x v="2"/>
    <s v="Weekly"/>
    <n v="0.1"/>
    <n v="36"/>
    <n v="40"/>
    <s v="Credit Card"/>
    <s v="Normal"/>
    <s v="Good"/>
  </r>
  <r>
    <n v="2621"/>
    <n v="27"/>
    <x v="0"/>
    <x v="0"/>
    <x v="0"/>
    <n v="23"/>
    <x v="31"/>
    <x v="1"/>
    <s v="Lavender"/>
    <x v="0"/>
    <n v="3"/>
    <s v="No"/>
    <x v="3"/>
    <s v="No"/>
    <n v="28"/>
    <x v="5"/>
    <s v="Annually"/>
    <n v="0.1"/>
    <n v="20.7"/>
    <n v="23"/>
    <s v="Debit Card"/>
    <s v="Normal"/>
    <s v="Good"/>
  </r>
  <r>
    <n v="2622"/>
    <n v="48"/>
    <x v="0"/>
    <x v="9"/>
    <x v="1"/>
    <n v="46"/>
    <x v="1"/>
    <x v="2"/>
    <s v="Beige"/>
    <x v="0"/>
    <n v="3"/>
    <s v="No"/>
    <x v="0"/>
    <s v="No"/>
    <n v="21"/>
    <x v="4"/>
    <s v="Annually"/>
    <n v="0.1"/>
    <n v="41.4"/>
    <n v="46"/>
    <s v="Bank Transfer"/>
    <s v="Normal"/>
    <s v="Good"/>
  </r>
  <r>
    <n v="2623"/>
    <n v="63"/>
    <x v="0"/>
    <x v="21"/>
    <x v="3"/>
    <n v="75"/>
    <x v="13"/>
    <x v="2"/>
    <s v="Yellow"/>
    <x v="1"/>
    <n v="4.9000000000000004"/>
    <s v="No"/>
    <x v="4"/>
    <s v="No"/>
    <n v="15"/>
    <x v="2"/>
    <s v="Annually"/>
    <n v="0.1"/>
    <n v="67.5"/>
    <n v="75"/>
    <s v="Credit Card"/>
    <s v="Normal"/>
    <s v="Good"/>
  </r>
  <r>
    <n v="2624"/>
    <n v="49"/>
    <x v="0"/>
    <x v="9"/>
    <x v="1"/>
    <n v="76"/>
    <x v="2"/>
    <x v="2"/>
    <s v="Gold"/>
    <x v="3"/>
    <n v="4.8"/>
    <s v="No"/>
    <x v="2"/>
    <s v="No"/>
    <n v="38"/>
    <x v="1"/>
    <s v="Annually"/>
    <n v="0.1"/>
    <n v="68.400000000000006"/>
    <n v="76"/>
    <s v="Cash"/>
    <s v="Normal"/>
    <s v="Good"/>
  </r>
  <r>
    <n v="2625"/>
    <n v="19"/>
    <x v="0"/>
    <x v="10"/>
    <x v="0"/>
    <n v="59"/>
    <x v="45"/>
    <x v="2"/>
    <s v="Indigo"/>
    <x v="2"/>
    <n v="3.3"/>
    <s v="No"/>
    <x v="3"/>
    <s v="No"/>
    <n v="19"/>
    <x v="2"/>
    <s v="Annually"/>
    <n v="0.1"/>
    <n v="53.1"/>
    <n v="59"/>
    <s v="Credit Card"/>
    <s v="Normal"/>
    <s v="Good"/>
  </r>
  <r>
    <n v="2626"/>
    <n v="30"/>
    <x v="0"/>
    <x v="11"/>
    <x v="0"/>
    <n v="51"/>
    <x v="24"/>
    <x v="0"/>
    <s v="Cyan"/>
    <x v="2"/>
    <n v="2.7"/>
    <s v="No"/>
    <x v="3"/>
    <s v="No"/>
    <n v="31"/>
    <x v="2"/>
    <s v="Weekly"/>
    <n v="0.1"/>
    <n v="45.9"/>
    <n v="51"/>
    <s v="Credit Card"/>
    <s v="Normal"/>
    <s v="Poor"/>
  </r>
  <r>
    <n v="2627"/>
    <n v="50"/>
    <x v="0"/>
    <x v="14"/>
    <x v="2"/>
    <n v="46"/>
    <x v="3"/>
    <x v="3"/>
    <s v="Silver"/>
    <x v="3"/>
    <n v="4.2"/>
    <s v="No"/>
    <x v="0"/>
    <s v="No"/>
    <n v="30"/>
    <x v="2"/>
    <s v="Every 3 Months"/>
    <n v="0.1"/>
    <n v="41.4"/>
    <n v="46"/>
    <s v="Credit Card"/>
    <s v="Normal"/>
    <s v="Good"/>
  </r>
  <r>
    <n v="2628"/>
    <n v="66"/>
    <x v="0"/>
    <x v="5"/>
    <x v="0"/>
    <n v="26"/>
    <x v="9"/>
    <x v="0"/>
    <s v="Silver"/>
    <x v="3"/>
    <n v="3.6"/>
    <s v="No"/>
    <x v="2"/>
    <s v="No"/>
    <n v="40"/>
    <x v="4"/>
    <s v="Quarterly"/>
    <n v="0.1"/>
    <n v="23.4"/>
    <n v="26"/>
    <s v="Bank Transfer"/>
    <s v="Normal"/>
    <s v="Good"/>
  </r>
  <r>
    <n v="2629"/>
    <n v="25"/>
    <x v="0"/>
    <x v="15"/>
    <x v="0"/>
    <n v="51"/>
    <x v="5"/>
    <x v="2"/>
    <s v="Silver"/>
    <x v="2"/>
    <n v="3.8"/>
    <s v="No"/>
    <x v="2"/>
    <s v="No"/>
    <n v="42"/>
    <x v="2"/>
    <s v="Bi-Weekly"/>
    <n v="0.1"/>
    <n v="45.9"/>
    <n v="51"/>
    <s v="Credit Card"/>
    <s v="Normal"/>
    <s v="Good"/>
  </r>
  <r>
    <n v="2630"/>
    <n v="61"/>
    <x v="0"/>
    <x v="18"/>
    <x v="3"/>
    <n v="44"/>
    <x v="13"/>
    <x v="2"/>
    <s v="Peach"/>
    <x v="0"/>
    <n v="3.8"/>
    <s v="No"/>
    <x v="1"/>
    <s v="No"/>
    <n v="25"/>
    <x v="0"/>
    <s v="Annually"/>
    <n v="0.1"/>
    <n v="39.6"/>
    <n v="44"/>
    <s v="Venmo"/>
    <s v="Normal"/>
    <s v="Good"/>
  </r>
  <r>
    <n v="2631"/>
    <n v="29"/>
    <x v="0"/>
    <x v="11"/>
    <x v="0"/>
    <n v="82"/>
    <x v="1"/>
    <x v="1"/>
    <s v="Pink"/>
    <x v="1"/>
    <n v="4.2"/>
    <s v="No"/>
    <x v="1"/>
    <s v="No"/>
    <n v="20"/>
    <x v="1"/>
    <s v="Quarterly"/>
    <n v="0.1"/>
    <n v="73.8"/>
    <n v="82"/>
    <s v="Cash"/>
    <s v="Normal"/>
    <s v="Good"/>
  </r>
  <r>
    <n v="2632"/>
    <n v="53"/>
    <x v="0"/>
    <x v="11"/>
    <x v="0"/>
    <n v="44"/>
    <x v="39"/>
    <x v="1"/>
    <s v="Violet"/>
    <x v="2"/>
    <n v="2.7"/>
    <s v="No"/>
    <x v="0"/>
    <s v="No"/>
    <n v="3"/>
    <x v="1"/>
    <s v="Weekly"/>
    <n v="0.1"/>
    <n v="39.6"/>
    <n v="44"/>
    <s v="Cash"/>
    <s v="Normal"/>
    <s v="Poor"/>
  </r>
  <r>
    <n v="2633"/>
    <n v="24"/>
    <x v="0"/>
    <x v="18"/>
    <x v="3"/>
    <n v="27"/>
    <x v="29"/>
    <x v="2"/>
    <s v="Black"/>
    <x v="3"/>
    <n v="5"/>
    <s v="No"/>
    <x v="2"/>
    <s v="No"/>
    <n v="14"/>
    <x v="1"/>
    <s v="Annually"/>
    <n v="0.1"/>
    <n v="24.3"/>
    <n v="27"/>
    <s v="Cash"/>
    <s v="Normal"/>
    <s v="Good"/>
  </r>
  <r>
    <n v="2634"/>
    <n v="51"/>
    <x v="0"/>
    <x v="12"/>
    <x v="3"/>
    <n v="90"/>
    <x v="29"/>
    <x v="2"/>
    <s v="Purple"/>
    <x v="3"/>
    <n v="4.7"/>
    <s v="No"/>
    <x v="2"/>
    <s v="No"/>
    <n v="32"/>
    <x v="2"/>
    <s v="Fortnightly"/>
    <n v="0.1"/>
    <n v="81"/>
    <n v="90"/>
    <s v="Credit Card"/>
    <s v="Normal"/>
    <s v="Good"/>
  </r>
  <r>
    <n v="2635"/>
    <n v="26"/>
    <x v="0"/>
    <x v="3"/>
    <x v="1"/>
    <n v="58"/>
    <x v="17"/>
    <x v="1"/>
    <s v="Black"/>
    <x v="2"/>
    <n v="3.2"/>
    <s v="No"/>
    <x v="5"/>
    <s v="No"/>
    <n v="20"/>
    <x v="3"/>
    <s v="Every 3 Months"/>
    <n v="0.1"/>
    <n v="52.2"/>
    <n v="58"/>
    <s v="PayPal"/>
    <s v="Normal"/>
    <s v="Good"/>
  </r>
  <r>
    <n v="2636"/>
    <n v="59"/>
    <x v="0"/>
    <x v="15"/>
    <x v="0"/>
    <n v="80"/>
    <x v="24"/>
    <x v="3"/>
    <s v="Peach"/>
    <x v="1"/>
    <n v="2.9"/>
    <s v="No"/>
    <x v="4"/>
    <s v="No"/>
    <n v="34"/>
    <x v="3"/>
    <s v="Fortnightly"/>
    <n v="0.1"/>
    <n v="72"/>
    <n v="80"/>
    <s v="PayPal"/>
    <s v="Normal"/>
    <s v="Poor"/>
  </r>
  <r>
    <n v="2637"/>
    <n v="41"/>
    <x v="0"/>
    <x v="14"/>
    <x v="2"/>
    <n v="40"/>
    <x v="40"/>
    <x v="1"/>
    <s v="Magenta"/>
    <x v="0"/>
    <n v="4.2"/>
    <s v="No"/>
    <x v="5"/>
    <s v="No"/>
    <n v="6"/>
    <x v="0"/>
    <s v="Annually"/>
    <n v="0.1"/>
    <n v="36"/>
    <n v="40"/>
    <s v="Venmo"/>
    <s v="Normal"/>
    <s v="Good"/>
  </r>
  <r>
    <n v="2638"/>
    <n v="20"/>
    <x v="0"/>
    <x v="13"/>
    <x v="0"/>
    <n v="23"/>
    <x v="15"/>
    <x v="2"/>
    <s v="Magenta"/>
    <x v="1"/>
    <n v="3.7"/>
    <s v="No"/>
    <x v="5"/>
    <s v="No"/>
    <n v="2"/>
    <x v="3"/>
    <s v="Annually"/>
    <n v="0.1"/>
    <n v="20.7"/>
    <n v="23"/>
    <s v="PayPal"/>
    <s v="Normal"/>
    <s v="Good"/>
  </r>
  <r>
    <n v="2639"/>
    <n v="22"/>
    <x v="0"/>
    <x v="5"/>
    <x v="0"/>
    <n v="34"/>
    <x v="11"/>
    <x v="1"/>
    <s v="Black"/>
    <x v="1"/>
    <n v="4.2"/>
    <s v="No"/>
    <x v="5"/>
    <s v="No"/>
    <n v="35"/>
    <x v="2"/>
    <s v="Annually"/>
    <n v="0.1"/>
    <n v="30.6"/>
    <n v="34"/>
    <s v="Credit Card"/>
    <s v="Normal"/>
    <s v="Good"/>
  </r>
  <r>
    <n v="2640"/>
    <n v="18"/>
    <x v="0"/>
    <x v="0"/>
    <x v="0"/>
    <n v="35"/>
    <x v="13"/>
    <x v="3"/>
    <s v="Pink"/>
    <x v="0"/>
    <n v="2.6"/>
    <s v="No"/>
    <x v="1"/>
    <s v="No"/>
    <n v="33"/>
    <x v="5"/>
    <s v="Quarterly"/>
    <n v="0.1"/>
    <n v="31.5"/>
    <n v="35"/>
    <s v="Debit Card"/>
    <s v="Normal"/>
    <s v="Poor"/>
  </r>
  <r>
    <n v="2641"/>
    <n v="30"/>
    <x v="0"/>
    <x v="11"/>
    <x v="0"/>
    <n v="75"/>
    <x v="27"/>
    <x v="0"/>
    <s v="Olive"/>
    <x v="2"/>
    <n v="4"/>
    <s v="No"/>
    <x v="5"/>
    <s v="No"/>
    <n v="45"/>
    <x v="0"/>
    <s v="Bi-Weekly"/>
    <n v="0.1"/>
    <n v="67.5"/>
    <n v="75"/>
    <s v="Venmo"/>
    <s v="Normal"/>
    <s v="Good"/>
  </r>
  <r>
    <n v="2642"/>
    <n v="25"/>
    <x v="0"/>
    <x v="12"/>
    <x v="3"/>
    <n v="60"/>
    <x v="34"/>
    <x v="3"/>
    <s v="Olive"/>
    <x v="0"/>
    <n v="2.7"/>
    <s v="No"/>
    <x v="2"/>
    <s v="No"/>
    <n v="20"/>
    <x v="4"/>
    <s v="Every 3 Months"/>
    <n v="0.1"/>
    <n v="54"/>
    <n v="60"/>
    <s v="Bank Transfer"/>
    <s v="Normal"/>
    <s v="Poor"/>
  </r>
  <r>
    <n v="2643"/>
    <n v="39"/>
    <x v="0"/>
    <x v="22"/>
    <x v="3"/>
    <n v="87"/>
    <x v="44"/>
    <x v="0"/>
    <s v="Peach"/>
    <x v="2"/>
    <n v="4"/>
    <s v="No"/>
    <x v="5"/>
    <s v="No"/>
    <n v="48"/>
    <x v="4"/>
    <s v="Annually"/>
    <n v="0.1"/>
    <n v="78.3"/>
    <n v="87"/>
    <s v="Bank Transfer"/>
    <s v="Normal"/>
    <s v="Good"/>
  </r>
  <r>
    <n v="2644"/>
    <n v="49"/>
    <x v="0"/>
    <x v="24"/>
    <x v="3"/>
    <n v="41"/>
    <x v="33"/>
    <x v="1"/>
    <s v="Silver"/>
    <x v="1"/>
    <n v="2.9"/>
    <s v="No"/>
    <x v="2"/>
    <s v="No"/>
    <n v="37"/>
    <x v="1"/>
    <s v="Monthly"/>
    <n v="0.1"/>
    <n v="36.9"/>
    <n v="41"/>
    <s v="Cash"/>
    <s v="Normal"/>
    <s v="Poor"/>
  </r>
  <r>
    <n v="2645"/>
    <n v="25"/>
    <x v="0"/>
    <x v="13"/>
    <x v="0"/>
    <n v="83"/>
    <x v="35"/>
    <x v="2"/>
    <s v="Turquoise"/>
    <x v="1"/>
    <n v="3.3"/>
    <s v="No"/>
    <x v="3"/>
    <s v="No"/>
    <n v="4"/>
    <x v="4"/>
    <s v="Every 3 Months"/>
    <n v="0.1"/>
    <n v="74.7"/>
    <n v="83"/>
    <s v="Bank Transfer"/>
    <s v="Normal"/>
    <s v="Good"/>
  </r>
  <r>
    <n v="2646"/>
    <n v="23"/>
    <x v="0"/>
    <x v="18"/>
    <x v="3"/>
    <n v="81"/>
    <x v="7"/>
    <x v="0"/>
    <s v="Olive"/>
    <x v="1"/>
    <n v="4"/>
    <s v="No"/>
    <x v="5"/>
    <s v="No"/>
    <n v="24"/>
    <x v="4"/>
    <s v="Bi-Weekly"/>
    <n v="0.1"/>
    <n v="72.900000000000006"/>
    <n v="81"/>
    <s v="Bank Transfer"/>
    <s v="Normal"/>
    <s v="Good"/>
  </r>
  <r>
    <n v="2647"/>
    <n v="33"/>
    <x v="0"/>
    <x v="17"/>
    <x v="0"/>
    <n v="56"/>
    <x v="35"/>
    <x v="1"/>
    <s v="Lavender"/>
    <x v="2"/>
    <n v="3.9"/>
    <s v="No"/>
    <x v="2"/>
    <s v="No"/>
    <n v="4"/>
    <x v="5"/>
    <s v="Every 3 Months"/>
    <n v="0.1"/>
    <n v="50.4"/>
    <n v="56"/>
    <s v="Debit Card"/>
    <s v="Normal"/>
    <s v="Good"/>
  </r>
  <r>
    <n v="2648"/>
    <n v="60"/>
    <x v="0"/>
    <x v="9"/>
    <x v="1"/>
    <n v="58"/>
    <x v="36"/>
    <x v="2"/>
    <s v="Red"/>
    <x v="2"/>
    <n v="3.3"/>
    <s v="No"/>
    <x v="4"/>
    <s v="No"/>
    <n v="25"/>
    <x v="5"/>
    <s v="Annually"/>
    <n v="0.1"/>
    <n v="52.2"/>
    <n v="58"/>
    <s v="Debit Card"/>
    <s v="Normal"/>
    <s v="Good"/>
  </r>
  <r>
    <n v="2649"/>
    <n v="51"/>
    <x v="0"/>
    <x v="13"/>
    <x v="0"/>
    <n v="84"/>
    <x v="26"/>
    <x v="2"/>
    <s v="Gray"/>
    <x v="1"/>
    <n v="3.9"/>
    <s v="No"/>
    <x v="2"/>
    <s v="No"/>
    <n v="14"/>
    <x v="3"/>
    <s v="Bi-Weekly"/>
    <n v="0.1"/>
    <n v="75.599999999999994"/>
    <n v="84"/>
    <s v="PayPal"/>
    <s v="Normal"/>
    <s v="Good"/>
  </r>
  <r>
    <n v="2650"/>
    <n v="23"/>
    <x v="0"/>
    <x v="24"/>
    <x v="3"/>
    <n v="21"/>
    <x v="46"/>
    <x v="2"/>
    <s v="Magenta"/>
    <x v="3"/>
    <n v="3.9"/>
    <s v="No"/>
    <x v="5"/>
    <s v="No"/>
    <n v="14"/>
    <x v="4"/>
    <s v="Fortnightly"/>
    <n v="0.1"/>
    <n v="18.899999999999999"/>
    <n v="21"/>
    <s v="Bank Transfer"/>
    <s v="Normal"/>
    <s v="Good"/>
  </r>
  <r>
    <n v="2651"/>
    <n v="20"/>
    <x v="0"/>
    <x v="20"/>
    <x v="0"/>
    <n v="35"/>
    <x v="4"/>
    <x v="0"/>
    <s v="Maroon"/>
    <x v="2"/>
    <n v="4.2"/>
    <s v="No"/>
    <x v="3"/>
    <s v="No"/>
    <n v="46"/>
    <x v="2"/>
    <s v="Every 3 Months"/>
    <n v="0.1"/>
    <n v="31.5"/>
    <n v="35"/>
    <s v="Credit Card"/>
    <s v="Normal"/>
    <s v="Good"/>
  </r>
  <r>
    <n v="2652"/>
    <n v="51"/>
    <x v="0"/>
    <x v="4"/>
    <x v="1"/>
    <n v="43"/>
    <x v="30"/>
    <x v="2"/>
    <s v="Cyan"/>
    <x v="2"/>
    <n v="4.5999999999999996"/>
    <s v="No"/>
    <x v="5"/>
    <s v="No"/>
    <n v="27"/>
    <x v="3"/>
    <s v="Quarterly"/>
    <n v="0.1"/>
    <n v="38.700000000000003"/>
    <n v="43"/>
    <s v="PayPal"/>
    <s v="Normal"/>
    <s v="Good"/>
  </r>
  <r>
    <n v="2653"/>
    <n v="23"/>
    <x v="1"/>
    <x v="6"/>
    <x v="0"/>
    <n v="20"/>
    <x v="33"/>
    <x v="0"/>
    <s v="Cyan"/>
    <x v="2"/>
    <n v="3.3"/>
    <s v="No"/>
    <x v="4"/>
    <s v="No"/>
    <n v="46"/>
    <x v="2"/>
    <s v="Monthly"/>
    <n v="0.1"/>
    <n v="18"/>
    <n v="20"/>
    <s v="Credit Card"/>
    <s v="Normal"/>
    <s v="Good"/>
  </r>
  <r>
    <n v="2654"/>
    <n v="67"/>
    <x v="1"/>
    <x v="0"/>
    <x v="0"/>
    <n v="36"/>
    <x v="48"/>
    <x v="0"/>
    <s v="Lavender"/>
    <x v="3"/>
    <n v="4.8"/>
    <s v="No"/>
    <x v="0"/>
    <s v="No"/>
    <n v="24"/>
    <x v="0"/>
    <s v="Every 3 Months"/>
    <n v="0.1"/>
    <n v="32.4"/>
    <n v="36"/>
    <s v="Venmo"/>
    <s v="Normal"/>
    <s v="Good"/>
  </r>
  <r>
    <n v="2655"/>
    <n v="23"/>
    <x v="1"/>
    <x v="7"/>
    <x v="2"/>
    <n v="70"/>
    <x v="37"/>
    <x v="1"/>
    <s v="Pink"/>
    <x v="3"/>
    <n v="4.0999999999999996"/>
    <s v="No"/>
    <x v="2"/>
    <s v="No"/>
    <n v="4"/>
    <x v="3"/>
    <s v="Annually"/>
    <n v="0.1"/>
    <n v="63"/>
    <n v="70"/>
    <s v="PayPal"/>
    <s v="Normal"/>
    <s v="Good"/>
  </r>
  <r>
    <n v="2656"/>
    <n v="26"/>
    <x v="1"/>
    <x v="12"/>
    <x v="3"/>
    <n v="83"/>
    <x v="5"/>
    <x v="2"/>
    <s v="Gray"/>
    <x v="2"/>
    <n v="3.4"/>
    <s v="No"/>
    <x v="3"/>
    <s v="No"/>
    <n v="2"/>
    <x v="2"/>
    <s v="Fortnightly"/>
    <n v="0.1"/>
    <n v="74.7"/>
    <n v="83"/>
    <s v="Credit Card"/>
    <s v="Normal"/>
    <s v="Good"/>
  </r>
  <r>
    <n v="2657"/>
    <n v="52"/>
    <x v="1"/>
    <x v="6"/>
    <x v="0"/>
    <n v="76"/>
    <x v="27"/>
    <x v="0"/>
    <s v="Yellow"/>
    <x v="0"/>
    <n v="3.6"/>
    <s v="No"/>
    <x v="0"/>
    <s v="No"/>
    <n v="29"/>
    <x v="4"/>
    <s v="Fortnightly"/>
    <n v="0.1"/>
    <n v="68.400000000000006"/>
    <n v="76"/>
    <s v="Bank Transfer"/>
    <s v="Normal"/>
    <s v="Good"/>
  </r>
  <r>
    <n v="2658"/>
    <n v="52"/>
    <x v="1"/>
    <x v="10"/>
    <x v="0"/>
    <n v="81"/>
    <x v="21"/>
    <x v="2"/>
    <s v="Pink"/>
    <x v="2"/>
    <n v="2.7"/>
    <s v="No"/>
    <x v="0"/>
    <s v="No"/>
    <n v="7"/>
    <x v="2"/>
    <s v="Fortnightly"/>
    <n v="0.1"/>
    <n v="72.900000000000006"/>
    <n v="81"/>
    <s v="Credit Card"/>
    <s v="Normal"/>
    <s v="Poor"/>
  </r>
  <r>
    <n v="2659"/>
    <n v="52"/>
    <x v="1"/>
    <x v="8"/>
    <x v="3"/>
    <n v="47"/>
    <x v="31"/>
    <x v="3"/>
    <s v="Indigo"/>
    <x v="2"/>
    <n v="3.2"/>
    <s v="No"/>
    <x v="2"/>
    <s v="No"/>
    <n v="39"/>
    <x v="3"/>
    <s v="Monthly"/>
    <n v="0.1"/>
    <n v="42.3"/>
    <n v="47"/>
    <s v="PayPal"/>
    <s v="Normal"/>
    <s v="Good"/>
  </r>
  <r>
    <n v="2660"/>
    <n v="35"/>
    <x v="1"/>
    <x v="23"/>
    <x v="1"/>
    <n v="35"/>
    <x v="23"/>
    <x v="0"/>
    <s v="Gray"/>
    <x v="2"/>
    <n v="4.4000000000000004"/>
    <s v="No"/>
    <x v="4"/>
    <s v="No"/>
    <n v="46"/>
    <x v="2"/>
    <s v="Fortnightly"/>
    <n v="0.1"/>
    <n v="31.5"/>
    <n v="35"/>
    <s v="Credit Card"/>
    <s v="Normal"/>
    <s v="Good"/>
  </r>
  <r>
    <n v="2661"/>
    <n v="24"/>
    <x v="1"/>
    <x v="13"/>
    <x v="0"/>
    <n v="85"/>
    <x v="36"/>
    <x v="0"/>
    <s v="Yellow"/>
    <x v="1"/>
    <n v="4.9000000000000004"/>
    <s v="No"/>
    <x v="0"/>
    <s v="No"/>
    <n v="44"/>
    <x v="0"/>
    <s v="Annually"/>
    <n v="0.1"/>
    <n v="76.5"/>
    <n v="85"/>
    <s v="Venmo"/>
    <s v="Normal"/>
    <s v="Good"/>
  </r>
  <r>
    <n v="2662"/>
    <n v="43"/>
    <x v="1"/>
    <x v="23"/>
    <x v="1"/>
    <n v="96"/>
    <x v="49"/>
    <x v="3"/>
    <s v="Olive"/>
    <x v="3"/>
    <n v="4.8"/>
    <s v="No"/>
    <x v="0"/>
    <s v="No"/>
    <n v="20"/>
    <x v="4"/>
    <s v="Annually"/>
    <n v="0.1"/>
    <n v="86.4"/>
    <n v="96"/>
    <s v="Bank Transfer"/>
    <s v="Normal"/>
    <s v="Good"/>
  </r>
  <r>
    <n v="2663"/>
    <n v="25"/>
    <x v="1"/>
    <x v="11"/>
    <x v="0"/>
    <n v="98"/>
    <x v="43"/>
    <x v="2"/>
    <s v="Cyan"/>
    <x v="2"/>
    <n v="2.8"/>
    <s v="No"/>
    <x v="4"/>
    <s v="No"/>
    <n v="44"/>
    <x v="3"/>
    <s v="Fortnightly"/>
    <n v="0.1"/>
    <n v="88.2"/>
    <n v="98"/>
    <s v="PayPal"/>
    <s v="Normal"/>
    <s v="Poor"/>
  </r>
  <r>
    <n v="2664"/>
    <n v="46"/>
    <x v="1"/>
    <x v="4"/>
    <x v="1"/>
    <n v="52"/>
    <x v="48"/>
    <x v="0"/>
    <s v="Silver"/>
    <x v="3"/>
    <n v="2.9"/>
    <s v="No"/>
    <x v="1"/>
    <s v="No"/>
    <n v="23"/>
    <x v="4"/>
    <s v="Annually"/>
    <n v="0.1"/>
    <n v="46.8"/>
    <n v="52"/>
    <s v="Bank Transfer"/>
    <s v="Normal"/>
    <s v="Poor"/>
  </r>
  <r>
    <n v="2665"/>
    <n v="22"/>
    <x v="1"/>
    <x v="16"/>
    <x v="3"/>
    <n v="84"/>
    <x v="26"/>
    <x v="0"/>
    <s v="Silver"/>
    <x v="0"/>
    <n v="3.2"/>
    <s v="No"/>
    <x v="5"/>
    <s v="No"/>
    <n v="37"/>
    <x v="3"/>
    <s v="Weekly"/>
    <n v="0.1"/>
    <n v="75.599999999999994"/>
    <n v="84"/>
    <s v="PayPal"/>
    <s v="Normal"/>
    <s v="Good"/>
  </r>
  <r>
    <n v="2666"/>
    <n v="70"/>
    <x v="1"/>
    <x v="17"/>
    <x v="0"/>
    <n v="71"/>
    <x v="7"/>
    <x v="0"/>
    <s v="Red"/>
    <x v="0"/>
    <n v="3.5"/>
    <s v="No"/>
    <x v="5"/>
    <s v="No"/>
    <n v="4"/>
    <x v="0"/>
    <s v="Weekly"/>
    <n v="0.1"/>
    <n v="63.9"/>
    <n v="71"/>
    <s v="Venmo"/>
    <s v="Normal"/>
    <s v="Good"/>
  </r>
  <r>
    <n v="2667"/>
    <n v="49"/>
    <x v="1"/>
    <x v="3"/>
    <x v="1"/>
    <n v="95"/>
    <x v="31"/>
    <x v="1"/>
    <s v="Brown"/>
    <x v="0"/>
    <n v="4.0999999999999996"/>
    <s v="No"/>
    <x v="5"/>
    <s v="No"/>
    <n v="14"/>
    <x v="0"/>
    <s v="Fortnightly"/>
    <n v="0.1"/>
    <n v="85.5"/>
    <n v="95"/>
    <s v="Venmo"/>
    <s v="Normal"/>
    <s v="Good"/>
  </r>
  <r>
    <n v="2668"/>
    <n v="48"/>
    <x v="1"/>
    <x v="23"/>
    <x v="1"/>
    <n v="47"/>
    <x v="33"/>
    <x v="2"/>
    <s v="Orange"/>
    <x v="2"/>
    <n v="4.0999999999999996"/>
    <s v="No"/>
    <x v="1"/>
    <s v="No"/>
    <n v="31"/>
    <x v="1"/>
    <s v="Fortnightly"/>
    <n v="0.1"/>
    <n v="42.3"/>
    <n v="47"/>
    <s v="Cash"/>
    <s v="Normal"/>
    <s v="Good"/>
  </r>
  <r>
    <n v="2669"/>
    <n v="59"/>
    <x v="1"/>
    <x v="7"/>
    <x v="2"/>
    <n v="75"/>
    <x v="21"/>
    <x v="2"/>
    <s v="Black"/>
    <x v="2"/>
    <n v="4.8"/>
    <s v="No"/>
    <x v="2"/>
    <s v="No"/>
    <n v="9"/>
    <x v="3"/>
    <s v="Quarterly"/>
    <n v="0.1"/>
    <n v="67.5"/>
    <n v="75"/>
    <s v="PayPal"/>
    <s v="Normal"/>
    <s v="Good"/>
  </r>
  <r>
    <n v="2670"/>
    <n v="39"/>
    <x v="1"/>
    <x v="22"/>
    <x v="3"/>
    <n v="28"/>
    <x v="26"/>
    <x v="0"/>
    <s v="Teal"/>
    <x v="1"/>
    <n v="2.8"/>
    <s v="No"/>
    <x v="1"/>
    <s v="No"/>
    <n v="31"/>
    <x v="2"/>
    <s v="Weekly"/>
    <n v="0.1"/>
    <n v="25.2"/>
    <n v="28"/>
    <s v="Credit Card"/>
    <s v="Normal"/>
    <s v="Poor"/>
  </r>
  <r>
    <n v="2671"/>
    <n v="30"/>
    <x v="1"/>
    <x v="12"/>
    <x v="3"/>
    <n v="44"/>
    <x v="38"/>
    <x v="2"/>
    <s v="Yellow"/>
    <x v="3"/>
    <n v="4.7"/>
    <s v="No"/>
    <x v="0"/>
    <s v="No"/>
    <n v="26"/>
    <x v="4"/>
    <s v="Bi-Weekly"/>
    <n v="0.1"/>
    <n v="39.6"/>
    <n v="44"/>
    <s v="Bank Transfer"/>
    <s v="Normal"/>
    <s v="Good"/>
  </r>
  <r>
    <n v="2672"/>
    <n v="37"/>
    <x v="1"/>
    <x v="3"/>
    <x v="1"/>
    <n v="64"/>
    <x v="15"/>
    <x v="3"/>
    <s v="Gray"/>
    <x v="0"/>
    <n v="4.8"/>
    <s v="No"/>
    <x v="4"/>
    <s v="No"/>
    <n v="41"/>
    <x v="3"/>
    <s v="Every 3 Months"/>
    <n v="0.1"/>
    <n v="57.6"/>
    <n v="64"/>
    <s v="PayPal"/>
    <s v="Normal"/>
    <s v="Good"/>
  </r>
  <r>
    <n v="2673"/>
    <n v="56"/>
    <x v="1"/>
    <x v="23"/>
    <x v="1"/>
    <n v="28"/>
    <x v="8"/>
    <x v="2"/>
    <s v="Maroon"/>
    <x v="1"/>
    <n v="2.9"/>
    <s v="No"/>
    <x v="3"/>
    <s v="No"/>
    <n v="13"/>
    <x v="1"/>
    <s v="Annually"/>
    <n v="0.1"/>
    <n v="25.2"/>
    <n v="28"/>
    <s v="Cash"/>
    <s v="Normal"/>
    <s v="Poor"/>
  </r>
  <r>
    <n v="2674"/>
    <n v="67"/>
    <x v="1"/>
    <x v="15"/>
    <x v="0"/>
    <n v="21"/>
    <x v="22"/>
    <x v="2"/>
    <s v="Olive"/>
    <x v="2"/>
    <n v="2.6"/>
    <s v="No"/>
    <x v="4"/>
    <s v="No"/>
    <n v="4"/>
    <x v="1"/>
    <s v="Monthly"/>
    <n v="0.1"/>
    <n v="18.899999999999999"/>
    <n v="21"/>
    <s v="Cash"/>
    <s v="Normal"/>
    <s v="Poor"/>
  </r>
  <r>
    <n v="2675"/>
    <n v="40"/>
    <x v="1"/>
    <x v="19"/>
    <x v="3"/>
    <n v="41"/>
    <x v="20"/>
    <x v="1"/>
    <s v="Charcoal"/>
    <x v="3"/>
    <n v="3.3"/>
    <s v="No"/>
    <x v="0"/>
    <s v="No"/>
    <n v="15"/>
    <x v="1"/>
    <s v="Every 3 Months"/>
    <n v="0.1"/>
    <n v="36.9"/>
    <n v="41"/>
    <s v="Cash"/>
    <s v="Normal"/>
    <s v="Good"/>
  </r>
  <r>
    <n v="2676"/>
    <n v="24"/>
    <x v="1"/>
    <x v="6"/>
    <x v="0"/>
    <n v="38"/>
    <x v="41"/>
    <x v="2"/>
    <s v="Peach"/>
    <x v="0"/>
    <n v="3.4"/>
    <s v="No"/>
    <x v="1"/>
    <s v="No"/>
    <n v="38"/>
    <x v="1"/>
    <s v="Bi-Weekly"/>
    <n v="0.1"/>
    <n v="34.200000000000003"/>
    <n v="38"/>
    <s v="Cash"/>
    <s v="Normal"/>
    <s v="Good"/>
  </r>
  <r>
    <n v="2677"/>
    <n v="43"/>
    <x v="1"/>
    <x v="21"/>
    <x v="3"/>
    <n v="77"/>
    <x v="0"/>
    <x v="2"/>
    <s v="Maroon"/>
    <x v="1"/>
    <n v="3.6"/>
    <s v="No"/>
    <x v="1"/>
    <s v="No"/>
    <n v="3"/>
    <x v="1"/>
    <s v="Fortnightly"/>
    <n v="0.1"/>
    <n v="69.3"/>
    <n v="77"/>
    <s v="Cash"/>
    <s v="Normal"/>
    <s v="Good"/>
  </r>
  <r>
    <n v="2678"/>
    <n v="45"/>
    <x v="1"/>
    <x v="6"/>
    <x v="0"/>
    <n v="43"/>
    <x v="39"/>
    <x v="0"/>
    <s v="Olive"/>
    <x v="1"/>
    <n v="3.8"/>
    <s v="No"/>
    <x v="2"/>
    <s v="No"/>
    <n v="6"/>
    <x v="3"/>
    <s v="Every 3 Months"/>
    <n v="0.1"/>
    <n v="38.700000000000003"/>
    <n v="43"/>
    <s v="PayPal"/>
    <s v="Normal"/>
    <s v="Good"/>
  </r>
  <r>
    <n v="2679"/>
    <n v="33"/>
    <x v="1"/>
    <x v="22"/>
    <x v="3"/>
    <n v="91"/>
    <x v="6"/>
    <x v="2"/>
    <s v="Magenta"/>
    <x v="1"/>
    <n v="3.4"/>
    <s v="No"/>
    <x v="4"/>
    <s v="No"/>
    <n v="34"/>
    <x v="2"/>
    <s v="Bi-Weekly"/>
    <n v="0.1"/>
    <n v="81.900000000000006"/>
    <n v="91"/>
    <s v="Credit Card"/>
    <s v="Normal"/>
    <s v="Good"/>
  </r>
  <r>
    <n v="2680"/>
    <n v="53"/>
    <x v="1"/>
    <x v="6"/>
    <x v="0"/>
    <n v="68"/>
    <x v="6"/>
    <x v="1"/>
    <s v="Yellow"/>
    <x v="1"/>
    <n v="3.8"/>
    <s v="No"/>
    <x v="0"/>
    <s v="No"/>
    <n v="7"/>
    <x v="5"/>
    <s v="Quarterly"/>
    <n v="0.1"/>
    <n v="61.2"/>
    <n v="68"/>
    <s v="Debit Card"/>
    <s v="Normal"/>
    <s v="Good"/>
  </r>
  <r>
    <n v="2681"/>
    <n v="44"/>
    <x v="1"/>
    <x v="20"/>
    <x v="0"/>
    <n v="37"/>
    <x v="43"/>
    <x v="0"/>
    <s v="Indigo"/>
    <x v="3"/>
    <n v="3.3"/>
    <s v="No"/>
    <x v="2"/>
    <s v="No"/>
    <n v="21"/>
    <x v="0"/>
    <s v="Annually"/>
    <n v="0.1"/>
    <n v="33.299999999999997"/>
    <n v="37"/>
    <s v="Venmo"/>
    <s v="Normal"/>
    <s v="Good"/>
  </r>
  <r>
    <n v="2682"/>
    <n v="23"/>
    <x v="1"/>
    <x v="9"/>
    <x v="1"/>
    <n v="23"/>
    <x v="2"/>
    <x v="0"/>
    <s v="Olive"/>
    <x v="2"/>
    <n v="4.8"/>
    <s v="No"/>
    <x v="3"/>
    <s v="No"/>
    <n v="17"/>
    <x v="5"/>
    <s v="Monthly"/>
    <n v="0.1"/>
    <n v="20.7"/>
    <n v="23"/>
    <s v="Debit Card"/>
    <s v="Normal"/>
    <s v="Good"/>
  </r>
  <r>
    <n v="2683"/>
    <n v="59"/>
    <x v="1"/>
    <x v="4"/>
    <x v="1"/>
    <n v="65"/>
    <x v="17"/>
    <x v="0"/>
    <s v="Maroon"/>
    <x v="0"/>
    <n v="3.9"/>
    <s v="No"/>
    <x v="4"/>
    <s v="No"/>
    <n v="5"/>
    <x v="0"/>
    <s v="Every 3 Months"/>
    <n v="0.1"/>
    <n v="58.5"/>
    <n v="65"/>
    <s v="Venmo"/>
    <s v="Normal"/>
    <s v="Good"/>
  </r>
  <r>
    <n v="2684"/>
    <n v="68"/>
    <x v="1"/>
    <x v="21"/>
    <x v="3"/>
    <n v="30"/>
    <x v="6"/>
    <x v="2"/>
    <s v="Indigo"/>
    <x v="2"/>
    <n v="4.2"/>
    <s v="No"/>
    <x v="2"/>
    <s v="No"/>
    <n v="21"/>
    <x v="1"/>
    <s v="Fortnightly"/>
    <n v="0.1"/>
    <n v="27"/>
    <n v="30"/>
    <s v="Cash"/>
    <s v="Normal"/>
    <s v="Good"/>
  </r>
  <r>
    <n v="2685"/>
    <n v="46"/>
    <x v="1"/>
    <x v="10"/>
    <x v="0"/>
    <n v="45"/>
    <x v="47"/>
    <x v="2"/>
    <s v="Gray"/>
    <x v="2"/>
    <n v="4.7"/>
    <s v="No"/>
    <x v="1"/>
    <s v="No"/>
    <n v="42"/>
    <x v="2"/>
    <s v="Bi-Weekly"/>
    <n v="0.1"/>
    <n v="40.5"/>
    <n v="45"/>
    <s v="Credit Card"/>
    <s v="Normal"/>
    <s v="Good"/>
  </r>
  <r>
    <n v="2686"/>
    <n v="56"/>
    <x v="1"/>
    <x v="23"/>
    <x v="1"/>
    <n v="25"/>
    <x v="41"/>
    <x v="2"/>
    <s v="Gray"/>
    <x v="0"/>
    <n v="2.7"/>
    <s v="No"/>
    <x v="0"/>
    <s v="No"/>
    <n v="49"/>
    <x v="2"/>
    <s v="Quarterly"/>
    <n v="0.1"/>
    <n v="22.5"/>
    <n v="25"/>
    <s v="Credit Card"/>
    <s v="Normal"/>
    <s v="Poor"/>
  </r>
  <r>
    <n v="2687"/>
    <n v="40"/>
    <x v="1"/>
    <x v="20"/>
    <x v="0"/>
    <n v="72"/>
    <x v="42"/>
    <x v="2"/>
    <s v="Black"/>
    <x v="0"/>
    <n v="3.8"/>
    <s v="No"/>
    <x v="4"/>
    <s v="No"/>
    <n v="33"/>
    <x v="1"/>
    <s v="Fortnightly"/>
    <n v="0.1"/>
    <n v="64.8"/>
    <n v="72"/>
    <s v="Cash"/>
    <s v="Normal"/>
    <s v="Good"/>
  </r>
  <r>
    <n v="2688"/>
    <n v="61"/>
    <x v="1"/>
    <x v="10"/>
    <x v="0"/>
    <n v="75"/>
    <x v="12"/>
    <x v="2"/>
    <s v="White"/>
    <x v="3"/>
    <n v="3.6"/>
    <s v="No"/>
    <x v="4"/>
    <s v="No"/>
    <n v="12"/>
    <x v="5"/>
    <s v="Bi-Weekly"/>
    <n v="0.1"/>
    <n v="67.5"/>
    <n v="75"/>
    <s v="Debit Card"/>
    <s v="Normal"/>
    <s v="Good"/>
  </r>
  <r>
    <n v="2689"/>
    <n v="53"/>
    <x v="1"/>
    <x v="8"/>
    <x v="3"/>
    <n v="63"/>
    <x v="8"/>
    <x v="3"/>
    <s v="Turquoise"/>
    <x v="1"/>
    <n v="2.9"/>
    <s v="No"/>
    <x v="4"/>
    <s v="No"/>
    <n v="18"/>
    <x v="2"/>
    <s v="Every 3 Months"/>
    <n v="0.1"/>
    <n v="56.7"/>
    <n v="63"/>
    <s v="Credit Card"/>
    <s v="Normal"/>
    <s v="Poor"/>
  </r>
  <r>
    <n v="2690"/>
    <n v="29"/>
    <x v="1"/>
    <x v="0"/>
    <x v="0"/>
    <n v="35"/>
    <x v="5"/>
    <x v="2"/>
    <s v="Orange"/>
    <x v="3"/>
    <n v="3.9"/>
    <s v="No"/>
    <x v="3"/>
    <s v="No"/>
    <n v="47"/>
    <x v="3"/>
    <s v="Quarterly"/>
    <n v="0.1"/>
    <n v="31.5"/>
    <n v="35"/>
    <s v="PayPal"/>
    <s v="Normal"/>
    <s v="Good"/>
  </r>
  <r>
    <n v="2691"/>
    <n v="44"/>
    <x v="1"/>
    <x v="22"/>
    <x v="3"/>
    <n v="32"/>
    <x v="35"/>
    <x v="0"/>
    <s v="Yellow"/>
    <x v="2"/>
    <n v="4.7"/>
    <s v="No"/>
    <x v="1"/>
    <s v="No"/>
    <n v="18"/>
    <x v="4"/>
    <s v="Weekly"/>
    <n v="0.1"/>
    <n v="28.8"/>
    <n v="32"/>
    <s v="Bank Transfer"/>
    <s v="Normal"/>
    <s v="Good"/>
  </r>
  <r>
    <n v="2692"/>
    <n v="43"/>
    <x v="1"/>
    <x v="13"/>
    <x v="0"/>
    <n v="25"/>
    <x v="43"/>
    <x v="0"/>
    <s v="Blue"/>
    <x v="0"/>
    <n v="3.3"/>
    <s v="No"/>
    <x v="4"/>
    <s v="No"/>
    <n v="48"/>
    <x v="1"/>
    <s v="Monthly"/>
    <n v="0.1"/>
    <n v="22.5"/>
    <n v="25"/>
    <s v="Cash"/>
    <s v="Normal"/>
    <s v="Good"/>
  </r>
  <r>
    <n v="2693"/>
    <n v="40"/>
    <x v="1"/>
    <x v="4"/>
    <x v="1"/>
    <n v="90"/>
    <x v="47"/>
    <x v="3"/>
    <s v="Violet"/>
    <x v="1"/>
    <n v="4.2"/>
    <s v="No"/>
    <x v="1"/>
    <s v="No"/>
    <n v="18"/>
    <x v="5"/>
    <s v="Every 3 Months"/>
    <n v="0.1"/>
    <n v="81"/>
    <n v="90"/>
    <s v="Debit Card"/>
    <s v="Normal"/>
    <s v="Good"/>
  </r>
  <r>
    <n v="2694"/>
    <n v="55"/>
    <x v="1"/>
    <x v="23"/>
    <x v="1"/>
    <n v="70"/>
    <x v="11"/>
    <x v="0"/>
    <s v="Lavender"/>
    <x v="2"/>
    <n v="2.6"/>
    <s v="No"/>
    <x v="3"/>
    <s v="No"/>
    <n v="46"/>
    <x v="1"/>
    <s v="Quarterly"/>
    <n v="0.1"/>
    <n v="63"/>
    <n v="70"/>
    <s v="Cash"/>
    <s v="Normal"/>
    <s v="Poor"/>
  </r>
  <r>
    <n v="2695"/>
    <n v="66"/>
    <x v="1"/>
    <x v="12"/>
    <x v="3"/>
    <n v="27"/>
    <x v="7"/>
    <x v="2"/>
    <s v="Olive"/>
    <x v="1"/>
    <n v="4.9000000000000004"/>
    <s v="No"/>
    <x v="0"/>
    <s v="No"/>
    <n v="34"/>
    <x v="2"/>
    <s v="Every 3 Months"/>
    <n v="0.1"/>
    <n v="24.3"/>
    <n v="27"/>
    <s v="Credit Card"/>
    <s v="Normal"/>
    <s v="Good"/>
  </r>
  <r>
    <n v="2696"/>
    <n v="50"/>
    <x v="1"/>
    <x v="19"/>
    <x v="3"/>
    <n v="92"/>
    <x v="30"/>
    <x v="2"/>
    <s v="Orange"/>
    <x v="3"/>
    <n v="3.6"/>
    <s v="No"/>
    <x v="3"/>
    <s v="No"/>
    <n v="10"/>
    <x v="3"/>
    <s v="Bi-Weekly"/>
    <n v="0.1"/>
    <n v="82.8"/>
    <n v="92"/>
    <s v="PayPal"/>
    <s v="Normal"/>
    <s v="Good"/>
  </r>
  <r>
    <n v="2697"/>
    <n v="57"/>
    <x v="1"/>
    <x v="7"/>
    <x v="2"/>
    <n v="20"/>
    <x v="45"/>
    <x v="2"/>
    <s v="White"/>
    <x v="1"/>
    <n v="4.7"/>
    <s v="No"/>
    <x v="1"/>
    <s v="No"/>
    <n v="12"/>
    <x v="5"/>
    <s v="Monthly"/>
    <n v="0.1"/>
    <n v="18"/>
    <n v="20"/>
    <s v="Debit Card"/>
    <s v="Normal"/>
    <s v="Good"/>
  </r>
  <r>
    <n v="2698"/>
    <n v="42"/>
    <x v="1"/>
    <x v="14"/>
    <x v="2"/>
    <n v="52"/>
    <x v="12"/>
    <x v="0"/>
    <s v="Red"/>
    <x v="0"/>
    <n v="3.2"/>
    <s v="No"/>
    <x v="3"/>
    <s v="No"/>
    <n v="36"/>
    <x v="4"/>
    <s v="Quarterly"/>
    <n v="0.1"/>
    <n v="46.8"/>
    <n v="52"/>
    <s v="Bank Transfer"/>
    <s v="Normal"/>
    <s v="Good"/>
  </r>
  <r>
    <n v="2699"/>
    <n v="55"/>
    <x v="1"/>
    <x v="15"/>
    <x v="0"/>
    <n v="57"/>
    <x v="41"/>
    <x v="2"/>
    <s v="Magenta"/>
    <x v="2"/>
    <n v="3.6"/>
    <s v="No"/>
    <x v="5"/>
    <s v="No"/>
    <n v="34"/>
    <x v="0"/>
    <s v="Quarterly"/>
    <n v="0.1"/>
    <n v="51.3"/>
    <n v="57"/>
    <s v="Venmo"/>
    <s v="Normal"/>
    <s v="Good"/>
  </r>
  <r>
    <n v="2700"/>
    <n v="25"/>
    <x v="1"/>
    <x v="23"/>
    <x v="1"/>
    <n v="96"/>
    <x v="40"/>
    <x v="2"/>
    <s v="Violet"/>
    <x v="3"/>
    <n v="3.6"/>
    <s v="No"/>
    <x v="4"/>
    <s v="No"/>
    <n v="49"/>
    <x v="5"/>
    <s v="Annually"/>
    <n v="0.1"/>
    <n v="86.4"/>
    <n v="96"/>
    <s v="Debit Card"/>
    <s v="Normal"/>
    <s v="Good"/>
  </r>
  <r>
    <n v="2701"/>
    <n v="22"/>
    <x v="1"/>
    <x v="17"/>
    <x v="0"/>
    <n v="68"/>
    <x v="18"/>
    <x v="3"/>
    <s v="Olive"/>
    <x v="0"/>
    <n v="3.2"/>
    <s v="No"/>
    <x v="3"/>
    <s v="No"/>
    <n v="36"/>
    <x v="1"/>
    <s v="Weekly"/>
    <n v="0.1"/>
    <n v="61.2"/>
    <n v="68"/>
    <s v="Cash"/>
    <s v="Normal"/>
    <s v="Good"/>
  </r>
  <r>
    <n v="2702"/>
    <n v="49"/>
    <x v="1"/>
    <x v="1"/>
    <x v="0"/>
    <n v="30"/>
    <x v="37"/>
    <x v="0"/>
    <s v="Silver"/>
    <x v="2"/>
    <n v="2.8"/>
    <s v="No"/>
    <x v="5"/>
    <s v="No"/>
    <n v="18"/>
    <x v="4"/>
    <s v="Fortnightly"/>
    <n v="0.1"/>
    <n v="27"/>
    <n v="30"/>
    <s v="Bank Transfer"/>
    <s v="Normal"/>
    <s v="Poor"/>
  </r>
  <r>
    <n v="2703"/>
    <n v="70"/>
    <x v="1"/>
    <x v="9"/>
    <x v="1"/>
    <n v="37"/>
    <x v="21"/>
    <x v="0"/>
    <s v="Gray"/>
    <x v="3"/>
    <n v="4"/>
    <s v="No"/>
    <x v="2"/>
    <s v="No"/>
    <n v="39"/>
    <x v="5"/>
    <s v="Fortnightly"/>
    <n v="0.1"/>
    <n v="33.299999999999997"/>
    <n v="37"/>
    <s v="Debit Card"/>
    <s v="Normal"/>
    <s v="Good"/>
  </r>
  <r>
    <n v="2704"/>
    <n v="56"/>
    <x v="1"/>
    <x v="18"/>
    <x v="3"/>
    <n v="42"/>
    <x v="30"/>
    <x v="3"/>
    <s v="Olive"/>
    <x v="0"/>
    <n v="4.4000000000000004"/>
    <s v="No"/>
    <x v="1"/>
    <s v="No"/>
    <n v="34"/>
    <x v="3"/>
    <s v="Weekly"/>
    <n v="0.1"/>
    <n v="37.799999999999997"/>
    <n v="42"/>
    <s v="PayPal"/>
    <s v="Normal"/>
    <s v="Good"/>
  </r>
  <r>
    <n v="2705"/>
    <n v="52"/>
    <x v="1"/>
    <x v="10"/>
    <x v="0"/>
    <n v="54"/>
    <x v="30"/>
    <x v="0"/>
    <s v="Beige"/>
    <x v="1"/>
    <n v="3.4"/>
    <s v="No"/>
    <x v="2"/>
    <s v="No"/>
    <n v="35"/>
    <x v="5"/>
    <s v="Weekly"/>
    <n v="0.1"/>
    <n v="48.6"/>
    <n v="54"/>
    <s v="Debit Card"/>
    <s v="Normal"/>
    <s v="Good"/>
  </r>
  <r>
    <n v="2706"/>
    <n v="65"/>
    <x v="1"/>
    <x v="14"/>
    <x v="2"/>
    <n v="81"/>
    <x v="47"/>
    <x v="1"/>
    <s v="Turquoise"/>
    <x v="1"/>
    <n v="5"/>
    <s v="No"/>
    <x v="5"/>
    <s v="No"/>
    <n v="1"/>
    <x v="2"/>
    <s v="Bi-Weekly"/>
    <n v="0.1"/>
    <n v="72.900000000000006"/>
    <n v="81"/>
    <s v="Credit Card"/>
    <s v="Normal"/>
    <s v="Good"/>
  </r>
  <r>
    <n v="2707"/>
    <n v="24"/>
    <x v="1"/>
    <x v="9"/>
    <x v="1"/>
    <n v="40"/>
    <x v="15"/>
    <x v="1"/>
    <s v="Blue"/>
    <x v="1"/>
    <n v="3.1"/>
    <s v="No"/>
    <x v="0"/>
    <s v="No"/>
    <n v="48"/>
    <x v="5"/>
    <s v="Quarterly"/>
    <n v="0.1"/>
    <n v="36"/>
    <n v="40"/>
    <s v="Debit Card"/>
    <s v="Normal"/>
    <s v="Good"/>
  </r>
  <r>
    <n v="2708"/>
    <n v="32"/>
    <x v="1"/>
    <x v="21"/>
    <x v="3"/>
    <n v="88"/>
    <x v="43"/>
    <x v="2"/>
    <s v="Pink"/>
    <x v="3"/>
    <n v="4.2"/>
    <s v="No"/>
    <x v="3"/>
    <s v="No"/>
    <n v="19"/>
    <x v="1"/>
    <s v="Weekly"/>
    <n v="0.1"/>
    <n v="79.2"/>
    <n v="88"/>
    <s v="Cash"/>
    <s v="Normal"/>
    <s v="Good"/>
  </r>
  <r>
    <n v="2709"/>
    <n v="57"/>
    <x v="1"/>
    <x v="10"/>
    <x v="0"/>
    <n v="94"/>
    <x v="15"/>
    <x v="2"/>
    <s v="Teal"/>
    <x v="2"/>
    <n v="3.3"/>
    <s v="No"/>
    <x v="5"/>
    <s v="No"/>
    <n v="44"/>
    <x v="5"/>
    <s v="Weekly"/>
    <n v="0.1"/>
    <n v="84.6"/>
    <n v="94"/>
    <s v="Debit Card"/>
    <s v="Normal"/>
    <s v="Good"/>
  </r>
  <r>
    <n v="2710"/>
    <n v="35"/>
    <x v="1"/>
    <x v="5"/>
    <x v="0"/>
    <n v="54"/>
    <x v="26"/>
    <x v="1"/>
    <s v="Cyan"/>
    <x v="0"/>
    <n v="2.9"/>
    <s v="No"/>
    <x v="3"/>
    <s v="No"/>
    <n v="9"/>
    <x v="2"/>
    <s v="Bi-Weekly"/>
    <n v="0.1"/>
    <n v="48.6"/>
    <n v="54"/>
    <s v="Credit Card"/>
    <s v="Normal"/>
    <s v="Poor"/>
  </r>
  <r>
    <n v="2711"/>
    <n v="69"/>
    <x v="1"/>
    <x v="14"/>
    <x v="2"/>
    <n v="51"/>
    <x v="48"/>
    <x v="0"/>
    <s v="Purple"/>
    <x v="2"/>
    <n v="4.7"/>
    <s v="No"/>
    <x v="3"/>
    <s v="No"/>
    <n v="3"/>
    <x v="4"/>
    <s v="Fortnightly"/>
    <n v="0.1"/>
    <n v="45.9"/>
    <n v="51"/>
    <s v="Bank Transfer"/>
    <s v="Normal"/>
    <s v="Good"/>
  </r>
  <r>
    <n v="2712"/>
    <n v="30"/>
    <x v="1"/>
    <x v="12"/>
    <x v="3"/>
    <n v="22"/>
    <x v="43"/>
    <x v="0"/>
    <s v="Red"/>
    <x v="1"/>
    <n v="4"/>
    <s v="No"/>
    <x v="3"/>
    <s v="No"/>
    <n v="50"/>
    <x v="0"/>
    <s v="Monthly"/>
    <n v="0.1"/>
    <n v="19.8"/>
    <n v="22"/>
    <s v="Venmo"/>
    <s v="Normal"/>
    <s v="Good"/>
  </r>
  <r>
    <n v="2713"/>
    <n v="37"/>
    <x v="1"/>
    <x v="14"/>
    <x v="2"/>
    <n v="95"/>
    <x v="25"/>
    <x v="0"/>
    <s v="Brown"/>
    <x v="3"/>
    <n v="4.5999999999999996"/>
    <s v="No"/>
    <x v="3"/>
    <s v="No"/>
    <n v="7"/>
    <x v="5"/>
    <s v="Quarterly"/>
    <n v="0.1"/>
    <n v="85.5"/>
    <n v="95"/>
    <s v="Debit Card"/>
    <s v="Normal"/>
    <s v="Good"/>
  </r>
  <r>
    <n v="2714"/>
    <n v="19"/>
    <x v="1"/>
    <x v="7"/>
    <x v="2"/>
    <n v="57"/>
    <x v="16"/>
    <x v="2"/>
    <s v="Magenta"/>
    <x v="3"/>
    <n v="3.8"/>
    <s v="No"/>
    <x v="4"/>
    <s v="No"/>
    <n v="20"/>
    <x v="5"/>
    <s v="Annually"/>
    <n v="0.1"/>
    <n v="51.3"/>
    <n v="57"/>
    <s v="Debit Card"/>
    <s v="Normal"/>
    <s v="Good"/>
  </r>
  <r>
    <n v="2715"/>
    <n v="53"/>
    <x v="1"/>
    <x v="1"/>
    <x v="0"/>
    <n v="45"/>
    <x v="44"/>
    <x v="1"/>
    <s v="Olive"/>
    <x v="0"/>
    <n v="3.6"/>
    <s v="No"/>
    <x v="5"/>
    <s v="No"/>
    <n v="16"/>
    <x v="2"/>
    <s v="Bi-Weekly"/>
    <n v="0.1"/>
    <n v="40.5"/>
    <n v="45"/>
    <s v="Credit Card"/>
    <s v="Normal"/>
    <s v="Good"/>
  </r>
  <r>
    <n v="2716"/>
    <n v="25"/>
    <x v="1"/>
    <x v="4"/>
    <x v="1"/>
    <n v="92"/>
    <x v="16"/>
    <x v="3"/>
    <s v="Pink"/>
    <x v="0"/>
    <n v="4.0999999999999996"/>
    <s v="No"/>
    <x v="0"/>
    <s v="No"/>
    <n v="29"/>
    <x v="3"/>
    <s v="Fortnightly"/>
    <n v="0.1"/>
    <n v="82.8"/>
    <n v="92"/>
    <s v="PayPal"/>
    <s v="Normal"/>
    <s v="Good"/>
  </r>
  <r>
    <n v="2717"/>
    <n v="47"/>
    <x v="1"/>
    <x v="9"/>
    <x v="1"/>
    <n v="40"/>
    <x v="24"/>
    <x v="0"/>
    <s v="Black"/>
    <x v="1"/>
    <n v="2.7"/>
    <s v="No"/>
    <x v="5"/>
    <s v="No"/>
    <n v="21"/>
    <x v="5"/>
    <s v="Weekly"/>
    <n v="0.1"/>
    <n v="36"/>
    <n v="40"/>
    <s v="Debit Card"/>
    <s v="Normal"/>
    <s v="Poor"/>
  </r>
  <r>
    <n v="2718"/>
    <n v="18"/>
    <x v="1"/>
    <x v="12"/>
    <x v="3"/>
    <n v="62"/>
    <x v="43"/>
    <x v="3"/>
    <s v="Beige"/>
    <x v="0"/>
    <n v="4.3"/>
    <s v="No"/>
    <x v="1"/>
    <s v="No"/>
    <n v="19"/>
    <x v="2"/>
    <s v="Every 3 Months"/>
    <n v="0.1"/>
    <n v="55.8"/>
    <n v="62"/>
    <s v="Credit Card"/>
    <s v="Normal"/>
    <s v="Good"/>
  </r>
  <r>
    <n v="2719"/>
    <n v="22"/>
    <x v="1"/>
    <x v="6"/>
    <x v="0"/>
    <n v="90"/>
    <x v="41"/>
    <x v="2"/>
    <s v="Peach"/>
    <x v="0"/>
    <n v="4.9000000000000004"/>
    <s v="No"/>
    <x v="2"/>
    <s v="No"/>
    <n v="10"/>
    <x v="0"/>
    <s v="Bi-Weekly"/>
    <n v="0.1"/>
    <n v="81"/>
    <n v="90"/>
    <s v="Venmo"/>
    <s v="Normal"/>
    <s v="Good"/>
  </r>
  <r>
    <n v="2720"/>
    <n v="69"/>
    <x v="1"/>
    <x v="15"/>
    <x v="0"/>
    <n v="82"/>
    <x v="7"/>
    <x v="1"/>
    <s v="Peach"/>
    <x v="3"/>
    <n v="4.2"/>
    <s v="No"/>
    <x v="1"/>
    <s v="No"/>
    <n v="4"/>
    <x v="4"/>
    <s v="Monthly"/>
    <n v="0.1"/>
    <n v="73.8"/>
    <n v="82"/>
    <s v="Bank Transfer"/>
    <s v="Normal"/>
    <s v="Good"/>
  </r>
  <r>
    <n v="2721"/>
    <n v="55"/>
    <x v="1"/>
    <x v="18"/>
    <x v="3"/>
    <n v="52"/>
    <x v="33"/>
    <x v="2"/>
    <s v="Peach"/>
    <x v="1"/>
    <n v="2.8"/>
    <s v="No"/>
    <x v="5"/>
    <s v="No"/>
    <n v="45"/>
    <x v="4"/>
    <s v="Quarterly"/>
    <n v="0.1"/>
    <n v="46.8"/>
    <n v="52"/>
    <s v="Bank Transfer"/>
    <s v="Normal"/>
    <s v="Poor"/>
  </r>
  <r>
    <n v="2722"/>
    <n v="19"/>
    <x v="1"/>
    <x v="3"/>
    <x v="1"/>
    <n v="70"/>
    <x v="46"/>
    <x v="1"/>
    <s v="Teal"/>
    <x v="1"/>
    <n v="4.9000000000000004"/>
    <s v="No"/>
    <x v="1"/>
    <s v="No"/>
    <n v="17"/>
    <x v="3"/>
    <s v="Fortnightly"/>
    <n v="0.1"/>
    <n v="63"/>
    <n v="70"/>
    <s v="PayPal"/>
    <s v="Normal"/>
    <s v="Good"/>
  </r>
  <r>
    <n v="2723"/>
    <n v="23"/>
    <x v="1"/>
    <x v="19"/>
    <x v="3"/>
    <n v="83"/>
    <x v="1"/>
    <x v="2"/>
    <s v="Green"/>
    <x v="1"/>
    <n v="2.8"/>
    <s v="No"/>
    <x v="4"/>
    <s v="No"/>
    <n v="22"/>
    <x v="3"/>
    <s v="Fortnightly"/>
    <n v="0.1"/>
    <n v="74.7"/>
    <n v="83"/>
    <s v="PayPal"/>
    <s v="Normal"/>
    <s v="Poor"/>
  </r>
  <r>
    <n v="2724"/>
    <n v="54"/>
    <x v="1"/>
    <x v="9"/>
    <x v="1"/>
    <n v="49"/>
    <x v="21"/>
    <x v="3"/>
    <s v="Brown"/>
    <x v="2"/>
    <n v="2.9"/>
    <s v="No"/>
    <x v="5"/>
    <s v="No"/>
    <n v="3"/>
    <x v="3"/>
    <s v="Every 3 Months"/>
    <n v="0.1"/>
    <n v="44.1"/>
    <n v="49"/>
    <s v="PayPal"/>
    <s v="Normal"/>
    <s v="Poor"/>
  </r>
  <r>
    <n v="2725"/>
    <n v="52"/>
    <x v="1"/>
    <x v="4"/>
    <x v="1"/>
    <n v="91"/>
    <x v="9"/>
    <x v="2"/>
    <s v="Brown"/>
    <x v="1"/>
    <n v="2.5"/>
    <s v="No"/>
    <x v="2"/>
    <s v="No"/>
    <n v="11"/>
    <x v="5"/>
    <s v="Fortnightly"/>
    <n v="0.1"/>
    <n v="81.900000000000006"/>
    <n v="91"/>
    <s v="Debit Card"/>
    <s v="Normal"/>
    <s v="Poor"/>
  </r>
  <r>
    <n v="2726"/>
    <n v="64"/>
    <x v="1"/>
    <x v="21"/>
    <x v="3"/>
    <n v="99"/>
    <x v="16"/>
    <x v="1"/>
    <s v="Violet"/>
    <x v="2"/>
    <n v="2.7"/>
    <s v="No"/>
    <x v="1"/>
    <s v="No"/>
    <n v="4"/>
    <x v="5"/>
    <s v="Annually"/>
    <n v="0.1"/>
    <n v="89.1"/>
    <n v="99"/>
    <s v="Debit Card"/>
    <s v="Normal"/>
    <s v="Poor"/>
  </r>
  <r>
    <n v="2727"/>
    <n v="33"/>
    <x v="1"/>
    <x v="22"/>
    <x v="3"/>
    <n v="92"/>
    <x v="49"/>
    <x v="0"/>
    <s v="Blue"/>
    <x v="0"/>
    <n v="3.3"/>
    <s v="No"/>
    <x v="1"/>
    <s v="No"/>
    <n v="11"/>
    <x v="3"/>
    <s v="Bi-Weekly"/>
    <n v="0.1"/>
    <n v="82.8"/>
    <n v="92"/>
    <s v="PayPal"/>
    <s v="Normal"/>
    <s v="Good"/>
  </r>
  <r>
    <n v="2728"/>
    <n v="40"/>
    <x v="1"/>
    <x v="5"/>
    <x v="0"/>
    <n v="87"/>
    <x v="24"/>
    <x v="0"/>
    <s v="Charcoal"/>
    <x v="0"/>
    <n v="3.7"/>
    <s v="No"/>
    <x v="4"/>
    <s v="No"/>
    <n v="47"/>
    <x v="2"/>
    <s v="Fortnightly"/>
    <n v="0.1"/>
    <n v="78.3"/>
    <n v="87"/>
    <s v="Credit Card"/>
    <s v="Normal"/>
    <s v="Good"/>
  </r>
  <r>
    <n v="2729"/>
    <n v="26"/>
    <x v="1"/>
    <x v="11"/>
    <x v="0"/>
    <n v="28"/>
    <x v="20"/>
    <x v="2"/>
    <s v="Pink"/>
    <x v="0"/>
    <n v="4"/>
    <s v="No"/>
    <x v="0"/>
    <s v="No"/>
    <n v="17"/>
    <x v="5"/>
    <s v="Weekly"/>
    <n v="0.1"/>
    <n v="25.2"/>
    <n v="28"/>
    <s v="Debit Card"/>
    <s v="Normal"/>
    <s v="Good"/>
  </r>
  <r>
    <n v="2730"/>
    <n v="31"/>
    <x v="1"/>
    <x v="24"/>
    <x v="3"/>
    <n v="71"/>
    <x v="6"/>
    <x v="1"/>
    <s v="Violet"/>
    <x v="2"/>
    <n v="4.0999999999999996"/>
    <s v="No"/>
    <x v="1"/>
    <s v="No"/>
    <n v="32"/>
    <x v="2"/>
    <s v="Monthly"/>
    <n v="0.1"/>
    <n v="63.9"/>
    <n v="71"/>
    <s v="Credit Card"/>
    <s v="Normal"/>
    <s v="Good"/>
  </r>
  <r>
    <n v="2731"/>
    <n v="23"/>
    <x v="1"/>
    <x v="24"/>
    <x v="3"/>
    <n v="32"/>
    <x v="48"/>
    <x v="2"/>
    <s v="Teal"/>
    <x v="0"/>
    <n v="4.0999999999999996"/>
    <s v="No"/>
    <x v="5"/>
    <s v="No"/>
    <n v="37"/>
    <x v="4"/>
    <s v="Annually"/>
    <n v="0.1"/>
    <n v="28.8"/>
    <n v="32"/>
    <s v="Bank Transfer"/>
    <s v="Normal"/>
    <s v="Good"/>
  </r>
  <r>
    <n v="2732"/>
    <n v="52"/>
    <x v="1"/>
    <x v="8"/>
    <x v="3"/>
    <n v="33"/>
    <x v="48"/>
    <x v="2"/>
    <s v="Red"/>
    <x v="2"/>
    <n v="2.5"/>
    <s v="No"/>
    <x v="4"/>
    <s v="No"/>
    <n v="44"/>
    <x v="4"/>
    <s v="Quarterly"/>
    <n v="0.1"/>
    <n v="29.7"/>
    <n v="33"/>
    <s v="Bank Transfer"/>
    <s v="Normal"/>
    <s v="Poor"/>
  </r>
  <r>
    <n v="2733"/>
    <n v="21"/>
    <x v="1"/>
    <x v="20"/>
    <x v="0"/>
    <n v="75"/>
    <x v="12"/>
    <x v="0"/>
    <s v="Orange"/>
    <x v="0"/>
    <n v="4.2"/>
    <s v="No"/>
    <x v="5"/>
    <s v="No"/>
    <n v="27"/>
    <x v="5"/>
    <s v="Every 3 Months"/>
    <n v="0.1"/>
    <n v="67.5"/>
    <n v="75"/>
    <s v="Debit Card"/>
    <s v="Normal"/>
    <s v="Good"/>
  </r>
  <r>
    <n v="2734"/>
    <n v="31"/>
    <x v="1"/>
    <x v="21"/>
    <x v="3"/>
    <n v="83"/>
    <x v="17"/>
    <x v="2"/>
    <s v="Magenta"/>
    <x v="2"/>
    <n v="4.7"/>
    <s v="No"/>
    <x v="0"/>
    <s v="No"/>
    <n v="46"/>
    <x v="3"/>
    <s v="Annually"/>
    <n v="0.1"/>
    <n v="74.7"/>
    <n v="83"/>
    <s v="PayPal"/>
    <s v="Normal"/>
    <s v="Good"/>
  </r>
  <r>
    <n v="2735"/>
    <n v="63"/>
    <x v="1"/>
    <x v="2"/>
    <x v="0"/>
    <n v="93"/>
    <x v="14"/>
    <x v="3"/>
    <s v="Yellow"/>
    <x v="2"/>
    <n v="2.7"/>
    <s v="No"/>
    <x v="4"/>
    <s v="No"/>
    <n v="13"/>
    <x v="1"/>
    <s v="Bi-Weekly"/>
    <n v="0.1"/>
    <n v="83.7"/>
    <n v="93"/>
    <s v="Cash"/>
    <s v="Normal"/>
    <s v="Poor"/>
  </r>
  <r>
    <n v="2736"/>
    <n v="46"/>
    <x v="1"/>
    <x v="11"/>
    <x v="0"/>
    <n v="29"/>
    <x v="18"/>
    <x v="2"/>
    <s v="Yellow"/>
    <x v="1"/>
    <n v="3"/>
    <s v="No"/>
    <x v="0"/>
    <s v="No"/>
    <n v="2"/>
    <x v="3"/>
    <s v="Bi-Weekly"/>
    <n v="0.1"/>
    <n v="26.1"/>
    <n v="29"/>
    <s v="PayPal"/>
    <s v="Normal"/>
    <s v="Good"/>
  </r>
  <r>
    <n v="2737"/>
    <n v="44"/>
    <x v="1"/>
    <x v="15"/>
    <x v="0"/>
    <n v="25"/>
    <x v="6"/>
    <x v="2"/>
    <s v="Pink"/>
    <x v="1"/>
    <n v="4.8"/>
    <s v="No"/>
    <x v="5"/>
    <s v="No"/>
    <n v="45"/>
    <x v="2"/>
    <s v="Annually"/>
    <n v="0.1"/>
    <n v="22.5"/>
    <n v="25"/>
    <s v="Credit Card"/>
    <s v="Normal"/>
    <s v="Good"/>
  </r>
  <r>
    <n v="2738"/>
    <n v="57"/>
    <x v="1"/>
    <x v="16"/>
    <x v="3"/>
    <n v="76"/>
    <x v="17"/>
    <x v="1"/>
    <s v="Indigo"/>
    <x v="1"/>
    <n v="4.4000000000000004"/>
    <s v="No"/>
    <x v="1"/>
    <s v="No"/>
    <n v="35"/>
    <x v="1"/>
    <s v="Every 3 Months"/>
    <n v="0.1"/>
    <n v="68.400000000000006"/>
    <n v="76"/>
    <s v="Cash"/>
    <s v="Normal"/>
    <s v="Good"/>
  </r>
  <r>
    <n v="2739"/>
    <n v="50"/>
    <x v="1"/>
    <x v="4"/>
    <x v="1"/>
    <n v="81"/>
    <x v="31"/>
    <x v="2"/>
    <s v="Charcoal"/>
    <x v="2"/>
    <n v="4.3"/>
    <s v="No"/>
    <x v="4"/>
    <s v="No"/>
    <n v="39"/>
    <x v="0"/>
    <s v="Every 3 Months"/>
    <n v="0.1"/>
    <n v="72.900000000000006"/>
    <n v="81"/>
    <s v="Venmo"/>
    <s v="Normal"/>
    <s v="Good"/>
  </r>
  <r>
    <n v="2740"/>
    <n v="33"/>
    <x v="1"/>
    <x v="5"/>
    <x v="0"/>
    <n v="80"/>
    <x v="29"/>
    <x v="3"/>
    <s v="Blue"/>
    <x v="0"/>
    <n v="2.5"/>
    <s v="No"/>
    <x v="5"/>
    <s v="No"/>
    <n v="39"/>
    <x v="2"/>
    <s v="Every 3 Months"/>
    <n v="0.1"/>
    <n v="72"/>
    <n v="80"/>
    <s v="Credit Card"/>
    <s v="Normal"/>
    <s v="Poor"/>
  </r>
  <r>
    <n v="2741"/>
    <n v="19"/>
    <x v="1"/>
    <x v="12"/>
    <x v="3"/>
    <n v="70"/>
    <x v="38"/>
    <x v="2"/>
    <s v="Lavender"/>
    <x v="2"/>
    <n v="4.9000000000000004"/>
    <s v="No"/>
    <x v="1"/>
    <s v="No"/>
    <n v="34"/>
    <x v="4"/>
    <s v="Fortnightly"/>
    <n v="0.1"/>
    <n v="63"/>
    <n v="70"/>
    <s v="Bank Transfer"/>
    <s v="Normal"/>
    <s v="Good"/>
  </r>
  <r>
    <n v="2742"/>
    <n v="68"/>
    <x v="1"/>
    <x v="10"/>
    <x v="0"/>
    <n v="81"/>
    <x v="1"/>
    <x v="0"/>
    <s v="Yellow"/>
    <x v="3"/>
    <n v="4.9000000000000004"/>
    <s v="No"/>
    <x v="4"/>
    <s v="No"/>
    <n v="41"/>
    <x v="0"/>
    <s v="Monthly"/>
    <n v="0.1"/>
    <n v="72.900000000000006"/>
    <n v="81"/>
    <s v="Venmo"/>
    <s v="Normal"/>
    <s v="Good"/>
  </r>
  <r>
    <n v="2743"/>
    <n v="27"/>
    <x v="1"/>
    <x v="9"/>
    <x v="1"/>
    <n v="86"/>
    <x v="21"/>
    <x v="2"/>
    <s v="Black"/>
    <x v="1"/>
    <n v="3.9"/>
    <s v="No"/>
    <x v="1"/>
    <s v="No"/>
    <n v="47"/>
    <x v="5"/>
    <s v="Annually"/>
    <n v="0.1"/>
    <n v="77.400000000000006"/>
    <n v="86"/>
    <s v="Debit Card"/>
    <s v="Normal"/>
    <s v="Good"/>
  </r>
  <r>
    <n v="2744"/>
    <n v="61"/>
    <x v="1"/>
    <x v="22"/>
    <x v="3"/>
    <n v="94"/>
    <x v="32"/>
    <x v="1"/>
    <s v="Beige"/>
    <x v="3"/>
    <n v="4.0999999999999996"/>
    <s v="No"/>
    <x v="4"/>
    <s v="No"/>
    <n v="17"/>
    <x v="0"/>
    <s v="Quarterly"/>
    <n v="0.1"/>
    <n v="84.6"/>
    <n v="94"/>
    <s v="Venmo"/>
    <s v="Normal"/>
    <s v="Good"/>
  </r>
  <r>
    <n v="2745"/>
    <n v="38"/>
    <x v="1"/>
    <x v="5"/>
    <x v="0"/>
    <n v="66"/>
    <x v="5"/>
    <x v="2"/>
    <s v="Silver"/>
    <x v="0"/>
    <n v="3.3"/>
    <s v="No"/>
    <x v="5"/>
    <s v="No"/>
    <n v="40"/>
    <x v="2"/>
    <s v="Monthly"/>
    <n v="0.1"/>
    <n v="59.4"/>
    <n v="66"/>
    <s v="Credit Card"/>
    <s v="Normal"/>
    <s v="Good"/>
  </r>
  <r>
    <n v="2746"/>
    <n v="28"/>
    <x v="1"/>
    <x v="23"/>
    <x v="1"/>
    <n v="98"/>
    <x v="49"/>
    <x v="2"/>
    <s v="Magenta"/>
    <x v="2"/>
    <n v="4.0999999999999996"/>
    <s v="No"/>
    <x v="3"/>
    <s v="No"/>
    <n v="44"/>
    <x v="3"/>
    <s v="Bi-Weekly"/>
    <n v="0.1"/>
    <n v="88.2"/>
    <n v="98"/>
    <s v="PayPal"/>
    <s v="Normal"/>
    <s v="Good"/>
  </r>
  <r>
    <n v="2747"/>
    <n v="39"/>
    <x v="1"/>
    <x v="15"/>
    <x v="0"/>
    <n v="25"/>
    <x v="31"/>
    <x v="2"/>
    <s v="Orange"/>
    <x v="3"/>
    <n v="3.7"/>
    <s v="No"/>
    <x v="3"/>
    <s v="No"/>
    <n v="21"/>
    <x v="3"/>
    <s v="Every 3 Months"/>
    <n v="0.1"/>
    <n v="22.5"/>
    <n v="25"/>
    <s v="PayPal"/>
    <s v="Normal"/>
    <s v="Good"/>
  </r>
  <r>
    <n v="2748"/>
    <n v="18"/>
    <x v="1"/>
    <x v="2"/>
    <x v="0"/>
    <n v="62"/>
    <x v="8"/>
    <x v="2"/>
    <s v="Teal"/>
    <x v="0"/>
    <n v="3.1"/>
    <s v="No"/>
    <x v="1"/>
    <s v="No"/>
    <n v="21"/>
    <x v="2"/>
    <s v="Every 3 Months"/>
    <n v="0.1"/>
    <n v="55.8"/>
    <n v="62"/>
    <s v="Credit Card"/>
    <s v="Normal"/>
    <s v="Good"/>
  </r>
  <r>
    <n v="2749"/>
    <n v="24"/>
    <x v="1"/>
    <x v="14"/>
    <x v="2"/>
    <n v="98"/>
    <x v="41"/>
    <x v="0"/>
    <s v="Turquoise"/>
    <x v="1"/>
    <n v="3"/>
    <s v="No"/>
    <x v="1"/>
    <s v="No"/>
    <n v="16"/>
    <x v="0"/>
    <s v="Annually"/>
    <n v="0.1"/>
    <n v="88.2"/>
    <n v="98"/>
    <s v="Venmo"/>
    <s v="Normal"/>
    <s v="Good"/>
  </r>
  <r>
    <n v="2750"/>
    <n v="64"/>
    <x v="1"/>
    <x v="14"/>
    <x v="2"/>
    <n v="53"/>
    <x v="34"/>
    <x v="2"/>
    <s v="Cyan"/>
    <x v="1"/>
    <n v="3.4"/>
    <s v="No"/>
    <x v="3"/>
    <s v="No"/>
    <n v="15"/>
    <x v="4"/>
    <s v="Annually"/>
    <n v="0.1"/>
    <n v="47.7"/>
    <n v="53"/>
    <s v="Bank Transfer"/>
    <s v="Normal"/>
    <s v="Good"/>
  </r>
  <r>
    <n v="2751"/>
    <n v="51"/>
    <x v="1"/>
    <x v="3"/>
    <x v="1"/>
    <n v="66"/>
    <x v="29"/>
    <x v="0"/>
    <s v="Pink"/>
    <x v="1"/>
    <n v="2.7"/>
    <s v="No"/>
    <x v="4"/>
    <s v="No"/>
    <n v="26"/>
    <x v="3"/>
    <s v="Every 3 Months"/>
    <n v="0.1"/>
    <n v="59.4"/>
    <n v="66"/>
    <s v="PayPal"/>
    <s v="Normal"/>
    <s v="Poor"/>
  </r>
  <r>
    <n v="2752"/>
    <n v="27"/>
    <x v="1"/>
    <x v="10"/>
    <x v="0"/>
    <n v="52"/>
    <x v="46"/>
    <x v="1"/>
    <s v="Indigo"/>
    <x v="3"/>
    <n v="3.1"/>
    <s v="No"/>
    <x v="1"/>
    <s v="No"/>
    <n v="50"/>
    <x v="0"/>
    <s v="Monthly"/>
    <n v="0.1"/>
    <n v="46.8"/>
    <n v="52"/>
    <s v="Venmo"/>
    <s v="Normal"/>
    <s v="Good"/>
  </r>
  <r>
    <n v="2753"/>
    <n v="48"/>
    <x v="1"/>
    <x v="1"/>
    <x v="0"/>
    <n v="64"/>
    <x v="24"/>
    <x v="1"/>
    <s v="Peach"/>
    <x v="0"/>
    <n v="4"/>
    <s v="No"/>
    <x v="1"/>
    <s v="No"/>
    <n v="30"/>
    <x v="0"/>
    <s v="Bi-Weekly"/>
    <n v="0.1"/>
    <n v="57.6"/>
    <n v="64"/>
    <s v="Venmo"/>
    <s v="Normal"/>
    <s v="Good"/>
  </r>
  <r>
    <n v="2754"/>
    <n v="69"/>
    <x v="1"/>
    <x v="24"/>
    <x v="3"/>
    <n v="59"/>
    <x v="3"/>
    <x v="2"/>
    <s v="Beige"/>
    <x v="1"/>
    <n v="3.6"/>
    <s v="No"/>
    <x v="2"/>
    <s v="No"/>
    <n v="48"/>
    <x v="3"/>
    <s v="Quarterly"/>
    <n v="0.1"/>
    <n v="53.1"/>
    <n v="59"/>
    <s v="PayPal"/>
    <s v="Normal"/>
    <s v="Good"/>
  </r>
  <r>
    <n v="2755"/>
    <n v="59"/>
    <x v="1"/>
    <x v="12"/>
    <x v="3"/>
    <n v="61"/>
    <x v="32"/>
    <x v="0"/>
    <s v="Gold"/>
    <x v="2"/>
    <n v="3.6"/>
    <s v="No"/>
    <x v="1"/>
    <s v="No"/>
    <n v="21"/>
    <x v="0"/>
    <s v="Bi-Weekly"/>
    <n v="0.1"/>
    <n v="54.9"/>
    <n v="61"/>
    <s v="Venmo"/>
    <s v="Normal"/>
    <s v="Good"/>
  </r>
  <r>
    <n v="2756"/>
    <n v="59"/>
    <x v="1"/>
    <x v="22"/>
    <x v="3"/>
    <n v="97"/>
    <x v="22"/>
    <x v="2"/>
    <s v="Indigo"/>
    <x v="0"/>
    <n v="3.3"/>
    <s v="No"/>
    <x v="5"/>
    <s v="No"/>
    <n v="18"/>
    <x v="2"/>
    <s v="Annually"/>
    <n v="0.1"/>
    <n v="87.3"/>
    <n v="97"/>
    <s v="Credit Card"/>
    <s v="Normal"/>
    <s v="Good"/>
  </r>
  <r>
    <n v="2757"/>
    <n v="42"/>
    <x v="1"/>
    <x v="19"/>
    <x v="3"/>
    <n v="23"/>
    <x v="46"/>
    <x v="0"/>
    <s v="Violet"/>
    <x v="0"/>
    <n v="4.0999999999999996"/>
    <s v="No"/>
    <x v="1"/>
    <s v="No"/>
    <n v="41"/>
    <x v="3"/>
    <s v="Monthly"/>
    <n v="0.1"/>
    <n v="20.7"/>
    <n v="23"/>
    <s v="PayPal"/>
    <s v="Normal"/>
    <s v="Good"/>
  </r>
  <r>
    <n v="2758"/>
    <n v="39"/>
    <x v="1"/>
    <x v="19"/>
    <x v="3"/>
    <n v="98"/>
    <x v="12"/>
    <x v="3"/>
    <s v="Brown"/>
    <x v="3"/>
    <n v="4.3"/>
    <s v="No"/>
    <x v="2"/>
    <s v="No"/>
    <n v="11"/>
    <x v="0"/>
    <s v="Monthly"/>
    <n v="0.1"/>
    <n v="88.2"/>
    <n v="98"/>
    <s v="Venmo"/>
    <s v="Normal"/>
    <s v="Good"/>
  </r>
  <r>
    <n v="2759"/>
    <n v="32"/>
    <x v="1"/>
    <x v="0"/>
    <x v="0"/>
    <n v="98"/>
    <x v="26"/>
    <x v="2"/>
    <s v="Purple"/>
    <x v="2"/>
    <n v="3.2"/>
    <s v="No"/>
    <x v="3"/>
    <s v="No"/>
    <n v="8"/>
    <x v="4"/>
    <s v="Bi-Weekly"/>
    <n v="0.1"/>
    <n v="88.2"/>
    <n v="98"/>
    <s v="Bank Transfer"/>
    <s v="Normal"/>
    <s v="Good"/>
  </r>
  <r>
    <n v="2760"/>
    <n v="68"/>
    <x v="1"/>
    <x v="9"/>
    <x v="1"/>
    <n v="59"/>
    <x v="47"/>
    <x v="2"/>
    <s v="Turquoise"/>
    <x v="2"/>
    <n v="3.9"/>
    <s v="No"/>
    <x v="1"/>
    <s v="No"/>
    <n v="42"/>
    <x v="1"/>
    <s v="Every 3 Months"/>
    <n v="0.1"/>
    <n v="53.1"/>
    <n v="59"/>
    <s v="Cash"/>
    <s v="Normal"/>
    <s v="Good"/>
  </r>
  <r>
    <n v="2761"/>
    <n v="41"/>
    <x v="1"/>
    <x v="11"/>
    <x v="0"/>
    <n v="82"/>
    <x v="29"/>
    <x v="1"/>
    <s v="Violet"/>
    <x v="3"/>
    <n v="5"/>
    <s v="No"/>
    <x v="2"/>
    <s v="No"/>
    <n v="41"/>
    <x v="2"/>
    <s v="Bi-Weekly"/>
    <n v="0.1"/>
    <n v="73.8"/>
    <n v="82"/>
    <s v="Credit Card"/>
    <s v="Normal"/>
    <s v="Good"/>
  </r>
  <r>
    <n v="2762"/>
    <n v="31"/>
    <x v="1"/>
    <x v="4"/>
    <x v="1"/>
    <n v="82"/>
    <x v="49"/>
    <x v="2"/>
    <s v="Purple"/>
    <x v="3"/>
    <n v="3.4"/>
    <s v="No"/>
    <x v="2"/>
    <s v="No"/>
    <n v="3"/>
    <x v="2"/>
    <s v="Every 3 Months"/>
    <n v="0.1"/>
    <n v="73.8"/>
    <n v="82"/>
    <s v="Credit Card"/>
    <s v="Normal"/>
    <s v="Good"/>
  </r>
  <r>
    <n v="2763"/>
    <n v="58"/>
    <x v="1"/>
    <x v="17"/>
    <x v="0"/>
    <n v="41"/>
    <x v="42"/>
    <x v="2"/>
    <s v="Charcoal"/>
    <x v="3"/>
    <n v="3.8"/>
    <s v="No"/>
    <x v="5"/>
    <s v="No"/>
    <n v="10"/>
    <x v="5"/>
    <s v="Every 3 Months"/>
    <n v="0.1"/>
    <n v="36.9"/>
    <n v="41"/>
    <s v="Debit Card"/>
    <s v="Normal"/>
    <s v="Good"/>
  </r>
  <r>
    <n v="2764"/>
    <n v="28"/>
    <x v="1"/>
    <x v="8"/>
    <x v="3"/>
    <n v="52"/>
    <x v="8"/>
    <x v="2"/>
    <s v="Green"/>
    <x v="3"/>
    <n v="2.9"/>
    <s v="No"/>
    <x v="4"/>
    <s v="No"/>
    <n v="35"/>
    <x v="0"/>
    <s v="Quarterly"/>
    <n v="0.1"/>
    <n v="46.8"/>
    <n v="52"/>
    <s v="Venmo"/>
    <s v="Normal"/>
    <s v="Poor"/>
  </r>
  <r>
    <n v="2765"/>
    <n v="63"/>
    <x v="1"/>
    <x v="1"/>
    <x v="0"/>
    <n v="41"/>
    <x v="28"/>
    <x v="3"/>
    <s v="White"/>
    <x v="1"/>
    <n v="2.6"/>
    <s v="No"/>
    <x v="2"/>
    <s v="No"/>
    <n v="2"/>
    <x v="5"/>
    <s v="Weekly"/>
    <n v="0.1"/>
    <n v="36.9"/>
    <n v="41"/>
    <s v="Debit Card"/>
    <s v="Normal"/>
    <s v="Poor"/>
  </r>
  <r>
    <n v="2766"/>
    <n v="64"/>
    <x v="1"/>
    <x v="24"/>
    <x v="3"/>
    <n v="70"/>
    <x v="24"/>
    <x v="2"/>
    <s v="Purple"/>
    <x v="2"/>
    <n v="4.3"/>
    <s v="No"/>
    <x v="4"/>
    <s v="No"/>
    <n v="24"/>
    <x v="2"/>
    <s v="Quarterly"/>
    <n v="0.1"/>
    <n v="63"/>
    <n v="70"/>
    <s v="Credit Card"/>
    <s v="Normal"/>
    <s v="Good"/>
  </r>
  <r>
    <n v="2767"/>
    <n v="66"/>
    <x v="1"/>
    <x v="10"/>
    <x v="0"/>
    <n v="91"/>
    <x v="30"/>
    <x v="2"/>
    <s v="Cyan"/>
    <x v="0"/>
    <n v="2.8"/>
    <s v="No"/>
    <x v="3"/>
    <s v="No"/>
    <n v="47"/>
    <x v="2"/>
    <s v="Monthly"/>
    <n v="0.1"/>
    <n v="81.900000000000006"/>
    <n v="91"/>
    <s v="Credit Card"/>
    <s v="Normal"/>
    <s v="Poor"/>
  </r>
  <r>
    <n v="2768"/>
    <n v="31"/>
    <x v="1"/>
    <x v="10"/>
    <x v="0"/>
    <n v="95"/>
    <x v="44"/>
    <x v="2"/>
    <s v="Green"/>
    <x v="1"/>
    <n v="4.5"/>
    <s v="No"/>
    <x v="1"/>
    <s v="No"/>
    <n v="31"/>
    <x v="1"/>
    <s v="Monthly"/>
    <n v="0.1"/>
    <n v="85.5"/>
    <n v="95"/>
    <s v="Cash"/>
    <s v="Normal"/>
    <s v="Good"/>
  </r>
  <r>
    <n v="2769"/>
    <n v="55"/>
    <x v="1"/>
    <x v="0"/>
    <x v="0"/>
    <n v="25"/>
    <x v="23"/>
    <x v="2"/>
    <s v="Beige"/>
    <x v="1"/>
    <n v="3.8"/>
    <s v="No"/>
    <x v="4"/>
    <s v="No"/>
    <n v="28"/>
    <x v="3"/>
    <s v="Bi-Weekly"/>
    <n v="0.1"/>
    <n v="22.5"/>
    <n v="25"/>
    <s v="PayPal"/>
    <s v="Normal"/>
    <s v="Good"/>
  </r>
  <r>
    <n v="2770"/>
    <n v="32"/>
    <x v="1"/>
    <x v="5"/>
    <x v="0"/>
    <n v="89"/>
    <x v="19"/>
    <x v="0"/>
    <s v="Lavender"/>
    <x v="3"/>
    <n v="3"/>
    <s v="No"/>
    <x v="3"/>
    <s v="No"/>
    <n v="13"/>
    <x v="1"/>
    <s v="Weekly"/>
    <n v="0.1"/>
    <n v="80.099999999999994"/>
    <n v="89"/>
    <s v="Cash"/>
    <s v="Normal"/>
    <s v="Good"/>
  </r>
  <r>
    <n v="2771"/>
    <n v="50"/>
    <x v="1"/>
    <x v="23"/>
    <x v="1"/>
    <n v="44"/>
    <x v="43"/>
    <x v="1"/>
    <s v="Blue"/>
    <x v="3"/>
    <n v="3.3"/>
    <s v="No"/>
    <x v="0"/>
    <s v="No"/>
    <n v="22"/>
    <x v="4"/>
    <s v="Quarterly"/>
    <n v="0.1"/>
    <n v="39.6"/>
    <n v="44"/>
    <s v="Bank Transfer"/>
    <s v="Normal"/>
    <s v="Good"/>
  </r>
  <r>
    <n v="2772"/>
    <n v="58"/>
    <x v="1"/>
    <x v="14"/>
    <x v="2"/>
    <n v="52"/>
    <x v="33"/>
    <x v="1"/>
    <s v="Beige"/>
    <x v="2"/>
    <n v="3.1"/>
    <s v="No"/>
    <x v="4"/>
    <s v="No"/>
    <n v="12"/>
    <x v="4"/>
    <s v="Fortnightly"/>
    <n v="0.1"/>
    <n v="46.8"/>
    <n v="52"/>
    <s v="Bank Transfer"/>
    <s v="Normal"/>
    <s v="Good"/>
  </r>
  <r>
    <n v="2773"/>
    <n v="18"/>
    <x v="1"/>
    <x v="21"/>
    <x v="3"/>
    <n v="94"/>
    <x v="38"/>
    <x v="0"/>
    <s v="Blue"/>
    <x v="1"/>
    <n v="3.5"/>
    <s v="No"/>
    <x v="5"/>
    <s v="No"/>
    <n v="10"/>
    <x v="4"/>
    <s v="Every 3 Months"/>
    <n v="0.1"/>
    <n v="84.6"/>
    <n v="94"/>
    <s v="Bank Transfer"/>
    <s v="Normal"/>
    <s v="Good"/>
  </r>
  <r>
    <n v="2774"/>
    <n v="39"/>
    <x v="1"/>
    <x v="13"/>
    <x v="0"/>
    <n v="98"/>
    <x v="28"/>
    <x v="1"/>
    <s v="Maroon"/>
    <x v="1"/>
    <n v="4.5999999999999996"/>
    <s v="No"/>
    <x v="0"/>
    <s v="No"/>
    <n v="45"/>
    <x v="4"/>
    <s v="Quarterly"/>
    <n v="0.1"/>
    <n v="88.2"/>
    <n v="98"/>
    <s v="Bank Transfer"/>
    <s v="Normal"/>
    <s v="Good"/>
  </r>
  <r>
    <n v="2775"/>
    <n v="56"/>
    <x v="1"/>
    <x v="23"/>
    <x v="1"/>
    <n v="40"/>
    <x v="19"/>
    <x v="0"/>
    <s v="Yellow"/>
    <x v="3"/>
    <n v="4.0999999999999996"/>
    <s v="No"/>
    <x v="3"/>
    <s v="No"/>
    <n v="42"/>
    <x v="2"/>
    <s v="Quarterly"/>
    <n v="0.1"/>
    <n v="36"/>
    <n v="40"/>
    <s v="Credit Card"/>
    <s v="Normal"/>
    <s v="Good"/>
  </r>
  <r>
    <n v="2776"/>
    <n v="37"/>
    <x v="1"/>
    <x v="20"/>
    <x v="0"/>
    <n v="25"/>
    <x v="6"/>
    <x v="0"/>
    <s v="Red"/>
    <x v="3"/>
    <n v="3.6"/>
    <s v="No"/>
    <x v="1"/>
    <s v="No"/>
    <n v="16"/>
    <x v="5"/>
    <s v="Weekly"/>
    <n v="0.1"/>
    <n v="22.5"/>
    <n v="25"/>
    <s v="Debit Card"/>
    <s v="Normal"/>
    <s v="Good"/>
  </r>
  <r>
    <n v="2777"/>
    <n v="46"/>
    <x v="1"/>
    <x v="18"/>
    <x v="3"/>
    <n v="62"/>
    <x v="5"/>
    <x v="0"/>
    <s v="Green"/>
    <x v="3"/>
    <n v="2.9"/>
    <s v="No"/>
    <x v="1"/>
    <s v="No"/>
    <n v="6"/>
    <x v="4"/>
    <s v="Annually"/>
    <n v="0.1"/>
    <n v="55.8"/>
    <n v="62"/>
    <s v="Bank Transfer"/>
    <s v="Normal"/>
    <s v="Poor"/>
  </r>
  <r>
    <n v="2778"/>
    <n v="52"/>
    <x v="1"/>
    <x v="0"/>
    <x v="0"/>
    <n v="24"/>
    <x v="37"/>
    <x v="2"/>
    <s v="Magenta"/>
    <x v="3"/>
    <n v="4.8"/>
    <s v="No"/>
    <x v="3"/>
    <s v="No"/>
    <n v="28"/>
    <x v="2"/>
    <s v="Every 3 Months"/>
    <n v="0.1"/>
    <n v="21.6"/>
    <n v="24"/>
    <s v="Credit Card"/>
    <s v="Normal"/>
    <s v="Good"/>
  </r>
  <r>
    <n v="2779"/>
    <n v="70"/>
    <x v="1"/>
    <x v="22"/>
    <x v="3"/>
    <n v="57"/>
    <x v="38"/>
    <x v="0"/>
    <s v="Yellow"/>
    <x v="1"/>
    <n v="3.2"/>
    <s v="No"/>
    <x v="3"/>
    <s v="No"/>
    <n v="24"/>
    <x v="2"/>
    <s v="Bi-Weekly"/>
    <n v="0.1"/>
    <n v="51.3"/>
    <n v="57"/>
    <s v="Credit Card"/>
    <s v="Normal"/>
    <s v="Good"/>
  </r>
  <r>
    <n v="2780"/>
    <n v="61"/>
    <x v="1"/>
    <x v="12"/>
    <x v="3"/>
    <n v="66"/>
    <x v="6"/>
    <x v="0"/>
    <s v="Blue"/>
    <x v="0"/>
    <n v="4.3"/>
    <s v="No"/>
    <x v="0"/>
    <s v="No"/>
    <n v="14"/>
    <x v="2"/>
    <s v="Fortnightly"/>
    <n v="0.1"/>
    <n v="59.4"/>
    <n v="66"/>
    <s v="Credit Card"/>
    <s v="Normal"/>
    <s v="Good"/>
  </r>
  <r>
    <n v="2781"/>
    <n v="33"/>
    <x v="1"/>
    <x v="23"/>
    <x v="1"/>
    <n v="70"/>
    <x v="31"/>
    <x v="2"/>
    <s v="Charcoal"/>
    <x v="0"/>
    <n v="4.0999999999999996"/>
    <s v="No"/>
    <x v="2"/>
    <s v="No"/>
    <n v="29"/>
    <x v="3"/>
    <s v="Fortnightly"/>
    <n v="0.1"/>
    <n v="63"/>
    <n v="70"/>
    <s v="PayPal"/>
    <s v="Normal"/>
    <s v="Good"/>
  </r>
  <r>
    <n v="2782"/>
    <n v="65"/>
    <x v="1"/>
    <x v="3"/>
    <x v="1"/>
    <n v="39"/>
    <x v="16"/>
    <x v="2"/>
    <s v="Blue"/>
    <x v="1"/>
    <n v="4.5999999999999996"/>
    <s v="No"/>
    <x v="3"/>
    <s v="No"/>
    <n v="33"/>
    <x v="3"/>
    <s v="Weekly"/>
    <n v="0.1"/>
    <n v="35.1"/>
    <n v="39"/>
    <s v="PayPal"/>
    <s v="Normal"/>
    <s v="Good"/>
  </r>
  <r>
    <n v="2783"/>
    <n v="41"/>
    <x v="1"/>
    <x v="24"/>
    <x v="3"/>
    <n v="34"/>
    <x v="37"/>
    <x v="1"/>
    <s v="Cyan"/>
    <x v="1"/>
    <n v="3.8"/>
    <s v="No"/>
    <x v="1"/>
    <s v="No"/>
    <n v="30"/>
    <x v="3"/>
    <s v="Annually"/>
    <n v="0.1"/>
    <n v="30.6"/>
    <n v="34"/>
    <s v="PayPal"/>
    <s v="Normal"/>
    <s v="Good"/>
  </r>
  <r>
    <n v="2784"/>
    <n v="19"/>
    <x v="1"/>
    <x v="11"/>
    <x v="0"/>
    <n v="38"/>
    <x v="41"/>
    <x v="2"/>
    <s v="Silver"/>
    <x v="1"/>
    <n v="4.5"/>
    <s v="No"/>
    <x v="2"/>
    <s v="No"/>
    <n v="26"/>
    <x v="2"/>
    <s v="Quarterly"/>
    <n v="0.1"/>
    <n v="34.200000000000003"/>
    <n v="38"/>
    <s v="Credit Card"/>
    <s v="Normal"/>
    <s v="Good"/>
  </r>
  <r>
    <n v="2785"/>
    <n v="33"/>
    <x v="1"/>
    <x v="11"/>
    <x v="0"/>
    <n v="70"/>
    <x v="37"/>
    <x v="2"/>
    <s v="Black"/>
    <x v="0"/>
    <n v="3.1"/>
    <s v="No"/>
    <x v="0"/>
    <s v="No"/>
    <n v="12"/>
    <x v="3"/>
    <s v="Every 3 Months"/>
    <n v="0.1"/>
    <n v="63"/>
    <n v="70"/>
    <s v="PayPal"/>
    <s v="Normal"/>
    <s v="Good"/>
  </r>
  <r>
    <n v="2786"/>
    <n v="53"/>
    <x v="1"/>
    <x v="0"/>
    <x v="0"/>
    <n v="80"/>
    <x v="7"/>
    <x v="1"/>
    <s v="Green"/>
    <x v="2"/>
    <n v="2.9"/>
    <s v="No"/>
    <x v="2"/>
    <s v="No"/>
    <n v="13"/>
    <x v="4"/>
    <s v="Monthly"/>
    <n v="0.1"/>
    <n v="72"/>
    <n v="80"/>
    <s v="Bank Transfer"/>
    <s v="Normal"/>
    <s v="Poor"/>
  </r>
  <r>
    <n v="2787"/>
    <n v="54"/>
    <x v="1"/>
    <x v="8"/>
    <x v="3"/>
    <n v="51"/>
    <x v="24"/>
    <x v="2"/>
    <s v="Violet"/>
    <x v="1"/>
    <n v="3.8"/>
    <s v="No"/>
    <x v="2"/>
    <s v="No"/>
    <n v="41"/>
    <x v="5"/>
    <s v="Every 3 Months"/>
    <n v="0.1"/>
    <n v="45.9"/>
    <n v="51"/>
    <s v="Debit Card"/>
    <s v="Normal"/>
    <s v="Good"/>
  </r>
  <r>
    <n v="2788"/>
    <n v="36"/>
    <x v="1"/>
    <x v="23"/>
    <x v="1"/>
    <n v="79"/>
    <x v="8"/>
    <x v="3"/>
    <s v="Pink"/>
    <x v="1"/>
    <n v="4.0999999999999996"/>
    <s v="No"/>
    <x v="2"/>
    <s v="No"/>
    <n v="4"/>
    <x v="0"/>
    <s v="Fortnightly"/>
    <n v="0.1"/>
    <n v="71.099999999999994"/>
    <n v="79"/>
    <s v="Venmo"/>
    <s v="Normal"/>
    <s v="Good"/>
  </r>
  <r>
    <n v="2789"/>
    <n v="56"/>
    <x v="1"/>
    <x v="23"/>
    <x v="1"/>
    <n v="92"/>
    <x v="3"/>
    <x v="2"/>
    <s v="Olive"/>
    <x v="2"/>
    <n v="3.1"/>
    <s v="No"/>
    <x v="1"/>
    <s v="No"/>
    <n v="2"/>
    <x v="2"/>
    <s v="Annually"/>
    <n v="0.1"/>
    <n v="82.8"/>
    <n v="92"/>
    <s v="Credit Card"/>
    <s v="Normal"/>
    <s v="Good"/>
  </r>
  <r>
    <n v="2790"/>
    <n v="28"/>
    <x v="1"/>
    <x v="1"/>
    <x v="0"/>
    <n v="85"/>
    <x v="17"/>
    <x v="0"/>
    <s v="Orange"/>
    <x v="3"/>
    <n v="5"/>
    <s v="No"/>
    <x v="0"/>
    <s v="No"/>
    <n v="28"/>
    <x v="2"/>
    <s v="Bi-Weekly"/>
    <n v="0.1"/>
    <n v="76.5"/>
    <n v="85"/>
    <s v="Credit Card"/>
    <s v="Normal"/>
    <s v="Good"/>
  </r>
  <r>
    <n v="2791"/>
    <n v="34"/>
    <x v="1"/>
    <x v="20"/>
    <x v="0"/>
    <n v="63"/>
    <x v="1"/>
    <x v="2"/>
    <s v="Black"/>
    <x v="1"/>
    <n v="4.5"/>
    <s v="No"/>
    <x v="1"/>
    <s v="No"/>
    <n v="24"/>
    <x v="5"/>
    <s v="Annually"/>
    <n v="0.1"/>
    <n v="56.7"/>
    <n v="63"/>
    <s v="Debit Card"/>
    <s v="Normal"/>
    <s v="Good"/>
  </r>
  <r>
    <n v="2792"/>
    <n v="43"/>
    <x v="1"/>
    <x v="24"/>
    <x v="3"/>
    <n v="60"/>
    <x v="44"/>
    <x v="2"/>
    <s v="Yellow"/>
    <x v="3"/>
    <n v="2.8"/>
    <s v="No"/>
    <x v="0"/>
    <s v="No"/>
    <n v="14"/>
    <x v="0"/>
    <s v="Fortnightly"/>
    <n v="0.1"/>
    <n v="54"/>
    <n v="60"/>
    <s v="Venmo"/>
    <s v="Normal"/>
    <s v="Poor"/>
  </r>
  <r>
    <n v="2793"/>
    <n v="54"/>
    <x v="1"/>
    <x v="6"/>
    <x v="0"/>
    <n v="44"/>
    <x v="0"/>
    <x v="0"/>
    <s v="Violet"/>
    <x v="0"/>
    <n v="3.2"/>
    <s v="No"/>
    <x v="0"/>
    <s v="No"/>
    <n v="11"/>
    <x v="2"/>
    <s v="Weekly"/>
    <n v="0.1"/>
    <n v="39.6"/>
    <n v="44"/>
    <s v="Credit Card"/>
    <s v="Normal"/>
    <s v="Good"/>
  </r>
  <r>
    <n v="2794"/>
    <n v="37"/>
    <x v="1"/>
    <x v="23"/>
    <x v="1"/>
    <n v="57"/>
    <x v="2"/>
    <x v="2"/>
    <s v="Silver"/>
    <x v="1"/>
    <n v="3.1"/>
    <s v="No"/>
    <x v="3"/>
    <s v="No"/>
    <n v="27"/>
    <x v="5"/>
    <s v="Bi-Weekly"/>
    <n v="0.1"/>
    <n v="51.3"/>
    <n v="57"/>
    <s v="Debit Card"/>
    <s v="Normal"/>
    <s v="Good"/>
  </r>
  <r>
    <n v="2795"/>
    <n v="33"/>
    <x v="1"/>
    <x v="14"/>
    <x v="2"/>
    <n v="24"/>
    <x v="14"/>
    <x v="2"/>
    <s v="Gold"/>
    <x v="3"/>
    <n v="3.3"/>
    <s v="No"/>
    <x v="3"/>
    <s v="No"/>
    <n v="7"/>
    <x v="1"/>
    <s v="Fortnightly"/>
    <n v="0.1"/>
    <n v="21.6"/>
    <n v="24"/>
    <s v="Cash"/>
    <s v="Normal"/>
    <s v="Good"/>
  </r>
  <r>
    <n v="2796"/>
    <n v="33"/>
    <x v="1"/>
    <x v="18"/>
    <x v="3"/>
    <n v="35"/>
    <x v="43"/>
    <x v="2"/>
    <s v="Magenta"/>
    <x v="0"/>
    <n v="3.4"/>
    <s v="No"/>
    <x v="5"/>
    <s v="No"/>
    <n v="49"/>
    <x v="3"/>
    <s v="Annually"/>
    <n v="0.1"/>
    <n v="31.5"/>
    <n v="35"/>
    <s v="PayPal"/>
    <s v="Normal"/>
    <s v="Good"/>
  </r>
  <r>
    <n v="2797"/>
    <n v="55"/>
    <x v="1"/>
    <x v="14"/>
    <x v="2"/>
    <n v="73"/>
    <x v="19"/>
    <x v="2"/>
    <s v="Red"/>
    <x v="0"/>
    <n v="3.8"/>
    <s v="No"/>
    <x v="5"/>
    <s v="No"/>
    <n v="21"/>
    <x v="1"/>
    <s v="Annually"/>
    <n v="0.1"/>
    <n v="65.7"/>
    <n v="73"/>
    <s v="Cash"/>
    <s v="Normal"/>
    <s v="Good"/>
  </r>
  <r>
    <n v="2798"/>
    <n v="63"/>
    <x v="1"/>
    <x v="16"/>
    <x v="3"/>
    <n v="42"/>
    <x v="19"/>
    <x v="2"/>
    <s v="Green"/>
    <x v="0"/>
    <n v="3.5"/>
    <s v="No"/>
    <x v="0"/>
    <s v="No"/>
    <n v="10"/>
    <x v="0"/>
    <s v="Every 3 Months"/>
    <n v="0.1"/>
    <n v="37.799999999999997"/>
    <n v="42"/>
    <s v="Venmo"/>
    <s v="Normal"/>
    <s v="Good"/>
  </r>
  <r>
    <n v="2799"/>
    <n v="52"/>
    <x v="1"/>
    <x v="15"/>
    <x v="0"/>
    <n v="20"/>
    <x v="3"/>
    <x v="3"/>
    <s v="Red"/>
    <x v="0"/>
    <n v="4.8"/>
    <s v="No"/>
    <x v="5"/>
    <s v="No"/>
    <n v="37"/>
    <x v="3"/>
    <s v="Weekly"/>
    <n v="0.1"/>
    <n v="18"/>
    <n v="20"/>
    <s v="PayPal"/>
    <s v="Normal"/>
    <s v="Good"/>
  </r>
  <r>
    <n v="2800"/>
    <n v="23"/>
    <x v="1"/>
    <x v="17"/>
    <x v="0"/>
    <n v="89"/>
    <x v="1"/>
    <x v="0"/>
    <s v="Pink"/>
    <x v="1"/>
    <n v="3.9"/>
    <s v="No"/>
    <x v="1"/>
    <s v="No"/>
    <n v="9"/>
    <x v="4"/>
    <s v="Every 3 Months"/>
    <n v="0.1"/>
    <n v="80.099999999999994"/>
    <n v="89"/>
    <s v="Bank Transfer"/>
    <s v="Normal"/>
    <s v="Good"/>
  </r>
  <r>
    <n v="2801"/>
    <n v="70"/>
    <x v="1"/>
    <x v="5"/>
    <x v="0"/>
    <n v="76"/>
    <x v="10"/>
    <x v="0"/>
    <s v="Violet"/>
    <x v="3"/>
    <n v="3.4"/>
    <s v="No"/>
    <x v="1"/>
    <s v="No"/>
    <n v="14"/>
    <x v="1"/>
    <s v="Bi-Weekly"/>
    <n v="0.1"/>
    <n v="68.400000000000006"/>
    <n v="76"/>
    <s v="Cash"/>
    <s v="Normal"/>
    <s v="Good"/>
  </r>
  <r>
    <n v="2802"/>
    <n v="64"/>
    <x v="1"/>
    <x v="5"/>
    <x v="0"/>
    <n v="56"/>
    <x v="35"/>
    <x v="2"/>
    <s v="Indigo"/>
    <x v="0"/>
    <n v="2.6"/>
    <s v="No"/>
    <x v="0"/>
    <s v="No"/>
    <n v="30"/>
    <x v="3"/>
    <s v="Annually"/>
    <n v="0.1"/>
    <n v="50.4"/>
    <n v="56"/>
    <s v="PayPal"/>
    <s v="Normal"/>
    <s v="Poor"/>
  </r>
  <r>
    <n v="2803"/>
    <n v="22"/>
    <x v="1"/>
    <x v="7"/>
    <x v="2"/>
    <n v="100"/>
    <x v="11"/>
    <x v="0"/>
    <s v="Red"/>
    <x v="3"/>
    <n v="3.1"/>
    <s v="No"/>
    <x v="5"/>
    <s v="No"/>
    <n v="42"/>
    <x v="2"/>
    <s v="Fortnightly"/>
    <n v="0.1"/>
    <n v="90"/>
    <n v="100"/>
    <s v="Credit Card"/>
    <s v="Normal"/>
    <s v="Good"/>
  </r>
  <r>
    <n v="2804"/>
    <n v="46"/>
    <x v="1"/>
    <x v="17"/>
    <x v="0"/>
    <n v="44"/>
    <x v="37"/>
    <x v="2"/>
    <s v="Violet"/>
    <x v="0"/>
    <n v="3.3"/>
    <s v="No"/>
    <x v="1"/>
    <s v="No"/>
    <n v="31"/>
    <x v="4"/>
    <s v="Monthly"/>
    <n v="0.1"/>
    <n v="39.6"/>
    <n v="44"/>
    <s v="Bank Transfer"/>
    <s v="Normal"/>
    <s v="Good"/>
  </r>
  <r>
    <n v="2805"/>
    <n v="65"/>
    <x v="1"/>
    <x v="15"/>
    <x v="0"/>
    <n v="76"/>
    <x v="36"/>
    <x v="2"/>
    <s v="Cyan"/>
    <x v="1"/>
    <n v="2.8"/>
    <s v="No"/>
    <x v="3"/>
    <s v="No"/>
    <n v="48"/>
    <x v="4"/>
    <s v="Every 3 Months"/>
    <n v="0.1"/>
    <n v="68.400000000000006"/>
    <n v="76"/>
    <s v="Bank Transfer"/>
    <s v="Normal"/>
    <s v="Poor"/>
  </r>
  <r>
    <n v="2806"/>
    <n v="18"/>
    <x v="1"/>
    <x v="12"/>
    <x v="3"/>
    <n v="97"/>
    <x v="22"/>
    <x v="1"/>
    <s v="Black"/>
    <x v="3"/>
    <n v="4.3"/>
    <s v="No"/>
    <x v="3"/>
    <s v="No"/>
    <n v="48"/>
    <x v="1"/>
    <s v="Quarterly"/>
    <n v="0.1"/>
    <n v="87.3"/>
    <n v="97"/>
    <s v="Cash"/>
    <s v="Normal"/>
    <s v="Good"/>
  </r>
  <r>
    <n v="2807"/>
    <n v="45"/>
    <x v="1"/>
    <x v="0"/>
    <x v="0"/>
    <n v="39"/>
    <x v="36"/>
    <x v="0"/>
    <s v="Purple"/>
    <x v="1"/>
    <n v="2.7"/>
    <s v="No"/>
    <x v="3"/>
    <s v="No"/>
    <n v="50"/>
    <x v="2"/>
    <s v="Annually"/>
    <n v="0.1"/>
    <n v="35.1"/>
    <n v="39"/>
    <s v="Credit Card"/>
    <s v="Normal"/>
    <s v="Poor"/>
  </r>
  <r>
    <n v="2808"/>
    <n v="56"/>
    <x v="1"/>
    <x v="15"/>
    <x v="0"/>
    <n v="100"/>
    <x v="33"/>
    <x v="2"/>
    <s v="Charcoal"/>
    <x v="1"/>
    <n v="4.4000000000000004"/>
    <s v="No"/>
    <x v="4"/>
    <s v="No"/>
    <n v="10"/>
    <x v="5"/>
    <s v="Fortnightly"/>
    <n v="0.1"/>
    <n v="90"/>
    <n v="100"/>
    <s v="Debit Card"/>
    <s v="Normal"/>
    <s v="Good"/>
  </r>
  <r>
    <n v="2809"/>
    <n v="49"/>
    <x v="1"/>
    <x v="11"/>
    <x v="0"/>
    <n v="62"/>
    <x v="30"/>
    <x v="2"/>
    <s v="Beige"/>
    <x v="1"/>
    <n v="3.9"/>
    <s v="No"/>
    <x v="1"/>
    <s v="No"/>
    <n v="45"/>
    <x v="3"/>
    <s v="Every 3 Months"/>
    <n v="0.1"/>
    <n v="55.8"/>
    <n v="62"/>
    <s v="PayPal"/>
    <s v="Normal"/>
    <s v="Good"/>
  </r>
  <r>
    <n v="2810"/>
    <n v="66"/>
    <x v="1"/>
    <x v="6"/>
    <x v="0"/>
    <n v="98"/>
    <x v="10"/>
    <x v="3"/>
    <s v="Teal"/>
    <x v="2"/>
    <n v="3"/>
    <s v="No"/>
    <x v="3"/>
    <s v="No"/>
    <n v="27"/>
    <x v="5"/>
    <s v="Quarterly"/>
    <n v="0.1"/>
    <n v="88.2"/>
    <n v="98"/>
    <s v="Debit Card"/>
    <s v="Normal"/>
    <s v="Good"/>
  </r>
  <r>
    <n v="2811"/>
    <n v="27"/>
    <x v="1"/>
    <x v="2"/>
    <x v="0"/>
    <n v="31"/>
    <x v="28"/>
    <x v="2"/>
    <s v="Purple"/>
    <x v="2"/>
    <n v="4"/>
    <s v="No"/>
    <x v="3"/>
    <s v="No"/>
    <n v="10"/>
    <x v="5"/>
    <s v="Fortnightly"/>
    <n v="0.1"/>
    <n v="27.9"/>
    <n v="31"/>
    <s v="Debit Card"/>
    <s v="Normal"/>
    <s v="Good"/>
  </r>
  <r>
    <n v="2812"/>
    <n v="69"/>
    <x v="1"/>
    <x v="14"/>
    <x v="2"/>
    <n v="89"/>
    <x v="31"/>
    <x v="2"/>
    <s v="Blue"/>
    <x v="3"/>
    <n v="3.7"/>
    <s v="No"/>
    <x v="5"/>
    <s v="No"/>
    <n v="19"/>
    <x v="2"/>
    <s v="Quarterly"/>
    <n v="0.1"/>
    <n v="80.099999999999994"/>
    <n v="89"/>
    <s v="Credit Card"/>
    <s v="Normal"/>
    <s v="Good"/>
  </r>
  <r>
    <n v="2813"/>
    <n v="66"/>
    <x v="1"/>
    <x v="15"/>
    <x v="0"/>
    <n v="91"/>
    <x v="25"/>
    <x v="3"/>
    <s v="Magenta"/>
    <x v="3"/>
    <n v="3.8"/>
    <s v="No"/>
    <x v="5"/>
    <s v="No"/>
    <n v="1"/>
    <x v="2"/>
    <s v="Every 3 Months"/>
    <n v="0.1"/>
    <n v="81.900000000000006"/>
    <n v="91"/>
    <s v="Credit Card"/>
    <s v="Normal"/>
    <s v="Good"/>
  </r>
  <r>
    <n v="2814"/>
    <n v="45"/>
    <x v="1"/>
    <x v="5"/>
    <x v="0"/>
    <n v="50"/>
    <x v="34"/>
    <x v="1"/>
    <s v="Maroon"/>
    <x v="2"/>
    <n v="3.3"/>
    <s v="No"/>
    <x v="4"/>
    <s v="No"/>
    <n v="39"/>
    <x v="5"/>
    <s v="Quarterly"/>
    <n v="0.1"/>
    <n v="45"/>
    <n v="50"/>
    <s v="Debit Card"/>
    <s v="Normal"/>
    <s v="Good"/>
  </r>
  <r>
    <n v="2815"/>
    <n v="31"/>
    <x v="1"/>
    <x v="17"/>
    <x v="0"/>
    <n v="32"/>
    <x v="46"/>
    <x v="0"/>
    <s v="Gold"/>
    <x v="0"/>
    <n v="3.6"/>
    <s v="No"/>
    <x v="3"/>
    <s v="No"/>
    <n v="14"/>
    <x v="4"/>
    <s v="Monthly"/>
    <n v="0.1"/>
    <n v="28.8"/>
    <n v="32"/>
    <s v="Bank Transfer"/>
    <s v="Normal"/>
    <s v="Good"/>
  </r>
  <r>
    <n v="2816"/>
    <n v="33"/>
    <x v="1"/>
    <x v="0"/>
    <x v="0"/>
    <n v="67"/>
    <x v="37"/>
    <x v="0"/>
    <s v="Black"/>
    <x v="3"/>
    <n v="3.9"/>
    <s v="No"/>
    <x v="1"/>
    <s v="No"/>
    <n v="40"/>
    <x v="0"/>
    <s v="Every 3 Months"/>
    <n v="0.1"/>
    <n v="60.3"/>
    <n v="67"/>
    <s v="Venmo"/>
    <s v="Normal"/>
    <s v="Good"/>
  </r>
  <r>
    <n v="2817"/>
    <n v="43"/>
    <x v="1"/>
    <x v="11"/>
    <x v="0"/>
    <n v="28"/>
    <x v="33"/>
    <x v="2"/>
    <s v="Black"/>
    <x v="1"/>
    <n v="3.5"/>
    <s v="No"/>
    <x v="1"/>
    <s v="No"/>
    <n v="45"/>
    <x v="0"/>
    <s v="Weekly"/>
    <n v="0.1"/>
    <n v="25.2"/>
    <n v="28"/>
    <s v="Venmo"/>
    <s v="Normal"/>
    <s v="Good"/>
  </r>
  <r>
    <n v="2818"/>
    <n v="25"/>
    <x v="1"/>
    <x v="21"/>
    <x v="3"/>
    <n v="65"/>
    <x v="36"/>
    <x v="3"/>
    <s v="Yellow"/>
    <x v="0"/>
    <n v="3.4"/>
    <s v="No"/>
    <x v="3"/>
    <s v="No"/>
    <n v="6"/>
    <x v="0"/>
    <s v="Weekly"/>
    <n v="0.1"/>
    <n v="58.5"/>
    <n v="65"/>
    <s v="Venmo"/>
    <s v="Normal"/>
    <s v="Good"/>
  </r>
  <r>
    <n v="2819"/>
    <n v="46"/>
    <x v="1"/>
    <x v="6"/>
    <x v="0"/>
    <n v="73"/>
    <x v="18"/>
    <x v="2"/>
    <s v="Turquoise"/>
    <x v="3"/>
    <n v="4.7"/>
    <s v="No"/>
    <x v="2"/>
    <s v="No"/>
    <n v="12"/>
    <x v="5"/>
    <s v="Annually"/>
    <n v="0.1"/>
    <n v="65.7"/>
    <n v="73"/>
    <s v="Debit Card"/>
    <s v="Normal"/>
    <s v="Good"/>
  </r>
  <r>
    <n v="2820"/>
    <n v="67"/>
    <x v="1"/>
    <x v="5"/>
    <x v="0"/>
    <n v="27"/>
    <x v="42"/>
    <x v="0"/>
    <s v="Lavender"/>
    <x v="1"/>
    <n v="3"/>
    <s v="No"/>
    <x v="1"/>
    <s v="No"/>
    <n v="19"/>
    <x v="1"/>
    <s v="Monthly"/>
    <n v="0.1"/>
    <n v="24.3"/>
    <n v="27"/>
    <s v="Cash"/>
    <s v="Normal"/>
    <s v="Good"/>
  </r>
  <r>
    <n v="2821"/>
    <n v="26"/>
    <x v="1"/>
    <x v="21"/>
    <x v="3"/>
    <n v="89"/>
    <x v="34"/>
    <x v="0"/>
    <s v="Yellow"/>
    <x v="2"/>
    <n v="3.9"/>
    <s v="No"/>
    <x v="1"/>
    <s v="No"/>
    <n v="5"/>
    <x v="1"/>
    <s v="Bi-Weekly"/>
    <n v="0.1"/>
    <n v="80.099999999999994"/>
    <n v="89"/>
    <s v="Cash"/>
    <s v="Normal"/>
    <s v="Good"/>
  </r>
  <r>
    <n v="2822"/>
    <n v="35"/>
    <x v="1"/>
    <x v="9"/>
    <x v="1"/>
    <n v="72"/>
    <x v="42"/>
    <x v="0"/>
    <s v="Olive"/>
    <x v="2"/>
    <n v="4.5"/>
    <s v="No"/>
    <x v="3"/>
    <s v="No"/>
    <n v="37"/>
    <x v="0"/>
    <s v="Monthly"/>
    <n v="0.1"/>
    <n v="64.8"/>
    <n v="72"/>
    <s v="Venmo"/>
    <s v="Normal"/>
    <s v="Good"/>
  </r>
  <r>
    <n v="2823"/>
    <n v="61"/>
    <x v="1"/>
    <x v="11"/>
    <x v="0"/>
    <n v="37"/>
    <x v="32"/>
    <x v="1"/>
    <s v="Brown"/>
    <x v="3"/>
    <n v="4.0999999999999996"/>
    <s v="No"/>
    <x v="3"/>
    <s v="No"/>
    <n v="33"/>
    <x v="3"/>
    <s v="Quarterly"/>
    <n v="0.1"/>
    <n v="33.299999999999997"/>
    <n v="37"/>
    <s v="PayPal"/>
    <s v="Normal"/>
    <s v="Good"/>
  </r>
  <r>
    <n v="2824"/>
    <n v="26"/>
    <x v="1"/>
    <x v="10"/>
    <x v="0"/>
    <n v="63"/>
    <x v="40"/>
    <x v="2"/>
    <s v="Olive"/>
    <x v="2"/>
    <n v="4.5"/>
    <s v="No"/>
    <x v="3"/>
    <s v="No"/>
    <n v="47"/>
    <x v="5"/>
    <s v="Bi-Weekly"/>
    <n v="0.1"/>
    <n v="56.7"/>
    <n v="63"/>
    <s v="Debit Card"/>
    <s v="Normal"/>
    <s v="Good"/>
  </r>
  <r>
    <n v="2825"/>
    <n v="39"/>
    <x v="1"/>
    <x v="19"/>
    <x v="3"/>
    <n v="90"/>
    <x v="40"/>
    <x v="2"/>
    <s v="Purple"/>
    <x v="3"/>
    <n v="4"/>
    <s v="No"/>
    <x v="1"/>
    <s v="No"/>
    <n v="49"/>
    <x v="5"/>
    <s v="Quarterly"/>
    <n v="0.1"/>
    <n v="81"/>
    <n v="90"/>
    <s v="Debit Card"/>
    <s v="Normal"/>
    <s v="Good"/>
  </r>
  <r>
    <n v="2826"/>
    <n v="69"/>
    <x v="1"/>
    <x v="8"/>
    <x v="3"/>
    <n v="62"/>
    <x v="17"/>
    <x v="2"/>
    <s v="Yellow"/>
    <x v="0"/>
    <n v="4.3"/>
    <s v="No"/>
    <x v="4"/>
    <s v="No"/>
    <n v="28"/>
    <x v="4"/>
    <s v="Annually"/>
    <n v="0.1"/>
    <n v="55.8"/>
    <n v="62"/>
    <s v="Bank Transfer"/>
    <s v="Normal"/>
    <s v="Good"/>
  </r>
  <r>
    <n v="2827"/>
    <n v="32"/>
    <x v="1"/>
    <x v="8"/>
    <x v="3"/>
    <n v="43"/>
    <x v="20"/>
    <x v="0"/>
    <s v="Brown"/>
    <x v="3"/>
    <n v="3.6"/>
    <s v="No"/>
    <x v="0"/>
    <s v="No"/>
    <n v="23"/>
    <x v="0"/>
    <s v="Annually"/>
    <n v="0.1"/>
    <n v="38.700000000000003"/>
    <n v="43"/>
    <s v="Venmo"/>
    <s v="Normal"/>
    <s v="Good"/>
  </r>
  <r>
    <n v="2828"/>
    <n v="20"/>
    <x v="1"/>
    <x v="0"/>
    <x v="0"/>
    <n v="96"/>
    <x v="48"/>
    <x v="2"/>
    <s v="Magenta"/>
    <x v="3"/>
    <n v="3.1"/>
    <s v="No"/>
    <x v="2"/>
    <s v="No"/>
    <n v="11"/>
    <x v="4"/>
    <s v="Bi-Weekly"/>
    <n v="0.1"/>
    <n v="86.4"/>
    <n v="96"/>
    <s v="Bank Transfer"/>
    <s v="Normal"/>
    <s v="Good"/>
  </r>
  <r>
    <n v="2829"/>
    <n v="25"/>
    <x v="1"/>
    <x v="18"/>
    <x v="3"/>
    <n v="83"/>
    <x v="30"/>
    <x v="0"/>
    <s v="Lavender"/>
    <x v="3"/>
    <n v="2.6"/>
    <s v="No"/>
    <x v="3"/>
    <s v="No"/>
    <n v="33"/>
    <x v="3"/>
    <s v="Quarterly"/>
    <n v="0.1"/>
    <n v="74.7"/>
    <n v="83"/>
    <s v="PayPal"/>
    <s v="Normal"/>
    <s v="Poor"/>
  </r>
  <r>
    <n v="2830"/>
    <n v="56"/>
    <x v="1"/>
    <x v="16"/>
    <x v="3"/>
    <n v="67"/>
    <x v="28"/>
    <x v="3"/>
    <s v="Teal"/>
    <x v="3"/>
    <n v="3.4"/>
    <s v="No"/>
    <x v="2"/>
    <s v="No"/>
    <n v="47"/>
    <x v="1"/>
    <s v="Weekly"/>
    <n v="0.1"/>
    <n v="60.3"/>
    <n v="67"/>
    <s v="Cash"/>
    <s v="Normal"/>
    <s v="Good"/>
  </r>
  <r>
    <n v="2831"/>
    <n v="63"/>
    <x v="1"/>
    <x v="11"/>
    <x v="0"/>
    <n v="90"/>
    <x v="4"/>
    <x v="0"/>
    <s v="Cyan"/>
    <x v="1"/>
    <n v="2.9"/>
    <s v="No"/>
    <x v="5"/>
    <s v="No"/>
    <n v="13"/>
    <x v="0"/>
    <s v="Every 3 Months"/>
    <n v="0.1"/>
    <n v="81"/>
    <n v="90"/>
    <s v="Venmo"/>
    <s v="Normal"/>
    <s v="Poor"/>
  </r>
  <r>
    <n v="2832"/>
    <n v="34"/>
    <x v="1"/>
    <x v="15"/>
    <x v="0"/>
    <n v="53"/>
    <x v="41"/>
    <x v="0"/>
    <s v="Pink"/>
    <x v="0"/>
    <n v="5"/>
    <s v="No"/>
    <x v="0"/>
    <s v="No"/>
    <n v="4"/>
    <x v="2"/>
    <s v="Weekly"/>
    <n v="0.1"/>
    <n v="47.7"/>
    <n v="53"/>
    <s v="Credit Card"/>
    <s v="Normal"/>
    <s v="Good"/>
  </r>
  <r>
    <n v="2833"/>
    <n v="29"/>
    <x v="1"/>
    <x v="18"/>
    <x v="3"/>
    <n v="37"/>
    <x v="33"/>
    <x v="2"/>
    <s v="Magenta"/>
    <x v="2"/>
    <n v="4.5999999999999996"/>
    <s v="No"/>
    <x v="3"/>
    <s v="No"/>
    <n v="40"/>
    <x v="3"/>
    <s v="Quarterly"/>
    <n v="0.1"/>
    <n v="33.299999999999997"/>
    <n v="37"/>
    <s v="PayPal"/>
    <s v="Normal"/>
    <s v="Good"/>
  </r>
  <r>
    <n v="2834"/>
    <n v="43"/>
    <x v="1"/>
    <x v="2"/>
    <x v="0"/>
    <n v="56"/>
    <x v="10"/>
    <x v="2"/>
    <s v="Teal"/>
    <x v="3"/>
    <n v="3.3"/>
    <s v="No"/>
    <x v="1"/>
    <s v="No"/>
    <n v="19"/>
    <x v="1"/>
    <s v="Monthly"/>
    <n v="0.1"/>
    <n v="50.4"/>
    <n v="56"/>
    <s v="Cash"/>
    <s v="Normal"/>
    <s v="Good"/>
  </r>
  <r>
    <n v="2835"/>
    <n v="39"/>
    <x v="1"/>
    <x v="14"/>
    <x v="2"/>
    <n v="43"/>
    <x v="21"/>
    <x v="2"/>
    <s v="Indigo"/>
    <x v="3"/>
    <n v="2.9"/>
    <s v="No"/>
    <x v="4"/>
    <s v="No"/>
    <n v="17"/>
    <x v="2"/>
    <s v="Weekly"/>
    <n v="0.1"/>
    <n v="38.700000000000003"/>
    <n v="43"/>
    <s v="Credit Card"/>
    <s v="Normal"/>
    <s v="Poor"/>
  </r>
  <r>
    <n v="2836"/>
    <n v="33"/>
    <x v="1"/>
    <x v="17"/>
    <x v="0"/>
    <n v="84"/>
    <x v="34"/>
    <x v="1"/>
    <s v="Pink"/>
    <x v="0"/>
    <n v="4.9000000000000004"/>
    <s v="No"/>
    <x v="1"/>
    <s v="No"/>
    <n v="7"/>
    <x v="0"/>
    <s v="Annually"/>
    <n v="0.1"/>
    <n v="75.599999999999994"/>
    <n v="84"/>
    <s v="Venmo"/>
    <s v="Normal"/>
    <s v="Good"/>
  </r>
  <r>
    <n v="2837"/>
    <n v="51"/>
    <x v="1"/>
    <x v="13"/>
    <x v="0"/>
    <n v="50"/>
    <x v="5"/>
    <x v="2"/>
    <s v="Charcoal"/>
    <x v="0"/>
    <n v="5"/>
    <s v="No"/>
    <x v="4"/>
    <s v="No"/>
    <n v="21"/>
    <x v="1"/>
    <s v="Bi-Weekly"/>
    <n v="0.1"/>
    <n v="45"/>
    <n v="50"/>
    <s v="Cash"/>
    <s v="Normal"/>
    <s v="Good"/>
  </r>
  <r>
    <n v="2838"/>
    <n v="65"/>
    <x v="1"/>
    <x v="9"/>
    <x v="1"/>
    <n v="88"/>
    <x v="15"/>
    <x v="2"/>
    <s v="Brown"/>
    <x v="2"/>
    <n v="4.5"/>
    <s v="No"/>
    <x v="0"/>
    <s v="No"/>
    <n v="44"/>
    <x v="3"/>
    <s v="Weekly"/>
    <n v="0.1"/>
    <n v="79.2"/>
    <n v="88"/>
    <s v="PayPal"/>
    <s v="Normal"/>
    <s v="Good"/>
  </r>
  <r>
    <n v="2839"/>
    <n v="51"/>
    <x v="1"/>
    <x v="14"/>
    <x v="2"/>
    <n v="50"/>
    <x v="1"/>
    <x v="2"/>
    <s v="Blue"/>
    <x v="3"/>
    <n v="3.7"/>
    <s v="No"/>
    <x v="1"/>
    <s v="No"/>
    <n v="2"/>
    <x v="4"/>
    <s v="Weekly"/>
    <n v="0.1"/>
    <n v="45"/>
    <n v="50"/>
    <s v="Bank Transfer"/>
    <s v="Normal"/>
    <s v="Good"/>
  </r>
  <r>
    <n v="2840"/>
    <n v="70"/>
    <x v="1"/>
    <x v="18"/>
    <x v="3"/>
    <n v="80"/>
    <x v="45"/>
    <x v="0"/>
    <s v="Teal"/>
    <x v="2"/>
    <n v="2.8"/>
    <s v="No"/>
    <x v="5"/>
    <s v="No"/>
    <n v="30"/>
    <x v="4"/>
    <s v="Monthly"/>
    <n v="0.1"/>
    <n v="72"/>
    <n v="80"/>
    <s v="Bank Transfer"/>
    <s v="Normal"/>
    <s v="Poor"/>
  </r>
  <r>
    <n v="2841"/>
    <n v="40"/>
    <x v="1"/>
    <x v="17"/>
    <x v="0"/>
    <n v="47"/>
    <x v="8"/>
    <x v="0"/>
    <s v="Pink"/>
    <x v="1"/>
    <n v="3.5"/>
    <s v="No"/>
    <x v="5"/>
    <s v="No"/>
    <n v="41"/>
    <x v="1"/>
    <s v="Annually"/>
    <n v="0.1"/>
    <n v="42.3"/>
    <n v="47"/>
    <s v="Cash"/>
    <s v="Normal"/>
    <s v="Good"/>
  </r>
  <r>
    <n v="2842"/>
    <n v="19"/>
    <x v="1"/>
    <x v="10"/>
    <x v="0"/>
    <n v="33"/>
    <x v="31"/>
    <x v="3"/>
    <s v="Magenta"/>
    <x v="0"/>
    <n v="3"/>
    <s v="No"/>
    <x v="4"/>
    <s v="No"/>
    <n v="31"/>
    <x v="1"/>
    <s v="Weekly"/>
    <n v="0.1"/>
    <n v="29.7"/>
    <n v="33"/>
    <s v="Cash"/>
    <s v="Normal"/>
    <s v="Good"/>
  </r>
  <r>
    <n v="2843"/>
    <n v="28"/>
    <x v="1"/>
    <x v="7"/>
    <x v="2"/>
    <n v="100"/>
    <x v="28"/>
    <x v="0"/>
    <s v="Green"/>
    <x v="3"/>
    <n v="4.3"/>
    <s v="No"/>
    <x v="3"/>
    <s v="No"/>
    <n v="48"/>
    <x v="5"/>
    <s v="Quarterly"/>
    <n v="0.1"/>
    <n v="90"/>
    <n v="100"/>
    <s v="Debit Card"/>
    <s v="Normal"/>
    <s v="Good"/>
  </r>
  <r>
    <n v="2844"/>
    <n v="51"/>
    <x v="1"/>
    <x v="1"/>
    <x v="0"/>
    <n v="26"/>
    <x v="31"/>
    <x v="2"/>
    <s v="White"/>
    <x v="2"/>
    <n v="3.6"/>
    <s v="No"/>
    <x v="5"/>
    <s v="No"/>
    <n v="41"/>
    <x v="0"/>
    <s v="Weekly"/>
    <n v="0.1"/>
    <n v="23.4"/>
    <n v="26"/>
    <s v="Venmo"/>
    <s v="Normal"/>
    <s v="Good"/>
  </r>
  <r>
    <n v="2845"/>
    <n v="32"/>
    <x v="1"/>
    <x v="19"/>
    <x v="3"/>
    <n v="79"/>
    <x v="35"/>
    <x v="2"/>
    <s v="Indigo"/>
    <x v="2"/>
    <n v="4.4000000000000004"/>
    <s v="No"/>
    <x v="3"/>
    <s v="No"/>
    <n v="42"/>
    <x v="0"/>
    <s v="Annually"/>
    <n v="0.1"/>
    <n v="71.099999999999994"/>
    <n v="79"/>
    <s v="Venmo"/>
    <s v="Normal"/>
    <s v="Good"/>
  </r>
  <r>
    <n v="2846"/>
    <n v="26"/>
    <x v="1"/>
    <x v="21"/>
    <x v="3"/>
    <n v="77"/>
    <x v="45"/>
    <x v="0"/>
    <s v="Lavender"/>
    <x v="2"/>
    <n v="4.0999999999999996"/>
    <s v="No"/>
    <x v="0"/>
    <s v="No"/>
    <n v="39"/>
    <x v="5"/>
    <s v="Every 3 Months"/>
    <n v="0.1"/>
    <n v="69.3"/>
    <n v="77"/>
    <s v="Debit Card"/>
    <s v="Normal"/>
    <s v="Good"/>
  </r>
  <r>
    <n v="2847"/>
    <n v="50"/>
    <x v="1"/>
    <x v="20"/>
    <x v="0"/>
    <n v="36"/>
    <x v="19"/>
    <x v="3"/>
    <s v="Black"/>
    <x v="3"/>
    <n v="2.8"/>
    <s v="No"/>
    <x v="2"/>
    <s v="No"/>
    <n v="15"/>
    <x v="3"/>
    <s v="Bi-Weekly"/>
    <n v="0.1"/>
    <n v="32.4"/>
    <n v="36"/>
    <s v="PayPal"/>
    <s v="Normal"/>
    <s v="Poor"/>
  </r>
  <r>
    <n v="2848"/>
    <n v="68"/>
    <x v="1"/>
    <x v="16"/>
    <x v="3"/>
    <n v="21"/>
    <x v="39"/>
    <x v="0"/>
    <s v="Charcoal"/>
    <x v="0"/>
    <n v="2.8"/>
    <s v="No"/>
    <x v="1"/>
    <s v="No"/>
    <n v="3"/>
    <x v="3"/>
    <s v="Every 3 Months"/>
    <n v="0.1"/>
    <n v="18.899999999999999"/>
    <n v="21"/>
    <s v="PayPal"/>
    <s v="Normal"/>
    <s v="Poor"/>
  </r>
  <r>
    <n v="2849"/>
    <n v="33"/>
    <x v="1"/>
    <x v="23"/>
    <x v="1"/>
    <n v="72"/>
    <x v="48"/>
    <x v="0"/>
    <s v="Gray"/>
    <x v="3"/>
    <n v="4.9000000000000004"/>
    <s v="No"/>
    <x v="5"/>
    <s v="No"/>
    <n v="28"/>
    <x v="4"/>
    <s v="Quarterly"/>
    <n v="0.1"/>
    <n v="64.8"/>
    <n v="72"/>
    <s v="Bank Transfer"/>
    <s v="Normal"/>
    <s v="Good"/>
  </r>
  <r>
    <n v="2850"/>
    <n v="56"/>
    <x v="1"/>
    <x v="7"/>
    <x v="2"/>
    <n v="25"/>
    <x v="13"/>
    <x v="2"/>
    <s v="Gold"/>
    <x v="1"/>
    <n v="4.0999999999999996"/>
    <s v="No"/>
    <x v="0"/>
    <s v="No"/>
    <n v="27"/>
    <x v="3"/>
    <s v="Bi-Weekly"/>
    <n v="0.1"/>
    <n v="22.5"/>
    <n v="25"/>
    <s v="PayPal"/>
    <s v="Normal"/>
    <s v="Good"/>
  </r>
  <r>
    <n v="2851"/>
    <n v="57"/>
    <x v="1"/>
    <x v="1"/>
    <x v="0"/>
    <n v="79"/>
    <x v="43"/>
    <x v="2"/>
    <s v="Silver"/>
    <x v="1"/>
    <n v="3"/>
    <s v="No"/>
    <x v="5"/>
    <s v="No"/>
    <n v="36"/>
    <x v="5"/>
    <s v="Annually"/>
    <n v="0.1"/>
    <n v="71.099999999999994"/>
    <n v="79"/>
    <s v="Debit Card"/>
    <s v="Normal"/>
    <s v="Good"/>
  </r>
  <r>
    <n v="2852"/>
    <n v="58"/>
    <x v="1"/>
    <x v="0"/>
    <x v="0"/>
    <n v="73"/>
    <x v="22"/>
    <x v="0"/>
    <s v="Teal"/>
    <x v="2"/>
    <n v="3"/>
    <s v="No"/>
    <x v="5"/>
    <s v="No"/>
    <n v="42"/>
    <x v="5"/>
    <s v="Monthly"/>
    <n v="0.1"/>
    <n v="65.7"/>
    <n v="73"/>
    <s v="Debit Card"/>
    <s v="Normal"/>
    <s v="Good"/>
  </r>
  <r>
    <n v="2853"/>
    <n v="40"/>
    <x v="1"/>
    <x v="22"/>
    <x v="3"/>
    <n v="71"/>
    <x v="14"/>
    <x v="2"/>
    <s v="Magenta"/>
    <x v="1"/>
    <n v="3"/>
    <s v="No"/>
    <x v="5"/>
    <s v="No"/>
    <n v="30"/>
    <x v="0"/>
    <s v="Weekly"/>
    <n v="0.1"/>
    <n v="63.9"/>
    <n v="71"/>
    <s v="Venmo"/>
    <s v="Normal"/>
    <s v="Good"/>
  </r>
  <r>
    <n v="2854"/>
    <n v="37"/>
    <x v="1"/>
    <x v="19"/>
    <x v="3"/>
    <n v="48"/>
    <x v="38"/>
    <x v="2"/>
    <s v="Magenta"/>
    <x v="0"/>
    <n v="3.2"/>
    <s v="No"/>
    <x v="2"/>
    <s v="No"/>
    <n v="9"/>
    <x v="3"/>
    <s v="Weekly"/>
    <n v="0.1"/>
    <n v="43.2"/>
    <n v="48"/>
    <s v="PayPal"/>
    <s v="Normal"/>
    <s v="Good"/>
  </r>
  <r>
    <n v="2855"/>
    <n v="36"/>
    <x v="1"/>
    <x v="3"/>
    <x v="1"/>
    <n v="28"/>
    <x v="12"/>
    <x v="2"/>
    <s v="Beige"/>
    <x v="3"/>
    <n v="2.7"/>
    <s v="No"/>
    <x v="5"/>
    <s v="No"/>
    <n v="25"/>
    <x v="0"/>
    <s v="Monthly"/>
    <n v="0.1"/>
    <n v="25.2"/>
    <n v="28"/>
    <s v="Venmo"/>
    <s v="Normal"/>
    <s v="Poor"/>
  </r>
  <r>
    <n v="2856"/>
    <n v="29"/>
    <x v="1"/>
    <x v="23"/>
    <x v="1"/>
    <n v="95"/>
    <x v="16"/>
    <x v="1"/>
    <s v="Maroon"/>
    <x v="0"/>
    <n v="3.8"/>
    <s v="No"/>
    <x v="4"/>
    <s v="No"/>
    <n v="33"/>
    <x v="3"/>
    <s v="Quarterly"/>
    <n v="0.1"/>
    <n v="85.5"/>
    <n v="95"/>
    <s v="PayPal"/>
    <s v="Normal"/>
    <s v="Good"/>
  </r>
  <r>
    <n v="2857"/>
    <n v="65"/>
    <x v="1"/>
    <x v="14"/>
    <x v="2"/>
    <n v="48"/>
    <x v="44"/>
    <x v="2"/>
    <s v="Indigo"/>
    <x v="0"/>
    <n v="3.5"/>
    <s v="No"/>
    <x v="4"/>
    <s v="No"/>
    <n v="31"/>
    <x v="2"/>
    <s v="Monthly"/>
    <n v="0.1"/>
    <n v="43.2"/>
    <n v="48"/>
    <s v="Credit Card"/>
    <s v="Normal"/>
    <s v="Good"/>
  </r>
  <r>
    <n v="2858"/>
    <n v="44"/>
    <x v="1"/>
    <x v="10"/>
    <x v="0"/>
    <n v="93"/>
    <x v="40"/>
    <x v="1"/>
    <s v="Maroon"/>
    <x v="1"/>
    <n v="3.8"/>
    <s v="No"/>
    <x v="2"/>
    <s v="No"/>
    <n v="35"/>
    <x v="5"/>
    <s v="Monthly"/>
    <n v="0.1"/>
    <n v="83.7"/>
    <n v="93"/>
    <s v="Debit Card"/>
    <s v="Normal"/>
    <s v="Good"/>
  </r>
  <r>
    <n v="2859"/>
    <n v="34"/>
    <x v="1"/>
    <x v="2"/>
    <x v="0"/>
    <n v="87"/>
    <x v="33"/>
    <x v="0"/>
    <s v="Teal"/>
    <x v="2"/>
    <n v="3.8"/>
    <s v="No"/>
    <x v="4"/>
    <s v="No"/>
    <n v="46"/>
    <x v="4"/>
    <s v="Monthly"/>
    <n v="0.1"/>
    <n v="78.3"/>
    <n v="87"/>
    <s v="Bank Transfer"/>
    <s v="Normal"/>
    <s v="Good"/>
  </r>
  <r>
    <n v="2860"/>
    <n v="31"/>
    <x v="1"/>
    <x v="6"/>
    <x v="0"/>
    <n v="32"/>
    <x v="40"/>
    <x v="0"/>
    <s v="Yellow"/>
    <x v="3"/>
    <n v="3.4"/>
    <s v="No"/>
    <x v="0"/>
    <s v="No"/>
    <n v="29"/>
    <x v="4"/>
    <s v="Annually"/>
    <n v="0.1"/>
    <n v="28.8"/>
    <n v="32"/>
    <s v="Bank Transfer"/>
    <s v="Normal"/>
    <s v="Good"/>
  </r>
  <r>
    <n v="2861"/>
    <n v="28"/>
    <x v="1"/>
    <x v="5"/>
    <x v="0"/>
    <n v="38"/>
    <x v="3"/>
    <x v="2"/>
    <s v="Gold"/>
    <x v="1"/>
    <n v="2.9"/>
    <s v="No"/>
    <x v="2"/>
    <s v="No"/>
    <n v="49"/>
    <x v="4"/>
    <s v="Weekly"/>
    <n v="0.1"/>
    <n v="34.200000000000003"/>
    <n v="38"/>
    <s v="Bank Transfer"/>
    <s v="Normal"/>
    <s v="Poor"/>
  </r>
  <r>
    <n v="2862"/>
    <n v="66"/>
    <x v="1"/>
    <x v="7"/>
    <x v="2"/>
    <n v="54"/>
    <x v="33"/>
    <x v="2"/>
    <s v="Teal"/>
    <x v="3"/>
    <n v="3.4"/>
    <s v="No"/>
    <x v="1"/>
    <s v="No"/>
    <n v="27"/>
    <x v="2"/>
    <s v="Monthly"/>
    <n v="0.1"/>
    <n v="48.6"/>
    <n v="54"/>
    <s v="Credit Card"/>
    <s v="Normal"/>
    <s v="Good"/>
  </r>
  <r>
    <n v="2863"/>
    <n v="68"/>
    <x v="1"/>
    <x v="7"/>
    <x v="2"/>
    <n v="75"/>
    <x v="11"/>
    <x v="1"/>
    <s v="Violet"/>
    <x v="2"/>
    <n v="4.7"/>
    <s v="No"/>
    <x v="5"/>
    <s v="No"/>
    <n v="5"/>
    <x v="4"/>
    <s v="Every 3 Months"/>
    <n v="0.1"/>
    <n v="67.5"/>
    <n v="75"/>
    <s v="Bank Transfer"/>
    <s v="Normal"/>
    <s v="Good"/>
  </r>
  <r>
    <n v="2864"/>
    <n v="37"/>
    <x v="1"/>
    <x v="17"/>
    <x v="0"/>
    <n v="56"/>
    <x v="39"/>
    <x v="2"/>
    <s v="Yellow"/>
    <x v="3"/>
    <n v="3.9"/>
    <s v="No"/>
    <x v="4"/>
    <s v="No"/>
    <n v="18"/>
    <x v="0"/>
    <s v="Monthly"/>
    <n v="0.1"/>
    <n v="50.4"/>
    <n v="56"/>
    <s v="Venmo"/>
    <s v="Normal"/>
    <s v="Good"/>
  </r>
  <r>
    <n v="2865"/>
    <n v="58"/>
    <x v="1"/>
    <x v="1"/>
    <x v="0"/>
    <n v="43"/>
    <x v="26"/>
    <x v="1"/>
    <s v="Maroon"/>
    <x v="3"/>
    <n v="3.6"/>
    <s v="No"/>
    <x v="5"/>
    <s v="No"/>
    <n v="31"/>
    <x v="0"/>
    <s v="Weekly"/>
    <n v="0.1"/>
    <n v="38.700000000000003"/>
    <n v="43"/>
    <s v="Venmo"/>
    <s v="Normal"/>
    <s v="Good"/>
  </r>
  <r>
    <n v="2866"/>
    <n v="28"/>
    <x v="1"/>
    <x v="11"/>
    <x v="0"/>
    <n v="97"/>
    <x v="18"/>
    <x v="2"/>
    <s v="Silver"/>
    <x v="3"/>
    <n v="3.7"/>
    <s v="No"/>
    <x v="1"/>
    <s v="No"/>
    <n v="27"/>
    <x v="1"/>
    <s v="Fortnightly"/>
    <n v="0.1"/>
    <n v="87.3"/>
    <n v="97"/>
    <s v="Cash"/>
    <s v="Normal"/>
    <s v="Good"/>
  </r>
  <r>
    <n v="2867"/>
    <n v="54"/>
    <x v="1"/>
    <x v="0"/>
    <x v="0"/>
    <n v="75"/>
    <x v="39"/>
    <x v="1"/>
    <s v="Violet"/>
    <x v="2"/>
    <n v="3.1"/>
    <s v="No"/>
    <x v="1"/>
    <s v="No"/>
    <n v="19"/>
    <x v="1"/>
    <s v="Annually"/>
    <n v="0.1"/>
    <n v="67.5"/>
    <n v="75"/>
    <s v="Cash"/>
    <s v="Normal"/>
    <s v="Good"/>
  </r>
  <r>
    <n v="2868"/>
    <n v="21"/>
    <x v="1"/>
    <x v="4"/>
    <x v="1"/>
    <n v="55"/>
    <x v="24"/>
    <x v="0"/>
    <s v="White"/>
    <x v="2"/>
    <n v="4.9000000000000004"/>
    <s v="No"/>
    <x v="2"/>
    <s v="No"/>
    <n v="33"/>
    <x v="1"/>
    <s v="Fortnightly"/>
    <n v="0.1"/>
    <n v="49.5"/>
    <n v="55"/>
    <s v="Cash"/>
    <s v="Normal"/>
    <s v="Good"/>
  </r>
  <r>
    <n v="2869"/>
    <n v="45"/>
    <x v="1"/>
    <x v="21"/>
    <x v="3"/>
    <n v="49"/>
    <x v="24"/>
    <x v="2"/>
    <s v="Black"/>
    <x v="0"/>
    <n v="2.6"/>
    <s v="No"/>
    <x v="2"/>
    <s v="No"/>
    <n v="42"/>
    <x v="3"/>
    <s v="Every 3 Months"/>
    <n v="0.1"/>
    <n v="44.1"/>
    <n v="49"/>
    <s v="PayPal"/>
    <s v="Normal"/>
    <s v="Poor"/>
  </r>
  <r>
    <n v="2870"/>
    <n v="57"/>
    <x v="1"/>
    <x v="20"/>
    <x v="0"/>
    <n v="58"/>
    <x v="42"/>
    <x v="2"/>
    <s v="White"/>
    <x v="2"/>
    <n v="4.2"/>
    <s v="No"/>
    <x v="3"/>
    <s v="No"/>
    <n v="16"/>
    <x v="4"/>
    <s v="Weekly"/>
    <n v="0.1"/>
    <n v="52.2"/>
    <n v="58"/>
    <s v="Bank Transfer"/>
    <s v="Normal"/>
    <s v="Good"/>
  </r>
  <r>
    <n v="2871"/>
    <n v="47"/>
    <x v="1"/>
    <x v="16"/>
    <x v="3"/>
    <n v="34"/>
    <x v="25"/>
    <x v="2"/>
    <s v="Blue"/>
    <x v="0"/>
    <n v="4.8"/>
    <s v="No"/>
    <x v="1"/>
    <s v="No"/>
    <n v="49"/>
    <x v="5"/>
    <s v="Every 3 Months"/>
    <n v="0.1"/>
    <n v="30.6"/>
    <n v="34"/>
    <s v="Debit Card"/>
    <s v="Normal"/>
    <s v="Good"/>
  </r>
  <r>
    <n v="2872"/>
    <n v="46"/>
    <x v="1"/>
    <x v="6"/>
    <x v="0"/>
    <n v="43"/>
    <x v="37"/>
    <x v="1"/>
    <s v="Black"/>
    <x v="2"/>
    <n v="2.7"/>
    <s v="No"/>
    <x v="4"/>
    <s v="No"/>
    <n v="40"/>
    <x v="0"/>
    <s v="Bi-Weekly"/>
    <n v="0.1"/>
    <n v="38.700000000000003"/>
    <n v="43"/>
    <s v="Venmo"/>
    <s v="Normal"/>
    <s v="Poor"/>
  </r>
  <r>
    <n v="2873"/>
    <n v="63"/>
    <x v="1"/>
    <x v="16"/>
    <x v="3"/>
    <n v="48"/>
    <x v="39"/>
    <x v="0"/>
    <s v="Olive"/>
    <x v="3"/>
    <n v="2.6"/>
    <s v="No"/>
    <x v="2"/>
    <s v="No"/>
    <n v="5"/>
    <x v="1"/>
    <s v="Annually"/>
    <n v="0.1"/>
    <n v="43.2"/>
    <n v="48"/>
    <s v="Cash"/>
    <s v="Normal"/>
    <s v="Poor"/>
  </r>
  <r>
    <n v="2874"/>
    <n v="44"/>
    <x v="1"/>
    <x v="1"/>
    <x v="0"/>
    <n v="40"/>
    <x v="6"/>
    <x v="2"/>
    <s v="Teal"/>
    <x v="1"/>
    <n v="2.6"/>
    <s v="No"/>
    <x v="1"/>
    <s v="No"/>
    <n v="8"/>
    <x v="4"/>
    <s v="Monthly"/>
    <n v="0.1"/>
    <n v="36"/>
    <n v="40"/>
    <s v="Bank Transfer"/>
    <s v="Normal"/>
    <s v="Poor"/>
  </r>
  <r>
    <n v="2875"/>
    <n v="36"/>
    <x v="1"/>
    <x v="5"/>
    <x v="0"/>
    <n v="29"/>
    <x v="24"/>
    <x v="0"/>
    <s v="Silver"/>
    <x v="2"/>
    <n v="3.1"/>
    <s v="No"/>
    <x v="3"/>
    <s v="No"/>
    <n v="2"/>
    <x v="5"/>
    <s v="Annually"/>
    <n v="0.1"/>
    <n v="26.1"/>
    <n v="29"/>
    <s v="Debit Card"/>
    <s v="Normal"/>
    <s v="Good"/>
  </r>
  <r>
    <n v="2876"/>
    <n v="24"/>
    <x v="1"/>
    <x v="13"/>
    <x v="0"/>
    <n v="81"/>
    <x v="0"/>
    <x v="2"/>
    <s v="Pink"/>
    <x v="3"/>
    <n v="2.6"/>
    <s v="No"/>
    <x v="1"/>
    <s v="No"/>
    <n v="14"/>
    <x v="5"/>
    <s v="Weekly"/>
    <n v="0.1"/>
    <n v="72.900000000000006"/>
    <n v="81"/>
    <s v="Debit Card"/>
    <s v="Normal"/>
    <s v="Poor"/>
  </r>
  <r>
    <n v="2877"/>
    <n v="65"/>
    <x v="1"/>
    <x v="15"/>
    <x v="0"/>
    <n v="84"/>
    <x v="35"/>
    <x v="2"/>
    <s v="Charcoal"/>
    <x v="1"/>
    <n v="3.4"/>
    <s v="No"/>
    <x v="4"/>
    <s v="No"/>
    <n v="5"/>
    <x v="4"/>
    <s v="Fortnightly"/>
    <n v="0.1"/>
    <n v="75.599999999999994"/>
    <n v="84"/>
    <s v="Bank Transfer"/>
    <s v="Normal"/>
    <s v="Good"/>
  </r>
  <r>
    <n v="2878"/>
    <n v="32"/>
    <x v="1"/>
    <x v="20"/>
    <x v="0"/>
    <n v="46"/>
    <x v="32"/>
    <x v="2"/>
    <s v="Silver"/>
    <x v="2"/>
    <n v="3.6"/>
    <s v="No"/>
    <x v="3"/>
    <s v="No"/>
    <n v="34"/>
    <x v="0"/>
    <s v="Monthly"/>
    <n v="0.1"/>
    <n v="41.4"/>
    <n v="46"/>
    <s v="Venmo"/>
    <s v="Normal"/>
    <s v="Good"/>
  </r>
  <r>
    <n v="2879"/>
    <n v="63"/>
    <x v="1"/>
    <x v="10"/>
    <x v="0"/>
    <n v="86"/>
    <x v="18"/>
    <x v="0"/>
    <s v="Turquoise"/>
    <x v="2"/>
    <n v="4.3"/>
    <s v="No"/>
    <x v="2"/>
    <s v="No"/>
    <n v="13"/>
    <x v="4"/>
    <s v="Annually"/>
    <n v="0.1"/>
    <n v="77.400000000000006"/>
    <n v="86"/>
    <s v="Bank Transfer"/>
    <s v="Normal"/>
    <s v="Good"/>
  </r>
  <r>
    <n v="2880"/>
    <n v="62"/>
    <x v="1"/>
    <x v="0"/>
    <x v="0"/>
    <n v="57"/>
    <x v="25"/>
    <x v="3"/>
    <s v="Turquoise"/>
    <x v="0"/>
    <n v="4.9000000000000004"/>
    <s v="No"/>
    <x v="1"/>
    <s v="No"/>
    <n v="31"/>
    <x v="0"/>
    <s v="Annually"/>
    <n v="0.1"/>
    <n v="51.3"/>
    <n v="57"/>
    <s v="Venmo"/>
    <s v="Normal"/>
    <s v="Good"/>
  </r>
  <r>
    <n v="2881"/>
    <n v="19"/>
    <x v="1"/>
    <x v="11"/>
    <x v="0"/>
    <n v="61"/>
    <x v="20"/>
    <x v="0"/>
    <s v="Beige"/>
    <x v="0"/>
    <n v="4.8"/>
    <s v="No"/>
    <x v="5"/>
    <s v="No"/>
    <n v="43"/>
    <x v="3"/>
    <s v="Quarterly"/>
    <n v="0.1"/>
    <n v="54.9"/>
    <n v="61"/>
    <s v="PayPal"/>
    <s v="Normal"/>
    <s v="Good"/>
  </r>
  <r>
    <n v="2882"/>
    <n v="38"/>
    <x v="1"/>
    <x v="21"/>
    <x v="3"/>
    <n v="90"/>
    <x v="21"/>
    <x v="2"/>
    <s v="Cyan"/>
    <x v="0"/>
    <n v="4.2"/>
    <s v="No"/>
    <x v="1"/>
    <s v="No"/>
    <n v="6"/>
    <x v="4"/>
    <s v="Annually"/>
    <n v="0.1"/>
    <n v="81"/>
    <n v="90"/>
    <s v="Bank Transfer"/>
    <s v="Normal"/>
    <s v="Good"/>
  </r>
  <r>
    <n v="2883"/>
    <n v="59"/>
    <x v="1"/>
    <x v="0"/>
    <x v="0"/>
    <n v="51"/>
    <x v="19"/>
    <x v="0"/>
    <s v="Gold"/>
    <x v="0"/>
    <n v="2.6"/>
    <s v="No"/>
    <x v="5"/>
    <s v="No"/>
    <n v="23"/>
    <x v="2"/>
    <s v="Bi-Weekly"/>
    <n v="0.1"/>
    <n v="45.9"/>
    <n v="51"/>
    <s v="Credit Card"/>
    <s v="Normal"/>
    <s v="Poor"/>
  </r>
  <r>
    <n v="2884"/>
    <n v="22"/>
    <x v="1"/>
    <x v="20"/>
    <x v="0"/>
    <n v="48"/>
    <x v="3"/>
    <x v="3"/>
    <s v="Silver"/>
    <x v="1"/>
    <n v="3.2"/>
    <s v="No"/>
    <x v="3"/>
    <s v="No"/>
    <n v="10"/>
    <x v="3"/>
    <s v="Weekly"/>
    <n v="0.1"/>
    <n v="43.2"/>
    <n v="48"/>
    <s v="PayPal"/>
    <s v="Normal"/>
    <s v="Good"/>
  </r>
  <r>
    <n v="2885"/>
    <n v="55"/>
    <x v="1"/>
    <x v="23"/>
    <x v="1"/>
    <n v="50"/>
    <x v="10"/>
    <x v="2"/>
    <s v="Purple"/>
    <x v="2"/>
    <n v="3.4"/>
    <s v="No"/>
    <x v="4"/>
    <s v="No"/>
    <n v="47"/>
    <x v="2"/>
    <s v="Every 3 Months"/>
    <n v="0.1"/>
    <n v="45"/>
    <n v="50"/>
    <s v="Credit Card"/>
    <s v="Normal"/>
    <s v="Good"/>
  </r>
  <r>
    <n v="2886"/>
    <n v="29"/>
    <x v="1"/>
    <x v="21"/>
    <x v="3"/>
    <n v="82"/>
    <x v="22"/>
    <x v="2"/>
    <s v="Yellow"/>
    <x v="2"/>
    <n v="3.5"/>
    <s v="No"/>
    <x v="2"/>
    <s v="No"/>
    <n v="14"/>
    <x v="2"/>
    <s v="Bi-Weekly"/>
    <n v="0.1"/>
    <n v="73.8"/>
    <n v="82"/>
    <s v="Credit Card"/>
    <s v="Normal"/>
    <s v="Good"/>
  </r>
  <r>
    <n v="2887"/>
    <n v="42"/>
    <x v="1"/>
    <x v="19"/>
    <x v="3"/>
    <n v="33"/>
    <x v="40"/>
    <x v="0"/>
    <s v="Blue"/>
    <x v="1"/>
    <n v="4.2"/>
    <s v="No"/>
    <x v="1"/>
    <s v="No"/>
    <n v="29"/>
    <x v="3"/>
    <s v="Weekly"/>
    <n v="0.1"/>
    <n v="29.7"/>
    <n v="33"/>
    <s v="PayPal"/>
    <s v="Normal"/>
    <s v="Good"/>
  </r>
  <r>
    <n v="2888"/>
    <n v="23"/>
    <x v="1"/>
    <x v="3"/>
    <x v="1"/>
    <n v="28"/>
    <x v="0"/>
    <x v="0"/>
    <s v="Blue"/>
    <x v="0"/>
    <n v="2.8"/>
    <s v="No"/>
    <x v="0"/>
    <s v="No"/>
    <n v="12"/>
    <x v="1"/>
    <s v="Bi-Weekly"/>
    <n v="0.1"/>
    <n v="25.2"/>
    <n v="28"/>
    <s v="Cash"/>
    <s v="Normal"/>
    <s v="Poor"/>
  </r>
  <r>
    <n v="2889"/>
    <n v="70"/>
    <x v="1"/>
    <x v="15"/>
    <x v="0"/>
    <n v="42"/>
    <x v="48"/>
    <x v="0"/>
    <s v="Green"/>
    <x v="1"/>
    <n v="5"/>
    <s v="No"/>
    <x v="4"/>
    <s v="No"/>
    <n v="25"/>
    <x v="5"/>
    <s v="Quarterly"/>
    <n v="0.1"/>
    <n v="37.799999999999997"/>
    <n v="42"/>
    <s v="Debit Card"/>
    <s v="Normal"/>
    <s v="Good"/>
  </r>
  <r>
    <n v="2890"/>
    <n v="64"/>
    <x v="1"/>
    <x v="12"/>
    <x v="3"/>
    <n v="43"/>
    <x v="46"/>
    <x v="2"/>
    <s v="Charcoal"/>
    <x v="3"/>
    <n v="3.3"/>
    <s v="No"/>
    <x v="5"/>
    <s v="No"/>
    <n v="21"/>
    <x v="0"/>
    <s v="Annually"/>
    <n v="0.1"/>
    <n v="38.700000000000003"/>
    <n v="43"/>
    <s v="Venmo"/>
    <s v="Normal"/>
    <s v="Good"/>
  </r>
  <r>
    <n v="2891"/>
    <n v="39"/>
    <x v="1"/>
    <x v="2"/>
    <x v="0"/>
    <n v="55"/>
    <x v="25"/>
    <x v="2"/>
    <s v="Violet"/>
    <x v="0"/>
    <n v="3.7"/>
    <s v="No"/>
    <x v="1"/>
    <s v="No"/>
    <n v="23"/>
    <x v="2"/>
    <s v="Monthly"/>
    <n v="0.1"/>
    <n v="49.5"/>
    <n v="55"/>
    <s v="Credit Card"/>
    <s v="Normal"/>
    <s v="Good"/>
  </r>
  <r>
    <n v="2892"/>
    <n v="47"/>
    <x v="1"/>
    <x v="17"/>
    <x v="0"/>
    <n v="73"/>
    <x v="31"/>
    <x v="3"/>
    <s v="Black"/>
    <x v="0"/>
    <n v="2.5"/>
    <s v="No"/>
    <x v="1"/>
    <s v="No"/>
    <n v="10"/>
    <x v="3"/>
    <s v="Monthly"/>
    <n v="0.1"/>
    <n v="65.7"/>
    <n v="73"/>
    <s v="PayPal"/>
    <s v="Normal"/>
    <s v="Poor"/>
  </r>
  <r>
    <n v="2893"/>
    <n v="22"/>
    <x v="1"/>
    <x v="10"/>
    <x v="0"/>
    <n v="39"/>
    <x v="22"/>
    <x v="2"/>
    <s v="Teal"/>
    <x v="1"/>
    <n v="3.2"/>
    <s v="No"/>
    <x v="3"/>
    <s v="No"/>
    <n v="47"/>
    <x v="2"/>
    <s v="Monthly"/>
    <n v="0.1"/>
    <n v="35.1"/>
    <n v="39"/>
    <s v="Credit Card"/>
    <s v="Normal"/>
    <s v="Good"/>
  </r>
  <r>
    <n v="2894"/>
    <n v="69"/>
    <x v="1"/>
    <x v="22"/>
    <x v="3"/>
    <n v="20"/>
    <x v="0"/>
    <x v="1"/>
    <s v="Orange"/>
    <x v="1"/>
    <n v="3.1"/>
    <s v="No"/>
    <x v="1"/>
    <s v="No"/>
    <n v="44"/>
    <x v="5"/>
    <s v="Every 3 Months"/>
    <n v="0.1"/>
    <n v="18"/>
    <n v="20"/>
    <s v="Debit Card"/>
    <s v="Normal"/>
    <s v="Good"/>
  </r>
  <r>
    <n v="2895"/>
    <n v="35"/>
    <x v="1"/>
    <x v="16"/>
    <x v="3"/>
    <n v="32"/>
    <x v="0"/>
    <x v="1"/>
    <s v="Brown"/>
    <x v="1"/>
    <n v="3.5"/>
    <s v="No"/>
    <x v="3"/>
    <s v="No"/>
    <n v="41"/>
    <x v="0"/>
    <s v="Annually"/>
    <n v="0.1"/>
    <n v="28.8"/>
    <n v="32"/>
    <s v="Venmo"/>
    <s v="Normal"/>
    <s v="Good"/>
  </r>
  <r>
    <n v="2896"/>
    <n v="56"/>
    <x v="1"/>
    <x v="15"/>
    <x v="0"/>
    <n v="86"/>
    <x v="6"/>
    <x v="0"/>
    <s v="Green"/>
    <x v="2"/>
    <n v="4.5999999999999996"/>
    <s v="No"/>
    <x v="3"/>
    <s v="No"/>
    <n v="29"/>
    <x v="4"/>
    <s v="Monthly"/>
    <n v="0.1"/>
    <n v="77.400000000000006"/>
    <n v="86"/>
    <s v="Bank Transfer"/>
    <s v="Normal"/>
    <s v="Good"/>
  </r>
  <r>
    <n v="2897"/>
    <n v="30"/>
    <x v="1"/>
    <x v="0"/>
    <x v="0"/>
    <n v="91"/>
    <x v="12"/>
    <x v="2"/>
    <s v="Silver"/>
    <x v="2"/>
    <n v="3.3"/>
    <s v="No"/>
    <x v="1"/>
    <s v="No"/>
    <n v="2"/>
    <x v="0"/>
    <s v="Every 3 Months"/>
    <n v="0.1"/>
    <n v="81.900000000000006"/>
    <n v="91"/>
    <s v="Venmo"/>
    <s v="Normal"/>
    <s v="Good"/>
  </r>
  <r>
    <n v="2898"/>
    <n v="43"/>
    <x v="1"/>
    <x v="14"/>
    <x v="2"/>
    <n v="59"/>
    <x v="6"/>
    <x v="0"/>
    <s v="Violet"/>
    <x v="3"/>
    <n v="2.5"/>
    <s v="No"/>
    <x v="1"/>
    <s v="No"/>
    <n v="2"/>
    <x v="1"/>
    <s v="Fortnightly"/>
    <n v="0.1"/>
    <n v="53.1"/>
    <n v="59"/>
    <s v="Cash"/>
    <s v="Normal"/>
    <s v="Poor"/>
  </r>
  <r>
    <n v="2899"/>
    <n v="23"/>
    <x v="1"/>
    <x v="4"/>
    <x v="1"/>
    <n v="33"/>
    <x v="32"/>
    <x v="3"/>
    <s v="Peach"/>
    <x v="2"/>
    <n v="4.5999999999999996"/>
    <s v="No"/>
    <x v="0"/>
    <s v="No"/>
    <n v="29"/>
    <x v="2"/>
    <s v="Annually"/>
    <n v="0.1"/>
    <n v="29.7"/>
    <n v="33"/>
    <s v="Credit Card"/>
    <s v="Normal"/>
    <s v="Good"/>
  </r>
  <r>
    <n v="2900"/>
    <n v="50"/>
    <x v="1"/>
    <x v="23"/>
    <x v="1"/>
    <n v="64"/>
    <x v="43"/>
    <x v="2"/>
    <s v="Gold"/>
    <x v="1"/>
    <n v="4.2"/>
    <s v="No"/>
    <x v="4"/>
    <s v="No"/>
    <n v="22"/>
    <x v="4"/>
    <s v="Fortnightly"/>
    <n v="0.1"/>
    <n v="57.6"/>
    <n v="64"/>
    <s v="Bank Transfer"/>
    <s v="Normal"/>
    <s v="Good"/>
  </r>
  <r>
    <n v="2901"/>
    <n v="41"/>
    <x v="1"/>
    <x v="0"/>
    <x v="0"/>
    <n v="67"/>
    <x v="33"/>
    <x v="3"/>
    <s v="Violet"/>
    <x v="0"/>
    <n v="4"/>
    <s v="No"/>
    <x v="3"/>
    <s v="No"/>
    <n v="23"/>
    <x v="1"/>
    <s v="Bi-Weekly"/>
    <n v="0.1"/>
    <n v="60.3"/>
    <n v="67"/>
    <s v="Cash"/>
    <s v="Normal"/>
    <s v="Good"/>
  </r>
  <r>
    <n v="2902"/>
    <n v="41"/>
    <x v="1"/>
    <x v="0"/>
    <x v="0"/>
    <n v="43"/>
    <x v="15"/>
    <x v="0"/>
    <s v="Olive"/>
    <x v="0"/>
    <n v="2.6"/>
    <s v="No"/>
    <x v="1"/>
    <s v="No"/>
    <n v="46"/>
    <x v="2"/>
    <s v="Quarterly"/>
    <n v="0.1"/>
    <n v="38.700000000000003"/>
    <n v="43"/>
    <s v="Credit Card"/>
    <s v="Normal"/>
    <s v="Poor"/>
  </r>
  <r>
    <n v="2903"/>
    <n v="27"/>
    <x v="1"/>
    <x v="23"/>
    <x v="1"/>
    <n v="32"/>
    <x v="17"/>
    <x v="1"/>
    <s v="Orange"/>
    <x v="1"/>
    <n v="4.5999999999999996"/>
    <s v="No"/>
    <x v="3"/>
    <s v="No"/>
    <n v="19"/>
    <x v="3"/>
    <s v="Bi-Weekly"/>
    <n v="0.1"/>
    <n v="28.8"/>
    <n v="32"/>
    <s v="PayPal"/>
    <s v="Normal"/>
    <s v="Good"/>
  </r>
  <r>
    <n v="2904"/>
    <n v="38"/>
    <x v="1"/>
    <x v="18"/>
    <x v="3"/>
    <n v="39"/>
    <x v="12"/>
    <x v="1"/>
    <s v="Teal"/>
    <x v="1"/>
    <n v="3.5"/>
    <s v="No"/>
    <x v="4"/>
    <s v="No"/>
    <n v="24"/>
    <x v="2"/>
    <s v="Every 3 Months"/>
    <n v="0.1"/>
    <n v="35.1"/>
    <n v="39"/>
    <s v="Credit Card"/>
    <s v="Normal"/>
    <s v="Good"/>
  </r>
  <r>
    <n v="2905"/>
    <n v="41"/>
    <x v="1"/>
    <x v="3"/>
    <x v="1"/>
    <n v="41"/>
    <x v="44"/>
    <x v="2"/>
    <s v="Gray"/>
    <x v="1"/>
    <n v="4"/>
    <s v="No"/>
    <x v="4"/>
    <s v="No"/>
    <n v="43"/>
    <x v="0"/>
    <s v="Monthly"/>
    <n v="0.1"/>
    <n v="36.9"/>
    <n v="41"/>
    <s v="Venmo"/>
    <s v="Normal"/>
    <s v="Good"/>
  </r>
  <r>
    <n v="2906"/>
    <n v="58"/>
    <x v="1"/>
    <x v="12"/>
    <x v="3"/>
    <n v="53"/>
    <x v="14"/>
    <x v="0"/>
    <s v="Black"/>
    <x v="0"/>
    <n v="4.8"/>
    <s v="No"/>
    <x v="3"/>
    <s v="No"/>
    <n v="14"/>
    <x v="5"/>
    <s v="Fortnightly"/>
    <n v="0.1"/>
    <n v="47.7"/>
    <n v="53"/>
    <s v="Debit Card"/>
    <s v="Normal"/>
    <s v="Good"/>
  </r>
  <r>
    <n v="2907"/>
    <n v="58"/>
    <x v="1"/>
    <x v="7"/>
    <x v="2"/>
    <n v="27"/>
    <x v="41"/>
    <x v="2"/>
    <s v="Indigo"/>
    <x v="1"/>
    <n v="3.9"/>
    <s v="No"/>
    <x v="3"/>
    <s v="No"/>
    <n v="7"/>
    <x v="0"/>
    <s v="Annually"/>
    <n v="0.1"/>
    <n v="24.3"/>
    <n v="27"/>
    <s v="Venmo"/>
    <s v="Normal"/>
    <s v="Good"/>
  </r>
  <r>
    <n v="2908"/>
    <n v="19"/>
    <x v="1"/>
    <x v="12"/>
    <x v="3"/>
    <n v="82"/>
    <x v="33"/>
    <x v="3"/>
    <s v="Lavender"/>
    <x v="2"/>
    <n v="3.7"/>
    <s v="No"/>
    <x v="2"/>
    <s v="No"/>
    <n v="50"/>
    <x v="3"/>
    <s v="Bi-Weekly"/>
    <n v="0.1"/>
    <n v="73.8"/>
    <n v="82"/>
    <s v="PayPal"/>
    <s v="Normal"/>
    <s v="Good"/>
  </r>
  <r>
    <n v="2909"/>
    <n v="43"/>
    <x v="1"/>
    <x v="0"/>
    <x v="0"/>
    <n v="87"/>
    <x v="21"/>
    <x v="2"/>
    <s v="Beige"/>
    <x v="0"/>
    <n v="3.1"/>
    <s v="No"/>
    <x v="5"/>
    <s v="No"/>
    <n v="15"/>
    <x v="5"/>
    <s v="Every 3 Months"/>
    <n v="0.1"/>
    <n v="78.3"/>
    <n v="87"/>
    <s v="Debit Card"/>
    <s v="Normal"/>
    <s v="Good"/>
  </r>
  <r>
    <n v="2910"/>
    <n v="27"/>
    <x v="1"/>
    <x v="21"/>
    <x v="3"/>
    <n v="78"/>
    <x v="7"/>
    <x v="2"/>
    <s v="Indigo"/>
    <x v="0"/>
    <n v="3"/>
    <s v="No"/>
    <x v="2"/>
    <s v="No"/>
    <n v="40"/>
    <x v="2"/>
    <s v="Every 3 Months"/>
    <n v="0.1"/>
    <n v="70.2"/>
    <n v="78"/>
    <s v="Credit Card"/>
    <s v="Normal"/>
    <s v="Good"/>
  </r>
  <r>
    <n v="2911"/>
    <n v="32"/>
    <x v="1"/>
    <x v="22"/>
    <x v="3"/>
    <n v="32"/>
    <x v="16"/>
    <x v="2"/>
    <s v="Blue"/>
    <x v="2"/>
    <n v="2.9"/>
    <s v="No"/>
    <x v="5"/>
    <s v="No"/>
    <n v="41"/>
    <x v="2"/>
    <s v="Monthly"/>
    <n v="0.1"/>
    <n v="28.8"/>
    <n v="32"/>
    <s v="Credit Card"/>
    <s v="Normal"/>
    <s v="Poor"/>
  </r>
  <r>
    <n v="2912"/>
    <n v="28"/>
    <x v="1"/>
    <x v="20"/>
    <x v="0"/>
    <n v="38"/>
    <x v="31"/>
    <x v="3"/>
    <s v="Orange"/>
    <x v="3"/>
    <n v="2.9"/>
    <s v="No"/>
    <x v="2"/>
    <s v="No"/>
    <n v="34"/>
    <x v="0"/>
    <s v="Quarterly"/>
    <n v="0.1"/>
    <n v="34.200000000000003"/>
    <n v="38"/>
    <s v="Venmo"/>
    <s v="Normal"/>
    <s v="Poor"/>
  </r>
  <r>
    <n v="2913"/>
    <n v="48"/>
    <x v="1"/>
    <x v="9"/>
    <x v="1"/>
    <n v="37"/>
    <x v="4"/>
    <x v="2"/>
    <s v="Yellow"/>
    <x v="0"/>
    <n v="4"/>
    <s v="No"/>
    <x v="3"/>
    <s v="No"/>
    <n v="27"/>
    <x v="1"/>
    <s v="Bi-Weekly"/>
    <n v="0.1"/>
    <n v="33.299999999999997"/>
    <n v="37"/>
    <s v="Cash"/>
    <s v="Normal"/>
    <s v="Good"/>
  </r>
  <r>
    <n v="2914"/>
    <n v="43"/>
    <x v="1"/>
    <x v="7"/>
    <x v="2"/>
    <n v="83"/>
    <x v="5"/>
    <x v="0"/>
    <s v="Cyan"/>
    <x v="0"/>
    <n v="3.5"/>
    <s v="No"/>
    <x v="0"/>
    <s v="No"/>
    <n v="12"/>
    <x v="1"/>
    <s v="Every 3 Months"/>
    <n v="0.1"/>
    <n v="74.7"/>
    <n v="83"/>
    <s v="Cash"/>
    <s v="Normal"/>
    <s v="Good"/>
  </r>
  <r>
    <n v="2915"/>
    <n v="45"/>
    <x v="1"/>
    <x v="1"/>
    <x v="0"/>
    <n v="72"/>
    <x v="38"/>
    <x v="2"/>
    <s v="Yellow"/>
    <x v="3"/>
    <n v="3.8"/>
    <s v="No"/>
    <x v="0"/>
    <s v="No"/>
    <n v="1"/>
    <x v="5"/>
    <s v="Bi-Weekly"/>
    <n v="0.1"/>
    <n v="64.8"/>
    <n v="72"/>
    <s v="Debit Card"/>
    <s v="Normal"/>
    <s v="Good"/>
  </r>
  <r>
    <n v="2916"/>
    <n v="26"/>
    <x v="1"/>
    <x v="5"/>
    <x v="0"/>
    <n v="30"/>
    <x v="4"/>
    <x v="2"/>
    <s v="Cyan"/>
    <x v="3"/>
    <n v="4.5"/>
    <s v="No"/>
    <x v="0"/>
    <s v="No"/>
    <n v="39"/>
    <x v="5"/>
    <s v="Bi-Weekly"/>
    <n v="0.1"/>
    <n v="27"/>
    <n v="30"/>
    <s v="Debit Card"/>
    <s v="Normal"/>
    <s v="Good"/>
  </r>
  <r>
    <n v="2917"/>
    <n v="62"/>
    <x v="1"/>
    <x v="6"/>
    <x v="0"/>
    <n v="66"/>
    <x v="19"/>
    <x v="2"/>
    <s v="Green"/>
    <x v="0"/>
    <n v="2.7"/>
    <s v="No"/>
    <x v="0"/>
    <s v="No"/>
    <n v="13"/>
    <x v="2"/>
    <s v="Bi-Weekly"/>
    <n v="0.1"/>
    <n v="59.4"/>
    <n v="66"/>
    <s v="Credit Card"/>
    <s v="Normal"/>
    <s v="Poor"/>
  </r>
  <r>
    <n v="2918"/>
    <n v="58"/>
    <x v="1"/>
    <x v="5"/>
    <x v="0"/>
    <n v="45"/>
    <x v="24"/>
    <x v="3"/>
    <s v="White"/>
    <x v="0"/>
    <n v="2.9"/>
    <s v="No"/>
    <x v="5"/>
    <s v="No"/>
    <n v="50"/>
    <x v="0"/>
    <s v="Annually"/>
    <n v="0.1"/>
    <n v="40.5"/>
    <n v="45"/>
    <s v="Venmo"/>
    <s v="Normal"/>
    <s v="Poor"/>
  </r>
  <r>
    <n v="2919"/>
    <n v="19"/>
    <x v="1"/>
    <x v="12"/>
    <x v="3"/>
    <n v="73"/>
    <x v="14"/>
    <x v="1"/>
    <s v="Black"/>
    <x v="3"/>
    <n v="4.9000000000000004"/>
    <s v="No"/>
    <x v="1"/>
    <s v="No"/>
    <n v="36"/>
    <x v="1"/>
    <s v="Weekly"/>
    <n v="0.1"/>
    <n v="65.7"/>
    <n v="73"/>
    <s v="Cash"/>
    <s v="Normal"/>
    <s v="Good"/>
  </r>
  <r>
    <n v="2920"/>
    <n v="64"/>
    <x v="1"/>
    <x v="9"/>
    <x v="1"/>
    <n v="67"/>
    <x v="46"/>
    <x v="0"/>
    <s v="Charcoal"/>
    <x v="0"/>
    <n v="3.8"/>
    <s v="No"/>
    <x v="3"/>
    <s v="No"/>
    <n v="31"/>
    <x v="5"/>
    <s v="Monthly"/>
    <n v="0.1"/>
    <n v="60.3"/>
    <n v="67"/>
    <s v="Debit Card"/>
    <s v="Normal"/>
    <s v="Good"/>
  </r>
  <r>
    <n v="2921"/>
    <n v="33"/>
    <x v="1"/>
    <x v="12"/>
    <x v="3"/>
    <n v="72"/>
    <x v="21"/>
    <x v="3"/>
    <s v="Brown"/>
    <x v="1"/>
    <n v="4.9000000000000004"/>
    <s v="No"/>
    <x v="1"/>
    <s v="No"/>
    <n v="3"/>
    <x v="5"/>
    <s v="Bi-Weekly"/>
    <n v="0.1"/>
    <n v="64.8"/>
    <n v="72"/>
    <s v="Debit Card"/>
    <s v="Normal"/>
    <s v="Good"/>
  </r>
  <r>
    <n v="2922"/>
    <n v="20"/>
    <x v="1"/>
    <x v="8"/>
    <x v="3"/>
    <n v="24"/>
    <x v="48"/>
    <x v="2"/>
    <s v="Cyan"/>
    <x v="3"/>
    <n v="4.5999999999999996"/>
    <s v="No"/>
    <x v="3"/>
    <s v="No"/>
    <n v="11"/>
    <x v="1"/>
    <s v="Fortnightly"/>
    <n v="0.1"/>
    <n v="21.6"/>
    <n v="24"/>
    <s v="Cash"/>
    <s v="Normal"/>
    <s v="Good"/>
  </r>
  <r>
    <n v="2923"/>
    <n v="45"/>
    <x v="1"/>
    <x v="12"/>
    <x v="3"/>
    <n v="68"/>
    <x v="0"/>
    <x v="0"/>
    <s v="Beige"/>
    <x v="0"/>
    <n v="3.5"/>
    <s v="No"/>
    <x v="0"/>
    <s v="No"/>
    <n v="16"/>
    <x v="3"/>
    <s v="Quarterly"/>
    <n v="0.1"/>
    <n v="61.2"/>
    <n v="68"/>
    <s v="PayPal"/>
    <s v="Normal"/>
    <s v="Good"/>
  </r>
  <r>
    <n v="2924"/>
    <n v="28"/>
    <x v="1"/>
    <x v="5"/>
    <x v="0"/>
    <n v="70"/>
    <x v="38"/>
    <x v="2"/>
    <s v="Magenta"/>
    <x v="1"/>
    <n v="4.2"/>
    <s v="No"/>
    <x v="4"/>
    <s v="No"/>
    <n v="12"/>
    <x v="1"/>
    <s v="Quarterly"/>
    <n v="0.1"/>
    <n v="63"/>
    <n v="70"/>
    <s v="Cash"/>
    <s v="Normal"/>
    <s v="Good"/>
  </r>
  <r>
    <n v="2925"/>
    <n v="47"/>
    <x v="1"/>
    <x v="5"/>
    <x v="0"/>
    <n v="64"/>
    <x v="3"/>
    <x v="0"/>
    <s v="Indigo"/>
    <x v="0"/>
    <n v="3.7"/>
    <s v="No"/>
    <x v="1"/>
    <s v="No"/>
    <n v="37"/>
    <x v="5"/>
    <s v="Every 3 Months"/>
    <n v="0.1"/>
    <n v="57.6"/>
    <n v="64"/>
    <s v="Debit Card"/>
    <s v="Normal"/>
    <s v="Good"/>
  </r>
  <r>
    <n v="2926"/>
    <n v="54"/>
    <x v="1"/>
    <x v="1"/>
    <x v="0"/>
    <n v="91"/>
    <x v="26"/>
    <x v="2"/>
    <s v="Maroon"/>
    <x v="1"/>
    <n v="2.8"/>
    <s v="No"/>
    <x v="5"/>
    <s v="No"/>
    <n v="43"/>
    <x v="2"/>
    <s v="Every 3 Months"/>
    <n v="0.1"/>
    <n v="81.900000000000006"/>
    <n v="91"/>
    <s v="Credit Card"/>
    <s v="Normal"/>
    <s v="Poor"/>
  </r>
  <r>
    <n v="2927"/>
    <n v="64"/>
    <x v="1"/>
    <x v="8"/>
    <x v="3"/>
    <n v="82"/>
    <x v="33"/>
    <x v="2"/>
    <s v="Gray"/>
    <x v="0"/>
    <n v="4.8"/>
    <s v="No"/>
    <x v="4"/>
    <s v="No"/>
    <n v="9"/>
    <x v="1"/>
    <s v="Weekly"/>
    <n v="0.1"/>
    <n v="73.8"/>
    <n v="82"/>
    <s v="Cash"/>
    <s v="Normal"/>
    <s v="Good"/>
  </r>
  <r>
    <n v="2928"/>
    <n v="45"/>
    <x v="1"/>
    <x v="5"/>
    <x v="0"/>
    <n v="24"/>
    <x v="9"/>
    <x v="2"/>
    <s v="Black"/>
    <x v="2"/>
    <n v="2.7"/>
    <s v="No"/>
    <x v="0"/>
    <s v="No"/>
    <n v="15"/>
    <x v="0"/>
    <s v="Bi-Weekly"/>
    <n v="0.1"/>
    <n v="21.6"/>
    <n v="24"/>
    <s v="Venmo"/>
    <s v="Normal"/>
    <s v="Poor"/>
  </r>
  <r>
    <n v="2929"/>
    <n v="40"/>
    <x v="1"/>
    <x v="16"/>
    <x v="3"/>
    <n v="80"/>
    <x v="15"/>
    <x v="0"/>
    <s v="Yellow"/>
    <x v="1"/>
    <n v="3.6"/>
    <s v="No"/>
    <x v="5"/>
    <s v="No"/>
    <n v="17"/>
    <x v="2"/>
    <s v="Weekly"/>
    <n v="0.1"/>
    <n v="72"/>
    <n v="80"/>
    <s v="Credit Card"/>
    <s v="Normal"/>
    <s v="Good"/>
  </r>
  <r>
    <n v="2930"/>
    <n v="31"/>
    <x v="1"/>
    <x v="20"/>
    <x v="0"/>
    <n v="53"/>
    <x v="1"/>
    <x v="3"/>
    <s v="White"/>
    <x v="0"/>
    <n v="4.5"/>
    <s v="No"/>
    <x v="2"/>
    <s v="No"/>
    <n v="42"/>
    <x v="0"/>
    <s v="Fortnightly"/>
    <n v="0.1"/>
    <n v="47.7"/>
    <n v="53"/>
    <s v="Venmo"/>
    <s v="Normal"/>
    <s v="Good"/>
  </r>
  <r>
    <n v="2931"/>
    <n v="38"/>
    <x v="1"/>
    <x v="17"/>
    <x v="0"/>
    <n v="50"/>
    <x v="16"/>
    <x v="2"/>
    <s v="Orange"/>
    <x v="1"/>
    <n v="4"/>
    <s v="No"/>
    <x v="1"/>
    <s v="No"/>
    <n v="14"/>
    <x v="0"/>
    <s v="Monthly"/>
    <n v="0.1"/>
    <n v="45"/>
    <n v="50"/>
    <s v="Venmo"/>
    <s v="Normal"/>
    <s v="Good"/>
  </r>
  <r>
    <n v="2932"/>
    <n v="36"/>
    <x v="1"/>
    <x v="16"/>
    <x v="3"/>
    <n v="31"/>
    <x v="15"/>
    <x v="2"/>
    <s v="Magenta"/>
    <x v="3"/>
    <n v="4.5"/>
    <s v="No"/>
    <x v="4"/>
    <s v="No"/>
    <n v="49"/>
    <x v="2"/>
    <s v="Bi-Weekly"/>
    <n v="0.1"/>
    <n v="27.9"/>
    <n v="31"/>
    <s v="Credit Card"/>
    <s v="Normal"/>
    <s v="Good"/>
  </r>
  <r>
    <n v="2933"/>
    <n v="65"/>
    <x v="1"/>
    <x v="21"/>
    <x v="3"/>
    <n v="88"/>
    <x v="29"/>
    <x v="0"/>
    <s v="Black"/>
    <x v="1"/>
    <n v="3.9"/>
    <s v="No"/>
    <x v="0"/>
    <s v="No"/>
    <n v="3"/>
    <x v="3"/>
    <s v="Quarterly"/>
    <n v="0.1"/>
    <n v="79.2"/>
    <n v="88"/>
    <s v="PayPal"/>
    <s v="Normal"/>
    <s v="Good"/>
  </r>
  <r>
    <n v="2934"/>
    <n v="27"/>
    <x v="1"/>
    <x v="19"/>
    <x v="3"/>
    <n v="52"/>
    <x v="26"/>
    <x v="2"/>
    <s v="Brown"/>
    <x v="2"/>
    <n v="3.8"/>
    <s v="No"/>
    <x v="3"/>
    <s v="No"/>
    <n v="28"/>
    <x v="0"/>
    <s v="Monthly"/>
    <n v="0.1"/>
    <n v="46.8"/>
    <n v="52"/>
    <s v="Venmo"/>
    <s v="Normal"/>
    <s v="Good"/>
  </r>
  <r>
    <n v="2935"/>
    <n v="38"/>
    <x v="1"/>
    <x v="24"/>
    <x v="3"/>
    <n v="22"/>
    <x v="37"/>
    <x v="2"/>
    <s v="Orange"/>
    <x v="3"/>
    <n v="4.7"/>
    <s v="No"/>
    <x v="2"/>
    <s v="No"/>
    <n v="41"/>
    <x v="4"/>
    <s v="Quarterly"/>
    <n v="0.1"/>
    <n v="19.8"/>
    <n v="22"/>
    <s v="Bank Transfer"/>
    <s v="Normal"/>
    <s v="Good"/>
  </r>
  <r>
    <n v="2936"/>
    <n v="58"/>
    <x v="1"/>
    <x v="4"/>
    <x v="1"/>
    <n v="27"/>
    <x v="17"/>
    <x v="3"/>
    <s v="Gray"/>
    <x v="1"/>
    <n v="4.5999999999999996"/>
    <s v="No"/>
    <x v="3"/>
    <s v="No"/>
    <n v="11"/>
    <x v="0"/>
    <s v="Weekly"/>
    <n v="0.1"/>
    <n v="24.3"/>
    <n v="27"/>
    <s v="Venmo"/>
    <s v="Normal"/>
    <s v="Good"/>
  </r>
  <r>
    <n v="2937"/>
    <n v="31"/>
    <x v="1"/>
    <x v="11"/>
    <x v="0"/>
    <n v="34"/>
    <x v="47"/>
    <x v="2"/>
    <s v="White"/>
    <x v="1"/>
    <n v="3.6"/>
    <s v="No"/>
    <x v="0"/>
    <s v="No"/>
    <n v="46"/>
    <x v="3"/>
    <s v="Weekly"/>
    <n v="0.1"/>
    <n v="30.6"/>
    <n v="34"/>
    <s v="PayPal"/>
    <s v="Normal"/>
    <s v="Good"/>
  </r>
  <r>
    <n v="2938"/>
    <n v="28"/>
    <x v="1"/>
    <x v="8"/>
    <x v="3"/>
    <n v="39"/>
    <x v="8"/>
    <x v="2"/>
    <s v="White"/>
    <x v="1"/>
    <n v="4.3"/>
    <s v="No"/>
    <x v="4"/>
    <s v="No"/>
    <n v="15"/>
    <x v="2"/>
    <s v="Weekly"/>
    <n v="0.1"/>
    <n v="35.1"/>
    <n v="39"/>
    <s v="Credit Card"/>
    <s v="Normal"/>
    <s v="Good"/>
  </r>
  <r>
    <n v="2939"/>
    <n v="28"/>
    <x v="1"/>
    <x v="12"/>
    <x v="3"/>
    <n v="53"/>
    <x v="1"/>
    <x v="2"/>
    <s v="Violet"/>
    <x v="3"/>
    <n v="3"/>
    <s v="No"/>
    <x v="3"/>
    <s v="No"/>
    <n v="15"/>
    <x v="1"/>
    <s v="Monthly"/>
    <n v="0.1"/>
    <n v="47.7"/>
    <n v="53"/>
    <s v="Cash"/>
    <s v="Normal"/>
    <s v="Good"/>
  </r>
  <r>
    <n v="2940"/>
    <n v="32"/>
    <x v="1"/>
    <x v="1"/>
    <x v="0"/>
    <n v="46"/>
    <x v="0"/>
    <x v="2"/>
    <s v="Beige"/>
    <x v="0"/>
    <n v="4.3"/>
    <s v="No"/>
    <x v="0"/>
    <s v="No"/>
    <n v="34"/>
    <x v="0"/>
    <s v="Weekly"/>
    <n v="0.1"/>
    <n v="41.4"/>
    <n v="46"/>
    <s v="Venmo"/>
    <s v="Normal"/>
    <s v="Good"/>
  </r>
  <r>
    <n v="2941"/>
    <n v="61"/>
    <x v="1"/>
    <x v="8"/>
    <x v="3"/>
    <n v="85"/>
    <x v="2"/>
    <x v="0"/>
    <s v="Beige"/>
    <x v="2"/>
    <n v="4.8"/>
    <s v="No"/>
    <x v="2"/>
    <s v="No"/>
    <n v="13"/>
    <x v="1"/>
    <s v="Monthly"/>
    <n v="0.1"/>
    <n v="76.5"/>
    <n v="85"/>
    <s v="Cash"/>
    <s v="Normal"/>
    <s v="Good"/>
  </r>
  <r>
    <n v="2942"/>
    <n v="38"/>
    <x v="1"/>
    <x v="11"/>
    <x v="0"/>
    <n v="86"/>
    <x v="38"/>
    <x v="0"/>
    <s v="Purple"/>
    <x v="1"/>
    <n v="3.7"/>
    <s v="No"/>
    <x v="1"/>
    <s v="No"/>
    <n v="27"/>
    <x v="3"/>
    <s v="Monthly"/>
    <n v="0.1"/>
    <n v="77.400000000000006"/>
    <n v="86"/>
    <s v="PayPal"/>
    <s v="Normal"/>
    <s v="Good"/>
  </r>
  <r>
    <n v="2943"/>
    <n v="54"/>
    <x v="1"/>
    <x v="20"/>
    <x v="0"/>
    <n v="63"/>
    <x v="11"/>
    <x v="2"/>
    <s v="Brown"/>
    <x v="2"/>
    <n v="2.6"/>
    <s v="No"/>
    <x v="1"/>
    <s v="No"/>
    <n v="37"/>
    <x v="4"/>
    <s v="Weekly"/>
    <n v="0.1"/>
    <n v="56.7"/>
    <n v="63"/>
    <s v="Bank Transfer"/>
    <s v="Normal"/>
    <s v="Poor"/>
  </r>
  <r>
    <n v="2944"/>
    <n v="29"/>
    <x v="1"/>
    <x v="5"/>
    <x v="0"/>
    <n v="44"/>
    <x v="41"/>
    <x v="2"/>
    <s v="Orange"/>
    <x v="1"/>
    <n v="3.4"/>
    <s v="No"/>
    <x v="3"/>
    <s v="No"/>
    <n v="37"/>
    <x v="2"/>
    <s v="Monthly"/>
    <n v="0.1"/>
    <n v="39.6"/>
    <n v="44"/>
    <s v="Credit Card"/>
    <s v="Normal"/>
    <s v="Good"/>
  </r>
  <r>
    <n v="2945"/>
    <n v="50"/>
    <x v="1"/>
    <x v="4"/>
    <x v="1"/>
    <n v="95"/>
    <x v="14"/>
    <x v="3"/>
    <s v="Cyan"/>
    <x v="2"/>
    <n v="3.9"/>
    <s v="No"/>
    <x v="1"/>
    <s v="No"/>
    <n v="4"/>
    <x v="0"/>
    <s v="Every 3 Months"/>
    <n v="0.1"/>
    <n v="85.5"/>
    <n v="95"/>
    <s v="Venmo"/>
    <s v="Normal"/>
    <s v="Good"/>
  </r>
  <r>
    <n v="2946"/>
    <n v="32"/>
    <x v="1"/>
    <x v="22"/>
    <x v="3"/>
    <n v="49"/>
    <x v="12"/>
    <x v="2"/>
    <s v="Charcoal"/>
    <x v="2"/>
    <n v="4.8"/>
    <s v="No"/>
    <x v="1"/>
    <s v="No"/>
    <n v="1"/>
    <x v="2"/>
    <s v="Every 3 Months"/>
    <n v="0.1"/>
    <n v="44.1"/>
    <n v="49"/>
    <s v="Credit Card"/>
    <s v="Normal"/>
    <s v="Good"/>
  </r>
  <r>
    <n v="2947"/>
    <n v="38"/>
    <x v="1"/>
    <x v="13"/>
    <x v="0"/>
    <n v="77"/>
    <x v="11"/>
    <x v="0"/>
    <s v="Purple"/>
    <x v="1"/>
    <n v="2.8"/>
    <s v="No"/>
    <x v="1"/>
    <s v="No"/>
    <n v="29"/>
    <x v="4"/>
    <s v="Quarterly"/>
    <n v="0.1"/>
    <n v="69.3"/>
    <n v="77"/>
    <s v="Bank Transfer"/>
    <s v="Normal"/>
    <s v="Poor"/>
  </r>
  <r>
    <n v="2948"/>
    <n v="52"/>
    <x v="1"/>
    <x v="16"/>
    <x v="3"/>
    <n v="63"/>
    <x v="43"/>
    <x v="0"/>
    <s v="Peach"/>
    <x v="1"/>
    <n v="4.4000000000000004"/>
    <s v="No"/>
    <x v="3"/>
    <s v="No"/>
    <n v="50"/>
    <x v="0"/>
    <s v="Annually"/>
    <n v="0.1"/>
    <n v="56.7"/>
    <n v="63"/>
    <s v="Venmo"/>
    <s v="Normal"/>
    <s v="Good"/>
  </r>
  <r>
    <n v="2949"/>
    <n v="61"/>
    <x v="1"/>
    <x v="13"/>
    <x v="0"/>
    <n v="83"/>
    <x v="34"/>
    <x v="2"/>
    <s v="Violet"/>
    <x v="0"/>
    <n v="3.1"/>
    <s v="No"/>
    <x v="3"/>
    <s v="No"/>
    <n v="38"/>
    <x v="5"/>
    <s v="Bi-Weekly"/>
    <n v="0.1"/>
    <n v="74.7"/>
    <n v="83"/>
    <s v="Debit Card"/>
    <s v="Normal"/>
    <s v="Good"/>
  </r>
  <r>
    <n v="2950"/>
    <n v="25"/>
    <x v="1"/>
    <x v="16"/>
    <x v="3"/>
    <n v="93"/>
    <x v="44"/>
    <x v="2"/>
    <s v="Peach"/>
    <x v="1"/>
    <n v="3.8"/>
    <s v="No"/>
    <x v="5"/>
    <s v="No"/>
    <n v="15"/>
    <x v="3"/>
    <s v="Annually"/>
    <n v="0.1"/>
    <n v="83.7"/>
    <n v="93"/>
    <s v="PayPal"/>
    <s v="Normal"/>
    <s v="Good"/>
  </r>
  <r>
    <n v="2951"/>
    <n v="22"/>
    <x v="1"/>
    <x v="2"/>
    <x v="0"/>
    <n v="91"/>
    <x v="44"/>
    <x v="1"/>
    <s v="Maroon"/>
    <x v="0"/>
    <n v="4.0999999999999996"/>
    <s v="No"/>
    <x v="4"/>
    <s v="No"/>
    <n v="44"/>
    <x v="5"/>
    <s v="Every 3 Months"/>
    <n v="0.1"/>
    <n v="81.900000000000006"/>
    <n v="91"/>
    <s v="Debit Card"/>
    <s v="Normal"/>
    <s v="Good"/>
  </r>
  <r>
    <n v="2952"/>
    <n v="47"/>
    <x v="1"/>
    <x v="18"/>
    <x v="3"/>
    <n v="99"/>
    <x v="10"/>
    <x v="0"/>
    <s v="Maroon"/>
    <x v="3"/>
    <n v="4.5999999999999996"/>
    <s v="No"/>
    <x v="1"/>
    <s v="No"/>
    <n v="14"/>
    <x v="1"/>
    <s v="Weekly"/>
    <n v="0.1"/>
    <n v="89.1"/>
    <n v="99"/>
    <s v="Cash"/>
    <s v="Normal"/>
    <s v="Good"/>
  </r>
  <r>
    <n v="2953"/>
    <n v="50"/>
    <x v="1"/>
    <x v="22"/>
    <x v="3"/>
    <n v="24"/>
    <x v="15"/>
    <x v="2"/>
    <s v="Peach"/>
    <x v="1"/>
    <n v="4.9000000000000004"/>
    <s v="No"/>
    <x v="2"/>
    <s v="No"/>
    <n v="5"/>
    <x v="5"/>
    <s v="Monthly"/>
    <n v="0.1"/>
    <n v="21.6"/>
    <n v="24"/>
    <s v="Debit Card"/>
    <s v="Normal"/>
    <s v="Good"/>
  </r>
  <r>
    <n v="2954"/>
    <n v="45"/>
    <x v="1"/>
    <x v="10"/>
    <x v="0"/>
    <n v="82"/>
    <x v="33"/>
    <x v="2"/>
    <s v="Silver"/>
    <x v="2"/>
    <n v="4.8"/>
    <s v="No"/>
    <x v="2"/>
    <s v="No"/>
    <n v="11"/>
    <x v="2"/>
    <s v="Annually"/>
    <n v="0.1"/>
    <n v="73.8"/>
    <n v="82"/>
    <s v="Credit Card"/>
    <s v="Normal"/>
    <s v="Good"/>
  </r>
  <r>
    <n v="2955"/>
    <n v="33"/>
    <x v="1"/>
    <x v="17"/>
    <x v="0"/>
    <n v="28"/>
    <x v="45"/>
    <x v="2"/>
    <s v="Indigo"/>
    <x v="0"/>
    <n v="3.9"/>
    <s v="No"/>
    <x v="0"/>
    <s v="No"/>
    <n v="15"/>
    <x v="2"/>
    <s v="Annually"/>
    <n v="0.1"/>
    <n v="25.2"/>
    <n v="28"/>
    <s v="Credit Card"/>
    <s v="Normal"/>
    <s v="Good"/>
  </r>
  <r>
    <n v="2956"/>
    <n v="42"/>
    <x v="1"/>
    <x v="23"/>
    <x v="1"/>
    <n v="67"/>
    <x v="34"/>
    <x v="2"/>
    <s v="Silver"/>
    <x v="0"/>
    <n v="2.6"/>
    <s v="No"/>
    <x v="1"/>
    <s v="No"/>
    <n v="46"/>
    <x v="2"/>
    <s v="Annually"/>
    <n v="0.1"/>
    <n v="60.3"/>
    <n v="67"/>
    <s v="Credit Card"/>
    <s v="Normal"/>
    <s v="Poor"/>
  </r>
  <r>
    <n v="2957"/>
    <n v="52"/>
    <x v="1"/>
    <x v="10"/>
    <x v="0"/>
    <n v="88"/>
    <x v="6"/>
    <x v="2"/>
    <s v="Olive"/>
    <x v="3"/>
    <n v="3.7"/>
    <s v="No"/>
    <x v="3"/>
    <s v="No"/>
    <n v="30"/>
    <x v="0"/>
    <s v="Monthly"/>
    <n v="0.1"/>
    <n v="79.2"/>
    <n v="88"/>
    <s v="Venmo"/>
    <s v="Normal"/>
    <s v="Good"/>
  </r>
  <r>
    <n v="2958"/>
    <n v="69"/>
    <x v="1"/>
    <x v="16"/>
    <x v="3"/>
    <n v="70"/>
    <x v="45"/>
    <x v="1"/>
    <s v="Gray"/>
    <x v="3"/>
    <n v="4.7"/>
    <s v="No"/>
    <x v="3"/>
    <s v="No"/>
    <n v="2"/>
    <x v="1"/>
    <s v="Annually"/>
    <n v="0.1"/>
    <n v="63"/>
    <n v="70"/>
    <s v="Cash"/>
    <s v="Normal"/>
    <s v="Good"/>
  </r>
  <r>
    <n v="2959"/>
    <n v="55"/>
    <x v="1"/>
    <x v="11"/>
    <x v="0"/>
    <n v="100"/>
    <x v="31"/>
    <x v="2"/>
    <s v="Black"/>
    <x v="2"/>
    <n v="4.5"/>
    <s v="No"/>
    <x v="3"/>
    <s v="No"/>
    <n v="28"/>
    <x v="3"/>
    <s v="Monthly"/>
    <n v="0.1"/>
    <n v="90"/>
    <n v="100"/>
    <s v="PayPal"/>
    <s v="Normal"/>
    <s v="Good"/>
  </r>
  <r>
    <n v="2960"/>
    <n v="38"/>
    <x v="1"/>
    <x v="8"/>
    <x v="3"/>
    <n v="28"/>
    <x v="21"/>
    <x v="0"/>
    <s v="Maroon"/>
    <x v="2"/>
    <n v="4.7"/>
    <s v="No"/>
    <x v="1"/>
    <s v="No"/>
    <n v="9"/>
    <x v="3"/>
    <s v="Quarterly"/>
    <n v="0.1"/>
    <n v="25.2"/>
    <n v="28"/>
    <s v="PayPal"/>
    <s v="Normal"/>
    <s v="Good"/>
  </r>
  <r>
    <n v="2961"/>
    <n v="57"/>
    <x v="1"/>
    <x v="7"/>
    <x v="2"/>
    <n v="48"/>
    <x v="27"/>
    <x v="1"/>
    <s v="Olive"/>
    <x v="1"/>
    <n v="3.6"/>
    <s v="No"/>
    <x v="3"/>
    <s v="No"/>
    <n v="47"/>
    <x v="2"/>
    <s v="Weekly"/>
    <n v="0.1"/>
    <n v="43.2"/>
    <n v="48"/>
    <s v="Credit Card"/>
    <s v="Normal"/>
    <s v="Good"/>
  </r>
  <r>
    <n v="2962"/>
    <n v="33"/>
    <x v="1"/>
    <x v="15"/>
    <x v="0"/>
    <n v="43"/>
    <x v="13"/>
    <x v="1"/>
    <s v="Gold"/>
    <x v="3"/>
    <n v="2.8"/>
    <s v="No"/>
    <x v="1"/>
    <s v="No"/>
    <n v="21"/>
    <x v="5"/>
    <s v="Bi-Weekly"/>
    <n v="0.1"/>
    <n v="38.700000000000003"/>
    <n v="43"/>
    <s v="Debit Card"/>
    <s v="Normal"/>
    <s v="Poor"/>
  </r>
  <r>
    <n v="2963"/>
    <n v="57"/>
    <x v="1"/>
    <x v="13"/>
    <x v="0"/>
    <n v="40"/>
    <x v="18"/>
    <x v="0"/>
    <s v="Pink"/>
    <x v="3"/>
    <n v="4"/>
    <s v="No"/>
    <x v="0"/>
    <s v="No"/>
    <n v="42"/>
    <x v="2"/>
    <s v="Every 3 Months"/>
    <n v="0.1"/>
    <n v="36"/>
    <n v="40"/>
    <s v="Credit Card"/>
    <s v="Normal"/>
    <s v="Good"/>
  </r>
  <r>
    <n v="2964"/>
    <n v="52"/>
    <x v="1"/>
    <x v="23"/>
    <x v="1"/>
    <n v="97"/>
    <x v="1"/>
    <x v="2"/>
    <s v="Brown"/>
    <x v="1"/>
    <n v="3.6"/>
    <s v="No"/>
    <x v="1"/>
    <s v="No"/>
    <n v="28"/>
    <x v="2"/>
    <s v="Weekly"/>
    <n v="0.1"/>
    <n v="87.3"/>
    <n v="97"/>
    <s v="Credit Card"/>
    <s v="Normal"/>
    <s v="Good"/>
  </r>
  <r>
    <n v="2965"/>
    <n v="44"/>
    <x v="1"/>
    <x v="7"/>
    <x v="2"/>
    <n v="25"/>
    <x v="31"/>
    <x v="1"/>
    <s v="White"/>
    <x v="3"/>
    <n v="3.8"/>
    <s v="No"/>
    <x v="4"/>
    <s v="No"/>
    <n v="13"/>
    <x v="0"/>
    <s v="Fortnightly"/>
    <n v="0.1"/>
    <n v="22.5"/>
    <n v="25"/>
    <s v="Venmo"/>
    <s v="Normal"/>
    <s v="Good"/>
  </r>
  <r>
    <n v="2966"/>
    <n v="48"/>
    <x v="1"/>
    <x v="18"/>
    <x v="3"/>
    <n v="45"/>
    <x v="12"/>
    <x v="2"/>
    <s v="Blue"/>
    <x v="2"/>
    <n v="4.4000000000000004"/>
    <s v="No"/>
    <x v="3"/>
    <s v="No"/>
    <n v="25"/>
    <x v="3"/>
    <s v="Fortnightly"/>
    <n v="0.1"/>
    <n v="40.5"/>
    <n v="45"/>
    <s v="PayPal"/>
    <s v="Normal"/>
    <s v="Good"/>
  </r>
  <r>
    <n v="2967"/>
    <n v="52"/>
    <x v="1"/>
    <x v="23"/>
    <x v="1"/>
    <n v="49"/>
    <x v="19"/>
    <x v="0"/>
    <s v="Orange"/>
    <x v="3"/>
    <n v="2.8"/>
    <s v="No"/>
    <x v="5"/>
    <s v="No"/>
    <n v="38"/>
    <x v="5"/>
    <s v="Every 3 Months"/>
    <n v="0.1"/>
    <n v="44.1"/>
    <n v="49"/>
    <s v="Debit Card"/>
    <s v="Normal"/>
    <s v="Poor"/>
  </r>
  <r>
    <n v="2968"/>
    <n v="34"/>
    <x v="1"/>
    <x v="4"/>
    <x v="1"/>
    <n v="36"/>
    <x v="27"/>
    <x v="0"/>
    <s v="Silver"/>
    <x v="2"/>
    <n v="3.4"/>
    <s v="No"/>
    <x v="1"/>
    <s v="No"/>
    <n v="40"/>
    <x v="0"/>
    <s v="Annually"/>
    <n v="0.1"/>
    <n v="32.4"/>
    <n v="36"/>
    <s v="Venmo"/>
    <s v="Normal"/>
    <s v="Good"/>
  </r>
  <r>
    <n v="2969"/>
    <n v="26"/>
    <x v="1"/>
    <x v="1"/>
    <x v="0"/>
    <n v="48"/>
    <x v="36"/>
    <x v="1"/>
    <s v="Gray"/>
    <x v="3"/>
    <n v="4.9000000000000004"/>
    <s v="No"/>
    <x v="0"/>
    <s v="No"/>
    <n v="25"/>
    <x v="1"/>
    <s v="Every 3 Months"/>
    <n v="0.1"/>
    <n v="43.2"/>
    <n v="48"/>
    <s v="Cash"/>
    <s v="Normal"/>
    <s v="Good"/>
  </r>
  <r>
    <n v="2970"/>
    <n v="36"/>
    <x v="1"/>
    <x v="22"/>
    <x v="3"/>
    <n v="62"/>
    <x v="34"/>
    <x v="1"/>
    <s v="Blue"/>
    <x v="3"/>
    <n v="4.3"/>
    <s v="No"/>
    <x v="2"/>
    <s v="No"/>
    <n v="20"/>
    <x v="1"/>
    <s v="Every 3 Months"/>
    <n v="0.1"/>
    <n v="55.8"/>
    <n v="62"/>
    <s v="Cash"/>
    <s v="Normal"/>
    <s v="Good"/>
  </r>
  <r>
    <n v="2971"/>
    <n v="24"/>
    <x v="1"/>
    <x v="16"/>
    <x v="3"/>
    <n v="74"/>
    <x v="23"/>
    <x v="2"/>
    <s v="White"/>
    <x v="0"/>
    <n v="3.4"/>
    <s v="No"/>
    <x v="1"/>
    <s v="No"/>
    <n v="44"/>
    <x v="2"/>
    <s v="Bi-Weekly"/>
    <n v="0.1"/>
    <n v="66.599999999999994"/>
    <n v="74"/>
    <s v="Credit Card"/>
    <s v="Normal"/>
    <s v="Good"/>
  </r>
  <r>
    <n v="2972"/>
    <n v="30"/>
    <x v="1"/>
    <x v="8"/>
    <x v="3"/>
    <n v="100"/>
    <x v="40"/>
    <x v="0"/>
    <s v="Yellow"/>
    <x v="3"/>
    <n v="3.9"/>
    <s v="No"/>
    <x v="2"/>
    <s v="No"/>
    <n v="9"/>
    <x v="3"/>
    <s v="Every 3 Months"/>
    <n v="0.1"/>
    <n v="90"/>
    <n v="100"/>
    <s v="PayPal"/>
    <s v="Normal"/>
    <s v="Good"/>
  </r>
  <r>
    <n v="2973"/>
    <n v="31"/>
    <x v="1"/>
    <x v="14"/>
    <x v="2"/>
    <n v="39"/>
    <x v="14"/>
    <x v="1"/>
    <s v="Indigo"/>
    <x v="3"/>
    <n v="4.2"/>
    <s v="No"/>
    <x v="1"/>
    <s v="No"/>
    <n v="11"/>
    <x v="0"/>
    <s v="Every 3 Months"/>
    <n v="0.1"/>
    <n v="35.1"/>
    <n v="39"/>
    <s v="Venmo"/>
    <s v="Normal"/>
    <s v="Good"/>
  </r>
  <r>
    <n v="2974"/>
    <n v="25"/>
    <x v="1"/>
    <x v="23"/>
    <x v="1"/>
    <n v="65"/>
    <x v="27"/>
    <x v="2"/>
    <s v="Blue"/>
    <x v="2"/>
    <n v="2.7"/>
    <s v="No"/>
    <x v="5"/>
    <s v="No"/>
    <n v="3"/>
    <x v="4"/>
    <s v="Fortnightly"/>
    <n v="0.1"/>
    <n v="58.5"/>
    <n v="65"/>
    <s v="Bank Transfer"/>
    <s v="Normal"/>
    <s v="Poor"/>
  </r>
  <r>
    <n v="2975"/>
    <n v="57"/>
    <x v="1"/>
    <x v="4"/>
    <x v="1"/>
    <n v="99"/>
    <x v="30"/>
    <x v="3"/>
    <s v="Peach"/>
    <x v="2"/>
    <n v="4.0999999999999996"/>
    <s v="No"/>
    <x v="5"/>
    <s v="No"/>
    <n v="34"/>
    <x v="2"/>
    <s v="Weekly"/>
    <n v="0.1"/>
    <n v="89.1"/>
    <n v="99"/>
    <s v="Credit Card"/>
    <s v="Normal"/>
    <s v="Good"/>
  </r>
  <r>
    <n v="2976"/>
    <n v="61"/>
    <x v="1"/>
    <x v="18"/>
    <x v="3"/>
    <n v="68"/>
    <x v="42"/>
    <x v="3"/>
    <s v="Lavender"/>
    <x v="0"/>
    <n v="4.5"/>
    <s v="No"/>
    <x v="4"/>
    <s v="No"/>
    <n v="48"/>
    <x v="1"/>
    <s v="Every 3 Months"/>
    <n v="0.1"/>
    <n v="61.2"/>
    <n v="68"/>
    <s v="Cash"/>
    <s v="Normal"/>
    <s v="Good"/>
  </r>
  <r>
    <n v="2977"/>
    <n v="30"/>
    <x v="1"/>
    <x v="7"/>
    <x v="2"/>
    <n v="97"/>
    <x v="43"/>
    <x v="2"/>
    <s v="Silver"/>
    <x v="2"/>
    <n v="2.8"/>
    <s v="No"/>
    <x v="0"/>
    <s v="No"/>
    <n v="28"/>
    <x v="1"/>
    <s v="Fortnightly"/>
    <n v="0.1"/>
    <n v="87.3"/>
    <n v="97"/>
    <s v="Cash"/>
    <s v="Normal"/>
    <s v="Poor"/>
  </r>
  <r>
    <n v="2978"/>
    <n v="38"/>
    <x v="1"/>
    <x v="6"/>
    <x v="0"/>
    <n v="47"/>
    <x v="47"/>
    <x v="0"/>
    <s v="Gold"/>
    <x v="0"/>
    <n v="3.4"/>
    <s v="No"/>
    <x v="3"/>
    <s v="No"/>
    <n v="20"/>
    <x v="0"/>
    <s v="Annually"/>
    <n v="0.1"/>
    <n v="42.3"/>
    <n v="47"/>
    <s v="Venmo"/>
    <s v="Normal"/>
    <s v="Good"/>
  </r>
  <r>
    <n v="2979"/>
    <n v="53"/>
    <x v="1"/>
    <x v="6"/>
    <x v="0"/>
    <n v="56"/>
    <x v="37"/>
    <x v="1"/>
    <s v="Cyan"/>
    <x v="1"/>
    <n v="3.9"/>
    <s v="No"/>
    <x v="1"/>
    <s v="No"/>
    <n v="49"/>
    <x v="4"/>
    <s v="Fortnightly"/>
    <n v="0.1"/>
    <n v="50.4"/>
    <n v="56"/>
    <s v="Bank Transfer"/>
    <s v="Normal"/>
    <s v="Good"/>
  </r>
  <r>
    <n v="2980"/>
    <n v="31"/>
    <x v="1"/>
    <x v="2"/>
    <x v="0"/>
    <n v="91"/>
    <x v="7"/>
    <x v="0"/>
    <s v="Olive"/>
    <x v="3"/>
    <n v="2.6"/>
    <s v="No"/>
    <x v="2"/>
    <s v="No"/>
    <n v="14"/>
    <x v="3"/>
    <s v="Weekly"/>
    <n v="0.1"/>
    <n v="81.900000000000006"/>
    <n v="91"/>
    <s v="PayPal"/>
    <s v="Normal"/>
    <s v="Poor"/>
  </r>
  <r>
    <n v="2981"/>
    <n v="70"/>
    <x v="1"/>
    <x v="24"/>
    <x v="3"/>
    <n v="93"/>
    <x v="32"/>
    <x v="0"/>
    <s v="Teal"/>
    <x v="3"/>
    <n v="4.4000000000000004"/>
    <s v="No"/>
    <x v="4"/>
    <s v="No"/>
    <n v="9"/>
    <x v="4"/>
    <s v="Monthly"/>
    <n v="0.1"/>
    <n v="83.7"/>
    <n v="93"/>
    <s v="Bank Transfer"/>
    <s v="Normal"/>
    <s v="Good"/>
  </r>
  <r>
    <n v="2982"/>
    <n v="21"/>
    <x v="1"/>
    <x v="13"/>
    <x v="0"/>
    <n v="36"/>
    <x v="12"/>
    <x v="0"/>
    <s v="Pink"/>
    <x v="0"/>
    <n v="4.9000000000000004"/>
    <s v="No"/>
    <x v="3"/>
    <s v="No"/>
    <n v="37"/>
    <x v="0"/>
    <s v="Annually"/>
    <n v="0.1"/>
    <n v="32.4"/>
    <n v="36"/>
    <s v="Venmo"/>
    <s v="Normal"/>
    <s v="Good"/>
  </r>
  <r>
    <n v="2983"/>
    <n v="33"/>
    <x v="1"/>
    <x v="10"/>
    <x v="0"/>
    <n v="45"/>
    <x v="48"/>
    <x v="2"/>
    <s v="Orange"/>
    <x v="2"/>
    <n v="3.6"/>
    <s v="No"/>
    <x v="5"/>
    <s v="No"/>
    <n v="4"/>
    <x v="2"/>
    <s v="Weekly"/>
    <n v="0.1"/>
    <n v="40.5"/>
    <n v="45"/>
    <s v="Credit Card"/>
    <s v="Normal"/>
    <s v="Good"/>
  </r>
  <r>
    <n v="2984"/>
    <n v="60"/>
    <x v="1"/>
    <x v="13"/>
    <x v="0"/>
    <n v="44"/>
    <x v="8"/>
    <x v="2"/>
    <s v="Charcoal"/>
    <x v="0"/>
    <n v="2.8"/>
    <s v="No"/>
    <x v="4"/>
    <s v="No"/>
    <n v="1"/>
    <x v="2"/>
    <s v="Quarterly"/>
    <n v="0.1"/>
    <n v="39.6"/>
    <n v="44"/>
    <s v="Credit Card"/>
    <s v="Normal"/>
    <s v="Poor"/>
  </r>
  <r>
    <n v="2985"/>
    <n v="45"/>
    <x v="1"/>
    <x v="24"/>
    <x v="3"/>
    <n v="32"/>
    <x v="21"/>
    <x v="0"/>
    <s v="Red"/>
    <x v="1"/>
    <n v="4.3"/>
    <s v="No"/>
    <x v="4"/>
    <s v="No"/>
    <n v="36"/>
    <x v="5"/>
    <s v="Bi-Weekly"/>
    <n v="0.1"/>
    <n v="28.8"/>
    <n v="32"/>
    <s v="Debit Card"/>
    <s v="Normal"/>
    <s v="Good"/>
  </r>
  <r>
    <n v="2986"/>
    <n v="46"/>
    <x v="1"/>
    <x v="22"/>
    <x v="3"/>
    <n v="36"/>
    <x v="11"/>
    <x v="1"/>
    <s v="Teal"/>
    <x v="2"/>
    <n v="3"/>
    <s v="No"/>
    <x v="0"/>
    <s v="No"/>
    <n v="21"/>
    <x v="1"/>
    <s v="Bi-Weekly"/>
    <n v="0.1"/>
    <n v="32.4"/>
    <n v="36"/>
    <s v="Cash"/>
    <s v="Normal"/>
    <s v="Good"/>
  </r>
  <r>
    <n v="2987"/>
    <n v="62"/>
    <x v="1"/>
    <x v="22"/>
    <x v="3"/>
    <n v="85"/>
    <x v="28"/>
    <x v="1"/>
    <s v="Silver"/>
    <x v="2"/>
    <n v="3.3"/>
    <s v="No"/>
    <x v="4"/>
    <s v="No"/>
    <n v="16"/>
    <x v="2"/>
    <s v="Monthly"/>
    <n v="0.1"/>
    <n v="76.5"/>
    <n v="85"/>
    <s v="Credit Card"/>
    <s v="Normal"/>
    <s v="Good"/>
  </r>
  <r>
    <n v="2988"/>
    <n v="63"/>
    <x v="1"/>
    <x v="11"/>
    <x v="0"/>
    <n v="36"/>
    <x v="7"/>
    <x v="0"/>
    <s v="Black"/>
    <x v="0"/>
    <n v="2.5"/>
    <s v="No"/>
    <x v="5"/>
    <s v="No"/>
    <n v="42"/>
    <x v="1"/>
    <s v="Monthly"/>
    <n v="0.1"/>
    <n v="32.4"/>
    <n v="36"/>
    <s v="Cash"/>
    <s v="Normal"/>
    <s v="Poor"/>
  </r>
  <r>
    <n v="2989"/>
    <n v="69"/>
    <x v="1"/>
    <x v="20"/>
    <x v="0"/>
    <n v="55"/>
    <x v="22"/>
    <x v="1"/>
    <s v="Pink"/>
    <x v="1"/>
    <n v="5"/>
    <s v="No"/>
    <x v="4"/>
    <s v="No"/>
    <n v="31"/>
    <x v="5"/>
    <s v="Monthly"/>
    <n v="0.1"/>
    <n v="49.5"/>
    <n v="55"/>
    <s v="Debit Card"/>
    <s v="Normal"/>
    <s v="Good"/>
  </r>
  <r>
    <n v="2990"/>
    <n v="46"/>
    <x v="1"/>
    <x v="22"/>
    <x v="3"/>
    <n v="20"/>
    <x v="3"/>
    <x v="3"/>
    <s v="Teal"/>
    <x v="2"/>
    <n v="4.3"/>
    <s v="No"/>
    <x v="4"/>
    <s v="No"/>
    <n v="6"/>
    <x v="2"/>
    <s v="Weekly"/>
    <n v="0.1"/>
    <n v="18"/>
    <n v="20"/>
    <s v="Credit Card"/>
    <s v="Normal"/>
    <s v="Good"/>
  </r>
  <r>
    <n v="2991"/>
    <n v="69"/>
    <x v="1"/>
    <x v="5"/>
    <x v="0"/>
    <n v="91"/>
    <x v="26"/>
    <x v="2"/>
    <s v="Teal"/>
    <x v="3"/>
    <n v="4.2"/>
    <s v="No"/>
    <x v="1"/>
    <s v="No"/>
    <n v="24"/>
    <x v="0"/>
    <s v="Monthly"/>
    <n v="0.1"/>
    <n v="81.900000000000006"/>
    <n v="91"/>
    <s v="Venmo"/>
    <s v="Normal"/>
    <s v="Good"/>
  </r>
  <r>
    <n v="2992"/>
    <n v="66"/>
    <x v="1"/>
    <x v="10"/>
    <x v="0"/>
    <n v="71"/>
    <x v="40"/>
    <x v="0"/>
    <s v="Green"/>
    <x v="2"/>
    <n v="3.9"/>
    <s v="No"/>
    <x v="3"/>
    <s v="No"/>
    <n v="7"/>
    <x v="3"/>
    <s v="Bi-Weekly"/>
    <n v="0.1"/>
    <n v="63.9"/>
    <n v="71"/>
    <s v="PayPal"/>
    <s v="Normal"/>
    <s v="Good"/>
  </r>
  <r>
    <n v="2993"/>
    <n v="41"/>
    <x v="1"/>
    <x v="20"/>
    <x v="0"/>
    <n v="64"/>
    <x v="25"/>
    <x v="2"/>
    <s v="Charcoal"/>
    <x v="1"/>
    <n v="3.9"/>
    <s v="No"/>
    <x v="5"/>
    <s v="No"/>
    <n v="25"/>
    <x v="0"/>
    <s v="Weekly"/>
    <n v="0.1"/>
    <n v="57.6"/>
    <n v="64"/>
    <s v="Venmo"/>
    <s v="Normal"/>
    <s v="Good"/>
  </r>
  <r>
    <n v="2994"/>
    <n v="32"/>
    <x v="1"/>
    <x v="14"/>
    <x v="2"/>
    <n v="21"/>
    <x v="23"/>
    <x v="0"/>
    <s v="Indigo"/>
    <x v="1"/>
    <n v="4.2"/>
    <s v="No"/>
    <x v="1"/>
    <s v="No"/>
    <n v="18"/>
    <x v="1"/>
    <s v="Bi-Weekly"/>
    <n v="0.1"/>
    <n v="18.899999999999999"/>
    <n v="21"/>
    <s v="Cash"/>
    <s v="Normal"/>
    <s v="Good"/>
  </r>
  <r>
    <n v="2995"/>
    <n v="69"/>
    <x v="1"/>
    <x v="1"/>
    <x v="0"/>
    <n v="100"/>
    <x v="22"/>
    <x v="1"/>
    <s v="White"/>
    <x v="0"/>
    <n v="3.5"/>
    <s v="No"/>
    <x v="5"/>
    <s v="No"/>
    <n v="14"/>
    <x v="4"/>
    <s v="Quarterly"/>
    <n v="0.1"/>
    <n v="90"/>
    <n v="100"/>
    <s v="Bank Transfer"/>
    <s v="Normal"/>
    <s v="Good"/>
  </r>
  <r>
    <n v="2996"/>
    <n v="29"/>
    <x v="1"/>
    <x v="2"/>
    <x v="0"/>
    <n v="96"/>
    <x v="41"/>
    <x v="2"/>
    <s v="Orange"/>
    <x v="2"/>
    <n v="2.5"/>
    <s v="No"/>
    <x v="3"/>
    <s v="No"/>
    <n v="42"/>
    <x v="5"/>
    <s v="Bi-Weekly"/>
    <n v="0.1"/>
    <n v="86.4"/>
    <n v="96"/>
    <s v="Debit Card"/>
    <s v="Normal"/>
    <s v="Poor"/>
  </r>
  <r>
    <n v="2997"/>
    <n v="70"/>
    <x v="1"/>
    <x v="16"/>
    <x v="3"/>
    <n v="91"/>
    <x v="40"/>
    <x v="2"/>
    <s v="White"/>
    <x v="1"/>
    <n v="2.9"/>
    <s v="No"/>
    <x v="0"/>
    <s v="No"/>
    <n v="6"/>
    <x v="0"/>
    <s v="Every 3 Months"/>
    <n v="0.1"/>
    <n v="81.900000000000006"/>
    <n v="91"/>
    <s v="Venmo"/>
    <s v="Normal"/>
    <s v="Poor"/>
  </r>
  <r>
    <n v="2998"/>
    <n v="41"/>
    <x v="1"/>
    <x v="1"/>
    <x v="0"/>
    <n v="40"/>
    <x v="37"/>
    <x v="1"/>
    <s v="Yellow"/>
    <x v="1"/>
    <n v="2.7"/>
    <s v="No"/>
    <x v="2"/>
    <s v="No"/>
    <n v="14"/>
    <x v="0"/>
    <s v="Every 3 Months"/>
    <n v="0.1"/>
    <n v="36"/>
    <n v="40"/>
    <s v="Venmo"/>
    <s v="Normal"/>
    <s v="Poor"/>
  </r>
  <r>
    <n v="2999"/>
    <n v="31"/>
    <x v="1"/>
    <x v="15"/>
    <x v="0"/>
    <n v="53"/>
    <x v="29"/>
    <x v="2"/>
    <s v="Red"/>
    <x v="2"/>
    <n v="4.7"/>
    <s v="No"/>
    <x v="0"/>
    <s v="No"/>
    <n v="30"/>
    <x v="5"/>
    <s v="Quarterly"/>
    <n v="0.1"/>
    <n v="47.7"/>
    <n v="53"/>
    <s v="Debit Card"/>
    <s v="Normal"/>
    <s v="Good"/>
  </r>
  <r>
    <n v="3000"/>
    <n v="31"/>
    <x v="1"/>
    <x v="12"/>
    <x v="3"/>
    <n v="48"/>
    <x v="13"/>
    <x v="1"/>
    <s v="Charcoal"/>
    <x v="0"/>
    <n v="3.8"/>
    <s v="No"/>
    <x v="3"/>
    <s v="No"/>
    <n v="10"/>
    <x v="1"/>
    <s v="Monthly"/>
    <n v="0.1"/>
    <n v="43.2"/>
    <n v="48"/>
    <s v="Cash"/>
    <s v="Normal"/>
    <s v="Good"/>
  </r>
  <r>
    <n v="3001"/>
    <n v="57"/>
    <x v="1"/>
    <x v="3"/>
    <x v="1"/>
    <n v="70"/>
    <x v="31"/>
    <x v="2"/>
    <s v="Lavender"/>
    <x v="0"/>
    <n v="3.7"/>
    <s v="No"/>
    <x v="0"/>
    <s v="No"/>
    <n v="7"/>
    <x v="3"/>
    <s v="Weekly"/>
    <n v="0.1"/>
    <n v="63"/>
    <n v="70"/>
    <s v="PayPal"/>
    <s v="Normal"/>
    <s v="Good"/>
  </r>
  <r>
    <n v="3002"/>
    <n v="29"/>
    <x v="1"/>
    <x v="7"/>
    <x v="2"/>
    <n v="29"/>
    <x v="6"/>
    <x v="0"/>
    <s v="Charcoal"/>
    <x v="2"/>
    <n v="4.7"/>
    <s v="No"/>
    <x v="0"/>
    <s v="No"/>
    <n v="28"/>
    <x v="2"/>
    <s v="Quarterly"/>
    <n v="0.1"/>
    <n v="26.1"/>
    <n v="29"/>
    <s v="Credit Card"/>
    <s v="Normal"/>
    <s v="Good"/>
  </r>
  <r>
    <n v="3003"/>
    <n v="70"/>
    <x v="1"/>
    <x v="22"/>
    <x v="3"/>
    <n v="29"/>
    <x v="7"/>
    <x v="2"/>
    <s v="Maroon"/>
    <x v="3"/>
    <n v="3.6"/>
    <s v="No"/>
    <x v="2"/>
    <s v="No"/>
    <n v="19"/>
    <x v="4"/>
    <s v="Quarterly"/>
    <n v="0.1"/>
    <n v="26.1"/>
    <n v="29"/>
    <s v="Bank Transfer"/>
    <s v="Normal"/>
    <s v="Good"/>
  </r>
  <r>
    <n v="3004"/>
    <n v="51"/>
    <x v="1"/>
    <x v="0"/>
    <x v="0"/>
    <n v="53"/>
    <x v="4"/>
    <x v="2"/>
    <s v="Brown"/>
    <x v="3"/>
    <n v="2.8"/>
    <s v="No"/>
    <x v="0"/>
    <s v="No"/>
    <n v="13"/>
    <x v="2"/>
    <s v="Every 3 Months"/>
    <n v="0.1"/>
    <n v="47.7"/>
    <n v="53"/>
    <s v="Credit Card"/>
    <s v="Normal"/>
    <s v="Poor"/>
  </r>
  <r>
    <n v="3005"/>
    <n v="45"/>
    <x v="1"/>
    <x v="11"/>
    <x v="0"/>
    <n v="79"/>
    <x v="28"/>
    <x v="2"/>
    <s v="Lavender"/>
    <x v="0"/>
    <n v="3.7"/>
    <s v="No"/>
    <x v="5"/>
    <s v="No"/>
    <n v="23"/>
    <x v="0"/>
    <s v="Fortnightly"/>
    <n v="0.1"/>
    <n v="71.099999999999994"/>
    <n v="79"/>
    <s v="Venmo"/>
    <s v="Normal"/>
    <s v="Good"/>
  </r>
  <r>
    <n v="3006"/>
    <n v="18"/>
    <x v="1"/>
    <x v="6"/>
    <x v="0"/>
    <n v="65"/>
    <x v="29"/>
    <x v="3"/>
    <s v="Brown"/>
    <x v="1"/>
    <n v="3.5"/>
    <s v="No"/>
    <x v="0"/>
    <s v="No"/>
    <n v="5"/>
    <x v="0"/>
    <s v="Weekly"/>
    <n v="0.1"/>
    <n v="58.5"/>
    <n v="65"/>
    <s v="Venmo"/>
    <s v="Normal"/>
    <s v="Good"/>
  </r>
  <r>
    <n v="3007"/>
    <n v="37"/>
    <x v="1"/>
    <x v="10"/>
    <x v="0"/>
    <n v="99"/>
    <x v="40"/>
    <x v="2"/>
    <s v="Olive"/>
    <x v="2"/>
    <n v="3.7"/>
    <s v="No"/>
    <x v="5"/>
    <s v="No"/>
    <n v="17"/>
    <x v="0"/>
    <s v="Bi-Weekly"/>
    <n v="0.1"/>
    <n v="89.1"/>
    <n v="99"/>
    <s v="Venmo"/>
    <s v="Normal"/>
    <s v="Good"/>
  </r>
  <r>
    <n v="3008"/>
    <n v="23"/>
    <x v="1"/>
    <x v="12"/>
    <x v="3"/>
    <n v="60"/>
    <x v="14"/>
    <x v="0"/>
    <s v="Lavender"/>
    <x v="0"/>
    <n v="3"/>
    <s v="No"/>
    <x v="2"/>
    <s v="No"/>
    <n v="31"/>
    <x v="0"/>
    <s v="Weekly"/>
    <n v="0.1"/>
    <n v="54"/>
    <n v="60"/>
    <s v="Venmo"/>
    <s v="Normal"/>
    <s v="Good"/>
  </r>
  <r>
    <n v="3009"/>
    <n v="39"/>
    <x v="1"/>
    <x v="9"/>
    <x v="1"/>
    <n v="86"/>
    <x v="35"/>
    <x v="2"/>
    <s v="Gold"/>
    <x v="0"/>
    <n v="4.9000000000000004"/>
    <s v="No"/>
    <x v="1"/>
    <s v="No"/>
    <n v="19"/>
    <x v="3"/>
    <s v="Weekly"/>
    <n v="0.1"/>
    <n v="77.400000000000006"/>
    <n v="86"/>
    <s v="PayPal"/>
    <s v="Normal"/>
    <s v="Good"/>
  </r>
  <r>
    <n v="3010"/>
    <n v="62"/>
    <x v="1"/>
    <x v="22"/>
    <x v="3"/>
    <n v="73"/>
    <x v="7"/>
    <x v="2"/>
    <s v="Silver"/>
    <x v="0"/>
    <n v="4.5999999999999996"/>
    <s v="No"/>
    <x v="1"/>
    <s v="No"/>
    <n v="8"/>
    <x v="0"/>
    <s v="Fortnightly"/>
    <n v="0.1"/>
    <n v="65.7"/>
    <n v="73"/>
    <s v="Venmo"/>
    <s v="Normal"/>
    <s v="Good"/>
  </r>
  <r>
    <n v="3011"/>
    <n v="70"/>
    <x v="1"/>
    <x v="22"/>
    <x v="3"/>
    <n v="45"/>
    <x v="31"/>
    <x v="2"/>
    <s v="Violet"/>
    <x v="0"/>
    <n v="3.3"/>
    <s v="No"/>
    <x v="1"/>
    <s v="No"/>
    <n v="15"/>
    <x v="2"/>
    <s v="Annually"/>
    <n v="0.1"/>
    <n v="40.5"/>
    <n v="45"/>
    <s v="Credit Card"/>
    <s v="Normal"/>
    <s v="Good"/>
  </r>
  <r>
    <n v="3012"/>
    <n v="20"/>
    <x v="1"/>
    <x v="22"/>
    <x v="3"/>
    <n v="70"/>
    <x v="22"/>
    <x v="1"/>
    <s v="Brown"/>
    <x v="2"/>
    <n v="3"/>
    <s v="No"/>
    <x v="2"/>
    <s v="No"/>
    <n v="18"/>
    <x v="2"/>
    <s v="Every 3 Months"/>
    <n v="0.1"/>
    <n v="63"/>
    <n v="70"/>
    <s v="Credit Card"/>
    <s v="Normal"/>
    <s v="Good"/>
  </r>
  <r>
    <n v="3013"/>
    <n v="42"/>
    <x v="1"/>
    <x v="22"/>
    <x v="3"/>
    <n v="65"/>
    <x v="37"/>
    <x v="2"/>
    <s v="Teal"/>
    <x v="3"/>
    <n v="3.5"/>
    <s v="No"/>
    <x v="3"/>
    <s v="No"/>
    <n v="16"/>
    <x v="3"/>
    <s v="Annually"/>
    <n v="0.1"/>
    <n v="58.5"/>
    <n v="65"/>
    <s v="PayPal"/>
    <s v="Normal"/>
    <s v="Good"/>
  </r>
  <r>
    <n v="3014"/>
    <n v="41"/>
    <x v="1"/>
    <x v="11"/>
    <x v="0"/>
    <n v="55"/>
    <x v="28"/>
    <x v="0"/>
    <s v="Peach"/>
    <x v="2"/>
    <n v="4.2"/>
    <s v="No"/>
    <x v="5"/>
    <s v="No"/>
    <n v="13"/>
    <x v="1"/>
    <s v="Monthly"/>
    <n v="0.1"/>
    <n v="49.5"/>
    <n v="55"/>
    <s v="Cash"/>
    <s v="Normal"/>
    <s v="Good"/>
  </r>
  <r>
    <n v="3015"/>
    <n v="24"/>
    <x v="1"/>
    <x v="17"/>
    <x v="0"/>
    <n v="65"/>
    <x v="40"/>
    <x v="2"/>
    <s v="Maroon"/>
    <x v="1"/>
    <n v="4.5"/>
    <s v="No"/>
    <x v="0"/>
    <s v="No"/>
    <n v="38"/>
    <x v="3"/>
    <s v="Every 3 Months"/>
    <n v="0.1"/>
    <n v="58.5"/>
    <n v="65"/>
    <s v="PayPal"/>
    <s v="Normal"/>
    <s v="Good"/>
  </r>
  <r>
    <n v="3016"/>
    <n v="37"/>
    <x v="1"/>
    <x v="18"/>
    <x v="3"/>
    <n v="21"/>
    <x v="5"/>
    <x v="3"/>
    <s v="Lavender"/>
    <x v="1"/>
    <n v="2.8"/>
    <s v="No"/>
    <x v="0"/>
    <s v="No"/>
    <n v="27"/>
    <x v="4"/>
    <s v="Bi-Weekly"/>
    <n v="0.1"/>
    <n v="18.899999999999999"/>
    <n v="21"/>
    <s v="Bank Transfer"/>
    <s v="Normal"/>
    <s v="Poor"/>
  </r>
  <r>
    <n v="3017"/>
    <n v="30"/>
    <x v="1"/>
    <x v="0"/>
    <x v="0"/>
    <n v="26"/>
    <x v="27"/>
    <x v="0"/>
    <s v="Lavender"/>
    <x v="2"/>
    <n v="4.9000000000000004"/>
    <s v="No"/>
    <x v="5"/>
    <s v="No"/>
    <n v="31"/>
    <x v="4"/>
    <s v="Quarterly"/>
    <n v="0.1"/>
    <n v="23.4"/>
    <n v="26"/>
    <s v="Bank Transfer"/>
    <s v="Normal"/>
    <s v="Good"/>
  </r>
  <r>
    <n v="3018"/>
    <n v="58"/>
    <x v="1"/>
    <x v="12"/>
    <x v="3"/>
    <n v="71"/>
    <x v="48"/>
    <x v="1"/>
    <s v="Purple"/>
    <x v="2"/>
    <n v="3.3"/>
    <s v="No"/>
    <x v="2"/>
    <s v="No"/>
    <n v="24"/>
    <x v="1"/>
    <s v="Bi-Weekly"/>
    <n v="0.1"/>
    <n v="63.9"/>
    <n v="71"/>
    <s v="Cash"/>
    <s v="Normal"/>
    <s v="Good"/>
  </r>
  <r>
    <n v="3019"/>
    <n v="43"/>
    <x v="1"/>
    <x v="23"/>
    <x v="1"/>
    <n v="41"/>
    <x v="21"/>
    <x v="2"/>
    <s v="Green"/>
    <x v="2"/>
    <n v="3"/>
    <s v="No"/>
    <x v="1"/>
    <s v="No"/>
    <n v="21"/>
    <x v="5"/>
    <s v="Bi-Weekly"/>
    <n v="0.1"/>
    <n v="36.9"/>
    <n v="41"/>
    <s v="Debit Card"/>
    <s v="Normal"/>
    <s v="Good"/>
  </r>
  <r>
    <n v="3020"/>
    <n v="19"/>
    <x v="1"/>
    <x v="14"/>
    <x v="2"/>
    <n v="44"/>
    <x v="40"/>
    <x v="2"/>
    <s v="Yellow"/>
    <x v="0"/>
    <n v="3.9"/>
    <s v="No"/>
    <x v="4"/>
    <s v="No"/>
    <n v="15"/>
    <x v="3"/>
    <s v="Annually"/>
    <n v="0.1"/>
    <n v="39.6"/>
    <n v="44"/>
    <s v="PayPal"/>
    <s v="Normal"/>
    <s v="Good"/>
  </r>
  <r>
    <n v="3021"/>
    <n v="23"/>
    <x v="1"/>
    <x v="2"/>
    <x v="0"/>
    <n v="81"/>
    <x v="10"/>
    <x v="1"/>
    <s v="Charcoal"/>
    <x v="3"/>
    <n v="2.8"/>
    <s v="No"/>
    <x v="5"/>
    <s v="No"/>
    <n v="48"/>
    <x v="0"/>
    <s v="Every 3 Months"/>
    <n v="0.1"/>
    <n v="72.900000000000006"/>
    <n v="81"/>
    <s v="Venmo"/>
    <s v="Normal"/>
    <s v="Poor"/>
  </r>
  <r>
    <n v="3022"/>
    <n v="65"/>
    <x v="1"/>
    <x v="12"/>
    <x v="3"/>
    <n v="77"/>
    <x v="38"/>
    <x v="1"/>
    <s v="Blue"/>
    <x v="2"/>
    <n v="4.5"/>
    <s v="No"/>
    <x v="4"/>
    <s v="No"/>
    <n v="47"/>
    <x v="1"/>
    <s v="Quarterly"/>
    <n v="0.1"/>
    <n v="69.3"/>
    <n v="77"/>
    <s v="Cash"/>
    <s v="Normal"/>
    <s v="Good"/>
  </r>
  <r>
    <n v="3023"/>
    <n v="58"/>
    <x v="1"/>
    <x v="3"/>
    <x v="1"/>
    <n v="26"/>
    <x v="42"/>
    <x v="2"/>
    <s v="Lavender"/>
    <x v="3"/>
    <n v="4"/>
    <s v="No"/>
    <x v="1"/>
    <s v="No"/>
    <n v="23"/>
    <x v="3"/>
    <s v="Weekly"/>
    <n v="0.1"/>
    <n v="23.4"/>
    <n v="26"/>
    <s v="PayPal"/>
    <s v="Normal"/>
    <s v="Good"/>
  </r>
  <r>
    <n v="3024"/>
    <n v="50"/>
    <x v="1"/>
    <x v="21"/>
    <x v="3"/>
    <n v="31"/>
    <x v="27"/>
    <x v="2"/>
    <s v="Brown"/>
    <x v="2"/>
    <n v="2.9"/>
    <s v="No"/>
    <x v="0"/>
    <s v="No"/>
    <n v="4"/>
    <x v="3"/>
    <s v="Quarterly"/>
    <n v="0.1"/>
    <n v="27.9"/>
    <n v="31"/>
    <s v="PayPal"/>
    <s v="Normal"/>
    <s v="Poor"/>
  </r>
  <r>
    <n v="3025"/>
    <n v="67"/>
    <x v="1"/>
    <x v="0"/>
    <x v="0"/>
    <n v="82"/>
    <x v="37"/>
    <x v="1"/>
    <s v="White"/>
    <x v="1"/>
    <n v="4"/>
    <s v="No"/>
    <x v="1"/>
    <s v="No"/>
    <n v="47"/>
    <x v="2"/>
    <s v="Every 3 Months"/>
    <n v="0.1"/>
    <n v="73.8"/>
    <n v="82"/>
    <s v="Credit Card"/>
    <s v="Normal"/>
    <s v="Good"/>
  </r>
  <r>
    <n v="3026"/>
    <n v="40"/>
    <x v="1"/>
    <x v="9"/>
    <x v="1"/>
    <n v="60"/>
    <x v="6"/>
    <x v="3"/>
    <s v="Green"/>
    <x v="2"/>
    <n v="3.4"/>
    <s v="No"/>
    <x v="5"/>
    <s v="No"/>
    <n v="7"/>
    <x v="3"/>
    <s v="Monthly"/>
    <n v="0.1"/>
    <n v="54"/>
    <n v="60"/>
    <s v="PayPal"/>
    <s v="Normal"/>
    <s v="Good"/>
  </r>
  <r>
    <n v="3027"/>
    <n v="55"/>
    <x v="1"/>
    <x v="5"/>
    <x v="0"/>
    <n v="70"/>
    <x v="30"/>
    <x v="0"/>
    <s v="Magenta"/>
    <x v="3"/>
    <n v="2.5"/>
    <s v="No"/>
    <x v="1"/>
    <s v="No"/>
    <n v="6"/>
    <x v="2"/>
    <s v="Annually"/>
    <n v="0.1"/>
    <n v="63"/>
    <n v="70"/>
    <s v="Credit Card"/>
    <s v="Normal"/>
    <s v="Poor"/>
  </r>
  <r>
    <n v="3028"/>
    <n v="52"/>
    <x v="1"/>
    <x v="15"/>
    <x v="0"/>
    <n v="26"/>
    <x v="8"/>
    <x v="3"/>
    <s v="Peach"/>
    <x v="0"/>
    <n v="2.8"/>
    <s v="No"/>
    <x v="4"/>
    <s v="No"/>
    <n v="47"/>
    <x v="2"/>
    <s v="Quarterly"/>
    <n v="0.1"/>
    <n v="23.4"/>
    <n v="26"/>
    <s v="Credit Card"/>
    <s v="Normal"/>
    <s v="Poor"/>
  </r>
  <r>
    <n v="3029"/>
    <n v="62"/>
    <x v="1"/>
    <x v="10"/>
    <x v="0"/>
    <n v="100"/>
    <x v="18"/>
    <x v="0"/>
    <s v="Charcoal"/>
    <x v="2"/>
    <n v="3"/>
    <s v="No"/>
    <x v="1"/>
    <s v="No"/>
    <n v="7"/>
    <x v="3"/>
    <s v="Every 3 Months"/>
    <n v="0.1"/>
    <n v="90"/>
    <n v="100"/>
    <s v="PayPal"/>
    <s v="Normal"/>
    <s v="Good"/>
  </r>
  <r>
    <n v="3030"/>
    <n v="64"/>
    <x v="1"/>
    <x v="10"/>
    <x v="0"/>
    <n v="82"/>
    <x v="42"/>
    <x v="2"/>
    <s v="Gold"/>
    <x v="2"/>
    <n v="3.1"/>
    <s v="No"/>
    <x v="1"/>
    <s v="No"/>
    <n v="1"/>
    <x v="5"/>
    <s v="Quarterly"/>
    <n v="0.1"/>
    <n v="73.8"/>
    <n v="82"/>
    <s v="Debit Card"/>
    <s v="Normal"/>
    <s v="Good"/>
  </r>
  <r>
    <n v="3031"/>
    <n v="43"/>
    <x v="1"/>
    <x v="4"/>
    <x v="1"/>
    <n v="24"/>
    <x v="33"/>
    <x v="3"/>
    <s v="Purple"/>
    <x v="1"/>
    <n v="2.6"/>
    <s v="No"/>
    <x v="4"/>
    <s v="No"/>
    <n v="23"/>
    <x v="2"/>
    <s v="Weekly"/>
    <n v="0.1"/>
    <n v="21.6"/>
    <n v="24"/>
    <s v="Credit Card"/>
    <s v="Normal"/>
    <s v="Poor"/>
  </r>
  <r>
    <n v="3032"/>
    <n v="61"/>
    <x v="1"/>
    <x v="0"/>
    <x v="0"/>
    <n v="74"/>
    <x v="37"/>
    <x v="0"/>
    <s v="Teal"/>
    <x v="2"/>
    <n v="4.9000000000000004"/>
    <s v="No"/>
    <x v="4"/>
    <s v="No"/>
    <n v="30"/>
    <x v="2"/>
    <s v="Monthly"/>
    <n v="0.1"/>
    <n v="66.599999999999994"/>
    <n v="74"/>
    <s v="Credit Card"/>
    <s v="Normal"/>
    <s v="Good"/>
  </r>
  <r>
    <n v="3033"/>
    <n v="26"/>
    <x v="1"/>
    <x v="21"/>
    <x v="3"/>
    <n v="58"/>
    <x v="18"/>
    <x v="3"/>
    <s v="Green"/>
    <x v="2"/>
    <n v="3.5"/>
    <s v="No"/>
    <x v="2"/>
    <s v="No"/>
    <n v="24"/>
    <x v="2"/>
    <s v="Quarterly"/>
    <n v="0.1"/>
    <n v="52.2"/>
    <n v="58"/>
    <s v="Credit Card"/>
    <s v="Normal"/>
    <s v="Good"/>
  </r>
  <r>
    <n v="3034"/>
    <n v="22"/>
    <x v="1"/>
    <x v="1"/>
    <x v="0"/>
    <n v="56"/>
    <x v="15"/>
    <x v="0"/>
    <s v="Orange"/>
    <x v="1"/>
    <n v="2.6"/>
    <s v="No"/>
    <x v="5"/>
    <s v="No"/>
    <n v="9"/>
    <x v="3"/>
    <s v="Weekly"/>
    <n v="0.1"/>
    <n v="50.4"/>
    <n v="56"/>
    <s v="PayPal"/>
    <s v="Normal"/>
    <s v="Poor"/>
  </r>
  <r>
    <n v="3035"/>
    <n v="51"/>
    <x v="1"/>
    <x v="23"/>
    <x v="1"/>
    <n v="37"/>
    <x v="40"/>
    <x v="0"/>
    <s v="Peach"/>
    <x v="1"/>
    <n v="3.5"/>
    <s v="No"/>
    <x v="4"/>
    <s v="No"/>
    <n v="25"/>
    <x v="2"/>
    <s v="Quarterly"/>
    <n v="0.1"/>
    <n v="33.299999999999997"/>
    <n v="37"/>
    <s v="Credit Card"/>
    <s v="Normal"/>
    <s v="Good"/>
  </r>
  <r>
    <n v="3036"/>
    <n v="69"/>
    <x v="1"/>
    <x v="8"/>
    <x v="3"/>
    <n v="64"/>
    <x v="0"/>
    <x v="2"/>
    <s v="Gold"/>
    <x v="1"/>
    <n v="4.5"/>
    <s v="No"/>
    <x v="1"/>
    <s v="No"/>
    <n v="18"/>
    <x v="1"/>
    <s v="Bi-Weekly"/>
    <n v="0.1"/>
    <n v="57.6"/>
    <n v="64"/>
    <s v="Cash"/>
    <s v="Normal"/>
    <s v="Good"/>
  </r>
  <r>
    <n v="3037"/>
    <n v="50"/>
    <x v="1"/>
    <x v="15"/>
    <x v="0"/>
    <n v="58"/>
    <x v="34"/>
    <x v="1"/>
    <s v="Violet"/>
    <x v="1"/>
    <n v="4.3"/>
    <s v="No"/>
    <x v="2"/>
    <s v="No"/>
    <n v="7"/>
    <x v="0"/>
    <s v="Fortnightly"/>
    <n v="0.1"/>
    <n v="52.2"/>
    <n v="58"/>
    <s v="Venmo"/>
    <s v="Normal"/>
    <s v="Good"/>
  </r>
  <r>
    <n v="3038"/>
    <n v="51"/>
    <x v="1"/>
    <x v="22"/>
    <x v="3"/>
    <n v="44"/>
    <x v="44"/>
    <x v="0"/>
    <s v="Charcoal"/>
    <x v="2"/>
    <n v="4.8"/>
    <s v="No"/>
    <x v="2"/>
    <s v="No"/>
    <n v="2"/>
    <x v="1"/>
    <s v="Annually"/>
    <n v="0.1"/>
    <n v="39.6"/>
    <n v="44"/>
    <s v="Cash"/>
    <s v="Normal"/>
    <s v="Good"/>
  </r>
  <r>
    <n v="3039"/>
    <n v="56"/>
    <x v="1"/>
    <x v="16"/>
    <x v="3"/>
    <n v="39"/>
    <x v="42"/>
    <x v="2"/>
    <s v="Brown"/>
    <x v="2"/>
    <n v="4.2"/>
    <s v="No"/>
    <x v="1"/>
    <s v="No"/>
    <n v="36"/>
    <x v="5"/>
    <s v="Annually"/>
    <n v="0.1"/>
    <n v="35.1"/>
    <n v="39"/>
    <s v="Debit Card"/>
    <s v="Normal"/>
    <s v="Good"/>
  </r>
  <r>
    <n v="3040"/>
    <n v="59"/>
    <x v="1"/>
    <x v="0"/>
    <x v="0"/>
    <n v="48"/>
    <x v="15"/>
    <x v="0"/>
    <s v="Blue"/>
    <x v="1"/>
    <n v="3.2"/>
    <s v="No"/>
    <x v="2"/>
    <s v="No"/>
    <n v="31"/>
    <x v="3"/>
    <s v="Bi-Weekly"/>
    <n v="0.1"/>
    <n v="43.2"/>
    <n v="48"/>
    <s v="PayPal"/>
    <s v="Normal"/>
    <s v="Good"/>
  </r>
  <r>
    <n v="3041"/>
    <n v="18"/>
    <x v="1"/>
    <x v="8"/>
    <x v="3"/>
    <n v="32"/>
    <x v="43"/>
    <x v="2"/>
    <s v="Gold"/>
    <x v="3"/>
    <n v="4.0999999999999996"/>
    <s v="No"/>
    <x v="0"/>
    <s v="No"/>
    <n v="10"/>
    <x v="1"/>
    <s v="Fortnightly"/>
    <n v="0.1"/>
    <n v="28.8"/>
    <n v="32"/>
    <s v="Cash"/>
    <s v="Normal"/>
    <s v="Good"/>
  </r>
  <r>
    <n v="3042"/>
    <n v="48"/>
    <x v="1"/>
    <x v="8"/>
    <x v="3"/>
    <n v="79"/>
    <x v="3"/>
    <x v="2"/>
    <s v="Orange"/>
    <x v="0"/>
    <n v="4"/>
    <s v="No"/>
    <x v="0"/>
    <s v="No"/>
    <n v="27"/>
    <x v="3"/>
    <s v="Monthly"/>
    <n v="0.1"/>
    <n v="71.099999999999994"/>
    <n v="79"/>
    <s v="PayPal"/>
    <s v="Normal"/>
    <s v="Good"/>
  </r>
  <r>
    <n v="3043"/>
    <n v="53"/>
    <x v="1"/>
    <x v="7"/>
    <x v="2"/>
    <n v="27"/>
    <x v="45"/>
    <x v="0"/>
    <s v="Turquoise"/>
    <x v="0"/>
    <n v="2.9"/>
    <s v="No"/>
    <x v="2"/>
    <s v="No"/>
    <n v="14"/>
    <x v="3"/>
    <s v="Every 3 Months"/>
    <n v="0.1"/>
    <n v="24.3"/>
    <n v="27"/>
    <s v="PayPal"/>
    <s v="Normal"/>
    <s v="Poor"/>
  </r>
  <r>
    <n v="3044"/>
    <n v="45"/>
    <x v="1"/>
    <x v="22"/>
    <x v="3"/>
    <n v="98"/>
    <x v="26"/>
    <x v="1"/>
    <s v="Peach"/>
    <x v="3"/>
    <n v="2.6"/>
    <s v="No"/>
    <x v="5"/>
    <s v="No"/>
    <n v="17"/>
    <x v="2"/>
    <s v="Monthly"/>
    <n v="0.1"/>
    <n v="88.2"/>
    <n v="98"/>
    <s v="Credit Card"/>
    <s v="Normal"/>
    <s v="Poor"/>
  </r>
  <r>
    <n v="3045"/>
    <n v="21"/>
    <x v="1"/>
    <x v="23"/>
    <x v="1"/>
    <n v="67"/>
    <x v="17"/>
    <x v="2"/>
    <s v="Magenta"/>
    <x v="0"/>
    <n v="2.7"/>
    <s v="No"/>
    <x v="1"/>
    <s v="No"/>
    <n v="10"/>
    <x v="4"/>
    <s v="Quarterly"/>
    <n v="0.1"/>
    <n v="60.3"/>
    <n v="67"/>
    <s v="Bank Transfer"/>
    <s v="Normal"/>
    <s v="Poor"/>
  </r>
  <r>
    <n v="3046"/>
    <n v="42"/>
    <x v="1"/>
    <x v="20"/>
    <x v="0"/>
    <n v="37"/>
    <x v="20"/>
    <x v="0"/>
    <s v="Black"/>
    <x v="0"/>
    <n v="4.5999999999999996"/>
    <s v="No"/>
    <x v="4"/>
    <s v="No"/>
    <n v="4"/>
    <x v="3"/>
    <s v="Bi-Weekly"/>
    <n v="0.1"/>
    <n v="33.299999999999997"/>
    <n v="37"/>
    <s v="PayPal"/>
    <s v="Normal"/>
    <s v="Good"/>
  </r>
  <r>
    <n v="3047"/>
    <n v="60"/>
    <x v="1"/>
    <x v="9"/>
    <x v="1"/>
    <n v="49"/>
    <x v="38"/>
    <x v="2"/>
    <s v="White"/>
    <x v="1"/>
    <n v="3.2"/>
    <s v="No"/>
    <x v="5"/>
    <s v="No"/>
    <n v="25"/>
    <x v="1"/>
    <s v="Every 3 Months"/>
    <n v="0.1"/>
    <n v="44.1"/>
    <n v="49"/>
    <s v="Cash"/>
    <s v="Normal"/>
    <s v="Good"/>
  </r>
  <r>
    <n v="3048"/>
    <n v="21"/>
    <x v="1"/>
    <x v="4"/>
    <x v="1"/>
    <n v="74"/>
    <x v="34"/>
    <x v="2"/>
    <s v="Violet"/>
    <x v="3"/>
    <n v="4.0999999999999996"/>
    <s v="No"/>
    <x v="4"/>
    <s v="No"/>
    <n v="3"/>
    <x v="3"/>
    <s v="Bi-Weekly"/>
    <n v="0.1"/>
    <n v="66.599999999999994"/>
    <n v="74"/>
    <s v="PayPal"/>
    <s v="Normal"/>
    <s v="Good"/>
  </r>
  <r>
    <n v="3049"/>
    <n v="69"/>
    <x v="1"/>
    <x v="16"/>
    <x v="3"/>
    <n v="93"/>
    <x v="24"/>
    <x v="2"/>
    <s v="Olive"/>
    <x v="2"/>
    <n v="3.9"/>
    <s v="No"/>
    <x v="3"/>
    <s v="No"/>
    <n v="47"/>
    <x v="0"/>
    <s v="Fortnightly"/>
    <n v="0.1"/>
    <n v="83.7"/>
    <n v="93"/>
    <s v="Venmo"/>
    <s v="Normal"/>
    <s v="Good"/>
  </r>
  <r>
    <n v="3050"/>
    <n v="40"/>
    <x v="1"/>
    <x v="8"/>
    <x v="3"/>
    <n v="60"/>
    <x v="40"/>
    <x v="0"/>
    <s v="Red"/>
    <x v="2"/>
    <n v="3"/>
    <s v="No"/>
    <x v="2"/>
    <s v="No"/>
    <n v="41"/>
    <x v="4"/>
    <s v="Bi-Weekly"/>
    <n v="0.1"/>
    <n v="54"/>
    <n v="60"/>
    <s v="Bank Transfer"/>
    <s v="Normal"/>
    <s v="Good"/>
  </r>
  <r>
    <n v="3051"/>
    <n v="31"/>
    <x v="1"/>
    <x v="7"/>
    <x v="2"/>
    <n v="76"/>
    <x v="0"/>
    <x v="1"/>
    <s v="Green"/>
    <x v="1"/>
    <n v="3.6"/>
    <s v="No"/>
    <x v="3"/>
    <s v="No"/>
    <n v="28"/>
    <x v="0"/>
    <s v="Every 3 Months"/>
    <n v="0.1"/>
    <n v="68.400000000000006"/>
    <n v="76"/>
    <s v="Venmo"/>
    <s v="Normal"/>
    <s v="Good"/>
  </r>
  <r>
    <n v="3052"/>
    <n v="44"/>
    <x v="1"/>
    <x v="12"/>
    <x v="3"/>
    <n v="64"/>
    <x v="5"/>
    <x v="0"/>
    <s v="Gold"/>
    <x v="2"/>
    <n v="4.5999999999999996"/>
    <s v="No"/>
    <x v="0"/>
    <s v="No"/>
    <n v="49"/>
    <x v="5"/>
    <s v="Every 3 Months"/>
    <n v="0.1"/>
    <n v="57.6"/>
    <n v="64"/>
    <s v="Debit Card"/>
    <s v="Normal"/>
    <s v="Good"/>
  </r>
  <r>
    <n v="3053"/>
    <n v="48"/>
    <x v="1"/>
    <x v="9"/>
    <x v="1"/>
    <n v="38"/>
    <x v="1"/>
    <x v="3"/>
    <s v="Olive"/>
    <x v="1"/>
    <n v="4.5"/>
    <s v="No"/>
    <x v="5"/>
    <s v="No"/>
    <n v="7"/>
    <x v="4"/>
    <s v="Fortnightly"/>
    <n v="0.1"/>
    <n v="34.200000000000003"/>
    <n v="38"/>
    <s v="Bank Transfer"/>
    <s v="Normal"/>
    <s v="Good"/>
  </r>
  <r>
    <n v="3054"/>
    <n v="32"/>
    <x v="1"/>
    <x v="9"/>
    <x v="1"/>
    <n v="91"/>
    <x v="1"/>
    <x v="0"/>
    <s v="Brown"/>
    <x v="0"/>
    <n v="3.2"/>
    <s v="No"/>
    <x v="2"/>
    <s v="No"/>
    <n v="22"/>
    <x v="4"/>
    <s v="Monthly"/>
    <n v="0.1"/>
    <n v="81.900000000000006"/>
    <n v="91"/>
    <s v="Bank Transfer"/>
    <s v="Normal"/>
    <s v="Good"/>
  </r>
  <r>
    <n v="3055"/>
    <n v="42"/>
    <x v="1"/>
    <x v="23"/>
    <x v="1"/>
    <n v="70"/>
    <x v="13"/>
    <x v="1"/>
    <s v="Magenta"/>
    <x v="2"/>
    <n v="4.9000000000000004"/>
    <s v="No"/>
    <x v="4"/>
    <s v="No"/>
    <n v="34"/>
    <x v="0"/>
    <s v="Monthly"/>
    <n v="0.1"/>
    <n v="63"/>
    <n v="70"/>
    <s v="Venmo"/>
    <s v="Normal"/>
    <s v="Good"/>
  </r>
  <r>
    <n v="3056"/>
    <n v="27"/>
    <x v="1"/>
    <x v="3"/>
    <x v="1"/>
    <n v="22"/>
    <x v="23"/>
    <x v="2"/>
    <s v="Violet"/>
    <x v="3"/>
    <n v="5"/>
    <s v="No"/>
    <x v="3"/>
    <s v="No"/>
    <n v="5"/>
    <x v="5"/>
    <s v="Bi-Weekly"/>
    <n v="0.1"/>
    <n v="19.8"/>
    <n v="22"/>
    <s v="Debit Card"/>
    <s v="Normal"/>
    <s v="Good"/>
  </r>
  <r>
    <n v="3057"/>
    <n v="69"/>
    <x v="1"/>
    <x v="24"/>
    <x v="3"/>
    <n v="59"/>
    <x v="32"/>
    <x v="2"/>
    <s v="Beige"/>
    <x v="1"/>
    <n v="3.8"/>
    <s v="No"/>
    <x v="3"/>
    <s v="No"/>
    <n v="15"/>
    <x v="1"/>
    <s v="Bi-Weekly"/>
    <n v="0.1"/>
    <n v="53.1"/>
    <n v="59"/>
    <s v="Cash"/>
    <s v="Normal"/>
    <s v="Good"/>
  </r>
  <r>
    <n v="3058"/>
    <n v="67"/>
    <x v="1"/>
    <x v="21"/>
    <x v="3"/>
    <n v="22"/>
    <x v="17"/>
    <x v="2"/>
    <s v="Blue"/>
    <x v="1"/>
    <n v="3.4"/>
    <s v="No"/>
    <x v="2"/>
    <s v="No"/>
    <n v="26"/>
    <x v="4"/>
    <s v="Weekly"/>
    <n v="0.1"/>
    <n v="19.8"/>
    <n v="22"/>
    <s v="Bank Transfer"/>
    <s v="Normal"/>
    <s v="Good"/>
  </r>
  <r>
    <n v="3059"/>
    <n v="41"/>
    <x v="1"/>
    <x v="8"/>
    <x v="3"/>
    <n v="74"/>
    <x v="8"/>
    <x v="1"/>
    <s v="Orange"/>
    <x v="0"/>
    <n v="3.8"/>
    <s v="No"/>
    <x v="5"/>
    <s v="No"/>
    <n v="3"/>
    <x v="4"/>
    <s v="Fortnightly"/>
    <n v="0.1"/>
    <n v="66.599999999999994"/>
    <n v="74"/>
    <s v="Bank Transfer"/>
    <s v="Normal"/>
    <s v="Good"/>
  </r>
  <r>
    <n v="3060"/>
    <n v="46"/>
    <x v="1"/>
    <x v="1"/>
    <x v="0"/>
    <n v="71"/>
    <x v="0"/>
    <x v="0"/>
    <s v="Maroon"/>
    <x v="1"/>
    <n v="3.2"/>
    <s v="No"/>
    <x v="0"/>
    <s v="No"/>
    <n v="42"/>
    <x v="2"/>
    <s v="Quarterly"/>
    <n v="0.1"/>
    <n v="63.9"/>
    <n v="71"/>
    <s v="Credit Card"/>
    <s v="Normal"/>
    <s v="Good"/>
  </r>
  <r>
    <n v="3061"/>
    <n v="47"/>
    <x v="1"/>
    <x v="7"/>
    <x v="2"/>
    <n v="80"/>
    <x v="18"/>
    <x v="1"/>
    <s v="Charcoal"/>
    <x v="2"/>
    <n v="4.7"/>
    <s v="No"/>
    <x v="5"/>
    <s v="No"/>
    <n v="1"/>
    <x v="0"/>
    <s v="Monthly"/>
    <n v="0.1"/>
    <n v="72"/>
    <n v="80"/>
    <s v="Venmo"/>
    <s v="Normal"/>
    <s v="Good"/>
  </r>
  <r>
    <n v="3062"/>
    <n v="33"/>
    <x v="1"/>
    <x v="17"/>
    <x v="0"/>
    <n v="59"/>
    <x v="45"/>
    <x v="0"/>
    <s v="Olive"/>
    <x v="3"/>
    <n v="4.5"/>
    <s v="No"/>
    <x v="0"/>
    <s v="No"/>
    <n v="20"/>
    <x v="3"/>
    <s v="Every 3 Months"/>
    <n v="0.1"/>
    <n v="53.1"/>
    <n v="59"/>
    <s v="PayPal"/>
    <s v="Normal"/>
    <s v="Good"/>
  </r>
  <r>
    <n v="3063"/>
    <n v="51"/>
    <x v="1"/>
    <x v="21"/>
    <x v="3"/>
    <n v="96"/>
    <x v="18"/>
    <x v="0"/>
    <s v="Green"/>
    <x v="3"/>
    <n v="3.3"/>
    <s v="No"/>
    <x v="3"/>
    <s v="No"/>
    <n v="39"/>
    <x v="3"/>
    <s v="Monthly"/>
    <n v="0.1"/>
    <n v="86.4"/>
    <n v="96"/>
    <s v="PayPal"/>
    <s v="Normal"/>
    <s v="Good"/>
  </r>
  <r>
    <n v="3064"/>
    <n v="26"/>
    <x v="1"/>
    <x v="12"/>
    <x v="3"/>
    <n v="43"/>
    <x v="39"/>
    <x v="0"/>
    <s v="Brown"/>
    <x v="0"/>
    <n v="3.9"/>
    <s v="No"/>
    <x v="5"/>
    <s v="No"/>
    <n v="24"/>
    <x v="2"/>
    <s v="Fortnightly"/>
    <n v="0.1"/>
    <n v="38.700000000000003"/>
    <n v="43"/>
    <s v="Credit Card"/>
    <s v="Normal"/>
    <s v="Good"/>
  </r>
  <r>
    <n v="3065"/>
    <n v="22"/>
    <x v="1"/>
    <x v="22"/>
    <x v="3"/>
    <n v="76"/>
    <x v="37"/>
    <x v="1"/>
    <s v="Cyan"/>
    <x v="0"/>
    <n v="3.6"/>
    <s v="No"/>
    <x v="0"/>
    <s v="No"/>
    <n v="49"/>
    <x v="4"/>
    <s v="Quarterly"/>
    <n v="0.1"/>
    <n v="68.400000000000006"/>
    <n v="76"/>
    <s v="Bank Transfer"/>
    <s v="Normal"/>
    <s v="Good"/>
  </r>
  <r>
    <n v="3066"/>
    <n v="49"/>
    <x v="1"/>
    <x v="14"/>
    <x v="2"/>
    <n v="59"/>
    <x v="25"/>
    <x v="2"/>
    <s v="Beige"/>
    <x v="3"/>
    <n v="2.8"/>
    <s v="No"/>
    <x v="5"/>
    <s v="No"/>
    <n v="7"/>
    <x v="0"/>
    <s v="Bi-Weekly"/>
    <n v="0.1"/>
    <n v="53.1"/>
    <n v="59"/>
    <s v="Venmo"/>
    <s v="Normal"/>
    <s v="Poor"/>
  </r>
  <r>
    <n v="3067"/>
    <n v="58"/>
    <x v="1"/>
    <x v="11"/>
    <x v="0"/>
    <n v="48"/>
    <x v="49"/>
    <x v="0"/>
    <s v="Teal"/>
    <x v="2"/>
    <n v="4.3"/>
    <s v="No"/>
    <x v="1"/>
    <s v="No"/>
    <n v="13"/>
    <x v="0"/>
    <s v="Every 3 Months"/>
    <n v="0.1"/>
    <n v="43.2"/>
    <n v="48"/>
    <s v="Venmo"/>
    <s v="Normal"/>
    <s v="Good"/>
  </r>
  <r>
    <n v="3068"/>
    <n v="70"/>
    <x v="1"/>
    <x v="22"/>
    <x v="3"/>
    <n v="22"/>
    <x v="9"/>
    <x v="1"/>
    <s v="Gray"/>
    <x v="1"/>
    <n v="3.5"/>
    <s v="No"/>
    <x v="1"/>
    <s v="No"/>
    <n v="2"/>
    <x v="1"/>
    <s v="Weekly"/>
    <n v="0.1"/>
    <n v="19.8"/>
    <n v="22"/>
    <s v="Cash"/>
    <s v="Normal"/>
    <s v="Good"/>
  </r>
  <r>
    <n v="3069"/>
    <n v="32"/>
    <x v="1"/>
    <x v="23"/>
    <x v="1"/>
    <n v="40"/>
    <x v="18"/>
    <x v="2"/>
    <s v="Indigo"/>
    <x v="0"/>
    <n v="4.2"/>
    <s v="No"/>
    <x v="0"/>
    <s v="No"/>
    <n v="4"/>
    <x v="5"/>
    <s v="Weekly"/>
    <n v="0.1"/>
    <n v="36"/>
    <n v="40"/>
    <s v="Debit Card"/>
    <s v="Normal"/>
    <s v="Good"/>
  </r>
  <r>
    <n v="3070"/>
    <n v="62"/>
    <x v="1"/>
    <x v="2"/>
    <x v="0"/>
    <n v="73"/>
    <x v="12"/>
    <x v="0"/>
    <s v="Magenta"/>
    <x v="1"/>
    <n v="4.5999999999999996"/>
    <s v="No"/>
    <x v="0"/>
    <s v="No"/>
    <n v="17"/>
    <x v="5"/>
    <s v="Quarterly"/>
    <n v="0.1"/>
    <n v="65.7"/>
    <n v="73"/>
    <s v="Debit Card"/>
    <s v="Normal"/>
    <s v="Good"/>
  </r>
  <r>
    <n v="3071"/>
    <n v="52"/>
    <x v="1"/>
    <x v="9"/>
    <x v="1"/>
    <n v="26"/>
    <x v="15"/>
    <x v="3"/>
    <s v="Red"/>
    <x v="3"/>
    <n v="2.6"/>
    <s v="No"/>
    <x v="1"/>
    <s v="No"/>
    <n v="43"/>
    <x v="3"/>
    <s v="Bi-Weekly"/>
    <n v="0.1"/>
    <n v="23.4"/>
    <n v="26"/>
    <s v="PayPal"/>
    <s v="Normal"/>
    <s v="Poor"/>
  </r>
  <r>
    <n v="3072"/>
    <n v="23"/>
    <x v="1"/>
    <x v="1"/>
    <x v="0"/>
    <n v="41"/>
    <x v="13"/>
    <x v="0"/>
    <s v="Turquoise"/>
    <x v="1"/>
    <n v="3.4"/>
    <s v="No"/>
    <x v="2"/>
    <s v="No"/>
    <n v="6"/>
    <x v="3"/>
    <s v="Monthly"/>
    <n v="0.1"/>
    <n v="36.9"/>
    <n v="41"/>
    <s v="PayPal"/>
    <s v="Normal"/>
    <s v="Good"/>
  </r>
  <r>
    <n v="3073"/>
    <n v="26"/>
    <x v="1"/>
    <x v="16"/>
    <x v="3"/>
    <n v="98"/>
    <x v="14"/>
    <x v="0"/>
    <s v="Peach"/>
    <x v="1"/>
    <n v="3.1"/>
    <s v="No"/>
    <x v="3"/>
    <s v="No"/>
    <n v="46"/>
    <x v="3"/>
    <s v="Quarterly"/>
    <n v="0.1"/>
    <n v="88.2"/>
    <n v="98"/>
    <s v="PayPal"/>
    <s v="Normal"/>
    <s v="Good"/>
  </r>
  <r>
    <n v="3074"/>
    <n v="58"/>
    <x v="1"/>
    <x v="5"/>
    <x v="0"/>
    <n v="63"/>
    <x v="4"/>
    <x v="0"/>
    <s v="White"/>
    <x v="0"/>
    <n v="3.6"/>
    <s v="No"/>
    <x v="1"/>
    <s v="No"/>
    <n v="7"/>
    <x v="5"/>
    <s v="Bi-Weekly"/>
    <n v="0.1"/>
    <n v="56.7"/>
    <n v="63"/>
    <s v="Debit Card"/>
    <s v="Normal"/>
    <s v="Good"/>
  </r>
  <r>
    <n v="3075"/>
    <n v="26"/>
    <x v="1"/>
    <x v="23"/>
    <x v="1"/>
    <n v="55"/>
    <x v="2"/>
    <x v="0"/>
    <s v="Maroon"/>
    <x v="0"/>
    <n v="4.2"/>
    <s v="No"/>
    <x v="2"/>
    <s v="No"/>
    <n v="34"/>
    <x v="5"/>
    <s v="Fortnightly"/>
    <n v="0.1"/>
    <n v="49.5"/>
    <n v="55"/>
    <s v="Debit Card"/>
    <s v="Normal"/>
    <s v="Good"/>
  </r>
  <r>
    <n v="3076"/>
    <n v="54"/>
    <x v="1"/>
    <x v="6"/>
    <x v="0"/>
    <n v="90"/>
    <x v="40"/>
    <x v="3"/>
    <s v="Beige"/>
    <x v="0"/>
    <n v="3.6"/>
    <s v="No"/>
    <x v="3"/>
    <s v="No"/>
    <n v="21"/>
    <x v="3"/>
    <s v="Every 3 Months"/>
    <n v="0.1"/>
    <n v="81"/>
    <n v="90"/>
    <s v="PayPal"/>
    <s v="Normal"/>
    <s v="Good"/>
  </r>
  <r>
    <n v="3077"/>
    <n v="66"/>
    <x v="1"/>
    <x v="8"/>
    <x v="3"/>
    <n v="46"/>
    <x v="13"/>
    <x v="2"/>
    <s v="Blue"/>
    <x v="2"/>
    <n v="3.6"/>
    <s v="No"/>
    <x v="0"/>
    <s v="No"/>
    <n v="13"/>
    <x v="0"/>
    <s v="Bi-Weekly"/>
    <n v="0.1"/>
    <n v="41.4"/>
    <n v="46"/>
    <s v="Venmo"/>
    <s v="Normal"/>
    <s v="Good"/>
  </r>
  <r>
    <n v="3078"/>
    <n v="60"/>
    <x v="1"/>
    <x v="1"/>
    <x v="0"/>
    <n v="88"/>
    <x v="26"/>
    <x v="1"/>
    <s v="Red"/>
    <x v="1"/>
    <n v="3"/>
    <s v="No"/>
    <x v="5"/>
    <s v="No"/>
    <n v="33"/>
    <x v="5"/>
    <s v="Bi-Weekly"/>
    <n v="0.1"/>
    <n v="79.2"/>
    <n v="88"/>
    <s v="Debit Card"/>
    <s v="Normal"/>
    <s v="Good"/>
  </r>
  <r>
    <n v="3079"/>
    <n v="32"/>
    <x v="1"/>
    <x v="22"/>
    <x v="3"/>
    <n v="95"/>
    <x v="29"/>
    <x v="2"/>
    <s v="Blue"/>
    <x v="1"/>
    <n v="2.5"/>
    <s v="No"/>
    <x v="4"/>
    <s v="No"/>
    <n v="24"/>
    <x v="4"/>
    <s v="Bi-Weekly"/>
    <n v="0.1"/>
    <n v="85.5"/>
    <n v="95"/>
    <s v="Bank Transfer"/>
    <s v="Normal"/>
    <s v="Poor"/>
  </r>
  <r>
    <n v="3080"/>
    <n v="48"/>
    <x v="1"/>
    <x v="22"/>
    <x v="3"/>
    <n v="31"/>
    <x v="5"/>
    <x v="2"/>
    <s v="Maroon"/>
    <x v="3"/>
    <n v="4"/>
    <s v="No"/>
    <x v="5"/>
    <s v="No"/>
    <n v="4"/>
    <x v="4"/>
    <s v="Annually"/>
    <n v="0.1"/>
    <n v="27.9"/>
    <n v="31"/>
    <s v="Bank Transfer"/>
    <s v="Normal"/>
    <s v="Good"/>
  </r>
  <r>
    <n v="3081"/>
    <n v="69"/>
    <x v="1"/>
    <x v="15"/>
    <x v="0"/>
    <n v="42"/>
    <x v="24"/>
    <x v="0"/>
    <s v="Yellow"/>
    <x v="1"/>
    <n v="4.0999999999999996"/>
    <s v="No"/>
    <x v="2"/>
    <s v="No"/>
    <n v="5"/>
    <x v="1"/>
    <s v="Bi-Weekly"/>
    <n v="0.1"/>
    <n v="37.799999999999997"/>
    <n v="42"/>
    <s v="Cash"/>
    <s v="Normal"/>
    <s v="Good"/>
  </r>
  <r>
    <n v="3082"/>
    <n v="64"/>
    <x v="1"/>
    <x v="4"/>
    <x v="1"/>
    <n v="44"/>
    <x v="34"/>
    <x v="0"/>
    <s v="Pink"/>
    <x v="0"/>
    <n v="4.9000000000000004"/>
    <s v="No"/>
    <x v="2"/>
    <s v="No"/>
    <n v="11"/>
    <x v="2"/>
    <s v="Weekly"/>
    <n v="0.1"/>
    <n v="39.6"/>
    <n v="44"/>
    <s v="Credit Card"/>
    <s v="Normal"/>
    <s v="Good"/>
  </r>
  <r>
    <n v="3083"/>
    <n v="56"/>
    <x v="1"/>
    <x v="17"/>
    <x v="0"/>
    <n v="99"/>
    <x v="40"/>
    <x v="2"/>
    <s v="Maroon"/>
    <x v="1"/>
    <n v="4"/>
    <s v="No"/>
    <x v="2"/>
    <s v="No"/>
    <n v="20"/>
    <x v="4"/>
    <s v="Annually"/>
    <n v="0.1"/>
    <n v="89.1"/>
    <n v="99"/>
    <s v="Bank Transfer"/>
    <s v="Normal"/>
    <s v="Good"/>
  </r>
  <r>
    <n v="3084"/>
    <n v="22"/>
    <x v="1"/>
    <x v="13"/>
    <x v="0"/>
    <n v="20"/>
    <x v="26"/>
    <x v="1"/>
    <s v="Purple"/>
    <x v="2"/>
    <n v="3.5"/>
    <s v="No"/>
    <x v="5"/>
    <s v="No"/>
    <n v="28"/>
    <x v="3"/>
    <s v="Quarterly"/>
    <n v="0.1"/>
    <n v="18"/>
    <n v="20"/>
    <s v="PayPal"/>
    <s v="Normal"/>
    <s v="Good"/>
  </r>
  <r>
    <n v="3085"/>
    <n v="46"/>
    <x v="1"/>
    <x v="18"/>
    <x v="3"/>
    <n v="37"/>
    <x v="37"/>
    <x v="1"/>
    <s v="Indigo"/>
    <x v="1"/>
    <n v="3.2"/>
    <s v="No"/>
    <x v="5"/>
    <s v="No"/>
    <n v="43"/>
    <x v="3"/>
    <s v="Monthly"/>
    <n v="0.1"/>
    <n v="33.299999999999997"/>
    <n v="37"/>
    <s v="PayPal"/>
    <s v="Normal"/>
    <s v="Good"/>
  </r>
  <r>
    <n v="3086"/>
    <n v="24"/>
    <x v="1"/>
    <x v="1"/>
    <x v="0"/>
    <n v="50"/>
    <x v="22"/>
    <x v="0"/>
    <s v="Gray"/>
    <x v="0"/>
    <n v="2.8"/>
    <s v="No"/>
    <x v="5"/>
    <s v="No"/>
    <n v="10"/>
    <x v="0"/>
    <s v="Every 3 Months"/>
    <n v="0.1"/>
    <n v="45"/>
    <n v="50"/>
    <s v="Venmo"/>
    <s v="Normal"/>
    <s v="Poor"/>
  </r>
  <r>
    <n v="3087"/>
    <n v="47"/>
    <x v="1"/>
    <x v="8"/>
    <x v="3"/>
    <n v="73"/>
    <x v="40"/>
    <x v="2"/>
    <s v="Lavender"/>
    <x v="2"/>
    <n v="3.5"/>
    <s v="No"/>
    <x v="2"/>
    <s v="No"/>
    <n v="26"/>
    <x v="0"/>
    <s v="Every 3 Months"/>
    <n v="0.1"/>
    <n v="65.7"/>
    <n v="73"/>
    <s v="Venmo"/>
    <s v="Normal"/>
    <s v="Good"/>
  </r>
  <r>
    <n v="3088"/>
    <n v="62"/>
    <x v="1"/>
    <x v="5"/>
    <x v="0"/>
    <n v="84"/>
    <x v="17"/>
    <x v="2"/>
    <s v="Charcoal"/>
    <x v="1"/>
    <n v="3.1"/>
    <s v="No"/>
    <x v="1"/>
    <s v="No"/>
    <n v="29"/>
    <x v="4"/>
    <s v="Monthly"/>
    <n v="0.1"/>
    <n v="75.599999999999994"/>
    <n v="84"/>
    <s v="Bank Transfer"/>
    <s v="Normal"/>
    <s v="Good"/>
  </r>
  <r>
    <n v="3089"/>
    <n v="34"/>
    <x v="1"/>
    <x v="10"/>
    <x v="0"/>
    <n v="64"/>
    <x v="10"/>
    <x v="2"/>
    <s v="Teal"/>
    <x v="1"/>
    <n v="3.3"/>
    <s v="No"/>
    <x v="5"/>
    <s v="No"/>
    <n v="35"/>
    <x v="4"/>
    <s v="Quarterly"/>
    <n v="0.1"/>
    <n v="57.6"/>
    <n v="64"/>
    <s v="Bank Transfer"/>
    <s v="Normal"/>
    <s v="Good"/>
  </r>
  <r>
    <n v="3090"/>
    <n v="50"/>
    <x v="1"/>
    <x v="3"/>
    <x v="1"/>
    <n v="21"/>
    <x v="17"/>
    <x v="0"/>
    <s v="Blue"/>
    <x v="3"/>
    <n v="4.5999999999999996"/>
    <s v="No"/>
    <x v="1"/>
    <s v="No"/>
    <n v="23"/>
    <x v="1"/>
    <s v="Bi-Weekly"/>
    <n v="0.1"/>
    <n v="18.899999999999999"/>
    <n v="21"/>
    <s v="Cash"/>
    <s v="Normal"/>
    <s v="Good"/>
  </r>
  <r>
    <n v="3091"/>
    <n v="29"/>
    <x v="1"/>
    <x v="5"/>
    <x v="0"/>
    <n v="36"/>
    <x v="21"/>
    <x v="2"/>
    <s v="Peach"/>
    <x v="2"/>
    <n v="4.9000000000000004"/>
    <s v="No"/>
    <x v="5"/>
    <s v="No"/>
    <n v="15"/>
    <x v="4"/>
    <s v="Quarterly"/>
    <n v="0.1"/>
    <n v="32.4"/>
    <n v="36"/>
    <s v="Bank Transfer"/>
    <s v="Normal"/>
    <s v="Good"/>
  </r>
  <r>
    <n v="3092"/>
    <n v="68"/>
    <x v="1"/>
    <x v="10"/>
    <x v="0"/>
    <n v="81"/>
    <x v="22"/>
    <x v="0"/>
    <s v="Orange"/>
    <x v="0"/>
    <n v="3.4"/>
    <s v="No"/>
    <x v="4"/>
    <s v="No"/>
    <n v="46"/>
    <x v="2"/>
    <s v="Annually"/>
    <n v="0.1"/>
    <n v="72.900000000000006"/>
    <n v="81"/>
    <s v="Credit Card"/>
    <s v="Normal"/>
    <s v="Good"/>
  </r>
  <r>
    <n v="3093"/>
    <n v="52"/>
    <x v="1"/>
    <x v="12"/>
    <x v="3"/>
    <n v="54"/>
    <x v="40"/>
    <x v="0"/>
    <s v="Silver"/>
    <x v="3"/>
    <n v="3.5"/>
    <s v="No"/>
    <x v="2"/>
    <s v="No"/>
    <n v="14"/>
    <x v="4"/>
    <s v="Bi-Weekly"/>
    <n v="0.1"/>
    <n v="48.6"/>
    <n v="54"/>
    <s v="Bank Transfer"/>
    <s v="Normal"/>
    <s v="Good"/>
  </r>
  <r>
    <n v="3094"/>
    <n v="29"/>
    <x v="1"/>
    <x v="20"/>
    <x v="0"/>
    <n v="63"/>
    <x v="38"/>
    <x v="0"/>
    <s v="Red"/>
    <x v="2"/>
    <n v="4.8"/>
    <s v="No"/>
    <x v="5"/>
    <s v="No"/>
    <n v="17"/>
    <x v="1"/>
    <s v="Every 3 Months"/>
    <n v="0.1"/>
    <n v="56.7"/>
    <n v="63"/>
    <s v="Cash"/>
    <s v="Normal"/>
    <s v="Good"/>
  </r>
  <r>
    <n v="3095"/>
    <n v="22"/>
    <x v="1"/>
    <x v="3"/>
    <x v="1"/>
    <n v="59"/>
    <x v="42"/>
    <x v="2"/>
    <s v="Gray"/>
    <x v="2"/>
    <n v="2.7"/>
    <s v="No"/>
    <x v="5"/>
    <s v="No"/>
    <n v="9"/>
    <x v="1"/>
    <s v="Weekly"/>
    <n v="0.1"/>
    <n v="53.1"/>
    <n v="59"/>
    <s v="Cash"/>
    <s v="Normal"/>
    <s v="Poor"/>
  </r>
  <r>
    <n v="3096"/>
    <n v="62"/>
    <x v="1"/>
    <x v="19"/>
    <x v="3"/>
    <n v="53"/>
    <x v="46"/>
    <x v="1"/>
    <s v="Beige"/>
    <x v="3"/>
    <n v="3.4"/>
    <s v="No"/>
    <x v="3"/>
    <s v="No"/>
    <n v="13"/>
    <x v="0"/>
    <s v="Fortnightly"/>
    <n v="0.1"/>
    <n v="47.7"/>
    <n v="53"/>
    <s v="Venmo"/>
    <s v="Normal"/>
    <s v="Good"/>
  </r>
  <r>
    <n v="3097"/>
    <n v="69"/>
    <x v="1"/>
    <x v="5"/>
    <x v="0"/>
    <n v="63"/>
    <x v="23"/>
    <x v="0"/>
    <s v="White"/>
    <x v="0"/>
    <n v="3.5"/>
    <s v="No"/>
    <x v="2"/>
    <s v="No"/>
    <n v="20"/>
    <x v="4"/>
    <s v="Monthly"/>
    <n v="0.1"/>
    <n v="56.7"/>
    <n v="63"/>
    <s v="Bank Transfer"/>
    <s v="Normal"/>
    <s v="Good"/>
  </r>
  <r>
    <n v="3098"/>
    <n v="48"/>
    <x v="1"/>
    <x v="9"/>
    <x v="1"/>
    <n v="33"/>
    <x v="12"/>
    <x v="2"/>
    <s v="Silver"/>
    <x v="3"/>
    <n v="3.7"/>
    <s v="No"/>
    <x v="1"/>
    <s v="No"/>
    <n v="39"/>
    <x v="4"/>
    <s v="Quarterly"/>
    <n v="0.1"/>
    <n v="29.7"/>
    <n v="33"/>
    <s v="Bank Transfer"/>
    <s v="Normal"/>
    <s v="Good"/>
  </r>
  <r>
    <n v="3099"/>
    <n v="66"/>
    <x v="1"/>
    <x v="13"/>
    <x v="0"/>
    <n v="64"/>
    <x v="35"/>
    <x v="0"/>
    <s v="Cyan"/>
    <x v="2"/>
    <n v="3.3"/>
    <s v="No"/>
    <x v="2"/>
    <s v="No"/>
    <n v="50"/>
    <x v="4"/>
    <s v="Quarterly"/>
    <n v="0.1"/>
    <n v="57.6"/>
    <n v="64"/>
    <s v="Bank Transfer"/>
    <s v="Normal"/>
    <s v="Good"/>
  </r>
  <r>
    <n v="3100"/>
    <n v="42"/>
    <x v="1"/>
    <x v="5"/>
    <x v="0"/>
    <n v="98"/>
    <x v="49"/>
    <x v="1"/>
    <s v="Maroon"/>
    <x v="3"/>
    <n v="2.9"/>
    <s v="No"/>
    <x v="1"/>
    <s v="No"/>
    <n v="21"/>
    <x v="4"/>
    <s v="Bi-Weekly"/>
    <n v="0.1"/>
    <n v="88.2"/>
    <n v="98"/>
    <s v="Bank Transfer"/>
    <s v="Normal"/>
    <s v="Poor"/>
  </r>
  <r>
    <n v="3101"/>
    <n v="50"/>
    <x v="1"/>
    <x v="19"/>
    <x v="3"/>
    <n v="85"/>
    <x v="34"/>
    <x v="0"/>
    <s v="Purple"/>
    <x v="0"/>
    <n v="3.9"/>
    <s v="No"/>
    <x v="0"/>
    <s v="No"/>
    <n v="3"/>
    <x v="4"/>
    <s v="Weekly"/>
    <n v="0.1"/>
    <n v="76.5"/>
    <n v="85"/>
    <s v="Bank Transfer"/>
    <s v="Normal"/>
    <s v="Good"/>
  </r>
  <r>
    <n v="3102"/>
    <n v="32"/>
    <x v="1"/>
    <x v="16"/>
    <x v="3"/>
    <n v="82"/>
    <x v="37"/>
    <x v="1"/>
    <s v="Brown"/>
    <x v="2"/>
    <n v="2.7"/>
    <s v="No"/>
    <x v="0"/>
    <s v="No"/>
    <n v="9"/>
    <x v="3"/>
    <s v="Fortnightly"/>
    <n v="0.1"/>
    <n v="73.8"/>
    <n v="82"/>
    <s v="PayPal"/>
    <s v="Normal"/>
    <s v="Poor"/>
  </r>
  <r>
    <n v="3103"/>
    <n v="51"/>
    <x v="1"/>
    <x v="14"/>
    <x v="2"/>
    <n v="85"/>
    <x v="45"/>
    <x v="2"/>
    <s v="Green"/>
    <x v="2"/>
    <n v="4.3"/>
    <s v="No"/>
    <x v="3"/>
    <s v="No"/>
    <n v="29"/>
    <x v="1"/>
    <s v="Bi-Weekly"/>
    <n v="0.1"/>
    <n v="76.5"/>
    <n v="85"/>
    <s v="Cash"/>
    <s v="Normal"/>
    <s v="Good"/>
  </r>
  <r>
    <n v="3104"/>
    <n v="27"/>
    <x v="1"/>
    <x v="5"/>
    <x v="0"/>
    <n v="37"/>
    <x v="26"/>
    <x v="1"/>
    <s v="Peach"/>
    <x v="0"/>
    <n v="3"/>
    <s v="No"/>
    <x v="4"/>
    <s v="No"/>
    <n v="42"/>
    <x v="4"/>
    <s v="Weekly"/>
    <n v="0.1"/>
    <n v="33.299999999999997"/>
    <n v="37"/>
    <s v="Bank Transfer"/>
    <s v="Normal"/>
    <s v="Good"/>
  </r>
  <r>
    <n v="3105"/>
    <n v="43"/>
    <x v="1"/>
    <x v="13"/>
    <x v="0"/>
    <n v="56"/>
    <x v="42"/>
    <x v="1"/>
    <s v="Turquoise"/>
    <x v="2"/>
    <n v="5"/>
    <s v="No"/>
    <x v="4"/>
    <s v="No"/>
    <n v="41"/>
    <x v="5"/>
    <s v="Fortnightly"/>
    <n v="0.1"/>
    <n v="50.4"/>
    <n v="56"/>
    <s v="Debit Card"/>
    <s v="Normal"/>
    <s v="Good"/>
  </r>
  <r>
    <n v="3106"/>
    <n v="48"/>
    <x v="1"/>
    <x v="11"/>
    <x v="0"/>
    <n v="33"/>
    <x v="4"/>
    <x v="2"/>
    <s v="Olive"/>
    <x v="3"/>
    <n v="2.7"/>
    <s v="No"/>
    <x v="0"/>
    <s v="No"/>
    <n v="17"/>
    <x v="5"/>
    <s v="Monthly"/>
    <n v="0.1"/>
    <n v="29.7"/>
    <n v="33"/>
    <s v="Debit Card"/>
    <s v="Normal"/>
    <s v="Poor"/>
  </r>
  <r>
    <n v="3107"/>
    <n v="62"/>
    <x v="1"/>
    <x v="3"/>
    <x v="1"/>
    <n v="57"/>
    <x v="15"/>
    <x v="2"/>
    <s v="Yellow"/>
    <x v="0"/>
    <n v="4.7"/>
    <s v="No"/>
    <x v="2"/>
    <s v="No"/>
    <n v="20"/>
    <x v="3"/>
    <s v="Annually"/>
    <n v="0.1"/>
    <n v="51.3"/>
    <n v="57"/>
    <s v="PayPal"/>
    <s v="Normal"/>
    <s v="Good"/>
  </r>
  <r>
    <n v="3108"/>
    <n v="65"/>
    <x v="1"/>
    <x v="0"/>
    <x v="0"/>
    <n v="31"/>
    <x v="11"/>
    <x v="0"/>
    <s v="Gray"/>
    <x v="0"/>
    <n v="4.5999999999999996"/>
    <s v="No"/>
    <x v="3"/>
    <s v="No"/>
    <n v="18"/>
    <x v="2"/>
    <s v="Bi-Weekly"/>
    <n v="0.1"/>
    <n v="27.9"/>
    <n v="31"/>
    <s v="Credit Card"/>
    <s v="Normal"/>
    <s v="Good"/>
  </r>
  <r>
    <n v="3109"/>
    <n v="50"/>
    <x v="1"/>
    <x v="20"/>
    <x v="0"/>
    <n v="69"/>
    <x v="4"/>
    <x v="2"/>
    <s v="Purple"/>
    <x v="3"/>
    <n v="3.2"/>
    <s v="No"/>
    <x v="4"/>
    <s v="No"/>
    <n v="7"/>
    <x v="3"/>
    <s v="Monthly"/>
    <n v="0.1"/>
    <n v="62.1"/>
    <n v="69"/>
    <s v="PayPal"/>
    <s v="Normal"/>
    <s v="Good"/>
  </r>
  <r>
    <n v="3110"/>
    <n v="60"/>
    <x v="1"/>
    <x v="14"/>
    <x v="2"/>
    <n v="92"/>
    <x v="26"/>
    <x v="2"/>
    <s v="Gray"/>
    <x v="0"/>
    <n v="4.3"/>
    <s v="No"/>
    <x v="1"/>
    <s v="No"/>
    <n v="47"/>
    <x v="4"/>
    <s v="Fortnightly"/>
    <n v="0.1"/>
    <n v="82.8"/>
    <n v="92"/>
    <s v="Bank Transfer"/>
    <s v="Normal"/>
    <s v="Good"/>
  </r>
  <r>
    <n v="3111"/>
    <n v="19"/>
    <x v="1"/>
    <x v="8"/>
    <x v="3"/>
    <n v="46"/>
    <x v="21"/>
    <x v="0"/>
    <s v="Lavender"/>
    <x v="3"/>
    <n v="4.5999999999999996"/>
    <s v="No"/>
    <x v="2"/>
    <s v="No"/>
    <n v="2"/>
    <x v="4"/>
    <s v="Bi-Weekly"/>
    <n v="0.1"/>
    <n v="41.4"/>
    <n v="46"/>
    <s v="Bank Transfer"/>
    <s v="Normal"/>
    <s v="Good"/>
  </r>
  <r>
    <n v="3112"/>
    <n v="21"/>
    <x v="1"/>
    <x v="22"/>
    <x v="3"/>
    <n v="81"/>
    <x v="23"/>
    <x v="3"/>
    <s v="Indigo"/>
    <x v="1"/>
    <n v="4.9000000000000004"/>
    <s v="No"/>
    <x v="1"/>
    <s v="No"/>
    <n v="25"/>
    <x v="5"/>
    <s v="Quarterly"/>
    <n v="0.1"/>
    <n v="72.900000000000006"/>
    <n v="81"/>
    <s v="Debit Card"/>
    <s v="Normal"/>
    <s v="Good"/>
  </r>
  <r>
    <n v="3113"/>
    <n v="19"/>
    <x v="1"/>
    <x v="0"/>
    <x v="0"/>
    <n v="97"/>
    <x v="21"/>
    <x v="1"/>
    <s v="Green"/>
    <x v="3"/>
    <n v="3.8"/>
    <s v="No"/>
    <x v="0"/>
    <s v="No"/>
    <n v="26"/>
    <x v="0"/>
    <s v="Annually"/>
    <n v="0.1"/>
    <n v="87.3"/>
    <n v="97"/>
    <s v="Venmo"/>
    <s v="Normal"/>
    <s v="Good"/>
  </r>
  <r>
    <n v="3114"/>
    <n v="46"/>
    <x v="1"/>
    <x v="5"/>
    <x v="0"/>
    <n v="93"/>
    <x v="43"/>
    <x v="0"/>
    <s v="Green"/>
    <x v="2"/>
    <n v="2.6"/>
    <s v="No"/>
    <x v="0"/>
    <s v="No"/>
    <n v="2"/>
    <x v="5"/>
    <s v="Weekly"/>
    <n v="0.1"/>
    <n v="83.7"/>
    <n v="93"/>
    <s v="Debit Card"/>
    <s v="Normal"/>
    <s v="Poor"/>
  </r>
  <r>
    <n v="3115"/>
    <n v="21"/>
    <x v="1"/>
    <x v="8"/>
    <x v="3"/>
    <n v="56"/>
    <x v="10"/>
    <x v="2"/>
    <s v="Olive"/>
    <x v="1"/>
    <n v="4.7"/>
    <s v="No"/>
    <x v="5"/>
    <s v="No"/>
    <n v="45"/>
    <x v="0"/>
    <s v="Bi-Weekly"/>
    <n v="0.1"/>
    <n v="50.4"/>
    <n v="56"/>
    <s v="Venmo"/>
    <s v="Normal"/>
    <s v="Good"/>
  </r>
  <r>
    <n v="3116"/>
    <n v="26"/>
    <x v="1"/>
    <x v="18"/>
    <x v="3"/>
    <n v="53"/>
    <x v="45"/>
    <x v="2"/>
    <s v="Charcoal"/>
    <x v="3"/>
    <n v="4.0999999999999996"/>
    <s v="No"/>
    <x v="1"/>
    <s v="No"/>
    <n v="9"/>
    <x v="4"/>
    <s v="Bi-Weekly"/>
    <n v="0.1"/>
    <n v="47.7"/>
    <n v="53"/>
    <s v="Bank Transfer"/>
    <s v="Normal"/>
    <s v="Good"/>
  </r>
  <r>
    <n v="3117"/>
    <n v="50"/>
    <x v="1"/>
    <x v="7"/>
    <x v="2"/>
    <n v="66"/>
    <x v="6"/>
    <x v="0"/>
    <s v="Gray"/>
    <x v="1"/>
    <n v="3.7"/>
    <s v="No"/>
    <x v="5"/>
    <s v="No"/>
    <n v="1"/>
    <x v="0"/>
    <s v="Weekly"/>
    <n v="0.1"/>
    <n v="59.4"/>
    <n v="66"/>
    <s v="Venmo"/>
    <s v="Normal"/>
    <s v="Good"/>
  </r>
  <r>
    <n v="3118"/>
    <n v="43"/>
    <x v="1"/>
    <x v="15"/>
    <x v="0"/>
    <n v="50"/>
    <x v="20"/>
    <x v="2"/>
    <s v="Olive"/>
    <x v="3"/>
    <n v="3"/>
    <s v="No"/>
    <x v="1"/>
    <s v="No"/>
    <n v="4"/>
    <x v="3"/>
    <s v="Bi-Weekly"/>
    <n v="0.1"/>
    <n v="45"/>
    <n v="50"/>
    <s v="PayPal"/>
    <s v="Normal"/>
    <s v="Good"/>
  </r>
  <r>
    <n v="3119"/>
    <n v="61"/>
    <x v="1"/>
    <x v="6"/>
    <x v="0"/>
    <n v="97"/>
    <x v="41"/>
    <x v="0"/>
    <s v="Blue"/>
    <x v="2"/>
    <n v="4.7"/>
    <s v="No"/>
    <x v="3"/>
    <s v="No"/>
    <n v="31"/>
    <x v="5"/>
    <s v="Quarterly"/>
    <n v="0.1"/>
    <n v="87.3"/>
    <n v="97"/>
    <s v="Debit Card"/>
    <s v="Normal"/>
    <s v="Good"/>
  </r>
  <r>
    <n v="3120"/>
    <n v="63"/>
    <x v="1"/>
    <x v="3"/>
    <x v="1"/>
    <n v="79"/>
    <x v="7"/>
    <x v="3"/>
    <s v="Silver"/>
    <x v="0"/>
    <n v="4.7"/>
    <s v="No"/>
    <x v="4"/>
    <s v="No"/>
    <n v="21"/>
    <x v="2"/>
    <s v="Every 3 Months"/>
    <n v="0.1"/>
    <n v="71.099999999999994"/>
    <n v="79"/>
    <s v="Credit Card"/>
    <s v="Normal"/>
    <s v="Good"/>
  </r>
  <r>
    <n v="3121"/>
    <n v="46"/>
    <x v="1"/>
    <x v="5"/>
    <x v="0"/>
    <n v="76"/>
    <x v="7"/>
    <x v="2"/>
    <s v="Magenta"/>
    <x v="3"/>
    <n v="4"/>
    <s v="No"/>
    <x v="5"/>
    <s v="No"/>
    <n v="32"/>
    <x v="5"/>
    <s v="Fortnightly"/>
    <n v="0.1"/>
    <n v="68.400000000000006"/>
    <n v="76"/>
    <s v="Debit Card"/>
    <s v="Normal"/>
    <s v="Good"/>
  </r>
  <r>
    <n v="3122"/>
    <n v="63"/>
    <x v="1"/>
    <x v="15"/>
    <x v="0"/>
    <n v="38"/>
    <x v="7"/>
    <x v="0"/>
    <s v="Black"/>
    <x v="3"/>
    <n v="2.6"/>
    <s v="No"/>
    <x v="3"/>
    <s v="No"/>
    <n v="16"/>
    <x v="0"/>
    <s v="Weekly"/>
    <n v="0.1"/>
    <n v="34.200000000000003"/>
    <n v="38"/>
    <s v="Venmo"/>
    <s v="Normal"/>
    <s v="Poor"/>
  </r>
  <r>
    <n v="3123"/>
    <n v="23"/>
    <x v="1"/>
    <x v="20"/>
    <x v="0"/>
    <n v="45"/>
    <x v="42"/>
    <x v="2"/>
    <s v="Pink"/>
    <x v="3"/>
    <n v="3"/>
    <s v="No"/>
    <x v="0"/>
    <s v="No"/>
    <n v="34"/>
    <x v="2"/>
    <s v="Fortnightly"/>
    <n v="0.1"/>
    <n v="40.5"/>
    <n v="45"/>
    <s v="Credit Card"/>
    <s v="Normal"/>
    <s v="Good"/>
  </r>
  <r>
    <n v="3124"/>
    <n v="57"/>
    <x v="1"/>
    <x v="8"/>
    <x v="3"/>
    <n v="77"/>
    <x v="44"/>
    <x v="3"/>
    <s v="Red"/>
    <x v="3"/>
    <n v="3.3"/>
    <s v="No"/>
    <x v="2"/>
    <s v="No"/>
    <n v="40"/>
    <x v="0"/>
    <s v="Bi-Weekly"/>
    <n v="0.1"/>
    <n v="69.3"/>
    <n v="77"/>
    <s v="Venmo"/>
    <s v="Normal"/>
    <s v="Good"/>
  </r>
  <r>
    <n v="3125"/>
    <n v="57"/>
    <x v="1"/>
    <x v="16"/>
    <x v="3"/>
    <n v="51"/>
    <x v="18"/>
    <x v="2"/>
    <s v="Peach"/>
    <x v="2"/>
    <n v="3.4"/>
    <s v="No"/>
    <x v="3"/>
    <s v="No"/>
    <n v="4"/>
    <x v="1"/>
    <s v="Every 3 Months"/>
    <n v="0.1"/>
    <n v="45.9"/>
    <n v="51"/>
    <s v="Cash"/>
    <s v="Normal"/>
    <s v="Good"/>
  </r>
  <r>
    <n v="3126"/>
    <n v="33"/>
    <x v="1"/>
    <x v="7"/>
    <x v="2"/>
    <n v="26"/>
    <x v="4"/>
    <x v="0"/>
    <s v="Lavender"/>
    <x v="1"/>
    <n v="4"/>
    <s v="No"/>
    <x v="3"/>
    <s v="No"/>
    <n v="3"/>
    <x v="1"/>
    <s v="Quarterly"/>
    <n v="0.1"/>
    <n v="23.4"/>
    <n v="26"/>
    <s v="Cash"/>
    <s v="Normal"/>
    <s v="Good"/>
  </r>
  <r>
    <n v="3127"/>
    <n v="57"/>
    <x v="1"/>
    <x v="12"/>
    <x v="3"/>
    <n v="76"/>
    <x v="1"/>
    <x v="0"/>
    <s v="Lavender"/>
    <x v="0"/>
    <n v="2.6"/>
    <s v="No"/>
    <x v="5"/>
    <s v="No"/>
    <n v="28"/>
    <x v="4"/>
    <s v="Bi-Weekly"/>
    <n v="0.1"/>
    <n v="68.400000000000006"/>
    <n v="76"/>
    <s v="Bank Transfer"/>
    <s v="Normal"/>
    <s v="Poor"/>
  </r>
  <r>
    <n v="3128"/>
    <n v="55"/>
    <x v="1"/>
    <x v="24"/>
    <x v="3"/>
    <n v="94"/>
    <x v="7"/>
    <x v="2"/>
    <s v="Beige"/>
    <x v="0"/>
    <n v="3.4"/>
    <s v="No"/>
    <x v="1"/>
    <s v="No"/>
    <n v="43"/>
    <x v="2"/>
    <s v="Every 3 Months"/>
    <n v="0.1"/>
    <n v="84.6"/>
    <n v="94"/>
    <s v="Credit Card"/>
    <s v="Normal"/>
    <s v="Good"/>
  </r>
  <r>
    <n v="3129"/>
    <n v="65"/>
    <x v="1"/>
    <x v="14"/>
    <x v="2"/>
    <n v="32"/>
    <x v="10"/>
    <x v="1"/>
    <s v="Indigo"/>
    <x v="3"/>
    <n v="4.4000000000000004"/>
    <s v="No"/>
    <x v="3"/>
    <s v="No"/>
    <n v="20"/>
    <x v="1"/>
    <s v="Annually"/>
    <n v="0.1"/>
    <n v="28.8"/>
    <n v="32"/>
    <s v="Cash"/>
    <s v="Normal"/>
    <s v="Good"/>
  </r>
  <r>
    <n v="3130"/>
    <n v="60"/>
    <x v="1"/>
    <x v="3"/>
    <x v="1"/>
    <n v="20"/>
    <x v="33"/>
    <x v="1"/>
    <s v="Cyan"/>
    <x v="2"/>
    <n v="4.7"/>
    <s v="No"/>
    <x v="0"/>
    <s v="No"/>
    <n v="40"/>
    <x v="0"/>
    <s v="Every 3 Months"/>
    <n v="0.1"/>
    <n v="18"/>
    <n v="20"/>
    <s v="Venmo"/>
    <s v="Normal"/>
    <s v="Good"/>
  </r>
  <r>
    <n v="3131"/>
    <n v="52"/>
    <x v="1"/>
    <x v="13"/>
    <x v="0"/>
    <n v="20"/>
    <x v="34"/>
    <x v="2"/>
    <s v="Yellow"/>
    <x v="2"/>
    <n v="4.5"/>
    <s v="No"/>
    <x v="5"/>
    <s v="No"/>
    <n v="34"/>
    <x v="0"/>
    <s v="Every 3 Months"/>
    <n v="0.1"/>
    <n v="18"/>
    <n v="20"/>
    <s v="Venmo"/>
    <s v="Normal"/>
    <s v="Good"/>
  </r>
  <r>
    <n v="3132"/>
    <n v="34"/>
    <x v="1"/>
    <x v="14"/>
    <x v="2"/>
    <n v="59"/>
    <x v="25"/>
    <x v="2"/>
    <s v="Peach"/>
    <x v="3"/>
    <n v="2.9"/>
    <s v="No"/>
    <x v="5"/>
    <s v="No"/>
    <n v="11"/>
    <x v="4"/>
    <s v="Every 3 Months"/>
    <n v="0.1"/>
    <n v="53.1"/>
    <n v="59"/>
    <s v="Bank Transfer"/>
    <s v="Normal"/>
    <s v="Poor"/>
  </r>
  <r>
    <n v="3133"/>
    <n v="33"/>
    <x v="1"/>
    <x v="1"/>
    <x v="0"/>
    <n v="97"/>
    <x v="49"/>
    <x v="2"/>
    <s v="Yellow"/>
    <x v="2"/>
    <n v="4.2"/>
    <s v="No"/>
    <x v="0"/>
    <s v="No"/>
    <n v="26"/>
    <x v="1"/>
    <s v="Quarterly"/>
    <n v="0.1"/>
    <n v="87.3"/>
    <n v="97"/>
    <s v="Cash"/>
    <s v="Normal"/>
    <s v="Good"/>
  </r>
  <r>
    <n v="3134"/>
    <n v="58"/>
    <x v="1"/>
    <x v="17"/>
    <x v="0"/>
    <n v="68"/>
    <x v="10"/>
    <x v="2"/>
    <s v="Orange"/>
    <x v="1"/>
    <n v="4.0999999999999996"/>
    <s v="No"/>
    <x v="2"/>
    <s v="No"/>
    <n v="29"/>
    <x v="1"/>
    <s v="Bi-Weekly"/>
    <n v="0.1"/>
    <n v="61.2"/>
    <n v="68"/>
    <s v="Cash"/>
    <s v="Normal"/>
    <s v="Good"/>
  </r>
  <r>
    <n v="3135"/>
    <n v="35"/>
    <x v="1"/>
    <x v="23"/>
    <x v="1"/>
    <n v="66"/>
    <x v="0"/>
    <x v="0"/>
    <s v="Gray"/>
    <x v="1"/>
    <n v="4.4000000000000004"/>
    <s v="No"/>
    <x v="5"/>
    <s v="No"/>
    <n v="47"/>
    <x v="4"/>
    <s v="Weekly"/>
    <n v="0.1"/>
    <n v="59.4"/>
    <n v="66"/>
    <s v="Bank Transfer"/>
    <s v="Normal"/>
    <s v="Good"/>
  </r>
  <r>
    <n v="3136"/>
    <n v="68"/>
    <x v="1"/>
    <x v="9"/>
    <x v="1"/>
    <n v="85"/>
    <x v="27"/>
    <x v="0"/>
    <s v="Yellow"/>
    <x v="1"/>
    <n v="4.7"/>
    <s v="No"/>
    <x v="1"/>
    <s v="No"/>
    <n v="48"/>
    <x v="0"/>
    <s v="Fortnightly"/>
    <n v="0.1"/>
    <n v="76.5"/>
    <n v="85"/>
    <s v="Venmo"/>
    <s v="Normal"/>
    <s v="Good"/>
  </r>
  <r>
    <n v="3137"/>
    <n v="58"/>
    <x v="1"/>
    <x v="11"/>
    <x v="0"/>
    <n v="32"/>
    <x v="46"/>
    <x v="2"/>
    <s v="Gray"/>
    <x v="3"/>
    <n v="3.1"/>
    <s v="No"/>
    <x v="2"/>
    <s v="No"/>
    <n v="29"/>
    <x v="1"/>
    <s v="Bi-Weekly"/>
    <n v="0.1"/>
    <n v="28.8"/>
    <n v="32"/>
    <s v="Cash"/>
    <s v="Normal"/>
    <s v="Good"/>
  </r>
  <r>
    <n v="3138"/>
    <n v="34"/>
    <x v="1"/>
    <x v="7"/>
    <x v="2"/>
    <n v="44"/>
    <x v="7"/>
    <x v="2"/>
    <s v="Turquoise"/>
    <x v="1"/>
    <n v="2.7"/>
    <s v="No"/>
    <x v="4"/>
    <s v="No"/>
    <n v="14"/>
    <x v="4"/>
    <s v="Monthly"/>
    <n v="0.1"/>
    <n v="39.6"/>
    <n v="44"/>
    <s v="Bank Transfer"/>
    <s v="Normal"/>
    <s v="Poor"/>
  </r>
  <r>
    <n v="3139"/>
    <n v="47"/>
    <x v="1"/>
    <x v="0"/>
    <x v="0"/>
    <n v="95"/>
    <x v="0"/>
    <x v="0"/>
    <s v="Gray"/>
    <x v="3"/>
    <n v="4.5999999999999996"/>
    <s v="No"/>
    <x v="2"/>
    <s v="No"/>
    <n v="40"/>
    <x v="1"/>
    <s v="Every 3 Months"/>
    <n v="0.1"/>
    <n v="85.5"/>
    <n v="95"/>
    <s v="Cash"/>
    <s v="Normal"/>
    <s v="Good"/>
  </r>
  <r>
    <n v="3140"/>
    <n v="35"/>
    <x v="1"/>
    <x v="12"/>
    <x v="3"/>
    <n v="85"/>
    <x v="42"/>
    <x v="2"/>
    <s v="Olive"/>
    <x v="0"/>
    <n v="4.4000000000000004"/>
    <s v="No"/>
    <x v="2"/>
    <s v="No"/>
    <n v="4"/>
    <x v="0"/>
    <s v="Weekly"/>
    <n v="0.1"/>
    <n v="76.5"/>
    <n v="85"/>
    <s v="Venmo"/>
    <s v="Normal"/>
    <s v="Good"/>
  </r>
  <r>
    <n v="3141"/>
    <n v="34"/>
    <x v="1"/>
    <x v="24"/>
    <x v="3"/>
    <n v="44"/>
    <x v="29"/>
    <x v="3"/>
    <s v="Peach"/>
    <x v="2"/>
    <n v="4.5999999999999996"/>
    <s v="No"/>
    <x v="1"/>
    <s v="No"/>
    <n v="37"/>
    <x v="4"/>
    <s v="Weekly"/>
    <n v="0.1"/>
    <n v="39.6"/>
    <n v="44"/>
    <s v="Bank Transfer"/>
    <s v="Normal"/>
    <s v="Good"/>
  </r>
  <r>
    <n v="3142"/>
    <n v="36"/>
    <x v="1"/>
    <x v="12"/>
    <x v="3"/>
    <n v="30"/>
    <x v="16"/>
    <x v="1"/>
    <s v="Peach"/>
    <x v="0"/>
    <n v="4.9000000000000004"/>
    <s v="No"/>
    <x v="0"/>
    <s v="No"/>
    <n v="47"/>
    <x v="2"/>
    <s v="Bi-Weekly"/>
    <n v="0.1"/>
    <n v="27"/>
    <n v="30"/>
    <s v="Credit Card"/>
    <s v="Normal"/>
    <s v="Good"/>
  </r>
  <r>
    <n v="3143"/>
    <n v="23"/>
    <x v="1"/>
    <x v="4"/>
    <x v="1"/>
    <n v="21"/>
    <x v="23"/>
    <x v="0"/>
    <s v="Magenta"/>
    <x v="0"/>
    <n v="4"/>
    <s v="No"/>
    <x v="4"/>
    <s v="No"/>
    <n v="1"/>
    <x v="0"/>
    <s v="Quarterly"/>
    <n v="0.1"/>
    <n v="18.899999999999999"/>
    <n v="21"/>
    <s v="Venmo"/>
    <s v="Normal"/>
    <s v="Good"/>
  </r>
  <r>
    <n v="3144"/>
    <n v="68"/>
    <x v="1"/>
    <x v="15"/>
    <x v="0"/>
    <n v="22"/>
    <x v="28"/>
    <x v="2"/>
    <s v="Purple"/>
    <x v="2"/>
    <n v="2.9"/>
    <s v="No"/>
    <x v="5"/>
    <s v="No"/>
    <n v="26"/>
    <x v="1"/>
    <s v="Quarterly"/>
    <n v="0.1"/>
    <n v="19.8"/>
    <n v="22"/>
    <s v="Cash"/>
    <s v="Normal"/>
    <s v="Poor"/>
  </r>
  <r>
    <n v="3145"/>
    <n v="23"/>
    <x v="1"/>
    <x v="23"/>
    <x v="1"/>
    <n v="70"/>
    <x v="1"/>
    <x v="0"/>
    <s v="Beige"/>
    <x v="1"/>
    <n v="2.6"/>
    <s v="No"/>
    <x v="1"/>
    <s v="No"/>
    <n v="12"/>
    <x v="5"/>
    <s v="Quarterly"/>
    <n v="0.1"/>
    <n v="63"/>
    <n v="70"/>
    <s v="Debit Card"/>
    <s v="Normal"/>
    <s v="Poor"/>
  </r>
  <r>
    <n v="3146"/>
    <n v="57"/>
    <x v="1"/>
    <x v="8"/>
    <x v="3"/>
    <n v="29"/>
    <x v="21"/>
    <x v="3"/>
    <s v="Purple"/>
    <x v="1"/>
    <n v="4.5999999999999996"/>
    <s v="No"/>
    <x v="3"/>
    <s v="No"/>
    <n v="16"/>
    <x v="3"/>
    <s v="Fortnightly"/>
    <n v="0.1"/>
    <n v="26.1"/>
    <n v="29"/>
    <s v="PayPal"/>
    <s v="Normal"/>
    <s v="Good"/>
  </r>
  <r>
    <n v="3147"/>
    <n v="21"/>
    <x v="1"/>
    <x v="5"/>
    <x v="0"/>
    <n v="83"/>
    <x v="41"/>
    <x v="1"/>
    <s v="Yellow"/>
    <x v="0"/>
    <n v="4.9000000000000004"/>
    <s v="No"/>
    <x v="1"/>
    <s v="No"/>
    <n v="19"/>
    <x v="3"/>
    <s v="Annually"/>
    <n v="0.1"/>
    <n v="74.7"/>
    <n v="83"/>
    <s v="PayPal"/>
    <s v="Normal"/>
    <s v="Good"/>
  </r>
  <r>
    <n v="3148"/>
    <n v="45"/>
    <x v="1"/>
    <x v="1"/>
    <x v="0"/>
    <n v="99"/>
    <x v="25"/>
    <x v="2"/>
    <s v="Pink"/>
    <x v="0"/>
    <n v="4.3"/>
    <s v="No"/>
    <x v="0"/>
    <s v="No"/>
    <n v="21"/>
    <x v="2"/>
    <s v="Weekly"/>
    <n v="0.1"/>
    <n v="89.1"/>
    <n v="99"/>
    <s v="Credit Card"/>
    <s v="Normal"/>
    <s v="Good"/>
  </r>
  <r>
    <n v="3149"/>
    <n v="37"/>
    <x v="1"/>
    <x v="6"/>
    <x v="0"/>
    <n v="35"/>
    <x v="8"/>
    <x v="0"/>
    <s v="Purple"/>
    <x v="3"/>
    <n v="4.3"/>
    <s v="No"/>
    <x v="1"/>
    <s v="No"/>
    <n v="15"/>
    <x v="0"/>
    <s v="Weekly"/>
    <n v="0.1"/>
    <n v="31.5"/>
    <n v="35"/>
    <s v="Venmo"/>
    <s v="Normal"/>
    <s v="Good"/>
  </r>
  <r>
    <n v="3150"/>
    <n v="18"/>
    <x v="1"/>
    <x v="22"/>
    <x v="3"/>
    <n v="40"/>
    <x v="17"/>
    <x v="2"/>
    <s v="Lavender"/>
    <x v="0"/>
    <n v="4.5999999999999996"/>
    <s v="No"/>
    <x v="1"/>
    <s v="No"/>
    <n v="9"/>
    <x v="0"/>
    <s v="Annually"/>
    <n v="0.1"/>
    <n v="36"/>
    <n v="40"/>
    <s v="Venmo"/>
    <s v="Normal"/>
    <s v="Good"/>
  </r>
  <r>
    <n v="3151"/>
    <n v="55"/>
    <x v="1"/>
    <x v="0"/>
    <x v="0"/>
    <n v="25"/>
    <x v="42"/>
    <x v="2"/>
    <s v="Peach"/>
    <x v="1"/>
    <n v="2.6"/>
    <s v="No"/>
    <x v="0"/>
    <s v="No"/>
    <n v="7"/>
    <x v="4"/>
    <s v="Bi-Weekly"/>
    <n v="0.1"/>
    <n v="22.5"/>
    <n v="25"/>
    <s v="Bank Transfer"/>
    <s v="Normal"/>
    <s v="Poor"/>
  </r>
  <r>
    <n v="3152"/>
    <n v="52"/>
    <x v="1"/>
    <x v="17"/>
    <x v="0"/>
    <n v="64"/>
    <x v="35"/>
    <x v="0"/>
    <s v="Orange"/>
    <x v="3"/>
    <n v="3.1"/>
    <s v="No"/>
    <x v="4"/>
    <s v="No"/>
    <n v="47"/>
    <x v="4"/>
    <s v="Quarterly"/>
    <n v="0.1"/>
    <n v="57.6"/>
    <n v="64"/>
    <s v="Bank Transfer"/>
    <s v="Normal"/>
    <s v="Good"/>
  </r>
  <r>
    <n v="3153"/>
    <n v="49"/>
    <x v="1"/>
    <x v="22"/>
    <x v="3"/>
    <n v="90"/>
    <x v="17"/>
    <x v="2"/>
    <s v="Red"/>
    <x v="3"/>
    <n v="3.1"/>
    <s v="No"/>
    <x v="5"/>
    <s v="No"/>
    <n v="17"/>
    <x v="3"/>
    <s v="Monthly"/>
    <n v="0.1"/>
    <n v="81"/>
    <n v="90"/>
    <s v="PayPal"/>
    <s v="Normal"/>
    <s v="Good"/>
  </r>
  <r>
    <n v="3154"/>
    <n v="56"/>
    <x v="1"/>
    <x v="20"/>
    <x v="0"/>
    <n v="88"/>
    <x v="15"/>
    <x v="0"/>
    <s v="Red"/>
    <x v="3"/>
    <n v="3.1"/>
    <s v="No"/>
    <x v="2"/>
    <s v="No"/>
    <n v="46"/>
    <x v="0"/>
    <s v="Fortnightly"/>
    <n v="0.1"/>
    <n v="79.2"/>
    <n v="88"/>
    <s v="Venmo"/>
    <s v="Normal"/>
    <s v="Good"/>
  </r>
  <r>
    <n v="3155"/>
    <n v="27"/>
    <x v="1"/>
    <x v="22"/>
    <x v="3"/>
    <n v="55"/>
    <x v="39"/>
    <x v="2"/>
    <s v="Gold"/>
    <x v="0"/>
    <n v="4.4000000000000004"/>
    <s v="No"/>
    <x v="3"/>
    <s v="No"/>
    <n v="32"/>
    <x v="1"/>
    <s v="Quarterly"/>
    <n v="0.1"/>
    <n v="49.5"/>
    <n v="55"/>
    <s v="Cash"/>
    <s v="Normal"/>
    <s v="Good"/>
  </r>
  <r>
    <n v="3156"/>
    <n v="22"/>
    <x v="1"/>
    <x v="8"/>
    <x v="3"/>
    <n v="90"/>
    <x v="6"/>
    <x v="2"/>
    <s v="Brown"/>
    <x v="3"/>
    <n v="4.3"/>
    <s v="No"/>
    <x v="1"/>
    <s v="No"/>
    <n v="34"/>
    <x v="1"/>
    <s v="Annually"/>
    <n v="0.1"/>
    <n v="81"/>
    <n v="90"/>
    <s v="Cash"/>
    <s v="Normal"/>
    <s v="Good"/>
  </r>
  <r>
    <n v="3157"/>
    <n v="18"/>
    <x v="1"/>
    <x v="5"/>
    <x v="0"/>
    <n v="50"/>
    <x v="6"/>
    <x v="2"/>
    <s v="Black"/>
    <x v="0"/>
    <n v="3.1"/>
    <s v="No"/>
    <x v="4"/>
    <s v="No"/>
    <n v="18"/>
    <x v="1"/>
    <s v="Monthly"/>
    <n v="0.1"/>
    <n v="45"/>
    <n v="50"/>
    <s v="Cash"/>
    <s v="Normal"/>
    <s v="Good"/>
  </r>
  <r>
    <n v="3158"/>
    <n v="21"/>
    <x v="1"/>
    <x v="22"/>
    <x v="3"/>
    <n v="34"/>
    <x v="1"/>
    <x v="0"/>
    <s v="Red"/>
    <x v="3"/>
    <n v="3.1"/>
    <s v="No"/>
    <x v="5"/>
    <s v="No"/>
    <n v="5"/>
    <x v="5"/>
    <s v="Fortnightly"/>
    <n v="0.1"/>
    <n v="30.6"/>
    <n v="34"/>
    <s v="Debit Card"/>
    <s v="Normal"/>
    <s v="Good"/>
  </r>
  <r>
    <n v="3159"/>
    <n v="30"/>
    <x v="1"/>
    <x v="16"/>
    <x v="3"/>
    <n v="77"/>
    <x v="16"/>
    <x v="2"/>
    <s v="Gray"/>
    <x v="0"/>
    <n v="4.9000000000000004"/>
    <s v="No"/>
    <x v="4"/>
    <s v="No"/>
    <n v="44"/>
    <x v="2"/>
    <s v="Monthly"/>
    <n v="0.1"/>
    <n v="69.3"/>
    <n v="77"/>
    <s v="Credit Card"/>
    <s v="Normal"/>
    <s v="Good"/>
  </r>
  <r>
    <n v="3160"/>
    <n v="62"/>
    <x v="1"/>
    <x v="19"/>
    <x v="3"/>
    <n v="89"/>
    <x v="7"/>
    <x v="0"/>
    <s v="Pink"/>
    <x v="0"/>
    <n v="2.9"/>
    <s v="No"/>
    <x v="5"/>
    <s v="No"/>
    <n v="4"/>
    <x v="4"/>
    <s v="Quarterly"/>
    <n v="0.1"/>
    <n v="80.099999999999994"/>
    <n v="89"/>
    <s v="Bank Transfer"/>
    <s v="Normal"/>
    <s v="Poor"/>
  </r>
  <r>
    <n v="3161"/>
    <n v="28"/>
    <x v="1"/>
    <x v="21"/>
    <x v="3"/>
    <n v="87"/>
    <x v="43"/>
    <x v="3"/>
    <s v="Turquoise"/>
    <x v="3"/>
    <n v="3.8"/>
    <s v="No"/>
    <x v="2"/>
    <s v="No"/>
    <n v="37"/>
    <x v="1"/>
    <s v="Fortnightly"/>
    <n v="0.1"/>
    <n v="78.3"/>
    <n v="87"/>
    <s v="Cash"/>
    <s v="Normal"/>
    <s v="Good"/>
  </r>
  <r>
    <n v="3162"/>
    <n v="66"/>
    <x v="1"/>
    <x v="10"/>
    <x v="0"/>
    <n v="77"/>
    <x v="2"/>
    <x v="1"/>
    <s v="Charcoal"/>
    <x v="0"/>
    <n v="4.2"/>
    <s v="No"/>
    <x v="4"/>
    <s v="No"/>
    <n v="43"/>
    <x v="1"/>
    <s v="Monthly"/>
    <n v="0.1"/>
    <n v="69.3"/>
    <n v="77"/>
    <s v="Cash"/>
    <s v="Normal"/>
    <s v="Good"/>
  </r>
  <r>
    <n v="3163"/>
    <n v="66"/>
    <x v="1"/>
    <x v="9"/>
    <x v="1"/>
    <n v="85"/>
    <x v="48"/>
    <x v="0"/>
    <s v="Blue"/>
    <x v="0"/>
    <n v="3.9"/>
    <s v="No"/>
    <x v="3"/>
    <s v="No"/>
    <n v="28"/>
    <x v="4"/>
    <s v="Quarterly"/>
    <n v="0.1"/>
    <n v="76.5"/>
    <n v="85"/>
    <s v="Bank Transfer"/>
    <s v="Normal"/>
    <s v="Good"/>
  </r>
  <r>
    <n v="3164"/>
    <n v="49"/>
    <x v="1"/>
    <x v="13"/>
    <x v="0"/>
    <n v="66"/>
    <x v="43"/>
    <x v="3"/>
    <s v="Turquoise"/>
    <x v="2"/>
    <n v="2.8"/>
    <s v="No"/>
    <x v="0"/>
    <s v="No"/>
    <n v="36"/>
    <x v="1"/>
    <s v="Monthly"/>
    <n v="0.1"/>
    <n v="59.4"/>
    <n v="66"/>
    <s v="Cash"/>
    <s v="Normal"/>
    <s v="Poor"/>
  </r>
  <r>
    <n v="3165"/>
    <n v="40"/>
    <x v="1"/>
    <x v="10"/>
    <x v="0"/>
    <n v="32"/>
    <x v="28"/>
    <x v="0"/>
    <s v="Silver"/>
    <x v="0"/>
    <n v="2.6"/>
    <s v="No"/>
    <x v="3"/>
    <s v="No"/>
    <n v="16"/>
    <x v="2"/>
    <s v="Annually"/>
    <n v="0.1"/>
    <n v="28.8"/>
    <n v="32"/>
    <s v="Credit Card"/>
    <s v="Normal"/>
    <s v="Poor"/>
  </r>
  <r>
    <n v="3166"/>
    <n v="49"/>
    <x v="1"/>
    <x v="14"/>
    <x v="2"/>
    <n v="92"/>
    <x v="11"/>
    <x v="2"/>
    <s v="Lavender"/>
    <x v="1"/>
    <n v="3"/>
    <s v="No"/>
    <x v="5"/>
    <s v="No"/>
    <n v="38"/>
    <x v="4"/>
    <s v="Every 3 Months"/>
    <n v="0.1"/>
    <n v="82.8"/>
    <n v="92"/>
    <s v="Bank Transfer"/>
    <s v="Normal"/>
    <s v="Good"/>
  </r>
  <r>
    <n v="3167"/>
    <n v="19"/>
    <x v="1"/>
    <x v="5"/>
    <x v="0"/>
    <n v="80"/>
    <x v="42"/>
    <x v="2"/>
    <s v="Gold"/>
    <x v="0"/>
    <n v="2.7"/>
    <s v="No"/>
    <x v="2"/>
    <s v="No"/>
    <n v="37"/>
    <x v="4"/>
    <s v="Fortnightly"/>
    <n v="0.1"/>
    <n v="72"/>
    <n v="80"/>
    <s v="Bank Transfer"/>
    <s v="Normal"/>
    <s v="Poor"/>
  </r>
  <r>
    <n v="3168"/>
    <n v="24"/>
    <x v="1"/>
    <x v="10"/>
    <x v="0"/>
    <n v="78"/>
    <x v="4"/>
    <x v="2"/>
    <s v="Blue"/>
    <x v="3"/>
    <n v="2.8"/>
    <s v="No"/>
    <x v="4"/>
    <s v="No"/>
    <n v="9"/>
    <x v="1"/>
    <s v="Bi-Weekly"/>
    <n v="0.1"/>
    <n v="70.2"/>
    <n v="78"/>
    <s v="Cash"/>
    <s v="Normal"/>
    <s v="Poor"/>
  </r>
  <r>
    <n v="3169"/>
    <n v="31"/>
    <x v="1"/>
    <x v="2"/>
    <x v="0"/>
    <n v="24"/>
    <x v="6"/>
    <x v="2"/>
    <s v="Orange"/>
    <x v="1"/>
    <n v="2.9"/>
    <s v="No"/>
    <x v="4"/>
    <s v="No"/>
    <n v="14"/>
    <x v="3"/>
    <s v="Fortnightly"/>
    <n v="0.1"/>
    <n v="21.6"/>
    <n v="24"/>
    <s v="PayPal"/>
    <s v="Normal"/>
    <s v="Poor"/>
  </r>
  <r>
    <n v="3170"/>
    <n v="35"/>
    <x v="1"/>
    <x v="17"/>
    <x v="0"/>
    <n v="59"/>
    <x v="42"/>
    <x v="2"/>
    <s v="White"/>
    <x v="3"/>
    <n v="3.8"/>
    <s v="No"/>
    <x v="1"/>
    <s v="No"/>
    <n v="3"/>
    <x v="0"/>
    <s v="Weekly"/>
    <n v="0.1"/>
    <n v="53.1"/>
    <n v="59"/>
    <s v="Venmo"/>
    <s v="Normal"/>
    <s v="Good"/>
  </r>
  <r>
    <n v="3171"/>
    <n v="65"/>
    <x v="1"/>
    <x v="12"/>
    <x v="3"/>
    <n v="41"/>
    <x v="3"/>
    <x v="3"/>
    <s v="Charcoal"/>
    <x v="1"/>
    <n v="4.4000000000000004"/>
    <s v="No"/>
    <x v="0"/>
    <s v="No"/>
    <n v="10"/>
    <x v="2"/>
    <s v="Fortnightly"/>
    <n v="0.1"/>
    <n v="36.9"/>
    <n v="41"/>
    <s v="Credit Card"/>
    <s v="Normal"/>
    <s v="Good"/>
  </r>
  <r>
    <n v="3172"/>
    <n v="68"/>
    <x v="1"/>
    <x v="16"/>
    <x v="3"/>
    <n v="26"/>
    <x v="30"/>
    <x v="2"/>
    <s v="Maroon"/>
    <x v="1"/>
    <n v="3.1"/>
    <s v="No"/>
    <x v="0"/>
    <s v="No"/>
    <n v="26"/>
    <x v="4"/>
    <s v="Bi-Weekly"/>
    <n v="0.1"/>
    <n v="23.4"/>
    <n v="26"/>
    <s v="Bank Transfer"/>
    <s v="Normal"/>
    <s v="Good"/>
  </r>
  <r>
    <n v="3173"/>
    <n v="57"/>
    <x v="1"/>
    <x v="20"/>
    <x v="0"/>
    <n v="52"/>
    <x v="9"/>
    <x v="2"/>
    <s v="Olive"/>
    <x v="3"/>
    <n v="3.7"/>
    <s v="No"/>
    <x v="3"/>
    <s v="No"/>
    <n v="30"/>
    <x v="5"/>
    <s v="Bi-Weekly"/>
    <n v="0.1"/>
    <n v="46.8"/>
    <n v="52"/>
    <s v="Debit Card"/>
    <s v="Normal"/>
    <s v="Good"/>
  </r>
  <r>
    <n v="3174"/>
    <n v="69"/>
    <x v="1"/>
    <x v="11"/>
    <x v="0"/>
    <n v="46"/>
    <x v="47"/>
    <x v="0"/>
    <s v="Teal"/>
    <x v="2"/>
    <n v="4.9000000000000004"/>
    <s v="No"/>
    <x v="2"/>
    <s v="No"/>
    <n v="32"/>
    <x v="3"/>
    <s v="Fortnightly"/>
    <n v="0.1"/>
    <n v="41.4"/>
    <n v="46"/>
    <s v="PayPal"/>
    <s v="Normal"/>
    <s v="Good"/>
  </r>
  <r>
    <n v="3175"/>
    <n v="45"/>
    <x v="1"/>
    <x v="13"/>
    <x v="0"/>
    <n v="52"/>
    <x v="19"/>
    <x v="0"/>
    <s v="Orange"/>
    <x v="0"/>
    <n v="3.8"/>
    <s v="No"/>
    <x v="5"/>
    <s v="No"/>
    <n v="35"/>
    <x v="3"/>
    <s v="Monthly"/>
    <n v="0.1"/>
    <n v="46.8"/>
    <n v="52"/>
    <s v="PayPal"/>
    <s v="Normal"/>
    <s v="Good"/>
  </r>
  <r>
    <n v="3176"/>
    <n v="35"/>
    <x v="1"/>
    <x v="20"/>
    <x v="0"/>
    <n v="42"/>
    <x v="39"/>
    <x v="2"/>
    <s v="Maroon"/>
    <x v="3"/>
    <n v="3.4"/>
    <s v="No"/>
    <x v="5"/>
    <s v="No"/>
    <n v="26"/>
    <x v="5"/>
    <s v="Every 3 Months"/>
    <n v="0.1"/>
    <n v="37.799999999999997"/>
    <n v="42"/>
    <s v="Debit Card"/>
    <s v="Normal"/>
    <s v="Good"/>
  </r>
  <r>
    <n v="3177"/>
    <n v="36"/>
    <x v="1"/>
    <x v="3"/>
    <x v="1"/>
    <n v="37"/>
    <x v="10"/>
    <x v="3"/>
    <s v="Turquoise"/>
    <x v="1"/>
    <n v="4.5999999999999996"/>
    <s v="No"/>
    <x v="4"/>
    <s v="No"/>
    <n v="39"/>
    <x v="2"/>
    <s v="Monthly"/>
    <n v="0.1"/>
    <n v="33.299999999999997"/>
    <n v="37"/>
    <s v="Credit Card"/>
    <s v="Normal"/>
    <s v="Good"/>
  </r>
  <r>
    <n v="3178"/>
    <n v="55"/>
    <x v="1"/>
    <x v="22"/>
    <x v="3"/>
    <n v="52"/>
    <x v="9"/>
    <x v="0"/>
    <s v="Beige"/>
    <x v="3"/>
    <n v="3.2"/>
    <s v="No"/>
    <x v="3"/>
    <s v="No"/>
    <n v="31"/>
    <x v="2"/>
    <s v="Monthly"/>
    <n v="0.1"/>
    <n v="46.8"/>
    <n v="52"/>
    <s v="Credit Card"/>
    <s v="Normal"/>
    <s v="Good"/>
  </r>
  <r>
    <n v="3179"/>
    <n v="66"/>
    <x v="1"/>
    <x v="3"/>
    <x v="1"/>
    <n v="34"/>
    <x v="47"/>
    <x v="0"/>
    <s v="Beige"/>
    <x v="1"/>
    <n v="2.7"/>
    <s v="No"/>
    <x v="1"/>
    <s v="No"/>
    <n v="28"/>
    <x v="2"/>
    <s v="Annually"/>
    <n v="0.1"/>
    <n v="30.6"/>
    <n v="34"/>
    <s v="Credit Card"/>
    <s v="Normal"/>
    <s v="Poor"/>
  </r>
  <r>
    <n v="3180"/>
    <n v="57"/>
    <x v="1"/>
    <x v="6"/>
    <x v="0"/>
    <n v="88"/>
    <x v="37"/>
    <x v="2"/>
    <s v="Olive"/>
    <x v="1"/>
    <n v="4.3"/>
    <s v="No"/>
    <x v="1"/>
    <s v="No"/>
    <n v="12"/>
    <x v="5"/>
    <s v="Bi-Weekly"/>
    <n v="0.1"/>
    <n v="79.2"/>
    <n v="88"/>
    <s v="Debit Card"/>
    <s v="Normal"/>
    <s v="Good"/>
  </r>
  <r>
    <n v="3181"/>
    <n v="18"/>
    <x v="1"/>
    <x v="8"/>
    <x v="3"/>
    <n v="88"/>
    <x v="6"/>
    <x v="0"/>
    <s v="Turquoise"/>
    <x v="3"/>
    <n v="3.8"/>
    <s v="No"/>
    <x v="3"/>
    <s v="No"/>
    <n v="46"/>
    <x v="3"/>
    <s v="Weekly"/>
    <n v="0.1"/>
    <n v="79.2"/>
    <n v="88"/>
    <s v="PayPal"/>
    <s v="Normal"/>
    <s v="Good"/>
  </r>
  <r>
    <n v="3182"/>
    <n v="31"/>
    <x v="1"/>
    <x v="14"/>
    <x v="2"/>
    <n v="51"/>
    <x v="6"/>
    <x v="2"/>
    <s v="Charcoal"/>
    <x v="2"/>
    <n v="4.4000000000000004"/>
    <s v="No"/>
    <x v="1"/>
    <s v="No"/>
    <n v="27"/>
    <x v="3"/>
    <s v="Every 3 Months"/>
    <n v="0.1"/>
    <n v="45.9"/>
    <n v="51"/>
    <s v="PayPal"/>
    <s v="Normal"/>
    <s v="Good"/>
  </r>
  <r>
    <n v="3183"/>
    <n v="50"/>
    <x v="1"/>
    <x v="12"/>
    <x v="3"/>
    <n v="97"/>
    <x v="42"/>
    <x v="0"/>
    <s v="Green"/>
    <x v="3"/>
    <n v="3.6"/>
    <s v="No"/>
    <x v="1"/>
    <s v="No"/>
    <n v="4"/>
    <x v="2"/>
    <s v="Annually"/>
    <n v="0.1"/>
    <n v="87.3"/>
    <n v="97"/>
    <s v="Credit Card"/>
    <s v="Normal"/>
    <s v="Good"/>
  </r>
  <r>
    <n v="3184"/>
    <n v="50"/>
    <x v="1"/>
    <x v="4"/>
    <x v="1"/>
    <n v="56"/>
    <x v="16"/>
    <x v="2"/>
    <s v="Green"/>
    <x v="0"/>
    <n v="3.5"/>
    <s v="No"/>
    <x v="3"/>
    <s v="No"/>
    <n v="14"/>
    <x v="1"/>
    <s v="Every 3 Months"/>
    <n v="0.1"/>
    <n v="50.4"/>
    <n v="56"/>
    <s v="Cash"/>
    <s v="Normal"/>
    <s v="Good"/>
  </r>
  <r>
    <n v="3185"/>
    <n v="61"/>
    <x v="1"/>
    <x v="1"/>
    <x v="0"/>
    <n v="53"/>
    <x v="11"/>
    <x v="0"/>
    <s v="Green"/>
    <x v="1"/>
    <n v="4.2"/>
    <s v="No"/>
    <x v="4"/>
    <s v="No"/>
    <n v="30"/>
    <x v="0"/>
    <s v="Quarterly"/>
    <n v="0.1"/>
    <n v="47.7"/>
    <n v="53"/>
    <s v="Venmo"/>
    <s v="Normal"/>
    <s v="Good"/>
  </r>
  <r>
    <n v="3186"/>
    <n v="52"/>
    <x v="1"/>
    <x v="11"/>
    <x v="0"/>
    <n v="71"/>
    <x v="31"/>
    <x v="0"/>
    <s v="Gold"/>
    <x v="3"/>
    <n v="4.7"/>
    <s v="No"/>
    <x v="0"/>
    <s v="No"/>
    <n v="6"/>
    <x v="3"/>
    <s v="Annually"/>
    <n v="0.1"/>
    <n v="63.9"/>
    <n v="71"/>
    <s v="PayPal"/>
    <s v="Normal"/>
    <s v="Good"/>
  </r>
  <r>
    <n v="3187"/>
    <n v="38"/>
    <x v="1"/>
    <x v="16"/>
    <x v="3"/>
    <n v="93"/>
    <x v="41"/>
    <x v="1"/>
    <s v="Cyan"/>
    <x v="0"/>
    <n v="4.8"/>
    <s v="No"/>
    <x v="5"/>
    <s v="No"/>
    <n v="43"/>
    <x v="0"/>
    <s v="Annually"/>
    <n v="0.1"/>
    <n v="83.7"/>
    <n v="93"/>
    <s v="Venmo"/>
    <s v="Normal"/>
    <s v="Good"/>
  </r>
  <r>
    <n v="3188"/>
    <n v="67"/>
    <x v="1"/>
    <x v="0"/>
    <x v="0"/>
    <n v="72"/>
    <x v="21"/>
    <x v="0"/>
    <s v="Indigo"/>
    <x v="0"/>
    <n v="3.2"/>
    <s v="No"/>
    <x v="1"/>
    <s v="No"/>
    <n v="28"/>
    <x v="5"/>
    <s v="Weekly"/>
    <n v="0.1"/>
    <n v="64.8"/>
    <n v="72"/>
    <s v="Debit Card"/>
    <s v="Normal"/>
    <s v="Good"/>
  </r>
  <r>
    <n v="3189"/>
    <n v="42"/>
    <x v="1"/>
    <x v="0"/>
    <x v="0"/>
    <n v="59"/>
    <x v="34"/>
    <x v="2"/>
    <s v="Lavender"/>
    <x v="0"/>
    <n v="3.5"/>
    <s v="No"/>
    <x v="3"/>
    <s v="No"/>
    <n v="39"/>
    <x v="4"/>
    <s v="Monthly"/>
    <n v="0.1"/>
    <n v="53.1"/>
    <n v="59"/>
    <s v="Bank Transfer"/>
    <s v="Normal"/>
    <s v="Good"/>
  </r>
  <r>
    <n v="3190"/>
    <n v="25"/>
    <x v="1"/>
    <x v="23"/>
    <x v="1"/>
    <n v="87"/>
    <x v="23"/>
    <x v="2"/>
    <s v="Beige"/>
    <x v="2"/>
    <n v="4.2"/>
    <s v="No"/>
    <x v="5"/>
    <s v="No"/>
    <n v="30"/>
    <x v="3"/>
    <s v="Bi-Weekly"/>
    <n v="0.1"/>
    <n v="78.3"/>
    <n v="87"/>
    <s v="PayPal"/>
    <s v="Normal"/>
    <s v="Good"/>
  </r>
  <r>
    <n v="3191"/>
    <n v="41"/>
    <x v="1"/>
    <x v="2"/>
    <x v="0"/>
    <n v="78"/>
    <x v="18"/>
    <x v="1"/>
    <s v="Purple"/>
    <x v="3"/>
    <n v="3.4"/>
    <s v="No"/>
    <x v="1"/>
    <s v="No"/>
    <n v="5"/>
    <x v="2"/>
    <s v="Fortnightly"/>
    <n v="0.1"/>
    <n v="70.2"/>
    <n v="78"/>
    <s v="Credit Card"/>
    <s v="Normal"/>
    <s v="Good"/>
  </r>
  <r>
    <n v="3192"/>
    <n v="62"/>
    <x v="1"/>
    <x v="15"/>
    <x v="0"/>
    <n v="68"/>
    <x v="16"/>
    <x v="3"/>
    <s v="Maroon"/>
    <x v="0"/>
    <n v="4.7"/>
    <s v="No"/>
    <x v="5"/>
    <s v="No"/>
    <n v="42"/>
    <x v="2"/>
    <s v="Every 3 Months"/>
    <n v="0.1"/>
    <n v="61.2"/>
    <n v="68"/>
    <s v="Credit Card"/>
    <s v="Normal"/>
    <s v="Good"/>
  </r>
  <r>
    <n v="3193"/>
    <n v="19"/>
    <x v="1"/>
    <x v="1"/>
    <x v="0"/>
    <n v="76"/>
    <x v="44"/>
    <x v="1"/>
    <s v="Maroon"/>
    <x v="3"/>
    <n v="3"/>
    <s v="No"/>
    <x v="1"/>
    <s v="No"/>
    <n v="20"/>
    <x v="1"/>
    <s v="Fortnightly"/>
    <n v="0.1"/>
    <n v="68.400000000000006"/>
    <n v="76"/>
    <s v="Cash"/>
    <s v="Normal"/>
    <s v="Good"/>
  </r>
  <r>
    <n v="3194"/>
    <n v="63"/>
    <x v="1"/>
    <x v="24"/>
    <x v="3"/>
    <n v="99"/>
    <x v="41"/>
    <x v="0"/>
    <s v="Teal"/>
    <x v="0"/>
    <n v="4"/>
    <s v="No"/>
    <x v="0"/>
    <s v="No"/>
    <n v="35"/>
    <x v="2"/>
    <s v="Fortnightly"/>
    <n v="0.1"/>
    <n v="89.1"/>
    <n v="99"/>
    <s v="Credit Card"/>
    <s v="Normal"/>
    <s v="Good"/>
  </r>
  <r>
    <n v="3195"/>
    <n v="43"/>
    <x v="1"/>
    <x v="4"/>
    <x v="1"/>
    <n v="52"/>
    <x v="33"/>
    <x v="0"/>
    <s v="Gold"/>
    <x v="2"/>
    <n v="4.5999999999999996"/>
    <s v="No"/>
    <x v="3"/>
    <s v="No"/>
    <n v="10"/>
    <x v="2"/>
    <s v="Bi-Weekly"/>
    <n v="0.1"/>
    <n v="46.8"/>
    <n v="52"/>
    <s v="Credit Card"/>
    <s v="Normal"/>
    <s v="Good"/>
  </r>
  <r>
    <n v="3196"/>
    <n v="68"/>
    <x v="1"/>
    <x v="12"/>
    <x v="3"/>
    <n v="58"/>
    <x v="9"/>
    <x v="1"/>
    <s v="Red"/>
    <x v="1"/>
    <n v="4.9000000000000004"/>
    <s v="No"/>
    <x v="2"/>
    <s v="No"/>
    <n v="36"/>
    <x v="2"/>
    <s v="Quarterly"/>
    <n v="0.1"/>
    <n v="52.2"/>
    <n v="58"/>
    <s v="Credit Card"/>
    <s v="Normal"/>
    <s v="Good"/>
  </r>
  <r>
    <n v="3197"/>
    <n v="24"/>
    <x v="1"/>
    <x v="22"/>
    <x v="3"/>
    <n v="59"/>
    <x v="48"/>
    <x v="0"/>
    <s v="Maroon"/>
    <x v="0"/>
    <n v="2.8"/>
    <s v="No"/>
    <x v="0"/>
    <s v="No"/>
    <n v="21"/>
    <x v="5"/>
    <s v="Fortnightly"/>
    <n v="0.1"/>
    <n v="53.1"/>
    <n v="59"/>
    <s v="Debit Card"/>
    <s v="Normal"/>
    <s v="Poor"/>
  </r>
  <r>
    <n v="3198"/>
    <n v="27"/>
    <x v="1"/>
    <x v="1"/>
    <x v="0"/>
    <n v="71"/>
    <x v="1"/>
    <x v="2"/>
    <s v="Teal"/>
    <x v="1"/>
    <n v="3.2"/>
    <s v="No"/>
    <x v="1"/>
    <s v="No"/>
    <n v="29"/>
    <x v="2"/>
    <s v="Every 3 Months"/>
    <n v="0.1"/>
    <n v="63.9"/>
    <n v="71"/>
    <s v="Credit Card"/>
    <s v="Normal"/>
    <s v="Good"/>
  </r>
  <r>
    <n v="3199"/>
    <n v="61"/>
    <x v="1"/>
    <x v="24"/>
    <x v="3"/>
    <n v="94"/>
    <x v="38"/>
    <x v="0"/>
    <s v="Peach"/>
    <x v="0"/>
    <n v="2.8"/>
    <s v="No"/>
    <x v="1"/>
    <s v="No"/>
    <n v="39"/>
    <x v="5"/>
    <s v="Weekly"/>
    <n v="0.1"/>
    <n v="84.6"/>
    <n v="94"/>
    <s v="Debit Card"/>
    <s v="Normal"/>
    <s v="Poor"/>
  </r>
  <r>
    <n v="3200"/>
    <n v="59"/>
    <x v="1"/>
    <x v="8"/>
    <x v="3"/>
    <n v="40"/>
    <x v="1"/>
    <x v="3"/>
    <s v="Pink"/>
    <x v="0"/>
    <n v="4.2"/>
    <s v="No"/>
    <x v="0"/>
    <s v="No"/>
    <n v="16"/>
    <x v="3"/>
    <s v="Monthly"/>
    <n v="0.1"/>
    <n v="36"/>
    <n v="40"/>
    <s v="PayPal"/>
    <s v="Normal"/>
    <s v="Good"/>
  </r>
  <r>
    <n v="3201"/>
    <n v="67"/>
    <x v="1"/>
    <x v="20"/>
    <x v="0"/>
    <n v="24"/>
    <x v="9"/>
    <x v="0"/>
    <s v="Black"/>
    <x v="1"/>
    <n v="4.8"/>
    <s v="No"/>
    <x v="1"/>
    <s v="No"/>
    <n v="32"/>
    <x v="2"/>
    <s v="Monthly"/>
    <n v="0.1"/>
    <n v="21.6"/>
    <n v="24"/>
    <s v="Credit Card"/>
    <s v="Normal"/>
    <s v="Good"/>
  </r>
  <r>
    <n v="3202"/>
    <n v="46"/>
    <x v="1"/>
    <x v="13"/>
    <x v="0"/>
    <n v="38"/>
    <x v="34"/>
    <x v="1"/>
    <s v="Indigo"/>
    <x v="3"/>
    <n v="2.8"/>
    <s v="No"/>
    <x v="4"/>
    <s v="No"/>
    <n v="34"/>
    <x v="1"/>
    <s v="Monthly"/>
    <n v="0.1"/>
    <n v="34.200000000000003"/>
    <n v="38"/>
    <s v="Cash"/>
    <s v="Normal"/>
    <s v="Poor"/>
  </r>
  <r>
    <n v="3203"/>
    <n v="65"/>
    <x v="1"/>
    <x v="18"/>
    <x v="3"/>
    <n v="37"/>
    <x v="48"/>
    <x v="0"/>
    <s v="Green"/>
    <x v="3"/>
    <n v="4.5"/>
    <s v="No"/>
    <x v="3"/>
    <s v="No"/>
    <n v="38"/>
    <x v="0"/>
    <s v="Annually"/>
    <n v="0.1"/>
    <n v="33.299999999999997"/>
    <n v="37"/>
    <s v="Venmo"/>
    <s v="Normal"/>
    <s v="Good"/>
  </r>
  <r>
    <n v="3204"/>
    <n v="63"/>
    <x v="1"/>
    <x v="7"/>
    <x v="2"/>
    <n v="29"/>
    <x v="32"/>
    <x v="0"/>
    <s v="Teal"/>
    <x v="1"/>
    <n v="4.0999999999999996"/>
    <s v="No"/>
    <x v="0"/>
    <s v="No"/>
    <n v="14"/>
    <x v="0"/>
    <s v="Annually"/>
    <n v="0.1"/>
    <n v="26.1"/>
    <n v="29"/>
    <s v="Venmo"/>
    <s v="Normal"/>
    <s v="Good"/>
  </r>
  <r>
    <n v="3205"/>
    <n v="57"/>
    <x v="1"/>
    <x v="14"/>
    <x v="2"/>
    <n v="92"/>
    <x v="35"/>
    <x v="3"/>
    <s v="Lavender"/>
    <x v="3"/>
    <n v="4.3"/>
    <s v="No"/>
    <x v="1"/>
    <s v="No"/>
    <n v="23"/>
    <x v="5"/>
    <s v="Bi-Weekly"/>
    <n v="0.1"/>
    <n v="82.8"/>
    <n v="92"/>
    <s v="Debit Card"/>
    <s v="Normal"/>
    <s v="Good"/>
  </r>
  <r>
    <n v="3206"/>
    <n v="40"/>
    <x v="1"/>
    <x v="15"/>
    <x v="0"/>
    <n v="24"/>
    <x v="24"/>
    <x v="3"/>
    <s v="Magenta"/>
    <x v="3"/>
    <n v="4.4000000000000004"/>
    <s v="No"/>
    <x v="4"/>
    <s v="No"/>
    <n v="50"/>
    <x v="4"/>
    <s v="Every 3 Months"/>
    <n v="0.1"/>
    <n v="21.6"/>
    <n v="24"/>
    <s v="Bank Transfer"/>
    <s v="Normal"/>
    <s v="Good"/>
  </r>
  <r>
    <n v="3207"/>
    <n v="36"/>
    <x v="1"/>
    <x v="23"/>
    <x v="1"/>
    <n v="52"/>
    <x v="18"/>
    <x v="2"/>
    <s v="Brown"/>
    <x v="0"/>
    <n v="3"/>
    <s v="No"/>
    <x v="1"/>
    <s v="No"/>
    <n v="49"/>
    <x v="3"/>
    <s v="Monthly"/>
    <n v="0.1"/>
    <n v="46.8"/>
    <n v="52"/>
    <s v="PayPal"/>
    <s v="Normal"/>
    <s v="Good"/>
  </r>
  <r>
    <n v="3208"/>
    <n v="67"/>
    <x v="1"/>
    <x v="20"/>
    <x v="0"/>
    <n v="29"/>
    <x v="28"/>
    <x v="3"/>
    <s v="Beige"/>
    <x v="2"/>
    <n v="2.7"/>
    <s v="No"/>
    <x v="2"/>
    <s v="No"/>
    <n v="14"/>
    <x v="3"/>
    <s v="Annually"/>
    <n v="0.1"/>
    <n v="26.1"/>
    <n v="29"/>
    <s v="PayPal"/>
    <s v="Normal"/>
    <s v="Poor"/>
  </r>
  <r>
    <n v="3209"/>
    <n v="61"/>
    <x v="1"/>
    <x v="16"/>
    <x v="3"/>
    <n v="30"/>
    <x v="27"/>
    <x v="0"/>
    <s v="Indigo"/>
    <x v="0"/>
    <n v="3.3"/>
    <s v="No"/>
    <x v="4"/>
    <s v="No"/>
    <n v="42"/>
    <x v="3"/>
    <s v="Weekly"/>
    <n v="0.1"/>
    <n v="27"/>
    <n v="30"/>
    <s v="PayPal"/>
    <s v="Normal"/>
    <s v="Good"/>
  </r>
  <r>
    <n v="3210"/>
    <n v="64"/>
    <x v="1"/>
    <x v="9"/>
    <x v="1"/>
    <n v="31"/>
    <x v="10"/>
    <x v="0"/>
    <s v="Peach"/>
    <x v="3"/>
    <n v="4.3"/>
    <s v="No"/>
    <x v="3"/>
    <s v="No"/>
    <n v="39"/>
    <x v="5"/>
    <s v="Annually"/>
    <n v="0.1"/>
    <n v="27.9"/>
    <n v="31"/>
    <s v="Debit Card"/>
    <s v="Normal"/>
    <s v="Good"/>
  </r>
  <r>
    <n v="3211"/>
    <n v="30"/>
    <x v="1"/>
    <x v="20"/>
    <x v="0"/>
    <n v="67"/>
    <x v="22"/>
    <x v="2"/>
    <s v="Magenta"/>
    <x v="2"/>
    <n v="2.9"/>
    <s v="No"/>
    <x v="0"/>
    <s v="No"/>
    <n v="43"/>
    <x v="0"/>
    <s v="Bi-Weekly"/>
    <n v="0.1"/>
    <n v="60.3"/>
    <n v="67"/>
    <s v="Venmo"/>
    <s v="Normal"/>
    <s v="Poor"/>
  </r>
  <r>
    <n v="3212"/>
    <n v="53"/>
    <x v="1"/>
    <x v="13"/>
    <x v="0"/>
    <n v="65"/>
    <x v="3"/>
    <x v="0"/>
    <s v="Turquoise"/>
    <x v="0"/>
    <n v="4.9000000000000004"/>
    <s v="No"/>
    <x v="3"/>
    <s v="No"/>
    <n v="12"/>
    <x v="1"/>
    <s v="Monthly"/>
    <n v="0.1"/>
    <n v="58.5"/>
    <n v="65"/>
    <s v="Cash"/>
    <s v="Normal"/>
    <s v="Good"/>
  </r>
  <r>
    <n v="3213"/>
    <n v="27"/>
    <x v="1"/>
    <x v="4"/>
    <x v="1"/>
    <n v="22"/>
    <x v="5"/>
    <x v="2"/>
    <s v="Indigo"/>
    <x v="0"/>
    <n v="3.6"/>
    <s v="No"/>
    <x v="4"/>
    <s v="No"/>
    <n v="21"/>
    <x v="5"/>
    <s v="Weekly"/>
    <n v="0.1"/>
    <n v="19.8"/>
    <n v="22"/>
    <s v="Debit Card"/>
    <s v="Normal"/>
    <s v="Good"/>
  </r>
  <r>
    <n v="3214"/>
    <n v="27"/>
    <x v="1"/>
    <x v="12"/>
    <x v="3"/>
    <n v="56"/>
    <x v="21"/>
    <x v="2"/>
    <s v="Brown"/>
    <x v="0"/>
    <n v="3.3"/>
    <s v="No"/>
    <x v="3"/>
    <s v="No"/>
    <n v="33"/>
    <x v="2"/>
    <s v="Monthly"/>
    <n v="0.1"/>
    <n v="50.4"/>
    <n v="56"/>
    <s v="Credit Card"/>
    <s v="Normal"/>
    <s v="Good"/>
  </r>
  <r>
    <n v="3215"/>
    <n v="53"/>
    <x v="1"/>
    <x v="11"/>
    <x v="0"/>
    <n v="78"/>
    <x v="47"/>
    <x v="2"/>
    <s v="Yellow"/>
    <x v="1"/>
    <n v="3.1"/>
    <s v="No"/>
    <x v="1"/>
    <s v="No"/>
    <n v="6"/>
    <x v="5"/>
    <s v="Annually"/>
    <n v="0.1"/>
    <n v="70.2"/>
    <n v="78"/>
    <s v="Debit Card"/>
    <s v="Normal"/>
    <s v="Good"/>
  </r>
  <r>
    <n v="3216"/>
    <n v="34"/>
    <x v="1"/>
    <x v="7"/>
    <x v="2"/>
    <n v="90"/>
    <x v="3"/>
    <x v="2"/>
    <s v="Magenta"/>
    <x v="2"/>
    <n v="2.7"/>
    <s v="No"/>
    <x v="1"/>
    <s v="No"/>
    <n v="10"/>
    <x v="3"/>
    <s v="Every 3 Months"/>
    <n v="0.1"/>
    <n v="81"/>
    <n v="90"/>
    <s v="PayPal"/>
    <s v="Normal"/>
    <s v="Poor"/>
  </r>
  <r>
    <n v="3217"/>
    <n v="39"/>
    <x v="1"/>
    <x v="15"/>
    <x v="0"/>
    <n v="85"/>
    <x v="26"/>
    <x v="1"/>
    <s v="Olive"/>
    <x v="0"/>
    <n v="3.4"/>
    <s v="No"/>
    <x v="2"/>
    <s v="No"/>
    <n v="18"/>
    <x v="1"/>
    <s v="Weekly"/>
    <n v="0.1"/>
    <n v="76.5"/>
    <n v="85"/>
    <s v="Cash"/>
    <s v="Normal"/>
    <s v="Good"/>
  </r>
  <r>
    <n v="3218"/>
    <n v="44"/>
    <x v="1"/>
    <x v="12"/>
    <x v="3"/>
    <n v="58"/>
    <x v="4"/>
    <x v="2"/>
    <s v="Silver"/>
    <x v="3"/>
    <n v="3.4"/>
    <s v="No"/>
    <x v="0"/>
    <s v="No"/>
    <n v="46"/>
    <x v="0"/>
    <s v="Weekly"/>
    <n v="0.1"/>
    <n v="52.2"/>
    <n v="58"/>
    <s v="Venmo"/>
    <s v="Normal"/>
    <s v="Good"/>
  </r>
  <r>
    <n v="3219"/>
    <n v="37"/>
    <x v="1"/>
    <x v="11"/>
    <x v="0"/>
    <n v="34"/>
    <x v="20"/>
    <x v="2"/>
    <s v="Teal"/>
    <x v="3"/>
    <n v="3.9"/>
    <s v="No"/>
    <x v="0"/>
    <s v="No"/>
    <n v="49"/>
    <x v="3"/>
    <s v="Monthly"/>
    <n v="0.1"/>
    <n v="30.6"/>
    <n v="34"/>
    <s v="PayPal"/>
    <s v="Normal"/>
    <s v="Good"/>
  </r>
  <r>
    <n v="3220"/>
    <n v="57"/>
    <x v="1"/>
    <x v="7"/>
    <x v="2"/>
    <n v="40"/>
    <x v="23"/>
    <x v="0"/>
    <s v="White"/>
    <x v="2"/>
    <n v="3.5"/>
    <s v="No"/>
    <x v="4"/>
    <s v="No"/>
    <n v="39"/>
    <x v="2"/>
    <s v="Weekly"/>
    <n v="0.1"/>
    <n v="36"/>
    <n v="40"/>
    <s v="Credit Card"/>
    <s v="Normal"/>
    <s v="Good"/>
  </r>
  <r>
    <n v="3221"/>
    <n v="38"/>
    <x v="1"/>
    <x v="8"/>
    <x v="3"/>
    <n v="29"/>
    <x v="25"/>
    <x v="2"/>
    <s v="Blue"/>
    <x v="3"/>
    <n v="4.0999999999999996"/>
    <s v="No"/>
    <x v="1"/>
    <s v="No"/>
    <n v="16"/>
    <x v="1"/>
    <s v="Monthly"/>
    <n v="0.1"/>
    <n v="26.1"/>
    <n v="29"/>
    <s v="Cash"/>
    <s v="Normal"/>
    <s v="Good"/>
  </r>
  <r>
    <n v="3222"/>
    <n v="21"/>
    <x v="1"/>
    <x v="17"/>
    <x v="0"/>
    <n v="76"/>
    <x v="13"/>
    <x v="2"/>
    <s v="Yellow"/>
    <x v="0"/>
    <n v="3.2"/>
    <s v="No"/>
    <x v="3"/>
    <s v="No"/>
    <n v="28"/>
    <x v="1"/>
    <s v="Annually"/>
    <n v="0.1"/>
    <n v="68.400000000000006"/>
    <n v="76"/>
    <s v="Cash"/>
    <s v="Normal"/>
    <s v="Good"/>
  </r>
  <r>
    <n v="3223"/>
    <n v="45"/>
    <x v="1"/>
    <x v="12"/>
    <x v="3"/>
    <n v="84"/>
    <x v="21"/>
    <x v="1"/>
    <s v="Maroon"/>
    <x v="3"/>
    <n v="4.5999999999999996"/>
    <s v="No"/>
    <x v="5"/>
    <s v="No"/>
    <n v="22"/>
    <x v="3"/>
    <s v="Quarterly"/>
    <n v="0.1"/>
    <n v="75.599999999999994"/>
    <n v="84"/>
    <s v="PayPal"/>
    <s v="Normal"/>
    <s v="Good"/>
  </r>
  <r>
    <n v="3224"/>
    <n v="68"/>
    <x v="1"/>
    <x v="5"/>
    <x v="0"/>
    <n v="65"/>
    <x v="6"/>
    <x v="1"/>
    <s v="Gray"/>
    <x v="1"/>
    <n v="3.9"/>
    <s v="No"/>
    <x v="3"/>
    <s v="No"/>
    <n v="36"/>
    <x v="0"/>
    <s v="Bi-Weekly"/>
    <n v="0.1"/>
    <n v="58.5"/>
    <n v="65"/>
    <s v="Venmo"/>
    <s v="Normal"/>
    <s v="Good"/>
  </r>
  <r>
    <n v="3225"/>
    <n v="37"/>
    <x v="1"/>
    <x v="15"/>
    <x v="0"/>
    <n v="80"/>
    <x v="12"/>
    <x v="0"/>
    <s v="Indigo"/>
    <x v="0"/>
    <n v="2.7"/>
    <s v="No"/>
    <x v="1"/>
    <s v="No"/>
    <n v="18"/>
    <x v="3"/>
    <s v="Monthly"/>
    <n v="0.1"/>
    <n v="72"/>
    <n v="80"/>
    <s v="PayPal"/>
    <s v="Normal"/>
    <s v="Poor"/>
  </r>
  <r>
    <n v="3226"/>
    <n v="53"/>
    <x v="1"/>
    <x v="0"/>
    <x v="0"/>
    <n v="98"/>
    <x v="13"/>
    <x v="2"/>
    <s v="Pink"/>
    <x v="3"/>
    <n v="3"/>
    <s v="No"/>
    <x v="5"/>
    <s v="No"/>
    <n v="31"/>
    <x v="2"/>
    <s v="Weekly"/>
    <n v="0.1"/>
    <n v="88.2"/>
    <n v="98"/>
    <s v="Credit Card"/>
    <s v="Normal"/>
    <s v="Good"/>
  </r>
  <r>
    <n v="3227"/>
    <n v="57"/>
    <x v="1"/>
    <x v="4"/>
    <x v="1"/>
    <n v="71"/>
    <x v="46"/>
    <x v="3"/>
    <s v="Beige"/>
    <x v="1"/>
    <n v="3.3"/>
    <s v="No"/>
    <x v="2"/>
    <s v="No"/>
    <n v="38"/>
    <x v="4"/>
    <s v="Fortnightly"/>
    <n v="0.1"/>
    <n v="63.9"/>
    <n v="71"/>
    <s v="Bank Transfer"/>
    <s v="Normal"/>
    <s v="Good"/>
  </r>
  <r>
    <n v="3228"/>
    <n v="28"/>
    <x v="1"/>
    <x v="18"/>
    <x v="3"/>
    <n v="69"/>
    <x v="29"/>
    <x v="3"/>
    <s v="White"/>
    <x v="3"/>
    <n v="2.7"/>
    <s v="No"/>
    <x v="1"/>
    <s v="No"/>
    <n v="42"/>
    <x v="5"/>
    <s v="Quarterly"/>
    <n v="0.1"/>
    <n v="62.1"/>
    <n v="69"/>
    <s v="Debit Card"/>
    <s v="Normal"/>
    <s v="Poor"/>
  </r>
  <r>
    <n v="3229"/>
    <n v="37"/>
    <x v="1"/>
    <x v="16"/>
    <x v="3"/>
    <n v="95"/>
    <x v="39"/>
    <x v="2"/>
    <s v="Yellow"/>
    <x v="1"/>
    <n v="4.5999999999999996"/>
    <s v="No"/>
    <x v="4"/>
    <s v="No"/>
    <n v="27"/>
    <x v="3"/>
    <s v="Annually"/>
    <n v="0.1"/>
    <n v="85.5"/>
    <n v="95"/>
    <s v="PayPal"/>
    <s v="Normal"/>
    <s v="Good"/>
  </r>
  <r>
    <n v="3230"/>
    <n v="54"/>
    <x v="1"/>
    <x v="13"/>
    <x v="0"/>
    <n v="67"/>
    <x v="39"/>
    <x v="2"/>
    <s v="Teal"/>
    <x v="3"/>
    <n v="2.7"/>
    <s v="No"/>
    <x v="0"/>
    <s v="No"/>
    <n v="24"/>
    <x v="1"/>
    <s v="Monthly"/>
    <n v="0.1"/>
    <n v="60.3"/>
    <n v="67"/>
    <s v="Cash"/>
    <s v="Normal"/>
    <s v="Poor"/>
  </r>
  <r>
    <n v="3231"/>
    <n v="49"/>
    <x v="1"/>
    <x v="4"/>
    <x v="1"/>
    <n v="49"/>
    <x v="23"/>
    <x v="2"/>
    <s v="Olive"/>
    <x v="2"/>
    <n v="2.5"/>
    <s v="No"/>
    <x v="2"/>
    <s v="No"/>
    <n v="38"/>
    <x v="5"/>
    <s v="Annually"/>
    <n v="0.1"/>
    <n v="44.1"/>
    <n v="49"/>
    <s v="Debit Card"/>
    <s v="Normal"/>
    <s v="Poor"/>
  </r>
  <r>
    <n v="3232"/>
    <n v="62"/>
    <x v="1"/>
    <x v="9"/>
    <x v="1"/>
    <n v="97"/>
    <x v="22"/>
    <x v="2"/>
    <s v="Maroon"/>
    <x v="0"/>
    <n v="4.4000000000000004"/>
    <s v="No"/>
    <x v="1"/>
    <s v="No"/>
    <n v="9"/>
    <x v="2"/>
    <s v="Annually"/>
    <n v="0.1"/>
    <n v="87.3"/>
    <n v="97"/>
    <s v="Credit Card"/>
    <s v="Normal"/>
    <s v="Good"/>
  </r>
  <r>
    <n v="3233"/>
    <n v="45"/>
    <x v="1"/>
    <x v="17"/>
    <x v="0"/>
    <n v="34"/>
    <x v="2"/>
    <x v="2"/>
    <s v="White"/>
    <x v="1"/>
    <n v="4"/>
    <s v="No"/>
    <x v="2"/>
    <s v="No"/>
    <n v="19"/>
    <x v="4"/>
    <s v="Monthly"/>
    <n v="0.1"/>
    <n v="30.6"/>
    <n v="34"/>
    <s v="Bank Transfer"/>
    <s v="Normal"/>
    <s v="Good"/>
  </r>
  <r>
    <n v="3234"/>
    <n v="45"/>
    <x v="1"/>
    <x v="22"/>
    <x v="3"/>
    <n v="74"/>
    <x v="27"/>
    <x v="2"/>
    <s v="Lavender"/>
    <x v="3"/>
    <n v="3.8"/>
    <s v="No"/>
    <x v="0"/>
    <s v="No"/>
    <n v="11"/>
    <x v="5"/>
    <s v="Bi-Weekly"/>
    <n v="0.1"/>
    <n v="66.599999999999994"/>
    <n v="74"/>
    <s v="Debit Card"/>
    <s v="Normal"/>
    <s v="Good"/>
  </r>
  <r>
    <n v="3235"/>
    <n v="49"/>
    <x v="1"/>
    <x v="16"/>
    <x v="3"/>
    <n v="96"/>
    <x v="47"/>
    <x v="2"/>
    <s v="Black"/>
    <x v="0"/>
    <n v="2.5"/>
    <s v="No"/>
    <x v="4"/>
    <s v="No"/>
    <n v="16"/>
    <x v="5"/>
    <s v="Quarterly"/>
    <n v="0.1"/>
    <n v="86.4"/>
    <n v="96"/>
    <s v="Debit Card"/>
    <s v="Normal"/>
    <s v="Poor"/>
  </r>
  <r>
    <n v="3236"/>
    <n v="27"/>
    <x v="1"/>
    <x v="22"/>
    <x v="3"/>
    <n v="68"/>
    <x v="23"/>
    <x v="2"/>
    <s v="Green"/>
    <x v="2"/>
    <n v="4"/>
    <s v="No"/>
    <x v="1"/>
    <s v="No"/>
    <n v="18"/>
    <x v="0"/>
    <s v="Monthly"/>
    <n v="0.1"/>
    <n v="61.2"/>
    <n v="68"/>
    <s v="Venmo"/>
    <s v="Normal"/>
    <s v="Good"/>
  </r>
  <r>
    <n v="3237"/>
    <n v="63"/>
    <x v="1"/>
    <x v="22"/>
    <x v="3"/>
    <n v="84"/>
    <x v="36"/>
    <x v="0"/>
    <s v="Olive"/>
    <x v="3"/>
    <n v="4.0999999999999996"/>
    <s v="No"/>
    <x v="2"/>
    <s v="No"/>
    <n v="8"/>
    <x v="1"/>
    <s v="Monthly"/>
    <n v="0.1"/>
    <n v="75.599999999999994"/>
    <n v="84"/>
    <s v="Cash"/>
    <s v="Normal"/>
    <s v="Good"/>
  </r>
  <r>
    <n v="3238"/>
    <n v="61"/>
    <x v="1"/>
    <x v="17"/>
    <x v="0"/>
    <n v="57"/>
    <x v="34"/>
    <x v="2"/>
    <s v="Gray"/>
    <x v="2"/>
    <n v="2.8"/>
    <s v="No"/>
    <x v="0"/>
    <s v="No"/>
    <n v="4"/>
    <x v="1"/>
    <s v="Weekly"/>
    <n v="0.1"/>
    <n v="51.3"/>
    <n v="57"/>
    <s v="Cash"/>
    <s v="Normal"/>
    <s v="Poor"/>
  </r>
  <r>
    <n v="3239"/>
    <n v="25"/>
    <x v="1"/>
    <x v="4"/>
    <x v="1"/>
    <n v="84"/>
    <x v="5"/>
    <x v="3"/>
    <s v="Teal"/>
    <x v="3"/>
    <n v="3.4"/>
    <s v="No"/>
    <x v="4"/>
    <s v="No"/>
    <n v="37"/>
    <x v="1"/>
    <s v="Quarterly"/>
    <n v="0.1"/>
    <n v="75.599999999999994"/>
    <n v="84"/>
    <s v="Cash"/>
    <s v="Normal"/>
    <s v="Good"/>
  </r>
  <r>
    <n v="3240"/>
    <n v="33"/>
    <x v="1"/>
    <x v="12"/>
    <x v="3"/>
    <n v="32"/>
    <x v="24"/>
    <x v="2"/>
    <s v="Charcoal"/>
    <x v="3"/>
    <n v="2.7"/>
    <s v="No"/>
    <x v="4"/>
    <s v="No"/>
    <n v="30"/>
    <x v="1"/>
    <s v="Monthly"/>
    <n v="0.1"/>
    <n v="28.8"/>
    <n v="32"/>
    <s v="Cash"/>
    <s v="Normal"/>
    <s v="Poor"/>
  </r>
  <r>
    <n v="3241"/>
    <n v="56"/>
    <x v="1"/>
    <x v="3"/>
    <x v="1"/>
    <n v="37"/>
    <x v="8"/>
    <x v="2"/>
    <s v="Violet"/>
    <x v="3"/>
    <n v="3.8"/>
    <s v="No"/>
    <x v="4"/>
    <s v="No"/>
    <n v="37"/>
    <x v="4"/>
    <s v="Monthly"/>
    <n v="0.1"/>
    <n v="33.299999999999997"/>
    <n v="37"/>
    <s v="Bank Transfer"/>
    <s v="Normal"/>
    <s v="Good"/>
  </r>
  <r>
    <n v="3242"/>
    <n v="50"/>
    <x v="1"/>
    <x v="8"/>
    <x v="3"/>
    <n v="58"/>
    <x v="39"/>
    <x v="2"/>
    <s v="Lavender"/>
    <x v="2"/>
    <n v="4.4000000000000004"/>
    <s v="No"/>
    <x v="5"/>
    <s v="No"/>
    <n v="30"/>
    <x v="3"/>
    <s v="Quarterly"/>
    <n v="0.1"/>
    <n v="52.2"/>
    <n v="58"/>
    <s v="PayPal"/>
    <s v="Normal"/>
    <s v="Good"/>
  </r>
  <r>
    <n v="3243"/>
    <n v="45"/>
    <x v="1"/>
    <x v="20"/>
    <x v="0"/>
    <n v="74"/>
    <x v="4"/>
    <x v="1"/>
    <s v="Beige"/>
    <x v="3"/>
    <n v="2.8"/>
    <s v="No"/>
    <x v="0"/>
    <s v="No"/>
    <n v="17"/>
    <x v="0"/>
    <s v="Weekly"/>
    <n v="0.1"/>
    <n v="66.599999999999994"/>
    <n v="74"/>
    <s v="Venmo"/>
    <s v="Normal"/>
    <s v="Poor"/>
  </r>
  <r>
    <n v="3244"/>
    <n v="45"/>
    <x v="1"/>
    <x v="15"/>
    <x v="0"/>
    <n v="99"/>
    <x v="37"/>
    <x v="0"/>
    <s v="Black"/>
    <x v="2"/>
    <n v="5"/>
    <s v="No"/>
    <x v="5"/>
    <s v="No"/>
    <n v="11"/>
    <x v="4"/>
    <s v="Every 3 Months"/>
    <n v="0.1"/>
    <n v="89.1"/>
    <n v="99"/>
    <s v="Bank Transfer"/>
    <s v="Normal"/>
    <s v="Good"/>
  </r>
  <r>
    <n v="3245"/>
    <n v="65"/>
    <x v="1"/>
    <x v="1"/>
    <x v="0"/>
    <n v="81"/>
    <x v="10"/>
    <x v="2"/>
    <s v="Black"/>
    <x v="3"/>
    <n v="4.7"/>
    <s v="No"/>
    <x v="0"/>
    <s v="No"/>
    <n v="42"/>
    <x v="2"/>
    <s v="Annually"/>
    <n v="0.1"/>
    <n v="72.900000000000006"/>
    <n v="81"/>
    <s v="Credit Card"/>
    <s v="Normal"/>
    <s v="Good"/>
  </r>
  <r>
    <n v="3246"/>
    <n v="63"/>
    <x v="1"/>
    <x v="13"/>
    <x v="0"/>
    <n v="76"/>
    <x v="23"/>
    <x v="2"/>
    <s v="Purple"/>
    <x v="3"/>
    <n v="3.2"/>
    <s v="No"/>
    <x v="2"/>
    <s v="No"/>
    <n v="20"/>
    <x v="1"/>
    <s v="Weekly"/>
    <n v="0.1"/>
    <n v="68.400000000000006"/>
    <n v="76"/>
    <s v="Cash"/>
    <s v="Normal"/>
    <s v="Good"/>
  </r>
  <r>
    <n v="3247"/>
    <n v="70"/>
    <x v="1"/>
    <x v="4"/>
    <x v="1"/>
    <n v="98"/>
    <x v="49"/>
    <x v="2"/>
    <s v="Magenta"/>
    <x v="2"/>
    <n v="2.9"/>
    <s v="No"/>
    <x v="5"/>
    <s v="No"/>
    <n v="37"/>
    <x v="1"/>
    <s v="Monthly"/>
    <n v="0.1"/>
    <n v="88.2"/>
    <n v="98"/>
    <s v="Cash"/>
    <s v="Normal"/>
    <s v="Poor"/>
  </r>
  <r>
    <n v="3248"/>
    <n v="53"/>
    <x v="1"/>
    <x v="24"/>
    <x v="3"/>
    <n v="91"/>
    <x v="10"/>
    <x v="2"/>
    <s v="Teal"/>
    <x v="2"/>
    <n v="3.7"/>
    <s v="No"/>
    <x v="0"/>
    <s v="No"/>
    <n v="12"/>
    <x v="3"/>
    <s v="Fortnightly"/>
    <n v="0.1"/>
    <n v="81.900000000000006"/>
    <n v="91"/>
    <s v="PayPal"/>
    <s v="Normal"/>
    <s v="Good"/>
  </r>
  <r>
    <n v="3249"/>
    <n v="22"/>
    <x v="1"/>
    <x v="17"/>
    <x v="0"/>
    <n v="79"/>
    <x v="38"/>
    <x v="1"/>
    <s v="Teal"/>
    <x v="2"/>
    <n v="4.2"/>
    <s v="No"/>
    <x v="1"/>
    <s v="No"/>
    <n v="41"/>
    <x v="4"/>
    <s v="Quarterly"/>
    <n v="0.1"/>
    <n v="71.099999999999994"/>
    <n v="79"/>
    <s v="Bank Transfer"/>
    <s v="Normal"/>
    <s v="Good"/>
  </r>
  <r>
    <n v="3250"/>
    <n v="26"/>
    <x v="1"/>
    <x v="21"/>
    <x v="3"/>
    <n v="83"/>
    <x v="41"/>
    <x v="2"/>
    <s v="Pink"/>
    <x v="2"/>
    <n v="3.4"/>
    <s v="No"/>
    <x v="0"/>
    <s v="No"/>
    <n v="32"/>
    <x v="2"/>
    <s v="Quarterly"/>
    <n v="0.1"/>
    <n v="74.7"/>
    <n v="83"/>
    <s v="Credit Card"/>
    <s v="Normal"/>
    <s v="Good"/>
  </r>
  <r>
    <n v="3251"/>
    <n v="23"/>
    <x v="1"/>
    <x v="7"/>
    <x v="2"/>
    <n v="90"/>
    <x v="46"/>
    <x v="2"/>
    <s v="Teal"/>
    <x v="1"/>
    <n v="2.9"/>
    <s v="No"/>
    <x v="4"/>
    <s v="No"/>
    <n v="15"/>
    <x v="0"/>
    <s v="Weekly"/>
    <n v="0.1"/>
    <n v="81"/>
    <n v="90"/>
    <s v="Venmo"/>
    <s v="Normal"/>
    <s v="Poor"/>
  </r>
  <r>
    <n v="3252"/>
    <n v="25"/>
    <x v="1"/>
    <x v="7"/>
    <x v="2"/>
    <n v="20"/>
    <x v="22"/>
    <x v="2"/>
    <s v="Gold"/>
    <x v="0"/>
    <n v="3.7"/>
    <s v="No"/>
    <x v="3"/>
    <s v="No"/>
    <n v="39"/>
    <x v="0"/>
    <s v="Quarterly"/>
    <n v="0.1"/>
    <n v="18"/>
    <n v="20"/>
    <s v="Venmo"/>
    <s v="Normal"/>
    <s v="Good"/>
  </r>
  <r>
    <n v="3253"/>
    <n v="69"/>
    <x v="1"/>
    <x v="3"/>
    <x v="1"/>
    <n v="21"/>
    <x v="6"/>
    <x v="0"/>
    <s v="Brown"/>
    <x v="1"/>
    <n v="2.7"/>
    <s v="No"/>
    <x v="5"/>
    <s v="No"/>
    <n v="48"/>
    <x v="2"/>
    <s v="Fortnightly"/>
    <n v="0.1"/>
    <n v="18.899999999999999"/>
    <n v="21"/>
    <s v="Credit Card"/>
    <s v="Normal"/>
    <s v="Poor"/>
  </r>
  <r>
    <n v="3254"/>
    <n v="36"/>
    <x v="1"/>
    <x v="21"/>
    <x v="3"/>
    <n v="60"/>
    <x v="43"/>
    <x v="2"/>
    <s v="Brown"/>
    <x v="3"/>
    <n v="3.2"/>
    <s v="No"/>
    <x v="4"/>
    <s v="No"/>
    <n v="8"/>
    <x v="0"/>
    <s v="Fortnightly"/>
    <n v="0.1"/>
    <n v="54"/>
    <n v="60"/>
    <s v="Venmo"/>
    <s v="Normal"/>
    <s v="Good"/>
  </r>
  <r>
    <n v="3255"/>
    <n v="21"/>
    <x v="1"/>
    <x v="1"/>
    <x v="0"/>
    <n v="31"/>
    <x v="27"/>
    <x v="1"/>
    <s v="Magenta"/>
    <x v="0"/>
    <n v="4.9000000000000004"/>
    <s v="No"/>
    <x v="5"/>
    <s v="No"/>
    <n v="11"/>
    <x v="4"/>
    <s v="Every 3 Months"/>
    <n v="0.1"/>
    <n v="27.9"/>
    <n v="31"/>
    <s v="Bank Transfer"/>
    <s v="Normal"/>
    <s v="Good"/>
  </r>
  <r>
    <n v="3256"/>
    <n v="57"/>
    <x v="1"/>
    <x v="6"/>
    <x v="0"/>
    <n v="40"/>
    <x v="32"/>
    <x v="2"/>
    <s v="Black"/>
    <x v="3"/>
    <n v="2.8"/>
    <s v="No"/>
    <x v="2"/>
    <s v="No"/>
    <n v="36"/>
    <x v="4"/>
    <s v="Monthly"/>
    <n v="0.1"/>
    <n v="36"/>
    <n v="40"/>
    <s v="Bank Transfer"/>
    <s v="Normal"/>
    <s v="Poor"/>
  </r>
  <r>
    <n v="3257"/>
    <n v="60"/>
    <x v="1"/>
    <x v="12"/>
    <x v="3"/>
    <n v="26"/>
    <x v="48"/>
    <x v="0"/>
    <s v="Teal"/>
    <x v="0"/>
    <n v="4.7"/>
    <s v="No"/>
    <x v="1"/>
    <s v="No"/>
    <n v="50"/>
    <x v="0"/>
    <s v="Every 3 Months"/>
    <n v="0.1"/>
    <n v="23.4"/>
    <n v="26"/>
    <s v="Venmo"/>
    <s v="Normal"/>
    <s v="Good"/>
  </r>
  <r>
    <n v="3258"/>
    <n v="44"/>
    <x v="1"/>
    <x v="5"/>
    <x v="0"/>
    <n v="98"/>
    <x v="46"/>
    <x v="2"/>
    <s v="Brown"/>
    <x v="3"/>
    <n v="3.3"/>
    <s v="No"/>
    <x v="0"/>
    <s v="No"/>
    <n v="39"/>
    <x v="0"/>
    <s v="Every 3 Months"/>
    <n v="0.1"/>
    <n v="88.2"/>
    <n v="98"/>
    <s v="Venmo"/>
    <s v="Normal"/>
    <s v="Good"/>
  </r>
  <r>
    <n v="3259"/>
    <n v="31"/>
    <x v="1"/>
    <x v="9"/>
    <x v="1"/>
    <n v="51"/>
    <x v="32"/>
    <x v="2"/>
    <s v="Magenta"/>
    <x v="1"/>
    <n v="4.3"/>
    <s v="No"/>
    <x v="0"/>
    <s v="No"/>
    <n v="11"/>
    <x v="2"/>
    <s v="Bi-Weekly"/>
    <n v="0.1"/>
    <n v="45.9"/>
    <n v="51"/>
    <s v="Credit Card"/>
    <s v="Normal"/>
    <s v="Good"/>
  </r>
  <r>
    <n v="3260"/>
    <n v="57"/>
    <x v="1"/>
    <x v="19"/>
    <x v="3"/>
    <n v="95"/>
    <x v="19"/>
    <x v="3"/>
    <s v="Indigo"/>
    <x v="3"/>
    <n v="3.7"/>
    <s v="No"/>
    <x v="4"/>
    <s v="No"/>
    <n v="5"/>
    <x v="5"/>
    <s v="Every 3 Months"/>
    <n v="0.1"/>
    <n v="85.5"/>
    <n v="95"/>
    <s v="Debit Card"/>
    <s v="Normal"/>
    <s v="Good"/>
  </r>
  <r>
    <n v="3261"/>
    <n v="39"/>
    <x v="1"/>
    <x v="18"/>
    <x v="3"/>
    <n v="36"/>
    <x v="48"/>
    <x v="2"/>
    <s v="Violet"/>
    <x v="2"/>
    <n v="4.5"/>
    <s v="No"/>
    <x v="4"/>
    <s v="No"/>
    <n v="7"/>
    <x v="2"/>
    <s v="Annually"/>
    <n v="0.1"/>
    <n v="32.4"/>
    <n v="36"/>
    <s v="Credit Card"/>
    <s v="Normal"/>
    <s v="Good"/>
  </r>
  <r>
    <n v="3262"/>
    <n v="48"/>
    <x v="1"/>
    <x v="22"/>
    <x v="3"/>
    <n v="52"/>
    <x v="3"/>
    <x v="0"/>
    <s v="Cyan"/>
    <x v="0"/>
    <n v="3.4"/>
    <s v="No"/>
    <x v="5"/>
    <s v="No"/>
    <n v="50"/>
    <x v="5"/>
    <s v="Weekly"/>
    <n v="0.1"/>
    <n v="46.8"/>
    <n v="52"/>
    <s v="Debit Card"/>
    <s v="Normal"/>
    <s v="Good"/>
  </r>
  <r>
    <n v="3263"/>
    <n v="42"/>
    <x v="1"/>
    <x v="17"/>
    <x v="0"/>
    <n v="35"/>
    <x v="27"/>
    <x v="2"/>
    <s v="Violet"/>
    <x v="1"/>
    <n v="2.7"/>
    <s v="No"/>
    <x v="3"/>
    <s v="No"/>
    <n v="21"/>
    <x v="1"/>
    <s v="Every 3 Months"/>
    <n v="0.1"/>
    <n v="31.5"/>
    <n v="35"/>
    <s v="Cash"/>
    <s v="Normal"/>
    <s v="Poor"/>
  </r>
  <r>
    <n v="3264"/>
    <n v="56"/>
    <x v="1"/>
    <x v="6"/>
    <x v="0"/>
    <n v="68"/>
    <x v="34"/>
    <x v="1"/>
    <s v="Black"/>
    <x v="3"/>
    <n v="4.4000000000000004"/>
    <s v="No"/>
    <x v="0"/>
    <s v="No"/>
    <n v="31"/>
    <x v="5"/>
    <s v="Fortnightly"/>
    <n v="0.1"/>
    <n v="61.2"/>
    <n v="68"/>
    <s v="Debit Card"/>
    <s v="Normal"/>
    <s v="Good"/>
  </r>
  <r>
    <n v="3265"/>
    <n v="28"/>
    <x v="1"/>
    <x v="13"/>
    <x v="0"/>
    <n v="50"/>
    <x v="1"/>
    <x v="1"/>
    <s v="Charcoal"/>
    <x v="0"/>
    <n v="4"/>
    <s v="No"/>
    <x v="0"/>
    <s v="No"/>
    <n v="39"/>
    <x v="1"/>
    <s v="Bi-Weekly"/>
    <n v="0.1"/>
    <n v="45"/>
    <n v="50"/>
    <s v="Cash"/>
    <s v="Normal"/>
    <s v="Good"/>
  </r>
  <r>
    <n v="3266"/>
    <n v="40"/>
    <x v="1"/>
    <x v="12"/>
    <x v="3"/>
    <n v="100"/>
    <x v="15"/>
    <x v="2"/>
    <s v="White"/>
    <x v="0"/>
    <n v="3.2"/>
    <s v="No"/>
    <x v="0"/>
    <s v="No"/>
    <n v="28"/>
    <x v="2"/>
    <s v="Fortnightly"/>
    <n v="0.1"/>
    <n v="90"/>
    <n v="100"/>
    <s v="Credit Card"/>
    <s v="Normal"/>
    <s v="Good"/>
  </r>
  <r>
    <n v="3267"/>
    <n v="49"/>
    <x v="1"/>
    <x v="7"/>
    <x v="2"/>
    <n v="74"/>
    <x v="15"/>
    <x v="1"/>
    <s v="Gray"/>
    <x v="0"/>
    <n v="4.2"/>
    <s v="No"/>
    <x v="2"/>
    <s v="No"/>
    <n v="33"/>
    <x v="4"/>
    <s v="Weekly"/>
    <n v="0.1"/>
    <n v="66.599999999999994"/>
    <n v="74"/>
    <s v="Bank Transfer"/>
    <s v="Normal"/>
    <s v="Good"/>
  </r>
  <r>
    <n v="3268"/>
    <n v="37"/>
    <x v="1"/>
    <x v="15"/>
    <x v="0"/>
    <n v="45"/>
    <x v="37"/>
    <x v="0"/>
    <s v="Pink"/>
    <x v="0"/>
    <n v="3"/>
    <s v="No"/>
    <x v="5"/>
    <s v="No"/>
    <n v="42"/>
    <x v="2"/>
    <s v="Quarterly"/>
    <n v="0.1"/>
    <n v="40.5"/>
    <n v="45"/>
    <s v="Credit Card"/>
    <s v="Normal"/>
    <s v="Good"/>
  </r>
  <r>
    <n v="3269"/>
    <n v="22"/>
    <x v="1"/>
    <x v="10"/>
    <x v="0"/>
    <n v="97"/>
    <x v="10"/>
    <x v="2"/>
    <s v="Cyan"/>
    <x v="3"/>
    <n v="2.8"/>
    <s v="No"/>
    <x v="1"/>
    <s v="No"/>
    <n v="5"/>
    <x v="4"/>
    <s v="Every 3 Months"/>
    <n v="0.1"/>
    <n v="87.3"/>
    <n v="97"/>
    <s v="Bank Transfer"/>
    <s v="Normal"/>
    <s v="Poor"/>
  </r>
  <r>
    <n v="3270"/>
    <n v="27"/>
    <x v="1"/>
    <x v="0"/>
    <x v="0"/>
    <n v="60"/>
    <x v="31"/>
    <x v="2"/>
    <s v="Blue"/>
    <x v="0"/>
    <n v="4.9000000000000004"/>
    <s v="No"/>
    <x v="0"/>
    <s v="No"/>
    <n v="25"/>
    <x v="1"/>
    <s v="Monthly"/>
    <n v="0.1"/>
    <n v="54"/>
    <n v="60"/>
    <s v="Cash"/>
    <s v="Normal"/>
    <s v="Good"/>
  </r>
  <r>
    <n v="3271"/>
    <n v="59"/>
    <x v="1"/>
    <x v="20"/>
    <x v="0"/>
    <n v="25"/>
    <x v="26"/>
    <x v="2"/>
    <s v="Indigo"/>
    <x v="0"/>
    <n v="4.7"/>
    <s v="No"/>
    <x v="0"/>
    <s v="No"/>
    <n v="48"/>
    <x v="3"/>
    <s v="Annually"/>
    <n v="0.1"/>
    <n v="22.5"/>
    <n v="25"/>
    <s v="PayPal"/>
    <s v="Normal"/>
    <s v="Good"/>
  </r>
  <r>
    <n v="3272"/>
    <n v="35"/>
    <x v="1"/>
    <x v="20"/>
    <x v="0"/>
    <n v="55"/>
    <x v="22"/>
    <x v="3"/>
    <s v="Magenta"/>
    <x v="1"/>
    <n v="4.4000000000000004"/>
    <s v="No"/>
    <x v="3"/>
    <s v="No"/>
    <n v="30"/>
    <x v="2"/>
    <s v="Weekly"/>
    <n v="0.1"/>
    <n v="49.5"/>
    <n v="55"/>
    <s v="Credit Card"/>
    <s v="Normal"/>
    <s v="Good"/>
  </r>
  <r>
    <n v="3273"/>
    <n v="58"/>
    <x v="1"/>
    <x v="9"/>
    <x v="1"/>
    <n v="99"/>
    <x v="21"/>
    <x v="2"/>
    <s v="Lavender"/>
    <x v="0"/>
    <n v="3.1"/>
    <s v="No"/>
    <x v="2"/>
    <s v="No"/>
    <n v="34"/>
    <x v="3"/>
    <s v="Quarterly"/>
    <n v="0.1"/>
    <n v="89.1"/>
    <n v="99"/>
    <s v="PayPal"/>
    <s v="Normal"/>
    <s v="Good"/>
  </r>
  <r>
    <n v="3274"/>
    <n v="58"/>
    <x v="1"/>
    <x v="22"/>
    <x v="3"/>
    <n v="45"/>
    <x v="22"/>
    <x v="1"/>
    <s v="Orange"/>
    <x v="2"/>
    <n v="2.6"/>
    <s v="No"/>
    <x v="1"/>
    <s v="No"/>
    <n v="34"/>
    <x v="3"/>
    <s v="Every 3 Months"/>
    <n v="0.1"/>
    <n v="40.5"/>
    <n v="45"/>
    <s v="PayPal"/>
    <s v="Normal"/>
    <s v="Poor"/>
  </r>
  <r>
    <n v="3275"/>
    <n v="46"/>
    <x v="1"/>
    <x v="1"/>
    <x v="0"/>
    <n v="20"/>
    <x v="19"/>
    <x v="2"/>
    <s v="Cyan"/>
    <x v="1"/>
    <n v="3.9"/>
    <s v="No"/>
    <x v="5"/>
    <s v="No"/>
    <n v="14"/>
    <x v="1"/>
    <s v="Fortnightly"/>
    <n v="0.1"/>
    <n v="18"/>
    <n v="20"/>
    <s v="Cash"/>
    <s v="Normal"/>
    <s v="Good"/>
  </r>
  <r>
    <n v="3276"/>
    <n v="43"/>
    <x v="1"/>
    <x v="13"/>
    <x v="0"/>
    <n v="88"/>
    <x v="15"/>
    <x v="3"/>
    <s v="Green"/>
    <x v="2"/>
    <n v="2.6"/>
    <s v="No"/>
    <x v="4"/>
    <s v="No"/>
    <n v="2"/>
    <x v="5"/>
    <s v="Weekly"/>
    <n v="0.1"/>
    <n v="79.2"/>
    <n v="88"/>
    <s v="Debit Card"/>
    <s v="Normal"/>
    <s v="Poor"/>
  </r>
  <r>
    <n v="3277"/>
    <n v="39"/>
    <x v="1"/>
    <x v="18"/>
    <x v="3"/>
    <n v="99"/>
    <x v="45"/>
    <x v="2"/>
    <s v="White"/>
    <x v="2"/>
    <n v="4"/>
    <s v="No"/>
    <x v="5"/>
    <s v="No"/>
    <n v="41"/>
    <x v="3"/>
    <s v="Every 3 Months"/>
    <n v="0.1"/>
    <n v="89.1"/>
    <n v="99"/>
    <s v="PayPal"/>
    <s v="Normal"/>
    <s v="Good"/>
  </r>
  <r>
    <n v="3278"/>
    <n v="59"/>
    <x v="1"/>
    <x v="11"/>
    <x v="0"/>
    <n v="86"/>
    <x v="21"/>
    <x v="2"/>
    <s v="Blue"/>
    <x v="1"/>
    <n v="4.9000000000000004"/>
    <s v="No"/>
    <x v="5"/>
    <s v="No"/>
    <n v="3"/>
    <x v="2"/>
    <s v="Monthly"/>
    <n v="0.1"/>
    <n v="77.400000000000006"/>
    <n v="86"/>
    <s v="Credit Card"/>
    <s v="Normal"/>
    <s v="Good"/>
  </r>
  <r>
    <n v="3279"/>
    <n v="59"/>
    <x v="1"/>
    <x v="10"/>
    <x v="0"/>
    <n v="70"/>
    <x v="6"/>
    <x v="2"/>
    <s v="Black"/>
    <x v="2"/>
    <n v="3.3"/>
    <s v="No"/>
    <x v="4"/>
    <s v="No"/>
    <n v="18"/>
    <x v="4"/>
    <s v="Weekly"/>
    <n v="0.1"/>
    <n v="63"/>
    <n v="70"/>
    <s v="Bank Transfer"/>
    <s v="Normal"/>
    <s v="Good"/>
  </r>
  <r>
    <n v="3280"/>
    <n v="59"/>
    <x v="1"/>
    <x v="19"/>
    <x v="3"/>
    <n v="50"/>
    <x v="5"/>
    <x v="1"/>
    <s v="Red"/>
    <x v="3"/>
    <n v="3"/>
    <s v="No"/>
    <x v="0"/>
    <s v="No"/>
    <n v="1"/>
    <x v="5"/>
    <s v="Fortnightly"/>
    <n v="0.1"/>
    <n v="45"/>
    <n v="50"/>
    <s v="Debit Card"/>
    <s v="Normal"/>
    <s v="Good"/>
  </r>
  <r>
    <n v="3281"/>
    <n v="45"/>
    <x v="1"/>
    <x v="8"/>
    <x v="3"/>
    <n v="57"/>
    <x v="14"/>
    <x v="0"/>
    <s v="Red"/>
    <x v="0"/>
    <n v="2.7"/>
    <s v="No"/>
    <x v="2"/>
    <s v="No"/>
    <n v="5"/>
    <x v="3"/>
    <s v="Monthly"/>
    <n v="0.1"/>
    <n v="51.3"/>
    <n v="57"/>
    <s v="PayPal"/>
    <s v="Normal"/>
    <s v="Poor"/>
  </r>
  <r>
    <n v="3282"/>
    <n v="27"/>
    <x v="1"/>
    <x v="13"/>
    <x v="0"/>
    <n v="69"/>
    <x v="4"/>
    <x v="0"/>
    <s v="Gold"/>
    <x v="0"/>
    <n v="3.1"/>
    <s v="No"/>
    <x v="1"/>
    <s v="No"/>
    <n v="41"/>
    <x v="4"/>
    <s v="Annually"/>
    <n v="0.1"/>
    <n v="62.1"/>
    <n v="69"/>
    <s v="Bank Transfer"/>
    <s v="Normal"/>
    <s v="Good"/>
  </r>
  <r>
    <n v="3283"/>
    <n v="24"/>
    <x v="1"/>
    <x v="17"/>
    <x v="0"/>
    <n v="94"/>
    <x v="18"/>
    <x v="2"/>
    <s v="Red"/>
    <x v="3"/>
    <n v="4.8"/>
    <s v="No"/>
    <x v="2"/>
    <s v="No"/>
    <n v="5"/>
    <x v="2"/>
    <s v="Monthly"/>
    <n v="0.1"/>
    <n v="84.6"/>
    <n v="94"/>
    <s v="Credit Card"/>
    <s v="Normal"/>
    <s v="Good"/>
  </r>
  <r>
    <n v="3284"/>
    <n v="47"/>
    <x v="1"/>
    <x v="14"/>
    <x v="2"/>
    <n v="24"/>
    <x v="17"/>
    <x v="0"/>
    <s v="Purple"/>
    <x v="1"/>
    <n v="2.9"/>
    <s v="No"/>
    <x v="0"/>
    <s v="No"/>
    <n v="10"/>
    <x v="5"/>
    <s v="Every 3 Months"/>
    <n v="0.1"/>
    <n v="21.6"/>
    <n v="24"/>
    <s v="Debit Card"/>
    <s v="Normal"/>
    <s v="Poor"/>
  </r>
  <r>
    <n v="3285"/>
    <n v="70"/>
    <x v="1"/>
    <x v="18"/>
    <x v="3"/>
    <n v="79"/>
    <x v="0"/>
    <x v="0"/>
    <s v="White"/>
    <x v="1"/>
    <n v="4.5"/>
    <s v="No"/>
    <x v="4"/>
    <s v="No"/>
    <n v="20"/>
    <x v="0"/>
    <s v="Annually"/>
    <n v="0.1"/>
    <n v="71.099999999999994"/>
    <n v="79"/>
    <s v="Venmo"/>
    <s v="Normal"/>
    <s v="Good"/>
  </r>
  <r>
    <n v="3286"/>
    <n v="58"/>
    <x v="1"/>
    <x v="19"/>
    <x v="3"/>
    <n v="31"/>
    <x v="11"/>
    <x v="3"/>
    <s v="Magenta"/>
    <x v="3"/>
    <n v="4.5999999999999996"/>
    <s v="No"/>
    <x v="1"/>
    <s v="No"/>
    <n v="11"/>
    <x v="1"/>
    <s v="Weekly"/>
    <n v="0.1"/>
    <n v="27.9"/>
    <n v="31"/>
    <s v="Cash"/>
    <s v="Normal"/>
    <s v="Good"/>
  </r>
  <r>
    <n v="3287"/>
    <n v="45"/>
    <x v="1"/>
    <x v="14"/>
    <x v="2"/>
    <n v="67"/>
    <x v="26"/>
    <x v="0"/>
    <s v="Pink"/>
    <x v="0"/>
    <n v="5"/>
    <s v="No"/>
    <x v="0"/>
    <s v="No"/>
    <n v="4"/>
    <x v="0"/>
    <s v="Fortnightly"/>
    <n v="0.1"/>
    <n v="60.3"/>
    <n v="67"/>
    <s v="Venmo"/>
    <s v="Normal"/>
    <s v="Good"/>
  </r>
  <r>
    <n v="3288"/>
    <n v="24"/>
    <x v="1"/>
    <x v="11"/>
    <x v="0"/>
    <n v="63"/>
    <x v="8"/>
    <x v="0"/>
    <s v="Black"/>
    <x v="1"/>
    <n v="4.3"/>
    <s v="No"/>
    <x v="4"/>
    <s v="No"/>
    <n v="38"/>
    <x v="2"/>
    <s v="Weekly"/>
    <n v="0.1"/>
    <n v="56.7"/>
    <n v="63"/>
    <s v="Credit Card"/>
    <s v="Normal"/>
    <s v="Good"/>
  </r>
  <r>
    <n v="3289"/>
    <n v="67"/>
    <x v="1"/>
    <x v="8"/>
    <x v="3"/>
    <n v="61"/>
    <x v="36"/>
    <x v="3"/>
    <s v="White"/>
    <x v="1"/>
    <n v="4.9000000000000004"/>
    <s v="No"/>
    <x v="2"/>
    <s v="No"/>
    <n v="19"/>
    <x v="2"/>
    <s v="Bi-Weekly"/>
    <n v="0.1"/>
    <n v="54.9"/>
    <n v="61"/>
    <s v="Credit Card"/>
    <s v="Normal"/>
    <s v="Good"/>
  </r>
  <r>
    <n v="3290"/>
    <n v="31"/>
    <x v="1"/>
    <x v="21"/>
    <x v="3"/>
    <n v="50"/>
    <x v="6"/>
    <x v="2"/>
    <s v="Maroon"/>
    <x v="2"/>
    <n v="4"/>
    <s v="No"/>
    <x v="4"/>
    <s v="No"/>
    <n v="16"/>
    <x v="0"/>
    <s v="Every 3 Months"/>
    <n v="0.1"/>
    <n v="45"/>
    <n v="50"/>
    <s v="Venmo"/>
    <s v="Normal"/>
    <s v="Good"/>
  </r>
  <r>
    <n v="3291"/>
    <n v="52"/>
    <x v="1"/>
    <x v="7"/>
    <x v="2"/>
    <n v="82"/>
    <x v="25"/>
    <x v="0"/>
    <s v="Black"/>
    <x v="1"/>
    <n v="3.1"/>
    <s v="No"/>
    <x v="1"/>
    <s v="No"/>
    <n v="2"/>
    <x v="3"/>
    <s v="Monthly"/>
    <n v="0.1"/>
    <n v="73.8"/>
    <n v="82"/>
    <s v="PayPal"/>
    <s v="Normal"/>
    <s v="Good"/>
  </r>
  <r>
    <n v="3292"/>
    <n v="29"/>
    <x v="1"/>
    <x v="22"/>
    <x v="3"/>
    <n v="51"/>
    <x v="35"/>
    <x v="0"/>
    <s v="Olive"/>
    <x v="3"/>
    <n v="2.6"/>
    <s v="No"/>
    <x v="4"/>
    <s v="No"/>
    <n v="11"/>
    <x v="1"/>
    <s v="Monthly"/>
    <n v="0.1"/>
    <n v="45.9"/>
    <n v="51"/>
    <s v="Cash"/>
    <s v="Normal"/>
    <s v="Poor"/>
  </r>
  <r>
    <n v="3293"/>
    <n v="62"/>
    <x v="1"/>
    <x v="8"/>
    <x v="3"/>
    <n v="23"/>
    <x v="9"/>
    <x v="0"/>
    <s v="Gray"/>
    <x v="1"/>
    <n v="4.9000000000000004"/>
    <s v="No"/>
    <x v="3"/>
    <s v="No"/>
    <n v="18"/>
    <x v="4"/>
    <s v="Fortnightly"/>
    <n v="0.1"/>
    <n v="20.7"/>
    <n v="23"/>
    <s v="Bank Transfer"/>
    <s v="Normal"/>
    <s v="Good"/>
  </r>
  <r>
    <n v="3294"/>
    <n v="19"/>
    <x v="1"/>
    <x v="7"/>
    <x v="2"/>
    <n v="91"/>
    <x v="8"/>
    <x v="2"/>
    <s v="Gold"/>
    <x v="1"/>
    <n v="3.5"/>
    <s v="No"/>
    <x v="4"/>
    <s v="No"/>
    <n v="47"/>
    <x v="2"/>
    <s v="Fortnightly"/>
    <n v="0.1"/>
    <n v="81.900000000000006"/>
    <n v="91"/>
    <s v="Credit Card"/>
    <s v="Normal"/>
    <s v="Good"/>
  </r>
  <r>
    <n v="3295"/>
    <n v="62"/>
    <x v="1"/>
    <x v="1"/>
    <x v="0"/>
    <n v="60"/>
    <x v="36"/>
    <x v="1"/>
    <s v="Magenta"/>
    <x v="1"/>
    <n v="4.5"/>
    <s v="No"/>
    <x v="5"/>
    <s v="No"/>
    <n v="15"/>
    <x v="4"/>
    <s v="Bi-Weekly"/>
    <n v="0.1"/>
    <n v="54"/>
    <n v="60"/>
    <s v="Bank Transfer"/>
    <s v="Normal"/>
    <s v="Good"/>
  </r>
  <r>
    <n v="3296"/>
    <n v="70"/>
    <x v="1"/>
    <x v="0"/>
    <x v="0"/>
    <n v="34"/>
    <x v="8"/>
    <x v="1"/>
    <s v="Lavender"/>
    <x v="2"/>
    <n v="2.8"/>
    <s v="No"/>
    <x v="2"/>
    <s v="No"/>
    <n v="15"/>
    <x v="1"/>
    <s v="Weekly"/>
    <n v="0.1"/>
    <n v="30.6"/>
    <n v="34"/>
    <s v="Cash"/>
    <s v="Normal"/>
    <s v="Poor"/>
  </r>
  <r>
    <n v="3297"/>
    <n v="20"/>
    <x v="1"/>
    <x v="0"/>
    <x v="0"/>
    <n v="23"/>
    <x v="29"/>
    <x v="2"/>
    <s v="Green"/>
    <x v="1"/>
    <n v="4.2"/>
    <s v="No"/>
    <x v="2"/>
    <s v="No"/>
    <n v="47"/>
    <x v="0"/>
    <s v="Quarterly"/>
    <n v="0.1"/>
    <n v="20.7"/>
    <n v="23"/>
    <s v="Venmo"/>
    <s v="Normal"/>
    <s v="Good"/>
  </r>
  <r>
    <n v="3298"/>
    <n v="67"/>
    <x v="1"/>
    <x v="22"/>
    <x v="3"/>
    <n v="82"/>
    <x v="8"/>
    <x v="2"/>
    <s v="Violet"/>
    <x v="3"/>
    <n v="4.0999999999999996"/>
    <s v="No"/>
    <x v="1"/>
    <s v="No"/>
    <n v="47"/>
    <x v="3"/>
    <s v="Monthly"/>
    <n v="0.1"/>
    <n v="73.8"/>
    <n v="82"/>
    <s v="PayPal"/>
    <s v="Normal"/>
    <s v="Good"/>
  </r>
  <r>
    <n v="3299"/>
    <n v="65"/>
    <x v="1"/>
    <x v="14"/>
    <x v="2"/>
    <n v="73"/>
    <x v="35"/>
    <x v="2"/>
    <s v="Brown"/>
    <x v="3"/>
    <n v="3.5"/>
    <s v="No"/>
    <x v="0"/>
    <s v="No"/>
    <n v="6"/>
    <x v="4"/>
    <s v="Every 3 Months"/>
    <n v="0.1"/>
    <n v="65.7"/>
    <n v="73"/>
    <s v="Bank Transfer"/>
    <s v="Normal"/>
    <s v="Good"/>
  </r>
  <r>
    <n v="3300"/>
    <n v="45"/>
    <x v="1"/>
    <x v="6"/>
    <x v="0"/>
    <n v="32"/>
    <x v="45"/>
    <x v="0"/>
    <s v="Teal"/>
    <x v="1"/>
    <n v="4"/>
    <s v="No"/>
    <x v="4"/>
    <s v="No"/>
    <n v="18"/>
    <x v="0"/>
    <s v="Monthly"/>
    <n v="0.1"/>
    <n v="28.8"/>
    <n v="32"/>
    <s v="Venmo"/>
    <s v="Normal"/>
    <s v="Good"/>
  </r>
  <r>
    <n v="3301"/>
    <n v="26"/>
    <x v="1"/>
    <x v="19"/>
    <x v="3"/>
    <n v="80"/>
    <x v="19"/>
    <x v="2"/>
    <s v="Charcoal"/>
    <x v="1"/>
    <n v="4"/>
    <s v="No"/>
    <x v="0"/>
    <s v="No"/>
    <n v="40"/>
    <x v="4"/>
    <s v="Bi-Weekly"/>
    <n v="0.1"/>
    <n v="72"/>
    <n v="80"/>
    <s v="Bank Transfer"/>
    <s v="Normal"/>
    <s v="Good"/>
  </r>
  <r>
    <n v="3302"/>
    <n v="36"/>
    <x v="1"/>
    <x v="13"/>
    <x v="0"/>
    <n v="58"/>
    <x v="19"/>
    <x v="3"/>
    <s v="Charcoal"/>
    <x v="2"/>
    <n v="2.5"/>
    <s v="No"/>
    <x v="1"/>
    <s v="No"/>
    <n v="31"/>
    <x v="2"/>
    <s v="Fortnightly"/>
    <n v="0.1"/>
    <n v="52.2"/>
    <n v="58"/>
    <s v="Credit Card"/>
    <s v="Normal"/>
    <s v="Poor"/>
  </r>
  <r>
    <n v="3303"/>
    <n v="36"/>
    <x v="1"/>
    <x v="0"/>
    <x v="0"/>
    <n v="82"/>
    <x v="15"/>
    <x v="3"/>
    <s v="Beige"/>
    <x v="0"/>
    <n v="4.2"/>
    <s v="No"/>
    <x v="3"/>
    <s v="No"/>
    <n v="31"/>
    <x v="0"/>
    <s v="Bi-Weekly"/>
    <n v="0.1"/>
    <n v="73.8"/>
    <n v="82"/>
    <s v="Venmo"/>
    <s v="Normal"/>
    <s v="Good"/>
  </r>
  <r>
    <n v="3304"/>
    <n v="20"/>
    <x v="1"/>
    <x v="22"/>
    <x v="3"/>
    <n v="60"/>
    <x v="16"/>
    <x v="1"/>
    <s v="Turquoise"/>
    <x v="2"/>
    <n v="3.4"/>
    <s v="No"/>
    <x v="2"/>
    <s v="No"/>
    <n v="4"/>
    <x v="2"/>
    <s v="Fortnightly"/>
    <n v="0.1"/>
    <n v="54"/>
    <n v="60"/>
    <s v="Credit Card"/>
    <s v="Normal"/>
    <s v="Good"/>
  </r>
  <r>
    <n v="3305"/>
    <n v="30"/>
    <x v="1"/>
    <x v="8"/>
    <x v="3"/>
    <n v="79"/>
    <x v="16"/>
    <x v="3"/>
    <s v="Orange"/>
    <x v="3"/>
    <n v="4.8"/>
    <s v="No"/>
    <x v="2"/>
    <s v="No"/>
    <n v="36"/>
    <x v="4"/>
    <s v="Every 3 Months"/>
    <n v="0.1"/>
    <n v="71.099999999999994"/>
    <n v="79"/>
    <s v="Bank Transfer"/>
    <s v="Normal"/>
    <s v="Good"/>
  </r>
  <r>
    <n v="3306"/>
    <n v="34"/>
    <x v="1"/>
    <x v="15"/>
    <x v="0"/>
    <n v="41"/>
    <x v="43"/>
    <x v="0"/>
    <s v="Cyan"/>
    <x v="2"/>
    <n v="4.9000000000000004"/>
    <s v="No"/>
    <x v="3"/>
    <s v="No"/>
    <n v="31"/>
    <x v="3"/>
    <s v="Bi-Weekly"/>
    <n v="0.1"/>
    <n v="36.9"/>
    <n v="41"/>
    <s v="PayPal"/>
    <s v="Normal"/>
    <s v="Good"/>
  </r>
  <r>
    <n v="3307"/>
    <n v="63"/>
    <x v="1"/>
    <x v="14"/>
    <x v="2"/>
    <n v="39"/>
    <x v="24"/>
    <x v="0"/>
    <s v="Orange"/>
    <x v="2"/>
    <n v="3.6"/>
    <s v="No"/>
    <x v="5"/>
    <s v="No"/>
    <n v="6"/>
    <x v="0"/>
    <s v="Fortnightly"/>
    <n v="0.1"/>
    <n v="35.1"/>
    <n v="39"/>
    <s v="Venmo"/>
    <s v="Normal"/>
    <s v="Good"/>
  </r>
  <r>
    <n v="3308"/>
    <n v="18"/>
    <x v="1"/>
    <x v="18"/>
    <x v="3"/>
    <n v="36"/>
    <x v="38"/>
    <x v="1"/>
    <s v="Green"/>
    <x v="0"/>
    <n v="4"/>
    <s v="No"/>
    <x v="5"/>
    <s v="No"/>
    <n v="1"/>
    <x v="1"/>
    <s v="Monthly"/>
    <n v="0.1"/>
    <n v="32.4"/>
    <n v="36"/>
    <s v="Cash"/>
    <s v="Normal"/>
    <s v="Good"/>
  </r>
  <r>
    <n v="3309"/>
    <n v="55"/>
    <x v="1"/>
    <x v="2"/>
    <x v="0"/>
    <n v="70"/>
    <x v="40"/>
    <x v="2"/>
    <s v="Pink"/>
    <x v="3"/>
    <n v="2.6"/>
    <s v="No"/>
    <x v="0"/>
    <s v="No"/>
    <n v="29"/>
    <x v="1"/>
    <s v="Monthly"/>
    <n v="0.1"/>
    <n v="63"/>
    <n v="70"/>
    <s v="Cash"/>
    <s v="Normal"/>
    <s v="Poor"/>
  </r>
  <r>
    <n v="3310"/>
    <n v="48"/>
    <x v="1"/>
    <x v="8"/>
    <x v="3"/>
    <n v="47"/>
    <x v="2"/>
    <x v="2"/>
    <s v="Blue"/>
    <x v="2"/>
    <n v="3.1"/>
    <s v="No"/>
    <x v="5"/>
    <s v="No"/>
    <n v="19"/>
    <x v="3"/>
    <s v="Monthly"/>
    <n v="0.1"/>
    <n v="42.3"/>
    <n v="47"/>
    <s v="PayPal"/>
    <s v="Normal"/>
    <s v="Good"/>
  </r>
  <r>
    <n v="3311"/>
    <n v="45"/>
    <x v="1"/>
    <x v="14"/>
    <x v="2"/>
    <n v="27"/>
    <x v="44"/>
    <x v="2"/>
    <s v="Pink"/>
    <x v="0"/>
    <n v="3.6"/>
    <s v="No"/>
    <x v="1"/>
    <s v="No"/>
    <n v="12"/>
    <x v="3"/>
    <s v="Fortnightly"/>
    <n v="0.1"/>
    <n v="24.3"/>
    <n v="27"/>
    <s v="PayPal"/>
    <s v="Normal"/>
    <s v="Good"/>
  </r>
  <r>
    <n v="3312"/>
    <n v="29"/>
    <x v="1"/>
    <x v="19"/>
    <x v="3"/>
    <n v="52"/>
    <x v="20"/>
    <x v="0"/>
    <s v="Blue"/>
    <x v="2"/>
    <n v="4"/>
    <s v="No"/>
    <x v="0"/>
    <s v="No"/>
    <n v="18"/>
    <x v="4"/>
    <s v="Annually"/>
    <n v="0.1"/>
    <n v="46.8"/>
    <n v="52"/>
    <s v="Bank Transfer"/>
    <s v="Normal"/>
    <s v="Good"/>
  </r>
  <r>
    <n v="3313"/>
    <n v="55"/>
    <x v="1"/>
    <x v="4"/>
    <x v="1"/>
    <n v="75"/>
    <x v="7"/>
    <x v="0"/>
    <s v="Black"/>
    <x v="2"/>
    <n v="3.9"/>
    <s v="No"/>
    <x v="2"/>
    <s v="No"/>
    <n v="45"/>
    <x v="1"/>
    <s v="Quarterly"/>
    <n v="0.1"/>
    <n v="67.5"/>
    <n v="75"/>
    <s v="Cash"/>
    <s v="Normal"/>
    <s v="Good"/>
  </r>
  <r>
    <n v="3314"/>
    <n v="55"/>
    <x v="1"/>
    <x v="19"/>
    <x v="3"/>
    <n v="30"/>
    <x v="23"/>
    <x v="3"/>
    <s v="Black"/>
    <x v="3"/>
    <n v="3.9"/>
    <s v="No"/>
    <x v="0"/>
    <s v="No"/>
    <n v="45"/>
    <x v="2"/>
    <s v="Monthly"/>
    <n v="0.1"/>
    <n v="27"/>
    <n v="30"/>
    <s v="Credit Card"/>
    <s v="Normal"/>
    <s v="Good"/>
  </r>
  <r>
    <n v="3315"/>
    <n v="55"/>
    <x v="1"/>
    <x v="20"/>
    <x v="0"/>
    <n v="94"/>
    <x v="23"/>
    <x v="2"/>
    <s v="Violet"/>
    <x v="1"/>
    <n v="3.3"/>
    <s v="No"/>
    <x v="3"/>
    <s v="No"/>
    <n v="8"/>
    <x v="2"/>
    <s v="Quarterly"/>
    <n v="0.1"/>
    <n v="84.6"/>
    <n v="94"/>
    <s v="Credit Card"/>
    <s v="Normal"/>
    <s v="Good"/>
  </r>
  <r>
    <n v="3316"/>
    <n v="48"/>
    <x v="1"/>
    <x v="18"/>
    <x v="3"/>
    <n v="68"/>
    <x v="0"/>
    <x v="1"/>
    <s v="Gold"/>
    <x v="2"/>
    <n v="2.9"/>
    <s v="No"/>
    <x v="3"/>
    <s v="No"/>
    <n v="4"/>
    <x v="3"/>
    <s v="Every 3 Months"/>
    <n v="0.1"/>
    <n v="61.2"/>
    <n v="68"/>
    <s v="PayPal"/>
    <s v="Normal"/>
    <s v="Poor"/>
  </r>
  <r>
    <n v="3317"/>
    <n v="42"/>
    <x v="1"/>
    <x v="20"/>
    <x v="0"/>
    <n v="45"/>
    <x v="35"/>
    <x v="2"/>
    <s v="Olive"/>
    <x v="2"/>
    <n v="3.1"/>
    <s v="No"/>
    <x v="1"/>
    <s v="No"/>
    <n v="5"/>
    <x v="5"/>
    <s v="Fortnightly"/>
    <n v="0.1"/>
    <n v="40.5"/>
    <n v="45"/>
    <s v="Debit Card"/>
    <s v="Normal"/>
    <s v="Good"/>
  </r>
  <r>
    <n v="3318"/>
    <n v="21"/>
    <x v="1"/>
    <x v="19"/>
    <x v="3"/>
    <n v="67"/>
    <x v="17"/>
    <x v="3"/>
    <s v="Pink"/>
    <x v="2"/>
    <n v="4.7"/>
    <s v="No"/>
    <x v="3"/>
    <s v="No"/>
    <n v="30"/>
    <x v="1"/>
    <s v="Quarterly"/>
    <n v="0.1"/>
    <n v="60.3"/>
    <n v="67"/>
    <s v="Cash"/>
    <s v="Normal"/>
    <s v="Good"/>
  </r>
  <r>
    <n v="3319"/>
    <n v="45"/>
    <x v="1"/>
    <x v="14"/>
    <x v="2"/>
    <n v="46"/>
    <x v="25"/>
    <x v="2"/>
    <s v="Olive"/>
    <x v="2"/>
    <n v="3.9"/>
    <s v="No"/>
    <x v="1"/>
    <s v="No"/>
    <n v="15"/>
    <x v="3"/>
    <s v="Monthly"/>
    <n v="0.1"/>
    <n v="41.4"/>
    <n v="46"/>
    <s v="PayPal"/>
    <s v="Normal"/>
    <s v="Good"/>
  </r>
  <r>
    <n v="3320"/>
    <n v="23"/>
    <x v="1"/>
    <x v="6"/>
    <x v="0"/>
    <n v="31"/>
    <x v="25"/>
    <x v="2"/>
    <s v="Indigo"/>
    <x v="2"/>
    <n v="4.3"/>
    <s v="No"/>
    <x v="2"/>
    <s v="No"/>
    <n v="17"/>
    <x v="2"/>
    <s v="Every 3 Months"/>
    <n v="0.1"/>
    <n v="27.9"/>
    <n v="31"/>
    <s v="Credit Card"/>
    <s v="Normal"/>
    <s v="Good"/>
  </r>
  <r>
    <n v="3321"/>
    <n v="66"/>
    <x v="1"/>
    <x v="0"/>
    <x v="0"/>
    <n v="44"/>
    <x v="26"/>
    <x v="3"/>
    <s v="Silver"/>
    <x v="3"/>
    <n v="4.2"/>
    <s v="No"/>
    <x v="4"/>
    <s v="No"/>
    <n v="45"/>
    <x v="1"/>
    <s v="Every 3 Months"/>
    <n v="0.1"/>
    <n v="39.6"/>
    <n v="44"/>
    <s v="Cash"/>
    <s v="Normal"/>
    <s v="Good"/>
  </r>
  <r>
    <n v="3322"/>
    <n v="32"/>
    <x v="1"/>
    <x v="7"/>
    <x v="2"/>
    <n v="100"/>
    <x v="1"/>
    <x v="1"/>
    <s v="Charcoal"/>
    <x v="0"/>
    <n v="4.3"/>
    <s v="No"/>
    <x v="2"/>
    <s v="No"/>
    <n v="3"/>
    <x v="0"/>
    <s v="Annually"/>
    <n v="0.1"/>
    <n v="90"/>
    <n v="100"/>
    <s v="Venmo"/>
    <s v="Normal"/>
    <s v="Good"/>
  </r>
  <r>
    <n v="3323"/>
    <n v="52"/>
    <x v="1"/>
    <x v="1"/>
    <x v="0"/>
    <n v="92"/>
    <x v="27"/>
    <x v="3"/>
    <s v="Orange"/>
    <x v="0"/>
    <n v="4.5999999999999996"/>
    <s v="No"/>
    <x v="2"/>
    <s v="No"/>
    <n v="43"/>
    <x v="3"/>
    <s v="Weekly"/>
    <n v="0.1"/>
    <n v="82.8"/>
    <n v="92"/>
    <s v="PayPal"/>
    <s v="Normal"/>
    <s v="Good"/>
  </r>
  <r>
    <n v="3324"/>
    <n v="54"/>
    <x v="1"/>
    <x v="8"/>
    <x v="3"/>
    <n v="78"/>
    <x v="25"/>
    <x v="2"/>
    <s v="Yellow"/>
    <x v="0"/>
    <n v="3.8"/>
    <s v="No"/>
    <x v="1"/>
    <s v="No"/>
    <n v="4"/>
    <x v="2"/>
    <s v="Monthly"/>
    <n v="0.1"/>
    <n v="70.2"/>
    <n v="78"/>
    <s v="Credit Card"/>
    <s v="Normal"/>
    <s v="Good"/>
  </r>
  <r>
    <n v="3325"/>
    <n v="37"/>
    <x v="1"/>
    <x v="17"/>
    <x v="0"/>
    <n v="32"/>
    <x v="9"/>
    <x v="1"/>
    <s v="Red"/>
    <x v="3"/>
    <n v="3.3"/>
    <s v="No"/>
    <x v="3"/>
    <s v="No"/>
    <n v="41"/>
    <x v="0"/>
    <s v="Weekly"/>
    <n v="0.1"/>
    <n v="28.8"/>
    <n v="32"/>
    <s v="Venmo"/>
    <s v="Normal"/>
    <s v="Good"/>
  </r>
  <r>
    <n v="3326"/>
    <n v="29"/>
    <x v="1"/>
    <x v="3"/>
    <x v="1"/>
    <n v="97"/>
    <x v="29"/>
    <x v="2"/>
    <s v="Maroon"/>
    <x v="3"/>
    <n v="3.7"/>
    <s v="No"/>
    <x v="4"/>
    <s v="No"/>
    <n v="16"/>
    <x v="0"/>
    <s v="Monthly"/>
    <n v="0.1"/>
    <n v="87.3"/>
    <n v="97"/>
    <s v="Venmo"/>
    <s v="Normal"/>
    <s v="Good"/>
  </r>
  <r>
    <n v="3327"/>
    <n v="47"/>
    <x v="1"/>
    <x v="24"/>
    <x v="3"/>
    <n v="95"/>
    <x v="25"/>
    <x v="2"/>
    <s v="Magenta"/>
    <x v="2"/>
    <n v="4.3"/>
    <s v="No"/>
    <x v="3"/>
    <s v="No"/>
    <n v="10"/>
    <x v="5"/>
    <s v="Annually"/>
    <n v="0.1"/>
    <n v="85.5"/>
    <n v="95"/>
    <s v="Debit Card"/>
    <s v="Normal"/>
    <s v="Good"/>
  </r>
  <r>
    <n v="3328"/>
    <n v="47"/>
    <x v="1"/>
    <x v="6"/>
    <x v="0"/>
    <n v="64"/>
    <x v="39"/>
    <x v="2"/>
    <s v="Black"/>
    <x v="1"/>
    <n v="4.0999999999999996"/>
    <s v="No"/>
    <x v="0"/>
    <s v="No"/>
    <n v="2"/>
    <x v="5"/>
    <s v="Quarterly"/>
    <n v="0.1"/>
    <n v="57.6"/>
    <n v="64"/>
    <s v="Debit Card"/>
    <s v="Normal"/>
    <s v="Good"/>
  </r>
  <r>
    <n v="3329"/>
    <n v="42"/>
    <x v="1"/>
    <x v="3"/>
    <x v="1"/>
    <n v="35"/>
    <x v="48"/>
    <x v="2"/>
    <s v="Violet"/>
    <x v="1"/>
    <n v="3.2"/>
    <s v="No"/>
    <x v="1"/>
    <s v="No"/>
    <n v="11"/>
    <x v="1"/>
    <s v="Bi-Weekly"/>
    <n v="0.1"/>
    <n v="31.5"/>
    <n v="35"/>
    <s v="Cash"/>
    <s v="Normal"/>
    <s v="Good"/>
  </r>
  <r>
    <n v="3330"/>
    <n v="34"/>
    <x v="1"/>
    <x v="21"/>
    <x v="3"/>
    <n v="54"/>
    <x v="32"/>
    <x v="2"/>
    <s v="Gray"/>
    <x v="0"/>
    <n v="3.8"/>
    <s v="No"/>
    <x v="0"/>
    <s v="No"/>
    <n v="1"/>
    <x v="5"/>
    <s v="Bi-Weekly"/>
    <n v="0.1"/>
    <n v="48.6"/>
    <n v="54"/>
    <s v="Debit Card"/>
    <s v="Normal"/>
    <s v="Good"/>
  </r>
  <r>
    <n v="3331"/>
    <n v="38"/>
    <x v="1"/>
    <x v="4"/>
    <x v="1"/>
    <n v="96"/>
    <x v="9"/>
    <x v="2"/>
    <s v="Black"/>
    <x v="1"/>
    <n v="3.2"/>
    <s v="No"/>
    <x v="4"/>
    <s v="No"/>
    <n v="41"/>
    <x v="4"/>
    <s v="Quarterly"/>
    <n v="0.1"/>
    <n v="86.4"/>
    <n v="96"/>
    <s v="Bank Transfer"/>
    <s v="Normal"/>
    <s v="Good"/>
  </r>
  <r>
    <n v="3332"/>
    <n v="55"/>
    <x v="1"/>
    <x v="12"/>
    <x v="3"/>
    <n v="58"/>
    <x v="18"/>
    <x v="2"/>
    <s v="Pink"/>
    <x v="2"/>
    <n v="3.5"/>
    <s v="No"/>
    <x v="1"/>
    <s v="No"/>
    <n v="39"/>
    <x v="3"/>
    <s v="Quarterly"/>
    <n v="0.1"/>
    <n v="52.2"/>
    <n v="58"/>
    <s v="PayPal"/>
    <s v="Normal"/>
    <s v="Good"/>
  </r>
  <r>
    <n v="3333"/>
    <n v="27"/>
    <x v="1"/>
    <x v="17"/>
    <x v="0"/>
    <n v="23"/>
    <x v="47"/>
    <x v="2"/>
    <s v="Silver"/>
    <x v="2"/>
    <n v="3.1"/>
    <s v="No"/>
    <x v="4"/>
    <s v="No"/>
    <n v="1"/>
    <x v="3"/>
    <s v="Bi-Weekly"/>
    <n v="0.1"/>
    <n v="20.7"/>
    <n v="23"/>
    <s v="PayPal"/>
    <s v="Normal"/>
    <s v="Good"/>
  </r>
  <r>
    <n v="3334"/>
    <n v="55"/>
    <x v="1"/>
    <x v="2"/>
    <x v="0"/>
    <n v="35"/>
    <x v="46"/>
    <x v="2"/>
    <s v="Violet"/>
    <x v="1"/>
    <n v="4.2"/>
    <s v="No"/>
    <x v="0"/>
    <s v="No"/>
    <n v="3"/>
    <x v="3"/>
    <s v="Monthly"/>
    <n v="0.1"/>
    <n v="31.5"/>
    <n v="35"/>
    <s v="PayPal"/>
    <s v="Normal"/>
    <s v="Good"/>
  </r>
  <r>
    <n v="3335"/>
    <n v="66"/>
    <x v="1"/>
    <x v="5"/>
    <x v="0"/>
    <n v="23"/>
    <x v="18"/>
    <x v="2"/>
    <s v="Beige"/>
    <x v="2"/>
    <n v="3.4"/>
    <s v="No"/>
    <x v="1"/>
    <s v="No"/>
    <n v="21"/>
    <x v="2"/>
    <s v="Annually"/>
    <n v="0.1"/>
    <n v="20.7"/>
    <n v="23"/>
    <s v="Credit Card"/>
    <s v="Normal"/>
    <s v="Good"/>
  </r>
  <r>
    <n v="3336"/>
    <n v="44"/>
    <x v="1"/>
    <x v="19"/>
    <x v="3"/>
    <n v="94"/>
    <x v="21"/>
    <x v="3"/>
    <s v="Cyan"/>
    <x v="0"/>
    <n v="3.5"/>
    <s v="No"/>
    <x v="0"/>
    <s v="No"/>
    <n v="48"/>
    <x v="4"/>
    <s v="Quarterly"/>
    <n v="0.1"/>
    <n v="84.6"/>
    <n v="94"/>
    <s v="Bank Transfer"/>
    <s v="Normal"/>
    <s v="Good"/>
  </r>
  <r>
    <n v="3337"/>
    <n v="39"/>
    <x v="1"/>
    <x v="0"/>
    <x v="0"/>
    <n v="45"/>
    <x v="6"/>
    <x v="2"/>
    <s v="Brown"/>
    <x v="3"/>
    <n v="4"/>
    <s v="No"/>
    <x v="1"/>
    <s v="No"/>
    <n v="24"/>
    <x v="5"/>
    <s v="Annually"/>
    <n v="0.1"/>
    <n v="40.5"/>
    <n v="45"/>
    <s v="Debit Card"/>
    <s v="Normal"/>
    <s v="Good"/>
  </r>
  <r>
    <n v="3338"/>
    <n v="23"/>
    <x v="1"/>
    <x v="14"/>
    <x v="2"/>
    <n v="23"/>
    <x v="28"/>
    <x v="0"/>
    <s v="Blue"/>
    <x v="0"/>
    <n v="4.4000000000000004"/>
    <s v="No"/>
    <x v="4"/>
    <s v="No"/>
    <n v="45"/>
    <x v="4"/>
    <s v="Bi-Weekly"/>
    <n v="0.1"/>
    <n v="20.7"/>
    <n v="23"/>
    <s v="Bank Transfer"/>
    <s v="Normal"/>
    <s v="Good"/>
  </r>
  <r>
    <n v="3339"/>
    <n v="29"/>
    <x v="1"/>
    <x v="11"/>
    <x v="0"/>
    <n v="94"/>
    <x v="46"/>
    <x v="0"/>
    <s v="White"/>
    <x v="0"/>
    <n v="2.9"/>
    <s v="No"/>
    <x v="4"/>
    <s v="No"/>
    <n v="46"/>
    <x v="2"/>
    <s v="Monthly"/>
    <n v="0.1"/>
    <n v="84.6"/>
    <n v="94"/>
    <s v="Credit Card"/>
    <s v="Normal"/>
    <s v="Poor"/>
  </r>
  <r>
    <n v="3340"/>
    <n v="20"/>
    <x v="1"/>
    <x v="24"/>
    <x v="3"/>
    <n v="99"/>
    <x v="43"/>
    <x v="2"/>
    <s v="Cyan"/>
    <x v="3"/>
    <n v="3.6"/>
    <s v="No"/>
    <x v="5"/>
    <s v="No"/>
    <n v="35"/>
    <x v="1"/>
    <s v="Fortnightly"/>
    <n v="0.1"/>
    <n v="89.1"/>
    <n v="99"/>
    <s v="Cash"/>
    <s v="Normal"/>
    <s v="Good"/>
  </r>
  <r>
    <n v="3341"/>
    <n v="42"/>
    <x v="1"/>
    <x v="17"/>
    <x v="0"/>
    <n v="36"/>
    <x v="41"/>
    <x v="3"/>
    <s v="Maroon"/>
    <x v="3"/>
    <n v="4.4000000000000004"/>
    <s v="No"/>
    <x v="1"/>
    <s v="No"/>
    <n v="47"/>
    <x v="2"/>
    <s v="Fortnightly"/>
    <n v="0.1"/>
    <n v="32.4"/>
    <n v="36"/>
    <s v="Credit Card"/>
    <s v="Normal"/>
    <s v="Good"/>
  </r>
  <r>
    <n v="3342"/>
    <n v="55"/>
    <x v="1"/>
    <x v="14"/>
    <x v="2"/>
    <n v="50"/>
    <x v="39"/>
    <x v="3"/>
    <s v="Olive"/>
    <x v="2"/>
    <n v="4.5"/>
    <s v="No"/>
    <x v="3"/>
    <s v="No"/>
    <n v="35"/>
    <x v="2"/>
    <s v="Monthly"/>
    <n v="0.1"/>
    <n v="45"/>
    <n v="50"/>
    <s v="Credit Card"/>
    <s v="Normal"/>
    <s v="Good"/>
  </r>
  <r>
    <n v="3343"/>
    <n v="66"/>
    <x v="1"/>
    <x v="14"/>
    <x v="2"/>
    <n v="81"/>
    <x v="32"/>
    <x v="2"/>
    <s v="Violet"/>
    <x v="1"/>
    <n v="3.8"/>
    <s v="No"/>
    <x v="1"/>
    <s v="No"/>
    <n v="45"/>
    <x v="2"/>
    <s v="Weekly"/>
    <n v="0.1"/>
    <n v="72.900000000000006"/>
    <n v="81"/>
    <s v="Credit Card"/>
    <s v="Normal"/>
    <s v="Good"/>
  </r>
  <r>
    <n v="3344"/>
    <n v="24"/>
    <x v="1"/>
    <x v="6"/>
    <x v="0"/>
    <n v="31"/>
    <x v="0"/>
    <x v="3"/>
    <s v="Green"/>
    <x v="0"/>
    <n v="3.6"/>
    <s v="No"/>
    <x v="4"/>
    <s v="No"/>
    <n v="6"/>
    <x v="1"/>
    <s v="Bi-Weekly"/>
    <n v="0.1"/>
    <n v="27.9"/>
    <n v="31"/>
    <s v="Cash"/>
    <s v="Normal"/>
    <s v="Good"/>
  </r>
  <r>
    <n v="3345"/>
    <n v="62"/>
    <x v="1"/>
    <x v="19"/>
    <x v="3"/>
    <n v="48"/>
    <x v="47"/>
    <x v="3"/>
    <s v="Magenta"/>
    <x v="3"/>
    <n v="4.3"/>
    <s v="No"/>
    <x v="1"/>
    <s v="No"/>
    <n v="20"/>
    <x v="1"/>
    <s v="Annually"/>
    <n v="0.1"/>
    <n v="43.2"/>
    <n v="48"/>
    <s v="Cash"/>
    <s v="Normal"/>
    <s v="Good"/>
  </r>
  <r>
    <n v="3346"/>
    <n v="28"/>
    <x v="1"/>
    <x v="8"/>
    <x v="3"/>
    <n v="91"/>
    <x v="20"/>
    <x v="2"/>
    <s v="Turquoise"/>
    <x v="2"/>
    <n v="4"/>
    <s v="No"/>
    <x v="4"/>
    <s v="No"/>
    <n v="3"/>
    <x v="0"/>
    <s v="Bi-Weekly"/>
    <n v="0.1"/>
    <n v="81.900000000000006"/>
    <n v="91"/>
    <s v="Venmo"/>
    <s v="Normal"/>
    <s v="Good"/>
  </r>
  <r>
    <n v="3347"/>
    <n v="30"/>
    <x v="1"/>
    <x v="2"/>
    <x v="0"/>
    <n v="99"/>
    <x v="19"/>
    <x v="2"/>
    <s v="Black"/>
    <x v="2"/>
    <n v="3.4"/>
    <s v="No"/>
    <x v="0"/>
    <s v="No"/>
    <n v="30"/>
    <x v="0"/>
    <s v="Quarterly"/>
    <n v="0.1"/>
    <n v="89.1"/>
    <n v="99"/>
    <s v="Venmo"/>
    <s v="Normal"/>
    <s v="Good"/>
  </r>
  <r>
    <n v="3348"/>
    <n v="22"/>
    <x v="1"/>
    <x v="9"/>
    <x v="1"/>
    <n v="70"/>
    <x v="44"/>
    <x v="3"/>
    <s v="Cyan"/>
    <x v="2"/>
    <n v="4.4000000000000004"/>
    <s v="No"/>
    <x v="3"/>
    <s v="No"/>
    <n v="28"/>
    <x v="3"/>
    <s v="Bi-Weekly"/>
    <n v="0.1"/>
    <n v="63"/>
    <n v="70"/>
    <s v="PayPal"/>
    <s v="Normal"/>
    <s v="Good"/>
  </r>
  <r>
    <n v="3349"/>
    <n v="28"/>
    <x v="1"/>
    <x v="17"/>
    <x v="0"/>
    <n v="74"/>
    <x v="13"/>
    <x v="0"/>
    <s v="Gray"/>
    <x v="0"/>
    <n v="2.8"/>
    <s v="No"/>
    <x v="3"/>
    <s v="No"/>
    <n v="15"/>
    <x v="1"/>
    <s v="Every 3 Months"/>
    <n v="0.1"/>
    <n v="66.599999999999994"/>
    <n v="74"/>
    <s v="Cash"/>
    <s v="Normal"/>
    <s v="Poor"/>
  </r>
  <r>
    <n v="3350"/>
    <n v="35"/>
    <x v="1"/>
    <x v="16"/>
    <x v="3"/>
    <n v="79"/>
    <x v="42"/>
    <x v="2"/>
    <s v="Red"/>
    <x v="3"/>
    <n v="2.8"/>
    <s v="No"/>
    <x v="5"/>
    <s v="No"/>
    <n v="29"/>
    <x v="3"/>
    <s v="Quarterly"/>
    <n v="0.1"/>
    <n v="71.099999999999994"/>
    <n v="79"/>
    <s v="PayPal"/>
    <s v="Normal"/>
    <s v="Poor"/>
  </r>
  <r>
    <n v="3351"/>
    <n v="45"/>
    <x v="1"/>
    <x v="8"/>
    <x v="3"/>
    <n v="33"/>
    <x v="16"/>
    <x v="1"/>
    <s v="Olive"/>
    <x v="3"/>
    <n v="4.9000000000000004"/>
    <s v="No"/>
    <x v="4"/>
    <s v="No"/>
    <n v="15"/>
    <x v="1"/>
    <s v="Bi-Weekly"/>
    <n v="0.1"/>
    <n v="29.7"/>
    <n v="33"/>
    <s v="Cash"/>
    <s v="Normal"/>
    <s v="Good"/>
  </r>
  <r>
    <n v="3352"/>
    <n v="43"/>
    <x v="1"/>
    <x v="5"/>
    <x v="0"/>
    <n v="49"/>
    <x v="13"/>
    <x v="0"/>
    <s v="Cyan"/>
    <x v="1"/>
    <n v="4.2"/>
    <s v="No"/>
    <x v="4"/>
    <s v="No"/>
    <n v="18"/>
    <x v="4"/>
    <s v="Fortnightly"/>
    <n v="0.1"/>
    <n v="44.1"/>
    <n v="49"/>
    <s v="Bank Transfer"/>
    <s v="Normal"/>
    <s v="Good"/>
  </r>
  <r>
    <n v="3353"/>
    <n v="55"/>
    <x v="1"/>
    <x v="22"/>
    <x v="3"/>
    <n v="96"/>
    <x v="47"/>
    <x v="2"/>
    <s v="Teal"/>
    <x v="2"/>
    <n v="2.9"/>
    <s v="No"/>
    <x v="2"/>
    <s v="No"/>
    <n v="7"/>
    <x v="4"/>
    <s v="Bi-Weekly"/>
    <n v="0.1"/>
    <n v="86.4"/>
    <n v="96"/>
    <s v="Bank Transfer"/>
    <s v="Normal"/>
    <s v="Poor"/>
  </r>
  <r>
    <n v="3354"/>
    <n v="31"/>
    <x v="1"/>
    <x v="10"/>
    <x v="0"/>
    <n v="66"/>
    <x v="31"/>
    <x v="0"/>
    <s v="Teal"/>
    <x v="3"/>
    <n v="4.5999999999999996"/>
    <s v="No"/>
    <x v="1"/>
    <s v="No"/>
    <n v="19"/>
    <x v="2"/>
    <s v="Every 3 Months"/>
    <n v="0.1"/>
    <n v="59.4"/>
    <n v="66"/>
    <s v="Credit Card"/>
    <s v="Normal"/>
    <s v="Good"/>
  </r>
  <r>
    <n v="3355"/>
    <n v="42"/>
    <x v="1"/>
    <x v="11"/>
    <x v="0"/>
    <n v="45"/>
    <x v="33"/>
    <x v="2"/>
    <s v="Orange"/>
    <x v="3"/>
    <n v="2.8"/>
    <s v="No"/>
    <x v="2"/>
    <s v="No"/>
    <n v="15"/>
    <x v="3"/>
    <s v="Weekly"/>
    <n v="0.1"/>
    <n v="40.5"/>
    <n v="45"/>
    <s v="PayPal"/>
    <s v="Normal"/>
    <s v="Poor"/>
  </r>
  <r>
    <n v="3356"/>
    <n v="40"/>
    <x v="1"/>
    <x v="0"/>
    <x v="0"/>
    <n v="28"/>
    <x v="12"/>
    <x v="2"/>
    <s v="Peach"/>
    <x v="1"/>
    <n v="2.6"/>
    <s v="No"/>
    <x v="5"/>
    <s v="No"/>
    <n v="3"/>
    <x v="4"/>
    <s v="Bi-Weekly"/>
    <n v="0.1"/>
    <n v="25.2"/>
    <n v="28"/>
    <s v="Bank Transfer"/>
    <s v="Normal"/>
    <s v="Poor"/>
  </r>
  <r>
    <n v="3357"/>
    <n v="39"/>
    <x v="1"/>
    <x v="2"/>
    <x v="0"/>
    <n v="48"/>
    <x v="30"/>
    <x v="2"/>
    <s v="Silver"/>
    <x v="2"/>
    <n v="3.5"/>
    <s v="No"/>
    <x v="5"/>
    <s v="No"/>
    <n v="13"/>
    <x v="3"/>
    <s v="Bi-Weekly"/>
    <n v="0.1"/>
    <n v="43.2"/>
    <n v="48"/>
    <s v="PayPal"/>
    <s v="Normal"/>
    <s v="Good"/>
  </r>
  <r>
    <n v="3358"/>
    <n v="41"/>
    <x v="1"/>
    <x v="15"/>
    <x v="0"/>
    <n v="67"/>
    <x v="10"/>
    <x v="2"/>
    <s v="Pink"/>
    <x v="0"/>
    <n v="3.5"/>
    <s v="No"/>
    <x v="1"/>
    <s v="No"/>
    <n v="37"/>
    <x v="2"/>
    <s v="Monthly"/>
    <n v="0.1"/>
    <n v="60.3"/>
    <n v="67"/>
    <s v="Credit Card"/>
    <s v="Normal"/>
    <s v="Good"/>
  </r>
  <r>
    <n v="3359"/>
    <n v="56"/>
    <x v="1"/>
    <x v="17"/>
    <x v="0"/>
    <n v="59"/>
    <x v="30"/>
    <x v="2"/>
    <s v="Magenta"/>
    <x v="3"/>
    <n v="3.4"/>
    <s v="No"/>
    <x v="4"/>
    <s v="No"/>
    <n v="26"/>
    <x v="1"/>
    <s v="Annually"/>
    <n v="0.1"/>
    <n v="53.1"/>
    <n v="59"/>
    <s v="Cash"/>
    <s v="Normal"/>
    <s v="Good"/>
  </r>
  <r>
    <n v="3360"/>
    <n v="43"/>
    <x v="1"/>
    <x v="12"/>
    <x v="3"/>
    <n v="74"/>
    <x v="13"/>
    <x v="0"/>
    <s v="Red"/>
    <x v="3"/>
    <n v="3.9"/>
    <s v="No"/>
    <x v="2"/>
    <s v="No"/>
    <n v="29"/>
    <x v="5"/>
    <s v="Monthly"/>
    <n v="0.1"/>
    <n v="66.599999999999994"/>
    <n v="74"/>
    <s v="Debit Card"/>
    <s v="Normal"/>
    <s v="Good"/>
  </r>
  <r>
    <n v="3361"/>
    <n v="22"/>
    <x v="1"/>
    <x v="14"/>
    <x v="2"/>
    <n v="81"/>
    <x v="46"/>
    <x v="2"/>
    <s v="Maroon"/>
    <x v="1"/>
    <n v="3.3"/>
    <s v="No"/>
    <x v="4"/>
    <s v="No"/>
    <n v="47"/>
    <x v="1"/>
    <s v="Every 3 Months"/>
    <n v="0.1"/>
    <n v="72.900000000000006"/>
    <n v="81"/>
    <s v="Cash"/>
    <s v="Normal"/>
    <s v="Good"/>
  </r>
  <r>
    <n v="3362"/>
    <n v="47"/>
    <x v="1"/>
    <x v="9"/>
    <x v="1"/>
    <n v="26"/>
    <x v="20"/>
    <x v="2"/>
    <s v="Silver"/>
    <x v="1"/>
    <n v="4.0999999999999996"/>
    <s v="No"/>
    <x v="1"/>
    <s v="No"/>
    <n v="47"/>
    <x v="2"/>
    <s v="Bi-Weekly"/>
    <n v="0.1"/>
    <n v="23.4"/>
    <n v="26"/>
    <s v="Credit Card"/>
    <s v="Normal"/>
    <s v="Good"/>
  </r>
  <r>
    <n v="3363"/>
    <n v="50"/>
    <x v="1"/>
    <x v="8"/>
    <x v="3"/>
    <n v="61"/>
    <x v="30"/>
    <x v="2"/>
    <s v="Gray"/>
    <x v="2"/>
    <n v="3"/>
    <s v="No"/>
    <x v="2"/>
    <s v="No"/>
    <n v="48"/>
    <x v="0"/>
    <s v="Fortnightly"/>
    <n v="0.1"/>
    <n v="54.9"/>
    <n v="61"/>
    <s v="Venmo"/>
    <s v="Normal"/>
    <s v="Good"/>
  </r>
  <r>
    <n v="3364"/>
    <n v="58"/>
    <x v="1"/>
    <x v="1"/>
    <x v="0"/>
    <n v="23"/>
    <x v="18"/>
    <x v="2"/>
    <s v="Turquoise"/>
    <x v="0"/>
    <n v="3"/>
    <s v="No"/>
    <x v="2"/>
    <s v="No"/>
    <n v="46"/>
    <x v="4"/>
    <s v="Bi-Weekly"/>
    <n v="0.1"/>
    <n v="20.7"/>
    <n v="23"/>
    <s v="Bank Transfer"/>
    <s v="Normal"/>
    <s v="Good"/>
  </r>
  <r>
    <n v="3365"/>
    <n v="50"/>
    <x v="1"/>
    <x v="18"/>
    <x v="3"/>
    <n v="33"/>
    <x v="4"/>
    <x v="2"/>
    <s v="Peach"/>
    <x v="3"/>
    <n v="3.2"/>
    <s v="No"/>
    <x v="3"/>
    <s v="No"/>
    <n v="7"/>
    <x v="2"/>
    <s v="Monthly"/>
    <n v="0.1"/>
    <n v="29.7"/>
    <n v="33"/>
    <s v="Credit Card"/>
    <s v="Normal"/>
    <s v="Good"/>
  </r>
  <r>
    <n v="3366"/>
    <n v="43"/>
    <x v="1"/>
    <x v="11"/>
    <x v="0"/>
    <n v="58"/>
    <x v="30"/>
    <x v="0"/>
    <s v="Teal"/>
    <x v="3"/>
    <n v="3.9"/>
    <s v="No"/>
    <x v="0"/>
    <s v="No"/>
    <n v="45"/>
    <x v="2"/>
    <s v="Every 3 Months"/>
    <n v="0.1"/>
    <n v="52.2"/>
    <n v="58"/>
    <s v="Credit Card"/>
    <s v="Normal"/>
    <s v="Good"/>
  </r>
  <r>
    <n v="3367"/>
    <n v="38"/>
    <x v="1"/>
    <x v="24"/>
    <x v="3"/>
    <n v="65"/>
    <x v="17"/>
    <x v="2"/>
    <s v="Red"/>
    <x v="1"/>
    <n v="3.6"/>
    <s v="No"/>
    <x v="4"/>
    <s v="No"/>
    <n v="47"/>
    <x v="5"/>
    <s v="Quarterly"/>
    <n v="0.1"/>
    <n v="58.5"/>
    <n v="65"/>
    <s v="Debit Card"/>
    <s v="Normal"/>
    <s v="Good"/>
  </r>
  <r>
    <n v="3368"/>
    <n v="44"/>
    <x v="1"/>
    <x v="17"/>
    <x v="0"/>
    <n v="48"/>
    <x v="30"/>
    <x v="2"/>
    <s v="Blue"/>
    <x v="2"/>
    <n v="3.1"/>
    <s v="No"/>
    <x v="5"/>
    <s v="No"/>
    <n v="6"/>
    <x v="0"/>
    <s v="Fortnightly"/>
    <n v="0.1"/>
    <n v="43.2"/>
    <n v="48"/>
    <s v="Venmo"/>
    <s v="Normal"/>
    <s v="Good"/>
  </r>
  <r>
    <n v="3369"/>
    <n v="30"/>
    <x v="1"/>
    <x v="3"/>
    <x v="1"/>
    <n v="25"/>
    <x v="43"/>
    <x v="2"/>
    <s v="Blue"/>
    <x v="1"/>
    <n v="4.8"/>
    <s v="No"/>
    <x v="0"/>
    <s v="No"/>
    <n v="29"/>
    <x v="4"/>
    <s v="Every 3 Months"/>
    <n v="0.1"/>
    <n v="22.5"/>
    <n v="25"/>
    <s v="Bank Transfer"/>
    <s v="Normal"/>
    <s v="Good"/>
  </r>
  <r>
    <n v="3370"/>
    <n v="47"/>
    <x v="1"/>
    <x v="1"/>
    <x v="0"/>
    <n v="51"/>
    <x v="1"/>
    <x v="2"/>
    <s v="Indigo"/>
    <x v="0"/>
    <n v="3.8"/>
    <s v="No"/>
    <x v="4"/>
    <s v="No"/>
    <n v="42"/>
    <x v="1"/>
    <s v="Monthly"/>
    <n v="0.1"/>
    <n v="45.9"/>
    <n v="51"/>
    <s v="Cash"/>
    <s v="Normal"/>
    <s v="Good"/>
  </r>
  <r>
    <n v="3371"/>
    <n v="30"/>
    <x v="1"/>
    <x v="22"/>
    <x v="3"/>
    <n v="31"/>
    <x v="26"/>
    <x v="2"/>
    <s v="Charcoal"/>
    <x v="2"/>
    <n v="2.8"/>
    <s v="No"/>
    <x v="5"/>
    <s v="No"/>
    <n v="46"/>
    <x v="1"/>
    <s v="Fortnightly"/>
    <n v="0.1"/>
    <n v="27.9"/>
    <n v="31"/>
    <s v="Cash"/>
    <s v="Normal"/>
    <s v="Poor"/>
  </r>
  <r>
    <n v="3372"/>
    <n v="49"/>
    <x v="1"/>
    <x v="15"/>
    <x v="0"/>
    <n v="99"/>
    <x v="24"/>
    <x v="1"/>
    <s v="Turquoise"/>
    <x v="0"/>
    <n v="4"/>
    <s v="No"/>
    <x v="2"/>
    <s v="No"/>
    <n v="28"/>
    <x v="3"/>
    <s v="Annually"/>
    <n v="0.1"/>
    <n v="89.1"/>
    <n v="99"/>
    <s v="PayPal"/>
    <s v="Normal"/>
    <s v="Good"/>
  </r>
  <r>
    <n v="3373"/>
    <n v="56"/>
    <x v="1"/>
    <x v="20"/>
    <x v="0"/>
    <n v="25"/>
    <x v="38"/>
    <x v="2"/>
    <s v="Maroon"/>
    <x v="0"/>
    <n v="4.5999999999999996"/>
    <s v="No"/>
    <x v="1"/>
    <s v="No"/>
    <n v="14"/>
    <x v="2"/>
    <s v="Every 3 Months"/>
    <n v="0.1"/>
    <n v="22.5"/>
    <n v="25"/>
    <s v="Credit Card"/>
    <s v="Normal"/>
    <s v="Good"/>
  </r>
  <r>
    <n v="3374"/>
    <n v="70"/>
    <x v="1"/>
    <x v="3"/>
    <x v="1"/>
    <n v="52"/>
    <x v="46"/>
    <x v="2"/>
    <s v="Purple"/>
    <x v="1"/>
    <n v="3.5"/>
    <s v="No"/>
    <x v="5"/>
    <s v="No"/>
    <n v="12"/>
    <x v="5"/>
    <s v="Every 3 Months"/>
    <n v="0.1"/>
    <n v="46.8"/>
    <n v="52"/>
    <s v="Debit Card"/>
    <s v="Normal"/>
    <s v="Good"/>
  </r>
  <r>
    <n v="3375"/>
    <n v="22"/>
    <x v="1"/>
    <x v="0"/>
    <x v="0"/>
    <n v="47"/>
    <x v="22"/>
    <x v="1"/>
    <s v="Lavender"/>
    <x v="1"/>
    <n v="3.7"/>
    <s v="No"/>
    <x v="4"/>
    <s v="No"/>
    <n v="41"/>
    <x v="5"/>
    <s v="Annually"/>
    <n v="0.1"/>
    <n v="42.3"/>
    <n v="47"/>
    <s v="Debit Card"/>
    <s v="Normal"/>
    <s v="Good"/>
  </r>
  <r>
    <n v="3376"/>
    <n v="51"/>
    <x v="1"/>
    <x v="23"/>
    <x v="1"/>
    <n v="98"/>
    <x v="39"/>
    <x v="3"/>
    <s v="Yellow"/>
    <x v="3"/>
    <n v="4.9000000000000004"/>
    <s v="No"/>
    <x v="0"/>
    <s v="No"/>
    <n v="8"/>
    <x v="2"/>
    <s v="Annually"/>
    <n v="0.1"/>
    <n v="88.2"/>
    <n v="98"/>
    <s v="Credit Card"/>
    <s v="Normal"/>
    <s v="Good"/>
  </r>
  <r>
    <n v="3377"/>
    <n v="22"/>
    <x v="1"/>
    <x v="19"/>
    <x v="3"/>
    <n v="46"/>
    <x v="31"/>
    <x v="2"/>
    <s v="Green"/>
    <x v="0"/>
    <n v="4.0999999999999996"/>
    <s v="No"/>
    <x v="5"/>
    <s v="No"/>
    <n v="24"/>
    <x v="1"/>
    <s v="Quarterly"/>
    <n v="0.1"/>
    <n v="41.4"/>
    <n v="46"/>
    <s v="Cash"/>
    <s v="Normal"/>
    <s v="Good"/>
  </r>
  <r>
    <n v="3378"/>
    <n v="37"/>
    <x v="1"/>
    <x v="5"/>
    <x v="0"/>
    <n v="32"/>
    <x v="0"/>
    <x v="2"/>
    <s v="Yellow"/>
    <x v="0"/>
    <n v="4.5999999999999996"/>
    <s v="No"/>
    <x v="2"/>
    <s v="No"/>
    <n v="18"/>
    <x v="3"/>
    <s v="Fortnightly"/>
    <n v="0.1"/>
    <n v="28.8"/>
    <n v="32"/>
    <s v="PayPal"/>
    <s v="Normal"/>
    <s v="Good"/>
  </r>
  <r>
    <n v="3379"/>
    <n v="49"/>
    <x v="1"/>
    <x v="6"/>
    <x v="0"/>
    <n v="75"/>
    <x v="46"/>
    <x v="0"/>
    <s v="Gold"/>
    <x v="3"/>
    <n v="4.5"/>
    <s v="No"/>
    <x v="2"/>
    <s v="No"/>
    <n v="6"/>
    <x v="1"/>
    <s v="Quarterly"/>
    <n v="0.1"/>
    <n v="67.5"/>
    <n v="75"/>
    <s v="Cash"/>
    <s v="Normal"/>
    <s v="Good"/>
  </r>
  <r>
    <n v="3380"/>
    <n v="61"/>
    <x v="1"/>
    <x v="8"/>
    <x v="3"/>
    <n v="51"/>
    <x v="30"/>
    <x v="0"/>
    <s v="Turquoise"/>
    <x v="2"/>
    <n v="5"/>
    <s v="No"/>
    <x v="5"/>
    <s v="No"/>
    <n v="40"/>
    <x v="1"/>
    <s v="Weekly"/>
    <n v="0.1"/>
    <n v="45.9"/>
    <n v="51"/>
    <s v="Cash"/>
    <s v="Normal"/>
    <s v="Good"/>
  </r>
  <r>
    <n v="3381"/>
    <n v="41"/>
    <x v="1"/>
    <x v="10"/>
    <x v="0"/>
    <n v="52"/>
    <x v="25"/>
    <x v="0"/>
    <s v="Blue"/>
    <x v="2"/>
    <n v="3.8"/>
    <s v="No"/>
    <x v="3"/>
    <s v="No"/>
    <n v="6"/>
    <x v="3"/>
    <s v="Every 3 Months"/>
    <n v="0.1"/>
    <n v="46.8"/>
    <n v="52"/>
    <s v="PayPal"/>
    <s v="Normal"/>
    <s v="Good"/>
  </r>
  <r>
    <n v="3382"/>
    <n v="57"/>
    <x v="1"/>
    <x v="19"/>
    <x v="3"/>
    <n v="66"/>
    <x v="46"/>
    <x v="0"/>
    <s v="Turquoise"/>
    <x v="0"/>
    <n v="4.7"/>
    <s v="No"/>
    <x v="3"/>
    <s v="No"/>
    <n v="27"/>
    <x v="2"/>
    <s v="Quarterly"/>
    <n v="0.1"/>
    <n v="59.4"/>
    <n v="66"/>
    <s v="Credit Card"/>
    <s v="Normal"/>
    <s v="Good"/>
  </r>
  <r>
    <n v="3383"/>
    <n v="34"/>
    <x v="1"/>
    <x v="1"/>
    <x v="0"/>
    <n v="35"/>
    <x v="43"/>
    <x v="2"/>
    <s v="Maroon"/>
    <x v="1"/>
    <n v="2.8"/>
    <s v="No"/>
    <x v="0"/>
    <s v="No"/>
    <n v="2"/>
    <x v="4"/>
    <s v="Weekly"/>
    <n v="0.1"/>
    <n v="31.5"/>
    <n v="35"/>
    <s v="Bank Transfer"/>
    <s v="Normal"/>
    <s v="Poor"/>
  </r>
  <r>
    <n v="3384"/>
    <n v="27"/>
    <x v="1"/>
    <x v="7"/>
    <x v="2"/>
    <n v="43"/>
    <x v="12"/>
    <x v="2"/>
    <s v="Pink"/>
    <x v="3"/>
    <n v="2.6"/>
    <s v="No"/>
    <x v="2"/>
    <s v="No"/>
    <n v="39"/>
    <x v="0"/>
    <s v="Bi-Weekly"/>
    <n v="0.1"/>
    <n v="38.700000000000003"/>
    <n v="43"/>
    <s v="Venmo"/>
    <s v="Normal"/>
    <s v="Poor"/>
  </r>
  <r>
    <n v="3385"/>
    <n v="39"/>
    <x v="1"/>
    <x v="15"/>
    <x v="0"/>
    <n v="24"/>
    <x v="46"/>
    <x v="0"/>
    <s v="Maroon"/>
    <x v="2"/>
    <n v="3.8"/>
    <s v="No"/>
    <x v="1"/>
    <s v="No"/>
    <n v="9"/>
    <x v="0"/>
    <s v="Quarterly"/>
    <n v="0.1"/>
    <n v="21.6"/>
    <n v="24"/>
    <s v="Venmo"/>
    <s v="Normal"/>
    <s v="Good"/>
  </r>
  <r>
    <n v="3386"/>
    <n v="62"/>
    <x v="1"/>
    <x v="16"/>
    <x v="3"/>
    <n v="83"/>
    <x v="3"/>
    <x v="2"/>
    <s v="Olive"/>
    <x v="0"/>
    <n v="2.8"/>
    <s v="No"/>
    <x v="3"/>
    <s v="No"/>
    <n v="16"/>
    <x v="2"/>
    <s v="Every 3 Months"/>
    <n v="0.1"/>
    <n v="74.7"/>
    <n v="83"/>
    <s v="Credit Card"/>
    <s v="Normal"/>
    <s v="Poor"/>
  </r>
  <r>
    <n v="3387"/>
    <n v="34"/>
    <x v="1"/>
    <x v="17"/>
    <x v="0"/>
    <n v="62"/>
    <x v="49"/>
    <x v="2"/>
    <s v="Lavender"/>
    <x v="3"/>
    <n v="2.6"/>
    <s v="No"/>
    <x v="4"/>
    <s v="No"/>
    <n v="36"/>
    <x v="1"/>
    <s v="Quarterly"/>
    <n v="0.1"/>
    <n v="55.8"/>
    <n v="62"/>
    <s v="Cash"/>
    <s v="Normal"/>
    <s v="Poor"/>
  </r>
  <r>
    <n v="3388"/>
    <n v="53"/>
    <x v="1"/>
    <x v="13"/>
    <x v="0"/>
    <n v="78"/>
    <x v="32"/>
    <x v="1"/>
    <s v="Pink"/>
    <x v="1"/>
    <n v="3.4"/>
    <s v="No"/>
    <x v="4"/>
    <s v="No"/>
    <n v="2"/>
    <x v="2"/>
    <s v="Bi-Weekly"/>
    <n v="0.1"/>
    <n v="70.2"/>
    <n v="78"/>
    <s v="Credit Card"/>
    <s v="Normal"/>
    <s v="Good"/>
  </r>
  <r>
    <n v="3389"/>
    <n v="35"/>
    <x v="1"/>
    <x v="1"/>
    <x v="0"/>
    <n v="61"/>
    <x v="45"/>
    <x v="2"/>
    <s v="Cyan"/>
    <x v="1"/>
    <n v="4.5"/>
    <s v="No"/>
    <x v="5"/>
    <s v="No"/>
    <n v="21"/>
    <x v="2"/>
    <s v="Weekly"/>
    <n v="0.1"/>
    <n v="54.9"/>
    <n v="61"/>
    <s v="Credit Card"/>
    <s v="Normal"/>
    <s v="Good"/>
  </r>
  <r>
    <n v="3390"/>
    <n v="38"/>
    <x v="1"/>
    <x v="13"/>
    <x v="0"/>
    <n v="57"/>
    <x v="17"/>
    <x v="0"/>
    <s v="Maroon"/>
    <x v="3"/>
    <n v="3.8"/>
    <s v="No"/>
    <x v="1"/>
    <s v="No"/>
    <n v="39"/>
    <x v="0"/>
    <s v="Annually"/>
    <n v="0.1"/>
    <n v="51.3"/>
    <n v="57"/>
    <s v="Venmo"/>
    <s v="Normal"/>
    <s v="Good"/>
  </r>
  <r>
    <n v="3391"/>
    <n v="32"/>
    <x v="1"/>
    <x v="20"/>
    <x v="0"/>
    <n v="70"/>
    <x v="4"/>
    <x v="1"/>
    <s v="Red"/>
    <x v="2"/>
    <n v="3"/>
    <s v="No"/>
    <x v="2"/>
    <s v="No"/>
    <n v="38"/>
    <x v="3"/>
    <s v="Annually"/>
    <n v="0.1"/>
    <n v="63"/>
    <n v="70"/>
    <s v="PayPal"/>
    <s v="Normal"/>
    <s v="Good"/>
  </r>
  <r>
    <n v="3392"/>
    <n v="47"/>
    <x v="1"/>
    <x v="15"/>
    <x v="0"/>
    <n v="57"/>
    <x v="6"/>
    <x v="2"/>
    <s v="Silver"/>
    <x v="3"/>
    <n v="3.7"/>
    <s v="No"/>
    <x v="4"/>
    <s v="No"/>
    <n v="6"/>
    <x v="5"/>
    <s v="Every 3 Months"/>
    <n v="0.1"/>
    <n v="51.3"/>
    <n v="57"/>
    <s v="Debit Card"/>
    <s v="Normal"/>
    <s v="Good"/>
  </r>
  <r>
    <n v="3393"/>
    <n v="53"/>
    <x v="1"/>
    <x v="18"/>
    <x v="3"/>
    <n v="74"/>
    <x v="32"/>
    <x v="3"/>
    <s v="Blue"/>
    <x v="0"/>
    <n v="4.4000000000000004"/>
    <s v="No"/>
    <x v="1"/>
    <s v="No"/>
    <n v="6"/>
    <x v="0"/>
    <s v="Bi-Weekly"/>
    <n v="0.1"/>
    <n v="66.599999999999994"/>
    <n v="74"/>
    <s v="Venmo"/>
    <s v="Normal"/>
    <s v="Good"/>
  </r>
  <r>
    <n v="3394"/>
    <n v="60"/>
    <x v="1"/>
    <x v="10"/>
    <x v="0"/>
    <n v="90"/>
    <x v="28"/>
    <x v="2"/>
    <s v="Gold"/>
    <x v="3"/>
    <n v="3.1"/>
    <s v="No"/>
    <x v="2"/>
    <s v="No"/>
    <n v="50"/>
    <x v="5"/>
    <s v="Monthly"/>
    <n v="0.1"/>
    <n v="81"/>
    <n v="90"/>
    <s v="Debit Card"/>
    <s v="Normal"/>
    <s v="Good"/>
  </r>
  <r>
    <n v="3395"/>
    <n v="31"/>
    <x v="1"/>
    <x v="3"/>
    <x v="1"/>
    <n v="98"/>
    <x v="34"/>
    <x v="1"/>
    <s v="Yellow"/>
    <x v="1"/>
    <n v="4.2"/>
    <s v="No"/>
    <x v="5"/>
    <s v="No"/>
    <n v="9"/>
    <x v="3"/>
    <s v="Annually"/>
    <n v="0.1"/>
    <n v="88.2"/>
    <n v="98"/>
    <s v="PayPal"/>
    <s v="Normal"/>
    <s v="Good"/>
  </r>
  <r>
    <n v="3396"/>
    <n v="44"/>
    <x v="1"/>
    <x v="10"/>
    <x v="0"/>
    <n v="43"/>
    <x v="24"/>
    <x v="2"/>
    <s v="Silver"/>
    <x v="0"/>
    <n v="3.1"/>
    <s v="No"/>
    <x v="1"/>
    <s v="No"/>
    <n v="15"/>
    <x v="5"/>
    <s v="Every 3 Months"/>
    <n v="0.1"/>
    <n v="38.700000000000003"/>
    <n v="43"/>
    <s v="Debit Card"/>
    <s v="Normal"/>
    <s v="Good"/>
  </r>
  <r>
    <n v="3397"/>
    <n v="29"/>
    <x v="1"/>
    <x v="13"/>
    <x v="0"/>
    <n v="37"/>
    <x v="30"/>
    <x v="3"/>
    <s v="Black"/>
    <x v="0"/>
    <n v="5"/>
    <s v="No"/>
    <x v="2"/>
    <s v="No"/>
    <n v="5"/>
    <x v="3"/>
    <s v="Quarterly"/>
    <n v="0.1"/>
    <n v="33.299999999999997"/>
    <n v="37"/>
    <s v="PayPal"/>
    <s v="Normal"/>
    <s v="Good"/>
  </r>
  <r>
    <n v="3398"/>
    <n v="19"/>
    <x v="1"/>
    <x v="0"/>
    <x v="0"/>
    <n v="38"/>
    <x v="32"/>
    <x v="0"/>
    <s v="Yellow"/>
    <x v="2"/>
    <n v="2.7"/>
    <s v="No"/>
    <x v="3"/>
    <s v="No"/>
    <n v="13"/>
    <x v="4"/>
    <s v="Bi-Weekly"/>
    <n v="0.1"/>
    <n v="34.200000000000003"/>
    <n v="38"/>
    <s v="Bank Transfer"/>
    <s v="Normal"/>
    <s v="Poor"/>
  </r>
  <r>
    <n v="3399"/>
    <n v="54"/>
    <x v="1"/>
    <x v="2"/>
    <x v="0"/>
    <n v="60"/>
    <x v="6"/>
    <x v="0"/>
    <s v="Pink"/>
    <x v="0"/>
    <n v="3.8"/>
    <s v="No"/>
    <x v="3"/>
    <s v="No"/>
    <n v="44"/>
    <x v="1"/>
    <s v="Fortnightly"/>
    <n v="0.1"/>
    <n v="54"/>
    <n v="60"/>
    <s v="Cash"/>
    <s v="Normal"/>
    <s v="Good"/>
  </r>
  <r>
    <n v="3400"/>
    <n v="40"/>
    <x v="1"/>
    <x v="13"/>
    <x v="0"/>
    <n v="55"/>
    <x v="6"/>
    <x v="3"/>
    <s v="Yellow"/>
    <x v="0"/>
    <n v="3.3"/>
    <s v="No"/>
    <x v="3"/>
    <s v="No"/>
    <n v="36"/>
    <x v="5"/>
    <s v="Annually"/>
    <n v="0.1"/>
    <n v="49.5"/>
    <n v="55"/>
    <s v="Debit Card"/>
    <s v="Normal"/>
    <s v="Good"/>
  </r>
  <r>
    <n v="3401"/>
    <n v="39"/>
    <x v="1"/>
    <x v="12"/>
    <x v="3"/>
    <n v="51"/>
    <x v="22"/>
    <x v="2"/>
    <s v="Lavender"/>
    <x v="3"/>
    <n v="4.8"/>
    <s v="No"/>
    <x v="1"/>
    <s v="No"/>
    <n v="18"/>
    <x v="0"/>
    <s v="Fortnightly"/>
    <n v="0.1"/>
    <n v="45.9"/>
    <n v="51"/>
    <s v="Venmo"/>
    <s v="Normal"/>
    <s v="Good"/>
  </r>
  <r>
    <n v="3402"/>
    <n v="44"/>
    <x v="1"/>
    <x v="21"/>
    <x v="3"/>
    <n v="71"/>
    <x v="22"/>
    <x v="0"/>
    <s v="Peach"/>
    <x v="0"/>
    <n v="3.4"/>
    <s v="No"/>
    <x v="3"/>
    <s v="No"/>
    <n v="39"/>
    <x v="2"/>
    <s v="Weekly"/>
    <n v="0.1"/>
    <n v="63.9"/>
    <n v="71"/>
    <s v="Credit Card"/>
    <s v="Normal"/>
    <s v="Good"/>
  </r>
  <r>
    <n v="3403"/>
    <n v="22"/>
    <x v="1"/>
    <x v="15"/>
    <x v="0"/>
    <n v="61"/>
    <x v="7"/>
    <x v="2"/>
    <s v="Black"/>
    <x v="1"/>
    <n v="4.4000000000000004"/>
    <s v="No"/>
    <x v="4"/>
    <s v="No"/>
    <n v="11"/>
    <x v="3"/>
    <s v="Every 3 Months"/>
    <n v="0.1"/>
    <n v="54.9"/>
    <n v="61"/>
    <s v="PayPal"/>
    <s v="Normal"/>
    <s v="Good"/>
  </r>
  <r>
    <n v="3404"/>
    <n v="30"/>
    <x v="1"/>
    <x v="23"/>
    <x v="1"/>
    <n v="65"/>
    <x v="26"/>
    <x v="2"/>
    <s v="Olive"/>
    <x v="2"/>
    <n v="3.9"/>
    <s v="No"/>
    <x v="3"/>
    <s v="No"/>
    <n v="1"/>
    <x v="1"/>
    <s v="Bi-Weekly"/>
    <n v="0.1"/>
    <n v="58.5"/>
    <n v="65"/>
    <s v="Cash"/>
    <s v="Normal"/>
    <s v="Good"/>
  </r>
  <r>
    <n v="3405"/>
    <n v="69"/>
    <x v="1"/>
    <x v="24"/>
    <x v="3"/>
    <n v="34"/>
    <x v="36"/>
    <x v="0"/>
    <s v="Olive"/>
    <x v="3"/>
    <n v="3.9"/>
    <s v="No"/>
    <x v="4"/>
    <s v="No"/>
    <n v="34"/>
    <x v="2"/>
    <s v="Annually"/>
    <n v="0.1"/>
    <n v="30.6"/>
    <n v="34"/>
    <s v="Credit Card"/>
    <s v="Normal"/>
    <s v="Good"/>
  </r>
  <r>
    <n v="3406"/>
    <n v="28"/>
    <x v="1"/>
    <x v="0"/>
    <x v="0"/>
    <n v="87"/>
    <x v="47"/>
    <x v="2"/>
    <s v="White"/>
    <x v="2"/>
    <n v="4.2"/>
    <s v="No"/>
    <x v="5"/>
    <s v="No"/>
    <n v="47"/>
    <x v="4"/>
    <s v="Bi-Weekly"/>
    <n v="0.1"/>
    <n v="78.3"/>
    <n v="87"/>
    <s v="Bank Transfer"/>
    <s v="Normal"/>
    <s v="Good"/>
  </r>
  <r>
    <n v="3407"/>
    <n v="57"/>
    <x v="1"/>
    <x v="1"/>
    <x v="0"/>
    <n v="79"/>
    <x v="43"/>
    <x v="2"/>
    <s v="Red"/>
    <x v="1"/>
    <n v="4"/>
    <s v="No"/>
    <x v="5"/>
    <s v="No"/>
    <n v="24"/>
    <x v="0"/>
    <s v="Quarterly"/>
    <n v="0.1"/>
    <n v="71.099999999999994"/>
    <n v="79"/>
    <s v="Venmo"/>
    <s v="Normal"/>
    <s v="Good"/>
  </r>
  <r>
    <n v="3408"/>
    <n v="46"/>
    <x v="1"/>
    <x v="10"/>
    <x v="0"/>
    <n v="46"/>
    <x v="15"/>
    <x v="1"/>
    <s v="Purple"/>
    <x v="1"/>
    <n v="2.6"/>
    <s v="No"/>
    <x v="5"/>
    <s v="No"/>
    <n v="20"/>
    <x v="1"/>
    <s v="Quarterly"/>
    <n v="0.1"/>
    <n v="41.4"/>
    <n v="46"/>
    <s v="Cash"/>
    <s v="Normal"/>
    <s v="Poor"/>
  </r>
  <r>
    <n v="3409"/>
    <n v="48"/>
    <x v="1"/>
    <x v="20"/>
    <x v="0"/>
    <n v="72"/>
    <x v="6"/>
    <x v="0"/>
    <s v="Purple"/>
    <x v="2"/>
    <n v="4.4000000000000004"/>
    <s v="No"/>
    <x v="3"/>
    <s v="No"/>
    <n v="11"/>
    <x v="4"/>
    <s v="Annually"/>
    <n v="0.1"/>
    <n v="64.8"/>
    <n v="72"/>
    <s v="Bank Transfer"/>
    <s v="Normal"/>
    <s v="Good"/>
  </r>
  <r>
    <n v="3410"/>
    <n v="24"/>
    <x v="1"/>
    <x v="5"/>
    <x v="0"/>
    <n v="93"/>
    <x v="46"/>
    <x v="2"/>
    <s v="Teal"/>
    <x v="2"/>
    <n v="3.2"/>
    <s v="No"/>
    <x v="2"/>
    <s v="No"/>
    <n v="3"/>
    <x v="2"/>
    <s v="Every 3 Months"/>
    <n v="0.1"/>
    <n v="83.7"/>
    <n v="93"/>
    <s v="Credit Card"/>
    <s v="Normal"/>
    <s v="Good"/>
  </r>
  <r>
    <n v="3411"/>
    <n v="50"/>
    <x v="1"/>
    <x v="3"/>
    <x v="1"/>
    <n v="76"/>
    <x v="31"/>
    <x v="0"/>
    <s v="Teal"/>
    <x v="2"/>
    <n v="4.3"/>
    <s v="No"/>
    <x v="1"/>
    <s v="No"/>
    <n v="38"/>
    <x v="4"/>
    <s v="Bi-Weekly"/>
    <n v="0.1"/>
    <n v="68.400000000000006"/>
    <n v="76"/>
    <s v="Bank Transfer"/>
    <s v="Normal"/>
    <s v="Good"/>
  </r>
  <r>
    <n v="3412"/>
    <n v="29"/>
    <x v="1"/>
    <x v="9"/>
    <x v="1"/>
    <n v="56"/>
    <x v="14"/>
    <x v="0"/>
    <s v="Gray"/>
    <x v="0"/>
    <n v="4.9000000000000004"/>
    <s v="No"/>
    <x v="4"/>
    <s v="No"/>
    <n v="45"/>
    <x v="1"/>
    <s v="Weekly"/>
    <n v="0.1"/>
    <n v="50.4"/>
    <n v="56"/>
    <s v="Cash"/>
    <s v="Normal"/>
    <s v="Good"/>
  </r>
  <r>
    <n v="3413"/>
    <n v="61"/>
    <x v="1"/>
    <x v="3"/>
    <x v="1"/>
    <n v="83"/>
    <x v="27"/>
    <x v="2"/>
    <s v="Magenta"/>
    <x v="3"/>
    <n v="3.8"/>
    <s v="No"/>
    <x v="5"/>
    <s v="No"/>
    <n v="31"/>
    <x v="0"/>
    <s v="Quarterly"/>
    <n v="0.1"/>
    <n v="74.7"/>
    <n v="83"/>
    <s v="Venmo"/>
    <s v="Normal"/>
    <s v="Good"/>
  </r>
  <r>
    <n v="3414"/>
    <n v="34"/>
    <x v="1"/>
    <x v="24"/>
    <x v="3"/>
    <n v="90"/>
    <x v="12"/>
    <x v="3"/>
    <s v="Black"/>
    <x v="0"/>
    <n v="2.5"/>
    <s v="No"/>
    <x v="0"/>
    <s v="No"/>
    <n v="16"/>
    <x v="3"/>
    <s v="Bi-Weekly"/>
    <n v="0.1"/>
    <n v="81"/>
    <n v="90"/>
    <s v="PayPal"/>
    <s v="Normal"/>
    <s v="Poor"/>
  </r>
  <r>
    <n v="3415"/>
    <n v="27"/>
    <x v="1"/>
    <x v="23"/>
    <x v="1"/>
    <n v="94"/>
    <x v="39"/>
    <x v="2"/>
    <s v="Maroon"/>
    <x v="1"/>
    <n v="4.9000000000000004"/>
    <s v="No"/>
    <x v="2"/>
    <s v="No"/>
    <n v="3"/>
    <x v="4"/>
    <s v="Quarterly"/>
    <n v="0.1"/>
    <n v="84.6"/>
    <n v="94"/>
    <s v="Bank Transfer"/>
    <s v="Normal"/>
    <s v="Good"/>
  </r>
  <r>
    <n v="3416"/>
    <n v="38"/>
    <x v="1"/>
    <x v="0"/>
    <x v="0"/>
    <n v="68"/>
    <x v="14"/>
    <x v="2"/>
    <s v="Gold"/>
    <x v="3"/>
    <n v="3"/>
    <s v="No"/>
    <x v="4"/>
    <s v="No"/>
    <n v="15"/>
    <x v="4"/>
    <s v="Annually"/>
    <n v="0.1"/>
    <n v="61.2"/>
    <n v="68"/>
    <s v="Bank Transfer"/>
    <s v="Normal"/>
    <s v="Good"/>
  </r>
  <r>
    <n v="3417"/>
    <n v="25"/>
    <x v="1"/>
    <x v="3"/>
    <x v="1"/>
    <n v="53"/>
    <x v="15"/>
    <x v="2"/>
    <s v="Purple"/>
    <x v="1"/>
    <n v="3.2"/>
    <s v="No"/>
    <x v="5"/>
    <s v="No"/>
    <n v="11"/>
    <x v="4"/>
    <s v="Every 3 Months"/>
    <n v="0.1"/>
    <n v="47.7"/>
    <n v="53"/>
    <s v="Bank Transfer"/>
    <s v="Normal"/>
    <s v="Good"/>
  </r>
  <r>
    <n v="3418"/>
    <n v="54"/>
    <x v="1"/>
    <x v="7"/>
    <x v="2"/>
    <n v="35"/>
    <x v="2"/>
    <x v="2"/>
    <s v="Blue"/>
    <x v="2"/>
    <n v="2.9"/>
    <s v="No"/>
    <x v="4"/>
    <s v="No"/>
    <n v="22"/>
    <x v="5"/>
    <s v="Fortnightly"/>
    <n v="0.1"/>
    <n v="31.5"/>
    <n v="35"/>
    <s v="Debit Card"/>
    <s v="Normal"/>
    <s v="Poor"/>
  </r>
  <r>
    <n v="3419"/>
    <n v="53"/>
    <x v="1"/>
    <x v="14"/>
    <x v="2"/>
    <n v="30"/>
    <x v="36"/>
    <x v="2"/>
    <s v="Beige"/>
    <x v="2"/>
    <n v="2.8"/>
    <s v="No"/>
    <x v="1"/>
    <s v="No"/>
    <n v="35"/>
    <x v="5"/>
    <s v="Annually"/>
    <n v="0.1"/>
    <n v="27"/>
    <n v="30"/>
    <s v="Debit Card"/>
    <s v="Normal"/>
    <s v="Poor"/>
  </r>
  <r>
    <n v="3420"/>
    <n v="23"/>
    <x v="1"/>
    <x v="16"/>
    <x v="3"/>
    <n v="26"/>
    <x v="8"/>
    <x v="0"/>
    <s v="Indigo"/>
    <x v="0"/>
    <n v="3.1"/>
    <s v="No"/>
    <x v="5"/>
    <s v="No"/>
    <n v="5"/>
    <x v="0"/>
    <s v="Bi-Weekly"/>
    <n v="0.1"/>
    <n v="23.4"/>
    <n v="26"/>
    <s v="Venmo"/>
    <s v="Normal"/>
    <s v="Good"/>
  </r>
  <r>
    <n v="3421"/>
    <n v="19"/>
    <x v="1"/>
    <x v="19"/>
    <x v="3"/>
    <n v="60"/>
    <x v="0"/>
    <x v="2"/>
    <s v="Purple"/>
    <x v="0"/>
    <n v="3.4"/>
    <s v="No"/>
    <x v="0"/>
    <s v="No"/>
    <n v="35"/>
    <x v="3"/>
    <s v="Bi-Weekly"/>
    <n v="0.1"/>
    <n v="54"/>
    <n v="60"/>
    <s v="PayPal"/>
    <s v="Normal"/>
    <s v="Good"/>
  </r>
  <r>
    <n v="3422"/>
    <n v="57"/>
    <x v="1"/>
    <x v="9"/>
    <x v="1"/>
    <n v="30"/>
    <x v="32"/>
    <x v="2"/>
    <s v="Maroon"/>
    <x v="2"/>
    <n v="2.9"/>
    <s v="No"/>
    <x v="1"/>
    <s v="No"/>
    <n v="27"/>
    <x v="3"/>
    <s v="Weekly"/>
    <n v="0.1"/>
    <n v="27"/>
    <n v="30"/>
    <s v="PayPal"/>
    <s v="Normal"/>
    <s v="Poor"/>
  </r>
  <r>
    <n v="3423"/>
    <n v="19"/>
    <x v="1"/>
    <x v="7"/>
    <x v="2"/>
    <n v="91"/>
    <x v="14"/>
    <x v="0"/>
    <s v="Beige"/>
    <x v="0"/>
    <n v="3.2"/>
    <s v="No"/>
    <x v="2"/>
    <s v="No"/>
    <n v="9"/>
    <x v="0"/>
    <s v="Monthly"/>
    <n v="0.1"/>
    <n v="81.900000000000006"/>
    <n v="91"/>
    <s v="Venmo"/>
    <s v="Normal"/>
    <s v="Good"/>
  </r>
  <r>
    <n v="3424"/>
    <n v="33"/>
    <x v="1"/>
    <x v="23"/>
    <x v="1"/>
    <n v="71"/>
    <x v="2"/>
    <x v="2"/>
    <s v="Brown"/>
    <x v="1"/>
    <n v="3.8"/>
    <s v="No"/>
    <x v="2"/>
    <s v="No"/>
    <n v="21"/>
    <x v="3"/>
    <s v="Bi-Weekly"/>
    <n v="0.1"/>
    <n v="63.9"/>
    <n v="71"/>
    <s v="PayPal"/>
    <s v="Normal"/>
    <s v="Good"/>
  </r>
  <r>
    <n v="3425"/>
    <n v="33"/>
    <x v="1"/>
    <x v="18"/>
    <x v="3"/>
    <n v="64"/>
    <x v="20"/>
    <x v="0"/>
    <s v="Green"/>
    <x v="2"/>
    <n v="3.6"/>
    <s v="No"/>
    <x v="4"/>
    <s v="No"/>
    <n v="23"/>
    <x v="2"/>
    <s v="Monthly"/>
    <n v="0.1"/>
    <n v="57.6"/>
    <n v="64"/>
    <s v="Credit Card"/>
    <s v="Normal"/>
    <s v="Good"/>
  </r>
  <r>
    <n v="3426"/>
    <n v="38"/>
    <x v="1"/>
    <x v="19"/>
    <x v="3"/>
    <n v="54"/>
    <x v="49"/>
    <x v="2"/>
    <s v="Blue"/>
    <x v="2"/>
    <n v="4.3"/>
    <s v="No"/>
    <x v="2"/>
    <s v="No"/>
    <n v="3"/>
    <x v="5"/>
    <s v="Bi-Weekly"/>
    <n v="0.1"/>
    <n v="48.6"/>
    <n v="54"/>
    <s v="Debit Card"/>
    <s v="Normal"/>
    <s v="Good"/>
  </r>
  <r>
    <n v="3427"/>
    <n v="47"/>
    <x v="1"/>
    <x v="20"/>
    <x v="0"/>
    <n v="35"/>
    <x v="4"/>
    <x v="3"/>
    <s v="Magenta"/>
    <x v="3"/>
    <n v="4.8"/>
    <s v="No"/>
    <x v="4"/>
    <s v="No"/>
    <n v="31"/>
    <x v="2"/>
    <s v="Annually"/>
    <n v="0.1"/>
    <n v="31.5"/>
    <n v="35"/>
    <s v="Credit Card"/>
    <s v="Normal"/>
    <s v="Good"/>
  </r>
  <r>
    <n v="3428"/>
    <n v="39"/>
    <x v="1"/>
    <x v="17"/>
    <x v="0"/>
    <n v="38"/>
    <x v="49"/>
    <x v="3"/>
    <s v="Turquoise"/>
    <x v="0"/>
    <n v="2.5"/>
    <s v="No"/>
    <x v="5"/>
    <s v="No"/>
    <n v="44"/>
    <x v="1"/>
    <s v="Annually"/>
    <n v="0.1"/>
    <n v="34.200000000000003"/>
    <n v="38"/>
    <s v="Cash"/>
    <s v="Normal"/>
    <s v="Poor"/>
  </r>
  <r>
    <n v="3429"/>
    <n v="32"/>
    <x v="1"/>
    <x v="16"/>
    <x v="3"/>
    <n v="69"/>
    <x v="47"/>
    <x v="2"/>
    <s v="Gray"/>
    <x v="3"/>
    <n v="2.5"/>
    <s v="No"/>
    <x v="2"/>
    <s v="No"/>
    <n v="20"/>
    <x v="0"/>
    <s v="Monthly"/>
    <n v="0.1"/>
    <n v="62.1"/>
    <n v="69"/>
    <s v="Venmo"/>
    <s v="Normal"/>
    <s v="Poor"/>
  </r>
  <r>
    <n v="3430"/>
    <n v="27"/>
    <x v="1"/>
    <x v="11"/>
    <x v="0"/>
    <n v="96"/>
    <x v="29"/>
    <x v="1"/>
    <s v="Purple"/>
    <x v="0"/>
    <n v="4.5999999999999996"/>
    <s v="No"/>
    <x v="0"/>
    <s v="No"/>
    <n v="34"/>
    <x v="5"/>
    <s v="Weekly"/>
    <n v="0.1"/>
    <n v="86.4"/>
    <n v="96"/>
    <s v="Debit Card"/>
    <s v="Normal"/>
    <s v="Good"/>
  </r>
  <r>
    <n v="3431"/>
    <n v="67"/>
    <x v="1"/>
    <x v="20"/>
    <x v="0"/>
    <n v="73"/>
    <x v="6"/>
    <x v="2"/>
    <s v="Lavender"/>
    <x v="0"/>
    <n v="4.2"/>
    <s v="No"/>
    <x v="2"/>
    <s v="No"/>
    <n v="17"/>
    <x v="4"/>
    <s v="Every 3 Months"/>
    <n v="0.1"/>
    <n v="65.7"/>
    <n v="73"/>
    <s v="Bank Transfer"/>
    <s v="Normal"/>
    <s v="Good"/>
  </r>
  <r>
    <n v="3432"/>
    <n v="46"/>
    <x v="1"/>
    <x v="22"/>
    <x v="3"/>
    <n v="49"/>
    <x v="35"/>
    <x v="1"/>
    <s v="Green"/>
    <x v="2"/>
    <n v="4.2"/>
    <s v="No"/>
    <x v="0"/>
    <s v="No"/>
    <n v="20"/>
    <x v="0"/>
    <s v="Annually"/>
    <n v="0.1"/>
    <n v="44.1"/>
    <n v="49"/>
    <s v="Venmo"/>
    <s v="Normal"/>
    <s v="Good"/>
  </r>
  <r>
    <n v="3433"/>
    <n v="36"/>
    <x v="1"/>
    <x v="23"/>
    <x v="1"/>
    <n v="44"/>
    <x v="39"/>
    <x v="2"/>
    <s v="Gray"/>
    <x v="2"/>
    <n v="4.8"/>
    <s v="No"/>
    <x v="4"/>
    <s v="No"/>
    <n v="46"/>
    <x v="3"/>
    <s v="Every 3 Months"/>
    <n v="0.1"/>
    <n v="39.6"/>
    <n v="44"/>
    <s v="PayPal"/>
    <s v="Normal"/>
    <s v="Good"/>
  </r>
  <r>
    <n v="3434"/>
    <n v="62"/>
    <x v="1"/>
    <x v="20"/>
    <x v="0"/>
    <n v="93"/>
    <x v="29"/>
    <x v="2"/>
    <s v="Yellow"/>
    <x v="1"/>
    <n v="4.5"/>
    <s v="No"/>
    <x v="1"/>
    <s v="No"/>
    <n v="28"/>
    <x v="3"/>
    <s v="Annually"/>
    <n v="0.1"/>
    <n v="83.7"/>
    <n v="93"/>
    <s v="PayPal"/>
    <s v="Normal"/>
    <s v="Good"/>
  </r>
  <r>
    <n v="3435"/>
    <n v="31"/>
    <x v="1"/>
    <x v="13"/>
    <x v="0"/>
    <n v="72"/>
    <x v="31"/>
    <x v="1"/>
    <s v="Orange"/>
    <x v="2"/>
    <n v="3.3"/>
    <s v="No"/>
    <x v="4"/>
    <s v="No"/>
    <n v="6"/>
    <x v="0"/>
    <s v="Fortnightly"/>
    <n v="0.1"/>
    <n v="64.8"/>
    <n v="72"/>
    <s v="Venmo"/>
    <s v="Normal"/>
    <s v="Good"/>
  </r>
  <r>
    <n v="3436"/>
    <n v="68"/>
    <x v="1"/>
    <x v="20"/>
    <x v="0"/>
    <n v="91"/>
    <x v="6"/>
    <x v="2"/>
    <s v="Beige"/>
    <x v="2"/>
    <n v="2.7"/>
    <s v="No"/>
    <x v="4"/>
    <s v="No"/>
    <n v="50"/>
    <x v="5"/>
    <s v="Bi-Weekly"/>
    <n v="0.1"/>
    <n v="81.900000000000006"/>
    <n v="91"/>
    <s v="Debit Card"/>
    <s v="Normal"/>
    <s v="Poor"/>
  </r>
  <r>
    <n v="3437"/>
    <n v="57"/>
    <x v="1"/>
    <x v="22"/>
    <x v="3"/>
    <n v="83"/>
    <x v="43"/>
    <x v="0"/>
    <s v="Peach"/>
    <x v="0"/>
    <n v="2.8"/>
    <s v="No"/>
    <x v="4"/>
    <s v="No"/>
    <n v="41"/>
    <x v="4"/>
    <s v="Monthly"/>
    <n v="0.1"/>
    <n v="74.7"/>
    <n v="83"/>
    <s v="Bank Transfer"/>
    <s v="Normal"/>
    <s v="Poor"/>
  </r>
  <r>
    <n v="3438"/>
    <n v="22"/>
    <x v="1"/>
    <x v="14"/>
    <x v="2"/>
    <n v="62"/>
    <x v="19"/>
    <x v="1"/>
    <s v="Green"/>
    <x v="0"/>
    <n v="3.5"/>
    <s v="No"/>
    <x v="4"/>
    <s v="No"/>
    <n v="50"/>
    <x v="3"/>
    <s v="Annually"/>
    <n v="0.1"/>
    <n v="55.8"/>
    <n v="62"/>
    <s v="PayPal"/>
    <s v="Normal"/>
    <s v="Good"/>
  </r>
  <r>
    <n v="3439"/>
    <n v="26"/>
    <x v="1"/>
    <x v="5"/>
    <x v="0"/>
    <n v="71"/>
    <x v="0"/>
    <x v="2"/>
    <s v="Violet"/>
    <x v="3"/>
    <n v="3"/>
    <s v="No"/>
    <x v="5"/>
    <s v="No"/>
    <n v="33"/>
    <x v="2"/>
    <s v="Monthly"/>
    <n v="0.1"/>
    <n v="63.9"/>
    <n v="71"/>
    <s v="Credit Card"/>
    <s v="Normal"/>
    <s v="Good"/>
  </r>
  <r>
    <n v="3440"/>
    <n v="43"/>
    <x v="1"/>
    <x v="24"/>
    <x v="3"/>
    <n v="93"/>
    <x v="37"/>
    <x v="2"/>
    <s v="Gray"/>
    <x v="2"/>
    <n v="4.5"/>
    <s v="No"/>
    <x v="0"/>
    <s v="No"/>
    <n v="25"/>
    <x v="0"/>
    <s v="Quarterly"/>
    <n v="0.1"/>
    <n v="83.7"/>
    <n v="93"/>
    <s v="Venmo"/>
    <s v="Normal"/>
    <s v="Good"/>
  </r>
  <r>
    <n v="3441"/>
    <n v="45"/>
    <x v="1"/>
    <x v="8"/>
    <x v="3"/>
    <n v="63"/>
    <x v="33"/>
    <x v="0"/>
    <s v="Magenta"/>
    <x v="3"/>
    <n v="4.3"/>
    <s v="No"/>
    <x v="4"/>
    <s v="No"/>
    <n v="2"/>
    <x v="3"/>
    <s v="Weekly"/>
    <n v="0.1"/>
    <n v="56.7"/>
    <n v="63"/>
    <s v="PayPal"/>
    <s v="Normal"/>
    <s v="Good"/>
  </r>
  <r>
    <n v="3442"/>
    <n v="64"/>
    <x v="1"/>
    <x v="1"/>
    <x v="0"/>
    <n v="96"/>
    <x v="30"/>
    <x v="3"/>
    <s v="Charcoal"/>
    <x v="3"/>
    <n v="4.0999999999999996"/>
    <s v="No"/>
    <x v="3"/>
    <s v="No"/>
    <n v="15"/>
    <x v="2"/>
    <s v="Annually"/>
    <n v="0.1"/>
    <n v="86.4"/>
    <n v="96"/>
    <s v="Credit Card"/>
    <s v="Normal"/>
    <s v="Good"/>
  </r>
  <r>
    <n v="3443"/>
    <n v="28"/>
    <x v="1"/>
    <x v="11"/>
    <x v="0"/>
    <n v="78"/>
    <x v="49"/>
    <x v="2"/>
    <s v="Violet"/>
    <x v="1"/>
    <n v="4.3"/>
    <s v="No"/>
    <x v="2"/>
    <s v="No"/>
    <n v="12"/>
    <x v="3"/>
    <s v="Weekly"/>
    <n v="0.1"/>
    <n v="70.2"/>
    <n v="78"/>
    <s v="PayPal"/>
    <s v="Normal"/>
    <s v="Good"/>
  </r>
  <r>
    <n v="3444"/>
    <n v="47"/>
    <x v="1"/>
    <x v="10"/>
    <x v="0"/>
    <n v="24"/>
    <x v="30"/>
    <x v="0"/>
    <s v="Silver"/>
    <x v="2"/>
    <n v="5"/>
    <s v="No"/>
    <x v="1"/>
    <s v="No"/>
    <n v="28"/>
    <x v="1"/>
    <s v="Bi-Weekly"/>
    <n v="0.1"/>
    <n v="21.6"/>
    <n v="24"/>
    <s v="Cash"/>
    <s v="Normal"/>
    <s v="Good"/>
  </r>
  <r>
    <n v="3445"/>
    <n v="53"/>
    <x v="1"/>
    <x v="13"/>
    <x v="0"/>
    <n v="63"/>
    <x v="3"/>
    <x v="1"/>
    <s v="Green"/>
    <x v="2"/>
    <n v="3.8"/>
    <s v="No"/>
    <x v="4"/>
    <s v="No"/>
    <n v="12"/>
    <x v="4"/>
    <s v="Bi-Weekly"/>
    <n v="0.1"/>
    <n v="56.7"/>
    <n v="63"/>
    <s v="Bank Transfer"/>
    <s v="Normal"/>
    <s v="Good"/>
  </r>
  <r>
    <n v="3446"/>
    <n v="42"/>
    <x v="1"/>
    <x v="19"/>
    <x v="3"/>
    <n v="58"/>
    <x v="20"/>
    <x v="2"/>
    <s v="Magenta"/>
    <x v="3"/>
    <n v="4.9000000000000004"/>
    <s v="No"/>
    <x v="3"/>
    <s v="No"/>
    <n v="3"/>
    <x v="5"/>
    <s v="Annually"/>
    <n v="0.1"/>
    <n v="52.2"/>
    <n v="58"/>
    <s v="Debit Card"/>
    <s v="Normal"/>
    <s v="Good"/>
  </r>
  <r>
    <n v="3447"/>
    <n v="51"/>
    <x v="1"/>
    <x v="23"/>
    <x v="1"/>
    <n v="55"/>
    <x v="7"/>
    <x v="1"/>
    <s v="Purple"/>
    <x v="1"/>
    <n v="5"/>
    <s v="No"/>
    <x v="4"/>
    <s v="No"/>
    <n v="20"/>
    <x v="1"/>
    <s v="Weekly"/>
    <n v="0.1"/>
    <n v="49.5"/>
    <n v="55"/>
    <s v="Cash"/>
    <s v="Normal"/>
    <s v="Good"/>
  </r>
  <r>
    <n v="3448"/>
    <n v="62"/>
    <x v="1"/>
    <x v="3"/>
    <x v="1"/>
    <n v="58"/>
    <x v="10"/>
    <x v="2"/>
    <s v="Blue"/>
    <x v="3"/>
    <n v="4.3"/>
    <s v="No"/>
    <x v="0"/>
    <s v="No"/>
    <n v="3"/>
    <x v="4"/>
    <s v="Bi-Weekly"/>
    <n v="0.1"/>
    <n v="52.2"/>
    <n v="58"/>
    <s v="Bank Transfer"/>
    <s v="Normal"/>
    <s v="Good"/>
  </r>
  <r>
    <n v="3449"/>
    <n v="18"/>
    <x v="1"/>
    <x v="7"/>
    <x v="2"/>
    <n v="28"/>
    <x v="0"/>
    <x v="1"/>
    <s v="Yellow"/>
    <x v="0"/>
    <n v="4.0999999999999996"/>
    <s v="No"/>
    <x v="0"/>
    <s v="No"/>
    <n v="32"/>
    <x v="4"/>
    <s v="Fortnightly"/>
    <n v="0.1"/>
    <n v="25.2"/>
    <n v="28"/>
    <s v="Bank Transfer"/>
    <s v="Normal"/>
    <s v="Good"/>
  </r>
  <r>
    <n v="3450"/>
    <n v="48"/>
    <x v="1"/>
    <x v="0"/>
    <x v="0"/>
    <n v="37"/>
    <x v="23"/>
    <x v="2"/>
    <s v="Brown"/>
    <x v="1"/>
    <n v="4.5"/>
    <s v="No"/>
    <x v="3"/>
    <s v="No"/>
    <n v="35"/>
    <x v="1"/>
    <s v="Monthly"/>
    <n v="0.1"/>
    <n v="33.299999999999997"/>
    <n v="37"/>
    <s v="Cash"/>
    <s v="Normal"/>
    <s v="Good"/>
  </r>
  <r>
    <n v="3451"/>
    <n v="20"/>
    <x v="1"/>
    <x v="6"/>
    <x v="0"/>
    <n v="78"/>
    <x v="34"/>
    <x v="2"/>
    <s v="Pink"/>
    <x v="1"/>
    <n v="3.6"/>
    <s v="No"/>
    <x v="5"/>
    <s v="No"/>
    <n v="31"/>
    <x v="3"/>
    <s v="Monthly"/>
    <n v="0.1"/>
    <n v="70.2"/>
    <n v="78"/>
    <s v="PayPal"/>
    <s v="Normal"/>
    <s v="Good"/>
  </r>
  <r>
    <n v="3452"/>
    <n v="32"/>
    <x v="1"/>
    <x v="0"/>
    <x v="0"/>
    <n v="73"/>
    <x v="22"/>
    <x v="3"/>
    <s v="Silver"/>
    <x v="3"/>
    <n v="3"/>
    <s v="No"/>
    <x v="1"/>
    <s v="No"/>
    <n v="13"/>
    <x v="2"/>
    <s v="Annually"/>
    <n v="0.1"/>
    <n v="65.7"/>
    <n v="73"/>
    <s v="Credit Card"/>
    <s v="Normal"/>
    <s v="Good"/>
  </r>
  <r>
    <n v="3453"/>
    <n v="26"/>
    <x v="1"/>
    <x v="14"/>
    <x v="2"/>
    <n v="20"/>
    <x v="19"/>
    <x v="2"/>
    <s v="Indigo"/>
    <x v="1"/>
    <n v="3.7"/>
    <s v="No"/>
    <x v="2"/>
    <s v="No"/>
    <n v="3"/>
    <x v="0"/>
    <s v="Fortnightly"/>
    <n v="0.1"/>
    <n v="18"/>
    <n v="20"/>
    <s v="Venmo"/>
    <s v="Normal"/>
    <s v="Good"/>
  </r>
  <r>
    <n v="3454"/>
    <n v="31"/>
    <x v="1"/>
    <x v="5"/>
    <x v="0"/>
    <n v="60"/>
    <x v="15"/>
    <x v="0"/>
    <s v="Pink"/>
    <x v="0"/>
    <n v="4.3"/>
    <s v="No"/>
    <x v="3"/>
    <s v="No"/>
    <n v="48"/>
    <x v="0"/>
    <s v="Bi-Weekly"/>
    <n v="0.1"/>
    <n v="54"/>
    <n v="60"/>
    <s v="Venmo"/>
    <s v="Normal"/>
    <s v="Good"/>
  </r>
  <r>
    <n v="3455"/>
    <n v="55"/>
    <x v="1"/>
    <x v="8"/>
    <x v="3"/>
    <n v="71"/>
    <x v="7"/>
    <x v="1"/>
    <s v="Lavender"/>
    <x v="3"/>
    <n v="4.5999999999999996"/>
    <s v="No"/>
    <x v="5"/>
    <s v="No"/>
    <n v="15"/>
    <x v="3"/>
    <s v="Bi-Weekly"/>
    <n v="0.1"/>
    <n v="63.9"/>
    <n v="71"/>
    <s v="PayPal"/>
    <s v="Normal"/>
    <s v="Good"/>
  </r>
  <r>
    <n v="3456"/>
    <n v="49"/>
    <x v="1"/>
    <x v="17"/>
    <x v="0"/>
    <n v="89"/>
    <x v="31"/>
    <x v="2"/>
    <s v="Orange"/>
    <x v="3"/>
    <n v="4.7"/>
    <s v="No"/>
    <x v="3"/>
    <s v="No"/>
    <n v="13"/>
    <x v="0"/>
    <s v="Annually"/>
    <n v="0.1"/>
    <n v="80.099999999999994"/>
    <n v="89"/>
    <s v="Venmo"/>
    <s v="Normal"/>
    <s v="Good"/>
  </r>
  <r>
    <n v="3457"/>
    <n v="42"/>
    <x v="1"/>
    <x v="15"/>
    <x v="0"/>
    <n v="53"/>
    <x v="21"/>
    <x v="2"/>
    <s v="Red"/>
    <x v="3"/>
    <n v="4.5999999999999996"/>
    <s v="No"/>
    <x v="0"/>
    <s v="No"/>
    <n v="21"/>
    <x v="0"/>
    <s v="Monthly"/>
    <n v="0.1"/>
    <n v="47.7"/>
    <n v="53"/>
    <s v="Venmo"/>
    <s v="Normal"/>
    <s v="Good"/>
  </r>
  <r>
    <n v="3458"/>
    <n v="64"/>
    <x v="1"/>
    <x v="16"/>
    <x v="3"/>
    <n v="87"/>
    <x v="33"/>
    <x v="2"/>
    <s v="Gray"/>
    <x v="2"/>
    <n v="3"/>
    <s v="No"/>
    <x v="0"/>
    <s v="No"/>
    <n v="29"/>
    <x v="1"/>
    <s v="Fortnightly"/>
    <n v="0.1"/>
    <n v="78.3"/>
    <n v="87"/>
    <s v="Cash"/>
    <s v="Normal"/>
    <s v="Good"/>
  </r>
  <r>
    <n v="3459"/>
    <n v="68"/>
    <x v="1"/>
    <x v="16"/>
    <x v="3"/>
    <n v="37"/>
    <x v="8"/>
    <x v="0"/>
    <s v="Violet"/>
    <x v="1"/>
    <n v="3.4"/>
    <s v="No"/>
    <x v="3"/>
    <s v="No"/>
    <n v="24"/>
    <x v="0"/>
    <s v="Quarterly"/>
    <n v="0.1"/>
    <n v="33.299999999999997"/>
    <n v="37"/>
    <s v="Venmo"/>
    <s v="Normal"/>
    <s v="Good"/>
  </r>
  <r>
    <n v="3460"/>
    <n v="68"/>
    <x v="1"/>
    <x v="15"/>
    <x v="0"/>
    <n v="37"/>
    <x v="31"/>
    <x v="0"/>
    <s v="Green"/>
    <x v="3"/>
    <n v="3.8"/>
    <s v="No"/>
    <x v="0"/>
    <s v="No"/>
    <n v="21"/>
    <x v="3"/>
    <s v="Annually"/>
    <n v="0.1"/>
    <n v="33.299999999999997"/>
    <n v="37"/>
    <s v="PayPal"/>
    <s v="Normal"/>
    <s v="Good"/>
  </r>
  <r>
    <n v="3461"/>
    <n v="41"/>
    <x v="1"/>
    <x v="18"/>
    <x v="3"/>
    <n v="78"/>
    <x v="27"/>
    <x v="2"/>
    <s v="Gold"/>
    <x v="1"/>
    <n v="3.1"/>
    <s v="No"/>
    <x v="0"/>
    <s v="No"/>
    <n v="5"/>
    <x v="4"/>
    <s v="Bi-Weekly"/>
    <n v="0.1"/>
    <n v="70.2"/>
    <n v="78"/>
    <s v="Bank Transfer"/>
    <s v="Normal"/>
    <s v="Good"/>
  </r>
  <r>
    <n v="3462"/>
    <n v="51"/>
    <x v="1"/>
    <x v="9"/>
    <x v="1"/>
    <n v="23"/>
    <x v="5"/>
    <x v="1"/>
    <s v="Maroon"/>
    <x v="1"/>
    <n v="4.4000000000000004"/>
    <s v="No"/>
    <x v="3"/>
    <s v="No"/>
    <n v="47"/>
    <x v="1"/>
    <s v="Quarterly"/>
    <n v="0.1"/>
    <n v="20.7"/>
    <n v="23"/>
    <s v="Cash"/>
    <s v="Normal"/>
    <s v="Good"/>
  </r>
  <r>
    <n v="3463"/>
    <n v="44"/>
    <x v="1"/>
    <x v="2"/>
    <x v="0"/>
    <n v="73"/>
    <x v="49"/>
    <x v="0"/>
    <s v="Olive"/>
    <x v="1"/>
    <n v="4.5"/>
    <s v="No"/>
    <x v="3"/>
    <s v="No"/>
    <n v="34"/>
    <x v="2"/>
    <s v="Every 3 Months"/>
    <n v="0.1"/>
    <n v="65.7"/>
    <n v="73"/>
    <s v="Credit Card"/>
    <s v="Normal"/>
    <s v="Good"/>
  </r>
  <r>
    <n v="3464"/>
    <n v="27"/>
    <x v="1"/>
    <x v="16"/>
    <x v="3"/>
    <n v="27"/>
    <x v="1"/>
    <x v="2"/>
    <s v="Yellow"/>
    <x v="3"/>
    <n v="2.8"/>
    <s v="No"/>
    <x v="4"/>
    <s v="No"/>
    <n v="45"/>
    <x v="3"/>
    <s v="Fortnightly"/>
    <n v="0.1"/>
    <n v="24.3"/>
    <n v="27"/>
    <s v="PayPal"/>
    <s v="Normal"/>
    <s v="Poor"/>
  </r>
  <r>
    <n v="3465"/>
    <n v="36"/>
    <x v="1"/>
    <x v="7"/>
    <x v="2"/>
    <n v="59"/>
    <x v="40"/>
    <x v="1"/>
    <s v="Peach"/>
    <x v="0"/>
    <n v="2.7"/>
    <s v="No"/>
    <x v="2"/>
    <s v="No"/>
    <n v="12"/>
    <x v="3"/>
    <s v="Annually"/>
    <n v="0.1"/>
    <n v="53.1"/>
    <n v="59"/>
    <s v="PayPal"/>
    <s v="Normal"/>
    <s v="Poor"/>
  </r>
  <r>
    <n v="3466"/>
    <n v="19"/>
    <x v="1"/>
    <x v="21"/>
    <x v="3"/>
    <n v="53"/>
    <x v="44"/>
    <x v="2"/>
    <s v="Gold"/>
    <x v="1"/>
    <n v="3.4"/>
    <s v="No"/>
    <x v="3"/>
    <s v="No"/>
    <n v="31"/>
    <x v="5"/>
    <s v="Weekly"/>
    <n v="0.1"/>
    <n v="47.7"/>
    <n v="53"/>
    <s v="Debit Card"/>
    <s v="Normal"/>
    <s v="Good"/>
  </r>
  <r>
    <n v="3467"/>
    <n v="49"/>
    <x v="1"/>
    <x v="20"/>
    <x v="0"/>
    <n v="42"/>
    <x v="33"/>
    <x v="1"/>
    <s v="Purple"/>
    <x v="2"/>
    <n v="4.5999999999999996"/>
    <s v="No"/>
    <x v="3"/>
    <s v="No"/>
    <n v="43"/>
    <x v="4"/>
    <s v="Annually"/>
    <n v="0.1"/>
    <n v="37.799999999999997"/>
    <n v="42"/>
    <s v="Bank Transfer"/>
    <s v="Normal"/>
    <s v="Good"/>
  </r>
  <r>
    <n v="3468"/>
    <n v="18"/>
    <x v="1"/>
    <x v="18"/>
    <x v="3"/>
    <n v="45"/>
    <x v="21"/>
    <x v="2"/>
    <s v="Charcoal"/>
    <x v="3"/>
    <n v="5"/>
    <s v="No"/>
    <x v="2"/>
    <s v="No"/>
    <n v="5"/>
    <x v="2"/>
    <s v="Annually"/>
    <n v="0.1"/>
    <n v="40.5"/>
    <n v="45"/>
    <s v="Credit Card"/>
    <s v="Normal"/>
    <s v="Good"/>
  </r>
  <r>
    <n v="3469"/>
    <n v="36"/>
    <x v="1"/>
    <x v="12"/>
    <x v="3"/>
    <n v="89"/>
    <x v="31"/>
    <x v="1"/>
    <s v="Indigo"/>
    <x v="0"/>
    <n v="3.5"/>
    <s v="No"/>
    <x v="3"/>
    <s v="No"/>
    <n v="36"/>
    <x v="5"/>
    <s v="Quarterly"/>
    <n v="0.1"/>
    <n v="80.099999999999994"/>
    <n v="89"/>
    <s v="Debit Card"/>
    <s v="Normal"/>
    <s v="Good"/>
  </r>
  <r>
    <n v="3470"/>
    <n v="36"/>
    <x v="1"/>
    <x v="20"/>
    <x v="0"/>
    <n v="85"/>
    <x v="25"/>
    <x v="0"/>
    <s v="Magenta"/>
    <x v="3"/>
    <n v="3.3"/>
    <s v="No"/>
    <x v="5"/>
    <s v="No"/>
    <n v="12"/>
    <x v="1"/>
    <s v="Annually"/>
    <n v="0.1"/>
    <n v="76.5"/>
    <n v="85"/>
    <s v="Cash"/>
    <s v="Normal"/>
    <s v="Good"/>
  </r>
  <r>
    <n v="3471"/>
    <n v="19"/>
    <x v="1"/>
    <x v="7"/>
    <x v="2"/>
    <n v="69"/>
    <x v="8"/>
    <x v="1"/>
    <s v="Olive"/>
    <x v="2"/>
    <n v="4.5"/>
    <s v="No"/>
    <x v="1"/>
    <s v="No"/>
    <n v="31"/>
    <x v="1"/>
    <s v="Bi-Weekly"/>
    <n v="0.1"/>
    <n v="62.1"/>
    <n v="69"/>
    <s v="Cash"/>
    <s v="Normal"/>
    <s v="Good"/>
  </r>
  <r>
    <n v="3472"/>
    <n v="43"/>
    <x v="1"/>
    <x v="3"/>
    <x v="1"/>
    <n v="66"/>
    <x v="17"/>
    <x v="1"/>
    <s v="Blue"/>
    <x v="1"/>
    <n v="3.1"/>
    <s v="No"/>
    <x v="5"/>
    <s v="No"/>
    <n v="31"/>
    <x v="1"/>
    <s v="Bi-Weekly"/>
    <n v="0.1"/>
    <n v="59.4"/>
    <n v="66"/>
    <s v="Cash"/>
    <s v="Normal"/>
    <s v="Good"/>
  </r>
  <r>
    <n v="3473"/>
    <n v="31"/>
    <x v="1"/>
    <x v="0"/>
    <x v="0"/>
    <n v="42"/>
    <x v="42"/>
    <x v="1"/>
    <s v="White"/>
    <x v="2"/>
    <n v="4"/>
    <s v="No"/>
    <x v="1"/>
    <s v="No"/>
    <n v="15"/>
    <x v="5"/>
    <s v="Weekly"/>
    <n v="0.1"/>
    <n v="37.799999999999997"/>
    <n v="42"/>
    <s v="Debit Card"/>
    <s v="Normal"/>
    <s v="Good"/>
  </r>
  <r>
    <n v="3474"/>
    <n v="63"/>
    <x v="1"/>
    <x v="10"/>
    <x v="0"/>
    <n v="40"/>
    <x v="23"/>
    <x v="2"/>
    <s v="Cyan"/>
    <x v="1"/>
    <n v="2.5"/>
    <s v="No"/>
    <x v="0"/>
    <s v="No"/>
    <n v="11"/>
    <x v="1"/>
    <s v="Weekly"/>
    <n v="0.1"/>
    <n v="36"/>
    <n v="40"/>
    <s v="Cash"/>
    <s v="Normal"/>
    <s v="Poor"/>
  </r>
  <r>
    <n v="3475"/>
    <n v="41"/>
    <x v="1"/>
    <x v="13"/>
    <x v="0"/>
    <n v="82"/>
    <x v="1"/>
    <x v="2"/>
    <s v="Cyan"/>
    <x v="0"/>
    <n v="4.4000000000000004"/>
    <s v="No"/>
    <x v="5"/>
    <s v="No"/>
    <n v="18"/>
    <x v="0"/>
    <s v="Monthly"/>
    <n v="0.1"/>
    <n v="73.8"/>
    <n v="82"/>
    <s v="Venmo"/>
    <s v="Normal"/>
    <s v="Good"/>
  </r>
  <r>
    <n v="3476"/>
    <n v="48"/>
    <x v="1"/>
    <x v="4"/>
    <x v="1"/>
    <n v="88"/>
    <x v="36"/>
    <x v="2"/>
    <s v="Orange"/>
    <x v="1"/>
    <n v="4.4000000000000004"/>
    <s v="No"/>
    <x v="0"/>
    <s v="No"/>
    <n v="9"/>
    <x v="1"/>
    <s v="Quarterly"/>
    <n v="0.1"/>
    <n v="79.2"/>
    <n v="88"/>
    <s v="Cash"/>
    <s v="Normal"/>
    <s v="Good"/>
  </r>
  <r>
    <n v="3477"/>
    <n v="68"/>
    <x v="1"/>
    <x v="23"/>
    <x v="1"/>
    <n v="99"/>
    <x v="36"/>
    <x v="3"/>
    <s v="Orange"/>
    <x v="2"/>
    <n v="3.2"/>
    <s v="No"/>
    <x v="1"/>
    <s v="No"/>
    <n v="11"/>
    <x v="1"/>
    <s v="Weekly"/>
    <n v="0.1"/>
    <n v="89.1"/>
    <n v="99"/>
    <s v="Cash"/>
    <s v="Normal"/>
    <s v="Good"/>
  </r>
  <r>
    <n v="3478"/>
    <n v="53"/>
    <x v="1"/>
    <x v="8"/>
    <x v="3"/>
    <n v="85"/>
    <x v="0"/>
    <x v="1"/>
    <s v="Teal"/>
    <x v="1"/>
    <n v="3.8"/>
    <s v="No"/>
    <x v="5"/>
    <s v="No"/>
    <n v="38"/>
    <x v="5"/>
    <s v="Bi-Weekly"/>
    <n v="0.1"/>
    <n v="76.5"/>
    <n v="85"/>
    <s v="Debit Card"/>
    <s v="Normal"/>
    <s v="Good"/>
  </r>
  <r>
    <n v="3479"/>
    <n v="36"/>
    <x v="1"/>
    <x v="8"/>
    <x v="3"/>
    <n v="57"/>
    <x v="28"/>
    <x v="2"/>
    <s v="Magenta"/>
    <x v="3"/>
    <n v="4.5999999999999996"/>
    <s v="No"/>
    <x v="5"/>
    <s v="No"/>
    <n v="42"/>
    <x v="3"/>
    <s v="Quarterly"/>
    <n v="0.1"/>
    <n v="51.3"/>
    <n v="57"/>
    <s v="PayPal"/>
    <s v="Normal"/>
    <s v="Good"/>
  </r>
  <r>
    <n v="3480"/>
    <n v="46"/>
    <x v="1"/>
    <x v="1"/>
    <x v="0"/>
    <n v="56"/>
    <x v="14"/>
    <x v="1"/>
    <s v="Orange"/>
    <x v="2"/>
    <n v="4.9000000000000004"/>
    <s v="No"/>
    <x v="3"/>
    <s v="No"/>
    <n v="41"/>
    <x v="1"/>
    <s v="Monthly"/>
    <n v="0.1"/>
    <n v="50.4"/>
    <n v="56"/>
    <s v="Cash"/>
    <s v="Normal"/>
    <s v="Good"/>
  </r>
  <r>
    <n v="3481"/>
    <n v="21"/>
    <x v="1"/>
    <x v="3"/>
    <x v="1"/>
    <n v="79"/>
    <x v="13"/>
    <x v="0"/>
    <s v="Peach"/>
    <x v="0"/>
    <n v="3.5"/>
    <s v="No"/>
    <x v="1"/>
    <s v="No"/>
    <n v="45"/>
    <x v="3"/>
    <s v="Monthly"/>
    <n v="0.1"/>
    <n v="71.099999999999994"/>
    <n v="79"/>
    <s v="PayPal"/>
    <s v="Normal"/>
    <s v="Good"/>
  </r>
  <r>
    <n v="3482"/>
    <n v="52"/>
    <x v="1"/>
    <x v="20"/>
    <x v="0"/>
    <n v="67"/>
    <x v="31"/>
    <x v="1"/>
    <s v="Maroon"/>
    <x v="2"/>
    <n v="3.4"/>
    <s v="No"/>
    <x v="5"/>
    <s v="No"/>
    <n v="41"/>
    <x v="5"/>
    <s v="Bi-Weekly"/>
    <n v="0.1"/>
    <n v="60.3"/>
    <n v="67"/>
    <s v="Debit Card"/>
    <s v="Normal"/>
    <s v="Good"/>
  </r>
  <r>
    <n v="3483"/>
    <n v="66"/>
    <x v="1"/>
    <x v="24"/>
    <x v="3"/>
    <n v="61"/>
    <x v="11"/>
    <x v="2"/>
    <s v="Gold"/>
    <x v="0"/>
    <n v="3.9"/>
    <s v="No"/>
    <x v="2"/>
    <s v="No"/>
    <n v="35"/>
    <x v="5"/>
    <s v="Weekly"/>
    <n v="0.1"/>
    <n v="54.9"/>
    <n v="61"/>
    <s v="Debit Card"/>
    <s v="Normal"/>
    <s v="Good"/>
  </r>
  <r>
    <n v="3484"/>
    <n v="19"/>
    <x v="1"/>
    <x v="15"/>
    <x v="0"/>
    <n v="37"/>
    <x v="21"/>
    <x v="0"/>
    <s v="White"/>
    <x v="0"/>
    <n v="3.9"/>
    <s v="No"/>
    <x v="0"/>
    <s v="No"/>
    <n v="21"/>
    <x v="2"/>
    <s v="Every 3 Months"/>
    <n v="0.1"/>
    <n v="33.299999999999997"/>
    <n v="37"/>
    <s v="Credit Card"/>
    <s v="Normal"/>
    <s v="Good"/>
  </r>
  <r>
    <n v="3485"/>
    <n v="44"/>
    <x v="1"/>
    <x v="10"/>
    <x v="0"/>
    <n v="75"/>
    <x v="26"/>
    <x v="0"/>
    <s v="Gray"/>
    <x v="3"/>
    <n v="4.2"/>
    <s v="No"/>
    <x v="1"/>
    <s v="No"/>
    <n v="13"/>
    <x v="2"/>
    <s v="Bi-Weekly"/>
    <n v="0.1"/>
    <n v="67.5"/>
    <n v="75"/>
    <s v="Credit Card"/>
    <s v="Normal"/>
    <s v="Good"/>
  </r>
  <r>
    <n v="3486"/>
    <n v="50"/>
    <x v="1"/>
    <x v="5"/>
    <x v="0"/>
    <n v="21"/>
    <x v="2"/>
    <x v="3"/>
    <s v="Brown"/>
    <x v="0"/>
    <n v="3.4"/>
    <s v="No"/>
    <x v="3"/>
    <s v="No"/>
    <n v="23"/>
    <x v="5"/>
    <s v="Fortnightly"/>
    <n v="0.1"/>
    <n v="18.899999999999999"/>
    <n v="21"/>
    <s v="Debit Card"/>
    <s v="Normal"/>
    <s v="Good"/>
  </r>
  <r>
    <n v="3487"/>
    <n v="51"/>
    <x v="1"/>
    <x v="6"/>
    <x v="0"/>
    <n v="89"/>
    <x v="17"/>
    <x v="0"/>
    <s v="Charcoal"/>
    <x v="0"/>
    <n v="4.9000000000000004"/>
    <s v="No"/>
    <x v="3"/>
    <s v="No"/>
    <n v="6"/>
    <x v="3"/>
    <s v="Weekly"/>
    <n v="0.1"/>
    <n v="80.099999999999994"/>
    <n v="89"/>
    <s v="PayPal"/>
    <s v="Normal"/>
    <s v="Good"/>
  </r>
  <r>
    <n v="3488"/>
    <n v="25"/>
    <x v="1"/>
    <x v="3"/>
    <x v="1"/>
    <n v="24"/>
    <x v="8"/>
    <x v="0"/>
    <s v="Beige"/>
    <x v="3"/>
    <n v="2.9"/>
    <s v="No"/>
    <x v="5"/>
    <s v="No"/>
    <n v="39"/>
    <x v="4"/>
    <s v="Annually"/>
    <n v="0.1"/>
    <n v="21.6"/>
    <n v="24"/>
    <s v="Bank Transfer"/>
    <s v="Normal"/>
    <s v="Poor"/>
  </r>
  <r>
    <n v="3489"/>
    <n v="62"/>
    <x v="1"/>
    <x v="1"/>
    <x v="0"/>
    <n v="27"/>
    <x v="12"/>
    <x v="3"/>
    <s v="Teal"/>
    <x v="1"/>
    <n v="4.9000000000000004"/>
    <s v="No"/>
    <x v="5"/>
    <s v="No"/>
    <n v="7"/>
    <x v="1"/>
    <s v="Quarterly"/>
    <n v="0.1"/>
    <n v="24.3"/>
    <n v="27"/>
    <s v="Cash"/>
    <s v="Normal"/>
    <s v="Good"/>
  </r>
  <r>
    <n v="3490"/>
    <n v="48"/>
    <x v="1"/>
    <x v="10"/>
    <x v="0"/>
    <n v="26"/>
    <x v="37"/>
    <x v="0"/>
    <s v="Black"/>
    <x v="2"/>
    <n v="4.5999999999999996"/>
    <s v="No"/>
    <x v="4"/>
    <s v="No"/>
    <n v="32"/>
    <x v="3"/>
    <s v="Every 3 Months"/>
    <n v="0.1"/>
    <n v="23.4"/>
    <n v="26"/>
    <s v="PayPal"/>
    <s v="Normal"/>
    <s v="Good"/>
  </r>
  <r>
    <n v="3491"/>
    <n v="62"/>
    <x v="1"/>
    <x v="23"/>
    <x v="1"/>
    <n v="82"/>
    <x v="4"/>
    <x v="2"/>
    <s v="Violet"/>
    <x v="1"/>
    <n v="3.6"/>
    <s v="No"/>
    <x v="5"/>
    <s v="No"/>
    <n v="43"/>
    <x v="2"/>
    <s v="Quarterly"/>
    <n v="0.1"/>
    <n v="73.8"/>
    <n v="82"/>
    <s v="Credit Card"/>
    <s v="Normal"/>
    <s v="Good"/>
  </r>
  <r>
    <n v="3492"/>
    <n v="22"/>
    <x v="1"/>
    <x v="13"/>
    <x v="0"/>
    <n v="28"/>
    <x v="1"/>
    <x v="2"/>
    <s v="Orange"/>
    <x v="0"/>
    <n v="4.3"/>
    <s v="No"/>
    <x v="0"/>
    <s v="No"/>
    <n v="15"/>
    <x v="1"/>
    <s v="Monthly"/>
    <n v="0.1"/>
    <n v="25.2"/>
    <n v="28"/>
    <s v="Cash"/>
    <s v="Normal"/>
    <s v="Good"/>
  </r>
  <r>
    <n v="3493"/>
    <n v="48"/>
    <x v="1"/>
    <x v="24"/>
    <x v="3"/>
    <n v="65"/>
    <x v="45"/>
    <x v="2"/>
    <s v="Turquoise"/>
    <x v="3"/>
    <n v="4.5999999999999996"/>
    <s v="No"/>
    <x v="3"/>
    <s v="No"/>
    <n v="48"/>
    <x v="4"/>
    <s v="Annually"/>
    <n v="0.1"/>
    <n v="58.5"/>
    <n v="65"/>
    <s v="Bank Transfer"/>
    <s v="Normal"/>
    <s v="Good"/>
  </r>
  <r>
    <n v="3494"/>
    <n v="48"/>
    <x v="1"/>
    <x v="13"/>
    <x v="0"/>
    <n v="82"/>
    <x v="35"/>
    <x v="3"/>
    <s v="Black"/>
    <x v="0"/>
    <n v="4.7"/>
    <s v="No"/>
    <x v="5"/>
    <s v="No"/>
    <n v="35"/>
    <x v="2"/>
    <s v="Weekly"/>
    <n v="0.1"/>
    <n v="73.8"/>
    <n v="82"/>
    <s v="Credit Card"/>
    <s v="Normal"/>
    <s v="Good"/>
  </r>
  <r>
    <n v="3495"/>
    <n v="62"/>
    <x v="1"/>
    <x v="18"/>
    <x v="3"/>
    <n v="38"/>
    <x v="47"/>
    <x v="2"/>
    <s v="Silver"/>
    <x v="0"/>
    <n v="3.5"/>
    <s v="No"/>
    <x v="1"/>
    <s v="No"/>
    <n v="41"/>
    <x v="3"/>
    <s v="Quarterly"/>
    <n v="0.1"/>
    <n v="34.200000000000003"/>
    <n v="38"/>
    <s v="PayPal"/>
    <s v="Normal"/>
    <s v="Good"/>
  </r>
  <r>
    <n v="3496"/>
    <n v="24"/>
    <x v="1"/>
    <x v="6"/>
    <x v="0"/>
    <n v="33"/>
    <x v="42"/>
    <x v="3"/>
    <s v="Gray"/>
    <x v="1"/>
    <n v="2.8"/>
    <s v="No"/>
    <x v="1"/>
    <s v="No"/>
    <n v="14"/>
    <x v="1"/>
    <s v="Weekly"/>
    <n v="0.1"/>
    <n v="29.7"/>
    <n v="33"/>
    <s v="Cash"/>
    <s v="Normal"/>
    <s v="Poor"/>
  </r>
  <r>
    <n v="3497"/>
    <n v="39"/>
    <x v="1"/>
    <x v="9"/>
    <x v="1"/>
    <n v="38"/>
    <x v="37"/>
    <x v="2"/>
    <s v="Pink"/>
    <x v="2"/>
    <n v="4"/>
    <s v="No"/>
    <x v="1"/>
    <s v="No"/>
    <n v="22"/>
    <x v="3"/>
    <s v="Monthly"/>
    <n v="0.1"/>
    <n v="34.200000000000003"/>
    <n v="38"/>
    <s v="PayPal"/>
    <s v="Normal"/>
    <s v="Good"/>
  </r>
  <r>
    <n v="3498"/>
    <n v="35"/>
    <x v="1"/>
    <x v="8"/>
    <x v="3"/>
    <n v="48"/>
    <x v="24"/>
    <x v="2"/>
    <s v="Red"/>
    <x v="1"/>
    <n v="4.3"/>
    <s v="No"/>
    <x v="5"/>
    <s v="No"/>
    <n v="16"/>
    <x v="0"/>
    <s v="Every 3 Months"/>
    <n v="0.1"/>
    <n v="43.2"/>
    <n v="48"/>
    <s v="Venmo"/>
    <s v="Normal"/>
    <s v="Good"/>
  </r>
  <r>
    <n v="3499"/>
    <n v="47"/>
    <x v="1"/>
    <x v="3"/>
    <x v="1"/>
    <n v="35"/>
    <x v="0"/>
    <x v="2"/>
    <s v="Lavender"/>
    <x v="2"/>
    <n v="3.8"/>
    <s v="No"/>
    <x v="3"/>
    <s v="No"/>
    <n v="2"/>
    <x v="4"/>
    <s v="Bi-Weekly"/>
    <n v="0.1"/>
    <n v="31.5"/>
    <n v="35"/>
    <s v="Bank Transfer"/>
    <s v="Normal"/>
    <s v="Good"/>
  </r>
  <r>
    <n v="3500"/>
    <n v="22"/>
    <x v="1"/>
    <x v="20"/>
    <x v="0"/>
    <n v="29"/>
    <x v="32"/>
    <x v="0"/>
    <s v="Indigo"/>
    <x v="3"/>
    <n v="3"/>
    <s v="No"/>
    <x v="2"/>
    <s v="No"/>
    <n v="13"/>
    <x v="3"/>
    <s v="Every 3 Months"/>
    <n v="0.1"/>
    <n v="26.1"/>
    <n v="29"/>
    <s v="PayPal"/>
    <s v="Normal"/>
    <s v="Good"/>
  </r>
  <r>
    <n v="3501"/>
    <n v="38"/>
    <x v="1"/>
    <x v="5"/>
    <x v="0"/>
    <n v="48"/>
    <x v="4"/>
    <x v="1"/>
    <s v="Silver"/>
    <x v="3"/>
    <n v="4.5999999999999996"/>
    <s v="No"/>
    <x v="2"/>
    <s v="No"/>
    <n v="38"/>
    <x v="5"/>
    <s v="Fortnightly"/>
    <n v="0.1"/>
    <n v="43.2"/>
    <n v="48"/>
    <s v="Debit Card"/>
    <s v="Normal"/>
    <s v="Good"/>
  </r>
  <r>
    <n v="3502"/>
    <n v="53"/>
    <x v="1"/>
    <x v="9"/>
    <x v="1"/>
    <n v="87"/>
    <x v="43"/>
    <x v="2"/>
    <s v="Silver"/>
    <x v="3"/>
    <n v="4.8"/>
    <s v="No"/>
    <x v="3"/>
    <s v="No"/>
    <n v="43"/>
    <x v="4"/>
    <s v="Weekly"/>
    <n v="0.1"/>
    <n v="78.3"/>
    <n v="87"/>
    <s v="Bank Transfer"/>
    <s v="Normal"/>
    <s v="Good"/>
  </r>
  <r>
    <n v="3503"/>
    <n v="31"/>
    <x v="1"/>
    <x v="21"/>
    <x v="3"/>
    <n v="62"/>
    <x v="2"/>
    <x v="2"/>
    <s v="Green"/>
    <x v="3"/>
    <n v="4.7"/>
    <s v="No"/>
    <x v="2"/>
    <s v="No"/>
    <n v="26"/>
    <x v="4"/>
    <s v="Quarterly"/>
    <n v="0.1"/>
    <n v="55.8"/>
    <n v="62"/>
    <s v="Bank Transfer"/>
    <s v="Normal"/>
    <s v="Good"/>
  </r>
  <r>
    <n v="3504"/>
    <n v="31"/>
    <x v="1"/>
    <x v="5"/>
    <x v="0"/>
    <n v="96"/>
    <x v="43"/>
    <x v="2"/>
    <s v="Pink"/>
    <x v="1"/>
    <n v="3.9"/>
    <s v="No"/>
    <x v="1"/>
    <s v="No"/>
    <n v="39"/>
    <x v="1"/>
    <s v="Weekly"/>
    <n v="0.1"/>
    <n v="86.4"/>
    <n v="96"/>
    <s v="Cash"/>
    <s v="Normal"/>
    <s v="Good"/>
  </r>
  <r>
    <n v="3505"/>
    <n v="65"/>
    <x v="1"/>
    <x v="8"/>
    <x v="3"/>
    <n v="41"/>
    <x v="11"/>
    <x v="1"/>
    <s v="Violet"/>
    <x v="3"/>
    <n v="4"/>
    <s v="No"/>
    <x v="2"/>
    <s v="No"/>
    <n v="50"/>
    <x v="0"/>
    <s v="Monthly"/>
    <n v="0.1"/>
    <n v="36.9"/>
    <n v="41"/>
    <s v="Venmo"/>
    <s v="Normal"/>
    <s v="Good"/>
  </r>
  <r>
    <n v="3506"/>
    <n v="48"/>
    <x v="1"/>
    <x v="16"/>
    <x v="3"/>
    <n v="42"/>
    <x v="27"/>
    <x v="0"/>
    <s v="Red"/>
    <x v="0"/>
    <n v="3.7"/>
    <s v="No"/>
    <x v="4"/>
    <s v="No"/>
    <n v="40"/>
    <x v="4"/>
    <s v="Every 3 Months"/>
    <n v="0.1"/>
    <n v="37.799999999999997"/>
    <n v="42"/>
    <s v="Bank Transfer"/>
    <s v="Normal"/>
    <s v="Good"/>
  </r>
  <r>
    <n v="3507"/>
    <n v="18"/>
    <x v="1"/>
    <x v="5"/>
    <x v="0"/>
    <n v="57"/>
    <x v="26"/>
    <x v="0"/>
    <s v="Olive"/>
    <x v="0"/>
    <n v="3.7"/>
    <s v="No"/>
    <x v="4"/>
    <s v="No"/>
    <n v="12"/>
    <x v="1"/>
    <s v="Fortnightly"/>
    <n v="0.1"/>
    <n v="51.3"/>
    <n v="57"/>
    <s v="Cash"/>
    <s v="Normal"/>
    <s v="Good"/>
  </r>
  <r>
    <n v="3508"/>
    <n v="46"/>
    <x v="1"/>
    <x v="8"/>
    <x v="3"/>
    <n v="65"/>
    <x v="24"/>
    <x v="1"/>
    <s v="Purple"/>
    <x v="1"/>
    <n v="4.2"/>
    <s v="No"/>
    <x v="5"/>
    <s v="No"/>
    <n v="33"/>
    <x v="2"/>
    <s v="Every 3 Months"/>
    <n v="0.1"/>
    <n v="58.5"/>
    <n v="65"/>
    <s v="Credit Card"/>
    <s v="Normal"/>
    <s v="Good"/>
  </r>
  <r>
    <n v="3509"/>
    <n v="52"/>
    <x v="1"/>
    <x v="13"/>
    <x v="0"/>
    <n v="54"/>
    <x v="38"/>
    <x v="2"/>
    <s v="Gray"/>
    <x v="3"/>
    <n v="4.7"/>
    <s v="No"/>
    <x v="3"/>
    <s v="No"/>
    <n v="49"/>
    <x v="4"/>
    <s v="Weekly"/>
    <n v="0.1"/>
    <n v="48.6"/>
    <n v="54"/>
    <s v="Bank Transfer"/>
    <s v="Normal"/>
    <s v="Good"/>
  </r>
  <r>
    <n v="3510"/>
    <n v="50"/>
    <x v="1"/>
    <x v="17"/>
    <x v="0"/>
    <n v="22"/>
    <x v="31"/>
    <x v="0"/>
    <s v="Brown"/>
    <x v="0"/>
    <n v="4.3"/>
    <s v="No"/>
    <x v="2"/>
    <s v="No"/>
    <n v="43"/>
    <x v="0"/>
    <s v="Bi-Weekly"/>
    <n v="0.1"/>
    <n v="19.8"/>
    <n v="22"/>
    <s v="Venmo"/>
    <s v="Normal"/>
    <s v="Good"/>
  </r>
  <r>
    <n v="3511"/>
    <n v="49"/>
    <x v="1"/>
    <x v="4"/>
    <x v="1"/>
    <n v="96"/>
    <x v="38"/>
    <x v="1"/>
    <s v="Orange"/>
    <x v="3"/>
    <n v="4.9000000000000004"/>
    <s v="No"/>
    <x v="4"/>
    <s v="No"/>
    <n v="14"/>
    <x v="0"/>
    <s v="Monthly"/>
    <n v="0.1"/>
    <n v="86.4"/>
    <n v="96"/>
    <s v="Venmo"/>
    <s v="Normal"/>
    <s v="Good"/>
  </r>
  <r>
    <n v="3512"/>
    <n v="69"/>
    <x v="1"/>
    <x v="16"/>
    <x v="3"/>
    <n v="81"/>
    <x v="16"/>
    <x v="2"/>
    <s v="Blue"/>
    <x v="2"/>
    <n v="3.9"/>
    <s v="No"/>
    <x v="4"/>
    <s v="No"/>
    <n v="21"/>
    <x v="2"/>
    <s v="Every 3 Months"/>
    <n v="0.1"/>
    <n v="72.900000000000006"/>
    <n v="81"/>
    <s v="Credit Card"/>
    <s v="Normal"/>
    <s v="Good"/>
  </r>
  <r>
    <n v="3513"/>
    <n v="36"/>
    <x v="1"/>
    <x v="5"/>
    <x v="0"/>
    <n v="46"/>
    <x v="0"/>
    <x v="2"/>
    <s v="White"/>
    <x v="3"/>
    <n v="3.4"/>
    <s v="No"/>
    <x v="1"/>
    <s v="No"/>
    <n v="31"/>
    <x v="5"/>
    <s v="Quarterly"/>
    <n v="0.1"/>
    <n v="41.4"/>
    <n v="46"/>
    <s v="Debit Card"/>
    <s v="Normal"/>
    <s v="Good"/>
  </r>
  <r>
    <n v="3514"/>
    <n v="30"/>
    <x v="1"/>
    <x v="0"/>
    <x v="0"/>
    <n v="74"/>
    <x v="29"/>
    <x v="3"/>
    <s v="Charcoal"/>
    <x v="1"/>
    <n v="4.2"/>
    <s v="No"/>
    <x v="5"/>
    <s v="No"/>
    <n v="29"/>
    <x v="2"/>
    <s v="Fortnightly"/>
    <n v="0.1"/>
    <n v="66.599999999999994"/>
    <n v="74"/>
    <s v="Credit Card"/>
    <s v="Normal"/>
    <s v="Good"/>
  </r>
  <r>
    <n v="3515"/>
    <n v="25"/>
    <x v="1"/>
    <x v="4"/>
    <x v="1"/>
    <n v="50"/>
    <x v="42"/>
    <x v="3"/>
    <s v="Gray"/>
    <x v="0"/>
    <n v="4.7"/>
    <s v="No"/>
    <x v="0"/>
    <s v="No"/>
    <n v="32"/>
    <x v="1"/>
    <s v="Monthly"/>
    <n v="0.1"/>
    <n v="45"/>
    <n v="50"/>
    <s v="Cash"/>
    <s v="Normal"/>
    <s v="Good"/>
  </r>
  <r>
    <n v="3516"/>
    <n v="19"/>
    <x v="1"/>
    <x v="10"/>
    <x v="0"/>
    <n v="80"/>
    <x v="45"/>
    <x v="3"/>
    <s v="Charcoal"/>
    <x v="0"/>
    <n v="4"/>
    <s v="No"/>
    <x v="2"/>
    <s v="No"/>
    <n v="16"/>
    <x v="5"/>
    <s v="Bi-Weekly"/>
    <n v="0.1"/>
    <n v="72"/>
    <n v="80"/>
    <s v="Debit Card"/>
    <s v="Normal"/>
    <s v="Good"/>
  </r>
  <r>
    <n v="3517"/>
    <n v="34"/>
    <x v="1"/>
    <x v="23"/>
    <x v="1"/>
    <n v="56"/>
    <x v="36"/>
    <x v="1"/>
    <s v="White"/>
    <x v="2"/>
    <n v="4"/>
    <s v="No"/>
    <x v="1"/>
    <s v="No"/>
    <n v="38"/>
    <x v="3"/>
    <s v="Bi-Weekly"/>
    <n v="0.1"/>
    <n v="50.4"/>
    <n v="56"/>
    <s v="PayPal"/>
    <s v="Normal"/>
    <s v="Good"/>
  </r>
  <r>
    <n v="3518"/>
    <n v="29"/>
    <x v="1"/>
    <x v="11"/>
    <x v="0"/>
    <n v="69"/>
    <x v="30"/>
    <x v="2"/>
    <s v="Orange"/>
    <x v="0"/>
    <n v="3.1"/>
    <s v="No"/>
    <x v="2"/>
    <s v="No"/>
    <n v="34"/>
    <x v="5"/>
    <s v="Every 3 Months"/>
    <n v="0.1"/>
    <n v="62.1"/>
    <n v="69"/>
    <s v="Debit Card"/>
    <s v="Normal"/>
    <s v="Good"/>
  </r>
  <r>
    <n v="3519"/>
    <n v="50"/>
    <x v="1"/>
    <x v="5"/>
    <x v="0"/>
    <n v="97"/>
    <x v="24"/>
    <x v="2"/>
    <s v="Black"/>
    <x v="1"/>
    <n v="4.2"/>
    <s v="No"/>
    <x v="3"/>
    <s v="No"/>
    <n v="30"/>
    <x v="3"/>
    <s v="Quarterly"/>
    <n v="0.1"/>
    <n v="87.3"/>
    <n v="97"/>
    <s v="PayPal"/>
    <s v="Normal"/>
    <s v="Good"/>
  </r>
  <r>
    <n v="3520"/>
    <n v="31"/>
    <x v="1"/>
    <x v="6"/>
    <x v="0"/>
    <n v="66"/>
    <x v="48"/>
    <x v="2"/>
    <s v="White"/>
    <x v="0"/>
    <n v="3.7"/>
    <s v="No"/>
    <x v="2"/>
    <s v="No"/>
    <n v="14"/>
    <x v="4"/>
    <s v="Fortnightly"/>
    <n v="0.1"/>
    <n v="59.4"/>
    <n v="66"/>
    <s v="Bank Transfer"/>
    <s v="Normal"/>
    <s v="Good"/>
  </r>
  <r>
    <n v="3521"/>
    <n v="41"/>
    <x v="1"/>
    <x v="19"/>
    <x v="3"/>
    <n v="70"/>
    <x v="42"/>
    <x v="1"/>
    <s v="Brown"/>
    <x v="1"/>
    <n v="3.1"/>
    <s v="No"/>
    <x v="0"/>
    <s v="No"/>
    <n v="33"/>
    <x v="4"/>
    <s v="Monthly"/>
    <n v="0.1"/>
    <n v="63"/>
    <n v="70"/>
    <s v="Bank Transfer"/>
    <s v="Normal"/>
    <s v="Good"/>
  </r>
  <r>
    <n v="3522"/>
    <n v="52"/>
    <x v="1"/>
    <x v="9"/>
    <x v="1"/>
    <n v="50"/>
    <x v="33"/>
    <x v="2"/>
    <s v="Pink"/>
    <x v="0"/>
    <n v="3.7"/>
    <s v="No"/>
    <x v="5"/>
    <s v="No"/>
    <n v="35"/>
    <x v="0"/>
    <s v="Weekly"/>
    <n v="0.1"/>
    <n v="45"/>
    <n v="50"/>
    <s v="Venmo"/>
    <s v="Normal"/>
    <s v="Good"/>
  </r>
  <r>
    <n v="3523"/>
    <n v="27"/>
    <x v="1"/>
    <x v="13"/>
    <x v="0"/>
    <n v="85"/>
    <x v="32"/>
    <x v="2"/>
    <s v="Yellow"/>
    <x v="1"/>
    <n v="3.2"/>
    <s v="No"/>
    <x v="5"/>
    <s v="No"/>
    <n v="13"/>
    <x v="1"/>
    <s v="Quarterly"/>
    <n v="0.1"/>
    <n v="76.5"/>
    <n v="85"/>
    <s v="Cash"/>
    <s v="Normal"/>
    <s v="Good"/>
  </r>
  <r>
    <n v="3524"/>
    <n v="49"/>
    <x v="1"/>
    <x v="21"/>
    <x v="3"/>
    <n v="59"/>
    <x v="22"/>
    <x v="2"/>
    <s v="Cyan"/>
    <x v="2"/>
    <n v="2.8"/>
    <s v="No"/>
    <x v="3"/>
    <s v="No"/>
    <n v="30"/>
    <x v="1"/>
    <s v="Fortnightly"/>
    <n v="0.1"/>
    <n v="53.1"/>
    <n v="59"/>
    <s v="Cash"/>
    <s v="Normal"/>
    <s v="Poor"/>
  </r>
  <r>
    <n v="3525"/>
    <n v="69"/>
    <x v="1"/>
    <x v="13"/>
    <x v="0"/>
    <n v="74"/>
    <x v="49"/>
    <x v="0"/>
    <s v="Silver"/>
    <x v="2"/>
    <n v="2.9"/>
    <s v="No"/>
    <x v="1"/>
    <s v="No"/>
    <n v="30"/>
    <x v="2"/>
    <s v="Monthly"/>
    <n v="0.1"/>
    <n v="66.599999999999994"/>
    <n v="74"/>
    <s v="Credit Card"/>
    <s v="Normal"/>
    <s v="Poor"/>
  </r>
  <r>
    <n v="3526"/>
    <n v="45"/>
    <x v="1"/>
    <x v="12"/>
    <x v="3"/>
    <n v="38"/>
    <x v="5"/>
    <x v="0"/>
    <s v="Olive"/>
    <x v="0"/>
    <n v="3.5"/>
    <s v="No"/>
    <x v="3"/>
    <s v="No"/>
    <n v="47"/>
    <x v="4"/>
    <s v="Annually"/>
    <n v="0.1"/>
    <n v="34.200000000000003"/>
    <n v="38"/>
    <s v="Bank Transfer"/>
    <s v="Normal"/>
    <s v="Good"/>
  </r>
  <r>
    <n v="3527"/>
    <n v="20"/>
    <x v="1"/>
    <x v="1"/>
    <x v="0"/>
    <n v="99"/>
    <x v="2"/>
    <x v="2"/>
    <s v="Olive"/>
    <x v="1"/>
    <n v="3.8"/>
    <s v="No"/>
    <x v="0"/>
    <s v="No"/>
    <n v="1"/>
    <x v="3"/>
    <s v="Every 3 Months"/>
    <n v="0.1"/>
    <n v="89.1"/>
    <n v="99"/>
    <s v="PayPal"/>
    <s v="Normal"/>
    <s v="Good"/>
  </r>
  <r>
    <n v="3528"/>
    <n v="25"/>
    <x v="1"/>
    <x v="0"/>
    <x v="0"/>
    <n v="97"/>
    <x v="47"/>
    <x v="1"/>
    <s v="Charcoal"/>
    <x v="1"/>
    <n v="4.7"/>
    <s v="No"/>
    <x v="1"/>
    <s v="No"/>
    <n v="1"/>
    <x v="1"/>
    <s v="Weekly"/>
    <n v="0.1"/>
    <n v="87.3"/>
    <n v="97"/>
    <s v="Cash"/>
    <s v="Normal"/>
    <s v="Good"/>
  </r>
  <r>
    <n v="3529"/>
    <n v="38"/>
    <x v="1"/>
    <x v="18"/>
    <x v="3"/>
    <n v="67"/>
    <x v="1"/>
    <x v="0"/>
    <s v="Gray"/>
    <x v="2"/>
    <n v="4.5"/>
    <s v="No"/>
    <x v="1"/>
    <s v="No"/>
    <n v="33"/>
    <x v="3"/>
    <s v="Annually"/>
    <n v="0.1"/>
    <n v="60.3"/>
    <n v="67"/>
    <s v="PayPal"/>
    <s v="Normal"/>
    <s v="Good"/>
  </r>
  <r>
    <n v="3530"/>
    <n v="55"/>
    <x v="1"/>
    <x v="17"/>
    <x v="0"/>
    <n v="20"/>
    <x v="6"/>
    <x v="1"/>
    <s v="Maroon"/>
    <x v="0"/>
    <n v="3.9"/>
    <s v="No"/>
    <x v="2"/>
    <s v="No"/>
    <n v="43"/>
    <x v="4"/>
    <s v="Weekly"/>
    <n v="0.1"/>
    <n v="18"/>
    <n v="20"/>
    <s v="Bank Transfer"/>
    <s v="Normal"/>
    <s v="Good"/>
  </r>
  <r>
    <n v="3531"/>
    <n v="62"/>
    <x v="1"/>
    <x v="12"/>
    <x v="3"/>
    <n v="45"/>
    <x v="19"/>
    <x v="0"/>
    <s v="Black"/>
    <x v="1"/>
    <n v="3.4"/>
    <s v="No"/>
    <x v="0"/>
    <s v="No"/>
    <n v="37"/>
    <x v="3"/>
    <s v="Weekly"/>
    <n v="0.1"/>
    <n v="40.5"/>
    <n v="45"/>
    <s v="PayPal"/>
    <s v="Normal"/>
    <s v="Good"/>
  </r>
  <r>
    <n v="3532"/>
    <n v="54"/>
    <x v="1"/>
    <x v="9"/>
    <x v="1"/>
    <n v="52"/>
    <x v="25"/>
    <x v="3"/>
    <s v="Violet"/>
    <x v="0"/>
    <n v="4.5999999999999996"/>
    <s v="No"/>
    <x v="4"/>
    <s v="No"/>
    <n v="23"/>
    <x v="1"/>
    <s v="Quarterly"/>
    <n v="0.1"/>
    <n v="46.8"/>
    <n v="52"/>
    <s v="Cash"/>
    <s v="Normal"/>
    <s v="Good"/>
  </r>
  <r>
    <n v="3533"/>
    <n v="61"/>
    <x v="1"/>
    <x v="13"/>
    <x v="0"/>
    <n v="68"/>
    <x v="39"/>
    <x v="0"/>
    <s v="Indigo"/>
    <x v="3"/>
    <n v="4.5999999999999996"/>
    <s v="No"/>
    <x v="3"/>
    <s v="No"/>
    <n v="12"/>
    <x v="2"/>
    <s v="Annually"/>
    <n v="0.1"/>
    <n v="61.2"/>
    <n v="68"/>
    <s v="Credit Card"/>
    <s v="Normal"/>
    <s v="Good"/>
  </r>
  <r>
    <n v="3534"/>
    <n v="50"/>
    <x v="1"/>
    <x v="4"/>
    <x v="1"/>
    <n v="98"/>
    <x v="21"/>
    <x v="0"/>
    <s v="Yellow"/>
    <x v="3"/>
    <n v="4.7"/>
    <s v="No"/>
    <x v="3"/>
    <s v="No"/>
    <n v="30"/>
    <x v="0"/>
    <s v="Fortnightly"/>
    <n v="0.1"/>
    <n v="88.2"/>
    <n v="98"/>
    <s v="Venmo"/>
    <s v="Normal"/>
    <s v="Good"/>
  </r>
  <r>
    <n v="3535"/>
    <n v="65"/>
    <x v="1"/>
    <x v="9"/>
    <x v="1"/>
    <n v="83"/>
    <x v="12"/>
    <x v="2"/>
    <s v="Gray"/>
    <x v="3"/>
    <n v="3.2"/>
    <s v="No"/>
    <x v="0"/>
    <s v="No"/>
    <n v="7"/>
    <x v="1"/>
    <s v="Weekly"/>
    <n v="0.1"/>
    <n v="74.7"/>
    <n v="83"/>
    <s v="Cash"/>
    <s v="Normal"/>
    <s v="Good"/>
  </r>
  <r>
    <n v="3536"/>
    <n v="68"/>
    <x v="1"/>
    <x v="6"/>
    <x v="0"/>
    <n v="51"/>
    <x v="16"/>
    <x v="2"/>
    <s v="Red"/>
    <x v="2"/>
    <n v="5"/>
    <s v="No"/>
    <x v="0"/>
    <s v="No"/>
    <n v="20"/>
    <x v="5"/>
    <s v="Monthly"/>
    <n v="0.1"/>
    <n v="45.9"/>
    <n v="51"/>
    <s v="Debit Card"/>
    <s v="Normal"/>
    <s v="Good"/>
  </r>
  <r>
    <n v="3537"/>
    <n v="55"/>
    <x v="1"/>
    <x v="8"/>
    <x v="3"/>
    <n v="21"/>
    <x v="46"/>
    <x v="0"/>
    <s v="Peach"/>
    <x v="1"/>
    <n v="4.5"/>
    <s v="No"/>
    <x v="0"/>
    <s v="No"/>
    <n v="10"/>
    <x v="0"/>
    <s v="Monthly"/>
    <n v="0.1"/>
    <n v="18.899999999999999"/>
    <n v="21"/>
    <s v="Venmo"/>
    <s v="Normal"/>
    <s v="Good"/>
  </r>
  <r>
    <n v="3538"/>
    <n v="57"/>
    <x v="1"/>
    <x v="8"/>
    <x v="3"/>
    <n v="92"/>
    <x v="42"/>
    <x v="2"/>
    <s v="Gray"/>
    <x v="1"/>
    <n v="3.5"/>
    <s v="No"/>
    <x v="3"/>
    <s v="No"/>
    <n v="40"/>
    <x v="2"/>
    <s v="Every 3 Months"/>
    <n v="0.1"/>
    <n v="82.8"/>
    <n v="92"/>
    <s v="Credit Card"/>
    <s v="Normal"/>
    <s v="Good"/>
  </r>
  <r>
    <n v="3539"/>
    <n v="56"/>
    <x v="1"/>
    <x v="9"/>
    <x v="1"/>
    <n v="63"/>
    <x v="44"/>
    <x v="1"/>
    <s v="White"/>
    <x v="1"/>
    <n v="4.5"/>
    <s v="No"/>
    <x v="5"/>
    <s v="No"/>
    <n v="21"/>
    <x v="0"/>
    <s v="Monthly"/>
    <n v="0.1"/>
    <n v="56.7"/>
    <n v="63"/>
    <s v="Venmo"/>
    <s v="Normal"/>
    <s v="Good"/>
  </r>
  <r>
    <n v="3540"/>
    <n v="29"/>
    <x v="1"/>
    <x v="16"/>
    <x v="3"/>
    <n v="56"/>
    <x v="14"/>
    <x v="1"/>
    <s v="Green"/>
    <x v="1"/>
    <n v="3.2"/>
    <s v="No"/>
    <x v="0"/>
    <s v="No"/>
    <n v="17"/>
    <x v="2"/>
    <s v="Bi-Weekly"/>
    <n v="0.1"/>
    <n v="50.4"/>
    <n v="56"/>
    <s v="Credit Card"/>
    <s v="Normal"/>
    <s v="Good"/>
  </r>
  <r>
    <n v="3541"/>
    <n v="24"/>
    <x v="1"/>
    <x v="6"/>
    <x v="0"/>
    <n v="95"/>
    <x v="22"/>
    <x v="2"/>
    <s v="Magenta"/>
    <x v="1"/>
    <n v="4.5999999999999996"/>
    <s v="No"/>
    <x v="1"/>
    <s v="No"/>
    <n v="5"/>
    <x v="4"/>
    <s v="Weekly"/>
    <n v="0.1"/>
    <n v="85.5"/>
    <n v="95"/>
    <s v="Bank Transfer"/>
    <s v="Normal"/>
    <s v="Good"/>
  </r>
  <r>
    <n v="3542"/>
    <n v="59"/>
    <x v="1"/>
    <x v="0"/>
    <x v="0"/>
    <n v="66"/>
    <x v="41"/>
    <x v="2"/>
    <s v="Olive"/>
    <x v="0"/>
    <n v="4"/>
    <s v="No"/>
    <x v="2"/>
    <s v="No"/>
    <n v="22"/>
    <x v="3"/>
    <s v="Annually"/>
    <n v="0.1"/>
    <n v="59.4"/>
    <n v="66"/>
    <s v="PayPal"/>
    <s v="Normal"/>
    <s v="Good"/>
  </r>
  <r>
    <n v="3543"/>
    <n v="62"/>
    <x v="1"/>
    <x v="7"/>
    <x v="2"/>
    <n v="28"/>
    <x v="37"/>
    <x v="1"/>
    <s v="Olive"/>
    <x v="1"/>
    <n v="4.2"/>
    <s v="No"/>
    <x v="0"/>
    <s v="No"/>
    <n v="5"/>
    <x v="0"/>
    <s v="Weekly"/>
    <n v="0.1"/>
    <n v="25.2"/>
    <n v="28"/>
    <s v="Venmo"/>
    <s v="Normal"/>
    <s v="Good"/>
  </r>
  <r>
    <n v="3544"/>
    <n v="58"/>
    <x v="1"/>
    <x v="19"/>
    <x v="3"/>
    <n v="83"/>
    <x v="24"/>
    <x v="2"/>
    <s v="Blue"/>
    <x v="0"/>
    <n v="4.0999999999999996"/>
    <s v="No"/>
    <x v="3"/>
    <s v="No"/>
    <n v="18"/>
    <x v="3"/>
    <s v="Every 3 Months"/>
    <n v="0.1"/>
    <n v="74.7"/>
    <n v="83"/>
    <s v="PayPal"/>
    <s v="Normal"/>
    <s v="Good"/>
  </r>
  <r>
    <n v="3545"/>
    <n v="64"/>
    <x v="1"/>
    <x v="20"/>
    <x v="0"/>
    <n v="55"/>
    <x v="48"/>
    <x v="3"/>
    <s v="Charcoal"/>
    <x v="3"/>
    <n v="3.6"/>
    <s v="No"/>
    <x v="4"/>
    <s v="No"/>
    <n v="42"/>
    <x v="1"/>
    <s v="Every 3 Months"/>
    <n v="0.1"/>
    <n v="49.5"/>
    <n v="55"/>
    <s v="Cash"/>
    <s v="Normal"/>
    <s v="Good"/>
  </r>
  <r>
    <n v="3546"/>
    <n v="48"/>
    <x v="1"/>
    <x v="3"/>
    <x v="1"/>
    <n v="28"/>
    <x v="39"/>
    <x v="2"/>
    <s v="Yellow"/>
    <x v="1"/>
    <n v="3.7"/>
    <s v="No"/>
    <x v="4"/>
    <s v="No"/>
    <n v="22"/>
    <x v="5"/>
    <s v="Annually"/>
    <n v="0.1"/>
    <n v="25.2"/>
    <n v="28"/>
    <s v="Debit Card"/>
    <s v="Normal"/>
    <s v="Good"/>
  </r>
  <r>
    <n v="3547"/>
    <n v="60"/>
    <x v="1"/>
    <x v="18"/>
    <x v="3"/>
    <n v="79"/>
    <x v="23"/>
    <x v="2"/>
    <s v="Violet"/>
    <x v="2"/>
    <n v="3.6"/>
    <s v="No"/>
    <x v="1"/>
    <s v="No"/>
    <n v="37"/>
    <x v="4"/>
    <s v="Bi-Weekly"/>
    <n v="0.1"/>
    <n v="71.099999999999994"/>
    <n v="79"/>
    <s v="Bank Transfer"/>
    <s v="Normal"/>
    <s v="Good"/>
  </r>
  <r>
    <n v="3548"/>
    <n v="52"/>
    <x v="1"/>
    <x v="18"/>
    <x v="3"/>
    <n v="31"/>
    <x v="38"/>
    <x v="0"/>
    <s v="Magenta"/>
    <x v="2"/>
    <n v="3.8"/>
    <s v="No"/>
    <x v="3"/>
    <s v="No"/>
    <n v="23"/>
    <x v="2"/>
    <s v="Annually"/>
    <n v="0.1"/>
    <n v="27.9"/>
    <n v="31"/>
    <s v="Credit Card"/>
    <s v="Normal"/>
    <s v="Good"/>
  </r>
  <r>
    <n v="3549"/>
    <n v="63"/>
    <x v="1"/>
    <x v="0"/>
    <x v="0"/>
    <n v="37"/>
    <x v="40"/>
    <x v="2"/>
    <s v="Red"/>
    <x v="3"/>
    <n v="3"/>
    <s v="No"/>
    <x v="3"/>
    <s v="No"/>
    <n v="47"/>
    <x v="5"/>
    <s v="Fortnightly"/>
    <n v="0.1"/>
    <n v="33.299999999999997"/>
    <n v="37"/>
    <s v="Debit Card"/>
    <s v="Normal"/>
    <s v="Good"/>
  </r>
  <r>
    <n v="3550"/>
    <n v="44"/>
    <x v="1"/>
    <x v="17"/>
    <x v="0"/>
    <n v="34"/>
    <x v="4"/>
    <x v="2"/>
    <s v="Cyan"/>
    <x v="2"/>
    <n v="3.4"/>
    <s v="No"/>
    <x v="4"/>
    <s v="No"/>
    <n v="11"/>
    <x v="4"/>
    <s v="Fortnightly"/>
    <n v="0.1"/>
    <n v="30.6"/>
    <n v="34"/>
    <s v="Bank Transfer"/>
    <s v="Normal"/>
    <s v="Good"/>
  </r>
  <r>
    <n v="3551"/>
    <n v="63"/>
    <x v="1"/>
    <x v="9"/>
    <x v="1"/>
    <n v="74"/>
    <x v="8"/>
    <x v="1"/>
    <s v="Orange"/>
    <x v="0"/>
    <n v="4.8"/>
    <s v="No"/>
    <x v="3"/>
    <s v="No"/>
    <n v="32"/>
    <x v="1"/>
    <s v="Weekly"/>
    <n v="0.1"/>
    <n v="66.599999999999994"/>
    <n v="74"/>
    <s v="Cash"/>
    <s v="Normal"/>
    <s v="Good"/>
  </r>
  <r>
    <n v="3552"/>
    <n v="66"/>
    <x v="1"/>
    <x v="24"/>
    <x v="3"/>
    <n v="31"/>
    <x v="6"/>
    <x v="0"/>
    <s v="Black"/>
    <x v="1"/>
    <n v="2.6"/>
    <s v="No"/>
    <x v="5"/>
    <s v="No"/>
    <n v="20"/>
    <x v="0"/>
    <s v="Weekly"/>
    <n v="0.1"/>
    <n v="27.9"/>
    <n v="31"/>
    <s v="Venmo"/>
    <s v="Normal"/>
    <s v="Poor"/>
  </r>
  <r>
    <n v="3553"/>
    <n v="22"/>
    <x v="1"/>
    <x v="12"/>
    <x v="3"/>
    <n v="66"/>
    <x v="0"/>
    <x v="2"/>
    <s v="Blue"/>
    <x v="0"/>
    <n v="2.9"/>
    <s v="No"/>
    <x v="2"/>
    <s v="No"/>
    <n v="3"/>
    <x v="3"/>
    <s v="Quarterly"/>
    <n v="0.1"/>
    <n v="59.4"/>
    <n v="66"/>
    <s v="PayPal"/>
    <s v="Normal"/>
    <s v="Poor"/>
  </r>
  <r>
    <n v="3554"/>
    <n v="62"/>
    <x v="1"/>
    <x v="9"/>
    <x v="1"/>
    <n v="99"/>
    <x v="46"/>
    <x v="2"/>
    <s v="Charcoal"/>
    <x v="1"/>
    <n v="4.9000000000000004"/>
    <s v="No"/>
    <x v="1"/>
    <s v="No"/>
    <n v="32"/>
    <x v="4"/>
    <s v="Weekly"/>
    <n v="0.1"/>
    <n v="89.1"/>
    <n v="99"/>
    <s v="Bank Transfer"/>
    <s v="Normal"/>
    <s v="Good"/>
  </r>
  <r>
    <n v="3555"/>
    <n v="39"/>
    <x v="1"/>
    <x v="10"/>
    <x v="0"/>
    <n v="55"/>
    <x v="7"/>
    <x v="2"/>
    <s v="Indigo"/>
    <x v="1"/>
    <n v="5"/>
    <s v="No"/>
    <x v="1"/>
    <s v="No"/>
    <n v="5"/>
    <x v="2"/>
    <s v="Fortnightly"/>
    <n v="0.1"/>
    <n v="49.5"/>
    <n v="55"/>
    <s v="Credit Card"/>
    <s v="Normal"/>
    <s v="Good"/>
  </r>
  <r>
    <n v="3556"/>
    <n v="25"/>
    <x v="1"/>
    <x v="0"/>
    <x v="0"/>
    <n v="23"/>
    <x v="12"/>
    <x v="0"/>
    <s v="Silver"/>
    <x v="1"/>
    <n v="4.5999999999999996"/>
    <s v="No"/>
    <x v="2"/>
    <s v="No"/>
    <n v="45"/>
    <x v="1"/>
    <s v="Quarterly"/>
    <n v="0.1"/>
    <n v="20.7"/>
    <n v="23"/>
    <s v="Cash"/>
    <s v="Normal"/>
    <s v="Good"/>
  </r>
  <r>
    <n v="3557"/>
    <n v="70"/>
    <x v="1"/>
    <x v="1"/>
    <x v="0"/>
    <n v="88"/>
    <x v="28"/>
    <x v="2"/>
    <s v="Brown"/>
    <x v="3"/>
    <n v="4.2"/>
    <s v="No"/>
    <x v="0"/>
    <s v="No"/>
    <n v="43"/>
    <x v="1"/>
    <s v="Bi-Weekly"/>
    <n v="0.1"/>
    <n v="79.2"/>
    <n v="88"/>
    <s v="Cash"/>
    <s v="Normal"/>
    <s v="Good"/>
  </r>
  <r>
    <n v="3558"/>
    <n v="52"/>
    <x v="1"/>
    <x v="14"/>
    <x v="2"/>
    <n v="26"/>
    <x v="22"/>
    <x v="2"/>
    <s v="Peach"/>
    <x v="2"/>
    <n v="4.9000000000000004"/>
    <s v="No"/>
    <x v="2"/>
    <s v="No"/>
    <n v="1"/>
    <x v="3"/>
    <s v="Every 3 Months"/>
    <n v="0.1"/>
    <n v="23.4"/>
    <n v="26"/>
    <s v="PayPal"/>
    <s v="Normal"/>
    <s v="Good"/>
  </r>
  <r>
    <n v="3559"/>
    <n v="68"/>
    <x v="1"/>
    <x v="21"/>
    <x v="3"/>
    <n v="94"/>
    <x v="29"/>
    <x v="0"/>
    <s v="Magenta"/>
    <x v="2"/>
    <n v="4.8"/>
    <s v="No"/>
    <x v="3"/>
    <s v="No"/>
    <n v="9"/>
    <x v="0"/>
    <s v="Quarterly"/>
    <n v="0.1"/>
    <n v="84.6"/>
    <n v="94"/>
    <s v="Venmo"/>
    <s v="Normal"/>
    <s v="Good"/>
  </r>
  <r>
    <n v="3560"/>
    <n v="18"/>
    <x v="1"/>
    <x v="6"/>
    <x v="0"/>
    <n v="25"/>
    <x v="40"/>
    <x v="2"/>
    <s v="Beige"/>
    <x v="3"/>
    <n v="3"/>
    <s v="No"/>
    <x v="2"/>
    <s v="No"/>
    <n v="13"/>
    <x v="0"/>
    <s v="Every 3 Months"/>
    <n v="0.1"/>
    <n v="22.5"/>
    <n v="25"/>
    <s v="Venmo"/>
    <s v="Normal"/>
    <s v="Good"/>
  </r>
  <r>
    <n v="3561"/>
    <n v="18"/>
    <x v="1"/>
    <x v="20"/>
    <x v="0"/>
    <n v="96"/>
    <x v="23"/>
    <x v="3"/>
    <s v="Violet"/>
    <x v="3"/>
    <n v="3.5"/>
    <s v="No"/>
    <x v="0"/>
    <s v="No"/>
    <n v="5"/>
    <x v="2"/>
    <s v="Annually"/>
    <n v="0.1"/>
    <n v="86.4"/>
    <n v="96"/>
    <s v="Credit Card"/>
    <s v="Normal"/>
    <s v="Good"/>
  </r>
  <r>
    <n v="3562"/>
    <n v="63"/>
    <x v="1"/>
    <x v="4"/>
    <x v="1"/>
    <n v="29"/>
    <x v="17"/>
    <x v="0"/>
    <s v="Black"/>
    <x v="1"/>
    <n v="3.4"/>
    <s v="No"/>
    <x v="3"/>
    <s v="No"/>
    <n v="39"/>
    <x v="2"/>
    <s v="Fortnightly"/>
    <n v="0.1"/>
    <n v="26.1"/>
    <n v="29"/>
    <s v="Credit Card"/>
    <s v="Normal"/>
    <s v="Good"/>
  </r>
  <r>
    <n v="3563"/>
    <n v="47"/>
    <x v="1"/>
    <x v="4"/>
    <x v="1"/>
    <n v="36"/>
    <x v="33"/>
    <x v="2"/>
    <s v="Cyan"/>
    <x v="0"/>
    <n v="3.4"/>
    <s v="No"/>
    <x v="1"/>
    <s v="No"/>
    <n v="7"/>
    <x v="4"/>
    <s v="Weekly"/>
    <n v="0.1"/>
    <n v="32.4"/>
    <n v="36"/>
    <s v="Bank Transfer"/>
    <s v="Normal"/>
    <s v="Good"/>
  </r>
  <r>
    <n v="3564"/>
    <n v="43"/>
    <x v="1"/>
    <x v="0"/>
    <x v="0"/>
    <n v="90"/>
    <x v="1"/>
    <x v="2"/>
    <s v="Green"/>
    <x v="2"/>
    <n v="4.9000000000000004"/>
    <s v="No"/>
    <x v="3"/>
    <s v="No"/>
    <n v="8"/>
    <x v="2"/>
    <s v="Every 3 Months"/>
    <n v="0.1"/>
    <n v="81"/>
    <n v="90"/>
    <s v="Credit Card"/>
    <s v="Normal"/>
    <s v="Good"/>
  </r>
  <r>
    <n v="3565"/>
    <n v="60"/>
    <x v="1"/>
    <x v="24"/>
    <x v="3"/>
    <n v="38"/>
    <x v="26"/>
    <x v="1"/>
    <s v="Brown"/>
    <x v="2"/>
    <n v="4.4000000000000004"/>
    <s v="No"/>
    <x v="1"/>
    <s v="No"/>
    <n v="40"/>
    <x v="0"/>
    <s v="Annually"/>
    <n v="0.1"/>
    <n v="34.200000000000003"/>
    <n v="38"/>
    <s v="Venmo"/>
    <s v="Normal"/>
    <s v="Good"/>
  </r>
  <r>
    <n v="3566"/>
    <n v="49"/>
    <x v="1"/>
    <x v="8"/>
    <x v="3"/>
    <n v="52"/>
    <x v="38"/>
    <x v="1"/>
    <s v="Gray"/>
    <x v="1"/>
    <n v="4.2"/>
    <s v="No"/>
    <x v="5"/>
    <s v="No"/>
    <n v="35"/>
    <x v="3"/>
    <s v="Monthly"/>
    <n v="0.1"/>
    <n v="46.8"/>
    <n v="52"/>
    <s v="PayPal"/>
    <s v="Normal"/>
    <s v="Good"/>
  </r>
  <r>
    <n v="3567"/>
    <n v="28"/>
    <x v="1"/>
    <x v="2"/>
    <x v="0"/>
    <n v="88"/>
    <x v="29"/>
    <x v="1"/>
    <s v="Orange"/>
    <x v="1"/>
    <n v="3.1"/>
    <s v="No"/>
    <x v="2"/>
    <s v="No"/>
    <n v="14"/>
    <x v="0"/>
    <s v="Monthly"/>
    <n v="0.1"/>
    <n v="79.2"/>
    <n v="88"/>
    <s v="Venmo"/>
    <s v="Normal"/>
    <s v="Good"/>
  </r>
  <r>
    <n v="3568"/>
    <n v="32"/>
    <x v="1"/>
    <x v="18"/>
    <x v="3"/>
    <n v="56"/>
    <x v="35"/>
    <x v="1"/>
    <s v="Silver"/>
    <x v="2"/>
    <n v="4"/>
    <s v="No"/>
    <x v="2"/>
    <s v="No"/>
    <n v="26"/>
    <x v="2"/>
    <s v="Monthly"/>
    <n v="0.1"/>
    <n v="50.4"/>
    <n v="56"/>
    <s v="Credit Card"/>
    <s v="Normal"/>
    <s v="Good"/>
  </r>
  <r>
    <n v="3569"/>
    <n v="29"/>
    <x v="1"/>
    <x v="3"/>
    <x v="1"/>
    <n v="71"/>
    <x v="10"/>
    <x v="2"/>
    <s v="Purple"/>
    <x v="1"/>
    <n v="4.8"/>
    <s v="No"/>
    <x v="2"/>
    <s v="No"/>
    <n v="14"/>
    <x v="3"/>
    <s v="Quarterly"/>
    <n v="0.1"/>
    <n v="63.9"/>
    <n v="71"/>
    <s v="PayPal"/>
    <s v="Normal"/>
    <s v="Good"/>
  </r>
  <r>
    <n v="3570"/>
    <n v="35"/>
    <x v="1"/>
    <x v="3"/>
    <x v="1"/>
    <n v="94"/>
    <x v="29"/>
    <x v="2"/>
    <s v="Olive"/>
    <x v="3"/>
    <n v="3.3"/>
    <s v="No"/>
    <x v="0"/>
    <s v="No"/>
    <n v="9"/>
    <x v="4"/>
    <s v="Fortnightly"/>
    <n v="0.1"/>
    <n v="84.6"/>
    <n v="94"/>
    <s v="Bank Transfer"/>
    <s v="Normal"/>
    <s v="Good"/>
  </r>
  <r>
    <n v="3571"/>
    <n v="23"/>
    <x v="1"/>
    <x v="10"/>
    <x v="0"/>
    <n v="97"/>
    <x v="7"/>
    <x v="3"/>
    <s v="Teal"/>
    <x v="0"/>
    <n v="4.7"/>
    <s v="No"/>
    <x v="3"/>
    <s v="No"/>
    <n v="32"/>
    <x v="5"/>
    <s v="Annually"/>
    <n v="0.1"/>
    <n v="87.3"/>
    <n v="97"/>
    <s v="Debit Card"/>
    <s v="Normal"/>
    <s v="Good"/>
  </r>
  <r>
    <n v="3572"/>
    <n v="70"/>
    <x v="1"/>
    <x v="11"/>
    <x v="0"/>
    <n v="27"/>
    <x v="25"/>
    <x v="2"/>
    <s v="White"/>
    <x v="2"/>
    <n v="3.2"/>
    <s v="No"/>
    <x v="3"/>
    <s v="No"/>
    <n v="15"/>
    <x v="4"/>
    <s v="Every 3 Months"/>
    <n v="0.1"/>
    <n v="24.3"/>
    <n v="27"/>
    <s v="Bank Transfer"/>
    <s v="Normal"/>
    <s v="Good"/>
  </r>
  <r>
    <n v="3573"/>
    <n v="23"/>
    <x v="1"/>
    <x v="6"/>
    <x v="0"/>
    <n v="28"/>
    <x v="3"/>
    <x v="2"/>
    <s v="Black"/>
    <x v="1"/>
    <n v="5"/>
    <s v="No"/>
    <x v="3"/>
    <s v="No"/>
    <n v="25"/>
    <x v="2"/>
    <s v="Monthly"/>
    <n v="0.1"/>
    <n v="25.2"/>
    <n v="28"/>
    <s v="Credit Card"/>
    <s v="Normal"/>
    <s v="Good"/>
  </r>
  <r>
    <n v="3574"/>
    <n v="43"/>
    <x v="1"/>
    <x v="2"/>
    <x v="0"/>
    <n v="67"/>
    <x v="39"/>
    <x v="0"/>
    <s v="Maroon"/>
    <x v="3"/>
    <n v="4.9000000000000004"/>
    <s v="No"/>
    <x v="1"/>
    <s v="No"/>
    <n v="27"/>
    <x v="3"/>
    <s v="Monthly"/>
    <n v="0.1"/>
    <n v="60.3"/>
    <n v="67"/>
    <s v="PayPal"/>
    <s v="Normal"/>
    <s v="Good"/>
  </r>
  <r>
    <n v="3575"/>
    <n v="29"/>
    <x v="1"/>
    <x v="20"/>
    <x v="0"/>
    <n v="70"/>
    <x v="14"/>
    <x v="2"/>
    <s v="Cyan"/>
    <x v="3"/>
    <n v="4.9000000000000004"/>
    <s v="No"/>
    <x v="0"/>
    <s v="No"/>
    <n v="39"/>
    <x v="4"/>
    <s v="Quarterly"/>
    <n v="0.1"/>
    <n v="63"/>
    <n v="70"/>
    <s v="Bank Transfer"/>
    <s v="Normal"/>
    <s v="Good"/>
  </r>
  <r>
    <n v="3576"/>
    <n v="61"/>
    <x v="1"/>
    <x v="7"/>
    <x v="2"/>
    <n v="95"/>
    <x v="0"/>
    <x v="2"/>
    <s v="Violet"/>
    <x v="3"/>
    <n v="3.7"/>
    <s v="No"/>
    <x v="0"/>
    <s v="No"/>
    <n v="49"/>
    <x v="0"/>
    <s v="Bi-Weekly"/>
    <n v="0.1"/>
    <n v="85.5"/>
    <n v="95"/>
    <s v="Venmo"/>
    <s v="Normal"/>
    <s v="Good"/>
  </r>
  <r>
    <n v="3577"/>
    <n v="29"/>
    <x v="1"/>
    <x v="23"/>
    <x v="1"/>
    <n v="24"/>
    <x v="1"/>
    <x v="0"/>
    <s v="Yellow"/>
    <x v="1"/>
    <n v="3"/>
    <s v="No"/>
    <x v="0"/>
    <s v="No"/>
    <n v="12"/>
    <x v="0"/>
    <s v="Bi-Weekly"/>
    <n v="0.1"/>
    <n v="21.6"/>
    <n v="24"/>
    <s v="Venmo"/>
    <s v="Normal"/>
    <s v="Good"/>
  </r>
  <r>
    <n v="3578"/>
    <n v="66"/>
    <x v="1"/>
    <x v="22"/>
    <x v="3"/>
    <n v="35"/>
    <x v="9"/>
    <x v="1"/>
    <s v="Yellow"/>
    <x v="0"/>
    <n v="2.6"/>
    <s v="No"/>
    <x v="3"/>
    <s v="No"/>
    <n v="13"/>
    <x v="4"/>
    <s v="Weekly"/>
    <n v="0.1"/>
    <n v="31.5"/>
    <n v="35"/>
    <s v="Bank Transfer"/>
    <s v="Normal"/>
    <s v="Poor"/>
  </r>
  <r>
    <n v="3579"/>
    <n v="46"/>
    <x v="1"/>
    <x v="9"/>
    <x v="1"/>
    <n v="22"/>
    <x v="42"/>
    <x v="0"/>
    <s v="Olive"/>
    <x v="0"/>
    <n v="2.6"/>
    <s v="No"/>
    <x v="3"/>
    <s v="No"/>
    <n v="22"/>
    <x v="4"/>
    <s v="Quarterly"/>
    <n v="0.1"/>
    <n v="19.8"/>
    <n v="22"/>
    <s v="Bank Transfer"/>
    <s v="Normal"/>
    <s v="Poor"/>
  </r>
  <r>
    <n v="3580"/>
    <n v="34"/>
    <x v="1"/>
    <x v="18"/>
    <x v="3"/>
    <n v="66"/>
    <x v="28"/>
    <x v="0"/>
    <s v="Olive"/>
    <x v="3"/>
    <n v="4.8"/>
    <s v="No"/>
    <x v="3"/>
    <s v="No"/>
    <n v="19"/>
    <x v="2"/>
    <s v="Every 3 Months"/>
    <n v="0.1"/>
    <n v="59.4"/>
    <n v="66"/>
    <s v="Credit Card"/>
    <s v="Normal"/>
    <s v="Good"/>
  </r>
  <r>
    <n v="3581"/>
    <n v="51"/>
    <x v="1"/>
    <x v="0"/>
    <x v="0"/>
    <n v="83"/>
    <x v="13"/>
    <x v="2"/>
    <s v="Magenta"/>
    <x v="2"/>
    <n v="3.2"/>
    <s v="No"/>
    <x v="4"/>
    <s v="No"/>
    <n v="3"/>
    <x v="1"/>
    <s v="Bi-Weekly"/>
    <n v="0.1"/>
    <n v="74.7"/>
    <n v="83"/>
    <s v="Cash"/>
    <s v="Normal"/>
    <s v="Good"/>
  </r>
  <r>
    <n v="3582"/>
    <n v="26"/>
    <x v="1"/>
    <x v="10"/>
    <x v="0"/>
    <n v="95"/>
    <x v="42"/>
    <x v="2"/>
    <s v="Orange"/>
    <x v="3"/>
    <n v="4.9000000000000004"/>
    <s v="No"/>
    <x v="2"/>
    <s v="No"/>
    <n v="50"/>
    <x v="2"/>
    <s v="Weekly"/>
    <n v="0.1"/>
    <n v="85.5"/>
    <n v="95"/>
    <s v="Credit Card"/>
    <s v="Normal"/>
    <s v="Good"/>
  </r>
  <r>
    <n v="3583"/>
    <n v="23"/>
    <x v="1"/>
    <x v="6"/>
    <x v="0"/>
    <n v="41"/>
    <x v="18"/>
    <x v="1"/>
    <s v="Beige"/>
    <x v="2"/>
    <n v="3.4"/>
    <s v="No"/>
    <x v="4"/>
    <s v="No"/>
    <n v="15"/>
    <x v="3"/>
    <s v="Annually"/>
    <n v="0.1"/>
    <n v="36.9"/>
    <n v="41"/>
    <s v="PayPal"/>
    <s v="Normal"/>
    <s v="Good"/>
  </r>
  <r>
    <n v="3584"/>
    <n v="52"/>
    <x v="1"/>
    <x v="0"/>
    <x v="0"/>
    <n v="77"/>
    <x v="28"/>
    <x v="0"/>
    <s v="Brown"/>
    <x v="2"/>
    <n v="2.7"/>
    <s v="No"/>
    <x v="5"/>
    <s v="No"/>
    <n v="44"/>
    <x v="2"/>
    <s v="Every 3 Months"/>
    <n v="0.1"/>
    <n v="69.3"/>
    <n v="77"/>
    <s v="Credit Card"/>
    <s v="Normal"/>
    <s v="Poor"/>
  </r>
  <r>
    <n v="3585"/>
    <n v="39"/>
    <x v="1"/>
    <x v="4"/>
    <x v="1"/>
    <n v="52"/>
    <x v="20"/>
    <x v="0"/>
    <s v="Indigo"/>
    <x v="3"/>
    <n v="4.8"/>
    <s v="No"/>
    <x v="0"/>
    <s v="No"/>
    <n v="48"/>
    <x v="5"/>
    <s v="Monthly"/>
    <n v="0.1"/>
    <n v="46.8"/>
    <n v="52"/>
    <s v="Debit Card"/>
    <s v="Normal"/>
    <s v="Good"/>
  </r>
  <r>
    <n v="3586"/>
    <n v="39"/>
    <x v="1"/>
    <x v="24"/>
    <x v="3"/>
    <n v="41"/>
    <x v="14"/>
    <x v="3"/>
    <s v="Gray"/>
    <x v="0"/>
    <n v="4.0999999999999996"/>
    <s v="No"/>
    <x v="3"/>
    <s v="No"/>
    <n v="4"/>
    <x v="0"/>
    <s v="Bi-Weekly"/>
    <n v="0.1"/>
    <n v="36.9"/>
    <n v="41"/>
    <s v="Venmo"/>
    <s v="Normal"/>
    <s v="Good"/>
  </r>
  <r>
    <n v="3587"/>
    <n v="33"/>
    <x v="1"/>
    <x v="15"/>
    <x v="0"/>
    <n v="28"/>
    <x v="37"/>
    <x v="2"/>
    <s v="Yellow"/>
    <x v="0"/>
    <n v="4.5999999999999996"/>
    <s v="No"/>
    <x v="5"/>
    <s v="No"/>
    <n v="12"/>
    <x v="3"/>
    <s v="Bi-Weekly"/>
    <n v="0.1"/>
    <n v="25.2"/>
    <n v="28"/>
    <s v="PayPal"/>
    <s v="Normal"/>
    <s v="Good"/>
  </r>
  <r>
    <n v="3588"/>
    <n v="33"/>
    <x v="1"/>
    <x v="1"/>
    <x v="0"/>
    <n v="90"/>
    <x v="41"/>
    <x v="1"/>
    <s v="Violet"/>
    <x v="2"/>
    <n v="4.4000000000000004"/>
    <s v="No"/>
    <x v="3"/>
    <s v="No"/>
    <n v="33"/>
    <x v="5"/>
    <s v="Annually"/>
    <n v="0.1"/>
    <n v="81"/>
    <n v="90"/>
    <s v="Debit Card"/>
    <s v="Normal"/>
    <s v="Good"/>
  </r>
  <r>
    <n v="3589"/>
    <n v="23"/>
    <x v="1"/>
    <x v="12"/>
    <x v="3"/>
    <n v="55"/>
    <x v="49"/>
    <x v="2"/>
    <s v="Magenta"/>
    <x v="1"/>
    <n v="3.5"/>
    <s v="No"/>
    <x v="4"/>
    <s v="No"/>
    <n v="40"/>
    <x v="1"/>
    <s v="Annually"/>
    <n v="0.1"/>
    <n v="49.5"/>
    <n v="55"/>
    <s v="Cash"/>
    <s v="Normal"/>
    <s v="Good"/>
  </r>
  <r>
    <n v="3590"/>
    <n v="31"/>
    <x v="1"/>
    <x v="22"/>
    <x v="3"/>
    <n v="73"/>
    <x v="13"/>
    <x v="2"/>
    <s v="Blue"/>
    <x v="1"/>
    <n v="4.8"/>
    <s v="No"/>
    <x v="2"/>
    <s v="No"/>
    <n v="38"/>
    <x v="1"/>
    <s v="Every 3 Months"/>
    <n v="0.1"/>
    <n v="65.7"/>
    <n v="73"/>
    <s v="Cash"/>
    <s v="Normal"/>
    <s v="Good"/>
  </r>
  <r>
    <n v="3591"/>
    <n v="27"/>
    <x v="1"/>
    <x v="10"/>
    <x v="0"/>
    <n v="87"/>
    <x v="45"/>
    <x v="2"/>
    <s v="Gray"/>
    <x v="3"/>
    <n v="2.9"/>
    <s v="No"/>
    <x v="4"/>
    <s v="No"/>
    <n v="19"/>
    <x v="0"/>
    <s v="Every 3 Months"/>
    <n v="0.1"/>
    <n v="78.3"/>
    <n v="87"/>
    <s v="Venmo"/>
    <s v="Normal"/>
    <s v="Poor"/>
  </r>
  <r>
    <n v="3592"/>
    <n v="48"/>
    <x v="1"/>
    <x v="14"/>
    <x v="2"/>
    <n v="89"/>
    <x v="45"/>
    <x v="2"/>
    <s v="Gold"/>
    <x v="0"/>
    <n v="3.2"/>
    <s v="No"/>
    <x v="4"/>
    <s v="No"/>
    <n v="38"/>
    <x v="4"/>
    <s v="Quarterly"/>
    <n v="0.1"/>
    <n v="80.099999999999994"/>
    <n v="89"/>
    <s v="Bank Transfer"/>
    <s v="Normal"/>
    <s v="Good"/>
  </r>
  <r>
    <n v="3593"/>
    <n v="61"/>
    <x v="1"/>
    <x v="23"/>
    <x v="1"/>
    <n v="82"/>
    <x v="32"/>
    <x v="0"/>
    <s v="Lavender"/>
    <x v="1"/>
    <n v="4.4000000000000004"/>
    <s v="No"/>
    <x v="4"/>
    <s v="No"/>
    <n v="18"/>
    <x v="0"/>
    <s v="Fortnightly"/>
    <n v="0.1"/>
    <n v="73.8"/>
    <n v="82"/>
    <s v="Venmo"/>
    <s v="Normal"/>
    <s v="Good"/>
  </r>
  <r>
    <n v="3594"/>
    <n v="63"/>
    <x v="1"/>
    <x v="3"/>
    <x v="1"/>
    <n v="80"/>
    <x v="5"/>
    <x v="2"/>
    <s v="Black"/>
    <x v="1"/>
    <n v="4.5999999999999996"/>
    <s v="No"/>
    <x v="2"/>
    <s v="No"/>
    <n v="24"/>
    <x v="3"/>
    <s v="Monthly"/>
    <n v="0.1"/>
    <n v="72"/>
    <n v="80"/>
    <s v="PayPal"/>
    <s v="Normal"/>
    <s v="Good"/>
  </r>
  <r>
    <n v="3595"/>
    <n v="19"/>
    <x v="1"/>
    <x v="18"/>
    <x v="3"/>
    <n v="87"/>
    <x v="15"/>
    <x v="0"/>
    <s v="Charcoal"/>
    <x v="2"/>
    <n v="2.6"/>
    <s v="No"/>
    <x v="4"/>
    <s v="No"/>
    <n v="29"/>
    <x v="0"/>
    <s v="Quarterly"/>
    <n v="0.1"/>
    <n v="78.3"/>
    <n v="87"/>
    <s v="Venmo"/>
    <s v="Normal"/>
    <s v="Poor"/>
  </r>
  <r>
    <n v="3596"/>
    <n v="21"/>
    <x v="1"/>
    <x v="0"/>
    <x v="0"/>
    <n v="41"/>
    <x v="45"/>
    <x v="2"/>
    <s v="Violet"/>
    <x v="1"/>
    <n v="3.1"/>
    <s v="No"/>
    <x v="5"/>
    <s v="No"/>
    <n v="14"/>
    <x v="3"/>
    <s v="Annually"/>
    <n v="0.1"/>
    <n v="36.9"/>
    <n v="41"/>
    <s v="PayPal"/>
    <s v="Normal"/>
    <s v="Good"/>
  </r>
  <r>
    <n v="3597"/>
    <n v="28"/>
    <x v="1"/>
    <x v="15"/>
    <x v="0"/>
    <n v="83"/>
    <x v="36"/>
    <x v="2"/>
    <s v="Charcoal"/>
    <x v="1"/>
    <n v="4.3"/>
    <s v="No"/>
    <x v="3"/>
    <s v="No"/>
    <n v="44"/>
    <x v="1"/>
    <s v="Fortnightly"/>
    <n v="0.1"/>
    <n v="74.7"/>
    <n v="83"/>
    <s v="Cash"/>
    <s v="Normal"/>
    <s v="Good"/>
  </r>
  <r>
    <n v="3598"/>
    <n v="29"/>
    <x v="1"/>
    <x v="12"/>
    <x v="3"/>
    <n v="71"/>
    <x v="35"/>
    <x v="2"/>
    <s v="Maroon"/>
    <x v="2"/>
    <n v="3.1"/>
    <s v="No"/>
    <x v="3"/>
    <s v="No"/>
    <n v="18"/>
    <x v="4"/>
    <s v="Quarterly"/>
    <n v="0.1"/>
    <n v="63.9"/>
    <n v="71"/>
    <s v="Bank Transfer"/>
    <s v="Normal"/>
    <s v="Good"/>
  </r>
  <r>
    <n v="3599"/>
    <n v="23"/>
    <x v="1"/>
    <x v="15"/>
    <x v="0"/>
    <n v="76"/>
    <x v="39"/>
    <x v="3"/>
    <s v="Purple"/>
    <x v="1"/>
    <n v="4.5999999999999996"/>
    <s v="No"/>
    <x v="5"/>
    <s v="No"/>
    <n v="19"/>
    <x v="4"/>
    <s v="Bi-Weekly"/>
    <n v="0.1"/>
    <n v="68.400000000000006"/>
    <n v="76"/>
    <s v="Bank Transfer"/>
    <s v="Normal"/>
    <s v="Good"/>
  </r>
  <r>
    <n v="3600"/>
    <n v="37"/>
    <x v="1"/>
    <x v="18"/>
    <x v="3"/>
    <n v="34"/>
    <x v="23"/>
    <x v="1"/>
    <s v="Peach"/>
    <x v="1"/>
    <n v="4.5999999999999996"/>
    <s v="No"/>
    <x v="0"/>
    <s v="No"/>
    <n v="4"/>
    <x v="1"/>
    <s v="Weekly"/>
    <n v="0.1"/>
    <n v="30.6"/>
    <n v="34"/>
    <s v="Cash"/>
    <s v="Normal"/>
    <s v="Good"/>
  </r>
  <r>
    <n v="3601"/>
    <n v="67"/>
    <x v="1"/>
    <x v="10"/>
    <x v="0"/>
    <n v="81"/>
    <x v="36"/>
    <x v="3"/>
    <s v="Olive"/>
    <x v="1"/>
    <n v="2.7"/>
    <s v="No"/>
    <x v="1"/>
    <s v="No"/>
    <n v="25"/>
    <x v="1"/>
    <s v="Bi-Weekly"/>
    <n v="0.1"/>
    <n v="72.900000000000006"/>
    <n v="81"/>
    <s v="Cash"/>
    <s v="Normal"/>
    <s v="Poor"/>
  </r>
  <r>
    <n v="3602"/>
    <n v="34"/>
    <x v="1"/>
    <x v="17"/>
    <x v="0"/>
    <n v="47"/>
    <x v="17"/>
    <x v="2"/>
    <s v="Indigo"/>
    <x v="2"/>
    <n v="3"/>
    <s v="No"/>
    <x v="2"/>
    <s v="No"/>
    <n v="3"/>
    <x v="3"/>
    <s v="Monthly"/>
    <n v="0.1"/>
    <n v="42.3"/>
    <n v="47"/>
    <s v="PayPal"/>
    <s v="Normal"/>
    <s v="Good"/>
  </r>
  <r>
    <n v="3603"/>
    <n v="58"/>
    <x v="1"/>
    <x v="11"/>
    <x v="0"/>
    <n v="36"/>
    <x v="5"/>
    <x v="1"/>
    <s v="Magenta"/>
    <x v="2"/>
    <n v="3.3"/>
    <s v="No"/>
    <x v="5"/>
    <s v="No"/>
    <n v="40"/>
    <x v="5"/>
    <s v="Quarterly"/>
    <n v="0.1"/>
    <n v="32.4"/>
    <n v="36"/>
    <s v="Debit Card"/>
    <s v="Normal"/>
    <s v="Good"/>
  </r>
  <r>
    <n v="3604"/>
    <n v="45"/>
    <x v="1"/>
    <x v="2"/>
    <x v="0"/>
    <n v="51"/>
    <x v="7"/>
    <x v="2"/>
    <s v="Gold"/>
    <x v="1"/>
    <n v="2.7"/>
    <s v="No"/>
    <x v="1"/>
    <s v="No"/>
    <n v="5"/>
    <x v="1"/>
    <s v="Weekly"/>
    <n v="0.1"/>
    <n v="45.9"/>
    <n v="51"/>
    <s v="Cash"/>
    <s v="Normal"/>
    <s v="Poor"/>
  </r>
  <r>
    <n v="3605"/>
    <n v="63"/>
    <x v="1"/>
    <x v="15"/>
    <x v="0"/>
    <n v="86"/>
    <x v="7"/>
    <x v="2"/>
    <s v="Orange"/>
    <x v="3"/>
    <n v="3.3"/>
    <s v="No"/>
    <x v="3"/>
    <s v="No"/>
    <n v="17"/>
    <x v="5"/>
    <s v="Annually"/>
    <n v="0.1"/>
    <n v="77.400000000000006"/>
    <n v="86"/>
    <s v="Debit Card"/>
    <s v="Normal"/>
    <s v="Good"/>
  </r>
  <r>
    <n v="3606"/>
    <n v="68"/>
    <x v="1"/>
    <x v="2"/>
    <x v="0"/>
    <n v="41"/>
    <x v="15"/>
    <x v="2"/>
    <s v="Gold"/>
    <x v="3"/>
    <n v="4.3"/>
    <s v="No"/>
    <x v="5"/>
    <s v="No"/>
    <n v="36"/>
    <x v="4"/>
    <s v="Every 3 Months"/>
    <n v="0.1"/>
    <n v="36.9"/>
    <n v="41"/>
    <s v="Bank Transfer"/>
    <s v="Normal"/>
    <s v="Good"/>
  </r>
  <r>
    <n v="3607"/>
    <n v="41"/>
    <x v="1"/>
    <x v="3"/>
    <x v="1"/>
    <n v="90"/>
    <x v="46"/>
    <x v="3"/>
    <s v="Purple"/>
    <x v="3"/>
    <n v="4.8"/>
    <s v="No"/>
    <x v="0"/>
    <s v="No"/>
    <n v="41"/>
    <x v="0"/>
    <s v="Annually"/>
    <n v="0.1"/>
    <n v="81"/>
    <n v="90"/>
    <s v="Venmo"/>
    <s v="Normal"/>
    <s v="Good"/>
  </r>
  <r>
    <n v="3608"/>
    <n v="50"/>
    <x v="1"/>
    <x v="19"/>
    <x v="3"/>
    <n v="93"/>
    <x v="35"/>
    <x v="0"/>
    <s v="Charcoal"/>
    <x v="3"/>
    <n v="3.3"/>
    <s v="No"/>
    <x v="3"/>
    <s v="No"/>
    <n v="20"/>
    <x v="0"/>
    <s v="Bi-Weekly"/>
    <n v="0.1"/>
    <n v="83.7"/>
    <n v="93"/>
    <s v="Venmo"/>
    <s v="Normal"/>
    <s v="Good"/>
  </r>
  <r>
    <n v="3609"/>
    <n v="24"/>
    <x v="1"/>
    <x v="24"/>
    <x v="3"/>
    <n v="56"/>
    <x v="30"/>
    <x v="2"/>
    <s v="Cyan"/>
    <x v="3"/>
    <n v="4.3"/>
    <s v="No"/>
    <x v="2"/>
    <s v="No"/>
    <n v="2"/>
    <x v="1"/>
    <s v="Every 3 Months"/>
    <n v="0.1"/>
    <n v="50.4"/>
    <n v="56"/>
    <s v="Cash"/>
    <s v="Normal"/>
    <s v="Good"/>
  </r>
  <r>
    <n v="3610"/>
    <n v="21"/>
    <x v="1"/>
    <x v="20"/>
    <x v="0"/>
    <n v="39"/>
    <x v="35"/>
    <x v="2"/>
    <s v="Cyan"/>
    <x v="2"/>
    <n v="3"/>
    <s v="No"/>
    <x v="4"/>
    <s v="No"/>
    <n v="31"/>
    <x v="5"/>
    <s v="Monthly"/>
    <n v="0.1"/>
    <n v="35.1"/>
    <n v="39"/>
    <s v="Debit Card"/>
    <s v="Normal"/>
    <s v="Good"/>
  </r>
  <r>
    <n v="3611"/>
    <n v="18"/>
    <x v="1"/>
    <x v="14"/>
    <x v="2"/>
    <n v="86"/>
    <x v="21"/>
    <x v="3"/>
    <s v="Green"/>
    <x v="3"/>
    <n v="4.8"/>
    <s v="No"/>
    <x v="4"/>
    <s v="No"/>
    <n v="23"/>
    <x v="4"/>
    <s v="Fortnightly"/>
    <n v="0.1"/>
    <n v="77.400000000000006"/>
    <n v="86"/>
    <s v="Bank Transfer"/>
    <s v="Normal"/>
    <s v="Good"/>
  </r>
  <r>
    <n v="3612"/>
    <n v="63"/>
    <x v="1"/>
    <x v="17"/>
    <x v="0"/>
    <n v="82"/>
    <x v="47"/>
    <x v="2"/>
    <s v="Silver"/>
    <x v="1"/>
    <n v="2.9"/>
    <s v="No"/>
    <x v="3"/>
    <s v="No"/>
    <n v="30"/>
    <x v="2"/>
    <s v="Annually"/>
    <n v="0.1"/>
    <n v="73.8"/>
    <n v="82"/>
    <s v="Credit Card"/>
    <s v="Normal"/>
    <s v="Poor"/>
  </r>
  <r>
    <n v="3613"/>
    <n v="47"/>
    <x v="1"/>
    <x v="3"/>
    <x v="1"/>
    <n v="29"/>
    <x v="49"/>
    <x v="2"/>
    <s v="Teal"/>
    <x v="2"/>
    <n v="3.6"/>
    <s v="No"/>
    <x v="3"/>
    <s v="No"/>
    <n v="26"/>
    <x v="1"/>
    <s v="Every 3 Months"/>
    <n v="0.1"/>
    <n v="26.1"/>
    <n v="29"/>
    <s v="Cash"/>
    <s v="Normal"/>
    <s v="Good"/>
  </r>
  <r>
    <n v="3614"/>
    <n v="58"/>
    <x v="1"/>
    <x v="19"/>
    <x v="3"/>
    <n v="27"/>
    <x v="46"/>
    <x v="2"/>
    <s v="Magenta"/>
    <x v="3"/>
    <n v="3.5"/>
    <s v="No"/>
    <x v="5"/>
    <s v="No"/>
    <n v="40"/>
    <x v="0"/>
    <s v="Annually"/>
    <n v="0.1"/>
    <n v="24.3"/>
    <n v="27"/>
    <s v="Venmo"/>
    <s v="Normal"/>
    <s v="Good"/>
  </r>
  <r>
    <n v="3615"/>
    <n v="46"/>
    <x v="1"/>
    <x v="24"/>
    <x v="3"/>
    <n v="25"/>
    <x v="12"/>
    <x v="0"/>
    <s v="Maroon"/>
    <x v="1"/>
    <n v="4.7"/>
    <s v="No"/>
    <x v="4"/>
    <s v="No"/>
    <n v="19"/>
    <x v="4"/>
    <s v="Annually"/>
    <n v="0.1"/>
    <n v="22.5"/>
    <n v="25"/>
    <s v="Bank Transfer"/>
    <s v="Normal"/>
    <s v="Good"/>
  </r>
  <r>
    <n v="3616"/>
    <n v="35"/>
    <x v="1"/>
    <x v="10"/>
    <x v="0"/>
    <n v="31"/>
    <x v="18"/>
    <x v="2"/>
    <s v="Gold"/>
    <x v="0"/>
    <n v="4.4000000000000004"/>
    <s v="No"/>
    <x v="1"/>
    <s v="No"/>
    <n v="4"/>
    <x v="2"/>
    <s v="Monthly"/>
    <n v="0.1"/>
    <n v="27.9"/>
    <n v="31"/>
    <s v="Credit Card"/>
    <s v="Normal"/>
    <s v="Good"/>
  </r>
  <r>
    <n v="3617"/>
    <n v="42"/>
    <x v="1"/>
    <x v="15"/>
    <x v="0"/>
    <n v="23"/>
    <x v="48"/>
    <x v="0"/>
    <s v="Purple"/>
    <x v="0"/>
    <n v="3.3"/>
    <s v="No"/>
    <x v="5"/>
    <s v="No"/>
    <n v="33"/>
    <x v="5"/>
    <s v="Fortnightly"/>
    <n v="0.1"/>
    <n v="20.7"/>
    <n v="23"/>
    <s v="Debit Card"/>
    <s v="Normal"/>
    <s v="Good"/>
  </r>
  <r>
    <n v="3618"/>
    <n v="48"/>
    <x v="1"/>
    <x v="22"/>
    <x v="3"/>
    <n v="47"/>
    <x v="0"/>
    <x v="2"/>
    <s v="Lavender"/>
    <x v="3"/>
    <n v="4.3"/>
    <s v="No"/>
    <x v="0"/>
    <s v="No"/>
    <n v="29"/>
    <x v="5"/>
    <s v="Monthly"/>
    <n v="0.1"/>
    <n v="42.3"/>
    <n v="47"/>
    <s v="Debit Card"/>
    <s v="Normal"/>
    <s v="Good"/>
  </r>
  <r>
    <n v="3619"/>
    <n v="28"/>
    <x v="1"/>
    <x v="24"/>
    <x v="3"/>
    <n v="67"/>
    <x v="22"/>
    <x v="2"/>
    <s v="Maroon"/>
    <x v="3"/>
    <n v="4"/>
    <s v="No"/>
    <x v="4"/>
    <s v="No"/>
    <n v="47"/>
    <x v="3"/>
    <s v="Bi-Weekly"/>
    <n v="0.1"/>
    <n v="60.3"/>
    <n v="67"/>
    <s v="PayPal"/>
    <s v="Normal"/>
    <s v="Good"/>
  </r>
  <r>
    <n v="3620"/>
    <n v="44"/>
    <x v="1"/>
    <x v="18"/>
    <x v="3"/>
    <n v="75"/>
    <x v="17"/>
    <x v="1"/>
    <s v="Magenta"/>
    <x v="0"/>
    <n v="4.9000000000000004"/>
    <s v="No"/>
    <x v="4"/>
    <s v="No"/>
    <n v="50"/>
    <x v="0"/>
    <s v="Weekly"/>
    <n v="0.1"/>
    <n v="67.5"/>
    <n v="75"/>
    <s v="Venmo"/>
    <s v="Normal"/>
    <s v="Good"/>
  </r>
  <r>
    <n v="3621"/>
    <n v="60"/>
    <x v="1"/>
    <x v="3"/>
    <x v="1"/>
    <n v="82"/>
    <x v="7"/>
    <x v="2"/>
    <s v="Turquoise"/>
    <x v="2"/>
    <n v="2.9"/>
    <s v="No"/>
    <x v="0"/>
    <s v="No"/>
    <n v="28"/>
    <x v="2"/>
    <s v="Fortnightly"/>
    <n v="0.1"/>
    <n v="73.8"/>
    <n v="82"/>
    <s v="Credit Card"/>
    <s v="Normal"/>
    <s v="Poor"/>
  </r>
  <r>
    <n v="3622"/>
    <n v="38"/>
    <x v="1"/>
    <x v="4"/>
    <x v="1"/>
    <n v="32"/>
    <x v="32"/>
    <x v="3"/>
    <s v="Silver"/>
    <x v="2"/>
    <n v="4"/>
    <s v="No"/>
    <x v="4"/>
    <s v="No"/>
    <n v="5"/>
    <x v="1"/>
    <s v="Fortnightly"/>
    <n v="0.1"/>
    <n v="28.8"/>
    <n v="32"/>
    <s v="Cash"/>
    <s v="Normal"/>
    <s v="Good"/>
  </r>
  <r>
    <n v="3623"/>
    <n v="46"/>
    <x v="1"/>
    <x v="10"/>
    <x v="0"/>
    <n v="41"/>
    <x v="48"/>
    <x v="2"/>
    <s v="Purple"/>
    <x v="3"/>
    <n v="4.3"/>
    <s v="No"/>
    <x v="5"/>
    <s v="No"/>
    <n v="12"/>
    <x v="2"/>
    <s v="Annually"/>
    <n v="0.1"/>
    <n v="36.9"/>
    <n v="41"/>
    <s v="Credit Card"/>
    <s v="Normal"/>
    <s v="Good"/>
  </r>
  <r>
    <n v="3624"/>
    <n v="39"/>
    <x v="1"/>
    <x v="16"/>
    <x v="3"/>
    <n v="89"/>
    <x v="10"/>
    <x v="2"/>
    <s v="Violet"/>
    <x v="0"/>
    <n v="2.7"/>
    <s v="No"/>
    <x v="4"/>
    <s v="No"/>
    <n v="4"/>
    <x v="3"/>
    <s v="Weekly"/>
    <n v="0.1"/>
    <n v="80.099999999999994"/>
    <n v="89"/>
    <s v="PayPal"/>
    <s v="Normal"/>
    <s v="Poor"/>
  </r>
  <r>
    <n v="3625"/>
    <n v="22"/>
    <x v="1"/>
    <x v="19"/>
    <x v="3"/>
    <n v="82"/>
    <x v="21"/>
    <x v="3"/>
    <s v="Peach"/>
    <x v="3"/>
    <n v="5"/>
    <s v="No"/>
    <x v="5"/>
    <s v="No"/>
    <n v="22"/>
    <x v="4"/>
    <s v="Bi-Weekly"/>
    <n v="0.1"/>
    <n v="73.8"/>
    <n v="82"/>
    <s v="Bank Transfer"/>
    <s v="Normal"/>
    <s v="Good"/>
  </r>
  <r>
    <n v="3626"/>
    <n v="44"/>
    <x v="1"/>
    <x v="18"/>
    <x v="3"/>
    <n v="99"/>
    <x v="26"/>
    <x v="0"/>
    <s v="Green"/>
    <x v="0"/>
    <n v="4.4000000000000004"/>
    <s v="No"/>
    <x v="0"/>
    <s v="No"/>
    <n v="32"/>
    <x v="3"/>
    <s v="Weekly"/>
    <n v="0.1"/>
    <n v="89.1"/>
    <n v="99"/>
    <s v="PayPal"/>
    <s v="Normal"/>
    <s v="Good"/>
  </r>
  <r>
    <n v="3627"/>
    <n v="69"/>
    <x v="1"/>
    <x v="0"/>
    <x v="0"/>
    <n v="98"/>
    <x v="16"/>
    <x v="0"/>
    <s v="Teal"/>
    <x v="3"/>
    <n v="3.5"/>
    <s v="No"/>
    <x v="0"/>
    <s v="No"/>
    <n v="32"/>
    <x v="0"/>
    <s v="Quarterly"/>
    <n v="0.1"/>
    <n v="88.2"/>
    <n v="98"/>
    <s v="Venmo"/>
    <s v="Normal"/>
    <s v="Good"/>
  </r>
  <r>
    <n v="3628"/>
    <n v="39"/>
    <x v="1"/>
    <x v="22"/>
    <x v="3"/>
    <n v="54"/>
    <x v="12"/>
    <x v="2"/>
    <s v="Silver"/>
    <x v="0"/>
    <n v="3.3"/>
    <s v="No"/>
    <x v="2"/>
    <s v="No"/>
    <n v="48"/>
    <x v="1"/>
    <s v="Every 3 Months"/>
    <n v="0.1"/>
    <n v="48.6"/>
    <n v="54"/>
    <s v="Cash"/>
    <s v="Normal"/>
    <s v="Good"/>
  </r>
  <r>
    <n v="3629"/>
    <n v="53"/>
    <x v="1"/>
    <x v="0"/>
    <x v="0"/>
    <n v="88"/>
    <x v="42"/>
    <x v="0"/>
    <s v="Purple"/>
    <x v="2"/>
    <n v="3.8"/>
    <s v="No"/>
    <x v="1"/>
    <s v="No"/>
    <n v="35"/>
    <x v="2"/>
    <s v="Monthly"/>
    <n v="0.1"/>
    <n v="79.2"/>
    <n v="88"/>
    <s v="Credit Card"/>
    <s v="Normal"/>
    <s v="Good"/>
  </r>
  <r>
    <n v="3630"/>
    <n v="52"/>
    <x v="1"/>
    <x v="17"/>
    <x v="0"/>
    <n v="43"/>
    <x v="23"/>
    <x v="0"/>
    <s v="Lavender"/>
    <x v="2"/>
    <n v="4.5"/>
    <s v="No"/>
    <x v="3"/>
    <s v="No"/>
    <n v="44"/>
    <x v="5"/>
    <s v="Fortnightly"/>
    <n v="0.1"/>
    <n v="38.700000000000003"/>
    <n v="43"/>
    <s v="Debit Card"/>
    <s v="Normal"/>
    <s v="Good"/>
  </r>
  <r>
    <n v="3631"/>
    <n v="65"/>
    <x v="1"/>
    <x v="19"/>
    <x v="3"/>
    <n v="73"/>
    <x v="19"/>
    <x v="2"/>
    <s v="Lavender"/>
    <x v="0"/>
    <n v="4.8"/>
    <s v="No"/>
    <x v="5"/>
    <s v="No"/>
    <n v="29"/>
    <x v="1"/>
    <s v="Weekly"/>
    <n v="0.1"/>
    <n v="65.7"/>
    <n v="73"/>
    <s v="Cash"/>
    <s v="Normal"/>
    <s v="Good"/>
  </r>
  <r>
    <n v="3632"/>
    <n v="48"/>
    <x v="1"/>
    <x v="19"/>
    <x v="3"/>
    <n v="50"/>
    <x v="32"/>
    <x v="2"/>
    <s v="Peach"/>
    <x v="3"/>
    <n v="2.9"/>
    <s v="No"/>
    <x v="5"/>
    <s v="No"/>
    <n v="26"/>
    <x v="2"/>
    <s v="Monthly"/>
    <n v="0.1"/>
    <n v="45"/>
    <n v="50"/>
    <s v="Credit Card"/>
    <s v="Normal"/>
    <s v="Poor"/>
  </r>
  <r>
    <n v="3633"/>
    <n v="27"/>
    <x v="1"/>
    <x v="4"/>
    <x v="1"/>
    <n v="73"/>
    <x v="40"/>
    <x v="0"/>
    <s v="Green"/>
    <x v="1"/>
    <n v="3.2"/>
    <s v="No"/>
    <x v="0"/>
    <s v="No"/>
    <n v="3"/>
    <x v="5"/>
    <s v="Quarterly"/>
    <n v="0.1"/>
    <n v="65.7"/>
    <n v="73"/>
    <s v="Debit Card"/>
    <s v="Normal"/>
    <s v="Good"/>
  </r>
  <r>
    <n v="3634"/>
    <n v="39"/>
    <x v="1"/>
    <x v="24"/>
    <x v="3"/>
    <n v="51"/>
    <x v="6"/>
    <x v="2"/>
    <s v="Orange"/>
    <x v="1"/>
    <n v="2.8"/>
    <s v="No"/>
    <x v="1"/>
    <s v="No"/>
    <n v="1"/>
    <x v="4"/>
    <s v="Bi-Weekly"/>
    <n v="0.1"/>
    <n v="45.9"/>
    <n v="51"/>
    <s v="Bank Transfer"/>
    <s v="Normal"/>
    <s v="Poor"/>
  </r>
  <r>
    <n v="3635"/>
    <n v="59"/>
    <x v="1"/>
    <x v="20"/>
    <x v="0"/>
    <n v="22"/>
    <x v="31"/>
    <x v="2"/>
    <s v="Pink"/>
    <x v="0"/>
    <n v="3.3"/>
    <s v="No"/>
    <x v="3"/>
    <s v="No"/>
    <n v="17"/>
    <x v="3"/>
    <s v="Annually"/>
    <n v="0.1"/>
    <n v="19.8"/>
    <n v="22"/>
    <s v="PayPal"/>
    <s v="Normal"/>
    <s v="Good"/>
  </r>
  <r>
    <n v="3636"/>
    <n v="52"/>
    <x v="1"/>
    <x v="3"/>
    <x v="1"/>
    <n v="32"/>
    <x v="24"/>
    <x v="0"/>
    <s v="Cyan"/>
    <x v="3"/>
    <n v="3.3"/>
    <s v="No"/>
    <x v="1"/>
    <s v="No"/>
    <n v="17"/>
    <x v="2"/>
    <s v="Fortnightly"/>
    <n v="0.1"/>
    <n v="28.8"/>
    <n v="32"/>
    <s v="Credit Card"/>
    <s v="Normal"/>
    <s v="Good"/>
  </r>
  <r>
    <n v="3637"/>
    <n v="50"/>
    <x v="1"/>
    <x v="3"/>
    <x v="1"/>
    <n v="38"/>
    <x v="18"/>
    <x v="0"/>
    <s v="Lavender"/>
    <x v="2"/>
    <n v="4.2"/>
    <s v="No"/>
    <x v="4"/>
    <s v="No"/>
    <n v="36"/>
    <x v="1"/>
    <s v="Weekly"/>
    <n v="0.1"/>
    <n v="34.200000000000003"/>
    <n v="38"/>
    <s v="Cash"/>
    <s v="Normal"/>
    <s v="Good"/>
  </r>
  <r>
    <n v="3638"/>
    <n v="32"/>
    <x v="1"/>
    <x v="23"/>
    <x v="1"/>
    <n v="66"/>
    <x v="40"/>
    <x v="0"/>
    <s v="Yellow"/>
    <x v="0"/>
    <n v="3.6"/>
    <s v="No"/>
    <x v="0"/>
    <s v="No"/>
    <n v="32"/>
    <x v="2"/>
    <s v="Fortnightly"/>
    <n v="0.1"/>
    <n v="59.4"/>
    <n v="66"/>
    <s v="Credit Card"/>
    <s v="Normal"/>
    <s v="Good"/>
  </r>
  <r>
    <n v="3639"/>
    <n v="40"/>
    <x v="1"/>
    <x v="21"/>
    <x v="3"/>
    <n v="20"/>
    <x v="23"/>
    <x v="2"/>
    <s v="Olive"/>
    <x v="1"/>
    <n v="4.5999999999999996"/>
    <s v="No"/>
    <x v="0"/>
    <s v="No"/>
    <n v="50"/>
    <x v="3"/>
    <s v="Bi-Weekly"/>
    <n v="0.1"/>
    <n v="18"/>
    <n v="20"/>
    <s v="PayPal"/>
    <s v="Normal"/>
    <s v="Good"/>
  </r>
  <r>
    <n v="3640"/>
    <n v="26"/>
    <x v="1"/>
    <x v="7"/>
    <x v="2"/>
    <n v="44"/>
    <x v="26"/>
    <x v="2"/>
    <s v="Brown"/>
    <x v="2"/>
    <n v="3.6"/>
    <s v="No"/>
    <x v="4"/>
    <s v="No"/>
    <n v="39"/>
    <x v="0"/>
    <s v="Annually"/>
    <n v="0.1"/>
    <n v="39.6"/>
    <n v="44"/>
    <s v="Venmo"/>
    <s v="Normal"/>
    <s v="Good"/>
  </r>
  <r>
    <n v="3641"/>
    <n v="47"/>
    <x v="1"/>
    <x v="12"/>
    <x v="3"/>
    <n v="31"/>
    <x v="46"/>
    <x v="0"/>
    <s v="Pink"/>
    <x v="1"/>
    <n v="4"/>
    <s v="No"/>
    <x v="2"/>
    <s v="No"/>
    <n v="17"/>
    <x v="3"/>
    <s v="Monthly"/>
    <n v="0.1"/>
    <n v="27.9"/>
    <n v="31"/>
    <s v="PayPal"/>
    <s v="Normal"/>
    <s v="Good"/>
  </r>
  <r>
    <n v="3642"/>
    <n v="51"/>
    <x v="1"/>
    <x v="14"/>
    <x v="2"/>
    <n v="45"/>
    <x v="14"/>
    <x v="2"/>
    <s v="Cyan"/>
    <x v="3"/>
    <n v="2.7"/>
    <s v="No"/>
    <x v="1"/>
    <s v="No"/>
    <n v="39"/>
    <x v="4"/>
    <s v="Every 3 Months"/>
    <n v="0.1"/>
    <n v="40.5"/>
    <n v="45"/>
    <s v="Bank Transfer"/>
    <s v="Normal"/>
    <s v="Poor"/>
  </r>
  <r>
    <n v="3643"/>
    <n v="47"/>
    <x v="1"/>
    <x v="10"/>
    <x v="0"/>
    <n v="71"/>
    <x v="28"/>
    <x v="0"/>
    <s v="Maroon"/>
    <x v="2"/>
    <n v="4.4000000000000004"/>
    <s v="No"/>
    <x v="5"/>
    <s v="No"/>
    <n v="5"/>
    <x v="3"/>
    <s v="Annually"/>
    <n v="0.1"/>
    <n v="63.9"/>
    <n v="71"/>
    <s v="PayPal"/>
    <s v="Normal"/>
    <s v="Good"/>
  </r>
  <r>
    <n v="3644"/>
    <n v="53"/>
    <x v="1"/>
    <x v="18"/>
    <x v="3"/>
    <n v="96"/>
    <x v="30"/>
    <x v="3"/>
    <s v="Magenta"/>
    <x v="3"/>
    <n v="3.2"/>
    <s v="No"/>
    <x v="3"/>
    <s v="No"/>
    <n v="47"/>
    <x v="5"/>
    <s v="Annually"/>
    <n v="0.1"/>
    <n v="86.4"/>
    <n v="96"/>
    <s v="Debit Card"/>
    <s v="Normal"/>
    <s v="Good"/>
  </r>
  <r>
    <n v="3645"/>
    <n v="35"/>
    <x v="1"/>
    <x v="0"/>
    <x v="0"/>
    <n v="32"/>
    <x v="10"/>
    <x v="2"/>
    <s v="Violet"/>
    <x v="0"/>
    <n v="2.6"/>
    <s v="No"/>
    <x v="2"/>
    <s v="No"/>
    <n v="18"/>
    <x v="0"/>
    <s v="Weekly"/>
    <n v="0.1"/>
    <n v="28.8"/>
    <n v="32"/>
    <s v="Venmo"/>
    <s v="Normal"/>
    <s v="Poor"/>
  </r>
  <r>
    <n v="3646"/>
    <n v="38"/>
    <x v="1"/>
    <x v="21"/>
    <x v="3"/>
    <n v="90"/>
    <x v="24"/>
    <x v="0"/>
    <s v="Silver"/>
    <x v="2"/>
    <n v="3.4"/>
    <s v="No"/>
    <x v="1"/>
    <s v="No"/>
    <n v="31"/>
    <x v="2"/>
    <s v="Every 3 Months"/>
    <n v="0.1"/>
    <n v="81"/>
    <n v="90"/>
    <s v="Credit Card"/>
    <s v="Normal"/>
    <s v="Good"/>
  </r>
  <r>
    <n v="3647"/>
    <n v="69"/>
    <x v="1"/>
    <x v="16"/>
    <x v="3"/>
    <n v="68"/>
    <x v="22"/>
    <x v="2"/>
    <s v="Maroon"/>
    <x v="1"/>
    <n v="5"/>
    <s v="No"/>
    <x v="4"/>
    <s v="No"/>
    <n v="39"/>
    <x v="5"/>
    <s v="Fortnightly"/>
    <n v="0.1"/>
    <n v="61.2"/>
    <n v="68"/>
    <s v="Debit Card"/>
    <s v="Normal"/>
    <s v="Good"/>
  </r>
  <r>
    <n v="3648"/>
    <n v="47"/>
    <x v="1"/>
    <x v="6"/>
    <x v="0"/>
    <n v="45"/>
    <x v="23"/>
    <x v="2"/>
    <s v="Gray"/>
    <x v="0"/>
    <n v="2.9"/>
    <s v="No"/>
    <x v="5"/>
    <s v="No"/>
    <n v="12"/>
    <x v="4"/>
    <s v="Weekly"/>
    <n v="0.1"/>
    <n v="40.5"/>
    <n v="45"/>
    <s v="Bank Transfer"/>
    <s v="Normal"/>
    <s v="Poor"/>
  </r>
  <r>
    <n v="3649"/>
    <n v="31"/>
    <x v="1"/>
    <x v="11"/>
    <x v="0"/>
    <n v="67"/>
    <x v="14"/>
    <x v="2"/>
    <s v="White"/>
    <x v="0"/>
    <n v="5"/>
    <s v="No"/>
    <x v="1"/>
    <s v="No"/>
    <n v="45"/>
    <x v="1"/>
    <s v="Bi-Weekly"/>
    <n v="0.1"/>
    <n v="60.3"/>
    <n v="67"/>
    <s v="Cash"/>
    <s v="Normal"/>
    <s v="Good"/>
  </r>
  <r>
    <n v="3650"/>
    <n v="68"/>
    <x v="1"/>
    <x v="11"/>
    <x v="0"/>
    <n v="57"/>
    <x v="46"/>
    <x v="2"/>
    <s v="Brown"/>
    <x v="3"/>
    <n v="4.4000000000000004"/>
    <s v="No"/>
    <x v="3"/>
    <s v="No"/>
    <n v="33"/>
    <x v="2"/>
    <s v="Fortnightly"/>
    <n v="0.1"/>
    <n v="51.3"/>
    <n v="57"/>
    <s v="Credit Card"/>
    <s v="Normal"/>
    <s v="Good"/>
  </r>
  <r>
    <n v="3651"/>
    <n v="51"/>
    <x v="1"/>
    <x v="2"/>
    <x v="0"/>
    <n v="60"/>
    <x v="31"/>
    <x v="2"/>
    <s v="Silver"/>
    <x v="2"/>
    <n v="3.5"/>
    <s v="No"/>
    <x v="4"/>
    <s v="No"/>
    <n v="3"/>
    <x v="3"/>
    <s v="Annually"/>
    <n v="0.1"/>
    <n v="54"/>
    <n v="60"/>
    <s v="PayPal"/>
    <s v="Normal"/>
    <s v="Good"/>
  </r>
  <r>
    <n v="3652"/>
    <n v="20"/>
    <x v="1"/>
    <x v="8"/>
    <x v="3"/>
    <n v="32"/>
    <x v="28"/>
    <x v="2"/>
    <s v="Yellow"/>
    <x v="1"/>
    <n v="3.8"/>
    <s v="No"/>
    <x v="0"/>
    <s v="No"/>
    <n v="5"/>
    <x v="0"/>
    <s v="Every 3 Months"/>
    <n v="0.1"/>
    <n v="28.8"/>
    <n v="32"/>
    <s v="Venmo"/>
    <s v="Normal"/>
    <s v="Good"/>
  </r>
  <r>
    <n v="3653"/>
    <n v="27"/>
    <x v="1"/>
    <x v="8"/>
    <x v="3"/>
    <n v="29"/>
    <x v="0"/>
    <x v="1"/>
    <s v="Magenta"/>
    <x v="3"/>
    <n v="3.8"/>
    <s v="No"/>
    <x v="5"/>
    <s v="No"/>
    <n v="23"/>
    <x v="5"/>
    <s v="Monthly"/>
    <n v="0.1"/>
    <n v="26.1"/>
    <n v="29"/>
    <s v="Debit Card"/>
    <s v="Normal"/>
    <s v="Good"/>
  </r>
  <r>
    <n v="3654"/>
    <n v="67"/>
    <x v="1"/>
    <x v="7"/>
    <x v="2"/>
    <n v="20"/>
    <x v="46"/>
    <x v="2"/>
    <s v="Blue"/>
    <x v="1"/>
    <n v="3.9"/>
    <s v="No"/>
    <x v="2"/>
    <s v="No"/>
    <n v="39"/>
    <x v="2"/>
    <s v="Fortnightly"/>
    <n v="0.1"/>
    <n v="18"/>
    <n v="20"/>
    <s v="Credit Card"/>
    <s v="Normal"/>
    <s v="Good"/>
  </r>
  <r>
    <n v="3655"/>
    <n v="21"/>
    <x v="1"/>
    <x v="16"/>
    <x v="3"/>
    <n v="98"/>
    <x v="10"/>
    <x v="2"/>
    <s v="Green"/>
    <x v="0"/>
    <n v="3.3"/>
    <s v="No"/>
    <x v="2"/>
    <s v="No"/>
    <n v="10"/>
    <x v="2"/>
    <s v="Annually"/>
    <n v="0.1"/>
    <n v="88.2"/>
    <n v="98"/>
    <s v="Credit Card"/>
    <s v="Normal"/>
    <s v="Good"/>
  </r>
  <r>
    <n v="3656"/>
    <n v="20"/>
    <x v="1"/>
    <x v="1"/>
    <x v="0"/>
    <n v="27"/>
    <x v="5"/>
    <x v="2"/>
    <s v="Yellow"/>
    <x v="3"/>
    <n v="2.9"/>
    <s v="No"/>
    <x v="2"/>
    <s v="No"/>
    <n v="4"/>
    <x v="2"/>
    <s v="Bi-Weekly"/>
    <n v="0.1"/>
    <n v="24.3"/>
    <n v="27"/>
    <s v="Credit Card"/>
    <s v="Normal"/>
    <s v="Poor"/>
  </r>
  <r>
    <n v="3657"/>
    <n v="35"/>
    <x v="1"/>
    <x v="14"/>
    <x v="2"/>
    <n v="67"/>
    <x v="25"/>
    <x v="3"/>
    <s v="Cyan"/>
    <x v="1"/>
    <n v="3.7"/>
    <s v="No"/>
    <x v="4"/>
    <s v="No"/>
    <n v="18"/>
    <x v="2"/>
    <s v="Monthly"/>
    <n v="0.1"/>
    <n v="60.3"/>
    <n v="67"/>
    <s v="Credit Card"/>
    <s v="Normal"/>
    <s v="Good"/>
  </r>
  <r>
    <n v="3658"/>
    <n v="58"/>
    <x v="1"/>
    <x v="9"/>
    <x v="1"/>
    <n v="82"/>
    <x v="15"/>
    <x v="0"/>
    <s v="Gold"/>
    <x v="0"/>
    <n v="3.7"/>
    <s v="No"/>
    <x v="0"/>
    <s v="No"/>
    <n v="1"/>
    <x v="5"/>
    <s v="Every 3 Months"/>
    <n v="0.1"/>
    <n v="73.8"/>
    <n v="82"/>
    <s v="Debit Card"/>
    <s v="Normal"/>
    <s v="Good"/>
  </r>
  <r>
    <n v="3659"/>
    <n v="28"/>
    <x v="1"/>
    <x v="17"/>
    <x v="0"/>
    <n v="72"/>
    <x v="16"/>
    <x v="2"/>
    <s v="Magenta"/>
    <x v="3"/>
    <n v="4.5999999999999996"/>
    <s v="No"/>
    <x v="3"/>
    <s v="No"/>
    <n v="18"/>
    <x v="3"/>
    <s v="Fortnightly"/>
    <n v="0.1"/>
    <n v="64.8"/>
    <n v="72"/>
    <s v="PayPal"/>
    <s v="Normal"/>
    <s v="Good"/>
  </r>
  <r>
    <n v="3660"/>
    <n v="27"/>
    <x v="1"/>
    <x v="3"/>
    <x v="1"/>
    <n v="77"/>
    <x v="26"/>
    <x v="1"/>
    <s v="Gray"/>
    <x v="3"/>
    <n v="4.9000000000000004"/>
    <s v="No"/>
    <x v="5"/>
    <s v="No"/>
    <n v="46"/>
    <x v="4"/>
    <s v="Annually"/>
    <n v="0.1"/>
    <n v="69.3"/>
    <n v="77"/>
    <s v="Bank Transfer"/>
    <s v="Normal"/>
    <s v="Good"/>
  </r>
  <r>
    <n v="3661"/>
    <n v="19"/>
    <x v="1"/>
    <x v="9"/>
    <x v="1"/>
    <n v="74"/>
    <x v="10"/>
    <x v="0"/>
    <s v="Indigo"/>
    <x v="0"/>
    <n v="3.1"/>
    <s v="No"/>
    <x v="4"/>
    <s v="No"/>
    <n v="13"/>
    <x v="4"/>
    <s v="Fortnightly"/>
    <n v="0.1"/>
    <n v="66.599999999999994"/>
    <n v="74"/>
    <s v="Bank Transfer"/>
    <s v="Normal"/>
    <s v="Good"/>
  </r>
  <r>
    <n v="3662"/>
    <n v="63"/>
    <x v="1"/>
    <x v="3"/>
    <x v="1"/>
    <n v="39"/>
    <x v="23"/>
    <x v="1"/>
    <s v="White"/>
    <x v="0"/>
    <n v="3.5"/>
    <s v="No"/>
    <x v="2"/>
    <s v="No"/>
    <n v="5"/>
    <x v="2"/>
    <s v="Fortnightly"/>
    <n v="0.1"/>
    <n v="35.1"/>
    <n v="39"/>
    <s v="Credit Card"/>
    <s v="Normal"/>
    <s v="Good"/>
  </r>
  <r>
    <n v="3663"/>
    <n v="69"/>
    <x v="1"/>
    <x v="6"/>
    <x v="0"/>
    <n v="80"/>
    <x v="3"/>
    <x v="2"/>
    <s v="Indigo"/>
    <x v="1"/>
    <n v="4.9000000000000004"/>
    <s v="No"/>
    <x v="2"/>
    <s v="No"/>
    <n v="11"/>
    <x v="5"/>
    <s v="Weekly"/>
    <n v="0.1"/>
    <n v="72"/>
    <n v="80"/>
    <s v="Debit Card"/>
    <s v="Normal"/>
    <s v="Good"/>
  </r>
  <r>
    <n v="3664"/>
    <n v="65"/>
    <x v="1"/>
    <x v="21"/>
    <x v="3"/>
    <n v="59"/>
    <x v="20"/>
    <x v="2"/>
    <s v="Green"/>
    <x v="2"/>
    <n v="4.4000000000000004"/>
    <s v="No"/>
    <x v="0"/>
    <s v="No"/>
    <n v="49"/>
    <x v="2"/>
    <s v="Weekly"/>
    <n v="0.1"/>
    <n v="53.1"/>
    <n v="59"/>
    <s v="Credit Card"/>
    <s v="Normal"/>
    <s v="Good"/>
  </r>
  <r>
    <n v="3665"/>
    <n v="63"/>
    <x v="1"/>
    <x v="14"/>
    <x v="2"/>
    <n v="68"/>
    <x v="9"/>
    <x v="2"/>
    <s v="Turquoise"/>
    <x v="3"/>
    <n v="4.4000000000000004"/>
    <s v="No"/>
    <x v="5"/>
    <s v="No"/>
    <n v="1"/>
    <x v="5"/>
    <s v="Fortnightly"/>
    <n v="0.1"/>
    <n v="61.2"/>
    <n v="68"/>
    <s v="Debit Card"/>
    <s v="Normal"/>
    <s v="Good"/>
  </r>
  <r>
    <n v="3666"/>
    <n v="28"/>
    <x v="1"/>
    <x v="20"/>
    <x v="0"/>
    <n v="77"/>
    <x v="17"/>
    <x v="2"/>
    <s v="Peach"/>
    <x v="3"/>
    <n v="3.4"/>
    <s v="No"/>
    <x v="2"/>
    <s v="No"/>
    <n v="11"/>
    <x v="2"/>
    <s v="Quarterly"/>
    <n v="0.1"/>
    <n v="69.3"/>
    <n v="77"/>
    <s v="Credit Card"/>
    <s v="Normal"/>
    <s v="Good"/>
  </r>
  <r>
    <n v="3667"/>
    <n v="67"/>
    <x v="1"/>
    <x v="16"/>
    <x v="3"/>
    <n v="50"/>
    <x v="15"/>
    <x v="2"/>
    <s v="Olive"/>
    <x v="0"/>
    <n v="3"/>
    <s v="No"/>
    <x v="4"/>
    <s v="No"/>
    <n v="47"/>
    <x v="1"/>
    <s v="Every 3 Months"/>
    <n v="0.1"/>
    <n v="45"/>
    <n v="50"/>
    <s v="Cash"/>
    <s v="Normal"/>
    <s v="Good"/>
  </r>
  <r>
    <n v="3668"/>
    <n v="51"/>
    <x v="1"/>
    <x v="13"/>
    <x v="0"/>
    <n v="45"/>
    <x v="47"/>
    <x v="0"/>
    <s v="Cyan"/>
    <x v="3"/>
    <n v="2.6"/>
    <s v="No"/>
    <x v="2"/>
    <s v="No"/>
    <n v="20"/>
    <x v="0"/>
    <s v="Monthly"/>
    <n v="0.1"/>
    <n v="40.5"/>
    <n v="45"/>
    <s v="Venmo"/>
    <s v="Normal"/>
    <s v="Poor"/>
  </r>
  <r>
    <n v="3669"/>
    <n v="59"/>
    <x v="1"/>
    <x v="0"/>
    <x v="0"/>
    <n v="71"/>
    <x v="49"/>
    <x v="3"/>
    <s v="Magenta"/>
    <x v="2"/>
    <n v="3.2"/>
    <s v="No"/>
    <x v="5"/>
    <s v="No"/>
    <n v="18"/>
    <x v="0"/>
    <s v="Annually"/>
    <n v="0.1"/>
    <n v="63.9"/>
    <n v="71"/>
    <s v="Venmo"/>
    <s v="Normal"/>
    <s v="Good"/>
  </r>
  <r>
    <n v="3670"/>
    <n v="25"/>
    <x v="1"/>
    <x v="20"/>
    <x v="0"/>
    <n v="52"/>
    <x v="47"/>
    <x v="1"/>
    <s v="Silver"/>
    <x v="3"/>
    <n v="4.5999999999999996"/>
    <s v="No"/>
    <x v="5"/>
    <s v="No"/>
    <n v="43"/>
    <x v="3"/>
    <s v="Quarterly"/>
    <n v="0.1"/>
    <n v="46.8"/>
    <n v="52"/>
    <s v="PayPal"/>
    <s v="Normal"/>
    <s v="Good"/>
  </r>
  <r>
    <n v="3671"/>
    <n v="31"/>
    <x v="1"/>
    <x v="9"/>
    <x v="1"/>
    <n v="50"/>
    <x v="34"/>
    <x v="1"/>
    <s v="White"/>
    <x v="0"/>
    <n v="3.8"/>
    <s v="No"/>
    <x v="1"/>
    <s v="No"/>
    <n v="4"/>
    <x v="3"/>
    <s v="Every 3 Months"/>
    <n v="0.1"/>
    <n v="45"/>
    <n v="50"/>
    <s v="PayPal"/>
    <s v="Normal"/>
    <s v="Good"/>
  </r>
  <r>
    <n v="3672"/>
    <n v="62"/>
    <x v="1"/>
    <x v="8"/>
    <x v="3"/>
    <n v="66"/>
    <x v="26"/>
    <x v="0"/>
    <s v="Pink"/>
    <x v="2"/>
    <n v="4.8"/>
    <s v="No"/>
    <x v="4"/>
    <s v="No"/>
    <n v="20"/>
    <x v="0"/>
    <s v="Quarterly"/>
    <n v="0.1"/>
    <n v="59.4"/>
    <n v="66"/>
    <s v="Venmo"/>
    <s v="Normal"/>
    <s v="Good"/>
  </r>
  <r>
    <n v="3673"/>
    <n v="51"/>
    <x v="1"/>
    <x v="3"/>
    <x v="1"/>
    <n v="81"/>
    <x v="14"/>
    <x v="1"/>
    <s v="Pink"/>
    <x v="3"/>
    <n v="4.5"/>
    <s v="No"/>
    <x v="1"/>
    <s v="No"/>
    <n v="7"/>
    <x v="3"/>
    <s v="Monthly"/>
    <n v="0.1"/>
    <n v="72.900000000000006"/>
    <n v="81"/>
    <s v="PayPal"/>
    <s v="Normal"/>
    <s v="Good"/>
  </r>
  <r>
    <n v="3674"/>
    <n v="32"/>
    <x v="1"/>
    <x v="20"/>
    <x v="0"/>
    <n v="28"/>
    <x v="3"/>
    <x v="2"/>
    <s v="Pink"/>
    <x v="2"/>
    <n v="4.2"/>
    <s v="No"/>
    <x v="4"/>
    <s v="No"/>
    <n v="31"/>
    <x v="4"/>
    <s v="Fortnightly"/>
    <n v="0.1"/>
    <n v="25.2"/>
    <n v="28"/>
    <s v="Bank Transfer"/>
    <s v="Normal"/>
    <s v="Good"/>
  </r>
  <r>
    <n v="3675"/>
    <n v="35"/>
    <x v="1"/>
    <x v="8"/>
    <x v="3"/>
    <n v="65"/>
    <x v="47"/>
    <x v="2"/>
    <s v="Blue"/>
    <x v="0"/>
    <n v="2.7"/>
    <s v="No"/>
    <x v="4"/>
    <s v="No"/>
    <n v="41"/>
    <x v="0"/>
    <s v="Fortnightly"/>
    <n v="0.1"/>
    <n v="58.5"/>
    <n v="65"/>
    <s v="Venmo"/>
    <s v="Normal"/>
    <s v="Poor"/>
  </r>
  <r>
    <n v="3676"/>
    <n v="70"/>
    <x v="1"/>
    <x v="19"/>
    <x v="3"/>
    <n v="80"/>
    <x v="41"/>
    <x v="2"/>
    <s v="White"/>
    <x v="0"/>
    <n v="4.5"/>
    <s v="No"/>
    <x v="0"/>
    <s v="No"/>
    <n v="3"/>
    <x v="4"/>
    <s v="Monthly"/>
    <n v="0.1"/>
    <n v="72"/>
    <n v="80"/>
    <s v="Bank Transfer"/>
    <s v="Normal"/>
    <s v="Good"/>
  </r>
  <r>
    <n v="3677"/>
    <n v="19"/>
    <x v="1"/>
    <x v="16"/>
    <x v="3"/>
    <n v="94"/>
    <x v="48"/>
    <x v="1"/>
    <s v="Teal"/>
    <x v="1"/>
    <n v="4.9000000000000004"/>
    <s v="No"/>
    <x v="1"/>
    <s v="No"/>
    <n v="16"/>
    <x v="3"/>
    <s v="Monthly"/>
    <n v="0.1"/>
    <n v="84.6"/>
    <n v="94"/>
    <s v="PayPal"/>
    <s v="Normal"/>
    <s v="Good"/>
  </r>
  <r>
    <n v="3678"/>
    <n v="32"/>
    <x v="1"/>
    <x v="21"/>
    <x v="3"/>
    <n v="30"/>
    <x v="49"/>
    <x v="2"/>
    <s v="Gray"/>
    <x v="3"/>
    <n v="2.8"/>
    <s v="No"/>
    <x v="3"/>
    <s v="No"/>
    <n v="43"/>
    <x v="1"/>
    <s v="Annually"/>
    <n v="0.1"/>
    <n v="27"/>
    <n v="30"/>
    <s v="Cash"/>
    <s v="Normal"/>
    <s v="Poor"/>
  </r>
  <r>
    <n v="3679"/>
    <n v="56"/>
    <x v="1"/>
    <x v="5"/>
    <x v="0"/>
    <n v="45"/>
    <x v="21"/>
    <x v="1"/>
    <s v="Beige"/>
    <x v="3"/>
    <n v="3.5"/>
    <s v="No"/>
    <x v="3"/>
    <s v="No"/>
    <n v="29"/>
    <x v="4"/>
    <s v="Fortnightly"/>
    <n v="0.1"/>
    <n v="40.5"/>
    <n v="45"/>
    <s v="Bank Transfer"/>
    <s v="Normal"/>
    <s v="Good"/>
  </r>
  <r>
    <n v="3680"/>
    <n v="53"/>
    <x v="1"/>
    <x v="7"/>
    <x v="2"/>
    <n v="91"/>
    <x v="37"/>
    <x v="2"/>
    <s v="Violet"/>
    <x v="2"/>
    <n v="2.5"/>
    <s v="No"/>
    <x v="5"/>
    <s v="No"/>
    <n v="5"/>
    <x v="1"/>
    <s v="Bi-Weekly"/>
    <n v="0.1"/>
    <n v="81.900000000000006"/>
    <n v="91"/>
    <s v="Cash"/>
    <s v="Normal"/>
    <s v="Poor"/>
  </r>
  <r>
    <n v="3681"/>
    <n v="22"/>
    <x v="1"/>
    <x v="12"/>
    <x v="3"/>
    <n v="36"/>
    <x v="44"/>
    <x v="1"/>
    <s v="Blue"/>
    <x v="0"/>
    <n v="2.9"/>
    <s v="No"/>
    <x v="3"/>
    <s v="No"/>
    <n v="30"/>
    <x v="5"/>
    <s v="Quarterly"/>
    <n v="0.1"/>
    <n v="32.4"/>
    <n v="36"/>
    <s v="Debit Card"/>
    <s v="Normal"/>
    <s v="Poor"/>
  </r>
  <r>
    <n v="3682"/>
    <n v="26"/>
    <x v="1"/>
    <x v="24"/>
    <x v="3"/>
    <n v="73"/>
    <x v="39"/>
    <x v="3"/>
    <s v="Magenta"/>
    <x v="3"/>
    <n v="4.2"/>
    <s v="No"/>
    <x v="2"/>
    <s v="No"/>
    <n v="33"/>
    <x v="5"/>
    <s v="Monthly"/>
    <n v="0.1"/>
    <n v="65.7"/>
    <n v="73"/>
    <s v="Debit Card"/>
    <s v="Normal"/>
    <s v="Good"/>
  </r>
  <r>
    <n v="3683"/>
    <n v="42"/>
    <x v="1"/>
    <x v="5"/>
    <x v="0"/>
    <n v="60"/>
    <x v="5"/>
    <x v="2"/>
    <s v="Maroon"/>
    <x v="3"/>
    <n v="4.5999999999999996"/>
    <s v="No"/>
    <x v="5"/>
    <s v="No"/>
    <n v="46"/>
    <x v="0"/>
    <s v="Bi-Weekly"/>
    <n v="0.1"/>
    <n v="54"/>
    <n v="60"/>
    <s v="Venmo"/>
    <s v="Normal"/>
    <s v="Good"/>
  </r>
  <r>
    <n v="3684"/>
    <n v="30"/>
    <x v="1"/>
    <x v="20"/>
    <x v="0"/>
    <n v="77"/>
    <x v="16"/>
    <x v="2"/>
    <s v="Purple"/>
    <x v="0"/>
    <n v="3"/>
    <s v="No"/>
    <x v="1"/>
    <s v="No"/>
    <n v="17"/>
    <x v="0"/>
    <s v="Fortnightly"/>
    <n v="0.1"/>
    <n v="69.3"/>
    <n v="77"/>
    <s v="Venmo"/>
    <s v="Normal"/>
    <s v="Good"/>
  </r>
  <r>
    <n v="3685"/>
    <n v="29"/>
    <x v="1"/>
    <x v="11"/>
    <x v="0"/>
    <n v="86"/>
    <x v="38"/>
    <x v="0"/>
    <s v="Charcoal"/>
    <x v="1"/>
    <n v="4.4000000000000004"/>
    <s v="No"/>
    <x v="1"/>
    <s v="No"/>
    <n v="47"/>
    <x v="2"/>
    <s v="Bi-Weekly"/>
    <n v="0.1"/>
    <n v="77.400000000000006"/>
    <n v="86"/>
    <s v="Credit Card"/>
    <s v="Normal"/>
    <s v="Good"/>
  </r>
  <r>
    <n v="3686"/>
    <n v="47"/>
    <x v="1"/>
    <x v="6"/>
    <x v="0"/>
    <n v="42"/>
    <x v="30"/>
    <x v="0"/>
    <s v="Red"/>
    <x v="2"/>
    <n v="2.6"/>
    <s v="No"/>
    <x v="3"/>
    <s v="No"/>
    <n v="17"/>
    <x v="1"/>
    <s v="Bi-Weekly"/>
    <n v="0.1"/>
    <n v="37.799999999999997"/>
    <n v="42"/>
    <s v="Cash"/>
    <s v="Normal"/>
    <s v="Poor"/>
  </r>
  <r>
    <n v="3687"/>
    <n v="59"/>
    <x v="1"/>
    <x v="3"/>
    <x v="1"/>
    <n v="70"/>
    <x v="7"/>
    <x v="2"/>
    <s v="Charcoal"/>
    <x v="1"/>
    <n v="4.8"/>
    <s v="No"/>
    <x v="1"/>
    <s v="No"/>
    <n v="17"/>
    <x v="1"/>
    <s v="Bi-Weekly"/>
    <n v="0.1"/>
    <n v="63"/>
    <n v="70"/>
    <s v="Cash"/>
    <s v="Normal"/>
    <s v="Good"/>
  </r>
  <r>
    <n v="3688"/>
    <n v="34"/>
    <x v="1"/>
    <x v="5"/>
    <x v="0"/>
    <n v="44"/>
    <x v="10"/>
    <x v="0"/>
    <s v="Lavender"/>
    <x v="2"/>
    <n v="2.9"/>
    <s v="No"/>
    <x v="2"/>
    <s v="No"/>
    <n v="28"/>
    <x v="4"/>
    <s v="Every 3 Months"/>
    <n v="0.1"/>
    <n v="39.6"/>
    <n v="44"/>
    <s v="Bank Transfer"/>
    <s v="Normal"/>
    <s v="Poor"/>
  </r>
  <r>
    <n v="3689"/>
    <n v="52"/>
    <x v="1"/>
    <x v="12"/>
    <x v="3"/>
    <n v="91"/>
    <x v="8"/>
    <x v="0"/>
    <s v="White"/>
    <x v="1"/>
    <n v="3"/>
    <s v="No"/>
    <x v="2"/>
    <s v="No"/>
    <n v="8"/>
    <x v="1"/>
    <s v="Monthly"/>
    <n v="0.1"/>
    <n v="81.900000000000006"/>
    <n v="91"/>
    <s v="Cash"/>
    <s v="Normal"/>
    <s v="Good"/>
  </r>
  <r>
    <n v="3690"/>
    <n v="47"/>
    <x v="1"/>
    <x v="16"/>
    <x v="3"/>
    <n v="30"/>
    <x v="36"/>
    <x v="0"/>
    <s v="Red"/>
    <x v="3"/>
    <n v="4.5"/>
    <s v="No"/>
    <x v="3"/>
    <s v="No"/>
    <n v="8"/>
    <x v="4"/>
    <s v="Quarterly"/>
    <n v="0.1"/>
    <n v="27"/>
    <n v="30"/>
    <s v="Bank Transfer"/>
    <s v="Normal"/>
    <s v="Good"/>
  </r>
  <r>
    <n v="3691"/>
    <n v="24"/>
    <x v="1"/>
    <x v="0"/>
    <x v="0"/>
    <n v="23"/>
    <x v="23"/>
    <x v="1"/>
    <s v="Violet"/>
    <x v="3"/>
    <n v="3.7"/>
    <s v="No"/>
    <x v="5"/>
    <s v="No"/>
    <n v="4"/>
    <x v="4"/>
    <s v="Bi-Weekly"/>
    <n v="0.1"/>
    <n v="20.7"/>
    <n v="23"/>
    <s v="Bank Transfer"/>
    <s v="Normal"/>
    <s v="Good"/>
  </r>
  <r>
    <n v="3692"/>
    <n v="63"/>
    <x v="1"/>
    <x v="3"/>
    <x v="1"/>
    <n v="21"/>
    <x v="49"/>
    <x v="3"/>
    <s v="Orange"/>
    <x v="2"/>
    <n v="4.8"/>
    <s v="No"/>
    <x v="2"/>
    <s v="No"/>
    <n v="24"/>
    <x v="3"/>
    <s v="Weekly"/>
    <n v="0.1"/>
    <n v="18.899999999999999"/>
    <n v="21"/>
    <s v="PayPal"/>
    <s v="Normal"/>
    <s v="Good"/>
  </r>
  <r>
    <n v="3693"/>
    <n v="59"/>
    <x v="1"/>
    <x v="7"/>
    <x v="2"/>
    <n v="34"/>
    <x v="15"/>
    <x v="0"/>
    <s v="Turquoise"/>
    <x v="1"/>
    <n v="4.8"/>
    <s v="No"/>
    <x v="1"/>
    <s v="No"/>
    <n v="29"/>
    <x v="1"/>
    <s v="Fortnightly"/>
    <n v="0.1"/>
    <n v="30.6"/>
    <n v="34"/>
    <s v="Cash"/>
    <s v="Normal"/>
    <s v="Good"/>
  </r>
  <r>
    <n v="3694"/>
    <n v="66"/>
    <x v="1"/>
    <x v="0"/>
    <x v="0"/>
    <n v="46"/>
    <x v="45"/>
    <x v="2"/>
    <s v="Violet"/>
    <x v="2"/>
    <n v="4.7"/>
    <s v="No"/>
    <x v="4"/>
    <s v="No"/>
    <n v="10"/>
    <x v="0"/>
    <s v="Weekly"/>
    <n v="0.1"/>
    <n v="41.4"/>
    <n v="46"/>
    <s v="Venmo"/>
    <s v="Normal"/>
    <s v="Good"/>
  </r>
  <r>
    <n v="3695"/>
    <n v="45"/>
    <x v="1"/>
    <x v="1"/>
    <x v="0"/>
    <n v="41"/>
    <x v="3"/>
    <x v="2"/>
    <s v="Blue"/>
    <x v="0"/>
    <n v="2.6"/>
    <s v="No"/>
    <x v="0"/>
    <s v="No"/>
    <n v="11"/>
    <x v="3"/>
    <s v="Bi-Weekly"/>
    <n v="0.1"/>
    <n v="36.9"/>
    <n v="41"/>
    <s v="PayPal"/>
    <s v="Normal"/>
    <s v="Poor"/>
  </r>
  <r>
    <n v="3696"/>
    <n v="38"/>
    <x v="1"/>
    <x v="11"/>
    <x v="0"/>
    <n v="33"/>
    <x v="20"/>
    <x v="2"/>
    <s v="White"/>
    <x v="3"/>
    <n v="4.5999999999999996"/>
    <s v="No"/>
    <x v="3"/>
    <s v="No"/>
    <n v="18"/>
    <x v="4"/>
    <s v="Fortnightly"/>
    <n v="0.1"/>
    <n v="29.7"/>
    <n v="33"/>
    <s v="Bank Transfer"/>
    <s v="Normal"/>
    <s v="Good"/>
  </r>
  <r>
    <n v="3697"/>
    <n v="63"/>
    <x v="1"/>
    <x v="0"/>
    <x v="0"/>
    <n v="48"/>
    <x v="39"/>
    <x v="0"/>
    <s v="Turquoise"/>
    <x v="3"/>
    <n v="3.4"/>
    <s v="No"/>
    <x v="2"/>
    <s v="No"/>
    <n v="26"/>
    <x v="4"/>
    <s v="Annually"/>
    <n v="0.1"/>
    <n v="43.2"/>
    <n v="48"/>
    <s v="Bank Transfer"/>
    <s v="Normal"/>
    <s v="Good"/>
  </r>
  <r>
    <n v="3698"/>
    <n v="55"/>
    <x v="1"/>
    <x v="15"/>
    <x v="0"/>
    <n v="66"/>
    <x v="38"/>
    <x v="0"/>
    <s v="Pink"/>
    <x v="0"/>
    <n v="3"/>
    <s v="No"/>
    <x v="3"/>
    <s v="No"/>
    <n v="39"/>
    <x v="1"/>
    <s v="Weekly"/>
    <n v="0.1"/>
    <n v="59.4"/>
    <n v="66"/>
    <s v="Cash"/>
    <s v="Normal"/>
    <s v="Good"/>
  </r>
  <r>
    <n v="3699"/>
    <n v="25"/>
    <x v="1"/>
    <x v="11"/>
    <x v="0"/>
    <n v="54"/>
    <x v="18"/>
    <x v="3"/>
    <s v="Maroon"/>
    <x v="1"/>
    <n v="4"/>
    <s v="No"/>
    <x v="4"/>
    <s v="No"/>
    <n v="4"/>
    <x v="0"/>
    <s v="Annually"/>
    <n v="0.1"/>
    <n v="48.6"/>
    <n v="54"/>
    <s v="Venmo"/>
    <s v="Normal"/>
    <s v="Good"/>
  </r>
  <r>
    <n v="3700"/>
    <n v="51"/>
    <x v="1"/>
    <x v="21"/>
    <x v="3"/>
    <n v="55"/>
    <x v="19"/>
    <x v="2"/>
    <s v="Olive"/>
    <x v="3"/>
    <n v="2.6"/>
    <s v="No"/>
    <x v="5"/>
    <s v="No"/>
    <n v="24"/>
    <x v="4"/>
    <s v="Weekly"/>
    <n v="0.1"/>
    <n v="49.5"/>
    <n v="55"/>
    <s v="Bank Transfer"/>
    <s v="Normal"/>
    <s v="Poor"/>
  </r>
  <r>
    <n v="3701"/>
    <n v="28"/>
    <x v="1"/>
    <x v="8"/>
    <x v="3"/>
    <n v="84"/>
    <x v="25"/>
    <x v="3"/>
    <s v="Charcoal"/>
    <x v="2"/>
    <n v="3.4"/>
    <s v="No"/>
    <x v="5"/>
    <s v="No"/>
    <n v="2"/>
    <x v="4"/>
    <s v="Every 3 Months"/>
    <n v="0.1"/>
    <n v="75.599999999999994"/>
    <n v="84"/>
    <s v="Bank Transfer"/>
    <s v="Normal"/>
    <s v="Good"/>
  </r>
  <r>
    <n v="3702"/>
    <n v="46"/>
    <x v="1"/>
    <x v="3"/>
    <x v="1"/>
    <n v="66"/>
    <x v="35"/>
    <x v="2"/>
    <s v="Charcoal"/>
    <x v="1"/>
    <n v="4.5"/>
    <s v="No"/>
    <x v="5"/>
    <s v="No"/>
    <n v="36"/>
    <x v="1"/>
    <s v="Annually"/>
    <n v="0.1"/>
    <n v="59.4"/>
    <n v="66"/>
    <s v="Cash"/>
    <s v="Normal"/>
    <s v="Good"/>
  </r>
  <r>
    <n v="3703"/>
    <n v="58"/>
    <x v="1"/>
    <x v="9"/>
    <x v="1"/>
    <n v="65"/>
    <x v="36"/>
    <x v="2"/>
    <s v="Indigo"/>
    <x v="1"/>
    <n v="2.7"/>
    <s v="No"/>
    <x v="5"/>
    <s v="No"/>
    <n v="36"/>
    <x v="0"/>
    <s v="Weekly"/>
    <n v="0.1"/>
    <n v="58.5"/>
    <n v="65"/>
    <s v="Venmo"/>
    <s v="Normal"/>
    <s v="Poor"/>
  </r>
  <r>
    <n v="3704"/>
    <n v="30"/>
    <x v="1"/>
    <x v="3"/>
    <x v="1"/>
    <n v="83"/>
    <x v="49"/>
    <x v="1"/>
    <s v="Teal"/>
    <x v="3"/>
    <n v="2.9"/>
    <s v="No"/>
    <x v="3"/>
    <s v="No"/>
    <n v="23"/>
    <x v="3"/>
    <s v="Every 3 Months"/>
    <n v="0.1"/>
    <n v="74.7"/>
    <n v="83"/>
    <s v="PayPal"/>
    <s v="Normal"/>
    <s v="Poor"/>
  </r>
  <r>
    <n v="3705"/>
    <n v="68"/>
    <x v="1"/>
    <x v="12"/>
    <x v="3"/>
    <n v="61"/>
    <x v="9"/>
    <x v="0"/>
    <s v="Black"/>
    <x v="0"/>
    <n v="4"/>
    <s v="No"/>
    <x v="5"/>
    <s v="No"/>
    <n v="36"/>
    <x v="2"/>
    <s v="Quarterly"/>
    <n v="0.1"/>
    <n v="54.9"/>
    <n v="61"/>
    <s v="Credit Card"/>
    <s v="Normal"/>
    <s v="Good"/>
  </r>
  <r>
    <n v="3706"/>
    <n v="28"/>
    <x v="1"/>
    <x v="11"/>
    <x v="0"/>
    <n v="65"/>
    <x v="24"/>
    <x v="0"/>
    <s v="Teal"/>
    <x v="2"/>
    <n v="3.2"/>
    <s v="No"/>
    <x v="1"/>
    <s v="No"/>
    <n v="2"/>
    <x v="5"/>
    <s v="Annually"/>
    <n v="0.1"/>
    <n v="58.5"/>
    <n v="65"/>
    <s v="Debit Card"/>
    <s v="Normal"/>
    <s v="Good"/>
  </r>
  <r>
    <n v="3707"/>
    <n v="26"/>
    <x v="1"/>
    <x v="3"/>
    <x v="1"/>
    <n v="55"/>
    <x v="23"/>
    <x v="2"/>
    <s v="Green"/>
    <x v="1"/>
    <n v="4"/>
    <s v="No"/>
    <x v="5"/>
    <s v="No"/>
    <n v="17"/>
    <x v="1"/>
    <s v="Bi-Weekly"/>
    <n v="0.1"/>
    <n v="49.5"/>
    <n v="55"/>
    <s v="Cash"/>
    <s v="Normal"/>
    <s v="Good"/>
  </r>
  <r>
    <n v="3708"/>
    <n v="35"/>
    <x v="1"/>
    <x v="24"/>
    <x v="3"/>
    <n v="79"/>
    <x v="26"/>
    <x v="2"/>
    <s v="Gold"/>
    <x v="3"/>
    <n v="3.4"/>
    <s v="No"/>
    <x v="4"/>
    <s v="No"/>
    <n v="19"/>
    <x v="0"/>
    <s v="Weekly"/>
    <n v="0.1"/>
    <n v="71.099999999999994"/>
    <n v="79"/>
    <s v="Venmo"/>
    <s v="Normal"/>
    <s v="Good"/>
  </r>
  <r>
    <n v="3709"/>
    <n v="40"/>
    <x v="1"/>
    <x v="15"/>
    <x v="0"/>
    <n v="96"/>
    <x v="36"/>
    <x v="2"/>
    <s v="Red"/>
    <x v="3"/>
    <n v="4.9000000000000004"/>
    <s v="No"/>
    <x v="0"/>
    <s v="No"/>
    <n v="41"/>
    <x v="3"/>
    <s v="Monthly"/>
    <n v="0.1"/>
    <n v="86.4"/>
    <n v="96"/>
    <s v="PayPal"/>
    <s v="Normal"/>
    <s v="Good"/>
  </r>
  <r>
    <n v="3710"/>
    <n v="31"/>
    <x v="1"/>
    <x v="20"/>
    <x v="0"/>
    <n v="43"/>
    <x v="40"/>
    <x v="2"/>
    <s v="Silver"/>
    <x v="3"/>
    <n v="3.6"/>
    <s v="No"/>
    <x v="1"/>
    <s v="No"/>
    <n v="27"/>
    <x v="3"/>
    <s v="Quarterly"/>
    <n v="0.1"/>
    <n v="38.700000000000003"/>
    <n v="43"/>
    <s v="PayPal"/>
    <s v="Normal"/>
    <s v="Good"/>
  </r>
  <r>
    <n v="3711"/>
    <n v="60"/>
    <x v="1"/>
    <x v="16"/>
    <x v="3"/>
    <n v="40"/>
    <x v="11"/>
    <x v="2"/>
    <s v="Yellow"/>
    <x v="2"/>
    <n v="3.6"/>
    <s v="No"/>
    <x v="4"/>
    <s v="No"/>
    <n v="32"/>
    <x v="4"/>
    <s v="Fortnightly"/>
    <n v="0.1"/>
    <n v="36"/>
    <n v="40"/>
    <s v="Bank Transfer"/>
    <s v="Normal"/>
    <s v="Good"/>
  </r>
  <r>
    <n v="3712"/>
    <n v="69"/>
    <x v="1"/>
    <x v="19"/>
    <x v="3"/>
    <n v="62"/>
    <x v="21"/>
    <x v="3"/>
    <s v="Peach"/>
    <x v="3"/>
    <n v="3.2"/>
    <s v="No"/>
    <x v="1"/>
    <s v="No"/>
    <n v="33"/>
    <x v="1"/>
    <s v="Annually"/>
    <n v="0.1"/>
    <n v="55.8"/>
    <n v="62"/>
    <s v="Cash"/>
    <s v="Normal"/>
    <s v="Good"/>
  </r>
  <r>
    <n v="3713"/>
    <n v="51"/>
    <x v="1"/>
    <x v="0"/>
    <x v="0"/>
    <n v="72"/>
    <x v="4"/>
    <x v="2"/>
    <s v="Turquoise"/>
    <x v="1"/>
    <n v="3.7"/>
    <s v="No"/>
    <x v="4"/>
    <s v="No"/>
    <n v="24"/>
    <x v="3"/>
    <s v="Quarterly"/>
    <n v="0.1"/>
    <n v="64.8"/>
    <n v="72"/>
    <s v="PayPal"/>
    <s v="Normal"/>
    <s v="Good"/>
  </r>
  <r>
    <n v="3714"/>
    <n v="49"/>
    <x v="1"/>
    <x v="9"/>
    <x v="1"/>
    <n v="87"/>
    <x v="28"/>
    <x v="2"/>
    <s v="Peach"/>
    <x v="1"/>
    <n v="2.6"/>
    <s v="No"/>
    <x v="0"/>
    <s v="No"/>
    <n v="31"/>
    <x v="5"/>
    <s v="Every 3 Months"/>
    <n v="0.1"/>
    <n v="78.3"/>
    <n v="87"/>
    <s v="Debit Card"/>
    <s v="Normal"/>
    <s v="Poor"/>
  </r>
  <r>
    <n v="3715"/>
    <n v="18"/>
    <x v="1"/>
    <x v="19"/>
    <x v="3"/>
    <n v="31"/>
    <x v="14"/>
    <x v="1"/>
    <s v="Peach"/>
    <x v="0"/>
    <n v="3.9"/>
    <s v="No"/>
    <x v="0"/>
    <s v="No"/>
    <n v="35"/>
    <x v="2"/>
    <s v="Weekly"/>
    <n v="0.1"/>
    <n v="27.9"/>
    <n v="31"/>
    <s v="Credit Card"/>
    <s v="Normal"/>
    <s v="Good"/>
  </r>
  <r>
    <n v="3716"/>
    <n v="63"/>
    <x v="1"/>
    <x v="12"/>
    <x v="3"/>
    <n v="34"/>
    <x v="43"/>
    <x v="1"/>
    <s v="Orange"/>
    <x v="3"/>
    <n v="3.4"/>
    <s v="No"/>
    <x v="1"/>
    <s v="No"/>
    <n v="2"/>
    <x v="4"/>
    <s v="Monthly"/>
    <n v="0.1"/>
    <n v="30.6"/>
    <n v="34"/>
    <s v="Bank Transfer"/>
    <s v="Normal"/>
    <s v="Good"/>
  </r>
  <r>
    <n v="3717"/>
    <n v="57"/>
    <x v="1"/>
    <x v="5"/>
    <x v="0"/>
    <n v="53"/>
    <x v="34"/>
    <x v="2"/>
    <s v="Charcoal"/>
    <x v="3"/>
    <n v="3.4"/>
    <s v="No"/>
    <x v="2"/>
    <s v="No"/>
    <n v="42"/>
    <x v="5"/>
    <s v="Every 3 Months"/>
    <n v="0.1"/>
    <n v="47.7"/>
    <n v="53"/>
    <s v="Debit Card"/>
    <s v="Normal"/>
    <s v="Good"/>
  </r>
  <r>
    <n v="3718"/>
    <n v="45"/>
    <x v="1"/>
    <x v="17"/>
    <x v="0"/>
    <n v="85"/>
    <x v="33"/>
    <x v="3"/>
    <s v="White"/>
    <x v="2"/>
    <n v="4.2"/>
    <s v="No"/>
    <x v="0"/>
    <s v="No"/>
    <n v="47"/>
    <x v="4"/>
    <s v="Every 3 Months"/>
    <n v="0.1"/>
    <n v="76.5"/>
    <n v="85"/>
    <s v="Bank Transfer"/>
    <s v="Normal"/>
    <s v="Good"/>
  </r>
  <r>
    <n v="3719"/>
    <n v="36"/>
    <x v="1"/>
    <x v="13"/>
    <x v="0"/>
    <n v="50"/>
    <x v="30"/>
    <x v="0"/>
    <s v="Turquoise"/>
    <x v="3"/>
    <n v="2.9"/>
    <s v="No"/>
    <x v="3"/>
    <s v="No"/>
    <n v="44"/>
    <x v="4"/>
    <s v="Bi-Weekly"/>
    <n v="0.1"/>
    <n v="45"/>
    <n v="50"/>
    <s v="Bank Transfer"/>
    <s v="Normal"/>
    <s v="Poor"/>
  </r>
  <r>
    <n v="3720"/>
    <n v="20"/>
    <x v="1"/>
    <x v="13"/>
    <x v="0"/>
    <n v="91"/>
    <x v="38"/>
    <x v="2"/>
    <s v="Red"/>
    <x v="2"/>
    <n v="4.0999999999999996"/>
    <s v="No"/>
    <x v="1"/>
    <s v="No"/>
    <n v="8"/>
    <x v="4"/>
    <s v="Every 3 Months"/>
    <n v="0.1"/>
    <n v="81.900000000000006"/>
    <n v="91"/>
    <s v="Bank Transfer"/>
    <s v="Normal"/>
    <s v="Good"/>
  </r>
  <r>
    <n v="3721"/>
    <n v="21"/>
    <x v="1"/>
    <x v="19"/>
    <x v="3"/>
    <n v="56"/>
    <x v="36"/>
    <x v="2"/>
    <s v="Peach"/>
    <x v="3"/>
    <n v="3.6"/>
    <s v="No"/>
    <x v="1"/>
    <s v="No"/>
    <n v="13"/>
    <x v="2"/>
    <s v="Quarterly"/>
    <n v="0.1"/>
    <n v="50.4"/>
    <n v="56"/>
    <s v="Credit Card"/>
    <s v="Normal"/>
    <s v="Good"/>
  </r>
  <r>
    <n v="3722"/>
    <n v="62"/>
    <x v="1"/>
    <x v="7"/>
    <x v="2"/>
    <n v="60"/>
    <x v="39"/>
    <x v="0"/>
    <s v="Pink"/>
    <x v="3"/>
    <n v="4"/>
    <s v="No"/>
    <x v="2"/>
    <s v="No"/>
    <n v="10"/>
    <x v="1"/>
    <s v="Annually"/>
    <n v="0.1"/>
    <n v="54"/>
    <n v="60"/>
    <s v="Cash"/>
    <s v="Normal"/>
    <s v="Good"/>
  </r>
  <r>
    <n v="3723"/>
    <n v="23"/>
    <x v="1"/>
    <x v="14"/>
    <x v="2"/>
    <n v="34"/>
    <x v="0"/>
    <x v="3"/>
    <s v="Yellow"/>
    <x v="3"/>
    <n v="4"/>
    <s v="No"/>
    <x v="3"/>
    <s v="No"/>
    <n v="1"/>
    <x v="2"/>
    <s v="Fortnightly"/>
    <n v="0.1"/>
    <n v="30.6"/>
    <n v="34"/>
    <s v="Credit Card"/>
    <s v="Normal"/>
    <s v="Good"/>
  </r>
  <r>
    <n v="3724"/>
    <n v="26"/>
    <x v="1"/>
    <x v="3"/>
    <x v="1"/>
    <n v="30"/>
    <x v="3"/>
    <x v="2"/>
    <s v="Beige"/>
    <x v="1"/>
    <n v="3.6"/>
    <s v="No"/>
    <x v="1"/>
    <s v="No"/>
    <n v="1"/>
    <x v="5"/>
    <s v="Monthly"/>
    <n v="0.1"/>
    <n v="27"/>
    <n v="30"/>
    <s v="Debit Card"/>
    <s v="Normal"/>
    <s v="Good"/>
  </r>
  <r>
    <n v="3725"/>
    <n v="30"/>
    <x v="1"/>
    <x v="24"/>
    <x v="3"/>
    <n v="71"/>
    <x v="24"/>
    <x v="0"/>
    <s v="Green"/>
    <x v="0"/>
    <n v="3.1"/>
    <s v="No"/>
    <x v="0"/>
    <s v="No"/>
    <n v="18"/>
    <x v="4"/>
    <s v="Annually"/>
    <n v="0.1"/>
    <n v="63.9"/>
    <n v="71"/>
    <s v="Bank Transfer"/>
    <s v="Normal"/>
    <s v="Good"/>
  </r>
  <r>
    <n v="3726"/>
    <n v="18"/>
    <x v="1"/>
    <x v="10"/>
    <x v="0"/>
    <n v="100"/>
    <x v="19"/>
    <x v="1"/>
    <s v="Turquoise"/>
    <x v="0"/>
    <n v="4.4000000000000004"/>
    <s v="No"/>
    <x v="2"/>
    <s v="No"/>
    <n v="2"/>
    <x v="3"/>
    <s v="Annually"/>
    <n v="0.1"/>
    <n v="90"/>
    <n v="100"/>
    <s v="PayPal"/>
    <s v="Normal"/>
    <s v="Good"/>
  </r>
  <r>
    <n v="3727"/>
    <n v="47"/>
    <x v="1"/>
    <x v="22"/>
    <x v="3"/>
    <n v="85"/>
    <x v="37"/>
    <x v="3"/>
    <s v="Orange"/>
    <x v="3"/>
    <n v="4.3"/>
    <s v="No"/>
    <x v="2"/>
    <s v="No"/>
    <n v="36"/>
    <x v="5"/>
    <s v="Every 3 Months"/>
    <n v="0.1"/>
    <n v="76.5"/>
    <n v="85"/>
    <s v="Debit Card"/>
    <s v="Normal"/>
    <s v="Good"/>
  </r>
  <r>
    <n v="3728"/>
    <n v="41"/>
    <x v="1"/>
    <x v="20"/>
    <x v="0"/>
    <n v="83"/>
    <x v="1"/>
    <x v="2"/>
    <s v="Gold"/>
    <x v="2"/>
    <n v="3.5"/>
    <s v="No"/>
    <x v="2"/>
    <s v="No"/>
    <n v="17"/>
    <x v="5"/>
    <s v="Bi-Weekly"/>
    <n v="0.1"/>
    <n v="74.7"/>
    <n v="83"/>
    <s v="Debit Card"/>
    <s v="Normal"/>
    <s v="Good"/>
  </r>
  <r>
    <n v="3729"/>
    <n v="62"/>
    <x v="1"/>
    <x v="14"/>
    <x v="2"/>
    <n v="31"/>
    <x v="34"/>
    <x v="0"/>
    <s v="Red"/>
    <x v="0"/>
    <n v="3"/>
    <s v="No"/>
    <x v="3"/>
    <s v="No"/>
    <n v="1"/>
    <x v="5"/>
    <s v="Annually"/>
    <n v="0.1"/>
    <n v="27.9"/>
    <n v="31"/>
    <s v="Debit Card"/>
    <s v="Normal"/>
    <s v="Good"/>
  </r>
  <r>
    <n v="3730"/>
    <n v="28"/>
    <x v="1"/>
    <x v="23"/>
    <x v="1"/>
    <n v="82"/>
    <x v="3"/>
    <x v="2"/>
    <s v="Teal"/>
    <x v="1"/>
    <n v="4.7"/>
    <s v="No"/>
    <x v="4"/>
    <s v="No"/>
    <n v="50"/>
    <x v="1"/>
    <s v="Quarterly"/>
    <n v="0.1"/>
    <n v="73.8"/>
    <n v="82"/>
    <s v="Cash"/>
    <s v="Normal"/>
    <s v="Good"/>
  </r>
  <r>
    <n v="3731"/>
    <n v="46"/>
    <x v="1"/>
    <x v="5"/>
    <x v="0"/>
    <n v="79"/>
    <x v="20"/>
    <x v="2"/>
    <s v="Teal"/>
    <x v="2"/>
    <n v="2.5"/>
    <s v="No"/>
    <x v="4"/>
    <s v="No"/>
    <n v="3"/>
    <x v="2"/>
    <s v="Bi-Weekly"/>
    <n v="0.1"/>
    <n v="71.099999999999994"/>
    <n v="79"/>
    <s v="Credit Card"/>
    <s v="Normal"/>
    <s v="Poor"/>
  </r>
  <r>
    <n v="3732"/>
    <n v="54"/>
    <x v="1"/>
    <x v="19"/>
    <x v="3"/>
    <n v="62"/>
    <x v="8"/>
    <x v="2"/>
    <s v="Lavender"/>
    <x v="1"/>
    <n v="3.1"/>
    <s v="No"/>
    <x v="4"/>
    <s v="No"/>
    <n v="45"/>
    <x v="3"/>
    <s v="Quarterly"/>
    <n v="0.1"/>
    <n v="55.8"/>
    <n v="62"/>
    <s v="PayPal"/>
    <s v="Normal"/>
    <s v="Good"/>
  </r>
  <r>
    <n v="3733"/>
    <n v="36"/>
    <x v="1"/>
    <x v="9"/>
    <x v="1"/>
    <n v="92"/>
    <x v="27"/>
    <x v="0"/>
    <s v="Pink"/>
    <x v="1"/>
    <n v="3.3"/>
    <s v="No"/>
    <x v="1"/>
    <s v="No"/>
    <n v="28"/>
    <x v="3"/>
    <s v="Annually"/>
    <n v="0.1"/>
    <n v="82.8"/>
    <n v="92"/>
    <s v="PayPal"/>
    <s v="Normal"/>
    <s v="Good"/>
  </r>
  <r>
    <n v="3734"/>
    <n v="25"/>
    <x v="1"/>
    <x v="20"/>
    <x v="0"/>
    <n v="58"/>
    <x v="26"/>
    <x v="2"/>
    <s v="Maroon"/>
    <x v="3"/>
    <n v="4.7"/>
    <s v="No"/>
    <x v="2"/>
    <s v="No"/>
    <n v="6"/>
    <x v="5"/>
    <s v="Every 3 Months"/>
    <n v="0.1"/>
    <n v="52.2"/>
    <n v="58"/>
    <s v="Debit Card"/>
    <s v="Normal"/>
    <s v="Good"/>
  </r>
  <r>
    <n v="3735"/>
    <n v="38"/>
    <x v="1"/>
    <x v="15"/>
    <x v="0"/>
    <n v="88"/>
    <x v="18"/>
    <x v="2"/>
    <s v="Beige"/>
    <x v="1"/>
    <n v="3.4"/>
    <s v="No"/>
    <x v="2"/>
    <s v="No"/>
    <n v="33"/>
    <x v="5"/>
    <s v="Every 3 Months"/>
    <n v="0.1"/>
    <n v="79.2"/>
    <n v="88"/>
    <s v="Debit Card"/>
    <s v="Normal"/>
    <s v="Good"/>
  </r>
  <r>
    <n v="3736"/>
    <n v="38"/>
    <x v="1"/>
    <x v="3"/>
    <x v="1"/>
    <n v="44"/>
    <x v="2"/>
    <x v="0"/>
    <s v="Orange"/>
    <x v="1"/>
    <n v="3.1"/>
    <s v="No"/>
    <x v="4"/>
    <s v="No"/>
    <n v="29"/>
    <x v="3"/>
    <s v="Annually"/>
    <n v="0.1"/>
    <n v="39.6"/>
    <n v="44"/>
    <s v="PayPal"/>
    <s v="Normal"/>
    <s v="Good"/>
  </r>
  <r>
    <n v="3737"/>
    <n v="42"/>
    <x v="1"/>
    <x v="2"/>
    <x v="0"/>
    <n v="56"/>
    <x v="37"/>
    <x v="2"/>
    <s v="Red"/>
    <x v="1"/>
    <n v="4.5999999999999996"/>
    <s v="No"/>
    <x v="5"/>
    <s v="No"/>
    <n v="2"/>
    <x v="3"/>
    <s v="Every 3 Months"/>
    <n v="0.1"/>
    <n v="50.4"/>
    <n v="56"/>
    <s v="PayPal"/>
    <s v="Normal"/>
    <s v="Good"/>
  </r>
  <r>
    <n v="3738"/>
    <n v="19"/>
    <x v="1"/>
    <x v="16"/>
    <x v="3"/>
    <n v="23"/>
    <x v="0"/>
    <x v="1"/>
    <s v="Maroon"/>
    <x v="0"/>
    <n v="4.9000000000000004"/>
    <s v="No"/>
    <x v="1"/>
    <s v="No"/>
    <n v="43"/>
    <x v="3"/>
    <s v="Bi-Weekly"/>
    <n v="0.1"/>
    <n v="20.7"/>
    <n v="23"/>
    <s v="PayPal"/>
    <s v="Normal"/>
    <s v="Good"/>
  </r>
  <r>
    <n v="3739"/>
    <n v="34"/>
    <x v="1"/>
    <x v="6"/>
    <x v="0"/>
    <n v="45"/>
    <x v="12"/>
    <x v="2"/>
    <s v="Brown"/>
    <x v="1"/>
    <n v="2.7"/>
    <s v="No"/>
    <x v="1"/>
    <s v="No"/>
    <n v="48"/>
    <x v="1"/>
    <s v="Fortnightly"/>
    <n v="0.1"/>
    <n v="40.5"/>
    <n v="45"/>
    <s v="Cash"/>
    <s v="Normal"/>
    <s v="Poor"/>
  </r>
  <r>
    <n v="3740"/>
    <n v="38"/>
    <x v="1"/>
    <x v="12"/>
    <x v="3"/>
    <n v="31"/>
    <x v="37"/>
    <x v="2"/>
    <s v="Olive"/>
    <x v="3"/>
    <n v="4.2"/>
    <s v="No"/>
    <x v="1"/>
    <s v="No"/>
    <n v="43"/>
    <x v="2"/>
    <s v="Weekly"/>
    <n v="0.1"/>
    <n v="27.9"/>
    <n v="31"/>
    <s v="Credit Card"/>
    <s v="Normal"/>
    <s v="Good"/>
  </r>
  <r>
    <n v="3741"/>
    <n v="42"/>
    <x v="1"/>
    <x v="13"/>
    <x v="0"/>
    <n v="96"/>
    <x v="41"/>
    <x v="2"/>
    <s v="Silver"/>
    <x v="2"/>
    <n v="2.6"/>
    <s v="No"/>
    <x v="5"/>
    <s v="No"/>
    <n v="26"/>
    <x v="5"/>
    <s v="Bi-Weekly"/>
    <n v="0.1"/>
    <n v="86.4"/>
    <n v="96"/>
    <s v="Debit Card"/>
    <s v="Normal"/>
    <s v="Poor"/>
  </r>
  <r>
    <n v="3742"/>
    <n v="58"/>
    <x v="1"/>
    <x v="5"/>
    <x v="0"/>
    <n v="96"/>
    <x v="28"/>
    <x v="2"/>
    <s v="Purple"/>
    <x v="1"/>
    <n v="3.2"/>
    <s v="No"/>
    <x v="4"/>
    <s v="No"/>
    <n v="26"/>
    <x v="5"/>
    <s v="Bi-Weekly"/>
    <n v="0.1"/>
    <n v="86.4"/>
    <n v="96"/>
    <s v="Debit Card"/>
    <s v="Normal"/>
    <s v="Good"/>
  </r>
  <r>
    <n v="3743"/>
    <n v="56"/>
    <x v="1"/>
    <x v="5"/>
    <x v="0"/>
    <n v="80"/>
    <x v="33"/>
    <x v="2"/>
    <s v="Gray"/>
    <x v="3"/>
    <n v="4.4000000000000004"/>
    <s v="No"/>
    <x v="3"/>
    <s v="No"/>
    <n v="50"/>
    <x v="2"/>
    <s v="Bi-Weekly"/>
    <n v="0.1"/>
    <n v="72"/>
    <n v="80"/>
    <s v="Credit Card"/>
    <s v="Normal"/>
    <s v="Good"/>
  </r>
  <r>
    <n v="3744"/>
    <n v="62"/>
    <x v="1"/>
    <x v="13"/>
    <x v="0"/>
    <n v="28"/>
    <x v="37"/>
    <x v="0"/>
    <s v="Cyan"/>
    <x v="3"/>
    <n v="3.6"/>
    <s v="No"/>
    <x v="1"/>
    <s v="No"/>
    <n v="36"/>
    <x v="5"/>
    <s v="Quarterly"/>
    <n v="0.1"/>
    <n v="25.2"/>
    <n v="28"/>
    <s v="Debit Card"/>
    <s v="Normal"/>
    <s v="Good"/>
  </r>
  <r>
    <n v="3745"/>
    <n v="24"/>
    <x v="1"/>
    <x v="15"/>
    <x v="0"/>
    <n v="51"/>
    <x v="32"/>
    <x v="2"/>
    <s v="Gray"/>
    <x v="2"/>
    <n v="2.7"/>
    <s v="No"/>
    <x v="2"/>
    <s v="No"/>
    <n v="26"/>
    <x v="4"/>
    <s v="Fortnightly"/>
    <n v="0.1"/>
    <n v="45.9"/>
    <n v="51"/>
    <s v="Bank Transfer"/>
    <s v="Normal"/>
    <s v="Poor"/>
  </r>
  <r>
    <n v="3746"/>
    <n v="60"/>
    <x v="1"/>
    <x v="20"/>
    <x v="0"/>
    <n v="41"/>
    <x v="47"/>
    <x v="0"/>
    <s v="Gold"/>
    <x v="1"/>
    <n v="4.3"/>
    <s v="No"/>
    <x v="0"/>
    <s v="No"/>
    <n v="2"/>
    <x v="5"/>
    <s v="Monthly"/>
    <n v="0.1"/>
    <n v="36.9"/>
    <n v="41"/>
    <s v="Debit Card"/>
    <s v="Normal"/>
    <s v="Good"/>
  </r>
  <r>
    <n v="3747"/>
    <n v="53"/>
    <x v="1"/>
    <x v="7"/>
    <x v="2"/>
    <n v="99"/>
    <x v="37"/>
    <x v="3"/>
    <s v="Cyan"/>
    <x v="2"/>
    <n v="2.6"/>
    <s v="No"/>
    <x v="2"/>
    <s v="No"/>
    <n v="49"/>
    <x v="3"/>
    <s v="Monthly"/>
    <n v="0.1"/>
    <n v="89.1"/>
    <n v="99"/>
    <s v="PayPal"/>
    <s v="Normal"/>
    <s v="Poor"/>
  </r>
  <r>
    <n v="3748"/>
    <n v="26"/>
    <x v="1"/>
    <x v="1"/>
    <x v="0"/>
    <n v="53"/>
    <x v="3"/>
    <x v="0"/>
    <s v="Olive"/>
    <x v="1"/>
    <n v="4.3"/>
    <s v="No"/>
    <x v="5"/>
    <s v="No"/>
    <n v="32"/>
    <x v="4"/>
    <s v="Bi-Weekly"/>
    <n v="0.1"/>
    <n v="47.7"/>
    <n v="53"/>
    <s v="Bank Transfer"/>
    <s v="Normal"/>
    <s v="Good"/>
  </r>
  <r>
    <n v="3749"/>
    <n v="34"/>
    <x v="1"/>
    <x v="21"/>
    <x v="3"/>
    <n v="25"/>
    <x v="12"/>
    <x v="2"/>
    <s v="Violet"/>
    <x v="3"/>
    <n v="3.9"/>
    <s v="No"/>
    <x v="4"/>
    <s v="No"/>
    <n v="3"/>
    <x v="0"/>
    <s v="Annually"/>
    <n v="0.1"/>
    <n v="22.5"/>
    <n v="25"/>
    <s v="Venmo"/>
    <s v="Normal"/>
    <s v="Good"/>
  </r>
  <r>
    <n v="3750"/>
    <n v="24"/>
    <x v="1"/>
    <x v="0"/>
    <x v="0"/>
    <n v="95"/>
    <x v="29"/>
    <x v="0"/>
    <s v="Yellow"/>
    <x v="0"/>
    <n v="2.9"/>
    <s v="No"/>
    <x v="4"/>
    <s v="No"/>
    <n v="38"/>
    <x v="0"/>
    <s v="Every 3 Months"/>
    <n v="0.1"/>
    <n v="85.5"/>
    <n v="95"/>
    <s v="Venmo"/>
    <s v="Normal"/>
    <s v="Poor"/>
  </r>
  <r>
    <n v="3751"/>
    <n v="42"/>
    <x v="1"/>
    <x v="15"/>
    <x v="0"/>
    <n v="88"/>
    <x v="28"/>
    <x v="2"/>
    <s v="Gold"/>
    <x v="3"/>
    <n v="3.1"/>
    <s v="No"/>
    <x v="1"/>
    <s v="No"/>
    <n v="5"/>
    <x v="3"/>
    <s v="Monthly"/>
    <n v="0.1"/>
    <n v="79.2"/>
    <n v="88"/>
    <s v="PayPal"/>
    <s v="Normal"/>
    <s v="Good"/>
  </r>
  <r>
    <n v="3752"/>
    <n v="36"/>
    <x v="1"/>
    <x v="16"/>
    <x v="3"/>
    <n v="97"/>
    <x v="15"/>
    <x v="1"/>
    <s v="Silver"/>
    <x v="3"/>
    <n v="4.2"/>
    <s v="No"/>
    <x v="1"/>
    <s v="No"/>
    <n v="8"/>
    <x v="2"/>
    <s v="Every 3 Months"/>
    <n v="0.1"/>
    <n v="87.3"/>
    <n v="97"/>
    <s v="Credit Card"/>
    <s v="Normal"/>
    <s v="Good"/>
  </r>
  <r>
    <n v="3753"/>
    <n v="24"/>
    <x v="1"/>
    <x v="7"/>
    <x v="2"/>
    <n v="81"/>
    <x v="47"/>
    <x v="0"/>
    <s v="Pink"/>
    <x v="0"/>
    <n v="4.0999999999999996"/>
    <s v="No"/>
    <x v="4"/>
    <s v="No"/>
    <n v="43"/>
    <x v="0"/>
    <s v="Weekly"/>
    <n v="0.1"/>
    <n v="72.900000000000006"/>
    <n v="81"/>
    <s v="Venmo"/>
    <s v="Normal"/>
    <s v="Good"/>
  </r>
  <r>
    <n v="3754"/>
    <n v="39"/>
    <x v="1"/>
    <x v="12"/>
    <x v="3"/>
    <n v="26"/>
    <x v="7"/>
    <x v="1"/>
    <s v="Turquoise"/>
    <x v="0"/>
    <n v="4.2"/>
    <s v="No"/>
    <x v="2"/>
    <s v="No"/>
    <n v="22"/>
    <x v="4"/>
    <s v="Fortnightly"/>
    <n v="0.1"/>
    <n v="23.4"/>
    <n v="26"/>
    <s v="Bank Transfer"/>
    <s v="Normal"/>
    <s v="Good"/>
  </r>
  <r>
    <n v="3755"/>
    <n v="46"/>
    <x v="1"/>
    <x v="9"/>
    <x v="1"/>
    <n v="41"/>
    <x v="43"/>
    <x v="2"/>
    <s v="Turquoise"/>
    <x v="2"/>
    <n v="4.4000000000000004"/>
    <s v="No"/>
    <x v="0"/>
    <s v="No"/>
    <n v="10"/>
    <x v="1"/>
    <s v="Every 3 Months"/>
    <n v="0.1"/>
    <n v="36.9"/>
    <n v="41"/>
    <s v="Cash"/>
    <s v="Normal"/>
    <s v="Good"/>
  </r>
  <r>
    <n v="3756"/>
    <n v="64"/>
    <x v="1"/>
    <x v="11"/>
    <x v="0"/>
    <n v="93"/>
    <x v="38"/>
    <x v="2"/>
    <s v="Peach"/>
    <x v="3"/>
    <n v="3.4"/>
    <s v="No"/>
    <x v="1"/>
    <s v="No"/>
    <n v="26"/>
    <x v="2"/>
    <s v="Monthly"/>
    <n v="0.1"/>
    <n v="83.7"/>
    <n v="93"/>
    <s v="Credit Card"/>
    <s v="Normal"/>
    <s v="Good"/>
  </r>
  <r>
    <n v="3757"/>
    <n v="64"/>
    <x v="1"/>
    <x v="11"/>
    <x v="0"/>
    <n v="69"/>
    <x v="36"/>
    <x v="0"/>
    <s v="Teal"/>
    <x v="1"/>
    <n v="4.8"/>
    <s v="No"/>
    <x v="0"/>
    <s v="No"/>
    <n v="42"/>
    <x v="5"/>
    <s v="Bi-Weekly"/>
    <n v="0.1"/>
    <n v="62.1"/>
    <n v="69"/>
    <s v="Debit Card"/>
    <s v="Normal"/>
    <s v="Good"/>
  </r>
  <r>
    <n v="3758"/>
    <n v="61"/>
    <x v="1"/>
    <x v="11"/>
    <x v="0"/>
    <n v="44"/>
    <x v="18"/>
    <x v="0"/>
    <s v="Red"/>
    <x v="3"/>
    <n v="4.5"/>
    <s v="No"/>
    <x v="4"/>
    <s v="No"/>
    <n v="33"/>
    <x v="1"/>
    <s v="Weekly"/>
    <n v="0.1"/>
    <n v="39.6"/>
    <n v="44"/>
    <s v="Cash"/>
    <s v="Normal"/>
    <s v="Good"/>
  </r>
  <r>
    <n v="3759"/>
    <n v="61"/>
    <x v="1"/>
    <x v="3"/>
    <x v="1"/>
    <n v="54"/>
    <x v="27"/>
    <x v="1"/>
    <s v="Black"/>
    <x v="1"/>
    <n v="2.7"/>
    <s v="No"/>
    <x v="5"/>
    <s v="No"/>
    <n v="23"/>
    <x v="4"/>
    <s v="Quarterly"/>
    <n v="0.1"/>
    <n v="48.6"/>
    <n v="54"/>
    <s v="Bank Transfer"/>
    <s v="Normal"/>
    <s v="Poor"/>
  </r>
  <r>
    <n v="3760"/>
    <n v="44"/>
    <x v="1"/>
    <x v="4"/>
    <x v="1"/>
    <n v="61"/>
    <x v="9"/>
    <x v="2"/>
    <s v="Pink"/>
    <x v="1"/>
    <n v="3.5"/>
    <s v="No"/>
    <x v="5"/>
    <s v="No"/>
    <n v="30"/>
    <x v="0"/>
    <s v="Quarterly"/>
    <n v="0.1"/>
    <n v="54.9"/>
    <n v="61"/>
    <s v="Venmo"/>
    <s v="Normal"/>
    <s v="Good"/>
  </r>
  <r>
    <n v="3761"/>
    <n v="65"/>
    <x v="1"/>
    <x v="20"/>
    <x v="0"/>
    <n v="80"/>
    <x v="39"/>
    <x v="2"/>
    <s v="Peach"/>
    <x v="3"/>
    <n v="3.1"/>
    <s v="No"/>
    <x v="2"/>
    <s v="No"/>
    <n v="36"/>
    <x v="3"/>
    <s v="Weekly"/>
    <n v="0.1"/>
    <n v="72"/>
    <n v="80"/>
    <s v="PayPal"/>
    <s v="Normal"/>
    <s v="Good"/>
  </r>
  <r>
    <n v="3762"/>
    <n v="60"/>
    <x v="1"/>
    <x v="21"/>
    <x v="3"/>
    <n v="30"/>
    <x v="22"/>
    <x v="2"/>
    <s v="Green"/>
    <x v="2"/>
    <n v="2.8"/>
    <s v="No"/>
    <x v="2"/>
    <s v="No"/>
    <n v="3"/>
    <x v="0"/>
    <s v="Every 3 Months"/>
    <n v="0.1"/>
    <n v="27"/>
    <n v="30"/>
    <s v="Venmo"/>
    <s v="Normal"/>
    <s v="Poor"/>
  </r>
  <r>
    <n v="3763"/>
    <n v="65"/>
    <x v="1"/>
    <x v="6"/>
    <x v="0"/>
    <n v="94"/>
    <x v="14"/>
    <x v="0"/>
    <s v="Green"/>
    <x v="3"/>
    <n v="2.9"/>
    <s v="No"/>
    <x v="5"/>
    <s v="No"/>
    <n v="13"/>
    <x v="3"/>
    <s v="Annually"/>
    <n v="0.1"/>
    <n v="84.6"/>
    <n v="94"/>
    <s v="PayPal"/>
    <s v="Normal"/>
    <s v="Poor"/>
  </r>
  <r>
    <n v="3764"/>
    <n v="27"/>
    <x v="1"/>
    <x v="5"/>
    <x v="0"/>
    <n v="24"/>
    <x v="19"/>
    <x v="3"/>
    <s v="Red"/>
    <x v="0"/>
    <n v="4.5"/>
    <s v="No"/>
    <x v="3"/>
    <s v="No"/>
    <n v="38"/>
    <x v="1"/>
    <s v="Every 3 Months"/>
    <n v="0.1"/>
    <n v="21.6"/>
    <n v="24"/>
    <s v="Cash"/>
    <s v="Normal"/>
    <s v="Good"/>
  </r>
  <r>
    <n v="3765"/>
    <n v="36"/>
    <x v="1"/>
    <x v="20"/>
    <x v="0"/>
    <n v="21"/>
    <x v="45"/>
    <x v="2"/>
    <s v="Maroon"/>
    <x v="3"/>
    <n v="3.5"/>
    <s v="No"/>
    <x v="2"/>
    <s v="No"/>
    <n v="19"/>
    <x v="0"/>
    <s v="Monthly"/>
    <n v="0.1"/>
    <n v="18.899999999999999"/>
    <n v="21"/>
    <s v="Venmo"/>
    <s v="Normal"/>
    <s v="Good"/>
  </r>
  <r>
    <n v="3766"/>
    <n v="22"/>
    <x v="1"/>
    <x v="16"/>
    <x v="3"/>
    <n v="52"/>
    <x v="9"/>
    <x v="2"/>
    <s v="Green"/>
    <x v="2"/>
    <n v="4.3"/>
    <s v="No"/>
    <x v="3"/>
    <s v="No"/>
    <n v="14"/>
    <x v="4"/>
    <s v="Bi-Weekly"/>
    <n v="0.1"/>
    <n v="46.8"/>
    <n v="52"/>
    <s v="Bank Transfer"/>
    <s v="Normal"/>
    <s v="Good"/>
  </r>
  <r>
    <n v="3767"/>
    <n v="62"/>
    <x v="1"/>
    <x v="8"/>
    <x v="3"/>
    <n v="59"/>
    <x v="21"/>
    <x v="2"/>
    <s v="Black"/>
    <x v="3"/>
    <n v="4.9000000000000004"/>
    <s v="No"/>
    <x v="2"/>
    <s v="No"/>
    <n v="43"/>
    <x v="5"/>
    <s v="Annually"/>
    <n v="0.1"/>
    <n v="53.1"/>
    <n v="59"/>
    <s v="Debit Card"/>
    <s v="Normal"/>
    <s v="Good"/>
  </r>
  <r>
    <n v="3768"/>
    <n v="59"/>
    <x v="1"/>
    <x v="6"/>
    <x v="0"/>
    <n v="51"/>
    <x v="14"/>
    <x v="3"/>
    <s v="Black"/>
    <x v="2"/>
    <n v="3.1"/>
    <s v="No"/>
    <x v="1"/>
    <s v="No"/>
    <n v="10"/>
    <x v="4"/>
    <s v="Fortnightly"/>
    <n v="0.1"/>
    <n v="45.9"/>
    <n v="51"/>
    <s v="Bank Transfer"/>
    <s v="Normal"/>
    <s v="Good"/>
  </r>
  <r>
    <n v="3769"/>
    <n v="50"/>
    <x v="1"/>
    <x v="1"/>
    <x v="0"/>
    <n v="35"/>
    <x v="34"/>
    <x v="2"/>
    <s v="Yellow"/>
    <x v="0"/>
    <n v="4"/>
    <s v="No"/>
    <x v="1"/>
    <s v="No"/>
    <n v="34"/>
    <x v="4"/>
    <s v="Quarterly"/>
    <n v="0.1"/>
    <n v="31.5"/>
    <n v="35"/>
    <s v="Bank Transfer"/>
    <s v="Normal"/>
    <s v="Good"/>
  </r>
  <r>
    <n v="3770"/>
    <n v="51"/>
    <x v="1"/>
    <x v="24"/>
    <x v="3"/>
    <n v="87"/>
    <x v="28"/>
    <x v="0"/>
    <s v="Green"/>
    <x v="2"/>
    <n v="3.6"/>
    <s v="No"/>
    <x v="3"/>
    <s v="No"/>
    <n v="31"/>
    <x v="0"/>
    <s v="Annually"/>
    <n v="0.1"/>
    <n v="78.3"/>
    <n v="87"/>
    <s v="Venmo"/>
    <s v="Normal"/>
    <s v="Good"/>
  </r>
  <r>
    <n v="3771"/>
    <n v="23"/>
    <x v="1"/>
    <x v="13"/>
    <x v="0"/>
    <n v="42"/>
    <x v="6"/>
    <x v="0"/>
    <s v="Black"/>
    <x v="2"/>
    <n v="4"/>
    <s v="No"/>
    <x v="5"/>
    <s v="No"/>
    <n v="34"/>
    <x v="4"/>
    <s v="Weekly"/>
    <n v="0.1"/>
    <n v="37.799999999999997"/>
    <n v="42"/>
    <s v="Bank Transfer"/>
    <s v="Normal"/>
    <s v="Good"/>
  </r>
  <r>
    <n v="3772"/>
    <n v="21"/>
    <x v="1"/>
    <x v="17"/>
    <x v="0"/>
    <n v="86"/>
    <x v="19"/>
    <x v="2"/>
    <s v="Red"/>
    <x v="0"/>
    <n v="2.6"/>
    <s v="No"/>
    <x v="0"/>
    <s v="No"/>
    <n v="28"/>
    <x v="0"/>
    <s v="Bi-Weekly"/>
    <n v="0.1"/>
    <n v="77.400000000000006"/>
    <n v="86"/>
    <s v="Venmo"/>
    <s v="Normal"/>
    <s v="Poor"/>
  </r>
  <r>
    <n v="3773"/>
    <n v="44"/>
    <x v="1"/>
    <x v="13"/>
    <x v="0"/>
    <n v="26"/>
    <x v="13"/>
    <x v="0"/>
    <s v="Yellow"/>
    <x v="3"/>
    <n v="3.1"/>
    <s v="No"/>
    <x v="2"/>
    <s v="No"/>
    <n v="35"/>
    <x v="1"/>
    <s v="Annually"/>
    <n v="0.1"/>
    <n v="23.4"/>
    <n v="26"/>
    <s v="Cash"/>
    <s v="Normal"/>
    <s v="Good"/>
  </r>
  <r>
    <n v="3774"/>
    <n v="25"/>
    <x v="1"/>
    <x v="1"/>
    <x v="0"/>
    <n v="60"/>
    <x v="48"/>
    <x v="2"/>
    <s v="Violet"/>
    <x v="2"/>
    <n v="3.5"/>
    <s v="No"/>
    <x v="5"/>
    <s v="No"/>
    <n v="41"/>
    <x v="1"/>
    <s v="Quarterly"/>
    <n v="0.1"/>
    <n v="54"/>
    <n v="60"/>
    <s v="Cash"/>
    <s v="Normal"/>
    <s v="Good"/>
  </r>
  <r>
    <n v="3775"/>
    <n v="57"/>
    <x v="1"/>
    <x v="24"/>
    <x v="3"/>
    <n v="83"/>
    <x v="29"/>
    <x v="1"/>
    <s v="Cyan"/>
    <x v="0"/>
    <n v="3.9"/>
    <s v="No"/>
    <x v="3"/>
    <s v="No"/>
    <n v="48"/>
    <x v="3"/>
    <s v="Fortnightly"/>
    <n v="0.1"/>
    <n v="74.7"/>
    <n v="83"/>
    <s v="PayPal"/>
    <s v="Normal"/>
    <s v="Good"/>
  </r>
  <r>
    <n v="3776"/>
    <n v="41"/>
    <x v="1"/>
    <x v="22"/>
    <x v="3"/>
    <n v="63"/>
    <x v="45"/>
    <x v="1"/>
    <s v="Pink"/>
    <x v="1"/>
    <n v="2.7"/>
    <s v="No"/>
    <x v="4"/>
    <s v="No"/>
    <n v="45"/>
    <x v="1"/>
    <s v="Quarterly"/>
    <n v="0.1"/>
    <n v="56.7"/>
    <n v="63"/>
    <s v="Cash"/>
    <s v="Normal"/>
    <s v="Poor"/>
  </r>
  <r>
    <n v="3777"/>
    <n v="19"/>
    <x v="1"/>
    <x v="4"/>
    <x v="1"/>
    <n v="25"/>
    <x v="29"/>
    <x v="0"/>
    <s v="Olive"/>
    <x v="1"/>
    <n v="4.0999999999999996"/>
    <s v="No"/>
    <x v="3"/>
    <s v="No"/>
    <n v="10"/>
    <x v="2"/>
    <s v="Fortnightly"/>
    <n v="0.1"/>
    <n v="22.5"/>
    <n v="25"/>
    <s v="Credit Card"/>
    <s v="Normal"/>
    <s v="Good"/>
  </r>
  <r>
    <n v="3778"/>
    <n v="43"/>
    <x v="1"/>
    <x v="6"/>
    <x v="0"/>
    <n v="65"/>
    <x v="40"/>
    <x v="2"/>
    <s v="Maroon"/>
    <x v="3"/>
    <n v="4.3"/>
    <s v="No"/>
    <x v="0"/>
    <s v="No"/>
    <n v="9"/>
    <x v="1"/>
    <s v="Weekly"/>
    <n v="0.1"/>
    <n v="58.5"/>
    <n v="65"/>
    <s v="Cash"/>
    <s v="Normal"/>
    <s v="Good"/>
  </r>
  <r>
    <n v="3779"/>
    <n v="25"/>
    <x v="1"/>
    <x v="4"/>
    <x v="1"/>
    <n v="60"/>
    <x v="45"/>
    <x v="2"/>
    <s v="Cyan"/>
    <x v="3"/>
    <n v="2.9"/>
    <s v="No"/>
    <x v="1"/>
    <s v="No"/>
    <n v="30"/>
    <x v="5"/>
    <s v="Annually"/>
    <n v="0.1"/>
    <n v="54"/>
    <n v="60"/>
    <s v="Debit Card"/>
    <s v="Normal"/>
    <s v="Poor"/>
  </r>
  <r>
    <n v="3780"/>
    <n v="60"/>
    <x v="1"/>
    <x v="2"/>
    <x v="0"/>
    <n v="75"/>
    <x v="18"/>
    <x v="3"/>
    <s v="Lavender"/>
    <x v="1"/>
    <n v="4"/>
    <s v="No"/>
    <x v="0"/>
    <s v="No"/>
    <n v="45"/>
    <x v="3"/>
    <s v="Annually"/>
    <n v="0.1"/>
    <n v="67.5"/>
    <n v="75"/>
    <s v="PayPal"/>
    <s v="Normal"/>
    <s v="Good"/>
  </r>
  <r>
    <n v="3781"/>
    <n v="54"/>
    <x v="1"/>
    <x v="4"/>
    <x v="1"/>
    <n v="57"/>
    <x v="16"/>
    <x v="0"/>
    <s v="Yellow"/>
    <x v="3"/>
    <n v="4.0999999999999996"/>
    <s v="No"/>
    <x v="1"/>
    <s v="No"/>
    <n v="41"/>
    <x v="0"/>
    <s v="Quarterly"/>
    <n v="0.1"/>
    <n v="51.3"/>
    <n v="57"/>
    <s v="Venmo"/>
    <s v="Normal"/>
    <s v="Good"/>
  </r>
  <r>
    <n v="3782"/>
    <n v="52"/>
    <x v="1"/>
    <x v="23"/>
    <x v="1"/>
    <n v="99"/>
    <x v="30"/>
    <x v="2"/>
    <s v="Pink"/>
    <x v="0"/>
    <n v="3.7"/>
    <s v="No"/>
    <x v="3"/>
    <s v="No"/>
    <n v="40"/>
    <x v="3"/>
    <s v="Fortnightly"/>
    <n v="0.1"/>
    <n v="89.1"/>
    <n v="99"/>
    <s v="PayPal"/>
    <s v="Normal"/>
    <s v="Good"/>
  </r>
  <r>
    <n v="3783"/>
    <n v="40"/>
    <x v="1"/>
    <x v="14"/>
    <x v="2"/>
    <n v="45"/>
    <x v="15"/>
    <x v="0"/>
    <s v="Orange"/>
    <x v="1"/>
    <n v="2.8"/>
    <s v="No"/>
    <x v="1"/>
    <s v="No"/>
    <n v="42"/>
    <x v="3"/>
    <s v="Fortnightly"/>
    <n v="0.1"/>
    <n v="40.5"/>
    <n v="45"/>
    <s v="PayPal"/>
    <s v="Normal"/>
    <s v="Poor"/>
  </r>
  <r>
    <n v="3784"/>
    <n v="39"/>
    <x v="1"/>
    <x v="24"/>
    <x v="3"/>
    <n v="66"/>
    <x v="1"/>
    <x v="3"/>
    <s v="Orange"/>
    <x v="2"/>
    <n v="3.2"/>
    <s v="No"/>
    <x v="1"/>
    <s v="No"/>
    <n v="17"/>
    <x v="5"/>
    <s v="Fortnightly"/>
    <n v="0.1"/>
    <n v="59.4"/>
    <n v="66"/>
    <s v="Debit Card"/>
    <s v="Normal"/>
    <s v="Good"/>
  </r>
  <r>
    <n v="3785"/>
    <n v="54"/>
    <x v="1"/>
    <x v="20"/>
    <x v="0"/>
    <n v="53"/>
    <x v="41"/>
    <x v="2"/>
    <s v="Violet"/>
    <x v="0"/>
    <n v="4.5"/>
    <s v="No"/>
    <x v="2"/>
    <s v="No"/>
    <n v="4"/>
    <x v="0"/>
    <s v="Annually"/>
    <n v="0.1"/>
    <n v="47.7"/>
    <n v="53"/>
    <s v="Venmo"/>
    <s v="Normal"/>
    <s v="Good"/>
  </r>
  <r>
    <n v="3786"/>
    <n v="64"/>
    <x v="1"/>
    <x v="2"/>
    <x v="0"/>
    <n v="94"/>
    <x v="13"/>
    <x v="0"/>
    <s v="Lavender"/>
    <x v="0"/>
    <n v="3.8"/>
    <s v="No"/>
    <x v="3"/>
    <s v="No"/>
    <n v="6"/>
    <x v="1"/>
    <s v="Monthly"/>
    <n v="0.1"/>
    <n v="84.6"/>
    <n v="94"/>
    <s v="Cash"/>
    <s v="Normal"/>
    <s v="Good"/>
  </r>
  <r>
    <n v="3787"/>
    <n v="31"/>
    <x v="1"/>
    <x v="23"/>
    <x v="1"/>
    <n v="47"/>
    <x v="30"/>
    <x v="0"/>
    <s v="Yellow"/>
    <x v="3"/>
    <n v="3.6"/>
    <s v="No"/>
    <x v="4"/>
    <s v="No"/>
    <n v="22"/>
    <x v="0"/>
    <s v="Weekly"/>
    <n v="0.1"/>
    <n v="42.3"/>
    <n v="47"/>
    <s v="Venmo"/>
    <s v="Normal"/>
    <s v="Good"/>
  </r>
  <r>
    <n v="3788"/>
    <n v="37"/>
    <x v="1"/>
    <x v="0"/>
    <x v="0"/>
    <n v="80"/>
    <x v="14"/>
    <x v="2"/>
    <s v="Pink"/>
    <x v="3"/>
    <n v="3.6"/>
    <s v="No"/>
    <x v="4"/>
    <s v="No"/>
    <n v="46"/>
    <x v="3"/>
    <s v="Every 3 Months"/>
    <n v="0.1"/>
    <n v="72"/>
    <n v="80"/>
    <s v="PayPal"/>
    <s v="Normal"/>
    <s v="Good"/>
  </r>
  <r>
    <n v="3789"/>
    <n v="43"/>
    <x v="1"/>
    <x v="19"/>
    <x v="3"/>
    <n v="65"/>
    <x v="23"/>
    <x v="3"/>
    <s v="Teal"/>
    <x v="1"/>
    <n v="3.2"/>
    <s v="No"/>
    <x v="2"/>
    <s v="No"/>
    <n v="27"/>
    <x v="5"/>
    <s v="Monthly"/>
    <n v="0.1"/>
    <n v="58.5"/>
    <n v="65"/>
    <s v="Debit Card"/>
    <s v="Normal"/>
    <s v="Good"/>
  </r>
  <r>
    <n v="3790"/>
    <n v="56"/>
    <x v="1"/>
    <x v="5"/>
    <x v="0"/>
    <n v="75"/>
    <x v="25"/>
    <x v="2"/>
    <s v="Magenta"/>
    <x v="2"/>
    <n v="3.8"/>
    <s v="No"/>
    <x v="0"/>
    <s v="No"/>
    <n v="18"/>
    <x v="4"/>
    <s v="Every 3 Months"/>
    <n v="0.1"/>
    <n v="67.5"/>
    <n v="75"/>
    <s v="Bank Transfer"/>
    <s v="Normal"/>
    <s v="Good"/>
  </r>
  <r>
    <n v="3791"/>
    <n v="27"/>
    <x v="1"/>
    <x v="8"/>
    <x v="3"/>
    <n v="45"/>
    <x v="29"/>
    <x v="3"/>
    <s v="Beige"/>
    <x v="2"/>
    <n v="4.4000000000000004"/>
    <s v="No"/>
    <x v="3"/>
    <s v="No"/>
    <n v="31"/>
    <x v="2"/>
    <s v="Weekly"/>
    <n v="0.1"/>
    <n v="40.5"/>
    <n v="45"/>
    <s v="Credit Card"/>
    <s v="Normal"/>
    <s v="Good"/>
  </r>
  <r>
    <n v="3792"/>
    <n v="40"/>
    <x v="1"/>
    <x v="12"/>
    <x v="3"/>
    <n v="51"/>
    <x v="21"/>
    <x v="2"/>
    <s v="Gray"/>
    <x v="1"/>
    <n v="3.7"/>
    <s v="No"/>
    <x v="5"/>
    <s v="No"/>
    <n v="1"/>
    <x v="0"/>
    <s v="Weekly"/>
    <n v="0.1"/>
    <n v="45.9"/>
    <n v="51"/>
    <s v="Venmo"/>
    <s v="Normal"/>
    <s v="Good"/>
  </r>
  <r>
    <n v="3793"/>
    <n v="43"/>
    <x v="1"/>
    <x v="18"/>
    <x v="3"/>
    <n v="58"/>
    <x v="2"/>
    <x v="1"/>
    <s v="Turquoise"/>
    <x v="2"/>
    <n v="2.6"/>
    <s v="No"/>
    <x v="0"/>
    <s v="No"/>
    <n v="2"/>
    <x v="3"/>
    <s v="Fortnightly"/>
    <n v="0.1"/>
    <n v="52.2"/>
    <n v="58"/>
    <s v="PayPal"/>
    <s v="Normal"/>
    <s v="Poor"/>
  </r>
  <r>
    <n v="3794"/>
    <n v="62"/>
    <x v="1"/>
    <x v="12"/>
    <x v="3"/>
    <n v="20"/>
    <x v="12"/>
    <x v="2"/>
    <s v="Pink"/>
    <x v="3"/>
    <n v="4"/>
    <s v="No"/>
    <x v="3"/>
    <s v="No"/>
    <n v="46"/>
    <x v="4"/>
    <s v="Annually"/>
    <n v="0.1"/>
    <n v="18"/>
    <n v="20"/>
    <s v="Bank Transfer"/>
    <s v="Normal"/>
    <s v="Good"/>
  </r>
  <r>
    <n v="3795"/>
    <n v="44"/>
    <x v="1"/>
    <x v="18"/>
    <x v="3"/>
    <n v="82"/>
    <x v="45"/>
    <x v="2"/>
    <s v="Violet"/>
    <x v="2"/>
    <n v="3.6"/>
    <s v="No"/>
    <x v="4"/>
    <s v="No"/>
    <n v="27"/>
    <x v="0"/>
    <s v="Weekly"/>
    <n v="0.1"/>
    <n v="73.8"/>
    <n v="82"/>
    <s v="Venmo"/>
    <s v="Normal"/>
    <s v="Good"/>
  </r>
  <r>
    <n v="3796"/>
    <n v="45"/>
    <x v="1"/>
    <x v="24"/>
    <x v="3"/>
    <n v="92"/>
    <x v="10"/>
    <x v="2"/>
    <s v="Charcoal"/>
    <x v="1"/>
    <n v="2.5"/>
    <s v="No"/>
    <x v="0"/>
    <s v="No"/>
    <n v="3"/>
    <x v="1"/>
    <s v="Weekly"/>
    <n v="0.1"/>
    <n v="82.8"/>
    <n v="92"/>
    <s v="Cash"/>
    <s v="Normal"/>
    <s v="Poor"/>
  </r>
  <r>
    <n v="3797"/>
    <n v="40"/>
    <x v="1"/>
    <x v="6"/>
    <x v="0"/>
    <n v="81"/>
    <x v="40"/>
    <x v="2"/>
    <s v="Lavender"/>
    <x v="3"/>
    <n v="3.2"/>
    <s v="No"/>
    <x v="1"/>
    <s v="No"/>
    <n v="47"/>
    <x v="4"/>
    <s v="Quarterly"/>
    <n v="0.1"/>
    <n v="72.900000000000006"/>
    <n v="81"/>
    <s v="Bank Transfer"/>
    <s v="Normal"/>
    <s v="Good"/>
  </r>
  <r>
    <n v="3798"/>
    <n v="68"/>
    <x v="1"/>
    <x v="12"/>
    <x v="3"/>
    <n v="44"/>
    <x v="18"/>
    <x v="2"/>
    <s v="Gray"/>
    <x v="2"/>
    <n v="2.5"/>
    <s v="No"/>
    <x v="2"/>
    <s v="No"/>
    <n v="20"/>
    <x v="1"/>
    <s v="Quarterly"/>
    <n v="0.1"/>
    <n v="39.6"/>
    <n v="44"/>
    <s v="Cash"/>
    <s v="Normal"/>
    <s v="Poor"/>
  </r>
  <r>
    <n v="3799"/>
    <n v="63"/>
    <x v="1"/>
    <x v="16"/>
    <x v="3"/>
    <n v="72"/>
    <x v="3"/>
    <x v="1"/>
    <s v="Brown"/>
    <x v="0"/>
    <n v="3.2"/>
    <s v="No"/>
    <x v="2"/>
    <s v="No"/>
    <n v="23"/>
    <x v="2"/>
    <s v="Annually"/>
    <n v="0.1"/>
    <n v="64.8"/>
    <n v="72"/>
    <s v="Credit Card"/>
    <s v="Normal"/>
    <s v="Good"/>
  </r>
  <r>
    <n v="3800"/>
    <n v="60"/>
    <x v="1"/>
    <x v="14"/>
    <x v="2"/>
    <n v="26"/>
    <x v="19"/>
    <x v="0"/>
    <s v="Violet"/>
    <x v="0"/>
    <n v="2.6"/>
    <s v="No"/>
    <x v="5"/>
    <s v="No"/>
    <n v="13"/>
    <x v="2"/>
    <s v="Monthly"/>
    <n v="0.1"/>
    <n v="23.4"/>
    <n v="26"/>
    <s v="Credit Card"/>
    <s v="Normal"/>
    <s v="Poor"/>
  </r>
  <r>
    <n v="3801"/>
    <n v="19"/>
    <x v="1"/>
    <x v="1"/>
    <x v="0"/>
    <n v="26"/>
    <x v="34"/>
    <x v="2"/>
    <s v="Turquoise"/>
    <x v="3"/>
    <n v="4.8"/>
    <s v="No"/>
    <x v="2"/>
    <s v="No"/>
    <n v="12"/>
    <x v="0"/>
    <s v="Bi-Weekly"/>
    <n v="0.1"/>
    <n v="23.4"/>
    <n v="26"/>
    <s v="Venmo"/>
    <s v="Normal"/>
    <s v="Good"/>
  </r>
  <r>
    <n v="3802"/>
    <n v="26"/>
    <x v="1"/>
    <x v="0"/>
    <x v="0"/>
    <n v="84"/>
    <x v="0"/>
    <x v="2"/>
    <s v="Peach"/>
    <x v="1"/>
    <n v="5"/>
    <s v="No"/>
    <x v="5"/>
    <s v="No"/>
    <n v="36"/>
    <x v="3"/>
    <s v="Fortnightly"/>
    <n v="0.1"/>
    <n v="75.599999999999994"/>
    <n v="84"/>
    <s v="PayPal"/>
    <s v="Normal"/>
    <s v="Good"/>
  </r>
  <r>
    <n v="3803"/>
    <n v="70"/>
    <x v="1"/>
    <x v="18"/>
    <x v="3"/>
    <n v="72"/>
    <x v="26"/>
    <x v="1"/>
    <s v="Turquoise"/>
    <x v="1"/>
    <n v="3.2"/>
    <s v="No"/>
    <x v="4"/>
    <s v="No"/>
    <n v="1"/>
    <x v="4"/>
    <s v="Monthly"/>
    <n v="0.1"/>
    <n v="64.8"/>
    <n v="72"/>
    <s v="Bank Transfer"/>
    <s v="Normal"/>
    <s v="Good"/>
  </r>
  <r>
    <n v="3804"/>
    <n v="48"/>
    <x v="1"/>
    <x v="8"/>
    <x v="3"/>
    <n v="55"/>
    <x v="39"/>
    <x v="2"/>
    <s v="Violet"/>
    <x v="1"/>
    <n v="3.6"/>
    <s v="No"/>
    <x v="3"/>
    <s v="No"/>
    <n v="14"/>
    <x v="5"/>
    <s v="Weekly"/>
    <n v="0.1"/>
    <n v="49.5"/>
    <n v="55"/>
    <s v="Debit Card"/>
    <s v="Normal"/>
    <s v="Good"/>
  </r>
  <r>
    <n v="3805"/>
    <n v="37"/>
    <x v="1"/>
    <x v="19"/>
    <x v="3"/>
    <n v="77"/>
    <x v="20"/>
    <x v="2"/>
    <s v="Olive"/>
    <x v="3"/>
    <n v="2.7"/>
    <s v="No"/>
    <x v="4"/>
    <s v="No"/>
    <n v="45"/>
    <x v="1"/>
    <s v="Annually"/>
    <n v="0.1"/>
    <n v="69.3"/>
    <n v="77"/>
    <s v="Cash"/>
    <s v="Normal"/>
    <s v="Poor"/>
  </r>
  <r>
    <n v="3806"/>
    <n v="48"/>
    <x v="1"/>
    <x v="18"/>
    <x v="3"/>
    <n v="57"/>
    <x v="32"/>
    <x v="2"/>
    <s v="Green"/>
    <x v="3"/>
    <n v="3.1"/>
    <s v="No"/>
    <x v="3"/>
    <s v="No"/>
    <n v="31"/>
    <x v="2"/>
    <s v="Quarterly"/>
    <n v="0.1"/>
    <n v="51.3"/>
    <n v="57"/>
    <s v="Credit Card"/>
    <s v="Normal"/>
    <s v="Good"/>
  </r>
  <r>
    <n v="3807"/>
    <n v="18"/>
    <x v="1"/>
    <x v="23"/>
    <x v="1"/>
    <n v="71"/>
    <x v="9"/>
    <x v="2"/>
    <s v="Teal"/>
    <x v="1"/>
    <n v="3"/>
    <s v="No"/>
    <x v="3"/>
    <s v="No"/>
    <n v="41"/>
    <x v="3"/>
    <s v="Weekly"/>
    <n v="0.1"/>
    <n v="63.9"/>
    <n v="71"/>
    <s v="PayPal"/>
    <s v="Normal"/>
    <s v="Good"/>
  </r>
  <r>
    <n v="3808"/>
    <n v="38"/>
    <x v="1"/>
    <x v="0"/>
    <x v="0"/>
    <n v="39"/>
    <x v="49"/>
    <x v="0"/>
    <s v="Peach"/>
    <x v="1"/>
    <n v="2.9"/>
    <s v="No"/>
    <x v="2"/>
    <s v="No"/>
    <n v="36"/>
    <x v="3"/>
    <s v="Annually"/>
    <n v="0.1"/>
    <n v="35.1"/>
    <n v="39"/>
    <s v="PayPal"/>
    <s v="Normal"/>
    <s v="Poor"/>
  </r>
  <r>
    <n v="3809"/>
    <n v="33"/>
    <x v="1"/>
    <x v="20"/>
    <x v="0"/>
    <n v="28"/>
    <x v="47"/>
    <x v="2"/>
    <s v="Pink"/>
    <x v="0"/>
    <n v="4.7"/>
    <s v="No"/>
    <x v="0"/>
    <s v="No"/>
    <n v="6"/>
    <x v="5"/>
    <s v="Bi-Weekly"/>
    <n v="0.1"/>
    <n v="25.2"/>
    <n v="28"/>
    <s v="Debit Card"/>
    <s v="Normal"/>
    <s v="Good"/>
  </r>
  <r>
    <n v="3810"/>
    <n v="57"/>
    <x v="1"/>
    <x v="9"/>
    <x v="1"/>
    <n v="33"/>
    <x v="14"/>
    <x v="1"/>
    <s v="Maroon"/>
    <x v="0"/>
    <n v="3.7"/>
    <s v="No"/>
    <x v="3"/>
    <s v="No"/>
    <n v="28"/>
    <x v="2"/>
    <s v="Annually"/>
    <n v="0.1"/>
    <n v="29.7"/>
    <n v="33"/>
    <s v="Credit Card"/>
    <s v="Normal"/>
    <s v="Good"/>
  </r>
  <r>
    <n v="3811"/>
    <n v="46"/>
    <x v="1"/>
    <x v="11"/>
    <x v="0"/>
    <n v="79"/>
    <x v="48"/>
    <x v="0"/>
    <s v="Peach"/>
    <x v="3"/>
    <n v="3.9"/>
    <s v="No"/>
    <x v="1"/>
    <s v="No"/>
    <n v="29"/>
    <x v="0"/>
    <s v="Monthly"/>
    <n v="0.1"/>
    <n v="71.099999999999994"/>
    <n v="79"/>
    <s v="Venmo"/>
    <s v="Normal"/>
    <s v="Good"/>
  </r>
  <r>
    <n v="3812"/>
    <n v="46"/>
    <x v="1"/>
    <x v="22"/>
    <x v="3"/>
    <n v="30"/>
    <x v="37"/>
    <x v="2"/>
    <s v="Maroon"/>
    <x v="0"/>
    <n v="4"/>
    <s v="No"/>
    <x v="3"/>
    <s v="No"/>
    <n v="14"/>
    <x v="1"/>
    <s v="Monthly"/>
    <n v="0.1"/>
    <n v="27"/>
    <n v="30"/>
    <s v="Cash"/>
    <s v="Normal"/>
    <s v="Good"/>
  </r>
  <r>
    <n v="3813"/>
    <n v="50"/>
    <x v="1"/>
    <x v="11"/>
    <x v="0"/>
    <n v="75"/>
    <x v="49"/>
    <x v="2"/>
    <s v="Pink"/>
    <x v="1"/>
    <n v="2.8"/>
    <s v="No"/>
    <x v="2"/>
    <s v="No"/>
    <n v="7"/>
    <x v="4"/>
    <s v="Every 3 Months"/>
    <n v="0.1"/>
    <n v="67.5"/>
    <n v="75"/>
    <s v="Bank Transfer"/>
    <s v="Normal"/>
    <s v="Poor"/>
  </r>
  <r>
    <n v="3814"/>
    <n v="61"/>
    <x v="1"/>
    <x v="13"/>
    <x v="0"/>
    <n v="89"/>
    <x v="42"/>
    <x v="2"/>
    <s v="Orange"/>
    <x v="2"/>
    <n v="4.0999999999999996"/>
    <s v="No"/>
    <x v="0"/>
    <s v="No"/>
    <n v="31"/>
    <x v="0"/>
    <s v="Bi-Weekly"/>
    <n v="0.1"/>
    <n v="80.099999999999994"/>
    <n v="89"/>
    <s v="Venmo"/>
    <s v="Normal"/>
    <s v="Good"/>
  </r>
  <r>
    <n v="3815"/>
    <n v="45"/>
    <x v="1"/>
    <x v="10"/>
    <x v="0"/>
    <n v="95"/>
    <x v="49"/>
    <x v="2"/>
    <s v="Orange"/>
    <x v="0"/>
    <n v="4.2"/>
    <s v="No"/>
    <x v="1"/>
    <s v="No"/>
    <n v="26"/>
    <x v="4"/>
    <s v="Every 3 Months"/>
    <n v="0.1"/>
    <n v="85.5"/>
    <n v="95"/>
    <s v="Bank Transfer"/>
    <s v="Normal"/>
    <s v="Good"/>
  </r>
  <r>
    <n v="3816"/>
    <n v="32"/>
    <x v="1"/>
    <x v="19"/>
    <x v="3"/>
    <n v="44"/>
    <x v="1"/>
    <x v="2"/>
    <s v="Brown"/>
    <x v="3"/>
    <n v="4.3"/>
    <s v="No"/>
    <x v="0"/>
    <s v="No"/>
    <n v="12"/>
    <x v="0"/>
    <s v="Fortnightly"/>
    <n v="0.1"/>
    <n v="39.6"/>
    <n v="44"/>
    <s v="Venmo"/>
    <s v="Normal"/>
    <s v="Good"/>
  </r>
  <r>
    <n v="3817"/>
    <n v="29"/>
    <x v="1"/>
    <x v="7"/>
    <x v="2"/>
    <n v="86"/>
    <x v="33"/>
    <x v="1"/>
    <s v="Silver"/>
    <x v="2"/>
    <n v="4.3"/>
    <s v="No"/>
    <x v="5"/>
    <s v="No"/>
    <n v="45"/>
    <x v="2"/>
    <s v="Fortnightly"/>
    <n v="0.1"/>
    <n v="77.400000000000006"/>
    <n v="86"/>
    <s v="Credit Card"/>
    <s v="Normal"/>
    <s v="Good"/>
  </r>
  <r>
    <n v="3818"/>
    <n v="66"/>
    <x v="1"/>
    <x v="18"/>
    <x v="3"/>
    <n v="91"/>
    <x v="9"/>
    <x v="2"/>
    <s v="Magenta"/>
    <x v="3"/>
    <n v="2.6"/>
    <s v="No"/>
    <x v="0"/>
    <s v="No"/>
    <n v="40"/>
    <x v="3"/>
    <s v="Annually"/>
    <n v="0.1"/>
    <n v="81.900000000000006"/>
    <n v="91"/>
    <s v="PayPal"/>
    <s v="Normal"/>
    <s v="Poor"/>
  </r>
  <r>
    <n v="3819"/>
    <n v="70"/>
    <x v="1"/>
    <x v="4"/>
    <x v="1"/>
    <n v="41"/>
    <x v="4"/>
    <x v="3"/>
    <s v="Indigo"/>
    <x v="0"/>
    <n v="3.8"/>
    <s v="No"/>
    <x v="1"/>
    <s v="No"/>
    <n v="42"/>
    <x v="1"/>
    <s v="Monthly"/>
    <n v="0.1"/>
    <n v="36.9"/>
    <n v="41"/>
    <s v="Cash"/>
    <s v="Normal"/>
    <s v="Good"/>
  </r>
  <r>
    <n v="3820"/>
    <n v="36"/>
    <x v="1"/>
    <x v="13"/>
    <x v="0"/>
    <n v="99"/>
    <x v="10"/>
    <x v="1"/>
    <s v="Gold"/>
    <x v="1"/>
    <n v="2.9"/>
    <s v="No"/>
    <x v="0"/>
    <s v="No"/>
    <n v="45"/>
    <x v="1"/>
    <s v="Quarterly"/>
    <n v="0.1"/>
    <n v="89.1"/>
    <n v="99"/>
    <s v="Cash"/>
    <s v="Normal"/>
    <s v="Poor"/>
  </r>
  <r>
    <n v="3821"/>
    <n v="34"/>
    <x v="1"/>
    <x v="22"/>
    <x v="3"/>
    <n v="65"/>
    <x v="13"/>
    <x v="2"/>
    <s v="Purple"/>
    <x v="0"/>
    <n v="5"/>
    <s v="No"/>
    <x v="3"/>
    <s v="No"/>
    <n v="34"/>
    <x v="5"/>
    <s v="Quarterly"/>
    <n v="0.1"/>
    <n v="58.5"/>
    <n v="65"/>
    <s v="Debit Card"/>
    <s v="Normal"/>
    <s v="Good"/>
  </r>
  <r>
    <n v="3822"/>
    <n v="20"/>
    <x v="1"/>
    <x v="4"/>
    <x v="1"/>
    <n v="48"/>
    <x v="4"/>
    <x v="2"/>
    <s v="Gold"/>
    <x v="2"/>
    <n v="4.5999999999999996"/>
    <s v="No"/>
    <x v="1"/>
    <s v="No"/>
    <n v="34"/>
    <x v="2"/>
    <s v="Every 3 Months"/>
    <n v="0.1"/>
    <n v="43.2"/>
    <n v="48"/>
    <s v="Credit Card"/>
    <s v="Normal"/>
    <s v="Good"/>
  </r>
  <r>
    <n v="3823"/>
    <n v="70"/>
    <x v="1"/>
    <x v="19"/>
    <x v="3"/>
    <n v="41"/>
    <x v="23"/>
    <x v="1"/>
    <s v="Gold"/>
    <x v="1"/>
    <n v="3.2"/>
    <s v="No"/>
    <x v="1"/>
    <s v="No"/>
    <n v="17"/>
    <x v="3"/>
    <s v="Every 3 Months"/>
    <n v="0.1"/>
    <n v="36.9"/>
    <n v="41"/>
    <s v="PayPal"/>
    <s v="Normal"/>
    <s v="Good"/>
  </r>
  <r>
    <n v="3824"/>
    <n v="50"/>
    <x v="1"/>
    <x v="5"/>
    <x v="0"/>
    <n v="42"/>
    <x v="18"/>
    <x v="2"/>
    <s v="Gold"/>
    <x v="2"/>
    <n v="3"/>
    <s v="No"/>
    <x v="3"/>
    <s v="No"/>
    <n v="27"/>
    <x v="4"/>
    <s v="Weekly"/>
    <n v="0.1"/>
    <n v="37.799999999999997"/>
    <n v="42"/>
    <s v="Bank Transfer"/>
    <s v="Normal"/>
    <s v="Good"/>
  </r>
  <r>
    <n v="3825"/>
    <n v="54"/>
    <x v="1"/>
    <x v="6"/>
    <x v="0"/>
    <n v="26"/>
    <x v="42"/>
    <x v="2"/>
    <s v="Olive"/>
    <x v="2"/>
    <n v="4"/>
    <s v="No"/>
    <x v="1"/>
    <s v="No"/>
    <n v="31"/>
    <x v="2"/>
    <s v="Quarterly"/>
    <n v="0.1"/>
    <n v="23.4"/>
    <n v="26"/>
    <s v="Credit Card"/>
    <s v="Normal"/>
    <s v="Good"/>
  </r>
  <r>
    <n v="3826"/>
    <n v="49"/>
    <x v="1"/>
    <x v="6"/>
    <x v="0"/>
    <n v="35"/>
    <x v="11"/>
    <x v="0"/>
    <s v="Green"/>
    <x v="3"/>
    <n v="4.0999999999999996"/>
    <s v="No"/>
    <x v="0"/>
    <s v="No"/>
    <n v="47"/>
    <x v="5"/>
    <s v="Fortnightly"/>
    <n v="0.1"/>
    <n v="31.5"/>
    <n v="35"/>
    <s v="Debit Card"/>
    <s v="Normal"/>
    <s v="Good"/>
  </r>
  <r>
    <n v="3827"/>
    <n v="50"/>
    <x v="1"/>
    <x v="14"/>
    <x v="2"/>
    <n v="31"/>
    <x v="6"/>
    <x v="2"/>
    <s v="Gray"/>
    <x v="2"/>
    <n v="4"/>
    <s v="No"/>
    <x v="0"/>
    <s v="No"/>
    <n v="25"/>
    <x v="4"/>
    <s v="Annually"/>
    <n v="0.1"/>
    <n v="27.9"/>
    <n v="31"/>
    <s v="Bank Transfer"/>
    <s v="Normal"/>
    <s v="Good"/>
  </r>
  <r>
    <n v="3828"/>
    <n v="62"/>
    <x v="1"/>
    <x v="16"/>
    <x v="3"/>
    <n v="73"/>
    <x v="6"/>
    <x v="2"/>
    <s v="Red"/>
    <x v="2"/>
    <n v="4.0999999999999996"/>
    <s v="No"/>
    <x v="3"/>
    <s v="No"/>
    <n v="47"/>
    <x v="1"/>
    <s v="Fortnightly"/>
    <n v="0.1"/>
    <n v="65.7"/>
    <n v="73"/>
    <s v="Cash"/>
    <s v="Normal"/>
    <s v="Good"/>
  </r>
  <r>
    <n v="3829"/>
    <n v="42"/>
    <x v="1"/>
    <x v="0"/>
    <x v="0"/>
    <n v="82"/>
    <x v="16"/>
    <x v="2"/>
    <s v="Charcoal"/>
    <x v="1"/>
    <n v="3.4"/>
    <s v="No"/>
    <x v="1"/>
    <s v="No"/>
    <n v="8"/>
    <x v="1"/>
    <s v="Weekly"/>
    <n v="0.1"/>
    <n v="73.8"/>
    <n v="82"/>
    <s v="Cash"/>
    <s v="Normal"/>
    <s v="Good"/>
  </r>
  <r>
    <n v="3830"/>
    <n v="69"/>
    <x v="1"/>
    <x v="13"/>
    <x v="0"/>
    <n v="32"/>
    <x v="47"/>
    <x v="2"/>
    <s v="Indigo"/>
    <x v="1"/>
    <n v="2.9"/>
    <s v="No"/>
    <x v="1"/>
    <s v="No"/>
    <n v="32"/>
    <x v="5"/>
    <s v="Fortnightly"/>
    <n v="0.1"/>
    <n v="28.8"/>
    <n v="32"/>
    <s v="Debit Card"/>
    <s v="Normal"/>
    <s v="Poor"/>
  </r>
  <r>
    <n v="3831"/>
    <n v="22"/>
    <x v="1"/>
    <x v="19"/>
    <x v="3"/>
    <n v="27"/>
    <x v="38"/>
    <x v="2"/>
    <s v="Indigo"/>
    <x v="2"/>
    <n v="3"/>
    <s v="No"/>
    <x v="4"/>
    <s v="No"/>
    <n v="33"/>
    <x v="4"/>
    <s v="Every 3 Months"/>
    <n v="0.1"/>
    <n v="24.3"/>
    <n v="27"/>
    <s v="Bank Transfer"/>
    <s v="Normal"/>
    <s v="Good"/>
  </r>
  <r>
    <n v="3832"/>
    <n v="36"/>
    <x v="1"/>
    <x v="21"/>
    <x v="3"/>
    <n v="86"/>
    <x v="22"/>
    <x v="0"/>
    <s v="Silver"/>
    <x v="1"/>
    <n v="4"/>
    <s v="No"/>
    <x v="2"/>
    <s v="No"/>
    <n v="16"/>
    <x v="5"/>
    <s v="Every 3 Months"/>
    <n v="0.1"/>
    <n v="77.400000000000006"/>
    <n v="86"/>
    <s v="Debit Card"/>
    <s v="Normal"/>
    <s v="Good"/>
  </r>
  <r>
    <n v="3833"/>
    <n v="64"/>
    <x v="1"/>
    <x v="23"/>
    <x v="1"/>
    <n v="38"/>
    <x v="23"/>
    <x v="3"/>
    <s v="Purple"/>
    <x v="0"/>
    <n v="4.8"/>
    <s v="No"/>
    <x v="4"/>
    <s v="No"/>
    <n v="27"/>
    <x v="1"/>
    <s v="Weekly"/>
    <n v="0.1"/>
    <n v="34.200000000000003"/>
    <n v="38"/>
    <s v="Cash"/>
    <s v="Normal"/>
    <s v="Good"/>
  </r>
  <r>
    <n v="3834"/>
    <n v="44"/>
    <x v="1"/>
    <x v="14"/>
    <x v="2"/>
    <n v="93"/>
    <x v="28"/>
    <x v="0"/>
    <s v="Gray"/>
    <x v="2"/>
    <n v="4.5999999999999996"/>
    <s v="No"/>
    <x v="1"/>
    <s v="No"/>
    <n v="17"/>
    <x v="3"/>
    <s v="Every 3 Months"/>
    <n v="0.1"/>
    <n v="83.7"/>
    <n v="93"/>
    <s v="PayPal"/>
    <s v="Normal"/>
    <s v="Good"/>
  </r>
  <r>
    <n v="3835"/>
    <n v="43"/>
    <x v="1"/>
    <x v="15"/>
    <x v="0"/>
    <n v="59"/>
    <x v="30"/>
    <x v="2"/>
    <s v="Magenta"/>
    <x v="0"/>
    <n v="4.0999999999999996"/>
    <s v="No"/>
    <x v="4"/>
    <s v="No"/>
    <n v="17"/>
    <x v="1"/>
    <s v="Quarterly"/>
    <n v="0.1"/>
    <n v="53.1"/>
    <n v="59"/>
    <s v="Cash"/>
    <s v="Normal"/>
    <s v="Good"/>
  </r>
  <r>
    <n v="3836"/>
    <n v="58"/>
    <x v="1"/>
    <x v="3"/>
    <x v="1"/>
    <n v="58"/>
    <x v="38"/>
    <x v="0"/>
    <s v="Silver"/>
    <x v="0"/>
    <n v="2.6"/>
    <s v="No"/>
    <x v="0"/>
    <s v="No"/>
    <n v="28"/>
    <x v="3"/>
    <s v="Bi-Weekly"/>
    <n v="0.1"/>
    <n v="52.2"/>
    <n v="58"/>
    <s v="PayPal"/>
    <s v="Normal"/>
    <s v="Poor"/>
  </r>
  <r>
    <n v="3837"/>
    <n v="62"/>
    <x v="1"/>
    <x v="11"/>
    <x v="0"/>
    <n v="84"/>
    <x v="29"/>
    <x v="2"/>
    <s v="Violet"/>
    <x v="1"/>
    <n v="2.5"/>
    <s v="No"/>
    <x v="1"/>
    <s v="No"/>
    <n v="38"/>
    <x v="3"/>
    <s v="Fortnightly"/>
    <n v="0.1"/>
    <n v="75.599999999999994"/>
    <n v="84"/>
    <s v="PayPal"/>
    <s v="Normal"/>
    <s v="Poor"/>
  </r>
  <r>
    <n v="3838"/>
    <n v="45"/>
    <x v="1"/>
    <x v="15"/>
    <x v="0"/>
    <n v="100"/>
    <x v="35"/>
    <x v="2"/>
    <s v="Green"/>
    <x v="1"/>
    <n v="4.8"/>
    <s v="No"/>
    <x v="1"/>
    <s v="No"/>
    <n v="33"/>
    <x v="4"/>
    <s v="Fortnightly"/>
    <n v="0.1"/>
    <n v="90"/>
    <n v="100"/>
    <s v="Bank Transfer"/>
    <s v="Normal"/>
    <s v="Good"/>
  </r>
  <r>
    <n v="3839"/>
    <n v="47"/>
    <x v="1"/>
    <x v="10"/>
    <x v="0"/>
    <n v="25"/>
    <x v="3"/>
    <x v="0"/>
    <s v="Green"/>
    <x v="2"/>
    <n v="4.2"/>
    <s v="No"/>
    <x v="0"/>
    <s v="No"/>
    <n v="24"/>
    <x v="0"/>
    <s v="Every 3 Months"/>
    <n v="0.1"/>
    <n v="22.5"/>
    <n v="25"/>
    <s v="Venmo"/>
    <s v="Normal"/>
    <s v="Good"/>
  </r>
  <r>
    <n v="3840"/>
    <n v="66"/>
    <x v="1"/>
    <x v="3"/>
    <x v="1"/>
    <n v="29"/>
    <x v="39"/>
    <x v="2"/>
    <s v="Peach"/>
    <x v="1"/>
    <n v="3.9"/>
    <s v="No"/>
    <x v="1"/>
    <s v="No"/>
    <n v="14"/>
    <x v="0"/>
    <s v="Quarterly"/>
    <n v="0.1"/>
    <n v="26.1"/>
    <n v="29"/>
    <s v="Venmo"/>
    <s v="Normal"/>
    <s v="Good"/>
  </r>
  <r>
    <n v="3841"/>
    <n v="30"/>
    <x v="1"/>
    <x v="2"/>
    <x v="0"/>
    <n v="42"/>
    <x v="37"/>
    <x v="2"/>
    <s v="Turquoise"/>
    <x v="1"/>
    <n v="3.7"/>
    <s v="No"/>
    <x v="0"/>
    <s v="No"/>
    <n v="5"/>
    <x v="0"/>
    <s v="Fortnightly"/>
    <n v="0.1"/>
    <n v="37.799999999999997"/>
    <n v="42"/>
    <s v="Venmo"/>
    <s v="Normal"/>
    <s v="Good"/>
  </r>
  <r>
    <n v="3842"/>
    <n v="68"/>
    <x v="1"/>
    <x v="2"/>
    <x v="0"/>
    <n v="57"/>
    <x v="16"/>
    <x v="0"/>
    <s v="Pink"/>
    <x v="3"/>
    <n v="4.2"/>
    <s v="No"/>
    <x v="4"/>
    <s v="No"/>
    <n v="8"/>
    <x v="4"/>
    <s v="Monthly"/>
    <n v="0.1"/>
    <n v="51.3"/>
    <n v="57"/>
    <s v="Bank Transfer"/>
    <s v="Normal"/>
    <s v="Good"/>
  </r>
  <r>
    <n v="3843"/>
    <n v="35"/>
    <x v="1"/>
    <x v="14"/>
    <x v="2"/>
    <n v="84"/>
    <x v="24"/>
    <x v="0"/>
    <s v="Lavender"/>
    <x v="0"/>
    <n v="4.2"/>
    <s v="No"/>
    <x v="2"/>
    <s v="No"/>
    <n v="42"/>
    <x v="5"/>
    <s v="Monthly"/>
    <n v="0.1"/>
    <n v="75.599999999999994"/>
    <n v="84"/>
    <s v="Debit Card"/>
    <s v="Normal"/>
    <s v="Good"/>
  </r>
  <r>
    <n v="3844"/>
    <n v="64"/>
    <x v="1"/>
    <x v="19"/>
    <x v="3"/>
    <n v="71"/>
    <x v="42"/>
    <x v="0"/>
    <s v="Silver"/>
    <x v="0"/>
    <n v="4"/>
    <s v="No"/>
    <x v="1"/>
    <s v="No"/>
    <n v="48"/>
    <x v="0"/>
    <s v="Every 3 Months"/>
    <n v="0.1"/>
    <n v="63.9"/>
    <n v="71"/>
    <s v="Venmo"/>
    <s v="Normal"/>
    <s v="Good"/>
  </r>
  <r>
    <n v="3845"/>
    <n v="30"/>
    <x v="1"/>
    <x v="6"/>
    <x v="0"/>
    <n v="87"/>
    <x v="6"/>
    <x v="1"/>
    <s v="Cyan"/>
    <x v="3"/>
    <n v="5"/>
    <s v="No"/>
    <x v="2"/>
    <s v="No"/>
    <n v="40"/>
    <x v="0"/>
    <s v="Quarterly"/>
    <n v="0.1"/>
    <n v="78.3"/>
    <n v="87"/>
    <s v="Venmo"/>
    <s v="Normal"/>
    <s v="Good"/>
  </r>
  <r>
    <n v="3846"/>
    <n v="58"/>
    <x v="1"/>
    <x v="1"/>
    <x v="0"/>
    <n v="52"/>
    <x v="18"/>
    <x v="2"/>
    <s v="Green"/>
    <x v="0"/>
    <n v="4.9000000000000004"/>
    <s v="No"/>
    <x v="3"/>
    <s v="No"/>
    <n v="46"/>
    <x v="0"/>
    <s v="Annually"/>
    <n v="0.1"/>
    <n v="46.8"/>
    <n v="52"/>
    <s v="Venmo"/>
    <s v="Normal"/>
    <s v="Good"/>
  </r>
  <r>
    <n v="3847"/>
    <n v="57"/>
    <x v="1"/>
    <x v="0"/>
    <x v="0"/>
    <n v="58"/>
    <x v="38"/>
    <x v="0"/>
    <s v="Orange"/>
    <x v="2"/>
    <n v="4"/>
    <s v="No"/>
    <x v="0"/>
    <s v="No"/>
    <n v="40"/>
    <x v="3"/>
    <s v="Every 3 Months"/>
    <n v="0.1"/>
    <n v="52.2"/>
    <n v="58"/>
    <s v="PayPal"/>
    <s v="Normal"/>
    <s v="Good"/>
  </r>
  <r>
    <n v="3848"/>
    <n v="60"/>
    <x v="1"/>
    <x v="1"/>
    <x v="0"/>
    <n v="34"/>
    <x v="12"/>
    <x v="1"/>
    <s v="Blue"/>
    <x v="3"/>
    <n v="3.2"/>
    <s v="No"/>
    <x v="4"/>
    <s v="No"/>
    <n v="31"/>
    <x v="3"/>
    <s v="Fortnightly"/>
    <n v="0.1"/>
    <n v="30.6"/>
    <n v="34"/>
    <s v="PayPal"/>
    <s v="Normal"/>
    <s v="Good"/>
  </r>
  <r>
    <n v="3849"/>
    <n v="22"/>
    <x v="1"/>
    <x v="16"/>
    <x v="3"/>
    <n v="60"/>
    <x v="13"/>
    <x v="2"/>
    <s v="Magenta"/>
    <x v="0"/>
    <n v="3"/>
    <s v="No"/>
    <x v="2"/>
    <s v="No"/>
    <n v="39"/>
    <x v="1"/>
    <s v="Every 3 Months"/>
    <n v="0.1"/>
    <n v="54"/>
    <n v="60"/>
    <s v="Cash"/>
    <s v="Normal"/>
    <s v="Good"/>
  </r>
  <r>
    <n v="3850"/>
    <n v="46"/>
    <x v="1"/>
    <x v="15"/>
    <x v="0"/>
    <n v="68"/>
    <x v="20"/>
    <x v="1"/>
    <s v="Cyan"/>
    <x v="0"/>
    <n v="2.6"/>
    <s v="No"/>
    <x v="0"/>
    <s v="No"/>
    <n v="36"/>
    <x v="3"/>
    <s v="Fortnightly"/>
    <n v="0.1"/>
    <n v="61.2"/>
    <n v="68"/>
    <s v="PayPal"/>
    <s v="Normal"/>
    <s v="Poor"/>
  </r>
  <r>
    <n v="3851"/>
    <n v="27"/>
    <x v="1"/>
    <x v="16"/>
    <x v="3"/>
    <n v="74"/>
    <x v="16"/>
    <x v="0"/>
    <s v="Indigo"/>
    <x v="2"/>
    <n v="4.4000000000000004"/>
    <s v="No"/>
    <x v="4"/>
    <s v="No"/>
    <n v="25"/>
    <x v="5"/>
    <s v="Every 3 Months"/>
    <n v="0.1"/>
    <n v="66.599999999999994"/>
    <n v="74"/>
    <s v="Debit Card"/>
    <s v="Normal"/>
    <s v="Good"/>
  </r>
  <r>
    <n v="3852"/>
    <n v="50"/>
    <x v="1"/>
    <x v="18"/>
    <x v="3"/>
    <n v="83"/>
    <x v="6"/>
    <x v="2"/>
    <s v="Pink"/>
    <x v="2"/>
    <n v="3.9"/>
    <s v="No"/>
    <x v="1"/>
    <s v="No"/>
    <n v="24"/>
    <x v="5"/>
    <s v="Annually"/>
    <n v="0.1"/>
    <n v="74.7"/>
    <n v="83"/>
    <s v="Debit Card"/>
    <s v="Normal"/>
    <s v="Good"/>
  </r>
  <r>
    <n v="3853"/>
    <n v="65"/>
    <x v="1"/>
    <x v="19"/>
    <x v="3"/>
    <n v="79"/>
    <x v="16"/>
    <x v="2"/>
    <s v="Peach"/>
    <x v="3"/>
    <n v="4"/>
    <s v="No"/>
    <x v="4"/>
    <s v="No"/>
    <n v="19"/>
    <x v="3"/>
    <s v="Weekly"/>
    <n v="0.1"/>
    <n v="71.099999999999994"/>
    <n v="79"/>
    <s v="PayPal"/>
    <s v="Normal"/>
    <s v="Good"/>
  </r>
  <r>
    <n v="3854"/>
    <n v="61"/>
    <x v="1"/>
    <x v="12"/>
    <x v="3"/>
    <n v="76"/>
    <x v="30"/>
    <x v="2"/>
    <s v="Lavender"/>
    <x v="3"/>
    <n v="4"/>
    <s v="No"/>
    <x v="5"/>
    <s v="No"/>
    <n v="49"/>
    <x v="5"/>
    <s v="Bi-Weekly"/>
    <n v="0.1"/>
    <n v="68.400000000000006"/>
    <n v="76"/>
    <s v="Debit Card"/>
    <s v="Normal"/>
    <s v="Good"/>
  </r>
  <r>
    <n v="3855"/>
    <n v="57"/>
    <x v="1"/>
    <x v="17"/>
    <x v="0"/>
    <n v="20"/>
    <x v="20"/>
    <x v="2"/>
    <s v="Black"/>
    <x v="1"/>
    <n v="4.2"/>
    <s v="No"/>
    <x v="1"/>
    <s v="No"/>
    <n v="4"/>
    <x v="0"/>
    <s v="Annually"/>
    <n v="0.1"/>
    <n v="18"/>
    <n v="20"/>
    <s v="Venmo"/>
    <s v="Normal"/>
    <s v="Good"/>
  </r>
  <r>
    <n v="3856"/>
    <n v="40"/>
    <x v="1"/>
    <x v="5"/>
    <x v="0"/>
    <n v="61"/>
    <x v="26"/>
    <x v="3"/>
    <s v="Lavender"/>
    <x v="2"/>
    <n v="4.4000000000000004"/>
    <s v="No"/>
    <x v="2"/>
    <s v="No"/>
    <n v="36"/>
    <x v="1"/>
    <s v="Quarterly"/>
    <n v="0.1"/>
    <n v="54.9"/>
    <n v="61"/>
    <s v="Cash"/>
    <s v="Normal"/>
    <s v="Good"/>
  </r>
  <r>
    <n v="3857"/>
    <n v="39"/>
    <x v="1"/>
    <x v="3"/>
    <x v="1"/>
    <n v="78"/>
    <x v="41"/>
    <x v="1"/>
    <s v="Brown"/>
    <x v="2"/>
    <n v="2.5"/>
    <s v="No"/>
    <x v="1"/>
    <s v="No"/>
    <n v="8"/>
    <x v="5"/>
    <s v="Quarterly"/>
    <n v="0.1"/>
    <n v="70.2"/>
    <n v="78"/>
    <s v="Debit Card"/>
    <s v="Normal"/>
    <s v="Poor"/>
  </r>
  <r>
    <n v="3858"/>
    <n v="42"/>
    <x v="1"/>
    <x v="19"/>
    <x v="3"/>
    <n v="21"/>
    <x v="21"/>
    <x v="1"/>
    <s v="Yellow"/>
    <x v="2"/>
    <n v="3.1"/>
    <s v="No"/>
    <x v="5"/>
    <s v="No"/>
    <n v="29"/>
    <x v="2"/>
    <s v="Every 3 Months"/>
    <n v="0.1"/>
    <n v="18.899999999999999"/>
    <n v="21"/>
    <s v="Credit Card"/>
    <s v="Normal"/>
    <s v="Good"/>
  </r>
  <r>
    <n v="3859"/>
    <n v="30"/>
    <x v="1"/>
    <x v="17"/>
    <x v="0"/>
    <n v="77"/>
    <x v="9"/>
    <x v="2"/>
    <s v="Olive"/>
    <x v="0"/>
    <n v="3.5"/>
    <s v="No"/>
    <x v="5"/>
    <s v="No"/>
    <n v="26"/>
    <x v="2"/>
    <s v="Quarterly"/>
    <n v="0.1"/>
    <n v="69.3"/>
    <n v="77"/>
    <s v="Credit Card"/>
    <s v="Normal"/>
    <s v="Good"/>
  </r>
  <r>
    <n v="3860"/>
    <n v="65"/>
    <x v="1"/>
    <x v="6"/>
    <x v="0"/>
    <n v="88"/>
    <x v="16"/>
    <x v="1"/>
    <s v="Blue"/>
    <x v="3"/>
    <n v="3"/>
    <s v="No"/>
    <x v="4"/>
    <s v="No"/>
    <n v="47"/>
    <x v="4"/>
    <s v="Bi-Weekly"/>
    <n v="0.1"/>
    <n v="79.2"/>
    <n v="88"/>
    <s v="Bank Transfer"/>
    <s v="Normal"/>
    <s v="Good"/>
  </r>
  <r>
    <n v="3861"/>
    <n v="57"/>
    <x v="1"/>
    <x v="12"/>
    <x v="3"/>
    <n v="64"/>
    <x v="38"/>
    <x v="2"/>
    <s v="Turquoise"/>
    <x v="2"/>
    <n v="4.4000000000000004"/>
    <s v="No"/>
    <x v="2"/>
    <s v="No"/>
    <n v="44"/>
    <x v="1"/>
    <s v="Annually"/>
    <n v="0.1"/>
    <n v="57.6"/>
    <n v="64"/>
    <s v="Cash"/>
    <s v="Normal"/>
    <s v="Good"/>
  </r>
  <r>
    <n v="3862"/>
    <n v="64"/>
    <x v="1"/>
    <x v="14"/>
    <x v="2"/>
    <n v="57"/>
    <x v="5"/>
    <x v="2"/>
    <s v="Yellow"/>
    <x v="1"/>
    <n v="4.9000000000000004"/>
    <s v="No"/>
    <x v="3"/>
    <s v="No"/>
    <n v="49"/>
    <x v="2"/>
    <s v="Monthly"/>
    <n v="0.1"/>
    <n v="51.3"/>
    <n v="57"/>
    <s v="Credit Card"/>
    <s v="Normal"/>
    <s v="Good"/>
  </r>
  <r>
    <n v="3863"/>
    <n v="56"/>
    <x v="1"/>
    <x v="5"/>
    <x v="0"/>
    <n v="49"/>
    <x v="37"/>
    <x v="0"/>
    <s v="Turquoise"/>
    <x v="0"/>
    <n v="2.8"/>
    <s v="No"/>
    <x v="2"/>
    <s v="No"/>
    <n v="9"/>
    <x v="0"/>
    <s v="Monthly"/>
    <n v="0.1"/>
    <n v="44.1"/>
    <n v="49"/>
    <s v="Venmo"/>
    <s v="Normal"/>
    <s v="Poor"/>
  </r>
  <r>
    <n v="3864"/>
    <n v="40"/>
    <x v="1"/>
    <x v="18"/>
    <x v="3"/>
    <n v="35"/>
    <x v="13"/>
    <x v="2"/>
    <s v="Orange"/>
    <x v="2"/>
    <n v="3.3"/>
    <s v="No"/>
    <x v="1"/>
    <s v="No"/>
    <n v="28"/>
    <x v="1"/>
    <s v="Fortnightly"/>
    <n v="0.1"/>
    <n v="31.5"/>
    <n v="35"/>
    <s v="Cash"/>
    <s v="Normal"/>
    <s v="Good"/>
  </r>
  <r>
    <n v="3865"/>
    <n v="55"/>
    <x v="1"/>
    <x v="17"/>
    <x v="0"/>
    <n v="99"/>
    <x v="5"/>
    <x v="1"/>
    <s v="Blue"/>
    <x v="0"/>
    <n v="4.9000000000000004"/>
    <s v="No"/>
    <x v="0"/>
    <s v="No"/>
    <n v="1"/>
    <x v="5"/>
    <s v="Fortnightly"/>
    <n v="0.1"/>
    <n v="89.1"/>
    <n v="99"/>
    <s v="Debit Card"/>
    <s v="Normal"/>
    <s v="Good"/>
  </r>
  <r>
    <n v="3866"/>
    <n v="25"/>
    <x v="1"/>
    <x v="6"/>
    <x v="0"/>
    <n v="42"/>
    <x v="43"/>
    <x v="2"/>
    <s v="Olive"/>
    <x v="1"/>
    <n v="4.2"/>
    <s v="No"/>
    <x v="5"/>
    <s v="No"/>
    <n v="28"/>
    <x v="1"/>
    <s v="Every 3 Months"/>
    <n v="0.1"/>
    <n v="37.799999999999997"/>
    <n v="42"/>
    <s v="Cash"/>
    <s v="Normal"/>
    <s v="Good"/>
  </r>
  <r>
    <n v="3867"/>
    <n v="58"/>
    <x v="1"/>
    <x v="19"/>
    <x v="3"/>
    <n v="32"/>
    <x v="29"/>
    <x v="2"/>
    <s v="Beige"/>
    <x v="0"/>
    <n v="3.3"/>
    <s v="No"/>
    <x v="4"/>
    <s v="No"/>
    <n v="33"/>
    <x v="2"/>
    <s v="Fortnightly"/>
    <n v="0.1"/>
    <n v="28.8"/>
    <n v="32"/>
    <s v="Credit Card"/>
    <s v="Normal"/>
    <s v="Good"/>
  </r>
  <r>
    <n v="3868"/>
    <n v="46"/>
    <x v="1"/>
    <x v="14"/>
    <x v="2"/>
    <n v="21"/>
    <x v="33"/>
    <x v="0"/>
    <s v="Lavender"/>
    <x v="2"/>
    <n v="2.7"/>
    <s v="No"/>
    <x v="3"/>
    <s v="No"/>
    <n v="28"/>
    <x v="2"/>
    <s v="Monthly"/>
    <n v="0.1"/>
    <n v="18.899999999999999"/>
    <n v="21"/>
    <s v="Credit Card"/>
    <s v="Normal"/>
    <s v="Poor"/>
  </r>
  <r>
    <n v="3869"/>
    <n v="18"/>
    <x v="1"/>
    <x v="10"/>
    <x v="0"/>
    <n v="29"/>
    <x v="33"/>
    <x v="3"/>
    <s v="Magenta"/>
    <x v="0"/>
    <n v="3.3"/>
    <s v="No"/>
    <x v="4"/>
    <s v="No"/>
    <n v="9"/>
    <x v="1"/>
    <s v="Annually"/>
    <n v="0.1"/>
    <n v="26.1"/>
    <n v="29"/>
    <s v="Cash"/>
    <s v="Normal"/>
    <s v="Good"/>
  </r>
  <r>
    <n v="3870"/>
    <n v="26"/>
    <x v="1"/>
    <x v="7"/>
    <x v="2"/>
    <n v="64"/>
    <x v="28"/>
    <x v="0"/>
    <s v="Cyan"/>
    <x v="1"/>
    <n v="3.8"/>
    <s v="No"/>
    <x v="1"/>
    <s v="No"/>
    <n v="28"/>
    <x v="4"/>
    <s v="Annually"/>
    <n v="0.1"/>
    <n v="57.6"/>
    <n v="64"/>
    <s v="Bank Transfer"/>
    <s v="Normal"/>
    <s v="Good"/>
  </r>
  <r>
    <n v="3871"/>
    <n v="61"/>
    <x v="1"/>
    <x v="3"/>
    <x v="1"/>
    <n v="46"/>
    <x v="31"/>
    <x v="0"/>
    <s v="Lavender"/>
    <x v="3"/>
    <n v="3.2"/>
    <s v="No"/>
    <x v="2"/>
    <s v="No"/>
    <n v="19"/>
    <x v="1"/>
    <s v="Every 3 Months"/>
    <n v="0.1"/>
    <n v="41.4"/>
    <n v="46"/>
    <s v="Cash"/>
    <s v="Normal"/>
    <s v="Good"/>
  </r>
  <r>
    <n v="3872"/>
    <n v="55"/>
    <x v="1"/>
    <x v="17"/>
    <x v="0"/>
    <n v="97"/>
    <x v="46"/>
    <x v="2"/>
    <s v="Black"/>
    <x v="3"/>
    <n v="4.0999999999999996"/>
    <s v="No"/>
    <x v="4"/>
    <s v="No"/>
    <n v="20"/>
    <x v="4"/>
    <s v="Every 3 Months"/>
    <n v="0.1"/>
    <n v="87.3"/>
    <n v="97"/>
    <s v="Bank Transfer"/>
    <s v="Normal"/>
    <s v="Good"/>
  </r>
  <r>
    <n v="3873"/>
    <n v="41"/>
    <x v="1"/>
    <x v="14"/>
    <x v="2"/>
    <n v="94"/>
    <x v="13"/>
    <x v="2"/>
    <s v="Green"/>
    <x v="1"/>
    <n v="4.3"/>
    <s v="No"/>
    <x v="3"/>
    <s v="No"/>
    <n v="3"/>
    <x v="1"/>
    <s v="Monthly"/>
    <n v="0.1"/>
    <n v="84.6"/>
    <n v="94"/>
    <s v="Cash"/>
    <s v="Normal"/>
    <s v="Good"/>
  </r>
  <r>
    <n v="3874"/>
    <n v="42"/>
    <x v="1"/>
    <x v="3"/>
    <x v="1"/>
    <n v="43"/>
    <x v="7"/>
    <x v="0"/>
    <s v="Silver"/>
    <x v="2"/>
    <n v="4"/>
    <s v="No"/>
    <x v="3"/>
    <s v="No"/>
    <n v="22"/>
    <x v="2"/>
    <s v="Weekly"/>
    <n v="0.1"/>
    <n v="38.700000000000003"/>
    <n v="43"/>
    <s v="Credit Card"/>
    <s v="Normal"/>
    <s v="Good"/>
  </r>
  <r>
    <n v="3875"/>
    <n v="70"/>
    <x v="1"/>
    <x v="1"/>
    <x v="0"/>
    <n v="54"/>
    <x v="22"/>
    <x v="3"/>
    <s v="Beige"/>
    <x v="2"/>
    <n v="3.9"/>
    <s v="No"/>
    <x v="4"/>
    <s v="No"/>
    <n v="33"/>
    <x v="2"/>
    <s v="Bi-Weekly"/>
    <n v="0.1"/>
    <n v="48.6"/>
    <n v="54"/>
    <s v="Credit Card"/>
    <s v="Normal"/>
    <s v="Good"/>
  </r>
  <r>
    <n v="3876"/>
    <n v="63"/>
    <x v="1"/>
    <x v="19"/>
    <x v="3"/>
    <n v="51"/>
    <x v="13"/>
    <x v="2"/>
    <s v="Pink"/>
    <x v="0"/>
    <n v="3.3"/>
    <s v="No"/>
    <x v="4"/>
    <s v="No"/>
    <n v="21"/>
    <x v="2"/>
    <s v="Annually"/>
    <n v="0.1"/>
    <n v="45.9"/>
    <n v="51"/>
    <s v="Credit Card"/>
    <s v="Normal"/>
    <s v="Good"/>
  </r>
  <r>
    <n v="3877"/>
    <n v="60"/>
    <x v="1"/>
    <x v="9"/>
    <x v="1"/>
    <n v="85"/>
    <x v="48"/>
    <x v="1"/>
    <s v="Cyan"/>
    <x v="3"/>
    <n v="2.6"/>
    <s v="No"/>
    <x v="4"/>
    <s v="No"/>
    <n v="7"/>
    <x v="1"/>
    <s v="Annually"/>
    <n v="0.1"/>
    <n v="76.5"/>
    <n v="85"/>
    <s v="Cash"/>
    <s v="Normal"/>
    <s v="Poor"/>
  </r>
  <r>
    <n v="3878"/>
    <n v="28"/>
    <x v="1"/>
    <x v="15"/>
    <x v="0"/>
    <n v="96"/>
    <x v="22"/>
    <x v="2"/>
    <s v="Olive"/>
    <x v="1"/>
    <n v="4.2"/>
    <s v="No"/>
    <x v="2"/>
    <s v="No"/>
    <n v="46"/>
    <x v="5"/>
    <s v="Monthly"/>
    <n v="0.1"/>
    <n v="86.4"/>
    <n v="96"/>
    <s v="Debit Card"/>
    <s v="Normal"/>
    <s v="Good"/>
  </r>
  <r>
    <n v="3879"/>
    <n v="60"/>
    <x v="1"/>
    <x v="19"/>
    <x v="3"/>
    <n v="42"/>
    <x v="36"/>
    <x v="2"/>
    <s v="Pink"/>
    <x v="2"/>
    <n v="3.4"/>
    <s v="No"/>
    <x v="4"/>
    <s v="No"/>
    <n v="24"/>
    <x v="2"/>
    <s v="Annually"/>
    <n v="0.1"/>
    <n v="37.799999999999997"/>
    <n v="42"/>
    <s v="Credit Card"/>
    <s v="Normal"/>
    <s v="Good"/>
  </r>
  <r>
    <n v="3880"/>
    <n v="26"/>
    <x v="1"/>
    <x v="11"/>
    <x v="0"/>
    <n v="63"/>
    <x v="20"/>
    <x v="0"/>
    <s v="Maroon"/>
    <x v="0"/>
    <n v="4.0999999999999996"/>
    <s v="No"/>
    <x v="1"/>
    <s v="No"/>
    <n v="6"/>
    <x v="5"/>
    <s v="Quarterly"/>
    <n v="0.1"/>
    <n v="56.7"/>
    <n v="63"/>
    <s v="Debit Card"/>
    <s v="Normal"/>
    <s v="Good"/>
  </r>
  <r>
    <n v="3881"/>
    <n v="42"/>
    <x v="1"/>
    <x v="5"/>
    <x v="0"/>
    <n v="20"/>
    <x v="2"/>
    <x v="2"/>
    <s v="Red"/>
    <x v="0"/>
    <n v="3.9"/>
    <s v="No"/>
    <x v="1"/>
    <s v="No"/>
    <n v="40"/>
    <x v="3"/>
    <s v="Monthly"/>
    <n v="0.1"/>
    <n v="18"/>
    <n v="20"/>
    <s v="PayPal"/>
    <s v="Normal"/>
    <s v="Good"/>
  </r>
  <r>
    <n v="3882"/>
    <n v="56"/>
    <x v="1"/>
    <x v="18"/>
    <x v="3"/>
    <n v="25"/>
    <x v="42"/>
    <x v="0"/>
    <s v="Silver"/>
    <x v="1"/>
    <n v="2.8"/>
    <s v="No"/>
    <x v="4"/>
    <s v="No"/>
    <n v="17"/>
    <x v="5"/>
    <s v="Weekly"/>
    <n v="0.1"/>
    <n v="22.5"/>
    <n v="25"/>
    <s v="Debit Card"/>
    <s v="Normal"/>
    <s v="Poor"/>
  </r>
  <r>
    <n v="3883"/>
    <n v="35"/>
    <x v="1"/>
    <x v="13"/>
    <x v="0"/>
    <n v="95"/>
    <x v="25"/>
    <x v="0"/>
    <s v="Blue"/>
    <x v="3"/>
    <n v="2.6"/>
    <s v="No"/>
    <x v="1"/>
    <s v="No"/>
    <n v="24"/>
    <x v="1"/>
    <s v="Fortnightly"/>
    <n v="0.1"/>
    <n v="85.5"/>
    <n v="95"/>
    <s v="Cash"/>
    <s v="Normal"/>
    <s v="Poor"/>
  </r>
  <r>
    <n v="3884"/>
    <n v="34"/>
    <x v="1"/>
    <x v="19"/>
    <x v="3"/>
    <n v="38"/>
    <x v="25"/>
    <x v="3"/>
    <s v="Purple"/>
    <x v="3"/>
    <n v="4"/>
    <s v="No"/>
    <x v="2"/>
    <s v="No"/>
    <n v="22"/>
    <x v="1"/>
    <s v="Fortnightly"/>
    <n v="0.1"/>
    <n v="34.200000000000003"/>
    <n v="38"/>
    <s v="Cash"/>
    <s v="Normal"/>
    <s v="Good"/>
  </r>
  <r>
    <n v="3885"/>
    <n v="47"/>
    <x v="1"/>
    <x v="3"/>
    <x v="1"/>
    <n v="29"/>
    <x v="33"/>
    <x v="2"/>
    <s v="Brown"/>
    <x v="3"/>
    <n v="4.9000000000000004"/>
    <s v="No"/>
    <x v="0"/>
    <s v="No"/>
    <n v="3"/>
    <x v="3"/>
    <s v="Weekly"/>
    <n v="0.1"/>
    <n v="26.1"/>
    <n v="29"/>
    <s v="PayPal"/>
    <s v="Normal"/>
    <s v="Good"/>
  </r>
  <r>
    <n v="3886"/>
    <n v="49"/>
    <x v="1"/>
    <x v="20"/>
    <x v="0"/>
    <n v="64"/>
    <x v="35"/>
    <x v="0"/>
    <s v="Purple"/>
    <x v="0"/>
    <n v="3.2"/>
    <s v="No"/>
    <x v="1"/>
    <s v="No"/>
    <n v="39"/>
    <x v="1"/>
    <s v="Quarterly"/>
    <n v="0.1"/>
    <n v="57.6"/>
    <n v="64"/>
    <s v="Cash"/>
    <s v="Normal"/>
    <s v="Good"/>
  </r>
  <r>
    <n v="3887"/>
    <n v="37"/>
    <x v="1"/>
    <x v="16"/>
    <x v="3"/>
    <n v="92"/>
    <x v="44"/>
    <x v="1"/>
    <s v="Brown"/>
    <x v="2"/>
    <n v="3.9"/>
    <s v="No"/>
    <x v="0"/>
    <s v="No"/>
    <n v="40"/>
    <x v="5"/>
    <s v="Quarterly"/>
    <n v="0.1"/>
    <n v="82.8"/>
    <n v="92"/>
    <s v="Debit Card"/>
    <s v="Normal"/>
    <s v="Good"/>
  </r>
  <r>
    <n v="3888"/>
    <n v="40"/>
    <x v="1"/>
    <x v="5"/>
    <x v="0"/>
    <n v="34"/>
    <x v="23"/>
    <x v="2"/>
    <s v="Charcoal"/>
    <x v="1"/>
    <n v="2.7"/>
    <s v="No"/>
    <x v="0"/>
    <s v="No"/>
    <n v="1"/>
    <x v="2"/>
    <s v="Quarterly"/>
    <n v="0.1"/>
    <n v="30.6"/>
    <n v="34"/>
    <s v="Credit Card"/>
    <s v="Normal"/>
    <s v="Poor"/>
  </r>
  <r>
    <n v="3889"/>
    <n v="45"/>
    <x v="1"/>
    <x v="4"/>
    <x v="1"/>
    <n v="69"/>
    <x v="41"/>
    <x v="2"/>
    <s v="Violet"/>
    <x v="1"/>
    <n v="3.4"/>
    <s v="No"/>
    <x v="3"/>
    <s v="No"/>
    <n v="14"/>
    <x v="0"/>
    <s v="Bi-Weekly"/>
    <n v="0.1"/>
    <n v="62.1"/>
    <n v="69"/>
    <s v="Venmo"/>
    <s v="Normal"/>
    <s v="Good"/>
  </r>
  <r>
    <n v="3890"/>
    <n v="57"/>
    <x v="1"/>
    <x v="10"/>
    <x v="0"/>
    <n v="65"/>
    <x v="29"/>
    <x v="1"/>
    <s v="Yellow"/>
    <x v="1"/>
    <n v="3.5"/>
    <s v="No"/>
    <x v="0"/>
    <s v="No"/>
    <n v="49"/>
    <x v="4"/>
    <s v="Annually"/>
    <n v="0.1"/>
    <n v="58.5"/>
    <n v="65"/>
    <s v="Bank Transfer"/>
    <s v="Normal"/>
    <s v="Good"/>
  </r>
  <r>
    <n v="3891"/>
    <n v="35"/>
    <x v="1"/>
    <x v="5"/>
    <x v="0"/>
    <n v="81"/>
    <x v="43"/>
    <x v="3"/>
    <s v="Green"/>
    <x v="0"/>
    <n v="2.6"/>
    <s v="No"/>
    <x v="3"/>
    <s v="No"/>
    <n v="33"/>
    <x v="5"/>
    <s v="Annually"/>
    <n v="0.1"/>
    <n v="72.900000000000006"/>
    <n v="81"/>
    <s v="Debit Card"/>
    <s v="Normal"/>
    <s v="Poor"/>
  </r>
  <r>
    <n v="3892"/>
    <n v="36"/>
    <x v="1"/>
    <x v="10"/>
    <x v="0"/>
    <n v="30"/>
    <x v="24"/>
    <x v="0"/>
    <s v="Peach"/>
    <x v="0"/>
    <n v="4.7"/>
    <s v="No"/>
    <x v="1"/>
    <s v="No"/>
    <n v="6"/>
    <x v="4"/>
    <s v="Quarterly"/>
    <n v="0.1"/>
    <n v="27"/>
    <n v="30"/>
    <s v="Bank Transfer"/>
    <s v="Normal"/>
    <s v="Good"/>
  </r>
  <r>
    <n v="3893"/>
    <n v="35"/>
    <x v="1"/>
    <x v="16"/>
    <x v="3"/>
    <n v="86"/>
    <x v="49"/>
    <x v="0"/>
    <s v="Indigo"/>
    <x v="2"/>
    <n v="3.5"/>
    <s v="No"/>
    <x v="3"/>
    <s v="No"/>
    <n v="5"/>
    <x v="3"/>
    <s v="Fortnightly"/>
    <n v="0.1"/>
    <n v="77.400000000000006"/>
    <n v="86"/>
    <s v="PayPal"/>
    <s v="Normal"/>
    <s v="Good"/>
  </r>
  <r>
    <n v="3894"/>
    <n v="21"/>
    <x v="1"/>
    <x v="19"/>
    <x v="3"/>
    <n v="64"/>
    <x v="2"/>
    <x v="0"/>
    <s v="White"/>
    <x v="3"/>
    <n v="3.3"/>
    <s v="No"/>
    <x v="5"/>
    <s v="No"/>
    <n v="29"/>
    <x v="4"/>
    <s v="Bi-Weekly"/>
    <n v="0.1"/>
    <n v="57.6"/>
    <n v="64"/>
    <s v="Bank Transfer"/>
    <s v="Normal"/>
    <s v="Good"/>
  </r>
  <r>
    <n v="3895"/>
    <n v="66"/>
    <x v="1"/>
    <x v="11"/>
    <x v="0"/>
    <n v="78"/>
    <x v="39"/>
    <x v="0"/>
    <s v="White"/>
    <x v="1"/>
    <n v="3.9"/>
    <s v="No"/>
    <x v="4"/>
    <s v="No"/>
    <n v="44"/>
    <x v="2"/>
    <s v="Every 3 Months"/>
    <n v="0.1"/>
    <n v="70.2"/>
    <n v="78"/>
    <s v="Credit Card"/>
    <s v="Normal"/>
    <s v="Good"/>
  </r>
  <r>
    <n v="3896"/>
    <n v="40"/>
    <x v="1"/>
    <x v="15"/>
    <x v="0"/>
    <n v="28"/>
    <x v="41"/>
    <x v="0"/>
    <s v="Turquoise"/>
    <x v="2"/>
    <n v="4.2"/>
    <s v="No"/>
    <x v="4"/>
    <s v="No"/>
    <n v="32"/>
    <x v="0"/>
    <s v="Weekly"/>
    <n v="0.1"/>
    <n v="25.2"/>
    <n v="28"/>
    <s v="Venmo"/>
    <s v="Normal"/>
    <s v="Good"/>
  </r>
  <r>
    <n v="3897"/>
    <n v="52"/>
    <x v="1"/>
    <x v="21"/>
    <x v="3"/>
    <n v="49"/>
    <x v="44"/>
    <x v="0"/>
    <s v="White"/>
    <x v="1"/>
    <n v="4.5"/>
    <s v="No"/>
    <x v="5"/>
    <s v="No"/>
    <n v="41"/>
    <x v="4"/>
    <s v="Bi-Weekly"/>
    <n v="0.1"/>
    <n v="44.1"/>
    <n v="49"/>
    <s v="Bank Transfer"/>
    <s v="Normal"/>
    <s v="Good"/>
  </r>
  <r>
    <n v="3898"/>
    <n v="46"/>
    <x v="1"/>
    <x v="22"/>
    <x v="3"/>
    <n v="33"/>
    <x v="32"/>
    <x v="0"/>
    <s v="Green"/>
    <x v="1"/>
    <n v="2.9"/>
    <s v="No"/>
    <x v="3"/>
    <s v="No"/>
    <n v="24"/>
    <x v="0"/>
    <s v="Quarterly"/>
    <n v="0.1"/>
    <n v="29.7"/>
    <n v="33"/>
    <s v="Venmo"/>
    <s v="Normal"/>
    <s v="Poor"/>
  </r>
  <r>
    <n v="3899"/>
    <n v="44"/>
    <x v="1"/>
    <x v="9"/>
    <x v="1"/>
    <n v="77"/>
    <x v="46"/>
    <x v="1"/>
    <s v="Brown"/>
    <x v="2"/>
    <n v="3.8"/>
    <s v="No"/>
    <x v="0"/>
    <s v="No"/>
    <n v="24"/>
    <x v="0"/>
    <s v="Weekly"/>
    <n v="0.1"/>
    <n v="69.3"/>
    <n v="77"/>
    <s v="Venmo"/>
    <s v="Normal"/>
    <s v="Good"/>
  </r>
  <r>
    <n v="3900"/>
    <n v="52"/>
    <x v="1"/>
    <x v="8"/>
    <x v="3"/>
    <n v="81"/>
    <x v="18"/>
    <x v="2"/>
    <s v="Beige"/>
    <x v="1"/>
    <n v="3.1"/>
    <s v="No"/>
    <x v="5"/>
    <s v="No"/>
    <n v="33"/>
    <x v="0"/>
    <s v="Quarterly"/>
    <n v="0.1"/>
    <n v="72.900000000000006"/>
    <n v="81"/>
    <s v="Venmo"/>
    <s v="Normal"/>
    <s v="Good"/>
  </r>
  <r>
    <n v="4000"/>
    <n v="33"/>
    <x v="2"/>
    <x v="25"/>
    <x v="4"/>
    <n v="0"/>
    <x v="50"/>
    <x v="2"/>
    <s v="Red"/>
    <x v="1"/>
    <n v="5"/>
    <s v="Yes"/>
    <x v="0"/>
    <s v="Yes"/>
    <n v="47"/>
    <x v="3"/>
    <s v="Quarterly"/>
    <n v="0.1"/>
    <n v="0"/>
    <n v="0"/>
    <s v="PayPal"/>
    <s v="Normal"/>
    <s v="Good"/>
  </r>
  <r>
    <n v="4001"/>
    <n v="28"/>
    <x v="2"/>
    <x v="9"/>
    <x v="4"/>
    <n v="484.3"/>
    <x v="51"/>
    <x v="2"/>
    <s v="Green"/>
    <x v="1"/>
    <n v="1"/>
    <s v="No"/>
    <x v="3"/>
    <s v="Yes"/>
    <n v="0"/>
    <x v="3"/>
    <s v="Monthly"/>
    <n v="0.1"/>
    <n v="435.87"/>
    <n v="484.3"/>
    <s v="PayPal"/>
    <s v="Normal"/>
    <s v="Poor"/>
  </r>
  <r>
    <n v="4002"/>
    <n v="63"/>
    <x v="1"/>
    <x v="26"/>
    <x v="3"/>
    <n v="856.97"/>
    <x v="51"/>
    <x v="2"/>
    <s v="Blue"/>
    <x v="2"/>
    <n v="2"/>
    <s v="Yes"/>
    <x v="3"/>
    <s v="Yes"/>
    <n v="28"/>
    <x v="2"/>
    <s v="Quarterly"/>
    <n v="0.1"/>
    <n v="771.27300000000002"/>
    <n v="856.97"/>
    <s v="Credit Card"/>
    <s v="Normal"/>
    <s v="Poor"/>
  </r>
  <r>
    <n v="4003"/>
    <n v="69"/>
    <x v="2"/>
    <x v="9"/>
    <x v="4"/>
    <n v="1426.64"/>
    <x v="52"/>
    <x v="2"/>
    <s v="Black"/>
    <x v="4"/>
    <n v="3"/>
    <s v="Yes"/>
    <x v="3"/>
    <s v="Yes"/>
    <n v="19"/>
    <x v="1"/>
    <s v="Monthly"/>
    <n v="0.1"/>
    <n v="1283.9760000000001"/>
    <n v="1426.64"/>
    <s v="Cash"/>
    <s v="Normal"/>
    <s v="Good"/>
  </r>
  <r>
    <n v="4004"/>
    <n v="22"/>
    <x v="1"/>
    <x v="25"/>
    <x v="0"/>
    <n v="0"/>
    <x v="53"/>
    <x v="3"/>
    <s v="Black"/>
    <x v="1"/>
    <n v="5"/>
    <s v="Yes"/>
    <x v="3"/>
    <s v="No"/>
    <n v="0"/>
    <x v="5"/>
    <s v="Monthly"/>
    <n v="0.1"/>
    <n v="0"/>
    <n v="0"/>
    <s v="Debit Card"/>
    <s v="Normal"/>
    <s v="Good"/>
  </r>
  <r>
    <n v="4005"/>
    <n v="39"/>
    <x v="2"/>
    <x v="27"/>
    <x v="0"/>
    <n v="0"/>
    <x v="50"/>
    <x v="3"/>
    <s v="Blue"/>
    <x v="0"/>
    <n v="1"/>
    <s v="No"/>
    <x v="0"/>
    <s v="Yes"/>
    <n v="37"/>
    <x v="5"/>
    <s v="Weekly"/>
    <n v="0.1"/>
    <n v="0"/>
    <n v="0"/>
    <s v="Debit Card"/>
    <s v="Normal"/>
    <s v="Poor"/>
  </r>
  <r>
    <n v="4006"/>
    <n v="28"/>
    <x v="2"/>
    <x v="5"/>
    <x v="0"/>
    <n v="1091.01"/>
    <x v="52"/>
    <x v="1"/>
    <s v="Green"/>
    <x v="1"/>
    <n v="1"/>
    <s v="No"/>
    <x v="3"/>
    <s v="Yes"/>
    <n v="15"/>
    <x v="1"/>
    <s v="Monthly"/>
    <n v="0.1"/>
    <n v="981.90899999999999"/>
    <n v="1091.01"/>
    <s v="Cash"/>
    <s v="Normal"/>
    <s v="Poor"/>
  </r>
  <r>
    <n v="4007"/>
    <n v="33"/>
    <x v="0"/>
    <x v="28"/>
    <x v="0"/>
    <n v="0"/>
    <x v="14"/>
    <x v="1"/>
    <s v="Blue"/>
    <x v="1"/>
    <n v="1"/>
    <s v="No"/>
    <x v="3"/>
    <s v="Yes"/>
    <n v="0"/>
    <x v="3"/>
    <s v="Monthly"/>
    <n v="0.1"/>
    <n v="0"/>
    <n v="0"/>
    <s v="PayPal"/>
    <s v="Normal"/>
    <s v="Poor"/>
  </r>
  <r>
    <n v="4008"/>
    <n v="33"/>
    <x v="2"/>
    <x v="27"/>
    <x v="0"/>
    <n v="0"/>
    <x v="14"/>
    <x v="3"/>
    <s v="Black"/>
    <x v="4"/>
    <n v="4"/>
    <s v="No"/>
    <x v="0"/>
    <s v="No"/>
    <n v="41"/>
    <x v="3"/>
    <s v="Weekly"/>
    <n v="0.1"/>
    <n v="0"/>
    <n v="0"/>
    <s v="PayPal"/>
    <s v="Normal"/>
    <s v="Good"/>
  </r>
  <r>
    <n v="4009"/>
    <n v="36"/>
    <x v="0"/>
    <x v="5"/>
    <x v="0"/>
    <n v="547.16999999999996"/>
    <x v="50"/>
    <x v="0"/>
    <s v="Red"/>
    <x v="0"/>
    <n v="1"/>
    <s v="Yes"/>
    <x v="0"/>
    <s v="Yes"/>
    <n v="0"/>
    <x v="3"/>
    <s v="Monthly"/>
    <n v="0.1"/>
    <n v="492.45299999999997"/>
    <n v="547.16999999999996"/>
    <s v="PayPal"/>
    <s v="Normal"/>
    <s v="Poor"/>
  </r>
  <r>
    <n v="4010"/>
    <n v="49"/>
    <x v="1"/>
    <x v="5"/>
    <x v="3"/>
    <n v="371.9"/>
    <x v="14"/>
    <x v="1"/>
    <s v="White"/>
    <x v="4"/>
    <n v="1"/>
    <s v="No"/>
    <x v="0"/>
    <s v="No"/>
    <n v="7"/>
    <x v="2"/>
    <s v="Quarterly"/>
    <n v="0.1"/>
    <n v="334.71"/>
    <n v="371.9"/>
    <s v="Credit Card"/>
    <s v="Normal"/>
    <s v="Poor"/>
  </r>
  <r>
    <n v="4011"/>
    <n v="50"/>
    <x v="1"/>
    <x v="25"/>
    <x v="0"/>
    <n v="0"/>
    <x v="51"/>
    <x v="1"/>
    <s v="Blue"/>
    <x v="0"/>
    <n v="3"/>
    <s v="No"/>
    <x v="3"/>
    <s v="Yes"/>
    <n v="0"/>
    <x v="5"/>
    <s v="Quarterly"/>
    <n v="0.1"/>
    <n v="0"/>
    <n v="0"/>
    <s v="Debit Card"/>
    <s v="Normal"/>
    <s v="Good"/>
  </r>
  <r>
    <n v="4012"/>
    <n v="32"/>
    <x v="2"/>
    <x v="26"/>
    <x v="0"/>
    <n v="199.98"/>
    <x v="50"/>
    <x v="0"/>
    <s v="Blue"/>
    <x v="0"/>
    <n v="1"/>
    <s v="No"/>
    <x v="3"/>
    <s v="No"/>
    <n v="5"/>
    <x v="3"/>
    <s v="Monthly"/>
    <n v="0.1"/>
    <n v="179.982"/>
    <n v="199.98"/>
    <s v="PayPal"/>
    <s v="Normal"/>
    <s v="Poor"/>
  </r>
  <r>
    <n v="4013"/>
    <n v="60"/>
    <x v="1"/>
    <x v="27"/>
    <x v="3"/>
    <n v="0"/>
    <x v="50"/>
    <x v="0"/>
    <s v="Black"/>
    <x v="4"/>
    <n v="2"/>
    <s v="No"/>
    <x v="0"/>
    <s v="No"/>
    <n v="12"/>
    <x v="1"/>
    <s v="Quarterly"/>
    <n v="0.1"/>
    <n v="0"/>
    <n v="0"/>
    <s v="Cash"/>
    <s v="Normal"/>
    <s v="Poor"/>
  </r>
  <r>
    <n v="4014"/>
    <n v="21"/>
    <x v="1"/>
    <x v="27"/>
    <x v="0"/>
    <n v="1336.18"/>
    <x v="50"/>
    <x v="0"/>
    <s v="Blue"/>
    <x v="1"/>
    <n v="1"/>
    <s v="Yes"/>
    <x v="3"/>
    <s v="Yes"/>
    <n v="0"/>
    <x v="2"/>
    <s v="Monthly"/>
    <n v="0.1"/>
    <n v="1202.5620000000001"/>
    <n v="1336.18"/>
    <s v="Credit Card"/>
    <s v="Normal"/>
    <s v="Poor"/>
  </r>
  <r>
    <n v="4015"/>
    <n v="34"/>
    <x v="2"/>
    <x v="28"/>
    <x v="4"/>
    <n v="409.98"/>
    <x v="52"/>
    <x v="2"/>
    <s v="Blue"/>
    <x v="2"/>
    <n v="1"/>
    <s v="Yes"/>
    <x v="3"/>
    <s v="Yes"/>
    <n v="0"/>
    <x v="3"/>
    <s v="Monthly"/>
    <n v="0.1"/>
    <n v="368.98200000000003"/>
    <n v="409.98"/>
    <s v="PayPal"/>
    <s v="Normal"/>
    <s v="Poor"/>
  </r>
  <r>
    <n v="4016"/>
    <n v="19"/>
    <x v="0"/>
    <x v="27"/>
    <x v="0"/>
    <n v="0"/>
    <x v="53"/>
    <x v="2"/>
    <s v="Black"/>
    <x v="2"/>
    <n v="1"/>
    <s v="No"/>
    <x v="0"/>
    <s v="Yes"/>
    <n v="33"/>
    <x v="1"/>
    <s v="Weekly"/>
    <n v="0.1"/>
    <n v="0"/>
    <n v="0"/>
    <s v="Cash"/>
    <s v="Normal"/>
    <s v="Poor"/>
  </r>
  <r>
    <n v="4017"/>
    <n v="58"/>
    <x v="0"/>
    <x v="29"/>
    <x v="4"/>
    <n v="690.65"/>
    <x v="50"/>
    <x v="2"/>
    <s v="Green"/>
    <x v="4"/>
    <n v="1"/>
    <s v="No"/>
    <x v="3"/>
    <s v="No"/>
    <n v="0"/>
    <x v="5"/>
    <s v="Monthly"/>
    <n v="0.1"/>
    <n v="621.58500000000004"/>
    <n v="690.65"/>
    <s v="Debit Card"/>
    <s v="Normal"/>
    <s v="Poor"/>
  </r>
  <r>
    <n v="4018"/>
    <n v="36"/>
    <x v="0"/>
    <x v="26"/>
    <x v="0"/>
    <n v="0"/>
    <x v="51"/>
    <x v="0"/>
    <s v="Green"/>
    <x v="0"/>
    <n v="5"/>
    <s v="Yes"/>
    <x v="0"/>
    <s v="Yes"/>
    <n v="0"/>
    <x v="1"/>
    <s v="Weekly"/>
    <n v="0.1"/>
    <n v="0"/>
    <n v="0"/>
    <s v="Cash"/>
    <s v="Normal"/>
    <s v="Good"/>
  </r>
  <r>
    <n v="4019"/>
    <n v="28"/>
    <x v="0"/>
    <x v="29"/>
    <x v="0"/>
    <n v="864.47"/>
    <x v="14"/>
    <x v="3"/>
    <s v="Green"/>
    <x v="0"/>
    <n v="1"/>
    <s v="Yes"/>
    <x v="3"/>
    <s v="Yes"/>
    <n v="7"/>
    <x v="5"/>
    <s v="Monthly"/>
    <n v="0.1"/>
    <n v="778.02300000000002"/>
    <n v="864.47"/>
    <s v="Debit Card"/>
    <s v="Normal"/>
    <s v="Poor"/>
  </r>
  <r>
    <n v="4020"/>
    <n v="60"/>
    <x v="1"/>
    <x v="26"/>
    <x v="3"/>
    <n v="1247.31"/>
    <x v="53"/>
    <x v="1"/>
    <s v="White"/>
    <x v="0"/>
    <n v="1"/>
    <s v="No"/>
    <x v="0"/>
    <s v="Yes"/>
    <n v="20"/>
    <x v="3"/>
    <s v="Quarterly"/>
    <n v="0.1"/>
    <n v="1122.579"/>
    <n v="1247.31"/>
    <s v="PayPal"/>
    <s v="Normal"/>
    <s v="Poor"/>
  </r>
  <r>
    <n v="4021"/>
    <n v="32"/>
    <x v="1"/>
    <x v="9"/>
    <x v="3"/>
    <n v="0"/>
    <x v="53"/>
    <x v="1"/>
    <s v="Black"/>
    <x v="0"/>
    <n v="4"/>
    <s v="Yes"/>
    <x v="3"/>
    <s v="No"/>
    <n v="0"/>
    <x v="2"/>
    <s v="Quarterly"/>
    <n v="0.1"/>
    <n v="0"/>
    <n v="0"/>
    <s v="Credit Card"/>
    <s v="Normal"/>
    <s v="Good"/>
  </r>
  <r>
    <n v="4022"/>
    <n v="39"/>
    <x v="1"/>
    <x v="29"/>
    <x v="4"/>
    <n v="0"/>
    <x v="50"/>
    <x v="2"/>
    <s v="Green"/>
    <x v="2"/>
    <n v="4"/>
    <s v="No"/>
    <x v="0"/>
    <s v="Yes"/>
    <n v="34"/>
    <x v="5"/>
    <s v="Weekly"/>
    <n v="0.1"/>
    <n v="0"/>
    <n v="0"/>
    <s v="Debit Card"/>
    <s v="Normal"/>
    <s v="Good"/>
  </r>
  <r>
    <n v="4023"/>
    <n v="55"/>
    <x v="2"/>
    <x v="28"/>
    <x v="4"/>
    <n v="0"/>
    <x v="50"/>
    <x v="2"/>
    <s v="White"/>
    <x v="1"/>
    <n v="3"/>
    <s v="Yes"/>
    <x v="0"/>
    <s v="No"/>
    <n v="0"/>
    <x v="5"/>
    <s v="Weekly"/>
    <n v="0.1"/>
    <n v="0"/>
    <n v="0"/>
    <s v="Debit Card"/>
    <s v="Normal"/>
    <s v="Good"/>
  </r>
  <r>
    <n v="4024"/>
    <n v="55"/>
    <x v="1"/>
    <x v="27"/>
    <x v="3"/>
    <n v="0"/>
    <x v="52"/>
    <x v="1"/>
    <s v="Green"/>
    <x v="4"/>
    <n v="1"/>
    <s v="No"/>
    <x v="0"/>
    <s v="No"/>
    <n v="0"/>
    <x v="3"/>
    <s v="Quarterly"/>
    <n v="0.1"/>
    <n v="0"/>
    <n v="0"/>
    <s v="PayPal"/>
    <s v="Normal"/>
    <s v="Poor"/>
  </r>
  <r>
    <n v="4025"/>
    <n v="68"/>
    <x v="1"/>
    <x v="25"/>
    <x v="0"/>
    <n v="0"/>
    <x v="50"/>
    <x v="3"/>
    <s v="Red"/>
    <x v="2"/>
    <n v="1"/>
    <s v="No"/>
    <x v="0"/>
    <s v="Yes"/>
    <n v="33"/>
    <x v="5"/>
    <s v="Quarterly"/>
    <n v="0.1"/>
    <n v="0"/>
    <n v="0"/>
    <s v="Debit Card"/>
    <s v="Normal"/>
    <s v="Poor"/>
  </r>
  <r>
    <n v="4026"/>
    <n v="58"/>
    <x v="2"/>
    <x v="28"/>
    <x v="4"/>
    <n v="0"/>
    <x v="53"/>
    <x v="2"/>
    <s v="White"/>
    <x v="1"/>
    <n v="1"/>
    <s v="No"/>
    <x v="0"/>
    <s v="No"/>
    <n v="0"/>
    <x v="5"/>
    <s v="Weekly"/>
    <n v="0.1"/>
    <n v="0"/>
    <n v="0"/>
    <s v="Debit Card"/>
    <s v="Normal"/>
    <s v="Poor"/>
  </r>
  <r>
    <n v="4027"/>
    <n v="68"/>
    <x v="2"/>
    <x v="29"/>
    <x v="0"/>
    <n v="1416.19"/>
    <x v="51"/>
    <x v="3"/>
    <s v="Blue"/>
    <x v="2"/>
    <n v="5"/>
    <s v="No"/>
    <x v="0"/>
    <s v="No"/>
    <n v="34"/>
    <x v="5"/>
    <s v="Weekly"/>
    <n v="0.1"/>
    <n v="1274.5710000000001"/>
    <n v="1416.19"/>
    <s v="Debit Card"/>
    <s v="Best Customer"/>
    <s v="Good"/>
  </r>
  <r>
    <n v="4028"/>
    <n v="23"/>
    <x v="2"/>
    <x v="25"/>
    <x v="4"/>
    <n v="0"/>
    <x v="51"/>
    <x v="2"/>
    <s v="Black"/>
    <x v="2"/>
    <n v="1"/>
    <s v="Yes"/>
    <x v="0"/>
    <s v="Yes"/>
    <n v="0"/>
    <x v="2"/>
    <s v="Quarterly"/>
    <n v="0.1"/>
    <n v="0"/>
    <n v="0"/>
    <s v="Credit Card"/>
    <s v="Normal"/>
    <s v="Poor"/>
  </r>
  <r>
    <n v="4029"/>
    <n v="37"/>
    <x v="1"/>
    <x v="26"/>
    <x v="3"/>
    <n v="0"/>
    <x v="50"/>
    <x v="2"/>
    <s v="Blue"/>
    <x v="1"/>
    <n v="1"/>
    <s v="No"/>
    <x v="3"/>
    <s v="No"/>
    <n v="0"/>
    <x v="2"/>
    <s v="Monthly"/>
    <n v="0.1"/>
    <n v="0"/>
    <n v="0"/>
    <s v="Credit Card"/>
    <s v="Normal"/>
    <s v="Poor"/>
  </r>
  <r>
    <n v="4030"/>
    <n v="41"/>
    <x v="0"/>
    <x v="28"/>
    <x v="3"/>
    <n v="0"/>
    <x v="50"/>
    <x v="0"/>
    <s v="Blue"/>
    <x v="0"/>
    <n v="3"/>
    <s v="Yes"/>
    <x v="0"/>
    <s v="Yes"/>
    <n v="34"/>
    <x v="1"/>
    <s v="Quarterly"/>
    <n v="0.1"/>
    <n v="0"/>
    <n v="0"/>
    <s v="Cash"/>
    <s v="Normal"/>
    <s v="Good"/>
  </r>
  <r>
    <n v="4031"/>
    <n v="44"/>
    <x v="2"/>
    <x v="9"/>
    <x v="0"/>
    <n v="0"/>
    <x v="14"/>
    <x v="0"/>
    <s v="White"/>
    <x v="1"/>
    <n v="5"/>
    <s v="Yes"/>
    <x v="0"/>
    <s v="No"/>
    <n v="0"/>
    <x v="2"/>
    <s v="Monthly"/>
    <n v="0.1"/>
    <n v="0"/>
    <n v="0"/>
    <s v="Credit Card"/>
    <s v="Normal"/>
    <s v="Good"/>
  </r>
  <r>
    <n v="4032"/>
    <n v="23"/>
    <x v="1"/>
    <x v="5"/>
    <x v="0"/>
    <n v="213.14"/>
    <x v="50"/>
    <x v="0"/>
    <s v="White"/>
    <x v="0"/>
    <n v="1"/>
    <s v="Yes"/>
    <x v="0"/>
    <s v="Yes"/>
    <n v="0"/>
    <x v="2"/>
    <s v="Monthly"/>
    <n v="0.1"/>
    <n v="191.82599999999999"/>
    <n v="213.14"/>
    <s v="Credit Card"/>
    <s v="Normal"/>
    <s v="Poor"/>
  </r>
  <r>
    <n v="4033"/>
    <n v="66"/>
    <x v="1"/>
    <x v="29"/>
    <x v="4"/>
    <n v="0"/>
    <x v="14"/>
    <x v="2"/>
    <s v="White"/>
    <x v="2"/>
    <n v="1"/>
    <s v="No"/>
    <x v="0"/>
    <s v="No"/>
    <n v="0"/>
    <x v="5"/>
    <s v="Weekly"/>
    <n v="0.1"/>
    <n v="0"/>
    <n v="0"/>
    <s v="Debit Card"/>
    <s v="Normal"/>
    <s v="Poor"/>
  </r>
  <r>
    <n v="4034"/>
    <n v="39"/>
    <x v="0"/>
    <x v="26"/>
    <x v="3"/>
    <n v="849.1"/>
    <x v="53"/>
    <x v="2"/>
    <s v="Red"/>
    <x v="1"/>
    <n v="1"/>
    <s v="Yes"/>
    <x v="3"/>
    <s v="No"/>
    <n v="22"/>
    <x v="2"/>
    <s v="Monthly"/>
    <n v="0.1"/>
    <n v="764.19"/>
    <n v="849.1"/>
    <s v="Credit Card"/>
    <s v="Normal"/>
    <s v="Poor"/>
  </r>
  <r>
    <n v="4035"/>
    <n v="67"/>
    <x v="0"/>
    <x v="29"/>
    <x v="3"/>
    <n v="163.69"/>
    <x v="53"/>
    <x v="2"/>
    <s v="Red"/>
    <x v="2"/>
    <n v="1"/>
    <s v="Yes"/>
    <x v="3"/>
    <s v="No"/>
    <n v="0"/>
    <x v="1"/>
    <s v="Monthly"/>
    <n v="0.1"/>
    <n v="147.321"/>
    <n v="163.69"/>
    <s v="Cash"/>
    <s v="Normal"/>
    <s v="Poor"/>
  </r>
  <r>
    <n v="4036"/>
    <n v="41"/>
    <x v="0"/>
    <x v="28"/>
    <x v="3"/>
    <n v="0"/>
    <x v="50"/>
    <x v="2"/>
    <s v="Black"/>
    <x v="2"/>
    <n v="5"/>
    <s v="No"/>
    <x v="3"/>
    <s v="No"/>
    <n v="48"/>
    <x v="1"/>
    <s v="Quarterly"/>
    <n v="0.1"/>
    <n v="0"/>
    <n v="0"/>
    <s v="Cash"/>
    <s v="Normal"/>
    <s v="Good"/>
  </r>
  <r>
    <n v="4037"/>
    <n v="23"/>
    <x v="1"/>
    <x v="29"/>
    <x v="4"/>
    <n v="109.58"/>
    <x v="53"/>
    <x v="2"/>
    <s v="Black"/>
    <x v="2"/>
    <n v="1"/>
    <s v="Yes"/>
    <x v="3"/>
    <s v="No"/>
    <n v="0"/>
    <x v="3"/>
    <s v="Weekly"/>
    <n v="0.1"/>
    <n v="98.622"/>
    <n v="109.58"/>
    <s v="PayPal"/>
    <s v="Normal"/>
    <s v="Poor"/>
  </r>
  <r>
    <n v="4038"/>
    <n v="45"/>
    <x v="1"/>
    <x v="27"/>
    <x v="3"/>
    <n v="0"/>
    <x v="52"/>
    <x v="0"/>
    <s v="Black"/>
    <x v="4"/>
    <n v="1"/>
    <s v="No"/>
    <x v="0"/>
    <s v="No"/>
    <n v="14"/>
    <x v="3"/>
    <s v="Monthly"/>
    <n v="0.1"/>
    <n v="0"/>
    <n v="0"/>
    <s v="PayPal"/>
    <s v="Normal"/>
    <s v="Poor"/>
  </r>
  <r>
    <n v="4039"/>
    <n v="35"/>
    <x v="1"/>
    <x v="27"/>
    <x v="4"/>
    <n v="0"/>
    <x v="51"/>
    <x v="2"/>
    <s v="Green"/>
    <x v="1"/>
    <n v="3"/>
    <s v="Yes"/>
    <x v="0"/>
    <s v="Yes"/>
    <n v="24"/>
    <x v="1"/>
    <s v="Monthly"/>
    <n v="0.1"/>
    <n v="0"/>
    <n v="0"/>
    <s v="Cash"/>
    <s v="Normal"/>
    <s v="Good"/>
  </r>
  <r>
    <n v="4040"/>
    <n v="43"/>
    <x v="0"/>
    <x v="25"/>
    <x v="3"/>
    <n v="0"/>
    <x v="52"/>
    <x v="1"/>
    <s v="White"/>
    <x v="2"/>
    <n v="1"/>
    <s v="No"/>
    <x v="0"/>
    <s v="No"/>
    <n v="0"/>
    <x v="5"/>
    <s v="Weekly"/>
    <n v="0.1"/>
    <n v="0"/>
    <n v="0"/>
    <s v="Debit Card"/>
    <s v="Normal"/>
    <s v="Poor"/>
  </r>
  <r>
    <n v="4041"/>
    <n v="66"/>
    <x v="0"/>
    <x v="29"/>
    <x v="3"/>
    <n v="0"/>
    <x v="50"/>
    <x v="2"/>
    <s v="Red"/>
    <x v="4"/>
    <n v="3"/>
    <s v="No"/>
    <x v="3"/>
    <s v="No"/>
    <n v="0"/>
    <x v="3"/>
    <s v="Monthly"/>
    <n v="0.1"/>
    <n v="0"/>
    <n v="0"/>
    <s v="PayPal"/>
    <s v="Normal"/>
    <s v="Good"/>
  </r>
  <r>
    <n v="4042"/>
    <n v="21"/>
    <x v="2"/>
    <x v="25"/>
    <x v="3"/>
    <n v="1006.01"/>
    <x v="51"/>
    <x v="1"/>
    <s v="Green"/>
    <x v="0"/>
    <n v="1"/>
    <s v="No"/>
    <x v="3"/>
    <s v="Yes"/>
    <n v="50"/>
    <x v="5"/>
    <s v="Monthly"/>
    <n v="0.1"/>
    <n v="905.40899999999999"/>
    <n v="1006.01"/>
    <s v="Debit Card"/>
    <s v="Normal"/>
    <s v="Poor"/>
  </r>
  <r>
    <n v="4043"/>
    <n v="65"/>
    <x v="0"/>
    <x v="26"/>
    <x v="4"/>
    <n v="196.43"/>
    <x v="51"/>
    <x v="2"/>
    <s v="Blue"/>
    <x v="2"/>
    <n v="1"/>
    <s v="No"/>
    <x v="3"/>
    <s v="Yes"/>
    <n v="0"/>
    <x v="5"/>
    <s v="Quarterly"/>
    <n v="0.1"/>
    <n v="176.78700000000001"/>
    <n v="196.43"/>
    <s v="Debit Card"/>
    <s v="Normal"/>
    <s v="Poor"/>
  </r>
  <r>
    <n v="4044"/>
    <n v="40"/>
    <x v="2"/>
    <x v="25"/>
    <x v="0"/>
    <n v="0"/>
    <x v="50"/>
    <x v="3"/>
    <s v="White"/>
    <x v="2"/>
    <n v="1"/>
    <s v="No"/>
    <x v="3"/>
    <s v="Yes"/>
    <n v="0"/>
    <x v="1"/>
    <s v="Quarterly"/>
    <n v="0.1"/>
    <n v="0"/>
    <n v="0"/>
    <s v="Cash"/>
    <s v="Normal"/>
    <s v="Poor"/>
  </r>
  <r>
    <n v="4045"/>
    <n v="52"/>
    <x v="1"/>
    <x v="9"/>
    <x v="3"/>
    <n v="1421.74"/>
    <x v="53"/>
    <x v="0"/>
    <s v="White"/>
    <x v="4"/>
    <n v="1"/>
    <s v="No"/>
    <x v="3"/>
    <s v="Yes"/>
    <n v="0"/>
    <x v="1"/>
    <s v="Weekly"/>
    <n v="0.1"/>
    <n v="1279.566"/>
    <n v="1421.74"/>
    <s v="Cash"/>
    <s v="Normal"/>
    <s v="Poor"/>
  </r>
  <r>
    <n v="4046"/>
    <n v="57"/>
    <x v="1"/>
    <x v="26"/>
    <x v="0"/>
    <n v="216.55"/>
    <x v="50"/>
    <x v="3"/>
    <s v="Black"/>
    <x v="0"/>
    <n v="4"/>
    <s v="Yes"/>
    <x v="0"/>
    <s v="Yes"/>
    <n v="21"/>
    <x v="5"/>
    <s v="Weekly"/>
    <n v="0.1"/>
    <n v="194.89500000000001"/>
    <n v="216.55"/>
    <s v="Debit Card"/>
    <s v="Normal"/>
    <s v="Good"/>
  </r>
  <r>
    <n v="4047"/>
    <n v="49"/>
    <x v="0"/>
    <x v="27"/>
    <x v="4"/>
    <n v="0"/>
    <x v="50"/>
    <x v="2"/>
    <s v="White"/>
    <x v="2"/>
    <n v="5"/>
    <s v="Yes"/>
    <x v="3"/>
    <s v="No"/>
    <n v="0"/>
    <x v="1"/>
    <s v="Weekly"/>
    <n v="0.1"/>
    <n v="0"/>
    <n v="0"/>
    <s v="Cash"/>
    <s v="Normal"/>
    <s v="Good"/>
  </r>
  <r>
    <n v="4048"/>
    <n v="30"/>
    <x v="2"/>
    <x v="26"/>
    <x v="4"/>
    <n v="0"/>
    <x v="51"/>
    <x v="2"/>
    <s v="Green"/>
    <x v="2"/>
    <n v="1"/>
    <s v="No"/>
    <x v="3"/>
    <s v="Yes"/>
    <n v="6"/>
    <x v="3"/>
    <s v="Quarterly"/>
    <n v="0.1"/>
    <n v="0"/>
    <n v="0"/>
    <s v="PayPal"/>
    <s v="Normal"/>
    <s v="Poor"/>
  </r>
  <r>
    <n v="4049"/>
    <n v="35"/>
    <x v="1"/>
    <x v="25"/>
    <x v="3"/>
    <n v="288.11"/>
    <x v="52"/>
    <x v="2"/>
    <s v="Black"/>
    <x v="1"/>
    <n v="1"/>
    <s v="No"/>
    <x v="0"/>
    <s v="No"/>
    <n v="1"/>
    <x v="3"/>
    <s v="Quarterly"/>
    <n v="0.1"/>
    <n v="259.29900000000004"/>
    <n v="288.11"/>
    <s v="PayPal"/>
    <s v="Normal"/>
    <s v="Poor"/>
  </r>
  <r>
    <n v="4050"/>
    <n v="47"/>
    <x v="2"/>
    <x v="25"/>
    <x v="4"/>
    <n v="1409.36"/>
    <x v="51"/>
    <x v="2"/>
    <s v="Blue"/>
    <x v="2"/>
    <n v="4"/>
    <s v="No"/>
    <x v="3"/>
    <s v="Yes"/>
    <n v="0"/>
    <x v="2"/>
    <s v="Quarterly"/>
    <n v="0.1"/>
    <n v="1268.424"/>
    <n v="1409.36"/>
    <s v="Credit Card"/>
    <s v="Best Customer"/>
    <s v="Good"/>
  </r>
  <r>
    <n v="4051"/>
    <n v="65"/>
    <x v="0"/>
    <x v="27"/>
    <x v="0"/>
    <n v="0"/>
    <x v="51"/>
    <x v="2"/>
    <s v="Blue"/>
    <x v="4"/>
    <n v="1"/>
    <s v="No"/>
    <x v="0"/>
    <s v="No"/>
    <n v="49"/>
    <x v="1"/>
    <s v="Monthly"/>
    <n v="0.1"/>
    <n v="0"/>
    <n v="0"/>
    <s v="Cash"/>
    <s v="Normal"/>
    <s v="Poor"/>
  </r>
  <r>
    <n v="4052"/>
    <n v="47"/>
    <x v="1"/>
    <x v="26"/>
    <x v="4"/>
    <n v="0"/>
    <x v="14"/>
    <x v="2"/>
    <s v="White"/>
    <x v="0"/>
    <n v="2"/>
    <s v="Yes"/>
    <x v="3"/>
    <s v="Yes"/>
    <n v="0"/>
    <x v="5"/>
    <s v="Monthly"/>
    <n v="0.1"/>
    <n v="0"/>
    <n v="0"/>
    <s v="Debit Card"/>
    <s v="Normal"/>
    <s v="Poor"/>
  </r>
  <r>
    <n v="4053"/>
    <n v="54"/>
    <x v="1"/>
    <x v="9"/>
    <x v="4"/>
    <n v="370.41"/>
    <x v="52"/>
    <x v="2"/>
    <s v="Blue"/>
    <x v="2"/>
    <n v="1"/>
    <s v="Yes"/>
    <x v="3"/>
    <s v="No"/>
    <n v="9"/>
    <x v="5"/>
    <s v="Weekly"/>
    <n v="0.1"/>
    <n v="333.36900000000003"/>
    <n v="370.41"/>
    <s v="Debit Card"/>
    <s v="Normal"/>
    <s v="Poor"/>
  </r>
  <r>
    <n v="4054"/>
    <n v="63"/>
    <x v="1"/>
    <x v="29"/>
    <x v="0"/>
    <n v="0"/>
    <x v="50"/>
    <x v="1"/>
    <s v="Red"/>
    <x v="1"/>
    <n v="4"/>
    <s v="Yes"/>
    <x v="3"/>
    <s v="Yes"/>
    <n v="0"/>
    <x v="3"/>
    <s v="Monthly"/>
    <n v="0.1"/>
    <n v="0"/>
    <n v="0"/>
    <s v="PayPal"/>
    <s v="Normal"/>
    <s v="Good"/>
  </r>
  <r>
    <n v="4055"/>
    <n v="21"/>
    <x v="2"/>
    <x v="25"/>
    <x v="3"/>
    <n v="1493.56"/>
    <x v="14"/>
    <x v="1"/>
    <s v="Green"/>
    <x v="4"/>
    <n v="1"/>
    <s v="No"/>
    <x v="0"/>
    <s v="Yes"/>
    <n v="9"/>
    <x v="2"/>
    <s v="Quarterly"/>
    <n v="0.1"/>
    <n v="1344.204"/>
    <n v="1493.56"/>
    <s v="Credit Card"/>
    <s v="Normal"/>
    <s v="Poor"/>
  </r>
  <r>
    <n v="4056"/>
    <n v="39"/>
    <x v="2"/>
    <x v="5"/>
    <x v="4"/>
    <n v="0"/>
    <x v="14"/>
    <x v="2"/>
    <s v="Green"/>
    <x v="0"/>
    <n v="1"/>
    <s v="Yes"/>
    <x v="0"/>
    <s v="Yes"/>
    <n v="0"/>
    <x v="1"/>
    <s v="Quarterly"/>
    <n v="0.1"/>
    <n v="0"/>
    <n v="0"/>
    <s v="Cash"/>
    <s v="Normal"/>
    <s v="Poor"/>
  </r>
  <r>
    <n v="4057"/>
    <n v="41"/>
    <x v="1"/>
    <x v="9"/>
    <x v="4"/>
    <n v="0"/>
    <x v="51"/>
    <x v="2"/>
    <s v="Black"/>
    <x v="0"/>
    <n v="1"/>
    <s v="No"/>
    <x v="3"/>
    <s v="Yes"/>
    <n v="10"/>
    <x v="2"/>
    <s v="Quarterly"/>
    <n v="0.1"/>
    <n v="0"/>
    <n v="0"/>
    <s v="Credit Card"/>
    <s v="Normal"/>
    <s v="Poor"/>
  </r>
  <r>
    <n v="4058"/>
    <n v="45"/>
    <x v="1"/>
    <x v="9"/>
    <x v="3"/>
    <n v="0"/>
    <x v="52"/>
    <x v="0"/>
    <s v="Red"/>
    <x v="0"/>
    <n v="1"/>
    <s v="Yes"/>
    <x v="3"/>
    <s v="No"/>
    <n v="35"/>
    <x v="2"/>
    <s v="Quarterly"/>
    <n v="0.1"/>
    <n v="0"/>
    <n v="0"/>
    <s v="Credit Card"/>
    <s v="Normal"/>
    <s v="Poor"/>
  </r>
  <r>
    <n v="4059"/>
    <n v="27"/>
    <x v="0"/>
    <x v="28"/>
    <x v="4"/>
    <n v="0"/>
    <x v="52"/>
    <x v="2"/>
    <s v="White"/>
    <x v="4"/>
    <n v="1"/>
    <s v="Yes"/>
    <x v="3"/>
    <s v="Yes"/>
    <n v="36"/>
    <x v="3"/>
    <s v="Quarterly"/>
    <n v="0.1"/>
    <n v="0"/>
    <n v="0"/>
    <s v="PayPal"/>
    <s v="Normal"/>
    <s v="Poor"/>
  </r>
  <r>
    <n v="4060"/>
    <n v="25"/>
    <x v="1"/>
    <x v="28"/>
    <x v="4"/>
    <n v="0"/>
    <x v="53"/>
    <x v="2"/>
    <s v="White"/>
    <x v="4"/>
    <n v="1"/>
    <s v="No"/>
    <x v="3"/>
    <s v="No"/>
    <n v="0"/>
    <x v="2"/>
    <s v="Quarterly"/>
    <n v="0.1"/>
    <n v="0"/>
    <n v="0"/>
    <s v="Credit Card"/>
    <s v="Normal"/>
    <s v="Poor"/>
  </r>
  <r>
    <n v="4061"/>
    <n v="29"/>
    <x v="0"/>
    <x v="27"/>
    <x v="3"/>
    <n v="1036.05"/>
    <x v="14"/>
    <x v="1"/>
    <s v="Blue"/>
    <x v="4"/>
    <n v="2"/>
    <s v="No"/>
    <x v="0"/>
    <s v="Yes"/>
    <n v="30"/>
    <x v="2"/>
    <s v="Monthly"/>
    <n v="0.1"/>
    <n v="932.44499999999994"/>
    <n v="1036.05"/>
    <s v="Credit Card"/>
    <s v="Normal"/>
    <s v="Poor"/>
  </r>
  <r>
    <n v="4062"/>
    <n v="20"/>
    <x v="2"/>
    <x v="25"/>
    <x v="4"/>
    <n v="0"/>
    <x v="50"/>
    <x v="2"/>
    <s v="Red"/>
    <x v="0"/>
    <n v="1"/>
    <s v="Yes"/>
    <x v="0"/>
    <s v="Yes"/>
    <n v="0"/>
    <x v="3"/>
    <s v="Quarterly"/>
    <n v="0.1"/>
    <n v="0"/>
    <n v="0"/>
    <s v="PayPal"/>
    <s v="Normal"/>
    <s v="Poor"/>
  </r>
  <r>
    <n v="4063"/>
    <n v="54"/>
    <x v="1"/>
    <x v="26"/>
    <x v="3"/>
    <n v="134.5"/>
    <x v="52"/>
    <x v="1"/>
    <s v="Red"/>
    <x v="4"/>
    <n v="1"/>
    <s v="No"/>
    <x v="0"/>
    <s v="Yes"/>
    <n v="0"/>
    <x v="5"/>
    <s v="Quarterly"/>
    <n v="0.1"/>
    <n v="121.05"/>
    <n v="134.5"/>
    <s v="Debit Card"/>
    <s v="Normal"/>
    <s v="Poor"/>
  </r>
  <r>
    <n v="4064"/>
    <n v="64"/>
    <x v="1"/>
    <x v="9"/>
    <x v="3"/>
    <n v="196.05"/>
    <x v="14"/>
    <x v="1"/>
    <s v="Green"/>
    <x v="0"/>
    <n v="1"/>
    <s v="Yes"/>
    <x v="0"/>
    <s v="Yes"/>
    <n v="13"/>
    <x v="1"/>
    <s v="Monthly"/>
    <n v="0.1"/>
    <n v="176.44499999999999"/>
    <n v="196.05"/>
    <s v="Cash"/>
    <s v="Normal"/>
    <s v="Poor"/>
  </r>
  <r>
    <n v="4065"/>
    <n v="23"/>
    <x v="0"/>
    <x v="26"/>
    <x v="3"/>
    <n v="0"/>
    <x v="50"/>
    <x v="0"/>
    <s v="Blue"/>
    <x v="4"/>
    <n v="1"/>
    <s v="Yes"/>
    <x v="3"/>
    <s v="Yes"/>
    <n v="0"/>
    <x v="5"/>
    <s v="Quarterly"/>
    <n v="0.1"/>
    <n v="0"/>
    <n v="0"/>
    <s v="Debit Card"/>
    <s v="Normal"/>
    <s v="Poor"/>
  </r>
  <r>
    <n v="4066"/>
    <n v="42"/>
    <x v="2"/>
    <x v="9"/>
    <x v="3"/>
    <n v="0"/>
    <x v="50"/>
    <x v="1"/>
    <s v="Red"/>
    <x v="2"/>
    <n v="2"/>
    <s v="No"/>
    <x v="3"/>
    <s v="Yes"/>
    <n v="19"/>
    <x v="2"/>
    <s v="Monthly"/>
    <n v="0.1"/>
    <n v="0"/>
    <n v="0"/>
    <s v="Credit Card"/>
    <s v="Normal"/>
    <s v="Poor"/>
  </r>
  <r>
    <n v="4067"/>
    <n v="28"/>
    <x v="2"/>
    <x v="25"/>
    <x v="0"/>
    <n v="1028.71"/>
    <x v="51"/>
    <x v="1"/>
    <s v="Green"/>
    <x v="2"/>
    <n v="1"/>
    <s v="No"/>
    <x v="3"/>
    <s v="Yes"/>
    <n v="36"/>
    <x v="5"/>
    <s v="Monthly"/>
    <n v="0.1"/>
    <n v="925.83900000000006"/>
    <n v="1028.71"/>
    <s v="Debit Card"/>
    <s v="Normal"/>
    <s v="Poor"/>
  </r>
  <r>
    <n v="4068"/>
    <n v="42"/>
    <x v="0"/>
    <x v="5"/>
    <x v="4"/>
    <n v="357.92"/>
    <x v="50"/>
    <x v="2"/>
    <s v="Green"/>
    <x v="0"/>
    <n v="1"/>
    <s v="No"/>
    <x v="3"/>
    <s v="Yes"/>
    <n v="0"/>
    <x v="1"/>
    <s v="Monthly"/>
    <n v="0.1"/>
    <n v="322.12800000000004"/>
    <n v="357.92"/>
    <s v="Cash"/>
    <s v="Normal"/>
    <s v="Poor"/>
  </r>
  <r>
    <n v="4069"/>
    <n v="68"/>
    <x v="2"/>
    <x v="5"/>
    <x v="0"/>
    <n v="0"/>
    <x v="51"/>
    <x v="3"/>
    <s v="Black"/>
    <x v="2"/>
    <n v="1"/>
    <s v="No"/>
    <x v="0"/>
    <s v="No"/>
    <n v="40"/>
    <x v="5"/>
    <s v="Quarterly"/>
    <n v="0.1"/>
    <n v="0"/>
    <n v="0"/>
    <s v="Debit Card"/>
    <s v="Normal"/>
    <s v="Poor"/>
  </r>
  <r>
    <n v="4070"/>
    <n v="58"/>
    <x v="1"/>
    <x v="27"/>
    <x v="4"/>
    <n v="939.3"/>
    <x v="51"/>
    <x v="2"/>
    <s v="Green"/>
    <x v="1"/>
    <n v="1"/>
    <s v="No"/>
    <x v="0"/>
    <s v="No"/>
    <n v="0"/>
    <x v="5"/>
    <s v="Weekly"/>
    <n v="0.1"/>
    <n v="845.36999999999989"/>
    <n v="939.3"/>
    <s v="Debit Card"/>
    <s v="Normal"/>
    <s v="Poor"/>
  </r>
  <r>
    <n v="4071"/>
    <n v="54"/>
    <x v="0"/>
    <x v="9"/>
    <x v="0"/>
    <n v="1357.03"/>
    <x v="50"/>
    <x v="3"/>
    <s v="Black"/>
    <x v="0"/>
    <n v="1"/>
    <s v="Yes"/>
    <x v="3"/>
    <s v="No"/>
    <n v="0"/>
    <x v="5"/>
    <s v="Quarterly"/>
    <n v="0.1"/>
    <n v="1221.327"/>
    <n v="1357.03"/>
    <s v="Debit Card"/>
    <s v="Normal"/>
    <s v="Poor"/>
  </r>
  <r>
    <n v="4072"/>
    <n v="63"/>
    <x v="0"/>
    <x v="9"/>
    <x v="0"/>
    <n v="0"/>
    <x v="51"/>
    <x v="1"/>
    <s v="Red"/>
    <x v="4"/>
    <n v="1"/>
    <s v="No"/>
    <x v="3"/>
    <s v="Yes"/>
    <n v="0"/>
    <x v="2"/>
    <s v="Quarterly"/>
    <n v="0.1"/>
    <n v="0"/>
    <n v="0"/>
    <s v="Credit Card"/>
    <s v="Normal"/>
    <s v="Poor"/>
  </r>
  <r>
    <n v="4073"/>
    <n v="47"/>
    <x v="0"/>
    <x v="27"/>
    <x v="0"/>
    <n v="0"/>
    <x v="51"/>
    <x v="0"/>
    <s v="Black"/>
    <x v="0"/>
    <n v="4"/>
    <s v="Yes"/>
    <x v="0"/>
    <s v="No"/>
    <n v="0"/>
    <x v="1"/>
    <s v="Weekly"/>
    <n v="0.1"/>
    <n v="0"/>
    <n v="0"/>
    <s v="Cash"/>
    <s v="Normal"/>
    <s v="Good"/>
  </r>
  <r>
    <n v="4074"/>
    <n v="61"/>
    <x v="1"/>
    <x v="28"/>
    <x v="4"/>
    <n v="316.20999999999998"/>
    <x v="51"/>
    <x v="2"/>
    <s v="Red"/>
    <x v="0"/>
    <n v="1"/>
    <s v="Yes"/>
    <x v="0"/>
    <s v="No"/>
    <n v="15"/>
    <x v="5"/>
    <s v="Monthly"/>
    <n v="0.1"/>
    <n v="284.589"/>
    <n v="316.20999999999998"/>
    <s v="Debit Card"/>
    <s v="Normal"/>
    <s v="Poor"/>
  </r>
  <r>
    <n v="4075"/>
    <n v="63"/>
    <x v="0"/>
    <x v="5"/>
    <x v="4"/>
    <n v="0"/>
    <x v="53"/>
    <x v="2"/>
    <s v="Blue"/>
    <x v="1"/>
    <n v="1"/>
    <s v="No"/>
    <x v="0"/>
    <s v="Yes"/>
    <n v="30"/>
    <x v="1"/>
    <s v="Quarterly"/>
    <n v="0.1"/>
    <n v="0"/>
    <n v="0"/>
    <s v="Cash"/>
    <s v="Normal"/>
    <s v="Poor"/>
  </r>
  <r>
    <n v="4076"/>
    <n v="57"/>
    <x v="2"/>
    <x v="27"/>
    <x v="0"/>
    <n v="0"/>
    <x v="50"/>
    <x v="2"/>
    <s v="White"/>
    <x v="2"/>
    <n v="2"/>
    <s v="No"/>
    <x v="0"/>
    <s v="No"/>
    <n v="38"/>
    <x v="2"/>
    <s v="Weekly"/>
    <n v="0.1"/>
    <n v="0"/>
    <n v="0"/>
    <s v="Credit Card"/>
    <s v="Normal"/>
    <s v="Poor"/>
  </r>
  <r>
    <n v="4077"/>
    <n v="33"/>
    <x v="0"/>
    <x v="9"/>
    <x v="0"/>
    <n v="0"/>
    <x v="14"/>
    <x v="0"/>
    <s v="Green"/>
    <x v="1"/>
    <n v="1"/>
    <s v="No"/>
    <x v="3"/>
    <s v="Yes"/>
    <n v="40"/>
    <x v="5"/>
    <s v="Weekly"/>
    <n v="0.1"/>
    <n v="0"/>
    <n v="0"/>
    <s v="Debit Card"/>
    <s v="Normal"/>
    <s v="Poor"/>
  </r>
  <r>
    <n v="4078"/>
    <n v="46"/>
    <x v="2"/>
    <x v="29"/>
    <x v="0"/>
    <n v="581.66"/>
    <x v="51"/>
    <x v="1"/>
    <s v="Black"/>
    <x v="2"/>
    <n v="1"/>
    <s v="No"/>
    <x v="3"/>
    <s v="Yes"/>
    <n v="0"/>
    <x v="3"/>
    <s v="Quarterly"/>
    <n v="0.1"/>
    <n v="523.49399999999991"/>
    <n v="581.66"/>
    <s v="PayPal"/>
    <s v="Normal"/>
    <s v="Poor"/>
  </r>
  <r>
    <n v="4079"/>
    <n v="28"/>
    <x v="0"/>
    <x v="9"/>
    <x v="4"/>
    <n v="1438.53"/>
    <x v="52"/>
    <x v="2"/>
    <s v="White"/>
    <x v="1"/>
    <n v="1"/>
    <s v="Yes"/>
    <x v="3"/>
    <s v="Yes"/>
    <n v="15"/>
    <x v="1"/>
    <s v="Monthly"/>
    <n v="0.1"/>
    <n v="1294.6769999999999"/>
    <n v="1438.53"/>
    <s v="Cash"/>
    <s v="Normal"/>
    <s v="Poor"/>
  </r>
  <r>
    <n v="4080"/>
    <n v="28"/>
    <x v="1"/>
    <x v="28"/>
    <x v="4"/>
    <n v="551.22"/>
    <x v="51"/>
    <x v="2"/>
    <s v="Blue"/>
    <x v="0"/>
    <n v="1"/>
    <s v="Yes"/>
    <x v="3"/>
    <s v="Yes"/>
    <n v="32"/>
    <x v="1"/>
    <s v="Monthly"/>
    <n v="0.1"/>
    <n v="496.09800000000001"/>
    <n v="551.22"/>
    <s v="Cash"/>
    <s v="Normal"/>
    <s v="Poor"/>
  </r>
  <r>
    <n v="4081"/>
    <n v="62"/>
    <x v="1"/>
    <x v="29"/>
    <x v="4"/>
    <n v="0"/>
    <x v="14"/>
    <x v="2"/>
    <s v="White"/>
    <x v="1"/>
    <n v="5"/>
    <s v="No"/>
    <x v="0"/>
    <s v="No"/>
    <n v="0"/>
    <x v="5"/>
    <s v="Quarterly"/>
    <n v="0.1"/>
    <n v="0"/>
    <n v="0"/>
    <s v="Debit Card"/>
    <s v="Normal"/>
    <s v="Good"/>
  </r>
  <r>
    <n v="4082"/>
    <n v="18"/>
    <x v="0"/>
    <x v="5"/>
    <x v="3"/>
    <n v="61.43"/>
    <x v="51"/>
    <x v="2"/>
    <s v="Black"/>
    <x v="0"/>
    <n v="1"/>
    <s v="Yes"/>
    <x v="0"/>
    <s v="Yes"/>
    <n v="10"/>
    <x v="2"/>
    <s v="Weekly"/>
    <n v="0.1"/>
    <n v="55.286999999999999"/>
    <n v="61.43"/>
    <s v="Credit Card"/>
    <s v="Normal"/>
    <s v="Poor"/>
  </r>
  <r>
    <n v="4083"/>
    <n v="31"/>
    <x v="2"/>
    <x v="29"/>
    <x v="3"/>
    <n v="0"/>
    <x v="14"/>
    <x v="1"/>
    <s v="Blue"/>
    <x v="0"/>
    <n v="1"/>
    <s v="Yes"/>
    <x v="0"/>
    <s v="No"/>
    <n v="23"/>
    <x v="3"/>
    <s v="Quarterly"/>
    <n v="0.1"/>
    <n v="0"/>
    <n v="0"/>
    <s v="PayPal"/>
    <s v="Normal"/>
    <s v="Poor"/>
  </r>
  <r>
    <n v="4084"/>
    <n v="60"/>
    <x v="2"/>
    <x v="25"/>
    <x v="0"/>
    <n v="1100.8"/>
    <x v="52"/>
    <x v="3"/>
    <s v="Blue"/>
    <x v="4"/>
    <n v="3"/>
    <s v="Yes"/>
    <x v="3"/>
    <s v="No"/>
    <n v="0"/>
    <x v="1"/>
    <s v="Quarterly"/>
    <n v="0.1"/>
    <n v="990.71999999999991"/>
    <n v="1100.8"/>
    <s v="Cash"/>
    <s v="Normal"/>
    <s v="Good"/>
  </r>
  <r>
    <n v="4085"/>
    <n v="67"/>
    <x v="1"/>
    <x v="9"/>
    <x v="4"/>
    <n v="70.87"/>
    <x v="52"/>
    <x v="2"/>
    <s v="Green"/>
    <x v="4"/>
    <n v="2"/>
    <s v="No"/>
    <x v="3"/>
    <s v="No"/>
    <n v="0"/>
    <x v="2"/>
    <s v="Weekly"/>
    <n v="0.1"/>
    <n v="63.783000000000001"/>
    <n v="70.87"/>
    <s v="Credit Card"/>
    <s v="Normal"/>
    <s v="Poor"/>
  </r>
  <r>
    <n v="4086"/>
    <n v="28"/>
    <x v="0"/>
    <x v="9"/>
    <x v="4"/>
    <n v="0"/>
    <x v="53"/>
    <x v="2"/>
    <s v="Red"/>
    <x v="0"/>
    <n v="4"/>
    <s v="Yes"/>
    <x v="0"/>
    <s v="Yes"/>
    <n v="0"/>
    <x v="3"/>
    <s v="Quarterly"/>
    <n v="0.1"/>
    <n v="0"/>
    <n v="0"/>
    <s v="PayPal"/>
    <s v="Normal"/>
    <s v="Good"/>
  </r>
  <r>
    <n v="4087"/>
    <n v="22"/>
    <x v="1"/>
    <x v="28"/>
    <x v="3"/>
    <n v="0"/>
    <x v="14"/>
    <x v="2"/>
    <s v="Green"/>
    <x v="2"/>
    <n v="2"/>
    <s v="No"/>
    <x v="3"/>
    <s v="No"/>
    <n v="12"/>
    <x v="2"/>
    <s v="Weekly"/>
    <n v="0.1"/>
    <n v="0"/>
    <n v="0"/>
    <s v="Credit Card"/>
    <s v="Normal"/>
    <s v="Poor"/>
  </r>
  <r>
    <n v="4088"/>
    <n v="49"/>
    <x v="1"/>
    <x v="29"/>
    <x v="4"/>
    <n v="0"/>
    <x v="52"/>
    <x v="2"/>
    <s v="Blue"/>
    <x v="1"/>
    <n v="1"/>
    <s v="No"/>
    <x v="0"/>
    <s v="No"/>
    <n v="37"/>
    <x v="5"/>
    <s v="Weekly"/>
    <n v="0.1"/>
    <n v="0"/>
    <n v="0"/>
    <s v="Debit Card"/>
    <s v="Normal"/>
    <s v="Poor"/>
  </r>
  <r>
    <n v="4089"/>
    <n v="32"/>
    <x v="0"/>
    <x v="5"/>
    <x v="3"/>
    <n v="191.75"/>
    <x v="52"/>
    <x v="1"/>
    <s v="Blue"/>
    <x v="1"/>
    <n v="1"/>
    <s v="No"/>
    <x v="3"/>
    <s v="Yes"/>
    <n v="25"/>
    <x v="5"/>
    <s v="Weekly"/>
    <n v="0.1"/>
    <n v="172.57499999999999"/>
    <n v="191.75"/>
    <s v="Debit Card"/>
    <s v="Normal"/>
    <s v="Poor"/>
  </r>
  <r>
    <n v="4090"/>
    <n v="54"/>
    <x v="1"/>
    <x v="9"/>
    <x v="0"/>
    <n v="0"/>
    <x v="50"/>
    <x v="3"/>
    <s v="Black"/>
    <x v="2"/>
    <n v="1"/>
    <s v="Yes"/>
    <x v="3"/>
    <s v="Yes"/>
    <n v="0"/>
    <x v="2"/>
    <s v="Monthly"/>
    <n v="0.1"/>
    <n v="0"/>
    <n v="0"/>
    <s v="Credit Card"/>
    <s v="Normal"/>
    <s v="Poor"/>
  </r>
  <r>
    <n v="4091"/>
    <n v="44"/>
    <x v="2"/>
    <x v="28"/>
    <x v="0"/>
    <n v="517.70000000000005"/>
    <x v="53"/>
    <x v="1"/>
    <s v="Red"/>
    <x v="1"/>
    <n v="1"/>
    <s v="Yes"/>
    <x v="3"/>
    <s v="No"/>
    <n v="0"/>
    <x v="2"/>
    <s v="Quarterly"/>
    <n v="0.1"/>
    <n v="465.93000000000006"/>
    <n v="517.70000000000005"/>
    <s v="Credit Card"/>
    <s v="Normal"/>
    <s v="Poor"/>
  </r>
  <r>
    <n v="4092"/>
    <n v="55"/>
    <x v="2"/>
    <x v="28"/>
    <x v="3"/>
    <n v="0"/>
    <x v="50"/>
    <x v="1"/>
    <s v="Red"/>
    <x v="4"/>
    <n v="4"/>
    <s v="No"/>
    <x v="0"/>
    <s v="Yes"/>
    <n v="33"/>
    <x v="5"/>
    <s v="Monthly"/>
    <n v="0.1"/>
    <n v="0"/>
    <n v="0"/>
    <s v="Debit Card"/>
    <s v="Normal"/>
    <s v="Good"/>
  </r>
  <r>
    <n v="4093"/>
    <n v="64"/>
    <x v="1"/>
    <x v="29"/>
    <x v="0"/>
    <n v="0"/>
    <x v="51"/>
    <x v="3"/>
    <s v="Red"/>
    <x v="1"/>
    <n v="2"/>
    <s v="Yes"/>
    <x v="3"/>
    <s v="No"/>
    <n v="0"/>
    <x v="3"/>
    <s v="Quarterly"/>
    <n v="0.1"/>
    <n v="0"/>
    <n v="0"/>
    <s v="PayPal"/>
    <s v="Normal"/>
    <s v="Poor"/>
  </r>
  <r>
    <n v="4094"/>
    <n v="36"/>
    <x v="1"/>
    <x v="27"/>
    <x v="4"/>
    <n v="630.4"/>
    <x v="53"/>
    <x v="2"/>
    <s v="White"/>
    <x v="1"/>
    <n v="5"/>
    <s v="No"/>
    <x v="0"/>
    <s v="No"/>
    <n v="34"/>
    <x v="3"/>
    <s v="Weekly"/>
    <n v="0.1"/>
    <n v="567.36"/>
    <n v="630.4"/>
    <s v="PayPal"/>
    <s v="Normal"/>
    <s v="Good"/>
  </r>
  <r>
    <n v="4095"/>
    <n v="65"/>
    <x v="0"/>
    <x v="29"/>
    <x v="3"/>
    <n v="0"/>
    <x v="14"/>
    <x v="2"/>
    <s v="Black"/>
    <x v="0"/>
    <n v="1"/>
    <s v="No"/>
    <x v="0"/>
    <s v="Yes"/>
    <n v="0"/>
    <x v="3"/>
    <s v="Weekly"/>
    <n v="0.1"/>
    <n v="0"/>
    <n v="0"/>
    <s v="PayPal"/>
    <s v="Normal"/>
    <s v="Poor"/>
  </r>
  <r>
    <n v="4096"/>
    <n v="66"/>
    <x v="0"/>
    <x v="9"/>
    <x v="4"/>
    <n v="756.85"/>
    <x v="52"/>
    <x v="2"/>
    <s v="Black"/>
    <x v="4"/>
    <n v="1"/>
    <s v="Yes"/>
    <x v="3"/>
    <s v="Yes"/>
    <n v="40"/>
    <x v="1"/>
    <s v="Weekly"/>
    <n v="0.1"/>
    <n v="681.16499999999996"/>
    <n v="756.85"/>
    <s v="Cash"/>
    <s v="Normal"/>
    <s v="Poor"/>
  </r>
  <r>
    <n v="4097"/>
    <n v="29"/>
    <x v="1"/>
    <x v="29"/>
    <x v="3"/>
    <n v="0"/>
    <x v="51"/>
    <x v="1"/>
    <s v="Black"/>
    <x v="2"/>
    <n v="3"/>
    <s v="Yes"/>
    <x v="0"/>
    <s v="Yes"/>
    <n v="18"/>
    <x v="5"/>
    <s v="Monthly"/>
    <n v="0.1"/>
    <n v="0"/>
    <n v="0"/>
    <s v="Debit Card"/>
    <s v="Normal"/>
    <s v="Good"/>
  </r>
  <r>
    <n v="4098"/>
    <n v="60"/>
    <x v="0"/>
    <x v="9"/>
    <x v="4"/>
    <n v="575.16"/>
    <x v="50"/>
    <x v="2"/>
    <s v="Black"/>
    <x v="1"/>
    <n v="1"/>
    <s v="No"/>
    <x v="3"/>
    <s v="No"/>
    <n v="0"/>
    <x v="5"/>
    <s v="Quarterly"/>
    <n v="0.1"/>
    <n v="517.64400000000001"/>
    <n v="575.16"/>
    <s v="Debit Card"/>
    <s v="Normal"/>
    <s v="Poor"/>
  </r>
  <r>
    <n v="4099"/>
    <n v="66"/>
    <x v="2"/>
    <x v="28"/>
    <x v="0"/>
    <n v="843.15"/>
    <x v="51"/>
    <x v="1"/>
    <s v="Black"/>
    <x v="1"/>
    <n v="5"/>
    <s v="No"/>
    <x v="3"/>
    <s v="Yes"/>
    <n v="8"/>
    <x v="3"/>
    <s v="Weekly"/>
    <n v="0.1"/>
    <n v="758.83500000000004"/>
    <n v="843.15"/>
    <s v="PayPal"/>
    <s v="Normal"/>
    <s v="Good"/>
  </r>
  <r>
    <n v="4100"/>
    <n v="52"/>
    <x v="2"/>
    <x v="9"/>
    <x v="4"/>
    <n v="1095.73"/>
    <x v="14"/>
    <x v="2"/>
    <s v="Green"/>
    <x v="4"/>
    <n v="5"/>
    <s v="No"/>
    <x v="0"/>
    <s v="Yes"/>
    <n v="16"/>
    <x v="1"/>
    <s v="Quarterly"/>
    <n v="0.1"/>
    <n v="986.15700000000004"/>
    <n v="1095.73"/>
    <s v="Cash"/>
    <s v="Best Customer"/>
    <s v="Good"/>
  </r>
  <r>
    <n v="4101"/>
    <n v="22"/>
    <x v="0"/>
    <x v="28"/>
    <x v="0"/>
    <n v="125.59"/>
    <x v="53"/>
    <x v="3"/>
    <s v="Blue"/>
    <x v="1"/>
    <n v="1"/>
    <s v="Yes"/>
    <x v="3"/>
    <s v="Yes"/>
    <n v="0"/>
    <x v="1"/>
    <s v="Weekly"/>
    <n v="0.1"/>
    <n v="113.03100000000001"/>
    <n v="125.59"/>
    <s v="Cash"/>
    <s v="Normal"/>
    <s v="Poor"/>
  </r>
  <r>
    <n v="4102"/>
    <n v="32"/>
    <x v="0"/>
    <x v="29"/>
    <x v="4"/>
    <n v="129.57"/>
    <x v="51"/>
    <x v="2"/>
    <s v="Green"/>
    <x v="2"/>
    <n v="3"/>
    <s v="No"/>
    <x v="3"/>
    <s v="Yes"/>
    <n v="2"/>
    <x v="5"/>
    <s v="Quarterly"/>
    <n v="0.1"/>
    <n v="116.613"/>
    <n v="129.57"/>
    <s v="Debit Card"/>
    <s v="Normal"/>
    <s v="Good"/>
  </r>
  <r>
    <n v="4103"/>
    <n v="63"/>
    <x v="1"/>
    <x v="28"/>
    <x v="4"/>
    <n v="1264.71"/>
    <x v="52"/>
    <x v="2"/>
    <s v="Green"/>
    <x v="2"/>
    <n v="1"/>
    <s v="Yes"/>
    <x v="3"/>
    <s v="Yes"/>
    <n v="0"/>
    <x v="2"/>
    <s v="Quarterly"/>
    <n v="0.1"/>
    <n v="1138.239"/>
    <n v="1264.71"/>
    <s v="Credit Card"/>
    <s v="Normal"/>
    <s v="Poor"/>
  </r>
  <r>
    <n v="4104"/>
    <n v="55"/>
    <x v="2"/>
    <x v="27"/>
    <x v="3"/>
    <n v="0"/>
    <x v="50"/>
    <x v="1"/>
    <s v="Red"/>
    <x v="2"/>
    <n v="1"/>
    <s v="No"/>
    <x v="3"/>
    <s v="No"/>
    <n v="0"/>
    <x v="5"/>
    <s v="Monthly"/>
    <n v="0.1"/>
    <n v="0"/>
    <n v="0"/>
    <s v="Debit Card"/>
    <s v="Normal"/>
    <s v="Poor"/>
  </r>
  <r>
    <n v="4105"/>
    <n v="44"/>
    <x v="0"/>
    <x v="5"/>
    <x v="3"/>
    <n v="580.6"/>
    <x v="53"/>
    <x v="0"/>
    <s v="Green"/>
    <x v="1"/>
    <n v="1"/>
    <s v="Yes"/>
    <x v="0"/>
    <s v="Yes"/>
    <n v="0"/>
    <x v="3"/>
    <s v="Weekly"/>
    <n v="0.1"/>
    <n v="522.54"/>
    <n v="580.6"/>
    <s v="PayPal"/>
    <s v="Normal"/>
    <s v="Poor"/>
  </r>
  <r>
    <n v="4106"/>
    <n v="40"/>
    <x v="2"/>
    <x v="28"/>
    <x v="3"/>
    <n v="0"/>
    <x v="50"/>
    <x v="2"/>
    <s v="Green"/>
    <x v="4"/>
    <n v="2"/>
    <s v="No"/>
    <x v="0"/>
    <s v="Yes"/>
    <n v="16"/>
    <x v="3"/>
    <s v="Weekly"/>
    <n v="0.1"/>
    <n v="0"/>
    <n v="0"/>
    <s v="PayPal"/>
    <s v="Normal"/>
    <s v="Poor"/>
  </r>
  <r>
    <n v="4107"/>
    <n v="48"/>
    <x v="0"/>
    <x v="28"/>
    <x v="4"/>
    <n v="236.32"/>
    <x v="53"/>
    <x v="2"/>
    <s v="Red"/>
    <x v="1"/>
    <n v="1"/>
    <s v="Yes"/>
    <x v="0"/>
    <s v="No"/>
    <n v="0"/>
    <x v="5"/>
    <s v="Monthly"/>
    <n v="0.1"/>
    <n v="212.68799999999999"/>
    <n v="236.32"/>
    <s v="Debit Card"/>
    <s v="Normal"/>
    <s v="Poor"/>
  </r>
  <r>
    <n v="4108"/>
    <n v="21"/>
    <x v="0"/>
    <x v="26"/>
    <x v="0"/>
    <n v="1410.28"/>
    <x v="52"/>
    <x v="2"/>
    <s v="White"/>
    <x v="1"/>
    <n v="1"/>
    <s v="No"/>
    <x v="0"/>
    <s v="Yes"/>
    <n v="0"/>
    <x v="2"/>
    <s v="Quarterly"/>
    <n v="0.1"/>
    <n v="1269.252"/>
    <n v="1410.28"/>
    <s v="Credit Card"/>
    <s v="Normal"/>
    <s v="Poor"/>
  </r>
  <r>
    <n v="4109"/>
    <n v="64"/>
    <x v="1"/>
    <x v="28"/>
    <x v="4"/>
    <n v="0"/>
    <x v="14"/>
    <x v="2"/>
    <s v="White"/>
    <x v="0"/>
    <n v="1"/>
    <s v="No"/>
    <x v="0"/>
    <s v="Yes"/>
    <n v="0"/>
    <x v="5"/>
    <s v="Monthly"/>
    <n v="0.1"/>
    <n v="0"/>
    <n v="0"/>
    <s v="Debit Card"/>
    <s v="Normal"/>
    <s v="Poor"/>
  </r>
  <r>
    <n v="4110"/>
    <n v="27"/>
    <x v="2"/>
    <x v="28"/>
    <x v="4"/>
    <n v="0"/>
    <x v="51"/>
    <x v="2"/>
    <s v="White"/>
    <x v="1"/>
    <n v="1"/>
    <s v="No"/>
    <x v="3"/>
    <s v="No"/>
    <n v="0"/>
    <x v="5"/>
    <s v="Monthly"/>
    <n v="0.1"/>
    <n v="0"/>
    <n v="0"/>
    <s v="Debit Card"/>
    <s v="Normal"/>
    <s v="Poor"/>
  </r>
  <r>
    <n v="4111"/>
    <n v="49"/>
    <x v="0"/>
    <x v="26"/>
    <x v="0"/>
    <n v="0"/>
    <x v="53"/>
    <x v="2"/>
    <s v="Black"/>
    <x v="2"/>
    <n v="1"/>
    <s v="No"/>
    <x v="0"/>
    <s v="No"/>
    <n v="0"/>
    <x v="3"/>
    <s v="Weekly"/>
    <n v="0.1"/>
    <n v="0"/>
    <n v="0"/>
    <s v="PayPal"/>
    <s v="Normal"/>
    <s v="Poor"/>
  </r>
  <r>
    <n v="4112"/>
    <n v="51"/>
    <x v="1"/>
    <x v="25"/>
    <x v="4"/>
    <n v="1232"/>
    <x v="50"/>
    <x v="2"/>
    <s v="Blue"/>
    <x v="0"/>
    <n v="1"/>
    <s v="Yes"/>
    <x v="0"/>
    <s v="No"/>
    <n v="0"/>
    <x v="5"/>
    <s v="Monthly"/>
    <n v="0.1"/>
    <n v="1108.8"/>
    <n v="1232"/>
    <s v="Debit Card"/>
    <s v="Normal"/>
    <s v="Poor"/>
  </r>
  <r>
    <n v="4113"/>
    <n v="60"/>
    <x v="0"/>
    <x v="9"/>
    <x v="0"/>
    <n v="1448.13"/>
    <x v="50"/>
    <x v="1"/>
    <s v="Blue"/>
    <x v="4"/>
    <n v="5"/>
    <s v="No"/>
    <x v="3"/>
    <s v="No"/>
    <n v="0"/>
    <x v="1"/>
    <s v="Monthly"/>
    <n v="0.1"/>
    <n v="1303.317"/>
    <n v="1448.13"/>
    <s v="Cash"/>
    <s v="Best Customer"/>
    <s v="Good"/>
  </r>
  <r>
    <n v="4114"/>
    <n v="58"/>
    <x v="2"/>
    <x v="9"/>
    <x v="3"/>
    <n v="1264.53"/>
    <x v="51"/>
    <x v="1"/>
    <s v="Red"/>
    <x v="0"/>
    <n v="1"/>
    <s v="Yes"/>
    <x v="3"/>
    <s v="Yes"/>
    <n v="0"/>
    <x v="1"/>
    <s v="Quarterly"/>
    <n v="0.1"/>
    <n v="1138.077"/>
    <n v="1264.53"/>
    <s v="Cash"/>
    <s v="Normal"/>
    <s v="Poor"/>
  </r>
  <r>
    <n v="4115"/>
    <n v="69"/>
    <x v="2"/>
    <x v="5"/>
    <x v="0"/>
    <n v="0"/>
    <x v="51"/>
    <x v="2"/>
    <s v="Red"/>
    <x v="0"/>
    <n v="3"/>
    <s v="No"/>
    <x v="0"/>
    <s v="No"/>
    <n v="5"/>
    <x v="2"/>
    <s v="Weekly"/>
    <n v="0.1"/>
    <n v="0"/>
    <n v="0"/>
    <s v="Credit Card"/>
    <s v="Normal"/>
    <s v="Good"/>
  </r>
  <r>
    <n v="4116"/>
    <n v="52"/>
    <x v="0"/>
    <x v="28"/>
    <x v="3"/>
    <n v="0"/>
    <x v="51"/>
    <x v="0"/>
    <s v="Black"/>
    <x v="0"/>
    <n v="4"/>
    <s v="Yes"/>
    <x v="3"/>
    <s v="No"/>
    <n v="0"/>
    <x v="2"/>
    <s v="Quarterly"/>
    <n v="0.1"/>
    <n v="0"/>
    <n v="0"/>
    <s v="Credit Card"/>
    <s v="Normal"/>
    <s v="Good"/>
  </r>
  <r>
    <n v="4117"/>
    <n v="34"/>
    <x v="2"/>
    <x v="29"/>
    <x v="0"/>
    <n v="117.29"/>
    <x v="51"/>
    <x v="0"/>
    <s v="Black"/>
    <x v="1"/>
    <n v="1"/>
    <s v="Yes"/>
    <x v="3"/>
    <s v="No"/>
    <n v="0"/>
    <x v="1"/>
    <s v="Weekly"/>
    <n v="0.1"/>
    <n v="105.56100000000001"/>
    <n v="117.29"/>
    <s v="Cash"/>
    <s v="Normal"/>
    <s v="Poor"/>
  </r>
  <r>
    <n v="4118"/>
    <n v="18"/>
    <x v="2"/>
    <x v="5"/>
    <x v="3"/>
    <n v="0"/>
    <x v="50"/>
    <x v="1"/>
    <s v="Black"/>
    <x v="2"/>
    <n v="3"/>
    <s v="Yes"/>
    <x v="3"/>
    <s v="No"/>
    <n v="0"/>
    <x v="5"/>
    <s v="Quarterly"/>
    <n v="0.1"/>
    <n v="0"/>
    <n v="0"/>
    <s v="Debit Card"/>
    <s v="Normal"/>
    <s v="Good"/>
  </r>
  <r>
    <n v="4119"/>
    <n v="57"/>
    <x v="0"/>
    <x v="9"/>
    <x v="0"/>
    <n v="586.22"/>
    <x v="52"/>
    <x v="1"/>
    <s v="White"/>
    <x v="0"/>
    <n v="1"/>
    <s v="No"/>
    <x v="3"/>
    <s v="No"/>
    <n v="46"/>
    <x v="5"/>
    <s v="Quarterly"/>
    <n v="0.1"/>
    <n v="527.59800000000007"/>
    <n v="586.22"/>
    <s v="Debit Card"/>
    <s v="Normal"/>
    <s v="Poor"/>
  </r>
  <r>
    <n v="4120"/>
    <n v="65"/>
    <x v="2"/>
    <x v="28"/>
    <x v="0"/>
    <n v="0"/>
    <x v="52"/>
    <x v="1"/>
    <s v="Green"/>
    <x v="0"/>
    <n v="1"/>
    <s v="Yes"/>
    <x v="3"/>
    <s v="No"/>
    <n v="0"/>
    <x v="5"/>
    <s v="Monthly"/>
    <n v="0.1"/>
    <n v="0"/>
    <n v="0"/>
    <s v="Debit Card"/>
    <s v="Normal"/>
    <s v="Poor"/>
  </r>
  <r>
    <n v="4121"/>
    <n v="38"/>
    <x v="2"/>
    <x v="25"/>
    <x v="3"/>
    <n v="917.62"/>
    <x v="53"/>
    <x v="0"/>
    <s v="White"/>
    <x v="2"/>
    <n v="4"/>
    <s v="Yes"/>
    <x v="3"/>
    <s v="Yes"/>
    <n v="0"/>
    <x v="1"/>
    <s v="Monthly"/>
    <n v="0.1"/>
    <n v="825.85799999999995"/>
    <n v="917.62"/>
    <s v="Cash"/>
    <s v="Normal"/>
    <s v="Good"/>
  </r>
  <r>
    <n v="4122"/>
    <n v="44"/>
    <x v="2"/>
    <x v="29"/>
    <x v="3"/>
    <n v="307.64"/>
    <x v="50"/>
    <x v="1"/>
    <s v="Blue"/>
    <x v="0"/>
    <n v="1"/>
    <s v="Yes"/>
    <x v="0"/>
    <s v="No"/>
    <n v="32"/>
    <x v="3"/>
    <s v="Monthly"/>
    <n v="0.1"/>
    <n v="276.87599999999998"/>
    <n v="307.64"/>
    <s v="PayPal"/>
    <s v="Normal"/>
    <s v="Poor"/>
  </r>
  <r>
    <n v="4123"/>
    <n v="26"/>
    <x v="1"/>
    <x v="5"/>
    <x v="0"/>
    <n v="1131.2"/>
    <x v="14"/>
    <x v="3"/>
    <s v="White"/>
    <x v="2"/>
    <n v="2"/>
    <s v="No"/>
    <x v="3"/>
    <s v="Yes"/>
    <n v="0"/>
    <x v="2"/>
    <s v="Quarterly"/>
    <n v="0.1"/>
    <n v="1018.08"/>
    <n v="1131.2"/>
    <s v="Credit Card"/>
    <s v="Normal"/>
    <s v="Poor"/>
  </r>
  <r>
    <n v="4124"/>
    <n v="46"/>
    <x v="2"/>
    <x v="5"/>
    <x v="4"/>
    <n v="0"/>
    <x v="53"/>
    <x v="2"/>
    <s v="Red"/>
    <x v="0"/>
    <n v="1"/>
    <s v="No"/>
    <x v="0"/>
    <s v="Yes"/>
    <n v="0"/>
    <x v="2"/>
    <s v="Monthly"/>
    <n v="0.1"/>
    <n v="0"/>
    <n v="0"/>
    <s v="Credit Card"/>
    <s v="Normal"/>
    <s v="Poor"/>
  </r>
  <r>
    <n v="4125"/>
    <n v="20"/>
    <x v="2"/>
    <x v="25"/>
    <x v="4"/>
    <n v="543.92999999999995"/>
    <x v="50"/>
    <x v="2"/>
    <s v="Black"/>
    <x v="2"/>
    <n v="5"/>
    <s v="No"/>
    <x v="0"/>
    <s v="No"/>
    <n v="37"/>
    <x v="1"/>
    <s v="Weekly"/>
    <n v="0.1"/>
    <n v="489.53699999999992"/>
    <n v="543.92999999999995"/>
    <s v="Cash"/>
    <s v="Normal"/>
    <s v="Good"/>
  </r>
  <r>
    <n v="4126"/>
    <n v="49"/>
    <x v="1"/>
    <x v="9"/>
    <x v="0"/>
    <n v="0"/>
    <x v="14"/>
    <x v="3"/>
    <s v="Red"/>
    <x v="0"/>
    <n v="1"/>
    <s v="Yes"/>
    <x v="0"/>
    <s v="Yes"/>
    <n v="0"/>
    <x v="3"/>
    <s v="Monthly"/>
    <n v="0.1"/>
    <n v="0"/>
    <n v="0"/>
    <s v="PayPal"/>
    <s v="Normal"/>
    <s v="Poor"/>
  </r>
  <r>
    <n v="4127"/>
    <n v="38"/>
    <x v="2"/>
    <x v="25"/>
    <x v="4"/>
    <n v="1132.97"/>
    <x v="52"/>
    <x v="2"/>
    <s v="Blue"/>
    <x v="1"/>
    <n v="3"/>
    <s v="No"/>
    <x v="0"/>
    <s v="No"/>
    <n v="10"/>
    <x v="5"/>
    <s v="Monthly"/>
    <n v="0.1"/>
    <n v="1019.673"/>
    <n v="1132.97"/>
    <s v="Debit Card"/>
    <s v="Normal"/>
    <s v="Good"/>
  </r>
  <r>
    <n v="4128"/>
    <n v="41"/>
    <x v="1"/>
    <x v="9"/>
    <x v="4"/>
    <n v="0"/>
    <x v="53"/>
    <x v="2"/>
    <s v="Red"/>
    <x v="4"/>
    <n v="1"/>
    <s v="No"/>
    <x v="0"/>
    <s v="No"/>
    <n v="0"/>
    <x v="2"/>
    <s v="Monthly"/>
    <n v="0.1"/>
    <n v="0"/>
    <n v="0"/>
    <s v="Credit Card"/>
    <s v="Normal"/>
    <s v="Poor"/>
  </r>
  <r>
    <n v="4129"/>
    <n v="40"/>
    <x v="2"/>
    <x v="26"/>
    <x v="4"/>
    <n v="70.06"/>
    <x v="52"/>
    <x v="2"/>
    <s v="Black"/>
    <x v="0"/>
    <n v="1"/>
    <s v="No"/>
    <x v="3"/>
    <s v="No"/>
    <n v="0"/>
    <x v="1"/>
    <s v="Quarterly"/>
    <n v="0.1"/>
    <n v="63.054000000000002"/>
    <n v="70.06"/>
    <s v="Cash"/>
    <s v="Normal"/>
    <s v="Poor"/>
  </r>
  <r>
    <n v="4130"/>
    <n v="52"/>
    <x v="2"/>
    <x v="26"/>
    <x v="3"/>
    <n v="43.99"/>
    <x v="53"/>
    <x v="2"/>
    <s v="Red"/>
    <x v="4"/>
    <n v="1"/>
    <s v="No"/>
    <x v="0"/>
    <s v="Yes"/>
    <n v="1"/>
    <x v="5"/>
    <s v="Quarterly"/>
    <n v="0.1"/>
    <n v="39.591000000000001"/>
    <n v="43.99"/>
    <s v="Debit Card"/>
    <s v="Normal"/>
    <s v="Poor"/>
  </r>
  <r>
    <n v="4131"/>
    <n v="44"/>
    <x v="0"/>
    <x v="26"/>
    <x v="4"/>
    <n v="418.13"/>
    <x v="51"/>
    <x v="2"/>
    <s v="Red"/>
    <x v="1"/>
    <n v="4"/>
    <s v="No"/>
    <x v="3"/>
    <s v="Yes"/>
    <n v="0"/>
    <x v="2"/>
    <s v="Weekly"/>
    <n v="0.1"/>
    <n v="376.31700000000001"/>
    <n v="418.13"/>
    <s v="Credit Card"/>
    <s v="Normal"/>
    <s v="Good"/>
  </r>
  <r>
    <n v="4132"/>
    <n v="62"/>
    <x v="0"/>
    <x v="27"/>
    <x v="4"/>
    <n v="33.92"/>
    <x v="51"/>
    <x v="2"/>
    <s v="Green"/>
    <x v="4"/>
    <n v="1"/>
    <s v="No"/>
    <x v="0"/>
    <s v="Yes"/>
    <n v="0"/>
    <x v="3"/>
    <s v="Weekly"/>
    <n v="0.1"/>
    <n v="30.528000000000002"/>
    <n v="33.92"/>
    <s v="PayPal"/>
    <s v="Normal"/>
    <s v="Poor"/>
  </r>
  <r>
    <n v="4133"/>
    <n v="54"/>
    <x v="2"/>
    <x v="9"/>
    <x v="3"/>
    <n v="0"/>
    <x v="51"/>
    <x v="1"/>
    <s v="Red"/>
    <x v="1"/>
    <n v="2"/>
    <s v="Yes"/>
    <x v="3"/>
    <s v="Yes"/>
    <n v="0"/>
    <x v="5"/>
    <s v="Monthly"/>
    <n v="0.1"/>
    <n v="0"/>
    <n v="0"/>
    <s v="Debit Card"/>
    <s v="Normal"/>
    <s v="Poor"/>
  </r>
  <r>
    <n v="4134"/>
    <n v="39"/>
    <x v="1"/>
    <x v="9"/>
    <x v="3"/>
    <n v="0"/>
    <x v="51"/>
    <x v="0"/>
    <s v="Black"/>
    <x v="1"/>
    <n v="1"/>
    <s v="No"/>
    <x v="3"/>
    <s v="Yes"/>
    <n v="0"/>
    <x v="3"/>
    <s v="Weekly"/>
    <n v="0.1"/>
    <n v="0"/>
    <n v="0"/>
    <s v="PayPal"/>
    <s v="Normal"/>
    <s v="Poor"/>
  </r>
  <r>
    <n v="4135"/>
    <n v="32"/>
    <x v="0"/>
    <x v="26"/>
    <x v="0"/>
    <n v="0"/>
    <x v="53"/>
    <x v="3"/>
    <s v="Red"/>
    <x v="0"/>
    <n v="5"/>
    <s v="No"/>
    <x v="3"/>
    <s v="Yes"/>
    <n v="41"/>
    <x v="2"/>
    <s v="Weekly"/>
    <n v="0.1"/>
    <n v="0"/>
    <n v="0"/>
    <s v="Credit Card"/>
    <s v="Normal"/>
    <s v="Good"/>
  </r>
  <r>
    <n v="4136"/>
    <n v="70"/>
    <x v="2"/>
    <x v="25"/>
    <x v="4"/>
    <n v="0"/>
    <x v="14"/>
    <x v="2"/>
    <s v="Red"/>
    <x v="2"/>
    <n v="1"/>
    <s v="Yes"/>
    <x v="0"/>
    <s v="No"/>
    <n v="0"/>
    <x v="5"/>
    <s v="Monthly"/>
    <n v="0.1"/>
    <n v="0"/>
    <n v="0"/>
    <s v="Debit Card"/>
    <s v="Normal"/>
    <s v="Poor"/>
  </r>
  <r>
    <n v="4137"/>
    <n v="50"/>
    <x v="2"/>
    <x v="26"/>
    <x v="3"/>
    <n v="0"/>
    <x v="51"/>
    <x v="0"/>
    <s v="Blue"/>
    <x v="4"/>
    <n v="2"/>
    <s v="Yes"/>
    <x v="0"/>
    <s v="No"/>
    <n v="0"/>
    <x v="3"/>
    <s v="Weekly"/>
    <n v="0.1"/>
    <n v="0"/>
    <n v="0"/>
    <s v="PayPal"/>
    <s v="Normal"/>
    <s v="Poor"/>
  </r>
  <r>
    <n v="4138"/>
    <n v="40"/>
    <x v="1"/>
    <x v="5"/>
    <x v="4"/>
    <n v="780.59"/>
    <x v="51"/>
    <x v="2"/>
    <s v="Blue"/>
    <x v="4"/>
    <n v="1"/>
    <s v="No"/>
    <x v="3"/>
    <s v="No"/>
    <n v="0"/>
    <x v="3"/>
    <s v="Weekly"/>
    <n v="0.1"/>
    <n v="702.53100000000006"/>
    <n v="780.59"/>
    <s v="PayPal"/>
    <s v="Normal"/>
    <s v="Poor"/>
  </r>
  <r>
    <n v="4139"/>
    <n v="55"/>
    <x v="0"/>
    <x v="25"/>
    <x v="0"/>
    <n v="0"/>
    <x v="53"/>
    <x v="0"/>
    <s v="Black"/>
    <x v="1"/>
    <n v="1"/>
    <s v="No"/>
    <x v="3"/>
    <s v="Yes"/>
    <n v="0"/>
    <x v="2"/>
    <s v="Weekly"/>
    <n v="0.1"/>
    <n v="0"/>
    <n v="0"/>
    <s v="Credit Card"/>
    <s v="Normal"/>
    <s v="Poor"/>
  </r>
  <r>
    <n v="4140"/>
    <n v="70"/>
    <x v="1"/>
    <x v="25"/>
    <x v="4"/>
    <n v="1281.96"/>
    <x v="14"/>
    <x v="2"/>
    <s v="White"/>
    <x v="1"/>
    <n v="1"/>
    <s v="No"/>
    <x v="0"/>
    <s v="No"/>
    <n v="0"/>
    <x v="1"/>
    <s v="Weekly"/>
    <n v="0.1"/>
    <n v="1153.7640000000001"/>
    <n v="1281.96"/>
    <s v="Cash"/>
    <s v="Normal"/>
    <s v="Poor"/>
  </r>
  <r>
    <n v="4141"/>
    <n v="58"/>
    <x v="2"/>
    <x v="25"/>
    <x v="4"/>
    <n v="1290.5"/>
    <x v="14"/>
    <x v="2"/>
    <s v="Red"/>
    <x v="2"/>
    <n v="1"/>
    <s v="No"/>
    <x v="3"/>
    <s v="No"/>
    <n v="28"/>
    <x v="5"/>
    <s v="Monthly"/>
    <n v="0.1"/>
    <n v="1161.45"/>
    <n v="1290.5"/>
    <s v="Debit Card"/>
    <s v="Normal"/>
    <s v="Poor"/>
  </r>
  <r>
    <n v="4142"/>
    <n v="22"/>
    <x v="2"/>
    <x v="9"/>
    <x v="3"/>
    <n v="0"/>
    <x v="51"/>
    <x v="1"/>
    <s v="Green"/>
    <x v="4"/>
    <n v="1"/>
    <s v="Yes"/>
    <x v="0"/>
    <s v="No"/>
    <n v="0"/>
    <x v="2"/>
    <s v="Monthly"/>
    <n v="0.1"/>
    <n v="0"/>
    <n v="0"/>
    <s v="Credit Card"/>
    <s v="Normal"/>
    <s v="Poor"/>
  </r>
  <r>
    <n v="4143"/>
    <n v="18"/>
    <x v="2"/>
    <x v="28"/>
    <x v="4"/>
    <n v="0"/>
    <x v="53"/>
    <x v="2"/>
    <s v="Red"/>
    <x v="1"/>
    <n v="1"/>
    <s v="Yes"/>
    <x v="3"/>
    <s v="No"/>
    <n v="6"/>
    <x v="5"/>
    <s v="Weekly"/>
    <n v="0.1"/>
    <n v="0"/>
    <n v="0"/>
    <s v="Debit Card"/>
    <s v="Normal"/>
    <s v="Poor"/>
  </r>
  <r>
    <n v="4144"/>
    <n v="22"/>
    <x v="1"/>
    <x v="27"/>
    <x v="4"/>
    <n v="0"/>
    <x v="52"/>
    <x v="2"/>
    <s v="White"/>
    <x v="4"/>
    <n v="1"/>
    <s v="Yes"/>
    <x v="0"/>
    <s v="Yes"/>
    <n v="14"/>
    <x v="3"/>
    <s v="Quarterly"/>
    <n v="0.1"/>
    <n v="0"/>
    <n v="0"/>
    <s v="PayPal"/>
    <s v="Normal"/>
    <s v="Poor"/>
  </r>
  <r>
    <n v="4145"/>
    <n v="19"/>
    <x v="2"/>
    <x v="26"/>
    <x v="3"/>
    <n v="83.82"/>
    <x v="14"/>
    <x v="1"/>
    <s v="Red"/>
    <x v="1"/>
    <n v="1"/>
    <s v="Yes"/>
    <x v="3"/>
    <s v="Yes"/>
    <n v="7"/>
    <x v="1"/>
    <s v="Monthly"/>
    <n v="0.1"/>
    <n v="75.437999999999988"/>
    <n v="83.82"/>
    <s v="Cash"/>
    <s v="Normal"/>
    <s v="Poor"/>
  </r>
  <r>
    <n v="4146"/>
    <n v="33"/>
    <x v="0"/>
    <x v="29"/>
    <x v="0"/>
    <n v="0"/>
    <x v="53"/>
    <x v="1"/>
    <s v="Blue"/>
    <x v="2"/>
    <n v="3"/>
    <s v="No"/>
    <x v="0"/>
    <s v="Yes"/>
    <n v="32"/>
    <x v="5"/>
    <s v="Quarterly"/>
    <n v="0.1"/>
    <n v="0"/>
    <n v="0"/>
    <s v="Debit Card"/>
    <s v="Normal"/>
    <s v="Good"/>
  </r>
  <r>
    <n v="4147"/>
    <n v="56"/>
    <x v="2"/>
    <x v="28"/>
    <x v="4"/>
    <n v="752.44"/>
    <x v="50"/>
    <x v="2"/>
    <s v="Black"/>
    <x v="2"/>
    <n v="1"/>
    <s v="No"/>
    <x v="0"/>
    <s v="Yes"/>
    <n v="14"/>
    <x v="1"/>
    <s v="Quarterly"/>
    <n v="0.1"/>
    <n v="677.19600000000003"/>
    <n v="752.44"/>
    <s v="Cash"/>
    <s v="Normal"/>
    <s v="Poor"/>
  </r>
  <r>
    <n v="4148"/>
    <n v="65"/>
    <x v="1"/>
    <x v="25"/>
    <x v="0"/>
    <n v="371.47"/>
    <x v="52"/>
    <x v="3"/>
    <s v="Red"/>
    <x v="1"/>
    <n v="4"/>
    <s v="Yes"/>
    <x v="3"/>
    <s v="No"/>
    <n v="23"/>
    <x v="2"/>
    <s v="Monthly"/>
    <n v="0.1"/>
    <n v="334.32300000000004"/>
    <n v="371.47"/>
    <s v="Credit Card"/>
    <s v="Normal"/>
    <s v="Good"/>
  </r>
  <r>
    <n v="4149"/>
    <n v="55"/>
    <x v="1"/>
    <x v="29"/>
    <x v="0"/>
    <n v="0"/>
    <x v="51"/>
    <x v="1"/>
    <s v="Blue"/>
    <x v="1"/>
    <n v="1"/>
    <s v="Yes"/>
    <x v="3"/>
    <s v="No"/>
    <n v="0"/>
    <x v="3"/>
    <s v="Weekly"/>
    <n v="0.1"/>
    <n v="0"/>
    <n v="0"/>
    <s v="PayPal"/>
    <s v="Normal"/>
    <s v="Poor"/>
  </r>
  <r>
    <n v="4150"/>
    <n v="40"/>
    <x v="2"/>
    <x v="25"/>
    <x v="0"/>
    <n v="988.27"/>
    <x v="14"/>
    <x v="0"/>
    <s v="White"/>
    <x v="0"/>
    <n v="1"/>
    <s v="No"/>
    <x v="0"/>
    <s v="No"/>
    <n v="0"/>
    <x v="1"/>
    <s v="Weekly"/>
    <n v="0.1"/>
    <n v="889.44299999999998"/>
    <n v="988.27"/>
    <s v="Cash"/>
    <s v="Normal"/>
    <s v="Poor"/>
  </r>
  <r>
    <n v="4151"/>
    <n v="64"/>
    <x v="0"/>
    <x v="26"/>
    <x v="3"/>
    <n v="1384.25"/>
    <x v="14"/>
    <x v="2"/>
    <s v="Red"/>
    <x v="4"/>
    <n v="1"/>
    <s v="No"/>
    <x v="3"/>
    <s v="Yes"/>
    <n v="0"/>
    <x v="2"/>
    <s v="Weekly"/>
    <n v="0.1"/>
    <n v="1245.825"/>
    <n v="1384.25"/>
    <s v="Credit Card"/>
    <s v="Normal"/>
    <s v="Poor"/>
  </r>
  <r>
    <n v="4152"/>
    <n v="32"/>
    <x v="0"/>
    <x v="29"/>
    <x v="0"/>
    <n v="0"/>
    <x v="53"/>
    <x v="1"/>
    <s v="Green"/>
    <x v="4"/>
    <n v="1"/>
    <s v="No"/>
    <x v="0"/>
    <s v="No"/>
    <n v="21"/>
    <x v="5"/>
    <s v="Quarterly"/>
    <n v="0.1"/>
    <n v="0"/>
    <n v="0"/>
    <s v="Debit Card"/>
    <s v="Normal"/>
    <s v="Poor"/>
  </r>
  <r>
    <n v="4153"/>
    <n v="67"/>
    <x v="2"/>
    <x v="9"/>
    <x v="3"/>
    <n v="0"/>
    <x v="51"/>
    <x v="2"/>
    <s v="Red"/>
    <x v="1"/>
    <n v="1"/>
    <s v="No"/>
    <x v="0"/>
    <s v="No"/>
    <n v="31"/>
    <x v="2"/>
    <s v="Monthly"/>
    <n v="0.1"/>
    <n v="0"/>
    <n v="0"/>
    <s v="Credit Card"/>
    <s v="Normal"/>
    <s v="Poor"/>
  </r>
  <r>
    <n v="4154"/>
    <n v="54"/>
    <x v="0"/>
    <x v="5"/>
    <x v="4"/>
    <n v="956.35"/>
    <x v="51"/>
    <x v="2"/>
    <s v="Red"/>
    <x v="1"/>
    <n v="1"/>
    <s v="Yes"/>
    <x v="0"/>
    <s v="Yes"/>
    <n v="0"/>
    <x v="2"/>
    <s v="Monthly"/>
    <n v="0.1"/>
    <n v="860.71500000000003"/>
    <n v="956.35"/>
    <s v="Credit Card"/>
    <s v="Normal"/>
    <s v="Poor"/>
  </r>
  <r>
    <n v="4155"/>
    <n v="22"/>
    <x v="0"/>
    <x v="26"/>
    <x v="0"/>
    <n v="0"/>
    <x v="52"/>
    <x v="3"/>
    <s v="Blue"/>
    <x v="2"/>
    <n v="3"/>
    <s v="No"/>
    <x v="3"/>
    <s v="Yes"/>
    <n v="0"/>
    <x v="2"/>
    <s v="Weekly"/>
    <n v="0.1"/>
    <n v="0"/>
    <n v="0"/>
    <s v="Credit Card"/>
    <s v="Normal"/>
    <s v="Good"/>
  </r>
  <r>
    <n v="4156"/>
    <n v="51"/>
    <x v="2"/>
    <x v="5"/>
    <x v="0"/>
    <n v="1398.9"/>
    <x v="52"/>
    <x v="3"/>
    <s v="Red"/>
    <x v="2"/>
    <n v="2"/>
    <s v="Yes"/>
    <x v="0"/>
    <s v="No"/>
    <n v="7"/>
    <x v="3"/>
    <s v="Monthly"/>
    <n v="0.1"/>
    <n v="1259.01"/>
    <n v="1398.9"/>
    <s v="PayPal"/>
    <s v="Normal"/>
    <s v="Poor"/>
  </r>
  <r>
    <n v="4157"/>
    <n v="40"/>
    <x v="0"/>
    <x v="25"/>
    <x v="4"/>
    <n v="20.190000000000001"/>
    <x v="50"/>
    <x v="2"/>
    <s v="Green"/>
    <x v="4"/>
    <n v="1"/>
    <s v="Yes"/>
    <x v="0"/>
    <s v="Yes"/>
    <n v="0"/>
    <x v="5"/>
    <s v="Quarterly"/>
    <n v="0.1"/>
    <n v="18.170999999999999"/>
    <n v="20.190000000000001"/>
    <s v="Debit Card"/>
    <s v="Normal"/>
    <s v="Poor"/>
  </r>
  <r>
    <n v="4158"/>
    <n v="24"/>
    <x v="1"/>
    <x v="5"/>
    <x v="0"/>
    <n v="0"/>
    <x v="52"/>
    <x v="0"/>
    <s v="Red"/>
    <x v="4"/>
    <n v="1"/>
    <s v="No"/>
    <x v="3"/>
    <s v="Yes"/>
    <n v="0"/>
    <x v="5"/>
    <s v="Monthly"/>
    <n v="0.1"/>
    <n v="0"/>
    <n v="0"/>
    <s v="Debit Card"/>
    <s v="Normal"/>
    <s v="Poor"/>
  </r>
  <r>
    <n v="4159"/>
    <n v="59"/>
    <x v="0"/>
    <x v="28"/>
    <x v="0"/>
    <n v="0"/>
    <x v="51"/>
    <x v="3"/>
    <s v="White"/>
    <x v="4"/>
    <n v="1"/>
    <s v="Yes"/>
    <x v="3"/>
    <s v="No"/>
    <n v="0"/>
    <x v="1"/>
    <s v="Monthly"/>
    <n v="0.1"/>
    <n v="0"/>
    <n v="0"/>
    <s v="Cash"/>
    <s v="Normal"/>
    <s v="Poor"/>
  </r>
  <r>
    <n v="4160"/>
    <n v="63"/>
    <x v="1"/>
    <x v="9"/>
    <x v="0"/>
    <n v="1264.31"/>
    <x v="14"/>
    <x v="3"/>
    <s v="Black"/>
    <x v="0"/>
    <n v="2"/>
    <s v="No"/>
    <x v="0"/>
    <s v="No"/>
    <n v="31"/>
    <x v="1"/>
    <s v="Weekly"/>
    <n v="0.1"/>
    <n v="1137.8789999999999"/>
    <n v="1264.31"/>
    <s v="Cash"/>
    <s v="Normal"/>
    <s v="Poor"/>
  </r>
  <r>
    <n v="4161"/>
    <n v="54"/>
    <x v="2"/>
    <x v="25"/>
    <x v="0"/>
    <n v="0"/>
    <x v="14"/>
    <x v="3"/>
    <s v="Blue"/>
    <x v="1"/>
    <n v="1"/>
    <s v="No"/>
    <x v="3"/>
    <s v="No"/>
    <n v="0"/>
    <x v="5"/>
    <s v="Weekly"/>
    <n v="0.1"/>
    <n v="0"/>
    <n v="0"/>
    <s v="Debit Card"/>
    <s v="Normal"/>
    <s v="Poor"/>
  </r>
  <r>
    <n v="4162"/>
    <n v="54"/>
    <x v="2"/>
    <x v="25"/>
    <x v="0"/>
    <n v="0"/>
    <x v="50"/>
    <x v="1"/>
    <s v="Green"/>
    <x v="0"/>
    <n v="1"/>
    <s v="No"/>
    <x v="0"/>
    <s v="Yes"/>
    <n v="0"/>
    <x v="5"/>
    <s v="Weekly"/>
    <n v="0.1"/>
    <n v="0"/>
    <n v="0"/>
    <s v="Debit Card"/>
    <s v="Normal"/>
    <s v="Poor"/>
  </r>
  <r>
    <n v="4163"/>
    <n v="28"/>
    <x v="2"/>
    <x v="25"/>
    <x v="3"/>
    <n v="789.72"/>
    <x v="51"/>
    <x v="1"/>
    <s v="White"/>
    <x v="4"/>
    <n v="4"/>
    <s v="Yes"/>
    <x v="0"/>
    <s v="Yes"/>
    <n v="33"/>
    <x v="2"/>
    <s v="Quarterly"/>
    <n v="0.1"/>
    <n v="710.74800000000005"/>
    <n v="789.72"/>
    <s v="Credit Card"/>
    <s v="Normal"/>
    <s v="Good"/>
  </r>
  <r>
    <n v="4164"/>
    <n v="41"/>
    <x v="1"/>
    <x v="26"/>
    <x v="4"/>
    <n v="0"/>
    <x v="14"/>
    <x v="2"/>
    <s v="Red"/>
    <x v="1"/>
    <n v="1"/>
    <s v="No"/>
    <x v="3"/>
    <s v="No"/>
    <n v="0"/>
    <x v="3"/>
    <s v="Monthly"/>
    <n v="0.1"/>
    <n v="0"/>
    <n v="0"/>
    <s v="PayPal"/>
    <s v="Normal"/>
    <s v="Poor"/>
  </r>
  <r>
    <n v="4165"/>
    <n v="53"/>
    <x v="2"/>
    <x v="29"/>
    <x v="0"/>
    <n v="684.07"/>
    <x v="52"/>
    <x v="0"/>
    <s v="Blue"/>
    <x v="1"/>
    <n v="5"/>
    <s v="Yes"/>
    <x v="3"/>
    <s v="Yes"/>
    <n v="0"/>
    <x v="1"/>
    <s v="Quarterly"/>
    <n v="0.1"/>
    <n v="615.66300000000001"/>
    <n v="684.07"/>
    <s v="Cash"/>
    <s v="Normal"/>
    <s v="Good"/>
  </r>
  <r>
    <n v="4166"/>
    <n v="35"/>
    <x v="0"/>
    <x v="27"/>
    <x v="3"/>
    <n v="251.11"/>
    <x v="52"/>
    <x v="1"/>
    <s v="Black"/>
    <x v="0"/>
    <n v="1"/>
    <s v="Yes"/>
    <x v="0"/>
    <s v="No"/>
    <n v="0"/>
    <x v="3"/>
    <s v="Weekly"/>
    <n v="0.1"/>
    <n v="225.99900000000002"/>
    <n v="251.11"/>
    <s v="PayPal"/>
    <s v="Normal"/>
    <s v="Poor"/>
  </r>
  <r>
    <n v="4167"/>
    <n v="67"/>
    <x v="0"/>
    <x v="25"/>
    <x v="3"/>
    <n v="1300.1500000000001"/>
    <x v="52"/>
    <x v="0"/>
    <s v="Blue"/>
    <x v="4"/>
    <n v="1"/>
    <s v="Yes"/>
    <x v="0"/>
    <s v="Yes"/>
    <n v="29"/>
    <x v="1"/>
    <s v="Quarterly"/>
    <n v="0.1"/>
    <n v="1170.135"/>
    <n v="1300.1500000000001"/>
    <s v="Cash"/>
    <s v="Normal"/>
    <s v="Poor"/>
  </r>
  <r>
    <n v="4168"/>
    <n v="35"/>
    <x v="1"/>
    <x v="29"/>
    <x v="3"/>
    <n v="0"/>
    <x v="53"/>
    <x v="1"/>
    <s v="Red"/>
    <x v="0"/>
    <n v="1"/>
    <s v="No"/>
    <x v="3"/>
    <s v="No"/>
    <n v="0"/>
    <x v="2"/>
    <s v="Weekly"/>
    <n v="0.1"/>
    <n v="0"/>
    <n v="0"/>
    <s v="Credit Card"/>
    <s v="Normal"/>
    <s v="Poor"/>
  </r>
  <r>
    <n v="4169"/>
    <n v="20"/>
    <x v="1"/>
    <x v="29"/>
    <x v="0"/>
    <n v="459.33"/>
    <x v="53"/>
    <x v="0"/>
    <s v="Black"/>
    <x v="1"/>
    <n v="2"/>
    <s v="Yes"/>
    <x v="3"/>
    <s v="No"/>
    <n v="0"/>
    <x v="3"/>
    <s v="Quarterly"/>
    <n v="0.1"/>
    <n v="413.39699999999999"/>
    <n v="459.33"/>
    <s v="PayPal"/>
    <s v="Normal"/>
    <s v="Poor"/>
  </r>
  <r>
    <n v="4170"/>
    <n v="55"/>
    <x v="0"/>
    <x v="25"/>
    <x v="4"/>
    <n v="902.86"/>
    <x v="52"/>
    <x v="2"/>
    <s v="Blue"/>
    <x v="1"/>
    <n v="1"/>
    <s v="No"/>
    <x v="3"/>
    <s v="No"/>
    <n v="0"/>
    <x v="5"/>
    <s v="Quarterly"/>
    <n v="0.1"/>
    <n v="812.57400000000007"/>
    <n v="902.86"/>
    <s v="Debit Card"/>
    <s v="Normal"/>
    <s v="Poor"/>
  </r>
  <r>
    <n v="4171"/>
    <n v="23"/>
    <x v="0"/>
    <x v="26"/>
    <x v="0"/>
    <n v="495.98"/>
    <x v="50"/>
    <x v="2"/>
    <s v="Green"/>
    <x v="4"/>
    <n v="1"/>
    <s v="Yes"/>
    <x v="3"/>
    <s v="No"/>
    <n v="0"/>
    <x v="5"/>
    <s v="Weekly"/>
    <n v="0.1"/>
    <n v="446.38200000000001"/>
    <n v="495.98"/>
    <s v="Debit Card"/>
    <s v="Normal"/>
    <s v="Poor"/>
  </r>
  <r>
    <n v="4172"/>
    <n v="55"/>
    <x v="0"/>
    <x v="27"/>
    <x v="0"/>
    <n v="187.11"/>
    <x v="50"/>
    <x v="2"/>
    <s v="Red"/>
    <x v="2"/>
    <n v="1"/>
    <s v="No"/>
    <x v="0"/>
    <s v="Yes"/>
    <n v="0"/>
    <x v="2"/>
    <s v="Monthly"/>
    <n v="0.1"/>
    <n v="168.399"/>
    <n v="187.11"/>
    <s v="Credit Card"/>
    <s v="Normal"/>
    <s v="Poor"/>
  </r>
  <r>
    <n v="4173"/>
    <n v="53"/>
    <x v="2"/>
    <x v="25"/>
    <x v="0"/>
    <n v="257.44"/>
    <x v="52"/>
    <x v="0"/>
    <s v="Green"/>
    <x v="2"/>
    <n v="5"/>
    <s v="No"/>
    <x v="0"/>
    <s v="No"/>
    <n v="0"/>
    <x v="1"/>
    <s v="Quarterly"/>
    <n v="0.1"/>
    <n v="231.696"/>
    <n v="257.44"/>
    <s v="Cash"/>
    <s v="Normal"/>
    <s v="Good"/>
  </r>
  <r>
    <n v="4174"/>
    <n v="50"/>
    <x v="0"/>
    <x v="28"/>
    <x v="0"/>
    <n v="0"/>
    <x v="14"/>
    <x v="0"/>
    <s v="Black"/>
    <x v="0"/>
    <n v="5"/>
    <s v="No"/>
    <x v="3"/>
    <s v="No"/>
    <n v="13"/>
    <x v="1"/>
    <s v="Monthly"/>
    <n v="0.1"/>
    <n v="0"/>
    <n v="0"/>
    <s v="Cash"/>
    <s v="Normal"/>
    <s v="Good"/>
  </r>
  <r>
    <n v="4175"/>
    <n v="46"/>
    <x v="2"/>
    <x v="28"/>
    <x v="3"/>
    <n v="1233.29"/>
    <x v="53"/>
    <x v="1"/>
    <s v="Blue"/>
    <x v="1"/>
    <n v="1"/>
    <s v="No"/>
    <x v="0"/>
    <s v="Yes"/>
    <n v="8"/>
    <x v="2"/>
    <s v="Monthly"/>
    <n v="0.1"/>
    <n v="1109.961"/>
    <n v="1233.29"/>
    <s v="Credit Card"/>
    <s v="Normal"/>
    <s v="Poor"/>
  </r>
  <r>
    <n v="4176"/>
    <n v="23"/>
    <x v="0"/>
    <x v="9"/>
    <x v="0"/>
    <n v="390.25"/>
    <x v="52"/>
    <x v="3"/>
    <s v="Black"/>
    <x v="4"/>
    <n v="1"/>
    <s v="No"/>
    <x v="3"/>
    <s v="No"/>
    <n v="0"/>
    <x v="2"/>
    <s v="Weekly"/>
    <n v="0.1"/>
    <n v="351.22500000000002"/>
    <n v="390.25"/>
    <s v="Credit Card"/>
    <s v="Normal"/>
    <s v="Poor"/>
  </r>
  <r>
    <n v="4177"/>
    <n v="51"/>
    <x v="2"/>
    <x v="25"/>
    <x v="0"/>
    <n v="0"/>
    <x v="51"/>
    <x v="1"/>
    <s v="Black"/>
    <x v="4"/>
    <n v="1"/>
    <s v="No"/>
    <x v="3"/>
    <s v="No"/>
    <n v="0"/>
    <x v="1"/>
    <s v="Monthly"/>
    <n v="0.1"/>
    <n v="0"/>
    <n v="0"/>
    <s v="Cash"/>
    <s v="Normal"/>
    <s v="Poor"/>
  </r>
  <r>
    <n v="4178"/>
    <n v="63"/>
    <x v="2"/>
    <x v="26"/>
    <x v="4"/>
    <n v="0"/>
    <x v="53"/>
    <x v="2"/>
    <s v="Blue"/>
    <x v="2"/>
    <n v="1"/>
    <s v="Yes"/>
    <x v="0"/>
    <s v="No"/>
    <n v="15"/>
    <x v="3"/>
    <s v="Quarterly"/>
    <n v="0.1"/>
    <n v="0"/>
    <n v="0"/>
    <s v="PayPal"/>
    <s v="Normal"/>
    <s v="Poor"/>
  </r>
  <r>
    <n v="4179"/>
    <n v="46"/>
    <x v="2"/>
    <x v="26"/>
    <x v="4"/>
    <n v="794.92"/>
    <x v="50"/>
    <x v="2"/>
    <s v="Blue"/>
    <x v="2"/>
    <n v="3"/>
    <s v="No"/>
    <x v="3"/>
    <s v="Yes"/>
    <n v="14"/>
    <x v="2"/>
    <s v="Monthly"/>
    <n v="0.1"/>
    <n v="715.428"/>
    <n v="794.92"/>
    <s v="Credit Card"/>
    <s v="Normal"/>
    <s v="Good"/>
  </r>
  <r>
    <n v="4180"/>
    <n v="50"/>
    <x v="0"/>
    <x v="27"/>
    <x v="4"/>
    <n v="0"/>
    <x v="14"/>
    <x v="2"/>
    <s v="Green"/>
    <x v="0"/>
    <n v="1"/>
    <s v="No"/>
    <x v="0"/>
    <s v="No"/>
    <n v="42"/>
    <x v="3"/>
    <s v="Quarterly"/>
    <n v="0.1"/>
    <n v="0"/>
    <n v="0"/>
    <s v="PayPal"/>
    <s v="Normal"/>
    <s v="Poor"/>
  </r>
  <r>
    <n v="4181"/>
    <n v="34"/>
    <x v="1"/>
    <x v="26"/>
    <x v="4"/>
    <n v="10.119999999999999"/>
    <x v="51"/>
    <x v="2"/>
    <s v="Blue"/>
    <x v="1"/>
    <n v="1"/>
    <s v="No"/>
    <x v="3"/>
    <s v="Yes"/>
    <n v="7"/>
    <x v="2"/>
    <s v="Monthly"/>
    <n v="0.1"/>
    <n v="9.1079999999999988"/>
    <n v="10.119999999999999"/>
    <s v="Credit Card"/>
    <s v="Normal"/>
    <s v="Poor"/>
  </r>
  <r>
    <n v="4182"/>
    <n v="20"/>
    <x v="2"/>
    <x v="27"/>
    <x v="3"/>
    <n v="0"/>
    <x v="14"/>
    <x v="1"/>
    <s v="Green"/>
    <x v="0"/>
    <n v="2"/>
    <s v="Yes"/>
    <x v="3"/>
    <s v="Yes"/>
    <n v="21"/>
    <x v="2"/>
    <s v="Monthly"/>
    <n v="0.1"/>
    <n v="0"/>
    <n v="0"/>
    <s v="Credit Card"/>
    <s v="Normal"/>
    <s v="Poor"/>
  </r>
  <r>
    <n v="4183"/>
    <n v="69"/>
    <x v="1"/>
    <x v="26"/>
    <x v="3"/>
    <n v="0"/>
    <x v="50"/>
    <x v="1"/>
    <s v="Black"/>
    <x v="4"/>
    <n v="4"/>
    <s v="No"/>
    <x v="3"/>
    <s v="No"/>
    <n v="0"/>
    <x v="3"/>
    <s v="Weekly"/>
    <n v="0.1"/>
    <n v="0"/>
    <n v="0"/>
    <s v="PayPal"/>
    <s v="Normal"/>
    <s v="Good"/>
  </r>
  <r>
    <n v="4184"/>
    <n v="55"/>
    <x v="0"/>
    <x v="27"/>
    <x v="4"/>
    <n v="1016.09"/>
    <x v="14"/>
    <x v="2"/>
    <s v="Green"/>
    <x v="1"/>
    <n v="4"/>
    <s v="No"/>
    <x v="0"/>
    <s v="No"/>
    <n v="0"/>
    <x v="3"/>
    <s v="Weekly"/>
    <n v="0.1"/>
    <n v="914.48099999999999"/>
    <n v="1016.09"/>
    <s v="PayPal"/>
    <s v="Best Customer"/>
    <s v="Good"/>
  </r>
  <r>
    <n v="4185"/>
    <n v="29"/>
    <x v="1"/>
    <x v="29"/>
    <x v="0"/>
    <n v="1025.93"/>
    <x v="53"/>
    <x v="0"/>
    <s v="Blue"/>
    <x v="2"/>
    <n v="1"/>
    <s v="Yes"/>
    <x v="0"/>
    <s v="No"/>
    <n v="20"/>
    <x v="1"/>
    <s v="Monthly"/>
    <n v="0.1"/>
    <n v="923.33699999999999"/>
    <n v="1025.93"/>
    <s v="Cash"/>
    <s v="Normal"/>
    <s v="Poor"/>
  </r>
  <r>
    <n v="4186"/>
    <n v="54"/>
    <x v="2"/>
    <x v="5"/>
    <x v="4"/>
    <n v="0"/>
    <x v="14"/>
    <x v="2"/>
    <s v="Black"/>
    <x v="4"/>
    <n v="5"/>
    <s v="No"/>
    <x v="0"/>
    <s v="Yes"/>
    <n v="23"/>
    <x v="3"/>
    <s v="Monthly"/>
    <n v="0.1"/>
    <n v="0"/>
    <n v="0"/>
    <s v="PayPal"/>
    <s v="Normal"/>
    <s v="Good"/>
  </r>
  <r>
    <n v="4187"/>
    <n v="44"/>
    <x v="0"/>
    <x v="26"/>
    <x v="0"/>
    <n v="0"/>
    <x v="51"/>
    <x v="3"/>
    <s v="Green"/>
    <x v="2"/>
    <n v="1"/>
    <s v="Yes"/>
    <x v="0"/>
    <s v="Yes"/>
    <n v="16"/>
    <x v="2"/>
    <s v="Monthly"/>
    <n v="0.1"/>
    <n v="0"/>
    <n v="0"/>
    <s v="Credit Card"/>
    <s v="Normal"/>
    <s v="Poor"/>
  </r>
  <r>
    <n v="4188"/>
    <n v="18"/>
    <x v="2"/>
    <x v="25"/>
    <x v="3"/>
    <n v="0"/>
    <x v="52"/>
    <x v="2"/>
    <s v="Black"/>
    <x v="0"/>
    <n v="1"/>
    <s v="No"/>
    <x v="0"/>
    <s v="No"/>
    <n v="2"/>
    <x v="3"/>
    <s v="Quarterly"/>
    <n v="0.1"/>
    <n v="0"/>
    <n v="0"/>
    <s v="PayPal"/>
    <s v="Normal"/>
    <s v="Poor"/>
  </r>
  <r>
    <n v="4189"/>
    <n v="38"/>
    <x v="0"/>
    <x v="9"/>
    <x v="3"/>
    <n v="1312.35"/>
    <x v="51"/>
    <x v="2"/>
    <s v="Black"/>
    <x v="4"/>
    <n v="4"/>
    <s v="Yes"/>
    <x v="3"/>
    <s v="Yes"/>
    <n v="0"/>
    <x v="1"/>
    <s v="Weekly"/>
    <n v="0.1"/>
    <n v="1181.115"/>
    <n v="1312.35"/>
    <s v="Cash"/>
    <s v="Best Customer"/>
    <s v="Good"/>
  </r>
  <r>
    <n v="4190"/>
    <n v="46"/>
    <x v="2"/>
    <x v="25"/>
    <x v="3"/>
    <n v="1224.96"/>
    <x v="14"/>
    <x v="0"/>
    <s v="Black"/>
    <x v="2"/>
    <n v="1"/>
    <s v="Yes"/>
    <x v="0"/>
    <s v="Yes"/>
    <n v="0"/>
    <x v="3"/>
    <s v="Quarterly"/>
    <n v="0.1"/>
    <n v="1102.4639999999999"/>
    <n v="1224.96"/>
    <s v="PayPal"/>
    <s v="Normal"/>
    <s v="Poor"/>
  </r>
  <r>
    <n v="4191"/>
    <n v="62"/>
    <x v="0"/>
    <x v="25"/>
    <x v="3"/>
    <n v="0"/>
    <x v="14"/>
    <x v="2"/>
    <s v="Black"/>
    <x v="2"/>
    <n v="1"/>
    <s v="No"/>
    <x v="3"/>
    <s v="Yes"/>
    <n v="0"/>
    <x v="2"/>
    <s v="Monthly"/>
    <n v="0.1"/>
    <n v="0"/>
    <n v="0"/>
    <s v="Credit Card"/>
    <s v="Normal"/>
    <s v="Poor"/>
  </r>
  <r>
    <n v="4192"/>
    <n v="46"/>
    <x v="2"/>
    <x v="27"/>
    <x v="4"/>
    <n v="105.21"/>
    <x v="53"/>
    <x v="2"/>
    <s v="Green"/>
    <x v="0"/>
    <n v="1"/>
    <s v="Yes"/>
    <x v="3"/>
    <s v="Yes"/>
    <n v="0"/>
    <x v="3"/>
    <s v="Monthly"/>
    <n v="0.1"/>
    <n v="94.688999999999993"/>
    <n v="105.21"/>
    <s v="PayPal"/>
    <s v="Normal"/>
    <s v="Poor"/>
  </r>
  <r>
    <n v="4193"/>
    <n v="46"/>
    <x v="0"/>
    <x v="9"/>
    <x v="0"/>
    <n v="991.93"/>
    <x v="14"/>
    <x v="1"/>
    <s v="Red"/>
    <x v="0"/>
    <n v="1"/>
    <s v="No"/>
    <x v="3"/>
    <s v="Yes"/>
    <n v="8"/>
    <x v="5"/>
    <s v="Monthly"/>
    <n v="0.1"/>
    <n v="892.73699999999997"/>
    <n v="991.93"/>
    <s v="Debit Card"/>
    <s v="Normal"/>
    <s v="Poor"/>
  </r>
  <r>
    <n v="4194"/>
    <n v="46"/>
    <x v="1"/>
    <x v="9"/>
    <x v="0"/>
    <n v="707.33"/>
    <x v="53"/>
    <x v="0"/>
    <s v="Blue"/>
    <x v="1"/>
    <n v="5"/>
    <s v="No"/>
    <x v="0"/>
    <s v="No"/>
    <n v="49"/>
    <x v="5"/>
    <s v="Weekly"/>
    <n v="0.1"/>
    <n v="636.59699999999998"/>
    <n v="707.33"/>
    <s v="Debit Card"/>
    <s v="Normal"/>
    <s v="Good"/>
  </r>
  <r>
    <n v="4195"/>
    <n v="53"/>
    <x v="0"/>
    <x v="27"/>
    <x v="4"/>
    <n v="877.02"/>
    <x v="53"/>
    <x v="2"/>
    <s v="Green"/>
    <x v="1"/>
    <n v="1"/>
    <s v="No"/>
    <x v="3"/>
    <s v="Yes"/>
    <n v="0"/>
    <x v="5"/>
    <s v="Monthly"/>
    <n v="0.1"/>
    <n v="789.31799999999998"/>
    <n v="877.02"/>
    <s v="Debit Card"/>
    <s v="Normal"/>
    <s v="Poor"/>
  </r>
  <r>
    <n v="4196"/>
    <n v="19"/>
    <x v="1"/>
    <x v="29"/>
    <x v="0"/>
    <n v="0"/>
    <x v="51"/>
    <x v="1"/>
    <s v="White"/>
    <x v="4"/>
    <n v="1"/>
    <s v="Yes"/>
    <x v="0"/>
    <s v="No"/>
    <n v="0"/>
    <x v="2"/>
    <s v="Quarterly"/>
    <n v="0.1"/>
    <n v="0"/>
    <n v="0"/>
    <s v="Credit Card"/>
    <s v="Normal"/>
    <s v="Poor"/>
  </r>
  <r>
    <n v="4197"/>
    <n v="30"/>
    <x v="1"/>
    <x v="25"/>
    <x v="3"/>
    <n v="243.4"/>
    <x v="52"/>
    <x v="1"/>
    <s v="Red"/>
    <x v="0"/>
    <n v="1"/>
    <s v="No"/>
    <x v="3"/>
    <s v="Yes"/>
    <n v="26"/>
    <x v="1"/>
    <s v="Weekly"/>
    <n v="0.1"/>
    <n v="219.06"/>
    <n v="243.4"/>
    <s v="Cash"/>
    <s v="Normal"/>
    <s v="Poor"/>
  </r>
  <r>
    <n v="4198"/>
    <n v="42"/>
    <x v="1"/>
    <x v="26"/>
    <x v="3"/>
    <n v="0"/>
    <x v="50"/>
    <x v="2"/>
    <s v="Red"/>
    <x v="2"/>
    <n v="1"/>
    <s v="Yes"/>
    <x v="0"/>
    <s v="Yes"/>
    <n v="31"/>
    <x v="1"/>
    <s v="Weekly"/>
    <n v="0.1"/>
    <n v="0"/>
    <n v="0"/>
    <s v="Cash"/>
    <s v="Normal"/>
    <s v="Poor"/>
  </r>
  <r>
    <n v="4199"/>
    <n v="44"/>
    <x v="2"/>
    <x v="28"/>
    <x v="3"/>
    <n v="0"/>
    <x v="53"/>
    <x v="2"/>
    <s v="Black"/>
    <x v="4"/>
    <n v="1"/>
    <s v="Yes"/>
    <x v="3"/>
    <s v="Yes"/>
    <n v="25"/>
    <x v="1"/>
    <s v="Monthly"/>
    <n v="0.1"/>
    <n v="0"/>
    <n v="0"/>
    <s v="Cash"/>
    <s v="Normal"/>
    <s v="Poor"/>
  </r>
  <r>
    <n v="4200"/>
    <n v="68"/>
    <x v="2"/>
    <x v="25"/>
    <x v="0"/>
    <n v="1138.6199999999999"/>
    <x v="52"/>
    <x v="3"/>
    <s v="White"/>
    <x v="0"/>
    <n v="5"/>
    <s v="Yes"/>
    <x v="3"/>
    <s v="Yes"/>
    <n v="0"/>
    <x v="5"/>
    <s v="Weekly"/>
    <n v="0.1"/>
    <n v="1024.7579999999998"/>
    <n v="1138.6199999999999"/>
    <s v="Debit Card"/>
    <s v="Best Customer"/>
    <s v="Good"/>
  </r>
  <r>
    <n v="4201"/>
    <n v="18"/>
    <x v="1"/>
    <x v="25"/>
    <x v="4"/>
    <n v="628.28"/>
    <x v="50"/>
    <x v="2"/>
    <s v="Black"/>
    <x v="1"/>
    <n v="4"/>
    <s v="Yes"/>
    <x v="3"/>
    <s v="No"/>
    <n v="15"/>
    <x v="1"/>
    <s v="Quarterly"/>
    <n v="0.1"/>
    <n v="565.452"/>
    <n v="628.28"/>
    <s v="Cash"/>
    <s v="Normal"/>
    <s v="Good"/>
  </r>
  <r>
    <n v="4202"/>
    <n v="65"/>
    <x v="0"/>
    <x v="5"/>
    <x v="4"/>
    <n v="0"/>
    <x v="51"/>
    <x v="2"/>
    <s v="White"/>
    <x v="0"/>
    <n v="1"/>
    <s v="No"/>
    <x v="0"/>
    <s v="Yes"/>
    <n v="42"/>
    <x v="1"/>
    <s v="Monthly"/>
    <n v="0.1"/>
    <n v="0"/>
    <n v="0"/>
    <s v="Cash"/>
    <s v="Normal"/>
    <s v="Poor"/>
  </r>
  <r>
    <n v="4203"/>
    <n v="35"/>
    <x v="0"/>
    <x v="9"/>
    <x v="3"/>
    <n v="0"/>
    <x v="51"/>
    <x v="0"/>
    <s v="Green"/>
    <x v="2"/>
    <n v="3"/>
    <s v="Yes"/>
    <x v="3"/>
    <s v="No"/>
    <n v="0"/>
    <x v="5"/>
    <s v="Quarterly"/>
    <n v="0.1"/>
    <n v="0"/>
    <n v="0"/>
    <s v="Debit Card"/>
    <s v="Normal"/>
    <s v="Good"/>
  </r>
  <r>
    <n v="4204"/>
    <n v="33"/>
    <x v="1"/>
    <x v="25"/>
    <x v="0"/>
    <n v="1388.46"/>
    <x v="52"/>
    <x v="2"/>
    <s v="White"/>
    <x v="2"/>
    <n v="5"/>
    <s v="No"/>
    <x v="0"/>
    <s v="No"/>
    <n v="16"/>
    <x v="3"/>
    <s v="Monthly"/>
    <n v="0.1"/>
    <n v="1249.614"/>
    <n v="1388.46"/>
    <s v="PayPal"/>
    <s v="Best Customer"/>
    <s v="Good"/>
  </r>
  <r>
    <n v="4205"/>
    <n v="45"/>
    <x v="2"/>
    <x v="25"/>
    <x v="0"/>
    <n v="0"/>
    <x v="51"/>
    <x v="0"/>
    <s v="Red"/>
    <x v="2"/>
    <n v="5"/>
    <s v="No"/>
    <x v="3"/>
    <s v="No"/>
    <n v="26"/>
    <x v="5"/>
    <s v="Quarterly"/>
    <n v="0.1"/>
    <n v="0"/>
    <n v="0"/>
    <s v="Debit Card"/>
    <s v="Normal"/>
    <s v="Good"/>
  </r>
  <r>
    <n v="4206"/>
    <n v="57"/>
    <x v="1"/>
    <x v="5"/>
    <x v="4"/>
    <n v="0"/>
    <x v="53"/>
    <x v="2"/>
    <s v="Blue"/>
    <x v="1"/>
    <n v="1"/>
    <s v="No"/>
    <x v="0"/>
    <s v="No"/>
    <n v="0"/>
    <x v="1"/>
    <s v="Quarterly"/>
    <n v="0.1"/>
    <n v="0"/>
    <n v="0"/>
    <s v="Cash"/>
    <s v="Normal"/>
    <s v="Poor"/>
  </r>
  <r>
    <n v="4207"/>
    <n v="44"/>
    <x v="2"/>
    <x v="28"/>
    <x v="4"/>
    <n v="896.53"/>
    <x v="14"/>
    <x v="2"/>
    <s v="Blue"/>
    <x v="0"/>
    <n v="4"/>
    <s v="Yes"/>
    <x v="0"/>
    <s v="No"/>
    <n v="0"/>
    <x v="5"/>
    <s v="Monthly"/>
    <n v="0.1"/>
    <n v="806.87699999999995"/>
    <n v="896.53"/>
    <s v="Debit Card"/>
    <s v="Normal"/>
    <s v="Good"/>
  </r>
  <r>
    <n v="4208"/>
    <n v="36"/>
    <x v="1"/>
    <x v="28"/>
    <x v="4"/>
    <n v="178.86"/>
    <x v="53"/>
    <x v="2"/>
    <s v="White"/>
    <x v="0"/>
    <n v="3"/>
    <s v="Yes"/>
    <x v="0"/>
    <s v="No"/>
    <n v="0"/>
    <x v="2"/>
    <s v="Monthly"/>
    <n v="0.1"/>
    <n v="160.97400000000002"/>
    <n v="178.86"/>
    <s v="Credit Card"/>
    <s v="Normal"/>
    <s v="Good"/>
  </r>
  <r>
    <n v="4209"/>
    <n v="49"/>
    <x v="1"/>
    <x v="9"/>
    <x v="0"/>
    <n v="890.97"/>
    <x v="52"/>
    <x v="2"/>
    <s v="White"/>
    <x v="4"/>
    <n v="2"/>
    <s v="No"/>
    <x v="0"/>
    <s v="No"/>
    <n v="20"/>
    <x v="3"/>
    <s v="Quarterly"/>
    <n v="0.1"/>
    <n v="801.87300000000005"/>
    <n v="890.97"/>
    <s v="PayPal"/>
    <s v="Normal"/>
    <s v="Poor"/>
  </r>
  <r>
    <n v="4210"/>
    <n v="44"/>
    <x v="0"/>
    <x v="5"/>
    <x v="0"/>
    <n v="797.32"/>
    <x v="50"/>
    <x v="1"/>
    <s v="Black"/>
    <x v="1"/>
    <n v="1"/>
    <s v="Yes"/>
    <x v="3"/>
    <s v="Yes"/>
    <n v="0"/>
    <x v="3"/>
    <s v="Weekly"/>
    <n v="0.1"/>
    <n v="717.58800000000008"/>
    <n v="797.32"/>
    <s v="PayPal"/>
    <s v="Normal"/>
    <s v="Poor"/>
  </r>
  <r>
    <n v="4211"/>
    <n v="58"/>
    <x v="2"/>
    <x v="29"/>
    <x v="3"/>
    <n v="39.28"/>
    <x v="52"/>
    <x v="0"/>
    <s v="Green"/>
    <x v="2"/>
    <n v="1"/>
    <s v="Yes"/>
    <x v="3"/>
    <s v="No"/>
    <n v="0"/>
    <x v="2"/>
    <s v="Weekly"/>
    <n v="0.1"/>
    <n v="35.352000000000004"/>
    <n v="39.28"/>
    <s v="Credit Card"/>
    <s v="Normal"/>
    <s v="Poor"/>
  </r>
  <r>
    <n v="4212"/>
    <n v="45"/>
    <x v="2"/>
    <x v="28"/>
    <x v="3"/>
    <n v="0"/>
    <x v="52"/>
    <x v="0"/>
    <s v="Black"/>
    <x v="0"/>
    <n v="1"/>
    <s v="Yes"/>
    <x v="3"/>
    <s v="No"/>
    <n v="30"/>
    <x v="3"/>
    <s v="Weekly"/>
    <n v="0.1"/>
    <n v="0"/>
    <n v="0"/>
    <s v="PayPal"/>
    <s v="Normal"/>
    <s v="Poor"/>
  </r>
  <r>
    <n v="4213"/>
    <n v="67"/>
    <x v="0"/>
    <x v="25"/>
    <x v="4"/>
    <n v="444.17"/>
    <x v="14"/>
    <x v="2"/>
    <s v="Blue"/>
    <x v="0"/>
    <n v="1"/>
    <s v="Yes"/>
    <x v="0"/>
    <s v="Yes"/>
    <n v="7"/>
    <x v="3"/>
    <s v="Quarterly"/>
    <n v="0.1"/>
    <n v="399.75300000000004"/>
    <n v="444.17"/>
    <s v="PayPal"/>
    <s v="Normal"/>
    <s v="Poor"/>
  </r>
  <r>
    <n v="4214"/>
    <n v="34"/>
    <x v="2"/>
    <x v="28"/>
    <x v="3"/>
    <n v="0"/>
    <x v="50"/>
    <x v="1"/>
    <s v="Red"/>
    <x v="4"/>
    <n v="1"/>
    <s v="Yes"/>
    <x v="0"/>
    <s v="No"/>
    <n v="15"/>
    <x v="3"/>
    <s v="Monthly"/>
    <n v="0.1"/>
    <n v="0"/>
    <n v="0"/>
    <s v="PayPal"/>
    <s v="Normal"/>
    <s v="Poor"/>
  </r>
  <r>
    <n v="4215"/>
    <n v="70"/>
    <x v="0"/>
    <x v="26"/>
    <x v="4"/>
    <n v="0"/>
    <x v="14"/>
    <x v="2"/>
    <s v="Red"/>
    <x v="2"/>
    <n v="1"/>
    <s v="No"/>
    <x v="3"/>
    <s v="Yes"/>
    <n v="25"/>
    <x v="3"/>
    <s v="Quarterly"/>
    <n v="0.1"/>
    <n v="0"/>
    <n v="0"/>
    <s v="PayPal"/>
    <s v="Normal"/>
    <s v="Poor"/>
  </r>
  <r>
    <n v="4216"/>
    <n v="56"/>
    <x v="1"/>
    <x v="28"/>
    <x v="3"/>
    <n v="713.42"/>
    <x v="51"/>
    <x v="2"/>
    <s v="Red"/>
    <x v="2"/>
    <n v="1"/>
    <s v="Yes"/>
    <x v="3"/>
    <s v="No"/>
    <n v="8"/>
    <x v="3"/>
    <s v="Monthly"/>
    <n v="0.1"/>
    <n v="642.07799999999997"/>
    <n v="713.42"/>
    <s v="PayPal"/>
    <s v="Normal"/>
    <s v="Poor"/>
  </r>
  <r>
    <n v="4217"/>
    <n v="53"/>
    <x v="1"/>
    <x v="5"/>
    <x v="3"/>
    <n v="1163.93"/>
    <x v="14"/>
    <x v="2"/>
    <s v="Green"/>
    <x v="4"/>
    <n v="1"/>
    <s v="Yes"/>
    <x v="0"/>
    <s v="Yes"/>
    <n v="0"/>
    <x v="5"/>
    <s v="Weekly"/>
    <n v="0.1"/>
    <n v="1047.537"/>
    <n v="1163.93"/>
    <s v="Debit Card"/>
    <s v="Normal"/>
    <s v="Poor"/>
  </r>
  <r>
    <n v="4218"/>
    <n v="40"/>
    <x v="0"/>
    <x v="25"/>
    <x v="3"/>
    <n v="544.47"/>
    <x v="14"/>
    <x v="0"/>
    <s v="Red"/>
    <x v="1"/>
    <n v="2"/>
    <s v="No"/>
    <x v="3"/>
    <s v="Yes"/>
    <n v="47"/>
    <x v="2"/>
    <s v="Weekly"/>
    <n v="0.1"/>
    <n v="490.02300000000002"/>
    <n v="544.47"/>
    <s v="Credit Card"/>
    <s v="Normal"/>
    <s v="Poor"/>
  </r>
  <r>
    <n v="4219"/>
    <n v="44"/>
    <x v="0"/>
    <x v="29"/>
    <x v="3"/>
    <n v="1495.94"/>
    <x v="53"/>
    <x v="0"/>
    <s v="Green"/>
    <x v="1"/>
    <n v="5"/>
    <s v="No"/>
    <x v="0"/>
    <s v="No"/>
    <n v="0"/>
    <x v="2"/>
    <s v="Weekly"/>
    <n v="0.1"/>
    <n v="1346.346"/>
    <n v="1495.94"/>
    <s v="Credit Card"/>
    <s v="Best Customer"/>
    <s v="Good"/>
  </r>
  <r>
    <n v="4220"/>
    <n v="54"/>
    <x v="0"/>
    <x v="25"/>
    <x v="0"/>
    <n v="0"/>
    <x v="50"/>
    <x v="1"/>
    <s v="Blue"/>
    <x v="4"/>
    <n v="1"/>
    <s v="No"/>
    <x v="0"/>
    <s v="No"/>
    <n v="5"/>
    <x v="5"/>
    <s v="Quarterly"/>
    <n v="0.1"/>
    <n v="0"/>
    <n v="0"/>
    <s v="Debit Card"/>
    <s v="Normal"/>
    <s v="Poor"/>
  </r>
  <r>
    <n v="4221"/>
    <n v="49"/>
    <x v="2"/>
    <x v="26"/>
    <x v="4"/>
    <n v="1372.93"/>
    <x v="51"/>
    <x v="2"/>
    <s v="Green"/>
    <x v="4"/>
    <n v="1"/>
    <s v="Yes"/>
    <x v="0"/>
    <s v="Yes"/>
    <n v="0"/>
    <x v="2"/>
    <s v="Monthly"/>
    <n v="0.1"/>
    <n v="1235.6370000000002"/>
    <n v="1372.93"/>
    <s v="Credit Card"/>
    <s v="Normal"/>
    <s v="Poor"/>
  </r>
  <r>
    <n v="4222"/>
    <n v="53"/>
    <x v="2"/>
    <x v="28"/>
    <x v="4"/>
    <n v="0"/>
    <x v="51"/>
    <x v="2"/>
    <s v="Green"/>
    <x v="2"/>
    <n v="1"/>
    <s v="Yes"/>
    <x v="0"/>
    <s v="Yes"/>
    <n v="19"/>
    <x v="1"/>
    <s v="Weekly"/>
    <n v="0.1"/>
    <n v="0"/>
    <n v="0"/>
    <s v="Cash"/>
    <s v="Normal"/>
    <s v="Poor"/>
  </r>
  <r>
    <n v="4223"/>
    <n v="59"/>
    <x v="0"/>
    <x v="26"/>
    <x v="3"/>
    <n v="227"/>
    <x v="14"/>
    <x v="2"/>
    <s v="Green"/>
    <x v="0"/>
    <n v="4"/>
    <s v="No"/>
    <x v="0"/>
    <s v="No"/>
    <n v="0"/>
    <x v="3"/>
    <s v="Quarterly"/>
    <n v="0.1"/>
    <n v="204.3"/>
    <n v="227"/>
    <s v="PayPal"/>
    <s v="Normal"/>
    <s v="Good"/>
  </r>
  <r>
    <n v="4224"/>
    <n v="46"/>
    <x v="0"/>
    <x v="29"/>
    <x v="0"/>
    <n v="356.1"/>
    <x v="14"/>
    <x v="2"/>
    <s v="Black"/>
    <x v="4"/>
    <n v="1"/>
    <s v="No"/>
    <x v="0"/>
    <s v="Yes"/>
    <n v="32"/>
    <x v="5"/>
    <s v="Monthly"/>
    <n v="0.1"/>
    <n v="320.49"/>
    <n v="356.1"/>
    <s v="Debit Card"/>
    <s v="Normal"/>
    <s v="Poor"/>
  </r>
  <r>
    <n v="4225"/>
    <n v="26"/>
    <x v="2"/>
    <x v="25"/>
    <x v="3"/>
    <n v="19.690000000000001"/>
    <x v="53"/>
    <x v="1"/>
    <s v="White"/>
    <x v="1"/>
    <n v="1"/>
    <s v="Yes"/>
    <x v="3"/>
    <s v="Yes"/>
    <n v="26"/>
    <x v="1"/>
    <s v="Weekly"/>
    <n v="0.1"/>
    <n v="17.721"/>
    <n v="19.690000000000001"/>
    <s v="Cash"/>
    <s v="Normal"/>
    <s v="Poor"/>
  </r>
  <r>
    <n v="4226"/>
    <n v="41"/>
    <x v="1"/>
    <x v="28"/>
    <x v="0"/>
    <n v="1472.22"/>
    <x v="52"/>
    <x v="0"/>
    <s v="Green"/>
    <x v="1"/>
    <n v="1"/>
    <s v="No"/>
    <x v="0"/>
    <s v="Yes"/>
    <n v="0"/>
    <x v="5"/>
    <s v="Monthly"/>
    <n v="0.1"/>
    <n v="1324.998"/>
    <n v="1472.22"/>
    <s v="Debit Card"/>
    <s v="Normal"/>
    <s v="Poor"/>
  </r>
  <r>
    <n v="4227"/>
    <n v="29"/>
    <x v="1"/>
    <x v="25"/>
    <x v="3"/>
    <n v="0"/>
    <x v="14"/>
    <x v="1"/>
    <s v="Black"/>
    <x v="2"/>
    <n v="2"/>
    <s v="No"/>
    <x v="0"/>
    <s v="No"/>
    <n v="0"/>
    <x v="2"/>
    <s v="Monthly"/>
    <n v="0.1"/>
    <n v="0"/>
    <n v="0"/>
    <s v="Credit Card"/>
    <s v="Normal"/>
    <s v="Poor"/>
  </r>
  <r>
    <n v="4228"/>
    <n v="21"/>
    <x v="0"/>
    <x v="9"/>
    <x v="0"/>
    <n v="1302.82"/>
    <x v="52"/>
    <x v="3"/>
    <s v="Green"/>
    <x v="4"/>
    <n v="1"/>
    <s v="Yes"/>
    <x v="3"/>
    <s v="No"/>
    <n v="0"/>
    <x v="1"/>
    <s v="Quarterly"/>
    <n v="0.1"/>
    <n v="1172.538"/>
    <n v="1302.82"/>
    <s v="Cash"/>
    <s v="Normal"/>
    <s v="Poor"/>
  </r>
  <r>
    <n v="4229"/>
    <n v="68"/>
    <x v="2"/>
    <x v="28"/>
    <x v="4"/>
    <n v="882.19"/>
    <x v="14"/>
    <x v="2"/>
    <s v="Green"/>
    <x v="0"/>
    <n v="1"/>
    <s v="No"/>
    <x v="3"/>
    <s v="Yes"/>
    <n v="0"/>
    <x v="5"/>
    <s v="Weekly"/>
    <n v="0.1"/>
    <n v="793.971"/>
    <n v="882.19"/>
    <s v="Debit Card"/>
    <s v="Normal"/>
    <s v="Poor"/>
  </r>
  <r>
    <n v="4230"/>
    <n v="61"/>
    <x v="2"/>
    <x v="28"/>
    <x v="4"/>
    <n v="123.39"/>
    <x v="14"/>
    <x v="2"/>
    <s v="Blue"/>
    <x v="1"/>
    <n v="2"/>
    <s v="No"/>
    <x v="0"/>
    <s v="Yes"/>
    <n v="5"/>
    <x v="5"/>
    <s v="Weekly"/>
    <n v="0.1"/>
    <n v="111.051"/>
    <n v="123.39"/>
    <s v="Debit Card"/>
    <s v="Normal"/>
    <s v="Poor"/>
  </r>
  <r>
    <n v="4231"/>
    <n v="23"/>
    <x v="2"/>
    <x v="29"/>
    <x v="4"/>
    <n v="1379.95"/>
    <x v="51"/>
    <x v="2"/>
    <s v="Red"/>
    <x v="2"/>
    <n v="4"/>
    <s v="No"/>
    <x v="0"/>
    <s v="Yes"/>
    <n v="11"/>
    <x v="5"/>
    <s v="Monthly"/>
    <n v="0.1"/>
    <n v="1241.9549999999999"/>
    <n v="1379.95"/>
    <s v="Debit Card"/>
    <s v="Best Customer"/>
    <s v="Good"/>
  </r>
  <r>
    <n v="4232"/>
    <n v="57"/>
    <x v="1"/>
    <x v="5"/>
    <x v="3"/>
    <n v="1268.73"/>
    <x v="14"/>
    <x v="1"/>
    <s v="Black"/>
    <x v="4"/>
    <n v="1"/>
    <s v="No"/>
    <x v="3"/>
    <s v="Yes"/>
    <n v="33"/>
    <x v="3"/>
    <s v="Monthly"/>
    <n v="0.1"/>
    <n v="1141.857"/>
    <n v="1268.73"/>
    <s v="PayPal"/>
    <s v="Normal"/>
    <s v="Poor"/>
  </r>
  <r>
    <n v="4233"/>
    <n v="27"/>
    <x v="1"/>
    <x v="28"/>
    <x v="3"/>
    <n v="47.79"/>
    <x v="53"/>
    <x v="0"/>
    <s v="Red"/>
    <x v="0"/>
    <n v="3"/>
    <s v="No"/>
    <x v="0"/>
    <s v="No"/>
    <n v="0"/>
    <x v="3"/>
    <s v="Monthly"/>
    <n v="0.1"/>
    <n v="43.010999999999996"/>
    <n v="47.79"/>
    <s v="PayPal"/>
    <s v="Normal"/>
    <s v="Good"/>
  </r>
  <r>
    <n v="4234"/>
    <n v="27"/>
    <x v="0"/>
    <x v="29"/>
    <x v="4"/>
    <n v="1388.53"/>
    <x v="52"/>
    <x v="2"/>
    <s v="Blue"/>
    <x v="2"/>
    <n v="1"/>
    <s v="Yes"/>
    <x v="0"/>
    <s v="No"/>
    <n v="45"/>
    <x v="3"/>
    <s v="Quarterly"/>
    <n v="0.1"/>
    <n v="1249.6769999999999"/>
    <n v="1388.53"/>
    <s v="PayPal"/>
    <s v="Normal"/>
    <s v="Poor"/>
  </r>
  <r>
    <n v="4235"/>
    <n v="56"/>
    <x v="2"/>
    <x v="25"/>
    <x v="0"/>
    <n v="0"/>
    <x v="14"/>
    <x v="1"/>
    <s v="Red"/>
    <x v="1"/>
    <n v="1"/>
    <s v="Yes"/>
    <x v="0"/>
    <s v="Yes"/>
    <n v="0"/>
    <x v="5"/>
    <s v="Quarterly"/>
    <n v="0.1"/>
    <n v="0"/>
    <n v="0"/>
    <s v="Debit Card"/>
    <s v="Normal"/>
    <s v="Poor"/>
  </r>
  <r>
    <n v="4236"/>
    <n v="65"/>
    <x v="0"/>
    <x v="5"/>
    <x v="3"/>
    <n v="0"/>
    <x v="52"/>
    <x v="0"/>
    <s v="White"/>
    <x v="2"/>
    <n v="2"/>
    <s v="No"/>
    <x v="3"/>
    <s v="Yes"/>
    <n v="49"/>
    <x v="5"/>
    <s v="Quarterly"/>
    <n v="0.1"/>
    <n v="0"/>
    <n v="0"/>
    <s v="Debit Card"/>
    <s v="Normal"/>
    <s v="Poor"/>
  </r>
  <r>
    <n v="4237"/>
    <n v="27"/>
    <x v="0"/>
    <x v="25"/>
    <x v="0"/>
    <n v="297.77999999999997"/>
    <x v="51"/>
    <x v="1"/>
    <s v="Green"/>
    <x v="0"/>
    <n v="5"/>
    <s v="Yes"/>
    <x v="0"/>
    <s v="Yes"/>
    <n v="44"/>
    <x v="1"/>
    <s v="Quarterly"/>
    <n v="0.1"/>
    <n v="268.00199999999995"/>
    <n v="297.77999999999997"/>
    <s v="Cash"/>
    <s v="Normal"/>
    <s v="Good"/>
  </r>
  <r>
    <n v="4238"/>
    <n v="55"/>
    <x v="1"/>
    <x v="27"/>
    <x v="4"/>
    <n v="0"/>
    <x v="52"/>
    <x v="2"/>
    <s v="Green"/>
    <x v="4"/>
    <n v="1"/>
    <s v="No"/>
    <x v="0"/>
    <s v="Yes"/>
    <n v="0"/>
    <x v="3"/>
    <s v="Quarterly"/>
    <n v="0.1"/>
    <n v="0"/>
    <n v="0"/>
    <s v="PayPal"/>
    <s v="Normal"/>
    <s v="Poor"/>
  </r>
  <r>
    <n v="4239"/>
    <n v="59"/>
    <x v="1"/>
    <x v="29"/>
    <x v="0"/>
    <n v="0"/>
    <x v="52"/>
    <x v="2"/>
    <s v="Black"/>
    <x v="0"/>
    <n v="3"/>
    <s v="Yes"/>
    <x v="0"/>
    <s v="Yes"/>
    <n v="14"/>
    <x v="2"/>
    <s v="Monthly"/>
    <n v="0.1"/>
    <n v="0"/>
    <n v="0"/>
    <s v="Credit Card"/>
    <s v="Normal"/>
    <s v="Good"/>
  </r>
  <r>
    <n v="4240"/>
    <n v="39"/>
    <x v="0"/>
    <x v="29"/>
    <x v="3"/>
    <n v="0"/>
    <x v="50"/>
    <x v="2"/>
    <s v="Green"/>
    <x v="0"/>
    <n v="1"/>
    <s v="Yes"/>
    <x v="3"/>
    <s v="Yes"/>
    <n v="20"/>
    <x v="2"/>
    <s v="Weekly"/>
    <n v="0.1"/>
    <n v="0"/>
    <n v="0"/>
    <s v="Credit Card"/>
    <s v="Normal"/>
    <s v="Poor"/>
  </r>
  <r>
    <n v="4241"/>
    <n v="29"/>
    <x v="0"/>
    <x v="26"/>
    <x v="4"/>
    <n v="0"/>
    <x v="14"/>
    <x v="2"/>
    <s v="Green"/>
    <x v="0"/>
    <n v="1"/>
    <s v="Yes"/>
    <x v="3"/>
    <s v="Yes"/>
    <n v="17"/>
    <x v="5"/>
    <s v="Quarterly"/>
    <n v="0.1"/>
    <n v="0"/>
    <n v="0"/>
    <s v="Debit Card"/>
    <s v="Normal"/>
    <s v="Poor"/>
  </r>
  <r>
    <n v="4242"/>
    <n v="61"/>
    <x v="1"/>
    <x v="9"/>
    <x v="4"/>
    <n v="60.79"/>
    <x v="50"/>
    <x v="2"/>
    <s v="White"/>
    <x v="2"/>
    <n v="1"/>
    <s v="Yes"/>
    <x v="3"/>
    <s v="No"/>
    <n v="0"/>
    <x v="1"/>
    <s v="Monthly"/>
    <n v="0.1"/>
    <n v="54.710999999999999"/>
    <n v="60.79"/>
    <s v="Cash"/>
    <s v="Normal"/>
    <s v="Poor"/>
  </r>
  <r>
    <n v="4243"/>
    <n v="18"/>
    <x v="0"/>
    <x v="28"/>
    <x v="0"/>
    <n v="0"/>
    <x v="51"/>
    <x v="3"/>
    <s v="Red"/>
    <x v="0"/>
    <n v="1"/>
    <s v="No"/>
    <x v="0"/>
    <s v="No"/>
    <n v="0"/>
    <x v="1"/>
    <s v="Quarterly"/>
    <n v="0.1"/>
    <n v="0"/>
    <n v="0"/>
    <s v="Cash"/>
    <s v="Normal"/>
    <s v="Poor"/>
  </r>
  <r>
    <n v="4244"/>
    <n v="44"/>
    <x v="2"/>
    <x v="25"/>
    <x v="4"/>
    <n v="191.27"/>
    <x v="52"/>
    <x v="2"/>
    <s v="White"/>
    <x v="1"/>
    <n v="1"/>
    <s v="Yes"/>
    <x v="3"/>
    <s v="Yes"/>
    <n v="0"/>
    <x v="3"/>
    <s v="Weekly"/>
    <n v="0.1"/>
    <n v="172.143"/>
    <n v="191.27"/>
    <s v="PayPal"/>
    <s v="Normal"/>
    <s v="Poor"/>
  </r>
  <r>
    <n v="4245"/>
    <n v="42"/>
    <x v="1"/>
    <x v="9"/>
    <x v="3"/>
    <n v="454"/>
    <x v="14"/>
    <x v="0"/>
    <s v="Red"/>
    <x v="4"/>
    <n v="5"/>
    <s v="No"/>
    <x v="0"/>
    <s v="No"/>
    <n v="40"/>
    <x v="5"/>
    <s v="Monthly"/>
    <n v="0.1"/>
    <n v="408.6"/>
    <n v="454"/>
    <s v="Debit Card"/>
    <s v="Normal"/>
    <s v="Good"/>
  </r>
  <r>
    <n v="4246"/>
    <n v="57"/>
    <x v="0"/>
    <x v="28"/>
    <x v="4"/>
    <n v="0"/>
    <x v="53"/>
    <x v="2"/>
    <s v="Blue"/>
    <x v="0"/>
    <n v="5"/>
    <s v="No"/>
    <x v="0"/>
    <s v="Yes"/>
    <n v="0"/>
    <x v="5"/>
    <s v="Quarterly"/>
    <n v="0.1"/>
    <n v="0"/>
    <n v="0"/>
    <s v="Debit Card"/>
    <s v="Normal"/>
    <s v="Good"/>
  </r>
  <r>
    <n v="4247"/>
    <n v="28"/>
    <x v="1"/>
    <x v="29"/>
    <x v="3"/>
    <n v="0"/>
    <x v="52"/>
    <x v="2"/>
    <s v="White"/>
    <x v="0"/>
    <n v="1"/>
    <s v="No"/>
    <x v="3"/>
    <s v="Yes"/>
    <n v="2"/>
    <x v="2"/>
    <s v="Quarterly"/>
    <n v="0.1"/>
    <n v="0"/>
    <n v="0"/>
    <s v="Credit Card"/>
    <s v="Normal"/>
    <s v="Poor"/>
  </r>
  <r>
    <n v="4248"/>
    <n v="38"/>
    <x v="2"/>
    <x v="29"/>
    <x v="0"/>
    <n v="1117.69"/>
    <x v="14"/>
    <x v="0"/>
    <s v="Blue"/>
    <x v="4"/>
    <n v="3"/>
    <s v="Yes"/>
    <x v="0"/>
    <s v="Yes"/>
    <n v="0"/>
    <x v="3"/>
    <s v="Quarterly"/>
    <n v="0.1"/>
    <n v="1005.921"/>
    <n v="1117.69"/>
    <s v="PayPal"/>
    <s v="Normal"/>
    <s v="Good"/>
  </r>
  <r>
    <n v="4249"/>
    <n v="19"/>
    <x v="2"/>
    <x v="27"/>
    <x v="3"/>
    <n v="0"/>
    <x v="53"/>
    <x v="0"/>
    <s v="Red"/>
    <x v="1"/>
    <n v="1"/>
    <s v="Yes"/>
    <x v="3"/>
    <s v="Yes"/>
    <n v="0"/>
    <x v="1"/>
    <s v="Quarterly"/>
    <n v="0.1"/>
    <n v="0"/>
    <n v="0"/>
    <s v="Cash"/>
    <s v="Normal"/>
    <s v="Poor"/>
  </r>
  <r>
    <n v="4250"/>
    <n v="24"/>
    <x v="2"/>
    <x v="5"/>
    <x v="3"/>
    <n v="0"/>
    <x v="53"/>
    <x v="2"/>
    <s v="Red"/>
    <x v="2"/>
    <n v="4"/>
    <s v="No"/>
    <x v="3"/>
    <s v="Yes"/>
    <n v="0"/>
    <x v="1"/>
    <s v="Monthly"/>
    <n v="0.1"/>
    <n v="0"/>
    <n v="0"/>
    <s v="Cash"/>
    <s v="Normal"/>
    <s v="Good"/>
  </r>
  <r>
    <n v="4251"/>
    <n v="20"/>
    <x v="0"/>
    <x v="28"/>
    <x v="0"/>
    <n v="956.02"/>
    <x v="52"/>
    <x v="3"/>
    <s v="White"/>
    <x v="1"/>
    <n v="1"/>
    <s v="Yes"/>
    <x v="3"/>
    <s v="Yes"/>
    <n v="6"/>
    <x v="1"/>
    <s v="Monthly"/>
    <n v="0.1"/>
    <n v="860.41800000000001"/>
    <n v="956.02"/>
    <s v="Cash"/>
    <s v="Normal"/>
    <s v="Poor"/>
  </r>
  <r>
    <n v="4252"/>
    <n v="67"/>
    <x v="1"/>
    <x v="26"/>
    <x v="3"/>
    <n v="1009.61"/>
    <x v="51"/>
    <x v="1"/>
    <s v="Green"/>
    <x v="0"/>
    <n v="3"/>
    <s v="Yes"/>
    <x v="3"/>
    <s v="No"/>
    <n v="1"/>
    <x v="3"/>
    <s v="Quarterly"/>
    <n v="0.1"/>
    <n v="908.649"/>
    <n v="1009.61"/>
    <s v="PayPal"/>
    <s v="Normal"/>
    <s v="Good"/>
  </r>
  <r>
    <n v="4253"/>
    <n v="59"/>
    <x v="1"/>
    <x v="25"/>
    <x v="3"/>
    <n v="0"/>
    <x v="52"/>
    <x v="2"/>
    <s v="Green"/>
    <x v="4"/>
    <n v="1"/>
    <s v="Yes"/>
    <x v="0"/>
    <s v="Yes"/>
    <n v="49"/>
    <x v="1"/>
    <s v="Weekly"/>
    <n v="0.1"/>
    <n v="0"/>
    <n v="0"/>
    <s v="Cash"/>
    <s v="Normal"/>
    <s v="Poor"/>
  </r>
  <r>
    <n v="4254"/>
    <n v="59"/>
    <x v="2"/>
    <x v="29"/>
    <x v="0"/>
    <n v="888.11"/>
    <x v="14"/>
    <x v="3"/>
    <s v="White"/>
    <x v="0"/>
    <n v="3"/>
    <s v="Yes"/>
    <x v="3"/>
    <s v="No"/>
    <n v="13"/>
    <x v="2"/>
    <s v="Quarterly"/>
    <n v="0.1"/>
    <n v="799.29899999999998"/>
    <n v="888.11"/>
    <s v="Credit Card"/>
    <s v="Normal"/>
    <s v="Good"/>
  </r>
  <r>
    <n v="4255"/>
    <n v="68"/>
    <x v="0"/>
    <x v="5"/>
    <x v="3"/>
    <n v="0"/>
    <x v="50"/>
    <x v="1"/>
    <s v="Blue"/>
    <x v="2"/>
    <n v="1"/>
    <s v="Yes"/>
    <x v="3"/>
    <s v="No"/>
    <n v="49"/>
    <x v="3"/>
    <s v="Quarterly"/>
    <n v="0.1"/>
    <n v="0"/>
    <n v="0"/>
    <s v="PayPal"/>
    <s v="Normal"/>
    <s v="Poor"/>
  </r>
  <r>
    <n v="4256"/>
    <n v="70"/>
    <x v="0"/>
    <x v="26"/>
    <x v="4"/>
    <n v="0"/>
    <x v="51"/>
    <x v="2"/>
    <s v="Green"/>
    <x v="4"/>
    <n v="1"/>
    <s v="Yes"/>
    <x v="3"/>
    <s v="Yes"/>
    <n v="25"/>
    <x v="1"/>
    <s v="Weekly"/>
    <n v="0.1"/>
    <n v="0"/>
    <n v="0"/>
    <s v="Cash"/>
    <s v="Normal"/>
    <s v="Poor"/>
  </r>
  <r>
    <n v="4257"/>
    <n v="60"/>
    <x v="2"/>
    <x v="28"/>
    <x v="0"/>
    <n v="0"/>
    <x v="53"/>
    <x v="3"/>
    <s v="Green"/>
    <x v="0"/>
    <n v="1"/>
    <s v="Yes"/>
    <x v="0"/>
    <s v="No"/>
    <n v="11"/>
    <x v="1"/>
    <s v="Quarterly"/>
    <n v="0.1"/>
    <n v="0"/>
    <n v="0"/>
    <s v="Cash"/>
    <s v="Normal"/>
    <s v="Poor"/>
  </r>
  <r>
    <n v="4258"/>
    <n v="27"/>
    <x v="2"/>
    <x v="25"/>
    <x v="3"/>
    <n v="321.95999999999998"/>
    <x v="53"/>
    <x v="2"/>
    <s v="Blue"/>
    <x v="2"/>
    <n v="3"/>
    <s v="Yes"/>
    <x v="3"/>
    <s v="No"/>
    <n v="21"/>
    <x v="5"/>
    <s v="Monthly"/>
    <n v="0.1"/>
    <n v="289.76400000000001"/>
    <n v="321.95999999999998"/>
    <s v="Debit Card"/>
    <s v="Normal"/>
    <s v="Good"/>
  </r>
  <r>
    <n v="4259"/>
    <n v="69"/>
    <x v="0"/>
    <x v="26"/>
    <x v="0"/>
    <n v="0"/>
    <x v="14"/>
    <x v="2"/>
    <s v="Black"/>
    <x v="1"/>
    <n v="1"/>
    <s v="Yes"/>
    <x v="0"/>
    <s v="No"/>
    <n v="0"/>
    <x v="3"/>
    <s v="Weekly"/>
    <n v="0.1"/>
    <n v="0"/>
    <n v="0"/>
    <s v="PayPal"/>
    <s v="Normal"/>
    <s v="Poor"/>
  </r>
  <r>
    <n v="4260"/>
    <n v="42"/>
    <x v="0"/>
    <x v="27"/>
    <x v="4"/>
    <n v="520.35"/>
    <x v="51"/>
    <x v="2"/>
    <s v="Blue"/>
    <x v="4"/>
    <n v="5"/>
    <s v="Yes"/>
    <x v="3"/>
    <s v="Yes"/>
    <n v="34"/>
    <x v="3"/>
    <s v="Weekly"/>
    <n v="0.1"/>
    <n v="468.315"/>
    <n v="520.35"/>
    <s v="PayPal"/>
    <s v="Normal"/>
    <s v="Good"/>
  </r>
  <r>
    <n v="4261"/>
    <n v="54"/>
    <x v="2"/>
    <x v="29"/>
    <x v="3"/>
    <n v="0"/>
    <x v="51"/>
    <x v="0"/>
    <s v="Blue"/>
    <x v="1"/>
    <n v="1"/>
    <s v="Yes"/>
    <x v="3"/>
    <s v="Yes"/>
    <n v="24"/>
    <x v="2"/>
    <s v="Weekly"/>
    <n v="0.1"/>
    <n v="0"/>
    <n v="0"/>
    <s v="Credit Card"/>
    <s v="Normal"/>
    <s v="Poor"/>
  </r>
  <r>
    <n v="4262"/>
    <n v="23"/>
    <x v="0"/>
    <x v="29"/>
    <x v="3"/>
    <n v="0"/>
    <x v="14"/>
    <x v="0"/>
    <s v="Green"/>
    <x v="4"/>
    <n v="4"/>
    <s v="Yes"/>
    <x v="3"/>
    <s v="Yes"/>
    <n v="29"/>
    <x v="5"/>
    <s v="Monthly"/>
    <n v="0.1"/>
    <n v="0"/>
    <n v="0"/>
    <s v="Debit Card"/>
    <s v="Normal"/>
    <s v="Good"/>
  </r>
  <r>
    <n v="4263"/>
    <n v="51"/>
    <x v="1"/>
    <x v="28"/>
    <x v="0"/>
    <n v="0"/>
    <x v="53"/>
    <x v="1"/>
    <s v="Red"/>
    <x v="1"/>
    <n v="4"/>
    <s v="No"/>
    <x v="0"/>
    <s v="No"/>
    <n v="17"/>
    <x v="5"/>
    <s v="Quarterly"/>
    <n v="0.1"/>
    <n v="0"/>
    <n v="0"/>
    <s v="Debit Card"/>
    <s v="Normal"/>
    <s v="Good"/>
  </r>
  <r>
    <n v="4264"/>
    <n v="60"/>
    <x v="0"/>
    <x v="27"/>
    <x v="4"/>
    <n v="0"/>
    <x v="53"/>
    <x v="2"/>
    <s v="Black"/>
    <x v="2"/>
    <n v="2"/>
    <s v="Yes"/>
    <x v="0"/>
    <s v="Yes"/>
    <n v="0"/>
    <x v="1"/>
    <s v="Quarterly"/>
    <n v="0.1"/>
    <n v="0"/>
    <n v="0"/>
    <s v="Cash"/>
    <s v="Normal"/>
    <s v="Poor"/>
  </r>
  <r>
    <n v="4265"/>
    <n v="63"/>
    <x v="2"/>
    <x v="28"/>
    <x v="3"/>
    <n v="708.58"/>
    <x v="53"/>
    <x v="1"/>
    <s v="Green"/>
    <x v="1"/>
    <n v="2"/>
    <s v="Yes"/>
    <x v="3"/>
    <s v="Yes"/>
    <n v="0"/>
    <x v="5"/>
    <s v="Monthly"/>
    <n v="0.1"/>
    <n v="637.72199999999998"/>
    <n v="708.58"/>
    <s v="Debit Card"/>
    <s v="Normal"/>
    <s v="Poor"/>
  </r>
  <r>
    <n v="4266"/>
    <n v="23"/>
    <x v="1"/>
    <x v="25"/>
    <x v="4"/>
    <n v="0"/>
    <x v="50"/>
    <x v="2"/>
    <s v="Red"/>
    <x v="1"/>
    <n v="1"/>
    <s v="Yes"/>
    <x v="3"/>
    <s v="Yes"/>
    <n v="22"/>
    <x v="1"/>
    <s v="Weekly"/>
    <n v="0.1"/>
    <n v="0"/>
    <n v="0"/>
    <s v="Cash"/>
    <s v="Normal"/>
    <s v="Poor"/>
  </r>
  <r>
    <n v="4267"/>
    <n v="25"/>
    <x v="0"/>
    <x v="9"/>
    <x v="0"/>
    <n v="221.06"/>
    <x v="53"/>
    <x v="2"/>
    <s v="Black"/>
    <x v="4"/>
    <n v="1"/>
    <s v="Yes"/>
    <x v="0"/>
    <s v="No"/>
    <n v="0"/>
    <x v="1"/>
    <s v="Weekly"/>
    <n v="0.1"/>
    <n v="198.95400000000001"/>
    <n v="221.06"/>
    <s v="Cash"/>
    <s v="Normal"/>
    <s v="Poor"/>
  </r>
  <r>
    <n v="4268"/>
    <n v="62"/>
    <x v="2"/>
    <x v="26"/>
    <x v="3"/>
    <n v="0"/>
    <x v="14"/>
    <x v="0"/>
    <s v="Blue"/>
    <x v="1"/>
    <n v="1"/>
    <s v="Yes"/>
    <x v="0"/>
    <s v="Yes"/>
    <n v="12"/>
    <x v="3"/>
    <s v="Quarterly"/>
    <n v="0.1"/>
    <n v="0"/>
    <n v="0"/>
    <s v="PayPal"/>
    <s v="Normal"/>
    <s v="Poor"/>
  </r>
  <r>
    <n v="4269"/>
    <n v="56"/>
    <x v="1"/>
    <x v="29"/>
    <x v="4"/>
    <n v="118.61"/>
    <x v="51"/>
    <x v="2"/>
    <s v="Green"/>
    <x v="4"/>
    <n v="1"/>
    <s v="Yes"/>
    <x v="3"/>
    <s v="Yes"/>
    <n v="0"/>
    <x v="3"/>
    <s v="Quarterly"/>
    <n v="0.1"/>
    <n v="106.749"/>
    <n v="118.61"/>
    <s v="PayPal"/>
    <s v="Normal"/>
    <s v="Poor"/>
  </r>
  <r>
    <n v="4270"/>
    <n v="55"/>
    <x v="1"/>
    <x v="26"/>
    <x v="4"/>
    <n v="387.35"/>
    <x v="51"/>
    <x v="2"/>
    <s v="White"/>
    <x v="0"/>
    <n v="1"/>
    <s v="No"/>
    <x v="3"/>
    <s v="No"/>
    <n v="9"/>
    <x v="2"/>
    <s v="Quarterly"/>
    <n v="0.1"/>
    <n v="348.61500000000001"/>
    <n v="387.35"/>
    <s v="Credit Card"/>
    <s v="Normal"/>
    <s v="Poor"/>
  </r>
  <r>
    <n v="4271"/>
    <n v="58"/>
    <x v="1"/>
    <x v="9"/>
    <x v="4"/>
    <n v="0"/>
    <x v="14"/>
    <x v="2"/>
    <s v="Blue"/>
    <x v="1"/>
    <n v="1"/>
    <s v="No"/>
    <x v="3"/>
    <s v="Yes"/>
    <n v="15"/>
    <x v="2"/>
    <s v="Monthly"/>
    <n v="0.1"/>
    <n v="0"/>
    <n v="0"/>
    <s v="Credit Card"/>
    <s v="Normal"/>
    <s v="Poor"/>
  </r>
  <r>
    <n v="4272"/>
    <n v="67"/>
    <x v="1"/>
    <x v="29"/>
    <x v="0"/>
    <n v="0"/>
    <x v="52"/>
    <x v="3"/>
    <s v="Green"/>
    <x v="4"/>
    <n v="2"/>
    <s v="No"/>
    <x v="0"/>
    <s v="Yes"/>
    <n v="0"/>
    <x v="2"/>
    <s v="Quarterly"/>
    <n v="0.1"/>
    <n v="0"/>
    <n v="0"/>
    <s v="Credit Card"/>
    <s v="Normal"/>
    <s v="Poor"/>
  </r>
  <r>
    <n v="4273"/>
    <n v="64"/>
    <x v="1"/>
    <x v="5"/>
    <x v="0"/>
    <n v="938.96"/>
    <x v="14"/>
    <x v="3"/>
    <s v="Red"/>
    <x v="2"/>
    <n v="5"/>
    <s v="No"/>
    <x v="3"/>
    <s v="No"/>
    <n v="42"/>
    <x v="1"/>
    <s v="Monthly"/>
    <n v="0.1"/>
    <n v="845.06400000000008"/>
    <n v="938.96"/>
    <s v="Cash"/>
    <s v="Normal"/>
    <s v="Good"/>
  </r>
  <r>
    <n v="4274"/>
    <n v="34"/>
    <x v="1"/>
    <x v="29"/>
    <x v="4"/>
    <n v="996.93"/>
    <x v="14"/>
    <x v="2"/>
    <s v="White"/>
    <x v="0"/>
    <n v="1"/>
    <s v="No"/>
    <x v="0"/>
    <s v="No"/>
    <n v="42"/>
    <x v="5"/>
    <s v="Weekly"/>
    <n v="0.1"/>
    <n v="897.23699999999997"/>
    <n v="996.93"/>
    <s v="Debit Card"/>
    <s v="Normal"/>
    <s v="Poor"/>
  </r>
  <r>
    <n v="4275"/>
    <n v="47"/>
    <x v="1"/>
    <x v="29"/>
    <x v="3"/>
    <n v="1207.32"/>
    <x v="53"/>
    <x v="0"/>
    <s v="White"/>
    <x v="2"/>
    <n v="1"/>
    <s v="Yes"/>
    <x v="0"/>
    <s v="No"/>
    <n v="29"/>
    <x v="5"/>
    <s v="Weekly"/>
    <n v="0.1"/>
    <n v="1086.588"/>
    <n v="1207.32"/>
    <s v="Debit Card"/>
    <s v="Normal"/>
    <s v="Poor"/>
  </r>
  <r>
    <n v="4276"/>
    <n v="53"/>
    <x v="2"/>
    <x v="27"/>
    <x v="3"/>
    <n v="0"/>
    <x v="53"/>
    <x v="2"/>
    <s v="Red"/>
    <x v="1"/>
    <n v="1"/>
    <s v="Yes"/>
    <x v="3"/>
    <s v="No"/>
    <n v="28"/>
    <x v="2"/>
    <s v="Monthly"/>
    <n v="0.1"/>
    <n v="0"/>
    <n v="0"/>
    <s v="Credit Card"/>
    <s v="Normal"/>
    <s v="Poor"/>
  </r>
  <r>
    <n v="4277"/>
    <n v="38"/>
    <x v="1"/>
    <x v="28"/>
    <x v="0"/>
    <n v="0"/>
    <x v="50"/>
    <x v="3"/>
    <s v="Red"/>
    <x v="1"/>
    <n v="1"/>
    <s v="No"/>
    <x v="3"/>
    <s v="No"/>
    <n v="0"/>
    <x v="2"/>
    <s v="Weekly"/>
    <n v="0.1"/>
    <n v="0"/>
    <n v="0"/>
    <s v="Credit Card"/>
    <s v="Normal"/>
    <s v="Poor"/>
  </r>
  <r>
    <n v="4278"/>
    <n v="57"/>
    <x v="0"/>
    <x v="27"/>
    <x v="4"/>
    <n v="0"/>
    <x v="53"/>
    <x v="2"/>
    <s v="White"/>
    <x v="2"/>
    <n v="4"/>
    <s v="Yes"/>
    <x v="0"/>
    <s v="Yes"/>
    <n v="5"/>
    <x v="5"/>
    <s v="Weekly"/>
    <n v="0.1"/>
    <n v="0"/>
    <n v="0"/>
    <s v="Debit Card"/>
    <s v="Normal"/>
    <s v="Good"/>
  </r>
  <r>
    <n v="4279"/>
    <n v="42"/>
    <x v="2"/>
    <x v="28"/>
    <x v="0"/>
    <n v="0"/>
    <x v="53"/>
    <x v="3"/>
    <s v="Red"/>
    <x v="1"/>
    <n v="1"/>
    <s v="No"/>
    <x v="0"/>
    <s v="No"/>
    <n v="5"/>
    <x v="2"/>
    <s v="Weekly"/>
    <n v="0.1"/>
    <n v="0"/>
    <n v="0"/>
    <s v="Credit Card"/>
    <s v="Normal"/>
    <s v="Poor"/>
  </r>
  <r>
    <n v="4280"/>
    <n v="54"/>
    <x v="0"/>
    <x v="25"/>
    <x v="4"/>
    <n v="0"/>
    <x v="53"/>
    <x v="2"/>
    <s v="Black"/>
    <x v="0"/>
    <n v="4"/>
    <s v="No"/>
    <x v="3"/>
    <s v="No"/>
    <n v="2"/>
    <x v="3"/>
    <s v="Weekly"/>
    <n v="0.1"/>
    <n v="0"/>
    <n v="0"/>
    <s v="PayPal"/>
    <s v="Normal"/>
    <s v="Good"/>
  </r>
  <r>
    <n v="4281"/>
    <n v="48"/>
    <x v="0"/>
    <x v="25"/>
    <x v="0"/>
    <n v="0"/>
    <x v="51"/>
    <x v="1"/>
    <s v="Green"/>
    <x v="4"/>
    <n v="1"/>
    <s v="No"/>
    <x v="0"/>
    <s v="Yes"/>
    <n v="0"/>
    <x v="2"/>
    <s v="Quarterly"/>
    <n v="0.1"/>
    <n v="0"/>
    <n v="0"/>
    <s v="Credit Card"/>
    <s v="Normal"/>
    <s v="Poor"/>
  </r>
  <r>
    <n v="4282"/>
    <n v="40"/>
    <x v="0"/>
    <x v="25"/>
    <x v="3"/>
    <n v="0"/>
    <x v="53"/>
    <x v="0"/>
    <s v="Green"/>
    <x v="2"/>
    <n v="4"/>
    <s v="Yes"/>
    <x v="3"/>
    <s v="No"/>
    <n v="0"/>
    <x v="2"/>
    <s v="Quarterly"/>
    <n v="0.1"/>
    <n v="0"/>
    <n v="0"/>
    <s v="Credit Card"/>
    <s v="Normal"/>
    <s v="Good"/>
  </r>
  <r>
    <n v="4283"/>
    <n v="66"/>
    <x v="0"/>
    <x v="25"/>
    <x v="3"/>
    <n v="0"/>
    <x v="14"/>
    <x v="0"/>
    <s v="Green"/>
    <x v="4"/>
    <n v="3"/>
    <s v="Yes"/>
    <x v="0"/>
    <s v="Yes"/>
    <n v="0"/>
    <x v="3"/>
    <s v="Monthly"/>
    <n v="0.1"/>
    <n v="0"/>
    <n v="0"/>
    <s v="PayPal"/>
    <s v="Normal"/>
    <s v="Good"/>
  </r>
  <r>
    <n v="4284"/>
    <n v="70"/>
    <x v="0"/>
    <x v="25"/>
    <x v="0"/>
    <n v="964.07"/>
    <x v="50"/>
    <x v="2"/>
    <s v="Green"/>
    <x v="2"/>
    <n v="1"/>
    <s v="Yes"/>
    <x v="3"/>
    <s v="Yes"/>
    <n v="49"/>
    <x v="5"/>
    <s v="Quarterly"/>
    <n v="0.1"/>
    <n v="867.66300000000001"/>
    <n v="964.07"/>
    <s v="Debit Card"/>
    <s v="Normal"/>
    <s v="Poor"/>
  </r>
  <r>
    <n v="4285"/>
    <n v="18"/>
    <x v="1"/>
    <x v="27"/>
    <x v="0"/>
    <n v="0"/>
    <x v="53"/>
    <x v="2"/>
    <s v="Red"/>
    <x v="0"/>
    <n v="4"/>
    <s v="Yes"/>
    <x v="0"/>
    <s v="No"/>
    <n v="6"/>
    <x v="3"/>
    <s v="Monthly"/>
    <n v="0.1"/>
    <n v="0"/>
    <n v="0"/>
    <s v="PayPal"/>
    <s v="Normal"/>
    <s v="Good"/>
  </r>
  <r>
    <n v="4286"/>
    <n v="54"/>
    <x v="2"/>
    <x v="28"/>
    <x v="0"/>
    <n v="0"/>
    <x v="53"/>
    <x v="2"/>
    <s v="White"/>
    <x v="1"/>
    <n v="5"/>
    <s v="No"/>
    <x v="0"/>
    <s v="Yes"/>
    <n v="0"/>
    <x v="3"/>
    <s v="Monthly"/>
    <n v="0.1"/>
    <n v="0"/>
    <n v="0"/>
    <s v="PayPal"/>
    <s v="Normal"/>
    <s v="Good"/>
  </r>
  <r>
    <n v="4287"/>
    <n v="29"/>
    <x v="0"/>
    <x v="26"/>
    <x v="0"/>
    <n v="0"/>
    <x v="14"/>
    <x v="3"/>
    <s v="Green"/>
    <x v="4"/>
    <n v="1"/>
    <s v="Yes"/>
    <x v="3"/>
    <s v="No"/>
    <n v="1"/>
    <x v="1"/>
    <s v="Monthly"/>
    <n v="0.1"/>
    <n v="0"/>
    <n v="0"/>
    <s v="Cash"/>
    <s v="Normal"/>
    <s v="Poor"/>
  </r>
  <r>
    <n v="4288"/>
    <n v="39"/>
    <x v="2"/>
    <x v="29"/>
    <x v="0"/>
    <n v="993.53"/>
    <x v="52"/>
    <x v="2"/>
    <s v="Black"/>
    <x v="2"/>
    <n v="4"/>
    <s v="Yes"/>
    <x v="0"/>
    <s v="No"/>
    <n v="19"/>
    <x v="2"/>
    <s v="Monthly"/>
    <n v="0.1"/>
    <n v="894.17699999999991"/>
    <n v="993.53"/>
    <s v="Credit Card"/>
    <s v="Normal"/>
    <s v="Good"/>
  </r>
  <r>
    <n v="4289"/>
    <n v="34"/>
    <x v="1"/>
    <x v="26"/>
    <x v="3"/>
    <n v="1282.44"/>
    <x v="14"/>
    <x v="1"/>
    <s v="Red"/>
    <x v="4"/>
    <n v="1"/>
    <s v="No"/>
    <x v="0"/>
    <s v="Yes"/>
    <n v="36"/>
    <x v="3"/>
    <s v="Weekly"/>
    <n v="0.1"/>
    <n v="1154.1960000000001"/>
    <n v="1282.44"/>
    <s v="PayPal"/>
    <s v="Normal"/>
    <s v="Poor"/>
  </r>
  <r>
    <n v="4290"/>
    <n v="37"/>
    <x v="0"/>
    <x v="29"/>
    <x v="0"/>
    <n v="0"/>
    <x v="52"/>
    <x v="1"/>
    <s v="Blue"/>
    <x v="2"/>
    <n v="1"/>
    <s v="Yes"/>
    <x v="3"/>
    <s v="No"/>
    <n v="0"/>
    <x v="3"/>
    <s v="Quarterly"/>
    <n v="0.1"/>
    <n v="0"/>
    <n v="0"/>
    <s v="PayPal"/>
    <s v="Normal"/>
    <s v="Poor"/>
  </r>
  <r>
    <n v="4291"/>
    <n v="21"/>
    <x v="1"/>
    <x v="26"/>
    <x v="4"/>
    <n v="351.36"/>
    <x v="53"/>
    <x v="2"/>
    <s v="White"/>
    <x v="0"/>
    <n v="4"/>
    <s v="Yes"/>
    <x v="3"/>
    <s v="No"/>
    <n v="43"/>
    <x v="2"/>
    <s v="Quarterly"/>
    <n v="0.1"/>
    <n v="316.22399999999999"/>
    <n v="351.36"/>
    <s v="Credit Card"/>
    <s v="Normal"/>
    <s v="Good"/>
  </r>
  <r>
    <n v="4292"/>
    <n v="27"/>
    <x v="2"/>
    <x v="29"/>
    <x v="4"/>
    <n v="0"/>
    <x v="53"/>
    <x v="2"/>
    <s v="Blue"/>
    <x v="2"/>
    <n v="1"/>
    <s v="Yes"/>
    <x v="0"/>
    <s v="Yes"/>
    <n v="0"/>
    <x v="2"/>
    <s v="Weekly"/>
    <n v="0.1"/>
    <n v="0"/>
    <n v="0"/>
    <s v="Credit Card"/>
    <s v="Normal"/>
    <s v="Poor"/>
  </r>
  <r>
    <n v="4293"/>
    <n v="27"/>
    <x v="2"/>
    <x v="9"/>
    <x v="3"/>
    <n v="0"/>
    <x v="53"/>
    <x v="2"/>
    <s v="White"/>
    <x v="2"/>
    <n v="4"/>
    <s v="Yes"/>
    <x v="0"/>
    <s v="Yes"/>
    <n v="0"/>
    <x v="3"/>
    <s v="Quarterly"/>
    <n v="0.1"/>
    <n v="0"/>
    <n v="0"/>
    <s v="PayPal"/>
    <s v="Normal"/>
    <s v="Good"/>
  </r>
  <r>
    <n v="4294"/>
    <n v="25"/>
    <x v="2"/>
    <x v="27"/>
    <x v="4"/>
    <n v="0"/>
    <x v="53"/>
    <x v="2"/>
    <s v="Red"/>
    <x v="1"/>
    <n v="1"/>
    <s v="No"/>
    <x v="3"/>
    <s v="Yes"/>
    <n v="20"/>
    <x v="1"/>
    <s v="Quarterly"/>
    <n v="0.1"/>
    <n v="0"/>
    <n v="0"/>
    <s v="Cash"/>
    <s v="Normal"/>
    <s v="Poor"/>
  </r>
  <r>
    <n v="4295"/>
    <n v="31"/>
    <x v="2"/>
    <x v="5"/>
    <x v="0"/>
    <n v="0"/>
    <x v="50"/>
    <x v="1"/>
    <s v="White"/>
    <x v="4"/>
    <n v="1"/>
    <s v="Yes"/>
    <x v="0"/>
    <s v="Yes"/>
    <n v="50"/>
    <x v="2"/>
    <s v="Weekly"/>
    <n v="0.1"/>
    <n v="0"/>
    <n v="0"/>
    <s v="Credit Card"/>
    <s v="Normal"/>
    <s v="Poor"/>
  </r>
  <r>
    <n v="4296"/>
    <n v="59"/>
    <x v="1"/>
    <x v="5"/>
    <x v="4"/>
    <n v="591.76"/>
    <x v="14"/>
    <x v="2"/>
    <s v="White"/>
    <x v="0"/>
    <n v="3"/>
    <s v="No"/>
    <x v="3"/>
    <s v="No"/>
    <n v="4"/>
    <x v="2"/>
    <s v="Quarterly"/>
    <n v="0.1"/>
    <n v="532.58399999999995"/>
    <n v="591.76"/>
    <s v="Credit Card"/>
    <s v="Normal"/>
    <s v="Good"/>
  </r>
  <r>
    <n v="4297"/>
    <n v="60"/>
    <x v="2"/>
    <x v="5"/>
    <x v="3"/>
    <n v="379.18"/>
    <x v="14"/>
    <x v="2"/>
    <s v="White"/>
    <x v="1"/>
    <n v="5"/>
    <s v="No"/>
    <x v="0"/>
    <s v="Yes"/>
    <n v="12"/>
    <x v="1"/>
    <s v="Quarterly"/>
    <n v="0.1"/>
    <n v="341.262"/>
    <n v="379.18"/>
    <s v="Cash"/>
    <s v="Normal"/>
    <s v="Good"/>
  </r>
  <r>
    <n v="4298"/>
    <n v="58"/>
    <x v="1"/>
    <x v="25"/>
    <x v="3"/>
    <n v="943.94"/>
    <x v="53"/>
    <x v="0"/>
    <s v="Green"/>
    <x v="0"/>
    <n v="1"/>
    <s v="Yes"/>
    <x v="0"/>
    <s v="No"/>
    <n v="38"/>
    <x v="2"/>
    <s v="Monthly"/>
    <n v="0.1"/>
    <n v="849.54600000000005"/>
    <n v="943.94"/>
    <s v="Credit Card"/>
    <s v="Normal"/>
    <s v="Poor"/>
  </r>
  <r>
    <n v="4299"/>
    <n v="61"/>
    <x v="1"/>
    <x v="27"/>
    <x v="4"/>
    <n v="0"/>
    <x v="50"/>
    <x v="2"/>
    <s v="Black"/>
    <x v="1"/>
    <n v="4"/>
    <s v="No"/>
    <x v="3"/>
    <s v="No"/>
    <n v="0"/>
    <x v="5"/>
    <s v="Quarterly"/>
    <n v="0.1"/>
    <n v="0"/>
    <n v="0"/>
    <s v="Debit Card"/>
    <s v="Normal"/>
    <s v="Good"/>
  </r>
  <r>
    <n v="4300"/>
    <n v="40"/>
    <x v="1"/>
    <x v="28"/>
    <x v="0"/>
    <n v="1400.99"/>
    <x v="52"/>
    <x v="1"/>
    <s v="White"/>
    <x v="1"/>
    <n v="1"/>
    <s v="No"/>
    <x v="0"/>
    <s v="Yes"/>
    <n v="0"/>
    <x v="5"/>
    <s v="Monthly"/>
    <n v="0.1"/>
    <n v="1260.8910000000001"/>
    <n v="1400.99"/>
    <s v="Debit Card"/>
    <s v="Normal"/>
    <s v="Poor"/>
  </r>
  <r>
    <n v="4301"/>
    <n v="59"/>
    <x v="0"/>
    <x v="28"/>
    <x v="3"/>
    <n v="862.98"/>
    <x v="50"/>
    <x v="1"/>
    <s v="Blue"/>
    <x v="4"/>
    <n v="1"/>
    <s v="No"/>
    <x v="3"/>
    <s v="Yes"/>
    <n v="12"/>
    <x v="1"/>
    <s v="Monthly"/>
    <n v="0.1"/>
    <n v="776.68200000000002"/>
    <n v="862.98"/>
    <s v="Cash"/>
    <s v="Normal"/>
    <s v="Poor"/>
  </r>
  <r>
    <n v="4302"/>
    <n v="36"/>
    <x v="0"/>
    <x v="5"/>
    <x v="0"/>
    <n v="0"/>
    <x v="51"/>
    <x v="2"/>
    <s v="White"/>
    <x v="4"/>
    <n v="5"/>
    <s v="No"/>
    <x v="3"/>
    <s v="Yes"/>
    <n v="0"/>
    <x v="2"/>
    <s v="Quarterly"/>
    <n v="0.1"/>
    <n v="0"/>
    <n v="0"/>
    <s v="Credit Card"/>
    <s v="Normal"/>
    <s v="Good"/>
  </r>
  <r>
    <n v="4303"/>
    <n v="23"/>
    <x v="0"/>
    <x v="29"/>
    <x v="3"/>
    <n v="443.37"/>
    <x v="52"/>
    <x v="0"/>
    <s v="Red"/>
    <x v="1"/>
    <n v="3"/>
    <s v="No"/>
    <x v="3"/>
    <s v="No"/>
    <n v="28"/>
    <x v="3"/>
    <s v="Quarterly"/>
    <n v="0.1"/>
    <n v="399.03300000000002"/>
    <n v="443.37"/>
    <s v="PayPal"/>
    <s v="Normal"/>
    <s v="Good"/>
  </r>
  <r>
    <n v="4304"/>
    <n v="35"/>
    <x v="1"/>
    <x v="25"/>
    <x v="4"/>
    <n v="469.48"/>
    <x v="53"/>
    <x v="2"/>
    <s v="Red"/>
    <x v="0"/>
    <n v="1"/>
    <s v="Yes"/>
    <x v="3"/>
    <s v="Yes"/>
    <n v="0"/>
    <x v="1"/>
    <s v="Monthly"/>
    <n v="0.1"/>
    <n v="422.53200000000004"/>
    <n v="469.48"/>
    <s v="Cash"/>
    <s v="Normal"/>
    <s v="Poor"/>
  </r>
  <r>
    <n v="4305"/>
    <n v="45"/>
    <x v="2"/>
    <x v="9"/>
    <x v="4"/>
    <n v="0"/>
    <x v="53"/>
    <x v="2"/>
    <s v="Blue"/>
    <x v="1"/>
    <n v="1"/>
    <s v="Yes"/>
    <x v="0"/>
    <s v="Yes"/>
    <n v="0"/>
    <x v="1"/>
    <s v="Monthly"/>
    <n v="0.1"/>
    <n v="0"/>
    <n v="0"/>
    <s v="Cash"/>
    <s v="Normal"/>
    <s v="Poor"/>
  </r>
  <r>
    <n v="4306"/>
    <n v="41"/>
    <x v="0"/>
    <x v="27"/>
    <x v="0"/>
    <n v="0"/>
    <x v="51"/>
    <x v="3"/>
    <s v="Blue"/>
    <x v="4"/>
    <n v="1"/>
    <s v="No"/>
    <x v="3"/>
    <s v="Yes"/>
    <n v="11"/>
    <x v="3"/>
    <s v="Monthly"/>
    <n v="0.1"/>
    <n v="0"/>
    <n v="0"/>
    <s v="PayPal"/>
    <s v="Normal"/>
    <s v="Poor"/>
  </r>
  <r>
    <n v="4307"/>
    <n v="57"/>
    <x v="0"/>
    <x v="5"/>
    <x v="0"/>
    <n v="0"/>
    <x v="51"/>
    <x v="2"/>
    <s v="Red"/>
    <x v="2"/>
    <n v="1"/>
    <s v="Yes"/>
    <x v="3"/>
    <s v="No"/>
    <n v="36"/>
    <x v="3"/>
    <s v="Weekly"/>
    <n v="0.1"/>
    <n v="0"/>
    <n v="0"/>
    <s v="PayPal"/>
    <s v="Normal"/>
    <s v="Poor"/>
  </r>
  <r>
    <n v="4308"/>
    <n v="69"/>
    <x v="1"/>
    <x v="25"/>
    <x v="4"/>
    <n v="0"/>
    <x v="53"/>
    <x v="2"/>
    <s v="White"/>
    <x v="0"/>
    <n v="1"/>
    <s v="No"/>
    <x v="0"/>
    <s v="Yes"/>
    <n v="0"/>
    <x v="3"/>
    <s v="Weekly"/>
    <n v="0.1"/>
    <n v="0"/>
    <n v="0"/>
    <s v="PayPal"/>
    <s v="Normal"/>
    <s v="Poor"/>
  </r>
  <r>
    <n v="4309"/>
    <n v="24"/>
    <x v="1"/>
    <x v="28"/>
    <x v="3"/>
    <n v="0"/>
    <x v="52"/>
    <x v="1"/>
    <s v="Red"/>
    <x v="0"/>
    <n v="1"/>
    <s v="No"/>
    <x v="0"/>
    <s v="Yes"/>
    <n v="0"/>
    <x v="1"/>
    <s v="Monthly"/>
    <n v="0.1"/>
    <n v="0"/>
    <n v="0"/>
    <s v="Cash"/>
    <s v="Normal"/>
    <s v="Poor"/>
  </r>
  <r>
    <n v="4310"/>
    <n v="53"/>
    <x v="1"/>
    <x v="9"/>
    <x v="3"/>
    <n v="0"/>
    <x v="51"/>
    <x v="0"/>
    <s v="White"/>
    <x v="0"/>
    <n v="5"/>
    <s v="Yes"/>
    <x v="0"/>
    <s v="No"/>
    <n v="0"/>
    <x v="1"/>
    <s v="Monthly"/>
    <n v="0.1"/>
    <n v="0"/>
    <n v="0"/>
    <s v="Cash"/>
    <s v="Normal"/>
    <s v="Good"/>
  </r>
  <r>
    <n v="4311"/>
    <n v="19"/>
    <x v="1"/>
    <x v="28"/>
    <x v="0"/>
    <n v="873.21"/>
    <x v="52"/>
    <x v="1"/>
    <s v="Red"/>
    <x v="0"/>
    <n v="5"/>
    <s v="Yes"/>
    <x v="0"/>
    <s v="No"/>
    <n v="33"/>
    <x v="2"/>
    <s v="Monthly"/>
    <n v="0.1"/>
    <n v="785.88900000000001"/>
    <n v="873.21"/>
    <s v="Credit Card"/>
    <s v="Normal"/>
    <s v="Good"/>
  </r>
  <r>
    <n v="4312"/>
    <n v="35"/>
    <x v="2"/>
    <x v="5"/>
    <x v="4"/>
    <n v="436.94"/>
    <x v="51"/>
    <x v="2"/>
    <s v="Red"/>
    <x v="2"/>
    <n v="1"/>
    <s v="Yes"/>
    <x v="3"/>
    <s v="No"/>
    <n v="9"/>
    <x v="1"/>
    <s v="Weekly"/>
    <n v="0.1"/>
    <n v="393.24599999999998"/>
    <n v="436.94"/>
    <s v="Cash"/>
    <s v="Normal"/>
    <s v="Poor"/>
  </r>
  <r>
    <n v="4313"/>
    <n v="18"/>
    <x v="1"/>
    <x v="5"/>
    <x v="4"/>
    <n v="0"/>
    <x v="50"/>
    <x v="2"/>
    <s v="Green"/>
    <x v="2"/>
    <n v="1"/>
    <s v="No"/>
    <x v="0"/>
    <s v="No"/>
    <n v="0"/>
    <x v="3"/>
    <s v="Weekly"/>
    <n v="0.1"/>
    <n v="0"/>
    <n v="0"/>
    <s v="PayPal"/>
    <s v="Normal"/>
    <s v="Poor"/>
  </r>
  <r>
    <n v="4314"/>
    <n v="42"/>
    <x v="1"/>
    <x v="27"/>
    <x v="4"/>
    <n v="866.03"/>
    <x v="51"/>
    <x v="2"/>
    <s v="Black"/>
    <x v="4"/>
    <n v="3"/>
    <s v="Yes"/>
    <x v="0"/>
    <s v="No"/>
    <n v="0"/>
    <x v="5"/>
    <s v="Weekly"/>
    <n v="0.1"/>
    <n v="779.42699999999991"/>
    <n v="866.03"/>
    <s v="Debit Card"/>
    <s v="Normal"/>
    <s v="Good"/>
  </r>
  <r>
    <n v="4315"/>
    <n v="32"/>
    <x v="1"/>
    <x v="9"/>
    <x v="3"/>
    <n v="1310.1300000000001"/>
    <x v="52"/>
    <x v="0"/>
    <s v="Red"/>
    <x v="2"/>
    <n v="1"/>
    <s v="Yes"/>
    <x v="0"/>
    <s v="Yes"/>
    <n v="37"/>
    <x v="2"/>
    <s v="Quarterly"/>
    <n v="0.1"/>
    <n v="1179.1170000000002"/>
    <n v="1310.1300000000001"/>
    <s v="Credit Card"/>
    <s v="Normal"/>
    <s v="Poor"/>
  </r>
  <r>
    <n v="4316"/>
    <n v="23"/>
    <x v="1"/>
    <x v="25"/>
    <x v="4"/>
    <n v="0"/>
    <x v="14"/>
    <x v="2"/>
    <s v="Green"/>
    <x v="4"/>
    <n v="1"/>
    <s v="No"/>
    <x v="3"/>
    <s v="No"/>
    <n v="0"/>
    <x v="2"/>
    <s v="Weekly"/>
    <n v="0.1"/>
    <n v="0"/>
    <n v="0"/>
    <s v="Credit Card"/>
    <s v="Normal"/>
    <s v="Poor"/>
  </r>
  <r>
    <n v="4317"/>
    <n v="57"/>
    <x v="1"/>
    <x v="9"/>
    <x v="0"/>
    <n v="0"/>
    <x v="53"/>
    <x v="0"/>
    <s v="Blue"/>
    <x v="0"/>
    <n v="1"/>
    <s v="No"/>
    <x v="3"/>
    <s v="Yes"/>
    <n v="13"/>
    <x v="5"/>
    <s v="Monthly"/>
    <n v="0.1"/>
    <n v="0"/>
    <n v="0"/>
    <s v="Debit Card"/>
    <s v="Normal"/>
    <s v="Poor"/>
  </r>
  <r>
    <n v="4318"/>
    <n v="45"/>
    <x v="1"/>
    <x v="27"/>
    <x v="4"/>
    <n v="335.78"/>
    <x v="14"/>
    <x v="2"/>
    <s v="White"/>
    <x v="1"/>
    <n v="2"/>
    <s v="No"/>
    <x v="3"/>
    <s v="Yes"/>
    <n v="6"/>
    <x v="5"/>
    <s v="Monthly"/>
    <n v="0.1"/>
    <n v="302.202"/>
    <n v="335.78"/>
    <s v="Debit Card"/>
    <s v="Normal"/>
    <s v="Poor"/>
  </r>
  <r>
    <n v="4319"/>
    <n v="47"/>
    <x v="2"/>
    <x v="27"/>
    <x v="4"/>
    <n v="0"/>
    <x v="53"/>
    <x v="2"/>
    <s v="Green"/>
    <x v="2"/>
    <n v="1"/>
    <s v="Yes"/>
    <x v="0"/>
    <s v="Yes"/>
    <n v="28"/>
    <x v="3"/>
    <s v="Monthly"/>
    <n v="0.1"/>
    <n v="0"/>
    <n v="0"/>
    <s v="PayPal"/>
    <s v="Normal"/>
    <s v="Poor"/>
  </r>
  <r>
    <n v="4320"/>
    <n v="35"/>
    <x v="0"/>
    <x v="9"/>
    <x v="3"/>
    <n v="0"/>
    <x v="52"/>
    <x v="2"/>
    <s v="Green"/>
    <x v="1"/>
    <n v="1"/>
    <s v="No"/>
    <x v="3"/>
    <s v="Yes"/>
    <n v="0"/>
    <x v="3"/>
    <s v="Quarterly"/>
    <n v="0.1"/>
    <n v="0"/>
    <n v="0"/>
    <s v="PayPal"/>
    <s v="Normal"/>
    <s v="Poor"/>
  </r>
  <r>
    <n v="4321"/>
    <n v="70"/>
    <x v="1"/>
    <x v="27"/>
    <x v="4"/>
    <n v="384.3"/>
    <x v="52"/>
    <x v="2"/>
    <s v="Blue"/>
    <x v="0"/>
    <n v="5"/>
    <s v="Yes"/>
    <x v="3"/>
    <s v="Yes"/>
    <n v="8"/>
    <x v="5"/>
    <s v="Monthly"/>
    <n v="0.1"/>
    <n v="345.87"/>
    <n v="384.3"/>
    <s v="Debit Card"/>
    <s v="Normal"/>
    <s v="Good"/>
  </r>
  <r>
    <n v="4322"/>
    <n v="54"/>
    <x v="2"/>
    <x v="5"/>
    <x v="4"/>
    <n v="0"/>
    <x v="51"/>
    <x v="2"/>
    <s v="Green"/>
    <x v="1"/>
    <n v="5"/>
    <s v="No"/>
    <x v="3"/>
    <s v="Yes"/>
    <n v="43"/>
    <x v="5"/>
    <s v="Weekly"/>
    <n v="0.1"/>
    <n v="0"/>
    <n v="0"/>
    <s v="Debit Card"/>
    <s v="Normal"/>
    <s v="Good"/>
  </r>
  <r>
    <n v="4323"/>
    <n v="31"/>
    <x v="0"/>
    <x v="26"/>
    <x v="0"/>
    <n v="0"/>
    <x v="50"/>
    <x v="0"/>
    <s v="White"/>
    <x v="0"/>
    <n v="4"/>
    <s v="No"/>
    <x v="0"/>
    <s v="No"/>
    <n v="0"/>
    <x v="5"/>
    <s v="Weekly"/>
    <n v="0.1"/>
    <n v="0"/>
    <n v="0"/>
    <s v="Debit Card"/>
    <s v="Normal"/>
    <s v="Good"/>
  </r>
  <r>
    <n v="4324"/>
    <n v="28"/>
    <x v="0"/>
    <x v="5"/>
    <x v="0"/>
    <n v="0"/>
    <x v="52"/>
    <x v="1"/>
    <s v="Red"/>
    <x v="1"/>
    <n v="1"/>
    <s v="No"/>
    <x v="0"/>
    <s v="Yes"/>
    <n v="32"/>
    <x v="1"/>
    <s v="Weekly"/>
    <n v="0.1"/>
    <n v="0"/>
    <n v="0"/>
    <s v="Cash"/>
    <s v="Normal"/>
    <s v="Poor"/>
  </r>
  <r>
    <n v="4325"/>
    <n v="56"/>
    <x v="0"/>
    <x v="28"/>
    <x v="3"/>
    <n v="1396.89"/>
    <x v="14"/>
    <x v="2"/>
    <s v="White"/>
    <x v="2"/>
    <n v="1"/>
    <s v="Yes"/>
    <x v="0"/>
    <s v="Yes"/>
    <n v="0"/>
    <x v="2"/>
    <s v="Weekly"/>
    <n v="0.1"/>
    <n v="1257.201"/>
    <n v="1396.89"/>
    <s v="Credit Card"/>
    <s v="Normal"/>
    <s v="Poor"/>
  </r>
  <r>
    <n v="4326"/>
    <n v="44"/>
    <x v="2"/>
    <x v="26"/>
    <x v="4"/>
    <n v="0"/>
    <x v="53"/>
    <x v="2"/>
    <s v="Green"/>
    <x v="2"/>
    <n v="1"/>
    <s v="No"/>
    <x v="3"/>
    <s v="Yes"/>
    <n v="31"/>
    <x v="2"/>
    <s v="Weekly"/>
    <n v="0.1"/>
    <n v="0"/>
    <n v="0"/>
    <s v="Credit Card"/>
    <s v="Normal"/>
    <s v="Poor"/>
  </r>
  <r>
    <n v="4327"/>
    <n v="68"/>
    <x v="2"/>
    <x v="28"/>
    <x v="3"/>
    <n v="0"/>
    <x v="50"/>
    <x v="0"/>
    <s v="Green"/>
    <x v="4"/>
    <n v="5"/>
    <s v="No"/>
    <x v="0"/>
    <s v="Yes"/>
    <n v="0"/>
    <x v="3"/>
    <s v="Quarterly"/>
    <n v="0.1"/>
    <n v="0"/>
    <n v="0"/>
    <s v="PayPal"/>
    <s v="Normal"/>
    <s v="Good"/>
  </r>
  <r>
    <n v="4328"/>
    <n v="29"/>
    <x v="1"/>
    <x v="27"/>
    <x v="0"/>
    <n v="0"/>
    <x v="14"/>
    <x v="2"/>
    <s v="Green"/>
    <x v="1"/>
    <n v="4"/>
    <s v="No"/>
    <x v="0"/>
    <s v="No"/>
    <n v="3"/>
    <x v="1"/>
    <s v="Monthly"/>
    <n v="0.1"/>
    <n v="0"/>
    <n v="0"/>
    <s v="Cash"/>
    <s v="Normal"/>
    <s v="Good"/>
  </r>
  <r>
    <n v="4329"/>
    <n v="31"/>
    <x v="2"/>
    <x v="28"/>
    <x v="4"/>
    <n v="1380.81"/>
    <x v="50"/>
    <x v="2"/>
    <s v="White"/>
    <x v="4"/>
    <n v="1"/>
    <s v="No"/>
    <x v="0"/>
    <s v="Yes"/>
    <n v="37"/>
    <x v="2"/>
    <s v="Monthly"/>
    <n v="0.1"/>
    <n v="1242.729"/>
    <n v="1380.81"/>
    <s v="Credit Card"/>
    <s v="Normal"/>
    <s v="Poor"/>
  </r>
  <r>
    <n v="4330"/>
    <n v="64"/>
    <x v="2"/>
    <x v="26"/>
    <x v="3"/>
    <n v="0"/>
    <x v="14"/>
    <x v="2"/>
    <s v="White"/>
    <x v="2"/>
    <n v="1"/>
    <s v="No"/>
    <x v="0"/>
    <s v="No"/>
    <n v="14"/>
    <x v="3"/>
    <s v="Monthly"/>
    <n v="0.1"/>
    <n v="0"/>
    <n v="0"/>
    <s v="PayPal"/>
    <s v="Normal"/>
    <s v="Poor"/>
  </r>
  <r>
    <n v="4331"/>
    <n v="66"/>
    <x v="1"/>
    <x v="28"/>
    <x v="3"/>
    <n v="0"/>
    <x v="50"/>
    <x v="0"/>
    <s v="Black"/>
    <x v="4"/>
    <n v="3"/>
    <s v="Yes"/>
    <x v="0"/>
    <s v="No"/>
    <n v="0"/>
    <x v="1"/>
    <s v="Weekly"/>
    <n v="0.1"/>
    <n v="0"/>
    <n v="0"/>
    <s v="Cash"/>
    <s v="Normal"/>
    <s v="Good"/>
  </r>
  <r>
    <n v="4332"/>
    <n v="31"/>
    <x v="1"/>
    <x v="28"/>
    <x v="0"/>
    <n v="0"/>
    <x v="51"/>
    <x v="2"/>
    <s v="White"/>
    <x v="4"/>
    <n v="4"/>
    <s v="Yes"/>
    <x v="3"/>
    <s v="No"/>
    <n v="0"/>
    <x v="2"/>
    <s v="Quarterly"/>
    <n v="0.1"/>
    <n v="0"/>
    <n v="0"/>
    <s v="Credit Card"/>
    <s v="Normal"/>
    <s v="Good"/>
  </r>
  <r>
    <n v="4333"/>
    <n v="32"/>
    <x v="1"/>
    <x v="5"/>
    <x v="4"/>
    <n v="0"/>
    <x v="51"/>
    <x v="2"/>
    <s v="Blue"/>
    <x v="0"/>
    <n v="1"/>
    <s v="No"/>
    <x v="0"/>
    <s v="Yes"/>
    <n v="0"/>
    <x v="2"/>
    <s v="Quarterly"/>
    <n v="0.1"/>
    <n v="0"/>
    <n v="0"/>
    <s v="Credit Card"/>
    <s v="Normal"/>
    <s v="Poor"/>
  </r>
  <r>
    <n v="4334"/>
    <n v="29"/>
    <x v="1"/>
    <x v="28"/>
    <x v="0"/>
    <n v="837.03"/>
    <x v="53"/>
    <x v="2"/>
    <s v="Black"/>
    <x v="0"/>
    <n v="1"/>
    <s v="No"/>
    <x v="3"/>
    <s v="Yes"/>
    <n v="0"/>
    <x v="5"/>
    <s v="Weekly"/>
    <n v="0.1"/>
    <n v="753.327"/>
    <n v="837.03"/>
    <s v="Debit Card"/>
    <s v="Normal"/>
    <s v="Poor"/>
  </r>
  <r>
    <n v="4335"/>
    <n v="22"/>
    <x v="2"/>
    <x v="28"/>
    <x v="3"/>
    <n v="0"/>
    <x v="51"/>
    <x v="2"/>
    <s v="Blue"/>
    <x v="1"/>
    <n v="5"/>
    <s v="No"/>
    <x v="3"/>
    <s v="No"/>
    <n v="1"/>
    <x v="5"/>
    <s v="Weekly"/>
    <n v="0.1"/>
    <n v="0"/>
    <n v="0"/>
    <s v="Debit Card"/>
    <s v="Normal"/>
    <s v="Good"/>
  </r>
  <r>
    <n v="4336"/>
    <n v="36"/>
    <x v="1"/>
    <x v="27"/>
    <x v="0"/>
    <n v="0"/>
    <x v="51"/>
    <x v="3"/>
    <s v="Black"/>
    <x v="1"/>
    <n v="1"/>
    <s v="No"/>
    <x v="0"/>
    <s v="No"/>
    <n v="29"/>
    <x v="1"/>
    <s v="Weekly"/>
    <n v="0.1"/>
    <n v="0"/>
    <n v="0"/>
    <s v="Cash"/>
    <s v="Normal"/>
    <s v="Poor"/>
  </r>
  <r>
    <n v="4337"/>
    <n v="31"/>
    <x v="2"/>
    <x v="27"/>
    <x v="3"/>
    <n v="183.76"/>
    <x v="14"/>
    <x v="2"/>
    <s v="Red"/>
    <x v="4"/>
    <n v="2"/>
    <s v="No"/>
    <x v="0"/>
    <s v="No"/>
    <n v="26"/>
    <x v="2"/>
    <s v="Weekly"/>
    <n v="0.1"/>
    <n v="165.38399999999999"/>
    <n v="183.76"/>
    <s v="Credit Card"/>
    <s v="Normal"/>
    <s v="Poor"/>
  </r>
  <r>
    <n v="4338"/>
    <n v="29"/>
    <x v="2"/>
    <x v="25"/>
    <x v="0"/>
    <n v="157.83000000000001"/>
    <x v="52"/>
    <x v="0"/>
    <s v="Blue"/>
    <x v="1"/>
    <n v="4"/>
    <s v="No"/>
    <x v="3"/>
    <s v="No"/>
    <n v="19"/>
    <x v="1"/>
    <s v="Monthly"/>
    <n v="0.1"/>
    <n v="142.04700000000003"/>
    <n v="157.83000000000001"/>
    <s v="Cash"/>
    <s v="Normal"/>
    <s v="Good"/>
  </r>
  <r>
    <n v="4339"/>
    <n v="31"/>
    <x v="1"/>
    <x v="27"/>
    <x v="3"/>
    <n v="843.84"/>
    <x v="50"/>
    <x v="2"/>
    <s v="Green"/>
    <x v="1"/>
    <n v="5"/>
    <s v="No"/>
    <x v="0"/>
    <s v="Yes"/>
    <n v="0"/>
    <x v="5"/>
    <s v="Quarterly"/>
    <n v="0.1"/>
    <n v="759.45600000000002"/>
    <n v="843.84"/>
    <s v="Debit Card"/>
    <s v="Normal"/>
    <s v="Good"/>
  </r>
  <r>
    <n v="4340"/>
    <n v="40"/>
    <x v="1"/>
    <x v="5"/>
    <x v="0"/>
    <n v="0"/>
    <x v="52"/>
    <x v="3"/>
    <s v="Red"/>
    <x v="1"/>
    <n v="1"/>
    <s v="Yes"/>
    <x v="3"/>
    <s v="Yes"/>
    <n v="0"/>
    <x v="2"/>
    <s v="Weekly"/>
    <n v="0.1"/>
    <n v="0"/>
    <n v="0"/>
    <s v="Credit Card"/>
    <s v="Normal"/>
    <s v="Poor"/>
  </r>
  <r>
    <n v="4341"/>
    <n v="57"/>
    <x v="2"/>
    <x v="28"/>
    <x v="4"/>
    <n v="0"/>
    <x v="50"/>
    <x v="2"/>
    <s v="Black"/>
    <x v="2"/>
    <n v="1"/>
    <s v="Yes"/>
    <x v="3"/>
    <s v="Yes"/>
    <n v="0"/>
    <x v="2"/>
    <s v="Weekly"/>
    <n v="0.1"/>
    <n v="0"/>
    <n v="0"/>
    <s v="Credit Card"/>
    <s v="Normal"/>
    <s v="Poor"/>
  </r>
  <r>
    <n v="4342"/>
    <n v="31"/>
    <x v="1"/>
    <x v="29"/>
    <x v="4"/>
    <n v="1351.65"/>
    <x v="51"/>
    <x v="2"/>
    <s v="Blue"/>
    <x v="1"/>
    <n v="2"/>
    <s v="Yes"/>
    <x v="3"/>
    <s v="Yes"/>
    <n v="0"/>
    <x v="5"/>
    <s v="Quarterly"/>
    <n v="0.1"/>
    <n v="1216.4850000000001"/>
    <n v="1351.65"/>
    <s v="Debit Card"/>
    <s v="Normal"/>
    <s v="Poor"/>
  </r>
  <r>
    <n v="4343"/>
    <n v="48"/>
    <x v="2"/>
    <x v="28"/>
    <x v="4"/>
    <n v="0"/>
    <x v="51"/>
    <x v="2"/>
    <s v="Blue"/>
    <x v="2"/>
    <n v="1"/>
    <s v="No"/>
    <x v="3"/>
    <s v="Yes"/>
    <n v="26"/>
    <x v="5"/>
    <s v="Weekly"/>
    <n v="0.1"/>
    <n v="0"/>
    <n v="0"/>
    <s v="Debit Card"/>
    <s v="Normal"/>
    <s v="Poor"/>
  </r>
  <r>
    <n v="4344"/>
    <n v="31"/>
    <x v="1"/>
    <x v="25"/>
    <x v="4"/>
    <n v="23.3"/>
    <x v="51"/>
    <x v="2"/>
    <s v="Red"/>
    <x v="1"/>
    <n v="1"/>
    <s v="Yes"/>
    <x v="3"/>
    <s v="No"/>
    <n v="39"/>
    <x v="3"/>
    <s v="Quarterly"/>
    <n v="0.1"/>
    <n v="20.97"/>
    <n v="23.3"/>
    <s v="PayPal"/>
    <s v="Normal"/>
    <s v="Poor"/>
  </r>
  <r>
    <n v="4345"/>
    <n v="43"/>
    <x v="0"/>
    <x v="28"/>
    <x v="0"/>
    <n v="95.29"/>
    <x v="14"/>
    <x v="2"/>
    <s v="Blue"/>
    <x v="2"/>
    <n v="1"/>
    <s v="Yes"/>
    <x v="3"/>
    <s v="Yes"/>
    <n v="50"/>
    <x v="2"/>
    <s v="Monthly"/>
    <n v="0.1"/>
    <n v="85.76100000000001"/>
    <n v="95.29"/>
    <s v="Credit Card"/>
    <s v="Normal"/>
    <s v="Poor"/>
  </r>
  <r>
    <n v="4346"/>
    <n v="21"/>
    <x v="1"/>
    <x v="28"/>
    <x v="0"/>
    <n v="0"/>
    <x v="52"/>
    <x v="3"/>
    <s v="Blue"/>
    <x v="4"/>
    <n v="1"/>
    <s v="Yes"/>
    <x v="3"/>
    <s v="Yes"/>
    <n v="28"/>
    <x v="1"/>
    <s v="Monthly"/>
    <n v="0.1"/>
    <n v="0"/>
    <n v="0"/>
    <s v="Cash"/>
    <s v="Normal"/>
    <s v="Poor"/>
  </r>
  <r>
    <n v="4347"/>
    <n v="65"/>
    <x v="0"/>
    <x v="25"/>
    <x v="0"/>
    <n v="0"/>
    <x v="52"/>
    <x v="1"/>
    <s v="Black"/>
    <x v="2"/>
    <n v="4"/>
    <s v="Yes"/>
    <x v="3"/>
    <s v="Yes"/>
    <n v="0"/>
    <x v="3"/>
    <s v="Weekly"/>
    <n v="0.1"/>
    <n v="0"/>
    <n v="0"/>
    <s v="PayPal"/>
    <s v="Normal"/>
    <s v="Good"/>
  </r>
  <r>
    <n v="4348"/>
    <n v="42"/>
    <x v="0"/>
    <x v="26"/>
    <x v="0"/>
    <n v="1033.69"/>
    <x v="14"/>
    <x v="0"/>
    <s v="Blue"/>
    <x v="0"/>
    <n v="1"/>
    <s v="No"/>
    <x v="0"/>
    <s v="No"/>
    <n v="23"/>
    <x v="5"/>
    <s v="Monthly"/>
    <n v="0.1"/>
    <n v="930.32100000000003"/>
    <n v="1033.69"/>
    <s v="Debit Card"/>
    <s v="Normal"/>
    <s v="Poor"/>
  </r>
  <r>
    <n v="4349"/>
    <n v="18"/>
    <x v="0"/>
    <x v="5"/>
    <x v="3"/>
    <n v="0"/>
    <x v="14"/>
    <x v="2"/>
    <s v="Red"/>
    <x v="1"/>
    <n v="1"/>
    <s v="No"/>
    <x v="3"/>
    <s v="Yes"/>
    <n v="0"/>
    <x v="1"/>
    <s v="Quarterly"/>
    <n v="0.1"/>
    <n v="0"/>
    <n v="0"/>
    <s v="Cash"/>
    <s v="Normal"/>
    <s v="Poor"/>
  </r>
  <r>
    <n v="4350"/>
    <n v="64"/>
    <x v="2"/>
    <x v="29"/>
    <x v="0"/>
    <n v="247.51"/>
    <x v="52"/>
    <x v="1"/>
    <s v="Green"/>
    <x v="0"/>
    <n v="4"/>
    <s v="No"/>
    <x v="0"/>
    <s v="No"/>
    <n v="14"/>
    <x v="5"/>
    <s v="Weekly"/>
    <n v="0.1"/>
    <n v="222.75899999999999"/>
    <n v="247.51"/>
    <s v="Debit Card"/>
    <s v="Normal"/>
    <s v="Good"/>
  </r>
  <r>
    <n v="4351"/>
    <n v="26"/>
    <x v="2"/>
    <x v="27"/>
    <x v="4"/>
    <n v="1147.0999999999999"/>
    <x v="52"/>
    <x v="2"/>
    <s v="White"/>
    <x v="0"/>
    <n v="2"/>
    <s v="No"/>
    <x v="3"/>
    <s v="Yes"/>
    <n v="0"/>
    <x v="2"/>
    <s v="Weekly"/>
    <n v="0.1"/>
    <n v="1032.3899999999999"/>
    <n v="1147.0999999999999"/>
    <s v="Credit Card"/>
    <s v="Normal"/>
    <s v="Poor"/>
  </r>
  <r>
    <n v="4352"/>
    <n v="25"/>
    <x v="1"/>
    <x v="26"/>
    <x v="4"/>
    <n v="0"/>
    <x v="53"/>
    <x v="2"/>
    <s v="Red"/>
    <x v="2"/>
    <n v="1"/>
    <s v="No"/>
    <x v="3"/>
    <s v="Yes"/>
    <n v="50"/>
    <x v="1"/>
    <s v="Weekly"/>
    <n v="0.1"/>
    <n v="0"/>
    <n v="0"/>
    <s v="Cash"/>
    <s v="Normal"/>
    <s v="Poor"/>
  </r>
  <r>
    <n v="4353"/>
    <n v="60"/>
    <x v="0"/>
    <x v="26"/>
    <x v="3"/>
    <n v="0"/>
    <x v="51"/>
    <x v="0"/>
    <s v="Black"/>
    <x v="4"/>
    <n v="1"/>
    <s v="Yes"/>
    <x v="0"/>
    <s v="Yes"/>
    <n v="0"/>
    <x v="3"/>
    <s v="Quarterly"/>
    <n v="0.1"/>
    <n v="0"/>
    <n v="0"/>
    <s v="PayPal"/>
    <s v="Normal"/>
    <s v="Poor"/>
  </r>
  <r>
    <n v="4354"/>
    <n v="53"/>
    <x v="2"/>
    <x v="29"/>
    <x v="4"/>
    <n v="0"/>
    <x v="51"/>
    <x v="2"/>
    <s v="Black"/>
    <x v="4"/>
    <n v="1"/>
    <s v="No"/>
    <x v="0"/>
    <s v="Yes"/>
    <n v="0"/>
    <x v="3"/>
    <s v="Monthly"/>
    <n v="0.1"/>
    <n v="0"/>
    <n v="0"/>
    <s v="PayPal"/>
    <s v="Normal"/>
    <s v="Poor"/>
  </r>
  <r>
    <n v="4355"/>
    <n v="46"/>
    <x v="1"/>
    <x v="9"/>
    <x v="3"/>
    <n v="585.85"/>
    <x v="14"/>
    <x v="2"/>
    <s v="Green"/>
    <x v="1"/>
    <n v="4"/>
    <s v="No"/>
    <x v="0"/>
    <s v="No"/>
    <n v="41"/>
    <x v="3"/>
    <s v="Quarterly"/>
    <n v="0.1"/>
    <n v="527.26499999999999"/>
    <n v="585.85"/>
    <s v="PayPal"/>
    <s v="Normal"/>
    <s v="Good"/>
  </r>
  <r>
    <n v="4356"/>
    <n v="33"/>
    <x v="1"/>
    <x v="26"/>
    <x v="0"/>
    <n v="0"/>
    <x v="53"/>
    <x v="3"/>
    <s v="Blue"/>
    <x v="4"/>
    <n v="5"/>
    <s v="Yes"/>
    <x v="3"/>
    <s v="No"/>
    <n v="2"/>
    <x v="3"/>
    <s v="Weekly"/>
    <n v="0.1"/>
    <n v="0"/>
    <n v="0"/>
    <s v="PayPal"/>
    <s v="Normal"/>
    <s v="Good"/>
  </r>
  <r>
    <n v="4357"/>
    <n v="21"/>
    <x v="2"/>
    <x v="27"/>
    <x v="0"/>
    <n v="0"/>
    <x v="51"/>
    <x v="2"/>
    <s v="Black"/>
    <x v="2"/>
    <n v="1"/>
    <s v="No"/>
    <x v="0"/>
    <s v="No"/>
    <n v="0"/>
    <x v="5"/>
    <s v="Monthly"/>
    <n v="0.1"/>
    <n v="0"/>
    <n v="0"/>
    <s v="Debit Card"/>
    <s v="Normal"/>
    <s v="Poor"/>
  </r>
  <r>
    <n v="4358"/>
    <n v="25"/>
    <x v="1"/>
    <x v="29"/>
    <x v="3"/>
    <n v="0"/>
    <x v="50"/>
    <x v="0"/>
    <s v="Blue"/>
    <x v="4"/>
    <n v="1"/>
    <s v="Yes"/>
    <x v="0"/>
    <s v="No"/>
    <n v="12"/>
    <x v="2"/>
    <s v="Quarterly"/>
    <n v="0.1"/>
    <n v="0"/>
    <n v="0"/>
    <s v="Credit Card"/>
    <s v="Normal"/>
    <s v="Poor"/>
  </r>
  <r>
    <n v="4359"/>
    <n v="32"/>
    <x v="1"/>
    <x v="28"/>
    <x v="3"/>
    <n v="0"/>
    <x v="53"/>
    <x v="1"/>
    <s v="Green"/>
    <x v="1"/>
    <n v="5"/>
    <s v="Yes"/>
    <x v="3"/>
    <s v="No"/>
    <n v="29"/>
    <x v="3"/>
    <s v="Monthly"/>
    <n v="0.1"/>
    <n v="0"/>
    <n v="0"/>
    <s v="PayPal"/>
    <s v="Normal"/>
    <s v="Good"/>
  </r>
  <r>
    <n v="4360"/>
    <n v="50"/>
    <x v="0"/>
    <x v="9"/>
    <x v="0"/>
    <n v="309.93"/>
    <x v="52"/>
    <x v="1"/>
    <s v="Black"/>
    <x v="2"/>
    <n v="1"/>
    <s v="Yes"/>
    <x v="3"/>
    <s v="Yes"/>
    <n v="33"/>
    <x v="1"/>
    <s v="Monthly"/>
    <n v="0.1"/>
    <n v="278.93700000000001"/>
    <n v="309.93"/>
    <s v="Cash"/>
    <s v="Normal"/>
    <s v="Poor"/>
  </r>
  <r>
    <n v="4361"/>
    <n v="20"/>
    <x v="2"/>
    <x v="5"/>
    <x v="3"/>
    <n v="238.88"/>
    <x v="53"/>
    <x v="0"/>
    <s v="White"/>
    <x v="2"/>
    <n v="2"/>
    <s v="Yes"/>
    <x v="3"/>
    <s v="Yes"/>
    <n v="29"/>
    <x v="1"/>
    <s v="Quarterly"/>
    <n v="0.1"/>
    <n v="214.99199999999999"/>
    <n v="238.88"/>
    <s v="Cash"/>
    <s v="Normal"/>
    <s v="Poor"/>
  </r>
  <r>
    <n v="4362"/>
    <n v="64"/>
    <x v="0"/>
    <x v="28"/>
    <x v="4"/>
    <n v="0"/>
    <x v="52"/>
    <x v="2"/>
    <s v="Red"/>
    <x v="0"/>
    <n v="1"/>
    <s v="Yes"/>
    <x v="0"/>
    <s v="Yes"/>
    <n v="0"/>
    <x v="1"/>
    <s v="Quarterly"/>
    <n v="0.1"/>
    <n v="0"/>
    <n v="0"/>
    <s v="Cash"/>
    <s v="Normal"/>
    <s v="Poor"/>
  </r>
  <r>
    <n v="4363"/>
    <n v="25"/>
    <x v="1"/>
    <x v="25"/>
    <x v="4"/>
    <n v="0"/>
    <x v="53"/>
    <x v="2"/>
    <s v="Red"/>
    <x v="4"/>
    <n v="1"/>
    <s v="No"/>
    <x v="0"/>
    <s v="Yes"/>
    <n v="0"/>
    <x v="3"/>
    <s v="Weekly"/>
    <n v="0.1"/>
    <n v="0"/>
    <n v="0"/>
    <s v="PayPal"/>
    <s v="Normal"/>
    <s v="Poor"/>
  </r>
  <r>
    <n v="4364"/>
    <n v="35"/>
    <x v="2"/>
    <x v="5"/>
    <x v="0"/>
    <n v="1319.13"/>
    <x v="14"/>
    <x v="3"/>
    <s v="White"/>
    <x v="2"/>
    <n v="4"/>
    <s v="No"/>
    <x v="3"/>
    <s v="No"/>
    <n v="0"/>
    <x v="5"/>
    <s v="Monthly"/>
    <n v="0.1"/>
    <n v="1187.2170000000001"/>
    <n v="1319.13"/>
    <s v="Debit Card"/>
    <s v="Best Customer"/>
    <s v="Good"/>
  </r>
  <r>
    <n v="4365"/>
    <n v="29"/>
    <x v="2"/>
    <x v="25"/>
    <x v="0"/>
    <n v="1069.81"/>
    <x v="51"/>
    <x v="1"/>
    <s v="Red"/>
    <x v="0"/>
    <n v="1"/>
    <s v="Yes"/>
    <x v="3"/>
    <s v="No"/>
    <n v="0"/>
    <x v="2"/>
    <s v="Quarterly"/>
    <n v="0.1"/>
    <n v="962.82899999999995"/>
    <n v="1069.81"/>
    <s v="Credit Card"/>
    <s v="Normal"/>
    <s v="Poor"/>
  </r>
  <r>
    <n v="4366"/>
    <n v="66"/>
    <x v="1"/>
    <x v="26"/>
    <x v="4"/>
    <n v="0"/>
    <x v="14"/>
    <x v="2"/>
    <s v="Blue"/>
    <x v="1"/>
    <n v="1"/>
    <s v="No"/>
    <x v="0"/>
    <s v="No"/>
    <n v="6"/>
    <x v="2"/>
    <s v="Quarterly"/>
    <n v="0.1"/>
    <n v="0"/>
    <n v="0"/>
    <s v="Credit Card"/>
    <s v="Normal"/>
    <s v="Poor"/>
  </r>
  <r>
    <n v="4367"/>
    <n v="23"/>
    <x v="2"/>
    <x v="5"/>
    <x v="4"/>
    <n v="235.67"/>
    <x v="50"/>
    <x v="2"/>
    <s v="Green"/>
    <x v="4"/>
    <n v="1"/>
    <s v="No"/>
    <x v="3"/>
    <s v="No"/>
    <n v="0"/>
    <x v="3"/>
    <s v="Quarterly"/>
    <n v="0.1"/>
    <n v="212.10299999999998"/>
    <n v="235.67"/>
    <s v="PayPal"/>
    <s v="Normal"/>
    <s v="Poor"/>
  </r>
  <r>
    <n v="4368"/>
    <n v="37"/>
    <x v="2"/>
    <x v="25"/>
    <x v="0"/>
    <n v="0"/>
    <x v="50"/>
    <x v="2"/>
    <s v="Red"/>
    <x v="1"/>
    <n v="1"/>
    <s v="Yes"/>
    <x v="3"/>
    <s v="Yes"/>
    <n v="0"/>
    <x v="3"/>
    <s v="Weekly"/>
    <n v="0.1"/>
    <n v="0"/>
    <n v="0"/>
    <s v="PayPal"/>
    <s v="Normal"/>
    <s v="Poor"/>
  </r>
  <r>
    <n v="4369"/>
    <n v="45"/>
    <x v="2"/>
    <x v="29"/>
    <x v="0"/>
    <n v="0"/>
    <x v="52"/>
    <x v="3"/>
    <s v="Blue"/>
    <x v="4"/>
    <n v="1"/>
    <s v="No"/>
    <x v="3"/>
    <s v="Yes"/>
    <n v="2"/>
    <x v="5"/>
    <s v="Monthly"/>
    <n v="0.1"/>
    <n v="0"/>
    <n v="0"/>
    <s v="Debit Card"/>
    <s v="Normal"/>
    <s v="Poor"/>
  </r>
  <r>
    <n v="4370"/>
    <n v="46"/>
    <x v="2"/>
    <x v="25"/>
    <x v="4"/>
    <n v="1407.1"/>
    <x v="14"/>
    <x v="2"/>
    <s v="White"/>
    <x v="0"/>
    <n v="1"/>
    <s v="Yes"/>
    <x v="0"/>
    <s v="No"/>
    <n v="12"/>
    <x v="1"/>
    <s v="Monthly"/>
    <n v="0.1"/>
    <n v="1266.3899999999999"/>
    <n v="1407.1"/>
    <s v="Cash"/>
    <s v="Normal"/>
    <s v="Poor"/>
  </r>
  <r>
    <n v="4371"/>
    <n v="67"/>
    <x v="2"/>
    <x v="9"/>
    <x v="0"/>
    <n v="617.37"/>
    <x v="53"/>
    <x v="0"/>
    <s v="Black"/>
    <x v="0"/>
    <n v="3"/>
    <s v="No"/>
    <x v="0"/>
    <s v="Yes"/>
    <n v="0"/>
    <x v="5"/>
    <s v="Quarterly"/>
    <n v="0.1"/>
    <n v="555.63300000000004"/>
    <n v="617.37"/>
    <s v="Debit Card"/>
    <s v="Normal"/>
    <s v="Good"/>
  </r>
  <r>
    <n v="4372"/>
    <n v="56"/>
    <x v="0"/>
    <x v="5"/>
    <x v="0"/>
    <n v="75.12"/>
    <x v="52"/>
    <x v="1"/>
    <s v="Blue"/>
    <x v="0"/>
    <n v="1"/>
    <s v="Yes"/>
    <x v="0"/>
    <s v="No"/>
    <n v="34"/>
    <x v="1"/>
    <s v="Monthly"/>
    <n v="0.1"/>
    <n v="67.608000000000004"/>
    <n v="75.12"/>
    <s v="Cash"/>
    <s v="Normal"/>
    <s v="Poor"/>
  </r>
  <r>
    <n v="4373"/>
    <n v="40"/>
    <x v="1"/>
    <x v="25"/>
    <x v="4"/>
    <n v="767.36"/>
    <x v="52"/>
    <x v="2"/>
    <s v="Black"/>
    <x v="1"/>
    <n v="1"/>
    <s v="No"/>
    <x v="0"/>
    <s v="Yes"/>
    <n v="0"/>
    <x v="3"/>
    <s v="Quarterly"/>
    <n v="0.1"/>
    <n v="690.62400000000002"/>
    <n v="767.36"/>
    <s v="PayPal"/>
    <s v="Normal"/>
    <s v="Poor"/>
  </r>
  <r>
    <n v="4374"/>
    <n v="37"/>
    <x v="1"/>
    <x v="26"/>
    <x v="4"/>
    <n v="144.61000000000001"/>
    <x v="52"/>
    <x v="2"/>
    <s v="Blue"/>
    <x v="2"/>
    <n v="3"/>
    <s v="Yes"/>
    <x v="0"/>
    <s v="Yes"/>
    <n v="0"/>
    <x v="1"/>
    <s v="Weekly"/>
    <n v="0.1"/>
    <n v="130.149"/>
    <n v="144.61000000000001"/>
    <s v="Cash"/>
    <s v="Normal"/>
    <s v="Good"/>
  </r>
  <r>
    <n v="4375"/>
    <n v="22"/>
    <x v="1"/>
    <x v="9"/>
    <x v="3"/>
    <n v="1224.49"/>
    <x v="52"/>
    <x v="2"/>
    <s v="White"/>
    <x v="1"/>
    <n v="1"/>
    <s v="No"/>
    <x v="0"/>
    <s v="Yes"/>
    <n v="0"/>
    <x v="3"/>
    <s v="Weekly"/>
    <n v="0.1"/>
    <n v="1102.0409999999999"/>
    <n v="1224.49"/>
    <s v="PayPal"/>
    <s v="Normal"/>
    <s v="Poor"/>
  </r>
  <r>
    <n v="4376"/>
    <n v="64"/>
    <x v="1"/>
    <x v="5"/>
    <x v="3"/>
    <n v="875.62"/>
    <x v="50"/>
    <x v="2"/>
    <s v="Red"/>
    <x v="4"/>
    <n v="1"/>
    <s v="No"/>
    <x v="0"/>
    <s v="No"/>
    <n v="0"/>
    <x v="2"/>
    <s v="Monthly"/>
    <n v="0.1"/>
    <n v="788.05799999999999"/>
    <n v="875.62"/>
    <s v="Credit Card"/>
    <s v="Normal"/>
    <s v="Poor"/>
  </r>
  <r>
    <n v="4377"/>
    <n v="34"/>
    <x v="1"/>
    <x v="9"/>
    <x v="4"/>
    <n v="0"/>
    <x v="52"/>
    <x v="2"/>
    <s v="Green"/>
    <x v="4"/>
    <n v="1"/>
    <s v="No"/>
    <x v="0"/>
    <s v="No"/>
    <n v="3"/>
    <x v="5"/>
    <s v="Weekly"/>
    <n v="0.1"/>
    <n v="0"/>
    <n v="0"/>
    <s v="Debit Card"/>
    <s v="Normal"/>
    <s v="Poor"/>
  </r>
  <r>
    <n v="4378"/>
    <n v="22"/>
    <x v="2"/>
    <x v="9"/>
    <x v="3"/>
    <n v="0"/>
    <x v="52"/>
    <x v="0"/>
    <s v="Green"/>
    <x v="1"/>
    <n v="1"/>
    <s v="No"/>
    <x v="3"/>
    <s v="Yes"/>
    <n v="7"/>
    <x v="1"/>
    <s v="Monthly"/>
    <n v="0.1"/>
    <n v="0"/>
    <n v="0"/>
    <s v="Cash"/>
    <s v="Normal"/>
    <s v="Poor"/>
  </r>
  <r>
    <n v="4379"/>
    <n v="70"/>
    <x v="1"/>
    <x v="9"/>
    <x v="4"/>
    <n v="0"/>
    <x v="51"/>
    <x v="2"/>
    <s v="Green"/>
    <x v="2"/>
    <n v="4"/>
    <s v="Yes"/>
    <x v="0"/>
    <s v="Yes"/>
    <n v="38"/>
    <x v="3"/>
    <s v="Monthly"/>
    <n v="0.1"/>
    <n v="0"/>
    <n v="0"/>
    <s v="PayPal"/>
    <s v="Normal"/>
    <s v="Good"/>
  </r>
  <r>
    <n v="4380"/>
    <n v="61"/>
    <x v="2"/>
    <x v="28"/>
    <x v="4"/>
    <n v="1487"/>
    <x v="52"/>
    <x v="2"/>
    <s v="Red"/>
    <x v="1"/>
    <n v="2"/>
    <s v="No"/>
    <x v="3"/>
    <s v="No"/>
    <n v="9"/>
    <x v="5"/>
    <s v="Quarterly"/>
    <n v="0.1"/>
    <n v="1338.3"/>
    <n v="1487"/>
    <s v="Debit Card"/>
    <s v="Normal"/>
    <s v="Poor"/>
  </r>
  <r>
    <n v="4381"/>
    <n v="53"/>
    <x v="1"/>
    <x v="27"/>
    <x v="0"/>
    <n v="0"/>
    <x v="52"/>
    <x v="2"/>
    <s v="Blue"/>
    <x v="2"/>
    <n v="3"/>
    <s v="No"/>
    <x v="0"/>
    <s v="Yes"/>
    <n v="0"/>
    <x v="3"/>
    <s v="Monthly"/>
    <n v="0.1"/>
    <n v="0"/>
    <n v="0"/>
    <s v="PayPal"/>
    <s v="Normal"/>
    <s v="Good"/>
  </r>
  <r>
    <n v="4382"/>
    <n v="34"/>
    <x v="1"/>
    <x v="26"/>
    <x v="4"/>
    <n v="549.5"/>
    <x v="50"/>
    <x v="2"/>
    <s v="Black"/>
    <x v="4"/>
    <n v="1"/>
    <s v="Yes"/>
    <x v="0"/>
    <s v="Yes"/>
    <n v="0"/>
    <x v="3"/>
    <s v="Quarterly"/>
    <n v="0.1"/>
    <n v="494.55"/>
    <n v="549.5"/>
    <s v="PayPal"/>
    <s v="Normal"/>
    <s v="Poor"/>
  </r>
  <r>
    <n v="4383"/>
    <n v="47"/>
    <x v="2"/>
    <x v="9"/>
    <x v="4"/>
    <n v="0"/>
    <x v="14"/>
    <x v="2"/>
    <s v="White"/>
    <x v="4"/>
    <n v="1"/>
    <s v="No"/>
    <x v="0"/>
    <s v="No"/>
    <n v="0"/>
    <x v="3"/>
    <s v="Weekly"/>
    <n v="0.1"/>
    <n v="0"/>
    <n v="0"/>
    <s v="PayPal"/>
    <s v="Normal"/>
    <s v="Poor"/>
  </r>
  <r>
    <n v="4384"/>
    <n v="22"/>
    <x v="1"/>
    <x v="9"/>
    <x v="0"/>
    <n v="632.95000000000005"/>
    <x v="53"/>
    <x v="2"/>
    <s v="White"/>
    <x v="2"/>
    <n v="4"/>
    <s v="No"/>
    <x v="3"/>
    <s v="Yes"/>
    <n v="35"/>
    <x v="1"/>
    <s v="Quarterly"/>
    <n v="0.1"/>
    <n v="569.65500000000009"/>
    <n v="632.95000000000005"/>
    <s v="Cash"/>
    <s v="Normal"/>
    <s v="Good"/>
  </r>
  <r>
    <n v="4385"/>
    <n v="59"/>
    <x v="1"/>
    <x v="27"/>
    <x v="0"/>
    <n v="0"/>
    <x v="53"/>
    <x v="0"/>
    <s v="White"/>
    <x v="1"/>
    <n v="1"/>
    <s v="Yes"/>
    <x v="0"/>
    <s v="Yes"/>
    <n v="18"/>
    <x v="1"/>
    <s v="Quarterly"/>
    <n v="0.1"/>
    <n v="0"/>
    <n v="0"/>
    <s v="Cash"/>
    <s v="Normal"/>
    <s v="Poor"/>
  </r>
  <r>
    <n v="4386"/>
    <n v="39"/>
    <x v="2"/>
    <x v="28"/>
    <x v="3"/>
    <n v="0"/>
    <x v="50"/>
    <x v="1"/>
    <s v="Black"/>
    <x v="1"/>
    <n v="1"/>
    <s v="No"/>
    <x v="0"/>
    <s v="No"/>
    <n v="21"/>
    <x v="2"/>
    <s v="Quarterly"/>
    <n v="0.1"/>
    <n v="0"/>
    <n v="0"/>
    <s v="Credit Card"/>
    <s v="Normal"/>
    <s v="Poor"/>
  </r>
  <r>
    <n v="4387"/>
    <n v="61"/>
    <x v="2"/>
    <x v="27"/>
    <x v="0"/>
    <n v="58.31"/>
    <x v="52"/>
    <x v="0"/>
    <s v="Green"/>
    <x v="1"/>
    <n v="4"/>
    <s v="Yes"/>
    <x v="3"/>
    <s v="No"/>
    <n v="0"/>
    <x v="2"/>
    <s v="Quarterly"/>
    <n v="0.1"/>
    <n v="52.478999999999999"/>
    <n v="58.31"/>
    <s v="Credit Card"/>
    <s v="Normal"/>
    <s v="Good"/>
  </r>
  <r>
    <n v="4388"/>
    <n v="62"/>
    <x v="2"/>
    <x v="27"/>
    <x v="3"/>
    <n v="0"/>
    <x v="14"/>
    <x v="0"/>
    <s v="Green"/>
    <x v="2"/>
    <n v="3"/>
    <s v="No"/>
    <x v="3"/>
    <s v="Yes"/>
    <n v="0"/>
    <x v="5"/>
    <s v="Weekly"/>
    <n v="0.1"/>
    <n v="0"/>
    <n v="0"/>
    <s v="Debit Card"/>
    <s v="Normal"/>
    <s v="Good"/>
  </r>
  <r>
    <n v="4389"/>
    <n v="52"/>
    <x v="2"/>
    <x v="9"/>
    <x v="4"/>
    <n v="0"/>
    <x v="14"/>
    <x v="2"/>
    <s v="Green"/>
    <x v="0"/>
    <n v="1"/>
    <s v="No"/>
    <x v="3"/>
    <s v="Yes"/>
    <n v="49"/>
    <x v="2"/>
    <s v="Weekly"/>
    <n v="0.1"/>
    <n v="0"/>
    <n v="0"/>
    <s v="Credit Card"/>
    <s v="Normal"/>
    <s v="Poor"/>
  </r>
  <r>
    <n v="4390"/>
    <n v="59"/>
    <x v="1"/>
    <x v="5"/>
    <x v="0"/>
    <n v="0"/>
    <x v="51"/>
    <x v="1"/>
    <s v="White"/>
    <x v="0"/>
    <n v="1"/>
    <s v="Yes"/>
    <x v="3"/>
    <s v="No"/>
    <n v="0"/>
    <x v="2"/>
    <s v="Quarterly"/>
    <n v="0.1"/>
    <n v="0"/>
    <n v="0"/>
    <s v="Credit Card"/>
    <s v="Normal"/>
    <s v="Poor"/>
  </r>
  <r>
    <n v="4391"/>
    <n v="20"/>
    <x v="0"/>
    <x v="25"/>
    <x v="3"/>
    <n v="732.58"/>
    <x v="14"/>
    <x v="2"/>
    <s v="Red"/>
    <x v="4"/>
    <n v="1"/>
    <s v="Yes"/>
    <x v="3"/>
    <s v="Yes"/>
    <n v="0"/>
    <x v="1"/>
    <s v="Monthly"/>
    <n v="0.1"/>
    <n v="659.322"/>
    <n v="732.58"/>
    <s v="Cash"/>
    <s v="Normal"/>
    <s v="Poor"/>
  </r>
  <r>
    <n v="4392"/>
    <n v="54"/>
    <x v="1"/>
    <x v="29"/>
    <x v="3"/>
    <n v="546.55999999999995"/>
    <x v="53"/>
    <x v="1"/>
    <s v="Blue"/>
    <x v="2"/>
    <n v="1"/>
    <s v="No"/>
    <x v="0"/>
    <s v="No"/>
    <n v="46"/>
    <x v="3"/>
    <s v="Weekly"/>
    <n v="0.1"/>
    <n v="491.90399999999994"/>
    <n v="546.55999999999995"/>
    <s v="PayPal"/>
    <s v="Normal"/>
    <s v="Poor"/>
  </r>
  <r>
    <n v="4393"/>
    <n v="48"/>
    <x v="0"/>
    <x v="9"/>
    <x v="4"/>
    <n v="0"/>
    <x v="53"/>
    <x v="2"/>
    <s v="White"/>
    <x v="4"/>
    <n v="1"/>
    <s v="No"/>
    <x v="0"/>
    <s v="Yes"/>
    <n v="43"/>
    <x v="5"/>
    <s v="Weekly"/>
    <n v="0.1"/>
    <n v="0"/>
    <n v="0"/>
    <s v="Debit Card"/>
    <s v="Normal"/>
    <s v="Poor"/>
  </r>
  <r>
    <n v="4394"/>
    <n v="21"/>
    <x v="2"/>
    <x v="29"/>
    <x v="4"/>
    <n v="1425.9"/>
    <x v="50"/>
    <x v="2"/>
    <s v="Blue"/>
    <x v="2"/>
    <n v="1"/>
    <s v="Yes"/>
    <x v="3"/>
    <s v="No"/>
    <n v="0"/>
    <x v="1"/>
    <s v="Weekly"/>
    <n v="0.1"/>
    <n v="1283.3100000000002"/>
    <n v="1425.9"/>
    <s v="Cash"/>
    <s v="Normal"/>
    <s v="Poor"/>
  </r>
  <r>
    <n v="4395"/>
    <n v="40"/>
    <x v="0"/>
    <x v="27"/>
    <x v="4"/>
    <n v="104.65"/>
    <x v="52"/>
    <x v="2"/>
    <s v="Green"/>
    <x v="1"/>
    <n v="1"/>
    <s v="No"/>
    <x v="3"/>
    <s v="No"/>
    <n v="36"/>
    <x v="2"/>
    <s v="Quarterly"/>
    <n v="0.1"/>
    <n v="94.185000000000002"/>
    <n v="104.65"/>
    <s v="Credit Card"/>
    <s v="Normal"/>
    <s v="Poor"/>
  </r>
  <r>
    <n v="4396"/>
    <n v="65"/>
    <x v="2"/>
    <x v="5"/>
    <x v="0"/>
    <n v="0"/>
    <x v="50"/>
    <x v="1"/>
    <s v="Blue"/>
    <x v="2"/>
    <n v="1"/>
    <s v="Yes"/>
    <x v="0"/>
    <s v="Yes"/>
    <n v="0"/>
    <x v="1"/>
    <s v="Quarterly"/>
    <n v="0.1"/>
    <n v="0"/>
    <n v="0"/>
    <s v="Cash"/>
    <s v="Normal"/>
    <s v="Poor"/>
  </r>
  <r>
    <n v="4397"/>
    <n v="47"/>
    <x v="2"/>
    <x v="25"/>
    <x v="3"/>
    <n v="0"/>
    <x v="52"/>
    <x v="0"/>
    <s v="White"/>
    <x v="1"/>
    <n v="1"/>
    <s v="Yes"/>
    <x v="0"/>
    <s v="No"/>
    <n v="0"/>
    <x v="2"/>
    <s v="Weekly"/>
    <n v="0.1"/>
    <n v="0"/>
    <n v="0"/>
    <s v="Credit Card"/>
    <s v="Normal"/>
    <s v="Poor"/>
  </r>
  <r>
    <n v="4398"/>
    <n v="62"/>
    <x v="2"/>
    <x v="5"/>
    <x v="3"/>
    <n v="722.19"/>
    <x v="52"/>
    <x v="2"/>
    <s v="Black"/>
    <x v="0"/>
    <n v="2"/>
    <s v="Yes"/>
    <x v="0"/>
    <s v="No"/>
    <n v="0"/>
    <x v="2"/>
    <s v="Monthly"/>
    <n v="0.1"/>
    <n v="649.971"/>
    <n v="722.19"/>
    <s v="Credit Card"/>
    <s v="Normal"/>
    <s v="Poor"/>
  </r>
  <r>
    <n v="4399"/>
    <n v="40"/>
    <x v="1"/>
    <x v="5"/>
    <x v="0"/>
    <n v="0"/>
    <x v="51"/>
    <x v="0"/>
    <s v="White"/>
    <x v="0"/>
    <n v="3"/>
    <s v="Yes"/>
    <x v="0"/>
    <s v="No"/>
    <n v="0"/>
    <x v="1"/>
    <s v="Quarterly"/>
    <n v="0.1"/>
    <n v="0"/>
    <n v="0"/>
    <s v="Cash"/>
    <s v="Normal"/>
    <s v="Good"/>
  </r>
  <r>
    <n v="4400"/>
    <n v="58"/>
    <x v="2"/>
    <x v="27"/>
    <x v="0"/>
    <n v="418.38"/>
    <x v="53"/>
    <x v="1"/>
    <s v="Blue"/>
    <x v="0"/>
    <n v="1"/>
    <s v="Yes"/>
    <x v="3"/>
    <s v="Yes"/>
    <n v="25"/>
    <x v="5"/>
    <s v="Weekly"/>
    <n v="0.1"/>
    <n v="376.54199999999997"/>
    <n v="418.38"/>
    <s v="Debit Card"/>
    <s v="Normal"/>
    <s v="Poor"/>
  </r>
  <r>
    <n v="4401"/>
    <n v="49"/>
    <x v="2"/>
    <x v="28"/>
    <x v="3"/>
    <n v="0"/>
    <x v="50"/>
    <x v="0"/>
    <s v="Green"/>
    <x v="0"/>
    <n v="4"/>
    <s v="No"/>
    <x v="0"/>
    <s v="Yes"/>
    <n v="32"/>
    <x v="1"/>
    <s v="Quarterly"/>
    <n v="0.1"/>
    <n v="0"/>
    <n v="0"/>
    <s v="Cash"/>
    <s v="Normal"/>
    <s v="Good"/>
  </r>
  <r>
    <n v="4402"/>
    <n v="48"/>
    <x v="1"/>
    <x v="9"/>
    <x v="3"/>
    <n v="0"/>
    <x v="53"/>
    <x v="2"/>
    <s v="Green"/>
    <x v="1"/>
    <n v="4"/>
    <s v="Yes"/>
    <x v="3"/>
    <s v="Yes"/>
    <n v="0"/>
    <x v="1"/>
    <s v="Monthly"/>
    <n v="0.1"/>
    <n v="0"/>
    <n v="0"/>
    <s v="Cash"/>
    <s v="Normal"/>
    <s v="Good"/>
  </r>
  <r>
    <n v="4403"/>
    <n v="70"/>
    <x v="2"/>
    <x v="28"/>
    <x v="0"/>
    <n v="583.34"/>
    <x v="14"/>
    <x v="0"/>
    <s v="Green"/>
    <x v="0"/>
    <n v="1"/>
    <s v="Yes"/>
    <x v="0"/>
    <s v="No"/>
    <n v="20"/>
    <x v="3"/>
    <s v="Weekly"/>
    <n v="0.1"/>
    <n v="525.00600000000009"/>
    <n v="583.34"/>
    <s v="PayPal"/>
    <s v="Normal"/>
    <s v="Poor"/>
  </r>
  <r>
    <n v="4404"/>
    <n v="67"/>
    <x v="0"/>
    <x v="27"/>
    <x v="0"/>
    <n v="498.03"/>
    <x v="14"/>
    <x v="3"/>
    <s v="Blue"/>
    <x v="0"/>
    <n v="1"/>
    <s v="Yes"/>
    <x v="3"/>
    <s v="Yes"/>
    <n v="20"/>
    <x v="5"/>
    <s v="Monthly"/>
    <n v="0.1"/>
    <n v="448.22699999999998"/>
    <n v="498.03"/>
    <s v="Debit Card"/>
    <s v="Normal"/>
    <s v="Poor"/>
  </r>
  <r>
    <n v="4405"/>
    <n v="36"/>
    <x v="2"/>
    <x v="25"/>
    <x v="4"/>
    <n v="0"/>
    <x v="53"/>
    <x v="2"/>
    <s v="White"/>
    <x v="1"/>
    <n v="1"/>
    <s v="No"/>
    <x v="0"/>
    <s v="Yes"/>
    <n v="12"/>
    <x v="1"/>
    <s v="Quarterly"/>
    <n v="0.1"/>
    <n v="0"/>
    <n v="0"/>
    <s v="Cash"/>
    <s v="Normal"/>
    <s v="Poor"/>
  </r>
  <r>
    <n v="4406"/>
    <n v="19"/>
    <x v="2"/>
    <x v="26"/>
    <x v="4"/>
    <n v="0"/>
    <x v="14"/>
    <x v="2"/>
    <s v="Blue"/>
    <x v="2"/>
    <n v="1"/>
    <s v="Yes"/>
    <x v="0"/>
    <s v="No"/>
    <n v="0"/>
    <x v="1"/>
    <s v="Monthly"/>
    <n v="0.1"/>
    <n v="0"/>
    <n v="0"/>
    <s v="Cash"/>
    <s v="Normal"/>
    <s v="Poor"/>
  </r>
  <r>
    <n v="4407"/>
    <n v="33"/>
    <x v="0"/>
    <x v="28"/>
    <x v="3"/>
    <n v="0"/>
    <x v="14"/>
    <x v="0"/>
    <s v="White"/>
    <x v="4"/>
    <n v="1"/>
    <s v="Yes"/>
    <x v="3"/>
    <s v="Yes"/>
    <n v="0"/>
    <x v="2"/>
    <s v="Monthly"/>
    <n v="0.1"/>
    <n v="0"/>
    <n v="0"/>
    <s v="Credit Card"/>
    <s v="Normal"/>
    <s v="Poor"/>
  </r>
  <r>
    <n v="4408"/>
    <n v="19"/>
    <x v="0"/>
    <x v="25"/>
    <x v="4"/>
    <n v="1456.31"/>
    <x v="51"/>
    <x v="2"/>
    <s v="Green"/>
    <x v="2"/>
    <n v="5"/>
    <s v="Yes"/>
    <x v="0"/>
    <s v="Yes"/>
    <n v="0"/>
    <x v="1"/>
    <s v="Weekly"/>
    <n v="0.1"/>
    <n v="1310.6789999999999"/>
    <n v="1456.31"/>
    <s v="Cash"/>
    <s v="Best Customer"/>
    <s v="Good"/>
  </r>
  <r>
    <n v="4409"/>
    <n v="31"/>
    <x v="0"/>
    <x v="25"/>
    <x v="0"/>
    <n v="0"/>
    <x v="50"/>
    <x v="1"/>
    <s v="White"/>
    <x v="0"/>
    <n v="1"/>
    <s v="Yes"/>
    <x v="3"/>
    <s v="No"/>
    <n v="0"/>
    <x v="1"/>
    <s v="Quarterly"/>
    <n v="0.1"/>
    <n v="0"/>
    <n v="0"/>
    <s v="Cash"/>
    <s v="Normal"/>
    <s v="Poor"/>
  </r>
  <r>
    <n v="4410"/>
    <n v="31"/>
    <x v="2"/>
    <x v="9"/>
    <x v="3"/>
    <n v="0"/>
    <x v="51"/>
    <x v="0"/>
    <s v="Red"/>
    <x v="2"/>
    <n v="5"/>
    <s v="No"/>
    <x v="0"/>
    <s v="Yes"/>
    <n v="19"/>
    <x v="1"/>
    <s v="Monthly"/>
    <n v="0.1"/>
    <n v="0"/>
    <n v="0"/>
    <s v="Cash"/>
    <s v="Normal"/>
    <s v="Good"/>
  </r>
  <r>
    <n v="4411"/>
    <n v="70"/>
    <x v="2"/>
    <x v="9"/>
    <x v="0"/>
    <n v="347.55"/>
    <x v="51"/>
    <x v="3"/>
    <s v="Blue"/>
    <x v="4"/>
    <n v="1"/>
    <s v="No"/>
    <x v="3"/>
    <s v="No"/>
    <n v="0"/>
    <x v="2"/>
    <s v="Weekly"/>
    <n v="0.1"/>
    <n v="312.79500000000002"/>
    <n v="347.55"/>
    <s v="Credit Card"/>
    <s v="Normal"/>
    <s v="Poor"/>
  </r>
  <r>
    <n v="4412"/>
    <n v="41"/>
    <x v="0"/>
    <x v="28"/>
    <x v="0"/>
    <n v="1214.49"/>
    <x v="14"/>
    <x v="2"/>
    <s v="Blue"/>
    <x v="1"/>
    <n v="2"/>
    <s v="No"/>
    <x v="3"/>
    <s v="Yes"/>
    <n v="1"/>
    <x v="3"/>
    <s v="Quarterly"/>
    <n v="0.1"/>
    <n v="1093.0409999999999"/>
    <n v="1214.49"/>
    <s v="PayPal"/>
    <s v="Normal"/>
    <s v="Poor"/>
  </r>
  <r>
    <n v="4413"/>
    <n v="26"/>
    <x v="2"/>
    <x v="26"/>
    <x v="3"/>
    <n v="0"/>
    <x v="50"/>
    <x v="2"/>
    <s v="Black"/>
    <x v="1"/>
    <n v="1"/>
    <s v="Yes"/>
    <x v="3"/>
    <s v="No"/>
    <n v="24"/>
    <x v="5"/>
    <s v="Weekly"/>
    <n v="0.1"/>
    <n v="0"/>
    <n v="0"/>
    <s v="Debit Card"/>
    <s v="Normal"/>
    <s v="Poor"/>
  </r>
  <r>
    <n v="4414"/>
    <n v="65"/>
    <x v="0"/>
    <x v="25"/>
    <x v="0"/>
    <n v="0"/>
    <x v="14"/>
    <x v="2"/>
    <s v="Blue"/>
    <x v="2"/>
    <n v="1"/>
    <s v="No"/>
    <x v="0"/>
    <s v="No"/>
    <n v="0"/>
    <x v="1"/>
    <s v="Quarterly"/>
    <n v="0.1"/>
    <n v="0"/>
    <n v="0"/>
    <s v="Cash"/>
    <s v="Normal"/>
    <s v="Poor"/>
  </r>
  <r>
    <n v="4415"/>
    <n v="20"/>
    <x v="1"/>
    <x v="27"/>
    <x v="4"/>
    <n v="347.82"/>
    <x v="50"/>
    <x v="2"/>
    <s v="Black"/>
    <x v="0"/>
    <n v="1"/>
    <s v="Yes"/>
    <x v="3"/>
    <s v="Yes"/>
    <n v="39"/>
    <x v="5"/>
    <s v="Monthly"/>
    <n v="0.1"/>
    <n v="313.03800000000001"/>
    <n v="347.82"/>
    <s v="Debit Card"/>
    <s v="Normal"/>
    <s v="Poor"/>
  </r>
  <r>
    <n v="4416"/>
    <n v="32"/>
    <x v="0"/>
    <x v="5"/>
    <x v="4"/>
    <n v="540.78"/>
    <x v="14"/>
    <x v="2"/>
    <s v="Black"/>
    <x v="1"/>
    <n v="1"/>
    <s v="No"/>
    <x v="0"/>
    <s v="No"/>
    <n v="0"/>
    <x v="2"/>
    <s v="Monthly"/>
    <n v="0.1"/>
    <n v="486.702"/>
    <n v="540.78"/>
    <s v="Credit Card"/>
    <s v="Normal"/>
    <s v="Poor"/>
  </r>
  <r>
    <n v="4417"/>
    <n v="18"/>
    <x v="2"/>
    <x v="27"/>
    <x v="3"/>
    <n v="575.59"/>
    <x v="14"/>
    <x v="1"/>
    <s v="White"/>
    <x v="2"/>
    <n v="1"/>
    <s v="No"/>
    <x v="0"/>
    <s v="Yes"/>
    <n v="29"/>
    <x v="1"/>
    <s v="Quarterly"/>
    <n v="0.1"/>
    <n v="518.03100000000006"/>
    <n v="575.59"/>
    <s v="Cash"/>
    <s v="Normal"/>
    <s v="Poor"/>
  </r>
  <r>
    <n v="4418"/>
    <n v="67"/>
    <x v="1"/>
    <x v="27"/>
    <x v="4"/>
    <n v="0"/>
    <x v="51"/>
    <x v="2"/>
    <s v="Red"/>
    <x v="4"/>
    <n v="1"/>
    <s v="No"/>
    <x v="0"/>
    <s v="No"/>
    <n v="47"/>
    <x v="3"/>
    <s v="Quarterly"/>
    <n v="0.1"/>
    <n v="0"/>
    <n v="0"/>
    <s v="PayPal"/>
    <s v="Normal"/>
    <s v="Poor"/>
  </r>
  <r>
    <n v="4419"/>
    <n v="36"/>
    <x v="1"/>
    <x v="29"/>
    <x v="3"/>
    <n v="0"/>
    <x v="14"/>
    <x v="2"/>
    <s v="White"/>
    <x v="0"/>
    <n v="3"/>
    <s v="Yes"/>
    <x v="0"/>
    <s v="Yes"/>
    <n v="0"/>
    <x v="2"/>
    <s v="Quarterly"/>
    <n v="0.1"/>
    <n v="0"/>
    <n v="0"/>
    <s v="Credit Card"/>
    <s v="Normal"/>
    <s v="Good"/>
  </r>
  <r>
    <n v="4420"/>
    <n v="43"/>
    <x v="0"/>
    <x v="25"/>
    <x v="0"/>
    <n v="0"/>
    <x v="52"/>
    <x v="1"/>
    <s v="Blue"/>
    <x v="4"/>
    <n v="3"/>
    <s v="Yes"/>
    <x v="3"/>
    <s v="No"/>
    <n v="19"/>
    <x v="2"/>
    <s v="Quarterly"/>
    <n v="0.1"/>
    <n v="0"/>
    <n v="0"/>
    <s v="Credit Card"/>
    <s v="Normal"/>
    <s v="Good"/>
  </r>
  <r>
    <n v="4421"/>
    <n v="57"/>
    <x v="1"/>
    <x v="27"/>
    <x v="0"/>
    <n v="0"/>
    <x v="50"/>
    <x v="3"/>
    <s v="White"/>
    <x v="1"/>
    <n v="1"/>
    <s v="No"/>
    <x v="0"/>
    <s v="Yes"/>
    <n v="0"/>
    <x v="3"/>
    <s v="Weekly"/>
    <n v="0.1"/>
    <n v="0"/>
    <n v="0"/>
    <s v="PayPal"/>
    <s v="Normal"/>
    <s v="Poor"/>
  </r>
  <r>
    <n v="4422"/>
    <n v="24"/>
    <x v="0"/>
    <x v="29"/>
    <x v="3"/>
    <n v="680.04"/>
    <x v="52"/>
    <x v="2"/>
    <s v="White"/>
    <x v="0"/>
    <n v="1"/>
    <s v="Yes"/>
    <x v="0"/>
    <s v="Yes"/>
    <n v="12"/>
    <x v="5"/>
    <s v="Quarterly"/>
    <n v="0.1"/>
    <n v="612.03599999999994"/>
    <n v="680.04"/>
    <s v="Debit Card"/>
    <s v="Normal"/>
    <s v="Poor"/>
  </r>
  <r>
    <n v="4423"/>
    <n v="66"/>
    <x v="1"/>
    <x v="26"/>
    <x v="0"/>
    <n v="0"/>
    <x v="51"/>
    <x v="3"/>
    <s v="Blue"/>
    <x v="1"/>
    <n v="2"/>
    <s v="Yes"/>
    <x v="3"/>
    <s v="No"/>
    <n v="6"/>
    <x v="3"/>
    <s v="Monthly"/>
    <n v="0.1"/>
    <n v="0"/>
    <n v="0"/>
    <s v="PayPal"/>
    <s v="Normal"/>
    <s v="Poor"/>
  </r>
  <r>
    <n v="4424"/>
    <n v="69"/>
    <x v="2"/>
    <x v="25"/>
    <x v="0"/>
    <n v="1223.83"/>
    <x v="52"/>
    <x v="2"/>
    <s v="Blue"/>
    <x v="4"/>
    <n v="1"/>
    <s v="No"/>
    <x v="3"/>
    <s v="Yes"/>
    <n v="2"/>
    <x v="5"/>
    <s v="Quarterly"/>
    <n v="0.1"/>
    <n v="1101.4469999999999"/>
    <n v="1223.83"/>
    <s v="Debit Card"/>
    <s v="Normal"/>
    <s v="Poor"/>
  </r>
  <r>
    <n v="4425"/>
    <n v="24"/>
    <x v="0"/>
    <x v="26"/>
    <x v="3"/>
    <n v="1318.69"/>
    <x v="52"/>
    <x v="1"/>
    <s v="Black"/>
    <x v="1"/>
    <n v="4"/>
    <s v="Yes"/>
    <x v="3"/>
    <s v="Yes"/>
    <n v="0"/>
    <x v="1"/>
    <s v="Quarterly"/>
    <n v="0.1"/>
    <n v="1186.8210000000001"/>
    <n v="1318.69"/>
    <s v="Cash"/>
    <s v="Best Customer"/>
    <s v="Good"/>
  </r>
  <r>
    <n v="4426"/>
    <n v="66"/>
    <x v="0"/>
    <x v="28"/>
    <x v="0"/>
    <n v="0"/>
    <x v="52"/>
    <x v="2"/>
    <s v="Blue"/>
    <x v="2"/>
    <n v="4"/>
    <s v="Yes"/>
    <x v="3"/>
    <s v="Yes"/>
    <n v="0"/>
    <x v="1"/>
    <s v="Quarterly"/>
    <n v="0.1"/>
    <n v="0"/>
    <n v="0"/>
    <s v="Cash"/>
    <s v="Normal"/>
    <s v="Good"/>
  </r>
  <r>
    <n v="4427"/>
    <n v="23"/>
    <x v="1"/>
    <x v="9"/>
    <x v="4"/>
    <n v="638.80999999999995"/>
    <x v="53"/>
    <x v="2"/>
    <s v="White"/>
    <x v="4"/>
    <n v="1"/>
    <s v="Yes"/>
    <x v="0"/>
    <s v="No"/>
    <n v="1"/>
    <x v="3"/>
    <s v="Weekly"/>
    <n v="0.1"/>
    <n v="574.92899999999997"/>
    <n v="638.80999999999995"/>
    <s v="PayPal"/>
    <s v="Normal"/>
    <s v="Poor"/>
  </r>
  <r>
    <n v="4428"/>
    <n v="37"/>
    <x v="0"/>
    <x v="9"/>
    <x v="0"/>
    <n v="0"/>
    <x v="51"/>
    <x v="2"/>
    <s v="Green"/>
    <x v="0"/>
    <n v="1"/>
    <s v="Yes"/>
    <x v="3"/>
    <s v="Yes"/>
    <n v="0"/>
    <x v="2"/>
    <s v="Quarterly"/>
    <n v="0.1"/>
    <n v="0"/>
    <n v="0"/>
    <s v="Credit Card"/>
    <s v="Normal"/>
    <s v="Poor"/>
  </r>
  <r>
    <n v="4429"/>
    <n v="42"/>
    <x v="2"/>
    <x v="29"/>
    <x v="4"/>
    <n v="0"/>
    <x v="50"/>
    <x v="2"/>
    <s v="Blue"/>
    <x v="1"/>
    <n v="1"/>
    <s v="Yes"/>
    <x v="3"/>
    <s v="Yes"/>
    <n v="0"/>
    <x v="5"/>
    <s v="Weekly"/>
    <n v="0.1"/>
    <n v="0"/>
    <n v="0"/>
    <s v="Debit Card"/>
    <s v="Normal"/>
    <s v="Poor"/>
  </r>
  <r>
    <n v="4430"/>
    <n v="52"/>
    <x v="1"/>
    <x v="5"/>
    <x v="0"/>
    <n v="1115.05"/>
    <x v="51"/>
    <x v="1"/>
    <s v="Blue"/>
    <x v="4"/>
    <n v="4"/>
    <s v="No"/>
    <x v="0"/>
    <s v="No"/>
    <n v="35"/>
    <x v="2"/>
    <s v="Monthly"/>
    <n v="0.1"/>
    <n v="1003.545"/>
    <n v="1115.05"/>
    <s v="Credit Card"/>
    <s v="Best Customer"/>
    <s v="Good"/>
  </r>
  <r>
    <n v="4431"/>
    <n v="25"/>
    <x v="0"/>
    <x v="26"/>
    <x v="4"/>
    <n v="716.34"/>
    <x v="14"/>
    <x v="2"/>
    <s v="Blue"/>
    <x v="2"/>
    <n v="5"/>
    <s v="No"/>
    <x v="3"/>
    <s v="Yes"/>
    <n v="33"/>
    <x v="3"/>
    <s v="Weekly"/>
    <n v="0.1"/>
    <n v="644.70600000000002"/>
    <n v="716.34"/>
    <s v="PayPal"/>
    <s v="Normal"/>
    <s v="Good"/>
  </r>
  <r>
    <n v="4432"/>
    <n v="29"/>
    <x v="2"/>
    <x v="28"/>
    <x v="3"/>
    <n v="1311.75"/>
    <x v="14"/>
    <x v="0"/>
    <s v="Blue"/>
    <x v="2"/>
    <n v="1"/>
    <s v="No"/>
    <x v="3"/>
    <s v="No"/>
    <n v="47"/>
    <x v="5"/>
    <s v="Weekly"/>
    <n v="0.1"/>
    <n v="1180.575"/>
    <n v="1311.75"/>
    <s v="Debit Card"/>
    <s v="Normal"/>
    <s v="Poor"/>
  </r>
  <r>
    <n v="4433"/>
    <n v="32"/>
    <x v="0"/>
    <x v="25"/>
    <x v="3"/>
    <n v="0"/>
    <x v="53"/>
    <x v="1"/>
    <s v="Red"/>
    <x v="0"/>
    <n v="1"/>
    <s v="Yes"/>
    <x v="0"/>
    <s v="No"/>
    <n v="0"/>
    <x v="1"/>
    <s v="Quarterly"/>
    <n v="0.1"/>
    <n v="0"/>
    <n v="0"/>
    <s v="Cash"/>
    <s v="Normal"/>
    <s v="Poor"/>
  </r>
  <r>
    <n v="4434"/>
    <n v="47"/>
    <x v="0"/>
    <x v="25"/>
    <x v="3"/>
    <n v="599.51"/>
    <x v="53"/>
    <x v="0"/>
    <s v="Blue"/>
    <x v="2"/>
    <n v="5"/>
    <s v="No"/>
    <x v="0"/>
    <s v="Yes"/>
    <n v="10"/>
    <x v="1"/>
    <s v="Weekly"/>
    <n v="0.1"/>
    <n v="539.55899999999997"/>
    <n v="599.51"/>
    <s v="Cash"/>
    <s v="Normal"/>
    <s v="Good"/>
  </r>
  <r>
    <n v="4435"/>
    <n v="18"/>
    <x v="0"/>
    <x v="5"/>
    <x v="0"/>
    <n v="1092.28"/>
    <x v="51"/>
    <x v="0"/>
    <s v="Red"/>
    <x v="0"/>
    <n v="1"/>
    <s v="Yes"/>
    <x v="3"/>
    <s v="Yes"/>
    <n v="11"/>
    <x v="1"/>
    <s v="Weekly"/>
    <n v="0.1"/>
    <n v="983.05199999999991"/>
    <n v="1092.28"/>
    <s v="Cash"/>
    <s v="Normal"/>
    <s v="Poor"/>
  </r>
  <r>
    <n v="4436"/>
    <n v="59"/>
    <x v="1"/>
    <x v="5"/>
    <x v="4"/>
    <n v="0"/>
    <x v="51"/>
    <x v="2"/>
    <s v="Red"/>
    <x v="2"/>
    <n v="1"/>
    <s v="Yes"/>
    <x v="0"/>
    <s v="Yes"/>
    <n v="39"/>
    <x v="3"/>
    <s v="Monthly"/>
    <n v="0.1"/>
    <n v="0"/>
    <n v="0"/>
    <s v="PayPal"/>
    <s v="Normal"/>
    <s v="Poor"/>
  </r>
  <r>
    <n v="4437"/>
    <n v="28"/>
    <x v="0"/>
    <x v="9"/>
    <x v="4"/>
    <n v="412.8"/>
    <x v="50"/>
    <x v="2"/>
    <s v="Green"/>
    <x v="4"/>
    <n v="1"/>
    <s v="Yes"/>
    <x v="3"/>
    <s v="Yes"/>
    <n v="0"/>
    <x v="2"/>
    <s v="Quarterly"/>
    <n v="0.1"/>
    <n v="371.52"/>
    <n v="412.8"/>
    <s v="Credit Card"/>
    <s v="Normal"/>
    <s v="Poor"/>
  </r>
  <r>
    <n v="4438"/>
    <n v="37"/>
    <x v="2"/>
    <x v="25"/>
    <x v="0"/>
    <n v="1025.56"/>
    <x v="50"/>
    <x v="1"/>
    <s v="Black"/>
    <x v="1"/>
    <n v="5"/>
    <s v="No"/>
    <x v="0"/>
    <s v="No"/>
    <n v="0"/>
    <x v="1"/>
    <s v="Weekly"/>
    <n v="0.1"/>
    <n v="923.00399999999991"/>
    <n v="1025.56"/>
    <s v="Cash"/>
    <s v="Best Customer"/>
    <s v="Good"/>
  </r>
  <r>
    <n v="4439"/>
    <n v="55"/>
    <x v="2"/>
    <x v="28"/>
    <x v="4"/>
    <n v="294.04000000000002"/>
    <x v="14"/>
    <x v="2"/>
    <s v="Red"/>
    <x v="4"/>
    <n v="1"/>
    <s v="Yes"/>
    <x v="0"/>
    <s v="No"/>
    <n v="0"/>
    <x v="3"/>
    <s v="Weekly"/>
    <n v="0.1"/>
    <n v="264.63600000000002"/>
    <n v="294.04000000000002"/>
    <s v="PayPal"/>
    <s v="Normal"/>
    <s v="Poor"/>
  </r>
  <r>
    <n v="4440"/>
    <n v="44"/>
    <x v="0"/>
    <x v="5"/>
    <x v="0"/>
    <n v="0"/>
    <x v="52"/>
    <x v="2"/>
    <s v="Red"/>
    <x v="0"/>
    <n v="1"/>
    <s v="No"/>
    <x v="3"/>
    <s v="Yes"/>
    <n v="36"/>
    <x v="1"/>
    <s v="Weekly"/>
    <n v="0.1"/>
    <n v="0"/>
    <n v="0"/>
    <s v="Cash"/>
    <s v="Normal"/>
    <s v="Poor"/>
  </r>
  <r>
    <n v="4441"/>
    <n v="65"/>
    <x v="1"/>
    <x v="26"/>
    <x v="0"/>
    <n v="707.83"/>
    <x v="51"/>
    <x v="1"/>
    <s v="Red"/>
    <x v="2"/>
    <n v="3"/>
    <s v="No"/>
    <x v="0"/>
    <s v="Yes"/>
    <n v="30"/>
    <x v="5"/>
    <s v="Weekly"/>
    <n v="0.1"/>
    <n v="637.04700000000003"/>
    <n v="707.83"/>
    <s v="Debit Card"/>
    <s v="Normal"/>
    <s v="Good"/>
  </r>
  <r>
    <n v="4442"/>
    <n v="37"/>
    <x v="0"/>
    <x v="9"/>
    <x v="0"/>
    <n v="201.93"/>
    <x v="53"/>
    <x v="1"/>
    <s v="Black"/>
    <x v="1"/>
    <n v="1"/>
    <s v="No"/>
    <x v="0"/>
    <s v="Yes"/>
    <n v="0"/>
    <x v="2"/>
    <s v="Weekly"/>
    <n v="0.1"/>
    <n v="181.73699999999999"/>
    <n v="201.93"/>
    <s v="Credit Card"/>
    <s v="Normal"/>
    <s v="Poor"/>
  </r>
  <r>
    <n v="4443"/>
    <n v="55"/>
    <x v="1"/>
    <x v="27"/>
    <x v="4"/>
    <n v="0"/>
    <x v="51"/>
    <x v="2"/>
    <s v="Green"/>
    <x v="4"/>
    <n v="1"/>
    <s v="No"/>
    <x v="3"/>
    <s v="Yes"/>
    <n v="0"/>
    <x v="2"/>
    <s v="Quarterly"/>
    <n v="0.1"/>
    <n v="0"/>
    <n v="0"/>
    <s v="Credit Card"/>
    <s v="Normal"/>
    <s v="Poor"/>
  </r>
  <r>
    <n v="4444"/>
    <n v="23"/>
    <x v="1"/>
    <x v="27"/>
    <x v="3"/>
    <n v="0"/>
    <x v="14"/>
    <x v="0"/>
    <s v="Red"/>
    <x v="4"/>
    <n v="2"/>
    <s v="No"/>
    <x v="0"/>
    <s v="No"/>
    <n v="0"/>
    <x v="1"/>
    <s v="Weekly"/>
    <n v="0.1"/>
    <n v="0"/>
    <n v="0"/>
    <s v="Cash"/>
    <s v="Normal"/>
    <s v="Poor"/>
  </r>
  <r>
    <n v="4445"/>
    <n v="59"/>
    <x v="0"/>
    <x v="29"/>
    <x v="4"/>
    <n v="0"/>
    <x v="53"/>
    <x v="2"/>
    <s v="Red"/>
    <x v="2"/>
    <n v="1"/>
    <s v="Yes"/>
    <x v="3"/>
    <s v="No"/>
    <n v="46"/>
    <x v="2"/>
    <s v="Monthly"/>
    <n v="0.1"/>
    <n v="0"/>
    <n v="0"/>
    <s v="Credit Card"/>
    <s v="Normal"/>
    <s v="Poor"/>
  </r>
  <r>
    <n v="4446"/>
    <n v="50"/>
    <x v="2"/>
    <x v="26"/>
    <x v="0"/>
    <n v="0"/>
    <x v="51"/>
    <x v="1"/>
    <s v="Black"/>
    <x v="0"/>
    <n v="1"/>
    <s v="Yes"/>
    <x v="3"/>
    <s v="No"/>
    <n v="30"/>
    <x v="3"/>
    <s v="Weekly"/>
    <n v="0.1"/>
    <n v="0"/>
    <n v="0"/>
    <s v="PayPal"/>
    <s v="Normal"/>
    <s v="Poor"/>
  </r>
  <r>
    <n v="4447"/>
    <n v="36"/>
    <x v="1"/>
    <x v="27"/>
    <x v="3"/>
    <n v="0"/>
    <x v="53"/>
    <x v="1"/>
    <s v="Green"/>
    <x v="0"/>
    <n v="1"/>
    <s v="Yes"/>
    <x v="3"/>
    <s v="Yes"/>
    <n v="0"/>
    <x v="1"/>
    <s v="Quarterly"/>
    <n v="0.1"/>
    <n v="0"/>
    <n v="0"/>
    <s v="Cash"/>
    <s v="Normal"/>
    <s v="Poor"/>
  </r>
  <r>
    <n v="4448"/>
    <n v="67"/>
    <x v="1"/>
    <x v="25"/>
    <x v="3"/>
    <n v="800.47"/>
    <x v="51"/>
    <x v="2"/>
    <s v="Red"/>
    <x v="4"/>
    <n v="4"/>
    <s v="Yes"/>
    <x v="0"/>
    <s v="No"/>
    <n v="16"/>
    <x v="5"/>
    <s v="Quarterly"/>
    <n v="0.1"/>
    <n v="720.423"/>
    <n v="800.47"/>
    <s v="Debit Card"/>
    <s v="Normal"/>
    <s v="Good"/>
  </r>
  <r>
    <n v="4449"/>
    <n v="49"/>
    <x v="2"/>
    <x v="27"/>
    <x v="0"/>
    <n v="0"/>
    <x v="53"/>
    <x v="3"/>
    <s v="Red"/>
    <x v="1"/>
    <n v="4"/>
    <s v="Yes"/>
    <x v="0"/>
    <s v="No"/>
    <n v="0"/>
    <x v="1"/>
    <s v="Quarterly"/>
    <n v="0.1"/>
    <n v="0"/>
    <n v="0"/>
    <s v="Cash"/>
    <s v="Normal"/>
    <s v="Good"/>
  </r>
  <r>
    <n v="4450"/>
    <n v="20"/>
    <x v="0"/>
    <x v="9"/>
    <x v="4"/>
    <n v="0"/>
    <x v="51"/>
    <x v="2"/>
    <s v="Black"/>
    <x v="4"/>
    <n v="1"/>
    <s v="No"/>
    <x v="0"/>
    <s v="No"/>
    <n v="0"/>
    <x v="2"/>
    <s v="Monthly"/>
    <n v="0.1"/>
    <n v="0"/>
    <n v="0"/>
    <s v="Credit Card"/>
    <s v="Normal"/>
    <s v="Poor"/>
  </r>
  <r>
    <n v="4451"/>
    <n v="20"/>
    <x v="1"/>
    <x v="26"/>
    <x v="0"/>
    <n v="0"/>
    <x v="52"/>
    <x v="0"/>
    <s v="Red"/>
    <x v="2"/>
    <n v="3"/>
    <s v="No"/>
    <x v="0"/>
    <s v="No"/>
    <n v="0"/>
    <x v="5"/>
    <s v="Monthly"/>
    <n v="0.1"/>
    <n v="0"/>
    <n v="0"/>
    <s v="Debit Card"/>
    <s v="Normal"/>
    <s v="Good"/>
  </r>
  <r>
    <n v="4452"/>
    <n v="28"/>
    <x v="1"/>
    <x v="27"/>
    <x v="4"/>
    <n v="765.68"/>
    <x v="51"/>
    <x v="2"/>
    <s v="Red"/>
    <x v="4"/>
    <n v="1"/>
    <s v="Yes"/>
    <x v="0"/>
    <s v="Yes"/>
    <n v="0"/>
    <x v="2"/>
    <s v="Monthly"/>
    <n v="0.1"/>
    <n v="689.11199999999997"/>
    <n v="765.68"/>
    <s v="Credit Card"/>
    <s v="Normal"/>
    <s v="Poor"/>
  </r>
  <r>
    <n v="4453"/>
    <n v="24"/>
    <x v="1"/>
    <x v="9"/>
    <x v="0"/>
    <n v="0"/>
    <x v="53"/>
    <x v="2"/>
    <s v="Green"/>
    <x v="2"/>
    <n v="1"/>
    <s v="Yes"/>
    <x v="0"/>
    <s v="Yes"/>
    <n v="47"/>
    <x v="1"/>
    <s v="Monthly"/>
    <n v="0.1"/>
    <n v="0"/>
    <n v="0"/>
    <s v="Cash"/>
    <s v="Normal"/>
    <s v="Poor"/>
  </r>
  <r>
    <n v="4454"/>
    <n v="65"/>
    <x v="1"/>
    <x v="28"/>
    <x v="0"/>
    <n v="0"/>
    <x v="50"/>
    <x v="3"/>
    <s v="Blue"/>
    <x v="0"/>
    <n v="1"/>
    <s v="Yes"/>
    <x v="3"/>
    <s v="Yes"/>
    <n v="17"/>
    <x v="1"/>
    <s v="Weekly"/>
    <n v="0.1"/>
    <n v="0"/>
    <n v="0"/>
    <s v="Cash"/>
    <s v="Normal"/>
    <s v="Poor"/>
  </r>
  <r>
    <n v="4455"/>
    <n v="46"/>
    <x v="1"/>
    <x v="27"/>
    <x v="4"/>
    <n v="0"/>
    <x v="14"/>
    <x v="2"/>
    <s v="Blue"/>
    <x v="1"/>
    <n v="1"/>
    <s v="No"/>
    <x v="3"/>
    <s v="No"/>
    <n v="23"/>
    <x v="5"/>
    <s v="Quarterly"/>
    <n v="0.1"/>
    <n v="0"/>
    <n v="0"/>
    <s v="Debit Card"/>
    <s v="Normal"/>
    <s v="Poor"/>
  </r>
  <r>
    <n v="4456"/>
    <n v="66"/>
    <x v="0"/>
    <x v="27"/>
    <x v="0"/>
    <n v="0"/>
    <x v="14"/>
    <x v="2"/>
    <s v="Red"/>
    <x v="0"/>
    <n v="4"/>
    <s v="Yes"/>
    <x v="0"/>
    <s v="No"/>
    <n v="6"/>
    <x v="5"/>
    <s v="Monthly"/>
    <n v="0.1"/>
    <n v="0"/>
    <n v="0"/>
    <s v="Debit Card"/>
    <s v="Normal"/>
    <s v="Good"/>
  </r>
  <r>
    <n v="4457"/>
    <n v="68"/>
    <x v="0"/>
    <x v="5"/>
    <x v="3"/>
    <n v="0"/>
    <x v="14"/>
    <x v="1"/>
    <s v="Black"/>
    <x v="4"/>
    <n v="1"/>
    <s v="Yes"/>
    <x v="3"/>
    <s v="Yes"/>
    <n v="42"/>
    <x v="2"/>
    <s v="Monthly"/>
    <n v="0.1"/>
    <n v="0"/>
    <n v="0"/>
    <s v="Credit Card"/>
    <s v="Normal"/>
    <s v="Poor"/>
  </r>
  <r>
    <n v="4458"/>
    <n v="66"/>
    <x v="1"/>
    <x v="29"/>
    <x v="0"/>
    <n v="0"/>
    <x v="50"/>
    <x v="2"/>
    <s v="Red"/>
    <x v="1"/>
    <n v="1"/>
    <s v="Yes"/>
    <x v="0"/>
    <s v="Yes"/>
    <n v="0"/>
    <x v="3"/>
    <s v="Monthly"/>
    <n v="0.1"/>
    <n v="0"/>
    <n v="0"/>
    <s v="PayPal"/>
    <s v="Normal"/>
    <s v="Poor"/>
  </r>
  <r>
    <n v="4459"/>
    <n v="64"/>
    <x v="1"/>
    <x v="28"/>
    <x v="0"/>
    <n v="1010.82"/>
    <x v="51"/>
    <x v="2"/>
    <s v="Green"/>
    <x v="2"/>
    <n v="1"/>
    <s v="No"/>
    <x v="0"/>
    <s v="No"/>
    <n v="0"/>
    <x v="5"/>
    <s v="Monthly"/>
    <n v="0.1"/>
    <n v="909.73800000000006"/>
    <n v="1010.82"/>
    <s v="Debit Card"/>
    <s v="Normal"/>
    <s v="Poor"/>
  </r>
  <r>
    <n v="4460"/>
    <n v="65"/>
    <x v="2"/>
    <x v="5"/>
    <x v="0"/>
    <n v="0"/>
    <x v="14"/>
    <x v="1"/>
    <s v="Green"/>
    <x v="4"/>
    <n v="5"/>
    <s v="No"/>
    <x v="0"/>
    <s v="No"/>
    <n v="0"/>
    <x v="3"/>
    <s v="Monthly"/>
    <n v="0.1"/>
    <n v="0"/>
    <n v="0"/>
    <s v="PayPal"/>
    <s v="Normal"/>
    <s v="Good"/>
  </r>
  <r>
    <n v="4461"/>
    <n v="57"/>
    <x v="1"/>
    <x v="5"/>
    <x v="4"/>
    <n v="681.68"/>
    <x v="52"/>
    <x v="2"/>
    <s v="Black"/>
    <x v="0"/>
    <n v="4"/>
    <s v="Yes"/>
    <x v="3"/>
    <s v="Yes"/>
    <n v="21"/>
    <x v="5"/>
    <s v="Monthly"/>
    <n v="0.1"/>
    <n v="613.51199999999994"/>
    <n v="681.68"/>
    <s v="Debit Card"/>
    <s v="Normal"/>
    <s v="Good"/>
  </r>
  <r>
    <n v="4462"/>
    <n v="40"/>
    <x v="2"/>
    <x v="26"/>
    <x v="3"/>
    <n v="0"/>
    <x v="52"/>
    <x v="2"/>
    <s v="Blue"/>
    <x v="1"/>
    <n v="3"/>
    <s v="No"/>
    <x v="0"/>
    <s v="No"/>
    <n v="0"/>
    <x v="5"/>
    <s v="Weekly"/>
    <n v="0.1"/>
    <n v="0"/>
    <n v="0"/>
    <s v="Debit Card"/>
    <s v="Normal"/>
    <s v="Good"/>
  </r>
  <r>
    <n v="4463"/>
    <n v="38"/>
    <x v="1"/>
    <x v="9"/>
    <x v="3"/>
    <n v="0"/>
    <x v="14"/>
    <x v="2"/>
    <s v="Black"/>
    <x v="4"/>
    <n v="3"/>
    <s v="No"/>
    <x v="3"/>
    <s v="No"/>
    <n v="2"/>
    <x v="1"/>
    <s v="Weekly"/>
    <n v="0.1"/>
    <n v="0"/>
    <n v="0"/>
    <s v="Cash"/>
    <s v="Normal"/>
    <s v="Good"/>
  </r>
  <r>
    <n v="4464"/>
    <n v="52"/>
    <x v="1"/>
    <x v="26"/>
    <x v="4"/>
    <n v="0"/>
    <x v="52"/>
    <x v="2"/>
    <s v="Blue"/>
    <x v="2"/>
    <n v="1"/>
    <s v="No"/>
    <x v="3"/>
    <s v="Yes"/>
    <n v="1"/>
    <x v="5"/>
    <s v="Weekly"/>
    <n v="0.1"/>
    <n v="0"/>
    <n v="0"/>
    <s v="Debit Card"/>
    <s v="Normal"/>
    <s v="Poor"/>
  </r>
  <r>
    <n v="4465"/>
    <n v="60"/>
    <x v="1"/>
    <x v="9"/>
    <x v="4"/>
    <n v="39.78"/>
    <x v="53"/>
    <x v="2"/>
    <s v="Green"/>
    <x v="2"/>
    <n v="1"/>
    <s v="No"/>
    <x v="3"/>
    <s v="No"/>
    <n v="0"/>
    <x v="3"/>
    <s v="Quarterly"/>
    <n v="0.1"/>
    <n v="35.802"/>
    <n v="39.78"/>
    <s v="PayPal"/>
    <s v="Normal"/>
    <s v="Poor"/>
  </r>
  <r>
    <n v="4466"/>
    <n v="33"/>
    <x v="1"/>
    <x v="27"/>
    <x v="3"/>
    <n v="0"/>
    <x v="50"/>
    <x v="1"/>
    <s v="Green"/>
    <x v="0"/>
    <n v="1"/>
    <s v="Yes"/>
    <x v="0"/>
    <s v="Yes"/>
    <n v="0"/>
    <x v="3"/>
    <s v="Weekly"/>
    <n v="0.1"/>
    <n v="0"/>
    <n v="0"/>
    <s v="PayPal"/>
    <s v="Normal"/>
    <s v="Poor"/>
  </r>
  <r>
    <n v="4467"/>
    <n v="25"/>
    <x v="1"/>
    <x v="26"/>
    <x v="3"/>
    <n v="130.80000000000001"/>
    <x v="53"/>
    <x v="1"/>
    <s v="Green"/>
    <x v="0"/>
    <n v="5"/>
    <s v="Yes"/>
    <x v="0"/>
    <s v="Yes"/>
    <n v="0"/>
    <x v="2"/>
    <s v="Monthly"/>
    <n v="0.1"/>
    <n v="117.72000000000001"/>
    <n v="130.80000000000001"/>
    <s v="Credit Card"/>
    <s v="Normal"/>
    <s v="Good"/>
  </r>
  <r>
    <n v="4468"/>
    <n v="64"/>
    <x v="0"/>
    <x v="25"/>
    <x v="4"/>
    <n v="663.87"/>
    <x v="14"/>
    <x v="2"/>
    <s v="Blue"/>
    <x v="2"/>
    <n v="1"/>
    <s v="No"/>
    <x v="0"/>
    <s v="Yes"/>
    <n v="19"/>
    <x v="5"/>
    <s v="Weekly"/>
    <n v="0.1"/>
    <n v="597.48299999999995"/>
    <n v="663.87"/>
    <s v="Debit Card"/>
    <s v="Normal"/>
    <s v="Poor"/>
  </r>
  <r>
    <n v="4469"/>
    <n v="22"/>
    <x v="1"/>
    <x v="27"/>
    <x v="4"/>
    <n v="639.97"/>
    <x v="52"/>
    <x v="2"/>
    <s v="Blue"/>
    <x v="1"/>
    <n v="1"/>
    <s v="No"/>
    <x v="0"/>
    <s v="Yes"/>
    <n v="0"/>
    <x v="1"/>
    <s v="Monthly"/>
    <n v="0.1"/>
    <n v="575.97300000000007"/>
    <n v="639.97"/>
    <s v="Cash"/>
    <s v="Normal"/>
    <s v="Poor"/>
  </r>
  <r>
    <n v="4470"/>
    <n v="60"/>
    <x v="1"/>
    <x v="9"/>
    <x v="4"/>
    <n v="0"/>
    <x v="50"/>
    <x v="2"/>
    <s v="Red"/>
    <x v="4"/>
    <n v="3"/>
    <s v="No"/>
    <x v="0"/>
    <s v="Yes"/>
    <n v="0"/>
    <x v="1"/>
    <s v="Weekly"/>
    <n v="0.1"/>
    <n v="0"/>
    <n v="0"/>
    <s v="Cash"/>
    <s v="Normal"/>
    <s v="Good"/>
  </r>
  <r>
    <n v="4471"/>
    <n v="35"/>
    <x v="2"/>
    <x v="29"/>
    <x v="4"/>
    <n v="0"/>
    <x v="51"/>
    <x v="2"/>
    <s v="Blue"/>
    <x v="4"/>
    <n v="3"/>
    <s v="No"/>
    <x v="3"/>
    <s v="Yes"/>
    <n v="0"/>
    <x v="1"/>
    <s v="Quarterly"/>
    <n v="0.1"/>
    <n v="0"/>
    <n v="0"/>
    <s v="Cash"/>
    <s v="Normal"/>
    <s v="Good"/>
  </r>
  <r>
    <n v="4472"/>
    <n v="63"/>
    <x v="1"/>
    <x v="26"/>
    <x v="0"/>
    <n v="0"/>
    <x v="51"/>
    <x v="1"/>
    <s v="Red"/>
    <x v="1"/>
    <n v="1"/>
    <s v="Yes"/>
    <x v="3"/>
    <s v="No"/>
    <n v="0"/>
    <x v="1"/>
    <s v="Monthly"/>
    <n v="0.1"/>
    <n v="0"/>
    <n v="0"/>
    <s v="Cash"/>
    <s v="Normal"/>
    <s v="Poor"/>
  </r>
  <r>
    <n v="4473"/>
    <n v="49"/>
    <x v="2"/>
    <x v="29"/>
    <x v="3"/>
    <n v="0"/>
    <x v="53"/>
    <x v="0"/>
    <s v="Blue"/>
    <x v="2"/>
    <n v="1"/>
    <s v="Yes"/>
    <x v="0"/>
    <s v="No"/>
    <n v="0"/>
    <x v="1"/>
    <s v="Weekly"/>
    <n v="0.1"/>
    <n v="0"/>
    <n v="0"/>
    <s v="Cash"/>
    <s v="Normal"/>
    <s v="Poor"/>
  </r>
  <r>
    <n v="4474"/>
    <n v="28"/>
    <x v="0"/>
    <x v="5"/>
    <x v="4"/>
    <n v="666.88"/>
    <x v="51"/>
    <x v="2"/>
    <s v="White"/>
    <x v="0"/>
    <n v="1"/>
    <s v="No"/>
    <x v="3"/>
    <s v="No"/>
    <n v="10"/>
    <x v="3"/>
    <s v="Monthly"/>
    <n v="0.1"/>
    <n v="600.19200000000001"/>
    <n v="666.88"/>
    <s v="PayPal"/>
    <s v="Normal"/>
    <s v="Poor"/>
  </r>
  <r>
    <n v="4475"/>
    <n v="31"/>
    <x v="2"/>
    <x v="26"/>
    <x v="4"/>
    <n v="849.62"/>
    <x v="51"/>
    <x v="2"/>
    <s v="Black"/>
    <x v="0"/>
    <n v="5"/>
    <s v="Yes"/>
    <x v="3"/>
    <s v="Yes"/>
    <n v="0"/>
    <x v="1"/>
    <s v="Monthly"/>
    <n v="0.1"/>
    <n v="764.65800000000002"/>
    <n v="849.62"/>
    <s v="Cash"/>
    <s v="Normal"/>
    <s v="Good"/>
  </r>
  <r>
    <n v="4476"/>
    <n v="56"/>
    <x v="0"/>
    <x v="5"/>
    <x v="4"/>
    <n v="0"/>
    <x v="50"/>
    <x v="2"/>
    <s v="White"/>
    <x v="4"/>
    <n v="1"/>
    <s v="No"/>
    <x v="0"/>
    <s v="Yes"/>
    <n v="0"/>
    <x v="5"/>
    <s v="Monthly"/>
    <n v="0.1"/>
    <n v="0"/>
    <n v="0"/>
    <s v="Debit Card"/>
    <s v="Normal"/>
    <s v="Poor"/>
  </r>
  <r>
    <n v="4477"/>
    <n v="40"/>
    <x v="0"/>
    <x v="5"/>
    <x v="0"/>
    <n v="0"/>
    <x v="50"/>
    <x v="1"/>
    <s v="Blue"/>
    <x v="4"/>
    <n v="3"/>
    <s v="Yes"/>
    <x v="0"/>
    <s v="Yes"/>
    <n v="7"/>
    <x v="3"/>
    <s v="Monthly"/>
    <n v="0.1"/>
    <n v="0"/>
    <n v="0"/>
    <s v="PayPal"/>
    <s v="Normal"/>
    <s v="Good"/>
  </r>
  <r>
    <n v="4478"/>
    <n v="42"/>
    <x v="1"/>
    <x v="28"/>
    <x v="3"/>
    <n v="1216.92"/>
    <x v="53"/>
    <x v="0"/>
    <s v="Green"/>
    <x v="1"/>
    <n v="3"/>
    <s v="No"/>
    <x v="3"/>
    <s v="Yes"/>
    <n v="0"/>
    <x v="1"/>
    <s v="Weekly"/>
    <n v="0.1"/>
    <n v="1095.2280000000001"/>
    <n v="1216.92"/>
    <s v="Cash"/>
    <s v="Normal"/>
    <s v="Good"/>
  </r>
  <r>
    <n v="4479"/>
    <n v="43"/>
    <x v="0"/>
    <x v="29"/>
    <x v="0"/>
    <n v="790.48"/>
    <x v="50"/>
    <x v="2"/>
    <s v="Blue"/>
    <x v="2"/>
    <n v="1"/>
    <s v="No"/>
    <x v="3"/>
    <s v="No"/>
    <n v="12"/>
    <x v="2"/>
    <s v="Quarterly"/>
    <n v="0.1"/>
    <n v="711.43200000000002"/>
    <n v="790.48"/>
    <s v="Credit Card"/>
    <s v="Normal"/>
    <s v="Poor"/>
  </r>
  <r>
    <n v="4480"/>
    <n v="59"/>
    <x v="1"/>
    <x v="29"/>
    <x v="3"/>
    <n v="464.46"/>
    <x v="53"/>
    <x v="1"/>
    <s v="Red"/>
    <x v="1"/>
    <n v="5"/>
    <s v="No"/>
    <x v="0"/>
    <s v="No"/>
    <n v="0"/>
    <x v="3"/>
    <s v="Monthly"/>
    <n v="0.1"/>
    <n v="418.01400000000001"/>
    <n v="464.46"/>
    <s v="PayPal"/>
    <s v="Normal"/>
    <s v="Good"/>
  </r>
  <r>
    <n v="4481"/>
    <n v="44"/>
    <x v="1"/>
    <x v="5"/>
    <x v="4"/>
    <n v="0"/>
    <x v="50"/>
    <x v="2"/>
    <s v="White"/>
    <x v="0"/>
    <n v="1"/>
    <s v="Yes"/>
    <x v="3"/>
    <s v="No"/>
    <n v="0"/>
    <x v="2"/>
    <s v="Quarterly"/>
    <n v="0.1"/>
    <n v="0"/>
    <n v="0"/>
    <s v="Credit Card"/>
    <s v="Normal"/>
    <s v="Poor"/>
  </r>
  <r>
    <n v="4482"/>
    <n v="67"/>
    <x v="1"/>
    <x v="5"/>
    <x v="0"/>
    <n v="1322.78"/>
    <x v="51"/>
    <x v="0"/>
    <s v="Red"/>
    <x v="4"/>
    <n v="1"/>
    <s v="No"/>
    <x v="0"/>
    <s v="Yes"/>
    <n v="0"/>
    <x v="3"/>
    <s v="Weekly"/>
    <n v="0.1"/>
    <n v="1190.502"/>
    <n v="1322.78"/>
    <s v="PayPal"/>
    <s v="Normal"/>
    <s v="Poor"/>
  </r>
  <r>
    <n v="4483"/>
    <n v="57"/>
    <x v="2"/>
    <x v="5"/>
    <x v="4"/>
    <n v="0"/>
    <x v="50"/>
    <x v="2"/>
    <s v="Green"/>
    <x v="2"/>
    <n v="5"/>
    <s v="Yes"/>
    <x v="3"/>
    <s v="No"/>
    <n v="0"/>
    <x v="3"/>
    <s v="Weekly"/>
    <n v="0.1"/>
    <n v="0"/>
    <n v="0"/>
    <s v="PayPal"/>
    <s v="Normal"/>
    <s v="Good"/>
  </r>
  <r>
    <n v="4484"/>
    <n v="70"/>
    <x v="2"/>
    <x v="26"/>
    <x v="3"/>
    <n v="1104.47"/>
    <x v="50"/>
    <x v="0"/>
    <s v="Green"/>
    <x v="1"/>
    <n v="1"/>
    <s v="No"/>
    <x v="0"/>
    <s v="Yes"/>
    <n v="10"/>
    <x v="3"/>
    <s v="Monthly"/>
    <n v="0.1"/>
    <n v="994.02300000000002"/>
    <n v="1104.47"/>
    <s v="PayPal"/>
    <s v="Normal"/>
    <s v="Poor"/>
  </r>
  <r>
    <n v="4485"/>
    <n v="37"/>
    <x v="1"/>
    <x v="27"/>
    <x v="0"/>
    <n v="282.95"/>
    <x v="53"/>
    <x v="3"/>
    <s v="Blue"/>
    <x v="0"/>
    <n v="2"/>
    <s v="No"/>
    <x v="3"/>
    <s v="No"/>
    <n v="0"/>
    <x v="2"/>
    <s v="Monthly"/>
    <n v="0.1"/>
    <n v="254.65499999999997"/>
    <n v="282.95"/>
    <s v="Credit Card"/>
    <s v="Normal"/>
    <s v="Poor"/>
  </r>
  <r>
    <n v="4486"/>
    <n v="50"/>
    <x v="1"/>
    <x v="27"/>
    <x v="3"/>
    <n v="0"/>
    <x v="53"/>
    <x v="2"/>
    <s v="Blue"/>
    <x v="0"/>
    <n v="1"/>
    <s v="No"/>
    <x v="3"/>
    <s v="No"/>
    <n v="21"/>
    <x v="2"/>
    <s v="Monthly"/>
    <n v="0.1"/>
    <n v="0"/>
    <n v="0"/>
    <s v="Credit Card"/>
    <s v="Normal"/>
    <s v="Poor"/>
  </r>
  <r>
    <n v="4487"/>
    <n v="23"/>
    <x v="1"/>
    <x v="29"/>
    <x v="3"/>
    <n v="0"/>
    <x v="50"/>
    <x v="1"/>
    <s v="Green"/>
    <x v="2"/>
    <n v="5"/>
    <s v="No"/>
    <x v="0"/>
    <s v="Yes"/>
    <n v="0"/>
    <x v="2"/>
    <s v="Quarterly"/>
    <n v="0.1"/>
    <n v="0"/>
    <n v="0"/>
    <s v="Credit Card"/>
    <s v="Normal"/>
    <s v="Good"/>
  </r>
  <r>
    <n v="4488"/>
    <n v="48"/>
    <x v="2"/>
    <x v="27"/>
    <x v="0"/>
    <n v="1375.93"/>
    <x v="52"/>
    <x v="0"/>
    <s v="Green"/>
    <x v="1"/>
    <n v="1"/>
    <s v="Yes"/>
    <x v="3"/>
    <s v="No"/>
    <n v="0"/>
    <x v="1"/>
    <s v="Monthly"/>
    <n v="0.1"/>
    <n v="1238.337"/>
    <n v="1375.93"/>
    <s v="Cash"/>
    <s v="Normal"/>
    <s v="Poor"/>
  </r>
  <r>
    <n v="4489"/>
    <n v="36"/>
    <x v="1"/>
    <x v="26"/>
    <x v="3"/>
    <n v="748.61"/>
    <x v="51"/>
    <x v="0"/>
    <s v="Red"/>
    <x v="2"/>
    <n v="1"/>
    <s v="No"/>
    <x v="0"/>
    <s v="No"/>
    <n v="0"/>
    <x v="3"/>
    <s v="Monthly"/>
    <n v="0.1"/>
    <n v="673.74900000000002"/>
    <n v="748.61"/>
    <s v="PayPal"/>
    <s v="Normal"/>
    <s v="Poor"/>
  </r>
  <r>
    <n v="4490"/>
    <n v="34"/>
    <x v="1"/>
    <x v="9"/>
    <x v="4"/>
    <n v="0"/>
    <x v="14"/>
    <x v="2"/>
    <s v="White"/>
    <x v="2"/>
    <n v="5"/>
    <s v="Yes"/>
    <x v="0"/>
    <s v="No"/>
    <n v="10"/>
    <x v="3"/>
    <s v="Monthly"/>
    <n v="0.1"/>
    <n v="0"/>
    <n v="0"/>
    <s v="PayPal"/>
    <s v="Normal"/>
    <s v="Good"/>
  </r>
  <r>
    <n v="4491"/>
    <n v="38"/>
    <x v="2"/>
    <x v="9"/>
    <x v="3"/>
    <n v="0"/>
    <x v="53"/>
    <x v="1"/>
    <s v="Red"/>
    <x v="4"/>
    <n v="2"/>
    <s v="Yes"/>
    <x v="3"/>
    <s v="Yes"/>
    <n v="11"/>
    <x v="3"/>
    <s v="Weekly"/>
    <n v="0.1"/>
    <n v="0"/>
    <n v="0"/>
    <s v="PayPal"/>
    <s v="Normal"/>
    <s v="Poor"/>
  </r>
  <r>
    <n v="4492"/>
    <n v="59"/>
    <x v="1"/>
    <x v="29"/>
    <x v="0"/>
    <n v="0"/>
    <x v="50"/>
    <x v="2"/>
    <s v="Green"/>
    <x v="1"/>
    <n v="1"/>
    <s v="Yes"/>
    <x v="3"/>
    <s v="Yes"/>
    <n v="38"/>
    <x v="5"/>
    <s v="Weekly"/>
    <n v="0.1"/>
    <n v="0"/>
    <n v="0"/>
    <s v="Debit Card"/>
    <s v="Normal"/>
    <s v="Poor"/>
  </r>
  <r>
    <n v="4493"/>
    <n v="20"/>
    <x v="0"/>
    <x v="29"/>
    <x v="4"/>
    <n v="764.9"/>
    <x v="52"/>
    <x v="2"/>
    <s v="Green"/>
    <x v="4"/>
    <n v="1"/>
    <s v="No"/>
    <x v="3"/>
    <s v="No"/>
    <n v="30"/>
    <x v="1"/>
    <s v="Quarterly"/>
    <n v="0.1"/>
    <n v="688.41"/>
    <n v="764.9"/>
    <s v="Cash"/>
    <s v="Normal"/>
    <s v="Poor"/>
  </r>
  <r>
    <n v="4494"/>
    <n v="35"/>
    <x v="1"/>
    <x v="29"/>
    <x v="3"/>
    <n v="372.79"/>
    <x v="53"/>
    <x v="0"/>
    <s v="Blue"/>
    <x v="2"/>
    <n v="1"/>
    <s v="No"/>
    <x v="3"/>
    <s v="Yes"/>
    <n v="49"/>
    <x v="3"/>
    <s v="Monthly"/>
    <n v="0.1"/>
    <n v="335.51100000000002"/>
    <n v="372.79"/>
    <s v="PayPal"/>
    <s v="Normal"/>
    <s v="Poor"/>
  </r>
  <r>
    <n v="4495"/>
    <n v="21"/>
    <x v="1"/>
    <x v="29"/>
    <x v="4"/>
    <n v="711.4"/>
    <x v="51"/>
    <x v="2"/>
    <s v="Black"/>
    <x v="4"/>
    <n v="1"/>
    <s v="No"/>
    <x v="3"/>
    <s v="No"/>
    <n v="35"/>
    <x v="3"/>
    <s v="Monthly"/>
    <n v="0.1"/>
    <n v="640.26"/>
    <n v="711.4"/>
    <s v="PayPal"/>
    <s v="Normal"/>
    <s v="Poor"/>
  </r>
  <r>
    <n v="4496"/>
    <n v="22"/>
    <x v="0"/>
    <x v="28"/>
    <x v="3"/>
    <n v="1246.93"/>
    <x v="52"/>
    <x v="1"/>
    <s v="Red"/>
    <x v="1"/>
    <n v="1"/>
    <s v="Yes"/>
    <x v="3"/>
    <s v="No"/>
    <n v="45"/>
    <x v="2"/>
    <s v="Monthly"/>
    <n v="0.1"/>
    <n v="1122.2370000000001"/>
    <n v="1246.93"/>
    <s v="Credit Card"/>
    <s v="Normal"/>
    <s v="Poor"/>
  </r>
  <r>
    <n v="4497"/>
    <n v="63"/>
    <x v="1"/>
    <x v="25"/>
    <x v="0"/>
    <n v="1127.02"/>
    <x v="14"/>
    <x v="0"/>
    <s v="Black"/>
    <x v="0"/>
    <n v="4"/>
    <s v="No"/>
    <x v="3"/>
    <s v="Yes"/>
    <n v="0"/>
    <x v="2"/>
    <s v="Quarterly"/>
    <n v="0.1"/>
    <n v="1014.318"/>
    <n v="1127.02"/>
    <s v="Credit Card"/>
    <s v="Best Customer"/>
    <s v="Good"/>
  </r>
  <r>
    <n v="4498"/>
    <n v="18"/>
    <x v="1"/>
    <x v="27"/>
    <x v="4"/>
    <n v="0"/>
    <x v="50"/>
    <x v="2"/>
    <s v="White"/>
    <x v="4"/>
    <n v="5"/>
    <s v="No"/>
    <x v="3"/>
    <s v="No"/>
    <n v="15"/>
    <x v="2"/>
    <s v="Weekly"/>
    <n v="0.1"/>
    <n v="0"/>
    <n v="0"/>
    <s v="Credit Card"/>
    <s v="Normal"/>
    <s v="Good"/>
  </r>
  <r>
    <n v="4499"/>
    <n v="49"/>
    <x v="1"/>
    <x v="26"/>
    <x v="3"/>
    <n v="0"/>
    <x v="51"/>
    <x v="1"/>
    <s v="Black"/>
    <x v="2"/>
    <n v="1"/>
    <s v="No"/>
    <x v="0"/>
    <s v="Yes"/>
    <n v="36"/>
    <x v="1"/>
    <s v="Monthly"/>
    <n v="0.1"/>
    <n v="0"/>
    <n v="0"/>
    <s v="Cash"/>
    <s v="Normal"/>
    <s v="Poor"/>
  </r>
  <r>
    <n v="4500"/>
    <n v="22"/>
    <x v="1"/>
    <x v="28"/>
    <x v="4"/>
    <n v="0"/>
    <x v="50"/>
    <x v="2"/>
    <s v="Black"/>
    <x v="0"/>
    <n v="1"/>
    <s v="No"/>
    <x v="3"/>
    <s v="Yes"/>
    <n v="39"/>
    <x v="2"/>
    <s v="Weekly"/>
    <n v="0.1"/>
    <n v="0"/>
    <n v="0"/>
    <s v="Credit Card"/>
    <s v="Normal"/>
    <s v="Poor"/>
  </r>
  <r>
    <n v="4501"/>
    <n v="69"/>
    <x v="2"/>
    <x v="26"/>
    <x v="3"/>
    <n v="0"/>
    <x v="14"/>
    <x v="2"/>
    <s v="Black"/>
    <x v="4"/>
    <n v="4"/>
    <s v="Yes"/>
    <x v="0"/>
    <s v="No"/>
    <n v="25"/>
    <x v="1"/>
    <s v="Quarterly"/>
    <n v="0.1"/>
    <n v="0"/>
    <n v="0"/>
    <s v="Cash"/>
    <s v="Normal"/>
    <s v="Good"/>
  </r>
  <r>
    <n v="4502"/>
    <n v="38"/>
    <x v="1"/>
    <x v="26"/>
    <x v="0"/>
    <n v="69.72"/>
    <x v="53"/>
    <x v="3"/>
    <s v="Red"/>
    <x v="1"/>
    <n v="1"/>
    <s v="No"/>
    <x v="0"/>
    <s v="No"/>
    <n v="0"/>
    <x v="2"/>
    <s v="Quarterly"/>
    <n v="0.1"/>
    <n v="62.747999999999998"/>
    <n v="69.72"/>
    <s v="Credit Card"/>
    <s v="Normal"/>
    <s v="Poor"/>
  </r>
  <r>
    <n v="4503"/>
    <n v="32"/>
    <x v="0"/>
    <x v="26"/>
    <x v="3"/>
    <n v="0"/>
    <x v="52"/>
    <x v="1"/>
    <s v="Red"/>
    <x v="0"/>
    <n v="1"/>
    <s v="No"/>
    <x v="3"/>
    <s v="No"/>
    <n v="0"/>
    <x v="1"/>
    <s v="Quarterly"/>
    <n v="0.1"/>
    <n v="0"/>
    <n v="0"/>
    <s v="Cash"/>
    <s v="Normal"/>
    <s v="Poor"/>
  </r>
  <r>
    <n v="4504"/>
    <n v="29"/>
    <x v="0"/>
    <x v="28"/>
    <x v="4"/>
    <n v="0"/>
    <x v="51"/>
    <x v="2"/>
    <s v="Black"/>
    <x v="2"/>
    <n v="2"/>
    <s v="No"/>
    <x v="3"/>
    <s v="Yes"/>
    <n v="0"/>
    <x v="3"/>
    <s v="Monthly"/>
    <n v="0.1"/>
    <n v="0"/>
    <n v="0"/>
    <s v="PayPal"/>
    <s v="Normal"/>
    <s v="Poor"/>
  </r>
  <r>
    <n v="4505"/>
    <n v="67"/>
    <x v="1"/>
    <x v="25"/>
    <x v="3"/>
    <n v="0"/>
    <x v="52"/>
    <x v="2"/>
    <s v="Green"/>
    <x v="2"/>
    <n v="3"/>
    <s v="No"/>
    <x v="0"/>
    <s v="No"/>
    <n v="24"/>
    <x v="5"/>
    <s v="Weekly"/>
    <n v="0.1"/>
    <n v="0"/>
    <n v="0"/>
    <s v="Debit Card"/>
    <s v="Normal"/>
    <s v="Good"/>
  </r>
  <r>
    <n v="4506"/>
    <n v="19"/>
    <x v="0"/>
    <x v="29"/>
    <x v="0"/>
    <n v="48.78"/>
    <x v="51"/>
    <x v="1"/>
    <s v="White"/>
    <x v="4"/>
    <n v="1"/>
    <s v="Yes"/>
    <x v="3"/>
    <s v="Yes"/>
    <n v="0"/>
    <x v="2"/>
    <s v="Quarterly"/>
    <n v="0.1"/>
    <n v="43.902000000000001"/>
    <n v="48.78"/>
    <s v="Credit Card"/>
    <s v="Normal"/>
    <s v="Poor"/>
  </r>
  <r>
    <n v="4507"/>
    <n v="20"/>
    <x v="0"/>
    <x v="9"/>
    <x v="4"/>
    <n v="0"/>
    <x v="52"/>
    <x v="2"/>
    <s v="Red"/>
    <x v="2"/>
    <n v="1"/>
    <s v="Yes"/>
    <x v="0"/>
    <s v="Yes"/>
    <n v="9"/>
    <x v="5"/>
    <s v="Quarterly"/>
    <n v="0.1"/>
    <n v="0"/>
    <n v="0"/>
    <s v="Debit Card"/>
    <s v="Normal"/>
    <s v="Poor"/>
  </r>
  <r>
    <n v="4508"/>
    <n v="50"/>
    <x v="0"/>
    <x v="9"/>
    <x v="4"/>
    <n v="0"/>
    <x v="51"/>
    <x v="2"/>
    <s v="White"/>
    <x v="0"/>
    <n v="1"/>
    <s v="No"/>
    <x v="3"/>
    <s v="No"/>
    <n v="21"/>
    <x v="5"/>
    <s v="Monthly"/>
    <n v="0.1"/>
    <n v="0"/>
    <n v="0"/>
    <s v="Debit Card"/>
    <s v="Normal"/>
    <s v="Poor"/>
  </r>
  <r>
    <n v="4509"/>
    <n v="59"/>
    <x v="1"/>
    <x v="25"/>
    <x v="3"/>
    <n v="949.9"/>
    <x v="50"/>
    <x v="1"/>
    <s v="Red"/>
    <x v="4"/>
    <n v="1"/>
    <s v="No"/>
    <x v="3"/>
    <s v="No"/>
    <n v="36"/>
    <x v="2"/>
    <s v="Quarterly"/>
    <n v="0.1"/>
    <n v="854.91"/>
    <n v="949.9"/>
    <s v="Credit Card"/>
    <s v="Normal"/>
    <s v="Poor"/>
  </r>
  <r>
    <n v="4510"/>
    <n v="56"/>
    <x v="2"/>
    <x v="27"/>
    <x v="0"/>
    <n v="1403.73"/>
    <x v="50"/>
    <x v="2"/>
    <s v="Black"/>
    <x v="1"/>
    <n v="1"/>
    <s v="No"/>
    <x v="0"/>
    <s v="Yes"/>
    <n v="0"/>
    <x v="3"/>
    <s v="Quarterly"/>
    <n v="0.1"/>
    <n v="1263.357"/>
    <n v="1403.73"/>
    <s v="PayPal"/>
    <s v="Normal"/>
    <s v="Poor"/>
  </r>
  <r>
    <n v="4511"/>
    <n v="44"/>
    <x v="1"/>
    <x v="9"/>
    <x v="3"/>
    <n v="0"/>
    <x v="53"/>
    <x v="0"/>
    <s v="White"/>
    <x v="0"/>
    <n v="5"/>
    <s v="Yes"/>
    <x v="0"/>
    <s v="No"/>
    <n v="6"/>
    <x v="5"/>
    <s v="Weekly"/>
    <n v="0.1"/>
    <n v="0"/>
    <n v="0"/>
    <s v="Debit Card"/>
    <s v="Normal"/>
    <s v="Good"/>
  </r>
  <r>
    <n v="4512"/>
    <n v="42"/>
    <x v="0"/>
    <x v="26"/>
    <x v="3"/>
    <n v="0"/>
    <x v="51"/>
    <x v="2"/>
    <s v="Red"/>
    <x v="0"/>
    <n v="1"/>
    <s v="No"/>
    <x v="3"/>
    <s v="Yes"/>
    <n v="5"/>
    <x v="3"/>
    <s v="Monthly"/>
    <n v="0.1"/>
    <n v="0"/>
    <n v="0"/>
    <s v="PayPal"/>
    <s v="Normal"/>
    <s v="Poor"/>
  </r>
  <r>
    <n v="4513"/>
    <n v="69"/>
    <x v="1"/>
    <x v="26"/>
    <x v="0"/>
    <n v="0"/>
    <x v="50"/>
    <x v="1"/>
    <s v="White"/>
    <x v="1"/>
    <n v="4"/>
    <s v="No"/>
    <x v="3"/>
    <s v="Yes"/>
    <n v="42"/>
    <x v="2"/>
    <s v="Monthly"/>
    <n v="0.1"/>
    <n v="0"/>
    <n v="0"/>
    <s v="Credit Card"/>
    <s v="Normal"/>
    <s v="Good"/>
  </r>
  <r>
    <n v="4514"/>
    <n v="61"/>
    <x v="1"/>
    <x v="28"/>
    <x v="4"/>
    <n v="1161.52"/>
    <x v="53"/>
    <x v="2"/>
    <s v="Red"/>
    <x v="4"/>
    <n v="1"/>
    <s v="No"/>
    <x v="0"/>
    <s v="Yes"/>
    <n v="0"/>
    <x v="1"/>
    <s v="Monthly"/>
    <n v="0.1"/>
    <n v="1045.3679999999999"/>
    <n v="1161.52"/>
    <s v="Cash"/>
    <s v="Normal"/>
    <s v="Poor"/>
  </r>
  <r>
    <n v="4515"/>
    <n v="60"/>
    <x v="0"/>
    <x v="27"/>
    <x v="4"/>
    <n v="0"/>
    <x v="53"/>
    <x v="2"/>
    <s v="Blue"/>
    <x v="2"/>
    <n v="1"/>
    <s v="Yes"/>
    <x v="0"/>
    <s v="No"/>
    <n v="22"/>
    <x v="5"/>
    <s v="Quarterly"/>
    <n v="0.1"/>
    <n v="0"/>
    <n v="0"/>
    <s v="Debit Card"/>
    <s v="Normal"/>
    <s v="Poor"/>
  </r>
  <r>
    <n v="4516"/>
    <n v="18"/>
    <x v="1"/>
    <x v="29"/>
    <x v="4"/>
    <n v="0"/>
    <x v="14"/>
    <x v="2"/>
    <s v="White"/>
    <x v="2"/>
    <n v="1"/>
    <s v="No"/>
    <x v="3"/>
    <s v="No"/>
    <n v="0"/>
    <x v="5"/>
    <s v="Quarterly"/>
    <n v="0.1"/>
    <n v="0"/>
    <n v="0"/>
    <s v="Debit Card"/>
    <s v="Normal"/>
    <s v="Poor"/>
  </r>
  <r>
    <n v="4517"/>
    <n v="40"/>
    <x v="2"/>
    <x v="29"/>
    <x v="3"/>
    <n v="0"/>
    <x v="53"/>
    <x v="0"/>
    <s v="White"/>
    <x v="4"/>
    <n v="1"/>
    <s v="Yes"/>
    <x v="0"/>
    <s v="No"/>
    <n v="45"/>
    <x v="5"/>
    <s v="Monthly"/>
    <n v="0.1"/>
    <n v="0"/>
    <n v="0"/>
    <s v="Debit Card"/>
    <s v="Normal"/>
    <s v="Poor"/>
  </r>
  <r>
    <n v="4518"/>
    <n v="23"/>
    <x v="2"/>
    <x v="5"/>
    <x v="3"/>
    <n v="100.13"/>
    <x v="14"/>
    <x v="1"/>
    <s v="White"/>
    <x v="4"/>
    <n v="1"/>
    <s v="Yes"/>
    <x v="0"/>
    <s v="No"/>
    <n v="0"/>
    <x v="5"/>
    <s v="Quarterly"/>
    <n v="0.1"/>
    <n v="90.11699999999999"/>
    <n v="100.13"/>
    <s v="Debit Card"/>
    <s v="Normal"/>
    <s v="Poor"/>
  </r>
  <r>
    <n v="4519"/>
    <n v="39"/>
    <x v="1"/>
    <x v="27"/>
    <x v="3"/>
    <n v="294.87"/>
    <x v="14"/>
    <x v="0"/>
    <s v="Black"/>
    <x v="2"/>
    <n v="1"/>
    <s v="No"/>
    <x v="0"/>
    <s v="Yes"/>
    <n v="0"/>
    <x v="2"/>
    <s v="Quarterly"/>
    <n v="0.1"/>
    <n v="265.38299999999998"/>
    <n v="294.87"/>
    <s v="Credit Card"/>
    <s v="Normal"/>
    <s v="Poor"/>
  </r>
  <r>
    <n v="4520"/>
    <n v="60"/>
    <x v="0"/>
    <x v="27"/>
    <x v="4"/>
    <n v="921.94"/>
    <x v="52"/>
    <x v="2"/>
    <s v="Blue"/>
    <x v="4"/>
    <n v="1"/>
    <s v="Yes"/>
    <x v="3"/>
    <s v="Yes"/>
    <n v="0"/>
    <x v="2"/>
    <s v="Monthly"/>
    <n v="0.1"/>
    <n v="829.74600000000009"/>
    <n v="921.94"/>
    <s v="Credit Card"/>
    <s v="Normal"/>
    <s v="Poor"/>
  </r>
  <r>
    <n v="4521"/>
    <n v="31"/>
    <x v="2"/>
    <x v="28"/>
    <x v="4"/>
    <n v="0"/>
    <x v="53"/>
    <x v="2"/>
    <s v="Black"/>
    <x v="1"/>
    <n v="5"/>
    <s v="No"/>
    <x v="0"/>
    <s v="No"/>
    <n v="7"/>
    <x v="3"/>
    <s v="Weekly"/>
    <n v="0.1"/>
    <n v="0"/>
    <n v="0"/>
    <s v="PayPal"/>
    <s v="Normal"/>
    <s v="Good"/>
  </r>
  <r>
    <n v="4522"/>
    <n v="51"/>
    <x v="0"/>
    <x v="26"/>
    <x v="4"/>
    <n v="750.93"/>
    <x v="53"/>
    <x v="2"/>
    <s v="Red"/>
    <x v="4"/>
    <n v="1"/>
    <s v="No"/>
    <x v="0"/>
    <s v="No"/>
    <n v="35"/>
    <x v="5"/>
    <s v="Monthly"/>
    <n v="0.1"/>
    <n v="675.83699999999999"/>
    <n v="750.93"/>
    <s v="Debit Card"/>
    <s v="Normal"/>
    <s v="Poor"/>
  </r>
  <r>
    <n v="4523"/>
    <n v="51"/>
    <x v="2"/>
    <x v="27"/>
    <x v="0"/>
    <n v="0"/>
    <x v="50"/>
    <x v="0"/>
    <s v="White"/>
    <x v="4"/>
    <n v="1"/>
    <s v="Yes"/>
    <x v="0"/>
    <s v="No"/>
    <n v="0"/>
    <x v="1"/>
    <s v="Quarterly"/>
    <n v="0.1"/>
    <n v="0"/>
    <n v="0"/>
    <s v="Cash"/>
    <s v="Normal"/>
    <s v="Poor"/>
  </r>
  <r>
    <n v="4524"/>
    <n v="20"/>
    <x v="0"/>
    <x v="5"/>
    <x v="3"/>
    <n v="800.37"/>
    <x v="50"/>
    <x v="1"/>
    <s v="Black"/>
    <x v="4"/>
    <n v="3"/>
    <s v="No"/>
    <x v="3"/>
    <s v="No"/>
    <n v="0"/>
    <x v="5"/>
    <s v="Weekly"/>
    <n v="0.1"/>
    <n v="720.33299999999997"/>
    <n v="800.37"/>
    <s v="Debit Card"/>
    <s v="Normal"/>
    <s v="Good"/>
  </r>
  <r>
    <n v="4525"/>
    <n v="60"/>
    <x v="1"/>
    <x v="27"/>
    <x v="0"/>
    <n v="967.77"/>
    <x v="50"/>
    <x v="2"/>
    <s v="White"/>
    <x v="4"/>
    <n v="1"/>
    <s v="Yes"/>
    <x v="0"/>
    <s v="No"/>
    <n v="3"/>
    <x v="5"/>
    <s v="Quarterly"/>
    <n v="0.1"/>
    <n v="870.99299999999994"/>
    <n v="967.77"/>
    <s v="Debit Card"/>
    <s v="Normal"/>
    <s v="Poor"/>
  </r>
  <r>
    <n v="4526"/>
    <n v="53"/>
    <x v="0"/>
    <x v="26"/>
    <x v="3"/>
    <n v="852.39"/>
    <x v="14"/>
    <x v="0"/>
    <s v="Blue"/>
    <x v="1"/>
    <n v="1"/>
    <s v="No"/>
    <x v="3"/>
    <s v="No"/>
    <n v="6"/>
    <x v="2"/>
    <s v="Quarterly"/>
    <n v="0.1"/>
    <n v="767.15099999999995"/>
    <n v="852.39"/>
    <s v="Credit Card"/>
    <s v="Normal"/>
    <s v="Poor"/>
  </r>
  <r>
    <n v="4527"/>
    <n v="66"/>
    <x v="0"/>
    <x v="26"/>
    <x v="4"/>
    <n v="1074.6300000000001"/>
    <x v="52"/>
    <x v="2"/>
    <s v="White"/>
    <x v="0"/>
    <n v="3"/>
    <s v="Yes"/>
    <x v="3"/>
    <s v="No"/>
    <n v="0"/>
    <x v="1"/>
    <s v="Monthly"/>
    <n v="0.1"/>
    <n v="967.16700000000014"/>
    <n v="1074.6300000000001"/>
    <s v="Cash"/>
    <s v="Normal"/>
    <s v="Good"/>
  </r>
  <r>
    <n v="4528"/>
    <n v="18"/>
    <x v="2"/>
    <x v="26"/>
    <x v="3"/>
    <n v="50.7"/>
    <x v="51"/>
    <x v="1"/>
    <s v="White"/>
    <x v="4"/>
    <n v="1"/>
    <s v="No"/>
    <x v="3"/>
    <s v="Yes"/>
    <n v="0"/>
    <x v="3"/>
    <s v="Monthly"/>
    <n v="0.1"/>
    <n v="45.63"/>
    <n v="50.7"/>
    <s v="PayPal"/>
    <s v="Normal"/>
    <s v="Poor"/>
  </r>
  <r>
    <n v="4529"/>
    <n v="69"/>
    <x v="1"/>
    <x v="25"/>
    <x v="4"/>
    <n v="0"/>
    <x v="14"/>
    <x v="2"/>
    <s v="Red"/>
    <x v="4"/>
    <n v="3"/>
    <s v="Yes"/>
    <x v="0"/>
    <s v="Yes"/>
    <n v="0"/>
    <x v="1"/>
    <s v="Quarterly"/>
    <n v="0.1"/>
    <n v="0"/>
    <n v="0"/>
    <s v="Cash"/>
    <s v="Normal"/>
    <s v="Good"/>
  </r>
  <r>
    <n v="4530"/>
    <n v="20"/>
    <x v="0"/>
    <x v="27"/>
    <x v="4"/>
    <n v="532.49"/>
    <x v="14"/>
    <x v="2"/>
    <s v="Black"/>
    <x v="4"/>
    <n v="1"/>
    <s v="Yes"/>
    <x v="3"/>
    <s v="Yes"/>
    <n v="0"/>
    <x v="5"/>
    <s v="Monthly"/>
    <n v="0.1"/>
    <n v="479.24099999999999"/>
    <n v="532.49"/>
    <s v="Debit Card"/>
    <s v="Normal"/>
    <s v="Poor"/>
  </r>
  <r>
    <n v="4531"/>
    <n v="41"/>
    <x v="1"/>
    <x v="26"/>
    <x v="0"/>
    <n v="0"/>
    <x v="53"/>
    <x v="2"/>
    <s v="Red"/>
    <x v="0"/>
    <n v="2"/>
    <s v="Yes"/>
    <x v="3"/>
    <s v="Yes"/>
    <n v="22"/>
    <x v="2"/>
    <s v="Quarterly"/>
    <n v="0.1"/>
    <n v="0"/>
    <n v="0"/>
    <s v="Credit Card"/>
    <s v="Normal"/>
    <s v="Poor"/>
  </r>
  <r>
    <n v="4532"/>
    <n v="25"/>
    <x v="0"/>
    <x v="5"/>
    <x v="3"/>
    <n v="720.43"/>
    <x v="51"/>
    <x v="1"/>
    <s v="Red"/>
    <x v="1"/>
    <n v="1"/>
    <s v="No"/>
    <x v="0"/>
    <s v="Yes"/>
    <n v="0"/>
    <x v="2"/>
    <s v="Quarterly"/>
    <n v="0.1"/>
    <n v="648.38699999999994"/>
    <n v="720.43"/>
    <s v="Credit Card"/>
    <s v="Normal"/>
    <s v="Poor"/>
  </r>
  <r>
    <n v="4533"/>
    <n v="43"/>
    <x v="1"/>
    <x v="9"/>
    <x v="4"/>
    <n v="0"/>
    <x v="53"/>
    <x v="2"/>
    <s v="Black"/>
    <x v="2"/>
    <n v="1"/>
    <s v="No"/>
    <x v="0"/>
    <s v="No"/>
    <n v="3"/>
    <x v="5"/>
    <s v="Monthly"/>
    <n v="0.1"/>
    <n v="0"/>
    <n v="0"/>
    <s v="Debit Card"/>
    <s v="Normal"/>
    <s v="Poor"/>
  </r>
  <r>
    <n v="4534"/>
    <n v="42"/>
    <x v="0"/>
    <x v="9"/>
    <x v="0"/>
    <n v="0"/>
    <x v="50"/>
    <x v="0"/>
    <s v="Black"/>
    <x v="1"/>
    <n v="1"/>
    <s v="No"/>
    <x v="3"/>
    <s v="No"/>
    <n v="0"/>
    <x v="1"/>
    <s v="Weekly"/>
    <n v="0.1"/>
    <n v="0"/>
    <n v="0"/>
    <s v="Cash"/>
    <s v="Normal"/>
    <s v="Poor"/>
  </r>
  <r>
    <n v="4535"/>
    <n v="26"/>
    <x v="0"/>
    <x v="26"/>
    <x v="0"/>
    <n v="0"/>
    <x v="52"/>
    <x v="1"/>
    <s v="Blue"/>
    <x v="0"/>
    <n v="1"/>
    <s v="Yes"/>
    <x v="3"/>
    <s v="No"/>
    <n v="0"/>
    <x v="1"/>
    <s v="Weekly"/>
    <n v="0.1"/>
    <n v="0"/>
    <n v="0"/>
    <s v="Cash"/>
    <s v="Normal"/>
    <s v="Poor"/>
  </r>
  <r>
    <n v="4536"/>
    <n v="41"/>
    <x v="0"/>
    <x v="27"/>
    <x v="3"/>
    <n v="202.12"/>
    <x v="14"/>
    <x v="0"/>
    <s v="Blue"/>
    <x v="2"/>
    <n v="2"/>
    <s v="No"/>
    <x v="3"/>
    <s v="No"/>
    <n v="0"/>
    <x v="1"/>
    <s v="Weekly"/>
    <n v="0.1"/>
    <n v="181.90800000000002"/>
    <n v="202.12"/>
    <s v="Cash"/>
    <s v="Normal"/>
    <s v="Poor"/>
  </r>
  <r>
    <n v="4537"/>
    <n v="47"/>
    <x v="1"/>
    <x v="26"/>
    <x v="0"/>
    <n v="0"/>
    <x v="53"/>
    <x v="0"/>
    <s v="Green"/>
    <x v="1"/>
    <n v="1"/>
    <s v="No"/>
    <x v="3"/>
    <s v="No"/>
    <n v="35"/>
    <x v="5"/>
    <s v="Monthly"/>
    <n v="0.1"/>
    <n v="0"/>
    <n v="0"/>
    <s v="Debit Card"/>
    <s v="Normal"/>
    <s v="Poor"/>
  </r>
  <r>
    <n v="4538"/>
    <n v="42"/>
    <x v="1"/>
    <x v="5"/>
    <x v="0"/>
    <n v="763"/>
    <x v="50"/>
    <x v="0"/>
    <s v="Black"/>
    <x v="4"/>
    <n v="1"/>
    <s v="No"/>
    <x v="3"/>
    <s v="No"/>
    <n v="0"/>
    <x v="2"/>
    <s v="Monthly"/>
    <n v="0.1"/>
    <n v="686.7"/>
    <n v="763"/>
    <s v="Credit Card"/>
    <s v="Normal"/>
    <s v="Poor"/>
  </r>
  <r>
    <n v="4539"/>
    <n v="23"/>
    <x v="2"/>
    <x v="5"/>
    <x v="3"/>
    <n v="0"/>
    <x v="51"/>
    <x v="1"/>
    <s v="Red"/>
    <x v="0"/>
    <n v="1"/>
    <s v="Yes"/>
    <x v="3"/>
    <s v="No"/>
    <n v="46"/>
    <x v="5"/>
    <s v="Monthly"/>
    <n v="0.1"/>
    <n v="0"/>
    <n v="0"/>
    <s v="Debit Card"/>
    <s v="Normal"/>
    <s v="Poor"/>
  </r>
  <r>
    <n v="4540"/>
    <n v="49"/>
    <x v="1"/>
    <x v="29"/>
    <x v="3"/>
    <n v="446.02"/>
    <x v="53"/>
    <x v="2"/>
    <s v="Green"/>
    <x v="1"/>
    <n v="1"/>
    <s v="No"/>
    <x v="3"/>
    <s v="Yes"/>
    <n v="15"/>
    <x v="5"/>
    <s v="Quarterly"/>
    <n v="0.1"/>
    <n v="401.41800000000001"/>
    <n v="446.02"/>
    <s v="Debit Card"/>
    <s v="Normal"/>
    <s v="Poor"/>
  </r>
  <r>
    <n v="4541"/>
    <n v="60"/>
    <x v="0"/>
    <x v="5"/>
    <x v="4"/>
    <n v="0"/>
    <x v="50"/>
    <x v="2"/>
    <s v="Red"/>
    <x v="2"/>
    <n v="1"/>
    <s v="No"/>
    <x v="0"/>
    <s v="Yes"/>
    <n v="45"/>
    <x v="2"/>
    <s v="Weekly"/>
    <n v="0.1"/>
    <n v="0"/>
    <n v="0"/>
    <s v="Credit Card"/>
    <s v="Normal"/>
    <s v="Poor"/>
  </r>
  <r>
    <n v="4542"/>
    <n v="28"/>
    <x v="2"/>
    <x v="9"/>
    <x v="4"/>
    <n v="0"/>
    <x v="53"/>
    <x v="2"/>
    <s v="Red"/>
    <x v="2"/>
    <n v="1"/>
    <s v="Yes"/>
    <x v="0"/>
    <s v="No"/>
    <n v="0"/>
    <x v="3"/>
    <s v="Weekly"/>
    <n v="0.1"/>
    <n v="0"/>
    <n v="0"/>
    <s v="PayPal"/>
    <s v="Normal"/>
    <s v="Poor"/>
  </r>
  <r>
    <n v="4543"/>
    <n v="22"/>
    <x v="1"/>
    <x v="26"/>
    <x v="3"/>
    <n v="0"/>
    <x v="50"/>
    <x v="0"/>
    <s v="Red"/>
    <x v="0"/>
    <n v="5"/>
    <s v="No"/>
    <x v="0"/>
    <s v="Yes"/>
    <n v="0"/>
    <x v="3"/>
    <s v="Weekly"/>
    <n v="0.1"/>
    <n v="0"/>
    <n v="0"/>
    <s v="PayPal"/>
    <s v="Normal"/>
    <s v="Good"/>
  </r>
  <r>
    <n v="4544"/>
    <n v="45"/>
    <x v="2"/>
    <x v="28"/>
    <x v="3"/>
    <n v="253.94"/>
    <x v="52"/>
    <x v="0"/>
    <s v="Green"/>
    <x v="0"/>
    <n v="2"/>
    <s v="Yes"/>
    <x v="3"/>
    <s v="Yes"/>
    <n v="28"/>
    <x v="5"/>
    <s v="Quarterly"/>
    <n v="0.1"/>
    <n v="228.54599999999999"/>
    <n v="253.94"/>
    <s v="Debit Card"/>
    <s v="Normal"/>
    <s v="Poor"/>
  </r>
  <r>
    <n v="4545"/>
    <n v="39"/>
    <x v="1"/>
    <x v="26"/>
    <x v="0"/>
    <n v="474.11"/>
    <x v="50"/>
    <x v="2"/>
    <s v="Blue"/>
    <x v="0"/>
    <n v="4"/>
    <s v="Yes"/>
    <x v="0"/>
    <s v="Yes"/>
    <n v="22"/>
    <x v="1"/>
    <s v="Monthly"/>
    <n v="0.1"/>
    <n v="426.69900000000001"/>
    <n v="474.11"/>
    <s v="Cash"/>
    <s v="Normal"/>
    <s v="Good"/>
  </r>
  <r>
    <n v="4546"/>
    <n v="64"/>
    <x v="2"/>
    <x v="28"/>
    <x v="0"/>
    <n v="1200.04"/>
    <x v="51"/>
    <x v="0"/>
    <s v="Blue"/>
    <x v="0"/>
    <n v="3"/>
    <s v="Yes"/>
    <x v="0"/>
    <s v="Yes"/>
    <n v="0"/>
    <x v="1"/>
    <s v="Quarterly"/>
    <n v="0.1"/>
    <n v="1080.0360000000001"/>
    <n v="1200.04"/>
    <s v="Cash"/>
    <s v="Normal"/>
    <s v="Good"/>
  </r>
  <r>
    <n v="4547"/>
    <n v="66"/>
    <x v="1"/>
    <x v="27"/>
    <x v="4"/>
    <n v="0"/>
    <x v="50"/>
    <x v="2"/>
    <s v="Green"/>
    <x v="1"/>
    <n v="4"/>
    <s v="Yes"/>
    <x v="3"/>
    <s v="Yes"/>
    <n v="30"/>
    <x v="2"/>
    <s v="Quarterly"/>
    <n v="0.1"/>
    <n v="0"/>
    <n v="0"/>
    <s v="Credit Card"/>
    <s v="Normal"/>
    <s v="Good"/>
  </r>
  <r>
    <n v="4548"/>
    <n v="66"/>
    <x v="1"/>
    <x v="25"/>
    <x v="0"/>
    <n v="1342.17"/>
    <x v="14"/>
    <x v="0"/>
    <s v="Black"/>
    <x v="2"/>
    <n v="1"/>
    <s v="No"/>
    <x v="3"/>
    <s v="Yes"/>
    <n v="11"/>
    <x v="2"/>
    <s v="Monthly"/>
    <n v="0.1"/>
    <n v="1207.953"/>
    <n v="1342.17"/>
    <s v="Credit Card"/>
    <s v="Normal"/>
    <s v="Poor"/>
  </r>
  <r>
    <n v="4549"/>
    <n v="51"/>
    <x v="0"/>
    <x v="27"/>
    <x v="0"/>
    <n v="0"/>
    <x v="51"/>
    <x v="1"/>
    <s v="White"/>
    <x v="0"/>
    <n v="1"/>
    <s v="Yes"/>
    <x v="0"/>
    <s v="Yes"/>
    <n v="0"/>
    <x v="5"/>
    <s v="Weekly"/>
    <n v="0.1"/>
    <n v="0"/>
    <n v="0"/>
    <s v="Debit Card"/>
    <s v="Normal"/>
    <s v="Poor"/>
  </r>
  <r>
    <n v="4550"/>
    <n v="65"/>
    <x v="0"/>
    <x v="28"/>
    <x v="0"/>
    <n v="0"/>
    <x v="52"/>
    <x v="0"/>
    <s v="Blue"/>
    <x v="0"/>
    <n v="5"/>
    <s v="No"/>
    <x v="3"/>
    <s v="No"/>
    <n v="17"/>
    <x v="2"/>
    <s v="Quarterly"/>
    <n v="0.1"/>
    <n v="0"/>
    <n v="0"/>
    <s v="Credit Card"/>
    <s v="Normal"/>
    <s v="Good"/>
  </r>
  <r>
    <n v="4551"/>
    <n v="64"/>
    <x v="2"/>
    <x v="5"/>
    <x v="4"/>
    <n v="0"/>
    <x v="14"/>
    <x v="2"/>
    <s v="Red"/>
    <x v="4"/>
    <n v="1"/>
    <s v="Yes"/>
    <x v="0"/>
    <s v="No"/>
    <n v="37"/>
    <x v="5"/>
    <s v="Quarterly"/>
    <n v="0.1"/>
    <n v="0"/>
    <n v="0"/>
    <s v="Debit Card"/>
    <s v="Normal"/>
    <s v="Poor"/>
  </r>
  <r>
    <n v="4552"/>
    <n v="57"/>
    <x v="0"/>
    <x v="9"/>
    <x v="0"/>
    <n v="0"/>
    <x v="14"/>
    <x v="1"/>
    <s v="Red"/>
    <x v="0"/>
    <n v="1"/>
    <s v="No"/>
    <x v="0"/>
    <s v="No"/>
    <n v="0"/>
    <x v="3"/>
    <s v="Quarterly"/>
    <n v="0.1"/>
    <n v="0"/>
    <n v="0"/>
    <s v="PayPal"/>
    <s v="Normal"/>
    <s v="Poor"/>
  </r>
  <r>
    <n v="4553"/>
    <n v="70"/>
    <x v="1"/>
    <x v="27"/>
    <x v="0"/>
    <n v="0"/>
    <x v="52"/>
    <x v="2"/>
    <s v="Red"/>
    <x v="1"/>
    <n v="1"/>
    <s v="Yes"/>
    <x v="3"/>
    <s v="No"/>
    <n v="0"/>
    <x v="2"/>
    <s v="Monthly"/>
    <n v="0.1"/>
    <n v="0"/>
    <n v="0"/>
    <s v="Credit Card"/>
    <s v="Normal"/>
    <s v="Poor"/>
  </r>
  <r>
    <n v="4554"/>
    <n v="33"/>
    <x v="1"/>
    <x v="26"/>
    <x v="3"/>
    <n v="0"/>
    <x v="51"/>
    <x v="0"/>
    <s v="Black"/>
    <x v="0"/>
    <n v="3"/>
    <s v="No"/>
    <x v="0"/>
    <s v="Yes"/>
    <n v="22"/>
    <x v="5"/>
    <s v="Monthly"/>
    <n v="0.1"/>
    <n v="0"/>
    <n v="0"/>
    <s v="Debit Card"/>
    <s v="Normal"/>
    <s v="Good"/>
  </r>
  <r>
    <n v="4555"/>
    <n v="18"/>
    <x v="2"/>
    <x v="25"/>
    <x v="0"/>
    <n v="392.98"/>
    <x v="50"/>
    <x v="2"/>
    <s v="Black"/>
    <x v="0"/>
    <n v="2"/>
    <s v="No"/>
    <x v="3"/>
    <s v="Yes"/>
    <n v="44"/>
    <x v="1"/>
    <s v="Quarterly"/>
    <n v="0.1"/>
    <n v="353.68200000000002"/>
    <n v="392.98"/>
    <s v="Cash"/>
    <s v="Normal"/>
    <s v="Poor"/>
  </r>
  <r>
    <n v="4556"/>
    <n v="20"/>
    <x v="0"/>
    <x v="27"/>
    <x v="4"/>
    <n v="987.8"/>
    <x v="50"/>
    <x v="2"/>
    <s v="White"/>
    <x v="0"/>
    <n v="3"/>
    <s v="Yes"/>
    <x v="0"/>
    <s v="No"/>
    <n v="12"/>
    <x v="2"/>
    <s v="Weekly"/>
    <n v="0.1"/>
    <n v="889.02"/>
    <n v="987.8"/>
    <s v="Credit Card"/>
    <s v="Normal"/>
    <s v="Good"/>
  </r>
  <r>
    <n v="4557"/>
    <n v="51"/>
    <x v="2"/>
    <x v="28"/>
    <x v="3"/>
    <n v="187.34"/>
    <x v="51"/>
    <x v="1"/>
    <s v="Blue"/>
    <x v="1"/>
    <n v="1"/>
    <s v="Yes"/>
    <x v="0"/>
    <s v="Yes"/>
    <n v="0"/>
    <x v="3"/>
    <s v="Weekly"/>
    <n v="0.1"/>
    <n v="168.60599999999999"/>
    <n v="187.34"/>
    <s v="PayPal"/>
    <s v="Normal"/>
    <s v="Poor"/>
  </r>
  <r>
    <n v="4558"/>
    <n v="41"/>
    <x v="2"/>
    <x v="28"/>
    <x v="3"/>
    <n v="208.02"/>
    <x v="51"/>
    <x v="2"/>
    <s v="White"/>
    <x v="4"/>
    <n v="1"/>
    <s v="No"/>
    <x v="3"/>
    <s v="Yes"/>
    <n v="0"/>
    <x v="3"/>
    <s v="Monthly"/>
    <n v="0.1"/>
    <n v="187.21800000000002"/>
    <n v="208.02"/>
    <s v="PayPal"/>
    <s v="Normal"/>
    <s v="Poor"/>
  </r>
  <r>
    <n v="4559"/>
    <n v="69"/>
    <x v="1"/>
    <x v="9"/>
    <x v="3"/>
    <n v="1004.05"/>
    <x v="52"/>
    <x v="2"/>
    <s v="Red"/>
    <x v="2"/>
    <n v="1"/>
    <s v="Yes"/>
    <x v="0"/>
    <s v="Yes"/>
    <n v="44"/>
    <x v="2"/>
    <s v="Quarterly"/>
    <n v="0.1"/>
    <n v="903.64499999999998"/>
    <n v="1004.05"/>
    <s v="Credit Card"/>
    <s v="Normal"/>
    <s v="Poor"/>
  </r>
  <r>
    <n v="4560"/>
    <n v="42"/>
    <x v="1"/>
    <x v="29"/>
    <x v="3"/>
    <n v="0"/>
    <x v="53"/>
    <x v="2"/>
    <s v="Blue"/>
    <x v="1"/>
    <n v="1"/>
    <s v="Yes"/>
    <x v="0"/>
    <s v="Yes"/>
    <n v="0"/>
    <x v="5"/>
    <s v="Weekly"/>
    <n v="0.1"/>
    <n v="0"/>
    <n v="0"/>
    <s v="Debit Card"/>
    <s v="Normal"/>
    <s v="Poor"/>
  </r>
  <r>
    <n v="4561"/>
    <n v="53"/>
    <x v="0"/>
    <x v="28"/>
    <x v="4"/>
    <n v="82.06"/>
    <x v="51"/>
    <x v="2"/>
    <s v="Green"/>
    <x v="2"/>
    <n v="5"/>
    <s v="No"/>
    <x v="3"/>
    <s v="Yes"/>
    <n v="8"/>
    <x v="1"/>
    <s v="Weekly"/>
    <n v="0.1"/>
    <n v="73.853999999999999"/>
    <n v="82.06"/>
    <s v="Cash"/>
    <s v="Normal"/>
    <s v="Good"/>
  </r>
  <r>
    <n v="4562"/>
    <n v="29"/>
    <x v="0"/>
    <x v="9"/>
    <x v="4"/>
    <n v="0"/>
    <x v="50"/>
    <x v="2"/>
    <s v="Red"/>
    <x v="0"/>
    <n v="4"/>
    <s v="No"/>
    <x v="0"/>
    <s v="Yes"/>
    <n v="1"/>
    <x v="5"/>
    <s v="Quarterly"/>
    <n v="0.1"/>
    <n v="0"/>
    <n v="0"/>
    <s v="Debit Card"/>
    <s v="Normal"/>
    <s v="Good"/>
  </r>
  <r>
    <n v="4563"/>
    <n v="31"/>
    <x v="1"/>
    <x v="26"/>
    <x v="4"/>
    <n v="0"/>
    <x v="50"/>
    <x v="2"/>
    <s v="Red"/>
    <x v="1"/>
    <n v="2"/>
    <s v="No"/>
    <x v="0"/>
    <s v="No"/>
    <n v="0"/>
    <x v="2"/>
    <s v="Weekly"/>
    <n v="0.1"/>
    <n v="0"/>
    <n v="0"/>
    <s v="Credit Card"/>
    <s v="Normal"/>
    <s v="Poor"/>
  </r>
  <r>
    <n v="4564"/>
    <n v="38"/>
    <x v="2"/>
    <x v="25"/>
    <x v="0"/>
    <n v="812.81"/>
    <x v="14"/>
    <x v="2"/>
    <s v="Green"/>
    <x v="1"/>
    <n v="1"/>
    <s v="Yes"/>
    <x v="3"/>
    <s v="No"/>
    <n v="20"/>
    <x v="5"/>
    <s v="Quarterly"/>
    <n v="0.1"/>
    <n v="731.529"/>
    <n v="812.81"/>
    <s v="Debit Card"/>
    <s v="Normal"/>
    <s v="Poor"/>
  </r>
  <r>
    <n v="4565"/>
    <n v="26"/>
    <x v="0"/>
    <x v="29"/>
    <x v="0"/>
    <n v="0"/>
    <x v="53"/>
    <x v="2"/>
    <s v="Blue"/>
    <x v="4"/>
    <n v="1"/>
    <s v="No"/>
    <x v="3"/>
    <s v="Yes"/>
    <n v="43"/>
    <x v="5"/>
    <s v="Monthly"/>
    <n v="0.1"/>
    <n v="0"/>
    <n v="0"/>
    <s v="Debit Card"/>
    <s v="Normal"/>
    <s v="Poor"/>
  </r>
  <r>
    <n v="4566"/>
    <n v="41"/>
    <x v="2"/>
    <x v="25"/>
    <x v="0"/>
    <n v="0"/>
    <x v="51"/>
    <x v="3"/>
    <s v="White"/>
    <x v="0"/>
    <n v="1"/>
    <s v="No"/>
    <x v="0"/>
    <s v="No"/>
    <n v="0"/>
    <x v="2"/>
    <s v="Weekly"/>
    <n v="0.1"/>
    <n v="0"/>
    <n v="0"/>
    <s v="Credit Card"/>
    <s v="Normal"/>
    <s v="Poor"/>
  </r>
  <r>
    <n v="4567"/>
    <n v="54"/>
    <x v="1"/>
    <x v="9"/>
    <x v="4"/>
    <n v="0"/>
    <x v="52"/>
    <x v="2"/>
    <s v="Black"/>
    <x v="2"/>
    <n v="3"/>
    <s v="No"/>
    <x v="3"/>
    <s v="No"/>
    <n v="31"/>
    <x v="2"/>
    <s v="Monthly"/>
    <n v="0.1"/>
    <n v="0"/>
    <n v="0"/>
    <s v="Credit Card"/>
    <s v="Normal"/>
    <s v="Good"/>
  </r>
  <r>
    <n v="4568"/>
    <n v="35"/>
    <x v="2"/>
    <x v="9"/>
    <x v="0"/>
    <n v="0"/>
    <x v="50"/>
    <x v="2"/>
    <s v="Blue"/>
    <x v="4"/>
    <n v="1"/>
    <s v="No"/>
    <x v="0"/>
    <s v="Yes"/>
    <n v="41"/>
    <x v="2"/>
    <s v="Monthly"/>
    <n v="0.1"/>
    <n v="0"/>
    <n v="0"/>
    <s v="Credit Card"/>
    <s v="Normal"/>
    <s v="Poor"/>
  </r>
  <r>
    <n v="4569"/>
    <n v="61"/>
    <x v="2"/>
    <x v="27"/>
    <x v="4"/>
    <n v="0"/>
    <x v="52"/>
    <x v="2"/>
    <s v="Red"/>
    <x v="1"/>
    <n v="2"/>
    <s v="No"/>
    <x v="0"/>
    <s v="Yes"/>
    <n v="0"/>
    <x v="3"/>
    <s v="Quarterly"/>
    <n v="0.1"/>
    <n v="0"/>
    <n v="0"/>
    <s v="PayPal"/>
    <s v="Normal"/>
    <s v="Poor"/>
  </r>
  <r>
    <n v="4570"/>
    <n v="56"/>
    <x v="2"/>
    <x v="27"/>
    <x v="4"/>
    <n v="1075.74"/>
    <x v="14"/>
    <x v="2"/>
    <s v="Red"/>
    <x v="1"/>
    <n v="1"/>
    <s v="No"/>
    <x v="0"/>
    <s v="No"/>
    <n v="10"/>
    <x v="1"/>
    <s v="Monthly"/>
    <n v="0.1"/>
    <n v="968.16599999999994"/>
    <n v="1075.74"/>
    <s v="Cash"/>
    <s v="Normal"/>
    <s v="Poor"/>
  </r>
  <r>
    <n v="4571"/>
    <n v="40"/>
    <x v="2"/>
    <x v="5"/>
    <x v="4"/>
    <n v="450.41"/>
    <x v="14"/>
    <x v="2"/>
    <s v="Black"/>
    <x v="4"/>
    <n v="5"/>
    <s v="Yes"/>
    <x v="3"/>
    <s v="Yes"/>
    <n v="0"/>
    <x v="1"/>
    <s v="Quarterly"/>
    <n v="0.1"/>
    <n v="405.36900000000003"/>
    <n v="450.41"/>
    <s v="Cash"/>
    <s v="Normal"/>
    <s v="Good"/>
  </r>
  <r>
    <n v="4572"/>
    <n v="45"/>
    <x v="0"/>
    <x v="28"/>
    <x v="4"/>
    <n v="1270.1300000000001"/>
    <x v="14"/>
    <x v="2"/>
    <s v="Red"/>
    <x v="4"/>
    <n v="1"/>
    <s v="No"/>
    <x v="3"/>
    <s v="No"/>
    <n v="3"/>
    <x v="5"/>
    <s v="Weekly"/>
    <n v="0.1"/>
    <n v="1143.1170000000002"/>
    <n v="1270.1300000000001"/>
    <s v="Debit Card"/>
    <s v="Normal"/>
    <s v="Poor"/>
  </r>
  <r>
    <n v="4573"/>
    <n v="23"/>
    <x v="0"/>
    <x v="28"/>
    <x v="3"/>
    <n v="1441.51"/>
    <x v="50"/>
    <x v="0"/>
    <s v="Black"/>
    <x v="0"/>
    <n v="1"/>
    <s v="No"/>
    <x v="0"/>
    <s v="Yes"/>
    <n v="3"/>
    <x v="2"/>
    <s v="Quarterly"/>
    <n v="0.1"/>
    <n v="1297.3589999999999"/>
    <n v="1441.51"/>
    <s v="Credit Card"/>
    <s v="Normal"/>
    <s v="Poor"/>
  </r>
  <r>
    <n v="4574"/>
    <n v="39"/>
    <x v="2"/>
    <x v="25"/>
    <x v="3"/>
    <n v="1109.96"/>
    <x v="52"/>
    <x v="0"/>
    <s v="Red"/>
    <x v="4"/>
    <n v="1"/>
    <s v="Yes"/>
    <x v="0"/>
    <s v="No"/>
    <n v="0"/>
    <x v="5"/>
    <s v="Quarterly"/>
    <n v="0.1"/>
    <n v="998.96400000000006"/>
    <n v="1109.96"/>
    <s v="Debit Card"/>
    <s v="Normal"/>
    <s v="Poor"/>
  </r>
  <r>
    <n v="4575"/>
    <n v="46"/>
    <x v="1"/>
    <x v="27"/>
    <x v="4"/>
    <n v="0"/>
    <x v="14"/>
    <x v="2"/>
    <s v="White"/>
    <x v="1"/>
    <n v="1"/>
    <s v="No"/>
    <x v="0"/>
    <s v="No"/>
    <n v="0"/>
    <x v="2"/>
    <s v="Quarterly"/>
    <n v="0.1"/>
    <n v="0"/>
    <n v="0"/>
    <s v="Credit Card"/>
    <s v="Normal"/>
    <s v="Poor"/>
  </r>
  <r>
    <n v="4576"/>
    <n v="65"/>
    <x v="0"/>
    <x v="25"/>
    <x v="3"/>
    <n v="0"/>
    <x v="14"/>
    <x v="1"/>
    <s v="Black"/>
    <x v="2"/>
    <n v="1"/>
    <s v="No"/>
    <x v="3"/>
    <s v="Yes"/>
    <n v="47"/>
    <x v="1"/>
    <s v="Weekly"/>
    <n v="0.1"/>
    <n v="0"/>
    <n v="0"/>
    <s v="Cash"/>
    <s v="Normal"/>
    <s v="Poor"/>
  </r>
  <r>
    <n v="4577"/>
    <n v="20"/>
    <x v="1"/>
    <x v="9"/>
    <x v="4"/>
    <n v="0"/>
    <x v="52"/>
    <x v="2"/>
    <s v="Black"/>
    <x v="1"/>
    <n v="3"/>
    <s v="Yes"/>
    <x v="3"/>
    <s v="Yes"/>
    <n v="28"/>
    <x v="1"/>
    <s v="Quarterly"/>
    <n v="0.1"/>
    <n v="0"/>
    <n v="0"/>
    <s v="Cash"/>
    <s v="Normal"/>
    <s v="Good"/>
  </r>
  <r>
    <n v="4578"/>
    <n v="44"/>
    <x v="2"/>
    <x v="26"/>
    <x v="3"/>
    <n v="0"/>
    <x v="52"/>
    <x v="0"/>
    <s v="Black"/>
    <x v="0"/>
    <n v="1"/>
    <s v="Yes"/>
    <x v="0"/>
    <s v="Yes"/>
    <n v="26"/>
    <x v="1"/>
    <s v="Weekly"/>
    <n v="0.1"/>
    <n v="0"/>
    <n v="0"/>
    <s v="Cash"/>
    <s v="Normal"/>
    <s v="Poor"/>
  </r>
  <r>
    <n v="4579"/>
    <n v="18"/>
    <x v="1"/>
    <x v="26"/>
    <x v="3"/>
    <n v="0"/>
    <x v="14"/>
    <x v="2"/>
    <s v="Red"/>
    <x v="1"/>
    <n v="1"/>
    <s v="No"/>
    <x v="0"/>
    <s v="No"/>
    <n v="0"/>
    <x v="2"/>
    <s v="Quarterly"/>
    <n v="0.1"/>
    <n v="0"/>
    <n v="0"/>
    <s v="Credit Card"/>
    <s v="Normal"/>
    <s v="Poor"/>
  </r>
  <r>
    <n v="4580"/>
    <n v="53"/>
    <x v="2"/>
    <x v="25"/>
    <x v="0"/>
    <n v="492.76"/>
    <x v="53"/>
    <x v="0"/>
    <s v="Green"/>
    <x v="2"/>
    <n v="3"/>
    <s v="No"/>
    <x v="0"/>
    <s v="No"/>
    <n v="22"/>
    <x v="2"/>
    <s v="Quarterly"/>
    <n v="0.1"/>
    <n v="443.48399999999998"/>
    <n v="492.76"/>
    <s v="Credit Card"/>
    <s v="Normal"/>
    <s v="Good"/>
  </r>
  <r>
    <n v="4581"/>
    <n v="32"/>
    <x v="0"/>
    <x v="5"/>
    <x v="0"/>
    <n v="230.19"/>
    <x v="14"/>
    <x v="2"/>
    <s v="Black"/>
    <x v="0"/>
    <n v="1"/>
    <s v="No"/>
    <x v="3"/>
    <s v="Yes"/>
    <n v="0"/>
    <x v="1"/>
    <s v="Weekly"/>
    <n v="0.1"/>
    <n v="207.17099999999999"/>
    <n v="230.19"/>
    <s v="Cash"/>
    <s v="Normal"/>
    <s v="Poor"/>
  </r>
  <r>
    <n v="4582"/>
    <n v="68"/>
    <x v="1"/>
    <x v="26"/>
    <x v="0"/>
    <n v="784.97"/>
    <x v="51"/>
    <x v="2"/>
    <s v="White"/>
    <x v="2"/>
    <n v="1"/>
    <s v="Yes"/>
    <x v="3"/>
    <s v="No"/>
    <n v="7"/>
    <x v="3"/>
    <s v="Weekly"/>
    <n v="0.1"/>
    <n v="706.47299999999996"/>
    <n v="784.97"/>
    <s v="PayPal"/>
    <s v="Normal"/>
    <s v="Poor"/>
  </r>
  <r>
    <n v="4583"/>
    <n v="20"/>
    <x v="2"/>
    <x v="26"/>
    <x v="0"/>
    <n v="0"/>
    <x v="14"/>
    <x v="2"/>
    <s v="Blue"/>
    <x v="2"/>
    <n v="1"/>
    <s v="Yes"/>
    <x v="0"/>
    <s v="Yes"/>
    <n v="32"/>
    <x v="3"/>
    <s v="Quarterly"/>
    <n v="0.1"/>
    <n v="0"/>
    <n v="0"/>
    <s v="PayPal"/>
    <s v="Normal"/>
    <s v="Poor"/>
  </r>
  <r>
    <n v="4584"/>
    <n v="55"/>
    <x v="1"/>
    <x v="27"/>
    <x v="0"/>
    <n v="0"/>
    <x v="14"/>
    <x v="2"/>
    <s v="Black"/>
    <x v="4"/>
    <n v="5"/>
    <s v="No"/>
    <x v="0"/>
    <s v="Yes"/>
    <n v="0"/>
    <x v="5"/>
    <s v="Quarterly"/>
    <n v="0.1"/>
    <n v="0"/>
    <n v="0"/>
    <s v="Debit Card"/>
    <s v="Normal"/>
    <s v="Good"/>
  </r>
  <r>
    <n v="4585"/>
    <n v="45"/>
    <x v="1"/>
    <x v="25"/>
    <x v="3"/>
    <n v="0"/>
    <x v="51"/>
    <x v="2"/>
    <s v="Black"/>
    <x v="4"/>
    <n v="5"/>
    <s v="Yes"/>
    <x v="0"/>
    <s v="No"/>
    <n v="27"/>
    <x v="5"/>
    <s v="Quarterly"/>
    <n v="0.1"/>
    <n v="0"/>
    <n v="0"/>
    <s v="Debit Card"/>
    <s v="Normal"/>
    <s v="Good"/>
  </r>
  <r>
    <n v="4586"/>
    <n v="23"/>
    <x v="1"/>
    <x v="25"/>
    <x v="3"/>
    <n v="0"/>
    <x v="51"/>
    <x v="0"/>
    <s v="Red"/>
    <x v="4"/>
    <n v="1"/>
    <s v="No"/>
    <x v="0"/>
    <s v="No"/>
    <n v="0"/>
    <x v="2"/>
    <s v="Monthly"/>
    <n v="0.1"/>
    <n v="0"/>
    <n v="0"/>
    <s v="Credit Card"/>
    <s v="Normal"/>
    <s v="Poor"/>
  </r>
  <r>
    <n v="4587"/>
    <n v="52"/>
    <x v="0"/>
    <x v="29"/>
    <x v="4"/>
    <n v="1392.02"/>
    <x v="50"/>
    <x v="2"/>
    <s v="White"/>
    <x v="0"/>
    <n v="2"/>
    <s v="Yes"/>
    <x v="3"/>
    <s v="Yes"/>
    <n v="0"/>
    <x v="1"/>
    <s v="Quarterly"/>
    <n v="0.1"/>
    <n v="1252.818"/>
    <n v="1392.02"/>
    <s v="Cash"/>
    <s v="Normal"/>
    <s v="Poor"/>
  </r>
  <r>
    <n v="4588"/>
    <n v="18"/>
    <x v="0"/>
    <x v="29"/>
    <x v="3"/>
    <n v="0"/>
    <x v="52"/>
    <x v="1"/>
    <s v="Black"/>
    <x v="1"/>
    <n v="4"/>
    <s v="Yes"/>
    <x v="3"/>
    <s v="Yes"/>
    <n v="0"/>
    <x v="2"/>
    <s v="Weekly"/>
    <n v="0.1"/>
    <n v="0"/>
    <n v="0"/>
    <s v="Credit Card"/>
    <s v="Normal"/>
    <s v="Good"/>
  </r>
  <r>
    <n v="4589"/>
    <n v="33"/>
    <x v="1"/>
    <x v="25"/>
    <x v="3"/>
    <n v="0"/>
    <x v="14"/>
    <x v="0"/>
    <s v="Red"/>
    <x v="2"/>
    <n v="2"/>
    <s v="No"/>
    <x v="0"/>
    <s v="No"/>
    <n v="0"/>
    <x v="5"/>
    <s v="Weekly"/>
    <n v="0.1"/>
    <n v="0"/>
    <n v="0"/>
    <s v="Debit Card"/>
    <s v="Normal"/>
    <s v="Poor"/>
  </r>
  <r>
    <n v="4590"/>
    <n v="60"/>
    <x v="0"/>
    <x v="25"/>
    <x v="0"/>
    <n v="0"/>
    <x v="51"/>
    <x v="3"/>
    <s v="Red"/>
    <x v="1"/>
    <n v="1"/>
    <s v="Yes"/>
    <x v="3"/>
    <s v="Yes"/>
    <n v="0"/>
    <x v="3"/>
    <s v="Quarterly"/>
    <n v="0.1"/>
    <n v="0"/>
    <n v="0"/>
    <s v="PayPal"/>
    <s v="Normal"/>
    <s v="Poor"/>
  </r>
  <r>
    <n v="4591"/>
    <n v="58"/>
    <x v="2"/>
    <x v="5"/>
    <x v="3"/>
    <n v="0"/>
    <x v="14"/>
    <x v="0"/>
    <s v="Black"/>
    <x v="2"/>
    <n v="1"/>
    <s v="No"/>
    <x v="0"/>
    <s v="Yes"/>
    <n v="0"/>
    <x v="2"/>
    <s v="Quarterly"/>
    <n v="0.1"/>
    <n v="0"/>
    <n v="0"/>
    <s v="Credit Card"/>
    <s v="Normal"/>
    <s v="Poor"/>
  </r>
  <r>
    <n v="4592"/>
    <n v="57"/>
    <x v="1"/>
    <x v="29"/>
    <x v="3"/>
    <n v="584.16"/>
    <x v="14"/>
    <x v="2"/>
    <s v="Blue"/>
    <x v="4"/>
    <n v="5"/>
    <s v="No"/>
    <x v="3"/>
    <s v="Yes"/>
    <n v="49"/>
    <x v="5"/>
    <s v="Quarterly"/>
    <n v="0.1"/>
    <n v="525.74399999999991"/>
    <n v="584.16"/>
    <s v="Debit Card"/>
    <s v="Normal"/>
    <s v="Good"/>
  </r>
  <r>
    <n v="4593"/>
    <n v="56"/>
    <x v="2"/>
    <x v="9"/>
    <x v="4"/>
    <n v="0"/>
    <x v="14"/>
    <x v="2"/>
    <s v="Blue"/>
    <x v="0"/>
    <n v="1"/>
    <s v="No"/>
    <x v="0"/>
    <s v="Yes"/>
    <n v="11"/>
    <x v="5"/>
    <s v="Monthly"/>
    <n v="0.1"/>
    <n v="0"/>
    <n v="0"/>
    <s v="Debit Card"/>
    <s v="Normal"/>
    <s v="Poor"/>
  </r>
  <r>
    <n v="4594"/>
    <n v="46"/>
    <x v="0"/>
    <x v="26"/>
    <x v="3"/>
    <n v="0"/>
    <x v="50"/>
    <x v="0"/>
    <s v="White"/>
    <x v="2"/>
    <n v="1"/>
    <s v="Yes"/>
    <x v="0"/>
    <s v="No"/>
    <n v="0"/>
    <x v="1"/>
    <s v="Monthly"/>
    <n v="0.1"/>
    <n v="0"/>
    <n v="0"/>
    <s v="Cash"/>
    <s v="Normal"/>
    <s v="Poor"/>
  </r>
  <r>
    <n v="4595"/>
    <n v="47"/>
    <x v="0"/>
    <x v="25"/>
    <x v="3"/>
    <n v="0"/>
    <x v="53"/>
    <x v="1"/>
    <s v="White"/>
    <x v="2"/>
    <n v="1"/>
    <s v="No"/>
    <x v="0"/>
    <s v="Yes"/>
    <n v="32"/>
    <x v="1"/>
    <s v="Quarterly"/>
    <n v="0.1"/>
    <n v="0"/>
    <n v="0"/>
    <s v="Cash"/>
    <s v="Normal"/>
    <s v="Poor"/>
  </r>
  <r>
    <n v="4596"/>
    <n v="42"/>
    <x v="2"/>
    <x v="27"/>
    <x v="3"/>
    <n v="1085.96"/>
    <x v="50"/>
    <x v="0"/>
    <s v="White"/>
    <x v="0"/>
    <n v="4"/>
    <s v="Yes"/>
    <x v="0"/>
    <s v="No"/>
    <n v="0"/>
    <x v="5"/>
    <s v="Weekly"/>
    <n v="0.1"/>
    <n v="977.36400000000003"/>
    <n v="1085.96"/>
    <s v="Debit Card"/>
    <s v="Best Customer"/>
    <s v="Good"/>
  </r>
  <r>
    <n v="4597"/>
    <n v="50"/>
    <x v="1"/>
    <x v="9"/>
    <x v="0"/>
    <n v="0"/>
    <x v="14"/>
    <x v="2"/>
    <s v="White"/>
    <x v="0"/>
    <n v="1"/>
    <s v="Yes"/>
    <x v="3"/>
    <s v="Yes"/>
    <n v="0"/>
    <x v="5"/>
    <s v="Quarterly"/>
    <n v="0.1"/>
    <n v="0"/>
    <n v="0"/>
    <s v="Debit Card"/>
    <s v="Normal"/>
    <s v="Poor"/>
  </r>
  <r>
    <n v="4598"/>
    <n v="37"/>
    <x v="1"/>
    <x v="29"/>
    <x v="4"/>
    <n v="187.51"/>
    <x v="50"/>
    <x v="2"/>
    <s v="Blue"/>
    <x v="2"/>
    <n v="1"/>
    <s v="Yes"/>
    <x v="3"/>
    <s v="Yes"/>
    <n v="20"/>
    <x v="2"/>
    <s v="Weekly"/>
    <n v="0.1"/>
    <n v="168.75899999999999"/>
    <n v="187.51"/>
    <s v="Credit Card"/>
    <s v="Normal"/>
    <s v="Poor"/>
  </r>
  <r>
    <n v="4599"/>
    <n v="31"/>
    <x v="0"/>
    <x v="27"/>
    <x v="4"/>
    <n v="0"/>
    <x v="14"/>
    <x v="2"/>
    <s v="Black"/>
    <x v="0"/>
    <n v="1"/>
    <s v="Yes"/>
    <x v="3"/>
    <s v="No"/>
    <n v="0"/>
    <x v="5"/>
    <s v="Quarterly"/>
    <n v="0.1"/>
    <n v="0"/>
    <n v="0"/>
    <s v="Debit Card"/>
    <s v="Normal"/>
    <s v="Poor"/>
  </r>
  <r>
    <n v="4600"/>
    <n v="60"/>
    <x v="2"/>
    <x v="26"/>
    <x v="4"/>
    <n v="1460.51"/>
    <x v="52"/>
    <x v="2"/>
    <s v="White"/>
    <x v="2"/>
    <n v="2"/>
    <s v="No"/>
    <x v="3"/>
    <s v="Yes"/>
    <n v="20"/>
    <x v="1"/>
    <s v="Quarterly"/>
    <n v="0.1"/>
    <n v="1314.4590000000001"/>
    <n v="1460.51"/>
    <s v="Cash"/>
    <s v="Normal"/>
    <s v="Poor"/>
  </r>
  <r>
    <n v="4601"/>
    <n v="65"/>
    <x v="2"/>
    <x v="26"/>
    <x v="4"/>
    <n v="405.11"/>
    <x v="50"/>
    <x v="2"/>
    <s v="Blue"/>
    <x v="2"/>
    <n v="5"/>
    <s v="Yes"/>
    <x v="3"/>
    <s v="No"/>
    <n v="0"/>
    <x v="3"/>
    <s v="Quarterly"/>
    <n v="0.1"/>
    <n v="364.59899999999999"/>
    <n v="405.11"/>
    <s v="PayPal"/>
    <s v="Normal"/>
    <s v="Good"/>
  </r>
  <r>
    <n v="4602"/>
    <n v="34"/>
    <x v="2"/>
    <x v="26"/>
    <x v="3"/>
    <n v="0"/>
    <x v="51"/>
    <x v="0"/>
    <s v="White"/>
    <x v="4"/>
    <n v="1"/>
    <s v="Yes"/>
    <x v="0"/>
    <s v="No"/>
    <n v="35"/>
    <x v="5"/>
    <s v="Weekly"/>
    <n v="0.1"/>
    <n v="0"/>
    <n v="0"/>
    <s v="Debit Card"/>
    <s v="Normal"/>
    <s v="Poor"/>
  </r>
  <r>
    <n v="4603"/>
    <n v="38"/>
    <x v="2"/>
    <x v="5"/>
    <x v="0"/>
    <n v="1068.26"/>
    <x v="51"/>
    <x v="2"/>
    <s v="Blue"/>
    <x v="2"/>
    <n v="1"/>
    <s v="Yes"/>
    <x v="0"/>
    <s v="Yes"/>
    <n v="23"/>
    <x v="1"/>
    <s v="Weekly"/>
    <n v="0.1"/>
    <n v="961.43399999999997"/>
    <n v="1068.26"/>
    <s v="Cash"/>
    <s v="Normal"/>
    <s v="Poor"/>
  </r>
  <r>
    <n v="4604"/>
    <n v="66"/>
    <x v="1"/>
    <x v="5"/>
    <x v="4"/>
    <n v="561.28"/>
    <x v="14"/>
    <x v="2"/>
    <s v="Red"/>
    <x v="0"/>
    <n v="5"/>
    <s v="No"/>
    <x v="3"/>
    <s v="No"/>
    <n v="0"/>
    <x v="2"/>
    <s v="Weekly"/>
    <n v="0.1"/>
    <n v="505.15199999999999"/>
    <n v="561.28"/>
    <s v="Credit Card"/>
    <s v="Normal"/>
    <s v="Good"/>
  </r>
  <r>
    <n v="4605"/>
    <n v="20"/>
    <x v="0"/>
    <x v="27"/>
    <x v="3"/>
    <n v="0"/>
    <x v="14"/>
    <x v="2"/>
    <s v="Red"/>
    <x v="0"/>
    <n v="3"/>
    <s v="No"/>
    <x v="0"/>
    <s v="No"/>
    <n v="36"/>
    <x v="5"/>
    <s v="Quarterly"/>
    <n v="0.1"/>
    <n v="0"/>
    <n v="0"/>
    <s v="Debit Card"/>
    <s v="Normal"/>
    <s v="Good"/>
  </r>
  <r>
    <n v="4606"/>
    <n v="33"/>
    <x v="1"/>
    <x v="25"/>
    <x v="0"/>
    <n v="0"/>
    <x v="50"/>
    <x v="0"/>
    <s v="White"/>
    <x v="4"/>
    <n v="1"/>
    <s v="Yes"/>
    <x v="0"/>
    <s v="No"/>
    <n v="0"/>
    <x v="5"/>
    <s v="Weekly"/>
    <n v="0.1"/>
    <n v="0"/>
    <n v="0"/>
    <s v="Debit Card"/>
    <s v="Normal"/>
    <s v="Poor"/>
  </r>
  <r>
    <n v="4607"/>
    <n v="47"/>
    <x v="2"/>
    <x v="5"/>
    <x v="0"/>
    <n v="557.24"/>
    <x v="51"/>
    <x v="0"/>
    <s v="White"/>
    <x v="4"/>
    <n v="1"/>
    <s v="No"/>
    <x v="0"/>
    <s v="Yes"/>
    <n v="27"/>
    <x v="3"/>
    <s v="Weekly"/>
    <n v="0.1"/>
    <n v="501.51600000000002"/>
    <n v="557.24"/>
    <s v="PayPal"/>
    <s v="Normal"/>
    <s v="Poor"/>
  </r>
  <r>
    <n v="4608"/>
    <n v="67"/>
    <x v="1"/>
    <x v="29"/>
    <x v="0"/>
    <n v="0"/>
    <x v="14"/>
    <x v="0"/>
    <s v="Red"/>
    <x v="4"/>
    <n v="1"/>
    <s v="Yes"/>
    <x v="0"/>
    <s v="Yes"/>
    <n v="32"/>
    <x v="5"/>
    <s v="Monthly"/>
    <n v="0.1"/>
    <n v="0"/>
    <n v="0"/>
    <s v="Debit Card"/>
    <s v="Normal"/>
    <s v="Poor"/>
  </r>
  <r>
    <n v="4609"/>
    <n v="29"/>
    <x v="2"/>
    <x v="26"/>
    <x v="4"/>
    <n v="124.45"/>
    <x v="51"/>
    <x v="2"/>
    <s v="Green"/>
    <x v="4"/>
    <n v="4"/>
    <s v="No"/>
    <x v="3"/>
    <s v="Yes"/>
    <n v="44"/>
    <x v="1"/>
    <s v="Weekly"/>
    <n v="0.1"/>
    <n v="112.005"/>
    <n v="124.45"/>
    <s v="Cash"/>
    <s v="Normal"/>
    <s v="Good"/>
  </r>
  <r>
    <n v="4610"/>
    <n v="44"/>
    <x v="1"/>
    <x v="29"/>
    <x v="0"/>
    <n v="0"/>
    <x v="52"/>
    <x v="1"/>
    <s v="Blue"/>
    <x v="4"/>
    <n v="1"/>
    <s v="Yes"/>
    <x v="3"/>
    <s v="No"/>
    <n v="0"/>
    <x v="3"/>
    <s v="Quarterly"/>
    <n v="0.1"/>
    <n v="0"/>
    <n v="0"/>
    <s v="PayPal"/>
    <s v="Normal"/>
    <s v="Poor"/>
  </r>
  <r>
    <n v="4611"/>
    <n v="66"/>
    <x v="2"/>
    <x v="9"/>
    <x v="4"/>
    <n v="0"/>
    <x v="53"/>
    <x v="2"/>
    <s v="Red"/>
    <x v="2"/>
    <n v="1"/>
    <s v="No"/>
    <x v="0"/>
    <s v="Yes"/>
    <n v="34"/>
    <x v="2"/>
    <s v="Quarterly"/>
    <n v="0.1"/>
    <n v="0"/>
    <n v="0"/>
    <s v="Credit Card"/>
    <s v="Normal"/>
    <s v="Poor"/>
  </r>
  <r>
    <n v="4612"/>
    <n v="62"/>
    <x v="2"/>
    <x v="25"/>
    <x v="0"/>
    <n v="1294.07"/>
    <x v="53"/>
    <x v="3"/>
    <s v="White"/>
    <x v="1"/>
    <n v="1"/>
    <s v="No"/>
    <x v="0"/>
    <s v="Yes"/>
    <n v="39"/>
    <x v="5"/>
    <s v="Weekly"/>
    <n v="0.1"/>
    <n v="1164.663"/>
    <n v="1294.07"/>
    <s v="Debit Card"/>
    <s v="Normal"/>
    <s v="Poor"/>
  </r>
  <r>
    <n v="4613"/>
    <n v="36"/>
    <x v="0"/>
    <x v="28"/>
    <x v="3"/>
    <n v="1186.54"/>
    <x v="51"/>
    <x v="1"/>
    <s v="Blue"/>
    <x v="2"/>
    <n v="1"/>
    <s v="No"/>
    <x v="3"/>
    <s v="No"/>
    <n v="39"/>
    <x v="5"/>
    <s v="Quarterly"/>
    <n v="0.1"/>
    <n v="1067.886"/>
    <n v="1186.54"/>
    <s v="Debit Card"/>
    <s v="Normal"/>
    <s v="Poor"/>
  </r>
  <r>
    <n v="4614"/>
    <n v="56"/>
    <x v="1"/>
    <x v="9"/>
    <x v="4"/>
    <n v="0"/>
    <x v="52"/>
    <x v="2"/>
    <s v="Red"/>
    <x v="1"/>
    <n v="1"/>
    <s v="No"/>
    <x v="3"/>
    <s v="Yes"/>
    <n v="0"/>
    <x v="5"/>
    <s v="Quarterly"/>
    <n v="0.1"/>
    <n v="0"/>
    <n v="0"/>
    <s v="Debit Card"/>
    <s v="Normal"/>
    <s v="Poor"/>
  </r>
  <r>
    <n v="4615"/>
    <n v="29"/>
    <x v="1"/>
    <x v="27"/>
    <x v="4"/>
    <n v="0"/>
    <x v="51"/>
    <x v="2"/>
    <s v="Black"/>
    <x v="1"/>
    <n v="4"/>
    <s v="No"/>
    <x v="3"/>
    <s v="No"/>
    <n v="0"/>
    <x v="5"/>
    <s v="Weekly"/>
    <n v="0.1"/>
    <n v="0"/>
    <n v="0"/>
    <s v="Debit Card"/>
    <s v="Normal"/>
    <s v="Good"/>
  </r>
  <r>
    <n v="4616"/>
    <n v="51"/>
    <x v="1"/>
    <x v="5"/>
    <x v="4"/>
    <n v="336.09"/>
    <x v="14"/>
    <x v="2"/>
    <s v="White"/>
    <x v="4"/>
    <n v="1"/>
    <s v="No"/>
    <x v="0"/>
    <s v="Yes"/>
    <n v="0"/>
    <x v="3"/>
    <s v="Monthly"/>
    <n v="0.1"/>
    <n v="302.48099999999999"/>
    <n v="336.09"/>
    <s v="PayPal"/>
    <s v="Normal"/>
    <s v="Poor"/>
  </r>
  <r>
    <n v="4617"/>
    <n v="45"/>
    <x v="0"/>
    <x v="28"/>
    <x v="0"/>
    <n v="0"/>
    <x v="51"/>
    <x v="3"/>
    <s v="Red"/>
    <x v="2"/>
    <n v="1"/>
    <s v="Yes"/>
    <x v="3"/>
    <s v="No"/>
    <n v="18"/>
    <x v="5"/>
    <s v="Monthly"/>
    <n v="0.1"/>
    <n v="0"/>
    <n v="0"/>
    <s v="Debit Card"/>
    <s v="Normal"/>
    <s v="Poor"/>
  </r>
  <r>
    <n v="4618"/>
    <n v="19"/>
    <x v="1"/>
    <x v="29"/>
    <x v="3"/>
    <n v="0"/>
    <x v="14"/>
    <x v="0"/>
    <s v="Green"/>
    <x v="2"/>
    <n v="1"/>
    <s v="Yes"/>
    <x v="3"/>
    <s v="Yes"/>
    <n v="30"/>
    <x v="3"/>
    <s v="Quarterly"/>
    <n v="0.1"/>
    <n v="0"/>
    <n v="0"/>
    <s v="PayPal"/>
    <s v="Normal"/>
    <s v="Poor"/>
  </r>
  <r>
    <n v="4619"/>
    <n v="28"/>
    <x v="2"/>
    <x v="26"/>
    <x v="4"/>
    <n v="0"/>
    <x v="51"/>
    <x v="2"/>
    <s v="Black"/>
    <x v="4"/>
    <n v="1"/>
    <s v="No"/>
    <x v="3"/>
    <s v="No"/>
    <n v="0"/>
    <x v="5"/>
    <s v="Monthly"/>
    <n v="0.1"/>
    <n v="0"/>
    <n v="0"/>
    <s v="Debit Card"/>
    <s v="Normal"/>
    <s v="Poor"/>
  </r>
  <r>
    <n v="4620"/>
    <n v="53"/>
    <x v="1"/>
    <x v="27"/>
    <x v="4"/>
    <n v="0"/>
    <x v="14"/>
    <x v="2"/>
    <s v="White"/>
    <x v="2"/>
    <n v="1"/>
    <s v="No"/>
    <x v="0"/>
    <s v="No"/>
    <n v="0"/>
    <x v="3"/>
    <s v="Weekly"/>
    <n v="0.1"/>
    <n v="0"/>
    <n v="0"/>
    <s v="PayPal"/>
    <s v="Normal"/>
    <s v="Poor"/>
  </r>
  <r>
    <n v="4621"/>
    <n v="46"/>
    <x v="2"/>
    <x v="25"/>
    <x v="0"/>
    <n v="1257.7"/>
    <x v="50"/>
    <x v="3"/>
    <s v="White"/>
    <x v="2"/>
    <n v="1"/>
    <s v="Yes"/>
    <x v="0"/>
    <s v="Yes"/>
    <n v="0"/>
    <x v="1"/>
    <s v="Quarterly"/>
    <n v="0.1"/>
    <n v="1131.93"/>
    <n v="1257.7"/>
    <s v="Cash"/>
    <s v="Normal"/>
    <s v="Poor"/>
  </r>
  <r>
    <n v="4622"/>
    <n v="30"/>
    <x v="2"/>
    <x v="25"/>
    <x v="0"/>
    <n v="1238.25"/>
    <x v="51"/>
    <x v="3"/>
    <s v="Black"/>
    <x v="2"/>
    <n v="1"/>
    <s v="Yes"/>
    <x v="0"/>
    <s v="Yes"/>
    <n v="0"/>
    <x v="5"/>
    <s v="Monthly"/>
    <n v="0.1"/>
    <n v="1114.425"/>
    <n v="1238.25"/>
    <s v="Debit Card"/>
    <s v="Normal"/>
    <s v="Poor"/>
  </r>
  <r>
    <n v="4623"/>
    <n v="47"/>
    <x v="0"/>
    <x v="25"/>
    <x v="4"/>
    <n v="0"/>
    <x v="52"/>
    <x v="2"/>
    <s v="Green"/>
    <x v="2"/>
    <n v="1"/>
    <s v="Yes"/>
    <x v="3"/>
    <s v="No"/>
    <n v="35"/>
    <x v="3"/>
    <s v="Monthly"/>
    <n v="0.1"/>
    <n v="0"/>
    <n v="0"/>
    <s v="PayPal"/>
    <s v="Normal"/>
    <s v="Poor"/>
  </r>
  <r>
    <n v="4624"/>
    <n v="23"/>
    <x v="2"/>
    <x v="28"/>
    <x v="0"/>
    <n v="1204.42"/>
    <x v="53"/>
    <x v="0"/>
    <s v="Green"/>
    <x v="4"/>
    <n v="5"/>
    <s v="No"/>
    <x v="0"/>
    <s v="No"/>
    <n v="26"/>
    <x v="2"/>
    <s v="Weekly"/>
    <n v="0.1"/>
    <n v="1083.9780000000001"/>
    <n v="1204.42"/>
    <s v="Credit Card"/>
    <s v="Best Customer"/>
    <s v="Good"/>
  </r>
  <r>
    <n v="4625"/>
    <n v="49"/>
    <x v="0"/>
    <x v="28"/>
    <x v="3"/>
    <n v="1002.35"/>
    <x v="14"/>
    <x v="1"/>
    <s v="Blue"/>
    <x v="2"/>
    <n v="3"/>
    <s v="Yes"/>
    <x v="0"/>
    <s v="No"/>
    <n v="0"/>
    <x v="1"/>
    <s v="Weekly"/>
    <n v="0.1"/>
    <n v="902.11500000000001"/>
    <n v="1002.35"/>
    <s v="Cash"/>
    <s v="Normal"/>
    <s v="Good"/>
  </r>
  <r>
    <n v="4626"/>
    <n v="43"/>
    <x v="0"/>
    <x v="9"/>
    <x v="3"/>
    <n v="0"/>
    <x v="51"/>
    <x v="2"/>
    <s v="Green"/>
    <x v="4"/>
    <n v="1"/>
    <s v="No"/>
    <x v="0"/>
    <s v="Yes"/>
    <n v="0"/>
    <x v="3"/>
    <s v="Quarterly"/>
    <n v="0.1"/>
    <n v="0"/>
    <n v="0"/>
    <s v="PayPal"/>
    <s v="Normal"/>
    <s v="Poor"/>
  </r>
  <r>
    <n v="4627"/>
    <n v="54"/>
    <x v="1"/>
    <x v="29"/>
    <x v="4"/>
    <n v="860.91"/>
    <x v="53"/>
    <x v="2"/>
    <s v="Black"/>
    <x v="2"/>
    <n v="1"/>
    <s v="No"/>
    <x v="0"/>
    <s v="Yes"/>
    <n v="16"/>
    <x v="1"/>
    <s v="Quarterly"/>
    <n v="0.1"/>
    <n v="774.81899999999996"/>
    <n v="860.91"/>
    <s v="Cash"/>
    <s v="Normal"/>
    <s v="Poor"/>
  </r>
  <r>
    <n v="4628"/>
    <n v="46"/>
    <x v="1"/>
    <x v="28"/>
    <x v="3"/>
    <n v="31.37"/>
    <x v="50"/>
    <x v="2"/>
    <s v="Black"/>
    <x v="4"/>
    <n v="1"/>
    <s v="Yes"/>
    <x v="0"/>
    <s v="No"/>
    <n v="32"/>
    <x v="2"/>
    <s v="Monthly"/>
    <n v="0.1"/>
    <n v="28.233000000000001"/>
    <n v="31.37"/>
    <s v="Credit Card"/>
    <s v="Normal"/>
    <s v="Poor"/>
  </r>
  <r>
    <n v="4629"/>
    <n v="57"/>
    <x v="0"/>
    <x v="26"/>
    <x v="4"/>
    <n v="1370.64"/>
    <x v="52"/>
    <x v="2"/>
    <s v="Green"/>
    <x v="4"/>
    <n v="1"/>
    <s v="Yes"/>
    <x v="0"/>
    <s v="Yes"/>
    <n v="0"/>
    <x v="1"/>
    <s v="Weekly"/>
    <n v="0.1"/>
    <n v="1233.576"/>
    <n v="1370.64"/>
    <s v="Cash"/>
    <s v="Normal"/>
    <s v="Poor"/>
  </r>
  <r>
    <n v="4630"/>
    <n v="25"/>
    <x v="1"/>
    <x v="28"/>
    <x v="4"/>
    <n v="468.46"/>
    <x v="52"/>
    <x v="2"/>
    <s v="Red"/>
    <x v="0"/>
    <n v="1"/>
    <s v="No"/>
    <x v="3"/>
    <s v="No"/>
    <n v="50"/>
    <x v="2"/>
    <s v="Quarterly"/>
    <n v="0.1"/>
    <n v="421.61399999999998"/>
    <n v="468.46"/>
    <s v="Credit Card"/>
    <s v="Normal"/>
    <s v="Poor"/>
  </r>
  <r>
    <n v="4631"/>
    <n v="44"/>
    <x v="1"/>
    <x v="27"/>
    <x v="3"/>
    <n v="749.08"/>
    <x v="14"/>
    <x v="0"/>
    <s v="Green"/>
    <x v="1"/>
    <n v="1"/>
    <s v="No"/>
    <x v="0"/>
    <s v="Yes"/>
    <n v="25"/>
    <x v="3"/>
    <s v="Monthly"/>
    <n v="0.1"/>
    <n v="674.17200000000003"/>
    <n v="749.08"/>
    <s v="PayPal"/>
    <s v="Normal"/>
    <s v="Poor"/>
  </r>
  <r>
    <n v="4632"/>
    <n v="39"/>
    <x v="0"/>
    <x v="26"/>
    <x v="4"/>
    <n v="71.87"/>
    <x v="52"/>
    <x v="2"/>
    <s v="White"/>
    <x v="1"/>
    <n v="4"/>
    <s v="Yes"/>
    <x v="3"/>
    <s v="No"/>
    <n v="10"/>
    <x v="1"/>
    <s v="Quarterly"/>
    <n v="0.1"/>
    <n v="64.683000000000007"/>
    <n v="71.87"/>
    <s v="Cash"/>
    <s v="Normal"/>
    <s v="Good"/>
  </r>
  <r>
    <n v="4633"/>
    <n v="48"/>
    <x v="1"/>
    <x v="27"/>
    <x v="0"/>
    <n v="1020.16"/>
    <x v="14"/>
    <x v="1"/>
    <s v="Blue"/>
    <x v="2"/>
    <n v="4"/>
    <s v="No"/>
    <x v="0"/>
    <s v="No"/>
    <n v="16"/>
    <x v="5"/>
    <s v="Monthly"/>
    <n v="0.1"/>
    <n v="918.14400000000001"/>
    <n v="1020.16"/>
    <s v="Debit Card"/>
    <s v="Best Customer"/>
    <s v="Good"/>
  </r>
  <r>
    <n v="4634"/>
    <n v="49"/>
    <x v="1"/>
    <x v="26"/>
    <x v="4"/>
    <n v="0"/>
    <x v="52"/>
    <x v="2"/>
    <s v="Red"/>
    <x v="2"/>
    <n v="1"/>
    <s v="No"/>
    <x v="3"/>
    <s v="Yes"/>
    <n v="0"/>
    <x v="1"/>
    <s v="Quarterly"/>
    <n v="0.1"/>
    <n v="0"/>
    <n v="0"/>
    <s v="Cash"/>
    <s v="Normal"/>
    <s v="Poor"/>
  </r>
  <r>
    <n v="4635"/>
    <n v="56"/>
    <x v="0"/>
    <x v="26"/>
    <x v="0"/>
    <n v="1096.71"/>
    <x v="50"/>
    <x v="2"/>
    <s v="Blue"/>
    <x v="1"/>
    <n v="4"/>
    <s v="No"/>
    <x v="3"/>
    <s v="Yes"/>
    <n v="0"/>
    <x v="2"/>
    <s v="Monthly"/>
    <n v="0.1"/>
    <n v="987.03899999999999"/>
    <n v="1096.71"/>
    <s v="Credit Card"/>
    <s v="Best Customer"/>
    <s v="Good"/>
  </r>
  <r>
    <n v="4636"/>
    <n v="59"/>
    <x v="2"/>
    <x v="26"/>
    <x v="3"/>
    <n v="16.88"/>
    <x v="52"/>
    <x v="1"/>
    <s v="White"/>
    <x v="2"/>
    <n v="1"/>
    <s v="Yes"/>
    <x v="3"/>
    <s v="No"/>
    <n v="0"/>
    <x v="5"/>
    <s v="Weekly"/>
    <n v="0.1"/>
    <n v="15.191999999999998"/>
    <n v="16.88"/>
    <s v="Debit Card"/>
    <s v="Normal"/>
    <s v="Poor"/>
  </r>
  <r>
    <n v="4637"/>
    <n v="56"/>
    <x v="2"/>
    <x v="5"/>
    <x v="3"/>
    <n v="0"/>
    <x v="51"/>
    <x v="1"/>
    <s v="Blue"/>
    <x v="1"/>
    <n v="2"/>
    <s v="Yes"/>
    <x v="0"/>
    <s v="No"/>
    <n v="50"/>
    <x v="3"/>
    <s v="Quarterly"/>
    <n v="0.1"/>
    <n v="0"/>
    <n v="0"/>
    <s v="PayPal"/>
    <s v="Normal"/>
    <s v="Poor"/>
  </r>
  <r>
    <n v="4638"/>
    <n v="33"/>
    <x v="2"/>
    <x v="28"/>
    <x v="3"/>
    <n v="597.05999999999995"/>
    <x v="51"/>
    <x v="0"/>
    <s v="Blue"/>
    <x v="2"/>
    <n v="4"/>
    <s v="Yes"/>
    <x v="0"/>
    <s v="No"/>
    <n v="40"/>
    <x v="2"/>
    <s v="Weekly"/>
    <n v="0.1"/>
    <n v="537.35399999999993"/>
    <n v="597.05999999999995"/>
    <s v="Credit Card"/>
    <s v="Normal"/>
    <s v="Good"/>
  </r>
  <r>
    <n v="4639"/>
    <n v="63"/>
    <x v="2"/>
    <x v="5"/>
    <x v="0"/>
    <n v="242.07"/>
    <x v="14"/>
    <x v="2"/>
    <s v="Blue"/>
    <x v="2"/>
    <n v="1"/>
    <s v="No"/>
    <x v="3"/>
    <s v="Yes"/>
    <n v="0"/>
    <x v="1"/>
    <s v="Quarterly"/>
    <n v="0.1"/>
    <n v="217.863"/>
    <n v="242.07"/>
    <s v="Cash"/>
    <s v="Normal"/>
    <s v="Poor"/>
  </r>
  <r>
    <n v="4640"/>
    <n v="62"/>
    <x v="0"/>
    <x v="28"/>
    <x v="3"/>
    <n v="0"/>
    <x v="14"/>
    <x v="2"/>
    <s v="Black"/>
    <x v="2"/>
    <n v="1"/>
    <s v="No"/>
    <x v="0"/>
    <s v="Yes"/>
    <n v="9"/>
    <x v="5"/>
    <s v="Monthly"/>
    <n v="0.1"/>
    <n v="0"/>
    <n v="0"/>
    <s v="Debit Card"/>
    <s v="Normal"/>
    <s v="Poor"/>
  </r>
  <r>
    <n v="4641"/>
    <n v="30"/>
    <x v="1"/>
    <x v="29"/>
    <x v="4"/>
    <n v="822.03"/>
    <x v="51"/>
    <x v="2"/>
    <s v="Red"/>
    <x v="2"/>
    <n v="1"/>
    <s v="No"/>
    <x v="0"/>
    <s v="Yes"/>
    <n v="0"/>
    <x v="5"/>
    <s v="Weekly"/>
    <n v="0.1"/>
    <n v="739.827"/>
    <n v="822.03"/>
    <s v="Debit Card"/>
    <s v="Normal"/>
    <s v="Poor"/>
  </r>
  <r>
    <n v="4642"/>
    <n v="27"/>
    <x v="1"/>
    <x v="28"/>
    <x v="4"/>
    <n v="799.62"/>
    <x v="51"/>
    <x v="2"/>
    <s v="Red"/>
    <x v="0"/>
    <n v="1"/>
    <s v="Yes"/>
    <x v="3"/>
    <s v="No"/>
    <n v="39"/>
    <x v="2"/>
    <s v="Monthly"/>
    <n v="0.1"/>
    <n v="719.65800000000002"/>
    <n v="799.62"/>
    <s v="Credit Card"/>
    <s v="Normal"/>
    <s v="Poor"/>
  </r>
  <r>
    <n v="4643"/>
    <n v="50"/>
    <x v="0"/>
    <x v="26"/>
    <x v="4"/>
    <n v="0"/>
    <x v="50"/>
    <x v="2"/>
    <s v="Blue"/>
    <x v="0"/>
    <n v="2"/>
    <s v="Yes"/>
    <x v="0"/>
    <s v="No"/>
    <n v="44"/>
    <x v="5"/>
    <s v="Monthly"/>
    <n v="0.1"/>
    <n v="0"/>
    <n v="0"/>
    <s v="Debit Card"/>
    <s v="Normal"/>
    <s v="Poor"/>
  </r>
  <r>
    <n v="4644"/>
    <n v="38"/>
    <x v="1"/>
    <x v="25"/>
    <x v="3"/>
    <n v="0"/>
    <x v="51"/>
    <x v="0"/>
    <s v="Red"/>
    <x v="0"/>
    <n v="1"/>
    <s v="Yes"/>
    <x v="0"/>
    <s v="Yes"/>
    <n v="25"/>
    <x v="5"/>
    <s v="Weekly"/>
    <n v="0.1"/>
    <n v="0"/>
    <n v="0"/>
    <s v="Debit Card"/>
    <s v="Normal"/>
    <s v="Poor"/>
  </r>
  <r>
    <n v="4645"/>
    <n v="19"/>
    <x v="0"/>
    <x v="26"/>
    <x v="4"/>
    <n v="1371.19"/>
    <x v="51"/>
    <x v="2"/>
    <s v="Green"/>
    <x v="4"/>
    <n v="1"/>
    <s v="No"/>
    <x v="3"/>
    <s v="No"/>
    <n v="0"/>
    <x v="5"/>
    <s v="Weekly"/>
    <n v="0.1"/>
    <n v="1234.0710000000001"/>
    <n v="1371.19"/>
    <s v="Debit Card"/>
    <s v="Normal"/>
    <s v="Poor"/>
  </r>
  <r>
    <n v="4646"/>
    <n v="34"/>
    <x v="1"/>
    <x v="29"/>
    <x v="4"/>
    <n v="1404.43"/>
    <x v="14"/>
    <x v="2"/>
    <s v="White"/>
    <x v="1"/>
    <n v="1"/>
    <s v="No"/>
    <x v="0"/>
    <s v="Yes"/>
    <n v="0"/>
    <x v="2"/>
    <s v="Weekly"/>
    <n v="0.1"/>
    <n v="1263.9870000000001"/>
    <n v="1404.43"/>
    <s v="Credit Card"/>
    <s v="Normal"/>
    <s v="Poor"/>
  </r>
  <r>
    <n v="4647"/>
    <n v="60"/>
    <x v="0"/>
    <x v="25"/>
    <x v="0"/>
    <n v="267.25"/>
    <x v="52"/>
    <x v="3"/>
    <s v="Black"/>
    <x v="4"/>
    <n v="5"/>
    <s v="Yes"/>
    <x v="3"/>
    <s v="No"/>
    <n v="0"/>
    <x v="2"/>
    <s v="Monthly"/>
    <n v="0.1"/>
    <n v="240.52500000000001"/>
    <n v="267.25"/>
    <s v="Credit Card"/>
    <s v="Normal"/>
    <s v="Good"/>
  </r>
  <r>
    <n v="4648"/>
    <n v="46"/>
    <x v="0"/>
    <x v="9"/>
    <x v="4"/>
    <n v="90.6"/>
    <x v="50"/>
    <x v="2"/>
    <s v="White"/>
    <x v="1"/>
    <n v="2"/>
    <s v="No"/>
    <x v="0"/>
    <s v="Yes"/>
    <n v="25"/>
    <x v="3"/>
    <s v="Monthly"/>
    <n v="0.1"/>
    <n v="81.539999999999992"/>
    <n v="90.6"/>
    <s v="PayPal"/>
    <s v="Normal"/>
    <s v="Poor"/>
  </r>
  <r>
    <n v="4649"/>
    <n v="55"/>
    <x v="1"/>
    <x v="25"/>
    <x v="4"/>
    <n v="751.82"/>
    <x v="14"/>
    <x v="2"/>
    <s v="Blue"/>
    <x v="4"/>
    <n v="1"/>
    <s v="No"/>
    <x v="0"/>
    <s v="Yes"/>
    <n v="0"/>
    <x v="2"/>
    <s v="Monthly"/>
    <n v="0.1"/>
    <n v="676.63800000000003"/>
    <n v="751.82"/>
    <s v="Credit Card"/>
    <s v="Normal"/>
    <s v="Poor"/>
  </r>
  <r>
    <n v="4650"/>
    <n v="28"/>
    <x v="2"/>
    <x v="5"/>
    <x v="0"/>
    <n v="175.64"/>
    <x v="53"/>
    <x v="2"/>
    <s v="White"/>
    <x v="2"/>
    <n v="5"/>
    <s v="No"/>
    <x v="3"/>
    <s v="No"/>
    <n v="12"/>
    <x v="2"/>
    <s v="Weekly"/>
    <n v="0.1"/>
    <n v="158.07599999999999"/>
    <n v="175.64"/>
    <s v="Credit Card"/>
    <s v="Normal"/>
    <s v="Good"/>
  </r>
  <r>
    <n v="4651"/>
    <n v="47"/>
    <x v="0"/>
    <x v="28"/>
    <x v="0"/>
    <n v="0"/>
    <x v="14"/>
    <x v="3"/>
    <s v="Blue"/>
    <x v="0"/>
    <n v="3"/>
    <s v="No"/>
    <x v="3"/>
    <s v="Yes"/>
    <n v="0"/>
    <x v="1"/>
    <s v="Quarterly"/>
    <n v="0.1"/>
    <n v="0"/>
    <n v="0"/>
    <s v="Cash"/>
    <s v="Normal"/>
    <s v="Good"/>
  </r>
  <r>
    <n v="4652"/>
    <n v="70"/>
    <x v="1"/>
    <x v="26"/>
    <x v="4"/>
    <n v="0"/>
    <x v="51"/>
    <x v="2"/>
    <s v="Green"/>
    <x v="0"/>
    <n v="2"/>
    <s v="Yes"/>
    <x v="0"/>
    <s v="No"/>
    <n v="0"/>
    <x v="2"/>
    <s v="Weekly"/>
    <n v="0.1"/>
    <n v="0"/>
    <n v="0"/>
    <s v="Credit Card"/>
    <s v="Normal"/>
    <s v="Poor"/>
  </r>
  <r>
    <n v="4653"/>
    <n v="50"/>
    <x v="1"/>
    <x v="25"/>
    <x v="4"/>
    <n v="876.13"/>
    <x v="51"/>
    <x v="2"/>
    <s v="Blue"/>
    <x v="4"/>
    <n v="1"/>
    <s v="Yes"/>
    <x v="3"/>
    <s v="Yes"/>
    <n v="3"/>
    <x v="3"/>
    <s v="Quarterly"/>
    <n v="0.1"/>
    <n v="788.51700000000005"/>
    <n v="876.13"/>
    <s v="PayPal"/>
    <s v="Normal"/>
    <s v="Poor"/>
  </r>
  <r>
    <n v="4654"/>
    <n v="22"/>
    <x v="2"/>
    <x v="5"/>
    <x v="0"/>
    <n v="520.91999999999996"/>
    <x v="53"/>
    <x v="0"/>
    <s v="White"/>
    <x v="1"/>
    <n v="1"/>
    <s v="No"/>
    <x v="3"/>
    <s v="No"/>
    <n v="17"/>
    <x v="1"/>
    <s v="Quarterly"/>
    <n v="0.1"/>
    <n v="468.82799999999997"/>
    <n v="520.91999999999996"/>
    <s v="Cash"/>
    <s v="Normal"/>
    <s v="Poor"/>
  </r>
  <r>
    <n v="4655"/>
    <n v="43"/>
    <x v="0"/>
    <x v="28"/>
    <x v="0"/>
    <n v="0"/>
    <x v="50"/>
    <x v="0"/>
    <s v="Red"/>
    <x v="1"/>
    <n v="1"/>
    <s v="Yes"/>
    <x v="3"/>
    <s v="No"/>
    <n v="0"/>
    <x v="5"/>
    <s v="Weekly"/>
    <n v="0.1"/>
    <n v="0"/>
    <n v="0"/>
    <s v="Debit Card"/>
    <s v="Normal"/>
    <s v="Poor"/>
  </r>
  <r>
    <n v="4656"/>
    <n v="25"/>
    <x v="0"/>
    <x v="27"/>
    <x v="4"/>
    <n v="0"/>
    <x v="51"/>
    <x v="2"/>
    <s v="White"/>
    <x v="0"/>
    <n v="1"/>
    <s v="No"/>
    <x v="0"/>
    <s v="Yes"/>
    <n v="0"/>
    <x v="1"/>
    <s v="Quarterly"/>
    <n v="0.1"/>
    <n v="0"/>
    <n v="0"/>
    <s v="Cash"/>
    <s v="Normal"/>
    <s v="Poor"/>
  </r>
  <r>
    <n v="4657"/>
    <n v="27"/>
    <x v="1"/>
    <x v="26"/>
    <x v="3"/>
    <n v="0"/>
    <x v="14"/>
    <x v="1"/>
    <s v="White"/>
    <x v="2"/>
    <n v="3"/>
    <s v="No"/>
    <x v="3"/>
    <s v="No"/>
    <n v="0"/>
    <x v="3"/>
    <s v="Weekly"/>
    <n v="0.1"/>
    <n v="0"/>
    <n v="0"/>
    <s v="PayPal"/>
    <s v="Normal"/>
    <s v="Good"/>
  </r>
  <r>
    <n v="4658"/>
    <n v="49"/>
    <x v="2"/>
    <x v="28"/>
    <x v="0"/>
    <n v="0"/>
    <x v="52"/>
    <x v="2"/>
    <s v="Blue"/>
    <x v="0"/>
    <n v="4"/>
    <s v="No"/>
    <x v="0"/>
    <s v="No"/>
    <n v="0"/>
    <x v="3"/>
    <s v="Monthly"/>
    <n v="0.1"/>
    <n v="0"/>
    <n v="0"/>
    <s v="PayPal"/>
    <s v="Normal"/>
    <s v="Good"/>
  </r>
  <r>
    <n v="4659"/>
    <n v="20"/>
    <x v="1"/>
    <x v="25"/>
    <x v="4"/>
    <n v="0"/>
    <x v="14"/>
    <x v="2"/>
    <s v="Blue"/>
    <x v="4"/>
    <n v="1"/>
    <s v="Yes"/>
    <x v="3"/>
    <s v="Yes"/>
    <n v="0"/>
    <x v="1"/>
    <s v="Weekly"/>
    <n v="0.1"/>
    <n v="0"/>
    <n v="0"/>
    <s v="Cash"/>
    <s v="Normal"/>
    <s v="Poor"/>
  </r>
  <r>
    <n v="4660"/>
    <n v="44"/>
    <x v="2"/>
    <x v="5"/>
    <x v="0"/>
    <n v="471.28"/>
    <x v="50"/>
    <x v="3"/>
    <s v="Red"/>
    <x v="2"/>
    <n v="1"/>
    <s v="No"/>
    <x v="0"/>
    <s v="No"/>
    <n v="0"/>
    <x v="3"/>
    <s v="Monthly"/>
    <n v="0.1"/>
    <n v="424.15199999999999"/>
    <n v="471.28"/>
    <s v="PayPal"/>
    <s v="Normal"/>
    <s v="Poor"/>
  </r>
  <r>
    <n v="4661"/>
    <n v="63"/>
    <x v="1"/>
    <x v="25"/>
    <x v="3"/>
    <n v="0"/>
    <x v="14"/>
    <x v="0"/>
    <s v="Red"/>
    <x v="0"/>
    <n v="1"/>
    <s v="No"/>
    <x v="3"/>
    <s v="Yes"/>
    <n v="0"/>
    <x v="2"/>
    <s v="Weekly"/>
    <n v="0.1"/>
    <n v="0"/>
    <n v="0"/>
    <s v="Credit Card"/>
    <s v="Normal"/>
    <s v="Poor"/>
  </r>
  <r>
    <n v="4662"/>
    <n v="25"/>
    <x v="2"/>
    <x v="25"/>
    <x v="3"/>
    <n v="1459.59"/>
    <x v="53"/>
    <x v="0"/>
    <s v="Black"/>
    <x v="1"/>
    <n v="1"/>
    <s v="Yes"/>
    <x v="0"/>
    <s v="Yes"/>
    <n v="0"/>
    <x v="5"/>
    <s v="Monthly"/>
    <n v="0.1"/>
    <n v="1313.6309999999999"/>
    <n v="1459.59"/>
    <s v="Debit Card"/>
    <s v="Normal"/>
    <s v="Poor"/>
  </r>
  <r>
    <n v="4663"/>
    <n v="29"/>
    <x v="0"/>
    <x v="26"/>
    <x v="0"/>
    <n v="627.73"/>
    <x v="53"/>
    <x v="3"/>
    <s v="Red"/>
    <x v="2"/>
    <n v="1"/>
    <s v="Yes"/>
    <x v="3"/>
    <s v="No"/>
    <n v="0"/>
    <x v="1"/>
    <s v="Quarterly"/>
    <n v="0.1"/>
    <n v="564.95699999999999"/>
    <n v="627.73"/>
    <s v="Cash"/>
    <s v="Normal"/>
    <s v="Poor"/>
  </r>
  <r>
    <n v="4664"/>
    <n v="38"/>
    <x v="1"/>
    <x v="29"/>
    <x v="3"/>
    <n v="864.33"/>
    <x v="51"/>
    <x v="1"/>
    <s v="Red"/>
    <x v="4"/>
    <n v="1"/>
    <s v="Yes"/>
    <x v="3"/>
    <s v="No"/>
    <n v="0"/>
    <x v="3"/>
    <s v="Quarterly"/>
    <n v="0.1"/>
    <n v="777.89700000000005"/>
    <n v="864.33"/>
    <s v="PayPal"/>
    <s v="Normal"/>
    <s v="Poor"/>
  </r>
  <r>
    <n v="4665"/>
    <n v="66"/>
    <x v="1"/>
    <x v="26"/>
    <x v="4"/>
    <n v="0"/>
    <x v="51"/>
    <x v="2"/>
    <s v="White"/>
    <x v="0"/>
    <n v="1"/>
    <s v="Yes"/>
    <x v="0"/>
    <s v="Yes"/>
    <n v="0"/>
    <x v="2"/>
    <s v="Monthly"/>
    <n v="0.1"/>
    <n v="0"/>
    <n v="0"/>
    <s v="Credit Card"/>
    <s v="Normal"/>
    <s v="Poor"/>
  </r>
  <r>
    <n v="4666"/>
    <n v="35"/>
    <x v="1"/>
    <x v="29"/>
    <x v="3"/>
    <n v="0"/>
    <x v="52"/>
    <x v="2"/>
    <s v="Red"/>
    <x v="4"/>
    <n v="5"/>
    <s v="No"/>
    <x v="0"/>
    <s v="No"/>
    <n v="41"/>
    <x v="5"/>
    <s v="Monthly"/>
    <n v="0.1"/>
    <n v="0"/>
    <n v="0"/>
    <s v="Debit Card"/>
    <s v="Normal"/>
    <s v="Good"/>
  </r>
  <r>
    <n v="4667"/>
    <n v="53"/>
    <x v="1"/>
    <x v="9"/>
    <x v="0"/>
    <n v="537.53"/>
    <x v="51"/>
    <x v="0"/>
    <s v="Black"/>
    <x v="0"/>
    <n v="1"/>
    <s v="No"/>
    <x v="3"/>
    <s v="Yes"/>
    <n v="0"/>
    <x v="1"/>
    <s v="Monthly"/>
    <n v="0.1"/>
    <n v="483.77699999999999"/>
    <n v="537.53"/>
    <s v="Cash"/>
    <s v="Normal"/>
    <s v="Poor"/>
  </r>
  <r>
    <n v="4668"/>
    <n v="21"/>
    <x v="2"/>
    <x v="5"/>
    <x v="3"/>
    <n v="671.54"/>
    <x v="14"/>
    <x v="2"/>
    <s v="Red"/>
    <x v="1"/>
    <n v="2"/>
    <s v="Yes"/>
    <x v="0"/>
    <s v="Yes"/>
    <n v="34"/>
    <x v="1"/>
    <s v="Weekly"/>
    <n v="0.1"/>
    <n v="604.38599999999997"/>
    <n v="671.54"/>
    <s v="Cash"/>
    <s v="Normal"/>
    <s v="Poor"/>
  </r>
  <r>
    <n v="4669"/>
    <n v="69"/>
    <x v="2"/>
    <x v="25"/>
    <x v="4"/>
    <n v="1384.7"/>
    <x v="14"/>
    <x v="2"/>
    <s v="Green"/>
    <x v="4"/>
    <n v="1"/>
    <s v="Yes"/>
    <x v="3"/>
    <s v="No"/>
    <n v="47"/>
    <x v="3"/>
    <s v="Monthly"/>
    <n v="0.1"/>
    <n v="1246.23"/>
    <n v="1384.7"/>
    <s v="PayPal"/>
    <s v="Normal"/>
    <s v="Poor"/>
  </r>
  <r>
    <n v="4670"/>
    <n v="41"/>
    <x v="0"/>
    <x v="5"/>
    <x v="4"/>
    <n v="0"/>
    <x v="52"/>
    <x v="2"/>
    <s v="Blue"/>
    <x v="4"/>
    <n v="1"/>
    <s v="No"/>
    <x v="0"/>
    <s v="Yes"/>
    <n v="0"/>
    <x v="3"/>
    <s v="Quarterly"/>
    <n v="0.1"/>
    <n v="0"/>
    <n v="0"/>
    <s v="PayPal"/>
    <s v="Normal"/>
    <s v="Poor"/>
  </r>
  <r>
    <n v="4671"/>
    <n v="43"/>
    <x v="2"/>
    <x v="27"/>
    <x v="3"/>
    <n v="183.48"/>
    <x v="50"/>
    <x v="1"/>
    <s v="Black"/>
    <x v="2"/>
    <n v="1"/>
    <s v="Yes"/>
    <x v="3"/>
    <s v="Yes"/>
    <n v="0"/>
    <x v="5"/>
    <s v="Monthly"/>
    <n v="0.1"/>
    <n v="165.13200000000001"/>
    <n v="183.48"/>
    <s v="Debit Card"/>
    <s v="Normal"/>
    <s v="Poor"/>
  </r>
  <r>
    <n v="4672"/>
    <n v="53"/>
    <x v="2"/>
    <x v="26"/>
    <x v="0"/>
    <n v="620"/>
    <x v="52"/>
    <x v="3"/>
    <s v="Green"/>
    <x v="4"/>
    <n v="1"/>
    <s v="Yes"/>
    <x v="3"/>
    <s v="Yes"/>
    <n v="11"/>
    <x v="1"/>
    <s v="Monthly"/>
    <n v="0.1"/>
    <n v="558"/>
    <n v="620"/>
    <s v="Cash"/>
    <s v="Normal"/>
    <s v="Poor"/>
  </r>
  <r>
    <n v="4673"/>
    <n v="19"/>
    <x v="2"/>
    <x v="28"/>
    <x v="4"/>
    <n v="0"/>
    <x v="53"/>
    <x v="2"/>
    <s v="White"/>
    <x v="0"/>
    <n v="1"/>
    <s v="Yes"/>
    <x v="0"/>
    <s v="No"/>
    <n v="38"/>
    <x v="1"/>
    <s v="Quarterly"/>
    <n v="0.1"/>
    <n v="0"/>
    <n v="0"/>
    <s v="Cash"/>
    <s v="Normal"/>
    <s v="Poor"/>
  </r>
  <r>
    <n v="4674"/>
    <n v="21"/>
    <x v="1"/>
    <x v="26"/>
    <x v="4"/>
    <n v="310.29000000000002"/>
    <x v="52"/>
    <x v="2"/>
    <s v="White"/>
    <x v="1"/>
    <n v="1"/>
    <s v="No"/>
    <x v="0"/>
    <s v="Yes"/>
    <n v="4"/>
    <x v="5"/>
    <s v="Weekly"/>
    <n v="0.1"/>
    <n v="279.26100000000002"/>
    <n v="310.29000000000002"/>
    <s v="Debit Card"/>
    <s v="Normal"/>
    <s v="Poor"/>
  </r>
  <r>
    <n v="4675"/>
    <n v="70"/>
    <x v="1"/>
    <x v="25"/>
    <x v="0"/>
    <n v="0"/>
    <x v="14"/>
    <x v="3"/>
    <s v="Black"/>
    <x v="1"/>
    <n v="1"/>
    <s v="No"/>
    <x v="0"/>
    <s v="No"/>
    <n v="0"/>
    <x v="5"/>
    <s v="Monthly"/>
    <n v="0.1"/>
    <n v="0"/>
    <n v="0"/>
    <s v="Debit Card"/>
    <s v="Normal"/>
    <s v="Poor"/>
  </r>
  <r>
    <n v="4676"/>
    <n v="55"/>
    <x v="2"/>
    <x v="28"/>
    <x v="3"/>
    <n v="544.69000000000005"/>
    <x v="50"/>
    <x v="1"/>
    <s v="Black"/>
    <x v="4"/>
    <n v="2"/>
    <s v="Yes"/>
    <x v="3"/>
    <s v="Yes"/>
    <n v="0"/>
    <x v="1"/>
    <s v="Monthly"/>
    <n v="0.1"/>
    <n v="490.22100000000006"/>
    <n v="544.69000000000005"/>
    <s v="Cash"/>
    <s v="Normal"/>
    <s v="Poor"/>
  </r>
  <r>
    <n v="4677"/>
    <n v="41"/>
    <x v="1"/>
    <x v="26"/>
    <x v="3"/>
    <n v="0"/>
    <x v="51"/>
    <x v="0"/>
    <s v="White"/>
    <x v="4"/>
    <n v="1"/>
    <s v="No"/>
    <x v="3"/>
    <s v="No"/>
    <n v="9"/>
    <x v="2"/>
    <s v="Monthly"/>
    <n v="0.1"/>
    <n v="0"/>
    <n v="0"/>
    <s v="Credit Card"/>
    <s v="Normal"/>
    <s v="Poor"/>
  </r>
  <r>
    <n v="4678"/>
    <n v="70"/>
    <x v="1"/>
    <x v="25"/>
    <x v="0"/>
    <n v="1250.57"/>
    <x v="53"/>
    <x v="0"/>
    <s v="Red"/>
    <x v="2"/>
    <n v="1"/>
    <s v="No"/>
    <x v="0"/>
    <s v="Yes"/>
    <n v="0"/>
    <x v="1"/>
    <s v="Weekly"/>
    <n v="0.1"/>
    <n v="1125.5129999999999"/>
    <n v="1250.57"/>
    <s v="Cash"/>
    <s v="Normal"/>
    <s v="Poor"/>
  </r>
  <r>
    <n v="4679"/>
    <n v="31"/>
    <x v="0"/>
    <x v="29"/>
    <x v="4"/>
    <n v="0"/>
    <x v="51"/>
    <x v="2"/>
    <s v="Green"/>
    <x v="1"/>
    <n v="1"/>
    <s v="Yes"/>
    <x v="3"/>
    <s v="Yes"/>
    <n v="0"/>
    <x v="3"/>
    <s v="Monthly"/>
    <n v="0.1"/>
    <n v="0"/>
    <n v="0"/>
    <s v="PayPal"/>
    <s v="Normal"/>
    <s v="Poor"/>
  </r>
  <r>
    <n v="4680"/>
    <n v="25"/>
    <x v="1"/>
    <x v="5"/>
    <x v="0"/>
    <n v="560.62"/>
    <x v="50"/>
    <x v="3"/>
    <s v="Blue"/>
    <x v="0"/>
    <n v="1"/>
    <s v="No"/>
    <x v="0"/>
    <s v="No"/>
    <n v="0"/>
    <x v="1"/>
    <s v="Monthly"/>
    <n v="0.1"/>
    <n v="504.55799999999999"/>
    <n v="560.62"/>
    <s v="Cash"/>
    <s v="Normal"/>
    <s v="Poor"/>
  </r>
  <r>
    <n v="4681"/>
    <n v="53"/>
    <x v="1"/>
    <x v="9"/>
    <x v="0"/>
    <n v="1283.6600000000001"/>
    <x v="51"/>
    <x v="0"/>
    <s v="Blue"/>
    <x v="0"/>
    <n v="2"/>
    <s v="Yes"/>
    <x v="0"/>
    <s v="No"/>
    <n v="0"/>
    <x v="5"/>
    <s v="Quarterly"/>
    <n v="0.1"/>
    <n v="1155.2940000000001"/>
    <n v="1283.6600000000001"/>
    <s v="Debit Card"/>
    <s v="Normal"/>
    <s v="Poor"/>
  </r>
  <r>
    <n v="4682"/>
    <n v="56"/>
    <x v="0"/>
    <x v="25"/>
    <x v="3"/>
    <n v="320.91000000000003"/>
    <x v="50"/>
    <x v="2"/>
    <s v="Blue"/>
    <x v="4"/>
    <n v="1"/>
    <s v="Yes"/>
    <x v="3"/>
    <s v="Yes"/>
    <n v="0"/>
    <x v="3"/>
    <s v="Monthly"/>
    <n v="0.1"/>
    <n v="288.81900000000002"/>
    <n v="320.91000000000003"/>
    <s v="PayPal"/>
    <s v="Normal"/>
    <s v="Poor"/>
  </r>
  <r>
    <n v="4683"/>
    <n v="46"/>
    <x v="1"/>
    <x v="29"/>
    <x v="0"/>
    <n v="0"/>
    <x v="51"/>
    <x v="2"/>
    <s v="Green"/>
    <x v="1"/>
    <n v="1"/>
    <s v="No"/>
    <x v="3"/>
    <s v="Yes"/>
    <n v="0"/>
    <x v="5"/>
    <s v="Weekly"/>
    <n v="0.1"/>
    <n v="0"/>
    <n v="0"/>
    <s v="Debit Card"/>
    <s v="Normal"/>
    <s v="Poor"/>
  </r>
  <r>
    <n v="4684"/>
    <n v="59"/>
    <x v="0"/>
    <x v="29"/>
    <x v="3"/>
    <n v="0"/>
    <x v="14"/>
    <x v="1"/>
    <s v="Green"/>
    <x v="4"/>
    <n v="3"/>
    <s v="Yes"/>
    <x v="0"/>
    <s v="No"/>
    <n v="28"/>
    <x v="3"/>
    <s v="Monthly"/>
    <n v="0.1"/>
    <n v="0"/>
    <n v="0"/>
    <s v="PayPal"/>
    <s v="Normal"/>
    <s v="Good"/>
  </r>
  <r>
    <n v="4685"/>
    <n v="68"/>
    <x v="2"/>
    <x v="26"/>
    <x v="0"/>
    <n v="1032.0899999999999"/>
    <x v="50"/>
    <x v="0"/>
    <s v="Black"/>
    <x v="2"/>
    <n v="1"/>
    <s v="No"/>
    <x v="0"/>
    <s v="No"/>
    <n v="0"/>
    <x v="3"/>
    <s v="Monthly"/>
    <n v="0.1"/>
    <n v="928.88099999999986"/>
    <n v="1032.0899999999999"/>
    <s v="PayPal"/>
    <s v="Normal"/>
    <s v="Poor"/>
  </r>
  <r>
    <n v="4686"/>
    <n v="53"/>
    <x v="2"/>
    <x v="26"/>
    <x v="0"/>
    <n v="379.38"/>
    <x v="53"/>
    <x v="2"/>
    <s v="White"/>
    <x v="0"/>
    <n v="3"/>
    <s v="Yes"/>
    <x v="3"/>
    <s v="Yes"/>
    <n v="0"/>
    <x v="5"/>
    <s v="Monthly"/>
    <n v="0.1"/>
    <n v="341.44200000000001"/>
    <n v="379.38"/>
    <s v="Debit Card"/>
    <s v="Normal"/>
    <s v="Good"/>
  </r>
  <r>
    <n v="4687"/>
    <n v="44"/>
    <x v="2"/>
    <x v="9"/>
    <x v="4"/>
    <n v="0"/>
    <x v="52"/>
    <x v="2"/>
    <s v="Blue"/>
    <x v="4"/>
    <n v="1"/>
    <s v="Yes"/>
    <x v="0"/>
    <s v="No"/>
    <n v="9"/>
    <x v="5"/>
    <s v="Monthly"/>
    <n v="0.1"/>
    <n v="0"/>
    <n v="0"/>
    <s v="Debit Card"/>
    <s v="Normal"/>
    <s v="Poor"/>
  </r>
  <r>
    <n v="4688"/>
    <n v="61"/>
    <x v="1"/>
    <x v="25"/>
    <x v="4"/>
    <n v="0"/>
    <x v="53"/>
    <x v="2"/>
    <s v="Black"/>
    <x v="0"/>
    <n v="4"/>
    <s v="No"/>
    <x v="3"/>
    <s v="No"/>
    <n v="40"/>
    <x v="2"/>
    <s v="Monthly"/>
    <n v="0.1"/>
    <n v="0"/>
    <n v="0"/>
    <s v="Credit Card"/>
    <s v="Normal"/>
    <s v="Good"/>
  </r>
  <r>
    <n v="4689"/>
    <n v="69"/>
    <x v="0"/>
    <x v="28"/>
    <x v="0"/>
    <n v="982.87"/>
    <x v="53"/>
    <x v="3"/>
    <s v="Red"/>
    <x v="1"/>
    <n v="4"/>
    <s v="No"/>
    <x v="3"/>
    <s v="No"/>
    <n v="24"/>
    <x v="3"/>
    <s v="Monthly"/>
    <n v="0.1"/>
    <n v="884.58299999999997"/>
    <n v="982.87"/>
    <s v="PayPal"/>
    <s v="Normal"/>
    <s v="Good"/>
  </r>
  <r>
    <n v="4690"/>
    <n v="22"/>
    <x v="1"/>
    <x v="27"/>
    <x v="3"/>
    <n v="1122.0999999999999"/>
    <x v="53"/>
    <x v="0"/>
    <s v="Black"/>
    <x v="2"/>
    <n v="1"/>
    <s v="No"/>
    <x v="3"/>
    <s v="No"/>
    <n v="1"/>
    <x v="5"/>
    <s v="Quarterly"/>
    <n v="0.1"/>
    <n v="1009.8899999999999"/>
    <n v="1122.0999999999999"/>
    <s v="Debit Card"/>
    <s v="Normal"/>
    <s v="Poor"/>
  </r>
  <r>
    <n v="4691"/>
    <n v="69"/>
    <x v="1"/>
    <x v="9"/>
    <x v="3"/>
    <n v="757.7"/>
    <x v="50"/>
    <x v="1"/>
    <s v="Black"/>
    <x v="0"/>
    <n v="4"/>
    <s v="No"/>
    <x v="3"/>
    <s v="No"/>
    <n v="35"/>
    <x v="1"/>
    <s v="Quarterly"/>
    <n v="0.1"/>
    <n v="681.93000000000006"/>
    <n v="757.7"/>
    <s v="Cash"/>
    <s v="Normal"/>
    <s v="Good"/>
  </r>
  <r>
    <n v="4692"/>
    <n v="57"/>
    <x v="2"/>
    <x v="29"/>
    <x v="4"/>
    <n v="0"/>
    <x v="53"/>
    <x v="2"/>
    <s v="White"/>
    <x v="2"/>
    <n v="5"/>
    <s v="Yes"/>
    <x v="0"/>
    <s v="No"/>
    <n v="18"/>
    <x v="5"/>
    <s v="Weekly"/>
    <n v="0.1"/>
    <n v="0"/>
    <n v="0"/>
    <s v="Debit Card"/>
    <s v="Normal"/>
    <s v="Good"/>
  </r>
  <r>
    <n v="4693"/>
    <n v="60"/>
    <x v="0"/>
    <x v="26"/>
    <x v="4"/>
    <n v="915.2"/>
    <x v="52"/>
    <x v="2"/>
    <s v="Green"/>
    <x v="0"/>
    <n v="1"/>
    <s v="Yes"/>
    <x v="3"/>
    <s v="No"/>
    <n v="0"/>
    <x v="3"/>
    <s v="Monthly"/>
    <n v="0.1"/>
    <n v="823.68000000000006"/>
    <n v="915.2"/>
    <s v="PayPal"/>
    <s v="Normal"/>
    <s v="Poor"/>
  </r>
  <r>
    <n v="4694"/>
    <n v="38"/>
    <x v="0"/>
    <x v="9"/>
    <x v="4"/>
    <n v="0"/>
    <x v="52"/>
    <x v="2"/>
    <s v="Blue"/>
    <x v="1"/>
    <n v="1"/>
    <s v="No"/>
    <x v="3"/>
    <s v="Yes"/>
    <n v="35"/>
    <x v="5"/>
    <s v="Weekly"/>
    <n v="0.1"/>
    <n v="0"/>
    <n v="0"/>
    <s v="Debit Card"/>
    <s v="Normal"/>
    <s v="Poor"/>
  </r>
  <r>
    <n v="4695"/>
    <n v="61"/>
    <x v="2"/>
    <x v="9"/>
    <x v="3"/>
    <n v="0"/>
    <x v="14"/>
    <x v="1"/>
    <s v="Red"/>
    <x v="2"/>
    <n v="1"/>
    <s v="No"/>
    <x v="0"/>
    <s v="Yes"/>
    <n v="45"/>
    <x v="3"/>
    <s v="Weekly"/>
    <n v="0.1"/>
    <n v="0"/>
    <n v="0"/>
    <s v="PayPal"/>
    <s v="Normal"/>
    <s v="Poor"/>
  </r>
  <r>
    <n v="4696"/>
    <n v="60"/>
    <x v="1"/>
    <x v="5"/>
    <x v="3"/>
    <n v="0"/>
    <x v="14"/>
    <x v="2"/>
    <s v="Blue"/>
    <x v="2"/>
    <n v="1"/>
    <s v="No"/>
    <x v="0"/>
    <s v="No"/>
    <n v="0"/>
    <x v="3"/>
    <s v="Monthly"/>
    <n v="0.1"/>
    <n v="0"/>
    <n v="0"/>
    <s v="PayPal"/>
    <s v="Normal"/>
    <s v="Poor"/>
  </r>
  <r>
    <n v="4697"/>
    <n v="46"/>
    <x v="1"/>
    <x v="27"/>
    <x v="4"/>
    <n v="0"/>
    <x v="50"/>
    <x v="2"/>
    <s v="White"/>
    <x v="0"/>
    <n v="1"/>
    <s v="No"/>
    <x v="3"/>
    <s v="No"/>
    <n v="0"/>
    <x v="2"/>
    <s v="Weekly"/>
    <n v="0.1"/>
    <n v="0"/>
    <n v="0"/>
    <s v="Credit Card"/>
    <s v="Normal"/>
    <s v="Poor"/>
  </r>
  <r>
    <n v="4698"/>
    <n v="42"/>
    <x v="2"/>
    <x v="27"/>
    <x v="4"/>
    <n v="643"/>
    <x v="14"/>
    <x v="2"/>
    <s v="White"/>
    <x v="4"/>
    <n v="2"/>
    <s v="Yes"/>
    <x v="0"/>
    <s v="Yes"/>
    <n v="0"/>
    <x v="3"/>
    <s v="Weekly"/>
    <n v="0.1"/>
    <n v="578.70000000000005"/>
    <n v="643"/>
    <s v="PayPal"/>
    <s v="Normal"/>
    <s v="Poor"/>
  </r>
  <r>
    <n v="4699"/>
    <n v="45"/>
    <x v="1"/>
    <x v="9"/>
    <x v="0"/>
    <n v="0"/>
    <x v="52"/>
    <x v="0"/>
    <s v="Blue"/>
    <x v="1"/>
    <n v="1"/>
    <s v="No"/>
    <x v="3"/>
    <s v="No"/>
    <n v="0"/>
    <x v="5"/>
    <s v="Weekly"/>
    <n v="0.1"/>
    <n v="0"/>
    <n v="0"/>
    <s v="Debit Card"/>
    <s v="Normal"/>
    <s v="Poor"/>
  </r>
  <r>
    <n v="4700"/>
    <n v="61"/>
    <x v="2"/>
    <x v="9"/>
    <x v="0"/>
    <n v="1282.1199999999999"/>
    <x v="52"/>
    <x v="2"/>
    <s v="Black"/>
    <x v="4"/>
    <n v="1"/>
    <s v="No"/>
    <x v="3"/>
    <s v="Yes"/>
    <n v="0"/>
    <x v="5"/>
    <s v="Quarterly"/>
    <n v="0.1"/>
    <n v="1153.9079999999999"/>
    <n v="1282.1199999999999"/>
    <s v="Debit Card"/>
    <s v="Normal"/>
    <s v="Poor"/>
  </r>
  <r>
    <n v="4701"/>
    <n v="55"/>
    <x v="0"/>
    <x v="9"/>
    <x v="0"/>
    <n v="0"/>
    <x v="53"/>
    <x v="3"/>
    <s v="Green"/>
    <x v="4"/>
    <n v="1"/>
    <s v="Yes"/>
    <x v="3"/>
    <s v="No"/>
    <n v="45"/>
    <x v="2"/>
    <s v="Monthly"/>
    <n v="0.1"/>
    <n v="0"/>
    <n v="0"/>
    <s v="Credit Card"/>
    <s v="Normal"/>
    <s v="Poor"/>
  </r>
  <r>
    <n v="4702"/>
    <n v="26"/>
    <x v="1"/>
    <x v="9"/>
    <x v="0"/>
    <n v="0"/>
    <x v="53"/>
    <x v="0"/>
    <s v="Black"/>
    <x v="1"/>
    <n v="5"/>
    <s v="Yes"/>
    <x v="0"/>
    <s v="No"/>
    <n v="30"/>
    <x v="3"/>
    <s v="Monthly"/>
    <n v="0.1"/>
    <n v="0"/>
    <n v="0"/>
    <s v="PayPal"/>
    <s v="Normal"/>
    <s v="Good"/>
  </r>
  <r>
    <n v="4703"/>
    <n v="21"/>
    <x v="2"/>
    <x v="25"/>
    <x v="4"/>
    <n v="784.8"/>
    <x v="51"/>
    <x v="2"/>
    <s v="White"/>
    <x v="0"/>
    <n v="1"/>
    <s v="No"/>
    <x v="3"/>
    <s v="Yes"/>
    <n v="0"/>
    <x v="5"/>
    <s v="Quarterly"/>
    <n v="0.1"/>
    <n v="706.31999999999994"/>
    <n v="784.8"/>
    <s v="Debit Card"/>
    <s v="Normal"/>
    <s v="Poor"/>
  </r>
  <r>
    <n v="4704"/>
    <n v="39"/>
    <x v="1"/>
    <x v="9"/>
    <x v="0"/>
    <n v="0"/>
    <x v="50"/>
    <x v="1"/>
    <s v="Black"/>
    <x v="2"/>
    <n v="1"/>
    <s v="Yes"/>
    <x v="3"/>
    <s v="Yes"/>
    <n v="0"/>
    <x v="1"/>
    <s v="Monthly"/>
    <n v="0.1"/>
    <n v="0"/>
    <n v="0"/>
    <s v="Cash"/>
    <s v="Normal"/>
    <s v="Poor"/>
  </r>
  <r>
    <n v="4705"/>
    <n v="28"/>
    <x v="2"/>
    <x v="29"/>
    <x v="0"/>
    <n v="629.99"/>
    <x v="51"/>
    <x v="1"/>
    <s v="White"/>
    <x v="0"/>
    <n v="1"/>
    <s v="No"/>
    <x v="0"/>
    <s v="Yes"/>
    <n v="5"/>
    <x v="2"/>
    <s v="Monthly"/>
    <n v="0.1"/>
    <n v="566.99099999999999"/>
    <n v="629.99"/>
    <s v="Credit Card"/>
    <s v="Normal"/>
    <s v="Poor"/>
  </r>
  <r>
    <n v="4706"/>
    <n v="52"/>
    <x v="0"/>
    <x v="27"/>
    <x v="3"/>
    <n v="0"/>
    <x v="53"/>
    <x v="0"/>
    <s v="White"/>
    <x v="4"/>
    <n v="4"/>
    <s v="No"/>
    <x v="0"/>
    <s v="Yes"/>
    <n v="0"/>
    <x v="5"/>
    <s v="Monthly"/>
    <n v="0.1"/>
    <n v="0"/>
    <n v="0"/>
    <s v="Debit Card"/>
    <s v="Normal"/>
    <s v="Good"/>
  </r>
  <r>
    <n v="4707"/>
    <n v="65"/>
    <x v="2"/>
    <x v="25"/>
    <x v="0"/>
    <n v="0"/>
    <x v="52"/>
    <x v="1"/>
    <s v="Black"/>
    <x v="2"/>
    <n v="2"/>
    <s v="Yes"/>
    <x v="0"/>
    <s v="No"/>
    <n v="0"/>
    <x v="1"/>
    <s v="Weekly"/>
    <n v="0.1"/>
    <n v="0"/>
    <n v="0"/>
    <s v="Cash"/>
    <s v="Normal"/>
    <s v="Poor"/>
  </r>
  <r>
    <n v="4708"/>
    <n v="33"/>
    <x v="1"/>
    <x v="28"/>
    <x v="4"/>
    <n v="0"/>
    <x v="14"/>
    <x v="2"/>
    <s v="Green"/>
    <x v="0"/>
    <n v="4"/>
    <s v="Yes"/>
    <x v="3"/>
    <s v="Yes"/>
    <n v="31"/>
    <x v="5"/>
    <s v="Quarterly"/>
    <n v="0.1"/>
    <n v="0"/>
    <n v="0"/>
    <s v="Debit Card"/>
    <s v="Normal"/>
    <s v="Good"/>
  </r>
  <r>
    <n v="4709"/>
    <n v="63"/>
    <x v="1"/>
    <x v="5"/>
    <x v="0"/>
    <n v="0"/>
    <x v="50"/>
    <x v="3"/>
    <s v="Green"/>
    <x v="2"/>
    <n v="2"/>
    <s v="Yes"/>
    <x v="3"/>
    <s v="Yes"/>
    <n v="0"/>
    <x v="2"/>
    <s v="Monthly"/>
    <n v="0.1"/>
    <n v="0"/>
    <n v="0"/>
    <s v="Credit Card"/>
    <s v="Normal"/>
    <s v="Poor"/>
  </r>
  <r>
    <n v="4710"/>
    <n v="39"/>
    <x v="2"/>
    <x v="29"/>
    <x v="3"/>
    <n v="1298.6600000000001"/>
    <x v="50"/>
    <x v="0"/>
    <s v="Black"/>
    <x v="4"/>
    <n v="4"/>
    <s v="Yes"/>
    <x v="3"/>
    <s v="No"/>
    <n v="19"/>
    <x v="5"/>
    <s v="Monthly"/>
    <n v="0.1"/>
    <n v="1168.7940000000001"/>
    <n v="1298.6600000000001"/>
    <s v="Debit Card"/>
    <s v="Best Customer"/>
    <s v="Good"/>
  </r>
  <r>
    <n v="4711"/>
    <n v="63"/>
    <x v="0"/>
    <x v="25"/>
    <x v="0"/>
    <n v="722.83"/>
    <x v="53"/>
    <x v="2"/>
    <s v="Black"/>
    <x v="0"/>
    <n v="1"/>
    <s v="No"/>
    <x v="3"/>
    <s v="Yes"/>
    <n v="0"/>
    <x v="3"/>
    <s v="Quarterly"/>
    <n v="0.1"/>
    <n v="650.54700000000003"/>
    <n v="722.83"/>
    <s v="PayPal"/>
    <s v="Normal"/>
    <s v="Poor"/>
  </r>
  <r>
    <n v="4712"/>
    <n v="60"/>
    <x v="0"/>
    <x v="29"/>
    <x v="0"/>
    <n v="95.15"/>
    <x v="52"/>
    <x v="1"/>
    <s v="Red"/>
    <x v="2"/>
    <n v="1"/>
    <s v="No"/>
    <x v="3"/>
    <s v="No"/>
    <n v="16"/>
    <x v="1"/>
    <s v="Monthly"/>
    <n v="0.1"/>
    <n v="85.635000000000005"/>
    <n v="95.15"/>
    <s v="Cash"/>
    <s v="Normal"/>
    <s v="Poor"/>
  </r>
  <r>
    <n v="4713"/>
    <n v="23"/>
    <x v="0"/>
    <x v="27"/>
    <x v="0"/>
    <n v="0"/>
    <x v="51"/>
    <x v="3"/>
    <s v="Green"/>
    <x v="0"/>
    <n v="1"/>
    <s v="No"/>
    <x v="3"/>
    <s v="Yes"/>
    <n v="24"/>
    <x v="5"/>
    <s v="Weekly"/>
    <n v="0.1"/>
    <n v="0"/>
    <n v="0"/>
    <s v="Debit Card"/>
    <s v="Normal"/>
    <s v="Poor"/>
  </r>
  <r>
    <n v="4714"/>
    <n v="55"/>
    <x v="1"/>
    <x v="26"/>
    <x v="4"/>
    <n v="0"/>
    <x v="53"/>
    <x v="2"/>
    <s v="Black"/>
    <x v="4"/>
    <n v="1"/>
    <s v="No"/>
    <x v="0"/>
    <s v="No"/>
    <n v="0"/>
    <x v="2"/>
    <s v="Monthly"/>
    <n v="0.1"/>
    <n v="0"/>
    <n v="0"/>
    <s v="Credit Card"/>
    <s v="Normal"/>
    <s v="Poor"/>
  </r>
  <r>
    <n v="4715"/>
    <n v="53"/>
    <x v="1"/>
    <x v="26"/>
    <x v="3"/>
    <n v="0"/>
    <x v="50"/>
    <x v="1"/>
    <s v="White"/>
    <x v="0"/>
    <n v="3"/>
    <s v="Yes"/>
    <x v="0"/>
    <s v="Yes"/>
    <n v="0"/>
    <x v="5"/>
    <s v="Quarterly"/>
    <n v="0.1"/>
    <n v="0"/>
    <n v="0"/>
    <s v="Debit Card"/>
    <s v="Normal"/>
    <s v="Good"/>
  </r>
  <r>
    <n v="4716"/>
    <n v="70"/>
    <x v="2"/>
    <x v="5"/>
    <x v="0"/>
    <n v="1352.6"/>
    <x v="14"/>
    <x v="2"/>
    <s v="Black"/>
    <x v="4"/>
    <n v="4"/>
    <s v="No"/>
    <x v="0"/>
    <s v="Yes"/>
    <n v="0"/>
    <x v="5"/>
    <s v="Weekly"/>
    <n v="0.1"/>
    <n v="1217.3399999999999"/>
    <n v="1352.6"/>
    <s v="Debit Card"/>
    <s v="Best Customer"/>
    <s v="Good"/>
  </r>
  <r>
    <n v="4717"/>
    <n v="38"/>
    <x v="1"/>
    <x v="5"/>
    <x v="4"/>
    <n v="0"/>
    <x v="14"/>
    <x v="2"/>
    <s v="Black"/>
    <x v="4"/>
    <n v="4"/>
    <s v="Yes"/>
    <x v="3"/>
    <s v="Yes"/>
    <n v="0"/>
    <x v="1"/>
    <s v="Quarterly"/>
    <n v="0.1"/>
    <n v="0"/>
    <n v="0"/>
    <s v="Cash"/>
    <s v="Normal"/>
    <s v="Good"/>
  </r>
  <r>
    <n v="4718"/>
    <n v="30"/>
    <x v="2"/>
    <x v="26"/>
    <x v="0"/>
    <n v="0"/>
    <x v="51"/>
    <x v="1"/>
    <s v="Blue"/>
    <x v="0"/>
    <n v="1"/>
    <s v="No"/>
    <x v="0"/>
    <s v="No"/>
    <n v="0"/>
    <x v="1"/>
    <s v="Weekly"/>
    <n v="0.1"/>
    <n v="0"/>
    <n v="0"/>
    <s v="Cash"/>
    <s v="Normal"/>
    <s v="Poor"/>
  </r>
  <r>
    <n v="4719"/>
    <n v="54"/>
    <x v="1"/>
    <x v="28"/>
    <x v="4"/>
    <n v="1144.77"/>
    <x v="14"/>
    <x v="2"/>
    <s v="Green"/>
    <x v="2"/>
    <n v="1"/>
    <s v="Yes"/>
    <x v="0"/>
    <s v="No"/>
    <n v="9"/>
    <x v="2"/>
    <s v="Weekly"/>
    <n v="0.1"/>
    <n v="1030.2929999999999"/>
    <n v="1144.77"/>
    <s v="Credit Card"/>
    <s v="Normal"/>
    <s v="Poor"/>
  </r>
  <r>
    <n v="4720"/>
    <n v="69"/>
    <x v="0"/>
    <x v="28"/>
    <x v="0"/>
    <n v="611.08000000000004"/>
    <x v="14"/>
    <x v="3"/>
    <s v="Black"/>
    <x v="2"/>
    <n v="1"/>
    <s v="No"/>
    <x v="3"/>
    <s v="No"/>
    <n v="46"/>
    <x v="3"/>
    <s v="Weekly"/>
    <n v="0.1"/>
    <n v="549.97199999999998"/>
    <n v="611.08000000000004"/>
    <s v="PayPal"/>
    <s v="Normal"/>
    <s v="Poor"/>
  </r>
  <r>
    <n v="4721"/>
    <n v="54"/>
    <x v="0"/>
    <x v="26"/>
    <x v="4"/>
    <n v="726.15"/>
    <x v="52"/>
    <x v="2"/>
    <s v="Green"/>
    <x v="2"/>
    <n v="1"/>
    <s v="Yes"/>
    <x v="0"/>
    <s v="Yes"/>
    <n v="0"/>
    <x v="1"/>
    <s v="Quarterly"/>
    <n v="0.1"/>
    <n v="653.53499999999997"/>
    <n v="726.15"/>
    <s v="Cash"/>
    <s v="Normal"/>
    <s v="Poor"/>
  </r>
  <r>
    <n v="4722"/>
    <n v="47"/>
    <x v="1"/>
    <x v="9"/>
    <x v="0"/>
    <n v="1151.72"/>
    <x v="51"/>
    <x v="3"/>
    <s v="Blue"/>
    <x v="4"/>
    <n v="2"/>
    <s v="No"/>
    <x v="0"/>
    <s v="Yes"/>
    <n v="0"/>
    <x v="2"/>
    <s v="Monthly"/>
    <n v="0.1"/>
    <n v="1036.548"/>
    <n v="1151.72"/>
    <s v="Credit Card"/>
    <s v="Normal"/>
    <s v="Poor"/>
  </r>
  <r>
    <n v="4723"/>
    <n v="70"/>
    <x v="1"/>
    <x v="29"/>
    <x v="3"/>
    <n v="1135.07"/>
    <x v="50"/>
    <x v="2"/>
    <s v="Black"/>
    <x v="1"/>
    <n v="1"/>
    <s v="Yes"/>
    <x v="0"/>
    <s v="Yes"/>
    <n v="45"/>
    <x v="3"/>
    <s v="Monthly"/>
    <n v="0.1"/>
    <n v="1021.5629999999999"/>
    <n v="1135.07"/>
    <s v="PayPal"/>
    <s v="Normal"/>
    <s v="Poor"/>
  </r>
  <r>
    <n v="4724"/>
    <n v="59"/>
    <x v="1"/>
    <x v="26"/>
    <x v="0"/>
    <n v="640.27"/>
    <x v="50"/>
    <x v="1"/>
    <s v="Blue"/>
    <x v="0"/>
    <n v="1"/>
    <s v="Yes"/>
    <x v="3"/>
    <s v="No"/>
    <n v="0"/>
    <x v="3"/>
    <s v="Weekly"/>
    <n v="0.1"/>
    <n v="576.24299999999994"/>
    <n v="640.27"/>
    <s v="PayPal"/>
    <s v="Normal"/>
    <s v="Poor"/>
  </r>
  <r>
    <n v="4725"/>
    <n v="59"/>
    <x v="2"/>
    <x v="5"/>
    <x v="4"/>
    <n v="175.4"/>
    <x v="50"/>
    <x v="2"/>
    <s v="White"/>
    <x v="1"/>
    <n v="1"/>
    <s v="Yes"/>
    <x v="3"/>
    <s v="Yes"/>
    <n v="47"/>
    <x v="1"/>
    <s v="Quarterly"/>
    <n v="0.1"/>
    <n v="157.86000000000001"/>
    <n v="175.4"/>
    <s v="Cash"/>
    <s v="Normal"/>
    <s v="Poor"/>
  </r>
  <r>
    <n v="4726"/>
    <n v="65"/>
    <x v="2"/>
    <x v="29"/>
    <x v="4"/>
    <n v="0"/>
    <x v="51"/>
    <x v="2"/>
    <s v="White"/>
    <x v="4"/>
    <n v="1"/>
    <s v="Yes"/>
    <x v="0"/>
    <s v="Yes"/>
    <n v="35"/>
    <x v="2"/>
    <s v="Weekly"/>
    <n v="0.1"/>
    <n v="0"/>
    <n v="0"/>
    <s v="Credit Card"/>
    <s v="Normal"/>
    <s v="Poor"/>
  </r>
  <r>
    <n v="4727"/>
    <n v="28"/>
    <x v="2"/>
    <x v="5"/>
    <x v="4"/>
    <n v="1108.8800000000001"/>
    <x v="14"/>
    <x v="2"/>
    <s v="White"/>
    <x v="0"/>
    <n v="4"/>
    <s v="Yes"/>
    <x v="3"/>
    <s v="No"/>
    <n v="9"/>
    <x v="2"/>
    <s v="Weekly"/>
    <n v="0.1"/>
    <n v="997.99200000000008"/>
    <n v="1108.8800000000001"/>
    <s v="Credit Card"/>
    <s v="Best Customer"/>
    <s v="Good"/>
  </r>
  <r>
    <n v="4728"/>
    <n v="27"/>
    <x v="2"/>
    <x v="26"/>
    <x v="4"/>
    <n v="0"/>
    <x v="50"/>
    <x v="2"/>
    <s v="Black"/>
    <x v="4"/>
    <n v="4"/>
    <s v="No"/>
    <x v="0"/>
    <s v="Yes"/>
    <n v="0"/>
    <x v="3"/>
    <s v="Monthly"/>
    <n v="0.1"/>
    <n v="0"/>
    <n v="0"/>
    <s v="PayPal"/>
    <s v="Normal"/>
    <s v="Good"/>
  </r>
  <r>
    <n v="4729"/>
    <n v="53"/>
    <x v="2"/>
    <x v="29"/>
    <x v="0"/>
    <n v="0"/>
    <x v="53"/>
    <x v="2"/>
    <s v="Blue"/>
    <x v="1"/>
    <n v="4"/>
    <s v="No"/>
    <x v="3"/>
    <s v="No"/>
    <n v="0"/>
    <x v="1"/>
    <s v="Monthly"/>
    <n v="0.1"/>
    <n v="0"/>
    <n v="0"/>
    <s v="Cash"/>
    <s v="Normal"/>
    <s v="Good"/>
  </r>
  <r>
    <n v="4730"/>
    <n v="70"/>
    <x v="0"/>
    <x v="27"/>
    <x v="4"/>
    <n v="0"/>
    <x v="52"/>
    <x v="2"/>
    <s v="Green"/>
    <x v="0"/>
    <n v="1"/>
    <s v="Yes"/>
    <x v="0"/>
    <s v="No"/>
    <n v="0"/>
    <x v="1"/>
    <s v="Quarterly"/>
    <n v="0.1"/>
    <n v="0"/>
    <n v="0"/>
    <s v="Cash"/>
    <s v="Normal"/>
    <s v="Poor"/>
  </r>
  <r>
    <n v="4731"/>
    <n v="35"/>
    <x v="0"/>
    <x v="27"/>
    <x v="0"/>
    <n v="0"/>
    <x v="14"/>
    <x v="3"/>
    <s v="White"/>
    <x v="0"/>
    <n v="4"/>
    <s v="No"/>
    <x v="3"/>
    <s v="No"/>
    <n v="47"/>
    <x v="3"/>
    <s v="Weekly"/>
    <n v="0.1"/>
    <n v="0"/>
    <n v="0"/>
    <s v="PayPal"/>
    <s v="Normal"/>
    <s v="Good"/>
  </r>
  <r>
    <n v="4732"/>
    <n v="29"/>
    <x v="2"/>
    <x v="9"/>
    <x v="3"/>
    <n v="952.63"/>
    <x v="50"/>
    <x v="1"/>
    <s v="Blue"/>
    <x v="0"/>
    <n v="4"/>
    <s v="Yes"/>
    <x v="0"/>
    <s v="Yes"/>
    <n v="12"/>
    <x v="3"/>
    <s v="Weekly"/>
    <n v="0.1"/>
    <n v="857.36699999999996"/>
    <n v="952.63"/>
    <s v="PayPal"/>
    <s v="Normal"/>
    <s v="Good"/>
  </r>
  <r>
    <n v="4733"/>
    <n v="26"/>
    <x v="1"/>
    <x v="9"/>
    <x v="0"/>
    <n v="0"/>
    <x v="14"/>
    <x v="3"/>
    <s v="Red"/>
    <x v="1"/>
    <n v="1"/>
    <s v="No"/>
    <x v="3"/>
    <s v="No"/>
    <n v="29"/>
    <x v="2"/>
    <s v="Monthly"/>
    <n v="0.1"/>
    <n v="0"/>
    <n v="0"/>
    <s v="Credit Card"/>
    <s v="Normal"/>
    <s v="Poor"/>
  </r>
  <r>
    <n v="4734"/>
    <n v="52"/>
    <x v="1"/>
    <x v="25"/>
    <x v="4"/>
    <n v="582.79"/>
    <x v="50"/>
    <x v="2"/>
    <s v="Black"/>
    <x v="4"/>
    <n v="1"/>
    <s v="Yes"/>
    <x v="0"/>
    <s v="No"/>
    <n v="0"/>
    <x v="1"/>
    <s v="Weekly"/>
    <n v="0.1"/>
    <n v="524.51099999999997"/>
    <n v="582.79"/>
    <s v="Cash"/>
    <s v="Normal"/>
    <s v="Poor"/>
  </r>
  <r>
    <n v="4735"/>
    <n v="56"/>
    <x v="2"/>
    <x v="26"/>
    <x v="3"/>
    <n v="0"/>
    <x v="53"/>
    <x v="2"/>
    <s v="Blue"/>
    <x v="2"/>
    <n v="4"/>
    <s v="Yes"/>
    <x v="3"/>
    <s v="No"/>
    <n v="31"/>
    <x v="5"/>
    <s v="Weekly"/>
    <n v="0.1"/>
    <n v="0"/>
    <n v="0"/>
    <s v="Debit Card"/>
    <s v="Normal"/>
    <s v="Good"/>
  </r>
  <r>
    <n v="4736"/>
    <n v="46"/>
    <x v="2"/>
    <x v="5"/>
    <x v="4"/>
    <n v="1163.75"/>
    <x v="50"/>
    <x v="2"/>
    <s v="Red"/>
    <x v="4"/>
    <n v="1"/>
    <s v="Yes"/>
    <x v="0"/>
    <s v="Yes"/>
    <n v="0"/>
    <x v="2"/>
    <s v="Monthly"/>
    <n v="0.1"/>
    <n v="1047.375"/>
    <n v="1163.75"/>
    <s v="Credit Card"/>
    <s v="Normal"/>
    <s v="Poor"/>
  </r>
  <r>
    <n v="4737"/>
    <n v="61"/>
    <x v="2"/>
    <x v="28"/>
    <x v="0"/>
    <n v="0"/>
    <x v="14"/>
    <x v="3"/>
    <s v="Red"/>
    <x v="0"/>
    <n v="5"/>
    <s v="Yes"/>
    <x v="3"/>
    <s v="Yes"/>
    <n v="33"/>
    <x v="5"/>
    <s v="Quarterly"/>
    <n v="0.1"/>
    <n v="0"/>
    <n v="0"/>
    <s v="Debit Card"/>
    <s v="Normal"/>
    <s v="Good"/>
  </r>
  <r>
    <n v="4738"/>
    <n v="57"/>
    <x v="0"/>
    <x v="29"/>
    <x v="0"/>
    <n v="0"/>
    <x v="14"/>
    <x v="3"/>
    <s v="Black"/>
    <x v="1"/>
    <n v="1"/>
    <s v="No"/>
    <x v="3"/>
    <s v="No"/>
    <n v="0"/>
    <x v="1"/>
    <s v="Quarterly"/>
    <n v="0.1"/>
    <n v="0"/>
    <n v="0"/>
    <s v="Cash"/>
    <s v="Normal"/>
    <s v="Poor"/>
  </r>
  <r>
    <n v="4739"/>
    <n v="29"/>
    <x v="0"/>
    <x v="9"/>
    <x v="3"/>
    <n v="0"/>
    <x v="14"/>
    <x v="1"/>
    <s v="Green"/>
    <x v="4"/>
    <n v="1"/>
    <s v="Yes"/>
    <x v="3"/>
    <s v="No"/>
    <n v="9"/>
    <x v="1"/>
    <s v="Weekly"/>
    <n v="0.1"/>
    <n v="0"/>
    <n v="0"/>
    <s v="Cash"/>
    <s v="Normal"/>
    <s v="Poor"/>
  </r>
  <r>
    <n v="4740"/>
    <n v="31"/>
    <x v="1"/>
    <x v="27"/>
    <x v="4"/>
    <n v="944.84"/>
    <x v="50"/>
    <x v="2"/>
    <s v="Blue"/>
    <x v="0"/>
    <n v="1"/>
    <s v="Yes"/>
    <x v="3"/>
    <s v="Yes"/>
    <n v="0"/>
    <x v="5"/>
    <s v="Monthly"/>
    <n v="0.1"/>
    <n v="850.35599999999999"/>
    <n v="944.84"/>
    <s v="Debit Card"/>
    <s v="Normal"/>
    <s v="Poor"/>
  </r>
  <r>
    <n v="4741"/>
    <n v="23"/>
    <x v="0"/>
    <x v="26"/>
    <x v="0"/>
    <n v="0"/>
    <x v="53"/>
    <x v="2"/>
    <s v="White"/>
    <x v="1"/>
    <n v="1"/>
    <s v="No"/>
    <x v="3"/>
    <s v="Yes"/>
    <n v="0"/>
    <x v="2"/>
    <s v="Quarterly"/>
    <n v="0.1"/>
    <n v="0"/>
    <n v="0"/>
    <s v="Credit Card"/>
    <s v="Normal"/>
    <s v="Poor"/>
  </r>
  <r>
    <n v="4742"/>
    <n v="23"/>
    <x v="2"/>
    <x v="5"/>
    <x v="3"/>
    <n v="0"/>
    <x v="51"/>
    <x v="0"/>
    <s v="Red"/>
    <x v="0"/>
    <n v="5"/>
    <s v="Yes"/>
    <x v="0"/>
    <s v="Yes"/>
    <n v="45"/>
    <x v="2"/>
    <s v="Quarterly"/>
    <n v="0.1"/>
    <n v="0"/>
    <n v="0"/>
    <s v="Credit Card"/>
    <s v="Normal"/>
    <s v="Good"/>
  </r>
  <r>
    <n v="4743"/>
    <n v="65"/>
    <x v="1"/>
    <x v="29"/>
    <x v="0"/>
    <n v="772.94"/>
    <x v="14"/>
    <x v="3"/>
    <s v="Red"/>
    <x v="2"/>
    <n v="1"/>
    <s v="Yes"/>
    <x v="3"/>
    <s v="Yes"/>
    <n v="50"/>
    <x v="1"/>
    <s v="Monthly"/>
    <n v="0.1"/>
    <n v="695.64600000000007"/>
    <n v="772.94"/>
    <s v="Cash"/>
    <s v="Normal"/>
    <s v="Poor"/>
  </r>
  <r>
    <n v="4744"/>
    <n v="69"/>
    <x v="2"/>
    <x v="29"/>
    <x v="3"/>
    <n v="884.69"/>
    <x v="51"/>
    <x v="0"/>
    <s v="Red"/>
    <x v="2"/>
    <n v="1"/>
    <s v="No"/>
    <x v="3"/>
    <s v="No"/>
    <n v="24"/>
    <x v="3"/>
    <s v="Monthly"/>
    <n v="0.1"/>
    <n v="796.221"/>
    <n v="884.69"/>
    <s v="PayPal"/>
    <s v="Normal"/>
    <s v="Poor"/>
  </r>
  <r>
    <n v="4745"/>
    <n v="66"/>
    <x v="0"/>
    <x v="26"/>
    <x v="4"/>
    <n v="367.18"/>
    <x v="53"/>
    <x v="2"/>
    <s v="Blue"/>
    <x v="4"/>
    <n v="1"/>
    <s v="Yes"/>
    <x v="0"/>
    <s v="Yes"/>
    <n v="0"/>
    <x v="1"/>
    <s v="Weekly"/>
    <n v="0.1"/>
    <n v="330.46199999999999"/>
    <n v="367.18"/>
    <s v="Cash"/>
    <s v="Normal"/>
    <s v="Poor"/>
  </r>
  <r>
    <n v="4746"/>
    <n v="60"/>
    <x v="2"/>
    <x v="26"/>
    <x v="0"/>
    <n v="1223.07"/>
    <x v="14"/>
    <x v="3"/>
    <s v="White"/>
    <x v="1"/>
    <n v="5"/>
    <s v="No"/>
    <x v="0"/>
    <s v="Yes"/>
    <n v="0"/>
    <x v="2"/>
    <s v="Weekly"/>
    <n v="0.1"/>
    <n v="1100.7629999999999"/>
    <n v="1223.07"/>
    <s v="Credit Card"/>
    <s v="Best Customer"/>
    <s v="Good"/>
  </r>
  <r>
    <n v="4747"/>
    <n v="44"/>
    <x v="0"/>
    <x v="26"/>
    <x v="3"/>
    <n v="0"/>
    <x v="14"/>
    <x v="1"/>
    <s v="Green"/>
    <x v="0"/>
    <n v="1"/>
    <s v="No"/>
    <x v="0"/>
    <s v="No"/>
    <n v="0"/>
    <x v="1"/>
    <s v="Monthly"/>
    <n v="0.1"/>
    <n v="0"/>
    <n v="0"/>
    <s v="Cash"/>
    <s v="Normal"/>
    <s v="Poor"/>
  </r>
  <r>
    <n v="4748"/>
    <n v="26"/>
    <x v="0"/>
    <x v="26"/>
    <x v="4"/>
    <n v="571.08000000000004"/>
    <x v="53"/>
    <x v="2"/>
    <s v="Green"/>
    <x v="4"/>
    <n v="5"/>
    <s v="No"/>
    <x v="3"/>
    <s v="No"/>
    <n v="0"/>
    <x v="5"/>
    <s v="Quarterly"/>
    <n v="0.1"/>
    <n v="513.97199999999998"/>
    <n v="571.08000000000004"/>
    <s v="Debit Card"/>
    <s v="Normal"/>
    <s v="Good"/>
  </r>
  <r>
    <n v="4749"/>
    <n v="59"/>
    <x v="1"/>
    <x v="27"/>
    <x v="0"/>
    <n v="576.66"/>
    <x v="51"/>
    <x v="3"/>
    <s v="White"/>
    <x v="2"/>
    <n v="1"/>
    <s v="Yes"/>
    <x v="0"/>
    <s v="No"/>
    <n v="14"/>
    <x v="2"/>
    <s v="Weekly"/>
    <n v="0.1"/>
    <n v="518.99399999999991"/>
    <n v="576.66"/>
    <s v="Credit Card"/>
    <s v="Normal"/>
    <s v="Poor"/>
  </r>
  <r>
    <n v="4750"/>
    <n v="38"/>
    <x v="2"/>
    <x v="26"/>
    <x v="4"/>
    <n v="34.72"/>
    <x v="51"/>
    <x v="2"/>
    <s v="Green"/>
    <x v="2"/>
    <n v="2"/>
    <s v="Yes"/>
    <x v="0"/>
    <s v="Yes"/>
    <n v="41"/>
    <x v="2"/>
    <s v="Weekly"/>
    <n v="0.1"/>
    <n v="31.247999999999998"/>
    <n v="34.72"/>
    <s v="Credit Card"/>
    <s v="Normal"/>
    <s v="Poor"/>
  </r>
  <r>
    <n v="4751"/>
    <n v="26"/>
    <x v="1"/>
    <x v="27"/>
    <x v="3"/>
    <n v="0"/>
    <x v="53"/>
    <x v="0"/>
    <s v="Black"/>
    <x v="1"/>
    <n v="4"/>
    <s v="Yes"/>
    <x v="0"/>
    <s v="Yes"/>
    <n v="14"/>
    <x v="1"/>
    <s v="Monthly"/>
    <n v="0.1"/>
    <n v="0"/>
    <n v="0"/>
    <s v="Cash"/>
    <s v="Normal"/>
    <s v="Good"/>
  </r>
  <r>
    <n v="4752"/>
    <n v="47"/>
    <x v="0"/>
    <x v="27"/>
    <x v="4"/>
    <n v="1365.82"/>
    <x v="52"/>
    <x v="2"/>
    <s v="Red"/>
    <x v="0"/>
    <n v="2"/>
    <s v="Yes"/>
    <x v="3"/>
    <s v="No"/>
    <n v="0"/>
    <x v="5"/>
    <s v="Weekly"/>
    <n v="0.1"/>
    <n v="1229.2379999999998"/>
    <n v="1365.82"/>
    <s v="Debit Card"/>
    <s v="Normal"/>
    <s v="Poor"/>
  </r>
  <r>
    <n v="4753"/>
    <n v="48"/>
    <x v="2"/>
    <x v="27"/>
    <x v="4"/>
    <n v="136.29"/>
    <x v="14"/>
    <x v="2"/>
    <s v="White"/>
    <x v="4"/>
    <n v="1"/>
    <s v="Yes"/>
    <x v="3"/>
    <s v="No"/>
    <n v="0"/>
    <x v="2"/>
    <s v="Quarterly"/>
    <n v="0.1"/>
    <n v="122.66099999999999"/>
    <n v="136.29"/>
    <s v="Credit Card"/>
    <s v="Normal"/>
    <s v="Poor"/>
  </r>
  <r>
    <n v="4754"/>
    <n v="37"/>
    <x v="0"/>
    <x v="26"/>
    <x v="4"/>
    <n v="0"/>
    <x v="52"/>
    <x v="2"/>
    <s v="Black"/>
    <x v="0"/>
    <n v="1"/>
    <s v="No"/>
    <x v="0"/>
    <s v="Yes"/>
    <n v="0"/>
    <x v="1"/>
    <s v="Quarterly"/>
    <n v="0.1"/>
    <n v="0"/>
    <n v="0"/>
    <s v="Cash"/>
    <s v="Normal"/>
    <s v="Poor"/>
  </r>
  <r>
    <n v="4755"/>
    <n v="36"/>
    <x v="1"/>
    <x v="25"/>
    <x v="3"/>
    <n v="0"/>
    <x v="14"/>
    <x v="2"/>
    <s v="Green"/>
    <x v="1"/>
    <n v="1"/>
    <s v="Yes"/>
    <x v="0"/>
    <s v="No"/>
    <n v="50"/>
    <x v="2"/>
    <s v="Quarterly"/>
    <n v="0.1"/>
    <n v="0"/>
    <n v="0"/>
    <s v="Credit Card"/>
    <s v="Normal"/>
    <s v="Poor"/>
  </r>
  <r>
    <n v="4756"/>
    <n v="29"/>
    <x v="2"/>
    <x v="29"/>
    <x v="0"/>
    <n v="326.75"/>
    <x v="14"/>
    <x v="2"/>
    <s v="Blue"/>
    <x v="1"/>
    <n v="5"/>
    <s v="No"/>
    <x v="3"/>
    <s v="No"/>
    <n v="0"/>
    <x v="5"/>
    <s v="Weekly"/>
    <n v="0.1"/>
    <n v="294.07499999999999"/>
    <n v="326.75"/>
    <s v="Debit Card"/>
    <s v="Normal"/>
    <s v="Good"/>
  </r>
  <r>
    <n v="4757"/>
    <n v="51"/>
    <x v="2"/>
    <x v="25"/>
    <x v="3"/>
    <n v="337.04"/>
    <x v="52"/>
    <x v="0"/>
    <s v="Blue"/>
    <x v="2"/>
    <n v="1"/>
    <s v="Yes"/>
    <x v="0"/>
    <s v="Yes"/>
    <n v="0"/>
    <x v="2"/>
    <s v="Quarterly"/>
    <n v="0.1"/>
    <n v="303.33600000000001"/>
    <n v="337.04"/>
    <s v="Credit Card"/>
    <s v="Normal"/>
    <s v="Poor"/>
  </r>
  <r>
    <n v="4758"/>
    <n v="45"/>
    <x v="1"/>
    <x v="28"/>
    <x v="0"/>
    <n v="0"/>
    <x v="53"/>
    <x v="2"/>
    <s v="Green"/>
    <x v="2"/>
    <n v="3"/>
    <s v="No"/>
    <x v="3"/>
    <s v="No"/>
    <n v="0"/>
    <x v="1"/>
    <s v="Weekly"/>
    <n v="0.1"/>
    <n v="0"/>
    <n v="0"/>
    <s v="Cash"/>
    <s v="Normal"/>
    <s v="Good"/>
  </r>
  <r>
    <n v="4759"/>
    <n v="19"/>
    <x v="1"/>
    <x v="29"/>
    <x v="0"/>
    <n v="478.29"/>
    <x v="14"/>
    <x v="1"/>
    <s v="Black"/>
    <x v="1"/>
    <n v="1"/>
    <s v="Yes"/>
    <x v="3"/>
    <s v="Yes"/>
    <n v="0"/>
    <x v="2"/>
    <s v="Monthly"/>
    <n v="0.1"/>
    <n v="430.46100000000001"/>
    <n v="478.29"/>
    <s v="Credit Card"/>
    <s v="Normal"/>
    <s v="Poor"/>
  </r>
  <r>
    <n v="4760"/>
    <n v="41"/>
    <x v="2"/>
    <x v="29"/>
    <x v="4"/>
    <n v="0"/>
    <x v="52"/>
    <x v="2"/>
    <s v="White"/>
    <x v="2"/>
    <n v="5"/>
    <s v="Yes"/>
    <x v="0"/>
    <s v="Yes"/>
    <n v="0"/>
    <x v="5"/>
    <s v="Weekly"/>
    <n v="0.1"/>
    <n v="0"/>
    <n v="0"/>
    <s v="Debit Card"/>
    <s v="Normal"/>
    <s v="Good"/>
  </r>
  <r>
    <n v="4761"/>
    <n v="63"/>
    <x v="1"/>
    <x v="26"/>
    <x v="0"/>
    <n v="0"/>
    <x v="14"/>
    <x v="1"/>
    <s v="Black"/>
    <x v="1"/>
    <n v="1"/>
    <s v="No"/>
    <x v="0"/>
    <s v="No"/>
    <n v="0"/>
    <x v="1"/>
    <s v="Quarterly"/>
    <n v="0.1"/>
    <n v="0"/>
    <n v="0"/>
    <s v="Cash"/>
    <s v="Normal"/>
    <s v="Poor"/>
  </r>
  <r>
    <n v="4762"/>
    <n v="39"/>
    <x v="2"/>
    <x v="29"/>
    <x v="0"/>
    <n v="0"/>
    <x v="53"/>
    <x v="2"/>
    <s v="White"/>
    <x v="2"/>
    <n v="1"/>
    <s v="Yes"/>
    <x v="0"/>
    <s v="No"/>
    <n v="0"/>
    <x v="5"/>
    <s v="Quarterly"/>
    <n v="0.1"/>
    <n v="0"/>
    <n v="0"/>
    <s v="Debit Card"/>
    <s v="Normal"/>
    <s v="Poor"/>
  </r>
  <r>
    <n v="4763"/>
    <n v="69"/>
    <x v="2"/>
    <x v="29"/>
    <x v="4"/>
    <n v="426.12"/>
    <x v="14"/>
    <x v="2"/>
    <s v="Red"/>
    <x v="1"/>
    <n v="4"/>
    <s v="No"/>
    <x v="3"/>
    <s v="Yes"/>
    <n v="50"/>
    <x v="3"/>
    <s v="Quarterly"/>
    <n v="0.1"/>
    <n v="383.50799999999998"/>
    <n v="426.12"/>
    <s v="PayPal"/>
    <s v="Normal"/>
    <s v="Good"/>
  </r>
  <r>
    <n v="4764"/>
    <n v="32"/>
    <x v="2"/>
    <x v="26"/>
    <x v="3"/>
    <n v="1192.93"/>
    <x v="53"/>
    <x v="1"/>
    <s v="Blue"/>
    <x v="4"/>
    <n v="2"/>
    <s v="Yes"/>
    <x v="3"/>
    <s v="No"/>
    <n v="41"/>
    <x v="5"/>
    <s v="Monthly"/>
    <n v="0.1"/>
    <n v="1073.6370000000002"/>
    <n v="1192.93"/>
    <s v="Debit Card"/>
    <s v="Normal"/>
    <s v="Poor"/>
  </r>
  <r>
    <n v="4765"/>
    <n v="67"/>
    <x v="0"/>
    <x v="27"/>
    <x v="0"/>
    <n v="0"/>
    <x v="53"/>
    <x v="3"/>
    <s v="Blue"/>
    <x v="4"/>
    <n v="1"/>
    <s v="No"/>
    <x v="0"/>
    <s v="No"/>
    <n v="50"/>
    <x v="1"/>
    <s v="Monthly"/>
    <n v="0.1"/>
    <n v="0"/>
    <n v="0"/>
    <s v="Cash"/>
    <s v="Normal"/>
    <s v="Poor"/>
  </r>
  <r>
    <n v="4766"/>
    <n v="44"/>
    <x v="1"/>
    <x v="25"/>
    <x v="3"/>
    <n v="742.32"/>
    <x v="52"/>
    <x v="0"/>
    <s v="Black"/>
    <x v="4"/>
    <n v="1"/>
    <s v="No"/>
    <x v="3"/>
    <s v="No"/>
    <n v="0"/>
    <x v="1"/>
    <s v="Monthly"/>
    <n v="0.1"/>
    <n v="668.08800000000008"/>
    <n v="742.32"/>
    <s v="Cash"/>
    <s v="Normal"/>
    <s v="Poor"/>
  </r>
  <r>
    <n v="4767"/>
    <n v="34"/>
    <x v="0"/>
    <x v="28"/>
    <x v="3"/>
    <n v="0"/>
    <x v="51"/>
    <x v="2"/>
    <s v="White"/>
    <x v="4"/>
    <n v="5"/>
    <s v="Yes"/>
    <x v="0"/>
    <s v="Yes"/>
    <n v="0"/>
    <x v="2"/>
    <s v="Monthly"/>
    <n v="0.1"/>
    <n v="0"/>
    <n v="0"/>
    <s v="Credit Card"/>
    <s v="Normal"/>
    <s v="Good"/>
  </r>
  <r>
    <n v="4768"/>
    <n v="68"/>
    <x v="0"/>
    <x v="25"/>
    <x v="4"/>
    <n v="0"/>
    <x v="50"/>
    <x v="2"/>
    <s v="Black"/>
    <x v="1"/>
    <n v="2"/>
    <s v="Yes"/>
    <x v="3"/>
    <s v="No"/>
    <n v="44"/>
    <x v="1"/>
    <s v="Weekly"/>
    <n v="0.1"/>
    <n v="0"/>
    <n v="0"/>
    <s v="Cash"/>
    <s v="Normal"/>
    <s v="Poor"/>
  </r>
  <r>
    <n v="4769"/>
    <n v="28"/>
    <x v="0"/>
    <x v="28"/>
    <x v="3"/>
    <n v="0"/>
    <x v="53"/>
    <x v="0"/>
    <s v="Black"/>
    <x v="2"/>
    <n v="1"/>
    <s v="No"/>
    <x v="0"/>
    <s v="No"/>
    <n v="0"/>
    <x v="1"/>
    <s v="Quarterly"/>
    <n v="0.1"/>
    <n v="0"/>
    <n v="0"/>
    <s v="Cash"/>
    <s v="Normal"/>
    <s v="Poor"/>
  </r>
  <r>
    <n v="4770"/>
    <n v="65"/>
    <x v="0"/>
    <x v="5"/>
    <x v="3"/>
    <n v="1273.3499999999999"/>
    <x v="52"/>
    <x v="0"/>
    <s v="White"/>
    <x v="1"/>
    <n v="1"/>
    <s v="No"/>
    <x v="0"/>
    <s v="Yes"/>
    <n v="0"/>
    <x v="5"/>
    <s v="Monthly"/>
    <n v="0.1"/>
    <n v="1146.0149999999999"/>
    <n v="1273.3499999999999"/>
    <s v="Debit Card"/>
    <s v="Normal"/>
    <s v="Poor"/>
  </r>
  <r>
    <n v="4771"/>
    <n v="51"/>
    <x v="1"/>
    <x v="28"/>
    <x v="4"/>
    <n v="124.66"/>
    <x v="14"/>
    <x v="2"/>
    <s v="White"/>
    <x v="4"/>
    <n v="1"/>
    <s v="No"/>
    <x v="0"/>
    <s v="No"/>
    <n v="3"/>
    <x v="1"/>
    <s v="Weekly"/>
    <n v="0.1"/>
    <n v="112.19399999999999"/>
    <n v="124.66"/>
    <s v="Cash"/>
    <s v="Normal"/>
    <s v="Poor"/>
  </r>
  <r>
    <n v="4772"/>
    <n v="50"/>
    <x v="1"/>
    <x v="9"/>
    <x v="0"/>
    <n v="0"/>
    <x v="51"/>
    <x v="0"/>
    <s v="Black"/>
    <x v="1"/>
    <n v="1"/>
    <s v="Yes"/>
    <x v="3"/>
    <s v="No"/>
    <n v="18"/>
    <x v="2"/>
    <s v="Weekly"/>
    <n v="0.1"/>
    <n v="0"/>
    <n v="0"/>
    <s v="Credit Card"/>
    <s v="Normal"/>
    <s v="Poor"/>
  </r>
  <r>
    <n v="4773"/>
    <n v="68"/>
    <x v="2"/>
    <x v="27"/>
    <x v="4"/>
    <n v="0"/>
    <x v="50"/>
    <x v="2"/>
    <s v="White"/>
    <x v="4"/>
    <n v="1"/>
    <s v="Yes"/>
    <x v="3"/>
    <s v="No"/>
    <n v="28"/>
    <x v="5"/>
    <s v="Weekly"/>
    <n v="0.1"/>
    <n v="0"/>
    <n v="0"/>
    <s v="Debit Card"/>
    <s v="Normal"/>
    <s v="Poor"/>
  </r>
  <r>
    <n v="4774"/>
    <n v="53"/>
    <x v="2"/>
    <x v="25"/>
    <x v="0"/>
    <n v="0"/>
    <x v="53"/>
    <x v="3"/>
    <s v="Blue"/>
    <x v="1"/>
    <n v="3"/>
    <s v="Yes"/>
    <x v="3"/>
    <s v="Yes"/>
    <n v="0"/>
    <x v="3"/>
    <s v="Quarterly"/>
    <n v="0.1"/>
    <n v="0"/>
    <n v="0"/>
    <s v="PayPal"/>
    <s v="Normal"/>
    <s v="Good"/>
  </r>
  <r>
    <n v="4775"/>
    <n v="57"/>
    <x v="1"/>
    <x v="5"/>
    <x v="4"/>
    <n v="0"/>
    <x v="14"/>
    <x v="2"/>
    <s v="Black"/>
    <x v="1"/>
    <n v="1"/>
    <s v="Yes"/>
    <x v="3"/>
    <s v="Yes"/>
    <n v="0"/>
    <x v="3"/>
    <s v="Weekly"/>
    <n v="0.1"/>
    <n v="0"/>
    <n v="0"/>
    <s v="PayPal"/>
    <s v="Normal"/>
    <s v="Poor"/>
  </r>
  <r>
    <n v="4776"/>
    <n v="64"/>
    <x v="2"/>
    <x v="29"/>
    <x v="4"/>
    <n v="884.04"/>
    <x v="51"/>
    <x v="2"/>
    <s v="Black"/>
    <x v="1"/>
    <n v="1"/>
    <s v="No"/>
    <x v="0"/>
    <s v="No"/>
    <n v="0"/>
    <x v="2"/>
    <s v="Quarterly"/>
    <n v="0.1"/>
    <n v="795.63599999999997"/>
    <n v="884.04"/>
    <s v="Credit Card"/>
    <s v="Normal"/>
    <s v="Poor"/>
  </r>
  <r>
    <n v="4777"/>
    <n v="41"/>
    <x v="0"/>
    <x v="26"/>
    <x v="4"/>
    <n v="0"/>
    <x v="52"/>
    <x v="2"/>
    <s v="White"/>
    <x v="0"/>
    <n v="1"/>
    <s v="Yes"/>
    <x v="0"/>
    <s v="Yes"/>
    <n v="0"/>
    <x v="2"/>
    <s v="Monthly"/>
    <n v="0.1"/>
    <n v="0"/>
    <n v="0"/>
    <s v="Credit Card"/>
    <s v="Normal"/>
    <s v="Poor"/>
  </r>
  <r>
    <n v="4778"/>
    <n v="24"/>
    <x v="1"/>
    <x v="27"/>
    <x v="3"/>
    <n v="0"/>
    <x v="50"/>
    <x v="0"/>
    <s v="Blue"/>
    <x v="1"/>
    <n v="1"/>
    <s v="No"/>
    <x v="0"/>
    <s v="Yes"/>
    <n v="0"/>
    <x v="3"/>
    <s v="Monthly"/>
    <n v="0.1"/>
    <n v="0"/>
    <n v="0"/>
    <s v="PayPal"/>
    <s v="Normal"/>
    <s v="Poor"/>
  </r>
  <r>
    <n v="4779"/>
    <n v="36"/>
    <x v="2"/>
    <x v="25"/>
    <x v="4"/>
    <n v="1340.78"/>
    <x v="14"/>
    <x v="2"/>
    <s v="Black"/>
    <x v="0"/>
    <n v="1"/>
    <s v="Yes"/>
    <x v="0"/>
    <s v="No"/>
    <n v="50"/>
    <x v="1"/>
    <s v="Quarterly"/>
    <n v="0.1"/>
    <n v="1206.702"/>
    <n v="1340.78"/>
    <s v="Cash"/>
    <s v="Normal"/>
    <s v="Poor"/>
  </r>
  <r>
    <n v="4780"/>
    <n v="41"/>
    <x v="1"/>
    <x v="5"/>
    <x v="3"/>
    <n v="864.54"/>
    <x v="52"/>
    <x v="2"/>
    <s v="Blue"/>
    <x v="4"/>
    <n v="1"/>
    <s v="Yes"/>
    <x v="0"/>
    <s v="Yes"/>
    <n v="33"/>
    <x v="1"/>
    <s v="Monthly"/>
    <n v="0.1"/>
    <n v="778.08600000000001"/>
    <n v="864.54"/>
    <s v="Cash"/>
    <s v="Normal"/>
    <s v="Poor"/>
  </r>
  <r>
    <n v="4781"/>
    <n v="62"/>
    <x v="0"/>
    <x v="26"/>
    <x v="3"/>
    <n v="0"/>
    <x v="14"/>
    <x v="1"/>
    <s v="Black"/>
    <x v="0"/>
    <n v="5"/>
    <s v="No"/>
    <x v="0"/>
    <s v="Yes"/>
    <n v="0"/>
    <x v="1"/>
    <s v="Quarterly"/>
    <n v="0.1"/>
    <n v="0"/>
    <n v="0"/>
    <s v="Cash"/>
    <s v="Normal"/>
    <s v="Good"/>
  </r>
  <r>
    <n v="4782"/>
    <n v="61"/>
    <x v="1"/>
    <x v="27"/>
    <x v="0"/>
    <n v="651.6"/>
    <x v="52"/>
    <x v="3"/>
    <s v="Black"/>
    <x v="1"/>
    <n v="1"/>
    <s v="No"/>
    <x v="3"/>
    <s v="Yes"/>
    <n v="50"/>
    <x v="1"/>
    <s v="Quarterly"/>
    <n v="0.1"/>
    <n v="586.44000000000005"/>
    <n v="651.6"/>
    <s v="Cash"/>
    <s v="Normal"/>
    <s v="Poor"/>
  </r>
  <r>
    <n v="4783"/>
    <n v="50"/>
    <x v="1"/>
    <x v="5"/>
    <x v="3"/>
    <n v="0"/>
    <x v="53"/>
    <x v="1"/>
    <s v="White"/>
    <x v="4"/>
    <n v="2"/>
    <s v="Yes"/>
    <x v="0"/>
    <s v="Yes"/>
    <n v="0"/>
    <x v="3"/>
    <s v="Weekly"/>
    <n v="0.1"/>
    <n v="0"/>
    <n v="0"/>
    <s v="PayPal"/>
    <s v="Normal"/>
    <s v="Poor"/>
  </r>
  <r>
    <n v="4784"/>
    <n v="57"/>
    <x v="0"/>
    <x v="5"/>
    <x v="3"/>
    <n v="1360.55"/>
    <x v="14"/>
    <x v="0"/>
    <s v="Blue"/>
    <x v="2"/>
    <n v="1"/>
    <s v="Yes"/>
    <x v="3"/>
    <s v="Yes"/>
    <n v="0"/>
    <x v="2"/>
    <s v="Monthly"/>
    <n v="0.1"/>
    <n v="1224.4949999999999"/>
    <n v="1360.55"/>
    <s v="Credit Card"/>
    <s v="Normal"/>
    <s v="Poor"/>
  </r>
  <r>
    <n v="4785"/>
    <n v="53"/>
    <x v="1"/>
    <x v="28"/>
    <x v="4"/>
    <n v="0"/>
    <x v="50"/>
    <x v="2"/>
    <s v="Green"/>
    <x v="4"/>
    <n v="1"/>
    <s v="No"/>
    <x v="3"/>
    <s v="No"/>
    <n v="0"/>
    <x v="1"/>
    <s v="Weekly"/>
    <n v="0.1"/>
    <n v="0"/>
    <n v="0"/>
    <s v="Cash"/>
    <s v="Normal"/>
    <s v="Poor"/>
  </r>
  <r>
    <n v="4786"/>
    <n v="47"/>
    <x v="1"/>
    <x v="28"/>
    <x v="4"/>
    <n v="532.19000000000005"/>
    <x v="51"/>
    <x v="2"/>
    <s v="White"/>
    <x v="1"/>
    <n v="5"/>
    <s v="No"/>
    <x v="3"/>
    <s v="Yes"/>
    <n v="0"/>
    <x v="5"/>
    <s v="Quarterly"/>
    <n v="0.1"/>
    <n v="478.97100000000006"/>
    <n v="532.19000000000005"/>
    <s v="Debit Card"/>
    <s v="Normal"/>
    <s v="Good"/>
  </r>
  <r>
    <n v="4787"/>
    <n v="23"/>
    <x v="2"/>
    <x v="28"/>
    <x v="0"/>
    <n v="1380.02"/>
    <x v="53"/>
    <x v="2"/>
    <s v="Green"/>
    <x v="1"/>
    <n v="1"/>
    <s v="Yes"/>
    <x v="3"/>
    <s v="No"/>
    <n v="0"/>
    <x v="3"/>
    <s v="Quarterly"/>
    <n v="0.1"/>
    <n v="1242.018"/>
    <n v="1380.02"/>
    <s v="PayPal"/>
    <s v="Normal"/>
    <s v="Poor"/>
  </r>
  <r>
    <n v="4788"/>
    <n v="28"/>
    <x v="0"/>
    <x v="29"/>
    <x v="3"/>
    <n v="243.43"/>
    <x v="50"/>
    <x v="1"/>
    <s v="White"/>
    <x v="4"/>
    <n v="1"/>
    <s v="No"/>
    <x v="0"/>
    <s v="No"/>
    <n v="0"/>
    <x v="3"/>
    <s v="Quarterly"/>
    <n v="0.1"/>
    <n v="219.08699999999999"/>
    <n v="243.43"/>
    <s v="PayPal"/>
    <s v="Normal"/>
    <s v="Poor"/>
  </r>
  <r>
    <n v="4789"/>
    <n v="20"/>
    <x v="1"/>
    <x v="26"/>
    <x v="0"/>
    <n v="0"/>
    <x v="52"/>
    <x v="3"/>
    <s v="White"/>
    <x v="0"/>
    <n v="2"/>
    <s v="No"/>
    <x v="0"/>
    <s v="Yes"/>
    <n v="0"/>
    <x v="3"/>
    <s v="Weekly"/>
    <n v="0.1"/>
    <n v="0"/>
    <n v="0"/>
    <s v="PayPal"/>
    <s v="Normal"/>
    <s v="Poor"/>
  </r>
  <r>
    <n v="4790"/>
    <n v="56"/>
    <x v="2"/>
    <x v="25"/>
    <x v="4"/>
    <n v="685.22"/>
    <x v="50"/>
    <x v="2"/>
    <s v="Blue"/>
    <x v="2"/>
    <n v="4"/>
    <s v="No"/>
    <x v="0"/>
    <s v="Yes"/>
    <n v="0"/>
    <x v="1"/>
    <s v="Weekly"/>
    <n v="0.1"/>
    <n v="616.69799999999998"/>
    <n v="685.22"/>
    <s v="Cash"/>
    <s v="Normal"/>
    <s v="Good"/>
  </r>
  <r>
    <n v="4791"/>
    <n v="30"/>
    <x v="2"/>
    <x v="28"/>
    <x v="4"/>
    <n v="0"/>
    <x v="53"/>
    <x v="2"/>
    <s v="White"/>
    <x v="4"/>
    <n v="1"/>
    <s v="Yes"/>
    <x v="3"/>
    <s v="Yes"/>
    <n v="0"/>
    <x v="2"/>
    <s v="Monthly"/>
    <n v="0.1"/>
    <n v="0"/>
    <n v="0"/>
    <s v="Credit Card"/>
    <s v="Normal"/>
    <s v="Poor"/>
  </r>
  <r>
    <n v="4792"/>
    <n v="50"/>
    <x v="1"/>
    <x v="25"/>
    <x v="4"/>
    <n v="832.98"/>
    <x v="50"/>
    <x v="2"/>
    <s v="Blue"/>
    <x v="0"/>
    <n v="3"/>
    <s v="Yes"/>
    <x v="3"/>
    <s v="Yes"/>
    <n v="33"/>
    <x v="2"/>
    <s v="Monthly"/>
    <n v="0.1"/>
    <n v="749.68200000000002"/>
    <n v="832.98"/>
    <s v="Credit Card"/>
    <s v="Normal"/>
    <s v="Good"/>
  </r>
  <r>
    <n v="4793"/>
    <n v="33"/>
    <x v="2"/>
    <x v="9"/>
    <x v="3"/>
    <n v="0"/>
    <x v="14"/>
    <x v="2"/>
    <s v="Green"/>
    <x v="1"/>
    <n v="1"/>
    <s v="No"/>
    <x v="3"/>
    <s v="Yes"/>
    <n v="28"/>
    <x v="2"/>
    <s v="Weekly"/>
    <n v="0.1"/>
    <n v="0"/>
    <n v="0"/>
    <s v="Credit Card"/>
    <s v="Normal"/>
    <s v="Poor"/>
  </r>
  <r>
    <n v="4794"/>
    <n v="52"/>
    <x v="1"/>
    <x v="26"/>
    <x v="4"/>
    <n v="0"/>
    <x v="50"/>
    <x v="2"/>
    <s v="White"/>
    <x v="1"/>
    <n v="1"/>
    <s v="No"/>
    <x v="0"/>
    <s v="Yes"/>
    <n v="41"/>
    <x v="2"/>
    <s v="Weekly"/>
    <n v="0.1"/>
    <n v="0"/>
    <n v="0"/>
    <s v="Credit Card"/>
    <s v="Normal"/>
    <s v="Poor"/>
  </r>
  <r>
    <n v="4795"/>
    <n v="24"/>
    <x v="1"/>
    <x v="25"/>
    <x v="3"/>
    <n v="0"/>
    <x v="53"/>
    <x v="2"/>
    <s v="Black"/>
    <x v="2"/>
    <n v="5"/>
    <s v="Yes"/>
    <x v="3"/>
    <s v="Yes"/>
    <n v="31"/>
    <x v="5"/>
    <s v="Weekly"/>
    <n v="0.1"/>
    <n v="0"/>
    <n v="0"/>
    <s v="Debit Card"/>
    <s v="Normal"/>
    <s v="Good"/>
  </r>
  <r>
    <n v="4796"/>
    <n v="34"/>
    <x v="1"/>
    <x v="29"/>
    <x v="0"/>
    <n v="0"/>
    <x v="53"/>
    <x v="1"/>
    <s v="Red"/>
    <x v="2"/>
    <n v="1"/>
    <s v="No"/>
    <x v="3"/>
    <s v="Yes"/>
    <n v="0"/>
    <x v="3"/>
    <s v="Weekly"/>
    <n v="0.1"/>
    <n v="0"/>
    <n v="0"/>
    <s v="PayPal"/>
    <s v="Normal"/>
    <s v="Poor"/>
  </r>
  <r>
    <n v="4797"/>
    <n v="38"/>
    <x v="0"/>
    <x v="26"/>
    <x v="0"/>
    <n v="0"/>
    <x v="53"/>
    <x v="1"/>
    <s v="White"/>
    <x v="1"/>
    <n v="1"/>
    <s v="No"/>
    <x v="3"/>
    <s v="Yes"/>
    <n v="15"/>
    <x v="5"/>
    <s v="Monthly"/>
    <n v="0.1"/>
    <n v="0"/>
    <n v="0"/>
    <s v="Debit Card"/>
    <s v="Normal"/>
    <s v="Poor"/>
  </r>
  <r>
    <n v="4798"/>
    <n v="36"/>
    <x v="1"/>
    <x v="5"/>
    <x v="4"/>
    <n v="697.58"/>
    <x v="53"/>
    <x v="2"/>
    <s v="White"/>
    <x v="1"/>
    <n v="1"/>
    <s v="Yes"/>
    <x v="3"/>
    <s v="No"/>
    <n v="0"/>
    <x v="2"/>
    <s v="Weekly"/>
    <n v="0.1"/>
    <n v="627.822"/>
    <n v="697.58"/>
    <s v="Credit Card"/>
    <s v="Normal"/>
    <s v="Poor"/>
  </r>
  <r>
    <n v="4799"/>
    <n v="48"/>
    <x v="0"/>
    <x v="28"/>
    <x v="0"/>
    <n v="1170.25"/>
    <x v="50"/>
    <x v="2"/>
    <s v="Blue"/>
    <x v="0"/>
    <n v="3"/>
    <s v="No"/>
    <x v="0"/>
    <s v="Yes"/>
    <n v="0"/>
    <x v="5"/>
    <s v="Weekly"/>
    <n v="0.1"/>
    <n v="1053.2249999999999"/>
    <n v="1170.25"/>
    <s v="Debit Card"/>
    <s v="Normal"/>
    <s v="Good"/>
  </r>
  <r>
    <n v="4800"/>
    <n v="30"/>
    <x v="0"/>
    <x v="5"/>
    <x v="4"/>
    <n v="1404.42"/>
    <x v="14"/>
    <x v="2"/>
    <s v="Red"/>
    <x v="0"/>
    <n v="1"/>
    <s v="No"/>
    <x v="3"/>
    <s v="No"/>
    <n v="0"/>
    <x v="5"/>
    <s v="Monthly"/>
    <n v="0.1"/>
    <n v="1263.9780000000001"/>
    <n v="1404.42"/>
    <s v="Debit Card"/>
    <s v="Normal"/>
    <s v="Poor"/>
  </r>
  <r>
    <n v="4801"/>
    <n v="62"/>
    <x v="2"/>
    <x v="9"/>
    <x v="0"/>
    <n v="907.87"/>
    <x v="53"/>
    <x v="1"/>
    <s v="White"/>
    <x v="0"/>
    <n v="2"/>
    <s v="No"/>
    <x v="3"/>
    <s v="No"/>
    <n v="0"/>
    <x v="5"/>
    <s v="Weekly"/>
    <n v="0.1"/>
    <n v="817.08299999999997"/>
    <n v="907.87"/>
    <s v="Debit Card"/>
    <s v="Normal"/>
    <s v="Poor"/>
  </r>
  <r>
    <n v="4802"/>
    <n v="58"/>
    <x v="1"/>
    <x v="27"/>
    <x v="3"/>
    <n v="178.72"/>
    <x v="50"/>
    <x v="1"/>
    <s v="White"/>
    <x v="2"/>
    <n v="3"/>
    <s v="No"/>
    <x v="3"/>
    <s v="No"/>
    <n v="0"/>
    <x v="3"/>
    <s v="Quarterly"/>
    <n v="0.1"/>
    <n v="160.84800000000001"/>
    <n v="178.72"/>
    <s v="PayPal"/>
    <s v="Normal"/>
    <s v="Good"/>
  </r>
  <r>
    <n v="4803"/>
    <n v="70"/>
    <x v="2"/>
    <x v="5"/>
    <x v="3"/>
    <n v="0"/>
    <x v="50"/>
    <x v="0"/>
    <s v="Black"/>
    <x v="2"/>
    <n v="5"/>
    <s v="Yes"/>
    <x v="3"/>
    <s v="Yes"/>
    <n v="0"/>
    <x v="5"/>
    <s v="Monthly"/>
    <n v="0.1"/>
    <n v="0"/>
    <n v="0"/>
    <s v="Debit Card"/>
    <s v="Normal"/>
    <s v="Good"/>
  </r>
  <r>
    <n v="4804"/>
    <n v="62"/>
    <x v="1"/>
    <x v="9"/>
    <x v="0"/>
    <n v="1277.1600000000001"/>
    <x v="52"/>
    <x v="2"/>
    <s v="Red"/>
    <x v="4"/>
    <n v="4"/>
    <s v="Yes"/>
    <x v="0"/>
    <s v="Yes"/>
    <n v="15"/>
    <x v="5"/>
    <s v="Quarterly"/>
    <n v="0.1"/>
    <n v="1149.444"/>
    <n v="1277.1600000000001"/>
    <s v="Debit Card"/>
    <s v="Best Customer"/>
    <s v="Good"/>
  </r>
  <r>
    <n v="4805"/>
    <n v="40"/>
    <x v="0"/>
    <x v="9"/>
    <x v="3"/>
    <n v="0"/>
    <x v="50"/>
    <x v="0"/>
    <s v="Blue"/>
    <x v="0"/>
    <n v="3"/>
    <s v="No"/>
    <x v="0"/>
    <s v="Yes"/>
    <n v="6"/>
    <x v="1"/>
    <s v="Monthly"/>
    <n v="0.1"/>
    <n v="0"/>
    <n v="0"/>
    <s v="Cash"/>
    <s v="Normal"/>
    <s v="Good"/>
  </r>
  <r>
    <n v="4806"/>
    <n v="70"/>
    <x v="0"/>
    <x v="29"/>
    <x v="3"/>
    <n v="830.82"/>
    <x v="53"/>
    <x v="2"/>
    <s v="Green"/>
    <x v="2"/>
    <n v="5"/>
    <s v="Yes"/>
    <x v="0"/>
    <s v="Yes"/>
    <n v="43"/>
    <x v="1"/>
    <s v="Weekly"/>
    <n v="0.1"/>
    <n v="747.73800000000006"/>
    <n v="830.82"/>
    <s v="Cash"/>
    <s v="Normal"/>
    <s v="Good"/>
  </r>
  <r>
    <n v="4807"/>
    <n v="39"/>
    <x v="1"/>
    <x v="27"/>
    <x v="0"/>
    <n v="614.55999999999995"/>
    <x v="51"/>
    <x v="2"/>
    <s v="Black"/>
    <x v="4"/>
    <n v="1"/>
    <s v="Yes"/>
    <x v="0"/>
    <s v="Yes"/>
    <n v="0"/>
    <x v="5"/>
    <s v="Quarterly"/>
    <n v="0.1"/>
    <n v="553.10399999999993"/>
    <n v="614.55999999999995"/>
    <s v="Debit Card"/>
    <s v="Normal"/>
    <s v="Poor"/>
  </r>
  <r>
    <n v="4808"/>
    <n v="30"/>
    <x v="0"/>
    <x v="9"/>
    <x v="3"/>
    <n v="478.64"/>
    <x v="53"/>
    <x v="0"/>
    <s v="White"/>
    <x v="2"/>
    <n v="1"/>
    <s v="No"/>
    <x v="0"/>
    <s v="Yes"/>
    <n v="0"/>
    <x v="1"/>
    <s v="Weekly"/>
    <n v="0.1"/>
    <n v="430.77599999999995"/>
    <n v="478.64"/>
    <s v="Cash"/>
    <s v="Normal"/>
    <s v="Poor"/>
  </r>
  <r>
    <n v="4809"/>
    <n v="52"/>
    <x v="0"/>
    <x v="25"/>
    <x v="0"/>
    <n v="0"/>
    <x v="51"/>
    <x v="2"/>
    <s v="White"/>
    <x v="1"/>
    <n v="1"/>
    <s v="No"/>
    <x v="0"/>
    <s v="No"/>
    <n v="29"/>
    <x v="2"/>
    <s v="Monthly"/>
    <n v="0.1"/>
    <n v="0"/>
    <n v="0"/>
    <s v="Credit Card"/>
    <s v="Normal"/>
    <s v="Poor"/>
  </r>
  <r>
    <n v="4810"/>
    <n v="53"/>
    <x v="0"/>
    <x v="9"/>
    <x v="4"/>
    <n v="372.33"/>
    <x v="51"/>
    <x v="2"/>
    <s v="Red"/>
    <x v="4"/>
    <n v="1"/>
    <s v="Yes"/>
    <x v="0"/>
    <s v="No"/>
    <n v="0"/>
    <x v="1"/>
    <s v="Quarterly"/>
    <n v="0.1"/>
    <n v="335.09699999999998"/>
    <n v="372.33"/>
    <s v="Cash"/>
    <s v="Normal"/>
    <s v="Poor"/>
  </r>
  <r>
    <n v="4811"/>
    <n v="22"/>
    <x v="1"/>
    <x v="29"/>
    <x v="3"/>
    <n v="0"/>
    <x v="53"/>
    <x v="2"/>
    <s v="White"/>
    <x v="4"/>
    <n v="1"/>
    <s v="Yes"/>
    <x v="0"/>
    <s v="Yes"/>
    <n v="0"/>
    <x v="3"/>
    <s v="Quarterly"/>
    <n v="0.1"/>
    <n v="0"/>
    <n v="0"/>
    <s v="PayPal"/>
    <s v="Normal"/>
    <s v="Poor"/>
  </r>
  <r>
    <n v="4812"/>
    <n v="70"/>
    <x v="0"/>
    <x v="5"/>
    <x v="4"/>
    <n v="0"/>
    <x v="51"/>
    <x v="2"/>
    <s v="Green"/>
    <x v="4"/>
    <n v="5"/>
    <s v="Yes"/>
    <x v="0"/>
    <s v="Yes"/>
    <n v="6"/>
    <x v="2"/>
    <s v="Quarterly"/>
    <n v="0.1"/>
    <n v="0"/>
    <n v="0"/>
    <s v="Credit Card"/>
    <s v="Normal"/>
    <s v="Good"/>
  </r>
  <r>
    <n v="4813"/>
    <n v="66"/>
    <x v="2"/>
    <x v="27"/>
    <x v="4"/>
    <n v="0"/>
    <x v="14"/>
    <x v="2"/>
    <s v="White"/>
    <x v="4"/>
    <n v="1"/>
    <s v="No"/>
    <x v="3"/>
    <s v="Yes"/>
    <n v="47"/>
    <x v="5"/>
    <s v="Quarterly"/>
    <n v="0.1"/>
    <n v="0"/>
    <n v="0"/>
    <s v="Debit Card"/>
    <s v="Normal"/>
    <s v="Poor"/>
  </r>
  <r>
    <n v="4814"/>
    <n v="49"/>
    <x v="1"/>
    <x v="25"/>
    <x v="0"/>
    <n v="1208.8499999999999"/>
    <x v="51"/>
    <x v="0"/>
    <s v="Red"/>
    <x v="0"/>
    <n v="1"/>
    <s v="No"/>
    <x v="3"/>
    <s v="Yes"/>
    <n v="0"/>
    <x v="1"/>
    <s v="Quarterly"/>
    <n v="0.1"/>
    <n v="1087.9649999999999"/>
    <n v="1208.8499999999999"/>
    <s v="Cash"/>
    <s v="Normal"/>
    <s v="Poor"/>
  </r>
  <r>
    <n v="4815"/>
    <n v="48"/>
    <x v="0"/>
    <x v="9"/>
    <x v="3"/>
    <n v="339.37"/>
    <x v="51"/>
    <x v="2"/>
    <s v="White"/>
    <x v="0"/>
    <n v="3"/>
    <s v="Yes"/>
    <x v="0"/>
    <s v="No"/>
    <n v="1"/>
    <x v="3"/>
    <s v="Monthly"/>
    <n v="0.1"/>
    <n v="305.43299999999999"/>
    <n v="339.37"/>
    <s v="PayPal"/>
    <s v="Normal"/>
    <s v="Good"/>
  </r>
  <r>
    <n v="4816"/>
    <n v="70"/>
    <x v="2"/>
    <x v="28"/>
    <x v="3"/>
    <n v="0"/>
    <x v="51"/>
    <x v="1"/>
    <s v="Black"/>
    <x v="0"/>
    <n v="3"/>
    <s v="Yes"/>
    <x v="3"/>
    <s v="No"/>
    <n v="10"/>
    <x v="2"/>
    <s v="Quarterly"/>
    <n v="0.1"/>
    <n v="0"/>
    <n v="0"/>
    <s v="Credit Card"/>
    <s v="Normal"/>
    <s v="Good"/>
  </r>
  <r>
    <n v="4817"/>
    <n v="65"/>
    <x v="0"/>
    <x v="9"/>
    <x v="3"/>
    <n v="598.48"/>
    <x v="52"/>
    <x v="1"/>
    <s v="Black"/>
    <x v="4"/>
    <n v="1"/>
    <s v="No"/>
    <x v="3"/>
    <s v="No"/>
    <n v="38"/>
    <x v="1"/>
    <s v="Monthly"/>
    <n v="0.1"/>
    <n v="538.63200000000006"/>
    <n v="598.48"/>
    <s v="Cash"/>
    <s v="Normal"/>
    <s v="Poor"/>
  </r>
  <r>
    <n v="4818"/>
    <n v="23"/>
    <x v="0"/>
    <x v="28"/>
    <x v="4"/>
    <n v="0"/>
    <x v="52"/>
    <x v="2"/>
    <s v="White"/>
    <x v="1"/>
    <n v="1"/>
    <s v="Yes"/>
    <x v="0"/>
    <s v="No"/>
    <n v="0"/>
    <x v="5"/>
    <s v="Weekly"/>
    <n v="0.1"/>
    <n v="0"/>
    <n v="0"/>
    <s v="Debit Card"/>
    <s v="Normal"/>
    <s v="Poor"/>
  </r>
  <r>
    <n v="4819"/>
    <n v="41"/>
    <x v="0"/>
    <x v="28"/>
    <x v="4"/>
    <n v="0"/>
    <x v="52"/>
    <x v="2"/>
    <s v="Red"/>
    <x v="4"/>
    <n v="4"/>
    <s v="No"/>
    <x v="0"/>
    <s v="Yes"/>
    <n v="0"/>
    <x v="5"/>
    <s v="Monthly"/>
    <n v="0.1"/>
    <n v="0"/>
    <n v="0"/>
    <s v="Debit Card"/>
    <s v="Normal"/>
    <s v="Good"/>
  </r>
  <r>
    <n v="4820"/>
    <n v="25"/>
    <x v="2"/>
    <x v="5"/>
    <x v="3"/>
    <n v="0"/>
    <x v="14"/>
    <x v="2"/>
    <s v="Black"/>
    <x v="0"/>
    <n v="1"/>
    <s v="Yes"/>
    <x v="3"/>
    <s v="Yes"/>
    <n v="0"/>
    <x v="1"/>
    <s v="Monthly"/>
    <n v="0.1"/>
    <n v="0"/>
    <n v="0"/>
    <s v="Cash"/>
    <s v="Normal"/>
    <s v="Poor"/>
  </r>
  <r>
    <n v="4821"/>
    <n v="54"/>
    <x v="2"/>
    <x v="25"/>
    <x v="4"/>
    <n v="0"/>
    <x v="14"/>
    <x v="2"/>
    <s v="White"/>
    <x v="4"/>
    <n v="1"/>
    <s v="Yes"/>
    <x v="0"/>
    <s v="Yes"/>
    <n v="0"/>
    <x v="1"/>
    <s v="Quarterly"/>
    <n v="0.1"/>
    <n v="0"/>
    <n v="0"/>
    <s v="Cash"/>
    <s v="Normal"/>
    <s v="Poor"/>
  </r>
  <r>
    <n v="4822"/>
    <n v="23"/>
    <x v="2"/>
    <x v="9"/>
    <x v="3"/>
    <n v="0"/>
    <x v="51"/>
    <x v="1"/>
    <s v="Blue"/>
    <x v="2"/>
    <n v="1"/>
    <s v="Yes"/>
    <x v="0"/>
    <s v="No"/>
    <n v="40"/>
    <x v="3"/>
    <s v="Quarterly"/>
    <n v="0.1"/>
    <n v="0"/>
    <n v="0"/>
    <s v="PayPal"/>
    <s v="Normal"/>
    <s v="Poor"/>
  </r>
  <r>
    <n v="4823"/>
    <n v="40"/>
    <x v="0"/>
    <x v="5"/>
    <x v="3"/>
    <n v="147.41"/>
    <x v="53"/>
    <x v="0"/>
    <s v="White"/>
    <x v="1"/>
    <n v="3"/>
    <s v="No"/>
    <x v="3"/>
    <s v="No"/>
    <n v="0"/>
    <x v="3"/>
    <s v="Weekly"/>
    <n v="0.1"/>
    <n v="132.66899999999998"/>
    <n v="147.41"/>
    <s v="PayPal"/>
    <s v="Normal"/>
    <s v="Good"/>
  </r>
  <r>
    <n v="4824"/>
    <n v="46"/>
    <x v="0"/>
    <x v="5"/>
    <x v="0"/>
    <n v="555.57000000000005"/>
    <x v="53"/>
    <x v="2"/>
    <s v="Black"/>
    <x v="4"/>
    <n v="1"/>
    <s v="No"/>
    <x v="3"/>
    <s v="No"/>
    <n v="0"/>
    <x v="5"/>
    <s v="Weekly"/>
    <n v="0.1"/>
    <n v="500.01300000000003"/>
    <n v="555.57000000000005"/>
    <s v="Debit Card"/>
    <s v="Normal"/>
    <s v="Poor"/>
  </r>
  <r>
    <n v="4825"/>
    <n v="66"/>
    <x v="2"/>
    <x v="25"/>
    <x v="3"/>
    <n v="526.52"/>
    <x v="53"/>
    <x v="0"/>
    <s v="Black"/>
    <x v="2"/>
    <n v="1"/>
    <s v="No"/>
    <x v="3"/>
    <s v="No"/>
    <n v="0"/>
    <x v="5"/>
    <s v="Weekly"/>
    <n v="0.1"/>
    <n v="473.86799999999999"/>
    <n v="526.52"/>
    <s v="Debit Card"/>
    <s v="Normal"/>
    <s v="Poor"/>
  </r>
  <r>
    <n v="4826"/>
    <n v="66"/>
    <x v="2"/>
    <x v="25"/>
    <x v="3"/>
    <n v="525.17999999999995"/>
    <x v="53"/>
    <x v="2"/>
    <s v="White"/>
    <x v="4"/>
    <n v="5"/>
    <s v="No"/>
    <x v="0"/>
    <s v="Yes"/>
    <n v="50"/>
    <x v="3"/>
    <s v="Quarterly"/>
    <n v="0.1"/>
    <n v="472.66199999999992"/>
    <n v="525.17999999999995"/>
    <s v="PayPal"/>
    <s v="Normal"/>
    <s v="Good"/>
  </r>
  <r>
    <n v="4827"/>
    <n v="20"/>
    <x v="1"/>
    <x v="29"/>
    <x v="4"/>
    <n v="0"/>
    <x v="53"/>
    <x v="2"/>
    <s v="Green"/>
    <x v="2"/>
    <n v="1"/>
    <s v="No"/>
    <x v="0"/>
    <s v="No"/>
    <n v="17"/>
    <x v="5"/>
    <s v="Monthly"/>
    <n v="0.1"/>
    <n v="0"/>
    <n v="0"/>
    <s v="Debit Card"/>
    <s v="Normal"/>
    <s v="Poor"/>
  </r>
  <r>
    <n v="4828"/>
    <n v="61"/>
    <x v="1"/>
    <x v="29"/>
    <x v="0"/>
    <n v="1186.3800000000001"/>
    <x v="14"/>
    <x v="3"/>
    <s v="White"/>
    <x v="1"/>
    <n v="5"/>
    <s v="No"/>
    <x v="0"/>
    <s v="No"/>
    <n v="27"/>
    <x v="1"/>
    <s v="Quarterly"/>
    <n v="0.1"/>
    <n v="1067.7420000000002"/>
    <n v="1186.3800000000001"/>
    <s v="Cash"/>
    <s v="Best Customer"/>
    <s v="Good"/>
  </r>
  <r>
    <n v="4829"/>
    <n v="66"/>
    <x v="0"/>
    <x v="9"/>
    <x v="0"/>
    <n v="1311.96"/>
    <x v="14"/>
    <x v="3"/>
    <s v="Black"/>
    <x v="4"/>
    <n v="2"/>
    <s v="Yes"/>
    <x v="0"/>
    <s v="Yes"/>
    <n v="0"/>
    <x v="5"/>
    <s v="Monthly"/>
    <n v="0.1"/>
    <n v="1180.7640000000001"/>
    <n v="1311.96"/>
    <s v="Debit Card"/>
    <s v="Normal"/>
    <s v="Poor"/>
  </r>
  <r>
    <n v="4830"/>
    <n v="34"/>
    <x v="2"/>
    <x v="9"/>
    <x v="4"/>
    <n v="61.63"/>
    <x v="53"/>
    <x v="2"/>
    <s v="Green"/>
    <x v="0"/>
    <n v="2"/>
    <s v="Yes"/>
    <x v="3"/>
    <s v="No"/>
    <n v="22"/>
    <x v="1"/>
    <s v="Quarterly"/>
    <n v="0.1"/>
    <n v="55.466999999999999"/>
    <n v="61.63"/>
    <s v="Cash"/>
    <s v="Normal"/>
    <s v="Poor"/>
  </r>
  <r>
    <n v="4831"/>
    <n v="66"/>
    <x v="1"/>
    <x v="26"/>
    <x v="0"/>
    <n v="0"/>
    <x v="50"/>
    <x v="0"/>
    <s v="Black"/>
    <x v="1"/>
    <n v="1"/>
    <s v="No"/>
    <x v="0"/>
    <s v="Yes"/>
    <n v="0"/>
    <x v="2"/>
    <s v="Monthly"/>
    <n v="0.1"/>
    <n v="0"/>
    <n v="0"/>
    <s v="Credit Card"/>
    <s v="Normal"/>
    <s v="Poor"/>
  </r>
  <r>
    <n v="4832"/>
    <n v="19"/>
    <x v="1"/>
    <x v="28"/>
    <x v="4"/>
    <n v="322.81"/>
    <x v="53"/>
    <x v="2"/>
    <s v="Green"/>
    <x v="0"/>
    <n v="1"/>
    <s v="Yes"/>
    <x v="0"/>
    <s v="No"/>
    <n v="11"/>
    <x v="3"/>
    <s v="Quarterly"/>
    <n v="0.1"/>
    <n v="290.529"/>
    <n v="322.81"/>
    <s v="PayPal"/>
    <s v="Normal"/>
    <s v="Poor"/>
  </r>
  <r>
    <n v="4833"/>
    <n v="46"/>
    <x v="1"/>
    <x v="25"/>
    <x v="4"/>
    <n v="0"/>
    <x v="52"/>
    <x v="2"/>
    <s v="Black"/>
    <x v="1"/>
    <n v="1"/>
    <s v="Yes"/>
    <x v="3"/>
    <s v="No"/>
    <n v="31"/>
    <x v="5"/>
    <s v="Weekly"/>
    <n v="0.1"/>
    <n v="0"/>
    <n v="0"/>
    <s v="Debit Card"/>
    <s v="Normal"/>
    <s v="Poor"/>
  </r>
  <r>
    <n v="4834"/>
    <n v="31"/>
    <x v="0"/>
    <x v="9"/>
    <x v="4"/>
    <n v="0"/>
    <x v="14"/>
    <x v="2"/>
    <s v="White"/>
    <x v="0"/>
    <n v="1"/>
    <s v="Yes"/>
    <x v="0"/>
    <s v="No"/>
    <n v="5"/>
    <x v="5"/>
    <s v="Monthly"/>
    <n v="0.1"/>
    <n v="0"/>
    <n v="0"/>
    <s v="Debit Card"/>
    <s v="Normal"/>
    <s v="Poor"/>
  </r>
  <r>
    <n v="4835"/>
    <n v="49"/>
    <x v="1"/>
    <x v="9"/>
    <x v="0"/>
    <n v="813.93"/>
    <x v="53"/>
    <x v="1"/>
    <s v="White"/>
    <x v="4"/>
    <n v="5"/>
    <s v="No"/>
    <x v="0"/>
    <s v="No"/>
    <n v="49"/>
    <x v="2"/>
    <s v="Monthly"/>
    <n v="0.1"/>
    <n v="732.53699999999992"/>
    <n v="813.93"/>
    <s v="Credit Card"/>
    <s v="Normal"/>
    <s v="Good"/>
  </r>
  <r>
    <n v="4836"/>
    <n v="66"/>
    <x v="0"/>
    <x v="9"/>
    <x v="3"/>
    <n v="0"/>
    <x v="53"/>
    <x v="0"/>
    <s v="Red"/>
    <x v="0"/>
    <n v="5"/>
    <s v="Yes"/>
    <x v="3"/>
    <s v="Yes"/>
    <n v="0"/>
    <x v="2"/>
    <s v="Monthly"/>
    <n v="0.1"/>
    <n v="0"/>
    <n v="0"/>
    <s v="Credit Card"/>
    <s v="Normal"/>
    <s v="Good"/>
  </r>
  <r>
    <n v="4837"/>
    <n v="41"/>
    <x v="1"/>
    <x v="27"/>
    <x v="4"/>
    <n v="131.56"/>
    <x v="51"/>
    <x v="2"/>
    <s v="Blue"/>
    <x v="1"/>
    <n v="1"/>
    <s v="No"/>
    <x v="0"/>
    <s v="No"/>
    <n v="36"/>
    <x v="5"/>
    <s v="Monthly"/>
    <n v="0.1"/>
    <n v="118.404"/>
    <n v="131.56"/>
    <s v="Debit Card"/>
    <s v="Normal"/>
    <s v="Poor"/>
  </r>
  <r>
    <n v="4838"/>
    <n v="54"/>
    <x v="0"/>
    <x v="27"/>
    <x v="0"/>
    <n v="0"/>
    <x v="50"/>
    <x v="3"/>
    <s v="Black"/>
    <x v="1"/>
    <n v="5"/>
    <s v="No"/>
    <x v="0"/>
    <s v="No"/>
    <n v="0"/>
    <x v="1"/>
    <s v="Quarterly"/>
    <n v="0.1"/>
    <n v="0"/>
    <n v="0"/>
    <s v="Cash"/>
    <s v="Normal"/>
    <s v="Good"/>
  </r>
  <r>
    <n v="4839"/>
    <n v="43"/>
    <x v="0"/>
    <x v="28"/>
    <x v="4"/>
    <n v="1063.29"/>
    <x v="53"/>
    <x v="2"/>
    <s v="White"/>
    <x v="4"/>
    <n v="3"/>
    <s v="Yes"/>
    <x v="3"/>
    <s v="Yes"/>
    <n v="30"/>
    <x v="3"/>
    <s v="Quarterly"/>
    <n v="0.1"/>
    <n v="956.96100000000001"/>
    <n v="1063.29"/>
    <s v="PayPal"/>
    <s v="Normal"/>
    <s v="Good"/>
  </r>
  <r>
    <n v="4840"/>
    <n v="35"/>
    <x v="0"/>
    <x v="26"/>
    <x v="4"/>
    <n v="1364.38"/>
    <x v="14"/>
    <x v="2"/>
    <s v="Red"/>
    <x v="4"/>
    <n v="1"/>
    <s v="Yes"/>
    <x v="3"/>
    <s v="No"/>
    <n v="0"/>
    <x v="2"/>
    <s v="Monthly"/>
    <n v="0.1"/>
    <n v="1227.942"/>
    <n v="1364.38"/>
    <s v="Credit Card"/>
    <s v="Normal"/>
    <s v="Poor"/>
  </r>
  <r>
    <n v="4841"/>
    <n v="51"/>
    <x v="2"/>
    <x v="29"/>
    <x v="3"/>
    <n v="0"/>
    <x v="50"/>
    <x v="0"/>
    <s v="Blue"/>
    <x v="4"/>
    <n v="1"/>
    <s v="No"/>
    <x v="0"/>
    <s v="No"/>
    <n v="14"/>
    <x v="3"/>
    <s v="Weekly"/>
    <n v="0.1"/>
    <n v="0"/>
    <n v="0"/>
    <s v="PayPal"/>
    <s v="Normal"/>
    <s v="Poor"/>
  </r>
  <r>
    <n v="4842"/>
    <n v="30"/>
    <x v="1"/>
    <x v="9"/>
    <x v="3"/>
    <n v="0"/>
    <x v="50"/>
    <x v="0"/>
    <s v="White"/>
    <x v="2"/>
    <n v="4"/>
    <s v="Yes"/>
    <x v="3"/>
    <s v="No"/>
    <n v="0"/>
    <x v="5"/>
    <s v="Monthly"/>
    <n v="0.1"/>
    <n v="0"/>
    <n v="0"/>
    <s v="Debit Card"/>
    <s v="Normal"/>
    <s v="Good"/>
  </r>
  <r>
    <n v="4843"/>
    <n v="22"/>
    <x v="1"/>
    <x v="26"/>
    <x v="4"/>
    <n v="854.96"/>
    <x v="51"/>
    <x v="2"/>
    <s v="Red"/>
    <x v="0"/>
    <n v="1"/>
    <s v="No"/>
    <x v="3"/>
    <s v="Yes"/>
    <n v="32"/>
    <x v="3"/>
    <s v="Quarterly"/>
    <n v="0.1"/>
    <n v="769.46400000000006"/>
    <n v="854.96"/>
    <s v="PayPal"/>
    <s v="Normal"/>
    <s v="Poor"/>
  </r>
  <r>
    <n v="4844"/>
    <n v="63"/>
    <x v="0"/>
    <x v="25"/>
    <x v="3"/>
    <n v="321.56"/>
    <x v="50"/>
    <x v="1"/>
    <s v="Red"/>
    <x v="2"/>
    <n v="1"/>
    <s v="No"/>
    <x v="3"/>
    <s v="No"/>
    <n v="47"/>
    <x v="3"/>
    <s v="Weekly"/>
    <n v="0.1"/>
    <n v="289.404"/>
    <n v="321.56"/>
    <s v="PayPal"/>
    <s v="Normal"/>
    <s v="Poor"/>
  </r>
  <r>
    <n v="4845"/>
    <n v="19"/>
    <x v="1"/>
    <x v="5"/>
    <x v="3"/>
    <n v="692.11"/>
    <x v="14"/>
    <x v="2"/>
    <s v="Red"/>
    <x v="2"/>
    <n v="1"/>
    <s v="No"/>
    <x v="0"/>
    <s v="Yes"/>
    <n v="41"/>
    <x v="5"/>
    <s v="Weekly"/>
    <n v="0.1"/>
    <n v="622.899"/>
    <n v="692.11"/>
    <s v="Debit Card"/>
    <s v="Normal"/>
    <s v="Poor"/>
  </r>
  <r>
    <n v="4846"/>
    <n v="34"/>
    <x v="1"/>
    <x v="26"/>
    <x v="4"/>
    <n v="719.91"/>
    <x v="51"/>
    <x v="2"/>
    <s v="Blue"/>
    <x v="1"/>
    <n v="1"/>
    <s v="No"/>
    <x v="3"/>
    <s v="Yes"/>
    <n v="0"/>
    <x v="5"/>
    <s v="Monthly"/>
    <n v="0.1"/>
    <n v="647.91899999999998"/>
    <n v="719.91"/>
    <s v="Debit Card"/>
    <s v="Normal"/>
    <s v="Poor"/>
  </r>
  <r>
    <n v="4847"/>
    <n v="48"/>
    <x v="1"/>
    <x v="5"/>
    <x v="3"/>
    <n v="1249.23"/>
    <x v="53"/>
    <x v="2"/>
    <s v="Blue"/>
    <x v="4"/>
    <n v="1"/>
    <s v="No"/>
    <x v="0"/>
    <s v="Yes"/>
    <n v="44"/>
    <x v="5"/>
    <s v="Monthly"/>
    <n v="0.1"/>
    <n v="1124.307"/>
    <n v="1249.23"/>
    <s v="Debit Card"/>
    <s v="Normal"/>
    <s v="Poor"/>
  </r>
  <r>
    <n v="4848"/>
    <n v="48"/>
    <x v="0"/>
    <x v="25"/>
    <x v="4"/>
    <n v="1238.3"/>
    <x v="52"/>
    <x v="2"/>
    <s v="Red"/>
    <x v="2"/>
    <n v="1"/>
    <s v="Yes"/>
    <x v="0"/>
    <s v="Yes"/>
    <n v="0"/>
    <x v="2"/>
    <s v="Weekly"/>
    <n v="0.1"/>
    <n v="1114.47"/>
    <n v="1238.3"/>
    <s v="Credit Card"/>
    <s v="Normal"/>
    <s v="Poor"/>
  </r>
  <r>
    <n v="4849"/>
    <n v="61"/>
    <x v="1"/>
    <x v="25"/>
    <x v="3"/>
    <n v="0"/>
    <x v="50"/>
    <x v="2"/>
    <s v="Blue"/>
    <x v="4"/>
    <n v="5"/>
    <s v="No"/>
    <x v="0"/>
    <s v="Yes"/>
    <n v="3"/>
    <x v="1"/>
    <s v="Quarterly"/>
    <n v="0.1"/>
    <n v="0"/>
    <n v="0"/>
    <s v="Cash"/>
    <s v="Normal"/>
    <s v="Good"/>
  </r>
  <r>
    <n v="4850"/>
    <n v="18"/>
    <x v="1"/>
    <x v="9"/>
    <x v="0"/>
    <n v="1078.8499999999999"/>
    <x v="14"/>
    <x v="3"/>
    <s v="Green"/>
    <x v="2"/>
    <n v="2"/>
    <s v="Yes"/>
    <x v="0"/>
    <s v="No"/>
    <n v="0"/>
    <x v="2"/>
    <s v="Weekly"/>
    <n v="0.1"/>
    <n v="970.96499999999992"/>
    <n v="1078.8499999999999"/>
    <s v="Credit Card"/>
    <s v="Normal"/>
    <s v="Poor"/>
  </r>
  <r>
    <n v="4851"/>
    <n v="42"/>
    <x v="1"/>
    <x v="27"/>
    <x v="3"/>
    <n v="0"/>
    <x v="52"/>
    <x v="0"/>
    <s v="Blue"/>
    <x v="4"/>
    <n v="1"/>
    <s v="No"/>
    <x v="3"/>
    <s v="Yes"/>
    <n v="0"/>
    <x v="1"/>
    <s v="Weekly"/>
    <n v="0.1"/>
    <n v="0"/>
    <n v="0"/>
    <s v="Cash"/>
    <s v="Normal"/>
    <s v="Poor"/>
  </r>
  <r>
    <n v="4852"/>
    <n v="33"/>
    <x v="1"/>
    <x v="25"/>
    <x v="3"/>
    <n v="464.15"/>
    <x v="51"/>
    <x v="0"/>
    <s v="Blue"/>
    <x v="4"/>
    <n v="2"/>
    <s v="No"/>
    <x v="0"/>
    <s v="Yes"/>
    <n v="34"/>
    <x v="2"/>
    <s v="Monthly"/>
    <n v="0.1"/>
    <n v="417.73499999999996"/>
    <n v="464.15"/>
    <s v="Credit Card"/>
    <s v="Normal"/>
    <s v="Poor"/>
  </r>
  <r>
    <n v="4853"/>
    <n v="70"/>
    <x v="2"/>
    <x v="29"/>
    <x v="0"/>
    <n v="1481.42"/>
    <x v="52"/>
    <x v="0"/>
    <s v="Black"/>
    <x v="0"/>
    <n v="1"/>
    <s v="No"/>
    <x v="0"/>
    <s v="No"/>
    <n v="1"/>
    <x v="1"/>
    <s v="Weekly"/>
    <n v="0.1"/>
    <n v="1333.278"/>
    <n v="1481.42"/>
    <s v="Cash"/>
    <s v="Normal"/>
    <s v="Poor"/>
  </r>
  <r>
    <n v="4854"/>
    <n v="65"/>
    <x v="1"/>
    <x v="27"/>
    <x v="4"/>
    <n v="1249.73"/>
    <x v="50"/>
    <x v="2"/>
    <s v="Blue"/>
    <x v="1"/>
    <n v="1"/>
    <s v="Yes"/>
    <x v="0"/>
    <s v="No"/>
    <n v="0"/>
    <x v="2"/>
    <s v="Weekly"/>
    <n v="0.1"/>
    <n v="1124.7570000000001"/>
    <n v="1249.73"/>
    <s v="Credit Card"/>
    <s v="Normal"/>
    <s v="Poor"/>
  </r>
  <r>
    <n v="4855"/>
    <n v="60"/>
    <x v="0"/>
    <x v="28"/>
    <x v="3"/>
    <n v="1318.84"/>
    <x v="50"/>
    <x v="0"/>
    <s v="Blue"/>
    <x v="0"/>
    <n v="1"/>
    <s v="Yes"/>
    <x v="3"/>
    <s v="No"/>
    <n v="0"/>
    <x v="3"/>
    <s v="Weekly"/>
    <n v="0.1"/>
    <n v="1186.9559999999999"/>
    <n v="1318.84"/>
    <s v="PayPal"/>
    <s v="Normal"/>
    <s v="Poor"/>
  </r>
  <r>
    <n v="4856"/>
    <n v="65"/>
    <x v="1"/>
    <x v="5"/>
    <x v="3"/>
    <n v="0"/>
    <x v="51"/>
    <x v="2"/>
    <s v="Blue"/>
    <x v="1"/>
    <n v="1"/>
    <s v="Yes"/>
    <x v="3"/>
    <s v="Yes"/>
    <n v="46"/>
    <x v="5"/>
    <s v="Weekly"/>
    <n v="0.1"/>
    <n v="0"/>
    <n v="0"/>
    <s v="Debit Card"/>
    <s v="Normal"/>
    <s v="Poor"/>
  </r>
  <r>
    <n v="4857"/>
    <n v="19"/>
    <x v="0"/>
    <x v="9"/>
    <x v="3"/>
    <n v="643.57000000000005"/>
    <x v="52"/>
    <x v="0"/>
    <s v="Red"/>
    <x v="4"/>
    <n v="1"/>
    <s v="No"/>
    <x v="3"/>
    <s v="No"/>
    <n v="0"/>
    <x v="3"/>
    <s v="Monthly"/>
    <n v="0.1"/>
    <n v="579.21300000000008"/>
    <n v="643.57000000000005"/>
    <s v="PayPal"/>
    <s v="Normal"/>
    <s v="Poor"/>
  </r>
  <r>
    <n v="4858"/>
    <n v="20"/>
    <x v="2"/>
    <x v="27"/>
    <x v="4"/>
    <n v="808.22"/>
    <x v="52"/>
    <x v="2"/>
    <s v="Black"/>
    <x v="0"/>
    <n v="5"/>
    <s v="No"/>
    <x v="0"/>
    <s v="Yes"/>
    <n v="40"/>
    <x v="1"/>
    <s v="Weekly"/>
    <n v="0.1"/>
    <n v="727.39800000000002"/>
    <n v="808.22"/>
    <s v="Cash"/>
    <s v="Normal"/>
    <s v="Good"/>
  </r>
  <r>
    <n v="4859"/>
    <n v="28"/>
    <x v="2"/>
    <x v="5"/>
    <x v="4"/>
    <n v="1419.5"/>
    <x v="53"/>
    <x v="2"/>
    <s v="Black"/>
    <x v="1"/>
    <n v="3"/>
    <s v="No"/>
    <x v="0"/>
    <s v="Yes"/>
    <n v="0"/>
    <x v="2"/>
    <s v="Quarterly"/>
    <n v="0.1"/>
    <n v="1277.55"/>
    <n v="1419.5"/>
    <s v="Credit Card"/>
    <s v="Normal"/>
    <s v="Good"/>
  </r>
  <r>
    <n v="4860"/>
    <n v="69"/>
    <x v="2"/>
    <x v="28"/>
    <x v="3"/>
    <n v="0"/>
    <x v="50"/>
    <x v="0"/>
    <s v="Green"/>
    <x v="2"/>
    <n v="5"/>
    <s v="No"/>
    <x v="3"/>
    <s v="No"/>
    <n v="23"/>
    <x v="1"/>
    <s v="Monthly"/>
    <n v="0.1"/>
    <n v="0"/>
    <n v="0"/>
    <s v="Cash"/>
    <s v="Normal"/>
    <s v="Good"/>
  </r>
  <r>
    <n v="4861"/>
    <n v="30"/>
    <x v="2"/>
    <x v="29"/>
    <x v="0"/>
    <n v="1095.05"/>
    <x v="50"/>
    <x v="3"/>
    <s v="Black"/>
    <x v="4"/>
    <n v="1"/>
    <s v="Yes"/>
    <x v="0"/>
    <s v="Yes"/>
    <n v="16"/>
    <x v="1"/>
    <s v="Quarterly"/>
    <n v="0.1"/>
    <n v="985.54499999999996"/>
    <n v="1095.05"/>
    <s v="Cash"/>
    <s v="Normal"/>
    <s v="Poor"/>
  </r>
  <r>
    <n v="4862"/>
    <n v="37"/>
    <x v="2"/>
    <x v="28"/>
    <x v="3"/>
    <n v="0"/>
    <x v="14"/>
    <x v="2"/>
    <s v="Black"/>
    <x v="2"/>
    <n v="3"/>
    <s v="Yes"/>
    <x v="3"/>
    <s v="Yes"/>
    <n v="0"/>
    <x v="2"/>
    <s v="Monthly"/>
    <n v="0.1"/>
    <n v="0"/>
    <n v="0"/>
    <s v="Credit Card"/>
    <s v="Normal"/>
    <s v="Good"/>
  </r>
  <r>
    <n v="4863"/>
    <n v="24"/>
    <x v="1"/>
    <x v="27"/>
    <x v="4"/>
    <n v="0"/>
    <x v="14"/>
    <x v="2"/>
    <s v="Green"/>
    <x v="4"/>
    <n v="1"/>
    <s v="Yes"/>
    <x v="0"/>
    <s v="Yes"/>
    <n v="0"/>
    <x v="1"/>
    <s v="Monthly"/>
    <n v="0.1"/>
    <n v="0"/>
    <n v="0"/>
    <s v="Cash"/>
    <s v="Normal"/>
    <s v="Poor"/>
  </r>
  <r>
    <n v="4864"/>
    <n v="25"/>
    <x v="1"/>
    <x v="9"/>
    <x v="4"/>
    <n v="0"/>
    <x v="53"/>
    <x v="2"/>
    <s v="Red"/>
    <x v="4"/>
    <n v="1"/>
    <s v="Yes"/>
    <x v="0"/>
    <s v="Yes"/>
    <n v="37"/>
    <x v="5"/>
    <s v="Quarterly"/>
    <n v="0.1"/>
    <n v="0"/>
    <n v="0"/>
    <s v="Debit Card"/>
    <s v="Normal"/>
    <s v="Poor"/>
  </r>
  <r>
    <n v="4865"/>
    <n v="59"/>
    <x v="0"/>
    <x v="5"/>
    <x v="4"/>
    <n v="0"/>
    <x v="14"/>
    <x v="2"/>
    <s v="Red"/>
    <x v="1"/>
    <n v="1"/>
    <s v="Yes"/>
    <x v="0"/>
    <s v="Yes"/>
    <n v="0"/>
    <x v="5"/>
    <s v="Weekly"/>
    <n v="0.1"/>
    <n v="0"/>
    <n v="0"/>
    <s v="Debit Card"/>
    <s v="Normal"/>
    <s v="Poor"/>
  </r>
  <r>
    <n v="4866"/>
    <n v="23"/>
    <x v="2"/>
    <x v="29"/>
    <x v="3"/>
    <n v="0"/>
    <x v="53"/>
    <x v="1"/>
    <s v="Black"/>
    <x v="0"/>
    <n v="3"/>
    <s v="No"/>
    <x v="3"/>
    <s v="Yes"/>
    <n v="0"/>
    <x v="1"/>
    <s v="Quarterly"/>
    <n v="0.1"/>
    <n v="0"/>
    <n v="0"/>
    <s v="Cash"/>
    <s v="Normal"/>
    <s v="Good"/>
  </r>
  <r>
    <n v="4867"/>
    <n v="23"/>
    <x v="1"/>
    <x v="9"/>
    <x v="4"/>
    <n v="1391.62"/>
    <x v="14"/>
    <x v="2"/>
    <s v="Red"/>
    <x v="0"/>
    <n v="1"/>
    <s v="Yes"/>
    <x v="3"/>
    <s v="No"/>
    <n v="4"/>
    <x v="2"/>
    <s v="Quarterly"/>
    <n v="0.1"/>
    <n v="1252.4579999999999"/>
    <n v="1391.62"/>
    <s v="Credit Card"/>
    <s v="Normal"/>
    <s v="Poor"/>
  </r>
  <r>
    <n v="4868"/>
    <n v="61"/>
    <x v="1"/>
    <x v="5"/>
    <x v="4"/>
    <n v="996.72"/>
    <x v="52"/>
    <x v="2"/>
    <s v="Black"/>
    <x v="0"/>
    <n v="1"/>
    <s v="Yes"/>
    <x v="0"/>
    <s v="Yes"/>
    <n v="0"/>
    <x v="3"/>
    <s v="Monthly"/>
    <n v="0.1"/>
    <n v="897.048"/>
    <n v="996.72"/>
    <s v="PayPal"/>
    <s v="Normal"/>
    <s v="Poor"/>
  </r>
  <r>
    <n v="4869"/>
    <n v="26"/>
    <x v="1"/>
    <x v="25"/>
    <x v="3"/>
    <n v="500.3"/>
    <x v="50"/>
    <x v="2"/>
    <s v="Red"/>
    <x v="0"/>
    <n v="3"/>
    <s v="No"/>
    <x v="0"/>
    <s v="No"/>
    <n v="0"/>
    <x v="3"/>
    <s v="Monthly"/>
    <n v="0.1"/>
    <n v="450.27"/>
    <n v="500.3"/>
    <s v="PayPal"/>
    <s v="Normal"/>
    <s v="Good"/>
  </r>
  <r>
    <n v="4870"/>
    <n v="47"/>
    <x v="0"/>
    <x v="27"/>
    <x v="3"/>
    <n v="0"/>
    <x v="50"/>
    <x v="0"/>
    <s v="Black"/>
    <x v="2"/>
    <n v="1"/>
    <s v="Yes"/>
    <x v="3"/>
    <s v="No"/>
    <n v="33"/>
    <x v="5"/>
    <s v="Monthly"/>
    <n v="0.1"/>
    <n v="0"/>
    <n v="0"/>
    <s v="Debit Card"/>
    <s v="Normal"/>
    <s v="Poor"/>
  </r>
  <r>
    <n v="4871"/>
    <n v="37"/>
    <x v="0"/>
    <x v="9"/>
    <x v="4"/>
    <n v="0"/>
    <x v="50"/>
    <x v="2"/>
    <s v="Green"/>
    <x v="4"/>
    <n v="5"/>
    <s v="Yes"/>
    <x v="0"/>
    <s v="Yes"/>
    <n v="0"/>
    <x v="3"/>
    <s v="Quarterly"/>
    <n v="0.1"/>
    <n v="0"/>
    <n v="0"/>
    <s v="PayPal"/>
    <s v="Normal"/>
    <s v="Good"/>
  </r>
  <r>
    <n v="4872"/>
    <n v="56"/>
    <x v="1"/>
    <x v="29"/>
    <x v="4"/>
    <n v="0"/>
    <x v="52"/>
    <x v="2"/>
    <s v="Red"/>
    <x v="4"/>
    <n v="3"/>
    <s v="No"/>
    <x v="0"/>
    <s v="No"/>
    <n v="46"/>
    <x v="2"/>
    <s v="Monthly"/>
    <n v="0.1"/>
    <n v="0"/>
    <n v="0"/>
    <s v="Credit Card"/>
    <s v="Normal"/>
    <s v="Good"/>
  </r>
  <r>
    <n v="4873"/>
    <n v="32"/>
    <x v="2"/>
    <x v="27"/>
    <x v="3"/>
    <n v="0"/>
    <x v="14"/>
    <x v="2"/>
    <s v="Blue"/>
    <x v="4"/>
    <n v="1"/>
    <s v="Yes"/>
    <x v="3"/>
    <s v="Yes"/>
    <n v="0"/>
    <x v="3"/>
    <s v="Monthly"/>
    <n v="0.1"/>
    <n v="0"/>
    <n v="0"/>
    <s v="PayPal"/>
    <s v="Normal"/>
    <s v="Poor"/>
  </r>
  <r>
    <n v="4874"/>
    <n v="43"/>
    <x v="1"/>
    <x v="28"/>
    <x v="0"/>
    <n v="615.29"/>
    <x v="14"/>
    <x v="3"/>
    <s v="Red"/>
    <x v="4"/>
    <n v="3"/>
    <s v="Yes"/>
    <x v="0"/>
    <s v="No"/>
    <n v="0"/>
    <x v="5"/>
    <s v="Quarterly"/>
    <n v="0.1"/>
    <n v="553.76099999999997"/>
    <n v="615.29"/>
    <s v="Debit Card"/>
    <s v="Normal"/>
    <s v="Good"/>
  </r>
  <r>
    <n v="4875"/>
    <n v="37"/>
    <x v="0"/>
    <x v="27"/>
    <x v="0"/>
    <n v="0"/>
    <x v="51"/>
    <x v="3"/>
    <s v="Blue"/>
    <x v="1"/>
    <n v="4"/>
    <s v="No"/>
    <x v="3"/>
    <s v="No"/>
    <n v="21"/>
    <x v="2"/>
    <s v="Weekly"/>
    <n v="0.1"/>
    <n v="0"/>
    <n v="0"/>
    <s v="Credit Card"/>
    <s v="Normal"/>
    <s v="Good"/>
  </r>
  <r>
    <n v="4876"/>
    <n v="67"/>
    <x v="2"/>
    <x v="26"/>
    <x v="4"/>
    <n v="0"/>
    <x v="51"/>
    <x v="2"/>
    <s v="White"/>
    <x v="1"/>
    <n v="1"/>
    <s v="No"/>
    <x v="3"/>
    <s v="No"/>
    <n v="18"/>
    <x v="1"/>
    <s v="Weekly"/>
    <n v="0.1"/>
    <n v="0"/>
    <n v="0"/>
    <s v="Cash"/>
    <s v="Normal"/>
    <s v="Poor"/>
  </r>
  <r>
    <n v="4877"/>
    <n v="31"/>
    <x v="1"/>
    <x v="26"/>
    <x v="0"/>
    <n v="0"/>
    <x v="50"/>
    <x v="0"/>
    <s v="Black"/>
    <x v="4"/>
    <n v="1"/>
    <s v="No"/>
    <x v="0"/>
    <s v="Yes"/>
    <n v="13"/>
    <x v="2"/>
    <s v="Quarterly"/>
    <n v="0.1"/>
    <n v="0"/>
    <n v="0"/>
    <s v="Credit Card"/>
    <s v="Normal"/>
    <s v="Poor"/>
  </r>
  <r>
    <n v="4878"/>
    <n v="54"/>
    <x v="0"/>
    <x v="9"/>
    <x v="4"/>
    <n v="666.08"/>
    <x v="14"/>
    <x v="2"/>
    <s v="White"/>
    <x v="1"/>
    <n v="2"/>
    <s v="Yes"/>
    <x v="0"/>
    <s v="No"/>
    <n v="36"/>
    <x v="5"/>
    <s v="Weekly"/>
    <n v="0.1"/>
    <n v="599.47199999999998"/>
    <n v="666.08"/>
    <s v="Debit Card"/>
    <s v="Normal"/>
    <s v="Poor"/>
  </r>
  <r>
    <n v="4879"/>
    <n v="59"/>
    <x v="2"/>
    <x v="5"/>
    <x v="4"/>
    <n v="0"/>
    <x v="52"/>
    <x v="2"/>
    <s v="Blue"/>
    <x v="4"/>
    <n v="1"/>
    <s v="Yes"/>
    <x v="3"/>
    <s v="No"/>
    <n v="24"/>
    <x v="3"/>
    <s v="Monthly"/>
    <n v="0.1"/>
    <n v="0"/>
    <n v="0"/>
    <s v="PayPal"/>
    <s v="Normal"/>
    <s v="Poor"/>
  </r>
  <r>
    <n v="4880"/>
    <n v="47"/>
    <x v="1"/>
    <x v="5"/>
    <x v="0"/>
    <n v="990.54"/>
    <x v="14"/>
    <x v="1"/>
    <s v="White"/>
    <x v="4"/>
    <n v="1"/>
    <s v="Yes"/>
    <x v="3"/>
    <s v="Yes"/>
    <n v="0"/>
    <x v="5"/>
    <s v="Monthly"/>
    <n v="0.1"/>
    <n v="891.48599999999999"/>
    <n v="990.54"/>
    <s v="Debit Card"/>
    <s v="Normal"/>
    <s v="Poor"/>
  </r>
  <r>
    <n v="4881"/>
    <n v="41"/>
    <x v="1"/>
    <x v="5"/>
    <x v="0"/>
    <n v="0"/>
    <x v="52"/>
    <x v="0"/>
    <s v="Red"/>
    <x v="2"/>
    <n v="1"/>
    <s v="No"/>
    <x v="0"/>
    <s v="Yes"/>
    <n v="9"/>
    <x v="2"/>
    <s v="Weekly"/>
    <n v="0.1"/>
    <n v="0"/>
    <n v="0"/>
    <s v="Credit Card"/>
    <s v="Normal"/>
    <s v="Poor"/>
  </r>
  <r>
    <n v="4882"/>
    <n v="35"/>
    <x v="2"/>
    <x v="28"/>
    <x v="4"/>
    <n v="1183.94"/>
    <x v="14"/>
    <x v="2"/>
    <s v="Blue"/>
    <x v="4"/>
    <n v="1"/>
    <s v="Yes"/>
    <x v="0"/>
    <s v="Yes"/>
    <n v="13"/>
    <x v="2"/>
    <s v="Quarterly"/>
    <n v="0.1"/>
    <n v="1065.546"/>
    <n v="1183.94"/>
    <s v="Credit Card"/>
    <s v="Normal"/>
    <s v="Poor"/>
  </r>
  <r>
    <n v="4883"/>
    <n v="44"/>
    <x v="0"/>
    <x v="29"/>
    <x v="3"/>
    <n v="1459.62"/>
    <x v="51"/>
    <x v="2"/>
    <s v="White"/>
    <x v="4"/>
    <n v="1"/>
    <s v="Yes"/>
    <x v="3"/>
    <s v="No"/>
    <n v="15"/>
    <x v="3"/>
    <s v="Monthly"/>
    <n v="0.1"/>
    <n v="1313.6579999999999"/>
    <n v="1459.62"/>
    <s v="PayPal"/>
    <s v="Normal"/>
    <s v="Poor"/>
  </r>
  <r>
    <n v="4884"/>
    <n v="43"/>
    <x v="2"/>
    <x v="28"/>
    <x v="0"/>
    <n v="489.56"/>
    <x v="52"/>
    <x v="2"/>
    <s v="Red"/>
    <x v="1"/>
    <n v="2"/>
    <s v="No"/>
    <x v="3"/>
    <s v="Yes"/>
    <n v="32"/>
    <x v="5"/>
    <s v="Weekly"/>
    <n v="0.1"/>
    <n v="440.60399999999998"/>
    <n v="489.56"/>
    <s v="Debit Card"/>
    <s v="Normal"/>
    <s v="Poor"/>
  </r>
  <r>
    <n v="4885"/>
    <n v="51"/>
    <x v="0"/>
    <x v="27"/>
    <x v="4"/>
    <n v="1459.71"/>
    <x v="14"/>
    <x v="2"/>
    <s v="Blue"/>
    <x v="2"/>
    <n v="5"/>
    <s v="Yes"/>
    <x v="0"/>
    <s v="No"/>
    <n v="0"/>
    <x v="3"/>
    <s v="Quarterly"/>
    <n v="0.1"/>
    <n v="1313.739"/>
    <n v="1459.71"/>
    <s v="PayPal"/>
    <s v="Best Customer"/>
    <s v="Good"/>
  </r>
  <r>
    <n v="4886"/>
    <n v="23"/>
    <x v="0"/>
    <x v="26"/>
    <x v="0"/>
    <n v="1067.74"/>
    <x v="51"/>
    <x v="2"/>
    <s v="Red"/>
    <x v="2"/>
    <n v="2"/>
    <s v="Yes"/>
    <x v="3"/>
    <s v="No"/>
    <n v="0"/>
    <x v="2"/>
    <s v="Monthly"/>
    <n v="0.1"/>
    <n v="960.96600000000001"/>
    <n v="1067.74"/>
    <s v="Credit Card"/>
    <s v="Normal"/>
    <s v="Poor"/>
  </r>
  <r>
    <n v="4887"/>
    <n v="64"/>
    <x v="2"/>
    <x v="27"/>
    <x v="3"/>
    <n v="169.1"/>
    <x v="52"/>
    <x v="2"/>
    <s v="Black"/>
    <x v="4"/>
    <n v="5"/>
    <s v="Yes"/>
    <x v="0"/>
    <s v="Yes"/>
    <n v="0"/>
    <x v="2"/>
    <s v="Weekly"/>
    <n v="0.1"/>
    <n v="152.19"/>
    <n v="169.1"/>
    <s v="Credit Card"/>
    <s v="Normal"/>
    <s v="Good"/>
  </r>
  <r>
    <n v="4888"/>
    <n v="65"/>
    <x v="0"/>
    <x v="5"/>
    <x v="4"/>
    <n v="501.36"/>
    <x v="14"/>
    <x v="2"/>
    <s v="Green"/>
    <x v="1"/>
    <n v="1"/>
    <s v="No"/>
    <x v="0"/>
    <s v="Yes"/>
    <n v="49"/>
    <x v="2"/>
    <s v="Monthly"/>
    <n v="0.1"/>
    <n v="451.22399999999999"/>
    <n v="501.36"/>
    <s v="Credit Card"/>
    <s v="Normal"/>
    <s v="Poor"/>
  </r>
  <r>
    <n v="4889"/>
    <n v="60"/>
    <x v="0"/>
    <x v="29"/>
    <x v="3"/>
    <n v="0"/>
    <x v="50"/>
    <x v="2"/>
    <s v="Blue"/>
    <x v="2"/>
    <n v="1"/>
    <s v="No"/>
    <x v="0"/>
    <s v="No"/>
    <n v="3"/>
    <x v="5"/>
    <s v="Monthly"/>
    <n v="0.1"/>
    <n v="0"/>
    <n v="0"/>
    <s v="Debit Card"/>
    <s v="Normal"/>
    <s v="Poor"/>
  </r>
  <r>
    <n v="4890"/>
    <n v="36"/>
    <x v="1"/>
    <x v="27"/>
    <x v="3"/>
    <n v="0"/>
    <x v="50"/>
    <x v="1"/>
    <s v="Blue"/>
    <x v="4"/>
    <n v="5"/>
    <s v="Yes"/>
    <x v="3"/>
    <s v="No"/>
    <n v="0"/>
    <x v="2"/>
    <s v="Weekly"/>
    <n v="0.1"/>
    <n v="0"/>
    <n v="0"/>
    <s v="Credit Card"/>
    <s v="Normal"/>
    <s v="Good"/>
  </r>
  <r>
    <n v="4891"/>
    <n v="41"/>
    <x v="0"/>
    <x v="25"/>
    <x v="0"/>
    <n v="0"/>
    <x v="50"/>
    <x v="0"/>
    <s v="Black"/>
    <x v="0"/>
    <n v="2"/>
    <s v="No"/>
    <x v="0"/>
    <s v="No"/>
    <n v="33"/>
    <x v="3"/>
    <s v="Quarterly"/>
    <n v="0.1"/>
    <n v="0"/>
    <n v="0"/>
    <s v="PayPal"/>
    <s v="Normal"/>
    <s v="Poor"/>
  </r>
  <r>
    <n v="4892"/>
    <n v="44"/>
    <x v="0"/>
    <x v="9"/>
    <x v="0"/>
    <n v="1090.49"/>
    <x v="52"/>
    <x v="0"/>
    <s v="Black"/>
    <x v="4"/>
    <n v="1"/>
    <s v="Yes"/>
    <x v="0"/>
    <s v="Yes"/>
    <n v="32"/>
    <x v="5"/>
    <s v="Weekly"/>
    <n v="0.1"/>
    <n v="981.44100000000003"/>
    <n v="1090.49"/>
    <s v="Debit Card"/>
    <s v="Normal"/>
    <s v="Poor"/>
  </r>
  <r>
    <n v="4893"/>
    <n v="58"/>
    <x v="1"/>
    <x v="29"/>
    <x v="3"/>
    <n v="0"/>
    <x v="51"/>
    <x v="2"/>
    <s v="Black"/>
    <x v="1"/>
    <n v="1"/>
    <s v="No"/>
    <x v="3"/>
    <s v="Yes"/>
    <n v="0"/>
    <x v="3"/>
    <s v="Quarterly"/>
    <n v="0.1"/>
    <n v="0"/>
    <n v="0"/>
    <s v="PayPal"/>
    <s v="Normal"/>
    <s v="Poor"/>
  </r>
  <r>
    <n v="4894"/>
    <n v="24"/>
    <x v="2"/>
    <x v="28"/>
    <x v="3"/>
    <n v="0"/>
    <x v="51"/>
    <x v="0"/>
    <s v="Red"/>
    <x v="1"/>
    <n v="1"/>
    <s v="No"/>
    <x v="3"/>
    <s v="No"/>
    <n v="4"/>
    <x v="3"/>
    <s v="Quarterly"/>
    <n v="0.1"/>
    <n v="0"/>
    <n v="0"/>
    <s v="PayPal"/>
    <s v="Normal"/>
    <s v="Poor"/>
  </r>
  <r>
    <n v="4895"/>
    <n v="26"/>
    <x v="1"/>
    <x v="29"/>
    <x v="3"/>
    <n v="1090.76"/>
    <x v="14"/>
    <x v="0"/>
    <s v="Black"/>
    <x v="1"/>
    <n v="4"/>
    <s v="No"/>
    <x v="0"/>
    <s v="Yes"/>
    <n v="0"/>
    <x v="3"/>
    <s v="Weekly"/>
    <n v="0.1"/>
    <n v="981.68399999999997"/>
    <n v="1090.76"/>
    <s v="PayPal"/>
    <s v="Best Customer"/>
    <s v="Good"/>
  </r>
  <r>
    <n v="4896"/>
    <n v="24"/>
    <x v="1"/>
    <x v="27"/>
    <x v="0"/>
    <n v="0"/>
    <x v="14"/>
    <x v="0"/>
    <s v="White"/>
    <x v="0"/>
    <n v="3"/>
    <s v="No"/>
    <x v="3"/>
    <s v="Yes"/>
    <n v="0"/>
    <x v="5"/>
    <s v="Quarterly"/>
    <n v="0.1"/>
    <n v="0"/>
    <n v="0"/>
    <s v="Debit Card"/>
    <s v="Normal"/>
    <s v="Good"/>
  </r>
  <r>
    <n v="4897"/>
    <n v="51"/>
    <x v="0"/>
    <x v="25"/>
    <x v="3"/>
    <n v="0"/>
    <x v="53"/>
    <x v="1"/>
    <s v="White"/>
    <x v="1"/>
    <n v="1"/>
    <s v="Yes"/>
    <x v="3"/>
    <s v="No"/>
    <n v="0"/>
    <x v="1"/>
    <s v="Monthly"/>
    <n v="0.1"/>
    <n v="0"/>
    <n v="0"/>
    <s v="Cash"/>
    <s v="Normal"/>
    <s v="Poor"/>
  </r>
  <r>
    <n v="4898"/>
    <n v="61"/>
    <x v="1"/>
    <x v="5"/>
    <x v="0"/>
    <n v="0"/>
    <x v="52"/>
    <x v="1"/>
    <s v="Red"/>
    <x v="1"/>
    <n v="1"/>
    <s v="No"/>
    <x v="0"/>
    <s v="No"/>
    <n v="0"/>
    <x v="1"/>
    <s v="Quarterly"/>
    <n v="0.1"/>
    <n v="0"/>
    <n v="0"/>
    <s v="Cash"/>
    <s v="Normal"/>
    <s v="Poor"/>
  </r>
  <r>
    <n v="4899"/>
    <n v="60"/>
    <x v="1"/>
    <x v="25"/>
    <x v="3"/>
    <n v="0"/>
    <x v="50"/>
    <x v="1"/>
    <s v="Red"/>
    <x v="4"/>
    <n v="2"/>
    <s v="No"/>
    <x v="0"/>
    <s v="No"/>
    <n v="0"/>
    <x v="2"/>
    <s v="Weekly"/>
    <n v="0.1"/>
    <n v="0"/>
    <n v="0"/>
    <s v="Credit Card"/>
    <s v="Normal"/>
    <s v="Poor"/>
  </r>
  <r>
    <n v="4900"/>
    <n v="41"/>
    <x v="0"/>
    <x v="26"/>
    <x v="0"/>
    <n v="510.59"/>
    <x v="14"/>
    <x v="0"/>
    <s v="White"/>
    <x v="4"/>
    <n v="1"/>
    <s v="No"/>
    <x v="3"/>
    <s v="No"/>
    <n v="36"/>
    <x v="2"/>
    <s v="Monthly"/>
    <n v="0.1"/>
    <n v="459.53099999999995"/>
    <n v="510.59"/>
    <s v="Credit Card"/>
    <s v="Normal"/>
    <s v="Poor"/>
  </r>
  <r>
    <n v="4901"/>
    <n v="61"/>
    <x v="0"/>
    <x v="5"/>
    <x v="3"/>
    <n v="0"/>
    <x v="53"/>
    <x v="2"/>
    <s v="White"/>
    <x v="4"/>
    <n v="4"/>
    <s v="No"/>
    <x v="3"/>
    <s v="Yes"/>
    <n v="2"/>
    <x v="3"/>
    <s v="Weekly"/>
    <n v="0.1"/>
    <n v="0"/>
    <n v="0"/>
    <s v="PayPal"/>
    <s v="Normal"/>
    <s v="Good"/>
  </r>
  <r>
    <n v="4902"/>
    <n v="29"/>
    <x v="2"/>
    <x v="28"/>
    <x v="0"/>
    <n v="398.16"/>
    <x v="14"/>
    <x v="3"/>
    <s v="Red"/>
    <x v="1"/>
    <n v="1"/>
    <s v="Yes"/>
    <x v="3"/>
    <s v="Yes"/>
    <n v="0"/>
    <x v="2"/>
    <s v="Quarterly"/>
    <n v="0.1"/>
    <n v="358.34400000000005"/>
    <n v="398.16"/>
    <s v="Credit Card"/>
    <s v="Normal"/>
    <s v="Poor"/>
  </r>
  <r>
    <n v="4903"/>
    <n v="59"/>
    <x v="0"/>
    <x v="26"/>
    <x v="4"/>
    <n v="624.48"/>
    <x v="53"/>
    <x v="2"/>
    <s v="Green"/>
    <x v="2"/>
    <n v="5"/>
    <s v="Yes"/>
    <x v="3"/>
    <s v="No"/>
    <n v="26"/>
    <x v="5"/>
    <s v="Quarterly"/>
    <n v="0.1"/>
    <n v="562.03200000000004"/>
    <n v="624.48"/>
    <s v="Debit Card"/>
    <s v="Normal"/>
    <s v="Good"/>
  </r>
  <r>
    <n v="4904"/>
    <n v="20"/>
    <x v="1"/>
    <x v="27"/>
    <x v="0"/>
    <n v="0"/>
    <x v="14"/>
    <x v="3"/>
    <s v="Black"/>
    <x v="2"/>
    <n v="3"/>
    <s v="No"/>
    <x v="3"/>
    <s v="No"/>
    <n v="29"/>
    <x v="3"/>
    <s v="Weekly"/>
    <n v="0.1"/>
    <n v="0"/>
    <n v="0"/>
    <s v="PayPal"/>
    <s v="Normal"/>
    <s v="Good"/>
  </r>
  <r>
    <n v="4905"/>
    <n v="41"/>
    <x v="1"/>
    <x v="28"/>
    <x v="3"/>
    <n v="0"/>
    <x v="51"/>
    <x v="2"/>
    <s v="White"/>
    <x v="1"/>
    <n v="1"/>
    <s v="No"/>
    <x v="3"/>
    <s v="Yes"/>
    <n v="0"/>
    <x v="3"/>
    <s v="Quarterly"/>
    <n v="0.1"/>
    <n v="0"/>
    <n v="0"/>
    <s v="PayPal"/>
    <s v="Normal"/>
    <s v="Poor"/>
  </r>
  <r>
    <n v="4906"/>
    <n v="27"/>
    <x v="0"/>
    <x v="29"/>
    <x v="0"/>
    <n v="1428.07"/>
    <x v="53"/>
    <x v="0"/>
    <s v="White"/>
    <x v="0"/>
    <n v="1"/>
    <s v="No"/>
    <x v="3"/>
    <s v="Yes"/>
    <n v="0"/>
    <x v="1"/>
    <s v="Monthly"/>
    <n v="0.1"/>
    <n v="1285.2629999999999"/>
    <n v="1428.07"/>
    <s v="Cash"/>
    <s v="Normal"/>
    <s v="Poor"/>
  </r>
  <r>
    <n v="4907"/>
    <n v="67"/>
    <x v="1"/>
    <x v="29"/>
    <x v="3"/>
    <n v="1258.57"/>
    <x v="52"/>
    <x v="0"/>
    <s v="White"/>
    <x v="0"/>
    <n v="4"/>
    <s v="No"/>
    <x v="0"/>
    <s v="No"/>
    <n v="0"/>
    <x v="2"/>
    <s v="Quarterly"/>
    <n v="0.1"/>
    <n v="1132.713"/>
    <n v="1258.57"/>
    <s v="Credit Card"/>
    <s v="Best Customer"/>
    <s v="Good"/>
  </r>
  <r>
    <n v="4908"/>
    <n v="21"/>
    <x v="2"/>
    <x v="5"/>
    <x v="0"/>
    <n v="954.21"/>
    <x v="14"/>
    <x v="1"/>
    <s v="Green"/>
    <x v="0"/>
    <n v="1"/>
    <s v="No"/>
    <x v="3"/>
    <s v="Yes"/>
    <n v="0"/>
    <x v="2"/>
    <s v="Weekly"/>
    <n v="0.1"/>
    <n v="858.78899999999999"/>
    <n v="954.21"/>
    <s v="Credit Card"/>
    <s v="Normal"/>
    <s v="Poor"/>
  </r>
  <r>
    <n v="4909"/>
    <n v="59"/>
    <x v="1"/>
    <x v="28"/>
    <x v="4"/>
    <n v="0"/>
    <x v="14"/>
    <x v="2"/>
    <s v="Red"/>
    <x v="1"/>
    <n v="2"/>
    <s v="Yes"/>
    <x v="3"/>
    <s v="Yes"/>
    <n v="40"/>
    <x v="1"/>
    <s v="Monthly"/>
    <n v="0.1"/>
    <n v="0"/>
    <n v="0"/>
    <s v="Cash"/>
    <s v="Normal"/>
    <s v="Poor"/>
  </r>
  <r>
    <n v="4910"/>
    <n v="59"/>
    <x v="2"/>
    <x v="29"/>
    <x v="3"/>
    <n v="0"/>
    <x v="53"/>
    <x v="2"/>
    <s v="Blue"/>
    <x v="0"/>
    <n v="1"/>
    <s v="No"/>
    <x v="3"/>
    <s v="No"/>
    <n v="0"/>
    <x v="2"/>
    <s v="Monthly"/>
    <n v="0.1"/>
    <n v="0"/>
    <n v="0"/>
    <s v="Credit Card"/>
    <s v="Normal"/>
    <s v="Poor"/>
  </r>
  <r>
    <n v="4911"/>
    <n v="48"/>
    <x v="1"/>
    <x v="26"/>
    <x v="0"/>
    <n v="1171.81"/>
    <x v="53"/>
    <x v="1"/>
    <s v="White"/>
    <x v="1"/>
    <n v="1"/>
    <s v="Yes"/>
    <x v="0"/>
    <s v="Yes"/>
    <n v="12"/>
    <x v="1"/>
    <s v="Quarterly"/>
    <n v="0.1"/>
    <n v="1054.6289999999999"/>
    <n v="1171.81"/>
    <s v="Cash"/>
    <s v="Normal"/>
    <s v="Poor"/>
  </r>
  <r>
    <n v="4912"/>
    <n v="60"/>
    <x v="0"/>
    <x v="26"/>
    <x v="0"/>
    <n v="948.69"/>
    <x v="50"/>
    <x v="1"/>
    <s v="Black"/>
    <x v="4"/>
    <n v="1"/>
    <s v="Yes"/>
    <x v="0"/>
    <s v="No"/>
    <n v="23"/>
    <x v="5"/>
    <s v="Weekly"/>
    <n v="0.1"/>
    <n v="853.82100000000003"/>
    <n v="948.69"/>
    <s v="Debit Card"/>
    <s v="Normal"/>
    <s v="Poor"/>
  </r>
  <r>
    <n v="4913"/>
    <n v="67"/>
    <x v="2"/>
    <x v="27"/>
    <x v="4"/>
    <n v="0"/>
    <x v="50"/>
    <x v="2"/>
    <s v="Black"/>
    <x v="1"/>
    <n v="1"/>
    <s v="Yes"/>
    <x v="3"/>
    <s v="No"/>
    <n v="35"/>
    <x v="3"/>
    <s v="Monthly"/>
    <n v="0.1"/>
    <n v="0"/>
    <n v="0"/>
    <s v="PayPal"/>
    <s v="Normal"/>
    <s v="Poor"/>
  </r>
  <r>
    <n v="4914"/>
    <n v="44"/>
    <x v="1"/>
    <x v="25"/>
    <x v="4"/>
    <n v="0"/>
    <x v="53"/>
    <x v="2"/>
    <s v="White"/>
    <x v="4"/>
    <n v="3"/>
    <s v="No"/>
    <x v="3"/>
    <s v="Yes"/>
    <n v="0"/>
    <x v="5"/>
    <s v="Weekly"/>
    <n v="0.1"/>
    <n v="0"/>
    <n v="0"/>
    <s v="Debit Card"/>
    <s v="Normal"/>
    <s v="Good"/>
  </r>
  <r>
    <n v="4915"/>
    <n v="50"/>
    <x v="2"/>
    <x v="5"/>
    <x v="3"/>
    <n v="395.93"/>
    <x v="50"/>
    <x v="1"/>
    <s v="Blue"/>
    <x v="1"/>
    <n v="1"/>
    <s v="No"/>
    <x v="0"/>
    <s v="No"/>
    <n v="37"/>
    <x v="2"/>
    <s v="Quarterly"/>
    <n v="0.1"/>
    <n v="356.33699999999999"/>
    <n v="395.93"/>
    <s v="Credit Card"/>
    <s v="Normal"/>
    <s v="Poor"/>
  </r>
  <r>
    <n v="4916"/>
    <n v="33"/>
    <x v="2"/>
    <x v="5"/>
    <x v="4"/>
    <n v="1185.76"/>
    <x v="50"/>
    <x v="2"/>
    <s v="Blue"/>
    <x v="4"/>
    <n v="2"/>
    <s v="No"/>
    <x v="0"/>
    <s v="No"/>
    <n v="18"/>
    <x v="3"/>
    <s v="Weekly"/>
    <n v="0.1"/>
    <n v="1067.184"/>
    <n v="1185.76"/>
    <s v="PayPal"/>
    <s v="Normal"/>
    <s v="Poor"/>
  </r>
  <r>
    <n v="4917"/>
    <n v="58"/>
    <x v="1"/>
    <x v="28"/>
    <x v="0"/>
    <n v="120.83"/>
    <x v="53"/>
    <x v="0"/>
    <s v="Black"/>
    <x v="4"/>
    <n v="3"/>
    <s v="Yes"/>
    <x v="0"/>
    <s v="No"/>
    <n v="3"/>
    <x v="5"/>
    <s v="Weekly"/>
    <n v="0.1"/>
    <n v="108.747"/>
    <n v="120.83"/>
    <s v="Debit Card"/>
    <s v="Normal"/>
    <s v="Good"/>
  </r>
  <r>
    <n v="4918"/>
    <n v="42"/>
    <x v="1"/>
    <x v="26"/>
    <x v="3"/>
    <n v="1326.78"/>
    <x v="14"/>
    <x v="1"/>
    <s v="Black"/>
    <x v="4"/>
    <n v="5"/>
    <s v="Yes"/>
    <x v="0"/>
    <s v="No"/>
    <n v="38"/>
    <x v="1"/>
    <s v="Monthly"/>
    <n v="0.1"/>
    <n v="1194.1019999999999"/>
    <n v="1326.78"/>
    <s v="Cash"/>
    <s v="Best Customer"/>
    <s v="Good"/>
  </r>
  <r>
    <n v="4919"/>
    <n v="25"/>
    <x v="2"/>
    <x v="28"/>
    <x v="0"/>
    <n v="143.21"/>
    <x v="51"/>
    <x v="1"/>
    <s v="Black"/>
    <x v="2"/>
    <n v="1"/>
    <s v="No"/>
    <x v="0"/>
    <s v="No"/>
    <n v="0"/>
    <x v="2"/>
    <s v="Monthly"/>
    <n v="0.1"/>
    <n v="128.88900000000001"/>
    <n v="143.21"/>
    <s v="Credit Card"/>
    <s v="Normal"/>
    <s v="Poor"/>
  </r>
  <r>
    <n v="4920"/>
    <n v="32"/>
    <x v="0"/>
    <x v="29"/>
    <x v="0"/>
    <n v="0"/>
    <x v="53"/>
    <x v="3"/>
    <s v="Black"/>
    <x v="4"/>
    <n v="5"/>
    <s v="Yes"/>
    <x v="0"/>
    <s v="Yes"/>
    <n v="41"/>
    <x v="3"/>
    <s v="Weekly"/>
    <n v="0.1"/>
    <n v="0"/>
    <n v="0"/>
    <s v="PayPal"/>
    <s v="Normal"/>
    <s v="Good"/>
  </r>
  <r>
    <n v="4921"/>
    <n v="26"/>
    <x v="0"/>
    <x v="28"/>
    <x v="0"/>
    <n v="1072.05"/>
    <x v="51"/>
    <x v="2"/>
    <s v="White"/>
    <x v="0"/>
    <n v="1"/>
    <s v="Yes"/>
    <x v="3"/>
    <s v="No"/>
    <n v="0"/>
    <x v="3"/>
    <s v="Monthly"/>
    <n v="0.1"/>
    <n v="964.84499999999991"/>
    <n v="1072.05"/>
    <s v="PayPal"/>
    <s v="Normal"/>
    <s v="Poor"/>
  </r>
  <r>
    <n v="4922"/>
    <n v="27"/>
    <x v="0"/>
    <x v="5"/>
    <x v="4"/>
    <n v="0"/>
    <x v="53"/>
    <x v="2"/>
    <s v="Black"/>
    <x v="0"/>
    <n v="1"/>
    <s v="Yes"/>
    <x v="3"/>
    <s v="Yes"/>
    <n v="0"/>
    <x v="2"/>
    <s v="Monthly"/>
    <n v="0.1"/>
    <n v="0"/>
    <n v="0"/>
    <s v="Credit Card"/>
    <s v="Normal"/>
    <s v="Poor"/>
  </r>
  <r>
    <n v="4923"/>
    <n v="67"/>
    <x v="0"/>
    <x v="9"/>
    <x v="4"/>
    <n v="0"/>
    <x v="50"/>
    <x v="2"/>
    <s v="Blue"/>
    <x v="2"/>
    <n v="1"/>
    <s v="Yes"/>
    <x v="3"/>
    <s v="No"/>
    <n v="0"/>
    <x v="1"/>
    <s v="Weekly"/>
    <n v="0.1"/>
    <n v="0"/>
    <n v="0"/>
    <s v="Cash"/>
    <s v="Normal"/>
    <s v="Poor"/>
  </r>
  <r>
    <n v="4924"/>
    <n v="55"/>
    <x v="0"/>
    <x v="26"/>
    <x v="3"/>
    <n v="1485.92"/>
    <x v="51"/>
    <x v="1"/>
    <s v="Blue"/>
    <x v="2"/>
    <n v="5"/>
    <s v="No"/>
    <x v="3"/>
    <s v="No"/>
    <n v="0"/>
    <x v="5"/>
    <s v="Monthly"/>
    <n v="0.1"/>
    <n v="1337.328"/>
    <n v="1485.92"/>
    <s v="Debit Card"/>
    <s v="Best Customer"/>
    <s v="Good"/>
  </r>
  <r>
    <n v="4925"/>
    <n v="18"/>
    <x v="2"/>
    <x v="25"/>
    <x v="4"/>
    <n v="577.19000000000005"/>
    <x v="51"/>
    <x v="2"/>
    <s v="Black"/>
    <x v="1"/>
    <n v="2"/>
    <s v="Yes"/>
    <x v="0"/>
    <s v="Yes"/>
    <n v="0"/>
    <x v="2"/>
    <s v="Monthly"/>
    <n v="0.1"/>
    <n v="519.471"/>
    <n v="577.19000000000005"/>
    <s v="Credit Card"/>
    <s v="Normal"/>
    <s v="Poor"/>
  </r>
  <r>
    <n v="4926"/>
    <n v="46"/>
    <x v="0"/>
    <x v="9"/>
    <x v="0"/>
    <n v="0"/>
    <x v="52"/>
    <x v="3"/>
    <s v="Blue"/>
    <x v="2"/>
    <n v="3"/>
    <s v="Yes"/>
    <x v="3"/>
    <s v="No"/>
    <n v="0"/>
    <x v="3"/>
    <s v="Weekly"/>
    <n v="0.1"/>
    <n v="0"/>
    <n v="0"/>
    <s v="PayPal"/>
    <s v="Normal"/>
    <s v="Good"/>
  </r>
  <r>
    <n v="4927"/>
    <n v="34"/>
    <x v="2"/>
    <x v="28"/>
    <x v="0"/>
    <n v="0"/>
    <x v="50"/>
    <x v="0"/>
    <s v="Black"/>
    <x v="4"/>
    <n v="3"/>
    <s v="No"/>
    <x v="3"/>
    <s v="No"/>
    <n v="0"/>
    <x v="5"/>
    <s v="Quarterly"/>
    <n v="0.1"/>
    <n v="0"/>
    <n v="0"/>
    <s v="Debit Card"/>
    <s v="Normal"/>
    <s v="Good"/>
  </r>
  <r>
    <n v="4928"/>
    <n v="62"/>
    <x v="2"/>
    <x v="27"/>
    <x v="0"/>
    <n v="0"/>
    <x v="53"/>
    <x v="2"/>
    <s v="White"/>
    <x v="2"/>
    <n v="1"/>
    <s v="Yes"/>
    <x v="3"/>
    <s v="No"/>
    <n v="4"/>
    <x v="2"/>
    <s v="Weekly"/>
    <n v="0.1"/>
    <n v="0"/>
    <n v="0"/>
    <s v="Credit Card"/>
    <s v="Normal"/>
    <s v="Poor"/>
  </r>
  <r>
    <n v="4929"/>
    <n v="58"/>
    <x v="1"/>
    <x v="28"/>
    <x v="4"/>
    <n v="607.15"/>
    <x v="53"/>
    <x v="2"/>
    <s v="Blue"/>
    <x v="4"/>
    <n v="1"/>
    <s v="Yes"/>
    <x v="3"/>
    <s v="No"/>
    <n v="38"/>
    <x v="5"/>
    <s v="Quarterly"/>
    <n v="0.1"/>
    <n v="546.43499999999995"/>
    <n v="607.15"/>
    <s v="Debit Card"/>
    <s v="Normal"/>
    <s v="Poor"/>
  </r>
  <r>
    <n v="4930"/>
    <n v="25"/>
    <x v="2"/>
    <x v="9"/>
    <x v="3"/>
    <n v="283.64999999999998"/>
    <x v="51"/>
    <x v="2"/>
    <s v="Black"/>
    <x v="4"/>
    <n v="5"/>
    <s v="No"/>
    <x v="3"/>
    <s v="Yes"/>
    <n v="0"/>
    <x v="2"/>
    <s v="Quarterly"/>
    <n v="0.1"/>
    <n v="255.28499999999997"/>
    <n v="283.64999999999998"/>
    <s v="Credit Card"/>
    <s v="Normal"/>
    <s v="Good"/>
  </r>
  <r>
    <n v="4931"/>
    <n v="59"/>
    <x v="2"/>
    <x v="27"/>
    <x v="3"/>
    <n v="0"/>
    <x v="50"/>
    <x v="0"/>
    <s v="Red"/>
    <x v="1"/>
    <n v="1"/>
    <s v="Yes"/>
    <x v="0"/>
    <s v="No"/>
    <n v="0"/>
    <x v="3"/>
    <s v="Quarterly"/>
    <n v="0.1"/>
    <n v="0"/>
    <n v="0"/>
    <s v="PayPal"/>
    <s v="Normal"/>
    <s v="Poor"/>
  </r>
  <r>
    <n v="4932"/>
    <n v="57"/>
    <x v="2"/>
    <x v="27"/>
    <x v="0"/>
    <n v="0"/>
    <x v="50"/>
    <x v="1"/>
    <s v="Green"/>
    <x v="4"/>
    <n v="1"/>
    <s v="Yes"/>
    <x v="0"/>
    <s v="Yes"/>
    <n v="0"/>
    <x v="5"/>
    <s v="Quarterly"/>
    <n v="0.1"/>
    <n v="0"/>
    <n v="0"/>
    <s v="Debit Card"/>
    <s v="Normal"/>
    <s v="Poor"/>
  </r>
  <r>
    <n v="4933"/>
    <n v="44"/>
    <x v="2"/>
    <x v="29"/>
    <x v="3"/>
    <n v="0"/>
    <x v="52"/>
    <x v="1"/>
    <s v="Green"/>
    <x v="2"/>
    <n v="3"/>
    <s v="Yes"/>
    <x v="3"/>
    <s v="Yes"/>
    <n v="0"/>
    <x v="1"/>
    <s v="Monthly"/>
    <n v="0.1"/>
    <n v="0"/>
    <n v="0"/>
    <s v="Cash"/>
    <s v="Normal"/>
    <s v="Good"/>
  </r>
  <r>
    <n v="4934"/>
    <n v="52"/>
    <x v="1"/>
    <x v="25"/>
    <x v="0"/>
    <n v="0"/>
    <x v="14"/>
    <x v="3"/>
    <s v="Black"/>
    <x v="0"/>
    <n v="1"/>
    <s v="Yes"/>
    <x v="0"/>
    <s v="No"/>
    <n v="40"/>
    <x v="2"/>
    <s v="Quarterly"/>
    <n v="0.1"/>
    <n v="0"/>
    <n v="0"/>
    <s v="Credit Card"/>
    <s v="Normal"/>
    <s v="Poor"/>
  </r>
  <r>
    <n v="4935"/>
    <n v="62"/>
    <x v="0"/>
    <x v="9"/>
    <x v="0"/>
    <n v="0"/>
    <x v="14"/>
    <x v="3"/>
    <s v="Black"/>
    <x v="0"/>
    <n v="4"/>
    <s v="Yes"/>
    <x v="0"/>
    <s v="Yes"/>
    <n v="20"/>
    <x v="2"/>
    <s v="Quarterly"/>
    <n v="0.1"/>
    <n v="0"/>
    <n v="0"/>
    <s v="Credit Card"/>
    <s v="Normal"/>
    <s v="Good"/>
  </r>
  <r>
    <n v="4936"/>
    <n v="58"/>
    <x v="1"/>
    <x v="26"/>
    <x v="0"/>
    <n v="0"/>
    <x v="53"/>
    <x v="3"/>
    <s v="Black"/>
    <x v="4"/>
    <n v="2"/>
    <s v="No"/>
    <x v="0"/>
    <s v="No"/>
    <n v="0"/>
    <x v="3"/>
    <s v="Weekly"/>
    <n v="0.1"/>
    <n v="0"/>
    <n v="0"/>
    <s v="PayPal"/>
    <s v="Normal"/>
    <s v="Poor"/>
  </r>
  <r>
    <n v="4937"/>
    <n v="52"/>
    <x v="2"/>
    <x v="29"/>
    <x v="4"/>
    <n v="850.69"/>
    <x v="51"/>
    <x v="2"/>
    <s v="Red"/>
    <x v="0"/>
    <n v="3"/>
    <s v="No"/>
    <x v="0"/>
    <s v="Yes"/>
    <n v="0"/>
    <x v="3"/>
    <s v="Weekly"/>
    <n v="0.1"/>
    <n v="765.62100000000009"/>
    <n v="850.69"/>
    <s v="PayPal"/>
    <s v="Normal"/>
    <s v="Good"/>
  </r>
  <r>
    <n v="4938"/>
    <n v="47"/>
    <x v="1"/>
    <x v="5"/>
    <x v="0"/>
    <n v="914.23"/>
    <x v="52"/>
    <x v="2"/>
    <s v="Green"/>
    <x v="2"/>
    <n v="1"/>
    <s v="No"/>
    <x v="3"/>
    <s v="No"/>
    <n v="0"/>
    <x v="5"/>
    <s v="Weekly"/>
    <n v="0.1"/>
    <n v="822.80700000000002"/>
    <n v="914.23"/>
    <s v="Debit Card"/>
    <s v="Normal"/>
    <s v="Poor"/>
  </r>
  <r>
    <n v="4939"/>
    <n v="65"/>
    <x v="2"/>
    <x v="25"/>
    <x v="0"/>
    <n v="585.59"/>
    <x v="52"/>
    <x v="0"/>
    <s v="White"/>
    <x v="1"/>
    <n v="3"/>
    <s v="No"/>
    <x v="0"/>
    <s v="Yes"/>
    <n v="5"/>
    <x v="5"/>
    <s v="Monthly"/>
    <n v="0.1"/>
    <n v="527.03100000000006"/>
    <n v="585.59"/>
    <s v="Debit Card"/>
    <s v="Normal"/>
    <s v="Good"/>
  </r>
  <r>
    <n v="4940"/>
    <n v="27"/>
    <x v="2"/>
    <x v="29"/>
    <x v="0"/>
    <n v="1439.75"/>
    <x v="50"/>
    <x v="0"/>
    <s v="Red"/>
    <x v="4"/>
    <n v="4"/>
    <s v="Yes"/>
    <x v="0"/>
    <s v="Yes"/>
    <n v="38"/>
    <x v="3"/>
    <s v="Weekly"/>
    <n v="0.1"/>
    <n v="1295.7750000000001"/>
    <n v="1439.75"/>
    <s v="PayPal"/>
    <s v="Best Customer"/>
    <s v="Good"/>
  </r>
  <r>
    <n v="4941"/>
    <n v="31"/>
    <x v="0"/>
    <x v="5"/>
    <x v="0"/>
    <n v="61.25"/>
    <x v="51"/>
    <x v="1"/>
    <s v="White"/>
    <x v="0"/>
    <n v="1"/>
    <s v="Yes"/>
    <x v="3"/>
    <s v="No"/>
    <n v="8"/>
    <x v="3"/>
    <s v="Monthly"/>
    <n v="0.1"/>
    <n v="55.125"/>
    <n v="61.25"/>
    <s v="PayPal"/>
    <s v="Normal"/>
    <s v="Poor"/>
  </r>
  <r>
    <n v="4942"/>
    <n v="62"/>
    <x v="1"/>
    <x v="5"/>
    <x v="0"/>
    <n v="1177.3599999999999"/>
    <x v="51"/>
    <x v="1"/>
    <s v="Black"/>
    <x v="4"/>
    <n v="4"/>
    <s v="No"/>
    <x v="3"/>
    <s v="No"/>
    <n v="0"/>
    <x v="1"/>
    <s v="Monthly"/>
    <n v="0.1"/>
    <n v="1059.6239999999998"/>
    <n v="1177.3599999999999"/>
    <s v="Cash"/>
    <s v="Best Customer"/>
    <s v="Good"/>
  </r>
  <r>
    <n v="4943"/>
    <n v="20"/>
    <x v="0"/>
    <x v="27"/>
    <x v="0"/>
    <n v="1050.6099999999999"/>
    <x v="52"/>
    <x v="3"/>
    <s v="Black"/>
    <x v="0"/>
    <n v="1"/>
    <s v="No"/>
    <x v="0"/>
    <s v="Yes"/>
    <n v="0"/>
    <x v="2"/>
    <s v="Quarterly"/>
    <n v="0.1"/>
    <n v="945.54899999999986"/>
    <n v="1050.6099999999999"/>
    <s v="Credit Card"/>
    <s v="Normal"/>
    <s v="Poor"/>
  </r>
  <r>
    <n v="4944"/>
    <n v="52"/>
    <x v="1"/>
    <x v="27"/>
    <x v="3"/>
    <n v="1124.29"/>
    <x v="53"/>
    <x v="2"/>
    <s v="Red"/>
    <x v="2"/>
    <n v="2"/>
    <s v="Yes"/>
    <x v="0"/>
    <s v="Yes"/>
    <n v="0"/>
    <x v="3"/>
    <s v="Monthly"/>
    <n v="0.1"/>
    <n v="1011.861"/>
    <n v="1124.29"/>
    <s v="PayPal"/>
    <s v="Normal"/>
    <s v="Poor"/>
  </r>
  <r>
    <n v="4945"/>
    <n v="59"/>
    <x v="1"/>
    <x v="5"/>
    <x v="4"/>
    <n v="1343.37"/>
    <x v="50"/>
    <x v="2"/>
    <s v="Red"/>
    <x v="2"/>
    <n v="2"/>
    <s v="No"/>
    <x v="3"/>
    <s v="Yes"/>
    <n v="0"/>
    <x v="2"/>
    <s v="Weekly"/>
    <n v="0.1"/>
    <n v="1209.0329999999999"/>
    <n v="1343.37"/>
    <s v="Credit Card"/>
    <s v="Normal"/>
    <s v="Poor"/>
  </r>
  <r>
    <n v="4946"/>
    <n v="66"/>
    <x v="2"/>
    <x v="5"/>
    <x v="4"/>
    <n v="0"/>
    <x v="52"/>
    <x v="2"/>
    <s v="Red"/>
    <x v="4"/>
    <n v="1"/>
    <s v="Yes"/>
    <x v="0"/>
    <s v="No"/>
    <n v="4"/>
    <x v="5"/>
    <s v="Weekly"/>
    <n v="0.1"/>
    <n v="0"/>
    <n v="0"/>
    <s v="Debit Card"/>
    <s v="Normal"/>
    <s v="Poor"/>
  </r>
  <r>
    <n v="4947"/>
    <n v="50"/>
    <x v="0"/>
    <x v="9"/>
    <x v="3"/>
    <n v="0"/>
    <x v="53"/>
    <x v="0"/>
    <s v="Blue"/>
    <x v="1"/>
    <n v="1"/>
    <s v="No"/>
    <x v="3"/>
    <s v="Yes"/>
    <n v="3"/>
    <x v="1"/>
    <s v="Weekly"/>
    <n v="0.1"/>
    <n v="0"/>
    <n v="0"/>
    <s v="Cash"/>
    <s v="Normal"/>
    <s v="Poor"/>
  </r>
  <r>
    <n v="4948"/>
    <n v="26"/>
    <x v="1"/>
    <x v="25"/>
    <x v="0"/>
    <n v="1293.17"/>
    <x v="51"/>
    <x v="2"/>
    <s v="Green"/>
    <x v="2"/>
    <n v="5"/>
    <s v="Yes"/>
    <x v="0"/>
    <s v="No"/>
    <n v="0"/>
    <x v="1"/>
    <s v="Quarterly"/>
    <n v="0.1"/>
    <n v="1163.8530000000001"/>
    <n v="1293.17"/>
    <s v="Cash"/>
    <s v="Best Customer"/>
    <s v="Good"/>
  </r>
  <r>
    <n v="4949"/>
    <n v="39"/>
    <x v="2"/>
    <x v="27"/>
    <x v="4"/>
    <n v="119.25"/>
    <x v="14"/>
    <x v="2"/>
    <s v="White"/>
    <x v="2"/>
    <n v="1"/>
    <s v="Yes"/>
    <x v="0"/>
    <s v="No"/>
    <n v="28"/>
    <x v="1"/>
    <s v="Monthly"/>
    <n v="0.1"/>
    <n v="107.325"/>
    <n v="119.25"/>
    <s v="Cash"/>
    <s v="Normal"/>
    <s v="Poor"/>
  </r>
  <r>
    <n v="4950"/>
    <n v="19"/>
    <x v="2"/>
    <x v="5"/>
    <x v="0"/>
    <n v="0"/>
    <x v="51"/>
    <x v="0"/>
    <s v="Red"/>
    <x v="0"/>
    <n v="1"/>
    <s v="No"/>
    <x v="0"/>
    <s v="Yes"/>
    <n v="37"/>
    <x v="3"/>
    <s v="Quarterly"/>
    <n v="0.1"/>
    <n v="0"/>
    <n v="0"/>
    <s v="PayPal"/>
    <s v="Normal"/>
    <s v="Poor"/>
  </r>
  <r>
    <n v="4951"/>
    <n v="34"/>
    <x v="0"/>
    <x v="26"/>
    <x v="4"/>
    <n v="0"/>
    <x v="50"/>
    <x v="2"/>
    <s v="Black"/>
    <x v="1"/>
    <n v="1"/>
    <s v="No"/>
    <x v="0"/>
    <s v="No"/>
    <n v="0"/>
    <x v="1"/>
    <s v="Monthly"/>
    <n v="0.1"/>
    <n v="0"/>
    <n v="0"/>
    <s v="Cash"/>
    <s v="Normal"/>
    <s v="Poor"/>
  </r>
  <r>
    <n v="4952"/>
    <n v="27"/>
    <x v="0"/>
    <x v="25"/>
    <x v="3"/>
    <n v="139.43"/>
    <x v="50"/>
    <x v="0"/>
    <s v="Black"/>
    <x v="4"/>
    <n v="1"/>
    <s v="Yes"/>
    <x v="3"/>
    <s v="No"/>
    <n v="4"/>
    <x v="3"/>
    <s v="Weekly"/>
    <n v="0.1"/>
    <n v="125.48700000000001"/>
    <n v="139.43"/>
    <s v="PayPal"/>
    <s v="Normal"/>
    <s v="Poor"/>
  </r>
  <r>
    <n v="4953"/>
    <n v="30"/>
    <x v="0"/>
    <x v="28"/>
    <x v="0"/>
    <n v="207.05"/>
    <x v="50"/>
    <x v="3"/>
    <s v="White"/>
    <x v="1"/>
    <n v="3"/>
    <s v="No"/>
    <x v="3"/>
    <s v="No"/>
    <n v="0"/>
    <x v="2"/>
    <s v="Monthly"/>
    <n v="0.1"/>
    <n v="186.345"/>
    <n v="207.05"/>
    <s v="Credit Card"/>
    <s v="Normal"/>
    <s v="Good"/>
  </r>
  <r>
    <n v="4954"/>
    <n v="18"/>
    <x v="0"/>
    <x v="29"/>
    <x v="4"/>
    <n v="1445.84"/>
    <x v="53"/>
    <x v="2"/>
    <s v="Green"/>
    <x v="4"/>
    <n v="1"/>
    <s v="No"/>
    <x v="0"/>
    <s v="No"/>
    <n v="41"/>
    <x v="2"/>
    <s v="Monthly"/>
    <n v="0.1"/>
    <n v="1301.2559999999999"/>
    <n v="1445.84"/>
    <s v="Credit Card"/>
    <s v="Normal"/>
    <s v="Poor"/>
  </r>
  <r>
    <n v="4955"/>
    <n v="20"/>
    <x v="2"/>
    <x v="27"/>
    <x v="4"/>
    <n v="0"/>
    <x v="51"/>
    <x v="2"/>
    <s v="Red"/>
    <x v="0"/>
    <n v="1"/>
    <s v="No"/>
    <x v="0"/>
    <s v="No"/>
    <n v="3"/>
    <x v="1"/>
    <s v="Quarterly"/>
    <n v="0.1"/>
    <n v="0"/>
    <n v="0"/>
    <s v="Cash"/>
    <s v="Normal"/>
    <s v="Poor"/>
  </r>
  <r>
    <n v="4956"/>
    <n v="69"/>
    <x v="2"/>
    <x v="28"/>
    <x v="0"/>
    <n v="843.8"/>
    <x v="53"/>
    <x v="3"/>
    <s v="Blue"/>
    <x v="4"/>
    <n v="4"/>
    <s v="Yes"/>
    <x v="3"/>
    <s v="No"/>
    <n v="0"/>
    <x v="5"/>
    <s v="Monthly"/>
    <n v="0.1"/>
    <n v="759.42"/>
    <n v="843.8"/>
    <s v="Debit Card"/>
    <s v="Normal"/>
    <s v="Good"/>
  </r>
  <r>
    <n v="4957"/>
    <n v="54"/>
    <x v="2"/>
    <x v="25"/>
    <x v="3"/>
    <n v="0"/>
    <x v="14"/>
    <x v="1"/>
    <s v="Green"/>
    <x v="4"/>
    <n v="5"/>
    <s v="Yes"/>
    <x v="0"/>
    <s v="No"/>
    <n v="21"/>
    <x v="3"/>
    <s v="Weekly"/>
    <n v="0.1"/>
    <n v="0"/>
    <n v="0"/>
    <s v="PayPal"/>
    <s v="Normal"/>
    <s v="Good"/>
  </r>
  <r>
    <n v="4958"/>
    <n v="28"/>
    <x v="1"/>
    <x v="9"/>
    <x v="3"/>
    <n v="0"/>
    <x v="14"/>
    <x v="0"/>
    <s v="Red"/>
    <x v="0"/>
    <n v="2"/>
    <s v="No"/>
    <x v="0"/>
    <s v="Yes"/>
    <n v="0"/>
    <x v="3"/>
    <s v="Monthly"/>
    <n v="0.1"/>
    <n v="0"/>
    <n v="0"/>
    <s v="PayPal"/>
    <s v="Normal"/>
    <s v="Poor"/>
  </r>
  <r>
    <n v="4959"/>
    <n v="27"/>
    <x v="0"/>
    <x v="27"/>
    <x v="0"/>
    <n v="180.8"/>
    <x v="14"/>
    <x v="1"/>
    <s v="Blue"/>
    <x v="1"/>
    <n v="5"/>
    <s v="No"/>
    <x v="0"/>
    <s v="Yes"/>
    <n v="26"/>
    <x v="2"/>
    <s v="Weekly"/>
    <n v="0.1"/>
    <n v="162.72"/>
    <n v="180.8"/>
    <s v="Credit Card"/>
    <s v="Normal"/>
    <s v="Good"/>
  </r>
  <r>
    <n v="4960"/>
    <n v="52"/>
    <x v="0"/>
    <x v="5"/>
    <x v="0"/>
    <n v="286.38"/>
    <x v="52"/>
    <x v="0"/>
    <s v="Black"/>
    <x v="4"/>
    <n v="1"/>
    <s v="Yes"/>
    <x v="0"/>
    <s v="Yes"/>
    <n v="0"/>
    <x v="3"/>
    <s v="Quarterly"/>
    <n v="0.1"/>
    <n v="257.74200000000002"/>
    <n v="286.38"/>
    <s v="PayPal"/>
    <s v="Normal"/>
    <s v="Poor"/>
  </r>
  <r>
    <n v="4961"/>
    <n v="24"/>
    <x v="2"/>
    <x v="9"/>
    <x v="3"/>
    <n v="0"/>
    <x v="53"/>
    <x v="0"/>
    <s v="Red"/>
    <x v="0"/>
    <n v="1"/>
    <s v="No"/>
    <x v="3"/>
    <s v="No"/>
    <n v="45"/>
    <x v="1"/>
    <s v="Quarterly"/>
    <n v="0.1"/>
    <n v="0"/>
    <n v="0"/>
    <s v="Cash"/>
    <s v="Normal"/>
    <s v="Poor"/>
  </r>
  <r>
    <n v="4962"/>
    <n v="44"/>
    <x v="2"/>
    <x v="26"/>
    <x v="3"/>
    <n v="0"/>
    <x v="51"/>
    <x v="0"/>
    <s v="Black"/>
    <x v="0"/>
    <n v="1"/>
    <s v="No"/>
    <x v="3"/>
    <s v="Yes"/>
    <n v="28"/>
    <x v="3"/>
    <s v="Quarterly"/>
    <n v="0.1"/>
    <n v="0"/>
    <n v="0"/>
    <s v="PayPal"/>
    <s v="Normal"/>
    <s v="Poor"/>
  </r>
  <r>
    <n v="4963"/>
    <n v="27"/>
    <x v="1"/>
    <x v="28"/>
    <x v="0"/>
    <n v="0"/>
    <x v="50"/>
    <x v="2"/>
    <s v="Red"/>
    <x v="4"/>
    <n v="1"/>
    <s v="No"/>
    <x v="3"/>
    <s v="Yes"/>
    <n v="0"/>
    <x v="2"/>
    <s v="Quarterly"/>
    <n v="0.1"/>
    <n v="0"/>
    <n v="0"/>
    <s v="Credit Card"/>
    <s v="Normal"/>
    <s v="Poor"/>
  </r>
  <r>
    <n v="4964"/>
    <n v="43"/>
    <x v="2"/>
    <x v="9"/>
    <x v="0"/>
    <n v="0"/>
    <x v="50"/>
    <x v="3"/>
    <s v="Blue"/>
    <x v="0"/>
    <n v="1"/>
    <s v="No"/>
    <x v="0"/>
    <s v="Yes"/>
    <n v="0"/>
    <x v="5"/>
    <s v="Weekly"/>
    <n v="0.1"/>
    <n v="0"/>
    <n v="0"/>
    <s v="Debit Card"/>
    <s v="Normal"/>
    <s v="Poor"/>
  </r>
  <r>
    <n v="4965"/>
    <n v="41"/>
    <x v="1"/>
    <x v="5"/>
    <x v="0"/>
    <n v="0"/>
    <x v="51"/>
    <x v="1"/>
    <s v="Green"/>
    <x v="4"/>
    <n v="4"/>
    <s v="Yes"/>
    <x v="0"/>
    <s v="Yes"/>
    <n v="0"/>
    <x v="2"/>
    <s v="Monthly"/>
    <n v="0.1"/>
    <n v="0"/>
    <n v="0"/>
    <s v="Credit Card"/>
    <s v="Normal"/>
    <s v="Good"/>
  </r>
  <r>
    <n v="4966"/>
    <n v="48"/>
    <x v="0"/>
    <x v="27"/>
    <x v="3"/>
    <n v="287.01"/>
    <x v="50"/>
    <x v="2"/>
    <s v="Blue"/>
    <x v="0"/>
    <n v="3"/>
    <s v="Yes"/>
    <x v="0"/>
    <s v="Yes"/>
    <n v="45"/>
    <x v="2"/>
    <s v="Quarterly"/>
    <n v="0.1"/>
    <n v="258.30899999999997"/>
    <n v="287.01"/>
    <s v="Credit Card"/>
    <s v="Normal"/>
    <s v="Good"/>
  </r>
  <r>
    <n v="4967"/>
    <n v="20"/>
    <x v="2"/>
    <x v="29"/>
    <x v="0"/>
    <n v="0"/>
    <x v="50"/>
    <x v="1"/>
    <s v="White"/>
    <x v="0"/>
    <n v="4"/>
    <s v="No"/>
    <x v="3"/>
    <s v="Yes"/>
    <n v="0"/>
    <x v="5"/>
    <s v="Monthly"/>
    <n v="0.1"/>
    <n v="0"/>
    <n v="0"/>
    <s v="Debit Card"/>
    <s v="Normal"/>
    <s v="Good"/>
  </r>
  <r>
    <n v="4968"/>
    <n v="27"/>
    <x v="0"/>
    <x v="27"/>
    <x v="4"/>
    <n v="897.39"/>
    <x v="14"/>
    <x v="2"/>
    <s v="Black"/>
    <x v="2"/>
    <n v="1"/>
    <s v="No"/>
    <x v="3"/>
    <s v="No"/>
    <n v="0"/>
    <x v="3"/>
    <s v="Monthly"/>
    <n v="0.1"/>
    <n v="807.65099999999995"/>
    <n v="897.39"/>
    <s v="PayPal"/>
    <s v="Normal"/>
    <s v="Poor"/>
  </r>
  <r>
    <n v="4969"/>
    <n v="57"/>
    <x v="1"/>
    <x v="25"/>
    <x v="0"/>
    <n v="1384.26"/>
    <x v="50"/>
    <x v="0"/>
    <s v="Blue"/>
    <x v="0"/>
    <n v="1"/>
    <s v="Yes"/>
    <x v="3"/>
    <s v="No"/>
    <n v="42"/>
    <x v="2"/>
    <s v="Weekly"/>
    <n v="0.1"/>
    <n v="1245.8340000000001"/>
    <n v="1384.26"/>
    <s v="Credit Card"/>
    <s v="Normal"/>
    <s v="Poor"/>
  </r>
  <r>
    <n v="4970"/>
    <n v="66"/>
    <x v="0"/>
    <x v="25"/>
    <x v="3"/>
    <n v="0"/>
    <x v="52"/>
    <x v="1"/>
    <s v="Green"/>
    <x v="2"/>
    <n v="1"/>
    <s v="Yes"/>
    <x v="3"/>
    <s v="No"/>
    <n v="42"/>
    <x v="2"/>
    <s v="Weekly"/>
    <n v="0.1"/>
    <n v="0"/>
    <n v="0"/>
    <s v="Credit Card"/>
    <s v="Normal"/>
    <s v="Poor"/>
  </r>
  <r>
    <n v="4971"/>
    <n v="37"/>
    <x v="0"/>
    <x v="27"/>
    <x v="4"/>
    <n v="0"/>
    <x v="50"/>
    <x v="2"/>
    <s v="Green"/>
    <x v="2"/>
    <n v="1"/>
    <s v="Yes"/>
    <x v="0"/>
    <s v="Yes"/>
    <n v="22"/>
    <x v="1"/>
    <s v="Monthly"/>
    <n v="0.1"/>
    <n v="0"/>
    <n v="0"/>
    <s v="Cash"/>
    <s v="Normal"/>
    <s v="Poor"/>
  </r>
  <r>
    <n v="4972"/>
    <n v="46"/>
    <x v="2"/>
    <x v="28"/>
    <x v="3"/>
    <n v="34.65"/>
    <x v="14"/>
    <x v="2"/>
    <s v="White"/>
    <x v="4"/>
    <n v="4"/>
    <s v="No"/>
    <x v="0"/>
    <s v="Yes"/>
    <n v="3"/>
    <x v="5"/>
    <s v="Monthly"/>
    <n v="0.1"/>
    <n v="31.184999999999999"/>
    <n v="34.65"/>
    <s v="Debit Card"/>
    <s v="Normal"/>
    <s v="Good"/>
  </r>
  <r>
    <n v="4973"/>
    <n v="61"/>
    <x v="1"/>
    <x v="28"/>
    <x v="0"/>
    <n v="0"/>
    <x v="50"/>
    <x v="1"/>
    <s v="Black"/>
    <x v="2"/>
    <n v="4"/>
    <s v="No"/>
    <x v="0"/>
    <s v="No"/>
    <n v="42"/>
    <x v="3"/>
    <s v="Weekly"/>
    <n v="0.1"/>
    <n v="0"/>
    <n v="0"/>
    <s v="PayPal"/>
    <s v="Normal"/>
    <s v="Good"/>
  </r>
  <r>
    <n v="4974"/>
    <n v="49"/>
    <x v="2"/>
    <x v="27"/>
    <x v="0"/>
    <n v="1080.3900000000001"/>
    <x v="14"/>
    <x v="0"/>
    <s v="Blue"/>
    <x v="4"/>
    <n v="2"/>
    <s v="Yes"/>
    <x v="3"/>
    <s v="No"/>
    <n v="0"/>
    <x v="2"/>
    <s v="Monthly"/>
    <n v="0.1"/>
    <n v="972.35100000000011"/>
    <n v="1080.3900000000001"/>
    <s v="Credit Card"/>
    <s v="Normal"/>
    <s v="Poor"/>
  </r>
  <r>
    <n v="4975"/>
    <n v="61"/>
    <x v="0"/>
    <x v="28"/>
    <x v="3"/>
    <n v="0"/>
    <x v="53"/>
    <x v="0"/>
    <s v="Red"/>
    <x v="1"/>
    <n v="5"/>
    <s v="No"/>
    <x v="3"/>
    <s v="Yes"/>
    <n v="3"/>
    <x v="3"/>
    <s v="Weekly"/>
    <n v="0.1"/>
    <n v="0"/>
    <n v="0"/>
    <s v="PayPal"/>
    <s v="Normal"/>
    <s v="Good"/>
  </r>
  <r>
    <n v="4976"/>
    <n v="32"/>
    <x v="1"/>
    <x v="29"/>
    <x v="3"/>
    <n v="1171.49"/>
    <x v="14"/>
    <x v="0"/>
    <s v="Black"/>
    <x v="4"/>
    <n v="1"/>
    <s v="No"/>
    <x v="3"/>
    <s v="Yes"/>
    <n v="49"/>
    <x v="5"/>
    <s v="Weekly"/>
    <n v="0.1"/>
    <n v="1054.3409999999999"/>
    <n v="1171.49"/>
    <s v="Debit Card"/>
    <s v="Normal"/>
    <s v="Poor"/>
  </r>
  <r>
    <n v="4977"/>
    <n v="56"/>
    <x v="1"/>
    <x v="26"/>
    <x v="0"/>
    <n v="1499.76"/>
    <x v="14"/>
    <x v="3"/>
    <s v="Red"/>
    <x v="0"/>
    <n v="4"/>
    <s v="Yes"/>
    <x v="3"/>
    <s v="Yes"/>
    <n v="0"/>
    <x v="5"/>
    <s v="Weekly"/>
    <n v="0.1"/>
    <n v="1349.7840000000001"/>
    <n v="1499.76"/>
    <s v="Debit Card"/>
    <s v="Best Customer"/>
    <s v="Good"/>
  </r>
  <r>
    <n v="4978"/>
    <n v="62"/>
    <x v="2"/>
    <x v="28"/>
    <x v="3"/>
    <n v="0"/>
    <x v="50"/>
    <x v="2"/>
    <s v="White"/>
    <x v="1"/>
    <n v="4"/>
    <s v="Yes"/>
    <x v="3"/>
    <s v="No"/>
    <n v="0"/>
    <x v="1"/>
    <s v="Weekly"/>
    <n v="0.1"/>
    <n v="0"/>
    <n v="0"/>
    <s v="Cash"/>
    <s v="Normal"/>
    <s v="Good"/>
  </r>
  <r>
    <n v="4979"/>
    <n v="63"/>
    <x v="1"/>
    <x v="9"/>
    <x v="3"/>
    <n v="0"/>
    <x v="50"/>
    <x v="0"/>
    <s v="White"/>
    <x v="2"/>
    <n v="1"/>
    <s v="No"/>
    <x v="0"/>
    <s v="Yes"/>
    <n v="22"/>
    <x v="5"/>
    <s v="Quarterly"/>
    <n v="0.1"/>
    <n v="0"/>
    <n v="0"/>
    <s v="Debit Card"/>
    <s v="Normal"/>
    <s v="Poor"/>
  </r>
  <r>
    <n v="4980"/>
    <n v="29"/>
    <x v="1"/>
    <x v="26"/>
    <x v="3"/>
    <n v="0"/>
    <x v="14"/>
    <x v="2"/>
    <s v="Red"/>
    <x v="2"/>
    <n v="4"/>
    <s v="Yes"/>
    <x v="3"/>
    <s v="No"/>
    <n v="33"/>
    <x v="2"/>
    <s v="Weekly"/>
    <n v="0.1"/>
    <n v="0"/>
    <n v="0"/>
    <s v="Credit Card"/>
    <s v="Normal"/>
    <s v="Good"/>
  </r>
  <r>
    <n v="4981"/>
    <n v="33"/>
    <x v="0"/>
    <x v="26"/>
    <x v="0"/>
    <n v="1216.95"/>
    <x v="14"/>
    <x v="0"/>
    <s v="Green"/>
    <x v="4"/>
    <n v="2"/>
    <s v="Yes"/>
    <x v="3"/>
    <s v="No"/>
    <n v="35"/>
    <x v="1"/>
    <s v="Quarterly"/>
    <n v="0.1"/>
    <n v="1095.2550000000001"/>
    <n v="1216.95"/>
    <s v="Cash"/>
    <s v="Normal"/>
    <s v="Poor"/>
  </r>
  <r>
    <n v="4982"/>
    <n v="66"/>
    <x v="1"/>
    <x v="9"/>
    <x v="3"/>
    <n v="0"/>
    <x v="51"/>
    <x v="2"/>
    <s v="White"/>
    <x v="1"/>
    <n v="1"/>
    <s v="Yes"/>
    <x v="0"/>
    <s v="Yes"/>
    <n v="0"/>
    <x v="2"/>
    <s v="Weekly"/>
    <n v="0.1"/>
    <n v="0"/>
    <n v="0"/>
    <s v="Credit Card"/>
    <s v="Normal"/>
    <s v="Poor"/>
  </r>
  <r>
    <n v="4983"/>
    <n v="31"/>
    <x v="1"/>
    <x v="9"/>
    <x v="0"/>
    <n v="820.5"/>
    <x v="14"/>
    <x v="2"/>
    <s v="Green"/>
    <x v="4"/>
    <n v="4"/>
    <s v="No"/>
    <x v="0"/>
    <s v="No"/>
    <n v="0"/>
    <x v="3"/>
    <s v="Weekly"/>
    <n v="0.1"/>
    <n v="738.45"/>
    <n v="820.5"/>
    <s v="PayPal"/>
    <s v="Normal"/>
    <s v="Good"/>
  </r>
  <r>
    <n v="4984"/>
    <n v="24"/>
    <x v="1"/>
    <x v="28"/>
    <x v="4"/>
    <n v="0"/>
    <x v="14"/>
    <x v="2"/>
    <s v="White"/>
    <x v="4"/>
    <n v="1"/>
    <s v="Yes"/>
    <x v="3"/>
    <s v="No"/>
    <n v="1"/>
    <x v="5"/>
    <s v="Monthly"/>
    <n v="0.1"/>
    <n v="0"/>
    <n v="0"/>
    <s v="Debit Card"/>
    <s v="Normal"/>
    <s v="Poor"/>
  </r>
  <r>
    <n v="4985"/>
    <n v="25"/>
    <x v="2"/>
    <x v="9"/>
    <x v="3"/>
    <n v="0"/>
    <x v="53"/>
    <x v="1"/>
    <s v="Black"/>
    <x v="0"/>
    <n v="1"/>
    <s v="Yes"/>
    <x v="0"/>
    <s v="No"/>
    <n v="0"/>
    <x v="5"/>
    <s v="Monthly"/>
    <n v="0.1"/>
    <n v="0"/>
    <n v="0"/>
    <s v="Debit Card"/>
    <s v="Normal"/>
    <s v="Poor"/>
  </r>
  <r>
    <n v="4986"/>
    <n v="42"/>
    <x v="0"/>
    <x v="28"/>
    <x v="0"/>
    <n v="561.64"/>
    <x v="14"/>
    <x v="1"/>
    <s v="Black"/>
    <x v="0"/>
    <n v="2"/>
    <s v="No"/>
    <x v="0"/>
    <s v="Yes"/>
    <n v="0"/>
    <x v="3"/>
    <s v="Monthly"/>
    <n v="0.1"/>
    <n v="505.476"/>
    <n v="561.64"/>
    <s v="PayPal"/>
    <s v="Normal"/>
    <s v="Poor"/>
  </r>
  <r>
    <n v="4987"/>
    <n v="67"/>
    <x v="1"/>
    <x v="27"/>
    <x v="0"/>
    <n v="0"/>
    <x v="52"/>
    <x v="1"/>
    <s v="Green"/>
    <x v="2"/>
    <n v="4"/>
    <s v="No"/>
    <x v="3"/>
    <s v="Yes"/>
    <n v="0"/>
    <x v="1"/>
    <s v="Weekly"/>
    <n v="0.1"/>
    <n v="0"/>
    <n v="0"/>
    <s v="Cash"/>
    <s v="Normal"/>
    <s v="Good"/>
  </r>
  <r>
    <n v="4988"/>
    <n v="46"/>
    <x v="2"/>
    <x v="5"/>
    <x v="3"/>
    <n v="1164.1099999999999"/>
    <x v="51"/>
    <x v="1"/>
    <s v="Green"/>
    <x v="4"/>
    <n v="1"/>
    <s v="Yes"/>
    <x v="0"/>
    <s v="No"/>
    <n v="0"/>
    <x v="3"/>
    <s v="Monthly"/>
    <n v="0.1"/>
    <n v="1047.6989999999998"/>
    <n v="1164.1099999999999"/>
    <s v="PayPal"/>
    <s v="Normal"/>
    <s v="Poor"/>
  </r>
  <r>
    <n v="4989"/>
    <n v="61"/>
    <x v="0"/>
    <x v="28"/>
    <x v="3"/>
    <n v="0"/>
    <x v="51"/>
    <x v="1"/>
    <s v="Red"/>
    <x v="4"/>
    <n v="5"/>
    <s v="Yes"/>
    <x v="3"/>
    <s v="Yes"/>
    <n v="43"/>
    <x v="1"/>
    <s v="Weekly"/>
    <n v="0.1"/>
    <n v="0"/>
    <n v="0"/>
    <s v="Cash"/>
    <s v="Normal"/>
    <s v="Good"/>
  </r>
  <r>
    <n v="4990"/>
    <n v="32"/>
    <x v="1"/>
    <x v="28"/>
    <x v="3"/>
    <n v="76.8"/>
    <x v="50"/>
    <x v="1"/>
    <s v="Blue"/>
    <x v="4"/>
    <n v="5"/>
    <s v="No"/>
    <x v="0"/>
    <s v="No"/>
    <n v="44"/>
    <x v="5"/>
    <s v="Monthly"/>
    <n v="0.1"/>
    <n v="69.12"/>
    <n v="76.8"/>
    <s v="Debit Card"/>
    <s v="Normal"/>
    <s v="Good"/>
  </r>
  <r>
    <n v="4991"/>
    <n v="29"/>
    <x v="2"/>
    <x v="29"/>
    <x v="3"/>
    <n v="1366.1"/>
    <x v="51"/>
    <x v="2"/>
    <s v="Green"/>
    <x v="1"/>
    <n v="2"/>
    <s v="Yes"/>
    <x v="3"/>
    <s v="Yes"/>
    <n v="0"/>
    <x v="5"/>
    <s v="Weekly"/>
    <n v="0.1"/>
    <n v="1229.49"/>
    <n v="1366.1"/>
    <s v="Debit Card"/>
    <s v="Normal"/>
    <s v="Poor"/>
  </r>
  <r>
    <n v="4992"/>
    <n v="70"/>
    <x v="0"/>
    <x v="9"/>
    <x v="0"/>
    <n v="0"/>
    <x v="14"/>
    <x v="2"/>
    <s v="Green"/>
    <x v="2"/>
    <n v="1"/>
    <s v="No"/>
    <x v="3"/>
    <s v="No"/>
    <n v="0"/>
    <x v="2"/>
    <s v="Quarterly"/>
    <n v="0.1"/>
    <n v="0"/>
    <n v="0"/>
    <s v="Credit Card"/>
    <s v="Normal"/>
    <s v="Poor"/>
  </r>
  <r>
    <n v="4993"/>
    <n v="54"/>
    <x v="0"/>
    <x v="26"/>
    <x v="0"/>
    <n v="0"/>
    <x v="51"/>
    <x v="3"/>
    <s v="Green"/>
    <x v="4"/>
    <n v="5"/>
    <s v="Yes"/>
    <x v="0"/>
    <s v="Yes"/>
    <n v="0"/>
    <x v="5"/>
    <s v="Weekly"/>
    <n v="0.1"/>
    <n v="0"/>
    <n v="0"/>
    <s v="Debit Card"/>
    <s v="Normal"/>
    <s v="Good"/>
  </r>
  <r>
    <n v="4994"/>
    <n v="45"/>
    <x v="1"/>
    <x v="26"/>
    <x v="0"/>
    <n v="728.44"/>
    <x v="14"/>
    <x v="0"/>
    <s v="Blue"/>
    <x v="1"/>
    <n v="1"/>
    <s v="Yes"/>
    <x v="0"/>
    <s v="Yes"/>
    <n v="42"/>
    <x v="1"/>
    <s v="Monthly"/>
    <n v="0.1"/>
    <n v="655.596"/>
    <n v="728.44"/>
    <s v="Cash"/>
    <s v="Normal"/>
    <s v="Poor"/>
  </r>
  <r>
    <n v="4995"/>
    <n v="34"/>
    <x v="1"/>
    <x v="29"/>
    <x v="4"/>
    <n v="0"/>
    <x v="51"/>
    <x v="2"/>
    <s v="Black"/>
    <x v="4"/>
    <n v="1"/>
    <s v="No"/>
    <x v="3"/>
    <s v="No"/>
    <n v="6"/>
    <x v="1"/>
    <s v="Quarterly"/>
    <n v="0.1"/>
    <n v="0"/>
    <n v="0"/>
    <s v="Cash"/>
    <s v="Normal"/>
    <s v="Poor"/>
  </r>
  <r>
    <n v="4996"/>
    <n v="56"/>
    <x v="2"/>
    <x v="27"/>
    <x v="0"/>
    <n v="116.74"/>
    <x v="14"/>
    <x v="2"/>
    <s v="Black"/>
    <x v="4"/>
    <n v="1"/>
    <s v="No"/>
    <x v="0"/>
    <s v="No"/>
    <n v="27"/>
    <x v="3"/>
    <s v="Monthly"/>
    <n v="0.1"/>
    <n v="105.066"/>
    <n v="116.74"/>
    <s v="PayPal"/>
    <s v="Normal"/>
    <s v="Poor"/>
  </r>
  <r>
    <n v="4997"/>
    <n v="64"/>
    <x v="2"/>
    <x v="9"/>
    <x v="3"/>
    <n v="349.89"/>
    <x v="53"/>
    <x v="1"/>
    <s v="Black"/>
    <x v="0"/>
    <n v="1"/>
    <s v="No"/>
    <x v="0"/>
    <s v="No"/>
    <n v="0"/>
    <x v="5"/>
    <s v="Quarterly"/>
    <n v="0.1"/>
    <n v="314.90100000000001"/>
    <n v="349.89"/>
    <s v="Debit Card"/>
    <s v="Normal"/>
    <s v="Poor"/>
  </r>
  <r>
    <n v="4998"/>
    <n v="69"/>
    <x v="2"/>
    <x v="25"/>
    <x v="0"/>
    <n v="0"/>
    <x v="52"/>
    <x v="1"/>
    <s v="Red"/>
    <x v="2"/>
    <n v="3"/>
    <s v="Yes"/>
    <x v="3"/>
    <s v="Yes"/>
    <n v="0"/>
    <x v="1"/>
    <s v="Weekly"/>
    <n v="0.1"/>
    <n v="0"/>
    <n v="0"/>
    <s v="Cash"/>
    <s v="Normal"/>
    <s v="Good"/>
  </r>
  <r>
    <n v="4999"/>
    <n v="53"/>
    <x v="2"/>
    <x v="25"/>
    <x v="3"/>
    <n v="1173.99"/>
    <x v="14"/>
    <x v="2"/>
    <s v="Green"/>
    <x v="2"/>
    <n v="1"/>
    <s v="Yes"/>
    <x v="3"/>
    <s v="Yes"/>
    <n v="50"/>
    <x v="1"/>
    <s v="Monthly"/>
    <n v="0.1"/>
    <n v="1056.5909999999999"/>
    <n v="1173.99"/>
    <s v="Cash"/>
    <s v="Normal"/>
    <s v="Poor"/>
  </r>
  <r>
    <n v="5000"/>
    <n v="50"/>
    <x v="1"/>
    <x v="27"/>
    <x v="3"/>
    <n v="238.66"/>
    <x v="51"/>
    <x v="0"/>
    <s v="Green"/>
    <x v="2"/>
    <n v="1"/>
    <s v="No"/>
    <x v="3"/>
    <s v="Yes"/>
    <n v="0"/>
    <x v="3"/>
    <s v="Quarterly"/>
    <n v="0.1"/>
    <n v="214.79399999999998"/>
    <n v="238.66"/>
    <s v="PayPal"/>
    <s v="Normal"/>
    <s v="Poor"/>
  </r>
  <r>
    <n v="5001"/>
    <n v="24"/>
    <x v="2"/>
    <x v="28"/>
    <x v="3"/>
    <n v="0"/>
    <x v="52"/>
    <x v="0"/>
    <s v="Green"/>
    <x v="4"/>
    <n v="3"/>
    <s v="Yes"/>
    <x v="3"/>
    <s v="No"/>
    <n v="45"/>
    <x v="1"/>
    <s v="Weekly"/>
    <n v="0.1"/>
    <n v="0"/>
    <n v="0"/>
    <s v="Cash"/>
    <s v="Normal"/>
    <s v="Good"/>
  </r>
  <r>
    <n v="5002"/>
    <n v="24"/>
    <x v="2"/>
    <x v="28"/>
    <x v="3"/>
    <n v="781.26"/>
    <x v="53"/>
    <x v="0"/>
    <s v="Green"/>
    <x v="2"/>
    <n v="1"/>
    <s v="Yes"/>
    <x v="3"/>
    <s v="Yes"/>
    <n v="41"/>
    <x v="1"/>
    <s v="Weekly"/>
    <n v="0.1"/>
    <n v="703.13400000000001"/>
    <n v="781.26"/>
    <s v="Cash"/>
    <s v="Normal"/>
    <s v="Poor"/>
  </r>
  <r>
    <n v="5003"/>
    <n v="47"/>
    <x v="2"/>
    <x v="29"/>
    <x v="3"/>
    <n v="0"/>
    <x v="50"/>
    <x v="2"/>
    <s v="Green"/>
    <x v="2"/>
    <n v="4"/>
    <s v="No"/>
    <x v="0"/>
    <s v="No"/>
    <n v="0"/>
    <x v="2"/>
    <s v="Monthly"/>
    <n v="0.1"/>
    <n v="0"/>
    <n v="0"/>
    <s v="Credit Card"/>
    <s v="Normal"/>
    <s v="Good"/>
  </r>
  <r>
    <n v="5004"/>
    <n v="46"/>
    <x v="2"/>
    <x v="27"/>
    <x v="4"/>
    <n v="0"/>
    <x v="51"/>
    <x v="2"/>
    <s v="White"/>
    <x v="2"/>
    <n v="1"/>
    <s v="No"/>
    <x v="0"/>
    <s v="No"/>
    <n v="32"/>
    <x v="5"/>
    <s v="Quarterly"/>
    <n v="0.1"/>
    <n v="0"/>
    <n v="0"/>
    <s v="Debit Card"/>
    <s v="Normal"/>
    <s v="Poor"/>
  </r>
  <r>
    <n v="5005"/>
    <n v="60"/>
    <x v="0"/>
    <x v="26"/>
    <x v="4"/>
    <n v="0"/>
    <x v="52"/>
    <x v="2"/>
    <s v="Black"/>
    <x v="1"/>
    <n v="1"/>
    <s v="No"/>
    <x v="0"/>
    <s v="No"/>
    <n v="0"/>
    <x v="1"/>
    <s v="Weekly"/>
    <n v="0.1"/>
    <n v="0"/>
    <n v="0"/>
    <s v="Cash"/>
    <s v="Normal"/>
    <s v="Poor"/>
  </r>
  <r>
    <n v="5006"/>
    <n v="52"/>
    <x v="0"/>
    <x v="25"/>
    <x v="3"/>
    <n v="1397.54"/>
    <x v="14"/>
    <x v="0"/>
    <s v="Black"/>
    <x v="0"/>
    <n v="1"/>
    <s v="No"/>
    <x v="0"/>
    <s v="No"/>
    <n v="0"/>
    <x v="2"/>
    <s v="Quarterly"/>
    <n v="0.1"/>
    <n v="1257.7860000000001"/>
    <n v="1397.54"/>
    <s v="Credit Card"/>
    <s v="Normal"/>
    <s v="Poor"/>
  </r>
  <r>
    <n v="5007"/>
    <n v="56"/>
    <x v="0"/>
    <x v="5"/>
    <x v="0"/>
    <n v="705.99"/>
    <x v="53"/>
    <x v="0"/>
    <s v="Red"/>
    <x v="4"/>
    <n v="3"/>
    <s v="Yes"/>
    <x v="0"/>
    <s v="No"/>
    <n v="34"/>
    <x v="5"/>
    <s v="Quarterly"/>
    <n v="0.1"/>
    <n v="635.39099999999996"/>
    <n v="705.99"/>
    <s v="Debit Card"/>
    <s v="Normal"/>
    <s v="Good"/>
  </r>
  <r>
    <n v="5008"/>
    <n v="63"/>
    <x v="2"/>
    <x v="9"/>
    <x v="4"/>
    <n v="0"/>
    <x v="51"/>
    <x v="2"/>
    <s v="Blue"/>
    <x v="4"/>
    <n v="2"/>
    <s v="No"/>
    <x v="3"/>
    <s v="Yes"/>
    <n v="0"/>
    <x v="5"/>
    <s v="Monthly"/>
    <n v="0.1"/>
    <n v="0"/>
    <n v="0"/>
    <s v="Debit Card"/>
    <s v="Normal"/>
    <s v="Poor"/>
  </r>
  <r>
    <n v="5009"/>
    <n v="35"/>
    <x v="0"/>
    <x v="27"/>
    <x v="0"/>
    <n v="585.1"/>
    <x v="14"/>
    <x v="2"/>
    <s v="Green"/>
    <x v="4"/>
    <n v="4"/>
    <s v="Yes"/>
    <x v="0"/>
    <s v="Yes"/>
    <n v="41"/>
    <x v="2"/>
    <s v="Quarterly"/>
    <n v="0.1"/>
    <n v="526.59"/>
    <n v="585.1"/>
    <s v="Credit Card"/>
    <s v="Normal"/>
    <s v="Good"/>
  </r>
  <r>
    <n v="5010"/>
    <n v="68"/>
    <x v="2"/>
    <x v="25"/>
    <x v="4"/>
    <n v="1064.28"/>
    <x v="14"/>
    <x v="2"/>
    <s v="Green"/>
    <x v="0"/>
    <n v="3"/>
    <s v="No"/>
    <x v="3"/>
    <s v="Yes"/>
    <n v="46"/>
    <x v="1"/>
    <s v="Quarterly"/>
    <n v="0.1"/>
    <n v="957.85199999999998"/>
    <n v="1064.28"/>
    <s v="Cash"/>
    <s v="Normal"/>
    <s v="Good"/>
  </r>
  <r>
    <n v="5011"/>
    <n v="63"/>
    <x v="0"/>
    <x v="29"/>
    <x v="3"/>
    <n v="0"/>
    <x v="14"/>
    <x v="2"/>
    <s v="Green"/>
    <x v="4"/>
    <n v="1"/>
    <s v="Yes"/>
    <x v="3"/>
    <s v="Yes"/>
    <n v="0"/>
    <x v="3"/>
    <s v="Weekly"/>
    <n v="0.1"/>
    <n v="0"/>
    <n v="0"/>
    <s v="PayPal"/>
    <s v="Normal"/>
    <s v="Poor"/>
  </r>
  <r>
    <n v="5012"/>
    <n v="33"/>
    <x v="2"/>
    <x v="29"/>
    <x v="3"/>
    <n v="509.47"/>
    <x v="51"/>
    <x v="2"/>
    <s v="Green"/>
    <x v="1"/>
    <n v="4"/>
    <s v="No"/>
    <x v="0"/>
    <s v="No"/>
    <n v="11"/>
    <x v="5"/>
    <s v="Weekly"/>
    <n v="0.1"/>
    <n v="458.52300000000002"/>
    <n v="509.47"/>
    <s v="Debit Card"/>
    <s v="Normal"/>
    <s v="Good"/>
  </r>
  <r>
    <n v="5013"/>
    <n v="54"/>
    <x v="1"/>
    <x v="27"/>
    <x v="3"/>
    <n v="1436.4"/>
    <x v="50"/>
    <x v="2"/>
    <s v="White"/>
    <x v="4"/>
    <n v="1"/>
    <s v="No"/>
    <x v="0"/>
    <s v="Yes"/>
    <n v="8"/>
    <x v="3"/>
    <s v="Quarterly"/>
    <n v="0.1"/>
    <n v="1292.76"/>
    <n v="1436.4"/>
    <s v="PayPal"/>
    <s v="Normal"/>
    <s v="Poor"/>
  </r>
  <r>
    <n v="5014"/>
    <n v="60"/>
    <x v="1"/>
    <x v="5"/>
    <x v="3"/>
    <n v="0"/>
    <x v="50"/>
    <x v="1"/>
    <s v="Green"/>
    <x v="0"/>
    <n v="2"/>
    <s v="Yes"/>
    <x v="3"/>
    <s v="Yes"/>
    <n v="44"/>
    <x v="5"/>
    <s v="Monthly"/>
    <n v="0.1"/>
    <n v="0"/>
    <n v="0"/>
    <s v="Debit Card"/>
    <s v="Normal"/>
    <s v="Poor"/>
  </r>
  <r>
    <n v="5015"/>
    <n v="54"/>
    <x v="0"/>
    <x v="27"/>
    <x v="0"/>
    <n v="1436.38"/>
    <x v="14"/>
    <x v="1"/>
    <s v="Green"/>
    <x v="4"/>
    <n v="1"/>
    <s v="No"/>
    <x v="0"/>
    <s v="Yes"/>
    <n v="18"/>
    <x v="1"/>
    <s v="Quarterly"/>
    <n v="0.1"/>
    <n v="1292.7420000000002"/>
    <n v="1436.38"/>
    <s v="Cash"/>
    <s v="Normal"/>
    <s v="Poor"/>
  </r>
  <r>
    <n v="5016"/>
    <n v="45"/>
    <x v="2"/>
    <x v="26"/>
    <x v="3"/>
    <n v="992.57"/>
    <x v="50"/>
    <x v="0"/>
    <s v="Black"/>
    <x v="1"/>
    <n v="1"/>
    <s v="No"/>
    <x v="3"/>
    <s v="No"/>
    <n v="0"/>
    <x v="3"/>
    <s v="Weekly"/>
    <n v="0.1"/>
    <n v="893.3130000000001"/>
    <n v="992.57"/>
    <s v="PayPal"/>
    <s v="Normal"/>
    <s v="Poor"/>
  </r>
  <r>
    <n v="5017"/>
    <n v="20"/>
    <x v="2"/>
    <x v="25"/>
    <x v="4"/>
    <n v="193.65"/>
    <x v="52"/>
    <x v="2"/>
    <s v="Blue"/>
    <x v="0"/>
    <n v="1"/>
    <s v="No"/>
    <x v="0"/>
    <s v="Yes"/>
    <n v="0"/>
    <x v="2"/>
    <s v="Monthly"/>
    <n v="0.1"/>
    <n v="174.285"/>
    <n v="193.65"/>
    <s v="Credit Card"/>
    <s v="Normal"/>
    <s v="Poor"/>
  </r>
  <r>
    <n v="5018"/>
    <n v="39"/>
    <x v="2"/>
    <x v="29"/>
    <x v="3"/>
    <n v="1384.92"/>
    <x v="14"/>
    <x v="0"/>
    <s v="Blue"/>
    <x v="0"/>
    <n v="1"/>
    <s v="Yes"/>
    <x v="3"/>
    <s v="Yes"/>
    <n v="0"/>
    <x v="5"/>
    <s v="Monthly"/>
    <n v="0.1"/>
    <n v="1246.4280000000001"/>
    <n v="1384.92"/>
    <s v="Debit Card"/>
    <s v="Normal"/>
    <s v="Poor"/>
  </r>
  <r>
    <n v="5019"/>
    <n v="26"/>
    <x v="1"/>
    <x v="27"/>
    <x v="0"/>
    <n v="0"/>
    <x v="51"/>
    <x v="1"/>
    <s v="Blue"/>
    <x v="0"/>
    <n v="3"/>
    <s v="No"/>
    <x v="3"/>
    <s v="Yes"/>
    <n v="4"/>
    <x v="1"/>
    <s v="Quarterly"/>
    <n v="0.1"/>
    <n v="0"/>
    <n v="0"/>
    <s v="Cash"/>
    <s v="Normal"/>
    <s v="Good"/>
  </r>
  <r>
    <n v="5020"/>
    <n v="25"/>
    <x v="0"/>
    <x v="5"/>
    <x v="0"/>
    <n v="0"/>
    <x v="50"/>
    <x v="2"/>
    <s v="Blue"/>
    <x v="2"/>
    <n v="4"/>
    <s v="Yes"/>
    <x v="3"/>
    <s v="No"/>
    <n v="0"/>
    <x v="5"/>
    <s v="Monthly"/>
    <n v="0.1"/>
    <n v="0"/>
    <n v="0"/>
    <s v="Debit Card"/>
    <s v="Normal"/>
    <s v="Good"/>
  </r>
  <r>
    <n v="5021"/>
    <n v="34"/>
    <x v="0"/>
    <x v="25"/>
    <x v="3"/>
    <n v="0"/>
    <x v="50"/>
    <x v="0"/>
    <s v="Green"/>
    <x v="4"/>
    <n v="3"/>
    <s v="Yes"/>
    <x v="3"/>
    <s v="No"/>
    <n v="0"/>
    <x v="2"/>
    <s v="Weekly"/>
    <n v="0.1"/>
    <n v="0"/>
    <n v="0"/>
    <s v="Credit Card"/>
    <s v="Normal"/>
    <s v="Good"/>
  </r>
  <r>
    <n v="5022"/>
    <n v="68"/>
    <x v="1"/>
    <x v="28"/>
    <x v="3"/>
    <n v="1103.92"/>
    <x v="51"/>
    <x v="0"/>
    <s v="Black"/>
    <x v="0"/>
    <n v="1"/>
    <s v="Yes"/>
    <x v="3"/>
    <s v="No"/>
    <n v="0"/>
    <x v="1"/>
    <s v="Quarterly"/>
    <n v="0.1"/>
    <n v="993.52800000000002"/>
    <n v="1103.92"/>
    <s v="Cash"/>
    <s v="Normal"/>
    <s v="Poor"/>
  </r>
  <r>
    <n v="5023"/>
    <n v="63"/>
    <x v="1"/>
    <x v="27"/>
    <x v="0"/>
    <n v="511.14"/>
    <x v="50"/>
    <x v="2"/>
    <s v="Blue"/>
    <x v="4"/>
    <n v="5"/>
    <s v="No"/>
    <x v="0"/>
    <s v="No"/>
    <n v="14"/>
    <x v="5"/>
    <s v="Weekly"/>
    <n v="0.1"/>
    <n v="460.02599999999995"/>
    <n v="511.14"/>
    <s v="Debit Card"/>
    <s v="Normal"/>
    <s v="Good"/>
  </r>
  <r>
    <n v="5024"/>
    <n v="38"/>
    <x v="2"/>
    <x v="28"/>
    <x v="4"/>
    <n v="0"/>
    <x v="51"/>
    <x v="2"/>
    <s v="Green"/>
    <x v="2"/>
    <n v="1"/>
    <s v="Yes"/>
    <x v="0"/>
    <s v="Yes"/>
    <n v="0"/>
    <x v="5"/>
    <s v="Quarterly"/>
    <n v="0.1"/>
    <n v="0"/>
    <n v="0"/>
    <s v="Debit Card"/>
    <s v="Normal"/>
    <s v="Poor"/>
  </r>
  <r>
    <n v="5025"/>
    <n v="55"/>
    <x v="1"/>
    <x v="26"/>
    <x v="0"/>
    <n v="650.70000000000005"/>
    <x v="14"/>
    <x v="3"/>
    <s v="White"/>
    <x v="4"/>
    <n v="3"/>
    <s v="No"/>
    <x v="3"/>
    <s v="Yes"/>
    <n v="28"/>
    <x v="1"/>
    <s v="Monthly"/>
    <n v="0.1"/>
    <n v="585.63"/>
    <n v="650.70000000000005"/>
    <s v="Cash"/>
    <s v="Normal"/>
    <s v="Good"/>
  </r>
  <r>
    <n v="5026"/>
    <n v="66"/>
    <x v="2"/>
    <x v="25"/>
    <x v="3"/>
    <n v="1311.16"/>
    <x v="51"/>
    <x v="1"/>
    <s v="White"/>
    <x v="4"/>
    <n v="5"/>
    <s v="No"/>
    <x v="0"/>
    <s v="Yes"/>
    <n v="22"/>
    <x v="5"/>
    <s v="Weekly"/>
    <n v="0.1"/>
    <n v="1180.0440000000001"/>
    <n v="1311.16"/>
    <s v="Debit Card"/>
    <s v="Best Customer"/>
    <s v="Good"/>
  </r>
  <r>
    <n v="5027"/>
    <n v="39"/>
    <x v="0"/>
    <x v="25"/>
    <x v="4"/>
    <n v="1430.07"/>
    <x v="53"/>
    <x v="2"/>
    <s v="Blue"/>
    <x v="0"/>
    <n v="2"/>
    <s v="No"/>
    <x v="3"/>
    <s v="No"/>
    <n v="0"/>
    <x v="1"/>
    <s v="Weekly"/>
    <n v="0.1"/>
    <n v="1287.0629999999999"/>
    <n v="1430.07"/>
    <s v="Cash"/>
    <s v="Normal"/>
    <s v="Poor"/>
  </r>
  <r>
    <n v="5028"/>
    <n v="51"/>
    <x v="1"/>
    <x v="29"/>
    <x v="3"/>
    <n v="0"/>
    <x v="52"/>
    <x v="1"/>
    <s v="Black"/>
    <x v="2"/>
    <n v="1"/>
    <s v="No"/>
    <x v="0"/>
    <s v="Yes"/>
    <n v="11"/>
    <x v="3"/>
    <s v="Monthly"/>
    <n v="0.1"/>
    <n v="0"/>
    <n v="0"/>
    <s v="PayPal"/>
    <s v="Normal"/>
    <s v="Poor"/>
  </r>
  <r>
    <n v="5029"/>
    <n v="40"/>
    <x v="0"/>
    <x v="9"/>
    <x v="4"/>
    <n v="1170.72"/>
    <x v="52"/>
    <x v="2"/>
    <s v="Black"/>
    <x v="1"/>
    <n v="4"/>
    <s v="Yes"/>
    <x v="0"/>
    <s v="No"/>
    <n v="3"/>
    <x v="2"/>
    <s v="Weekly"/>
    <n v="0.1"/>
    <n v="1053.6480000000001"/>
    <n v="1170.72"/>
    <s v="Credit Card"/>
    <s v="Best Customer"/>
    <s v="Good"/>
  </r>
  <r>
    <n v="5030"/>
    <n v="23"/>
    <x v="2"/>
    <x v="9"/>
    <x v="3"/>
    <n v="1387.77"/>
    <x v="53"/>
    <x v="2"/>
    <s v="Blue"/>
    <x v="1"/>
    <n v="2"/>
    <s v="Yes"/>
    <x v="0"/>
    <s v="Yes"/>
    <n v="5"/>
    <x v="1"/>
    <s v="Monthly"/>
    <n v="0.1"/>
    <n v="1248.9929999999999"/>
    <n v="1387.77"/>
    <s v="Cash"/>
    <s v="Normal"/>
    <s v="Poor"/>
  </r>
  <r>
    <n v="5031"/>
    <n v="69"/>
    <x v="2"/>
    <x v="5"/>
    <x v="0"/>
    <n v="720.16"/>
    <x v="51"/>
    <x v="1"/>
    <s v="Blue"/>
    <x v="4"/>
    <n v="5"/>
    <s v="No"/>
    <x v="3"/>
    <s v="Yes"/>
    <n v="0"/>
    <x v="1"/>
    <s v="Quarterly"/>
    <n v="0.1"/>
    <n v="648.14400000000001"/>
    <n v="720.16"/>
    <s v="Cash"/>
    <s v="Normal"/>
    <s v="Good"/>
  </r>
  <r>
    <n v="5032"/>
    <n v="24"/>
    <x v="0"/>
    <x v="28"/>
    <x v="0"/>
    <n v="0"/>
    <x v="51"/>
    <x v="3"/>
    <s v="Black"/>
    <x v="4"/>
    <n v="2"/>
    <s v="No"/>
    <x v="0"/>
    <s v="No"/>
    <n v="31"/>
    <x v="1"/>
    <s v="Monthly"/>
    <n v="0.1"/>
    <n v="0"/>
    <n v="0"/>
    <s v="Cash"/>
    <s v="Normal"/>
    <s v="Poor"/>
  </r>
  <r>
    <n v="5033"/>
    <n v="46"/>
    <x v="1"/>
    <x v="26"/>
    <x v="4"/>
    <n v="0"/>
    <x v="14"/>
    <x v="2"/>
    <s v="Red"/>
    <x v="0"/>
    <n v="5"/>
    <s v="Yes"/>
    <x v="3"/>
    <s v="Yes"/>
    <n v="48"/>
    <x v="2"/>
    <s v="Monthly"/>
    <n v="0.1"/>
    <n v="0"/>
    <n v="0"/>
    <s v="Credit Card"/>
    <s v="Normal"/>
    <s v="Good"/>
  </r>
  <r>
    <n v="5034"/>
    <n v="48"/>
    <x v="2"/>
    <x v="29"/>
    <x v="0"/>
    <n v="390.76"/>
    <x v="53"/>
    <x v="0"/>
    <s v="White"/>
    <x v="1"/>
    <n v="4"/>
    <s v="No"/>
    <x v="0"/>
    <s v="Yes"/>
    <n v="0"/>
    <x v="5"/>
    <s v="Monthly"/>
    <n v="0.1"/>
    <n v="351.68399999999997"/>
    <n v="390.76"/>
    <s v="Debit Card"/>
    <s v="Normal"/>
    <s v="Good"/>
  </r>
  <r>
    <n v="5035"/>
    <n v="69"/>
    <x v="1"/>
    <x v="26"/>
    <x v="0"/>
    <n v="966.98"/>
    <x v="53"/>
    <x v="2"/>
    <s v="Black"/>
    <x v="0"/>
    <n v="1"/>
    <s v="Yes"/>
    <x v="0"/>
    <s v="No"/>
    <n v="0"/>
    <x v="5"/>
    <s v="Monthly"/>
    <n v="0.1"/>
    <n v="870.28200000000004"/>
    <n v="966.98"/>
    <s v="Debit Card"/>
    <s v="Normal"/>
    <s v="Poor"/>
  </r>
  <r>
    <n v="5036"/>
    <n v="30"/>
    <x v="1"/>
    <x v="9"/>
    <x v="3"/>
    <n v="0"/>
    <x v="51"/>
    <x v="2"/>
    <s v="Blue"/>
    <x v="2"/>
    <n v="4"/>
    <s v="No"/>
    <x v="0"/>
    <s v="Yes"/>
    <n v="30"/>
    <x v="5"/>
    <s v="Weekly"/>
    <n v="0.1"/>
    <n v="0"/>
    <n v="0"/>
    <s v="Debit Card"/>
    <s v="Normal"/>
    <s v="Good"/>
  </r>
  <r>
    <n v="5037"/>
    <n v="41"/>
    <x v="1"/>
    <x v="27"/>
    <x v="3"/>
    <n v="0"/>
    <x v="14"/>
    <x v="1"/>
    <s v="Green"/>
    <x v="2"/>
    <n v="2"/>
    <s v="Yes"/>
    <x v="3"/>
    <s v="Yes"/>
    <n v="0"/>
    <x v="2"/>
    <s v="Monthly"/>
    <n v="0.1"/>
    <n v="0"/>
    <n v="0"/>
    <s v="Credit Card"/>
    <s v="Normal"/>
    <s v="Poor"/>
  </r>
  <r>
    <n v="5038"/>
    <n v="43"/>
    <x v="2"/>
    <x v="26"/>
    <x v="4"/>
    <n v="851.29"/>
    <x v="51"/>
    <x v="2"/>
    <s v="Green"/>
    <x v="0"/>
    <n v="1"/>
    <s v="No"/>
    <x v="3"/>
    <s v="No"/>
    <n v="0"/>
    <x v="3"/>
    <s v="Weekly"/>
    <n v="0.1"/>
    <n v="766.16099999999994"/>
    <n v="851.29"/>
    <s v="PayPal"/>
    <s v="Normal"/>
    <s v="Poor"/>
  </r>
  <r>
    <n v="5039"/>
    <n v="61"/>
    <x v="0"/>
    <x v="9"/>
    <x v="4"/>
    <n v="835.52"/>
    <x v="51"/>
    <x v="2"/>
    <s v="Blue"/>
    <x v="4"/>
    <n v="5"/>
    <s v="No"/>
    <x v="3"/>
    <s v="No"/>
    <n v="5"/>
    <x v="5"/>
    <s v="Monthly"/>
    <n v="0.1"/>
    <n v="751.96799999999996"/>
    <n v="835.52"/>
    <s v="Debit Card"/>
    <s v="Normal"/>
    <s v="Good"/>
  </r>
  <r>
    <n v="5040"/>
    <n v="27"/>
    <x v="0"/>
    <x v="27"/>
    <x v="4"/>
    <n v="0"/>
    <x v="52"/>
    <x v="2"/>
    <s v="Green"/>
    <x v="0"/>
    <n v="1"/>
    <s v="No"/>
    <x v="0"/>
    <s v="No"/>
    <n v="36"/>
    <x v="2"/>
    <s v="Quarterly"/>
    <n v="0.1"/>
    <n v="0"/>
    <n v="0"/>
    <s v="Credit Card"/>
    <s v="Normal"/>
    <s v="Poor"/>
  </r>
  <r>
    <n v="5041"/>
    <n v="23"/>
    <x v="2"/>
    <x v="27"/>
    <x v="0"/>
    <n v="0"/>
    <x v="52"/>
    <x v="3"/>
    <s v="Black"/>
    <x v="4"/>
    <n v="5"/>
    <s v="Yes"/>
    <x v="3"/>
    <s v="No"/>
    <n v="0"/>
    <x v="2"/>
    <s v="Quarterly"/>
    <n v="0.1"/>
    <n v="0"/>
    <n v="0"/>
    <s v="Credit Card"/>
    <s v="Normal"/>
    <s v="Good"/>
  </r>
  <r>
    <n v="5042"/>
    <n v="46"/>
    <x v="2"/>
    <x v="28"/>
    <x v="0"/>
    <n v="0"/>
    <x v="51"/>
    <x v="2"/>
    <s v="White"/>
    <x v="2"/>
    <n v="1"/>
    <s v="Yes"/>
    <x v="0"/>
    <s v="No"/>
    <n v="31"/>
    <x v="3"/>
    <s v="Monthly"/>
    <n v="0.1"/>
    <n v="0"/>
    <n v="0"/>
    <s v="PayPal"/>
    <s v="Normal"/>
    <s v="Poor"/>
  </r>
  <r>
    <n v="5043"/>
    <n v="38"/>
    <x v="2"/>
    <x v="28"/>
    <x v="0"/>
    <n v="0"/>
    <x v="53"/>
    <x v="3"/>
    <s v="Black"/>
    <x v="0"/>
    <n v="1"/>
    <s v="No"/>
    <x v="3"/>
    <s v="No"/>
    <n v="0"/>
    <x v="5"/>
    <s v="Quarterly"/>
    <n v="0.1"/>
    <n v="0"/>
    <n v="0"/>
    <s v="Debit Card"/>
    <s v="Normal"/>
    <s v="Poor"/>
  </r>
  <r>
    <n v="5044"/>
    <n v="65"/>
    <x v="1"/>
    <x v="28"/>
    <x v="3"/>
    <n v="0"/>
    <x v="51"/>
    <x v="0"/>
    <s v="Black"/>
    <x v="4"/>
    <n v="4"/>
    <s v="Yes"/>
    <x v="0"/>
    <s v="No"/>
    <n v="42"/>
    <x v="5"/>
    <s v="Weekly"/>
    <n v="0.1"/>
    <n v="0"/>
    <n v="0"/>
    <s v="Debit Card"/>
    <s v="Normal"/>
    <s v="Good"/>
  </r>
  <r>
    <n v="5045"/>
    <n v="60"/>
    <x v="0"/>
    <x v="28"/>
    <x v="0"/>
    <n v="476.36"/>
    <x v="53"/>
    <x v="2"/>
    <s v="Black"/>
    <x v="1"/>
    <n v="4"/>
    <s v="No"/>
    <x v="3"/>
    <s v="No"/>
    <n v="2"/>
    <x v="1"/>
    <s v="Monthly"/>
    <n v="0.1"/>
    <n v="428.72399999999999"/>
    <n v="476.36"/>
    <s v="Cash"/>
    <s v="Normal"/>
    <s v="Good"/>
  </r>
  <r>
    <n v="5046"/>
    <n v="70"/>
    <x v="1"/>
    <x v="25"/>
    <x v="3"/>
    <n v="0"/>
    <x v="14"/>
    <x v="2"/>
    <s v="White"/>
    <x v="4"/>
    <n v="1"/>
    <s v="Yes"/>
    <x v="0"/>
    <s v="No"/>
    <n v="0"/>
    <x v="3"/>
    <s v="Quarterly"/>
    <n v="0.1"/>
    <n v="0"/>
    <n v="0"/>
    <s v="PayPal"/>
    <s v="Normal"/>
    <s v="Poor"/>
  </r>
  <r>
    <n v="5047"/>
    <n v="67"/>
    <x v="2"/>
    <x v="26"/>
    <x v="0"/>
    <n v="0"/>
    <x v="14"/>
    <x v="3"/>
    <s v="White"/>
    <x v="2"/>
    <n v="1"/>
    <s v="No"/>
    <x v="0"/>
    <s v="Yes"/>
    <n v="0"/>
    <x v="1"/>
    <s v="Monthly"/>
    <n v="0.1"/>
    <n v="0"/>
    <n v="0"/>
    <s v="Cash"/>
    <s v="Normal"/>
    <s v="Poor"/>
  </r>
  <r>
    <n v="5048"/>
    <n v="23"/>
    <x v="1"/>
    <x v="25"/>
    <x v="3"/>
    <n v="1200.24"/>
    <x v="52"/>
    <x v="1"/>
    <s v="White"/>
    <x v="1"/>
    <n v="1"/>
    <s v="No"/>
    <x v="0"/>
    <s v="Yes"/>
    <n v="16"/>
    <x v="5"/>
    <s v="Quarterly"/>
    <n v="0.1"/>
    <n v="1080.2159999999999"/>
    <n v="1200.24"/>
    <s v="Debit Card"/>
    <s v="Normal"/>
    <s v="Poor"/>
  </r>
  <r>
    <n v="5049"/>
    <n v="43"/>
    <x v="0"/>
    <x v="5"/>
    <x v="0"/>
    <n v="0"/>
    <x v="52"/>
    <x v="1"/>
    <s v="White"/>
    <x v="2"/>
    <n v="1"/>
    <s v="No"/>
    <x v="0"/>
    <s v="No"/>
    <n v="13"/>
    <x v="1"/>
    <s v="Monthly"/>
    <n v="0.1"/>
    <n v="0"/>
    <n v="0"/>
    <s v="Cash"/>
    <s v="Normal"/>
    <s v="Poor"/>
  </r>
  <r>
    <n v="5050"/>
    <n v="44"/>
    <x v="0"/>
    <x v="26"/>
    <x v="4"/>
    <n v="1337.8"/>
    <x v="51"/>
    <x v="2"/>
    <s v="Blue"/>
    <x v="2"/>
    <n v="1"/>
    <s v="Yes"/>
    <x v="3"/>
    <s v="No"/>
    <n v="28"/>
    <x v="2"/>
    <s v="Weekly"/>
    <n v="0.1"/>
    <n v="1204.02"/>
    <n v="1337.8"/>
    <s v="Credit Card"/>
    <s v="Normal"/>
    <s v="Poor"/>
  </r>
  <r>
    <n v="5051"/>
    <n v="34"/>
    <x v="1"/>
    <x v="26"/>
    <x v="3"/>
    <n v="0"/>
    <x v="53"/>
    <x v="0"/>
    <s v="Blue"/>
    <x v="0"/>
    <n v="3"/>
    <s v="Yes"/>
    <x v="3"/>
    <s v="No"/>
    <n v="11"/>
    <x v="1"/>
    <s v="Quarterly"/>
    <n v="0.1"/>
    <n v="0"/>
    <n v="0"/>
    <s v="Cash"/>
    <s v="Normal"/>
    <s v="Good"/>
  </r>
  <r>
    <n v="5052"/>
    <n v="24"/>
    <x v="1"/>
    <x v="25"/>
    <x v="0"/>
    <n v="220.25"/>
    <x v="14"/>
    <x v="1"/>
    <s v="Red"/>
    <x v="4"/>
    <n v="1"/>
    <s v="Yes"/>
    <x v="0"/>
    <s v="No"/>
    <n v="0"/>
    <x v="1"/>
    <s v="Quarterly"/>
    <n v="0.1"/>
    <n v="198.22499999999999"/>
    <n v="220.25"/>
    <s v="Cash"/>
    <s v="Normal"/>
    <s v="Poor"/>
  </r>
  <r>
    <n v="5053"/>
    <n v="36"/>
    <x v="0"/>
    <x v="5"/>
    <x v="0"/>
    <n v="949.74"/>
    <x v="53"/>
    <x v="0"/>
    <s v="White"/>
    <x v="1"/>
    <n v="4"/>
    <s v="Yes"/>
    <x v="0"/>
    <s v="No"/>
    <n v="0"/>
    <x v="1"/>
    <s v="Quarterly"/>
    <n v="0.1"/>
    <n v="854.76599999999996"/>
    <n v="949.74"/>
    <s v="Cash"/>
    <s v="Normal"/>
    <s v="Good"/>
  </r>
  <r>
    <n v="5054"/>
    <n v="42"/>
    <x v="0"/>
    <x v="27"/>
    <x v="3"/>
    <n v="1106.69"/>
    <x v="51"/>
    <x v="1"/>
    <s v="Green"/>
    <x v="1"/>
    <n v="3"/>
    <s v="No"/>
    <x v="0"/>
    <s v="Yes"/>
    <n v="0"/>
    <x v="1"/>
    <s v="Weekly"/>
    <n v="0.1"/>
    <n v="996.02100000000007"/>
    <n v="1106.69"/>
    <s v="Cash"/>
    <s v="Normal"/>
    <s v="Good"/>
  </r>
  <r>
    <n v="5055"/>
    <n v="66"/>
    <x v="0"/>
    <x v="26"/>
    <x v="3"/>
    <n v="0"/>
    <x v="14"/>
    <x v="1"/>
    <s v="White"/>
    <x v="1"/>
    <n v="1"/>
    <s v="No"/>
    <x v="3"/>
    <s v="Yes"/>
    <n v="36"/>
    <x v="1"/>
    <s v="Monthly"/>
    <n v="0.1"/>
    <n v="0"/>
    <n v="0"/>
    <s v="Cash"/>
    <s v="Normal"/>
    <s v="Poor"/>
  </r>
  <r>
    <n v="5056"/>
    <n v="38"/>
    <x v="1"/>
    <x v="5"/>
    <x v="4"/>
    <n v="210.55"/>
    <x v="50"/>
    <x v="2"/>
    <s v="White"/>
    <x v="4"/>
    <n v="3"/>
    <s v="No"/>
    <x v="3"/>
    <s v="No"/>
    <n v="0"/>
    <x v="3"/>
    <s v="Quarterly"/>
    <n v="0.1"/>
    <n v="189.495"/>
    <n v="210.55"/>
    <s v="PayPal"/>
    <s v="Normal"/>
    <s v="Good"/>
  </r>
  <r>
    <n v="5057"/>
    <n v="33"/>
    <x v="0"/>
    <x v="5"/>
    <x v="4"/>
    <n v="1103.3599999999999"/>
    <x v="51"/>
    <x v="2"/>
    <s v="Black"/>
    <x v="2"/>
    <n v="1"/>
    <s v="No"/>
    <x v="3"/>
    <s v="Yes"/>
    <n v="6"/>
    <x v="2"/>
    <s v="Monthly"/>
    <n v="0.1"/>
    <n v="993.02399999999989"/>
    <n v="1103.3599999999999"/>
    <s v="Credit Card"/>
    <s v="Normal"/>
    <s v="Poor"/>
  </r>
  <r>
    <n v="5058"/>
    <n v="63"/>
    <x v="2"/>
    <x v="5"/>
    <x v="4"/>
    <n v="1342.62"/>
    <x v="51"/>
    <x v="2"/>
    <s v="Blue"/>
    <x v="1"/>
    <n v="4"/>
    <s v="Yes"/>
    <x v="3"/>
    <s v="Yes"/>
    <n v="0"/>
    <x v="3"/>
    <s v="Quarterly"/>
    <n v="0.1"/>
    <n v="1208.3579999999999"/>
    <n v="1342.62"/>
    <s v="PayPal"/>
    <s v="Best Customer"/>
    <s v="Good"/>
  </r>
  <r>
    <n v="5059"/>
    <n v="62"/>
    <x v="2"/>
    <x v="28"/>
    <x v="4"/>
    <n v="142.24"/>
    <x v="50"/>
    <x v="2"/>
    <s v="Blue"/>
    <x v="4"/>
    <n v="1"/>
    <s v="Yes"/>
    <x v="3"/>
    <s v="Yes"/>
    <n v="28"/>
    <x v="5"/>
    <s v="Quarterly"/>
    <n v="0.1"/>
    <n v="128.01600000000002"/>
    <n v="142.24"/>
    <s v="Debit Card"/>
    <s v="Normal"/>
    <s v="Poor"/>
  </r>
  <r>
    <n v="5060"/>
    <n v="52"/>
    <x v="2"/>
    <x v="29"/>
    <x v="4"/>
    <n v="63.86"/>
    <x v="52"/>
    <x v="2"/>
    <s v="Black"/>
    <x v="2"/>
    <n v="5"/>
    <s v="Yes"/>
    <x v="3"/>
    <s v="No"/>
    <n v="35"/>
    <x v="2"/>
    <s v="Quarterly"/>
    <n v="0.1"/>
    <n v="57.473999999999997"/>
    <n v="63.86"/>
    <s v="Credit Card"/>
    <s v="Normal"/>
    <s v="Good"/>
  </r>
  <r>
    <n v="5061"/>
    <n v="49"/>
    <x v="1"/>
    <x v="26"/>
    <x v="3"/>
    <n v="1138.19"/>
    <x v="51"/>
    <x v="0"/>
    <s v="Blue"/>
    <x v="1"/>
    <n v="1"/>
    <s v="No"/>
    <x v="3"/>
    <s v="Yes"/>
    <n v="16"/>
    <x v="5"/>
    <s v="Weekly"/>
    <n v="0.1"/>
    <n v="1024.3710000000001"/>
    <n v="1138.19"/>
    <s v="Debit Card"/>
    <s v="Normal"/>
    <s v="Poor"/>
  </r>
  <r>
    <n v="5062"/>
    <n v="68"/>
    <x v="2"/>
    <x v="26"/>
    <x v="3"/>
    <n v="302.16000000000003"/>
    <x v="51"/>
    <x v="2"/>
    <s v="Green"/>
    <x v="1"/>
    <n v="1"/>
    <s v="Yes"/>
    <x v="3"/>
    <s v="Yes"/>
    <n v="37"/>
    <x v="1"/>
    <s v="Quarterly"/>
    <n v="0.1"/>
    <n v="271.94400000000002"/>
    <n v="302.16000000000003"/>
    <s v="Cash"/>
    <s v="Normal"/>
    <s v="Poor"/>
  </r>
  <r>
    <n v="5063"/>
    <n v="31"/>
    <x v="0"/>
    <x v="28"/>
    <x v="4"/>
    <n v="0"/>
    <x v="53"/>
    <x v="2"/>
    <s v="Blue"/>
    <x v="0"/>
    <n v="1"/>
    <s v="Yes"/>
    <x v="3"/>
    <s v="Yes"/>
    <n v="1"/>
    <x v="5"/>
    <s v="Monthly"/>
    <n v="0.1"/>
    <n v="0"/>
    <n v="0"/>
    <s v="Debit Card"/>
    <s v="Normal"/>
    <s v="Poor"/>
  </r>
  <r>
    <n v="5064"/>
    <n v="20"/>
    <x v="2"/>
    <x v="9"/>
    <x v="0"/>
    <n v="133.72"/>
    <x v="51"/>
    <x v="1"/>
    <s v="Blue"/>
    <x v="1"/>
    <n v="1"/>
    <s v="No"/>
    <x v="0"/>
    <s v="Yes"/>
    <n v="0"/>
    <x v="1"/>
    <s v="Quarterly"/>
    <n v="0.1"/>
    <n v="120.348"/>
    <n v="133.72"/>
    <s v="Cash"/>
    <s v="Normal"/>
    <s v="Poor"/>
  </r>
  <r>
    <n v="5065"/>
    <n v="48"/>
    <x v="2"/>
    <x v="27"/>
    <x v="4"/>
    <n v="0"/>
    <x v="52"/>
    <x v="2"/>
    <s v="Red"/>
    <x v="1"/>
    <n v="4"/>
    <s v="No"/>
    <x v="0"/>
    <s v="Yes"/>
    <n v="0"/>
    <x v="5"/>
    <s v="Monthly"/>
    <n v="0.1"/>
    <n v="0"/>
    <n v="0"/>
    <s v="Debit Card"/>
    <s v="Normal"/>
    <s v="Good"/>
  </r>
  <r>
    <n v="5066"/>
    <n v="59"/>
    <x v="2"/>
    <x v="5"/>
    <x v="0"/>
    <n v="876.68"/>
    <x v="52"/>
    <x v="0"/>
    <s v="Blue"/>
    <x v="4"/>
    <n v="1"/>
    <s v="Yes"/>
    <x v="0"/>
    <s v="Yes"/>
    <n v="0"/>
    <x v="3"/>
    <s v="Monthly"/>
    <n v="0.1"/>
    <n v="789.01199999999994"/>
    <n v="876.68"/>
    <s v="PayPal"/>
    <s v="Normal"/>
    <s v="Poor"/>
  </r>
  <r>
    <n v="5067"/>
    <n v="18"/>
    <x v="0"/>
    <x v="29"/>
    <x v="0"/>
    <n v="1310.4000000000001"/>
    <x v="50"/>
    <x v="1"/>
    <s v="Black"/>
    <x v="1"/>
    <n v="1"/>
    <s v="Yes"/>
    <x v="0"/>
    <s v="No"/>
    <n v="41"/>
    <x v="1"/>
    <s v="Monthly"/>
    <n v="0.1"/>
    <n v="1179.3600000000001"/>
    <n v="1310.4000000000001"/>
    <s v="Cash"/>
    <s v="Normal"/>
    <s v="Poor"/>
  </r>
  <r>
    <n v="5068"/>
    <n v="68"/>
    <x v="1"/>
    <x v="9"/>
    <x v="4"/>
    <n v="0"/>
    <x v="51"/>
    <x v="2"/>
    <s v="Black"/>
    <x v="0"/>
    <n v="1"/>
    <s v="Yes"/>
    <x v="3"/>
    <s v="Yes"/>
    <n v="0"/>
    <x v="5"/>
    <s v="Quarterly"/>
    <n v="0.1"/>
    <n v="0"/>
    <n v="0"/>
    <s v="Debit Card"/>
    <s v="Normal"/>
    <s v="Poor"/>
  </r>
  <r>
    <n v="5069"/>
    <n v="25"/>
    <x v="0"/>
    <x v="9"/>
    <x v="4"/>
    <n v="0"/>
    <x v="14"/>
    <x v="2"/>
    <s v="Blue"/>
    <x v="0"/>
    <n v="4"/>
    <s v="No"/>
    <x v="3"/>
    <s v="No"/>
    <n v="0"/>
    <x v="2"/>
    <s v="Weekly"/>
    <n v="0.1"/>
    <n v="0"/>
    <n v="0"/>
    <s v="Credit Card"/>
    <s v="Normal"/>
    <s v="Good"/>
  </r>
  <r>
    <n v="5070"/>
    <n v="37"/>
    <x v="2"/>
    <x v="26"/>
    <x v="4"/>
    <n v="0"/>
    <x v="51"/>
    <x v="2"/>
    <s v="Black"/>
    <x v="4"/>
    <n v="2"/>
    <s v="No"/>
    <x v="3"/>
    <s v="No"/>
    <n v="5"/>
    <x v="5"/>
    <s v="Quarterly"/>
    <n v="0.1"/>
    <n v="0"/>
    <n v="0"/>
    <s v="Debit Card"/>
    <s v="Normal"/>
    <s v="Poor"/>
  </r>
  <r>
    <n v="5071"/>
    <n v="66"/>
    <x v="2"/>
    <x v="29"/>
    <x v="0"/>
    <n v="0"/>
    <x v="52"/>
    <x v="1"/>
    <s v="Red"/>
    <x v="0"/>
    <n v="3"/>
    <s v="Yes"/>
    <x v="3"/>
    <s v="Yes"/>
    <n v="29"/>
    <x v="5"/>
    <s v="Monthly"/>
    <n v="0.1"/>
    <n v="0"/>
    <n v="0"/>
    <s v="Debit Card"/>
    <s v="Normal"/>
    <s v="Good"/>
  </r>
  <r>
    <n v="5072"/>
    <n v="28"/>
    <x v="1"/>
    <x v="5"/>
    <x v="3"/>
    <n v="0"/>
    <x v="53"/>
    <x v="0"/>
    <s v="Red"/>
    <x v="0"/>
    <n v="4"/>
    <s v="No"/>
    <x v="3"/>
    <s v="No"/>
    <n v="29"/>
    <x v="1"/>
    <s v="Quarterly"/>
    <n v="0.1"/>
    <n v="0"/>
    <n v="0"/>
    <s v="Cash"/>
    <s v="Normal"/>
    <s v="Good"/>
  </r>
  <r>
    <n v="5073"/>
    <n v="34"/>
    <x v="1"/>
    <x v="28"/>
    <x v="4"/>
    <n v="0"/>
    <x v="14"/>
    <x v="2"/>
    <s v="Blue"/>
    <x v="4"/>
    <n v="1"/>
    <s v="Yes"/>
    <x v="3"/>
    <s v="No"/>
    <n v="0"/>
    <x v="3"/>
    <s v="Monthly"/>
    <n v="0.1"/>
    <n v="0"/>
    <n v="0"/>
    <s v="PayPal"/>
    <s v="Normal"/>
    <s v="Poor"/>
  </r>
  <r>
    <n v="5074"/>
    <n v="24"/>
    <x v="2"/>
    <x v="29"/>
    <x v="3"/>
    <n v="275.67"/>
    <x v="52"/>
    <x v="0"/>
    <s v="White"/>
    <x v="0"/>
    <n v="1"/>
    <s v="Yes"/>
    <x v="3"/>
    <s v="No"/>
    <n v="0"/>
    <x v="1"/>
    <s v="Weekly"/>
    <n v="0.1"/>
    <n v="248.10300000000001"/>
    <n v="275.67"/>
    <s v="Cash"/>
    <s v="Normal"/>
    <s v="Poor"/>
  </r>
  <r>
    <n v="5075"/>
    <n v="69"/>
    <x v="0"/>
    <x v="25"/>
    <x v="3"/>
    <n v="377.18"/>
    <x v="14"/>
    <x v="2"/>
    <s v="Black"/>
    <x v="1"/>
    <n v="3"/>
    <s v="No"/>
    <x v="3"/>
    <s v="No"/>
    <n v="35"/>
    <x v="2"/>
    <s v="Monthly"/>
    <n v="0.1"/>
    <n v="339.46199999999999"/>
    <n v="377.18"/>
    <s v="Credit Card"/>
    <s v="Normal"/>
    <s v="Good"/>
  </r>
  <r>
    <n v="5076"/>
    <n v="53"/>
    <x v="0"/>
    <x v="28"/>
    <x v="0"/>
    <n v="12.41"/>
    <x v="51"/>
    <x v="2"/>
    <s v="White"/>
    <x v="2"/>
    <n v="5"/>
    <s v="No"/>
    <x v="3"/>
    <s v="Yes"/>
    <n v="50"/>
    <x v="2"/>
    <s v="Monthly"/>
    <n v="0.1"/>
    <n v="11.169"/>
    <n v="12.41"/>
    <s v="Credit Card"/>
    <s v="Normal"/>
    <s v="Good"/>
  </r>
  <r>
    <n v="5077"/>
    <n v="34"/>
    <x v="2"/>
    <x v="26"/>
    <x v="3"/>
    <n v="1352.9"/>
    <x v="53"/>
    <x v="0"/>
    <s v="Green"/>
    <x v="4"/>
    <n v="1"/>
    <s v="Yes"/>
    <x v="0"/>
    <s v="Yes"/>
    <n v="39"/>
    <x v="5"/>
    <s v="Quarterly"/>
    <n v="0.1"/>
    <n v="1217.6100000000001"/>
    <n v="1352.9"/>
    <s v="Debit Card"/>
    <s v="Normal"/>
    <s v="Poor"/>
  </r>
  <r>
    <n v="5078"/>
    <n v="62"/>
    <x v="0"/>
    <x v="27"/>
    <x v="0"/>
    <n v="0"/>
    <x v="52"/>
    <x v="1"/>
    <s v="Black"/>
    <x v="2"/>
    <n v="1"/>
    <s v="No"/>
    <x v="3"/>
    <s v="No"/>
    <n v="0"/>
    <x v="2"/>
    <s v="Quarterly"/>
    <n v="0.1"/>
    <n v="0"/>
    <n v="0"/>
    <s v="Credit Card"/>
    <s v="Normal"/>
    <s v="Poor"/>
  </r>
  <r>
    <n v="5079"/>
    <n v="60"/>
    <x v="1"/>
    <x v="9"/>
    <x v="3"/>
    <n v="0"/>
    <x v="14"/>
    <x v="2"/>
    <s v="Black"/>
    <x v="1"/>
    <n v="1"/>
    <s v="Yes"/>
    <x v="0"/>
    <s v="No"/>
    <n v="0"/>
    <x v="2"/>
    <s v="Quarterly"/>
    <n v="0.1"/>
    <n v="0"/>
    <n v="0"/>
    <s v="Credit Card"/>
    <s v="Normal"/>
    <s v="Poor"/>
  </r>
  <r>
    <n v="5080"/>
    <n v="63"/>
    <x v="0"/>
    <x v="5"/>
    <x v="4"/>
    <n v="0"/>
    <x v="52"/>
    <x v="2"/>
    <s v="Black"/>
    <x v="2"/>
    <n v="1"/>
    <s v="Yes"/>
    <x v="0"/>
    <s v="No"/>
    <n v="0"/>
    <x v="5"/>
    <s v="Monthly"/>
    <n v="0.1"/>
    <n v="0"/>
    <n v="0"/>
    <s v="Debit Card"/>
    <s v="Normal"/>
    <s v="Poor"/>
  </r>
  <r>
    <n v="5081"/>
    <n v="37"/>
    <x v="2"/>
    <x v="28"/>
    <x v="4"/>
    <n v="1103.56"/>
    <x v="50"/>
    <x v="2"/>
    <s v="Green"/>
    <x v="4"/>
    <n v="3"/>
    <s v="No"/>
    <x v="3"/>
    <s v="No"/>
    <n v="17"/>
    <x v="5"/>
    <s v="Weekly"/>
    <n v="0.1"/>
    <n v="993.20399999999995"/>
    <n v="1103.56"/>
    <s v="Debit Card"/>
    <s v="Normal"/>
    <s v="Good"/>
  </r>
  <r>
    <n v="5082"/>
    <n v="56"/>
    <x v="1"/>
    <x v="27"/>
    <x v="3"/>
    <n v="1186.98"/>
    <x v="52"/>
    <x v="2"/>
    <s v="Black"/>
    <x v="4"/>
    <n v="1"/>
    <s v="Yes"/>
    <x v="3"/>
    <s v="No"/>
    <n v="0"/>
    <x v="2"/>
    <s v="Weekly"/>
    <n v="0.1"/>
    <n v="1068.2819999999999"/>
    <n v="1186.98"/>
    <s v="Credit Card"/>
    <s v="Normal"/>
    <s v="Poor"/>
  </r>
  <r>
    <n v="5083"/>
    <n v="42"/>
    <x v="2"/>
    <x v="9"/>
    <x v="4"/>
    <n v="758.1"/>
    <x v="53"/>
    <x v="2"/>
    <s v="White"/>
    <x v="4"/>
    <n v="1"/>
    <s v="No"/>
    <x v="3"/>
    <s v="No"/>
    <n v="48"/>
    <x v="3"/>
    <s v="Quarterly"/>
    <n v="0.1"/>
    <n v="682.29"/>
    <n v="758.1"/>
    <s v="PayPal"/>
    <s v="Normal"/>
    <s v="Poor"/>
  </r>
  <r>
    <n v="5084"/>
    <n v="53"/>
    <x v="0"/>
    <x v="26"/>
    <x v="4"/>
    <n v="0"/>
    <x v="53"/>
    <x v="2"/>
    <s v="Blue"/>
    <x v="1"/>
    <n v="1"/>
    <s v="No"/>
    <x v="0"/>
    <s v="No"/>
    <n v="0"/>
    <x v="5"/>
    <s v="Quarterly"/>
    <n v="0.1"/>
    <n v="0"/>
    <n v="0"/>
    <s v="Debit Card"/>
    <s v="Normal"/>
    <s v="Poor"/>
  </r>
  <r>
    <n v="5085"/>
    <n v="36"/>
    <x v="2"/>
    <x v="28"/>
    <x v="3"/>
    <n v="0"/>
    <x v="14"/>
    <x v="1"/>
    <s v="Blue"/>
    <x v="2"/>
    <n v="1"/>
    <s v="Yes"/>
    <x v="3"/>
    <s v="Yes"/>
    <n v="0"/>
    <x v="3"/>
    <s v="Monthly"/>
    <n v="0.1"/>
    <n v="0"/>
    <n v="0"/>
    <s v="PayPal"/>
    <s v="Normal"/>
    <s v="Poor"/>
  </r>
  <r>
    <n v="5086"/>
    <n v="22"/>
    <x v="0"/>
    <x v="28"/>
    <x v="3"/>
    <n v="1156.06"/>
    <x v="14"/>
    <x v="0"/>
    <s v="Blue"/>
    <x v="0"/>
    <n v="3"/>
    <s v="No"/>
    <x v="3"/>
    <s v="No"/>
    <n v="18"/>
    <x v="1"/>
    <s v="Weekly"/>
    <n v="0.1"/>
    <n v="1040.454"/>
    <n v="1156.06"/>
    <s v="Cash"/>
    <s v="Normal"/>
    <s v="Good"/>
  </r>
  <r>
    <n v="5087"/>
    <n v="41"/>
    <x v="2"/>
    <x v="25"/>
    <x v="3"/>
    <n v="889.78"/>
    <x v="14"/>
    <x v="1"/>
    <s v="Green"/>
    <x v="2"/>
    <n v="3"/>
    <s v="No"/>
    <x v="3"/>
    <s v="Yes"/>
    <n v="4"/>
    <x v="5"/>
    <s v="Monthly"/>
    <n v="0.1"/>
    <n v="800.80199999999991"/>
    <n v="889.78"/>
    <s v="Debit Card"/>
    <s v="Normal"/>
    <s v="Good"/>
  </r>
  <r>
    <n v="5088"/>
    <n v="57"/>
    <x v="2"/>
    <x v="25"/>
    <x v="3"/>
    <n v="0"/>
    <x v="51"/>
    <x v="0"/>
    <s v="Red"/>
    <x v="2"/>
    <n v="1"/>
    <s v="No"/>
    <x v="0"/>
    <s v="Yes"/>
    <n v="11"/>
    <x v="3"/>
    <s v="Monthly"/>
    <n v="0.1"/>
    <n v="0"/>
    <n v="0"/>
    <s v="PayPal"/>
    <s v="Normal"/>
    <s v="Poor"/>
  </r>
  <r>
    <n v="5089"/>
    <n v="68"/>
    <x v="2"/>
    <x v="9"/>
    <x v="0"/>
    <n v="859.84"/>
    <x v="52"/>
    <x v="2"/>
    <s v="White"/>
    <x v="2"/>
    <n v="1"/>
    <s v="Yes"/>
    <x v="0"/>
    <s v="No"/>
    <n v="46"/>
    <x v="3"/>
    <s v="Monthly"/>
    <n v="0.1"/>
    <n v="773.85599999999999"/>
    <n v="859.84"/>
    <s v="PayPal"/>
    <s v="Normal"/>
    <s v="Poor"/>
  </r>
  <r>
    <n v="5090"/>
    <n v="65"/>
    <x v="2"/>
    <x v="5"/>
    <x v="4"/>
    <n v="0"/>
    <x v="51"/>
    <x v="2"/>
    <s v="Blue"/>
    <x v="0"/>
    <n v="2"/>
    <s v="No"/>
    <x v="0"/>
    <s v="Yes"/>
    <n v="21"/>
    <x v="2"/>
    <s v="Weekly"/>
    <n v="0.1"/>
    <n v="0"/>
    <n v="0"/>
    <s v="Credit Card"/>
    <s v="Normal"/>
    <s v="Poor"/>
  </r>
  <r>
    <n v="5091"/>
    <n v="33"/>
    <x v="0"/>
    <x v="29"/>
    <x v="3"/>
    <n v="1451.07"/>
    <x v="51"/>
    <x v="0"/>
    <s v="Blue"/>
    <x v="1"/>
    <n v="1"/>
    <s v="Yes"/>
    <x v="3"/>
    <s v="Yes"/>
    <n v="0"/>
    <x v="3"/>
    <s v="Weekly"/>
    <n v="0.1"/>
    <n v="1305.963"/>
    <n v="1451.07"/>
    <s v="PayPal"/>
    <s v="Normal"/>
    <s v="Poor"/>
  </r>
  <r>
    <n v="5092"/>
    <n v="38"/>
    <x v="0"/>
    <x v="25"/>
    <x v="4"/>
    <n v="0"/>
    <x v="50"/>
    <x v="2"/>
    <s v="Blue"/>
    <x v="0"/>
    <n v="1"/>
    <s v="Yes"/>
    <x v="0"/>
    <s v="No"/>
    <n v="0"/>
    <x v="5"/>
    <s v="Quarterly"/>
    <n v="0.1"/>
    <n v="0"/>
    <n v="0"/>
    <s v="Debit Card"/>
    <s v="Normal"/>
    <s v="Poor"/>
  </r>
  <r>
    <n v="5093"/>
    <n v="28"/>
    <x v="2"/>
    <x v="26"/>
    <x v="4"/>
    <n v="0"/>
    <x v="51"/>
    <x v="2"/>
    <s v="Black"/>
    <x v="1"/>
    <n v="1"/>
    <s v="No"/>
    <x v="0"/>
    <s v="Yes"/>
    <n v="0"/>
    <x v="2"/>
    <s v="Monthly"/>
    <n v="0.1"/>
    <n v="0"/>
    <n v="0"/>
    <s v="Credit Card"/>
    <s v="Normal"/>
    <s v="Poor"/>
  </r>
  <r>
    <n v="5094"/>
    <n v="19"/>
    <x v="0"/>
    <x v="5"/>
    <x v="4"/>
    <n v="1009.06"/>
    <x v="51"/>
    <x v="2"/>
    <s v="White"/>
    <x v="0"/>
    <n v="1"/>
    <s v="No"/>
    <x v="0"/>
    <s v="No"/>
    <n v="0"/>
    <x v="1"/>
    <s v="Weekly"/>
    <n v="0.1"/>
    <n v="908.154"/>
    <n v="1009.06"/>
    <s v="Cash"/>
    <s v="Normal"/>
    <s v="Poor"/>
  </r>
  <r>
    <n v="5095"/>
    <n v="57"/>
    <x v="1"/>
    <x v="5"/>
    <x v="3"/>
    <n v="0"/>
    <x v="14"/>
    <x v="1"/>
    <s v="Red"/>
    <x v="1"/>
    <n v="2"/>
    <s v="No"/>
    <x v="0"/>
    <s v="No"/>
    <n v="24"/>
    <x v="5"/>
    <s v="Weekly"/>
    <n v="0.1"/>
    <n v="0"/>
    <n v="0"/>
    <s v="Debit Card"/>
    <s v="Normal"/>
    <s v="Poor"/>
  </r>
  <r>
    <n v="5096"/>
    <n v="56"/>
    <x v="1"/>
    <x v="27"/>
    <x v="4"/>
    <n v="0"/>
    <x v="52"/>
    <x v="2"/>
    <s v="Blue"/>
    <x v="2"/>
    <n v="5"/>
    <s v="Yes"/>
    <x v="0"/>
    <s v="Yes"/>
    <n v="0"/>
    <x v="5"/>
    <s v="Weekly"/>
    <n v="0.1"/>
    <n v="0"/>
    <n v="0"/>
    <s v="Debit Card"/>
    <s v="Normal"/>
    <s v="Good"/>
  </r>
  <r>
    <n v="5097"/>
    <n v="37"/>
    <x v="0"/>
    <x v="26"/>
    <x v="4"/>
    <n v="150.47"/>
    <x v="53"/>
    <x v="2"/>
    <s v="Green"/>
    <x v="2"/>
    <n v="1"/>
    <s v="Yes"/>
    <x v="3"/>
    <s v="No"/>
    <n v="10"/>
    <x v="5"/>
    <s v="Monthly"/>
    <n v="0.1"/>
    <n v="135.423"/>
    <n v="150.47"/>
    <s v="Debit Card"/>
    <s v="Normal"/>
    <s v="Poor"/>
  </r>
  <r>
    <n v="5098"/>
    <n v="35"/>
    <x v="1"/>
    <x v="25"/>
    <x v="0"/>
    <n v="0"/>
    <x v="14"/>
    <x v="2"/>
    <s v="White"/>
    <x v="0"/>
    <n v="1"/>
    <s v="Yes"/>
    <x v="3"/>
    <s v="No"/>
    <n v="48"/>
    <x v="2"/>
    <s v="Weekly"/>
    <n v="0.1"/>
    <n v="0"/>
    <n v="0"/>
    <s v="Credit Card"/>
    <s v="Normal"/>
    <s v="Poor"/>
  </r>
  <r>
    <n v="5099"/>
    <n v="59"/>
    <x v="1"/>
    <x v="26"/>
    <x v="4"/>
    <n v="736.01"/>
    <x v="52"/>
    <x v="2"/>
    <s v="White"/>
    <x v="1"/>
    <n v="1"/>
    <s v="No"/>
    <x v="0"/>
    <s v="Yes"/>
    <n v="0"/>
    <x v="1"/>
    <s v="Weekly"/>
    <n v="0.1"/>
    <n v="662.40899999999999"/>
    <n v="736.01"/>
    <s v="Cash"/>
    <s v="Normal"/>
    <s v="Po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6" firstHeaderRow="1" firstDataRow="1" firstDataCol="1"/>
  <pivotFields count="23">
    <pivotField showAll="0"/>
    <pivotField showAll="0"/>
    <pivotField showAll="0"/>
    <pivotField showAll="0"/>
    <pivotField showAll="0"/>
    <pivotField dataField="1" numFmtId="164"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Purchase Amount " fld="5" baseField="0" baseItem="0"/>
  </dataFields>
  <chartFormats count="2">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B2:C8" firstHeaderRow="1" firstDataRow="1" firstDataCol="1"/>
  <pivotFields count="23">
    <pivotField showAll="0"/>
    <pivotField showAll="0"/>
    <pivotField showAll="0"/>
    <pivotField showAll="0">
      <items count="31">
        <item h="1" x="21"/>
        <item h="1" x="28"/>
        <item h="1" x="22"/>
        <item h="1" x="0"/>
        <item h="1" x="23"/>
        <item h="1" x="7"/>
        <item h="1" x="10"/>
        <item h="1" x="24"/>
        <item h="1" x="8"/>
        <item h="1" x="19"/>
        <item h="1" x="25"/>
        <item h="1" x="15"/>
        <item h="1" x="14"/>
        <item h="1" x="2"/>
        <item h="1" x="16"/>
        <item h="1" x="29"/>
        <item h="1" x="13"/>
        <item h="1" x="26"/>
        <item h="1" x="3"/>
        <item h="1" x="18"/>
        <item h="1" x="5"/>
        <item x="9"/>
        <item h="1" x="6"/>
        <item h="1" x="11"/>
        <item h="1" x="4"/>
        <item h="1" x="20"/>
        <item h="1" x="12"/>
        <item h="1" x="1"/>
        <item h="1" x="17"/>
        <item h="1" x="27"/>
        <item t="default"/>
      </items>
    </pivotField>
    <pivotField axis="axisRow" showAll="0">
      <items count="6">
        <item x="3"/>
        <item x="0"/>
        <item x="4"/>
        <item x="1"/>
        <item x="2"/>
        <item t="default"/>
      </items>
    </pivotField>
    <pivotField dataField="1" numFmtId="164" showAll="0"/>
    <pivotField showAll="0"/>
    <pivotField showAll="0">
      <items count="5">
        <item h="1" x="0"/>
        <item h="1" x="2"/>
        <item x="1"/>
        <item h="1" x="3"/>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Purchase Amount " fld="5" baseField="0" baseItem="0"/>
  </dataFields>
  <chartFormats count="2">
    <chartFormat chart="5"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1:B52" firstHeaderRow="1" firstDataRow="1" firstDataCol="1"/>
  <pivotFields count="23">
    <pivotField showAll="0"/>
    <pivotField showAll="0"/>
    <pivotField showAll="0"/>
    <pivotField showAll="0"/>
    <pivotField showAll="0"/>
    <pivotField dataField="1" numFmtId="164" showAll="0"/>
    <pivotField axis="axisRow" showAll="0">
      <items count="55">
        <item x="15"/>
        <item x="29"/>
        <item x="28"/>
        <item x="10"/>
        <item x="18"/>
        <item x="52"/>
        <item x="24"/>
        <item x="39"/>
        <item x="12"/>
        <item x="20"/>
        <item x="42"/>
        <item x="11"/>
        <item x="53"/>
        <item x="37"/>
        <item x="26"/>
        <item x="27"/>
        <item x="44"/>
        <item x="23"/>
        <item x="0"/>
        <item x="51"/>
        <item x="7"/>
        <item x="1"/>
        <item x="33"/>
        <item x="2"/>
        <item x="49"/>
        <item x="46"/>
        <item x="16"/>
        <item x="9"/>
        <item x="6"/>
        <item x="43"/>
        <item x="22"/>
        <item x="13"/>
        <item x="32"/>
        <item x="35"/>
        <item x="14"/>
        <item x="17"/>
        <item x="25"/>
        <item x="31"/>
        <item x="19"/>
        <item x="4"/>
        <item x="38"/>
        <item x="50"/>
        <item x="3"/>
        <item x="36"/>
        <item x="45"/>
        <item x="30"/>
        <item x="21"/>
        <item x="40"/>
        <item x="34"/>
        <item x="41"/>
        <item x="47"/>
        <item x="8"/>
        <item x="48"/>
        <item x="5"/>
        <item t="default"/>
      </items>
    </pivotField>
    <pivotField showAll="0"/>
    <pivotField showAll="0"/>
    <pivotField showAll="0"/>
    <pivotField showAll="0"/>
    <pivotField showAll="0"/>
    <pivotField showAll="0">
      <items count="7">
        <item x="4"/>
        <item h="1" x="0"/>
        <item h="1" x="1"/>
        <item h="1" x="2"/>
        <item h="1" x="3"/>
        <item h="1" x="5"/>
        <item t="default"/>
      </items>
    </pivotField>
    <pivotField showAll="0"/>
    <pivotField showAll="0"/>
    <pivotField showAll="0"/>
    <pivotField showAll="0"/>
    <pivotField numFmtId="9" showAll="0"/>
    <pivotField showAll="0"/>
    <pivotField showAll="0"/>
    <pivotField showAll="0"/>
    <pivotField showAll="0"/>
    <pivotField showAll="0"/>
  </pivotFields>
  <rowFields count="1">
    <field x="6"/>
  </rowFields>
  <rowItems count="51">
    <i>
      <x/>
    </i>
    <i>
      <x v="1"/>
    </i>
    <i>
      <x v="2"/>
    </i>
    <i>
      <x v="3"/>
    </i>
    <i>
      <x v="4"/>
    </i>
    <i>
      <x v="6"/>
    </i>
    <i>
      <x v="7"/>
    </i>
    <i>
      <x v="8"/>
    </i>
    <i>
      <x v="9"/>
    </i>
    <i>
      <x v="10"/>
    </i>
    <i>
      <x v="11"/>
    </i>
    <i>
      <x v="13"/>
    </i>
    <i>
      <x v="14"/>
    </i>
    <i>
      <x v="15"/>
    </i>
    <i>
      <x v="16"/>
    </i>
    <i>
      <x v="17"/>
    </i>
    <i>
      <x v="18"/>
    </i>
    <i>
      <x v="20"/>
    </i>
    <i>
      <x v="21"/>
    </i>
    <i>
      <x v="22"/>
    </i>
    <i>
      <x v="23"/>
    </i>
    <i>
      <x v="24"/>
    </i>
    <i>
      <x v="25"/>
    </i>
    <i>
      <x v="26"/>
    </i>
    <i>
      <x v="27"/>
    </i>
    <i>
      <x v="28"/>
    </i>
    <i>
      <x v="29"/>
    </i>
    <i>
      <x v="30"/>
    </i>
    <i>
      <x v="31"/>
    </i>
    <i>
      <x v="32"/>
    </i>
    <i>
      <x v="33"/>
    </i>
    <i>
      <x v="34"/>
    </i>
    <i>
      <x v="35"/>
    </i>
    <i>
      <x v="36"/>
    </i>
    <i>
      <x v="37"/>
    </i>
    <i>
      <x v="38"/>
    </i>
    <i>
      <x v="39"/>
    </i>
    <i>
      <x v="40"/>
    </i>
    <i>
      <x v="42"/>
    </i>
    <i>
      <x v="43"/>
    </i>
    <i>
      <x v="44"/>
    </i>
    <i>
      <x v="45"/>
    </i>
    <i>
      <x v="46"/>
    </i>
    <i>
      <x v="47"/>
    </i>
    <i>
      <x v="48"/>
    </i>
    <i>
      <x v="49"/>
    </i>
    <i>
      <x v="50"/>
    </i>
    <i>
      <x v="51"/>
    </i>
    <i>
      <x v="52"/>
    </i>
    <i>
      <x v="53"/>
    </i>
    <i t="grand">
      <x/>
    </i>
  </rowItems>
  <colItems count="1">
    <i/>
  </colItems>
  <dataFields count="1">
    <dataField name="Sum of Purchase Amount " fld="5" baseField="0" baseItem="0"/>
  </dataFields>
  <chartFormats count="2">
    <chartFormat chart="17"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B8" firstHeaderRow="1" firstDataRow="1" firstDataCol="1"/>
  <pivotFields count="23">
    <pivotField showAll="0"/>
    <pivotField showAll="0"/>
    <pivotField showAll="0"/>
    <pivotField showAll="0"/>
    <pivotField showAll="0">
      <items count="6">
        <item x="3"/>
        <item h="1" x="0"/>
        <item h="1" x="4"/>
        <item h="1" x="1"/>
        <item h="1" x="2"/>
        <item t="default"/>
      </items>
    </pivotField>
    <pivotField dataField="1" numFmtId="164" showAll="0"/>
    <pivotField showAll="0"/>
    <pivotField showAll="0"/>
    <pivotField showAll="0"/>
    <pivotField showAll="0"/>
    <pivotField showAll="0"/>
    <pivotField showAll="0"/>
    <pivotField showAll="0"/>
    <pivotField showAll="0"/>
    <pivotField showAll="0"/>
    <pivotField axis="axisRow" showAll="0">
      <items count="7">
        <item x="4"/>
        <item x="1"/>
        <item x="2"/>
        <item x="5"/>
        <item x="3"/>
        <item x="0"/>
        <item t="default"/>
      </items>
    </pivotField>
    <pivotField showAll="0"/>
    <pivotField numFmtId="9" showAll="0"/>
    <pivotField showAll="0"/>
    <pivotField showAll="0"/>
    <pivotField showAll="0"/>
    <pivotField showAll="0"/>
    <pivotField showAll="0"/>
  </pivotFields>
  <rowFields count="1">
    <field x="15"/>
  </rowFields>
  <rowItems count="7">
    <i>
      <x/>
    </i>
    <i>
      <x v="1"/>
    </i>
    <i>
      <x v="2"/>
    </i>
    <i>
      <x v="3"/>
    </i>
    <i>
      <x v="4"/>
    </i>
    <i>
      <x v="5"/>
    </i>
    <i t="grand">
      <x/>
    </i>
  </rowItems>
  <colItems count="1">
    <i/>
  </colItems>
  <dataFields count="1">
    <dataField name="Sum of Purchase Amount " fld="5" baseField="0" baseItem="0"/>
  </dataFields>
  <chartFormats count="1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2" format="4">
      <pivotArea type="data" outline="0" fieldPosition="0">
        <references count="2">
          <reference field="4294967294" count="1" selected="0">
            <x v="0"/>
          </reference>
          <reference field="15" count="1" selected="0">
            <x v="2"/>
          </reference>
        </references>
      </pivotArea>
    </chartFormat>
    <chartFormat chart="2" format="5">
      <pivotArea type="data" outline="0" fieldPosition="0">
        <references count="2">
          <reference field="4294967294" count="1" selected="0">
            <x v="0"/>
          </reference>
          <reference field="15" count="1" selected="0">
            <x v="3"/>
          </reference>
        </references>
      </pivotArea>
    </chartFormat>
    <chartFormat chart="2" format="6">
      <pivotArea type="data" outline="0" fieldPosition="0">
        <references count="2">
          <reference field="4294967294" count="1" selected="0">
            <x v="0"/>
          </reference>
          <reference field="15" count="1" selected="0">
            <x v="4"/>
          </reference>
        </references>
      </pivotArea>
    </chartFormat>
    <chartFormat chart="2" format="7">
      <pivotArea type="data" outline="0" fieldPosition="0">
        <references count="2">
          <reference field="4294967294" count="1" selected="0">
            <x v="0"/>
          </reference>
          <reference field="15" count="1" selected="0">
            <x v="5"/>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15" count="1" selected="0">
            <x v="0"/>
          </reference>
        </references>
      </pivotArea>
    </chartFormat>
    <chartFormat chart="5" format="17">
      <pivotArea type="data" outline="0" fieldPosition="0">
        <references count="2">
          <reference field="4294967294" count="1" selected="0">
            <x v="0"/>
          </reference>
          <reference field="15" count="1" selected="0">
            <x v="1"/>
          </reference>
        </references>
      </pivotArea>
    </chartFormat>
    <chartFormat chart="5" format="18">
      <pivotArea type="data" outline="0" fieldPosition="0">
        <references count="2">
          <reference field="4294967294" count="1" selected="0">
            <x v="0"/>
          </reference>
          <reference field="15" count="1" selected="0">
            <x v="2"/>
          </reference>
        </references>
      </pivotArea>
    </chartFormat>
    <chartFormat chart="5" format="19">
      <pivotArea type="data" outline="0" fieldPosition="0">
        <references count="2">
          <reference field="4294967294" count="1" selected="0">
            <x v="0"/>
          </reference>
          <reference field="15" count="1" selected="0">
            <x v="3"/>
          </reference>
        </references>
      </pivotArea>
    </chartFormat>
    <chartFormat chart="5" format="20">
      <pivotArea type="data" outline="0" fieldPosition="0">
        <references count="2">
          <reference field="4294967294" count="1" selected="0">
            <x v="0"/>
          </reference>
          <reference field="15" count="1" selected="0">
            <x v="4"/>
          </reference>
        </references>
      </pivotArea>
    </chartFormat>
    <chartFormat chart="5" format="21">
      <pivotArea type="data" outline="0" fieldPosition="0">
        <references count="2">
          <reference field="4294967294" count="1" selected="0">
            <x v="0"/>
          </reference>
          <reference field="15"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B7" firstHeaderRow="1" firstDataRow="1" firstDataCol="1"/>
  <pivotFields count="23">
    <pivotField showAll="0"/>
    <pivotField showAll="0"/>
    <pivotField showAll="0"/>
    <pivotField showAll="0">
      <items count="31">
        <item h="1" x="21"/>
        <item h="1" x="28"/>
        <item h="1" x="22"/>
        <item h="1" x="0"/>
        <item h="1" x="23"/>
        <item h="1" x="7"/>
        <item h="1" x="10"/>
        <item h="1" x="24"/>
        <item h="1" x="8"/>
        <item h="1" x="19"/>
        <item h="1" x="25"/>
        <item h="1" x="15"/>
        <item h="1" x="14"/>
        <item x="2"/>
        <item h="1" x="16"/>
        <item h="1" x="29"/>
        <item h="1" x="13"/>
        <item h="1" x="26"/>
        <item h="1" x="3"/>
        <item h="1" x="18"/>
        <item h="1" x="5"/>
        <item h="1" x="9"/>
        <item h="1" x="6"/>
        <item h="1" x="11"/>
        <item h="1" x="4"/>
        <item h="1" x="20"/>
        <item h="1" x="12"/>
        <item h="1" x="1"/>
        <item h="1" x="17"/>
        <item h="1" x="27"/>
        <item t="default"/>
      </items>
    </pivotField>
    <pivotField showAll="0"/>
    <pivotField dataField="1" numFmtId="164" showAll="0"/>
    <pivotField showAll="0"/>
    <pivotField showAll="0"/>
    <pivotField showAll="0"/>
    <pivotField axis="axisRow" showAll="0">
      <items count="6">
        <item x="4"/>
        <item x="3"/>
        <item x="1"/>
        <item x="2"/>
        <item x="0"/>
        <item t="default"/>
      </items>
    </pivotField>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s>
  <rowFields count="1">
    <field x="9"/>
  </rowFields>
  <rowItems count="5">
    <i>
      <x v="1"/>
    </i>
    <i>
      <x v="2"/>
    </i>
    <i>
      <x v="3"/>
    </i>
    <i>
      <x v="4"/>
    </i>
    <i t="grand">
      <x/>
    </i>
  </rowItems>
  <colItems count="1">
    <i/>
  </colItems>
  <dataFields count="1">
    <dataField name="Sum of Purchase Amount " fld="5" baseField="0" baseItem="0"/>
  </dataFields>
  <chartFormats count="2">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B6" firstHeaderRow="1" firstDataRow="1" firstDataCol="1"/>
  <pivotFields count="23">
    <pivotField showAll="0"/>
    <pivotField showAll="0"/>
    <pivotField axis="axisRow" showAll="0">
      <items count="4">
        <item x="1"/>
        <item x="0"/>
        <item x="2"/>
        <item t="default"/>
      </items>
    </pivotField>
    <pivotField showAll="0"/>
    <pivotField showAll="0">
      <items count="6">
        <item x="3"/>
        <item h="1" x="0"/>
        <item h="1" x="4"/>
        <item h="1" x="1"/>
        <item h="1" x="2"/>
        <item t="default"/>
      </items>
    </pivotField>
    <pivotField dataField="1" numFmtId="164" showAll="0"/>
    <pivotField showAll="0"/>
    <pivotField showAll="0"/>
    <pivotField showAll="0"/>
    <pivotField showAll="0"/>
    <pivotField showAll="0"/>
    <pivotField showAll="0"/>
    <pivotField showAll="0"/>
    <pivotField showAll="0"/>
    <pivotField showAll="0"/>
    <pivotField showAll="0">
      <items count="7">
        <item x="4"/>
        <item h="1" x="1"/>
        <item h="1" x="2"/>
        <item h="1" x="5"/>
        <item h="1" x="3"/>
        <item h="1" x="0"/>
        <item t="default"/>
      </items>
    </pivotField>
    <pivotField showAll="0"/>
    <pivotField numFmtId="9" showAll="0"/>
    <pivotField showAll="0"/>
    <pivotField showAll="0"/>
    <pivotField showAll="0"/>
    <pivotField showAll="0"/>
    <pivotField showAll="0"/>
  </pivotFields>
  <rowFields count="1">
    <field x="2"/>
  </rowFields>
  <rowItems count="3">
    <i>
      <x/>
    </i>
    <i>
      <x v="1"/>
    </i>
    <i t="grand">
      <x/>
    </i>
  </rowItems>
  <colItems count="1">
    <i/>
  </colItems>
  <dataFields count="1">
    <dataField name="Sum of Purchase Amount " fld="5" baseField="0" baseItem="0"/>
  </dataFields>
  <chartFormats count="6">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2" count="1" selected="0">
            <x v="0"/>
          </reference>
        </references>
      </pivotArea>
    </chartFormat>
    <chartFormat chart="13" format="3">
      <pivotArea type="data" outline="0" fieldPosition="0">
        <references count="2">
          <reference field="4294967294" count="1" selected="0">
            <x v="0"/>
          </reference>
          <reference field="2" count="1" selected="0">
            <x v="1"/>
          </reference>
        </references>
      </pivotArea>
    </chartFormat>
    <chartFormat chart="13" format="4">
      <pivotArea type="data" outline="0" fieldPosition="0">
        <references count="2">
          <reference field="4294967294" count="1" selected="0">
            <x v="0"/>
          </reference>
          <reference field="2" count="1" selected="0">
            <x v="2"/>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2"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ping_Type" sourceName="Shipping Type">
  <pivotTables>
    <pivotTable tabId="3" name="PivotTable2"/>
  </pivotTables>
  <data>
    <tabular pivotCacheId="1">
      <items count="6">
        <i x="4" s="1"/>
        <i x="0"/>
        <i x="1"/>
        <i x="2"/>
        <i x="3"/>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4" name="PivotTable3"/>
  </pivotTables>
  <data>
    <tabular pivotCacheId="1">
      <items count="5">
        <i x="3" s="1"/>
        <i x="0"/>
        <i x="4"/>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6" name="PivotTable5"/>
  </pivotTables>
  <data>
    <tabular pivotCacheId="1">
      <items count="6">
        <i x="4" s="1"/>
        <i x="1"/>
        <i x="2"/>
        <i x="5"/>
        <i x="3"/>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tem_Purchased" sourceName="Item Purchased">
  <pivotTables>
    <pivotTable tabId="5" name="PivotTable4"/>
  </pivotTables>
  <data>
    <tabular pivotCacheId="1">
      <items count="30">
        <i x="21"/>
        <i x="28"/>
        <i x="22"/>
        <i x="0"/>
        <i x="23"/>
        <i x="7"/>
        <i x="10"/>
        <i x="24"/>
        <i x="8"/>
        <i x="19"/>
        <i x="25"/>
        <i x="15"/>
        <i x="14"/>
        <i x="2" s="1"/>
        <i x="16"/>
        <i x="29"/>
        <i x="13"/>
        <i x="26"/>
        <i x="3"/>
        <i x="18"/>
        <i x="5"/>
        <i x="9"/>
        <i x="6"/>
        <i x="11"/>
        <i x="4"/>
        <i x="20"/>
        <i x="12"/>
        <i x="1"/>
        <i x="17"/>
        <i x="2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ping Type" cache="Slicer_Shipping_Type" caption="Shipping Typ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1"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Item Purchased" cache="Slicer_Item_Purchased" caption="Item Purchased" startItem="13"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Payment Method" cache="Slicer_Payment_Method" caption="Payment Method"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Shipping Type 1" cache="Slicer_Shipping_Type" caption="Shipping Type" rowHeight="241300"/>
  <slicer name="Category 2" cache="Slicer_Category1" caption="Category" rowHeight="241300"/>
  <slicer name="Payment Method 1" cache="Slicer_Payment_Method" caption="Payment Method" rowHeight="241300"/>
  <slicer name="Item Purchased 1" cache="Slicer_Item_Purchased" caption="Item Purchased" startItem="13" rowHeight="241300"/>
</slicers>
</file>

<file path=xl/tables/table1.xml><?xml version="1.0" encoding="utf-8"?>
<table xmlns="http://schemas.openxmlformats.org/spreadsheetml/2006/main" id="1" name="Table1" displayName="Table1" ref="A1:X5002" totalsRowCount="1">
  <autoFilter ref="A1:X5002"/>
  <tableColumns count="24">
    <tableColumn id="1" name="Customer ID"/>
    <tableColumn id="2" name="Age"/>
    <tableColumn id="3" name="Gender"/>
    <tableColumn id="4" name="Item Purchased"/>
    <tableColumn id="5" name="Category"/>
    <tableColumn id="6" name="Purchase Amount " totalsRowFunction="custom" dataDxfId="14" totalsRowDxfId="6">
      <totalsRowFormula>SUM(Table1[[Purchase Amount ]])</totalsRowFormula>
    </tableColumn>
    <tableColumn id="7" name="Location"/>
    <tableColumn id="8" name="Size"/>
    <tableColumn id="9" name="Color"/>
    <tableColumn id="10" name="Season"/>
    <tableColumn id="11" name="Review Rating"/>
    <tableColumn id="12" name="Subscription Status"/>
    <tableColumn id="13" name="Shipping Type"/>
    <tableColumn id="14" name="Discount Applied"/>
    <tableColumn id="15" name="Previous Purchases"/>
    <tableColumn id="18" name="Payment Method"/>
    <tableColumn id="19" name="Frequency of Purchases"/>
    <tableColumn id="20" name="Discount" dataDxfId="13" totalsRowDxfId="5"/>
    <tableColumn id="21" name="Discount Amount" dataDxfId="12" totalsRowDxfId="4">
      <calculatedColumnFormula>F2-(F2*R2)</calculatedColumnFormula>
    </tableColumn>
    <tableColumn id="22" name="Purchase Amount" dataDxfId="11" totalsRowDxfId="3">
      <calculatedColumnFormula>IFERROR(VLOOKUP(A2,Table1[[Customer ID]:[Discount Amount]], 6, FALSE),"Not Found")</calculatedColumnFormula>
    </tableColumn>
    <tableColumn id="23" name="Get Payment Method" dataDxfId="10" totalsRowDxfId="2">
      <calculatedColumnFormula>INDEX(P:P, MATCH(A2, A:A, 0))</calculatedColumnFormula>
    </tableColumn>
    <tableColumn id="24" name="Subscription Status2" dataDxfId="9" totalsRowDxfId="1">
      <calculatedColumnFormula>IF(AND(F2&gt;1000,K2&gt;=4),"Best Customer","Normal")</calculatedColumnFormula>
    </tableColumn>
    <tableColumn id="25" name="Subscription Status3" dataDxfId="8" totalsRowDxfId="0">
      <calculatedColumnFormula>IF(K2&gt;=3,"Good","Poor")</calculatedColumnFormula>
    </tableColumn>
    <tableColumn id="16" name="Subscription Status4" dataDxfId="7">
      <calculatedColumnFormula>AVERAGE(Table1[Purchase Amount])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002"/>
  <sheetViews>
    <sheetView zoomScaleNormal="100" workbookViewId="0">
      <selection activeCell="X2" sqref="X2"/>
    </sheetView>
  </sheetViews>
  <sheetFormatPr defaultRowHeight="15" x14ac:dyDescent="0.25"/>
  <cols>
    <col min="1" max="1" width="14.140625" bestFit="1" customWidth="1"/>
    <col min="2" max="2" width="6.7109375" bestFit="1" customWidth="1"/>
    <col min="3" max="3" width="10" bestFit="1" customWidth="1"/>
    <col min="4" max="4" width="17.140625" bestFit="1" customWidth="1"/>
    <col min="5" max="5" width="11.28515625" bestFit="1" customWidth="1"/>
    <col min="6" max="6" width="24.5703125" customWidth="1"/>
    <col min="7" max="7" width="15.28515625" bestFit="1" customWidth="1"/>
    <col min="10" max="10" width="9.5703125" bestFit="1" customWidth="1"/>
    <col min="11" max="11" width="15.7109375" customWidth="1"/>
    <col min="12" max="12" width="20" customWidth="1"/>
    <col min="13" max="13" width="15.5703125" customWidth="1"/>
    <col min="14" max="14" width="18.28515625" customWidth="1"/>
    <col min="15" max="15" width="20.140625" customWidth="1"/>
    <col min="16" max="16" width="18.5703125" customWidth="1"/>
    <col min="17" max="17" width="24" customWidth="1"/>
    <col min="18" max="18" width="11" bestFit="1" customWidth="1"/>
    <col min="19" max="19" width="18.7109375" bestFit="1" customWidth="1"/>
    <col min="20" max="20" width="19" bestFit="1" customWidth="1"/>
    <col min="21" max="21" width="22.7109375" bestFit="1" customWidth="1"/>
    <col min="22" max="23" width="21.42578125" bestFit="1" customWidth="1"/>
    <col min="25" max="25" width="19.140625" bestFit="1" customWidth="1"/>
  </cols>
  <sheetData>
    <row r="1" spans="1:24" x14ac:dyDescent="0.25">
      <c r="A1" t="s">
        <v>0</v>
      </c>
      <c r="B1" t="s">
        <v>1</v>
      </c>
      <c r="C1" t="s">
        <v>2</v>
      </c>
      <c r="D1" t="s">
        <v>3</v>
      </c>
      <c r="E1" t="s">
        <v>4</v>
      </c>
      <c r="F1" t="s">
        <v>163</v>
      </c>
      <c r="G1" t="s">
        <v>5</v>
      </c>
      <c r="H1" t="s">
        <v>6</v>
      </c>
      <c r="I1" t="s">
        <v>7</v>
      </c>
      <c r="J1" t="s">
        <v>8</v>
      </c>
      <c r="K1" t="s">
        <v>9</v>
      </c>
      <c r="L1" t="s">
        <v>10</v>
      </c>
      <c r="M1" t="s">
        <v>11</v>
      </c>
      <c r="N1" t="s">
        <v>12</v>
      </c>
      <c r="O1" t="s">
        <v>13</v>
      </c>
      <c r="P1" t="s">
        <v>14</v>
      </c>
      <c r="Q1" t="s">
        <v>15</v>
      </c>
      <c r="R1" t="s">
        <v>165</v>
      </c>
      <c r="S1" s="3" t="s">
        <v>166</v>
      </c>
      <c r="T1" s="3" t="s">
        <v>167</v>
      </c>
      <c r="U1" s="3" t="s">
        <v>168</v>
      </c>
      <c r="V1" s="3" t="s">
        <v>169</v>
      </c>
      <c r="W1" s="3" t="s">
        <v>170</v>
      </c>
      <c r="X1" t="s">
        <v>174</v>
      </c>
    </row>
    <row r="2" spans="1:24" ht="15" customHeight="1" x14ac:dyDescent="0.25">
      <c r="A2">
        <v>1</v>
      </c>
      <c r="B2">
        <v>55</v>
      </c>
      <c r="C2" t="s">
        <v>27</v>
      </c>
      <c r="D2" t="s">
        <v>118</v>
      </c>
      <c r="E2" t="s">
        <v>18</v>
      </c>
      <c r="F2" s="2">
        <v>53</v>
      </c>
      <c r="G2" t="s">
        <v>70</v>
      </c>
      <c r="H2" t="s">
        <v>45</v>
      </c>
      <c r="I2" t="s">
        <v>85</v>
      </c>
      <c r="J2" t="s">
        <v>22</v>
      </c>
      <c r="K2">
        <v>3.1</v>
      </c>
      <c r="L2" t="s">
        <v>34</v>
      </c>
      <c r="M2" t="s">
        <v>61</v>
      </c>
      <c r="N2" t="s">
        <v>34</v>
      </c>
      <c r="O2">
        <v>14</v>
      </c>
      <c r="P2" t="s">
        <v>62</v>
      </c>
      <c r="Q2" t="s">
        <v>89</v>
      </c>
      <c r="R2" s="1">
        <v>0.1</v>
      </c>
      <c r="S2">
        <f t="shared" ref="S2:S65" si="0">F2-(F2*R2)</f>
        <v>47.7</v>
      </c>
      <c r="T2">
        <f>IFERROR(VLOOKUP(A2,Table1[[Customer ID]:[Discount Amount]], 6, FALSE),"Not Found")</f>
        <v>53</v>
      </c>
      <c r="U2" t="str">
        <f t="shared" ref="U2:U65" si="1">INDEX(P:P, MATCH(A2, A:A, 0))</f>
        <v>Venmo</v>
      </c>
      <c r="V2" s="4" t="str">
        <f>IF(AND(F2&gt;1000,K2&gt;=4),"Best Customer","Normal")</f>
        <v>Normal</v>
      </c>
      <c r="W2" s="3" t="str">
        <f t="shared" ref="W2:W65" si="2">IF(K2&gt;=3,"Good","Poor")</f>
        <v>Good</v>
      </c>
      <c r="X2" s="4">
        <v>129.48419400000012</v>
      </c>
    </row>
    <row r="3" spans="1:24" ht="15" customHeight="1" x14ac:dyDescent="0.25">
      <c r="A3">
        <v>2</v>
      </c>
      <c r="B3">
        <v>19</v>
      </c>
      <c r="C3" t="s">
        <v>27</v>
      </c>
      <c r="D3" t="s">
        <v>127</v>
      </c>
      <c r="E3" t="s">
        <v>18</v>
      </c>
      <c r="F3" s="2">
        <v>64</v>
      </c>
      <c r="G3" t="s">
        <v>94</v>
      </c>
      <c r="H3" t="s">
        <v>45</v>
      </c>
      <c r="I3" t="s">
        <v>125</v>
      </c>
      <c r="J3" t="s">
        <v>22</v>
      </c>
      <c r="K3">
        <v>3.1</v>
      </c>
      <c r="L3" t="s">
        <v>34</v>
      </c>
      <c r="M3" t="s">
        <v>61</v>
      </c>
      <c r="N3" t="s">
        <v>34</v>
      </c>
      <c r="O3">
        <v>2</v>
      </c>
      <c r="P3" t="s">
        <v>25</v>
      </c>
      <c r="Q3" t="s">
        <v>89</v>
      </c>
      <c r="R3" s="1">
        <v>0.1</v>
      </c>
      <c r="S3">
        <f t="shared" si="0"/>
        <v>57.6</v>
      </c>
      <c r="T3">
        <f>IFERROR(VLOOKUP(A3,Table1[[Customer ID]:[Discount Amount]], 6, FALSE),"Not Found")</f>
        <v>64</v>
      </c>
      <c r="U3" t="str">
        <f t="shared" si="1"/>
        <v>Cash</v>
      </c>
      <c r="V3" s="4" t="str">
        <f t="shared" ref="V3:V65" si="3">IF(AND(F3&gt;1000,K3&gt;=4),"Best Customer","Normal")</f>
        <v>Normal</v>
      </c>
      <c r="W3" s="4" t="str">
        <f t="shared" si="2"/>
        <v>Good</v>
      </c>
      <c r="X3" s="4">
        <f>AVERAGE(Table1[Purchase Amount])</f>
        <v>129.48419400000012</v>
      </c>
    </row>
    <row r="4" spans="1:24" ht="15" customHeight="1" x14ac:dyDescent="0.25">
      <c r="A4">
        <v>3</v>
      </c>
      <c r="B4">
        <v>50</v>
      </c>
      <c r="C4" t="s">
        <v>27</v>
      </c>
      <c r="D4" t="s">
        <v>109</v>
      </c>
      <c r="E4" t="s">
        <v>18</v>
      </c>
      <c r="F4" s="2">
        <v>73</v>
      </c>
      <c r="G4" t="s">
        <v>97</v>
      </c>
      <c r="H4" t="s">
        <v>55</v>
      </c>
      <c r="I4" t="s">
        <v>125</v>
      </c>
      <c r="J4" t="s">
        <v>33</v>
      </c>
      <c r="K4">
        <v>3.1</v>
      </c>
      <c r="L4" t="s">
        <v>34</v>
      </c>
      <c r="M4" t="s">
        <v>35</v>
      </c>
      <c r="N4" t="s">
        <v>34</v>
      </c>
      <c r="O4">
        <v>23</v>
      </c>
      <c r="P4" t="s">
        <v>53</v>
      </c>
      <c r="Q4" t="s">
        <v>26</v>
      </c>
      <c r="R4" s="1">
        <v>0.1</v>
      </c>
      <c r="S4">
        <f t="shared" si="0"/>
        <v>65.7</v>
      </c>
      <c r="T4">
        <f>IFERROR(VLOOKUP(A4,Table1[[Customer ID]:[Discount Amount]], 6, FALSE),"Not Found")</f>
        <v>73</v>
      </c>
      <c r="U4" t="str">
        <f t="shared" si="1"/>
        <v>Credit Card</v>
      </c>
      <c r="V4" s="4" t="str">
        <f t="shared" si="3"/>
        <v>Normal</v>
      </c>
      <c r="W4" s="4" t="str">
        <f t="shared" si="2"/>
        <v>Good</v>
      </c>
      <c r="X4" s="4">
        <f>AVERAGE(Table1[Purchase Amount])</f>
        <v>129.48419400000012</v>
      </c>
    </row>
    <row r="5" spans="1:24" ht="15" customHeight="1" x14ac:dyDescent="0.25">
      <c r="A5">
        <v>4</v>
      </c>
      <c r="B5">
        <v>21</v>
      </c>
      <c r="C5" t="s">
        <v>27</v>
      </c>
      <c r="D5" t="s">
        <v>121</v>
      </c>
      <c r="E5" t="s">
        <v>98</v>
      </c>
      <c r="F5" s="2">
        <v>90</v>
      </c>
      <c r="G5" t="s">
        <v>159</v>
      </c>
      <c r="H5" t="s">
        <v>31</v>
      </c>
      <c r="I5" t="s">
        <v>125</v>
      </c>
      <c r="J5" t="s">
        <v>33</v>
      </c>
      <c r="K5">
        <v>3.5</v>
      </c>
      <c r="L5" t="s">
        <v>34</v>
      </c>
      <c r="M5" t="s">
        <v>79</v>
      </c>
      <c r="N5" t="s">
        <v>34</v>
      </c>
      <c r="O5">
        <v>49</v>
      </c>
      <c r="P5" t="s">
        <v>58</v>
      </c>
      <c r="Q5" t="s">
        <v>26</v>
      </c>
      <c r="R5" s="1">
        <v>0.1</v>
      </c>
      <c r="S5">
        <f t="shared" si="0"/>
        <v>81</v>
      </c>
      <c r="T5">
        <f>IFERROR(VLOOKUP(A5,Table1[[Customer ID]:[Discount Amount]], 6, FALSE),"Not Found")</f>
        <v>90</v>
      </c>
      <c r="U5" t="str">
        <f t="shared" si="1"/>
        <v>PayPal</v>
      </c>
      <c r="V5" s="4" t="str">
        <f t="shared" si="3"/>
        <v>Normal</v>
      </c>
      <c r="W5" s="4" t="str">
        <f t="shared" si="2"/>
        <v>Good</v>
      </c>
      <c r="X5" s="4">
        <f>AVERAGE(Table1[Purchase Amount])</f>
        <v>129.48419400000012</v>
      </c>
    </row>
    <row r="6" spans="1:24" ht="15" customHeight="1" x14ac:dyDescent="0.25">
      <c r="A6">
        <v>5</v>
      </c>
      <c r="B6">
        <v>45</v>
      </c>
      <c r="C6" t="s">
        <v>27</v>
      </c>
      <c r="D6" t="s">
        <v>118</v>
      </c>
      <c r="E6" t="s">
        <v>18</v>
      </c>
      <c r="F6" s="2">
        <v>49</v>
      </c>
      <c r="G6" t="s">
        <v>123</v>
      </c>
      <c r="H6" t="s">
        <v>31</v>
      </c>
      <c r="I6" t="s">
        <v>156</v>
      </c>
      <c r="J6" t="s">
        <v>33</v>
      </c>
      <c r="K6">
        <v>2.7</v>
      </c>
      <c r="L6" t="s">
        <v>34</v>
      </c>
      <c r="M6" t="s">
        <v>35</v>
      </c>
      <c r="N6" t="s">
        <v>34</v>
      </c>
      <c r="O6">
        <v>31</v>
      </c>
      <c r="P6" t="s">
        <v>58</v>
      </c>
      <c r="Q6" t="s">
        <v>49</v>
      </c>
      <c r="R6" s="1">
        <v>0.1</v>
      </c>
      <c r="S6">
        <f t="shared" si="0"/>
        <v>44.1</v>
      </c>
      <c r="T6">
        <f>IFERROR(VLOOKUP(A6,Table1[[Customer ID]:[Discount Amount]], 6, FALSE),"Not Found")</f>
        <v>49</v>
      </c>
      <c r="U6" t="str">
        <f t="shared" si="1"/>
        <v>PayPal</v>
      </c>
      <c r="V6" s="4" t="str">
        <f t="shared" si="3"/>
        <v>Normal</v>
      </c>
      <c r="W6" s="4" t="str">
        <f t="shared" si="2"/>
        <v>Poor</v>
      </c>
      <c r="X6" s="4">
        <f>AVERAGE(Table1[Purchase Amount])</f>
        <v>129.48419400000012</v>
      </c>
    </row>
    <row r="7" spans="1:24" ht="15" customHeight="1" x14ac:dyDescent="0.25">
      <c r="A7">
        <v>6</v>
      </c>
      <c r="B7">
        <v>46</v>
      </c>
      <c r="C7" t="s">
        <v>27</v>
      </c>
      <c r="D7" t="s">
        <v>140</v>
      </c>
      <c r="E7" t="s">
        <v>98</v>
      </c>
      <c r="F7" s="2">
        <v>20</v>
      </c>
      <c r="G7" t="s">
        <v>162</v>
      </c>
      <c r="H7" t="s">
        <v>31</v>
      </c>
      <c r="I7" t="s">
        <v>32</v>
      </c>
      <c r="J7" t="s">
        <v>57</v>
      </c>
      <c r="K7">
        <v>2.9</v>
      </c>
      <c r="L7" t="s">
        <v>34</v>
      </c>
      <c r="M7" t="s">
        <v>24</v>
      </c>
      <c r="N7" t="s">
        <v>34</v>
      </c>
      <c r="O7">
        <v>14</v>
      </c>
      <c r="P7" t="s">
        <v>62</v>
      </c>
      <c r="Q7" t="s">
        <v>26</v>
      </c>
      <c r="R7" s="1">
        <v>0.1</v>
      </c>
      <c r="S7">
        <f t="shared" si="0"/>
        <v>18</v>
      </c>
      <c r="T7">
        <f>IFERROR(VLOOKUP(A7,Table1[[Customer ID]:[Discount Amount]], 6, FALSE),"Not Found")</f>
        <v>20</v>
      </c>
      <c r="U7" t="str">
        <f t="shared" si="1"/>
        <v>Venmo</v>
      </c>
      <c r="V7" s="4" t="str">
        <f t="shared" si="3"/>
        <v>Normal</v>
      </c>
      <c r="W7" s="4" t="str">
        <f t="shared" si="2"/>
        <v>Poor</v>
      </c>
      <c r="X7" s="4">
        <f>AVERAGE(Table1[Purchase Amount])</f>
        <v>129.48419400000012</v>
      </c>
    </row>
    <row r="8" spans="1:24" ht="15" customHeight="1" x14ac:dyDescent="0.25">
      <c r="A8">
        <v>7</v>
      </c>
      <c r="B8">
        <v>63</v>
      </c>
      <c r="C8" t="s">
        <v>27</v>
      </c>
      <c r="D8" t="s">
        <v>38</v>
      </c>
      <c r="E8" t="s">
        <v>18</v>
      </c>
      <c r="F8" s="2">
        <v>85</v>
      </c>
      <c r="G8" t="s">
        <v>39</v>
      </c>
      <c r="H8" t="s">
        <v>31</v>
      </c>
      <c r="I8" t="s">
        <v>85</v>
      </c>
      <c r="J8" t="s">
        <v>47</v>
      </c>
      <c r="K8">
        <v>3.2</v>
      </c>
      <c r="L8" t="s">
        <v>34</v>
      </c>
      <c r="M8" t="s">
        <v>35</v>
      </c>
      <c r="N8" t="s">
        <v>34</v>
      </c>
      <c r="O8">
        <v>49</v>
      </c>
      <c r="P8" t="s">
        <v>25</v>
      </c>
      <c r="Q8" t="s">
        <v>37</v>
      </c>
      <c r="R8" s="1">
        <v>0.1</v>
      </c>
      <c r="S8">
        <f t="shared" si="0"/>
        <v>76.5</v>
      </c>
      <c r="T8">
        <f>IFERROR(VLOOKUP(A8,Table1[[Customer ID]:[Discount Amount]], 6, FALSE),"Not Found")</f>
        <v>85</v>
      </c>
      <c r="U8" t="str">
        <f t="shared" si="1"/>
        <v>Cash</v>
      </c>
      <c r="V8" s="4" t="str">
        <f t="shared" si="3"/>
        <v>Normal</v>
      </c>
      <c r="W8" s="4" t="str">
        <f t="shared" si="2"/>
        <v>Good</v>
      </c>
      <c r="X8" s="4">
        <f>AVERAGE(Table1[Purchase Amount])</f>
        <v>129.48419400000012</v>
      </c>
    </row>
    <row r="9" spans="1:24" ht="15" customHeight="1" x14ac:dyDescent="0.25">
      <c r="A9">
        <v>8</v>
      </c>
      <c r="B9">
        <v>27</v>
      </c>
      <c r="C9" t="s">
        <v>27</v>
      </c>
      <c r="D9" t="s">
        <v>54</v>
      </c>
      <c r="E9" t="s">
        <v>18</v>
      </c>
      <c r="F9" s="2">
        <v>34</v>
      </c>
      <c r="G9" t="s">
        <v>119</v>
      </c>
      <c r="H9" t="s">
        <v>45</v>
      </c>
      <c r="I9" t="s">
        <v>103</v>
      </c>
      <c r="J9" t="s">
        <v>22</v>
      </c>
      <c r="K9">
        <v>3.2</v>
      </c>
      <c r="L9" t="s">
        <v>34</v>
      </c>
      <c r="M9" t="s">
        <v>35</v>
      </c>
      <c r="N9" t="s">
        <v>34</v>
      </c>
      <c r="O9">
        <v>19</v>
      </c>
      <c r="P9" t="s">
        <v>53</v>
      </c>
      <c r="Q9" t="s">
        <v>26</v>
      </c>
      <c r="R9" s="1">
        <v>0.1</v>
      </c>
      <c r="S9">
        <f t="shared" si="0"/>
        <v>30.6</v>
      </c>
      <c r="T9">
        <f>IFERROR(VLOOKUP(A9,Table1[[Customer ID]:[Discount Amount]], 6, FALSE),"Not Found")</f>
        <v>34</v>
      </c>
      <c r="U9" t="str">
        <f t="shared" si="1"/>
        <v>Credit Card</v>
      </c>
      <c r="V9" s="4" t="str">
        <f t="shared" si="3"/>
        <v>Normal</v>
      </c>
      <c r="W9" s="4" t="str">
        <f t="shared" si="2"/>
        <v>Good</v>
      </c>
      <c r="X9" s="4">
        <f>AVERAGE(Table1[Purchase Amount])</f>
        <v>129.48419400000012</v>
      </c>
    </row>
    <row r="10" spans="1:24" ht="15" customHeight="1" x14ac:dyDescent="0.25">
      <c r="A10">
        <v>9</v>
      </c>
      <c r="B10">
        <v>26</v>
      </c>
      <c r="C10" t="s">
        <v>27</v>
      </c>
      <c r="D10" t="s">
        <v>76</v>
      </c>
      <c r="E10" t="s">
        <v>77</v>
      </c>
      <c r="F10" s="2">
        <v>97</v>
      </c>
      <c r="G10" t="s">
        <v>154</v>
      </c>
      <c r="H10" t="s">
        <v>45</v>
      </c>
      <c r="I10" t="s">
        <v>153</v>
      </c>
      <c r="J10" t="s">
        <v>57</v>
      </c>
      <c r="K10">
        <v>2.6</v>
      </c>
      <c r="L10" t="s">
        <v>34</v>
      </c>
      <c r="M10" t="s">
        <v>61</v>
      </c>
      <c r="N10" t="s">
        <v>34</v>
      </c>
      <c r="O10">
        <v>8</v>
      </c>
      <c r="P10" t="s">
        <v>62</v>
      </c>
      <c r="Q10" t="s">
        <v>49</v>
      </c>
      <c r="R10" s="1">
        <v>0.1</v>
      </c>
      <c r="S10">
        <f t="shared" si="0"/>
        <v>87.3</v>
      </c>
      <c r="T10">
        <f>IFERROR(VLOOKUP(A10,Table1[[Customer ID]:[Discount Amount]], 6, FALSE),"Not Found")</f>
        <v>97</v>
      </c>
      <c r="U10" t="str">
        <f t="shared" si="1"/>
        <v>Venmo</v>
      </c>
      <c r="V10" s="4" t="str">
        <f t="shared" si="3"/>
        <v>Normal</v>
      </c>
      <c r="W10" s="4" t="str">
        <f t="shared" si="2"/>
        <v>Poor</v>
      </c>
      <c r="X10" s="4">
        <f>AVERAGE(Table1[Purchase Amount])</f>
        <v>129.48419400000012</v>
      </c>
    </row>
    <row r="11" spans="1:24" ht="15" customHeight="1" x14ac:dyDescent="0.25">
      <c r="A11">
        <v>10</v>
      </c>
      <c r="B11">
        <v>57</v>
      </c>
      <c r="C11" t="s">
        <v>27</v>
      </c>
      <c r="D11" t="s">
        <v>69</v>
      </c>
      <c r="E11" t="s">
        <v>29</v>
      </c>
      <c r="F11" s="2">
        <v>31</v>
      </c>
      <c r="G11" t="s">
        <v>146</v>
      </c>
      <c r="H11" t="s">
        <v>31</v>
      </c>
      <c r="I11" t="s">
        <v>136</v>
      </c>
      <c r="J11" t="s">
        <v>33</v>
      </c>
      <c r="K11">
        <v>4.8</v>
      </c>
      <c r="L11" t="s">
        <v>34</v>
      </c>
      <c r="M11" t="s">
        <v>41</v>
      </c>
      <c r="N11" t="s">
        <v>34</v>
      </c>
      <c r="O11">
        <v>4</v>
      </c>
      <c r="P11" t="s">
        <v>25</v>
      </c>
      <c r="Q11" t="s">
        <v>37</v>
      </c>
      <c r="R11" s="1">
        <v>0.1</v>
      </c>
      <c r="S11">
        <f t="shared" si="0"/>
        <v>27.9</v>
      </c>
      <c r="T11">
        <f>IFERROR(VLOOKUP(A11,Table1[[Customer ID]:[Discount Amount]], 6, FALSE),"Not Found")</f>
        <v>31</v>
      </c>
      <c r="U11" t="str">
        <f t="shared" si="1"/>
        <v>Cash</v>
      </c>
      <c r="V11" s="4" t="str">
        <f t="shared" si="3"/>
        <v>Normal</v>
      </c>
      <c r="W11" s="4" t="str">
        <f t="shared" si="2"/>
        <v>Good</v>
      </c>
      <c r="X11" s="4">
        <f>AVERAGE(Table1[Purchase Amount])</f>
        <v>129.48419400000012</v>
      </c>
    </row>
    <row r="12" spans="1:24" ht="15" customHeight="1" x14ac:dyDescent="0.25">
      <c r="A12">
        <v>11</v>
      </c>
      <c r="B12">
        <v>53</v>
      </c>
      <c r="C12" t="s">
        <v>27</v>
      </c>
      <c r="D12" t="s">
        <v>72</v>
      </c>
      <c r="E12" t="s">
        <v>98</v>
      </c>
      <c r="F12" s="2">
        <v>34</v>
      </c>
      <c r="G12" t="s">
        <v>100</v>
      </c>
      <c r="H12" t="s">
        <v>45</v>
      </c>
      <c r="I12" t="s">
        <v>66</v>
      </c>
      <c r="J12" t="s">
        <v>47</v>
      </c>
      <c r="K12">
        <v>4.0999999999999996</v>
      </c>
      <c r="L12" t="s">
        <v>34</v>
      </c>
      <c r="M12" t="s">
        <v>48</v>
      </c>
      <c r="N12" t="s">
        <v>34</v>
      </c>
      <c r="O12">
        <v>26</v>
      </c>
      <c r="P12" t="s">
        <v>88</v>
      </c>
      <c r="Q12" t="s">
        <v>68</v>
      </c>
      <c r="R12" s="1">
        <v>0.1</v>
      </c>
      <c r="S12">
        <f t="shared" si="0"/>
        <v>30.6</v>
      </c>
      <c r="T12">
        <f>IFERROR(VLOOKUP(A12,Table1[[Customer ID]:[Discount Amount]], 6, FALSE),"Not Found")</f>
        <v>34</v>
      </c>
      <c r="U12" t="str">
        <f t="shared" si="1"/>
        <v>Bank Transfer</v>
      </c>
      <c r="V12" s="4" t="str">
        <f t="shared" si="3"/>
        <v>Normal</v>
      </c>
      <c r="W12" s="4" t="str">
        <f t="shared" si="2"/>
        <v>Good</v>
      </c>
      <c r="X12" s="4">
        <f>AVERAGE(Table1[Purchase Amount])</f>
        <v>129.48419400000012</v>
      </c>
    </row>
    <row r="13" spans="1:24" ht="15" customHeight="1" x14ac:dyDescent="0.25">
      <c r="A13">
        <v>12</v>
      </c>
      <c r="B13">
        <v>30</v>
      </c>
      <c r="C13" t="s">
        <v>27</v>
      </c>
      <c r="D13" t="s">
        <v>54</v>
      </c>
      <c r="E13" t="s">
        <v>18</v>
      </c>
      <c r="F13" s="2">
        <v>68</v>
      </c>
      <c r="G13" t="s">
        <v>135</v>
      </c>
      <c r="H13" t="s">
        <v>55</v>
      </c>
      <c r="I13" t="s">
        <v>21</v>
      </c>
      <c r="J13" t="s">
        <v>22</v>
      </c>
      <c r="K13">
        <v>4.9000000000000004</v>
      </c>
      <c r="L13" t="s">
        <v>34</v>
      </c>
      <c r="M13" t="s">
        <v>48</v>
      </c>
      <c r="N13" t="s">
        <v>34</v>
      </c>
      <c r="O13">
        <v>10</v>
      </c>
      <c r="P13" t="s">
        <v>88</v>
      </c>
      <c r="Q13" t="s">
        <v>89</v>
      </c>
      <c r="R13" s="1">
        <v>0.1</v>
      </c>
      <c r="S13">
        <f t="shared" si="0"/>
        <v>61.2</v>
      </c>
      <c r="T13">
        <f>IFERROR(VLOOKUP(A13,Table1[[Customer ID]:[Discount Amount]], 6, FALSE),"Not Found")</f>
        <v>68</v>
      </c>
      <c r="U13" t="str">
        <f t="shared" si="1"/>
        <v>Bank Transfer</v>
      </c>
      <c r="V13" s="4" t="str">
        <f t="shared" si="3"/>
        <v>Normal</v>
      </c>
      <c r="W13" s="4" t="str">
        <f t="shared" si="2"/>
        <v>Good</v>
      </c>
      <c r="X13" s="4">
        <f>AVERAGE(Table1[Purchase Amount])</f>
        <v>129.48419400000012</v>
      </c>
    </row>
    <row r="14" spans="1:24" ht="15" customHeight="1" x14ac:dyDescent="0.25">
      <c r="A14">
        <v>13</v>
      </c>
      <c r="B14">
        <v>61</v>
      </c>
      <c r="C14" t="s">
        <v>27</v>
      </c>
      <c r="D14" t="s">
        <v>76</v>
      </c>
      <c r="E14" t="s">
        <v>77</v>
      </c>
      <c r="F14" s="2">
        <v>72</v>
      </c>
      <c r="G14" t="s">
        <v>143</v>
      </c>
      <c r="H14" t="s">
        <v>31</v>
      </c>
      <c r="I14" t="s">
        <v>133</v>
      </c>
      <c r="J14" t="s">
        <v>22</v>
      </c>
      <c r="K14">
        <v>4.5</v>
      </c>
      <c r="L14" t="s">
        <v>34</v>
      </c>
      <c r="M14" t="s">
        <v>61</v>
      </c>
      <c r="N14" t="s">
        <v>34</v>
      </c>
      <c r="O14">
        <v>37</v>
      </c>
      <c r="P14" t="s">
        <v>62</v>
      </c>
      <c r="Q14" t="s">
        <v>89</v>
      </c>
      <c r="R14" s="1">
        <v>0.1</v>
      </c>
      <c r="S14">
        <f t="shared" si="0"/>
        <v>64.8</v>
      </c>
      <c r="T14">
        <f>IFERROR(VLOOKUP(A14,Table1[[Customer ID]:[Discount Amount]], 6, FALSE),"Not Found")</f>
        <v>72</v>
      </c>
      <c r="U14" t="str">
        <f t="shared" si="1"/>
        <v>Venmo</v>
      </c>
      <c r="V14" s="4" t="str">
        <f t="shared" si="3"/>
        <v>Normal</v>
      </c>
      <c r="W14" s="4" t="str">
        <f t="shared" si="2"/>
        <v>Good</v>
      </c>
      <c r="X14" s="4">
        <f>AVERAGE(Table1[Purchase Amount])</f>
        <v>129.48419400000012</v>
      </c>
    </row>
    <row r="15" spans="1:24" ht="15" customHeight="1" x14ac:dyDescent="0.25">
      <c r="A15">
        <v>14</v>
      </c>
      <c r="B15">
        <v>65</v>
      </c>
      <c r="C15" t="s">
        <v>27</v>
      </c>
      <c r="D15" t="s">
        <v>157</v>
      </c>
      <c r="E15" t="s">
        <v>18</v>
      </c>
      <c r="F15" s="2">
        <v>51</v>
      </c>
      <c r="G15" t="s">
        <v>132</v>
      </c>
      <c r="H15" t="s">
        <v>31</v>
      </c>
      <c r="I15" t="s">
        <v>111</v>
      </c>
      <c r="J15" t="s">
        <v>33</v>
      </c>
      <c r="K15">
        <v>4.7</v>
      </c>
      <c r="L15" t="s">
        <v>34</v>
      </c>
      <c r="M15" t="s">
        <v>61</v>
      </c>
      <c r="N15" t="s">
        <v>34</v>
      </c>
      <c r="O15">
        <v>31</v>
      </c>
      <c r="P15" t="s">
        <v>58</v>
      </c>
      <c r="Q15" t="s">
        <v>26</v>
      </c>
      <c r="R15" s="1">
        <v>0.1</v>
      </c>
      <c r="S15">
        <f t="shared" si="0"/>
        <v>45.9</v>
      </c>
      <c r="T15">
        <f>IFERROR(VLOOKUP(A15,Table1[[Customer ID]:[Discount Amount]], 6, FALSE),"Not Found")</f>
        <v>51</v>
      </c>
      <c r="U15" t="str">
        <f t="shared" si="1"/>
        <v>PayPal</v>
      </c>
      <c r="V15" s="4" t="str">
        <f t="shared" si="3"/>
        <v>Normal</v>
      </c>
      <c r="W15" s="4" t="str">
        <f t="shared" si="2"/>
        <v>Good</v>
      </c>
      <c r="X15" s="4">
        <f>AVERAGE(Table1[Purchase Amount])</f>
        <v>129.48419400000012</v>
      </c>
    </row>
    <row r="16" spans="1:24" ht="15" customHeight="1" x14ac:dyDescent="0.25">
      <c r="A16">
        <v>15</v>
      </c>
      <c r="B16">
        <v>64</v>
      </c>
      <c r="C16" t="s">
        <v>27</v>
      </c>
      <c r="D16" t="s">
        <v>76</v>
      </c>
      <c r="E16" t="s">
        <v>77</v>
      </c>
      <c r="F16" s="2">
        <v>53</v>
      </c>
      <c r="G16" t="s">
        <v>101</v>
      </c>
      <c r="H16" t="s">
        <v>45</v>
      </c>
      <c r="I16" t="s">
        <v>147</v>
      </c>
      <c r="J16" t="s">
        <v>22</v>
      </c>
      <c r="K16">
        <v>4.7</v>
      </c>
      <c r="L16" t="s">
        <v>34</v>
      </c>
      <c r="M16" t="s">
        <v>35</v>
      </c>
      <c r="N16" t="s">
        <v>34</v>
      </c>
      <c r="O16">
        <v>34</v>
      </c>
      <c r="P16" t="s">
        <v>36</v>
      </c>
      <c r="Q16" t="s">
        <v>26</v>
      </c>
      <c r="R16" s="1">
        <v>0.1</v>
      </c>
      <c r="S16">
        <f t="shared" si="0"/>
        <v>47.7</v>
      </c>
      <c r="T16">
        <f>IFERROR(VLOOKUP(A16,Table1[[Customer ID]:[Discount Amount]], 6, FALSE),"Not Found")</f>
        <v>53</v>
      </c>
      <c r="U16" t="str">
        <f t="shared" si="1"/>
        <v>Debit Card</v>
      </c>
      <c r="V16" s="4" t="str">
        <f t="shared" si="3"/>
        <v>Normal</v>
      </c>
      <c r="W16" s="4" t="str">
        <f t="shared" si="2"/>
        <v>Good</v>
      </c>
      <c r="X16" s="4">
        <f>AVERAGE(Table1[Purchase Amount])</f>
        <v>129.48419400000012</v>
      </c>
    </row>
    <row r="17" spans="1:25" ht="15" customHeight="1" x14ac:dyDescent="0.25">
      <c r="A17">
        <v>16</v>
      </c>
      <c r="B17">
        <v>64</v>
      </c>
      <c r="C17" t="s">
        <v>27</v>
      </c>
      <c r="D17" t="s">
        <v>122</v>
      </c>
      <c r="E17" t="s">
        <v>18</v>
      </c>
      <c r="F17" s="2">
        <v>81</v>
      </c>
      <c r="G17" t="s">
        <v>159</v>
      </c>
      <c r="H17" t="s">
        <v>31</v>
      </c>
      <c r="I17" t="s">
        <v>147</v>
      </c>
      <c r="J17" t="s">
        <v>22</v>
      </c>
      <c r="K17">
        <v>2.8</v>
      </c>
      <c r="L17" t="s">
        <v>34</v>
      </c>
      <c r="M17" t="s">
        <v>48</v>
      </c>
      <c r="N17" t="s">
        <v>34</v>
      </c>
      <c r="O17">
        <v>8</v>
      </c>
      <c r="P17" t="s">
        <v>58</v>
      </c>
      <c r="Q17" t="s">
        <v>42</v>
      </c>
      <c r="R17" s="1">
        <v>0.1</v>
      </c>
      <c r="S17">
        <f t="shared" si="0"/>
        <v>72.900000000000006</v>
      </c>
      <c r="T17">
        <f>IFERROR(VLOOKUP(A17,Table1[[Customer ID]:[Discount Amount]], 6, FALSE),"Not Found")</f>
        <v>81</v>
      </c>
      <c r="U17" t="str">
        <f t="shared" si="1"/>
        <v>PayPal</v>
      </c>
      <c r="V17" s="4" t="str">
        <f t="shared" si="3"/>
        <v>Normal</v>
      </c>
      <c r="W17" s="4" t="str">
        <f t="shared" si="2"/>
        <v>Poor</v>
      </c>
      <c r="X17" s="4">
        <f>AVERAGE(Table1[Purchase Amount])</f>
        <v>129.48419400000012</v>
      </c>
    </row>
    <row r="18" spans="1:25" ht="15" customHeight="1" x14ac:dyDescent="0.25">
      <c r="A18">
        <v>17</v>
      </c>
      <c r="B18">
        <v>25</v>
      </c>
      <c r="C18" t="s">
        <v>27</v>
      </c>
      <c r="D18" t="s">
        <v>28</v>
      </c>
      <c r="E18" t="s">
        <v>29</v>
      </c>
      <c r="F18" s="2">
        <v>36</v>
      </c>
      <c r="G18" t="s">
        <v>51</v>
      </c>
      <c r="H18" t="s">
        <v>55</v>
      </c>
      <c r="I18" t="s">
        <v>85</v>
      </c>
      <c r="J18" t="s">
        <v>33</v>
      </c>
      <c r="K18">
        <v>4.0999999999999996</v>
      </c>
      <c r="L18" t="s">
        <v>34</v>
      </c>
      <c r="M18" t="s">
        <v>79</v>
      </c>
      <c r="N18" t="s">
        <v>34</v>
      </c>
      <c r="O18">
        <v>44</v>
      </c>
      <c r="P18" t="s">
        <v>36</v>
      </c>
      <c r="Q18" t="s">
        <v>68</v>
      </c>
      <c r="R18" s="1">
        <v>0.1</v>
      </c>
      <c r="S18">
        <f t="shared" si="0"/>
        <v>32.4</v>
      </c>
      <c r="T18">
        <f>IFERROR(VLOOKUP(A18,Table1[[Customer ID]:[Discount Amount]], 6, FALSE),"Not Found")</f>
        <v>36</v>
      </c>
      <c r="U18" t="str">
        <f t="shared" si="1"/>
        <v>Debit Card</v>
      </c>
      <c r="V18" s="4" t="str">
        <f t="shared" si="3"/>
        <v>Normal</v>
      </c>
      <c r="W18" s="4" t="str">
        <f t="shared" si="2"/>
        <v>Good</v>
      </c>
      <c r="X18" s="4">
        <f>AVERAGE(Table1[Purchase Amount])</f>
        <v>129.48419400000012</v>
      </c>
      <c r="Y18" s="3"/>
    </row>
    <row r="19" spans="1:25" ht="15" customHeight="1" x14ac:dyDescent="0.25">
      <c r="A19">
        <v>18</v>
      </c>
      <c r="B19">
        <v>53</v>
      </c>
      <c r="C19" t="s">
        <v>27</v>
      </c>
      <c r="D19" t="s">
        <v>157</v>
      </c>
      <c r="E19" t="s">
        <v>18</v>
      </c>
      <c r="F19" s="2">
        <v>38</v>
      </c>
      <c r="G19" t="s">
        <v>149</v>
      </c>
      <c r="H19" t="s">
        <v>20</v>
      </c>
      <c r="I19" t="s">
        <v>107</v>
      </c>
      <c r="J19" t="s">
        <v>22</v>
      </c>
      <c r="K19">
        <v>4.7</v>
      </c>
      <c r="L19" t="s">
        <v>34</v>
      </c>
      <c r="M19" t="s">
        <v>41</v>
      </c>
      <c r="N19" t="s">
        <v>34</v>
      </c>
      <c r="O19">
        <v>36</v>
      </c>
      <c r="P19" t="s">
        <v>62</v>
      </c>
      <c r="Q19" t="s">
        <v>37</v>
      </c>
      <c r="R19" s="1">
        <v>0.1</v>
      </c>
      <c r="S19">
        <f t="shared" si="0"/>
        <v>34.200000000000003</v>
      </c>
      <c r="T19">
        <f>IFERROR(VLOOKUP(A19,Table1[[Customer ID]:[Discount Amount]], 6, FALSE),"Not Found")</f>
        <v>38</v>
      </c>
      <c r="U19" t="str">
        <f t="shared" si="1"/>
        <v>Venmo</v>
      </c>
      <c r="V19" s="4" t="str">
        <f t="shared" si="3"/>
        <v>Normal</v>
      </c>
      <c r="W19" s="4" t="str">
        <f t="shared" si="2"/>
        <v>Good</v>
      </c>
      <c r="X19" s="4">
        <f>AVERAGE(Table1[Purchase Amount])</f>
        <v>129.48419400000012</v>
      </c>
    </row>
    <row r="20" spans="1:25" ht="15" customHeight="1" x14ac:dyDescent="0.25">
      <c r="A20">
        <v>19</v>
      </c>
      <c r="B20">
        <v>52</v>
      </c>
      <c r="C20" t="s">
        <v>27</v>
      </c>
      <c r="D20" t="s">
        <v>127</v>
      </c>
      <c r="E20" t="s">
        <v>18</v>
      </c>
      <c r="F20" s="2">
        <v>48</v>
      </c>
      <c r="G20" t="s">
        <v>39</v>
      </c>
      <c r="H20" t="s">
        <v>55</v>
      </c>
      <c r="I20" t="s">
        <v>40</v>
      </c>
      <c r="J20" t="s">
        <v>57</v>
      </c>
      <c r="K20">
        <v>4.5999999999999996</v>
      </c>
      <c r="L20" t="s">
        <v>34</v>
      </c>
      <c r="M20" t="s">
        <v>35</v>
      </c>
      <c r="N20" t="s">
        <v>34</v>
      </c>
      <c r="O20">
        <v>17</v>
      </c>
      <c r="P20" t="s">
        <v>25</v>
      </c>
      <c r="Q20" t="s">
        <v>26</v>
      </c>
      <c r="R20" s="1">
        <v>0.1</v>
      </c>
      <c r="S20">
        <f t="shared" si="0"/>
        <v>43.2</v>
      </c>
      <c r="T20">
        <f>IFERROR(VLOOKUP(A20,Table1[[Customer ID]:[Discount Amount]], 6, FALSE),"Not Found")</f>
        <v>48</v>
      </c>
      <c r="U20" t="str">
        <f t="shared" si="1"/>
        <v>Cash</v>
      </c>
      <c r="V20" s="4" t="str">
        <f t="shared" si="3"/>
        <v>Normal</v>
      </c>
      <c r="W20" s="4" t="str">
        <f t="shared" si="2"/>
        <v>Good</v>
      </c>
      <c r="X20" s="4">
        <f>AVERAGE(Table1[Purchase Amount])</f>
        <v>129.48419400000012</v>
      </c>
    </row>
    <row r="21" spans="1:25" ht="15" customHeight="1" x14ac:dyDescent="0.25">
      <c r="A21">
        <v>20</v>
      </c>
      <c r="B21">
        <v>66</v>
      </c>
      <c r="C21" t="s">
        <v>27</v>
      </c>
      <c r="D21" t="s">
        <v>99</v>
      </c>
      <c r="E21" t="s">
        <v>18</v>
      </c>
      <c r="F21" s="2">
        <v>90</v>
      </c>
      <c r="G21" t="s">
        <v>159</v>
      </c>
      <c r="H21" t="s">
        <v>31</v>
      </c>
      <c r="I21" t="s">
        <v>93</v>
      </c>
      <c r="J21" t="s">
        <v>57</v>
      </c>
      <c r="K21">
        <v>3.3</v>
      </c>
      <c r="L21" t="s">
        <v>34</v>
      </c>
      <c r="M21" t="s">
        <v>24</v>
      </c>
      <c r="N21" t="s">
        <v>34</v>
      </c>
      <c r="O21">
        <v>46</v>
      </c>
      <c r="P21" t="s">
        <v>36</v>
      </c>
      <c r="Q21" t="s">
        <v>68</v>
      </c>
      <c r="R21" s="1">
        <v>0.1</v>
      </c>
      <c r="S21">
        <f t="shared" si="0"/>
        <v>81</v>
      </c>
      <c r="T21">
        <f>IFERROR(VLOOKUP(A21,Table1[[Customer ID]:[Discount Amount]], 6, FALSE),"Not Found")</f>
        <v>90</v>
      </c>
      <c r="U21" t="str">
        <f t="shared" si="1"/>
        <v>Debit Card</v>
      </c>
      <c r="V21" s="4" t="str">
        <f t="shared" si="3"/>
        <v>Normal</v>
      </c>
      <c r="W21" s="4" t="str">
        <f t="shared" si="2"/>
        <v>Good</v>
      </c>
      <c r="X21" s="4">
        <f>AVERAGE(Table1[Purchase Amount])</f>
        <v>129.48419400000012</v>
      </c>
    </row>
    <row r="22" spans="1:25" ht="15" customHeight="1" x14ac:dyDescent="0.25">
      <c r="A22">
        <v>21</v>
      </c>
      <c r="B22">
        <v>21</v>
      </c>
      <c r="C22" t="s">
        <v>27</v>
      </c>
      <c r="D22" t="s">
        <v>99</v>
      </c>
      <c r="E22" t="s">
        <v>18</v>
      </c>
      <c r="F22" s="2">
        <v>51</v>
      </c>
      <c r="G22" t="s">
        <v>119</v>
      </c>
      <c r="H22" t="s">
        <v>31</v>
      </c>
      <c r="I22" t="s">
        <v>40</v>
      </c>
      <c r="J22" t="s">
        <v>22</v>
      </c>
      <c r="K22">
        <v>2.8</v>
      </c>
      <c r="L22" t="s">
        <v>34</v>
      </c>
      <c r="M22" t="s">
        <v>61</v>
      </c>
      <c r="N22" t="s">
        <v>34</v>
      </c>
      <c r="O22">
        <v>50</v>
      </c>
      <c r="P22" t="s">
        <v>25</v>
      </c>
      <c r="Q22" t="s">
        <v>63</v>
      </c>
      <c r="R22" s="1">
        <v>0.1</v>
      </c>
      <c r="S22">
        <f t="shared" si="0"/>
        <v>45.9</v>
      </c>
      <c r="T22">
        <f>IFERROR(VLOOKUP(A22,Table1[[Customer ID]:[Discount Amount]], 6, FALSE),"Not Found")</f>
        <v>51</v>
      </c>
      <c r="U22" t="str">
        <f t="shared" si="1"/>
        <v>Cash</v>
      </c>
      <c r="V22" s="4" t="str">
        <f t="shared" si="3"/>
        <v>Normal</v>
      </c>
      <c r="W22" s="4" t="str">
        <f t="shared" si="2"/>
        <v>Poor</v>
      </c>
      <c r="X22" s="4">
        <f>AVERAGE(Table1[Purchase Amount])</f>
        <v>129.48419400000012</v>
      </c>
    </row>
    <row r="23" spans="1:25" ht="15" customHeight="1" x14ac:dyDescent="0.25">
      <c r="A23">
        <v>22</v>
      </c>
      <c r="B23">
        <v>31</v>
      </c>
      <c r="C23" t="s">
        <v>27</v>
      </c>
      <c r="D23" t="s">
        <v>99</v>
      </c>
      <c r="E23" t="s">
        <v>18</v>
      </c>
      <c r="F23" s="2">
        <v>62</v>
      </c>
      <c r="G23" t="s">
        <v>134</v>
      </c>
      <c r="H23" t="s">
        <v>31</v>
      </c>
      <c r="I23" t="s">
        <v>103</v>
      </c>
      <c r="J23" t="s">
        <v>22</v>
      </c>
      <c r="K23">
        <v>4.0999999999999996</v>
      </c>
      <c r="L23" t="s">
        <v>34</v>
      </c>
      <c r="M23" t="s">
        <v>48</v>
      </c>
      <c r="N23" t="s">
        <v>34</v>
      </c>
      <c r="O23">
        <v>22</v>
      </c>
      <c r="P23" t="s">
        <v>36</v>
      </c>
      <c r="Q23" t="s">
        <v>37</v>
      </c>
      <c r="R23" s="1">
        <v>0.1</v>
      </c>
      <c r="S23">
        <f t="shared" si="0"/>
        <v>55.8</v>
      </c>
      <c r="T23">
        <f>IFERROR(VLOOKUP(A23,Table1[[Customer ID]:[Discount Amount]], 6, FALSE),"Not Found")</f>
        <v>62</v>
      </c>
      <c r="U23" t="str">
        <f t="shared" si="1"/>
        <v>Debit Card</v>
      </c>
      <c r="V23" s="4" t="str">
        <f t="shared" si="3"/>
        <v>Normal</v>
      </c>
      <c r="W23" s="4" t="str">
        <f t="shared" si="2"/>
        <v>Good</v>
      </c>
      <c r="X23" s="4">
        <f>AVERAGE(Table1[Purchase Amount])</f>
        <v>129.48419400000012</v>
      </c>
    </row>
    <row r="24" spans="1:25" ht="15" customHeight="1" x14ac:dyDescent="0.25">
      <c r="A24">
        <v>23</v>
      </c>
      <c r="B24">
        <v>56</v>
      </c>
      <c r="C24" t="s">
        <v>27</v>
      </c>
      <c r="D24" t="s">
        <v>99</v>
      </c>
      <c r="E24" t="s">
        <v>18</v>
      </c>
      <c r="F24" s="2">
        <v>37</v>
      </c>
      <c r="G24" t="s">
        <v>19</v>
      </c>
      <c r="H24" t="s">
        <v>31</v>
      </c>
      <c r="I24" t="s">
        <v>145</v>
      </c>
      <c r="J24" t="s">
        <v>57</v>
      </c>
      <c r="K24">
        <v>3.2</v>
      </c>
      <c r="L24" t="s">
        <v>34</v>
      </c>
      <c r="M24" t="s">
        <v>48</v>
      </c>
      <c r="N24" t="s">
        <v>34</v>
      </c>
      <c r="O24">
        <v>32</v>
      </c>
      <c r="P24" t="s">
        <v>36</v>
      </c>
      <c r="Q24" t="s">
        <v>49</v>
      </c>
      <c r="R24" s="1">
        <v>0.1</v>
      </c>
      <c r="S24">
        <f t="shared" si="0"/>
        <v>33.299999999999997</v>
      </c>
      <c r="T24">
        <f>IFERROR(VLOOKUP(A24,Table1[[Customer ID]:[Discount Amount]], 6, FALSE),"Not Found")</f>
        <v>37</v>
      </c>
      <c r="U24" t="str">
        <f t="shared" si="1"/>
        <v>Debit Card</v>
      </c>
      <c r="V24" s="4" t="str">
        <f t="shared" si="3"/>
        <v>Normal</v>
      </c>
      <c r="W24" s="4" t="str">
        <f t="shared" si="2"/>
        <v>Good</v>
      </c>
      <c r="X24" s="4">
        <f>AVERAGE(Table1[Purchase Amount])</f>
        <v>129.48419400000012</v>
      </c>
    </row>
    <row r="25" spans="1:25" ht="15" customHeight="1" x14ac:dyDescent="0.25">
      <c r="A25">
        <v>24</v>
      </c>
      <c r="B25">
        <v>31</v>
      </c>
      <c r="C25" t="s">
        <v>27</v>
      </c>
      <c r="D25" t="s">
        <v>99</v>
      </c>
      <c r="E25" t="s">
        <v>18</v>
      </c>
      <c r="F25" s="2">
        <v>88</v>
      </c>
      <c r="G25" t="s">
        <v>142</v>
      </c>
      <c r="H25" t="s">
        <v>20</v>
      </c>
      <c r="I25" t="s">
        <v>32</v>
      </c>
      <c r="J25" t="s">
        <v>22</v>
      </c>
      <c r="K25">
        <v>4.4000000000000004</v>
      </c>
      <c r="L25" t="s">
        <v>34</v>
      </c>
      <c r="M25" t="s">
        <v>61</v>
      </c>
      <c r="N25" t="s">
        <v>34</v>
      </c>
      <c r="O25">
        <v>40</v>
      </c>
      <c r="P25" t="s">
        <v>53</v>
      </c>
      <c r="Q25" t="s">
        <v>26</v>
      </c>
      <c r="R25" s="1">
        <v>0.1</v>
      </c>
      <c r="S25">
        <f t="shared" si="0"/>
        <v>79.2</v>
      </c>
      <c r="T25">
        <f>IFERROR(VLOOKUP(A25,Table1[[Customer ID]:[Discount Amount]], 6, FALSE),"Not Found")</f>
        <v>88</v>
      </c>
      <c r="U25" t="str">
        <f t="shared" si="1"/>
        <v>Credit Card</v>
      </c>
      <c r="V25" s="4" t="str">
        <f t="shared" si="3"/>
        <v>Normal</v>
      </c>
      <c r="W25" s="4" t="str">
        <f t="shared" si="2"/>
        <v>Good</v>
      </c>
      <c r="X25" s="4">
        <f>AVERAGE(Table1[Purchase Amount])</f>
        <v>129.48419400000012</v>
      </c>
    </row>
    <row r="26" spans="1:25" ht="15" customHeight="1" x14ac:dyDescent="0.25">
      <c r="A26">
        <v>25</v>
      </c>
      <c r="B26">
        <v>18</v>
      </c>
      <c r="C26" t="s">
        <v>27</v>
      </c>
      <c r="D26" t="s">
        <v>96</v>
      </c>
      <c r="E26" t="s">
        <v>77</v>
      </c>
      <c r="F26" s="2">
        <v>22</v>
      </c>
      <c r="G26" t="s">
        <v>67</v>
      </c>
      <c r="H26" t="s">
        <v>31</v>
      </c>
      <c r="I26" t="s">
        <v>93</v>
      </c>
      <c r="J26" t="s">
        <v>47</v>
      </c>
      <c r="K26">
        <v>2.9</v>
      </c>
      <c r="L26" t="s">
        <v>34</v>
      </c>
      <c r="M26" t="s">
        <v>48</v>
      </c>
      <c r="N26" t="s">
        <v>34</v>
      </c>
      <c r="O26">
        <v>16</v>
      </c>
      <c r="P26" t="s">
        <v>36</v>
      </c>
      <c r="Q26" t="s">
        <v>26</v>
      </c>
      <c r="R26" s="1">
        <v>0.1</v>
      </c>
      <c r="S26">
        <f t="shared" si="0"/>
        <v>19.8</v>
      </c>
      <c r="T26">
        <f>IFERROR(VLOOKUP(A26,Table1[[Customer ID]:[Discount Amount]], 6, FALSE),"Not Found")</f>
        <v>22</v>
      </c>
      <c r="U26" t="str">
        <f t="shared" si="1"/>
        <v>Debit Card</v>
      </c>
      <c r="V26" s="4" t="str">
        <f t="shared" si="3"/>
        <v>Normal</v>
      </c>
      <c r="W26" s="4" t="str">
        <f t="shared" si="2"/>
        <v>Poor</v>
      </c>
      <c r="X26" s="4">
        <f>AVERAGE(Table1[Purchase Amount])</f>
        <v>129.48419400000012</v>
      </c>
    </row>
    <row r="27" spans="1:25" ht="15" customHeight="1" x14ac:dyDescent="0.25">
      <c r="A27">
        <v>26</v>
      </c>
      <c r="B27">
        <v>18</v>
      </c>
      <c r="C27" t="s">
        <v>27</v>
      </c>
      <c r="D27" t="s">
        <v>83</v>
      </c>
      <c r="E27" t="s">
        <v>18</v>
      </c>
      <c r="F27" s="2">
        <v>25</v>
      </c>
      <c r="G27" t="s">
        <v>152</v>
      </c>
      <c r="H27" t="s">
        <v>31</v>
      </c>
      <c r="I27" t="s">
        <v>153</v>
      </c>
      <c r="J27" t="s">
        <v>57</v>
      </c>
      <c r="K27">
        <v>3.6</v>
      </c>
      <c r="L27" t="s">
        <v>34</v>
      </c>
      <c r="M27" t="s">
        <v>61</v>
      </c>
      <c r="N27" t="s">
        <v>34</v>
      </c>
      <c r="O27">
        <v>14</v>
      </c>
      <c r="P27" t="s">
        <v>58</v>
      </c>
      <c r="Q27" t="s">
        <v>49</v>
      </c>
      <c r="R27" s="1">
        <v>0.1</v>
      </c>
      <c r="S27">
        <f t="shared" si="0"/>
        <v>22.5</v>
      </c>
      <c r="T27">
        <f>IFERROR(VLOOKUP(A27,Table1[[Customer ID]:[Discount Amount]], 6, FALSE),"Not Found")</f>
        <v>25</v>
      </c>
      <c r="U27" t="str">
        <f t="shared" si="1"/>
        <v>PayPal</v>
      </c>
      <c r="V27" s="4" t="str">
        <f t="shared" si="3"/>
        <v>Normal</v>
      </c>
      <c r="W27" s="4" t="str">
        <f t="shared" si="2"/>
        <v>Good</v>
      </c>
      <c r="X27" s="4">
        <f>AVERAGE(Table1[Purchase Amount])</f>
        <v>129.48419400000012</v>
      </c>
    </row>
    <row r="28" spans="1:25" ht="15" customHeight="1" x14ac:dyDescent="0.25">
      <c r="A28">
        <v>27</v>
      </c>
      <c r="B28">
        <v>38</v>
      </c>
      <c r="C28" t="s">
        <v>27</v>
      </c>
      <c r="D28" t="s">
        <v>50</v>
      </c>
      <c r="E28" t="s">
        <v>29</v>
      </c>
      <c r="F28" s="2">
        <v>20</v>
      </c>
      <c r="G28" t="s">
        <v>158</v>
      </c>
      <c r="H28" t="s">
        <v>31</v>
      </c>
      <c r="I28" t="s">
        <v>46</v>
      </c>
      <c r="J28" t="s">
        <v>33</v>
      </c>
      <c r="K28">
        <v>3.6</v>
      </c>
      <c r="L28" t="s">
        <v>34</v>
      </c>
      <c r="M28" t="s">
        <v>79</v>
      </c>
      <c r="N28" t="s">
        <v>34</v>
      </c>
      <c r="O28">
        <v>13</v>
      </c>
      <c r="P28" t="s">
        <v>53</v>
      </c>
      <c r="Q28" t="s">
        <v>49</v>
      </c>
      <c r="R28" s="1">
        <v>0.1</v>
      </c>
      <c r="S28">
        <f t="shared" si="0"/>
        <v>18</v>
      </c>
      <c r="T28">
        <f>IFERROR(VLOOKUP(A28,Table1[[Customer ID]:[Discount Amount]], 6, FALSE),"Not Found")</f>
        <v>20</v>
      </c>
      <c r="U28" t="str">
        <f t="shared" si="1"/>
        <v>Credit Card</v>
      </c>
      <c r="V28" s="4" t="str">
        <f t="shared" si="3"/>
        <v>Normal</v>
      </c>
      <c r="W28" s="4" t="str">
        <f t="shared" si="2"/>
        <v>Good</v>
      </c>
      <c r="X28" s="4">
        <f>AVERAGE(Table1[Purchase Amount])</f>
        <v>129.48419400000012</v>
      </c>
    </row>
    <row r="29" spans="1:25" ht="15" customHeight="1" x14ac:dyDescent="0.25">
      <c r="A29">
        <v>28</v>
      </c>
      <c r="B29">
        <v>56</v>
      </c>
      <c r="C29" t="s">
        <v>27</v>
      </c>
      <c r="D29" t="s">
        <v>54</v>
      </c>
      <c r="E29" t="s">
        <v>18</v>
      </c>
      <c r="F29" s="2">
        <v>56</v>
      </c>
      <c r="G29" t="s">
        <v>70</v>
      </c>
      <c r="H29" t="s">
        <v>45</v>
      </c>
      <c r="I29" t="s">
        <v>128</v>
      </c>
      <c r="J29" t="s">
        <v>57</v>
      </c>
      <c r="K29">
        <v>5</v>
      </c>
      <c r="L29" t="s">
        <v>34</v>
      </c>
      <c r="M29" t="s">
        <v>79</v>
      </c>
      <c r="N29" t="s">
        <v>34</v>
      </c>
      <c r="O29">
        <v>7</v>
      </c>
      <c r="P29" t="s">
        <v>88</v>
      </c>
      <c r="Q29" t="s">
        <v>63</v>
      </c>
      <c r="R29" s="1">
        <v>0.1</v>
      </c>
      <c r="S29">
        <f t="shared" si="0"/>
        <v>50.4</v>
      </c>
      <c r="T29">
        <f>IFERROR(VLOOKUP(A29,Table1[[Customer ID]:[Discount Amount]], 6, FALSE),"Not Found")</f>
        <v>56</v>
      </c>
      <c r="U29" t="str">
        <f t="shared" si="1"/>
        <v>Bank Transfer</v>
      </c>
      <c r="V29" s="4" t="str">
        <f t="shared" si="3"/>
        <v>Normal</v>
      </c>
      <c r="W29" s="4" t="str">
        <f t="shared" si="2"/>
        <v>Good</v>
      </c>
      <c r="X29" s="4">
        <f>AVERAGE(Table1[Purchase Amount])</f>
        <v>129.48419400000012</v>
      </c>
    </row>
    <row r="30" spans="1:25" ht="15" customHeight="1" x14ac:dyDescent="0.25">
      <c r="A30">
        <v>29</v>
      </c>
      <c r="B30">
        <v>54</v>
      </c>
      <c r="C30" t="s">
        <v>27</v>
      </c>
      <c r="D30" t="s">
        <v>69</v>
      </c>
      <c r="E30" t="s">
        <v>29</v>
      </c>
      <c r="F30" s="2">
        <v>94</v>
      </c>
      <c r="G30" t="s">
        <v>134</v>
      </c>
      <c r="H30" t="s">
        <v>31</v>
      </c>
      <c r="I30" t="s">
        <v>85</v>
      </c>
      <c r="J30" t="s">
        <v>47</v>
      </c>
      <c r="K30">
        <v>4.4000000000000004</v>
      </c>
      <c r="L30" t="s">
        <v>34</v>
      </c>
      <c r="M30" t="s">
        <v>35</v>
      </c>
      <c r="N30" t="s">
        <v>34</v>
      </c>
      <c r="O30">
        <v>41</v>
      </c>
      <c r="P30" t="s">
        <v>58</v>
      </c>
      <c r="Q30" t="s">
        <v>63</v>
      </c>
      <c r="R30" s="1">
        <v>0.1</v>
      </c>
      <c r="S30">
        <f t="shared" si="0"/>
        <v>84.6</v>
      </c>
      <c r="T30">
        <f>IFERROR(VLOOKUP(A30,Table1[[Customer ID]:[Discount Amount]], 6, FALSE),"Not Found")</f>
        <v>94</v>
      </c>
      <c r="U30" t="str">
        <f t="shared" si="1"/>
        <v>PayPal</v>
      </c>
      <c r="V30" s="4" t="str">
        <f t="shared" si="3"/>
        <v>Normal</v>
      </c>
      <c r="W30" s="4" t="str">
        <f t="shared" si="2"/>
        <v>Good</v>
      </c>
      <c r="X30" s="4">
        <f>AVERAGE(Table1[Purchase Amount])</f>
        <v>129.48419400000012</v>
      </c>
    </row>
    <row r="31" spans="1:25" ht="15" customHeight="1" x14ac:dyDescent="0.25">
      <c r="A31">
        <v>30</v>
      </c>
      <c r="B31">
        <v>31</v>
      </c>
      <c r="C31" t="s">
        <v>27</v>
      </c>
      <c r="D31" t="s">
        <v>157</v>
      </c>
      <c r="E31" t="s">
        <v>18</v>
      </c>
      <c r="F31" s="2">
        <v>48</v>
      </c>
      <c r="G31" t="s">
        <v>162</v>
      </c>
      <c r="H31" t="s">
        <v>55</v>
      </c>
      <c r="I31" t="s">
        <v>40</v>
      </c>
      <c r="J31" t="s">
        <v>47</v>
      </c>
      <c r="K31">
        <v>4.0999999999999996</v>
      </c>
      <c r="L31" t="s">
        <v>34</v>
      </c>
      <c r="M31" t="s">
        <v>48</v>
      </c>
      <c r="N31" t="s">
        <v>34</v>
      </c>
      <c r="O31">
        <v>14</v>
      </c>
      <c r="P31" t="s">
        <v>53</v>
      </c>
      <c r="Q31" t="s">
        <v>26</v>
      </c>
      <c r="R31" s="1">
        <v>0.1</v>
      </c>
      <c r="S31">
        <f t="shared" si="0"/>
        <v>43.2</v>
      </c>
      <c r="T31">
        <f>IFERROR(VLOOKUP(A31,Table1[[Customer ID]:[Discount Amount]], 6, FALSE),"Not Found")</f>
        <v>48</v>
      </c>
      <c r="U31" t="str">
        <f t="shared" si="1"/>
        <v>Credit Card</v>
      </c>
      <c r="V31" s="4" t="str">
        <f t="shared" si="3"/>
        <v>Normal</v>
      </c>
      <c r="W31" s="4" t="str">
        <f t="shared" si="2"/>
        <v>Good</v>
      </c>
      <c r="X31" s="4">
        <f>AVERAGE(Table1[Purchase Amount])</f>
        <v>129.48419400000012</v>
      </c>
    </row>
    <row r="32" spans="1:25" ht="15" customHeight="1" x14ac:dyDescent="0.25">
      <c r="A32">
        <v>31</v>
      </c>
      <c r="B32">
        <v>57</v>
      </c>
      <c r="C32" t="s">
        <v>27</v>
      </c>
      <c r="D32" t="s">
        <v>50</v>
      </c>
      <c r="E32" t="s">
        <v>29</v>
      </c>
      <c r="F32" s="2">
        <v>31</v>
      </c>
      <c r="G32" t="s">
        <v>134</v>
      </c>
      <c r="H32" t="s">
        <v>45</v>
      </c>
      <c r="I32" t="s">
        <v>40</v>
      </c>
      <c r="J32" t="s">
        <v>22</v>
      </c>
      <c r="K32">
        <v>4.7</v>
      </c>
      <c r="L32" t="s">
        <v>34</v>
      </c>
      <c r="M32" t="s">
        <v>24</v>
      </c>
      <c r="N32" t="s">
        <v>34</v>
      </c>
      <c r="O32">
        <v>16</v>
      </c>
      <c r="P32" t="s">
        <v>53</v>
      </c>
      <c r="Q32" t="s">
        <v>42</v>
      </c>
      <c r="R32" s="1">
        <v>0.1</v>
      </c>
      <c r="S32">
        <f t="shared" si="0"/>
        <v>27.9</v>
      </c>
      <c r="T32">
        <f>IFERROR(VLOOKUP(A32,Table1[[Customer ID]:[Discount Amount]], 6, FALSE),"Not Found")</f>
        <v>31</v>
      </c>
      <c r="U32" t="str">
        <f t="shared" si="1"/>
        <v>Credit Card</v>
      </c>
      <c r="V32" s="4" t="str">
        <f t="shared" si="3"/>
        <v>Normal</v>
      </c>
      <c r="W32" s="4" t="str">
        <f t="shared" si="2"/>
        <v>Good</v>
      </c>
      <c r="X32" s="4">
        <f>AVERAGE(Table1[Purchase Amount])</f>
        <v>129.48419400000012</v>
      </c>
    </row>
    <row r="33" spans="1:24" ht="15" customHeight="1" x14ac:dyDescent="0.25">
      <c r="A33">
        <v>32</v>
      </c>
      <c r="B33">
        <v>33</v>
      </c>
      <c r="C33" t="s">
        <v>27</v>
      </c>
      <c r="D33" t="s">
        <v>157</v>
      </c>
      <c r="E33" t="s">
        <v>18</v>
      </c>
      <c r="F33" s="2">
        <v>79</v>
      </c>
      <c r="G33" t="s">
        <v>154</v>
      </c>
      <c r="H33" t="s">
        <v>45</v>
      </c>
      <c r="I33" t="s">
        <v>60</v>
      </c>
      <c r="J33" t="s">
        <v>22</v>
      </c>
      <c r="K33">
        <v>4.7</v>
      </c>
      <c r="L33" t="s">
        <v>34</v>
      </c>
      <c r="M33" t="s">
        <v>48</v>
      </c>
      <c r="N33" t="s">
        <v>34</v>
      </c>
      <c r="O33">
        <v>45</v>
      </c>
      <c r="P33" t="s">
        <v>62</v>
      </c>
      <c r="Q33" t="s">
        <v>42</v>
      </c>
      <c r="R33" s="1">
        <v>0.1</v>
      </c>
      <c r="S33">
        <f t="shared" si="0"/>
        <v>71.099999999999994</v>
      </c>
      <c r="T33">
        <f>IFERROR(VLOOKUP(A33,Table1[[Customer ID]:[Discount Amount]], 6, FALSE),"Not Found")</f>
        <v>79</v>
      </c>
      <c r="U33" t="str">
        <f t="shared" si="1"/>
        <v>Venmo</v>
      </c>
      <c r="V33" s="4" t="str">
        <f t="shared" si="3"/>
        <v>Normal</v>
      </c>
      <c r="W33" s="4" t="str">
        <f t="shared" si="2"/>
        <v>Good</v>
      </c>
      <c r="X33" s="4">
        <f>AVERAGE(Table1[Purchase Amount])</f>
        <v>129.48419400000012</v>
      </c>
    </row>
    <row r="34" spans="1:24" ht="15" customHeight="1" x14ac:dyDescent="0.25">
      <c r="A34">
        <v>33</v>
      </c>
      <c r="B34">
        <v>36</v>
      </c>
      <c r="C34" t="s">
        <v>27</v>
      </c>
      <c r="D34" t="s">
        <v>96</v>
      </c>
      <c r="E34" t="s">
        <v>77</v>
      </c>
      <c r="F34" s="2">
        <v>67</v>
      </c>
      <c r="G34" t="s">
        <v>124</v>
      </c>
      <c r="H34" t="s">
        <v>31</v>
      </c>
      <c r="I34" t="s">
        <v>153</v>
      </c>
      <c r="J34" t="s">
        <v>57</v>
      </c>
      <c r="K34">
        <v>4.9000000000000004</v>
      </c>
      <c r="L34" t="s">
        <v>34</v>
      </c>
      <c r="M34" t="s">
        <v>35</v>
      </c>
      <c r="N34" t="s">
        <v>34</v>
      </c>
      <c r="O34">
        <v>37</v>
      </c>
      <c r="P34" t="s">
        <v>62</v>
      </c>
      <c r="Q34" t="s">
        <v>49</v>
      </c>
      <c r="R34" s="1">
        <v>0.1</v>
      </c>
      <c r="S34">
        <f t="shared" si="0"/>
        <v>60.3</v>
      </c>
      <c r="T34">
        <f>IFERROR(VLOOKUP(A34,Table1[[Customer ID]:[Discount Amount]], 6, FALSE),"Not Found")</f>
        <v>67</v>
      </c>
      <c r="U34" t="str">
        <f t="shared" si="1"/>
        <v>Venmo</v>
      </c>
      <c r="V34" s="4" t="str">
        <f t="shared" si="3"/>
        <v>Normal</v>
      </c>
      <c r="W34" s="4" t="str">
        <f t="shared" si="2"/>
        <v>Good</v>
      </c>
      <c r="X34" s="4">
        <f>AVERAGE(Table1[Purchase Amount])</f>
        <v>129.48419400000012</v>
      </c>
    </row>
    <row r="35" spans="1:24" ht="15" customHeight="1" x14ac:dyDescent="0.25">
      <c r="A35">
        <v>34</v>
      </c>
      <c r="B35">
        <v>54</v>
      </c>
      <c r="C35" t="s">
        <v>27</v>
      </c>
      <c r="D35" t="s">
        <v>99</v>
      </c>
      <c r="E35" t="s">
        <v>18</v>
      </c>
      <c r="F35" s="2">
        <v>38</v>
      </c>
      <c r="G35" t="s">
        <v>92</v>
      </c>
      <c r="H35" t="s">
        <v>45</v>
      </c>
      <c r="I35" t="s">
        <v>93</v>
      </c>
      <c r="J35" t="s">
        <v>57</v>
      </c>
      <c r="K35">
        <v>3.3</v>
      </c>
      <c r="L35" t="s">
        <v>34</v>
      </c>
      <c r="M35" t="s">
        <v>48</v>
      </c>
      <c r="N35" t="s">
        <v>34</v>
      </c>
      <c r="O35">
        <v>45</v>
      </c>
      <c r="P35" t="s">
        <v>25</v>
      </c>
      <c r="Q35" t="s">
        <v>37</v>
      </c>
      <c r="R35" s="1">
        <v>0.1</v>
      </c>
      <c r="S35">
        <f t="shared" si="0"/>
        <v>34.200000000000003</v>
      </c>
      <c r="T35">
        <f>IFERROR(VLOOKUP(A35,Table1[[Customer ID]:[Discount Amount]], 6, FALSE),"Not Found")</f>
        <v>38</v>
      </c>
      <c r="U35" t="str">
        <f t="shared" si="1"/>
        <v>Cash</v>
      </c>
      <c r="V35" s="4" t="str">
        <f t="shared" si="3"/>
        <v>Normal</v>
      </c>
      <c r="W35" s="4" t="str">
        <f t="shared" si="2"/>
        <v>Good</v>
      </c>
      <c r="X35" s="4">
        <f>AVERAGE(Table1[Purchase Amount])</f>
        <v>129.48419400000012</v>
      </c>
    </row>
    <row r="36" spans="1:24" ht="15" customHeight="1" x14ac:dyDescent="0.25">
      <c r="A36">
        <v>35</v>
      </c>
      <c r="B36">
        <v>36</v>
      </c>
      <c r="C36" t="s">
        <v>27</v>
      </c>
      <c r="D36" t="s">
        <v>17</v>
      </c>
      <c r="E36" t="s">
        <v>18</v>
      </c>
      <c r="F36" s="2">
        <v>91</v>
      </c>
      <c r="G36" t="s">
        <v>86</v>
      </c>
      <c r="H36" t="s">
        <v>45</v>
      </c>
      <c r="I36" t="s">
        <v>111</v>
      </c>
      <c r="J36" t="s">
        <v>33</v>
      </c>
      <c r="K36">
        <v>4.5999999999999996</v>
      </c>
      <c r="L36" t="s">
        <v>34</v>
      </c>
      <c r="M36" t="s">
        <v>41</v>
      </c>
      <c r="N36" t="s">
        <v>34</v>
      </c>
      <c r="O36">
        <v>38</v>
      </c>
      <c r="P36" t="s">
        <v>58</v>
      </c>
      <c r="Q36" t="s">
        <v>37</v>
      </c>
      <c r="R36" s="1">
        <v>0.1</v>
      </c>
      <c r="S36">
        <f t="shared" si="0"/>
        <v>81.900000000000006</v>
      </c>
      <c r="T36">
        <f>IFERROR(VLOOKUP(A36,Table1[[Customer ID]:[Discount Amount]], 6, FALSE),"Not Found")</f>
        <v>91</v>
      </c>
      <c r="U36" t="str">
        <f t="shared" si="1"/>
        <v>PayPal</v>
      </c>
      <c r="V36" s="4" t="str">
        <f t="shared" si="3"/>
        <v>Normal</v>
      </c>
      <c r="W36" s="4" t="str">
        <f t="shared" si="2"/>
        <v>Good</v>
      </c>
      <c r="X36" s="4">
        <f>AVERAGE(Table1[Purchase Amount])</f>
        <v>129.48419400000012</v>
      </c>
    </row>
    <row r="37" spans="1:24" ht="15" customHeight="1" x14ac:dyDescent="0.25">
      <c r="A37">
        <v>36</v>
      </c>
      <c r="B37">
        <v>54</v>
      </c>
      <c r="C37" t="s">
        <v>27</v>
      </c>
      <c r="D37" t="s">
        <v>118</v>
      </c>
      <c r="E37" t="s">
        <v>18</v>
      </c>
      <c r="F37" s="2">
        <v>33</v>
      </c>
      <c r="G37" t="s">
        <v>97</v>
      </c>
      <c r="H37" t="s">
        <v>31</v>
      </c>
      <c r="I37" t="s">
        <v>128</v>
      </c>
      <c r="J37" t="s">
        <v>57</v>
      </c>
      <c r="K37">
        <v>4</v>
      </c>
      <c r="L37" t="s">
        <v>34</v>
      </c>
      <c r="M37" t="s">
        <v>41</v>
      </c>
      <c r="N37" t="s">
        <v>34</v>
      </c>
      <c r="O37">
        <v>48</v>
      </c>
      <c r="P37" t="s">
        <v>53</v>
      </c>
      <c r="Q37" t="s">
        <v>68</v>
      </c>
      <c r="R37" s="1">
        <v>0.1</v>
      </c>
      <c r="S37">
        <f t="shared" si="0"/>
        <v>29.7</v>
      </c>
      <c r="T37">
        <f>IFERROR(VLOOKUP(A37,Table1[[Customer ID]:[Discount Amount]], 6, FALSE),"Not Found")</f>
        <v>33</v>
      </c>
      <c r="U37" t="str">
        <f t="shared" si="1"/>
        <v>Credit Card</v>
      </c>
      <c r="V37" s="4" t="str">
        <f t="shared" si="3"/>
        <v>Normal</v>
      </c>
      <c r="W37" s="4" t="str">
        <f t="shared" si="2"/>
        <v>Good</v>
      </c>
      <c r="X37" s="4">
        <f>AVERAGE(Table1[Purchase Amount])</f>
        <v>129.48419400000012</v>
      </c>
    </row>
    <row r="38" spans="1:24" ht="15" customHeight="1" x14ac:dyDescent="0.25">
      <c r="A38">
        <v>37</v>
      </c>
      <c r="B38">
        <v>35</v>
      </c>
      <c r="C38" t="s">
        <v>27</v>
      </c>
      <c r="D38" t="s">
        <v>17</v>
      </c>
      <c r="E38" t="s">
        <v>18</v>
      </c>
      <c r="F38" s="2">
        <v>69</v>
      </c>
      <c r="G38" t="s">
        <v>44</v>
      </c>
      <c r="H38" t="s">
        <v>31</v>
      </c>
      <c r="I38" t="s">
        <v>125</v>
      </c>
      <c r="J38" t="s">
        <v>22</v>
      </c>
      <c r="K38">
        <v>4.5999999999999996</v>
      </c>
      <c r="L38" t="s">
        <v>34</v>
      </c>
      <c r="M38" t="s">
        <v>35</v>
      </c>
      <c r="N38" t="s">
        <v>34</v>
      </c>
      <c r="O38" t="s">
        <v>164</v>
      </c>
      <c r="P38" t="s">
        <v>58</v>
      </c>
      <c r="Q38" t="s">
        <v>89</v>
      </c>
      <c r="R38" s="1">
        <v>0.1</v>
      </c>
      <c r="S38">
        <f t="shared" si="0"/>
        <v>62.1</v>
      </c>
      <c r="T38">
        <f>IFERROR(VLOOKUP(A38,Table1[[Customer ID]:[Discount Amount]], 6, FALSE),"Not Found")</f>
        <v>69</v>
      </c>
      <c r="U38" t="str">
        <f t="shared" si="1"/>
        <v>PayPal</v>
      </c>
      <c r="V38" s="4" t="str">
        <f t="shared" si="3"/>
        <v>Normal</v>
      </c>
      <c r="W38" s="4" t="str">
        <f t="shared" si="2"/>
        <v>Good</v>
      </c>
      <c r="X38" s="4">
        <f>AVERAGE(Table1[Purchase Amount])</f>
        <v>129.48419400000012</v>
      </c>
    </row>
    <row r="39" spans="1:24" ht="15" customHeight="1" x14ac:dyDescent="0.25">
      <c r="A39">
        <v>38</v>
      </c>
      <c r="B39">
        <v>35</v>
      </c>
      <c r="C39" t="s">
        <v>27</v>
      </c>
      <c r="D39" t="s">
        <v>109</v>
      </c>
      <c r="E39" t="s">
        <v>18</v>
      </c>
      <c r="F39" s="2">
        <v>45</v>
      </c>
      <c r="G39" t="s">
        <v>102</v>
      </c>
      <c r="H39" t="s">
        <v>55</v>
      </c>
      <c r="I39" t="s">
        <v>128</v>
      </c>
      <c r="J39" t="s">
        <v>57</v>
      </c>
      <c r="K39">
        <v>2.8</v>
      </c>
      <c r="L39" t="s">
        <v>34</v>
      </c>
      <c r="M39" t="s">
        <v>48</v>
      </c>
      <c r="N39" t="s">
        <v>34</v>
      </c>
      <c r="O39">
        <v>10</v>
      </c>
      <c r="P39" t="s">
        <v>58</v>
      </c>
      <c r="Q39" t="s">
        <v>26</v>
      </c>
      <c r="R39" s="1">
        <v>0.1</v>
      </c>
      <c r="S39">
        <f t="shared" si="0"/>
        <v>40.5</v>
      </c>
      <c r="T39">
        <f>IFERROR(VLOOKUP(A39,Table1[[Customer ID]:[Discount Amount]], 6, FALSE),"Not Found")</f>
        <v>45</v>
      </c>
      <c r="U39" t="str">
        <f t="shared" si="1"/>
        <v>PayPal</v>
      </c>
      <c r="V39" s="4" t="str">
        <f t="shared" si="3"/>
        <v>Normal</v>
      </c>
      <c r="W39" s="4" t="str">
        <f t="shared" si="2"/>
        <v>Poor</v>
      </c>
      <c r="X39" s="4">
        <f>AVERAGE(Table1[Purchase Amount])</f>
        <v>129.48419400000012</v>
      </c>
    </row>
    <row r="40" spans="1:24" ht="15" customHeight="1" x14ac:dyDescent="0.25">
      <c r="A40">
        <v>39</v>
      </c>
      <c r="B40">
        <v>29</v>
      </c>
      <c r="C40" t="s">
        <v>27</v>
      </c>
      <c r="D40" t="s">
        <v>157</v>
      </c>
      <c r="E40" t="s">
        <v>18</v>
      </c>
      <c r="F40" s="2">
        <v>37</v>
      </c>
      <c r="G40" t="s">
        <v>67</v>
      </c>
      <c r="H40" t="s">
        <v>31</v>
      </c>
      <c r="I40" t="s">
        <v>46</v>
      </c>
      <c r="J40" t="s">
        <v>22</v>
      </c>
      <c r="K40">
        <v>1</v>
      </c>
      <c r="L40" t="s">
        <v>34</v>
      </c>
      <c r="M40" t="s">
        <v>41</v>
      </c>
      <c r="N40" t="s">
        <v>34</v>
      </c>
      <c r="O40">
        <v>44</v>
      </c>
      <c r="P40" t="s">
        <v>62</v>
      </c>
      <c r="Q40" t="s">
        <v>63</v>
      </c>
      <c r="R40" s="1">
        <v>0.1</v>
      </c>
      <c r="S40">
        <f t="shared" si="0"/>
        <v>33.299999999999997</v>
      </c>
      <c r="T40">
        <f>IFERROR(VLOOKUP(A40,Table1[[Customer ID]:[Discount Amount]], 6, FALSE),"Not Found")</f>
        <v>37</v>
      </c>
      <c r="U40" t="str">
        <f t="shared" si="1"/>
        <v>Venmo</v>
      </c>
      <c r="V40" s="4" t="str">
        <f t="shared" si="3"/>
        <v>Normal</v>
      </c>
      <c r="W40" s="4" t="str">
        <f t="shared" si="2"/>
        <v>Poor</v>
      </c>
      <c r="X40" s="4">
        <f>AVERAGE(Table1[Purchase Amount])</f>
        <v>129.48419400000012</v>
      </c>
    </row>
    <row r="41" spans="1:24" ht="15" customHeight="1" x14ac:dyDescent="0.25">
      <c r="A41">
        <v>40</v>
      </c>
      <c r="B41">
        <v>70</v>
      </c>
      <c r="C41" t="s">
        <v>27</v>
      </c>
      <c r="D41" t="s">
        <v>99</v>
      </c>
      <c r="E41" t="s">
        <v>18</v>
      </c>
      <c r="F41" s="2">
        <v>60</v>
      </c>
      <c r="G41" t="s">
        <v>150</v>
      </c>
      <c r="H41" t="s">
        <v>55</v>
      </c>
      <c r="I41" t="s">
        <v>156</v>
      </c>
      <c r="J41" t="s">
        <v>57</v>
      </c>
      <c r="K41">
        <v>4.2</v>
      </c>
      <c r="L41" t="s">
        <v>34</v>
      </c>
      <c r="M41" t="s">
        <v>61</v>
      </c>
      <c r="N41" t="s">
        <v>34</v>
      </c>
      <c r="O41">
        <v>18</v>
      </c>
      <c r="P41" t="s">
        <v>53</v>
      </c>
      <c r="Q41" t="s">
        <v>42</v>
      </c>
      <c r="R41" s="1">
        <v>0.1</v>
      </c>
      <c r="S41">
        <f t="shared" si="0"/>
        <v>54</v>
      </c>
      <c r="T41">
        <f>IFERROR(VLOOKUP(A41,Table1[[Customer ID]:[Discount Amount]], 6, FALSE),"Not Found")</f>
        <v>60</v>
      </c>
      <c r="U41" t="str">
        <f t="shared" si="1"/>
        <v>Credit Card</v>
      </c>
      <c r="V41" s="4" t="str">
        <f t="shared" si="3"/>
        <v>Normal</v>
      </c>
      <c r="W41" s="4" t="str">
        <f t="shared" si="2"/>
        <v>Good</v>
      </c>
      <c r="X41" s="4">
        <f>AVERAGE(Table1[Purchase Amount])</f>
        <v>129.48419400000012</v>
      </c>
    </row>
    <row r="42" spans="1:24" ht="15" customHeight="1" x14ac:dyDescent="0.25">
      <c r="A42">
        <v>41</v>
      </c>
      <c r="B42">
        <v>69</v>
      </c>
      <c r="C42" t="s">
        <v>27</v>
      </c>
      <c r="D42" t="s">
        <v>69</v>
      </c>
      <c r="E42" t="s">
        <v>29</v>
      </c>
      <c r="F42" s="2">
        <v>76</v>
      </c>
      <c r="G42" t="s">
        <v>119</v>
      </c>
      <c r="H42" t="s">
        <v>45</v>
      </c>
      <c r="I42" t="s">
        <v>56</v>
      </c>
      <c r="J42" t="s">
        <v>22</v>
      </c>
      <c r="K42">
        <v>4.5999999999999996</v>
      </c>
      <c r="L42" t="s">
        <v>34</v>
      </c>
      <c r="M42" t="s">
        <v>79</v>
      </c>
      <c r="N42" t="s">
        <v>34</v>
      </c>
      <c r="O42">
        <v>31</v>
      </c>
      <c r="P42" t="s">
        <v>36</v>
      </c>
      <c r="Q42" t="s">
        <v>37</v>
      </c>
      <c r="R42" s="1">
        <v>0.1</v>
      </c>
      <c r="S42">
        <f t="shared" si="0"/>
        <v>68.400000000000006</v>
      </c>
      <c r="T42">
        <f>IFERROR(VLOOKUP(A42,Table1[[Customer ID]:[Discount Amount]], 6, FALSE),"Not Found")</f>
        <v>76</v>
      </c>
      <c r="U42" t="str">
        <f t="shared" si="1"/>
        <v>Debit Card</v>
      </c>
      <c r="V42" s="4" t="str">
        <f t="shared" si="3"/>
        <v>Normal</v>
      </c>
      <c r="W42" s="4" t="str">
        <f t="shared" si="2"/>
        <v>Good</v>
      </c>
      <c r="X42" s="4">
        <f>AVERAGE(Table1[Purchase Amount])</f>
        <v>129.48419400000012</v>
      </c>
    </row>
    <row r="43" spans="1:24" ht="15" customHeight="1" x14ac:dyDescent="0.25">
      <c r="A43">
        <v>42</v>
      </c>
      <c r="B43">
        <v>67</v>
      </c>
      <c r="C43" t="s">
        <v>27</v>
      </c>
      <c r="D43" t="s">
        <v>129</v>
      </c>
      <c r="E43" t="s">
        <v>29</v>
      </c>
      <c r="F43" s="2">
        <v>39</v>
      </c>
      <c r="G43" t="s">
        <v>148</v>
      </c>
      <c r="H43" t="s">
        <v>31</v>
      </c>
      <c r="I43" t="s">
        <v>108</v>
      </c>
      <c r="J43" t="s">
        <v>33</v>
      </c>
      <c r="K43">
        <v>4.5</v>
      </c>
      <c r="L43" t="s">
        <v>34</v>
      </c>
      <c r="M43" t="s">
        <v>24</v>
      </c>
      <c r="N43" t="s">
        <v>34</v>
      </c>
      <c r="O43">
        <v>40</v>
      </c>
      <c r="P43" t="s">
        <v>62</v>
      </c>
      <c r="Q43" t="s">
        <v>49</v>
      </c>
      <c r="R43" s="1">
        <v>0.1</v>
      </c>
      <c r="S43">
        <f t="shared" si="0"/>
        <v>35.1</v>
      </c>
      <c r="T43">
        <f>IFERROR(VLOOKUP(A43,Table1[[Customer ID]:[Discount Amount]], 6, FALSE),"Not Found")</f>
        <v>39</v>
      </c>
      <c r="U43" t="str">
        <f t="shared" si="1"/>
        <v>Venmo</v>
      </c>
      <c r="V43" s="4" t="str">
        <f t="shared" si="3"/>
        <v>Normal</v>
      </c>
      <c r="W43" s="4" t="str">
        <f t="shared" si="2"/>
        <v>Good</v>
      </c>
      <c r="X43" s="4">
        <f>AVERAGE(Table1[Purchase Amount])</f>
        <v>129.48419400000012</v>
      </c>
    </row>
    <row r="44" spans="1:24" ht="15" customHeight="1" x14ac:dyDescent="0.25">
      <c r="A44">
        <v>43</v>
      </c>
      <c r="B44">
        <v>20</v>
      </c>
      <c r="C44" t="s">
        <v>27</v>
      </c>
      <c r="D44" t="s">
        <v>76</v>
      </c>
      <c r="E44" t="s">
        <v>77</v>
      </c>
      <c r="F44" s="2">
        <v>100</v>
      </c>
      <c r="G44" t="s">
        <v>65</v>
      </c>
      <c r="H44" t="s">
        <v>31</v>
      </c>
      <c r="I44" t="s">
        <v>56</v>
      </c>
      <c r="J44" t="s">
        <v>33</v>
      </c>
      <c r="K44">
        <v>4.0999999999999996</v>
      </c>
      <c r="L44" t="s">
        <v>34</v>
      </c>
      <c r="M44" t="s">
        <v>35</v>
      </c>
      <c r="N44" t="s">
        <v>34</v>
      </c>
      <c r="O44">
        <v>15</v>
      </c>
      <c r="P44" t="s">
        <v>58</v>
      </c>
      <c r="Q44" t="s">
        <v>49</v>
      </c>
      <c r="R44" s="1">
        <v>0.1</v>
      </c>
      <c r="S44">
        <f t="shared" si="0"/>
        <v>90</v>
      </c>
      <c r="T44">
        <f>IFERROR(VLOOKUP(A44,Table1[[Customer ID]:[Discount Amount]], 6, FALSE),"Not Found")</f>
        <v>100</v>
      </c>
      <c r="U44" t="str">
        <f t="shared" si="1"/>
        <v>PayPal</v>
      </c>
      <c r="V44" s="4" t="str">
        <f t="shared" si="3"/>
        <v>Normal</v>
      </c>
      <c r="W44" s="4" t="str">
        <f t="shared" si="2"/>
        <v>Good</v>
      </c>
      <c r="X44" s="4">
        <f>AVERAGE(Table1[Purchase Amount])</f>
        <v>129.48419400000012</v>
      </c>
    </row>
    <row r="45" spans="1:24" ht="15" customHeight="1" x14ac:dyDescent="0.25">
      <c r="A45">
        <v>44</v>
      </c>
      <c r="B45">
        <v>25</v>
      </c>
      <c r="C45" t="s">
        <v>27</v>
      </c>
      <c r="D45" t="s">
        <v>129</v>
      </c>
      <c r="E45" t="s">
        <v>29</v>
      </c>
      <c r="F45" s="2">
        <v>69</v>
      </c>
      <c r="G45" t="s">
        <v>90</v>
      </c>
      <c r="H45" t="s">
        <v>45</v>
      </c>
      <c r="I45" t="s">
        <v>107</v>
      </c>
      <c r="J45" t="s">
        <v>47</v>
      </c>
      <c r="K45">
        <v>3.7</v>
      </c>
      <c r="L45" t="s">
        <v>34</v>
      </c>
      <c r="M45" t="s">
        <v>48</v>
      </c>
      <c r="N45" t="s">
        <v>34</v>
      </c>
      <c r="O45">
        <v>19</v>
      </c>
      <c r="P45" t="s">
        <v>58</v>
      </c>
      <c r="Q45" t="s">
        <v>89</v>
      </c>
      <c r="R45" s="1">
        <v>0.1</v>
      </c>
      <c r="S45">
        <f t="shared" si="0"/>
        <v>62.1</v>
      </c>
      <c r="T45">
        <f>IFERROR(VLOOKUP(A45,Table1[[Customer ID]:[Discount Amount]], 6, FALSE),"Not Found")</f>
        <v>69</v>
      </c>
      <c r="U45" t="str">
        <f t="shared" si="1"/>
        <v>PayPal</v>
      </c>
      <c r="V45" s="4" t="str">
        <f t="shared" si="3"/>
        <v>Normal</v>
      </c>
      <c r="W45" s="4" t="str">
        <f t="shared" si="2"/>
        <v>Good</v>
      </c>
      <c r="X45" s="4">
        <f>AVERAGE(Table1[Purchase Amount])</f>
        <v>129.48419400000012</v>
      </c>
    </row>
    <row r="46" spans="1:24" ht="15" customHeight="1" x14ac:dyDescent="0.25">
      <c r="A46">
        <v>45</v>
      </c>
      <c r="B46">
        <v>39</v>
      </c>
      <c r="C46" t="s">
        <v>27</v>
      </c>
      <c r="D46" t="s">
        <v>64</v>
      </c>
      <c r="E46" t="s">
        <v>29</v>
      </c>
      <c r="F46" s="2">
        <v>53</v>
      </c>
      <c r="G46" t="s">
        <v>70</v>
      </c>
      <c r="H46" t="s">
        <v>55</v>
      </c>
      <c r="I46" t="s">
        <v>153</v>
      </c>
      <c r="J46" t="s">
        <v>57</v>
      </c>
      <c r="K46">
        <v>4.5999999999999996</v>
      </c>
      <c r="L46" t="s">
        <v>34</v>
      </c>
      <c r="M46" t="s">
        <v>35</v>
      </c>
      <c r="N46" t="s">
        <v>34</v>
      </c>
      <c r="O46">
        <v>45</v>
      </c>
      <c r="P46" t="s">
        <v>58</v>
      </c>
      <c r="Q46" t="s">
        <v>26</v>
      </c>
      <c r="R46" s="1">
        <v>0.1</v>
      </c>
      <c r="S46">
        <f t="shared" si="0"/>
        <v>47.7</v>
      </c>
      <c r="T46">
        <f>IFERROR(VLOOKUP(A46,Table1[[Customer ID]:[Discount Amount]], 6, FALSE),"Not Found")</f>
        <v>53</v>
      </c>
      <c r="U46" t="str">
        <f t="shared" si="1"/>
        <v>PayPal</v>
      </c>
      <c r="V46" s="4" t="str">
        <f t="shared" si="3"/>
        <v>Normal</v>
      </c>
      <c r="W46" s="4" t="str">
        <f t="shared" si="2"/>
        <v>Good</v>
      </c>
      <c r="X46" s="4">
        <f>AVERAGE(Table1[Purchase Amount])</f>
        <v>129.48419400000012</v>
      </c>
    </row>
    <row r="47" spans="1:24" ht="15" customHeight="1" x14ac:dyDescent="0.25">
      <c r="A47">
        <v>46</v>
      </c>
      <c r="B47">
        <v>50</v>
      </c>
      <c r="C47" t="s">
        <v>27</v>
      </c>
      <c r="D47" t="s">
        <v>105</v>
      </c>
      <c r="E47" t="s">
        <v>18</v>
      </c>
      <c r="F47" s="2">
        <v>21</v>
      </c>
      <c r="G47" t="s">
        <v>65</v>
      </c>
      <c r="H47" t="s">
        <v>20</v>
      </c>
      <c r="I47" t="s">
        <v>91</v>
      </c>
      <c r="J47" t="s">
        <v>47</v>
      </c>
      <c r="K47">
        <v>2.9</v>
      </c>
      <c r="L47" t="s">
        <v>34</v>
      </c>
      <c r="M47" t="s">
        <v>41</v>
      </c>
      <c r="N47" t="s">
        <v>34</v>
      </c>
      <c r="O47">
        <v>25</v>
      </c>
      <c r="P47" t="s">
        <v>58</v>
      </c>
      <c r="Q47" t="s">
        <v>49</v>
      </c>
      <c r="R47" s="1">
        <v>0.1</v>
      </c>
      <c r="S47">
        <f t="shared" si="0"/>
        <v>18.899999999999999</v>
      </c>
      <c r="T47">
        <f>IFERROR(VLOOKUP(A47,Table1[[Customer ID]:[Discount Amount]], 6, FALSE),"Not Found")</f>
        <v>21</v>
      </c>
      <c r="U47" t="str">
        <f t="shared" si="1"/>
        <v>PayPal</v>
      </c>
      <c r="V47" s="4" t="str">
        <f t="shared" si="3"/>
        <v>Normal</v>
      </c>
      <c r="W47" s="4" t="str">
        <f t="shared" si="2"/>
        <v>Poor</v>
      </c>
      <c r="X47" s="4">
        <f>AVERAGE(Table1[Purchase Amount])</f>
        <v>129.48419400000012</v>
      </c>
    </row>
    <row r="48" spans="1:24" ht="15" customHeight="1" x14ac:dyDescent="0.25">
      <c r="A48">
        <v>47</v>
      </c>
      <c r="B48">
        <v>57</v>
      </c>
      <c r="C48" t="s">
        <v>27</v>
      </c>
      <c r="D48" t="s">
        <v>38</v>
      </c>
      <c r="E48" t="s">
        <v>18</v>
      </c>
      <c r="F48" s="2">
        <v>43</v>
      </c>
      <c r="G48" t="s">
        <v>19</v>
      </c>
      <c r="H48" t="s">
        <v>45</v>
      </c>
      <c r="I48" t="s">
        <v>32</v>
      </c>
      <c r="J48" t="s">
        <v>57</v>
      </c>
      <c r="K48">
        <v>2.9</v>
      </c>
      <c r="L48" t="s">
        <v>34</v>
      </c>
      <c r="M48" t="s">
        <v>48</v>
      </c>
      <c r="N48" t="s">
        <v>34</v>
      </c>
      <c r="O48">
        <v>45</v>
      </c>
      <c r="P48" t="s">
        <v>25</v>
      </c>
      <c r="Q48" t="s">
        <v>37</v>
      </c>
      <c r="R48" s="1">
        <v>0.1</v>
      </c>
      <c r="S48">
        <f t="shared" si="0"/>
        <v>38.700000000000003</v>
      </c>
      <c r="T48">
        <f>IFERROR(VLOOKUP(A48,Table1[[Customer ID]:[Discount Amount]], 6, FALSE),"Not Found")</f>
        <v>43</v>
      </c>
      <c r="U48" t="str">
        <f t="shared" si="1"/>
        <v>Cash</v>
      </c>
      <c r="V48" s="4" t="str">
        <f t="shared" si="3"/>
        <v>Normal</v>
      </c>
      <c r="W48" s="4" t="str">
        <f t="shared" si="2"/>
        <v>Poor</v>
      </c>
      <c r="X48" s="4">
        <f>AVERAGE(Table1[Purchase Amount])</f>
        <v>129.48419400000012</v>
      </c>
    </row>
    <row r="49" spans="1:24" ht="15" customHeight="1" x14ac:dyDescent="0.25">
      <c r="A49">
        <v>48</v>
      </c>
      <c r="B49">
        <v>55</v>
      </c>
      <c r="C49" t="s">
        <v>27</v>
      </c>
      <c r="D49" t="s">
        <v>50</v>
      </c>
      <c r="E49" t="s">
        <v>29</v>
      </c>
      <c r="F49" s="2">
        <v>54</v>
      </c>
      <c r="G49" t="s">
        <v>39</v>
      </c>
      <c r="H49" t="s">
        <v>31</v>
      </c>
      <c r="I49" t="s">
        <v>103</v>
      </c>
      <c r="J49" t="s">
        <v>22</v>
      </c>
      <c r="K49">
        <v>4.5</v>
      </c>
      <c r="L49" t="s">
        <v>34</v>
      </c>
      <c r="M49" t="s">
        <v>35</v>
      </c>
      <c r="N49" t="s">
        <v>34</v>
      </c>
      <c r="O49">
        <v>36</v>
      </c>
      <c r="P49" t="s">
        <v>25</v>
      </c>
      <c r="Q49" t="s">
        <v>26</v>
      </c>
      <c r="R49" s="1">
        <v>0.1</v>
      </c>
      <c r="S49">
        <f t="shared" si="0"/>
        <v>48.6</v>
      </c>
      <c r="T49">
        <f>IFERROR(VLOOKUP(A49,Table1[[Customer ID]:[Discount Amount]], 6, FALSE),"Not Found")</f>
        <v>54</v>
      </c>
      <c r="U49" t="str">
        <f t="shared" si="1"/>
        <v>Cash</v>
      </c>
      <c r="V49" s="4" t="str">
        <f t="shared" si="3"/>
        <v>Normal</v>
      </c>
      <c r="W49" s="4" t="str">
        <f t="shared" si="2"/>
        <v>Good</v>
      </c>
      <c r="X49" s="4">
        <f>AVERAGE(Table1[Purchase Amount])</f>
        <v>129.48419400000012</v>
      </c>
    </row>
    <row r="50" spans="1:24" ht="15" customHeight="1" x14ac:dyDescent="0.25">
      <c r="A50">
        <v>49</v>
      </c>
      <c r="B50">
        <v>42</v>
      </c>
      <c r="C50" t="s">
        <v>27</v>
      </c>
      <c r="D50" t="s">
        <v>38</v>
      </c>
      <c r="E50" t="s">
        <v>18</v>
      </c>
      <c r="F50" s="2">
        <v>55</v>
      </c>
      <c r="G50" t="s">
        <v>158</v>
      </c>
      <c r="H50" t="s">
        <v>31</v>
      </c>
      <c r="I50" t="s">
        <v>108</v>
      </c>
      <c r="J50" t="s">
        <v>57</v>
      </c>
      <c r="K50">
        <v>2.7</v>
      </c>
      <c r="L50" t="s">
        <v>34</v>
      </c>
      <c r="M50" t="s">
        <v>48</v>
      </c>
      <c r="N50" t="s">
        <v>34</v>
      </c>
      <c r="O50">
        <v>38</v>
      </c>
      <c r="P50" t="s">
        <v>25</v>
      </c>
      <c r="Q50" t="s">
        <v>42</v>
      </c>
      <c r="R50" s="1">
        <v>0.1</v>
      </c>
      <c r="S50">
        <f t="shared" si="0"/>
        <v>49.5</v>
      </c>
      <c r="T50">
        <f>IFERROR(VLOOKUP(A50,Table1[[Customer ID]:[Discount Amount]], 6, FALSE),"Not Found")</f>
        <v>55</v>
      </c>
      <c r="U50" t="str">
        <f t="shared" si="1"/>
        <v>Cash</v>
      </c>
      <c r="V50" s="4" t="str">
        <f t="shared" si="3"/>
        <v>Normal</v>
      </c>
      <c r="W50" s="4" t="str">
        <f t="shared" si="2"/>
        <v>Poor</v>
      </c>
      <c r="X50" s="4">
        <f>AVERAGE(Table1[Purchase Amount])</f>
        <v>129.48419400000012</v>
      </c>
    </row>
    <row r="51" spans="1:24" ht="15" customHeight="1" x14ac:dyDescent="0.25">
      <c r="A51">
        <v>50</v>
      </c>
      <c r="B51">
        <v>68</v>
      </c>
      <c r="C51" t="s">
        <v>27</v>
      </c>
      <c r="D51" t="s">
        <v>83</v>
      </c>
      <c r="E51" t="s">
        <v>18</v>
      </c>
      <c r="F51" s="2">
        <v>30</v>
      </c>
      <c r="G51" t="s">
        <v>131</v>
      </c>
      <c r="H51" t="s">
        <v>55</v>
      </c>
      <c r="I51" t="s">
        <v>91</v>
      </c>
      <c r="J51" t="s">
        <v>33</v>
      </c>
      <c r="K51">
        <v>4.5999999999999996</v>
      </c>
      <c r="L51" t="s">
        <v>34</v>
      </c>
      <c r="M51" t="s">
        <v>79</v>
      </c>
      <c r="N51" t="s">
        <v>34</v>
      </c>
      <c r="O51">
        <v>34</v>
      </c>
      <c r="P51" t="s">
        <v>36</v>
      </c>
      <c r="Q51" t="s">
        <v>68</v>
      </c>
      <c r="R51" s="1">
        <v>0.1</v>
      </c>
      <c r="S51">
        <f t="shared" si="0"/>
        <v>27</v>
      </c>
      <c r="T51">
        <f>IFERROR(VLOOKUP(A51,Table1[[Customer ID]:[Discount Amount]], 6, FALSE),"Not Found")</f>
        <v>30</v>
      </c>
      <c r="U51" t="str">
        <f t="shared" si="1"/>
        <v>Debit Card</v>
      </c>
      <c r="V51" s="4" t="str">
        <f t="shared" si="3"/>
        <v>Normal</v>
      </c>
      <c r="W51" s="4" t="str">
        <f t="shared" si="2"/>
        <v>Good</v>
      </c>
      <c r="X51" s="4">
        <f>AVERAGE(Table1[Purchase Amount])</f>
        <v>129.48419400000012</v>
      </c>
    </row>
    <row r="52" spans="1:24" ht="15" customHeight="1" x14ac:dyDescent="0.25">
      <c r="A52">
        <v>51</v>
      </c>
      <c r="B52">
        <v>49</v>
      </c>
      <c r="C52" t="s">
        <v>27</v>
      </c>
      <c r="D52" t="s">
        <v>118</v>
      </c>
      <c r="E52" t="s">
        <v>18</v>
      </c>
      <c r="F52" s="2">
        <v>28</v>
      </c>
      <c r="G52" t="s">
        <v>106</v>
      </c>
      <c r="H52" t="s">
        <v>31</v>
      </c>
      <c r="I52" t="s">
        <v>46</v>
      </c>
      <c r="J52" t="s">
        <v>33</v>
      </c>
      <c r="K52">
        <v>1</v>
      </c>
      <c r="L52" t="s">
        <v>34</v>
      </c>
      <c r="M52" t="s">
        <v>48</v>
      </c>
      <c r="N52" t="s">
        <v>34</v>
      </c>
      <c r="O52">
        <v>39</v>
      </c>
      <c r="P52" t="s">
        <v>36</v>
      </c>
      <c r="Q52" t="s">
        <v>68</v>
      </c>
      <c r="R52" s="1">
        <v>0.1</v>
      </c>
      <c r="S52">
        <f t="shared" si="0"/>
        <v>25.2</v>
      </c>
      <c r="T52">
        <f>IFERROR(VLOOKUP(A52,Table1[[Customer ID]:[Discount Amount]], 6, FALSE),"Not Found")</f>
        <v>28</v>
      </c>
      <c r="U52" t="str">
        <f t="shared" si="1"/>
        <v>Debit Card</v>
      </c>
      <c r="V52" s="4" t="str">
        <f t="shared" si="3"/>
        <v>Normal</v>
      </c>
      <c r="W52" s="4" t="str">
        <f t="shared" si="2"/>
        <v>Poor</v>
      </c>
      <c r="X52" s="4">
        <f>AVERAGE(Table1[Purchase Amount])</f>
        <v>129.48419400000012</v>
      </c>
    </row>
    <row r="53" spans="1:24" ht="15" customHeight="1" x14ac:dyDescent="0.25">
      <c r="A53">
        <v>52</v>
      </c>
      <c r="B53">
        <v>59</v>
      </c>
      <c r="C53" t="s">
        <v>27</v>
      </c>
      <c r="D53" t="s">
        <v>122</v>
      </c>
      <c r="E53" t="s">
        <v>18</v>
      </c>
      <c r="F53" s="2">
        <v>59</v>
      </c>
      <c r="G53" t="s">
        <v>84</v>
      </c>
      <c r="H53" t="s">
        <v>20</v>
      </c>
      <c r="I53" t="s">
        <v>85</v>
      </c>
      <c r="J53" t="s">
        <v>22</v>
      </c>
      <c r="K53">
        <v>4.7</v>
      </c>
      <c r="L53" t="s">
        <v>34</v>
      </c>
      <c r="M53" t="s">
        <v>41</v>
      </c>
      <c r="N53" t="s">
        <v>34</v>
      </c>
      <c r="O53">
        <v>7</v>
      </c>
      <c r="P53" t="s">
        <v>53</v>
      </c>
      <c r="Q53" t="s">
        <v>37</v>
      </c>
      <c r="R53" s="1">
        <v>0.1</v>
      </c>
      <c r="S53">
        <f t="shared" si="0"/>
        <v>53.1</v>
      </c>
      <c r="T53">
        <f>IFERROR(VLOOKUP(A53,Table1[[Customer ID]:[Discount Amount]], 6, FALSE),"Not Found")</f>
        <v>59</v>
      </c>
      <c r="U53" t="str">
        <f t="shared" si="1"/>
        <v>Credit Card</v>
      </c>
      <c r="V53" s="4" t="str">
        <f t="shared" si="3"/>
        <v>Normal</v>
      </c>
      <c r="W53" s="4" t="str">
        <f t="shared" si="2"/>
        <v>Good</v>
      </c>
      <c r="X53" s="4">
        <f>AVERAGE(Table1[Purchase Amount])</f>
        <v>129.48419400000012</v>
      </c>
    </row>
    <row r="54" spans="1:24" ht="15" customHeight="1" x14ac:dyDescent="0.25">
      <c r="A54">
        <v>53</v>
      </c>
      <c r="B54">
        <v>42</v>
      </c>
      <c r="C54" t="s">
        <v>27</v>
      </c>
      <c r="D54" t="s">
        <v>17</v>
      </c>
      <c r="E54" t="s">
        <v>18</v>
      </c>
      <c r="F54" s="2">
        <v>20</v>
      </c>
      <c r="G54" t="s">
        <v>148</v>
      </c>
      <c r="H54" t="s">
        <v>31</v>
      </c>
      <c r="I54" t="s">
        <v>93</v>
      </c>
      <c r="J54" t="s">
        <v>57</v>
      </c>
      <c r="K54">
        <v>2.6</v>
      </c>
      <c r="L54" t="s">
        <v>34</v>
      </c>
      <c r="M54" t="s">
        <v>35</v>
      </c>
      <c r="N54" t="s">
        <v>34</v>
      </c>
      <c r="O54">
        <v>26</v>
      </c>
      <c r="P54" t="s">
        <v>53</v>
      </c>
      <c r="Q54" t="s">
        <v>26</v>
      </c>
      <c r="R54" s="1">
        <v>0.1</v>
      </c>
      <c r="S54">
        <f t="shared" si="0"/>
        <v>18</v>
      </c>
      <c r="T54">
        <f>IFERROR(VLOOKUP(A54,Table1[[Customer ID]:[Discount Amount]], 6, FALSE),"Not Found")</f>
        <v>20</v>
      </c>
      <c r="U54" t="str">
        <f t="shared" si="1"/>
        <v>Credit Card</v>
      </c>
      <c r="V54" s="4" t="str">
        <f t="shared" si="3"/>
        <v>Normal</v>
      </c>
      <c r="W54" s="4" t="str">
        <f t="shared" si="2"/>
        <v>Poor</v>
      </c>
      <c r="X54" s="4">
        <f>AVERAGE(Table1[Purchase Amount])</f>
        <v>129.48419400000012</v>
      </c>
    </row>
    <row r="55" spans="1:24" ht="15" customHeight="1" x14ac:dyDescent="0.25">
      <c r="A55">
        <v>54</v>
      </c>
      <c r="B55">
        <v>29</v>
      </c>
      <c r="C55" t="s">
        <v>27</v>
      </c>
      <c r="D55" t="s">
        <v>122</v>
      </c>
      <c r="E55" t="s">
        <v>18</v>
      </c>
      <c r="F55" s="2">
        <v>24</v>
      </c>
      <c r="G55" t="s">
        <v>149</v>
      </c>
      <c r="H55" t="s">
        <v>55</v>
      </c>
      <c r="I55" t="s">
        <v>145</v>
      </c>
      <c r="J55" t="s">
        <v>22</v>
      </c>
      <c r="K55">
        <v>3.9</v>
      </c>
      <c r="L55" t="s">
        <v>34</v>
      </c>
      <c r="M55" t="s">
        <v>79</v>
      </c>
      <c r="N55" t="s">
        <v>34</v>
      </c>
      <c r="O55">
        <v>35</v>
      </c>
      <c r="P55" t="s">
        <v>53</v>
      </c>
      <c r="Q55" t="s">
        <v>26</v>
      </c>
      <c r="R55" s="1">
        <v>0.1</v>
      </c>
      <c r="S55">
        <f t="shared" si="0"/>
        <v>21.6</v>
      </c>
      <c r="T55">
        <f>IFERROR(VLOOKUP(A55,Table1[[Customer ID]:[Discount Amount]], 6, FALSE),"Not Found")</f>
        <v>24</v>
      </c>
      <c r="U55" t="str">
        <f t="shared" si="1"/>
        <v>Credit Card</v>
      </c>
      <c r="V55" s="4" t="str">
        <f t="shared" si="3"/>
        <v>Normal</v>
      </c>
      <c r="W55" s="4" t="str">
        <f t="shared" si="2"/>
        <v>Good</v>
      </c>
      <c r="X55" s="4">
        <f>AVERAGE(Table1[Purchase Amount])</f>
        <v>129.48419400000012</v>
      </c>
    </row>
    <row r="56" spans="1:24" ht="15" customHeight="1" x14ac:dyDescent="0.25">
      <c r="A56">
        <v>55</v>
      </c>
      <c r="B56">
        <v>47</v>
      </c>
      <c r="C56" t="s">
        <v>27</v>
      </c>
      <c r="D56" t="s">
        <v>76</v>
      </c>
      <c r="E56" t="s">
        <v>77</v>
      </c>
      <c r="F56" s="2">
        <v>94</v>
      </c>
      <c r="G56" t="s">
        <v>110</v>
      </c>
      <c r="H56" t="s">
        <v>31</v>
      </c>
      <c r="I56" t="s">
        <v>60</v>
      </c>
      <c r="J56" t="s">
        <v>57</v>
      </c>
      <c r="K56">
        <v>4.2</v>
      </c>
      <c r="L56" t="s">
        <v>34</v>
      </c>
      <c r="M56" t="s">
        <v>79</v>
      </c>
      <c r="N56" t="s">
        <v>34</v>
      </c>
      <c r="O56">
        <v>35</v>
      </c>
      <c r="P56" t="s">
        <v>36</v>
      </c>
      <c r="Q56" t="s">
        <v>68</v>
      </c>
      <c r="R56" s="1">
        <v>0.1</v>
      </c>
      <c r="S56">
        <f t="shared" si="0"/>
        <v>84.6</v>
      </c>
      <c r="T56">
        <f>IFERROR(VLOOKUP(A56,Table1[[Customer ID]:[Discount Amount]], 6, FALSE),"Not Found")</f>
        <v>94</v>
      </c>
      <c r="U56" t="str">
        <f t="shared" si="1"/>
        <v>Debit Card</v>
      </c>
      <c r="V56" s="4" t="str">
        <f t="shared" si="3"/>
        <v>Normal</v>
      </c>
      <c r="W56" s="4" t="str">
        <f t="shared" si="2"/>
        <v>Good</v>
      </c>
      <c r="X56" s="4">
        <f>AVERAGE(Table1[Purchase Amount])</f>
        <v>129.48419400000012</v>
      </c>
    </row>
    <row r="57" spans="1:24" ht="15" customHeight="1" x14ac:dyDescent="0.25">
      <c r="A57">
        <v>56</v>
      </c>
      <c r="B57">
        <v>40</v>
      </c>
      <c r="C57" t="s">
        <v>27</v>
      </c>
      <c r="D57" t="s">
        <v>96</v>
      </c>
      <c r="E57" t="s">
        <v>77</v>
      </c>
      <c r="F57" s="2">
        <v>28</v>
      </c>
      <c r="G57" t="s">
        <v>30</v>
      </c>
      <c r="H57" t="s">
        <v>31</v>
      </c>
      <c r="I57" t="s">
        <v>107</v>
      </c>
      <c r="J57" t="s">
        <v>22</v>
      </c>
      <c r="K57">
        <v>3</v>
      </c>
      <c r="L57" t="s">
        <v>34</v>
      </c>
      <c r="M57" t="s">
        <v>41</v>
      </c>
      <c r="N57" t="s">
        <v>34</v>
      </c>
      <c r="O57">
        <v>49</v>
      </c>
      <c r="P57" t="s">
        <v>53</v>
      </c>
      <c r="Q57" t="s">
        <v>49</v>
      </c>
      <c r="R57" s="1">
        <v>0.1</v>
      </c>
      <c r="S57">
        <f t="shared" si="0"/>
        <v>25.2</v>
      </c>
      <c r="T57">
        <f>IFERROR(VLOOKUP(A57,Table1[[Customer ID]:[Discount Amount]], 6, FALSE),"Not Found")</f>
        <v>28</v>
      </c>
      <c r="U57" t="str">
        <f t="shared" si="1"/>
        <v>Credit Card</v>
      </c>
      <c r="V57" s="4" t="str">
        <f t="shared" si="3"/>
        <v>Normal</v>
      </c>
      <c r="W57" s="4" t="str">
        <f t="shared" si="2"/>
        <v>Good</v>
      </c>
      <c r="X57" s="4">
        <f>AVERAGE(Table1[Purchase Amount])</f>
        <v>129.48419400000012</v>
      </c>
    </row>
    <row r="58" spans="1:24" ht="15" customHeight="1" x14ac:dyDescent="0.25">
      <c r="A58">
        <v>57</v>
      </c>
      <c r="B58">
        <v>41</v>
      </c>
      <c r="C58" t="s">
        <v>27</v>
      </c>
      <c r="D58" t="s">
        <v>104</v>
      </c>
      <c r="E58" t="s">
        <v>29</v>
      </c>
      <c r="F58" s="2">
        <v>73</v>
      </c>
      <c r="G58" t="s">
        <v>149</v>
      </c>
      <c r="H58" t="s">
        <v>20</v>
      </c>
      <c r="I58" t="s">
        <v>60</v>
      </c>
      <c r="J58" t="s">
        <v>57</v>
      </c>
      <c r="K58">
        <v>4.7</v>
      </c>
      <c r="L58" t="s">
        <v>34</v>
      </c>
      <c r="M58" t="s">
        <v>48</v>
      </c>
      <c r="N58" t="s">
        <v>34</v>
      </c>
      <c r="O58">
        <v>46</v>
      </c>
      <c r="P58" t="s">
        <v>53</v>
      </c>
      <c r="Q58" t="s">
        <v>26</v>
      </c>
      <c r="R58" s="1">
        <v>0.1</v>
      </c>
      <c r="S58">
        <f t="shared" si="0"/>
        <v>65.7</v>
      </c>
      <c r="T58">
        <f>IFERROR(VLOOKUP(A58,Table1[[Customer ID]:[Discount Amount]], 6, FALSE),"Not Found")</f>
        <v>73</v>
      </c>
      <c r="U58" t="str">
        <f t="shared" si="1"/>
        <v>Credit Card</v>
      </c>
      <c r="V58" s="4" t="str">
        <f t="shared" si="3"/>
        <v>Normal</v>
      </c>
      <c r="W58" s="4" t="str">
        <f t="shared" si="2"/>
        <v>Good</v>
      </c>
      <c r="X58" s="4">
        <f>AVERAGE(Table1[Purchase Amount])</f>
        <v>129.48419400000012</v>
      </c>
    </row>
    <row r="59" spans="1:24" ht="15" customHeight="1" x14ac:dyDescent="0.25">
      <c r="A59">
        <v>58</v>
      </c>
      <c r="B59">
        <v>21</v>
      </c>
      <c r="C59" t="s">
        <v>27</v>
      </c>
      <c r="D59" t="s">
        <v>76</v>
      </c>
      <c r="E59" t="s">
        <v>77</v>
      </c>
      <c r="F59" s="2">
        <v>64</v>
      </c>
      <c r="G59" t="s">
        <v>154</v>
      </c>
      <c r="H59" t="s">
        <v>31</v>
      </c>
      <c r="I59" t="s">
        <v>32</v>
      </c>
      <c r="J59" t="s">
        <v>57</v>
      </c>
      <c r="K59">
        <v>4.4000000000000004</v>
      </c>
      <c r="L59" t="s">
        <v>34</v>
      </c>
      <c r="M59" t="s">
        <v>48</v>
      </c>
      <c r="N59" t="s">
        <v>34</v>
      </c>
      <c r="O59">
        <v>17</v>
      </c>
      <c r="P59" t="s">
        <v>36</v>
      </c>
      <c r="Q59" t="s">
        <v>89</v>
      </c>
      <c r="R59" s="1">
        <v>0.1</v>
      </c>
      <c r="S59">
        <f t="shared" si="0"/>
        <v>57.6</v>
      </c>
      <c r="T59">
        <f>IFERROR(VLOOKUP(A59,Table1[[Customer ID]:[Discount Amount]], 6, FALSE),"Not Found")</f>
        <v>64</v>
      </c>
      <c r="U59" t="str">
        <f t="shared" si="1"/>
        <v>Debit Card</v>
      </c>
      <c r="V59" s="4" t="str">
        <f t="shared" si="3"/>
        <v>Normal</v>
      </c>
      <c r="W59" s="4" t="str">
        <f t="shared" si="2"/>
        <v>Good</v>
      </c>
      <c r="X59" s="4">
        <f>AVERAGE(Table1[Purchase Amount])</f>
        <v>129.48419400000012</v>
      </c>
    </row>
    <row r="60" spans="1:24" ht="15" customHeight="1" x14ac:dyDescent="0.25">
      <c r="A60">
        <v>59</v>
      </c>
      <c r="B60">
        <v>69</v>
      </c>
      <c r="C60" t="s">
        <v>27</v>
      </c>
      <c r="D60" t="s">
        <v>83</v>
      </c>
      <c r="E60" t="s">
        <v>18</v>
      </c>
      <c r="F60" s="2">
        <v>54</v>
      </c>
      <c r="G60" t="s">
        <v>146</v>
      </c>
      <c r="H60" t="s">
        <v>31</v>
      </c>
      <c r="I60" t="s">
        <v>103</v>
      </c>
      <c r="J60" t="s">
        <v>57</v>
      </c>
      <c r="K60">
        <v>4.2</v>
      </c>
      <c r="L60" t="s">
        <v>34</v>
      </c>
      <c r="M60" t="s">
        <v>35</v>
      </c>
      <c r="N60" t="s">
        <v>34</v>
      </c>
      <c r="O60">
        <v>29</v>
      </c>
      <c r="P60" t="s">
        <v>62</v>
      </c>
      <c r="Q60" t="s">
        <v>42</v>
      </c>
      <c r="R60" s="1">
        <v>0.1</v>
      </c>
      <c r="S60">
        <f t="shared" si="0"/>
        <v>48.6</v>
      </c>
      <c r="T60">
        <f>IFERROR(VLOOKUP(A60,Table1[[Customer ID]:[Discount Amount]], 6, FALSE),"Not Found")</f>
        <v>54</v>
      </c>
      <c r="U60" t="str">
        <f t="shared" si="1"/>
        <v>Venmo</v>
      </c>
      <c r="V60" s="4" t="str">
        <f t="shared" si="3"/>
        <v>Normal</v>
      </c>
      <c r="W60" s="4" t="str">
        <f t="shared" si="2"/>
        <v>Good</v>
      </c>
      <c r="X60" s="4">
        <f>AVERAGE(Table1[Purchase Amount])</f>
        <v>129.48419400000012</v>
      </c>
    </row>
    <row r="61" spans="1:24" ht="15" customHeight="1" x14ac:dyDescent="0.25">
      <c r="A61">
        <v>60</v>
      </c>
      <c r="B61">
        <v>63</v>
      </c>
      <c r="C61" t="s">
        <v>27</v>
      </c>
      <c r="D61" t="s">
        <v>114</v>
      </c>
      <c r="E61" t="s">
        <v>29</v>
      </c>
      <c r="F61" s="2">
        <v>79</v>
      </c>
      <c r="G61" t="s">
        <v>119</v>
      </c>
      <c r="H61" t="s">
        <v>45</v>
      </c>
      <c r="I61" t="s">
        <v>52</v>
      </c>
      <c r="J61" t="s">
        <v>33</v>
      </c>
      <c r="K61">
        <v>4.5999999999999996</v>
      </c>
      <c r="L61" t="s">
        <v>34</v>
      </c>
      <c r="M61" t="s">
        <v>24</v>
      </c>
      <c r="N61" t="s">
        <v>34</v>
      </c>
      <c r="O61">
        <v>4</v>
      </c>
      <c r="P61" t="s">
        <v>36</v>
      </c>
      <c r="Q61" t="s">
        <v>26</v>
      </c>
      <c r="R61" s="1">
        <v>0.1</v>
      </c>
      <c r="S61">
        <f t="shared" si="0"/>
        <v>71.099999999999994</v>
      </c>
      <c r="T61">
        <f>IFERROR(VLOOKUP(A61,Table1[[Customer ID]:[Discount Amount]], 6, FALSE),"Not Found")</f>
        <v>79</v>
      </c>
      <c r="U61" t="str">
        <f t="shared" si="1"/>
        <v>Debit Card</v>
      </c>
      <c r="V61" s="4" t="str">
        <f t="shared" si="3"/>
        <v>Normal</v>
      </c>
      <c r="W61" s="4" t="str">
        <f t="shared" si="2"/>
        <v>Good</v>
      </c>
      <c r="X61" s="4">
        <f>AVERAGE(Table1[Purchase Amount])</f>
        <v>129.48419400000012</v>
      </c>
    </row>
    <row r="62" spans="1:24" ht="15" customHeight="1" x14ac:dyDescent="0.25">
      <c r="A62">
        <v>61</v>
      </c>
      <c r="B62">
        <v>50</v>
      </c>
      <c r="C62" t="s">
        <v>27</v>
      </c>
      <c r="D62" t="s">
        <v>127</v>
      </c>
      <c r="E62" t="s">
        <v>18</v>
      </c>
      <c r="F62" s="2">
        <v>37</v>
      </c>
      <c r="G62" t="s">
        <v>161</v>
      </c>
      <c r="H62" t="s">
        <v>45</v>
      </c>
      <c r="I62" t="s">
        <v>60</v>
      </c>
      <c r="J62" t="s">
        <v>57</v>
      </c>
      <c r="K62">
        <v>4</v>
      </c>
      <c r="L62" t="s">
        <v>34</v>
      </c>
      <c r="M62" t="s">
        <v>61</v>
      </c>
      <c r="N62" t="s">
        <v>34</v>
      </c>
      <c r="O62">
        <v>17</v>
      </c>
      <c r="P62" t="s">
        <v>25</v>
      </c>
      <c r="Q62" t="s">
        <v>26</v>
      </c>
      <c r="R62" s="1">
        <v>0.1</v>
      </c>
      <c r="S62">
        <f t="shared" si="0"/>
        <v>33.299999999999997</v>
      </c>
      <c r="T62">
        <f>IFERROR(VLOOKUP(A62,Table1[[Customer ID]:[Discount Amount]], 6, FALSE),"Not Found")</f>
        <v>37</v>
      </c>
      <c r="U62" t="str">
        <f t="shared" si="1"/>
        <v>Cash</v>
      </c>
      <c r="V62" s="4" t="str">
        <f t="shared" si="3"/>
        <v>Normal</v>
      </c>
      <c r="W62" s="4" t="str">
        <f t="shared" si="2"/>
        <v>Good</v>
      </c>
      <c r="X62" s="4">
        <f>AVERAGE(Table1[Purchase Amount])</f>
        <v>129.48419400000012</v>
      </c>
    </row>
    <row r="63" spans="1:24" ht="15" customHeight="1" x14ac:dyDescent="0.25">
      <c r="A63">
        <v>62</v>
      </c>
      <c r="B63">
        <v>55</v>
      </c>
      <c r="C63" t="s">
        <v>27</v>
      </c>
      <c r="D63" t="s">
        <v>129</v>
      </c>
      <c r="E63" t="s">
        <v>29</v>
      </c>
      <c r="F63" s="2">
        <v>68</v>
      </c>
      <c r="G63" t="s">
        <v>152</v>
      </c>
      <c r="H63" t="s">
        <v>31</v>
      </c>
      <c r="I63" t="s">
        <v>108</v>
      </c>
      <c r="J63" t="s">
        <v>22</v>
      </c>
      <c r="K63">
        <v>4.7</v>
      </c>
      <c r="L63" t="s">
        <v>34</v>
      </c>
      <c r="M63" t="s">
        <v>48</v>
      </c>
      <c r="N63" t="s">
        <v>34</v>
      </c>
      <c r="O63">
        <v>21</v>
      </c>
      <c r="P63" t="s">
        <v>53</v>
      </c>
      <c r="Q63" t="s">
        <v>63</v>
      </c>
      <c r="R63" s="1">
        <v>0.1</v>
      </c>
      <c r="S63">
        <f t="shared" si="0"/>
        <v>61.2</v>
      </c>
      <c r="T63">
        <f>IFERROR(VLOOKUP(A63,Table1[[Customer ID]:[Discount Amount]], 6, FALSE),"Not Found")</f>
        <v>68</v>
      </c>
      <c r="U63" t="str">
        <f t="shared" si="1"/>
        <v>Credit Card</v>
      </c>
      <c r="V63" s="4" t="str">
        <f t="shared" si="3"/>
        <v>Normal</v>
      </c>
      <c r="W63" s="4" t="str">
        <f t="shared" si="2"/>
        <v>Good</v>
      </c>
      <c r="X63" s="4">
        <f>AVERAGE(Table1[Purchase Amount])</f>
        <v>129.48419400000012</v>
      </c>
    </row>
    <row r="64" spans="1:24" ht="15" customHeight="1" x14ac:dyDescent="0.25">
      <c r="A64">
        <v>63</v>
      </c>
      <c r="B64">
        <v>30</v>
      </c>
      <c r="C64" t="s">
        <v>27</v>
      </c>
      <c r="D64" t="s">
        <v>140</v>
      </c>
      <c r="E64" t="s">
        <v>98</v>
      </c>
      <c r="F64" s="2">
        <v>21</v>
      </c>
      <c r="G64" t="s">
        <v>149</v>
      </c>
      <c r="H64" t="s">
        <v>55</v>
      </c>
      <c r="I64" t="s">
        <v>87</v>
      </c>
      <c r="J64" t="s">
        <v>33</v>
      </c>
      <c r="K64">
        <v>3.8</v>
      </c>
      <c r="L64" t="s">
        <v>34</v>
      </c>
      <c r="M64" t="s">
        <v>35</v>
      </c>
      <c r="N64" t="s">
        <v>34</v>
      </c>
      <c r="O64">
        <v>31</v>
      </c>
      <c r="P64" t="s">
        <v>53</v>
      </c>
      <c r="Q64" t="s">
        <v>89</v>
      </c>
      <c r="R64" s="1">
        <v>0.1</v>
      </c>
      <c r="S64">
        <f t="shared" si="0"/>
        <v>18.899999999999999</v>
      </c>
      <c r="T64">
        <f>IFERROR(VLOOKUP(A64,Table1[[Customer ID]:[Discount Amount]], 6, FALSE),"Not Found")</f>
        <v>21</v>
      </c>
      <c r="U64" t="str">
        <f t="shared" si="1"/>
        <v>Credit Card</v>
      </c>
      <c r="V64" s="4" t="str">
        <f t="shared" si="3"/>
        <v>Normal</v>
      </c>
      <c r="W64" s="4" t="str">
        <f t="shared" si="2"/>
        <v>Good</v>
      </c>
      <c r="X64" s="4">
        <f>AVERAGE(Table1[Purchase Amount])</f>
        <v>129.48419400000012</v>
      </c>
    </row>
    <row r="65" spans="1:24" ht="15" customHeight="1" x14ac:dyDescent="0.25">
      <c r="A65">
        <v>64</v>
      </c>
      <c r="B65">
        <v>33</v>
      </c>
      <c r="C65" t="s">
        <v>27</v>
      </c>
      <c r="D65" t="s">
        <v>28</v>
      </c>
      <c r="E65" t="s">
        <v>29</v>
      </c>
      <c r="F65" s="2">
        <v>79</v>
      </c>
      <c r="G65" t="s">
        <v>150</v>
      </c>
      <c r="H65" t="s">
        <v>45</v>
      </c>
      <c r="I65" t="s">
        <v>107</v>
      </c>
      <c r="J65" t="s">
        <v>22</v>
      </c>
      <c r="K65">
        <v>2.7</v>
      </c>
      <c r="L65" t="s">
        <v>34</v>
      </c>
      <c r="M65" t="s">
        <v>41</v>
      </c>
      <c r="N65" t="s">
        <v>34</v>
      </c>
      <c r="O65">
        <v>43</v>
      </c>
      <c r="P65" t="s">
        <v>53</v>
      </c>
      <c r="Q65" t="s">
        <v>26</v>
      </c>
      <c r="R65" s="1">
        <v>0.1</v>
      </c>
      <c r="S65">
        <f t="shared" si="0"/>
        <v>71.099999999999994</v>
      </c>
      <c r="T65">
        <f>IFERROR(VLOOKUP(A65,Table1[[Customer ID]:[Discount Amount]], 6, FALSE),"Not Found")</f>
        <v>79</v>
      </c>
      <c r="U65" t="str">
        <f t="shared" si="1"/>
        <v>Credit Card</v>
      </c>
      <c r="V65" s="4" t="str">
        <f t="shared" si="3"/>
        <v>Normal</v>
      </c>
      <c r="W65" s="4" t="str">
        <f t="shared" si="2"/>
        <v>Poor</v>
      </c>
      <c r="X65" s="4">
        <f>AVERAGE(Table1[Purchase Amount])</f>
        <v>129.48419400000012</v>
      </c>
    </row>
    <row r="66" spans="1:24" ht="15" customHeight="1" x14ac:dyDescent="0.25">
      <c r="A66">
        <v>65</v>
      </c>
      <c r="B66">
        <v>65</v>
      </c>
      <c r="C66" t="s">
        <v>27</v>
      </c>
      <c r="D66" t="s">
        <v>151</v>
      </c>
      <c r="E66" t="s">
        <v>98</v>
      </c>
      <c r="F66" s="2">
        <v>83</v>
      </c>
      <c r="G66" t="s">
        <v>51</v>
      </c>
      <c r="H66" t="s">
        <v>55</v>
      </c>
      <c r="I66" t="s">
        <v>93</v>
      </c>
      <c r="J66" t="s">
        <v>47</v>
      </c>
      <c r="K66">
        <v>4.8</v>
      </c>
      <c r="L66" t="s">
        <v>34</v>
      </c>
      <c r="M66" t="s">
        <v>24</v>
      </c>
      <c r="N66" t="s">
        <v>34</v>
      </c>
      <c r="O66">
        <v>18</v>
      </c>
      <c r="P66" t="s">
        <v>36</v>
      </c>
      <c r="Q66" t="s">
        <v>89</v>
      </c>
      <c r="R66" s="1">
        <v>0.1</v>
      </c>
      <c r="S66">
        <f t="shared" ref="S66:S129" si="4">F66-(F66*R66)</f>
        <v>74.7</v>
      </c>
      <c r="T66">
        <f>IFERROR(VLOOKUP(A66,Table1[[Customer ID]:[Discount Amount]], 6, FALSE),"Not Found")</f>
        <v>83</v>
      </c>
      <c r="U66" t="str">
        <f t="shared" ref="U66:U129" si="5">INDEX(P:P, MATCH(A66, A:A, 0))</f>
        <v>Debit Card</v>
      </c>
      <c r="V66" s="4" t="str">
        <f t="shared" ref="V66:V129" si="6">IF(AND(F66&gt;1000,K66&gt;=4),"Best Customer","Normal")</f>
        <v>Normal</v>
      </c>
      <c r="W66" s="4" t="str">
        <f t="shared" ref="W66:W129" si="7">IF(K66&gt;=3,"Good","Poor")</f>
        <v>Good</v>
      </c>
      <c r="X66" s="4">
        <f>AVERAGE(Table1[Purchase Amount])</f>
        <v>129.48419400000012</v>
      </c>
    </row>
    <row r="67" spans="1:24" ht="15" customHeight="1" x14ac:dyDescent="0.25">
      <c r="A67">
        <v>66</v>
      </c>
      <c r="B67">
        <v>65</v>
      </c>
      <c r="C67" t="s">
        <v>27</v>
      </c>
      <c r="D67" t="s">
        <v>104</v>
      </c>
      <c r="E67" t="s">
        <v>29</v>
      </c>
      <c r="F67" s="2">
        <v>36</v>
      </c>
      <c r="G67" t="s">
        <v>131</v>
      </c>
      <c r="H67" t="s">
        <v>31</v>
      </c>
      <c r="I67" t="s">
        <v>66</v>
      </c>
      <c r="J67" t="s">
        <v>33</v>
      </c>
      <c r="K67">
        <v>4.8</v>
      </c>
      <c r="L67" t="s">
        <v>34</v>
      </c>
      <c r="M67" t="s">
        <v>41</v>
      </c>
      <c r="N67" t="s">
        <v>34</v>
      </c>
      <c r="O67">
        <v>44</v>
      </c>
      <c r="P67" t="s">
        <v>62</v>
      </c>
      <c r="Q67" t="s">
        <v>63</v>
      </c>
      <c r="R67" s="1">
        <v>0.1</v>
      </c>
      <c r="S67">
        <f t="shared" si="4"/>
        <v>32.4</v>
      </c>
      <c r="T67">
        <f>IFERROR(VLOOKUP(A67,Table1[[Customer ID]:[Discount Amount]], 6, FALSE),"Not Found")</f>
        <v>36</v>
      </c>
      <c r="U67" t="str">
        <f t="shared" si="5"/>
        <v>Venmo</v>
      </c>
      <c r="V67" s="4" t="str">
        <f t="shared" si="6"/>
        <v>Normal</v>
      </c>
      <c r="W67" s="4" t="str">
        <f t="shared" si="7"/>
        <v>Good</v>
      </c>
      <c r="X67" s="4">
        <f>AVERAGE(Table1[Purchase Amount])</f>
        <v>129.48419400000012</v>
      </c>
    </row>
    <row r="68" spans="1:24" ht="15" customHeight="1" x14ac:dyDescent="0.25">
      <c r="A68">
        <v>67</v>
      </c>
      <c r="B68">
        <v>31</v>
      </c>
      <c r="C68" t="s">
        <v>27</v>
      </c>
      <c r="D68" t="s">
        <v>118</v>
      </c>
      <c r="E68" t="s">
        <v>18</v>
      </c>
      <c r="F68" s="2">
        <v>94</v>
      </c>
      <c r="G68" t="s">
        <v>78</v>
      </c>
      <c r="H68" t="s">
        <v>55</v>
      </c>
      <c r="I68" t="s">
        <v>87</v>
      </c>
      <c r="J68" t="s">
        <v>22</v>
      </c>
      <c r="K68">
        <v>4.7</v>
      </c>
      <c r="L68" t="s">
        <v>34</v>
      </c>
      <c r="M68" t="s">
        <v>41</v>
      </c>
      <c r="N68" t="s">
        <v>34</v>
      </c>
      <c r="O68">
        <v>3</v>
      </c>
      <c r="P68" t="s">
        <v>62</v>
      </c>
      <c r="Q68" t="s">
        <v>63</v>
      </c>
      <c r="R68" s="1">
        <v>0.1</v>
      </c>
      <c r="S68">
        <f t="shared" si="4"/>
        <v>84.6</v>
      </c>
      <c r="T68">
        <f>IFERROR(VLOOKUP(A68,Table1[[Customer ID]:[Discount Amount]], 6, FALSE),"Not Found")</f>
        <v>94</v>
      </c>
      <c r="U68" t="str">
        <f t="shared" si="5"/>
        <v>Venmo</v>
      </c>
      <c r="V68" s="4" t="str">
        <f t="shared" si="6"/>
        <v>Normal</v>
      </c>
      <c r="W68" s="4" t="str">
        <f t="shared" si="7"/>
        <v>Good</v>
      </c>
      <c r="X68" s="4">
        <f>AVERAGE(Table1[Purchase Amount])</f>
        <v>129.48419400000012</v>
      </c>
    </row>
    <row r="69" spans="1:24" ht="15" customHeight="1" x14ac:dyDescent="0.25">
      <c r="A69">
        <v>68</v>
      </c>
      <c r="B69">
        <v>45</v>
      </c>
      <c r="C69" t="s">
        <v>27</v>
      </c>
      <c r="D69" t="s">
        <v>76</v>
      </c>
      <c r="E69" t="s">
        <v>77</v>
      </c>
      <c r="F69" s="2">
        <v>33</v>
      </c>
      <c r="G69" t="s">
        <v>115</v>
      </c>
      <c r="H69" t="s">
        <v>45</v>
      </c>
      <c r="I69" t="s">
        <v>85</v>
      </c>
      <c r="J69" t="s">
        <v>22</v>
      </c>
      <c r="K69">
        <v>4.4000000000000004</v>
      </c>
      <c r="L69" t="s">
        <v>34</v>
      </c>
      <c r="M69" t="s">
        <v>48</v>
      </c>
      <c r="N69" t="s">
        <v>34</v>
      </c>
      <c r="O69">
        <v>49</v>
      </c>
      <c r="P69" t="s">
        <v>36</v>
      </c>
      <c r="Q69" t="s">
        <v>42</v>
      </c>
      <c r="R69" s="1">
        <v>0.1</v>
      </c>
      <c r="S69">
        <f t="shared" si="4"/>
        <v>29.7</v>
      </c>
      <c r="T69">
        <f>IFERROR(VLOOKUP(A69,Table1[[Customer ID]:[Discount Amount]], 6, FALSE),"Not Found")</f>
        <v>33</v>
      </c>
      <c r="U69" t="str">
        <f t="shared" si="5"/>
        <v>Debit Card</v>
      </c>
      <c r="V69" s="4" t="str">
        <f t="shared" si="6"/>
        <v>Normal</v>
      </c>
      <c r="W69" s="4" t="str">
        <f t="shared" si="7"/>
        <v>Good</v>
      </c>
      <c r="X69" s="4">
        <f>AVERAGE(Table1[Purchase Amount])</f>
        <v>129.48419400000012</v>
      </c>
    </row>
    <row r="70" spans="1:24" ht="15" customHeight="1" x14ac:dyDescent="0.25">
      <c r="A70">
        <v>69</v>
      </c>
      <c r="B70">
        <v>57</v>
      </c>
      <c r="C70" t="s">
        <v>27</v>
      </c>
      <c r="D70" t="s">
        <v>69</v>
      </c>
      <c r="E70" t="s">
        <v>29</v>
      </c>
      <c r="F70" s="2">
        <v>46</v>
      </c>
      <c r="G70" t="s">
        <v>144</v>
      </c>
      <c r="H70" t="s">
        <v>45</v>
      </c>
      <c r="I70" t="s">
        <v>153</v>
      </c>
      <c r="J70" t="s">
        <v>57</v>
      </c>
      <c r="K70">
        <v>3.9</v>
      </c>
      <c r="L70" t="s">
        <v>34</v>
      </c>
      <c r="M70" t="s">
        <v>79</v>
      </c>
      <c r="N70" t="s">
        <v>34</v>
      </c>
      <c r="O70">
        <v>21</v>
      </c>
      <c r="P70" t="s">
        <v>25</v>
      </c>
      <c r="Q70" t="s">
        <v>63</v>
      </c>
      <c r="R70" s="1">
        <v>0.1</v>
      </c>
      <c r="S70">
        <f t="shared" si="4"/>
        <v>41.4</v>
      </c>
      <c r="T70">
        <f>IFERROR(VLOOKUP(A70,Table1[[Customer ID]:[Discount Amount]], 6, FALSE),"Not Found")</f>
        <v>46</v>
      </c>
      <c r="U70" t="str">
        <f t="shared" si="5"/>
        <v>Cash</v>
      </c>
      <c r="V70" s="4" t="str">
        <f t="shared" si="6"/>
        <v>Normal</v>
      </c>
      <c r="W70" s="4" t="str">
        <f t="shared" si="7"/>
        <v>Good</v>
      </c>
      <c r="X70" s="4">
        <f>AVERAGE(Table1[Purchase Amount])</f>
        <v>129.48419400000012</v>
      </c>
    </row>
    <row r="71" spans="1:24" ht="15" customHeight="1" x14ac:dyDescent="0.25">
      <c r="A71">
        <v>70</v>
      </c>
      <c r="B71">
        <v>48</v>
      </c>
      <c r="C71" t="s">
        <v>27</v>
      </c>
      <c r="D71" t="s">
        <v>114</v>
      </c>
      <c r="E71" t="s">
        <v>29</v>
      </c>
      <c r="F71" s="2">
        <v>70</v>
      </c>
      <c r="G71" t="s">
        <v>65</v>
      </c>
      <c r="H71" t="s">
        <v>55</v>
      </c>
      <c r="I71" t="s">
        <v>128</v>
      </c>
      <c r="J71" t="s">
        <v>57</v>
      </c>
      <c r="K71">
        <v>4.4000000000000004</v>
      </c>
      <c r="L71" t="s">
        <v>34</v>
      </c>
      <c r="M71" t="s">
        <v>61</v>
      </c>
      <c r="N71" t="s">
        <v>34</v>
      </c>
      <c r="O71">
        <v>5</v>
      </c>
      <c r="P71" t="s">
        <v>25</v>
      </c>
      <c r="Q71" t="s">
        <v>26</v>
      </c>
      <c r="R71" s="1">
        <v>0.1</v>
      </c>
      <c r="S71">
        <f t="shared" si="4"/>
        <v>63</v>
      </c>
      <c r="T71">
        <f>IFERROR(VLOOKUP(A71,Table1[[Customer ID]:[Discount Amount]], 6, FALSE),"Not Found")</f>
        <v>70</v>
      </c>
      <c r="U71" t="str">
        <f t="shared" si="5"/>
        <v>Cash</v>
      </c>
      <c r="V71" s="4" t="str">
        <f t="shared" si="6"/>
        <v>Normal</v>
      </c>
      <c r="W71" s="4" t="str">
        <f t="shared" si="7"/>
        <v>Good</v>
      </c>
      <c r="X71" s="4">
        <f>AVERAGE(Table1[Purchase Amount])</f>
        <v>129.48419400000012</v>
      </c>
    </row>
    <row r="72" spans="1:24" ht="15" customHeight="1" x14ac:dyDescent="0.25">
      <c r="A72">
        <v>71</v>
      </c>
      <c r="B72">
        <v>22</v>
      </c>
      <c r="C72" t="s">
        <v>27</v>
      </c>
      <c r="D72" t="s">
        <v>114</v>
      </c>
      <c r="E72" t="s">
        <v>29</v>
      </c>
      <c r="F72" s="2">
        <v>29</v>
      </c>
      <c r="G72" t="s">
        <v>51</v>
      </c>
      <c r="H72" t="s">
        <v>31</v>
      </c>
      <c r="I72" t="s">
        <v>87</v>
      </c>
      <c r="J72" t="s">
        <v>47</v>
      </c>
      <c r="K72">
        <v>4.2</v>
      </c>
      <c r="L72" t="s">
        <v>34</v>
      </c>
      <c r="M72" t="s">
        <v>61</v>
      </c>
      <c r="N72" t="s">
        <v>34</v>
      </c>
      <c r="O72">
        <v>32</v>
      </c>
      <c r="P72" t="s">
        <v>36</v>
      </c>
      <c r="Q72" t="s">
        <v>63</v>
      </c>
      <c r="R72" s="1">
        <v>0.1</v>
      </c>
      <c r="S72">
        <f t="shared" si="4"/>
        <v>26.1</v>
      </c>
      <c r="T72">
        <f>IFERROR(VLOOKUP(A72,Table1[[Customer ID]:[Discount Amount]], 6, FALSE),"Not Found")</f>
        <v>29</v>
      </c>
      <c r="U72" t="str">
        <f t="shared" si="5"/>
        <v>Debit Card</v>
      </c>
      <c r="V72" s="4" t="str">
        <f t="shared" si="6"/>
        <v>Normal</v>
      </c>
      <c r="W72" s="4" t="str">
        <f t="shared" si="7"/>
        <v>Good</v>
      </c>
      <c r="X72" s="4">
        <f>AVERAGE(Table1[Purchase Amount])</f>
        <v>129.48419400000012</v>
      </c>
    </row>
    <row r="73" spans="1:24" ht="15" customHeight="1" x14ac:dyDescent="0.25">
      <c r="A73">
        <v>72</v>
      </c>
      <c r="B73">
        <v>36</v>
      </c>
      <c r="C73" t="s">
        <v>27</v>
      </c>
      <c r="D73" t="s">
        <v>157</v>
      </c>
      <c r="E73" t="s">
        <v>18</v>
      </c>
      <c r="F73" s="2">
        <v>48</v>
      </c>
      <c r="G73" t="s">
        <v>138</v>
      </c>
      <c r="H73" t="s">
        <v>45</v>
      </c>
      <c r="I73" t="s">
        <v>133</v>
      </c>
      <c r="J73" t="s">
        <v>57</v>
      </c>
      <c r="K73">
        <v>2.9</v>
      </c>
      <c r="L73" t="s">
        <v>34</v>
      </c>
      <c r="M73" t="s">
        <v>61</v>
      </c>
      <c r="N73" t="s">
        <v>34</v>
      </c>
      <c r="O73">
        <v>34</v>
      </c>
      <c r="P73" t="s">
        <v>88</v>
      </c>
      <c r="Q73" t="s">
        <v>49</v>
      </c>
      <c r="R73" s="1">
        <v>0.1</v>
      </c>
      <c r="S73">
        <f t="shared" si="4"/>
        <v>43.2</v>
      </c>
      <c r="T73">
        <f>IFERROR(VLOOKUP(A73,Table1[[Customer ID]:[Discount Amount]], 6, FALSE),"Not Found")</f>
        <v>48</v>
      </c>
      <c r="U73" t="str">
        <f t="shared" si="5"/>
        <v>Bank Transfer</v>
      </c>
      <c r="V73" s="4" t="str">
        <f t="shared" si="6"/>
        <v>Normal</v>
      </c>
      <c r="W73" s="4" t="str">
        <f t="shared" si="7"/>
        <v>Poor</v>
      </c>
      <c r="X73" s="4">
        <f>AVERAGE(Table1[Purchase Amount])</f>
        <v>129.48419400000012</v>
      </c>
    </row>
    <row r="74" spans="1:24" ht="15" customHeight="1" x14ac:dyDescent="0.25">
      <c r="A74">
        <v>73</v>
      </c>
      <c r="B74">
        <v>18</v>
      </c>
      <c r="C74" t="s">
        <v>27</v>
      </c>
      <c r="D74" t="s">
        <v>157</v>
      </c>
      <c r="E74" t="s">
        <v>18</v>
      </c>
      <c r="F74" s="2">
        <v>26</v>
      </c>
      <c r="G74" t="s">
        <v>160</v>
      </c>
      <c r="H74" t="s">
        <v>31</v>
      </c>
      <c r="I74" t="s">
        <v>21</v>
      </c>
      <c r="J74" t="s">
        <v>22</v>
      </c>
      <c r="K74">
        <v>2.9</v>
      </c>
      <c r="L74" t="s">
        <v>34</v>
      </c>
      <c r="M74" t="s">
        <v>48</v>
      </c>
      <c r="N74" t="s">
        <v>34</v>
      </c>
      <c r="O74">
        <v>21</v>
      </c>
      <c r="P74" t="s">
        <v>88</v>
      </c>
      <c r="Q74" t="s">
        <v>63</v>
      </c>
      <c r="R74" s="1">
        <v>0.1</v>
      </c>
      <c r="S74">
        <f t="shared" si="4"/>
        <v>23.4</v>
      </c>
      <c r="T74">
        <f>IFERROR(VLOOKUP(A74,Table1[[Customer ID]:[Discount Amount]], 6, FALSE),"Not Found")</f>
        <v>26</v>
      </c>
      <c r="U74" t="str">
        <f t="shared" si="5"/>
        <v>Bank Transfer</v>
      </c>
      <c r="V74" s="4" t="str">
        <f t="shared" si="6"/>
        <v>Normal</v>
      </c>
      <c r="W74" s="4" t="str">
        <f t="shared" si="7"/>
        <v>Poor</v>
      </c>
      <c r="X74" s="4">
        <f>AVERAGE(Table1[Purchase Amount])</f>
        <v>129.48419400000012</v>
      </c>
    </row>
    <row r="75" spans="1:24" ht="15" customHeight="1" x14ac:dyDescent="0.25">
      <c r="A75">
        <v>74</v>
      </c>
      <c r="B75">
        <v>48</v>
      </c>
      <c r="C75" t="s">
        <v>27</v>
      </c>
      <c r="D75" t="s">
        <v>99</v>
      </c>
      <c r="E75" t="s">
        <v>18</v>
      </c>
      <c r="F75" s="2">
        <v>85</v>
      </c>
      <c r="G75" t="s">
        <v>135</v>
      </c>
      <c r="H75" t="s">
        <v>31</v>
      </c>
      <c r="I75" t="s">
        <v>147</v>
      </c>
      <c r="J75" t="s">
        <v>33</v>
      </c>
      <c r="K75">
        <v>2.7</v>
      </c>
      <c r="L75" t="s">
        <v>34</v>
      </c>
      <c r="M75" t="s">
        <v>35</v>
      </c>
      <c r="N75" t="s">
        <v>34</v>
      </c>
      <c r="O75">
        <v>43</v>
      </c>
      <c r="P75" t="s">
        <v>88</v>
      </c>
      <c r="Q75" t="s">
        <v>68</v>
      </c>
      <c r="R75" s="1">
        <v>0.1</v>
      </c>
      <c r="S75">
        <f t="shared" si="4"/>
        <v>76.5</v>
      </c>
      <c r="T75">
        <f>IFERROR(VLOOKUP(A75,Table1[[Customer ID]:[Discount Amount]], 6, FALSE),"Not Found")</f>
        <v>85</v>
      </c>
      <c r="U75" t="str">
        <f t="shared" si="5"/>
        <v>Bank Transfer</v>
      </c>
      <c r="V75" s="4" t="str">
        <f t="shared" si="6"/>
        <v>Normal</v>
      </c>
      <c r="W75" s="4" t="str">
        <f t="shared" si="7"/>
        <v>Poor</v>
      </c>
      <c r="X75" s="4">
        <f>AVERAGE(Table1[Purchase Amount])</f>
        <v>129.48419400000012</v>
      </c>
    </row>
    <row r="76" spans="1:24" ht="15" customHeight="1" x14ac:dyDescent="0.25">
      <c r="A76">
        <v>75</v>
      </c>
      <c r="B76">
        <v>49</v>
      </c>
      <c r="C76" t="s">
        <v>27</v>
      </c>
      <c r="D76" t="s">
        <v>43</v>
      </c>
      <c r="E76" t="s">
        <v>29</v>
      </c>
      <c r="F76" s="2">
        <v>58</v>
      </c>
      <c r="G76" t="s">
        <v>102</v>
      </c>
      <c r="H76" t="s">
        <v>45</v>
      </c>
      <c r="I76" t="s">
        <v>111</v>
      </c>
      <c r="J76" t="s">
        <v>33</v>
      </c>
      <c r="K76">
        <v>4.5</v>
      </c>
      <c r="L76" t="s">
        <v>34</v>
      </c>
      <c r="M76" t="s">
        <v>61</v>
      </c>
      <c r="N76" t="s">
        <v>34</v>
      </c>
      <c r="O76">
        <v>3</v>
      </c>
      <c r="P76" t="s">
        <v>25</v>
      </c>
      <c r="Q76" t="s">
        <v>42</v>
      </c>
      <c r="R76" s="1">
        <v>0.1</v>
      </c>
      <c r="S76">
        <f t="shared" si="4"/>
        <v>52.2</v>
      </c>
      <c r="T76">
        <f>IFERROR(VLOOKUP(A76,Table1[[Customer ID]:[Discount Amount]], 6, FALSE),"Not Found")</f>
        <v>58</v>
      </c>
      <c r="U76" t="str">
        <f t="shared" si="5"/>
        <v>Cash</v>
      </c>
      <c r="V76" s="4" t="str">
        <f t="shared" si="6"/>
        <v>Normal</v>
      </c>
      <c r="W76" s="4" t="str">
        <f t="shared" si="7"/>
        <v>Good</v>
      </c>
      <c r="X76" s="4">
        <f>AVERAGE(Table1[Purchase Amount])</f>
        <v>129.48419400000012</v>
      </c>
    </row>
    <row r="77" spans="1:24" ht="15" customHeight="1" x14ac:dyDescent="0.25">
      <c r="A77">
        <v>76</v>
      </c>
      <c r="B77">
        <v>64</v>
      </c>
      <c r="C77" t="s">
        <v>27</v>
      </c>
      <c r="D77" t="s">
        <v>129</v>
      </c>
      <c r="E77" t="s">
        <v>29</v>
      </c>
      <c r="F77" s="2">
        <v>85</v>
      </c>
      <c r="G77" t="s">
        <v>144</v>
      </c>
      <c r="H77" t="s">
        <v>31</v>
      </c>
      <c r="I77" t="s">
        <v>74</v>
      </c>
      <c r="J77" t="s">
        <v>57</v>
      </c>
      <c r="K77">
        <v>2.7</v>
      </c>
      <c r="L77" t="s">
        <v>34</v>
      </c>
      <c r="M77" t="s">
        <v>35</v>
      </c>
      <c r="N77" t="s">
        <v>34</v>
      </c>
      <c r="O77">
        <v>21</v>
      </c>
      <c r="P77" t="s">
        <v>53</v>
      </c>
      <c r="Q77" t="s">
        <v>49</v>
      </c>
      <c r="R77" s="1">
        <v>0.1</v>
      </c>
      <c r="S77">
        <f t="shared" si="4"/>
        <v>76.5</v>
      </c>
      <c r="T77">
        <f>IFERROR(VLOOKUP(A77,Table1[[Customer ID]:[Discount Amount]], 6, FALSE),"Not Found")</f>
        <v>85</v>
      </c>
      <c r="U77" t="str">
        <f t="shared" si="5"/>
        <v>Credit Card</v>
      </c>
      <c r="V77" s="4" t="str">
        <f t="shared" si="6"/>
        <v>Normal</v>
      </c>
      <c r="W77" s="4" t="str">
        <f t="shared" si="7"/>
        <v>Poor</v>
      </c>
      <c r="X77" s="4">
        <f>AVERAGE(Table1[Purchase Amount])</f>
        <v>129.48419400000012</v>
      </c>
    </row>
    <row r="78" spans="1:24" ht="15" customHeight="1" x14ac:dyDescent="0.25">
      <c r="A78">
        <v>77</v>
      </c>
      <c r="B78">
        <v>50</v>
      </c>
      <c r="C78" t="s">
        <v>27</v>
      </c>
      <c r="D78" t="s">
        <v>64</v>
      </c>
      <c r="E78" t="s">
        <v>29</v>
      </c>
      <c r="F78" s="2">
        <v>43</v>
      </c>
      <c r="G78" t="s">
        <v>143</v>
      </c>
      <c r="H78" t="s">
        <v>55</v>
      </c>
      <c r="I78" t="s">
        <v>147</v>
      </c>
      <c r="J78" t="s">
        <v>57</v>
      </c>
      <c r="K78">
        <v>4.2</v>
      </c>
      <c r="L78" t="s">
        <v>34</v>
      </c>
      <c r="M78" t="s">
        <v>35</v>
      </c>
      <c r="N78" t="s">
        <v>34</v>
      </c>
      <c r="O78">
        <v>32</v>
      </c>
      <c r="P78" t="s">
        <v>62</v>
      </c>
      <c r="Q78" t="s">
        <v>42</v>
      </c>
      <c r="R78" s="1">
        <v>0.1</v>
      </c>
      <c r="S78">
        <f t="shared" si="4"/>
        <v>38.700000000000003</v>
      </c>
      <c r="T78">
        <f>IFERROR(VLOOKUP(A78,Table1[[Customer ID]:[Discount Amount]], 6, FALSE),"Not Found")</f>
        <v>43</v>
      </c>
      <c r="U78" t="str">
        <f t="shared" si="5"/>
        <v>Venmo</v>
      </c>
      <c r="V78" s="4" t="str">
        <f t="shared" si="6"/>
        <v>Normal</v>
      </c>
      <c r="W78" s="4" t="str">
        <f t="shared" si="7"/>
        <v>Good</v>
      </c>
      <c r="X78" s="4">
        <f>AVERAGE(Table1[Purchase Amount])</f>
        <v>129.48419400000012</v>
      </c>
    </row>
    <row r="79" spans="1:24" ht="15" customHeight="1" x14ac:dyDescent="0.25">
      <c r="A79">
        <v>78</v>
      </c>
      <c r="B79">
        <v>22</v>
      </c>
      <c r="C79" t="s">
        <v>27</v>
      </c>
      <c r="D79" t="s">
        <v>157</v>
      </c>
      <c r="E79" t="s">
        <v>18</v>
      </c>
      <c r="F79" s="2">
        <v>53</v>
      </c>
      <c r="G79" t="s">
        <v>143</v>
      </c>
      <c r="H79" t="s">
        <v>45</v>
      </c>
      <c r="I79" t="s">
        <v>133</v>
      </c>
      <c r="J79" t="s">
        <v>57</v>
      </c>
      <c r="K79">
        <v>3.3</v>
      </c>
      <c r="L79" t="s">
        <v>34</v>
      </c>
      <c r="M79" t="s">
        <v>79</v>
      </c>
      <c r="N79" t="s">
        <v>34</v>
      </c>
      <c r="O79">
        <v>36</v>
      </c>
      <c r="P79" t="s">
        <v>36</v>
      </c>
      <c r="Q79" t="s">
        <v>89</v>
      </c>
      <c r="R79" s="1">
        <v>0.1</v>
      </c>
      <c r="S79">
        <f t="shared" si="4"/>
        <v>47.7</v>
      </c>
      <c r="T79">
        <f>IFERROR(VLOOKUP(A79,Table1[[Customer ID]:[Discount Amount]], 6, FALSE),"Not Found")</f>
        <v>53</v>
      </c>
      <c r="U79" t="str">
        <f t="shared" si="5"/>
        <v>Debit Card</v>
      </c>
      <c r="V79" s="4" t="str">
        <f t="shared" si="6"/>
        <v>Normal</v>
      </c>
      <c r="W79" s="4" t="str">
        <f t="shared" si="7"/>
        <v>Good</v>
      </c>
      <c r="X79" s="4">
        <f>AVERAGE(Table1[Purchase Amount])</f>
        <v>129.48419400000012</v>
      </c>
    </row>
    <row r="80" spans="1:24" ht="15" customHeight="1" x14ac:dyDescent="0.25">
      <c r="A80">
        <v>79</v>
      </c>
      <c r="B80">
        <v>50</v>
      </c>
      <c r="C80" t="s">
        <v>27</v>
      </c>
      <c r="D80" t="s">
        <v>122</v>
      </c>
      <c r="E80" t="s">
        <v>18</v>
      </c>
      <c r="F80" s="2">
        <v>91</v>
      </c>
      <c r="G80" t="s">
        <v>137</v>
      </c>
      <c r="H80" t="s">
        <v>31</v>
      </c>
      <c r="I80" t="s">
        <v>125</v>
      </c>
      <c r="J80" t="s">
        <v>33</v>
      </c>
      <c r="K80">
        <v>4.7</v>
      </c>
      <c r="L80" t="s">
        <v>34</v>
      </c>
      <c r="M80" t="s">
        <v>35</v>
      </c>
      <c r="N80" t="s">
        <v>34</v>
      </c>
      <c r="O80">
        <v>50</v>
      </c>
      <c r="P80" t="s">
        <v>62</v>
      </c>
      <c r="Q80" t="s">
        <v>89</v>
      </c>
      <c r="R80" s="1">
        <v>0.1</v>
      </c>
      <c r="S80">
        <f t="shared" si="4"/>
        <v>81.900000000000006</v>
      </c>
      <c r="T80">
        <f>IFERROR(VLOOKUP(A80,Table1[[Customer ID]:[Discount Amount]], 6, FALSE),"Not Found")</f>
        <v>91</v>
      </c>
      <c r="U80" t="str">
        <f t="shared" si="5"/>
        <v>Venmo</v>
      </c>
      <c r="V80" s="4" t="str">
        <f t="shared" si="6"/>
        <v>Normal</v>
      </c>
      <c r="W80" s="4" t="str">
        <f t="shared" si="7"/>
        <v>Good</v>
      </c>
      <c r="X80" s="4">
        <f>AVERAGE(Table1[Purchase Amount])</f>
        <v>129.48419400000012</v>
      </c>
    </row>
    <row r="81" spans="1:24" ht="15" customHeight="1" x14ac:dyDescent="0.25">
      <c r="A81">
        <v>80</v>
      </c>
      <c r="B81">
        <v>38</v>
      </c>
      <c r="C81" t="s">
        <v>27</v>
      </c>
      <c r="D81" t="s">
        <v>96</v>
      </c>
      <c r="E81" t="s">
        <v>77</v>
      </c>
      <c r="F81" s="2">
        <v>96</v>
      </c>
      <c r="G81" t="s">
        <v>141</v>
      </c>
      <c r="H81" t="s">
        <v>31</v>
      </c>
      <c r="I81" t="s">
        <v>21</v>
      </c>
      <c r="J81" t="s">
        <v>22</v>
      </c>
      <c r="K81">
        <v>2.6</v>
      </c>
      <c r="L81" t="s">
        <v>34</v>
      </c>
      <c r="M81" t="s">
        <v>41</v>
      </c>
      <c r="N81" t="s">
        <v>34</v>
      </c>
      <c r="O81">
        <v>43</v>
      </c>
      <c r="P81" t="s">
        <v>88</v>
      </c>
      <c r="Q81" t="s">
        <v>63</v>
      </c>
      <c r="R81" s="1">
        <v>0.1</v>
      </c>
      <c r="S81">
        <f t="shared" si="4"/>
        <v>86.4</v>
      </c>
      <c r="T81">
        <f>IFERROR(VLOOKUP(A81,Table1[[Customer ID]:[Discount Amount]], 6, FALSE),"Not Found")</f>
        <v>96</v>
      </c>
      <c r="U81" t="str">
        <f t="shared" si="5"/>
        <v>Bank Transfer</v>
      </c>
      <c r="V81" s="4" t="str">
        <f t="shared" si="6"/>
        <v>Normal</v>
      </c>
      <c r="W81" s="4" t="str">
        <f t="shared" si="7"/>
        <v>Poor</v>
      </c>
      <c r="X81" s="4">
        <f>AVERAGE(Table1[Purchase Amount])</f>
        <v>129.48419400000012</v>
      </c>
    </row>
    <row r="82" spans="1:24" ht="15" customHeight="1" x14ac:dyDescent="0.25">
      <c r="A82">
        <v>81</v>
      </c>
      <c r="B82">
        <v>19</v>
      </c>
      <c r="C82" t="s">
        <v>27</v>
      </c>
      <c r="D82" t="s">
        <v>121</v>
      </c>
      <c r="E82" t="s">
        <v>98</v>
      </c>
      <c r="F82" s="2">
        <v>72</v>
      </c>
      <c r="G82" t="s">
        <v>101</v>
      </c>
      <c r="H82" t="s">
        <v>20</v>
      </c>
      <c r="I82" t="s">
        <v>74</v>
      </c>
      <c r="J82" t="s">
        <v>57</v>
      </c>
      <c r="K82">
        <v>1</v>
      </c>
      <c r="L82" t="s">
        <v>34</v>
      </c>
      <c r="M82" t="s">
        <v>48</v>
      </c>
      <c r="N82" t="s">
        <v>34</v>
      </c>
      <c r="O82">
        <v>24</v>
      </c>
      <c r="P82" t="s">
        <v>53</v>
      </c>
      <c r="Q82" t="s">
        <v>63</v>
      </c>
      <c r="R82" s="1">
        <v>0.1</v>
      </c>
      <c r="S82">
        <f t="shared" si="4"/>
        <v>64.8</v>
      </c>
      <c r="T82">
        <f>IFERROR(VLOOKUP(A82,Table1[[Customer ID]:[Discount Amount]], 6, FALSE),"Not Found")</f>
        <v>72</v>
      </c>
      <c r="U82" t="str">
        <f t="shared" si="5"/>
        <v>Credit Card</v>
      </c>
      <c r="V82" s="4" t="str">
        <f t="shared" si="6"/>
        <v>Normal</v>
      </c>
      <c r="W82" s="4" t="str">
        <f t="shared" si="7"/>
        <v>Poor</v>
      </c>
      <c r="X82" s="4">
        <f>AVERAGE(Table1[Purchase Amount])</f>
        <v>129.48419400000012</v>
      </c>
    </row>
    <row r="83" spans="1:24" ht="15" customHeight="1" x14ac:dyDescent="0.25">
      <c r="A83">
        <v>82</v>
      </c>
      <c r="B83">
        <v>67</v>
      </c>
      <c r="C83" t="s">
        <v>27</v>
      </c>
      <c r="D83" t="s">
        <v>72</v>
      </c>
      <c r="E83" t="s">
        <v>98</v>
      </c>
      <c r="F83" s="2">
        <v>96</v>
      </c>
      <c r="G83" t="s">
        <v>138</v>
      </c>
      <c r="H83" t="s">
        <v>45</v>
      </c>
      <c r="I83" t="s">
        <v>125</v>
      </c>
      <c r="J83" t="s">
        <v>57</v>
      </c>
      <c r="K83">
        <v>2.6</v>
      </c>
      <c r="L83" t="s">
        <v>34</v>
      </c>
      <c r="M83" t="s">
        <v>61</v>
      </c>
      <c r="N83" t="s">
        <v>34</v>
      </c>
      <c r="O83">
        <v>36</v>
      </c>
      <c r="P83" t="s">
        <v>53</v>
      </c>
      <c r="Q83" t="s">
        <v>63</v>
      </c>
      <c r="R83" s="1">
        <v>0.1</v>
      </c>
      <c r="S83">
        <f t="shared" si="4"/>
        <v>86.4</v>
      </c>
      <c r="T83">
        <f>IFERROR(VLOOKUP(A83,Table1[[Customer ID]:[Discount Amount]], 6, FALSE),"Not Found")</f>
        <v>96</v>
      </c>
      <c r="U83" t="str">
        <f t="shared" si="5"/>
        <v>Credit Card</v>
      </c>
      <c r="V83" s="4" t="str">
        <f t="shared" si="6"/>
        <v>Normal</v>
      </c>
      <c r="W83" s="4" t="str">
        <f t="shared" si="7"/>
        <v>Poor</v>
      </c>
      <c r="X83" s="4">
        <f>AVERAGE(Table1[Purchase Amount])</f>
        <v>129.48419400000012</v>
      </c>
    </row>
    <row r="84" spans="1:24" ht="15" customHeight="1" x14ac:dyDescent="0.25">
      <c r="A84">
        <v>83</v>
      </c>
      <c r="B84">
        <v>19</v>
      </c>
      <c r="C84" t="s">
        <v>27</v>
      </c>
      <c r="D84" t="s">
        <v>99</v>
      </c>
      <c r="E84" t="s">
        <v>18</v>
      </c>
      <c r="F84" s="2">
        <v>28</v>
      </c>
      <c r="G84" t="s">
        <v>160</v>
      </c>
      <c r="H84" t="s">
        <v>55</v>
      </c>
      <c r="I84" t="s">
        <v>21</v>
      </c>
      <c r="J84" t="s">
        <v>33</v>
      </c>
      <c r="K84">
        <v>4</v>
      </c>
      <c r="L84" t="s">
        <v>34</v>
      </c>
      <c r="M84" t="s">
        <v>41</v>
      </c>
      <c r="N84" t="s">
        <v>34</v>
      </c>
      <c r="O84">
        <v>21</v>
      </c>
      <c r="P84" t="s">
        <v>53</v>
      </c>
      <c r="Q84" t="s">
        <v>63</v>
      </c>
      <c r="R84" s="1">
        <v>0.1</v>
      </c>
      <c r="S84">
        <f t="shared" si="4"/>
        <v>25.2</v>
      </c>
      <c r="T84">
        <f>IFERROR(VLOOKUP(A84,Table1[[Customer ID]:[Discount Amount]], 6, FALSE),"Not Found")</f>
        <v>28</v>
      </c>
      <c r="U84" t="str">
        <f t="shared" si="5"/>
        <v>Credit Card</v>
      </c>
      <c r="V84" s="4" t="str">
        <f t="shared" si="6"/>
        <v>Normal</v>
      </c>
      <c r="W84" s="4" t="str">
        <f t="shared" si="7"/>
        <v>Good</v>
      </c>
      <c r="X84" s="4">
        <f>AVERAGE(Table1[Purchase Amount])</f>
        <v>129.48419400000012</v>
      </c>
    </row>
    <row r="85" spans="1:24" ht="15" customHeight="1" x14ac:dyDescent="0.25">
      <c r="A85">
        <v>84</v>
      </c>
      <c r="B85">
        <v>36</v>
      </c>
      <c r="C85" t="s">
        <v>27</v>
      </c>
      <c r="D85" t="s">
        <v>157</v>
      </c>
      <c r="E85" t="s">
        <v>18</v>
      </c>
      <c r="F85" s="2">
        <v>40</v>
      </c>
      <c r="G85" t="s">
        <v>152</v>
      </c>
      <c r="H85" t="s">
        <v>31</v>
      </c>
      <c r="I85" t="s">
        <v>156</v>
      </c>
      <c r="J85" t="s">
        <v>57</v>
      </c>
      <c r="K85">
        <v>4.0999999999999996</v>
      </c>
      <c r="L85" t="s">
        <v>34</v>
      </c>
      <c r="M85" t="s">
        <v>24</v>
      </c>
      <c r="N85" t="s">
        <v>34</v>
      </c>
      <c r="O85">
        <v>34</v>
      </c>
      <c r="P85" t="s">
        <v>88</v>
      </c>
      <c r="Q85" t="s">
        <v>26</v>
      </c>
      <c r="R85" s="1">
        <v>0.1</v>
      </c>
      <c r="S85">
        <f t="shared" si="4"/>
        <v>36</v>
      </c>
      <c r="T85">
        <f>IFERROR(VLOOKUP(A85,Table1[[Customer ID]:[Discount Amount]], 6, FALSE),"Not Found")</f>
        <v>40</v>
      </c>
      <c r="U85" t="str">
        <f t="shared" si="5"/>
        <v>Bank Transfer</v>
      </c>
      <c r="V85" s="4" t="str">
        <f t="shared" si="6"/>
        <v>Normal</v>
      </c>
      <c r="W85" s="4" t="str">
        <f t="shared" si="7"/>
        <v>Good</v>
      </c>
      <c r="X85" s="4">
        <f>AVERAGE(Table1[Purchase Amount])</f>
        <v>129.48419400000012</v>
      </c>
    </row>
    <row r="86" spans="1:24" ht="15" customHeight="1" x14ac:dyDescent="0.25">
      <c r="A86">
        <v>85</v>
      </c>
      <c r="B86">
        <v>52</v>
      </c>
      <c r="C86" t="s">
        <v>27</v>
      </c>
      <c r="D86" t="s">
        <v>76</v>
      </c>
      <c r="E86" t="s">
        <v>77</v>
      </c>
      <c r="F86" s="2">
        <v>32</v>
      </c>
      <c r="G86" t="s">
        <v>150</v>
      </c>
      <c r="H86" t="s">
        <v>55</v>
      </c>
      <c r="I86" t="s">
        <v>145</v>
      </c>
      <c r="J86" t="s">
        <v>33</v>
      </c>
      <c r="K86">
        <v>4.4000000000000004</v>
      </c>
      <c r="L86" t="s">
        <v>34</v>
      </c>
      <c r="M86" t="s">
        <v>24</v>
      </c>
      <c r="N86" t="s">
        <v>34</v>
      </c>
      <c r="O86">
        <v>42</v>
      </c>
      <c r="P86" t="s">
        <v>88</v>
      </c>
      <c r="Q86" t="s">
        <v>63</v>
      </c>
      <c r="R86" s="1">
        <v>0.1</v>
      </c>
      <c r="S86">
        <f t="shared" si="4"/>
        <v>28.8</v>
      </c>
      <c r="T86">
        <f>IFERROR(VLOOKUP(A86,Table1[[Customer ID]:[Discount Amount]], 6, FALSE),"Not Found")</f>
        <v>32</v>
      </c>
      <c r="U86" t="str">
        <f t="shared" si="5"/>
        <v>Bank Transfer</v>
      </c>
      <c r="V86" s="4" t="str">
        <f t="shared" si="6"/>
        <v>Normal</v>
      </c>
      <c r="W86" s="4" t="str">
        <f t="shared" si="7"/>
        <v>Good</v>
      </c>
      <c r="X86" s="4">
        <f>AVERAGE(Table1[Purchase Amount])</f>
        <v>129.48419400000012</v>
      </c>
    </row>
    <row r="87" spans="1:24" ht="15" customHeight="1" x14ac:dyDescent="0.25">
      <c r="A87">
        <v>86</v>
      </c>
      <c r="B87">
        <v>53</v>
      </c>
      <c r="C87" t="s">
        <v>27</v>
      </c>
      <c r="D87" t="s">
        <v>28</v>
      </c>
      <c r="E87" t="s">
        <v>29</v>
      </c>
      <c r="F87" s="2">
        <v>95</v>
      </c>
      <c r="G87" t="s">
        <v>110</v>
      </c>
      <c r="H87" t="s">
        <v>31</v>
      </c>
      <c r="I87" t="s">
        <v>103</v>
      </c>
      <c r="J87" t="s">
        <v>22</v>
      </c>
      <c r="K87">
        <v>4.5</v>
      </c>
      <c r="L87" t="s">
        <v>34</v>
      </c>
      <c r="M87" t="s">
        <v>79</v>
      </c>
      <c r="N87" t="s">
        <v>34</v>
      </c>
      <c r="O87">
        <v>2</v>
      </c>
      <c r="P87" t="s">
        <v>36</v>
      </c>
      <c r="Q87" t="s">
        <v>68</v>
      </c>
      <c r="R87" s="1">
        <v>0.1</v>
      </c>
      <c r="S87">
        <f t="shared" si="4"/>
        <v>85.5</v>
      </c>
      <c r="T87">
        <f>IFERROR(VLOOKUP(A87,Table1[[Customer ID]:[Discount Amount]], 6, FALSE),"Not Found")</f>
        <v>95</v>
      </c>
      <c r="U87" t="str">
        <f t="shared" si="5"/>
        <v>Debit Card</v>
      </c>
      <c r="V87" s="4" t="str">
        <f t="shared" si="6"/>
        <v>Normal</v>
      </c>
      <c r="W87" s="4" t="str">
        <f t="shared" si="7"/>
        <v>Good</v>
      </c>
      <c r="X87" s="4">
        <f>AVERAGE(Table1[Purchase Amount])</f>
        <v>129.48419400000012</v>
      </c>
    </row>
    <row r="88" spans="1:24" ht="15" customHeight="1" x14ac:dyDescent="0.25">
      <c r="A88">
        <v>87</v>
      </c>
      <c r="B88">
        <v>24</v>
      </c>
      <c r="C88" t="s">
        <v>27</v>
      </c>
      <c r="D88" t="s">
        <v>83</v>
      </c>
      <c r="E88" t="s">
        <v>18</v>
      </c>
      <c r="F88" s="2">
        <v>41</v>
      </c>
      <c r="G88" t="s">
        <v>158</v>
      </c>
      <c r="H88" t="s">
        <v>45</v>
      </c>
      <c r="I88" t="s">
        <v>136</v>
      </c>
      <c r="J88" t="s">
        <v>33</v>
      </c>
      <c r="K88">
        <v>3.7</v>
      </c>
      <c r="L88" t="s">
        <v>34</v>
      </c>
      <c r="M88" t="s">
        <v>41</v>
      </c>
      <c r="N88" t="s">
        <v>34</v>
      </c>
      <c r="O88">
        <v>47</v>
      </c>
      <c r="P88" t="s">
        <v>25</v>
      </c>
      <c r="Q88" t="s">
        <v>68</v>
      </c>
      <c r="R88" s="1">
        <v>0.1</v>
      </c>
      <c r="S88">
        <f t="shared" si="4"/>
        <v>36.9</v>
      </c>
      <c r="T88">
        <f>IFERROR(VLOOKUP(A88,Table1[[Customer ID]:[Discount Amount]], 6, FALSE),"Not Found")</f>
        <v>41</v>
      </c>
      <c r="U88" t="str">
        <f t="shared" si="5"/>
        <v>Cash</v>
      </c>
      <c r="V88" s="4" t="str">
        <f t="shared" si="6"/>
        <v>Normal</v>
      </c>
      <c r="W88" s="4" t="str">
        <f t="shared" si="7"/>
        <v>Good</v>
      </c>
      <c r="X88" s="4">
        <f>AVERAGE(Table1[Purchase Amount])</f>
        <v>129.48419400000012</v>
      </c>
    </row>
    <row r="89" spans="1:24" ht="15" customHeight="1" x14ac:dyDescent="0.25">
      <c r="A89">
        <v>88</v>
      </c>
      <c r="B89">
        <v>52</v>
      </c>
      <c r="C89" t="s">
        <v>27</v>
      </c>
      <c r="D89" t="s">
        <v>72</v>
      </c>
      <c r="E89" t="s">
        <v>98</v>
      </c>
      <c r="F89" s="2">
        <v>53</v>
      </c>
      <c r="G89" t="s">
        <v>90</v>
      </c>
      <c r="H89" t="s">
        <v>31</v>
      </c>
      <c r="I89" t="s">
        <v>93</v>
      </c>
      <c r="J89" t="s">
        <v>47</v>
      </c>
      <c r="K89">
        <v>3.7</v>
      </c>
      <c r="L89" t="s">
        <v>34</v>
      </c>
      <c r="M89" t="s">
        <v>41</v>
      </c>
      <c r="N89" t="s">
        <v>34</v>
      </c>
      <c r="O89">
        <v>44</v>
      </c>
      <c r="P89" t="s">
        <v>36</v>
      </c>
      <c r="Q89" t="s">
        <v>89</v>
      </c>
      <c r="R89" s="1">
        <v>0.1</v>
      </c>
      <c r="S89">
        <f t="shared" si="4"/>
        <v>47.7</v>
      </c>
      <c r="T89">
        <f>IFERROR(VLOOKUP(A89,Table1[[Customer ID]:[Discount Amount]], 6, FALSE),"Not Found")</f>
        <v>53</v>
      </c>
      <c r="U89" t="str">
        <f t="shared" si="5"/>
        <v>Debit Card</v>
      </c>
      <c r="V89" s="4" t="str">
        <f t="shared" si="6"/>
        <v>Normal</v>
      </c>
      <c r="W89" s="4" t="str">
        <f t="shared" si="7"/>
        <v>Good</v>
      </c>
      <c r="X89" s="4">
        <f>AVERAGE(Table1[Purchase Amount])</f>
        <v>129.48419400000012</v>
      </c>
    </row>
    <row r="90" spans="1:24" ht="15" customHeight="1" x14ac:dyDescent="0.25">
      <c r="A90">
        <v>89</v>
      </c>
      <c r="B90">
        <v>33</v>
      </c>
      <c r="C90" t="s">
        <v>27</v>
      </c>
      <c r="D90" t="s">
        <v>17</v>
      </c>
      <c r="E90" t="s">
        <v>18</v>
      </c>
      <c r="F90" s="2">
        <v>47</v>
      </c>
      <c r="G90" t="s">
        <v>162</v>
      </c>
      <c r="H90" t="s">
        <v>31</v>
      </c>
      <c r="I90" t="s">
        <v>108</v>
      </c>
      <c r="J90" t="s">
        <v>47</v>
      </c>
      <c r="K90">
        <v>3.5</v>
      </c>
      <c r="L90" t="s">
        <v>34</v>
      </c>
      <c r="M90" t="s">
        <v>35</v>
      </c>
      <c r="N90" t="s">
        <v>34</v>
      </c>
      <c r="O90">
        <v>35</v>
      </c>
      <c r="P90" t="s">
        <v>53</v>
      </c>
      <c r="Q90" t="s">
        <v>42</v>
      </c>
      <c r="R90" s="1">
        <v>0.1</v>
      </c>
      <c r="S90">
        <f t="shared" si="4"/>
        <v>42.3</v>
      </c>
      <c r="T90">
        <f>IFERROR(VLOOKUP(A90,Table1[[Customer ID]:[Discount Amount]], 6, FALSE),"Not Found")</f>
        <v>47</v>
      </c>
      <c r="U90" t="str">
        <f t="shared" si="5"/>
        <v>Credit Card</v>
      </c>
      <c r="V90" s="4" t="str">
        <f t="shared" si="6"/>
        <v>Normal</v>
      </c>
      <c r="W90" s="4" t="str">
        <f t="shared" si="7"/>
        <v>Good</v>
      </c>
      <c r="X90" s="4">
        <f>AVERAGE(Table1[Purchase Amount])</f>
        <v>129.48419400000012</v>
      </c>
    </row>
    <row r="91" spans="1:24" ht="15" customHeight="1" x14ac:dyDescent="0.25">
      <c r="A91">
        <v>90</v>
      </c>
      <c r="B91">
        <v>47</v>
      </c>
      <c r="C91" t="s">
        <v>27</v>
      </c>
      <c r="D91" t="s">
        <v>96</v>
      </c>
      <c r="E91" t="s">
        <v>77</v>
      </c>
      <c r="F91" s="2">
        <v>83</v>
      </c>
      <c r="G91" t="s">
        <v>19</v>
      </c>
      <c r="H91" t="s">
        <v>20</v>
      </c>
      <c r="I91" t="s">
        <v>136</v>
      </c>
      <c r="J91" t="s">
        <v>47</v>
      </c>
      <c r="K91">
        <v>3.6</v>
      </c>
      <c r="L91" t="s">
        <v>34</v>
      </c>
      <c r="M91" t="s">
        <v>79</v>
      </c>
      <c r="N91" t="s">
        <v>34</v>
      </c>
      <c r="O91">
        <v>15</v>
      </c>
      <c r="P91" t="s">
        <v>25</v>
      </c>
      <c r="Q91" t="s">
        <v>37</v>
      </c>
      <c r="R91" s="1">
        <v>0.1</v>
      </c>
      <c r="S91">
        <f t="shared" si="4"/>
        <v>74.7</v>
      </c>
      <c r="T91">
        <f>IFERROR(VLOOKUP(A91,Table1[[Customer ID]:[Discount Amount]], 6, FALSE),"Not Found")</f>
        <v>83</v>
      </c>
      <c r="U91" t="str">
        <f t="shared" si="5"/>
        <v>Cash</v>
      </c>
      <c r="V91" s="4" t="str">
        <f t="shared" si="6"/>
        <v>Normal</v>
      </c>
      <c r="W91" s="4" t="str">
        <f t="shared" si="7"/>
        <v>Good</v>
      </c>
      <c r="X91" s="4">
        <f>AVERAGE(Table1[Purchase Amount])</f>
        <v>129.48419400000012</v>
      </c>
    </row>
    <row r="92" spans="1:24" ht="15" customHeight="1" x14ac:dyDescent="0.25">
      <c r="A92">
        <v>91</v>
      </c>
      <c r="B92">
        <v>25</v>
      </c>
      <c r="C92" t="s">
        <v>27</v>
      </c>
      <c r="D92" t="s">
        <v>64</v>
      </c>
      <c r="E92" t="s">
        <v>29</v>
      </c>
      <c r="F92" s="2">
        <v>48</v>
      </c>
      <c r="G92" t="s">
        <v>30</v>
      </c>
      <c r="H92" t="s">
        <v>45</v>
      </c>
      <c r="I92" t="s">
        <v>111</v>
      </c>
      <c r="J92" t="s">
        <v>57</v>
      </c>
      <c r="K92">
        <v>2.9</v>
      </c>
      <c r="L92" t="s">
        <v>34</v>
      </c>
      <c r="M92" t="s">
        <v>61</v>
      </c>
      <c r="N92" t="s">
        <v>34</v>
      </c>
      <c r="O92">
        <v>29</v>
      </c>
      <c r="P92" t="s">
        <v>53</v>
      </c>
      <c r="Q92" t="s">
        <v>42</v>
      </c>
      <c r="R92" s="1">
        <v>0.1</v>
      </c>
      <c r="S92">
        <f t="shared" si="4"/>
        <v>43.2</v>
      </c>
      <c r="T92">
        <f>IFERROR(VLOOKUP(A92,Table1[[Customer ID]:[Discount Amount]], 6, FALSE),"Not Found")</f>
        <v>48</v>
      </c>
      <c r="U92" t="str">
        <f t="shared" si="5"/>
        <v>Credit Card</v>
      </c>
      <c r="V92" s="4" t="str">
        <f t="shared" si="6"/>
        <v>Normal</v>
      </c>
      <c r="W92" s="4" t="str">
        <f t="shared" si="7"/>
        <v>Poor</v>
      </c>
      <c r="X92" s="4">
        <f>AVERAGE(Table1[Purchase Amount])</f>
        <v>129.48419400000012</v>
      </c>
    </row>
    <row r="93" spans="1:24" ht="15" customHeight="1" x14ac:dyDescent="0.25">
      <c r="A93">
        <v>92</v>
      </c>
      <c r="B93">
        <v>44</v>
      </c>
      <c r="C93" t="s">
        <v>27</v>
      </c>
      <c r="D93" t="s">
        <v>129</v>
      </c>
      <c r="E93" t="s">
        <v>29</v>
      </c>
      <c r="F93" s="2">
        <v>99</v>
      </c>
      <c r="G93" t="s">
        <v>30</v>
      </c>
      <c r="H93" t="s">
        <v>55</v>
      </c>
      <c r="I93" t="s">
        <v>93</v>
      </c>
      <c r="J93" t="s">
        <v>22</v>
      </c>
      <c r="K93">
        <v>4.5999999999999996</v>
      </c>
      <c r="L93" t="s">
        <v>34</v>
      </c>
      <c r="M93" t="s">
        <v>24</v>
      </c>
      <c r="N93" t="s">
        <v>34</v>
      </c>
      <c r="O93">
        <v>18</v>
      </c>
      <c r="P93" t="s">
        <v>53</v>
      </c>
      <c r="Q93" t="s">
        <v>63</v>
      </c>
      <c r="R93" s="1">
        <v>0.1</v>
      </c>
      <c r="S93">
        <f t="shared" si="4"/>
        <v>89.1</v>
      </c>
      <c r="T93">
        <f>IFERROR(VLOOKUP(A93,Table1[[Customer ID]:[Discount Amount]], 6, FALSE),"Not Found")</f>
        <v>99</v>
      </c>
      <c r="U93" t="str">
        <f t="shared" si="5"/>
        <v>Credit Card</v>
      </c>
      <c r="V93" s="4" t="str">
        <f t="shared" si="6"/>
        <v>Normal</v>
      </c>
      <c r="W93" s="4" t="str">
        <f t="shared" si="7"/>
        <v>Good</v>
      </c>
      <c r="X93" s="4">
        <f>AVERAGE(Table1[Purchase Amount])</f>
        <v>129.48419400000012</v>
      </c>
    </row>
    <row r="94" spans="1:24" ht="15" customHeight="1" x14ac:dyDescent="0.25">
      <c r="A94">
        <v>93</v>
      </c>
      <c r="B94">
        <v>61</v>
      </c>
      <c r="C94" t="s">
        <v>27</v>
      </c>
      <c r="D94" t="s">
        <v>96</v>
      </c>
      <c r="E94" t="s">
        <v>77</v>
      </c>
      <c r="F94" s="2">
        <v>87</v>
      </c>
      <c r="G94" t="s">
        <v>152</v>
      </c>
      <c r="H94" t="s">
        <v>31</v>
      </c>
      <c r="I94" t="s">
        <v>21</v>
      </c>
      <c r="J94" t="s">
        <v>22</v>
      </c>
      <c r="K94">
        <v>4.4000000000000004</v>
      </c>
      <c r="L94" t="s">
        <v>34</v>
      </c>
      <c r="M94" t="s">
        <v>41</v>
      </c>
      <c r="N94" t="s">
        <v>34</v>
      </c>
      <c r="O94">
        <v>13</v>
      </c>
      <c r="P94" t="s">
        <v>62</v>
      </c>
      <c r="Q94" t="s">
        <v>63</v>
      </c>
      <c r="R94" s="1">
        <v>0.1</v>
      </c>
      <c r="S94">
        <f t="shared" si="4"/>
        <v>78.3</v>
      </c>
      <c r="T94">
        <f>IFERROR(VLOOKUP(A94,Table1[[Customer ID]:[Discount Amount]], 6, FALSE),"Not Found")</f>
        <v>87</v>
      </c>
      <c r="U94" t="str">
        <f t="shared" si="5"/>
        <v>Venmo</v>
      </c>
      <c r="V94" s="4" t="str">
        <f t="shared" si="6"/>
        <v>Normal</v>
      </c>
      <c r="W94" s="4" t="str">
        <f t="shared" si="7"/>
        <v>Good</v>
      </c>
      <c r="X94" s="4">
        <f>AVERAGE(Table1[Purchase Amount])</f>
        <v>129.48419400000012</v>
      </c>
    </row>
    <row r="95" spans="1:24" ht="15" customHeight="1" x14ac:dyDescent="0.25">
      <c r="A95">
        <v>94</v>
      </c>
      <c r="B95">
        <v>37</v>
      </c>
      <c r="C95" t="s">
        <v>27</v>
      </c>
      <c r="D95" t="s">
        <v>127</v>
      </c>
      <c r="E95" t="s">
        <v>18</v>
      </c>
      <c r="F95" s="2">
        <v>62</v>
      </c>
      <c r="G95" t="s">
        <v>67</v>
      </c>
      <c r="H95" t="s">
        <v>31</v>
      </c>
      <c r="I95" t="s">
        <v>66</v>
      </c>
      <c r="J95" t="s">
        <v>47</v>
      </c>
      <c r="K95">
        <v>4.5</v>
      </c>
      <c r="L95" t="s">
        <v>34</v>
      </c>
      <c r="M95" t="s">
        <v>24</v>
      </c>
      <c r="N95" t="s">
        <v>34</v>
      </c>
      <c r="O95">
        <v>46</v>
      </c>
      <c r="P95" t="s">
        <v>53</v>
      </c>
      <c r="Q95" t="s">
        <v>26</v>
      </c>
      <c r="R95" s="1">
        <v>0.1</v>
      </c>
      <c r="S95">
        <f t="shared" si="4"/>
        <v>55.8</v>
      </c>
      <c r="T95">
        <f>IFERROR(VLOOKUP(A95,Table1[[Customer ID]:[Discount Amount]], 6, FALSE),"Not Found")</f>
        <v>62</v>
      </c>
      <c r="U95" t="str">
        <f t="shared" si="5"/>
        <v>Credit Card</v>
      </c>
      <c r="V95" s="4" t="str">
        <f t="shared" si="6"/>
        <v>Normal</v>
      </c>
      <c r="W95" s="4" t="str">
        <f t="shared" si="7"/>
        <v>Good</v>
      </c>
      <c r="X95" s="4">
        <f>AVERAGE(Table1[Purchase Amount])</f>
        <v>129.48419400000012</v>
      </c>
    </row>
    <row r="96" spans="1:24" ht="15" customHeight="1" x14ac:dyDescent="0.25">
      <c r="A96">
        <v>95</v>
      </c>
      <c r="B96">
        <v>58</v>
      </c>
      <c r="C96" t="s">
        <v>27</v>
      </c>
      <c r="D96" t="s">
        <v>122</v>
      </c>
      <c r="E96" t="s">
        <v>18</v>
      </c>
      <c r="F96" s="2">
        <v>76</v>
      </c>
      <c r="G96" t="s">
        <v>158</v>
      </c>
      <c r="H96" t="s">
        <v>55</v>
      </c>
      <c r="I96" t="s">
        <v>153</v>
      </c>
      <c r="J96" t="s">
        <v>33</v>
      </c>
      <c r="K96">
        <v>4.5999999999999996</v>
      </c>
      <c r="L96" t="s">
        <v>34</v>
      </c>
      <c r="M96" t="s">
        <v>35</v>
      </c>
      <c r="N96" t="s">
        <v>34</v>
      </c>
      <c r="O96">
        <v>28</v>
      </c>
      <c r="P96" t="s">
        <v>53</v>
      </c>
      <c r="Q96" t="s">
        <v>26</v>
      </c>
      <c r="R96" s="1">
        <v>0.1</v>
      </c>
      <c r="S96">
        <f t="shared" si="4"/>
        <v>68.400000000000006</v>
      </c>
      <c r="T96">
        <f>IFERROR(VLOOKUP(A96,Table1[[Customer ID]:[Discount Amount]], 6, FALSE),"Not Found")</f>
        <v>76</v>
      </c>
      <c r="U96" t="str">
        <f t="shared" si="5"/>
        <v>Credit Card</v>
      </c>
      <c r="V96" s="4" t="str">
        <f t="shared" si="6"/>
        <v>Normal</v>
      </c>
      <c r="W96" s="4" t="str">
        <f t="shared" si="7"/>
        <v>Good</v>
      </c>
      <c r="X96" s="4">
        <f>AVERAGE(Table1[Purchase Amount])</f>
        <v>129.48419400000012</v>
      </c>
    </row>
    <row r="97" spans="1:24" ht="15" customHeight="1" x14ac:dyDescent="0.25">
      <c r="A97">
        <v>96</v>
      </c>
      <c r="B97">
        <v>37</v>
      </c>
      <c r="C97" t="s">
        <v>27</v>
      </c>
      <c r="D97" t="s">
        <v>140</v>
      </c>
      <c r="E97" t="s">
        <v>98</v>
      </c>
      <c r="F97" s="2">
        <v>100</v>
      </c>
      <c r="G97" t="s">
        <v>146</v>
      </c>
      <c r="H97" t="s">
        <v>45</v>
      </c>
      <c r="I97" t="s">
        <v>136</v>
      </c>
      <c r="J97" t="s">
        <v>47</v>
      </c>
      <c r="K97">
        <v>3.8</v>
      </c>
      <c r="L97" t="s">
        <v>34</v>
      </c>
      <c r="M97" t="s">
        <v>35</v>
      </c>
      <c r="N97" t="s">
        <v>34</v>
      </c>
      <c r="O97">
        <v>48</v>
      </c>
      <c r="P97" t="s">
        <v>58</v>
      </c>
      <c r="Q97" t="s">
        <v>42</v>
      </c>
      <c r="R97" s="1">
        <v>0.1</v>
      </c>
      <c r="S97">
        <f t="shared" si="4"/>
        <v>90</v>
      </c>
      <c r="T97">
        <f>IFERROR(VLOOKUP(A97,Table1[[Customer ID]:[Discount Amount]], 6, FALSE),"Not Found")</f>
        <v>100</v>
      </c>
      <c r="U97" t="str">
        <f t="shared" si="5"/>
        <v>PayPal</v>
      </c>
      <c r="V97" s="4" t="str">
        <f t="shared" si="6"/>
        <v>Normal</v>
      </c>
      <c r="W97" s="4" t="str">
        <f t="shared" si="7"/>
        <v>Good</v>
      </c>
      <c r="X97" s="4">
        <f>AVERAGE(Table1[Purchase Amount])</f>
        <v>129.48419400000012</v>
      </c>
    </row>
    <row r="98" spans="1:24" ht="15" customHeight="1" x14ac:dyDescent="0.25">
      <c r="A98">
        <v>97</v>
      </c>
      <c r="B98">
        <v>32</v>
      </c>
      <c r="C98" t="s">
        <v>27</v>
      </c>
      <c r="D98" t="s">
        <v>43</v>
      </c>
      <c r="E98" t="s">
        <v>29</v>
      </c>
      <c r="F98" s="2">
        <v>73</v>
      </c>
      <c r="G98" t="s">
        <v>143</v>
      </c>
      <c r="H98" t="s">
        <v>55</v>
      </c>
      <c r="I98" t="s">
        <v>133</v>
      </c>
      <c r="J98" t="s">
        <v>33</v>
      </c>
      <c r="K98">
        <v>1</v>
      </c>
      <c r="L98" t="s">
        <v>34</v>
      </c>
      <c r="M98" t="s">
        <v>61</v>
      </c>
      <c r="N98" t="s">
        <v>34</v>
      </c>
      <c r="O98">
        <v>43</v>
      </c>
      <c r="P98" t="s">
        <v>62</v>
      </c>
      <c r="Q98" t="s">
        <v>63</v>
      </c>
      <c r="R98" s="1">
        <v>0.1</v>
      </c>
      <c r="S98">
        <f t="shared" si="4"/>
        <v>65.7</v>
      </c>
      <c r="T98">
        <f>IFERROR(VLOOKUP(A98,Table1[[Customer ID]:[Discount Amount]], 6, FALSE),"Not Found")</f>
        <v>73</v>
      </c>
      <c r="U98" t="str">
        <f t="shared" si="5"/>
        <v>Venmo</v>
      </c>
      <c r="V98" s="4" t="str">
        <f t="shared" si="6"/>
        <v>Normal</v>
      </c>
      <c r="W98" s="4" t="str">
        <f t="shared" si="7"/>
        <v>Poor</v>
      </c>
      <c r="X98" s="4">
        <f>AVERAGE(Table1[Purchase Amount])</f>
        <v>129.48419400000012</v>
      </c>
    </row>
    <row r="99" spans="1:24" ht="15" customHeight="1" x14ac:dyDescent="0.25">
      <c r="A99">
        <v>98</v>
      </c>
      <c r="B99">
        <v>21</v>
      </c>
      <c r="C99" t="s">
        <v>27</v>
      </c>
      <c r="D99" t="s">
        <v>72</v>
      </c>
      <c r="E99" t="s">
        <v>98</v>
      </c>
      <c r="F99" s="2">
        <v>92</v>
      </c>
      <c r="G99" t="s">
        <v>138</v>
      </c>
      <c r="H99" t="s">
        <v>31</v>
      </c>
      <c r="I99" t="s">
        <v>147</v>
      </c>
      <c r="J99" t="s">
        <v>22</v>
      </c>
      <c r="K99">
        <v>4.8</v>
      </c>
      <c r="L99" t="s">
        <v>34</v>
      </c>
      <c r="M99" t="s">
        <v>48</v>
      </c>
      <c r="N99" t="s">
        <v>34</v>
      </c>
      <c r="O99">
        <v>37</v>
      </c>
      <c r="P99" t="s">
        <v>25</v>
      </c>
      <c r="Q99" t="s">
        <v>49</v>
      </c>
      <c r="R99" s="1">
        <v>0.1</v>
      </c>
      <c r="S99">
        <f t="shared" si="4"/>
        <v>82.8</v>
      </c>
      <c r="T99">
        <f>IFERROR(VLOOKUP(A99,Table1[[Customer ID]:[Discount Amount]], 6, FALSE),"Not Found")</f>
        <v>92</v>
      </c>
      <c r="U99" t="str">
        <f t="shared" si="5"/>
        <v>Cash</v>
      </c>
      <c r="V99" s="4" t="str">
        <f t="shared" si="6"/>
        <v>Normal</v>
      </c>
      <c r="W99" s="4" t="str">
        <f t="shared" si="7"/>
        <v>Good</v>
      </c>
      <c r="X99" s="4">
        <f>AVERAGE(Table1[Purchase Amount])</f>
        <v>129.48419400000012</v>
      </c>
    </row>
    <row r="100" spans="1:24" ht="15" customHeight="1" x14ac:dyDescent="0.25">
      <c r="A100">
        <v>99</v>
      </c>
      <c r="B100">
        <v>20</v>
      </c>
      <c r="C100" t="s">
        <v>27</v>
      </c>
      <c r="D100" t="s">
        <v>109</v>
      </c>
      <c r="E100" t="s">
        <v>18</v>
      </c>
      <c r="F100" s="2">
        <v>67</v>
      </c>
      <c r="G100" t="s">
        <v>101</v>
      </c>
      <c r="H100" t="s">
        <v>20</v>
      </c>
      <c r="I100" t="s">
        <v>147</v>
      </c>
      <c r="J100" t="s">
        <v>33</v>
      </c>
      <c r="K100">
        <v>2.6</v>
      </c>
      <c r="L100" t="s">
        <v>34</v>
      </c>
      <c r="M100" t="s">
        <v>79</v>
      </c>
      <c r="N100" t="s">
        <v>34</v>
      </c>
      <c r="O100">
        <v>20</v>
      </c>
      <c r="P100" t="s">
        <v>88</v>
      </c>
      <c r="Q100" t="s">
        <v>49</v>
      </c>
      <c r="R100" s="1">
        <v>0.1</v>
      </c>
      <c r="S100">
        <f t="shared" si="4"/>
        <v>60.3</v>
      </c>
      <c r="T100">
        <f>IFERROR(VLOOKUP(A100,Table1[[Customer ID]:[Discount Amount]], 6, FALSE),"Not Found")</f>
        <v>67</v>
      </c>
      <c r="U100" t="str">
        <f t="shared" si="5"/>
        <v>Bank Transfer</v>
      </c>
      <c r="V100" s="4" t="str">
        <f t="shared" si="6"/>
        <v>Normal</v>
      </c>
      <c r="W100" s="4" t="str">
        <f t="shared" si="7"/>
        <v>Poor</v>
      </c>
      <c r="X100" s="4">
        <f>AVERAGE(Table1[Purchase Amount])</f>
        <v>129.48419400000012</v>
      </c>
    </row>
    <row r="101" spans="1:24" ht="15" customHeight="1" x14ac:dyDescent="0.25">
      <c r="A101">
        <v>100</v>
      </c>
      <c r="B101">
        <v>26</v>
      </c>
      <c r="C101" t="s">
        <v>27</v>
      </c>
      <c r="D101" t="s">
        <v>83</v>
      </c>
      <c r="E101" t="s">
        <v>18</v>
      </c>
      <c r="F101" s="2">
        <v>40</v>
      </c>
      <c r="G101" t="s">
        <v>146</v>
      </c>
      <c r="H101" t="s">
        <v>20</v>
      </c>
      <c r="I101" t="s">
        <v>91</v>
      </c>
      <c r="J101" t="s">
        <v>57</v>
      </c>
      <c r="K101">
        <v>3.7</v>
      </c>
      <c r="L101" t="s">
        <v>34</v>
      </c>
      <c r="M101" t="s">
        <v>61</v>
      </c>
      <c r="N101" t="s">
        <v>34</v>
      </c>
      <c r="O101">
        <v>33</v>
      </c>
      <c r="P101" t="s">
        <v>36</v>
      </c>
      <c r="Q101" t="s">
        <v>37</v>
      </c>
      <c r="R101" s="1">
        <v>0.1</v>
      </c>
      <c r="S101">
        <f t="shared" si="4"/>
        <v>36</v>
      </c>
      <c r="T101">
        <f>IFERROR(VLOOKUP(A101,Table1[[Customer ID]:[Discount Amount]], 6, FALSE),"Not Found")</f>
        <v>40</v>
      </c>
      <c r="U101" t="str">
        <f t="shared" si="5"/>
        <v>Debit Card</v>
      </c>
      <c r="V101" s="4" t="str">
        <f t="shared" si="6"/>
        <v>Normal</v>
      </c>
      <c r="W101" s="4" t="str">
        <f t="shared" si="7"/>
        <v>Good</v>
      </c>
      <c r="X101" s="4">
        <f>AVERAGE(Table1[Purchase Amount])</f>
        <v>129.48419400000012</v>
      </c>
    </row>
    <row r="102" spans="1:24" ht="15" customHeight="1" x14ac:dyDescent="0.25">
      <c r="A102">
        <v>101</v>
      </c>
      <c r="B102">
        <v>62</v>
      </c>
      <c r="C102" t="s">
        <v>27</v>
      </c>
      <c r="D102" t="s">
        <v>28</v>
      </c>
      <c r="E102" t="s">
        <v>29</v>
      </c>
      <c r="F102" s="2">
        <v>98</v>
      </c>
      <c r="G102" t="s">
        <v>130</v>
      </c>
      <c r="H102" t="s">
        <v>31</v>
      </c>
      <c r="I102" t="s">
        <v>125</v>
      </c>
      <c r="J102" t="s">
        <v>47</v>
      </c>
      <c r="K102">
        <v>2.7</v>
      </c>
      <c r="L102" t="s">
        <v>34</v>
      </c>
      <c r="M102" t="s">
        <v>61</v>
      </c>
      <c r="N102" t="s">
        <v>34</v>
      </c>
      <c r="O102">
        <v>31</v>
      </c>
      <c r="P102" t="s">
        <v>25</v>
      </c>
      <c r="Q102" t="s">
        <v>89</v>
      </c>
      <c r="R102" s="1">
        <v>0.1</v>
      </c>
      <c r="S102">
        <f t="shared" si="4"/>
        <v>88.2</v>
      </c>
      <c r="T102">
        <f>IFERROR(VLOOKUP(A102,Table1[[Customer ID]:[Discount Amount]], 6, FALSE),"Not Found")</f>
        <v>98</v>
      </c>
      <c r="U102" t="str">
        <f t="shared" si="5"/>
        <v>Cash</v>
      </c>
      <c r="V102" s="4" t="str">
        <f t="shared" si="6"/>
        <v>Normal</v>
      </c>
      <c r="W102" s="4" t="str">
        <f t="shared" si="7"/>
        <v>Poor</v>
      </c>
      <c r="X102" s="4">
        <f>AVERAGE(Table1[Purchase Amount])</f>
        <v>129.48419400000012</v>
      </c>
    </row>
    <row r="103" spans="1:24" ht="15" customHeight="1" x14ac:dyDescent="0.25">
      <c r="A103">
        <v>102</v>
      </c>
      <c r="B103">
        <v>27</v>
      </c>
      <c r="C103" t="s">
        <v>27</v>
      </c>
      <c r="D103" t="s">
        <v>76</v>
      </c>
      <c r="E103" t="s">
        <v>77</v>
      </c>
      <c r="F103" s="2">
        <v>85</v>
      </c>
      <c r="G103" t="s">
        <v>86</v>
      </c>
      <c r="H103" t="s">
        <v>20</v>
      </c>
      <c r="I103" t="s">
        <v>32</v>
      </c>
      <c r="J103" t="s">
        <v>33</v>
      </c>
      <c r="K103">
        <v>4.5999999999999996</v>
      </c>
      <c r="L103" t="s">
        <v>34</v>
      </c>
      <c r="M103" t="s">
        <v>61</v>
      </c>
      <c r="N103" t="s">
        <v>34</v>
      </c>
      <c r="O103">
        <v>50</v>
      </c>
      <c r="P103" t="s">
        <v>53</v>
      </c>
      <c r="Q103" t="s">
        <v>68</v>
      </c>
      <c r="R103" s="1">
        <v>0.1</v>
      </c>
      <c r="S103">
        <f t="shared" si="4"/>
        <v>76.5</v>
      </c>
      <c r="T103">
        <f>IFERROR(VLOOKUP(A103,Table1[[Customer ID]:[Discount Amount]], 6, FALSE),"Not Found")</f>
        <v>85</v>
      </c>
      <c r="U103" t="str">
        <f t="shared" si="5"/>
        <v>Credit Card</v>
      </c>
      <c r="V103" s="4" t="str">
        <f t="shared" si="6"/>
        <v>Normal</v>
      </c>
      <c r="W103" s="4" t="str">
        <f t="shared" si="7"/>
        <v>Good</v>
      </c>
      <c r="X103" s="4">
        <f>AVERAGE(Table1[Purchase Amount])</f>
        <v>129.48419400000012</v>
      </c>
    </row>
    <row r="104" spans="1:24" ht="15" customHeight="1" x14ac:dyDescent="0.25">
      <c r="A104">
        <v>103</v>
      </c>
      <c r="B104">
        <v>51</v>
      </c>
      <c r="C104" t="s">
        <v>27</v>
      </c>
      <c r="D104" t="s">
        <v>105</v>
      </c>
      <c r="E104" t="s">
        <v>18</v>
      </c>
      <c r="F104" s="2">
        <v>67</v>
      </c>
      <c r="G104" t="s">
        <v>142</v>
      </c>
      <c r="H104" t="s">
        <v>45</v>
      </c>
      <c r="I104" t="s">
        <v>111</v>
      </c>
      <c r="J104" t="s">
        <v>22</v>
      </c>
      <c r="K104">
        <v>4.8</v>
      </c>
      <c r="L104" t="s">
        <v>34</v>
      </c>
      <c r="M104" t="s">
        <v>79</v>
      </c>
      <c r="N104" t="s">
        <v>34</v>
      </c>
      <c r="O104">
        <v>35</v>
      </c>
      <c r="P104" t="s">
        <v>53</v>
      </c>
      <c r="Q104" t="s">
        <v>37</v>
      </c>
      <c r="R104" s="1">
        <v>0.1</v>
      </c>
      <c r="S104">
        <f t="shared" si="4"/>
        <v>60.3</v>
      </c>
      <c r="T104">
        <f>IFERROR(VLOOKUP(A104,Table1[[Customer ID]:[Discount Amount]], 6, FALSE),"Not Found")</f>
        <v>67</v>
      </c>
      <c r="U104" t="str">
        <f t="shared" si="5"/>
        <v>Credit Card</v>
      </c>
      <c r="V104" s="4" t="str">
        <f t="shared" si="6"/>
        <v>Normal</v>
      </c>
      <c r="W104" s="4" t="str">
        <f t="shared" si="7"/>
        <v>Good</v>
      </c>
      <c r="X104" s="4">
        <f>AVERAGE(Table1[Purchase Amount])</f>
        <v>129.48419400000012</v>
      </c>
    </row>
    <row r="105" spans="1:24" ht="15" customHeight="1" x14ac:dyDescent="0.25">
      <c r="A105">
        <v>104</v>
      </c>
      <c r="B105">
        <v>54</v>
      </c>
      <c r="C105" t="s">
        <v>27</v>
      </c>
      <c r="D105" t="s">
        <v>151</v>
      </c>
      <c r="E105" t="s">
        <v>98</v>
      </c>
      <c r="F105" s="2">
        <v>89</v>
      </c>
      <c r="G105" t="s">
        <v>154</v>
      </c>
      <c r="H105" t="s">
        <v>45</v>
      </c>
      <c r="I105" t="s">
        <v>46</v>
      </c>
      <c r="J105" t="s">
        <v>22</v>
      </c>
      <c r="K105">
        <v>4</v>
      </c>
      <c r="L105" t="s">
        <v>34</v>
      </c>
      <c r="M105" t="s">
        <v>79</v>
      </c>
      <c r="N105" t="s">
        <v>34</v>
      </c>
      <c r="O105">
        <v>22</v>
      </c>
      <c r="P105" t="s">
        <v>62</v>
      </c>
      <c r="Q105" t="s">
        <v>68</v>
      </c>
      <c r="R105" s="1">
        <v>0.1</v>
      </c>
      <c r="S105">
        <f t="shared" si="4"/>
        <v>80.099999999999994</v>
      </c>
      <c r="T105">
        <f>IFERROR(VLOOKUP(A105,Table1[[Customer ID]:[Discount Amount]], 6, FALSE),"Not Found")</f>
        <v>89</v>
      </c>
      <c r="U105" t="str">
        <f t="shared" si="5"/>
        <v>Venmo</v>
      </c>
      <c r="V105" s="4" t="str">
        <f t="shared" si="6"/>
        <v>Normal</v>
      </c>
      <c r="W105" s="4" t="str">
        <f t="shared" si="7"/>
        <v>Good</v>
      </c>
      <c r="X105" s="4">
        <f>AVERAGE(Table1[Purchase Amount])</f>
        <v>129.48419400000012</v>
      </c>
    </row>
    <row r="106" spans="1:24" ht="15" customHeight="1" x14ac:dyDescent="0.25">
      <c r="A106">
        <v>105</v>
      </c>
      <c r="B106">
        <v>55</v>
      </c>
      <c r="C106" t="s">
        <v>27</v>
      </c>
      <c r="D106" t="s">
        <v>28</v>
      </c>
      <c r="E106" t="s">
        <v>29</v>
      </c>
      <c r="F106" s="2">
        <v>24</v>
      </c>
      <c r="G106" t="s">
        <v>132</v>
      </c>
      <c r="H106" t="s">
        <v>45</v>
      </c>
      <c r="I106" t="s">
        <v>136</v>
      </c>
      <c r="J106" t="s">
        <v>33</v>
      </c>
      <c r="K106">
        <v>4.4000000000000004</v>
      </c>
      <c r="L106" t="s">
        <v>34</v>
      </c>
      <c r="M106" t="s">
        <v>41</v>
      </c>
      <c r="N106" t="s">
        <v>34</v>
      </c>
      <c r="O106">
        <v>1</v>
      </c>
      <c r="P106" t="s">
        <v>58</v>
      </c>
      <c r="Q106" t="s">
        <v>42</v>
      </c>
      <c r="R106" s="1">
        <v>0.1</v>
      </c>
      <c r="S106">
        <f t="shared" si="4"/>
        <v>21.6</v>
      </c>
      <c r="T106">
        <f>IFERROR(VLOOKUP(A106,Table1[[Customer ID]:[Discount Amount]], 6, FALSE),"Not Found")</f>
        <v>24</v>
      </c>
      <c r="U106" t="str">
        <f t="shared" si="5"/>
        <v>PayPal</v>
      </c>
      <c r="V106" s="4" t="str">
        <f t="shared" si="6"/>
        <v>Normal</v>
      </c>
      <c r="W106" s="4" t="str">
        <f t="shared" si="7"/>
        <v>Good</v>
      </c>
      <c r="X106" s="4">
        <f>AVERAGE(Table1[Purchase Amount])</f>
        <v>129.48419400000012</v>
      </c>
    </row>
    <row r="107" spans="1:24" ht="15" customHeight="1" x14ac:dyDescent="0.25">
      <c r="A107">
        <v>106</v>
      </c>
      <c r="B107">
        <v>69</v>
      </c>
      <c r="C107" t="s">
        <v>27</v>
      </c>
      <c r="D107" t="s">
        <v>104</v>
      </c>
      <c r="E107" t="s">
        <v>29</v>
      </c>
      <c r="F107" s="2">
        <v>96</v>
      </c>
      <c r="G107" t="s">
        <v>101</v>
      </c>
      <c r="H107" t="s">
        <v>31</v>
      </c>
      <c r="I107" t="s">
        <v>103</v>
      </c>
      <c r="J107" t="s">
        <v>47</v>
      </c>
      <c r="K107">
        <v>3.6</v>
      </c>
      <c r="L107" t="s">
        <v>34</v>
      </c>
      <c r="M107" t="s">
        <v>79</v>
      </c>
      <c r="N107" t="s">
        <v>34</v>
      </c>
      <c r="O107">
        <v>4</v>
      </c>
      <c r="P107" t="s">
        <v>88</v>
      </c>
      <c r="Q107" t="s">
        <v>49</v>
      </c>
      <c r="R107" s="1">
        <v>0.1</v>
      </c>
      <c r="S107">
        <f t="shared" si="4"/>
        <v>86.4</v>
      </c>
      <c r="T107">
        <f>IFERROR(VLOOKUP(A107,Table1[[Customer ID]:[Discount Amount]], 6, FALSE),"Not Found")</f>
        <v>96</v>
      </c>
      <c r="U107" t="str">
        <f t="shared" si="5"/>
        <v>Bank Transfer</v>
      </c>
      <c r="V107" s="4" t="str">
        <f t="shared" si="6"/>
        <v>Normal</v>
      </c>
      <c r="W107" s="4" t="str">
        <f t="shared" si="7"/>
        <v>Good</v>
      </c>
      <c r="X107" s="4">
        <f>AVERAGE(Table1[Purchase Amount])</f>
        <v>129.48419400000012</v>
      </c>
    </row>
    <row r="108" spans="1:24" ht="15" customHeight="1" x14ac:dyDescent="0.25">
      <c r="A108">
        <v>107</v>
      </c>
      <c r="B108">
        <v>64</v>
      </c>
      <c r="C108" t="s">
        <v>27</v>
      </c>
      <c r="D108" t="s">
        <v>96</v>
      </c>
      <c r="E108" t="s">
        <v>77</v>
      </c>
      <c r="F108" s="2">
        <v>35</v>
      </c>
      <c r="G108" t="s">
        <v>120</v>
      </c>
      <c r="H108" t="s">
        <v>45</v>
      </c>
      <c r="I108" t="s">
        <v>32</v>
      </c>
      <c r="J108" t="s">
        <v>57</v>
      </c>
      <c r="K108">
        <v>3.7</v>
      </c>
      <c r="L108" t="s">
        <v>34</v>
      </c>
      <c r="M108" t="s">
        <v>24</v>
      </c>
      <c r="N108" t="s">
        <v>34</v>
      </c>
      <c r="O108">
        <v>31</v>
      </c>
      <c r="P108" t="s">
        <v>53</v>
      </c>
      <c r="Q108" t="s">
        <v>42</v>
      </c>
      <c r="R108" s="1">
        <v>0.1</v>
      </c>
      <c r="S108">
        <f t="shared" si="4"/>
        <v>31.5</v>
      </c>
      <c r="T108">
        <f>IFERROR(VLOOKUP(A108,Table1[[Customer ID]:[Discount Amount]], 6, FALSE),"Not Found")</f>
        <v>35</v>
      </c>
      <c r="U108" t="str">
        <f t="shared" si="5"/>
        <v>Credit Card</v>
      </c>
      <c r="V108" s="4" t="str">
        <f t="shared" si="6"/>
        <v>Normal</v>
      </c>
      <c r="W108" s="4" t="str">
        <f t="shared" si="7"/>
        <v>Good</v>
      </c>
      <c r="X108" s="4">
        <f>AVERAGE(Table1[Purchase Amount])</f>
        <v>129.48419400000012</v>
      </c>
    </row>
    <row r="109" spans="1:24" ht="15" customHeight="1" x14ac:dyDescent="0.25">
      <c r="A109">
        <v>108</v>
      </c>
      <c r="B109">
        <v>28</v>
      </c>
      <c r="C109" t="s">
        <v>27</v>
      </c>
      <c r="D109" t="s">
        <v>140</v>
      </c>
      <c r="E109" t="s">
        <v>98</v>
      </c>
      <c r="F109" s="2">
        <v>67</v>
      </c>
      <c r="G109" t="s">
        <v>106</v>
      </c>
      <c r="H109" t="s">
        <v>45</v>
      </c>
      <c r="I109" t="s">
        <v>21</v>
      </c>
      <c r="J109" t="s">
        <v>22</v>
      </c>
      <c r="K109">
        <v>3.1</v>
      </c>
      <c r="L109" t="s">
        <v>34</v>
      </c>
      <c r="M109" t="s">
        <v>79</v>
      </c>
      <c r="N109" t="s">
        <v>34</v>
      </c>
      <c r="O109">
        <v>46</v>
      </c>
      <c r="P109" t="s">
        <v>58</v>
      </c>
      <c r="Q109" t="s">
        <v>89</v>
      </c>
      <c r="R109" s="1">
        <v>0.1</v>
      </c>
      <c r="S109">
        <f t="shared" si="4"/>
        <v>60.3</v>
      </c>
      <c r="T109">
        <f>IFERROR(VLOOKUP(A109,Table1[[Customer ID]:[Discount Amount]], 6, FALSE),"Not Found")</f>
        <v>67</v>
      </c>
      <c r="U109" t="str">
        <f t="shared" si="5"/>
        <v>PayPal</v>
      </c>
      <c r="V109" s="4" t="str">
        <f t="shared" si="6"/>
        <v>Normal</v>
      </c>
      <c r="W109" s="4" t="str">
        <f t="shared" si="7"/>
        <v>Good</v>
      </c>
      <c r="X109" s="4">
        <f>AVERAGE(Table1[Purchase Amount])</f>
        <v>129.48419400000012</v>
      </c>
    </row>
    <row r="110" spans="1:24" ht="15" customHeight="1" x14ac:dyDescent="0.25">
      <c r="A110">
        <v>109</v>
      </c>
      <c r="B110">
        <v>70</v>
      </c>
      <c r="C110" t="s">
        <v>27</v>
      </c>
      <c r="D110" t="s">
        <v>105</v>
      </c>
      <c r="E110" t="s">
        <v>18</v>
      </c>
      <c r="F110" s="2">
        <v>79</v>
      </c>
      <c r="G110" t="s">
        <v>39</v>
      </c>
      <c r="H110" t="s">
        <v>45</v>
      </c>
      <c r="I110" t="s">
        <v>66</v>
      </c>
      <c r="J110" t="s">
        <v>33</v>
      </c>
      <c r="K110">
        <v>3.4</v>
      </c>
      <c r="L110" t="s">
        <v>34</v>
      </c>
      <c r="M110" t="s">
        <v>79</v>
      </c>
      <c r="N110" t="s">
        <v>34</v>
      </c>
      <c r="O110">
        <v>32</v>
      </c>
      <c r="P110" t="s">
        <v>88</v>
      </c>
      <c r="Q110" t="s">
        <v>68</v>
      </c>
      <c r="R110" s="1">
        <v>0.1</v>
      </c>
      <c r="S110">
        <f t="shared" si="4"/>
        <v>71.099999999999994</v>
      </c>
      <c r="T110">
        <f>IFERROR(VLOOKUP(A110,Table1[[Customer ID]:[Discount Amount]], 6, FALSE),"Not Found")</f>
        <v>79</v>
      </c>
      <c r="U110" t="str">
        <f t="shared" si="5"/>
        <v>Bank Transfer</v>
      </c>
      <c r="V110" s="4" t="str">
        <f t="shared" si="6"/>
        <v>Normal</v>
      </c>
      <c r="W110" s="4" t="str">
        <f t="shared" si="7"/>
        <v>Good</v>
      </c>
      <c r="X110" s="4">
        <f>AVERAGE(Table1[Purchase Amount])</f>
        <v>129.48419400000012</v>
      </c>
    </row>
    <row r="111" spans="1:24" ht="15" customHeight="1" x14ac:dyDescent="0.25">
      <c r="A111">
        <v>110</v>
      </c>
      <c r="B111">
        <v>58</v>
      </c>
      <c r="C111" t="s">
        <v>27</v>
      </c>
      <c r="D111" t="s">
        <v>17</v>
      </c>
      <c r="E111" t="s">
        <v>18</v>
      </c>
      <c r="F111" s="2">
        <v>85</v>
      </c>
      <c r="G111" t="s">
        <v>51</v>
      </c>
      <c r="H111" t="s">
        <v>31</v>
      </c>
      <c r="I111" t="s">
        <v>111</v>
      </c>
      <c r="J111" t="s">
        <v>33</v>
      </c>
      <c r="K111">
        <v>2.6</v>
      </c>
      <c r="L111" t="s">
        <v>34</v>
      </c>
      <c r="M111" t="s">
        <v>79</v>
      </c>
      <c r="N111" t="s">
        <v>34</v>
      </c>
      <c r="O111">
        <v>43</v>
      </c>
      <c r="P111" t="s">
        <v>88</v>
      </c>
      <c r="Q111" t="s">
        <v>89</v>
      </c>
      <c r="R111" s="1">
        <v>0.1</v>
      </c>
      <c r="S111">
        <f t="shared" si="4"/>
        <v>76.5</v>
      </c>
      <c r="T111">
        <f>IFERROR(VLOOKUP(A111,Table1[[Customer ID]:[Discount Amount]], 6, FALSE),"Not Found")</f>
        <v>85</v>
      </c>
      <c r="U111" t="str">
        <f t="shared" si="5"/>
        <v>Bank Transfer</v>
      </c>
      <c r="V111" s="4" t="str">
        <f t="shared" si="6"/>
        <v>Normal</v>
      </c>
      <c r="W111" s="4" t="str">
        <f t="shared" si="7"/>
        <v>Poor</v>
      </c>
      <c r="X111" s="4">
        <f>AVERAGE(Table1[Purchase Amount])</f>
        <v>129.48419400000012</v>
      </c>
    </row>
    <row r="112" spans="1:24" ht="15" customHeight="1" x14ac:dyDescent="0.25">
      <c r="A112">
        <v>111</v>
      </c>
      <c r="B112">
        <v>56</v>
      </c>
      <c r="C112" t="s">
        <v>27</v>
      </c>
      <c r="D112" t="s">
        <v>104</v>
      </c>
      <c r="E112" t="s">
        <v>29</v>
      </c>
      <c r="F112" s="2">
        <v>26</v>
      </c>
      <c r="G112" t="s">
        <v>101</v>
      </c>
      <c r="H112" t="s">
        <v>31</v>
      </c>
      <c r="I112" t="s">
        <v>40</v>
      </c>
      <c r="J112" t="s">
        <v>57</v>
      </c>
      <c r="K112">
        <v>4</v>
      </c>
      <c r="L112" t="s">
        <v>34</v>
      </c>
      <c r="M112" t="s">
        <v>24</v>
      </c>
      <c r="N112" t="s">
        <v>34</v>
      </c>
      <c r="O112">
        <v>26</v>
      </c>
      <c r="P112" t="s">
        <v>62</v>
      </c>
      <c r="Q112" t="s">
        <v>89</v>
      </c>
      <c r="R112" s="1">
        <v>0.1</v>
      </c>
      <c r="S112">
        <f t="shared" si="4"/>
        <v>23.4</v>
      </c>
      <c r="T112">
        <f>IFERROR(VLOOKUP(A112,Table1[[Customer ID]:[Discount Amount]], 6, FALSE),"Not Found")</f>
        <v>26</v>
      </c>
      <c r="U112" t="str">
        <f t="shared" si="5"/>
        <v>Venmo</v>
      </c>
      <c r="V112" s="4" t="str">
        <f t="shared" si="6"/>
        <v>Normal</v>
      </c>
      <c r="W112" s="4" t="str">
        <f t="shared" si="7"/>
        <v>Good</v>
      </c>
      <c r="X112" s="4">
        <f>AVERAGE(Table1[Purchase Amount])</f>
        <v>129.48419400000012</v>
      </c>
    </row>
    <row r="113" spans="1:24" ht="15" customHeight="1" x14ac:dyDescent="0.25">
      <c r="A113">
        <v>112</v>
      </c>
      <c r="B113">
        <v>26</v>
      </c>
      <c r="C113" t="s">
        <v>27</v>
      </c>
      <c r="D113" t="s">
        <v>114</v>
      </c>
      <c r="E113" t="s">
        <v>29</v>
      </c>
      <c r="F113" s="2">
        <v>75</v>
      </c>
      <c r="G113" t="s">
        <v>97</v>
      </c>
      <c r="H113" t="s">
        <v>45</v>
      </c>
      <c r="I113" t="s">
        <v>66</v>
      </c>
      <c r="J113" t="s">
        <v>57</v>
      </c>
      <c r="K113">
        <v>5</v>
      </c>
      <c r="L113" t="s">
        <v>34</v>
      </c>
      <c r="M113" t="s">
        <v>35</v>
      </c>
      <c r="N113" t="s">
        <v>34</v>
      </c>
      <c r="O113">
        <v>9</v>
      </c>
      <c r="P113" t="s">
        <v>53</v>
      </c>
      <c r="Q113" t="s">
        <v>49</v>
      </c>
      <c r="R113" s="1">
        <v>0.1</v>
      </c>
      <c r="S113">
        <f t="shared" si="4"/>
        <v>67.5</v>
      </c>
      <c r="T113">
        <f>IFERROR(VLOOKUP(A113,Table1[[Customer ID]:[Discount Amount]], 6, FALSE),"Not Found")</f>
        <v>75</v>
      </c>
      <c r="U113" t="str">
        <f t="shared" si="5"/>
        <v>Credit Card</v>
      </c>
      <c r="V113" s="4" t="str">
        <f t="shared" si="6"/>
        <v>Normal</v>
      </c>
      <c r="W113" s="4" t="str">
        <f t="shared" si="7"/>
        <v>Good</v>
      </c>
      <c r="X113" s="4">
        <f>AVERAGE(Table1[Purchase Amount])</f>
        <v>129.48419400000012</v>
      </c>
    </row>
    <row r="114" spans="1:24" ht="15" customHeight="1" x14ac:dyDescent="0.25">
      <c r="A114">
        <v>113</v>
      </c>
      <c r="B114">
        <v>37</v>
      </c>
      <c r="C114" t="s">
        <v>27</v>
      </c>
      <c r="D114" t="s">
        <v>43</v>
      </c>
      <c r="E114" t="s">
        <v>29</v>
      </c>
      <c r="F114" s="2">
        <v>65</v>
      </c>
      <c r="G114" t="s">
        <v>67</v>
      </c>
      <c r="H114" t="s">
        <v>31</v>
      </c>
      <c r="I114" t="s">
        <v>46</v>
      </c>
      <c r="J114" t="s">
        <v>33</v>
      </c>
      <c r="K114">
        <v>4.3</v>
      </c>
      <c r="L114" t="s">
        <v>34</v>
      </c>
      <c r="M114" t="s">
        <v>35</v>
      </c>
      <c r="N114" t="s">
        <v>34</v>
      </c>
      <c r="O114">
        <v>28</v>
      </c>
      <c r="P114" t="s">
        <v>58</v>
      </c>
      <c r="Q114" t="s">
        <v>68</v>
      </c>
      <c r="R114" s="1">
        <v>0.1</v>
      </c>
      <c r="S114">
        <f t="shared" si="4"/>
        <v>58.5</v>
      </c>
      <c r="T114">
        <f>IFERROR(VLOOKUP(A114,Table1[[Customer ID]:[Discount Amount]], 6, FALSE),"Not Found")</f>
        <v>65</v>
      </c>
      <c r="U114" t="str">
        <f t="shared" si="5"/>
        <v>PayPal</v>
      </c>
      <c r="V114" s="4" t="str">
        <f t="shared" si="6"/>
        <v>Normal</v>
      </c>
      <c r="W114" s="4" t="str">
        <f t="shared" si="7"/>
        <v>Good</v>
      </c>
      <c r="X114" s="4">
        <f>AVERAGE(Table1[Purchase Amount])</f>
        <v>129.48419400000012</v>
      </c>
    </row>
    <row r="115" spans="1:24" ht="15" customHeight="1" x14ac:dyDescent="0.25">
      <c r="A115">
        <v>114</v>
      </c>
      <c r="B115">
        <v>44</v>
      </c>
      <c r="C115" t="s">
        <v>27</v>
      </c>
      <c r="D115" t="s">
        <v>64</v>
      </c>
      <c r="E115" t="s">
        <v>29</v>
      </c>
      <c r="F115" s="2">
        <v>54</v>
      </c>
      <c r="G115" t="s">
        <v>131</v>
      </c>
      <c r="H115" t="s">
        <v>45</v>
      </c>
      <c r="I115" t="s">
        <v>125</v>
      </c>
      <c r="J115" t="s">
        <v>22</v>
      </c>
      <c r="K115">
        <v>3.1</v>
      </c>
      <c r="L115" t="s">
        <v>34</v>
      </c>
      <c r="M115" t="s">
        <v>79</v>
      </c>
      <c r="N115" t="s">
        <v>34</v>
      </c>
      <c r="O115">
        <v>20</v>
      </c>
      <c r="P115" t="s">
        <v>58</v>
      </c>
      <c r="Q115" t="s">
        <v>37</v>
      </c>
      <c r="R115" s="1">
        <v>0.1</v>
      </c>
      <c r="S115">
        <f t="shared" si="4"/>
        <v>48.6</v>
      </c>
      <c r="T115">
        <f>IFERROR(VLOOKUP(A115,Table1[[Customer ID]:[Discount Amount]], 6, FALSE),"Not Found")</f>
        <v>54</v>
      </c>
      <c r="U115" t="str">
        <f t="shared" si="5"/>
        <v>PayPal</v>
      </c>
      <c r="V115" s="4" t="str">
        <f t="shared" si="6"/>
        <v>Normal</v>
      </c>
      <c r="W115" s="4" t="str">
        <f t="shared" si="7"/>
        <v>Good</v>
      </c>
      <c r="X115" s="4">
        <f>AVERAGE(Table1[Purchase Amount])</f>
        <v>129.48419400000012</v>
      </c>
    </row>
    <row r="116" spans="1:24" ht="15" customHeight="1" x14ac:dyDescent="0.25">
      <c r="A116">
        <v>115</v>
      </c>
      <c r="B116">
        <v>70</v>
      </c>
      <c r="C116" t="s">
        <v>27</v>
      </c>
      <c r="D116" t="s">
        <v>76</v>
      </c>
      <c r="E116" t="s">
        <v>77</v>
      </c>
      <c r="F116" s="2">
        <v>95</v>
      </c>
      <c r="G116" t="s">
        <v>97</v>
      </c>
      <c r="H116" t="s">
        <v>55</v>
      </c>
      <c r="I116" t="s">
        <v>74</v>
      </c>
      <c r="J116" t="s">
        <v>57</v>
      </c>
      <c r="K116">
        <v>3.7</v>
      </c>
      <c r="L116" t="s">
        <v>34</v>
      </c>
      <c r="M116" t="s">
        <v>48</v>
      </c>
      <c r="N116" t="s">
        <v>34</v>
      </c>
      <c r="O116">
        <v>9</v>
      </c>
      <c r="P116" t="s">
        <v>25</v>
      </c>
      <c r="Q116" t="s">
        <v>26</v>
      </c>
      <c r="R116" s="1">
        <v>0.1</v>
      </c>
      <c r="S116">
        <f t="shared" si="4"/>
        <v>85.5</v>
      </c>
      <c r="T116">
        <f>IFERROR(VLOOKUP(A116,Table1[[Customer ID]:[Discount Amount]], 6, FALSE),"Not Found")</f>
        <v>95</v>
      </c>
      <c r="U116" t="str">
        <f t="shared" si="5"/>
        <v>Cash</v>
      </c>
      <c r="V116" s="4" t="str">
        <f t="shared" si="6"/>
        <v>Normal</v>
      </c>
      <c r="W116" s="4" t="str">
        <f t="shared" si="7"/>
        <v>Good</v>
      </c>
      <c r="X116" s="4">
        <f>AVERAGE(Table1[Purchase Amount])</f>
        <v>129.48419400000012</v>
      </c>
    </row>
    <row r="117" spans="1:24" ht="15" customHeight="1" x14ac:dyDescent="0.25">
      <c r="A117">
        <v>116</v>
      </c>
      <c r="B117">
        <v>53</v>
      </c>
      <c r="C117" t="s">
        <v>27</v>
      </c>
      <c r="D117" t="s">
        <v>122</v>
      </c>
      <c r="E117" t="s">
        <v>18</v>
      </c>
      <c r="F117" s="2">
        <v>94</v>
      </c>
      <c r="G117" t="s">
        <v>162</v>
      </c>
      <c r="H117" t="s">
        <v>31</v>
      </c>
      <c r="I117" t="s">
        <v>85</v>
      </c>
      <c r="J117" t="s">
        <v>33</v>
      </c>
      <c r="K117">
        <v>3.8</v>
      </c>
      <c r="L117" t="s">
        <v>34</v>
      </c>
      <c r="M117" t="s">
        <v>24</v>
      </c>
      <c r="N117" t="s">
        <v>34</v>
      </c>
      <c r="O117">
        <v>48</v>
      </c>
      <c r="P117" t="s">
        <v>36</v>
      </c>
      <c r="Q117" t="s">
        <v>63</v>
      </c>
      <c r="R117" s="1">
        <v>0.1</v>
      </c>
      <c r="S117">
        <f t="shared" si="4"/>
        <v>84.6</v>
      </c>
      <c r="T117">
        <f>IFERROR(VLOOKUP(A117,Table1[[Customer ID]:[Discount Amount]], 6, FALSE),"Not Found")</f>
        <v>94</v>
      </c>
      <c r="U117" t="str">
        <f t="shared" si="5"/>
        <v>Debit Card</v>
      </c>
      <c r="V117" s="4" t="str">
        <f t="shared" si="6"/>
        <v>Normal</v>
      </c>
      <c r="W117" s="4" t="str">
        <f t="shared" si="7"/>
        <v>Good</v>
      </c>
      <c r="X117" s="4">
        <f>AVERAGE(Table1[Purchase Amount])</f>
        <v>129.48419400000012</v>
      </c>
    </row>
    <row r="118" spans="1:24" ht="15" customHeight="1" x14ac:dyDescent="0.25">
      <c r="A118">
        <v>117</v>
      </c>
      <c r="B118">
        <v>55</v>
      </c>
      <c r="C118" t="s">
        <v>27</v>
      </c>
      <c r="D118" t="s">
        <v>72</v>
      </c>
      <c r="E118" t="s">
        <v>98</v>
      </c>
      <c r="F118" s="2">
        <v>86</v>
      </c>
      <c r="G118" t="s">
        <v>138</v>
      </c>
      <c r="H118" t="s">
        <v>55</v>
      </c>
      <c r="I118" t="s">
        <v>74</v>
      </c>
      <c r="J118" t="s">
        <v>33</v>
      </c>
      <c r="K118">
        <v>3.4</v>
      </c>
      <c r="L118" t="s">
        <v>34</v>
      </c>
      <c r="M118" t="s">
        <v>35</v>
      </c>
      <c r="N118" t="s">
        <v>34</v>
      </c>
      <c r="O118">
        <v>12</v>
      </c>
      <c r="P118" t="s">
        <v>62</v>
      </c>
      <c r="Q118" t="s">
        <v>49</v>
      </c>
      <c r="R118" s="1">
        <v>0.1</v>
      </c>
      <c r="S118">
        <f t="shared" si="4"/>
        <v>77.400000000000006</v>
      </c>
      <c r="T118">
        <f>IFERROR(VLOOKUP(A118,Table1[[Customer ID]:[Discount Amount]], 6, FALSE),"Not Found")</f>
        <v>86</v>
      </c>
      <c r="U118" t="str">
        <f t="shared" si="5"/>
        <v>Venmo</v>
      </c>
      <c r="V118" s="4" t="str">
        <f t="shared" si="6"/>
        <v>Normal</v>
      </c>
      <c r="W118" s="4" t="str">
        <f t="shared" si="7"/>
        <v>Good</v>
      </c>
      <c r="X118" s="4">
        <f>AVERAGE(Table1[Purchase Amount])</f>
        <v>129.48419400000012</v>
      </c>
    </row>
    <row r="119" spans="1:24" ht="15" customHeight="1" x14ac:dyDescent="0.25">
      <c r="A119">
        <v>118</v>
      </c>
      <c r="B119">
        <v>50</v>
      </c>
      <c r="C119" t="s">
        <v>27</v>
      </c>
      <c r="D119" t="s">
        <v>121</v>
      </c>
      <c r="E119" t="s">
        <v>98</v>
      </c>
      <c r="F119" s="2">
        <v>32</v>
      </c>
      <c r="G119" t="s">
        <v>130</v>
      </c>
      <c r="H119" t="s">
        <v>45</v>
      </c>
      <c r="I119" t="s">
        <v>52</v>
      </c>
      <c r="J119" t="s">
        <v>57</v>
      </c>
      <c r="K119">
        <v>4.5999999999999996</v>
      </c>
      <c r="L119" t="s">
        <v>34</v>
      </c>
      <c r="M119" t="s">
        <v>61</v>
      </c>
      <c r="N119" t="s">
        <v>34</v>
      </c>
      <c r="O119">
        <v>29</v>
      </c>
      <c r="P119" t="s">
        <v>25</v>
      </c>
      <c r="Q119" t="s">
        <v>89</v>
      </c>
      <c r="R119" s="1">
        <v>0.1</v>
      </c>
      <c r="S119">
        <f t="shared" si="4"/>
        <v>28.8</v>
      </c>
      <c r="T119">
        <f>IFERROR(VLOOKUP(A119,Table1[[Customer ID]:[Discount Amount]], 6, FALSE),"Not Found")</f>
        <v>32</v>
      </c>
      <c r="U119" t="str">
        <f t="shared" si="5"/>
        <v>Cash</v>
      </c>
      <c r="V119" s="4" t="str">
        <f t="shared" si="6"/>
        <v>Normal</v>
      </c>
      <c r="W119" s="4" t="str">
        <f t="shared" si="7"/>
        <v>Good</v>
      </c>
      <c r="X119" s="4">
        <f>AVERAGE(Table1[Purchase Amount])</f>
        <v>129.48419400000012</v>
      </c>
    </row>
    <row r="120" spans="1:24" ht="15" customHeight="1" x14ac:dyDescent="0.25">
      <c r="A120">
        <v>119</v>
      </c>
      <c r="B120">
        <v>50</v>
      </c>
      <c r="C120" t="s">
        <v>27</v>
      </c>
      <c r="D120" t="s">
        <v>127</v>
      </c>
      <c r="E120" t="s">
        <v>18</v>
      </c>
      <c r="F120" s="2">
        <v>45</v>
      </c>
      <c r="G120" t="s">
        <v>70</v>
      </c>
      <c r="H120" t="s">
        <v>45</v>
      </c>
      <c r="I120" t="s">
        <v>108</v>
      </c>
      <c r="J120" t="s">
        <v>47</v>
      </c>
      <c r="K120">
        <v>4.8</v>
      </c>
      <c r="L120" t="s">
        <v>34</v>
      </c>
      <c r="M120" t="s">
        <v>41</v>
      </c>
      <c r="N120" t="s">
        <v>34</v>
      </c>
      <c r="O120">
        <v>27</v>
      </c>
      <c r="P120" t="s">
        <v>25</v>
      </c>
      <c r="Q120" t="s">
        <v>68</v>
      </c>
      <c r="R120" s="1">
        <v>0.1</v>
      </c>
      <c r="S120">
        <f t="shared" si="4"/>
        <v>40.5</v>
      </c>
      <c r="T120">
        <f>IFERROR(VLOOKUP(A120,Table1[[Customer ID]:[Discount Amount]], 6, FALSE),"Not Found")</f>
        <v>45</v>
      </c>
      <c r="U120" t="str">
        <f t="shared" si="5"/>
        <v>Cash</v>
      </c>
      <c r="V120" s="4" t="str">
        <f t="shared" si="6"/>
        <v>Normal</v>
      </c>
      <c r="W120" s="4" t="str">
        <f t="shared" si="7"/>
        <v>Good</v>
      </c>
      <c r="X120" s="4">
        <f>AVERAGE(Table1[Purchase Amount])</f>
        <v>129.48419400000012</v>
      </c>
    </row>
    <row r="121" spans="1:24" ht="15" customHeight="1" x14ac:dyDescent="0.25">
      <c r="A121">
        <v>120</v>
      </c>
      <c r="B121">
        <v>38</v>
      </c>
      <c r="C121" t="s">
        <v>27</v>
      </c>
      <c r="D121" t="s">
        <v>76</v>
      </c>
      <c r="E121" t="s">
        <v>77</v>
      </c>
      <c r="F121" s="2">
        <v>76</v>
      </c>
      <c r="G121" t="s">
        <v>162</v>
      </c>
      <c r="H121" t="s">
        <v>31</v>
      </c>
      <c r="I121" t="s">
        <v>108</v>
      </c>
      <c r="J121" t="s">
        <v>47</v>
      </c>
      <c r="K121">
        <v>4.3</v>
      </c>
      <c r="L121" t="s">
        <v>34</v>
      </c>
      <c r="M121" t="s">
        <v>61</v>
      </c>
      <c r="N121" t="s">
        <v>34</v>
      </c>
      <c r="O121">
        <v>44</v>
      </c>
      <c r="P121" t="s">
        <v>25</v>
      </c>
      <c r="Q121" t="s">
        <v>49</v>
      </c>
      <c r="R121" s="1">
        <v>0.1</v>
      </c>
      <c r="S121">
        <f t="shared" si="4"/>
        <v>68.400000000000006</v>
      </c>
      <c r="T121">
        <f>IFERROR(VLOOKUP(A121,Table1[[Customer ID]:[Discount Amount]], 6, FALSE),"Not Found")</f>
        <v>76</v>
      </c>
      <c r="U121" t="str">
        <f t="shared" si="5"/>
        <v>Cash</v>
      </c>
      <c r="V121" s="4" t="str">
        <f t="shared" si="6"/>
        <v>Normal</v>
      </c>
      <c r="W121" s="4" t="str">
        <f t="shared" si="7"/>
        <v>Good</v>
      </c>
      <c r="X121" s="4">
        <f>AVERAGE(Table1[Purchase Amount])</f>
        <v>129.48419400000012</v>
      </c>
    </row>
    <row r="122" spans="1:24" ht="15" customHeight="1" x14ac:dyDescent="0.25">
      <c r="A122">
        <v>121</v>
      </c>
      <c r="B122">
        <v>64</v>
      </c>
      <c r="C122" t="s">
        <v>27</v>
      </c>
      <c r="D122" t="s">
        <v>64</v>
      </c>
      <c r="E122" t="s">
        <v>29</v>
      </c>
      <c r="F122" s="2">
        <v>84</v>
      </c>
      <c r="G122" t="s">
        <v>154</v>
      </c>
      <c r="H122" t="s">
        <v>45</v>
      </c>
      <c r="I122" t="s">
        <v>46</v>
      </c>
      <c r="J122" t="s">
        <v>57</v>
      </c>
      <c r="K122">
        <v>4</v>
      </c>
      <c r="L122" t="s">
        <v>34</v>
      </c>
      <c r="M122" t="s">
        <v>61</v>
      </c>
      <c r="N122" t="s">
        <v>34</v>
      </c>
      <c r="O122">
        <v>32</v>
      </c>
      <c r="P122" t="s">
        <v>88</v>
      </c>
      <c r="Q122" t="s">
        <v>49</v>
      </c>
      <c r="R122" s="1">
        <v>0.1</v>
      </c>
      <c r="S122">
        <f t="shared" si="4"/>
        <v>75.599999999999994</v>
      </c>
      <c r="T122">
        <f>IFERROR(VLOOKUP(A122,Table1[[Customer ID]:[Discount Amount]], 6, FALSE),"Not Found")</f>
        <v>84</v>
      </c>
      <c r="U122" t="str">
        <f t="shared" si="5"/>
        <v>Bank Transfer</v>
      </c>
      <c r="V122" s="4" t="str">
        <f t="shared" si="6"/>
        <v>Normal</v>
      </c>
      <c r="W122" s="4" t="str">
        <f t="shared" si="7"/>
        <v>Good</v>
      </c>
      <c r="X122" s="4">
        <f>AVERAGE(Table1[Purchase Amount])</f>
        <v>129.48419400000012</v>
      </c>
    </row>
    <row r="123" spans="1:24" ht="15" customHeight="1" x14ac:dyDescent="0.25">
      <c r="A123">
        <v>122</v>
      </c>
      <c r="B123">
        <v>19</v>
      </c>
      <c r="C123" t="s">
        <v>27</v>
      </c>
      <c r="D123" t="s">
        <v>54</v>
      </c>
      <c r="E123" t="s">
        <v>18</v>
      </c>
      <c r="F123" s="2">
        <v>72</v>
      </c>
      <c r="G123" t="s">
        <v>138</v>
      </c>
      <c r="H123" t="s">
        <v>31</v>
      </c>
      <c r="I123" t="s">
        <v>21</v>
      </c>
      <c r="J123" t="s">
        <v>22</v>
      </c>
      <c r="K123">
        <v>4.2</v>
      </c>
      <c r="L123" t="s">
        <v>34</v>
      </c>
      <c r="M123" t="s">
        <v>24</v>
      </c>
      <c r="N123" t="s">
        <v>34</v>
      </c>
      <c r="O123">
        <v>11</v>
      </c>
      <c r="P123" t="s">
        <v>25</v>
      </c>
      <c r="Q123" t="s">
        <v>89</v>
      </c>
      <c r="R123" s="1">
        <v>0.1</v>
      </c>
      <c r="S123">
        <f t="shared" si="4"/>
        <v>64.8</v>
      </c>
      <c r="T123">
        <f>IFERROR(VLOOKUP(A123,Table1[[Customer ID]:[Discount Amount]], 6, FALSE),"Not Found")</f>
        <v>72</v>
      </c>
      <c r="U123" t="str">
        <f t="shared" si="5"/>
        <v>Cash</v>
      </c>
      <c r="V123" s="4" t="str">
        <f t="shared" si="6"/>
        <v>Normal</v>
      </c>
      <c r="W123" s="4" t="str">
        <f t="shared" si="7"/>
        <v>Good</v>
      </c>
      <c r="X123" s="4">
        <f>AVERAGE(Table1[Purchase Amount])</f>
        <v>129.48419400000012</v>
      </c>
    </row>
    <row r="124" spans="1:24" ht="15" customHeight="1" x14ac:dyDescent="0.25">
      <c r="A124">
        <v>123</v>
      </c>
      <c r="B124">
        <v>40</v>
      </c>
      <c r="C124" t="s">
        <v>27</v>
      </c>
      <c r="D124" t="s">
        <v>104</v>
      </c>
      <c r="E124" t="s">
        <v>29</v>
      </c>
      <c r="F124" s="2">
        <v>40</v>
      </c>
      <c r="G124" t="s">
        <v>155</v>
      </c>
      <c r="H124" t="s">
        <v>45</v>
      </c>
      <c r="I124" t="s">
        <v>60</v>
      </c>
      <c r="J124" t="s">
        <v>33</v>
      </c>
      <c r="K124">
        <v>4.8</v>
      </c>
      <c r="L124" t="s">
        <v>34</v>
      </c>
      <c r="M124" t="s">
        <v>41</v>
      </c>
      <c r="N124" t="s">
        <v>34</v>
      </c>
      <c r="O124">
        <v>44</v>
      </c>
      <c r="P124" t="s">
        <v>25</v>
      </c>
      <c r="Q124" t="s">
        <v>89</v>
      </c>
      <c r="R124" s="1">
        <v>0.1</v>
      </c>
      <c r="S124">
        <f t="shared" si="4"/>
        <v>36</v>
      </c>
      <c r="T124">
        <f>IFERROR(VLOOKUP(A124,Table1[[Customer ID]:[Discount Amount]], 6, FALSE),"Not Found")</f>
        <v>40</v>
      </c>
      <c r="U124" t="str">
        <f t="shared" si="5"/>
        <v>Cash</v>
      </c>
      <c r="V124" s="4" t="str">
        <f t="shared" si="6"/>
        <v>Normal</v>
      </c>
      <c r="W124" s="4" t="str">
        <f t="shared" si="7"/>
        <v>Good</v>
      </c>
      <c r="X124" s="4">
        <f>AVERAGE(Table1[Purchase Amount])</f>
        <v>129.48419400000012</v>
      </c>
    </row>
    <row r="125" spans="1:24" ht="15" customHeight="1" x14ac:dyDescent="0.25">
      <c r="A125">
        <v>124</v>
      </c>
      <c r="B125">
        <v>57</v>
      </c>
      <c r="C125" t="s">
        <v>27</v>
      </c>
      <c r="D125" t="s">
        <v>127</v>
      </c>
      <c r="E125" t="s">
        <v>18</v>
      </c>
      <c r="F125" s="2">
        <v>89</v>
      </c>
      <c r="G125" t="s">
        <v>119</v>
      </c>
      <c r="H125" t="s">
        <v>45</v>
      </c>
      <c r="I125" t="s">
        <v>60</v>
      </c>
      <c r="J125" t="s">
        <v>47</v>
      </c>
      <c r="K125">
        <v>3.1</v>
      </c>
      <c r="L125" t="s">
        <v>34</v>
      </c>
      <c r="M125" t="s">
        <v>35</v>
      </c>
      <c r="N125" t="s">
        <v>34</v>
      </c>
      <c r="O125">
        <v>46</v>
      </c>
      <c r="P125" t="s">
        <v>25</v>
      </c>
      <c r="Q125" t="s">
        <v>26</v>
      </c>
      <c r="R125" s="1">
        <v>0.1</v>
      </c>
      <c r="S125">
        <f t="shared" si="4"/>
        <v>80.099999999999994</v>
      </c>
      <c r="T125">
        <f>IFERROR(VLOOKUP(A125,Table1[[Customer ID]:[Discount Amount]], 6, FALSE),"Not Found")</f>
        <v>89</v>
      </c>
      <c r="U125" t="str">
        <f t="shared" si="5"/>
        <v>Cash</v>
      </c>
      <c r="V125" s="4" t="str">
        <f t="shared" si="6"/>
        <v>Normal</v>
      </c>
      <c r="W125" s="4" t="str">
        <f t="shared" si="7"/>
        <v>Good</v>
      </c>
      <c r="X125" s="4">
        <f>AVERAGE(Table1[Purchase Amount])</f>
        <v>129.48419400000012</v>
      </c>
    </row>
    <row r="126" spans="1:24" ht="15" customHeight="1" x14ac:dyDescent="0.25">
      <c r="A126">
        <v>125</v>
      </c>
      <c r="B126">
        <v>44</v>
      </c>
      <c r="C126" t="s">
        <v>27</v>
      </c>
      <c r="D126" t="s">
        <v>127</v>
      </c>
      <c r="E126" t="s">
        <v>18</v>
      </c>
      <c r="F126" s="2">
        <v>86</v>
      </c>
      <c r="G126" t="s">
        <v>158</v>
      </c>
      <c r="H126" t="s">
        <v>31</v>
      </c>
      <c r="I126" t="s">
        <v>85</v>
      </c>
      <c r="J126" t="s">
        <v>33</v>
      </c>
      <c r="K126">
        <v>3.1</v>
      </c>
      <c r="L126" t="s">
        <v>34</v>
      </c>
      <c r="M126" t="s">
        <v>79</v>
      </c>
      <c r="N126" t="s">
        <v>34</v>
      </c>
      <c r="O126">
        <v>50</v>
      </c>
      <c r="P126" t="s">
        <v>58</v>
      </c>
      <c r="Q126" t="s">
        <v>49</v>
      </c>
      <c r="R126" s="1">
        <v>0.1</v>
      </c>
      <c r="S126">
        <f t="shared" si="4"/>
        <v>77.400000000000006</v>
      </c>
      <c r="T126">
        <f>IFERROR(VLOOKUP(A126,Table1[[Customer ID]:[Discount Amount]], 6, FALSE),"Not Found")</f>
        <v>86</v>
      </c>
      <c r="U126" t="str">
        <f t="shared" si="5"/>
        <v>PayPal</v>
      </c>
      <c r="V126" s="4" t="str">
        <f t="shared" si="6"/>
        <v>Normal</v>
      </c>
      <c r="W126" s="4" t="str">
        <f t="shared" si="7"/>
        <v>Good</v>
      </c>
      <c r="X126" s="4">
        <f>AVERAGE(Table1[Purchase Amount])</f>
        <v>129.48419400000012</v>
      </c>
    </row>
    <row r="127" spans="1:24" ht="15" customHeight="1" x14ac:dyDescent="0.25">
      <c r="A127">
        <v>126</v>
      </c>
      <c r="B127">
        <v>49</v>
      </c>
      <c r="C127" t="s">
        <v>27</v>
      </c>
      <c r="D127" t="s">
        <v>54</v>
      </c>
      <c r="E127" t="s">
        <v>18</v>
      </c>
      <c r="F127" s="2">
        <v>54</v>
      </c>
      <c r="G127" t="s">
        <v>19</v>
      </c>
      <c r="H127" t="s">
        <v>31</v>
      </c>
      <c r="I127" t="s">
        <v>91</v>
      </c>
      <c r="J127" t="s">
        <v>22</v>
      </c>
      <c r="K127">
        <v>3.6</v>
      </c>
      <c r="L127" t="s">
        <v>34</v>
      </c>
      <c r="M127" t="s">
        <v>79</v>
      </c>
      <c r="N127" t="s">
        <v>34</v>
      </c>
      <c r="O127">
        <v>45</v>
      </c>
      <c r="P127" t="s">
        <v>62</v>
      </c>
      <c r="Q127" t="s">
        <v>63</v>
      </c>
      <c r="R127" s="1">
        <v>0.1</v>
      </c>
      <c r="S127">
        <f t="shared" si="4"/>
        <v>48.6</v>
      </c>
      <c r="T127">
        <f>IFERROR(VLOOKUP(A127,Table1[[Customer ID]:[Discount Amount]], 6, FALSE),"Not Found")</f>
        <v>54</v>
      </c>
      <c r="U127" t="str">
        <f t="shared" si="5"/>
        <v>Venmo</v>
      </c>
      <c r="V127" s="4" t="str">
        <f t="shared" si="6"/>
        <v>Normal</v>
      </c>
      <c r="W127" s="4" t="str">
        <f t="shared" si="7"/>
        <v>Good</v>
      </c>
      <c r="X127" s="4">
        <f>AVERAGE(Table1[Purchase Amount])</f>
        <v>129.48419400000012</v>
      </c>
    </row>
    <row r="128" spans="1:24" ht="15" customHeight="1" x14ac:dyDescent="0.25">
      <c r="A128">
        <v>127</v>
      </c>
      <c r="B128">
        <v>43</v>
      </c>
      <c r="C128" t="s">
        <v>27</v>
      </c>
      <c r="D128" t="s">
        <v>54</v>
      </c>
      <c r="E128" t="s">
        <v>18</v>
      </c>
      <c r="F128" s="2">
        <v>36</v>
      </c>
      <c r="G128" t="s">
        <v>149</v>
      </c>
      <c r="H128" t="s">
        <v>45</v>
      </c>
      <c r="I128" t="s">
        <v>136</v>
      </c>
      <c r="J128" t="s">
        <v>33</v>
      </c>
      <c r="K128">
        <v>3.9</v>
      </c>
      <c r="L128" t="s">
        <v>34</v>
      </c>
      <c r="M128" t="s">
        <v>48</v>
      </c>
      <c r="N128" t="s">
        <v>34</v>
      </c>
      <c r="O128">
        <v>48</v>
      </c>
      <c r="P128" t="s">
        <v>25</v>
      </c>
      <c r="Q128" t="s">
        <v>63</v>
      </c>
      <c r="R128" s="1">
        <v>0.1</v>
      </c>
      <c r="S128">
        <f t="shared" si="4"/>
        <v>32.4</v>
      </c>
      <c r="T128">
        <f>IFERROR(VLOOKUP(A128,Table1[[Customer ID]:[Discount Amount]], 6, FALSE),"Not Found")</f>
        <v>36</v>
      </c>
      <c r="U128" t="str">
        <f t="shared" si="5"/>
        <v>Cash</v>
      </c>
      <c r="V128" s="4" t="str">
        <f t="shared" si="6"/>
        <v>Normal</v>
      </c>
      <c r="W128" s="4" t="str">
        <f t="shared" si="7"/>
        <v>Good</v>
      </c>
      <c r="X128" s="4">
        <f>AVERAGE(Table1[Purchase Amount])</f>
        <v>129.48419400000012</v>
      </c>
    </row>
    <row r="129" spans="1:24" ht="15" customHeight="1" x14ac:dyDescent="0.25">
      <c r="A129">
        <v>128</v>
      </c>
      <c r="B129">
        <v>24</v>
      </c>
      <c r="C129" t="s">
        <v>27</v>
      </c>
      <c r="D129" t="s">
        <v>127</v>
      </c>
      <c r="E129" t="s">
        <v>18</v>
      </c>
      <c r="F129" s="2">
        <v>89</v>
      </c>
      <c r="G129" t="s">
        <v>149</v>
      </c>
      <c r="H129" t="s">
        <v>31</v>
      </c>
      <c r="I129" t="s">
        <v>85</v>
      </c>
      <c r="J129" t="s">
        <v>22</v>
      </c>
      <c r="K129">
        <v>4.8</v>
      </c>
      <c r="L129" t="s">
        <v>34</v>
      </c>
      <c r="M129" t="s">
        <v>79</v>
      </c>
      <c r="N129" t="s">
        <v>34</v>
      </c>
      <c r="O129">
        <v>26</v>
      </c>
      <c r="P129" t="s">
        <v>53</v>
      </c>
      <c r="Q129" t="s">
        <v>26</v>
      </c>
      <c r="R129" s="1">
        <v>0.1</v>
      </c>
      <c r="S129">
        <f t="shared" si="4"/>
        <v>80.099999999999994</v>
      </c>
      <c r="T129">
        <f>IFERROR(VLOOKUP(A129,Table1[[Customer ID]:[Discount Amount]], 6, FALSE),"Not Found")</f>
        <v>89</v>
      </c>
      <c r="U129" t="str">
        <f t="shared" si="5"/>
        <v>Credit Card</v>
      </c>
      <c r="V129" s="4" t="str">
        <f t="shared" si="6"/>
        <v>Normal</v>
      </c>
      <c r="W129" s="4" t="str">
        <f t="shared" si="7"/>
        <v>Good</v>
      </c>
      <c r="X129" s="4">
        <f>AVERAGE(Table1[Purchase Amount])</f>
        <v>129.48419400000012</v>
      </c>
    </row>
    <row r="130" spans="1:24" ht="15" customHeight="1" x14ac:dyDescent="0.25">
      <c r="A130">
        <v>129</v>
      </c>
      <c r="B130">
        <v>20</v>
      </c>
      <c r="C130" t="s">
        <v>27</v>
      </c>
      <c r="D130" t="s">
        <v>129</v>
      </c>
      <c r="E130" t="s">
        <v>29</v>
      </c>
      <c r="F130" s="2">
        <v>32</v>
      </c>
      <c r="G130" t="s">
        <v>19</v>
      </c>
      <c r="H130" t="s">
        <v>31</v>
      </c>
      <c r="I130" t="s">
        <v>133</v>
      </c>
      <c r="J130" t="s">
        <v>33</v>
      </c>
      <c r="K130">
        <v>4.7</v>
      </c>
      <c r="L130" t="s">
        <v>34</v>
      </c>
      <c r="M130" t="s">
        <v>24</v>
      </c>
      <c r="N130" t="s">
        <v>34</v>
      </c>
      <c r="O130">
        <v>21</v>
      </c>
      <c r="P130" t="s">
        <v>53</v>
      </c>
      <c r="Q130" t="s">
        <v>89</v>
      </c>
      <c r="R130" s="1">
        <v>0.1</v>
      </c>
      <c r="S130">
        <f t="shared" ref="S130:S193" si="8">F130-(F130*R130)</f>
        <v>28.8</v>
      </c>
      <c r="T130">
        <f>IFERROR(VLOOKUP(A130,Table1[[Customer ID]:[Discount Amount]], 6, FALSE),"Not Found")</f>
        <v>32</v>
      </c>
      <c r="U130" t="str">
        <f t="shared" ref="U130:U193" si="9">INDEX(P:P, MATCH(A130, A:A, 0))</f>
        <v>Credit Card</v>
      </c>
      <c r="V130" s="4" t="str">
        <f t="shared" ref="V130:V193" si="10">IF(AND(F130&gt;1000,K130&gt;=4),"Best Customer","Normal")</f>
        <v>Normal</v>
      </c>
      <c r="W130" s="4" t="str">
        <f t="shared" ref="W130:W193" si="11">IF(K130&gt;=3,"Good","Poor")</f>
        <v>Good</v>
      </c>
      <c r="X130" s="4">
        <f>AVERAGE(Table1[Purchase Amount])</f>
        <v>129.48419400000012</v>
      </c>
    </row>
    <row r="131" spans="1:24" ht="15" customHeight="1" x14ac:dyDescent="0.25">
      <c r="A131">
        <v>130</v>
      </c>
      <c r="B131">
        <v>24</v>
      </c>
      <c r="C131" t="s">
        <v>27</v>
      </c>
      <c r="D131" t="s">
        <v>157</v>
      </c>
      <c r="E131" t="s">
        <v>18</v>
      </c>
      <c r="F131" s="2">
        <v>67</v>
      </c>
      <c r="G131" t="s">
        <v>78</v>
      </c>
      <c r="H131" t="s">
        <v>20</v>
      </c>
      <c r="I131" t="s">
        <v>21</v>
      </c>
      <c r="J131" t="s">
        <v>57</v>
      </c>
      <c r="K131">
        <v>4.2</v>
      </c>
      <c r="L131" t="s">
        <v>34</v>
      </c>
      <c r="M131" t="s">
        <v>41</v>
      </c>
      <c r="N131" t="s">
        <v>34</v>
      </c>
      <c r="O131">
        <v>49</v>
      </c>
      <c r="P131" t="s">
        <v>58</v>
      </c>
      <c r="Q131" t="s">
        <v>68</v>
      </c>
      <c r="R131" s="1">
        <v>0.1</v>
      </c>
      <c r="S131">
        <f t="shared" si="8"/>
        <v>60.3</v>
      </c>
      <c r="T131">
        <f>IFERROR(VLOOKUP(A131,Table1[[Customer ID]:[Discount Amount]], 6, FALSE),"Not Found")</f>
        <v>67</v>
      </c>
      <c r="U131" t="str">
        <f t="shared" si="9"/>
        <v>PayPal</v>
      </c>
      <c r="V131" s="4" t="str">
        <f t="shared" si="10"/>
        <v>Normal</v>
      </c>
      <c r="W131" s="4" t="str">
        <f t="shared" si="11"/>
        <v>Good</v>
      </c>
      <c r="X131" s="4">
        <f>AVERAGE(Table1[Purchase Amount])</f>
        <v>129.48419400000012</v>
      </c>
    </row>
    <row r="132" spans="1:24" ht="15" customHeight="1" x14ac:dyDescent="0.25">
      <c r="A132">
        <v>131</v>
      </c>
      <c r="B132">
        <v>44</v>
      </c>
      <c r="C132" t="s">
        <v>27</v>
      </c>
      <c r="D132" t="s">
        <v>129</v>
      </c>
      <c r="E132" t="s">
        <v>29</v>
      </c>
      <c r="F132" s="2">
        <v>39</v>
      </c>
      <c r="G132" t="s">
        <v>70</v>
      </c>
      <c r="H132" t="s">
        <v>45</v>
      </c>
      <c r="I132" t="s">
        <v>111</v>
      </c>
      <c r="J132" t="s">
        <v>47</v>
      </c>
      <c r="K132">
        <v>3.7</v>
      </c>
      <c r="L132" t="s">
        <v>34</v>
      </c>
      <c r="M132" t="s">
        <v>79</v>
      </c>
      <c r="N132" t="s">
        <v>34</v>
      </c>
      <c r="O132">
        <v>13</v>
      </c>
      <c r="P132" t="s">
        <v>58</v>
      </c>
      <c r="Q132" t="s">
        <v>89</v>
      </c>
      <c r="R132" s="1">
        <v>0.1</v>
      </c>
      <c r="S132">
        <f t="shared" si="8"/>
        <v>35.1</v>
      </c>
      <c r="T132">
        <f>IFERROR(VLOOKUP(A132,Table1[[Customer ID]:[Discount Amount]], 6, FALSE),"Not Found")</f>
        <v>39</v>
      </c>
      <c r="U132" t="str">
        <f t="shared" si="9"/>
        <v>PayPal</v>
      </c>
      <c r="V132" s="4" t="str">
        <f t="shared" si="10"/>
        <v>Normal</v>
      </c>
      <c r="W132" s="4" t="str">
        <f t="shared" si="11"/>
        <v>Good</v>
      </c>
      <c r="X132" s="4">
        <f>AVERAGE(Table1[Purchase Amount])</f>
        <v>129.48419400000012</v>
      </c>
    </row>
    <row r="133" spans="1:24" ht="15" customHeight="1" x14ac:dyDescent="0.25">
      <c r="A133">
        <v>132</v>
      </c>
      <c r="B133">
        <v>28</v>
      </c>
      <c r="C133" t="s">
        <v>27</v>
      </c>
      <c r="D133" t="s">
        <v>122</v>
      </c>
      <c r="E133" t="s">
        <v>18</v>
      </c>
      <c r="F133" s="2">
        <v>29</v>
      </c>
      <c r="G133" t="s">
        <v>94</v>
      </c>
      <c r="H133" t="s">
        <v>45</v>
      </c>
      <c r="I133" t="s">
        <v>91</v>
      </c>
      <c r="J133" t="s">
        <v>57</v>
      </c>
      <c r="K133">
        <v>3.9</v>
      </c>
      <c r="L133" t="s">
        <v>34</v>
      </c>
      <c r="M133" t="s">
        <v>24</v>
      </c>
      <c r="N133" t="s">
        <v>34</v>
      </c>
      <c r="O133">
        <v>46</v>
      </c>
      <c r="P133" t="s">
        <v>53</v>
      </c>
      <c r="Q133" t="s">
        <v>26</v>
      </c>
      <c r="R133" s="1">
        <v>0.1</v>
      </c>
      <c r="S133">
        <f t="shared" si="8"/>
        <v>26.1</v>
      </c>
      <c r="T133">
        <f>IFERROR(VLOOKUP(A133,Table1[[Customer ID]:[Discount Amount]], 6, FALSE),"Not Found")</f>
        <v>29</v>
      </c>
      <c r="U133" t="str">
        <f t="shared" si="9"/>
        <v>Credit Card</v>
      </c>
      <c r="V133" s="4" t="str">
        <f t="shared" si="10"/>
        <v>Normal</v>
      </c>
      <c r="W133" s="4" t="str">
        <f t="shared" si="11"/>
        <v>Good</v>
      </c>
      <c r="X133" s="4">
        <f>AVERAGE(Table1[Purchase Amount])</f>
        <v>129.48419400000012</v>
      </c>
    </row>
    <row r="134" spans="1:24" ht="15" customHeight="1" x14ac:dyDescent="0.25">
      <c r="A134">
        <v>133</v>
      </c>
      <c r="B134">
        <v>30</v>
      </c>
      <c r="C134" t="s">
        <v>27</v>
      </c>
      <c r="D134" t="s">
        <v>104</v>
      </c>
      <c r="E134" t="s">
        <v>29</v>
      </c>
      <c r="F134" s="2">
        <v>58</v>
      </c>
      <c r="G134" t="s">
        <v>110</v>
      </c>
      <c r="H134" t="s">
        <v>31</v>
      </c>
      <c r="I134" t="s">
        <v>108</v>
      </c>
      <c r="J134" t="s">
        <v>47</v>
      </c>
      <c r="K134">
        <v>4.7</v>
      </c>
      <c r="L134" t="s">
        <v>34</v>
      </c>
      <c r="M134" t="s">
        <v>41</v>
      </c>
      <c r="N134" t="s">
        <v>34</v>
      </c>
      <c r="O134">
        <v>42</v>
      </c>
      <c r="P134" t="s">
        <v>58</v>
      </c>
      <c r="Q134" t="s">
        <v>26</v>
      </c>
      <c r="R134" s="1">
        <v>0.1</v>
      </c>
      <c r="S134">
        <f t="shared" si="8"/>
        <v>52.2</v>
      </c>
      <c r="T134">
        <f>IFERROR(VLOOKUP(A134,Table1[[Customer ID]:[Discount Amount]], 6, FALSE),"Not Found")</f>
        <v>58</v>
      </c>
      <c r="U134" t="str">
        <f t="shared" si="9"/>
        <v>PayPal</v>
      </c>
      <c r="V134" s="4" t="str">
        <f t="shared" si="10"/>
        <v>Normal</v>
      </c>
      <c r="W134" s="4" t="str">
        <f t="shared" si="11"/>
        <v>Good</v>
      </c>
      <c r="X134" s="4">
        <f>AVERAGE(Table1[Purchase Amount])</f>
        <v>129.48419400000012</v>
      </c>
    </row>
    <row r="135" spans="1:24" ht="15" customHeight="1" x14ac:dyDescent="0.25">
      <c r="A135">
        <v>134</v>
      </c>
      <c r="B135">
        <v>52</v>
      </c>
      <c r="C135" t="s">
        <v>27</v>
      </c>
      <c r="D135" t="s">
        <v>127</v>
      </c>
      <c r="E135" t="s">
        <v>18</v>
      </c>
      <c r="F135" s="2">
        <v>65</v>
      </c>
      <c r="G135" t="s">
        <v>39</v>
      </c>
      <c r="H135" t="s">
        <v>31</v>
      </c>
      <c r="I135" t="s">
        <v>111</v>
      </c>
      <c r="J135" t="s">
        <v>22</v>
      </c>
      <c r="K135">
        <v>2.5</v>
      </c>
      <c r="L135" t="s">
        <v>34</v>
      </c>
      <c r="M135" t="s">
        <v>79</v>
      </c>
      <c r="N135" t="s">
        <v>34</v>
      </c>
      <c r="O135">
        <v>25</v>
      </c>
      <c r="P135" t="s">
        <v>62</v>
      </c>
      <c r="Q135" t="s">
        <v>49</v>
      </c>
      <c r="R135" s="1">
        <v>0.1</v>
      </c>
      <c r="S135">
        <f t="shared" si="8"/>
        <v>58.5</v>
      </c>
      <c r="T135">
        <f>IFERROR(VLOOKUP(A135,Table1[[Customer ID]:[Discount Amount]], 6, FALSE),"Not Found")</f>
        <v>65</v>
      </c>
      <c r="U135" t="str">
        <f t="shared" si="9"/>
        <v>Venmo</v>
      </c>
      <c r="V135" s="4" t="str">
        <f t="shared" si="10"/>
        <v>Normal</v>
      </c>
      <c r="W135" s="4" t="str">
        <f t="shared" si="11"/>
        <v>Poor</v>
      </c>
      <c r="X135" s="4">
        <f>AVERAGE(Table1[Purchase Amount])</f>
        <v>129.48419400000012</v>
      </c>
    </row>
    <row r="136" spans="1:24" ht="15" customHeight="1" x14ac:dyDescent="0.25">
      <c r="A136">
        <v>135</v>
      </c>
      <c r="B136">
        <v>43</v>
      </c>
      <c r="C136" t="s">
        <v>27</v>
      </c>
      <c r="D136" t="s">
        <v>64</v>
      </c>
      <c r="E136" t="s">
        <v>29</v>
      </c>
      <c r="F136" s="2">
        <v>94</v>
      </c>
      <c r="G136" t="s">
        <v>152</v>
      </c>
      <c r="H136" t="s">
        <v>45</v>
      </c>
      <c r="I136" t="s">
        <v>85</v>
      </c>
      <c r="J136" t="s">
        <v>47</v>
      </c>
      <c r="K136">
        <v>4.9000000000000004</v>
      </c>
      <c r="L136" t="s">
        <v>34</v>
      </c>
      <c r="M136" t="s">
        <v>48</v>
      </c>
      <c r="N136" t="s">
        <v>34</v>
      </c>
      <c r="O136">
        <v>25</v>
      </c>
      <c r="P136" t="s">
        <v>25</v>
      </c>
      <c r="Q136" t="s">
        <v>42</v>
      </c>
      <c r="R136" s="1">
        <v>0.1</v>
      </c>
      <c r="S136">
        <f t="shared" si="8"/>
        <v>84.6</v>
      </c>
      <c r="T136">
        <f>IFERROR(VLOOKUP(A136,Table1[[Customer ID]:[Discount Amount]], 6, FALSE),"Not Found")</f>
        <v>94</v>
      </c>
      <c r="U136" t="str">
        <f t="shared" si="9"/>
        <v>Cash</v>
      </c>
      <c r="V136" s="4" t="str">
        <f t="shared" si="10"/>
        <v>Normal</v>
      </c>
      <c r="W136" s="4" t="str">
        <f t="shared" si="11"/>
        <v>Good</v>
      </c>
      <c r="X136" s="4">
        <f>AVERAGE(Table1[Purchase Amount])</f>
        <v>129.48419400000012</v>
      </c>
    </row>
    <row r="137" spans="1:24" ht="15" customHeight="1" x14ac:dyDescent="0.25">
      <c r="A137">
        <v>136</v>
      </c>
      <c r="B137">
        <v>43</v>
      </c>
      <c r="C137" t="s">
        <v>27</v>
      </c>
      <c r="D137" t="s">
        <v>121</v>
      </c>
      <c r="E137" t="s">
        <v>98</v>
      </c>
      <c r="F137" s="2">
        <v>81</v>
      </c>
      <c r="G137" t="s">
        <v>124</v>
      </c>
      <c r="H137" t="s">
        <v>31</v>
      </c>
      <c r="I137" t="s">
        <v>66</v>
      </c>
      <c r="J137" t="s">
        <v>47</v>
      </c>
      <c r="K137">
        <v>4.0999999999999996</v>
      </c>
      <c r="L137" t="s">
        <v>34</v>
      </c>
      <c r="M137" t="s">
        <v>61</v>
      </c>
      <c r="N137" t="s">
        <v>34</v>
      </c>
      <c r="O137">
        <v>12</v>
      </c>
      <c r="P137" t="s">
        <v>58</v>
      </c>
      <c r="Q137" t="s">
        <v>37</v>
      </c>
      <c r="R137" s="1">
        <v>0.1</v>
      </c>
      <c r="S137">
        <f t="shared" si="8"/>
        <v>72.900000000000006</v>
      </c>
      <c r="T137">
        <f>IFERROR(VLOOKUP(A137,Table1[[Customer ID]:[Discount Amount]], 6, FALSE),"Not Found")</f>
        <v>81</v>
      </c>
      <c r="U137" t="str">
        <f t="shared" si="9"/>
        <v>PayPal</v>
      </c>
      <c r="V137" s="4" t="str">
        <f t="shared" si="10"/>
        <v>Normal</v>
      </c>
      <c r="W137" s="4" t="str">
        <f t="shared" si="11"/>
        <v>Good</v>
      </c>
      <c r="X137" s="4">
        <f>AVERAGE(Table1[Purchase Amount])</f>
        <v>129.48419400000012</v>
      </c>
    </row>
    <row r="138" spans="1:24" ht="15" customHeight="1" x14ac:dyDescent="0.25">
      <c r="A138">
        <v>137</v>
      </c>
      <c r="B138">
        <v>39</v>
      </c>
      <c r="C138" t="s">
        <v>27</v>
      </c>
      <c r="D138" t="s">
        <v>118</v>
      </c>
      <c r="E138" t="s">
        <v>18</v>
      </c>
      <c r="F138" s="2">
        <v>86</v>
      </c>
      <c r="G138" t="s">
        <v>30</v>
      </c>
      <c r="H138" t="s">
        <v>31</v>
      </c>
      <c r="I138" t="s">
        <v>32</v>
      </c>
      <c r="J138" t="s">
        <v>22</v>
      </c>
      <c r="K138">
        <v>3.3</v>
      </c>
      <c r="L138" t="s">
        <v>34</v>
      </c>
      <c r="M138" t="s">
        <v>35</v>
      </c>
      <c r="N138" t="s">
        <v>34</v>
      </c>
      <c r="O138">
        <v>4</v>
      </c>
      <c r="P138" t="s">
        <v>36</v>
      </c>
      <c r="Q138" t="s">
        <v>37</v>
      </c>
      <c r="R138" s="1">
        <v>0.1</v>
      </c>
      <c r="S138">
        <f t="shared" si="8"/>
        <v>77.400000000000006</v>
      </c>
      <c r="T138">
        <f>IFERROR(VLOOKUP(A138,Table1[[Customer ID]:[Discount Amount]], 6, FALSE),"Not Found")</f>
        <v>86</v>
      </c>
      <c r="U138" t="str">
        <f t="shared" si="9"/>
        <v>Debit Card</v>
      </c>
      <c r="V138" s="4" t="str">
        <f t="shared" si="10"/>
        <v>Normal</v>
      </c>
      <c r="W138" s="4" t="str">
        <f t="shared" si="11"/>
        <v>Good</v>
      </c>
      <c r="X138" s="4">
        <f>AVERAGE(Table1[Purchase Amount])</f>
        <v>129.48419400000012</v>
      </c>
    </row>
    <row r="139" spans="1:24" ht="15" customHeight="1" x14ac:dyDescent="0.25">
      <c r="A139">
        <v>138</v>
      </c>
      <c r="B139">
        <v>68</v>
      </c>
      <c r="C139" t="s">
        <v>27</v>
      </c>
      <c r="D139" t="s">
        <v>140</v>
      </c>
      <c r="E139" t="s">
        <v>98</v>
      </c>
      <c r="F139" s="2">
        <v>43</v>
      </c>
      <c r="G139" t="s">
        <v>92</v>
      </c>
      <c r="H139" t="s">
        <v>31</v>
      </c>
      <c r="I139" t="s">
        <v>156</v>
      </c>
      <c r="J139" t="s">
        <v>33</v>
      </c>
      <c r="K139">
        <v>4.7</v>
      </c>
      <c r="L139" t="s">
        <v>34</v>
      </c>
      <c r="M139" t="s">
        <v>35</v>
      </c>
      <c r="N139" t="s">
        <v>34</v>
      </c>
      <c r="O139">
        <v>38</v>
      </c>
      <c r="P139" t="s">
        <v>58</v>
      </c>
      <c r="Q139" t="s">
        <v>26</v>
      </c>
      <c r="R139" s="1">
        <v>0.1</v>
      </c>
      <c r="S139">
        <f t="shared" si="8"/>
        <v>38.700000000000003</v>
      </c>
      <c r="T139">
        <f>IFERROR(VLOOKUP(A139,Table1[[Customer ID]:[Discount Amount]], 6, FALSE),"Not Found")</f>
        <v>43</v>
      </c>
      <c r="U139" t="str">
        <f t="shared" si="9"/>
        <v>PayPal</v>
      </c>
      <c r="V139" s="4" t="str">
        <f t="shared" si="10"/>
        <v>Normal</v>
      </c>
      <c r="W139" s="4" t="str">
        <f t="shared" si="11"/>
        <v>Good</v>
      </c>
      <c r="X139" s="4">
        <f>AVERAGE(Table1[Purchase Amount])</f>
        <v>129.48419400000012</v>
      </c>
    </row>
    <row r="140" spans="1:24" ht="15" customHeight="1" x14ac:dyDescent="0.25">
      <c r="A140">
        <v>139</v>
      </c>
      <c r="B140">
        <v>68</v>
      </c>
      <c r="C140" t="s">
        <v>27</v>
      </c>
      <c r="D140" t="s">
        <v>122</v>
      </c>
      <c r="E140" t="s">
        <v>18</v>
      </c>
      <c r="F140" s="2">
        <v>29</v>
      </c>
      <c r="G140" t="s">
        <v>160</v>
      </c>
      <c r="H140" t="s">
        <v>31</v>
      </c>
      <c r="I140" t="s">
        <v>125</v>
      </c>
      <c r="J140" t="s">
        <v>22</v>
      </c>
      <c r="K140">
        <v>4.4000000000000004</v>
      </c>
      <c r="L140" t="s">
        <v>34</v>
      </c>
      <c r="M140" t="s">
        <v>48</v>
      </c>
      <c r="N140" t="s">
        <v>34</v>
      </c>
      <c r="O140">
        <v>42</v>
      </c>
      <c r="P140" t="s">
        <v>88</v>
      </c>
      <c r="Q140" t="s">
        <v>26</v>
      </c>
      <c r="R140" s="1">
        <v>0.1</v>
      </c>
      <c r="S140">
        <f t="shared" si="8"/>
        <v>26.1</v>
      </c>
      <c r="T140">
        <f>IFERROR(VLOOKUP(A140,Table1[[Customer ID]:[Discount Amount]], 6, FALSE),"Not Found")</f>
        <v>29</v>
      </c>
      <c r="U140" t="str">
        <f t="shared" si="9"/>
        <v>Bank Transfer</v>
      </c>
      <c r="V140" s="4" t="str">
        <f t="shared" si="10"/>
        <v>Normal</v>
      </c>
      <c r="W140" s="4" t="str">
        <f t="shared" si="11"/>
        <v>Good</v>
      </c>
      <c r="X140" s="4">
        <f>AVERAGE(Table1[Purchase Amount])</f>
        <v>129.48419400000012</v>
      </c>
    </row>
    <row r="141" spans="1:24" ht="15" customHeight="1" x14ac:dyDescent="0.25">
      <c r="A141">
        <v>140</v>
      </c>
      <c r="B141">
        <v>49</v>
      </c>
      <c r="C141" t="s">
        <v>27</v>
      </c>
      <c r="D141" t="s">
        <v>76</v>
      </c>
      <c r="E141" t="s">
        <v>77</v>
      </c>
      <c r="F141" s="2">
        <v>95</v>
      </c>
      <c r="G141" t="s">
        <v>67</v>
      </c>
      <c r="H141" t="s">
        <v>31</v>
      </c>
      <c r="I141" t="s">
        <v>32</v>
      </c>
      <c r="J141" t="s">
        <v>47</v>
      </c>
      <c r="K141">
        <v>3.8</v>
      </c>
      <c r="L141" t="s">
        <v>34</v>
      </c>
      <c r="M141" t="s">
        <v>48</v>
      </c>
      <c r="N141" t="s">
        <v>34</v>
      </c>
      <c r="O141">
        <v>30</v>
      </c>
      <c r="P141" t="s">
        <v>62</v>
      </c>
      <c r="Q141" t="s">
        <v>49</v>
      </c>
      <c r="R141" s="1">
        <v>0.1</v>
      </c>
      <c r="S141">
        <f t="shared" si="8"/>
        <v>85.5</v>
      </c>
      <c r="T141">
        <f>IFERROR(VLOOKUP(A141,Table1[[Customer ID]:[Discount Amount]], 6, FALSE),"Not Found")</f>
        <v>95</v>
      </c>
      <c r="U141" t="str">
        <f t="shared" si="9"/>
        <v>Venmo</v>
      </c>
      <c r="V141" s="4" t="str">
        <f t="shared" si="10"/>
        <v>Normal</v>
      </c>
      <c r="W141" s="4" t="str">
        <f t="shared" si="11"/>
        <v>Good</v>
      </c>
      <c r="X141" s="4">
        <f>AVERAGE(Table1[Purchase Amount])</f>
        <v>129.48419400000012</v>
      </c>
    </row>
    <row r="142" spans="1:24" ht="15" customHeight="1" x14ac:dyDescent="0.25">
      <c r="A142">
        <v>141</v>
      </c>
      <c r="B142">
        <v>63</v>
      </c>
      <c r="C142" t="s">
        <v>27</v>
      </c>
      <c r="D142" t="s">
        <v>38</v>
      </c>
      <c r="E142" t="s">
        <v>18</v>
      </c>
      <c r="F142" s="2">
        <v>28</v>
      </c>
      <c r="G142" t="s">
        <v>134</v>
      </c>
      <c r="H142" t="s">
        <v>45</v>
      </c>
      <c r="I142" t="s">
        <v>52</v>
      </c>
      <c r="J142" t="s">
        <v>47</v>
      </c>
      <c r="K142">
        <v>3.9</v>
      </c>
      <c r="L142" t="s">
        <v>34</v>
      </c>
      <c r="M142" t="s">
        <v>41</v>
      </c>
      <c r="N142" t="s">
        <v>34</v>
      </c>
      <c r="O142">
        <v>50</v>
      </c>
      <c r="P142" t="s">
        <v>53</v>
      </c>
      <c r="Q142" t="s">
        <v>26</v>
      </c>
      <c r="R142" s="1">
        <v>0.1</v>
      </c>
      <c r="S142">
        <f t="shared" si="8"/>
        <v>25.2</v>
      </c>
      <c r="T142">
        <f>IFERROR(VLOOKUP(A142,Table1[[Customer ID]:[Discount Amount]], 6, FALSE),"Not Found")</f>
        <v>28</v>
      </c>
      <c r="U142" t="str">
        <f t="shared" si="9"/>
        <v>Credit Card</v>
      </c>
      <c r="V142" s="4" t="str">
        <f t="shared" si="10"/>
        <v>Normal</v>
      </c>
      <c r="W142" s="4" t="str">
        <f t="shared" si="11"/>
        <v>Good</v>
      </c>
      <c r="X142" s="4">
        <f>AVERAGE(Table1[Purchase Amount])</f>
        <v>129.48419400000012</v>
      </c>
    </row>
    <row r="143" spans="1:24" ht="15" customHeight="1" x14ac:dyDescent="0.25">
      <c r="A143">
        <v>142</v>
      </c>
      <c r="B143">
        <v>56</v>
      </c>
      <c r="C143" t="s">
        <v>27</v>
      </c>
      <c r="D143" t="s">
        <v>43</v>
      </c>
      <c r="E143" t="s">
        <v>29</v>
      </c>
      <c r="F143" s="2">
        <v>46</v>
      </c>
      <c r="G143" t="s">
        <v>138</v>
      </c>
      <c r="H143" t="s">
        <v>31</v>
      </c>
      <c r="I143" t="s">
        <v>156</v>
      </c>
      <c r="J143" t="s">
        <v>47</v>
      </c>
      <c r="K143">
        <v>4.9000000000000004</v>
      </c>
      <c r="L143" t="s">
        <v>34</v>
      </c>
      <c r="M143" t="s">
        <v>35</v>
      </c>
      <c r="N143" t="s">
        <v>34</v>
      </c>
      <c r="O143">
        <v>45</v>
      </c>
      <c r="P143" t="s">
        <v>58</v>
      </c>
      <c r="Q143" t="s">
        <v>26</v>
      </c>
      <c r="R143" s="1">
        <v>0.1</v>
      </c>
      <c r="S143">
        <f t="shared" si="8"/>
        <v>41.4</v>
      </c>
      <c r="T143">
        <f>IFERROR(VLOOKUP(A143,Table1[[Customer ID]:[Discount Amount]], 6, FALSE),"Not Found")</f>
        <v>46</v>
      </c>
      <c r="U143" t="str">
        <f t="shared" si="9"/>
        <v>PayPal</v>
      </c>
      <c r="V143" s="4" t="str">
        <f t="shared" si="10"/>
        <v>Normal</v>
      </c>
      <c r="W143" s="4" t="str">
        <f t="shared" si="11"/>
        <v>Good</v>
      </c>
      <c r="X143" s="4">
        <f>AVERAGE(Table1[Purchase Amount])</f>
        <v>129.48419400000012</v>
      </c>
    </row>
    <row r="144" spans="1:24" ht="15" customHeight="1" x14ac:dyDescent="0.25">
      <c r="A144">
        <v>143</v>
      </c>
      <c r="B144">
        <v>37</v>
      </c>
      <c r="C144" t="s">
        <v>27</v>
      </c>
      <c r="D144" t="s">
        <v>96</v>
      </c>
      <c r="E144" t="s">
        <v>77</v>
      </c>
      <c r="F144" s="2">
        <v>58</v>
      </c>
      <c r="G144" t="s">
        <v>137</v>
      </c>
      <c r="H144" t="s">
        <v>45</v>
      </c>
      <c r="I144" t="s">
        <v>111</v>
      </c>
      <c r="J144" t="s">
        <v>47</v>
      </c>
      <c r="K144">
        <v>3.1</v>
      </c>
      <c r="L144" t="s">
        <v>34</v>
      </c>
      <c r="M144" t="s">
        <v>35</v>
      </c>
      <c r="N144" t="s">
        <v>34</v>
      </c>
      <c r="O144">
        <v>33</v>
      </c>
      <c r="P144" t="s">
        <v>53</v>
      </c>
      <c r="Q144" t="s">
        <v>89</v>
      </c>
      <c r="R144" s="1">
        <v>0.1</v>
      </c>
      <c r="S144">
        <f t="shared" si="8"/>
        <v>52.2</v>
      </c>
      <c r="T144">
        <f>IFERROR(VLOOKUP(A144,Table1[[Customer ID]:[Discount Amount]], 6, FALSE),"Not Found")</f>
        <v>58</v>
      </c>
      <c r="U144" t="str">
        <f t="shared" si="9"/>
        <v>Credit Card</v>
      </c>
      <c r="V144" s="4" t="str">
        <f t="shared" si="10"/>
        <v>Normal</v>
      </c>
      <c r="W144" s="4" t="str">
        <f t="shared" si="11"/>
        <v>Good</v>
      </c>
      <c r="X144" s="4">
        <f>AVERAGE(Table1[Purchase Amount])</f>
        <v>129.48419400000012</v>
      </c>
    </row>
    <row r="145" spans="1:24" ht="15" customHeight="1" x14ac:dyDescent="0.25">
      <c r="A145">
        <v>144</v>
      </c>
      <c r="B145">
        <v>30</v>
      </c>
      <c r="C145" t="s">
        <v>27</v>
      </c>
      <c r="D145" t="s">
        <v>76</v>
      </c>
      <c r="E145" t="s">
        <v>77</v>
      </c>
      <c r="F145" s="2">
        <v>48</v>
      </c>
      <c r="G145" t="s">
        <v>146</v>
      </c>
      <c r="H145" t="s">
        <v>31</v>
      </c>
      <c r="I145" t="s">
        <v>56</v>
      </c>
      <c r="J145" t="s">
        <v>47</v>
      </c>
      <c r="K145">
        <v>2.7</v>
      </c>
      <c r="L145" t="s">
        <v>34</v>
      </c>
      <c r="M145" t="s">
        <v>48</v>
      </c>
      <c r="N145" t="s">
        <v>34</v>
      </c>
      <c r="O145">
        <v>25</v>
      </c>
      <c r="P145" t="s">
        <v>58</v>
      </c>
      <c r="Q145" t="s">
        <v>37</v>
      </c>
      <c r="R145" s="1">
        <v>0.1</v>
      </c>
      <c r="S145">
        <f t="shared" si="8"/>
        <v>43.2</v>
      </c>
      <c r="T145">
        <f>IFERROR(VLOOKUP(A145,Table1[[Customer ID]:[Discount Amount]], 6, FALSE),"Not Found")</f>
        <v>48</v>
      </c>
      <c r="U145" t="str">
        <f t="shared" si="9"/>
        <v>PayPal</v>
      </c>
      <c r="V145" s="4" t="str">
        <f t="shared" si="10"/>
        <v>Normal</v>
      </c>
      <c r="W145" s="4" t="str">
        <f t="shared" si="11"/>
        <v>Poor</v>
      </c>
      <c r="X145" s="4">
        <f>AVERAGE(Table1[Purchase Amount])</f>
        <v>129.48419400000012</v>
      </c>
    </row>
    <row r="146" spans="1:24" ht="15" customHeight="1" x14ac:dyDescent="0.25">
      <c r="A146">
        <v>145</v>
      </c>
      <c r="B146">
        <v>19</v>
      </c>
      <c r="C146" t="s">
        <v>27</v>
      </c>
      <c r="D146" t="s">
        <v>72</v>
      </c>
      <c r="E146" t="s">
        <v>98</v>
      </c>
      <c r="F146" s="2">
        <v>43</v>
      </c>
      <c r="G146" t="s">
        <v>131</v>
      </c>
      <c r="H146" t="s">
        <v>31</v>
      </c>
      <c r="I146" t="s">
        <v>153</v>
      </c>
      <c r="J146" t="s">
        <v>47</v>
      </c>
      <c r="K146">
        <v>3.2</v>
      </c>
      <c r="L146" t="s">
        <v>34</v>
      </c>
      <c r="M146" t="s">
        <v>61</v>
      </c>
      <c r="N146" t="s">
        <v>34</v>
      </c>
      <c r="O146">
        <v>25</v>
      </c>
      <c r="P146" t="s">
        <v>25</v>
      </c>
      <c r="Q146" t="s">
        <v>42</v>
      </c>
      <c r="R146" s="1">
        <v>0.1</v>
      </c>
      <c r="S146">
        <f t="shared" si="8"/>
        <v>38.700000000000003</v>
      </c>
      <c r="T146">
        <f>IFERROR(VLOOKUP(A146,Table1[[Customer ID]:[Discount Amount]], 6, FALSE),"Not Found")</f>
        <v>43</v>
      </c>
      <c r="U146" t="str">
        <f t="shared" si="9"/>
        <v>Cash</v>
      </c>
      <c r="V146" s="4" t="str">
        <f t="shared" si="10"/>
        <v>Normal</v>
      </c>
      <c r="W146" s="4" t="str">
        <f t="shared" si="11"/>
        <v>Good</v>
      </c>
      <c r="X146" s="4">
        <f>AVERAGE(Table1[Purchase Amount])</f>
        <v>129.48419400000012</v>
      </c>
    </row>
    <row r="147" spans="1:24" ht="15" customHeight="1" x14ac:dyDescent="0.25">
      <c r="A147">
        <v>146</v>
      </c>
      <c r="B147">
        <v>24</v>
      </c>
      <c r="C147" t="s">
        <v>27</v>
      </c>
      <c r="D147" t="s">
        <v>50</v>
      </c>
      <c r="E147" t="s">
        <v>29</v>
      </c>
      <c r="F147" s="2">
        <v>95</v>
      </c>
      <c r="G147" t="s">
        <v>146</v>
      </c>
      <c r="H147" t="s">
        <v>31</v>
      </c>
      <c r="I147" t="s">
        <v>147</v>
      </c>
      <c r="J147" t="s">
        <v>47</v>
      </c>
      <c r="K147">
        <v>4.5</v>
      </c>
      <c r="L147" t="s">
        <v>34</v>
      </c>
      <c r="M147" t="s">
        <v>24</v>
      </c>
      <c r="N147" t="s">
        <v>34</v>
      </c>
      <c r="O147">
        <v>44</v>
      </c>
      <c r="P147" t="s">
        <v>36</v>
      </c>
      <c r="Q147" t="s">
        <v>37</v>
      </c>
      <c r="R147" s="1">
        <v>0.1</v>
      </c>
      <c r="S147">
        <f t="shared" si="8"/>
        <v>85.5</v>
      </c>
      <c r="T147">
        <f>IFERROR(VLOOKUP(A147,Table1[[Customer ID]:[Discount Amount]], 6, FALSE),"Not Found")</f>
        <v>95</v>
      </c>
      <c r="U147" t="str">
        <f t="shared" si="9"/>
        <v>Debit Card</v>
      </c>
      <c r="V147" s="4" t="str">
        <f t="shared" si="10"/>
        <v>Normal</v>
      </c>
      <c r="W147" s="4" t="str">
        <f t="shared" si="11"/>
        <v>Good</v>
      </c>
      <c r="X147" s="4">
        <f>AVERAGE(Table1[Purchase Amount])</f>
        <v>129.48419400000012</v>
      </c>
    </row>
    <row r="148" spans="1:24" ht="15" customHeight="1" x14ac:dyDescent="0.25">
      <c r="A148">
        <v>147</v>
      </c>
      <c r="B148">
        <v>52</v>
      </c>
      <c r="C148" t="s">
        <v>27</v>
      </c>
      <c r="D148" t="s">
        <v>122</v>
      </c>
      <c r="E148" t="s">
        <v>18</v>
      </c>
      <c r="F148" s="2">
        <v>30</v>
      </c>
      <c r="G148" t="s">
        <v>92</v>
      </c>
      <c r="H148" t="s">
        <v>55</v>
      </c>
      <c r="I148" t="s">
        <v>40</v>
      </c>
      <c r="J148" t="s">
        <v>47</v>
      </c>
      <c r="K148">
        <v>4</v>
      </c>
      <c r="L148" t="s">
        <v>34</v>
      </c>
      <c r="M148" t="s">
        <v>24</v>
      </c>
      <c r="N148" t="s">
        <v>34</v>
      </c>
      <c r="O148">
        <v>21</v>
      </c>
      <c r="P148" t="s">
        <v>62</v>
      </c>
      <c r="Q148" t="s">
        <v>89</v>
      </c>
      <c r="R148" s="1">
        <v>0.1</v>
      </c>
      <c r="S148">
        <f t="shared" si="8"/>
        <v>27</v>
      </c>
      <c r="T148">
        <f>IFERROR(VLOOKUP(A148,Table1[[Customer ID]:[Discount Amount]], 6, FALSE),"Not Found")</f>
        <v>30</v>
      </c>
      <c r="U148" t="str">
        <f t="shared" si="9"/>
        <v>Venmo</v>
      </c>
      <c r="V148" s="4" t="str">
        <f t="shared" si="10"/>
        <v>Normal</v>
      </c>
      <c r="W148" s="4" t="str">
        <f t="shared" si="11"/>
        <v>Good</v>
      </c>
      <c r="X148" s="4">
        <f>AVERAGE(Table1[Purchase Amount])</f>
        <v>129.48419400000012</v>
      </c>
    </row>
    <row r="149" spans="1:24" ht="15" customHeight="1" x14ac:dyDescent="0.25">
      <c r="A149">
        <v>148</v>
      </c>
      <c r="B149">
        <v>63</v>
      </c>
      <c r="C149" t="s">
        <v>27</v>
      </c>
      <c r="D149" t="s">
        <v>72</v>
      </c>
      <c r="E149" t="s">
        <v>98</v>
      </c>
      <c r="F149" s="2">
        <v>64</v>
      </c>
      <c r="G149" t="s">
        <v>161</v>
      </c>
      <c r="H149" t="s">
        <v>31</v>
      </c>
      <c r="I149" t="s">
        <v>66</v>
      </c>
      <c r="J149" t="s">
        <v>57</v>
      </c>
      <c r="K149">
        <v>3.5</v>
      </c>
      <c r="L149" t="s">
        <v>34</v>
      </c>
      <c r="M149" t="s">
        <v>41</v>
      </c>
      <c r="N149" t="s">
        <v>34</v>
      </c>
      <c r="O149">
        <v>31</v>
      </c>
      <c r="P149" t="s">
        <v>88</v>
      </c>
      <c r="Q149" t="s">
        <v>89</v>
      </c>
      <c r="R149" s="1">
        <v>0.1</v>
      </c>
      <c r="S149">
        <f t="shared" si="8"/>
        <v>57.6</v>
      </c>
      <c r="T149">
        <f>IFERROR(VLOOKUP(A149,Table1[[Customer ID]:[Discount Amount]], 6, FALSE),"Not Found")</f>
        <v>64</v>
      </c>
      <c r="U149" t="str">
        <f t="shared" si="9"/>
        <v>Bank Transfer</v>
      </c>
      <c r="V149" s="4" t="str">
        <f t="shared" si="10"/>
        <v>Normal</v>
      </c>
      <c r="W149" s="4" t="str">
        <f t="shared" si="11"/>
        <v>Good</v>
      </c>
      <c r="X149" s="4">
        <f>AVERAGE(Table1[Purchase Amount])</f>
        <v>129.48419400000012</v>
      </c>
    </row>
    <row r="150" spans="1:24" ht="15" customHeight="1" x14ac:dyDescent="0.25">
      <c r="A150">
        <v>149</v>
      </c>
      <c r="B150">
        <v>37</v>
      </c>
      <c r="C150" t="s">
        <v>27</v>
      </c>
      <c r="D150" t="s">
        <v>43</v>
      </c>
      <c r="E150" t="s">
        <v>29</v>
      </c>
      <c r="F150" s="2">
        <v>90</v>
      </c>
      <c r="G150" t="s">
        <v>162</v>
      </c>
      <c r="H150" t="s">
        <v>31</v>
      </c>
      <c r="I150" t="s">
        <v>85</v>
      </c>
      <c r="J150" t="s">
        <v>47</v>
      </c>
      <c r="K150">
        <v>2.6</v>
      </c>
      <c r="L150" t="s">
        <v>34</v>
      </c>
      <c r="M150" t="s">
        <v>48</v>
      </c>
      <c r="N150" t="s">
        <v>34</v>
      </c>
      <c r="O150">
        <v>47</v>
      </c>
      <c r="P150" t="s">
        <v>36</v>
      </c>
      <c r="Q150" t="s">
        <v>49</v>
      </c>
      <c r="R150" s="1">
        <v>0.1</v>
      </c>
      <c r="S150">
        <f t="shared" si="8"/>
        <v>81</v>
      </c>
      <c r="T150">
        <f>IFERROR(VLOOKUP(A150,Table1[[Customer ID]:[Discount Amount]], 6, FALSE),"Not Found")</f>
        <v>90</v>
      </c>
      <c r="U150" t="str">
        <f t="shared" si="9"/>
        <v>Debit Card</v>
      </c>
      <c r="V150" s="4" t="str">
        <f t="shared" si="10"/>
        <v>Normal</v>
      </c>
      <c r="W150" s="4" t="str">
        <f t="shared" si="11"/>
        <v>Poor</v>
      </c>
      <c r="X150" s="4">
        <f>AVERAGE(Table1[Purchase Amount])</f>
        <v>129.48419400000012</v>
      </c>
    </row>
    <row r="151" spans="1:24" ht="15" customHeight="1" x14ac:dyDescent="0.25">
      <c r="A151">
        <v>150</v>
      </c>
      <c r="B151">
        <v>38</v>
      </c>
      <c r="C151" t="s">
        <v>27</v>
      </c>
      <c r="D151" t="s">
        <v>99</v>
      </c>
      <c r="E151" t="s">
        <v>18</v>
      </c>
      <c r="F151" s="2">
        <v>76</v>
      </c>
      <c r="G151" t="s">
        <v>143</v>
      </c>
      <c r="H151" t="s">
        <v>31</v>
      </c>
      <c r="I151" t="s">
        <v>32</v>
      </c>
      <c r="J151" t="s">
        <v>57</v>
      </c>
      <c r="K151">
        <v>3.2</v>
      </c>
      <c r="L151" t="s">
        <v>34</v>
      </c>
      <c r="M151" t="s">
        <v>35</v>
      </c>
      <c r="N151" t="s">
        <v>34</v>
      </c>
      <c r="O151">
        <v>14</v>
      </c>
      <c r="P151" t="s">
        <v>58</v>
      </c>
      <c r="Q151" t="s">
        <v>42</v>
      </c>
      <c r="R151" s="1">
        <v>0.1</v>
      </c>
      <c r="S151">
        <f t="shared" si="8"/>
        <v>68.400000000000006</v>
      </c>
      <c r="T151">
        <f>IFERROR(VLOOKUP(A151,Table1[[Customer ID]:[Discount Amount]], 6, FALSE),"Not Found")</f>
        <v>76</v>
      </c>
      <c r="U151" t="str">
        <f t="shared" si="9"/>
        <v>PayPal</v>
      </c>
      <c r="V151" s="4" t="str">
        <f t="shared" si="10"/>
        <v>Normal</v>
      </c>
      <c r="W151" s="4" t="str">
        <f t="shared" si="11"/>
        <v>Good</v>
      </c>
      <c r="X151" s="4">
        <f>AVERAGE(Table1[Purchase Amount])</f>
        <v>129.48419400000012</v>
      </c>
    </row>
    <row r="152" spans="1:24" ht="15" customHeight="1" x14ac:dyDescent="0.25">
      <c r="A152">
        <v>151</v>
      </c>
      <c r="B152">
        <v>35</v>
      </c>
      <c r="C152" t="s">
        <v>27</v>
      </c>
      <c r="D152" t="s">
        <v>151</v>
      </c>
      <c r="E152" t="s">
        <v>98</v>
      </c>
      <c r="F152" s="2">
        <v>96</v>
      </c>
      <c r="G152" t="s">
        <v>19</v>
      </c>
      <c r="H152" t="s">
        <v>45</v>
      </c>
      <c r="I152" t="s">
        <v>128</v>
      </c>
      <c r="J152" t="s">
        <v>47</v>
      </c>
      <c r="K152">
        <v>4.9000000000000004</v>
      </c>
      <c r="L152" t="s">
        <v>34</v>
      </c>
      <c r="M152" t="s">
        <v>24</v>
      </c>
      <c r="N152" t="s">
        <v>34</v>
      </c>
      <c r="O152">
        <v>17</v>
      </c>
      <c r="P152" t="s">
        <v>36</v>
      </c>
      <c r="Q152" t="s">
        <v>63</v>
      </c>
      <c r="R152" s="1">
        <v>0.1</v>
      </c>
      <c r="S152">
        <f t="shared" si="8"/>
        <v>86.4</v>
      </c>
      <c r="T152">
        <f>IFERROR(VLOOKUP(A152,Table1[[Customer ID]:[Discount Amount]], 6, FALSE),"Not Found")</f>
        <v>96</v>
      </c>
      <c r="U152" t="str">
        <f t="shared" si="9"/>
        <v>Debit Card</v>
      </c>
      <c r="V152" s="4" t="str">
        <f t="shared" si="10"/>
        <v>Normal</v>
      </c>
      <c r="W152" s="4" t="str">
        <f t="shared" si="11"/>
        <v>Good</v>
      </c>
      <c r="X152" s="4">
        <f>AVERAGE(Table1[Purchase Amount])</f>
        <v>129.48419400000012</v>
      </c>
    </row>
    <row r="153" spans="1:24" ht="15" customHeight="1" x14ac:dyDescent="0.25">
      <c r="A153">
        <v>152</v>
      </c>
      <c r="B153">
        <v>28</v>
      </c>
      <c r="C153" t="s">
        <v>27</v>
      </c>
      <c r="D153" t="s">
        <v>28</v>
      </c>
      <c r="E153" t="s">
        <v>29</v>
      </c>
      <c r="F153" s="2">
        <v>47</v>
      </c>
      <c r="G153" t="s">
        <v>86</v>
      </c>
      <c r="H153" t="s">
        <v>45</v>
      </c>
      <c r="I153" t="s">
        <v>156</v>
      </c>
      <c r="J153" t="s">
        <v>47</v>
      </c>
      <c r="K153">
        <v>4.5</v>
      </c>
      <c r="L153" t="s">
        <v>34</v>
      </c>
      <c r="M153" t="s">
        <v>79</v>
      </c>
      <c r="N153" t="s">
        <v>34</v>
      </c>
      <c r="O153">
        <v>3</v>
      </c>
      <c r="P153" t="s">
        <v>62</v>
      </c>
      <c r="Q153" t="s">
        <v>49</v>
      </c>
      <c r="R153" s="1">
        <v>0.1</v>
      </c>
      <c r="S153">
        <f t="shared" si="8"/>
        <v>42.3</v>
      </c>
      <c r="T153">
        <f>IFERROR(VLOOKUP(A153,Table1[[Customer ID]:[Discount Amount]], 6, FALSE),"Not Found")</f>
        <v>47</v>
      </c>
      <c r="U153" t="str">
        <f t="shared" si="9"/>
        <v>Venmo</v>
      </c>
      <c r="V153" s="4" t="str">
        <f t="shared" si="10"/>
        <v>Normal</v>
      </c>
      <c r="W153" s="4" t="str">
        <f t="shared" si="11"/>
        <v>Good</v>
      </c>
      <c r="X153" s="4">
        <f>AVERAGE(Table1[Purchase Amount])</f>
        <v>129.48419400000012</v>
      </c>
    </row>
    <row r="154" spans="1:24" ht="15" customHeight="1" x14ac:dyDescent="0.25">
      <c r="A154">
        <v>153</v>
      </c>
      <c r="B154">
        <v>30</v>
      </c>
      <c r="C154" t="s">
        <v>27</v>
      </c>
      <c r="D154" t="s">
        <v>38</v>
      </c>
      <c r="E154" t="s">
        <v>18</v>
      </c>
      <c r="F154" s="2">
        <v>85</v>
      </c>
      <c r="G154" t="s">
        <v>30</v>
      </c>
      <c r="H154" t="s">
        <v>55</v>
      </c>
      <c r="I154" t="s">
        <v>60</v>
      </c>
      <c r="J154" t="s">
        <v>57</v>
      </c>
      <c r="K154">
        <v>4.3</v>
      </c>
      <c r="L154" t="s">
        <v>34</v>
      </c>
      <c r="M154" t="s">
        <v>61</v>
      </c>
      <c r="N154" t="s">
        <v>34</v>
      </c>
      <c r="O154">
        <v>42</v>
      </c>
      <c r="P154" t="s">
        <v>62</v>
      </c>
      <c r="Q154" t="s">
        <v>49</v>
      </c>
      <c r="R154" s="1">
        <v>0.1</v>
      </c>
      <c r="S154">
        <f t="shared" si="8"/>
        <v>76.5</v>
      </c>
      <c r="T154">
        <f>IFERROR(VLOOKUP(A154,Table1[[Customer ID]:[Discount Amount]], 6, FALSE),"Not Found")</f>
        <v>85</v>
      </c>
      <c r="U154" t="str">
        <f t="shared" si="9"/>
        <v>Venmo</v>
      </c>
      <c r="V154" s="4" t="str">
        <f t="shared" si="10"/>
        <v>Normal</v>
      </c>
      <c r="W154" s="4" t="str">
        <f t="shared" si="11"/>
        <v>Good</v>
      </c>
      <c r="X154" s="4">
        <f>AVERAGE(Table1[Purchase Amount])</f>
        <v>129.48419400000012</v>
      </c>
    </row>
    <row r="155" spans="1:24" ht="15" customHeight="1" x14ac:dyDescent="0.25">
      <c r="A155">
        <v>154</v>
      </c>
      <c r="B155">
        <v>69</v>
      </c>
      <c r="C155" t="s">
        <v>27</v>
      </c>
      <c r="D155" t="s">
        <v>83</v>
      </c>
      <c r="E155" t="s">
        <v>18</v>
      </c>
      <c r="F155" s="2">
        <v>55</v>
      </c>
      <c r="G155" t="s">
        <v>134</v>
      </c>
      <c r="H155" t="s">
        <v>31</v>
      </c>
      <c r="I155" t="s">
        <v>125</v>
      </c>
      <c r="J155" t="s">
        <v>22</v>
      </c>
      <c r="K155">
        <v>3.2</v>
      </c>
      <c r="L155" t="s">
        <v>34</v>
      </c>
      <c r="M155" t="s">
        <v>24</v>
      </c>
      <c r="N155" t="s">
        <v>34</v>
      </c>
      <c r="O155">
        <v>22</v>
      </c>
      <c r="P155" t="s">
        <v>36</v>
      </c>
      <c r="Q155" t="s">
        <v>49</v>
      </c>
      <c r="R155" s="1">
        <v>0.1</v>
      </c>
      <c r="S155">
        <f t="shared" si="8"/>
        <v>49.5</v>
      </c>
      <c r="T155">
        <f>IFERROR(VLOOKUP(A155,Table1[[Customer ID]:[Discount Amount]], 6, FALSE),"Not Found")</f>
        <v>55</v>
      </c>
      <c r="U155" t="str">
        <f t="shared" si="9"/>
        <v>Debit Card</v>
      </c>
      <c r="V155" s="4" t="str">
        <f t="shared" si="10"/>
        <v>Normal</v>
      </c>
      <c r="W155" s="4" t="str">
        <f t="shared" si="11"/>
        <v>Good</v>
      </c>
      <c r="X155" s="4">
        <f>AVERAGE(Table1[Purchase Amount])</f>
        <v>129.48419400000012</v>
      </c>
    </row>
    <row r="156" spans="1:24" ht="15" customHeight="1" x14ac:dyDescent="0.25">
      <c r="A156">
        <v>155</v>
      </c>
      <c r="B156">
        <v>41</v>
      </c>
      <c r="C156" t="s">
        <v>27</v>
      </c>
      <c r="D156" t="s">
        <v>157</v>
      </c>
      <c r="E156" t="s">
        <v>18</v>
      </c>
      <c r="F156" s="2">
        <v>98</v>
      </c>
      <c r="G156" t="s">
        <v>142</v>
      </c>
      <c r="H156" t="s">
        <v>31</v>
      </c>
      <c r="I156" t="s">
        <v>103</v>
      </c>
      <c r="J156" t="s">
        <v>47</v>
      </c>
      <c r="K156">
        <v>3.6</v>
      </c>
      <c r="L156" t="s">
        <v>34</v>
      </c>
      <c r="M156" t="s">
        <v>79</v>
      </c>
      <c r="N156" t="s">
        <v>34</v>
      </c>
      <c r="O156">
        <v>21</v>
      </c>
      <c r="P156" t="s">
        <v>62</v>
      </c>
      <c r="Q156" t="s">
        <v>37</v>
      </c>
      <c r="R156" s="1">
        <v>0.1</v>
      </c>
      <c r="S156">
        <f t="shared" si="8"/>
        <v>88.2</v>
      </c>
      <c r="T156">
        <f>IFERROR(VLOOKUP(A156,Table1[[Customer ID]:[Discount Amount]], 6, FALSE),"Not Found")</f>
        <v>98</v>
      </c>
      <c r="U156" t="str">
        <f t="shared" si="9"/>
        <v>Venmo</v>
      </c>
      <c r="V156" s="4" t="str">
        <f t="shared" si="10"/>
        <v>Normal</v>
      </c>
      <c r="W156" s="4" t="str">
        <f t="shared" si="11"/>
        <v>Good</v>
      </c>
      <c r="X156" s="4">
        <f>AVERAGE(Table1[Purchase Amount])</f>
        <v>129.48419400000012</v>
      </c>
    </row>
    <row r="157" spans="1:24" ht="15" customHeight="1" x14ac:dyDescent="0.25">
      <c r="A157">
        <v>156</v>
      </c>
      <c r="B157">
        <v>63</v>
      </c>
      <c r="C157" t="s">
        <v>27</v>
      </c>
      <c r="D157" t="s">
        <v>105</v>
      </c>
      <c r="E157" t="s">
        <v>18</v>
      </c>
      <c r="F157" s="2">
        <v>77</v>
      </c>
      <c r="G157" t="s">
        <v>94</v>
      </c>
      <c r="H157" t="s">
        <v>55</v>
      </c>
      <c r="I157" t="s">
        <v>21</v>
      </c>
      <c r="J157" t="s">
        <v>33</v>
      </c>
      <c r="K157">
        <v>4.3</v>
      </c>
      <c r="L157" t="s">
        <v>34</v>
      </c>
      <c r="M157" t="s">
        <v>35</v>
      </c>
      <c r="N157" t="s">
        <v>34</v>
      </c>
      <c r="O157">
        <v>21</v>
      </c>
      <c r="P157" t="s">
        <v>88</v>
      </c>
      <c r="Q157" t="s">
        <v>37</v>
      </c>
      <c r="R157" s="1">
        <v>0.1</v>
      </c>
      <c r="S157">
        <f t="shared" si="8"/>
        <v>69.3</v>
      </c>
      <c r="T157">
        <f>IFERROR(VLOOKUP(A157,Table1[[Customer ID]:[Discount Amount]], 6, FALSE),"Not Found")</f>
        <v>77</v>
      </c>
      <c r="U157" t="str">
        <f t="shared" si="9"/>
        <v>Bank Transfer</v>
      </c>
      <c r="V157" s="4" t="str">
        <f t="shared" si="10"/>
        <v>Normal</v>
      </c>
      <c r="W157" s="4" t="str">
        <f t="shared" si="11"/>
        <v>Good</v>
      </c>
      <c r="X157" s="4">
        <f>AVERAGE(Table1[Purchase Amount])</f>
        <v>129.48419400000012</v>
      </c>
    </row>
    <row r="158" spans="1:24" ht="15" customHeight="1" x14ac:dyDescent="0.25">
      <c r="A158">
        <v>157</v>
      </c>
      <c r="B158">
        <v>35</v>
      </c>
      <c r="C158" t="s">
        <v>27</v>
      </c>
      <c r="D158" t="s">
        <v>54</v>
      </c>
      <c r="E158" t="s">
        <v>18</v>
      </c>
      <c r="F158" s="2">
        <v>26</v>
      </c>
      <c r="G158" t="s">
        <v>146</v>
      </c>
      <c r="H158" t="s">
        <v>31</v>
      </c>
      <c r="I158" t="s">
        <v>107</v>
      </c>
      <c r="J158" t="s">
        <v>47</v>
      </c>
      <c r="K158">
        <v>4</v>
      </c>
      <c r="L158" t="s">
        <v>34</v>
      </c>
      <c r="M158" t="s">
        <v>24</v>
      </c>
      <c r="N158" t="s">
        <v>34</v>
      </c>
      <c r="O158">
        <v>40</v>
      </c>
      <c r="P158" t="s">
        <v>36</v>
      </c>
      <c r="Q158" t="s">
        <v>49</v>
      </c>
      <c r="R158" s="1">
        <v>0.1</v>
      </c>
      <c r="S158">
        <f t="shared" si="8"/>
        <v>23.4</v>
      </c>
      <c r="T158">
        <f>IFERROR(VLOOKUP(A158,Table1[[Customer ID]:[Discount Amount]], 6, FALSE),"Not Found")</f>
        <v>26</v>
      </c>
      <c r="U158" t="str">
        <f t="shared" si="9"/>
        <v>Debit Card</v>
      </c>
      <c r="V158" s="4" t="str">
        <f t="shared" si="10"/>
        <v>Normal</v>
      </c>
      <c r="W158" s="4" t="str">
        <f t="shared" si="11"/>
        <v>Good</v>
      </c>
      <c r="X158" s="4">
        <f>AVERAGE(Table1[Purchase Amount])</f>
        <v>129.48419400000012</v>
      </c>
    </row>
    <row r="159" spans="1:24" ht="15" customHeight="1" x14ac:dyDescent="0.25">
      <c r="A159">
        <v>158</v>
      </c>
      <c r="B159">
        <v>36</v>
      </c>
      <c r="C159" t="s">
        <v>27</v>
      </c>
      <c r="D159" t="s">
        <v>64</v>
      </c>
      <c r="E159" t="s">
        <v>29</v>
      </c>
      <c r="F159" s="2">
        <v>68</v>
      </c>
      <c r="G159" t="s">
        <v>84</v>
      </c>
      <c r="H159" t="s">
        <v>55</v>
      </c>
      <c r="I159" t="s">
        <v>52</v>
      </c>
      <c r="J159" t="s">
        <v>47</v>
      </c>
      <c r="K159">
        <v>3</v>
      </c>
      <c r="L159" t="s">
        <v>34</v>
      </c>
      <c r="M159" t="s">
        <v>79</v>
      </c>
      <c r="N159" t="s">
        <v>34</v>
      </c>
      <c r="O159">
        <v>1</v>
      </c>
      <c r="P159" t="s">
        <v>88</v>
      </c>
      <c r="Q159" t="s">
        <v>89</v>
      </c>
      <c r="R159" s="1">
        <v>0.1</v>
      </c>
      <c r="S159">
        <f t="shared" si="8"/>
        <v>61.2</v>
      </c>
      <c r="T159">
        <f>IFERROR(VLOOKUP(A159,Table1[[Customer ID]:[Discount Amount]], 6, FALSE),"Not Found")</f>
        <v>68</v>
      </c>
      <c r="U159" t="str">
        <f t="shared" si="9"/>
        <v>Bank Transfer</v>
      </c>
      <c r="V159" s="4" t="str">
        <f t="shared" si="10"/>
        <v>Normal</v>
      </c>
      <c r="W159" s="4" t="str">
        <f t="shared" si="11"/>
        <v>Good</v>
      </c>
      <c r="X159" s="4">
        <f>AVERAGE(Table1[Purchase Amount])</f>
        <v>129.48419400000012</v>
      </c>
    </row>
    <row r="160" spans="1:24" ht="15" customHeight="1" x14ac:dyDescent="0.25">
      <c r="A160">
        <v>159</v>
      </c>
      <c r="B160">
        <v>25</v>
      </c>
      <c r="C160" t="s">
        <v>27</v>
      </c>
      <c r="D160" t="s">
        <v>38</v>
      </c>
      <c r="E160" t="s">
        <v>18</v>
      </c>
      <c r="F160" s="2">
        <v>73</v>
      </c>
      <c r="G160" t="s">
        <v>115</v>
      </c>
      <c r="H160" t="s">
        <v>20</v>
      </c>
      <c r="I160" t="s">
        <v>147</v>
      </c>
      <c r="J160" t="s">
        <v>47</v>
      </c>
      <c r="K160">
        <v>4.0999999999999996</v>
      </c>
      <c r="L160" t="s">
        <v>34</v>
      </c>
      <c r="M160" t="s">
        <v>24</v>
      </c>
      <c r="N160" t="s">
        <v>34</v>
      </c>
      <c r="O160">
        <v>50</v>
      </c>
      <c r="P160" t="s">
        <v>88</v>
      </c>
      <c r="Q160" t="s">
        <v>42</v>
      </c>
      <c r="R160" s="1">
        <v>0.1</v>
      </c>
      <c r="S160">
        <f t="shared" si="8"/>
        <v>65.7</v>
      </c>
      <c r="T160">
        <f>IFERROR(VLOOKUP(A160,Table1[[Customer ID]:[Discount Amount]], 6, FALSE),"Not Found")</f>
        <v>73</v>
      </c>
      <c r="U160" t="str">
        <f t="shared" si="9"/>
        <v>Bank Transfer</v>
      </c>
      <c r="V160" s="4" t="str">
        <f t="shared" si="10"/>
        <v>Normal</v>
      </c>
      <c r="W160" s="4" t="str">
        <f t="shared" si="11"/>
        <v>Good</v>
      </c>
      <c r="X160" s="4">
        <f>AVERAGE(Table1[Purchase Amount])</f>
        <v>129.48419400000012</v>
      </c>
    </row>
    <row r="161" spans="1:24" ht="15" customHeight="1" x14ac:dyDescent="0.25">
      <c r="A161">
        <v>160</v>
      </c>
      <c r="B161">
        <v>58</v>
      </c>
      <c r="C161" t="s">
        <v>27</v>
      </c>
      <c r="D161" t="s">
        <v>43</v>
      </c>
      <c r="E161" t="s">
        <v>29</v>
      </c>
      <c r="F161" s="2">
        <v>27</v>
      </c>
      <c r="G161" t="s">
        <v>132</v>
      </c>
      <c r="H161" t="s">
        <v>31</v>
      </c>
      <c r="I161" t="s">
        <v>103</v>
      </c>
      <c r="J161" t="s">
        <v>47</v>
      </c>
      <c r="K161">
        <v>3.8</v>
      </c>
      <c r="L161" t="s">
        <v>34</v>
      </c>
      <c r="M161" t="s">
        <v>48</v>
      </c>
      <c r="N161" t="s">
        <v>34</v>
      </c>
      <c r="O161">
        <v>39</v>
      </c>
      <c r="P161" t="s">
        <v>88</v>
      </c>
      <c r="Q161" t="s">
        <v>63</v>
      </c>
      <c r="R161" s="1">
        <v>0.1</v>
      </c>
      <c r="S161">
        <f t="shared" si="8"/>
        <v>24.3</v>
      </c>
      <c r="T161">
        <f>IFERROR(VLOOKUP(A161,Table1[[Customer ID]:[Discount Amount]], 6, FALSE),"Not Found")</f>
        <v>27</v>
      </c>
      <c r="U161" t="str">
        <f t="shared" si="9"/>
        <v>Bank Transfer</v>
      </c>
      <c r="V161" s="4" t="str">
        <f t="shared" si="10"/>
        <v>Normal</v>
      </c>
      <c r="W161" s="4" t="str">
        <f t="shared" si="11"/>
        <v>Good</v>
      </c>
      <c r="X161" s="4">
        <f>AVERAGE(Table1[Purchase Amount])</f>
        <v>129.48419400000012</v>
      </c>
    </row>
    <row r="162" spans="1:24" ht="15" customHeight="1" x14ac:dyDescent="0.25">
      <c r="A162">
        <v>161</v>
      </c>
      <c r="B162">
        <v>27</v>
      </c>
      <c r="C162" t="s">
        <v>27</v>
      </c>
      <c r="D162" t="s">
        <v>43</v>
      </c>
      <c r="E162" t="s">
        <v>29</v>
      </c>
      <c r="F162" s="2">
        <v>23</v>
      </c>
      <c r="G162" t="s">
        <v>152</v>
      </c>
      <c r="H162" t="s">
        <v>31</v>
      </c>
      <c r="I162" t="s">
        <v>108</v>
      </c>
      <c r="J162" t="s">
        <v>57</v>
      </c>
      <c r="K162">
        <v>4.5999999999999996</v>
      </c>
      <c r="L162" t="s">
        <v>34</v>
      </c>
      <c r="M162" t="s">
        <v>35</v>
      </c>
      <c r="N162" t="s">
        <v>34</v>
      </c>
      <c r="O162">
        <v>34</v>
      </c>
      <c r="P162" t="s">
        <v>62</v>
      </c>
      <c r="Q162" t="s">
        <v>42</v>
      </c>
      <c r="R162" s="1">
        <v>0.1</v>
      </c>
      <c r="S162">
        <f t="shared" si="8"/>
        <v>20.7</v>
      </c>
      <c r="T162">
        <f>IFERROR(VLOOKUP(A162,Table1[[Customer ID]:[Discount Amount]], 6, FALSE),"Not Found")</f>
        <v>23</v>
      </c>
      <c r="U162" t="str">
        <f t="shared" si="9"/>
        <v>Venmo</v>
      </c>
      <c r="V162" s="4" t="str">
        <f t="shared" si="10"/>
        <v>Normal</v>
      </c>
      <c r="W162" s="4" t="str">
        <f t="shared" si="11"/>
        <v>Good</v>
      </c>
      <c r="X162" s="4">
        <f>AVERAGE(Table1[Purchase Amount])</f>
        <v>129.48419400000012</v>
      </c>
    </row>
    <row r="163" spans="1:24" ht="15" customHeight="1" x14ac:dyDescent="0.25">
      <c r="A163">
        <v>162</v>
      </c>
      <c r="B163">
        <v>65</v>
      </c>
      <c r="C163" t="s">
        <v>27</v>
      </c>
      <c r="D163" t="s">
        <v>104</v>
      </c>
      <c r="E163" t="s">
        <v>29</v>
      </c>
      <c r="F163" s="2">
        <v>49</v>
      </c>
      <c r="G163" t="s">
        <v>86</v>
      </c>
      <c r="H163" t="s">
        <v>31</v>
      </c>
      <c r="I163" t="s">
        <v>21</v>
      </c>
      <c r="J163" t="s">
        <v>47</v>
      </c>
      <c r="K163">
        <v>3</v>
      </c>
      <c r="L163" t="s">
        <v>34</v>
      </c>
      <c r="M163" t="s">
        <v>61</v>
      </c>
      <c r="N163" t="s">
        <v>34</v>
      </c>
      <c r="O163">
        <v>29</v>
      </c>
      <c r="P163" t="s">
        <v>62</v>
      </c>
      <c r="Q163" t="s">
        <v>89</v>
      </c>
      <c r="R163" s="1">
        <v>0.1</v>
      </c>
      <c r="S163">
        <f t="shared" si="8"/>
        <v>44.1</v>
      </c>
      <c r="T163">
        <f>IFERROR(VLOOKUP(A163,Table1[[Customer ID]:[Discount Amount]], 6, FALSE),"Not Found")</f>
        <v>49</v>
      </c>
      <c r="U163" t="str">
        <f t="shared" si="9"/>
        <v>Venmo</v>
      </c>
      <c r="V163" s="4" t="str">
        <f t="shared" si="10"/>
        <v>Normal</v>
      </c>
      <c r="W163" s="4" t="str">
        <f t="shared" si="11"/>
        <v>Good</v>
      </c>
      <c r="X163" s="4">
        <f>AVERAGE(Table1[Purchase Amount])</f>
        <v>129.48419400000012</v>
      </c>
    </row>
    <row r="164" spans="1:24" ht="15" customHeight="1" x14ac:dyDescent="0.25">
      <c r="A164">
        <v>163</v>
      </c>
      <c r="B164">
        <v>54</v>
      </c>
      <c r="C164" t="s">
        <v>27</v>
      </c>
      <c r="D164" t="s">
        <v>28</v>
      </c>
      <c r="E164" t="s">
        <v>29</v>
      </c>
      <c r="F164" s="2">
        <v>74</v>
      </c>
      <c r="G164" t="s">
        <v>19</v>
      </c>
      <c r="H164" t="s">
        <v>31</v>
      </c>
      <c r="I164" t="s">
        <v>156</v>
      </c>
      <c r="J164" t="s">
        <v>57</v>
      </c>
      <c r="K164">
        <v>3</v>
      </c>
      <c r="L164" t="s">
        <v>34</v>
      </c>
      <c r="M164" t="s">
        <v>48</v>
      </c>
      <c r="N164" t="s">
        <v>34</v>
      </c>
      <c r="O164">
        <v>31</v>
      </c>
      <c r="P164" t="s">
        <v>58</v>
      </c>
      <c r="Q164" t="s">
        <v>68</v>
      </c>
      <c r="R164" s="1">
        <v>0.1</v>
      </c>
      <c r="S164">
        <f t="shared" si="8"/>
        <v>66.599999999999994</v>
      </c>
      <c r="T164">
        <f>IFERROR(VLOOKUP(A164,Table1[[Customer ID]:[Discount Amount]], 6, FALSE),"Not Found")</f>
        <v>74</v>
      </c>
      <c r="U164" t="str">
        <f t="shared" si="9"/>
        <v>PayPal</v>
      </c>
      <c r="V164" s="4" t="str">
        <f t="shared" si="10"/>
        <v>Normal</v>
      </c>
      <c r="W164" s="4" t="str">
        <f t="shared" si="11"/>
        <v>Good</v>
      </c>
      <c r="X164" s="4">
        <f>AVERAGE(Table1[Purchase Amount])</f>
        <v>129.48419400000012</v>
      </c>
    </row>
    <row r="165" spans="1:24" ht="15" customHeight="1" x14ac:dyDescent="0.25">
      <c r="A165">
        <v>164</v>
      </c>
      <c r="B165">
        <v>54</v>
      </c>
      <c r="C165" t="s">
        <v>27</v>
      </c>
      <c r="D165" t="s">
        <v>122</v>
      </c>
      <c r="E165" t="s">
        <v>18</v>
      </c>
      <c r="F165" s="2">
        <v>67</v>
      </c>
      <c r="G165" t="s">
        <v>138</v>
      </c>
      <c r="H165" t="s">
        <v>31</v>
      </c>
      <c r="I165" t="s">
        <v>66</v>
      </c>
      <c r="J165" t="s">
        <v>57</v>
      </c>
      <c r="K165">
        <v>3.4</v>
      </c>
      <c r="L165" t="s">
        <v>34</v>
      </c>
      <c r="M165" t="s">
        <v>24</v>
      </c>
      <c r="N165" t="s">
        <v>34</v>
      </c>
      <c r="O165">
        <v>8</v>
      </c>
      <c r="P165" t="s">
        <v>36</v>
      </c>
      <c r="Q165" t="s">
        <v>26</v>
      </c>
      <c r="R165" s="1">
        <v>0.1</v>
      </c>
      <c r="S165">
        <f t="shared" si="8"/>
        <v>60.3</v>
      </c>
      <c r="T165">
        <f>IFERROR(VLOOKUP(A165,Table1[[Customer ID]:[Discount Amount]], 6, FALSE),"Not Found")</f>
        <v>67</v>
      </c>
      <c r="U165" t="str">
        <f t="shared" si="9"/>
        <v>Debit Card</v>
      </c>
      <c r="V165" s="4" t="str">
        <f t="shared" si="10"/>
        <v>Normal</v>
      </c>
      <c r="W165" s="4" t="str">
        <f t="shared" si="11"/>
        <v>Good</v>
      </c>
      <c r="X165" s="4">
        <f>AVERAGE(Table1[Purchase Amount])</f>
        <v>129.48419400000012</v>
      </c>
    </row>
    <row r="166" spans="1:24" ht="15" customHeight="1" x14ac:dyDescent="0.25">
      <c r="A166">
        <v>165</v>
      </c>
      <c r="B166">
        <v>59</v>
      </c>
      <c r="C166" t="s">
        <v>27</v>
      </c>
      <c r="D166" t="s">
        <v>69</v>
      </c>
      <c r="E166" t="s">
        <v>29</v>
      </c>
      <c r="F166" s="2">
        <v>65</v>
      </c>
      <c r="G166" t="s">
        <v>143</v>
      </c>
      <c r="H166" t="s">
        <v>55</v>
      </c>
      <c r="I166" t="s">
        <v>66</v>
      </c>
      <c r="J166" t="s">
        <v>33</v>
      </c>
      <c r="K166">
        <v>2.6</v>
      </c>
      <c r="L166" t="s">
        <v>34</v>
      </c>
      <c r="M166" t="s">
        <v>35</v>
      </c>
      <c r="N166" t="s">
        <v>34</v>
      </c>
      <c r="O166">
        <v>5</v>
      </c>
      <c r="P166" t="s">
        <v>53</v>
      </c>
      <c r="Q166" t="s">
        <v>89</v>
      </c>
      <c r="R166" s="1">
        <v>0.1</v>
      </c>
      <c r="S166">
        <f t="shared" si="8"/>
        <v>58.5</v>
      </c>
      <c r="T166">
        <f>IFERROR(VLOOKUP(A166,Table1[[Customer ID]:[Discount Amount]], 6, FALSE),"Not Found")</f>
        <v>65</v>
      </c>
      <c r="U166" t="str">
        <f t="shared" si="9"/>
        <v>Credit Card</v>
      </c>
      <c r="V166" s="4" t="str">
        <f t="shared" si="10"/>
        <v>Normal</v>
      </c>
      <c r="W166" s="4" t="str">
        <f t="shared" si="11"/>
        <v>Poor</v>
      </c>
      <c r="X166" s="4">
        <f>AVERAGE(Table1[Purchase Amount])</f>
        <v>129.48419400000012</v>
      </c>
    </row>
    <row r="167" spans="1:24" ht="15" customHeight="1" x14ac:dyDescent="0.25">
      <c r="A167">
        <v>166</v>
      </c>
      <c r="B167">
        <v>42</v>
      </c>
      <c r="C167" t="s">
        <v>27</v>
      </c>
      <c r="D167" t="s">
        <v>69</v>
      </c>
      <c r="E167" t="s">
        <v>29</v>
      </c>
      <c r="F167" s="2">
        <v>60</v>
      </c>
      <c r="G167" t="s">
        <v>70</v>
      </c>
      <c r="H167" t="s">
        <v>55</v>
      </c>
      <c r="I167" t="s">
        <v>52</v>
      </c>
      <c r="J167" t="s">
        <v>22</v>
      </c>
      <c r="K167">
        <v>2.8</v>
      </c>
      <c r="L167" t="s">
        <v>34</v>
      </c>
      <c r="M167" t="s">
        <v>48</v>
      </c>
      <c r="N167" t="s">
        <v>34</v>
      </c>
      <c r="O167">
        <v>7</v>
      </c>
      <c r="P167" t="s">
        <v>25</v>
      </c>
      <c r="Q167" t="s">
        <v>42</v>
      </c>
      <c r="R167" s="1">
        <v>0.1</v>
      </c>
      <c r="S167">
        <f t="shared" si="8"/>
        <v>54</v>
      </c>
      <c r="T167">
        <f>IFERROR(VLOOKUP(A167,Table1[[Customer ID]:[Discount Amount]], 6, FALSE),"Not Found")</f>
        <v>60</v>
      </c>
      <c r="U167" t="str">
        <f t="shared" si="9"/>
        <v>Cash</v>
      </c>
      <c r="V167" s="4" t="str">
        <f t="shared" si="10"/>
        <v>Normal</v>
      </c>
      <c r="W167" s="4" t="str">
        <f t="shared" si="11"/>
        <v>Poor</v>
      </c>
      <c r="X167" s="4">
        <f>AVERAGE(Table1[Purchase Amount])</f>
        <v>129.48419400000012</v>
      </c>
    </row>
    <row r="168" spans="1:24" ht="15" customHeight="1" x14ac:dyDescent="0.25">
      <c r="A168">
        <v>167</v>
      </c>
      <c r="B168">
        <v>46</v>
      </c>
      <c r="C168" t="s">
        <v>27</v>
      </c>
      <c r="D168" t="s">
        <v>140</v>
      </c>
      <c r="E168" t="s">
        <v>98</v>
      </c>
      <c r="F168" s="2">
        <v>31</v>
      </c>
      <c r="G168" t="s">
        <v>143</v>
      </c>
      <c r="H168" t="s">
        <v>20</v>
      </c>
      <c r="I168" t="s">
        <v>91</v>
      </c>
      <c r="J168" t="s">
        <v>47</v>
      </c>
      <c r="K168">
        <v>4</v>
      </c>
      <c r="L168" t="s">
        <v>34</v>
      </c>
      <c r="M168" t="s">
        <v>48</v>
      </c>
      <c r="N168" t="s">
        <v>34</v>
      </c>
      <c r="O168">
        <v>30</v>
      </c>
      <c r="P168" t="s">
        <v>25</v>
      </c>
      <c r="Q168" t="s">
        <v>42</v>
      </c>
      <c r="R168" s="1">
        <v>0.1</v>
      </c>
      <c r="S168">
        <f t="shared" si="8"/>
        <v>27.9</v>
      </c>
      <c r="T168">
        <f>IFERROR(VLOOKUP(A168,Table1[[Customer ID]:[Discount Amount]], 6, FALSE),"Not Found")</f>
        <v>31</v>
      </c>
      <c r="U168" t="str">
        <f t="shared" si="9"/>
        <v>Cash</v>
      </c>
      <c r="V168" s="4" t="str">
        <f t="shared" si="10"/>
        <v>Normal</v>
      </c>
      <c r="W168" s="4" t="str">
        <f t="shared" si="11"/>
        <v>Good</v>
      </c>
      <c r="X168" s="4">
        <f>AVERAGE(Table1[Purchase Amount])</f>
        <v>129.48419400000012</v>
      </c>
    </row>
    <row r="169" spans="1:24" ht="15" customHeight="1" x14ac:dyDescent="0.25">
      <c r="A169">
        <v>168</v>
      </c>
      <c r="B169">
        <v>33</v>
      </c>
      <c r="C169" t="s">
        <v>27</v>
      </c>
      <c r="D169" t="s">
        <v>43</v>
      </c>
      <c r="E169" t="s">
        <v>29</v>
      </c>
      <c r="F169" s="2">
        <v>27</v>
      </c>
      <c r="G169" t="s">
        <v>100</v>
      </c>
      <c r="H169" t="s">
        <v>31</v>
      </c>
      <c r="I169" t="s">
        <v>93</v>
      </c>
      <c r="J169" t="s">
        <v>47</v>
      </c>
      <c r="K169">
        <v>4</v>
      </c>
      <c r="L169" t="s">
        <v>34</v>
      </c>
      <c r="M169" t="s">
        <v>61</v>
      </c>
      <c r="N169" t="s">
        <v>34</v>
      </c>
      <c r="O169">
        <v>14</v>
      </c>
      <c r="P169" t="s">
        <v>53</v>
      </c>
      <c r="Q169" t="s">
        <v>63</v>
      </c>
      <c r="R169" s="1">
        <v>0.1</v>
      </c>
      <c r="S169">
        <f t="shared" si="8"/>
        <v>24.3</v>
      </c>
      <c r="T169">
        <f>IFERROR(VLOOKUP(A169,Table1[[Customer ID]:[Discount Amount]], 6, FALSE),"Not Found")</f>
        <v>27</v>
      </c>
      <c r="U169" t="str">
        <f t="shared" si="9"/>
        <v>Credit Card</v>
      </c>
      <c r="V169" s="4" t="str">
        <f t="shared" si="10"/>
        <v>Normal</v>
      </c>
      <c r="W169" s="4" t="str">
        <f t="shared" si="11"/>
        <v>Good</v>
      </c>
      <c r="X169" s="4">
        <f>AVERAGE(Table1[Purchase Amount])</f>
        <v>129.48419400000012</v>
      </c>
    </row>
    <row r="170" spans="1:24" ht="15" customHeight="1" x14ac:dyDescent="0.25">
      <c r="A170">
        <v>169</v>
      </c>
      <c r="B170">
        <v>34</v>
      </c>
      <c r="C170" t="s">
        <v>27</v>
      </c>
      <c r="D170" t="s">
        <v>72</v>
      </c>
      <c r="E170" t="s">
        <v>98</v>
      </c>
      <c r="F170" s="2">
        <v>80</v>
      </c>
      <c r="G170" t="s">
        <v>119</v>
      </c>
      <c r="H170" t="s">
        <v>31</v>
      </c>
      <c r="I170" t="s">
        <v>87</v>
      </c>
      <c r="J170" t="s">
        <v>57</v>
      </c>
      <c r="K170">
        <v>3</v>
      </c>
      <c r="L170" t="s">
        <v>34</v>
      </c>
      <c r="M170" t="s">
        <v>61</v>
      </c>
      <c r="N170" t="s">
        <v>34</v>
      </c>
      <c r="O170">
        <v>5</v>
      </c>
      <c r="P170" t="s">
        <v>25</v>
      </c>
      <c r="Q170" t="s">
        <v>89</v>
      </c>
      <c r="R170" s="1">
        <v>0.1</v>
      </c>
      <c r="S170">
        <f t="shared" si="8"/>
        <v>72</v>
      </c>
      <c r="T170">
        <f>IFERROR(VLOOKUP(A170,Table1[[Customer ID]:[Discount Amount]], 6, FALSE),"Not Found")</f>
        <v>80</v>
      </c>
      <c r="U170" t="str">
        <f t="shared" si="9"/>
        <v>Cash</v>
      </c>
      <c r="V170" s="4" t="str">
        <f t="shared" si="10"/>
        <v>Normal</v>
      </c>
      <c r="W170" s="4" t="str">
        <f t="shared" si="11"/>
        <v>Good</v>
      </c>
      <c r="X170" s="4">
        <f>AVERAGE(Table1[Purchase Amount])</f>
        <v>129.48419400000012</v>
      </c>
    </row>
    <row r="171" spans="1:24" ht="15" customHeight="1" x14ac:dyDescent="0.25">
      <c r="A171">
        <v>170</v>
      </c>
      <c r="B171">
        <v>27</v>
      </c>
      <c r="C171" t="s">
        <v>27</v>
      </c>
      <c r="D171" t="s">
        <v>96</v>
      </c>
      <c r="E171" t="s">
        <v>77</v>
      </c>
      <c r="F171" s="2">
        <v>30</v>
      </c>
      <c r="G171" t="s">
        <v>158</v>
      </c>
      <c r="H171" t="s">
        <v>55</v>
      </c>
      <c r="I171" t="s">
        <v>133</v>
      </c>
      <c r="J171" t="s">
        <v>57</v>
      </c>
      <c r="K171">
        <v>3.3</v>
      </c>
      <c r="L171" t="s">
        <v>34</v>
      </c>
      <c r="M171" t="s">
        <v>24</v>
      </c>
      <c r="N171" t="s">
        <v>34</v>
      </c>
      <c r="O171">
        <v>3</v>
      </c>
      <c r="P171" t="s">
        <v>58</v>
      </c>
      <c r="Q171" t="s">
        <v>63</v>
      </c>
      <c r="R171" s="1">
        <v>0.1</v>
      </c>
      <c r="S171">
        <f t="shared" si="8"/>
        <v>27</v>
      </c>
      <c r="T171">
        <f>IFERROR(VLOOKUP(A171,Table1[[Customer ID]:[Discount Amount]], 6, FALSE),"Not Found")</f>
        <v>30</v>
      </c>
      <c r="U171" t="str">
        <f t="shared" si="9"/>
        <v>PayPal</v>
      </c>
      <c r="V171" s="4" t="str">
        <f t="shared" si="10"/>
        <v>Normal</v>
      </c>
      <c r="W171" s="4" t="str">
        <f t="shared" si="11"/>
        <v>Good</v>
      </c>
      <c r="X171" s="4">
        <f>AVERAGE(Table1[Purchase Amount])</f>
        <v>129.48419400000012</v>
      </c>
    </row>
    <row r="172" spans="1:24" ht="15" customHeight="1" x14ac:dyDescent="0.25">
      <c r="A172">
        <v>171</v>
      </c>
      <c r="B172">
        <v>52</v>
      </c>
      <c r="C172" t="s">
        <v>27</v>
      </c>
      <c r="D172" t="s">
        <v>38</v>
      </c>
      <c r="E172" t="s">
        <v>18</v>
      </c>
      <c r="F172" s="2">
        <v>25</v>
      </c>
      <c r="G172" t="s">
        <v>162</v>
      </c>
      <c r="H172" t="s">
        <v>31</v>
      </c>
      <c r="I172" t="s">
        <v>125</v>
      </c>
      <c r="J172" t="s">
        <v>47</v>
      </c>
      <c r="K172">
        <v>2.6</v>
      </c>
      <c r="L172" t="s">
        <v>34</v>
      </c>
      <c r="M172" t="s">
        <v>48</v>
      </c>
      <c r="N172" t="s">
        <v>34</v>
      </c>
      <c r="O172">
        <v>46</v>
      </c>
      <c r="P172" t="s">
        <v>62</v>
      </c>
      <c r="Q172" t="s">
        <v>68</v>
      </c>
      <c r="R172" s="1">
        <v>0.1</v>
      </c>
      <c r="S172">
        <f t="shared" si="8"/>
        <v>22.5</v>
      </c>
      <c r="T172">
        <f>IFERROR(VLOOKUP(A172,Table1[[Customer ID]:[Discount Amount]], 6, FALSE),"Not Found")</f>
        <v>25</v>
      </c>
      <c r="U172" t="str">
        <f t="shared" si="9"/>
        <v>Venmo</v>
      </c>
      <c r="V172" s="4" t="str">
        <f t="shared" si="10"/>
        <v>Normal</v>
      </c>
      <c r="W172" s="4" t="str">
        <f t="shared" si="11"/>
        <v>Poor</v>
      </c>
      <c r="X172" s="4">
        <f>AVERAGE(Table1[Purchase Amount])</f>
        <v>129.48419400000012</v>
      </c>
    </row>
    <row r="173" spans="1:24" ht="15" customHeight="1" x14ac:dyDescent="0.25">
      <c r="A173">
        <v>172</v>
      </c>
      <c r="B173">
        <v>29</v>
      </c>
      <c r="C173" t="s">
        <v>27</v>
      </c>
      <c r="D173" t="s">
        <v>54</v>
      </c>
      <c r="E173" t="s">
        <v>18</v>
      </c>
      <c r="F173" s="2">
        <v>35</v>
      </c>
      <c r="G173" t="s">
        <v>138</v>
      </c>
      <c r="H173" t="s">
        <v>31</v>
      </c>
      <c r="I173" t="s">
        <v>74</v>
      </c>
      <c r="J173" t="s">
        <v>57</v>
      </c>
      <c r="K173">
        <v>3.6</v>
      </c>
      <c r="L173" t="s">
        <v>34</v>
      </c>
      <c r="M173" t="s">
        <v>48</v>
      </c>
      <c r="N173" t="s">
        <v>34</v>
      </c>
      <c r="O173">
        <v>4</v>
      </c>
      <c r="P173" t="s">
        <v>53</v>
      </c>
      <c r="Q173" t="s">
        <v>26</v>
      </c>
      <c r="R173" s="1">
        <v>0.1</v>
      </c>
      <c r="S173">
        <f t="shared" si="8"/>
        <v>31.5</v>
      </c>
      <c r="T173">
        <f>IFERROR(VLOOKUP(A173,Table1[[Customer ID]:[Discount Amount]], 6, FALSE),"Not Found")</f>
        <v>35</v>
      </c>
      <c r="U173" t="str">
        <f t="shared" si="9"/>
        <v>Credit Card</v>
      </c>
      <c r="V173" s="4" t="str">
        <f t="shared" si="10"/>
        <v>Normal</v>
      </c>
      <c r="W173" s="4" t="str">
        <f t="shared" si="11"/>
        <v>Good</v>
      </c>
      <c r="X173" s="4">
        <f>AVERAGE(Table1[Purchase Amount])</f>
        <v>129.48419400000012</v>
      </c>
    </row>
    <row r="174" spans="1:24" ht="15" customHeight="1" x14ac:dyDescent="0.25">
      <c r="A174">
        <v>173</v>
      </c>
      <c r="B174">
        <v>54</v>
      </c>
      <c r="C174" t="s">
        <v>27</v>
      </c>
      <c r="D174" t="s">
        <v>50</v>
      </c>
      <c r="E174" t="s">
        <v>29</v>
      </c>
      <c r="F174" s="2">
        <v>67</v>
      </c>
      <c r="G174" t="s">
        <v>137</v>
      </c>
      <c r="H174" t="s">
        <v>31</v>
      </c>
      <c r="I174" t="s">
        <v>111</v>
      </c>
      <c r="J174" t="s">
        <v>57</v>
      </c>
      <c r="K174">
        <v>3.9</v>
      </c>
      <c r="L174" t="s">
        <v>34</v>
      </c>
      <c r="M174" t="s">
        <v>79</v>
      </c>
      <c r="N174" t="s">
        <v>34</v>
      </c>
      <c r="O174">
        <v>42</v>
      </c>
      <c r="P174" t="s">
        <v>53</v>
      </c>
      <c r="Q174" t="s">
        <v>68</v>
      </c>
      <c r="R174" s="1">
        <v>0.1</v>
      </c>
      <c r="S174">
        <f t="shared" si="8"/>
        <v>60.3</v>
      </c>
      <c r="T174">
        <f>IFERROR(VLOOKUP(A174,Table1[[Customer ID]:[Discount Amount]], 6, FALSE),"Not Found")</f>
        <v>67</v>
      </c>
      <c r="U174" t="str">
        <f t="shared" si="9"/>
        <v>Credit Card</v>
      </c>
      <c r="V174" s="4" t="str">
        <f t="shared" si="10"/>
        <v>Normal</v>
      </c>
      <c r="W174" s="4" t="str">
        <f t="shared" si="11"/>
        <v>Good</v>
      </c>
      <c r="X174" s="4">
        <f>AVERAGE(Table1[Purchase Amount])</f>
        <v>129.48419400000012</v>
      </c>
    </row>
    <row r="175" spans="1:24" ht="15" customHeight="1" x14ac:dyDescent="0.25">
      <c r="A175">
        <v>174</v>
      </c>
      <c r="B175">
        <v>25</v>
      </c>
      <c r="C175" t="s">
        <v>27</v>
      </c>
      <c r="D175" t="s">
        <v>64</v>
      </c>
      <c r="E175" t="s">
        <v>29</v>
      </c>
      <c r="F175" s="2">
        <v>46</v>
      </c>
      <c r="G175" t="s">
        <v>135</v>
      </c>
      <c r="H175" t="s">
        <v>31</v>
      </c>
      <c r="I175" t="s">
        <v>156</v>
      </c>
      <c r="J175" t="s">
        <v>47</v>
      </c>
      <c r="K175">
        <v>3.4</v>
      </c>
      <c r="L175" t="s">
        <v>34</v>
      </c>
      <c r="M175" t="s">
        <v>24</v>
      </c>
      <c r="N175" t="s">
        <v>34</v>
      </c>
      <c r="O175">
        <v>30</v>
      </c>
      <c r="P175" t="s">
        <v>25</v>
      </c>
      <c r="Q175" t="s">
        <v>49</v>
      </c>
      <c r="R175" s="1">
        <v>0.1</v>
      </c>
      <c r="S175">
        <f t="shared" si="8"/>
        <v>41.4</v>
      </c>
      <c r="T175">
        <f>IFERROR(VLOOKUP(A175,Table1[[Customer ID]:[Discount Amount]], 6, FALSE),"Not Found")</f>
        <v>46</v>
      </c>
      <c r="U175" t="str">
        <f t="shared" si="9"/>
        <v>Cash</v>
      </c>
      <c r="V175" s="4" t="str">
        <f t="shared" si="10"/>
        <v>Normal</v>
      </c>
      <c r="W175" s="4" t="str">
        <f t="shared" si="11"/>
        <v>Good</v>
      </c>
      <c r="X175" s="4">
        <f>AVERAGE(Table1[Purchase Amount])</f>
        <v>129.48419400000012</v>
      </c>
    </row>
    <row r="176" spans="1:24" ht="15" customHeight="1" x14ac:dyDescent="0.25">
      <c r="A176">
        <v>175</v>
      </c>
      <c r="B176">
        <v>41</v>
      </c>
      <c r="C176" t="s">
        <v>27</v>
      </c>
      <c r="D176" t="s">
        <v>72</v>
      </c>
      <c r="E176" t="s">
        <v>98</v>
      </c>
      <c r="F176" s="2">
        <v>35</v>
      </c>
      <c r="G176" t="s">
        <v>84</v>
      </c>
      <c r="H176" t="s">
        <v>45</v>
      </c>
      <c r="I176" t="s">
        <v>60</v>
      </c>
      <c r="J176" t="s">
        <v>22</v>
      </c>
      <c r="K176">
        <v>3.5</v>
      </c>
      <c r="L176" t="s">
        <v>34</v>
      </c>
      <c r="M176" t="s">
        <v>61</v>
      </c>
      <c r="N176" t="s">
        <v>34</v>
      </c>
      <c r="O176">
        <v>37</v>
      </c>
      <c r="P176" t="s">
        <v>62</v>
      </c>
      <c r="Q176" t="s">
        <v>49</v>
      </c>
      <c r="R176" s="1">
        <v>0.1</v>
      </c>
      <c r="S176">
        <f t="shared" si="8"/>
        <v>31.5</v>
      </c>
      <c r="T176">
        <f>IFERROR(VLOOKUP(A176,Table1[[Customer ID]:[Discount Amount]], 6, FALSE),"Not Found")</f>
        <v>35</v>
      </c>
      <c r="U176" t="str">
        <f t="shared" si="9"/>
        <v>Venmo</v>
      </c>
      <c r="V176" s="4" t="str">
        <f t="shared" si="10"/>
        <v>Normal</v>
      </c>
      <c r="W176" s="4" t="str">
        <f t="shared" si="11"/>
        <v>Good</v>
      </c>
      <c r="X176" s="4">
        <f>AVERAGE(Table1[Purchase Amount])</f>
        <v>129.48419400000012</v>
      </c>
    </row>
    <row r="177" spans="1:24" ht="15" customHeight="1" x14ac:dyDescent="0.25">
      <c r="A177">
        <v>176</v>
      </c>
      <c r="B177">
        <v>53</v>
      </c>
      <c r="C177" t="s">
        <v>27</v>
      </c>
      <c r="D177" t="s">
        <v>76</v>
      </c>
      <c r="E177" t="s">
        <v>77</v>
      </c>
      <c r="F177" s="2">
        <v>86</v>
      </c>
      <c r="G177" t="s">
        <v>142</v>
      </c>
      <c r="H177" t="s">
        <v>45</v>
      </c>
      <c r="I177" t="s">
        <v>111</v>
      </c>
      <c r="J177" t="s">
        <v>47</v>
      </c>
      <c r="K177">
        <v>2.8</v>
      </c>
      <c r="L177" t="s">
        <v>34</v>
      </c>
      <c r="M177" t="s">
        <v>79</v>
      </c>
      <c r="N177" t="s">
        <v>34</v>
      </c>
      <c r="O177">
        <v>2</v>
      </c>
      <c r="P177" t="s">
        <v>88</v>
      </c>
      <c r="Q177" t="s">
        <v>49</v>
      </c>
      <c r="R177" s="1">
        <v>0.1</v>
      </c>
      <c r="S177">
        <f t="shared" si="8"/>
        <v>77.400000000000006</v>
      </c>
      <c r="T177">
        <f>IFERROR(VLOOKUP(A177,Table1[[Customer ID]:[Discount Amount]], 6, FALSE),"Not Found")</f>
        <v>86</v>
      </c>
      <c r="U177" t="str">
        <f t="shared" si="9"/>
        <v>Bank Transfer</v>
      </c>
      <c r="V177" s="4" t="str">
        <f t="shared" si="10"/>
        <v>Normal</v>
      </c>
      <c r="W177" s="4" t="str">
        <f t="shared" si="11"/>
        <v>Poor</v>
      </c>
      <c r="X177" s="4">
        <f>AVERAGE(Table1[Purchase Amount])</f>
        <v>129.48419400000012</v>
      </c>
    </row>
    <row r="178" spans="1:24" ht="15" customHeight="1" x14ac:dyDescent="0.25">
      <c r="A178">
        <v>177</v>
      </c>
      <c r="B178">
        <v>53</v>
      </c>
      <c r="C178" t="s">
        <v>27</v>
      </c>
      <c r="D178" t="s">
        <v>104</v>
      </c>
      <c r="E178" t="s">
        <v>29</v>
      </c>
      <c r="F178" s="2">
        <v>81</v>
      </c>
      <c r="G178" t="s">
        <v>132</v>
      </c>
      <c r="H178" t="s">
        <v>45</v>
      </c>
      <c r="I178" t="s">
        <v>40</v>
      </c>
      <c r="J178" t="s">
        <v>33</v>
      </c>
      <c r="K178">
        <v>2.7</v>
      </c>
      <c r="L178" t="s">
        <v>34</v>
      </c>
      <c r="M178" t="s">
        <v>79</v>
      </c>
      <c r="N178" t="s">
        <v>34</v>
      </c>
      <c r="O178">
        <v>30</v>
      </c>
      <c r="P178" t="s">
        <v>53</v>
      </c>
      <c r="Q178" t="s">
        <v>37</v>
      </c>
      <c r="R178" s="1">
        <v>0.1</v>
      </c>
      <c r="S178">
        <f t="shared" si="8"/>
        <v>72.900000000000006</v>
      </c>
      <c r="T178">
        <f>IFERROR(VLOOKUP(A178,Table1[[Customer ID]:[Discount Amount]], 6, FALSE),"Not Found")</f>
        <v>81</v>
      </c>
      <c r="U178" t="str">
        <f t="shared" si="9"/>
        <v>Credit Card</v>
      </c>
      <c r="V178" s="4" t="str">
        <f t="shared" si="10"/>
        <v>Normal</v>
      </c>
      <c r="W178" s="4" t="str">
        <f t="shared" si="11"/>
        <v>Poor</v>
      </c>
      <c r="X178" s="4">
        <f>AVERAGE(Table1[Purchase Amount])</f>
        <v>129.48419400000012</v>
      </c>
    </row>
    <row r="179" spans="1:24" ht="15" customHeight="1" x14ac:dyDescent="0.25">
      <c r="A179">
        <v>178</v>
      </c>
      <c r="B179">
        <v>21</v>
      </c>
      <c r="C179" t="s">
        <v>27</v>
      </c>
      <c r="D179" t="s">
        <v>83</v>
      </c>
      <c r="E179" t="s">
        <v>18</v>
      </c>
      <c r="F179" s="2">
        <v>42</v>
      </c>
      <c r="G179" t="s">
        <v>124</v>
      </c>
      <c r="H179" t="s">
        <v>45</v>
      </c>
      <c r="I179" t="s">
        <v>87</v>
      </c>
      <c r="J179" t="s">
        <v>47</v>
      </c>
      <c r="K179">
        <v>3.7</v>
      </c>
      <c r="L179" t="s">
        <v>34</v>
      </c>
      <c r="M179" t="s">
        <v>79</v>
      </c>
      <c r="N179" t="s">
        <v>34</v>
      </c>
      <c r="O179">
        <v>47</v>
      </c>
      <c r="P179" t="s">
        <v>88</v>
      </c>
      <c r="Q179" t="s">
        <v>42</v>
      </c>
      <c r="R179" s="1">
        <v>0.1</v>
      </c>
      <c r="S179">
        <f t="shared" si="8"/>
        <v>37.799999999999997</v>
      </c>
      <c r="T179">
        <f>IFERROR(VLOOKUP(A179,Table1[[Customer ID]:[Discount Amount]], 6, FALSE),"Not Found")</f>
        <v>42</v>
      </c>
      <c r="U179" t="str">
        <f t="shared" si="9"/>
        <v>Bank Transfer</v>
      </c>
      <c r="V179" s="4" t="str">
        <f t="shared" si="10"/>
        <v>Normal</v>
      </c>
      <c r="W179" s="4" t="str">
        <f t="shared" si="11"/>
        <v>Good</v>
      </c>
      <c r="X179" s="4">
        <f>AVERAGE(Table1[Purchase Amount])</f>
        <v>129.48419400000012</v>
      </c>
    </row>
    <row r="180" spans="1:24" ht="15" customHeight="1" x14ac:dyDescent="0.25">
      <c r="A180">
        <v>179</v>
      </c>
      <c r="B180">
        <v>61</v>
      </c>
      <c r="C180" t="s">
        <v>27</v>
      </c>
      <c r="D180" t="s">
        <v>122</v>
      </c>
      <c r="E180" t="s">
        <v>18</v>
      </c>
      <c r="F180" s="2">
        <v>43</v>
      </c>
      <c r="G180" t="s">
        <v>161</v>
      </c>
      <c r="H180" t="s">
        <v>45</v>
      </c>
      <c r="I180" t="s">
        <v>107</v>
      </c>
      <c r="J180" t="s">
        <v>47</v>
      </c>
      <c r="K180">
        <v>4.3</v>
      </c>
      <c r="L180" t="s">
        <v>34</v>
      </c>
      <c r="M180" t="s">
        <v>41</v>
      </c>
      <c r="N180" t="s">
        <v>34</v>
      </c>
      <c r="O180">
        <v>21</v>
      </c>
      <c r="P180" t="s">
        <v>58</v>
      </c>
      <c r="Q180" t="s">
        <v>37</v>
      </c>
      <c r="R180" s="1">
        <v>0.1</v>
      </c>
      <c r="S180">
        <f t="shared" si="8"/>
        <v>38.700000000000003</v>
      </c>
      <c r="T180">
        <f>IFERROR(VLOOKUP(A180,Table1[[Customer ID]:[Discount Amount]], 6, FALSE),"Not Found")</f>
        <v>43</v>
      </c>
      <c r="U180" t="str">
        <f t="shared" si="9"/>
        <v>PayPal</v>
      </c>
      <c r="V180" s="4" t="str">
        <f t="shared" si="10"/>
        <v>Normal</v>
      </c>
      <c r="W180" s="4" t="str">
        <f t="shared" si="11"/>
        <v>Good</v>
      </c>
      <c r="X180" s="4">
        <f>AVERAGE(Table1[Purchase Amount])</f>
        <v>129.48419400000012</v>
      </c>
    </row>
    <row r="181" spans="1:24" ht="15" customHeight="1" x14ac:dyDescent="0.25">
      <c r="A181">
        <v>180</v>
      </c>
      <c r="B181">
        <v>64</v>
      </c>
      <c r="C181" t="s">
        <v>27</v>
      </c>
      <c r="D181" t="s">
        <v>151</v>
      </c>
      <c r="E181" t="s">
        <v>98</v>
      </c>
      <c r="F181" s="2">
        <v>31</v>
      </c>
      <c r="G181" t="s">
        <v>44</v>
      </c>
      <c r="H181" t="s">
        <v>31</v>
      </c>
      <c r="I181" t="s">
        <v>111</v>
      </c>
      <c r="J181" t="s">
        <v>47</v>
      </c>
      <c r="K181">
        <v>4.9000000000000004</v>
      </c>
      <c r="L181" t="s">
        <v>34</v>
      </c>
      <c r="M181" t="s">
        <v>48</v>
      </c>
      <c r="N181" t="s">
        <v>34</v>
      </c>
      <c r="O181">
        <v>9</v>
      </c>
      <c r="P181" t="s">
        <v>88</v>
      </c>
      <c r="Q181" t="s">
        <v>89</v>
      </c>
      <c r="R181" s="1">
        <v>0.1</v>
      </c>
      <c r="S181">
        <f t="shared" si="8"/>
        <v>27.9</v>
      </c>
      <c r="T181">
        <f>IFERROR(VLOOKUP(A181,Table1[[Customer ID]:[Discount Amount]], 6, FALSE),"Not Found")</f>
        <v>31</v>
      </c>
      <c r="U181" t="str">
        <f t="shared" si="9"/>
        <v>Bank Transfer</v>
      </c>
      <c r="V181" s="4" t="str">
        <f t="shared" si="10"/>
        <v>Normal</v>
      </c>
      <c r="W181" s="4" t="str">
        <f t="shared" si="11"/>
        <v>Good</v>
      </c>
      <c r="X181" s="4">
        <f>AVERAGE(Table1[Purchase Amount])</f>
        <v>129.48419400000012</v>
      </c>
    </row>
    <row r="182" spans="1:24" ht="15" customHeight="1" x14ac:dyDescent="0.25">
      <c r="A182">
        <v>181</v>
      </c>
      <c r="B182">
        <v>51</v>
      </c>
      <c r="C182" t="s">
        <v>27</v>
      </c>
      <c r="D182" t="s">
        <v>121</v>
      </c>
      <c r="E182" t="s">
        <v>98</v>
      </c>
      <c r="F182" s="2">
        <v>81</v>
      </c>
      <c r="G182" t="s">
        <v>130</v>
      </c>
      <c r="H182" t="s">
        <v>45</v>
      </c>
      <c r="I182" t="s">
        <v>93</v>
      </c>
      <c r="J182" t="s">
        <v>47</v>
      </c>
      <c r="K182">
        <v>3.3</v>
      </c>
      <c r="L182" t="s">
        <v>34</v>
      </c>
      <c r="M182" t="s">
        <v>48</v>
      </c>
      <c r="N182" t="s">
        <v>34</v>
      </c>
      <c r="O182">
        <v>12</v>
      </c>
      <c r="P182" t="s">
        <v>36</v>
      </c>
      <c r="Q182" t="s">
        <v>89</v>
      </c>
      <c r="R182" s="1">
        <v>0.1</v>
      </c>
      <c r="S182">
        <f t="shared" si="8"/>
        <v>72.900000000000006</v>
      </c>
      <c r="T182">
        <f>IFERROR(VLOOKUP(A182,Table1[[Customer ID]:[Discount Amount]], 6, FALSE),"Not Found")</f>
        <v>81</v>
      </c>
      <c r="U182" t="str">
        <f t="shared" si="9"/>
        <v>Debit Card</v>
      </c>
      <c r="V182" s="4" t="str">
        <f t="shared" si="10"/>
        <v>Normal</v>
      </c>
      <c r="W182" s="4" t="str">
        <f t="shared" si="11"/>
        <v>Good</v>
      </c>
      <c r="X182" s="4">
        <f>AVERAGE(Table1[Purchase Amount])</f>
        <v>129.48419400000012</v>
      </c>
    </row>
    <row r="183" spans="1:24" ht="15" customHeight="1" x14ac:dyDescent="0.25">
      <c r="A183">
        <v>182</v>
      </c>
      <c r="B183">
        <v>32</v>
      </c>
      <c r="C183" t="s">
        <v>27</v>
      </c>
      <c r="D183" t="s">
        <v>99</v>
      </c>
      <c r="E183" t="s">
        <v>18</v>
      </c>
      <c r="F183" s="2">
        <v>61</v>
      </c>
      <c r="G183" t="s">
        <v>97</v>
      </c>
      <c r="H183" t="s">
        <v>31</v>
      </c>
      <c r="I183" t="s">
        <v>56</v>
      </c>
      <c r="J183" t="s">
        <v>57</v>
      </c>
      <c r="K183">
        <v>4.7</v>
      </c>
      <c r="L183" t="s">
        <v>34</v>
      </c>
      <c r="M183" t="s">
        <v>79</v>
      </c>
      <c r="N183" t="s">
        <v>34</v>
      </c>
      <c r="O183">
        <v>4</v>
      </c>
      <c r="P183" t="s">
        <v>88</v>
      </c>
      <c r="Q183" t="s">
        <v>26</v>
      </c>
      <c r="R183" s="1">
        <v>0.1</v>
      </c>
      <c r="S183">
        <f t="shared" si="8"/>
        <v>54.9</v>
      </c>
      <c r="T183">
        <f>IFERROR(VLOOKUP(A183,Table1[[Customer ID]:[Discount Amount]], 6, FALSE),"Not Found")</f>
        <v>61</v>
      </c>
      <c r="U183" t="str">
        <f t="shared" si="9"/>
        <v>Bank Transfer</v>
      </c>
      <c r="V183" s="4" t="str">
        <f t="shared" si="10"/>
        <v>Normal</v>
      </c>
      <c r="W183" s="4" t="str">
        <f t="shared" si="11"/>
        <v>Good</v>
      </c>
      <c r="X183" s="4">
        <f>AVERAGE(Table1[Purchase Amount])</f>
        <v>129.48419400000012</v>
      </c>
    </row>
    <row r="184" spans="1:24" ht="15" customHeight="1" x14ac:dyDescent="0.25">
      <c r="A184">
        <v>183</v>
      </c>
      <c r="B184">
        <v>38</v>
      </c>
      <c r="C184" t="s">
        <v>27</v>
      </c>
      <c r="D184" t="s">
        <v>43</v>
      </c>
      <c r="E184" t="s">
        <v>29</v>
      </c>
      <c r="F184" s="2">
        <v>96</v>
      </c>
      <c r="G184" t="s">
        <v>51</v>
      </c>
      <c r="H184" t="s">
        <v>20</v>
      </c>
      <c r="I184" t="s">
        <v>66</v>
      </c>
      <c r="J184" t="s">
        <v>57</v>
      </c>
      <c r="K184">
        <v>2.8</v>
      </c>
      <c r="L184" t="s">
        <v>34</v>
      </c>
      <c r="M184" t="s">
        <v>48</v>
      </c>
      <c r="N184" t="s">
        <v>34</v>
      </c>
      <c r="O184">
        <v>10</v>
      </c>
      <c r="P184" t="s">
        <v>36</v>
      </c>
      <c r="Q184" t="s">
        <v>49</v>
      </c>
      <c r="R184" s="1">
        <v>0.1</v>
      </c>
      <c r="S184">
        <f t="shared" si="8"/>
        <v>86.4</v>
      </c>
      <c r="T184">
        <f>IFERROR(VLOOKUP(A184,Table1[[Customer ID]:[Discount Amount]], 6, FALSE),"Not Found")</f>
        <v>96</v>
      </c>
      <c r="U184" t="str">
        <f t="shared" si="9"/>
        <v>Debit Card</v>
      </c>
      <c r="V184" s="4" t="str">
        <f t="shared" si="10"/>
        <v>Normal</v>
      </c>
      <c r="W184" s="4" t="str">
        <f t="shared" si="11"/>
        <v>Poor</v>
      </c>
      <c r="X184" s="4">
        <f>AVERAGE(Table1[Purchase Amount])</f>
        <v>129.48419400000012</v>
      </c>
    </row>
    <row r="185" spans="1:24" ht="15" customHeight="1" x14ac:dyDescent="0.25">
      <c r="A185">
        <v>184</v>
      </c>
      <c r="B185">
        <v>58</v>
      </c>
      <c r="C185" t="s">
        <v>27</v>
      </c>
      <c r="D185" t="s">
        <v>122</v>
      </c>
      <c r="E185" t="s">
        <v>18</v>
      </c>
      <c r="F185" s="2">
        <v>29</v>
      </c>
      <c r="G185" t="s">
        <v>90</v>
      </c>
      <c r="H185" t="s">
        <v>20</v>
      </c>
      <c r="I185" t="s">
        <v>56</v>
      </c>
      <c r="J185" t="s">
        <v>33</v>
      </c>
      <c r="K185">
        <v>3.6</v>
      </c>
      <c r="L185" t="s">
        <v>34</v>
      </c>
      <c r="M185" t="s">
        <v>41</v>
      </c>
      <c r="N185" t="s">
        <v>34</v>
      </c>
      <c r="O185">
        <v>26</v>
      </c>
      <c r="P185" t="s">
        <v>53</v>
      </c>
      <c r="Q185" t="s">
        <v>26</v>
      </c>
      <c r="R185" s="1">
        <v>0.1</v>
      </c>
      <c r="S185">
        <f t="shared" si="8"/>
        <v>26.1</v>
      </c>
      <c r="T185">
        <f>IFERROR(VLOOKUP(A185,Table1[[Customer ID]:[Discount Amount]], 6, FALSE),"Not Found")</f>
        <v>29</v>
      </c>
      <c r="U185" t="str">
        <f t="shared" si="9"/>
        <v>Credit Card</v>
      </c>
      <c r="V185" s="4" t="str">
        <f t="shared" si="10"/>
        <v>Normal</v>
      </c>
      <c r="W185" s="4" t="str">
        <f t="shared" si="11"/>
        <v>Good</v>
      </c>
      <c r="X185" s="4">
        <f>AVERAGE(Table1[Purchase Amount])</f>
        <v>129.48419400000012</v>
      </c>
    </row>
    <row r="186" spans="1:24" ht="15" customHeight="1" x14ac:dyDescent="0.25">
      <c r="A186">
        <v>185</v>
      </c>
      <c r="B186">
        <v>32</v>
      </c>
      <c r="C186" t="s">
        <v>27</v>
      </c>
      <c r="D186" t="s">
        <v>140</v>
      </c>
      <c r="E186" t="s">
        <v>98</v>
      </c>
      <c r="F186" s="2">
        <v>33</v>
      </c>
      <c r="G186" t="s">
        <v>135</v>
      </c>
      <c r="H186" t="s">
        <v>45</v>
      </c>
      <c r="I186" t="s">
        <v>128</v>
      </c>
      <c r="J186" t="s">
        <v>33</v>
      </c>
      <c r="K186">
        <v>3</v>
      </c>
      <c r="L186" t="s">
        <v>34</v>
      </c>
      <c r="M186" t="s">
        <v>61</v>
      </c>
      <c r="N186" t="s">
        <v>34</v>
      </c>
      <c r="O186">
        <v>40</v>
      </c>
      <c r="P186" t="s">
        <v>25</v>
      </c>
      <c r="Q186" t="s">
        <v>89</v>
      </c>
      <c r="R186" s="1">
        <v>0.1</v>
      </c>
      <c r="S186">
        <f t="shared" si="8"/>
        <v>29.7</v>
      </c>
      <c r="T186">
        <f>IFERROR(VLOOKUP(A186,Table1[[Customer ID]:[Discount Amount]], 6, FALSE),"Not Found")</f>
        <v>33</v>
      </c>
      <c r="U186" t="str">
        <f t="shared" si="9"/>
        <v>Cash</v>
      </c>
      <c r="V186" s="4" t="str">
        <f t="shared" si="10"/>
        <v>Normal</v>
      </c>
      <c r="W186" s="4" t="str">
        <f t="shared" si="11"/>
        <v>Good</v>
      </c>
      <c r="X186" s="4">
        <f>AVERAGE(Table1[Purchase Amount])</f>
        <v>129.48419400000012</v>
      </c>
    </row>
    <row r="187" spans="1:24" ht="15" customHeight="1" x14ac:dyDescent="0.25">
      <c r="A187">
        <v>186</v>
      </c>
      <c r="B187">
        <v>46</v>
      </c>
      <c r="C187" t="s">
        <v>27</v>
      </c>
      <c r="D187" t="s">
        <v>17</v>
      </c>
      <c r="E187" t="s">
        <v>18</v>
      </c>
      <c r="F187" s="2">
        <v>32</v>
      </c>
      <c r="G187" t="s">
        <v>59</v>
      </c>
      <c r="H187" t="s">
        <v>20</v>
      </c>
      <c r="I187" t="s">
        <v>153</v>
      </c>
      <c r="J187" t="s">
        <v>57</v>
      </c>
      <c r="K187">
        <v>4.5</v>
      </c>
      <c r="L187" t="s">
        <v>34</v>
      </c>
      <c r="M187" t="s">
        <v>48</v>
      </c>
      <c r="N187" t="s">
        <v>34</v>
      </c>
      <c r="O187">
        <v>34</v>
      </c>
      <c r="P187" t="s">
        <v>88</v>
      </c>
      <c r="Q187" t="s">
        <v>89</v>
      </c>
      <c r="R187" s="1">
        <v>0.1</v>
      </c>
      <c r="S187">
        <f t="shared" si="8"/>
        <v>28.8</v>
      </c>
      <c r="T187">
        <f>IFERROR(VLOOKUP(A187,Table1[[Customer ID]:[Discount Amount]], 6, FALSE),"Not Found")</f>
        <v>32</v>
      </c>
      <c r="U187" t="str">
        <f t="shared" si="9"/>
        <v>Bank Transfer</v>
      </c>
      <c r="V187" s="4" t="str">
        <f t="shared" si="10"/>
        <v>Normal</v>
      </c>
      <c r="W187" s="4" t="str">
        <f t="shared" si="11"/>
        <v>Good</v>
      </c>
      <c r="X187" s="4">
        <f>AVERAGE(Table1[Purchase Amount])</f>
        <v>129.48419400000012</v>
      </c>
    </row>
    <row r="188" spans="1:24" ht="15" customHeight="1" x14ac:dyDescent="0.25">
      <c r="A188">
        <v>187</v>
      </c>
      <c r="B188">
        <v>39</v>
      </c>
      <c r="C188" t="s">
        <v>27</v>
      </c>
      <c r="D188" t="s">
        <v>104</v>
      </c>
      <c r="E188" t="s">
        <v>29</v>
      </c>
      <c r="F188" s="2">
        <v>56</v>
      </c>
      <c r="G188" t="s">
        <v>120</v>
      </c>
      <c r="H188" t="s">
        <v>55</v>
      </c>
      <c r="I188" t="s">
        <v>107</v>
      </c>
      <c r="J188" t="s">
        <v>57</v>
      </c>
      <c r="K188">
        <v>2.9</v>
      </c>
      <c r="L188" t="s">
        <v>34</v>
      </c>
      <c r="M188" t="s">
        <v>24</v>
      </c>
      <c r="N188" t="s">
        <v>34</v>
      </c>
      <c r="O188">
        <v>31</v>
      </c>
      <c r="P188" t="s">
        <v>36</v>
      </c>
      <c r="Q188" t="s">
        <v>49</v>
      </c>
      <c r="R188" s="1">
        <v>0.1</v>
      </c>
      <c r="S188">
        <f t="shared" si="8"/>
        <v>50.4</v>
      </c>
      <c r="T188">
        <f>IFERROR(VLOOKUP(A188,Table1[[Customer ID]:[Discount Amount]], 6, FALSE),"Not Found")</f>
        <v>56</v>
      </c>
      <c r="U188" t="str">
        <f t="shared" si="9"/>
        <v>Debit Card</v>
      </c>
      <c r="V188" s="4" t="str">
        <f t="shared" si="10"/>
        <v>Normal</v>
      </c>
      <c r="W188" s="4" t="str">
        <f t="shared" si="11"/>
        <v>Poor</v>
      </c>
      <c r="X188" s="4">
        <f>AVERAGE(Table1[Purchase Amount])</f>
        <v>129.48419400000012</v>
      </c>
    </row>
    <row r="189" spans="1:24" ht="15" customHeight="1" x14ac:dyDescent="0.25">
      <c r="A189">
        <v>188</v>
      </c>
      <c r="B189">
        <v>19</v>
      </c>
      <c r="C189" t="s">
        <v>27</v>
      </c>
      <c r="D189" t="s">
        <v>72</v>
      </c>
      <c r="E189" t="s">
        <v>98</v>
      </c>
      <c r="F189" s="2">
        <v>94</v>
      </c>
      <c r="G189" t="s">
        <v>160</v>
      </c>
      <c r="H189" t="s">
        <v>55</v>
      </c>
      <c r="I189" t="s">
        <v>66</v>
      </c>
      <c r="J189" t="s">
        <v>33</v>
      </c>
      <c r="K189">
        <v>3.3</v>
      </c>
      <c r="L189" t="s">
        <v>34</v>
      </c>
      <c r="M189" t="s">
        <v>48</v>
      </c>
      <c r="N189" t="s">
        <v>34</v>
      </c>
      <c r="O189">
        <v>1</v>
      </c>
      <c r="P189" t="s">
        <v>88</v>
      </c>
      <c r="Q189" t="s">
        <v>68</v>
      </c>
      <c r="R189" s="1">
        <v>0.1</v>
      </c>
      <c r="S189">
        <f t="shared" si="8"/>
        <v>84.6</v>
      </c>
      <c r="T189">
        <f>IFERROR(VLOOKUP(A189,Table1[[Customer ID]:[Discount Amount]], 6, FALSE),"Not Found")</f>
        <v>94</v>
      </c>
      <c r="U189" t="str">
        <f t="shared" si="9"/>
        <v>Bank Transfer</v>
      </c>
      <c r="V189" s="4" t="str">
        <f t="shared" si="10"/>
        <v>Normal</v>
      </c>
      <c r="W189" s="4" t="str">
        <f t="shared" si="11"/>
        <v>Good</v>
      </c>
      <c r="X189" s="4">
        <f>AVERAGE(Table1[Purchase Amount])</f>
        <v>129.48419400000012</v>
      </c>
    </row>
    <row r="190" spans="1:24" ht="15" customHeight="1" x14ac:dyDescent="0.25">
      <c r="A190">
        <v>189</v>
      </c>
      <c r="B190">
        <v>50</v>
      </c>
      <c r="C190" t="s">
        <v>27</v>
      </c>
      <c r="D190" t="s">
        <v>83</v>
      </c>
      <c r="E190" t="s">
        <v>18</v>
      </c>
      <c r="F190" s="2">
        <v>53</v>
      </c>
      <c r="G190" t="s">
        <v>100</v>
      </c>
      <c r="H190" t="s">
        <v>31</v>
      </c>
      <c r="I190" t="s">
        <v>136</v>
      </c>
      <c r="J190" t="s">
        <v>33</v>
      </c>
      <c r="K190">
        <v>3.1</v>
      </c>
      <c r="L190" t="s">
        <v>34</v>
      </c>
      <c r="M190" t="s">
        <v>61</v>
      </c>
      <c r="N190" t="s">
        <v>34</v>
      </c>
      <c r="O190">
        <v>5</v>
      </c>
      <c r="P190" t="s">
        <v>88</v>
      </c>
      <c r="Q190" t="s">
        <v>68</v>
      </c>
      <c r="R190" s="1">
        <v>0.1</v>
      </c>
      <c r="S190">
        <f t="shared" si="8"/>
        <v>47.7</v>
      </c>
      <c r="T190">
        <f>IFERROR(VLOOKUP(A190,Table1[[Customer ID]:[Discount Amount]], 6, FALSE),"Not Found")</f>
        <v>53</v>
      </c>
      <c r="U190" t="str">
        <f t="shared" si="9"/>
        <v>Bank Transfer</v>
      </c>
      <c r="V190" s="4" t="str">
        <f t="shared" si="10"/>
        <v>Normal</v>
      </c>
      <c r="W190" s="4" t="str">
        <f t="shared" si="11"/>
        <v>Good</v>
      </c>
      <c r="X190" s="4">
        <f>AVERAGE(Table1[Purchase Amount])</f>
        <v>129.48419400000012</v>
      </c>
    </row>
    <row r="191" spans="1:24" ht="15" customHeight="1" x14ac:dyDescent="0.25">
      <c r="A191">
        <v>190</v>
      </c>
      <c r="B191">
        <v>36</v>
      </c>
      <c r="C191" t="s">
        <v>27</v>
      </c>
      <c r="D191" t="s">
        <v>118</v>
      </c>
      <c r="E191" t="s">
        <v>18</v>
      </c>
      <c r="F191" s="2">
        <v>82</v>
      </c>
      <c r="G191" t="s">
        <v>154</v>
      </c>
      <c r="H191" t="s">
        <v>31</v>
      </c>
      <c r="I191" t="s">
        <v>125</v>
      </c>
      <c r="J191" t="s">
        <v>47</v>
      </c>
      <c r="K191">
        <v>4.4000000000000004</v>
      </c>
      <c r="L191" t="s">
        <v>34</v>
      </c>
      <c r="M191" t="s">
        <v>79</v>
      </c>
      <c r="N191" t="s">
        <v>34</v>
      </c>
      <c r="O191">
        <v>4</v>
      </c>
      <c r="P191" t="s">
        <v>53</v>
      </c>
      <c r="Q191" t="s">
        <v>26</v>
      </c>
      <c r="R191" s="1">
        <v>0.1</v>
      </c>
      <c r="S191">
        <f t="shared" si="8"/>
        <v>73.8</v>
      </c>
      <c r="T191">
        <f>IFERROR(VLOOKUP(A191,Table1[[Customer ID]:[Discount Amount]], 6, FALSE),"Not Found")</f>
        <v>82</v>
      </c>
      <c r="U191" t="str">
        <f t="shared" si="9"/>
        <v>Credit Card</v>
      </c>
      <c r="V191" s="4" t="str">
        <f t="shared" si="10"/>
        <v>Normal</v>
      </c>
      <c r="W191" s="4" t="str">
        <f t="shared" si="11"/>
        <v>Good</v>
      </c>
      <c r="X191" s="4">
        <f>AVERAGE(Table1[Purchase Amount])</f>
        <v>129.48419400000012</v>
      </c>
    </row>
    <row r="192" spans="1:24" ht="15" customHeight="1" x14ac:dyDescent="0.25">
      <c r="A192">
        <v>191</v>
      </c>
      <c r="B192">
        <v>65</v>
      </c>
      <c r="C192" t="s">
        <v>27</v>
      </c>
      <c r="D192" t="s">
        <v>76</v>
      </c>
      <c r="E192" t="s">
        <v>77</v>
      </c>
      <c r="F192" s="2">
        <v>70</v>
      </c>
      <c r="G192" t="s">
        <v>102</v>
      </c>
      <c r="H192" t="s">
        <v>20</v>
      </c>
      <c r="I192" t="s">
        <v>56</v>
      </c>
      <c r="J192" t="s">
        <v>47</v>
      </c>
      <c r="K192">
        <v>3</v>
      </c>
      <c r="L192" t="s">
        <v>34</v>
      </c>
      <c r="M192" t="s">
        <v>35</v>
      </c>
      <c r="N192" t="s">
        <v>34</v>
      </c>
      <c r="O192">
        <v>48</v>
      </c>
      <c r="P192" t="s">
        <v>62</v>
      </c>
      <c r="Q192" t="s">
        <v>37</v>
      </c>
      <c r="R192" s="1">
        <v>0.1</v>
      </c>
      <c r="S192">
        <f t="shared" si="8"/>
        <v>63</v>
      </c>
      <c r="T192">
        <f>IFERROR(VLOOKUP(A192,Table1[[Customer ID]:[Discount Amount]], 6, FALSE),"Not Found")</f>
        <v>70</v>
      </c>
      <c r="U192" t="str">
        <f t="shared" si="9"/>
        <v>Venmo</v>
      </c>
      <c r="V192" s="4" t="str">
        <f t="shared" si="10"/>
        <v>Normal</v>
      </c>
      <c r="W192" s="4" t="str">
        <f t="shared" si="11"/>
        <v>Good</v>
      </c>
      <c r="X192" s="4">
        <f>AVERAGE(Table1[Purchase Amount])</f>
        <v>129.48419400000012</v>
      </c>
    </row>
    <row r="193" spans="1:24" ht="15" customHeight="1" x14ac:dyDescent="0.25">
      <c r="A193">
        <v>192</v>
      </c>
      <c r="B193">
        <v>64</v>
      </c>
      <c r="C193" t="s">
        <v>27</v>
      </c>
      <c r="D193" t="s">
        <v>64</v>
      </c>
      <c r="E193" t="s">
        <v>29</v>
      </c>
      <c r="F193" s="2">
        <v>76</v>
      </c>
      <c r="G193" t="s">
        <v>144</v>
      </c>
      <c r="H193" t="s">
        <v>31</v>
      </c>
      <c r="I193" t="s">
        <v>85</v>
      </c>
      <c r="J193" t="s">
        <v>47</v>
      </c>
      <c r="K193">
        <v>3.9</v>
      </c>
      <c r="L193" t="s">
        <v>34</v>
      </c>
      <c r="M193" t="s">
        <v>35</v>
      </c>
      <c r="N193" t="s">
        <v>34</v>
      </c>
      <c r="O193">
        <v>29</v>
      </c>
      <c r="P193" t="s">
        <v>25</v>
      </c>
      <c r="Q193" t="s">
        <v>63</v>
      </c>
      <c r="R193" s="1">
        <v>0.1</v>
      </c>
      <c r="S193">
        <f t="shared" si="8"/>
        <v>68.400000000000006</v>
      </c>
      <c r="T193">
        <f>IFERROR(VLOOKUP(A193,Table1[[Customer ID]:[Discount Amount]], 6, FALSE),"Not Found")</f>
        <v>76</v>
      </c>
      <c r="U193" t="str">
        <f t="shared" si="9"/>
        <v>Cash</v>
      </c>
      <c r="V193" s="4" t="str">
        <f t="shared" si="10"/>
        <v>Normal</v>
      </c>
      <c r="W193" s="4" t="str">
        <f t="shared" si="11"/>
        <v>Good</v>
      </c>
      <c r="X193" s="4">
        <f>AVERAGE(Table1[Purchase Amount])</f>
        <v>129.48419400000012</v>
      </c>
    </row>
    <row r="194" spans="1:24" ht="15" customHeight="1" x14ac:dyDescent="0.25">
      <c r="A194">
        <v>193</v>
      </c>
      <c r="B194">
        <v>46</v>
      </c>
      <c r="C194" t="s">
        <v>27</v>
      </c>
      <c r="D194" t="s">
        <v>72</v>
      </c>
      <c r="E194" t="s">
        <v>98</v>
      </c>
      <c r="F194" s="2">
        <v>29</v>
      </c>
      <c r="G194" t="s">
        <v>137</v>
      </c>
      <c r="H194" t="s">
        <v>45</v>
      </c>
      <c r="I194" t="s">
        <v>156</v>
      </c>
      <c r="J194" t="s">
        <v>57</v>
      </c>
      <c r="K194">
        <v>2.9</v>
      </c>
      <c r="L194" t="s">
        <v>34</v>
      </c>
      <c r="M194" t="s">
        <v>61</v>
      </c>
      <c r="N194" t="s">
        <v>34</v>
      </c>
      <c r="O194">
        <v>12</v>
      </c>
      <c r="P194" t="s">
        <v>58</v>
      </c>
      <c r="Q194" t="s">
        <v>68</v>
      </c>
      <c r="R194" s="1">
        <v>0.1</v>
      </c>
      <c r="S194">
        <f t="shared" ref="S194:S257" si="12">F194-(F194*R194)</f>
        <v>26.1</v>
      </c>
      <c r="T194">
        <f>IFERROR(VLOOKUP(A194,Table1[[Customer ID]:[Discount Amount]], 6, FALSE),"Not Found")</f>
        <v>29</v>
      </c>
      <c r="U194" t="str">
        <f t="shared" ref="U194:U257" si="13">INDEX(P:P, MATCH(A194, A:A, 0))</f>
        <v>PayPal</v>
      </c>
      <c r="V194" s="4" t="str">
        <f t="shared" ref="V194:V257" si="14">IF(AND(F194&gt;1000,K194&gt;=4),"Best Customer","Normal")</f>
        <v>Normal</v>
      </c>
      <c r="W194" s="4" t="str">
        <f t="shared" ref="W194:W257" si="15">IF(K194&gt;=3,"Good","Poor")</f>
        <v>Poor</v>
      </c>
      <c r="X194" s="4">
        <f>AVERAGE(Table1[Purchase Amount])</f>
        <v>129.48419400000012</v>
      </c>
    </row>
    <row r="195" spans="1:24" ht="15" customHeight="1" x14ac:dyDescent="0.25">
      <c r="A195">
        <v>194</v>
      </c>
      <c r="B195">
        <v>36</v>
      </c>
      <c r="C195" t="s">
        <v>27</v>
      </c>
      <c r="D195" t="s">
        <v>114</v>
      </c>
      <c r="E195" t="s">
        <v>29</v>
      </c>
      <c r="F195" s="2">
        <v>100</v>
      </c>
      <c r="G195" t="s">
        <v>86</v>
      </c>
      <c r="H195" t="s">
        <v>55</v>
      </c>
      <c r="I195" t="s">
        <v>153</v>
      </c>
      <c r="J195" t="s">
        <v>47</v>
      </c>
      <c r="K195">
        <v>3</v>
      </c>
      <c r="L195" t="s">
        <v>34</v>
      </c>
      <c r="M195" t="s">
        <v>24</v>
      </c>
      <c r="N195" t="s">
        <v>34</v>
      </c>
      <c r="O195">
        <v>29</v>
      </c>
      <c r="P195" t="s">
        <v>62</v>
      </c>
      <c r="Q195" t="s">
        <v>49</v>
      </c>
      <c r="R195" s="1">
        <v>0.1</v>
      </c>
      <c r="S195">
        <f t="shared" si="12"/>
        <v>90</v>
      </c>
      <c r="T195">
        <f>IFERROR(VLOOKUP(A195,Table1[[Customer ID]:[Discount Amount]], 6, FALSE),"Not Found")</f>
        <v>100</v>
      </c>
      <c r="U195" t="str">
        <f t="shared" si="13"/>
        <v>Venmo</v>
      </c>
      <c r="V195" s="4" t="str">
        <f t="shared" si="14"/>
        <v>Normal</v>
      </c>
      <c r="W195" s="4" t="str">
        <f t="shared" si="15"/>
        <v>Good</v>
      </c>
      <c r="X195" s="4">
        <f>AVERAGE(Table1[Purchase Amount])</f>
        <v>129.48419400000012</v>
      </c>
    </row>
    <row r="196" spans="1:24" ht="15" customHeight="1" x14ac:dyDescent="0.25">
      <c r="A196">
        <v>195</v>
      </c>
      <c r="B196">
        <v>51</v>
      </c>
      <c r="C196" t="s">
        <v>27</v>
      </c>
      <c r="D196" t="s">
        <v>104</v>
      </c>
      <c r="E196" t="s">
        <v>29</v>
      </c>
      <c r="F196" s="2">
        <v>94</v>
      </c>
      <c r="G196" t="s">
        <v>146</v>
      </c>
      <c r="H196" t="s">
        <v>31</v>
      </c>
      <c r="I196" t="s">
        <v>21</v>
      </c>
      <c r="J196" t="s">
        <v>33</v>
      </c>
      <c r="K196">
        <v>3.1</v>
      </c>
      <c r="L196" t="s">
        <v>34</v>
      </c>
      <c r="M196" t="s">
        <v>61</v>
      </c>
      <c r="N196" t="s">
        <v>34</v>
      </c>
      <c r="O196">
        <v>15</v>
      </c>
      <c r="P196" t="s">
        <v>36</v>
      </c>
      <c r="Q196" t="s">
        <v>37</v>
      </c>
      <c r="R196" s="1">
        <v>0.1</v>
      </c>
      <c r="S196">
        <f t="shared" si="12"/>
        <v>84.6</v>
      </c>
      <c r="T196">
        <f>IFERROR(VLOOKUP(A196,Table1[[Customer ID]:[Discount Amount]], 6, FALSE),"Not Found")</f>
        <v>94</v>
      </c>
      <c r="U196" t="str">
        <f t="shared" si="13"/>
        <v>Debit Card</v>
      </c>
      <c r="V196" s="4" t="str">
        <f t="shared" si="14"/>
        <v>Normal</v>
      </c>
      <c r="W196" s="4" t="str">
        <f t="shared" si="15"/>
        <v>Good</v>
      </c>
      <c r="X196" s="4">
        <f>AVERAGE(Table1[Purchase Amount])</f>
        <v>129.48419400000012</v>
      </c>
    </row>
    <row r="197" spans="1:24" ht="15" customHeight="1" x14ac:dyDescent="0.25">
      <c r="A197">
        <v>196</v>
      </c>
      <c r="B197">
        <v>51</v>
      </c>
      <c r="C197" t="s">
        <v>27</v>
      </c>
      <c r="D197" t="s">
        <v>96</v>
      </c>
      <c r="E197" t="s">
        <v>77</v>
      </c>
      <c r="F197" s="2">
        <v>25</v>
      </c>
      <c r="G197" t="s">
        <v>101</v>
      </c>
      <c r="H197" t="s">
        <v>31</v>
      </c>
      <c r="I197" t="s">
        <v>87</v>
      </c>
      <c r="J197" t="s">
        <v>47</v>
      </c>
      <c r="K197">
        <v>4.3</v>
      </c>
      <c r="L197" t="s">
        <v>34</v>
      </c>
      <c r="M197" t="s">
        <v>35</v>
      </c>
      <c r="N197" t="s">
        <v>34</v>
      </c>
      <c r="O197">
        <v>34</v>
      </c>
      <c r="P197" t="s">
        <v>53</v>
      </c>
      <c r="Q197" t="s">
        <v>42</v>
      </c>
      <c r="R197" s="1">
        <v>0.1</v>
      </c>
      <c r="S197">
        <f t="shared" si="12"/>
        <v>22.5</v>
      </c>
      <c r="T197">
        <f>IFERROR(VLOOKUP(A197,Table1[[Customer ID]:[Discount Amount]], 6, FALSE),"Not Found")</f>
        <v>25</v>
      </c>
      <c r="U197" t="str">
        <f t="shared" si="13"/>
        <v>Credit Card</v>
      </c>
      <c r="V197" s="4" t="str">
        <f t="shared" si="14"/>
        <v>Normal</v>
      </c>
      <c r="W197" s="4" t="str">
        <f t="shared" si="15"/>
        <v>Good</v>
      </c>
      <c r="X197" s="4">
        <f>AVERAGE(Table1[Purchase Amount])</f>
        <v>129.48419400000012</v>
      </c>
    </row>
    <row r="198" spans="1:24" ht="15" customHeight="1" x14ac:dyDescent="0.25">
      <c r="A198">
        <v>197</v>
      </c>
      <c r="B198">
        <v>38</v>
      </c>
      <c r="C198" t="s">
        <v>27</v>
      </c>
      <c r="D198" t="s">
        <v>151</v>
      </c>
      <c r="E198" t="s">
        <v>98</v>
      </c>
      <c r="F198" s="2">
        <v>88</v>
      </c>
      <c r="G198" t="s">
        <v>155</v>
      </c>
      <c r="H198" t="s">
        <v>31</v>
      </c>
      <c r="I198" t="s">
        <v>107</v>
      </c>
      <c r="J198" t="s">
        <v>57</v>
      </c>
      <c r="K198">
        <v>3.9</v>
      </c>
      <c r="L198" t="s">
        <v>34</v>
      </c>
      <c r="M198" t="s">
        <v>79</v>
      </c>
      <c r="N198" t="s">
        <v>34</v>
      </c>
      <c r="O198">
        <v>41</v>
      </c>
      <c r="P198" t="s">
        <v>53</v>
      </c>
      <c r="Q198" t="s">
        <v>89</v>
      </c>
      <c r="R198" s="1">
        <v>0.1</v>
      </c>
      <c r="S198">
        <f t="shared" si="12"/>
        <v>79.2</v>
      </c>
      <c r="T198">
        <f>IFERROR(VLOOKUP(A198,Table1[[Customer ID]:[Discount Amount]], 6, FALSE),"Not Found")</f>
        <v>88</v>
      </c>
      <c r="U198" t="str">
        <f t="shared" si="13"/>
        <v>Credit Card</v>
      </c>
      <c r="V198" s="4" t="str">
        <f t="shared" si="14"/>
        <v>Normal</v>
      </c>
      <c r="W198" s="4" t="str">
        <f t="shared" si="15"/>
        <v>Good</v>
      </c>
      <c r="X198" s="4">
        <f>AVERAGE(Table1[Purchase Amount])</f>
        <v>129.48419400000012</v>
      </c>
    </row>
    <row r="199" spans="1:24" ht="15" customHeight="1" x14ac:dyDescent="0.25">
      <c r="A199">
        <v>198</v>
      </c>
      <c r="B199">
        <v>59</v>
      </c>
      <c r="C199" t="s">
        <v>27</v>
      </c>
      <c r="D199" t="s">
        <v>129</v>
      </c>
      <c r="E199" t="s">
        <v>29</v>
      </c>
      <c r="F199" s="2">
        <v>78</v>
      </c>
      <c r="G199" t="s">
        <v>30</v>
      </c>
      <c r="H199" t="s">
        <v>31</v>
      </c>
      <c r="I199" t="s">
        <v>40</v>
      </c>
      <c r="J199" t="s">
        <v>47</v>
      </c>
      <c r="K199">
        <v>3.2</v>
      </c>
      <c r="L199" t="s">
        <v>34</v>
      </c>
      <c r="M199" t="s">
        <v>41</v>
      </c>
      <c r="N199" t="s">
        <v>34</v>
      </c>
      <c r="O199">
        <v>41</v>
      </c>
      <c r="P199" t="s">
        <v>53</v>
      </c>
      <c r="Q199" t="s">
        <v>42</v>
      </c>
      <c r="R199" s="1">
        <v>0.1</v>
      </c>
      <c r="S199">
        <f t="shared" si="12"/>
        <v>70.2</v>
      </c>
      <c r="T199">
        <f>IFERROR(VLOOKUP(A199,Table1[[Customer ID]:[Discount Amount]], 6, FALSE),"Not Found")</f>
        <v>78</v>
      </c>
      <c r="U199" t="str">
        <f t="shared" si="13"/>
        <v>Credit Card</v>
      </c>
      <c r="V199" s="4" t="str">
        <f t="shared" si="14"/>
        <v>Normal</v>
      </c>
      <c r="W199" s="4" t="str">
        <f t="shared" si="15"/>
        <v>Good</v>
      </c>
      <c r="X199" s="4">
        <f>AVERAGE(Table1[Purchase Amount])</f>
        <v>129.48419400000012</v>
      </c>
    </row>
    <row r="200" spans="1:24" ht="15" customHeight="1" x14ac:dyDescent="0.25">
      <c r="A200">
        <v>199</v>
      </c>
      <c r="B200">
        <v>57</v>
      </c>
      <c r="C200" t="s">
        <v>27</v>
      </c>
      <c r="D200" t="s">
        <v>50</v>
      </c>
      <c r="E200" t="s">
        <v>29</v>
      </c>
      <c r="F200" s="2">
        <v>45</v>
      </c>
      <c r="G200" t="s">
        <v>144</v>
      </c>
      <c r="H200" t="s">
        <v>31</v>
      </c>
      <c r="I200" t="s">
        <v>156</v>
      </c>
      <c r="J200" t="s">
        <v>22</v>
      </c>
      <c r="K200">
        <v>4.8</v>
      </c>
      <c r="L200" t="s">
        <v>34</v>
      </c>
      <c r="M200" t="s">
        <v>24</v>
      </c>
      <c r="N200" t="s">
        <v>34</v>
      </c>
      <c r="O200">
        <v>39</v>
      </c>
      <c r="P200" t="s">
        <v>53</v>
      </c>
      <c r="Q200" t="s">
        <v>89</v>
      </c>
      <c r="R200" s="1">
        <v>0.1</v>
      </c>
      <c r="S200">
        <f t="shared" si="12"/>
        <v>40.5</v>
      </c>
      <c r="T200">
        <f>IFERROR(VLOOKUP(A200,Table1[[Customer ID]:[Discount Amount]], 6, FALSE),"Not Found")</f>
        <v>45</v>
      </c>
      <c r="U200" t="str">
        <f t="shared" si="13"/>
        <v>Credit Card</v>
      </c>
      <c r="V200" s="4" t="str">
        <f t="shared" si="14"/>
        <v>Normal</v>
      </c>
      <c r="W200" s="4" t="str">
        <f t="shared" si="15"/>
        <v>Good</v>
      </c>
      <c r="X200" s="4">
        <f>AVERAGE(Table1[Purchase Amount])</f>
        <v>129.48419400000012</v>
      </c>
    </row>
    <row r="201" spans="1:24" ht="15" customHeight="1" x14ac:dyDescent="0.25">
      <c r="A201">
        <v>200</v>
      </c>
      <c r="B201">
        <v>54</v>
      </c>
      <c r="C201" t="s">
        <v>27</v>
      </c>
      <c r="D201" t="s">
        <v>64</v>
      </c>
      <c r="E201" t="s">
        <v>29</v>
      </c>
      <c r="F201" s="2">
        <v>73</v>
      </c>
      <c r="G201" t="s">
        <v>161</v>
      </c>
      <c r="H201" t="s">
        <v>20</v>
      </c>
      <c r="I201" t="s">
        <v>93</v>
      </c>
      <c r="J201" t="s">
        <v>57</v>
      </c>
      <c r="K201">
        <v>3.8</v>
      </c>
      <c r="L201" t="s">
        <v>34</v>
      </c>
      <c r="M201" t="s">
        <v>61</v>
      </c>
      <c r="N201" t="s">
        <v>34</v>
      </c>
      <c r="O201">
        <v>32</v>
      </c>
      <c r="P201" t="s">
        <v>25</v>
      </c>
      <c r="Q201" t="s">
        <v>26</v>
      </c>
      <c r="R201" s="1">
        <v>0.1</v>
      </c>
      <c r="S201">
        <f t="shared" si="12"/>
        <v>65.7</v>
      </c>
      <c r="T201">
        <f>IFERROR(VLOOKUP(A201,Table1[[Customer ID]:[Discount Amount]], 6, FALSE),"Not Found")</f>
        <v>73</v>
      </c>
      <c r="U201" t="str">
        <f t="shared" si="13"/>
        <v>Cash</v>
      </c>
      <c r="V201" s="4" t="str">
        <f t="shared" si="14"/>
        <v>Normal</v>
      </c>
      <c r="W201" s="4" t="str">
        <f t="shared" si="15"/>
        <v>Good</v>
      </c>
      <c r="X201" s="4">
        <f>AVERAGE(Table1[Purchase Amount])</f>
        <v>129.48419400000012</v>
      </c>
    </row>
    <row r="202" spans="1:24" ht="15" customHeight="1" x14ac:dyDescent="0.25">
      <c r="A202">
        <v>201</v>
      </c>
      <c r="B202">
        <v>25</v>
      </c>
      <c r="C202" t="s">
        <v>27</v>
      </c>
      <c r="D202" t="s">
        <v>157</v>
      </c>
      <c r="E202" t="s">
        <v>18</v>
      </c>
      <c r="F202" s="2">
        <v>61</v>
      </c>
      <c r="G202" t="s">
        <v>78</v>
      </c>
      <c r="H202" t="s">
        <v>55</v>
      </c>
      <c r="I202" t="s">
        <v>147</v>
      </c>
      <c r="J202" t="s">
        <v>57</v>
      </c>
      <c r="K202">
        <v>3.3</v>
      </c>
      <c r="L202" t="s">
        <v>34</v>
      </c>
      <c r="M202" t="s">
        <v>79</v>
      </c>
      <c r="N202" t="s">
        <v>34</v>
      </c>
      <c r="O202">
        <v>29</v>
      </c>
      <c r="P202" t="s">
        <v>62</v>
      </c>
      <c r="Q202" t="s">
        <v>42</v>
      </c>
      <c r="R202" s="1">
        <v>0.1</v>
      </c>
      <c r="S202">
        <f t="shared" si="12"/>
        <v>54.9</v>
      </c>
      <c r="T202">
        <f>IFERROR(VLOOKUP(A202,Table1[[Customer ID]:[Discount Amount]], 6, FALSE),"Not Found")</f>
        <v>61</v>
      </c>
      <c r="U202" t="str">
        <f t="shared" si="13"/>
        <v>Venmo</v>
      </c>
      <c r="V202" s="4" t="str">
        <f t="shared" si="14"/>
        <v>Normal</v>
      </c>
      <c r="W202" s="4" t="str">
        <f t="shared" si="15"/>
        <v>Good</v>
      </c>
      <c r="X202" s="4">
        <f>AVERAGE(Table1[Purchase Amount])</f>
        <v>129.48419400000012</v>
      </c>
    </row>
    <row r="203" spans="1:24" ht="15" customHeight="1" x14ac:dyDescent="0.25">
      <c r="A203">
        <v>202</v>
      </c>
      <c r="B203">
        <v>69</v>
      </c>
      <c r="C203" t="s">
        <v>27</v>
      </c>
      <c r="D203" t="s">
        <v>118</v>
      </c>
      <c r="E203" t="s">
        <v>18</v>
      </c>
      <c r="F203" s="2">
        <v>22</v>
      </c>
      <c r="G203" t="s">
        <v>146</v>
      </c>
      <c r="H203" t="s">
        <v>55</v>
      </c>
      <c r="I203" t="s">
        <v>56</v>
      </c>
      <c r="J203" t="s">
        <v>47</v>
      </c>
      <c r="K203">
        <v>4.3</v>
      </c>
      <c r="L203" t="s">
        <v>34</v>
      </c>
      <c r="M203" t="s">
        <v>35</v>
      </c>
      <c r="N203" t="s">
        <v>34</v>
      </c>
      <c r="O203">
        <v>15</v>
      </c>
      <c r="P203" t="s">
        <v>88</v>
      </c>
      <c r="Q203" t="s">
        <v>49</v>
      </c>
      <c r="R203" s="1">
        <v>0.1</v>
      </c>
      <c r="S203">
        <f t="shared" si="12"/>
        <v>19.8</v>
      </c>
      <c r="T203">
        <f>IFERROR(VLOOKUP(A203,Table1[[Customer ID]:[Discount Amount]], 6, FALSE),"Not Found")</f>
        <v>22</v>
      </c>
      <c r="U203" t="str">
        <f t="shared" si="13"/>
        <v>Bank Transfer</v>
      </c>
      <c r="V203" s="4" t="str">
        <f t="shared" si="14"/>
        <v>Normal</v>
      </c>
      <c r="W203" s="4" t="str">
        <f t="shared" si="15"/>
        <v>Good</v>
      </c>
      <c r="X203" s="4">
        <f>AVERAGE(Table1[Purchase Amount])</f>
        <v>129.48419400000012</v>
      </c>
    </row>
    <row r="204" spans="1:24" ht="15" customHeight="1" x14ac:dyDescent="0.25">
      <c r="A204">
        <v>203</v>
      </c>
      <c r="B204">
        <v>57</v>
      </c>
      <c r="C204" t="s">
        <v>27</v>
      </c>
      <c r="D204" t="s">
        <v>64</v>
      </c>
      <c r="E204" t="s">
        <v>29</v>
      </c>
      <c r="F204" s="2">
        <v>38</v>
      </c>
      <c r="G204" t="s">
        <v>137</v>
      </c>
      <c r="H204" t="s">
        <v>45</v>
      </c>
      <c r="I204" t="s">
        <v>87</v>
      </c>
      <c r="J204" t="s">
        <v>33</v>
      </c>
      <c r="K204">
        <v>2.7</v>
      </c>
      <c r="L204" t="s">
        <v>34</v>
      </c>
      <c r="M204" t="s">
        <v>61</v>
      </c>
      <c r="N204" t="s">
        <v>34</v>
      </c>
      <c r="O204">
        <v>33</v>
      </c>
      <c r="P204" t="s">
        <v>62</v>
      </c>
      <c r="Q204" t="s">
        <v>49</v>
      </c>
      <c r="R204" s="1">
        <v>0.1</v>
      </c>
      <c r="S204">
        <f t="shared" si="12"/>
        <v>34.200000000000003</v>
      </c>
      <c r="T204">
        <f>IFERROR(VLOOKUP(A204,Table1[[Customer ID]:[Discount Amount]], 6, FALSE),"Not Found")</f>
        <v>38</v>
      </c>
      <c r="U204" t="str">
        <f t="shared" si="13"/>
        <v>Venmo</v>
      </c>
      <c r="V204" s="4" t="str">
        <f t="shared" si="14"/>
        <v>Normal</v>
      </c>
      <c r="W204" s="4" t="str">
        <f t="shared" si="15"/>
        <v>Poor</v>
      </c>
      <c r="X204" s="4">
        <f>AVERAGE(Table1[Purchase Amount])</f>
        <v>129.48419400000012</v>
      </c>
    </row>
    <row r="205" spans="1:24" ht="15" customHeight="1" x14ac:dyDescent="0.25">
      <c r="A205">
        <v>204</v>
      </c>
      <c r="B205">
        <v>70</v>
      </c>
      <c r="C205" t="s">
        <v>27</v>
      </c>
      <c r="D205" t="s">
        <v>129</v>
      </c>
      <c r="E205" t="s">
        <v>29</v>
      </c>
      <c r="F205" s="2">
        <v>38</v>
      </c>
      <c r="G205" t="s">
        <v>102</v>
      </c>
      <c r="H205" t="s">
        <v>55</v>
      </c>
      <c r="I205" t="s">
        <v>52</v>
      </c>
      <c r="J205" t="s">
        <v>47</v>
      </c>
      <c r="K205">
        <v>3.2</v>
      </c>
      <c r="L205" t="s">
        <v>34</v>
      </c>
      <c r="M205" t="s">
        <v>79</v>
      </c>
      <c r="N205" t="s">
        <v>34</v>
      </c>
      <c r="O205">
        <v>18</v>
      </c>
      <c r="P205" t="s">
        <v>88</v>
      </c>
      <c r="Q205" t="s">
        <v>26</v>
      </c>
      <c r="R205" s="1">
        <v>0.1</v>
      </c>
      <c r="S205">
        <f t="shared" si="12"/>
        <v>34.200000000000003</v>
      </c>
      <c r="T205">
        <f>IFERROR(VLOOKUP(A205,Table1[[Customer ID]:[Discount Amount]], 6, FALSE),"Not Found")</f>
        <v>38</v>
      </c>
      <c r="U205" t="str">
        <f t="shared" si="13"/>
        <v>Bank Transfer</v>
      </c>
      <c r="V205" s="4" t="str">
        <f t="shared" si="14"/>
        <v>Normal</v>
      </c>
      <c r="W205" s="4" t="str">
        <f t="shared" si="15"/>
        <v>Good</v>
      </c>
      <c r="X205" s="4">
        <f>AVERAGE(Table1[Purchase Amount])</f>
        <v>129.48419400000012</v>
      </c>
    </row>
    <row r="206" spans="1:24" ht="15" customHeight="1" x14ac:dyDescent="0.25">
      <c r="A206">
        <v>205</v>
      </c>
      <c r="B206">
        <v>24</v>
      </c>
      <c r="C206" t="s">
        <v>27</v>
      </c>
      <c r="D206" t="s">
        <v>140</v>
      </c>
      <c r="E206" t="s">
        <v>98</v>
      </c>
      <c r="F206" s="2">
        <v>100</v>
      </c>
      <c r="G206" t="s">
        <v>150</v>
      </c>
      <c r="H206" t="s">
        <v>31</v>
      </c>
      <c r="I206" t="s">
        <v>52</v>
      </c>
      <c r="J206" t="s">
        <v>47</v>
      </c>
      <c r="K206">
        <v>4</v>
      </c>
      <c r="L206" t="s">
        <v>34</v>
      </c>
      <c r="M206" t="s">
        <v>48</v>
      </c>
      <c r="N206" t="s">
        <v>34</v>
      </c>
      <c r="O206">
        <v>35</v>
      </c>
      <c r="P206" t="s">
        <v>25</v>
      </c>
      <c r="Q206" t="s">
        <v>68</v>
      </c>
      <c r="R206" s="1">
        <v>0.1</v>
      </c>
      <c r="S206">
        <f t="shared" si="12"/>
        <v>90</v>
      </c>
      <c r="T206">
        <f>IFERROR(VLOOKUP(A206,Table1[[Customer ID]:[Discount Amount]], 6, FALSE),"Not Found")</f>
        <v>100</v>
      </c>
      <c r="U206" t="str">
        <f t="shared" si="13"/>
        <v>Cash</v>
      </c>
      <c r="V206" s="4" t="str">
        <f t="shared" si="14"/>
        <v>Normal</v>
      </c>
      <c r="W206" s="4" t="str">
        <f t="shared" si="15"/>
        <v>Good</v>
      </c>
      <c r="X206" s="4">
        <f>AVERAGE(Table1[Purchase Amount])</f>
        <v>129.48419400000012</v>
      </c>
    </row>
    <row r="207" spans="1:24" ht="15" customHeight="1" x14ac:dyDescent="0.25">
      <c r="A207">
        <v>206</v>
      </c>
      <c r="B207">
        <v>67</v>
      </c>
      <c r="C207" t="s">
        <v>27</v>
      </c>
      <c r="D207" t="s">
        <v>38</v>
      </c>
      <c r="E207" t="s">
        <v>18</v>
      </c>
      <c r="F207" s="2">
        <v>64</v>
      </c>
      <c r="G207" t="s">
        <v>135</v>
      </c>
      <c r="H207" t="s">
        <v>31</v>
      </c>
      <c r="I207" t="s">
        <v>153</v>
      </c>
      <c r="J207" t="s">
        <v>22</v>
      </c>
      <c r="K207">
        <v>3</v>
      </c>
      <c r="L207" t="s">
        <v>34</v>
      </c>
      <c r="M207" t="s">
        <v>24</v>
      </c>
      <c r="N207" t="s">
        <v>34</v>
      </c>
      <c r="O207">
        <v>25</v>
      </c>
      <c r="P207" t="s">
        <v>58</v>
      </c>
      <c r="Q207" t="s">
        <v>26</v>
      </c>
      <c r="R207" s="1">
        <v>0.1</v>
      </c>
      <c r="S207">
        <f t="shared" si="12"/>
        <v>57.6</v>
      </c>
      <c r="T207">
        <f>IFERROR(VLOOKUP(A207,Table1[[Customer ID]:[Discount Amount]], 6, FALSE),"Not Found")</f>
        <v>64</v>
      </c>
      <c r="U207" t="str">
        <f t="shared" si="13"/>
        <v>PayPal</v>
      </c>
      <c r="V207" s="4" t="str">
        <f t="shared" si="14"/>
        <v>Normal</v>
      </c>
      <c r="W207" s="4" t="str">
        <f t="shared" si="15"/>
        <v>Good</v>
      </c>
      <c r="X207" s="4">
        <f>AVERAGE(Table1[Purchase Amount])</f>
        <v>129.48419400000012</v>
      </c>
    </row>
    <row r="208" spans="1:24" ht="15" customHeight="1" x14ac:dyDescent="0.25">
      <c r="A208">
        <v>207</v>
      </c>
      <c r="B208">
        <v>24</v>
      </c>
      <c r="C208" t="s">
        <v>27</v>
      </c>
      <c r="D208" t="s">
        <v>17</v>
      </c>
      <c r="E208" t="s">
        <v>18</v>
      </c>
      <c r="F208" s="2">
        <v>55</v>
      </c>
      <c r="G208" t="s">
        <v>59</v>
      </c>
      <c r="H208" t="s">
        <v>45</v>
      </c>
      <c r="I208" t="s">
        <v>153</v>
      </c>
      <c r="J208" t="s">
        <v>57</v>
      </c>
      <c r="K208">
        <v>4.2</v>
      </c>
      <c r="L208" t="s">
        <v>34</v>
      </c>
      <c r="M208" t="s">
        <v>35</v>
      </c>
      <c r="N208" t="s">
        <v>34</v>
      </c>
      <c r="O208">
        <v>6</v>
      </c>
      <c r="P208" t="s">
        <v>62</v>
      </c>
      <c r="Q208" t="s">
        <v>89</v>
      </c>
      <c r="R208" s="1">
        <v>0.1</v>
      </c>
      <c r="S208">
        <f t="shared" si="12"/>
        <v>49.5</v>
      </c>
      <c r="T208">
        <f>IFERROR(VLOOKUP(A208,Table1[[Customer ID]:[Discount Amount]], 6, FALSE),"Not Found")</f>
        <v>55</v>
      </c>
      <c r="U208" t="str">
        <f t="shared" si="13"/>
        <v>Venmo</v>
      </c>
      <c r="V208" s="4" t="str">
        <f t="shared" si="14"/>
        <v>Normal</v>
      </c>
      <c r="W208" s="4" t="str">
        <f t="shared" si="15"/>
        <v>Good</v>
      </c>
      <c r="X208" s="4">
        <f>AVERAGE(Table1[Purchase Amount])</f>
        <v>129.48419400000012</v>
      </c>
    </row>
    <row r="209" spans="1:24" ht="15" customHeight="1" x14ac:dyDescent="0.25">
      <c r="A209">
        <v>208</v>
      </c>
      <c r="B209">
        <v>62</v>
      </c>
      <c r="C209" t="s">
        <v>27</v>
      </c>
      <c r="D209" t="s">
        <v>43</v>
      </c>
      <c r="E209" t="s">
        <v>29</v>
      </c>
      <c r="F209" s="2">
        <v>91</v>
      </c>
      <c r="G209" t="s">
        <v>159</v>
      </c>
      <c r="H209" t="s">
        <v>31</v>
      </c>
      <c r="I209" t="s">
        <v>153</v>
      </c>
      <c r="J209" t="s">
        <v>57</v>
      </c>
      <c r="K209">
        <v>2.9</v>
      </c>
      <c r="L209" t="s">
        <v>34</v>
      </c>
      <c r="M209" t="s">
        <v>61</v>
      </c>
      <c r="N209" t="s">
        <v>34</v>
      </c>
      <c r="O209">
        <v>17</v>
      </c>
      <c r="P209" t="s">
        <v>88</v>
      </c>
      <c r="Q209" t="s">
        <v>68</v>
      </c>
      <c r="R209" s="1">
        <v>0.1</v>
      </c>
      <c r="S209">
        <f t="shared" si="12"/>
        <v>81.900000000000006</v>
      </c>
      <c r="T209">
        <f>IFERROR(VLOOKUP(A209,Table1[[Customer ID]:[Discount Amount]], 6, FALSE),"Not Found")</f>
        <v>91</v>
      </c>
      <c r="U209" t="str">
        <f t="shared" si="13"/>
        <v>Bank Transfer</v>
      </c>
      <c r="V209" s="4" t="str">
        <f t="shared" si="14"/>
        <v>Normal</v>
      </c>
      <c r="W209" s="4" t="str">
        <f t="shared" si="15"/>
        <v>Poor</v>
      </c>
      <c r="X209" s="4">
        <f>AVERAGE(Table1[Purchase Amount])</f>
        <v>129.48419400000012</v>
      </c>
    </row>
    <row r="210" spans="1:24" ht="15" customHeight="1" x14ac:dyDescent="0.25">
      <c r="A210">
        <v>209</v>
      </c>
      <c r="B210">
        <v>57</v>
      </c>
      <c r="C210" t="s">
        <v>27</v>
      </c>
      <c r="D210" t="s">
        <v>122</v>
      </c>
      <c r="E210" t="s">
        <v>18</v>
      </c>
      <c r="F210" s="2">
        <v>38</v>
      </c>
      <c r="G210" t="s">
        <v>59</v>
      </c>
      <c r="H210" t="s">
        <v>31</v>
      </c>
      <c r="I210" t="s">
        <v>133</v>
      </c>
      <c r="J210" t="s">
        <v>33</v>
      </c>
      <c r="K210">
        <v>4.0999999999999996</v>
      </c>
      <c r="L210" t="s">
        <v>34</v>
      </c>
      <c r="M210" t="s">
        <v>48</v>
      </c>
      <c r="N210" t="s">
        <v>34</v>
      </c>
      <c r="O210">
        <v>17</v>
      </c>
      <c r="P210" t="s">
        <v>53</v>
      </c>
      <c r="Q210" t="s">
        <v>42</v>
      </c>
      <c r="R210" s="1">
        <v>0.1</v>
      </c>
      <c r="S210">
        <f t="shared" si="12"/>
        <v>34.200000000000003</v>
      </c>
      <c r="T210">
        <f>IFERROR(VLOOKUP(A210,Table1[[Customer ID]:[Discount Amount]], 6, FALSE),"Not Found")</f>
        <v>38</v>
      </c>
      <c r="U210" t="str">
        <f t="shared" si="13"/>
        <v>Credit Card</v>
      </c>
      <c r="V210" s="4" t="str">
        <f t="shared" si="14"/>
        <v>Normal</v>
      </c>
      <c r="W210" s="4" t="str">
        <f t="shared" si="15"/>
        <v>Good</v>
      </c>
      <c r="X210" s="4">
        <f>AVERAGE(Table1[Purchase Amount])</f>
        <v>129.48419400000012</v>
      </c>
    </row>
    <row r="211" spans="1:24" ht="15" customHeight="1" x14ac:dyDescent="0.25">
      <c r="A211">
        <v>210</v>
      </c>
      <c r="B211">
        <v>55</v>
      </c>
      <c r="C211" t="s">
        <v>27</v>
      </c>
      <c r="D211" t="s">
        <v>121</v>
      </c>
      <c r="E211" t="s">
        <v>98</v>
      </c>
      <c r="F211" s="2">
        <v>97</v>
      </c>
      <c r="G211" t="s">
        <v>120</v>
      </c>
      <c r="H211" t="s">
        <v>55</v>
      </c>
      <c r="I211" t="s">
        <v>21</v>
      </c>
      <c r="J211" t="s">
        <v>22</v>
      </c>
      <c r="K211">
        <v>3.2</v>
      </c>
      <c r="L211" t="s">
        <v>34</v>
      </c>
      <c r="M211" t="s">
        <v>48</v>
      </c>
      <c r="N211" t="s">
        <v>34</v>
      </c>
      <c r="O211">
        <v>44</v>
      </c>
      <c r="P211" t="s">
        <v>25</v>
      </c>
      <c r="Q211" t="s">
        <v>63</v>
      </c>
      <c r="R211" s="1">
        <v>0.1</v>
      </c>
      <c r="S211">
        <f t="shared" si="12"/>
        <v>87.3</v>
      </c>
      <c r="T211">
        <f>IFERROR(VLOOKUP(A211,Table1[[Customer ID]:[Discount Amount]], 6, FALSE),"Not Found")</f>
        <v>97</v>
      </c>
      <c r="U211" t="str">
        <f t="shared" si="13"/>
        <v>Cash</v>
      </c>
      <c r="V211" s="4" t="str">
        <f t="shared" si="14"/>
        <v>Normal</v>
      </c>
      <c r="W211" s="4" t="str">
        <f t="shared" si="15"/>
        <v>Good</v>
      </c>
      <c r="X211" s="4">
        <f>AVERAGE(Table1[Purchase Amount])</f>
        <v>129.48419400000012</v>
      </c>
    </row>
    <row r="212" spans="1:24" ht="15" customHeight="1" x14ac:dyDescent="0.25">
      <c r="A212">
        <v>211</v>
      </c>
      <c r="B212">
        <v>45</v>
      </c>
      <c r="C212" t="s">
        <v>27</v>
      </c>
      <c r="D212" t="s">
        <v>96</v>
      </c>
      <c r="E212" t="s">
        <v>77</v>
      </c>
      <c r="F212" s="2">
        <v>22</v>
      </c>
      <c r="G212" t="s">
        <v>84</v>
      </c>
      <c r="H212" t="s">
        <v>45</v>
      </c>
      <c r="I212" t="s">
        <v>147</v>
      </c>
      <c r="J212" t="s">
        <v>47</v>
      </c>
      <c r="K212">
        <v>3</v>
      </c>
      <c r="L212" t="s">
        <v>34</v>
      </c>
      <c r="M212" t="s">
        <v>41</v>
      </c>
      <c r="N212" t="s">
        <v>34</v>
      </c>
      <c r="O212">
        <v>6</v>
      </c>
      <c r="P212" t="s">
        <v>58</v>
      </c>
      <c r="Q212" t="s">
        <v>89</v>
      </c>
      <c r="R212" s="1">
        <v>0.1</v>
      </c>
      <c r="S212">
        <f t="shared" si="12"/>
        <v>19.8</v>
      </c>
      <c r="T212">
        <f>IFERROR(VLOOKUP(A212,Table1[[Customer ID]:[Discount Amount]], 6, FALSE),"Not Found")</f>
        <v>22</v>
      </c>
      <c r="U212" t="str">
        <f t="shared" si="13"/>
        <v>PayPal</v>
      </c>
      <c r="V212" s="4" t="str">
        <f t="shared" si="14"/>
        <v>Normal</v>
      </c>
      <c r="W212" s="4" t="str">
        <f t="shared" si="15"/>
        <v>Good</v>
      </c>
      <c r="X212" s="4">
        <f>AVERAGE(Table1[Purchase Amount])</f>
        <v>129.48419400000012</v>
      </c>
    </row>
    <row r="213" spans="1:24" ht="15" customHeight="1" x14ac:dyDescent="0.25">
      <c r="A213">
        <v>212</v>
      </c>
      <c r="B213">
        <v>69</v>
      </c>
      <c r="C213" t="s">
        <v>27</v>
      </c>
      <c r="D213" t="s">
        <v>122</v>
      </c>
      <c r="E213" t="s">
        <v>18</v>
      </c>
      <c r="F213" s="2">
        <v>92</v>
      </c>
      <c r="G213" t="s">
        <v>130</v>
      </c>
      <c r="H213" t="s">
        <v>45</v>
      </c>
      <c r="I213" t="s">
        <v>125</v>
      </c>
      <c r="J213" t="s">
        <v>47</v>
      </c>
      <c r="K213">
        <v>4.2</v>
      </c>
      <c r="L213" t="s">
        <v>34</v>
      </c>
      <c r="M213" t="s">
        <v>41</v>
      </c>
      <c r="N213" t="s">
        <v>34</v>
      </c>
      <c r="O213">
        <v>45</v>
      </c>
      <c r="P213" t="s">
        <v>36</v>
      </c>
      <c r="Q213" t="s">
        <v>89</v>
      </c>
      <c r="R213" s="1">
        <v>0.1</v>
      </c>
      <c r="S213">
        <f t="shared" si="12"/>
        <v>82.8</v>
      </c>
      <c r="T213">
        <f>IFERROR(VLOOKUP(A213,Table1[[Customer ID]:[Discount Amount]], 6, FALSE),"Not Found")</f>
        <v>92</v>
      </c>
      <c r="U213" t="str">
        <f t="shared" si="13"/>
        <v>Debit Card</v>
      </c>
      <c r="V213" s="4" t="str">
        <f t="shared" si="14"/>
        <v>Normal</v>
      </c>
      <c r="W213" s="4" t="str">
        <f t="shared" si="15"/>
        <v>Good</v>
      </c>
      <c r="X213" s="4">
        <f>AVERAGE(Table1[Purchase Amount])</f>
        <v>129.48419400000012</v>
      </c>
    </row>
    <row r="214" spans="1:24" ht="15" customHeight="1" x14ac:dyDescent="0.25">
      <c r="A214">
        <v>213</v>
      </c>
      <c r="B214">
        <v>67</v>
      </c>
      <c r="C214" t="s">
        <v>27</v>
      </c>
      <c r="D214" t="s">
        <v>69</v>
      </c>
      <c r="E214" t="s">
        <v>29</v>
      </c>
      <c r="F214" s="2">
        <v>84</v>
      </c>
      <c r="G214" t="s">
        <v>138</v>
      </c>
      <c r="H214" t="s">
        <v>45</v>
      </c>
      <c r="I214" t="s">
        <v>74</v>
      </c>
      <c r="J214" t="s">
        <v>47</v>
      </c>
      <c r="K214">
        <v>4.2</v>
      </c>
      <c r="L214" t="s">
        <v>34</v>
      </c>
      <c r="M214" t="s">
        <v>61</v>
      </c>
      <c r="N214" t="s">
        <v>34</v>
      </c>
      <c r="O214">
        <v>7</v>
      </c>
      <c r="P214" t="s">
        <v>36</v>
      </c>
      <c r="Q214" t="s">
        <v>49</v>
      </c>
      <c r="R214" s="1">
        <v>0.1</v>
      </c>
      <c r="S214">
        <f t="shared" si="12"/>
        <v>75.599999999999994</v>
      </c>
      <c r="T214">
        <f>IFERROR(VLOOKUP(A214,Table1[[Customer ID]:[Discount Amount]], 6, FALSE),"Not Found")</f>
        <v>84</v>
      </c>
      <c r="U214" t="str">
        <f t="shared" si="13"/>
        <v>Debit Card</v>
      </c>
      <c r="V214" s="4" t="str">
        <f t="shared" si="14"/>
        <v>Normal</v>
      </c>
      <c r="W214" s="4" t="str">
        <f t="shared" si="15"/>
        <v>Good</v>
      </c>
      <c r="X214" s="4">
        <f>AVERAGE(Table1[Purchase Amount])</f>
        <v>129.48419400000012</v>
      </c>
    </row>
    <row r="215" spans="1:24" ht="15" customHeight="1" x14ac:dyDescent="0.25">
      <c r="A215">
        <v>214</v>
      </c>
      <c r="B215">
        <v>30</v>
      </c>
      <c r="C215" t="s">
        <v>27</v>
      </c>
      <c r="D215" t="s">
        <v>69</v>
      </c>
      <c r="E215" t="s">
        <v>29</v>
      </c>
      <c r="F215" s="2">
        <v>93</v>
      </c>
      <c r="G215" t="s">
        <v>158</v>
      </c>
      <c r="H215" t="s">
        <v>45</v>
      </c>
      <c r="I215" t="s">
        <v>145</v>
      </c>
      <c r="J215" t="s">
        <v>47</v>
      </c>
      <c r="K215">
        <v>4.4000000000000004</v>
      </c>
      <c r="L215" t="s">
        <v>34</v>
      </c>
      <c r="M215" t="s">
        <v>48</v>
      </c>
      <c r="N215" t="s">
        <v>34</v>
      </c>
      <c r="O215">
        <v>11</v>
      </c>
      <c r="P215" t="s">
        <v>36</v>
      </c>
      <c r="Q215" t="s">
        <v>63</v>
      </c>
      <c r="R215" s="1">
        <v>0.1</v>
      </c>
      <c r="S215">
        <f t="shared" si="12"/>
        <v>83.7</v>
      </c>
      <c r="T215">
        <f>IFERROR(VLOOKUP(A215,Table1[[Customer ID]:[Discount Amount]], 6, FALSE),"Not Found")</f>
        <v>93</v>
      </c>
      <c r="U215" t="str">
        <f t="shared" si="13"/>
        <v>Debit Card</v>
      </c>
      <c r="V215" s="4" t="str">
        <f t="shared" si="14"/>
        <v>Normal</v>
      </c>
      <c r="W215" s="4" t="str">
        <f t="shared" si="15"/>
        <v>Good</v>
      </c>
      <c r="X215" s="4">
        <f>AVERAGE(Table1[Purchase Amount])</f>
        <v>129.48419400000012</v>
      </c>
    </row>
    <row r="216" spans="1:24" ht="15" customHeight="1" x14ac:dyDescent="0.25">
      <c r="A216">
        <v>215</v>
      </c>
      <c r="B216">
        <v>24</v>
      </c>
      <c r="C216" t="s">
        <v>27</v>
      </c>
      <c r="D216" t="s">
        <v>96</v>
      </c>
      <c r="E216" t="s">
        <v>77</v>
      </c>
      <c r="F216" s="2">
        <v>50</v>
      </c>
      <c r="G216" t="s">
        <v>135</v>
      </c>
      <c r="H216" t="s">
        <v>45</v>
      </c>
      <c r="I216" t="s">
        <v>74</v>
      </c>
      <c r="J216" t="s">
        <v>57</v>
      </c>
      <c r="K216">
        <v>4.2</v>
      </c>
      <c r="L216" t="s">
        <v>34</v>
      </c>
      <c r="M216" t="s">
        <v>79</v>
      </c>
      <c r="N216" t="s">
        <v>34</v>
      </c>
      <c r="O216">
        <v>41</v>
      </c>
      <c r="P216" t="s">
        <v>25</v>
      </c>
      <c r="Q216" t="s">
        <v>63</v>
      </c>
      <c r="R216" s="1">
        <v>0.1</v>
      </c>
      <c r="S216">
        <f t="shared" si="12"/>
        <v>45</v>
      </c>
      <c r="T216">
        <f>IFERROR(VLOOKUP(A216,Table1[[Customer ID]:[Discount Amount]], 6, FALSE),"Not Found")</f>
        <v>50</v>
      </c>
      <c r="U216" t="str">
        <f t="shared" si="13"/>
        <v>Cash</v>
      </c>
      <c r="V216" s="4" t="str">
        <f t="shared" si="14"/>
        <v>Normal</v>
      </c>
      <c r="W216" s="4" t="str">
        <f t="shared" si="15"/>
        <v>Good</v>
      </c>
      <c r="X216" s="4">
        <f>AVERAGE(Table1[Purchase Amount])</f>
        <v>129.48419400000012</v>
      </c>
    </row>
    <row r="217" spans="1:24" ht="15" customHeight="1" x14ac:dyDescent="0.25">
      <c r="A217">
        <v>216</v>
      </c>
      <c r="B217">
        <v>62</v>
      </c>
      <c r="C217" t="s">
        <v>27</v>
      </c>
      <c r="D217" t="s">
        <v>129</v>
      </c>
      <c r="E217" t="s">
        <v>29</v>
      </c>
      <c r="F217" s="2">
        <v>64</v>
      </c>
      <c r="G217" t="s">
        <v>131</v>
      </c>
      <c r="H217" t="s">
        <v>55</v>
      </c>
      <c r="I217" t="s">
        <v>108</v>
      </c>
      <c r="J217" t="s">
        <v>33</v>
      </c>
      <c r="K217">
        <v>2.8</v>
      </c>
      <c r="L217" t="s">
        <v>34</v>
      </c>
      <c r="M217" t="s">
        <v>41</v>
      </c>
      <c r="N217" t="s">
        <v>34</v>
      </c>
      <c r="O217">
        <v>24</v>
      </c>
      <c r="P217" t="s">
        <v>58</v>
      </c>
      <c r="Q217" t="s">
        <v>68</v>
      </c>
      <c r="R217" s="1">
        <v>0.1</v>
      </c>
      <c r="S217">
        <f t="shared" si="12"/>
        <v>57.6</v>
      </c>
      <c r="T217">
        <f>IFERROR(VLOOKUP(A217,Table1[[Customer ID]:[Discount Amount]], 6, FALSE),"Not Found")</f>
        <v>64</v>
      </c>
      <c r="U217" t="str">
        <f t="shared" si="13"/>
        <v>PayPal</v>
      </c>
      <c r="V217" s="4" t="str">
        <f t="shared" si="14"/>
        <v>Normal</v>
      </c>
      <c r="W217" s="4" t="str">
        <f t="shared" si="15"/>
        <v>Poor</v>
      </c>
      <c r="X217" s="4">
        <f>AVERAGE(Table1[Purchase Amount])</f>
        <v>129.48419400000012</v>
      </c>
    </row>
    <row r="218" spans="1:24" ht="15" customHeight="1" x14ac:dyDescent="0.25">
      <c r="A218">
        <v>217</v>
      </c>
      <c r="B218">
        <v>43</v>
      </c>
      <c r="C218" t="s">
        <v>27</v>
      </c>
      <c r="D218" t="s">
        <v>54</v>
      </c>
      <c r="E218" t="s">
        <v>18</v>
      </c>
      <c r="F218" s="2">
        <v>61</v>
      </c>
      <c r="G218" t="s">
        <v>97</v>
      </c>
      <c r="H218" t="s">
        <v>45</v>
      </c>
      <c r="I218" t="s">
        <v>52</v>
      </c>
      <c r="J218" t="s">
        <v>33</v>
      </c>
      <c r="K218">
        <v>3.7</v>
      </c>
      <c r="L218" t="s">
        <v>34</v>
      </c>
      <c r="M218" t="s">
        <v>35</v>
      </c>
      <c r="N218" t="s">
        <v>34</v>
      </c>
      <c r="O218">
        <v>21</v>
      </c>
      <c r="P218" t="s">
        <v>62</v>
      </c>
      <c r="Q218" t="s">
        <v>26</v>
      </c>
      <c r="R218" s="1">
        <v>0.1</v>
      </c>
      <c r="S218">
        <f t="shared" si="12"/>
        <v>54.9</v>
      </c>
      <c r="T218">
        <f>IFERROR(VLOOKUP(A218,Table1[[Customer ID]:[Discount Amount]], 6, FALSE),"Not Found")</f>
        <v>61</v>
      </c>
      <c r="U218" t="str">
        <f t="shared" si="13"/>
        <v>Venmo</v>
      </c>
      <c r="V218" s="4" t="str">
        <f t="shared" si="14"/>
        <v>Normal</v>
      </c>
      <c r="W218" s="4" t="str">
        <f t="shared" si="15"/>
        <v>Good</v>
      </c>
      <c r="X218" s="4">
        <f>AVERAGE(Table1[Purchase Amount])</f>
        <v>129.48419400000012</v>
      </c>
    </row>
    <row r="219" spans="1:24" ht="15" customHeight="1" x14ac:dyDescent="0.25">
      <c r="A219">
        <v>218</v>
      </c>
      <c r="B219">
        <v>35</v>
      </c>
      <c r="C219" t="s">
        <v>27</v>
      </c>
      <c r="D219" t="s">
        <v>28</v>
      </c>
      <c r="E219" t="s">
        <v>29</v>
      </c>
      <c r="F219" s="2">
        <v>48</v>
      </c>
      <c r="G219" t="s">
        <v>142</v>
      </c>
      <c r="H219" t="s">
        <v>31</v>
      </c>
      <c r="I219" t="s">
        <v>66</v>
      </c>
      <c r="J219" t="s">
        <v>22</v>
      </c>
      <c r="K219">
        <v>3.5</v>
      </c>
      <c r="L219" t="s">
        <v>34</v>
      </c>
      <c r="M219" t="s">
        <v>79</v>
      </c>
      <c r="N219" t="s">
        <v>34</v>
      </c>
      <c r="O219">
        <v>24</v>
      </c>
      <c r="P219" t="s">
        <v>88</v>
      </c>
      <c r="Q219" t="s">
        <v>49</v>
      </c>
      <c r="R219" s="1">
        <v>0.1</v>
      </c>
      <c r="S219">
        <f t="shared" si="12"/>
        <v>43.2</v>
      </c>
      <c r="T219">
        <f>IFERROR(VLOOKUP(A219,Table1[[Customer ID]:[Discount Amount]], 6, FALSE),"Not Found")</f>
        <v>48</v>
      </c>
      <c r="U219" t="str">
        <f t="shared" si="13"/>
        <v>Bank Transfer</v>
      </c>
      <c r="V219" s="4" t="str">
        <f t="shared" si="14"/>
        <v>Normal</v>
      </c>
      <c r="W219" s="4" t="str">
        <f t="shared" si="15"/>
        <v>Good</v>
      </c>
      <c r="X219" s="4">
        <f>AVERAGE(Table1[Purchase Amount])</f>
        <v>129.48419400000012</v>
      </c>
    </row>
    <row r="220" spans="1:24" ht="15" customHeight="1" x14ac:dyDescent="0.25">
      <c r="A220">
        <v>219</v>
      </c>
      <c r="B220">
        <v>28</v>
      </c>
      <c r="C220" t="s">
        <v>27</v>
      </c>
      <c r="D220" t="s">
        <v>17</v>
      </c>
      <c r="E220" t="s">
        <v>18</v>
      </c>
      <c r="F220" s="2">
        <v>45</v>
      </c>
      <c r="G220" t="s">
        <v>19</v>
      </c>
      <c r="H220" t="s">
        <v>55</v>
      </c>
      <c r="I220" t="s">
        <v>87</v>
      </c>
      <c r="J220" t="s">
        <v>33</v>
      </c>
      <c r="K220">
        <v>2.9</v>
      </c>
      <c r="L220" t="s">
        <v>34</v>
      </c>
      <c r="M220" t="s">
        <v>48</v>
      </c>
      <c r="N220" t="s">
        <v>34</v>
      </c>
      <c r="O220">
        <v>8</v>
      </c>
      <c r="P220" t="s">
        <v>53</v>
      </c>
      <c r="Q220" t="s">
        <v>37</v>
      </c>
      <c r="R220" s="1">
        <v>0.1</v>
      </c>
      <c r="S220">
        <f t="shared" si="12"/>
        <v>40.5</v>
      </c>
      <c r="T220">
        <f>IFERROR(VLOOKUP(A220,Table1[[Customer ID]:[Discount Amount]], 6, FALSE),"Not Found")</f>
        <v>45</v>
      </c>
      <c r="U220" t="str">
        <f t="shared" si="13"/>
        <v>Credit Card</v>
      </c>
      <c r="V220" s="4" t="str">
        <f t="shared" si="14"/>
        <v>Normal</v>
      </c>
      <c r="W220" s="4" t="str">
        <f t="shared" si="15"/>
        <v>Poor</v>
      </c>
      <c r="X220" s="4">
        <f>AVERAGE(Table1[Purchase Amount])</f>
        <v>129.48419400000012</v>
      </c>
    </row>
    <row r="221" spans="1:24" ht="15" customHeight="1" x14ac:dyDescent="0.25">
      <c r="A221">
        <v>220</v>
      </c>
      <c r="B221">
        <v>32</v>
      </c>
      <c r="C221" t="s">
        <v>27</v>
      </c>
      <c r="D221" t="s">
        <v>114</v>
      </c>
      <c r="E221" t="s">
        <v>29</v>
      </c>
      <c r="F221" s="2">
        <v>88</v>
      </c>
      <c r="G221" t="s">
        <v>158</v>
      </c>
      <c r="H221" t="s">
        <v>31</v>
      </c>
      <c r="I221" t="s">
        <v>128</v>
      </c>
      <c r="J221" t="s">
        <v>33</v>
      </c>
      <c r="K221">
        <v>3</v>
      </c>
      <c r="L221" t="s">
        <v>34</v>
      </c>
      <c r="M221" t="s">
        <v>35</v>
      </c>
      <c r="N221" t="s">
        <v>34</v>
      </c>
      <c r="O221">
        <v>12</v>
      </c>
      <c r="P221" t="s">
        <v>25</v>
      </c>
      <c r="Q221" t="s">
        <v>89</v>
      </c>
      <c r="R221" s="1">
        <v>0.1</v>
      </c>
      <c r="S221">
        <f t="shared" si="12"/>
        <v>79.2</v>
      </c>
      <c r="T221">
        <f>IFERROR(VLOOKUP(A221,Table1[[Customer ID]:[Discount Amount]], 6, FALSE),"Not Found")</f>
        <v>88</v>
      </c>
      <c r="U221" t="str">
        <f t="shared" si="13"/>
        <v>Cash</v>
      </c>
      <c r="V221" s="4" t="str">
        <f t="shared" si="14"/>
        <v>Normal</v>
      </c>
      <c r="W221" s="4" t="str">
        <f t="shared" si="15"/>
        <v>Good</v>
      </c>
      <c r="X221" s="4">
        <f>AVERAGE(Table1[Purchase Amount])</f>
        <v>129.48419400000012</v>
      </c>
    </row>
    <row r="222" spans="1:24" ht="15" customHeight="1" x14ac:dyDescent="0.25">
      <c r="A222">
        <v>221</v>
      </c>
      <c r="B222">
        <v>39</v>
      </c>
      <c r="C222" t="s">
        <v>27</v>
      </c>
      <c r="D222" t="s">
        <v>140</v>
      </c>
      <c r="E222" t="s">
        <v>98</v>
      </c>
      <c r="F222" s="2">
        <v>57</v>
      </c>
      <c r="G222" t="s">
        <v>150</v>
      </c>
      <c r="H222" t="s">
        <v>55</v>
      </c>
      <c r="I222" t="s">
        <v>91</v>
      </c>
      <c r="J222" t="s">
        <v>33</v>
      </c>
      <c r="K222">
        <v>3.7</v>
      </c>
      <c r="L222" t="s">
        <v>34</v>
      </c>
      <c r="M222" t="s">
        <v>61</v>
      </c>
      <c r="N222" t="s">
        <v>34</v>
      </c>
      <c r="O222">
        <v>48</v>
      </c>
      <c r="P222" t="s">
        <v>36</v>
      </c>
      <c r="Q222" t="s">
        <v>89</v>
      </c>
      <c r="R222" s="1">
        <v>0.1</v>
      </c>
      <c r="S222">
        <f t="shared" si="12"/>
        <v>51.3</v>
      </c>
      <c r="T222">
        <f>IFERROR(VLOOKUP(A222,Table1[[Customer ID]:[Discount Amount]], 6, FALSE),"Not Found")</f>
        <v>57</v>
      </c>
      <c r="U222" t="str">
        <f t="shared" si="13"/>
        <v>Debit Card</v>
      </c>
      <c r="V222" s="4" t="str">
        <f t="shared" si="14"/>
        <v>Normal</v>
      </c>
      <c r="W222" s="4" t="str">
        <f t="shared" si="15"/>
        <v>Good</v>
      </c>
      <c r="X222" s="4">
        <f>AVERAGE(Table1[Purchase Amount])</f>
        <v>129.48419400000012</v>
      </c>
    </row>
    <row r="223" spans="1:24" ht="15" customHeight="1" x14ac:dyDescent="0.25">
      <c r="A223">
        <v>222</v>
      </c>
      <c r="B223">
        <v>28</v>
      </c>
      <c r="C223" t="s">
        <v>27</v>
      </c>
      <c r="D223" t="s">
        <v>64</v>
      </c>
      <c r="E223" t="s">
        <v>29</v>
      </c>
      <c r="F223" s="2">
        <v>68</v>
      </c>
      <c r="G223" t="s">
        <v>134</v>
      </c>
      <c r="H223" t="s">
        <v>20</v>
      </c>
      <c r="I223" t="s">
        <v>87</v>
      </c>
      <c r="J223" t="s">
        <v>57</v>
      </c>
      <c r="K223">
        <v>4.4000000000000004</v>
      </c>
      <c r="L223" t="s">
        <v>34</v>
      </c>
      <c r="M223" t="s">
        <v>48</v>
      </c>
      <c r="N223" t="s">
        <v>34</v>
      </c>
      <c r="O223">
        <v>6</v>
      </c>
      <c r="P223" t="s">
        <v>88</v>
      </c>
      <c r="Q223" t="s">
        <v>37</v>
      </c>
      <c r="R223" s="1">
        <v>0.1</v>
      </c>
      <c r="S223">
        <f t="shared" si="12"/>
        <v>61.2</v>
      </c>
      <c r="T223">
        <f>IFERROR(VLOOKUP(A223,Table1[[Customer ID]:[Discount Amount]], 6, FALSE),"Not Found")</f>
        <v>68</v>
      </c>
      <c r="U223" t="str">
        <f t="shared" si="13"/>
        <v>Bank Transfer</v>
      </c>
      <c r="V223" s="4" t="str">
        <f t="shared" si="14"/>
        <v>Normal</v>
      </c>
      <c r="W223" s="4" t="str">
        <f t="shared" si="15"/>
        <v>Good</v>
      </c>
      <c r="X223" s="4">
        <f>AVERAGE(Table1[Purchase Amount])</f>
        <v>129.48419400000012</v>
      </c>
    </row>
    <row r="224" spans="1:24" ht="15" customHeight="1" x14ac:dyDescent="0.25">
      <c r="A224">
        <v>223</v>
      </c>
      <c r="B224">
        <v>47</v>
      </c>
      <c r="C224" t="s">
        <v>27</v>
      </c>
      <c r="D224" t="s">
        <v>43</v>
      </c>
      <c r="E224" t="s">
        <v>29</v>
      </c>
      <c r="F224" s="2">
        <v>94</v>
      </c>
      <c r="G224" t="s">
        <v>101</v>
      </c>
      <c r="H224" t="s">
        <v>20</v>
      </c>
      <c r="I224" t="s">
        <v>85</v>
      </c>
      <c r="J224" t="s">
        <v>33</v>
      </c>
      <c r="K224">
        <v>4.5</v>
      </c>
      <c r="L224" t="s">
        <v>34</v>
      </c>
      <c r="M224" t="s">
        <v>41</v>
      </c>
      <c r="N224" t="s">
        <v>34</v>
      </c>
      <c r="O224">
        <v>14</v>
      </c>
      <c r="P224" t="s">
        <v>58</v>
      </c>
      <c r="Q224" t="s">
        <v>89</v>
      </c>
      <c r="R224" s="1">
        <v>0.1</v>
      </c>
      <c r="S224">
        <f t="shared" si="12"/>
        <v>84.6</v>
      </c>
      <c r="T224">
        <f>IFERROR(VLOOKUP(A224,Table1[[Customer ID]:[Discount Amount]], 6, FALSE),"Not Found")</f>
        <v>94</v>
      </c>
      <c r="U224" t="str">
        <f t="shared" si="13"/>
        <v>PayPal</v>
      </c>
      <c r="V224" s="4" t="str">
        <f t="shared" si="14"/>
        <v>Normal</v>
      </c>
      <c r="W224" s="4" t="str">
        <f t="shared" si="15"/>
        <v>Good</v>
      </c>
      <c r="X224" s="4">
        <f>AVERAGE(Table1[Purchase Amount])</f>
        <v>129.48419400000012</v>
      </c>
    </row>
    <row r="225" spans="1:24" ht="15" customHeight="1" x14ac:dyDescent="0.25">
      <c r="A225">
        <v>224</v>
      </c>
      <c r="B225">
        <v>20</v>
      </c>
      <c r="C225" t="s">
        <v>27</v>
      </c>
      <c r="D225" t="s">
        <v>99</v>
      </c>
      <c r="E225" t="s">
        <v>18</v>
      </c>
      <c r="F225" s="2">
        <v>41</v>
      </c>
      <c r="G225" t="s">
        <v>162</v>
      </c>
      <c r="H225" t="s">
        <v>31</v>
      </c>
      <c r="I225" t="s">
        <v>156</v>
      </c>
      <c r="J225" t="s">
        <v>33</v>
      </c>
      <c r="K225">
        <v>4.8</v>
      </c>
      <c r="L225" t="s">
        <v>34</v>
      </c>
      <c r="M225" t="s">
        <v>35</v>
      </c>
      <c r="N225" t="s">
        <v>34</v>
      </c>
      <c r="O225">
        <v>34</v>
      </c>
      <c r="P225" t="s">
        <v>58</v>
      </c>
      <c r="Q225" t="s">
        <v>49</v>
      </c>
      <c r="R225" s="1">
        <v>0.1</v>
      </c>
      <c r="S225">
        <f t="shared" si="12"/>
        <v>36.9</v>
      </c>
      <c r="T225">
        <f>IFERROR(VLOOKUP(A225,Table1[[Customer ID]:[Discount Amount]], 6, FALSE),"Not Found")</f>
        <v>41</v>
      </c>
      <c r="U225" t="str">
        <f t="shared" si="13"/>
        <v>PayPal</v>
      </c>
      <c r="V225" s="4" t="str">
        <f t="shared" si="14"/>
        <v>Normal</v>
      </c>
      <c r="W225" s="4" t="str">
        <f t="shared" si="15"/>
        <v>Good</v>
      </c>
      <c r="X225" s="4">
        <f>AVERAGE(Table1[Purchase Amount])</f>
        <v>129.48419400000012</v>
      </c>
    </row>
    <row r="226" spans="1:24" ht="15" customHeight="1" x14ac:dyDescent="0.25">
      <c r="A226">
        <v>225</v>
      </c>
      <c r="B226">
        <v>63</v>
      </c>
      <c r="C226" t="s">
        <v>27</v>
      </c>
      <c r="D226" t="s">
        <v>105</v>
      </c>
      <c r="E226" t="s">
        <v>18</v>
      </c>
      <c r="F226" s="2">
        <v>83</v>
      </c>
      <c r="G226" t="s">
        <v>130</v>
      </c>
      <c r="H226" t="s">
        <v>55</v>
      </c>
      <c r="I226" t="s">
        <v>56</v>
      </c>
      <c r="J226" t="s">
        <v>57</v>
      </c>
      <c r="K226">
        <v>2.9</v>
      </c>
      <c r="L226" t="s">
        <v>34</v>
      </c>
      <c r="M226" t="s">
        <v>35</v>
      </c>
      <c r="N226" t="s">
        <v>34</v>
      </c>
      <c r="O226">
        <v>12</v>
      </c>
      <c r="P226" t="s">
        <v>25</v>
      </c>
      <c r="Q226" t="s">
        <v>63</v>
      </c>
      <c r="R226" s="1">
        <v>0.1</v>
      </c>
      <c r="S226">
        <f t="shared" si="12"/>
        <v>74.7</v>
      </c>
      <c r="T226">
        <f>IFERROR(VLOOKUP(A226,Table1[[Customer ID]:[Discount Amount]], 6, FALSE),"Not Found")</f>
        <v>83</v>
      </c>
      <c r="U226" t="str">
        <f t="shared" si="13"/>
        <v>Cash</v>
      </c>
      <c r="V226" s="4" t="str">
        <f t="shared" si="14"/>
        <v>Normal</v>
      </c>
      <c r="W226" s="4" t="str">
        <f t="shared" si="15"/>
        <v>Poor</v>
      </c>
      <c r="X226" s="4">
        <f>AVERAGE(Table1[Purchase Amount])</f>
        <v>129.48419400000012</v>
      </c>
    </row>
    <row r="227" spans="1:24" ht="15" customHeight="1" x14ac:dyDescent="0.25">
      <c r="A227">
        <v>226</v>
      </c>
      <c r="B227">
        <v>25</v>
      </c>
      <c r="C227" t="s">
        <v>27</v>
      </c>
      <c r="D227" t="s">
        <v>96</v>
      </c>
      <c r="E227" t="s">
        <v>77</v>
      </c>
      <c r="F227" s="2">
        <v>22</v>
      </c>
      <c r="G227" t="s">
        <v>100</v>
      </c>
      <c r="H227" t="s">
        <v>31</v>
      </c>
      <c r="I227" t="s">
        <v>21</v>
      </c>
      <c r="J227" t="s">
        <v>33</v>
      </c>
      <c r="K227">
        <v>3.2</v>
      </c>
      <c r="L227" t="s">
        <v>34</v>
      </c>
      <c r="M227" t="s">
        <v>79</v>
      </c>
      <c r="N227" t="s">
        <v>34</v>
      </c>
      <c r="O227">
        <v>11</v>
      </c>
      <c r="P227" t="s">
        <v>88</v>
      </c>
      <c r="Q227" t="s">
        <v>49</v>
      </c>
      <c r="R227" s="1">
        <v>0.1</v>
      </c>
      <c r="S227">
        <f t="shared" si="12"/>
        <v>19.8</v>
      </c>
      <c r="T227">
        <f>IFERROR(VLOOKUP(A227,Table1[[Customer ID]:[Discount Amount]], 6, FALSE),"Not Found")</f>
        <v>22</v>
      </c>
      <c r="U227" t="str">
        <f t="shared" si="13"/>
        <v>Bank Transfer</v>
      </c>
      <c r="V227" s="4" t="str">
        <f t="shared" si="14"/>
        <v>Normal</v>
      </c>
      <c r="W227" s="4" t="str">
        <f t="shared" si="15"/>
        <v>Good</v>
      </c>
      <c r="X227" s="4">
        <f>AVERAGE(Table1[Purchase Amount])</f>
        <v>129.48419400000012</v>
      </c>
    </row>
    <row r="228" spans="1:24" ht="15" customHeight="1" x14ac:dyDescent="0.25">
      <c r="A228">
        <v>227</v>
      </c>
      <c r="B228">
        <v>29</v>
      </c>
      <c r="C228" t="s">
        <v>27</v>
      </c>
      <c r="D228" t="s">
        <v>72</v>
      </c>
      <c r="E228" t="s">
        <v>98</v>
      </c>
      <c r="F228" s="2">
        <v>74</v>
      </c>
      <c r="G228" t="s">
        <v>152</v>
      </c>
      <c r="H228" t="s">
        <v>45</v>
      </c>
      <c r="I228" t="s">
        <v>111</v>
      </c>
      <c r="J228" t="s">
        <v>33</v>
      </c>
      <c r="K228">
        <v>3.3</v>
      </c>
      <c r="L228" t="s">
        <v>34</v>
      </c>
      <c r="M228" t="s">
        <v>35</v>
      </c>
      <c r="N228" t="s">
        <v>34</v>
      </c>
      <c r="O228">
        <v>5</v>
      </c>
      <c r="P228" t="s">
        <v>58</v>
      </c>
      <c r="Q228" t="s">
        <v>42</v>
      </c>
      <c r="R228" s="1">
        <v>0.1</v>
      </c>
      <c r="S228">
        <f t="shared" si="12"/>
        <v>66.599999999999994</v>
      </c>
      <c r="T228">
        <f>IFERROR(VLOOKUP(A228,Table1[[Customer ID]:[Discount Amount]], 6, FALSE),"Not Found")</f>
        <v>74</v>
      </c>
      <c r="U228" t="str">
        <f t="shared" si="13"/>
        <v>PayPal</v>
      </c>
      <c r="V228" s="4" t="str">
        <f t="shared" si="14"/>
        <v>Normal</v>
      </c>
      <c r="W228" s="4" t="str">
        <f t="shared" si="15"/>
        <v>Good</v>
      </c>
      <c r="X228" s="4">
        <f>AVERAGE(Table1[Purchase Amount])</f>
        <v>129.48419400000012</v>
      </c>
    </row>
    <row r="229" spans="1:24" ht="15" customHeight="1" x14ac:dyDescent="0.25">
      <c r="A229">
        <v>228</v>
      </c>
      <c r="B229">
        <v>50</v>
      </c>
      <c r="C229" t="s">
        <v>27</v>
      </c>
      <c r="D229" t="s">
        <v>109</v>
      </c>
      <c r="E229" t="s">
        <v>18</v>
      </c>
      <c r="F229" s="2">
        <v>90</v>
      </c>
      <c r="G229" t="s">
        <v>159</v>
      </c>
      <c r="H229" t="s">
        <v>31</v>
      </c>
      <c r="I229" t="s">
        <v>156</v>
      </c>
      <c r="J229" t="s">
        <v>22</v>
      </c>
      <c r="K229">
        <v>4.2</v>
      </c>
      <c r="L229" t="s">
        <v>34</v>
      </c>
      <c r="M229" t="s">
        <v>24</v>
      </c>
      <c r="N229" t="s">
        <v>34</v>
      </c>
      <c r="O229">
        <v>25</v>
      </c>
      <c r="P229" t="s">
        <v>62</v>
      </c>
      <c r="Q229" t="s">
        <v>89</v>
      </c>
      <c r="R229" s="1">
        <v>0.1</v>
      </c>
      <c r="S229">
        <f t="shared" si="12"/>
        <v>81</v>
      </c>
      <c r="T229">
        <f>IFERROR(VLOOKUP(A229,Table1[[Customer ID]:[Discount Amount]], 6, FALSE),"Not Found")</f>
        <v>90</v>
      </c>
      <c r="U229" t="str">
        <f t="shared" si="13"/>
        <v>Venmo</v>
      </c>
      <c r="V229" s="4" t="str">
        <f t="shared" si="14"/>
        <v>Normal</v>
      </c>
      <c r="W229" s="4" t="str">
        <f t="shared" si="15"/>
        <v>Good</v>
      </c>
      <c r="X229" s="4">
        <f>AVERAGE(Table1[Purchase Amount])</f>
        <v>129.48419400000012</v>
      </c>
    </row>
    <row r="230" spans="1:24" ht="15" customHeight="1" x14ac:dyDescent="0.25">
      <c r="A230">
        <v>229</v>
      </c>
      <c r="B230">
        <v>18</v>
      </c>
      <c r="C230" t="s">
        <v>27</v>
      </c>
      <c r="D230" t="s">
        <v>105</v>
      </c>
      <c r="E230" t="s">
        <v>18</v>
      </c>
      <c r="F230" s="2">
        <v>79</v>
      </c>
      <c r="G230" t="s">
        <v>132</v>
      </c>
      <c r="H230" t="s">
        <v>31</v>
      </c>
      <c r="I230" t="s">
        <v>32</v>
      </c>
      <c r="J230" t="s">
        <v>33</v>
      </c>
      <c r="K230">
        <v>2.9</v>
      </c>
      <c r="L230" t="s">
        <v>34</v>
      </c>
      <c r="M230" t="s">
        <v>48</v>
      </c>
      <c r="N230" t="s">
        <v>34</v>
      </c>
      <c r="O230">
        <v>11</v>
      </c>
      <c r="P230" t="s">
        <v>53</v>
      </c>
      <c r="Q230" t="s">
        <v>49</v>
      </c>
      <c r="R230" s="1">
        <v>0.1</v>
      </c>
      <c r="S230">
        <f t="shared" si="12"/>
        <v>71.099999999999994</v>
      </c>
      <c r="T230">
        <f>IFERROR(VLOOKUP(A230,Table1[[Customer ID]:[Discount Amount]], 6, FALSE),"Not Found")</f>
        <v>79</v>
      </c>
      <c r="U230" t="str">
        <f t="shared" si="13"/>
        <v>Credit Card</v>
      </c>
      <c r="V230" s="4" t="str">
        <f t="shared" si="14"/>
        <v>Normal</v>
      </c>
      <c r="W230" s="4" t="str">
        <f t="shared" si="15"/>
        <v>Poor</v>
      </c>
      <c r="X230" s="4">
        <f>AVERAGE(Table1[Purchase Amount])</f>
        <v>129.48419400000012</v>
      </c>
    </row>
    <row r="231" spans="1:24" ht="15" customHeight="1" x14ac:dyDescent="0.25">
      <c r="A231">
        <v>230</v>
      </c>
      <c r="B231">
        <v>70</v>
      </c>
      <c r="C231" t="s">
        <v>27</v>
      </c>
      <c r="D231" t="s">
        <v>121</v>
      </c>
      <c r="E231" t="s">
        <v>98</v>
      </c>
      <c r="F231" s="2">
        <v>28</v>
      </c>
      <c r="G231" t="s">
        <v>90</v>
      </c>
      <c r="H231" t="s">
        <v>55</v>
      </c>
      <c r="I231" t="s">
        <v>153</v>
      </c>
      <c r="J231" t="s">
        <v>33</v>
      </c>
      <c r="K231">
        <v>4.5999999999999996</v>
      </c>
      <c r="L231" t="s">
        <v>34</v>
      </c>
      <c r="M231" t="s">
        <v>79</v>
      </c>
      <c r="N231" t="s">
        <v>34</v>
      </c>
      <c r="O231">
        <v>27</v>
      </c>
      <c r="P231" t="s">
        <v>58</v>
      </c>
      <c r="Q231" t="s">
        <v>63</v>
      </c>
      <c r="R231" s="1">
        <v>0.1</v>
      </c>
      <c r="S231">
        <f t="shared" si="12"/>
        <v>25.2</v>
      </c>
      <c r="T231">
        <f>IFERROR(VLOOKUP(A231,Table1[[Customer ID]:[Discount Amount]], 6, FALSE),"Not Found")</f>
        <v>28</v>
      </c>
      <c r="U231" t="str">
        <f t="shared" si="13"/>
        <v>PayPal</v>
      </c>
      <c r="V231" s="4" t="str">
        <f t="shared" si="14"/>
        <v>Normal</v>
      </c>
      <c r="W231" s="4" t="str">
        <f t="shared" si="15"/>
        <v>Good</v>
      </c>
      <c r="X231" s="4">
        <f>AVERAGE(Table1[Purchase Amount])</f>
        <v>129.48419400000012</v>
      </c>
    </row>
    <row r="232" spans="1:24" ht="15" customHeight="1" x14ac:dyDescent="0.25">
      <c r="A232">
        <v>231</v>
      </c>
      <c r="B232">
        <v>66</v>
      </c>
      <c r="C232" t="s">
        <v>27</v>
      </c>
      <c r="D232" t="s">
        <v>129</v>
      </c>
      <c r="E232" t="s">
        <v>29</v>
      </c>
      <c r="F232" s="2">
        <v>88</v>
      </c>
      <c r="G232" t="s">
        <v>144</v>
      </c>
      <c r="H232" t="s">
        <v>45</v>
      </c>
      <c r="I232" t="s">
        <v>21</v>
      </c>
      <c r="J232" t="s">
        <v>47</v>
      </c>
      <c r="K232">
        <v>4.0999999999999996</v>
      </c>
      <c r="L232" t="s">
        <v>34</v>
      </c>
      <c r="M232" t="s">
        <v>24</v>
      </c>
      <c r="N232" t="s">
        <v>34</v>
      </c>
      <c r="O232">
        <v>43</v>
      </c>
      <c r="P232" t="s">
        <v>53</v>
      </c>
      <c r="Q232" t="s">
        <v>49</v>
      </c>
      <c r="R232" s="1">
        <v>0.1</v>
      </c>
      <c r="S232">
        <f t="shared" si="12"/>
        <v>79.2</v>
      </c>
      <c r="T232">
        <f>IFERROR(VLOOKUP(A232,Table1[[Customer ID]:[Discount Amount]], 6, FALSE),"Not Found")</f>
        <v>88</v>
      </c>
      <c r="U232" t="str">
        <f t="shared" si="13"/>
        <v>Credit Card</v>
      </c>
      <c r="V232" s="4" t="str">
        <f t="shared" si="14"/>
        <v>Normal</v>
      </c>
      <c r="W232" s="4" t="str">
        <f t="shared" si="15"/>
        <v>Good</v>
      </c>
      <c r="X232" s="4">
        <f>AVERAGE(Table1[Purchase Amount])</f>
        <v>129.48419400000012</v>
      </c>
    </row>
    <row r="233" spans="1:24" ht="15" customHeight="1" x14ac:dyDescent="0.25">
      <c r="A233">
        <v>232</v>
      </c>
      <c r="B233">
        <v>28</v>
      </c>
      <c r="C233" t="s">
        <v>27</v>
      </c>
      <c r="D233" t="s">
        <v>118</v>
      </c>
      <c r="E233" t="s">
        <v>18</v>
      </c>
      <c r="F233" s="2">
        <v>26</v>
      </c>
      <c r="G233" t="s">
        <v>65</v>
      </c>
      <c r="H233" t="s">
        <v>31</v>
      </c>
      <c r="I233" t="s">
        <v>74</v>
      </c>
      <c r="J233" t="s">
        <v>33</v>
      </c>
      <c r="K233">
        <v>3.1</v>
      </c>
      <c r="L233" t="s">
        <v>34</v>
      </c>
      <c r="M233" t="s">
        <v>41</v>
      </c>
      <c r="N233" t="s">
        <v>34</v>
      </c>
      <c r="O233">
        <v>18</v>
      </c>
      <c r="P233" t="s">
        <v>36</v>
      </c>
      <c r="Q233" t="s">
        <v>63</v>
      </c>
      <c r="R233" s="1">
        <v>0.1</v>
      </c>
      <c r="S233">
        <f t="shared" si="12"/>
        <v>23.4</v>
      </c>
      <c r="T233">
        <f>IFERROR(VLOOKUP(A233,Table1[[Customer ID]:[Discount Amount]], 6, FALSE),"Not Found")</f>
        <v>26</v>
      </c>
      <c r="U233" t="str">
        <f t="shared" si="13"/>
        <v>Debit Card</v>
      </c>
      <c r="V233" s="4" t="str">
        <f t="shared" si="14"/>
        <v>Normal</v>
      </c>
      <c r="W233" s="4" t="str">
        <f t="shared" si="15"/>
        <v>Good</v>
      </c>
      <c r="X233" s="4">
        <f>AVERAGE(Table1[Purchase Amount])</f>
        <v>129.48419400000012</v>
      </c>
    </row>
    <row r="234" spans="1:24" ht="15" customHeight="1" x14ac:dyDescent="0.25">
      <c r="A234">
        <v>233</v>
      </c>
      <c r="B234">
        <v>54</v>
      </c>
      <c r="C234" t="s">
        <v>27</v>
      </c>
      <c r="D234" t="s">
        <v>50</v>
      </c>
      <c r="E234" t="s">
        <v>29</v>
      </c>
      <c r="F234" s="2">
        <v>27</v>
      </c>
      <c r="G234" t="s">
        <v>135</v>
      </c>
      <c r="H234" t="s">
        <v>45</v>
      </c>
      <c r="I234" t="s">
        <v>66</v>
      </c>
      <c r="J234" t="s">
        <v>22</v>
      </c>
      <c r="K234">
        <v>4.2</v>
      </c>
      <c r="L234" t="s">
        <v>34</v>
      </c>
      <c r="M234" t="s">
        <v>61</v>
      </c>
      <c r="N234" t="s">
        <v>34</v>
      </c>
      <c r="O234">
        <v>32</v>
      </c>
      <c r="P234" t="s">
        <v>88</v>
      </c>
      <c r="Q234" t="s">
        <v>68</v>
      </c>
      <c r="R234" s="1">
        <v>0.1</v>
      </c>
      <c r="S234">
        <f t="shared" si="12"/>
        <v>24.3</v>
      </c>
      <c r="T234">
        <f>IFERROR(VLOOKUP(A234,Table1[[Customer ID]:[Discount Amount]], 6, FALSE),"Not Found")</f>
        <v>27</v>
      </c>
      <c r="U234" t="str">
        <f t="shared" si="13"/>
        <v>Bank Transfer</v>
      </c>
      <c r="V234" s="4" t="str">
        <f t="shared" si="14"/>
        <v>Normal</v>
      </c>
      <c r="W234" s="4" t="str">
        <f t="shared" si="15"/>
        <v>Good</v>
      </c>
      <c r="X234" s="4">
        <f>AVERAGE(Table1[Purchase Amount])</f>
        <v>129.48419400000012</v>
      </c>
    </row>
    <row r="235" spans="1:24" ht="15" customHeight="1" x14ac:dyDescent="0.25">
      <c r="A235">
        <v>234</v>
      </c>
      <c r="B235">
        <v>19</v>
      </c>
      <c r="C235" t="s">
        <v>27</v>
      </c>
      <c r="D235" t="s">
        <v>127</v>
      </c>
      <c r="E235" t="s">
        <v>18</v>
      </c>
      <c r="F235" s="2">
        <v>83</v>
      </c>
      <c r="G235" t="s">
        <v>150</v>
      </c>
      <c r="H235" t="s">
        <v>20</v>
      </c>
      <c r="I235" t="s">
        <v>52</v>
      </c>
      <c r="J235" t="s">
        <v>47</v>
      </c>
      <c r="K235">
        <v>4.5</v>
      </c>
      <c r="L235" t="s">
        <v>34</v>
      </c>
      <c r="M235" t="s">
        <v>79</v>
      </c>
      <c r="N235" t="s">
        <v>34</v>
      </c>
      <c r="O235">
        <v>27</v>
      </c>
      <c r="P235" t="s">
        <v>88</v>
      </c>
      <c r="Q235" t="s">
        <v>63</v>
      </c>
      <c r="R235" s="1">
        <v>0.1</v>
      </c>
      <c r="S235">
        <f t="shared" si="12"/>
        <v>74.7</v>
      </c>
      <c r="T235">
        <f>IFERROR(VLOOKUP(A235,Table1[[Customer ID]:[Discount Amount]], 6, FALSE),"Not Found")</f>
        <v>83</v>
      </c>
      <c r="U235" t="str">
        <f t="shared" si="13"/>
        <v>Bank Transfer</v>
      </c>
      <c r="V235" s="4" t="str">
        <f t="shared" si="14"/>
        <v>Normal</v>
      </c>
      <c r="W235" s="4" t="str">
        <f t="shared" si="15"/>
        <v>Good</v>
      </c>
      <c r="X235" s="4">
        <f>AVERAGE(Table1[Purchase Amount])</f>
        <v>129.48419400000012</v>
      </c>
    </row>
    <row r="236" spans="1:24" ht="15" customHeight="1" x14ac:dyDescent="0.25">
      <c r="A236">
        <v>235</v>
      </c>
      <c r="B236">
        <v>20</v>
      </c>
      <c r="C236" t="s">
        <v>27</v>
      </c>
      <c r="D236" t="s">
        <v>43</v>
      </c>
      <c r="E236" t="s">
        <v>29</v>
      </c>
      <c r="F236" s="2">
        <v>39</v>
      </c>
      <c r="G236" t="s">
        <v>130</v>
      </c>
      <c r="H236" t="s">
        <v>55</v>
      </c>
      <c r="I236" t="s">
        <v>153</v>
      </c>
      <c r="J236" t="s">
        <v>57</v>
      </c>
      <c r="K236">
        <v>3.7</v>
      </c>
      <c r="L236" t="s">
        <v>34</v>
      </c>
      <c r="M236" t="s">
        <v>79</v>
      </c>
      <c r="N236" t="s">
        <v>34</v>
      </c>
      <c r="O236">
        <v>24</v>
      </c>
      <c r="P236" t="s">
        <v>53</v>
      </c>
      <c r="Q236" t="s">
        <v>26</v>
      </c>
      <c r="R236" s="1">
        <v>0.1</v>
      </c>
      <c r="S236">
        <f t="shared" si="12"/>
        <v>35.1</v>
      </c>
      <c r="T236">
        <f>IFERROR(VLOOKUP(A236,Table1[[Customer ID]:[Discount Amount]], 6, FALSE),"Not Found")</f>
        <v>39</v>
      </c>
      <c r="U236" t="str">
        <f t="shared" si="13"/>
        <v>Credit Card</v>
      </c>
      <c r="V236" s="4" t="str">
        <f t="shared" si="14"/>
        <v>Normal</v>
      </c>
      <c r="W236" s="4" t="str">
        <f t="shared" si="15"/>
        <v>Good</v>
      </c>
      <c r="X236" s="4">
        <f>AVERAGE(Table1[Purchase Amount])</f>
        <v>129.48419400000012</v>
      </c>
    </row>
    <row r="237" spans="1:24" ht="15" customHeight="1" x14ac:dyDescent="0.25">
      <c r="A237">
        <v>236</v>
      </c>
      <c r="B237">
        <v>43</v>
      </c>
      <c r="C237" t="s">
        <v>27</v>
      </c>
      <c r="D237" t="s">
        <v>28</v>
      </c>
      <c r="E237" t="s">
        <v>29</v>
      </c>
      <c r="F237" s="2">
        <v>89</v>
      </c>
      <c r="G237" t="s">
        <v>131</v>
      </c>
      <c r="H237" t="s">
        <v>31</v>
      </c>
      <c r="I237" t="s">
        <v>128</v>
      </c>
      <c r="J237" t="s">
        <v>22</v>
      </c>
      <c r="K237">
        <v>3.7</v>
      </c>
      <c r="L237" t="s">
        <v>34</v>
      </c>
      <c r="M237" t="s">
        <v>35</v>
      </c>
      <c r="N237" t="s">
        <v>34</v>
      </c>
      <c r="O237">
        <v>31</v>
      </c>
      <c r="P237" t="s">
        <v>36</v>
      </c>
      <c r="Q237" t="s">
        <v>37</v>
      </c>
      <c r="R237" s="1">
        <v>0.1</v>
      </c>
      <c r="S237">
        <f t="shared" si="12"/>
        <v>80.099999999999994</v>
      </c>
      <c r="T237">
        <f>IFERROR(VLOOKUP(A237,Table1[[Customer ID]:[Discount Amount]], 6, FALSE),"Not Found")</f>
        <v>89</v>
      </c>
      <c r="U237" t="str">
        <f t="shared" si="13"/>
        <v>Debit Card</v>
      </c>
      <c r="V237" s="4" t="str">
        <f t="shared" si="14"/>
        <v>Normal</v>
      </c>
      <c r="W237" s="4" t="str">
        <f t="shared" si="15"/>
        <v>Good</v>
      </c>
      <c r="X237" s="4">
        <f>AVERAGE(Table1[Purchase Amount])</f>
        <v>129.48419400000012</v>
      </c>
    </row>
    <row r="238" spans="1:24" ht="15" customHeight="1" x14ac:dyDescent="0.25">
      <c r="A238">
        <v>237</v>
      </c>
      <c r="B238">
        <v>38</v>
      </c>
      <c r="C238" t="s">
        <v>27</v>
      </c>
      <c r="D238" t="s">
        <v>76</v>
      </c>
      <c r="E238" t="s">
        <v>77</v>
      </c>
      <c r="F238" s="2">
        <v>68</v>
      </c>
      <c r="G238" t="s">
        <v>86</v>
      </c>
      <c r="H238" t="s">
        <v>45</v>
      </c>
      <c r="I238" t="s">
        <v>93</v>
      </c>
      <c r="J238" t="s">
        <v>22</v>
      </c>
      <c r="K238">
        <v>3.4</v>
      </c>
      <c r="L238" t="s">
        <v>34</v>
      </c>
      <c r="M238" t="s">
        <v>79</v>
      </c>
      <c r="N238" t="s">
        <v>34</v>
      </c>
      <c r="O238">
        <v>39</v>
      </c>
      <c r="P238" t="s">
        <v>58</v>
      </c>
      <c r="Q238" t="s">
        <v>89</v>
      </c>
      <c r="R238" s="1">
        <v>0.1</v>
      </c>
      <c r="S238">
        <f t="shared" si="12"/>
        <v>61.2</v>
      </c>
      <c r="T238">
        <f>IFERROR(VLOOKUP(A238,Table1[[Customer ID]:[Discount Amount]], 6, FALSE),"Not Found")</f>
        <v>68</v>
      </c>
      <c r="U238" t="str">
        <f t="shared" si="13"/>
        <v>PayPal</v>
      </c>
      <c r="V238" s="4" t="str">
        <f t="shared" si="14"/>
        <v>Normal</v>
      </c>
      <c r="W238" s="4" t="str">
        <f t="shared" si="15"/>
        <v>Good</v>
      </c>
      <c r="X238" s="4">
        <f>AVERAGE(Table1[Purchase Amount])</f>
        <v>129.48419400000012</v>
      </c>
    </row>
    <row r="239" spans="1:24" ht="15" customHeight="1" x14ac:dyDescent="0.25">
      <c r="A239">
        <v>238</v>
      </c>
      <c r="B239">
        <v>50</v>
      </c>
      <c r="C239" t="s">
        <v>27</v>
      </c>
      <c r="D239" t="s">
        <v>157</v>
      </c>
      <c r="E239" t="s">
        <v>18</v>
      </c>
      <c r="F239" s="2">
        <v>90</v>
      </c>
      <c r="G239" t="s">
        <v>141</v>
      </c>
      <c r="H239" t="s">
        <v>31</v>
      </c>
      <c r="I239" t="s">
        <v>56</v>
      </c>
      <c r="J239" t="s">
        <v>57</v>
      </c>
      <c r="K239">
        <v>3</v>
      </c>
      <c r="L239" t="s">
        <v>34</v>
      </c>
      <c r="M239" t="s">
        <v>48</v>
      </c>
      <c r="N239" t="s">
        <v>34</v>
      </c>
      <c r="O239">
        <v>36</v>
      </c>
      <c r="P239" t="s">
        <v>36</v>
      </c>
      <c r="Q239" t="s">
        <v>89</v>
      </c>
      <c r="R239" s="1">
        <v>0.1</v>
      </c>
      <c r="S239">
        <f t="shared" si="12"/>
        <v>81</v>
      </c>
      <c r="T239">
        <f>IFERROR(VLOOKUP(A239,Table1[[Customer ID]:[Discount Amount]], 6, FALSE),"Not Found")</f>
        <v>90</v>
      </c>
      <c r="U239" t="str">
        <f t="shared" si="13"/>
        <v>Debit Card</v>
      </c>
      <c r="V239" s="4" t="str">
        <f t="shared" si="14"/>
        <v>Normal</v>
      </c>
      <c r="W239" s="4" t="str">
        <f t="shared" si="15"/>
        <v>Good</v>
      </c>
      <c r="X239" s="4">
        <f>AVERAGE(Table1[Purchase Amount])</f>
        <v>129.48419400000012</v>
      </c>
    </row>
    <row r="240" spans="1:24" ht="15" customHeight="1" x14ac:dyDescent="0.25">
      <c r="A240">
        <v>239</v>
      </c>
      <c r="B240">
        <v>64</v>
      </c>
      <c r="C240" t="s">
        <v>27</v>
      </c>
      <c r="D240" t="s">
        <v>122</v>
      </c>
      <c r="E240" t="s">
        <v>18</v>
      </c>
      <c r="F240" s="2">
        <v>34</v>
      </c>
      <c r="G240" t="s">
        <v>90</v>
      </c>
      <c r="H240" t="s">
        <v>31</v>
      </c>
      <c r="I240" t="s">
        <v>145</v>
      </c>
      <c r="J240" t="s">
        <v>47</v>
      </c>
      <c r="K240">
        <v>4.2</v>
      </c>
      <c r="L240" t="s">
        <v>34</v>
      </c>
      <c r="M240" t="s">
        <v>35</v>
      </c>
      <c r="N240" t="s">
        <v>34</v>
      </c>
      <c r="O240">
        <v>5</v>
      </c>
      <c r="P240" t="s">
        <v>25</v>
      </c>
      <c r="Q240" t="s">
        <v>49</v>
      </c>
      <c r="R240" s="1">
        <v>0.1</v>
      </c>
      <c r="S240">
        <f t="shared" si="12"/>
        <v>30.6</v>
      </c>
      <c r="T240">
        <f>IFERROR(VLOOKUP(A240,Table1[[Customer ID]:[Discount Amount]], 6, FALSE),"Not Found")</f>
        <v>34</v>
      </c>
      <c r="U240" t="str">
        <f t="shared" si="13"/>
        <v>Cash</v>
      </c>
      <c r="V240" s="4" t="str">
        <f t="shared" si="14"/>
        <v>Normal</v>
      </c>
      <c r="W240" s="4" t="str">
        <f t="shared" si="15"/>
        <v>Good</v>
      </c>
      <c r="X240" s="4">
        <f>AVERAGE(Table1[Purchase Amount])</f>
        <v>129.48419400000012</v>
      </c>
    </row>
    <row r="241" spans="1:24" ht="15" customHeight="1" x14ac:dyDescent="0.25">
      <c r="A241">
        <v>240</v>
      </c>
      <c r="B241">
        <v>49</v>
      </c>
      <c r="C241" t="s">
        <v>27</v>
      </c>
      <c r="D241" t="s">
        <v>99</v>
      </c>
      <c r="E241" t="s">
        <v>18</v>
      </c>
      <c r="F241" s="2">
        <v>51</v>
      </c>
      <c r="G241" t="s">
        <v>84</v>
      </c>
      <c r="H241" t="s">
        <v>45</v>
      </c>
      <c r="I241" t="s">
        <v>52</v>
      </c>
      <c r="J241" t="s">
        <v>57</v>
      </c>
      <c r="K241">
        <v>2.9</v>
      </c>
      <c r="L241" t="s">
        <v>34</v>
      </c>
      <c r="M241" t="s">
        <v>61</v>
      </c>
      <c r="N241" t="s">
        <v>34</v>
      </c>
      <c r="O241">
        <v>47</v>
      </c>
      <c r="P241" t="s">
        <v>53</v>
      </c>
      <c r="Q241" t="s">
        <v>68</v>
      </c>
      <c r="R241" s="1">
        <v>0.1</v>
      </c>
      <c r="S241">
        <f t="shared" si="12"/>
        <v>45.9</v>
      </c>
      <c r="T241">
        <f>IFERROR(VLOOKUP(A241,Table1[[Customer ID]:[Discount Amount]], 6, FALSE),"Not Found")</f>
        <v>51</v>
      </c>
      <c r="U241" t="str">
        <f t="shared" si="13"/>
        <v>Credit Card</v>
      </c>
      <c r="V241" s="4" t="str">
        <f t="shared" si="14"/>
        <v>Normal</v>
      </c>
      <c r="W241" s="4" t="str">
        <f t="shared" si="15"/>
        <v>Poor</v>
      </c>
      <c r="X241" s="4">
        <f>AVERAGE(Table1[Purchase Amount])</f>
        <v>129.48419400000012</v>
      </c>
    </row>
    <row r="242" spans="1:24" ht="15" customHeight="1" x14ac:dyDescent="0.25">
      <c r="A242">
        <v>241</v>
      </c>
      <c r="B242">
        <v>47</v>
      </c>
      <c r="C242" t="s">
        <v>27</v>
      </c>
      <c r="D242" t="s">
        <v>127</v>
      </c>
      <c r="E242" t="s">
        <v>18</v>
      </c>
      <c r="F242" s="2">
        <v>45</v>
      </c>
      <c r="G242" t="s">
        <v>39</v>
      </c>
      <c r="H242" t="s">
        <v>20</v>
      </c>
      <c r="I242" t="s">
        <v>156</v>
      </c>
      <c r="J242" t="s">
        <v>22</v>
      </c>
      <c r="K242">
        <v>3.5</v>
      </c>
      <c r="L242" t="s">
        <v>34</v>
      </c>
      <c r="M242" t="s">
        <v>35</v>
      </c>
      <c r="N242" t="s">
        <v>34</v>
      </c>
      <c r="O242">
        <v>29</v>
      </c>
      <c r="P242" t="s">
        <v>88</v>
      </c>
      <c r="Q242" t="s">
        <v>89</v>
      </c>
      <c r="R242" s="1">
        <v>0.1</v>
      </c>
      <c r="S242">
        <f t="shared" si="12"/>
        <v>40.5</v>
      </c>
      <c r="T242">
        <f>IFERROR(VLOOKUP(A242,Table1[[Customer ID]:[Discount Amount]], 6, FALSE),"Not Found")</f>
        <v>45</v>
      </c>
      <c r="U242" t="str">
        <f t="shared" si="13"/>
        <v>Bank Transfer</v>
      </c>
      <c r="V242" s="4" t="str">
        <f t="shared" si="14"/>
        <v>Normal</v>
      </c>
      <c r="W242" s="4" t="str">
        <f t="shared" si="15"/>
        <v>Good</v>
      </c>
      <c r="X242" s="4">
        <f>AVERAGE(Table1[Purchase Amount])</f>
        <v>129.48419400000012</v>
      </c>
    </row>
    <row r="243" spans="1:24" ht="15" customHeight="1" x14ac:dyDescent="0.25">
      <c r="A243">
        <v>242</v>
      </c>
      <c r="B243">
        <v>36</v>
      </c>
      <c r="C243" t="s">
        <v>27</v>
      </c>
      <c r="D243" t="s">
        <v>83</v>
      </c>
      <c r="E243" t="s">
        <v>18</v>
      </c>
      <c r="F243" s="2">
        <v>88</v>
      </c>
      <c r="G243" t="s">
        <v>143</v>
      </c>
      <c r="H243" t="s">
        <v>31</v>
      </c>
      <c r="I243" t="s">
        <v>145</v>
      </c>
      <c r="J243" t="s">
        <v>22</v>
      </c>
      <c r="K243">
        <v>4.0999999999999996</v>
      </c>
      <c r="L243" t="s">
        <v>34</v>
      </c>
      <c r="M243" t="s">
        <v>35</v>
      </c>
      <c r="N243" t="s">
        <v>34</v>
      </c>
      <c r="O243">
        <v>43</v>
      </c>
      <c r="P243" t="s">
        <v>62</v>
      </c>
      <c r="Q243" t="s">
        <v>68</v>
      </c>
      <c r="R243" s="1">
        <v>0.1</v>
      </c>
      <c r="S243">
        <f t="shared" si="12"/>
        <v>79.2</v>
      </c>
      <c r="T243">
        <f>IFERROR(VLOOKUP(A243,Table1[[Customer ID]:[Discount Amount]], 6, FALSE),"Not Found")</f>
        <v>88</v>
      </c>
      <c r="U243" t="str">
        <f t="shared" si="13"/>
        <v>Venmo</v>
      </c>
      <c r="V243" s="4" t="str">
        <f t="shared" si="14"/>
        <v>Normal</v>
      </c>
      <c r="W243" s="4" t="str">
        <f t="shared" si="15"/>
        <v>Good</v>
      </c>
      <c r="X243" s="4">
        <f>AVERAGE(Table1[Purchase Amount])</f>
        <v>129.48419400000012</v>
      </c>
    </row>
    <row r="244" spans="1:24" ht="15" customHeight="1" x14ac:dyDescent="0.25">
      <c r="A244">
        <v>243</v>
      </c>
      <c r="B244">
        <v>55</v>
      </c>
      <c r="C244" t="s">
        <v>27</v>
      </c>
      <c r="D244" t="s">
        <v>76</v>
      </c>
      <c r="E244" t="s">
        <v>77</v>
      </c>
      <c r="F244" s="2">
        <v>85</v>
      </c>
      <c r="G244" t="s">
        <v>101</v>
      </c>
      <c r="H244" t="s">
        <v>45</v>
      </c>
      <c r="I244" t="s">
        <v>85</v>
      </c>
      <c r="J244" t="s">
        <v>57</v>
      </c>
      <c r="K244">
        <v>4.3</v>
      </c>
      <c r="L244" t="s">
        <v>34</v>
      </c>
      <c r="M244" t="s">
        <v>48</v>
      </c>
      <c r="N244" t="s">
        <v>34</v>
      </c>
      <c r="O244">
        <v>40</v>
      </c>
      <c r="P244" t="s">
        <v>36</v>
      </c>
      <c r="Q244" t="s">
        <v>63</v>
      </c>
      <c r="R244" s="1">
        <v>0.1</v>
      </c>
      <c r="S244">
        <f t="shared" si="12"/>
        <v>76.5</v>
      </c>
      <c r="T244">
        <f>IFERROR(VLOOKUP(A244,Table1[[Customer ID]:[Discount Amount]], 6, FALSE),"Not Found")</f>
        <v>85</v>
      </c>
      <c r="U244" t="str">
        <f t="shared" si="13"/>
        <v>Debit Card</v>
      </c>
      <c r="V244" s="4" t="str">
        <f t="shared" si="14"/>
        <v>Normal</v>
      </c>
      <c r="W244" s="4" t="str">
        <f t="shared" si="15"/>
        <v>Good</v>
      </c>
      <c r="X244" s="4">
        <f>AVERAGE(Table1[Purchase Amount])</f>
        <v>129.48419400000012</v>
      </c>
    </row>
    <row r="245" spans="1:24" ht="15" customHeight="1" x14ac:dyDescent="0.25">
      <c r="A245">
        <v>244</v>
      </c>
      <c r="B245">
        <v>25</v>
      </c>
      <c r="C245" t="s">
        <v>27</v>
      </c>
      <c r="D245" t="s">
        <v>50</v>
      </c>
      <c r="E245" t="s">
        <v>29</v>
      </c>
      <c r="F245" s="2">
        <v>100</v>
      </c>
      <c r="G245" t="s">
        <v>70</v>
      </c>
      <c r="H245" t="s">
        <v>31</v>
      </c>
      <c r="I245" t="s">
        <v>21</v>
      </c>
      <c r="J245" t="s">
        <v>22</v>
      </c>
      <c r="K245">
        <v>2.8</v>
      </c>
      <c r="L245" t="s">
        <v>34</v>
      </c>
      <c r="M245" t="s">
        <v>41</v>
      </c>
      <c r="N245" t="s">
        <v>34</v>
      </c>
      <c r="O245">
        <v>4</v>
      </c>
      <c r="P245" t="s">
        <v>36</v>
      </c>
      <c r="Q245" t="s">
        <v>42</v>
      </c>
      <c r="R245" s="1">
        <v>0.1</v>
      </c>
      <c r="S245">
        <f t="shared" si="12"/>
        <v>90</v>
      </c>
      <c r="T245">
        <f>IFERROR(VLOOKUP(A245,Table1[[Customer ID]:[Discount Amount]], 6, FALSE),"Not Found")</f>
        <v>100</v>
      </c>
      <c r="U245" t="str">
        <f t="shared" si="13"/>
        <v>Debit Card</v>
      </c>
      <c r="V245" s="4" t="str">
        <f t="shared" si="14"/>
        <v>Normal</v>
      </c>
      <c r="W245" s="4" t="str">
        <f t="shared" si="15"/>
        <v>Poor</v>
      </c>
      <c r="X245" s="4">
        <f>AVERAGE(Table1[Purchase Amount])</f>
        <v>129.48419400000012</v>
      </c>
    </row>
    <row r="246" spans="1:24" ht="15" customHeight="1" x14ac:dyDescent="0.25">
      <c r="A246">
        <v>245</v>
      </c>
      <c r="B246">
        <v>53</v>
      </c>
      <c r="C246" t="s">
        <v>27</v>
      </c>
      <c r="D246" t="s">
        <v>114</v>
      </c>
      <c r="E246" t="s">
        <v>29</v>
      </c>
      <c r="F246" s="2">
        <v>42</v>
      </c>
      <c r="G246" t="s">
        <v>123</v>
      </c>
      <c r="H246" t="s">
        <v>55</v>
      </c>
      <c r="I246" t="s">
        <v>91</v>
      </c>
      <c r="J246" t="s">
        <v>33</v>
      </c>
      <c r="K246">
        <v>4.9000000000000004</v>
      </c>
      <c r="L246" t="s">
        <v>34</v>
      </c>
      <c r="M246" t="s">
        <v>41</v>
      </c>
      <c r="N246" t="s">
        <v>34</v>
      </c>
      <c r="O246">
        <v>39</v>
      </c>
      <c r="P246" t="s">
        <v>58</v>
      </c>
      <c r="Q246" t="s">
        <v>26</v>
      </c>
      <c r="R246" s="1">
        <v>0.1</v>
      </c>
      <c r="S246">
        <f t="shared" si="12"/>
        <v>37.799999999999997</v>
      </c>
      <c r="T246">
        <f>IFERROR(VLOOKUP(A246,Table1[[Customer ID]:[Discount Amount]], 6, FALSE),"Not Found")</f>
        <v>42</v>
      </c>
      <c r="U246" t="str">
        <f t="shared" si="13"/>
        <v>PayPal</v>
      </c>
      <c r="V246" s="4" t="str">
        <f t="shared" si="14"/>
        <v>Normal</v>
      </c>
      <c r="W246" s="4" t="str">
        <f t="shared" si="15"/>
        <v>Good</v>
      </c>
      <c r="X246" s="4">
        <f>AVERAGE(Table1[Purchase Amount])</f>
        <v>129.48419400000012</v>
      </c>
    </row>
    <row r="247" spans="1:24" ht="15" customHeight="1" x14ac:dyDescent="0.25">
      <c r="A247">
        <v>246</v>
      </c>
      <c r="B247">
        <v>49</v>
      </c>
      <c r="C247" t="s">
        <v>27</v>
      </c>
      <c r="D247" t="s">
        <v>121</v>
      </c>
      <c r="E247" t="s">
        <v>98</v>
      </c>
      <c r="F247" s="2">
        <v>53</v>
      </c>
      <c r="G247" t="s">
        <v>159</v>
      </c>
      <c r="H247" t="s">
        <v>45</v>
      </c>
      <c r="I247" t="s">
        <v>103</v>
      </c>
      <c r="J247" t="s">
        <v>57</v>
      </c>
      <c r="K247">
        <v>3.3</v>
      </c>
      <c r="L247" t="s">
        <v>34</v>
      </c>
      <c r="M247" t="s">
        <v>79</v>
      </c>
      <c r="N247" t="s">
        <v>34</v>
      </c>
      <c r="O247">
        <v>45</v>
      </c>
      <c r="P247" t="s">
        <v>62</v>
      </c>
      <c r="Q247" t="s">
        <v>89</v>
      </c>
      <c r="R247" s="1">
        <v>0.1</v>
      </c>
      <c r="S247">
        <f t="shared" si="12"/>
        <v>47.7</v>
      </c>
      <c r="T247">
        <f>IFERROR(VLOOKUP(A247,Table1[[Customer ID]:[Discount Amount]], 6, FALSE),"Not Found")</f>
        <v>53</v>
      </c>
      <c r="U247" t="str">
        <f t="shared" si="13"/>
        <v>Venmo</v>
      </c>
      <c r="V247" s="4" t="str">
        <f t="shared" si="14"/>
        <v>Normal</v>
      </c>
      <c r="W247" s="4" t="str">
        <f t="shared" si="15"/>
        <v>Good</v>
      </c>
      <c r="X247" s="4">
        <f>AVERAGE(Table1[Purchase Amount])</f>
        <v>129.48419400000012</v>
      </c>
    </row>
    <row r="248" spans="1:24" ht="15" customHeight="1" x14ac:dyDescent="0.25">
      <c r="A248">
        <v>247</v>
      </c>
      <c r="B248">
        <v>35</v>
      </c>
      <c r="C248" t="s">
        <v>27</v>
      </c>
      <c r="D248" t="s">
        <v>28</v>
      </c>
      <c r="E248" t="s">
        <v>29</v>
      </c>
      <c r="F248" s="2">
        <v>86</v>
      </c>
      <c r="G248" t="s">
        <v>158</v>
      </c>
      <c r="H248" t="s">
        <v>20</v>
      </c>
      <c r="I248" t="s">
        <v>56</v>
      </c>
      <c r="J248" t="s">
        <v>33</v>
      </c>
      <c r="K248">
        <v>3.2</v>
      </c>
      <c r="L248" t="s">
        <v>34</v>
      </c>
      <c r="M248" t="s">
        <v>61</v>
      </c>
      <c r="N248" t="s">
        <v>34</v>
      </c>
      <c r="O248">
        <v>20</v>
      </c>
      <c r="P248" t="s">
        <v>62</v>
      </c>
      <c r="Q248" t="s">
        <v>68</v>
      </c>
      <c r="R248" s="1">
        <v>0.1</v>
      </c>
      <c r="S248">
        <f t="shared" si="12"/>
        <v>77.400000000000006</v>
      </c>
      <c r="T248">
        <f>IFERROR(VLOOKUP(A248,Table1[[Customer ID]:[Discount Amount]], 6, FALSE),"Not Found")</f>
        <v>86</v>
      </c>
      <c r="U248" t="str">
        <f t="shared" si="13"/>
        <v>Venmo</v>
      </c>
      <c r="V248" s="4" t="str">
        <f t="shared" si="14"/>
        <v>Normal</v>
      </c>
      <c r="W248" s="4" t="str">
        <f t="shared" si="15"/>
        <v>Good</v>
      </c>
      <c r="X248" s="4">
        <f>AVERAGE(Table1[Purchase Amount])</f>
        <v>129.48419400000012</v>
      </c>
    </row>
    <row r="249" spans="1:24" ht="15" customHeight="1" x14ac:dyDescent="0.25">
      <c r="A249">
        <v>248</v>
      </c>
      <c r="B249">
        <v>29</v>
      </c>
      <c r="C249" t="s">
        <v>27</v>
      </c>
      <c r="D249" t="s">
        <v>127</v>
      </c>
      <c r="E249" t="s">
        <v>18</v>
      </c>
      <c r="F249" s="2">
        <v>66</v>
      </c>
      <c r="G249" t="s">
        <v>39</v>
      </c>
      <c r="H249" t="s">
        <v>20</v>
      </c>
      <c r="I249" t="s">
        <v>60</v>
      </c>
      <c r="J249" t="s">
        <v>33</v>
      </c>
      <c r="K249">
        <v>4.4000000000000004</v>
      </c>
      <c r="L249" t="s">
        <v>34</v>
      </c>
      <c r="M249" t="s">
        <v>24</v>
      </c>
      <c r="N249" t="s">
        <v>34</v>
      </c>
      <c r="O249">
        <v>14</v>
      </c>
      <c r="P249" t="s">
        <v>36</v>
      </c>
      <c r="Q249" t="s">
        <v>26</v>
      </c>
      <c r="R249" s="1">
        <v>0.1</v>
      </c>
      <c r="S249">
        <f t="shared" si="12"/>
        <v>59.4</v>
      </c>
      <c r="T249">
        <f>IFERROR(VLOOKUP(A249,Table1[[Customer ID]:[Discount Amount]], 6, FALSE),"Not Found")</f>
        <v>66</v>
      </c>
      <c r="U249" t="str">
        <f t="shared" si="13"/>
        <v>Debit Card</v>
      </c>
      <c r="V249" s="4" t="str">
        <f t="shared" si="14"/>
        <v>Normal</v>
      </c>
      <c r="W249" s="4" t="str">
        <f t="shared" si="15"/>
        <v>Good</v>
      </c>
      <c r="X249" s="4">
        <f>AVERAGE(Table1[Purchase Amount])</f>
        <v>129.48419400000012</v>
      </c>
    </row>
    <row r="250" spans="1:24" ht="15" customHeight="1" x14ac:dyDescent="0.25">
      <c r="A250">
        <v>249</v>
      </c>
      <c r="B250">
        <v>47</v>
      </c>
      <c r="C250" t="s">
        <v>27</v>
      </c>
      <c r="D250" t="s">
        <v>114</v>
      </c>
      <c r="E250" t="s">
        <v>29</v>
      </c>
      <c r="F250" s="2">
        <v>100</v>
      </c>
      <c r="G250" t="s">
        <v>78</v>
      </c>
      <c r="H250" t="s">
        <v>31</v>
      </c>
      <c r="I250" t="s">
        <v>74</v>
      </c>
      <c r="J250" t="s">
        <v>22</v>
      </c>
      <c r="K250">
        <v>4.8</v>
      </c>
      <c r="L250" t="s">
        <v>34</v>
      </c>
      <c r="M250" t="s">
        <v>61</v>
      </c>
      <c r="N250" t="s">
        <v>34</v>
      </c>
      <c r="O250">
        <v>33</v>
      </c>
      <c r="P250" t="s">
        <v>58</v>
      </c>
      <c r="Q250" t="s">
        <v>26</v>
      </c>
      <c r="R250" s="1">
        <v>0.1</v>
      </c>
      <c r="S250">
        <f t="shared" si="12"/>
        <v>90</v>
      </c>
      <c r="T250">
        <f>IFERROR(VLOOKUP(A250,Table1[[Customer ID]:[Discount Amount]], 6, FALSE),"Not Found")</f>
        <v>100</v>
      </c>
      <c r="U250" t="str">
        <f t="shared" si="13"/>
        <v>PayPal</v>
      </c>
      <c r="V250" s="4" t="str">
        <f t="shared" si="14"/>
        <v>Normal</v>
      </c>
      <c r="W250" s="4" t="str">
        <f t="shared" si="15"/>
        <v>Good</v>
      </c>
      <c r="X250" s="4">
        <f>AVERAGE(Table1[Purchase Amount])</f>
        <v>129.48419400000012</v>
      </c>
    </row>
    <row r="251" spans="1:24" ht="15" customHeight="1" x14ac:dyDescent="0.25">
      <c r="A251">
        <v>250</v>
      </c>
      <c r="B251">
        <v>53</v>
      </c>
      <c r="C251" t="s">
        <v>27</v>
      </c>
      <c r="D251" t="s">
        <v>69</v>
      </c>
      <c r="E251" t="s">
        <v>29</v>
      </c>
      <c r="F251" s="2">
        <v>47</v>
      </c>
      <c r="G251" t="s">
        <v>148</v>
      </c>
      <c r="H251" t="s">
        <v>55</v>
      </c>
      <c r="I251" t="s">
        <v>147</v>
      </c>
      <c r="J251" t="s">
        <v>47</v>
      </c>
      <c r="K251">
        <v>4.2</v>
      </c>
      <c r="L251" t="s">
        <v>34</v>
      </c>
      <c r="M251" t="s">
        <v>24</v>
      </c>
      <c r="N251" t="s">
        <v>34</v>
      </c>
      <c r="O251">
        <v>18</v>
      </c>
      <c r="P251" t="s">
        <v>53</v>
      </c>
      <c r="Q251" t="s">
        <v>49</v>
      </c>
      <c r="R251" s="1">
        <v>0.1</v>
      </c>
      <c r="S251">
        <f t="shared" si="12"/>
        <v>42.3</v>
      </c>
      <c r="T251">
        <f>IFERROR(VLOOKUP(A251,Table1[[Customer ID]:[Discount Amount]], 6, FALSE),"Not Found")</f>
        <v>47</v>
      </c>
      <c r="U251" t="str">
        <f t="shared" si="13"/>
        <v>Credit Card</v>
      </c>
      <c r="V251" s="4" t="str">
        <f t="shared" si="14"/>
        <v>Normal</v>
      </c>
      <c r="W251" s="4" t="str">
        <f t="shared" si="15"/>
        <v>Good</v>
      </c>
      <c r="X251" s="4">
        <f>AVERAGE(Table1[Purchase Amount])</f>
        <v>129.48419400000012</v>
      </c>
    </row>
    <row r="252" spans="1:24" ht="15" customHeight="1" x14ac:dyDescent="0.25">
      <c r="A252">
        <v>251</v>
      </c>
      <c r="B252">
        <v>33</v>
      </c>
      <c r="C252" t="s">
        <v>27</v>
      </c>
      <c r="D252" t="s">
        <v>122</v>
      </c>
      <c r="E252" t="s">
        <v>18</v>
      </c>
      <c r="F252" s="2">
        <v>25</v>
      </c>
      <c r="G252" t="s">
        <v>149</v>
      </c>
      <c r="H252" t="s">
        <v>45</v>
      </c>
      <c r="I252" t="s">
        <v>40</v>
      </c>
      <c r="J252" t="s">
        <v>47</v>
      </c>
      <c r="K252">
        <v>4</v>
      </c>
      <c r="L252" t="s">
        <v>34</v>
      </c>
      <c r="M252" t="s">
        <v>61</v>
      </c>
      <c r="N252" t="s">
        <v>34</v>
      </c>
      <c r="O252">
        <v>9</v>
      </c>
      <c r="P252" t="s">
        <v>88</v>
      </c>
      <c r="Q252" t="s">
        <v>26</v>
      </c>
      <c r="R252" s="1">
        <v>0.1</v>
      </c>
      <c r="S252">
        <f t="shared" si="12"/>
        <v>22.5</v>
      </c>
      <c r="T252">
        <f>IFERROR(VLOOKUP(A252,Table1[[Customer ID]:[Discount Amount]], 6, FALSE),"Not Found")</f>
        <v>25</v>
      </c>
      <c r="U252" t="str">
        <f t="shared" si="13"/>
        <v>Bank Transfer</v>
      </c>
      <c r="V252" s="4" t="str">
        <f t="shared" si="14"/>
        <v>Normal</v>
      </c>
      <c r="W252" s="4" t="str">
        <f t="shared" si="15"/>
        <v>Good</v>
      </c>
      <c r="X252" s="4">
        <f>AVERAGE(Table1[Purchase Amount])</f>
        <v>129.48419400000012</v>
      </c>
    </row>
    <row r="253" spans="1:24" ht="15" customHeight="1" x14ac:dyDescent="0.25">
      <c r="A253">
        <v>252</v>
      </c>
      <c r="B253">
        <v>21</v>
      </c>
      <c r="C253" t="s">
        <v>27</v>
      </c>
      <c r="D253" t="s">
        <v>69</v>
      </c>
      <c r="E253" t="s">
        <v>29</v>
      </c>
      <c r="F253" s="2">
        <v>51</v>
      </c>
      <c r="G253" t="s">
        <v>162</v>
      </c>
      <c r="H253" t="s">
        <v>20</v>
      </c>
      <c r="I253" t="s">
        <v>133</v>
      </c>
      <c r="J253" t="s">
        <v>22</v>
      </c>
      <c r="K253">
        <v>2.5</v>
      </c>
      <c r="L253" t="s">
        <v>34</v>
      </c>
      <c r="M253" t="s">
        <v>24</v>
      </c>
      <c r="N253" t="s">
        <v>34</v>
      </c>
      <c r="O253">
        <v>34</v>
      </c>
      <c r="P253" t="s">
        <v>58</v>
      </c>
      <c r="Q253" t="s">
        <v>49</v>
      </c>
      <c r="R253" s="1">
        <v>0.1</v>
      </c>
      <c r="S253">
        <f t="shared" si="12"/>
        <v>45.9</v>
      </c>
      <c r="T253">
        <f>IFERROR(VLOOKUP(A253,Table1[[Customer ID]:[Discount Amount]], 6, FALSE),"Not Found")</f>
        <v>51</v>
      </c>
      <c r="U253" t="str">
        <f t="shared" si="13"/>
        <v>PayPal</v>
      </c>
      <c r="V253" s="4" t="str">
        <f t="shared" si="14"/>
        <v>Normal</v>
      </c>
      <c r="W253" s="4" t="str">
        <f t="shared" si="15"/>
        <v>Poor</v>
      </c>
      <c r="X253" s="4">
        <f>AVERAGE(Table1[Purchase Amount])</f>
        <v>129.48419400000012</v>
      </c>
    </row>
    <row r="254" spans="1:24" ht="15" customHeight="1" x14ac:dyDescent="0.25">
      <c r="A254">
        <v>253</v>
      </c>
      <c r="B254">
        <v>32</v>
      </c>
      <c r="C254" t="s">
        <v>27</v>
      </c>
      <c r="D254" t="s">
        <v>54</v>
      </c>
      <c r="E254" t="s">
        <v>18</v>
      </c>
      <c r="F254" s="2">
        <v>41</v>
      </c>
      <c r="G254" t="s">
        <v>143</v>
      </c>
      <c r="H254" t="s">
        <v>31</v>
      </c>
      <c r="I254" t="s">
        <v>111</v>
      </c>
      <c r="J254" t="s">
        <v>57</v>
      </c>
      <c r="K254">
        <v>3.9</v>
      </c>
      <c r="L254" t="s">
        <v>34</v>
      </c>
      <c r="M254" t="s">
        <v>35</v>
      </c>
      <c r="N254" t="s">
        <v>34</v>
      </c>
      <c r="O254">
        <v>33</v>
      </c>
      <c r="P254" t="s">
        <v>62</v>
      </c>
      <c r="Q254" t="s">
        <v>89</v>
      </c>
      <c r="R254" s="1">
        <v>0.1</v>
      </c>
      <c r="S254">
        <f t="shared" si="12"/>
        <v>36.9</v>
      </c>
      <c r="T254">
        <f>IFERROR(VLOOKUP(A254,Table1[[Customer ID]:[Discount Amount]], 6, FALSE),"Not Found")</f>
        <v>41</v>
      </c>
      <c r="U254" t="str">
        <f t="shared" si="13"/>
        <v>Venmo</v>
      </c>
      <c r="V254" s="4" t="str">
        <f t="shared" si="14"/>
        <v>Normal</v>
      </c>
      <c r="W254" s="4" t="str">
        <f t="shared" si="15"/>
        <v>Good</v>
      </c>
      <c r="X254" s="4">
        <f>AVERAGE(Table1[Purchase Amount])</f>
        <v>129.48419400000012</v>
      </c>
    </row>
    <row r="255" spans="1:24" ht="15" customHeight="1" x14ac:dyDescent="0.25">
      <c r="A255">
        <v>254</v>
      </c>
      <c r="B255">
        <v>52</v>
      </c>
      <c r="C255" t="s">
        <v>27</v>
      </c>
      <c r="D255" t="s">
        <v>151</v>
      </c>
      <c r="E255" t="s">
        <v>98</v>
      </c>
      <c r="F255" s="2">
        <v>73</v>
      </c>
      <c r="G255" t="s">
        <v>142</v>
      </c>
      <c r="H255" t="s">
        <v>45</v>
      </c>
      <c r="I255" t="s">
        <v>128</v>
      </c>
      <c r="J255" t="s">
        <v>22</v>
      </c>
      <c r="K255">
        <v>4.9000000000000004</v>
      </c>
      <c r="L255" t="s">
        <v>34</v>
      </c>
      <c r="M255" t="s">
        <v>41</v>
      </c>
      <c r="N255" t="s">
        <v>34</v>
      </c>
      <c r="O255">
        <v>15</v>
      </c>
      <c r="P255" t="s">
        <v>88</v>
      </c>
      <c r="Q255" t="s">
        <v>68</v>
      </c>
      <c r="R255" s="1">
        <v>0.1</v>
      </c>
      <c r="S255">
        <f t="shared" si="12"/>
        <v>65.7</v>
      </c>
      <c r="T255">
        <f>IFERROR(VLOOKUP(A255,Table1[[Customer ID]:[Discount Amount]], 6, FALSE),"Not Found")</f>
        <v>73</v>
      </c>
      <c r="U255" t="str">
        <f t="shared" si="13"/>
        <v>Bank Transfer</v>
      </c>
      <c r="V255" s="4" t="str">
        <f t="shared" si="14"/>
        <v>Normal</v>
      </c>
      <c r="W255" s="4" t="str">
        <f t="shared" si="15"/>
        <v>Good</v>
      </c>
      <c r="X255" s="4">
        <f>AVERAGE(Table1[Purchase Amount])</f>
        <v>129.48419400000012</v>
      </c>
    </row>
    <row r="256" spans="1:24" ht="15" customHeight="1" x14ac:dyDescent="0.25">
      <c r="A256">
        <v>255</v>
      </c>
      <c r="B256">
        <v>67</v>
      </c>
      <c r="C256" t="s">
        <v>27</v>
      </c>
      <c r="D256" t="s">
        <v>28</v>
      </c>
      <c r="E256" t="s">
        <v>29</v>
      </c>
      <c r="F256" s="2">
        <v>42</v>
      </c>
      <c r="G256" t="s">
        <v>102</v>
      </c>
      <c r="H256" t="s">
        <v>31</v>
      </c>
      <c r="I256" t="s">
        <v>32</v>
      </c>
      <c r="J256" t="s">
        <v>22</v>
      </c>
      <c r="K256">
        <v>3.5</v>
      </c>
      <c r="L256" t="s">
        <v>34</v>
      </c>
      <c r="M256" t="s">
        <v>48</v>
      </c>
      <c r="N256" t="s">
        <v>34</v>
      </c>
      <c r="O256">
        <v>4</v>
      </c>
      <c r="P256" t="s">
        <v>58</v>
      </c>
      <c r="Q256" t="s">
        <v>68</v>
      </c>
      <c r="R256" s="1">
        <v>0.1</v>
      </c>
      <c r="S256">
        <f t="shared" si="12"/>
        <v>37.799999999999997</v>
      </c>
      <c r="T256">
        <f>IFERROR(VLOOKUP(A256,Table1[[Customer ID]:[Discount Amount]], 6, FALSE),"Not Found")</f>
        <v>42</v>
      </c>
      <c r="U256" t="str">
        <f t="shared" si="13"/>
        <v>PayPal</v>
      </c>
      <c r="V256" s="4" t="str">
        <f t="shared" si="14"/>
        <v>Normal</v>
      </c>
      <c r="W256" s="4" t="str">
        <f t="shared" si="15"/>
        <v>Good</v>
      </c>
      <c r="X256" s="4">
        <f>AVERAGE(Table1[Purchase Amount])</f>
        <v>129.48419400000012</v>
      </c>
    </row>
    <row r="257" spans="1:24" ht="15" customHeight="1" x14ac:dyDescent="0.25">
      <c r="A257">
        <v>256</v>
      </c>
      <c r="B257">
        <v>43</v>
      </c>
      <c r="C257" t="s">
        <v>27</v>
      </c>
      <c r="D257" t="s">
        <v>129</v>
      </c>
      <c r="E257" t="s">
        <v>29</v>
      </c>
      <c r="F257" s="2">
        <v>20</v>
      </c>
      <c r="G257" t="s">
        <v>106</v>
      </c>
      <c r="H257" t="s">
        <v>31</v>
      </c>
      <c r="I257" t="s">
        <v>103</v>
      </c>
      <c r="J257" t="s">
        <v>33</v>
      </c>
      <c r="K257">
        <v>4.2</v>
      </c>
      <c r="L257" t="s">
        <v>34</v>
      </c>
      <c r="M257" t="s">
        <v>35</v>
      </c>
      <c r="N257" t="s">
        <v>34</v>
      </c>
      <c r="O257">
        <v>25</v>
      </c>
      <c r="P257" t="s">
        <v>36</v>
      </c>
      <c r="Q257" t="s">
        <v>49</v>
      </c>
      <c r="R257" s="1">
        <v>0.1</v>
      </c>
      <c r="S257">
        <f t="shared" si="12"/>
        <v>18</v>
      </c>
      <c r="T257">
        <f>IFERROR(VLOOKUP(A257,Table1[[Customer ID]:[Discount Amount]], 6, FALSE),"Not Found")</f>
        <v>20</v>
      </c>
      <c r="U257" t="str">
        <f t="shared" si="13"/>
        <v>Debit Card</v>
      </c>
      <c r="V257" s="4" t="str">
        <f t="shared" si="14"/>
        <v>Normal</v>
      </c>
      <c r="W257" s="4" t="str">
        <f t="shared" si="15"/>
        <v>Good</v>
      </c>
      <c r="X257" s="4">
        <f>AVERAGE(Table1[Purchase Amount])</f>
        <v>129.48419400000012</v>
      </c>
    </row>
    <row r="258" spans="1:24" ht="15" customHeight="1" x14ac:dyDescent="0.25">
      <c r="A258">
        <v>257</v>
      </c>
      <c r="B258">
        <v>58</v>
      </c>
      <c r="C258" t="s">
        <v>27</v>
      </c>
      <c r="D258" t="s">
        <v>50</v>
      </c>
      <c r="E258" t="s">
        <v>29</v>
      </c>
      <c r="F258" s="2">
        <v>30</v>
      </c>
      <c r="G258" t="s">
        <v>130</v>
      </c>
      <c r="H258" t="s">
        <v>20</v>
      </c>
      <c r="I258" t="s">
        <v>111</v>
      </c>
      <c r="J258" t="s">
        <v>33</v>
      </c>
      <c r="K258">
        <v>4.7</v>
      </c>
      <c r="L258" t="s">
        <v>34</v>
      </c>
      <c r="M258" t="s">
        <v>61</v>
      </c>
      <c r="N258" t="s">
        <v>34</v>
      </c>
      <c r="O258">
        <v>20</v>
      </c>
      <c r="P258" t="s">
        <v>53</v>
      </c>
      <c r="Q258" t="s">
        <v>63</v>
      </c>
      <c r="R258" s="1">
        <v>0.1</v>
      </c>
      <c r="S258">
        <f t="shared" ref="S258:S321" si="16">F258-(F258*R258)</f>
        <v>27</v>
      </c>
      <c r="T258">
        <f>IFERROR(VLOOKUP(A258,Table1[[Customer ID]:[Discount Amount]], 6, FALSE),"Not Found")</f>
        <v>30</v>
      </c>
      <c r="U258" t="str">
        <f t="shared" ref="U258:U321" si="17">INDEX(P:P, MATCH(A258, A:A, 0))</f>
        <v>Credit Card</v>
      </c>
      <c r="V258" s="4" t="str">
        <f t="shared" ref="V258:V321" si="18">IF(AND(F258&gt;1000,K258&gt;=4),"Best Customer","Normal")</f>
        <v>Normal</v>
      </c>
      <c r="W258" s="4" t="str">
        <f t="shared" ref="W258:W321" si="19">IF(K258&gt;=3,"Good","Poor")</f>
        <v>Good</v>
      </c>
      <c r="X258" s="4">
        <f>AVERAGE(Table1[Purchase Amount])</f>
        <v>129.48419400000012</v>
      </c>
    </row>
    <row r="259" spans="1:24" ht="15" customHeight="1" x14ac:dyDescent="0.25">
      <c r="A259">
        <v>258</v>
      </c>
      <c r="B259">
        <v>20</v>
      </c>
      <c r="C259" t="s">
        <v>27</v>
      </c>
      <c r="D259" t="s">
        <v>69</v>
      </c>
      <c r="E259" t="s">
        <v>29</v>
      </c>
      <c r="F259" s="2">
        <v>53</v>
      </c>
      <c r="G259" t="s">
        <v>154</v>
      </c>
      <c r="H259" t="s">
        <v>31</v>
      </c>
      <c r="I259" t="s">
        <v>46</v>
      </c>
      <c r="J259" t="s">
        <v>57</v>
      </c>
      <c r="K259">
        <v>4.5</v>
      </c>
      <c r="L259" t="s">
        <v>34</v>
      </c>
      <c r="M259" t="s">
        <v>61</v>
      </c>
      <c r="N259" t="s">
        <v>34</v>
      </c>
      <c r="O259">
        <v>5</v>
      </c>
      <c r="P259" t="s">
        <v>53</v>
      </c>
      <c r="Q259" t="s">
        <v>37</v>
      </c>
      <c r="R259" s="1">
        <v>0.1</v>
      </c>
      <c r="S259">
        <f t="shared" si="16"/>
        <v>47.7</v>
      </c>
      <c r="T259">
        <f>IFERROR(VLOOKUP(A259,Table1[[Customer ID]:[Discount Amount]], 6, FALSE),"Not Found")</f>
        <v>53</v>
      </c>
      <c r="U259" t="str">
        <f t="shared" si="17"/>
        <v>Credit Card</v>
      </c>
      <c r="V259" s="4" t="str">
        <f t="shared" si="18"/>
        <v>Normal</v>
      </c>
      <c r="W259" s="4" t="str">
        <f t="shared" si="19"/>
        <v>Good</v>
      </c>
      <c r="X259" s="4">
        <f>AVERAGE(Table1[Purchase Amount])</f>
        <v>129.48419400000012</v>
      </c>
    </row>
    <row r="260" spans="1:24" ht="15" customHeight="1" x14ac:dyDescent="0.25">
      <c r="A260">
        <v>259</v>
      </c>
      <c r="B260">
        <v>61</v>
      </c>
      <c r="C260" t="s">
        <v>27</v>
      </c>
      <c r="D260" t="s">
        <v>43</v>
      </c>
      <c r="E260" t="s">
        <v>29</v>
      </c>
      <c r="F260" s="2">
        <v>74</v>
      </c>
      <c r="G260" t="s">
        <v>51</v>
      </c>
      <c r="H260" t="s">
        <v>55</v>
      </c>
      <c r="I260" t="s">
        <v>107</v>
      </c>
      <c r="J260" t="s">
        <v>33</v>
      </c>
      <c r="K260">
        <v>2.8</v>
      </c>
      <c r="L260" t="s">
        <v>34</v>
      </c>
      <c r="M260" t="s">
        <v>61</v>
      </c>
      <c r="N260" t="s">
        <v>34</v>
      </c>
      <c r="O260">
        <v>16</v>
      </c>
      <c r="P260" t="s">
        <v>25</v>
      </c>
      <c r="Q260" t="s">
        <v>37</v>
      </c>
      <c r="R260" s="1">
        <v>0.1</v>
      </c>
      <c r="S260">
        <f t="shared" si="16"/>
        <v>66.599999999999994</v>
      </c>
      <c r="T260">
        <f>IFERROR(VLOOKUP(A260,Table1[[Customer ID]:[Discount Amount]], 6, FALSE),"Not Found")</f>
        <v>74</v>
      </c>
      <c r="U260" t="str">
        <f t="shared" si="17"/>
        <v>Cash</v>
      </c>
      <c r="V260" s="4" t="str">
        <f t="shared" si="18"/>
        <v>Normal</v>
      </c>
      <c r="W260" s="4" t="str">
        <f t="shared" si="19"/>
        <v>Poor</v>
      </c>
      <c r="X260" s="4">
        <f>AVERAGE(Table1[Purchase Amount])</f>
        <v>129.48419400000012</v>
      </c>
    </row>
    <row r="261" spans="1:24" ht="15" customHeight="1" x14ac:dyDescent="0.25">
      <c r="A261">
        <v>260</v>
      </c>
      <c r="B261">
        <v>32</v>
      </c>
      <c r="C261" t="s">
        <v>27</v>
      </c>
      <c r="D261" t="s">
        <v>109</v>
      </c>
      <c r="E261" t="s">
        <v>18</v>
      </c>
      <c r="F261" s="2">
        <v>57</v>
      </c>
      <c r="G261" t="s">
        <v>119</v>
      </c>
      <c r="H261" t="s">
        <v>31</v>
      </c>
      <c r="I261" t="s">
        <v>133</v>
      </c>
      <c r="J261" t="s">
        <v>47</v>
      </c>
      <c r="K261">
        <v>2.9</v>
      </c>
      <c r="L261" t="s">
        <v>34</v>
      </c>
      <c r="M261" t="s">
        <v>24</v>
      </c>
      <c r="N261" t="s">
        <v>34</v>
      </c>
      <c r="O261">
        <v>13</v>
      </c>
      <c r="P261" t="s">
        <v>36</v>
      </c>
      <c r="Q261" t="s">
        <v>49</v>
      </c>
      <c r="R261" s="1">
        <v>0.1</v>
      </c>
      <c r="S261">
        <f t="shared" si="16"/>
        <v>51.3</v>
      </c>
      <c r="T261">
        <f>IFERROR(VLOOKUP(A261,Table1[[Customer ID]:[Discount Amount]], 6, FALSE),"Not Found")</f>
        <v>57</v>
      </c>
      <c r="U261" t="str">
        <f t="shared" si="17"/>
        <v>Debit Card</v>
      </c>
      <c r="V261" s="4" t="str">
        <f t="shared" si="18"/>
        <v>Normal</v>
      </c>
      <c r="W261" s="4" t="str">
        <f t="shared" si="19"/>
        <v>Poor</v>
      </c>
      <c r="X261" s="4">
        <f>AVERAGE(Table1[Purchase Amount])</f>
        <v>129.48419400000012</v>
      </c>
    </row>
    <row r="262" spans="1:24" ht="15" customHeight="1" x14ac:dyDescent="0.25">
      <c r="A262">
        <v>261</v>
      </c>
      <c r="B262">
        <v>38</v>
      </c>
      <c r="C262" t="s">
        <v>27</v>
      </c>
      <c r="D262" t="s">
        <v>64</v>
      </c>
      <c r="E262" t="s">
        <v>29</v>
      </c>
      <c r="F262" s="2">
        <v>57</v>
      </c>
      <c r="G262" t="s">
        <v>39</v>
      </c>
      <c r="H262" t="s">
        <v>55</v>
      </c>
      <c r="I262" t="s">
        <v>46</v>
      </c>
      <c r="J262" t="s">
        <v>22</v>
      </c>
      <c r="K262">
        <v>3.2</v>
      </c>
      <c r="L262" t="s">
        <v>34</v>
      </c>
      <c r="M262" t="s">
        <v>41</v>
      </c>
      <c r="N262" t="s">
        <v>34</v>
      </c>
      <c r="O262">
        <v>11</v>
      </c>
      <c r="P262" t="s">
        <v>53</v>
      </c>
      <c r="Q262" t="s">
        <v>63</v>
      </c>
      <c r="R262" s="1">
        <v>0.1</v>
      </c>
      <c r="S262">
        <f t="shared" si="16"/>
        <v>51.3</v>
      </c>
      <c r="T262">
        <f>IFERROR(VLOOKUP(A262,Table1[[Customer ID]:[Discount Amount]], 6, FALSE),"Not Found")</f>
        <v>57</v>
      </c>
      <c r="U262" t="str">
        <f t="shared" si="17"/>
        <v>Credit Card</v>
      </c>
      <c r="V262" s="4" t="str">
        <f t="shared" si="18"/>
        <v>Normal</v>
      </c>
      <c r="W262" s="4" t="str">
        <f t="shared" si="19"/>
        <v>Good</v>
      </c>
      <c r="X262" s="4">
        <f>AVERAGE(Table1[Purchase Amount])</f>
        <v>129.48419400000012</v>
      </c>
    </row>
    <row r="263" spans="1:24" ht="15" customHeight="1" x14ac:dyDescent="0.25">
      <c r="A263">
        <v>262</v>
      </c>
      <c r="B263">
        <v>21</v>
      </c>
      <c r="C263" t="s">
        <v>27</v>
      </c>
      <c r="D263" t="s">
        <v>109</v>
      </c>
      <c r="E263" t="s">
        <v>18</v>
      </c>
      <c r="F263" s="2">
        <v>77</v>
      </c>
      <c r="G263" t="s">
        <v>19</v>
      </c>
      <c r="H263" t="s">
        <v>45</v>
      </c>
      <c r="I263" t="s">
        <v>87</v>
      </c>
      <c r="J263" t="s">
        <v>22</v>
      </c>
      <c r="K263">
        <v>4.9000000000000004</v>
      </c>
      <c r="L263" t="s">
        <v>34</v>
      </c>
      <c r="M263" t="s">
        <v>24</v>
      </c>
      <c r="N263" t="s">
        <v>34</v>
      </c>
      <c r="O263">
        <v>21</v>
      </c>
      <c r="P263" t="s">
        <v>53</v>
      </c>
      <c r="Q263" t="s">
        <v>49</v>
      </c>
      <c r="R263" s="1">
        <v>0.1</v>
      </c>
      <c r="S263">
        <f t="shared" si="16"/>
        <v>69.3</v>
      </c>
      <c r="T263">
        <f>IFERROR(VLOOKUP(A263,Table1[[Customer ID]:[Discount Amount]], 6, FALSE),"Not Found")</f>
        <v>77</v>
      </c>
      <c r="U263" t="str">
        <f t="shared" si="17"/>
        <v>Credit Card</v>
      </c>
      <c r="V263" s="4" t="str">
        <f t="shared" si="18"/>
        <v>Normal</v>
      </c>
      <c r="W263" s="4" t="str">
        <f t="shared" si="19"/>
        <v>Good</v>
      </c>
      <c r="X263" s="4">
        <f>AVERAGE(Table1[Purchase Amount])</f>
        <v>129.48419400000012</v>
      </c>
    </row>
    <row r="264" spans="1:24" ht="15" customHeight="1" x14ac:dyDescent="0.25">
      <c r="A264">
        <v>263</v>
      </c>
      <c r="B264">
        <v>37</v>
      </c>
      <c r="C264" t="s">
        <v>27</v>
      </c>
      <c r="D264" t="s">
        <v>99</v>
      </c>
      <c r="E264" t="s">
        <v>18</v>
      </c>
      <c r="F264" s="2">
        <v>40</v>
      </c>
      <c r="G264" t="s">
        <v>135</v>
      </c>
      <c r="H264" t="s">
        <v>31</v>
      </c>
      <c r="I264" t="s">
        <v>147</v>
      </c>
      <c r="J264" t="s">
        <v>57</v>
      </c>
      <c r="K264">
        <v>1</v>
      </c>
      <c r="L264" t="s">
        <v>34</v>
      </c>
      <c r="M264" t="s">
        <v>79</v>
      </c>
      <c r="N264" t="s">
        <v>34</v>
      </c>
      <c r="O264">
        <v>6</v>
      </c>
      <c r="P264" t="s">
        <v>36</v>
      </c>
      <c r="Q264" t="s">
        <v>49</v>
      </c>
      <c r="R264" s="1">
        <v>0.1</v>
      </c>
      <c r="S264">
        <f t="shared" si="16"/>
        <v>36</v>
      </c>
      <c r="T264">
        <f>IFERROR(VLOOKUP(A264,Table1[[Customer ID]:[Discount Amount]], 6, FALSE),"Not Found")</f>
        <v>40</v>
      </c>
      <c r="U264" t="str">
        <f t="shared" si="17"/>
        <v>Debit Card</v>
      </c>
      <c r="V264" s="4" t="str">
        <f t="shared" si="18"/>
        <v>Normal</v>
      </c>
      <c r="W264" s="4" t="str">
        <f t="shared" si="19"/>
        <v>Poor</v>
      </c>
      <c r="X264" s="4">
        <f>AVERAGE(Table1[Purchase Amount])</f>
        <v>129.48419400000012</v>
      </c>
    </row>
    <row r="265" spans="1:24" ht="15" customHeight="1" x14ac:dyDescent="0.25">
      <c r="A265">
        <v>264</v>
      </c>
      <c r="B265">
        <v>27</v>
      </c>
      <c r="C265" t="s">
        <v>27</v>
      </c>
      <c r="D265" t="s">
        <v>54</v>
      </c>
      <c r="E265" t="s">
        <v>18</v>
      </c>
      <c r="F265" s="2">
        <v>46</v>
      </c>
      <c r="G265" t="s">
        <v>141</v>
      </c>
      <c r="H265" t="s">
        <v>31</v>
      </c>
      <c r="I265" t="s">
        <v>66</v>
      </c>
      <c r="J265" t="s">
        <v>57</v>
      </c>
      <c r="K265">
        <v>4.3</v>
      </c>
      <c r="L265" t="s">
        <v>34</v>
      </c>
      <c r="M265" t="s">
        <v>48</v>
      </c>
      <c r="N265" t="s">
        <v>34</v>
      </c>
      <c r="O265">
        <v>29</v>
      </c>
      <c r="P265" t="s">
        <v>62</v>
      </c>
      <c r="Q265" t="s">
        <v>42</v>
      </c>
      <c r="R265" s="1">
        <v>0.1</v>
      </c>
      <c r="S265">
        <f t="shared" si="16"/>
        <v>41.4</v>
      </c>
      <c r="T265">
        <f>IFERROR(VLOOKUP(A265,Table1[[Customer ID]:[Discount Amount]], 6, FALSE),"Not Found")</f>
        <v>46</v>
      </c>
      <c r="U265" t="str">
        <f t="shared" si="17"/>
        <v>Venmo</v>
      </c>
      <c r="V265" s="4" t="str">
        <f t="shared" si="18"/>
        <v>Normal</v>
      </c>
      <c r="W265" s="4" t="str">
        <f t="shared" si="19"/>
        <v>Good</v>
      </c>
      <c r="X265" s="4">
        <f>AVERAGE(Table1[Purchase Amount])</f>
        <v>129.48419400000012</v>
      </c>
    </row>
    <row r="266" spans="1:24" ht="15" customHeight="1" x14ac:dyDescent="0.25">
      <c r="A266">
        <v>265</v>
      </c>
      <c r="B266">
        <v>36</v>
      </c>
      <c r="C266" t="s">
        <v>27</v>
      </c>
      <c r="D266" t="s">
        <v>99</v>
      </c>
      <c r="E266" t="s">
        <v>18</v>
      </c>
      <c r="F266" s="2">
        <v>78</v>
      </c>
      <c r="G266" t="s">
        <v>92</v>
      </c>
      <c r="H266" t="s">
        <v>55</v>
      </c>
      <c r="I266" t="s">
        <v>103</v>
      </c>
      <c r="J266" t="s">
        <v>47</v>
      </c>
      <c r="K266">
        <v>3.9</v>
      </c>
      <c r="L266" t="s">
        <v>34</v>
      </c>
      <c r="M266" t="s">
        <v>48</v>
      </c>
      <c r="N266" t="s">
        <v>34</v>
      </c>
      <c r="O266">
        <v>15</v>
      </c>
      <c r="P266" t="s">
        <v>25</v>
      </c>
      <c r="Q266" t="s">
        <v>49</v>
      </c>
      <c r="R266" s="1">
        <v>0.1</v>
      </c>
      <c r="S266">
        <f t="shared" si="16"/>
        <v>70.2</v>
      </c>
      <c r="T266">
        <f>IFERROR(VLOOKUP(A266,Table1[[Customer ID]:[Discount Amount]], 6, FALSE),"Not Found")</f>
        <v>78</v>
      </c>
      <c r="U266" t="str">
        <f t="shared" si="17"/>
        <v>Cash</v>
      </c>
      <c r="V266" s="4" t="str">
        <f t="shared" si="18"/>
        <v>Normal</v>
      </c>
      <c r="W266" s="4" t="str">
        <f t="shared" si="19"/>
        <v>Good</v>
      </c>
      <c r="X266" s="4">
        <f>AVERAGE(Table1[Purchase Amount])</f>
        <v>129.48419400000012</v>
      </c>
    </row>
    <row r="267" spans="1:24" ht="15" customHeight="1" x14ac:dyDescent="0.25">
      <c r="A267">
        <v>266</v>
      </c>
      <c r="B267">
        <v>32</v>
      </c>
      <c r="C267" t="s">
        <v>27</v>
      </c>
      <c r="D267" t="s">
        <v>104</v>
      </c>
      <c r="E267" t="s">
        <v>29</v>
      </c>
      <c r="F267" s="2">
        <v>59</v>
      </c>
      <c r="G267" t="s">
        <v>113</v>
      </c>
      <c r="H267" t="s">
        <v>31</v>
      </c>
      <c r="I267" t="s">
        <v>85</v>
      </c>
      <c r="J267" t="s">
        <v>33</v>
      </c>
      <c r="K267">
        <v>3.2</v>
      </c>
      <c r="L267" t="s">
        <v>34</v>
      </c>
      <c r="M267" t="s">
        <v>41</v>
      </c>
      <c r="N267" t="s">
        <v>34</v>
      </c>
      <c r="O267">
        <v>17</v>
      </c>
      <c r="P267" t="s">
        <v>88</v>
      </c>
      <c r="Q267" t="s">
        <v>68</v>
      </c>
      <c r="R267" s="1">
        <v>0.1</v>
      </c>
      <c r="S267">
        <f t="shared" si="16"/>
        <v>53.1</v>
      </c>
      <c r="T267">
        <f>IFERROR(VLOOKUP(A267,Table1[[Customer ID]:[Discount Amount]], 6, FALSE),"Not Found")</f>
        <v>59</v>
      </c>
      <c r="U267" t="str">
        <f t="shared" si="17"/>
        <v>Bank Transfer</v>
      </c>
      <c r="V267" s="4" t="str">
        <f t="shared" si="18"/>
        <v>Normal</v>
      </c>
      <c r="W267" s="4" t="str">
        <f t="shared" si="19"/>
        <v>Good</v>
      </c>
      <c r="X267" s="4">
        <f>AVERAGE(Table1[Purchase Amount])</f>
        <v>129.48419400000012</v>
      </c>
    </row>
    <row r="268" spans="1:24" ht="15" customHeight="1" x14ac:dyDescent="0.25">
      <c r="A268">
        <v>267</v>
      </c>
      <c r="B268">
        <v>51</v>
      </c>
      <c r="C268" t="s">
        <v>27</v>
      </c>
      <c r="D268" t="s">
        <v>50</v>
      </c>
      <c r="E268" t="s">
        <v>29</v>
      </c>
      <c r="F268" s="2">
        <v>75</v>
      </c>
      <c r="G268" t="s">
        <v>119</v>
      </c>
      <c r="H268" t="s">
        <v>45</v>
      </c>
      <c r="I268" t="s">
        <v>32</v>
      </c>
      <c r="J268" t="s">
        <v>57</v>
      </c>
      <c r="K268">
        <v>3.1</v>
      </c>
      <c r="L268" t="s">
        <v>34</v>
      </c>
      <c r="M268" t="s">
        <v>61</v>
      </c>
      <c r="N268" t="s">
        <v>34</v>
      </c>
      <c r="O268">
        <v>32</v>
      </c>
      <c r="P268" t="s">
        <v>53</v>
      </c>
      <c r="Q268" t="s">
        <v>26</v>
      </c>
      <c r="R268" s="1">
        <v>0.1</v>
      </c>
      <c r="S268">
        <f t="shared" si="16"/>
        <v>67.5</v>
      </c>
      <c r="T268">
        <f>IFERROR(VLOOKUP(A268,Table1[[Customer ID]:[Discount Amount]], 6, FALSE),"Not Found")</f>
        <v>75</v>
      </c>
      <c r="U268" t="str">
        <f t="shared" si="17"/>
        <v>Credit Card</v>
      </c>
      <c r="V268" s="4" t="str">
        <f t="shared" si="18"/>
        <v>Normal</v>
      </c>
      <c r="W268" s="4" t="str">
        <f t="shared" si="19"/>
        <v>Good</v>
      </c>
      <c r="X268" s="4">
        <f>AVERAGE(Table1[Purchase Amount])</f>
        <v>129.48419400000012</v>
      </c>
    </row>
    <row r="269" spans="1:24" ht="15" customHeight="1" x14ac:dyDescent="0.25">
      <c r="A269">
        <v>268</v>
      </c>
      <c r="B269">
        <v>64</v>
      </c>
      <c r="C269" t="s">
        <v>27</v>
      </c>
      <c r="D269" t="s">
        <v>127</v>
      </c>
      <c r="E269" t="s">
        <v>18</v>
      </c>
      <c r="F269" s="2">
        <v>54</v>
      </c>
      <c r="G269" t="s">
        <v>106</v>
      </c>
      <c r="H269" t="s">
        <v>31</v>
      </c>
      <c r="I269" t="s">
        <v>21</v>
      </c>
      <c r="J269" t="s">
        <v>33</v>
      </c>
      <c r="K269">
        <v>3.9</v>
      </c>
      <c r="L269" t="s">
        <v>34</v>
      </c>
      <c r="M269" t="s">
        <v>41</v>
      </c>
      <c r="N269" t="s">
        <v>34</v>
      </c>
      <c r="O269">
        <v>42</v>
      </c>
      <c r="P269" t="s">
        <v>62</v>
      </c>
      <c r="Q269" t="s">
        <v>49</v>
      </c>
      <c r="R269" s="1">
        <v>0.1</v>
      </c>
      <c r="S269">
        <f t="shared" si="16"/>
        <v>48.6</v>
      </c>
      <c r="T269">
        <f>IFERROR(VLOOKUP(A269,Table1[[Customer ID]:[Discount Amount]], 6, FALSE),"Not Found")</f>
        <v>54</v>
      </c>
      <c r="U269" t="str">
        <f t="shared" si="17"/>
        <v>Venmo</v>
      </c>
      <c r="V269" s="4" t="str">
        <f t="shared" si="18"/>
        <v>Normal</v>
      </c>
      <c r="W269" s="4" t="str">
        <f t="shared" si="19"/>
        <v>Good</v>
      </c>
      <c r="X269" s="4">
        <f>AVERAGE(Table1[Purchase Amount])</f>
        <v>129.48419400000012</v>
      </c>
    </row>
    <row r="270" spans="1:24" ht="15" customHeight="1" x14ac:dyDescent="0.25">
      <c r="A270">
        <v>269</v>
      </c>
      <c r="B270">
        <v>68</v>
      </c>
      <c r="C270" t="s">
        <v>27</v>
      </c>
      <c r="D270" t="s">
        <v>72</v>
      </c>
      <c r="E270" t="s">
        <v>98</v>
      </c>
      <c r="F270" s="2">
        <v>42</v>
      </c>
      <c r="G270" t="s">
        <v>160</v>
      </c>
      <c r="H270" t="s">
        <v>31</v>
      </c>
      <c r="I270" t="s">
        <v>103</v>
      </c>
      <c r="J270" t="s">
        <v>33</v>
      </c>
      <c r="K270">
        <v>2.6</v>
      </c>
      <c r="L270" t="s">
        <v>34</v>
      </c>
      <c r="M270" t="s">
        <v>48</v>
      </c>
      <c r="N270" t="s">
        <v>34</v>
      </c>
      <c r="O270">
        <v>21</v>
      </c>
      <c r="P270" t="s">
        <v>25</v>
      </c>
      <c r="Q270" t="s">
        <v>42</v>
      </c>
      <c r="R270" s="1">
        <v>0.1</v>
      </c>
      <c r="S270">
        <f t="shared" si="16"/>
        <v>37.799999999999997</v>
      </c>
      <c r="T270">
        <f>IFERROR(VLOOKUP(A270,Table1[[Customer ID]:[Discount Amount]], 6, FALSE),"Not Found")</f>
        <v>42</v>
      </c>
      <c r="U270" t="str">
        <f t="shared" si="17"/>
        <v>Cash</v>
      </c>
      <c r="V270" s="4" t="str">
        <f t="shared" si="18"/>
        <v>Normal</v>
      </c>
      <c r="W270" s="4" t="str">
        <f t="shared" si="19"/>
        <v>Poor</v>
      </c>
      <c r="X270" s="4">
        <f>AVERAGE(Table1[Purchase Amount])</f>
        <v>129.48419400000012</v>
      </c>
    </row>
    <row r="271" spans="1:24" ht="15" customHeight="1" x14ac:dyDescent="0.25">
      <c r="A271">
        <v>270</v>
      </c>
      <c r="B271">
        <v>68</v>
      </c>
      <c r="C271" t="s">
        <v>27</v>
      </c>
      <c r="D271" t="s">
        <v>118</v>
      </c>
      <c r="E271" t="s">
        <v>18</v>
      </c>
      <c r="F271" s="2">
        <v>44</v>
      </c>
      <c r="G271" t="s">
        <v>160</v>
      </c>
      <c r="H271" t="s">
        <v>31</v>
      </c>
      <c r="I271" t="s">
        <v>103</v>
      </c>
      <c r="J271" t="s">
        <v>22</v>
      </c>
      <c r="K271">
        <v>3.3</v>
      </c>
      <c r="L271" t="s">
        <v>34</v>
      </c>
      <c r="M271" t="s">
        <v>79</v>
      </c>
      <c r="N271" t="s">
        <v>34</v>
      </c>
      <c r="O271">
        <v>9</v>
      </c>
      <c r="P271" t="s">
        <v>25</v>
      </c>
      <c r="Q271" t="s">
        <v>68</v>
      </c>
      <c r="R271" s="1">
        <v>0.1</v>
      </c>
      <c r="S271">
        <f t="shared" si="16"/>
        <v>39.6</v>
      </c>
      <c r="T271">
        <f>IFERROR(VLOOKUP(A271,Table1[[Customer ID]:[Discount Amount]], 6, FALSE),"Not Found")</f>
        <v>44</v>
      </c>
      <c r="U271" t="str">
        <f t="shared" si="17"/>
        <v>Cash</v>
      </c>
      <c r="V271" s="4" t="str">
        <f t="shared" si="18"/>
        <v>Normal</v>
      </c>
      <c r="W271" s="4" t="str">
        <f t="shared" si="19"/>
        <v>Good</v>
      </c>
      <c r="X271" s="4">
        <f>AVERAGE(Table1[Purchase Amount])</f>
        <v>129.48419400000012</v>
      </c>
    </row>
    <row r="272" spans="1:24" ht="15" customHeight="1" x14ac:dyDescent="0.25">
      <c r="A272">
        <v>271</v>
      </c>
      <c r="B272">
        <v>33</v>
      </c>
      <c r="C272" t="s">
        <v>27</v>
      </c>
      <c r="D272" t="s">
        <v>109</v>
      </c>
      <c r="E272" t="s">
        <v>18</v>
      </c>
      <c r="F272" s="2">
        <v>52</v>
      </c>
      <c r="G272" t="s">
        <v>86</v>
      </c>
      <c r="H272" t="s">
        <v>20</v>
      </c>
      <c r="I272" t="s">
        <v>108</v>
      </c>
      <c r="J272" t="s">
        <v>47</v>
      </c>
      <c r="K272">
        <v>4.5999999999999996</v>
      </c>
      <c r="L272" t="s">
        <v>34</v>
      </c>
      <c r="M272" t="s">
        <v>35</v>
      </c>
      <c r="N272" t="s">
        <v>34</v>
      </c>
      <c r="O272">
        <v>16</v>
      </c>
      <c r="P272" t="s">
        <v>88</v>
      </c>
      <c r="Q272" t="s">
        <v>49</v>
      </c>
      <c r="R272" s="1">
        <v>0.1</v>
      </c>
      <c r="S272">
        <f t="shared" si="16"/>
        <v>46.8</v>
      </c>
      <c r="T272">
        <f>IFERROR(VLOOKUP(A272,Table1[[Customer ID]:[Discount Amount]], 6, FALSE),"Not Found")</f>
        <v>52</v>
      </c>
      <c r="U272" t="str">
        <f t="shared" si="17"/>
        <v>Bank Transfer</v>
      </c>
      <c r="V272" s="4" t="str">
        <f t="shared" si="18"/>
        <v>Normal</v>
      </c>
      <c r="W272" s="4" t="str">
        <f t="shared" si="19"/>
        <v>Good</v>
      </c>
      <c r="X272" s="4">
        <f>AVERAGE(Table1[Purchase Amount])</f>
        <v>129.48419400000012</v>
      </c>
    </row>
    <row r="273" spans="1:24" ht="15" customHeight="1" x14ac:dyDescent="0.25">
      <c r="A273">
        <v>272</v>
      </c>
      <c r="B273">
        <v>65</v>
      </c>
      <c r="C273" t="s">
        <v>27</v>
      </c>
      <c r="D273" t="s">
        <v>28</v>
      </c>
      <c r="E273" t="s">
        <v>29</v>
      </c>
      <c r="F273" s="2">
        <v>69</v>
      </c>
      <c r="G273" t="s">
        <v>106</v>
      </c>
      <c r="H273" t="s">
        <v>20</v>
      </c>
      <c r="I273" t="s">
        <v>52</v>
      </c>
      <c r="J273" t="s">
        <v>57</v>
      </c>
      <c r="K273">
        <v>4.5999999999999996</v>
      </c>
      <c r="L273" t="s">
        <v>34</v>
      </c>
      <c r="M273" t="s">
        <v>61</v>
      </c>
      <c r="N273" t="s">
        <v>34</v>
      </c>
      <c r="O273">
        <v>42</v>
      </c>
      <c r="P273" t="s">
        <v>53</v>
      </c>
      <c r="Q273" t="s">
        <v>89</v>
      </c>
      <c r="R273" s="1">
        <v>0.1</v>
      </c>
      <c r="S273">
        <f t="shared" si="16"/>
        <v>62.1</v>
      </c>
      <c r="T273">
        <f>IFERROR(VLOOKUP(A273,Table1[[Customer ID]:[Discount Amount]], 6, FALSE),"Not Found")</f>
        <v>69</v>
      </c>
      <c r="U273" t="str">
        <f t="shared" si="17"/>
        <v>Credit Card</v>
      </c>
      <c r="V273" s="4" t="str">
        <f t="shared" si="18"/>
        <v>Normal</v>
      </c>
      <c r="W273" s="4" t="str">
        <f t="shared" si="19"/>
        <v>Good</v>
      </c>
      <c r="X273" s="4">
        <f>AVERAGE(Table1[Purchase Amount])</f>
        <v>129.48419400000012</v>
      </c>
    </row>
    <row r="274" spans="1:24" ht="15" customHeight="1" x14ac:dyDescent="0.25">
      <c r="A274">
        <v>273</v>
      </c>
      <c r="B274">
        <v>48</v>
      </c>
      <c r="C274" t="s">
        <v>27</v>
      </c>
      <c r="D274" t="s">
        <v>50</v>
      </c>
      <c r="E274" t="s">
        <v>29</v>
      </c>
      <c r="F274" s="2">
        <v>26</v>
      </c>
      <c r="G274" t="s">
        <v>123</v>
      </c>
      <c r="H274" t="s">
        <v>31</v>
      </c>
      <c r="I274" t="s">
        <v>56</v>
      </c>
      <c r="J274" t="s">
        <v>57</v>
      </c>
      <c r="K274">
        <v>4.4000000000000004</v>
      </c>
      <c r="L274" t="s">
        <v>34</v>
      </c>
      <c r="M274" t="s">
        <v>41</v>
      </c>
      <c r="N274" t="s">
        <v>34</v>
      </c>
      <c r="O274">
        <v>37</v>
      </c>
      <c r="P274" t="s">
        <v>36</v>
      </c>
      <c r="Q274" t="s">
        <v>68</v>
      </c>
      <c r="R274" s="1">
        <v>0.1</v>
      </c>
      <c r="S274">
        <f t="shared" si="16"/>
        <v>23.4</v>
      </c>
      <c r="T274">
        <f>IFERROR(VLOOKUP(A274,Table1[[Customer ID]:[Discount Amount]], 6, FALSE),"Not Found")</f>
        <v>26</v>
      </c>
      <c r="U274" t="str">
        <f t="shared" si="17"/>
        <v>Debit Card</v>
      </c>
      <c r="V274" s="4" t="str">
        <f t="shared" si="18"/>
        <v>Normal</v>
      </c>
      <c r="W274" s="4" t="str">
        <f t="shared" si="19"/>
        <v>Good</v>
      </c>
      <c r="X274" s="4">
        <f>AVERAGE(Table1[Purchase Amount])</f>
        <v>129.48419400000012</v>
      </c>
    </row>
    <row r="275" spans="1:24" ht="15" customHeight="1" x14ac:dyDescent="0.25">
      <c r="A275">
        <v>274</v>
      </c>
      <c r="B275">
        <v>69</v>
      </c>
      <c r="C275" t="s">
        <v>27</v>
      </c>
      <c r="D275" t="s">
        <v>76</v>
      </c>
      <c r="E275" t="s">
        <v>77</v>
      </c>
      <c r="F275" s="2">
        <v>33</v>
      </c>
      <c r="G275" t="s">
        <v>86</v>
      </c>
      <c r="H275" t="s">
        <v>55</v>
      </c>
      <c r="I275" t="s">
        <v>153</v>
      </c>
      <c r="J275" t="s">
        <v>33</v>
      </c>
      <c r="K275">
        <v>4.2</v>
      </c>
      <c r="L275" t="s">
        <v>34</v>
      </c>
      <c r="M275" t="s">
        <v>61</v>
      </c>
      <c r="N275" t="s">
        <v>34</v>
      </c>
      <c r="O275">
        <v>32</v>
      </c>
      <c r="P275" t="s">
        <v>36</v>
      </c>
      <c r="Q275" t="s">
        <v>37</v>
      </c>
      <c r="R275" s="1">
        <v>0.1</v>
      </c>
      <c r="S275">
        <f t="shared" si="16"/>
        <v>29.7</v>
      </c>
      <c r="T275">
        <f>IFERROR(VLOOKUP(A275,Table1[[Customer ID]:[Discount Amount]], 6, FALSE),"Not Found")</f>
        <v>33</v>
      </c>
      <c r="U275" t="str">
        <f t="shared" si="17"/>
        <v>Debit Card</v>
      </c>
      <c r="V275" s="4" t="str">
        <f t="shared" si="18"/>
        <v>Normal</v>
      </c>
      <c r="W275" s="4" t="str">
        <f t="shared" si="19"/>
        <v>Good</v>
      </c>
      <c r="X275" s="4">
        <f>AVERAGE(Table1[Purchase Amount])</f>
        <v>129.48419400000012</v>
      </c>
    </row>
    <row r="276" spans="1:24" ht="15" customHeight="1" x14ac:dyDescent="0.25">
      <c r="A276">
        <v>275</v>
      </c>
      <c r="B276">
        <v>59</v>
      </c>
      <c r="C276" t="s">
        <v>27</v>
      </c>
      <c r="D276" t="s">
        <v>50</v>
      </c>
      <c r="E276" t="s">
        <v>29</v>
      </c>
      <c r="F276" s="2">
        <v>32</v>
      </c>
      <c r="G276" t="s">
        <v>106</v>
      </c>
      <c r="H276" t="s">
        <v>31</v>
      </c>
      <c r="I276" t="s">
        <v>91</v>
      </c>
      <c r="J276" t="s">
        <v>33</v>
      </c>
      <c r="K276">
        <v>3</v>
      </c>
      <c r="L276" t="s">
        <v>34</v>
      </c>
      <c r="M276" t="s">
        <v>61</v>
      </c>
      <c r="N276" t="s">
        <v>34</v>
      </c>
      <c r="O276">
        <v>28</v>
      </c>
      <c r="P276" t="s">
        <v>25</v>
      </c>
      <c r="Q276" t="s">
        <v>68</v>
      </c>
      <c r="R276" s="1">
        <v>0.1</v>
      </c>
      <c r="S276">
        <f t="shared" si="16"/>
        <v>28.8</v>
      </c>
      <c r="T276">
        <f>IFERROR(VLOOKUP(A276,Table1[[Customer ID]:[Discount Amount]], 6, FALSE),"Not Found")</f>
        <v>32</v>
      </c>
      <c r="U276" t="str">
        <f t="shared" si="17"/>
        <v>Cash</v>
      </c>
      <c r="V276" s="4" t="str">
        <f t="shared" si="18"/>
        <v>Normal</v>
      </c>
      <c r="W276" s="4" t="str">
        <f t="shared" si="19"/>
        <v>Good</v>
      </c>
      <c r="X276" s="4">
        <f>AVERAGE(Table1[Purchase Amount])</f>
        <v>129.48419400000012</v>
      </c>
    </row>
    <row r="277" spans="1:24" ht="15" customHeight="1" x14ac:dyDescent="0.25">
      <c r="A277">
        <v>276</v>
      </c>
      <c r="B277">
        <v>48</v>
      </c>
      <c r="C277" t="s">
        <v>27</v>
      </c>
      <c r="D277" t="s">
        <v>104</v>
      </c>
      <c r="E277" t="s">
        <v>29</v>
      </c>
      <c r="F277" s="2">
        <v>85</v>
      </c>
      <c r="G277" t="s">
        <v>138</v>
      </c>
      <c r="H277" t="s">
        <v>20</v>
      </c>
      <c r="I277" t="s">
        <v>107</v>
      </c>
      <c r="J277" t="s">
        <v>22</v>
      </c>
      <c r="K277">
        <v>4</v>
      </c>
      <c r="L277" t="s">
        <v>34</v>
      </c>
      <c r="M277" t="s">
        <v>61</v>
      </c>
      <c r="N277" t="s">
        <v>34</v>
      </c>
      <c r="O277">
        <v>13</v>
      </c>
      <c r="P277" t="s">
        <v>53</v>
      </c>
      <c r="Q277" t="s">
        <v>26</v>
      </c>
      <c r="R277" s="1">
        <v>0.1</v>
      </c>
      <c r="S277">
        <f t="shared" si="16"/>
        <v>76.5</v>
      </c>
      <c r="T277">
        <f>IFERROR(VLOOKUP(A277,Table1[[Customer ID]:[Discount Amount]], 6, FALSE),"Not Found")</f>
        <v>85</v>
      </c>
      <c r="U277" t="str">
        <f t="shared" si="17"/>
        <v>Credit Card</v>
      </c>
      <c r="V277" s="4" t="str">
        <f t="shared" si="18"/>
        <v>Normal</v>
      </c>
      <c r="W277" s="4" t="str">
        <f t="shared" si="19"/>
        <v>Good</v>
      </c>
      <c r="X277" s="4">
        <f>AVERAGE(Table1[Purchase Amount])</f>
        <v>129.48419400000012</v>
      </c>
    </row>
    <row r="278" spans="1:24" ht="15" customHeight="1" x14ac:dyDescent="0.25">
      <c r="A278">
        <v>277</v>
      </c>
      <c r="B278">
        <v>25</v>
      </c>
      <c r="C278" t="s">
        <v>27</v>
      </c>
      <c r="D278" t="s">
        <v>122</v>
      </c>
      <c r="E278" t="s">
        <v>18</v>
      </c>
      <c r="F278" s="2">
        <v>30</v>
      </c>
      <c r="G278" t="s">
        <v>130</v>
      </c>
      <c r="H278" t="s">
        <v>20</v>
      </c>
      <c r="I278" t="s">
        <v>156</v>
      </c>
      <c r="J278" t="s">
        <v>47</v>
      </c>
      <c r="K278">
        <v>3.5</v>
      </c>
      <c r="L278" t="s">
        <v>34</v>
      </c>
      <c r="M278" t="s">
        <v>61</v>
      </c>
      <c r="N278" t="s">
        <v>34</v>
      </c>
      <c r="O278">
        <v>11</v>
      </c>
      <c r="P278" t="s">
        <v>88</v>
      </c>
      <c r="Q278" t="s">
        <v>89</v>
      </c>
      <c r="R278" s="1">
        <v>0.1</v>
      </c>
      <c r="S278">
        <f t="shared" si="16"/>
        <v>27</v>
      </c>
      <c r="T278">
        <f>IFERROR(VLOOKUP(A278,Table1[[Customer ID]:[Discount Amount]], 6, FALSE),"Not Found")</f>
        <v>30</v>
      </c>
      <c r="U278" t="str">
        <f t="shared" si="17"/>
        <v>Bank Transfer</v>
      </c>
      <c r="V278" s="4" t="str">
        <f t="shared" si="18"/>
        <v>Normal</v>
      </c>
      <c r="W278" s="4" t="str">
        <f t="shared" si="19"/>
        <v>Good</v>
      </c>
      <c r="X278" s="4">
        <f>AVERAGE(Table1[Purchase Amount])</f>
        <v>129.48419400000012</v>
      </c>
    </row>
    <row r="279" spans="1:24" ht="15" customHeight="1" x14ac:dyDescent="0.25">
      <c r="A279">
        <v>278</v>
      </c>
      <c r="B279">
        <v>29</v>
      </c>
      <c r="C279" t="s">
        <v>27</v>
      </c>
      <c r="D279" t="s">
        <v>38</v>
      </c>
      <c r="E279" t="s">
        <v>18</v>
      </c>
      <c r="F279" s="2">
        <v>29</v>
      </c>
      <c r="G279" t="s">
        <v>160</v>
      </c>
      <c r="H279" t="s">
        <v>31</v>
      </c>
      <c r="I279" t="s">
        <v>93</v>
      </c>
      <c r="J279" t="s">
        <v>22</v>
      </c>
      <c r="K279">
        <v>3</v>
      </c>
      <c r="L279" t="s">
        <v>34</v>
      </c>
      <c r="M279" t="s">
        <v>48</v>
      </c>
      <c r="N279" t="s">
        <v>34</v>
      </c>
      <c r="O279">
        <v>36</v>
      </c>
      <c r="P279" t="s">
        <v>88</v>
      </c>
      <c r="Q279" t="s">
        <v>68</v>
      </c>
      <c r="R279" s="1">
        <v>0.1</v>
      </c>
      <c r="S279">
        <f t="shared" si="16"/>
        <v>26.1</v>
      </c>
      <c r="T279">
        <f>IFERROR(VLOOKUP(A279,Table1[[Customer ID]:[Discount Amount]], 6, FALSE),"Not Found")</f>
        <v>29</v>
      </c>
      <c r="U279" t="str">
        <f t="shared" si="17"/>
        <v>Bank Transfer</v>
      </c>
      <c r="V279" s="4" t="str">
        <f t="shared" si="18"/>
        <v>Normal</v>
      </c>
      <c r="W279" s="4" t="str">
        <f t="shared" si="19"/>
        <v>Good</v>
      </c>
      <c r="X279" s="4">
        <f>AVERAGE(Table1[Purchase Amount])</f>
        <v>129.48419400000012</v>
      </c>
    </row>
    <row r="280" spans="1:24" ht="15" customHeight="1" x14ac:dyDescent="0.25">
      <c r="A280">
        <v>279</v>
      </c>
      <c r="B280">
        <v>57</v>
      </c>
      <c r="C280" t="s">
        <v>27</v>
      </c>
      <c r="D280" t="s">
        <v>127</v>
      </c>
      <c r="E280" t="s">
        <v>18</v>
      </c>
      <c r="F280" s="2">
        <v>95</v>
      </c>
      <c r="G280" t="s">
        <v>135</v>
      </c>
      <c r="H280" t="s">
        <v>31</v>
      </c>
      <c r="I280" t="s">
        <v>108</v>
      </c>
      <c r="J280" t="s">
        <v>33</v>
      </c>
      <c r="K280">
        <v>3.7</v>
      </c>
      <c r="L280" t="s">
        <v>34</v>
      </c>
      <c r="M280" t="s">
        <v>61</v>
      </c>
      <c r="N280" t="s">
        <v>34</v>
      </c>
      <c r="O280">
        <v>23</v>
      </c>
      <c r="P280" t="s">
        <v>36</v>
      </c>
      <c r="Q280" t="s">
        <v>49</v>
      </c>
      <c r="R280" s="1">
        <v>0.1</v>
      </c>
      <c r="S280">
        <f t="shared" si="16"/>
        <v>85.5</v>
      </c>
      <c r="T280">
        <f>IFERROR(VLOOKUP(A280,Table1[[Customer ID]:[Discount Amount]], 6, FALSE),"Not Found")</f>
        <v>95</v>
      </c>
      <c r="U280" t="str">
        <f t="shared" si="17"/>
        <v>Debit Card</v>
      </c>
      <c r="V280" s="4" t="str">
        <f t="shared" si="18"/>
        <v>Normal</v>
      </c>
      <c r="W280" s="4" t="str">
        <f t="shared" si="19"/>
        <v>Good</v>
      </c>
      <c r="X280" s="4">
        <f>AVERAGE(Table1[Purchase Amount])</f>
        <v>129.48419400000012</v>
      </c>
    </row>
    <row r="281" spans="1:24" ht="15" customHeight="1" x14ac:dyDescent="0.25">
      <c r="A281">
        <v>280</v>
      </c>
      <c r="B281">
        <v>23</v>
      </c>
      <c r="C281" t="s">
        <v>27</v>
      </c>
      <c r="D281" t="s">
        <v>140</v>
      </c>
      <c r="E281" t="s">
        <v>98</v>
      </c>
      <c r="F281" s="2">
        <v>69</v>
      </c>
      <c r="G281" t="s">
        <v>100</v>
      </c>
      <c r="H281" t="s">
        <v>45</v>
      </c>
      <c r="I281" t="s">
        <v>156</v>
      </c>
      <c r="J281" t="s">
        <v>57</v>
      </c>
      <c r="K281">
        <v>4</v>
      </c>
      <c r="L281" t="s">
        <v>34</v>
      </c>
      <c r="M281" t="s">
        <v>24</v>
      </c>
      <c r="N281" t="s">
        <v>34</v>
      </c>
      <c r="O281">
        <v>37</v>
      </c>
      <c r="P281" t="s">
        <v>88</v>
      </c>
      <c r="Q281" t="s">
        <v>42</v>
      </c>
      <c r="R281" s="1">
        <v>0.1</v>
      </c>
      <c r="S281">
        <f t="shared" si="16"/>
        <v>62.1</v>
      </c>
      <c r="T281">
        <f>IFERROR(VLOOKUP(A281,Table1[[Customer ID]:[Discount Amount]], 6, FALSE),"Not Found")</f>
        <v>69</v>
      </c>
      <c r="U281" t="str">
        <f t="shared" si="17"/>
        <v>Bank Transfer</v>
      </c>
      <c r="V281" s="4" t="str">
        <f t="shared" si="18"/>
        <v>Normal</v>
      </c>
      <c r="W281" s="4" t="str">
        <f t="shared" si="19"/>
        <v>Good</v>
      </c>
      <c r="X281" s="4">
        <f>AVERAGE(Table1[Purchase Amount])</f>
        <v>129.48419400000012</v>
      </c>
    </row>
    <row r="282" spans="1:24" ht="15" customHeight="1" x14ac:dyDescent="0.25">
      <c r="A282">
        <v>281</v>
      </c>
      <c r="B282">
        <v>45</v>
      </c>
      <c r="C282" t="s">
        <v>27</v>
      </c>
      <c r="D282" t="s">
        <v>121</v>
      </c>
      <c r="E282" t="s">
        <v>98</v>
      </c>
      <c r="F282" s="2">
        <v>69</v>
      </c>
      <c r="G282" t="s">
        <v>39</v>
      </c>
      <c r="H282" t="s">
        <v>55</v>
      </c>
      <c r="I282" t="s">
        <v>128</v>
      </c>
      <c r="J282" t="s">
        <v>47</v>
      </c>
      <c r="K282">
        <v>4.2</v>
      </c>
      <c r="L282" t="s">
        <v>34</v>
      </c>
      <c r="M282" t="s">
        <v>41</v>
      </c>
      <c r="N282" t="s">
        <v>34</v>
      </c>
      <c r="O282">
        <v>21</v>
      </c>
      <c r="P282" t="s">
        <v>25</v>
      </c>
      <c r="Q282" t="s">
        <v>68</v>
      </c>
      <c r="R282" s="1">
        <v>0.1</v>
      </c>
      <c r="S282">
        <f t="shared" si="16"/>
        <v>62.1</v>
      </c>
      <c r="T282">
        <f>IFERROR(VLOOKUP(A282,Table1[[Customer ID]:[Discount Amount]], 6, FALSE),"Not Found")</f>
        <v>69</v>
      </c>
      <c r="U282" t="str">
        <f t="shared" si="17"/>
        <v>Cash</v>
      </c>
      <c r="V282" s="4" t="str">
        <f t="shared" si="18"/>
        <v>Normal</v>
      </c>
      <c r="W282" s="4" t="str">
        <f t="shared" si="19"/>
        <v>Good</v>
      </c>
      <c r="X282" s="4">
        <f>AVERAGE(Table1[Purchase Amount])</f>
        <v>129.48419400000012</v>
      </c>
    </row>
    <row r="283" spans="1:24" ht="15" customHeight="1" x14ac:dyDescent="0.25">
      <c r="A283">
        <v>282</v>
      </c>
      <c r="B283">
        <v>38</v>
      </c>
      <c r="C283" t="s">
        <v>27</v>
      </c>
      <c r="D283" t="s">
        <v>114</v>
      </c>
      <c r="E283" t="s">
        <v>29</v>
      </c>
      <c r="F283" s="2">
        <v>61</v>
      </c>
      <c r="G283" t="s">
        <v>142</v>
      </c>
      <c r="H283" t="s">
        <v>20</v>
      </c>
      <c r="I283" t="s">
        <v>103</v>
      </c>
      <c r="J283" t="s">
        <v>33</v>
      </c>
      <c r="K283">
        <v>2.5</v>
      </c>
      <c r="L283" t="s">
        <v>34</v>
      </c>
      <c r="M283" t="s">
        <v>24</v>
      </c>
      <c r="N283" t="s">
        <v>34</v>
      </c>
      <c r="O283">
        <v>22</v>
      </c>
      <c r="P283" t="s">
        <v>36</v>
      </c>
      <c r="Q283" t="s">
        <v>68</v>
      </c>
      <c r="R283" s="1">
        <v>0.1</v>
      </c>
      <c r="S283">
        <f t="shared" si="16"/>
        <v>54.9</v>
      </c>
      <c r="T283">
        <f>IFERROR(VLOOKUP(A283,Table1[[Customer ID]:[Discount Amount]], 6, FALSE),"Not Found")</f>
        <v>61</v>
      </c>
      <c r="U283" t="str">
        <f t="shared" si="17"/>
        <v>Debit Card</v>
      </c>
      <c r="V283" s="4" t="str">
        <f t="shared" si="18"/>
        <v>Normal</v>
      </c>
      <c r="W283" s="4" t="str">
        <f t="shared" si="19"/>
        <v>Poor</v>
      </c>
      <c r="X283" s="4">
        <f>AVERAGE(Table1[Purchase Amount])</f>
        <v>129.48419400000012</v>
      </c>
    </row>
    <row r="284" spans="1:24" ht="15" customHeight="1" x14ac:dyDescent="0.25">
      <c r="A284">
        <v>283</v>
      </c>
      <c r="B284">
        <v>21</v>
      </c>
      <c r="C284" t="s">
        <v>27</v>
      </c>
      <c r="D284" t="s">
        <v>122</v>
      </c>
      <c r="E284" t="s">
        <v>18</v>
      </c>
      <c r="F284" s="2">
        <v>94</v>
      </c>
      <c r="G284" t="s">
        <v>120</v>
      </c>
      <c r="H284" t="s">
        <v>31</v>
      </c>
      <c r="I284" t="s">
        <v>147</v>
      </c>
      <c r="J284" t="s">
        <v>57</v>
      </c>
      <c r="K284">
        <v>3</v>
      </c>
      <c r="L284" t="s">
        <v>34</v>
      </c>
      <c r="M284" t="s">
        <v>41</v>
      </c>
      <c r="N284" t="s">
        <v>34</v>
      </c>
      <c r="O284">
        <v>9</v>
      </c>
      <c r="P284" t="s">
        <v>25</v>
      </c>
      <c r="Q284" t="s">
        <v>42</v>
      </c>
      <c r="R284" s="1">
        <v>0.1</v>
      </c>
      <c r="S284">
        <f t="shared" si="16"/>
        <v>84.6</v>
      </c>
      <c r="T284">
        <f>IFERROR(VLOOKUP(A284,Table1[[Customer ID]:[Discount Amount]], 6, FALSE),"Not Found")</f>
        <v>94</v>
      </c>
      <c r="U284" t="str">
        <f t="shared" si="17"/>
        <v>Cash</v>
      </c>
      <c r="V284" s="4" t="str">
        <f t="shared" si="18"/>
        <v>Normal</v>
      </c>
      <c r="W284" s="4" t="str">
        <f t="shared" si="19"/>
        <v>Good</v>
      </c>
      <c r="X284" s="4">
        <f>AVERAGE(Table1[Purchase Amount])</f>
        <v>129.48419400000012</v>
      </c>
    </row>
    <row r="285" spans="1:24" ht="15" customHeight="1" x14ac:dyDescent="0.25">
      <c r="A285">
        <v>284</v>
      </c>
      <c r="B285">
        <v>32</v>
      </c>
      <c r="C285" t="s">
        <v>27</v>
      </c>
      <c r="D285" t="s">
        <v>127</v>
      </c>
      <c r="E285" t="s">
        <v>18</v>
      </c>
      <c r="F285" s="2">
        <v>30</v>
      </c>
      <c r="G285" t="s">
        <v>39</v>
      </c>
      <c r="H285" t="s">
        <v>55</v>
      </c>
      <c r="I285" t="s">
        <v>125</v>
      </c>
      <c r="J285" t="s">
        <v>47</v>
      </c>
      <c r="K285">
        <v>3.2</v>
      </c>
      <c r="L285" t="s">
        <v>34</v>
      </c>
      <c r="M285" t="s">
        <v>79</v>
      </c>
      <c r="N285" t="s">
        <v>34</v>
      </c>
      <c r="O285">
        <v>16</v>
      </c>
      <c r="P285" t="s">
        <v>62</v>
      </c>
      <c r="Q285" t="s">
        <v>49</v>
      </c>
      <c r="R285" s="1">
        <v>0.1</v>
      </c>
      <c r="S285">
        <f t="shared" si="16"/>
        <v>27</v>
      </c>
      <c r="T285">
        <f>IFERROR(VLOOKUP(A285,Table1[[Customer ID]:[Discount Amount]], 6, FALSE),"Not Found")</f>
        <v>30</v>
      </c>
      <c r="U285" t="str">
        <f t="shared" si="17"/>
        <v>Venmo</v>
      </c>
      <c r="V285" s="4" t="str">
        <f t="shared" si="18"/>
        <v>Normal</v>
      </c>
      <c r="W285" s="4" t="str">
        <f t="shared" si="19"/>
        <v>Good</v>
      </c>
      <c r="X285" s="4">
        <f>AVERAGE(Table1[Purchase Amount])</f>
        <v>129.48419400000012</v>
      </c>
    </row>
    <row r="286" spans="1:24" ht="15" customHeight="1" x14ac:dyDescent="0.25">
      <c r="A286">
        <v>285</v>
      </c>
      <c r="B286">
        <v>63</v>
      </c>
      <c r="C286" t="s">
        <v>27</v>
      </c>
      <c r="D286" t="s">
        <v>122</v>
      </c>
      <c r="E286" t="s">
        <v>18</v>
      </c>
      <c r="F286" s="2">
        <v>45</v>
      </c>
      <c r="G286" t="s">
        <v>90</v>
      </c>
      <c r="H286" t="s">
        <v>31</v>
      </c>
      <c r="I286" t="s">
        <v>46</v>
      </c>
      <c r="J286" t="s">
        <v>57</v>
      </c>
      <c r="K286">
        <v>3.5</v>
      </c>
      <c r="L286" t="s">
        <v>34</v>
      </c>
      <c r="M286" t="s">
        <v>24</v>
      </c>
      <c r="N286" t="s">
        <v>34</v>
      </c>
      <c r="O286">
        <v>4</v>
      </c>
      <c r="P286" t="s">
        <v>58</v>
      </c>
      <c r="Q286" t="s">
        <v>37</v>
      </c>
      <c r="R286" s="1">
        <v>0.1</v>
      </c>
      <c r="S286">
        <f t="shared" si="16"/>
        <v>40.5</v>
      </c>
      <c r="T286">
        <f>IFERROR(VLOOKUP(A286,Table1[[Customer ID]:[Discount Amount]], 6, FALSE),"Not Found")</f>
        <v>45</v>
      </c>
      <c r="U286" t="str">
        <f t="shared" si="17"/>
        <v>PayPal</v>
      </c>
      <c r="V286" s="4" t="str">
        <f t="shared" si="18"/>
        <v>Normal</v>
      </c>
      <c r="W286" s="4" t="str">
        <f t="shared" si="19"/>
        <v>Good</v>
      </c>
      <c r="X286" s="4">
        <f>AVERAGE(Table1[Purchase Amount])</f>
        <v>129.48419400000012</v>
      </c>
    </row>
    <row r="287" spans="1:24" ht="15" customHeight="1" x14ac:dyDescent="0.25">
      <c r="A287">
        <v>286</v>
      </c>
      <c r="B287">
        <v>29</v>
      </c>
      <c r="C287" t="s">
        <v>27</v>
      </c>
      <c r="D287" t="s">
        <v>69</v>
      </c>
      <c r="E287" t="s">
        <v>29</v>
      </c>
      <c r="F287" s="2">
        <v>39</v>
      </c>
      <c r="G287" t="s">
        <v>70</v>
      </c>
      <c r="H287" t="s">
        <v>20</v>
      </c>
      <c r="I287" t="s">
        <v>52</v>
      </c>
      <c r="J287" t="s">
        <v>57</v>
      </c>
      <c r="K287">
        <v>4.8</v>
      </c>
      <c r="L287" t="s">
        <v>34</v>
      </c>
      <c r="M287" t="s">
        <v>61</v>
      </c>
      <c r="N287" t="s">
        <v>34</v>
      </c>
      <c r="O287">
        <v>3</v>
      </c>
      <c r="P287" t="s">
        <v>36</v>
      </c>
      <c r="Q287" t="s">
        <v>68</v>
      </c>
      <c r="R287" s="1">
        <v>0.1</v>
      </c>
      <c r="S287">
        <f t="shared" si="16"/>
        <v>35.1</v>
      </c>
      <c r="T287">
        <f>IFERROR(VLOOKUP(A287,Table1[[Customer ID]:[Discount Amount]], 6, FALSE),"Not Found")</f>
        <v>39</v>
      </c>
      <c r="U287" t="str">
        <f t="shared" si="17"/>
        <v>Debit Card</v>
      </c>
      <c r="V287" s="4" t="str">
        <f t="shared" si="18"/>
        <v>Normal</v>
      </c>
      <c r="W287" s="4" t="str">
        <f t="shared" si="19"/>
        <v>Good</v>
      </c>
      <c r="X287" s="4">
        <f>AVERAGE(Table1[Purchase Amount])</f>
        <v>129.48419400000012</v>
      </c>
    </row>
    <row r="288" spans="1:24" ht="15" customHeight="1" x14ac:dyDescent="0.25">
      <c r="A288">
        <v>287</v>
      </c>
      <c r="B288">
        <v>27</v>
      </c>
      <c r="C288" t="s">
        <v>27</v>
      </c>
      <c r="D288" t="s">
        <v>50</v>
      </c>
      <c r="E288" t="s">
        <v>29</v>
      </c>
      <c r="F288" s="2">
        <v>51</v>
      </c>
      <c r="G288" t="s">
        <v>137</v>
      </c>
      <c r="H288" t="s">
        <v>45</v>
      </c>
      <c r="I288" t="s">
        <v>85</v>
      </c>
      <c r="J288" t="s">
        <v>57</v>
      </c>
      <c r="K288">
        <v>2.6</v>
      </c>
      <c r="L288" t="s">
        <v>34</v>
      </c>
      <c r="M288" t="s">
        <v>48</v>
      </c>
      <c r="N288" t="s">
        <v>34</v>
      </c>
      <c r="O288">
        <v>6</v>
      </c>
      <c r="P288" t="s">
        <v>36</v>
      </c>
      <c r="Q288" t="s">
        <v>49</v>
      </c>
      <c r="R288" s="1">
        <v>0.1</v>
      </c>
      <c r="S288">
        <f t="shared" si="16"/>
        <v>45.9</v>
      </c>
      <c r="T288">
        <f>IFERROR(VLOOKUP(A288,Table1[[Customer ID]:[Discount Amount]], 6, FALSE),"Not Found")</f>
        <v>51</v>
      </c>
      <c r="U288" t="str">
        <f t="shared" si="17"/>
        <v>Debit Card</v>
      </c>
      <c r="V288" s="4" t="str">
        <f t="shared" si="18"/>
        <v>Normal</v>
      </c>
      <c r="W288" s="4" t="str">
        <f t="shared" si="19"/>
        <v>Poor</v>
      </c>
      <c r="X288" s="4">
        <f>AVERAGE(Table1[Purchase Amount])</f>
        <v>129.48419400000012</v>
      </c>
    </row>
    <row r="289" spans="1:24" ht="15" customHeight="1" x14ac:dyDescent="0.25">
      <c r="A289">
        <v>288</v>
      </c>
      <c r="B289">
        <v>56</v>
      </c>
      <c r="C289" t="s">
        <v>27</v>
      </c>
      <c r="D289" t="s">
        <v>129</v>
      </c>
      <c r="E289" t="s">
        <v>29</v>
      </c>
      <c r="F289" s="2">
        <v>37</v>
      </c>
      <c r="G289" t="s">
        <v>143</v>
      </c>
      <c r="H289" t="s">
        <v>45</v>
      </c>
      <c r="I289" t="s">
        <v>74</v>
      </c>
      <c r="J289" t="s">
        <v>33</v>
      </c>
      <c r="K289">
        <v>3.4</v>
      </c>
      <c r="L289" t="s">
        <v>34</v>
      </c>
      <c r="M289" t="s">
        <v>41</v>
      </c>
      <c r="N289" t="s">
        <v>34</v>
      </c>
      <c r="O289">
        <v>18</v>
      </c>
      <c r="P289" t="s">
        <v>62</v>
      </c>
      <c r="Q289" t="s">
        <v>89</v>
      </c>
      <c r="R289" s="1">
        <v>0.1</v>
      </c>
      <c r="S289">
        <f t="shared" si="16"/>
        <v>33.299999999999997</v>
      </c>
      <c r="T289">
        <f>IFERROR(VLOOKUP(A289,Table1[[Customer ID]:[Discount Amount]], 6, FALSE),"Not Found")</f>
        <v>37</v>
      </c>
      <c r="U289" t="str">
        <f t="shared" si="17"/>
        <v>Venmo</v>
      </c>
      <c r="V289" s="4" t="str">
        <f t="shared" si="18"/>
        <v>Normal</v>
      </c>
      <c r="W289" s="4" t="str">
        <f t="shared" si="19"/>
        <v>Good</v>
      </c>
      <c r="X289" s="4">
        <f>AVERAGE(Table1[Purchase Amount])</f>
        <v>129.48419400000012</v>
      </c>
    </row>
    <row r="290" spans="1:24" ht="15" customHeight="1" x14ac:dyDescent="0.25">
      <c r="A290">
        <v>289</v>
      </c>
      <c r="B290">
        <v>30</v>
      </c>
      <c r="C290" t="s">
        <v>27</v>
      </c>
      <c r="D290" t="s">
        <v>17</v>
      </c>
      <c r="E290" t="s">
        <v>18</v>
      </c>
      <c r="F290" s="2">
        <v>62</v>
      </c>
      <c r="G290" t="s">
        <v>134</v>
      </c>
      <c r="H290" t="s">
        <v>31</v>
      </c>
      <c r="I290" t="s">
        <v>107</v>
      </c>
      <c r="J290" t="s">
        <v>22</v>
      </c>
      <c r="K290">
        <v>3.7</v>
      </c>
      <c r="L290" t="s">
        <v>34</v>
      </c>
      <c r="M290" t="s">
        <v>41</v>
      </c>
      <c r="N290" t="s">
        <v>34</v>
      </c>
      <c r="O290">
        <v>34</v>
      </c>
      <c r="P290" t="s">
        <v>62</v>
      </c>
      <c r="Q290" t="s">
        <v>68</v>
      </c>
      <c r="R290" s="1">
        <v>0.1</v>
      </c>
      <c r="S290">
        <f t="shared" si="16"/>
        <v>55.8</v>
      </c>
      <c r="T290">
        <f>IFERROR(VLOOKUP(A290,Table1[[Customer ID]:[Discount Amount]], 6, FALSE),"Not Found")</f>
        <v>62</v>
      </c>
      <c r="U290" t="str">
        <f t="shared" si="17"/>
        <v>Venmo</v>
      </c>
      <c r="V290" s="4" t="str">
        <f t="shared" si="18"/>
        <v>Normal</v>
      </c>
      <c r="W290" s="4" t="str">
        <f t="shared" si="19"/>
        <v>Good</v>
      </c>
      <c r="X290" s="4">
        <f>AVERAGE(Table1[Purchase Amount])</f>
        <v>129.48419400000012</v>
      </c>
    </row>
    <row r="291" spans="1:24" ht="15" customHeight="1" x14ac:dyDescent="0.25">
      <c r="A291">
        <v>290</v>
      </c>
      <c r="B291">
        <v>49</v>
      </c>
      <c r="C291" t="s">
        <v>27</v>
      </c>
      <c r="D291" t="s">
        <v>76</v>
      </c>
      <c r="E291" t="s">
        <v>77</v>
      </c>
      <c r="F291" s="2">
        <v>85</v>
      </c>
      <c r="G291" t="s">
        <v>101</v>
      </c>
      <c r="H291" t="s">
        <v>31</v>
      </c>
      <c r="I291" t="s">
        <v>52</v>
      </c>
      <c r="J291" t="s">
        <v>47</v>
      </c>
      <c r="K291">
        <v>4.5</v>
      </c>
      <c r="L291" t="s">
        <v>34</v>
      </c>
      <c r="M291" t="s">
        <v>41</v>
      </c>
      <c r="N291" t="s">
        <v>34</v>
      </c>
      <c r="O291">
        <v>26</v>
      </c>
      <c r="P291" t="s">
        <v>53</v>
      </c>
      <c r="Q291" t="s">
        <v>42</v>
      </c>
      <c r="R291" s="1">
        <v>0.1</v>
      </c>
      <c r="S291">
        <f t="shared" si="16"/>
        <v>76.5</v>
      </c>
      <c r="T291">
        <f>IFERROR(VLOOKUP(A291,Table1[[Customer ID]:[Discount Amount]], 6, FALSE),"Not Found")</f>
        <v>85</v>
      </c>
      <c r="U291" t="str">
        <f t="shared" si="17"/>
        <v>Credit Card</v>
      </c>
      <c r="V291" s="4" t="str">
        <f t="shared" si="18"/>
        <v>Normal</v>
      </c>
      <c r="W291" s="4" t="str">
        <f t="shared" si="19"/>
        <v>Good</v>
      </c>
      <c r="X291" s="4">
        <f>AVERAGE(Table1[Purchase Amount])</f>
        <v>129.48419400000012</v>
      </c>
    </row>
    <row r="292" spans="1:24" ht="15" customHeight="1" x14ac:dyDescent="0.25">
      <c r="A292">
        <v>291</v>
      </c>
      <c r="B292">
        <v>58</v>
      </c>
      <c r="C292" t="s">
        <v>27</v>
      </c>
      <c r="D292" t="s">
        <v>17</v>
      </c>
      <c r="E292" t="s">
        <v>18</v>
      </c>
      <c r="F292" s="2">
        <v>33</v>
      </c>
      <c r="G292" t="s">
        <v>92</v>
      </c>
      <c r="H292" t="s">
        <v>31</v>
      </c>
      <c r="I292" t="s">
        <v>91</v>
      </c>
      <c r="J292" t="s">
        <v>22</v>
      </c>
      <c r="K292">
        <v>3.7</v>
      </c>
      <c r="L292" t="s">
        <v>34</v>
      </c>
      <c r="M292" t="s">
        <v>24</v>
      </c>
      <c r="N292" t="s">
        <v>34</v>
      </c>
      <c r="O292">
        <v>50</v>
      </c>
      <c r="P292" t="s">
        <v>58</v>
      </c>
      <c r="Q292" t="s">
        <v>26</v>
      </c>
      <c r="R292" s="1">
        <v>0.1</v>
      </c>
      <c r="S292">
        <f t="shared" si="16"/>
        <v>29.7</v>
      </c>
      <c r="T292">
        <f>IFERROR(VLOOKUP(A292,Table1[[Customer ID]:[Discount Amount]], 6, FALSE),"Not Found")</f>
        <v>33</v>
      </c>
      <c r="U292" t="str">
        <f t="shared" si="17"/>
        <v>PayPal</v>
      </c>
      <c r="V292" s="4" t="str">
        <f t="shared" si="18"/>
        <v>Normal</v>
      </c>
      <c r="W292" s="4" t="str">
        <f t="shared" si="19"/>
        <v>Good</v>
      </c>
      <c r="X292" s="4">
        <f>AVERAGE(Table1[Purchase Amount])</f>
        <v>129.48419400000012</v>
      </c>
    </row>
    <row r="293" spans="1:24" ht="15" customHeight="1" x14ac:dyDescent="0.25">
      <c r="A293">
        <v>292</v>
      </c>
      <c r="B293">
        <v>57</v>
      </c>
      <c r="C293" t="s">
        <v>27</v>
      </c>
      <c r="D293" t="s">
        <v>157</v>
      </c>
      <c r="E293" t="s">
        <v>18</v>
      </c>
      <c r="F293" s="2">
        <v>26</v>
      </c>
      <c r="G293" t="s">
        <v>143</v>
      </c>
      <c r="H293" t="s">
        <v>20</v>
      </c>
      <c r="I293" t="s">
        <v>111</v>
      </c>
      <c r="J293" t="s">
        <v>47</v>
      </c>
      <c r="K293">
        <v>3.3</v>
      </c>
      <c r="L293" t="s">
        <v>34</v>
      </c>
      <c r="M293" t="s">
        <v>79</v>
      </c>
      <c r="N293" t="s">
        <v>34</v>
      </c>
      <c r="O293">
        <v>40</v>
      </c>
      <c r="P293" t="s">
        <v>88</v>
      </c>
      <c r="Q293" t="s">
        <v>42</v>
      </c>
      <c r="R293" s="1">
        <v>0.1</v>
      </c>
      <c r="S293">
        <f t="shared" si="16"/>
        <v>23.4</v>
      </c>
      <c r="T293">
        <f>IFERROR(VLOOKUP(A293,Table1[[Customer ID]:[Discount Amount]], 6, FALSE),"Not Found")</f>
        <v>26</v>
      </c>
      <c r="U293" t="str">
        <f t="shared" si="17"/>
        <v>Bank Transfer</v>
      </c>
      <c r="V293" s="4" t="str">
        <f t="shared" si="18"/>
        <v>Normal</v>
      </c>
      <c r="W293" s="4" t="str">
        <f t="shared" si="19"/>
        <v>Good</v>
      </c>
      <c r="X293" s="4">
        <f>AVERAGE(Table1[Purchase Amount])</f>
        <v>129.48419400000012</v>
      </c>
    </row>
    <row r="294" spans="1:24" ht="15" customHeight="1" x14ac:dyDescent="0.25">
      <c r="A294">
        <v>293</v>
      </c>
      <c r="B294">
        <v>60</v>
      </c>
      <c r="C294" t="s">
        <v>27</v>
      </c>
      <c r="D294" t="s">
        <v>72</v>
      </c>
      <c r="E294" t="s">
        <v>98</v>
      </c>
      <c r="F294" s="2">
        <v>99</v>
      </c>
      <c r="G294" t="s">
        <v>144</v>
      </c>
      <c r="H294" t="s">
        <v>31</v>
      </c>
      <c r="I294" t="s">
        <v>93</v>
      </c>
      <c r="J294" t="s">
        <v>33</v>
      </c>
      <c r="K294">
        <v>4.7</v>
      </c>
      <c r="L294" t="s">
        <v>34</v>
      </c>
      <c r="M294" t="s">
        <v>35</v>
      </c>
      <c r="N294" t="s">
        <v>34</v>
      </c>
      <c r="O294">
        <v>24</v>
      </c>
      <c r="P294" t="s">
        <v>25</v>
      </c>
      <c r="Q294" t="s">
        <v>37</v>
      </c>
      <c r="R294" s="1">
        <v>0.1</v>
      </c>
      <c r="S294">
        <f t="shared" si="16"/>
        <v>89.1</v>
      </c>
      <c r="T294">
        <f>IFERROR(VLOOKUP(A294,Table1[[Customer ID]:[Discount Amount]], 6, FALSE),"Not Found")</f>
        <v>99</v>
      </c>
      <c r="U294" t="str">
        <f t="shared" si="17"/>
        <v>Cash</v>
      </c>
      <c r="V294" s="4" t="str">
        <f t="shared" si="18"/>
        <v>Normal</v>
      </c>
      <c r="W294" s="4" t="str">
        <f t="shared" si="19"/>
        <v>Good</v>
      </c>
      <c r="X294" s="4">
        <f>AVERAGE(Table1[Purchase Amount])</f>
        <v>129.48419400000012</v>
      </c>
    </row>
    <row r="295" spans="1:24" ht="15" customHeight="1" x14ac:dyDescent="0.25">
      <c r="A295">
        <v>294</v>
      </c>
      <c r="B295">
        <v>69</v>
      </c>
      <c r="C295" t="s">
        <v>27</v>
      </c>
      <c r="D295" t="s">
        <v>69</v>
      </c>
      <c r="E295" t="s">
        <v>29</v>
      </c>
      <c r="F295" s="2">
        <v>39</v>
      </c>
      <c r="G295" t="s">
        <v>115</v>
      </c>
      <c r="H295" t="s">
        <v>31</v>
      </c>
      <c r="I295" t="s">
        <v>32</v>
      </c>
      <c r="J295" t="s">
        <v>33</v>
      </c>
      <c r="K295">
        <v>2.7</v>
      </c>
      <c r="L295" t="s">
        <v>34</v>
      </c>
      <c r="M295" t="s">
        <v>61</v>
      </c>
      <c r="N295" t="s">
        <v>34</v>
      </c>
      <c r="O295">
        <v>33</v>
      </c>
      <c r="P295" t="s">
        <v>58</v>
      </c>
      <c r="Q295" t="s">
        <v>49</v>
      </c>
      <c r="R295" s="1">
        <v>0.1</v>
      </c>
      <c r="S295">
        <f t="shared" si="16"/>
        <v>35.1</v>
      </c>
      <c r="T295">
        <f>IFERROR(VLOOKUP(A295,Table1[[Customer ID]:[Discount Amount]], 6, FALSE),"Not Found")</f>
        <v>39</v>
      </c>
      <c r="U295" t="str">
        <f t="shared" si="17"/>
        <v>PayPal</v>
      </c>
      <c r="V295" s="4" t="str">
        <f t="shared" si="18"/>
        <v>Normal</v>
      </c>
      <c r="W295" s="4" t="str">
        <f t="shared" si="19"/>
        <v>Poor</v>
      </c>
      <c r="X295" s="4">
        <f>AVERAGE(Table1[Purchase Amount])</f>
        <v>129.48419400000012</v>
      </c>
    </row>
    <row r="296" spans="1:24" ht="15" customHeight="1" x14ac:dyDescent="0.25">
      <c r="A296">
        <v>295</v>
      </c>
      <c r="B296">
        <v>70</v>
      </c>
      <c r="C296" t="s">
        <v>27</v>
      </c>
      <c r="D296" t="s">
        <v>122</v>
      </c>
      <c r="E296" t="s">
        <v>18</v>
      </c>
      <c r="F296" s="2">
        <v>20</v>
      </c>
      <c r="G296" t="s">
        <v>131</v>
      </c>
      <c r="H296" t="s">
        <v>31</v>
      </c>
      <c r="I296" t="s">
        <v>133</v>
      </c>
      <c r="J296" t="s">
        <v>33</v>
      </c>
      <c r="K296">
        <v>4.5999999999999996</v>
      </c>
      <c r="L296" t="s">
        <v>34</v>
      </c>
      <c r="M296" t="s">
        <v>48</v>
      </c>
      <c r="N296" t="s">
        <v>34</v>
      </c>
      <c r="O296">
        <v>19</v>
      </c>
      <c r="P296" t="s">
        <v>53</v>
      </c>
      <c r="Q296" t="s">
        <v>63</v>
      </c>
      <c r="R296" s="1">
        <v>0.1</v>
      </c>
      <c r="S296">
        <f t="shared" si="16"/>
        <v>18</v>
      </c>
      <c r="T296">
        <f>IFERROR(VLOOKUP(A296,Table1[[Customer ID]:[Discount Amount]], 6, FALSE),"Not Found")</f>
        <v>20</v>
      </c>
      <c r="U296" t="str">
        <f t="shared" si="17"/>
        <v>Credit Card</v>
      </c>
      <c r="V296" s="4" t="str">
        <f t="shared" si="18"/>
        <v>Normal</v>
      </c>
      <c r="W296" s="4" t="str">
        <f t="shared" si="19"/>
        <v>Good</v>
      </c>
      <c r="X296" s="4">
        <f>AVERAGE(Table1[Purchase Amount])</f>
        <v>129.48419400000012</v>
      </c>
    </row>
    <row r="297" spans="1:24" ht="15" customHeight="1" x14ac:dyDescent="0.25">
      <c r="A297">
        <v>296</v>
      </c>
      <c r="B297">
        <v>53</v>
      </c>
      <c r="C297" t="s">
        <v>27</v>
      </c>
      <c r="D297" t="s">
        <v>28</v>
      </c>
      <c r="E297" t="s">
        <v>29</v>
      </c>
      <c r="F297" s="2">
        <v>42</v>
      </c>
      <c r="G297" t="s">
        <v>154</v>
      </c>
      <c r="H297" t="s">
        <v>31</v>
      </c>
      <c r="I297" t="s">
        <v>91</v>
      </c>
      <c r="J297" t="s">
        <v>22</v>
      </c>
      <c r="K297">
        <v>2.7</v>
      </c>
      <c r="L297" t="s">
        <v>34</v>
      </c>
      <c r="M297" t="s">
        <v>48</v>
      </c>
      <c r="N297" t="s">
        <v>34</v>
      </c>
      <c r="O297">
        <v>24</v>
      </c>
      <c r="P297" t="s">
        <v>53</v>
      </c>
      <c r="Q297" t="s">
        <v>37</v>
      </c>
      <c r="R297" s="1">
        <v>0.1</v>
      </c>
      <c r="S297">
        <f t="shared" si="16"/>
        <v>37.799999999999997</v>
      </c>
      <c r="T297">
        <f>IFERROR(VLOOKUP(A297,Table1[[Customer ID]:[Discount Amount]], 6, FALSE),"Not Found")</f>
        <v>42</v>
      </c>
      <c r="U297" t="str">
        <f t="shared" si="17"/>
        <v>Credit Card</v>
      </c>
      <c r="V297" s="4" t="str">
        <f t="shared" si="18"/>
        <v>Normal</v>
      </c>
      <c r="W297" s="4" t="str">
        <f t="shared" si="19"/>
        <v>Poor</v>
      </c>
      <c r="X297" s="4">
        <f>AVERAGE(Table1[Purchase Amount])</f>
        <v>129.48419400000012</v>
      </c>
    </row>
    <row r="298" spans="1:24" ht="15" customHeight="1" x14ac:dyDescent="0.25">
      <c r="A298">
        <v>297</v>
      </c>
      <c r="B298">
        <v>25</v>
      </c>
      <c r="C298" t="s">
        <v>27</v>
      </c>
      <c r="D298" t="s">
        <v>121</v>
      </c>
      <c r="E298" t="s">
        <v>98</v>
      </c>
      <c r="F298" s="2">
        <v>74</v>
      </c>
      <c r="G298" t="s">
        <v>102</v>
      </c>
      <c r="H298" t="s">
        <v>55</v>
      </c>
      <c r="I298" t="s">
        <v>107</v>
      </c>
      <c r="J298" t="s">
        <v>33</v>
      </c>
      <c r="K298">
        <v>4.8</v>
      </c>
      <c r="L298" t="s">
        <v>34</v>
      </c>
      <c r="M298" t="s">
        <v>41</v>
      </c>
      <c r="N298" t="s">
        <v>34</v>
      </c>
      <c r="O298">
        <v>19</v>
      </c>
      <c r="P298" t="s">
        <v>53</v>
      </c>
      <c r="Q298" t="s">
        <v>26</v>
      </c>
      <c r="R298" s="1">
        <v>0.1</v>
      </c>
      <c r="S298">
        <f t="shared" si="16"/>
        <v>66.599999999999994</v>
      </c>
      <c r="T298">
        <f>IFERROR(VLOOKUP(A298,Table1[[Customer ID]:[Discount Amount]], 6, FALSE),"Not Found")</f>
        <v>74</v>
      </c>
      <c r="U298" t="str">
        <f t="shared" si="17"/>
        <v>Credit Card</v>
      </c>
      <c r="V298" s="4" t="str">
        <f t="shared" si="18"/>
        <v>Normal</v>
      </c>
      <c r="W298" s="4" t="str">
        <f t="shared" si="19"/>
        <v>Good</v>
      </c>
      <c r="X298" s="4">
        <f>AVERAGE(Table1[Purchase Amount])</f>
        <v>129.48419400000012</v>
      </c>
    </row>
    <row r="299" spans="1:24" ht="15" customHeight="1" x14ac:dyDescent="0.25">
      <c r="A299">
        <v>298</v>
      </c>
      <c r="B299">
        <v>48</v>
      </c>
      <c r="C299" t="s">
        <v>27</v>
      </c>
      <c r="D299" t="s">
        <v>72</v>
      </c>
      <c r="E299" t="s">
        <v>98</v>
      </c>
      <c r="F299" s="2">
        <v>26</v>
      </c>
      <c r="G299" t="s">
        <v>143</v>
      </c>
      <c r="H299" t="s">
        <v>20</v>
      </c>
      <c r="I299" t="s">
        <v>66</v>
      </c>
      <c r="J299" t="s">
        <v>57</v>
      </c>
      <c r="K299">
        <v>4.4000000000000004</v>
      </c>
      <c r="L299" t="s">
        <v>34</v>
      </c>
      <c r="M299" t="s">
        <v>24</v>
      </c>
      <c r="N299" t="s">
        <v>34</v>
      </c>
      <c r="O299">
        <v>4</v>
      </c>
      <c r="P299" t="s">
        <v>53</v>
      </c>
      <c r="Q299" t="s">
        <v>68</v>
      </c>
      <c r="R299" s="1">
        <v>0.1</v>
      </c>
      <c r="S299">
        <f t="shared" si="16"/>
        <v>23.4</v>
      </c>
      <c r="T299">
        <f>IFERROR(VLOOKUP(A299,Table1[[Customer ID]:[Discount Amount]], 6, FALSE),"Not Found")</f>
        <v>26</v>
      </c>
      <c r="U299" t="str">
        <f t="shared" si="17"/>
        <v>Credit Card</v>
      </c>
      <c r="V299" s="4" t="str">
        <f t="shared" si="18"/>
        <v>Normal</v>
      </c>
      <c r="W299" s="4" t="str">
        <f t="shared" si="19"/>
        <v>Good</v>
      </c>
      <c r="X299" s="4">
        <f>AVERAGE(Table1[Purchase Amount])</f>
        <v>129.48419400000012</v>
      </c>
    </row>
    <row r="300" spans="1:24" ht="15" customHeight="1" x14ac:dyDescent="0.25">
      <c r="A300">
        <v>299</v>
      </c>
      <c r="B300">
        <v>69</v>
      </c>
      <c r="C300" t="s">
        <v>27</v>
      </c>
      <c r="D300" t="s">
        <v>17</v>
      </c>
      <c r="E300" t="s">
        <v>18</v>
      </c>
      <c r="F300" s="2">
        <v>53</v>
      </c>
      <c r="G300" t="s">
        <v>106</v>
      </c>
      <c r="H300" t="s">
        <v>31</v>
      </c>
      <c r="I300" t="s">
        <v>107</v>
      </c>
      <c r="J300" t="s">
        <v>22</v>
      </c>
      <c r="K300">
        <v>4</v>
      </c>
      <c r="L300" t="s">
        <v>34</v>
      </c>
      <c r="M300" t="s">
        <v>24</v>
      </c>
      <c r="N300" t="s">
        <v>34</v>
      </c>
      <c r="O300">
        <v>11</v>
      </c>
      <c r="P300" t="s">
        <v>62</v>
      </c>
      <c r="Q300" t="s">
        <v>63</v>
      </c>
      <c r="R300" s="1">
        <v>0.1</v>
      </c>
      <c r="S300">
        <f t="shared" si="16"/>
        <v>47.7</v>
      </c>
      <c r="T300">
        <f>IFERROR(VLOOKUP(A300,Table1[[Customer ID]:[Discount Amount]], 6, FALSE),"Not Found")</f>
        <v>53</v>
      </c>
      <c r="U300" t="str">
        <f t="shared" si="17"/>
        <v>Venmo</v>
      </c>
      <c r="V300" s="4" t="str">
        <f t="shared" si="18"/>
        <v>Normal</v>
      </c>
      <c r="W300" s="4" t="str">
        <f t="shared" si="19"/>
        <v>Good</v>
      </c>
      <c r="X300" s="4">
        <f>AVERAGE(Table1[Purchase Amount])</f>
        <v>129.48419400000012</v>
      </c>
    </row>
    <row r="301" spans="1:24" ht="15" customHeight="1" x14ac:dyDescent="0.25">
      <c r="A301">
        <v>300</v>
      </c>
      <c r="B301">
        <v>25</v>
      </c>
      <c r="C301" t="s">
        <v>27</v>
      </c>
      <c r="D301" t="s">
        <v>140</v>
      </c>
      <c r="E301" t="s">
        <v>98</v>
      </c>
      <c r="F301" s="2">
        <v>80</v>
      </c>
      <c r="G301" t="s">
        <v>78</v>
      </c>
      <c r="H301" t="s">
        <v>31</v>
      </c>
      <c r="I301" t="s">
        <v>125</v>
      </c>
      <c r="J301" t="s">
        <v>57</v>
      </c>
      <c r="K301">
        <v>3.2</v>
      </c>
      <c r="L301" t="s">
        <v>34</v>
      </c>
      <c r="M301" t="s">
        <v>79</v>
      </c>
      <c r="N301" t="s">
        <v>34</v>
      </c>
      <c r="O301">
        <v>28</v>
      </c>
      <c r="P301" t="s">
        <v>58</v>
      </c>
      <c r="Q301" t="s">
        <v>89</v>
      </c>
      <c r="R301" s="1">
        <v>0.1</v>
      </c>
      <c r="S301">
        <f t="shared" si="16"/>
        <v>72</v>
      </c>
      <c r="T301">
        <f>IFERROR(VLOOKUP(A301,Table1[[Customer ID]:[Discount Amount]], 6, FALSE),"Not Found")</f>
        <v>80</v>
      </c>
      <c r="U301" t="str">
        <f t="shared" si="17"/>
        <v>PayPal</v>
      </c>
      <c r="V301" s="4" t="str">
        <f t="shared" si="18"/>
        <v>Normal</v>
      </c>
      <c r="W301" s="4" t="str">
        <f t="shared" si="19"/>
        <v>Good</v>
      </c>
      <c r="X301" s="4">
        <f>AVERAGE(Table1[Purchase Amount])</f>
        <v>129.48419400000012</v>
      </c>
    </row>
    <row r="302" spans="1:24" ht="15" customHeight="1" x14ac:dyDescent="0.25">
      <c r="A302">
        <v>301</v>
      </c>
      <c r="B302">
        <v>29</v>
      </c>
      <c r="C302" t="s">
        <v>27</v>
      </c>
      <c r="D302" t="s">
        <v>64</v>
      </c>
      <c r="E302" t="s">
        <v>29</v>
      </c>
      <c r="F302" s="2">
        <v>98</v>
      </c>
      <c r="G302" t="s">
        <v>141</v>
      </c>
      <c r="H302" t="s">
        <v>31</v>
      </c>
      <c r="I302" t="s">
        <v>147</v>
      </c>
      <c r="J302" t="s">
        <v>33</v>
      </c>
      <c r="K302">
        <v>4.4000000000000004</v>
      </c>
      <c r="L302" t="s">
        <v>34</v>
      </c>
      <c r="M302" t="s">
        <v>48</v>
      </c>
      <c r="N302" t="s">
        <v>34</v>
      </c>
      <c r="O302">
        <v>24</v>
      </c>
      <c r="P302" t="s">
        <v>58</v>
      </c>
      <c r="Q302" t="s">
        <v>26</v>
      </c>
      <c r="R302" s="1">
        <v>0.1</v>
      </c>
      <c r="S302">
        <f t="shared" si="16"/>
        <v>88.2</v>
      </c>
      <c r="T302">
        <f>IFERROR(VLOOKUP(A302,Table1[[Customer ID]:[Discount Amount]], 6, FALSE),"Not Found")</f>
        <v>98</v>
      </c>
      <c r="U302" t="str">
        <f t="shared" si="17"/>
        <v>PayPal</v>
      </c>
      <c r="V302" s="4" t="str">
        <f t="shared" si="18"/>
        <v>Normal</v>
      </c>
      <c r="W302" s="4" t="str">
        <f t="shared" si="19"/>
        <v>Good</v>
      </c>
      <c r="X302" s="4">
        <f>AVERAGE(Table1[Purchase Amount])</f>
        <v>129.48419400000012</v>
      </c>
    </row>
    <row r="303" spans="1:24" ht="15" customHeight="1" x14ac:dyDescent="0.25">
      <c r="A303">
        <v>302</v>
      </c>
      <c r="B303">
        <v>46</v>
      </c>
      <c r="C303" t="s">
        <v>27</v>
      </c>
      <c r="D303" t="s">
        <v>122</v>
      </c>
      <c r="E303" t="s">
        <v>18</v>
      </c>
      <c r="F303" s="2">
        <v>95</v>
      </c>
      <c r="G303" t="s">
        <v>78</v>
      </c>
      <c r="H303" t="s">
        <v>31</v>
      </c>
      <c r="I303" t="s">
        <v>93</v>
      </c>
      <c r="J303" t="s">
        <v>33</v>
      </c>
      <c r="K303">
        <v>3.8</v>
      </c>
      <c r="L303" t="s">
        <v>34</v>
      </c>
      <c r="M303" t="s">
        <v>24</v>
      </c>
      <c r="N303" t="s">
        <v>34</v>
      </c>
      <c r="O303">
        <v>25</v>
      </c>
      <c r="P303" t="s">
        <v>53</v>
      </c>
      <c r="Q303" t="s">
        <v>63</v>
      </c>
      <c r="R303" s="1">
        <v>0.1</v>
      </c>
      <c r="S303">
        <f t="shared" si="16"/>
        <v>85.5</v>
      </c>
      <c r="T303">
        <f>IFERROR(VLOOKUP(A303,Table1[[Customer ID]:[Discount Amount]], 6, FALSE),"Not Found")</f>
        <v>95</v>
      </c>
      <c r="U303" t="str">
        <f t="shared" si="17"/>
        <v>Credit Card</v>
      </c>
      <c r="V303" s="4" t="str">
        <f t="shared" si="18"/>
        <v>Normal</v>
      </c>
      <c r="W303" s="4" t="str">
        <f t="shared" si="19"/>
        <v>Good</v>
      </c>
      <c r="X303" s="4">
        <f>AVERAGE(Table1[Purchase Amount])</f>
        <v>129.48419400000012</v>
      </c>
    </row>
    <row r="304" spans="1:24" ht="15" customHeight="1" x14ac:dyDescent="0.25">
      <c r="A304">
        <v>303</v>
      </c>
      <c r="B304">
        <v>37</v>
      </c>
      <c r="C304" t="s">
        <v>27</v>
      </c>
      <c r="D304" t="s">
        <v>127</v>
      </c>
      <c r="E304" t="s">
        <v>18</v>
      </c>
      <c r="F304" s="2">
        <v>44</v>
      </c>
      <c r="G304" t="s">
        <v>143</v>
      </c>
      <c r="H304" t="s">
        <v>45</v>
      </c>
      <c r="I304" t="s">
        <v>21</v>
      </c>
      <c r="J304" t="s">
        <v>57</v>
      </c>
      <c r="K304">
        <v>3.6</v>
      </c>
      <c r="L304" t="s">
        <v>34</v>
      </c>
      <c r="M304" t="s">
        <v>61</v>
      </c>
      <c r="N304" t="s">
        <v>34</v>
      </c>
      <c r="O304">
        <v>27</v>
      </c>
      <c r="P304" t="s">
        <v>88</v>
      </c>
      <c r="Q304" t="s">
        <v>63</v>
      </c>
      <c r="R304" s="1">
        <v>0.1</v>
      </c>
      <c r="S304">
        <f t="shared" si="16"/>
        <v>39.6</v>
      </c>
      <c r="T304">
        <f>IFERROR(VLOOKUP(A304,Table1[[Customer ID]:[Discount Amount]], 6, FALSE),"Not Found")</f>
        <v>44</v>
      </c>
      <c r="U304" t="str">
        <f t="shared" si="17"/>
        <v>Bank Transfer</v>
      </c>
      <c r="V304" s="4" t="str">
        <f t="shared" si="18"/>
        <v>Normal</v>
      </c>
      <c r="W304" s="4" t="str">
        <f t="shared" si="19"/>
        <v>Good</v>
      </c>
      <c r="X304" s="4">
        <f>AVERAGE(Table1[Purchase Amount])</f>
        <v>129.48419400000012</v>
      </c>
    </row>
    <row r="305" spans="1:24" ht="15" customHeight="1" x14ac:dyDescent="0.25">
      <c r="A305">
        <v>304</v>
      </c>
      <c r="B305">
        <v>20</v>
      </c>
      <c r="C305" t="s">
        <v>27</v>
      </c>
      <c r="D305" t="s">
        <v>121</v>
      </c>
      <c r="E305" t="s">
        <v>98</v>
      </c>
      <c r="F305" s="2">
        <v>60</v>
      </c>
      <c r="G305" t="s">
        <v>123</v>
      </c>
      <c r="H305" t="s">
        <v>31</v>
      </c>
      <c r="I305" t="s">
        <v>156</v>
      </c>
      <c r="J305" t="s">
        <v>57</v>
      </c>
      <c r="K305">
        <v>3.3</v>
      </c>
      <c r="L305" t="s">
        <v>34</v>
      </c>
      <c r="M305" t="s">
        <v>79</v>
      </c>
      <c r="N305" t="s">
        <v>34</v>
      </c>
      <c r="O305">
        <v>49</v>
      </c>
      <c r="P305" t="s">
        <v>62</v>
      </c>
      <c r="Q305" t="s">
        <v>26</v>
      </c>
      <c r="R305" s="1">
        <v>0.1</v>
      </c>
      <c r="S305">
        <f t="shared" si="16"/>
        <v>54</v>
      </c>
      <c r="T305">
        <f>IFERROR(VLOOKUP(A305,Table1[[Customer ID]:[Discount Amount]], 6, FALSE),"Not Found")</f>
        <v>60</v>
      </c>
      <c r="U305" t="str">
        <f t="shared" si="17"/>
        <v>Venmo</v>
      </c>
      <c r="V305" s="4" t="str">
        <f t="shared" si="18"/>
        <v>Normal</v>
      </c>
      <c r="W305" s="4" t="str">
        <f t="shared" si="19"/>
        <v>Good</v>
      </c>
      <c r="X305" s="4">
        <f>AVERAGE(Table1[Purchase Amount])</f>
        <v>129.48419400000012</v>
      </c>
    </row>
    <row r="306" spans="1:24" ht="15" customHeight="1" x14ac:dyDescent="0.25">
      <c r="A306">
        <v>305</v>
      </c>
      <c r="B306">
        <v>40</v>
      </c>
      <c r="C306" t="s">
        <v>27</v>
      </c>
      <c r="D306" t="s">
        <v>157</v>
      </c>
      <c r="E306" t="s">
        <v>18</v>
      </c>
      <c r="F306" s="2">
        <v>84</v>
      </c>
      <c r="G306" t="s">
        <v>123</v>
      </c>
      <c r="H306" t="s">
        <v>31</v>
      </c>
      <c r="I306" t="s">
        <v>93</v>
      </c>
      <c r="J306" t="s">
        <v>22</v>
      </c>
      <c r="K306">
        <v>3.4</v>
      </c>
      <c r="L306" t="s">
        <v>34</v>
      </c>
      <c r="M306" t="s">
        <v>79</v>
      </c>
      <c r="N306" t="s">
        <v>34</v>
      </c>
      <c r="O306">
        <v>45</v>
      </c>
      <c r="P306" t="s">
        <v>53</v>
      </c>
      <c r="Q306" t="s">
        <v>68</v>
      </c>
      <c r="R306" s="1">
        <v>0.1</v>
      </c>
      <c r="S306">
        <f t="shared" si="16"/>
        <v>75.599999999999994</v>
      </c>
      <c r="T306">
        <f>IFERROR(VLOOKUP(A306,Table1[[Customer ID]:[Discount Amount]], 6, FALSE),"Not Found")</f>
        <v>84</v>
      </c>
      <c r="U306" t="str">
        <f t="shared" si="17"/>
        <v>Credit Card</v>
      </c>
      <c r="V306" s="4" t="str">
        <f t="shared" si="18"/>
        <v>Normal</v>
      </c>
      <c r="W306" s="4" t="str">
        <f t="shared" si="19"/>
        <v>Good</v>
      </c>
      <c r="X306" s="4">
        <f>AVERAGE(Table1[Purchase Amount])</f>
        <v>129.48419400000012</v>
      </c>
    </row>
    <row r="307" spans="1:24" ht="15" customHeight="1" x14ac:dyDescent="0.25">
      <c r="A307">
        <v>306</v>
      </c>
      <c r="B307">
        <v>60</v>
      </c>
      <c r="C307" t="s">
        <v>27</v>
      </c>
      <c r="D307" t="s">
        <v>127</v>
      </c>
      <c r="E307" t="s">
        <v>18</v>
      </c>
      <c r="F307" s="2">
        <v>59</v>
      </c>
      <c r="G307" t="s">
        <v>144</v>
      </c>
      <c r="H307" t="s">
        <v>31</v>
      </c>
      <c r="I307" t="s">
        <v>147</v>
      </c>
      <c r="J307" t="s">
        <v>47</v>
      </c>
      <c r="K307">
        <v>3.5</v>
      </c>
      <c r="L307" t="s">
        <v>34</v>
      </c>
      <c r="M307" t="s">
        <v>41</v>
      </c>
      <c r="N307" t="s">
        <v>34</v>
      </c>
      <c r="O307">
        <v>26</v>
      </c>
      <c r="P307" t="s">
        <v>58</v>
      </c>
      <c r="Q307" t="s">
        <v>49</v>
      </c>
      <c r="R307" s="1">
        <v>0.1</v>
      </c>
      <c r="S307">
        <f t="shared" si="16"/>
        <v>53.1</v>
      </c>
      <c r="T307">
        <f>IFERROR(VLOOKUP(A307,Table1[[Customer ID]:[Discount Amount]], 6, FALSE),"Not Found")</f>
        <v>59</v>
      </c>
      <c r="U307" t="str">
        <f t="shared" si="17"/>
        <v>PayPal</v>
      </c>
      <c r="V307" s="4" t="str">
        <f t="shared" si="18"/>
        <v>Normal</v>
      </c>
      <c r="W307" s="4" t="str">
        <f t="shared" si="19"/>
        <v>Good</v>
      </c>
      <c r="X307" s="4">
        <f>AVERAGE(Table1[Purchase Amount])</f>
        <v>129.48419400000012</v>
      </c>
    </row>
    <row r="308" spans="1:24" ht="15" customHeight="1" x14ac:dyDescent="0.25">
      <c r="A308">
        <v>307</v>
      </c>
      <c r="B308">
        <v>26</v>
      </c>
      <c r="C308" t="s">
        <v>27</v>
      </c>
      <c r="D308" t="s">
        <v>96</v>
      </c>
      <c r="E308" t="s">
        <v>77</v>
      </c>
      <c r="F308" s="2">
        <v>49</v>
      </c>
      <c r="G308" t="s">
        <v>86</v>
      </c>
      <c r="H308" t="s">
        <v>55</v>
      </c>
      <c r="I308" t="s">
        <v>32</v>
      </c>
      <c r="J308" t="s">
        <v>57</v>
      </c>
      <c r="K308">
        <v>3.6</v>
      </c>
      <c r="L308" t="s">
        <v>34</v>
      </c>
      <c r="M308" t="s">
        <v>61</v>
      </c>
      <c r="N308" t="s">
        <v>34</v>
      </c>
      <c r="O308">
        <v>4</v>
      </c>
      <c r="P308" t="s">
        <v>25</v>
      </c>
      <c r="Q308" t="s">
        <v>49</v>
      </c>
      <c r="R308" s="1">
        <v>0.1</v>
      </c>
      <c r="S308">
        <f t="shared" si="16"/>
        <v>44.1</v>
      </c>
      <c r="T308">
        <f>IFERROR(VLOOKUP(A308,Table1[[Customer ID]:[Discount Amount]], 6, FALSE),"Not Found")</f>
        <v>49</v>
      </c>
      <c r="U308" t="str">
        <f t="shared" si="17"/>
        <v>Cash</v>
      </c>
      <c r="V308" s="4" t="str">
        <f t="shared" si="18"/>
        <v>Normal</v>
      </c>
      <c r="W308" s="4" t="str">
        <f t="shared" si="19"/>
        <v>Good</v>
      </c>
      <c r="X308" s="4">
        <f>AVERAGE(Table1[Purchase Amount])</f>
        <v>129.48419400000012</v>
      </c>
    </row>
    <row r="309" spans="1:24" ht="15" customHeight="1" x14ac:dyDescent="0.25">
      <c r="A309">
        <v>308</v>
      </c>
      <c r="B309">
        <v>29</v>
      </c>
      <c r="C309" t="s">
        <v>27</v>
      </c>
      <c r="D309" t="s">
        <v>43</v>
      </c>
      <c r="E309" t="s">
        <v>29</v>
      </c>
      <c r="F309" s="2">
        <v>32</v>
      </c>
      <c r="G309" t="s">
        <v>67</v>
      </c>
      <c r="H309" t="s">
        <v>31</v>
      </c>
      <c r="I309" t="s">
        <v>108</v>
      </c>
      <c r="J309" t="s">
        <v>22</v>
      </c>
      <c r="K309">
        <v>3.2</v>
      </c>
      <c r="L309" t="s">
        <v>34</v>
      </c>
      <c r="M309" t="s">
        <v>35</v>
      </c>
      <c r="N309" t="s">
        <v>34</v>
      </c>
      <c r="O309">
        <v>3</v>
      </c>
      <c r="P309" t="s">
        <v>53</v>
      </c>
      <c r="Q309" t="s">
        <v>63</v>
      </c>
      <c r="R309" s="1">
        <v>0.1</v>
      </c>
      <c r="S309">
        <f t="shared" si="16"/>
        <v>28.8</v>
      </c>
      <c r="T309">
        <f>IFERROR(VLOOKUP(A309,Table1[[Customer ID]:[Discount Amount]], 6, FALSE),"Not Found")</f>
        <v>32</v>
      </c>
      <c r="U309" t="str">
        <f t="shared" si="17"/>
        <v>Credit Card</v>
      </c>
      <c r="V309" s="4" t="str">
        <f t="shared" si="18"/>
        <v>Normal</v>
      </c>
      <c r="W309" s="4" t="str">
        <f t="shared" si="19"/>
        <v>Good</v>
      </c>
      <c r="X309" s="4">
        <f>AVERAGE(Table1[Purchase Amount])</f>
        <v>129.48419400000012</v>
      </c>
    </row>
    <row r="310" spans="1:24" ht="15" customHeight="1" x14ac:dyDescent="0.25">
      <c r="A310">
        <v>309</v>
      </c>
      <c r="B310">
        <v>66</v>
      </c>
      <c r="C310" t="s">
        <v>27</v>
      </c>
      <c r="D310" t="s">
        <v>69</v>
      </c>
      <c r="E310" t="s">
        <v>29</v>
      </c>
      <c r="F310" s="2">
        <v>29</v>
      </c>
      <c r="G310" t="s">
        <v>106</v>
      </c>
      <c r="H310" t="s">
        <v>31</v>
      </c>
      <c r="I310" t="s">
        <v>56</v>
      </c>
      <c r="J310" t="s">
        <v>47</v>
      </c>
      <c r="K310">
        <v>3.7</v>
      </c>
      <c r="L310" t="s">
        <v>34</v>
      </c>
      <c r="M310" t="s">
        <v>24</v>
      </c>
      <c r="N310" t="s">
        <v>34</v>
      </c>
      <c r="O310">
        <v>45</v>
      </c>
      <c r="P310" t="s">
        <v>62</v>
      </c>
      <c r="Q310" t="s">
        <v>68</v>
      </c>
      <c r="R310" s="1">
        <v>0.1</v>
      </c>
      <c r="S310">
        <f t="shared" si="16"/>
        <v>26.1</v>
      </c>
      <c r="T310">
        <f>IFERROR(VLOOKUP(A310,Table1[[Customer ID]:[Discount Amount]], 6, FALSE),"Not Found")</f>
        <v>29</v>
      </c>
      <c r="U310" t="str">
        <f t="shared" si="17"/>
        <v>Venmo</v>
      </c>
      <c r="V310" s="4" t="str">
        <f t="shared" si="18"/>
        <v>Normal</v>
      </c>
      <c r="W310" s="4" t="str">
        <f t="shared" si="19"/>
        <v>Good</v>
      </c>
      <c r="X310" s="4">
        <f>AVERAGE(Table1[Purchase Amount])</f>
        <v>129.48419400000012</v>
      </c>
    </row>
    <row r="311" spans="1:24" ht="15" customHeight="1" x14ac:dyDescent="0.25">
      <c r="A311">
        <v>310</v>
      </c>
      <c r="B311">
        <v>66</v>
      </c>
      <c r="C311" t="s">
        <v>27</v>
      </c>
      <c r="D311" t="s">
        <v>157</v>
      </c>
      <c r="E311" t="s">
        <v>18</v>
      </c>
      <c r="F311" s="2">
        <v>22</v>
      </c>
      <c r="G311" t="s">
        <v>120</v>
      </c>
      <c r="H311" t="s">
        <v>31</v>
      </c>
      <c r="I311" t="s">
        <v>52</v>
      </c>
      <c r="J311" t="s">
        <v>33</v>
      </c>
      <c r="K311">
        <v>4.5</v>
      </c>
      <c r="L311" t="s">
        <v>34</v>
      </c>
      <c r="M311" t="s">
        <v>24</v>
      </c>
      <c r="N311" t="s">
        <v>34</v>
      </c>
      <c r="O311">
        <v>21</v>
      </c>
      <c r="P311" t="s">
        <v>25</v>
      </c>
      <c r="Q311" t="s">
        <v>89</v>
      </c>
      <c r="R311" s="1">
        <v>0.1</v>
      </c>
      <c r="S311">
        <f t="shared" si="16"/>
        <v>19.8</v>
      </c>
      <c r="T311">
        <f>IFERROR(VLOOKUP(A311,Table1[[Customer ID]:[Discount Amount]], 6, FALSE),"Not Found")</f>
        <v>22</v>
      </c>
      <c r="U311" t="str">
        <f t="shared" si="17"/>
        <v>Cash</v>
      </c>
      <c r="V311" s="4" t="str">
        <f t="shared" si="18"/>
        <v>Normal</v>
      </c>
      <c r="W311" s="4" t="str">
        <f t="shared" si="19"/>
        <v>Good</v>
      </c>
      <c r="X311" s="4">
        <f>AVERAGE(Table1[Purchase Amount])</f>
        <v>129.48419400000012</v>
      </c>
    </row>
    <row r="312" spans="1:24" ht="15" customHeight="1" x14ac:dyDescent="0.25">
      <c r="A312">
        <v>311</v>
      </c>
      <c r="B312">
        <v>56</v>
      </c>
      <c r="C312" t="s">
        <v>27</v>
      </c>
      <c r="D312" t="s">
        <v>99</v>
      </c>
      <c r="E312" t="s">
        <v>18</v>
      </c>
      <c r="F312" s="2">
        <v>85</v>
      </c>
      <c r="G312" t="s">
        <v>39</v>
      </c>
      <c r="H312" t="s">
        <v>31</v>
      </c>
      <c r="I312" t="s">
        <v>103</v>
      </c>
      <c r="J312" t="s">
        <v>22</v>
      </c>
      <c r="K312">
        <v>4.5999999999999996</v>
      </c>
      <c r="L312" t="s">
        <v>34</v>
      </c>
      <c r="M312" t="s">
        <v>24</v>
      </c>
      <c r="N312" t="s">
        <v>34</v>
      </c>
      <c r="O312">
        <v>50</v>
      </c>
      <c r="P312" t="s">
        <v>25</v>
      </c>
      <c r="Q312" t="s">
        <v>89</v>
      </c>
      <c r="R312" s="1">
        <v>0.1</v>
      </c>
      <c r="S312">
        <f t="shared" si="16"/>
        <v>76.5</v>
      </c>
      <c r="T312">
        <f>IFERROR(VLOOKUP(A312,Table1[[Customer ID]:[Discount Amount]], 6, FALSE),"Not Found")</f>
        <v>85</v>
      </c>
      <c r="U312" t="str">
        <f t="shared" si="17"/>
        <v>Cash</v>
      </c>
      <c r="V312" s="4" t="str">
        <f t="shared" si="18"/>
        <v>Normal</v>
      </c>
      <c r="W312" s="4" t="str">
        <f t="shared" si="19"/>
        <v>Good</v>
      </c>
      <c r="X312" s="4">
        <f>AVERAGE(Table1[Purchase Amount])</f>
        <v>129.48419400000012</v>
      </c>
    </row>
    <row r="313" spans="1:24" ht="15" customHeight="1" x14ac:dyDescent="0.25">
      <c r="A313">
        <v>312</v>
      </c>
      <c r="B313">
        <v>69</v>
      </c>
      <c r="C313" t="s">
        <v>27</v>
      </c>
      <c r="D313" t="s">
        <v>109</v>
      </c>
      <c r="E313" t="s">
        <v>18</v>
      </c>
      <c r="F313" s="2">
        <v>52</v>
      </c>
      <c r="G313" t="s">
        <v>159</v>
      </c>
      <c r="H313" t="s">
        <v>45</v>
      </c>
      <c r="I313" t="s">
        <v>153</v>
      </c>
      <c r="J313" t="s">
        <v>22</v>
      </c>
      <c r="K313">
        <v>4.0999999999999996</v>
      </c>
      <c r="L313" t="s">
        <v>34</v>
      </c>
      <c r="M313" t="s">
        <v>48</v>
      </c>
      <c r="N313" t="s">
        <v>34</v>
      </c>
      <c r="O313">
        <v>19</v>
      </c>
      <c r="P313" t="s">
        <v>88</v>
      </c>
      <c r="Q313" t="s">
        <v>42</v>
      </c>
      <c r="R313" s="1">
        <v>0.1</v>
      </c>
      <c r="S313">
        <f t="shared" si="16"/>
        <v>46.8</v>
      </c>
      <c r="T313">
        <f>IFERROR(VLOOKUP(A313,Table1[[Customer ID]:[Discount Amount]], 6, FALSE),"Not Found")</f>
        <v>52</v>
      </c>
      <c r="U313" t="str">
        <f t="shared" si="17"/>
        <v>Bank Transfer</v>
      </c>
      <c r="V313" s="4" t="str">
        <f t="shared" si="18"/>
        <v>Normal</v>
      </c>
      <c r="W313" s="4" t="str">
        <f t="shared" si="19"/>
        <v>Good</v>
      </c>
      <c r="X313" s="4">
        <f>AVERAGE(Table1[Purchase Amount])</f>
        <v>129.48419400000012</v>
      </c>
    </row>
    <row r="314" spans="1:24" ht="15" customHeight="1" x14ac:dyDescent="0.25">
      <c r="A314">
        <v>313</v>
      </c>
      <c r="B314">
        <v>38</v>
      </c>
      <c r="C314" t="s">
        <v>27</v>
      </c>
      <c r="D314" t="s">
        <v>99</v>
      </c>
      <c r="E314" t="s">
        <v>18</v>
      </c>
      <c r="F314" s="2">
        <v>89</v>
      </c>
      <c r="G314" t="s">
        <v>97</v>
      </c>
      <c r="H314" t="s">
        <v>45</v>
      </c>
      <c r="I314" t="s">
        <v>93</v>
      </c>
      <c r="J314" t="s">
        <v>33</v>
      </c>
      <c r="K314">
        <v>3.4</v>
      </c>
      <c r="L314" t="s">
        <v>34</v>
      </c>
      <c r="M314" t="s">
        <v>79</v>
      </c>
      <c r="N314" t="s">
        <v>34</v>
      </c>
      <c r="O314">
        <v>6</v>
      </c>
      <c r="P314" t="s">
        <v>58</v>
      </c>
      <c r="Q314" t="s">
        <v>49</v>
      </c>
      <c r="R314" s="1">
        <v>0.1</v>
      </c>
      <c r="S314">
        <f t="shared" si="16"/>
        <v>80.099999999999994</v>
      </c>
      <c r="T314">
        <f>IFERROR(VLOOKUP(A314,Table1[[Customer ID]:[Discount Amount]], 6, FALSE),"Not Found")</f>
        <v>89</v>
      </c>
      <c r="U314" t="str">
        <f t="shared" si="17"/>
        <v>PayPal</v>
      </c>
      <c r="V314" s="4" t="str">
        <f t="shared" si="18"/>
        <v>Normal</v>
      </c>
      <c r="W314" s="4" t="str">
        <f t="shared" si="19"/>
        <v>Good</v>
      </c>
      <c r="X314" s="4">
        <f>AVERAGE(Table1[Purchase Amount])</f>
        <v>129.48419400000012</v>
      </c>
    </row>
    <row r="315" spans="1:24" ht="15" customHeight="1" x14ac:dyDescent="0.25">
      <c r="A315">
        <v>314</v>
      </c>
      <c r="B315">
        <v>42</v>
      </c>
      <c r="C315" t="s">
        <v>27</v>
      </c>
      <c r="D315" t="s">
        <v>157</v>
      </c>
      <c r="E315" t="s">
        <v>18</v>
      </c>
      <c r="F315" s="2">
        <v>77</v>
      </c>
      <c r="G315" t="s">
        <v>84</v>
      </c>
      <c r="H315" t="s">
        <v>31</v>
      </c>
      <c r="I315" t="s">
        <v>136</v>
      </c>
      <c r="J315" t="s">
        <v>33</v>
      </c>
      <c r="K315">
        <v>3.7</v>
      </c>
      <c r="L315" t="s">
        <v>34</v>
      </c>
      <c r="M315" t="s">
        <v>61</v>
      </c>
      <c r="N315" t="s">
        <v>34</v>
      </c>
      <c r="O315">
        <v>50</v>
      </c>
      <c r="P315" t="s">
        <v>53</v>
      </c>
      <c r="Q315" t="s">
        <v>63</v>
      </c>
      <c r="R315" s="1">
        <v>0.1</v>
      </c>
      <c r="S315">
        <f t="shared" si="16"/>
        <v>69.3</v>
      </c>
      <c r="T315">
        <f>IFERROR(VLOOKUP(A315,Table1[[Customer ID]:[Discount Amount]], 6, FALSE),"Not Found")</f>
        <v>77</v>
      </c>
      <c r="U315" t="str">
        <f t="shared" si="17"/>
        <v>Credit Card</v>
      </c>
      <c r="V315" s="4" t="str">
        <f t="shared" si="18"/>
        <v>Normal</v>
      </c>
      <c r="W315" s="4" t="str">
        <f t="shared" si="19"/>
        <v>Good</v>
      </c>
      <c r="X315" s="4">
        <f>AVERAGE(Table1[Purchase Amount])</f>
        <v>129.48419400000012</v>
      </c>
    </row>
    <row r="316" spans="1:24" ht="15" customHeight="1" x14ac:dyDescent="0.25">
      <c r="A316">
        <v>315</v>
      </c>
      <c r="B316">
        <v>30</v>
      </c>
      <c r="C316" t="s">
        <v>27</v>
      </c>
      <c r="D316" t="s">
        <v>99</v>
      </c>
      <c r="E316" t="s">
        <v>18</v>
      </c>
      <c r="F316" s="2">
        <v>24</v>
      </c>
      <c r="G316" t="s">
        <v>131</v>
      </c>
      <c r="H316" t="s">
        <v>31</v>
      </c>
      <c r="I316" t="s">
        <v>66</v>
      </c>
      <c r="J316" t="s">
        <v>57</v>
      </c>
      <c r="K316">
        <v>3.3</v>
      </c>
      <c r="L316" t="s">
        <v>34</v>
      </c>
      <c r="M316" t="s">
        <v>48</v>
      </c>
      <c r="N316" t="s">
        <v>34</v>
      </c>
      <c r="O316">
        <v>17</v>
      </c>
      <c r="P316" t="s">
        <v>36</v>
      </c>
      <c r="Q316" t="s">
        <v>63</v>
      </c>
      <c r="R316" s="1">
        <v>0.1</v>
      </c>
      <c r="S316">
        <f t="shared" si="16"/>
        <v>21.6</v>
      </c>
      <c r="T316">
        <f>IFERROR(VLOOKUP(A316,Table1[[Customer ID]:[Discount Amount]], 6, FALSE),"Not Found")</f>
        <v>24</v>
      </c>
      <c r="U316" t="str">
        <f t="shared" si="17"/>
        <v>Debit Card</v>
      </c>
      <c r="V316" s="4" t="str">
        <f t="shared" si="18"/>
        <v>Normal</v>
      </c>
      <c r="W316" s="4" t="str">
        <f t="shared" si="19"/>
        <v>Good</v>
      </c>
      <c r="X316" s="4">
        <f>AVERAGE(Table1[Purchase Amount])</f>
        <v>129.48419400000012</v>
      </c>
    </row>
    <row r="317" spans="1:24" ht="15" customHeight="1" x14ac:dyDescent="0.25">
      <c r="A317">
        <v>316</v>
      </c>
      <c r="B317">
        <v>66</v>
      </c>
      <c r="C317" t="s">
        <v>27</v>
      </c>
      <c r="D317" t="s">
        <v>50</v>
      </c>
      <c r="E317" t="s">
        <v>29</v>
      </c>
      <c r="F317" s="2">
        <v>24</v>
      </c>
      <c r="G317" t="s">
        <v>59</v>
      </c>
      <c r="H317" t="s">
        <v>20</v>
      </c>
      <c r="I317" t="s">
        <v>108</v>
      </c>
      <c r="J317" t="s">
        <v>33</v>
      </c>
      <c r="K317">
        <v>4.5</v>
      </c>
      <c r="L317" t="s">
        <v>34</v>
      </c>
      <c r="M317" t="s">
        <v>61</v>
      </c>
      <c r="N317" t="s">
        <v>34</v>
      </c>
      <c r="O317">
        <v>24</v>
      </c>
      <c r="P317" t="s">
        <v>36</v>
      </c>
      <c r="Q317" t="s">
        <v>49</v>
      </c>
      <c r="R317" s="1">
        <v>0.1</v>
      </c>
      <c r="S317">
        <f t="shared" si="16"/>
        <v>21.6</v>
      </c>
      <c r="T317">
        <f>IFERROR(VLOOKUP(A317,Table1[[Customer ID]:[Discount Amount]], 6, FALSE),"Not Found")</f>
        <v>24</v>
      </c>
      <c r="U317" t="str">
        <f t="shared" si="17"/>
        <v>Debit Card</v>
      </c>
      <c r="V317" s="4" t="str">
        <f t="shared" si="18"/>
        <v>Normal</v>
      </c>
      <c r="W317" s="4" t="str">
        <f t="shared" si="19"/>
        <v>Good</v>
      </c>
      <c r="X317" s="4">
        <f>AVERAGE(Table1[Purchase Amount])</f>
        <v>129.48419400000012</v>
      </c>
    </row>
    <row r="318" spans="1:24" ht="15" customHeight="1" x14ac:dyDescent="0.25">
      <c r="A318">
        <v>317</v>
      </c>
      <c r="B318">
        <v>36</v>
      </c>
      <c r="C318" t="s">
        <v>27</v>
      </c>
      <c r="D318" t="s">
        <v>69</v>
      </c>
      <c r="E318" t="s">
        <v>29</v>
      </c>
      <c r="F318" s="2">
        <v>22</v>
      </c>
      <c r="G318" t="s">
        <v>19</v>
      </c>
      <c r="H318" t="s">
        <v>31</v>
      </c>
      <c r="I318" t="s">
        <v>103</v>
      </c>
      <c r="J318" t="s">
        <v>47</v>
      </c>
      <c r="K318">
        <v>3.3</v>
      </c>
      <c r="L318" t="s">
        <v>34</v>
      </c>
      <c r="M318" t="s">
        <v>35</v>
      </c>
      <c r="N318" t="s">
        <v>34</v>
      </c>
      <c r="O318">
        <v>46</v>
      </c>
      <c r="P318" t="s">
        <v>62</v>
      </c>
      <c r="Q318" t="s">
        <v>42</v>
      </c>
      <c r="R318" s="1">
        <v>0.1</v>
      </c>
      <c r="S318">
        <f t="shared" si="16"/>
        <v>19.8</v>
      </c>
      <c r="T318">
        <f>IFERROR(VLOOKUP(A318,Table1[[Customer ID]:[Discount Amount]], 6, FALSE),"Not Found")</f>
        <v>22</v>
      </c>
      <c r="U318" t="str">
        <f t="shared" si="17"/>
        <v>Venmo</v>
      </c>
      <c r="V318" s="4" t="str">
        <f t="shared" si="18"/>
        <v>Normal</v>
      </c>
      <c r="W318" s="4" t="str">
        <f t="shared" si="19"/>
        <v>Good</v>
      </c>
      <c r="X318" s="4">
        <f>AVERAGE(Table1[Purchase Amount])</f>
        <v>129.48419400000012</v>
      </c>
    </row>
    <row r="319" spans="1:24" ht="15" customHeight="1" x14ac:dyDescent="0.25">
      <c r="A319">
        <v>318</v>
      </c>
      <c r="B319">
        <v>58</v>
      </c>
      <c r="C319" t="s">
        <v>27</v>
      </c>
      <c r="D319" t="s">
        <v>127</v>
      </c>
      <c r="E319" t="s">
        <v>18</v>
      </c>
      <c r="F319" s="2">
        <v>82</v>
      </c>
      <c r="G319" t="s">
        <v>154</v>
      </c>
      <c r="H319" t="s">
        <v>45</v>
      </c>
      <c r="I319" t="s">
        <v>147</v>
      </c>
      <c r="J319" t="s">
        <v>47</v>
      </c>
      <c r="K319">
        <v>4.3</v>
      </c>
      <c r="L319" t="s">
        <v>34</v>
      </c>
      <c r="M319" t="s">
        <v>24</v>
      </c>
      <c r="N319" t="s">
        <v>34</v>
      </c>
      <c r="O319">
        <v>42</v>
      </c>
      <c r="P319" t="s">
        <v>25</v>
      </c>
      <c r="Q319" t="s">
        <v>63</v>
      </c>
      <c r="R319" s="1">
        <v>0.1</v>
      </c>
      <c r="S319">
        <f t="shared" si="16"/>
        <v>73.8</v>
      </c>
      <c r="T319">
        <f>IFERROR(VLOOKUP(A319,Table1[[Customer ID]:[Discount Amount]], 6, FALSE),"Not Found")</f>
        <v>82</v>
      </c>
      <c r="U319" t="str">
        <f t="shared" si="17"/>
        <v>Cash</v>
      </c>
      <c r="V319" s="4" t="str">
        <f t="shared" si="18"/>
        <v>Normal</v>
      </c>
      <c r="W319" s="4" t="str">
        <f t="shared" si="19"/>
        <v>Good</v>
      </c>
      <c r="X319" s="4">
        <f>AVERAGE(Table1[Purchase Amount])</f>
        <v>129.48419400000012</v>
      </c>
    </row>
    <row r="320" spans="1:24" ht="15" customHeight="1" x14ac:dyDescent="0.25">
      <c r="A320">
        <v>319</v>
      </c>
      <c r="B320">
        <v>45</v>
      </c>
      <c r="C320" t="s">
        <v>27</v>
      </c>
      <c r="D320" t="s">
        <v>104</v>
      </c>
      <c r="E320" t="s">
        <v>29</v>
      </c>
      <c r="F320" s="2">
        <v>67</v>
      </c>
      <c r="G320" t="s">
        <v>130</v>
      </c>
      <c r="H320" t="s">
        <v>31</v>
      </c>
      <c r="I320" t="s">
        <v>56</v>
      </c>
      <c r="J320" t="s">
        <v>22</v>
      </c>
      <c r="K320">
        <v>2.5</v>
      </c>
      <c r="L320" t="s">
        <v>34</v>
      </c>
      <c r="M320" t="s">
        <v>24</v>
      </c>
      <c r="N320" t="s">
        <v>34</v>
      </c>
      <c r="O320">
        <v>10</v>
      </c>
      <c r="P320" t="s">
        <v>25</v>
      </c>
      <c r="Q320" t="s">
        <v>49</v>
      </c>
      <c r="R320" s="1">
        <v>0.1</v>
      </c>
      <c r="S320">
        <f t="shared" si="16"/>
        <v>60.3</v>
      </c>
      <c r="T320">
        <f>IFERROR(VLOOKUP(A320,Table1[[Customer ID]:[Discount Amount]], 6, FALSE),"Not Found")</f>
        <v>67</v>
      </c>
      <c r="U320" t="str">
        <f t="shared" si="17"/>
        <v>Cash</v>
      </c>
      <c r="V320" s="4" t="str">
        <f t="shared" si="18"/>
        <v>Normal</v>
      </c>
      <c r="W320" s="4" t="str">
        <f t="shared" si="19"/>
        <v>Poor</v>
      </c>
      <c r="X320" s="4">
        <f>AVERAGE(Table1[Purchase Amount])</f>
        <v>129.48419400000012</v>
      </c>
    </row>
    <row r="321" spans="1:24" ht="15" customHeight="1" x14ac:dyDescent="0.25">
      <c r="A321">
        <v>320</v>
      </c>
      <c r="B321">
        <v>47</v>
      </c>
      <c r="C321" t="s">
        <v>27</v>
      </c>
      <c r="D321" t="s">
        <v>54</v>
      </c>
      <c r="E321" t="s">
        <v>18</v>
      </c>
      <c r="F321" s="2">
        <v>74</v>
      </c>
      <c r="G321" t="s">
        <v>94</v>
      </c>
      <c r="H321" t="s">
        <v>20</v>
      </c>
      <c r="I321" t="s">
        <v>32</v>
      </c>
      <c r="J321" t="s">
        <v>33</v>
      </c>
      <c r="K321">
        <v>2.6</v>
      </c>
      <c r="L321" t="s">
        <v>34</v>
      </c>
      <c r="M321" t="s">
        <v>24</v>
      </c>
      <c r="N321" t="s">
        <v>34</v>
      </c>
      <c r="O321">
        <v>1</v>
      </c>
      <c r="P321" t="s">
        <v>25</v>
      </c>
      <c r="Q321" t="s">
        <v>63</v>
      </c>
      <c r="R321" s="1">
        <v>0.1</v>
      </c>
      <c r="S321">
        <f t="shared" si="16"/>
        <v>66.599999999999994</v>
      </c>
      <c r="T321">
        <f>IFERROR(VLOOKUP(A321,Table1[[Customer ID]:[Discount Amount]], 6, FALSE),"Not Found")</f>
        <v>74</v>
      </c>
      <c r="U321" t="str">
        <f t="shared" si="17"/>
        <v>Cash</v>
      </c>
      <c r="V321" s="4" t="str">
        <f t="shared" si="18"/>
        <v>Normal</v>
      </c>
      <c r="W321" s="4" t="str">
        <f t="shared" si="19"/>
        <v>Poor</v>
      </c>
      <c r="X321" s="4">
        <f>AVERAGE(Table1[Purchase Amount])</f>
        <v>129.48419400000012</v>
      </c>
    </row>
    <row r="322" spans="1:24" ht="15" customHeight="1" x14ac:dyDescent="0.25">
      <c r="A322">
        <v>321</v>
      </c>
      <c r="B322">
        <v>66</v>
      </c>
      <c r="C322" t="s">
        <v>27</v>
      </c>
      <c r="D322" t="s">
        <v>50</v>
      </c>
      <c r="E322" t="s">
        <v>29</v>
      </c>
      <c r="F322" s="2">
        <v>72</v>
      </c>
      <c r="G322" t="s">
        <v>124</v>
      </c>
      <c r="H322" t="s">
        <v>45</v>
      </c>
      <c r="I322" t="s">
        <v>32</v>
      </c>
      <c r="J322" t="s">
        <v>57</v>
      </c>
      <c r="K322">
        <v>4.9000000000000004</v>
      </c>
      <c r="L322" t="s">
        <v>34</v>
      </c>
      <c r="M322" t="s">
        <v>24</v>
      </c>
      <c r="N322" t="s">
        <v>34</v>
      </c>
      <c r="O322">
        <v>28</v>
      </c>
      <c r="P322" t="s">
        <v>36</v>
      </c>
      <c r="Q322" t="s">
        <v>37</v>
      </c>
      <c r="R322" s="1">
        <v>0.1</v>
      </c>
      <c r="S322">
        <f t="shared" ref="S322:S385" si="20">F322-(F322*R322)</f>
        <v>64.8</v>
      </c>
      <c r="T322">
        <f>IFERROR(VLOOKUP(A322,Table1[[Customer ID]:[Discount Amount]], 6, FALSE),"Not Found")</f>
        <v>72</v>
      </c>
      <c r="U322" t="str">
        <f t="shared" ref="U322:U385" si="21">INDEX(P:P, MATCH(A322, A:A, 0))</f>
        <v>Debit Card</v>
      </c>
      <c r="V322" s="4" t="str">
        <f t="shared" ref="V322:V385" si="22">IF(AND(F322&gt;1000,K322&gt;=4),"Best Customer","Normal")</f>
        <v>Normal</v>
      </c>
      <c r="W322" s="4" t="str">
        <f t="shared" ref="W322:W385" si="23">IF(K322&gt;=3,"Good","Poor")</f>
        <v>Good</v>
      </c>
      <c r="X322" s="4">
        <f>AVERAGE(Table1[Purchase Amount])</f>
        <v>129.48419400000012</v>
      </c>
    </row>
    <row r="323" spans="1:24" ht="15" customHeight="1" x14ac:dyDescent="0.25">
      <c r="A323">
        <v>322</v>
      </c>
      <c r="B323">
        <v>41</v>
      </c>
      <c r="C323" t="s">
        <v>27</v>
      </c>
      <c r="D323" t="s">
        <v>140</v>
      </c>
      <c r="E323" t="s">
        <v>98</v>
      </c>
      <c r="F323" s="2">
        <v>36</v>
      </c>
      <c r="G323" t="s">
        <v>84</v>
      </c>
      <c r="H323" t="s">
        <v>45</v>
      </c>
      <c r="I323" t="s">
        <v>108</v>
      </c>
      <c r="J323" t="s">
        <v>57</v>
      </c>
      <c r="K323">
        <v>4.7</v>
      </c>
      <c r="L323" t="s">
        <v>34</v>
      </c>
      <c r="M323" t="s">
        <v>35</v>
      </c>
      <c r="N323" t="s">
        <v>34</v>
      </c>
      <c r="O323">
        <v>48</v>
      </c>
      <c r="P323" t="s">
        <v>36</v>
      </c>
      <c r="Q323" t="s">
        <v>37</v>
      </c>
      <c r="R323" s="1">
        <v>0.1</v>
      </c>
      <c r="S323">
        <f t="shared" si="20"/>
        <v>32.4</v>
      </c>
      <c r="T323">
        <f>IFERROR(VLOOKUP(A323,Table1[[Customer ID]:[Discount Amount]], 6, FALSE),"Not Found")</f>
        <v>36</v>
      </c>
      <c r="U323" t="str">
        <f t="shared" si="21"/>
        <v>Debit Card</v>
      </c>
      <c r="V323" s="4" t="str">
        <f t="shared" si="22"/>
        <v>Normal</v>
      </c>
      <c r="W323" s="4" t="str">
        <f t="shared" si="23"/>
        <v>Good</v>
      </c>
      <c r="X323" s="4">
        <f>AVERAGE(Table1[Purchase Amount])</f>
        <v>129.48419400000012</v>
      </c>
    </row>
    <row r="324" spans="1:24" ht="15" customHeight="1" x14ac:dyDescent="0.25">
      <c r="A324">
        <v>323</v>
      </c>
      <c r="B324">
        <v>41</v>
      </c>
      <c r="C324" t="s">
        <v>27</v>
      </c>
      <c r="D324" t="s">
        <v>114</v>
      </c>
      <c r="E324" t="s">
        <v>29</v>
      </c>
      <c r="F324" s="2">
        <v>95</v>
      </c>
      <c r="G324" t="s">
        <v>65</v>
      </c>
      <c r="H324" t="s">
        <v>55</v>
      </c>
      <c r="I324" t="s">
        <v>128</v>
      </c>
      <c r="J324" t="s">
        <v>22</v>
      </c>
      <c r="K324">
        <v>3</v>
      </c>
      <c r="L324" t="s">
        <v>34</v>
      </c>
      <c r="M324" t="s">
        <v>24</v>
      </c>
      <c r="N324" t="s">
        <v>34</v>
      </c>
      <c r="O324">
        <v>47</v>
      </c>
      <c r="P324" t="s">
        <v>53</v>
      </c>
      <c r="Q324" t="s">
        <v>42</v>
      </c>
      <c r="R324" s="1">
        <v>0.1</v>
      </c>
      <c r="S324">
        <f t="shared" si="20"/>
        <v>85.5</v>
      </c>
      <c r="T324">
        <f>IFERROR(VLOOKUP(A324,Table1[[Customer ID]:[Discount Amount]], 6, FALSE),"Not Found")</f>
        <v>95</v>
      </c>
      <c r="U324" t="str">
        <f t="shared" si="21"/>
        <v>Credit Card</v>
      </c>
      <c r="V324" s="4" t="str">
        <f t="shared" si="22"/>
        <v>Normal</v>
      </c>
      <c r="W324" s="4" t="str">
        <f t="shared" si="23"/>
        <v>Good</v>
      </c>
      <c r="X324" s="4">
        <f>AVERAGE(Table1[Purchase Amount])</f>
        <v>129.48419400000012</v>
      </c>
    </row>
    <row r="325" spans="1:24" ht="15" customHeight="1" x14ac:dyDescent="0.25">
      <c r="A325">
        <v>324</v>
      </c>
      <c r="B325">
        <v>66</v>
      </c>
      <c r="C325" t="s">
        <v>27</v>
      </c>
      <c r="D325" t="s">
        <v>83</v>
      </c>
      <c r="E325" t="s">
        <v>18</v>
      </c>
      <c r="F325" s="2">
        <v>78</v>
      </c>
      <c r="G325" t="s">
        <v>65</v>
      </c>
      <c r="H325" t="s">
        <v>31</v>
      </c>
      <c r="I325" t="s">
        <v>108</v>
      </c>
      <c r="J325" t="s">
        <v>22</v>
      </c>
      <c r="K325">
        <v>3.5</v>
      </c>
      <c r="L325" t="s">
        <v>34</v>
      </c>
      <c r="M325" t="s">
        <v>79</v>
      </c>
      <c r="N325" t="s">
        <v>34</v>
      </c>
      <c r="O325">
        <v>29</v>
      </c>
      <c r="P325" t="s">
        <v>58</v>
      </c>
      <c r="Q325" t="s">
        <v>68</v>
      </c>
      <c r="R325" s="1">
        <v>0.1</v>
      </c>
      <c r="S325">
        <f t="shared" si="20"/>
        <v>70.2</v>
      </c>
      <c r="T325">
        <f>IFERROR(VLOOKUP(A325,Table1[[Customer ID]:[Discount Amount]], 6, FALSE),"Not Found")</f>
        <v>78</v>
      </c>
      <c r="U325" t="str">
        <f t="shared" si="21"/>
        <v>PayPal</v>
      </c>
      <c r="V325" s="4" t="str">
        <f t="shared" si="22"/>
        <v>Normal</v>
      </c>
      <c r="W325" s="4" t="str">
        <f t="shared" si="23"/>
        <v>Good</v>
      </c>
      <c r="X325" s="4">
        <f>AVERAGE(Table1[Purchase Amount])</f>
        <v>129.48419400000012</v>
      </c>
    </row>
    <row r="326" spans="1:24" ht="15" customHeight="1" x14ac:dyDescent="0.25">
      <c r="A326">
        <v>325</v>
      </c>
      <c r="B326">
        <v>37</v>
      </c>
      <c r="C326" t="s">
        <v>27</v>
      </c>
      <c r="D326" t="s">
        <v>38</v>
      </c>
      <c r="E326" t="s">
        <v>18</v>
      </c>
      <c r="F326" s="2">
        <v>82</v>
      </c>
      <c r="G326" t="s">
        <v>162</v>
      </c>
      <c r="H326" t="s">
        <v>31</v>
      </c>
      <c r="I326" t="s">
        <v>21</v>
      </c>
      <c r="J326" t="s">
        <v>57</v>
      </c>
      <c r="K326">
        <v>4.8</v>
      </c>
      <c r="L326" t="s">
        <v>34</v>
      </c>
      <c r="M326" t="s">
        <v>24</v>
      </c>
      <c r="N326" t="s">
        <v>34</v>
      </c>
      <c r="O326">
        <v>37</v>
      </c>
      <c r="P326" t="s">
        <v>62</v>
      </c>
      <c r="Q326" t="s">
        <v>37</v>
      </c>
      <c r="R326" s="1">
        <v>0.1</v>
      </c>
      <c r="S326">
        <f t="shared" si="20"/>
        <v>73.8</v>
      </c>
      <c r="T326">
        <f>IFERROR(VLOOKUP(A326,Table1[[Customer ID]:[Discount Amount]], 6, FALSE),"Not Found")</f>
        <v>82</v>
      </c>
      <c r="U326" t="str">
        <f t="shared" si="21"/>
        <v>Venmo</v>
      </c>
      <c r="V326" s="4" t="str">
        <f t="shared" si="22"/>
        <v>Normal</v>
      </c>
      <c r="W326" s="4" t="str">
        <f t="shared" si="23"/>
        <v>Good</v>
      </c>
      <c r="X326" s="4">
        <f>AVERAGE(Table1[Purchase Amount])</f>
        <v>129.48419400000012</v>
      </c>
    </row>
    <row r="327" spans="1:24" ht="15" customHeight="1" x14ac:dyDescent="0.25">
      <c r="A327">
        <v>326</v>
      </c>
      <c r="B327">
        <v>70</v>
      </c>
      <c r="C327" t="s">
        <v>27</v>
      </c>
      <c r="D327" t="s">
        <v>99</v>
      </c>
      <c r="E327" t="s">
        <v>18</v>
      </c>
      <c r="F327" s="2">
        <v>70</v>
      </c>
      <c r="G327" t="s">
        <v>84</v>
      </c>
      <c r="H327" t="s">
        <v>31</v>
      </c>
      <c r="I327" t="s">
        <v>103</v>
      </c>
      <c r="J327" t="s">
        <v>22</v>
      </c>
      <c r="K327">
        <v>4.3</v>
      </c>
      <c r="L327" t="s">
        <v>34</v>
      </c>
      <c r="M327" t="s">
        <v>35</v>
      </c>
      <c r="N327" t="s">
        <v>34</v>
      </c>
      <c r="O327">
        <v>38</v>
      </c>
      <c r="P327" t="s">
        <v>36</v>
      </c>
      <c r="Q327" t="s">
        <v>49</v>
      </c>
      <c r="R327" s="1">
        <v>0.1</v>
      </c>
      <c r="S327">
        <f t="shared" si="20"/>
        <v>63</v>
      </c>
      <c r="T327">
        <f>IFERROR(VLOOKUP(A327,Table1[[Customer ID]:[Discount Amount]], 6, FALSE),"Not Found")</f>
        <v>70</v>
      </c>
      <c r="U327" t="str">
        <f t="shared" si="21"/>
        <v>Debit Card</v>
      </c>
      <c r="V327" s="4" t="str">
        <f t="shared" si="22"/>
        <v>Normal</v>
      </c>
      <c r="W327" s="4" t="str">
        <f t="shared" si="23"/>
        <v>Good</v>
      </c>
      <c r="X327" s="4">
        <f>AVERAGE(Table1[Purchase Amount])</f>
        <v>129.48419400000012</v>
      </c>
    </row>
    <row r="328" spans="1:24" ht="15" customHeight="1" x14ac:dyDescent="0.25">
      <c r="A328">
        <v>327</v>
      </c>
      <c r="B328">
        <v>62</v>
      </c>
      <c r="C328" t="s">
        <v>27</v>
      </c>
      <c r="D328" t="s">
        <v>129</v>
      </c>
      <c r="E328" t="s">
        <v>29</v>
      </c>
      <c r="F328" s="2">
        <v>41</v>
      </c>
      <c r="G328" t="s">
        <v>131</v>
      </c>
      <c r="H328" t="s">
        <v>31</v>
      </c>
      <c r="I328" t="s">
        <v>32</v>
      </c>
      <c r="J328" t="s">
        <v>47</v>
      </c>
      <c r="K328">
        <v>3.2</v>
      </c>
      <c r="L328" t="s">
        <v>34</v>
      </c>
      <c r="M328" t="s">
        <v>48</v>
      </c>
      <c r="N328" t="s">
        <v>34</v>
      </c>
      <c r="O328">
        <v>48</v>
      </c>
      <c r="P328" t="s">
        <v>88</v>
      </c>
      <c r="Q328" t="s">
        <v>26</v>
      </c>
      <c r="R328" s="1">
        <v>0.1</v>
      </c>
      <c r="S328">
        <f t="shared" si="20"/>
        <v>36.9</v>
      </c>
      <c r="T328">
        <f>IFERROR(VLOOKUP(A328,Table1[[Customer ID]:[Discount Amount]], 6, FALSE),"Not Found")</f>
        <v>41</v>
      </c>
      <c r="U328" t="str">
        <f t="shared" si="21"/>
        <v>Bank Transfer</v>
      </c>
      <c r="V328" s="4" t="str">
        <f t="shared" si="22"/>
        <v>Normal</v>
      </c>
      <c r="W328" s="4" t="str">
        <f t="shared" si="23"/>
        <v>Good</v>
      </c>
      <c r="X328" s="4">
        <f>AVERAGE(Table1[Purchase Amount])</f>
        <v>129.48419400000012</v>
      </c>
    </row>
    <row r="329" spans="1:24" ht="15" customHeight="1" x14ac:dyDescent="0.25">
      <c r="A329">
        <v>328</v>
      </c>
      <c r="B329">
        <v>61</v>
      </c>
      <c r="C329" t="s">
        <v>27</v>
      </c>
      <c r="D329" t="s">
        <v>76</v>
      </c>
      <c r="E329" t="s">
        <v>77</v>
      </c>
      <c r="F329" s="2">
        <v>42</v>
      </c>
      <c r="G329" t="s">
        <v>141</v>
      </c>
      <c r="H329" t="s">
        <v>31</v>
      </c>
      <c r="I329" t="s">
        <v>147</v>
      </c>
      <c r="J329" t="s">
        <v>57</v>
      </c>
      <c r="K329">
        <v>3.1</v>
      </c>
      <c r="L329" t="s">
        <v>34</v>
      </c>
      <c r="M329" t="s">
        <v>35</v>
      </c>
      <c r="N329" t="s">
        <v>34</v>
      </c>
      <c r="O329">
        <v>36</v>
      </c>
      <c r="P329" t="s">
        <v>58</v>
      </c>
      <c r="Q329" t="s">
        <v>26</v>
      </c>
      <c r="R329" s="1">
        <v>0.1</v>
      </c>
      <c r="S329">
        <f t="shared" si="20"/>
        <v>37.799999999999997</v>
      </c>
      <c r="T329">
        <f>IFERROR(VLOOKUP(A329,Table1[[Customer ID]:[Discount Amount]], 6, FALSE),"Not Found")</f>
        <v>42</v>
      </c>
      <c r="U329" t="str">
        <f t="shared" si="21"/>
        <v>PayPal</v>
      </c>
      <c r="V329" s="4" t="str">
        <f t="shared" si="22"/>
        <v>Normal</v>
      </c>
      <c r="W329" s="4" t="str">
        <f t="shared" si="23"/>
        <v>Good</v>
      </c>
      <c r="X329" s="4">
        <f>AVERAGE(Table1[Purchase Amount])</f>
        <v>129.48419400000012</v>
      </c>
    </row>
    <row r="330" spans="1:24" ht="15" customHeight="1" x14ac:dyDescent="0.25">
      <c r="A330">
        <v>329</v>
      </c>
      <c r="B330">
        <v>48</v>
      </c>
      <c r="C330" t="s">
        <v>27</v>
      </c>
      <c r="D330" t="s">
        <v>76</v>
      </c>
      <c r="E330" t="s">
        <v>77</v>
      </c>
      <c r="F330" s="2">
        <v>50</v>
      </c>
      <c r="G330" t="s">
        <v>67</v>
      </c>
      <c r="H330" t="s">
        <v>31</v>
      </c>
      <c r="I330" t="s">
        <v>52</v>
      </c>
      <c r="J330" t="s">
        <v>47</v>
      </c>
      <c r="K330">
        <v>2.8</v>
      </c>
      <c r="L330" t="s">
        <v>34</v>
      </c>
      <c r="M330" t="s">
        <v>35</v>
      </c>
      <c r="N330" t="s">
        <v>34</v>
      </c>
      <c r="O330">
        <v>9</v>
      </c>
      <c r="P330" t="s">
        <v>53</v>
      </c>
      <c r="Q330" t="s">
        <v>26</v>
      </c>
      <c r="R330" s="1">
        <v>0.1</v>
      </c>
      <c r="S330">
        <f t="shared" si="20"/>
        <v>45</v>
      </c>
      <c r="T330">
        <f>IFERROR(VLOOKUP(A330,Table1[[Customer ID]:[Discount Amount]], 6, FALSE),"Not Found")</f>
        <v>50</v>
      </c>
      <c r="U330" t="str">
        <f t="shared" si="21"/>
        <v>Credit Card</v>
      </c>
      <c r="V330" s="4" t="str">
        <f t="shared" si="22"/>
        <v>Normal</v>
      </c>
      <c r="W330" s="4" t="str">
        <f t="shared" si="23"/>
        <v>Poor</v>
      </c>
      <c r="X330" s="4">
        <f>AVERAGE(Table1[Purchase Amount])</f>
        <v>129.48419400000012</v>
      </c>
    </row>
    <row r="331" spans="1:24" ht="15" customHeight="1" x14ac:dyDescent="0.25">
      <c r="A331">
        <v>330</v>
      </c>
      <c r="B331">
        <v>70</v>
      </c>
      <c r="C331" t="s">
        <v>27</v>
      </c>
      <c r="D331" t="s">
        <v>105</v>
      </c>
      <c r="E331" t="s">
        <v>18</v>
      </c>
      <c r="F331" s="2">
        <v>31</v>
      </c>
      <c r="G331" t="s">
        <v>158</v>
      </c>
      <c r="H331" t="s">
        <v>55</v>
      </c>
      <c r="I331" t="s">
        <v>32</v>
      </c>
      <c r="J331" t="s">
        <v>57</v>
      </c>
      <c r="K331">
        <v>2.9</v>
      </c>
      <c r="L331" t="s">
        <v>34</v>
      </c>
      <c r="M331" t="s">
        <v>41</v>
      </c>
      <c r="N331" t="s">
        <v>34</v>
      </c>
      <c r="O331">
        <v>34</v>
      </c>
      <c r="P331" t="s">
        <v>88</v>
      </c>
      <c r="Q331" t="s">
        <v>42</v>
      </c>
      <c r="R331" s="1">
        <v>0.1</v>
      </c>
      <c r="S331">
        <f t="shared" si="20"/>
        <v>27.9</v>
      </c>
      <c r="T331">
        <f>IFERROR(VLOOKUP(A331,Table1[[Customer ID]:[Discount Amount]], 6, FALSE),"Not Found")</f>
        <v>31</v>
      </c>
      <c r="U331" t="str">
        <f t="shared" si="21"/>
        <v>Bank Transfer</v>
      </c>
      <c r="V331" s="4" t="str">
        <f t="shared" si="22"/>
        <v>Normal</v>
      </c>
      <c r="W331" s="4" t="str">
        <f t="shared" si="23"/>
        <v>Poor</v>
      </c>
      <c r="X331" s="4">
        <f>AVERAGE(Table1[Purchase Amount])</f>
        <v>129.48419400000012</v>
      </c>
    </row>
    <row r="332" spans="1:24" ht="15" customHeight="1" x14ac:dyDescent="0.25">
      <c r="A332">
        <v>331</v>
      </c>
      <c r="B332">
        <v>46</v>
      </c>
      <c r="C332" t="s">
        <v>27</v>
      </c>
      <c r="D332" t="s">
        <v>127</v>
      </c>
      <c r="E332" t="s">
        <v>18</v>
      </c>
      <c r="F332" s="2">
        <v>51</v>
      </c>
      <c r="G332" t="s">
        <v>86</v>
      </c>
      <c r="H332" t="s">
        <v>31</v>
      </c>
      <c r="I332" t="s">
        <v>56</v>
      </c>
      <c r="J332" t="s">
        <v>22</v>
      </c>
      <c r="K332">
        <v>1</v>
      </c>
      <c r="L332" t="s">
        <v>34</v>
      </c>
      <c r="M332" t="s">
        <v>61</v>
      </c>
      <c r="N332" t="s">
        <v>34</v>
      </c>
      <c r="O332">
        <v>43</v>
      </c>
      <c r="P332" t="s">
        <v>62</v>
      </c>
      <c r="Q332" t="s">
        <v>68</v>
      </c>
      <c r="R332" s="1">
        <v>0.1</v>
      </c>
      <c r="S332">
        <f t="shared" si="20"/>
        <v>45.9</v>
      </c>
      <c r="T332">
        <f>IFERROR(VLOOKUP(A332,Table1[[Customer ID]:[Discount Amount]], 6, FALSE),"Not Found")</f>
        <v>51</v>
      </c>
      <c r="U332" t="str">
        <f t="shared" si="21"/>
        <v>Venmo</v>
      </c>
      <c r="V332" s="4" t="str">
        <f t="shared" si="22"/>
        <v>Normal</v>
      </c>
      <c r="W332" s="4" t="str">
        <f t="shared" si="23"/>
        <v>Poor</v>
      </c>
      <c r="X332" s="4">
        <f>AVERAGE(Table1[Purchase Amount])</f>
        <v>129.48419400000012</v>
      </c>
    </row>
    <row r="333" spans="1:24" ht="15" customHeight="1" x14ac:dyDescent="0.25">
      <c r="A333">
        <v>332</v>
      </c>
      <c r="B333">
        <v>31</v>
      </c>
      <c r="C333" t="s">
        <v>27</v>
      </c>
      <c r="D333" t="s">
        <v>38</v>
      </c>
      <c r="E333" t="s">
        <v>18</v>
      </c>
      <c r="F333" s="2">
        <v>98</v>
      </c>
      <c r="G333" t="s">
        <v>67</v>
      </c>
      <c r="H333" t="s">
        <v>45</v>
      </c>
      <c r="I333" t="s">
        <v>56</v>
      </c>
      <c r="J333" t="s">
        <v>47</v>
      </c>
      <c r="K333">
        <v>3.3</v>
      </c>
      <c r="L333" t="s">
        <v>34</v>
      </c>
      <c r="M333" t="s">
        <v>48</v>
      </c>
      <c r="N333" t="s">
        <v>34</v>
      </c>
      <c r="O333">
        <v>46</v>
      </c>
      <c r="P333" t="s">
        <v>58</v>
      </c>
      <c r="Q333" t="s">
        <v>37</v>
      </c>
      <c r="R333" s="1">
        <v>0.1</v>
      </c>
      <c r="S333">
        <f t="shared" si="20"/>
        <v>88.2</v>
      </c>
      <c r="T333">
        <f>IFERROR(VLOOKUP(A333,Table1[[Customer ID]:[Discount Amount]], 6, FALSE),"Not Found")</f>
        <v>98</v>
      </c>
      <c r="U333" t="str">
        <f t="shared" si="21"/>
        <v>PayPal</v>
      </c>
      <c r="V333" s="4" t="str">
        <f t="shared" si="22"/>
        <v>Normal</v>
      </c>
      <c r="W333" s="4" t="str">
        <f t="shared" si="23"/>
        <v>Good</v>
      </c>
      <c r="X333" s="4">
        <f>AVERAGE(Table1[Purchase Amount])</f>
        <v>129.48419400000012</v>
      </c>
    </row>
    <row r="334" spans="1:24" ht="15" customHeight="1" x14ac:dyDescent="0.25">
      <c r="A334">
        <v>333</v>
      </c>
      <c r="B334">
        <v>19</v>
      </c>
      <c r="C334" t="s">
        <v>27</v>
      </c>
      <c r="D334" t="s">
        <v>38</v>
      </c>
      <c r="E334" t="s">
        <v>18</v>
      </c>
      <c r="F334" s="2">
        <v>86</v>
      </c>
      <c r="G334" t="s">
        <v>101</v>
      </c>
      <c r="H334" t="s">
        <v>31</v>
      </c>
      <c r="I334" t="s">
        <v>125</v>
      </c>
      <c r="J334" t="s">
        <v>22</v>
      </c>
      <c r="K334">
        <v>2.8</v>
      </c>
      <c r="L334" t="s">
        <v>34</v>
      </c>
      <c r="M334" t="s">
        <v>41</v>
      </c>
      <c r="N334" t="s">
        <v>34</v>
      </c>
      <c r="O334">
        <v>5</v>
      </c>
      <c r="P334" t="s">
        <v>53</v>
      </c>
      <c r="Q334" t="s">
        <v>42</v>
      </c>
      <c r="R334" s="1">
        <v>0.1</v>
      </c>
      <c r="S334">
        <f t="shared" si="20"/>
        <v>77.400000000000006</v>
      </c>
      <c r="T334">
        <f>IFERROR(VLOOKUP(A334,Table1[[Customer ID]:[Discount Amount]], 6, FALSE),"Not Found")</f>
        <v>86</v>
      </c>
      <c r="U334" t="str">
        <f t="shared" si="21"/>
        <v>Credit Card</v>
      </c>
      <c r="V334" s="4" t="str">
        <f t="shared" si="22"/>
        <v>Normal</v>
      </c>
      <c r="W334" s="4" t="str">
        <f t="shared" si="23"/>
        <v>Poor</v>
      </c>
      <c r="X334" s="4">
        <f>AVERAGE(Table1[Purchase Amount])</f>
        <v>129.48419400000012</v>
      </c>
    </row>
    <row r="335" spans="1:24" ht="15" customHeight="1" x14ac:dyDescent="0.25">
      <c r="A335">
        <v>334</v>
      </c>
      <c r="B335">
        <v>39</v>
      </c>
      <c r="C335" t="s">
        <v>27</v>
      </c>
      <c r="D335" t="s">
        <v>127</v>
      </c>
      <c r="E335" t="s">
        <v>18</v>
      </c>
      <c r="F335" s="2">
        <v>64</v>
      </c>
      <c r="G335" t="s">
        <v>148</v>
      </c>
      <c r="H335" t="s">
        <v>31</v>
      </c>
      <c r="I335" t="s">
        <v>147</v>
      </c>
      <c r="J335" t="s">
        <v>22</v>
      </c>
      <c r="K335">
        <v>4.5</v>
      </c>
      <c r="L335" t="s">
        <v>34</v>
      </c>
      <c r="M335" t="s">
        <v>24</v>
      </c>
      <c r="N335" t="s">
        <v>34</v>
      </c>
      <c r="O335">
        <v>15</v>
      </c>
      <c r="P335" t="s">
        <v>88</v>
      </c>
      <c r="Q335" t="s">
        <v>68</v>
      </c>
      <c r="R335" s="1">
        <v>0.1</v>
      </c>
      <c r="S335">
        <f t="shared" si="20"/>
        <v>57.6</v>
      </c>
      <c r="T335">
        <f>IFERROR(VLOOKUP(A335,Table1[[Customer ID]:[Discount Amount]], 6, FALSE),"Not Found")</f>
        <v>64</v>
      </c>
      <c r="U335" t="str">
        <f t="shared" si="21"/>
        <v>Bank Transfer</v>
      </c>
      <c r="V335" s="4" t="str">
        <f t="shared" si="22"/>
        <v>Normal</v>
      </c>
      <c r="W335" s="4" t="str">
        <f t="shared" si="23"/>
        <v>Good</v>
      </c>
      <c r="X335" s="4">
        <f>AVERAGE(Table1[Purchase Amount])</f>
        <v>129.48419400000012</v>
      </c>
    </row>
    <row r="336" spans="1:24" ht="15" customHeight="1" x14ac:dyDescent="0.25">
      <c r="A336">
        <v>335</v>
      </c>
      <c r="B336">
        <v>41</v>
      </c>
      <c r="C336" t="s">
        <v>27</v>
      </c>
      <c r="D336" t="s">
        <v>118</v>
      </c>
      <c r="E336" t="s">
        <v>18</v>
      </c>
      <c r="F336" s="2">
        <v>46</v>
      </c>
      <c r="G336" t="s">
        <v>124</v>
      </c>
      <c r="H336" t="s">
        <v>31</v>
      </c>
      <c r="I336" t="s">
        <v>107</v>
      </c>
      <c r="J336" t="s">
        <v>47</v>
      </c>
      <c r="K336">
        <v>2.6</v>
      </c>
      <c r="L336" t="s">
        <v>34</v>
      </c>
      <c r="M336" t="s">
        <v>79</v>
      </c>
      <c r="N336" t="s">
        <v>34</v>
      </c>
      <c r="O336">
        <v>30</v>
      </c>
      <c r="P336" t="s">
        <v>53</v>
      </c>
      <c r="Q336" t="s">
        <v>49</v>
      </c>
      <c r="R336" s="1">
        <v>0.1</v>
      </c>
      <c r="S336">
        <f t="shared" si="20"/>
        <v>41.4</v>
      </c>
      <c r="T336">
        <f>IFERROR(VLOOKUP(A336,Table1[[Customer ID]:[Discount Amount]], 6, FALSE),"Not Found")</f>
        <v>46</v>
      </c>
      <c r="U336" t="str">
        <f t="shared" si="21"/>
        <v>Credit Card</v>
      </c>
      <c r="V336" s="4" t="str">
        <f t="shared" si="22"/>
        <v>Normal</v>
      </c>
      <c r="W336" s="4" t="str">
        <f t="shared" si="23"/>
        <v>Poor</v>
      </c>
      <c r="X336" s="4">
        <f>AVERAGE(Table1[Purchase Amount])</f>
        <v>129.48419400000012</v>
      </c>
    </row>
    <row r="337" spans="1:24" ht="15" customHeight="1" x14ac:dyDescent="0.25">
      <c r="A337">
        <v>336</v>
      </c>
      <c r="B337">
        <v>20</v>
      </c>
      <c r="C337" t="s">
        <v>27</v>
      </c>
      <c r="D337" t="s">
        <v>127</v>
      </c>
      <c r="E337" t="s">
        <v>18</v>
      </c>
      <c r="F337" s="2">
        <v>85</v>
      </c>
      <c r="G337" t="s">
        <v>123</v>
      </c>
      <c r="H337" t="s">
        <v>45</v>
      </c>
      <c r="I337" t="s">
        <v>125</v>
      </c>
      <c r="J337" t="s">
        <v>33</v>
      </c>
      <c r="K337">
        <v>3.7</v>
      </c>
      <c r="L337" t="s">
        <v>34</v>
      </c>
      <c r="M337" t="s">
        <v>24</v>
      </c>
      <c r="N337" t="s">
        <v>34</v>
      </c>
      <c r="O337">
        <v>44</v>
      </c>
      <c r="P337" t="s">
        <v>62</v>
      </c>
      <c r="Q337" t="s">
        <v>63</v>
      </c>
      <c r="R337" s="1">
        <v>0.1</v>
      </c>
      <c r="S337">
        <f t="shared" si="20"/>
        <v>76.5</v>
      </c>
      <c r="T337">
        <f>IFERROR(VLOOKUP(A337,Table1[[Customer ID]:[Discount Amount]], 6, FALSE),"Not Found")</f>
        <v>85</v>
      </c>
      <c r="U337" t="str">
        <f t="shared" si="21"/>
        <v>Venmo</v>
      </c>
      <c r="V337" s="4" t="str">
        <f t="shared" si="22"/>
        <v>Normal</v>
      </c>
      <c r="W337" s="4" t="str">
        <f t="shared" si="23"/>
        <v>Good</v>
      </c>
      <c r="X337" s="4">
        <f>AVERAGE(Table1[Purchase Amount])</f>
        <v>129.48419400000012</v>
      </c>
    </row>
    <row r="338" spans="1:24" ht="15" customHeight="1" x14ac:dyDescent="0.25">
      <c r="A338">
        <v>337</v>
      </c>
      <c r="B338">
        <v>36</v>
      </c>
      <c r="C338" t="s">
        <v>27</v>
      </c>
      <c r="D338" t="s">
        <v>64</v>
      </c>
      <c r="E338" t="s">
        <v>29</v>
      </c>
      <c r="F338" s="2">
        <v>81</v>
      </c>
      <c r="G338" t="s">
        <v>159</v>
      </c>
      <c r="H338" t="s">
        <v>55</v>
      </c>
      <c r="I338" t="s">
        <v>108</v>
      </c>
      <c r="J338" t="s">
        <v>47</v>
      </c>
      <c r="K338">
        <v>4.4000000000000004</v>
      </c>
      <c r="L338" t="s">
        <v>34</v>
      </c>
      <c r="M338" t="s">
        <v>61</v>
      </c>
      <c r="N338" t="s">
        <v>34</v>
      </c>
      <c r="O338">
        <v>16</v>
      </c>
      <c r="P338" t="s">
        <v>58</v>
      </c>
      <c r="Q338" t="s">
        <v>49</v>
      </c>
      <c r="R338" s="1">
        <v>0.1</v>
      </c>
      <c r="S338">
        <f t="shared" si="20"/>
        <v>72.900000000000006</v>
      </c>
      <c r="T338">
        <f>IFERROR(VLOOKUP(A338,Table1[[Customer ID]:[Discount Amount]], 6, FALSE),"Not Found")</f>
        <v>81</v>
      </c>
      <c r="U338" t="str">
        <f t="shared" si="21"/>
        <v>PayPal</v>
      </c>
      <c r="V338" s="4" t="str">
        <f t="shared" si="22"/>
        <v>Normal</v>
      </c>
      <c r="W338" s="4" t="str">
        <f t="shared" si="23"/>
        <v>Good</v>
      </c>
      <c r="X338" s="4">
        <f>AVERAGE(Table1[Purchase Amount])</f>
        <v>129.48419400000012</v>
      </c>
    </row>
    <row r="339" spans="1:24" ht="15" customHeight="1" x14ac:dyDescent="0.25">
      <c r="A339">
        <v>338</v>
      </c>
      <c r="B339">
        <v>32</v>
      </c>
      <c r="C339" t="s">
        <v>27</v>
      </c>
      <c r="D339" t="s">
        <v>127</v>
      </c>
      <c r="E339" t="s">
        <v>18</v>
      </c>
      <c r="F339" s="2">
        <v>59</v>
      </c>
      <c r="G339" t="s">
        <v>110</v>
      </c>
      <c r="H339" t="s">
        <v>31</v>
      </c>
      <c r="I339" t="s">
        <v>128</v>
      </c>
      <c r="J339" t="s">
        <v>22</v>
      </c>
      <c r="K339">
        <v>4.3</v>
      </c>
      <c r="L339" t="s">
        <v>34</v>
      </c>
      <c r="M339" t="s">
        <v>41</v>
      </c>
      <c r="N339" t="s">
        <v>34</v>
      </c>
      <c r="O339">
        <v>16</v>
      </c>
      <c r="P339" t="s">
        <v>88</v>
      </c>
      <c r="Q339" t="s">
        <v>49</v>
      </c>
      <c r="R339" s="1">
        <v>0.1</v>
      </c>
      <c r="S339">
        <f t="shared" si="20"/>
        <v>53.1</v>
      </c>
      <c r="T339">
        <f>IFERROR(VLOOKUP(A339,Table1[[Customer ID]:[Discount Amount]], 6, FALSE),"Not Found")</f>
        <v>59</v>
      </c>
      <c r="U339" t="str">
        <f t="shared" si="21"/>
        <v>Bank Transfer</v>
      </c>
      <c r="V339" s="4" t="str">
        <f t="shared" si="22"/>
        <v>Normal</v>
      </c>
      <c r="W339" s="4" t="str">
        <f t="shared" si="23"/>
        <v>Good</v>
      </c>
      <c r="X339" s="4">
        <f>AVERAGE(Table1[Purchase Amount])</f>
        <v>129.48419400000012</v>
      </c>
    </row>
    <row r="340" spans="1:24" ht="15" customHeight="1" x14ac:dyDescent="0.25">
      <c r="A340">
        <v>339</v>
      </c>
      <c r="B340">
        <v>69</v>
      </c>
      <c r="C340" t="s">
        <v>27</v>
      </c>
      <c r="D340" t="s">
        <v>83</v>
      </c>
      <c r="E340" t="s">
        <v>18</v>
      </c>
      <c r="F340" s="2">
        <v>79</v>
      </c>
      <c r="G340" t="s">
        <v>97</v>
      </c>
      <c r="H340" t="s">
        <v>31</v>
      </c>
      <c r="I340" t="s">
        <v>153</v>
      </c>
      <c r="J340" t="s">
        <v>22</v>
      </c>
      <c r="K340">
        <v>3.5</v>
      </c>
      <c r="L340" t="s">
        <v>34</v>
      </c>
      <c r="M340" t="s">
        <v>61</v>
      </c>
      <c r="N340" t="s">
        <v>34</v>
      </c>
      <c r="O340">
        <v>16</v>
      </c>
      <c r="P340" t="s">
        <v>25</v>
      </c>
      <c r="Q340" t="s">
        <v>26</v>
      </c>
      <c r="R340" s="1">
        <v>0.1</v>
      </c>
      <c r="S340">
        <f t="shared" si="20"/>
        <v>71.099999999999994</v>
      </c>
      <c r="T340">
        <f>IFERROR(VLOOKUP(A340,Table1[[Customer ID]:[Discount Amount]], 6, FALSE),"Not Found")</f>
        <v>79</v>
      </c>
      <c r="U340" t="str">
        <f t="shared" si="21"/>
        <v>Cash</v>
      </c>
      <c r="V340" s="4" t="str">
        <f t="shared" si="22"/>
        <v>Normal</v>
      </c>
      <c r="W340" s="4" t="str">
        <f t="shared" si="23"/>
        <v>Good</v>
      </c>
      <c r="X340" s="4">
        <f>AVERAGE(Table1[Purchase Amount])</f>
        <v>129.48419400000012</v>
      </c>
    </row>
    <row r="341" spans="1:24" ht="15" customHeight="1" x14ac:dyDescent="0.25">
      <c r="A341">
        <v>340</v>
      </c>
      <c r="B341">
        <v>40</v>
      </c>
      <c r="C341" t="s">
        <v>27</v>
      </c>
      <c r="D341" t="s">
        <v>54</v>
      </c>
      <c r="E341" t="s">
        <v>18</v>
      </c>
      <c r="F341" s="2">
        <v>33</v>
      </c>
      <c r="G341" t="s">
        <v>78</v>
      </c>
      <c r="H341" t="s">
        <v>31</v>
      </c>
      <c r="I341" t="s">
        <v>147</v>
      </c>
      <c r="J341" t="s">
        <v>33</v>
      </c>
      <c r="K341">
        <v>3.8</v>
      </c>
      <c r="L341" t="s">
        <v>34</v>
      </c>
      <c r="M341" t="s">
        <v>41</v>
      </c>
      <c r="N341" t="s">
        <v>34</v>
      </c>
      <c r="O341">
        <v>21</v>
      </c>
      <c r="P341" t="s">
        <v>53</v>
      </c>
      <c r="Q341" t="s">
        <v>63</v>
      </c>
      <c r="R341" s="1">
        <v>0.1</v>
      </c>
      <c r="S341">
        <f t="shared" si="20"/>
        <v>29.7</v>
      </c>
      <c r="T341">
        <f>IFERROR(VLOOKUP(A341,Table1[[Customer ID]:[Discount Amount]], 6, FALSE),"Not Found")</f>
        <v>33</v>
      </c>
      <c r="U341" t="str">
        <f t="shared" si="21"/>
        <v>Credit Card</v>
      </c>
      <c r="V341" s="4" t="str">
        <f t="shared" si="22"/>
        <v>Normal</v>
      </c>
      <c r="W341" s="4" t="str">
        <f t="shared" si="23"/>
        <v>Good</v>
      </c>
      <c r="X341" s="4">
        <f>AVERAGE(Table1[Purchase Amount])</f>
        <v>129.48419400000012</v>
      </c>
    </row>
    <row r="342" spans="1:24" ht="15" customHeight="1" x14ac:dyDescent="0.25">
      <c r="A342">
        <v>341</v>
      </c>
      <c r="B342">
        <v>40</v>
      </c>
      <c r="C342" t="s">
        <v>27</v>
      </c>
      <c r="D342" t="s">
        <v>54</v>
      </c>
      <c r="E342" t="s">
        <v>18</v>
      </c>
      <c r="F342" s="2">
        <v>47</v>
      </c>
      <c r="G342" t="s">
        <v>131</v>
      </c>
      <c r="H342" t="s">
        <v>45</v>
      </c>
      <c r="I342" t="s">
        <v>74</v>
      </c>
      <c r="J342" t="s">
        <v>57</v>
      </c>
      <c r="K342">
        <v>3.5</v>
      </c>
      <c r="L342" t="s">
        <v>34</v>
      </c>
      <c r="M342" t="s">
        <v>61</v>
      </c>
      <c r="N342" t="s">
        <v>34</v>
      </c>
      <c r="O342">
        <v>39</v>
      </c>
      <c r="P342" t="s">
        <v>62</v>
      </c>
      <c r="Q342" t="s">
        <v>63</v>
      </c>
      <c r="R342" s="1">
        <v>0.1</v>
      </c>
      <c r="S342">
        <f t="shared" si="20"/>
        <v>42.3</v>
      </c>
      <c r="T342">
        <f>IFERROR(VLOOKUP(A342,Table1[[Customer ID]:[Discount Amount]], 6, FALSE),"Not Found")</f>
        <v>47</v>
      </c>
      <c r="U342" t="str">
        <f t="shared" si="21"/>
        <v>Venmo</v>
      </c>
      <c r="V342" s="4" t="str">
        <f t="shared" si="22"/>
        <v>Normal</v>
      </c>
      <c r="W342" s="4" t="str">
        <f t="shared" si="23"/>
        <v>Good</v>
      </c>
      <c r="X342" s="4">
        <f>AVERAGE(Table1[Purchase Amount])</f>
        <v>129.48419400000012</v>
      </c>
    </row>
    <row r="343" spans="1:24" ht="15" customHeight="1" x14ac:dyDescent="0.25">
      <c r="A343">
        <v>342</v>
      </c>
      <c r="B343">
        <v>20</v>
      </c>
      <c r="C343" t="s">
        <v>27</v>
      </c>
      <c r="D343" t="s">
        <v>64</v>
      </c>
      <c r="E343" t="s">
        <v>29</v>
      </c>
      <c r="F343" s="2">
        <v>20</v>
      </c>
      <c r="G343" t="s">
        <v>144</v>
      </c>
      <c r="H343" t="s">
        <v>55</v>
      </c>
      <c r="I343" t="s">
        <v>74</v>
      </c>
      <c r="J343" t="s">
        <v>57</v>
      </c>
      <c r="K343">
        <v>4.5999999999999996</v>
      </c>
      <c r="L343" t="s">
        <v>34</v>
      </c>
      <c r="M343" t="s">
        <v>48</v>
      </c>
      <c r="N343" t="s">
        <v>34</v>
      </c>
      <c r="O343">
        <v>40</v>
      </c>
      <c r="P343" t="s">
        <v>36</v>
      </c>
      <c r="Q343" t="s">
        <v>68</v>
      </c>
      <c r="R343" s="1">
        <v>0.1</v>
      </c>
      <c r="S343">
        <f t="shared" si="20"/>
        <v>18</v>
      </c>
      <c r="T343">
        <f>IFERROR(VLOOKUP(A343,Table1[[Customer ID]:[Discount Amount]], 6, FALSE),"Not Found")</f>
        <v>20</v>
      </c>
      <c r="U343" t="str">
        <f t="shared" si="21"/>
        <v>Debit Card</v>
      </c>
      <c r="V343" s="4" t="str">
        <f t="shared" si="22"/>
        <v>Normal</v>
      </c>
      <c r="W343" s="4" t="str">
        <f t="shared" si="23"/>
        <v>Good</v>
      </c>
      <c r="X343" s="4">
        <f>AVERAGE(Table1[Purchase Amount])</f>
        <v>129.48419400000012</v>
      </c>
    </row>
    <row r="344" spans="1:24" ht="15" customHeight="1" x14ac:dyDescent="0.25">
      <c r="A344">
        <v>343</v>
      </c>
      <c r="B344">
        <v>64</v>
      </c>
      <c r="C344" t="s">
        <v>27</v>
      </c>
      <c r="D344" t="s">
        <v>76</v>
      </c>
      <c r="E344" t="s">
        <v>77</v>
      </c>
      <c r="F344" s="2">
        <v>36</v>
      </c>
      <c r="G344" t="s">
        <v>70</v>
      </c>
      <c r="H344" t="s">
        <v>31</v>
      </c>
      <c r="I344" t="s">
        <v>21</v>
      </c>
      <c r="J344" t="s">
        <v>33</v>
      </c>
      <c r="K344">
        <v>2.6</v>
      </c>
      <c r="L344" t="s">
        <v>34</v>
      </c>
      <c r="M344" t="s">
        <v>79</v>
      </c>
      <c r="N344" t="s">
        <v>34</v>
      </c>
      <c r="O344">
        <v>48</v>
      </c>
      <c r="P344" t="s">
        <v>53</v>
      </c>
      <c r="Q344" t="s">
        <v>63</v>
      </c>
      <c r="R344" s="1">
        <v>0.1</v>
      </c>
      <c r="S344">
        <f t="shared" si="20"/>
        <v>32.4</v>
      </c>
      <c r="T344">
        <f>IFERROR(VLOOKUP(A344,Table1[[Customer ID]:[Discount Amount]], 6, FALSE),"Not Found")</f>
        <v>36</v>
      </c>
      <c r="U344" t="str">
        <f t="shared" si="21"/>
        <v>Credit Card</v>
      </c>
      <c r="V344" s="4" t="str">
        <f t="shared" si="22"/>
        <v>Normal</v>
      </c>
      <c r="W344" s="4" t="str">
        <f t="shared" si="23"/>
        <v>Poor</v>
      </c>
      <c r="X344" s="4">
        <f>AVERAGE(Table1[Purchase Amount])</f>
        <v>129.48419400000012</v>
      </c>
    </row>
    <row r="345" spans="1:24" ht="15" customHeight="1" x14ac:dyDescent="0.25">
      <c r="A345">
        <v>344</v>
      </c>
      <c r="B345">
        <v>27</v>
      </c>
      <c r="C345" t="s">
        <v>27</v>
      </c>
      <c r="D345" t="s">
        <v>121</v>
      </c>
      <c r="E345" t="s">
        <v>98</v>
      </c>
      <c r="F345" s="2">
        <v>39</v>
      </c>
      <c r="G345" t="s">
        <v>137</v>
      </c>
      <c r="H345" t="s">
        <v>31</v>
      </c>
      <c r="I345" t="s">
        <v>66</v>
      </c>
      <c r="J345" t="s">
        <v>57</v>
      </c>
      <c r="K345">
        <v>4.4000000000000004</v>
      </c>
      <c r="L345" t="s">
        <v>34</v>
      </c>
      <c r="M345" t="s">
        <v>79</v>
      </c>
      <c r="N345" t="s">
        <v>34</v>
      </c>
      <c r="O345">
        <v>26</v>
      </c>
      <c r="P345" t="s">
        <v>62</v>
      </c>
      <c r="Q345" t="s">
        <v>42</v>
      </c>
      <c r="R345" s="1">
        <v>0.1</v>
      </c>
      <c r="S345">
        <f t="shared" si="20"/>
        <v>35.1</v>
      </c>
      <c r="T345">
        <f>IFERROR(VLOOKUP(A345,Table1[[Customer ID]:[Discount Amount]], 6, FALSE),"Not Found")</f>
        <v>39</v>
      </c>
      <c r="U345" t="str">
        <f t="shared" si="21"/>
        <v>Venmo</v>
      </c>
      <c r="V345" s="4" t="str">
        <f t="shared" si="22"/>
        <v>Normal</v>
      </c>
      <c r="W345" s="4" t="str">
        <f t="shared" si="23"/>
        <v>Good</v>
      </c>
      <c r="X345" s="4">
        <f>AVERAGE(Table1[Purchase Amount])</f>
        <v>129.48419400000012</v>
      </c>
    </row>
    <row r="346" spans="1:24" ht="15" customHeight="1" x14ac:dyDescent="0.25">
      <c r="A346">
        <v>345</v>
      </c>
      <c r="B346">
        <v>24</v>
      </c>
      <c r="C346" t="s">
        <v>27</v>
      </c>
      <c r="D346" t="s">
        <v>122</v>
      </c>
      <c r="E346" t="s">
        <v>18</v>
      </c>
      <c r="F346" s="2">
        <v>71</v>
      </c>
      <c r="G346" t="s">
        <v>138</v>
      </c>
      <c r="H346" t="s">
        <v>31</v>
      </c>
      <c r="I346" t="s">
        <v>103</v>
      </c>
      <c r="J346" t="s">
        <v>22</v>
      </c>
      <c r="K346">
        <v>4</v>
      </c>
      <c r="L346" t="s">
        <v>34</v>
      </c>
      <c r="M346" t="s">
        <v>24</v>
      </c>
      <c r="N346" t="s">
        <v>34</v>
      </c>
      <c r="O346">
        <v>46</v>
      </c>
      <c r="P346" t="s">
        <v>36</v>
      </c>
      <c r="Q346" t="s">
        <v>42</v>
      </c>
      <c r="R346" s="1">
        <v>0.1</v>
      </c>
      <c r="S346">
        <f t="shared" si="20"/>
        <v>63.9</v>
      </c>
      <c r="T346">
        <f>IFERROR(VLOOKUP(A346,Table1[[Customer ID]:[Discount Amount]], 6, FALSE),"Not Found")</f>
        <v>71</v>
      </c>
      <c r="U346" t="str">
        <f t="shared" si="21"/>
        <v>Debit Card</v>
      </c>
      <c r="V346" s="4" t="str">
        <f t="shared" si="22"/>
        <v>Normal</v>
      </c>
      <c r="W346" s="4" t="str">
        <f t="shared" si="23"/>
        <v>Good</v>
      </c>
      <c r="X346" s="4">
        <f>AVERAGE(Table1[Purchase Amount])</f>
        <v>129.48419400000012</v>
      </c>
    </row>
    <row r="347" spans="1:24" ht="15" customHeight="1" x14ac:dyDescent="0.25">
      <c r="A347">
        <v>346</v>
      </c>
      <c r="B347">
        <v>48</v>
      </c>
      <c r="C347" t="s">
        <v>27</v>
      </c>
      <c r="D347" t="s">
        <v>72</v>
      </c>
      <c r="E347" t="s">
        <v>98</v>
      </c>
      <c r="F347" s="2">
        <v>59</v>
      </c>
      <c r="G347" t="s">
        <v>162</v>
      </c>
      <c r="H347" t="s">
        <v>55</v>
      </c>
      <c r="I347" t="s">
        <v>21</v>
      </c>
      <c r="J347" t="s">
        <v>22</v>
      </c>
      <c r="K347">
        <v>4.4000000000000004</v>
      </c>
      <c r="L347" t="s">
        <v>34</v>
      </c>
      <c r="M347" t="s">
        <v>79</v>
      </c>
      <c r="N347" t="s">
        <v>34</v>
      </c>
      <c r="O347">
        <v>27</v>
      </c>
      <c r="P347" t="s">
        <v>88</v>
      </c>
      <c r="Q347" t="s">
        <v>49</v>
      </c>
      <c r="R347" s="1">
        <v>0.1</v>
      </c>
      <c r="S347">
        <f t="shared" si="20"/>
        <v>53.1</v>
      </c>
      <c r="T347">
        <f>IFERROR(VLOOKUP(A347,Table1[[Customer ID]:[Discount Amount]], 6, FALSE),"Not Found")</f>
        <v>59</v>
      </c>
      <c r="U347" t="str">
        <f t="shared" si="21"/>
        <v>Bank Transfer</v>
      </c>
      <c r="V347" s="4" t="str">
        <f t="shared" si="22"/>
        <v>Normal</v>
      </c>
      <c r="W347" s="4" t="str">
        <f t="shared" si="23"/>
        <v>Good</v>
      </c>
      <c r="X347" s="4">
        <f>AVERAGE(Table1[Purchase Amount])</f>
        <v>129.48419400000012</v>
      </c>
    </row>
    <row r="348" spans="1:24" ht="15" customHeight="1" x14ac:dyDescent="0.25">
      <c r="A348">
        <v>347</v>
      </c>
      <c r="B348">
        <v>49</v>
      </c>
      <c r="C348" t="s">
        <v>27</v>
      </c>
      <c r="D348" t="s">
        <v>109</v>
      </c>
      <c r="E348" t="s">
        <v>18</v>
      </c>
      <c r="F348" s="2">
        <v>50</v>
      </c>
      <c r="G348" t="s">
        <v>110</v>
      </c>
      <c r="H348" t="s">
        <v>45</v>
      </c>
      <c r="I348" t="s">
        <v>111</v>
      </c>
      <c r="J348" t="s">
        <v>33</v>
      </c>
      <c r="K348">
        <v>4.7</v>
      </c>
      <c r="L348" t="s">
        <v>34</v>
      </c>
      <c r="M348" t="s">
        <v>79</v>
      </c>
      <c r="N348" t="s">
        <v>34</v>
      </c>
      <c r="O348">
        <v>5</v>
      </c>
      <c r="P348" t="s">
        <v>25</v>
      </c>
      <c r="Q348" t="s">
        <v>26</v>
      </c>
      <c r="R348" s="1">
        <v>0.1</v>
      </c>
      <c r="S348">
        <f t="shared" si="20"/>
        <v>45</v>
      </c>
      <c r="T348">
        <f>IFERROR(VLOOKUP(A348,Table1[[Customer ID]:[Discount Amount]], 6, FALSE),"Not Found")</f>
        <v>50</v>
      </c>
      <c r="U348" t="str">
        <f t="shared" si="21"/>
        <v>Cash</v>
      </c>
      <c r="V348" s="4" t="str">
        <f t="shared" si="22"/>
        <v>Normal</v>
      </c>
      <c r="W348" s="4" t="str">
        <f t="shared" si="23"/>
        <v>Good</v>
      </c>
      <c r="X348" s="4">
        <f>AVERAGE(Table1[Purchase Amount])</f>
        <v>129.48419400000012</v>
      </c>
    </row>
    <row r="349" spans="1:24" ht="15" customHeight="1" x14ac:dyDescent="0.25">
      <c r="A349">
        <v>348</v>
      </c>
      <c r="B349">
        <v>36</v>
      </c>
      <c r="C349" t="s">
        <v>27</v>
      </c>
      <c r="D349" t="s">
        <v>121</v>
      </c>
      <c r="E349" t="s">
        <v>98</v>
      </c>
      <c r="F349" s="2">
        <v>41</v>
      </c>
      <c r="G349" t="s">
        <v>123</v>
      </c>
      <c r="H349" t="s">
        <v>45</v>
      </c>
      <c r="I349" t="s">
        <v>46</v>
      </c>
      <c r="J349" t="s">
        <v>47</v>
      </c>
      <c r="K349">
        <v>3.9</v>
      </c>
      <c r="L349" t="s">
        <v>34</v>
      </c>
      <c r="M349" t="s">
        <v>48</v>
      </c>
      <c r="N349" t="s">
        <v>34</v>
      </c>
      <c r="O349">
        <v>43</v>
      </c>
      <c r="P349" t="s">
        <v>58</v>
      </c>
      <c r="Q349" t="s">
        <v>89</v>
      </c>
      <c r="R349" s="1">
        <v>0.1</v>
      </c>
      <c r="S349">
        <f t="shared" si="20"/>
        <v>36.9</v>
      </c>
      <c r="T349">
        <f>IFERROR(VLOOKUP(A349,Table1[[Customer ID]:[Discount Amount]], 6, FALSE),"Not Found")</f>
        <v>41</v>
      </c>
      <c r="U349" t="str">
        <f t="shared" si="21"/>
        <v>PayPal</v>
      </c>
      <c r="V349" s="4" t="str">
        <f t="shared" si="22"/>
        <v>Normal</v>
      </c>
      <c r="W349" s="4" t="str">
        <f t="shared" si="23"/>
        <v>Good</v>
      </c>
      <c r="X349" s="4">
        <f>AVERAGE(Table1[Purchase Amount])</f>
        <v>129.48419400000012</v>
      </c>
    </row>
    <row r="350" spans="1:24" ht="15" customHeight="1" x14ac:dyDescent="0.25">
      <c r="A350">
        <v>349</v>
      </c>
      <c r="B350">
        <v>56</v>
      </c>
      <c r="C350" t="s">
        <v>27</v>
      </c>
      <c r="D350" t="s">
        <v>118</v>
      </c>
      <c r="E350" t="s">
        <v>18</v>
      </c>
      <c r="F350" s="2">
        <v>59</v>
      </c>
      <c r="G350" t="s">
        <v>30</v>
      </c>
      <c r="H350" t="s">
        <v>31</v>
      </c>
      <c r="I350" t="s">
        <v>56</v>
      </c>
      <c r="J350" t="s">
        <v>47</v>
      </c>
      <c r="K350">
        <v>2.7</v>
      </c>
      <c r="L350" t="s">
        <v>34</v>
      </c>
      <c r="M350" t="s">
        <v>35</v>
      </c>
      <c r="N350" t="s">
        <v>34</v>
      </c>
      <c r="O350">
        <v>17</v>
      </c>
      <c r="P350" t="s">
        <v>58</v>
      </c>
      <c r="Q350" t="s">
        <v>89</v>
      </c>
      <c r="R350" s="1">
        <v>0.1</v>
      </c>
      <c r="S350">
        <f t="shared" si="20"/>
        <v>53.1</v>
      </c>
      <c r="T350">
        <f>IFERROR(VLOOKUP(A350,Table1[[Customer ID]:[Discount Amount]], 6, FALSE),"Not Found")</f>
        <v>59</v>
      </c>
      <c r="U350" t="str">
        <f t="shared" si="21"/>
        <v>PayPal</v>
      </c>
      <c r="V350" s="4" t="str">
        <f t="shared" si="22"/>
        <v>Normal</v>
      </c>
      <c r="W350" s="4" t="str">
        <f t="shared" si="23"/>
        <v>Poor</v>
      </c>
      <c r="X350" s="4">
        <f>AVERAGE(Table1[Purchase Amount])</f>
        <v>129.48419400000012</v>
      </c>
    </row>
    <row r="351" spans="1:24" ht="15" customHeight="1" x14ac:dyDescent="0.25">
      <c r="A351">
        <v>350</v>
      </c>
      <c r="B351">
        <v>37</v>
      </c>
      <c r="C351" t="s">
        <v>27</v>
      </c>
      <c r="D351" t="s">
        <v>64</v>
      </c>
      <c r="E351" t="s">
        <v>29</v>
      </c>
      <c r="F351" s="2">
        <v>87</v>
      </c>
      <c r="G351" t="s">
        <v>150</v>
      </c>
      <c r="H351" t="s">
        <v>31</v>
      </c>
      <c r="I351" t="s">
        <v>93</v>
      </c>
      <c r="J351" t="s">
        <v>22</v>
      </c>
      <c r="K351">
        <v>3.7</v>
      </c>
      <c r="L351" t="s">
        <v>34</v>
      </c>
      <c r="M351" t="s">
        <v>41</v>
      </c>
      <c r="N351" t="s">
        <v>34</v>
      </c>
      <c r="O351">
        <v>3</v>
      </c>
      <c r="P351" t="s">
        <v>88</v>
      </c>
      <c r="Q351" t="s">
        <v>68</v>
      </c>
      <c r="R351" s="1">
        <v>0.1</v>
      </c>
      <c r="S351">
        <f t="shared" si="20"/>
        <v>78.3</v>
      </c>
      <c r="T351">
        <f>IFERROR(VLOOKUP(A351,Table1[[Customer ID]:[Discount Amount]], 6, FALSE),"Not Found")</f>
        <v>87</v>
      </c>
      <c r="U351" t="str">
        <f t="shared" si="21"/>
        <v>Bank Transfer</v>
      </c>
      <c r="V351" s="4" t="str">
        <f t="shared" si="22"/>
        <v>Normal</v>
      </c>
      <c r="W351" s="4" t="str">
        <f t="shared" si="23"/>
        <v>Good</v>
      </c>
      <c r="X351" s="4">
        <f>AVERAGE(Table1[Purchase Amount])</f>
        <v>129.48419400000012</v>
      </c>
    </row>
    <row r="352" spans="1:24" ht="15" customHeight="1" x14ac:dyDescent="0.25">
      <c r="A352">
        <v>351</v>
      </c>
      <c r="B352">
        <v>42</v>
      </c>
      <c r="C352" t="s">
        <v>27</v>
      </c>
      <c r="D352" t="s">
        <v>127</v>
      </c>
      <c r="E352" t="s">
        <v>18</v>
      </c>
      <c r="F352" s="2">
        <v>68</v>
      </c>
      <c r="G352" t="s">
        <v>70</v>
      </c>
      <c r="H352" t="s">
        <v>31</v>
      </c>
      <c r="I352" t="s">
        <v>111</v>
      </c>
      <c r="J352" t="s">
        <v>33</v>
      </c>
      <c r="K352">
        <v>2.6</v>
      </c>
      <c r="L352" t="s">
        <v>34</v>
      </c>
      <c r="M352" t="s">
        <v>41</v>
      </c>
      <c r="N352" t="s">
        <v>34</v>
      </c>
      <c r="O352">
        <v>47</v>
      </c>
      <c r="P352" t="s">
        <v>88</v>
      </c>
      <c r="Q352" t="s">
        <v>89</v>
      </c>
      <c r="R352" s="1">
        <v>0.1</v>
      </c>
      <c r="S352">
        <f t="shared" si="20"/>
        <v>61.2</v>
      </c>
      <c r="T352">
        <f>IFERROR(VLOOKUP(A352,Table1[[Customer ID]:[Discount Amount]], 6, FALSE),"Not Found")</f>
        <v>68</v>
      </c>
      <c r="U352" t="str">
        <f t="shared" si="21"/>
        <v>Bank Transfer</v>
      </c>
      <c r="V352" s="4" t="str">
        <f t="shared" si="22"/>
        <v>Normal</v>
      </c>
      <c r="W352" s="4" t="str">
        <f t="shared" si="23"/>
        <v>Poor</v>
      </c>
      <c r="X352" s="4">
        <f>AVERAGE(Table1[Purchase Amount])</f>
        <v>129.48419400000012</v>
      </c>
    </row>
    <row r="353" spans="1:24" ht="15" customHeight="1" x14ac:dyDescent="0.25">
      <c r="A353">
        <v>352</v>
      </c>
      <c r="B353">
        <v>28</v>
      </c>
      <c r="C353" t="s">
        <v>27</v>
      </c>
      <c r="D353" t="s">
        <v>122</v>
      </c>
      <c r="E353" t="s">
        <v>18</v>
      </c>
      <c r="F353" s="2">
        <v>90</v>
      </c>
      <c r="G353" t="s">
        <v>101</v>
      </c>
      <c r="H353" t="s">
        <v>31</v>
      </c>
      <c r="I353" t="s">
        <v>147</v>
      </c>
      <c r="J353" t="s">
        <v>22</v>
      </c>
      <c r="K353">
        <v>3.9</v>
      </c>
      <c r="L353" t="s">
        <v>34</v>
      </c>
      <c r="M353" t="s">
        <v>24</v>
      </c>
      <c r="N353" t="s">
        <v>34</v>
      </c>
      <c r="O353">
        <v>24</v>
      </c>
      <c r="P353" t="s">
        <v>36</v>
      </c>
      <c r="Q353" t="s">
        <v>68</v>
      </c>
      <c r="R353" s="1">
        <v>0.1</v>
      </c>
      <c r="S353">
        <f t="shared" si="20"/>
        <v>81</v>
      </c>
      <c r="T353">
        <f>IFERROR(VLOOKUP(A353,Table1[[Customer ID]:[Discount Amount]], 6, FALSE),"Not Found")</f>
        <v>90</v>
      </c>
      <c r="U353" t="str">
        <f t="shared" si="21"/>
        <v>Debit Card</v>
      </c>
      <c r="V353" s="4" t="str">
        <f t="shared" si="22"/>
        <v>Normal</v>
      </c>
      <c r="W353" s="4" t="str">
        <f t="shared" si="23"/>
        <v>Good</v>
      </c>
      <c r="X353" s="4">
        <f>AVERAGE(Table1[Purchase Amount])</f>
        <v>129.48419400000012</v>
      </c>
    </row>
    <row r="354" spans="1:24" ht="15" customHeight="1" x14ac:dyDescent="0.25">
      <c r="A354">
        <v>353</v>
      </c>
      <c r="B354">
        <v>27</v>
      </c>
      <c r="C354" t="s">
        <v>27</v>
      </c>
      <c r="D354" t="s">
        <v>109</v>
      </c>
      <c r="E354" t="s">
        <v>18</v>
      </c>
      <c r="F354" s="2">
        <v>71</v>
      </c>
      <c r="G354" t="s">
        <v>152</v>
      </c>
      <c r="H354" t="s">
        <v>20</v>
      </c>
      <c r="I354" t="s">
        <v>52</v>
      </c>
      <c r="J354" t="s">
        <v>47</v>
      </c>
      <c r="K354">
        <v>4.9000000000000004</v>
      </c>
      <c r="L354" t="s">
        <v>34</v>
      </c>
      <c r="M354" t="s">
        <v>79</v>
      </c>
      <c r="N354" t="s">
        <v>34</v>
      </c>
      <c r="O354">
        <v>12</v>
      </c>
      <c r="P354" t="s">
        <v>25</v>
      </c>
      <c r="Q354" t="s">
        <v>63</v>
      </c>
      <c r="R354" s="1">
        <v>0.1</v>
      </c>
      <c r="S354">
        <f t="shared" si="20"/>
        <v>63.9</v>
      </c>
      <c r="T354">
        <f>IFERROR(VLOOKUP(A354,Table1[[Customer ID]:[Discount Amount]], 6, FALSE),"Not Found")</f>
        <v>71</v>
      </c>
      <c r="U354" t="str">
        <f t="shared" si="21"/>
        <v>Cash</v>
      </c>
      <c r="V354" s="4" t="str">
        <f t="shared" si="22"/>
        <v>Normal</v>
      </c>
      <c r="W354" s="4" t="str">
        <f t="shared" si="23"/>
        <v>Good</v>
      </c>
      <c r="X354" s="4">
        <f>AVERAGE(Table1[Purchase Amount])</f>
        <v>129.48419400000012</v>
      </c>
    </row>
    <row r="355" spans="1:24" ht="15" customHeight="1" x14ac:dyDescent="0.25">
      <c r="A355">
        <v>354</v>
      </c>
      <c r="B355">
        <v>63</v>
      </c>
      <c r="C355" t="s">
        <v>27</v>
      </c>
      <c r="D355" t="s">
        <v>140</v>
      </c>
      <c r="E355" t="s">
        <v>98</v>
      </c>
      <c r="F355" s="2">
        <v>64</v>
      </c>
      <c r="G355" t="s">
        <v>146</v>
      </c>
      <c r="H355" t="s">
        <v>45</v>
      </c>
      <c r="I355" t="s">
        <v>52</v>
      </c>
      <c r="J355" t="s">
        <v>47</v>
      </c>
      <c r="K355">
        <v>4.0999999999999996</v>
      </c>
      <c r="L355" t="s">
        <v>34</v>
      </c>
      <c r="M355" t="s">
        <v>48</v>
      </c>
      <c r="N355" t="s">
        <v>34</v>
      </c>
      <c r="O355">
        <v>35</v>
      </c>
      <c r="P355" t="s">
        <v>36</v>
      </c>
      <c r="Q355" t="s">
        <v>42</v>
      </c>
      <c r="R355" s="1">
        <v>0.1</v>
      </c>
      <c r="S355">
        <f t="shared" si="20"/>
        <v>57.6</v>
      </c>
      <c r="T355">
        <f>IFERROR(VLOOKUP(A355,Table1[[Customer ID]:[Discount Amount]], 6, FALSE),"Not Found")</f>
        <v>64</v>
      </c>
      <c r="U355" t="str">
        <f t="shared" si="21"/>
        <v>Debit Card</v>
      </c>
      <c r="V355" s="4" t="str">
        <f t="shared" si="22"/>
        <v>Normal</v>
      </c>
      <c r="W355" s="4" t="str">
        <f t="shared" si="23"/>
        <v>Good</v>
      </c>
      <c r="X355" s="4">
        <f>AVERAGE(Table1[Purchase Amount])</f>
        <v>129.48419400000012</v>
      </c>
    </row>
    <row r="356" spans="1:24" ht="15" customHeight="1" x14ac:dyDescent="0.25">
      <c r="A356">
        <v>355</v>
      </c>
      <c r="B356">
        <v>58</v>
      </c>
      <c r="C356" t="s">
        <v>27</v>
      </c>
      <c r="D356" t="s">
        <v>50</v>
      </c>
      <c r="E356" t="s">
        <v>29</v>
      </c>
      <c r="F356" s="2">
        <v>76</v>
      </c>
      <c r="G356" t="s">
        <v>78</v>
      </c>
      <c r="H356" t="s">
        <v>55</v>
      </c>
      <c r="I356" t="s">
        <v>21</v>
      </c>
      <c r="J356" t="s">
        <v>47</v>
      </c>
      <c r="K356">
        <v>3</v>
      </c>
      <c r="L356" t="s">
        <v>34</v>
      </c>
      <c r="M356" t="s">
        <v>35</v>
      </c>
      <c r="N356" t="s">
        <v>34</v>
      </c>
      <c r="O356">
        <v>42</v>
      </c>
      <c r="P356" t="s">
        <v>62</v>
      </c>
      <c r="Q356" t="s">
        <v>26</v>
      </c>
      <c r="R356" s="1">
        <v>0.1</v>
      </c>
      <c r="S356">
        <f t="shared" si="20"/>
        <v>68.400000000000006</v>
      </c>
      <c r="T356">
        <f>IFERROR(VLOOKUP(A356,Table1[[Customer ID]:[Discount Amount]], 6, FALSE),"Not Found")</f>
        <v>76</v>
      </c>
      <c r="U356" t="str">
        <f t="shared" si="21"/>
        <v>Venmo</v>
      </c>
      <c r="V356" s="4" t="str">
        <f t="shared" si="22"/>
        <v>Normal</v>
      </c>
      <c r="W356" s="4" t="str">
        <f t="shared" si="23"/>
        <v>Good</v>
      </c>
      <c r="X356" s="4">
        <f>AVERAGE(Table1[Purchase Amount])</f>
        <v>129.48419400000012</v>
      </c>
    </row>
    <row r="357" spans="1:24" ht="15" customHeight="1" x14ac:dyDescent="0.25">
      <c r="A357">
        <v>356</v>
      </c>
      <c r="B357">
        <v>37</v>
      </c>
      <c r="C357" t="s">
        <v>27</v>
      </c>
      <c r="D357" t="s">
        <v>50</v>
      </c>
      <c r="E357" t="s">
        <v>29</v>
      </c>
      <c r="F357" s="2">
        <v>42</v>
      </c>
      <c r="G357" t="s">
        <v>123</v>
      </c>
      <c r="H357" t="s">
        <v>20</v>
      </c>
      <c r="I357" t="s">
        <v>87</v>
      </c>
      <c r="J357" t="s">
        <v>47</v>
      </c>
      <c r="K357">
        <v>4.0999999999999996</v>
      </c>
      <c r="L357" t="s">
        <v>34</v>
      </c>
      <c r="M357" t="s">
        <v>41</v>
      </c>
      <c r="N357" t="s">
        <v>34</v>
      </c>
      <c r="O357">
        <v>1</v>
      </c>
      <c r="P357" t="s">
        <v>58</v>
      </c>
      <c r="Q357" t="s">
        <v>63</v>
      </c>
      <c r="R357" s="1">
        <v>0.1</v>
      </c>
      <c r="S357">
        <f t="shared" si="20"/>
        <v>37.799999999999997</v>
      </c>
      <c r="T357">
        <f>IFERROR(VLOOKUP(A357,Table1[[Customer ID]:[Discount Amount]], 6, FALSE),"Not Found")</f>
        <v>42</v>
      </c>
      <c r="U357" t="str">
        <f t="shared" si="21"/>
        <v>PayPal</v>
      </c>
      <c r="V357" s="4" t="str">
        <f t="shared" si="22"/>
        <v>Normal</v>
      </c>
      <c r="W357" s="4" t="str">
        <f t="shared" si="23"/>
        <v>Good</v>
      </c>
      <c r="X357" s="4">
        <f>AVERAGE(Table1[Purchase Amount])</f>
        <v>129.48419400000012</v>
      </c>
    </row>
    <row r="358" spans="1:24" ht="15" customHeight="1" x14ac:dyDescent="0.25">
      <c r="A358">
        <v>357</v>
      </c>
      <c r="B358">
        <v>56</v>
      </c>
      <c r="C358" t="s">
        <v>27</v>
      </c>
      <c r="D358" t="s">
        <v>99</v>
      </c>
      <c r="E358" t="s">
        <v>18</v>
      </c>
      <c r="F358" s="2">
        <v>80</v>
      </c>
      <c r="G358" t="s">
        <v>158</v>
      </c>
      <c r="H358" t="s">
        <v>45</v>
      </c>
      <c r="I358" t="s">
        <v>40</v>
      </c>
      <c r="J358" t="s">
        <v>33</v>
      </c>
      <c r="K358">
        <v>1</v>
      </c>
      <c r="L358" t="s">
        <v>34</v>
      </c>
      <c r="M358" t="s">
        <v>24</v>
      </c>
      <c r="N358" t="s">
        <v>34</v>
      </c>
      <c r="O358">
        <v>27</v>
      </c>
      <c r="P358" t="s">
        <v>25</v>
      </c>
      <c r="Q358" t="s">
        <v>26</v>
      </c>
      <c r="R358" s="1">
        <v>0.1</v>
      </c>
      <c r="S358">
        <f t="shared" si="20"/>
        <v>72</v>
      </c>
      <c r="T358">
        <f>IFERROR(VLOOKUP(A358,Table1[[Customer ID]:[Discount Amount]], 6, FALSE),"Not Found")</f>
        <v>80</v>
      </c>
      <c r="U358" t="str">
        <f t="shared" si="21"/>
        <v>Cash</v>
      </c>
      <c r="V358" s="4" t="str">
        <f t="shared" si="22"/>
        <v>Normal</v>
      </c>
      <c r="W358" s="4" t="str">
        <f t="shared" si="23"/>
        <v>Poor</v>
      </c>
      <c r="X358" s="4">
        <f>AVERAGE(Table1[Purchase Amount])</f>
        <v>129.48419400000012</v>
      </c>
    </row>
    <row r="359" spans="1:24" ht="15" customHeight="1" x14ac:dyDescent="0.25">
      <c r="A359">
        <v>358</v>
      </c>
      <c r="B359">
        <v>18</v>
      </c>
      <c r="C359" t="s">
        <v>27</v>
      </c>
      <c r="D359" t="s">
        <v>114</v>
      </c>
      <c r="E359" t="s">
        <v>29</v>
      </c>
      <c r="F359" s="2">
        <v>56</v>
      </c>
      <c r="G359" t="s">
        <v>100</v>
      </c>
      <c r="H359" t="s">
        <v>31</v>
      </c>
      <c r="I359" t="s">
        <v>21</v>
      </c>
      <c r="J359" t="s">
        <v>33</v>
      </c>
      <c r="K359">
        <v>4</v>
      </c>
      <c r="L359" t="s">
        <v>34</v>
      </c>
      <c r="M359" t="s">
        <v>24</v>
      </c>
      <c r="N359" t="s">
        <v>34</v>
      </c>
      <c r="O359">
        <v>16</v>
      </c>
      <c r="P359" t="s">
        <v>53</v>
      </c>
      <c r="Q359" t="s">
        <v>68</v>
      </c>
      <c r="R359" s="1">
        <v>0.1</v>
      </c>
      <c r="S359">
        <f t="shared" si="20"/>
        <v>50.4</v>
      </c>
      <c r="T359">
        <f>IFERROR(VLOOKUP(A359,Table1[[Customer ID]:[Discount Amount]], 6, FALSE),"Not Found")</f>
        <v>56</v>
      </c>
      <c r="U359" t="str">
        <f t="shared" si="21"/>
        <v>Credit Card</v>
      </c>
      <c r="V359" s="4" t="str">
        <f t="shared" si="22"/>
        <v>Normal</v>
      </c>
      <c r="W359" s="4" t="str">
        <f t="shared" si="23"/>
        <v>Good</v>
      </c>
      <c r="X359" s="4">
        <f>AVERAGE(Table1[Purchase Amount])</f>
        <v>129.48419400000012</v>
      </c>
    </row>
    <row r="360" spans="1:24" ht="15" customHeight="1" x14ac:dyDescent="0.25">
      <c r="A360">
        <v>359</v>
      </c>
      <c r="B360">
        <v>48</v>
      </c>
      <c r="C360" t="s">
        <v>27</v>
      </c>
      <c r="D360" t="s">
        <v>64</v>
      </c>
      <c r="E360" t="s">
        <v>29</v>
      </c>
      <c r="F360" s="2">
        <v>25</v>
      </c>
      <c r="G360" t="s">
        <v>120</v>
      </c>
      <c r="H360" t="s">
        <v>20</v>
      </c>
      <c r="I360" t="s">
        <v>87</v>
      </c>
      <c r="J360" t="s">
        <v>57</v>
      </c>
      <c r="K360">
        <v>3.6</v>
      </c>
      <c r="L360" t="s">
        <v>34</v>
      </c>
      <c r="M360" t="s">
        <v>61</v>
      </c>
      <c r="N360" t="s">
        <v>34</v>
      </c>
      <c r="O360">
        <v>36</v>
      </c>
      <c r="P360" t="s">
        <v>53</v>
      </c>
      <c r="Q360" t="s">
        <v>63</v>
      </c>
      <c r="R360" s="1">
        <v>0.1</v>
      </c>
      <c r="S360">
        <f t="shared" si="20"/>
        <v>22.5</v>
      </c>
      <c r="T360">
        <f>IFERROR(VLOOKUP(A360,Table1[[Customer ID]:[Discount Amount]], 6, FALSE),"Not Found")</f>
        <v>25</v>
      </c>
      <c r="U360" t="str">
        <f t="shared" si="21"/>
        <v>Credit Card</v>
      </c>
      <c r="V360" s="4" t="str">
        <f t="shared" si="22"/>
        <v>Normal</v>
      </c>
      <c r="W360" s="4" t="str">
        <f t="shared" si="23"/>
        <v>Good</v>
      </c>
      <c r="X360" s="4">
        <f>AVERAGE(Table1[Purchase Amount])</f>
        <v>129.48419400000012</v>
      </c>
    </row>
    <row r="361" spans="1:24" ht="15" customHeight="1" x14ac:dyDescent="0.25">
      <c r="A361">
        <v>360</v>
      </c>
      <c r="B361">
        <v>31</v>
      </c>
      <c r="C361" t="s">
        <v>27</v>
      </c>
      <c r="D361" t="s">
        <v>140</v>
      </c>
      <c r="E361" t="s">
        <v>98</v>
      </c>
      <c r="F361" s="2">
        <v>74</v>
      </c>
      <c r="G361" t="s">
        <v>160</v>
      </c>
      <c r="H361" t="s">
        <v>31</v>
      </c>
      <c r="I361" t="s">
        <v>21</v>
      </c>
      <c r="J361" t="s">
        <v>22</v>
      </c>
      <c r="K361">
        <v>3</v>
      </c>
      <c r="L361" t="s">
        <v>34</v>
      </c>
      <c r="M361" t="s">
        <v>48</v>
      </c>
      <c r="N361" t="s">
        <v>34</v>
      </c>
      <c r="O361">
        <v>30</v>
      </c>
      <c r="P361" t="s">
        <v>53</v>
      </c>
      <c r="Q361" t="s">
        <v>63</v>
      </c>
      <c r="R361" s="1">
        <v>0.1</v>
      </c>
      <c r="S361">
        <f t="shared" si="20"/>
        <v>66.599999999999994</v>
      </c>
      <c r="T361">
        <f>IFERROR(VLOOKUP(A361,Table1[[Customer ID]:[Discount Amount]], 6, FALSE),"Not Found")</f>
        <v>74</v>
      </c>
      <c r="U361" t="str">
        <f t="shared" si="21"/>
        <v>Credit Card</v>
      </c>
      <c r="V361" s="4" t="str">
        <f t="shared" si="22"/>
        <v>Normal</v>
      </c>
      <c r="W361" s="4" t="str">
        <f t="shared" si="23"/>
        <v>Good</v>
      </c>
      <c r="X361" s="4">
        <f>AVERAGE(Table1[Purchase Amount])</f>
        <v>129.48419400000012</v>
      </c>
    </row>
    <row r="362" spans="1:24" ht="15" customHeight="1" x14ac:dyDescent="0.25">
      <c r="A362">
        <v>361</v>
      </c>
      <c r="B362">
        <v>51</v>
      </c>
      <c r="C362" t="s">
        <v>27</v>
      </c>
      <c r="D362" t="s">
        <v>99</v>
      </c>
      <c r="E362" t="s">
        <v>18</v>
      </c>
      <c r="F362" s="2">
        <v>30</v>
      </c>
      <c r="G362" t="s">
        <v>159</v>
      </c>
      <c r="H362" t="s">
        <v>31</v>
      </c>
      <c r="I362" t="s">
        <v>147</v>
      </c>
      <c r="J362" t="s">
        <v>57</v>
      </c>
      <c r="K362">
        <v>3</v>
      </c>
      <c r="L362" t="s">
        <v>34</v>
      </c>
      <c r="M362" t="s">
        <v>24</v>
      </c>
      <c r="N362" t="s">
        <v>34</v>
      </c>
      <c r="O362">
        <v>18</v>
      </c>
      <c r="P362" t="s">
        <v>36</v>
      </c>
      <c r="Q362" t="s">
        <v>89</v>
      </c>
      <c r="R362" s="1">
        <v>0.1</v>
      </c>
      <c r="S362">
        <f t="shared" si="20"/>
        <v>27</v>
      </c>
      <c r="T362">
        <f>IFERROR(VLOOKUP(A362,Table1[[Customer ID]:[Discount Amount]], 6, FALSE),"Not Found")</f>
        <v>30</v>
      </c>
      <c r="U362" t="str">
        <f t="shared" si="21"/>
        <v>Debit Card</v>
      </c>
      <c r="V362" s="4" t="str">
        <f t="shared" si="22"/>
        <v>Normal</v>
      </c>
      <c r="W362" s="4" t="str">
        <f t="shared" si="23"/>
        <v>Good</v>
      </c>
      <c r="X362" s="4">
        <f>AVERAGE(Table1[Purchase Amount])</f>
        <v>129.48419400000012</v>
      </c>
    </row>
    <row r="363" spans="1:24" ht="15" customHeight="1" x14ac:dyDescent="0.25">
      <c r="A363">
        <v>362</v>
      </c>
      <c r="B363">
        <v>65</v>
      </c>
      <c r="C363" t="s">
        <v>27</v>
      </c>
      <c r="D363" t="s">
        <v>17</v>
      </c>
      <c r="E363" t="s">
        <v>18</v>
      </c>
      <c r="F363" s="2">
        <v>96</v>
      </c>
      <c r="G363" t="s">
        <v>158</v>
      </c>
      <c r="H363" t="s">
        <v>31</v>
      </c>
      <c r="I363" t="s">
        <v>32</v>
      </c>
      <c r="J363" t="s">
        <v>33</v>
      </c>
      <c r="K363">
        <v>2.6</v>
      </c>
      <c r="L363" t="s">
        <v>34</v>
      </c>
      <c r="M363" t="s">
        <v>35</v>
      </c>
      <c r="N363" t="s">
        <v>34</v>
      </c>
      <c r="O363">
        <v>45</v>
      </c>
      <c r="P363" t="s">
        <v>25</v>
      </c>
      <c r="Q363" t="s">
        <v>49</v>
      </c>
      <c r="R363" s="1">
        <v>0.1</v>
      </c>
      <c r="S363">
        <f t="shared" si="20"/>
        <v>86.4</v>
      </c>
      <c r="T363">
        <f>IFERROR(VLOOKUP(A363,Table1[[Customer ID]:[Discount Amount]], 6, FALSE),"Not Found")</f>
        <v>96</v>
      </c>
      <c r="U363" t="str">
        <f t="shared" si="21"/>
        <v>Cash</v>
      </c>
      <c r="V363" s="4" t="str">
        <f t="shared" si="22"/>
        <v>Normal</v>
      </c>
      <c r="W363" s="4" t="str">
        <f t="shared" si="23"/>
        <v>Poor</v>
      </c>
      <c r="X363" s="4">
        <f>AVERAGE(Table1[Purchase Amount])</f>
        <v>129.48419400000012</v>
      </c>
    </row>
    <row r="364" spans="1:24" ht="15" customHeight="1" x14ac:dyDescent="0.25">
      <c r="A364">
        <v>363</v>
      </c>
      <c r="B364">
        <v>53</v>
      </c>
      <c r="C364" t="s">
        <v>27</v>
      </c>
      <c r="D364" t="s">
        <v>140</v>
      </c>
      <c r="E364" t="s">
        <v>98</v>
      </c>
      <c r="F364" s="2">
        <v>64</v>
      </c>
      <c r="G364" t="s">
        <v>152</v>
      </c>
      <c r="H364" t="s">
        <v>31</v>
      </c>
      <c r="I364" t="s">
        <v>103</v>
      </c>
      <c r="J364" t="s">
        <v>47</v>
      </c>
      <c r="K364">
        <v>3.4</v>
      </c>
      <c r="L364" t="s">
        <v>34</v>
      </c>
      <c r="M364" t="s">
        <v>35</v>
      </c>
      <c r="N364" t="s">
        <v>34</v>
      </c>
      <c r="O364">
        <v>1</v>
      </c>
      <c r="P364" t="s">
        <v>62</v>
      </c>
      <c r="Q364" t="s">
        <v>89</v>
      </c>
      <c r="R364" s="1">
        <v>0.1</v>
      </c>
      <c r="S364">
        <f t="shared" si="20"/>
        <v>57.6</v>
      </c>
      <c r="T364">
        <f>IFERROR(VLOOKUP(A364,Table1[[Customer ID]:[Discount Amount]], 6, FALSE),"Not Found")</f>
        <v>64</v>
      </c>
      <c r="U364" t="str">
        <f t="shared" si="21"/>
        <v>Venmo</v>
      </c>
      <c r="V364" s="4" t="str">
        <f t="shared" si="22"/>
        <v>Normal</v>
      </c>
      <c r="W364" s="4" t="str">
        <f t="shared" si="23"/>
        <v>Good</v>
      </c>
      <c r="X364" s="4">
        <f>AVERAGE(Table1[Purchase Amount])</f>
        <v>129.48419400000012</v>
      </c>
    </row>
    <row r="365" spans="1:24" ht="15" customHeight="1" x14ac:dyDescent="0.25">
      <c r="A365">
        <v>364</v>
      </c>
      <c r="B365">
        <v>55</v>
      </c>
      <c r="C365" t="s">
        <v>27</v>
      </c>
      <c r="D365" t="s">
        <v>54</v>
      </c>
      <c r="E365" t="s">
        <v>18</v>
      </c>
      <c r="F365" s="2">
        <v>88</v>
      </c>
      <c r="G365" t="s">
        <v>67</v>
      </c>
      <c r="H365" t="s">
        <v>45</v>
      </c>
      <c r="I365" t="s">
        <v>52</v>
      </c>
      <c r="J365" t="s">
        <v>22</v>
      </c>
      <c r="K365">
        <v>3.1</v>
      </c>
      <c r="L365" t="s">
        <v>34</v>
      </c>
      <c r="M365" t="s">
        <v>35</v>
      </c>
      <c r="N365" t="s">
        <v>34</v>
      </c>
      <c r="O365">
        <v>42</v>
      </c>
      <c r="P365" t="s">
        <v>88</v>
      </c>
      <c r="Q365" t="s">
        <v>89</v>
      </c>
      <c r="R365" s="1">
        <v>0.1</v>
      </c>
      <c r="S365">
        <f t="shared" si="20"/>
        <v>79.2</v>
      </c>
      <c r="T365">
        <f>IFERROR(VLOOKUP(A365,Table1[[Customer ID]:[Discount Amount]], 6, FALSE),"Not Found")</f>
        <v>88</v>
      </c>
      <c r="U365" t="str">
        <f t="shared" si="21"/>
        <v>Bank Transfer</v>
      </c>
      <c r="V365" s="4" t="str">
        <f t="shared" si="22"/>
        <v>Normal</v>
      </c>
      <c r="W365" s="4" t="str">
        <f t="shared" si="23"/>
        <v>Good</v>
      </c>
      <c r="X365" s="4">
        <f>AVERAGE(Table1[Purchase Amount])</f>
        <v>129.48419400000012</v>
      </c>
    </row>
    <row r="366" spans="1:24" ht="15" customHeight="1" x14ac:dyDescent="0.25">
      <c r="A366">
        <v>365</v>
      </c>
      <c r="B366">
        <v>62</v>
      </c>
      <c r="C366" t="s">
        <v>27</v>
      </c>
      <c r="D366" t="s">
        <v>72</v>
      </c>
      <c r="E366" t="s">
        <v>98</v>
      </c>
      <c r="F366" s="2">
        <v>88</v>
      </c>
      <c r="G366" t="s">
        <v>86</v>
      </c>
      <c r="H366" t="s">
        <v>45</v>
      </c>
      <c r="I366" t="s">
        <v>103</v>
      </c>
      <c r="J366" t="s">
        <v>57</v>
      </c>
      <c r="K366">
        <v>3</v>
      </c>
      <c r="L366" t="s">
        <v>34</v>
      </c>
      <c r="M366" t="s">
        <v>35</v>
      </c>
      <c r="N366" t="s">
        <v>34</v>
      </c>
      <c r="O366">
        <v>7</v>
      </c>
      <c r="P366" t="s">
        <v>62</v>
      </c>
      <c r="Q366" t="s">
        <v>63</v>
      </c>
      <c r="R366" s="1">
        <v>0.1</v>
      </c>
      <c r="S366">
        <f t="shared" si="20"/>
        <v>79.2</v>
      </c>
      <c r="T366">
        <f>IFERROR(VLOOKUP(A366,Table1[[Customer ID]:[Discount Amount]], 6, FALSE),"Not Found")</f>
        <v>88</v>
      </c>
      <c r="U366" t="str">
        <f t="shared" si="21"/>
        <v>Venmo</v>
      </c>
      <c r="V366" s="4" t="str">
        <f t="shared" si="22"/>
        <v>Normal</v>
      </c>
      <c r="W366" s="4" t="str">
        <f t="shared" si="23"/>
        <v>Good</v>
      </c>
      <c r="X366" s="4">
        <f>AVERAGE(Table1[Purchase Amount])</f>
        <v>129.48419400000012</v>
      </c>
    </row>
    <row r="367" spans="1:24" ht="15" customHeight="1" x14ac:dyDescent="0.25">
      <c r="A367">
        <v>366</v>
      </c>
      <c r="B367">
        <v>55</v>
      </c>
      <c r="C367" t="s">
        <v>27</v>
      </c>
      <c r="D367" t="s">
        <v>43</v>
      </c>
      <c r="E367" t="s">
        <v>29</v>
      </c>
      <c r="F367" s="2">
        <v>88</v>
      </c>
      <c r="G367" t="s">
        <v>154</v>
      </c>
      <c r="H367" t="s">
        <v>20</v>
      </c>
      <c r="I367" t="s">
        <v>85</v>
      </c>
      <c r="J367" t="s">
        <v>57</v>
      </c>
      <c r="K367">
        <v>3.7</v>
      </c>
      <c r="L367" t="s">
        <v>34</v>
      </c>
      <c r="M367" t="s">
        <v>24</v>
      </c>
      <c r="N367" t="s">
        <v>34</v>
      </c>
      <c r="O367">
        <v>50</v>
      </c>
      <c r="P367" t="s">
        <v>58</v>
      </c>
      <c r="Q367" t="s">
        <v>37</v>
      </c>
      <c r="R367" s="1">
        <v>0.1</v>
      </c>
      <c r="S367">
        <f t="shared" si="20"/>
        <v>79.2</v>
      </c>
      <c r="T367">
        <f>IFERROR(VLOOKUP(A367,Table1[[Customer ID]:[Discount Amount]], 6, FALSE),"Not Found")</f>
        <v>88</v>
      </c>
      <c r="U367" t="str">
        <f t="shared" si="21"/>
        <v>PayPal</v>
      </c>
      <c r="V367" s="4" t="str">
        <f t="shared" si="22"/>
        <v>Normal</v>
      </c>
      <c r="W367" s="4" t="str">
        <f t="shared" si="23"/>
        <v>Good</v>
      </c>
      <c r="X367" s="4">
        <f>AVERAGE(Table1[Purchase Amount])</f>
        <v>129.48419400000012</v>
      </c>
    </row>
    <row r="368" spans="1:24" ht="15" customHeight="1" x14ac:dyDescent="0.25">
      <c r="A368">
        <v>367</v>
      </c>
      <c r="B368">
        <v>64</v>
      </c>
      <c r="C368" t="s">
        <v>27</v>
      </c>
      <c r="D368" t="s">
        <v>105</v>
      </c>
      <c r="E368" t="s">
        <v>18</v>
      </c>
      <c r="F368" s="2">
        <v>36</v>
      </c>
      <c r="G368" t="s">
        <v>137</v>
      </c>
      <c r="H368" t="s">
        <v>31</v>
      </c>
      <c r="I368" t="s">
        <v>156</v>
      </c>
      <c r="J368" t="s">
        <v>33</v>
      </c>
      <c r="K368">
        <v>3.5</v>
      </c>
      <c r="L368" t="s">
        <v>34</v>
      </c>
      <c r="M368" t="s">
        <v>48</v>
      </c>
      <c r="N368" t="s">
        <v>34</v>
      </c>
      <c r="O368">
        <v>37</v>
      </c>
      <c r="P368" t="s">
        <v>62</v>
      </c>
      <c r="Q368" t="s">
        <v>89</v>
      </c>
      <c r="R368" s="1">
        <v>0.1</v>
      </c>
      <c r="S368">
        <f t="shared" si="20"/>
        <v>32.4</v>
      </c>
      <c r="T368">
        <f>IFERROR(VLOOKUP(A368,Table1[[Customer ID]:[Discount Amount]], 6, FALSE),"Not Found")</f>
        <v>36</v>
      </c>
      <c r="U368" t="str">
        <f t="shared" si="21"/>
        <v>Venmo</v>
      </c>
      <c r="V368" s="4" t="str">
        <f t="shared" si="22"/>
        <v>Normal</v>
      </c>
      <c r="W368" s="4" t="str">
        <f t="shared" si="23"/>
        <v>Good</v>
      </c>
      <c r="X368" s="4">
        <f>AVERAGE(Table1[Purchase Amount])</f>
        <v>129.48419400000012</v>
      </c>
    </row>
    <row r="369" spans="1:24" ht="15" customHeight="1" x14ac:dyDescent="0.25">
      <c r="A369">
        <v>368</v>
      </c>
      <c r="B369">
        <v>52</v>
      </c>
      <c r="C369" t="s">
        <v>27</v>
      </c>
      <c r="D369" t="s">
        <v>157</v>
      </c>
      <c r="E369" t="s">
        <v>18</v>
      </c>
      <c r="F369" s="2">
        <v>40</v>
      </c>
      <c r="G369" t="s">
        <v>65</v>
      </c>
      <c r="H369" t="s">
        <v>20</v>
      </c>
      <c r="I369" t="s">
        <v>128</v>
      </c>
      <c r="J369" t="s">
        <v>33</v>
      </c>
      <c r="K369">
        <v>2.8</v>
      </c>
      <c r="L369" t="s">
        <v>34</v>
      </c>
      <c r="M369" t="s">
        <v>48</v>
      </c>
      <c r="N369" t="s">
        <v>34</v>
      </c>
      <c r="O369">
        <v>18</v>
      </c>
      <c r="P369" t="s">
        <v>88</v>
      </c>
      <c r="Q369" t="s">
        <v>42</v>
      </c>
      <c r="R369" s="1">
        <v>0.1</v>
      </c>
      <c r="S369">
        <f t="shared" si="20"/>
        <v>36</v>
      </c>
      <c r="T369">
        <f>IFERROR(VLOOKUP(A369,Table1[[Customer ID]:[Discount Amount]], 6, FALSE),"Not Found")</f>
        <v>40</v>
      </c>
      <c r="U369" t="str">
        <f t="shared" si="21"/>
        <v>Bank Transfer</v>
      </c>
      <c r="V369" s="4" t="str">
        <f t="shared" si="22"/>
        <v>Normal</v>
      </c>
      <c r="W369" s="4" t="str">
        <f t="shared" si="23"/>
        <v>Poor</v>
      </c>
      <c r="X369" s="4">
        <f>AVERAGE(Table1[Purchase Amount])</f>
        <v>129.48419400000012</v>
      </c>
    </row>
    <row r="370" spans="1:24" ht="15" customHeight="1" x14ac:dyDescent="0.25">
      <c r="A370">
        <v>369</v>
      </c>
      <c r="B370">
        <v>24</v>
      </c>
      <c r="C370" t="s">
        <v>27</v>
      </c>
      <c r="D370" t="s">
        <v>69</v>
      </c>
      <c r="E370" t="s">
        <v>29</v>
      </c>
      <c r="F370" s="2">
        <v>39</v>
      </c>
      <c r="G370" t="s">
        <v>142</v>
      </c>
      <c r="H370" t="s">
        <v>31</v>
      </c>
      <c r="I370" t="s">
        <v>103</v>
      </c>
      <c r="J370" t="s">
        <v>33</v>
      </c>
      <c r="K370">
        <v>4.5</v>
      </c>
      <c r="L370" t="s">
        <v>34</v>
      </c>
      <c r="M370" t="s">
        <v>24</v>
      </c>
      <c r="N370" t="s">
        <v>34</v>
      </c>
      <c r="O370">
        <v>29</v>
      </c>
      <c r="P370" t="s">
        <v>25</v>
      </c>
      <c r="Q370" t="s">
        <v>42</v>
      </c>
      <c r="R370" s="1">
        <v>0.1</v>
      </c>
      <c r="S370">
        <f t="shared" si="20"/>
        <v>35.1</v>
      </c>
      <c r="T370">
        <f>IFERROR(VLOOKUP(A370,Table1[[Customer ID]:[Discount Amount]], 6, FALSE),"Not Found")</f>
        <v>39</v>
      </c>
      <c r="U370" t="str">
        <f t="shared" si="21"/>
        <v>Cash</v>
      </c>
      <c r="V370" s="4" t="str">
        <f t="shared" si="22"/>
        <v>Normal</v>
      </c>
      <c r="W370" s="4" t="str">
        <f t="shared" si="23"/>
        <v>Good</v>
      </c>
      <c r="X370" s="4">
        <f>AVERAGE(Table1[Purchase Amount])</f>
        <v>129.48419400000012</v>
      </c>
    </row>
    <row r="371" spans="1:24" ht="15" customHeight="1" x14ac:dyDescent="0.25">
      <c r="A371">
        <v>370</v>
      </c>
      <c r="B371">
        <v>38</v>
      </c>
      <c r="C371" t="s">
        <v>27</v>
      </c>
      <c r="D371" t="s">
        <v>114</v>
      </c>
      <c r="E371" t="s">
        <v>29</v>
      </c>
      <c r="F371" s="2">
        <v>40</v>
      </c>
      <c r="G371" t="s">
        <v>59</v>
      </c>
      <c r="H371" t="s">
        <v>31</v>
      </c>
      <c r="I371" t="s">
        <v>153</v>
      </c>
      <c r="J371" t="s">
        <v>57</v>
      </c>
      <c r="K371">
        <v>3.3</v>
      </c>
      <c r="L371" t="s">
        <v>34</v>
      </c>
      <c r="M371" t="s">
        <v>48</v>
      </c>
      <c r="N371" t="s">
        <v>34</v>
      </c>
      <c r="O371">
        <v>45</v>
      </c>
      <c r="P371" t="s">
        <v>58</v>
      </c>
      <c r="Q371" t="s">
        <v>37</v>
      </c>
      <c r="R371" s="1">
        <v>0.1</v>
      </c>
      <c r="S371">
        <f t="shared" si="20"/>
        <v>36</v>
      </c>
      <c r="T371">
        <f>IFERROR(VLOOKUP(A371,Table1[[Customer ID]:[Discount Amount]], 6, FALSE),"Not Found")</f>
        <v>40</v>
      </c>
      <c r="U371" t="str">
        <f t="shared" si="21"/>
        <v>PayPal</v>
      </c>
      <c r="V371" s="4" t="str">
        <f t="shared" si="22"/>
        <v>Normal</v>
      </c>
      <c r="W371" s="4" t="str">
        <f t="shared" si="23"/>
        <v>Good</v>
      </c>
      <c r="X371" s="4">
        <f>AVERAGE(Table1[Purchase Amount])</f>
        <v>129.48419400000012</v>
      </c>
    </row>
    <row r="372" spans="1:24" ht="15" customHeight="1" x14ac:dyDescent="0.25">
      <c r="A372">
        <v>371</v>
      </c>
      <c r="B372">
        <v>59</v>
      </c>
      <c r="C372" t="s">
        <v>27</v>
      </c>
      <c r="D372" t="s">
        <v>129</v>
      </c>
      <c r="E372" t="s">
        <v>29</v>
      </c>
      <c r="F372" s="2">
        <v>34</v>
      </c>
      <c r="G372" t="s">
        <v>123</v>
      </c>
      <c r="H372" t="s">
        <v>31</v>
      </c>
      <c r="I372" t="s">
        <v>21</v>
      </c>
      <c r="J372" t="s">
        <v>22</v>
      </c>
      <c r="K372">
        <v>3.4</v>
      </c>
      <c r="L372" t="s">
        <v>34</v>
      </c>
      <c r="M372" t="s">
        <v>61</v>
      </c>
      <c r="N372" t="s">
        <v>34</v>
      </c>
      <c r="O372">
        <v>13</v>
      </c>
      <c r="P372" t="s">
        <v>58</v>
      </c>
      <c r="Q372" t="s">
        <v>26</v>
      </c>
      <c r="R372" s="1">
        <v>0.1</v>
      </c>
      <c r="S372">
        <f t="shared" si="20"/>
        <v>30.6</v>
      </c>
      <c r="T372">
        <f>IFERROR(VLOOKUP(A372,Table1[[Customer ID]:[Discount Amount]], 6, FALSE),"Not Found")</f>
        <v>34</v>
      </c>
      <c r="U372" t="str">
        <f t="shared" si="21"/>
        <v>PayPal</v>
      </c>
      <c r="V372" s="4" t="str">
        <f t="shared" si="22"/>
        <v>Normal</v>
      </c>
      <c r="W372" s="4" t="str">
        <f t="shared" si="23"/>
        <v>Good</v>
      </c>
      <c r="X372" s="4">
        <f>AVERAGE(Table1[Purchase Amount])</f>
        <v>129.48419400000012</v>
      </c>
    </row>
    <row r="373" spans="1:24" ht="15" customHeight="1" x14ac:dyDescent="0.25">
      <c r="A373">
        <v>372</v>
      </c>
      <c r="B373">
        <v>27</v>
      </c>
      <c r="C373" t="s">
        <v>27</v>
      </c>
      <c r="D373" t="s">
        <v>140</v>
      </c>
      <c r="E373" t="s">
        <v>98</v>
      </c>
      <c r="F373" s="2">
        <v>83</v>
      </c>
      <c r="G373" t="s">
        <v>134</v>
      </c>
      <c r="H373" t="s">
        <v>55</v>
      </c>
      <c r="I373" t="s">
        <v>136</v>
      </c>
      <c r="J373" t="s">
        <v>22</v>
      </c>
      <c r="K373">
        <v>3.2</v>
      </c>
      <c r="L373" t="s">
        <v>34</v>
      </c>
      <c r="M373" t="s">
        <v>41</v>
      </c>
      <c r="N373" t="s">
        <v>34</v>
      </c>
      <c r="O373">
        <v>47</v>
      </c>
      <c r="P373" t="s">
        <v>58</v>
      </c>
      <c r="Q373" t="s">
        <v>42</v>
      </c>
      <c r="R373" s="1">
        <v>0.1</v>
      </c>
      <c r="S373">
        <f t="shared" si="20"/>
        <v>74.7</v>
      </c>
      <c r="T373">
        <f>IFERROR(VLOOKUP(A373,Table1[[Customer ID]:[Discount Amount]], 6, FALSE),"Not Found")</f>
        <v>83</v>
      </c>
      <c r="U373" t="str">
        <f t="shared" si="21"/>
        <v>PayPal</v>
      </c>
      <c r="V373" s="4" t="str">
        <f t="shared" si="22"/>
        <v>Normal</v>
      </c>
      <c r="W373" s="4" t="str">
        <f t="shared" si="23"/>
        <v>Good</v>
      </c>
      <c r="X373" s="4">
        <f>AVERAGE(Table1[Purchase Amount])</f>
        <v>129.48419400000012</v>
      </c>
    </row>
    <row r="374" spans="1:24" ht="15" customHeight="1" x14ac:dyDescent="0.25">
      <c r="A374">
        <v>373</v>
      </c>
      <c r="B374">
        <v>24</v>
      </c>
      <c r="C374" t="s">
        <v>27</v>
      </c>
      <c r="D374" t="s">
        <v>127</v>
      </c>
      <c r="E374" t="s">
        <v>18</v>
      </c>
      <c r="F374" s="2">
        <v>85</v>
      </c>
      <c r="G374" t="s">
        <v>78</v>
      </c>
      <c r="H374" t="s">
        <v>45</v>
      </c>
      <c r="I374" t="s">
        <v>108</v>
      </c>
      <c r="J374" t="s">
        <v>57</v>
      </c>
      <c r="K374">
        <v>3.7</v>
      </c>
      <c r="L374" t="s">
        <v>34</v>
      </c>
      <c r="M374" t="s">
        <v>24</v>
      </c>
      <c r="N374" t="s">
        <v>34</v>
      </c>
      <c r="O374">
        <v>7</v>
      </c>
      <c r="P374" t="s">
        <v>36</v>
      </c>
      <c r="Q374" t="s">
        <v>26</v>
      </c>
      <c r="R374" s="1">
        <v>0.1</v>
      </c>
      <c r="S374">
        <f t="shared" si="20"/>
        <v>76.5</v>
      </c>
      <c r="T374">
        <f>IFERROR(VLOOKUP(A374,Table1[[Customer ID]:[Discount Amount]], 6, FALSE),"Not Found")</f>
        <v>85</v>
      </c>
      <c r="U374" t="str">
        <f t="shared" si="21"/>
        <v>Debit Card</v>
      </c>
      <c r="V374" s="4" t="str">
        <f t="shared" si="22"/>
        <v>Normal</v>
      </c>
      <c r="W374" s="4" t="str">
        <f t="shared" si="23"/>
        <v>Good</v>
      </c>
      <c r="X374" s="4">
        <f>AVERAGE(Table1[Purchase Amount])</f>
        <v>129.48419400000012</v>
      </c>
    </row>
    <row r="375" spans="1:24" ht="15" customHeight="1" x14ac:dyDescent="0.25">
      <c r="A375">
        <v>374</v>
      </c>
      <c r="B375">
        <v>23</v>
      </c>
      <c r="C375" t="s">
        <v>27</v>
      </c>
      <c r="D375" t="s">
        <v>76</v>
      </c>
      <c r="E375" t="s">
        <v>77</v>
      </c>
      <c r="F375" s="2">
        <v>27</v>
      </c>
      <c r="G375" t="s">
        <v>86</v>
      </c>
      <c r="H375" t="s">
        <v>45</v>
      </c>
      <c r="I375" t="s">
        <v>32</v>
      </c>
      <c r="J375" t="s">
        <v>57</v>
      </c>
      <c r="K375">
        <v>4.5999999999999996</v>
      </c>
      <c r="L375" t="s">
        <v>34</v>
      </c>
      <c r="M375" t="s">
        <v>61</v>
      </c>
      <c r="N375" t="s">
        <v>34</v>
      </c>
      <c r="O375">
        <v>11</v>
      </c>
      <c r="P375" t="s">
        <v>62</v>
      </c>
      <c r="Q375" t="s">
        <v>68</v>
      </c>
      <c r="R375" s="1">
        <v>0.1</v>
      </c>
      <c r="S375">
        <f t="shared" si="20"/>
        <v>24.3</v>
      </c>
      <c r="T375">
        <f>IFERROR(VLOOKUP(A375,Table1[[Customer ID]:[Discount Amount]], 6, FALSE),"Not Found")</f>
        <v>27</v>
      </c>
      <c r="U375" t="str">
        <f t="shared" si="21"/>
        <v>Venmo</v>
      </c>
      <c r="V375" s="4" t="str">
        <f t="shared" si="22"/>
        <v>Normal</v>
      </c>
      <c r="W375" s="4" t="str">
        <f t="shared" si="23"/>
        <v>Good</v>
      </c>
      <c r="X375" s="4">
        <f>AVERAGE(Table1[Purchase Amount])</f>
        <v>129.48419400000012</v>
      </c>
    </row>
    <row r="376" spans="1:24" ht="15" customHeight="1" x14ac:dyDescent="0.25">
      <c r="A376">
        <v>375</v>
      </c>
      <c r="B376">
        <v>69</v>
      </c>
      <c r="C376" t="s">
        <v>27</v>
      </c>
      <c r="D376" t="s">
        <v>50</v>
      </c>
      <c r="E376" t="s">
        <v>29</v>
      </c>
      <c r="F376" s="2">
        <v>78</v>
      </c>
      <c r="G376" t="s">
        <v>90</v>
      </c>
      <c r="H376" t="s">
        <v>55</v>
      </c>
      <c r="I376" t="s">
        <v>66</v>
      </c>
      <c r="J376" t="s">
        <v>33</v>
      </c>
      <c r="K376">
        <v>5</v>
      </c>
      <c r="L376" t="s">
        <v>34</v>
      </c>
      <c r="M376" t="s">
        <v>48</v>
      </c>
      <c r="N376" t="s">
        <v>34</v>
      </c>
      <c r="O376">
        <v>39</v>
      </c>
      <c r="P376" t="s">
        <v>88</v>
      </c>
      <c r="Q376" t="s">
        <v>42</v>
      </c>
      <c r="R376" s="1">
        <v>0.1</v>
      </c>
      <c r="S376">
        <f t="shared" si="20"/>
        <v>70.2</v>
      </c>
      <c r="T376">
        <f>IFERROR(VLOOKUP(A376,Table1[[Customer ID]:[Discount Amount]], 6, FALSE),"Not Found")</f>
        <v>78</v>
      </c>
      <c r="U376" t="str">
        <f t="shared" si="21"/>
        <v>Bank Transfer</v>
      </c>
      <c r="V376" s="4" t="str">
        <f t="shared" si="22"/>
        <v>Normal</v>
      </c>
      <c r="W376" s="4" t="str">
        <f t="shared" si="23"/>
        <v>Good</v>
      </c>
      <c r="X376" s="4">
        <f>AVERAGE(Table1[Purchase Amount])</f>
        <v>129.48419400000012</v>
      </c>
    </row>
    <row r="377" spans="1:24" ht="15" customHeight="1" x14ac:dyDescent="0.25">
      <c r="A377">
        <v>376</v>
      </c>
      <c r="B377">
        <v>59</v>
      </c>
      <c r="C377" t="s">
        <v>27</v>
      </c>
      <c r="D377" t="s">
        <v>28</v>
      </c>
      <c r="E377" t="s">
        <v>29</v>
      </c>
      <c r="F377" s="2">
        <v>32</v>
      </c>
      <c r="G377" t="s">
        <v>142</v>
      </c>
      <c r="H377" t="s">
        <v>31</v>
      </c>
      <c r="I377" t="s">
        <v>21</v>
      </c>
      <c r="J377" t="s">
        <v>57</v>
      </c>
      <c r="K377">
        <v>4.4000000000000004</v>
      </c>
      <c r="L377" t="s">
        <v>34</v>
      </c>
      <c r="M377" t="s">
        <v>24</v>
      </c>
      <c r="N377" t="s">
        <v>34</v>
      </c>
      <c r="O377">
        <v>6</v>
      </c>
      <c r="P377" t="s">
        <v>36</v>
      </c>
      <c r="Q377" t="s">
        <v>37</v>
      </c>
      <c r="R377" s="1">
        <v>0.1</v>
      </c>
      <c r="S377">
        <f t="shared" si="20"/>
        <v>28.8</v>
      </c>
      <c r="T377">
        <f>IFERROR(VLOOKUP(A377,Table1[[Customer ID]:[Discount Amount]], 6, FALSE),"Not Found")</f>
        <v>32</v>
      </c>
      <c r="U377" t="str">
        <f t="shared" si="21"/>
        <v>Debit Card</v>
      </c>
      <c r="V377" s="4" t="str">
        <f t="shared" si="22"/>
        <v>Normal</v>
      </c>
      <c r="W377" s="4" t="str">
        <f t="shared" si="23"/>
        <v>Good</v>
      </c>
      <c r="X377" s="4">
        <f>AVERAGE(Table1[Purchase Amount])</f>
        <v>129.48419400000012</v>
      </c>
    </row>
    <row r="378" spans="1:24" ht="15" customHeight="1" x14ac:dyDescent="0.25">
      <c r="A378">
        <v>377</v>
      </c>
      <c r="B378">
        <v>51</v>
      </c>
      <c r="C378" t="s">
        <v>27</v>
      </c>
      <c r="D378" t="s">
        <v>72</v>
      </c>
      <c r="E378" t="s">
        <v>98</v>
      </c>
      <c r="F378" s="2">
        <v>51</v>
      </c>
      <c r="G378" t="s">
        <v>30</v>
      </c>
      <c r="H378" t="s">
        <v>55</v>
      </c>
      <c r="I378" t="s">
        <v>85</v>
      </c>
      <c r="J378" t="s">
        <v>47</v>
      </c>
      <c r="K378">
        <v>4.9000000000000004</v>
      </c>
      <c r="L378" t="s">
        <v>34</v>
      </c>
      <c r="M378" t="s">
        <v>61</v>
      </c>
      <c r="N378" t="s">
        <v>34</v>
      </c>
      <c r="O378">
        <v>2</v>
      </c>
      <c r="P378" t="s">
        <v>62</v>
      </c>
      <c r="Q378" t="s">
        <v>68</v>
      </c>
      <c r="R378" s="1">
        <v>0.1</v>
      </c>
      <c r="S378">
        <f t="shared" si="20"/>
        <v>45.9</v>
      </c>
      <c r="T378">
        <f>IFERROR(VLOOKUP(A378,Table1[[Customer ID]:[Discount Amount]], 6, FALSE),"Not Found")</f>
        <v>51</v>
      </c>
      <c r="U378" t="str">
        <f t="shared" si="21"/>
        <v>Venmo</v>
      </c>
      <c r="V378" s="4" t="str">
        <f t="shared" si="22"/>
        <v>Normal</v>
      </c>
      <c r="W378" s="4" t="str">
        <f t="shared" si="23"/>
        <v>Good</v>
      </c>
      <c r="X378" s="4">
        <f>AVERAGE(Table1[Purchase Amount])</f>
        <v>129.48419400000012</v>
      </c>
    </row>
    <row r="379" spans="1:24" ht="15" customHeight="1" x14ac:dyDescent="0.25">
      <c r="A379">
        <v>378</v>
      </c>
      <c r="B379">
        <v>63</v>
      </c>
      <c r="C379" t="s">
        <v>27</v>
      </c>
      <c r="D379" t="s">
        <v>129</v>
      </c>
      <c r="E379" t="s">
        <v>29</v>
      </c>
      <c r="F379" s="2">
        <v>32</v>
      </c>
      <c r="G379" t="s">
        <v>94</v>
      </c>
      <c r="H379" t="s">
        <v>31</v>
      </c>
      <c r="I379" t="s">
        <v>153</v>
      </c>
      <c r="J379" t="s">
        <v>33</v>
      </c>
      <c r="K379">
        <v>4.0999999999999996</v>
      </c>
      <c r="L379" t="s">
        <v>34</v>
      </c>
      <c r="M379" t="s">
        <v>24</v>
      </c>
      <c r="N379" t="s">
        <v>34</v>
      </c>
      <c r="O379">
        <v>39</v>
      </c>
      <c r="P379" t="s">
        <v>53</v>
      </c>
      <c r="Q379" t="s">
        <v>63</v>
      </c>
      <c r="R379" s="1">
        <v>0.1</v>
      </c>
      <c r="S379">
        <f t="shared" si="20"/>
        <v>28.8</v>
      </c>
      <c r="T379">
        <f>IFERROR(VLOOKUP(A379,Table1[[Customer ID]:[Discount Amount]], 6, FALSE),"Not Found")</f>
        <v>32</v>
      </c>
      <c r="U379" t="str">
        <f t="shared" si="21"/>
        <v>Credit Card</v>
      </c>
      <c r="V379" s="4" t="str">
        <f t="shared" si="22"/>
        <v>Normal</v>
      </c>
      <c r="W379" s="4" t="str">
        <f t="shared" si="23"/>
        <v>Good</v>
      </c>
      <c r="X379" s="4">
        <f>AVERAGE(Table1[Purchase Amount])</f>
        <v>129.48419400000012</v>
      </c>
    </row>
    <row r="380" spans="1:24" ht="15" customHeight="1" x14ac:dyDescent="0.25">
      <c r="A380">
        <v>379</v>
      </c>
      <c r="B380">
        <v>54</v>
      </c>
      <c r="C380" t="s">
        <v>27</v>
      </c>
      <c r="D380" t="s">
        <v>157</v>
      </c>
      <c r="E380" t="s">
        <v>18</v>
      </c>
      <c r="F380" s="2">
        <v>62</v>
      </c>
      <c r="G380" t="s">
        <v>158</v>
      </c>
      <c r="H380" t="s">
        <v>45</v>
      </c>
      <c r="I380" t="s">
        <v>108</v>
      </c>
      <c r="J380" t="s">
        <v>22</v>
      </c>
      <c r="K380">
        <v>4.9000000000000004</v>
      </c>
      <c r="L380" t="s">
        <v>34</v>
      </c>
      <c r="M380" t="s">
        <v>79</v>
      </c>
      <c r="N380" t="s">
        <v>34</v>
      </c>
      <c r="O380">
        <v>23</v>
      </c>
      <c r="P380" t="s">
        <v>53</v>
      </c>
      <c r="Q380" t="s">
        <v>42</v>
      </c>
      <c r="R380" s="1">
        <v>0.1</v>
      </c>
      <c r="S380">
        <f t="shared" si="20"/>
        <v>55.8</v>
      </c>
      <c r="T380">
        <f>IFERROR(VLOOKUP(A380,Table1[[Customer ID]:[Discount Amount]], 6, FALSE),"Not Found")</f>
        <v>62</v>
      </c>
      <c r="U380" t="str">
        <f t="shared" si="21"/>
        <v>Credit Card</v>
      </c>
      <c r="V380" s="4" t="str">
        <f t="shared" si="22"/>
        <v>Normal</v>
      </c>
      <c r="W380" s="4" t="str">
        <f t="shared" si="23"/>
        <v>Good</v>
      </c>
      <c r="X380" s="4">
        <f>AVERAGE(Table1[Purchase Amount])</f>
        <v>129.48419400000012</v>
      </c>
    </row>
    <row r="381" spans="1:24" ht="15" customHeight="1" x14ac:dyDescent="0.25">
      <c r="A381">
        <v>380</v>
      </c>
      <c r="B381">
        <v>32</v>
      </c>
      <c r="C381" t="s">
        <v>27</v>
      </c>
      <c r="D381" t="s">
        <v>17</v>
      </c>
      <c r="E381" t="s">
        <v>18</v>
      </c>
      <c r="F381" s="2">
        <v>29</v>
      </c>
      <c r="G381" t="s">
        <v>39</v>
      </c>
      <c r="H381" t="s">
        <v>55</v>
      </c>
      <c r="I381" t="s">
        <v>87</v>
      </c>
      <c r="J381" t="s">
        <v>47</v>
      </c>
      <c r="K381">
        <v>4.7</v>
      </c>
      <c r="L381" t="s">
        <v>34</v>
      </c>
      <c r="M381" t="s">
        <v>41</v>
      </c>
      <c r="N381" t="s">
        <v>34</v>
      </c>
      <c r="O381">
        <v>46</v>
      </c>
      <c r="P381" t="s">
        <v>36</v>
      </c>
      <c r="Q381" t="s">
        <v>68</v>
      </c>
      <c r="R381" s="1">
        <v>0.1</v>
      </c>
      <c r="S381">
        <f t="shared" si="20"/>
        <v>26.1</v>
      </c>
      <c r="T381">
        <f>IFERROR(VLOOKUP(A381,Table1[[Customer ID]:[Discount Amount]], 6, FALSE),"Not Found")</f>
        <v>29</v>
      </c>
      <c r="U381" t="str">
        <f t="shared" si="21"/>
        <v>Debit Card</v>
      </c>
      <c r="V381" s="4" t="str">
        <f t="shared" si="22"/>
        <v>Normal</v>
      </c>
      <c r="W381" s="4" t="str">
        <f t="shared" si="23"/>
        <v>Good</v>
      </c>
      <c r="X381" s="4">
        <f>AVERAGE(Table1[Purchase Amount])</f>
        <v>129.48419400000012</v>
      </c>
    </row>
    <row r="382" spans="1:24" ht="15" customHeight="1" x14ac:dyDescent="0.25">
      <c r="A382">
        <v>381</v>
      </c>
      <c r="B382">
        <v>39</v>
      </c>
      <c r="C382" t="s">
        <v>27</v>
      </c>
      <c r="D382" t="s">
        <v>104</v>
      </c>
      <c r="E382" t="s">
        <v>29</v>
      </c>
      <c r="F382" s="2">
        <v>69</v>
      </c>
      <c r="G382" t="s">
        <v>132</v>
      </c>
      <c r="H382" t="s">
        <v>20</v>
      </c>
      <c r="I382" t="s">
        <v>56</v>
      </c>
      <c r="J382" t="s">
        <v>47</v>
      </c>
      <c r="K382">
        <v>3</v>
      </c>
      <c r="L382" t="s">
        <v>34</v>
      </c>
      <c r="M382" t="s">
        <v>48</v>
      </c>
      <c r="N382" t="s">
        <v>34</v>
      </c>
      <c r="O382">
        <v>19</v>
      </c>
      <c r="P382" t="s">
        <v>88</v>
      </c>
      <c r="Q382" t="s">
        <v>26</v>
      </c>
      <c r="R382" s="1">
        <v>0.1</v>
      </c>
      <c r="S382">
        <f t="shared" si="20"/>
        <v>62.1</v>
      </c>
      <c r="T382">
        <f>IFERROR(VLOOKUP(A382,Table1[[Customer ID]:[Discount Amount]], 6, FALSE),"Not Found")</f>
        <v>69</v>
      </c>
      <c r="U382" t="str">
        <f t="shared" si="21"/>
        <v>Bank Transfer</v>
      </c>
      <c r="V382" s="4" t="str">
        <f t="shared" si="22"/>
        <v>Normal</v>
      </c>
      <c r="W382" s="4" t="str">
        <f t="shared" si="23"/>
        <v>Good</v>
      </c>
      <c r="X382" s="4">
        <f>AVERAGE(Table1[Purchase Amount])</f>
        <v>129.48419400000012</v>
      </c>
    </row>
    <row r="383" spans="1:24" ht="15" customHeight="1" x14ac:dyDescent="0.25">
      <c r="A383">
        <v>382</v>
      </c>
      <c r="B383">
        <v>66</v>
      </c>
      <c r="C383" t="s">
        <v>27</v>
      </c>
      <c r="D383" t="s">
        <v>50</v>
      </c>
      <c r="E383" t="s">
        <v>29</v>
      </c>
      <c r="F383" s="2">
        <v>25</v>
      </c>
      <c r="G383" t="s">
        <v>94</v>
      </c>
      <c r="H383" t="s">
        <v>45</v>
      </c>
      <c r="I383" t="s">
        <v>107</v>
      </c>
      <c r="J383" t="s">
        <v>22</v>
      </c>
      <c r="K383">
        <v>3.4</v>
      </c>
      <c r="L383" t="s">
        <v>34</v>
      </c>
      <c r="M383" t="s">
        <v>48</v>
      </c>
      <c r="N383" t="s">
        <v>34</v>
      </c>
      <c r="O383">
        <v>3</v>
      </c>
      <c r="P383" t="s">
        <v>53</v>
      </c>
      <c r="Q383" t="s">
        <v>63</v>
      </c>
      <c r="R383" s="1">
        <v>0.1</v>
      </c>
      <c r="S383">
        <f t="shared" si="20"/>
        <v>22.5</v>
      </c>
      <c r="T383">
        <f>IFERROR(VLOOKUP(A383,Table1[[Customer ID]:[Discount Amount]], 6, FALSE),"Not Found")</f>
        <v>25</v>
      </c>
      <c r="U383" t="str">
        <f t="shared" si="21"/>
        <v>Credit Card</v>
      </c>
      <c r="V383" s="4" t="str">
        <f t="shared" si="22"/>
        <v>Normal</v>
      </c>
      <c r="W383" s="4" t="str">
        <f t="shared" si="23"/>
        <v>Good</v>
      </c>
      <c r="X383" s="4">
        <f>AVERAGE(Table1[Purchase Amount])</f>
        <v>129.48419400000012</v>
      </c>
    </row>
    <row r="384" spans="1:24" ht="15" customHeight="1" x14ac:dyDescent="0.25">
      <c r="A384">
        <v>383</v>
      </c>
      <c r="B384">
        <v>28</v>
      </c>
      <c r="C384" t="s">
        <v>27</v>
      </c>
      <c r="D384" t="s">
        <v>109</v>
      </c>
      <c r="E384" t="s">
        <v>18</v>
      </c>
      <c r="F384" s="2">
        <v>76</v>
      </c>
      <c r="G384" t="s">
        <v>19</v>
      </c>
      <c r="H384" t="s">
        <v>31</v>
      </c>
      <c r="I384" t="s">
        <v>145</v>
      </c>
      <c r="J384" t="s">
        <v>22</v>
      </c>
      <c r="K384">
        <v>3.2</v>
      </c>
      <c r="L384" t="s">
        <v>34</v>
      </c>
      <c r="M384" t="s">
        <v>48</v>
      </c>
      <c r="N384" t="s">
        <v>34</v>
      </c>
      <c r="O384">
        <v>47</v>
      </c>
      <c r="P384" t="s">
        <v>58</v>
      </c>
      <c r="Q384" t="s">
        <v>37</v>
      </c>
      <c r="R384" s="1">
        <v>0.1</v>
      </c>
      <c r="S384">
        <f t="shared" si="20"/>
        <v>68.400000000000006</v>
      </c>
      <c r="T384">
        <f>IFERROR(VLOOKUP(A384,Table1[[Customer ID]:[Discount Amount]], 6, FALSE),"Not Found")</f>
        <v>76</v>
      </c>
      <c r="U384" t="str">
        <f t="shared" si="21"/>
        <v>PayPal</v>
      </c>
      <c r="V384" s="4" t="str">
        <f t="shared" si="22"/>
        <v>Normal</v>
      </c>
      <c r="W384" s="4" t="str">
        <f t="shared" si="23"/>
        <v>Good</v>
      </c>
      <c r="X384" s="4">
        <f>AVERAGE(Table1[Purchase Amount])</f>
        <v>129.48419400000012</v>
      </c>
    </row>
    <row r="385" spans="1:24" ht="15" customHeight="1" x14ac:dyDescent="0.25">
      <c r="A385">
        <v>384</v>
      </c>
      <c r="B385">
        <v>50</v>
      </c>
      <c r="C385" t="s">
        <v>27</v>
      </c>
      <c r="D385" t="s">
        <v>28</v>
      </c>
      <c r="E385" t="s">
        <v>29</v>
      </c>
      <c r="F385" s="2">
        <v>77</v>
      </c>
      <c r="G385" t="s">
        <v>154</v>
      </c>
      <c r="H385" t="s">
        <v>55</v>
      </c>
      <c r="I385" t="s">
        <v>87</v>
      </c>
      <c r="J385" t="s">
        <v>47</v>
      </c>
      <c r="K385">
        <v>1</v>
      </c>
      <c r="L385" t="s">
        <v>34</v>
      </c>
      <c r="M385" t="s">
        <v>24</v>
      </c>
      <c r="N385" t="s">
        <v>34</v>
      </c>
      <c r="O385">
        <v>6</v>
      </c>
      <c r="P385" t="s">
        <v>58</v>
      </c>
      <c r="Q385" t="s">
        <v>37</v>
      </c>
      <c r="R385" s="1">
        <v>0.1</v>
      </c>
      <c r="S385">
        <f t="shared" si="20"/>
        <v>69.3</v>
      </c>
      <c r="T385">
        <f>IFERROR(VLOOKUP(A385,Table1[[Customer ID]:[Discount Amount]], 6, FALSE),"Not Found")</f>
        <v>77</v>
      </c>
      <c r="U385" t="str">
        <f t="shared" si="21"/>
        <v>PayPal</v>
      </c>
      <c r="V385" s="4" t="str">
        <f t="shared" si="22"/>
        <v>Normal</v>
      </c>
      <c r="W385" s="4" t="str">
        <f t="shared" si="23"/>
        <v>Poor</v>
      </c>
      <c r="X385" s="4">
        <f>AVERAGE(Table1[Purchase Amount])</f>
        <v>129.48419400000012</v>
      </c>
    </row>
    <row r="386" spans="1:24" ht="15" customHeight="1" x14ac:dyDescent="0.25">
      <c r="A386">
        <v>385</v>
      </c>
      <c r="B386">
        <v>70</v>
      </c>
      <c r="C386" t="s">
        <v>27</v>
      </c>
      <c r="D386" t="s">
        <v>127</v>
      </c>
      <c r="E386" t="s">
        <v>18</v>
      </c>
      <c r="F386" s="2">
        <v>33</v>
      </c>
      <c r="G386" t="s">
        <v>19</v>
      </c>
      <c r="H386" t="s">
        <v>31</v>
      </c>
      <c r="I386" t="s">
        <v>56</v>
      </c>
      <c r="J386" t="s">
        <v>47</v>
      </c>
      <c r="K386">
        <v>4.5</v>
      </c>
      <c r="L386" t="s">
        <v>34</v>
      </c>
      <c r="M386" t="s">
        <v>41</v>
      </c>
      <c r="N386" t="s">
        <v>34</v>
      </c>
      <c r="O386">
        <v>6</v>
      </c>
      <c r="P386" t="s">
        <v>62</v>
      </c>
      <c r="Q386" t="s">
        <v>49</v>
      </c>
      <c r="R386" s="1">
        <v>0.1</v>
      </c>
      <c r="S386">
        <f t="shared" ref="S386:S449" si="24">F386-(F386*R386)</f>
        <v>29.7</v>
      </c>
      <c r="T386">
        <f>IFERROR(VLOOKUP(A386,Table1[[Customer ID]:[Discount Amount]], 6, FALSE),"Not Found")</f>
        <v>33</v>
      </c>
      <c r="U386" t="str">
        <f t="shared" ref="U386:U449" si="25">INDEX(P:P, MATCH(A386, A:A, 0))</f>
        <v>Venmo</v>
      </c>
      <c r="V386" s="4" t="str">
        <f t="shared" ref="V386:V449" si="26">IF(AND(F386&gt;1000,K386&gt;=4),"Best Customer","Normal")</f>
        <v>Normal</v>
      </c>
      <c r="W386" s="4" t="str">
        <f t="shared" ref="W386:W449" si="27">IF(K386&gt;=3,"Good","Poor")</f>
        <v>Good</v>
      </c>
      <c r="X386" s="4">
        <f>AVERAGE(Table1[Purchase Amount])</f>
        <v>129.48419400000012</v>
      </c>
    </row>
    <row r="387" spans="1:24" ht="15" customHeight="1" x14ac:dyDescent="0.25">
      <c r="A387">
        <v>386</v>
      </c>
      <c r="B387">
        <v>67</v>
      </c>
      <c r="C387" t="s">
        <v>27</v>
      </c>
      <c r="D387" t="s">
        <v>54</v>
      </c>
      <c r="E387" t="s">
        <v>18</v>
      </c>
      <c r="F387" s="2">
        <v>93</v>
      </c>
      <c r="G387" t="s">
        <v>154</v>
      </c>
      <c r="H387" t="s">
        <v>55</v>
      </c>
      <c r="I387" t="s">
        <v>52</v>
      </c>
      <c r="J387" t="s">
        <v>47</v>
      </c>
      <c r="K387">
        <v>2.7</v>
      </c>
      <c r="L387" t="s">
        <v>34</v>
      </c>
      <c r="M387" t="s">
        <v>79</v>
      </c>
      <c r="N387" t="s">
        <v>34</v>
      </c>
      <c r="O387">
        <v>12</v>
      </c>
      <c r="P387" t="s">
        <v>53</v>
      </c>
      <c r="Q387" t="s">
        <v>68</v>
      </c>
      <c r="R387" s="1">
        <v>0.1</v>
      </c>
      <c r="S387">
        <f t="shared" si="24"/>
        <v>83.7</v>
      </c>
      <c r="T387">
        <f>IFERROR(VLOOKUP(A387,Table1[[Customer ID]:[Discount Amount]], 6, FALSE),"Not Found")</f>
        <v>93</v>
      </c>
      <c r="U387" t="str">
        <f t="shared" si="25"/>
        <v>Credit Card</v>
      </c>
      <c r="V387" s="4" t="str">
        <f t="shared" si="26"/>
        <v>Normal</v>
      </c>
      <c r="W387" s="4" t="str">
        <f t="shared" si="27"/>
        <v>Poor</v>
      </c>
      <c r="X387" s="4">
        <f>AVERAGE(Table1[Purchase Amount])</f>
        <v>129.48419400000012</v>
      </c>
    </row>
    <row r="388" spans="1:24" ht="15" customHeight="1" x14ac:dyDescent="0.25">
      <c r="A388">
        <v>387</v>
      </c>
      <c r="B388">
        <v>64</v>
      </c>
      <c r="C388" t="s">
        <v>27</v>
      </c>
      <c r="D388" t="s">
        <v>50</v>
      </c>
      <c r="E388" t="s">
        <v>29</v>
      </c>
      <c r="F388" s="2">
        <v>39</v>
      </c>
      <c r="G388" t="s">
        <v>119</v>
      </c>
      <c r="H388" t="s">
        <v>45</v>
      </c>
      <c r="I388" t="s">
        <v>60</v>
      </c>
      <c r="J388" t="s">
        <v>33</v>
      </c>
      <c r="K388">
        <v>3.4</v>
      </c>
      <c r="L388" t="s">
        <v>34</v>
      </c>
      <c r="M388" t="s">
        <v>61</v>
      </c>
      <c r="N388" t="s">
        <v>34</v>
      </c>
      <c r="O388">
        <v>40</v>
      </c>
      <c r="P388" t="s">
        <v>58</v>
      </c>
      <c r="Q388" t="s">
        <v>37</v>
      </c>
      <c r="R388" s="1">
        <v>0.1</v>
      </c>
      <c r="S388">
        <f t="shared" si="24"/>
        <v>35.1</v>
      </c>
      <c r="T388">
        <f>IFERROR(VLOOKUP(A388,Table1[[Customer ID]:[Discount Amount]], 6, FALSE),"Not Found")</f>
        <v>39</v>
      </c>
      <c r="U388" t="str">
        <f t="shared" si="25"/>
        <v>PayPal</v>
      </c>
      <c r="V388" s="4" t="str">
        <f t="shared" si="26"/>
        <v>Normal</v>
      </c>
      <c r="W388" s="4" t="str">
        <f t="shared" si="27"/>
        <v>Good</v>
      </c>
      <c r="X388" s="4">
        <f>AVERAGE(Table1[Purchase Amount])</f>
        <v>129.48419400000012</v>
      </c>
    </row>
    <row r="389" spans="1:24" ht="15" customHeight="1" x14ac:dyDescent="0.25">
      <c r="A389">
        <v>388</v>
      </c>
      <c r="B389">
        <v>45</v>
      </c>
      <c r="C389" t="s">
        <v>27</v>
      </c>
      <c r="D389" t="s">
        <v>76</v>
      </c>
      <c r="E389" t="s">
        <v>77</v>
      </c>
      <c r="F389" s="2">
        <v>93</v>
      </c>
      <c r="G389" t="s">
        <v>160</v>
      </c>
      <c r="H389" t="s">
        <v>45</v>
      </c>
      <c r="I389" t="s">
        <v>153</v>
      </c>
      <c r="J389" t="s">
        <v>57</v>
      </c>
      <c r="K389">
        <v>4.5999999999999996</v>
      </c>
      <c r="L389" t="s">
        <v>34</v>
      </c>
      <c r="M389" t="s">
        <v>48</v>
      </c>
      <c r="N389" t="s">
        <v>34</v>
      </c>
      <c r="O389">
        <v>38</v>
      </c>
      <c r="P389" t="s">
        <v>58</v>
      </c>
      <c r="Q389" t="s">
        <v>89</v>
      </c>
      <c r="R389" s="1">
        <v>0.1</v>
      </c>
      <c r="S389">
        <f t="shared" si="24"/>
        <v>83.7</v>
      </c>
      <c r="T389">
        <f>IFERROR(VLOOKUP(A389,Table1[[Customer ID]:[Discount Amount]], 6, FALSE),"Not Found")</f>
        <v>93</v>
      </c>
      <c r="U389" t="str">
        <f t="shared" si="25"/>
        <v>PayPal</v>
      </c>
      <c r="V389" s="4" t="str">
        <f t="shared" si="26"/>
        <v>Normal</v>
      </c>
      <c r="W389" s="4" t="str">
        <f t="shared" si="27"/>
        <v>Good</v>
      </c>
      <c r="X389" s="4">
        <f>AVERAGE(Table1[Purchase Amount])</f>
        <v>129.48419400000012</v>
      </c>
    </row>
    <row r="390" spans="1:24" ht="15" customHeight="1" x14ac:dyDescent="0.25">
      <c r="A390">
        <v>389</v>
      </c>
      <c r="B390">
        <v>22</v>
      </c>
      <c r="C390" t="s">
        <v>27</v>
      </c>
      <c r="D390" t="s">
        <v>69</v>
      </c>
      <c r="E390" t="s">
        <v>29</v>
      </c>
      <c r="F390" s="2">
        <v>82</v>
      </c>
      <c r="G390" t="s">
        <v>155</v>
      </c>
      <c r="H390" t="s">
        <v>31</v>
      </c>
      <c r="I390" t="s">
        <v>108</v>
      </c>
      <c r="J390" t="s">
        <v>57</v>
      </c>
      <c r="K390">
        <v>2.7</v>
      </c>
      <c r="L390" t="s">
        <v>34</v>
      </c>
      <c r="M390" t="s">
        <v>48</v>
      </c>
      <c r="N390" t="s">
        <v>34</v>
      </c>
      <c r="O390">
        <v>10</v>
      </c>
      <c r="P390" t="s">
        <v>58</v>
      </c>
      <c r="Q390" t="s">
        <v>37</v>
      </c>
      <c r="R390" s="1">
        <v>0.1</v>
      </c>
      <c r="S390">
        <f t="shared" si="24"/>
        <v>73.8</v>
      </c>
      <c r="T390">
        <f>IFERROR(VLOOKUP(A390,Table1[[Customer ID]:[Discount Amount]], 6, FALSE),"Not Found")</f>
        <v>82</v>
      </c>
      <c r="U390" t="str">
        <f t="shared" si="25"/>
        <v>PayPal</v>
      </c>
      <c r="V390" s="4" t="str">
        <f t="shared" si="26"/>
        <v>Normal</v>
      </c>
      <c r="W390" s="4" t="str">
        <f t="shared" si="27"/>
        <v>Poor</v>
      </c>
      <c r="X390" s="4">
        <f>AVERAGE(Table1[Purchase Amount])</f>
        <v>129.48419400000012</v>
      </c>
    </row>
    <row r="391" spans="1:24" ht="15" customHeight="1" x14ac:dyDescent="0.25">
      <c r="A391">
        <v>390</v>
      </c>
      <c r="B391">
        <v>27</v>
      </c>
      <c r="C391" t="s">
        <v>27</v>
      </c>
      <c r="D391" t="s">
        <v>151</v>
      </c>
      <c r="E391" t="s">
        <v>98</v>
      </c>
      <c r="F391" s="2">
        <v>42</v>
      </c>
      <c r="G391" t="s">
        <v>138</v>
      </c>
      <c r="H391" t="s">
        <v>45</v>
      </c>
      <c r="I391" t="s">
        <v>66</v>
      </c>
      <c r="J391" t="s">
        <v>33</v>
      </c>
      <c r="K391">
        <v>4.2</v>
      </c>
      <c r="L391" t="s">
        <v>34</v>
      </c>
      <c r="M391" t="s">
        <v>24</v>
      </c>
      <c r="N391" t="s">
        <v>34</v>
      </c>
      <c r="O391">
        <v>28</v>
      </c>
      <c r="P391" t="s">
        <v>88</v>
      </c>
      <c r="Q391" t="s">
        <v>42</v>
      </c>
      <c r="R391" s="1">
        <v>0.1</v>
      </c>
      <c r="S391">
        <f t="shared" si="24"/>
        <v>37.799999999999997</v>
      </c>
      <c r="T391">
        <f>IFERROR(VLOOKUP(A391,Table1[[Customer ID]:[Discount Amount]], 6, FALSE),"Not Found")</f>
        <v>42</v>
      </c>
      <c r="U391" t="str">
        <f t="shared" si="25"/>
        <v>Bank Transfer</v>
      </c>
      <c r="V391" s="4" t="str">
        <f t="shared" si="26"/>
        <v>Normal</v>
      </c>
      <c r="W391" s="4" t="str">
        <f t="shared" si="27"/>
        <v>Good</v>
      </c>
      <c r="X391" s="4">
        <f>AVERAGE(Table1[Purchase Amount])</f>
        <v>129.48419400000012</v>
      </c>
    </row>
    <row r="392" spans="1:24" ht="15" customHeight="1" x14ac:dyDescent="0.25">
      <c r="A392">
        <v>391</v>
      </c>
      <c r="B392">
        <v>25</v>
      </c>
      <c r="C392" t="s">
        <v>27</v>
      </c>
      <c r="D392" t="s">
        <v>43</v>
      </c>
      <c r="E392" t="s">
        <v>29</v>
      </c>
      <c r="F392" s="2">
        <v>71</v>
      </c>
      <c r="G392" t="s">
        <v>102</v>
      </c>
      <c r="H392" t="s">
        <v>31</v>
      </c>
      <c r="I392" t="s">
        <v>91</v>
      </c>
      <c r="J392" t="s">
        <v>22</v>
      </c>
      <c r="K392">
        <v>3.2</v>
      </c>
      <c r="L392" t="s">
        <v>34</v>
      </c>
      <c r="M392" t="s">
        <v>41</v>
      </c>
      <c r="N392" t="s">
        <v>34</v>
      </c>
      <c r="O392">
        <v>19</v>
      </c>
      <c r="P392" t="s">
        <v>58</v>
      </c>
      <c r="Q392" t="s">
        <v>49</v>
      </c>
      <c r="R392" s="1">
        <v>0.1</v>
      </c>
      <c r="S392">
        <f t="shared" si="24"/>
        <v>63.9</v>
      </c>
      <c r="T392">
        <f>IFERROR(VLOOKUP(A392,Table1[[Customer ID]:[Discount Amount]], 6, FALSE),"Not Found")</f>
        <v>71</v>
      </c>
      <c r="U392" t="str">
        <f t="shared" si="25"/>
        <v>PayPal</v>
      </c>
      <c r="V392" s="4" t="str">
        <f t="shared" si="26"/>
        <v>Normal</v>
      </c>
      <c r="W392" s="4" t="str">
        <f t="shared" si="27"/>
        <v>Good</v>
      </c>
      <c r="X392" s="4">
        <f>AVERAGE(Table1[Purchase Amount])</f>
        <v>129.48419400000012</v>
      </c>
    </row>
    <row r="393" spans="1:24" ht="15" customHeight="1" x14ac:dyDescent="0.25">
      <c r="A393">
        <v>392</v>
      </c>
      <c r="B393">
        <v>37</v>
      </c>
      <c r="C393" t="s">
        <v>27</v>
      </c>
      <c r="D393" t="s">
        <v>127</v>
      </c>
      <c r="E393" t="s">
        <v>18</v>
      </c>
      <c r="F393" s="2">
        <v>86</v>
      </c>
      <c r="G393" t="s">
        <v>120</v>
      </c>
      <c r="H393" t="s">
        <v>45</v>
      </c>
      <c r="I393" t="s">
        <v>85</v>
      </c>
      <c r="J393" t="s">
        <v>33</v>
      </c>
      <c r="K393">
        <v>4.8</v>
      </c>
      <c r="L393" t="s">
        <v>34</v>
      </c>
      <c r="M393" t="s">
        <v>24</v>
      </c>
      <c r="N393" t="s">
        <v>34</v>
      </c>
      <c r="O393">
        <v>25</v>
      </c>
      <c r="P393" t="s">
        <v>25</v>
      </c>
      <c r="Q393" t="s">
        <v>89</v>
      </c>
      <c r="R393" s="1">
        <v>0.1</v>
      </c>
      <c r="S393">
        <f t="shared" si="24"/>
        <v>77.400000000000006</v>
      </c>
      <c r="T393">
        <f>IFERROR(VLOOKUP(A393,Table1[[Customer ID]:[Discount Amount]], 6, FALSE),"Not Found")</f>
        <v>86</v>
      </c>
      <c r="U393" t="str">
        <f t="shared" si="25"/>
        <v>Cash</v>
      </c>
      <c r="V393" s="4" t="str">
        <f t="shared" si="26"/>
        <v>Normal</v>
      </c>
      <c r="W393" s="4" t="str">
        <f t="shared" si="27"/>
        <v>Good</v>
      </c>
      <c r="X393" s="4">
        <f>AVERAGE(Table1[Purchase Amount])</f>
        <v>129.48419400000012</v>
      </c>
    </row>
    <row r="394" spans="1:24" ht="15" customHeight="1" x14ac:dyDescent="0.25">
      <c r="A394">
        <v>393</v>
      </c>
      <c r="B394">
        <v>26</v>
      </c>
      <c r="C394" t="s">
        <v>27</v>
      </c>
      <c r="D394" t="s">
        <v>17</v>
      </c>
      <c r="E394" t="s">
        <v>18</v>
      </c>
      <c r="F394" s="2">
        <v>82</v>
      </c>
      <c r="G394" t="s">
        <v>161</v>
      </c>
      <c r="H394" t="s">
        <v>20</v>
      </c>
      <c r="I394" t="s">
        <v>40</v>
      </c>
      <c r="J394" t="s">
        <v>33</v>
      </c>
      <c r="K394">
        <v>3.3</v>
      </c>
      <c r="L394" t="s">
        <v>34</v>
      </c>
      <c r="M394" t="s">
        <v>79</v>
      </c>
      <c r="N394" t="s">
        <v>34</v>
      </c>
      <c r="O394">
        <v>38</v>
      </c>
      <c r="P394" t="s">
        <v>53</v>
      </c>
      <c r="Q394" t="s">
        <v>49</v>
      </c>
      <c r="R394" s="1">
        <v>0.1</v>
      </c>
      <c r="S394">
        <f t="shared" si="24"/>
        <v>73.8</v>
      </c>
      <c r="T394">
        <f>IFERROR(VLOOKUP(A394,Table1[[Customer ID]:[Discount Amount]], 6, FALSE),"Not Found")</f>
        <v>82</v>
      </c>
      <c r="U394" t="str">
        <f t="shared" si="25"/>
        <v>Credit Card</v>
      </c>
      <c r="V394" s="4" t="str">
        <f t="shared" si="26"/>
        <v>Normal</v>
      </c>
      <c r="W394" s="4" t="str">
        <f t="shared" si="27"/>
        <v>Good</v>
      </c>
      <c r="X394" s="4">
        <f>AVERAGE(Table1[Purchase Amount])</f>
        <v>129.48419400000012</v>
      </c>
    </row>
    <row r="395" spans="1:24" ht="15" customHeight="1" x14ac:dyDescent="0.25">
      <c r="A395">
        <v>394</v>
      </c>
      <c r="B395">
        <v>33</v>
      </c>
      <c r="C395" t="s">
        <v>27</v>
      </c>
      <c r="D395" t="s">
        <v>72</v>
      </c>
      <c r="E395" t="s">
        <v>98</v>
      </c>
      <c r="F395" s="2">
        <v>65</v>
      </c>
      <c r="G395" t="s">
        <v>84</v>
      </c>
      <c r="H395" t="s">
        <v>45</v>
      </c>
      <c r="I395" t="s">
        <v>125</v>
      </c>
      <c r="J395" t="s">
        <v>47</v>
      </c>
      <c r="K395">
        <v>4.2</v>
      </c>
      <c r="L395" t="s">
        <v>34</v>
      </c>
      <c r="M395" t="s">
        <v>24</v>
      </c>
      <c r="N395" t="s">
        <v>34</v>
      </c>
      <c r="O395">
        <v>6</v>
      </c>
      <c r="P395" t="s">
        <v>58</v>
      </c>
      <c r="Q395" t="s">
        <v>89</v>
      </c>
      <c r="R395" s="1">
        <v>0.1</v>
      </c>
      <c r="S395">
        <f t="shared" si="24"/>
        <v>58.5</v>
      </c>
      <c r="T395">
        <f>IFERROR(VLOOKUP(A395,Table1[[Customer ID]:[Discount Amount]], 6, FALSE),"Not Found")</f>
        <v>65</v>
      </c>
      <c r="U395" t="str">
        <f t="shared" si="25"/>
        <v>PayPal</v>
      </c>
      <c r="V395" s="4" t="str">
        <f t="shared" si="26"/>
        <v>Normal</v>
      </c>
      <c r="W395" s="4" t="str">
        <f t="shared" si="27"/>
        <v>Good</v>
      </c>
      <c r="X395" s="4">
        <f>AVERAGE(Table1[Purchase Amount])</f>
        <v>129.48419400000012</v>
      </c>
    </row>
    <row r="396" spans="1:24" ht="15" customHeight="1" x14ac:dyDescent="0.25">
      <c r="A396">
        <v>395</v>
      </c>
      <c r="B396">
        <v>43</v>
      </c>
      <c r="C396" t="s">
        <v>27</v>
      </c>
      <c r="D396" t="s">
        <v>129</v>
      </c>
      <c r="E396" t="s">
        <v>29</v>
      </c>
      <c r="F396" s="2">
        <v>29</v>
      </c>
      <c r="G396" t="s">
        <v>86</v>
      </c>
      <c r="H396" t="s">
        <v>31</v>
      </c>
      <c r="I396" t="s">
        <v>56</v>
      </c>
      <c r="J396" t="s">
        <v>33</v>
      </c>
      <c r="K396">
        <v>4.8</v>
      </c>
      <c r="L396" t="s">
        <v>34</v>
      </c>
      <c r="M396" t="s">
        <v>48</v>
      </c>
      <c r="N396" t="s">
        <v>34</v>
      </c>
      <c r="O396">
        <v>7</v>
      </c>
      <c r="P396" t="s">
        <v>36</v>
      </c>
      <c r="Q396" t="s">
        <v>68</v>
      </c>
      <c r="R396" s="1">
        <v>0.1</v>
      </c>
      <c r="S396">
        <f t="shared" si="24"/>
        <v>26.1</v>
      </c>
      <c r="T396">
        <f>IFERROR(VLOOKUP(A396,Table1[[Customer ID]:[Discount Amount]], 6, FALSE),"Not Found")</f>
        <v>29</v>
      </c>
      <c r="U396" t="str">
        <f t="shared" si="25"/>
        <v>Debit Card</v>
      </c>
      <c r="V396" s="4" t="str">
        <f t="shared" si="26"/>
        <v>Normal</v>
      </c>
      <c r="W396" s="4" t="str">
        <f t="shared" si="27"/>
        <v>Good</v>
      </c>
      <c r="X396" s="4">
        <f>AVERAGE(Table1[Purchase Amount])</f>
        <v>129.48419400000012</v>
      </c>
    </row>
    <row r="397" spans="1:24" ht="15" customHeight="1" x14ac:dyDescent="0.25">
      <c r="A397">
        <v>396</v>
      </c>
      <c r="B397">
        <v>37</v>
      </c>
      <c r="C397" t="s">
        <v>27</v>
      </c>
      <c r="D397" t="s">
        <v>140</v>
      </c>
      <c r="E397" t="s">
        <v>98</v>
      </c>
      <c r="F397" s="2">
        <v>65</v>
      </c>
      <c r="G397" t="s">
        <v>159</v>
      </c>
      <c r="H397" t="s">
        <v>45</v>
      </c>
      <c r="I397" t="s">
        <v>60</v>
      </c>
      <c r="J397" t="s">
        <v>22</v>
      </c>
      <c r="K397">
        <v>4.9000000000000004</v>
      </c>
      <c r="L397" t="s">
        <v>34</v>
      </c>
      <c r="M397" t="s">
        <v>48</v>
      </c>
      <c r="N397" t="s">
        <v>34</v>
      </c>
      <c r="O397">
        <v>2</v>
      </c>
      <c r="P397" t="s">
        <v>58</v>
      </c>
      <c r="Q397" t="s">
        <v>49</v>
      </c>
      <c r="R397" s="1">
        <v>0.1</v>
      </c>
      <c r="S397">
        <f t="shared" si="24"/>
        <v>58.5</v>
      </c>
      <c r="T397">
        <f>IFERROR(VLOOKUP(A397,Table1[[Customer ID]:[Discount Amount]], 6, FALSE),"Not Found")</f>
        <v>65</v>
      </c>
      <c r="U397" t="str">
        <f t="shared" si="25"/>
        <v>PayPal</v>
      </c>
      <c r="V397" s="4" t="str">
        <f t="shared" si="26"/>
        <v>Normal</v>
      </c>
      <c r="W397" s="4" t="str">
        <f t="shared" si="27"/>
        <v>Good</v>
      </c>
      <c r="X397" s="4">
        <f>AVERAGE(Table1[Purchase Amount])</f>
        <v>129.48419400000012</v>
      </c>
    </row>
    <row r="398" spans="1:24" ht="15" customHeight="1" x14ac:dyDescent="0.25">
      <c r="A398">
        <v>397</v>
      </c>
      <c r="B398">
        <v>46</v>
      </c>
      <c r="C398" t="s">
        <v>27</v>
      </c>
      <c r="D398" t="s">
        <v>157</v>
      </c>
      <c r="E398" t="s">
        <v>18</v>
      </c>
      <c r="F398" s="2">
        <v>88</v>
      </c>
      <c r="G398" t="s">
        <v>30</v>
      </c>
      <c r="H398" t="s">
        <v>55</v>
      </c>
      <c r="I398" t="s">
        <v>40</v>
      </c>
      <c r="J398" t="s">
        <v>47</v>
      </c>
      <c r="K398">
        <v>3.9</v>
      </c>
      <c r="L398" t="s">
        <v>34</v>
      </c>
      <c r="M398" t="s">
        <v>24</v>
      </c>
      <c r="N398" t="s">
        <v>34</v>
      </c>
      <c r="O398">
        <v>24</v>
      </c>
      <c r="P398" t="s">
        <v>88</v>
      </c>
      <c r="Q398" t="s">
        <v>49</v>
      </c>
      <c r="R398" s="1">
        <v>0.1</v>
      </c>
      <c r="S398">
        <f t="shared" si="24"/>
        <v>79.2</v>
      </c>
      <c r="T398">
        <f>IFERROR(VLOOKUP(A398,Table1[[Customer ID]:[Discount Amount]], 6, FALSE),"Not Found")</f>
        <v>88</v>
      </c>
      <c r="U398" t="str">
        <f t="shared" si="25"/>
        <v>Bank Transfer</v>
      </c>
      <c r="V398" s="4" t="str">
        <f t="shared" si="26"/>
        <v>Normal</v>
      </c>
      <c r="W398" s="4" t="str">
        <f t="shared" si="27"/>
        <v>Good</v>
      </c>
      <c r="X398" s="4">
        <f>AVERAGE(Table1[Purchase Amount])</f>
        <v>129.48419400000012</v>
      </c>
    </row>
    <row r="399" spans="1:24" ht="15" customHeight="1" x14ac:dyDescent="0.25">
      <c r="A399">
        <v>398</v>
      </c>
      <c r="B399">
        <v>22</v>
      </c>
      <c r="C399" t="s">
        <v>27</v>
      </c>
      <c r="D399" t="s">
        <v>114</v>
      </c>
      <c r="E399" t="s">
        <v>29</v>
      </c>
      <c r="F399" s="2">
        <v>46</v>
      </c>
      <c r="G399" t="s">
        <v>149</v>
      </c>
      <c r="H399" t="s">
        <v>31</v>
      </c>
      <c r="I399" t="s">
        <v>91</v>
      </c>
      <c r="J399" t="s">
        <v>47</v>
      </c>
      <c r="K399">
        <v>3</v>
      </c>
      <c r="L399" t="s">
        <v>34</v>
      </c>
      <c r="M399" t="s">
        <v>35</v>
      </c>
      <c r="N399" t="s">
        <v>34</v>
      </c>
      <c r="O399">
        <v>26</v>
      </c>
      <c r="P399" t="s">
        <v>25</v>
      </c>
      <c r="Q399" t="s">
        <v>49</v>
      </c>
      <c r="R399" s="1">
        <v>0.1</v>
      </c>
      <c r="S399">
        <f t="shared" si="24"/>
        <v>41.4</v>
      </c>
      <c r="T399">
        <f>IFERROR(VLOOKUP(A399,Table1[[Customer ID]:[Discount Amount]], 6, FALSE),"Not Found")</f>
        <v>46</v>
      </c>
      <c r="U399" t="str">
        <f t="shared" si="25"/>
        <v>Cash</v>
      </c>
      <c r="V399" s="4" t="str">
        <f t="shared" si="26"/>
        <v>Normal</v>
      </c>
      <c r="W399" s="4" t="str">
        <f t="shared" si="27"/>
        <v>Good</v>
      </c>
      <c r="X399" s="4">
        <f>AVERAGE(Table1[Purchase Amount])</f>
        <v>129.48419400000012</v>
      </c>
    </row>
    <row r="400" spans="1:24" ht="15" customHeight="1" x14ac:dyDescent="0.25">
      <c r="A400">
        <v>399</v>
      </c>
      <c r="B400">
        <v>20</v>
      </c>
      <c r="C400" t="s">
        <v>27</v>
      </c>
      <c r="D400" t="s">
        <v>151</v>
      </c>
      <c r="E400" t="s">
        <v>98</v>
      </c>
      <c r="F400" s="2">
        <v>67</v>
      </c>
      <c r="G400" t="s">
        <v>39</v>
      </c>
      <c r="H400" t="s">
        <v>55</v>
      </c>
      <c r="I400" t="s">
        <v>153</v>
      </c>
      <c r="J400" t="s">
        <v>22</v>
      </c>
      <c r="K400">
        <v>4.5999999999999996</v>
      </c>
      <c r="L400" t="s">
        <v>34</v>
      </c>
      <c r="M400" t="s">
        <v>35</v>
      </c>
      <c r="N400" t="s">
        <v>34</v>
      </c>
      <c r="O400">
        <v>25</v>
      </c>
      <c r="P400" t="s">
        <v>36</v>
      </c>
      <c r="Q400" t="s">
        <v>63</v>
      </c>
      <c r="R400" s="1">
        <v>0.1</v>
      </c>
      <c r="S400">
        <f t="shared" si="24"/>
        <v>60.3</v>
      </c>
      <c r="T400">
        <f>IFERROR(VLOOKUP(A400,Table1[[Customer ID]:[Discount Amount]], 6, FALSE),"Not Found")</f>
        <v>67</v>
      </c>
      <c r="U400" t="str">
        <f t="shared" si="25"/>
        <v>Debit Card</v>
      </c>
      <c r="V400" s="4" t="str">
        <f t="shared" si="26"/>
        <v>Normal</v>
      </c>
      <c r="W400" s="4" t="str">
        <f t="shared" si="27"/>
        <v>Good</v>
      </c>
      <c r="X400" s="4">
        <f>AVERAGE(Table1[Purchase Amount])</f>
        <v>129.48419400000012</v>
      </c>
    </row>
    <row r="401" spans="1:24" ht="15" customHeight="1" x14ac:dyDescent="0.25">
      <c r="A401">
        <v>400</v>
      </c>
      <c r="B401">
        <v>60</v>
      </c>
      <c r="C401" t="s">
        <v>27</v>
      </c>
      <c r="D401" t="s">
        <v>129</v>
      </c>
      <c r="E401" t="s">
        <v>29</v>
      </c>
      <c r="F401" s="2">
        <v>35</v>
      </c>
      <c r="G401" t="s">
        <v>161</v>
      </c>
      <c r="H401" t="s">
        <v>45</v>
      </c>
      <c r="I401" t="s">
        <v>74</v>
      </c>
      <c r="J401" t="s">
        <v>47</v>
      </c>
      <c r="K401">
        <v>3.5</v>
      </c>
      <c r="L401" t="s">
        <v>34</v>
      </c>
      <c r="M401" t="s">
        <v>41</v>
      </c>
      <c r="N401" t="s">
        <v>34</v>
      </c>
      <c r="O401">
        <v>10</v>
      </c>
      <c r="P401" t="s">
        <v>36</v>
      </c>
      <c r="Q401" t="s">
        <v>42</v>
      </c>
      <c r="R401" s="1">
        <v>0.1</v>
      </c>
      <c r="S401">
        <f t="shared" si="24"/>
        <v>31.5</v>
      </c>
      <c r="T401">
        <f>IFERROR(VLOOKUP(A401,Table1[[Customer ID]:[Discount Amount]], 6, FALSE),"Not Found")</f>
        <v>35</v>
      </c>
      <c r="U401" t="str">
        <f t="shared" si="25"/>
        <v>Debit Card</v>
      </c>
      <c r="V401" s="4" t="str">
        <f t="shared" si="26"/>
        <v>Normal</v>
      </c>
      <c r="W401" s="4" t="str">
        <f t="shared" si="27"/>
        <v>Good</v>
      </c>
      <c r="X401" s="4">
        <f>AVERAGE(Table1[Purchase Amount])</f>
        <v>129.48419400000012</v>
      </c>
    </row>
    <row r="402" spans="1:24" ht="15" customHeight="1" x14ac:dyDescent="0.25">
      <c r="A402">
        <v>401</v>
      </c>
      <c r="B402">
        <v>39</v>
      </c>
      <c r="C402" t="s">
        <v>27</v>
      </c>
      <c r="D402" t="s">
        <v>151</v>
      </c>
      <c r="E402" t="s">
        <v>98</v>
      </c>
      <c r="F402" s="2">
        <v>66</v>
      </c>
      <c r="G402" t="s">
        <v>144</v>
      </c>
      <c r="H402" t="s">
        <v>31</v>
      </c>
      <c r="I402" t="s">
        <v>93</v>
      </c>
      <c r="J402" t="s">
        <v>22</v>
      </c>
      <c r="K402">
        <v>4.8</v>
      </c>
      <c r="L402" t="s">
        <v>34</v>
      </c>
      <c r="M402" t="s">
        <v>35</v>
      </c>
      <c r="N402" t="s">
        <v>34</v>
      </c>
      <c r="O402">
        <v>14</v>
      </c>
      <c r="P402" t="s">
        <v>58</v>
      </c>
      <c r="Q402" t="s">
        <v>89</v>
      </c>
      <c r="R402" s="1">
        <v>0.1</v>
      </c>
      <c r="S402">
        <f t="shared" si="24"/>
        <v>59.4</v>
      </c>
      <c r="T402">
        <f>IFERROR(VLOOKUP(A402,Table1[[Customer ID]:[Discount Amount]], 6, FALSE),"Not Found")</f>
        <v>66</v>
      </c>
      <c r="U402" t="str">
        <f t="shared" si="25"/>
        <v>PayPal</v>
      </c>
      <c r="V402" s="4" t="str">
        <f t="shared" si="26"/>
        <v>Normal</v>
      </c>
      <c r="W402" s="4" t="str">
        <f t="shared" si="27"/>
        <v>Good</v>
      </c>
      <c r="X402" s="4">
        <f>AVERAGE(Table1[Purchase Amount])</f>
        <v>129.48419400000012</v>
      </c>
    </row>
    <row r="403" spans="1:24" ht="15" customHeight="1" x14ac:dyDescent="0.25">
      <c r="A403">
        <v>402</v>
      </c>
      <c r="B403">
        <v>43</v>
      </c>
      <c r="C403" t="s">
        <v>27</v>
      </c>
      <c r="D403" t="s">
        <v>17</v>
      </c>
      <c r="E403" t="s">
        <v>18</v>
      </c>
      <c r="F403" s="2">
        <v>91</v>
      </c>
      <c r="G403" t="s">
        <v>142</v>
      </c>
      <c r="H403" t="s">
        <v>45</v>
      </c>
      <c r="I403" t="s">
        <v>108</v>
      </c>
      <c r="J403" t="s">
        <v>47</v>
      </c>
      <c r="K403">
        <v>4.8</v>
      </c>
      <c r="L403" t="s">
        <v>34</v>
      </c>
      <c r="M403" t="s">
        <v>24</v>
      </c>
      <c r="N403" t="s">
        <v>34</v>
      </c>
      <c r="O403">
        <v>21</v>
      </c>
      <c r="P403" t="s">
        <v>25</v>
      </c>
      <c r="Q403" t="s">
        <v>37</v>
      </c>
      <c r="R403" s="1">
        <v>0.1</v>
      </c>
      <c r="S403">
        <f t="shared" si="24"/>
        <v>81.900000000000006</v>
      </c>
      <c r="T403">
        <f>IFERROR(VLOOKUP(A403,Table1[[Customer ID]:[Discount Amount]], 6, FALSE),"Not Found")</f>
        <v>91</v>
      </c>
      <c r="U403" t="str">
        <f t="shared" si="25"/>
        <v>Cash</v>
      </c>
      <c r="V403" s="4" t="str">
        <f t="shared" si="26"/>
        <v>Normal</v>
      </c>
      <c r="W403" s="4" t="str">
        <f t="shared" si="27"/>
        <v>Good</v>
      </c>
      <c r="X403" s="4">
        <f>AVERAGE(Table1[Purchase Amount])</f>
        <v>129.48419400000012</v>
      </c>
    </row>
    <row r="404" spans="1:24" ht="15" customHeight="1" x14ac:dyDescent="0.25">
      <c r="A404">
        <v>403</v>
      </c>
      <c r="B404">
        <v>31</v>
      </c>
      <c r="C404" t="s">
        <v>27</v>
      </c>
      <c r="D404" t="s">
        <v>104</v>
      </c>
      <c r="E404" t="s">
        <v>29</v>
      </c>
      <c r="F404" s="2">
        <v>78</v>
      </c>
      <c r="G404" t="s">
        <v>19</v>
      </c>
      <c r="H404" t="s">
        <v>45</v>
      </c>
      <c r="I404" t="s">
        <v>128</v>
      </c>
      <c r="J404" t="s">
        <v>47</v>
      </c>
      <c r="K404">
        <v>3</v>
      </c>
      <c r="L404" t="s">
        <v>34</v>
      </c>
      <c r="M404" t="s">
        <v>61</v>
      </c>
      <c r="N404" t="s">
        <v>34</v>
      </c>
      <c r="O404">
        <v>26</v>
      </c>
      <c r="P404" t="s">
        <v>58</v>
      </c>
      <c r="Q404" t="s">
        <v>42</v>
      </c>
      <c r="R404" s="1">
        <v>0.1</v>
      </c>
      <c r="S404">
        <f t="shared" si="24"/>
        <v>70.2</v>
      </c>
      <c r="T404">
        <f>IFERROR(VLOOKUP(A404,Table1[[Customer ID]:[Discount Amount]], 6, FALSE),"Not Found")</f>
        <v>78</v>
      </c>
      <c r="U404" t="str">
        <f t="shared" si="25"/>
        <v>PayPal</v>
      </c>
      <c r="V404" s="4" t="str">
        <f t="shared" si="26"/>
        <v>Normal</v>
      </c>
      <c r="W404" s="4" t="str">
        <f t="shared" si="27"/>
        <v>Good</v>
      </c>
      <c r="X404" s="4">
        <f>AVERAGE(Table1[Purchase Amount])</f>
        <v>129.48419400000012</v>
      </c>
    </row>
    <row r="405" spans="1:24" ht="15" customHeight="1" x14ac:dyDescent="0.25">
      <c r="A405">
        <v>404</v>
      </c>
      <c r="B405">
        <v>19</v>
      </c>
      <c r="C405" t="s">
        <v>27</v>
      </c>
      <c r="D405" t="s">
        <v>140</v>
      </c>
      <c r="E405" t="s">
        <v>98</v>
      </c>
      <c r="F405" s="2">
        <v>45</v>
      </c>
      <c r="G405" t="s">
        <v>158</v>
      </c>
      <c r="H405" t="s">
        <v>31</v>
      </c>
      <c r="I405" t="s">
        <v>108</v>
      </c>
      <c r="J405" t="s">
        <v>22</v>
      </c>
      <c r="K405">
        <v>4.5</v>
      </c>
      <c r="L405" t="s">
        <v>34</v>
      </c>
      <c r="M405" t="s">
        <v>79</v>
      </c>
      <c r="N405" t="s">
        <v>34</v>
      </c>
      <c r="O405">
        <v>12</v>
      </c>
      <c r="P405" t="s">
        <v>88</v>
      </c>
      <c r="Q405" t="s">
        <v>49</v>
      </c>
      <c r="R405" s="1">
        <v>0.1</v>
      </c>
      <c r="S405">
        <f t="shared" si="24"/>
        <v>40.5</v>
      </c>
      <c r="T405">
        <f>IFERROR(VLOOKUP(A405,Table1[[Customer ID]:[Discount Amount]], 6, FALSE),"Not Found")</f>
        <v>45</v>
      </c>
      <c r="U405" t="str">
        <f t="shared" si="25"/>
        <v>Bank Transfer</v>
      </c>
      <c r="V405" s="4" t="str">
        <f t="shared" si="26"/>
        <v>Normal</v>
      </c>
      <c r="W405" s="4" t="str">
        <f t="shared" si="27"/>
        <v>Good</v>
      </c>
      <c r="X405" s="4">
        <f>AVERAGE(Table1[Purchase Amount])</f>
        <v>129.48419400000012</v>
      </c>
    </row>
    <row r="406" spans="1:24" ht="15" customHeight="1" x14ac:dyDescent="0.25">
      <c r="A406">
        <v>405</v>
      </c>
      <c r="B406">
        <v>35</v>
      </c>
      <c r="C406" t="s">
        <v>27</v>
      </c>
      <c r="D406" t="s">
        <v>17</v>
      </c>
      <c r="E406" t="s">
        <v>18</v>
      </c>
      <c r="F406" s="2">
        <v>93</v>
      </c>
      <c r="G406" t="s">
        <v>143</v>
      </c>
      <c r="H406" t="s">
        <v>31</v>
      </c>
      <c r="I406" t="s">
        <v>91</v>
      </c>
      <c r="J406" t="s">
        <v>33</v>
      </c>
      <c r="K406">
        <v>4.8</v>
      </c>
      <c r="L406" t="s">
        <v>34</v>
      </c>
      <c r="M406" t="s">
        <v>48</v>
      </c>
      <c r="N406" t="s">
        <v>34</v>
      </c>
      <c r="O406">
        <v>11</v>
      </c>
      <c r="P406" t="s">
        <v>53</v>
      </c>
      <c r="Q406" t="s">
        <v>42</v>
      </c>
      <c r="R406" s="1">
        <v>0.1</v>
      </c>
      <c r="S406">
        <f t="shared" si="24"/>
        <v>83.7</v>
      </c>
      <c r="T406">
        <f>IFERROR(VLOOKUP(A406,Table1[[Customer ID]:[Discount Amount]], 6, FALSE),"Not Found")</f>
        <v>93</v>
      </c>
      <c r="U406" t="str">
        <f t="shared" si="25"/>
        <v>Credit Card</v>
      </c>
      <c r="V406" s="4" t="str">
        <f t="shared" si="26"/>
        <v>Normal</v>
      </c>
      <c r="W406" s="4" t="str">
        <f t="shared" si="27"/>
        <v>Good</v>
      </c>
      <c r="X406" s="4">
        <f>AVERAGE(Table1[Purchase Amount])</f>
        <v>129.48419400000012</v>
      </c>
    </row>
    <row r="407" spans="1:24" ht="15" customHeight="1" x14ac:dyDescent="0.25">
      <c r="A407">
        <v>406</v>
      </c>
      <c r="B407">
        <v>41</v>
      </c>
      <c r="C407" t="s">
        <v>27</v>
      </c>
      <c r="D407" t="s">
        <v>109</v>
      </c>
      <c r="E407" t="s">
        <v>18</v>
      </c>
      <c r="F407" s="2">
        <v>74</v>
      </c>
      <c r="G407" t="s">
        <v>30</v>
      </c>
      <c r="H407" t="s">
        <v>55</v>
      </c>
      <c r="I407" t="s">
        <v>153</v>
      </c>
      <c r="J407" t="s">
        <v>57</v>
      </c>
      <c r="K407">
        <v>3.8</v>
      </c>
      <c r="L407" t="s">
        <v>34</v>
      </c>
      <c r="M407" t="s">
        <v>24</v>
      </c>
      <c r="N407" t="s">
        <v>34</v>
      </c>
      <c r="O407">
        <v>15</v>
      </c>
      <c r="P407" t="s">
        <v>25</v>
      </c>
      <c r="Q407" t="s">
        <v>49</v>
      </c>
      <c r="R407" s="1">
        <v>0.1</v>
      </c>
      <c r="S407">
        <f t="shared" si="24"/>
        <v>66.599999999999994</v>
      </c>
      <c r="T407">
        <f>IFERROR(VLOOKUP(A407,Table1[[Customer ID]:[Discount Amount]], 6, FALSE),"Not Found")</f>
        <v>74</v>
      </c>
      <c r="U407" t="str">
        <f t="shared" si="25"/>
        <v>Cash</v>
      </c>
      <c r="V407" s="4" t="str">
        <f t="shared" si="26"/>
        <v>Normal</v>
      </c>
      <c r="W407" s="4" t="str">
        <f t="shared" si="27"/>
        <v>Good</v>
      </c>
      <c r="X407" s="4">
        <f>AVERAGE(Table1[Purchase Amount])</f>
        <v>129.48419400000012</v>
      </c>
    </row>
    <row r="408" spans="1:24" ht="15" customHeight="1" x14ac:dyDescent="0.25">
      <c r="A408">
        <v>407</v>
      </c>
      <c r="B408">
        <v>52</v>
      </c>
      <c r="C408" t="s">
        <v>27</v>
      </c>
      <c r="D408" t="s">
        <v>43</v>
      </c>
      <c r="E408" t="s">
        <v>29</v>
      </c>
      <c r="F408" s="2">
        <v>55</v>
      </c>
      <c r="G408" t="s">
        <v>106</v>
      </c>
      <c r="H408" t="s">
        <v>31</v>
      </c>
      <c r="I408" t="s">
        <v>145</v>
      </c>
      <c r="J408" t="s">
        <v>33</v>
      </c>
      <c r="K408">
        <v>4.5999999999999996</v>
      </c>
      <c r="L408" t="s">
        <v>34</v>
      </c>
      <c r="M408" t="s">
        <v>61</v>
      </c>
      <c r="N408" t="s">
        <v>34</v>
      </c>
      <c r="O408">
        <v>13</v>
      </c>
      <c r="P408" t="s">
        <v>25</v>
      </c>
      <c r="Q408" t="s">
        <v>42</v>
      </c>
      <c r="R408" s="1">
        <v>0.1</v>
      </c>
      <c r="S408">
        <f t="shared" si="24"/>
        <v>49.5</v>
      </c>
      <c r="T408">
        <f>IFERROR(VLOOKUP(A408,Table1[[Customer ID]:[Discount Amount]], 6, FALSE),"Not Found")</f>
        <v>55</v>
      </c>
      <c r="U408" t="str">
        <f t="shared" si="25"/>
        <v>Cash</v>
      </c>
      <c r="V408" s="4" t="str">
        <f t="shared" si="26"/>
        <v>Normal</v>
      </c>
      <c r="W408" s="4" t="str">
        <f t="shared" si="27"/>
        <v>Good</v>
      </c>
      <c r="X408" s="4">
        <f>AVERAGE(Table1[Purchase Amount])</f>
        <v>129.48419400000012</v>
      </c>
    </row>
    <row r="409" spans="1:24" ht="15" customHeight="1" x14ac:dyDescent="0.25">
      <c r="A409">
        <v>408</v>
      </c>
      <c r="B409">
        <v>45</v>
      </c>
      <c r="C409" t="s">
        <v>27</v>
      </c>
      <c r="D409" t="s">
        <v>83</v>
      </c>
      <c r="E409" t="s">
        <v>18</v>
      </c>
      <c r="F409" s="2">
        <v>76</v>
      </c>
      <c r="G409" t="s">
        <v>134</v>
      </c>
      <c r="H409" t="s">
        <v>20</v>
      </c>
      <c r="I409" t="s">
        <v>147</v>
      </c>
      <c r="J409" t="s">
        <v>33</v>
      </c>
      <c r="K409">
        <v>3.1</v>
      </c>
      <c r="L409" t="s">
        <v>34</v>
      </c>
      <c r="M409" t="s">
        <v>79</v>
      </c>
      <c r="N409" t="s">
        <v>34</v>
      </c>
      <c r="O409">
        <v>5</v>
      </c>
      <c r="P409" t="s">
        <v>53</v>
      </c>
      <c r="Q409" t="s">
        <v>68</v>
      </c>
      <c r="R409" s="1">
        <v>0.1</v>
      </c>
      <c r="S409">
        <f t="shared" si="24"/>
        <v>68.400000000000006</v>
      </c>
      <c r="T409">
        <f>IFERROR(VLOOKUP(A409,Table1[[Customer ID]:[Discount Amount]], 6, FALSE),"Not Found")</f>
        <v>76</v>
      </c>
      <c r="U409" t="str">
        <f t="shared" si="25"/>
        <v>Credit Card</v>
      </c>
      <c r="V409" s="4" t="str">
        <f t="shared" si="26"/>
        <v>Normal</v>
      </c>
      <c r="W409" s="4" t="str">
        <f t="shared" si="27"/>
        <v>Good</v>
      </c>
      <c r="X409" s="4">
        <f>AVERAGE(Table1[Purchase Amount])</f>
        <v>129.48419400000012</v>
      </c>
    </row>
    <row r="410" spans="1:24" ht="15" customHeight="1" x14ac:dyDescent="0.25">
      <c r="A410">
        <v>409</v>
      </c>
      <c r="B410">
        <v>34</v>
      </c>
      <c r="C410" t="s">
        <v>27</v>
      </c>
      <c r="D410" t="s">
        <v>140</v>
      </c>
      <c r="E410" t="s">
        <v>98</v>
      </c>
      <c r="F410" s="2">
        <v>66</v>
      </c>
      <c r="G410" t="s">
        <v>51</v>
      </c>
      <c r="H410" t="s">
        <v>45</v>
      </c>
      <c r="I410" t="s">
        <v>32</v>
      </c>
      <c r="J410" t="s">
        <v>33</v>
      </c>
      <c r="K410">
        <v>3.4</v>
      </c>
      <c r="L410" t="s">
        <v>34</v>
      </c>
      <c r="M410" t="s">
        <v>61</v>
      </c>
      <c r="N410" t="s">
        <v>34</v>
      </c>
      <c r="O410">
        <v>36</v>
      </c>
      <c r="P410" t="s">
        <v>25</v>
      </c>
      <c r="Q410" t="s">
        <v>89</v>
      </c>
      <c r="R410" s="1">
        <v>0.1</v>
      </c>
      <c r="S410">
        <f t="shared" si="24"/>
        <v>59.4</v>
      </c>
      <c r="T410">
        <f>IFERROR(VLOOKUP(A410,Table1[[Customer ID]:[Discount Amount]], 6, FALSE),"Not Found")</f>
        <v>66</v>
      </c>
      <c r="U410" t="str">
        <f t="shared" si="25"/>
        <v>Cash</v>
      </c>
      <c r="V410" s="4" t="str">
        <f t="shared" si="26"/>
        <v>Normal</v>
      </c>
      <c r="W410" s="4" t="str">
        <f t="shared" si="27"/>
        <v>Good</v>
      </c>
      <c r="X410" s="4">
        <f>AVERAGE(Table1[Purchase Amount])</f>
        <v>129.48419400000012</v>
      </c>
    </row>
    <row r="411" spans="1:24" ht="15" customHeight="1" x14ac:dyDescent="0.25">
      <c r="A411">
        <v>410</v>
      </c>
      <c r="B411">
        <v>35</v>
      </c>
      <c r="C411" t="s">
        <v>27</v>
      </c>
      <c r="D411" t="s">
        <v>54</v>
      </c>
      <c r="E411" t="s">
        <v>18</v>
      </c>
      <c r="F411" s="2">
        <v>51</v>
      </c>
      <c r="G411" t="s">
        <v>120</v>
      </c>
      <c r="H411" t="s">
        <v>31</v>
      </c>
      <c r="I411" t="s">
        <v>60</v>
      </c>
      <c r="J411" t="s">
        <v>22</v>
      </c>
      <c r="K411">
        <v>3.3</v>
      </c>
      <c r="L411" t="s">
        <v>34</v>
      </c>
      <c r="M411" t="s">
        <v>41</v>
      </c>
      <c r="N411" t="s">
        <v>34</v>
      </c>
      <c r="O411">
        <v>32</v>
      </c>
      <c r="P411" t="s">
        <v>88</v>
      </c>
      <c r="Q411" t="s">
        <v>42</v>
      </c>
      <c r="R411" s="1">
        <v>0.1</v>
      </c>
      <c r="S411">
        <f t="shared" si="24"/>
        <v>45.9</v>
      </c>
      <c r="T411">
        <f>IFERROR(VLOOKUP(A411,Table1[[Customer ID]:[Discount Amount]], 6, FALSE),"Not Found")</f>
        <v>51</v>
      </c>
      <c r="U411" t="str">
        <f t="shared" si="25"/>
        <v>Bank Transfer</v>
      </c>
      <c r="V411" s="4" t="str">
        <f t="shared" si="26"/>
        <v>Normal</v>
      </c>
      <c r="W411" s="4" t="str">
        <f t="shared" si="27"/>
        <v>Good</v>
      </c>
      <c r="X411" s="4">
        <f>AVERAGE(Table1[Purchase Amount])</f>
        <v>129.48419400000012</v>
      </c>
    </row>
    <row r="412" spans="1:24" ht="15" customHeight="1" x14ac:dyDescent="0.25">
      <c r="A412">
        <v>411</v>
      </c>
      <c r="B412">
        <v>29</v>
      </c>
      <c r="C412" t="s">
        <v>27</v>
      </c>
      <c r="D412" t="s">
        <v>127</v>
      </c>
      <c r="E412" t="s">
        <v>18</v>
      </c>
      <c r="F412" s="2">
        <v>26</v>
      </c>
      <c r="G412" t="s">
        <v>138</v>
      </c>
      <c r="H412" t="s">
        <v>45</v>
      </c>
      <c r="I412" t="s">
        <v>107</v>
      </c>
      <c r="J412" t="s">
        <v>33</v>
      </c>
      <c r="K412">
        <v>4.8</v>
      </c>
      <c r="L412" t="s">
        <v>34</v>
      </c>
      <c r="M412" t="s">
        <v>41</v>
      </c>
      <c r="N412" t="s">
        <v>34</v>
      </c>
      <c r="O412">
        <v>1</v>
      </c>
      <c r="P412" t="s">
        <v>53</v>
      </c>
      <c r="Q412" t="s">
        <v>37</v>
      </c>
      <c r="R412" s="1">
        <v>0.1</v>
      </c>
      <c r="S412">
        <f t="shared" si="24"/>
        <v>23.4</v>
      </c>
      <c r="T412">
        <f>IFERROR(VLOOKUP(A412,Table1[[Customer ID]:[Discount Amount]], 6, FALSE),"Not Found")</f>
        <v>26</v>
      </c>
      <c r="U412" t="str">
        <f t="shared" si="25"/>
        <v>Credit Card</v>
      </c>
      <c r="V412" s="4" t="str">
        <f t="shared" si="26"/>
        <v>Normal</v>
      </c>
      <c r="W412" s="4" t="str">
        <f t="shared" si="27"/>
        <v>Good</v>
      </c>
      <c r="X412" s="4">
        <f>AVERAGE(Table1[Purchase Amount])</f>
        <v>129.48419400000012</v>
      </c>
    </row>
    <row r="413" spans="1:24" ht="15" customHeight="1" x14ac:dyDescent="0.25">
      <c r="A413">
        <v>412</v>
      </c>
      <c r="B413">
        <v>59</v>
      </c>
      <c r="C413" t="s">
        <v>27</v>
      </c>
      <c r="D413" t="s">
        <v>109</v>
      </c>
      <c r="E413" t="s">
        <v>18</v>
      </c>
      <c r="F413" s="2">
        <v>29</v>
      </c>
      <c r="G413" t="s">
        <v>113</v>
      </c>
      <c r="H413" t="s">
        <v>31</v>
      </c>
      <c r="I413" t="s">
        <v>91</v>
      </c>
      <c r="J413" t="s">
        <v>57</v>
      </c>
      <c r="K413">
        <v>2.8</v>
      </c>
      <c r="L413" t="s">
        <v>34</v>
      </c>
      <c r="M413" t="s">
        <v>61</v>
      </c>
      <c r="N413" t="s">
        <v>34</v>
      </c>
      <c r="O413">
        <v>15</v>
      </c>
      <c r="P413" t="s">
        <v>58</v>
      </c>
      <c r="Q413" t="s">
        <v>49</v>
      </c>
      <c r="R413" s="1">
        <v>0.1</v>
      </c>
      <c r="S413">
        <f t="shared" si="24"/>
        <v>26.1</v>
      </c>
      <c r="T413">
        <f>IFERROR(VLOOKUP(A413,Table1[[Customer ID]:[Discount Amount]], 6, FALSE),"Not Found")</f>
        <v>29</v>
      </c>
      <c r="U413" t="str">
        <f t="shared" si="25"/>
        <v>PayPal</v>
      </c>
      <c r="V413" s="4" t="str">
        <f t="shared" si="26"/>
        <v>Normal</v>
      </c>
      <c r="W413" s="4" t="str">
        <f t="shared" si="27"/>
        <v>Poor</v>
      </c>
      <c r="X413" s="4">
        <f>AVERAGE(Table1[Purchase Amount])</f>
        <v>129.48419400000012</v>
      </c>
    </row>
    <row r="414" spans="1:24" ht="15" customHeight="1" x14ac:dyDescent="0.25">
      <c r="A414">
        <v>413</v>
      </c>
      <c r="B414">
        <v>24</v>
      </c>
      <c r="C414" t="s">
        <v>27</v>
      </c>
      <c r="D414" t="s">
        <v>96</v>
      </c>
      <c r="E414" t="s">
        <v>77</v>
      </c>
      <c r="F414" s="2">
        <v>74</v>
      </c>
      <c r="G414" t="s">
        <v>94</v>
      </c>
      <c r="H414" t="s">
        <v>31</v>
      </c>
      <c r="I414" t="s">
        <v>52</v>
      </c>
      <c r="J414" t="s">
        <v>57</v>
      </c>
      <c r="K414">
        <v>3.1</v>
      </c>
      <c r="L414" t="s">
        <v>34</v>
      </c>
      <c r="M414" t="s">
        <v>48</v>
      </c>
      <c r="N414" t="s">
        <v>34</v>
      </c>
      <c r="O414">
        <v>3</v>
      </c>
      <c r="P414" t="s">
        <v>88</v>
      </c>
      <c r="Q414" t="s">
        <v>26</v>
      </c>
      <c r="R414" s="1">
        <v>0.1</v>
      </c>
      <c r="S414">
        <f t="shared" si="24"/>
        <v>66.599999999999994</v>
      </c>
      <c r="T414">
        <f>IFERROR(VLOOKUP(A414,Table1[[Customer ID]:[Discount Amount]], 6, FALSE),"Not Found")</f>
        <v>74</v>
      </c>
      <c r="U414" t="str">
        <f t="shared" si="25"/>
        <v>Bank Transfer</v>
      </c>
      <c r="V414" s="4" t="str">
        <f t="shared" si="26"/>
        <v>Normal</v>
      </c>
      <c r="W414" s="4" t="str">
        <f t="shared" si="27"/>
        <v>Good</v>
      </c>
      <c r="X414" s="4">
        <f>AVERAGE(Table1[Purchase Amount])</f>
        <v>129.48419400000012</v>
      </c>
    </row>
    <row r="415" spans="1:24" ht="15" customHeight="1" x14ac:dyDescent="0.25">
      <c r="A415">
        <v>414</v>
      </c>
      <c r="B415">
        <v>70</v>
      </c>
      <c r="C415" t="s">
        <v>27</v>
      </c>
      <c r="D415" t="s">
        <v>50</v>
      </c>
      <c r="E415" t="s">
        <v>29</v>
      </c>
      <c r="F415" s="2">
        <v>99</v>
      </c>
      <c r="G415" t="s">
        <v>158</v>
      </c>
      <c r="H415" t="s">
        <v>55</v>
      </c>
      <c r="I415" t="s">
        <v>32</v>
      </c>
      <c r="J415" t="s">
        <v>57</v>
      </c>
      <c r="K415">
        <v>4.5999999999999996</v>
      </c>
      <c r="L415" t="s">
        <v>34</v>
      </c>
      <c r="M415" t="s">
        <v>35</v>
      </c>
      <c r="N415" t="s">
        <v>34</v>
      </c>
      <c r="O415">
        <v>48</v>
      </c>
      <c r="P415" t="s">
        <v>25</v>
      </c>
      <c r="Q415" t="s">
        <v>42</v>
      </c>
      <c r="R415" s="1">
        <v>0.1</v>
      </c>
      <c r="S415">
        <f t="shared" si="24"/>
        <v>89.1</v>
      </c>
      <c r="T415">
        <f>IFERROR(VLOOKUP(A415,Table1[[Customer ID]:[Discount Amount]], 6, FALSE),"Not Found")</f>
        <v>99</v>
      </c>
      <c r="U415" t="str">
        <f t="shared" si="25"/>
        <v>Cash</v>
      </c>
      <c r="V415" s="4" t="str">
        <f t="shared" si="26"/>
        <v>Normal</v>
      </c>
      <c r="W415" s="4" t="str">
        <f t="shared" si="27"/>
        <v>Good</v>
      </c>
      <c r="X415" s="4">
        <f>AVERAGE(Table1[Purchase Amount])</f>
        <v>129.48419400000012</v>
      </c>
    </row>
    <row r="416" spans="1:24" ht="15" customHeight="1" x14ac:dyDescent="0.25">
      <c r="A416">
        <v>415</v>
      </c>
      <c r="B416">
        <v>29</v>
      </c>
      <c r="C416" t="s">
        <v>27</v>
      </c>
      <c r="D416" t="s">
        <v>104</v>
      </c>
      <c r="E416" t="s">
        <v>29</v>
      </c>
      <c r="F416" s="2">
        <v>88</v>
      </c>
      <c r="G416" t="s">
        <v>162</v>
      </c>
      <c r="H416" t="s">
        <v>45</v>
      </c>
      <c r="I416" t="s">
        <v>111</v>
      </c>
      <c r="J416" t="s">
        <v>22</v>
      </c>
      <c r="K416">
        <v>2.6</v>
      </c>
      <c r="L416" t="s">
        <v>34</v>
      </c>
      <c r="M416" t="s">
        <v>48</v>
      </c>
      <c r="N416" t="s">
        <v>34</v>
      </c>
      <c r="O416">
        <v>30</v>
      </c>
      <c r="P416" t="s">
        <v>36</v>
      </c>
      <c r="Q416" t="s">
        <v>26</v>
      </c>
      <c r="R416" s="1">
        <v>0.1</v>
      </c>
      <c r="S416">
        <f t="shared" si="24"/>
        <v>79.2</v>
      </c>
      <c r="T416">
        <f>IFERROR(VLOOKUP(A416,Table1[[Customer ID]:[Discount Amount]], 6, FALSE),"Not Found")</f>
        <v>88</v>
      </c>
      <c r="U416" t="str">
        <f t="shared" si="25"/>
        <v>Debit Card</v>
      </c>
      <c r="V416" s="4" t="str">
        <f t="shared" si="26"/>
        <v>Normal</v>
      </c>
      <c r="W416" s="4" t="str">
        <f t="shared" si="27"/>
        <v>Poor</v>
      </c>
      <c r="X416" s="4">
        <f>AVERAGE(Table1[Purchase Amount])</f>
        <v>129.48419400000012</v>
      </c>
    </row>
    <row r="417" spans="1:24" ht="15" customHeight="1" x14ac:dyDescent="0.25">
      <c r="A417">
        <v>416</v>
      </c>
      <c r="B417">
        <v>67</v>
      </c>
      <c r="C417" t="s">
        <v>27</v>
      </c>
      <c r="D417" t="s">
        <v>76</v>
      </c>
      <c r="E417" t="s">
        <v>77</v>
      </c>
      <c r="F417" s="2">
        <v>31</v>
      </c>
      <c r="G417" t="s">
        <v>115</v>
      </c>
      <c r="H417" t="s">
        <v>31</v>
      </c>
      <c r="I417" t="s">
        <v>107</v>
      </c>
      <c r="J417" t="s">
        <v>22</v>
      </c>
      <c r="K417">
        <v>2.6</v>
      </c>
      <c r="L417" t="s">
        <v>34</v>
      </c>
      <c r="M417" t="s">
        <v>61</v>
      </c>
      <c r="N417" t="s">
        <v>34</v>
      </c>
      <c r="O417">
        <v>40</v>
      </c>
      <c r="P417" t="s">
        <v>88</v>
      </c>
      <c r="Q417" t="s">
        <v>42</v>
      </c>
      <c r="R417" s="1">
        <v>0.1</v>
      </c>
      <c r="S417">
        <f t="shared" si="24"/>
        <v>27.9</v>
      </c>
      <c r="T417">
        <f>IFERROR(VLOOKUP(A417,Table1[[Customer ID]:[Discount Amount]], 6, FALSE),"Not Found")</f>
        <v>31</v>
      </c>
      <c r="U417" t="str">
        <f t="shared" si="25"/>
        <v>Bank Transfer</v>
      </c>
      <c r="V417" s="4" t="str">
        <f t="shared" si="26"/>
        <v>Normal</v>
      </c>
      <c r="W417" s="4" t="str">
        <f t="shared" si="27"/>
        <v>Poor</v>
      </c>
      <c r="X417" s="4">
        <f>AVERAGE(Table1[Purchase Amount])</f>
        <v>129.48419400000012</v>
      </c>
    </row>
    <row r="418" spans="1:24" ht="15" customHeight="1" x14ac:dyDescent="0.25">
      <c r="A418">
        <v>417</v>
      </c>
      <c r="B418">
        <v>36</v>
      </c>
      <c r="C418" t="s">
        <v>27</v>
      </c>
      <c r="D418" t="s">
        <v>114</v>
      </c>
      <c r="E418" t="s">
        <v>29</v>
      </c>
      <c r="F418" s="2">
        <v>55</v>
      </c>
      <c r="G418" t="s">
        <v>123</v>
      </c>
      <c r="H418" t="s">
        <v>45</v>
      </c>
      <c r="I418" t="s">
        <v>21</v>
      </c>
      <c r="J418" t="s">
        <v>33</v>
      </c>
      <c r="K418">
        <v>3.8</v>
      </c>
      <c r="L418" t="s">
        <v>34</v>
      </c>
      <c r="M418" t="s">
        <v>35</v>
      </c>
      <c r="N418" t="s">
        <v>34</v>
      </c>
      <c r="O418">
        <v>24</v>
      </c>
      <c r="P418" t="s">
        <v>88</v>
      </c>
      <c r="Q418" t="s">
        <v>89</v>
      </c>
      <c r="R418" s="1">
        <v>0.1</v>
      </c>
      <c r="S418">
        <f t="shared" si="24"/>
        <v>49.5</v>
      </c>
      <c r="T418">
        <f>IFERROR(VLOOKUP(A418,Table1[[Customer ID]:[Discount Amount]], 6, FALSE),"Not Found")</f>
        <v>55</v>
      </c>
      <c r="U418" t="str">
        <f t="shared" si="25"/>
        <v>Bank Transfer</v>
      </c>
      <c r="V418" s="4" t="str">
        <f t="shared" si="26"/>
        <v>Normal</v>
      </c>
      <c r="W418" s="4" t="str">
        <f t="shared" si="27"/>
        <v>Good</v>
      </c>
      <c r="X418" s="4">
        <f>AVERAGE(Table1[Purchase Amount])</f>
        <v>129.48419400000012</v>
      </c>
    </row>
    <row r="419" spans="1:24" ht="15" customHeight="1" x14ac:dyDescent="0.25">
      <c r="A419">
        <v>418</v>
      </c>
      <c r="B419">
        <v>23</v>
      </c>
      <c r="C419" t="s">
        <v>27</v>
      </c>
      <c r="D419" t="s">
        <v>121</v>
      </c>
      <c r="E419" t="s">
        <v>98</v>
      </c>
      <c r="F419" s="2">
        <v>81</v>
      </c>
      <c r="G419" t="s">
        <v>149</v>
      </c>
      <c r="H419" t="s">
        <v>45</v>
      </c>
      <c r="I419" t="s">
        <v>56</v>
      </c>
      <c r="J419" t="s">
        <v>47</v>
      </c>
      <c r="K419">
        <v>4.5</v>
      </c>
      <c r="L419" t="s">
        <v>34</v>
      </c>
      <c r="M419" t="s">
        <v>35</v>
      </c>
      <c r="N419" t="s">
        <v>34</v>
      </c>
      <c r="O419">
        <v>48</v>
      </c>
      <c r="P419" t="s">
        <v>36</v>
      </c>
      <c r="Q419" t="s">
        <v>37</v>
      </c>
      <c r="R419" s="1">
        <v>0.1</v>
      </c>
      <c r="S419">
        <f t="shared" si="24"/>
        <v>72.900000000000006</v>
      </c>
      <c r="T419">
        <f>IFERROR(VLOOKUP(A419,Table1[[Customer ID]:[Discount Amount]], 6, FALSE),"Not Found")</f>
        <v>81</v>
      </c>
      <c r="U419" t="str">
        <f t="shared" si="25"/>
        <v>Debit Card</v>
      </c>
      <c r="V419" s="4" t="str">
        <f t="shared" si="26"/>
        <v>Normal</v>
      </c>
      <c r="W419" s="4" t="str">
        <f t="shared" si="27"/>
        <v>Good</v>
      </c>
      <c r="X419" s="4">
        <f>AVERAGE(Table1[Purchase Amount])</f>
        <v>129.48419400000012</v>
      </c>
    </row>
    <row r="420" spans="1:24" ht="15" customHeight="1" x14ac:dyDescent="0.25">
      <c r="A420">
        <v>419</v>
      </c>
      <c r="B420">
        <v>18</v>
      </c>
      <c r="C420" t="s">
        <v>27</v>
      </c>
      <c r="D420" t="s">
        <v>127</v>
      </c>
      <c r="E420" t="s">
        <v>18</v>
      </c>
      <c r="F420" s="2">
        <v>73</v>
      </c>
      <c r="G420" t="s">
        <v>44</v>
      </c>
      <c r="H420" t="s">
        <v>45</v>
      </c>
      <c r="I420" t="s">
        <v>66</v>
      </c>
      <c r="J420" t="s">
        <v>33</v>
      </c>
      <c r="K420">
        <v>3</v>
      </c>
      <c r="L420" t="s">
        <v>34</v>
      </c>
      <c r="M420" t="s">
        <v>24</v>
      </c>
      <c r="N420" t="s">
        <v>34</v>
      </c>
      <c r="O420">
        <v>27</v>
      </c>
      <c r="P420" t="s">
        <v>62</v>
      </c>
      <c r="Q420" t="s">
        <v>68</v>
      </c>
      <c r="R420" s="1">
        <v>0.1</v>
      </c>
      <c r="S420">
        <f t="shared" si="24"/>
        <v>65.7</v>
      </c>
      <c r="T420">
        <f>IFERROR(VLOOKUP(A420,Table1[[Customer ID]:[Discount Amount]], 6, FALSE),"Not Found")</f>
        <v>73</v>
      </c>
      <c r="U420" t="str">
        <f t="shared" si="25"/>
        <v>Venmo</v>
      </c>
      <c r="V420" s="4" t="str">
        <f t="shared" si="26"/>
        <v>Normal</v>
      </c>
      <c r="W420" s="4" t="str">
        <f t="shared" si="27"/>
        <v>Good</v>
      </c>
      <c r="X420" s="4">
        <f>AVERAGE(Table1[Purchase Amount])</f>
        <v>129.48419400000012</v>
      </c>
    </row>
    <row r="421" spans="1:24" ht="15" customHeight="1" x14ac:dyDescent="0.25">
      <c r="A421">
        <v>420</v>
      </c>
      <c r="B421">
        <v>53</v>
      </c>
      <c r="C421" t="s">
        <v>27</v>
      </c>
      <c r="D421" t="s">
        <v>54</v>
      </c>
      <c r="E421" t="s">
        <v>18</v>
      </c>
      <c r="F421" s="2">
        <v>91</v>
      </c>
      <c r="G421" t="s">
        <v>144</v>
      </c>
      <c r="H421" t="s">
        <v>55</v>
      </c>
      <c r="I421" t="s">
        <v>147</v>
      </c>
      <c r="J421" t="s">
        <v>22</v>
      </c>
      <c r="K421">
        <v>1</v>
      </c>
      <c r="L421" t="s">
        <v>34</v>
      </c>
      <c r="M421" t="s">
        <v>35</v>
      </c>
      <c r="N421" t="s">
        <v>34</v>
      </c>
      <c r="O421">
        <v>14</v>
      </c>
      <c r="P421" t="s">
        <v>53</v>
      </c>
      <c r="Q421" t="s">
        <v>63</v>
      </c>
      <c r="R421" s="1">
        <v>0.1</v>
      </c>
      <c r="S421">
        <f t="shared" si="24"/>
        <v>81.900000000000006</v>
      </c>
      <c r="T421">
        <f>IFERROR(VLOOKUP(A421,Table1[[Customer ID]:[Discount Amount]], 6, FALSE),"Not Found")</f>
        <v>91</v>
      </c>
      <c r="U421" t="str">
        <f t="shared" si="25"/>
        <v>Credit Card</v>
      </c>
      <c r="V421" s="4" t="str">
        <f t="shared" si="26"/>
        <v>Normal</v>
      </c>
      <c r="W421" s="4" t="str">
        <f t="shared" si="27"/>
        <v>Poor</v>
      </c>
      <c r="X421" s="4">
        <f>AVERAGE(Table1[Purchase Amount])</f>
        <v>129.48419400000012</v>
      </c>
    </row>
    <row r="422" spans="1:24" ht="15" customHeight="1" x14ac:dyDescent="0.25">
      <c r="A422">
        <v>421</v>
      </c>
      <c r="B422">
        <v>32</v>
      </c>
      <c r="C422" t="s">
        <v>27</v>
      </c>
      <c r="D422" t="s">
        <v>105</v>
      </c>
      <c r="E422" t="s">
        <v>18</v>
      </c>
      <c r="F422" s="2">
        <v>54</v>
      </c>
      <c r="G422" t="s">
        <v>134</v>
      </c>
      <c r="H422" t="s">
        <v>55</v>
      </c>
      <c r="I422" t="s">
        <v>145</v>
      </c>
      <c r="J422" t="s">
        <v>33</v>
      </c>
      <c r="K422">
        <v>3.8</v>
      </c>
      <c r="L422" t="s">
        <v>34</v>
      </c>
      <c r="M422" t="s">
        <v>35</v>
      </c>
      <c r="N422" t="s">
        <v>34</v>
      </c>
      <c r="O422">
        <v>18</v>
      </c>
      <c r="P422" t="s">
        <v>36</v>
      </c>
      <c r="Q422" t="s">
        <v>68</v>
      </c>
      <c r="R422" s="1">
        <v>0.1</v>
      </c>
      <c r="S422">
        <f t="shared" si="24"/>
        <v>48.6</v>
      </c>
      <c r="T422">
        <f>IFERROR(VLOOKUP(A422,Table1[[Customer ID]:[Discount Amount]], 6, FALSE),"Not Found")</f>
        <v>54</v>
      </c>
      <c r="U422" t="str">
        <f t="shared" si="25"/>
        <v>Debit Card</v>
      </c>
      <c r="V422" s="4" t="str">
        <f t="shared" si="26"/>
        <v>Normal</v>
      </c>
      <c r="W422" s="4" t="str">
        <f t="shared" si="27"/>
        <v>Good</v>
      </c>
      <c r="X422" s="4">
        <f>AVERAGE(Table1[Purchase Amount])</f>
        <v>129.48419400000012</v>
      </c>
    </row>
    <row r="423" spans="1:24" ht="15" customHeight="1" x14ac:dyDescent="0.25">
      <c r="A423">
        <v>422</v>
      </c>
      <c r="B423">
        <v>38</v>
      </c>
      <c r="C423" t="s">
        <v>27</v>
      </c>
      <c r="D423" t="s">
        <v>38</v>
      </c>
      <c r="E423" t="s">
        <v>18</v>
      </c>
      <c r="F423" s="2">
        <v>40</v>
      </c>
      <c r="G423" t="s">
        <v>70</v>
      </c>
      <c r="H423" t="s">
        <v>31</v>
      </c>
      <c r="I423" t="s">
        <v>111</v>
      </c>
      <c r="J423" t="s">
        <v>22</v>
      </c>
      <c r="K423">
        <v>3.5</v>
      </c>
      <c r="L423" t="s">
        <v>34</v>
      </c>
      <c r="M423" t="s">
        <v>24</v>
      </c>
      <c r="N423" t="s">
        <v>34</v>
      </c>
      <c r="O423">
        <v>48</v>
      </c>
      <c r="P423" t="s">
        <v>25</v>
      </c>
      <c r="Q423" t="s">
        <v>68</v>
      </c>
      <c r="R423" s="1">
        <v>0.1</v>
      </c>
      <c r="S423">
        <f t="shared" si="24"/>
        <v>36</v>
      </c>
      <c r="T423">
        <f>IFERROR(VLOOKUP(A423,Table1[[Customer ID]:[Discount Amount]], 6, FALSE),"Not Found")</f>
        <v>40</v>
      </c>
      <c r="U423" t="str">
        <f t="shared" si="25"/>
        <v>Cash</v>
      </c>
      <c r="V423" s="4" t="str">
        <f t="shared" si="26"/>
        <v>Normal</v>
      </c>
      <c r="W423" s="4" t="str">
        <f t="shared" si="27"/>
        <v>Good</v>
      </c>
      <c r="X423" s="4">
        <f>AVERAGE(Table1[Purchase Amount])</f>
        <v>129.48419400000012</v>
      </c>
    </row>
    <row r="424" spans="1:24" ht="15" customHeight="1" x14ac:dyDescent="0.25">
      <c r="A424">
        <v>423</v>
      </c>
      <c r="B424">
        <v>47</v>
      </c>
      <c r="C424" t="s">
        <v>27</v>
      </c>
      <c r="D424" t="s">
        <v>99</v>
      </c>
      <c r="E424" t="s">
        <v>18</v>
      </c>
      <c r="F424" s="2">
        <v>59</v>
      </c>
      <c r="G424" t="s">
        <v>120</v>
      </c>
      <c r="H424" t="s">
        <v>31</v>
      </c>
      <c r="I424" t="s">
        <v>66</v>
      </c>
      <c r="J424" t="s">
        <v>47</v>
      </c>
      <c r="K424">
        <v>3.1</v>
      </c>
      <c r="L424" t="s">
        <v>34</v>
      </c>
      <c r="M424" t="s">
        <v>48</v>
      </c>
      <c r="N424" t="s">
        <v>34</v>
      </c>
      <c r="O424">
        <v>32</v>
      </c>
      <c r="P424" t="s">
        <v>36</v>
      </c>
      <c r="Q424" t="s">
        <v>49</v>
      </c>
      <c r="R424" s="1">
        <v>0.1</v>
      </c>
      <c r="S424">
        <f t="shared" si="24"/>
        <v>53.1</v>
      </c>
      <c r="T424">
        <f>IFERROR(VLOOKUP(A424,Table1[[Customer ID]:[Discount Amount]], 6, FALSE),"Not Found")</f>
        <v>59</v>
      </c>
      <c r="U424" t="str">
        <f t="shared" si="25"/>
        <v>Debit Card</v>
      </c>
      <c r="V424" s="4" t="str">
        <f t="shared" si="26"/>
        <v>Normal</v>
      </c>
      <c r="W424" s="4" t="str">
        <f t="shared" si="27"/>
        <v>Good</v>
      </c>
      <c r="X424" s="4">
        <f>AVERAGE(Table1[Purchase Amount])</f>
        <v>129.48419400000012</v>
      </c>
    </row>
    <row r="425" spans="1:24" ht="15" customHeight="1" x14ac:dyDescent="0.25">
      <c r="A425">
        <v>424</v>
      </c>
      <c r="B425">
        <v>46</v>
      </c>
      <c r="C425" t="s">
        <v>27</v>
      </c>
      <c r="D425" t="s">
        <v>129</v>
      </c>
      <c r="E425" t="s">
        <v>29</v>
      </c>
      <c r="F425" s="2">
        <v>26</v>
      </c>
      <c r="G425" t="s">
        <v>101</v>
      </c>
      <c r="H425" t="s">
        <v>45</v>
      </c>
      <c r="I425" t="s">
        <v>147</v>
      </c>
      <c r="J425" t="s">
        <v>33</v>
      </c>
      <c r="K425">
        <v>3</v>
      </c>
      <c r="L425" t="s">
        <v>34</v>
      </c>
      <c r="M425" t="s">
        <v>48</v>
      </c>
      <c r="N425" t="s">
        <v>34</v>
      </c>
      <c r="O425">
        <v>21</v>
      </c>
      <c r="P425" t="s">
        <v>53</v>
      </c>
      <c r="Q425" t="s">
        <v>68</v>
      </c>
      <c r="R425" s="1">
        <v>0.1</v>
      </c>
      <c r="S425">
        <f t="shared" si="24"/>
        <v>23.4</v>
      </c>
      <c r="T425">
        <f>IFERROR(VLOOKUP(A425,Table1[[Customer ID]:[Discount Amount]], 6, FALSE),"Not Found")</f>
        <v>26</v>
      </c>
      <c r="U425" t="str">
        <f t="shared" si="25"/>
        <v>Credit Card</v>
      </c>
      <c r="V425" s="4" t="str">
        <f t="shared" si="26"/>
        <v>Normal</v>
      </c>
      <c r="W425" s="4" t="str">
        <f t="shared" si="27"/>
        <v>Good</v>
      </c>
      <c r="X425" s="4">
        <f>AVERAGE(Table1[Purchase Amount])</f>
        <v>129.48419400000012</v>
      </c>
    </row>
    <row r="426" spans="1:24" ht="15" customHeight="1" x14ac:dyDescent="0.25">
      <c r="A426">
        <v>425</v>
      </c>
      <c r="B426">
        <v>66</v>
      </c>
      <c r="C426" t="s">
        <v>27</v>
      </c>
      <c r="D426" t="s">
        <v>127</v>
      </c>
      <c r="E426" t="s">
        <v>18</v>
      </c>
      <c r="F426" s="2">
        <v>23</v>
      </c>
      <c r="G426" t="s">
        <v>44</v>
      </c>
      <c r="H426" t="s">
        <v>31</v>
      </c>
      <c r="I426" t="s">
        <v>133</v>
      </c>
      <c r="J426" t="s">
        <v>22</v>
      </c>
      <c r="K426">
        <v>4.3</v>
      </c>
      <c r="L426" t="s">
        <v>34</v>
      </c>
      <c r="M426" t="s">
        <v>24</v>
      </c>
      <c r="N426" t="s">
        <v>34</v>
      </c>
      <c r="O426">
        <v>42</v>
      </c>
      <c r="P426" t="s">
        <v>58</v>
      </c>
      <c r="Q426" t="s">
        <v>89</v>
      </c>
      <c r="R426" s="1">
        <v>0.1</v>
      </c>
      <c r="S426">
        <f t="shared" si="24"/>
        <v>20.7</v>
      </c>
      <c r="T426">
        <f>IFERROR(VLOOKUP(A426,Table1[[Customer ID]:[Discount Amount]], 6, FALSE),"Not Found")</f>
        <v>23</v>
      </c>
      <c r="U426" t="str">
        <f t="shared" si="25"/>
        <v>PayPal</v>
      </c>
      <c r="V426" s="4" t="str">
        <f t="shared" si="26"/>
        <v>Normal</v>
      </c>
      <c r="W426" s="4" t="str">
        <f t="shared" si="27"/>
        <v>Good</v>
      </c>
      <c r="X426" s="4">
        <f>AVERAGE(Table1[Purchase Amount])</f>
        <v>129.48419400000012</v>
      </c>
    </row>
    <row r="427" spans="1:24" ht="15" customHeight="1" x14ac:dyDescent="0.25">
      <c r="A427">
        <v>426</v>
      </c>
      <c r="B427">
        <v>40</v>
      </c>
      <c r="C427" t="s">
        <v>27</v>
      </c>
      <c r="D427" t="s">
        <v>109</v>
      </c>
      <c r="E427" t="s">
        <v>18</v>
      </c>
      <c r="F427" s="2">
        <v>87</v>
      </c>
      <c r="G427" t="s">
        <v>86</v>
      </c>
      <c r="H427" t="s">
        <v>55</v>
      </c>
      <c r="I427" t="s">
        <v>147</v>
      </c>
      <c r="J427" t="s">
        <v>22</v>
      </c>
      <c r="K427">
        <v>3.3</v>
      </c>
      <c r="L427" t="s">
        <v>34</v>
      </c>
      <c r="M427" t="s">
        <v>48</v>
      </c>
      <c r="N427" t="s">
        <v>34</v>
      </c>
      <c r="O427">
        <v>4</v>
      </c>
      <c r="P427" t="s">
        <v>53</v>
      </c>
      <c r="Q427" t="s">
        <v>37</v>
      </c>
      <c r="R427" s="1">
        <v>0.1</v>
      </c>
      <c r="S427">
        <f t="shared" si="24"/>
        <v>78.3</v>
      </c>
      <c r="T427">
        <f>IFERROR(VLOOKUP(A427,Table1[[Customer ID]:[Discount Amount]], 6, FALSE),"Not Found")</f>
        <v>87</v>
      </c>
      <c r="U427" t="str">
        <f t="shared" si="25"/>
        <v>Credit Card</v>
      </c>
      <c r="V427" s="4" t="str">
        <f t="shared" si="26"/>
        <v>Normal</v>
      </c>
      <c r="W427" s="4" t="str">
        <f t="shared" si="27"/>
        <v>Good</v>
      </c>
      <c r="X427" s="4">
        <f>AVERAGE(Table1[Purchase Amount])</f>
        <v>129.48419400000012</v>
      </c>
    </row>
    <row r="428" spans="1:24" ht="15" customHeight="1" x14ac:dyDescent="0.25">
      <c r="A428">
        <v>427</v>
      </c>
      <c r="B428">
        <v>43</v>
      </c>
      <c r="C428" t="s">
        <v>27</v>
      </c>
      <c r="D428" t="s">
        <v>99</v>
      </c>
      <c r="E428" t="s">
        <v>18</v>
      </c>
      <c r="F428" s="2">
        <v>71</v>
      </c>
      <c r="G428" t="s">
        <v>119</v>
      </c>
      <c r="H428" t="s">
        <v>31</v>
      </c>
      <c r="I428" t="s">
        <v>111</v>
      </c>
      <c r="J428" t="s">
        <v>22</v>
      </c>
      <c r="K428">
        <v>4.7</v>
      </c>
      <c r="L428" t="s">
        <v>34</v>
      </c>
      <c r="M428" t="s">
        <v>61</v>
      </c>
      <c r="N428" t="s">
        <v>34</v>
      </c>
      <c r="O428">
        <v>19</v>
      </c>
      <c r="P428" t="s">
        <v>53</v>
      </c>
      <c r="Q428" t="s">
        <v>37</v>
      </c>
      <c r="R428" s="1">
        <v>0.1</v>
      </c>
      <c r="S428">
        <f t="shared" si="24"/>
        <v>63.9</v>
      </c>
      <c r="T428">
        <f>IFERROR(VLOOKUP(A428,Table1[[Customer ID]:[Discount Amount]], 6, FALSE),"Not Found")</f>
        <v>71</v>
      </c>
      <c r="U428" t="str">
        <f t="shared" si="25"/>
        <v>Credit Card</v>
      </c>
      <c r="V428" s="4" t="str">
        <f t="shared" si="26"/>
        <v>Normal</v>
      </c>
      <c r="W428" s="4" t="str">
        <f t="shared" si="27"/>
        <v>Good</v>
      </c>
      <c r="X428" s="4">
        <f>AVERAGE(Table1[Purchase Amount])</f>
        <v>129.48419400000012</v>
      </c>
    </row>
    <row r="429" spans="1:24" ht="15" customHeight="1" x14ac:dyDescent="0.25">
      <c r="A429">
        <v>428</v>
      </c>
      <c r="B429">
        <v>58</v>
      </c>
      <c r="C429" t="s">
        <v>27</v>
      </c>
      <c r="D429" t="s">
        <v>104</v>
      </c>
      <c r="E429" t="s">
        <v>29</v>
      </c>
      <c r="F429" s="2">
        <v>91</v>
      </c>
      <c r="G429" t="s">
        <v>44</v>
      </c>
      <c r="H429" t="s">
        <v>45</v>
      </c>
      <c r="I429" t="s">
        <v>40</v>
      </c>
      <c r="J429" t="s">
        <v>22</v>
      </c>
      <c r="K429">
        <v>4.5</v>
      </c>
      <c r="L429" t="s">
        <v>34</v>
      </c>
      <c r="M429" t="s">
        <v>48</v>
      </c>
      <c r="N429" t="s">
        <v>34</v>
      </c>
      <c r="O429">
        <v>6</v>
      </c>
      <c r="P429" t="s">
        <v>53</v>
      </c>
      <c r="Q429" t="s">
        <v>37</v>
      </c>
      <c r="R429" s="1">
        <v>0.1</v>
      </c>
      <c r="S429">
        <f t="shared" si="24"/>
        <v>81.900000000000006</v>
      </c>
      <c r="T429">
        <f>IFERROR(VLOOKUP(A429,Table1[[Customer ID]:[Discount Amount]], 6, FALSE),"Not Found")</f>
        <v>91</v>
      </c>
      <c r="U429" t="str">
        <f t="shared" si="25"/>
        <v>Credit Card</v>
      </c>
      <c r="V429" s="4" t="str">
        <f t="shared" si="26"/>
        <v>Normal</v>
      </c>
      <c r="W429" s="4" t="str">
        <f t="shared" si="27"/>
        <v>Good</v>
      </c>
      <c r="X429" s="4">
        <f>AVERAGE(Table1[Purchase Amount])</f>
        <v>129.48419400000012</v>
      </c>
    </row>
    <row r="430" spans="1:24" ht="15" customHeight="1" x14ac:dyDescent="0.25">
      <c r="A430">
        <v>429</v>
      </c>
      <c r="B430">
        <v>21</v>
      </c>
      <c r="C430" t="s">
        <v>27</v>
      </c>
      <c r="D430" t="s">
        <v>76</v>
      </c>
      <c r="E430" t="s">
        <v>77</v>
      </c>
      <c r="F430" s="2">
        <v>64</v>
      </c>
      <c r="G430" t="s">
        <v>162</v>
      </c>
      <c r="H430" t="s">
        <v>20</v>
      </c>
      <c r="I430" t="s">
        <v>133</v>
      </c>
      <c r="J430" t="s">
        <v>22</v>
      </c>
      <c r="K430">
        <v>2.9</v>
      </c>
      <c r="L430" t="s">
        <v>34</v>
      </c>
      <c r="M430" t="s">
        <v>35</v>
      </c>
      <c r="N430" t="s">
        <v>34</v>
      </c>
      <c r="O430">
        <v>2</v>
      </c>
      <c r="P430" t="s">
        <v>36</v>
      </c>
      <c r="Q430" t="s">
        <v>89</v>
      </c>
      <c r="R430" s="1">
        <v>0.1</v>
      </c>
      <c r="S430">
        <f t="shared" si="24"/>
        <v>57.6</v>
      </c>
      <c r="T430">
        <f>IFERROR(VLOOKUP(A430,Table1[[Customer ID]:[Discount Amount]], 6, FALSE),"Not Found")</f>
        <v>64</v>
      </c>
      <c r="U430" t="str">
        <f t="shared" si="25"/>
        <v>Debit Card</v>
      </c>
      <c r="V430" s="4" t="str">
        <f t="shared" si="26"/>
        <v>Normal</v>
      </c>
      <c r="W430" s="4" t="str">
        <f t="shared" si="27"/>
        <v>Poor</v>
      </c>
      <c r="X430" s="4">
        <f>AVERAGE(Table1[Purchase Amount])</f>
        <v>129.48419400000012</v>
      </c>
    </row>
    <row r="431" spans="1:24" ht="15" customHeight="1" x14ac:dyDescent="0.25">
      <c r="A431">
        <v>430</v>
      </c>
      <c r="B431">
        <v>42</v>
      </c>
      <c r="C431" t="s">
        <v>27</v>
      </c>
      <c r="D431" t="s">
        <v>121</v>
      </c>
      <c r="E431" t="s">
        <v>98</v>
      </c>
      <c r="F431" s="2">
        <v>94</v>
      </c>
      <c r="G431" t="s">
        <v>155</v>
      </c>
      <c r="H431" t="s">
        <v>31</v>
      </c>
      <c r="I431" t="s">
        <v>133</v>
      </c>
      <c r="J431" t="s">
        <v>22</v>
      </c>
      <c r="K431">
        <v>4.0999999999999996</v>
      </c>
      <c r="L431" t="s">
        <v>34</v>
      </c>
      <c r="M431" t="s">
        <v>41</v>
      </c>
      <c r="N431" t="s">
        <v>34</v>
      </c>
      <c r="O431">
        <v>21</v>
      </c>
      <c r="P431" t="s">
        <v>25</v>
      </c>
      <c r="Q431" t="s">
        <v>89</v>
      </c>
      <c r="R431" s="1">
        <v>0.1</v>
      </c>
      <c r="S431">
        <f t="shared" si="24"/>
        <v>84.6</v>
      </c>
      <c r="T431">
        <f>IFERROR(VLOOKUP(A431,Table1[[Customer ID]:[Discount Amount]], 6, FALSE),"Not Found")</f>
        <v>94</v>
      </c>
      <c r="U431" t="str">
        <f t="shared" si="25"/>
        <v>Cash</v>
      </c>
      <c r="V431" s="4" t="str">
        <f t="shared" si="26"/>
        <v>Normal</v>
      </c>
      <c r="W431" s="4" t="str">
        <f t="shared" si="27"/>
        <v>Good</v>
      </c>
      <c r="X431" s="4">
        <f>AVERAGE(Table1[Purchase Amount])</f>
        <v>129.48419400000012</v>
      </c>
    </row>
    <row r="432" spans="1:24" ht="15" customHeight="1" x14ac:dyDescent="0.25">
      <c r="A432">
        <v>431</v>
      </c>
      <c r="B432">
        <v>24</v>
      </c>
      <c r="C432" t="s">
        <v>27</v>
      </c>
      <c r="D432" t="s">
        <v>38</v>
      </c>
      <c r="E432" t="s">
        <v>18</v>
      </c>
      <c r="F432" s="2">
        <v>40</v>
      </c>
      <c r="G432" t="s">
        <v>152</v>
      </c>
      <c r="H432" t="s">
        <v>31</v>
      </c>
      <c r="I432" t="s">
        <v>60</v>
      </c>
      <c r="J432" t="s">
        <v>57</v>
      </c>
      <c r="K432">
        <v>3.5</v>
      </c>
      <c r="L432" t="s">
        <v>34</v>
      </c>
      <c r="M432" t="s">
        <v>48</v>
      </c>
      <c r="N432" t="s">
        <v>34</v>
      </c>
      <c r="O432">
        <v>40</v>
      </c>
      <c r="P432" t="s">
        <v>36</v>
      </c>
      <c r="Q432" t="s">
        <v>49</v>
      </c>
      <c r="R432" s="1">
        <v>0.1</v>
      </c>
      <c r="S432">
        <f t="shared" si="24"/>
        <v>36</v>
      </c>
      <c r="T432">
        <f>IFERROR(VLOOKUP(A432,Table1[[Customer ID]:[Discount Amount]], 6, FALSE),"Not Found")</f>
        <v>40</v>
      </c>
      <c r="U432" t="str">
        <f t="shared" si="25"/>
        <v>Debit Card</v>
      </c>
      <c r="V432" s="4" t="str">
        <f t="shared" si="26"/>
        <v>Normal</v>
      </c>
      <c r="W432" s="4" t="str">
        <f t="shared" si="27"/>
        <v>Good</v>
      </c>
      <c r="X432" s="4">
        <f>AVERAGE(Table1[Purchase Amount])</f>
        <v>129.48419400000012</v>
      </c>
    </row>
    <row r="433" spans="1:24" ht="15" customHeight="1" x14ac:dyDescent="0.25">
      <c r="A433">
        <v>432</v>
      </c>
      <c r="B433">
        <v>43</v>
      </c>
      <c r="C433" t="s">
        <v>27</v>
      </c>
      <c r="D433" t="s">
        <v>64</v>
      </c>
      <c r="E433" t="s">
        <v>29</v>
      </c>
      <c r="F433" s="2">
        <v>76</v>
      </c>
      <c r="G433" t="s">
        <v>132</v>
      </c>
      <c r="H433" t="s">
        <v>45</v>
      </c>
      <c r="I433" t="s">
        <v>128</v>
      </c>
      <c r="J433" t="s">
        <v>22</v>
      </c>
      <c r="K433">
        <v>3.4</v>
      </c>
      <c r="L433" t="s">
        <v>34</v>
      </c>
      <c r="M433" t="s">
        <v>48</v>
      </c>
      <c r="N433" t="s">
        <v>34</v>
      </c>
      <c r="O433">
        <v>33</v>
      </c>
      <c r="P433" t="s">
        <v>25</v>
      </c>
      <c r="Q433" t="s">
        <v>89</v>
      </c>
      <c r="R433" s="1">
        <v>0.1</v>
      </c>
      <c r="S433">
        <f t="shared" si="24"/>
        <v>68.400000000000006</v>
      </c>
      <c r="T433">
        <f>IFERROR(VLOOKUP(A433,Table1[[Customer ID]:[Discount Amount]], 6, FALSE),"Not Found")</f>
        <v>76</v>
      </c>
      <c r="U433" t="str">
        <f t="shared" si="25"/>
        <v>Cash</v>
      </c>
      <c r="V433" s="4" t="str">
        <f t="shared" si="26"/>
        <v>Normal</v>
      </c>
      <c r="W433" s="4" t="str">
        <f t="shared" si="27"/>
        <v>Good</v>
      </c>
      <c r="X433" s="4">
        <f>AVERAGE(Table1[Purchase Amount])</f>
        <v>129.48419400000012</v>
      </c>
    </row>
    <row r="434" spans="1:24" ht="15" customHeight="1" x14ac:dyDescent="0.25">
      <c r="A434">
        <v>433</v>
      </c>
      <c r="B434">
        <v>47</v>
      </c>
      <c r="C434" t="s">
        <v>27</v>
      </c>
      <c r="D434" t="s">
        <v>38</v>
      </c>
      <c r="E434" t="s">
        <v>18</v>
      </c>
      <c r="F434" s="2">
        <v>86</v>
      </c>
      <c r="G434" t="s">
        <v>102</v>
      </c>
      <c r="H434" t="s">
        <v>55</v>
      </c>
      <c r="I434" t="s">
        <v>91</v>
      </c>
      <c r="J434" t="s">
        <v>47</v>
      </c>
      <c r="K434">
        <v>3.3</v>
      </c>
      <c r="L434" t="s">
        <v>34</v>
      </c>
      <c r="M434" t="s">
        <v>35</v>
      </c>
      <c r="N434" t="s">
        <v>34</v>
      </c>
      <c r="O434">
        <v>26</v>
      </c>
      <c r="P434" t="s">
        <v>62</v>
      </c>
      <c r="Q434" t="s">
        <v>26</v>
      </c>
      <c r="R434" s="1">
        <v>0.1</v>
      </c>
      <c r="S434">
        <f t="shared" si="24"/>
        <v>77.400000000000006</v>
      </c>
      <c r="T434">
        <f>IFERROR(VLOOKUP(A434,Table1[[Customer ID]:[Discount Amount]], 6, FALSE),"Not Found")</f>
        <v>86</v>
      </c>
      <c r="U434" t="str">
        <f t="shared" si="25"/>
        <v>Venmo</v>
      </c>
      <c r="V434" s="4" t="str">
        <f t="shared" si="26"/>
        <v>Normal</v>
      </c>
      <c r="W434" s="4" t="str">
        <f t="shared" si="27"/>
        <v>Good</v>
      </c>
      <c r="X434" s="4">
        <f>AVERAGE(Table1[Purchase Amount])</f>
        <v>129.48419400000012</v>
      </c>
    </row>
    <row r="435" spans="1:24" ht="15" customHeight="1" x14ac:dyDescent="0.25">
      <c r="A435">
        <v>434</v>
      </c>
      <c r="B435">
        <v>49</v>
      </c>
      <c r="C435" t="s">
        <v>27</v>
      </c>
      <c r="D435" t="s">
        <v>122</v>
      </c>
      <c r="E435" t="s">
        <v>18</v>
      </c>
      <c r="F435" s="2">
        <v>92</v>
      </c>
      <c r="G435" t="s">
        <v>51</v>
      </c>
      <c r="H435" t="s">
        <v>31</v>
      </c>
      <c r="I435" t="s">
        <v>108</v>
      </c>
      <c r="J435" t="s">
        <v>47</v>
      </c>
      <c r="K435">
        <v>3.2</v>
      </c>
      <c r="L435" t="s">
        <v>34</v>
      </c>
      <c r="M435" t="s">
        <v>48</v>
      </c>
      <c r="N435" t="s">
        <v>34</v>
      </c>
      <c r="O435">
        <v>23</v>
      </c>
      <c r="P435" t="s">
        <v>53</v>
      </c>
      <c r="Q435" t="s">
        <v>89</v>
      </c>
      <c r="R435" s="1">
        <v>0.1</v>
      </c>
      <c r="S435">
        <f t="shared" si="24"/>
        <v>82.8</v>
      </c>
      <c r="T435">
        <f>IFERROR(VLOOKUP(A435,Table1[[Customer ID]:[Discount Amount]], 6, FALSE),"Not Found")</f>
        <v>92</v>
      </c>
      <c r="U435" t="str">
        <f t="shared" si="25"/>
        <v>Credit Card</v>
      </c>
      <c r="V435" s="4" t="str">
        <f t="shared" si="26"/>
        <v>Normal</v>
      </c>
      <c r="W435" s="4" t="str">
        <f t="shared" si="27"/>
        <v>Good</v>
      </c>
      <c r="X435" s="4">
        <f>AVERAGE(Table1[Purchase Amount])</f>
        <v>129.48419400000012</v>
      </c>
    </row>
    <row r="436" spans="1:24" ht="15" customHeight="1" x14ac:dyDescent="0.25">
      <c r="A436">
        <v>435</v>
      </c>
      <c r="B436">
        <v>50</v>
      </c>
      <c r="C436" t="s">
        <v>27</v>
      </c>
      <c r="D436" t="s">
        <v>72</v>
      </c>
      <c r="E436" t="s">
        <v>98</v>
      </c>
      <c r="F436" s="2">
        <v>52</v>
      </c>
      <c r="G436" t="s">
        <v>142</v>
      </c>
      <c r="H436" t="s">
        <v>45</v>
      </c>
      <c r="I436" t="s">
        <v>136</v>
      </c>
      <c r="J436" t="s">
        <v>33</v>
      </c>
      <c r="K436">
        <v>4</v>
      </c>
      <c r="L436" t="s">
        <v>34</v>
      </c>
      <c r="M436" t="s">
        <v>48</v>
      </c>
      <c r="N436" t="s">
        <v>34</v>
      </c>
      <c r="O436">
        <v>39</v>
      </c>
      <c r="P436" t="s">
        <v>58</v>
      </c>
      <c r="Q436" t="s">
        <v>63</v>
      </c>
      <c r="R436" s="1">
        <v>0.1</v>
      </c>
      <c r="S436">
        <f t="shared" si="24"/>
        <v>46.8</v>
      </c>
      <c r="T436">
        <f>IFERROR(VLOOKUP(A436,Table1[[Customer ID]:[Discount Amount]], 6, FALSE),"Not Found")</f>
        <v>52</v>
      </c>
      <c r="U436" t="str">
        <f t="shared" si="25"/>
        <v>PayPal</v>
      </c>
      <c r="V436" s="4" t="str">
        <f t="shared" si="26"/>
        <v>Normal</v>
      </c>
      <c r="W436" s="4" t="str">
        <f t="shared" si="27"/>
        <v>Good</v>
      </c>
      <c r="X436" s="4">
        <f>AVERAGE(Table1[Purchase Amount])</f>
        <v>129.48419400000012</v>
      </c>
    </row>
    <row r="437" spans="1:24" ht="15" customHeight="1" x14ac:dyDescent="0.25">
      <c r="A437">
        <v>436</v>
      </c>
      <c r="B437">
        <v>51</v>
      </c>
      <c r="C437" t="s">
        <v>27</v>
      </c>
      <c r="D437" t="s">
        <v>76</v>
      </c>
      <c r="E437" t="s">
        <v>77</v>
      </c>
      <c r="F437" s="2">
        <v>28</v>
      </c>
      <c r="G437" t="s">
        <v>39</v>
      </c>
      <c r="H437" t="s">
        <v>20</v>
      </c>
      <c r="I437" t="s">
        <v>21</v>
      </c>
      <c r="J437" t="s">
        <v>22</v>
      </c>
      <c r="K437">
        <v>3.6</v>
      </c>
      <c r="L437" t="s">
        <v>34</v>
      </c>
      <c r="M437" t="s">
        <v>79</v>
      </c>
      <c r="N437" t="s">
        <v>34</v>
      </c>
      <c r="O437">
        <v>42</v>
      </c>
      <c r="P437" t="s">
        <v>88</v>
      </c>
      <c r="Q437" t="s">
        <v>42</v>
      </c>
      <c r="R437" s="1">
        <v>0.1</v>
      </c>
      <c r="S437">
        <f t="shared" si="24"/>
        <v>25.2</v>
      </c>
      <c r="T437">
        <f>IFERROR(VLOOKUP(A437,Table1[[Customer ID]:[Discount Amount]], 6, FALSE),"Not Found")</f>
        <v>28</v>
      </c>
      <c r="U437" t="str">
        <f t="shared" si="25"/>
        <v>Bank Transfer</v>
      </c>
      <c r="V437" s="4" t="str">
        <f t="shared" si="26"/>
        <v>Normal</v>
      </c>
      <c r="W437" s="4" t="str">
        <f t="shared" si="27"/>
        <v>Good</v>
      </c>
      <c r="X437" s="4">
        <f>AVERAGE(Table1[Purchase Amount])</f>
        <v>129.48419400000012</v>
      </c>
    </row>
    <row r="438" spans="1:24" ht="15" customHeight="1" x14ac:dyDescent="0.25">
      <c r="A438">
        <v>437</v>
      </c>
      <c r="B438">
        <v>40</v>
      </c>
      <c r="C438" t="s">
        <v>27</v>
      </c>
      <c r="D438" t="s">
        <v>99</v>
      </c>
      <c r="E438" t="s">
        <v>18</v>
      </c>
      <c r="F438" s="2">
        <v>46</v>
      </c>
      <c r="G438" t="s">
        <v>65</v>
      </c>
      <c r="H438" t="s">
        <v>45</v>
      </c>
      <c r="I438" t="s">
        <v>128</v>
      </c>
      <c r="J438" t="s">
        <v>57</v>
      </c>
      <c r="K438">
        <v>4.5999999999999996</v>
      </c>
      <c r="L438" t="s">
        <v>34</v>
      </c>
      <c r="M438" t="s">
        <v>35</v>
      </c>
      <c r="N438" t="s">
        <v>34</v>
      </c>
      <c r="O438">
        <v>41</v>
      </c>
      <c r="P438" t="s">
        <v>88</v>
      </c>
      <c r="Q438" t="s">
        <v>26</v>
      </c>
      <c r="R438" s="1">
        <v>0.1</v>
      </c>
      <c r="S438">
        <f t="shared" si="24"/>
        <v>41.4</v>
      </c>
      <c r="T438">
        <f>IFERROR(VLOOKUP(A438,Table1[[Customer ID]:[Discount Amount]], 6, FALSE),"Not Found")</f>
        <v>46</v>
      </c>
      <c r="U438" t="str">
        <f t="shared" si="25"/>
        <v>Bank Transfer</v>
      </c>
      <c r="V438" s="4" t="str">
        <f t="shared" si="26"/>
        <v>Normal</v>
      </c>
      <c r="W438" s="4" t="str">
        <f t="shared" si="27"/>
        <v>Good</v>
      </c>
      <c r="X438" s="4">
        <f>AVERAGE(Table1[Purchase Amount])</f>
        <v>129.48419400000012</v>
      </c>
    </row>
    <row r="439" spans="1:24" ht="15" customHeight="1" x14ac:dyDescent="0.25">
      <c r="A439">
        <v>438</v>
      </c>
      <c r="B439">
        <v>45</v>
      </c>
      <c r="C439" t="s">
        <v>27</v>
      </c>
      <c r="D439" t="s">
        <v>50</v>
      </c>
      <c r="E439" t="s">
        <v>29</v>
      </c>
      <c r="F439" s="2">
        <v>50</v>
      </c>
      <c r="G439" t="s">
        <v>110</v>
      </c>
      <c r="H439" t="s">
        <v>31</v>
      </c>
      <c r="I439" t="s">
        <v>145</v>
      </c>
      <c r="J439" t="s">
        <v>57</v>
      </c>
      <c r="K439">
        <v>2.6</v>
      </c>
      <c r="L439" t="s">
        <v>34</v>
      </c>
      <c r="M439" t="s">
        <v>79</v>
      </c>
      <c r="N439" t="s">
        <v>34</v>
      </c>
      <c r="O439">
        <v>41</v>
      </c>
      <c r="P439" t="s">
        <v>58</v>
      </c>
      <c r="Q439" t="s">
        <v>49</v>
      </c>
      <c r="R439" s="1">
        <v>0.1</v>
      </c>
      <c r="S439">
        <f t="shared" si="24"/>
        <v>45</v>
      </c>
      <c r="T439">
        <f>IFERROR(VLOOKUP(A439,Table1[[Customer ID]:[Discount Amount]], 6, FALSE),"Not Found")</f>
        <v>50</v>
      </c>
      <c r="U439" t="str">
        <f t="shared" si="25"/>
        <v>PayPal</v>
      </c>
      <c r="V439" s="4" t="str">
        <f t="shared" si="26"/>
        <v>Normal</v>
      </c>
      <c r="W439" s="4" t="str">
        <f t="shared" si="27"/>
        <v>Poor</v>
      </c>
      <c r="X439" s="4">
        <f>AVERAGE(Table1[Purchase Amount])</f>
        <v>129.48419400000012</v>
      </c>
    </row>
    <row r="440" spans="1:24" ht="15" customHeight="1" x14ac:dyDescent="0.25">
      <c r="A440">
        <v>439</v>
      </c>
      <c r="B440">
        <v>52</v>
      </c>
      <c r="C440" t="s">
        <v>27</v>
      </c>
      <c r="D440" t="s">
        <v>114</v>
      </c>
      <c r="E440" t="s">
        <v>29</v>
      </c>
      <c r="F440" s="2">
        <v>23</v>
      </c>
      <c r="G440" t="s">
        <v>141</v>
      </c>
      <c r="H440" t="s">
        <v>31</v>
      </c>
      <c r="I440" t="s">
        <v>156</v>
      </c>
      <c r="J440" t="s">
        <v>22</v>
      </c>
      <c r="K440">
        <v>4.3</v>
      </c>
      <c r="L440" t="s">
        <v>34</v>
      </c>
      <c r="M440" t="s">
        <v>61</v>
      </c>
      <c r="N440" t="s">
        <v>34</v>
      </c>
      <c r="O440">
        <v>12</v>
      </c>
      <c r="P440" t="s">
        <v>53</v>
      </c>
      <c r="Q440" t="s">
        <v>89</v>
      </c>
      <c r="R440" s="1">
        <v>0.1</v>
      </c>
      <c r="S440">
        <f t="shared" si="24"/>
        <v>20.7</v>
      </c>
      <c r="T440">
        <f>IFERROR(VLOOKUP(A440,Table1[[Customer ID]:[Discount Amount]], 6, FALSE),"Not Found")</f>
        <v>23</v>
      </c>
      <c r="U440" t="str">
        <f t="shared" si="25"/>
        <v>Credit Card</v>
      </c>
      <c r="V440" s="4" t="str">
        <f t="shared" si="26"/>
        <v>Normal</v>
      </c>
      <c r="W440" s="4" t="str">
        <f t="shared" si="27"/>
        <v>Good</v>
      </c>
      <c r="X440" s="4">
        <f>AVERAGE(Table1[Purchase Amount])</f>
        <v>129.48419400000012</v>
      </c>
    </row>
    <row r="441" spans="1:24" ht="15" customHeight="1" x14ac:dyDescent="0.25">
      <c r="A441">
        <v>440</v>
      </c>
      <c r="B441">
        <v>62</v>
      </c>
      <c r="C441" t="s">
        <v>27</v>
      </c>
      <c r="D441" t="s">
        <v>96</v>
      </c>
      <c r="E441" t="s">
        <v>77</v>
      </c>
      <c r="F441" s="2">
        <v>50</v>
      </c>
      <c r="G441" t="s">
        <v>161</v>
      </c>
      <c r="H441" t="s">
        <v>31</v>
      </c>
      <c r="I441" t="s">
        <v>156</v>
      </c>
      <c r="J441" t="s">
        <v>57</v>
      </c>
      <c r="K441">
        <v>3.4</v>
      </c>
      <c r="L441" t="s">
        <v>34</v>
      </c>
      <c r="M441" t="s">
        <v>35</v>
      </c>
      <c r="N441" t="s">
        <v>34</v>
      </c>
      <c r="O441">
        <v>31</v>
      </c>
      <c r="P441" t="s">
        <v>25</v>
      </c>
      <c r="Q441" t="s">
        <v>42</v>
      </c>
      <c r="R441" s="1">
        <v>0.1</v>
      </c>
      <c r="S441">
        <f t="shared" si="24"/>
        <v>45</v>
      </c>
      <c r="T441">
        <f>IFERROR(VLOOKUP(A441,Table1[[Customer ID]:[Discount Amount]], 6, FALSE),"Not Found")</f>
        <v>50</v>
      </c>
      <c r="U441" t="str">
        <f t="shared" si="25"/>
        <v>Cash</v>
      </c>
      <c r="V441" s="4" t="str">
        <f t="shared" si="26"/>
        <v>Normal</v>
      </c>
      <c r="W441" s="4" t="str">
        <f t="shared" si="27"/>
        <v>Good</v>
      </c>
      <c r="X441" s="4">
        <f>AVERAGE(Table1[Purchase Amount])</f>
        <v>129.48419400000012</v>
      </c>
    </row>
    <row r="442" spans="1:24" ht="15" customHeight="1" x14ac:dyDescent="0.25">
      <c r="A442">
        <v>441</v>
      </c>
      <c r="B442">
        <v>20</v>
      </c>
      <c r="C442" t="s">
        <v>27</v>
      </c>
      <c r="D442" t="s">
        <v>38</v>
      </c>
      <c r="E442" t="s">
        <v>18</v>
      </c>
      <c r="F442" s="2">
        <v>89</v>
      </c>
      <c r="G442" t="s">
        <v>142</v>
      </c>
      <c r="H442" t="s">
        <v>20</v>
      </c>
      <c r="I442" t="s">
        <v>125</v>
      </c>
      <c r="J442" t="s">
        <v>22</v>
      </c>
      <c r="K442">
        <v>3.5</v>
      </c>
      <c r="L442" t="s">
        <v>34</v>
      </c>
      <c r="M442" t="s">
        <v>48</v>
      </c>
      <c r="N442" t="s">
        <v>34</v>
      </c>
      <c r="O442">
        <v>34</v>
      </c>
      <c r="P442" t="s">
        <v>36</v>
      </c>
      <c r="Q442" t="s">
        <v>89</v>
      </c>
      <c r="R442" s="1">
        <v>0.1</v>
      </c>
      <c r="S442">
        <f t="shared" si="24"/>
        <v>80.099999999999994</v>
      </c>
      <c r="T442">
        <f>IFERROR(VLOOKUP(A442,Table1[[Customer ID]:[Discount Amount]], 6, FALSE),"Not Found")</f>
        <v>89</v>
      </c>
      <c r="U442" t="str">
        <f t="shared" si="25"/>
        <v>Debit Card</v>
      </c>
      <c r="V442" s="4" t="str">
        <f t="shared" si="26"/>
        <v>Normal</v>
      </c>
      <c r="W442" s="4" t="str">
        <f t="shared" si="27"/>
        <v>Good</v>
      </c>
      <c r="X442" s="4">
        <f>AVERAGE(Table1[Purchase Amount])</f>
        <v>129.48419400000012</v>
      </c>
    </row>
    <row r="443" spans="1:24" ht="15" customHeight="1" x14ac:dyDescent="0.25">
      <c r="A443">
        <v>442</v>
      </c>
      <c r="B443">
        <v>43</v>
      </c>
      <c r="C443" t="s">
        <v>27</v>
      </c>
      <c r="D443" t="s">
        <v>83</v>
      </c>
      <c r="E443" t="s">
        <v>18</v>
      </c>
      <c r="F443" s="2">
        <v>81</v>
      </c>
      <c r="G443" t="s">
        <v>67</v>
      </c>
      <c r="H443" t="s">
        <v>31</v>
      </c>
      <c r="I443" t="s">
        <v>125</v>
      </c>
      <c r="J443" t="s">
        <v>22</v>
      </c>
      <c r="K443">
        <v>4.2</v>
      </c>
      <c r="L443" t="s">
        <v>34</v>
      </c>
      <c r="M443" t="s">
        <v>24</v>
      </c>
      <c r="N443" t="s">
        <v>34</v>
      </c>
      <c r="O443">
        <v>32</v>
      </c>
      <c r="P443" t="s">
        <v>53</v>
      </c>
      <c r="Q443" t="s">
        <v>49</v>
      </c>
      <c r="R443" s="1">
        <v>0.1</v>
      </c>
      <c r="S443">
        <f t="shared" si="24"/>
        <v>72.900000000000006</v>
      </c>
      <c r="T443">
        <f>IFERROR(VLOOKUP(A443,Table1[[Customer ID]:[Discount Amount]], 6, FALSE),"Not Found")</f>
        <v>81</v>
      </c>
      <c r="U443" t="str">
        <f t="shared" si="25"/>
        <v>Credit Card</v>
      </c>
      <c r="V443" s="4" t="str">
        <f t="shared" si="26"/>
        <v>Normal</v>
      </c>
      <c r="W443" s="4" t="str">
        <f t="shared" si="27"/>
        <v>Good</v>
      </c>
      <c r="X443" s="4">
        <f>AVERAGE(Table1[Purchase Amount])</f>
        <v>129.48419400000012</v>
      </c>
    </row>
    <row r="444" spans="1:24" ht="15" customHeight="1" x14ac:dyDescent="0.25">
      <c r="A444">
        <v>443</v>
      </c>
      <c r="B444">
        <v>29</v>
      </c>
      <c r="C444" t="s">
        <v>27</v>
      </c>
      <c r="D444" t="s">
        <v>28</v>
      </c>
      <c r="E444" t="s">
        <v>29</v>
      </c>
      <c r="F444" s="2">
        <v>69</v>
      </c>
      <c r="G444" t="s">
        <v>113</v>
      </c>
      <c r="H444" t="s">
        <v>31</v>
      </c>
      <c r="I444" t="s">
        <v>21</v>
      </c>
      <c r="J444" t="s">
        <v>47</v>
      </c>
      <c r="K444">
        <v>1</v>
      </c>
      <c r="L444" t="s">
        <v>34</v>
      </c>
      <c r="M444" t="s">
        <v>48</v>
      </c>
      <c r="N444" t="s">
        <v>34</v>
      </c>
      <c r="O444">
        <v>31</v>
      </c>
      <c r="P444" t="s">
        <v>53</v>
      </c>
      <c r="Q444" t="s">
        <v>37</v>
      </c>
      <c r="R444" s="1">
        <v>0.1</v>
      </c>
      <c r="S444">
        <f t="shared" si="24"/>
        <v>62.1</v>
      </c>
      <c r="T444">
        <f>IFERROR(VLOOKUP(A444,Table1[[Customer ID]:[Discount Amount]], 6, FALSE),"Not Found")</f>
        <v>69</v>
      </c>
      <c r="U444" t="str">
        <f t="shared" si="25"/>
        <v>Credit Card</v>
      </c>
      <c r="V444" s="4" t="str">
        <f t="shared" si="26"/>
        <v>Normal</v>
      </c>
      <c r="W444" s="4" t="str">
        <f t="shared" si="27"/>
        <v>Poor</v>
      </c>
      <c r="X444" s="4">
        <f>AVERAGE(Table1[Purchase Amount])</f>
        <v>129.48419400000012</v>
      </c>
    </row>
    <row r="445" spans="1:24" ht="15" customHeight="1" x14ac:dyDescent="0.25">
      <c r="A445">
        <v>444</v>
      </c>
      <c r="B445">
        <v>22</v>
      </c>
      <c r="C445" t="s">
        <v>27</v>
      </c>
      <c r="D445" t="s">
        <v>28</v>
      </c>
      <c r="E445" t="s">
        <v>29</v>
      </c>
      <c r="F445" s="2">
        <v>67</v>
      </c>
      <c r="G445" t="s">
        <v>135</v>
      </c>
      <c r="H445" t="s">
        <v>31</v>
      </c>
      <c r="I445" t="s">
        <v>87</v>
      </c>
      <c r="J445" t="s">
        <v>57</v>
      </c>
      <c r="K445">
        <v>3.6</v>
      </c>
      <c r="L445" t="s">
        <v>34</v>
      </c>
      <c r="M445" t="s">
        <v>35</v>
      </c>
      <c r="N445" t="s">
        <v>34</v>
      </c>
      <c r="O445">
        <v>24</v>
      </c>
      <c r="P445" t="s">
        <v>58</v>
      </c>
      <c r="Q445" t="s">
        <v>49</v>
      </c>
      <c r="R445" s="1">
        <v>0.1</v>
      </c>
      <c r="S445">
        <f t="shared" si="24"/>
        <v>60.3</v>
      </c>
      <c r="T445">
        <f>IFERROR(VLOOKUP(A445,Table1[[Customer ID]:[Discount Amount]], 6, FALSE),"Not Found")</f>
        <v>67</v>
      </c>
      <c r="U445" t="str">
        <f t="shared" si="25"/>
        <v>PayPal</v>
      </c>
      <c r="V445" s="4" t="str">
        <f t="shared" si="26"/>
        <v>Normal</v>
      </c>
      <c r="W445" s="4" t="str">
        <f t="shared" si="27"/>
        <v>Good</v>
      </c>
      <c r="X445" s="4">
        <f>AVERAGE(Table1[Purchase Amount])</f>
        <v>129.48419400000012</v>
      </c>
    </row>
    <row r="446" spans="1:24" ht="15" customHeight="1" x14ac:dyDescent="0.25">
      <c r="A446">
        <v>445</v>
      </c>
      <c r="B446">
        <v>48</v>
      </c>
      <c r="C446" t="s">
        <v>27</v>
      </c>
      <c r="D446" t="s">
        <v>157</v>
      </c>
      <c r="E446" t="s">
        <v>18</v>
      </c>
      <c r="F446" s="2">
        <v>20</v>
      </c>
      <c r="G446" t="s">
        <v>19</v>
      </c>
      <c r="H446" t="s">
        <v>31</v>
      </c>
      <c r="I446" t="s">
        <v>46</v>
      </c>
      <c r="J446" t="s">
        <v>57</v>
      </c>
      <c r="K446">
        <v>4.3</v>
      </c>
      <c r="L446" t="s">
        <v>34</v>
      </c>
      <c r="M446" t="s">
        <v>48</v>
      </c>
      <c r="N446" t="s">
        <v>34</v>
      </c>
      <c r="O446">
        <v>31</v>
      </c>
      <c r="P446" t="s">
        <v>36</v>
      </c>
      <c r="Q446" t="s">
        <v>49</v>
      </c>
      <c r="R446" s="1">
        <v>0.1</v>
      </c>
      <c r="S446">
        <f t="shared" si="24"/>
        <v>18</v>
      </c>
      <c r="T446">
        <f>IFERROR(VLOOKUP(A446,Table1[[Customer ID]:[Discount Amount]], 6, FALSE),"Not Found")</f>
        <v>20</v>
      </c>
      <c r="U446" t="str">
        <f t="shared" si="25"/>
        <v>Debit Card</v>
      </c>
      <c r="V446" s="4" t="str">
        <f t="shared" si="26"/>
        <v>Normal</v>
      </c>
      <c r="W446" s="4" t="str">
        <f t="shared" si="27"/>
        <v>Good</v>
      </c>
      <c r="X446" s="4">
        <f>AVERAGE(Table1[Purchase Amount])</f>
        <v>129.48419400000012</v>
      </c>
    </row>
    <row r="447" spans="1:24" ht="15" customHeight="1" x14ac:dyDescent="0.25">
      <c r="A447">
        <v>446</v>
      </c>
      <c r="B447">
        <v>42</v>
      </c>
      <c r="C447" t="s">
        <v>27</v>
      </c>
      <c r="D447" t="s">
        <v>151</v>
      </c>
      <c r="E447" t="s">
        <v>98</v>
      </c>
      <c r="F447" s="2">
        <v>29</v>
      </c>
      <c r="G447" t="s">
        <v>141</v>
      </c>
      <c r="H447" t="s">
        <v>31</v>
      </c>
      <c r="I447" t="s">
        <v>21</v>
      </c>
      <c r="J447" t="s">
        <v>47</v>
      </c>
      <c r="K447">
        <v>4.9000000000000004</v>
      </c>
      <c r="L447" t="s">
        <v>34</v>
      </c>
      <c r="M447" t="s">
        <v>24</v>
      </c>
      <c r="N447" t="s">
        <v>34</v>
      </c>
      <c r="O447">
        <v>18</v>
      </c>
      <c r="P447" t="s">
        <v>62</v>
      </c>
      <c r="Q447" t="s">
        <v>49</v>
      </c>
      <c r="R447" s="1">
        <v>0.1</v>
      </c>
      <c r="S447">
        <f t="shared" si="24"/>
        <v>26.1</v>
      </c>
      <c r="T447">
        <f>IFERROR(VLOOKUP(A447,Table1[[Customer ID]:[Discount Amount]], 6, FALSE),"Not Found")</f>
        <v>29</v>
      </c>
      <c r="U447" t="str">
        <f t="shared" si="25"/>
        <v>Venmo</v>
      </c>
      <c r="V447" s="4" t="str">
        <f t="shared" si="26"/>
        <v>Normal</v>
      </c>
      <c r="W447" s="4" t="str">
        <f t="shared" si="27"/>
        <v>Good</v>
      </c>
      <c r="X447" s="4">
        <f>AVERAGE(Table1[Purchase Amount])</f>
        <v>129.48419400000012</v>
      </c>
    </row>
    <row r="448" spans="1:24" ht="15" customHeight="1" x14ac:dyDescent="0.25">
      <c r="A448">
        <v>447</v>
      </c>
      <c r="B448">
        <v>19</v>
      </c>
      <c r="C448" t="s">
        <v>27</v>
      </c>
      <c r="D448" t="s">
        <v>38</v>
      </c>
      <c r="E448" t="s">
        <v>18</v>
      </c>
      <c r="F448" s="2">
        <v>74</v>
      </c>
      <c r="G448" t="s">
        <v>154</v>
      </c>
      <c r="H448" t="s">
        <v>31</v>
      </c>
      <c r="I448" t="s">
        <v>153</v>
      </c>
      <c r="J448" t="s">
        <v>57</v>
      </c>
      <c r="K448">
        <v>4.0999999999999996</v>
      </c>
      <c r="L448" t="s">
        <v>34</v>
      </c>
      <c r="M448" t="s">
        <v>48</v>
      </c>
      <c r="N448" t="s">
        <v>34</v>
      </c>
      <c r="O448">
        <v>15</v>
      </c>
      <c r="P448" t="s">
        <v>62</v>
      </c>
      <c r="Q448" t="s">
        <v>42</v>
      </c>
      <c r="R448" s="1">
        <v>0.1</v>
      </c>
      <c r="S448">
        <f t="shared" si="24"/>
        <v>66.599999999999994</v>
      </c>
      <c r="T448">
        <f>IFERROR(VLOOKUP(A448,Table1[[Customer ID]:[Discount Amount]], 6, FALSE),"Not Found")</f>
        <v>74</v>
      </c>
      <c r="U448" t="str">
        <f t="shared" si="25"/>
        <v>Venmo</v>
      </c>
      <c r="V448" s="4" t="str">
        <f t="shared" si="26"/>
        <v>Normal</v>
      </c>
      <c r="W448" s="4" t="str">
        <f t="shared" si="27"/>
        <v>Good</v>
      </c>
      <c r="X448" s="4">
        <f>AVERAGE(Table1[Purchase Amount])</f>
        <v>129.48419400000012</v>
      </c>
    </row>
    <row r="449" spans="1:24" ht="15" customHeight="1" x14ac:dyDescent="0.25">
      <c r="A449">
        <v>448</v>
      </c>
      <c r="B449">
        <v>60</v>
      </c>
      <c r="C449" t="s">
        <v>27</v>
      </c>
      <c r="D449" t="s">
        <v>54</v>
      </c>
      <c r="E449" t="s">
        <v>18</v>
      </c>
      <c r="F449" s="2">
        <v>82</v>
      </c>
      <c r="G449" t="s">
        <v>155</v>
      </c>
      <c r="H449" t="s">
        <v>55</v>
      </c>
      <c r="I449" t="s">
        <v>156</v>
      </c>
      <c r="J449" t="s">
        <v>33</v>
      </c>
      <c r="K449">
        <v>3.6</v>
      </c>
      <c r="L449" t="s">
        <v>34</v>
      </c>
      <c r="M449" t="s">
        <v>24</v>
      </c>
      <c r="N449" t="s">
        <v>34</v>
      </c>
      <c r="O449">
        <v>7</v>
      </c>
      <c r="P449" t="s">
        <v>88</v>
      </c>
      <c r="Q449" t="s">
        <v>63</v>
      </c>
      <c r="R449" s="1">
        <v>0.1</v>
      </c>
      <c r="S449">
        <f t="shared" si="24"/>
        <v>73.8</v>
      </c>
      <c r="T449">
        <f>IFERROR(VLOOKUP(A449,Table1[[Customer ID]:[Discount Amount]], 6, FALSE),"Not Found")</f>
        <v>82</v>
      </c>
      <c r="U449" t="str">
        <f t="shared" si="25"/>
        <v>Bank Transfer</v>
      </c>
      <c r="V449" s="4" t="str">
        <f t="shared" si="26"/>
        <v>Normal</v>
      </c>
      <c r="W449" s="4" t="str">
        <f t="shared" si="27"/>
        <v>Good</v>
      </c>
      <c r="X449" s="4">
        <f>AVERAGE(Table1[Purchase Amount])</f>
        <v>129.48419400000012</v>
      </c>
    </row>
    <row r="450" spans="1:24" ht="15" customHeight="1" x14ac:dyDescent="0.25">
      <c r="A450">
        <v>449</v>
      </c>
      <c r="B450">
        <v>32</v>
      </c>
      <c r="C450" t="s">
        <v>27</v>
      </c>
      <c r="D450" t="s">
        <v>43</v>
      </c>
      <c r="E450" t="s">
        <v>29</v>
      </c>
      <c r="F450" s="2">
        <v>23</v>
      </c>
      <c r="G450" t="s">
        <v>146</v>
      </c>
      <c r="H450" t="s">
        <v>31</v>
      </c>
      <c r="I450" t="s">
        <v>52</v>
      </c>
      <c r="J450" t="s">
        <v>57</v>
      </c>
      <c r="K450">
        <v>3.4</v>
      </c>
      <c r="L450" t="s">
        <v>34</v>
      </c>
      <c r="M450" t="s">
        <v>79</v>
      </c>
      <c r="N450" t="s">
        <v>34</v>
      </c>
      <c r="O450">
        <v>35</v>
      </c>
      <c r="P450" t="s">
        <v>88</v>
      </c>
      <c r="Q450" t="s">
        <v>89</v>
      </c>
      <c r="R450" s="1">
        <v>0.1</v>
      </c>
      <c r="S450">
        <f t="shared" ref="S450:S513" si="28">F450-(F450*R450)</f>
        <v>20.7</v>
      </c>
      <c r="T450">
        <f>IFERROR(VLOOKUP(A450,Table1[[Customer ID]:[Discount Amount]], 6, FALSE),"Not Found")</f>
        <v>23</v>
      </c>
      <c r="U450" t="str">
        <f t="shared" ref="U450:U513" si="29">INDEX(P:P, MATCH(A450, A:A, 0))</f>
        <v>Bank Transfer</v>
      </c>
      <c r="V450" s="4" t="str">
        <f t="shared" ref="V450:V513" si="30">IF(AND(F450&gt;1000,K450&gt;=4),"Best Customer","Normal")</f>
        <v>Normal</v>
      </c>
      <c r="W450" s="4" t="str">
        <f t="shared" ref="W450:W513" si="31">IF(K450&gt;=3,"Good","Poor")</f>
        <v>Good</v>
      </c>
      <c r="X450" s="4">
        <f>AVERAGE(Table1[Purchase Amount])</f>
        <v>129.48419400000012</v>
      </c>
    </row>
    <row r="451" spans="1:24" ht="15" customHeight="1" x14ac:dyDescent="0.25">
      <c r="A451">
        <v>450</v>
      </c>
      <c r="B451">
        <v>26</v>
      </c>
      <c r="C451" t="s">
        <v>27</v>
      </c>
      <c r="D451" t="s">
        <v>50</v>
      </c>
      <c r="E451" t="s">
        <v>29</v>
      </c>
      <c r="F451" s="2">
        <v>45</v>
      </c>
      <c r="G451" t="s">
        <v>101</v>
      </c>
      <c r="H451" t="s">
        <v>45</v>
      </c>
      <c r="I451" t="s">
        <v>145</v>
      </c>
      <c r="J451" t="s">
        <v>57</v>
      </c>
      <c r="K451">
        <v>2.9</v>
      </c>
      <c r="L451" t="s">
        <v>34</v>
      </c>
      <c r="M451" t="s">
        <v>41</v>
      </c>
      <c r="N451" t="s">
        <v>34</v>
      </c>
      <c r="O451">
        <v>35</v>
      </c>
      <c r="P451" t="s">
        <v>88</v>
      </c>
      <c r="Q451" t="s">
        <v>42</v>
      </c>
      <c r="R451" s="1">
        <v>0.1</v>
      </c>
      <c r="S451">
        <f t="shared" si="28"/>
        <v>40.5</v>
      </c>
      <c r="T451">
        <f>IFERROR(VLOOKUP(A451,Table1[[Customer ID]:[Discount Amount]], 6, FALSE),"Not Found")</f>
        <v>45</v>
      </c>
      <c r="U451" t="str">
        <f t="shared" si="29"/>
        <v>Bank Transfer</v>
      </c>
      <c r="V451" s="4" t="str">
        <f t="shared" si="30"/>
        <v>Normal</v>
      </c>
      <c r="W451" s="4" t="str">
        <f t="shared" si="31"/>
        <v>Poor</v>
      </c>
      <c r="X451" s="4">
        <f>AVERAGE(Table1[Purchase Amount])</f>
        <v>129.48419400000012</v>
      </c>
    </row>
    <row r="452" spans="1:24" ht="15" customHeight="1" x14ac:dyDescent="0.25">
      <c r="A452">
        <v>451</v>
      </c>
      <c r="B452">
        <v>25</v>
      </c>
      <c r="C452" t="s">
        <v>27</v>
      </c>
      <c r="D452" t="s">
        <v>151</v>
      </c>
      <c r="E452" t="s">
        <v>98</v>
      </c>
      <c r="F452" s="2">
        <v>21</v>
      </c>
      <c r="G452" t="s">
        <v>115</v>
      </c>
      <c r="H452" t="s">
        <v>45</v>
      </c>
      <c r="I452" t="s">
        <v>56</v>
      </c>
      <c r="J452" t="s">
        <v>57</v>
      </c>
      <c r="K452">
        <v>2.7</v>
      </c>
      <c r="L452" t="s">
        <v>34</v>
      </c>
      <c r="M452" t="s">
        <v>48</v>
      </c>
      <c r="N452" t="s">
        <v>34</v>
      </c>
      <c r="O452">
        <v>19</v>
      </c>
      <c r="P452" t="s">
        <v>53</v>
      </c>
      <c r="Q452" t="s">
        <v>42</v>
      </c>
      <c r="R452" s="1">
        <v>0.1</v>
      </c>
      <c r="S452">
        <f t="shared" si="28"/>
        <v>18.899999999999999</v>
      </c>
      <c r="T452">
        <f>IFERROR(VLOOKUP(A452,Table1[[Customer ID]:[Discount Amount]], 6, FALSE),"Not Found")</f>
        <v>21</v>
      </c>
      <c r="U452" t="str">
        <f t="shared" si="29"/>
        <v>Credit Card</v>
      </c>
      <c r="V452" s="4" t="str">
        <f t="shared" si="30"/>
        <v>Normal</v>
      </c>
      <c r="W452" s="4" t="str">
        <f t="shared" si="31"/>
        <v>Poor</v>
      </c>
      <c r="X452" s="4">
        <f>AVERAGE(Table1[Purchase Amount])</f>
        <v>129.48419400000012</v>
      </c>
    </row>
    <row r="453" spans="1:24" ht="15" customHeight="1" x14ac:dyDescent="0.25">
      <c r="A453">
        <v>452</v>
      </c>
      <c r="B453">
        <v>66</v>
      </c>
      <c r="C453" t="s">
        <v>27</v>
      </c>
      <c r="D453" t="s">
        <v>50</v>
      </c>
      <c r="E453" t="s">
        <v>29</v>
      </c>
      <c r="F453" s="2">
        <v>31</v>
      </c>
      <c r="G453" t="s">
        <v>138</v>
      </c>
      <c r="H453" t="s">
        <v>31</v>
      </c>
      <c r="I453" t="s">
        <v>136</v>
      </c>
      <c r="J453" t="s">
        <v>57</v>
      </c>
      <c r="K453">
        <v>4.3</v>
      </c>
      <c r="L453" t="s">
        <v>34</v>
      </c>
      <c r="M453" t="s">
        <v>61</v>
      </c>
      <c r="N453" t="s">
        <v>34</v>
      </c>
      <c r="O453">
        <v>26</v>
      </c>
      <c r="P453" t="s">
        <v>53</v>
      </c>
      <c r="Q453" t="s">
        <v>89</v>
      </c>
      <c r="R453" s="1">
        <v>0.1</v>
      </c>
      <c r="S453">
        <f t="shared" si="28"/>
        <v>27.9</v>
      </c>
      <c r="T453">
        <f>IFERROR(VLOOKUP(A453,Table1[[Customer ID]:[Discount Amount]], 6, FALSE),"Not Found")</f>
        <v>31</v>
      </c>
      <c r="U453" t="str">
        <f t="shared" si="29"/>
        <v>Credit Card</v>
      </c>
      <c r="V453" s="4" t="str">
        <f t="shared" si="30"/>
        <v>Normal</v>
      </c>
      <c r="W453" s="4" t="str">
        <f t="shared" si="31"/>
        <v>Good</v>
      </c>
      <c r="X453" s="4">
        <f>AVERAGE(Table1[Purchase Amount])</f>
        <v>129.48419400000012</v>
      </c>
    </row>
    <row r="454" spans="1:24" ht="15" customHeight="1" x14ac:dyDescent="0.25">
      <c r="A454">
        <v>453</v>
      </c>
      <c r="B454">
        <v>45</v>
      </c>
      <c r="C454" t="s">
        <v>27</v>
      </c>
      <c r="D454" t="s">
        <v>99</v>
      </c>
      <c r="E454" t="s">
        <v>18</v>
      </c>
      <c r="F454" s="2">
        <v>45</v>
      </c>
      <c r="G454" t="s">
        <v>146</v>
      </c>
      <c r="H454" t="s">
        <v>31</v>
      </c>
      <c r="I454" t="s">
        <v>111</v>
      </c>
      <c r="J454" t="s">
        <v>57</v>
      </c>
      <c r="K454">
        <v>1</v>
      </c>
      <c r="L454" t="s">
        <v>34</v>
      </c>
      <c r="M454" t="s">
        <v>61</v>
      </c>
      <c r="N454" t="s">
        <v>34</v>
      </c>
      <c r="O454">
        <v>39</v>
      </c>
      <c r="P454" t="s">
        <v>58</v>
      </c>
      <c r="Q454" t="s">
        <v>89</v>
      </c>
      <c r="R454" s="1">
        <v>0.1</v>
      </c>
      <c r="S454">
        <f t="shared" si="28"/>
        <v>40.5</v>
      </c>
      <c r="T454">
        <f>IFERROR(VLOOKUP(A454,Table1[[Customer ID]:[Discount Amount]], 6, FALSE),"Not Found")</f>
        <v>45</v>
      </c>
      <c r="U454" t="str">
        <f t="shared" si="29"/>
        <v>PayPal</v>
      </c>
      <c r="V454" s="4" t="str">
        <f t="shared" si="30"/>
        <v>Normal</v>
      </c>
      <c r="W454" s="4" t="str">
        <f t="shared" si="31"/>
        <v>Poor</v>
      </c>
      <c r="X454" s="4">
        <f>AVERAGE(Table1[Purchase Amount])</f>
        <v>129.48419400000012</v>
      </c>
    </row>
    <row r="455" spans="1:24" ht="15" customHeight="1" x14ac:dyDescent="0.25">
      <c r="A455">
        <v>454</v>
      </c>
      <c r="B455">
        <v>54</v>
      </c>
      <c r="C455" t="s">
        <v>27</v>
      </c>
      <c r="D455" t="s">
        <v>50</v>
      </c>
      <c r="E455" t="s">
        <v>29</v>
      </c>
      <c r="F455" s="2">
        <v>56</v>
      </c>
      <c r="G455" t="s">
        <v>137</v>
      </c>
      <c r="H455" t="s">
        <v>20</v>
      </c>
      <c r="I455" t="s">
        <v>145</v>
      </c>
      <c r="J455" t="s">
        <v>22</v>
      </c>
      <c r="K455">
        <v>2.8</v>
      </c>
      <c r="L455" t="s">
        <v>34</v>
      </c>
      <c r="M455" t="s">
        <v>79</v>
      </c>
      <c r="N455" t="s">
        <v>34</v>
      </c>
      <c r="O455">
        <v>22</v>
      </c>
      <c r="P455" t="s">
        <v>53</v>
      </c>
      <c r="Q455" t="s">
        <v>26</v>
      </c>
      <c r="R455" s="1">
        <v>0.1</v>
      </c>
      <c r="S455">
        <f t="shared" si="28"/>
        <v>50.4</v>
      </c>
      <c r="T455">
        <f>IFERROR(VLOOKUP(A455,Table1[[Customer ID]:[Discount Amount]], 6, FALSE),"Not Found")</f>
        <v>56</v>
      </c>
      <c r="U455" t="str">
        <f t="shared" si="29"/>
        <v>Credit Card</v>
      </c>
      <c r="V455" s="4" t="str">
        <f t="shared" si="30"/>
        <v>Normal</v>
      </c>
      <c r="W455" s="4" t="str">
        <f t="shared" si="31"/>
        <v>Poor</v>
      </c>
      <c r="X455" s="4">
        <f>AVERAGE(Table1[Purchase Amount])</f>
        <v>129.48419400000012</v>
      </c>
    </row>
    <row r="456" spans="1:24" ht="15" customHeight="1" x14ac:dyDescent="0.25">
      <c r="A456">
        <v>455</v>
      </c>
      <c r="B456">
        <v>37</v>
      </c>
      <c r="C456" t="s">
        <v>27</v>
      </c>
      <c r="D456" t="s">
        <v>96</v>
      </c>
      <c r="E456" t="s">
        <v>77</v>
      </c>
      <c r="F456" s="2">
        <v>97</v>
      </c>
      <c r="G456" t="s">
        <v>131</v>
      </c>
      <c r="H456" t="s">
        <v>55</v>
      </c>
      <c r="I456" t="s">
        <v>133</v>
      </c>
      <c r="J456" t="s">
        <v>57</v>
      </c>
      <c r="K456">
        <v>3.2</v>
      </c>
      <c r="L456" t="s">
        <v>34</v>
      </c>
      <c r="M456" t="s">
        <v>79</v>
      </c>
      <c r="N456" t="s">
        <v>34</v>
      </c>
      <c r="O456">
        <v>14</v>
      </c>
      <c r="P456" t="s">
        <v>25</v>
      </c>
      <c r="Q456" t="s">
        <v>68</v>
      </c>
      <c r="R456" s="1">
        <v>0.1</v>
      </c>
      <c r="S456">
        <f t="shared" si="28"/>
        <v>87.3</v>
      </c>
      <c r="T456">
        <f>IFERROR(VLOOKUP(A456,Table1[[Customer ID]:[Discount Amount]], 6, FALSE),"Not Found")</f>
        <v>97</v>
      </c>
      <c r="U456" t="str">
        <f t="shared" si="29"/>
        <v>Cash</v>
      </c>
      <c r="V456" s="4" t="str">
        <f t="shared" si="30"/>
        <v>Normal</v>
      </c>
      <c r="W456" s="4" t="str">
        <f t="shared" si="31"/>
        <v>Good</v>
      </c>
      <c r="X456" s="4">
        <f>AVERAGE(Table1[Purchase Amount])</f>
        <v>129.48419400000012</v>
      </c>
    </row>
    <row r="457" spans="1:24" ht="15" customHeight="1" x14ac:dyDescent="0.25">
      <c r="A457">
        <v>456</v>
      </c>
      <c r="B457">
        <v>54</v>
      </c>
      <c r="C457" t="s">
        <v>27</v>
      </c>
      <c r="D457" t="s">
        <v>118</v>
      </c>
      <c r="E457" t="s">
        <v>18</v>
      </c>
      <c r="F457" s="2">
        <v>100</v>
      </c>
      <c r="G457" t="s">
        <v>144</v>
      </c>
      <c r="H457" t="s">
        <v>20</v>
      </c>
      <c r="I457" t="s">
        <v>133</v>
      </c>
      <c r="J457" t="s">
        <v>47</v>
      </c>
      <c r="K457">
        <v>3.6</v>
      </c>
      <c r="L457" t="s">
        <v>34</v>
      </c>
      <c r="M457" t="s">
        <v>48</v>
      </c>
      <c r="N457" t="s">
        <v>34</v>
      </c>
      <c r="O457">
        <v>50</v>
      </c>
      <c r="P457" t="s">
        <v>36</v>
      </c>
      <c r="Q457" t="s">
        <v>89</v>
      </c>
      <c r="R457" s="1">
        <v>0.1</v>
      </c>
      <c r="S457">
        <f t="shared" si="28"/>
        <v>90</v>
      </c>
      <c r="T457">
        <f>IFERROR(VLOOKUP(A457,Table1[[Customer ID]:[Discount Amount]], 6, FALSE),"Not Found")</f>
        <v>100</v>
      </c>
      <c r="U457" t="str">
        <f t="shared" si="29"/>
        <v>Debit Card</v>
      </c>
      <c r="V457" s="4" t="str">
        <f t="shared" si="30"/>
        <v>Normal</v>
      </c>
      <c r="W457" s="4" t="str">
        <f t="shared" si="31"/>
        <v>Good</v>
      </c>
      <c r="X457" s="4">
        <f>AVERAGE(Table1[Purchase Amount])</f>
        <v>129.48419400000012</v>
      </c>
    </row>
    <row r="458" spans="1:24" ht="15" customHeight="1" x14ac:dyDescent="0.25">
      <c r="A458">
        <v>457</v>
      </c>
      <c r="B458">
        <v>50</v>
      </c>
      <c r="C458" t="s">
        <v>27</v>
      </c>
      <c r="D458" t="s">
        <v>118</v>
      </c>
      <c r="E458" t="s">
        <v>18</v>
      </c>
      <c r="F458" s="2">
        <v>96</v>
      </c>
      <c r="G458" t="s">
        <v>134</v>
      </c>
      <c r="H458" t="s">
        <v>55</v>
      </c>
      <c r="I458" t="s">
        <v>91</v>
      </c>
      <c r="J458" t="s">
        <v>47</v>
      </c>
      <c r="K458">
        <v>4</v>
      </c>
      <c r="L458" t="s">
        <v>34</v>
      </c>
      <c r="M458" t="s">
        <v>41</v>
      </c>
      <c r="N458" t="s">
        <v>34</v>
      </c>
      <c r="O458">
        <v>33</v>
      </c>
      <c r="P458" t="s">
        <v>53</v>
      </c>
      <c r="Q458" t="s">
        <v>37</v>
      </c>
      <c r="R458" s="1">
        <v>0.1</v>
      </c>
      <c r="S458">
        <f t="shared" si="28"/>
        <v>86.4</v>
      </c>
      <c r="T458">
        <f>IFERROR(VLOOKUP(A458,Table1[[Customer ID]:[Discount Amount]], 6, FALSE),"Not Found")</f>
        <v>96</v>
      </c>
      <c r="U458" t="str">
        <f t="shared" si="29"/>
        <v>Credit Card</v>
      </c>
      <c r="V458" s="4" t="str">
        <f t="shared" si="30"/>
        <v>Normal</v>
      </c>
      <c r="W458" s="4" t="str">
        <f t="shared" si="31"/>
        <v>Good</v>
      </c>
      <c r="X458" s="4">
        <f>AVERAGE(Table1[Purchase Amount])</f>
        <v>129.48419400000012</v>
      </c>
    </row>
    <row r="459" spans="1:24" ht="15" customHeight="1" x14ac:dyDescent="0.25">
      <c r="A459">
        <v>458</v>
      </c>
      <c r="B459">
        <v>25</v>
      </c>
      <c r="C459" t="s">
        <v>27</v>
      </c>
      <c r="D459" t="s">
        <v>43</v>
      </c>
      <c r="E459" t="s">
        <v>29</v>
      </c>
      <c r="F459" s="2">
        <v>99</v>
      </c>
      <c r="G459" t="s">
        <v>159</v>
      </c>
      <c r="H459" t="s">
        <v>31</v>
      </c>
      <c r="I459" t="s">
        <v>74</v>
      </c>
      <c r="J459" t="s">
        <v>33</v>
      </c>
      <c r="K459">
        <v>4.9000000000000004</v>
      </c>
      <c r="L459" t="s">
        <v>34</v>
      </c>
      <c r="M459" t="s">
        <v>79</v>
      </c>
      <c r="N459" t="s">
        <v>34</v>
      </c>
      <c r="O459">
        <v>48</v>
      </c>
      <c r="P459" t="s">
        <v>36</v>
      </c>
      <c r="Q459" t="s">
        <v>63</v>
      </c>
      <c r="R459" s="1">
        <v>0.1</v>
      </c>
      <c r="S459">
        <f t="shared" si="28"/>
        <v>89.1</v>
      </c>
      <c r="T459">
        <f>IFERROR(VLOOKUP(A459,Table1[[Customer ID]:[Discount Amount]], 6, FALSE),"Not Found")</f>
        <v>99</v>
      </c>
      <c r="U459" t="str">
        <f t="shared" si="29"/>
        <v>Debit Card</v>
      </c>
      <c r="V459" s="4" t="str">
        <f t="shared" si="30"/>
        <v>Normal</v>
      </c>
      <c r="W459" s="4" t="str">
        <f t="shared" si="31"/>
        <v>Good</v>
      </c>
      <c r="X459" s="4">
        <f>AVERAGE(Table1[Purchase Amount])</f>
        <v>129.48419400000012</v>
      </c>
    </row>
    <row r="460" spans="1:24" ht="15" customHeight="1" x14ac:dyDescent="0.25">
      <c r="A460">
        <v>459</v>
      </c>
      <c r="B460">
        <v>47</v>
      </c>
      <c r="C460" t="s">
        <v>27</v>
      </c>
      <c r="D460" t="s">
        <v>54</v>
      </c>
      <c r="E460" t="s">
        <v>18</v>
      </c>
      <c r="F460" s="2">
        <v>91</v>
      </c>
      <c r="G460" t="s">
        <v>100</v>
      </c>
      <c r="H460" t="s">
        <v>45</v>
      </c>
      <c r="I460" t="s">
        <v>40</v>
      </c>
      <c r="J460" t="s">
        <v>22</v>
      </c>
      <c r="K460">
        <v>4</v>
      </c>
      <c r="L460" t="s">
        <v>34</v>
      </c>
      <c r="M460" t="s">
        <v>41</v>
      </c>
      <c r="N460" t="s">
        <v>34</v>
      </c>
      <c r="O460">
        <v>48</v>
      </c>
      <c r="P460" t="s">
        <v>58</v>
      </c>
      <c r="Q460" t="s">
        <v>42</v>
      </c>
      <c r="R460" s="1">
        <v>0.1</v>
      </c>
      <c r="S460">
        <f t="shared" si="28"/>
        <v>81.900000000000006</v>
      </c>
      <c r="T460">
        <f>IFERROR(VLOOKUP(A460,Table1[[Customer ID]:[Discount Amount]], 6, FALSE),"Not Found")</f>
        <v>91</v>
      </c>
      <c r="U460" t="str">
        <f t="shared" si="29"/>
        <v>PayPal</v>
      </c>
      <c r="V460" s="4" t="str">
        <f t="shared" si="30"/>
        <v>Normal</v>
      </c>
      <c r="W460" s="4" t="str">
        <f t="shared" si="31"/>
        <v>Good</v>
      </c>
      <c r="X460" s="4">
        <f>AVERAGE(Table1[Purchase Amount])</f>
        <v>129.48419400000012</v>
      </c>
    </row>
    <row r="461" spans="1:24" ht="15" customHeight="1" x14ac:dyDescent="0.25">
      <c r="A461">
        <v>460</v>
      </c>
      <c r="B461">
        <v>63</v>
      </c>
      <c r="C461" t="s">
        <v>27</v>
      </c>
      <c r="D461" t="s">
        <v>64</v>
      </c>
      <c r="E461" t="s">
        <v>29</v>
      </c>
      <c r="F461" s="2">
        <v>30</v>
      </c>
      <c r="G461" t="s">
        <v>106</v>
      </c>
      <c r="H461" t="s">
        <v>45</v>
      </c>
      <c r="I461" t="s">
        <v>40</v>
      </c>
      <c r="J461" t="s">
        <v>22</v>
      </c>
      <c r="K461">
        <v>3.8</v>
      </c>
      <c r="L461" t="s">
        <v>34</v>
      </c>
      <c r="M461" t="s">
        <v>24</v>
      </c>
      <c r="N461" t="s">
        <v>34</v>
      </c>
      <c r="O461">
        <v>27</v>
      </c>
      <c r="P461" t="s">
        <v>58</v>
      </c>
      <c r="Q461" t="s">
        <v>89</v>
      </c>
      <c r="R461" s="1">
        <v>0.1</v>
      </c>
      <c r="S461">
        <f t="shared" si="28"/>
        <v>27</v>
      </c>
      <c r="T461">
        <f>IFERROR(VLOOKUP(A461,Table1[[Customer ID]:[Discount Amount]], 6, FALSE),"Not Found")</f>
        <v>30</v>
      </c>
      <c r="U461" t="str">
        <f t="shared" si="29"/>
        <v>PayPal</v>
      </c>
      <c r="V461" s="4" t="str">
        <f t="shared" si="30"/>
        <v>Normal</v>
      </c>
      <c r="W461" s="4" t="str">
        <f t="shared" si="31"/>
        <v>Good</v>
      </c>
      <c r="X461" s="4">
        <f>AVERAGE(Table1[Purchase Amount])</f>
        <v>129.48419400000012</v>
      </c>
    </row>
    <row r="462" spans="1:24" ht="15" customHeight="1" x14ac:dyDescent="0.25">
      <c r="A462">
        <v>461</v>
      </c>
      <c r="B462">
        <v>64</v>
      </c>
      <c r="C462" t="s">
        <v>27</v>
      </c>
      <c r="D462" t="s">
        <v>72</v>
      </c>
      <c r="E462" t="s">
        <v>98</v>
      </c>
      <c r="F462" s="2">
        <v>65</v>
      </c>
      <c r="G462" t="s">
        <v>30</v>
      </c>
      <c r="H462" t="s">
        <v>45</v>
      </c>
      <c r="I462" t="s">
        <v>147</v>
      </c>
      <c r="J462" t="s">
        <v>57</v>
      </c>
      <c r="K462">
        <v>1</v>
      </c>
      <c r="L462" t="s">
        <v>34</v>
      </c>
      <c r="M462" t="s">
        <v>48</v>
      </c>
      <c r="N462" t="s">
        <v>34</v>
      </c>
      <c r="O462">
        <v>27</v>
      </c>
      <c r="P462" t="s">
        <v>88</v>
      </c>
      <c r="Q462" t="s">
        <v>26</v>
      </c>
      <c r="R462" s="1">
        <v>0.1</v>
      </c>
      <c r="S462">
        <f t="shared" si="28"/>
        <v>58.5</v>
      </c>
      <c r="T462">
        <f>IFERROR(VLOOKUP(A462,Table1[[Customer ID]:[Discount Amount]], 6, FALSE),"Not Found")</f>
        <v>65</v>
      </c>
      <c r="U462" t="str">
        <f t="shared" si="29"/>
        <v>Bank Transfer</v>
      </c>
      <c r="V462" s="4" t="str">
        <f t="shared" si="30"/>
        <v>Normal</v>
      </c>
      <c r="W462" s="4" t="str">
        <f t="shared" si="31"/>
        <v>Poor</v>
      </c>
      <c r="X462" s="4">
        <f>AVERAGE(Table1[Purchase Amount])</f>
        <v>129.48419400000012</v>
      </c>
    </row>
    <row r="463" spans="1:24" ht="15" customHeight="1" x14ac:dyDescent="0.25">
      <c r="A463">
        <v>462</v>
      </c>
      <c r="B463">
        <v>18</v>
      </c>
      <c r="C463" t="s">
        <v>27</v>
      </c>
      <c r="D463" t="s">
        <v>151</v>
      </c>
      <c r="E463" t="s">
        <v>98</v>
      </c>
      <c r="F463" s="2">
        <v>93</v>
      </c>
      <c r="G463" t="s">
        <v>90</v>
      </c>
      <c r="H463" t="s">
        <v>31</v>
      </c>
      <c r="I463" t="s">
        <v>52</v>
      </c>
      <c r="J463" t="s">
        <v>22</v>
      </c>
      <c r="K463">
        <v>3.9</v>
      </c>
      <c r="L463" t="s">
        <v>34</v>
      </c>
      <c r="M463" t="s">
        <v>61</v>
      </c>
      <c r="N463" t="s">
        <v>34</v>
      </c>
      <c r="O463">
        <v>20</v>
      </c>
      <c r="P463" t="s">
        <v>62</v>
      </c>
      <c r="Q463" t="s">
        <v>26</v>
      </c>
      <c r="R463" s="1">
        <v>0.1</v>
      </c>
      <c r="S463">
        <f t="shared" si="28"/>
        <v>83.7</v>
      </c>
      <c r="T463">
        <f>IFERROR(VLOOKUP(A463,Table1[[Customer ID]:[Discount Amount]], 6, FALSE),"Not Found")</f>
        <v>93</v>
      </c>
      <c r="U463" t="str">
        <f t="shared" si="29"/>
        <v>Venmo</v>
      </c>
      <c r="V463" s="4" t="str">
        <f t="shared" si="30"/>
        <v>Normal</v>
      </c>
      <c r="W463" s="4" t="str">
        <f t="shared" si="31"/>
        <v>Good</v>
      </c>
      <c r="X463" s="4">
        <f>AVERAGE(Table1[Purchase Amount])</f>
        <v>129.48419400000012</v>
      </c>
    </row>
    <row r="464" spans="1:24" ht="15" customHeight="1" x14ac:dyDescent="0.25">
      <c r="A464">
        <v>463</v>
      </c>
      <c r="B464">
        <v>59</v>
      </c>
      <c r="C464" t="s">
        <v>27</v>
      </c>
      <c r="D464" t="s">
        <v>96</v>
      </c>
      <c r="E464" t="s">
        <v>77</v>
      </c>
      <c r="F464" s="2">
        <v>81</v>
      </c>
      <c r="G464" t="s">
        <v>44</v>
      </c>
      <c r="H464" t="s">
        <v>31</v>
      </c>
      <c r="I464" t="s">
        <v>32</v>
      </c>
      <c r="J464" t="s">
        <v>47</v>
      </c>
      <c r="K464">
        <v>3.3</v>
      </c>
      <c r="L464" t="s">
        <v>34</v>
      </c>
      <c r="M464" t="s">
        <v>61</v>
      </c>
      <c r="N464" t="s">
        <v>34</v>
      </c>
      <c r="O464">
        <v>48</v>
      </c>
      <c r="P464" t="s">
        <v>62</v>
      </c>
      <c r="Q464" t="s">
        <v>63</v>
      </c>
      <c r="R464" s="1">
        <v>0.1</v>
      </c>
      <c r="S464">
        <f t="shared" si="28"/>
        <v>72.900000000000006</v>
      </c>
      <c r="T464">
        <f>IFERROR(VLOOKUP(A464,Table1[[Customer ID]:[Discount Amount]], 6, FALSE),"Not Found")</f>
        <v>81</v>
      </c>
      <c r="U464" t="str">
        <f t="shared" si="29"/>
        <v>Venmo</v>
      </c>
      <c r="V464" s="4" t="str">
        <f t="shared" si="30"/>
        <v>Normal</v>
      </c>
      <c r="W464" s="4" t="str">
        <f t="shared" si="31"/>
        <v>Good</v>
      </c>
      <c r="X464" s="4">
        <f>AVERAGE(Table1[Purchase Amount])</f>
        <v>129.48419400000012</v>
      </c>
    </row>
    <row r="465" spans="1:24" ht="15" customHeight="1" x14ac:dyDescent="0.25">
      <c r="A465">
        <v>464</v>
      </c>
      <c r="B465">
        <v>37</v>
      </c>
      <c r="C465" t="s">
        <v>27</v>
      </c>
      <c r="D465" t="s">
        <v>50</v>
      </c>
      <c r="E465" t="s">
        <v>29</v>
      </c>
      <c r="F465" s="2">
        <v>81</v>
      </c>
      <c r="G465" t="s">
        <v>160</v>
      </c>
      <c r="H465" t="s">
        <v>55</v>
      </c>
      <c r="I465" t="s">
        <v>108</v>
      </c>
      <c r="J465" t="s">
        <v>57</v>
      </c>
      <c r="K465">
        <v>2.7</v>
      </c>
      <c r="L465" t="s">
        <v>34</v>
      </c>
      <c r="M465" t="s">
        <v>24</v>
      </c>
      <c r="N465" t="s">
        <v>34</v>
      </c>
      <c r="O465">
        <v>29</v>
      </c>
      <c r="P465" t="s">
        <v>62</v>
      </c>
      <c r="Q465" t="s">
        <v>26</v>
      </c>
      <c r="R465" s="1">
        <v>0.1</v>
      </c>
      <c r="S465">
        <f t="shared" si="28"/>
        <v>72.900000000000006</v>
      </c>
      <c r="T465">
        <f>IFERROR(VLOOKUP(A465,Table1[[Customer ID]:[Discount Amount]], 6, FALSE),"Not Found")</f>
        <v>81</v>
      </c>
      <c r="U465" t="str">
        <f t="shared" si="29"/>
        <v>Venmo</v>
      </c>
      <c r="V465" s="4" t="str">
        <f t="shared" si="30"/>
        <v>Normal</v>
      </c>
      <c r="W465" s="4" t="str">
        <f t="shared" si="31"/>
        <v>Poor</v>
      </c>
      <c r="X465" s="4">
        <f>AVERAGE(Table1[Purchase Amount])</f>
        <v>129.48419400000012</v>
      </c>
    </row>
    <row r="466" spans="1:24" ht="15" customHeight="1" x14ac:dyDescent="0.25">
      <c r="A466">
        <v>465</v>
      </c>
      <c r="B466">
        <v>23</v>
      </c>
      <c r="C466" t="s">
        <v>27</v>
      </c>
      <c r="D466" t="s">
        <v>28</v>
      </c>
      <c r="E466" t="s">
        <v>29</v>
      </c>
      <c r="F466" s="2">
        <v>52</v>
      </c>
      <c r="G466" t="s">
        <v>51</v>
      </c>
      <c r="H466" t="s">
        <v>31</v>
      </c>
      <c r="I466" t="s">
        <v>153</v>
      </c>
      <c r="J466" t="s">
        <v>22</v>
      </c>
      <c r="K466">
        <v>4.7</v>
      </c>
      <c r="L466" t="s">
        <v>34</v>
      </c>
      <c r="M466" t="s">
        <v>79</v>
      </c>
      <c r="N466" t="s">
        <v>34</v>
      </c>
      <c r="O466">
        <v>45</v>
      </c>
      <c r="P466" t="s">
        <v>58</v>
      </c>
      <c r="Q466" t="s">
        <v>42</v>
      </c>
      <c r="R466" s="1">
        <v>0.1</v>
      </c>
      <c r="S466">
        <f t="shared" si="28"/>
        <v>46.8</v>
      </c>
      <c r="T466">
        <f>IFERROR(VLOOKUP(A466,Table1[[Customer ID]:[Discount Amount]], 6, FALSE),"Not Found")</f>
        <v>52</v>
      </c>
      <c r="U466" t="str">
        <f t="shared" si="29"/>
        <v>PayPal</v>
      </c>
      <c r="V466" s="4" t="str">
        <f t="shared" si="30"/>
        <v>Normal</v>
      </c>
      <c r="W466" s="4" t="str">
        <f t="shared" si="31"/>
        <v>Good</v>
      </c>
      <c r="X466" s="4">
        <f>AVERAGE(Table1[Purchase Amount])</f>
        <v>129.48419400000012</v>
      </c>
    </row>
    <row r="467" spans="1:24" ht="15" customHeight="1" x14ac:dyDescent="0.25">
      <c r="A467">
        <v>466</v>
      </c>
      <c r="B467">
        <v>54</v>
      </c>
      <c r="C467" t="s">
        <v>27</v>
      </c>
      <c r="D467" t="s">
        <v>122</v>
      </c>
      <c r="E467" t="s">
        <v>18</v>
      </c>
      <c r="F467" s="2">
        <v>88</v>
      </c>
      <c r="G467" t="s">
        <v>142</v>
      </c>
      <c r="H467" t="s">
        <v>31</v>
      </c>
      <c r="I467" t="s">
        <v>136</v>
      </c>
      <c r="J467" t="s">
        <v>57</v>
      </c>
      <c r="K467">
        <v>2.8</v>
      </c>
      <c r="L467" t="s">
        <v>34</v>
      </c>
      <c r="M467" t="s">
        <v>79</v>
      </c>
      <c r="N467" t="s">
        <v>34</v>
      </c>
      <c r="O467">
        <v>25</v>
      </c>
      <c r="P467" t="s">
        <v>25</v>
      </c>
      <c r="Q467" t="s">
        <v>37</v>
      </c>
      <c r="R467" s="1">
        <v>0.1</v>
      </c>
      <c r="S467">
        <f t="shared" si="28"/>
        <v>79.2</v>
      </c>
      <c r="T467">
        <f>IFERROR(VLOOKUP(A467,Table1[[Customer ID]:[Discount Amount]], 6, FALSE),"Not Found")</f>
        <v>88</v>
      </c>
      <c r="U467" t="str">
        <f t="shared" si="29"/>
        <v>Cash</v>
      </c>
      <c r="V467" s="4" t="str">
        <f t="shared" si="30"/>
        <v>Normal</v>
      </c>
      <c r="W467" s="4" t="str">
        <f t="shared" si="31"/>
        <v>Poor</v>
      </c>
      <c r="X467" s="4">
        <f>AVERAGE(Table1[Purchase Amount])</f>
        <v>129.48419400000012</v>
      </c>
    </row>
    <row r="468" spans="1:24" ht="15" customHeight="1" x14ac:dyDescent="0.25">
      <c r="A468">
        <v>467</v>
      </c>
      <c r="B468">
        <v>38</v>
      </c>
      <c r="C468" t="s">
        <v>27</v>
      </c>
      <c r="D468" t="s">
        <v>109</v>
      </c>
      <c r="E468" t="s">
        <v>18</v>
      </c>
      <c r="F468" s="2">
        <v>24</v>
      </c>
      <c r="G468" t="s">
        <v>84</v>
      </c>
      <c r="H468" t="s">
        <v>45</v>
      </c>
      <c r="I468" t="s">
        <v>156</v>
      </c>
      <c r="J468" t="s">
        <v>22</v>
      </c>
      <c r="K468">
        <v>4.5999999999999996</v>
      </c>
      <c r="L468" t="s">
        <v>34</v>
      </c>
      <c r="M468" t="s">
        <v>35</v>
      </c>
      <c r="N468" t="s">
        <v>34</v>
      </c>
      <c r="O468">
        <v>25</v>
      </c>
      <c r="P468" t="s">
        <v>58</v>
      </c>
      <c r="Q468" t="s">
        <v>26</v>
      </c>
      <c r="R468" s="1">
        <v>0.1</v>
      </c>
      <c r="S468">
        <f t="shared" si="28"/>
        <v>21.6</v>
      </c>
      <c r="T468">
        <f>IFERROR(VLOOKUP(A468,Table1[[Customer ID]:[Discount Amount]], 6, FALSE),"Not Found")</f>
        <v>24</v>
      </c>
      <c r="U468" t="str">
        <f t="shared" si="29"/>
        <v>PayPal</v>
      </c>
      <c r="V468" s="4" t="str">
        <f t="shared" si="30"/>
        <v>Normal</v>
      </c>
      <c r="W468" s="4" t="str">
        <f t="shared" si="31"/>
        <v>Good</v>
      </c>
      <c r="X468" s="4">
        <f>AVERAGE(Table1[Purchase Amount])</f>
        <v>129.48419400000012</v>
      </c>
    </row>
    <row r="469" spans="1:24" ht="15" customHeight="1" x14ac:dyDescent="0.25">
      <c r="A469">
        <v>468</v>
      </c>
      <c r="B469">
        <v>19</v>
      </c>
      <c r="C469" t="s">
        <v>27</v>
      </c>
      <c r="D469" t="s">
        <v>104</v>
      </c>
      <c r="E469" t="s">
        <v>29</v>
      </c>
      <c r="F469" s="2">
        <v>51</v>
      </c>
      <c r="G469" t="s">
        <v>137</v>
      </c>
      <c r="H469" t="s">
        <v>55</v>
      </c>
      <c r="I469" t="s">
        <v>108</v>
      </c>
      <c r="J469" t="s">
        <v>33</v>
      </c>
      <c r="K469">
        <v>4.5</v>
      </c>
      <c r="L469" t="s">
        <v>34</v>
      </c>
      <c r="M469" t="s">
        <v>41</v>
      </c>
      <c r="N469" t="s">
        <v>34</v>
      </c>
      <c r="O469">
        <v>37</v>
      </c>
      <c r="P469" t="s">
        <v>36</v>
      </c>
      <c r="Q469" t="s">
        <v>63</v>
      </c>
      <c r="R469" s="1">
        <v>0.1</v>
      </c>
      <c r="S469">
        <f t="shared" si="28"/>
        <v>45.9</v>
      </c>
      <c r="T469">
        <f>IFERROR(VLOOKUP(A469,Table1[[Customer ID]:[Discount Amount]], 6, FALSE),"Not Found")</f>
        <v>51</v>
      </c>
      <c r="U469" t="str">
        <f t="shared" si="29"/>
        <v>Debit Card</v>
      </c>
      <c r="V469" s="4" t="str">
        <f t="shared" si="30"/>
        <v>Normal</v>
      </c>
      <c r="W469" s="4" t="str">
        <f t="shared" si="31"/>
        <v>Good</v>
      </c>
      <c r="X469" s="4">
        <f>AVERAGE(Table1[Purchase Amount])</f>
        <v>129.48419400000012</v>
      </c>
    </row>
    <row r="470" spans="1:24" ht="15" customHeight="1" x14ac:dyDescent="0.25">
      <c r="A470">
        <v>469</v>
      </c>
      <c r="B470">
        <v>34</v>
      </c>
      <c r="C470" t="s">
        <v>27</v>
      </c>
      <c r="D470" t="s">
        <v>104</v>
      </c>
      <c r="E470" t="s">
        <v>29</v>
      </c>
      <c r="F470" s="2">
        <v>38</v>
      </c>
      <c r="G470" t="s">
        <v>160</v>
      </c>
      <c r="H470" t="s">
        <v>55</v>
      </c>
      <c r="I470" t="s">
        <v>145</v>
      </c>
      <c r="J470" t="s">
        <v>47</v>
      </c>
      <c r="K470">
        <v>5</v>
      </c>
      <c r="L470" t="s">
        <v>34</v>
      </c>
      <c r="M470" t="s">
        <v>35</v>
      </c>
      <c r="N470" t="s">
        <v>34</v>
      </c>
      <c r="O470">
        <v>16</v>
      </c>
      <c r="P470" t="s">
        <v>25</v>
      </c>
      <c r="Q470" t="s">
        <v>37</v>
      </c>
      <c r="R470" s="1">
        <v>0.1</v>
      </c>
      <c r="S470">
        <f t="shared" si="28"/>
        <v>34.200000000000003</v>
      </c>
      <c r="T470">
        <f>IFERROR(VLOOKUP(A470,Table1[[Customer ID]:[Discount Amount]], 6, FALSE),"Not Found")</f>
        <v>38</v>
      </c>
      <c r="U470" t="str">
        <f t="shared" si="29"/>
        <v>Cash</v>
      </c>
      <c r="V470" s="4" t="str">
        <f t="shared" si="30"/>
        <v>Normal</v>
      </c>
      <c r="W470" s="4" t="str">
        <f t="shared" si="31"/>
        <v>Good</v>
      </c>
      <c r="X470" s="4">
        <f>AVERAGE(Table1[Purchase Amount])</f>
        <v>129.48419400000012</v>
      </c>
    </row>
    <row r="471" spans="1:24" ht="15" customHeight="1" x14ac:dyDescent="0.25">
      <c r="A471">
        <v>470</v>
      </c>
      <c r="B471">
        <v>21</v>
      </c>
      <c r="C471" t="s">
        <v>27</v>
      </c>
      <c r="D471" t="s">
        <v>54</v>
      </c>
      <c r="E471" t="s">
        <v>18</v>
      </c>
      <c r="F471" s="2">
        <v>46</v>
      </c>
      <c r="G471" t="s">
        <v>51</v>
      </c>
      <c r="H471" t="s">
        <v>45</v>
      </c>
      <c r="I471" t="s">
        <v>136</v>
      </c>
      <c r="J471" t="s">
        <v>47</v>
      </c>
      <c r="K471">
        <v>4.0999999999999996</v>
      </c>
      <c r="L471" t="s">
        <v>34</v>
      </c>
      <c r="M471" t="s">
        <v>41</v>
      </c>
      <c r="N471" t="s">
        <v>34</v>
      </c>
      <c r="O471">
        <v>30</v>
      </c>
      <c r="P471" t="s">
        <v>36</v>
      </c>
      <c r="Q471" t="s">
        <v>68</v>
      </c>
      <c r="R471" s="1">
        <v>0.1</v>
      </c>
      <c r="S471">
        <f t="shared" si="28"/>
        <v>41.4</v>
      </c>
      <c r="T471">
        <f>IFERROR(VLOOKUP(A471,Table1[[Customer ID]:[Discount Amount]], 6, FALSE),"Not Found")</f>
        <v>46</v>
      </c>
      <c r="U471" t="str">
        <f t="shared" si="29"/>
        <v>Debit Card</v>
      </c>
      <c r="V471" s="4" t="str">
        <f t="shared" si="30"/>
        <v>Normal</v>
      </c>
      <c r="W471" s="4" t="str">
        <f t="shared" si="31"/>
        <v>Good</v>
      </c>
      <c r="X471" s="4">
        <f>AVERAGE(Table1[Purchase Amount])</f>
        <v>129.48419400000012</v>
      </c>
    </row>
    <row r="472" spans="1:24" ht="15" customHeight="1" x14ac:dyDescent="0.25">
      <c r="A472">
        <v>471</v>
      </c>
      <c r="B472">
        <v>50</v>
      </c>
      <c r="C472" t="s">
        <v>27</v>
      </c>
      <c r="D472" t="s">
        <v>157</v>
      </c>
      <c r="E472" t="s">
        <v>18</v>
      </c>
      <c r="F472" s="2">
        <v>63</v>
      </c>
      <c r="G472" t="s">
        <v>120</v>
      </c>
      <c r="H472" t="s">
        <v>45</v>
      </c>
      <c r="I472" t="s">
        <v>147</v>
      </c>
      <c r="J472" t="s">
        <v>57</v>
      </c>
      <c r="K472">
        <v>4.5999999999999996</v>
      </c>
      <c r="L472" t="s">
        <v>34</v>
      </c>
      <c r="M472" t="s">
        <v>61</v>
      </c>
      <c r="N472" t="s">
        <v>34</v>
      </c>
      <c r="O472">
        <v>6</v>
      </c>
      <c r="P472" t="s">
        <v>25</v>
      </c>
      <c r="Q472" t="s">
        <v>63</v>
      </c>
      <c r="R472" s="1">
        <v>0.1</v>
      </c>
      <c r="S472">
        <f t="shared" si="28"/>
        <v>56.7</v>
      </c>
      <c r="T472">
        <f>IFERROR(VLOOKUP(A472,Table1[[Customer ID]:[Discount Amount]], 6, FALSE),"Not Found")</f>
        <v>63</v>
      </c>
      <c r="U472" t="str">
        <f t="shared" si="29"/>
        <v>Cash</v>
      </c>
      <c r="V472" s="4" t="str">
        <f t="shared" si="30"/>
        <v>Normal</v>
      </c>
      <c r="W472" s="4" t="str">
        <f t="shared" si="31"/>
        <v>Good</v>
      </c>
      <c r="X472" s="4">
        <f>AVERAGE(Table1[Purchase Amount])</f>
        <v>129.48419400000012</v>
      </c>
    </row>
    <row r="473" spans="1:24" ht="15" customHeight="1" x14ac:dyDescent="0.25">
      <c r="A473">
        <v>472</v>
      </c>
      <c r="B473">
        <v>55</v>
      </c>
      <c r="C473" t="s">
        <v>27</v>
      </c>
      <c r="D473" t="s">
        <v>129</v>
      </c>
      <c r="E473" t="s">
        <v>29</v>
      </c>
      <c r="F473" s="2">
        <v>72</v>
      </c>
      <c r="G473" t="s">
        <v>146</v>
      </c>
      <c r="H473" t="s">
        <v>20</v>
      </c>
      <c r="I473" t="s">
        <v>32</v>
      </c>
      <c r="J473" t="s">
        <v>22</v>
      </c>
      <c r="K473">
        <v>4.9000000000000004</v>
      </c>
      <c r="L473" t="s">
        <v>34</v>
      </c>
      <c r="M473" t="s">
        <v>41</v>
      </c>
      <c r="N473" t="s">
        <v>34</v>
      </c>
      <c r="O473">
        <v>36</v>
      </c>
      <c r="P473" t="s">
        <v>88</v>
      </c>
      <c r="Q473" t="s">
        <v>37</v>
      </c>
      <c r="R473" s="1">
        <v>0.1</v>
      </c>
      <c r="S473">
        <f t="shared" si="28"/>
        <v>64.8</v>
      </c>
      <c r="T473">
        <f>IFERROR(VLOOKUP(A473,Table1[[Customer ID]:[Discount Amount]], 6, FALSE),"Not Found")</f>
        <v>72</v>
      </c>
      <c r="U473" t="str">
        <f t="shared" si="29"/>
        <v>Bank Transfer</v>
      </c>
      <c r="V473" s="4" t="str">
        <f t="shared" si="30"/>
        <v>Normal</v>
      </c>
      <c r="W473" s="4" t="str">
        <f t="shared" si="31"/>
        <v>Good</v>
      </c>
      <c r="X473" s="4">
        <f>AVERAGE(Table1[Purchase Amount])</f>
        <v>129.48419400000012</v>
      </c>
    </row>
    <row r="474" spans="1:24" ht="15" customHeight="1" x14ac:dyDescent="0.25">
      <c r="A474">
        <v>473</v>
      </c>
      <c r="B474">
        <v>20</v>
      </c>
      <c r="C474" t="s">
        <v>27</v>
      </c>
      <c r="D474" t="s">
        <v>109</v>
      </c>
      <c r="E474" t="s">
        <v>18</v>
      </c>
      <c r="F474" s="2">
        <v>39</v>
      </c>
      <c r="G474" t="s">
        <v>160</v>
      </c>
      <c r="H474" t="s">
        <v>45</v>
      </c>
      <c r="I474" t="s">
        <v>85</v>
      </c>
      <c r="J474" t="s">
        <v>22</v>
      </c>
      <c r="K474">
        <v>3.9</v>
      </c>
      <c r="L474" t="s">
        <v>34</v>
      </c>
      <c r="M474" t="s">
        <v>35</v>
      </c>
      <c r="N474" t="s">
        <v>34</v>
      </c>
      <c r="O474">
        <v>3</v>
      </c>
      <c r="P474" t="s">
        <v>88</v>
      </c>
      <c r="Q474" t="s">
        <v>37</v>
      </c>
      <c r="R474" s="1">
        <v>0.1</v>
      </c>
      <c r="S474">
        <f t="shared" si="28"/>
        <v>35.1</v>
      </c>
      <c r="T474">
        <f>IFERROR(VLOOKUP(A474,Table1[[Customer ID]:[Discount Amount]], 6, FALSE),"Not Found")</f>
        <v>39</v>
      </c>
      <c r="U474" t="str">
        <f t="shared" si="29"/>
        <v>Bank Transfer</v>
      </c>
      <c r="V474" s="4" t="str">
        <f t="shared" si="30"/>
        <v>Normal</v>
      </c>
      <c r="W474" s="4" t="str">
        <f t="shared" si="31"/>
        <v>Good</v>
      </c>
      <c r="X474" s="4">
        <f>AVERAGE(Table1[Purchase Amount])</f>
        <v>129.48419400000012</v>
      </c>
    </row>
    <row r="475" spans="1:24" ht="15" customHeight="1" x14ac:dyDescent="0.25">
      <c r="A475">
        <v>474</v>
      </c>
      <c r="B475">
        <v>34</v>
      </c>
      <c r="C475" t="s">
        <v>27</v>
      </c>
      <c r="D475" t="s">
        <v>76</v>
      </c>
      <c r="E475" t="s">
        <v>77</v>
      </c>
      <c r="F475" s="2">
        <v>42</v>
      </c>
      <c r="G475" t="s">
        <v>154</v>
      </c>
      <c r="H475" t="s">
        <v>45</v>
      </c>
      <c r="I475" t="s">
        <v>21</v>
      </c>
      <c r="J475" t="s">
        <v>33</v>
      </c>
      <c r="K475">
        <v>3.9</v>
      </c>
      <c r="L475" t="s">
        <v>34</v>
      </c>
      <c r="M475" t="s">
        <v>48</v>
      </c>
      <c r="N475" t="s">
        <v>34</v>
      </c>
      <c r="O475">
        <v>29</v>
      </c>
      <c r="P475" t="s">
        <v>58</v>
      </c>
      <c r="Q475" t="s">
        <v>63</v>
      </c>
      <c r="R475" s="1">
        <v>0.1</v>
      </c>
      <c r="S475">
        <f t="shared" si="28"/>
        <v>37.799999999999997</v>
      </c>
      <c r="T475">
        <f>IFERROR(VLOOKUP(A475,Table1[[Customer ID]:[Discount Amount]], 6, FALSE),"Not Found")</f>
        <v>42</v>
      </c>
      <c r="U475" t="str">
        <f t="shared" si="29"/>
        <v>PayPal</v>
      </c>
      <c r="V475" s="4" t="str">
        <f t="shared" si="30"/>
        <v>Normal</v>
      </c>
      <c r="W475" s="4" t="str">
        <f t="shared" si="31"/>
        <v>Good</v>
      </c>
      <c r="X475" s="4">
        <f>AVERAGE(Table1[Purchase Amount])</f>
        <v>129.48419400000012</v>
      </c>
    </row>
    <row r="476" spans="1:24" ht="15" customHeight="1" x14ac:dyDescent="0.25">
      <c r="A476">
        <v>475</v>
      </c>
      <c r="B476">
        <v>62</v>
      </c>
      <c r="C476" t="s">
        <v>27</v>
      </c>
      <c r="D476" t="s">
        <v>127</v>
      </c>
      <c r="E476" t="s">
        <v>18</v>
      </c>
      <c r="F476" s="2">
        <v>76</v>
      </c>
      <c r="G476" t="s">
        <v>100</v>
      </c>
      <c r="H476" t="s">
        <v>20</v>
      </c>
      <c r="I476" t="s">
        <v>125</v>
      </c>
      <c r="J476" t="s">
        <v>57</v>
      </c>
      <c r="K476">
        <v>2.6</v>
      </c>
      <c r="L476" t="s">
        <v>34</v>
      </c>
      <c r="M476" t="s">
        <v>41</v>
      </c>
      <c r="N476" t="s">
        <v>34</v>
      </c>
      <c r="O476">
        <v>15</v>
      </c>
      <c r="P476" t="s">
        <v>25</v>
      </c>
      <c r="Q476" t="s">
        <v>37</v>
      </c>
      <c r="R476" s="1">
        <v>0.1</v>
      </c>
      <c r="S476">
        <f t="shared" si="28"/>
        <v>68.400000000000006</v>
      </c>
      <c r="T476">
        <f>IFERROR(VLOOKUP(A476,Table1[[Customer ID]:[Discount Amount]], 6, FALSE),"Not Found")</f>
        <v>76</v>
      </c>
      <c r="U476" t="str">
        <f t="shared" si="29"/>
        <v>Cash</v>
      </c>
      <c r="V476" s="4" t="str">
        <f t="shared" si="30"/>
        <v>Normal</v>
      </c>
      <c r="W476" s="4" t="str">
        <f t="shared" si="31"/>
        <v>Poor</v>
      </c>
      <c r="X476" s="4">
        <f>AVERAGE(Table1[Purchase Amount])</f>
        <v>129.48419400000012</v>
      </c>
    </row>
    <row r="477" spans="1:24" ht="15" customHeight="1" x14ac:dyDescent="0.25">
      <c r="A477">
        <v>476</v>
      </c>
      <c r="B477">
        <v>21</v>
      </c>
      <c r="C477" t="s">
        <v>27</v>
      </c>
      <c r="D477" t="s">
        <v>140</v>
      </c>
      <c r="E477" t="s">
        <v>98</v>
      </c>
      <c r="F477" s="2">
        <v>66</v>
      </c>
      <c r="G477" t="s">
        <v>90</v>
      </c>
      <c r="H477" t="s">
        <v>45</v>
      </c>
      <c r="I477" t="s">
        <v>87</v>
      </c>
      <c r="J477" t="s">
        <v>57</v>
      </c>
      <c r="K477">
        <v>2.7</v>
      </c>
      <c r="L477" t="s">
        <v>34</v>
      </c>
      <c r="M477" t="s">
        <v>35</v>
      </c>
      <c r="N477" t="s">
        <v>34</v>
      </c>
      <c r="O477">
        <v>18</v>
      </c>
      <c r="P477" t="s">
        <v>36</v>
      </c>
      <c r="Q477" t="s">
        <v>49</v>
      </c>
      <c r="R477" s="1">
        <v>0.1</v>
      </c>
      <c r="S477">
        <f t="shared" si="28"/>
        <v>59.4</v>
      </c>
      <c r="T477">
        <f>IFERROR(VLOOKUP(A477,Table1[[Customer ID]:[Discount Amount]], 6, FALSE),"Not Found")</f>
        <v>66</v>
      </c>
      <c r="U477" t="str">
        <f t="shared" si="29"/>
        <v>Debit Card</v>
      </c>
      <c r="V477" s="4" t="str">
        <f t="shared" si="30"/>
        <v>Normal</v>
      </c>
      <c r="W477" s="4" t="str">
        <f t="shared" si="31"/>
        <v>Poor</v>
      </c>
      <c r="X477" s="4">
        <f>AVERAGE(Table1[Purchase Amount])</f>
        <v>129.48419400000012</v>
      </c>
    </row>
    <row r="478" spans="1:24" ht="15" customHeight="1" x14ac:dyDescent="0.25">
      <c r="A478">
        <v>477</v>
      </c>
      <c r="B478">
        <v>21</v>
      </c>
      <c r="C478" t="s">
        <v>27</v>
      </c>
      <c r="D478" t="s">
        <v>129</v>
      </c>
      <c r="E478" t="s">
        <v>29</v>
      </c>
      <c r="F478" s="2">
        <v>90</v>
      </c>
      <c r="G478" t="s">
        <v>115</v>
      </c>
      <c r="H478" t="s">
        <v>31</v>
      </c>
      <c r="I478" t="s">
        <v>87</v>
      </c>
      <c r="J478" t="s">
        <v>33</v>
      </c>
      <c r="K478">
        <v>3.5</v>
      </c>
      <c r="L478" t="s">
        <v>34</v>
      </c>
      <c r="M478" t="s">
        <v>35</v>
      </c>
      <c r="N478" t="s">
        <v>34</v>
      </c>
      <c r="O478">
        <v>2</v>
      </c>
      <c r="P478" t="s">
        <v>36</v>
      </c>
      <c r="Q478" t="s">
        <v>89</v>
      </c>
      <c r="R478" s="1">
        <v>0.1</v>
      </c>
      <c r="S478">
        <f t="shared" si="28"/>
        <v>81</v>
      </c>
      <c r="T478">
        <f>IFERROR(VLOOKUP(A478,Table1[[Customer ID]:[Discount Amount]], 6, FALSE),"Not Found")</f>
        <v>90</v>
      </c>
      <c r="U478" t="str">
        <f t="shared" si="29"/>
        <v>Debit Card</v>
      </c>
      <c r="V478" s="4" t="str">
        <f t="shared" si="30"/>
        <v>Normal</v>
      </c>
      <c r="W478" s="4" t="str">
        <f t="shared" si="31"/>
        <v>Good</v>
      </c>
      <c r="X478" s="4">
        <f>AVERAGE(Table1[Purchase Amount])</f>
        <v>129.48419400000012</v>
      </c>
    </row>
    <row r="479" spans="1:24" ht="15" customHeight="1" x14ac:dyDescent="0.25">
      <c r="A479">
        <v>478</v>
      </c>
      <c r="B479">
        <v>42</v>
      </c>
      <c r="C479" t="s">
        <v>27</v>
      </c>
      <c r="D479" t="s">
        <v>127</v>
      </c>
      <c r="E479" t="s">
        <v>18</v>
      </c>
      <c r="F479" s="2">
        <v>56</v>
      </c>
      <c r="G479" t="s">
        <v>86</v>
      </c>
      <c r="H479" t="s">
        <v>31</v>
      </c>
      <c r="I479" t="s">
        <v>93</v>
      </c>
      <c r="J479" t="s">
        <v>57</v>
      </c>
      <c r="K479">
        <v>3.7</v>
      </c>
      <c r="L479" t="s">
        <v>34</v>
      </c>
      <c r="M479" t="s">
        <v>35</v>
      </c>
      <c r="N479" t="s">
        <v>34</v>
      </c>
      <c r="O479">
        <v>49</v>
      </c>
      <c r="P479" t="s">
        <v>36</v>
      </c>
      <c r="Q479" t="s">
        <v>26</v>
      </c>
      <c r="R479" s="1">
        <v>0.1</v>
      </c>
      <c r="S479">
        <f t="shared" si="28"/>
        <v>50.4</v>
      </c>
      <c r="T479">
        <f>IFERROR(VLOOKUP(A479,Table1[[Customer ID]:[Discount Amount]], 6, FALSE),"Not Found")</f>
        <v>56</v>
      </c>
      <c r="U479" t="str">
        <f t="shared" si="29"/>
        <v>Debit Card</v>
      </c>
      <c r="V479" s="4" t="str">
        <f t="shared" si="30"/>
        <v>Normal</v>
      </c>
      <c r="W479" s="4" t="str">
        <f t="shared" si="31"/>
        <v>Good</v>
      </c>
      <c r="X479" s="4">
        <f>AVERAGE(Table1[Purchase Amount])</f>
        <v>129.48419400000012</v>
      </c>
    </row>
    <row r="480" spans="1:24" ht="15" customHeight="1" x14ac:dyDescent="0.25">
      <c r="A480">
        <v>479</v>
      </c>
      <c r="B480">
        <v>35</v>
      </c>
      <c r="C480" t="s">
        <v>27</v>
      </c>
      <c r="D480" t="s">
        <v>50</v>
      </c>
      <c r="E480" t="s">
        <v>29</v>
      </c>
      <c r="F480" s="2">
        <v>43</v>
      </c>
      <c r="G480" t="s">
        <v>124</v>
      </c>
      <c r="H480" t="s">
        <v>20</v>
      </c>
      <c r="I480" t="s">
        <v>156</v>
      </c>
      <c r="J480" t="s">
        <v>22</v>
      </c>
      <c r="K480">
        <v>3.2</v>
      </c>
      <c r="L480" t="s">
        <v>34</v>
      </c>
      <c r="M480" t="s">
        <v>35</v>
      </c>
      <c r="N480" t="s">
        <v>34</v>
      </c>
      <c r="O480">
        <v>48</v>
      </c>
      <c r="P480" t="s">
        <v>62</v>
      </c>
      <c r="Q480" t="s">
        <v>49</v>
      </c>
      <c r="R480" s="1">
        <v>0.1</v>
      </c>
      <c r="S480">
        <f t="shared" si="28"/>
        <v>38.700000000000003</v>
      </c>
      <c r="T480">
        <f>IFERROR(VLOOKUP(A480,Table1[[Customer ID]:[Discount Amount]], 6, FALSE),"Not Found")</f>
        <v>43</v>
      </c>
      <c r="U480" t="str">
        <f t="shared" si="29"/>
        <v>Venmo</v>
      </c>
      <c r="V480" s="4" t="str">
        <f t="shared" si="30"/>
        <v>Normal</v>
      </c>
      <c r="W480" s="4" t="str">
        <f t="shared" si="31"/>
        <v>Good</v>
      </c>
      <c r="X480" s="4">
        <f>AVERAGE(Table1[Purchase Amount])</f>
        <v>129.48419400000012</v>
      </c>
    </row>
    <row r="481" spans="1:24" ht="15" customHeight="1" x14ac:dyDescent="0.25">
      <c r="A481">
        <v>480</v>
      </c>
      <c r="B481">
        <v>39</v>
      </c>
      <c r="C481" t="s">
        <v>27</v>
      </c>
      <c r="D481" t="s">
        <v>69</v>
      </c>
      <c r="E481" t="s">
        <v>29</v>
      </c>
      <c r="F481" s="2">
        <v>84</v>
      </c>
      <c r="G481" t="s">
        <v>141</v>
      </c>
      <c r="H481" t="s">
        <v>45</v>
      </c>
      <c r="I481" t="s">
        <v>52</v>
      </c>
      <c r="J481" t="s">
        <v>22</v>
      </c>
      <c r="K481">
        <v>3.3</v>
      </c>
      <c r="L481" t="s">
        <v>34</v>
      </c>
      <c r="M481" t="s">
        <v>48</v>
      </c>
      <c r="N481" t="s">
        <v>34</v>
      </c>
      <c r="O481">
        <v>43</v>
      </c>
      <c r="P481" t="s">
        <v>62</v>
      </c>
      <c r="Q481" t="s">
        <v>42</v>
      </c>
      <c r="R481" s="1">
        <v>0.1</v>
      </c>
      <c r="S481">
        <f t="shared" si="28"/>
        <v>75.599999999999994</v>
      </c>
      <c r="T481">
        <f>IFERROR(VLOOKUP(A481,Table1[[Customer ID]:[Discount Amount]], 6, FALSE),"Not Found")</f>
        <v>84</v>
      </c>
      <c r="U481" t="str">
        <f t="shared" si="29"/>
        <v>Venmo</v>
      </c>
      <c r="V481" s="4" t="str">
        <f t="shared" si="30"/>
        <v>Normal</v>
      </c>
      <c r="W481" s="4" t="str">
        <f t="shared" si="31"/>
        <v>Good</v>
      </c>
      <c r="X481" s="4">
        <f>AVERAGE(Table1[Purchase Amount])</f>
        <v>129.48419400000012</v>
      </c>
    </row>
    <row r="482" spans="1:24" ht="15" customHeight="1" x14ac:dyDescent="0.25">
      <c r="A482">
        <v>481</v>
      </c>
      <c r="B482">
        <v>68</v>
      </c>
      <c r="C482" t="s">
        <v>27</v>
      </c>
      <c r="D482" t="s">
        <v>83</v>
      </c>
      <c r="E482" t="s">
        <v>18</v>
      </c>
      <c r="F482" s="2">
        <v>88</v>
      </c>
      <c r="G482" t="s">
        <v>84</v>
      </c>
      <c r="H482" t="s">
        <v>31</v>
      </c>
      <c r="I482" t="s">
        <v>85</v>
      </c>
      <c r="J482" t="s">
        <v>57</v>
      </c>
      <c r="K482">
        <v>4.8</v>
      </c>
      <c r="L482" t="s">
        <v>34</v>
      </c>
      <c r="M482" t="s">
        <v>24</v>
      </c>
      <c r="N482" t="s">
        <v>34</v>
      </c>
      <c r="O482">
        <v>30</v>
      </c>
      <c r="P482" t="s">
        <v>36</v>
      </c>
      <c r="Q482" t="s">
        <v>68</v>
      </c>
      <c r="R482" s="1">
        <v>0.1</v>
      </c>
      <c r="S482">
        <f t="shared" si="28"/>
        <v>79.2</v>
      </c>
      <c r="T482">
        <f>IFERROR(VLOOKUP(A482,Table1[[Customer ID]:[Discount Amount]], 6, FALSE),"Not Found")</f>
        <v>88</v>
      </c>
      <c r="U482" t="str">
        <f t="shared" si="29"/>
        <v>Debit Card</v>
      </c>
      <c r="V482" s="4" t="str">
        <f t="shared" si="30"/>
        <v>Normal</v>
      </c>
      <c r="W482" s="4" t="str">
        <f t="shared" si="31"/>
        <v>Good</v>
      </c>
      <c r="X482" s="4">
        <f>AVERAGE(Table1[Purchase Amount])</f>
        <v>129.48419400000012</v>
      </c>
    </row>
    <row r="483" spans="1:24" ht="15" customHeight="1" x14ac:dyDescent="0.25">
      <c r="A483">
        <v>482</v>
      </c>
      <c r="B483">
        <v>46</v>
      </c>
      <c r="C483" t="s">
        <v>27</v>
      </c>
      <c r="D483" t="s">
        <v>64</v>
      </c>
      <c r="E483" t="s">
        <v>29</v>
      </c>
      <c r="F483" s="2">
        <v>88</v>
      </c>
      <c r="G483" t="s">
        <v>59</v>
      </c>
      <c r="H483" t="s">
        <v>45</v>
      </c>
      <c r="I483" t="s">
        <v>145</v>
      </c>
      <c r="J483" t="s">
        <v>47</v>
      </c>
      <c r="K483">
        <v>3.2</v>
      </c>
      <c r="L483" t="s">
        <v>34</v>
      </c>
      <c r="M483" t="s">
        <v>41</v>
      </c>
      <c r="N483" t="s">
        <v>34</v>
      </c>
      <c r="O483">
        <v>10</v>
      </c>
      <c r="P483" t="s">
        <v>58</v>
      </c>
      <c r="Q483" t="s">
        <v>89</v>
      </c>
      <c r="R483" s="1">
        <v>0.1</v>
      </c>
      <c r="S483">
        <f t="shared" si="28"/>
        <v>79.2</v>
      </c>
      <c r="T483">
        <f>IFERROR(VLOOKUP(A483,Table1[[Customer ID]:[Discount Amount]], 6, FALSE),"Not Found")</f>
        <v>88</v>
      </c>
      <c r="U483" t="str">
        <f t="shared" si="29"/>
        <v>PayPal</v>
      </c>
      <c r="V483" s="4" t="str">
        <f t="shared" si="30"/>
        <v>Normal</v>
      </c>
      <c r="W483" s="4" t="str">
        <f t="shared" si="31"/>
        <v>Good</v>
      </c>
      <c r="X483" s="4">
        <f>AVERAGE(Table1[Purchase Amount])</f>
        <v>129.48419400000012</v>
      </c>
    </row>
    <row r="484" spans="1:24" ht="15" customHeight="1" x14ac:dyDescent="0.25">
      <c r="A484">
        <v>483</v>
      </c>
      <c r="B484">
        <v>41</v>
      </c>
      <c r="C484" t="s">
        <v>27</v>
      </c>
      <c r="D484" t="s">
        <v>114</v>
      </c>
      <c r="E484" t="s">
        <v>29</v>
      </c>
      <c r="F484" s="2">
        <v>42</v>
      </c>
      <c r="G484" t="s">
        <v>115</v>
      </c>
      <c r="H484" t="s">
        <v>31</v>
      </c>
      <c r="I484" t="s">
        <v>52</v>
      </c>
      <c r="J484" t="s">
        <v>22</v>
      </c>
      <c r="K484">
        <v>2.5</v>
      </c>
      <c r="L484" t="s">
        <v>34</v>
      </c>
      <c r="M484" t="s">
        <v>41</v>
      </c>
      <c r="N484" t="s">
        <v>34</v>
      </c>
      <c r="O484">
        <v>11</v>
      </c>
      <c r="P484" t="s">
        <v>62</v>
      </c>
      <c r="Q484" t="s">
        <v>49</v>
      </c>
      <c r="R484" s="1">
        <v>0.1</v>
      </c>
      <c r="S484">
        <f t="shared" si="28"/>
        <v>37.799999999999997</v>
      </c>
      <c r="T484">
        <f>IFERROR(VLOOKUP(A484,Table1[[Customer ID]:[Discount Amount]], 6, FALSE),"Not Found")</f>
        <v>42</v>
      </c>
      <c r="U484" t="str">
        <f t="shared" si="29"/>
        <v>Venmo</v>
      </c>
      <c r="V484" s="4" t="str">
        <f t="shared" si="30"/>
        <v>Normal</v>
      </c>
      <c r="W484" s="4" t="str">
        <f t="shared" si="31"/>
        <v>Poor</v>
      </c>
      <c r="X484" s="4">
        <f>AVERAGE(Table1[Purchase Amount])</f>
        <v>129.48419400000012</v>
      </c>
    </row>
    <row r="485" spans="1:24" ht="15" customHeight="1" x14ac:dyDescent="0.25">
      <c r="A485">
        <v>484</v>
      </c>
      <c r="B485">
        <v>23</v>
      </c>
      <c r="C485" t="s">
        <v>27</v>
      </c>
      <c r="D485" t="s">
        <v>83</v>
      </c>
      <c r="E485" t="s">
        <v>18</v>
      </c>
      <c r="F485" s="2">
        <v>73</v>
      </c>
      <c r="G485" t="s">
        <v>142</v>
      </c>
      <c r="H485" t="s">
        <v>31</v>
      </c>
      <c r="I485" t="s">
        <v>32</v>
      </c>
      <c r="J485" t="s">
        <v>47</v>
      </c>
      <c r="K485">
        <v>3.9</v>
      </c>
      <c r="L485" t="s">
        <v>34</v>
      </c>
      <c r="M485" t="s">
        <v>48</v>
      </c>
      <c r="N485" t="s">
        <v>34</v>
      </c>
      <c r="O485">
        <v>12</v>
      </c>
      <c r="P485" t="s">
        <v>36</v>
      </c>
      <c r="Q485" t="s">
        <v>26</v>
      </c>
      <c r="R485" s="1">
        <v>0.1</v>
      </c>
      <c r="S485">
        <f t="shared" si="28"/>
        <v>65.7</v>
      </c>
      <c r="T485">
        <f>IFERROR(VLOOKUP(A485,Table1[[Customer ID]:[Discount Amount]], 6, FALSE),"Not Found")</f>
        <v>73</v>
      </c>
      <c r="U485" t="str">
        <f t="shared" si="29"/>
        <v>Debit Card</v>
      </c>
      <c r="V485" s="4" t="str">
        <f t="shared" si="30"/>
        <v>Normal</v>
      </c>
      <c r="W485" s="4" t="str">
        <f t="shared" si="31"/>
        <v>Good</v>
      </c>
      <c r="X485" s="4">
        <f>AVERAGE(Table1[Purchase Amount])</f>
        <v>129.48419400000012</v>
      </c>
    </row>
    <row r="486" spans="1:24" ht="15" customHeight="1" x14ac:dyDescent="0.25">
      <c r="A486">
        <v>485</v>
      </c>
      <c r="B486">
        <v>68</v>
      </c>
      <c r="C486" t="s">
        <v>27</v>
      </c>
      <c r="D486" t="s">
        <v>64</v>
      </c>
      <c r="E486" t="s">
        <v>29</v>
      </c>
      <c r="F486" s="2">
        <v>73</v>
      </c>
      <c r="G486" t="s">
        <v>146</v>
      </c>
      <c r="H486" t="s">
        <v>45</v>
      </c>
      <c r="I486" t="s">
        <v>107</v>
      </c>
      <c r="J486" t="s">
        <v>57</v>
      </c>
      <c r="K486">
        <v>4.7</v>
      </c>
      <c r="L486" t="s">
        <v>34</v>
      </c>
      <c r="M486" t="s">
        <v>35</v>
      </c>
      <c r="N486" t="s">
        <v>34</v>
      </c>
      <c r="O486">
        <v>28</v>
      </c>
      <c r="P486" t="s">
        <v>88</v>
      </c>
      <c r="Q486" t="s">
        <v>37</v>
      </c>
      <c r="R486" s="1">
        <v>0.1</v>
      </c>
      <c r="S486">
        <f t="shared" si="28"/>
        <v>65.7</v>
      </c>
      <c r="T486">
        <f>IFERROR(VLOOKUP(A486,Table1[[Customer ID]:[Discount Amount]], 6, FALSE),"Not Found")</f>
        <v>73</v>
      </c>
      <c r="U486" t="str">
        <f t="shared" si="29"/>
        <v>Bank Transfer</v>
      </c>
      <c r="V486" s="4" t="str">
        <f t="shared" si="30"/>
        <v>Normal</v>
      </c>
      <c r="W486" s="4" t="str">
        <f t="shared" si="31"/>
        <v>Good</v>
      </c>
      <c r="X486" s="4">
        <f>AVERAGE(Table1[Purchase Amount])</f>
        <v>129.48419400000012</v>
      </c>
    </row>
    <row r="487" spans="1:24" ht="15" customHeight="1" x14ac:dyDescent="0.25">
      <c r="A487">
        <v>486</v>
      </c>
      <c r="B487">
        <v>48</v>
      </c>
      <c r="C487" t="s">
        <v>27</v>
      </c>
      <c r="D487" t="s">
        <v>72</v>
      </c>
      <c r="E487" t="s">
        <v>98</v>
      </c>
      <c r="F487" s="2">
        <v>44</v>
      </c>
      <c r="G487" t="s">
        <v>65</v>
      </c>
      <c r="H487" t="s">
        <v>55</v>
      </c>
      <c r="I487" t="s">
        <v>74</v>
      </c>
      <c r="J487" t="s">
        <v>33</v>
      </c>
      <c r="K487">
        <v>2.6</v>
      </c>
      <c r="L487" t="s">
        <v>34</v>
      </c>
      <c r="M487" t="s">
        <v>79</v>
      </c>
      <c r="N487" t="s">
        <v>34</v>
      </c>
      <c r="O487">
        <v>36</v>
      </c>
      <c r="P487" t="s">
        <v>36</v>
      </c>
      <c r="Q487" t="s">
        <v>89</v>
      </c>
      <c r="R487" s="1">
        <v>0.1</v>
      </c>
      <c r="S487">
        <f t="shared" si="28"/>
        <v>39.6</v>
      </c>
      <c r="T487">
        <f>IFERROR(VLOOKUP(A487,Table1[[Customer ID]:[Discount Amount]], 6, FALSE),"Not Found")</f>
        <v>44</v>
      </c>
      <c r="U487" t="str">
        <f t="shared" si="29"/>
        <v>Debit Card</v>
      </c>
      <c r="V487" s="4" t="str">
        <f t="shared" si="30"/>
        <v>Normal</v>
      </c>
      <c r="W487" s="4" t="str">
        <f t="shared" si="31"/>
        <v>Poor</v>
      </c>
      <c r="X487" s="4">
        <f>AVERAGE(Table1[Purchase Amount])</f>
        <v>129.48419400000012</v>
      </c>
    </row>
    <row r="488" spans="1:24" ht="15" customHeight="1" x14ac:dyDescent="0.25">
      <c r="A488">
        <v>487</v>
      </c>
      <c r="B488">
        <v>38</v>
      </c>
      <c r="C488" t="s">
        <v>27</v>
      </c>
      <c r="D488" t="s">
        <v>121</v>
      </c>
      <c r="E488" t="s">
        <v>98</v>
      </c>
      <c r="F488" s="2">
        <v>63</v>
      </c>
      <c r="G488" t="s">
        <v>110</v>
      </c>
      <c r="H488" t="s">
        <v>31</v>
      </c>
      <c r="I488" t="s">
        <v>103</v>
      </c>
      <c r="J488" t="s">
        <v>47</v>
      </c>
      <c r="K488">
        <v>2.8</v>
      </c>
      <c r="L488" t="s">
        <v>34</v>
      </c>
      <c r="M488" t="s">
        <v>48</v>
      </c>
      <c r="N488" t="s">
        <v>34</v>
      </c>
      <c r="O488">
        <v>37</v>
      </c>
      <c r="P488" t="s">
        <v>62</v>
      </c>
      <c r="Q488" t="s">
        <v>63</v>
      </c>
      <c r="R488" s="1">
        <v>0.1</v>
      </c>
      <c r="S488">
        <f t="shared" si="28"/>
        <v>56.7</v>
      </c>
      <c r="T488">
        <f>IFERROR(VLOOKUP(A488,Table1[[Customer ID]:[Discount Amount]], 6, FALSE),"Not Found")</f>
        <v>63</v>
      </c>
      <c r="U488" t="str">
        <f t="shared" si="29"/>
        <v>Venmo</v>
      </c>
      <c r="V488" s="4" t="str">
        <f t="shared" si="30"/>
        <v>Normal</v>
      </c>
      <c r="W488" s="4" t="str">
        <f t="shared" si="31"/>
        <v>Poor</v>
      </c>
      <c r="X488" s="4">
        <f>AVERAGE(Table1[Purchase Amount])</f>
        <v>129.48419400000012</v>
      </c>
    </row>
    <row r="489" spans="1:24" ht="15" customHeight="1" x14ac:dyDescent="0.25">
      <c r="A489">
        <v>488</v>
      </c>
      <c r="B489">
        <v>41</v>
      </c>
      <c r="C489" t="s">
        <v>27</v>
      </c>
      <c r="D489" t="s">
        <v>96</v>
      </c>
      <c r="E489" t="s">
        <v>77</v>
      </c>
      <c r="F489" s="2">
        <v>68</v>
      </c>
      <c r="G489" t="s">
        <v>141</v>
      </c>
      <c r="H489" t="s">
        <v>45</v>
      </c>
      <c r="I489" t="s">
        <v>46</v>
      </c>
      <c r="J489" t="s">
        <v>22</v>
      </c>
      <c r="K489">
        <v>4.4000000000000004</v>
      </c>
      <c r="L489" t="s">
        <v>34</v>
      </c>
      <c r="M489" t="s">
        <v>48</v>
      </c>
      <c r="N489" t="s">
        <v>34</v>
      </c>
      <c r="O489">
        <v>22</v>
      </c>
      <c r="P489" t="s">
        <v>53</v>
      </c>
      <c r="Q489" t="s">
        <v>37</v>
      </c>
      <c r="R489" s="1">
        <v>0.1</v>
      </c>
      <c r="S489">
        <f t="shared" si="28"/>
        <v>61.2</v>
      </c>
      <c r="T489">
        <f>IFERROR(VLOOKUP(A489,Table1[[Customer ID]:[Discount Amount]], 6, FALSE),"Not Found")</f>
        <v>68</v>
      </c>
      <c r="U489" t="str">
        <f t="shared" si="29"/>
        <v>Credit Card</v>
      </c>
      <c r="V489" s="4" t="str">
        <f t="shared" si="30"/>
        <v>Normal</v>
      </c>
      <c r="W489" s="4" t="str">
        <f t="shared" si="31"/>
        <v>Good</v>
      </c>
      <c r="X489" s="4">
        <f>AVERAGE(Table1[Purchase Amount])</f>
        <v>129.48419400000012</v>
      </c>
    </row>
    <row r="490" spans="1:24" ht="15" customHeight="1" x14ac:dyDescent="0.25">
      <c r="A490">
        <v>489</v>
      </c>
      <c r="B490">
        <v>58</v>
      </c>
      <c r="C490" t="s">
        <v>27</v>
      </c>
      <c r="D490" t="s">
        <v>127</v>
      </c>
      <c r="E490" t="s">
        <v>18</v>
      </c>
      <c r="F490" s="2">
        <v>29</v>
      </c>
      <c r="G490" t="s">
        <v>94</v>
      </c>
      <c r="H490" t="s">
        <v>45</v>
      </c>
      <c r="I490" t="s">
        <v>21</v>
      </c>
      <c r="J490" t="s">
        <v>33</v>
      </c>
      <c r="K490">
        <v>4.5999999999999996</v>
      </c>
      <c r="L490" t="s">
        <v>34</v>
      </c>
      <c r="M490" t="s">
        <v>24</v>
      </c>
      <c r="N490" t="s">
        <v>34</v>
      </c>
      <c r="O490">
        <v>32</v>
      </c>
      <c r="P490" t="s">
        <v>62</v>
      </c>
      <c r="Q490" t="s">
        <v>26</v>
      </c>
      <c r="R490" s="1">
        <v>0.1</v>
      </c>
      <c r="S490">
        <f t="shared" si="28"/>
        <v>26.1</v>
      </c>
      <c r="T490">
        <f>IFERROR(VLOOKUP(A490,Table1[[Customer ID]:[Discount Amount]], 6, FALSE),"Not Found")</f>
        <v>29</v>
      </c>
      <c r="U490" t="str">
        <f t="shared" si="29"/>
        <v>Venmo</v>
      </c>
      <c r="V490" s="4" t="str">
        <f t="shared" si="30"/>
        <v>Normal</v>
      </c>
      <c r="W490" s="4" t="str">
        <f t="shared" si="31"/>
        <v>Good</v>
      </c>
      <c r="X490" s="4">
        <f>AVERAGE(Table1[Purchase Amount])</f>
        <v>129.48419400000012</v>
      </c>
    </row>
    <row r="491" spans="1:24" ht="15" customHeight="1" x14ac:dyDescent="0.25">
      <c r="A491">
        <v>490</v>
      </c>
      <c r="B491">
        <v>49</v>
      </c>
      <c r="C491" t="s">
        <v>27</v>
      </c>
      <c r="D491" t="s">
        <v>105</v>
      </c>
      <c r="E491" t="s">
        <v>18</v>
      </c>
      <c r="F491" s="2">
        <v>85</v>
      </c>
      <c r="G491" t="s">
        <v>130</v>
      </c>
      <c r="H491" t="s">
        <v>31</v>
      </c>
      <c r="I491" t="s">
        <v>93</v>
      </c>
      <c r="J491" t="s">
        <v>57</v>
      </c>
      <c r="K491">
        <v>3.2</v>
      </c>
      <c r="L491" t="s">
        <v>34</v>
      </c>
      <c r="M491" t="s">
        <v>24</v>
      </c>
      <c r="N491" t="s">
        <v>34</v>
      </c>
      <c r="O491">
        <v>40</v>
      </c>
      <c r="P491" t="s">
        <v>58</v>
      </c>
      <c r="Q491" t="s">
        <v>49</v>
      </c>
      <c r="R491" s="1">
        <v>0.1</v>
      </c>
      <c r="S491">
        <f t="shared" si="28"/>
        <v>76.5</v>
      </c>
      <c r="T491">
        <f>IFERROR(VLOOKUP(A491,Table1[[Customer ID]:[Discount Amount]], 6, FALSE),"Not Found")</f>
        <v>85</v>
      </c>
      <c r="U491" t="str">
        <f t="shared" si="29"/>
        <v>PayPal</v>
      </c>
      <c r="V491" s="4" t="str">
        <f t="shared" si="30"/>
        <v>Normal</v>
      </c>
      <c r="W491" s="4" t="str">
        <f t="shared" si="31"/>
        <v>Good</v>
      </c>
      <c r="X491" s="4">
        <f>AVERAGE(Table1[Purchase Amount])</f>
        <v>129.48419400000012</v>
      </c>
    </row>
    <row r="492" spans="1:24" ht="15" customHeight="1" x14ac:dyDescent="0.25">
      <c r="A492">
        <v>491</v>
      </c>
      <c r="B492">
        <v>57</v>
      </c>
      <c r="C492" t="s">
        <v>27</v>
      </c>
      <c r="D492" t="s">
        <v>140</v>
      </c>
      <c r="E492" t="s">
        <v>98</v>
      </c>
      <c r="F492" s="2">
        <v>42</v>
      </c>
      <c r="G492" t="s">
        <v>92</v>
      </c>
      <c r="H492" t="s">
        <v>31</v>
      </c>
      <c r="I492" t="s">
        <v>153</v>
      </c>
      <c r="J492" t="s">
        <v>22</v>
      </c>
      <c r="K492">
        <v>4.2</v>
      </c>
      <c r="L492" t="s">
        <v>34</v>
      </c>
      <c r="M492" t="s">
        <v>41</v>
      </c>
      <c r="N492" t="s">
        <v>34</v>
      </c>
      <c r="O492">
        <v>47</v>
      </c>
      <c r="P492" t="s">
        <v>25</v>
      </c>
      <c r="Q492" t="s">
        <v>42</v>
      </c>
      <c r="R492" s="1">
        <v>0.1</v>
      </c>
      <c r="S492">
        <f t="shared" si="28"/>
        <v>37.799999999999997</v>
      </c>
      <c r="T492">
        <f>IFERROR(VLOOKUP(A492,Table1[[Customer ID]:[Discount Amount]], 6, FALSE),"Not Found")</f>
        <v>42</v>
      </c>
      <c r="U492" t="str">
        <f t="shared" si="29"/>
        <v>Cash</v>
      </c>
      <c r="V492" s="4" t="str">
        <f t="shared" si="30"/>
        <v>Normal</v>
      </c>
      <c r="W492" s="4" t="str">
        <f t="shared" si="31"/>
        <v>Good</v>
      </c>
      <c r="X492" s="4">
        <f>AVERAGE(Table1[Purchase Amount])</f>
        <v>129.48419400000012</v>
      </c>
    </row>
    <row r="493" spans="1:24" ht="15" customHeight="1" x14ac:dyDescent="0.25">
      <c r="A493">
        <v>492</v>
      </c>
      <c r="B493">
        <v>49</v>
      </c>
      <c r="C493" t="s">
        <v>27</v>
      </c>
      <c r="D493" t="s">
        <v>76</v>
      </c>
      <c r="E493" t="s">
        <v>77</v>
      </c>
      <c r="F493" s="2">
        <v>69</v>
      </c>
      <c r="G493" t="s">
        <v>84</v>
      </c>
      <c r="H493" t="s">
        <v>31</v>
      </c>
      <c r="I493" t="s">
        <v>153</v>
      </c>
      <c r="J493" t="s">
        <v>57</v>
      </c>
      <c r="K493">
        <v>1</v>
      </c>
      <c r="L493" t="s">
        <v>34</v>
      </c>
      <c r="M493" t="s">
        <v>41</v>
      </c>
      <c r="N493" t="s">
        <v>34</v>
      </c>
      <c r="O493">
        <v>24</v>
      </c>
      <c r="P493" t="s">
        <v>53</v>
      </c>
      <c r="Q493" t="s">
        <v>68</v>
      </c>
      <c r="R493" s="1">
        <v>0.1</v>
      </c>
      <c r="S493">
        <f t="shared" si="28"/>
        <v>62.1</v>
      </c>
      <c r="T493">
        <f>IFERROR(VLOOKUP(A493,Table1[[Customer ID]:[Discount Amount]], 6, FALSE),"Not Found")</f>
        <v>69</v>
      </c>
      <c r="U493" t="str">
        <f t="shared" si="29"/>
        <v>Credit Card</v>
      </c>
      <c r="V493" s="4" t="str">
        <f t="shared" si="30"/>
        <v>Normal</v>
      </c>
      <c r="W493" s="4" t="str">
        <f t="shared" si="31"/>
        <v>Poor</v>
      </c>
      <c r="X493" s="4">
        <f>AVERAGE(Table1[Purchase Amount])</f>
        <v>129.48419400000012</v>
      </c>
    </row>
    <row r="494" spans="1:24" ht="15" customHeight="1" x14ac:dyDescent="0.25">
      <c r="A494">
        <v>493</v>
      </c>
      <c r="B494">
        <v>50</v>
      </c>
      <c r="C494" t="s">
        <v>27</v>
      </c>
      <c r="D494" t="s">
        <v>38</v>
      </c>
      <c r="E494" t="s">
        <v>18</v>
      </c>
      <c r="F494" s="2">
        <v>62</v>
      </c>
      <c r="G494" t="s">
        <v>113</v>
      </c>
      <c r="H494" t="s">
        <v>31</v>
      </c>
      <c r="I494" t="s">
        <v>40</v>
      </c>
      <c r="J494" t="s">
        <v>47</v>
      </c>
      <c r="K494">
        <v>3.9</v>
      </c>
      <c r="L494" t="s">
        <v>34</v>
      </c>
      <c r="M494" t="s">
        <v>24</v>
      </c>
      <c r="N494" t="s">
        <v>34</v>
      </c>
      <c r="O494">
        <v>11</v>
      </c>
      <c r="P494" t="s">
        <v>36</v>
      </c>
      <c r="Q494" t="s">
        <v>26</v>
      </c>
      <c r="R494" s="1">
        <v>0.1</v>
      </c>
      <c r="S494">
        <f t="shared" si="28"/>
        <v>55.8</v>
      </c>
      <c r="T494">
        <f>IFERROR(VLOOKUP(A494,Table1[[Customer ID]:[Discount Amount]], 6, FALSE),"Not Found")</f>
        <v>62</v>
      </c>
      <c r="U494" t="str">
        <f t="shared" si="29"/>
        <v>Debit Card</v>
      </c>
      <c r="V494" s="4" t="str">
        <f t="shared" si="30"/>
        <v>Normal</v>
      </c>
      <c r="W494" s="4" t="str">
        <f t="shared" si="31"/>
        <v>Good</v>
      </c>
      <c r="X494" s="4">
        <f>AVERAGE(Table1[Purchase Amount])</f>
        <v>129.48419400000012</v>
      </c>
    </row>
    <row r="495" spans="1:24" ht="15" customHeight="1" x14ac:dyDescent="0.25">
      <c r="A495">
        <v>494</v>
      </c>
      <c r="B495">
        <v>28</v>
      </c>
      <c r="C495" t="s">
        <v>27</v>
      </c>
      <c r="D495" t="s">
        <v>104</v>
      </c>
      <c r="E495" t="s">
        <v>29</v>
      </c>
      <c r="F495" s="2">
        <v>48</v>
      </c>
      <c r="G495" t="s">
        <v>158</v>
      </c>
      <c r="H495" t="s">
        <v>20</v>
      </c>
      <c r="I495" t="s">
        <v>46</v>
      </c>
      <c r="J495" t="s">
        <v>57</v>
      </c>
      <c r="K495">
        <v>4.7</v>
      </c>
      <c r="L495" t="s">
        <v>34</v>
      </c>
      <c r="M495" t="s">
        <v>48</v>
      </c>
      <c r="N495" t="s">
        <v>34</v>
      </c>
      <c r="O495">
        <v>19</v>
      </c>
      <c r="P495" t="s">
        <v>25</v>
      </c>
      <c r="Q495" t="s">
        <v>68</v>
      </c>
      <c r="R495" s="1">
        <v>0.1</v>
      </c>
      <c r="S495">
        <f t="shared" si="28"/>
        <v>43.2</v>
      </c>
      <c r="T495">
        <f>IFERROR(VLOOKUP(A495,Table1[[Customer ID]:[Discount Amount]], 6, FALSE),"Not Found")</f>
        <v>48</v>
      </c>
      <c r="U495" t="str">
        <f t="shared" si="29"/>
        <v>Cash</v>
      </c>
      <c r="V495" s="4" t="str">
        <f t="shared" si="30"/>
        <v>Normal</v>
      </c>
      <c r="W495" s="4" t="str">
        <f t="shared" si="31"/>
        <v>Good</v>
      </c>
      <c r="X495" s="4">
        <f>AVERAGE(Table1[Purchase Amount])</f>
        <v>129.48419400000012</v>
      </c>
    </row>
    <row r="496" spans="1:24" ht="15" customHeight="1" x14ac:dyDescent="0.25">
      <c r="A496">
        <v>495</v>
      </c>
      <c r="B496">
        <v>38</v>
      </c>
      <c r="C496" t="s">
        <v>27</v>
      </c>
      <c r="D496" t="s">
        <v>151</v>
      </c>
      <c r="E496" t="s">
        <v>98</v>
      </c>
      <c r="F496" s="2">
        <v>68</v>
      </c>
      <c r="G496" t="s">
        <v>102</v>
      </c>
      <c r="H496" t="s">
        <v>31</v>
      </c>
      <c r="I496" t="s">
        <v>91</v>
      </c>
      <c r="J496" t="s">
        <v>22</v>
      </c>
      <c r="K496">
        <v>4.5</v>
      </c>
      <c r="L496" t="s">
        <v>34</v>
      </c>
      <c r="M496" t="s">
        <v>61</v>
      </c>
      <c r="N496" t="s">
        <v>34</v>
      </c>
      <c r="O496">
        <v>42</v>
      </c>
      <c r="P496" t="s">
        <v>36</v>
      </c>
      <c r="Q496" t="s">
        <v>26</v>
      </c>
      <c r="R496" s="1">
        <v>0.1</v>
      </c>
      <c r="S496">
        <f t="shared" si="28"/>
        <v>61.2</v>
      </c>
      <c r="T496">
        <f>IFERROR(VLOOKUP(A496,Table1[[Customer ID]:[Discount Amount]], 6, FALSE),"Not Found")</f>
        <v>68</v>
      </c>
      <c r="U496" t="str">
        <f t="shared" si="29"/>
        <v>Debit Card</v>
      </c>
      <c r="V496" s="4" t="str">
        <f t="shared" si="30"/>
        <v>Normal</v>
      </c>
      <c r="W496" s="4" t="str">
        <f t="shared" si="31"/>
        <v>Good</v>
      </c>
      <c r="X496" s="4">
        <f>AVERAGE(Table1[Purchase Amount])</f>
        <v>129.48419400000012</v>
      </c>
    </row>
    <row r="497" spans="1:24" ht="15" customHeight="1" x14ac:dyDescent="0.25">
      <c r="A497">
        <v>496</v>
      </c>
      <c r="B497">
        <v>33</v>
      </c>
      <c r="C497" t="s">
        <v>27</v>
      </c>
      <c r="D497" t="s">
        <v>69</v>
      </c>
      <c r="E497" t="s">
        <v>29</v>
      </c>
      <c r="F497" s="2">
        <v>36</v>
      </c>
      <c r="G497" t="s">
        <v>113</v>
      </c>
      <c r="H497" t="s">
        <v>20</v>
      </c>
      <c r="I497" t="s">
        <v>128</v>
      </c>
      <c r="J497" t="s">
        <v>47</v>
      </c>
      <c r="K497">
        <v>3.3</v>
      </c>
      <c r="L497" t="s">
        <v>34</v>
      </c>
      <c r="M497" t="s">
        <v>35</v>
      </c>
      <c r="N497" t="s">
        <v>34</v>
      </c>
      <c r="O497">
        <v>6</v>
      </c>
      <c r="P497" t="s">
        <v>36</v>
      </c>
      <c r="Q497" t="s">
        <v>89</v>
      </c>
      <c r="R497" s="1">
        <v>0.1</v>
      </c>
      <c r="S497">
        <f t="shared" si="28"/>
        <v>32.4</v>
      </c>
      <c r="T497">
        <f>IFERROR(VLOOKUP(A497,Table1[[Customer ID]:[Discount Amount]], 6, FALSE),"Not Found")</f>
        <v>36</v>
      </c>
      <c r="U497" t="str">
        <f t="shared" si="29"/>
        <v>Debit Card</v>
      </c>
      <c r="V497" s="4" t="str">
        <f t="shared" si="30"/>
        <v>Normal</v>
      </c>
      <c r="W497" s="4" t="str">
        <f t="shared" si="31"/>
        <v>Good</v>
      </c>
      <c r="X497" s="4">
        <f>AVERAGE(Table1[Purchase Amount])</f>
        <v>129.48419400000012</v>
      </c>
    </row>
    <row r="498" spans="1:24" ht="15" customHeight="1" x14ac:dyDescent="0.25">
      <c r="A498">
        <v>497</v>
      </c>
      <c r="B498">
        <v>30</v>
      </c>
      <c r="C498" t="s">
        <v>27</v>
      </c>
      <c r="D498" t="s">
        <v>157</v>
      </c>
      <c r="E498" t="s">
        <v>18</v>
      </c>
      <c r="F498" s="2">
        <v>63</v>
      </c>
      <c r="G498" t="s">
        <v>19</v>
      </c>
      <c r="H498" t="s">
        <v>55</v>
      </c>
      <c r="I498" t="s">
        <v>125</v>
      </c>
      <c r="J498" t="s">
        <v>47</v>
      </c>
      <c r="K498">
        <v>3.3</v>
      </c>
      <c r="L498" t="s">
        <v>34</v>
      </c>
      <c r="M498" t="s">
        <v>61</v>
      </c>
      <c r="N498" t="s">
        <v>34</v>
      </c>
      <c r="O498">
        <v>31</v>
      </c>
      <c r="P498" t="s">
        <v>62</v>
      </c>
      <c r="Q498" t="s">
        <v>89</v>
      </c>
      <c r="R498" s="1">
        <v>0.1</v>
      </c>
      <c r="S498">
        <f t="shared" si="28"/>
        <v>56.7</v>
      </c>
      <c r="T498">
        <f>IFERROR(VLOOKUP(A498,Table1[[Customer ID]:[Discount Amount]], 6, FALSE),"Not Found")</f>
        <v>63</v>
      </c>
      <c r="U498" t="str">
        <f t="shared" si="29"/>
        <v>Venmo</v>
      </c>
      <c r="V498" s="4" t="str">
        <f t="shared" si="30"/>
        <v>Normal</v>
      </c>
      <c r="W498" s="4" t="str">
        <f t="shared" si="31"/>
        <v>Good</v>
      </c>
      <c r="X498" s="4">
        <f>AVERAGE(Table1[Purchase Amount])</f>
        <v>129.48419400000012</v>
      </c>
    </row>
    <row r="499" spans="1:24" ht="15" customHeight="1" x14ac:dyDescent="0.25">
      <c r="A499">
        <v>498</v>
      </c>
      <c r="B499">
        <v>43</v>
      </c>
      <c r="C499" t="s">
        <v>27</v>
      </c>
      <c r="D499" t="s">
        <v>140</v>
      </c>
      <c r="E499" t="s">
        <v>98</v>
      </c>
      <c r="F499" s="2">
        <v>39</v>
      </c>
      <c r="G499" t="s">
        <v>142</v>
      </c>
      <c r="H499" t="s">
        <v>55</v>
      </c>
      <c r="I499" t="s">
        <v>153</v>
      </c>
      <c r="J499" t="s">
        <v>22</v>
      </c>
      <c r="K499">
        <v>4.5999999999999996</v>
      </c>
      <c r="L499" t="s">
        <v>34</v>
      </c>
      <c r="M499" t="s">
        <v>35</v>
      </c>
      <c r="N499" t="s">
        <v>34</v>
      </c>
      <c r="O499">
        <v>31</v>
      </c>
      <c r="P499" t="s">
        <v>25</v>
      </c>
      <c r="Q499" t="s">
        <v>26</v>
      </c>
      <c r="R499" s="1">
        <v>0.1</v>
      </c>
      <c r="S499">
        <f t="shared" si="28"/>
        <v>35.1</v>
      </c>
      <c r="T499">
        <f>IFERROR(VLOOKUP(A499,Table1[[Customer ID]:[Discount Amount]], 6, FALSE),"Not Found")</f>
        <v>39</v>
      </c>
      <c r="U499" t="str">
        <f t="shared" si="29"/>
        <v>Cash</v>
      </c>
      <c r="V499" s="4" t="str">
        <f t="shared" si="30"/>
        <v>Normal</v>
      </c>
      <c r="W499" s="4" t="str">
        <f t="shared" si="31"/>
        <v>Good</v>
      </c>
      <c r="X499" s="4">
        <f>AVERAGE(Table1[Purchase Amount])</f>
        <v>129.48419400000012</v>
      </c>
    </row>
    <row r="500" spans="1:24" ht="15" customHeight="1" x14ac:dyDescent="0.25">
      <c r="A500">
        <v>499</v>
      </c>
      <c r="B500">
        <v>43</v>
      </c>
      <c r="C500" t="s">
        <v>27</v>
      </c>
      <c r="D500" t="s">
        <v>151</v>
      </c>
      <c r="E500" t="s">
        <v>98</v>
      </c>
      <c r="F500" s="2">
        <v>78</v>
      </c>
      <c r="G500" t="s">
        <v>141</v>
      </c>
      <c r="H500" t="s">
        <v>31</v>
      </c>
      <c r="I500" t="s">
        <v>107</v>
      </c>
      <c r="J500" t="s">
        <v>33</v>
      </c>
      <c r="K500">
        <v>3.6</v>
      </c>
      <c r="L500" t="s">
        <v>34</v>
      </c>
      <c r="M500" t="s">
        <v>35</v>
      </c>
      <c r="N500" t="s">
        <v>34</v>
      </c>
      <c r="O500">
        <v>27</v>
      </c>
      <c r="P500" t="s">
        <v>88</v>
      </c>
      <c r="Q500" t="s">
        <v>42</v>
      </c>
      <c r="R500" s="1">
        <v>0.1</v>
      </c>
      <c r="S500">
        <f t="shared" si="28"/>
        <v>70.2</v>
      </c>
      <c r="T500">
        <f>IFERROR(VLOOKUP(A500,Table1[[Customer ID]:[Discount Amount]], 6, FALSE),"Not Found")</f>
        <v>78</v>
      </c>
      <c r="U500" t="str">
        <f t="shared" si="29"/>
        <v>Bank Transfer</v>
      </c>
      <c r="V500" s="4" t="str">
        <f t="shared" si="30"/>
        <v>Normal</v>
      </c>
      <c r="W500" s="4" t="str">
        <f t="shared" si="31"/>
        <v>Good</v>
      </c>
      <c r="X500" s="4">
        <f>AVERAGE(Table1[Purchase Amount])</f>
        <v>129.48419400000012</v>
      </c>
    </row>
    <row r="501" spans="1:24" ht="15" customHeight="1" x14ac:dyDescent="0.25">
      <c r="A501">
        <v>500</v>
      </c>
      <c r="B501">
        <v>36</v>
      </c>
      <c r="C501" t="s">
        <v>27</v>
      </c>
      <c r="D501" t="s">
        <v>72</v>
      </c>
      <c r="E501" t="s">
        <v>98</v>
      </c>
      <c r="F501" s="2">
        <v>99</v>
      </c>
      <c r="G501" t="s">
        <v>159</v>
      </c>
      <c r="H501" t="s">
        <v>45</v>
      </c>
      <c r="I501" t="s">
        <v>153</v>
      </c>
      <c r="J501" t="s">
        <v>22</v>
      </c>
      <c r="K501">
        <v>4.8</v>
      </c>
      <c r="L501" t="s">
        <v>34</v>
      </c>
      <c r="M501" t="s">
        <v>61</v>
      </c>
      <c r="N501" t="s">
        <v>34</v>
      </c>
      <c r="O501">
        <v>24</v>
      </c>
      <c r="P501" t="s">
        <v>58</v>
      </c>
      <c r="Q501" t="s">
        <v>42</v>
      </c>
      <c r="R501" s="1">
        <v>0.1</v>
      </c>
      <c r="S501">
        <f t="shared" si="28"/>
        <v>89.1</v>
      </c>
      <c r="T501">
        <f>IFERROR(VLOOKUP(A501,Table1[[Customer ID]:[Discount Amount]], 6, FALSE),"Not Found")</f>
        <v>99</v>
      </c>
      <c r="U501" t="str">
        <f t="shared" si="29"/>
        <v>PayPal</v>
      </c>
      <c r="V501" s="4" t="str">
        <f t="shared" si="30"/>
        <v>Normal</v>
      </c>
      <c r="W501" s="4" t="str">
        <f t="shared" si="31"/>
        <v>Good</v>
      </c>
      <c r="X501" s="4">
        <f>AVERAGE(Table1[Purchase Amount])</f>
        <v>129.48419400000012</v>
      </c>
    </row>
    <row r="502" spans="1:24" ht="15" customHeight="1" x14ac:dyDescent="0.25">
      <c r="A502">
        <v>501</v>
      </c>
      <c r="B502">
        <v>36</v>
      </c>
      <c r="C502" t="s">
        <v>27</v>
      </c>
      <c r="D502" t="s">
        <v>17</v>
      </c>
      <c r="E502" t="s">
        <v>18</v>
      </c>
      <c r="F502" s="2">
        <v>31</v>
      </c>
      <c r="G502" t="s">
        <v>155</v>
      </c>
      <c r="H502" t="s">
        <v>45</v>
      </c>
      <c r="I502" t="s">
        <v>66</v>
      </c>
      <c r="J502" t="s">
        <v>47</v>
      </c>
      <c r="K502">
        <v>4.8</v>
      </c>
      <c r="L502" t="s">
        <v>34</v>
      </c>
      <c r="M502" t="s">
        <v>79</v>
      </c>
      <c r="N502" t="s">
        <v>34</v>
      </c>
      <c r="O502">
        <v>35</v>
      </c>
      <c r="P502" t="s">
        <v>62</v>
      </c>
      <c r="Q502" t="s">
        <v>63</v>
      </c>
      <c r="R502" s="1">
        <v>0.1</v>
      </c>
      <c r="S502">
        <f t="shared" si="28"/>
        <v>27.9</v>
      </c>
      <c r="T502">
        <f>IFERROR(VLOOKUP(A502,Table1[[Customer ID]:[Discount Amount]], 6, FALSE),"Not Found")</f>
        <v>31</v>
      </c>
      <c r="U502" t="str">
        <f t="shared" si="29"/>
        <v>Venmo</v>
      </c>
      <c r="V502" s="4" t="str">
        <f t="shared" si="30"/>
        <v>Normal</v>
      </c>
      <c r="W502" s="4" t="str">
        <f t="shared" si="31"/>
        <v>Good</v>
      </c>
      <c r="X502" s="4">
        <f>AVERAGE(Table1[Purchase Amount])</f>
        <v>129.48419400000012</v>
      </c>
    </row>
    <row r="503" spans="1:24" ht="15" customHeight="1" x14ac:dyDescent="0.25">
      <c r="A503">
        <v>502</v>
      </c>
      <c r="B503">
        <v>64</v>
      </c>
      <c r="C503" t="s">
        <v>27</v>
      </c>
      <c r="D503" t="s">
        <v>151</v>
      </c>
      <c r="E503" t="s">
        <v>98</v>
      </c>
      <c r="F503" s="2">
        <v>45</v>
      </c>
      <c r="G503" t="s">
        <v>67</v>
      </c>
      <c r="H503" t="s">
        <v>31</v>
      </c>
      <c r="I503" t="s">
        <v>128</v>
      </c>
      <c r="J503" t="s">
        <v>33</v>
      </c>
      <c r="K503">
        <v>2.9</v>
      </c>
      <c r="L503" t="s">
        <v>34</v>
      </c>
      <c r="M503" t="s">
        <v>79</v>
      </c>
      <c r="N503" t="s">
        <v>34</v>
      </c>
      <c r="O503">
        <v>21</v>
      </c>
      <c r="P503" t="s">
        <v>62</v>
      </c>
      <c r="Q503" t="s">
        <v>49</v>
      </c>
      <c r="R503" s="1">
        <v>0.1</v>
      </c>
      <c r="S503">
        <f t="shared" si="28"/>
        <v>40.5</v>
      </c>
      <c r="T503">
        <f>IFERROR(VLOOKUP(A503,Table1[[Customer ID]:[Discount Amount]], 6, FALSE),"Not Found")</f>
        <v>45</v>
      </c>
      <c r="U503" t="str">
        <f t="shared" si="29"/>
        <v>Venmo</v>
      </c>
      <c r="V503" s="4" t="str">
        <f t="shared" si="30"/>
        <v>Normal</v>
      </c>
      <c r="W503" s="4" t="str">
        <f t="shared" si="31"/>
        <v>Poor</v>
      </c>
      <c r="X503" s="4">
        <f>AVERAGE(Table1[Purchase Amount])</f>
        <v>129.48419400000012</v>
      </c>
    </row>
    <row r="504" spans="1:24" ht="15" customHeight="1" x14ac:dyDescent="0.25">
      <c r="A504">
        <v>503</v>
      </c>
      <c r="B504">
        <v>59</v>
      </c>
      <c r="C504" t="s">
        <v>27</v>
      </c>
      <c r="D504" t="s">
        <v>99</v>
      </c>
      <c r="E504" t="s">
        <v>18</v>
      </c>
      <c r="F504" s="2">
        <v>30</v>
      </c>
      <c r="G504" t="s">
        <v>30</v>
      </c>
      <c r="H504" t="s">
        <v>55</v>
      </c>
      <c r="I504" t="s">
        <v>128</v>
      </c>
      <c r="J504" t="s">
        <v>47</v>
      </c>
      <c r="K504">
        <v>2.8</v>
      </c>
      <c r="L504" t="s">
        <v>34</v>
      </c>
      <c r="M504" t="s">
        <v>61</v>
      </c>
      <c r="N504" t="s">
        <v>34</v>
      </c>
      <c r="O504">
        <v>8</v>
      </c>
      <c r="P504" t="s">
        <v>58</v>
      </c>
      <c r="Q504" t="s">
        <v>89</v>
      </c>
      <c r="R504" s="1">
        <v>0.1</v>
      </c>
      <c r="S504">
        <f t="shared" si="28"/>
        <v>27</v>
      </c>
      <c r="T504">
        <f>IFERROR(VLOOKUP(A504,Table1[[Customer ID]:[Discount Amount]], 6, FALSE),"Not Found")</f>
        <v>30</v>
      </c>
      <c r="U504" t="str">
        <f t="shared" si="29"/>
        <v>PayPal</v>
      </c>
      <c r="V504" s="4" t="str">
        <f t="shared" si="30"/>
        <v>Normal</v>
      </c>
      <c r="W504" s="4" t="str">
        <f t="shared" si="31"/>
        <v>Poor</v>
      </c>
      <c r="X504" s="4">
        <f>AVERAGE(Table1[Purchase Amount])</f>
        <v>129.48419400000012</v>
      </c>
    </row>
    <row r="505" spans="1:24" ht="15" customHeight="1" x14ac:dyDescent="0.25">
      <c r="A505">
        <v>504</v>
      </c>
      <c r="B505">
        <v>55</v>
      </c>
      <c r="C505" t="s">
        <v>27</v>
      </c>
      <c r="D505" t="s">
        <v>72</v>
      </c>
      <c r="E505" t="s">
        <v>98</v>
      </c>
      <c r="F505" s="2">
        <v>24</v>
      </c>
      <c r="G505" t="s">
        <v>154</v>
      </c>
      <c r="H505" t="s">
        <v>31</v>
      </c>
      <c r="I505" t="s">
        <v>107</v>
      </c>
      <c r="J505" t="s">
        <v>57</v>
      </c>
      <c r="K505">
        <v>3.2</v>
      </c>
      <c r="L505" t="s">
        <v>34</v>
      </c>
      <c r="M505" t="s">
        <v>79</v>
      </c>
      <c r="N505" t="s">
        <v>34</v>
      </c>
      <c r="O505">
        <v>26</v>
      </c>
      <c r="P505" t="s">
        <v>88</v>
      </c>
      <c r="Q505" t="s">
        <v>37</v>
      </c>
      <c r="R505" s="1">
        <v>0.1</v>
      </c>
      <c r="S505">
        <f t="shared" si="28"/>
        <v>21.6</v>
      </c>
      <c r="T505">
        <f>IFERROR(VLOOKUP(A505,Table1[[Customer ID]:[Discount Amount]], 6, FALSE),"Not Found")</f>
        <v>24</v>
      </c>
      <c r="U505" t="str">
        <f t="shared" si="29"/>
        <v>Bank Transfer</v>
      </c>
      <c r="V505" s="4" t="str">
        <f t="shared" si="30"/>
        <v>Normal</v>
      </c>
      <c r="W505" s="4" t="str">
        <f t="shared" si="31"/>
        <v>Good</v>
      </c>
      <c r="X505" s="4">
        <f>AVERAGE(Table1[Purchase Amount])</f>
        <v>129.48419400000012</v>
      </c>
    </row>
    <row r="506" spans="1:24" ht="15" customHeight="1" x14ac:dyDescent="0.25">
      <c r="A506">
        <v>505</v>
      </c>
      <c r="B506">
        <v>42</v>
      </c>
      <c r="C506" t="s">
        <v>27</v>
      </c>
      <c r="D506" t="s">
        <v>72</v>
      </c>
      <c r="E506" t="s">
        <v>98</v>
      </c>
      <c r="F506" s="2">
        <v>22</v>
      </c>
      <c r="G506" t="s">
        <v>146</v>
      </c>
      <c r="H506" t="s">
        <v>31</v>
      </c>
      <c r="I506" t="s">
        <v>125</v>
      </c>
      <c r="J506" t="s">
        <v>22</v>
      </c>
      <c r="K506">
        <v>3.9</v>
      </c>
      <c r="L506" t="s">
        <v>34</v>
      </c>
      <c r="M506" t="s">
        <v>35</v>
      </c>
      <c r="N506" t="s">
        <v>34</v>
      </c>
      <c r="O506">
        <v>26</v>
      </c>
      <c r="P506" t="s">
        <v>58</v>
      </c>
      <c r="Q506" t="s">
        <v>49</v>
      </c>
      <c r="R506" s="1">
        <v>0.1</v>
      </c>
      <c r="S506">
        <f t="shared" si="28"/>
        <v>19.8</v>
      </c>
      <c r="T506">
        <f>IFERROR(VLOOKUP(A506,Table1[[Customer ID]:[Discount Amount]], 6, FALSE),"Not Found")</f>
        <v>22</v>
      </c>
      <c r="U506" t="str">
        <f t="shared" si="29"/>
        <v>PayPal</v>
      </c>
      <c r="V506" s="4" t="str">
        <f t="shared" si="30"/>
        <v>Normal</v>
      </c>
      <c r="W506" s="4" t="str">
        <f t="shared" si="31"/>
        <v>Good</v>
      </c>
      <c r="X506" s="4">
        <f>AVERAGE(Table1[Purchase Amount])</f>
        <v>129.48419400000012</v>
      </c>
    </row>
    <row r="507" spans="1:24" ht="15" customHeight="1" x14ac:dyDescent="0.25">
      <c r="A507">
        <v>506</v>
      </c>
      <c r="B507">
        <v>61</v>
      </c>
      <c r="C507" t="s">
        <v>27</v>
      </c>
      <c r="D507" t="s">
        <v>17</v>
      </c>
      <c r="E507" t="s">
        <v>18</v>
      </c>
      <c r="F507" s="2">
        <v>63</v>
      </c>
      <c r="G507" t="s">
        <v>94</v>
      </c>
      <c r="H507" t="s">
        <v>45</v>
      </c>
      <c r="I507" t="s">
        <v>85</v>
      </c>
      <c r="J507" t="s">
        <v>33</v>
      </c>
      <c r="K507">
        <v>4.3</v>
      </c>
      <c r="L507" t="s">
        <v>34</v>
      </c>
      <c r="M507" t="s">
        <v>61</v>
      </c>
      <c r="N507" t="s">
        <v>34</v>
      </c>
      <c r="O507">
        <v>9</v>
      </c>
      <c r="P507" t="s">
        <v>25</v>
      </c>
      <c r="Q507" t="s">
        <v>68</v>
      </c>
      <c r="R507" s="1">
        <v>0.1</v>
      </c>
      <c r="S507">
        <f t="shared" si="28"/>
        <v>56.7</v>
      </c>
      <c r="T507">
        <f>IFERROR(VLOOKUP(A507,Table1[[Customer ID]:[Discount Amount]], 6, FALSE),"Not Found")</f>
        <v>63</v>
      </c>
      <c r="U507" t="str">
        <f t="shared" si="29"/>
        <v>Cash</v>
      </c>
      <c r="V507" s="4" t="str">
        <f t="shared" si="30"/>
        <v>Normal</v>
      </c>
      <c r="W507" s="4" t="str">
        <f t="shared" si="31"/>
        <v>Good</v>
      </c>
      <c r="X507" s="4">
        <f>AVERAGE(Table1[Purchase Amount])</f>
        <v>129.48419400000012</v>
      </c>
    </row>
    <row r="508" spans="1:24" ht="15" customHeight="1" x14ac:dyDescent="0.25">
      <c r="A508">
        <v>507</v>
      </c>
      <c r="B508">
        <v>28</v>
      </c>
      <c r="C508" t="s">
        <v>27</v>
      </c>
      <c r="D508" t="s">
        <v>129</v>
      </c>
      <c r="E508" t="s">
        <v>29</v>
      </c>
      <c r="F508" s="2">
        <v>40</v>
      </c>
      <c r="G508" t="s">
        <v>160</v>
      </c>
      <c r="H508" t="s">
        <v>31</v>
      </c>
      <c r="I508" t="s">
        <v>21</v>
      </c>
      <c r="J508" t="s">
        <v>47</v>
      </c>
      <c r="K508">
        <v>2.7</v>
      </c>
      <c r="L508" t="s">
        <v>34</v>
      </c>
      <c r="M508" t="s">
        <v>41</v>
      </c>
      <c r="N508" t="s">
        <v>34</v>
      </c>
      <c r="O508">
        <v>48</v>
      </c>
      <c r="P508" t="s">
        <v>36</v>
      </c>
      <c r="Q508" t="s">
        <v>49</v>
      </c>
      <c r="R508" s="1">
        <v>0.1</v>
      </c>
      <c r="S508">
        <f t="shared" si="28"/>
        <v>36</v>
      </c>
      <c r="T508">
        <f>IFERROR(VLOOKUP(A508,Table1[[Customer ID]:[Discount Amount]], 6, FALSE),"Not Found")</f>
        <v>40</v>
      </c>
      <c r="U508" t="str">
        <f t="shared" si="29"/>
        <v>Debit Card</v>
      </c>
      <c r="V508" s="4" t="str">
        <f t="shared" si="30"/>
        <v>Normal</v>
      </c>
      <c r="W508" s="4" t="str">
        <f t="shared" si="31"/>
        <v>Poor</v>
      </c>
      <c r="X508" s="4">
        <f>AVERAGE(Table1[Purchase Amount])</f>
        <v>129.48419400000012</v>
      </c>
    </row>
    <row r="509" spans="1:24" ht="15" customHeight="1" x14ac:dyDescent="0.25">
      <c r="A509">
        <v>508</v>
      </c>
      <c r="B509">
        <v>65</v>
      </c>
      <c r="C509" t="s">
        <v>27</v>
      </c>
      <c r="D509" t="s">
        <v>54</v>
      </c>
      <c r="E509" t="s">
        <v>18</v>
      </c>
      <c r="F509" s="2">
        <v>20</v>
      </c>
      <c r="G509" t="s">
        <v>94</v>
      </c>
      <c r="H509" t="s">
        <v>31</v>
      </c>
      <c r="I509" t="s">
        <v>87</v>
      </c>
      <c r="J509" t="s">
        <v>33</v>
      </c>
      <c r="K509">
        <v>5</v>
      </c>
      <c r="L509" t="s">
        <v>34</v>
      </c>
      <c r="M509" t="s">
        <v>48</v>
      </c>
      <c r="N509" t="s">
        <v>34</v>
      </c>
      <c r="O509">
        <v>33</v>
      </c>
      <c r="P509" t="s">
        <v>36</v>
      </c>
      <c r="Q509" t="s">
        <v>89</v>
      </c>
      <c r="R509" s="1">
        <v>0.1</v>
      </c>
      <c r="S509">
        <f t="shared" si="28"/>
        <v>18</v>
      </c>
      <c r="T509">
        <f>IFERROR(VLOOKUP(A509,Table1[[Customer ID]:[Discount Amount]], 6, FALSE),"Not Found")</f>
        <v>20</v>
      </c>
      <c r="U509" t="str">
        <f t="shared" si="29"/>
        <v>Debit Card</v>
      </c>
      <c r="V509" s="4" t="str">
        <f t="shared" si="30"/>
        <v>Normal</v>
      </c>
      <c r="W509" s="4" t="str">
        <f t="shared" si="31"/>
        <v>Good</v>
      </c>
      <c r="X509" s="4">
        <f>AVERAGE(Table1[Purchase Amount])</f>
        <v>129.48419400000012</v>
      </c>
    </row>
    <row r="510" spans="1:24" ht="15" customHeight="1" x14ac:dyDescent="0.25">
      <c r="A510">
        <v>509</v>
      </c>
      <c r="B510">
        <v>27</v>
      </c>
      <c r="C510" t="s">
        <v>27</v>
      </c>
      <c r="D510" t="s">
        <v>50</v>
      </c>
      <c r="E510" t="s">
        <v>29</v>
      </c>
      <c r="F510" s="2">
        <v>20</v>
      </c>
      <c r="G510" t="s">
        <v>44</v>
      </c>
      <c r="H510" t="s">
        <v>55</v>
      </c>
      <c r="I510" t="s">
        <v>52</v>
      </c>
      <c r="J510" t="s">
        <v>22</v>
      </c>
      <c r="K510">
        <v>3.7</v>
      </c>
      <c r="L510" t="s">
        <v>34</v>
      </c>
      <c r="M510" t="s">
        <v>48</v>
      </c>
      <c r="N510" t="s">
        <v>34</v>
      </c>
      <c r="O510">
        <v>31</v>
      </c>
      <c r="P510" t="s">
        <v>58</v>
      </c>
      <c r="Q510" t="s">
        <v>37</v>
      </c>
      <c r="R510" s="1">
        <v>0.1</v>
      </c>
      <c r="S510">
        <f t="shared" si="28"/>
        <v>18</v>
      </c>
      <c r="T510">
        <f>IFERROR(VLOOKUP(A510,Table1[[Customer ID]:[Discount Amount]], 6, FALSE),"Not Found")</f>
        <v>20</v>
      </c>
      <c r="U510" t="str">
        <f t="shared" si="29"/>
        <v>PayPal</v>
      </c>
      <c r="V510" s="4" t="str">
        <f t="shared" si="30"/>
        <v>Normal</v>
      </c>
      <c r="W510" s="4" t="str">
        <f t="shared" si="31"/>
        <v>Good</v>
      </c>
      <c r="X510" s="4">
        <f>AVERAGE(Table1[Purchase Amount])</f>
        <v>129.48419400000012</v>
      </c>
    </row>
    <row r="511" spans="1:24" ht="15" customHeight="1" x14ac:dyDescent="0.25">
      <c r="A511">
        <v>510</v>
      </c>
      <c r="B511">
        <v>41</v>
      </c>
      <c r="C511" t="s">
        <v>27</v>
      </c>
      <c r="D511" t="s">
        <v>17</v>
      </c>
      <c r="E511" t="s">
        <v>18</v>
      </c>
      <c r="F511" s="2">
        <v>80</v>
      </c>
      <c r="G511" t="s">
        <v>143</v>
      </c>
      <c r="H511" t="s">
        <v>45</v>
      </c>
      <c r="I511" t="s">
        <v>128</v>
      </c>
      <c r="J511" t="s">
        <v>57</v>
      </c>
      <c r="K511">
        <v>3.9</v>
      </c>
      <c r="L511" t="s">
        <v>34</v>
      </c>
      <c r="M511" t="s">
        <v>35</v>
      </c>
      <c r="N511" t="s">
        <v>34</v>
      </c>
      <c r="O511">
        <v>17</v>
      </c>
      <c r="P511" t="s">
        <v>36</v>
      </c>
      <c r="Q511" t="s">
        <v>26</v>
      </c>
      <c r="R511" s="1">
        <v>0.1</v>
      </c>
      <c r="S511">
        <f t="shared" si="28"/>
        <v>72</v>
      </c>
      <c r="T511">
        <f>IFERROR(VLOOKUP(A511,Table1[[Customer ID]:[Discount Amount]], 6, FALSE),"Not Found")</f>
        <v>80</v>
      </c>
      <c r="U511" t="str">
        <f t="shared" si="29"/>
        <v>Debit Card</v>
      </c>
      <c r="V511" s="4" t="str">
        <f t="shared" si="30"/>
        <v>Normal</v>
      </c>
      <c r="W511" s="4" t="str">
        <f t="shared" si="31"/>
        <v>Good</v>
      </c>
      <c r="X511" s="4">
        <f>AVERAGE(Table1[Purchase Amount])</f>
        <v>129.48419400000012</v>
      </c>
    </row>
    <row r="512" spans="1:24" ht="15" customHeight="1" x14ac:dyDescent="0.25">
      <c r="A512">
        <v>511</v>
      </c>
      <c r="B512">
        <v>21</v>
      </c>
      <c r="C512" t="s">
        <v>27</v>
      </c>
      <c r="D512" t="s">
        <v>38</v>
      </c>
      <c r="E512" t="s">
        <v>18</v>
      </c>
      <c r="F512" s="2">
        <v>87</v>
      </c>
      <c r="G512" t="s">
        <v>154</v>
      </c>
      <c r="H512" t="s">
        <v>31</v>
      </c>
      <c r="I512" t="s">
        <v>147</v>
      </c>
      <c r="J512" t="s">
        <v>47</v>
      </c>
      <c r="K512">
        <v>3.9</v>
      </c>
      <c r="L512" t="s">
        <v>34</v>
      </c>
      <c r="M512" t="s">
        <v>41</v>
      </c>
      <c r="N512" t="s">
        <v>34</v>
      </c>
      <c r="O512">
        <v>22</v>
      </c>
      <c r="P512" t="s">
        <v>62</v>
      </c>
      <c r="Q512" t="s">
        <v>49</v>
      </c>
      <c r="R512" s="1">
        <v>0.1</v>
      </c>
      <c r="S512">
        <f t="shared" si="28"/>
        <v>78.3</v>
      </c>
      <c r="T512">
        <f>IFERROR(VLOOKUP(A512,Table1[[Customer ID]:[Discount Amount]], 6, FALSE),"Not Found")</f>
        <v>87</v>
      </c>
      <c r="U512" t="str">
        <f t="shared" si="29"/>
        <v>Venmo</v>
      </c>
      <c r="V512" s="4" t="str">
        <f t="shared" si="30"/>
        <v>Normal</v>
      </c>
      <c r="W512" s="4" t="str">
        <f t="shared" si="31"/>
        <v>Good</v>
      </c>
      <c r="X512" s="4">
        <f>AVERAGE(Table1[Purchase Amount])</f>
        <v>129.48419400000012</v>
      </c>
    </row>
    <row r="513" spans="1:24" ht="15" customHeight="1" x14ac:dyDescent="0.25">
      <c r="A513">
        <v>512</v>
      </c>
      <c r="B513">
        <v>61</v>
      </c>
      <c r="C513" t="s">
        <v>27</v>
      </c>
      <c r="D513" t="s">
        <v>38</v>
      </c>
      <c r="E513" t="s">
        <v>18</v>
      </c>
      <c r="F513" s="2">
        <v>46</v>
      </c>
      <c r="G513" t="s">
        <v>135</v>
      </c>
      <c r="H513" t="s">
        <v>45</v>
      </c>
      <c r="I513" t="s">
        <v>52</v>
      </c>
      <c r="J513" t="s">
        <v>47</v>
      </c>
      <c r="K513">
        <v>3.1</v>
      </c>
      <c r="L513" t="s">
        <v>34</v>
      </c>
      <c r="M513" t="s">
        <v>35</v>
      </c>
      <c r="N513" t="s">
        <v>34</v>
      </c>
      <c r="O513">
        <v>8</v>
      </c>
      <c r="P513" t="s">
        <v>58</v>
      </c>
      <c r="Q513" t="s">
        <v>49</v>
      </c>
      <c r="R513" s="1">
        <v>0.1</v>
      </c>
      <c r="S513">
        <f t="shared" si="28"/>
        <v>41.4</v>
      </c>
      <c r="T513">
        <f>IFERROR(VLOOKUP(A513,Table1[[Customer ID]:[Discount Amount]], 6, FALSE),"Not Found")</f>
        <v>46</v>
      </c>
      <c r="U513" t="str">
        <f t="shared" si="29"/>
        <v>PayPal</v>
      </c>
      <c r="V513" s="4" t="str">
        <f t="shared" si="30"/>
        <v>Normal</v>
      </c>
      <c r="W513" s="4" t="str">
        <f t="shared" si="31"/>
        <v>Good</v>
      </c>
      <c r="X513" s="4">
        <f>AVERAGE(Table1[Purchase Amount])</f>
        <v>129.48419400000012</v>
      </c>
    </row>
    <row r="514" spans="1:24" ht="15" customHeight="1" x14ac:dyDescent="0.25">
      <c r="A514">
        <v>513</v>
      </c>
      <c r="B514">
        <v>19</v>
      </c>
      <c r="C514" t="s">
        <v>27</v>
      </c>
      <c r="D514" t="s">
        <v>43</v>
      </c>
      <c r="E514" t="s">
        <v>29</v>
      </c>
      <c r="F514" s="2">
        <v>49</v>
      </c>
      <c r="G514" t="s">
        <v>101</v>
      </c>
      <c r="H514" t="s">
        <v>45</v>
      </c>
      <c r="I514" t="s">
        <v>145</v>
      </c>
      <c r="J514" t="s">
        <v>22</v>
      </c>
      <c r="K514">
        <v>1</v>
      </c>
      <c r="L514" t="s">
        <v>34</v>
      </c>
      <c r="M514" t="s">
        <v>79</v>
      </c>
      <c r="N514" t="s">
        <v>34</v>
      </c>
      <c r="O514">
        <v>2</v>
      </c>
      <c r="P514" t="s">
        <v>88</v>
      </c>
      <c r="Q514" t="s">
        <v>42</v>
      </c>
      <c r="R514" s="1">
        <v>0.1</v>
      </c>
      <c r="S514">
        <f t="shared" ref="S514:S577" si="32">F514-(F514*R514)</f>
        <v>44.1</v>
      </c>
      <c r="T514">
        <f>IFERROR(VLOOKUP(A514,Table1[[Customer ID]:[Discount Amount]], 6, FALSE),"Not Found")</f>
        <v>49</v>
      </c>
      <c r="U514" t="str">
        <f t="shared" ref="U514:U577" si="33">INDEX(P:P, MATCH(A514, A:A, 0))</f>
        <v>Bank Transfer</v>
      </c>
      <c r="V514" s="4" t="str">
        <f t="shared" ref="V514:V577" si="34">IF(AND(F514&gt;1000,K514&gt;=4),"Best Customer","Normal")</f>
        <v>Normal</v>
      </c>
      <c r="W514" s="4" t="str">
        <f t="shared" ref="W514:W577" si="35">IF(K514&gt;=3,"Good","Poor")</f>
        <v>Poor</v>
      </c>
      <c r="X514" s="4">
        <f>AVERAGE(Table1[Purchase Amount])</f>
        <v>129.48419400000012</v>
      </c>
    </row>
    <row r="515" spans="1:24" ht="15" customHeight="1" x14ac:dyDescent="0.25">
      <c r="A515">
        <v>514</v>
      </c>
      <c r="B515">
        <v>22</v>
      </c>
      <c r="C515" t="s">
        <v>27</v>
      </c>
      <c r="D515" t="s">
        <v>129</v>
      </c>
      <c r="E515" t="s">
        <v>29</v>
      </c>
      <c r="F515" s="2">
        <v>65</v>
      </c>
      <c r="G515" t="s">
        <v>110</v>
      </c>
      <c r="H515" t="s">
        <v>31</v>
      </c>
      <c r="I515" t="s">
        <v>145</v>
      </c>
      <c r="J515" t="s">
        <v>47</v>
      </c>
      <c r="K515">
        <v>3.6</v>
      </c>
      <c r="L515" t="s">
        <v>34</v>
      </c>
      <c r="M515" t="s">
        <v>48</v>
      </c>
      <c r="N515" t="s">
        <v>34</v>
      </c>
      <c r="O515">
        <v>45</v>
      </c>
      <c r="P515" t="s">
        <v>62</v>
      </c>
      <c r="Q515" t="s">
        <v>49</v>
      </c>
      <c r="R515" s="1">
        <v>0.1</v>
      </c>
      <c r="S515">
        <f t="shared" si="32"/>
        <v>58.5</v>
      </c>
      <c r="T515">
        <f>IFERROR(VLOOKUP(A515,Table1[[Customer ID]:[Discount Amount]], 6, FALSE),"Not Found")</f>
        <v>65</v>
      </c>
      <c r="U515" t="str">
        <f t="shared" si="33"/>
        <v>Venmo</v>
      </c>
      <c r="V515" s="4" t="str">
        <f t="shared" si="34"/>
        <v>Normal</v>
      </c>
      <c r="W515" s="4" t="str">
        <f t="shared" si="35"/>
        <v>Good</v>
      </c>
      <c r="X515" s="4">
        <f>AVERAGE(Table1[Purchase Amount])</f>
        <v>129.48419400000012</v>
      </c>
    </row>
    <row r="516" spans="1:24" ht="15" customHeight="1" x14ac:dyDescent="0.25">
      <c r="A516">
        <v>515</v>
      </c>
      <c r="B516">
        <v>64</v>
      </c>
      <c r="C516" t="s">
        <v>27</v>
      </c>
      <c r="D516" t="s">
        <v>122</v>
      </c>
      <c r="E516" t="s">
        <v>18</v>
      </c>
      <c r="F516" s="2">
        <v>62</v>
      </c>
      <c r="G516" t="s">
        <v>102</v>
      </c>
      <c r="H516" t="s">
        <v>55</v>
      </c>
      <c r="I516" t="s">
        <v>21</v>
      </c>
      <c r="J516" t="s">
        <v>22</v>
      </c>
      <c r="K516">
        <v>4.3</v>
      </c>
      <c r="L516" t="s">
        <v>34</v>
      </c>
      <c r="M516" t="s">
        <v>24</v>
      </c>
      <c r="N516" t="s">
        <v>34</v>
      </c>
      <c r="O516">
        <v>47</v>
      </c>
      <c r="P516" t="s">
        <v>58</v>
      </c>
      <c r="Q516" t="s">
        <v>37</v>
      </c>
      <c r="R516" s="1">
        <v>0.1</v>
      </c>
      <c r="S516">
        <f t="shared" si="32"/>
        <v>55.8</v>
      </c>
      <c r="T516">
        <f>IFERROR(VLOOKUP(A516,Table1[[Customer ID]:[Discount Amount]], 6, FALSE),"Not Found")</f>
        <v>62</v>
      </c>
      <c r="U516" t="str">
        <f t="shared" si="33"/>
        <v>PayPal</v>
      </c>
      <c r="V516" s="4" t="str">
        <f t="shared" si="34"/>
        <v>Normal</v>
      </c>
      <c r="W516" s="4" t="str">
        <f t="shared" si="35"/>
        <v>Good</v>
      </c>
      <c r="X516" s="4">
        <f>AVERAGE(Table1[Purchase Amount])</f>
        <v>129.48419400000012</v>
      </c>
    </row>
    <row r="517" spans="1:24" ht="15" customHeight="1" x14ac:dyDescent="0.25">
      <c r="A517">
        <v>516</v>
      </c>
      <c r="B517">
        <v>28</v>
      </c>
      <c r="C517" t="s">
        <v>27</v>
      </c>
      <c r="D517" t="s">
        <v>64</v>
      </c>
      <c r="E517" t="s">
        <v>29</v>
      </c>
      <c r="F517" s="2">
        <v>67</v>
      </c>
      <c r="G517" t="s">
        <v>70</v>
      </c>
      <c r="H517" t="s">
        <v>45</v>
      </c>
      <c r="I517" t="s">
        <v>103</v>
      </c>
      <c r="J517" t="s">
        <v>33</v>
      </c>
      <c r="K517">
        <v>4.5</v>
      </c>
      <c r="L517" t="s">
        <v>34</v>
      </c>
      <c r="M517" t="s">
        <v>79</v>
      </c>
      <c r="N517" t="s">
        <v>34</v>
      </c>
      <c r="O517">
        <v>7</v>
      </c>
      <c r="P517" t="s">
        <v>25</v>
      </c>
      <c r="Q517" t="s">
        <v>42</v>
      </c>
      <c r="R517" s="1">
        <v>0.1</v>
      </c>
      <c r="S517">
        <f t="shared" si="32"/>
        <v>60.3</v>
      </c>
      <c r="T517">
        <f>IFERROR(VLOOKUP(A517,Table1[[Customer ID]:[Discount Amount]], 6, FALSE),"Not Found")</f>
        <v>67</v>
      </c>
      <c r="U517" t="str">
        <f t="shared" si="33"/>
        <v>Cash</v>
      </c>
      <c r="V517" s="4" t="str">
        <f t="shared" si="34"/>
        <v>Normal</v>
      </c>
      <c r="W517" s="4" t="str">
        <f t="shared" si="35"/>
        <v>Good</v>
      </c>
      <c r="X517" s="4">
        <f>AVERAGE(Table1[Purchase Amount])</f>
        <v>129.48419400000012</v>
      </c>
    </row>
    <row r="518" spans="1:24" ht="15" customHeight="1" x14ac:dyDescent="0.25">
      <c r="A518">
        <v>517</v>
      </c>
      <c r="B518">
        <v>34</v>
      </c>
      <c r="C518" t="s">
        <v>27</v>
      </c>
      <c r="D518" t="s">
        <v>83</v>
      </c>
      <c r="E518" t="s">
        <v>18</v>
      </c>
      <c r="F518" s="2">
        <v>41</v>
      </c>
      <c r="G518" t="s">
        <v>154</v>
      </c>
      <c r="H518" t="s">
        <v>45</v>
      </c>
      <c r="I518" t="s">
        <v>91</v>
      </c>
      <c r="J518" t="s">
        <v>47</v>
      </c>
      <c r="K518">
        <v>2.8</v>
      </c>
      <c r="L518" t="s">
        <v>34</v>
      </c>
      <c r="M518" t="s">
        <v>41</v>
      </c>
      <c r="N518" t="s">
        <v>34</v>
      </c>
      <c r="O518">
        <v>19</v>
      </c>
      <c r="P518" t="s">
        <v>36</v>
      </c>
      <c r="Q518" t="s">
        <v>68</v>
      </c>
      <c r="R518" s="1">
        <v>0.1</v>
      </c>
      <c r="S518">
        <f t="shared" si="32"/>
        <v>36.9</v>
      </c>
      <c r="T518">
        <f>IFERROR(VLOOKUP(A518,Table1[[Customer ID]:[Discount Amount]], 6, FALSE),"Not Found")</f>
        <v>41</v>
      </c>
      <c r="U518" t="str">
        <f t="shared" si="33"/>
        <v>Debit Card</v>
      </c>
      <c r="V518" s="4" t="str">
        <f t="shared" si="34"/>
        <v>Normal</v>
      </c>
      <c r="W518" s="4" t="str">
        <f t="shared" si="35"/>
        <v>Poor</v>
      </c>
      <c r="X518" s="4">
        <f>AVERAGE(Table1[Purchase Amount])</f>
        <v>129.48419400000012</v>
      </c>
    </row>
    <row r="519" spans="1:24" ht="15" customHeight="1" x14ac:dyDescent="0.25">
      <c r="A519">
        <v>518</v>
      </c>
      <c r="B519">
        <v>61</v>
      </c>
      <c r="C519" t="s">
        <v>27</v>
      </c>
      <c r="D519" t="s">
        <v>151</v>
      </c>
      <c r="E519" t="s">
        <v>98</v>
      </c>
      <c r="F519" s="2">
        <v>49</v>
      </c>
      <c r="G519" t="s">
        <v>86</v>
      </c>
      <c r="H519" t="s">
        <v>45</v>
      </c>
      <c r="I519" t="s">
        <v>153</v>
      </c>
      <c r="J519" t="s">
        <v>47</v>
      </c>
      <c r="K519">
        <v>2.7</v>
      </c>
      <c r="L519" t="s">
        <v>34</v>
      </c>
      <c r="M519" t="s">
        <v>35</v>
      </c>
      <c r="N519" t="s">
        <v>34</v>
      </c>
      <c r="O519">
        <v>44</v>
      </c>
      <c r="P519" t="s">
        <v>25</v>
      </c>
      <c r="Q519" t="s">
        <v>63</v>
      </c>
      <c r="R519" s="1">
        <v>0.1</v>
      </c>
      <c r="S519">
        <f t="shared" si="32"/>
        <v>44.1</v>
      </c>
      <c r="T519">
        <f>IFERROR(VLOOKUP(A519,Table1[[Customer ID]:[Discount Amount]], 6, FALSE),"Not Found")</f>
        <v>49</v>
      </c>
      <c r="U519" t="str">
        <f t="shared" si="33"/>
        <v>Cash</v>
      </c>
      <c r="V519" s="4" t="str">
        <f t="shared" si="34"/>
        <v>Normal</v>
      </c>
      <c r="W519" s="4" t="str">
        <f t="shared" si="35"/>
        <v>Poor</v>
      </c>
      <c r="X519" s="4">
        <f>AVERAGE(Table1[Purchase Amount])</f>
        <v>129.48419400000012</v>
      </c>
    </row>
    <row r="520" spans="1:24" ht="15" customHeight="1" x14ac:dyDescent="0.25">
      <c r="A520">
        <v>519</v>
      </c>
      <c r="B520">
        <v>24</v>
      </c>
      <c r="C520" t="s">
        <v>27</v>
      </c>
      <c r="D520" t="s">
        <v>118</v>
      </c>
      <c r="E520" t="s">
        <v>18</v>
      </c>
      <c r="F520" s="2">
        <v>100</v>
      </c>
      <c r="G520" t="s">
        <v>123</v>
      </c>
      <c r="H520" t="s">
        <v>31</v>
      </c>
      <c r="I520" t="s">
        <v>56</v>
      </c>
      <c r="J520" t="s">
        <v>47</v>
      </c>
      <c r="K520">
        <v>2.9</v>
      </c>
      <c r="L520" t="s">
        <v>34</v>
      </c>
      <c r="M520" t="s">
        <v>79</v>
      </c>
      <c r="N520" t="s">
        <v>34</v>
      </c>
      <c r="O520">
        <v>16</v>
      </c>
      <c r="P520" t="s">
        <v>62</v>
      </c>
      <c r="Q520" t="s">
        <v>63</v>
      </c>
      <c r="R520" s="1">
        <v>0.1</v>
      </c>
      <c r="S520">
        <f t="shared" si="32"/>
        <v>90</v>
      </c>
      <c r="T520">
        <f>IFERROR(VLOOKUP(A520,Table1[[Customer ID]:[Discount Amount]], 6, FALSE),"Not Found")</f>
        <v>100</v>
      </c>
      <c r="U520" t="str">
        <f t="shared" si="33"/>
        <v>Venmo</v>
      </c>
      <c r="V520" s="4" t="str">
        <f t="shared" si="34"/>
        <v>Normal</v>
      </c>
      <c r="W520" s="4" t="str">
        <f t="shared" si="35"/>
        <v>Poor</v>
      </c>
      <c r="X520" s="4">
        <f>AVERAGE(Table1[Purchase Amount])</f>
        <v>129.48419400000012</v>
      </c>
    </row>
    <row r="521" spans="1:24" ht="15" customHeight="1" x14ac:dyDescent="0.25">
      <c r="A521">
        <v>520</v>
      </c>
      <c r="B521">
        <v>19</v>
      </c>
      <c r="C521" t="s">
        <v>27</v>
      </c>
      <c r="D521" t="s">
        <v>114</v>
      </c>
      <c r="E521" t="s">
        <v>29</v>
      </c>
      <c r="F521" s="2">
        <v>54</v>
      </c>
      <c r="G521" t="s">
        <v>120</v>
      </c>
      <c r="H521" t="s">
        <v>45</v>
      </c>
      <c r="I521" t="s">
        <v>74</v>
      </c>
      <c r="J521" t="s">
        <v>57</v>
      </c>
      <c r="K521">
        <v>4.4000000000000004</v>
      </c>
      <c r="L521" t="s">
        <v>34</v>
      </c>
      <c r="M521" t="s">
        <v>41</v>
      </c>
      <c r="N521" t="s">
        <v>34</v>
      </c>
      <c r="O521">
        <v>17</v>
      </c>
      <c r="P521" t="s">
        <v>88</v>
      </c>
      <c r="Q521" t="s">
        <v>37</v>
      </c>
      <c r="R521" s="1">
        <v>0.1</v>
      </c>
      <c r="S521">
        <f t="shared" si="32"/>
        <v>48.6</v>
      </c>
      <c r="T521">
        <f>IFERROR(VLOOKUP(A521,Table1[[Customer ID]:[Discount Amount]], 6, FALSE),"Not Found")</f>
        <v>54</v>
      </c>
      <c r="U521" t="str">
        <f t="shared" si="33"/>
        <v>Bank Transfer</v>
      </c>
      <c r="V521" s="4" t="str">
        <f t="shared" si="34"/>
        <v>Normal</v>
      </c>
      <c r="W521" s="4" t="str">
        <f t="shared" si="35"/>
        <v>Good</v>
      </c>
      <c r="X521" s="4">
        <f>AVERAGE(Table1[Purchase Amount])</f>
        <v>129.48419400000012</v>
      </c>
    </row>
    <row r="522" spans="1:24" ht="15" customHeight="1" x14ac:dyDescent="0.25">
      <c r="A522">
        <v>521</v>
      </c>
      <c r="B522">
        <v>51</v>
      </c>
      <c r="C522" t="s">
        <v>27</v>
      </c>
      <c r="D522" t="s">
        <v>28</v>
      </c>
      <c r="E522" t="s">
        <v>29</v>
      </c>
      <c r="F522" s="2">
        <v>84</v>
      </c>
      <c r="G522" t="s">
        <v>30</v>
      </c>
      <c r="H522" t="s">
        <v>31</v>
      </c>
      <c r="I522" t="s">
        <v>32</v>
      </c>
      <c r="J522" t="s">
        <v>33</v>
      </c>
      <c r="K522">
        <v>3.9</v>
      </c>
      <c r="L522" t="s">
        <v>34</v>
      </c>
      <c r="M522" t="s">
        <v>35</v>
      </c>
      <c r="N522" t="s">
        <v>34</v>
      </c>
      <c r="O522">
        <v>20</v>
      </c>
      <c r="P522" t="s">
        <v>36</v>
      </c>
      <c r="Q522" t="s">
        <v>37</v>
      </c>
      <c r="R522" s="1">
        <v>0.1</v>
      </c>
      <c r="S522">
        <f t="shared" si="32"/>
        <v>75.599999999999994</v>
      </c>
      <c r="T522">
        <f>IFERROR(VLOOKUP(A522,Table1[[Customer ID]:[Discount Amount]], 6, FALSE),"Not Found")</f>
        <v>84</v>
      </c>
      <c r="U522" t="str">
        <f t="shared" si="33"/>
        <v>Debit Card</v>
      </c>
      <c r="V522" s="4" t="str">
        <f t="shared" si="34"/>
        <v>Normal</v>
      </c>
      <c r="W522" s="4" t="str">
        <f t="shared" si="35"/>
        <v>Good</v>
      </c>
      <c r="X522" s="4">
        <f>AVERAGE(Table1[Purchase Amount])</f>
        <v>129.48419400000012</v>
      </c>
    </row>
    <row r="523" spans="1:24" ht="15" customHeight="1" x14ac:dyDescent="0.25">
      <c r="A523">
        <v>522</v>
      </c>
      <c r="B523">
        <v>36</v>
      </c>
      <c r="C523" t="s">
        <v>27</v>
      </c>
      <c r="D523" t="s">
        <v>54</v>
      </c>
      <c r="E523" t="s">
        <v>18</v>
      </c>
      <c r="F523" s="2">
        <v>41</v>
      </c>
      <c r="G523" t="s">
        <v>84</v>
      </c>
      <c r="H523" t="s">
        <v>45</v>
      </c>
      <c r="I523" t="s">
        <v>133</v>
      </c>
      <c r="J523" t="s">
        <v>22</v>
      </c>
      <c r="K523">
        <v>3.5</v>
      </c>
      <c r="L523" t="s">
        <v>34</v>
      </c>
      <c r="M523" t="s">
        <v>24</v>
      </c>
      <c r="N523" t="s">
        <v>34</v>
      </c>
      <c r="O523">
        <v>50</v>
      </c>
      <c r="P523" t="s">
        <v>88</v>
      </c>
      <c r="Q523" t="s">
        <v>49</v>
      </c>
      <c r="R523" s="1">
        <v>0.1</v>
      </c>
      <c r="S523">
        <f t="shared" si="32"/>
        <v>36.9</v>
      </c>
      <c r="T523">
        <f>IFERROR(VLOOKUP(A523,Table1[[Customer ID]:[Discount Amount]], 6, FALSE),"Not Found")</f>
        <v>41</v>
      </c>
      <c r="U523" t="str">
        <f t="shared" si="33"/>
        <v>Bank Transfer</v>
      </c>
      <c r="V523" s="4" t="str">
        <f t="shared" si="34"/>
        <v>Normal</v>
      </c>
      <c r="W523" s="4" t="str">
        <f t="shared" si="35"/>
        <v>Good</v>
      </c>
      <c r="X523" s="4">
        <f>AVERAGE(Table1[Purchase Amount])</f>
        <v>129.48419400000012</v>
      </c>
    </row>
    <row r="524" spans="1:24" ht="15" customHeight="1" x14ac:dyDescent="0.25">
      <c r="A524">
        <v>523</v>
      </c>
      <c r="B524">
        <v>65</v>
      </c>
      <c r="C524" t="s">
        <v>27</v>
      </c>
      <c r="D524" t="s">
        <v>43</v>
      </c>
      <c r="E524" t="s">
        <v>29</v>
      </c>
      <c r="F524" s="2">
        <v>88</v>
      </c>
      <c r="G524" t="s">
        <v>120</v>
      </c>
      <c r="H524" t="s">
        <v>31</v>
      </c>
      <c r="I524" t="s">
        <v>74</v>
      </c>
      <c r="J524" t="s">
        <v>33</v>
      </c>
      <c r="K524">
        <v>2.5</v>
      </c>
      <c r="L524" t="s">
        <v>34</v>
      </c>
      <c r="M524" t="s">
        <v>48</v>
      </c>
      <c r="N524" t="s">
        <v>34</v>
      </c>
      <c r="O524">
        <v>37</v>
      </c>
      <c r="P524" t="s">
        <v>25</v>
      </c>
      <c r="Q524" t="s">
        <v>37</v>
      </c>
      <c r="R524" s="1">
        <v>0.1</v>
      </c>
      <c r="S524">
        <f t="shared" si="32"/>
        <v>79.2</v>
      </c>
      <c r="T524">
        <f>IFERROR(VLOOKUP(A524,Table1[[Customer ID]:[Discount Amount]], 6, FALSE),"Not Found")</f>
        <v>88</v>
      </c>
      <c r="U524" t="str">
        <f t="shared" si="33"/>
        <v>Cash</v>
      </c>
      <c r="V524" s="4" t="str">
        <f t="shared" si="34"/>
        <v>Normal</v>
      </c>
      <c r="W524" s="4" t="str">
        <f t="shared" si="35"/>
        <v>Poor</v>
      </c>
      <c r="X524" s="4">
        <f>AVERAGE(Table1[Purchase Amount])</f>
        <v>129.48419400000012</v>
      </c>
    </row>
    <row r="525" spans="1:24" ht="15" customHeight="1" x14ac:dyDescent="0.25">
      <c r="A525">
        <v>524</v>
      </c>
      <c r="B525">
        <v>46</v>
      </c>
      <c r="C525" t="s">
        <v>27</v>
      </c>
      <c r="D525" t="s">
        <v>121</v>
      </c>
      <c r="E525" t="s">
        <v>98</v>
      </c>
      <c r="F525" s="2">
        <v>40</v>
      </c>
      <c r="G525" t="s">
        <v>143</v>
      </c>
      <c r="H525" t="s">
        <v>31</v>
      </c>
      <c r="I525" t="s">
        <v>108</v>
      </c>
      <c r="J525" t="s">
        <v>33</v>
      </c>
      <c r="K525">
        <v>4.9000000000000004</v>
      </c>
      <c r="L525" t="s">
        <v>34</v>
      </c>
      <c r="M525" t="s">
        <v>61</v>
      </c>
      <c r="N525" t="s">
        <v>34</v>
      </c>
      <c r="O525">
        <v>5</v>
      </c>
      <c r="P525" t="s">
        <v>58</v>
      </c>
      <c r="Q525" t="s">
        <v>37</v>
      </c>
      <c r="R525" s="1">
        <v>0.1</v>
      </c>
      <c r="S525">
        <f t="shared" si="32"/>
        <v>36</v>
      </c>
      <c r="T525">
        <f>IFERROR(VLOOKUP(A525,Table1[[Customer ID]:[Discount Amount]], 6, FALSE),"Not Found")</f>
        <v>40</v>
      </c>
      <c r="U525" t="str">
        <f t="shared" si="33"/>
        <v>PayPal</v>
      </c>
      <c r="V525" s="4" t="str">
        <f t="shared" si="34"/>
        <v>Normal</v>
      </c>
      <c r="W525" s="4" t="str">
        <f t="shared" si="35"/>
        <v>Good</v>
      </c>
      <c r="X525" s="4">
        <f>AVERAGE(Table1[Purchase Amount])</f>
        <v>129.48419400000012</v>
      </c>
    </row>
    <row r="526" spans="1:24" ht="15" customHeight="1" x14ac:dyDescent="0.25">
      <c r="A526">
        <v>525</v>
      </c>
      <c r="B526">
        <v>59</v>
      </c>
      <c r="C526" t="s">
        <v>27</v>
      </c>
      <c r="D526" t="s">
        <v>38</v>
      </c>
      <c r="E526" t="s">
        <v>18</v>
      </c>
      <c r="F526" s="2">
        <v>39</v>
      </c>
      <c r="G526" t="s">
        <v>78</v>
      </c>
      <c r="H526" t="s">
        <v>31</v>
      </c>
      <c r="I526" t="s">
        <v>133</v>
      </c>
      <c r="J526" t="s">
        <v>57</v>
      </c>
      <c r="K526">
        <v>4.8</v>
      </c>
      <c r="L526" t="s">
        <v>34</v>
      </c>
      <c r="M526" t="s">
        <v>35</v>
      </c>
      <c r="N526" t="s">
        <v>34</v>
      </c>
      <c r="O526">
        <v>44</v>
      </c>
      <c r="P526" t="s">
        <v>58</v>
      </c>
      <c r="Q526" t="s">
        <v>49</v>
      </c>
      <c r="R526" s="1">
        <v>0.1</v>
      </c>
      <c r="S526">
        <f t="shared" si="32"/>
        <v>35.1</v>
      </c>
      <c r="T526">
        <f>IFERROR(VLOOKUP(A526,Table1[[Customer ID]:[Discount Amount]], 6, FALSE),"Not Found")</f>
        <v>39</v>
      </c>
      <c r="U526" t="str">
        <f t="shared" si="33"/>
        <v>PayPal</v>
      </c>
      <c r="V526" s="4" t="str">
        <f t="shared" si="34"/>
        <v>Normal</v>
      </c>
      <c r="W526" s="4" t="str">
        <f t="shared" si="35"/>
        <v>Good</v>
      </c>
      <c r="X526" s="4">
        <f>AVERAGE(Table1[Purchase Amount])</f>
        <v>129.48419400000012</v>
      </c>
    </row>
    <row r="527" spans="1:24" ht="15" customHeight="1" x14ac:dyDescent="0.25">
      <c r="A527">
        <v>526</v>
      </c>
      <c r="B527">
        <v>51</v>
      </c>
      <c r="C527" t="s">
        <v>27</v>
      </c>
      <c r="D527" t="s">
        <v>76</v>
      </c>
      <c r="E527" t="s">
        <v>77</v>
      </c>
      <c r="F527" s="2">
        <v>37</v>
      </c>
      <c r="G527" t="s">
        <v>141</v>
      </c>
      <c r="H527" t="s">
        <v>31</v>
      </c>
      <c r="I527" t="s">
        <v>128</v>
      </c>
      <c r="J527" t="s">
        <v>33</v>
      </c>
      <c r="K527">
        <v>3.2</v>
      </c>
      <c r="L527" t="s">
        <v>34</v>
      </c>
      <c r="M527" t="s">
        <v>79</v>
      </c>
      <c r="N527" t="s">
        <v>34</v>
      </c>
      <c r="O527">
        <v>41</v>
      </c>
      <c r="P527" t="s">
        <v>36</v>
      </c>
      <c r="Q527" t="s">
        <v>42</v>
      </c>
      <c r="R527" s="1">
        <v>0.1</v>
      </c>
      <c r="S527">
        <f t="shared" si="32"/>
        <v>33.299999999999997</v>
      </c>
      <c r="T527">
        <f>IFERROR(VLOOKUP(A527,Table1[[Customer ID]:[Discount Amount]], 6, FALSE),"Not Found")</f>
        <v>37</v>
      </c>
      <c r="U527" t="str">
        <f t="shared" si="33"/>
        <v>Debit Card</v>
      </c>
      <c r="V527" s="4" t="str">
        <f t="shared" si="34"/>
        <v>Normal</v>
      </c>
      <c r="W527" s="4" t="str">
        <f t="shared" si="35"/>
        <v>Good</v>
      </c>
      <c r="X527" s="4">
        <f>AVERAGE(Table1[Purchase Amount])</f>
        <v>129.48419400000012</v>
      </c>
    </row>
    <row r="528" spans="1:24" ht="15" customHeight="1" x14ac:dyDescent="0.25">
      <c r="A528">
        <v>527</v>
      </c>
      <c r="B528">
        <v>51</v>
      </c>
      <c r="C528" t="s">
        <v>27</v>
      </c>
      <c r="D528" t="s">
        <v>99</v>
      </c>
      <c r="E528" t="s">
        <v>18</v>
      </c>
      <c r="F528" s="2">
        <v>52</v>
      </c>
      <c r="G528" t="s">
        <v>131</v>
      </c>
      <c r="H528" t="s">
        <v>55</v>
      </c>
      <c r="I528" t="s">
        <v>46</v>
      </c>
      <c r="J528" t="s">
        <v>22</v>
      </c>
      <c r="K528">
        <v>4.9000000000000004</v>
      </c>
      <c r="L528" t="s">
        <v>34</v>
      </c>
      <c r="M528" t="s">
        <v>24</v>
      </c>
      <c r="N528" t="s">
        <v>34</v>
      </c>
      <c r="O528">
        <v>19</v>
      </c>
      <c r="P528" t="s">
        <v>25</v>
      </c>
      <c r="Q528" t="s">
        <v>42</v>
      </c>
      <c r="R528" s="1">
        <v>0.1</v>
      </c>
      <c r="S528">
        <f t="shared" si="32"/>
        <v>46.8</v>
      </c>
      <c r="T528">
        <f>IFERROR(VLOOKUP(A528,Table1[[Customer ID]:[Discount Amount]], 6, FALSE),"Not Found")</f>
        <v>52</v>
      </c>
      <c r="U528" t="str">
        <f t="shared" si="33"/>
        <v>Cash</v>
      </c>
      <c r="V528" s="4" t="str">
        <f t="shared" si="34"/>
        <v>Normal</v>
      </c>
      <c r="W528" s="4" t="str">
        <f t="shared" si="35"/>
        <v>Good</v>
      </c>
      <c r="X528" s="4">
        <f>AVERAGE(Table1[Purchase Amount])</f>
        <v>129.48419400000012</v>
      </c>
    </row>
    <row r="529" spans="1:24" ht="15" customHeight="1" x14ac:dyDescent="0.25">
      <c r="A529">
        <v>528</v>
      </c>
      <c r="B529">
        <v>21</v>
      </c>
      <c r="C529" t="s">
        <v>27</v>
      </c>
      <c r="D529" t="s">
        <v>17</v>
      </c>
      <c r="E529" t="s">
        <v>18</v>
      </c>
      <c r="F529" s="2">
        <v>23</v>
      </c>
      <c r="G529" t="s">
        <v>30</v>
      </c>
      <c r="H529" t="s">
        <v>45</v>
      </c>
      <c r="I529" t="s">
        <v>52</v>
      </c>
      <c r="J529" t="s">
        <v>22</v>
      </c>
      <c r="K529">
        <v>4.3</v>
      </c>
      <c r="L529" t="s">
        <v>34</v>
      </c>
      <c r="M529" t="s">
        <v>79</v>
      </c>
      <c r="N529" t="s">
        <v>34</v>
      </c>
      <c r="O529">
        <v>47</v>
      </c>
      <c r="P529" t="s">
        <v>88</v>
      </c>
      <c r="Q529" t="s">
        <v>63</v>
      </c>
      <c r="R529" s="1">
        <v>0.1</v>
      </c>
      <c r="S529">
        <f t="shared" si="32"/>
        <v>20.7</v>
      </c>
      <c r="T529">
        <f>IFERROR(VLOOKUP(A529,Table1[[Customer ID]:[Discount Amount]], 6, FALSE),"Not Found")</f>
        <v>23</v>
      </c>
      <c r="U529" t="str">
        <f t="shared" si="33"/>
        <v>Bank Transfer</v>
      </c>
      <c r="V529" s="4" t="str">
        <f t="shared" si="34"/>
        <v>Normal</v>
      </c>
      <c r="W529" s="4" t="str">
        <f t="shared" si="35"/>
        <v>Good</v>
      </c>
      <c r="X529" s="4">
        <f>AVERAGE(Table1[Purchase Amount])</f>
        <v>129.48419400000012</v>
      </c>
    </row>
    <row r="530" spans="1:24" ht="15" customHeight="1" x14ac:dyDescent="0.25">
      <c r="A530">
        <v>529</v>
      </c>
      <c r="B530">
        <v>34</v>
      </c>
      <c r="C530" t="s">
        <v>27</v>
      </c>
      <c r="D530" t="s">
        <v>140</v>
      </c>
      <c r="E530" t="s">
        <v>98</v>
      </c>
      <c r="F530" s="2">
        <v>88</v>
      </c>
      <c r="G530" t="s">
        <v>106</v>
      </c>
      <c r="H530" t="s">
        <v>55</v>
      </c>
      <c r="I530" t="s">
        <v>56</v>
      </c>
      <c r="J530" t="s">
        <v>22</v>
      </c>
      <c r="K530">
        <v>3.2</v>
      </c>
      <c r="L530" t="s">
        <v>34</v>
      </c>
      <c r="M530" t="s">
        <v>61</v>
      </c>
      <c r="N530" t="s">
        <v>34</v>
      </c>
      <c r="O530">
        <v>40</v>
      </c>
      <c r="P530" t="s">
        <v>25</v>
      </c>
      <c r="Q530" t="s">
        <v>49</v>
      </c>
      <c r="R530" s="1">
        <v>0.1</v>
      </c>
      <c r="S530">
        <f t="shared" si="32"/>
        <v>79.2</v>
      </c>
      <c r="T530">
        <f>IFERROR(VLOOKUP(A530,Table1[[Customer ID]:[Discount Amount]], 6, FALSE),"Not Found")</f>
        <v>88</v>
      </c>
      <c r="U530" t="str">
        <f t="shared" si="33"/>
        <v>Cash</v>
      </c>
      <c r="V530" s="4" t="str">
        <f t="shared" si="34"/>
        <v>Normal</v>
      </c>
      <c r="W530" s="4" t="str">
        <f t="shared" si="35"/>
        <v>Good</v>
      </c>
      <c r="X530" s="4">
        <f>AVERAGE(Table1[Purchase Amount])</f>
        <v>129.48419400000012</v>
      </c>
    </row>
    <row r="531" spans="1:24" ht="15" customHeight="1" x14ac:dyDescent="0.25">
      <c r="A531">
        <v>530</v>
      </c>
      <c r="B531">
        <v>32</v>
      </c>
      <c r="C531" t="s">
        <v>27</v>
      </c>
      <c r="D531" t="s">
        <v>54</v>
      </c>
      <c r="E531" t="s">
        <v>18</v>
      </c>
      <c r="F531" s="2">
        <v>84</v>
      </c>
      <c r="G531" t="s">
        <v>19</v>
      </c>
      <c r="H531" t="s">
        <v>31</v>
      </c>
      <c r="I531" t="s">
        <v>108</v>
      </c>
      <c r="J531" t="s">
        <v>47</v>
      </c>
      <c r="K531">
        <v>3.7</v>
      </c>
      <c r="L531" t="s">
        <v>34</v>
      </c>
      <c r="M531" t="s">
        <v>24</v>
      </c>
      <c r="N531" t="s">
        <v>34</v>
      </c>
      <c r="O531">
        <v>6</v>
      </c>
      <c r="P531" t="s">
        <v>53</v>
      </c>
      <c r="Q531" t="s">
        <v>42</v>
      </c>
      <c r="R531" s="1">
        <v>0.1</v>
      </c>
      <c r="S531">
        <f t="shared" si="32"/>
        <v>75.599999999999994</v>
      </c>
      <c r="T531">
        <f>IFERROR(VLOOKUP(A531,Table1[[Customer ID]:[Discount Amount]], 6, FALSE),"Not Found")</f>
        <v>84</v>
      </c>
      <c r="U531" t="str">
        <f t="shared" si="33"/>
        <v>Credit Card</v>
      </c>
      <c r="V531" s="4" t="str">
        <f t="shared" si="34"/>
        <v>Normal</v>
      </c>
      <c r="W531" s="4" t="str">
        <f t="shared" si="35"/>
        <v>Good</v>
      </c>
      <c r="X531" s="4">
        <f>AVERAGE(Table1[Purchase Amount])</f>
        <v>129.48419400000012</v>
      </c>
    </row>
    <row r="532" spans="1:24" ht="15" customHeight="1" x14ac:dyDescent="0.25">
      <c r="A532">
        <v>531</v>
      </c>
      <c r="B532">
        <v>48</v>
      </c>
      <c r="C532" t="s">
        <v>27</v>
      </c>
      <c r="D532" t="s">
        <v>76</v>
      </c>
      <c r="E532" t="s">
        <v>77</v>
      </c>
      <c r="F532" s="2">
        <v>37</v>
      </c>
      <c r="G532" t="s">
        <v>39</v>
      </c>
      <c r="H532" t="s">
        <v>20</v>
      </c>
      <c r="I532" t="s">
        <v>87</v>
      </c>
      <c r="J532" t="s">
        <v>22</v>
      </c>
      <c r="K532">
        <v>3.2</v>
      </c>
      <c r="L532" t="s">
        <v>34</v>
      </c>
      <c r="M532" t="s">
        <v>48</v>
      </c>
      <c r="N532" t="s">
        <v>34</v>
      </c>
      <c r="O532">
        <v>25</v>
      </c>
      <c r="P532" t="s">
        <v>53</v>
      </c>
      <c r="Q532" t="s">
        <v>68</v>
      </c>
      <c r="R532" s="1">
        <v>0.1</v>
      </c>
      <c r="S532">
        <f t="shared" si="32"/>
        <v>33.299999999999997</v>
      </c>
      <c r="T532">
        <f>IFERROR(VLOOKUP(A532,Table1[[Customer ID]:[Discount Amount]], 6, FALSE),"Not Found")</f>
        <v>37</v>
      </c>
      <c r="U532" t="str">
        <f t="shared" si="33"/>
        <v>Credit Card</v>
      </c>
      <c r="V532" s="4" t="str">
        <f t="shared" si="34"/>
        <v>Normal</v>
      </c>
      <c r="W532" s="4" t="str">
        <f t="shared" si="35"/>
        <v>Good</v>
      </c>
      <c r="X532" s="4">
        <f>AVERAGE(Table1[Purchase Amount])</f>
        <v>129.48419400000012</v>
      </c>
    </row>
    <row r="533" spans="1:24" ht="15" customHeight="1" x14ac:dyDescent="0.25">
      <c r="A533">
        <v>532</v>
      </c>
      <c r="B533">
        <v>50</v>
      </c>
      <c r="C533" t="s">
        <v>27</v>
      </c>
      <c r="D533" t="s">
        <v>121</v>
      </c>
      <c r="E533" t="s">
        <v>98</v>
      </c>
      <c r="F533" s="2">
        <v>51</v>
      </c>
      <c r="G533" t="s">
        <v>84</v>
      </c>
      <c r="H533" t="s">
        <v>45</v>
      </c>
      <c r="I533" t="s">
        <v>66</v>
      </c>
      <c r="J533" t="s">
        <v>47</v>
      </c>
      <c r="K533">
        <v>3.4</v>
      </c>
      <c r="L533" t="s">
        <v>34</v>
      </c>
      <c r="M533" t="s">
        <v>79</v>
      </c>
      <c r="N533" t="s">
        <v>34</v>
      </c>
      <c r="O533">
        <v>42</v>
      </c>
      <c r="P533" t="s">
        <v>25</v>
      </c>
      <c r="Q533" t="s">
        <v>26</v>
      </c>
      <c r="R533" s="1">
        <v>0.1</v>
      </c>
      <c r="S533">
        <f t="shared" si="32"/>
        <v>45.9</v>
      </c>
      <c r="T533">
        <f>IFERROR(VLOOKUP(A533,Table1[[Customer ID]:[Discount Amount]], 6, FALSE),"Not Found")</f>
        <v>51</v>
      </c>
      <c r="U533" t="str">
        <f t="shared" si="33"/>
        <v>Cash</v>
      </c>
      <c r="V533" s="4" t="str">
        <f t="shared" si="34"/>
        <v>Normal</v>
      </c>
      <c r="W533" s="4" t="str">
        <f t="shared" si="35"/>
        <v>Good</v>
      </c>
      <c r="X533" s="4">
        <f>AVERAGE(Table1[Purchase Amount])</f>
        <v>129.48419400000012</v>
      </c>
    </row>
    <row r="534" spans="1:24" ht="15" customHeight="1" x14ac:dyDescent="0.25">
      <c r="A534">
        <v>533</v>
      </c>
      <c r="B534">
        <v>26</v>
      </c>
      <c r="C534" t="s">
        <v>27</v>
      </c>
      <c r="D534" t="s">
        <v>99</v>
      </c>
      <c r="E534" t="s">
        <v>18</v>
      </c>
      <c r="F534" s="2">
        <v>76</v>
      </c>
      <c r="G534" t="s">
        <v>152</v>
      </c>
      <c r="H534" t="s">
        <v>45</v>
      </c>
      <c r="I534" t="s">
        <v>40</v>
      </c>
      <c r="J534" t="s">
        <v>22</v>
      </c>
      <c r="K534">
        <v>4.0999999999999996</v>
      </c>
      <c r="L534" t="s">
        <v>34</v>
      </c>
      <c r="M534" t="s">
        <v>61</v>
      </c>
      <c r="N534" t="s">
        <v>34</v>
      </c>
      <c r="O534">
        <v>35</v>
      </c>
      <c r="P534" t="s">
        <v>88</v>
      </c>
      <c r="Q534" t="s">
        <v>63</v>
      </c>
      <c r="R534" s="1">
        <v>0.1</v>
      </c>
      <c r="S534">
        <f t="shared" si="32"/>
        <v>68.400000000000006</v>
      </c>
      <c r="T534">
        <f>IFERROR(VLOOKUP(A534,Table1[[Customer ID]:[Discount Amount]], 6, FALSE),"Not Found")</f>
        <v>76</v>
      </c>
      <c r="U534" t="str">
        <f t="shared" si="33"/>
        <v>Bank Transfer</v>
      </c>
      <c r="V534" s="4" t="str">
        <f t="shared" si="34"/>
        <v>Normal</v>
      </c>
      <c r="W534" s="4" t="str">
        <f t="shared" si="35"/>
        <v>Good</v>
      </c>
      <c r="X534" s="4">
        <f>AVERAGE(Table1[Purchase Amount])</f>
        <v>129.48419400000012</v>
      </c>
    </row>
    <row r="535" spans="1:24" ht="15" customHeight="1" x14ac:dyDescent="0.25">
      <c r="A535">
        <v>534</v>
      </c>
      <c r="B535">
        <v>57</v>
      </c>
      <c r="C535" t="s">
        <v>27</v>
      </c>
      <c r="D535" t="s">
        <v>121</v>
      </c>
      <c r="E535" t="s">
        <v>98</v>
      </c>
      <c r="F535" s="2">
        <v>60</v>
      </c>
      <c r="G535" t="s">
        <v>134</v>
      </c>
      <c r="H535" t="s">
        <v>45</v>
      </c>
      <c r="I535" t="s">
        <v>136</v>
      </c>
      <c r="J535" t="s">
        <v>33</v>
      </c>
      <c r="K535">
        <v>4.5</v>
      </c>
      <c r="L535" t="s">
        <v>34</v>
      </c>
      <c r="M535" t="s">
        <v>79</v>
      </c>
      <c r="N535" t="s">
        <v>34</v>
      </c>
      <c r="O535">
        <v>17</v>
      </c>
      <c r="P535" t="s">
        <v>36</v>
      </c>
      <c r="Q535" t="s">
        <v>26</v>
      </c>
      <c r="R535" s="1">
        <v>0.1</v>
      </c>
      <c r="S535">
        <f t="shared" si="32"/>
        <v>54</v>
      </c>
      <c r="T535">
        <f>IFERROR(VLOOKUP(A535,Table1[[Customer ID]:[Discount Amount]], 6, FALSE),"Not Found")</f>
        <v>60</v>
      </c>
      <c r="U535" t="str">
        <f t="shared" si="33"/>
        <v>Debit Card</v>
      </c>
      <c r="V535" s="4" t="str">
        <f t="shared" si="34"/>
        <v>Normal</v>
      </c>
      <c r="W535" s="4" t="str">
        <f t="shared" si="35"/>
        <v>Good</v>
      </c>
      <c r="X535" s="4">
        <f>AVERAGE(Table1[Purchase Amount])</f>
        <v>129.48419400000012</v>
      </c>
    </row>
    <row r="536" spans="1:24" ht="15" customHeight="1" x14ac:dyDescent="0.25">
      <c r="A536">
        <v>535</v>
      </c>
      <c r="B536">
        <v>65</v>
      </c>
      <c r="C536" t="s">
        <v>27</v>
      </c>
      <c r="D536" t="s">
        <v>43</v>
      </c>
      <c r="E536" t="s">
        <v>29</v>
      </c>
      <c r="F536" s="2">
        <v>72</v>
      </c>
      <c r="G536" t="s">
        <v>67</v>
      </c>
      <c r="H536" t="s">
        <v>45</v>
      </c>
      <c r="I536" t="s">
        <v>136</v>
      </c>
      <c r="J536" t="s">
        <v>47</v>
      </c>
      <c r="K536">
        <v>4.5</v>
      </c>
      <c r="L536" t="s">
        <v>34</v>
      </c>
      <c r="M536" t="s">
        <v>79</v>
      </c>
      <c r="N536" t="s">
        <v>34</v>
      </c>
      <c r="O536">
        <v>4</v>
      </c>
      <c r="P536" t="s">
        <v>58</v>
      </c>
      <c r="Q536" t="s">
        <v>37</v>
      </c>
      <c r="R536" s="1">
        <v>0.1</v>
      </c>
      <c r="S536">
        <f t="shared" si="32"/>
        <v>64.8</v>
      </c>
      <c r="T536">
        <f>IFERROR(VLOOKUP(A536,Table1[[Customer ID]:[Discount Amount]], 6, FALSE),"Not Found")</f>
        <v>72</v>
      </c>
      <c r="U536" t="str">
        <f t="shared" si="33"/>
        <v>PayPal</v>
      </c>
      <c r="V536" s="4" t="str">
        <f t="shared" si="34"/>
        <v>Normal</v>
      </c>
      <c r="W536" s="4" t="str">
        <f t="shared" si="35"/>
        <v>Good</v>
      </c>
      <c r="X536" s="4">
        <f>AVERAGE(Table1[Purchase Amount])</f>
        <v>129.48419400000012</v>
      </c>
    </row>
    <row r="537" spans="1:24" ht="15" customHeight="1" x14ac:dyDescent="0.25">
      <c r="A537">
        <v>536</v>
      </c>
      <c r="B537">
        <v>56</v>
      </c>
      <c r="C537" t="s">
        <v>27</v>
      </c>
      <c r="D537" t="s">
        <v>17</v>
      </c>
      <c r="E537" t="s">
        <v>18</v>
      </c>
      <c r="F537" s="2">
        <v>45</v>
      </c>
      <c r="G537" t="s">
        <v>154</v>
      </c>
      <c r="H537" t="s">
        <v>45</v>
      </c>
      <c r="I537" t="s">
        <v>125</v>
      </c>
      <c r="J537" t="s">
        <v>33</v>
      </c>
      <c r="K537">
        <v>3.2</v>
      </c>
      <c r="L537" t="s">
        <v>34</v>
      </c>
      <c r="M537" t="s">
        <v>35</v>
      </c>
      <c r="N537" t="s">
        <v>34</v>
      </c>
      <c r="O537">
        <v>24</v>
      </c>
      <c r="P537" t="s">
        <v>88</v>
      </c>
      <c r="Q537" t="s">
        <v>26</v>
      </c>
      <c r="R537" s="1">
        <v>0.1</v>
      </c>
      <c r="S537">
        <f t="shared" si="32"/>
        <v>40.5</v>
      </c>
      <c r="T537">
        <f>IFERROR(VLOOKUP(A537,Table1[[Customer ID]:[Discount Amount]], 6, FALSE),"Not Found")</f>
        <v>45</v>
      </c>
      <c r="U537" t="str">
        <f t="shared" si="33"/>
        <v>Bank Transfer</v>
      </c>
      <c r="V537" s="4" t="str">
        <f t="shared" si="34"/>
        <v>Normal</v>
      </c>
      <c r="W537" s="4" t="str">
        <f t="shared" si="35"/>
        <v>Good</v>
      </c>
      <c r="X537" s="4">
        <f>AVERAGE(Table1[Purchase Amount])</f>
        <v>129.48419400000012</v>
      </c>
    </row>
    <row r="538" spans="1:24" ht="15" customHeight="1" x14ac:dyDescent="0.25">
      <c r="A538">
        <v>537</v>
      </c>
      <c r="B538">
        <v>44</v>
      </c>
      <c r="C538" t="s">
        <v>27</v>
      </c>
      <c r="D538" t="s">
        <v>96</v>
      </c>
      <c r="E538" t="s">
        <v>77</v>
      </c>
      <c r="F538" s="2">
        <v>84</v>
      </c>
      <c r="G538" t="s">
        <v>44</v>
      </c>
      <c r="H538" t="s">
        <v>55</v>
      </c>
      <c r="I538" t="s">
        <v>125</v>
      </c>
      <c r="J538" t="s">
        <v>47</v>
      </c>
      <c r="K538">
        <v>4.4000000000000004</v>
      </c>
      <c r="L538" t="s">
        <v>34</v>
      </c>
      <c r="M538" t="s">
        <v>48</v>
      </c>
      <c r="N538" t="s">
        <v>34</v>
      </c>
      <c r="O538">
        <v>16</v>
      </c>
      <c r="P538" t="s">
        <v>36</v>
      </c>
      <c r="Q538" t="s">
        <v>63</v>
      </c>
      <c r="R538" s="1">
        <v>0.1</v>
      </c>
      <c r="S538">
        <f t="shared" si="32"/>
        <v>75.599999999999994</v>
      </c>
      <c r="T538">
        <f>IFERROR(VLOOKUP(A538,Table1[[Customer ID]:[Discount Amount]], 6, FALSE),"Not Found")</f>
        <v>84</v>
      </c>
      <c r="U538" t="str">
        <f t="shared" si="33"/>
        <v>Debit Card</v>
      </c>
      <c r="V538" s="4" t="str">
        <f t="shared" si="34"/>
        <v>Normal</v>
      </c>
      <c r="W538" s="4" t="str">
        <f t="shared" si="35"/>
        <v>Good</v>
      </c>
      <c r="X538" s="4">
        <f>AVERAGE(Table1[Purchase Amount])</f>
        <v>129.48419400000012</v>
      </c>
    </row>
    <row r="539" spans="1:24" ht="15" customHeight="1" x14ac:dyDescent="0.25">
      <c r="A539">
        <v>538</v>
      </c>
      <c r="B539">
        <v>50</v>
      </c>
      <c r="C539" t="s">
        <v>27</v>
      </c>
      <c r="D539" t="s">
        <v>118</v>
      </c>
      <c r="E539" t="s">
        <v>18</v>
      </c>
      <c r="F539" s="2">
        <v>49</v>
      </c>
      <c r="G539" t="s">
        <v>138</v>
      </c>
      <c r="H539" t="s">
        <v>55</v>
      </c>
      <c r="I539" t="s">
        <v>156</v>
      </c>
      <c r="J539" t="s">
        <v>57</v>
      </c>
      <c r="K539">
        <v>3</v>
      </c>
      <c r="L539" t="s">
        <v>34</v>
      </c>
      <c r="M539" t="s">
        <v>48</v>
      </c>
      <c r="N539" t="s">
        <v>34</v>
      </c>
      <c r="O539">
        <v>14</v>
      </c>
      <c r="P539" t="s">
        <v>36</v>
      </c>
      <c r="Q539" t="s">
        <v>49</v>
      </c>
      <c r="R539" s="1">
        <v>0.1</v>
      </c>
      <c r="S539">
        <f t="shared" si="32"/>
        <v>44.1</v>
      </c>
      <c r="T539">
        <f>IFERROR(VLOOKUP(A539,Table1[[Customer ID]:[Discount Amount]], 6, FALSE),"Not Found")</f>
        <v>49</v>
      </c>
      <c r="U539" t="str">
        <f t="shared" si="33"/>
        <v>Debit Card</v>
      </c>
      <c r="V539" s="4" t="str">
        <f t="shared" si="34"/>
        <v>Normal</v>
      </c>
      <c r="W539" s="4" t="str">
        <f t="shared" si="35"/>
        <v>Good</v>
      </c>
      <c r="X539" s="4">
        <f>AVERAGE(Table1[Purchase Amount])</f>
        <v>129.48419400000012</v>
      </c>
    </row>
    <row r="540" spans="1:24" ht="15" customHeight="1" x14ac:dyDescent="0.25">
      <c r="A540">
        <v>539</v>
      </c>
      <c r="B540">
        <v>27</v>
      </c>
      <c r="C540" t="s">
        <v>27</v>
      </c>
      <c r="D540" t="s">
        <v>105</v>
      </c>
      <c r="E540" t="s">
        <v>18</v>
      </c>
      <c r="F540" s="2">
        <v>22</v>
      </c>
      <c r="G540" t="s">
        <v>138</v>
      </c>
      <c r="H540" t="s">
        <v>20</v>
      </c>
      <c r="I540" t="s">
        <v>93</v>
      </c>
      <c r="J540" t="s">
        <v>33</v>
      </c>
      <c r="K540">
        <v>3.2</v>
      </c>
      <c r="L540" t="s">
        <v>34</v>
      </c>
      <c r="M540" t="s">
        <v>35</v>
      </c>
      <c r="N540" t="s">
        <v>34</v>
      </c>
      <c r="O540">
        <v>43</v>
      </c>
      <c r="P540" t="s">
        <v>25</v>
      </c>
      <c r="Q540" t="s">
        <v>26</v>
      </c>
      <c r="R540" s="1">
        <v>0.1</v>
      </c>
      <c r="S540">
        <f t="shared" si="32"/>
        <v>19.8</v>
      </c>
      <c r="T540">
        <f>IFERROR(VLOOKUP(A540,Table1[[Customer ID]:[Discount Amount]], 6, FALSE),"Not Found")</f>
        <v>22</v>
      </c>
      <c r="U540" t="str">
        <f t="shared" si="33"/>
        <v>Cash</v>
      </c>
      <c r="V540" s="4" t="str">
        <f t="shared" si="34"/>
        <v>Normal</v>
      </c>
      <c r="W540" s="4" t="str">
        <f t="shared" si="35"/>
        <v>Good</v>
      </c>
      <c r="X540" s="4">
        <f>AVERAGE(Table1[Purchase Amount])</f>
        <v>129.48419400000012</v>
      </c>
    </row>
    <row r="541" spans="1:24" ht="15" customHeight="1" x14ac:dyDescent="0.25">
      <c r="A541">
        <v>540</v>
      </c>
      <c r="B541">
        <v>49</v>
      </c>
      <c r="C541" t="s">
        <v>27</v>
      </c>
      <c r="D541" t="s">
        <v>76</v>
      </c>
      <c r="E541" t="s">
        <v>77</v>
      </c>
      <c r="F541" s="2">
        <v>48</v>
      </c>
      <c r="G541" t="s">
        <v>162</v>
      </c>
      <c r="H541" t="s">
        <v>31</v>
      </c>
      <c r="I541" t="s">
        <v>111</v>
      </c>
      <c r="J541" t="s">
        <v>22</v>
      </c>
      <c r="K541">
        <v>4</v>
      </c>
      <c r="L541" t="s">
        <v>34</v>
      </c>
      <c r="M541" t="s">
        <v>48</v>
      </c>
      <c r="N541" t="s">
        <v>34</v>
      </c>
      <c r="O541">
        <v>49</v>
      </c>
      <c r="P541" t="s">
        <v>36</v>
      </c>
      <c r="Q541" t="s">
        <v>26</v>
      </c>
      <c r="R541" s="1">
        <v>0.1</v>
      </c>
      <c r="S541">
        <f t="shared" si="32"/>
        <v>43.2</v>
      </c>
      <c r="T541">
        <f>IFERROR(VLOOKUP(A541,Table1[[Customer ID]:[Discount Amount]], 6, FALSE),"Not Found")</f>
        <v>48</v>
      </c>
      <c r="U541" t="str">
        <f t="shared" si="33"/>
        <v>Debit Card</v>
      </c>
      <c r="V541" s="4" t="str">
        <f t="shared" si="34"/>
        <v>Normal</v>
      </c>
      <c r="W541" s="4" t="str">
        <f t="shared" si="35"/>
        <v>Good</v>
      </c>
      <c r="X541" s="4">
        <f>AVERAGE(Table1[Purchase Amount])</f>
        <v>129.48419400000012</v>
      </c>
    </row>
    <row r="542" spans="1:24" ht="15" customHeight="1" x14ac:dyDescent="0.25">
      <c r="A542">
        <v>541</v>
      </c>
      <c r="B542">
        <v>49</v>
      </c>
      <c r="C542" t="s">
        <v>27</v>
      </c>
      <c r="D542" t="s">
        <v>157</v>
      </c>
      <c r="E542" t="s">
        <v>18</v>
      </c>
      <c r="F542" s="2">
        <v>37</v>
      </c>
      <c r="G542" t="s">
        <v>30</v>
      </c>
      <c r="H542" t="s">
        <v>31</v>
      </c>
      <c r="I542" t="s">
        <v>107</v>
      </c>
      <c r="J542" t="s">
        <v>33</v>
      </c>
      <c r="K542">
        <v>3.1</v>
      </c>
      <c r="L542" t="s">
        <v>34</v>
      </c>
      <c r="M542" t="s">
        <v>79</v>
      </c>
      <c r="N542" t="s">
        <v>34</v>
      </c>
      <c r="O542">
        <v>33</v>
      </c>
      <c r="P542" t="s">
        <v>25</v>
      </c>
      <c r="Q542" t="s">
        <v>63</v>
      </c>
      <c r="R542" s="1">
        <v>0.1</v>
      </c>
      <c r="S542">
        <f t="shared" si="32"/>
        <v>33.299999999999997</v>
      </c>
      <c r="T542">
        <f>IFERROR(VLOOKUP(A542,Table1[[Customer ID]:[Discount Amount]], 6, FALSE),"Not Found")</f>
        <v>37</v>
      </c>
      <c r="U542" t="str">
        <f t="shared" si="33"/>
        <v>Cash</v>
      </c>
      <c r="V542" s="4" t="str">
        <f t="shared" si="34"/>
        <v>Normal</v>
      </c>
      <c r="W542" s="4" t="str">
        <f t="shared" si="35"/>
        <v>Good</v>
      </c>
      <c r="X542" s="4">
        <f>AVERAGE(Table1[Purchase Amount])</f>
        <v>129.48419400000012</v>
      </c>
    </row>
    <row r="543" spans="1:24" ht="15" customHeight="1" x14ac:dyDescent="0.25">
      <c r="A543">
        <v>542</v>
      </c>
      <c r="B543">
        <v>52</v>
      </c>
      <c r="C543" t="s">
        <v>27</v>
      </c>
      <c r="D543" t="s">
        <v>96</v>
      </c>
      <c r="E543" t="s">
        <v>77</v>
      </c>
      <c r="F543" s="2">
        <v>27</v>
      </c>
      <c r="G543" t="s">
        <v>115</v>
      </c>
      <c r="H543" t="s">
        <v>45</v>
      </c>
      <c r="I543" t="s">
        <v>85</v>
      </c>
      <c r="J543" t="s">
        <v>47</v>
      </c>
      <c r="K543">
        <v>2.8</v>
      </c>
      <c r="L543" t="s">
        <v>34</v>
      </c>
      <c r="M543" t="s">
        <v>79</v>
      </c>
      <c r="N543" t="s">
        <v>34</v>
      </c>
      <c r="O543">
        <v>45</v>
      </c>
      <c r="P543" t="s">
        <v>25</v>
      </c>
      <c r="Q543" t="s">
        <v>68</v>
      </c>
      <c r="R543" s="1">
        <v>0.1</v>
      </c>
      <c r="S543">
        <f t="shared" si="32"/>
        <v>24.3</v>
      </c>
      <c r="T543">
        <f>IFERROR(VLOOKUP(A543,Table1[[Customer ID]:[Discount Amount]], 6, FALSE),"Not Found")</f>
        <v>27</v>
      </c>
      <c r="U543" t="str">
        <f t="shared" si="33"/>
        <v>Cash</v>
      </c>
      <c r="V543" s="4" t="str">
        <f t="shared" si="34"/>
        <v>Normal</v>
      </c>
      <c r="W543" s="4" t="str">
        <f t="shared" si="35"/>
        <v>Poor</v>
      </c>
      <c r="X543" s="4">
        <f>AVERAGE(Table1[Purchase Amount])</f>
        <v>129.48419400000012</v>
      </c>
    </row>
    <row r="544" spans="1:24" ht="15" customHeight="1" x14ac:dyDescent="0.25">
      <c r="A544">
        <v>543</v>
      </c>
      <c r="B544">
        <v>27</v>
      </c>
      <c r="C544" t="s">
        <v>27</v>
      </c>
      <c r="D544" t="s">
        <v>151</v>
      </c>
      <c r="E544" t="s">
        <v>98</v>
      </c>
      <c r="F544" s="2">
        <v>79</v>
      </c>
      <c r="G544" t="s">
        <v>44</v>
      </c>
      <c r="H544" t="s">
        <v>20</v>
      </c>
      <c r="I544" t="s">
        <v>147</v>
      </c>
      <c r="J544" t="s">
        <v>33</v>
      </c>
      <c r="K544">
        <v>4.5999999999999996</v>
      </c>
      <c r="L544" t="s">
        <v>34</v>
      </c>
      <c r="M544" t="s">
        <v>79</v>
      </c>
      <c r="N544" t="s">
        <v>34</v>
      </c>
      <c r="O544">
        <v>35</v>
      </c>
      <c r="P544" t="s">
        <v>25</v>
      </c>
      <c r="Q544" t="s">
        <v>68</v>
      </c>
      <c r="R544" s="1">
        <v>0.1</v>
      </c>
      <c r="S544">
        <f t="shared" si="32"/>
        <v>71.099999999999994</v>
      </c>
      <c r="T544">
        <f>IFERROR(VLOOKUP(A544,Table1[[Customer ID]:[Discount Amount]], 6, FALSE),"Not Found")</f>
        <v>79</v>
      </c>
      <c r="U544" t="str">
        <f t="shared" si="33"/>
        <v>Cash</v>
      </c>
      <c r="V544" s="4" t="str">
        <f t="shared" si="34"/>
        <v>Normal</v>
      </c>
      <c r="W544" s="4" t="str">
        <f t="shared" si="35"/>
        <v>Good</v>
      </c>
      <c r="X544" s="4">
        <f>AVERAGE(Table1[Purchase Amount])</f>
        <v>129.48419400000012</v>
      </c>
    </row>
    <row r="545" spans="1:24" ht="15" customHeight="1" x14ac:dyDescent="0.25">
      <c r="A545">
        <v>544</v>
      </c>
      <c r="B545">
        <v>53</v>
      </c>
      <c r="C545" t="s">
        <v>27</v>
      </c>
      <c r="D545" t="s">
        <v>122</v>
      </c>
      <c r="E545" t="s">
        <v>18</v>
      </c>
      <c r="F545" s="2">
        <v>98</v>
      </c>
      <c r="G545" t="s">
        <v>51</v>
      </c>
      <c r="H545" t="s">
        <v>55</v>
      </c>
      <c r="I545" t="s">
        <v>46</v>
      </c>
      <c r="J545" t="s">
        <v>33</v>
      </c>
      <c r="K545">
        <v>4.3</v>
      </c>
      <c r="L545" t="s">
        <v>34</v>
      </c>
      <c r="M545" t="s">
        <v>61</v>
      </c>
      <c r="N545" t="s">
        <v>34</v>
      </c>
      <c r="O545">
        <v>11</v>
      </c>
      <c r="P545" t="s">
        <v>53</v>
      </c>
      <c r="Q545" t="s">
        <v>42</v>
      </c>
      <c r="R545" s="1">
        <v>0.1</v>
      </c>
      <c r="S545">
        <f t="shared" si="32"/>
        <v>88.2</v>
      </c>
      <c r="T545">
        <f>IFERROR(VLOOKUP(A545,Table1[[Customer ID]:[Discount Amount]], 6, FALSE),"Not Found")</f>
        <v>98</v>
      </c>
      <c r="U545" t="str">
        <f t="shared" si="33"/>
        <v>Credit Card</v>
      </c>
      <c r="V545" s="4" t="str">
        <f t="shared" si="34"/>
        <v>Normal</v>
      </c>
      <c r="W545" s="4" t="str">
        <f t="shared" si="35"/>
        <v>Good</v>
      </c>
      <c r="X545" s="4">
        <f>AVERAGE(Table1[Purchase Amount])</f>
        <v>129.48419400000012</v>
      </c>
    </row>
    <row r="546" spans="1:24" ht="15" customHeight="1" x14ac:dyDescent="0.25">
      <c r="A546">
        <v>545</v>
      </c>
      <c r="B546">
        <v>34</v>
      </c>
      <c r="C546" t="s">
        <v>27</v>
      </c>
      <c r="D546" t="s">
        <v>121</v>
      </c>
      <c r="E546" t="s">
        <v>98</v>
      </c>
      <c r="F546" s="2">
        <v>64</v>
      </c>
      <c r="G546" t="s">
        <v>155</v>
      </c>
      <c r="H546" t="s">
        <v>55</v>
      </c>
      <c r="I546" t="s">
        <v>52</v>
      </c>
      <c r="J546" t="s">
        <v>57</v>
      </c>
      <c r="K546">
        <v>3.3</v>
      </c>
      <c r="L546" t="s">
        <v>34</v>
      </c>
      <c r="M546" t="s">
        <v>24</v>
      </c>
      <c r="N546" t="s">
        <v>34</v>
      </c>
      <c r="O546">
        <v>30</v>
      </c>
      <c r="P546" t="s">
        <v>88</v>
      </c>
      <c r="Q546" t="s">
        <v>63</v>
      </c>
      <c r="R546" s="1">
        <v>0.1</v>
      </c>
      <c r="S546">
        <f t="shared" si="32"/>
        <v>57.6</v>
      </c>
      <c r="T546">
        <f>IFERROR(VLOOKUP(A546,Table1[[Customer ID]:[Discount Amount]], 6, FALSE),"Not Found")</f>
        <v>64</v>
      </c>
      <c r="U546" t="str">
        <f t="shared" si="33"/>
        <v>Bank Transfer</v>
      </c>
      <c r="V546" s="4" t="str">
        <f t="shared" si="34"/>
        <v>Normal</v>
      </c>
      <c r="W546" s="4" t="str">
        <f t="shared" si="35"/>
        <v>Good</v>
      </c>
      <c r="X546" s="4">
        <f>AVERAGE(Table1[Purchase Amount])</f>
        <v>129.48419400000012</v>
      </c>
    </row>
    <row r="547" spans="1:24" ht="15" customHeight="1" x14ac:dyDescent="0.25">
      <c r="A547">
        <v>546</v>
      </c>
      <c r="B547">
        <v>33</v>
      </c>
      <c r="C547" t="s">
        <v>27</v>
      </c>
      <c r="D547" t="s">
        <v>76</v>
      </c>
      <c r="E547" t="s">
        <v>77</v>
      </c>
      <c r="F547" s="2">
        <v>32</v>
      </c>
      <c r="G547" t="s">
        <v>51</v>
      </c>
      <c r="H547" t="s">
        <v>45</v>
      </c>
      <c r="I547" t="s">
        <v>87</v>
      </c>
      <c r="J547" t="s">
        <v>57</v>
      </c>
      <c r="K547">
        <v>3.5</v>
      </c>
      <c r="L547" t="s">
        <v>34</v>
      </c>
      <c r="M547" t="s">
        <v>41</v>
      </c>
      <c r="N547" t="s">
        <v>34</v>
      </c>
      <c r="O547">
        <v>48</v>
      </c>
      <c r="P547" t="s">
        <v>36</v>
      </c>
      <c r="Q547" t="s">
        <v>49</v>
      </c>
      <c r="R547" s="1">
        <v>0.1</v>
      </c>
      <c r="S547">
        <f t="shared" si="32"/>
        <v>28.8</v>
      </c>
      <c r="T547">
        <f>IFERROR(VLOOKUP(A547,Table1[[Customer ID]:[Discount Amount]], 6, FALSE),"Not Found")</f>
        <v>32</v>
      </c>
      <c r="U547" t="str">
        <f t="shared" si="33"/>
        <v>Debit Card</v>
      </c>
      <c r="V547" s="4" t="str">
        <f t="shared" si="34"/>
        <v>Normal</v>
      </c>
      <c r="W547" s="4" t="str">
        <f t="shared" si="35"/>
        <v>Good</v>
      </c>
      <c r="X547" s="4">
        <f>AVERAGE(Table1[Purchase Amount])</f>
        <v>129.48419400000012</v>
      </c>
    </row>
    <row r="548" spans="1:24" ht="15" customHeight="1" x14ac:dyDescent="0.25">
      <c r="A548">
        <v>547</v>
      </c>
      <c r="B548">
        <v>62</v>
      </c>
      <c r="C548" t="s">
        <v>27</v>
      </c>
      <c r="D548" t="s">
        <v>83</v>
      </c>
      <c r="E548" t="s">
        <v>18</v>
      </c>
      <c r="F548" s="2">
        <v>74</v>
      </c>
      <c r="G548" t="s">
        <v>110</v>
      </c>
      <c r="H548" t="s">
        <v>31</v>
      </c>
      <c r="I548" t="s">
        <v>60</v>
      </c>
      <c r="J548" t="s">
        <v>22</v>
      </c>
      <c r="K548">
        <v>3.4</v>
      </c>
      <c r="L548" t="s">
        <v>34</v>
      </c>
      <c r="M548" t="s">
        <v>35</v>
      </c>
      <c r="N548" t="s">
        <v>34</v>
      </c>
      <c r="O548">
        <v>45</v>
      </c>
      <c r="P548" t="s">
        <v>62</v>
      </c>
      <c r="Q548" t="s">
        <v>68</v>
      </c>
      <c r="R548" s="1">
        <v>0.1</v>
      </c>
      <c r="S548">
        <f t="shared" si="32"/>
        <v>66.599999999999994</v>
      </c>
      <c r="T548">
        <f>IFERROR(VLOOKUP(A548,Table1[[Customer ID]:[Discount Amount]], 6, FALSE),"Not Found")</f>
        <v>74</v>
      </c>
      <c r="U548" t="str">
        <f t="shared" si="33"/>
        <v>Venmo</v>
      </c>
      <c r="V548" s="4" t="str">
        <f t="shared" si="34"/>
        <v>Normal</v>
      </c>
      <c r="W548" s="4" t="str">
        <f t="shared" si="35"/>
        <v>Good</v>
      </c>
      <c r="X548" s="4">
        <f>AVERAGE(Table1[Purchase Amount])</f>
        <v>129.48419400000012</v>
      </c>
    </row>
    <row r="549" spans="1:24" ht="15" customHeight="1" x14ac:dyDescent="0.25">
      <c r="A549">
        <v>548</v>
      </c>
      <c r="B549">
        <v>38</v>
      </c>
      <c r="C549" t="s">
        <v>27</v>
      </c>
      <c r="D549" t="s">
        <v>96</v>
      </c>
      <c r="E549" t="s">
        <v>77</v>
      </c>
      <c r="F549" s="2">
        <v>50</v>
      </c>
      <c r="G549" t="s">
        <v>158</v>
      </c>
      <c r="H549" t="s">
        <v>31</v>
      </c>
      <c r="I549" t="s">
        <v>74</v>
      </c>
      <c r="J549" t="s">
        <v>22</v>
      </c>
      <c r="K549">
        <v>2.8</v>
      </c>
      <c r="L549" t="s">
        <v>34</v>
      </c>
      <c r="M549" t="s">
        <v>35</v>
      </c>
      <c r="N549" t="s">
        <v>34</v>
      </c>
      <c r="O549">
        <v>26</v>
      </c>
      <c r="P549" t="s">
        <v>62</v>
      </c>
      <c r="Q549" t="s">
        <v>26</v>
      </c>
      <c r="R549" s="1">
        <v>0.1</v>
      </c>
      <c r="S549">
        <f t="shared" si="32"/>
        <v>45</v>
      </c>
      <c r="T549">
        <f>IFERROR(VLOOKUP(A549,Table1[[Customer ID]:[Discount Amount]], 6, FALSE),"Not Found")</f>
        <v>50</v>
      </c>
      <c r="U549" t="str">
        <f t="shared" si="33"/>
        <v>Venmo</v>
      </c>
      <c r="V549" s="4" t="str">
        <f t="shared" si="34"/>
        <v>Normal</v>
      </c>
      <c r="W549" s="4" t="str">
        <f t="shared" si="35"/>
        <v>Poor</v>
      </c>
      <c r="X549" s="4">
        <f>AVERAGE(Table1[Purchase Amount])</f>
        <v>129.48419400000012</v>
      </c>
    </row>
    <row r="550" spans="1:24" ht="15" customHeight="1" x14ac:dyDescent="0.25">
      <c r="A550">
        <v>549</v>
      </c>
      <c r="B550">
        <v>36</v>
      </c>
      <c r="C550" t="s">
        <v>27</v>
      </c>
      <c r="D550" t="s">
        <v>104</v>
      </c>
      <c r="E550" t="s">
        <v>29</v>
      </c>
      <c r="F550" s="2">
        <v>64</v>
      </c>
      <c r="G550" t="s">
        <v>137</v>
      </c>
      <c r="H550" t="s">
        <v>31</v>
      </c>
      <c r="I550" t="s">
        <v>40</v>
      </c>
      <c r="J550" t="s">
        <v>22</v>
      </c>
      <c r="K550">
        <v>4.5999999999999996</v>
      </c>
      <c r="L550" t="s">
        <v>34</v>
      </c>
      <c r="M550" t="s">
        <v>48</v>
      </c>
      <c r="N550" t="s">
        <v>34</v>
      </c>
      <c r="O550">
        <v>41</v>
      </c>
      <c r="P550" t="s">
        <v>36</v>
      </c>
      <c r="Q550" t="s">
        <v>63</v>
      </c>
      <c r="R550" s="1">
        <v>0.1</v>
      </c>
      <c r="S550">
        <f t="shared" si="32"/>
        <v>57.6</v>
      </c>
      <c r="T550">
        <f>IFERROR(VLOOKUP(A550,Table1[[Customer ID]:[Discount Amount]], 6, FALSE),"Not Found")</f>
        <v>64</v>
      </c>
      <c r="U550" t="str">
        <f t="shared" si="33"/>
        <v>Debit Card</v>
      </c>
      <c r="V550" s="4" t="str">
        <f t="shared" si="34"/>
        <v>Normal</v>
      </c>
      <c r="W550" s="4" t="str">
        <f t="shared" si="35"/>
        <v>Good</v>
      </c>
      <c r="X550" s="4">
        <f>AVERAGE(Table1[Purchase Amount])</f>
        <v>129.48419400000012</v>
      </c>
    </row>
    <row r="551" spans="1:24" ht="15" customHeight="1" x14ac:dyDescent="0.25">
      <c r="A551">
        <v>550</v>
      </c>
      <c r="B551">
        <v>31</v>
      </c>
      <c r="C551" t="s">
        <v>27</v>
      </c>
      <c r="D551" t="s">
        <v>104</v>
      </c>
      <c r="E551" t="s">
        <v>29</v>
      </c>
      <c r="F551" s="2">
        <v>29</v>
      </c>
      <c r="G551" t="s">
        <v>150</v>
      </c>
      <c r="H551" t="s">
        <v>55</v>
      </c>
      <c r="I551" t="s">
        <v>21</v>
      </c>
      <c r="J551" t="s">
        <v>47</v>
      </c>
      <c r="K551">
        <v>3.6</v>
      </c>
      <c r="L551" t="s">
        <v>34</v>
      </c>
      <c r="M551" t="s">
        <v>61</v>
      </c>
      <c r="N551" t="s">
        <v>34</v>
      </c>
      <c r="O551">
        <v>37</v>
      </c>
      <c r="P551" t="s">
        <v>62</v>
      </c>
      <c r="Q551" t="s">
        <v>68</v>
      </c>
      <c r="R551" s="1">
        <v>0.1</v>
      </c>
      <c r="S551">
        <f t="shared" si="32"/>
        <v>26.1</v>
      </c>
      <c r="T551">
        <f>IFERROR(VLOOKUP(A551,Table1[[Customer ID]:[Discount Amount]], 6, FALSE),"Not Found")</f>
        <v>29</v>
      </c>
      <c r="U551" t="str">
        <f t="shared" si="33"/>
        <v>Venmo</v>
      </c>
      <c r="V551" s="4" t="str">
        <f t="shared" si="34"/>
        <v>Normal</v>
      </c>
      <c r="W551" s="4" t="str">
        <f t="shared" si="35"/>
        <v>Good</v>
      </c>
      <c r="X551" s="4">
        <f>AVERAGE(Table1[Purchase Amount])</f>
        <v>129.48419400000012</v>
      </c>
    </row>
    <row r="552" spans="1:24" ht="15" customHeight="1" x14ac:dyDescent="0.25">
      <c r="A552">
        <v>551</v>
      </c>
      <c r="B552">
        <v>62</v>
      </c>
      <c r="C552" t="s">
        <v>27</v>
      </c>
      <c r="D552" t="s">
        <v>114</v>
      </c>
      <c r="E552" t="s">
        <v>29</v>
      </c>
      <c r="F552" s="2">
        <v>62</v>
      </c>
      <c r="G552" t="s">
        <v>160</v>
      </c>
      <c r="H552" t="s">
        <v>31</v>
      </c>
      <c r="I552" t="s">
        <v>21</v>
      </c>
      <c r="J552" t="s">
        <v>57</v>
      </c>
      <c r="K552">
        <v>3.3</v>
      </c>
      <c r="L552" t="s">
        <v>34</v>
      </c>
      <c r="M552" t="s">
        <v>48</v>
      </c>
      <c r="N552" t="s">
        <v>34</v>
      </c>
      <c r="O552">
        <v>12</v>
      </c>
      <c r="P552" t="s">
        <v>58</v>
      </c>
      <c r="Q552" t="s">
        <v>26</v>
      </c>
      <c r="R552" s="1">
        <v>0.1</v>
      </c>
      <c r="S552">
        <f t="shared" si="32"/>
        <v>55.8</v>
      </c>
      <c r="T552">
        <f>IFERROR(VLOOKUP(A552,Table1[[Customer ID]:[Discount Amount]], 6, FALSE),"Not Found")</f>
        <v>62</v>
      </c>
      <c r="U552" t="str">
        <f t="shared" si="33"/>
        <v>PayPal</v>
      </c>
      <c r="V552" s="4" t="str">
        <f t="shared" si="34"/>
        <v>Normal</v>
      </c>
      <c r="W552" s="4" t="str">
        <f t="shared" si="35"/>
        <v>Good</v>
      </c>
      <c r="X552" s="4">
        <f>AVERAGE(Table1[Purchase Amount])</f>
        <v>129.48419400000012</v>
      </c>
    </row>
    <row r="553" spans="1:24" ht="15" customHeight="1" x14ac:dyDescent="0.25">
      <c r="A553">
        <v>552</v>
      </c>
      <c r="B553">
        <v>29</v>
      </c>
      <c r="C553" t="s">
        <v>27</v>
      </c>
      <c r="D553" t="s">
        <v>76</v>
      </c>
      <c r="E553" t="s">
        <v>77</v>
      </c>
      <c r="F553" s="2">
        <v>78</v>
      </c>
      <c r="G553" t="s">
        <v>161</v>
      </c>
      <c r="H553" t="s">
        <v>20</v>
      </c>
      <c r="I553" t="s">
        <v>93</v>
      </c>
      <c r="J553" t="s">
        <v>47</v>
      </c>
      <c r="K553">
        <v>3.1</v>
      </c>
      <c r="L553" t="s">
        <v>34</v>
      </c>
      <c r="M553" t="s">
        <v>41</v>
      </c>
      <c r="N553" t="s">
        <v>34</v>
      </c>
      <c r="O553">
        <v>27</v>
      </c>
      <c r="P553" t="s">
        <v>25</v>
      </c>
      <c r="Q553" t="s">
        <v>68</v>
      </c>
      <c r="R553" s="1">
        <v>0.1</v>
      </c>
      <c r="S553">
        <f t="shared" si="32"/>
        <v>70.2</v>
      </c>
      <c r="T553">
        <f>IFERROR(VLOOKUP(A553,Table1[[Customer ID]:[Discount Amount]], 6, FALSE),"Not Found")</f>
        <v>78</v>
      </c>
      <c r="U553" t="str">
        <f t="shared" si="33"/>
        <v>Cash</v>
      </c>
      <c r="V553" s="4" t="str">
        <f t="shared" si="34"/>
        <v>Normal</v>
      </c>
      <c r="W553" s="4" t="str">
        <f t="shared" si="35"/>
        <v>Good</v>
      </c>
      <c r="X553" s="4">
        <f>AVERAGE(Table1[Purchase Amount])</f>
        <v>129.48419400000012</v>
      </c>
    </row>
    <row r="554" spans="1:24" ht="15" customHeight="1" x14ac:dyDescent="0.25">
      <c r="A554">
        <v>553</v>
      </c>
      <c r="B554">
        <v>24</v>
      </c>
      <c r="C554" t="s">
        <v>27</v>
      </c>
      <c r="D554" t="s">
        <v>17</v>
      </c>
      <c r="E554" t="s">
        <v>18</v>
      </c>
      <c r="F554" s="2">
        <v>94</v>
      </c>
      <c r="G554" t="s">
        <v>146</v>
      </c>
      <c r="H554" t="s">
        <v>31</v>
      </c>
      <c r="I554" t="s">
        <v>145</v>
      </c>
      <c r="J554" t="s">
        <v>47</v>
      </c>
      <c r="K554">
        <v>3.5</v>
      </c>
      <c r="L554" t="s">
        <v>34</v>
      </c>
      <c r="M554" t="s">
        <v>61</v>
      </c>
      <c r="N554" t="s">
        <v>34</v>
      </c>
      <c r="O554">
        <v>18</v>
      </c>
      <c r="P554" t="s">
        <v>88</v>
      </c>
      <c r="Q554" t="s">
        <v>26</v>
      </c>
      <c r="R554" s="1">
        <v>0.1</v>
      </c>
      <c r="S554">
        <f t="shared" si="32"/>
        <v>84.6</v>
      </c>
      <c r="T554">
        <f>IFERROR(VLOOKUP(A554,Table1[[Customer ID]:[Discount Amount]], 6, FALSE),"Not Found")</f>
        <v>94</v>
      </c>
      <c r="U554" t="str">
        <f t="shared" si="33"/>
        <v>Bank Transfer</v>
      </c>
      <c r="V554" s="4" t="str">
        <f t="shared" si="34"/>
        <v>Normal</v>
      </c>
      <c r="W554" s="4" t="str">
        <f t="shared" si="35"/>
        <v>Good</v>
      </c>
      <c r="X554" s="4">
        <f>AVERAGE(Table1[Purchase Amount])</f>
        <v>129.48419400000012</v>
      </c>
    </row>
    <row r="555" spans="1:24" ht="15" customHeight="1" x14ac:dyDescent="0.25">
      <c r="A555">
        <v>554</v>
      </c>
      <c r="B555">
        <v>63</v>
      </c>
      <c r="C555" t="s">
        <v>27</v>
      </c>
      <c r="D555" t="s">
        <v>28</v>
      </c>
      <c r="E555" t="s">
        <v>29</v>
      </c>
      <c r="F555" s="2">
        <v>59</v>
      </c>
      <c r="G555" t="s">
        <v>67</v>
      </c>
      <c r="H555" t="s">
        <v>31</v>
      </c>
      <c r="I555" t="s">
        <v>32</v>
      </c>
      <c r="J555" t="s">
        <v>22</v>
      </c>
      <c r="K555">
        <v>3.2</v>
      </c>
      <c r="L555" t="s">
        <v>34</v>
      </c>
      <c r="M555" t="s">
        <v>61</v>
      </c>
      <c r="N555" t="s">
        <v>34</v>
      </c>
      <c r="O555">
        <v>15</v>
      </c>
      <c r="P555" t="s">
        <v>53</v>
      </c>
      <c r="Q555" t="s">
        <v>37</v>
      </c>
      <c r="R555" s="1">
        <v>0.1</v>
      </c>
      <c r="S555">
        <f t="shared" si="32"/>
        <v>53.1</v>
      </c>
      <c r="T555">
        <f>IFERROR(VLOOKUP(A555,Table1[[Customer ID]:[Discount Amount]], 6, FALSE),"Not Found")</f>
        <v>59</v>
      </c>
      <c r="U555" t="str">
        <f t="shared" si="33"/>
        <v>Credit Card</v>
      </c>
      <c r="V555" s="4" t="str">
        <f t="shared" si="34"/>
        <v>Normal</v>
      </c>
      <c r="W555" s="4" t="str">
        <f t="shared" si="35"/>
        <v>Good</v>
      </c>
      <c r="X555" s="4">
        <f>AVERAGE(Table1[Purchase Amount])</f>
        <v>129.48419400000012</v>
      </c>
    </row>
    <row r="556" spans="1:24" ht="15" customHeight="1" x14ac:dyDescent="0.25">
      <c r="A556">
        <v>555</v>
      </c>
      <c r="B556">
        <v>56</v>
      </c>
      <c r="C556" t="s">
        <v>27</v>
      </c>
      <c r="D556" t="s">
        <v>140</v>
      </c>
      <c r="E556" t="s">
        <v>98</v>
      </c>
      <c r="F556" s="2">
        <v>47</v>
      </c>
      <c r="G556" t="s">
        <v>120</v>
      </c>
      <c r="H556" t="s">
        <v>31</v>
      </c>
      <c r="I556" t="s">
        <v>46</v>
      </c>
      <c r="J556" t="s">
        <v>57</v>
      </c>
      <c r="K556">
        <v>3</v>
      </c>
      <c r="L556" t="s">
        <v>34</v>
      </c>
      <c r="M556" t="s">
        <v>61</v>
      </c>
      <c r="N556" t="s">
        <v>34</v>
      </c>
      <c r="O556">
        <v>34</v>
      </c>
      <c r="P556" t="s">
        <v>88</v>
      </c>
      <c r="Q556" t="s">
        <v>26</v>
      </c>
      <c r="R556" s="1">
        <v>0.1</v>
      </c>
      <c r="S556">
        <f t="shared" si="32"/>
        <v>42.3</v>
      </c>
      <c r="T556">
        <f>IFERROR(VLOOKUP(A556,Table1[[Customer ID]:[Discount Amount]], 6, FALSE),"Not Found")</f>
        <v>47</v>
      </c>
      <c r="U556" t="str">
        <f t="shared" si="33"/>
        <v>Bank Transfer</v>
      </c>
      <c r="V556" s="4" t="str">
        <f t="shared" si="34"/>
        <v>Normal</v>
      </c>
      <c r="W556" s="4" t="str">
        <f t="shared" si="35"/>
        <v>Good</v>
      </c>
      <c r="X556" s="4">
        <f>AVERAGE(Table1[Purchase Amount])</f>
        <v>129.48419400000012</v>
      </c>
    </row>
    <row r="557" spans="1:24" ht="15" customHeight="1" x14ac:dyDescent="0.25">
      <c r="A557">
        <v>556</v>
      </c>
      <c r="B557">
        <v>63</v>
      </c>
      <c r="C557" t="s">
        <v>27</v>
      </c>
      <c r="D557" t="s">
        <v>43</v>
      </c>
      <c r="E557" t="s">
        <v>29</v>
      </c>
      <c r="F557" s="2">
        <v>57</v>
      </c>
      <c r="G557" t="s">
        <v>94</v>
      </c>
      <c r="H557" t="s">
        <v>31</v>
      </c>
      <c r="I557" t="s">
        <v>32</v>
      </c>
      <c r="J557" t="s">
        <v>47</v>
      </c>
      <c r="K557">
        <v>4.8</v>
      </c>
      <c r="L557" t="s">
        <v>34</v>
      </c>
      <c r="M557" t="s">
        <v>61</v>
      </c>
      <c r="N557" t="s">
        <v>34</v>
      </c>
      <c r="O557">
        <v>37</v>
      </c>
      <c r="P557" t="s">
        <v>62</v>
      </c>
      <c r="Q557" t="s">
        <v>49</v>
      </c>
      <c r="R557" s="1">
        <v>0.1</v>
      </c>
      <c r="S557">
        <f t="shared" si="32"/>
        <v>51.3</v>
      </c>
      <c r="T557">
        <f>IFERROR(VLOOKUP(A557,Table1[[Customer ID]:[Discount Amount]], 6, FALSE),"Not Found")</f>
        <v>57</v>
      </c>
      <c r="U557" t="str">
        <f t="shared" si="33"/>
        <v>Venmo</v>
      </c>
      <c r="V557" s="4" t="str">
        <f t="shared" si="34"/>
        <v>Normal</v>
      </c>
      <c r="W557" s="4" t="str">
        <f t="shared" si="35"/>
        <v>Good</v>
      </c>
      <c r="X557" s="4">
        <f>AVERAGE(Table1[Purchase Amount])</f>
        <v>129.48419400000012</v>
      </c>
    </row>
    <row r="558" spans="1:24" ht="15" customHeight="1" x14ac:dyDescent="0.25">
      <c r="A558">
        <v>557</v>
      </c>
      <c r="B558">
        <v>40</v>
      </c>
      <c r="C558" t="s">
        <v>27</v>
      </c>
      <c r="D558" t="s">
        <v>76</v>
      </c>
      <c r="E558" t="s">
        <v>77</v>
      </c>
      <c r="F558" s="2">
        <v>90</v>
      </c>
      <c r="G558" t="s">
        <v>39</v>
      </c>
      <c r="H558" t="s">
        <v>45</v>
      </c>
      <c r="I558" t="s">
        <v>91</v>
      </c>
      <c r="J558" t="s">
        <v>22</v>
      </c>
      <c r="K558">
        <v>5</v>
      </c>
      <c r="L558" t="s">
        <v>34</v>
      </c>
      <c r="M558" t="s">
        <v>48</v>
      </c>
      <c r="N558" t="s">
        <v>34</v>
      </c>
      <c r="O558">
        <v>21</v>
      </c>
      <c r="P558" t="s">
        <v>25</v>
      </c>
      <c r="Q558" t="s">
        <v>89</v>
      </c>
      <c r="R558" s="1">
        <v>0.1</v>
      </c>
      <c r="S558">
        <f t="shared" si="32"/>
        <v>81</v>
      </c>
      <c r="T558">
        <f>IFERROR(VLOOKUP(A558,Table1[[Customer ID]:[Discount Amount]], 6, FALSE),"Not Found")</f>
        <v>90</v>
      </c>
      <c r="U558" t="str">
        <f t="shared" si="33"/>
        <v>Cash</v>
      </c>
      <c r="V558" s="4" t="str">
        <f t="shared" si="34"/>
        <v>Normal</v>
      </c>
      <c r="W558" s="4" t="str">
        <f t="shared" si="35"/>
        <v>Good</v>
      </c>
      <c r="X558" s="4">
        <f>AVERAGE(Table1[Purchase Amount])</f>
        <v>129.48419400000012</v>
      </c>
    </row>
    <row r="559" spans="1:24" ht="15" customHeight="1" x14ac:dyDescent="0.25">
      <c r="A559">
        <v>558</v>
      </c>
      <c r="B559">
        <v>18</v>
      </c>
      <c r="C559" t="s">
        <v>27</v>
      </c>
      <c r="D559" t="s">
        <v>38</v>
      </c>
      <c r="E559" t="s">
        <v>18</v>
      </c>
      <c r="F559" s="2">
        <v>60</v>
      </c>
      <c r="G559" t="s">
        <v>148</v>
      </c>
      <c r="H559" t="s">
        <v>31</v>
      </c>
      <c r="I559" t="s">
        <v>32</v>
      </c>
      <c r="J559" t="s">
        <v>33</v>
      </c>
      <c r="K559">
        <v>2.9</v>
      </c>
      <c r="L559" t="s">
        <v>34</v>
      </c>
      <c r="M559" t="s">
        <v>35</v>
      </c>
      <c r="N559" t="s">
        <v>34</v>
      </c>
      <c r="O559">
        <v>31</v>
      </c>
      <c r="P559" t="s">
        <v>36</v>
      </c>
      <c r="Q559" t="s">
        <v>26</v>
      </c>
      <c r="R559" s="1">
        <v>0.1</v>
      </c>
      <c r="S559">
        <f t="shared" si="32"/>
        <v>54</v>
      </c>
      <c r="T559">
        <f>IFERROR(VLOOKUP(A559,Table1[[Customer ID]:[Discount Amount]], 6, FALSE),"Not Found")</f>
        <v>60</v>
      </c>
      <c r="U559" t="str">
        <f t="shared" si="33"/>
        <v>Debit Card</v>
      </c>
      <c r="V559" s="4" t="str">
        <f t="shared" si="34"/>
        <v>Normal</v>
      </c>
      <c r="W559" s="4" t="str">
        <f t="shared" si="35"/>
        <v>Poor</v>
      </c>
      <c r="X559" s="4">
        <f>AVERAGE(Table1[Purchase Amount])</f>
        <v>129.48419400000012</v>
      </c>
    </row>
    <row r="560" spans="1:24" ht="15" customHeight="1" x14ac:dyDescent="0.25">
      <c r="A560">
        <v>559</v>
      </c>
      <c r="B560">
        <v>50</v>
      </c>
      <c r="C560" t="s">
        <v>27</v>
      </c>
      <c r="D560" t="s">
        <v>140</v>
      </c>
      <c r="E560" t="s">
        <v>98</v>
      </c>
      <c r="F560" s="2">
        <v>77</v>
      </c>
      <c r="G560" t="s">
        <v>141</v>
      </c>
      <c r="H560" t="s">
        <v>45</v>
      </c>
      <c r="I560" t="s">
        <v>147</v>
      </c>
      <c r="J560" t="s">
        <v>47</v>
      </c>
      <c r="K560">
        <v>3.2</v>
      </c>
      <c r="L560" t="s">
        <v>34</v>
      </c>
      <c r="M560" t="s">
        <v>61</v>
      </c>
      <c r="N560" t="s">
        <v>34</v>
      </c>
      <c r="O560">
        <v>43</v>
      </c>
      <c r="P560" t="s">
        <v>36</v>
      </c>
      <c r="Q560" t="s">
        <v>63</v>
      </c>
      <c r="R560" s="1">
        <v>0.1</v>
      </c>
      <c r="S560">
        <f t="shared" si="32"/>
        <v>69.3</v>
      </c>
      <c r="T560">
        <f>IFERROR(VLOOKUP(A560,Table1[[Customer ID]:[Discount Amount]], 6, FALSE),"Not Found")</f>
        <v>77</v>
      </c>
      <c r="U560" t="str">
        <f t="shared" si="33"/>
        <v>Debit Card</v>
      </c>
      <c r="V560" s="4" t="str">
        <f t="shared" si="34"/>
        <v>Normal</v>
      </c>
      <c r="W560" s="4" t="str">
        <f t="shared" si="35"/>
        <v>Good</v>
      </c>
      <c r="X560" s="4">
        <f>AVERAGE(Table1[Purchase Amount])</f>
        <v>129.48419400000012</v>
      </c>
    </row>
    <row r="561" spans="1:24" ht="15" customHeight="1" x14ac:dyDescent="0.25">
      <c r="A561">
        <v>560</v>
      </c>
      <c r="B561">
        <v>66</v>
      </c>
      <c r="C561" t="s">
        <v>27</v>
      </c>
      <c r="D561" t="s">
        <v>129</v>
      </c>
      <c r="E561" t="s">
        <v>29</v>
      </c>
      <c r="F561" s="2">
        <v>41</v>
      </c>
      <c r="G561" t="s">
        <v>150</v>
      </c>
      <c r="H561" t="s">
        <v>31</v>
      </c>
      <c r="I561" t="s">
        <v>91</v>
      </c>
      <c r="J561" t="s">
        <v>47</v>
      </c>
      <c r="K561">
        <v>2.9</v>
      </c>
      <c r="L561" t="s">
        <v>34</v>
      </c>
      <c r="M561" t="s">
        <v>48</v>
      </c>
      <c r="N561" t="s">
        <v>34</v>
      </c>
      <c r="O561">
        <v>22</v>
      </c>
      <c r="P561" t="s">
        <v>88</v>
      </c>
      <c r="Q561" t="s">
        <v>42</v>
      </c>
      <c r="R561" s="1">
        <v>0.1</v>
      </c>
      <c r="S561">
        <f t="shared" si="32"/>
        <v>36.9</v>
      </c>
      <c r="T561">
        <f>IFERROR(VLOOKUP(A561,Table1[[Customer ID]:[Discount Amount]], 6, FALSE),"Not Found")</f>
        <v>41</v>
      </c>
      <c r="U561" t="str">
        <f t="shared" si="33"/>
        <v>Bank Transfer</v>
      </c>
      <c r="V561" s="4" t="str">
        <f t="shared" si="34"/>
        <v>Normal</v>
      </c>
      <c r="W561" s="4" t="str">
        <f t="shared" si="35"/>
        <v>Poor</v>
      </c>
      <c r="X561" s="4">
        <f>AVERAGE(Table1[Purchase Amount])</f>
        <v>129.48419400000012</v>
      </c>
    </row>
    <row r="562" spans="1:24" ht="15" customHeight="1" x14ac:dyDescent="0.25">
      <c r="A562">
        <v>561</v>
      </c>
      <c r="B562">
        <v>25</v>
      </c>
      <c r="C562" t="s">
        <v>27</v>
      </c>
      <c r="D562" t="s">
        <v>50</v>
      </c>
      <c r="E562" t="s">
        <v>29</v>
      </c>
      <c r="F562" s="2">
        <v>48</v>
      </c>
      <c r="G562" t="s">
        <v>119</v>
      </c>
      <c r="H562" t="s">
        <v>45</v>
      </c>
      <c r="I562" t="s">
        <v>46</v>
      </c>
      <c r="J562" t="s">
        <v>47</v>
      </c>
      <c r="K562">
        <v>1</v>
      </c>
      <c r="L562" t="s">
        <v>34</v>
      </c>
      <c r="M562" t="s">
        <v>35</v>
      </c>
      <c r="N562" t="s">
        <v>34</v>
      </c>
      <c r="O562">
        <v>12</v>
      </c>
      <c r="P562" t="s">
        <v>36</v>
      </c>
      <c r="Q562" t="s">
        <v>49</v>
      </c>
      <c r="R562" s="1">
        <v>0.1</v>
      </c>
      <c r="S562">
        <f t="shared" si="32"/>
        <v>43.2</v>
      </c>
      <c r="T562">
        <f>IFERROR(VLOOKUP(A562,Table1[[Customer ID]:[Discount Amount]], 6, FALSE),"Not Found")</f>
        <v>48</v>
      </c>
      <c r="U562" t="str">
        <f t="shared" si="33"/>
        <v>Debit Card</v>
      </c>
      <c r="V562" s="4" t="str">
        <f t="shared" si="34"/>
        <v>Normal</v>
      </c>
      <c r="W562" s="4" t="str">
        <f t="shared" si="35"/>
        <v>Poor</v>
      </c>
      <c r="X562" s="4">
        <f>AVERAGE(Table1[Purchase Amount])</f>
        <v>129.48419400000012</v>
      </c>
    </row>
    <row r="563" spans="1:24" ht="15" customHeight="1" x14ac:dyDescent="0.25">
      <c r="A563">
        <v>562</v>
      </c>
      <c r="B563">
        <v>65</v>
      </c>
      <c r="C563" t="s">
        <v>27</v>
      </c>
      <c r="D563" t="s">
        <v>96</v>
      </c>
      <c r="E563" t="s">
        <v>77</v>
      </c>
      <c r="F563" s="2">
        <v>65</v>
      </c>
      <c r="G563" t="s">
        <v>51</v>
      </c>
      <c r="H563" t="s">
        <v>31</v>
      </c>
      <c r="I563" t="s">
        <v>74</v>
      </c>
      <c r="J563" t="s">
        <v>47</v>
      </c>
      <c r="K563">
        <v>2.6</v>
      </c>
      <c r="L563" t="s">
        <v>34</v>
      </c>
      <c r="M563" t="s">
        <v>79</v>
      </c>
      <c r="N563" t="s">
        <v>34</v>
      </c>
      <c r="O563">
        <v>25</v>
      </c>
      <c r="P563" t="s">
        <v>58</v>
      </c>
      <c r="Q563" t="s">
        <v>89</v>
      </c>
      <c r="R563" s="1">
        <v>0.1</v>
      </c>
      <c r="S563">
        <f t="shared" si="32"/>
        <v>58.5</v>
      </c>
      <c r="T563">
        <f>IFERROR(VLOOKUP(A563,Table1[[Customer ID]:[Discount Amount]], 6, FALSE),"Not Found")</f>
        <v>65</v>
      </c>
      <c r="U563" t="str">
        <f t="shared" si="33"/>
        <v>PayPal</v>
      </c>
      <c r="V563" s="4" t="str">
        <f t="shared" si="34"/>
        <v>Normal</v>
      </c>
      <c r="W563" s="4" t="str">
        <f t="shared" si="35"/>
        <v>Poor</v>
      </c>
      <c r="X563" s="4">
        <f>AVERAGE(Table1[Purchase Amount])</f>
        <v>129.48419400000012</v>
      </c>
    </row>
    <row r="564" spans="1:24" ht="15" customHeight="1" x14ac:dyDescent="0.25">
      <c r="A564">
        <v>563</v>
      </c>
      <c r="B564">
        <v>53</v>
      </c>
      <c r="C564" t="s">
        <v>27</v>
      </c>
      <c r="D564" t="s">
        <v>109</v>
      </c>
      <c r="E564" t="s">
        <v>18</v>
      </c>
      <c r="F564" s="2">
        <v>62</v>
      </c>
      <c r="G564" t="s">
        <v>146</v>
      </c>
      <c r="H564" t="s">
        <v>31</v>
      </c>
      <c r="I564" t="s">
        <v>74</v>
      </c>
      <c r="J564" t="s">
        <v>57</v>
      </c>
      <c r="K564">
        <v>3.5</v>
      </c>
      <c r="L564" t="s">
        <v>34</v>
      </c>
      <c r="M564" t="s">
        <v>24</v>
      </c>
      <c r="N564" t="s">
        <v>34</v>
      </c>
      <c r="O564">
        <v>40</v>
      </c>
      <c r="P564" t="s">
        <v>36</v>
      </c>
      <c r="Q564" t="s">
        <v>49</v>
      </c>
      <c r="R564" s="1">
        <v>0.1</v>
      </c>
      <c r="S564">
        <f t="shared" si="32"/>
        <v>55.8</v>
      </c>
      <c r="T564">
        <f>IFERROR(VLOOKUP(A564,Table1[[Customer ID]:[Discount Amount]], 6, FALSE),"Not Found")</f>
        <v>62</v>
      </c>
      <c r="U564" t="str">
        <f t="shared" si="33"/>
        <v>Debit Card</v>
      </c>
      <c r="V564" s="4" t="str">
        <f t="shared" si="34"/>
        <v>Normal</v>
      </c>
      <c r="W564" s="4" t="str">
        <f t="shared" si="35"/>
        <v>Good</v>
      </c>
      <c r="X564" s="4">
        <f>AVERAGE(Table1[Purchase Amount])</f>
        <v>129.48419400000012</v>
      </c>
    </row>
    <row r="565" spans="1:24" ht="15" customHeight="1" x14ac:dyDescent="0.25">
      <c r="A565">
        <v>564</v>
      </c>
      <c r="B565">
        <v>61</v>
      </c>
      <c r="C565" t="s">
        <v>27</v>
      </c>
      <c r="D565" t="s">
        <v>72</v>
      </c>
      <c r="E565" t="s">
        <v>98</v>
      </c>
      <c r="F565" s="2">
        <v>99</v>
      </c>
      <c r="G565" t="s">
        <v>161</v>
      </c>
      <c r="H565" t="s">
        <v>31</v>
      </c>
      <c r="I565" t="s">
        <v>40</v>
      </c>
      <c r="J565" t="s">
        <v>47</v>
      </c>
      <c r="K565">
        <v>4.4000000000000004</v>
      </c>
      <c r="L565" t="s">
        <v>34</v>
      </c>
      <c r="M565" t="s">
        <v>24</v>
      </c>
      <c r="N565" t="s">
        <v>34</v>
      </c>
      <c r="O565">
        <v>16</v>
      </c>
      <c r="P565" t="s">
        <v>36</v>
      </c>
      <c r="Q565" t="s">
        <v>37</v>
      </c>
      <c r="R565" s="1">
        <v>0.1</v>
      </c>
      <c r="S565">
        <f t="shared" si="32"/>
        <v>89.1</v>
      </c>
      <c r="T565">
        <f>IFERROR(VLOOKUP(A565,Table1[[Customer ID]:[Discount Amount]], 6, FALSE),"Not Found")</f>
        <v>99</v>
      </c>
      <c r="U565" t="str">
        <f t="shared" si="33"/>
        <v>Debit Card</v>
      </c>
      <c r="V565" s="4" t="str">
        <f t="shared" si="34"/>
        <v>Normal</v>
      </c>
      <c r="W565" s="4" t="str">
        <f t="shared" si="35"/>
        <v>Good</v>
      </c>
      <c r="X565" s="4">
        <f>AVERAGE(Table1[Purchase Amount])</f>
        <v>129.48419400000012</v>
      </c>
    </row>
    <row r="566" spans="1:24" ht="15" customHeight="1" x14ac:dyDescent="0.25">
      <c r="A566">
        <v>565</v>
      </c>
      <c r="B566">
        <v>67</v>
      </c>
      <c r="C566" t="s">
        <v>27</v>
      </c>
      <c r="D566" t="s">
        <v>83</v>
      </c>
      <c r="E566" t="s">
        <v>18</v>
      </c>
      <c r="F566" s="2">
        <v>58</v>
      </c>
      <c r="G566" t="s">
        <v>67</v>
      </c>
      <c r="H566" t="s">
        <v>31</v>
      </c>
      <c r="I566" t="s">
        <v>21</v>
      </c>
      <c r="J566" t="s">
        <v>22</v>
      </c>
      <c r="K566">
        <v>3.4</v>
      </c>
      <c r="L566" t="s">
        <v>34</v>
      </c>
      <c r="M566" t="s">
        <v>79</v>
      </c>
      <c r="N566" t="s">
        <v>34</v>
      </c>
      <c r="O566">
        <v>30</v>
      </c>
      <c r="P566" t="s">
        <v>88</v>
      </c>
      <c r="Q566" t="s">
        <v>26</v>
      </c>
      <c r="R566" s="1">
        <v>0.1</v>
      </c>
      <c r="S566">
        <f t="shared" si="32"/>
        <v>52.2</v>
      </c>
      <c r="T566">
        <f>IFERROR(VLOOKUP(A566,Table1[[Customer ID]:[Discount Amount]], 6, FALSE),"Not Found")</f>
        <v>58</v>
      </c>
      <c r="U566" t="str">
        <f t="shared" si="33"/>
        <v>Bank Transfer</v>
      </c>
      <c r="V566" s="4" t="str">
        <f t="shared" si="34"/>
        <v>Normal</v>
      </c>
      <c r="W566" s="4" t="str">
        <f t="shared" si="35"/>
        <v>Good</v>
      </c>
      <c r="X566" s="4">
        <f>AVERAGE(Table1[Purchase Amount])</f>
        <v>129.48419400000012</v>
      </c>
    </row>
    <row r="567" spans="1:24" ht="15" customHeight="1" x14ac:dyDescent="0.25">
      <c r="A567">
        <v>566</v>
      </c>
      <c r="B567">
        <v>59</v>
      </c>
      <c r="C567" t="s">
        <v>27</v>
      </c>
      <c r="D567" t="s">
        <v>104</v>
      </c>
      <c r="E567" t="s">
        <v>29</v>
      </c>
      <c r="F567" s="2">
        <v>43</v>
      </c>
      <c r="G567" t="s">
        <v>161</v>
      </c>
      <c r="H567" t="s">
        <v>45</v>
      </c>
      <c r="I567" t="s">
        <v>107</v>
      </c>
      <c r="J567" t="s">
        <v>47</v>
      </c>
      <c r="K567">
        <v>4.2</v>
      </c>
      <c r="L567" t="s">
        <v>34</v>
      </c>
      <c r="M567" t="s">
        <v>48</v>
      </c>
      <c r="N567" t="s">
        <v>34</v>
      </c>
      <c r="O567">
        <v>10</v>
      </c>
      <c r="P567" t="s">
        <v>62</v>
      </c>
      <c r="Q567" t="s">
        <v>26</v>
      </c>
      <c r="R567" s="1">
        <v>0.1</v>
      </c>
      <c r="S567">
        <f t="shared" si="32"/>
        <v>38.700000000000003</v>
      </c>
      <c r="T567">
        <f>IFERROR(VLOOKUP(A567,Table1[[Customer ID]:[Discount Amount]], 6, FALSE),"Not Found")</f>
        <v>43</v>
      </c>
      <c r="U567" t="str">
        <f t="shared" si="33"/>
        <v>Venmo</v>
      </c>
      <c r="V567" s="4" t="str">
        <f t="shared" si="34"/>
        <v>Normal</v>
      </c>
      <c r="W567" s="4" t="str">
        <f t="shared" si="35"/>
        <v>Good</v>
      </c>
      <c r="X567" s="4">
        <f>AVERAGE(Table1[Purchase Amount])</f>
        <v>129.48419400000012</v>
      </c>
    </row>
    <row r="568" spans="1:24" ht="15" customHeight="1" x14ac:dyDescent="0.25">
      <c r="A568">
        <v>567</v>
      </c>
      <c r="B568">
        <v>55</v>
      </c>
      <c r="C568" t="s">
        <v>27</v>
      </c>
      <c r="D568" t="s">
        <v>140</v>
      </c>
      <c r="E568" t="s">
        <v>98</v>
      </c>
      <c r="F568" s="2">
        <v>93</v>
      </c>
      <c r="G568" t="s">
        <v>51</v>
      </c>
      <c r="H568" t="s">
        <v>31</v>
      </c>
      <c r="I568" t="s">
        <v>91</v>
      </c>
      <c r="J568" t="s">
        <v>33</v>
      </c>
      <c r="K568">
        <v>3.6</v>
      </c>
      <c r="L568" t="s">
        <v>34</v>
      </c>
      <c r="M568" t="s">
        <v>48</v>
      </c>
      <c r="N568" t="s">
        <v>34</v>
      </c>
      <c r="O568">
        <v>1</v>
      </c>
      <c r="P568" t="s">
        <v>36</v>
      </c>
      <c r="Q568" t="s">
        <v>89</v>
      </c>
      <c r="R568" s="1">
        <v>0.1</v>
      </c>
      <c r="S568">
        <f t="shared" si="32"/>
        <v>83.7</v>
      </c>
      <c r="T568">
        <f>IFERROR(VLOOKUP(A568,Table1[[Customer ID]:[Discount Amount]], 6, FALSE),"Not Found")</f>
        <v>93</v>
      </c>
      <c r="U568" t="str">
        <f t="shared" si="33"/>
        <v>Debit Card</v>
      </c>
      <c r="V568" s="4" t="str">
        <f t="shared" si="34"/>
        <v>Normal</v>
      </c>
      <c r="W568" s="4" t="str">
        <f t="shared" si="35"/>
        <v>Good</v>
      </c>
      <c r="X568" s="4">
        <f>AVERAGE(Table1[Purchase Amount])</f>
        <v>129.48419400000012</v>
      </c>
    </row>
    <row r="569" spans="1:24" ht="15" customHeight="1" x14ac:dyDescent="0.25">
      <c r="A569">
        <v>568</v>
      </c>
      <c r="B569">
        <v>21</v>
      </c>
      <c r="C569" t="s">
        <v>27</v>
      </c>
      <c r="D569" t="s">
        <v>118</v>
      </c>
      <c r="E569" t="s">
        <v>18</v>
      </c>
      <c r="F569" s="2">
        <v>50</v>
      </c>
      <c r="G569" t="s">
        <v>132</v>
      </c>
      <c r="H569" t="s">
        <v>55</v>
      </c>
      <c r="I569" t="s">
        <v>46</v>
      </c>
      <c r="J569" t="s">
        <v>22</v>
      </c>
      <c r="K569">
        <v>3</v>
      </c>
      <c r="L569" t="s">
        <v>34</v>
      </c>
      <c r="M569" t="s">
        <v>79</v>
      </c>
      <c r="N569" t="s">
        <v>34</v>
      </c>
      <c r="O569">
        <v>24</v>
      </c>
      <c r="P569" t="s">
        <v>62</v>
      </c>
      <c r="Q569" t="s">
        <v>89</v>
      </c>
      <c r="R569" s="1">
        <v>0.1</v>
      </c>
      <c r="S569">
        <f t="shared" si="32"/>
        <v>45</v>
      </c>
      <c r="T569">
        <f>IFERROR(VLOOKUP(A569,Table1[[Customer ID]:[Discount Amount]], 6, FALSE),"Not Found")</f>
        <v>50</v>
      </c>
      <c r="U569" t="str">
        <f t="shared" si="33"/>
        <v>Venmo</v>
      </c>
      <c r="V569" s="4" t="str">
        <f t="shared" si="34"/>
        <v>Normal</v>
      </c>
      <c r="W569" s="4" t="str">
        <f t="shared" si="35"/>
        <v>Good</v>
      </c>
      <c r="X569" s="4">
        <f>AVERAGE(Table1[Purchase Amount])</f>
        <v>129.48419400000012</v>
      </c>
    </row>
    <row r="570" spans="1:24" ht="15" customHeight="1" x14ac:dyDescent="0.25">
      <c r="A570">
        <v>569</v>
      </c>
      <c r="B570">
        <v>44</v>
      </c>
      <c r="C570" t="s">
        <v>27</v>
      </c>
      <c r="D570" t="s">
        <v>99</v>
      </c>
      <c r="E570" t="s">
        <v>18</v>
      </c>
      <c r="F570" s="2">
        <v>88</v>
      </c>
      <c r="G570" t="s">
        <v>144</v>
      </c>
      <c r="H570" t="s">
        <v>45</v>
      </c>
      <c r="I570" t="s">
        <v>46</v>
      </c>
      <c r="J570" t="s">
        <v>57</v>
      </c>
      <c r="K570">
        <v>4</v>
      </c>
      <c r="L570" t="s">
        <v>34</v>
      </c>
      <c r="M570" t="s">
        <v>35</v>
      </c>
      <c r="N570" t="s">
        <v>34</v>
      </c>
      <c r="O570">
        <v>36</v>
      </c>
      <c r="P570" t="s">
        <v>58</v>
      </c>
      <c r="Q570" t="s">
        <v>42</v>
      </c>
      <c r="R570" s="1">
        <v>0.1</v>
      </c>
      <c r="S570">
        <f t="shared" si="32"/>
        <v>79.2</v>
      </c>
      <c r="T570">
        <f>IFERROR(VLOOKUP(A570,Table1[[Customer ID]:[Discount Amount]], 6, FALSE),"Not Found")</f>
        <v>88</v>
      </c>
      <c r="U570" t="str">
        <f t="shared" si="33"/>
        <v>PayPal</v>
      </c>
      <c r="V570" s="4" t="str">
        <f t="shared" si="34"/>
        <v>Normal</v>
      </c>
      <c r="W570" s="4" t="str">
        <f t="shared" si="35"/>
        <v>Good</v>
      </c>
      <c r="X570" s="4">
        <f>AVERAGE(Table1[Purchase Amount])</f>
        <v>129.48419400000012</v>
      </c>
    </row>
    <row r="571" spans="1:24" ht="15" customHeight="1" x14ac:dyDescent="0.25">
      <c r="A571">
        <v>570</v>
      </c>
      <c r="B571">
        <v>65</v>
      </c>
      <c r="C571" t="s">
        <v>27</v>
      </c>
      <c r="D571" t="s">
        <v>122</v>
      </c>
      <c r="E571" t="s">
        <v>18</v>
      </c>
      <c r="F571" s="2">
        <v>33</v>
      </c>
      <c r="G571" t="s">
        <v>51</v>
      </c>
      <c r="H571" t="s">
        <v>31</v>
      </c>
      <c r="I571" t="s">
        <v>136</v>
      </c>
      <c r="J571" t="s">
        <v>47</v>
      </c>
      <c r="K571">
        <v>4.4000000000000004</v>
      </c>
      <c r="L571" t="s">
        <v>34</v>
      </c>
      <c r="M571" t="s">
        <v>61</v>
      </c>
      <c r="N571" t="s">
        <v>34</v>
      </c>
      <c r="O571">
        <v>46</v>
      </c>
      <c r="P571" t="s">
        <v>53</v>
      </c>
      <c r="Q571" t="s">
        <v>63</v>
      </c>
      <c r="R571" s="1">
        <v>0.1</v>
      </c>
      <c r="S571">
        <f t="shared" si="32"/>
        <v>29.7</v>
      </c>
      <c r="T571">
        <f>IFERROR(VLOOKUP(A571,Table1[[Customer ID]:[Discount Amount]], 6, FALSE),"Not Found")</f>
        <v>33</v>
      </c>
      <c r="U571" t="str">
        <f t="shared" si="33"/>
        <v>Credit Card</v>
      </c>
      <c r="V571" s="4" t="str">
        <f t="shared" si="34"/>
        <v>Normal</v>
      </c>
      <c r="W571" s="4" t="str">
        <f t="shared" si="35"/>
        <v>Good</v>
      </c>
      <c r="X571" s="4">
        <f>AVERAGE(Table1[Purchase Amount])</f>
        <v>129.48419400000012</v>
      </c>
    </row>
    <row r="572" spans="1:24" ht="15" customHeight="1" x14ac:dyDescent="0.25">
      <c r="A572">
        <v>571</v>
      </c>
      <c r="B572">
        <v>65</v>
      </c>
      <c r="C572" t="s">
        <v>27</v>
      </c>
      <c r="D572" t="s">
        <v>17</v>
      </c>
      <c r="E572" t="s">
        <v>18</v>
      </c>
      <c r="F572" s="2">
        <v>99</v>
      </c>
      <c r="G572" t="s">
        <v>141</v>
      </c>
      <c r="H572" t="s">
        <v>20</v>
      </c>
      <c r="I572" t="s">
        <v>66</v>
      </c>
      <c r="J572" t="s">
        <v>47</v>
      </c>
      <c r="K572">
        <v>4.0999999999999996</v>
      </c>
      <c r="L572" t="s">
        <v>34</v>
      </c>
      <c r="M572" t="s">
        <v>24</v>
      </c>
      <c r="N572" t="s">
        <v>34</v>
      </c>
      <c r="O572">
        <v>20</v>
      </c>
      <c r="P572" t="s">
        <v>25</v>
      </c>
      <c r="Q572" t="s">
        <v>49</v>
      </c>
      <c r="R572" s="1">
        <v>0.1</v>
      </c>
      <c r="S572">
        <f t="shared" si="32"/>
        <v>89.1</v>
      </c>
      <c r="T572">
        <f>IFERROR(VLOOKUP(A572,Table1[[Customer ID]:[Discount Amount]], 6, FALSE),"Not Found")</f>
        <v>99</v>
      </c>
      <c r="U572" t="str">
        <f t="shared" si="33"/>
        <v>Cash</v>
      </c>
      <c r="V572" s="4" t="str">
        <f t="shared" si="34"/>
        <v>Normal</v>
      </c>
      <c r="W572" s="4" t="str">
        <f t="shared" si="35"/>
        <v>Good</v>
      </c>
      <c r="X572" s="4">
        <f>AVERAGE(Table1[Purchase Amount])</f>
        <v>129.48419400000012</v>
      </c>
    </row>
    <row r="573" spans="1:24" ht="15" customHeight="1" x14ac:dyDescent="0.25">
      <c r="A573">
        <v>572</v>
      </c>
      <c r="B573">
        <v>54</v>
      </c>
      <c r="C573" t="s">
        <v>27</v>
      </c>
      <c r="D573" t="s">
        <v>96</v>
      </c>
      <c r="E573" t="s">
        <v>77</v>
      </c>
      <c r="F573" s="2">
        <v>76</v>
      </c>
      <c r="G573" t="s">
        <v>70</v>
      </c>
      <c r="H573" t="s">
        <v>20</v>
      </c>
      <c r="I573" t="s">
        <v>128</v>
      </c>
      <c r="J573" t="s">
        <v>33</v>
      </c>
      <c r="K573">
        <v>3.6</v>
      </c>
      <c r="L573" t="s">
        <v>34</v>
      </c>
      <c r="M573" t="s">
        <v>35</v>
      </c>
      <c r="N573" t="s">
        <v>34</v>
      </c>
      <c r="O573">
        <v>37</v>
      </c>
      <c r="P573" t="s">
        <v>62</v>
      </c>
      <c r="Q573" t="s">
        <v>26</v>
      </c>
      <c r="R573" s="1">
        <v>0.1</v>
      </c>
      <c r="S573">
        <f t="shared" si="32"/>
        <v>68.400000000000006</v>
      </c>
      <c r="T573">
        <f>IFERROR(VLOOKUP(A573,Table1[[Customer ID]:[Discount Amount]], 6, FALSE),"Not Found")</f>
        <v>76</v>
      </c>
      <c r="U573" t="str">
        <f t="shared" si="33"/>
        <v>Venmo</v>
      </c>
      <c r="V573" s="4" t="str">
        <f t="shared" si="34"/>
        <v>Normal</v>
      </c>
      <c r="W573" s="4" t="str">
        <f t="shared" si="35"/>
        <v>Good</v>
      </c>
      <c r="X573" s="4">
        <f>AVERAGE(Table1[Purchase Amount])</f>
        <v>129.48419400000012</v>
      </c>
    </row>
    <row r="574" spans="1:24" ht="15" customHeight="1" x14ac:dyDescent="0.25">
      <c r="A574">
        <v>573</v>
      </c>
      <c r="B574">
        <v>56</v>
      </c>
      <c r="C574" t="s">
        <v>27</v>
      </c>
      <c r="D574" t="s">
        <v>129</v>
      </c>
      <c r="E574" t="s">
        <v>29</v>
      </c>
      <c r="F574" s="2">
        <v>97</v>
      </c>
      <c r="G574" t="s">
        <v>30</v>
      </c>
      <c r="H574" t="s">
        <v>20</v>
      </c>
      <c r="I574" t="s">
        <v>128</v>
      </c>
      <c r="J574" t="s">
        <v>57</v>
      </c>
      <c r="K574">
        <v>4.5999999999999996</v>
      </c>
      <c r="L574" t="s">
        <v>34</v>
      </c>
      <c r="M574" t="s">
        <v>79</v>
      </c>
      <c r="N574" t="s">
        <v>34</v>
      </c>
      <c r="O574">
        <v>26</v>
      </c>
      <c r="P574" t="s">
        <v>88</v>
      </c>
      <c r="Q574" t="s">
        <v>49</v>
      </c>
      <c r="R574" s="1">
        <v>0.1</v>
      </c>
      <c r="S574">
        <f t="shared" si="32"/>
        <v>87.3</v>
      </c>
      <c r="T574">
        <f>IFERROR(VLOOKUP(A574,Table1[[Customer ID]:[Discount Amount]], 6, FALSE),"Not Found")</f>
        <v>97</v>
      </c>
      <c r="U574" t="str">
        <f t="shared" si="33"/>
        <v>Bank Transfer</v>
      </c>
      <c r="V574" s="4" t="str">
        <f t="shared" si="34"/>
        <v>Normal</v>
      </c>
      <c r="W574" s="4" t="str">
        <f t="shared" si="35"/>
        <v>Good</v>
      </c>
      <c r="X574" s="4">
        <f>AVERAGE(Table1[Purchase Amount])</f>
        <v>129.48419400000012</v>
      </c>
    </row>
    <row r="575" spans="1:24" ht="15" customHeight="1" x14ac:dyDescent="0.25">
      <c r="A575">
        <v>574</v>
      </c>
      <c r="B575">
        <v>58</v>
      </c>
      <c r="C575" t="s">
        <v>27</v>
      </c>
      <c r="D575" t="s">
        <v>99</v>
      </c>
      <c r="E575" t="s">
        <v>18</v>
      </c>
      <c r="F575" s="2">
        <v>68</v>
      </c>
      <c r="G575" t="s">
        <v>19</v>
      </c>
      <c r="H575" t="s">
        <v>31</v>
      </c>
      <c r="I575" t="s">
        <v>103</v>
      </c>
      <c r="J575" t="s">
        <v>57</v>
      </c>
      <c r="K575">
        <v>3.2</v>
      </c>
      <c r="L575" t="s">
        <v>34</v>
      </c>
      <c r="M575" t="s">
        <v>41</v>
      </c>
      <c r="N575" t="s">
        <v>34</v>
      </c>
      <c r="O575">
        <v>23</v>
      </c>
      <c r="P575" t="s">
        <v>53</v>
      </c>
      <c r="Q575" t="s">
        <v>68</v>
      </c>
      <c r="R575" s="1">
        <v>0.1</v>
      </c>
      <c r="S575">
        <f t="shared" si="32"/>
        <v>61.2</v>
      </c>
      <c r="T575">
        <f>IFERROR(VLOOKUP(A575,Table1[[Customer ID]:[Discount Amount]], 6, FALSE),"Not Found")</f>
        <v>68</v>
      </c>
      <c r="U575" t="str">
        <f t="shared" si="33"/>
        <v>Credit Card</v>
      </c>
      <c r="V575" s="4" t="str">
        <f t="shared" si="34"/>
        <v>Normal</v>
      </c>
      <c r="W575" s="4" t="str">
        <f t="shared" si="35"/>
        <v>Good</v>
      </c>
      <c r="X575" s="4">
        <f>AVERAGE(Table1[Purchase Amount])</f>
        <v>129.48419400000012</v>
      </c>
    </row>
    <row r="576" spans="1:24" ht="15" customHeight="1" x14ac:dyDescent="0.25">
      <c r="A576">
        <v>575</v>
      </c>
      <c r="B576">
        <v>54</v>
      </c>
      <c r="C576" t="s">
        <v>27</v>
      </c>
      <c r="D576" t="s">
        <v>140</v>
      </c>
      <c r="E576" t="s">
        <v>98</v>
      </c>
      <c r="F576" s="2">
        <v>79</v>
      </c>
      <c r="G576" t="s">
        <v>94</v>
      </c>
      <c r="H576" t="s">
        <v>45</v>
      </c>
      <c r="I576" t="s">
        <v>46</v>
      </c>
      <c r="J576" t="s">
        <v>47</v>
      </c>
      <c r="K576">
        <v>4.8</v>
      </c>
      <c r="L576" t="s">
        <v>34</v>
      </c>
      <c r="M576" t="s">
        <v>35</v>
      </c>
      <c r="N576" t="s">
        <v>34</v>
      </c>
      <c r="O576">
        <v>20</v>
      </c>
      <c r="P576" t="s">
        <v>88</v>
      </c>
      <c r="Q576" t="s">
        <v>68</v>
      </c>
      <c r="R576" s="1">
        <v>0.1</v>
      </c>
      <c r="S576">
        <f t="shared" si="32"/>
        <v>71.099999999999994</v>
      </c>
      <c r="T576">
        <f>IFERROR(VLOOKUP(A576,Table1[[Customer ID]:[Discount Amount]], 6, FALSE),"Not Found")</f>
        <v>79</v>
      </c>
      <c r="U576" t="str">
        <f t="shared" si="33"/>
        <v>Bank Transfer</v>
      </c>
      <c r="V576" s="4" t="str">
        <f t="shared" si="34"/>
        <v>Normal</v>
      </c>
      <c r="W576" s="4" t="str">
        <f t="shared" si="35"/>
        <v>Good</v>
      </c>
      <c r="X576" s="4">
        <f>AVERAGE(Table1[Purchase Amount])</f>
        <v>129.48419400000012</v>
      </c>
    </row>
    <row r="577" spans="1:24" ht="15" customHeight="1" x14ac:dyDescent="0.25">
      <c r="A577">
        <v>576</v>
      </c>
      <c r="B577">
        <v>58</v>
      </c>
      <c r="C577" t="s">
        <v>27</v>
      </c>
      <c r="D577" t="s">
        <v>109</v>
      </c>
      <c r="E577" t="s">
        <v>18</v>
      </c>
      <c r="F577" s="2">
        <v>86</v>
      </c>
      <c r="G577" t="s">
        <v>137</v>
      </c>
      <c r="H577" t="s">
        <v>31</v>
      </c>
      <c r="I577" t="s">
        <v>145</v>
      </c>
      <c r="J577" t="s">
        <v>47</v>
      </c>
      <c r="K577">
        <v>4.8</v>
      </c>
      <c r="L577" t="s">
        <v>34</v>
      </c>
      <c r="M577" t="s">
        <v>61</v>
      </c>
      <c r="N577" t="s">
        <v>34</v>
      </c>
      <c r="O577">
        <v>38</v>
      </c>
      <c r="P577" t="s">
        <v>58</v>
      </c>
      <c r="Q577" t="s">
        <v>42</v>
      </c>
      <c r="R577" s="1">
        <v>0.1</v>
      </c>
      <c r="S577">
        <f t="shared" si="32"/>
        <v>77.400000000000006</v>
      </c>
      <c r="T577">
        <f>IFERROR(VLOOKUP(A577,Table1[[Customer ID]:[Discount Amount]], 6, FALSE),"Not Found")</f>
        <v>86</v>
      </c>
      <c r="U577" t="str">
        <f t="shared" si="33"/>
        <v>PayPal</v>
      </c>
      <c r="V577" s="4" t="str">
        <f t="shared" si="34"/>
        <v>Normal</v>
      </c>
      <c r="W577" s="4" t="str">
        <f t="shared" si="35"/>
        <v>Good</v>
      </c>
      <c r="X577" s="4">
        <f>AVERAGE(Table1[Purchase Amount])</f>
        <v>129.48419400000012</v>
      </c>
    </row>
    <row r="578" spans="1:24" ht="15" customHeight="1" x14ac:dyDescent="0.25">
      <c r="A578">
        <v>577</v>
      </c>
      <c r="B578">
        <v>48</v>
      </c>
      <c r="C578" t="s">
        <v>27</v>
      </c>
      <c r="D578" t="s">
        <v>64</v>
      </c>
      <c r="E578" t="s">
        <v>29</v>
      </c>
      <c r="F578" s="2">
        <v>68</v>
      </c>
      <c r="G578" t="s">
        <v>155</v>
      </c>
      <c r="H578" t="s">
        <v>31</v>
      </c>
      <c r="I578" t="s">
        <v>40</v>
      </c>
      <c r="J578" t="s">
        <v>22</v>
      </c>
      <c r="K578">
        <v>5</v>
      </c>
      <c r="L578" t="s">
        <v>34</v>
      </c>
      <c r="M578" t="s">
        <v>41</v>
      </c>
      <c r="N578" t="s">
        <v>34</v>
      </c>
      <c r="O578">
        <v>5</v>
      </c>
      <c r="P578" t="s">
        <v>53</v>
      </c>
      <c r="Q578" t="s">
        <v>63</v>
      </c>
      <c r="R578" s="1">
        <v>0.1</v>
      </c>
      <c r="S578">
        <f t="shared" ref="S578:S641" si="36">F578-(F578*R578)</f>
        <v>61.2</v>
      </c>
      <c r="T578">
        <f>IFERROR(VLOOKUP(A578,Table1[[Customer ID]:[Discount Amount]], 6, FALSE),"Not Found")</f>
        <v>68</v>
      </c>
      <c r="U578" t="str">
        <f t="shared" ref="U578:U641" si="37">INDEX(P:P, MATCH(A578, A:A, 0))</f>
        <v>Credit Card</v>
      </c>
      <c r="V578" s="4" t="str">
        <f t="shared" ref="V578:V641" si="38">IF(AND(F578&gt;1000,K578&gt;=4),"Best Customer","Normal")</f>
        <v>Normal</v>
      </c>
      <c r="W578" s="4" t="str">
        <f t="shared" ref="W578:W641" si="39">IF(K578&gt;=3,"Good","Poor")</f>
        <v>Good</v>
      </c>
      <c r="X578" s="4">
        <f>AVERAGE(Table1[Purchase Amount])</f>
        <v>129.48419400000012</v>
      </c>
    </row>
    <row r="579" spans="1:24" ht="15" customHeight="1" x14ac:dyDescent="0.25">
      <c r="A579">
        <v>578</v>
      </c>
      <c r="B579">
        <v>19</v>
      </c>
      <c r="C579" t="s">
        <v>27</v>
      </c>
      <c r="D579" t="s">
        <v>122</v>
      </c>
      <c r="E579" t="s">
        <v>18</v>
      </c>
      <c r="F579" s="2">
        <v>52</v>
      </c>
      <c r="G579" t="s">
        <v>51</v>
      </c>
      <c r="H579" t="s">
        <v>31</v>
      </c>
      <c r="I579" t="s">
        <v>40</v>
      </c>
      <c r="J579" t="s">
        <v>47</v>
      </c>
      <c r="K579">
        <v>3.7</v>
      </c>
      <c r="L579" t="s">
        <v>34</v>
      </c>
      <c r="M579" t="s">
        <v>48</v>
      </c>
      <c r="N579" t="s">
        <v>34</v>
      </c>
      <c r="O579">
        <v>41</v>
      </c>
      <c r="P579" t="s">
        <v>62</v>
      </c>
      <c r="Q579" t="s">
        <v>49</v>
      </c>
      <c r="R579" s="1">
        <v>0.1</v>
      </c>
      <c r="S579">
        <f t="shared" si="36"/>
        <v>46.8</v>
      </c>
      <c r="T579">
        <f>IFERROR(VLOOKUP(A579,Table1[[Customer ID]:[Discount Amount]], 6, FALSE),"Not Found")</f>
        <v>52</v>
      </c>
      <c r="U579" t="str">
        <f t="shared" si="37"/>
        <v>Venmo</v>
      </c>
      <c r="V579" s="4" t="str">
        <f t="shared" si="38"/>
        <v>Normal</v>
      </c>
      <c r="W579" s="4" t="str">
        <f t="shared" si="39"/>
        <v>Good</v>
      </c>
      <c r="X579" s="4">
        <f>AVERAGE(Table1[Purchase Amount])</f>
        <v>129.48419400000012</v>
      </c>
    </row>
    <row r="580" spans="1:24" ht="15" customHeight="1" x14ac:dyDescent="0.25">
      <c r="A580">
        <v>579</v>
      </c>
      <c r="B580">
        <v>69</v>
      </c>
      <c r="C580" t="s">
        <v>27</v>
      </c>
      <c r="D580" t="s">
        <v>121</v>
      </c>
      <c r="E580" t="s">
        <v>98</v>
      </c>
      <c r="F580" s="2">
        <v>90</v>
      </c>
      <c r="G580" t="s">
        <v>94</v>
      </c>
      <c r="H580" t="s">
        <v>31</v>
      </c>
      <c r="I580" t="s">
        <v>66</v>
      </c>
      <c r="J580" t="s">
        <v>47</v>
      </c>
      <c r="K580">
        <v>4.5999999999999996</v>
      </c>
      <c r="L580" t="s">
        <v>34</v>
      </c>
      <c r="M580" t="s">
        <v>79</v>
      </c>
      <c r="N580" t="s">
        <v>34</v>
      </c>
      <c r="O580">
        <v>22</v>
      </c>
      <c r="P580" t="s">
        <v>53</v>
      </c>
      <c r="Q580" t="s">
        <v>89</v>
      </c>
      <c r="R580" s="1">
        <v>0.1</v>
      </c>
      <c r="S580">
        <f t="shared" si="36"/>
        <v>81</v>
      </c>
      <c r="T580">
        <f>IFERROR(VLOOKUP(A580,Table1[[Customer ID]:[Discount Amount]], 6, FALSE),"Not Found")</f>
        <v>90</v>
      </c>
      <c r="U580" t="str">
        <f t="shared" si="37"/>
        <v>Credit Card</v>
      </c>
      <c r="V580" s="4" t="str">
        <f t="shared" si="38"/>
        <v>Normal</v>
      </c>
      <c r="W580" s="4" t="str">
        <f t="shared" si="39"/>
        <v>Good</v>
      </c>
      <c r="X580" s="4">
        <f>AVERAGE(Table1[Purchase Amount])</f>
        <v>129.48419400000012</v>
      </c>
    </row>
    <row r="581" spans="1:24" ht="15" customHeight="1" x14ac:dyDescent="0.25">
      <c r="A581">
        <v>580</v>
      </c>
      <c r="B581">
        <v>58</v>
      </c>
      <c r="C581" t="s">
        <v>27</v>
      </c>
      <c r="D581" t="s">
        <v>121</v>
      </c>
      <c r="E581" t="s">
        <v>98</v>
      </c>
      <c r="F581" s="2">
        <v>41</v>
      </c>
      <c r="G581" t="s">
        <v>19</v>
      </c>
      <c r="H581" t="s">
        <v>31</v>
      </c>
      <c r="I581" t="s">
        <v>111</v>
      </c>
      <c r="J581" t="s">
        <v>22</v>
      </c>
      <c r="K581">
        <v>3.7</v>
      </c>
      <c r="L581" t="s">
        <v>34</v>
      </c>
      <c r="M581" t="s">
        <v>35</v>
      </c>
      <c r="N581" t="s">
        <v>34</v>
      </c>
      <c r="O581">
        <v>48</v>
      </c>
      <c r="P581" t="s">
        <v>53</v>
      </c>
      <c r="Q581" t="s">
        <v>49</v>
      </c>
      <c r="R581" s="1">
        <v>0.1</v>
      </c>
      <c r="S581">
        <f t="shared" si="36"/>
        <v>36.9</v>
      </c>
      <c r="T581">
        <f>IFERROR(VLOOKUP(A581,Table1[[Customer ID]:[Discount Amount]], 6, FALSE),"Not Found")</f>
        <v>41</v>
      </c>
      <c r="U581" t="str">
        <f t="shared" si="37"/>
        <v>Credit Card</v>
      </c>
      <c r="V581" s="4" t="str">
        <f t="shared" si="38"/>
        <v>Normal</v>
      </c>
      <c r="W581" s="4" t="str">
        <f t="shared" si="39"/>
        <v>Good</v>
      </c>
      <c r="X581" s="4">
        <f>AVERAGE(Table1[Purchase Amount])</f>
        <v>129.48419400000012</v>
      </c>
    </row>
    <row r="582" spans="1:24" ht="15" customHeight="1" x14ac:dyDescent="0.25">
      <c r="A582">
        <v>581</v>
      </c>
      <c r="B582">
        <v>49</v>
      </c>
      <c r="C582" t="s">
        <v>27</v>
      </c>
      <c r="D582" t="s">
        <v>127</v>
      </c>
      <c r="E582" t="s">
        <v>18</v>
      </c>
      <c r="F582" s="2">
        <v>80</v>
      </c>
      <c r="G582" t="s">
        <v>141</v>
      </c>
      <c r="H582" t="s">
        <v>31</v>
      </c>
      <c r="I582" t="s">
        <v>108</v>
      </c>
      <c r="J582" t="s">
        <v>33</v>
      </c>
      <c r="K582">
        <v>4.0999999999999996</v>
      </c>
      <c r="L582" t="s">
        <v>34</v>
      </c>
      <c r="M582" t="s">
        <v>35</v>
      </c>
      <c r="N582" t="s">
        <v>34</v>
      </c>
      <c r="O582">
        <v>10</v>
      </c>
      <c r="P582" t="s">
        <v>58</v>
      </c>
      <c r="Q582" t="s">
        <v>26</v>
      </c>
      <c r="R582" s="1">
        <v>0.1</v>
      </c>
      <c r="S582">
        <f t="shared" si="36"/>
        <v>72</v>
      </c>
      <c r="T582">
        <f>IFERROR(VLOOKUP(A582,Table1[[Customer ID]:[Discount Amount]], 6, FALSE),"Not Found")</f>
        <v>80</v>
      </c>
      <c r="U582" t="str">
        <f t="shared" si="37"/>
        <v>PayPal</v>
      </c>
      <c r="V582" s="4" t="str">
        <f t="shared" si="38"/>
        <v>Normal</v>
      </c>
      <c r="W582" s="4" t="str">
        <f t="shared" si="39"/>
        <v>Good</v>
      </c>
      <c r="X582" s="4">
        <f>AVERAGE(Table1[Purchase Amount])</f>
        <v>129.48419400000012</v>
      </c>
    </row>
    <row r="583" spans="1:24" ht="15" customHeight="1" x14ac:dyDescent="0.25">
      <c r="A583">
        <v>582</v>
      </c>
      <c r="B583">
        <v>32</v>
      </c>
      <c r="C583" t="s">
        <v>27</v>
      </c>
      <c r="D583" t="s">
        <v>127</v>
      </c>
      <c r="E583" t="s">
        <v>18</v>
      </c>
      <c r="F583" s="2">
        <v>100</v>
      </c>
      <c r="G583" t="s">
        <v>141</v>
      </c>
      <c r="H583" t="s">
        <v>20</v>
      </c>
      <c r="I583" t="s">
        <v>103</v>
      </c>
      <c r="J583" t="s">
        <v>22</v>
      </c>
      <c r="K583">
        <v>2.7</v>
      </c>
      <c r="L583" t="s">
        <v>34</v>
      </c>
      <c r="M583" t="s">
        <v>48</v>
      </c>
      <c r="N583" t="s">
        <v>34</v>
      </c>
      <c r="O583">
        <v>12</v>
      </c>
      <c r="P583" t="s">
        <v>88</v>
      </c>
      <c r="Q583" t="s">
        <v>63</v>
      </c>
      <c r="R583" s="1">
        <v>0.1</v>
      </c>
      <c r="S583">
        <f t="shared" si="36"/>
        <v>90</v>
      </c>
      <c r="T583">
        <f>IFERROR(VLOOKUP(A583,Table1[[Customer ID]:[Discount Amount]], 6, FALSE),"Not Found")</f>
        <v>100</v>
      </c>
      <c r="U583" t="str">
        <f t="shared" si="37"/>
        <v>Bank Transfer</v>
      </c>
      <c r="V583" s="4" t="str">
        <f t="shared" si="38"/>
        <v>Normal</v>
      </c>
      <c r="W583" s="4" t="str">
        <f t="shared" si="39"/>
        <v>Poor</v>
      </c>
      <c r="X583" s="4">
        <f>AVERAGE(Table1[Purchase Amount])</f>
        <v>129.48419400000012</v>
      </c>
    </row>
    <row r="584" spans="1:24" ht="15" customHeight="1" x14ac:dyDescent="0.25">
      <c r="A584">
        <v>583</v>
      </c>
      <c r="B584">
        <v>40</v>
      </c>
      <c r="C584" t="s">
        <v>27</v>
      </c>
      <c r="D584" t="s">
        <v>96</v>
      </c>
      <c r="E584" t="s">
        <v>77</v>
      </c>
      <c r="F584" s="2">
        <v>77</v>
      </c>
      <c r="G584" t="s">
        <v>92</v>
      </c>
      <c r="H584" t="s">
        <v>45</v>
      </c>
      <c r="I584" t="s">
        <v>156</v>
      </c>
      <c r="J584" t="s">
        <v>33</v>
      </c>
      <c r="K584">
        <v>4.9000000000000004</v>
      </c>
      <c r="L584" t="s">
        <v>34</v>
      </c>
      <c r="M584" t="s">
        <v>48</v>
      </c>
      <c r="N584" t="s">
        <v>34</v>
      </c>
      <c r="O584">
        <v>2</v>
      </c>
      <c r="P584" t="s">
        <v>88</v>
      </c>
      <c r="Q584" t="s">
        <v>37</v>
      </c>
      <c r="R584" s="1">
        <v>0.1</v>
      </c>
      <c r="S584">
        <f t="shared" si="36"/>
        <v>69.3</v>
      </c>
      <c r="T584">
        <f>IFERROR(VLOOKUP(A584,Table1[[Customer ID]:[Discount Amount]], 6, FALSE),"Not Found")</f>
        <v>77</v>
      </c>
      <c r="U584" t="str">
        <f t="shared" si="37"/>
        <v>Bank Transfer</v>
      </c>
      <c r="V584" s="4" t="str">
        <f t="shared" si="38"/>
        <v>Normal</v>
      </c>
      <c r="W584" s="4" t="str">
        <f t="shared" si="39"/>
        <v>Good</v>
      </c>
      <c r="X584" s="4">
        <f>AVERAGE(Table1[Purchase Amount])</f>
        <v>129.48419400000012</v>
      </c>
    </row>
    <row r="585" spans="1:24" ht="15" customHeight="1" x14ac:dyDescent="0.25">
      <c r="A585">
        <v>584</v>
      </c>
      <c r="B585">
        <v>25</v>
      </c>
      <c r="C585" t="s">
        <v>27</v>
      </c>
      <c r="D585" t="s">
        <v>54</v>
      </c>
      <c r="E585" t="s">
        <v>18</v>
      </c>
      <c r="F585" s="2">
        <v>78</v>
      </c>
      <c r="G585" t="s">
        <v>19</v>
      </c>
      <c r="H585" t="s">
        <v>45</v>
      </c>
      <c r="I585" t="s">
        <v>52</v>
      </c>
      <c r="J585" t="s">
        <v>33</v>
      </c>
      <c r="K585">
        <v>4</v>
      </c>
      <c r="L585" t="s">
        <v>34</v>
      </c>
      <c r="M585" t="s">
        <v>48</v>
      </c>
      <c r="N585" t="s">
        <v>34</v>
      </c>
      <c r="O585">
        <v>38</v>
      </c>
      <c r="P585" t="s">
        <v>58</v>
      </c>
      <c r="Q585" t="s">
        <v>42</v>
      </c>
      <c r="R585" s="1">
        <v>0.1</v>
      </c>
      <c r="S585">
        <f t="shared" si="36"/>
        <v>70.2</v>
      </c>
      <c r="T585">
        <f>IFERROR(VLOOKUP(A585,Table1[[Customer ID]:[Discount Amount]], 6, FALSE),"Not Found")</f>
        <v>78</v>
      </c>
      <c r="U585" t="str">
        <f t="shared" si="37"/>
        <v>PayPal</v>
      </c>
      <c r="V585" s="4" t="str">
        <f t="shared" si="38"/>
        <v>Normal</v>
      </c>
      <c r="W585" s="4" t="str">
        <f t="shared" si="39"/>
        <v>Good</v>
      </c>
      <c r="X585" s="4">
        <f>AVERAGE(Table1[Purchase Amount])</f>
        <v>129.48419400000012</v>
      </c>
    </row>
    <row r="586" spans="1:24" ht="15" customHeight="1" x14ac:dyDescent="0.25">
      <c r="A586">
        <v>585</v>
      </c>
      <c r="B586">
        <v>70</v>
      </c>
      <c r="C586" t="s">
        <v>27</v>
      </c>
      <c r="D586" t="s">
        <v>105</v>
      </c>
      <c r="E586" t="s">
        <v>18</v>
      </c>
      <c r="F586" s="2">
        <v>94</v>
      </c>
      <c r="G586" t="s">
        <v>102</v>
      </c>
      <c r="H586" t="s">
        <v>31</v>
      </c>
      <c r="I586" t="s">
        <v>32</v>
      </c>
      <c r="J586" t="s">
        <v>33</v>
      </c>
      <c r="K586">
        <v>4.7</v>
      </c>
      <c r="L586" t="s">
        <v>34</v>
      </c>
      <c r="M586" t="s">
        <v>35</v>
      </c>
      <c r="N586" t="s">
        <v>34</v>
      </c>
      <c r="O586">
        <v>20</v>
      </c>
      <c r="P586" t="s">
        <v>36</v>
      </c>
      <c r="Q586" t="s">
        <v>42</v>
      </c>
      <c r="R586" s="1">
        <v>0.1</v>
      </c>
      <c r="S586">
        <f t="shared" si="36"/>
        <v>84.6</v>
      </c>
      <c r="T586">
        <f>IFERROR(VLOOKUP(A586,Table1[[Customer ID]:[Discount Amount]], 6, FALSE),"Not Found")</f>
        <v>94</v>
      </c>
      <c r="U586" t="str">
        <f t="shared" si="37"/>
        <v>Debit Card</v>
      </c>
      <c r="V586" s="4" t="str">
        <f t="shared" si="38"/>
        <v>Normal</v>
      </c>
      <c r="W586" s="4" t="str">
        <f t="shared" si="39"/>
        <v>Good</v>
      </c>
      <c r="X586" s="4">
        <f>AVERAGE(Table1[Purchase Amount])</f>
        <v>129.48419400000012</v>
      </c>
    </row>
    <row r="587" spans="1:24" ht="15" customHeight="1" x14ac:dyDescent="0.25">
      <c r="A587">
        <v>586</v>
      </c>
      <c r="B587">
        <v>69</v>
      </c>
      <c r="C587" t="s">
        <v>27</v>
      </c>
      <c r="D587" t="s">
        <v>105</v>
      </c>
      <c r="E587" t="s">
        <v>18</v>
      </c>
      <c r="F587" s="2">
        <v>23</v>
      </c>
      <c r="G587" t="s">
        <v>30</v>
      </c>
      <c r="H587" t="s">
        <v>31</v>
      </c>
      <c r="I587" t="s">
        <v>85</v>
      </c>
      <c r="J587" t="s">
        <v>47</v>
      </c>
      <c r="K587">
        <v>2.8</v>
      </c>
      <c r="L587" t="s">
        <v>34</v>
      </c>
      <c r="M587" t="s">
        <v>79</v>
      </c>
      <c r="N587" t="s">
        <v>34</v>
      </c>
      <c r="O587">
        <v>5</v>
      </c>
      <c r="P587" t="s">
        <v>25</v>
      </c>
      <c r="Q587" t="s">
        <v>63</v>
      </c>
      <c r="R587" s="1">
        <v>0.1</v>
      </c>
      <c r="S587">
        <f t="shared" si="36"/>
        <v>20.7</v>
      </c>
      <c r="T587">
        <f>IFERROR(VLOOKUP(A587,Table1[[Customer ID]:[Discount Amount]], 6, FALSE),"Not Found")</f>
        <v>23</v>
      </c>
      <c r="U587" t="str">
        <f t="shared" si="37"/>
        <v>Cash</v>
      </c>
      <c r="V587" s="4" t="str">
        <f t="shared" si="38"/>
        <v>Normal</v>
      </c>
      <c r="W587" s="4" t="str">
        <f t="shared" si="39"/>
        <v>Poor</v>
      </c>
      <c r="X587" s="4">
        <f>AVERAGE(Table1[Purchase Amount])</f>
        <v>129.48419400000012</v>
      </c>
    </row>
    <row r="588" spans="1:24" ht="15" customHeight="1" x14ac:dyDescent="0.25">
      <c r="A588">
        <v>587</v>
      </c>
      <c r="B588">
        <v>45</v>
      </c>
      <c r="C588" t="s">
        <v>27</v>
      </c>
      <c r="D588" t="s">
        <v>83</v>
      </c>
      <c r="E588" t="s">
        <v>18</v>
      </c>
      <c r="F588" s="2">
        <v>20</v>
      </c>
      <c r="G588" t="s">
        <v>59</v>
      </c>
      <c r="H588" t="s">
        <v>55</v>
      </c>
      <c r="I588" t="s">
        <v>74</v>
      </c>
      <c r="J588" t="s">
        <v>22</v>
      </c>
      <c r="K588">
        <v>4.9000000000000004</v>
      </c>
      <c r="L588" t="s">
        <v>34</v>
      </c>
      <c r="M588" t="s">
        <v>41</v>
      </c>
      <c r="N588" t="s">
        <v>34</v>
      </c>
      <c r="O588">
        <v>9</v>
      </c>
      <c r="P588" t="s">
        <v>62</v>
      </c>
      <c r="Q588" t="s">
        <v>49</v>
      </c>
      <c r="R588" s="1">
        <v>0.1</v>
      </c>
      <c r="S588">
        <f t="shared" si="36"/>
        <v>18</v>
      </c>
      <c r="T588">
        <f>IFERROR(VLOOKUP(A588,Table1[[Customer ID]:[Discount Amount]], 6, FALSE),"Not Found")</f>
        <v>20</v>
      </c>
      <c r="U588" t="str">
        <f t="shared" si="37"/>
        <v>Venmo</v>
      </c>
      <c r="V588" s="4" t="str">
        <f t="shared" si="38"/>
        <v>Normal</v>
      </c>
      <c r="W588" s="4" t="str">
        <f t="shared" si="39"/>
        <v>Good</v>
      </c>
      <c r="X588" s="4">
        <f>AVERAGE(Table1[Purchase Amount])</f>
        <v>129.48419400000012</v>
      </c>
    </row>
    <row r="589" spans="1:24" ht="15" customHeight="1" x14ac:dyDescent="0.25">
      <c r="A589">
        <v>588</v>
      </c>
      <c r="B589">
        <v>29</v>
      </c>
      <c r="C589" t="s">
        <v>27</v>
      </c>
      <c r="D589" t="s">
        <v>105</v>
      </c>
      <c r="E589" t="s">
        <v>18</v>
      </c>
      <c r="F589" s="2">
        <v>86</v>
      </c>
      <c r="G589" t="s">
        <v>155</v>
      </c>
      <c r="H589" t="s">
        <v>55</v>
      </c>
      <c r="I589" t="s">
        <v>125</v>
      </c>
      <c r="J589" t="s">
        <v>47</v>
      </c>
      <c r="K589">
        <v>4.2</v>
      </c>
      <c r="L589" t="s">
        <v>34</v>
      </c>
      <c r="M589" t="s">
        <v>61</v>
      </c>
      <c r="N589" t="s">
        <v>34</v>
      </c>
      <c r="O589">
        <v>48</v>
      </c>
      <c r="P589" t="s">
        <v>36</v>
      </c>
      <c r="Q589" t="s">
        <v>63</v>
      </c>
      <c r="R589" s="1">
        <v>0.1</v>
      </c>
      <c r="S589">
        <f t="shared" si="36"/>
        <v>77.400000000000006</v>
      </c>
      <c r="T589">
        <f>IFERROR(VLOOKUP(A589,Table1[[Customer ID]:[Discount Amount]], 6, FALSE),"Not Found")</f>
        <v>86</v>
      </c>
      <c r="U589" t="str">
        <f t="shared" si="37"/>
        <v>Debit Card</v>
      </c>
      <c r="V589" s="4" t="str">
        <f t="shared" si="38"/>
        <v>Normal</v>
      </c>
      <c r="W589" s="4" t="str">
        <f t="shared" si="39"/>
        <v>Good</v>
      </c>
      <c r="X589" s="4">
        <f>AVERAGE(Table1[Purchase Amount])</f>
        <v>129.48419400000012</v>
      </c>
    </row>
    <row r="590" spans="1:24" ht="15" customHeight="1" x14ac:dyDescent="0.25">
      <c r="A590">
        <v>589</v>
      </c>
      <c r="B590">
        <v>47</v>
      </c>
      <c r="C590" t="s">
        <v>27</v>
      </c>
      <c r="D590" t="s">
        <v>151</v>
      </c>
      <c r="E590" t="s">
        <v>98</v>
      </c>
      <c r="F590" s="2">
        <v>60</v>
      </c>
      <c r="G590" t="s">
        <v>130</v>
      </c>
      <c r="H590" t="s">
        <v>31</v>
      </c>
      <c r="I590" t="s">
        <v>111</v>
      </c>
      <c r="J590" t="s">
        <v>47</v>
      </c>
      <c r="K590">
        <v>3</v>
      </c>
      <c r="L590" t="s">
        <v>34</v>
      </c>
      <c r="M590" t="s">
        <v>24</v>
      </c>
      <c r="N590" t="s">
        <v>34</v>
      </c>
      <c r="O590">
        <v>9</v>
      </c>
      <c r="P590" t="s">
        <v>36</v>
      </c>
      <c r="Q590" t="s">
        <v>37</v>
      </c>
      <c r="R590" s="1">
        <v>0.1</v>
      </c>
      <c r="S590">
        <f t="shared" si="36"/>
        <v>54</v>
      </c>
      <c r="T590">
        <f>IFERROR(VLOOKUP(A590,Table1[[Customer ID]:[Discount Amount]], 6, FALSE),"Not Found")</f>
        <v>60</v>
      </c>
      <c r="U590" t="str">
        <f t="shared" si="37"/>
        <v>Debit Card</v>
      </c>
      <c r="V590" s="4" t="str">
        <f t="shared" si="38"/>
        <v>Normal</v>
      </c>
      <c r="W590" s="4" t="str">
        <f t="shared" si="39"/>
        <v>Good</v>
      </c>
      <c r="X590" s="4">
        <f>AVERAGE(Table1[Purchase Amount])</f>
        <v>129.48419400000012</v>
      </c>
    </row>
    <row r="591" spans="1:24" ht="15" customHeight="1" x14ac:dyDescent="0.25">
      <c r="A591">
        <v>590</v>
      </c>
      <c r="B591">
        <v>28</v>
      </c>
      <c r="C591" t="s">
        <v>27</v>
      </c>
      <c r="D591" t="s">
        <v>38</v>
      </c>
      <c r="E591" t="s">
        <v>18</v>
      </c>
      <c r="F591" s="2">
        <v>70</v>
      </c>
      <c r="G591" t="s">
        <v>120</v>
      </c>
      <c r="H591" t="s">
        <v>31</v>
      </c>
      <c r="I591" t="s">
        <v>108</v>
      </c>
      <c r="J591" t="s">
        <v>47</v>
      </c>
      <c r="K591">
        <v>3.4</v>
      </c>
      <c r="L591" t="s">
        <v>34</v>
      </c>
      <c r="M591" t="s">
        <v>41</v>
      </c>
      <c r="N591" t="s">
        <v>34</v>
      </c>
      <c r="O591">
        <v>40</v>
      </c>
      <c r="P591" t="s">
        <v>58</v>
      </c>
      <c r="Q591" t="s">
        <v>49</v>
      </c>
      <c r="R591" s="1">
        <v>0.1</v>
      </c>
      <c r="S591">
        <f t="shared" si="36"/>
        <v>63</v>
      </c>
      <c r="T591">
        <f>IFERROR(VLOOKUP(A591,Table1[[Customer ID]:[Discount Amount]], 6, FALSE),"Not Found")</f>
        <v>70</v>
      </c>
      <c r="U591" t="str">
        <f t="shared" si="37"/>
        <v>PayPal</v>
      </c>
      <c r="V591" s="4" t="str">
        <f t="shared" si="38"/>
        <v>Normal</v>
      </c>
      <c r="W591" s="4" t="str">
        <f t="shared" si="39"/>
        <v>Good</v>
      </c>
      <c r="X591" s="4">
        <f>AVERAGE(Table1[Purchase Amount])</f>
        <v>129.48419400000012</v>
      </c>
    </row>
    <row r="592" spans="1:24" ht="15" customHeight="1" x14ac:dyDescent="0.25">
      <c r="A592">
        <v>591</v>
      </c>
      <c r="B592">
        <v>64</v>
      </c>
      <c r="C592" t="s">
        <v>27</v>
      </c>
      <c r="D592" t="s">
        <v>114</v>
      </c>
      <c r="E592" t="s">
        <v>29</v>
      </c>
      <c r="F592" s="2">
        <v>39</v>
      </c>
      <c r="G592" t="s">
        <v>148</v>
      </c>
      <c r="H592" t="s">
        <v>55</v>
      </c>
      <c r="I592" t="s">
        <v>156</v>
      </c>
      <c r="J592" t="s">
        <v>47</v>
      </c>
      <c r="K592">
        <v>4.5999999999999996</v>
      </c>
      <c r="L592" t="s">
        <v>34</v>
      </c>
      <c r="M592" t="s">
        <v>24</v>
      </c>
      <c r="N592" t="s">
        <v>34</v>
      </c>
      <c r="O592">
        <v>30</v>
      </c>
      <c r="P592" t="s">
        <v>62</v>
      </c>
      <c r="Q592" t="s">
        <v>89</v>
      </c>
      <c r="R592" s="1">
        <v>0.1</v>
      </c>
      <c r="S592">
        <f t="shared" si="36"/>
        <v>35.1</v>
      </c>
      <c r="T592">
        <f>IFERROR(VLOOKUP(A592,Table1[[Customer ID]:[Discount Amount]], 6, FALSE),"Not Found")</f>
        <v>39</v>
      </c>
      <c r="U592" t="str">
        <f t="shared" si="37"/>
        <v>Venmo</v>
      </c>
      <c r="V592" s="4" t="str">
        <f t="shared" si="38"/>
        <v>Normal</v>
      </c>
      <c r="W592" s="4" t="str">
        <f t="shared" si="39"/>
        <v>Good</v>
      </c>
      <c r="X592" s="4">
        <f>AVERAGE(Table1[Purchase Amount])</f>
        <v>129.48419400000012</v>
      </c>
    </row>
    <row r="593" spans="1:24" ht="15" customHeight="1" x14ac:dyDescent="0.25">
      <c r="A593">
        <v>592</v>
      </c>
      <c r="B593">
        <v>47</v>
      </c>
      <c r="C593" t="s">
        <v>27</v>
      </c>
      <c r="D593" t="s">
        <v>104</v>
      </c>
      <c r="E593" t="s">
        <v>29</v>
      </c>
      <c r="F593" s="2">
        <v>37</v>
      </c>
      <c r="G593" t="s">
        <v>70</v>
      </c>
      <c r="H593" t="s">
        <v>45</v>
      </c>
      <c r="I593" t="s">
        <v>21</v>
      </c>
      <c r="J593" t="s">
        <v>47</v>
      </c>
      <c r="K593">
        <v>4.2</v>
      </c>
      <c r="L593" t="s">
        <v>34</v>
      </c>
      <c r="M593" t="s">
        <v>48</v>
      </c>
      <c r="N593" t="s">
        <v>34</v>
      </c>
      <c r="O593">
        <v>6</v>
      </c>
      <c r="P593" t="s">
        <v>36</v>
      </c>
      <c r="Q593" t="s">
        <v>68</v>
      </c>
      <c r="R593" s="1">
        <v>0.1</v>
      </c>
      <c r="S593">
        <f t="shared" si="36"/>
        <v>33.299999999999997</v>
      </c>
      <c r="T593">
        <f>IFERROR(VLOOKUP(A593,Table1[[Customer ID]:[Discount Amount]], 6, FALSE),"Not Found")</f>
        <v>37</v>
      </c>
      <c r="U593" t="str">
        <f t="shared" si="37"/>
        <v>Debit Card</v>
      </c>
      <c r="V593" s="4" t="str">
        <f t="shared" si="38"/>
        <v>Normal</v>
      </c>
      <c r="W593" s="4" t="str">
        <f t="shared" si="39"/>
        <v>Good</v>
      </c>
      <c r="X593" s="4">
        <f>AVERAGE(Table1[Purchase Amount])</f>
        <v>129.48419400000012</v>
      </c>
    </row>
    <row r="594" spans="1:24" ht="15" customHeight="1" x14ac:dyDescent="0.25">
      <c r="A594">
        <v>593</v>
      </c>
      <c r="B594">
        <v>60</v>
      </c>
      <c r="C594" t="s">
        <v>27</v>
      </c>
      <c r="D594" t="s">
        <v>151</v>
      </c>
      <c r="E594" t="s">
        <v>98</v>
      </c>
      <c r="F594" s="2">
        <v>29</v>
      </c>
      <c r="G594" t="s">
        <v>86</v>
      </c>
      <c r="H594" t="s">
        <v>31</v>
      </c>
      <c r="I594" t="s">
        <v>60</v>
      </c>
      <c r="J594" t="s">
        <v>47</v>
      </c>
      <c r="K594">
        <v>3.2</v>
      </c>
      <c r="L594" t="s">
        <v>34</v>
      </c>
      <c r="M594" t="s">
        <v>35</v>
      </c>
      <c r="N594" t="s">
        <v>34</v>
      </c>
      <c r="O594">
        <v>42</v>
      </c>
      <c r="P594" t="s">
        <v>62</v>
      </c>
      <c r="Q594" t="s">
        <v>63</v>
      </c>
      <c r="R594" s="1">
        <v>0.1</v>
      </c>
      <c r="S594">
        <f t="shared" si="36"/>
        <v>26.1</v>
      </c>
      <c r="T594">
        <f>IFERROR(VLOOKUP(A594,Table1[[Customer ID]:[Discount Amount]], 6, FALSE),"Not Found")</f>
        <v>29</v>
      </c>
      <c r="U594" t="str">
        <f t="shared" si="37"/>
        <v>Venmo</v>
      </c>
      <c r="V594" s="4" t="str">
        <f t="shared" si="38"/>
        <v>Normal</v>
      </c>
      <c r="W594" s="4" t="str">
        <f t="shared" si="39"/>
        <v>Good</v>
      </c>
      <c r="X594" s="4">
        <f>AVERAGE(Table1[Purchase Amount])</f>
        <v>129.48419400000012</v>
      </c>
    </row>
    <row r="595" spans="1:24" ht="15" customHeight="1" x14ac:dyDescent="0.25">
      <c r="A595">
        <v>594</v>
      </c>
      <c r="B595">
        <v>67</v>
      </c>
      <c r="C595" t="s">
        <v>27</v>
      </c>
      <c r="D595" t="s">
        <v>76</v>
      </c>
      <c r="E595" t="s">
        <v>77</v>
      </c>
      <c r="F595" s="2">
        <v>35</v>
      </c>
      <c r="G595" t="s">
        <v>148</v>
      </c>
      <c r="H595" t="s">
        <v>55</v>
      </c>
      <c r="I595" t="s">
        <v>93</v>
      </c>
      <c r="J595" t="s">
        <v>22</v>
      </c>
      <c r="K595">
        <v>4.4000000000000004</v>
      </c>
      <c r="L595" t="s">
        <v>34</v>
      </c>
      <c r="M595" t="s">
        <v>48</v>
      </c>
      <c r="N595" t="s">
        <v>34</v>
      </c>
      <c r="O595">
        <v>9</v>
      </c>
      <c r="P595" t="s">
        <v>58</v>
      </c>
      <c r="Q595" t="s">
        <v>63</v>
      </c>
      <c r="R595" s="1">
        <v>0.1</v>
      </c>
      <c r="S595">
        <f t="shared" si="36"/>
        <v>31.5</v>
      </c>
      <c r="T595">
        <f>IFERROR(VLOOKUP(A595,Table1[[Customer ID]:[Discount Amount]], 6, FALSE),"Not Found")</f>
        <v>35</v>
      </c>
      <c r="U595" t="str">
        <f t="shared" si="37"/>
        <v>PayPal</v>
      </c>
      <c r="V595" s="4" t="str">
        <f t="shared" si="38"/>
        <v>Normal</v>
      </c>
      <c r="W595" s="4" t="str">
        <f t="shared" si="39"/>
        <v>Good</v>
      </c>
      <c r="X595" s="4">
        <f>AVERAGE(Table1[Purchase Amount])</f>
        <v>129.48419400000012</v>
      </c>
    </row>
    <row r="596" spans="1:24" ht="15" customHeight="1" x14ac:dyDescent="0.25">
      <c r="A596">
        <v>595</v>
      </c>
      <c r="B596">
        <v>35</v>
      </c>
      <c r="C596" t="s">
        <v>27</v>
      </c>
      <c r="D596" t="s">
        <v>83</v>
      </c>
      <c r="E596" t="s">
        <v>18</v>
      </c>
      <c r="F596" s="2">
        <v>83</v>
      </c>
      <c r="G596" t="s">
        <v>142</v>
      </c>
      <c r="H596" t="s">
        <v>55</v>
      </c>
      <c r="I596" t="s">
        <v>60</v>
      </c>
      <c r="J596" t="s">
        <v>22</v>
      </c>
      <c r="K596">
        <v>2.5</v>
      </c>
      <c r="L596" t="s">
        <v>34</v>
      </c>
      <c r="M596" t="s">
        <v>79</v>
      </c>
      <c r="N596" t="s">
        <v>34</v>
      </c>
      <c r="O596">
        <v>6</v>
      </c>
      <c r="P596" t="s">
        <v>36</v>
      </c>
      <c r="Q596" t="s">
        <v>42</v>
      </c>
      <c r="R596" s="1">
        <v>0.1</v>
      </c>
      <c r="S596">
        <f t="shared" si="36"/>
        <v>74.7</v>
      </c>
      <c r="T596">
        <f>IFERROR(VLOOKUP(A596,Table1[[Customer ID]:[Discount Amount]], 6, FALSE),"Not Found")</f>
        <v>83</v>
      </c>
      <c r="U596" t="str">
        <f t="shared" si="37"/>
        <v>Debit Card</v>
      </c>
      <c r="V596" s="4" t="str">
        <f t="shared" si="38"/>
        <v>Normal</v>
      </c>
      <c r="W596" s="4" t="str">
        <f t="shared" si="39"/>
        <v>Poor</v>
      </c>
      <c r="X596" s="4">
        <f>AVERAGE(Table1[Purchase Amount])</f>
        <v>129.48419400000012</v>
      </c>
    </row>
    <row r="597" spans="1:24" ht="15" customHeight="1" x14ac:dyDescent="0.25">
      <c r="A597">
        <v>596</v>
      </c>
      <c r="B597">
        <v>30</v>
      </c>
      <c r="C597" t="s">
        <v>27</v>
      </c>
      <c r="D597" t="s">
        <v>72</v>
      </c>
      <c r="E597" t="s">
        <v>98</v>
      </c>
      <c r="F597" s="2">
        <v>77</v>
      </c>
      <c r="G597" t="s">
        <v>143</v>
      </c>
      <c r="H597" t="s">
        <v>31</v>
      </c>
      <c r="I597" t="s">
        <v>153</v>
      </c>
      <c r="J597" t="s">
        <v>57</v>
      </c>
      <c r="K597">
        <v>3.6</v>
      </c>
      <c r="L597" t="s">
        <v>34</v>
      </c>
      <c r="M597" t="s">
        <v>79</v>
      </c>
      <c r="N597" t="s">
        <v>34</v>
      </c>
      <c r="O597">
        <v>47</v>
      </c>
      <c r="P597" t="s">
        <v>58</v>
      </c>
      <c r="Q597" t="s">
        <v>37</v>
      </c>
      <c r="R597" s="1">
        <v>0.1</v>
      </c>
      <c r="S597">
        <f t="shared" si="36"/>
        <v>69.3</v>
      </c>
      <c r="T597">
        <f>IFERROR(VLOOKUP(A597,Table1[[Customer ID]:[Discount Amount]], 6, FALSE),"Not Found")</f>
        <v>77</v>
      </c>
      <c r="U597" t="str">
        <f t="shared" si="37"/>
        <v>PayPal</v>
      </c>
      <c r="V597" s="4" t="str">
        <f t="shared" si="38"/>
        <v>Normal</v>
      </c>
      <c r="W597" s="4" t="str">
        <f t="shared" si="39"/>
        <v>Good</v>
      </c>
      <c r="X597" s="4">
        <f>AVERAGE(Table1[Purchase Amount])</f>
        <v>129.48419400000012</v>
      </c>
    </row>
    <row r="598" spans="1:24" ht="15" customHeight="1" x14ac:dyDescent="0.25">
      <c r="A598">
        <v>597</v>
      </c>
      <c r="B598">
        <v>23</v>
      </c>
      <c r="C598" t="s">
        <v>27</v>
      </c>
      <c r="D598" t="s">
        <v>72</v>
      </c>
      <c r="E598" t="s">
        <v>98</v>
      </c>
      <c r="F598" s="2">
        <v>37</v>
      </c>
      <c r="G598" t="s">
        <v>39</v>
      </c>
      <c r="H598" t="s">
        <v>20</v>
      </c>
      <c r="I598" t="s">
        <v>32</v>
      </c>
      <c r="J598" t="s">
        <v>57</v>
      </c>
      <c r="K598">
        <v>4.5</v>
      </c>
      <c r="L598" t="s">
        <v>34</v>
      </c>
      <c r="M598" t="s">
        <v>48</v>
      </c>
      <c r="N598" t="s">
        <v>34</v>
      </c>
      <c r="O598">
        <v>36</v>
      </c>
      <c r="P598" t="s">
        <v>62</v>
      </c>
      <c r="Q598" t="s">
        <v>49</v>
      </c>
      <c r="R598" s="1">
        <v>0.1</v>
      </c>
      <c r="S598">
        <f t="shared" si="36"/>
        <v>33.299999999999997</v>
      </c>
      <c r="T598">
        <f>IFERROR(VLOOKUP(A598,Table1[[Customer ID]:[Discount Amount]], 6, FALSE),"Not Found")</f>
        <v>37</v>
      </c>
      <c r="U598" t="str">
        <f t="shared" si="37"/>
        <v>Venmo</v>
      </c>
      <c r="V598" s="4" t="str">
        <f t="shared" si="38"/>
        <v>Normal</v>
      </c>
      <c r="W598" s="4" t="str">
        <f t="shared" si="39"/>
        <v>Good</v>
      </c>
      <c r="X598" s="4">
        <f>AVERAGE(Table1[Purchase Amount])</f>
        <v>129.48419400000012</v>
      </c>
    </row>
    <row r="599" spans="1:24" ht="15" customHeight="1" x14ac:dyDescent="0.25">
      <c r="A599">
        <v>598</v>
      </c>
      <c r="B599">
        <v>70</v>
      </c>
      <c r="C599" t="s">
        <v>27</v>
      </c>
      <c r="D599" t="s">
        <v>50</v>
      </c>
      <c r="E599" t="s">
        <v>29</v>
      </c>
      <c r="F599" s="2">
        <v>69</v>
      </c>
      <c r="G599" t="s">
        <v>148</v>
      </c>
      <c r="H599" t="s">
        <v>45</v>
      </c>
      <c r="I599" t="s">
        <v>133</v>
      </c>
      <c r="J599" t="s">
        <v>57</v>
      </c>
      <c r="K599">
        <v>3.4</v>
      </c>
      <c r="L599" t="s">
        <v>34</v>
      </c>
      <c r="M599" t="s">
        <v>24</v>
      </c>
      <c r="N599" t="s">
        <v>34</v>
      </c>
      <c r="O599">
        <v>19</v>
      </c>
      <c r="P599" t="s">
        <v>88</v>
      </c>
      <c r="Q599" t="s">
        <v>89</v>
      </c>
      <c r="R599" s="1">
        <v>0.1</v>
      </c>
      <c r="S599">
        <f t="shared" si="36"/>
        <v>62.1</v>
      </c>
      <c r="T599">
        <f>IFERROR(VLOOKUP(A599,Table1[[Customer ID]:[Discount Amount]], 6, FALSE),"Not Found")</f>
        <v>69</v>
      </c>
      <c r="U599" t="str">
        <f t="shared" si="37"/>
        <v>Bank Transfer</v>
      </c>
      <c r="V599" s="4" t="str">
        <f t="shared" si="38"/>
        <v>Normal</v>
      </c>
      <c r="W599" s="4" t="str">
        <f t="shared" si="39"/>
        <v>Good</v>
      </c>
      <c r="X599" s="4">
        <f>AVERAGE(Table1[Purchase Amount])</f>
        <v>129.48419400000012</v>
      </c>
    </row>
    <row r="600" spans="1:24" ht="15" customHeight="1" x14ac:dyDescent="0.25">
      <c r="A600">
        <v>599</v>
      </c>
      <c r="B600">
        <v>21</v>
      </c>
      <c r="C600" t="s">
        <v>27</v>
      </c>
      <c r="D600" t="s">
        <v>157</v>
      </c>
      <c r="E600" t="s">
        <v>18</v>
      </c>
      <c r="F600" s="2">
        <v>66</v>
      </c>
      <c r="G600" t="s">
        <v>19</v>
      </c>
      <c r="H600" t="s">
        <v>45</v>
      </c>
      <c r="I600" t="s">
        <v>93</v>
      </c>
      <c r="J600" t="s">
        <v>22</v>
      </c>
      <c r="K600">
        <v>3.2</v>
      </c>
      <c r="L600" t="s">
        <v>34</v>
      </c>
      <c r="M600" t="s">
        <v>41</v>
      </c>
      <c r="N600" t="s">
        <v>34</v>
      </c>
      <c r="O600">
        <v>30</v>
      </c>
      <c r="P600" t="s">
        <v>25</v>
      </c>
      <c r="Q600" t="s">
        <v>63</v>
      </c>
      <c r="R600" s="1">
        <v>0.1</v>
      </c>
      <c r="S600">
        <f t="shared" si="36"/>
        <v>59.4</v>
      </c>
      <c r="T600">
        <f>IFERROR(VLOOKUP(A600,Table1[[Customer ID]:[Discount Amount]], 6, FALSE),"Not Found")</f>
        <v>66</v>
      </c>
      <c r="U600" t="str">
        <f t="shared" si="37"/>
        <v>Cash</v>
      </c>
      <c r="V600" s="4" t="str">
        <f t="shared" si="38"/>
        <v>Normal</v>
      </c>
      <c r="W600" s="4" t="str">
        <f t="shared" si="39"/>
        <v>Good</v>
      </c>
      <c r="X600" s="4">
        <f>AVERAGE(Table1[Purchase Amount])</f>
        <v>129.48419400000012</v>
      </c>
    </row>
    <row r="601" spans="1:24" ht="15" customHeight="1" x14ac:dyDescent="0.25">
      <c r="A601">
        <v>600</v>
      </c>
      <c r="B601">
        <v>51</v>
      </c>
      <c r="C601" t="s">
        <v>27</v>
      </c>
      <c r="D601" t="s">
        <v>151</v>
      </c>
      <c r="E601" t="s">
        <v>98</v>
      </c>
      <c r="F601" s="2">
        <v>26</v>
      </c>
      <c r="G601" t="s">
        <v>97</v>
      </c>
      <c r="H601" t="s">
        <v>45</v>
      </c>
      <c r="I601" t="s">
        <v>147</v>
      </c>
      <c r="J601" t="s">
        <v>33</v>
      </c>
      <c r="K601">
        <v>4.2</v>
      </c>
      <c r="L601" t="s">
        <v>34</v>
      </c>
      <c r="M601" t="s">
        <v>24</v>
      </c>
      <c r="N601" t="s">
        <v>34</v>
      </c>
      <c r="O601">
        <v>27</v>
      </c>
      <c r="P601" t="s">
        <v>36</v>
      </c>
      <c r="Q601" t="s">
        <v>63</v>
      </c>
      <c r="R601" s="1">
        <v>0.1</v>
      </c>
      <c r="S601">
        <f t="shared" si="36"/>
        <v>23.4</v>
      </c>
      <c r="T601">
        <f>IFERROR(VLOOKUP(A601,Table1[[Customer ID]:[Discount Amount]], 6, FALSE),"Not Found")</f>
        <v>26</v>
      </c>
      <c r="U601" t="str">
        <f t="shared" si="37"/>
        <v>Debit Card</v>
      </c>
      <c r="V601" s="4" t="str">
        <f t="shared" si="38"/>
        <v>Normal</v>
      </c>
      <c r="W601" s="4" t="str">
        <f t="shared" si="39"/>
        <v>Good</v>
      </c>
      <c r="X601" s="4">
        <f>AVERAGE(Table1[Purchase Amount])</f>
        <v>129.48419400000012</v>
      </c>
    </row>
    <row r="602" spans="1:24" ht="15" customHeight="1" x14ac:dyDescent="0.25">
      <c r="A602">
        <v>601</v>
      </c>
      <c r="B602">
        <v>22</v>
      </c>
      <c r="C602" t="s">
        <v>27</v>
      </c>
      <c r="D602" t="s">
        <v>64</v>
      </c>
      <c r="E602" t="s">
        <v>29</v>
      </c>
      <c r="F602" s="2">
        <v>63</v>
      </c>
      <c r="G602" t="s">
        <v>30</v>
      </c>
      <c r="H602" t="s">
        <v>31</v>
      </c>
      <c r="I602" t="s">
        <v>103</v>
      </c>
      <c r="J602" t="s">
        <v>33</v>
      </c>
      <c r="K602">
        <v>5</v>
      </c>
      <c r="L602" t="s">
        <v>34</v>
      </c>
      <c r="M602" t="s">
        <v>41</v>
      </c>
      <c r="N602" t="s">
        <v>34</v>
      </c>
      <c r="O602">
        <v>25</v>
      </c>
      <c r="P602" t="s">
        <v>62</v>
      </c>
      <c r="Q602" t="s">
        <v>42</v>
      </c>
      <c r="R602" s="1">
        <v>0.1</v>
      </c>
      <c r="S602">
        <f t="shared" si="36"/>
        <v>56.7</v>
      </c>
      <c r="T602">
        <f>IFERROR(VLOOKUP(A602,Table1[[Customer ID]:[Discount Amount]], 6, FALSE),"Not Found")</f>
        <v>63</v>
      </c>
      <c r="U602" t="str">
        <f t="shared" si="37"/>
        <v>Venmo</v>
      </c>
      <c r="V602" s="4" t="str">
        <f t="shared" si="38"/>
        <v>Normal</v>
      </c>
      <c r="W602" s="4" t="str">
        <f t="shared" si="39"/>
        <v>Good</v>
      </c>
      <c r="X602" s="4">
        <f>AVERAGE(Table1[Purchase Amount])</f>
        <v>129.48419400000012</v>
      </c>
    </row>
    <row r="603" spans="1:24" ht="15" customHeight="1" x14ac:dyDescent="0.25">
      <c r="A603">
        <v>602</v>
      </c>
      <c r="B603">
        <v>32</v>
      </c>
      <c r="C603" t="s">
        <v>27</v>
      </c>
      <c r="D603" t="s">
        <v>104</v>
      </c>
      <c r="E603" t="s">
        <v>29</v>
      </c>
      <c r="F603" s="2">
        <v>38</v>
      </c>
      <c r="G603" t="s">
        <v>154</v>
      </c>
      <c r="H603" t="s">
        <v>31</v>
      </c>
      <c r="I603" t="s">
        <v>125</v>
      </c>
      <c r="J603" t="s">
        <v>57</v>
      </c>
      <c r="K603">
        <v>4.7</v>
      </c>
      <c r="L603" t="s">
        <v>34</v>
      </c>
      <c r="M603" t="s">
        <v>48</v>
      </c>
      <c r="N603" t="s">
        <v>34</v>
      </c>
      <c r="O603">
        <v>5</v>
      </c>
      <c r="P603" t="s">
        <v>25</v>
      </c>
      <c r="Q603" t="s">
        <v>89</v>
      </c>
      <c r="R603" s="1">
        <v>0.1</v>
      </c>
      <c r="S603">
        <f t="shared" si="36"/>
        <v>34.200000000000003</v>
      </c>
      <c r="T603">
        <f>IFERROR(VLOOKUP(A603,Table1[[Customer ID]:[Discount Amount]], 6, FALSE),"Not Found")</f>
        <v>38</v>
      </c>
      <c r="U603" t="str">
        <f t="shared" si="37"/>
        <v>Cash</v>
      </c>
      <c r="V603" s="4" t="str">
        <f t="shared" si="38"/>
        <v>Normal</v>
      </c>
      <c r="W603" s="4" t="str">
        <f t="shared" si="39"/>
        <v>Good</v>
      </c>
      <c r="X603" s="4">
        <f>AVERAGE(Table1[Purchase Amount])</f>
        <v>129.48419400000012</v>
      </c>
    </row>
    <row r="604" spans="1:24" ht="15" customHeight="1" x14ac:dyDescent="0.25">
      <c r="A604">
        <v>603</v>
      </c>
      <c r="B604">
        <v>37</v>
      </c>
      <c r="C604" t="s">
        <v>27</v>
      </c>
      <c r="D604" t="s">
        <v>72</v>
      </c>
      <c r="E604" t="s">
        <v>98</v>
      </c>
      <c r="F604" s="2">
        <v>58</v>
      </c>
      <c r="G604" t="s">
        <v>123</v>
      </c>
      <c r="H604" t="s">
        <v>45</v>
      </c>
      <c r="I604" t="s">
        <v>107</v>
      </c>
      <c r="J604" t="s">
        <v>57</v>
      </c>
      <c r="K604">
        <v>4.2</v>
      </c>
      <c r="L604" t="s">
        <v>34</v>
      </c>
      <c r="M604" t="s">
        <v>79</v>
      </c>
      <c r="N604" t="s">
        <v>34</v>
      </c>
      <c r="O604">
        <v>10</v>
      </c>
      <c r="P604" t="s">
        <v>25</v>
      </c>
      <c r="Q604" t="s">
        <v>63</v>
      </c>
      <c r="R604" s="1">
        <v>0.1</v>
      </c>
      <c r="S604">
        <f t="shared" si="36"/>
        <v>52.2</v>
      </c>
      <c r="T604">
        <f>IFERROR(VLOOKUP(A604,Table1[[Customer ID]:[Discount Amount]], 6, FALSE),"Not Found")</f>
        <v>58</v>
      </c>
      <c r="U604" t="str">
        <f t="shared" si="37"/>
        <v>Cash</v>
      </c>
      <c r="V604" s="4" t="str">
        <f t="shared" si="38"/>
        <v>Normal</v>
      </c>
      <c r="W604" s="4" t="str">
        <f t="shared" si="39"/>
        <v>Good</v>
      </c>
      <c r="X604" s="4">
        <f>AVERAGE(Table1[Purchase Amount])</f>
        <v>129.48419400000012</v>
      </c>
    </row>
    <row r="605" spans="1:24" ht="15" customHeight="1" x14ac:dyDescent="0.25">
      <c r="A605">
        <v>604</v>
      </c>
      <c r="B605">
        <v>31</v>
      </c>
      <c r="C605" t="s">
        <v>27</v>
      </c>
      <c r="D605" t="s">
        <v>69</v>
      </c>
      <c r="E605" t="s">
        <v>29</v>
      </c>
      <c r="F605" s="2">
        <v>46</v>
      </c>
      <c r="G605" t="s">
        <v>97</v>
      </c>
      <c r="H605" t="s">
        <v>45</v>
      </c>
      <c r="I605" t="s">
        <v>93</v>
      </c>
      <c r="J605" t="s">
        <v>22</v>
      </c>
      <c r="K605">
        <v>3.4</v>
      </c>
      <c r="L605" t="s">
        <v>34</v>
      </c>
      <c r="M605" t="s">
        <v>41</v>
      </c>
      <c r="N605" t="s">
        <v>34</v>
      </c>
      <c r="O605">
        <v>26</v>
      </c>
      <c r="P605" t="s">
        <v>58</v>
      </c>
      <c r="Q605" t="s">
        <v>63</v>
      </c>
      <c r="R605" s="1">
        <v>0.1</v>
      </c>
      <c r="S605">
        <f t="shared" si="36"/>
        <v>41.4</v>
      </c>
      <c r="T605">
        <f>IFERROR(VLOOKUP(A605,Table1[[Customer ID]:[Discount Amount]], 6, FALSE),"Not Found")</f>
        <v>46</v>
      </c>
      <c r="U605" t="str">
        <f t="shared" si="37"/>
        <v>PayPal</v>
      </c>
      <c r="V605" s="4" t="str">
        <f t="shared" si="38"/>
        <v>Normal</v>
      </c>
      <c r="W605" s="4" t="str">
        <f t="shared" si="39"/>
        <v>Good</v>
      </c>
      <c r="X605" s="4">
        <f>AVERAGE(Table1[Purchase Amount])</f>
        <v>129.48419400000012</v>
      </c>
    </row>
    <row r="606" spans="1:24" ht="15" customHeight="1" x14ac:dyDescent="0.25">
      <c r="A606">
        <v>605</v>
      </c>
      <c r="B606">
        <v>44</v>
      </c>
      <c r="C606" t="s">
        <v>27</v>
      </c>
      <c r="D606" t="s">
        <v>28</v>
      </c>
      <c r="E606" t="s">
        <v>29</v>
      </c>
      <c r="F606" s="2">
        <v>92</v>
      </c>
      <c r="G606" t="s">
        <v>154</v>
      </c>
      <c r="H606" t="s">
        <v>55</v>
      </c>
      <c r="I606" t="s">
        <v>136</v>
      </c>
      <c r="J606" t="s">
        <v>47</v>
      </c>
      <c r="K606">
        <v>4.4000000000000004</v>
      </c>
      <c r="L606" t="s">
        <v>34</v>
      </c>
      <c r="M606" t="s">
        <v>48</v>
      </c>
      <c r="N606" t="s">
        <v>34</v>
      </c>
      <c r="O606">
        <v>11</v>
      </c>
      <c r="P606" t="s">
        <v>53</v>
      </c>
      <c r="Q606" t="s">
        <v>63</v>
      </c>
      <c r="R606" s="1">
        <v>0.1</v>
      </c>
      <c r="S606">
        <f t="shared" si="36"/>
        <v>82.8</v>
      </c>
      <c r="T606">
        <f>IFERROR(VLOOKUP(A606,Table1[[Customer ID]:[Discount Amount]], 6, FALSE),"Not Found")</f>
        <v>92</v>
      </c>
      <c r="U606" t="str">
        <f t="shared" si="37"/>
        <v>Credit Card</v>
      </c>
      <c r="V606" s="4" t="str">
        <f t="shared" si="38"/>
        <v>Normal</v>
      </c>
      <c r="W606" s="4" t="str">
        <f t="shared" si="39"/>
        <v>Good</v>
      </c>
      <c r="X606" s="4">
        <f>AVERAGE(Table1[Purchase Amount])</f>
        <v>129.48419400000012</v>
      </c>
    </row>
    <row r="607" spans="1:24" ht="15" customHeight="1" x14ac:dyDescent="0.25">
      <c r="A607">
        <v>606</v>
      </c>
      <c r="B607">
        <v>40</v>
      </c>
      <c r="C607" t="s">
        <v>27</v>
      </c>
      <c r="D607" t="s">
        <v>64</v>
      </c>
      <c r="E607" t="s">
        <v>29</v>
      </c>
      <c r="F607" s="2">
        <v>32</v>
      </c>
      <c r="G607" t="s">
        <v>19</v>
      </c>
      <c r="H607" t="s">
        <v>20</v>
      </c>
      <c r="I607" t="s">
        <v>103</v>
      </c>
      <c r="J607" t="s">
        <v>22</v>
      </c>
      <c r="K607">
        <v>4.2</v>
      </c>
      <c r="L607" t="s">
        <v>34</v>
      </c>
      <c r="M607" t="s">
        <v>24</v>
      </c>
      <c r="N607" t="s">
        <v>34</v>
      </c>
      <c r="O607">
        <v>17</v>
      </c>
      <c r="P607" t="s">
        <v>88</v>
      </c>
      <c r="Q607" t="s">
        <v>26</v>
      </c>
      <c r="R607" s="1">
        <v>0.1</v>
      </c>
      <c r="S607">
        <f t="shared" si="36"/>
        <v>28.8</v>
      </c>
      <c r="T607">
        <f>IFERROR(VLOOKUP(A607,Table1[[Customer ID]:[Discount Amount]], 6, FALSE),"Not Found")</f>
        <v>32</v>
      </c>
      <c r="U607" t="str">
        <f t="shared" si="37"/>
        <v>Bank Transfer</v>
      </c>
      <c r="V607" s="4" t="str">
        <f t="shared" si="38"/>
        <v>Normal</v>
      </c>
      <c r="W607" s="4" t="str">
        <f t="shared" si="39"/>
        <v>Good</v>
      </c>
      <c r="X607" s="4">
        <f>AVERAGE(Table1[Purchase Amount])</f>
        <v>129.48419400000012</v>
      </c>
    </row>
    <row r="608" spans="1:24" ht="15" customHeight="1" x14ac:dyDescent="0.25">
      <c r="A608">
        <v>607</v>
      </c>
      <c r="B608">
        <v>27</v>
      </c>
      <c r="C608" t="s">
        <v>27</v>
      </c>
      <c r="D608" t="s">
        <v>129</v>
      </c>
      <c r="E608" t="s">
        <v>29</v>
      </c>
      <c r="F608" s="2">
        <v>90</v>
      </c>
      <c r="G608" t="s">
        <v>92</v>
      </c>
      <c r="H608" t="s">
        <v>31</v>
      </c>
      <c r="I608" t="s">
        <v>74</v>
      </c>
      <c r="J608" t="s">
        <v>33</v>
      </c>
      <c r="K608">
        <v>4.5</v>
      </c>
      <c r="L608" t="s">
        <v>34</v>
      </c>
      <c r="M608" t="s">
        <v>24</v>
      </c>
      <c r="N608" t="s">
        <v>34</v>
      </c>
      <c r="O608">
        <v>44</v>
      </c>
      <c r="P608" t="s">
        <v>58</v>
      </c>
      <c r="Q608" t="s">
        <v>42</v>
      </c>
      <c r="R608" s="1">
        <v>0.1</v>
      </c>
      <c r="S608">
        <f t="shared" si="36"/>
        <v>81</v>
      </c>
      <c r="T608">
        <f>IFERROR(VLOOKUP(A608,Table1[[Customer ID]:[Discount Amount]], 6, FALSE),"Not Found")</f>
        <v>90</v>
      </c>
      <c r="U608" t="str">
        <f t="shared" si="37"/>
        <v>PayPal</v>
      </c>
      <c r="V608" s="4" t="str">
        <f t="shared" si="38"/>
        <v>Normal</v>
      </c>
      <c r="W608" s="4" t="str">
        <f t="shared" si="39"/>
        <v>Good</v>
      </c>
      <c r="X608" s="4">
        <f>AVERAGE(Table1[Purchase Amount])</f>
        <v>129.48419400000012</v>
      </c>
    </row>
    <row r="609" spans="1:24" ht="15" customHeight="1" x14ac:dyDescent="0.25">
      <c r="A609">
        <v>608</v>
      </c>
      <c r="B609">
        <v>47</v>
      </c>
      <c r="C609" t="s">
        <v>27</v>
      </c>
      <c r="D609" t="s">
        <v>83</v>
      </c>
      <c r="E609" t="s">
        <v>18</v>
      </c>
      <c r="F609" s="2">
        <v>23</v>
      </c>
      <c r="G609" t="s">
        <v>102</v>
      </c>
      <c r="H609" t="s">
        <v>45</v>
      </c>
      <c r="I609" t="s">
        <v>66</v>
      </c>
      <c r="J609" t="s">
        <v>47</v>
      </c>
      <c r="K609">
        <v>2.8</v>
      </c>
      <c r="L609" t="s">
        <v>34</v>
      </c>
      <c r="M609" t="s">
        <v>79</v>
      </c>
      <c r="N609" t="s">
        <v>34</v>
      </c>
      <c r="O609">
        <v>44</v>
      </c>
      <c r="P609" t="s">
        <v>25</v>
      </c>
      <c r="Q609" t="s">
        <v>42</v>
      </c>
      <c r="R609" s="1">
        <v>0.1</v>
      </c>
      <c r="S609">
        <f t="shared" si="36"/>
        <v>20.7</v>
      </c>
      <c r="T609">
        <f>IFERROR(VLOOKUP(A609,Table1[[Customer ID]:[Discount Amount]], 6, FALSE),"Not Found")</f>
        <v>23</v>
      </c>
      <c r="U609" t="str">
        <f t="shared" si="37"/>
        <v>Cash</v>
      </c>
      <c r="V609" s="4" t="str">
        <f t="shared" si="38"/>
        <v>Normal</v>
      </c>
      <c r="W609" s="4" t="str">
        <f t="shared" si="39"/>
        <v>Poor</v>
      </c>
      <c r="X609" s="4">
        <f>AVERAGE(Table1[Purchase Amount])</f>
        <v>129.48419400000012</v>
      </c>
    </row>
    <row r="610" spans="1:24" ht="15" customHeight="1" x14ac:dyDescent="0.25">
      <c r="A610">
        <v>609</v>
      </c>
      <c r="B610">
        <v>41</v>
      </c>
      <c r="C610" t="s">
        <v>27</v>
      </c>
      <c r="D610" t="s">
        <v>104</v>
      </c>
      <c r="E610" t="s">
        <v>29</v>
      </c>
      <c r="F610" s="2">
        <v>25</v>
      </c>
      <c r="G610" t="s">
        <v>143</v>
      </c>
      <c r="H610" t="s">
        <v>55</v>
      </c>
      <c r="I610" t="s">
        <v>133</v>
      </c>
      <c r="J610" t="s">
        <v>47</v>
      </c>
      <c r="K610">
        <v>3.3</v>
      </c>
      <c r="L610" t="s">
        <v>34</v>
      </c>
      <c r="M610" t="s">
        <v>79</v>
      </c>
      <c r="N610" t="s">
        <v>34</v>
      </c>
      <c r="O610">
        <v>21</v>
      </c>
      <c r="P610" t="s">
        <v>62</v>
      </c>
      <c r="Q610" t="s">
        <v>63</v>
      </c>
      <c r="R610" s="1">
        <v>0.1</v>
      </c>
      <c r="S610">
        <f t="shared" si="36"/>
        <v>22.5</v>
      </c>
      <c r="T610">
        <f>IFERROR(VLOOKUP(A610,Table1[[Customer ID]:[Discount Amount]], 6, FALSE),"Not Found")</f>
        <v>25</v>
      </c>
      <c r="U610" t="str">
        <f t="shared" si="37"/>
        <v>Venmo</v>
      </c>
      <c r="V610" s="4" t="str">
        <f t="shared" si="38"/>
        <v>Normal</v>
      </c>
      <c r="W610" s="4" t="str">
        <f t="shared" si="39"/>
        <v>Good</v>
      </c>
      <c r="X610" s="4">
        <f>AVERAGE(Table1[Purchase Amount])</f>
        <v>129.48419400000012</v>
      </c>
    </row>
    <row r="611" spans="1:24" ht="15" customHeight="1" x14ac:dyDescent="0.25">
      <c r="A611">
        <v>610</v>
      </c>
      <c r="B611">
        <v>51</v>
      </c>
      <c r="C611" t="s">
        <v>27</v>
      </c>
      <c r="D611" t="s">
        <v>127</v>
      </c>
      <c r="E611" t="s">
        <v>18</v>
      </c>
      <c r="F611" s="2">
        <v>54</v>
      </c>
      <c r="G611" t="s">
        <v>90</v>
      </c>
      <c r="H611" t="s">
        <v>45</v>
      </c>
      <c r="I611" t="s">
        <v>66</v>
      </c>
      <c r="J611" t="s">
        <v>47</v>
      </c>
      <c r="K611">
        <v>4.5999999999999996</v>
      </c>
      <c r="L611" t="s">
        <v>34</v>
      </c>
      <c r="M611" t="s">
        <v>79</v>
      </c>
      <c r="N611" t="s">
        <v>34</v>
      </c>
      <c r="O611">
        <v>49</v>
      </c>
      <c r="P611" t="s">
        <v>53</v>
      </c>
      <c r="Q611" t="s">
        <v>89</v>
      </c>
      <c r="R611" s="1">
        <v>0.1</v>
      </c>
      <c r="S611">
        <f t="shared" si="36"/>
        <v>48.6</v>
      </c>
      <c r="T611">
        <f>IFERROR(VLOOKUP(A611,Table1[[Customer ID]:[Discount Amount]], 6, FALSE),"Not Found")</f>
        <v>54</v>
      </c>
      <c r="U611" t="str">
        <f t="shared" si="37"/>
        <v>Credit Card</v>
      </c>
      <c r="V611" s="4" t="str">
        <f t="shared" si="38"/>
        <v>Normal</v>
      </c>
      <c r="W611" s="4" t="str">
        <f t="shared" si="39"/>
        <v>Good</v>
      </c>
      <c r="X611" s="4">
        <f>AVERAGE(Table1[Purchase Amount])</f>
        <v>129.48419400000012</v>
      </c>
    </row>
    <row r="612" spans="1:24" ht="15" customHeight="1" x14ac:dyDescent="0.25">
      <c r="A612">
        <v>611</v>
      </c>
      <c r="B612">
        <v>53</v>
      </c>
      <c r="C612" t="s">
        <v>27</v>
      </c>
      <c r="D612" t="s">
        <v>54</v>
      </c>
      <c r="E612" t="s">
        <v>18</v>
      </c>
      <c r="F612" s="2">
        <v>72</v>
      </c>
      <c r="G612" t="s">
        <v>142</v>
      </c>
      <c r="H612" t="s">
        <v>31</v>
      </c>
      <c r="I612" t="s">
        <v>103</v>
      </c>
      <c r="J612" t="s">
        <v>57</v>
      </c>
      <c r="K612">
        <v>2.5</v>
      </c>
      <c r="L612" t="s">
        <v>34</v>
      </c>
      <c r="M612" t="s">
        <v>35</v>
      </c>
      <c r="N612" t="s">
        <v>34</v>
      </c>
      <c r="O612">
        <v>27</v>
      </c>
      <c r="P612" t="s">
        <v>88</v>
      </c>
      <c r="Q612" t="s">
        <v>63</v>
      </c>
      <c r="R612" s="1">
        <v>0.1</v>
      </c>
      <c r="S612">
        <f t="shared" si="36"/>
        <v>64.8</v>
      </c>
      <c r="T612">
        <f>IFERROR(VLOOKUP(A612,Table1[[Customer ID]:[Discount Amount]], 6, FALSE),"Not Found")</f>
        <v>72</v>
      </c>
      <c r="U612" t="str">
        <f t="shared" si="37"/>
        <v>Bank Transfer</v>
      </c>
      <c r="V612" s="4" t="str">
        <f t="shared" si="38"/>
        <v>Normal</v>
      </c>
      <c r="W612" s="4" t="str">
        <f t="shared" si="39"/>
        <v>Poor</v>
      </c>
      <c r="X612" s="4">
        <f>AVERAGE(Table1[Purchase Amount])</f>
        <v>129.48419400000012</v>
      </c>
    </row>
    <row r="613" spans="1:24" ht="15" customHeight="1" x14ac:dyDescent="0.25">
      <c r="A613">
        <v>612</v>
      </c>
      <c r="B613">
        <v>43</v>
      </c>
      <c r="C613" t="s">
        <v>27</v>
      </c>
      <c r="D613" t="s">
        <v>129</v>
      </c>
      <c r="E613" t="s">
        <v>29</v>
      </c>
      <c r="F613" s="2">
        <v>33</v>
      </c>
      <c r="G613" t="s">
        <v>19</v>
      </c>
      <c r="H613" t="s">
        <v>31</v>
      </c>
      <c r="I613" t="s">
        <v>40</v>
      </c>
      <c r="J613" t="s">
        <v>22</v>
      </c>
      <c r="K613">
        <v>4.7</v>
      </c>
      <c r="L613" t="s">
        <v>34</v>
      </c>
      <c r="M613" t="s">
        <v>48</v>
      </c>
      <c r="N613" t="s">
        <v>34</v>
      </c>
      <c r="O613">
        <v>19</v>
      </c>
      <c r="P613" t="s">
        <v>25</v>
      </c>
      <c r="Q613" t="s">
        <v>42</v>
      </c>
      <c r="R613" s="1">
        <v>0.1</v>
      </c>
      <c r="S613">
        <f t="shared" si="36"/>
        <v>29.7</v>
      </c>
      <c r="T613">
        <f>IFERROR(VLOOKUP(A613,Table1[[Customer ID]:[Discount Amount]], 6, FALSE),"Not Found")</f>
        <v>33</v>
      </c>
      <c r="U613" t="str">
        <f t="shared" si="37"/>
        <v>Cash</v>
      </c>
      <c r="V613" s="4" t="str">
        <f t="shared" si="38"/>
        <v>Normal</v>
      </c>
      <c r="W613" s="4" t="str">
        <f t="shared" si="39"/>
        <v>Good</v>
      </c>
      <c r="X613" s="4">
        <f>AVERAGE(Table1[Purchase Amount])</f>
        <v>129.48419400000012</v>
      </c>
    </row>
    <row r="614" spans="1:24" ht="15" customHeight="1" x14ac:dyDescent="0.25">
      <c r="A614">
        <v>613</v>
      </c>
      <c r="B614">
        <v>67</v>
      </c>
      <c r="C614" t="s">
        <v>27</v>
      </c>
      <c r="D614" t="s">
        <v>64</v>
      </c>
      <c r="E614" t="s">
        <v>29</v>
      </c>
      <c r="F614" s="2">
        <v>43</v>
      </c>
      <c r="G614" t="s">
        <v>132</v>
      </c>
      <c r="H614" t="s">
        <v>45</v>
      </c>
      <c r="I614" t="s">
        <v>107</v>
      </c>
      <c r="J614" t="s">
        <v>47</v>
      </c>
      <c r="K614">
        <v>4.5999999999999996</v>
      </c>
      <c r="L614" t="s">
        <v>34</v>
      </c>
      <c r="M614" t="s">
        <v>61</v>
      </c>
      <c r="N614" t="s">
        <v>34</v>
      </c>
      <c r="O614">
        <v>33</v>
      </c>
      <c r="P614" t="s">
        <v>53</v>
      </c>
      <c r="Q614" t="s">
        <v>37</v>
      </c>
      <c r="R614" s="1">
        <v>0.1</v>
      </c>
      <c r="S614">
        <f t="shared" si="36"/>
        <v>38.700000000000003</v>
      </c>
      <c r="T614">
        <f>IFERROR(VLOOKUP(A614,Table1[[Customer ID]:[Discount Amount]], 6, FALSE),"Not Found")</f>
        <v>43</v>
      </c>
      <c r="U614" t="str">
        <f t="shared" si="37"/>
        <v>Credit Card</v>
      </c>
      <c r="V614" s="4" t="str">
        <f t="shared" si="38"/>
        <v>Normal</v>
      </c>
      <c r="W614" s="4" t="str">
        <f t="shared" si="39"/>
        <v>Good</v>
      </c>
      <c r="X614" s="4">
        <f>AVERAGE(Table1[Purchase Amount])</f>
        <v>129.48419400000012</v>
      </c>
    </row>
    <row r="615" spans="1:24" ht="15" customHeight="1" x14ac:dyDescent="0.25">
      <c r="A615">
        <v>614</v>
      </c>
      <c r="B615">
        <v>61</v>
      </c>
      <c r="C615" t="s">
        <v>27</v>
      </c>
      <c r="D615" t="s">
        <v>76</v>
      </c>
      <c r="E615" t="s">
        <v>77</v>
      </c>
      <c r="F615" s="2">
        <v>51</v>
      </c>
      <c r="G615" t="s">
        <v>78</v>
      </c>
      <c r="H615" t="s">
        <v>45</v>
      </c>
      <c r="I615" t="s">
        <v>107</v>
      </c>
      <c r="J615" t="s">
        <v>47</v>
      </c>
      <c r="K615">
        <v>2.6</v>
      </c>
      <c r="L615" t="s">
        <v>34</v>
      </c>
      <c r="M615" t="s">
        <v>24</v>
      </c>
      <c r="N615" t="s">
        <v>34</v>
      </c>
      <c r="O615">
        <v>46</v>
      </c>
      <c r="P615" t="s">
        <v>25</v>
      </c>
      <c r="Q615" t="s">
        <v>68</v>
      </c>
      <c r="R615" s="1">
        <v>0.1</v>
      </c>
      <c r="S615">
        <f t="shared" si="36"/>
        <v>45.9</v>
      </c>
      <c r="T615">
        <f>IFERROR(VLOOKUP(A615,Table1[[Customer ID]:[Discount Amount]], 6, FALSE),"Not Found")</f>
        <v>51</v>
      </c>
      <c r="U615" t="str">
        <f t="shared" si="37"/>
        <v>Cash</v>
      </c>
      <c r="V615" s="4" t="str">
        <f t="shared" si="38"/>
        <v>Normal</v>
      </c>
      <c r="W615" s="4" t="str">
        <f t="shared" si="39"/>
        <v>Poor</v>
      </c>
      <c r="X615" s="4">
        <f>AVERAGE(Table1[Purchase Amount])</f>
        <v>129.48419400000012</v>
      </c>
    </row>
    <row r="616" spans="1:24" ht="15" customHeight="1" x14ac:dyDescent="0.25">
      <c r="A616">
        <v>615</v>
      </c>
      <c r="B616">
        <v>68</v>
      </c>
      <c r="C616" t="s">
        <v>27</v>
      </c>
      <c r="D616" t="s">
        <v>50</v>
      </c>
      <c r="E616" t="s">
        <v>29</v>
      </c>
      <c r="F616" s="2">
        <v>85</v>
      </c>
      <c r="G616" t="s">
        <v>161</v>
      </c>
      <c r="H616" t="s">
        <v>31</v>
      </c>
      <c r="I616" t="s">
        <v>107</v>
      </c>
      <c r="J616" t="s">
        <v>22</v>
      </c>
      <c r="K616">
        <v>4</v>
      </c>
      <c r="L616" t="s">
        <v>34</v>
      </c>
      <c r="M616" t="s">
        <v>24</v>
      </c>
      <c r="N616" t="s">
        <v>34</v>
      </c>
      <c r="O616">
        <v>21</v>
      </c>
      <c r="P616" t="s">
        <v>53</v>
      </c>
      <c r="Q616" t="s">
        <v>68</v>
      </c>
      <c r="R616" s="1">
        <v>0.1</v>
      </c>
      <c r="S616">
        <f t="shared" si="36"/>
        <v>76.5</v>
      </c>
      <c r="T616">
        <f>IFERROR(VLOOKUP(A616,Table1[[Customer ID]:[Discount Amount]], 6, FALSE),"Not Found")</f>
        <v>85</v>
      </c>
      <c r="U616" t="str">
        <f t="shared" si="37"/>
        <v>Credit Card</v>
      </c>
      <c r="V616" s="4" t="str">
        <f t="shared" si="38"/>
        <v>Normal</v>
      </c>
      <c r="W616" s="4" t="str">
        <f t="shared" si="39"/>
        <v>Good</v>
      </c>
      <c r="X616" s="4">
        <f>AVERAGE(Table1[Purchase Amount])</f>
        <v>129.48419400000012</v>
      </c>
    </row>
    <row r="617" spans="1:24" ht="15" customHeight="1" x14ac:dyDescent="0.25">
      <c r="A617">
        <v>616</v>
      </c>
      <c r="B617">
        <v>67</v>
      </c>
      <c r="C617" t="s">
        <v>27</v>
      </c>
      <c r="D617" t="s">
        <v>121</v>
      </c>
      <c r="E617" t="s">
        <v>98</v>
      </c>
      <c r="F617" s="2">
        <v>100</v>
      </c>
      <c r="G617" t="s">
        <v>106</v>
      </c>
      <c r="H617" t="s">
        <v>45</v>
      </c>
      <c r="I617" t="s">
        <v>21</v>
      </c>
      <c r="J617" t="s">
        <v>57</v>
      </c>
      <c r="K617">
        <v>2.6</v>
      </c>
      <c r="L617" t="s">
        <v>34</v>
      </c>
      <c r="M617" t="s">
        <v>79</v>
      </c>
      <c r="N617" t="s">
        <v>34</v>
      </c>
      <c r="O617">
        <v>23</v>
      </c>
      <c r="P617" t="s">
        <v>62</v>
      </c>
      <c r="Q617" t="s">
        <v>49</v>
      </c>
      <c r="R617" s="1">
        <v>0.1</v>
      </c>
      <c r="S617">
        <f t="shared" si="36"/>
        <v>90</v>
      </c>
      <c r="T617">
        <f>IFERROR(VLOOKUP(A617,Table1[[Customer ID]:[Discount Amount]], 6, FALSE),"Not Found")</f>
        <v>100</v>
      </c>
      <c r="U617" t="str">
        <f t="shared" si="37"/>
        <v>Venmo</v>
      </c>
      <c r="V617" s="4" t="str">
        <f t="shared" si="38"/>
        <v>Normal</v>
      </c>
      <c r="W617" s="4" t="str">
        <f t="shared" si="39"/>
        <v>Poor</v>
      </c>
      <c r="X617" s="4">
        <f>AVERAGE(Table1[Purchase Amount])</f>
        <v>129.48419400000012</v>
      </c>
    </row>
    <row r="618" spans="1:24" ht="15" customHeight="1" x14ac:dyDescent="0.25">
      <c r="A618">
        <v>617</v>
      </c>
      <c r="B618">
        <v>29</v>
      </c>
      <c r="C618" t="s">
        <v>27</v>
      </c>
      <c r="D618" t="s">
        <v>43</v>
      </c>
      <c r="E618" t="s">
        <v>29</v>
      </c>
      <c r="F618" s="2">
        <v>72</v>
      </c>
      <c r="G618" t="s">
        <v>78</v>
      </c>
      <c r="H618" t="s">
        <v>45</v>
      </c>
      <c r="I618" t="s">
        <v>147</v>
      </c>
      <c r="J618" t="s">
        <v>33</v>
      </c>
      <c r="K618">
        <v>4.5999999999999996</v>
      </c>
      <c r="L618" t="s">
        <v>34</v>
      </c>
      <c r="M618" t="s">
        <v>35</v>
      </c>
      <c r="N618" t="s">
        <v>34</v>
      </c>
      <c r="O618">
        <v>38</v>
      </c>
      <c r="P618" t="s">
        <v>53</v>
      </c>
      <c r="Q618" t="s">
        <v>63</v>
      </c>
      <c r="R618" s="1">
        <v>0.1</v>
      </c>
      <c r="S618">
        <f t="shared" si="36"/>
        <v>64.8</v>
      </c>
      <c r="T618">
        <f>IFERROR(VLOOKUP(A618,Table1[[Customer ID]:[Discount Amount]], 6, FALSE),"Not Found")</f>
        <v>72</v>
      </c>
      <c r="U618" t="str">
        <f t="shared" si="37"/>
        <v>Credit Card</v>
      </c>
      <c r="V618" s="4" t="str">
        <f t="shared" si="38"/>
        <v>Normal</v>
      </c>
      <c r="W618" s="4" t="str">
        <f t="shared" si="39"/>
        <v>Good</v>
      </c>
      <c r="X618" s="4">
        <f>AVERAGE(Table1[Purchase Amount])</f>
        <v>129.48419400000012</v>
      </c>
    </row>
    <row r="619" spans="1:24" ht="15" customHeight="1" x14ac:dyDescent="0.25">
      <c r="A619">
        <v>618</v>
      </c>
      <c r="B619">
        <v>50</v>
      </c>
      <c r="C619" t="s">
        <v>27</v>
      </c>
      <c r="D619" t="s">
        <v>104</v>
      </c>
      <c r="E619" t="s">
        <v>29</v>
      </c>
      <c r="F619" s="2">
        <v>57</v>
      </c>
      <c r="G619" t="s">
        <v>92</v>
      </c>
      <c r="H619" t="s">
        <v>31</v>
      </c>
      <c r="I619" t="s">
        <v>125</v>
      </c>
      <c r="J619" t="s">
        <v>47</v>
      </c>
      <c r="K619">
        <v>2.6</v>
      </c>
      <c r="L619" t="s">
        <v>34</v>
      </c>
      <c r="M619" t="s">
        <v>24</v>
      </c>
      <c r="N619" t="s">
        <v>34</v>
      </c>
      <c r="O619">
        <v>2</v>
      </c>
      <c r="P619" t="s">
        <v>88</v>
      </c>
      <c r="Q619" t="s">
        <v>37</v>
      </c>
      <c r="R619" s="1">
        <v>0.1</v>
      </c>
      <c r="S619">
        <f t="shared" si="36"/>
        <v>51.3</v>
      </c>
      <c r="T619">
        <f>IFERROR(VLOOKUP(A619,Table1[[Customer ID]:[Discount Amount]], 6, FALSE),"Not Found")</f>
        <v>57</v>
      </c>
      <c r="U619" t="str">
        <f t="shared" si="37"/>
        <v>Bank Transfer</v>
      </c>
      <c r="V619" s="4" t="str">
        <f t="shared" si="38"/>
        <v>Normal</v>
      </c>
      <c r="W619" s="4" t="str">
        <f t="shared" si="39"/>
        <v>Poor</v>
      </c>
      <c r="X619" s="4">
        <f>AVERAGE(Table1[Purchase Amount])</f>
        <v>129.48419400000012</v>
      </c>
    </row>
    <row r="620" spans="1:24" ht="15" customHeight="1" x14ac:dyDescent="0.25">
      <c r="A620">
        <v>619</v>
      </c>
      <c r="B620">
        <v>61</v>
      </c>
      <c r="C620" t="s">
        <v>27</v>
      </c>
      <c r="D620" t="s">
        <v>96</v>
      </c>
      <c r="E620" t="s">
        <v>77</v>
      </c>
      <c r="F620" s="2">
        <v>94</v>
      </c>
      <c r="G620" t="s">
        <v>102</v>
      </c>
      <c r="H620" t="s">
        <v>45</v>
      </c>
      <c r="I620" t="s">
        <v>128</v>
      </c>
      <c r="J620" t="s">
        <v>33</v>
      </c>
      <c r="K620">
        <v>4</v>
      </c>
      <c r="L620" t="s">
        <v>34</v>
      </c>
      <c r="M620" t="s">
        <v>61</v>
      </c>
      <c r="N620" t="s">
        <v>34</v>
      </c>
      <c r="O620">
        <v>21</v>
      </c>
      <c r="P620" t="s">
        <v>36</v>
      </c>
      <c r="Q620" t="s">
        <v>68</v>
      </c>
      <c r="R620" s="1">
        <v>0.1</v>
      </c>
      <c r="S620">
        <f t="shared" si="36"/>
        <v>84.6</v>
      </c>
      <c r="T620">
        <f>IFERROR(VLOOKUP(A620,Table1[[Customer ID]:[Discount Amount]], 6, FALSE),"Not Found")</f>
        <v>94</v>
      </c>
      <c r="U620" t="str">
        <f t="shared" si="37"/>
        <v>Debit Card</v>
      </c>
      <c r="V620" s="4" t="str">
        <f t="shared" si="38"/>
        <v>Normal</v>
      </c>
      <c r="W620" s="4" t="str">
        <f t="shared" si="39"/>
        <v>Good</v>
      </c>
      <c r="X620" s="4">
        <f>AVERAGE(Table1[Purchase Amount])</f>
        <v>129.48419400000012</v>
      </c>
    </row>
    <row r="621" spans="1:24" ht="15" customHeight="1" x14ac:dyDescent="0.25">
      <c r="A621">
        <v>620</v>
      </c>
      <c r="B621">
        <v>19</v>
      </c>
      <c r="C621" t="s">
        <v>27</v>
      </c>
      <c r="D621" t="s">
        <v>104</v>
      </c>
      <c r="E621" t="s">
        <v>29</v>
      </c>
      <c r="F621" s="2">
        <v>34</v>
      </c>
      <c r="G621" t="s">
        <v>137</v>
      </c>
      <c r="H621" t="s">
        <v>31</v>
      </c>
      <c r="I621" t="s">
        <v>103</v>
      </c>
      <c r="J621" t="s">
        <v>57</v>
      </c>
      <c r="K621">
        <v>4.5999999999999996</v>
      </c>
      <c r="L621" t="s">
        <v>34</v>
      </c>
      <c r="M621" t="s">
        <v>48</v>
      </c>
      <c r="N621" t="s">
        <v>34</v>
      </c>
      <c r="O621">
        <v>1</v>
      </c>
      <c r="P621" t="s">
        <v>36</v>
      </c>
      <c r="Q621" t="s">
        <v>63</v>
      </c>
      <c r="R621" s="1">
        <v>0.1</v>
      </c>
      <c r="S621">
        <f t="shared" si="36"/>
        <v>30.6</v>
      </c>
      <c r="T621">
        <f>IFERROR(VLOOKUP(A621,Table1[[Customer ID]:[Discount Amount]], 6, FALSE),"Not Found")</f>
        <v>34</v>
      </c>
      <c r="U621" t="str">
        <f t="shared" si="37"/>
        <v>Debit Card</v>
      </c>
      <c r="V621" s="4" t="str">
        <f t="shared" si="38"/>
        <v>Normal</v>
      </c>
      <c r="W621" s="4" t="str">
        <f t="shared" si="39"/>
        <v>Good</v>
      </c>
      <c r="X621" s="4">
        <f>AVERAGE(Table1[Purchase Amount])</f>
        <v>129.48419400000012</v>
      </c>
    </row>
    <row r="622" spans="1:24" ht="15" customHeight="1" x14ac:dyDescent="0.25">
      <c r="A622">
        <v>621</v>
      </c>
      <c r="B622">
        <v>33</v>
      </c>
      <c r="C622" t="s">
        <v>27</v>
      </c>
      <c r="D622" t="s">
        <v>104</v>
      </c>
      <c r="E622" t="s">
        <v>29</v>
      </c>
      <c r="F622" s="2">
        <v>89</v>
      </c>
      <c r="G622" t="s">
        <v>159</v>
      </c>
      <c r="H622" t="s">
        <v>31</v>
      </c>
      <c r="I622" t="s">
        <v>40</v>
      </c>
      <c r="J622" t="s">
        <v>47</v>
      </c>
      <c r="K622">
        <v>3.7</v>
      </c>
      <c r="L622" t="s">
        <v>34</v>
      </c>
      <c r="M622" t="s">
        <v>41</v>
      </c>
      <c r="N622" t="s">
        <v>34</v>
      </c>
      <c r="O622">
        <v>10</v>
      </c>
      <c r="P622" t="s">
        <v>62</v>
      </c>
      <c r="Q622" t="s">
        <v>63</v>
      </c>
      <c r="R622" s="1">
        <v>0.1</v>
      </c>
      <c r="S622">
        <f t="shared" si="36"/>
        <v>80.099999999999994</v>
      </c>
      <c r="T622">
        <f>IFERROR(VLOOKUP(A622,Table1[[Customer ID]:[Discount Amount]], 6, FALSE),"Not Found")</f>
        <v>89</v>
      </c>
      <c r="U622" t="str">
        <f t="shared" si="37"/>
        <v>Venmo</v>
      </c>
      <c r="V622" s="4" t="str">
        <f t="shared" si="38"/>
        <v>Normal</v>
      </c>
      <c r="W622" s="4" t="str">
        <f t="shared" si="39"/>
        <v>Good</v>
      </c>
      <c r="X622" s="4">
        <f>AVERAGE(Table1[Purchase Amount])</f>
        <v>129.48419400000012</v>
      </c>
    </row>
    <row r="623" spans="1:24" ht="15" customHeight="1" x14ac:dyDescent="0.25">
      <c r="A623">
        <v>622</v>
      </c>
      <c r="B623">
        <v>51</v>
      </c>
      <c r="C623" t="s">
        <v>27</v>
      </c>
      <c r="D623" t="s">
        <v>28</v>
      </c>
      <c r="E623" t="s">
        <v>29</v>
      </c>
      <c r="F623" s="2">
        <v>27</v>
      </c>
      <c r="G623" t="s">
        <v>124</v>
      </c>
      <c r="H623" t="s">
        <v>55</v>
      </c>
      <c r="I623" t="s">
        <v>46</v>
      </c>
      <c r="J623" t="s">
        <v>47</v>
      </c>
      <c r="K623">
        <v>4.4000000000000004</v>
      </c>
      <c r="L623" t="s">
        <v>34</v>
      </c>
      <c r="M623" t="s">
        <v>48</v>
      </c>
      <c r="N623" t="s">
        <v>34</v>
      </c>
      <c r="O623">
        <v>45</v>
      </c>
      <c r="P623" t="s">
        <v>53</v>
      </c>
      <c r="Q623" t="s">
        <v>26</v>
      </c>
      <c r="R623" s="1">
        <v>0.1</v>
      </c>
      <c r="S623">
        <f t="shared" si="36"/>
        <v>24.3</v>
      </c>
      <c r="T623">
        <f>IFERROR(VLOOKUP(A623,Table1[[Customer ID]:[Discount Amount]], 6, FALSE),"Not Found")</f>
        <v>27</v>
      </c>
      <c r="U623" t="str">
        <f t="shared" si="37"/>
        <v>Credit Card</v>
      </c>
      <c r="V623" s="4" t="str">
        <f t="shared" si="38"/>
        <v>Normal</v>
      </c>
      <c r="W623" s="4" t="str">
        <f t="shared" si="39"/>
        <v>Good</v>
      </c>
      <c r="X623" s="4">
        <f>AVERAGE(Table1[Purchase Amount])</f>
        <v>129.48419400000012</v>
      </c>
    </row>
    <row r="624" spans="1:24" ht="15" customHeight="1" x14ac:dyDescent="0.25">
      <c r="A624">
        <v>623</v>
      </c>
      <c r="B624">
        <v>69</v>
      </c>
      <c r="C624" t="s">
        <v>27</v>
      </c>
      <c r="D624" t="s">
        <v>105</v>
      </c>
      <c r="E624" t="s">
        <v>18</v>
      </c>
      <c r="F624" s="2">
        <v>63</v>
      </c>
      <c r="G624" t="s">
        <v>160</v>
      </c>
      <c r="H624" t="s">
        <v>55</v>
      </c>
      <c r="I624" t="s">
        <v>145</v>
      </c>
      <c r="J624" t="s">
        <v>33</v>
      </c>
      <c r="K624">
        <v>4</v>
      </c>
      <c r="L624" t="s">
        <v>34</v>
      </c>
      <c r="M624" t="s">
        <v>79</v>
      </c>
      <c r="N624" t="s">
        <v>34</v>
      </c>
      <c r="O624">
        <v>44</v>
      </c>
      <c r="P624" t="s">
        <v>88</v>
      </c>
      <c r="Q624" t="s">
        <v>89</v>
      </c>
      <c r="R624" s="1">
        <v>0.1</v>
      </c>
      <c r="S624">
        <f t="shared" si="36"/>
        <v>56.7</v>
      </c>
      <c r="T624">
        <f>IFERROR(VLOOKUP(A624,Table1[[Customer ID]:[Discount Amount]], 6, FALSE),"Not Found")</f>
        <v>63</v>
      </c>
      <c r="U624" t="str">
        <f t="shared" si="37"/>
        <v>Bank Transfer</v>
      </c>
      <c r="V624" s="4" t="str">
        <f t="shared" si="38"/>
        <v>Normal</v>
      </c>
      <c r="W624" s="4" t="str">
        <f t="shared" si="39"/>
        <v>Good</v>
      </c>
      <c r="X624" s="4">
        <f>AVERAGE(Table1[Purchase Amount])</f>
        <v>129.48419400000012</v>
      </c>
    </row>
    <row r="625" spans="1:24" ht="15" customHeight="1" x14ac:dyDescent="0.25">
      <c r="A625">
        <v>624</v>
      </c>
      <c r="B625">
        <v>19</v>
      </c>
      <c r="C625" t="s">
        <v>27</v>
      </c>
      <c r="D625" t="s">
        <v>72</v>
      </c>
      <c r="E625" t="s">
        <v>98</v>
      </c>
      <c r="F625" s="2">
        <v>70</v>
      </c>
      <c r="G625" t="s">
        <v>158</v>
      </c>
      <c r="H625" t="s">
        <v>31</v>
      </c>
      <c r="I625" t="s">
        <v>32</v>
      </c>
      <c r="J625" t="s">
        <v>47</v>
      </c>
      <c r="K625">
        <v>4.7</v>
      </c>
      <c r="L625" t="s">
        <v>34</v>
      </c>
      <c r="M625" t="s">
        <v>24</v>
      </c>
      <c r="N625" t="s">
        <v>34</v>
      </c>
      <c r="O625">
        <v>48</v>
      </c>
      <c r="P625" t="s">
        <v>58</v>
      </c>
      <c r="Q625" t="s">
        <v>68</v>
      </c>
      <c r="R625" s="1">
        <v>0.1</v>
      </c>
      <c r="S625">
        <f t="shared" si="36"/>
        <v>63</v>
      </c>
      <c r="T625">
        <f>IFERROR(VLOOKUP(A625,Table1[[Customer ID]:[Discount Amount]], 6, FALSE),"Not Found")</f>
        <v>70</v>
      </c>
      <c r="U625" t="str">
        <f t="shared" si="37"/>
        <v>PayPal</v>
      </c>
      <c r="V625" s="4" t="str">
        <f t="shared" si="38"/>
        <v>Normal</v>
      </c>
      <c r="W625" s="4" t="str">
        <f t="shared" si="39"/>
        <v>Good</v>
      </c>
      <c r="X625" s="4">
        <f>AVERAGE(Table1[Purchase Amount])</f>
        <v>129.48419400000012</v>
      </c>
    </row>
    <row r="626" spans="1:24" ht="15" customHeight="1" x14ac:dyDescent="0.25">
      <c r="A626">
        <v>625</v>
      </c>
      <c r="B626">
        <v>55</v>
      </c>
      <c r="C626" t="s">
        <v>27</v>
      </c>
      <c r="D626" t="s">
        <v>99</v>
      </c>
      <c r="E626" t="s">
        <v>18</v>
      </c>
      <c r="F626" s="2">
        <v>87</v>
      </c>
      <c r="G626" t="s">
        <v>30</v>
      </c>
      <c r="H626" t="s">
        <v>20</v>
      </c>
      <c r="I626" t="s">
        <v>136</v>
      </c>
      <c r="J626" t="s">
        <v>47</v>
      </c>
      <c r="K626">
        <v>3.4</v>
      </c>
      <c r="L626" t="s">
        <v>34</v>
      </c>
      <c r="M626" t="s">
        <v>61</v>
      </c>
      <c r="N626" t="s">
        <v>34</v>
      </c>
      <c r="O626">
        <v>21</v>
      </c>
      <c r="P626" t="s">
        <v>58</v>
      </c>
      <c r="Q626" t="s">
        <v>49</v>
      </c>
      <c r="R626" s="1">
        <v>0.1</v>
      </c>
      <c r="S626">
        <f t="shared" si="36"/>
        <v>78.3</v>
      </c>
      <c r="T626">
        <f>IFERROR(VLOOKUP(A626,Table1[[Customer ID]:[Discount Amount]], 6, FALSE),"Not Found")</f>
        <v>87</v>
      </c>
      <c r="U626" t="str">
        <f t="shared" si="37"/>
        <v>PayPal</v>
      </c>
      <c r="V626" s="4" t="str">
        <f t="shared" si="38"/>
        <v>Normal</v>
      </c>
      <c r="W626" s="4" t="str">
        <f t="shared" si="39"/>
        <v>Good</v>
      </c>
      <c r="X626" s="4">
        <f>AVERAGE(Table1[Purchase Amount])</f>
        <v>129.48419400000012</v>
      </c>
    </row>
    <row r="627" spans="1:24" ht="15" customHeight="1" x14ac:dyDescent="0.25">
      <c r="A627">
        <v>626</v>
      </c>
      <c r="B627">
        <v>49</v>
      </c>
      <c r="C627" t="s">
        <v>27</v>
      </c>
      <c r="D627" t="s">
        <v>50</v>
      </c>
      <c r="E627" t="s">
        <v>29</v>
      </c>
      <c r="F627" s="2">
        <v>79</v>
      </c>
      <c r="G627" t="s">
        <v>143</v>
      </c>
      <c r="H627" t="s">
        <v>31</v>
      </c>
      <c r="I627" t="s">
        <v>46</v>
      </c>
      <c r="J627" t="s">
        <v>47</v>
      </c>
      <c r="K627">
        <v>4</v>
      </c>
      <c r="L627" t="s">
        <v>34</v>
      </c>
      <c r="M627" t="s">
        <v>79</v>
      </c>
      <c r="N627" t="s">
        <v>34</v>
      </c>
      <c r="O627">
        <v>1</v>
      </c>
      <c r="P627" t="s">
        <v>62</v>
      </c>
      <c r="Q627" t="s">
        <v>26</v>
      </c>
      <c r="R627" s="1">
        <v>0.1</v>
      </c>
      <c r="S627">
        <f t="shared" si="36"/>
        <v>71.099999999999994</v>
      </c>
      <c r="T627">
        <f>IFERROR(VLOOKUP(A627,Table1[[Customer ID]:[Discount Amount]], 6, FALSE),"Not Found")</f>
        <v>79</v>
      </c>
      <c r="U627" t="str">
        <f t="shared" si="37"/>
        <v>Venmo</v>
      </c>
      <c r="V627" s="4" t="str">
        <f t="shared" si="38"/>
        <v>Normal</v>
      </c>
      <c r="W627" s="4" t="str">
        <f t="shared" si="39"/>
        <v>Good</v>
      </c>
      <c r="X627" s="4">
        <f>AVERAGE(Table1[Purchase Amount])</f>
        <v>129.48419400000012</v>
      </c>
    </row>
    <row r="628" spans="1:24" ht="15" customHeight="1" x14ac:dyDescent="0.25">
      <c r="A628">
        <v>627</v>
      </c>
      <c r="B628">
        <v>31</v>
      </c>
      <c r="C628" t="s">
        <v>27</v>
      </c>
      <c r="D628" t="s">
        <v>28</v>
      </c>
      <c r="E628" t="s">
        <v>29</v>
      </c>
      <c r="F628" s="2">
        <v>79</v>
      </c>
      <c r="G628" t="s">
        <v>132</v>
      </c>
      <c r="H628" t="s">
        <v>31</v>
      </c>
      <c r="I628" t="s">
        <v>91</v>
      </c>
      <c r="J628" t="s">
        <v>33</v>
      </c>
      <c r="K628">
        <v>3.9</v>
      </c>
      <c r="L628" t="s">
        <v>34</v>
      </c>
      <c r="M628" t="s">
        <v>24</v>
      </c>
      <c r="N628" t="s">
        <v>34</v>
      </c>
      <c r="O628">
        <v>10</v>
      </c>
      <c r="P628" t="s">
        <v>62</v>
      </c>
      <c r="Q628" t="s">
        <v>49</v>
      </c>
      <c r="R628" s="1">
        <v>0.1</v>
      </c>
      <c r="S628">
        <f t="shared" si="36"/>
        <v>71.099999999999994</v>
      </c>
      <c r="T628">
        <f>IFERROR(VLOOKUP(A628,Table1[[Customer ID]:[Discount Amount]], 6, FALSE),"Not Found")</f>
        <v>79</v>
      </c>
      <c r="U628" t="str">
        <f t="shared" si="37"/>
        <v>Venmo</v>
      </c>
      <c r="V628" s="4" t="str">
        <f t="shared" si="38"/>
        <v>Normal</v>
      </c>
      <c r="W628" s="4" t="str">
        <f t="shared" si="39"/>
        <v>Good</v>
      </c>
      <c r="X628" s="4">
        <f>AVERAGE(Table1[Purchase Amount])</f>
        <v>129.48419400000012</v>
      </c>
    </row>
    <row r="629" spans="1:24" ht="15" customHeight="1" x14ac:dyDescent="0.25">
      <c r="A629">
        <v>628</v>
      </c>
      <c r="B629">
        <v>42</v>
      </c>
      <c r="C629" t="s">
        <v>27</v>
      </c>
      <c r="D629" t="s">
        <v>121</v>
      </c>
      <c r="E629" t="s">
        <v>98</v>
      </c>
      <c r="F629" s="2">
        <v>44</v>
      </c>
      <c r="G629" t="s">
        <v>123</v>
      </c>
      <c r="H629" t="s">
        <v>45</v>
      </c>
      <c r="I629" t="s">
        <v>40</v>
      </c>
      <c r="J629" t="s">
        <v>22</v>
      </c>
      <c r="K629">
        <v>4.0999999999999996</v>
      </c>
      <c r="L629" t="s">
        <v>34</v>
      </c>
      <c r="M629" t="s">
        <v>61</v>
      </c>
      <c r="N629" t="s">
        <v>34</v>
      </c>
      <c r="O629">
        <v>24</v>
      </c>
      <c r="P629" t="s">
        <v>58</v>
      </c>
      <c r="Q629" t="s">
        <v>42</v>
      </c>
      <c r="R629" s="1">
        <v>0.1</v>
      </c>
      <c r="S629">
        <f t="shared" si="36"/>
        <v>39.6</v>
      </c>
      <c r="T629">
        <f>IFERROR(VLOOKUP(A629,Table1[[Customer ID]:[Discount Amount]], 6, FALSE),"Not Found")</f>
        <v>44</v>
      </c>
      <c r="U629" t="str">
        <f t="shared" si="37"/>
        <v>PayPal</v>
      </c>
      <c r="V629" s="4" t="str">
        <f t="shared" si="38"/>
        <v>Normal</v>
      </c>
      <c r="W629" s="4" t="str">
        <f t="shared" si="39"/>
        <v>Good</v>
      </c>
      <c r="X629" s="4">
        <f>AVERAGE(Table1[Purchase Amount])</f>
        <v>129.48419400000012</v>
      </c>
    </row>
    <row r="630" spans="1:24" ht="15" customHeight="1" x14ac:dyDescent="0.25">
      <c r="A630">
        <v>629</v>
      </c>
      <c r="B630">
        <v>69</v>
      </c>
      <c r="C630" t="s">
        <v>27</v>
      </c>
      <c r="D630" t="s">
        <v>127</v>
      </c>
      <c r="E630" t="s">
        <v>18</v>
      </c>
      <c r="F630" s="2">
        <v>85</v>
      </c>
      <c r="G630" t="s">
        <v>97</v>
      </c>
      <c r="H630" t="s">
        <v>31</v>
      </c>
      <c r="I630" t="s">
        <v>32</v>
      </c>
      <c r="J630" t="s">
        <v>47</v>
      </c>
      <c r="K630">
        <v>1</v>
      </c>
      <c r="L630" t="s">
        <v>34</v>
      </c>
      <c r="M630" t="s">
        <v>41</v>
      </c>
      <c r="N630" t="s">
        <v>34</v>
      </c>
      <c r="O630">
        <v>29</v>
      </c>
      <c r="P630" t="s">
        <v>53</v>
      </c>
      <c r="Q630" t="s">
        <v>42</v>
      </c>
      <c r="R630" s="1">
        <v>0.1</v>
      </c>
      <c r="S630">
        <f t="shared" si="36"/>
        <v>76.5</v>
      </c>
      <c r="T630">
        <f>IFERROR(VLOOKUP(A630,Table1[[Customer ID]:[Discount Amount]], 6, FALSE),"Not Found")</f>
        <v>85</v>
      </c>
      <c r="U630" t="str">
        <f t="shared" si="37"/>
        <v>Credit Card</v>
      </c>
      <c r="V630" s="4" t="str">
        <f t="shared" si="38"/>
        <v>Normal</v>
      </c>
      <c r="W630" s="4" t="str">
        <f t="shared" si="39"/>
        <v>Poor</v>
      </c>
      <c r="X630" s="4">
        <f>AVERAGE(Table1[Purchase Amount])</f>
        <v>129.48419400000012</v>
      </c>
    </row>
    <row r="631" spans="1:24" ht="15" customHeight="1" x14ac:dyDescent="0.25">
      <c r="A631">
        <v>630</v>
      </c>
      <c r="B631">
        <v>26</v>
      </c>
      <c r="C631" t="s">
        <v>27</v>
      </c>
      <c r="D631" t="s">
        <v>72</v>
      </c>
      <c r="E631" t="s">
        <v>98</v>
      </c>
      <c r="F631" s="2">
        <v>90</v>
      </c>
      <c r="G631" t="s">
        <v>84</v>
      </c>
      <c r="H631" t="s">
        <v>45</v>
      </c>
      <c r="I631" t="s">
        <v>56</v>
      </c>
      <c r="J631" t="s">
        <v>33</v>
      </c>
      <c r="K631">
        <v>4.7</v>
      </c>
      <c r="L631" t="s">
        <v>34</v>
      </c>
      <c r="M631" t="s">
        <v>24</v>
      </c>
      <c r="N631" t="s">
        <v>34</v>
      </c>
      <c r="O631">
        <v>11</v>
      </c>
      <c r="P631" t="s">
        <v>36</v>
      </c>
      <c r="Q631" t="s">
        <v>49</v>
      </c>
      <c r="R631" s="1">
        <v>0.1</v>
      </c>
      <c r="S631">
        <f t="shared" si="36"/>
        <v>81</v>
      </c>
      <c r="T631">
        <f>IFERROR(VLOOKUP(A631,Table1[[Customer ID]:[Discount Amount]], 6, FALSE),"Not Found")</f>
        <v>90</v>
      </c>
      <c r="U631" t="str">
        <f t="shared" si="37"/>
        <v>Debit Card</v>
      </c>
      <c r="V631" s="4" t="str">
        <f t="shared" si="38"/>
        <v>Normal</v>
      </c>
      <c r="W631" s="4" t="str">
        <f t="shared" si="39"/>
        <v>Good</v>
      </c>
      <c r="X631" s="4">
        <f>AVERAGE(Table1[Purchase Amount])</f>
        <v>129.48419400000012</v>
      </c>
    </row>
    <row r="632" spans="1:24" ht="15" customHeight="1" x14ac:dyDescent="0.25">
      <c r="A632">
        <v>631</v>
      </c>
      <c r="B632">
        <v>41</v>
      </c>
      <c r="C632" t="s">
        <v>27</v>
      </c>
      <c r="D632" t="s">
        <v>50</v>
      </c>
      <c r="E632" t="s">
        <v>29</v>
      </c>
      <c r="F632" s="2">
        <v>94</v>
      </c>
      <c r="G632" t="s">
        <v>149</v>
      </c>
      <c r="H632" t="s">
        <v>55</v>
      </c>
      <c r="I632" t="s">
        <v>153</v>
      </c>
      <c r="J632" t="s">
        <v>47</v>
      </c>
      <c r="K632">
        <v>4.3</v>
      </c>
      <c r="L632" t="s">
        <v>34</v>
      </c>
      <c r="M632" t="s">
        <v>41</v>
      </c>
      <c r="N632" t="s">
        <v>34</v>
      </c>
      <c r="O632">
        <v>33</v>
      </c>
      <c r="P632" t="s">
        <v>36</v>
      </c>
      <c r="Q632" t="s">
        <v>49</v>
      </c>
      <c r="R632" s="1">
        <v>0.1</v>
      </c>
      <c r="S632">
        <f t="shared" si="36"/>
        <v>84.6</v>
      </c>
      <c r="T632">
        <f>IFERROR(VLOOKUP(A632,Table1[[Customer ID]:[Discount Amount]], 6, FALSE),"Not Found")</f>
        <v>94</v>
      </c>
      <c r="U632" t="str">
        <f t="shared" si="37"/>
        <v>Debit Card</v>
      </c>
      <c r="V632" s="4" t="str">
        <f t="shared" si="38"/>
        <v>Normal</v>
      </c>
      <c r="W632" s="4" t="str">
        <f t="shared" si="39"/>
        <v>Good</v>
      </c>
      <c r="X632" s="4">
        <f>AVERAGE(Table1[Purchase Amount])</f>
        <v>129.48419400000012</v>
      </c>
    </row>
    <row r="633" spans="1:24" ht="15" customHeight="1" x14ac:dyDescent="0.25">
      <c r="A633">
        <v>632</v>
      </c>
      <c r="B633">
        <v>55</v>
      </c>
      <c r="C633" t="s">
        <v>27</v>
      </c>
      <c r="D633" t="s">
        <v>151</v>
      </c>
      <c r="E633" t="s">
        <v>98</v>
      </c>
      <c r="F633" s="2">
        <v>68</v>
      </c>
      <c r="G633" t="s">
        <v>155</v>
      </c>
      <c r="H633" t="s">
        <v>55</v>
      </c>
      <c r="I633" t="s">
        <v>111</v>
      </c>
      <c r="J633" t="s">
        <v>57</v>
      </c>
      <c r="K633">
        <v>4.0999999999999996</v>
      </c>
      <c r="L633" t="s">
        <v>34</v>
      </c>
      <c r="M633" t="s">
        <v>48</v>
      </c>
      <c r="N633" t="s">
        <v>34</v>
      </c>
      <c r="O633">
        <v>27</v>
      </c>
      <c r="P633" t="s">
        <v>25</v>
      </c>
      <c r="Q633" t="s">
        <v>89</v>
      </c>
      <c r="R633" s="1">
        <v>0.1</v>
      </c>
      <c r="S633">
        <f t="shared" si="36"/>
        <v>61.2</v>
      </c>
      <c r="T633">
        <f>IFERROR(VLOOKUP(A633,Table1[[Customer ID]:[Discount Amount]], 6, FALSE),"Not Found")</f>
        <v>68</v>
      </c>
      <c r="U633" t="str">
        <f t="shared" si="37"/>
        <v>Cash</v>
      </c>
      <c r="V633" s="4" t="str">
        <f t="shared" si="38"/>
        <v>Normal</v>
      </c>
      <c r="W633" s="4" t="str">
        <f t="shared" si="39"/>
        <v>Good</v>
      </c>
      <c r="X633" s="4">
        <f>AVERAGE(Table1[Purchase Amount])</f>
        <v>129.48419400000012</v>
      </c>
    </row>
    <row r="634" spans="1:24" ht="15" customHeight="1" x14ac:dyDescent="0.25">
      <c r="A634">
        <v>633</v>
      </c>
      <c r="B634">
        <v>35</v>
      </c>
      <c r="C634" t="s">
        <v>27</v>
      </c>
      <c r="D634" t="s">
        <v>104</v>
      </c>
      <c r="E634" t="s">
        <v>29</v>
      </c>
      <c r="F634" s="2">
        <v>51</v>
      </c>
      <c r="G634" t="s">
        <v>162</v>
      </c>
      <c r="H634" t="s">
        <v>31</v>
      </c>
      <c r="I634" t="s">
        <v>46</v>
      </c>
      <c r="J634" t="s">
        <v>22</v>
      </c>
      <c r="K634">
        <v>3.9</v>
      </c>
      <c r="L634" t="s">
        <v>34</v>
      </c>
      <c r="M634" t="s">
        <v>79</v>
      </c>
      <c r="N634" t="s">
        <v>34</v>
      </c>
      <c r="O634">
        <v>19</v>
      </c>
      <c r="P634" t="s">
        <v>62</v>
      </c>
      <c r="Q634" t="s">
        <v>89</v>
      </c>
      <c r="R634" s="1">
        <v>0.1</v>
      </c>
      <c r="S634">
        <f t="shared" si="36"/>
        <v>45.9</v>
      </c>
      <c r="T634">
        <f>IFERROR(VLOOKUP(A634,Table1[[Customer ID]:[Discount Amount]], 6, FALSE),"Not Found")</f>
        <v>51</v>
      </c>
      <c r="U634" t="str">
        <f t="shared" si="37"/>
        <v>Venmo</v>
      </c>
      <c r="V634" s="4" t="str">
        <f t="shared" si="38"/>
        <v>Normal</v>
      </c>
      <c r="W634" s="4" t="str">
        <f t="shared" si="39"/>
        <v>Good</v>
      </c>
      <c r="X634" s="4">
        <f>AVERAGE(Table1[Purchase Amount])</f>
        <v>129.48419400000012</v>
      </c>
    </row>
    <row r="635" spans="1:24" ht="15" customHeight="1" x14ac:dyDescent="0.25">
      <c r="A635">
        <v>634</v>
      </c>
      <c r="B635">
        <v>66</v>
      </c>
      <c r="C635" t="s">
        <v>27</v>
      </c>
      <c r="D635" t="s">
        <v>121</v>
      </c>
      <c r="E635" t="s">
        <v>98</v>
      </c>
      <c r="F635" s="2">
        <v>33</v>
      </c>
      <c r="G635" t="s">
        <v>120</v>
      </c>
      <c r="H635" t="s">
        <v>31</v>
      </c>
      <c r="I635" t="s">
        <v>108</v>
      </c>
      <c r="J635" t="s">
        <v>33</v>
      </c>
      <c r="K635">
        <v>2.9</v>
      </c>
      <c r="L635" t="s">
        <v>34</v>
      </c>
      <c r="M635" t="s">
        <v>61</v>
      </c>
      <c r="N635" t="s">
        <v>34</v>
      </c>
      <c r="O635">
        <v>50</v>
      </c>
      <c r="P635" t="s">
        <v>36</v>
      </c>
      <c r="Q635" t="s">
        <v>37</v>
      </c>
      <c r="R635" s="1">
        <v>0.1</v>
      </c>
      <c r="S635">
        <f t="shared" si="36"/>
        <v>29.7</v>
      </c>
      <c r="T635">
        <f>IFERROR(VLOOKUP(A635,Table1[[Customer ID]:[Discount Amount]], 6, FALSE),"Not Found")</f>
        <v>33</v>
      </c>
      <c r="U635" t="str">
        <f t="shared" si="37"/>
        <v>Debit Card</v>
      </c>
      <c r="V635" s="4" t="str">
        <f t="shared" si="38"/>
        <v>Normal</v>
      </c>
      <c r="W635" s="4" t="str">
        <f t="shared" si="39"/>
        <v>Poor</v>
      </c>
      <c r="X635" s="4">
        <f>AVERAGE(Table1[Purchase Amount])</f>
        <v>129.48419400000012</v>
      </c>
    </row>
    <row r="636" spans="1:24" ht="15" customHeight="1" x14ac:dyDescent="0.25">
      <c r="A636">
        <v>635</v>
      </c>
      <c r="B636">
        <v>36</v>
      </c>
      <c r="C636" t="s">
        <v>27</v>
      </c>
      <c r="D636" t="s">
        <v>140</v>
      </c>
      <c r="E636" t="s">
        <v>98</v>
      </c>
      <c r="F636" s="2">
        <v>60</v>
      </c>
      <c r="G636" t="s">
        <v>90</v>
      </c>
      <c r="H636" t="s">
        <v>31</v>
      </c>
      <c r="I636" t="s">
        <v>147</v>
      </c>
      <c r="J636" t="s">
        <v>57</v>
      </c>
      <c r="K636">
        <v>3.9</v>
      </c>
      <c r="L636" t="s">
        <v>34</v>
      </c>
      <c r="M636" t="s">
        <v>24</v>
      </c>
      <c r="N636" t="s">
        <v>34</v>
      </c>
      <c r="O636">
        <v>46</v>
      </c>
      <c r="P636" t="s">
        <v>58</v>
      </c>
      <c r="Q636" t="s">
        <v>26</v>
      </c>
      <c r="R636" s="1">
        <v>0.1</v>
      </c>
      <c r="S636">
        <f t="shared" si="36"/>
        <v>54</v>
      </c>
      <c r="T636">
        <f>IFERROR(VLOOKUP(A636,Table1[[Customer ID]:[Discount Amount]], 6, FALSE),"Not Found")</f>
        <v>60</v>
      </c>
      <c r="U636" t="str">
        <f t="shared" si="37"/>
        <v>PayPal</v>
      </c>
      <c r="V636" s="4" t="str">
        <f t="shared" si="38"/>
        <v>Normal</v>
      </c>
      <c r="W636" s="4" t="str">
        <f t="shared" si="39"/>
        <v>Good</v>
      </c>
      <c r="X636" s="4">
        <f>AVERAGE(Table1[Purchase Amount])</f>
        <v>129.48419400000012</v>
      </c>
    </row>
    <row r="637" spans="1:24" ht="15" customHeight="1" x14ac:dyDescent="0.25">
      <c r="A637">
        <v>636</v>
      </c>
      <c r="B637">
        <v>27</v>
      </c>
      <c r="C637" t="s">
        <v>27</v>
      </c>
      <c r="D637" t="s">
        <v>83</v>
      </c>
      <c r="E637" t="s">
        <v>18</v>
      </c>
      <c r="F637" s="2">
        <v>59</v>
      </c>
      <c r="G637" t="s">
        <v>30</v>
      </c>
      <c r="H637" t="s">
        <v>31</v>
      </c>
      <c r="I637" t="s">
        <v>60</v>
      </c>
      <c r="J637" t="s">
        <v>47</v>
      </c>
      <c r="K637">
        <v>4.3</v>
      </c>
      <c r="L637" t="s">
        <v>34</v>
      </c>
      <c r="M637" t="s">
        <v>41</v>
      </c>
      <c r="N637" t="s">
        <v>34</v>
      </c>
      <c r="O637">
        <v>28</v>
      </c>
      <c r="P637" t="s">
        <v>25</v>
      </c>
      <c r="Q637" t="s">
        <v>37</v>
      </c>
      <c r="R637" s="1">
        <v>0.1</v>
      </c>
      <c r="S637">
        <f t="shared" si="36"/>
        <v>53.1</v>
      </c>
      <c r="T637">
        <f>IFERROR(VLOOKUP(A637,Table1[[Customer ID]:[Discount Amount]], 6, FALSE),"Not Found")</f>
        <v>59</v>
      </c>
      <c r="U637" t="str">
        <f t="shared" si="37"/>
        <v>Cash</v>
      </c>
      <c r="V637" s="4" t="str">
        <f t="shared" si="38"/>
        <v>Normal</v>
      </c>
      <c r="W637" s="4" t="str">
        <f t="shared" si="39"/>
        <v>Good</v>
      </c>
      <c r="X637" s="4">
        <f>AVERAGE(Table1[Purchase Amount])</f>
        <v>129.48419400000012</v>
      </c>
    </row>
    <row r="638" spans="1:24" ht="15" customHeight="1" x14ac:dyDescent="0.25">
      <c r="A638">
        <v>637</v>
      </c>
      <c r="B638">
        <v>41</v>
      </c>
      <c r="C638" t="s">
        <v>27</v>
      </c>
      <c r="D638" t="s">
        <v>69</v>
      </c>
      <c r="E638" t="s">
        <v>29</v>
      </c>
      <c r="F638" s="2">
        <v>30</v>
      </c>
      <c r="G638" t="s">
        <v>59</v>
      </c>
      <c r="H638" t="s">
        <v>31</v>
      </c>
      <c r="I638" t="s">
        <v>91</v>
      </c>
      <c r="J638" t="s">
        <v>57</v>
      </c>
      <c r="K638">
        <v>2.8</v>
      </c>
      <c r="L638" t="s">
        <v>34</v>
      </c>
      <c r="M638" t="s">
        <v>48</v>
      </c>
      <c r="N638" t="s">
        <v>34</v>
      </c>
      <c r="O638">
        <v>14</v>
      </c>
      <c r="P638" t="s">
        <v>88</v>
      </c>
      <c r="Q638" t="s">
        <v>63</v>
      </c>
      <c r="R638" s="1">
        <v>0.1</v>
      </c>
      <c r="S638">
        <f t="shared" si="36"/>
        <v>27</v>
      </c>
      <c r="T638">
        <f>IFERROR(VLOOKUP(A638,Table1[[Customer ID]:[Discount Amount]], 6, FALSE),"Not Found")</f>
        <v>30</v>
      </c>
      <c r="U638" t="str">
        <f t="shared" si="37"/>
        <v>Bank Transfer</v>
      </c>
      <c r="V638" s="4" t="str">
        <f t="shared" si="38"/>
        <v>Normal</v>
      </c>
      <c r="W638" s="4" t="str">
        <f t="shared" si="39"/>
        <v>Poor</v>
      </c>
      <c r="X638" s="4">
        <f>AVERAGE(Table1[Purchase Amount])</f>
        <v>129.48419400000012</v>
      </c>
    </row>
    <row r="639" spans="1:24" ht="15" customHeight="1" x14ac:dyDescent="0.25">
      <c r="A639">
        <v>638</v>
      </c>
      <c r="B639">
        <v>21</v>
      </c>
      <c r="C639" t="s">
        <v>27</v>
      </c>
      <c r="D639" t="s">
        <v>127</v>
      </c>
      <c r="E639" t="s">
        <v>18</v>
      </c>
      <c r="F639" s="2">
        <v>20</v>
      </c>
      <c r="G639" t="s">
        <v>65</v>
      </c>
      <c r="H639" t="s">
        <v>31</v>
      </c>
      <c r="I639" t="s">
        <v>128</v>
      </c>
      <c r="J639" t="s">
        <v>22</v>
      </c>
      <c r="K639">
        <v>3.4</v>
      </c>
      <c r="L639" t="s">
        <v>34</v>
      </c>
      <c r="M639" t="s">
        <v>41</v>
      </c>
      <c r="N639" t="s">
        <v>34</v>
      </c>
      <c r="O639">
        <v>46</v>
      </c>
      <c r="P639" t="s">
        <v>25</v>
      </c>
      <c r="Q639" t="s">
        <v>89</v>
      </c>
      <c r="R639" s="1">
        <v>0.1</v>
      </c>
      <c r="S639">
        <f t="shared" si="36"/>
        <v>18</v>
      </c>
      <c r="T639">
        <f>IFERROR(VLOOKUP(A639,Table1[[Customer ID]:[Discount Amount]], 6, FALSE),"Not Found")</f>
        <v>20</v>
      </c>
      <c r="U639" t="str">
        <f t="shared" si="37"/>
        <v>Cash</v>
      </c>
      <c r="V639" s="4" t="str">
        <f t="shared" si="38"/>
        <v>Normal</v>
      </c>
      <c r="W639" s="4" t="str">
        <f t="shared" si="39"/>
        <v>Good</v>
      </c>
      <c r="X639" s="4">
        <f>AVERAGE(Table1[Purchase Amount])</f>
        <v>129.48419400000012</v>
      </c>
    </row>
    <row r="640" spans="1:24" ht="15" customHeight="1" x14ac:dyDescent="0.25">
      <c r="A640">
        <v>639</v>
      </c>
      <c r="B640">
        <v>53</v>
      </c>
      <c r="C640" t="s">
        <v>27</v>
      </c>
      <c r="D640" t="s">
        <v>121</v>
      </c>
      <c r="E640" t="s">
        <v>98</v>
      </c>
      <c r="F640" s="2">
        <v>20</v>
      </c>
      <c r="G640" t="s">
        <v>106</v>
      </c>
      <c r="H640" t="s">
        <v>55</v>
      </c>
      <c r="I640" t="s">
        <v>74</v>
      </c>
      <c r="J640" t="s">
        <v>57</v>
      </c>
      <c r="K640">
        <v>2.7</v>
      </c>
      <c r="L640" t="s">
        <v>34</v>
      </c>
      <c r="M640" t="s">
        <v>61</v>
      </c>
      <c r="N640" t="s">
        <v>34</v>
      </c>
      <c r="O640">
        <v>41</v>
      </c>
      <c r="P640" t="s">
        <v>58</v>
      </c>
      <c r="Q640" t="s">
        <v>42</v>
      </c>
      <c r="R640" s="1">
        <v>0.1</v>
      </c>
      <c r="S640">
        <f t="shared" si="36"/>
        <v>18</v>
      </c>
      <c r="T640">
        <f>IFERROR(VLOOKUP(A640,Table1[[Customer ID]:[Discount Amount]], 6, FALSE),"Not Found")</f>
        <v>20</v>
      </c>
      <c r="U640" t="str">
        <f t="shared" si="37"/>
        <v>PayPal</v>
      </c>
      <c r="V640" s="4" t="str">
        <f t="shared" si="38"/>
        <v>Normal</v>
      </c>
      <c r="W640" s="4" t="str">
        <f t="shared" si="39"/>
        <v>Poor</v>
      </c>
      <c r="X640" s="4">
        <f>AVERAGE(Table1[Purchase Amount])</f>
        <v>129.48419400000012</v>
      </c>
    </row>
    <row r="641" spans="1:24" ht="15" customHeight="1" x14ac:dyDescent="0.25">
      <c r="A641">
        <v>640</v>
      </c>
      <c r="B641">
        <v>54</v>
      </c>
      <c r="C641" t="s">
        <v>27</v>
      </c>
      <c r="D641" t="s">
        <v>157</v>
      </c>
      <c r="E641" t="s">
        <v>18</v>
      </c>
      <c r="F641" s="2">
        <v>24</v>
      </c>
      <c r="G641" t="s">
        <v>149</v>
      </c>
      <c r="H641" t="s">
        <v>45</v>
      </c>
      <c r="I641" t="s">
        <v>21</v>
      </c>
      <c r="J641" t="s">
        <v>33</v>
      </c>
      <c r="K641">
        <v>4</v>
      </c>
      <c r="L641" t="s">
        <v>34</v>
      </c>
      <c r="M641" t="s">
        <v>41</v>
      </c>
      <c r="N641" t="s">
        <v>34</v>
      </c>
      <c r="O641">
        <v>50</v>
      </c>
      <c r="P641" t="s">
        <v>53</v>
      </c>
      <c r="Q641" t="s">
        <v>49</v>
      </c>
      <c r="R641" s="1">
        <v>0.1</v>
      </c>
      <c r="S641">
        <f t="shared" si="36"/>
        <v>21.6</v>
      </c>
      <c r="T641">
        <f>IFERROR(VLOOKUP(A641,Table1[[Customer ID]:[Discount Amount]], 6, FALSE),"Not Found")</f>
        <v>24</v>
      </c>
      <c r="U641" t="str">
        <f t="shared" si="37"/>
        <v>Credit Card</v>
      </c>
      <c r="V641" s="4" t="str">
        <f t="shared" si="38"/>
        <v>Normal</v>
      </c>
      <c r="W641" s="4" t="str">
        <f t="shared" si="39"/>
        <v>Good</v>
      </c>
      <c r="X641" s="4">
        <f>AVERAGE(Table1[Purchase Amount])</f>
        <v>129.48419400000012</v>
      </c>
    </row>
    <row r="642" spans="1:24" ht="15" customHeight="1" x14ac:dyDescent="0.25">
      <c r="A642">
        <v>641</v>
      </c>
      <c r="B642">
        <v>53</v>
      </c>
      <c r="C642" t="s">
        <v>27</v>
      </c>
      <c r="D642" t="s">
        <v>122</v>
      </c>
      <c r="E642" t="s">
        <v>18</v>
      </c>
      <c r="F642" s="2">
        <v>88</v>
      </c>
      <c r="G642" t="s">
        <v>120</v>
      </c>
      <c r="H642" t="s">
        <v>31</v>
      </c>
      <c r="I642" t="s">
        <v>85</v>
      </c>
      <c r="J642" t="s">
        <v>57</v>
      </c>
      <c r="K642">
        <v>4.4000000000000004</v>
      </c>
      <c r="L642" t="s">
        <v>34</v>
      </c>
      <c r="M642" t="s">
        <v>48</v>
      </c>
      <c r="N642" t="s">
        <v>34</v>
      </c>
      <c r="O642">
        <v>28</v>
      </c>
      <c r="P642" t="s">
        <v>36</v>
      </c>
      <c r="Q642" t="s">
        <v>89</v>
      </c>
      <c r="R642" s="1">
        <v>0.1</v>
      </c>
      <c r="S642">
        <f t="shared" ref="S642:S705" si="40">F642-(F642*R642)</f>
        <v>79.2</v>
      </c>
      <c r="T642">
        <f>IFERROR(VLOOKUP(A642,Table1[[Customer ID]:[Discount Amount]], 6, FALSE),"Not Found")</f>
        <v>88</v>
      </c>
      <c r="U642" t="str">
        <f t="shared" ref="U642:U705" si="41">INDEX(P:P, MATCH(A642, A:A, 0))</f>
        <v>Debit Card</v>
      </c>
      <c r="V642" s="4" t="str">
        <f t="shared" ref="V642:V705" si="42">IF(AND(F642&gt;1000,K642&gt;=4),"Best Customer","Normal")</f>
        <v>Normal</v>
      </c>
      <c r="W642" s="4" t="str">
        <f t="shared" ref="W642:W705" si="43">IF(K642&gt;=3,"Good","Poor")</f>
        <v>Good</v>
      </c>
      <c r="X642" s="4">
        <f>AVERAGE(Table1[Purchase Amount])</f>
        <v>129.48419400000012</v>
      </c>
    </row>
    <row r="643" spans="1:24" ht="15" customHeight="1" x14ac:dyDescent="0.25">
      <c r="A643">
        <v>642</v>
      </c>
      <c r="B643">
        <v>47</v>
      </c>
      <c r="C643" t="s">
        <v>27</v>
      </c>
      <c r="D643" t="s">
        <v>118</v>
      </c>
      <c r="E643" t="s">
        <v>18</v>
      </c>
      <c r="F643" s="2">
        <v>78</v>
      </c>
      <c r="G643" t="s">
        <v>148</v>
      </c>
      <c r="H643" t="s">
        <v>31</v>
      </c>
      <c r="I643" t="s">
        <v>46</v>
      </c>
      <c r="J643" t="s">
        <v>22</v>
      </c>
      <c r="K643">
        <v>3.9</v>
      </c>
      <c r="L643" t="s">
        <v>34</v>
      </c>
      <c r="M643" t="s">
        <v>41</v>
      </c>
      <c r="N643" t="s">
        <v>34</v>
      </c>
      <c r="O643">
        <v>23</v>
      </c>
      <c r="P643" t="s">
        <v>53</v>
      </c>
      <c r="Q643" t="s">
        <v>63</v>
      </c>
      <c r="R643" s="1">
        <v>0.1</v>
      </c>
      <c r="S643">
        <f t="shared" si="40"/>
        <v>70.2</v>
      </c>
      <c r="T643">
        <f>IFERROR(VLOOKUP(A643,Table1[[Customer ID]:[Discount Amount]], 6, FALSE),"Not Found")</f>
        <v>78</v>
      </c>
      <c r="U643" t="str">
        <f t="shared" si="41"/>
        <v>Credit Card</v>
      </c>
      <c r="V643" s="4" t="str">
        <f t="shared" si="42"/>
        <v>Normal</v>
      </c>
      <c r="W643" s="4" t="str">
        <f t="shared" si="43"/>
        <v>Good</v>
      </c>
      <c r="X643" s="4">
        <f>AVERAGE(Table1[Purchase Amount])</f>
        <v>129.48419400000012</v>
      </c>
    </row>
    <row r="644" spans="1:24" ht="15" customHeight="1" x14ac:dyDescent="0.25">
      <c r="A644">
        <v>643</v>
      </c>
      <c r="B644">
        <v>64</v>
      </c>
      <c r="C644" t="s">
        <v>27</v>
      </c>
      <c r="D644" t="s">
        <v>122</v>
      </c>
      <c r="E644" t="s">
        <v>18</v>
      </c>
      <c r="F644" s="2">
        <v>25</v>
      </c>
      <c r="G644" t="s">
        <v>100</v>
      </c>
      <c r="H644" t="s">
        <v>45</v>
      </c>
      <c r="I644" t="s">
        <v>46</v>
      </c>
      <c r="J644" t="s">
        <v>33</v>
      </c>
      <c r="K644">
        <v>2.8</v>
      </c>
      <c r="L644" t="s">
        <v>34</v>
      </c>
      <c r="M644" t="s">
        <v>41</v>
      </c>
      <c r="N644" t="s">
        <v>34</v>
      </c>
      <c r="O644">
        <v>14</v>
      </c>
      <c r="P644" t="s">
        <v>36</v>
      </c>
      <c r="Q644" t="s">
        <v>68</v>
      </c>
      <c r="R644" s="1">
        <v>0.1</v>
      </c>
      <c r="S644">
        <f t="shared" si="40"/>
        <v>22.5</v>
      </c>
      <c r="T644">
        <f>IFERROR(VLOOKUP(A644,Table1[[Customer ID]:[Discount Amount]], 6, FALSE),"Not Found")</f>
        <v>25</v>
      </c>
      <c r="U644" t="str">
        <f t="shared" si="41"/>
        <v>Debit Card</v>
      </c>
      <c r="V644" s="4" t="str">
        <f t="shared" si="42"/>
        <v>Normal</v>
      </c>
      <c r="W644" s="4" t="str">
        <f t="shared" si="43"/>
        <v>Poor</v>
      </c>
      <c r="X644" s="4">
        <f>AVERAGE(Table1[Purchase Amount])</f>
        <v>129.48419400000012</v>
      </c>
    </row>
    <row r="645" spans="1:24" ht="15" customHeight="1" x14ac:dyDescent="0.25">
      <c r="A645">
        <v>644</v>
      </c>
      <c r="B645">
        <v>18</v>
      </c>
      <c r="C645" t="s">
        <v>27</v>
      </c>
      <c r="D645" t="s">
        <v>127</v>
      </c>
      <c r="E645" t="s">
        <v>18</v>
      </c>
      <c r="F645" s="2">
        <v>57</v>
      </c>
      <c r="G645" t="s">
        <v>123</v>
      </c>
      <c r="H645" t="s">
        <v>20</v>
      </c>
      <c r="I645" t="s">
        <v>93</v>
      </c>
      <c r="J645" t="s">
        <v>22</v>
      </c>
      <c r="K645">
        <v>3.2</v>
      </c>
      <c r="L645" t="s">
        <v>34</v>
      </c>
      <c r="M645" t="s">
        <v>79</v>
      </c>
      <c r="N645" t="s">
        <v>34</v>
      </c>
      <c r="O645">
        <v>10</v>
      </c>
      <c r="P645" t="s">
        <v>88</v>
      </c>
      <c r="Q645" t="s">
        <v>63</v>
      </c>
      <c r="R645" s="1">
        <v>0.1</v>
      </c>
      <c r="S645">
        <f t="shared" si="40"/>
        <v>51.3</v>
      </c>
      <c r="T645">
        <f>IFERROR(VLOOKUP(A645,Table1[[Customer ID]:[Discount Amount]], 6, FALSE),"Not Found")</f>
        <v>57</v>
      </c>
      <c r="U645" t="str">
        <f t="shared" si="41"/>
        <v>Bank Transfer</v>
      </c>
      <c r="V645" s="4" t="str">
        <f t="shared" si="42"/>
        <v>Normal</v>
      </c>
      <c r="W645" s="4" t="str">
        <f t="shared" si="43"/>
        <v>Good</v>
      </c>
      <c r="X645" s="4">
        <f>AVERAGE(Table1[Purchase Amount])</f>
        <v>129.48419400000012</v>
      </c>
    </row>
    <row r="646" spans="1:24" ht="15" customHeight="1" x14ac:dyDescent="0.25">
      <c r="A646">
        <v>645</v>
      </c>
      <c r="B646">
        <v>68</v>
      </c>
      <c r="C646" t="s">
        <v>27</v>
      </c>
      <c r="D646" t="s">
        <v>104</v>
      </c>
      <c r="E646" t="s">
        <v>29</v>
      </c>
      <c r="F646" s="2">
        <v>93</v>
      </c>
      <c r="G646" t="s">
        <v>119</v>
      </c>
      <c r="H646" t="s">
        <v>55</v>
      </c>
      <c r="I646" t="s">
        <v>74</v>
      </c>
      <c r="J646" t="s">
        <v>57</v>
      </c>
      <c r="K646">
        <v>4.3</v>
      </c>
      <c r="L646" t="s">
        <v>34</v>
      </c>
      <c r="M646" t="s">
        <v>79</v>
      </c>
      <c r="N646" t="s">
        <v>34</v>
      </c>
      <c r="O646">
        <v>37</v>
      </c>
      <c r="P646" t="s">
        <v>25</v>
      </c>
      <c r="Q646" t="s">
        <v>26</v>
      </c>
      <c r="R646" s="1">
        <v>0.1</v>
      </c>
      <c r="S646">
        <f t="shared" si="40"/>
        <v>83.7</v>
      </c>
      <c r="T646">
        <f>IFERROR(VLOOKUP(A646,Table1[[Customer ID]:[Discount Amount]], 6, FALSE),"Not Found")</f>
        <v>93</v>
      </c>
      <c r="U646" t="str">
        <f t="shared" si="41"/>
        <v>Cash</v>
      </c>
      <c r="V646" s="4" t="str">
        <f t="shared" si="42"/>
        <v>Normal</v>
      </c>
      <c r="W646" s="4" t="str">
        <f t="shared" si="43"/>
        <v>Good</v>
      </c>
      <c r="X646" s="4">
        <f>AVERAGE(Table1[Purchase Amount])</f>
        <v>129.48419400000012</v>
      </c>
    </row>
    <row r="647" spans="1:24" ht="15" customHeight="1" x14ac:dyDescent="0.25">
      <c r="A647">
        <v>646</v>
      </c>
      <c r="B647">
        <v>62</v>
      </c>
      <c r="C647" t="s">
        <v>27</v>
      </c>
      <c r="D647" t="s">
        <v>83</v>
      </c>
      <c r="E647" t="s">
        <v>18</v>
      </c>
      <c r="F647" s="2">
        <v>42</v>
      </c>
      <c r="G647" t="s">
        <v>142</v>
      </c>
      <c r="H647" t="s">
        <v>55</v>
      </c>
      <c r="I647" t="s">
        <v>66</v>
      </c>
      <c r="J647" t="s">
        <v>57</v>
      </c>
      <c r="K647">
        <v>4.2</v>
      </c>
      <c r="L647" t="s">
        <v>34</v>
      </c>
      <c r="M647" t="s">
        <v>61</v>
      </c>
      <c r="N647" t="s">
        <v>34</v>
      </c>
      <c r="O647">
        <v>15</v>
      </c>
      <c r="P647" t="s">
        <v>62</v>
      </c>
      <c r="Q647" t="s">
        <v>68</v>
      </c>
      <c r="R647" s="1">
        <v>0.1</v>
      </c>
      <c r="S647">
        <f t="shared" si="40"/>
        <v>37.799999999999997</v>
      </c>
      <c r="T647">
        <f>IFERROR(VLOOKUP(A647,Table1[[Customer ID]:[Discount Amount]], 6, FALSE),"Not Found")</f>
        <v>42</v>
      </c>
      <c r="U647" t="str">
        <f t="shared" si="41"/>
        <v>Venmo</v>
      </c>
      <c r="V647" s="4" t="str">
        <f t="shared" si="42"/>
        <v>Normal</v>
      </c>
      <c r="W647" s="4" t="str">
        <f t="shared" si="43"/>
        <v>Good</v>
      </c>
      <c r="X647" s="4">
        <f>AVERAGE(Table1[Purchase Amount])</f>
        <v>129.48419400000012</v>
      </c>
    </row>
    <row r="648" spans="1:24" ht="15" customHeight="1" x14ac:dyDescent="0.25">
      <c r="A648">
        <v>647</v>
      </c>
      <c r="B648">
        <v>51</v>
      </c>
      <c r="C648" t="s">
        <v>27</v>
      </c>
      <c r="D648" t="s">
        <v>151</v>
      </c>
      <c r="E648" t="s">
        <v>98</v>
      </c>
      <c r="F648" s="2">
        <v>54</v>
      </c>
      <c r="G648" t="s">
        <v>102</v>
      </c>
      <c r="H648" t="s">
        <v>20</v>
      </c>
      <c r="I648" t="s">
        <v>136</v>
      </c>
      <c r="J648" t="s">
        <v>33</v>
      </c>
      <c r="K648">
        <v>4.9000000000000004</v>
      </c>
      <c r="L648" t="s">
        <v>34</v>
      </c>
      <c r="M648" t="s">
        <v>24</v>
      </c>
      <c r="N648" t="s">
        <v>34</v>
      </c>
      <c r="O648">
        <v>19</v>
      </c>
      <c r="P648" t="s">
        <v>62</v>
      </c>
      <c r="Q648" t="s">
        <v>68</v>
      </c>
      <c r="R648" s="1">
        <v>0.1</v>
      </c>
      <c r="S648">
        <f t="shared" si="40"/>
        <v>48.6</v>
      </c>
      <c r="T648">
        <f>IFERROR(VLOOKUP(A648,Table1[[Customer ID]:[Discount Amount]], 6, FALSE),"Not Found")</f>
        <v>54</v>
      </c>
      <c r="U648" t="str">
        <f t="shared" si="41"/>
        <v>Venmo</v>
      </c>
      <c r="V648" s="4" t="str">
        <f t="shared" si="42"/>
        <v>Normal</v>
      </c>
      <c r="W648" s="4" t="str">
        <f t="shared" si="43"/>
        <v>Good</v>
      </c>
      <c r="X648" s="4">
        <f>AVERAGE(Table1[Purchase Amount])</f>
        <v>129.48419400000012</v>
      </c>
    </row>
    <row r="649" spans="1:24" ht="15" customHeight="1" x14ac:dyDescent="0.25">
      <c r="A649">
        <v>648</v>
      </c>
      <c r="B649">
        <v>54</v>
      </c>
      <c r="C649" t="s">
        <v>27</v>
      </c>
      <c r="D649" t="s">
        <v>118</v>
      </c>
      <c r="E649" t="s">
        <v>18</v>
      </c>
      <c r="F649" s="2">
        <v>70</v>
      </c>
      <c r="G649" t="s">
        <v>149</v>
      </c>
      <c r="H649" t="s">
        <v>20</v>
      </c>
      <c r="I649" t="s">
        <v>103</v>
      </c>
      <c r="J649" t="s">
        <v>57</v>
      </c>
      <c r="K649">
        <v>3.7</v>
      </c>
      <c r="L649" t="s">
        <v>34</v>
      </c>
      <c r="M649" t="s">
        <v>61</v>
      </c>
      <c r="N649" t="s">
        <v>34</v>
      </c>
      <c r="O649">
        <v>23</v>
      </c>
      <c r="P649" t="s">
        <v>53</v>
      </c>
      <c r="Q649" t="s">
        <v>89</v>
      </c>
      <c r="R649" s="1">
        <v>0.1</v>
      </c>
      <c r="S649">
        <f t="shared" si="40"/>
        <v>63</v>
      </c>
      <c r="T649">
        <f>IFERROR(VLOOKUP(A649,Table1[[Customer ID]:[Discount Amount]], 6, FALSE),"Not Found")</f>
        <v>70</v>
      </c>
      <c r="U649" t="str">
        <f t="shared" si="41"/>
        <v>Credit Card</v>
      </c>
      <c r="V649" s="4" t="str">
        <f t="shared" si="42"/>
        <v>Normal</v>
      </c>
      <c r="W649" s="4" t="str">
        <f t="shared" si="43"/>
        <v>Good</v>
      </c>
      <c r="X649" s="4">
        <f>AVERAGE(Table1[Purchase Amount])</f>
        <v>129.48419400000012</v>
      </c>
    </row>
    <row r="650" spans="1:24" ht="15" customHeight="1" x14ac:dyDescent="0.25">
      <c r="A650">
        <v>649</v>
      </c>
      <c r="B650">
        <v>22</v>
      </c>
      <c r="C650" t="s">
        <v>27</v>
      </c>
      <c r="D650" t="s">
        <v>83</v>
      </c>
      <c r="E650" t="s">
        <v>18</v>
      </c>
      <c r="F650" s="2">
        <v>31</v>
      </c>
      <c r="G650" t="s">
        <v>113</v>
      </c>
      <c r="H650" t="s">
        <v>31</v>
      </c>
      <c r="I650" t="s">
        <v>60</v>
      </c>
      <c r="J650" t="s">
        <v>22</v>
      </c>
      <c r="K650">
        <v>4.0999999999999996</v>
      </c>
      <c r="L650" t="s">
        <v>34</v>
      </c>
      <c r="M650" t="s">
        <v>48</v>
      </c>
      <c r="N650" t="s">
        <v>34</v>
      </c>
      <c r="O650">
        <v>35</v>
      </c>
      <c r="P650" t="s">
        <v>53</v>
      </c>
      <c r="Q650" t="s">
        <v>26</v>
      </c>
      <c r="R650" s="1">
        <v>0.1</v>
      </c>
      <c r="S650">
        <f t="shared" si="40"/>
        <v>27.9</v>
      </c>
      <c r="T650">
        <f>IFERROR(VLOOKUP(A650,Table1[[Customer ID]:[Discount Amount]], 6, FALSE),"Not Found")</f>
        <v>31</v>
      </c>
      <c r="U650" t="str">
        <f t="shared" si="41"/>
        <v>Credit Card</v>
      </c>
      <c r="V650" s="4" t="str">
        <f t="shared" si="42"/>
        <v>Normal</v>
      </c>
      <c r="W650" s="4" t="str">
        <f t="shared" si="43"/>
        <v>Good</v>
      </c>
      <c r="X650" s="4">
        <f>AVERAGE(Table1[Purchase Amount])</f>
        <v>129.48419400000012</v>
      </c>
    </row>
    <row r="651" spans="1:24" ht="15" customHeight="1" x14ac:dyDescent="0.25">
      <c r="A651">
        <v>650</v>
      </c>
      <c r="B651">
        <v>53</v>
      </c>
      <c r="C651" t="s">
        <v>27</v>
      </c>
      <c r="D651" t="s">
        <v>99</v>
      </c>
      <c r="E651" t="s">
        <v>18</v>
      </c>
      <c r="F651" s="2">
        <v>93</v>
      </c>
      <c r="G651" t="s">
        <v>143</v>
      </c>
      <c r="H651" t="s">
        <v>45</v>
      </c>
      <c r="I651" t="s">
        <v>108</v>
      </c>
      <c r="J651" t="s">
        <v>33</v>
      </c>
      <c r="K651">
        <v>4.2</v>
      </c>
      <c r="L651" t="s">
        <v>34</v>
      </c>
      <c r="M651" t="s">
        <v>48</v>
      </c>
      <c r="N651" t="s">
        <v>34</v>
      </c>
      <c r="O651">
        <v>33</v>
      </c>
      <c r="P651" t="s">
        <v>58</v>
      </c>
      <c r="Q651" t="s">
        <v>63</v>
      </c>
      <c r="R651" s="1">
        <v>0.1</v>
      </c>
      <c r="S651">
        <f t="shared" si="40"/>
        <v>83.7</v>
      </c>
      <c r="T651">
        <f>IFERROR(VLOOKUP(A651,Table1[[Customer ID]:[Discount Amount]], 6, FALSE),"Not Found")</f>
        <v>93</v>
      </c>
      <c r="U651" t="str">
        <f t="shared" si="41"/>
        <v>PayPal</v>
      </c>
      <c r="V651" s="4" t="str">
        <f t="shared" si="42"/>
        <v>Normal</v>
      </c>
      <c r="W651" s="4" t="str">
        <f t="shared" si="43"/>
        <v>Good</v>
      </c>
      <c r="X651" s="4">
        <f>AVERAGE(Table1[Purchase Amount])</f>
        <v>129.48419400000012</v>
      </c>
    </row>
    <row r="652" spans="1:24" ht="15" customHeight="1" x14ac:dyDescent="0.25">
      <c r="A652">
        <v>651</v>
      </c>
      <c r="B652">
        <v>34</v>
      </c>
      <c r="C652" t="s">
        <v>27</v>
      </c>
      <c r="D652" t="s">
        <v>43</v>
      </c>
      <c r="E652" t="s">
        <v>29</v>
      </c>
      <c r="F652" s="2">
        <v>40</v>
      </c>
      <c r="G652" t="s">
        <v>67</v>
      </c>
      <c r="H652" t="s">
        <v>31</v>
      </c>
      <c r="I652" t="s">
        <v>87</v>
      </c>
      <c r="J652" t="s">
        <v>33</v>
      </c>
      <c r="K652">
        <v>3.9</v>
      </c>
      <c r="L652" t="s">
        <v>34</v>
      </c>
      <c r="M652" t="s">
        <v>79</v>
      </c>
      <c r="N652" t="s">
        <v>34</v>
      </c>
      <c r="O652">
        <v>12</v>
      </c>
      <c r="P652" t="s">
        <v>88</v>
      </c>
      <c r="Q652" t="s">
        <v>49</v>
      </c>
      <c r="R652" s="1">
        <v>0.1</v>
      </c>
      <c r="S652">
        <f t="shared" si="40"/>
        <v>36</v>
      </c>
      <c r="T652">
        <f>IFERROR(VLOOKUP(A652,Table1[[Customer ID]:[Discount Amount]], 6, FALSE),"Not Found")</f>
        <v>40</v>
      </c>
      <c r="U652" t="str">
        <f t="shared" si="41"/>
        <v>Bank Transfer</v>
      </c>
      <c r="V652" s="4" t="str">
        <f t="shared" si="42"/>
        <v>Normal</v>
      </c>
      <c r="W652" s="4" t="str">
        <f t="shared" si="43"/>
        <v>Good</v>
      </c>
      <c r="X652" s="4">
        <f>AVERAGE(Table1[Purchase Amount])</f>
        <v>129.48419400000012</v>
      </c>
    </row>
    <row r="653" spans="1:24" ht="15" customHeight="1" x14ac:dyDescent="0.25">
      <c r="A653">
        <v>652</v>
      </c>
      <c r="B653">
        <v>32</v>
      </c>
      <c r="C653" t="s">
        <v>27</v>
      </c>
      <c r="D653" t="s">
        <v>64</v>
      </c>
      <c r="E653" t="s">
        <v>29</v>
      </c>
      <c r="F653" s="2">
        <v>32</v>
      </c>
      <c r="G653" t="s">
        <v>100</v>
      </c>
      <c r="H653" t="s">
        <v>45</v>
      </c>
      <c r="I653" t="s">
        <v>52</v>
      </c>
      <c r="J653" t="s">
        <v>57</v>
      </c>
      <c r="K653">
        <v>2.9</v>
      </c>
      <c r="L653" t="s">
        <v>34</v>
      </c>
      <c r="M653" t="s">
        <v>79</v>
      </c>
      <c r="N653" t="s">
        <v>34</v>
      </c>
      <c r="O653">
        <v>41</v>
      </c>
      <c r="P653" t="s">
        <v>62</v>
      </c>
      <c r="Q653" t="s">
        <v>89</v>
      </c>
      <c r="R653" s="1">
        <v>0.1</v>
      </c>
      <c r="S653">
        <f t="shared" si="40"/>
        <v>28.8</v>
      </c>
      <c r="T653">
        <f>IFERROR(VLOOKUP(A653,Table1[[Customer ID]:[Discount Amount]], 6, FALSE),"Not Found")</f>
        <v>32</v>
      </c>
      <c r="U653" t="str">
        <f t="shared" si="41"/>
        <v>Venmo</v>
      </c>
      <c r="V653" s="4" t="str">
        <f t="shared" si="42"/>
        <v>Normal</v>
      </c>
      <c r="W653" s="4" t="str">
        <f t="shared" si="43"/>
        <v>Poor</v>
      </c>
      <c r="X653" s="4">
        <f>AVERAGE(Table1[Purchase Amount])</f>
        <v>129.48419400000012</v>
      </c>
    </row>
    <row r="654" spans="1:24" ht="15" customHeight="1" x14ac:dyDescent="0.25">
      <c r="A654">
        <v>653</v>
      </c>
      <c r="B654">
        <v>64</v>
      </c>
      <c r="C654" t="s">
        <v>27</v>
      </c>
      <c r="D654" t="s">
        <v>28</v>
      </c>
      <c r="E654" t="s">
        <v>29</v>
      </c>
      <c r="F654" s="2">
        <v>27</v>
      </c>
      <c r="G654" t="s">
        <v>120</v>
      </c>
      <c r="H654" t="s">
        <v>31</v>
      </c>
      <c r="I654" t="s">
        <v>56</v>
      </c>
      <c r="J654" t="s">
        <v>22</v>
      </c>
      <c r="K654">
        <v>3.1</v>
      </c>
      <c r="L654" t="s">
        <v>34</v>
      </c>
      <c r="M654" t="s">
        <v>35</v>
      </c>
      <c r="N654" t="s">
        <v>34</v>
      </c>
      <c r="O654">
        <v>27</v>
      </c>
      <c r="P654" t="s">
        <v>62</v>
      </c>
      <c r="Q654" t="s">
        <v>26</v>
      </c>
      <c r="R654" s="1">
        <v>0.1</v>
      </c>
      <c r="S654">
        <f t="shared" si="40"/>
        <v>24.3</v>
      </c>
      <c r="T654">
        <f>IFERROR(VLOOKUP(A654,Table1[[Customer ID]:[Discount Amount]], 6, FALSE),"Not Found")</f>
        <v>27</v>
      </c>
      <c r="U654" t="str">
        <f t="shared" si="41"/>
        <v>Venmo</v>
      </c>
      <c r="V654" s="4" t="str">
        <f t="shared" si="42"/>
        <v>Normal</v>
      </c>
      <c r="W654" s="4" t="str">
        <f t="shared" si="43"/>
        <v>Good</v>
      </c>
      <c r="X654" s="4">
        <f>AVERAGE(Table1[Purchase Amount])</f>
        <v>129.48419400000012</v>
      </c>
    </row>
    <row r="655" spans="1:24" ht="15" customHeight="1" x14ac:dyDescent="0.25">
      <c r="A655">
        <v>654</v>
      </c>
      <c r="B655">
        <v>20</v>
      </c>
      <c r="C655" t="s">
        <v>27</v>
      </c>
      <c r="D655" t="s">
        <v>129</v>
      </c>
      <c r="E655" t="s">
        <v>29</v>
      </c>
      <c r="F655" s="2">
        <v>68</v>
      </c>
      <c r="G655" t="s">
        <v>86</v>
      </c>
      <c r="H655" t="s">
        <v>31</v>
      </c>
      <c r="I655" t="s">
        <v>21</v>
      </c>
      <c r="J655" t="s">
        <v>22</v>
      </c>
      <c r="K655">
        <v>3.6</v>
      </c>
      <c r="L655" t="s">
        <v>34</v>
      </c>
      <c r="M655" t="s">
        <v>41</v>
      </c>
      <c r="N655" t="s">
        <v>34</v>
      </c>
      <c r="O655">
        <v>45</v>
      </c>
      <c r="P655" t="s">
        <v>25</v>
      </c>
      <c r="Q655" t="s">
        <v>89</v>
      </c>
      <c r="R655" s="1">
        <v>0.1</v>
      </c>
      <c r="S655">
        <f t="shared" si="40"/>
        <v>61.2</v>
      </c>
      <c r="T655">
        <f>IFERROR(VLOOKUP(A655,Table1[[Customer ID]:[Discount Amount]], 6, FALSE),"Not Found")</f>
        <v>68</v>
      </c>
      <c r="U655" t="str">
        <f t="shared" si="41"/>
        <v>Cash</v>
      </c>
      <c r="V655" s="4" t="str">
        <f t="shared" si="42"/>
        <v>Normal</v>
      </c>
      <c r="W655" s="4" t="str">
        <f t="shared" si="43"/>
        <v>Good</v>
      </c>
      <c r="X655" s="4">
        <f>AVERAGE(Table1[Purchase Amount])</f>
        <v>129.48419400000012</v>
      </c>
    </row>
    <row r="656" spans="1:24" ht="15" customHeight="1" x14ac:dyDescent="0.25">
      <c r="A656">
        <v>655</v>
      </c>
      <c r="B656">
        <v>24</v>
      </c>
      <c r="C656" t="s">
        <v>27</v>
      </c>
      <c r="D656" t="s">
        <v>69</v>
      </c>
      <c r="E656" t="s">
        <v>29</v>
      </c>
      <c r="F656" s="2">
        <v>59</v>
      </c>
      <c r="G656" t="s">
        <v>19</v>
      </c>
      <c r="H656" t="s">
        <v>45</v>
      </c>
      <c r="I656" t="s">
        <v>85</v>
      </c>
      <c r="J656" t="s">
        <v>57</v>
      </c>
      <c r="K656">
        <v>4.4000000000000004</v>
      </c>
      <c r="L656" t="s">
        <v>34</v>
      </c>
      <c r="M656" t="s">
        <v>41</v>
      </c>
      <c r="N656" t="s">
        <v>34</v>
      </c>
      <c r="O656">
        <v>23</v>
      </c>
      <c r="P656" t="s">
        <v>62</v>
      </c>
      <c r="Q656" t="s">
        <v>49</v>
      </c>
      <c r="R656" s="1">
        <v>0.1</v>
      </c>
      <c r="S656">
        <f t="shared" si="40"/>
        <v>53.1</v>
      </c>
      <c r="T656">
        <f>IFERROR(VLOOKUP(A656,Table1[[Customer ID]:[Discount Amount]], 6, FALSE),"Not Found")</f>
        <v>59</v>
      </c>
      <c r="U656" t="str">
        <f t="shared" si="41"/>
        <v>Venmo</v>
      </c>
      <c r="V656" s="4" t="str">
        <f t="shared" si="42"/>
        <v>Normal</v>
      </c>
      <c r="W656" s="4" t="str">
        <f t="shared" si="43"/>
        <v>Good</v>
      </c>
      <c r="X656" s="4">
        <f>AVERAGE(Table1[Purchase Amount])</f>
        <v>129.48419400000012</v>
      </c>
    </row>
    <row r="657" spans="1:24" ht="15" customHeight="1" x14ac:dyDescent="0.25">
      <c r="A657">
        <v>656</v>
      </c>
      <c r="B657">
        <v>20</v>
      </c>
      <c r="C657" t="s">
        <v>27</v>
      </c>
      <c r="D657" t="s">
        <v>69</v>
      </c>
      <c r="E657" t="s">
        <v>29</v>
      </c>
      <c r="F657" s="2">
        <v>36</v>
      </c>
      <c r="G657" t="s">
        <v>149</v>
      </c>
      <c r="H657" t="s">
        <v>55</v>
      </c>
      <c r="I657" t="s">
        <v>66</v>
      </c>
      <c r="J657" t="s">
        <v>47</v>
      </c>
      <c r="K657">
        <v>3.1</v>
      </c>
      <c r="L657" t="s">
        <v>34</v>
      </c>
      <c r="M657" t="s">
        <v>35</v>
      </c>
      <c r="N657" t="s">
        <v>34</v>
      </c>
      <c r="O657">
        <v>19</v>
      </c>
      <c r="P657" t="s">
        <v>62</v>
      </c>
      <c r="Q657" t="s">
        <v>42</v>
      </c>
      <c r="R657" s="1">
        <v>0.1</v>
      </c>
      <c r="S657">
        <f t="shared" si="40"/>
        <v>32.4</v>
      </c>
      <c r="T657">
        <f>IFERROR(VLOOKUP(A657,Table1[[Customer ID]:[Discount Amount]], 6, FALSE),"Not Found")</f>
        <v>36</v>
      </c>
      <c r="U657" t="str">
        <f t="shared" si="41"/>
        <v>Venmo</v>
      </c>
      <c r="V657" s="4" t="str">
        <f t="shared" si="42"/>
        <v>Normal</v>
      </c>
      <c r="W657" s="4" t="str">
        <f t="shared" si="43"/>
        <v>Good</v>
      </c>
      <c r="X657" s="4">
        <f>AVERAGE(Table1[Purchase Amount])</f>
        <v>129.48419400000012</v>
      </c>
    </row>
    <row r="658" spans="1:24" ht="15" customHeight="1" x14ac:dyDescent="0.25">
      <c r="A658">
        <v>657</v>
      </c>
      <c r="B658">
        <v>42</v>
      </c>
      <c r="C658" t="s">
        <v>27</v>
      </c>
      <c r="D658" t="s">
        <v>109</v>
      </c>
      <c r="E658" t="s">
        <v>18</v>
      </c>
      <c r="F658" s="2">
        <v>23</v>
      </c>
      <c r="G658" t="s">
        <v>78</v>
      </c>
      <c r="H658" t="s">
        <v>31</v>
      </c>
      <c r="I658" t="s">
        <v>56</v>
      </c>
      <c r="J658" t="s">
        <v>57</v>
      </c>
      <c r="K658">
        <v>3.9</v>
      </c>
      <c r="L658" t="s">
        <v>34</v>
      </c>
      <c r="M658" t="s">
        <v>24</v>
      </c>
      <c r="N658" t="s">
        <v>34</v>
      </c>
      <c r="O658">
        <v>6</v>
      </c>
      <c r="P658" t="s">
        <v>58</v>
      </c>
      <c r="Q658" t="s">
        <v>37</v>
      </c>
      <c r="R658" s="1">
        <v>0.1</v>
      </c>
      <c r="S658">
        <f t="shared" si="40"/>
        <v>20.7</v>
      </c>
      <c r="T658">
        <f>IFERROR(VLOOKUP(A658,Table1[[Customer ID]:[Discount Amount]], 6, FALSE),"Not Found")</f>
        <v>23</v>
      </c>
      <c r="U658" t="str">
        <f t="shared" si="41"/>
        <v>PayPal</v>
      </c>
      <c r="V658" s="4" t="str">
        <f t="shared" si="42"/>
        <v>Normal</v>
      </c>
      <c r="W658" s="4" t="str">
        <f t="shared" si="43"/>
        <v>Good</v>
      </c>
      <c r="X658" s="4">
        <f>AVERAGE(Table1[Purchase Amount])</f>
        <v>129.48419400000012</v>
      </c>
    </row>
    <row r="659" spans="1:24" ht="15" customHeight="1" x14ac:dyDescent="0.25">
      <c r="A659">
        <v>658</v>
      </c>
      <c r="B659">
        <v>48</v>
      </c>
      <c r="C659" t="s">
        <v>27</v>
      </c>
      <c r="D659" t="s">
        <v>96</v>
      </c>
      <c r="E659" t="s">
        <v>77</v>
      </c>
      <c r="F659" s="2">
        <v>80</v>
      </c>
      <c r="G659" t="s">
        <v>150</v>
      </c>
      <c r="H659" t="s">
        <v>31</v>
      </c>
      <c r="I659" t="s">
        <v>32</v>
      </c>
      <c r="J659" t="s">
        <v>22</v>
      </c>
      <c r="K659">
        <v>4.3</v>
      </c>
      <c r="L659" t="s">
        <v>34</v>
      </c>
      <c r="M659" t="s">
        <v>35</v>
      </c>
      <c r="N659" t="s">
        <v>34</v>
      </c>
      <c r="O659">
        <v>6</v>
      </c>
      <c r="P659" t="s">
        <v>58</v>
      </c>
      <c r="Q659" t="s">
        <v>37</v>
      </c>
      <c r="R659" s="1">
        <v>0.1</v>
      </c>
      <c r="S659">
        <f t="shared" si="40"/>
        <v>72</v>
      </c>
      <c r="T659">
        <f>IFERROR(VLOOKUP(A659,Table1[[Customer ID]:[Discount Amount]], 6, FALSE),"Not Found")</f>
        <v>80</v>
      </c>
      <c r="U659" t="str">
        <f t="shared" si="41"/>
        <v>PayPal</v>
      </c>
      <c r="V659" s="4" t="str">
        <f t="shared" si="42"/>
        <v>Normal</v>
      </c>
      <c r="W659" s="4" t="str">
        <f t="shared" si="43"/>
        <v>Good</v>
      </c>
      <c r="X659" s="4">
        <f>AVERAGE(Table1[Purchase Amount])</f>
        <v>129.48419400000012</v>
      </c>
    </row>
    <row r="660" spans="1:24" ht="15" customHeight="1" x14ac:dyDescent="0.25">
      <c r="A660">
        <v>659</v>
      </c>
      <c r="B660">
        <v>62</v>
      </c>
      <c r="C660" t="s">
        <v>27</v>
      </c>
      <c r="D660" t="s">
        <v>104</v>
      </c>
      <c r="E660" t="s">
        <v>29</v>
      </c>
      <c r="F660" s="2">
        <v>37</v>
      </c>
      <c r="G660" t="s">
        <v>119</v>
      </c>
      <c r="H660" t="s">
        <v>55</v>
      </c>
      <c r="I660" t="s">
        <v>32</v>
      </c>
      <c r="J660" t="s">
        <v>47</v>
      </c>
      <c r="K660">
        <v>4.9000000000000004</v>
      </c>
      <c r="L660" t="s">
        <v>34</v>
      </c>
      <c r="M660" t="s">
        <v>48</v>
      </c>
      <c r="N660" t="s">
        <v>34</v>
      </c>
      <c r="O660">
        <v>20</v>
      </c>
      <c r="P660" t="s">
        <v>62</v>
      </c>
      <c r="Q660" t="s">
        <v>26</v>
      </c>
      <c r="R660" s="1">
        <v>0.1</v>
      </c>
      <c r="S660">
        <f t="shared" si="40"/>
        <v>33.299999999999997</v>
      </c>
      <c r="T660">
        <f>IFERROR(VLOOKUP(A660,Table1[[Customer ID]:[Discount Amount]], 6, FALSE),"Not Found")</f>
        <v>37</v>
      </c>
      <c r="U660" t="str">
        <f t="shared" si="41"/>
        <v>Venmo</v>
      </c>
      <c r="V660" s="4" t="str">
        <f t="shared" si="42"/>
        <v>Normal</v>
      </c>
      <c r="W660" s="4" t="str">
        <f t="shared" si="43"/>
        <v>Good</v>
      </c>
      <c r="X660" s="4">
        <f>AVERAGE(Table1[Purchase Amount])</f>
        <v>129.48419400000012</v>
      </c>
    </row>
    <row r="661" spans="1:24" ht="15" customHeight="1" x14ac:dyDescent="0.25">
      <c r="A661">
        <v>660</v>
      </c>
      <c r="B661">
        <v>62</v>
      </c>
      <c r="C661" t="s">
        <v>27</v>
      </c>
      <c r="D661" t="s">
        <v>54</v>
      </c>
      <c r="E661" t="s">
        <v>18</v>
      </c>
      <c r="F661" s="2">
        <v>52</v>
      </c>
      <c r="G661" t="s">
        <v>138</v>
      </c>
      <c r="H661" t="s">
        <v>55</v>
      </c>
      <c r="I661" t="s">
        <v>133</v>
      </c>
      <c r="J661" t="s">
        <v>33</v>
      </c>
      <c r="K661">
        <v>3.6</v>
      </c>
      <c r="L661" t="s">
        <v>34</v>
      </c>
      <c r="M661" t="s">
        <v>41</v>
      </c>
      <c r="N661" t="s">
        <v>34</v>
      </c>
      <c r="O661">
        <v>8</v>
      </c>
      <c r="P661" t="s">
        <v>25</v>
      </c>
      <c r="Q661" t="s">
        <v>26</v>
      </c>
      <c r="R661" s="1">
        <v>0.1</v>
      </c>
      <c r="S661">
        <f t="shared" si="40"/>
        <v>46.8</v>
      </c>
      <c r="T661">
        <f>IFERROR(VLOOKUP(A661,Table1[[Customer ID]:[Discount Amount]], 6, FALSE),"Not Found")</f>
        <v>52</v>
      </c>
      <c r="U661" t="str">
        <f t="shared" si="41"/>
        <v>Cash</v>
      </c>
      <c r="V661" s="4" t="str">
        <f t="shared" si="42"/>
        <v>Normal</v>
      </c>
      <c r="W661" s="4" t="str">
        <f t="shared" si="43"/>
        <v>Good</v>
      </c>
      <c r="X661" s="4">
        <f>AVERAGE(Table1[Purchase Amount])</f>
        <v>129.48419400000012</v>
      </c>
    </row>
    <row r="662" spans="1:24" ht="15" customHeight="1" x14ac:dyDescent="0.25">
      <c r="A662">
        <v>661</v>
      </c>
      <c r="B662">
        <v>50</v>
      </c>
      <c r="C662" t="s">
        <v>27</v>
      </c>
      <c r="D662" t="s">
        <v>76</v>
      </c>
      <c r="E662" t="s">
        <v>77</v>
      </c>
      <c r="F662" s="2">
        <v>79</v>
      </c>
      <c r="G662" t="s">
        <v>39</v>
      </c>
      <c r="H662" t="s">
        <v>31</v>
      </c>
      <c r="I662" t="s">
        <v>21</v>
      </c>
      <c r="J662" t="s">
        <v>47</v>
      </c>
      <c r="K662">
        <v>5</v>
      </c>
      <c r="L662" t="s">
        <v>34</v>
      </c>
      <c r="M662" t="s">
        <v>41</v>
      </c>
      <c r="N662" t="s">
        <v>34</v>
      </c>
      <c r="O662">
        <v>39</v>
      </c>
      <c r="P662" t="s">
        <v>53</v>
      </c>
      <c r="Q662" t="s">
        <v>37</v>
      </c>
      <c r="R662" s="1">
        <v>0.1</v>
      </c>
      <c r="S662">
        <f t="shared" si="40"/>
        <v>71.099999999999994</v>
      </c>
      <c r="T662">
        <f>IFERROR(VLOOKUP(A662,Table1[[Customer ID]:[Discount Amount]], 6, FALSE),"Not Found")</f>
        <v>79</v>
      </c>
      <c r="U662" t="str">
        <f t="shared" si="41"/>
        <v>Credit Card</v>
      </c>
      <c r="V662" s="4" t="str">
        <f t="shared" si="42"/>
        <v>Normal</v>
      </c>
      <c r="W662" s="4" t="str">
        <f t="shared" si="43"/>
        <v>Good</v>
      </c>
      <c r="X662" s="4">
        <f>AVERAGE(Table1[Purchase Amount])</f>
        <v>129.48419400000012</v>
      </c>
    </row>
    <row r="663" spans="1:24" ht="15" customHeight="1" x14ac:dyDescent="0.25">
      <c r="A663">
        <v>662</v>
      </c>
      <c r="B663">
        <v>57</v>
      </c>
      <c r="C663" t="s">
        <v>27</v>
      </c>
      <c r="D663" t="s">
        <v>38</v>
      </c>
      <c r="E663" t="s">
        <v>18</v>
      </c>
      <c r="F663" s="2">
        <v>68</v>
      </c>
      <c r="G663" t="s">
        <v>141</v>
      </c>
      <c r="H663" t="s">
        <v>20</v>
      </c>
      <c r="I663" t="s">
        <v>93</v>
      </c>
      <c r="J663" t="s">
        <v>47</v>
      </c>
      <c r="K663">
        <v>4.0999999999999996</v>
      </c>
      <c r="L663" t="s">
        <v>34</v>
      </c>
      <c r="M663" t="s">
        <v>48</v>
      </c>
      <c r="N663" t="s">
        <v>34</v>
      </c>
      <c r="O663">
        <v>39</v>
      </c>
      <c r="P663" t="s">
        <v>53</v>
      </c>
      <c r="Q663" t="s">
        <v>37</v>
      </c>
      <c r="R663" s="1">
        <v>0.1</v>
      </c>
      <c r="S663">
        <f t="shared" si="40"/>
        <v>61.2</v>
      </c>
      <c r="T663">
        <f>IFERROR(VLOOKUP(A663,Table1[[Customer ID]:[Discount Amount]], 6, FALSE),"Not Found")</f>
        <v>68</v>
      </c>
      <c r="U663" t="str">
        <f t="shared" si="41"/>
        <v>Credit Card</v>
      </c>
      <c r="V663" s="4" t="str">
        <f t="shared" si="42"/>
        <v>Normal</v>
      </c>
      <c r="W663" s="4" t="str">
        <f t="shared" si="43"/>
        <v>Good</v>
      </c>
      <c r="X663" s="4">
        <f>AVERAGE(Table1[Purchase Amount])</f>
        <v>129.48419400000012</v>
      </c>
    </row>
    <row r="664" spans="1:24" ht="15" customHeight="1" x14ac:dyDescent="0.25">
      <c r="A664">
        <v>663</v>
      </c>
      <c r="B664">
        <v>24</v>
      </c>
      <c r="C664" t="s">
        <v>27</v>
      </c>
      <c r="D664" t="s">
        <v>43</v>
      </c>
      <c r="E664" t="s">
        <v>29</v>
      </c>
      <c r="F664" s="2">
        <v>98</v>
      </c>
      <c r="G664" t="s">
        <v>44</v>
      </c>
      <c r="H664" t="s">
        <v>45</v>
      </c>
      <c r="I664" t="s">
        <v>87</v>
      </c>
      <c r="J664" t="s">
        <v>47</v>
      </c>
      <c r="K664">
        <v>2.8</v>
      </c>
      <c r="L664" t="s">
        <v>34</v>
      </c>
      <c r="M664" t="s">
        <v>61</v>
      </c>
      <c r="N664" t="s">
        <v>34</v>
      </c>
      <c r="O664">
        <v>39</v>
      </c>
      <c r="P664" t="s">
        <v>62</v>
      </c>
      <c r="Q664" t="s">
        <v>68</v>
      </c>
      <c r="R664" s="1">
        <v>0.1</v>
      </c>
      <c r="S664">
        <f t="shared" si="40"/>
        <v>88.2</v>
      </c>
      <c r="T664">
        <f>IFERROR(VLOOKUP(A664,Table1[[Customer ID]:[Discount Amount]], 6, FALSE),"Not Found")</f>
        <v>98</v>
      </c>
      <c r="U664" t="str">
        <f t="shared" si="41"/>
        <v>Venmo</v>
      </c>
      <c r="V664" s="4" t="str">
        <f t="shared" si="42"/>
        <v>Normal</v>
      </c>
      <c r="W664" s="4" t="str">
        <f t="shared" si="43"/>
        <v>Poor</v>
      </c>
      <c r="X664" s="4">
        <f>AVERAGE(Table1[Purchase Amount])</f>
        <v>129.48419400000012</v>
      </c>
    </row>
    <row r="665" spans="1:24" ht="15" customHeight="1" x14ac:dyDescent="0.25">
      <c r="A665">
        <v>664</v>
      </c>
      <c r="B665">
        <v>59</v>
      </c>
      <c r="C665" t="s">
        <v>27</v>
      </c>
      <c r="D665" t="s">
        <v>157</v>
      </c>
      <c r="E665" t="s">
        <v>18</v>
      </c>
      <c r="F665" s="2">
        <v>83</v>
      </c>
      <c r="G665" t="s">
        <v>148</v>
      </c>
      <c r="H665" t="s">
        <v>31</v>
      </c>
      <c r="I665" t="s">
        <v>103</v>
      </c>
      <c r="J665" t="s">
        <v>47</v>
      </c>
      <c r="K665">
        <v>4.7</v>
      </c>
      <c r="L665" t="s">
        <v>34</v>
      </c>
      <c r="M665" t="s">
        <v>61</v>
      </c>
      <c r="N665" t="s">
        <v>34</v>
      </c>
      <c r="O665">
        <v>23</v>
      </c>
      <c r="P665" t="s">
        <v>53</v>
      </c>
      <c r="Q665" t="s">
        <v>42</v>
      </c>
      <c r="R665" s="1">
        <v>0.1</v>
      </c>
      <c r="S665">
        <f t="shared" si="40"/>
        <v>74.7</v>
      </c>
      <c r="T665">
        <f>IFERROR(VLOOKUP(A665,Table1[[Customer ID]:[Discount Amount]], 6, FALSE),"Not Found")</f>
        <v>83</v>
      </c>
      <c r="U665" t="str">
        <f t="shared" si="41"/>
        <v>Credit Card</v>
      </c>
      <c r="V665" s="4" t="str">
        <f t="shared" si="42"/>
        <v>Normal</v>
      </c>
      <c r="W665" s="4" t="str">
        <f t="shared" si="43"/>
        <v>Good</v>
      </c>
      <c r="X665" s="4">
        <f>AVERAGE(Table1[Purchase Amount])</f>
        <v>129.48419400000012</v>
      </c>
    </row>
    <row r="666" spans="1:24" ht="15" customHeight="1" x14ac:dyDescent="0.25">
      <c r="A666">
        <v>665</v>
      </c>
      <c r="B666">
        <v>63</v>
      </c>
      <c r="C666" t="s">
        <v>27</v>
      </c>
      <c r="D666" t="s">
        <v>99</v>
      </c>
      <c r="E666" t="s">
        <v>18</v>
      </c>
      <c r="F666" s="2">
        <v>83</v>
      </c>
      <c r="G666" t="s">
        <v>92</v>
      </c>
      <c r="H666" t="s">
        <v>31</v>
      </c>
      <c r="I666" t="s">
        <v>91</v>
      </c>
      <c r="J666" t="s">
        <v>22</v>
      </c>
      <c r="K666">
        <v>4.4000000000000004</v>
      </c>
      <c r="L666" t="s">
        <v>34</v>
      </c>
      <c r="M666" t="s">
        <v>61</v>
      </c>
      <c r="N666" t="s">
        <v>34</v>
      </c>
      <c r="O666">
        <v>41</v>
      </c>
      <c r="P666" t="s">
        <v>58</v>
      </c>
      <c r="Q666" t="s">
        <v>68</v>
      </c>
      <c r="R666" s="1">
        <v>0.1</v>
      </c>
      <c r="S666">
        <f t="shared" si="40"/>
        <v>74.7</v>
      </c>
      <c r="T666">
        <f>IFERROR(VLOOKUP(A666,Table1[[Customer ID]:[Discount Amount]], 6, FALSE),"Not Found")</f>
        <v>83</v>
      </c>
      <c r="U666" t="str">
        <f t="shared" si="41"/>
        <v>PayPal</v>
      </c>
      <c r="V666" s="4" t="str">
        <f t="shared" si="42"/>
        <v>Normal</v>
      </c>
      <c r="W666" s="4" t="str">
        <f t="shared" si="43"/>
        <v>Good</v>
      </c>
      <c r="X666" s="4">
        <f>AVERAGE(Table1[Purchase Amount])</f>
        <v>129.48419400000012</v>
      </c>
    </row>
    <row r="667" spans="1:24" ht="15" customHeight="1" x14ac:dyDescent="0.25">
      <c r="A667">
        <v>666</v>
      </c>
      <c r="B667">
        <v>41</v>
      </c>
      <c r="C667" t="s">
        <v>27</v>
      </c>
      <c r="D667" t="s">
        <v>99</v>
      </c>
      <c r="E667" t="s">
        <v>18</v>
      </c>
      <c r="F667" s="2">
        <v>55</v>
      </c>
      <c r="G667" t="s">
        <v>110</v>
      </c>
      <c r="H667" t="s">
        <v>31</v>
      </c>
      <c r="I667" t="s">
        <v>145</v>
      </c>
      <c r="J667" t="s">
        <v>33</v>
      </c>
      <c r="K667">
        <v>4.9000000000000004</v>
      </c>
      <c r="L667" t="s">
        <v>34</v>
      </c>
      <c r="M667" t="s">
        <v>41</v>
      </c>
      <c r="N667" t="s">
        <v>34</v>
      </c>
      <c r="O667">
        <v>50</v>
      </c>
      <c r="P667" t="s">
        <v>53</v>
      </c>
      <c r="Q667" t="s">
        <v>49</v>
      </c>
      <c r="R667" s="1">
        <v>0.1</v>
      </c>
      <c r="S667">
        <f t="shared" si="40"/>
        <v>49.5</v>
      </c>
      <c r="T667">
        <f>IFERROR(VLOOKUP(A667,Table1[[Customer ID]:[Discount Amount]], 6, FALSE),"Not Found")</f>
        <v>55</v>
      </c>
      <c r="U667" t="str">
        <f t="shared" si="41"/>
        <v>Credit Card</v>
      </c>
      <c r="V667" s="4" t="str">
        <f t="shared" si="42"/>
        <v>Normal</v>
      </c>
      <c r="W667" s="4" t="str">
        <f t="shared" si="43"/>
        <v>Good</v>
      </c>
      <c r="X667" s="4">
        <f>AVERAGE(Table1[Purchase Amount])</f>
        <v>129.48419400000012</v>
      </c>
    </row>
    <row r="668" spans="1:24" ht="15" customHeight="1" x14ac:dyDescent="0.25">
      <c r="A668">
        <v>667</v>
      </c>
      <c r="B668">
        <v>35</v>
      </c>
      <c r="C668" t="s">
        <v>27</v>
      </c>
      <c r="D668" t="s">
        <v>83</v>
      </c>
      <c r="E668" t="s">
        <v>18</v>
      </c>
      <c r="F668" s="2">
        <v>26</v>
      </c>
      <c r="G668" t="s">
        <v>92</v>
      </c>
      <c r="H668" t="s">
        <v>45</v>
      </c>
      <c r="I668" t="s">
        <v>156</v>
      </c>
      <c r="J668" t="s">
        <v>22</v>
      </c>
      <c r="K668">
        <v>3.1</v>
      </c>
      <c r="L668" t="s">
        <v>34</v>
      </c>
      <c r="M668" t="s">
        <v>35</v>
      </c>
      <c r="N668" t="s">
        <v>34</v>
      </c>
      <c r="O668">
        <v>30</v>
      </c>
      <c r="P668" t="s">
        <v>36</v>
      </c>
      <c r="Q668" t="s">
        <v>37</v>
      </c>
      <c r="R668" s="1">
        <v>0.1</v>
      </c>
      <c r="S668">
        <f t="shared" si="40"/>
        <v>23.4</v>
      </c>
      <c r="T668">
        <f>IFERROR(VLOOKUP(A668,Table1[[Customer ID]:[Discount Amount]], 6, FALSE),"Not Found")</f>
        <v>26</v>
      </c>
      <c r="U668" t="str">
        <f t="shared" si="41"/>
        <v>Debit Card</v>
      </c>
      <c r="V668" s="4" t="str">
        <f t="shared" si="42"/>
        <v>Normal</v>
      </c>
      <c r="W668" s="4" t="str">
        <f t="shared" si="43"/>
        <v>Good</v>
      </c>
      <c r="X668" s="4">
        <f>AVERAGE(Table1[Purchase Amount])</f>
        <v>129.48419400000012</v>
      </c>
    </row>
    <row r="669" spans="1:24" ht="15" customHeight="1" x14ac:dyDescent="0.25">
      <c r="A669">
        <v>668</v>
      </c>
      <c r="B669">
        <v>34</v>
      </c>
      <c r="C669" t="s">
        <v>27</v>
      </c>
      <c r="D669" t="s">
        <v>28</v>
      </c>
      <c r="E669" t="s">
        <v>29</v>
      </c>
      <c r="F669" s="2">
        <v>76</v>
      </c>
      <c r="G669" t="s">
        <v>150</v>
      </c>
      <c r="H669" t="s">
        <v>55</v>
      </c>
      <c r="I669" t="s">
        <v>74</v>
      </c>
      <c r="J669" t="s">
        <v>22</v>
      </c>
      <c r="K669">
        <v>2.6</v>
      </c>
      <c r="L669" t="s">
        <v>34</v>
      </c>
      <c r="M669" t="s">
        <v>24</v>
      </c>
      <c r="N669" t="s">
        <v>34</v>
      </c>
      <c r="O669">
        <v>32</v>
      </c>
      <c r="P669" t="s">
        <v>88</v>
      </c>
      <c r="Q669" t="s">
        <v>37</v>
      </c>
      <c r="R669" s="1">
        <v>0.1</v>
      </c>
      <c r="S669">
        <f t="shared" si="40"/>
        <v>68.400000000000006</v>
      </c>
      <c r="T669">
        <f>IFERROR(VLOOKUP(A669,Table1[[Customer ID]:[Discount Amount]], 6, FALSE),"Not Found")</f>
        <v>76</v>
      </c>
      <c r="U669" t="str">
        <f t="shared" si="41"/>
        <v>Bank Transfer</v>
      </c>
      <c r="V669" s="4" t="str">
        <f t="shared" si="42"/>
        <v>Normal</v>
      </c>
      <c r="W669" s="4" t="str">
        <f t="shared" si="43"/>
        <v>Poor</v>
      </c>
      <c r="X669" s="4">
        <f>AVERAGE(Table1[Purchase Amount])</f>
        <v>129.48419400000012</v>
      </c>
    </row>
    <row r="670" spans="1:24" ht="15" customHeight="1" x14ac:dyDescent="0.25">
      <c r="A670">
        <v>669</v>
      </c>
      <c r="B670">
        <v>49</v>
      </c>
      <c r="C670" t="s">
        <v>27</v>
      </c>
      <c r="D670" t="s">
        <v>17</v>
      </c>
      <c r="E670" t="s">
        <v>18</v>
      </c>
      <c r="F670" s="2">
        <v>85</v>
      </c>
      <c r="G670" t="s">
        <v>135</v>
      </c>
      <c r="H670" t="s">
        <v>55</v>
      </c>
      <c r="I670" t="s">
        <v>156</v>
      </c>
      <c r="J670" t="s">
        <v>47</v>
      </c>
      <c r="K670">
        <v>2.9</v>
      </c>
      <c r="L670" t="s">
        <v>34</v>
      </c>
      <c r="M670" t="s">
        <v>61</v>
      </c>
      <c r="N670" t="s">
        <v>34</v>
      </c>
      <c r="O670">
        <v>35</v>
      </c>
      <c r="P670" t="s">
        <v>88</v>
      </c>
      <c r="Q670" t="s">
        <v>42</v>
      </c>
      <c r="R670" s="1">
        <v>0.1</v>
      </c>
      <c r="S670">
        <f t="shared" si="40"/>
        <v>76.5</v>
      </c>
      <c r="T670">
        <f>IFERROR(VLOOKUP(A670,Table1[[Customer ID]:[Discount Amount]], 6, FALSE),"Not Found")</f>
        <v>85</v>
      </c>
      <c r="U670" t="str">
        <f t="shared" si="41"/>
        <v>Bank Transfer</v>
      </c>
      <c r="V670" s="4" t="str">
        <f t="shared" si="42"/>
        <v>Normal</v>
      </c>
      <c r="W670" s="4" t="str">
        <f t="shared" si="43"/>
        <v>Poor</v>
      </c>
      <c r="X670" s="4">
        <f>AVERAGE(Table1[Purchase Amount])</f>
        <v>129.48419400000012</v>
      </c>
    </row>
    <row r="671" spans="1:24" ht="15" customHeight="1" x14ac:dyDescent="0.25">
      <c r="A671">
        <v>670</v>
      </c>
      <c r="B671">
        <v>43</v>
      </c>
      <c r="C671" t="s">
        <v>27</v>
      </c>
      <c r="D671" t="s">
        <v>96</v>
      </c>
      <c r="E671" t="s">
        <v>77</v>
      </c>
      <c r="F671" s="2">
        <v>89</v>
      </c>
      <c r="G671" t="s">
        <v>44</v>
      </c>
      <c r="H671" t="s">
        <v>31</v>
      </c>
      <c r="I671" t="s">
        <v>85</v>
      </c>
      <c r="J671" t="s">
        <v>33</v>
      </c>
      <c r="K671">
        <v>3.3</v>
      </c>
      <c r="L671" t="s">
        <v>34</v>
      </c>
      <c r="M671" t="s">
        <v>35</v>
      </c>
      <c r="N671" t="s">
        <v>34</v>
      </c>
      <c r="O671">
        <v>45</v>
      </c>
      <c r="P671" t="s">
        <v>62</v>
      </c>
      <c r="Q671" t="s">
        <v>68</v>
      </c>
      <c r="R671" s="1">
        <v>0.1</v>
      </c>
      <c r="S671">
        <f t="shared" si="40"/>
        <v>80.099999999999994</v>
      </c>
      <c r="T671">
        <f>IFERROR(VLOOKUP(A671,Table1[[Customer ID]:[Discount Amount]], 6, FALSE),"Not Found")</f>
        <v>89</v>
      </c>
      <c r="U671" t="str">
        <f t="shared" si="41"/>
        <v>Venmo</v>
      </c>
      <c r="V671" s="4" t="str">
        <f t="shared" si="42"/>
        <v>Normal</v>
      </c>
      <c r="W671" s="4" t="str">
        <f t="shared" si="43"/>
        <v>Good</v>
      </c>
      <c r="X671" s="4">
        <f>AVERAGE(Table1[Purchase Amount])</f>
        <v>129.48419400000012</v>
      </c>
    </row>
    <row r="672" spans="1:24" ht="15" customHeight="1" x14ac:dyDescent="0.25">
      <c r="A672">
        <v>671</v>
      </c>
      <c r="B672">
        <v>63</v>
      </c>
      <c r="C672" t="s">
        <v>27</v>
      </c>
      <c r="D672" t="s">
        <v>127</v>
      </c>
      <c r="E672" t="s">
        <v>18</v>
      </c>
      <c r="F672" s="2">
        <v>41</v>
      </c>
      <c r="G672" t="s">
        <v>119</v>
      </c>
      <c r="H672" t="s">
        <v>20</v>
      </c>
      <c r="I672" t="s">
        <v>66</v>
      </c>
      <c r="J672" t="s">
        <v>33</v>
      </c>
      <c r="K672">
        <v>4.8</v>
      </c>
      <c r="L672" t="s">
        <v>34</v>
      </c>
      <c r="M672" t="s">
        <v>79</v>
      </c>
      <c r="N672" t="s">
        <v>34</v>
      </c>
      <c r="O672">
        <v>37</v>
      </c>
      <c r="P672" t="s">
        <v>25</v>
      </c>
      <c r="Q672" t="s">
        <v>68</v>
      </c>
      <c r="R672" s="1">
        <v>0.1</v>
      </c>
      <c r="S672">
        <f t="shared" si="40"/>
        <v>36.9</v>
      </c>
      <c r="T672">
        <f>IFERROR(VLOOKUP(A672,Table1[[Customer ID]:[Discount Amount]], 6, FALSE),"Not Found")</f>
        <v>41</v>
      </c>
      <c r="U672" t="str">
        <f t="shared" si="41"/>
        <v>Cash</v>
      </c>
      <c r="V672" s="4" t="str">
        <f t="shared" si="42"/>
        <v>Normal</v>
      </c>
      <c r="W672" s="4" t="str">
        <f t="shared" si="43"/>
        <v>Good</v>
      </c>
      <c r="X672" s="4">
        <f>AVERAGE(Table1[Purchase Amount])</f>
        <v>129.48419400000012</v>
      </c>
    </row>
    <row r="673" spans="1:24" ht="15" customHeight="1" x14ac:dyDescent="0.25">
      <c r="A673">
        <v>672</v>
      </c>
      <c r="B673">
        <v>38</v>
      </c>
      <c r="C673" t="s">
        <v>27</v>
      </c>
      <c r="D673" t="s">
        <v>96</v>
      </c>
      <c r="E673" t="s">
        <v>77</v>
      </c>
      <c r="F673" s="2">
        <v>30</v>
      </c>
      <c r="G673" t="s">
        <v>141</v>
      </c>
      <c r="H673" t="s">
        <v>45</v>
      </c>
      <c r="I673" t="s">
        <v>40</v>
      </c>
      <c r="J673" t="s">
        <v>22</v>
      </c>
      <c r="K673">
        <v>4.7</v>
      </c>
      <c r="L673" t="s">
        <v>34</v>
      </c>
      <c r="M673" t="s">
        <v>61</v>
      </c>
      <c r="N673" t="s">
        <v>34</v>
      </c>
      <c r="O673">
        <v>45</v>
      </c>
      <c r="P673" t="s">
        <v>25</v>
      </c>
      <c r="Q673" t="s">
        <v>26</v>
      </c>
      <c r="R673" s="1">
        <v>0.1</v>
      </c>
      <c r="S673">
        <f t="shared" si="40"/>
        <v>27</v>
      </c>
      <c r="T673">
        <f>IFERROR(VLOOKUP(A673,Table1[[Customer ID]:[Discount Amount]], 6, FALSE),"Not Found")</f>
        <v>30</v>
      </c>
      <c r="U673" t="str">
        <f t="shared" si="41"/>
        <v>Cash</v>
      </c>
      <c r="V673" s="4" t="str">
        <f t="shared" si="42"/>
        <v>Normal</v>
      </c>
      <c r="W673" s="4" t="str">
        <f t="shared" si="43"/>
        <v>Good</v>
      </c>
      <c r="X673" s="4">
        <f>AVERAGE(Table1[Purchase Amount])</f>
        <v>129.48419400000012</v>
      </c>
    </row>
    <row r="674" spans="1:24" ht="15" customHeight="1" x14ac:dyDescent="0.25">
      <c r="A674">
        <v>673</v>
      </c>
      <c r="B674">
        <v>59</v>
      </c>
      <c r="C674" t="s">
        <v>27</v>
      </c>
      <c r="D674" t="s">
        <v>105</v>
      </c>
      <c r="E674" t="s">
        <v>18</v>
      </c>
      <c r="F674" s="2">
        <v>53</v>
      </c>
      <c r="G674" t="s">
        <v>155</v>
      </c>
      <c r="H674" t="s">
        <v>31</v>
      </c>
      <c r="I674" t="s">
        <v>145</v>
      </c>
      <c r="J674" t="s">
        <v>22</v>
      </c>
      <c r="K674">
        <v>3.3</v>
      </c>
      <c r="L674" t="s">
        <v>34</v>
      </c>
      <c r="M674" t="s">
        <v>41</v>
      </c>
      <c r="N674" t="s">
        <v>34</v>
      </c>
      <c r="O674">
        <v>29</v>
      </c>
      <c r="P674" t="s">
        <v>25</v>
      </c>
      <c r="Q674" t="s">
        <v>37</v>
      </c>
      <c r="R674" s="1">
        <v>0.1</v>
      </c>
      <c r="S674">
        <f t="shared" si="40"/>
        <v>47.7</v>
      </c>
      <c r="T674">
        <f>IFERROR(VLOOKUP(A674,Table1[[Customer ID]:[Discount Amount]], 6, FALSE),"Not Found")</f>
        <v>53</v>
      </c>
      <c r="U674" t="str">
        <f t="shared" si="41"/>
        <v>Cash</v>
      </c>
      <c r="V674" s="4" t="str">
        <f t="shared" si="42"/>
        <v>Normal</v>
      </c>
      <c r="W674" s="4" t="str">
        <f t="shared" si="43"/>
        <v>Good</v>
      </c>
      <c r="X674" s="4">
        <f>AVERAGE(Table1[Purchase Amount])</f>
        <v>129.48419400000012</v>
      </c>
    </row>
    <row r="675" spans="1:24" ht="15" customHeight="1" x14ac:dyDescent="0.25">
      <c r="A675">
        <v>674</v>
      </c>
      <c r="B675">
        <v>35</v>
      </c>
      <c r="C675" t="s">
        <v>27</v>
      </c>
      <c r="D675" t="s">
        <v>38</v>
      </c>
      <c r="E675" t="s">
        <v>18</v>
      </c>
      <c r="F675" s="2">
        <v>66</v>
      </c>
      <c r="G675" t="s">
        <v>142</v>
      </c>
      <c r="H675" t="s">
        <v>31</v>
      </c>
      <c r="I675" t="s">
        <v>91</v>
      </c>
      <c r="J675" t="s">
        <v>33</v>
      </c>
      <c r="K675">
        <v>4.2</v>
      </c>
      <c r="L675" t="s">
        <v>34</v>
      </c>
      <c r="M675" t="s">
        <v>35</v>
      </c>
      <c r="N675" t="s">
        <v>34</v>
      </c>
      <c r="O675">
        <v>27</v>
      </c>
      <c r="P675" t="s">
        <v>62</v>
      </c>
      <c r="Q675" t="s">
        <v>68</v>
      </c>
      <c r="R675" s="1">
        <v>0.1</v>
      </c>
      <c r="S675">
        <f t="shared" si="40"/>
        <v>59.4</v>
      </c>
      <c r="T675">
        <f>IFERROR(VLOOKUP(A675,Table1[[Customer ID]:[Discount Amount]], 6, FALSE),"Not Found")</f>
        <v>66</v>
      </c>
      <c r="U675" t="str">
        <f t="shared" si="41"/>
        <v>Venmo</v>
      </c>
      <c r="V675" s="4" t="str">
        <f t="shared" si="42"/>
        <v>Normal</v>
      </c>
      <c r="W675" s="4" t="str">
        <f t="shared" si="43"/>
        <v>Good</v>
      </c>
      <c r="X675" s="4">
        <f>AVERAGE(Table1[Purchase Amount])</f>
        <v>129.48419400000012</v>
      </c>
    </row>
    <row r="676" spans="1:24" ht="15" customHeight="1" x14ac:dyDescent="0.25">
      <c r="A676">
        <v>675</v>
      </c>
      <c r="B676">
        <v>48</v>
      </c>
      <c r="C676" t="s">
        <v>27</v>
      </c>
      <c r="D676" t="s">
        <v>50</v>
      </c>
      <c r="E676" t="s">
        <v>29</v>
      </c>
      <c r="F676" s="2">
        <v>33</v>
      </c>
      <c r="G676" t="s">
        <v>155</v>
      </c>
      <c r="H676" t="s">
        <v>20</v>
      </c>
      <c r="I676" t="s">
        <v>56</v>
      </c>
      <c r="J676" t="s">
        <v>22</v>
      </c>
      <c r="K676">
        <v>4.7</v>
      </c>
      <c r="L676" t="s">
        <v>34</v>
      </c>
      <c r="M676" t="s">
        <v>48</v>
      </c>
      <c r="N676" t="s">
        <v>34</v>
      </c>
      <c r="O676">
        <v>36</v>
      </c>
      <c r="P676" t="s">
        <v>88</v>
      </c>
      <c r="Q676" t="s">
        <v>49</v>
      </c>
      <c r="R676" s="1">
        <v>0.1</v>
      </c>
      <c r="S676">
        <f t="shared" si="40"/>
        <v>29.7</v>
      </c>
      <c r="T676">
        <f>IFERROR(VLOOKUP(A676,Table1[[Customer ID]:[Discount Amount]], 6, FALSE),"Not Found")</f>
        <v>33</v>
      </c>
      <c r="U676" t="str">
        <f t="shared" si="41"/>
        <v>Bank Transfer</v>
      </c>
      <c r="V676" s="4" t="str">
        <f t="shared" si="42"/>
        <v>Normal</v>
      </c>
      <c r="W676" s="4" t="str">
        <f t="shared" si="43"/>
        <v>Good</v>
      </c>
      <c r="X676" s="4">
        <f>AVERAGE(Table1[Purchase Amount])</f>
        <v>129.48419400000012</v>
      </c>
    </row>
    <row r="677" spans="1:24" ht="15" customHeight="1" x14ac:dyDescent="0.25">
      <c r="A677">
        <v>676</v>
      </c>
      <c r="B677">
        <v>64</v>
      </c>
      <c r="C677" t="s">
        <v>27</v>
      </c>
      <c r="D677" t="s">
        <v>28</v>
      </c>
      <c r="E677" t="s">
        <v>29</v>
      </c>
      <c r="F677" s="2">
        <v>86</v>
      </c>
      <c r="G677" t="s">
        <v>100</v>
      </c>
      <c r="H677" t="s">
        <v>31</v>
      </c>
      <c r="I677" t="s">
        <v>52</v>
      </c>
      <c r="J677" t="s">
        <v>33</v>
      </c>
      <c r="K677">
        <v>2.6</v>
      </c>
      <c r="L677" t="s">
        <v>34</v>
      </c>
      <c r="M677" t="s">
        <v>41</v>
      </c>
      <c r="N677" t="s">
        <v>34</v>
      </c>
      <c r="O677">
        <v>9</v>
      </c>
      <c r="P677" t="s">
        <v>25</v>
      </c>
      <c r="Q677" t="s">
        <v>49</v>
      </c>
      <c r="R677" s="1">
        <v>0.1</v>
      </c>
      <c r="S677">
        <f t="shared" si="40"/>
        <v>77.400000000000006</v>
      </c>
      <c r="T677">
        <f>IFERROR(VLOOKUP(A677,Table1[[Customer ID]:[Discount Amount]], 6, FALSE),"Not Found")</f>
        <v>86</v>
      </c>
      <c r="U677" t="str">
        <f t="shared" si="41"/>
        <v>Cash</v>
      </c>
      <c r="V677" s="4" t="str">
        <f t="shared" si="42"/>
        <v>Normal</v>
      </c>
      <c r="W677" s="4" t="str">
        <f t="shared" si="43"/>
        <v>Poor</v>
      </c>
      <c r="X677" s="4">
        <f>AVERAGE(Table1[Purchase Amount])</f>
        <v>129.48419400000012</v>
      </c>
    </row>
    <row r="678" spans="1:24" ht="15" customHeight="1" x14ac:dyDescent="0.25">
      <c r="A678">
        <v>677</v>
      </c>
      <c r="B678">
        <v>28</v>
      </c>
      <c r="C678" t="s">
        <v>27</v>
      </c>
      <c r="D678" t="s">
        <v>99</v>
      </c>
      <c r="E678" t="s">
        <v>18</v>
      </c>
      <c r="F678" s="2">
        <v>60</v>
      </c>
      <c r="G678" t="s">
        <v>115</v>
      </c>
      <c r="H678" t="s">
        <v>31</v>
      </c>
      <c r="I678" t="s">
        <v>145</v>
      </c>
      <c r="J678" t="s">
        <v>22</v>
      </c>
      <c r="K678">
        <v>2.9</v>
      </c>
      <c r="L678" t="s">
        <v>34</v>
      </c>
      <c r="M678" t="s">
        <v>41</v>
      </c>
      <c r="N678" t="s">
        <v>34</v>
      </c>
      <c r="O678">
        <v>38</v>
      </c>
      <c r="P678" t="s">
        <v>62</v>
      </c>
      <c r="Q678" t="s">
        <v>68</v>
      </c>
      <c r="R678" s="1">
        <v>0.1</v>
      </c>
      <c r="S678">
        <f t="shared" si="40"/>
        <v>54</v>
      </c>
      <c r="T678">
        <f>IFERROR(VLOOKUP(A678,Table1[[Customer ID]:[Discount Amount]], 6, FALSE),"Not Found")</f>
        <v>60</v>
      </c>
      <c r="U678" t="str">
        <f t="shared" si="41"/>
        <v>Venmo</v>
      </c>
      <c r="V678" s="4" t="str">
        <f t="shared" si="42"/>
        <v>Normal</v>
      </c>
      <c r="W678" s="4" t="str">
        <f t="shared" si="43"/>
        <v>Poor</v>
      </c>
      <c r="X678" s="4">
        <f>AVERAGE(Table1[Purchase Amount])</f>
        <v>129.48419400000012</v>
      </c>
    </row>
    <row r="679" spans="1:24" ht="15" customHeight="1" x14ac:dyDescent="0.25">
      <c r="A679">
        <v>678</v>
      </c>
      <c r="B679">
        <v>60</v>
      </c>
      <c r="C679" t="s">
        <v>27</v>
      </c>
      <c r="D679" t="s">
        <v>105</v>
      </c>
      <c r="E679" t="s">
        <v>18</v>
      </c>
      <c r="F679" s="2">
        <v>62</v>
      </c>
      <c r="G679" t="s">
        <v>155</v>
      </c>
      <c r="H679" t="s">
        <v>55</v>
      </c>
      <c r="I679" t="s">
        <v>156</v>
      </c>
      <c r="J679" t="s">
        <v>57</v>
      </c>
      <c r="K679">
        <v>2.7</v>
      </c>
      <c r="L679" t="s">
        <v>34</v>
      </c>
      <c r="M679" t="s">
        <v>61</v>
      </c>
      <c r="N679" t="s">
        <v>34</v>
      </c>
      <c r="O679">
        <v>41</v>
      </c>
      <c r="P679" t="s">
        <v>58</v>
      </c>
      <c r="Q679" t="s">
        <v>49</v>
      </c>
      <c r="R679" s="1">
        <v>0.1</v>
      </c>
      <c r="S679">
        <f t="shared" si="40"/>
        <v>55.8</v>
      </c>
      <c r="T679">
        <f>IFERROR(VLOOKUP(A679,Table1[[Customer ID]:[Discount Amount]], 6, FALSE),"Not Found")</f>
        <v>62</v>
      </c>
      <c r="U679" t="str">
        <f t="shared" si="41"/>
        <v>PayPal</v>
      </c>
      <c r="V679" s="4" t="str">
        <f t="shared" si="42"/>
        <v>Normal</v>
      </c>
      <c r="W679" s="4" t="str">
        <f t="shared" si="43"/>
        <v>Poor</v>
      </c>
      <c r="X679" s="4">
        <f>AVERAGE(Table1[Purchase Amount])</f>
        <v>129.48419400000012</v>
      </c>
    </row>
    <row r="680" spans="1:24" ht="15" customHeight="1" x14ac:dyDescent="0.25">
      <c r="A680">
        <v>679</v>
      </c>
      <c r="B680">
        <v>27</v>
      </c>
      <c r="C680" t="s">
        <v>27</v>
      </c>
      <c r="D680" t="s">
        <v>118</v>
      </c>
      <c r="E680" t="s">
        <v>18</v>
      </c>
      <c r="F680" s="2">
        <v>74</v>
      </c>
      <c r="G680" t="s">
        <v>94</v>
      </c>
      <c r="H680" t="s">
        <v>31</v>
      </c>
      <c r="I680" t="s">
        <v>147</v>
      </c>
      <c r="J680" t="s">
        <v>47</v>
      </c>
      <c r="K680">
        <v>3.3</v>
      </c>
      <c r="L680" t="s">
        <v>34</v>
      </c>
      <c r="M680" t="s">
        <v>48</v>
      </c>
      <c r="N680" t="s">
        <v>34</v>
      </c>
      <c r="O680">
        <v>25</v>
      </c>
      <c r="P680" t="s">
        <v>36</v>
      </c>
      <c r="Q680" t="s">
        <v>63</v>
      </c>
      <c r="R680" s="1">
        <v>0.1</v>
      </c>
      <c r="S680">
        <f t="shared" si="40"/>
        <v>66.599999999999994</v>
      </c>
      <c r="T680">
        <f>IFERROR(VLOOKUP(A680,Table1[[Customer ID]:[Discount Amount]], 6, FALSE),"Not Found")</f>
        <v>74</v>
      </c>
      <c r="U680" t="str">
        <f t="shared" si="41"/>
        <v>Debit Card</v>
      </c>
      <c r="V680" s="4" t="str">
        <f t="shared" si="42"/>
        <v>Normal</v>
      </c>
      <c r="W680" s="4" t="str">
        <f t="shared" si="43"/>
        <v>Good</v>
      </c>
      <c r="X680" s="4">
        <f>AVERAGE(Table1[Purchase Amount])</f>
        <v>129.48419400000012</v>
      </c>
    </row>
    <row r="681" spans="1:24" ht="15" customHeight="1" x14ac:dyDescent="0.25">
      <c r="A681">
        <v>680</v>
      </c>
      <c r="B681">
        <v>56</v>
      </c>
      <c r="C681" t="s">
        <v>27</v>
      </c>
      <c r="D681" t="s">
        <v>121</v>
      </c>
      <c r="E681" t="s">
        <v>98</v>
      </c>
      <c r="F681" s="2">
        <v>95</v>
      </c>
      <c r="G681" t="s">
        <v>113</v>
      </c>
      <c r="H681" t="s">
        <v>31</v>
      </c>
      <c r="I681" t="s">
        <v>156</v>
      </c>
      <c r="J681" t="s">
        <v>47</v>
      </c>
      <c r="K681">
        <v>3.4</v>
      </c>
      <c r="L681" t="s">
        <v>34</v>
      </c>
      <c r="M681" t="s">
        <v>61</v>
      </c>
      <c r="N681" t="s">
        <v>34</v>
      </c>
      <c r="O681">
        <v>37</v>
      </c>
      <c r="P681" t="s">
        <v>62</v>
      </c>
      <c r="Q681" t="s">
        <v>89</v>
      </c>
      <c r="R681" s="1">
        <v>0.1</v>
      </c>
      <c r="S681">
        <f t="shared" si="40"/>
        <v>85.5</v>
      </c>
      <c r="T681">
        <f>IFERROR(VLOOKUP(A681,Table1[[Customer ID]:[Discount Amount]], 6, FALSE),"Not Found")</f>
        <v>95</v>
      </c>
      <c r="U681" t="str">
        <f t="shared" si="41"/>
        <v>Venmo</v>
      </c>
      <c r="V681" s="4" t="str">
        <f t="shared" si="42"/>
        <v>Normal</v>
      </c>
      <c r="W681" s="4" t="str">
        <f t="shared" si="43"/>
        <v>Good</v>
      </c>
      <c r="X681" s="4">
        <f>AVERAGE(Table1[Purchase Amount])</f>
        <v>129.48419400000012</v>
      </c>
    </row>
    <row r="682" spans="1:24" ht="15" customHeight="1" x14ac:dyDescent="0.25">
      <c r="A682">
        <v>681</v>
      </c>
      <c r="B682">
        <v>58</v>
      </c>
      <c r="C682" t="s">
        <v>27</v>
      </c>
      <c r="D682" t="s">
        <v>140</v>
      </c>
      <c r="E682" t="s">
        <v>98</v>
      </c>
      <c r="F682" s="2">
        <v>25</v>
      </c>
      <c r="G682" t="s">
        <v>65</v>
      </c>
      <c r="H682" t="s">
        <v>31</v>
      </c>
      <c r="I682" t="s">
        <v>87</v>
      </c>
      <c r="J682" t="s">
        <v>33</v>
      </c>
      <c r="K682">
        <v>4.2</v>
      </c>
      <c r="L682" t="s">
        <v>34</v>
      </c>
      <c r="M682" t="s">
        <v>61</v>
      </c>
      <c r="N682" t="s">
        <v>34</v>
      </c>
      <c r="O682">
        <v>3</v>
      </c>
      <c r="P682" t="s">
        <v>58</v>
      </c>
      <c r="Q682" t="s">
        <v>49</v>
      </c>
      <c r="R682" s="1">
        <v>0.1</v>
      </c>
      <c r="S682">
        <f t="shared" si="40"/>
        <v>22.5</v>
      </c>
      <c r="T682">
        <f>IFERROR(VLOOKUP(A682,Table1[[Customer ID]:[Discount Amount]], 6, FALSE),"Not Found")</f>
        <v>25</v>
      </c>
      <c r="U682" t="str">
        <f t="shared" si="41"/>
        <v>PayPal</v>
      </c>
      <c r="V682" s="4" t="str">
        <f t="shared" si="42"/>
        <v>Normal</v>
      </c>
      <c r="W682" s="4" t="str">
        <f t="shared" si="43"/>
        <v>Good</v>
      </c>
      <c r="X682" s="4">
        <f>AVERAGE(Table1[Purchase Amount])</f>
        <v>129.48419400000012</v>
      </c>
    </row>
    <row r="683" spans="1:24" ht="15" customHeight="1" x14ac:dyDescent="0.25">
      <c r="A683">
        <v>682</v>
      </c>
      <c r="B683">
        <v>30</v>
      </c>
      <c r="C683" t="s">
        <v>27</v>
      </c>
      <c r="D683" t="s">
        <v>38</v>
      </c>
      <c r="E683" t="s">
        <v>18</v>
      </c>
      <c r="F683" s="2">
        <v>59</v>
      </c>
      <c r="G683" t="s">
        <v>119</v>
      </c>
      <c r="H683" t="s">
        <v>20</v>
      </c>
      <c r="I683" t="s">
        <v>66</v>
      </c>
      <c r="J683" t="s">
        <v>22</v>
      </c>
      <c r="K683">
        <v>3.8</v>
      </c>
      <c r="L683" t="s">
        <v>34</v>
      </c>
      <c r="M683" t="s">
        <v>41</v>
      </c>
      <c r="N683" t="s">
        <v>34</v>
      </c>
      <c r="O683">
        <v>24</v>
      </c>
      <c r="P683" t="s">
        <v>53</v>
      </c>
      <c r="Q683" t="s">
        <v>63</v>
      </c>
      <c r="R683" s="1">
        <v>0.1</v>
      </c>
      <c r="S683">
        <f t="shared" si="40"/>
        <v>53.1</v>
      </c>
      <c r="T683">
        <f>IFERROR(VLOOKUP(A683,Table1[[Customer ID]:[Discount Amount]], 6, FALSE),"Not Found")</f>
        <v>59</v>
      </c>
      <c r="U683" t="str">
        <f t="shared" si="41"/>
        <v>Credit Card</v>
      </c>
      <c r="V683" s="4" t="str">
        <f t="shared" si="42"/>
        <v>Normal</v>
      </c>
      <c r="W683" s="4" t="str">
        <f t="shared" si="43"/>
        <v>Good</v>
      </c>
      <c r="X683" s="4">
        <f>AVERAGE(Table1[Purchase Amount])</f>
        <v>129.48419400000012</v>
      </c>
    </row>
    <row r="684" spans="1:24" ht="15" customHeight="1" x14ac:dyDescent="0.25">
      <c r="A684">
        <v>683</v>
      </c>
      <c r="B684">
        <v>23</v>
      </c>
      <c r="C684" t="s">
        <v>27</v>
      </c>
      <c r="D684" t="s">
        <v>96</v>
      </c>
      <c r="E684" t="s">
        <v>77</v>
      </c>
      <c r="F684" s="2">
        <v>29</v>
      </c>
      <c r="G684" t="s">
        <v>146</v>
      </c>
      <c r="H684" t="s">
        <v>31</v>
      </c>
      <c r="I684" t="s">
        <v>60</v>
      </c>
      <c r="J684" t="s">
        <v>57</v>
      </c>
      <c r="K684">
        <v>4</v>
      </c>
      <c r="L684" t="s">
        <v>34</v>
      </c>
      <c r="M684" t="s">
        <v>24</v>
      </c>
      <c r="N684" t="s">
        <v>34</v>
      </c>
      <c r="O684">
        <v>49</v>
      </c>
      <c r="P684" t="s">
        <v>53</v>
      </c>
      <c r="Q684" t="s">
        <v>68</v>
      </c>
      <c r="R684" s="1">
        <v>0.1</v>
      </c>
      <c r="S684">
        <f t="shared" si="40"/>
        <v>26.1</v>
      </c>
      <c r="T684">
        <f>IFERROR(VLOOKUP(A684,Table1[[Customer ID]:[Discount Amount]], 6, FALSE),"Not Found")</f>
        <v>29</v>
      </c>
      <c r="U684" t="str">
        <f t="shared" si="41"/>
        <v>Credit Card</v>
      </c>
      <c r="V684" s="4" t="str">
        <f t="shared" si="42"/>
        <v>Normal</v>
      </c>
      <c r="W684" s="4" t="str">
        <f t="shared" si="43"/>
        <v>Good</v>
      </c>
      <c r="X684" s="4">
        <f>AVERAGE(Table1[Purchase Amount])</f>
        <v>129.48419400000012</v>
      </c>
    </row>
    <row r="685" spans="1:24" ht="15" customHeight="1" x14ac:dyDescent="0.25">
      <c r="A685">
        <v>684</v>
      </c>
      <c r="B685">
        <v>33</v>
      </c>
      <c r="C685" t="s">
        <v>27</v>
      </c>
      <c r="D685" t="s">
        <v>121</v>
      </c>
      <c r="E685" t="s">
        <v>98</v>
      </c>
      <c r="F685" s="2">
        <v>36</v>
      </c>
      <c r="G685" t="s">
        <v>113</v>
      </c>
      <c r="H685" t="s">
        <v>55</v>
      </c>
      <c r="I685" t="s">
        <v>111</v>
      </c>
      <c r="J685" t="s">
        <v>22</v>
      </c>
      <c r="K685">
        <v>2.7</v>
      </c>
      <c r="L685" t="s">
        <v>34</v>
      </c>
      <c r="M685" t="s">
        <v>35</v>
      </c>
      <c r="N685" t="s">
        <v>34</v>
      </c>
      <c r="O685">
        <v>3</v>
      </c>
      <c r="P685" t="s">
        <v>88</v>
      </c>
      <c r="Q685" t="s">
        <v>42</v>
      </c>
      <c r="R685" s="1">
        <v>0.1</v>
      </c>
      <c r="S685">
        <f t="shared" si="40"/>
        <v>32.4</v>
      </c>
      <c r="T685">
        <f>IFERROR(VLOOKUP(A685,Table1[[Customer ID]:[Discount Amount]], 6, FALSE),"Not Found")</f>
        <v>36</v>
      </c>
      <c r="U685" t="str">
        <f t="shared" si="41"/>
        <v>Bank Transfer</v>
      </c>
      <c r="V685" s="4" t="str">
        <f t="shared" si="42"/>
        <v>Normal</v>
      </c>
      <c r="W685" s="4" t="str">
        <f t="shared" si="43"/>
        <v>Poor</v>
      </c>
      <c r="X685" s="4">
        <f>AVERAGE(Table1[Purchase Amount])</f>
        <v>129.48419400000012</v>
      </c>
    </row>
    <row r="686" spans="1:24" ht="15" customHeight="1" x14ac:dyDescent="0.25">
      <c r="A686">
        <v>685</v>
      </c>
      <c r="B686">
        <v>63</v>
      </c>
      <c r="C686" t="s">
        <v>27</v>
      </c>
      <c r="D686" t="s">
        <v>64</v>
      </c>
      <c r="E686" t="s">
        <v>29</v>
      </c>
      <c r="F686" s="2">
        <v>82</v>
      </c>
      <c r="G686" t="s">
        <v>51</v>
      </c>
      <c r="H686" t="s">
        <v>31</v>
      </c>
      <c r="I686" t="s">
        <v>52</v>
      </c>
      <c r="J686" t="s">
        <v>57</v>
      </c>
      <c r="K686">
        <v>4.7</v>
      </c>
      <c r="L686" t="s">
        <v>34</v>
      </c>
      <c r="M686" t="s">
        <v>61</v>
      </c>
      <c r="N686" t="s">
        <v>34</v>
      </c>
      <c r="O686">
        <v>42</v>
      </c>
      <c r="P686" t="s">
        <v>36</v>
      </c>
      <c r="Q686" t="s">
        <v>42</v>
      </c>
      <c r="R686" s="1">
        <v>0.1</v>
      </c>
      <c r="S686">
        <f t="shared" si="40"/>
        <v>73.8</v>
      </c>
      <c r="T686">
        <f>IFERROR(VLOOKUP(A686,Table1[[Customer ID]:[Discount Amount]], 6, FALSE),"Not Found")</f>
        <v>82</v>
      </c>
      <c r="U686" t="str">
        <f t="shared" si="41"/>
        <v>Debit Card</v>
      </c>
      <c r="V686" s="4" t="str">
        <f t="shared" si="42"/>
        <v>Normal</v>
      </c>
      <c r="W686" s="4" t="str">
        <f t="shared" si="43"/>
        <v>Good</v>
      </c>
      <c r="X686" s="4">
        <f>AVERAGE(Table1[Purchase Amount])</f>
        <v>129.48419400000012</v>
      </c>
    </row>
    <row r="687" spans="1:24" ht="15" customHeight="1" x14ac:dyDescent="0.25">
      <c r="A687">
        <v>686</v>
      </c>
      <c r="B687">
        <v>70</v>
      </c>
      <c r="C687" t="s">
        <v>27</v>
      </c>
      <c r="D687" t="s">
        <v>118</v>
      </c>
      <c r="E687" t="s">
        <v>18</v>
      </c>
      <c r="F687" s="2">
        <v>71</v>
      </c>
      <c r="G687" t="s">
        <v>97</v>
      </c>
      <c r="H687" t="s">
        <v>20</v>
      </c>
      <c r="I687" t="s">
        <v>87</v>
      </c>
      <c r="J687" t="s">
        <v>22</v>
      </c>
      <c r="K687">
        <v>3.5</v>
      </c>
      <c r="L687" t="s">
        <v>34</v>
      </c>
      <c r="M687" t="s">
        <v>24</v>
      </c>
      <c r="N687" t="s">
        <v>34</v>
      </c>
      <c r="O687">
        <v>32</v>
      </c>
      <c r="P687" t="s">
        <v>25</v>
      </c>
      <c r="Q687" t="s">
        <v>89</v>
      </c>
      <c r="R687" s="1">
        <v>0.1</v>
      </c>
      <c r="S687">
        <f t="shared" si="40"/>
        <v>63.9</v>
      </c>
      <c r="T687">
        <f>IFERROR(VLOOKUP(A687,Table1[[Customer ID]:[Discount Amount]], 6, FALSE),"Not Found")</f>
        <v>71</v>
      </c>
      <c r="U687" t="str">
        <f t="shared" si="41"/>
        <v>Cash</v>
      </c>
      <c r="V687" s="4" t="str">
        <f t="shared" si="42"/>
        <v>Normal</v>
      </c>
      <c r="W687" s="4" t="str">
        <f t="shared" si="43"/>
        <v>Good</v>
      </c>
      <c r="X687" s="4">
        <f>AVERAGE(Table1[Purchase Amount])</f>
        <v>129.48419400000012</v>
      </c>
    </row>
    <row r="688" spans="1:24" ht="15" customHeight="1" x14ac:dyDescent="0.25">
      <c r="A688">
        <v>687</v>
      </c>
      <c r="B688">
        <v>70</v>
      </c>
      <c r="C688" t="s">
        <v>27</v>
      </c>
      <c r="D688" t="s">
        <v>127</v>
      </c>
      <c r="E688" t="s">
        <v>18</v>
      </c>
      <c r="F688" s="2">
        <v>35</v>
      </c>
      <c r="G688" t="s">
        <v>102</v>
      </c>
      <c r="H688" t="s">
        <v>45</v>
      </c>
      <c r="I688" t="s">
        <v>56</v>
      </c>
      <c r="J688" t="s">
        <v>47</v>
      </c>
      <c r="K688">
        <v>3</v>
      </c>
      <c r="L688" t="s">
        <v>34</v>
      </c>
      <c r="M688" t="s">
        <v>41</v>
      </c>
      <c r="N688" t="s">
        <v>34</v>
      </c>
      <c r="O688">
        <v>33</v>
      </c>
      <c r="P688" t="s">
        <v>62</v>
      </c>
      <c r="Q688" t="s">
        <v>89</v>
      </c>
      <c r="R688" s="1">
        <v>0.1</v>
      </c>
      <c r="S688">
        <f t="shared" si="40"/>
        <v>31.5</v>
      </c>
      <c r="T688">
        <f>IFERROR(VLOOKUP(A688,Table1[[Customer ID]:[Discount Amount]], 6, FALSE),"Not Found")</f>
        <v>35</v>
      </c>
      <c r="U688" t="str">
        <f t="shared" si="41"/>
        <v>Venmo</v>
      </c>
      <c r="V688" s="4" t="str">
        <f t="shared" si="42"/>
        <v>Normal</v>
      </c>
      <c r="W688" s="4" t="str">
        <f t="shared" si="43"/>
        <v>Good</v>
      </c>
      <c r="X688" s="4">
        <f>AVERAGE(Table1[Purchase Amount])</f>
        <v>129.48419400000012</v>
      </c>
    </row>
    <row r="689" spans="1:24" ht="15" customHeight="1" x14ac:dyDescent="0.25">
      <c r="A689">
        <v>688</v>
      </c>
      <c r="B689">
        <v>19</v>
      </c>
      <c r="C689" t="s">
        <v>27</v>
      </c>
      <c r="D689" t="s">
        <v>43</v>
      </c>
      <c r="E689" t="s">
        <v>29</v>
      </c>
      <c r="F689" s="2">
        <v>38</v>
      </c>
      <c r="G689" t="s">
        <v>154</v>
      </c>
      <c r="H689" t="s">
        <v>20</v>
      </c>
      <c r="I689" t="s">
        <v>156</v>
      </c>
      <c r="J689" t="s">
        <v>22</v>
      </c>
      <c r="K689">
        <v>3.3</v>
      </c>
      <c r="L689" t="s">
        <v>34</v>
      </c>
      <c r="M689" t="s">
        <v>35</v>
      </c>
      <c r="N689" t="s">
        <v>34</v>
      </c>
      <c r="O689">
        <v>46</v>
      </c>
      <c r="P689" t="s">
        <v>88</v>
      </c>
      <c r="Q689" t="s">
        <v>37</v>
      </c>
      <c r="R689" s="1">
        <v>0.1</v>
      </c>
      <c r="S689">
        <f t="shared" si="40"/>
        <v>34.200000000000003</v>
      </c>
      <c r="T689">
        <f>IFERROR(VLOOKUP(A689,Table1[[Customer ID]:[Discount Amount]], 6, FALSE),"Not Found")</f>
        <v>38</v>
      </c>
      <c r="U689" t="str">
        <f t="shared" si="41"/>
        <v>Bank Transfer</v>
      </c>
      <c r="V689" s="4" t="str">
        <f t="shared" si="42"/>
        <v>Normal</v>
      </c>
      <c r="W689" s="4" t="str">
        <f t="shared" si="43"/>
        <v>Good</v>
      </c>
      <c r="X689" s="4">
        <f>AVERAGE(Table1[Purchase Amount])</f>
        <v>129.48419400000012</v>
      </c>
    </row>
    <row r="690" spans="1:24" ht="15" customHeight="1" x14ac:dyDescent="0.25">
      <c r="A690">
        <v>689</v>
      </c>
      <c r="B690">
        <v>25</v>
      </c>
      <c r="C690" t="s">
        <v>27</v>
      </c>
      <c r="D690" t="s">
        <v>129</v>
      </c>
      <c r="E690" t="s">
        <v>29</v>
      </c>
      <c r="F690" s="2">
        <v>59</v>
      </c>
      <c r="G690" t="s">
        <v>113</v>
      </c>
      <c r="H690" t="s">
        <v>55</v>
      </c>
      <c r="I690" t="s">
        <v>145</v>
      </c>
      <c r="J690" t="s">
        <v>57</v>
      </c>
      <c r="K690">
        <v>4.7</v>
      </c>
      <c r="L690" t="s">
        <v>34</v>
      </c>
      <c r="M690" t="s">
        <v>48</v>
      </c>
      <c r="N690" t="s">
        <v>34</v>
      </c>
      <c r="O690">
        <v>44</v>
      </c>
      <c r="P690" t="s">
        <v>62</v>
      </c>
      <c r="Q690" t="s">
        <v>42</v>
      </c>
      <c r="R690" s="1">
        <v>0.1</v>
      </c>
      <c r="S690">
        <f t="shared" si="40"/>
        <v>53.1</v>
      </c>
      <c r="T690">
        <f>IFERROR(VLOOKUP(A690,Table1[[Customer ID]:[Discount Amount]], 6, FALSE),"Not Found")</f>
        <v>59</v>
      </c>
      <c r="U690" t="str">
        <f t="shared" si="41"/>
        <v>Venmo</v>
      </c>
      <c r="V690" s="4" t="str">
        <f t="shared" si="42"/>
        <v>Normal</v>
      </c>
      <c r="W690" s="4" t="str">
        <f t="shared" si="43"/>
        <v>Good</v>
      </c>
      <c r="X690" s="4">
        <f>AVERAGE(Table1[Purchase Amount])</f>
        <v>129.48419400000012</v>
      </c>
    </row>
    <row r="691" spans="1:24" ht="15" customHeight="1" x14ac:dyDescent="0.25">
      <c r="A691">
        <v>690</v>
      </c>
      <c r="B691">
        <v>19</v>
      </c>
      <c r="C691" t="s">
        <v>27</v>
      </c>
      <c r="D691" t="s">
        <v>83</v>
      </c>
      <c r="E691" t="s">
        <v>18</v>
      </c>
      <c r="F691" s="2">
        <v>91</v>
      </c>
      <c r="G691" t="s">
        <v>78</v>
      </c>
      <c r="H691" t="s">
        <v>31</v>
      </c>
      <c r="I691" t="s">
        <v>108</v>
      </c>
      <c r="J691" t="s">
        <v>57</v>
      </c>
      <c r="K691">
        <v>4.7</v>
      </c>
      <c r="L691" t="s">
        <v>34</v>
      </c>
      <c r="M691" t="s">
        <v>61</v>
      </c>
      <c r="N691" t="s">
        <v>34</v>
      </c>
      <c r="O691">
        <v>35</v>
      </c>
      <c r="P691" t="s">
        <v>53</v>
      </c>
      <c r="Q691" t="s">
        <v>63</v>
      </c>
      <c r="R691" s="1">
        <v>0.1</v>
      </c>
      <c r="S691">
        <f t="shared" si="40"/>
        <v>81.900000000000006</v>
      </c>
      <c r="T691">
        <f>IFERROR(VLOOKUP(A691,Table1[[Customer ID]:[Discount Amount]], 6, FALSE),"Not Found")</f>
        <v>91</v>
      </c>
      <c r="U691" t="str">
        <f t="shared" si="41"/>
        <v>Credit Card</v>
      </c>
      <c r="V691" s="4" t="str">
        <f t="shared" si="42"/>
        <v>Normal</v>
      </c>
      <c r="W691" s="4" t="str">
        <f t="shared" si="43"/>
        <v>Good</v>
      </c>
      <c r="X691" s="4">
        <f>AVERAGE(Table1[Purchase Amount])</f>
        <v>129.48419400000012</v>
      </c>
    </row>
    <row r="692" spans="1:24" ht="15" customHeight="1" x14ac:dyDescent="0.25">
      <c r="A692">
        <v>691</v>
      </c>
      <c r="B692">
        <v>25</v>
      </c>
      <c r="C692" t="s">
        <v>27</v>
      </c>
      <c r="D692" t="s">
        <v>54</v>
      </c>
      <c r="E692" t="s">
        <v>18</v>
      </c>
      <c r="F692" s="2">
        <v>68</v>
      </c>
      <c r="G692" t="s">
        <v>148</v>
      </c>
      <c r="H692" t="s">
        <v>20</v>
      </c>
      <c r="I692" t="s">
        <v>46</v>
      </c>
      <c r="J692" t="s">
        <v>33</v>
      </c>
      <c r="K692">
        <v>4.8</v>
      </c>
      <c r="L692" t="s">
        <v>34</v>
      </c>
      <c r="M692" t="s">
        <v>24</v>
      </c>
      <c r="N692" t="s">
        <v>34</v>
      </c>
      <c r="O692">
        <v>45</v>
      </c>
      <c r="P692" t="s">
        <v>88</v>
      </c>
      <c r="Q692" t="s">
        <v>26</v>
      </c>
      <c r="R692" s="1">
        <v>0.1</v>
      </c>
      <c r="S692">
        <f t="shared" si="40"/>
        <v>61.2</v>
      </c>
      <c r="T692">
        <f>IFERROR(VLOOKUP(A692,Table1[[Customer ID]:[Discount Amount]], 6, FALSE),"Not Found")</f>
        <v>68</v>
      </c>
      <c r="U692" t="str">
        <f t="shared" si="41"/>
        <v>Bank Transfer</v>
      </c>
      <c r="V692" s="4" t="str">
        <f t="shared" si="42"/>
        <v>Normal</v>
      </c>
      <c r="W692" s="4" t="str">
        <f t="shared" si="43"/>
        <v>Good</v>
      </c>
      <c r="X692" s="4">
        <f>AVERAGE(Table1[Purchase Amount])</f>
        <v>129.48419400000012</v>
      </c>
    </row>
    <row r="693" spans="1:24" ht="15" customHeight="1" x14ac:dyDescent="0.25">
      <c r="A693">
        <v>692</v>
      </c>
      <c r="B693">
        <v>60</v>
      </c>
      <c r="C693" t="s">
        <v>27</v>
      </c>
      <c r="D693" t="s">
        <v>104</v>
      </c>
      <c r="E693" t="s">
        <v>29</v>
      </c>
      <c r="F693" s="2">
        <v>21</v>
      </c>
      <c r="G693" t="s">
        <v>97</v>
      </c>
      <c r="H693" t="s">
        <v>45</v>
      </c>
      <c r="I693" t="s">
        <v>153</v>
      </c>
      <c r="J693" t="s">
        <v>57</v>
      </c>
      <c r="K693">
        <v>2.9</v>
      </c>
      <c r="L693" t="s">
        <v>34</v>
      </c>
      <c r="M693" t="s">
        <v>24</v>
      </c>
      <c r="N693" t="s">
        <v>34</v>
      </c>
      <c r="O693">
        <v>37</v>
      </c>
      <c r="P693" t="s">
        <v>58</v>
      </c>
      <c r="Q693" t="s">
        <v>68</v>
      </c>
      <c r="R693" s="1">
        <v>0.1</v>
      </c>
      <c r="S693">
        <f t="shared" si="40"/>
        <v>18.899999999999999</v>
      </c>
      <c r="T693">
        <f>IFERROR(VLOOKUP(A693,Table1[[Customer ID]:[Discount Amount]], 6, FALSE),"Not Found")</f>
        <v>21</v>
      </c>
      <c r="U693" t="str">
        <f t="shared" si="41"/>
        <v>PayPal</v>
      </c>
      <c r="V693" s="4" t="str">
        <f t="shared" si="42"/>
        <v>Normal</v>
      </c>
      <c r="W693" s="4" t="str">
        <f t="shared" si="43"/>
        <v>Poor</v>
      </c>
      <c r="X693" s="4">
        <f>AVERAGE(Table1[Purchase Amount])</f>
        <v>129.48419400000012</v>
      </c>
    </row>
    <row r="694" spans="1:24" ht="15" customHeight="1" x14ac:dyDescent="0.25">
      <c r="A694">
        <v>693</v>
      </c>
      <c r="B694">
        <v>35</v>
      </c>
      <c r="C694" t="s">
        <v>27</v>
      </c>
      <c r="D694" t="s">
        <v>28</v>
      </c>
      <c r="E694" t="s">
        <v>29</v>
      </c>
      <c r="F694" s="2">
        <v>95</v>
      </c>
      <c r="G694" t="s">
        <v>86</v>
      </c>
      <c r="H694" t="s">
        <v>31</v>
      </c>
      <c r="I694" t="s">
        <v>128</v>
      </c>
      <c r="J694" t="s">
        <v>33</v>
      </c>
      <c r="K694">
        <v>4</v>
      </c>
      <c r="L694" t="s">
        <v>34</v>
      </c>
      <c r="M694" t="s">
        <v>41</v>
      </c>
      <c r="N694" t="s">
        <v>34</v>
      </c>
      <c r="O694">
        <v>40</v>
      </c>
      <c r="P694" t="s">
        <v>36</v>
      </c>
      <c r="Q694" t="s">
        <v>63</v>
      </c>
      <c r="R694" s="1">
        <v>0.1</v>
      </c>
      <c r="S694">
        <f t="shared" si="40"/>
        <v>85.5</v>
      </c>
      <c r="T694">
        <f>IFERROR(VLOOKUP(A694,Table1[[Customer ID]:[Discount Amount]], 6, FALSE),"Not Found")</f>
        <v>95</v>
      </c>
      <c r="U694" t="str">
        <f t="shared" si="41"/>
        <v>Debit Card</v>
      </c>
      <c r="V694" s="4" t="str">
        <f t="shared" si="42"/>
        <v>Normal</v>
      </c>
      <c r="W694" s="4" t="str">
        <f t="shared" si="43"/>
        <v>Good</v>
      </c>
      <c r="X694" s="4">
        <f>AVERAGE(Table1[Purchase Amount])</f>
        <v>129.48419400000012</v>
      </c>
    </row>
    <row r="695" spans="1:24" ht="15" customHeight="1" x14ac:dyDescent="0.25">
      <c r="A695">
        <v>694</v>
      </c>
      <c r="B695">
        <v>46</v>
      </c>
      <c r="C695" t="s">
        <v>27</v>
      </c>
      <c r="D695" t="s">
        <v>54</v>
      </c>
      <c r="E695" t="s">
        <v>18</v>
      </c>
      <c r="F695" s="2">
        <v>52</v>
      </c>
      <c r="G695" t="s">
        <v>84</v>
      </c>
      <c r="H695" t="s">
        <v>45</v>
      </c>
      <c r="I695" t="s">
        <v>156</v>
      </c>
      <c r="J695" t="s">
        <v>33</v>
      </c>
      <c r="K695">
        <v>3.1</v>
      </c>
      <c r="L695" t="s">
        <v>34</v>
      </c>
      <c r="M695" t="s">
        <v>35</v>
      </c>
      <c r="N695" t="s">
        <v>34</v>
      </c>
      <c r="O695">
        <v>30</v>
      </c>
      <c r="P695" t="s">
        <v>25</v>
      </c>
      <c r="Q695" t="s">
        <v>63</v>
      </c>
      <c r="R695" s="1">
        <v>0.1</v>
      </c>
      <c r="S695">
        <f t="shared" si="40"/>
        <v>46.8</v>
      </c>
      <c r="T695">
        <f>IFERROR(VLOOKUP(A695,Table1[[Customer ID]:[Discount Amount]], 6, FALSE),"Not Found")</f>
        <v>52</v>
      </c>
      <c r="U695" t="str">
        <f t="shared" si="41"/>
        <v>Cash</v>
      </c>
      <c r="V695" s="4" t="str">
        <f t="shared" si="42"/>
        <v>Normal</v>
      </c>
      <c r="W695" s="4" t="str">
        <f t="shared" si="43"/>
        <v>Good</v>
      </c>
      <c r="X695" s="4">
        <f>AVERAGE(Table1[Purchase Amount])</f>
        <v>129.48419400000012</v>
      </c>
    </row>
    <row r="696" spans="1:24" ht="15" customHeight="1" x14ac:dyDescent="0.25">
      <c r="A696">
        <v>695</v>
      </c>
      <c r="B696">
        <v>41</v>
      </c>
      <c r="C696" t="s">
        <v>27</v>
      </c>
      <c r="D696" t="s">
        <v>157</v>
      </c>
      <c r="E696" t="s">
        <v>18</v>
      </c>
      <c r="F696" s="2">
        <v>21</v>
      </c>
      <c r="G696" t="s">
        <v>70</v>
      </c>
      <c r="H696" t="s">
        <v>55</v>
      </c>
      <c r="I696" t="s">
        <v>103</v>
      </c>
      <c r="J696" t="s">
        <v>47</v>
      </c>
      <c r="K696">
        <v>3.5</v>
      </c>
      <c r="L696" t="s">
        <v>34</v>
      </c>
      <c r="M696" t="s">
        <v>41</v>
      </c>
      <c r="N696" t="s">
        <v>34</v>
      </c>
      <c r="O696">
        <v>38</v>
      </c>
      <c r="P696" t="s">
        <v>62</v>
      </c>
      <c r="Q696" t="s">
        <v>63</v>
      </c>
      <c r="R696" s="1">
        <v>0.1</v>
      </c>
      <c r="S696">
        <f t="shared" si="40"/>
        <v>18.899999999999999</v>
      </c>
      <c r="T696">
        <f>IFERROR(VLOOKUP(A696,Table1[[Customer ID]:[Discount Amount]], 6, FALSE),"Not Found")</f>
        <v>21</v>
      </c>
      <c r="U696" t="str">
        <f t="shared" si="41"/>
        <v>Venmo</v>
      </c>
      <c r="V696" s="4" t="str">
        <f t="shared" si="42"/>
        <v>Normal</v>
      </c>
      <c r="W696" s="4" t="str">
        <f t="shared" si="43"/>
        <v>Good</v>
      </c>
      <c r="X696" s="4">
        <f>AVERAGE(Table1[Purchase Amount])</f>
        <v>129.48419400000012</v>
      </c>
    </row>
    <row r="697" spans="1:24" ht="15" customHeight="1" x14ac:dyDescent="0.25">
      <c r="A697">
        <v>696</v>
      </c>
      <c r="B697">
        <v>30</v>
      </c>
      <c r="C697" t="s">
        <v>27</v>
      </c>
      <c r="D697" t="s">
        <v>54</v>
      </c>
      <c r="E697" t="s">
        <v>18</v>
      </c>
      <c r="F697" s="2">
        <v>67</v>
      </c>
      <c r="G697" t="s">
        <v>158</v>
      </c>
      <c r="H697" t="s">
        <v>20</v>
      </c>
      <c r="I697" t="s">
        <v>145</v>
      </c>
      <c r="J697" t="s">
        <v>57</v>
      </c>
      <c r="K697">
        <v>3.7</v>
      </c>
      <c r="L697" t="s">
        <v>34</v>
      </c>
      <c r="M697" t="s">
        <v>79</v>
      </c>
      <c r="N697" t="s">
        <v>34</v>
      </c>
      <c r="O697">
        <v>15</v>
      </c>
      <c r="P697" t="s">
        <v>36</v>
      </c>
      <c r="Q697" t="s">
        <v>63</v>
      </c>
      <c r="R697" s="1">
        <v>0.1</v>
      </c>
      <c r="S697">
        <f t="shared" si="40"/>
        <v>60.3</v>
      </c>
      <c r="T697">
        <f>IFERROR(VLOOKUP(A697,Table1[[Customer ID]:[Discount Amount]], 6, FALSE),"Not Found")</f>
        <v>67</v>
      </c>
      <c r="U697" t="str">
        <f t="shared" si="41"/>
        <v>Debit Card</v>
      </c>
      <c r="V697" s="4" t="str">
        <f t="shared" si="42"/>
        <v>Normal</v>
      </c>
      <c r="W697" s="4" t="str">
        <f t="shared" si="43"/>
        <v>Good</v>
      </c>
      <c r="X697" s="4">
        <f>AVERAGE(Table1[Purchase Amount])</f>
        <v>129.48419400000012</v>
      </c>
    </row>
    <row r="698" spans="1:24" ht="15" customHeight="1" x14ac:dyDescent="0.25">
      <c r="A698">
        <v>697</v>
      </c>
      <c r="B698">
        <v>44</v>
      </c>
      <c r="C698" t="s">
        <v>27</v>
      </c>
      <c r="D698" t="s">
        <v>114</v>
      </c>
      <c r="E698" t="s">
        <v>29</v>
      </c>
      <c r="F698" s="2">
        <v>42</v>
      </c>
      <c r="G698" t="s">
        <v>144</v>
      </c>
      <c r="H698" t="s">
        <v>45</v>
      </c>
      <c r="I698" t="s">
        <v>93</v>
      </c>
      <c r="J698" t="s">
        <v>47</v>
      </c>
      <c r="K698">
        <v>2.8</v>
      </c>
      <c r="L698" t="s">
        <v>34</v>
      </c>
      <c r="M698" t="s">
        <v>24</v>
      </c>
      <c r="N698" t="s">
        <v>34</v>
      </c>
      <c r="O698">
        <v>49</v>
      </c>
      <c r="P698" t="s">
        <v>25</v>
      </c>
      <c r="Q698" t="s">
        <v>42</v>
      </c>
      <c r="R698" s="1">
        <v>0.1</v>
      </c>
      <c r="S698">
        <f t="shared" si="40"/>
        <v>37.799999999999997</v>
      </c>
      <c r="T698">
        <f>IFERROR(VLOOKUP(A698,Table1[[Customer ID]:[Discount Amount]], 6, FALSE),"Not Found")</f>
        <v>42</v>
      </c>
      <c r="U698" t="str">
        <f t="shared" si="41"/>
        <v>Cash</v>
      </c>
      <c r="V698" s="4" t="str">
        <f t="shared" si="42"/>
        <v>Normal</v>
      </c>
      <c r="W698" s="4" t="str">
        <f t="shared" si="43"/>
        <v>Poor</v>
      </c>
      <c r="X698" s="4">
        <f>AVERAGE(Table1[Purchase Amount])</f>
        <v>129.48419400000012</v>
      </c>
    </row>
    <row r="699" spans="1:24" ht="15" customHeight="1" x14ac:dyDescent="0.25">
      <c r="A699">
        <v>698</v>
      </c>
      <c r="B699">
        <v>61</v>
      </c>
      <c r="C699" t="s">
        <v>27</v>
      </c>
      <c r="D699" t="s">
        <v>129</v>
      </c>
      <c r="E699" t="s">
        <v>29</v>
      </c>
      <c r="F699" s="2">
        <v>63</v>
      </c>
      <c r="G699" t="s">
        <v>86</v>
      </c>
      <c r="H699" t="s">
        <v>20</v>
      </c>
      <c r="I699" t="s">
        <v>60</v>
      </c>
      <c r="J699" t="s">
        <v>57</v>
      </c>
      <c r="K699">
        <v>4.5999999999999996</v>
      </c>
      <c r="L699" t="s">
        <v>34</v>
      </c>
      <c r="M699" t="s">
        <v>35</v>
      </c>
      <c r="N699" t="s">
        <v>34</v>
      </c>
      <c r="O699">
        <v>40</v>
      </c>
      <c r="P699" t="s">
        <v>36</v>
      </c>
      <c r="Q699" t="s">
        <v>37</v>
      </c>
      <c r="R699" s="1">
        <v>0.1</v>
      </c>
      <c r="S699">
        <f t="shared" si="40"/>
        <v>56.7</v>
      </c>
      <c r="T699">
        <f>IFERROR(VLOOKUP(A699,Table1[[Customer ID]:[Discount Amount]], 6, FALSE),"Not Found")</f>
        <v>63</v>
      </c>
      <c r="U699" t="str">
        <f t="shared" si="41"/>
        <v>Debit Card</v>
      </c>
      <c r="V699" s="4" t="str">
        <f t="shared" si="42"/>
        <v>Normal</v>
      </c>
      <c r="W699" s="4" t="str">
        <f t="shared" si="43"/>
        <v>Good</v>
      </c>
      <c r="X699" s="4">
        <f>AVERAGE(Table1[Purchase Amount])</f>
        <v>129.48419400000012</v>
      </c>
    </row>
    <row r="700" spans="1:24" ht="15" customHeight="1" x14ac:dyDescent="0.25">
      <c r="A700">
        <v>699</v>
      </c>
      <c r="B700">
        <v>55</v>
      </c>
      <c r="C700" t="s">
        <v>27</v>
      </c>
      <c r="D700" t="s">
        <v>151</v>
      </c>
      <c r="E700" t="s">
        <v>98</v>
      </c>
      <c r="F700" s="2">
        <v>41</v>
      </c>
      <c r="G700" t="s">
        <v>141</v>
      </c>
      <c r="H700" t="s">
        <v>31</v>
      </c>
      <c r="I700" t="s">
        <v>52</v>
      </c>
      <c r="J700" t="s">
        <v>22</v>
      </c>
      <c r="K700">
        <v>3.8</v>
      </c>
      <c r="L700" t="s">
        <v>34</v>
      </c>
      <c r="M700" t="s">
        <v>24</v>
      </c>
      <c r="N700" t="s">
        <v>34</v>
      </c>
      <c r="O700">
        <v>40</v>
      </c>
      <c r="P700" t="s">
        <v>36</v>
      </c>
      <c r="Q700" t="s">
        <v>26</v>
      </c>
      <c r="R700" s="1">
        <v>0.1</v>
      </c>
      <c r="S700">
        <f t="shared" si="40"/>
        <v>36.9</v>
      </c>
      <c r="T700">
        <f>IFERROR(VLOOKUP(A700,Table1[[Customer ID]:[Discount Amount]], 6, FALSE),"Not Found")</f>
        <v>41</v>
      </c>
      <c r="U700" t="str">
        <f t="shared" si="41"/>
        <v>Debit Card</v>
      </c>
      <c r="V700" s="4" t="str">
        <f t="shared" si="42"/>
        <v>Normal</v>
      </c>
      <c r="W700" s="4" t="str">
        <f t="shared" si="43"/>
        <v>Good</v>
      </c>
      <c r="X700" s="4">
        <f>AVERAGE(Table1[Purchase Amount])</f>
        <v>129.48419400000012</v>
      </c>
    </row>
    <row r="701" spans="1:24" ht="15" customHeight="1" x14ac:dyDescent="0.25">
      <c r="A701">
        <v>700</v>
      </c>
      <c r="B701">
        <v>50</v>
      </c>
      <c r="C701" t="s">
        <v>27</v>
      </c>
      <c r="D701" t="s">
        <v>69</v>
      </c>
      <c r="E701" t="s">
        <v>29</v>
      </c>
      <c r="F701" s="2">
        <v>46</v>
      </c>
      <c r="G701" t="s">
        <v>115</v>
      </c>
      <c r="H701" t="s">
        <v>31</v>
      </c>
      <c r="I701" t="s">
        <v>103</v>
      </c>
      <c r="J701" t="s">
        <v>47</v>
      </c>
      <c r="K701">
        <v>2.6</v>
      </c>
      <c r="L701" t="s">
        <v>34</v>
      </c>
      <c r="M701" t="s">
        <v>41</v>
      </c>
      <c r="N701" t="s">
        <v>34</v>
      </c>
      <c r="O701">
        <v>5</v>
      </c>
      <c r="P701" t="s">
        <v>58</v>
      </c>
      <c r="Q701" t="s">
        <v>26</v>
      </c>
      <c r="R701" s="1">
        <v>0.1</v>
      </c>
      <c r="S701">
        <f t="shared" si="40"/>
        <v>41.4</v>
      </c>
      <c r="T701">
        <f>IFERROR(VLOOKUP(A701,Table1[[Customer ID]:[Discount Amount]], 6, FALSE),"Not Found")</f>
        <v>46</v>
      </c>
      <c r="U701" t="str">
        <f t="shared" si="41"/>
        <v>PayPal</v>
      </c>
      <c r="V701" s="4" t="str">
        <f t="shared" si="42"/>
        <v>Normal</v>
      </c>
      <c r="W701" s="4" t="str">
        <f t="shared" si="43"/>
        <v>Poor</v>
      </c>
      <c r="X701" s="4">
        <f>AVERAGE(Table1[Purchase Amount])</f>
        <v>129.48419400000012</v>
      </c>
    </row>
    <row r="702" spans="1:24" ht="15" customHeight="1" x14ac:dyDescent="0.25">
      <c r="A702">
        <v>701</v>
      </c>
      <c r="B702">
        <v>57</v>
      </c>
      <c r="C702" t="s">
        <v>27</v>
      </c>
      <c r="D702" t="s">
        <v>99</v>
      </c>
      <c r="E702" t="s">
        <v>18</v>
      </c>
      <c r="F702" s="2">
        <v>79</v>
      </c>
      <c r="G702" t="s">
        <v>59</v>
      </c>
      <c r="H702" t="s">
        <v>45</v>
      </c>
      <c r="I702" t="s">
        <v>21</v>
      </c>
      <c r="J702" t="s">
        <v>22</v>
      </c>
      <c r="K702">
        <v>4.0999999999999996</v>
      </c>
      <c r="L702" t="s">
        <v>34</v>
      </c>
      <c r="M702" t="s">
        <v>24</v>
      </c>
      <c r="N702" t="s">
        <v>34</v>
      </c>
      <c r="O702">
        <v>5</v>
      </c>
      <c r="P702" t="s">
        <v>58</v>
      </c>
      <c r="Q702" t="s">
        <v>42</v>
      </c>
      <c r="R702" s="1">
        <v>0.1</v>
      </c>
      <c r="S702">
        <f t="shared" si="40"/>
        <v>71.099999999999994</v>
      </c>
      <c r="T702">
        <f>IFERROR(VLOOKUP(A702,Table1[[Customer ID]:[Discount Amount]], 6, FALSE),"Not Found")</f>
        <v>79</v>
      </c>
      <c r="U702" t="str">
        <f t="shared" si="41"/>
        <v>PayPal</v>
      </c>
      <c r="V702" s="4" t="str">
        <f t="shared" si="42"/>
        <v>Normal</v>
      </c>
      <c r="W702" s="4" t="str">
        <f t="shared" si="43"/>
        <v>Good</v>
      </c>
      <c r="X702" s="4">
        <f>AVERAGE(Table1[Purchase Amount])</f>
        <v>129.48419400000012</v>
      </c>
    </row>
    <row r="703" spans="1:24" ht="15" customHeight="1" x14ac:dyDescent="0.25">
      <c r="A703">
        <v>702</v>
      </c>
      <c r="B703">
        <v>51</v>
      </c>
      <c r="C703" t="s">
        <v>27</v>
      </c>
      <c r="D703" t="s">
        <v>151</v>
      </c>
      <c r="E703" t="s">
        <v>98</v>
      </c>
      <c r="F703" s="2">
        <v>90</v>
      </c>
      <c r="G703" t="s">
        <v>161</v>
      </c>
      <c r="H703" t="s">
        <v>45</v>
      </c>
      <c r="I703" t="s">
        <v>46</v>
      </c>
      <c r="J703" t="s">
        <v>47</v>
      </c>
      <c r="K703">
        <v>3.3</v>
      </c>
      <c r="L703" t="s">
        <v>34</v>
      </c>
      <c r="M703" t="s">
        <v>79</v>
      </c>
      <c r="N703" t="s">
        <v>34</v>
      </c>
      <c r="O703">
        <v>5</v>
      </c>
      <c r="P703" t="s">
        <v>36</v>
      </c>
      <c r="Q703" t="s">
        <v>63</v>
      </c>
      <c r="R703" s="1">
        <v>0.1</v>
      </c>
      <c r="S703">
        <f t="shared" si="40"/>
        <v>81</v>
      </c>
      <c r="T703">
        <f>IFERROR(VLOOKUP(A703,Table1[[Customer ID]:[Discount Amount]], 6, FALSE),"Not Found")</f>
        <v>90</v>
      </c>
      <c r="U703" t="str">
        <f t="shared" si="41"/>
        <v>Debit Card</v>
      </c>
      <c r="V703" s="4" t="str">
        <f t="shared" si="42"/>
        <v>Normal</v>
      </c>
      <c r="W703" s="4" t="str">
        <f t="shared" si="43"/>
        <v>Good</v>
      </c>
      <c r="X703" s="4">
        <f>AVERAGE(Table1[Purchase Amount])</f>
        <v>129.48419400000012</v>
      </c>
    </row>
    <row r="704" spans="1:24" ht="15" customHeight="1" x14ac:dyDescent="0.25">
      <c r="A704">
        <v>703</v>
      </c>
      <c r="B704">
        <v>18</v>
      </c>
      <c r="C704" t="s">
        <v>27</v>
      </c>
      <c r="D704" t="s">
        <v>38</v>
      </c>
      <c r="E704" t="s">
        <v>18</v>
      </c>
      <c r="F704" s="2">
        <v>71</v>
      </c>
      <c r="G704" t="s">
        <v>39</v>
      </c>
      <c r="H704" t="s">
        <v>31</v>
      </c>
      <c r="I704" t="s">
        <v>32</v>
      </c>
      <c r="J704" t="s">
        <v>22</v>
      </c>
      <c r="K704">
        <v>3.4</v>
      </c>
      <c r="L704" t="s">
        <v>34</v>
      </c>
      <c r="M704" t="s">
        <v>48</v>
      </c>
      <c r="N704" t="s">
        <v>34</v>
      </c>
      <c r="O704">
        <v>1</v>
      </c>
      <c r="P704" t="s">
        <v>25</v>
      </c>
      <c r="Q704" t="s">
        <v>26</v>
      </c>
      <c r="R704" s="1">
        <v>0.1</v>
      </c>
      <c r="S704">
        <f t="shared" si="40"/>
        <v>63.9</v>
      </c>
      <c r="T704">
        <f>IFERROR(VLOOKUP(A704,Table1[[Customer ID]:[Discount Amount]], 6, FALSE),"Not Found")</f>
        <v>71</v>
      </c>
      <c r="U704" t="str">
        <f t="shared" si="41"/>
        <v>Cash</v>
      </c>
      <c r="V704" s="4" t="str">
        <f t="shared" si="42"/>
        <v>Normal</v>
      </c>
      <c r="W704" s="4" t="str">
        <f t="shared" si="43"/>
        <v>Good</v>
      </c>
      <c r="X704" s="4">
        <f>AVERAGE(Table1[Purchase Amount])</f>
        <v>129.48419400000012</v>
      </c>
    </row>
    <row r="705" spans="1:24" ht="15" customHeight="1" x14ac:dyDescent="0.25">
      <c r="A705">
        <v>704</v>
      </c>
      <c r="B705">
        <v>63</v>
      </c>
      <c r="C705" t="s">
        <v>27</v>
      </c>
      <c r="D705" t="s">
        <v>157</v>
      </c>
      <c r="E705" t="s">
        <v>18</v>
      </c>
      <c r="F705" s="2">
        <v>87</v>
      </c>
      <c r="G705" t="s">
        <v>115</v>
      </c>
      <c r="H705" t="s">
        <v>45</v>
      </c>
      <c r="I705" t="s">
        <v>136</v>
      </c>
      <c r="J705" t="s">
        <v>57</v>
      </c>
      <c r="K705">
        <v>3</v>
      </c>
      <c r="L705" t="s">
        <v>34</v>
      </c>
      <c r="M705" t="s">
        <v>24</v>
      </c>
      <c r="N705" t="s">
        <v>34</v>
      </c>
      <c r="O705">
        <v>21</v>
      </c>
      <c r="P705" t="s">
        <v>62</v>
      </c>
      <c r="Q705" t="s">
        <v>26</v>
      </c>
      <c r="R705" s="1">
        <v>0.1</v>
      </c>
      <c r="S705">
        <f t="shared" si="40"/>
        <v>78.3</v>
      </c>
      <c r="T705">
        <f>IFERROR(VLOOKUP(A705,Table1[[Customer ID]:[Discount Amount]], 6, FALSE),"Not Found")</f>
        <v>87</v>
      </c>
      <c r="U705" t="str">
        <f t="shared" si="41"/>
        <v>Venmo</v>
      </c>
      <c r="V705" s="4" t="str">
        <f t="shared" si="42"/>
        <v>Normal</v>
      </c>
      <c r="W705" s="4" t="str">
        <f t="shared" si="43"/>
        <v>Good</v>
      </c>
      <c r="X705" s="4">
        <f>AVERAGE(Table1[Purchase Amount])</f>
        <v>129.48419400000012</v>
      </c>
    </row>
    <row r="706" spans="1:24" ht="15" customHeight="1" x14ac:dyDescent="0.25">
      <c r="A706">
        <v>705</v>
      </c>
      <c r="B706">
        <v>34</v>
      </c>
      <c r="C706" t="s">
        <v>27</v>
      </c>
      <c r="D706" t="s">
        <v>83</v>
      </c>
      <c r="E706" t="s">
        <v>18</v>
      </c>
      <c r="F706" s="2">
        <v>66</v>
      </c>
      <c r="G706" t="s">
        <v>161</v>
      </c>
      <c r="H706" t="s">
        <v>55</v>
      </c>
      <c r="I706" t="s">
        <v>40</v>
      </c>
      <c r="J706" t="s">
        <v>33</v>
      </c>
      <c r="K706">
        <v>3.2</v>
      </c>
      <c r="L706" t="s">
        <v>34</v>
      </c>
      <c r="M706" t="s">
        <v>61</v>
      </c>
      <c r="N706" t="s">
        <v>34</v>
      </c>
      <c r="O706">
        <v>18</v>
      </c>
      <c r="P706" t="s">
        <v>58</v>
      </c>
      <c r="Q706" t="s">
        <v>49</v>
      </c>
      <c r="R706" s="1">
        <v>0.1</v>
      </c>
      <c r="S706">
        <f t="shared" ref="S706:S769" si="44">F706-(F706*R706)</f>
        <v>59.4</v>
      </c>
      <c r="T706">
        <f>IFERROR(VLOOKUP(A706,Table1[[Customer ID]:[Discount Amount]], 6, FALSE),"Not Found")</f>
        <v>66</v>
      </c>
      <c r="U706" t="str">
        <f t="shared" ref="U706:U769" si="45">INDEX(P:P, MATCH(A706, A:A, 0))</f>
        <v>PayPal</v>
      </c>
      <c r="V706" s="4" t="str">
        <f t="shared" ref="V706:V769" si="46">IF(AND(F706&gt;1000,K706&gt;=4),"Best Customer","Normal")</f>
        <v>Normal</v>
      </c>
      <c r="W706" s="4" t="str">
        <f t="shared" ref="W706:W769" si="47">IF(K706&gt;=3,"Good","Poor")</f>
        <v>Good</v>
      </c>
      <c r="X706" s="4">
        <f>AVERAGE(Table1[Purchase Amount])</f>
        <v>129.48419400000012</v>
      </c>
    </row>
    <row r="707" spans="1:24" ht="15" customHeight="1" x14ac:dyDescent="0.25">
      <c r="A707">
        <v>706</v>
      </c>
      <c r="B707">
        <v>25</v>
      </c>
      <c r="C707" t="s">
        <v>27</v>
      </c>
      <c r="D707" t="s">
        <v>99</v>
      </c>
      <c r="E707" t="s">
        <v>18</v>
      </c>
      <c r="F707" s="2">
        <v>90</v>
      </c>
      <c r="G707" t="s">
        <v>100</v>
      </c>
      <c r="H707" t="s">
        <v>20</v>
      </c>
      <c r="I707" t="s">
        <v>91</v>
      </c>
      <c r="J707" t="s">
        <v>57</v>
      </c>
      <c r="K707">
        <v>4.5</v>
      </c>
      <c r="L707" t="s">
        <v>34</v>
      </c>
      <c r="M707" t="s">
        <v>35</v>
      </c>
      <c r="N707" t="s">
        <v>34</v>
      </c>
      <c r="O707">
        <v>49</v>
      </c>
      <c r="P707" t="s">
        <v>25</v>
      </c>
      <c r="Q707" t="s">
        <v>37</v>
      </c>
      <c r="R707" s="1">
        <v>0.1</v>
      </c>
      <c r="S707">
        <f t="shared" si="44"/>
        <v>81</v>
      </c>
      <c r="T707">
        <f>IFERROR(VLOOKUP(A707,Table1[[Customer ID]:[Discount Amount]], 6, FALSE),"Not Found")</f>
        <v>90</v>
      </c>
      <c r="U707" t="str">
        <f t="shared" si="45"/>
        <v>Cash</v>
      </c>
      <c r="V707" s="4" t="str">
        <f t="shared" si="46"/>
        <v>Normal</v>
      </c>
      <c r="W707" s="4" t="str">
        <f t="shared" si="47"/>
        <v>Good</v>
      </c>
      <c r="X707" s="4">
        <f>AVERAGE(Table1[Purchase Amount])</f>
        <v>129.48419400000012</v>
      </c>
    </row>
    <row r="708" spans="1:24" ht="15" customHeight="1" x14ac:dyDescent="0.25">
      <c r="A708">
        <v>707</v>
      </c>
      <c r="B708">
        <v>46</v>
      </c>
      <c r="C708" t="s">
        <v>27</v>
      </c>
      <c r="D708" t="s">
        <v>109</v>
      </c>
      <c r="E708" t="s">
        <v>18</v>
      </c>
      <c r="F708" s="2">
        <v>47</v>
      </c>
      <c r="G708" t="s">
        <v>141</v>
      </c>
      <c r="H708" t="s">
        <v>45</v>
      </c>
      <c r="I708" t="s">
        <v>156</v>
      </c>
      <c r="J708" t="s">
        <v>57</v>
      </c>
      <c r="K708">
        <v>4.8</v>
      </c>
      <c r="L708" t="s">
        <v>34</v>
      </c>
      <c r="M708" t="s">
        <v>61</v>
      </c>
      <c r="N708" t="s">
        <v>34</v>
      </c>
      <c r="O708">
        <v>27</v>
      </c>
      <c r="P708" t="s">
        <v>36</v>
      </c>
      <c r="Q708" t="s">
        <v>26</v>
      </c>
      <c r="R708" s="1">
        <v>0.1</v>
      </c>
      <c r="S708">
        <f t="shared" si="44"/>
        <v>42.3</v>
      </c>
      <c r="T708">
        <f>IFERROR(VLOOKUP(A708,Table1[[Customer ID]:[Discount Amount]], 6, FALSE),"Not Found")</f>
        <v>47</v>
      </c>
      <c r="U708" t="str">
        <f t="shared" si="45"/>
        <v>Debit Card</v>
      </c>
      <c r="V708" s="4" t="str">
        <f t="shared" si="46"/>
        <v>Normal</v>
      </c>
      <c r="W708" s="4" t="str">
        <f t="shared" si="47"/>
        <v>Good</v>
      </c>
      <c r="X708" s="4">
        <f>AVERAGE(Table1[Purchase Amount])</f>
        <v>129.48419400000012</v>
      </c>
    </row>
    <row r="709" spans="1:24" ht="15" customHeight="1" x14ac:dyDescent="0.25">
      <c r="A709">
        <v>708</v>
      </c>
      <c r="B709">
        <v>59</v>
      </c>
      <c r="C709" t="s">
        <v>27</v>
      </c>
      <c r="D709" t="s">
        <v>38</v>
      </c>
      <c r="E709" t="s">
        <v>18</v>
      </c>
      <c r="F709" s="2">
        <v>38</v>
      </c>
      <c r="G709" t="s">
        <v>119</v>
      </c>
      <c r="H709" t="s">
        <v>45</v>
      </c>
      <c r="I709" t="s">
        <v>66</v>
      </c>
      <c r="J709" t="s">
        <v>33</v>
      </c>
      <c r="K709">
        <v>3.7</v>
      </c>
      <c r="L709" t="s">
        <v>34</v>
      </c>
      <c r="M709" t="s">
        <v>79</v>
      </c>
      <c r="N709" t="s">
        <v>34</v>
      </c>
      <c r="O709">
        <v>21</v>
      </c>
      <c r="P709" t="s">
        <v>62</v>
      </c>
      <c r="Q709" t="s">
        <v>49</v>
      </c>
      <c r="R709" s="1">
        <v>0.1</v>
      </c>
      <c r="S709">
        <f t="shared" si="44"/>
        <v>34.200000000000003</v>
      </c>
      <c r="T709">
        <f>IFERROR(VLOOKUP(A709,Table1[[Customer ID]:[Discount Amount]], 6, FALSE),"Not Found")</f>
        <v>38</v>
      </c>
      <c r="U709" t="str">
        <f t="shared" si="45"/>
        <v>Venmo</v>
      </c>
      <c r="V709" s="4" t="str">
        <f t="shared" si="46"/>
        <v>Normal</v>
      </c>
      <c r="W709" s="4" t="str">
        <f t="shared" si="47"/>
        <v>Good</v>
      </c>
      <c r="X709" s="4">
        <f>AVERAGE(Table1[Purchase Amount])</f>
        <v>129.48419400000012</v>
      </c>
    </row>
    <row r="710" spans="1:24" ht="15" customHeight="1" x14ac:dyDescent="0.25">
      <c r="A710">
        <v>709</v>
      </c>
      <c r="B710">
        <v>37</v>
      </c>
      <c r="C710" t="s">
        <v>27</v>
      </c>
      <c r="D710" t="s">
        <v>104</v>
      </c>
      <c r="E710" t="s">
        <v>29</v>
      </c>
      <c r="F710" s="2">
        <v>50</v>
      </c>
      <c r="G710" t="s">
        <v>70</v>
      </c>
      <c r="H710" t="s">
        <v>45</v>
      </c>
      <c r="I710" t="s">
        <v>56</v>
      </c>
      <c r="J710" t="s">
        <v>57</v>
      </c>
      <c r="K710">
        <v>3.4</v>
      </c>
      <c r="L710" t="s">
        <v>34</v>
      </c>
      <c r="M710" t="s">
        <v>48</v>
      </c>
      <c r="N710" t="s">
        <v>34</v>
      </c>
      <c r="O710">
        <v>19</v>
      </c>
      <c r="P710" t="s">
        <v>25</v>
      </c>
      <c r="Q710" t="s">
        <v>89</v>
      </c>
      <c r="R710" s="1">
        <v>0.1</v>
      </c>
      <c r="S710">
        <f t="shared" si="44"/>
        <v>45</v>
      </c>
      <c r="T710">
        <f>IFERROR(VLOOKUP(A710,Table1[[Customer ID]:[Discount Amount]], 6, FALSE),"Not Found")</f>
        <v>50</v>
      </c>
      <c r="U710" t="str">
        <f t="shared" si="45"/>
        <v>Cash</v>
      </c>
      <c r="V710" s="4" t="str">
        <f t="shared" si="46"/>
        <v>Normal</v>
      </c>
      <c r="W710" s="4" t="str">
        <f t="shared" si="47"/>
        <v>Good</v>
      </c>
      <c r="X710" s="4">
        <f>AVERAGE(Table1[Purchase Amount])</f>
        <v>129.48419400000012</v>
      </c>
    </row>
    <row r="711" spans="1:24" ht="15" customHeight="1" x14ac:dyDescent="0.25">
      <c r="A711">
        <v>710</v>
      </c>
      <c r="B711">
        <v>49</v>
      </c>
      <c r="C711" t="s">
        <v>27</v>
      </c>
      <c r="D711" t="s">
        <v>96</v>
      </c>
      <c r="E711" t="s">
        <v>77</v>
      </c>
      <c r="F711" s="2">
        <v>79</v>
      </c>
      <c r="G711" t="s">
        <v>97</v>
      </c>
      <c r="H711" t="s">
        <v>45</v>
      </c>
      <c r="I711" t="s">
        <v>103</v>
      </c>
      <c r="J711" t="s">
        <v>57</v>
      </c>
      <c r="K711">
        <v>4.5999999999999996</v>
      </c>
      <c r="L711" t="s">
        <v>34</v>
      </c>
      <c r="M711" t="s">
        <v>24</v>
      </c>
      <c r="N711" t="s">
        <v>34</v>
      </c>
      <c r="O711">
        <v>23</v>
      </c>
      <c r="P711" t="s">
        <v>36</v>
      </c>
      <c r="Q711" t="s">
        <v>42</v>
      </c>
      <c r="R711" s="1">
        <v>0.1</v>
      </c>
      <c r="S711">
        <f t="shared" si="44"/>
        <v>71.099999999999994</v>
      </c>
      <c r="T711">
        <f>IFERROR(VLOOKUP(A711,Table1[[Customer ID]:[Discount Amount]], 6, FALSE),"Not Found")</f>
        <v>79</v>
      </c>
      <c r="U711" t="str">
        <f t="shared" si="45"/>
        <v>Debit Card</v>
      </c>
      <c r="V711" s="4" t="str">
        <f t="shared" si="46"/>
        <v>Normal</v>
      </c>
      <c r="W711" s="4" t="str">
        <f t="shared" si="47"/>
        <v>Good</v>
      </c>
      <c r="X711" s="4">
        <f>AVERAGE(Table1[Purchase Amount])</f>
        <v>129.48419400000012</v>
      </c>
    </row>
    <row r="712" spans="1:24" ht="15" customHeight="1" x14ac:dyDescent="0.25">
      <c r="A712">
        <v>711</v>
      </c>
      <c r="B712">
        <v>22</v>
      </c>
      <c r="C712" t="s">
        <v>27</v>
      </c>
      <c r="D712" t="s">
        <v>129</v>
      </c>
      <c r="E712" t="s">
        <v>29</v>
      </c>
      <c r="F712" s="2">
        <v>91</v>
      </c>
      <c r="G712" t="s">
        <v>138</v>
      </c>
      <c r="H712" t="s">
        <v>45</v>
      </c>
      <c r="I712" t="s">
        <v>156</v>
      </c>
      <c r="J712" t="s">
        <v>33</v>
      </c>
      <c r="K712">
        <v>4.0999999999999996</v>
      </c>
      <c r="L712" t="s">
        <v>34</v>
      </c>
      <c r="M712" t="s">
        <v>24</v>
      </c>
      <c r="N712" t="s">
        <v>34</v>
      </c>
      <c r="O712">
        <v>26</v>
      </c>
      <c r="P712" t="s">
        <v>58</v>
      </c>
      <c r="Q712" t="s">
        <v>89</v>
      </c>
      <c r="R712" s="1">
        <v>0.1</v>
      </c>
      <c r="S712">
        <f t="shared" si="44"/>
        <v>81.900000000000006</v>
      </c>
      <c r="T712">
        <f>IFERROR(VLOOKUP(A712,Table1[[Customer ID]:[Discount Amount]], 6, FALSE),"Not Found")</f>
        <v>91</v>
      </c>
      <c r="U712" t="str">
        <f t="shared" si="45"/>
        <v>PayPal</v>
      </c>
      <c r="V712" s="4" t="str">
        <f t="shared" si="46"/>
        <v>Normal</v>
      </c>
      <c r="W712" s="4" t="str">
        <f t="shared" si="47"/>
        <v>Good</v>
      </c>
      <c r="X712" s="4">
        <f>AVERAGE(Table1[Purchase Amount])</f>
        <v>129.48419400000012</v>
      </c>
    </row>
    <row r="713" spans="1:24" ht="15" customHeight="1" x14ac:dyDescent="0.25">
      <c r="A713">
        <v>712</v>
      </c>
      <c r="B713">
        <v>64</v>
      </c>
      <c r="C713" t="s">
        <v>27</v>
      </c>
      <c r="D713" t="s">
        <v>151</v>
      </c>
      <c r="E713" t="s">
        <v>98</v>
      </c>
      <c r="F713" s="2">
        <v>60</v>
      </c>
      <c r="G713" t="s">
        <v>132</v>
      </c>
      <c r="H713" t="s">
        <v>31</v>
      </c>
      <c r="I713" t="s">
        <v>125</v>
      </c>
      <c r="J713" t="s">
        <v>33</v>
      </c>
      <c r="K713">
        <v>3.5</v>
      </c>
      <c r="L713" t="s">
        <v>34</v>
      </c>
      <c r="M713" t="s">
        <v>41</v>
      </c>
      <c r="N713" t="s">
        <v>34</v>
      </c>
      <c r="O713">
        <v>13</v>
      </c>
      <c r="P713" t="s">
        <v>88</v>
      </c>
      <c r="Q713" t="s">
        <v>68</v>
      </c>
      <c r="R713" s="1">
        <v>0.1</v>
      </c>
      <c r="S713">
        <f t="shared" si="44"/>
        <v>54</v>
      </c>
      <c r="T713">
        <f>IFERROR(VLOOKUP(A713,Table1[[Customer ID]:[Discount Amount]], 6, FALSE),"Not Found")</f>
        <v>60</v>
      </c>
      <c r="U713" t="str">
        <f t="shared" si="45"/>
        <v>Bank Transfer</v>
      </c>
      <c r="V713" s="4" t="str">
        <f t="shared" si="46"/>
        <v>Normal</v>
      </c>
      <c r="W713" s="4" t="str">
        <f t="shared" si="47"/>
        <v>Good</v>
      </c>
      <c r="X713" s="4">
        <f>AVERAGE(Table1[Purchase Amount])</f>
        <v>129.48419400000012</v>
      </c>
    </row>
    <row r="714" spans="1:24" ht="15" customHeight="1" x14ac:dyDescent="0.25">
      <c r="A714">
        <v>713</v>
      </c>
      <c r="B714">
        <v>42</v>
      </c>
      <c r="C714" t="s">
        <v>27</v>
      </c>
      <c r="D714" t="s">
        <v>118</v>
      </c>
      <c r="E714" t="s">
        <v>18</v>
      </c>
      <c r="F714" s="2">
        <v>81</v>
      </c>
      <c r="G714" t="s">
        <v>132</v>
      </c>
      <c r="H714" t="s">
        <v>20</v>
      </c>
      <c r="I714" t="s">
        <v>40</v>
      </c>
      <c r="J714" t="s">
        <v>57</v>
      </c>
      <c r="K714">
        <v>3.8</v>
      </c>
      <c r="L714" t="s">
        <v>34</v>
      </c>
      <c r="M714" t="s">
        <v>79</v>
      </c>
      <c r="N714" t="s">
        <v>34</v>
      </c>
      <c r="O714">
        <v>36</v>
      </c>
      <c r="P714" t="s">
        <v>88</v>
      </c>
      <c r="Q714" t="s">
        <v>37</v>
      </c>
      <c r="R714" s="1">
        <v>0.1</v>
      </c>
      <c r="S714">
        <f t="shared" si="44"/>
        <v>72.900000000000006</v>
      </c>
      <c r="T714">
        <f>IFERROR(VLOOKUP(A714,Table1[[Customer ID]:[Discount Amount]], 6, FALSE),"Not Found")</f>
        <v>81</v>
      </c>
      <c r="U714" t="str">
        <f t="shared" si="45"/>
        <v>Bank Transfer</v>
      </c>
      <c r="V714" s="4" t="str">
        <f t="shared" si="46"/>
        <v>Normal</v>
      </c>
      <c r="W714" s="4" t="str">
        <f t="shared" si="47"/>
        <v>Good</v>
      </c>
      <c r="X714" s="4">
        <f>AVERAGE(Table1[Purchase Amount])</f>
        <v>129.48419400000012</v>
      </c>
    </row>
    <row r="715" spans="1:24" ht="15" customHeight="1" x14ac:dyDescent="0.25">
      <c r="A715">
        <v>714</v>
      </c>
      <c r="B715">
        <v>37</v>
      </c>
      <c r="C715" t="s">
        <v>27</v>
      </c>
      <c r="D715" t="s">
        <v>83</v>
      </c>
      <c r="E715" t="s">
        <v>18</v>
      </c>
      <c r="F715" s="2">
        <v>90</v>
      </c>
      <c r="G715" t="s">
        <v>123</v>
      </c>
      <c r="H715" t="s">
        <v>31</v>
      </c>
      <c r="I715" t="s">
        <v>107</v>
      </c>
      <c r="J715" t="s">
        <v>57</v>
      </c>
      <c r="K715">
        <v>2.6</v>
      </c>
      <c r="L715" t="s">
        <v>34</v>
      </c>
      <c r="M715" t="s">
        <v>61</v>
      </c>
      <c r="N715" t="s">
        <v>34</v>
      </c>
      <c r="O715">
        <v>39</v>
      </c>
      <c r="P715" t="s">
        <v>88</v>
      </c>
      <c r="Q715" t="s">
        <v>68</v>
      </c>
      <c r="R715" s="1">
        <v>0.1</v>
      </c>
      <c r="S715">
        <f t="shared" si="44"/>
        <v>81</v>
      </c>
      <c r="T715">
        <f>IFERROR(VLOOKUP(A715,Table1[[Customer ID]:[Discount Amount]], 6, FALSE),"Not Found")</f>
        <v>90</v>
      </c>
      <c r="U715" t="str">
        <f t="shared" si="45"/>
        <v>Bank Transfer</v>
      </c>
      <c r="V715" s="4" t="str">
        <f t="shared" si="46"/>
        <v>Normal</v>
      </c>
      <c r="W715" s="4" t="str">
        <f t="shared" si="47"/>
        <v>Poor</v>
      </c>
      <c r="X715" s="4">
        <f>AVERAGE(Table1[Purchase Amount])</f>
        <v>129.48419400000012</v>
      </c>
    </row>
    <row r="716" spans="1:24" ht="15" customHeight="1" x14ac:dyDescent="0.25">
      <c r="A716">
        <v>715</v>
      </c>
      <c r="B716">
        <v>26</v>
      </c>
      <c r="C716" t="s">
        <v>27</v>
      </c>
      <c r="D716" t="s">
        <v>96</v>
      </c>
      <c r="E716" t="s">
        <v>77</v>
      </c>
      <c r="F716" s="2">
        <v>70</v>
      </c>
      <c r="G716" t="s">
        <v>130</v>
      </c>
      <c r="H716" t="s">
        <v>31</v>
      </c>
      <c r="I716" t="s">
        <v>87</v>
      </c>
      <c r="J716" t="s">
        <v>47</v>
      </c>
      <c r="K716">
        <v>4.4000000000000004</v>
      </c>
      <c r="L716" t="s">
        <v>34</v>
      </c>
      <c r="M716" t="s">
        <v>48</v>
      </c>
      <c r="N716" t="s">
        <v>34</v>
      </c>
      <c r="O716">
        <v>40</v>
      </c>
      <c r="P716" t="s">
        <v>36</v>
      </c>
      <c r="Q716" t="s">
        <v>89</v>
      </c>
      <c r="R716" s="1">
        <v>0.1</v>
      </c>
      <c r="S716">
        <f t="shared" si="44"/>
        <v>63</v>
      </c>
      <c r="T716">
        <f>IFERROR(VLOOKUP(A716,Table1[[Customer ID]:[Discount Amount]], 6, FALSE),"Not Found")</f>
        <v>70</v>
      </c>
      <c r="U716" t="str">
        <f t="shared" si="45"/>
        <v>Debit Card</v>
      </c>
      <c r="V716" s="4" t="str">
        <f t="shared" si="46"/>
        <v>Normal</v>
      </c>
      <c r="W716" s="4" t="str">
        <f t="shared" si="47"/>
        <v>Good</v>
      </c>
      <c r="X716" s="4">
        <f>AVERAGE(Table1[Purchase Amount])</f>
        <v>129.48419400000012</v>
      </c>
    </row>
    <row r="717" spans="1:24" ht="15" customHeight="1" x14ac:dyDescent="0.25">
      <c r="A717">
        <v>716</v>
      </c>
      <c r="B717">
        <v>33</v>
      </c>
      <c r="C717" t="s">
        <v>27</v>
      </c>
      <c r="D717" t="s">
        <v>109</v>
      </c>
      <c r="E717" t="s">
        <v>18</v>
      </c>
      <c r="F717" s="2">
        <v>63</v>
      </c>
      <c r="G717" t="s">
        <v>143</v>
      </c>
      <c r="H717" t="s">
        <v>45</v>
      </c>
      <c r="I717" t="s">
        <v>93</v>
      </c>
      <c r="J717" t="s">
        <v>33</v>
      </c>
      <c r="K717">
        <v>2.6</v>
      </c>
      <c r="L717" t="s">
        <v>34</v>
      </c>
      <c r="M717" t="s">
        <v>61</v>
      </c>
      <c r="N717" t="s">
        <v>34</v>
      </c>
      <c r="O717">
        <v>37</v>
      </c>
      <c r="P717" t="s">
        <v>36</v>
      </c>
      <c r="Q717" t="s">
        <v>37</v>
      </c>
      <c r="R717" s="1">
        <v>0.1</v>
      </c>
      <c r="S717">
        <f t="shared" si="44"/>
        <v>56.7</v>
      </c>
      <c r="T717">
        <f>IFERROR(VLOOKUP(A717,Table1[[Customer ID]:[Discount Amount]], 6, FALSE),"Not Found")</f>
        <v>63</v>
      </c>
      <c r="U717" t="str">
        <f t="shared" si="45"/>
        <v>Debit Card</v>
      </c>
      <c r="V717" s="4" t="str">
        <f t="shared" si="46"/>
        <v>Normal</v>
      </c>
      <c r="W717" s="4" t="str">
        <f t="shared" si="47"/>
        <v>Poor</v>
      </c>
      <c r="X717" s="4">
        <f>AVERAGE(Table1[Purchase Amount])</f>
        <v>129.48419400000012</v>
      </c>
    </row>
    <row r="718" spans="1:24" ht="15" customHeight="1" x14ac:dyDescent="0.25">
      <c r="A718">
        <v>717</v>
      </c>
      <c r="B718">
        <v>30</v>
      </c>
      <c r="C718" t="s">
        <v>27</v>
      </c>
      <c r="D718" t="s">
        <v>50</v>
      </c>
      <c r="E718" t="s">
        <v>29</v>
      </c>
      <c r="F718" s="2">
        <v>29</v>
      </c>
      <c r="G718" t="s">
        <v>146</v>
      </c>
      <c r="H718" t="s">
        <v>31</v>
      </c>
      <c r="I718" t="s">
        <v>21</v>
      </c>
      <c r="J718" t="s">
        <v>33</v>
      </c>
      <c r="K718">
        <v>3.6</v>
      </c>
      <c r="L718" t="s">
        <v>34</v>
      </c>
      <c r="M718" t="s">
        <v>61</v>
      </c>
      <c r="N718" t="s">
        <v>34</v>
      </c>
      <c r="O718">
        <v>9</v>
      </c>
      <c r="P718" t="s">
        <v>62</v>
      </c>
      <c r="Q718" t="s">
        <v>68</v>
      </c>
      <c r="R718" s="1">
        <v>0.1</v>
      </c>
      <c r="S718">
        <f t="shared" si="44"/>
        <v>26.1</v>
      </c>
      <c r="T718">
        <f>IFERROR(VLOOKUP(A718,Table1[[Customer ID]:[Discount Amount]], 6, FALSE),"Not Found")</f>
        <v>29</v>
      </c>
      <c r="U718" t="str">
        <f t="shared" si="45"/>
        <v>Venmo</v>
      </c>
      <c r="V718" s="4" t="str">
        <f t="shared" si="46"/>
        <v>Normal</v>
      </c>
      <c r="W718" s="4" t="str">
        <f t="shared" si="47"/>
        <v>Good</v>
      </c>
      <c r="X718" s="4">
        <f>AVERAGE(Table1[Purchase Amount])</f>
        <v>129.48419400000012</v>
      </c>
    </row>
    <row r="719" spans="1:24" ht="15" customHeight="1" x14ac:dyDescent="0.25">
      <c r="A719">
        <v>718</v>
      </c>
      <c r="B719">
        <v>21</v>
      </c>
      <c r="C719" t="s">
        <v>27</v>
      </c>
      <c r="D719" t="s">
        <v>105</v>
      </c>
      <c r="E719" t="s">
        <v>18</v>
      </c>
      <c r="F719" s="2">
        <v>90</v>
      </c>
      <c r="G719" t="s">
        <v>148</v>
      </c>
      <c r="H719" t="s">
        <v>45</v>
      </c>
      <c r="I719" t="s">
        <v>93</v>
      </c>
      <c r="J719" t="s">
        <v>33</v>
      </c>
      <c r="K719">
        <v>4.2</v>
      </c>
      <c r="L719" t="s">
        <v>34</v>
      </c>
      <c r="M719" t="s">
        <v>61</v>
      </c>
      <c r="N719" t="s">
        <v>34</v>
      </c>
      <c r="O719">
        <v>7</v>
      </c>
      <c r="P719" t="s">
        <v>62</v>
      </c>
      <c r="Q719" t="s">
        <v>63</v>
      </c>
      <c r="R719" s="1">
        <v>0.1</v>
      </c>
      <c r="S719">
        <f t="shared" si="44"/>
        <v>81</v>
      </c>
      <c r="T719">
        <f>IFERROR(VLOOKUP(A719,Table1[[Customer ID]:[Discount Amount]], 6, FALSE),"Not Found")</f>
        <v>90</v>
      </c>
      <c r="U719" t="str">
        <f t="shared" si="45"/>
        <v>Venmo</v>
      </c>
      <c r="V719" s="4" t="str">
        <f t="shared" si="46"/>
        <v>Normal</v>
      </c>
      <c r="W719" s="4" t="str">
        <f t="shared" si="47"/>
        <v>Good</v>
      </c>
      <c r="X719" s="4">
        <f>AVERAGE(Table1[Purchase Amount])</f>
        <v>129.48419400000012</v>
      </c>
    </row>
    <row r="720" spans="1:24" ht="15" customHeight="1" x14ac:dyDescent="0.25">
      <c r="A720">
        <v>719</v>
      </c>
      <c r="B720">
        <v>22</v>
      </c>
      <c r="C720" t="s">
        <v>27</v>
      </c>
      <c r="D720" t="s">
        <v>38</v>
      </c>
      <c r="E720" t="s">
        <v>18</v>
      </c>
      <c r="F720" s="2">
        <v>22</v>
      </c>
      <c r="G720" t="s">
        <v>67</v>
      </c>
      <c r="H720" t="s">
        <v>31</v>
      </c>
      <c r="I720" t="s">
        <v>145</v>
      </c>
      <c r="J720" t="s">
        <v>57</v>
      </c>
      <c r="K720">
        <v>4.5999999999999996</v>
      </c>
      <c r="L720" t="s">
        <v>34</v>
      </c>
      <c r="M720" t="s">
        <v>24</v>
      </c>
      <c r="N720" t="s">
        <v>34</v>
      </c>
      <c r="O720">
        <v>25</v>
      </c>
      <c r="P720" t="s">
        <v>88</v>
      </c>
      <c r="Q720" t="s">
        <v>49</v>
      </c>
      <c r="R720" s="1">
        <v>0.1</v>
      </c>
      <c r="S720">
        <f t="shared" si="44"/>
        <v>19.8</v>
      </c>
      <c r="T720">
        <f>IFERROR(VLOOKUP(A720,Table1[[Customer ID]:[Discount Amount]], 6, FALSE),"Not Found")</f>
        <v>22</v>
      </c>
      <c r="U720" t="str">
        <f t="shared" si="45"/>
        <v>Bank Transfer</v>
      </c>
      <c r="V720" s="4" t="str">
        <f t="shared" si="46"/>
        <v>Normal</v>
      </c>
      <c r="W720" s="4" t="str">
        <f t="shared" si="47"/>
        <v>Good</v>
      </c>
      <c r="X720" s="4">
        <f>AVERAGE(Table1[Purchase Amount])</f>
        <v>129.48419400000012</v>
      </c>
    </row>
    <row r="721" spans="1:24" ht="15" customHeight="1" x14ac:dyDescent="0.25">
      <c r="A721">
        <v>720</v>
      </c>
      <c r="B721">
        <v>63</v>
      </c>
      <c r="C721" t="s">
        <v>27</v>
      </c>
      <c r="D721" t="s">
        <v>54</v>
      </c>
      <c r="E721" t="s">
        <v>18</v>
      </c>
      <c r="F721" s="2">
        <v>22</v>
      </c>
      <c r="G721" t="s">
        <v>149</v>
      </c>
      <c r="H721" t="s">
        <v>45</v>
      </c>
      <c r="I721" t="s">
        <v>156</v>
      </c>
      <c r="J721" t="s">
        <v>57</v>
      </c>
      <c r="K721">
        <v>3.3</v>
      </c>
      <c r="L721" t="s">
        <v>34</v>
      </c>
      <c r="M721" t="s">
        <v>79</v>
      </c>
      <c r="N721" t="s">
        <v>34</v>
      </c>
      <c r="O721">
        <v>42</v>
      </c>
      <c r="P721" t="s">
        <v>62</v>
      </c>
      <c r="Q721" t="s">
        <v>68</v>
      </c>
      <c r="R721" s="1">
        <v>0.1</v>
      </c>
      <c r="S721">
        <f t="shared" si="44"/>
        <v>19.8</v>
      </c>
      <c r="T721">
        <f>IFERROR(VLOOKUP(A721,Table1[[Customer ID]:[Discount Amount]], 6, FALSE),"Not Found")</f>
        <v>22</v>
      </c>
      <c r="U721" t="str">
        <f t="shared" si="45"/>
        <v>Venmo</v>
      </c>
      <c r="V721" s="4" t="str">
        <f t="shared" si="46"/>
        <v>Normal</v>
      </c>
      <c r="W721" s="4" t="str">
        <f t="shared" si="47"/>
        <v>Good</v>
      </c>
      <c r="X721" s="4">
        <f>AVERAGE(Table1[Purchase Amount])</f>
        <v>129.48419400000012</v>
      </c>
    </row>
    <row r="722" spans="1:24" ht="15" customHeight="1" x14ac:dyDescent="0.25">
      <c r="A722">
        <v>721</v>
      </c>
      <c r="B722">
        <v>33</v>
      </c>
      <c r="C722" t="s">
        <v>27</v>
      </c>
      <c r="D722" t="s">
        <v>50</v>
      </c>
      <c r="E722" t="s">
        <v>29</v>
      </c>
      <c r="F722" s="2">
        <v>62</v>
      </c>
      <c r="G722" t="s">
        <v>110</v>
      </c>
      <c r="H722" t="s">
        <v>45</v>
      </c>
      <c r="I722" t="s">
        <v>108</v>
      </c>
      <c r="J722" t="s">
        <v>47</v>
      </c>
      <c r="K722">
        <v>3.4</v>
      </c>
      <c r="L722" t="s">
        <v>34</v>
      </c>
      <c r="M722" t="s">
        <v>35</v>
      </c>
      <c r="N722" t="s">
        <v>34</v>
      </c>
      <c r="O722">
        <v>19</v>
      </c>
      <c r="P722" t="s">
        <v>36</v>
      </c>
      <c r="Q722" t="s">
        <v>26</v>
      </c>
      <c r="R722" s="1">
        <v>0.1</v>
      </c>
      <c r="S722">
        <f t="shared" si="44"/>
        <v>55.8</v>
      </c>
      <c r="T722">
        <f>IFERROR(VLOOKUP(A722,Table1[[Customer ID]:[Discount Amount]], 6, FALSE),"Not Found")</f>
        <v>62</v>
      </c>
      <c r="U722" t="str">
        <f t="shared" si="45"/>
        <v>Debit Card</v>
      </c>
      <c r="V722" s="4" t="str">
        <f t="shared" si="46"/>
        <v>Normal</v>
      </c>
      <c r="W722" s="4" t="str">
        <f t="shared" si="47"/>
        <v>Good</v>
      </c>
      <c r="X722" s="4">
        <f>AVERAGE(Table1[Purchase Amount])</f>
        <v>129.48419400000012</v>
      </c>
    </row>
    <row r="723" spans="1:24" ht="15" customHeight="1" x14ac:dyDescent="0.25">
      <c r="A723">
        <v>722</v>
      </c>
      <c r="B723">
        <v>43</v>
      </c>
      <c r="C723" t="s">
        <v>27</v>
      </c>
      <c r="D723" t="s">
        <v>118</v>
      </c>
      <c r="E723" t="s">
        <v>18</v>
      </c>
      <c r="F723" s="2">
        <v>57</v>
      </c>
      <c r="G723" t="s">
        <v>19</v>
      </c>
      <c r="H723" t="s">
        <v>45</v>
      </c>
      <c r="I723" t="s">
        <v>153</v>
      </c>
      <c r="J723" t="s">
        <v>57</v>
      </c>
      <c r="K723">
        <v>4.4000000000000004</v>
      </c>
      <c r="L723" t="s">
        <v>34</v>
      </c>
      <c r="M723" t="s">
        <v>79</v>
      </c>
      <c r="N723" t="s">
        <v>34</v>
      </c>
      <c r="O723">
        <v>41</v>
      </c>
      <c r="P723" t="s">
        <v>36</v>
      </c>
      <c r="Q723" t="s">
        <v>63</v>
      </c>
      <c r="R723" s="1">
        <v>0.1</v>
      </c>
      <c r="S723">
        <f t="shared" si="44"/>
        <v>51.3</v>
      </c>
      <c r="T723">
        <f>IFERROR(VLOOKUP(A723,Table1[[Customer ID]:[Discount Amount]], 6, FALSE),"Not Found")</f>
        <v>57</v>
      </c>
      <c r="U723" t="str">
        <f t="shared" si="45"/>
        <v>Debit Card</v>
      </c>
      <c r="V723" s="4" t="str">
        <f t="shared" si="46"/>
        <v>Normal</v>
      </c>
      <c r="W723" s="4" t="str">
        <f t="shared" si="47"/>
        <v>Good</v>
      </c>
      <c r="X723" s="4">
        <f>AVERAGE(Table1[Purchase Amount])</f>
        <v>129.48419400000012</v>
      </c>
    </row>
    <row r="724" spans="1:24" ht="15" customHeight="1" x14ac:dyDescent="0.25">
      <c r="A724">
        <v>723</v>
      </c>
      <c r="B724">
        <v>27</v>
      </c>
      <c r="C724" t="s">
        <v>27</v>
      </c>
      <c r="D724" t="s">
        <v>127</v>
      </c>
      <c r="E724" t="s">
        <v>18</v>
      </c>
      <c r="F724" s="2">
        <v>32</v>
      </c>
      <c r="G724" t="s">
        <v>162</v>
      </c>
      <c r="H724" t="s">
        <v>55</v>
      </c>
      <c r="I724" t="s">
        <v>74</v>
      </c>
      <c r="J724" t="s">
        <v>57</v>
      </c>
      <c r="K724">
        <v>4.3</v>
      </c>
      <c r="L724" t="s">
        <v>34</v>
      </c>
      <c r="M724" t="s">
        <v>48</v>
      </c>
      <c r="N724" t="s">
        <v>34</v>
      </c>
      <c r="O724">
        <v>50</v>
      </c>
      <c r="P724" t="s">
        <v>25</v>
      </c>
      <c r="Q724" t="s">
        <v>68</v>
      </c>
      <c r="R724" s="1">
        <v>0.1</v>
      </c>
      <c r="S724">
        <f t="shared" si="44"/>
        <v>28.8</v>
      </c>
      <c r="T724">
        <f>IFERROR(VLOOKUP(A724,Table1[[Customer ID]:[Discount Amount]], 6, FALSE),"Not Found")</f>
        <v>32</v>
      </c>
      <c r="U724" t="str">
        <f t="shared" si="45"/>
        <v>Cash</v>
      </c>
      <c r="V724" s="4" t="str">
        <f t="shared" si="46"/>
        <v>Normal</v>
      </c>
      <c r="W724" s="4" t="str">
        <f t="shared" si="47"/>
        <v>Good</v>
      </c>
      <c r="X724" s="4">
        <f>AVERAGE(Table1[Purchase Amount])</f>
        <v>129.48419400000012</v>
      </c>
    </row>
    <row r="725" spans="1:24" ht="15" customHeight="1" x14ac:dyDescent="0.25">
      <c r="A725">
        <v>724</v>
      </c>
      <c r="B725">
        <v>35</v>
      </c>
      <c r="C725" t="s">
        <v>27</v>
      </c>
      <c r="D725" t="s">
        <v>50</v>
      </c>
      <c r="E725" t="s">
        <v>29</v>
      </c>
      <c r="F725" s="2">
        <v>53</v>
      </c>
      <c r="G725" t="s">
        <v>146</v>
      </c>
      <c r="H725" t="s">
        <v>45</v>
      </c>
      <c r="I725" t="s">
        <v>128</v>
      </c>
      <c r="J725" t="s">
        <v>47</v>
      </c>
      <c r="K725">
        <v>3.5</v>
      </c>
      <c r="L725" t="s">
        <v>34</v>
      </c>
      <c r="M725" t="s">
        <v>61</v>
      </c>
      <c r="N725" t="s">
        <v>34</v>
      </c>
      <c r="O725">
        <v>43</v>
      </c>
      <c r="P725" t="s">
        <v>58</v>
      </c>
      <c r="Q725" t="s">
        <v>42</v>
      </c>
      <c r="R725" s="1">
        <v>0.1</v>
      </c>
      <c r="S725">
        <f t="shared" si="44"/>
        <v>47.7</v>
      </c>
      <c r="T725">
        <f>IFERROR(VLOOKUP(A725,Table1[[Customer ID]:[Discount Amount]], 6, FALSE),"Not Found")</f>
        <v>53</v>
      </c>
      <c r="U725" t="str">
        <f t="shared" si="45"/>
        <v>PayPal</v>
      </c>
      <c r="V725" s="4" t="str">
        <f t="shared" si="46"/>
        <v>Normal</v>
      </c>
      <c r="W725" s="4" t="str">
        <f t="shared" si="47"/>
        <v>Good</v>
      </c>
      <c r="X725" s="4">
        <f>AVERAGE(Table1[Purchase Amount])</f>
        <v>129.48419400000012</v>
      </c>
    </row>
    <row r="726" spans="1:24" ht="15" customHeight="1" x14ac:dyDescent="0.25">
      <c r="A726">
        <v>725</v>
      </c>
      <c r="B726">
        <v>37</v>
      </c>
      <c r="C726" t="s">
        <v>27</v>
      </c>
      <c r="D726" t="s">
        <v>17</v>
      </c>
      <c r="E726" t="s">
        <v>18</v>
      </c>
      <c r="F726" s="2">
        <v>79</v>
      </c>
      <c r="G726" t="s">
        <v>132</v>
      </c>
      <c r="H726" t="s">
        <v>20</v>
      </c>
      <c r="I726" t="s">
        <v>93</v>
      </c>
      <c r="J726" t="s">
        <v>47</v>
      </c>
      <c r="K726">
        <v>4.7</v>
      </c>
      <c r="L726" t="s">
        <v>34</v>
      </c>
      <c r="M726" t="s">
        <v>48</v>
      </c>
      <c r="N726" t="s">
        <v>34</v>
      </c>
      <c r="O726">
        <v>36</v>
      </c>
      <c r="P726" t="s">
        <v>62</v>
      </c>
      <c r="Q726" t="s">
        <v>63</v>
      </c>
      <c r="R726" s="1">
        <v>0.1</v>
      </c>
      <c r="S726">
        <f t="shared" si="44"/>
        <v>71.099999999999994</v>
      </c>
      <c r="T726">
        <f>IFERROR(VLOOKUP(A726,Table1[[Customer ID]:[Discount Amount]], 6, FALSE),"Not Found")</f>
        <v>79</v>
      </c>
      <c r="U726" t="str">
        <f t="shared" si="45"/>
        <v>Venmo</v>
      </c>
      <c r="V726" s="4" t="str">
        <f t="shared" si="46"/>
        <v>Normal</v>
      </c>
      <c r="W726" s="4" t="str">
        <f t="shared" si="47"/>
        <v>Good</v>
      </c>
      <c r="X726" s="4">
        <f>AVERAGE(Table1[Purchase Amount])</f>
        <v>129.48419400000012</v>
      </c>
    </row>
    <row r="727" spans="1:24" ht="15" customHeight="1" x14ac:dyDescent="0.25">
      <c r="A727">
        <v>726</v>
      </c>
      <c r="B727">
        <v>61</v>
      </c>
      <c r="C727" t="s">
        <v>27</v>
      </c>
      <c r="D727" t="s">
        <v>64</v>
      </c>
      <c r="E727" t="s">
        <v>29</v>
      </c>
      <c r="F727" s="2">
        <v>61</v>
      </c>
      <c r="G727" t="s">
        <v>152</v>
      </c>
      <c r="H727" t="s">
        <v>45</v>
      </c>
      <c r="I727" t="s">
        <v>153</v>
      </c>
      <c r="J727" t="s">
        <v>22</v>
      </c>
      <c r="K727">
        <v>3.1</v>
      </c>
      <c r="L727" t="s">
        <v>34</v>
      </c>
      <c r="M727" t="s">
        <v>24</v>
      </c>
      <c r="N727" t="s">
        <v>34</v>
      </c>
      <c r="O727">
        <v>33</v>
      </c>
      <c r="P727" t="s">
        <v>36</v>
      </c>
      <c r="Q727" t="s">
        <v>89</v>
      </c>
      <c r="R727" s="1">
        <v>0.1</v>
      </c>
      <c r="S727">
        <f t="shared" si="44"/>
        <v>54.9</v>
      </c>
      <c r="T727">
        <f>IFERROR(VLOOKUP(A727,Table1[[Customer ID]:[Discount Amount]], 6, FALSE),"Not Found")</f>
        <v>61</v>
      </c>
      <c r="U727" t="str">
        <f t="shared" si="45"/>
        <v>Debit Card</v>
      </c>
      <c r="V727" s="4" t="str">
        <f t="shared" si="46"/>
        <v>Normal</v>
      </c>
      <c r="W727" s="4" t="str">
        <f t="shared" si="47"/>
        <v>Good</v>
      </c>
      <c r="X727" s="4">
        <f>AVERAGE(Table1[Purchase Amount])</f>
        <v>129.48419400000012</v>
      </c>
    </row>
    <row r="728" spans="1:24" ht="15" customHeight="1" x14ac:dyDescent="0.25">
      <c r="A728">
        <v>727</v>
      </c>
      <c r="B728">
        <v>32</v>
      </c>
      <c r="C728" t="s">
        <v>27</v>
      </c>
      <c r="D728" t="s">
        <v>54</v>
      </c>
      <c r="E728" t="s">
        <v>18</v>
      </c>
      <c r="F728" s="2">
        <v>78</v>
      </c>
      <c r="G728" t="s">
        <v>86</v>
      </c>
      <c r="H728" t="s">
        <v>45</v>
      </c>
      <c r="I728" t="s">
        <v>52</v>
      </c>
      <c r="J728" t="s">
        <v>57</v>
      </c>
      <c r="K728">
        <v>3.6</v>
      </c>
      <c r="L728" t="s">
        <v>34</v>
      </c>
      <c r="M728" t="s">
        <v>79</v>
      </c>
      <c r="N728" t="s">
        <v>34</v>
      </c>
      <c r="O728">
        <v>20</v>
      </c>
      <c r="P728" t="s">
        <v>88</v>
      </c>
      <c r="Q728" t="s">
        <v>63</v>
      </c>
      <c r="R728" s="1">
        <v>0.1</v>
      </c>
      <c r="S728">
        <f t="shared" si="44"/>
        <v>70.2</v>
      </c>
      <c r="T728">
        <f>IFERROR(VLOOKUP(A728,Table1[[Customer ID]:[Discount Amount]], 6, FALSE),"Not Found")</f>
        <v>78</v>
      </c>
      <c r="U728" t="str">
        <f t="shared" si="45"/>
        <v>Bank Transfer</v>
      </c>
      <c r="V728" s="4" t="str">
        <f t="shared" si="46"/>
        <v>Normal</v>
      </c>
      <c r="W728" s="4" t="str">
        <f t="shared" si="47"/>
        <v>Good</v>
      </c>
      <c r="X728" s="4">
        <f>AVERAGE(Table1[Purchase Amount])</f>
        <v>129.48419400000012</v>
      </c>
    </row>
    <row r="729" spans="1:24" ht="15" customHeight="1" x14ac:dyDescent="0.25">
      <c r="A729">
        <v>728</v>
      </c>
      <c r="B729">
        <v>62</v>
      </c>
      <c r="C729" t="s">
        <v>27</v>
      </c>
      <c r="D729" t="s">
        <v>127</v>
      </c>
      <c r="E729" t="s">
        <v>18</v>
      </c>
      <c r="F729" s="2">
        <v>97</v>
      </c>
      <c r="G729" t="s">
        <v>100</v>
      </c>
      <c r="H729" t="s">
        <v>55</v>
      </c>
      <c r="I729" t="s">
        <v>85</v>
      </c>
      <c r="J729" t="s">
        <v>22</v>
      </c>
      <c r="K729">
        <v>4.8</v>
      </c>
      <c r="L729" t="s">
        <v>34</v>
      </c>
      <c r="M729" t="s">
        <v>79</v>
      </c>
      <c r="N729" t="s">
        <v>34</v>
      </c>
      <c r="O729">
        <v>37</v>
      </c>
      <c r="P729" t="s">
        <v>62</v>
      </c>
      <c r="Q729" t="s">
        <v>63</v>
      </c>
      <c r="R729" s="1">
        <v>0.1</v>
      </c>
      <c r="S729">
        <f t="shared" si="44"/>
        <v>87.3</v>
      </c>
      <c r="T729">
        <f>IFERROR(VLOOKUP(A729,Table1[[Customer ID]:[Discount Amount]], 6, FALSE),"Not Found")</f>
        <v>97</v>
      </c>
      <c r="U729" t="str">
        <f t="shared" si="45"/>
        <v>Venmo</v>
      </c>
      <c r="V729" s="4" t="str">
        <f t="shared" si="46"/>
        <v>Normal</v>
      </c>
      <c r="W729" s="4" t="str">
        <f t="shared" si="47"/>
        <v>Good</v>
      </c>
      <c r="X729" s="4">
        <f>AVERAGE(Table1[Purchase Amount])</f>
        <v>129.48419400000012</v>
      </c>
    </row>
    <row r="730" spans="1:24" ht="15" customHeight="1" x14ac:dyDescent="0.25">
      <c r="A730">
        <v>729</v>
      </c>
      <c r="B730">
        <v>29</v>
      </c>
      <c r="C730" t="s">
        <v>27</v>
      </c>
      <c r="D730" t="s">
        <v>109</v>
      </c>
      <c r="E730" t="s">
        <v>18</v>
      </c>
      <c r="F730" s="2">
        <v>78</v>
      </c>
      <c r="G730" t="s">
        <v>137</v>
      </c>
      <c r="H730" t="s">
        <v>31</v>
      </c>
      <c r="I730" t="s">
        <v>136</v>
      </c>
      <c r="J730" t="s">
        <v>22</v>
      </c>
      <c r="K730">
        <v>3.7</v>
      </c>
      <c r="L730" t="s">
        <v>34</v>
      </c>
      <c r="M730" t="s">
        <v>79</v>
      </c>
      <c r="N730" t="s">
        <v>34</v>
      </c>
      <c r="O730">
        <v>12</v>
      </c>
      <c r="P730" t="s">
        <v>58</v>
      </c>
      <c r="Q730" t="s">
        <v>63</v>
      </c>
      <c r="R730" s="1">
        <v>0.1</v>
      </c>
      <c r="S730">
        <f t="shared" si="44"/>
        <v>70.2</v>
      </c>
      <c r="T730">
        <f>IFERROR(VLOOKUP(A730,Table1[[Customer ID]:[Discount Amount]], 6, FALSE),"Not Found")</f>
        <v>78</v>
      </c>
      <c r="U730" t="str">
        <f t="shared" si="45"/>
        <v>PayPal</v>
      </c>
      <c r="V730" s="4" t="str">
        <f t="shared" si="46"/>
        <v>Normal</v>
      </c>
      <c r="W730" s="4" t="str">
        <f t="shared" si="47"/>
        <v>Good</v>
      </c>
      <c r="X730" s="4">
        <f>AVERAGE(Table1[Purchase Amount])</f>
        <v>129.48419400000012</v>
      </c>
    </row>
    <row r="731" spans="1:24" ht="15" customHeight="1" x14ac:dyDescent="0.25">
      <c r="A731">
        <v>730</v>
      </c>
      <c r="B731">
        <v>41</v>
      </c>
      <c r="C731" t="s">
        <v>27</v>
      </c>
      <c r="D731" t="s">
        <v>28</v>
      </c>
      <c r="E731" t="s">
        <v>29</v>
      </c>
      <c r="F731" s="2">
        <v>56</v>
      </c>
      <c r="G731" t="s">
        <v>120</v>
      </c>
      <c r="H731" t="s">
        <v>45</v>
      </c>
      <c r="I731" t="s">
        <v>56</v>
      </c>
      <c r="J731" t="s">
        <v>57</v>
      </c>
      <c r="K731">
        <v>3.2</v>
      </c>
      <c r="L731" t="s">
        <v>34</v>
      </c>
      <c r="M731" t="s">
        <v>61</v>
      </c>
      <c r="N731" t="s">
        <v>34</v>
      </c>
      <c r="O731">
        <v>46</v>
      </c>
      <c r="P731" t="s">
        <v>58</v>
      </c>
      <c r="Q731" t="s">
        <v>63</v>
      </c>
      <c r="R731" s="1">
        <v>0.1</v>
      </c>
      <c r="S731">
        <f t="shared" si="44"/>
        <v>50.4</v>
      </c>
      <c r="T731">
        <f>IFERROR(VLOOKUP(A731,Table1[[Customer ID]:[Discount Amount]], 6, FALSE),"Not Found")</f>
        <v>56</v>
      </c>
      <c r="U731" t="str">
        <f t="shared" si="45"/>
        <v>PayPal</v>
      </c>
      <c r="V731" s="4" t="str">
        <f t="shared" si="46"/>
        <v>Normal</v>
      </c>
      <c r="W731" s="4" t="str">
        <f t="shared" si="47"/>
        <v>Good</v>
      </c>
      <c r="X731" s="4">
        <f>AVERAGE(Table1[Purchase Amount])</f>
        <v>129.48419400000012</v>
      </c>
    </row>
    <row r="732" spans="1:24" ht="15" customHeight="1" x14ac:dyDescent="0.25">
      <c r="A732">
        <v>731</v>
      </c>
      <c r="B732">
        <v>48</v>
      </c>
      <c r="C732" t="s">
        <v>27</v>
      </c>
      <c r="D732" t="s">
        <v>151</v>
      </c>
      <c r="E732" t="s">
        <v>98</v>
      </c>
      <c r="F732" s="2">
        <v>25</v>
      </c>
      <c r="G732" t="s">
        <v>97</v>
      </c>
      <c r="H732" t="s">
        <v>31</v>
      </c>
      <c r="I732" t="s">
        <v>91</v>
      </c>
      <c r="J732" t="s">
        <v>57</v>
      </c>
      <c r="K732">
        <v>3.9</v>
      </c>
      <c r="L732" t="s">
        <v>34</v>
      </c>
      <c r="M732" t="s">
        <v>24</v>
      </c>
      <c r="N732" t="s">
        <v>34</v>
      </c>
      <c r="O732">
        <v>28</v>
      </c>
      <c r="P732" t="s">
        <v>62</v>
      </c>
      <c r="Q732" t="s">
        <v>89</v>
      </c>
      <c r="R732" s="1">
        <v>0.1</v>
      </c>
      <c r="S732">
        <f t="shared" si="44"/>
        <v>22.5</v>
      </c>
      <c r="T732">
        <f>IFERROR(VLOOKUP(A732,Table1[[Customer ID]:[Discount Amount]], 6, FALSE),"Not Found")</f>
        <v>25</v>
      </c>
      <c r="U732" t="str">
        <f t="shared" si="45"/>
        <v>Venmo</v>
      </c>
      <c r="V732" s="4" t="str">
        <f t="shared" si="46"/>
        <v>Normal</v>
      </c>
      <c r="W732" s="4" t="str">
        <f t="shared" si="47"/>
        <v>Good</v>
      </c>
      <c r="X732" s="4">
        <f>AVERAGE(Table1[Purchase Amount])</f>
        <v>129.48419400000012</v>
      </c>
    </row>
    <row r="733" spans="1:24" ht="15" customHeight="1" x14ac:dyDescent="0.25">
      <c r="A733">
        <v>732</v>
      </c>
      <c r="B733">
        <v>43</v>
      </c>
      <c r="C733" t="s">
        <v>27</v>
      </c>
      <c r="D733" t="s">
        <v>76</v>
      </c>
      <c r="E733" t="s">
        <v>77</v>
      </c>
      <c r="F733" s="2">
        <v>28</v>
      </c>
      <c r="G733" t="s">
        <v>100</v>
      </c>
      <c r="H733" t="s">
        <v>31</v>
      </c>
      <c r="I733" t="s">
        <v>46</v>
      </c>
      <c r="J733" t="s">
        <v>33</v>
      </c>
      <c r="K733">
        <v>3.5</v>
      </c>
      <c r="L733" t="s">
        <v>34</v>
      </c>
      <c r="M733" t="s">
        <v>35</v>
      </c>
      <c r="N733" t="s">
        <v>34</v>
      </c>
      <c r="O733">
        <v>30</v>
      </c>
      <c r="P733" t="s">
        <v>58</v>
      </c>
      <c r="Q733" t="s">
        <v>89</v>
      </c>
      <c r="R733" s="1">
        <v>0.1</v>
      </c>
      <c r="S733">
        <f t="shared" si="44"/>
        <v>25.2</v>
      </c>
      <c r="T733">
        <f>IFERROR(VLOOKUP(A733,Table1[[Customer ID]:[Discount Amount]], 6, FALSE),"Not Found")</f>
        <v>28</v>
      </c>
      <c r="U733" t="str">
        <f t="shared" si="45"/>
        <v>PayPal</v>
      </c>
      <c r="V733" s="4" t="str">
        <f t="shared" si="46"/>
        <v>Normal</v>
      </c>
      <c r="W733" s="4" t="str">
        <f t="shared" si="47"/>
        <v>Good</v>
      </c>
      <c r="X733" s="4">
        <f>AVERAGE(Table1[Purchase Amount])</f>
        <v>129.48419400000012</v>
      </c>
    </row>
    <row r="734" spans="1:24" ht="15" customHeight="1" x14ac:dyDescent="0.25">
      <c r="A734">
        <v>733</v>
      </c>
      <c r="B734">
        <v>34</v>
      </c>
      <c r="C734" t="s">
        <v>27</v>
      </c>
      <c r="D734" t="s">
        <v>38</v>
      </c>
      <c r="E734" t="s">
        <v>18</v>
      </c>
      <c r="F734" s="2">
        <v>57</v>
      </c>
      <c r="G734" t="s">
        <v>132</v>
      </c>
      <c r="H734" t="s">
        <v>45</v>
      </c>
      <c r="I734" t="s">
        <v>74</v>
      </c>
      <c r="J734" t="s">
        <v>33</v>
      </c>
      <c r="K734">
        <v>2.8</v>
      </c>
      <c r="L734" t="s">
        <v>34</v>
      </c>
      <c r="M734" t="s">
        <v>61</v>
      </c>
      <c r="N734" t="s">
        <v>34</v>
      </c>
      <c r="O734">
        <v>28</v>
      </c>
      <c r="P734" t="s">
        <v>25</v>
      </c>
      <c r="Q734" t="s">
        <v>68</v>
      </c>
      <c r="R734" s="1">
        <v>0.1</v>
      </c>
      <c r="S734">
        <f t="shared" si="44"/>
        <v>51.3</v>
      </c>
      <c r="T734">
        <f>IFERROR(VLOOKUP(A734,Table1[[Customer ID]:[Discount Amount]], 6, FALSE),"Not Found")</f>
        <v>57</v>
      </c>
      <c r="U734" t="str">
        <f t="shared" si="45"/>
        <v>Cash</v>
      </c>
      <c r="V734" s="4" t="str">
        <f t="shared" si="46"/>
        <v>Normal</v>
      </c>
      <c r="W734" s="4" t="str">
        <f t="shared" si="47"/>
        <v>Poor</v>
      </c>
      <c r="X734" s="4">
        <f>AVERAGE(Table1[Purchase Amount])</f>
        <v>129.48419400000012</v>
      </c>
    </row>
    <row r="735" spans="1:24" ht="15" customHeight="1" x14ac:dyDescent="0.25">
      <c r="A735">
        <v>734</v>
      </c>
      <c r="B735">
        <v>45</v>
      </c>
      <c r="C735" t="s">
        <v>27</v>
      </c>
      <c r="D735" t="s">
        <v>157</v>
      </c>
      <c r="E735" t="s">
        <v>18</v>
      </c>
      <c r="F735" s="2">
        <v>36</v>
      </c>
      <c r="G735" t="s">
        <v>159</v>
      </c>
      <c r="H735" t="s">
        <v>45</v>
      </c>
      <c r="I735" t="s">
        <v>128</v>
      </c>
      <c r="J735" t="s">
        <v>47</v>
      </c>
      <c r="K735">
        <v>2.7</v>
      </c>
      <c r="L735" t="s">
        <v>34</v>
      </c>
      <c r="M735" t="s">
        <v>41</v>
      </c>
      <c r="N735" t="s">
        <v>34</v>
      </c>
      <c r="O735">
        <v>20</v>
      </c>
      <c r="P735" t="s">
        <v>36</v>
      </c>
      <c r="Q735" t="s">
        <v>68</v>
      </c>
      <c r="R735" s="1">
        <v>0.1</v>
      </c>
      <c r="S735">
        <f t="shared" si="44"/>
        <v>32.4</v>
      </c>
      <c r="T735">
        <f>IFERROR(VLOOKUP(A735,Table1[[Customer ID]:[Discount Amount]], 6, FALSE),"Not Found")</f>
        <v>36</v>
      </c>
      <c r="U735" t="str">
        <f t="shared" si="45"/>
        <v>Debit Card</v>
      </c>
      <c r="V735" s="4" t="str">
        <f t="shared" si="46"/>
        <v>Normal</v>
      </c>
      <c r="W735" s="4" t="str">
        <f t="shared" si="47"/>
        <v>Poor</v>
      </c>
      <c r="X735" s="4">
        <f>AVERAGE(Table1[Purchase Amount])</f>
        <v>129.48419400000012</v>
      </c>
    </row>
    <row r="736" spans="1:24" ht="15" customHeight="1" x14ac:dyDescent="0.25">
      <c r="A736">
        <v>735</v>
      </c>
      <c r="B736">
        <v>65</v>
      </c>
      <c r="C736" t="s">
        <v>27</v>
      </c>
      <c r="D736" t="s">
        <v>38</v>
      </c>
      <c r="E736" t="s">
        <v>18</v>
      </c>
      <c r="F736" s="2">
        <v>69</v>
      </c>
      <c r="G736" t="s">
        <v>131</v>
      </c>
      <c r="H736" t="s">
        <v>55</v>
      </c>
      <c r="I736" t="s">
        <v>111</v>
      </c>
      <c r="J736" t="s">
        <v>22</v>
      </c>
      <c r="K736">
        <v>3.1</v>
      </c>
      <c r="L736" t="s">
        <v>34</v>
      </c>
      <c r="M736" t="s">
        <v>61</v>
      </c>
      <c r="N736" t="s">
        <v>34</v>
      </c>
      <c r="O736">
        <v>39</v>
      </c>
      <c r="P736" t="s">
        <v>88</v>
      </c>
      <c r="Q736" t="s">
        <v>63</v>
      </c>
      <c r="R736" s="1">
        <v>0.1</v>
      </c>
      <c r="S736">
        <f t="shared" si="44"/>
        <v>62.1</v>
      </c>
      <c r="T736">
        <f>IFERROR(VLOOKUP(A736,Table1[[Customer ID]:[Discount Amount]], 6, FALSE),"Not Found")</f>
        <v>69</v>
      </c>
      <c r="U736" t="str">
        <f t="shared" si="45"/>
        <v>Bank Transfer</v>
      </c>
      <c r="V736" s="4" t="str">
        <f t="shared" si="46"/>
        <v>Normal</v>
      </c>
      <c r="W736" s="4" t="str">
        <f t="shared" si="47"/>
        <v>Good</v>
      </c>
      <c r="X736" s="4">
        <f>AVERAGE(Table1[Purchase Amount])</f>
        <v>129.48419400000012</v>
      </c>
    </row>
    <row r="737" spans="1:24" ht="15" customHeight="1" x14ac:dyDescent="0.25">
      <c r="A737">
        <v>736</v>
      </c>
      <c r="B737">
        <v>61</v>
      </c>
      <c r="C737" t="s">
        <v>27</v>
      </c>
      <c r="D737" t="s">
        <v>28</v>
      </c>
      <c r="E737" t="s">
        <v>29</v>
      </c>
      <c r="F737" s="2">
        <v>48</v>
      </c>
      <c r="G737" t="s">
        <v>39</v>
      </c>
      <c r="H737" t="s">
        <v>31</v>
      </c>
      <c r="I737" t="s">
        <v>108</v>
      </c>
      <c r="J737" t="s">
        <v>47</v>
      </c>
      <c r="K737">
        <v>3.6</v>
      </c>
      <c r="L737" t="s">
        <v>34</v>
      </c>
      <c r="M737" t="s">
        <v>41</v>
      </c>
      <c r="N737" t="s">
        <v>34</v>
      </c>
      <c r="O737">
        <v>48</v>
      </c>
      <c r="P737" t="s">
        <v>25</v>
      </c>
      <c r="Q737" t="s">
        <v>68</v>
      </c>
      <c r="R737" s="1">
        <v>0.1</v>
      </c>
      <c r="S737">
        <f t="shared" si="44"/>
        <v>43.2</v>
      </c>
      <c r="T737">
        <f>IFERROR(VLOOKUP(A737,Table1[[Customer ID]:[Discount Amount]], 6, FALSE),"Not Found")</f>
        <v>48</v>
      </c>
      <c r="U737" t="str">
        <f t="shared" si="45"/>
        <v>Cash</v>
      </c>
      <c r="V737" s="4" t="str">
        <f t="shared" si="46"/>
        <v>Normal</v>
      </c>
      <c r="W737" s="4" t="str">
        <f t="shared" si="47"/>
        <v>Good</v>
      </c>
      <c r="X737" s="4">
        <f>AVERAGE(Table1[Purchase Amount])</f>
        <v>129.48419400000012</v>
      </c>
    </row>
    <row r="738" spans="1:24" ht="15" customHeight="1" x14ac:dyDescent="0.25">
      <c r="A738">
        <v>737</v>
      </c>
      <c r="B738">
        <v>18</v>
      </c>
      <c r="C738" t="s">
        <v>27</v>
      </c>
      <c r="D738" t="s">
        <v>157</v>
      </c>
      <c r="E738" t="s">
        <v>18</v>
      </c>
      <c r="F738" s="2">
        <v>58</v>
      </c>
      <c r="G738" t="s">
        <v>92</v>
      </c>
      <c r="H738" t="s">
        <v>45</v>
      </c>
      <c r="I738" t="s">
        <v>125</v>
      </c>
      <c r="J738" t="s">
        <v>33</v>
      </c>
      <c r="K738">
        <v>2.9</v>
      </c>
      <c r="L738" t="s">
        <v>34</v>
      </c>
      <c r="M738" t="s">
        <v>41</v>
      </c>
      <c r="N738" t="s">
        <v>34</v>
      </c>
      <c r="O738">
        <v>32</v>
      </c>
      <c r="P738" t="s">
        <v>53</v>
      </c>
      <c r="Q738" t="s">
        <v>63</v>
      </c>
      <c r="R738" s="1">
        <v>0.1</v>
      </c>
      <c r="S738">
        <f t="shared" si="44"/>
        <v>52.2</v>
      </c>
      <c r="T738">
        <f>IFERROR(VLOOKUP(A738,Table1[[Customer ID]:[Discount Amount]], 6, FALSE),"Not Found")</f>
        <v>58</v>
      </c>
      <c r="U738" t="str">
        <f t="shared" si="45"/>
        <v>Credit Card</v>
      </c>
      <c r="V738" s="4" t="str">
        <f t="shared" si="46"/>
        <v>Normal</v>
      </c>
      <c r="W738" s="4" t="str">
        <f t="shared" si="47"/>
        <v>Poor</v>
      </c>
      <c r="X738" s="4">
        <f>AVERAGE(Table1[Purchase Amount])</f>
        <v>129.48419400000012</v>
      </c>
    </row>
    <row r="739" spans="1:24" ht="15" customHeight="1" x14ac:dyDescent="0.25">
      <c r="A739">
        <v>738</v>
      </c>
      <c r="B739">
        <v>47</v>
      </c>
      <c r="C739" t="s">
        <v>27</v>
      </c>
      <c r="D739" t="s">
        <v>28</v>
      </c>
      <c r="E739" t="s">
        <v>29</v>
      </c>
      <c r="F739" s="2">
        <v>24</v>
      </c>
      <c r="G739" t="s">
        <v>137</v>
      </c>
      <c r="H739" t="s">
        <v>31</v>
      </c>
      <c r="I739" t="s">
        <v>147</v>
      </c>
      <c r="J739" t="s">
        <v>33</v>
      </c>
      <c r="K739">
        <v>3.6</v>
      </c>
      <c r="L739" t="s">
        <v>34</v>
      </c>
      <c r="M739" t="s">
        <v>48</v>
      </c>
      <c r="N739" t="s">
        <v>34</v>
      </c>
      <c r="O739">
        <v>28</v>
      </c>
      <c r="P739" t="s">
        <v>58</v>
      </c>
      <c r="Q739" t="s">
        <v>49</v>
      </c>
      <c r="R739" s="1">
        <v>0.1</v>
      </c>
      <c r="S739">
        <f t="shared" si="44"/>
        <v>21.6</v>
      </c>
      <c r="T739">
        <f>IFERROR(VLOOKUP(A739,Table1[[Customer ID]:[Discount Amount]], 6, FALSE),"Not Found")</f>
        <v>24</v>
      </c>
      <c r="U739" t="str">
        <f t="shared" si="45"/>
        <v>PayPal</v>
      </c>
      <c r="V739" s="4" t="str">
        <f t="shared" si="46"/>
        <v>Normal</v>
      </c>
      <c r="W739" s="4" t="str">
        <f t="shared" si="47"/>
        <v>Good</v>
      </c>
      <c r="X739" s="4">
        <f>AVERAGE(Table1[Purchase Amount])</f>
        <v>129.48419400000012</v>
      </c>
    </row>
    <row r="740" spans="1:24" ht="15" customHeight="1" x14ac:dyDescent="0.25">
      <c r="A740">
        <v>739</v>
      </c>
      <c r="B740">
        <v>56</v>
      </c>
      <c r="C740" t="s">
        <v>27</v>
      </c>
      <c r="D740" t="s">
        <v>28</v>
      </c>
      <c r="E740" t="s">
        <v>29</v>
      </c>
      <c r="F740" s="2">
        <v>31</v>
      </c>
      <c r="G740" t="s">
        <v>120</v>
      </c>
      <c r="H740" t="s">
        <v>45</v>
      </c>
      <c r="I740" t="s">
        <v>108</v>
      </c>
      <c r="J740" t="s">
        <v>22</v>
      </c>
      <c r="K740">
        <v>3.5</v>
      </c>
      <c r="L740" t="s">
        <v>34</v>
      </c>
      <c r="M740" t="s">
        <v>41</v>
      </c>
      <c r="N740" t="s">
        <v>34</v>
      </c>
      <c r="O740">
        <v>27</v>
      </c>
      <c r="P740" t="s">
        <v>62</v>
      </c>
      <c r="Q740" t="s">
        <v>37</v>
      </c>
      <c r="R740" s="1">
        <v>0.1</v>
      </c>
      <c r="S740">
        <f t="shared" si="44"/>
        <v>27.9</v>
      </c>
      <c r="T740">
        <f>IFERROR(VLOOKUP(A740,Table1[[Customer ID]:[Discount Amount]], 6, FALSE),"Not Found")</f>
        <v>31</v>
      </c>
      <c r="U740" t="str">
        <f t="shared" si="45"/>
        <v>Venmo</v>
      </c>
      <c r="V740" s="4" t="str">
        <f t="shared" si="46"/>
        <v>Normal</v>
      </c>
      <c r="W740" s="4" t="str">
        <f t="shared" si="47"/>
        <v>Good</v>
      </c>
      <c r="X740" s="4">
        <f>AVERAGE(Table1[Purchase Amount])</f>
        <v>129.48419400000012</v>
      </c>
    </row>
    <row r="741" spans="1:24" ht="15" customHeight="1" x14ac:dyDescent="0.25">
      <c r="A741">
        <v>740</v>
      </c>
      <c r="B741">
        <v>64</v>
      </c>
      <c r="C741" t="s">
        <v>27</v>
      </c>
      <c r="D741" t="s">
        <v>54</v>
      </c>
      <c r="E741" t="s">
        <v>18</v>
      </c>
      <c r="F741" s="2">
        <v>29</v>
      </c>
      <c r="G741" t="s">
        <v>120</v>
      </c>
      <c r="H741" t="s">
        <v>55</v>
      </c>
      <c r="I741" t="s">
        <v>66</v>
      </c>
      <c r="J741" t="s">
        <v>57</v>
      </c>
      <c r="K741">
        <v>3.5</v>
      </c>
      <c r="L741" t="s">
        <v>34</v>
      </c>
      <c r="M741" t="s">
        <v>35</v>
      </c>
      <c r="N741" t="s">
        <v>34</v>
      </c>
      <c r="O741">
        <v>26</v>
      </c>
      <c r="P741" t="s">
        <v>62</v>
      </c>
      <c r="Q741" t="s">
        <v>68</v>
      </c>
      <c r="R741" s="1">
        <v>0.1</v>
      </c>
      <c r="S741">
        <f t="shared" si="44"/>
        <v>26.1</v>
      </c>
      <c r="T741">
        <f>IFERROR(VLOOKUP(A741,Table1[[Customer ID]:[Discount Amount]], 6, FALSE),"Not Found")</f>
        <v>29</v>
      </c>
      <c r="U741" t="str">
        <f t="shared" si="45"/>
        <v>Venmo</v>
      </c>
      <c r="V741" s="4" t="str">
        <f t="shared" si="46"/>
        <v>Normal</v>
      </c>
      <c r="W741" s="4" t="str">
        <f t="shared" si="47"/>
        <v>Good</v>
      </c>
      <c r="X741" s="4">
        <f>AVERAGE(Table1[Purchase Amount])</f>
        <v>129.48419400000012</v>
      </c>
    </row>
    <row r="742" spans="1:24" ht="15" customHeight="1" x14ac:dyDescent="0.25">
      <c r="A742">
        <v>741</v>
      </c>
      <c r="B742">
        <v>26</v>
      </c>
      <c r="C742" t="s">
        <v>27</v>
      </c>
      <c r="D742" t="s">
        <v>109</v>
      </c>
      <c r="E742" t="s">
        <v>18</v>
      </c>
      <c r="F742" s="2">
        <v>69</v>
      </c>
      <c r="G742" t="s">
        <v>130</v>
      </c>
      <c r="H742" t="s">
        <v>31</v>
      </c>
      <c r="I742" t="s">
        <v>108</v>
      </c>
      <c r="J742" t="s">
        <v>57</v>
      </c>
      <c r="K742">
        <v>2.8</v>
      </c>
      <c r="L742" t="s">
        <v>34</v>
      </c>
      <c r="M742" t="s">
        <v>79</v>
      </c>
      <c r="N742" t="s">
        <v>34</v>
      </c>
      <c r="O742">
        <v>22</v>
      </c>
      <c r="P742" t="s">
        <v>53</v>
      </c>
      <c r="Q742" t="s">
        <v>89</v>
      </c>
      <c r="R742" s="1">
        <v>0.1</v>
      </c>
      <c r="S742">
        <f t="shared" si="44"/>
        <v>62.1</v>
      </c>
      <c r="T742">
        <f>IFERROR(VLOOKUP(A742,Table1[[Customer ID]:[Discount Amount]], 6, FALSE),"Not Found")</f>
        <v>69</v>
      </c>
      <c r="U742" t="str">
        <f t="shared" si="45"/>
        <v>Credit Card</v>
      </c>
      <c r="V742" s="4" t="str">
        <f t="shared" si="46"/>
        <v>Normal</v>
      </c>
      <c r="W742" s="4" t="str">
        <f t="shared" si="47"/>
        <v>Poor</v>
      </c>
      <c r="X742" s="4">
        <f>AVERAGE(Table1[Purchase Amount])</f>
        <v>129.48419400000012</v>
      </c>
    </row>
    <row r="743" spans="1:24" ht="15" customHeight="1" x14ac:dyDescent="0.25">
      <c r="A743">
        <v>742</v>
      </c>
      <c r="B743">
        <v>22</v>
      </c>
      <c r="C743" t="s">
        <v>27</v>
      </c>
      <c r="D743" t="s">
        <v>17</v>
      </c>
      <c r="E743" t="s">
        <v>18</v>
      </c>
      <c r="F743" s="2">
        <v>79</v>
      </c>
      <c r="G743" t="s">
        <v>154</v>
      </c>
      <c r="H743" t="s">
        <v>20</v>
      </c>
      <c r="I743" t="s">
        <v>52</v>
      </c>
      <c r="J743" t="s">
        <v>57</v>
      </c>
      <c r="K743">
        <v>4.7</v>
      </c>
      <c r="L743" t="s">
        <v>34</v>
      </c>
      <c r="M743" t="s">
        <v>35</v>
      </c>
      <c r="N743" t="s">
        <v>34</v>
      </c>
      <c r="O743">
        <v>23</v>
      </c>
      <c r="P743" t="s">
        <v>88</v>
      </c>
      <c r="Q743" t="s">
        <v>63</v>
      </c>
      <c r="R743" s="1">
        <v>0.1</v>
      </c>
      <c r="S743">
        <f t="shared" si="44"/>
        <v>71.099999999999994</v>
      </c>
      <c r="T743">
        <f>IFERROR(VLOOKUP(A743,Table1[[Customer ID]:[Discount Amount]], 6, FALSE),"Not Found")</f>
        <v>79</v>
      </c>
      <c r="U743" t="str">
        <f t="shared" si="45"/>
        <v>Bank Transfer</v>
      </c>
      <c r="V743" s="4" t="str">
        <f t="shared" si="46"/>
        <v>Normal</v>
      </c>
      <c r="W743" s="4" t="str">
        <f t="shared" si="47"/>
        <v>Good</v>
      </c>
      <c r="X743" s="4">
        <f>AVERAGE(Table1[Purchase Amount])</f>
        <v>129.48419400000012</v>
      </c>
    </row>
    <row r="744" spans="1:24" ht="15" customHeight="1" x14ac:dyDescent="0.25">
      <c r="A744">
        <v>743</v>
      </c>
      <c r="B744">
        <v>64</v>
      </c>
      <c r="C744" t="s">
        <v>27</v>
      </c>
      <c r="D744" t="s">
        <v>99</v>
      </c>
      <c r="E744" t="s">
        <v>18</v>
      </c>
      <c r="F744" s="2">
        <v>39</v>
      </c>
      <c r="G744" t="s">
        <v>158</v>
      </c>
      <c r="H744" t="s">
        <v>31</v>
      </c>
      <c r="I744" t="s">
        <v>103</v>
      </c>
      <c r="J744" t="s">
        <v>57</v>
      </c>
      <c r="K744">
        <v>3.1</v>
      </c>
      <c r="L744" t="s">
        <v>34</v>
      </c>
      <c r="M744" t="s">
        <v>61</v>
      </c>
      <c r="N744" t="s">
        <v>34</v>
      </c>
      <c r="O744">
        <v>21</v>
      </c>
      <c r="P744" t="s">
        <v>36</v>
      </c>
      <c r="Q744" t="s">
        <v>37</v>
      </c>
      <c r="R744" s="1">
        <v>0.1</v>
      </c>
      <c r="S744">
        <f t="shared" si="44"/>
        <v>35.1</v>
      </c>
      <c r="T744">
        <f>IFERROR(VLOOKUP(A744,Table1[[Customer ID]:[Discount Amount]], 6, FALSE),"Not Found")</f>
        <v>39</v>
      </c>
      <c r="U744" t="str">
        <f t="shared" si="45"/>
        <v>Debit Card</v>
      </c>
      <c r="V744" s="4" t="str">
        <f t="shared" si="46"/>
        <v>Normal</v>
      </c>
      <c r="W744" s="4" t="str">
        <f t="shared" si="47"/>
        <v>Good</v>
      </c>
      <c r="X744" s="4">
        <f>AVERAGE(Table1[Purchase Amount])</f>
        <v>129.48419400000012</v>
      </c>
    </row>
    <row r="745" spans="1:24" ht="15" customHeight="1" x14ac:dyDescent="0.25">
      <c r="A745">
        <v>744</v>
      </c>
      <c r="B745">
        <v>21</v>
      </c>
      <c r="C745" t="s">
        <v>27</v>
      </c>
      <c r="D745" t="s">
        <v>28</v>
      </c>
      <c r="E745" t="s">
        <v>29</v>
      </c>
      <c r="F745" s="2">
        <v>84</v>
      </c>
      <c r="G745" t="s">
        <v>134</v>
      </c>
      <c r="H745" t="s">
        <v>45</v>
      </c>
      <c r="I745" t="s">
        <v>85</v>
      </c>
      <c r="J745" t="s">
        <v>47</v>
      </c>
      <c r="K745">
        <v>4.9000000000000004</v>
      </c>
      <c r="L745" t="s">
        <v>34</v>
      </c>
      <c r="M745" t="s">
        <v>35</v>
      </c>
      <c r="N745" t="s">
        <v>34</v>
      </c>
      <c r="O745">
        <v>36</v>
      </c>
      <c r="P745" t="s">
        <v>25</v>
      </c>
      <c r="Q745" t="s">
        <v>26</v>
      </c>
      <c r="R745" s="1">
        <v>0.1</v>
      </c>
      <c r="S745">
        <f t="shared" si="44"/>
        <v>75.599999999999994</v>
      </c>
      <c r="T745">
        <f>IFERROR(VLOOKUP(A745,Table1[[Customer ID]:[Discount Amount]], 6, FALSE),"Not Found")</f>
        <v>84</v>
      </c>
      <c r="U745" t="str">
        <f t="shared" si="45"/>
        <v>Cash</v>
      </c>
      <c r="V745" s="4" t="str">
        <f t="shared" si="46"/>
        <v>Normal</v>
      </c>
      <c r="W745" s="4" t="str">
        <f t="shared" si="47"/>
        <v>Good</v>
      </c>
      <c r="X745" s="4">
        <f>AVERAGE(Table1[Purchase Amount])</f>
        <v>129.48419400000012</v>
      </c>
    </row>
    <row r="746" spans="1:24" ht="15" customHeight="1" x14ac:dyDescent="0.25">
      <c r="A746">
        <v>745</v>
      </c>
      <c r="B746">
        <v>67</v>
      </c>
      <c r="C746" t="s">
        <v>27</v>
      </c>
      <c r="D746" t="s">
        <v>151</v>
      </c>
      <c r="E746" t="s">
        <v>98</v>
      </c>
      <c r="F746" s="2">
        <v>66</v>
      </c>
      <c r="G746" t="s">
        <v>44</v>
      </c>
      <c r="H746" t="s">
        <v>55</v>
      </c>
      <c r="I746" t="s">
        <v>103</v>
      </c>
      <c r="J746" t="s">
        <v>33</v>
      </c>
      <c r="K746">
        <v>4.0999999999999996</v>
      </c>
      <c r="L746" t="s">
        <v>34</v>
      </c>
      <c r="M746" t="s">
        <v>79</v>
      </c>
      <c r="N746" t="s">
        <v>34</v>
      </c>
      <c r="O746">
        <v>42</v>
      </c>
      <c r="P746" t="s">
        <v>36</v>
      </c>
      <c r="Q746" t="s">
        <v>68</v>
      </c>
      <c r="R746" s="1">
        <v>0.1</v>
      </c>
      <c r="S746">
        <f t="shared" si="44"/>
        <v>59.4</v>
      </c>
      <c r="T746">
        <f>IFERROR(VLOOKUP(A746,Table1[[Customer ID]:[Discount Amount]], 6, FALSE),"Not Found")</f>
        <v>66</v>
      </c>
      <c r="U746" t="str">
        <f t="shared" si="45"/>
        <v>Debit Card</v>
      </c>
      <c r="V746" s="4" t="str">
        <f t="shared" si="46"/>
        <v>Normal</v>
      </c>
      <c r="W746" s="4" t="str">
        <f t="shared" si="47"/>
        <v>Good</v>
      </c>
      <c r="X746" s="4">
        <f>AVERAGE(Table1[Purchase Amount])</f>
        <v>129.48419400000012</v>
      </c>
    </row>
    <row r="747" spans="1:24" ht="15" customHeight="1" x14ac:dyDescent="0.25">
      <c r="A747">
        <v>746</v>
      </c>
      <c r="B747">
        <v>46</v>
      </c>
      <c r="C747" t="s">
        <v>27</v>
      </c>
      <c r="D747" t="s">
        <v>17</v>
      </c>
      <c r="E747" t="s">
        <v>18</v>
      </c>
      <c r="F747" s="2">
        <v>92</v>
      </c>
      <c r="G747" t="s">
        <v>113</v>
      </c>
      <c r="H747" t="s">
        <v>45</v>
      </c>
      <c r="I747" t="s">
        <v>108</v>
      </c>
      <c r="J747" t="s">
        <v>47</v>
      </c>
      <c r="K747">
        <v>4.7</v>
      </c>
      <c r="L747" t="s">
        <v>34</v>
      </c>
      <c r="M747" t="s">
        <v>24</v>
      </c>
      <c r="N747" t="s">
        <v>34</v>
      </c>
      <c r="O747">
        <v>4</v>
      </c>
      <c r="P747" t="s">
        <v>62</v>
      </c>
      <c r="Q747" t="s">
        <v>42</v>
      </c>
      <c r="R747" s="1">
        <v>0.1</v>
      </c>
      <c r="S747">
        <f t="shared" si="44"/>
        <v>82.8</v>
      </c>
      <c r="T747">
        <f>IFERROR(VLOOKUP(A747,Table1[[Customer ID]:[Discount Amount]], 6, FALSE),"Not Found")</f>
        <v>92</v>
      </c>
      <c r="U747" t="str">
        <f t="shared" si="45"/>
        <v>Venmo</v>
      </c>
      <c r="V747" s="4" t="str">
        <f t="shared" si="46"/>
        <v>Normal</v>
      </c>
      <c r="W747" s="4" t="str">
        <f t="shared" si="47"/>
        <v>Good</v>
      </c>
      <c r="X747" s="4">
        <f>AVERAGE(Table1[Purchase Amount])</f>
        <v>129.48419400000012</v>
      </c>
    </row>
    <row r="748" spans="1:24" ht="15" customHeight="1" x14ac:dyDescent="0.25">
      <c r="A748">
        <v>747</v>
      </c>
      <c r="B748">
        <v>40</v>
      </c>
      <c r="C748" t="s">
        <v>27</v>
      </c>
      <c r="D748" t="s">
        <v>121</v>
      </c>
      <c r="E748" t="s">
        <v>98</v>
      </c>
      <c r="F748" s="2">
        <v>45</v>
      </c>
      <c r="G748" t="s">
        <v>113</v>
      </c>
      <c r="H748" t="s">
        <v>31</v>
      </c>
      <c r="I748" t="s">
        <v>46</v>
      </c>
      <c r="J748" t="s">
        <v>22</v>
      </c>
      <c r="K748">
        <v>2.5</v>
      </c>
      <c r="L748" t="s">
        <v>34</v>
      </c>
      <c r="M748" t="s">
        <v>35</v>
      </c>
      <c r="N748" t="s">
        <v>34</v>
      </c>
      <c r="O748">
        <v>47</v>
      </c>
      <c r="P748" t="s">
        <v>53</v>
      </c>
      <c r="Q748" t="s">
        <v>49</v>
      </c>
      <c r="R748" s="1">
        <v>0.1</v>
      </c>
      <c r="S748">
        <f t="shared" si="44"/>
        <v>40.5</v>
      </c>
      <c r="T748">
        <f>IFERROR(VLOOKUP(A748,Table1[[Customer ID]:[Discount Amount]], 6, FALSE),"Not Found")</f>
        <v>45</v>
      </c>
      <c r="U748" t="str">
        <f t="shared" si="45"/>
        <v>Credit Card</v>
      </c>
      <c r="V748" s="4" t="str">
        <f t="shared" si="46"/>
        <v>Normal</v>
      </c>
      <c r="W748" s="4" t="str">
        <f t="shared" si="47"/>
        <v>Poor</v>
      </c>
      <c r="X748" s="4">
        <f>AVERAGE(Table1[Purchase Amount])</f>
        <v>129.48419400000012</v>
      </c>
    </row>
    <row r="749" spans="1:24" ht="15" customHeight="1" x14ac:dyDescent="0.25">
      <c r="A749">
        <v>748</v>
      </c>
      <c r="B749">
        <v>51</v>
      </c>
      <c r="C749" t="s">
        <v>27</v>
      </c>
      <c r="D749" t="s">
        <v>54</v>
      </c>
      <c r="E749" t="s">
        <v>18</v>
      </c>
      <c r="F749" s="2">
        <v>74</v>
      </c>
      <c r="G749" t="s">
        <v>142</v>
      </c>
      <c r="H749" t="s">
        <v>45</v>
      </c>
      <c r="I749" t="s">
        <v>133</v>
      </c>
      <c r="J749" t="s">
        <v>33</v>
      </c>
      <c r="K749">
        <v>4.4000000000000004</v>
      </c>
      <c r="L749" t="s">
        <v>34</v>
      </c>
      <c r="M749" t="s">
        <v>79</v>
      </c>
      <c r="N749" t="s">
        <v>34</v>
      </c>
      <c r="O749">
        <v>13</v>
      </c>
      <c r="P749" t="s">
        <v>88</v>
      </c>
      <c r="Q749" t="s">
        <v>26</v>
      </c>
      <c r="R749" s="1">
        <v>0.1</v>
      </c>
      <c r="S749">
        <f t="shared" si="44"/>
        <v>66.599999999999994</v>
      </c>
      <c r="T749">
        <f>IFERROR(VLOOKUP(A749,Table1[[Customer ID]:[Discount Amount]], 6, FALSE),"Not Found")</f>
        <v>74</v>
      </c>
      <c r="U749" t="str">
        <f t="shared" si="45"/>
        <v>Bank Transfer</v>
      </c>
      <c r="V749" s="4" t="str">
        <f t="shared" si="46"/>
        <v>Normal</v>
      </c>
      <c r="W749" s="4" t="str">
        <f t="shared" si="47"/>
        <v>Good</v>
      </c>
      <c r="X749" s="4">
        <f>AVERAGE(Table1[Purchase Amount])</f>
        <v>129.48419400000012</v>
      </c>
    </row>
    <row r="750" spans="1:24" ht="15" customHeight="1" x14ac:dyDescent="0.25">
      <c r="A750">
        <v>749</v>
      </c>
      <c r="B750">
        <v>35</v>
      </c>
      <c r="C750" t="s">
        <v>27</v>
      </c>
      <c r="D750" t="s">
        <v>64</v>
      </c>
      <c r="E750" t="s">
        <v>29</v>
      </c>
      <c r="F750" s="2">
        <v>39</v>
      </c>
      <c r="G750" t="s">
        <v>130</v>
      </c>
      <c r="H750" t="s">
        <v>45</v>
      </c>
      <c r="I750" t="s">
        <v>60</v>
      </c>
      <c r="J750" t="s">
        <v>47</v>
      </c>
      <c r="K750">
        <v>3.9</v>
      </c>
      <c r="L750" t="s">
        <v>34</v>
      </c>
      <c r="M750" t="s">
        <v>35</v>
      </c>
      <c r="N750" t="s">
        <v>34</v>
      </c>
      <c r="O750">
        <v>8</v>
      </c>
      <c r="P750" t="s">
        <v>88</v>
      </c>
      <c r="Q750" t="s">
        <v>37</v>
      </c>
      <c r="R750" s="1">
        <v>0.1</v>
      </c>
      <c r="S750">
        <f t="shared" si="44"/>
        <v>35.1</v>
      </c>
      <c r="T750">
        <f>IFERROR(VLOOKUP(A750,Table1[[Customer ID]:[Discount Amount]], 6, FALSE),"Not Found")</f>
        <v>39</v>
      </c>
      <c r="U750" t="str">
        <f t="shared" si="45"/>
        <v>Bank Transfer</v>
      </c>
      <c r="V750" s="4" t="str">
        <f t="shared" si="46"/>
        <v>Normal</v>
      </c>
      <c r="W750" s="4" t="str">
        <f t="shared" si="47"/>
        <v>Good</v>
      </c>
      <c r="X750" s="4">
        <f>AVERAGE(Table1[Purchase Amount])</f>
        <v>129.48419400000012</v>
      </c>
    </row>
    <row r="751" spans="1:24" ht="15" customHeight="1" x14ac:dyDescent="0.25">
      <c r="A751">
        <v>750</v>
      </c>
      <c r="B751">
        <v>56</v>
      </c>
      <c r="C751" t="s">
        <v>27</v>
      </c>
      <c r="D751" t="s">
        <v>129</v>
      </c>
      <c r="E751" t="s">
        <v>29</v>
      </c>
      <c r="F751" s="2">
        <v>71</v>
      </c>
      <c r="G751" t="s">
        <v>142</v>
      </c>
      <c r="H751" t="s">
        <v>31</v>
      </c>
      <c r="I751" t="s">
        <v>21</v>
      </c>
      <c r="J751" t="s">
        <v>22</v>
      </c>
      <c r="K751">
        <v>3.7</v>
      </c>
      <c r="L751" t="s">
        <v>34</v>
      </c>
      <c r="M751" t="s">
        <v>24</v>
      </c>
      <c r="N751" t="s">
        <v>34</v>
      </c>
      <c r="O751">
        <v>11</v>
      </c>
      <c r="P751" t="s">
        <v>36</v>
      </c>
      <c r="Q751" t="s">
        <v>37</v>
      </c>
      <c r="R751" s="1">
        <v>0.1</v>
      </c>
      <c r="S751">
        <f t="shared" si="44"/>
        <v>63.9</v>
      </c>
      <c r="T751">
        <f>IFERROR(VLOOKUP(A751,Table1[[Customer ID]:[Discount Amount]], 6, FALSE),"Not Found")</f>
        <v>71</v>
      </c>
      <c r="U751" t="str">
        <f t="shared" si="45"/>
        <v>Debit Card</v>
      </c>
      <c r="V751" s="4" t="str">
        <f t="shared" si="46"/>
        <v>Normal</v>
      </c>
      <c r="W751" s="4" t="str">
        <f t="shared" si="47"/>
        <v>Good</v>
      </c>
      <c r="X751" s="4">
        <f>AVERAGE(Table1[Purchase Amount])</f>
        <v>129.48419400000012</v>
      </c>
    </row>
    <row r="752" spans="1:24" ht="15" customHeight="1" x14ac:dyDescent="0.25">
      <c r="A752">
        <v>751</v>
      </c>
      <c r="B752">
        <v>25</v>
      </c>
      <c r="C752" t="s">
        <v>27</v>
      </c>
      <c r="D752" t="s">
        <v>17</v>
      </c>
      <c r="E752" t="s">
        <v>18</v>
      </c>
      <c r="F752" s="2">
        <v>95</v>
      </c>
      <c r="G752" t="s">
        <v>106</v>
      </c>
      <c r="H752" t="s">
        <v>45</v>
      </c>
      <c r="I752" t="s">
        <v>111</v>
      </c>
      <c r="J752" t="s">
        <v>47</v>
      </c>
      <c r="K752">
        <v>3.4</v>
      </c>
      <c r="L752" t="s">
        <v>34</v>
      </c>
      <c r="M752" t="s">
        <v>35</v>
      </c>
      <c r="N752" t="s">
        <v>34</v>
      </c>
      <c r="O752">
        <v>5</v>
      </c>
      <c r="P752" t="s">
        <v>62</v>
      </c>
      <c r="Q752" t="s">
        <v>49</v>
      </c>
      <c r="R752" s="1">
        <v>0.1</v>
      </c>
      <c r="S752">
        <f t="shared" si="44"/>
        <v>85.5</v>
      </c>
      <c r="T752">
        <f>IFERROR(VLOOKUP(A752,Table1[[Customer ID]:[Discount Amount]], 6, FALSE),"Not Found")</f>
        <v>95</v>
      </c>
      <c r="U752" t="str">
        <f t="shared" si="45"/>
        <v>Venmo</v>
      </c>
      <c r="V752" s="4" t="str">
        <f t="shared" si="46"/>
        <v>Normal</v>
      </c>
      <c r="W752" s="4" t="str">
        <f t="shared" si="47"/>
        <v>Good</v>
      </c>
      <c r="X752" s="4">
        <f>AVERAGE(Table1[Purchase Amount])</f>
        <v>129.48419400000012</v>
      </c>
    </row>
    <row r="753" spans="1:24" ht="15" customHeight="1" x14ac:dyDescent="0.25">
      <c r="A753">
        <v>752</v>
      </c>
      <c r="B753">
        <v>65</v>
      </c>
      <c r="C753" t="s">
        <v>27</v>
      </c>
      <c r="D753" t="s">
        <v>43</v>
      </c>
      <c r="E753" t="s">
        <v>29</v>
      </c>
      <c r="F753" s="2">
        <v>72</v>
      </c>
      <c r="G753" t="s">
        <v>90</v>
      </c>
      <c r="H753" t="s">
        <v>45</v>
      </c>
      <c r="I753" t="s">
        <v>91</v>
      </c>
      <c r="J753" t="s">
        <v>47</v>
      </c>
      <c r="K753">
        <v>4.8</v>
      </c>
      <c r="L753" t="s">
        <v>34</v>
      </c>
      <c r="M753" t="s">
        <v>35</v>
      </c>
      <c r="N753" t="s">
        <v>34</v>
      </c>
      <c r="O753">
        <v>1</v>
      </c>
      <c r="P753" t="s">
        <v>53</v>
      </c>
      <c r="Q753" t="s">
        <v>42</v>
      </c>
      <c r="R753" s="1">
        <v>0.1</v>
      </c>
      <c r="S753">
        <f t="shared" si="44"/>
        <v>64.8</v>
      </c>
      <c r="T753">
        <f>IFERROR(VLOOKUP(A753,Table1[[Customer ID]:[Discount Amount]], 6, FALSE),"Not Found")</f>
        <v>72</v>
      </c>
      <c r="U753" t="str">
        <f t="shared" si="45"/>
        <v>Credit Card</v>
      </c>
      <c r="V753" s="4" t="str">
        <f t="shared" si="46"/>
        <v>Normal</v>
      </c>
      <c r="W753" s="4" t="str">
        <f t="shared" si="47"/>
        <v>Good</v>
      </c>
      <c r="X753" s="4">
        <f>AVERAGE(Table1[Purchase Amount])</f>
        <v>129.48419400000012</v>
      </c>
    </row>
    <row r="754" spans="1:24" ht="15" customHeight="1" x14ac:dyDescent="0.25">
      <c r="A754">
        <v>753</v>
      </c>
      <c r="B754">
        <v>39</v>
      </c>
      <c r="C754" t="s">
        <v>27</v>
      </c>
      <c r="D754" t="s">
        <v>129</v>
      </c>
      <c r="E754" t="s">
        <v>29</v>
      </c>
      <c r="F754" s="2">
        <v>85</v>
      </c>
      <c r="G754" t="s">
        <v>90</v>
      </c>
      <c r="H754" t="s">
        <v>45</v>
      </c>
      <c r="I754" t="s">
        <v>52</v>
      </c>
      <c r="J754" t="s">
        <v>47</v>
      </c>
      <c r="K754">
        <v>4.2</v>
      </c>
      <c r="L754" t="s">
        <v>34</v>
      </c>
      <c r="M754" t="s">
        <v>41</v>
      </c>
      <c r="N754" t="s">
        <v>34</v>
      </c>
      <c r="O754">
        <v>17</v>
      </c>
      <c r="P754" t="s">
        <v>58</v>
      </c>
      <c r="Q754" t="s">
        <v>63</v>
      </c>
      <c r="R754" s="1">
        <v>0.1</v>
      </c>
      <c r="S754">
        <f t="shared" si="44"/>
        <v>76.5</v>
      </c>
      <c r="T754">
        <f>IFERROR(VLOOKUP(A754,Table1[[Customer ID]:[Discount Amount]], 6, FALSE),"Not Found")</f>
        <v>85</v>
      </c>
      <c r="U754" t="str">
        <f t="shared" si="45"/>
        <v>PayPal</v>
      </c>
      <c r="V754" s="4" t="str">
        <f t="shared" si="46"/>
        <v>Normal</v>
      </c>
      <c r="W754" s="4" t="str">
        <f t="shared" si="47"/>
        <v>Good</v>
      </c>
      <c r="X754" s="4">
        <f>AVERAGE(Table1[Purchase Amount])</f>
        <v>129.48419400000012</v>
      </c>
    </row>
    <row r="755" spans="1:24" ht="15" customHeight="1" x14ac:dyDescent="0.25">
      <c r="A755">
        <v>754</v>
      </c>
      <c r="B755">
        <v>47</v>
      </c>
      <c r="C755" t="s">
        <v>27</v>
      </c>
      <c r="D755" t="s">
        <v>151</v>
      </c>
      <c r="E755" t="s">
        <v>98</v>
      </c>
      <c r="F755" s="2">
        <v>54</v>
      </c>
      <c r="G755" t="s">
        <v>97</v>
      </c>
      <c r="H755" t="s">
        <v>31</v>
      </c>
      <c r="I755" t="s">
        <v>147</v>
      </c>
      <c r="J755" t="s">
        <v>47</v>
      </c>
      <c r="K755">
        <v>3.4</v>
      </c>
      <c r="L755" t="s">
        <v>34</v>
      </c>
      <c r="M755" t="s">
        <v>48</v>
      </c>
      <c r="N755" t="s">
        <v>34</v>
      </c>
      <c r="O755">
        <v>27</v>
      </c>
      <c r="P755" t="s">
        <v>62</v>
      </c>
      <c r="Q755" t="s">
        <v>37</v>
      </c>
      <c r="R755" s="1">
        <v>0.1</v>
      </c>
      <c r="S755">
        <f t="shared" si="44"/>
        <v>48.6</v>
      </c>
      <c r="T755">
        <f>IFERROR(VLOOKUP(A755,Table1[[Customer ID]:[Discount Amount]], 6, FALSE),"Not Found")</f>
        <v>54</v>
      </c>
      <c r="U755" t="str">
        <f t="shared" si="45"/>
        <v>Venmo</v>
      </c>
      <c r="V755" s="4" t="str">
        <f t="shared" si="46"/>
        <v>Normal</v>
      </c>
      <c r="W755" s="4" t="str">
        <f t="shared" si="47"/>
        <v>Good</v>
      </c>
      <c r="X755" s="4">
        <f>AVERAGE(Table1[Purchase Amount])</f>
        <v>129.48419400000012</v>
      </c>
    </row>
    <row r="756" spans="1:24" ht="15" customHeight="1" x14ac:dyDescent="0.25">
      <c r="A756">
        <v>755</v>
      </c>
      <c r="B756">
        <v>36</v>
      </c>
      <c r="C756" t="s">
        <v>27</v>
      </c>
      <c r="D756" t="s">
        <v>43</v>
      </c>
      <c r="E756" t="s">
        <v>29</v>
      </c>
      <c r="F756" s="2">
        <v>41</v>
      </c>
      <c r="G756" t="s">
        <v>134</v>
      </c>
      <c r="H756" t="s">
        <v>45</v>
      </c>
      <c r="I756" t="s">
        <v>136</v>
      </c>
      <c r="J756" t="s">
        <v>33</v>
      </c>
      <c r="K756">
        <v>2.9</v>
      </c>
      <c r="L756" t="s">
        <v>34</v>
      </c>
      <c r="M756" t="s">
        <v>48</v>
      </c>
      <c r="N756" t="s">
        <v>34</v>
      </c>
      <c r="O756">
        <v>3</v>
      </c>
      <c r="P756" t="s">
        <v>36</v>
      </c>
      <c r="Q756" t="s">
        <v>37</v>
      </c>
      <c r="R756" s="1">
        <v>0.1</v>
      </c>
      <c r="S756">
        <f t="shared" si="44"/>
        <v>36.9</v>
      </c>
      <c r="T756">
        <f>IFERROR(VLOOKUP(A756,Table1[[Customer ID]:[Discount Amount]], 6, FALSE),"Not Found")</f>
        <v>41</v>
      </c>
      <c r="U756" t="str">
        <f t="shared" si="45"/>
        <v>Debit Card</v>
      </c>
      <c r="V756" s="4" t="str">
        <f t="shared" si="46"/>
        <v>Normal</v>
      </c>
      <c r="W756" s="4" t="str">
        <f t="shared" si="47"/>
        <v>Poor</v>
      </c>
      <c r="X756" s="4">
        <f>AVERAGE(Table1[Purchase Amount])</f>
        <v>129.48419400000012</v>
      </c>
    </row>
    <row r="757" spans="1:24" ht="15" customHeight="1" x14ac:dyDescent="0.25">
      <c r="A757">
        <v>756</v>
      </c>
      <c r="B757">
        <v>66</v>
      </c>
      <c r="C757" t="s">
        <v>27</v>
      </c>
      <c r="D757" t="s">
        <v>76</v>
      </c>
      <c r="E757" t="s">
        <v>77</v>
      </c>
      <c r="F757" s="2">
        <v>24</v>
      </c>
      <c r="G757" t="s">
        <v>67</v>
      </c>
      <c r="H757" t="s">
        <v>31</v>
      </c>
      <c r="I757" t="s">
        <v>111</v>
      </c>
      <c r="J757" t="s">
        <v>33</v>
      </c>
      <c r="K757">
        <v>3.3</v>
      </c>
      <c r="L757" t="s">
        <v>34</v>
      </c>
      <c r="M757" t="s">
        <v>35</v>
      </c>
      <c r="N757" t="s">
        <v>34</v>
      </c>
      <c r="O757">
        <v>22</v>
      </c>
      <c r="P757" t="s">
        <v>58</v>
      </c>
      <c r="Q757" t="s">
        <v>26</v>
      </c>
      <c r="R757" s="1">
        <v>0.1</v>
      </c>
      <c r="S757">
        <f t="shared" si="44"/>
        <v>21.6</v>
      </c>
      <c r="T757">
        <f>IFERROR(VLOOKUP(A757,Table1[[Customer ID]:[Discount Amount]], 6, FALSE),"Not Found")</f>
        <v>24</v>
      </c>
      <c r="U757" t="str">
        <f t="shared" si="45"/>
        <v>PayPal</v>
      </c>
      <c r="V757" s="4" t="str">
        <f t="shared" si="46"/>
        <v>Normal</v>
      </c>
      <c r="W757" s="4" t="str">
        <f t="shared" si="47"/>
        <v>Good</v>
      </c>
      <c r="X757" s="4">
        <f>AVERAGE(Table1[Purchase Amount])</f>
        <v>129.48419400000012</v>
      </c>
    </row>
    <row r="758" spans="1:24" ht="15" customHeight="1" x14ac:dyDescent="0.25">
      <c r="A758">
        <v>757</v>
      </c>
      <c r="B758">
        <v>62</v>
      </c>
      <c r="C758" t="s">
        <v>27</v>
      </c>
      <c r="D758" t="s">
        <v>114</v>
      </c>
      <c r="E758" t="s">
        <v>29</v>
      </c>
      <c r="F758" s="2">
        <v>99</v>
      </c>
      <c r="G758" t="s">
        <v>39</v>
      </c>
      <c r="H758" t="s">
        <v>55</v>
      </c>
      <c r="I758" t="s">
        <v>108</v>
      </c>
      <c r="J758" t="s">
        <v>57</v>
      </c>
      <c r="K758">
        <v>4.8</v>
      </c>
      <c r="L758" t="s">
        <v>34</v>
      </c>
      <c r="M758" t="s">
        <v>24</v>
      </c>
      <c r="N758" t="s">
        <v>34</v>
      </c>
      <c r="O758">
        <v>24</v>
      </c>
      <c r="P758" t="s">
        <v>25</v>
      </c>
      <c r="Q758" t="s">
        <v>89</v>
      </c>
      <c r="R758" s="1">
        <v>0.1</v>
      </c>
      <c r="S758">
        <f t="shared" si="44"/>
        <v>89.1</v>
      </c>
      <c r="T758">
        <f>IFERROR(VLOOKUP(A758,Table1[[Customer ID]:[Discount Amount]], 6, FALSE),"Not Found")</f>
        <v>99</v>
      </c>
      <c r="U758" t="str">
        <f t="shared" si="45"/>
        <v>Cash</v>
      </c>
      <c r="V758" s="4" t="str">
        <f t="shared" si="46"/>
        <v>Normal</v>
      </c>
      <c r="W758" s="4" t="str">
        <f t="shared" si="47"/>
        <v>Good</v>
      </c>
      <c r="X758" s="4">
        <f>AVERAGE(Table1[Purchase Amount])</f>
        <v>129.48419400000012</v>
      </c>
    </row>
    <row r="759" spans="1:24" ht="15" customHeight="1" x14ac:dyDescent="0.25">
      <c r="A759">
        <v>758</v>
      </c>
      <c r="B759">
        <v>41</v>
      </c>
      <c r="C759" t="s">
        <v>27</v>
      </c>
      <c r="D759" t="s">
        <v>83</v>
      </c>
      <c r="E759" t="s">
        <v>18</v>
      </c>
      <c r="F759" s="2">
        <v>32</v>
      </c>
      <c r="G759" t="s">
        <v>120</v>
      </c>
      <c r="H759" t="s">
        <v>31</v>
      </c>
      <c r="I759" t="s">
        <v>46</v>
      </c>
      <c r="J759" t="s">
        <v>47</v>
      </c>
      <c r="K759">
        <v>3.8</v>
      </c>
      <c r="L759" t="s">
        <v>34</v>
      </c>
      <c r="M759" t="s">
        <v>48</v>
      </c>
      <c r="N759" t="s">
        <v>34</v>
      </c>
      <c r="O759">
        <v>18</v>
      </c>
      <c r="P759" t="s">
        <v>36</v>
      </c>
      <c r="Q759" t="s">
        <v>37</v>
      </c>
      <c r="R759" s="1">
        <v>0.1</v>
      </c>
      <c r="S759">
        <f t="shared" si="44"/>
        <v>28.8</v>
      </c>
      <c r="T759">
        <f>IFERROR(VLOOKUP(A759,Table1[[Customer ID]:[Discount Amount]], 6, FALSE),"Not Found")</f>
        <v>32</v>
      </c>
      <c r="U759" t="str">
        <f t="shared" si="45"/>
        <v>Debit Card</v>
      </c>
      <c r="V759" s="4" t="str">
        <f t="shared" si="46"/>
        <v>Normal</v>
      </c>
      <c r="W759" s="4" t="str">
        <f t="shared" si="47"/>
        <v>Good</v>
      </c>
      <c r="X759" s="4">
        <f>AVERAGE(Table1[Purchase Amount])</f>
        <v>129.48419400000012</v>
      </c>
    </row>
    <row r="760" spans="1:24" ht="15" customHeight="1" x14ac:dyDescent="0.25">
      <c r="A760">
        <v>759</v>
      </c>
      <c r="B760">
        <v>66</v>
      </c>
      <c r="C760" t="s">
        <v>27</v>
      </c>
      <c r="D760" t="s">
        <v>72</v>
      </c>
      <c r="E760" t="s">
        <v>98</v>
      </c>
      <c r="F760" s="2">
        <v>71</v>
      </c>
      <c r="G760" t="s">
        <v>97</v>
      </c>
      <c r="H760" t="s">
        <v>45</v>
      </c>
      <c r="I760" t="s">
        <v>145</v>
      </c>
      <c r="J760" t="s">
        <v>57</v>
      </c>
      <c r="K760">
        <v>4.5999999999999996</v>
      </c>
      <c r="L760" t="s">
        <v>34</v>
      </c>
      <c r="M760" t="s">
        <v>41</v>
      </c>
      <c r="N760" t="s">
        <v>34</v>
      </c>
      <c r="O760">
        <v>39</v>
      </c>
      <c r="P760" t="s">
        <v>88</v>
      </c>
      <c r="Q760" t="s">
        <v>63</v>
      </c>
      <c r="R760" s="1">
        <v>0.1</v>
      </c>
      <c r="S760">
        <f t="shared" si="44"/>
        <v>63.9</v>
      </c>
      <c r="T760">
        <f>IFERROR(VLOOKUP(A760,Table1[[Customer ID]:[Discount Amount]], 6, FALSE),"Not Found")</f>
        <v>71</v>
      </c>
      <c r="U760" t="str">
        <f t="shared" si="45"/>
        <v>Bank Transfer</v>
      </c>
      <c r="V760" s="4" t="str">
        <f t="shared" si="46"/>
        <v>Normal</v>
      </c>
      <c r="W760" s="4" t="str">
        <f t="shared" si="47"/>
        <v>Good</v>
      </c>
      <c r="X760" s="4">
        <f>AVERAGE(Table1[Purchase Amount])</f>
        <v>129.48419400000012</v>
      </c>
    </row>
    <row r="761" spans="1:24" ht="15" customHeight="1" x14ac:dyDescent="0.25">
      <c r="A761">
        <v>760</v>
      </c>
      <c r="B761">
        <v>51</v>
      </c>
      <c r="C761" t="s">
        <v>27</v>
      </c>
      <c r="D761" t="s">
        <v>157</v>
      </c>
      <c r="E761" t="s">
        <v>18</v>
      </c>
      <c r="F761" s="2">
        <v>49</v>
      </c>
      <c r="G761" t="s">
        <v>159</v>
      </c>
      <c r="H761" t="s">
        <v>20</v>
      </c>
      <c r="I761" t="s">
        <v>93</v>
      </c>
      <c r="J761" t="s">
        <v>22</v>
      </c>
      <c r="K761">
        <v>2.6</v>
      </c>
      <c r="L761" t="s">
        <v>34</v>
      </c>
      <c r="M761" t="s">
        <v>79</v>
      </c>
      <c r="N761" t="s">
        <v>34</v>
      </c>
      <c r="O761">
        <v>25</v>
      </c>
      <c r="P761" t="s">
        <v>53</v>
      </c>
      <c r="Q761" t="s">
        <v>89</v>
      </c>
      <c r="R761" s="1">
        <v>0.1</v>
      </c>
      <c r="S761">
        <f t="shared" si="44"/>
        <v>44.1</v>
      </c>
      <c r="T761">
        <f>IFERROR(VLOOKUP(A761,Table1[[Customer ID]:[Discount Amount]], 6, FALSE),"Not Found")</f>
        <v>49</v>
      </c>
      <c r="U761" t="str">
        <f t="shared" si="45"/>
        <v>Credit Card</v>
      </c>
      <c r="V761" s="4" t="str">
        <f t="shared" si="46"/>
        <v>Normal</v>
      </c>
      <c r="W761" s="4" t="str">
        <f t="shared" si="47"/>
        <v>Poor</v>
      </c>
      <c r="X761" s="4">
        <f>AVERAGE(Table1[Purchase Amount])</f>
        <v>129.48419400000012</v>
      </c>
    </row>
    <row r="762" spans="1:24" ht="15" customHeight="1" x14ac:dyDescent="0.25">
      <c r="A762">
        <v>761</v>
      </c>
      <c r="B762">
        <v>33</v>
      </c>
      <c r="C762" t="s">
        <v>27</v>
      </c>
      <c r="D762" t="s">
        <v>43</v>
      </c>
      <c r="E762" t="s">
        <v>29</v>
      </c>
      <c r="F762" s="2">
        <v>50</v>
      </c>
      <c r="G762" t="s">
        <v>120</v>
      </c>
      <c r="H762" t="s">
        <v>20</v>
      </c>
      <c r="I762" t="s">
        <v>111</v>
      </c>
      <c r="J762" t="s">
        <v>47</v>
      </c>
      <c r="K762">
        <v>3.4</v>
      </c>
      <c r="L762" t="s">
        <v>34</v>
      </c>
      <c r="M762" t="s">
        <v>35</v>
      </c>
      <c r="N762" t="s">
        <v>34</v>
      </c>
      <c r="O762">
        <v>6</v>
      </c>
      <c r="P762" t="s">
        <v>25</v>
      </c>
      <c r="Q762" t="s">
        <v>49</v>
      </c>
      <c r="R762" s="1">
        <v>0.1</v>
      </c>
      <c r="S762">
        <f t="shared" si="44"/>
        <v>45</v>
      </c>
      <c r="T762">
        <f>IFERROR(VLOOKUP(A762,Table1[[Customer ID]:[Discount Amount]], 6, FALSE),"Not Found")</f>
        <v>50</v>
      </c>
      <c r="U762" t="str">
        <f t="shared" si="45"/>
        <v>Cash</v>
      </c>
      <c r="V762" s="4" t="str">
        <f t="shared" si="46"/>
        <v>Normal</v>
      </c>
      <c r="W762" s="4" t="str">
        <f t="shared" si="47"/>
        <v>Good</v>
      </c>
      <c r="X762" s="4">
        <f>AVERAGE(Table1[Purchase Amount])</f>
        <v>129.48419400000012</v>
      </c>
    </row>
    <row r="763" spans="1:24" ht="15" customHeight="1" x14ac:dyDescent="0.25">
      <c r="A763">
        <v>762</v>
      </c>
      <c r="B763">
        <v>57</v>
      </c>
      <c r="C763" t="s">
        <v>27</v>
      </c>
      <c r="D763" t="s">
        <v>50</v>
      </c>
      <c r="E763" t="s">
        <v>29</v>
      </c>
      <c r="F763" s="2">
        <v>91</v>
      </c>
      <c r="G763" t="s">
        <v>158</v>
      </c>
      <c r="H763" t="s">
        <v>45</v>
      </c>
      <c r="I763" t="s">
        <v>52</v>
      </c>
      <c r="J763" t="s">
        <v>47</v>
      </c>
      <c r="K763">
        <v>4.2</v>
      </c>
      <c r="L763" t="s">
        <v>34</v>
      </c>
      <c r="M763" t="s">
        <v>61</v>
      </c>
      <c r="N763" t="s">
        <v>34</v>
      </c>
      <c r="O763">
        <v>26</v>
      </c>
      <c r="P763" t="s">
        <v>88</v>
      </c>
      <c r="Q763" t="s">
        <v>26</v>
      </c>
      <c r="R763" s="1">
        <v>0.1</v>
      </c>
      <c r="S763">
        <f t="shared" si="44"/>
        <v>81.900000000000006</v>
      </c>
      <c r="T763">
        <f>IFERROR(VLOOKUP(A763,Table1[[Customer ID]:[Discount Amount]], 6, FALSE),"Not Found")</f>
        <v>91</v>
      </c>
      <c r="U763" t="str">
        <f t="shared" si="45"/>
        <v>Bank Transfer</v>
      </c>
      <c r="V763" s="4" t="str">
        <f t="shared" si="46"/>
        <v>Normal</v>
      </c>
      <c r="W763" s="4" t="str">
        <f t="shared" si="47"/>
        <v>Good</v>
      </c>
      <c r="X763" s="4">
        <f>AVERAGE(Table1[Purchase Amount])</f>
        <v>129.48419400000012</v>
      </c>
    </row>
    <row r="764" spans="1:24" ht="15" customHeight="1" x14ac:dyDescent="0.25">
      <c r="A764">
        <v>763</v>
      </c>
      <c r="B764">
        <v>45</v>
      </c>
      <c r="C764" t="s">
        <v>27</v>
      </c>
      <c r="D764" t="s">
        <v>114</v>
      </c>
      <c r="E764" t="s">
        <v>29</v>
      </c>
      <c r="F764" s="2">
        <v>46</v>
      </c>
      <c r="G764" t="s">
        <v>110</v>
      </c>
      <c r="H764" t="s">
        <v>31</v>
      </c>
      <c r="I764" t="s">
        <v>136</v>
      </c>
      <c r="J764" t="s">
        <v>47</v>
      </c>
      <c r="K764">
        <v>3.9</v>
      </c>
      <c r="L764" t="s">
        <v>34</v>
      </c>
      <c r="M764" t="s">
        <v>24</v>
      </c>
      <c r="N764" t="s">
        <v>34</v>
      </c>
      <c r="O764">
        <v>43</v>
      </c>
      <c r="P764" t="s">
        <v>36</v>
      </c>
      <c r="Q764" t="s">
        <v>89</v>
      </c>
      <c r="R764" s="1">
        <v>0.1</v>
      </c>
      <c r="S764">
        <f t="shared" si="44"/>
        <v>41.4</v>
      </c>
      <c r="T764">
        <f>IFERROR(VLOOKUP(A764,Table1[[Customer ID]:[Discount Amount]], 6, FALSE),"Not Found")</f>
        <v>46</v>
      </c>
      <c r="U764" t="str">
        <f t="shared" si="45"/>
        <v>Debit Card</v>
      </c>
      <c r="V764" s="4" t="str">
        <f t="shared" si="46"/>
        <v>Normal</v>
      </c>
      <c r="W764" s="4" t="str">
        <f t="shared" si="47"/>
        <v>Good</v>
      </c>
      <c r="X764" s="4">
        <f>AVERAGE(Table1[Purchase Amount])</f>
        <v>129.48419400000012</v>
      </c>
    </row>
    <row r="765" spans="1:24" ht="15" customHeight="1" x14ac:dyDescent="0.25">
      <c r="A765">
        <v>764</v>
      </c>
      <c r="B765">
        <v>61</v>
      </c>
      <c r="C765" t="s">
        <v>27</v>
      </c>
      <c r="D765" t="s">
        <v>127</v>
      </c>
      <c r="E765" t="s">
        <v>18</v>
      </c>
      <c r="F765" s="2">
        <v>50</v>
      </c>
      <c r="G765" t="s">
        <v>134</v>
      </c>
      <c r="H765" t="s">
        <v>31</v>
      </c>
      <c r="I765" t="s">
        <v>60</v>
      </c>
      <c r="J765" t="s">
        <v>33</v>
      </c>
      <c r="K765">
        <v>2.9</v>
      </c>
      <c r="L765" t="s">
        <v>34</v>
      </c>
      <c r="M765" t="s">
        <v>41</v>
      </c>
      <c r="N765" t="s">
        <v>34</v>
      </c>
      <c r="O765">
        <v>6</v>
      </c>
      <c r="P765" t="s">
        <v>53</v>
      </c>
      <c r="Q765" t="s">
        <v>42</v>
      </c>
      <c r="R765" s="1">
        <v>0.1</v>
      </c>
      <c r="S765">
        <f t="shared" si="44"/>
        <v>45</v>
      </c>
      <c r="T765">
        <f>IFERROR(VLOOKUP(A765,Table1[[Customer ID]:[Discount Amount]], 6, FALSE),"Not Found")</f>
        <v>50</v>
      </c>
      <c r="U765" t="str">
        <f t="shared" si="45"/>
        <v>Credit Card</v>
      </c>
      <c r="V765" s="4" t="str">
        <f t="shared" si="46"/>
        <v>Normal</v>
      </c>
      <c r="W765" s="4" t="str">
        <f t="shared" si="47"/>
        <v>Poor</v>
      </c>
      <c r="X765" s="4">
        <f>AVERAGE(Table1[Purchase Amount])</f>
        <v>129.48419400000012</v>
      </c>
    </row>
    <row r="766" spans="1:24" ht="15" customHeight="1" x14ac:dyDescent="0.25">
      <c r="A766">
        <v>765</v>
      </c>
      <c r="B766">
        <v>55</v>
      </c>
      <c r="C766" t="s">
        <v>27</v>
      </c>
      <c r="D766" t="s">
        <v>122</v>
      </c>
      <c r="E766" t="s">
        <v>18</v>
      </c>
      <c r="F766" s="2">
        <v>39</v>
      </c>
      <c r="G766" t="s">
        <v>138</v>
      </c>
      <c r="H766" t="s">
        <v>20</v>
      </c>
      <c r="I766" t="s">
        <v>153</v>
      </c>
      <c r="J766" t="s">
        <v>47</v>
      </c>
      <c r="K766">
        <v>4.2</v>
      </c>
      <c r="L766" t="s">
        <v>34</v>
      </c>
      <c r="M766" t="s">
        <v>35</v>
      </c>
      <c r="N766" t="s">
        <v>34</v>
      </c>
      <c r="O766">
        <v>6</v>
      </c>
      <c r="P766" t="s">
        <v>36</v>
      </c>
      <c r="Q766" t="s">
        <v>37</v>
      </c>
      <c r="R766" s="1">
        <v>0.1</v>
      </c>
      <c r="S766">
        <f t="shared" si="44"/>
        <v>35.1</v>
      </c>
      <c r="T766">
        <f>IFERROR(VLOOKUP(A766,Table1[[Customer ID]:[Discount Amount]], 6, FALSE),"Not Found")</f>
        <v>39</v>
      </c>
      <c r="U766" t="str">
        <f t="shared" si="45"/>
        <v>Debit Card</v>
      </c>
      <c r="V766" s="4" t="str">
        <f t="shared" si="46"/>
        <v>Normal</v>
      </c>
      <c r="W766" s="4" t="str">
        <f t="shared" si="47"/>
        <v>Good</v>
      </c>
      <c r="X766" s="4">
        <f>AVERAGE(Table1[Purchase Amount])</f>
        <v>129.48419400000012</v>
      </c>
    </row>
    <row r="767" spans="1:24" ht="15" customHeight="1" x14ac:dyDescent="0.25">
      <c r="A767">
        <v>766</v>
      </c>
      <c r="B767">
        <v>54</v>
      </c>
      <c r="C767" t="s">
        <v>27</v>
      </c>
      <c r="D767" t="s">
        <v>140</v>
      </c>
      <c r="E767" t="s">
        <v>98</v>
      </c>
      <c r="F767" s="2">
        <v>99</v>
      </c>
      <c r="G767" t="s">
        <v>148</v>
      </c>
      <c r="H767" t="s">
        <v>31</v>
      </c>
      <c r="I767" t="s">
        <v>136</v>
      </c>
      <c r="J767" t="s">
        <v>57</v>
      </c>
      <c r="K767">
        <v>3</v>
      </c>
      <c r="L767" t="s">
        <v>34</v>
      </c>
      <c r="M767" t="s">
        <v>48</v>
      </c>
      <c r="N767" t="s">
        <v>34</v>
      </c>
      <c r="O767">
        <v>13</v>
      </c>
      <c r="P767" t="s">
        <v>25</v>
      </c>
      <c r="Q767" t="s">
        <v>37</v>
      </c>
      <c r="R767" s="1">
        <v>0.1</v>
      </c>
      <c r="S767">
        <f t="shared" si="44"/>
        <v>89.1</v>
      </c>
      <c r="T767">
        <f>IFERROR(VLOOKUP(A767,Table1[[Customer ID]:[Discount Amount]], 6, FALSE),"Not Found")</f>
        <v>99</v>
      </c>
      <c r="U767" t="str">
        <f t="shared" si="45"/>
        <v>Cash</v>
      </c>
      <c r="V767" s="4" t="str">
        <f t="shared" si="46"/>
        <v>Normal</v>
      </c>
      <c r="W767" s="4" t="str">
        <f t="shared" si="47"/>
        <v>Good</v>
      </c>
      <c r="X767" s="4">
        <f>AVERAGE(Table1[Purchase Amount])</f>
        <v>129.48419400000012</v>
      </c>
    </row>
    <row r="768" spans="1:24" ht="15" customHeight="1" x14ac:dyDescent="0.25">
      <c r="A768">
        <v>767</v>
      </c>
      <c r="B768">
        <v>57</v>
      </c>
      <c r="C768" t="s">
        <v>27</v>
      </c>
      <c r="D768" t="s">
        <v>43</v>
      </c>
      <c r="E768" t="s">
        <v>29</v>
      </c>
      <c r="F768" s="2">
        <v>48</v>
      </c>
      <c r="G768" t="s">
        <v>158</v>
      </c>
      <c r="H768" t="s">
        <v>31</v>
      </c>
      <c r="I768" t="s">
        <v>128</v>
      </c>
      <c r="J768" t="s">
        <v>22</v>
      </c>
      <c r="K768">
        <v>3.6</v>
      </c>
      <c r="L768" t="s">
        <v>34</v>
      </c>
      <c r="M768" t="s">
        <v>79</v>
      </c>
      <c r="N768" t="s">
        <v>34</v>
      </c>
      <c r="O768">
        <v>13</v>
      </c>
      <c r="P768" t="s">
        <v>58</v>
      </c>
      <c r="Q768" t="s">
        <v>42</v>
      </c>
      <c r="R768" s="1">
        <v>0.1</v>
      </c>
      <c r="S768">
        <f t="shared" si="44"/>
        <v>43.2</v>
      </c>
      <c r="T768">
        <f>IFERROR(VLOOKUP(A768,Table1[[Customer ID]:[Discount Amount]], 6, FALSE),"Not Found")</f>
        <v>48</v>
      </c>
      <c r="U768" t="str">
        <f t="shared" si="45"/>
        <v>PayPal</v>
      </c>
      <c r="V768" s="4" t="str">
        <f t="shared" si="46"/>
        <v>Normal</v>
      </c>
      <c r="W768" s="4" t="str">
        <f t="shared" si="47"/>
        <v>Good</v>
      </c>
      <c r="X768" s="4">
        <f>AVERAGE(Table1[Purchase Amount])</f>
        <v>129.48419400000012</v>
      </c>
    </row>
    <row r="769" spans="1:24" ht="15" customHeight="1" x14ac:dyDescent="0.25">
      <c r="A769">
        <v>768</v>
      </c>
      <c r="B769">
        <v>27</v>
      </c>
      <c r="C769" t="s">
        <v>27</v>
      </c>
      <c r="D769" t="s">
        <v>76</v>
      </c>
      <c r="E769" t="s">
        <v>77</v>
      </c>
      <c r="F769" s="2">
        <v>77</v>
      </c>
      <c r="G769" t="s">
        <v>78</v>
      </c>
      <c r="H769" t="s">
        <v>31</v>
      </c>
      <c r="I769" t="s">
        <v>60</v>
      </c>
      <c r="J769" t="s">
        <v>47</v>
      </c>
      <c r="K769">
        <v>2.5</v>
      </c>
      <c r="L769" t="s">
        <v>34</v>
      </c>
      <c r="M769" t="s">
        <v>79</v>
      </c>
      <c r="N769" t="s">
        <v>34</v>
      </c>
      <c r="O769">
        <v>11</v>
      </c>
      <c r="P769" t="s">
        <v>25</v>
      </c>
      <c r="Q769" t="s">
        <v>49</v>
      </c>
      <c r="R769" s="1">
        <v>0.1</v>
      </c>
      <c r="S769">
        <f t="shared" si="44"/>
        <v>69.3</v>
      </c>
      <c r="T769">
        <f>IFERROR(VLOOKUP(A769,Table1[[Customer ID]:[Discount Amount]], 6, FALSE),"Not Found")</f>
        <v>77</v>
      </c>
      <c r="U769" t="str">
        <f t="shared" si="45"/>
        <v>Cash</v>
      </c>
      <c r="V769" s="4" t="str">
        <f t="shared" si="46"/>
        <v>Normal</v>
      </c>
      <c r="W769" s="4" t="str">
        <f t="shared" si="47"/>
        <v>Poor</v>
      </c>
      <c r="X769" s="4">
        <f>AVERAGE(Table1[Purchase Amount])</f>
        <v>129.48419400000012</v>
      </c>
    </row>
    <row r="770" spans="1:24" ht="15" customHeight="1" x14ac:dyDescent="0.25">
      <c r="A770">
        <v>769</v>
      </c>
      <c r="B770">
        <v>64</v>
      </c>
      <c r="C770" t="s">
        <v>27</v>
      </c>
      <c r="D770" t="s">
        <v>104</v>
      </c>
      <c r="E770" t="s">
        <v>29</v>
      </c>
      <c r="F770" s="2">
        <v>95</v>
      </c>
      <c r="G770" t="s">
        <v>44</v>
      </c>
      <c r="H770" t="s">
        <v>20</v>
      </c>
      <c r="I770" t="s">
        <v>46</v>
      </c>
      <c r="J770" t="s">
        <v>33</v>
      </c>
      <c r="K770">
        <v>2.6</v>
      </c>
      <c r="L770" t="s">
        <v>34</v>
      </c>
      <c r="M770" t="s">
        <v>61</v>
      </c>
      <c r="N770" t="s">
        <v>34</v>
      </c>
      <c r="O770">
        <v>45</v>
      </c>
      <c r="P770" t="s">
        <v>62</v>
      </c>
      <c r="Q770" t="s">
        <v>26</v>
      </c>
      <c r="R770" s="1">
        <v>0.1</v>
      </c>
      <c r="S770">
        <f t="shared" ref="S770:S833" si="48">F770-(F770*R770)</f>
        <v>85.5</v>
      </c>
      <c r="T770">
        <f>IFERROR(VLOOKUP(A770,Table1[[Customer ID]:[Discount Amount]], 6, FALSE),"Not Found")</f>
        <v>95</v>
      </c>
      <c r="U770" t="str">
        <f t="shared" ref="U770:U833" si="49">INDEX(P:P, MATCH(A770, A:A, 0))</f>
        <v>Venmo</v>
      </c>
      <c r="V770" s="4" t="str">
        <f t="shared" ref="V770:V833" si="50">IF(AND(F770&gt;1000,K770&gt;=4),"Best Customer","Normal")</f>
        <v>Normal</v>
      </c>
      <c r="W770" s="4" t="str">
        <f t="shared" ref="W770:W833" si="51">IF(K770&gt;=3,"Good","Poor")</f>
        <v>Poor</v>
      </c>
      <c r="X770" s="4">
        <f>AVERAGE(Table1[Purchase Amount])</f>
        <v>129.48419400000012</v>
      </c>
    </row>
    <row r="771" spans="1:24" ht="15" customHeight="1" x14ac:dyDescent="0.25">
      <c r="A771">
        <v>770</v>
      </c>
      <c r="B771">
        <v>52</v>
      </c>
      <c r="C771" t="s">
        <v>27</v>
      </c>
      <c r="D771" t="s">
        <v>105</v>
      </c>
      <c r="E771" t="s">
        <v>18</v>
      </c>
      <c r="F771" s="2">
        <v>100</v>
      </c>
      <c r="G771" t="s">
        <v>143</v>
      </c>
      <c r="H771" t="s">
        <v>31</v>
      </c>
      <c r="I771" t="s">
        <v>153</v>
      </c>
      <c r="J771" t="s">
        <v>33</v>
      </c>
      <c r="K771">
        <v>4.3</v>
      </c>
      <c r="L771" t="s">
        <v>34</v>
      </c>
      <c r="M771" t="s">
        <v>48</v>
      </c>
      <c r="N771" t="s">
        <v>34</v>
      </c>
      <c r="O771">
        <v>8</v>
      </c>
      <c r="P771" t="s">
        <v>58</v>
      </c>
      <c r="Q771" t="s">
        <v>42</v>
      </c>
      <c r="R771" s="1">
        <v>0.1</v>
      </c>
      <c r="S771">
        <f t="shared" si="48"/>
        <v>90</v>
      </c>
      <c r="T771">
        <f>IFERROR(VLOOKUP(A771,Table1[[Customer ID]:[Discount Amount]], 6, FALSE),"Not Found")</f>
        <v>100</v>
      </c>
      <c r="U771" t="str">
        <f t="shared" si="49"/>
        <v>PayPal</v>
      </c>
      <c r="V771" s="4" t="str">
        <f t="shared" si="50"/>
        <v>Normal</v>
      </c>
      <c r="W771" s="4" t="str">
        <f t="shared" si="51"/>
        <v>Good</v>
      </c>
      <c r="X771" s="4">
        <f>AVERAGE(Table1[Purchase Amount])</f>
        <v>129.48419400000012</v>
      </c>
    </row>
    <row r="772" spans="1:24" ht="15" customHeight="1" x14ac:dyDescent="0.25">
      <c r="A772">
        <v>771</v>
      </c>
      <c r="B772">
        <v>19</v>
      </c>
      <c r="C772" t="s">
        <v>27</v>
      </c>
      <c r="D772" t="s">
        <v>140</v>
      </c>
      <c r="E772" t="s">
        <v>98</v>
      </c>
      <c r="F772" s="2">
        <v>54</v>
      </c>
      <c r="G772" t="s">
        <v>84</v>
      </c>
      <c r="H772" t="s">
        <v>31</v>
      </c>
      <c r="I772" t="s">
        <v>85</v>
      </c>
      <c r="J772" t="s">
        <v>33</v>
      </c>
      <c r="K772">
        <v>3.3</v>
      </c>
      <c r="L772" t="s">
        <v>34</v>
      </c>
      <c r="M772" t="s">
        <v>61</v>
      </c>
      <c r="N772" t="s">
        <v>34</v>
      </c>
      <c r="O772">
        <v>8</v>
      </c>
      <c r="P772" t="s">
        <v>53</v>
      </c>
      <c r="Q772" t="s">
        <v>49</v>
      </c>
      <c r="R772" s="1">
        <v>0.1</v>
      </c>
      <c r="S772">
        <f t="shared" si="48"/>
        <v>48.6</v>
      </c>
      <c r="T772">
        <f>IFERROR(VLOOKUP(A772,Table1[[Customer ID]:[Discount Amount]], 6, FALSE),"Not Found")</f>
        <v>54</v>
      </c>
      <c r="U772" t="str">
        <f t="shared" si="49"/>
        <v>Credit Card</v>
      </c>
      <c r="V772" s="4" t="str">
        <f t="shared" si="50"/>
        <v>Normal</v>
      </c>
      <c r="W772" s="4" t="str">
        <f t="shared" si="51"/>
        <v>Good</v>
      </c>
      <c r="X772" s="4">
        <f>AVERAGE(Table1[Purchase Amount])</f>
        <v>129.48419400000012</v>
      </c>
    </row>
    <row r="773" spans="1:24" ht="15" customHeight="1" x14ac:dyDescent="0.25">
      <c r="A773">
        <v>772</v>
      </c>
      <c r="B773">
        <v>22</v>
      </c>
      <c r="C773" t="s">
        <v>27</v>
      </c>
      <c r="D773" t="s">
        <v>127</v>
      </c>
      <c r="E773" t="s">
        <v>18</v>
      </c>
      <c r="F773" s="2">
        <v>68</v>
      </c>
      <c r="G773" t="s">
        <v>135</v>
      </c>
      <c r="H773" t="s">
        <v>45</v>
      </c>
      <c r="I773" t="s">
        <v>128</v>
      </c>
      <c r="J773" t="s">
        <v>47</v>
      </c>
      <c r="K773">
        <v>2.6</v>
      </c>
      <c r="L773" t="s">
        <v>34</v>
      </c>
      <c r="M773" t="s">
        <v>79</v>
      </c>
      <c r="N773" t="s">
        <v>34</v>
      </c>
      <c r="O773">
        <v>34</v>
      </c>
      <c r="P773" t="s">
        <v>88</v>
      </c>
      <c r="Q773" t="s">
        <v>89</v>
      </c>
      <c r="R773" s="1">
        <v>0.1</v>
      </c>
      <c r="S773">
        <f t="shared" si="48"/>
        <v>61.2</v>
      </c>
      <c r="T773">
        <f>IFERROR(VLOOKUP(A773,Table1[[Customer ID]:[Discount Amount]], 6, FALSE),"Not Found")</f>
        <v>68</v>
      </c>
      <c r="U773" t="str">
        <f t="shared" si="49"/>
        <v>Bank Transfer</v>
      </c>
      <c r="V773" s="4" t="str">
        <f t="shared" si="50"/>
        <v>Normal</v>
      </c>
      <c r="W773" s="4" t="str">
        <f t="shared" si="51"/>
        <v>Poor</v>
      </c>
      <c r="X773" s="4">
        <f>AVERAGE(Table1[Purchase Amount])</f>
        <v>129.48419400000012</v>
      </c>
    </row>
    <row r="774" spans="1:24" ht="15" customHeight="1" x14ac:dyDescent="0.25">
      <c r="A774">
        <v>773</v>
      </c>
      <c r="B774">
        <v>18</v>
      </c>
      <c r="C774" t="s">
        <v>27</v>
      </c>
      <c r="D774" t="s">
        <v>109</v>
      </c>
      <c r="E774" t="s">
        <v>18</v>
      </c>
      <c r="F774" s="2">
        <v>22</v>
      </c>
      <c r="G774" t="s">
        <v>44</v>
      </c>
      <c r="H774" t="s">
        <v>45</v>
      </c>
      <c r="I774" t="s">
        <v>147</v>
      </c>
      <c r="J774" t="s">
        <v>47</v>
      </c>
      <c r="K774">
        <v>3.6</v>
      </c>
      <c r="L774" t="s">
        <v>34</v>
      </c>
      <c r="M774" t="s">
        <v>35</v>
      </c>
      <c r="N774" t="s">
        <v>34</v>
      </c>
      <c r="O774">
        <v>40</v>
      </c>
      <c r="P774" t="s">
        <v>36</v>
      </c>
      <c r="Q774" t="s">
        <v>68</v>
      </c>
      <c r="R774" s="1">
        <v>0.1</v>
      </c>
      <c r="S774">
        <f t="shared" si="48"/>
        <v>19.8</v>
      </c>
      <c r="T774">
        <f>IFERROR(VLOOKUP(A774,Table1[[Customer ID]:[Discount Amount]], 6, FALSE),"Not Found")</f>
        <v>22</v>
      </c>
      <c r="U774" t="str">
        <f t="shared" si="49"/>
        <v>Debit Card</v>
      </c>
      <c r="V774" s="4" t="str">
        <f t="shared" si="50"/>
        <v>Normal</v>
      </c>
      <c r="W774" s="4" t="str">
        <f t="shared" si="51"/>
        <v>Good</v>
      </c>
      <c r="X774" s="4">
        <f>AVERAGE(Table1[Purchase Amount])</f>
        <v>129.48419400000012</v>
      </c>
    </row>
    <row r="775" spans="1:24" ht="15" customHeight="1" x14ac:dyDescent="0.25">
      <c r="A775">
        <v>774</v>
      </c>
      <c r="B775">
        <v>29</v>
      </c>
      <c r="C775" t="s">
        <v>27</v>
      </c>
      <c r="D775" t="s">
        <v>64</v>
      </c>
      <c r="E775" t="s">
        <v>29</v>
      </c>
      <c r="F775" s="2">
        <v>84</v>
      </c>
      <c r="G775" t="s">
        <v>19</v>
      </c>
      <c r="H775" t="s">
        <v>45</v>
      </c>
      <c r="I775" t="s">
        <v>91</v>
      </c>
      <c r="J775" t="s">
        <v>22</v>
      </c>
      <c r="K775">
        <v>2.6</v>
      </c>
      <c r="L775" t="s">
        <v>34</v>
      </c>
      <c r="M775" t="s">
        <v>61</v>
      </c>
      <c r="N775" t="s">
        <v>34</v>
      </c>
      <c r="O775">
        <v>14</v>
      </c>
      <c r="P775" t="s">
        <v>36</v>
      </c>
      <c r="Q775" t="s">
        <v>68</v>
      </c>
      <c r="R775" s="1">
        <v>0.1</v>
      </c>
      <c r="S775">
        <f t="shared" si="48"/>
        <v>75.599999999999994</v>
      </c>
      <c r="T775">
        <f>IFERROR(VLOOKUP(A775,Table1[[Customer ID]:[Discount Amount]], 6, FALSE),"Not Found")</f>
        <v>84</v>
      </c>
      <c r="U775" t="str">
        <f t="shared" si="49"/>
        <v>Debit Card</v>
      </c>
      <c r="V775" s="4" t="str">
        <f t="shared" si="50"/>
        <v>Normal</v>
      </c>
      <c r="W775" s="4" t="str">
        <f t="shared" si="51"/>
        <v>Poor</v>
      </c>
      <c r="X775" s="4">
        <f>AVERAGE(Table1[Purchase Amount])</f>
        <v>129.48419400000012</v>
      </c>
    </row>
    <row r="776" spans="1:24" ht="15" customHeight="1" x14ac:dyDescent="0.25">
      <c r="A776">
        <v>775</v>
      </c>
      <c r="B776">
        <v>42</v>
      </c>
      <c r="C776" t="s">
        <v>27</v>
      </c>
      <c r="D776" t="s">
        <v>64</v>
      </c>
      <c r="E776" t="s">
        <v>29</v>
      </c>
      <c r="F776" s="2">
        <v>46</v>
      </c>
      <c r="G776" t="s">
        <v>158</v>
      </c>
      <c r="H776" t="s">
        <v>31</v>
      </c>
      <c r="I776" t="s">
        <v>52</v>
      </c>
      <c r="J776" t="s">
        <v>57</v>
      </c>
      <c r="K776">
        <v>3.5</v>
      </c>
      <c r="L776" t="s">
        <v>34</v>
      </c>
      <c r="M776" t="s">
        <v>24</v>
      </c>
      <c r="N776" t="s">
        <v>34</v>
      </c>
      <c r="O776">
        <v>11</v>
      </c>
      <c r="P776" t="s">
        <v>53</v>
      </c>
      <c r="Q776" t="s">
        <v>37</v>
      </c>
      <c r="R776" s="1">
        <v>0.1</v>
      </c>
      <c r="S776">
        <f t="shared" si="48"/>
        <v>41.4</v>
      </c>
      <c r="T776">
        <f>IFERROR(VLOOKUP(A776,Table1[[Customer ID]:[Discount Amount]], 6, FALSE),"Not Found")</f>
        <v>46</v>
      </c>
      <c r="U776" t="str">
        <f t="shared" si="49"/>
        <v>Credit Card</v>
      </c>
      <c r="V776" s="4" t="str">
        <f t="shared" si="50"/>
        <v>Normal</v>
      </c>
      <c r="W776" s="4" t="str">
        <f t="shared" si="51"/>
        <v>Good</v>
      </c>
      <c r="X776" s="4">
        <f>AVERAGE(Table1[Purchase Amount])</f>
        <v>129.48419400000012</v>
      </c>
    </row>
    <row r="777" spans="1:24" ht="15" customHeight="1" x14ac:dyDescent="0.25">
      <c r="A777">
        <v>776</v>
      </c>
      <c r="B777">
        <v>49</v>
      </c>
      <c r="C777" t="s">
        <v>27</v>
      </c>
      <c r="D777" t="s">
        <v>69</v>
      </c>
      <c r="E777" t="s">
        <v>29</v>
      </c>
      <c r="F777" s="2">
        <v>53</v>
      </c>
      <c r="G777" t="s">
        <v>70</v>
      </c>
      <c r="H777" t="s">
        <v>55</v>
      </c>
      <c r="I777" t="s">
        <v>133</v>
      </c>
      <c r="J777" t="s">
        <v>22</v>
      </c>
      <c r="K777">
        <v>3</v>
      </c>
      <c r="L777" t="s">
        <v>34</v>
      </c>
      <c r="M777" t="s">
        <v>48</v>
      </c>
      <c r="N777" t="s">
        <v>34</v>
      </c>
      <c r="O777">
        <v>8</v>
      </c>
      <c r="P777" t="s">
        <v>58</v>
      </c>
      <c r="Q777" t="s">
        <v>42</v>
      </c>
      <c r="R777" s="1">
        <v>0.1</v>
      </c>
      <c r="S777">
        <f t="shared" si="48"/>
        <v>47.7</v>
      </c>
      <c r="T777">
        <f>IFERROR(VLOOKUP(A777,Table1[[Customer ID]:[Discount Amount]], 6, FALSE),"Not Found")</f>
        <v>53</v>
      </c>
      <c r="U777" t="str">
        <f t="shared" si="49"/>
        <v>PayPal</v>
      </c>
      <c r="V777" s="4" t="str">
        <f t="shared" si="50"/>
        <v>Normal</v>
      </c>
      <c r="W777" s="4" t="str">
        <f t="shared" si="51"/>
        <v>Good</v>
      </c>
      <c r="X777" s="4">
        <f>AVERAGE(Table1[Purchase Amount])</f>
        <v>129.48419400000012</v>
      </c>
    </row>
    <row r="778" spans="1:24" ht="15" customHeight="1" x14ac:dyDescent="0.25">
      <c r="A778">
        <v>777</v>
      </c>
      <c r="B778">
        <v>49</v>
      </c>
      <c r="C778" t="s">
        <v>27</v>
      </c>
      <c r="D778" t="s">
        <v>38</v>
      </c>
      <c r="E778" t="s">
        <v>18</v>
      </c>
      <c r="F778" s="2">
        <v>60</v>
      </c>
      <c r="G778" t="s">
        <v>51</v>
      </c>
      <c r="H778" t="s">
        <v>31</v>
      </c>
      <c r="I778" t="s">
        <v>125</v>
      </c>
      <c r="J778" t="s">
        <v>33</v>
      </c>
      <c r="K778">
        <v>5</v>
      </c>
      <c r="L778" t="s">
        <v>34</v>
      </c>
      <c r="M778" t="s">
        <v>24</v>
      </c>
      <c r="N778" t="s">
        <v>34</v>
      </c>
      <c r="O778">
        <v>8</v>
      </c>
      <c r="P778" t="s">
        <v>62</v>
      </c>
      <c r="Q778" t="s">
        <v>63</v>
      </c>
      <c r="R778" s="1">
        <v>0.1</v>
      </c>
      <c r="S778">
        <f t="shared" si="48"/>
        <v>54</v>
      </c>
      <c r="T778">
        <f>IFERROR(VLOOKUP(A778,Table1[[Customer ID]:[Discount Amount]], 6, FALSE),"Not Found")</f>
        <v>60</v>
      </c>
      <c r="U778" t="str">
        <f t="shared" si="49"/>
        <v>Venmo</v>
      </c>
      <c r="V778" s="4" t="str">
        <f t="shared" si="50"/>
        <v>Normal</v>
      </c>
      <c r="W778" s="4" t="str">
        <f t="shared" si="51"/>
        <v>Good</v>
      </c>
      <c r="X778" s="4">
        <f>AVERAGE(Table1[Purchase Amount])</f>
        <v>129.48419400000012</v>
      </c>
    </row>
    <row r="779" spans="1:24" ht="15" customHeight="1" x14ac:dyDescent="0.25">
      <c r="A779">
        <v>778</v>
      </c>
      <c r="B779">
        <v>55</v>
      </c>
      <c r="C779" t="s">
        <v>27</v>
      </c>
      <c r="D779" t="s">
        <v>105</v>
      </c>
      <c r="E779" t="s">
        <v>18</v>
      </c>
      <c r="F779" s="2">
        <v>32</v>
      </c>
      <c r="G779" t="s">
        <v>162</v>
      </c>
      <c r="H779" t="s">
        <v>20</v>
      </c>
      <c r="I779" t="s">
        <v>153</v>
      </c>
      <c r="J779" t="s">
        <v>33</v>
      </c>
      <c r="K779">
        <v>2.5</v>
      </c>
      <c r="L779" t="s">
        <v>34</v>
      </c>
      <c r="M779" t="s">
        <v>61</v>
      </c>
      <c r="N779" t="s">
        <v>34</v>
      </c>
      <c r="O779">
        <v>37</v>
      </c>
      <c r="P779" t="s">
        <v>62</v>
      </c>
      <c r="Q779" t="s">
        <v>26</v>
      </c>
      <c r="R779" s="1">
        <v>0.1</v>
      </c>
      <c r="S779">
        <f t="shared" si="48"/>
        <v>28.8</v>
      </c>
      <c r="T779">
        <f>IFERROR(VLOOKUP(A779,Table1[[Customer ID]:[Discount Amount]], 6, FALSE),"Not Found")</f>
        <v>32</v>
      </c>
      <c r="U779" t="str">
        <f t="shared" si="49"/>
        <v>Venmo</v>
      </c>
      <c r="V779" s="4" t="str">
        <f t="shared" si="50"/>
        <v>Normal</v>
      </c>
      <c r="W779" s="4" t="str">
        <f t="shared" si="51"/>
        <v>Poor</v>
      </c>
      <c r="X779" s="4">
        <f>AVERAGE(Table1[Purchase Amount])</f>
        <v>129.48419400000012</v>
      </c>
    </row>
    <row r="780" spans="1:24" ht="15" customHeight="1" x14ac:dyDescent="0.25">
      <c r="A780">
        <v>779</v>
      </c>
      <c r="B780">
        <v>29</v>
      </c>
      <c r="C780" t="s">
        <v>27</v>
      </c>
      <c r="D780" t="s">
        <v>105</v>
      </c>
      <c r="E780" t="s">
        <v>18</v>
      </c>
      <c r="F780" s="2">
        <v>50</v>
      </c>
      <c r="G780" t="s">
        <v>97</v>
      </c>
      <c r="H780" t="s">
        <v>31</v>
      </c>
      <c r="I780" t="s">
        <v>52</v>
      </c>
      <c r="J780" t="s">
        <v>57</v>
      </c>
      <c r="K780">
        <v>2.9</v>
      </c>
      <c r="L780" t="s">
        <v>34</v>
      </c>
      <c r="M780" t="s">
        <v>48</v>
      </c>
      <c r="N780" t="s">
        <v>34</v>
      </c>
      <c r="O780">
        <v>23</v>
      </c>
      <c r="P780" t="s">
        <v>36</v>
      </c>
      <c r="Q780" t="s">
        <v>49</v>
      </c>
      <c r="R780" s="1">
        <v>0.1</v>
      </c>
      <c r="S780">
        <f t="shared" si="48"/>
        <v>45</v>
      </c>
      <c r="T780">
        <f>IFERROR(VLOOKUP(A780,Table1[[Customer ID]:[Discount Amount]], 6, FALSE),"Not Found")</f>
        <v>50</v>
      </c>
      <c r="U780" t="str">
        <f t="shared" si="49"/>
        <v>Debit Card</v>
      </c>
      <c r="V780" s="4" t="str">
        <f t="shared" si="50"/>
        <v>Normal</v>
      </c>
      <c r="W780" s="4" t="str">
        <f t="shared" si="51"/>
        <v>Poor</v>
      </c>
      <c r="X780" s="4">
        <f>AVERAGE(Table1[Purchase Amount])</f>
        <v>129.48419400000012</v>
      </c>
    </row>
    <row r="781" spans="1:24" ht="15" customHeight="1" x14ac:dyDescent="0.25">
      <c r="A781">
        <v>780</v>
      </c>
      <c r="B781">
        <v>60</v>
      </c>
      <c r="C781" t="s">
        <v>27</v>
      </c>
      <c r="D781" t="s">
        <v>157</v>
      </c>
      <c r="E781" t="s">
        <v>18</v>
      </c>
      <c r="F781" s="2">
        <v>94</v>
      </c>
      <c r="G781" t="s">
        <v>144</v>
      </c>
      <c r="H781" t="s">
        <v>31</v>
      </c>
      <c r="I781" t="s">
        <v>74</v>
      </c>
      <c r="J781" t="s">
        <v>33</v>
      </c>
      <c r="K781">
        <v>4.5999999999999996</v>
      </c>
      <c r="L781" t="s">
        <v>34</v>
      </c>
      <c r="M781" t="s">
        <v>61</v>
      </c>
      <c r="N781" t="s">
        <v>34</v>
      </c>
      <c r="O781">
        <v>38</v>
      </c>
      <c r="P781" t="s">
        <v>25</v>
      </c>
      <c r="Q781" t="s">
        <v>49</v>
      </c>
      <c r="R781" s="1">
        <v>0.1</v>
      </c>
      <c r="S781">
        <f t="shared" si="48"/>
        <v>84.6</v>
      </c>
      <c r="T781">
        <f>IFERROR(VLOOKUP(A781,Table1[[Customer ID]:[Discount Amount]], 6, FALSE),"Not Found")</f>
        <v>94</v>
      </c>
      <c r="U781" t="str">
        <f t="shared" si="49"/>
        <v>Cash</v>
      </c>
      <c r="V781" s="4" t="str">
        <f t="shared" si="50"/>
        <v>Normal</v>
      </c>
      <c r="W781" s="4" t="str">
        <f t="shared" si="51"/>
        <v>Good</v>
      </c>
      <c r="X781" s="4">
        <f>AVERAGE(Table1[Purchase Amount])</f>
        <v>129.48419400000012</v>
      </c>
    </row>
    <row r="782" spans="1:24" ht="15" customHeight="1" x14ac:dyDescent="0.25">
      <c r="A782">
        <v>781</v>
      </c>
      <c r="B782">
        <v>34</v>
      </c>
      <c r="C782" t="s">
        <v>27</v>
      </c>
      <c r="D782" t="s">
        <v>72</v>
      </c>
      <c r="E782" t="s">
        <v>98</v>
      </c>
      <c r="F782" s="2">
        <v>26</v>
      </c>
      <c r="G782" t="s">
        <v>101</v>
      </c>
      <c r="H782" t="s">
        <v>31</v>
      </c>
      <c r="I782" t="s">
        <v>156</v>
      </c>
      <c r="J782" t="s">
        <v>33</v>
      </c>
      <c r="K782">
        <v>3.6</v>
      </c>
      <c r="L782" t="s">
        <v>34</v>
      </c>
      <c r="M782" t="s">
        <v>35</v>
      </c>
      <c r="N782" t="s">
        <v>34</v>
      </c>
      <c r="O782">
        <v>38</v>
      </c>
      <c r="P782" t="s">
        <v>25</v>
      </c>
      <c r="Q782" t="s">
        <v>37</v>
      </c>
      <c r="R782" s="1">
        <v>0.1</v>
      </c>
      <c r="S782">
        <f t="shared" si="48"/>
        <v>23.4</v>
      </c>
      <c r="T782">
        <f>IFERROR(VLOOKUP(A782,Table1[[Customer ID]:[Discount Amount]], 6, FALSE),"Not Found")</f>
        <v>26</v>
      </c>
      <c r="U782" t="str">
        <f t="shared" si="49"/>
        <v>Cash</v>
      </c>
      <c r="V782" s="4" t="str">
        <f t="shared" si="50"/>
        <v>Normal</v>
      </c>
      <c r="W782" s="4" t="str">
        <f t="shared" si="51"/>
        <v>Good</v>
      </c>
      <c r="X782" s="4">
        <f>AVERAGE(Table1[Purchase Amount])</f>
        <v>129.48419400000012</v>
      </c>
    </row>
    <row r="783" spans="1:24" ht="15" customHeight="1" x14ac:dyDescent="0.25">
      <c r="A783">
        <v>782</v>
      </c>
      <c r="B783">
        <v>30</v>
      </c>
      <c r="C783" t="s">
        <v>27</v>
      </c>
      <c r="D783" t="s">
        <v>129</v>
      </c>
      <c r="E783" t="s">
        <v>29</v>
      </c>
      <c r="F783" s="2">
        <v>44</v>
      </c>
      <c r="G783" t="s">
        <v>84</v>
      </c>
      <c r="H783" t="s">
        <v>45</v>
      </c>
      <c r="I783" t="s">
        <v>91</v>
      </c>
      <c r="J783" t="s">
        <v>22</v>
      </c>
      <c r="K783">
        <v>3</v>
      </c>
      <c r="L783" t="s">
        <v>34</v>
      </c>
      <c r="M783" t="s">
        <v>48</v>
      </c>
      <c r="N783" t="s">
        <v>34</v>
      </c>
      <c r="O783">
        <v>12</v>
      </c>
      <c r="P783" t="s">
        <v>53</v>
      </c>
      <c r="Q783" t="s">
        <v>89</v>
      </c>
      <c r="R783" s="1">
        <v>0.1</v>
      </c>
      <c r="S783">
        <f t="shared" si="48"/>
        <v>39.6</v>
      </c>
      <c r="T783">
        <f>IFERROR(VLOOKUP(A783,Table1[[Customer ID]:[Discount Amount]], 6, FALSE),"Not Found")</f>
        <v>44</v>
      </c>
      <c r="U783" t="str">
        <f t="shared" si="49"/>
        <v>Credit Card</v>
      </c>
      <c r="V783" s="4" t="str">
        <f t="shared" si="50"/>
        <v>Normal</v>
      </c>
      <c r="W783" s="4" t="str">
        <f t="shared" si="51"/>
        <v>Good</v>
      </c>
      <c r="X783" s="4">
        <f>AVERAGE(Table1[Purchase Amount])</f>
        <v>129.48419400000012</v>
      </c>
    </row>
    <row r="784" spans="1:24" ht="15" customHeight="1" x14ac:dyDescent="0.25">
      <c r="A784">
        <v>783</v>
      </c>
      <c r="B784">
        <v>28</v>
      </c>
      <c r="C784" t="s">
        <v>27</v>
      </c>
      <c r="D784" t="s">
        <v>83</v>
      </c>
      <c r="E784" t="s">
        <v>18</v>
      </c>
      <c r="F784" s="2">
        <v>57</v>
      </c>
      <c r="G784" t="s">
        <v>135</v>
      </c>
      <c r="H784" t="s">
        <v>31</v>
      </c>
      <c r="I784" t="s">
        <v>93</v>
      </c>
      <c r="J784" t="s">
        <v>57</v>
      </c>
      <c r="K784">
        <v>4.5</v>
      </c>
      <c r="L784" t="s">
        <v>34</v>
      </c>
      <c r="M784" t="s">
        <v>24</v>
      </c>
      <c r="N784" t="s">
        <v>34</v>
      </c>
      <c r="O784">
        <v>15</v>
      </c>
      <c r="P784" t="s">
        <v>25</v>
      </c>
      <c r="Q784" t="s">
        <v>26</v>
      </c>
      <c r="R784" s="1">
        <v>0.1</v>
      </c>
      <c r="S784">
        <f t="shared" si="48"/>
        <v>51.3</v>
      </c>
      <c r="T784">
        <f>IFERROR(VLOOKUP(A784,Table1[[Customer ID]:[Discount Amount]], 6, FALSE),"Not Found")</f>
        <v>57</v>
      </c>
      <c r="U784" t="str">
        <f t="shared" si="49"/>
        <v>Cash</v>
      </c>
      <c r="V784" s="4" t="str">
        <f t="shared" si="50"/>
        <v>Normal</v>
      </c>
      <c r="W784" s="4" t="str">
        <f t="shared" si="51"/>
        <v>Good</v>
      </c>
      <c r="X784" s="4">
        <f>AVERAGE(Table1[Purchase Amount])</f>
        <v>129.48419400000012</v>
      </c>
    </row>
    <row r="785" spans="1:24" ht="15" customHeight="1" x14ac:dyDescent="0.25">
      <c r="A785">
        <v>784</v>
      </c>
      <c r="B785">
        <v>63</v>
      </c>
      <c r="C785" t="s">
        <v>27</v>
      </c>
      <c r="D785" t="s">
        <v>17</v>
      </c>
      <c r="E785" t="s">
        <v>18</v>
      </c>
      <c r="F785" s="2">
        <v>65</v>
      </c>
      <c r="G785" t="s">
        <v>119</v>
      </c>
      <c r="H785" t="s">
        <v>45</v>
      </c>
      <c r="I785" t="s">
        <v>66</v>
      </c>
      <c r="J785" t="s">
        <v>22</v>
      </c>
      <c r="K785">
        <v>4.5</v>
      </c>
      <c r="L785" t="s">
        <v>34</v>
      </c>
      <c r="M785" t="s">
        <v>79</v>
      </c>
      <c r="N785" t="s">
        <v>34</v>
      </c>
      <c r="O785">
        <v>38</v>
      </c>
      <c r="P785" t="s">
        <v>58</v>
      </c>
      <c r="Q785" t="s">
        <v>89</v>
      </c>
      <c r="R785" s="1">
        <v>0.1</v>
      </c>
      <c r="S785">
        <f t="shared" si="48"/>
        <v>58.5</v>
      </c>
      <c r="T785">
        <f>IFERROR(VLOOKUP(A785,Table1[[Customer ID]:[Discount Amount]], 6, FALSE),"Not Found")</f>
        <v>65</v>
      </c>
      <c r="U785" t="str">
        <f t="shared" si="49"/>
        <v>PayPal</v>
      </c>
      <c r="V785" s="4" t="str">
        <f t="shared" si="50"/>
        <v>Normal</v>
      </c>
      <c r="W785" s="4" t="str">
        <f t="shared" si="51"/>
        <v>Good</v>
      </c>
      <c r="X785" s="4">
        <f>AVERAGE(Table1[Purchase Amount])</f>
        <v>129.48419400000012</v>
      </c>
    </row>
    <row r="786" spans="1:24" ht="15" customHeight="1" x14ac:dyDescent="0.25">
      <c r="A786">
        <v>785</v>
      </c>
      <c r="B786">
        <v>31</v>
      </c>
      <c r="C786" t="s">
        <v>27</v>
      </c>
      <c r="D786" t="s">
        <v>109</v>
      </c>
      <c r="E786" t="s">
        <v>18</v>
      </c>
      <c r="F786" s="2">
        <v>72</v>
      </c>
      <c r="G786" t="s">
        <v>51</v>
      </c>
      <c r="H786" t="s">
        <v>31</v>
      </c>
      <c r="I786" t="s">
        <v>145</v>
      </c>
      <c r="J786" t="s">
        <v>22</v>
      </c>
      <c r="K786">
        <v>3.2</v>
      </c>
      <c r="L786" t="s">
        <v>34</v>
      </c>
      <c r="M786" t="s">
        <v>48</v>
      </c>
      <c r="N786" t="s">
        <v>34</v>
      </c>
      <c r="O786">
        <v>41</v>
      </c>
      <c r="P786" t="s">
        <v>88</v>
      </c>
      <c r="Q786" t="s">
        <v>63</v>
      </c>
      <c r="R786" s="1">
        <v>0.1</v>
      </c>
      <c r="S786">
        <f t="shared" si="48"/>
        <v>64.8</v>
      </c>
      <c r="T786">
        <f>IFERROR(VLOOKUP(A786,Table1[[Customer ID]:[Discount Amount]], 6, FALSE),"Not Found")</f>
        <v>72</v>
      </c>
      <c r="U786" t="str">
        <f t="shared" si="49"/>
        <v>Bank Transfer</v>
      </c>
      <c r="V786" s="4" t="str">
        <f t="shared" si="50"/>
        <v>Normal</v>
      </c>
      <c r="W786" s="4" t="str">
        <f t="shared" si="51"/>
        <v>Good</v>
      </c>
      <c r="X786" s="4">
        <f>AVERAGE(Table1[Purchase Amount])</f>
        <v>129.48419400000012</v>
      </c>
    </row>
    <row r="787" spans="1:24" ht="15" customHeight="1" x14ac:dyDescent="0.25">
      <c r="A787">
        <v>786</v>
      </c>
      <c r="B787">
        <v>46</v>
      </c>
      <c r="C787" t="s">
        <v>27</v>
      </c>
      <c r="D787" t="s">
        <v>54</v>
      </c>
      <c r="E787" t="s">
        <v>18</v>
      </c>
      <c r="F787" s="2">
        <v>62</v>
      </c>
      <c r="G787" t="s">
        <v>119</v>
      </c>
      <c r="H787" t="s">
        <v>55</v>
      </c>
      <c r="I787" t="s">
        <v>66</v>
      </c>
      <c r="J787" t="s">
        <v>33</v>
      </c>
      <c r="K787">
        <v>4</v>
      </c>
      <c r="L787" t="s">
        <v>34</v>
      </c>
      <c r="M787" t="s">
        <v>79</v>
      </c>
      <c r="N787" t="s">
        <v>34</v>
      </c>
      <c r="O787">
        <v>37</v>
      </c>
      <c r="P787" t="s">
        <v>58</v>
      </c>
      <c r="Q787" t="s">
        <v>89</v>
      </c>
      <c r="R787" s="1">
        <v>0.1</v>
      </c>
      <c r="S787">
        <f t="shared" si="48"/>
        <v>55.8</v>
      </c>
      <c r="T787">
        <f>IFERROR(VLOOKUP(A787,Table1[[Customer ID]:[Discount Amount]], 6, FALSE),"Not Found")</f>
        <v>62</v>
      </c>
      <c r="U787" t="str">
        <f t="shared" si="49"/>
        <v>PayPal</v>
      </c>
      <c r="V787" s="4" t="str">
        <f t="shared" si="50"/>
        <v>Normal</v>
      </c>
      <c r="W787" s="4" t="str">
        <f t="shared" si="51"/>
        <v>Good</v>
      </c>
      <c r="X787" s="4">
        <f>AVERAGE(Table1[Purchase Amount])</f>
        <v>129.48419400000012</v>
      </c>
    </row>
    <row r="788" spans="1:24" ht="15" customHeight="1" x14ac:dyDescent="0.25">
      <c r="A788">
        <v>787</v>
      </c>
      <c r="B788">
        <v>70</v>
      </c>
      <c r="C788" t="s">
        <v>27</v>
      </c>
      <c r="D788" t="s">
        <v>64</v>
      </c>
      <c r="E788" t="s">
        <v>29</v>
      </c>
      <c r="F788" s="2">
        <v>21</v>
      </c>
      <c r="G788" t="s">
        <v>102</v>
      </c>
      <c r="H788" t="s">
        <v>55</v>
      </c>
      <c r="I788" t="s">
        <v>147</v>
      </c>
      <c r="J788" t="s">
        <v>22</v>
      </c>
      <c r="K788">
        <v>4.8</v>
      </c>
      <c r="L788" t="s">
        <v>34</v>
      </c>
      <c r="M788" t="s">
        <v>61</v>
      </c>
      <c r="N788" t="s">
        <v>34</v>
      </c>
      <c r="O788">
        <v>16</v>
      </c>
      <c r="P788" t="s">
        <v>88</v>
      </c>
      <c r="Q788" t="s">
        <v>63</v>
      </c>
      <c r="R788" s="1">
        <v>0.1</v>
      </c>
      <c r="S788">
        <f t="shared" si="48"/>
        <v>18.899999999999999</v>
      </c>
      <c r="T788">
        <f>IFERROR(VLOOKUP(A788,Table1[[Customer ID]:[Discount Amount]], 6, FALSE),"Not Found")</f>
        <v>21</v>
      </c>
      <c r="U788" t="str">
        <f t="shared" si="49"/>
        <v>Bank Transfer</v>
      </c>
      <c r="V788" s="4" t="str">
        <f t="shared" si="50"/>
        <v>Normal</v>
      </c>
      <c r="W788" s="4" t="str">
        <f t="shared" si="51"/>
        <v>Good</v>
      </c>
      <c r="X788" s="4">
        <f>AVERAGE(Table1[Purchase Amount])</f>
        <v>129.48419400000012</v>
      </c>
    </row>
    <row r="789" spans="1:24" ht="15" customHeight="1" x14ac:dyDescent="0.25">
      <c r="A789">
        <v>788</v>
      </c>
      <c r="B789">
        <v>53</v>
      </c>
      <c r="C789" t="s">
        <v>27</v>
      </c>
      <c r="D789" t="s">
        <v>69</v>
      </c>
      <c r="E789" t="s">
        <v>29</v>
      </c>
      <c r="F789" s="2">
        <v>85</v>
      </c>
      <c r="G789" t="s">
        <v>113</v>
      </c>
      <c r="H789" t="s">
        <v>55</v>
      </c>
      <c r="I789" t="s">
        <v>93</v>
      </c>
      <c r="J789" t="s">
        <v>33</v>
      </c>
      <c r="K789">
        <v>3.7</v>
      </c>
      <c r="L789" t="s">
        <v>34</v>
      </c>
      <c r="M789" t="s">
        <v>35</v>
      </c>
      <c r="N789" t="s">
        <v>34</v>
      </c>
      <c r="O789">
        <v>25</v>
      </c>
      <c r="P789" t="s">
        <v>62</v>
      </c>
      <c r="Q789" t="s">
        <v>26</v>
      </c>
      <c r="R789" s="1">
        <v>0.1</v>
      </c>
      <c r="S789">
        <f t="shared" si="48"/>
        <v>76.5</v>
      </c>
      <c r="T789">
        <f>IFERROR(VLOOKUP(A789,Table1[[Customer ID]:[Discount Amount]], 6, FALSE),"Not Found")</f>
        <v>85</v>
      </c>
      <c r="U789" t="str">
        <f t="shared" si="49"/>
        <v>Venmo</v>
      </c>
      <c r="V789" s="4" t="str">
        <f t="shared" si="50"/>
        <v>Normal</v>
      </c>
      <c r="W789" s="4" t="str">
        <f t="shared" si="51"/>
        <v>Good</v>
      </c>
      <c r="X789" s="4">
        <f>AVERAGE(Table1[Purchase Amount])</f>
        <v>129.48419400000012</v>
      </c>
    </row>
    <row r="790" spans="1:24" ht="15" customHeight="1" x14ac:dyDescent="0.25">
      <c r="A790">
        <v>789</v>
      </c>
      <c r="B790">
        <v>50</v>
      </c>
      <c r="C790" t="s">
        <v>27</v>
      </c>
      <c r="D790" t="s">
        <v>99</v>
      </c>
      <c r="E790" t="s">
        <v>18</v>
      </c>
      <c r="F790" s="2">
        <v>51</v>
      </c>
      <c r="G790" t="s">
        <v>159</v>
      </c>
      <c r="H790" t="s">
        <v>20</v>
      </c>
      <c r="I790" t="s">
        <v>52</v>
      </c>
      <c r="J790" t="s">
        <v>57</v>
      </c>
      <c r="K790">
        <v>3.8</v>
      </c>
      <c r="L790" t="s">
        <v>34</v>
      </c>
      <c r="M790" t="s">
        <v>48</v>
      </c>
      <c r="N790" t="s">
        <v>34</v>
      </c>
      <c r="O790">
        <v>18</v>
      </c>
      <c r="P790" t="s">
        <v>88</v>
      </c>
      <c r="Q790" t="s">
        <v>37</v>
      </c>
      <c r="R790" s="1">
        <v>0.1</v>
      </c>
      <c r="S790">
        <f t="shared" si="48"/>
        <v>45.9</v>
      </c>
      <c r="T790">
        <f>IFERROR(VLOOKUP(A790,Table1[[Customer ID]:[Discount Amount]], 6, FALSE),"Not Found")</f>
        <v>51</v>
      </c>
      <c r="U790" t="str">
        <f t="shared" si="49"/>
        <v>Bank Transfer</v>
      </c>
      <c r="V790" s="4" t="str">
        <f t="shared" si="50"/>
        <v>Normal</v>
      </c>
      <c r="W790" s="4" t="str">
        <f t="shared" si="51"/>
        <v>Good</v>
      </c>
      <c r="X790" s="4">
        <f>AVERAGE(Table1[Purchase Amount])</f>
        <v>129.48419400000012</v>
      </c>
    </row>
    <row r="791" spans="1:24" ht="15" customHeight="1" x14ac:dyDescent="0.25">
      <c r="A791">
        <v>790</v>
      </c>
      <c r="B791">
        <v>33</v>
      </c>
      <c r="C791" t="s">
        <v>27</v>
      </c>
      <c r="D791" t="s">
        <v>69</v>
      </c>
      <c r="E791" t="s">
        <v>29</v>
      </c>
      <c r="F791" s="2">
        <v>84</v>
      </c>
      <c r="G791" t="s">
        <v>161</v>
      </c>
      <c r="H791" t="s">
        <v>55</v>
      </c>
      <c r="I791" t="s">
        <v>66</v>
      </c>
      <c r="J791" t="s">
        <v>47</v>
      </c>
      <c r="K791">
        <v>2.7</v>
      </c>
      <c r="L791" t="s">
        <v>34</v>
      </c>
      <c r="M791" t="s">
        <v>24</v>
      </c>
      <c r="N791" t="s">
        <v>34</v>
      </c>
      <c r="O791">
        <v>4</v>
      </c>
      <c r="P791" t="s">
        <v>53</v>
      </c>
      <c r="Q791" t="s">
        <v>68</v>
      </c>
      <c r="R791" s="1">
        <v>0.1</v>
      </c>
      <c r="S791">
        <f t="shared" si="48"/>
        <v>75.599999999999994</v>
      </c>
      <c r="T791">
        <f>IFERROR(VLOOKUP(A791,Table1[[Customer ID]:[Discount Amount]], 6, FALSE),"Not Found")</f>
        <v>84</v>
      </c>
      <c r="U791" t="str">
        <f t="shared" si="49"/>
        <v>Credit Card</v>
      </c>
      <c r="V791" s="4" t="str">
        <f t="shared" si="50"/>
        <v>Normal</v>
      </c>
      <c r="W791" s="4" t="str">
        <f t="shared" si="51"/>
        <v>Poor</v>
      </c>
      <c r="X791" s="4">
        <f>AVERAGE(Table1[Purchase Amount])</f>
        <v>129.48419400000012</v>
      </c>
    </row>
    <row r="792" spans="1:24" ht="15" customHeight="1" x14ac:dyDescent="0.25">
      <c r="A792">
        <v>791</v>
      </c>
      <c r="B792">
        <v>22</v>
      </c>
      <c r="C792" t="s">
        <v>27</v>
      </c>
      <c r="D792" t="s">
        <v>127</v>
      </c>
      <c r="E792" t="s">
        <v>18</v>
      </c>
      <c r="F792" s="2">
        <v>37</v>
      </c>
      <c r="G792" t="s">
        <v>119</v>
      </c>
      <c r="H792" t="s">
        <v>31</v>
      </c>
      <c r="I792" t="s">
        <v>91</v>
      </c>
      <c r="J792" t="s">
        <v>57</v>
      </c>
      <c r="K792">
        <v>4.9000000000000004</v>
      </c>
      <c r="L792" t="s">
        <v>34</v>
      </c>
      <c r="M792" t="s">
        <v>48</v>
      </c>
      <c r="N792" t="s">
        <v>34</v>
      </c>
      <c r="O792">
        <v>12</v>
      </c>
      <c r="P792" t="s">
        <v>88</v>
      </c>
      <c r="Q792" t="s">
        <v>37</v>
      </c>
      <c r="R792" s="1">
        <v>0.1</v>
      </c>
      <c r="S792">
        <f t="shared" si="48"/>
        <v>33.299999999999997</v>
      </c>
      <c r="T792">
        <f>IFERROR(VLOOKUP(A792,Table1[[Customer ID]:[Discount Amount]], 6, FALSE),"Not Found")</f>
        <v>37</v>
      </c>
      <c r="U792" t="str">
        <f t="shared" si="49"/>
        <v>Bank Transfer</v>
      </c>
      <c r="V792" s="4" t="str">
        <f t="shared" si="50"/>
        <v>Normal</v>
      </c>
      <c r="W792" s="4" t="str">
        <f t="shared" si="51"/>
        <v>Good</v>
      </c>
      <c r="X792" s="4">
        <f>AVERAGE(Table1[Purchase Amount])</f>
        <v>129.48419400000012</v>
      </c>
    </row>
    <row r="793" spans="1:24" ht="15" customHeight="1" x14ac:dyDescent="0.25">
      <c r="A793">
        <v>792</v>
      </c>
      <c r="B793">
        <v>50</v>
      </c>
      <c r="C793" t="s">
        <v>27</v>
      </c>
      <c r="D793" t="s">
        <v>129</v>
      </c>
      <c r="E793" t="s">
        <v>29</v>
      </c>
      <c r="F793" s="2">
        <v>44</v>
      </c>
      <c r="G793" t="s">
        <v>134</v>
      </c>
      <c r="H793" t="s">
        <v>55</v>
      </c>
      <c r="I793" t="s">
        <v>87</v>
      </c>
      <c r="J793" t="s">
        <v>57</v>
      </c>
      <c r="K793">
        <v>3.1</v>
      </c>
      <c r="L793" t="s">
        <v>34</v>
      </c>
      <c r="M793" t="s">
        <v>41</v>
      </c>
      <c r="N793" t="s">
        <v>34</v>
      </c>
      <c r="O793">
        <v>35</v>
      </c>
      <c r="P793" t="s">
        <v>58</v>
      </c>
      <c r="Q793" t="s">
        <v>89</v>
      </c>
      <c r="R793" s="1">
        <v>0.1</v>
      </c>
      <c r="S793">
        <f t="shared" si="48"/>
        <v>39.6</v>
      </c>
      <c r="T793">
        <f>IFERROR(VLOOKUP(A793,Table1[[Customer ID]:[Discount Amount]], 6, FALSE),"Not Found")</f>
        <v>44</v>
      </c>
      <c r="U793" t="str">
        <f t="shared" si="49"/>
        <v>PayPal</v>
      </c>
      <c r="V793" s="4" t="str">
        <f t="shared" si="50"/>
        <v>Normal</v>
      </c>
      <c r="W793" s="4" t="str">
        <f t="shared" si="51"/>
        <v>Good</v>
      </c>
      <c r="X793" s="4">
        <f>AVERAGE(Table1[Purchase Amount])</f>
        <v>129.48419400000012</v>
      </c>
    </row>
    <row r="794" spans="1:24" ht="15" customHeight="1" x14ac:dyDescent="0.25">
      <c r="A794">
        <v>793</v>
      </c>
      <c r="B794">
        <v>34</v>
      </c>
      <c r="C794" t="s">
        <v>27</v>
      </c>
      <c r="D794" t="s">
        <v>140</v>
      </c>
      <c r="E794" t="s">
        <v>98</v>
      </c>
      <c r="F794" s="2">
        <v>45</v>
      </c>
      <c r="G794" t="s">
        <v>131</v>
      </c>
      <c r="H794" t="s">
        <v>31</v>
      </c>
      <c r="I794" t="s">
        <v>111</v>
      </c>
      <c r="J794" t="s">
        <v>33</v>
      </c>
      <c r="K794">
        <v>4.2</v>
      </c>
      <c r="L794" t="s">
        <v>34</v>
      </c>
      <c r="M794" t="s">
        <v>79</v>
      </c>
      <c r="N794" t="s">
        <v>34</v>
      </c>
      <c r="O794">
        <v>45</v>
      </c>
      <c r="P794" t="s">
        <v>62</v>
      </c>
      <c r="Q794" t="s">
        <v>26</v>
      </c>
      <c r="R794" s="1">
        <v>0.1</v>
      </c>
      <c r="S794">
        <f t="shared" si="48"/>
        <v>40.5</v>
      </c>
      <c r="T794">
        <f>IFERROR(VLOOKUP(A794,Table1[[Customer ID]:[Discount Amount]], 6, FALSE),"Not Found")</f>
        <v>45</v>
      </c>
      <c r="U794" t="str">
        <f t="shared" si="49"/>
        <v>Venmo</v>
      </c>
      <c r="V794" s="4" t="str">
        <f t="shared" si="50"/>
        <v>Normal</v>
      </c>
      <c r="W794" s="4" t="str">
        <f t="shared" si="51"/>
        <v>Good</v>
      </c>
      <c r="X794" s="4">
        <f>AVERAGE(Table1[Purchase Amount])</f>
        <v>129.48419400000012</v>
      </c>
    </row>
    <row r="795" spans="1:24" ht="15" customHeight="1" x14ac:dyDescent="0.25">
      <c r="A795">
        <v>794</v>
      </c>
      <c r="B795">
        <v>24</v>
      </c>
      <c r="C795" t="s">
        <v>27</v>
      </c>
      <c r="D795" t="s">
        <v>99</v>
      </c>
      <c r="E795" t="s">
        <v>18</v>
      </c>
      <c r="F795" s="2">
        <v>35</v>
      </c>
      <c r="G795" t="s">
        <v>51</v>
      </c>
      <c r="H795" t="s">
        <v>45</v>
      </c>
      <c r="I795" t="s">
        <v>125</v>
      </c>
      <c r="J795" t="s">
        <v>57</v>
      </c>
      <c r="K795">
        <v>3.8</v>
      </c>
      <c r="L795" t="s">
        <v>34</v>
      </c>
      <c r="M795" t="s">
        <v>35</v>
      </c>
      <c r="N795" t="s">
        <v>34</v>
      </c>
      <c r="O795">
        <v>16</v>
      </c>
      <c r="P795" t="s">
        <v>53</v>
      </c>
      <c r="Q795" t="s">
        <v>42</v>
      </c>
      <c r="R795" s="1">
        <v>0.1</v>
      </c>
      <c r="S795">
        <f t="shared" si="48"/>
        <v>31.5</v>
      </c>
      <c r="T795">
        <f>IFERROR(VLOOKUP(A795,Table1[[Customer ID]:[Discount Amount]], 6, FALSE),"Not Found")</f>
        <v>35</v>
      </c>
      <c r="U795" t="str">
        <f t="shared" si="49"/>
        <v>Credit Card</v>
      </c>
      <c r="V795" s="4" t="str">
        <f t="shared" si="50"/>
        <v>Normal</v>
      </c>
      <c r="W795" s="4" t="str">
        <f t="shared" si="51"/>
        <v>Good</v>
      </c>
      <c r="X795" s="4">
        <f>AVERAGE(Table1[Purchase Amount])</f>
        <v>129.48419400000012</v>
      </c>
    </row>
    <row r="796" spans="1:24" ht="15" customHeight="1" x14ac:dyDescent="0.25">
      <c r="A796">
        <v>795</v>
      </c>
      <c r="B796">
        <v>69</v>
      </c>
      <c r="C796" t="s">
        <v>27</v>
      </c>
      <c r="D796" t="s">
        <v>104</v>
      </c>
      <c r="E796" t="s">
        <v>29</v>
      </c>
      <c r="F796" s="2">
        <v>50</v>
      </c>
      <c r="G796" t="s">
        <v>70</v>
      </c>
      <c r="H796" t="s">
        <v>20</v>
      </c>
      <c r="I796" t="s">
        <v>52</v>
      </c>
      <c r="J796" t="s">
        <v>22</v>
      </c>
      <c r="K796">
        <v>4.2</v>
      </c>
      <c r="L796" t="s">
        <v>34</v>
      </c>
      <c r="M796" t="s">
        <v>48</v>
      </c>
      <c r="N796" t="s">
        <v>34</v>
      </c>
      <c r="O796">
        <v>10</v>
      </c>
      <c r="P796" t="s">
        <v>36</v>
      </c>
      <c r="Q796" t="s">
        <v>89</v>
      </c>
      <c r="R796" s="1">
        <v>0.1</v>
      </c>
      <c r="S796">
        <f t="shared" si="48"/>
        <v>45</v>
      </c>
      <c r="T796">
        <f>IFERROR(VLOOKUP(A796,Table1[[Customer ID]:[Discount Amount]], 6, FALSE),"Not Found")</f>
        <v>50</v>
      </c>
      <c r="U796" t="str">
        <f t="shared" si="49"/>
        <v>Debit Card</v>
      </c>
      <c r="V796" s="4" t="str">
        <f t="shared" si="50"/>
        <v>Normal</v>
      </c>
      <c r="W796" s="4" t="str">
        <f t="shared" si="51"/>
        <v>Good</v>
      </c>
      <c r="X796" s="4">
        <f>AVERAGE(Table1[Purchase Amount])</f>
        <v>129.48419400000012</v>
      </c>
    </row>
    <row r="797" spans="1:24" ht="15" customHeight="1" x14ac:dyDescent="0.25">
      <c r="A797">
        <v>796</v>
      </c>
      <c r="B797">
        <v>39</v>
      </c>
      <c r="C797" t="s">
        <v>27</v>
      </c>
      <c r="D797" t="s">
        <v>121</v>
      </c>
      <c r="E797" t="s">
        <v>98</v>
      </c>
      <c r="F797" s="2">
        <v>26</v>
      </c>
      <c r="G797" t="s">
        <v>101</v>
      </c>
      <c r="H797" t="s">
        <v>31</v>
      </c>
      <c r="I797" t="s">
        <v>56</v>
      </c>
      <c r="J797" t="s">
        <v>57</v>
      </c>
      <c r="K797">
        <v>4.5999999999999996</v>
      </c>
      <c r="L797" t="s">
        <v>34</v>
      </c>
      <c r="M797" t="s">
        <v>48</v>
      </c>
      <c r="N797" t="s">
        <v>34</v>
      </c>
      <c r="O797">
        <v>34</v>
      </c>
      <c r="P797" t="s">
        <v>62</v>
      </c>
      <c r="Q797" t="s">
        <v>49</v>
      </c>
      <c r="R797" s="1">
        <v>0.1</v>
      </c>
      <c r="S797">
        <f t="shared" si="48"/>
        <v>23.4</v>
      </c>
      <c r="T797">
        <f>IFERROR(VLOOKUP(A797,Table1[[Customer ID]:[Discount Amount]], 6, FALSE),"Not Found")</f>
        <v>26</v>
      </c>
      <c r="U797" t="str">
        <f t="shared" si="49"/>
        <v>Venmo</v>
      </c>
      <c r="V797" s="4" t="str">
        <f t="shared" si="50"/>
        <v>Normal</v>
      </c>
      <c r="W797" s="4" t="str">
        <f t="shared" si="51"/>
        <v>Good</v>
      </c>
      <c r="X797" s="4">
        <f>AVERAGE(Table1[Purchase Amount])</f>
        <v>129.48419400000012</v>
      </c>
    </row>
    <row r="798" spans="1:24" ht="15" customHeight="1" x14ac:dyDescent="0.25">
      <c r="A798">
        <v>797</v>
      </c>
      <c r="B798">
        <v>42</v>
      </c>
      <c r="C798" t="s">
        <v>27</v>
      </c>
      <c r="D798" t="s">
        <v>105</v>
      </c>
      <c r="E798" t="s">
        <v>18</v>
      </c>
      <c r="F798" s="2">
        <v>78</v>
      </c>
      <c r="G798" t="s">
        <v>150</v>
      </c>
      <c r="H798" t="s">
        <v>20</v>
      </c>
      <c r="I798" t="s">
        <v>40</v>
      </c>
      <c r="J798" t="s">
        <v>47</v>
      </c>
      <c r="K798">
        <v>4</v>
      </c>
      <c r="L798" t="s">
        <v>34</v>
      </c>
      <c r="M798" t="s">
        <v>41</v>
      </c>
      <c r="N798" t="s">
        <v>34</v>
      </c>
      <c r="O798">
        <v>43</v>
      </c>
      <c r="P798" t="s">
        <v>53</v>
      </c>
      <c r="Q798" t="s">
        <v>49</v>
      </c>
      <c r="R798" s="1">
        <v>0.1</v>
      </c>
      <c r="S798">
        <f t="shared" si="48"/>
        <v>70.2</v>
      </c>
      <c r="T798">
        <f>IFERROR(VLOOKUP(A798,Table1[[Customer ID]:[Discount Amount]], 6, FALSE),"Not Found")</f>
        <v>78</v>
      </c>
      <c r="U798" t="str">
        <f t="shared" si="49"/>
        <v>Credit Card</v>
      </c>
      <c r="V798" s="4" t="str">
        <f t="shared" si="50"/>
        <v>Normal</v>
      </c>
      <c r="W798" s="4" t="str">
        <f t="shared" si="51"/>
        <v>Good</v>
      </c>
      <c r="X798" s="4">
        <f>AVERAGE(Table1[Purchase Amount])</f>
        <v>129.48419400000012</v>
      </c>
    </row>
    <row r="799" spans="1:24" ht="15" customHeight="1" x14ac:dyDescent="0.25">
      <c r="A799">
        <v>798</v>
      </c>
      <c r="B799">
        <v>42</v>
      </c>
      <c r="C799" t="s">
        <v>27</v>
      </c>
      <c r="D799" t="s">
        <v>76</v>
      </c>
      <c r="E799" t="s">
        <v>77</v>
      </c>
      <c r="F799" s="2">
        <v>82</v>
      </c>
      <c r="G799" t="s">
        <v>106</v>
      </c>
      <c r="H799" t="s">
        <v>31</v>
      </c>
      <c r="I799" t="s">
        <v>111</v>
      </c>
      <c r="J799" t="s">
        <v>47</v>
      </c>
      <c r="K799">
        <v>4</v>
      </c>
      <c r="L799" t="s">
        <v>34</v>
      </c>
      <c r="M799" t="s">
        <v>41</v>
      </c>
      <c r="N799" t="s">
        <v>34</v>
      </c>
      <c r="O799">
        <v>38</v>
      </c>
      <c r="P799" t="s">
        <v>36</v>
      </c>
      <c r="Q799" t="s">
        <v>26</v>
      </c>
      <c r="R799" s="1">
        <v>0.1</v>
      </c>
      <c r="S799">
        <f t="shared" si="48"/>
        <v>73.8</v>
      </c>
      <c r="T799">
        <f>IFERROR(VLOOKUP(A799,Table1[[Customer ID]:[Discount Amount]], 6, FALSE),"Not Found")</f>
        <v>82</v>
      </c>
      <c r="U799" t="str">
        <f t="shared" si="49"/>
        <v>Debit Card</v>
      </c>
      <c r="V799" s="4" t="str">
        <f t="shared" si="50"/>
        <v>Normal</v>
      </c>
      <c r="W799" s="4" t="str">
        <f t="shared" si="51"/>
        <v>Good</v>
      </c>
      <c r="X799" s="4">
        <f>AVERAGE(Table1[Purchase Amount])</f>
        <v>129.48419400000012</v>
      </c>
    </row>
    <row r="800" spans="1:24" ht="15" customHeight="1" x14ac:dyDescent="0.25">
      <c r="A800">
        <v>799</v>
      </c>
      <c r="B800">
        <v>29</v>
      </c>
      <c r="C800" t="s">
        <v>27</v>
      </c>
      <c r="D800" t="s">
        <v>105</v>
      </c>
      <c r="E800" t="s">
        <v>18</v>
      </c>
      <c r="F800" s="2">
        <v>39</v>
      </c>
      <c r="G800" t="s">
        <v>148</v>
      </c>
      <c r="H800" t="s">
        <v>31</v>
      </c>
      <c r="I800" t="s">
        <v>111</v>
      </c>
      <c r="J800" t="s">
        <v>33</v>
      </c>
      <c r="K800">
        <v>3.8</v>
      </c>
      <c r="L800" t="s">
        <v>34</v>
      </c>
      <c r="M800" t="s">
        <v>41</v>
      </c>
      <c r="N800" t="s">
        <v>34</v>
      </c>
      <c r="O800">
        <v>48</v>
      </c>
      <c r="P800" t="s">
        <v>58</v>
      </c>
      <c r="Q800" t="s">
        <v>63</v>
      </c>
      <c r="R800" s="1">
        <v>0.1</v>
      </c>
      <c r="S800">
        <f t="shared" si="48"/>
        <v>35.1</v>
      </c>
      <c r="T800">
        <f>IFERROR(VLOOKUP(A800,Table1[[Customer ID]:[Discount Amount]], 6, FALSE),"Not Found")</f>
        <v>39</v>
      </c>
      <c r="U800" t="str">
        <f t="shared" si="49"/>
        <v>PayPal</v>
      </c>
      <c r="V800" s="4" t="str">
        <f t="shared" si="50"/>
        <v>Normal</v>
      </c>
      <c r="W800" s="4" t="str">
        <f t="shared" si="51"/>
        <v>Good</v>
      </c>
      <c r="X800" s="4">
        <f>AVERAGE(Table1[Purchase Amount])</f>
        <v>129.48419400000012</v>
      </c>
    </row>
    <row r="801" spans="1:24" ht="15" customHeight="1" x14ac:dyDescent="0.25">
      <c r="A801">
        <v>800</v>
      </c>
      <c r="B801">
        <v>55</v>
      </c>
      <c r="C801" t="s">
        <v>27</v>
      </c>
      <c r="D801" t="s">
        <v>114</v>
      </c>
      <c r="E801" t="s">
        <v>29</v>
      </c>
      <c r="F801" s="2">
        <v>55</v>
      </c>
      <c r="G801" t="s">
        <v>158</v>
      </c>
      <c r="H801" t="s">
        <v>45</v>
      </c>
      <c r="I801" t="s">
        <v>60</v>
      </c>
      <c r="J801" t="s">
        <v>57</v>
      </c>
      <c r="K801">
        <v>1</v>
      </c>
      <c r="L801" t="s">
        <v>34</v>
      </c>
      <c r="M801" t="s">
        <v>35</v>
      </c>
      <c r="N801" t="s">
        <v>34</v>
      </c>
      <c r="O801">
        <v>31</v>
      </c>
      <c r="P801" t="s">
        <v>58</v>
      </c>
      <c r="Q801" t="s">
        <v>49</v>
      </c>
      <c r="R801" s="1">
        <v>0.1</v>
      </c>
      <c r="S801">
        <f t="shared" si="48"/>
        <v>49.5</v>
      </c>
      <c r="T801">
        <f>IFERROR(VLOOKUP(A801,Table1[[Customer ID]:[Discount Amount]], 6, FALSE),"Not Found")</f>
        <v>55</v>
      </c>
      <c r="U801" t="str">
        <f t="shared" si="49"/>
        <v>PayPal</v>
      </c>
      <c r="V801" s="4" t="str">
        <f t="shared" si="50"/>
        <v>Normal</v>
      </c>
      <c r="W801" s="4" t="str">
        <f t="shared" si="51"/>
        <v>Poor</v>
      </c>
      <c r="X801" s="4">
        <f>AVERAGE(Table1[Purchase Amount])</f>
        <v>129.48419400000012</v>
      </c>
    </row>
    <row r="802" spans="1:24" ht="15" customHeight="1" x14ac:dyDescent="0.25">
      <c r="A802">
        <v>801</v>
      </c>
      <c r="B802">
        <v>32</v>
      </c>
      <c r="C802" t="s">
        <v>27</v>
      </c>
      <c r="D802" t="s">
        <v>105</v>
      </c>
      <c r="E802" t="s">
        <v>18</v>
      </c>
      <c r="F802" s="2">
        <v>20</v>
      </c>
      <c r="G802" t="s">
        <v>144</v>
      </c>
      <c r="H802" t="s">
        <v>55</v>
      </c>
      <c r="I802" t="s">
        <v>133</v>
      </c>
      <c r="J802" t="s">
        <v>57</v>
      </c>
      <c r="K802">
        <v>2.6</v>
      </c>
      <c r="L802" t="s">
        <v>34</v>
      </c>
      <c r="M802" t="s">
        <v>35</v>
      </c>
      <c r="N802" t="s">
        <v>34</v>
      </c>
      <c r="O802">
        <v>20</v>
      </c>
      <c r="P802" t="s">
        <v>25</v>
      </c>
      <c r="Q802" t="s">
        <v>63</v>
      </c>
      <c r="R802" s="1">
        <v>0.1</v>
      </c>
      <c r="S802">
        <f t="shared" si="48"/>
        <v>18</v>
      </c>
      <c r="T802">
        <f>IFERROR(VLOOKUP(A802,Table1[[Customer ID]:[Discount Amount]], 6, FALSE),"Not Found")</f>
        <v>20</v>
      </c>
      <c r="U802" t="str">
        <f t="shared" si="49"/>
        <v>Cash</v>
      </c>
      <c r="V802" s="4" t="str">
        <f t="shared" si="50"/>
        <v>Normal</v>
      </c>
      <c r="W802" s="4" t="str">
        <f t="shared" si="51"/>
        <v>Poor</v>
      </c>
      <c r="X802" s="4">
        <f>AVERAGE(Table1[Purchase Amount])</f>
        <v>129.48419400000012</v>
      </c>
    </row>
    <row r="803" spans="1:24" ht="15" customHeight="1" x14ac:dyDescent="0.25">
      <c r="A803">
        <v>802</v>
      </c>
      <c r="B803">
        <v>25</v>
      </c>
      <c r="C803" t="s">
        <v>27</v>
      </c>
      <c r="D803" t="s">
        <v>114</v>
      </c>
      <c r="E803" t="s">
        <v>29</v>
      </c>
      <c r="F803" s="2">
        <v>29</v>
      </c>
      <c r="G803" t="s">
        <v>110</v>
      </c>
      <c r="H803" t="s">
        <v>45</v>
      </c>
      <c r="I803" t="s">
        <v>74</v>
      </c>
      <c r="J803" t="s">
        <v>47</v>
      </c>
      <c r="K803">
        <v>4.9000000000000004</v>
      </c>
      <c r="L803" t="s">
        <v>34</v>
      </c>
      <c r="M803" t="s">
        <v>61</v>
      </c>
      <c r="N803" t="s">
        <v>34</v>
      </c>
      <c r="O803">
        <v>12</v>
      </c>
      <c r="P803" t="s">
        <v>53</v>
      </c>
      <c r="Q803" t="s">
        <v>89</v>
      </c>
      <c r="R803" s="1">
        <v>0.1</v>
      </c>
      <c r="S803">
        <f t="shared" si="48"/>
        <v>26.1</v>
      </c>
      <c r="T803">
        <f>IFERROR(VLOOKUP(A803,Table1[[Customer ID]:[Discount Amount]], 6, FALSE),"Not Found")</f>
        <v>29</v>
      </c>
      <c r="U803" t="str">
        <f t="shared" si="49"/>
        <v>Credit Card</v>
      </c>
      <c r="V803" s="4" t="str">
        <f t="shared" si="50"/>
        <v>Normal</v>
      </c>
      <c r="W803" s="4" t="str">
        <f t="shared" si="51"/>
        <v>Good</v>
      </c>
      <c r="X803" s="4">
        <f>AVERAGE(Table1[Purchase Amount])</f>
        <v>129.48419400000012</v>
      </c>
    </row>
    <row r="804" spans="1:24" ht="15" customHeight="1" x14ac:dyDescent="0.25">
      <c r="A804">
        <v>803</v>
      </c>
      <c r="B804">
        <v>38</v>
      </c>
      <c r="C804" t="s">
        <v>27</v>
      </c>
      <c r="D804" t="s">
        <v>99</v>
      </c>
      <c r="E804" t="s">
        <v>18</v>
      </c>
      <c r="F804" s="2">
        <v>41</v>
      </c>
      <c r="G804" t="s">
        <v>143</v>
      </c>
      <c r="H804" t="s">
        <v>31</v>
      </c>
      <c r="I804" t="s">
        <v>147</v>
      </c>
      <c r="J804" t="s">
        <v>22</v>
      </c>
      <c r="K804">
        <v>3.5</v>
      </c>
      <c r="L804" t="s">
        <v>34</v>
      </c>
      <c r="M804" t="s">
        <v>79</v>
      </c>
      <c r="N804" t="s">
        <v>34</v>
      </c>
      <c r="O804">
        <v>2</v>
      </c>
      <c r="P804" t="s">
        <v>88</v>
      </c>
      <c r="Q804" t="s">
        <v>26</v>
      </c>
      <c r="R804" s="1">
        <v>0.1</v>
      </c>
      <c r="S804">
        <f t="shared" si="48"/>
        <v>36.9</v>
      </c>
      <c r="T804">
        <f>IFERROR(VLOOKUP(A804,Table1[[Customer ID]:[Discount Amount]], 6, FALSE),"Not Found")</f>
        <v>41</v>
      </c>
      <c r="U804" t="str">
        <f t="shared" si="49"/>
        <v>Bank Transfer</v>
      </c>
      <c r="V804" s="4" t="str">
        <f t="shared" si="50"/>
        <v>Normal</v>
      </c>
      <c r="W804" s="4" t="str">
        <f t="shared" si="51"/>
        <v>Good</v>
      </c>
      <c r="X804" s="4">
        <f>AVERAGE(Table1[Purchase Amount])</f>
        <v>129.48419400000012</v>
      </c>
    </row>
    <row r="805" spans="1:24" ht="15" customHeight="1" x14ac:dyDescent="0.25">
      <c r="A805">
        <v>804</v>
      </c>
      <c r="B805">
        <v>32</v>
      </c>
      <c r="C805" t="s">
        <v>27</v>
      </c>
      <c r="D805" t="s">
        <v>54</v>
      </c>
      <c r="E805" t="s">
        <v>18</v>
      </c>
      <c r="F805" s="2">
        <v>38</v>
      </c>
      <c r="G805" t="s">
        <v>115</v>
      </c>
      <c r="H805" t="s">
        <v>45</v>
      </c>
      <c r="I805" t="s">
        <v>153</v>
      </c>
      <c r="J805" t="s">
        <v>22</v>
      </c>
      <c r="K805">
        <v>2.8</v>
      </c>
      <c r="L805" t="s">
        <v>34</v>
      </c>
      <c r="M805" t="s">
        <v>61</v>
      </c>
      <c r="N805" t="s">
        <v>34</v>
      </c>
      <c r="O805">
        <v>30</v>
      </c>
      <c r="P805" t="s">
        <v>62</v>
      </c>
      <c r="Q805" t="s">
        <v>63</v>
      </c>
      <c r="R805" s="1">
        <v>0.1</v>
      </c>
      <c r="S805">
        <f t="shared" si="48"/>
        <v>34.200000000000003</v>
      </c>
      <c r="T805">
        <f>IFERROR(VLOOKUP(A805,Table1[[Customer ID]:[Discount Amount]], 6, FALSE),"Not Found")</f>
        <v>38</v>
      </c>
      <c r="U805" t="str">
        <f t="shared" si="49"/>
        <v>Venmo</v>
      </c>
      <c r="V805" s="4" t="str">
        <f t="shared" si="50"/>
        <v>Normal</v>
      </c>
      <c r="W805" s="4" t="str">
        <f t="shared" si="51"/>
        <v>Poor</v>
      </c>
      <c r="X805" s="4">
        <f>AVERAGE(Table1[Purchase Amount])</f>
        <v>129.48419400000012</v>
      </c>
    </row>
    <row r="806" spans="1:24" ht="15" customHeight="1" x14ac:dyDescent="0.25">
      <c r="A806">
        <v>805</v>
      </c>
      <c r="B806">
        <v>43</v>
      </c>
      <c r="C806" t="s">
        <v>27</v>
      </c>
      <c r="D806" t="s">
        <v>151</v>
      </c>
      <c r="E806" t="s">
        <v>98</v>
      </c>
      <c r="F806" s="2">
        <v>47</v>
      </c>
      <c r="G806" t="s">
        <v>149</v>
      </c>
      <c r="H806" t="s">
        <v>31</v>
      </c>
      <c r="I806" t="s">
        <v>125</v>
      </c>
      <c r="J806" t="s">
        <v>57</v>
      </c>
      <c r="K806">
        <v>2.6</v>
      </c>
      <c r="L806" t="s">
        <v>34</v>
      </c>
      <c r="M806" t="s">
        <v>48</v>
      </c>
      <c r="N806" t="s">
        <v>34</v>
      </c>
      <c r="O806">
        <v>28</v>
      </c>
      <c r="P806" t="s">
        <v>62</v>
      </c>
      <c r="Q806" t="s">
        <v>37</v>
      </c>
      <c r="R806" s="1">
        <v>0.1</v>
      </c>
      <c r="S806">
        <f t="shared" si="48"/>
        <v>42.3</v>
      </c>
      <c r="T806">
        <f>IFERROR(VLOOKUP(A806,Table1[[Customer ID]:[Discount Amount]], 6, FALSE),"Not Found")</f>
        <v>47</v>
      </c>
      <c r="U806" t="str">
        <f t="shared" si="49"/>
        <v>Venmo</v>
      </c>
      <c r="V806" s="4" t="str">
        <f t="shared" si="50"/>
        <v>Normal</v>
      </c>
      <c r="W806" s="4" t="str">
        <f t="shared" si="51"/>
        <v>Poor</v>
      </c>
      <c r="X806" s="4">
        <f>AVERAGE(Table1[Purchase Amount])</f>
        <v>129.48419400000012</v>
      </c>
    </row>
    <row r="807" spans="1:24" ht="15" customHeight="1" x14ac:dyDescent="0.25">
      <c r="A807">
        <v>806</v>
      </c>
      <c r="B807">
        <v>41</v>
      </c>
      <c r="C807" t="s">
        <v>27</v>
      </c>
      <c r="D807" t="s">
        <v>157</v>
      </c>
      <c r="E807" t="s">
        <v>18</v>
      </c>
      <c r="F807" s="2">
        <v>30</v>
      </c>
      <c r="G807" t="s">
        <v>115</v>
      </c>
      <c r="H807" t="s">
        <v>45</v>
      </c>
      <c r="I807" t="s">
        <v>32</v>
      </c>
      <c r="J807" t="s">
        <v>57</v>
      </c>
      <c r="K807">
        <v>3.7</v>
      </c>
      <c r="L807" t="s">
        <v>34</v>
      </c>
      <c r="M807" t="s">
        <v>79</v>
      </c>
      <c r="N807" t="s">
        <v>34</v>
      </c>
      <c r="O807">
        <v>40</v>
      </c>
      <c r="P807" t="s">
        <v>36</v>
      </c>
      <c r="Q807" t="s">
        <v>42</v>
      </c>
      <c r="R807" s="1">
        <v>0.1</v>
      </c>
      <c r="S807">
        <f t="shared" si="48"/>
        <v>27</v>
      </c>
      <c r="T807">
        <f>IFERROR(VLOOKUP(A807,Table1[[Customer ID]:[Discount Amount]], 6, FALSE),"Not Found")</f>
        <v>30</v>
      </c>
      <c r="U807" t="str">
        <f t="shared" si="49"/>
        <v>Debit Card</v>
      </c>
      <c r="V807" s="4" t="str">
        <f t="shared" si="50"/>
        <v>Normal</v>
      </c>
      <c r="W807" s="4" t="str">
        <f t="shared" si="51"/>
        <v>Good</v>
      </c>
      <c r="X807" s="4">
        <f>AVERAGE(Table1[Purchase Amount])</f>
        <v>129.48419400000012</v>
      </c>
    </row>
    <row r="808" spans="1:24" ht="15" customHeight="1" x14ac:dyDescent="0.25">
      <c r="A808">
        <v>807</v>
      </c>
      <c r="B808">
        <v>56</v>
      </c>
      <c r="C808" t="s">
        <v>27</v>
      </c>
      <c r="D808" t="s">
        <v>109</v>
      </c>
      <c r="E808" t="s">
        <v>18</v>
      </c>
      <c r="F808" s="2">
        <v>56</v>
      </c>
      <c r="G808" t="s">
        <v>67</v>
      </c>
      <c r="H808" t="s">
        <v>45</v>
      </c>
      <c r="I808" t="s">
        <v>103</v>
      </c>
      <c r="J808" t="s">
        <v>57</v>
      </c>
      <c r="K808">
        <v>2.7</v>
      </c>
      <c r="L808" t="s">
        <v>34</v>
      </c>
      <c r="M808" t="s">
        <v>24</v>
      </c>
      <c r="N808" t="s">
        <v>34</v>
      </c>
      <c r="O808">
        <v>46</v>
      </c>
      <c r="P808" t="s">
        <v>58</v>
      </c>
      <c r="Q808" t="s">
        <v>37</v>
      </c>
      <c r="R808" s="1">
        <v>0.1</v>
      </c>
      <c r="S808">
        <f t="shared" si="48"/>
        <v>50.4</v>
      </c>
      <c r="T808">
        <f>IFERROR(VLOOKUP(A808,Table1[[Customer ID]:[Discount Amount]], 6, FALSE),"Not Found")</f>
        <v>56</v>
      </c>
      <c r="U808" t="str">
        <f t="shared" si="49"/>
        <v>PayPal</v>
      </c>
      <c r="V808" s="4" t="str">
        <f t="shared" si="50"/>
        <v>Normal</v>
      </c>
      <c r="W808" s="4" t="str">
        <f t="shared" si="51"/>
        <v>Poor</v>
      </c>
      <c r="X808" s="4">
        <f>AVERAGE(Table1[Purchase Amount])</f>
        <v>129.48419400000012</v>
      </c>
    </row>
    <row r="809" spans="1:24" ht="15" customHeight="1" x14ac:dyDescent="0.25">
      <c r="A809">
        <v>808</v>
      </c>
      <c r="B809">
        <v>27</v>
      </c>
      <c r="C809" t="s">
        <v>27</v>
      </c>
      <c r="D809" t="s">
        <v>17</v>
      </c>
      <c r="E809" t="s">
        <v>18</v>
      </c>
      <c r="F809" s="2">
        <v>89</v>
      </c>
      <c r="G809" t="s">
        <v>101</v>
      </c>
      <c r="H809" t="s">
        <v>55</v>
      </c>
      <c r="I809" t="s">
        <v>60</v>
      </c>
      <c r="J809" t="s">
        <v>22</v>
      </c>
      <c r="K809">
        <v>3.3</v>
      </c>
      <c r="L809" t="s">
        <v>34</v>
      </c>
      <c r="M809" t="s">
        <v>61</v>
      </c>
      <c r="N809" t="s">
        <v>34</v>
      </c>
      <c r="O809">
        <v>15</v>
      </c>
      <c r="P809" t="s">
        <v>53</v>
      </c>
      <c r="Q809" t="s">
        <v>26</v>
      </c>
      <c r="R809" s="1">
        <v>0.1</v>
      </c>
      <c r="S809">
        <f t="shared" si="48"/>
        <v>80.099999999999994</v>
      </c>
      <c r="T809">
        <f>IFERROR(VLOOKUP(A809,Table1[[Customer ID]:[Discount Amount]], 6, FALSE),"Not Found")</f>
        <v>89</v>
      </c>
      <c r="U809" t="str">
        <f t="shared" si="49"/>
        <v>Credit Card</v>
      </c>
      <c r="V809" s="4" t="str">
        <f t="shared" si="50"/>
        <v>Normal</v>
      </c>
      <c r="W809" s="4" t="str">
        <f t="shared" si="51"/>
        <v>Good</v>
      </c>
      <c r="X809" s="4">
        <f>AVERAGE(Table1[Purchase Amount])</f>
        <v>129.48419400000012</v>
      </c>
    </row>
    <row r="810" spans="1:24" ht="15" customHeight="1" x14ac:dyDescent="0.25">
      <c r="A810">
        <v>809</v>
      </c>
      <c r="B810">
        <v>46</v>
      </c>
      <c r="C810" t="s">
        <v>27</v>
      </c>
      <c r="D810" t="s">
        <v>72</v>
      </c>
      <c r="E810" t="s">
        <v>98</v>
      </c>
      <c r="F810" s="2">
        <v>96</v>
      </c>
      <c r="G810" t="s">
        <v>59</v>
      </c>
      <c r="H810" t="s">
        <v>45</v>
      </c>
      <c r="I810" t="s">
        <v>107</v>
      </c>
      <c r="J810" t="s">
        <v>47</v>
      </c>
      <c r="K810">
        <v>4.5999999999999996</v>
      </c>
      <c r="L810" t="s">
        <v>34</v>
      </c>
      <c r="M810" t="s">
        <v>79</v>
      </c>
      <c r="N810" t="s">
        <v>34</v>
      </c>
      <c r="O810">
        <v>38</v>
      </c>
      <c r="P810" t="s">
        <v>25</v>
      </c>
      <c r="Q810" t="s">
        <v>63</v>
      </c>
      <c r="R810" s="1">
        <v>0.1</v>
      </c>
      <c r="S810">
        <f t="shared" si="48"/>
        <v>86.4</v>
      </c>
      <c r="T810">
        <f>IFERROR(VLOOKUP(A810,Table1[[Customer ID]:[Discount Amount]], 6, FALSE),"Not Found")</f>
        <v>96</v>
      </c>
      <c r="U810" t="str">
        <f t="shared" si="49"/>
        <v>Cash</v>
      </c>
      <c r="V810" s="4" t="str">
        <f t="shared" si="50"/>
        <v>Normal</v>
      </c>
      <c r="W810" s="4" t="str">
        <f t="shared" si="51"/>
        <v>Good</v>
      </c>
      <c r="X810" s="4">
        <f>AVERAGE(Table1[Purchase Amount])</f>
        <v>129.48419400000012</v>
      </c>
    </row>
    <row r="811" spans="1:24" ht="15" customHeight="1" x14ac:dyDescent="0.25">
      <c r="A811">
        <v>810</v>
      </c>
      <c r="B811">
        <v>48</v>
      </c>
      <c r="C811" t="s">
        <v>27</v>
      </c>
      <c r="D811" t="s">
        <v>151</v>
      </c>
      <c r="E811" t="s">
        <v>98</v>
      </c>
      <c r="F811" s="2">
        <v>81</v>
      </c>
      <c r="G811" t="s">
        <v>30</v>
      </c>
      <c r="H811" t="s">
        <v>31</v>
      </c>
      <c r="I811" t="s">
        <v>111</v>
      </c>
      <c r="J811" t="s">
        <v>47</v>
      </c>
      <c r="K811">
        <v>4.9000000000000004</v>
      </c>
      <c r="L811" t="s">
        <v>34</v>
      </c>
      <c r="M811" t="s">
        <v>79</v>
      </c>
      <c r="N811" t="s">
        <v>34</v>
      </c>
      <c r="O811">
        <v>30</v>
      </c>
      <c r="P811" t="s">
        <v>58</v>
      </c>
      <c r="Q811" t="s">
        <v>68</v>
      </c>
      <c r="R811" s="1">
        <v>0.1</v>
      </c>
      <c r="S811">
        <f t="shared" si="48"/>
        <v>72.900000000000006</v>
      </c>
      <c r="T811">
        <f>IFERROR(VLOOKUP(A811,Table1[[Customer ID]:[Discount Amount]], 6, FALSE),"Not Found")</f>
        <v>81</v>
      </c>
      <c r="U811" t="str">
        <f t="shared" si="49"/>
        <v>PayPal</v>
      </c>
      <c r="V811" s="4" t="str">
        <f t="shared" si="50"/>
        <v>Normal</v>
      </c>
      <c r="W811" s="4" t="str">
        <f t="shared" si="51"/>
        <v>Good</v>
      </c>
      <c r="X811" s="4">
        <f>AVERAGE(Table1[Purchase Amount])</f>
        <v>129.48419400000012</v>
      </c>
    </row>
    <row r="812" spans="1:24" ht="15" customHeight="1" x14ac:dyDescent="0.25">
      <c r="A812">
        <v>811</v>
      </c>
      <c r="B812">
        <v>52</v>
      </c>
      <c r="C812" t="s">
        <v>27</v>
      </c>
      <c r="D812" t="s">
        <v>129</v>
      </c>
      <c r="E812" t="s">
        <v>29</v>
      </c>
      <c r="F812" s="2">
        <v>83</v>
      </c>
      <c r="G812" t="s">
        <v>130</v>
      </c>
      <c r="H812" t="s">
        <v>55</v>
      </c>
      <c r="I812" t="s">
        <v>107</v>
      </c>
      <c r="J812" t="s">
        <v>47</v>
      </c>
      <c r="K812">
        <v>4.9000000000000004</v>
      </c>
      <c r="L812" t="s">
        <v>34</v>
      </c>
      <c r="M812" t="s">
        <v>48</v>
      </c>
      <c r="N812" t="s">
        <v>34</v>
      </c>
      <c r="O812">
        <v>32</v>
      </c>
      <c r="P812" t="s">
        <v>36</v>
      </c>
      <c r="Q812" t="s">
        <v>68</v>
      </c>
      <c r="R812" s="1">
        <v>0.1</v>
      </c>
      <c r="S812">
        <f t="shared" si="48"/>
        <v>74.7</v>
      </c>
      <c r="T812">
        <f>IFERROR(VLOOKUP(A812,Table1[[Customer ID]:[Discount Amount]], 6, FALSE),"Not Found")</f>
        <v>83</v>
      </c>
      <c r="U812" t="str">
        <f t="shared" si="49"/>
        <v>Debit Card</v>
      </c>
      <c r="V812" s="4" t="str">
        <f t="shared" si="50"/>
        <v>Normal</v>
      </c>
      <c r="W812" s="4" t="str">
        <f t="shared" si="51"/>
        <v>Good</v>
      </c>
      <c r="X812" s="4">
        <f>AVERAGE(Table1[Purchase Amount])</f>
        <v>129.48419400000012</v>
      </c>
    </row>
    <row r="813" spans="1:24" ht="15" customHeight="1" x14ac:dyDescent="0.25">
      <c r="A813">
        <v>812</v>
      </c>
      <c r="B813">
        <v>18</v>
      </c>
      <c r="C813" t="s">
        <v>27</v>
      </c>
      <c r="D813" t="s">
        <v>140</v>
      </c>
      <c r="E813" t="s">
        <v>98</v>
      </c>
      <c r="F813" s="2">
        <v>35</v>
      </c>
      <c r="G813" t="s">
        <v>44</v>
      </c>
      <c r="H813" t="s">
        <v>31</v>
      </c>
      <c r="I813" t="s">
        <v>93</v>
      </c>
      <c r="J813" t="s">
        <v>22</v>
      </c>
      <c r="K813">
        <v>2.7</v>
      </c>
      <c r="L813" t="s">
        <v>34</v>
      </c>
      <c r="M813" t="s">
        <v>35</v>
      </c>
      <c r="N813" t="s">
        <v>34</v>
      </c>
      <c r="O813">
        <v>36</v>
      </c>
      <c r="P813" t="s">
        <v>62</v>
      </c>
      <c r="Q813" t="s">
        <v>37</v>
      </c>
      <c r="R813" s="1">
        <v>0.1</v>
      </c>
      <c r="S813">
        <f t="shared" si="48"/>
        <v>31.5</v>
      </c>
      <c r="T813">
        <f>IFERROR(VLOOKUP(A813,Table1[[Customer ID]:[Discount Amount]], 6, FALSE),"Not Found")</f>
        <v>35</v>
      </c>
      <c r="U813" t="str">
        <f t="shared" si="49"/>
        <v>Venmo</v>
      </c>
      <c r="V813" s="4" t="str">
        <f t="shared" si="50"/>
        <v>Normal</v>
      </c>
      <c r="W813" s="4" t="str">
        <f t="shared" si="51"/>
        <v>Poor</v>
      </c>
      <c r="X813" s="4">
        <f>AVERAGE(Table1[Purchase Amount])</f>
        <v>129.48419400000012</v>
      </c>
    </row>
    <row r="814" spans="1:24" ht="15" customHeight="1" x14ac:dyDescent="0.25">
      <c r="A814">
        <v>813</v>
      </c>
      <c r="B814">
        <v>64</v>
      </c>
      <c r="C814" t="s">
        <v>27</v>
      </c>
      <c r="D814" t="s">
        <v>151</v>
      </c>
      <c r="E814" t="s">
        <v>98</v>
      </c>
      <c r="F814" s="2">
        <v>56</v>
      </c>
      <c r="G814" t="s">
        <v>148</v>
      </c>
      <c r="H814" t="s">
        <v>31</v>
      </c>
      <c r="I814" t="s">
        <v>21</v>
      </c>
      <c r="J814" t="s">
        <v>57</v>
      </c>
      <c r="K814">
        <v>3.2</v>
      </c>
      <c r="L814" t="s">
        <v>34</v>
      </c>
      <c r="M814" t="s">
        <v>24</v>
      </c>
      <c r="N814" t="s">
        <v>34</v>
      </c>
      <c r="O814">
        <v>32</v>
      </c>
      <c r="P814" t="s">
        <v>53</v>
      </c>
      <c r="Q814" t="s">
        <v>26</v>
      </c>
      <c r="R814" s="1">
        <v>0.1</v>
      </c>
      <c r="S814">
        <f t="shared" si="48"/>
        <v>50.4</v>
      </c>
      <c r="T814">
        <f>IFERROR(VLOOKUP(A814,Table1[[Customer ID]:[Discount Amount]], 6, FALSE),"Not Found")</f>
        <v>56</v>
      </c>
      <c r="U814" t="str">
        <f t="shared" si="49"/>
        <v>Credit Card</v>
      </c>
      <c r="V814" s="4" t="str">
        <f t="shared" si="50"/>
        <v>Normal</v>
      </c>
      <c r="W814" s="4" t="str">
        <f t="shared" si="51"/>
        <v>Good</v>
      </c>
      <c r="X814" s="4">
        <f>AVERAGE(Table1[Purchase Amount])</f>
        <v>129.48419400000012</v>
      </c>
    </row>
    <row r="815" spans="1:24" ht="15" customHeight="1" x14ac:dyDescent="0.25">
      <c r="A815">
        <v>814</v>
      </c>
      <c r="B815">
        <v>54</v>
      </c>
      <c r="C815" t="s">
        <v>27</v>
      </c>
      <c r="D815" t="s">
        <v>69</v>
      </c>
      <c r="E815" t="s">
        <v>29</v>
      </c>
      <c r="F815" s="2">
        <v>45</v>
      </c>
      <c r="G815" t="s">
        <v>39</v>
      </c>
      <c r="H815" t="s">
        <v>55</v>
      </c>
      <c r="I815" t="s">
        <v>21</v>
      </c>
      <c r="J815" t="s">
        <v>57</v>
      </c>
      <c r="K815">
        <v>2.9</v>
      </c>
      <c r="L815" t="s">
        <v>34</v>
      </c>
      <c r="M815" t="s">
        <v>48</v>
      </c>
      <c r="N815" t="s">
        <v>34</v>
      </c>
      <c r="O815">
        <v>14</v>
      </c>
      <c r="P815" t="s">
        <v>36</v>
      </c>
      <c r="Q815" t="s">
        <v>49</v>
      </c>
      <c r="R815" s="1">
        <v>0.1</v>
      </c>
      <c r="S815">
        <f t="shared" si="48"/>
        <v>40.5</v>
      </c>
      <c r="T815">
        <f>IFERROR(VLOOKUP(A815,Table1[[Customer ID]:[Discount Amount]], 6, FALSE),"Not Found")</f>
        <v>45</v>
      </c>
      <c r="U815" t="str">
        <f t="shared" si="49"/>
        <v>Debit Card</v>
      </c>
      <c r="V815" s="4" t="str">
        <f t="shared" si="50"/>
        <v>Normal</v>
      </c>
      <c r="W815" s="4" t="str">
        <f t="shared" si="51"/>
        <v>Poor</v>
      </c>
      <c r="X815" s="4">
        <f>AVERAGE(Table1[Purchase Amount])</f>
        <v>129.48419400000012</v>
      </c>
    </row>
    <row r="816" spans="1:24" ht="15" customHeight="1" x14ac:dyDescent="0.25">
      <c r="A816">
        <v>815</v>
      </c>
      <c r="B816">
        <v>31</v>
      </c>
      <c r="C816" t="s">
        <v>27</v>
      </c>
      <c r="D816" t="s">
        <v>38</v>
      </c>
      <c r="E816" t="s">
        <v>18</v>
      </c>
      <c r="F816" s="2">
        <v>62</v>
      </c>
      <c r="G816" t="s">
        <v>120</v>
      </c>
      <c r="H816" t="s">
        <v>31</v>
      </c>
      <c r="I816" t="s">
        <v>136</v>
      </c>
      <c r="J816" t="s">
        <v>22</v>
      </c>
      <c r="K816">
        <v>3.8</v>
      </c>
      <c r="L816" t="s">
        <v>34</v>
      </c>
      <c r="M816" t="s">
        <v>61</v>
      </c>
      <c r="N816" t="s">
        <v>34</v>
      </c>
      <c r="O816">
        <v>8</v>
      </c>
      <c r="P816" t="s">
        <v>58</v>
      </c>
      <c r="Q816" t="s">
        <v>42</v>
      </c>
      <c r="R816" s="1">
        <v>0.1</v>
      </c>
      <c r="S816">
        <f t="shared" si="48"/>
        <v>55.8</v>
      </c>
      <c r="T816">
        <f>IFERROR(VLOOKUP(A816,Table1[[Customer ID]:[Discount Amount]], 6, FALSE),"Not Found")</f>
        <v>62</v>
      </c>
      <c r="U816" t="str">
        <f t="shared" si="49"/>
        <v>PayPal</v>
      </c>
      <c r="V816" s="4" t="str">
        <f t="shared" si="50"/>
        <v>Normal</v>
      </c>
      <c r="W816" s="4" t="str">
        <f t="shared" si="51"/>
        <v>Good</v>
      </c>
      <c r="X816" s="4">
        <f>AVERAGE(Table1[Purchase Amount])</f>
        <v>129.48419400000012</v>
      </c>
    </row>
    <row r="817" spans="1:24" ht="15" customHeight="1" x14ac:dyDescent="0.25">
      <c r="A817">
        <v>816</v>
      </c>
      <c r="B817">
        <v>30</v>
      </c>
      <c r="C817" t="s">
        <v>27</v>
      </c>
      <c r="D817" t="s">
        <v>64</v>
      </c>
      <c r="E817" t="s">
        <v>29</v>
      </c>
      <c r="F817" s="2">
        <v>84</v>
      </c>
      <c r="G817" t="s">
        <v>154</v>
      </c>
      <c r="H817" t="s">
        <v>45</v>
      </c>
      <c r="I817" t="s">
        <v>147</v>
      </c>
      <c r="J817" t="s">
        <v>33</v>
      </c>
      <c r="K817">
        <v>3</v>
      </c>
      <c r="L817" t="s">
        <v>34</v>
      </c>
      <c r="M817" t="s">
        <v>79</v>
      </c>
      <c r="N817" t="s">
        <v>34</v>
      </c>
      <c r="O817">
        <v>27</v>
      </c>
      <c r="P817" t="s">
        <v>62</v>
      </c>
      <c r="Q817" t="s">
        <v>68</v>
      </c>
      <c r="R817" s="1">
        <v>0.1</v>
      </c>
      <c r="S817">
        <f t="shared" si="48"/>
        <v>75.599999999999994</v>
      </c>
      <c r="T817">
        <f>IFERROR(VLOOKUP(A817,Table1[[Customer ID]:[Discount Amount]], 6, FALSE),"Not Found")</f>
        <v>84</v>
      </c>
      <c r="U817" t="str">
        <f t="shared" si="49"/>
        <v>Venmo</v>
      </c>
      <c r="V817" s="4" t="str">
        <f t="shared" si="50"/>
        <v>Normal</v>
      </c>
      <c r="W817" s="4" t="str">
        <f t="shared" si="51"/>
        <v>Good</v>
      </c>
      <c r="X817" s="4">
        <f>AVERAGE(Table1[Purchase Amount])</f>
        <v>129.48419400000012</v>
      </c>
    </row>
    <row r="818" spans="1:24" ht="15" customHeight="1" x14ac:dyDescent="0.25">
      <c r="A818">
        <v>817</v>
      </c>
      <c r="B818">
        <v>26</v>
      </c>
      <c r="C818" t="s">
        <v>27</v>
      </c>
      <c r="D818" t="s">
        <v>127</v>
      </c>
      <c r="E818" t="s">
        <v>18</v>
      </c>
      <c r="F818" s="2">
        <v>24</v>
      </c>
      <c r="G818" t="s">
        <v>44</v>
      </c>
      <c r="H818" t="s">
        <v>45</v>
      </c>
      <c r="I818" t="s">
        <v>128</v>
      </c>
      <c r="J818" t="s">
        <v>57</v>
      </c>
      <c r="K818">
        <v>3.9</v>
      </c>
      <c r="L818" t="s">
        <v>34</v>
      </c>
      <c r="M818" t="s">
        <v>48</v>
      </c>
      <c r="N818" t="s">
        <v>34</v>
      </c>
      <c r="O818">
        <v>24</v>
      </c>
      <c r="P818" t="s">
        <v>36</v>
      </c>
      <c r="Q818" t="s">
        <v>42</v>
      </c>
      <c r="R818" s="1">
        <v>0.1</v>
      </c>
      <c r="S818">
        <f t="shared" si="48"/>
        <v>21.6</v>
      </c>
      <c r="T818">
        <f>IFERROR(VLOOKUP(A818,Table1[[Customer ID]:[Discount Amount]], 6, FALSE),"Not Found")</f>
        <v>24</v>
      </c>
      <c r="U818" t="str">
        <f t="shared" si="49"/>
        <v>Debit Card</v>
      </c>
      <c r="V818" s="4" t="str">
        <f t="shared" si="50"/>
        <v>Normal</v>
      </c>
      <c r="W818" s="4" t="str">
        <f t="shared" si="51"/>
        <v>Good</v>
      </c>
      <c r="X818" s="4">
        <f>AVERAGE(Table1[Purchase Amount])</f>
        <v>129.48419400000012</v>
      </c>
    </row>
    <row r="819" spans="1:24" ht="15" customHeight="1" x14ac:dyDescent="0.25">
      <c r="A819">
        <v>818</v>
      </c>
      <c r="B819">
        <v>25</v>
      </c>
      <c r="C819" t="s">
        <v>27</v>
      </c>
      <c r="D819" t="s">
        <v>69</v>
      </c>
      <c r="E819" t="s">
        <v>29</v>
      </c>
      <c r="F819" s="2">
        <v>21</v>
      </c>
      <c r="G819" t="s">
        <v>158</v>
      </c>
      <c r="H819" t="s">
        <v>55</v>
      </c>
      <c r="I819" t="s">
        <v>85</v>
      </c>
      <c r="J819" t="s">
        <v>33</v>
      </c>
      <c r="K819">
        <v>4.7</v>
      </c>
      <c r="L819" t="s">
        <v>34</v>
      </c>
      <c r="M819" t="s">
        <v>48</v>
      </c>
      <c r="N819" t="s">
        <v>34</v>
      </c>
      <c r="O819">
        <v>30</v>
      </c>
      <c r="P819" t="s">
        <v>58</v>
      </c>
      <c r="Q819" t="s">
        <v>89</v>
      </c>
      <c r="R819" s="1">
        <v>0.1</v>
      </c>
      <c r="S819">
        <f t="shared" si="48"/>
        <v>18.899999999999999</v>
      </c>
      <c r="T819">
        <f>IFERROR(VLOOKUP(A819,Table1[[Customer ID]:[Discount Amount]], 6, FALSE),"Not Found")</f>
        <v>21</v>
      </c>
      <c r="U819" t="str">
        <f t="shared" si="49"/>
        <v>PayPal</v>
      </c>
      <c r="V819" s="4" t="str">
        <f t="shared" si="50"/>
        <v>Normal</v>
      </c>
      <c r="W819" s="4" t="str">
        <f t="shared" si="51"/>
        <v>Good</v>
      </c>
      <c r="X819" s="4">
        <f>AVERAGE(Table1[Purchase Amount])</f>
        <v>129.48419400000012</v>
      </c>
    </row>
    <row r="820" spans="1:24" ht="15" customHeight="1" x14ac:dyDescent="0.25">
      <c r="A820">
        <v>819</v>
      </c>
      <c r="B820">
        <v>59</v>
      </c>
      <c r="C820" t="s">
        <v>27</v>
      </c>
      <c r="D820" t="s">
        <v>38</v>
      </c>
      <c r="E820" t="s">
        <v>18</v>
      </c>
      <c r="F820" s="2">
        <v>91</v>
      </c>
      <c r="G820" t="s">
        <v>161</v>
      </c>
      <c r="H820" t="s">
        <v>31</v>
      </c>
      <c r="I820" t="s">
        <v>145</v>
      </c>
      <c r="J820" t="s">
        <v>22</v>
      </c>
      <c r="K820">
        <v>4.9000000000000004</v>
      </c>
      <c r="L820" t="s">
        <v>34</v>
      </c>
      <c r="M820" t="s">
        <v>48</v>
      </c>
      <c r="N820" t="s">
        <v>34</v>
      </c>
      <c r="O820">
        <v>34</v>
      </c>
      <c r="P820" t="s">
        <v>36</v>
      </c>
      <c r="Q820" t="s">
        <v>42</v>
      </c>
      <c r="R820" s="1">
        <v>0.1</v>
      </c>
      <c r="S820">
        <f t="shared" si="48"/>
        <v>81.900000000000006</v>
      </c>
      <c r="T820">
        <f>IFERROR(VLOOKUP(A820,Table1[[Customer ID]:[Discount Amount]], 6, FALSE),"Not Found")</f>
        <v>91</v>
      </c>
      <c r="U820" t="str">
        <f t="shared" si="49"/>
        <v>Debit Card</v>
      </c>
      <c r="V820" s="4" t="str">
        <f t="shared" si="50"/>
        <v>Normal</v>
      </c>
      <c r="W820" s="4" t="str">
        <f t="shared" si="51"/>
        <v>Good</v>
      </c>
      <c r="X820" s="4">
        <f>AVERAGE(Table1[Purchase Amount])</f>
        <v>129.48419400000012</v>
      </c>
    </row>
    <row r="821" spans="1:24" ht="15" customHeight="1" x14ac:dyDescent="0.25">
      <c r="A821">
        <v>820</v>
      </c>
      <c r="B821">
        <v>55</v>
      </c>
      <c r="C821" t="s">
        <v>27</v>
      </c>
      <c r="D821" t="s">
        <v>28</v>
      </c>
      <c r="E821" t="s">
        <v>29</v>
      </c>
      <c r="F821" s="2">
        <v>36</v>
      </c>
      <c r="G821" t="s">
        <v>92</v>
      </c>
      <c r="H821" t="s">
        <v>55</v>
      </c>
      <c r="I821" t="s">
        <v>147</v>
      </c>
      <c r="J821" t="s">
        <v>22</v>
      </c>
      <c r="K821">
        <v>4.8</v>
      </c>
      <c r="L821" t="s">
        <v>34</v>
      </c>
      <c r="M821" t="s">
        <v>79</v>
      </c>
      <c r="N821" t="s">
        <v>34</v>
      </c>
      <c r="O821">
        <v>28</v>
      </c>
      <c r="P821" t="s">
        <v>36</v>
      </c>
      <c r="Q821" t="s">
        <v>37</v>
      </c>
      <c r="R821" s="1">
        <v>0.1</v>
      </c>
      <c r="S821">
        <f t="shared" si="48"/>
        <v>32.4</v>
      </c>
      <c r="T821">
        <f>IFERROR(VLOOKUP(A821,Table1[[Customer ID]:[Discount Amount]], 6, FALSE),"Not Found")</f>
        <v>36</v>
      </c>
      <c r="U821" t="str">
        <f t="shared" si="49"/>
        <v>Debit Card</v>
      </c>
      <c r="V821" s="4" t="str">
        <f t="shared" si="50"/>
        <v>Normal</v>
      </c>
      <c r="W821" s="4" t="str">
        <f t="shared" si="51"/>
        <v>Good</v>
      </c>
      <c r="X821" s="4">
        <f>AVERAGE(Table1[Purchase Amount])</f>
        <v>129.48419400000012</v>
      </c>
    </row>
    <row r="822" spans="1:24" ht="15" customHeight="1" x14ac:dyDescent="0.25">
      <c r="A822">
        <v>821</v>
      </c>
      <c r="B822">
        <v>56</v>
      </c>
      <c r="C822" t="s">
        <v>27</v>
      </c>
      <c r="D822" t="s">
        <v>140</v>
      </c>
      <c r="E822" t="s">
        <v>98</v>
      </c>
      <c r="F822" s="2">
        <v>39</v>
      </c>
      <c r="G822" t="s">
        <v>119</v>
      </c>
      <c r="H822" t="s">
        <v>31</v>
      </c>
      <c r="I822" t="s">
        <v>156</v>
      </c>
      <c r="J822" t="s">
        <v>33</v>
      </c>
      <c r="K822">
        <v>2.5</v>
      </c>
      <c r="L822" t="s">
        <v>34</v>
      </c>
      <c r="M822" t="s">
        <v>41</v>
      </c>
      <c r="N822" t="s">
        <v>34</v>
      </c>
      <c r="O822">
        <v>27</v>
      </c>
      <c r="P822" t="s">
        <v>36</v>
      </c>
      <c r="Q822" t="s">
        <v>42</v>
      </c>
      <c r="R822" s="1">
        <v>0.1</v>
      </c>
      <c r="S822">
        <f t="shared" si="48"/>
        <v>35.1</v>
      </c>
      <c r="T822">
        <f>IFERROR(VLOOKUP(A822,Table1[[Customer ID]:[Discount Amount]], 6, FALSE),"Not Found")</f>
        <v>39</v>
      </c>
      <c r="U822" t="str">
        <f t="shared" si="49"/>
        <v>Debit Card</v>
      </c>
      <c r="V822" s="4" t="str">
        <f t="shared" si="50"/>
        <v>Normal</v>
      </c>
      <c r="W822" s="4" t="str">
        <f t="shared" si="51"/>
        <v>Poor</v>
      </c>
      <c r="X822" s="4">
        <f>AVERAGE(Table1[Purchase Amount])</f>
        <v>129.48419400000012</v>
      </c>
    </row>
    <row r="823" spans="1:24" ht="15" customHeight="1" x14ac:dyDescent="0.25">
      <c r="A823">
        <v>822</v>
      </c>
      <c r="B823">
        <v>62</v>
      </c>
      <c r="C823" t="s">
        <v>27</v>
      </c>
      <c r="D823" t="s">
        <v>83</v>
      </c>
      <c r="E823" t="s">
        <v>18</v>
      </c>
      <c r="F823" s="2">
        <v>39</v>
      </c>
      <c r="G823" t="s">
        <v>84</v>
      </c>
      <c r="H823" t="s">
        <v>31</v>
      </c>
      <c r="I823" t="s">
        <v>93</v>
      </c>
      <c r="J823" t="s">
        <v>33</v>
      </c>
      <c r="K823">
        <v>3.9</v>
      </c>
      <c r="L823" t="s">
        <v>34</v>
      </c>
      <c r="M823" t="s">
        <v>24</v>
      </c>
      <c r="N823" t="s">
        <v>34</v>
      </c>
      <c r="O823">
        <v>31</v>
      </c>
      <c r="P823" t="s">
        <v>53</v>
      </c>
      <c r="Q823" t="s">
        <v>68</v>
      </c>
      <c r="R823" s="1">
        <v>0.1</v>
      </c>
      <c r="S823">
        <f t="shared" si="48"/>
        <v>35.1</v>
      </c>
      <c r="T823">
        <f>IFERROR(VLOOKUP(A823,Table1[[Customer ID]:[Discount Amount]], 6, FALSE),"Not Found")</f>
        <v>39</v>
      </c>
      <c r="U823" t="str">
        <f t="shared" si="49"/>
        <v>Credit Card</v>
      </c>
      <c r="V823" s="4" t="str">
        <f t="shared" si="50"/>
        <v>Normal</v>
      </c>
      <c r="W823" s="4" t="str">
        <f t="shared" si="51"/>
        <v>Good</v>
      </c>
      <c r="X823" s="4">
        <f>AVERAGE(Table1[Purchase Amount])</f>
        <v>129.48419400000012</v>
      </c>
    </row>
    <row r="824" spans="1:24" ht="15" customHeight="1" x14ac:dyDescent="0.25">
      <c r="A824">
        <v>823</v>
      </c>
      <c r="B824">
        <v>35</v>
      </c>
      <c r="C824" t="s">
        <v>27</v>
      </c>
      <c r="D824" t="s">
        <v>38</v>
      </c>
      <c r="E824" t="s">
        <v>18</v>
      </c>
      <c r="F824" s="2">
        <v>59</v>
      </c>
      <c r="G824" t="s">
        <v>149</v>
      </c>
      <c r="H824" t="s">
        <v>45</v>
      </c>
      <c r="I824" t="s">
        <v>87</v>
      </c>
      <c r="J824" t="s">
        <v>22</v>
      </c>
      <c r="K824">
        <v>3.4</v>
      </c>
      <c r="L824" t="s">
        <v>34</v>
      </c>
      <c r="M824" t="s">
        <v>24</v>
      </c>
      <c r="N824" t="s">
        <v>34</v>
      </c>
      <c r="O824">
        <v>23</v>
      </c>
      <c r="P824" t="s">
        <v>88</v>
      </c>
      <c r="Q824" t="s">
        <v>49</v>
      </c>
      <c r="R824" s="1">
        <v>0.1</v>
      </c>
      <c r="S824">
        <f t="shared" si="48"/>
        <v>53.1</v>
      </c>
      <c r="T824">
        <f>IFERROR(VLOOKUP(A824,Table1[[Customer ID]:[Discount Amount]], 6, FALSE),"Not Found")</f>
        <v>59</v>
      </c>
      <c r="U824" t="str">
        <f t="shared" si="49"/>
        <v>Bank Transfer</v>
      </c>
      <c r="V824" s="4" t="str">
        <f t="shared" si="50"/>
        <v>Normal</v>
      </c>
      <c r="W824" s="4" t="str">
        <f t="shared" si="51"/>
        <v>Good</v>
      </c>
      <c r="X824" s="4">
        <f>AVERAGE(Table1[Purchase Amount])</f>
        <v>129.48419400000012</v>
      </c>
    </row>
    <row r="825" spans="1:24" ht="15" customHeight="1" x14ac:dyDescent="0.25">
      <c r="A825">
        <v>824</v>
      </c>
      <c r="B825">
        <v>51</v>
      </c>
      <c r="C825" t="s">
        <v>27</v>
      </c>
      <c r="D825" t="s">
        <v>28</v>
      </c>
      <c r="E825" t="s">
        <v>29</v>
      </c>
      <c r="F825" s="2">
        <v>27</v>
      </c>
      <c r="G825" t="s">
        <v>160</v>
      </c>
      <c r="H825" t="s">
        <v>31</v>
      </c>
      <c r="I825" t="s">
        <v>93</v>
      </c>
      <c r="J825" t="s">
        <v>22</v>
      </c>
      <c r="K825">
        <v>2.5</v>
      </c>
      <c r="L825" t="s">
        <v>34</v>
      </c>
      <c r="M825" t="s">
        <v>35</v>
      </c>
      <c r="N825" t="s">
        <v>34</v>
      </c>
      <c r="O825">
        <v>11</v>
      </c>
      <c r="P825" t="s">
        <v>53</v>
      </c>
      <c r="Q825" t="s">
        <v>37</v>
      </c>
      <c r="R825" s="1">
        <v>0.1</v>
      </c>
      <c r="S825">
        <f t="shared" si="48"/>
        <v>24.3</v>
      </c>
      <c r="T825">
        <f>IFERROR(VLOOKUP(A825,Table1[[Customer ID]:[Discount Amount]], 6, FALSE),"Not Found")</f>
        <v>27</v>
      </c>
      <c r="U825" t="str">
        <f t="shared" si="49"/>
        <v>Credit Card</v>
      </c>
      <c r="V825" s="4" t="str">
        <f t="shared" si="50"/>
        <v>Normal</v>
      </c>
      <c r="W825" s="4" t="str">
        <f t="shared" si="51"/>
        <v>Poor</v>
      </c>
      <c r="X825" s="4">
        <f>AVERAGE(Table1[Purchase Amount])</f>
        <v>129.48419400000012</v>
      </c>
    </row>
    <row r="826" spans="1:24" ht="15" customHeight="1" x14ac:dyDescent="0.25">
      <c r="A826">
        <v>825</v>
      </c>
      <c r="B826">
        <v>61</v>
      </c>
      <c r="C826" t="s">
        <v>27</v>
      </c>
      <c r="D826" t="s">
        <v>118</v>
      </c>
      <c r="E826" t="s">
        <v>18</v>
      </c>
      <c r="F826" s="2">
        <v>94</v>
      </c>
      <c r="G826" t="s">
        <v>160</v>
      </c>
      <c r="H826" t="s">
        <v>31</v>
      </c>
      <c r="I826" t="s">
        <v>32</v>
      </c>
      <c r="J826" t="s">
        <v>33</v>
      </c>
      <c r="K826">
        <v>3</v>
      </c>
      <c r="L826" t="s">
        <v>34</v>
      </c>
      <c r="M826" t="s">
        <v>48</v>
      </c>
      <c r="N826" t="s">
        <v>34</v>
      </c>
      <c r="O826">
        <v>48</v>
      </c>
      <c r="P826" t="s">
        <v>25</v>
      </c>
      <c r="Q826" t="s">
        <v>37</v>
      </c>
      <c r="R826" s="1">
        <v>0.1</v>
      </c>
      <c r="S826">
        <f t="shared" si="48"/>
        <v>84.6</v>
      </c>
      <c r="T826">
        <f>IFERROR(VLOOKUP(A826,Table1[[Customer ID]:[Discount Amount]], 6, FALSE),"Not Found")</f>
        <v>94</v>
      </c>
      <c r="U826" t="str">
        <f t="shared" si="49"/>
        <v>Cash</v>
      </c>
      <c r="V826" s="4" t="str">
        <f t="shared" si="50"/>
        <v>Normal</v>
      </c>
      <c r="W826" s="4" t="str">
        <f t="shared" si="51"/>
        <v>Good</v>
      </c>
      <c r="X826" s="4">
        <f>AVERAGE(Table1[Purchase Amount])</f>
        <v>129.48419400000012</v>
      </c>
    </row>
    <row r="827" spans="1:24" ht="15" customHeight="1" x14ac:dyDescent="0.25">
      <c r="A827">
        <v>826</v>
      </c>
      <c r="B827">
        <v>27</v>
      </c>
      <c r="C827" t="s">
        <v>27</v>
      </c>
      <c r="D827" t="s">
        <v>114</v>
      </c>
      <c r="E827" t="s">
        <v>29</v>
      </c>
      <c r="F827" s="2">
        <v>94</v>
      </c>
      <c r="G827" t="s">
        <v>137</v>
      </c>
      <c r="H827" t="s">
        <v>20</v>
      </c>
      <c r="I827" t="s">
        <v>60</v>
      </c>
      <c r="J827" t="s">
        <v>47</v>
      </c>
      <c r="K827">
        <v>3.6</v>
      </c>
      <c r="L827" t="s">
        <v>34</v>
      </c>
      <c r="M827" t="s">
        <v>79</v>
      </c>
      <c r="N827" t="s">
        <v>34</v>
      </c>
      <c r="O827">
        <v>17</v>
      </c>
      <c r="P827" t="s">
        <v>25</v>
      </c>
      <c r="Q827" t="s">
        <v>42</v>
      </c>
      <c r="R827" s="1">
        <v>0.1</v>
      </c>
      <c r="S827">
        <f t="shared" si="48"/>
        <v>84.6</v>
      </c>
      <c r="T827">
        <f>IFERROR(VLOOKUP(A827,Table1[[Customer ID]:[Discount Amount]], 6, FALSE),"Not Found")</f>
        <v>94</v>
      </c>
      <c r="U827" t="str">
        <f t="shared" si="49"/>
        <v>Cash</v>
      </c>
      <c r="V827" s="4" t="str">
        <f t="shared" si="50"/>
        <v>Normal</v>
      </c>
      <c r="W827" s="4" t="str">
        <f t="shared" si="51"/>
        <v>Good</v>
      </c>
      <c r="X827" s="4">
        <f>AVERAGE(Table1[Purchase Amount])</f>
        <v>129.48419400000012</v>
      </c>
    </row>
    <row r="828" spans="1:24" ht="15" customHeight="1" x14ac:dyDescent="0.25">
      <c r="A828">
        <v>827</v>
      </c>
      <c r="B828">
        <v>54</v>
      </c>
      <c r="C828" t="s">
        <v>27</v>
      </c>
      <c r="D828" t="s">
        <v>157</v>
      </c>
      <c r="E828" t="s">
        <v>18</v>
      </c>
      <c r="F828" s="2">
        <v>94</v>
      </c>
      <c r="G828" t="s">
        <v>97</v>
      </c>
      <c r="H828" t="s">
        <v>31</v>
      </c>
      <c r="I828" t="s">
        <v>66</v>
      </c>
      <c r="J828" t="s">
        <v>22</v>
      </c>
      <c r="K828">
        <v>3.6</v>
      </c>
      <c r="L828" t="s">
        <v>34</v>
      </c>
      <c r="M828" t="s">
        <v>24</v>
      </c>
      <c r="N828" t="s">
        <v>34</v>
      </c>
      <c r="O828">
        <v>36</v>
      </c>
      <c r="P828" t="s">
        <v>58</v>
      </c>
      <c r="Q828" t="s">
        <v>26</v>
      </c>
      <c r="R828" s="1">
        <v>0.1</v>
      </c>
      <c r="S828">
        <f t="shared" si="48"/>
        <v>84.6</v>
      </c>
      <c r="T828">
        <f>IFERROR(VLOOKUP(A828,Table1[[Customer ID]:[Discount Amount]], 6, FALSE),"Not Found")</f>
        <v>94</v>
      </c>
      <c r="U828" t="str">
        <f t="shared" si="49"/>
        <v>PayPal</v>
      </c>
      <c r="V828" s="4" t="str">
        <f t="shared" si="50"/>
        <v>Normal</v>
      </c>
      <c r="W828" s="4" t="str">
        <f t="shared" si="51"/>
        <v>Good</v>
      </c>
      <c r="X828" s="4">
        <f>AVERAGE(Table1[Purchase Amount])</f>
        <v>129.48419400000012</v>
      </c>
    </row>
    <row r="829" spans="1:24" ht="15" customHeight="1" x14ac:dyDescent="0.25">
      <c r="A829">
        <v>828</v>
      </c>
      <c r="B829">
        <v>31</v>
      </c>
      <c r="C829" t="s">
        <v>27</v>
      </c>
      <c r="D829" t="s">
        <v>72</v>
      </c>
      <c r="E829" t="s">
        <v>98</v>
      </c>
      <c r="F829" s="2">
        <v>51</v>
      </c>
      <c r="G829" t="s">
        <v>92</v>
      </c>
      <c r="H829" t="s">
        <v>55</v>
      </c>
      <c r="I829" t="s">
        <v>93</v>
      </c>
      <c r="J829" t="s">
        <v>47</v>
      </c>
      <c r="K829">
        <v>4.0999999999999996</v>
      </c>
      <c r="L829" t="s">
        <v>34</v>
      </c>
      <c r="M829" t="s">
        <v>35</v>
      </c>
      <c r="N829" t="s">
        <v>34</v>
      </c>
      <c r="O829">
        <v>33</v>
      </c>
      <c r="P829" t="s">
        <v>88</v>
      </c>
      <c r="Q829" t="s">
        <v>89</v>
      </c>
      <c r="R829" s="1">
        <v>0.1</v>
      </c>
      <c r="S829">
        <f t="shared" si="48"/>
        <v>45.9</v>
      </c>
      <c r="T829">
        <f>IFERROR(VLOOKUP(A829,Table1[[Customer ID]:[Discount Amount]], 6, FALSE),"Not Found")</f>
        <v>51</v>
      </c>
      <c r="U829" t="str">
        <f t="shared" si="49"/>
        <v>Bank Transfer</v>
      </c>
      <c r="V829" s="4" t="str">
        <f t="shared" si="50"/>
        <v>Normal</v>
      </c>
      <c r="W829" s="4" t="str">
        <f t="shared" si="51"/>
        <v>Good</v>
      </c>
      <c r="X829" s="4">
        <f>AVERAGE(Table1[Purchase Amount])</f>
        <v>129.48419400000012</v>
      </c>
    </row>
    <row r="830" spans="1:24" ht="15" customHeight="1" x14ac:dyDescent="0.25">
      <c r="A830">
        <v>829</v>
      </c>
      <c r="B830">
        <v>24</v>
      </c>
      <c r="C830" t="s">
        <v>27</v>
      </c>
      <c r="D830" t="s">
        <v>105</v>
      </c>
      <c r="E830" t="s">
        <v>18</v>
      </c>
      <c r="F830" s="2">
        <v>62</v>
      </c>
      <c r="G830" t="s">
        <v>158</v>
      </c>
      <c r="H830" t="s">
        <v>31</v>
      </c>
      <c r="I830" t="s">
        <v>145</v>
      </c>
      <c r="J830" t="s">
        <v>47</v>
      </c>
      <c r="K830">
        <v>3.7</v>
      </c>
      <c r="L830" t="s">
        <v>34</v>
      </c>
      <c r="M830" t="s">
        <v>41</v>
      </c>
      <c r="N830" t="s">
        <v>34</v>
      </c>
      <c r="O830">
        <v>27</v>
      </c>
      <c r="P830" t="s">
        <v>58</v>
      </c>
      <c r="Q830" t="s">
        <v>68</v>
      </c>
      <c r="R830" s="1">
        <v>0.1</v>
      </c>
      <c r="S830">
        <f t="shared" si="48"/>
        <v>55.8</v>
      </c>
      <c r="T830">
        <f>IFERROR(VLOOKUP(A830,Table1[[Customer ID]:[Discount Amount]], 6, FALSE),"Not Found")</f>
        <v>62</v>
      </c>
      <c r="U830" t="str">
        <f t="shared" si="49"/>
        <v>PayPal</v>
      </c>
      <c r="V830" s="4" t="str">
        <f t="shared" si="50"/>
        <v>Normal</v>
      </c>
      <c r="W830" s="4" t="str">
        <f t="shared" si="51"/>
        <v>Good</v>
      </c>
      <c r="X830" s="4">
        <f>AVERAGE(Table1[Purchase Amount])</f>
        <v>129.48419400000012</v>
      </c>
    </row>
    <row r="831" spans="1:24" ht="15" customHeight="1" x14ac:dyDescent="0.25">
      <c r="A831">
        <v>830</v>
      </c>
      <c r="B831">
        <v>42</v>
      </c>
      <c r="C831" t="s">
        <v>27</v>
      </c>
      <c r="D831" t="s">
        <v>105</v>
      </c>
      <c r="E831" t="s">
        <v>18</v>
      </c>
      <c r="F831" s="2">
        <v>57</v>
      </c>
      <c r="G831" t="s">
        <v>161</v>
      </c>
      <c r="H831" t="s">
        <v>55</v>
      </c>
      <c r="I831" t="s">
        <v>153</v>
      </c>
      <c r="J831" t="s">
        <v>33</v>
      </c>
      <c r="K831">
        <v>1</v>
      </c>
      <c r="L831" t="s">
        <v>34</v>
      </c>
      <c r="M831" t="s">
        <v>41</v>
      </c>
      <c r="N831" t="s">
        <v>34</v>
      </c>
      <c r="O831">
        <v>14</v>
      </c>
      <c r="P831" t="s">
        <v>53</v>
      </c>
      <c r="Q831" t="s">
        <v>89</v>
      </c>
      <c r="R831" s="1">
        <v>0.1</v>
      </c>
      <c r="S831">
        <f t="shared" si="48"/>
        <v>51.3</v>
      </c>
      <c r="T831">
        <f>IFERROR(VLOOKUP(A831,Table1[[Customer ID]:[Discount Amount]], 6, FALSE),"Not Found")</f>
        <v>57</v>
      </c>
      <c r="U831" t="str">
        <f t="shared" si="49"/>
        <v>Credit Card</v>
      </c>
      <c r="V831" s="4" t="str">
        <f t="shared" si="50"/>
        <v>Normal</v>
      </c>
      <c r="W831" s="4" t="str">
        <f t="shared" si="51"/>
        <v>Poor</v>
      </c>
      <c r="X831" s="4">
        <f>AVERAGE(Table1[Purchase Amount])</f>
        <v>129.48419400000012</v>
      </c>
    </row>
    <row r="832" spans="1:24" ht="15" customHeight="1" x14ac:dyDescent="0.25">
      <c r="A832">
        <v>831</v>
      </c>
      <c r="B832">
        <v>41</v>
      </c>
      <c r="C832" t="s">
        <v>27</v>
      </c>
      <c r="D832" t="s">
        <v>54</v>
      </c>
      <c r="E832" t="s">
        <v>18</v>
      </c>
      <c r="F832" s="2">
        <v>76</v>
      </c>
      <c r="G832" t="s">
        <v>162</v>
      </c>
      <c r="H832" t="s">
        <v>31</v>
      </c>
      <c r="I832" t="s">
        <v>125</v>
      </c>
      <c r="J832" t="s">
        <v>47</v>
      </c>
      <c r="K832">
        <v>4.2</v>
      </c>
      <c r="L832" t="s">
        <v>34</v>
      </c>
      <c r="M832" t="s">
        <v>61</v>
      </c>
      <c r="N832" t="s">
        <v>34</v>
      </c>
      <c r="O832">
        <v>5</v>
      </c>
      <c r="P832" t="s">
        <v>53</v>
      </c>
      <c r="Q832" t="s">
        <v>49</v>
      </c>
      <c r="R832" s="1">
        <v>0.1</v>
      </c>
      <c r="S832">
        <f t="shared" si="48"/>
        <v>68.400000000000006</v>
      </c>
      <c r="T832">
        <f>IFERROR(VLOOKUP(A832,Table1[[Customer ID]:[Discount Amount]], 6, FALSE),"Not Found")</f>
        <v>76</v>
      </c>
      <c r="U832" t="str">
        <f t="shared" si="49"/>
        <v>Credit Card</v>
      </c>
      <c r="V832" s="4" t="str">
        <f t="shared" si="50"/>
        <v>Normal</v>
      </c>
      <c r="W832" s="4" t="str">
        <f t="shared" si="51"/>
        <v>Good</v>
      </c>
      <c r="X832" s="4">
        <f>AVERAGE(Table1[Purchase Amount])</f>
        <v>129.48419400000012</v>
      </c>
    </row>
    <row r="833" spans="1:24" ht="15" customHeight="1" x14ac:dyDescent="0.25">
      <c r="A833">
        <v>832</v>
      </c>
      <c r="B833">
        <v>66</v>
      </c>
      <c r="C833" t="s">
        <v>27</v>
      </c>
      <c r="D833" t="s">
        <v>43</v>
      </c>
      <c r="E833" t="s">
        <v>29</v>
      </c>
      <c r="F833" s="2">
        <v>63</v>
      </c>
      <c r="G833" t="s">
        <v>155</v>
      </c>
      <c r="H833" t="s">
        <v>31</v>
      </c>
      <c r="I833" t="s">
        <v>46</v>
      </c>
      <c r="J833" t="s">
        <v>57</v>
      </c>
      <c r="K833">
        <v>4.3</v>
      </c>
      <c r="L833" t="s">
        <v>34</v>
      </c>
      <c r="M833" t="s">
        <v>61</v>
      </c>
      <c r="N833" t="s">
        <v>34</v>
      </c>
      <c r="O833">
        <v>47</v>
      </c>
      <c r="P833" t="s">
        <v>25</v>
      </c>
      <c r="Q833" t="s">
        <v>63</v>
      </c>
      <c r="R833" s="1">
        <v>0.1</v>
      </c>
      <c r="S833">
        <f t="shared" si="48"/>
        <v>56.7</v>
      </c>
      <c r="T833">
        <f>IFERROR(VLOOKUP(A833,Table1[[Customer ID]:[Discount Amount]], 6, FALSE),"Not Found")</f>
        <v>63</v>
      </c>
      <c r="U833" t="str">
        <f t="shared" si="49"/>
        <v>Cash</v>
      </c>
      <c r="V833" s="4" t="str">
        <f t="shared" si="50"/>
        <v>Normal</v>
      </c>
      <c r="W833" s="4" t="str">
        <f t="shared" si="51"/>
        <v>Good</v>
      </c>
      <c r="X833" s="4">
        <f>AVERAGE(Table1[Purchase Amount])</f>
        <v>129.48419400000012</v>
      </c>
    </row>
    <row r="834" spans="1:24" ht="15" customHeight="1" x14ac:dyDescent="0.25">
      <c r="A834">
        <v>833</v>
      </c>
      <c r="B834">
        <v>58</v>
      </c>
      <c r="C834" t="s">
        <v>27</v>
      </c>
      <c r="D834" t="s">
        <v>96</v>
      </c>
      <c r="E834" t="s">
        <v>77</v>
      </c>
      <c r="F834" s="2">
        <v>80</v>
      </c>
      <c r="G834" t="s">
        <v>19</v>
      </c>
      <c r="H834" t="s">
        <v>45</v>
      </c>
      <c r="I834" t="s">
        <v>74</v>
      </c>
      <c r="J834" t="s">
        <v>47</v>
      </c>
      <c r="K834">
        <v>2.5</v>
      </c>
      <c r="L834" t="s">
        <v>34</v>
      </c>
      <c r="M834" t="s">
        <v>61</v>
      </c>
      <c r="N834" t="s">
        <v>34</v>
      </c>
      <c r="O834">
        <v>28</v>
      </c>
      <c r="P834" t="s">
        <v>25</v>
      </c>
      <c r="Q834" t="s">
        <v>68</v>
      </c>
      <c r="R834" s="1">
        <v>0.1</v>
      </c>
      <c r="S834">
        <f t="shared" ref="S834:S897" si="52">F834-(F834*R834)</f>
        <v>72</v>
      </c>
      <c r="T834">
        <f>IFERROR(VLOOKUP(A834,Table1[[Customer ID]:[Discount Amount]], 6, FALSE),"Not Found")</f>
        <v>80</v>
      </c>
      <c r="U834" t="str">
        <f t="shared" ref="U834:U897" si="53">INDEX(P:P, MATCH(A834, A:A, 0))</f>
        <v>Cash</v>
      </c>
      <c r="V834" s="4" t="str">
        <f t="shared" ref="V834:V897" si="54">IF(AND(F834&gt;1000,K834&gt;=4),"Best Customer","Normal")</f>
        <v>Normal</v>
      </c>
      <c r="W834" s="4" t="str">
        <f t="shared" ref="W834:W897" si="55">IF(K834&gt;=3,"Good","Poor")</f>
        <v>Poor</v>
      </c>
      <c r="X834" s="4">
        <f>AVERAGE(Table1[Purchase Amount])</f>
        <v>129.48419400000012</v>
      </c>
    </row>
    <row r="835" spans="1:24" ht="15" customHeight="1" x14ac:dyDescent="0.25">
      <c r="A835">
        <v>834</v>
      </c>
      <c r="B835">
        <v>43</v>
      </c>
      <c r="C835" t="s">
        <v>27</v>
      </c>
      <c r="D835" t="s">
        <v>69</v>
      </c>
      <c r="E835" t="s">
        <v>29</v>
      </c>
      <c r="F835" s="2">
        <v>68</v>
      </c>
      <c r="G835" t="s">
        <v>142</v>
      </c>
      <c r="H835" t="s">
        <v>31</v>
      </c>
      <c r="I835" t="s">
        <v>66</v>
      </c>
      <c r="J835" t="s">
        <v>47</v>
      </c>
      <c r="K835">
        <v>3.5</v>
      </c>
      <c r="L835" t="s">
        <v>34</v>
      </c>
      <c r="M835" t="s">
        <v>24</v>
      </c>
      <c r="N835" t="s">
        <v>34</v>
      </c>
      <c r="O835">
        <v>11</v>
      </c>
      <c r="P835" t="s">
        <v>53</v>
      </c>
      <c r="Q835" t="s">
        <v>49</v>
      </c>
      <c r="R835" s="1">
        <v>0.1</v>
      </c>
      <c r="S835">
        <f t="shared" si="52"/>
        <v>61.2</v>
      </c>
      <c r="T835">
        <f>IFERROR(VLOOKUP(A835,Table1[[Customer ID]:[Discount Amount]], 6, FALSE),"Not Found")</f>
        <v>68</v>
      </c>
      <c r="U835" t="str">
        <f t="shared" si="53"/>
        <v>Credit Card</v>
      </c>
      <c r="V835" s="4" t="str">
        <f t="shared" si="54"/>
        <v>Normal</v>
      </c>
      <c r="W835" s="4" t="str">
        <f t="shared" si="55"/>
        <v>Good</v>
      </c>
      <c r="X835" s="4">
        <f>AVERAGE(Table1[Purchase Amount])</f>
        <v>129.48419400000012</v>
      </c>
    </row>
    <row r="836" spans="1:24" ht="15" customHeight="1" x14ac:dyDescent="0.25">
      <c r="A836">
        <v>835</v>
      </c>
      <c r="B836">
        <v>52</v>
      </c>
      <c r="C836" t="s">
        <v>27</v>
      </c>
      <c r="D836" t="s">
        <v>104</v>
      </c>
      <c r="E836" t="s">
        <v>29</v>
      </c>
      <c r="F836" s="2">
        <v>89</v>
      </c>
      <c r="G836" t="s">
        <v>158</v>
      </c>
      <c r="H836" t="s">
        <v>31</v>
      </c>
      <c r="I836" t="s">
        <v>91</v>
      </c>
      <c r="J836" t="s">
        <v>57</v>
      </c>
      <c r="K836">
        <v>3.1</v>
      </c>
      <c r="L836" t="s">
        <v>34</v>
      </c>
      <c r="M836" t="s">
        <v>35</v>
      </c>
      <c r="N836" t="s">
        <v>34</v>
      </c>
      <c r="O836">
        <v>18</v>
      </c>
      <c r="P836" t="s">
        <v>53</v>
      </c>
      <c r="Q836" t="s">
        <v>26</v>
      </c>
      <c r="R836" s="1">
        <v>0.1</v>
      </c>
      <c r="S836">
        <f t="shared" si="52"/>
        <v>80.099999999999994</v>
      </c>
      <c r="T836">
        <f>IFERROR(VLOOKUP(A836,Table1[[Customer ID]:[Discount Amount]], 6, FALSE),"Not Found")</f>
        <v>89</v>
      </c>
      <c r="U836" t="str">
        <f t="shared" si="53"/>
        <v>Credit Card</v>
      </c>
      <c r="V836" s="4" t="str">
        <f t="shared" si="54"/>
        <v>Normal</v>
      </c>
      <c r="W836" s="4" t="str">
        <f t="shared" si="55"/>
        <v>Good</v>
      </c>
      <c r="X836" s="4">
        <f>AVERAGE(Table1[Purchase Amount])</f>
        <v>129.48419400000012</v>
      </c>
    </row>
    <row r="837" spans="1:24" ht="15" customHeight="1" x14ac:dyDescent="0.25">
      <c r="A837">
        <v>836</v>
      </c>
      <c r="B837">
        <v>35</v>
      </c>
      <c r="C837" t="s">
        <v>27</v>
      </c>
      <c r="D837" t="s">
        <v>151</v>
      </c>
      <c r="E837" t="s">
        <v>98</v>
      </c>
      <c r="F837" s="2">
        <v>26</v>
      </c>
      <c r="G837" t="s">
        <v>106</v>
      </c>
      <c r="H837" t="s">
        <v>45</v>
      </c>
      <c r="I837" t="s">
        <v>91</v>
      </c>
      <c r="J837" t="s">
        <v>57</v>
      </c>
      <c r="K837">
        <v>2.5</v>
      </c>
      <c r="L837" t="s">
        <v>34</v>
      </c>
      <c r="M837" t="s">
        <v>79</v>
      </c>
      <c r="N837" t="s">
        <v>34</v>
      </c>
      <c r="O837">
        <v>21</v>
      </c>
      <c r="P837" t="s">
        <v>36</v>
      </c>
      <c r="Q837" t="s">
        <v>26</v>
      </c>
      <c r="R837" s="1">
        <v>0.1</v>
      </c>
      <c r="S837">
        <f t="shared" si="52"/>
        <v>23.4</v>
      </c>
      <c r="T837">
        <f>IFERROR(VLOOKUP(A837,Table1[[Customer ID]:[Discount Amount]], 6, FALSE),"Not Found")</f>
        <v>26</v>
      </c>
      <c r="U837" t="str">
        <f t="shared" si="53"/>
        <v>Debit Card</v>
      </c>
      <c r="V837" s="4" t="str">
        <f t="shared" si="54"/>
        <v>Normal</v>
      </c>
      <c r="W837" s="4" t="str">
        <f t="shared" si="55"/>
        <v>Poor</v>
      </c>
      <c r="X837" s="4">
        <f>AVERAGE(Table1[Purchase Amount])</f>
        <v>129.48419400000012</v>
      </c>
    </row>
    <row r="838" spans="1:24" ht="15" customHeight="1" x14ac:dyDescent="0.25">
      <c r="A838">
        <v>837</v>
      </c>
      <c r="B838">
        <v>23</v>
      </c>
      <c r="C838" t="s">
        <v>27</v>
      </c>
      <c r="D838" t="s">
        <v>43</v>
      </c>
      <c r="E838" t="s">
        <v>29</v>
      </c>
      <c r="F838" s="2">
        <v>90</v>
      </c>
      <c r="G838" t="s">
        <v>154</v>
      </c>
      <c r="H838" t="s">
        <v>45</v>
      </c>
      <c r="I838" t="s">
        <v>111</v>
      </c>
      <c r="J838" t="s">
        <v>22</v>
      </c>
      <c r="K838">
        <v>3.9</v>
      </c>
      <c r="L838" t="s">
        <v>34</v>
      </c>
      <c r="M838" t="s">
        <v>48</v>
      </c>
      <c r="N838" t="s">
        <v>34</v>
      </c>
      <c r="O838">
        <v>22</v>
      </c>
      <c r="P838" t="s">
        <v>25</v>
      </c>
      <c r="Q838" t="s">
        <v>68</v>
      </c>
      <c r="R838" s="1">
        <v>0.1</v>
      </c>
      <c r="S838">
        <f t="shared" si="52"/>
        <v>81</v>
      </c>
      <c r="T838">
        <f>IFERROR(VLOOKUP(A838,Table1[[Customer ID]:[Discount Amount]], 6, FALSE),"Not Found")</f>
        <v>90</v>
      </c>
      <c r="U838" t="str">
        <f t="shared" si="53"/>
        <v>Cash</v>
      </c>
      <c r="V838" s="4" t="str">
        <f t="shared" si="54"/>
        <v>Normal</v>
      </c>
      <c r="W838" s="4" t="str">
        <f t="shared" si="55"/>
        <v>Good</v>
      </c>
      <c r="X838" s="4">
        <f>AVERAGE(Table1[Purchase Amount])</f>
        <v>129.48419400000012</v>
      </c>
    </row>
    <row r="839" spans="1:24" ht="15" customHeight="1" x14ac:dyDescent="0.25">
      <c r="A839">
        <v>838</v>
      </c>
      <c r="B839">
        <v>25</v>
      </c>
      <c r="C839" t="s">
        <v>27</v>
      </c>
      <c r="D839" t="s">
        <v>83</v>
      </c>
      <c r="E839" t="s">
        <v>18</v>
      </c>
      <c r="F839" s="2">
        <v>28</v>
      </c>
      <c r="G839" t="s">
        <v>44</v>
      </c>
      <c r="H839" t="s">
        <v>45</v>
      </c>
      <c r="I839" t="s">
        <v>60</v>
      </c>
      <c r="J839" t="s">
        <v>33</v>
      </c>
      <c r="K839">
        <v>4.9000000000000004</v>
      </c>
      <c r="L839" t="s">
        <v>34</v>
      </c>
      <c r="M839" t="s">
        <v>61</v>
      </c>
      <c r="N839" t="s">
        <v>34</v>
      </c>
      <c r="O839">
        <v>33</v>
      </c>
      <c r="P839" t="s">
        <v>25</v>
      </c>
      <c r="Q839" t="s">
        <v>63</v>
      </c>
      <c r="R839" s="1">
        <v>0.1</v>
      </c>
      <c r="S839">
        <f t="shared" si="52"/>
        <v>25.2</v>
      </c>
      <c r="T839">
        <f>IFERROR(VLOOKUP(A839,Table1[[Customer ID]:[Discount Amount]], 6, FALSE),"Not Found")</f>
        <v>28</v>
      </c>
      <c r="U839" t="str">
        <f t="shared" si="53"/>
        <v>Cash</v>
      </c>
      <c r="V839" s="4" t="str">
        <f t="shared" si="54"/>
        <v>Normal</v>
      </c>
      <c r="W839" s="4" t="str">
        <f t="shared" si="55"/>
        <v>Good</v>
      </c>
      <c r="X839" s="4">
        <f>AVERAGE(Table1[Purchase Amount])</f>
        <v>129.48419400000012</v>
      </c>
    </row>
    <row r="840" spans="1:24" ht="15" customHeight="1" x14ac:dyDescent="0.25">
      <c r="A840">
        <v>839</v>
      </c>
      <c r="B840">
        <v>33</v>
      </c>
      <c r="C840" t="s">
        <v>27</v>
      </c>
      <c r="D840" t="s">
        <v>76</v>
      </c>
      <c r="E840" t="s">
        <v>77</v>
      </c>
      <c r="F840" s="2">
        <v>29</v>
      </c>
      <c r="G840" t="s">
        <v>70</v>
      </c>
      <c r="H840" t="s">
        <v>31</v>
      </c>
      <c r="I840" t="s">
        <v>85</v>
      </c>
      <c r="J840" t="s">
        <v>33</v>
      </c>
      <c r="K840">
        <v>4.3</v>
      </c>
      <c r="L840" t="s">
        <v>34</v>
      </c>
      <c r="M840" t="s">
        <v>61</v>
      </c>
      <c r="N840" t="s">
        <v>34</v>
      </c>
      <c r="O840">
        <v>49</v>
      </c>
      <c r="P840" t="s">
        <v>53</v>
      </c>
      <c r="Q840" t="s">
        <v>49</v>
      </c>
      <c r="R840" s="1">
        <v>0.1</v>
      </c>
      <c r="S840">
        <f t="shared" si="52"/>
        <v>26.1</v>
      </c>
      <c r="T840">
        <f>IFERROR(VLOOKUP(A840,Table1[[Customer ID]:[Discount Amount]], 6, FALSE),"Not Found")</f>
        <v>29</v>
      </c>
      <c r="U840" t="str">
        <f t="shared" si="53"/>
        <v>Credit Card</v>
      </c>
      <c r="V840" s="4" t="str">
        <f t="shared" si="54"/>
        <v>Normal</v>
      </c>
      <c r="W840" s="4" t="str">
        <f t="shared" si="55"/>
        <v>Good</v>
      </c>
      <c r="X840" s="4">
        <f>AVERAGE(Table1[Purchase Amount])</f>
        <v>129.48419400000012</v>
      </c>
    </row>
    <row r="841" spans="1:24" ht="15" customHeight="1" x14ac:dyDescent="0.25">
      <c r="A841">
        <v>840</v>
      </c>
      <c r="B841">
        <v>48</v>
      </c>
      <c r="C841" t="s">
        <v>27</v>
      </c>
      <c r="D841" t="s">
        <v>38</v>
      </c>
      <c r="E841" t="s">
        <v>18</v>
      </c>
      <c r="F841" s="2">
        <v>31</v>
      </c>
      <c r="G841" t="s">
        <v>44</v>
      </c>
      <c r="H841" t="s">
        <v>45</v>
      </c>
      <c r="I841" t="s">
        <v>147</v>
      </c>
      <c r="J841" t="s">
        <v>33</v>
      </c>
      <c r="K841">
        <v>2.6</v>
      </c>
      <c r="L841" t="s">
        <v>34</v>
      </c>
      <c r="M841" t="s">
        <v>35</v>
      </c>
      <c r="N841" t="s">
        <v>34</v>
      </c>
      <c r="O841">
        <v>10</v>
      </c>
      <c r="P841" t="s">
        <v>36</v>
      </c>
      <c r="Q841" t="s">
        <v>63</v>
      </c>
      <c r="R841" s="1">
        <v>0.1</v>
      </c>
      <c r="S841">
        <f t="shared" si="52"/>
        <v>27.9</v>
      </c>
      <c r="T841">
        <f>IFERROR(VLOOKUP(A841,Table1[[Customer ID]:[Discount Amount]], 6, FALSE),"Not Found")</f>
        <v>31</v>
      </c>
      <c r="U841" t="str">
        <f t="shared" si="53"/>
        <v>Debit Card</v>
      </c>
      <c r="V841" s="4" t="str">
        <f t="shared" si="54"/>
        <v>Normal</v>
      </c>
      <c r="W841" s="4" t="str">
        <f t="shared" si="55"/>
        <v>Poor</v>
      </c>
      <c r="X841" s="4">
        <f>AVERAGE(Table1[Purchase Amount])</f>
        <v>129.48419400000012</v>
      </c>
    </row>
    <row r="842" spans="1:24" ht="15" customHeight="1" x14ac:dyDescent="0.25">
      <c r="A842">
        <v>841</v>
      </c>
      <c r="B842">
        <v>42</v>
      </c>
      <c r="C842" t="s">
        <v>27</v>
      </c>
      <c r="D842" t="s">
        <v>38</v>
      </c>
      <c r="E842" t="s">
        <v>18</v>
      </c>
      <c r="F842" s="2">
        <v>24</v>
      </c>
      <c r="G842" t="s">
        <v>51</v>
      </c>
      <c r="H842" t="s">
        <v>45</v>
      </c>
      <c r="I842" t="s">
        <v>147</v>
      </c>
      <c r="J842" t="s">
        <v>57</v>
      </c>
      <c r="K842">
        <v>4.2</v>
      </c>
      <c r="L842" t="s">
        <v>34</v>
      </c>
      <c r="M842" t="s">
        <v>41</v>
      </c>
      <c r="N842" t="s">
        <v>34</v>
      </c>
      <c r="O842">
        <v>18</v>
      </c>
      <c r="P842" t="s">
        <v>58</v>
      </c>
      <c r="Q842" t="s">
        <v>26</v>
      </c>
      <c r="R842" s="1">
        <v>0.1</v>
      </c>
      <c r="S842">
        <f t="shared" si="52"/>
        <v>21.6</v>
      </c>
      <c r="T842">
        <f>IFERROR(VLOOKUP(A842,Table1[[Customer ID]:[Discount Amount]], 6, FALSE),"Not Found")</f>
        <v>24</v>
      </c>
      <c r="U842" t="str">
        <f t="shared" si="53"/>
        <v>PayPal</v>
      </c>
      <c r="V842" s="4" t="str">
        <f t="shared" si="54"/>
        <v>Normal</v>
      </c>
      <c r="W842" s="4" t="str">
        <f t="shared" si="55"/>
        <v>Good</v>
      </c>
      <c r="X842" s="4">
        <f>AVERAGE(Table1[Purchase Amount])</f>
        <v>129.48419400000012</v>
      </c>
    </row>
    <row r="843" spans="1:24" ht="15" customHeight="1" x14ac:dyDescent="0.25">
      <c r="A843">
        <v>842</v>
      </c>
      <c r="B843">
        <v>55</v>
      </c>
      <c r="C843" t="s">
        <v>27</v>
      </c>
      <c r="D843" t="s">
        <v>127</v>
      </c>
      <c r="E843" t="s">
        <v>18</v>
      </c>
      <c r="F843" s="2">
        <v>88</v>
      </c>
      <c r="G843" t="s">
        <v>152</v>
      </c>
      <c r="H843" t="s">
        <v>31</v>
      </c>
      <c r="I843" t="s">
        <v>56</v>
      </c>
      <c r="J843" t="s">
        <v>57</v>
      </c>
      <c r="K843">
        <v>2.6</v>
      </c>
      <c r="L843" t="s">
        <v>34</v>
      </c>
      <c r="M843" t="s">
        <v>48</v>
      </c>
      <c r="N843" t="s">
        <v>34</v>
      </c>
      <c r="O843">
        <v>28</v>
      </c>
      <c r="P843" t="s">
        <v>58</v>
      </c>
      <c r="Q843" t="s">
        <v>89</v>
      </c>
      <c r="R843" s="1">
        <v>0.1</v>
      </c>
      <c r="S843">
        <f t="shared" si="52"/>
        <v>79.2</v>
      </c>
      <c r="T843">
        <f>IFERROR(VLOOKUP(A843,Table1[[Customer ID]:[Discount Amount]], 6, FALSE),"Not Found")</f>
        <v>88</v>
      </c>
      <c r="U843" t="str">
        <f t="shared" si="53"/>
        <v>PayPal</v>
      </c>
      <c r="V843" s="4" t="str">
        <f t="shared" si="54"/>
        <v>Normal</v>
      </c>
      <c r="W843" s="4" t="str">
        <f t="shared" si="55"/>
        <v>Poor</v>
      </c>
      <c r="X843" s="4">
        <f>AVERAGE(Table1[Purchase Amount])</f>
        <v>129.48419400000012</v>
      </c>
    </row>
    <row r="844" spans="1:24" ht="15" customHeight="1" x14ac:dyDescent="0.25">
      <c r="A844">
        <v>843</v>
      </c>
      <c r="B844">
        <v>59</v>
      </c>
      <c r="C844" t="s">
        <v>27</v>
      </c>
      <c r="D844" t="s">
        <v>38</v>
      </c>
      <c r="E844" t="s">
        <v>18</v>
      </c>
      <c r="F844" s="2">
        <v>87</v>
      </c>
      <c r="G844" t="s">
        <v>146</v>
      </c>
      <c r="H844" t="s">
        <v>31</v>
      </c>
      <c r="I844" t="s">
        <v>111</v>
      </c>
      <c r="J844" t="s">
        <v>33</v>
      </c>
      <c r="K844">
        <v>3.6</v>
      </c>
      <c r="L844" t="s">
        <v>34</v>
      </c>
      <c r="M844" t="s">
        <v>61</v>
      </c>
      <c r="N844" t="s">
        <v>34</v>
      </c>
      <c r="O844">
        <v>25</v>
      </c>
      <c r="P844" t="s">
        <v>58</v>
      </c>
      <c r="Q844" t="s">
        <v>26</v>
      </c>
      <c r="R844" s="1">
        <v>0.1</v>
      </c>
      <c r="S844">
        <f t="shared" si="52"/>
        <v>78.3</v>
      </c>
      <c r="T844">
        <f>IFERROR(VLOOKUP(A844,Table1[[Customer ID]:[Discount Amount]], 6, FALSE),"Not Found")</f>
        <v>87</v>
      </c>
      <c r="U844" t="str">
        <f t="shared" si="53"/>
        <v>PayPal</v>
      </c>
      <c r="V844" s="4" t="str">
        <f t="shared" si="54"/>
        <v>Normal</v>
      </c>
      <c r="W844" s="4" t="str">
        <f t="shared" si="55"/>
        <v>Good</v>
      </c>
      <c r="X844" s="4">
        <f>AVERAGE(Table1[Purchase Amount])</f>
        <v>129.48419400000012</v>
      </c>
    </row>
    <row r="845" spans="1:24" ht="15" customHeight="1" x14ac:dyDescent="0.25">
      <c r="A845">
        <v>844</v>
      </c>
      <c r="B845">
        <v>65</v>
      </c>
      <c r="C845" t="s">
        <v>27</v>
      </c>
      <c r="D845" t="s">
        <v>83</v>
      </c>
      <c r="E845" t="s">
        <v>18</v>
      </c>
      <c r="F845" s="2">
        <v>80</v>
      </c>
      <c r="G845" t="s">
        <v>78</v>
      </c>
      <c r="H845" t="s">
        <v>55</v>
      </c>
      <c r="I845" t="s">
        <v>56</v>
      </c>
      <c r="J845" t="s">
        <v>57</v>
      </c>
      <c r="K845">
        <v>3.2</v>
      </c>
      <c r="L845" t="s">
        <v>34</v>
      </c>
      <c r="M845" t="s">
        <v>61</v>
      </c>
      <c r="N845" t="s">
        <v>34</v>
      </c>
      <c r="O845">
        <v>6</v>
      </c>
      <c r="P845" t="s">
        <v>58</v>
      </c>
      <c r="Q845" t="s">
        <v>26</v>
      </c>
      <c r="R845" s="1">
        <v>0.1</v>
      </c>
      <c r="S845">
        <f t="shared" si="52"/>
        <v>72</v>
      </c>
      <c r="T845">
        <f>IFERROR(VLOOKUP(A845,Table1[[Customer ID]:[Discount Amount]], 6, FALSE),"Not Found")</f>
        <v>80</v>
      </c>
      <c r="U845" t="str">
        <f t="shared" si="53"/>
        <v>PayPal</v>
      </c>
      <c r="V845" s="4" t="str">
        <f t="shared" si="54"/>
        <v>Normal</v>
      </c>
      <c r="W845" s="4" t="str">
        <f t="shared" si="55"/>
        <v>Good</v>
      </c>
      <c r="X845" s="4">
        <f>AVERAGE(Table1[Purchase Amount])</f>
        <v>129.48419400000012</v>
      </c>
    </row>
    <row r="846" spans="1:24" ht="15" customHeight="1" x14ac:dyDescent="0.25">
      <c r="A846">
        <v>845</v>
      </c>
      <c r="B846">
        <v>59</v>
      </c>
      <c r="C846" t="s">
        <v>27</v>
      </c>
      <c r="D846" t="s">
        <v>121</v>
      </c>
      <c r="E846" t="s">
        <v>98</v>
      </c>
      <c r="F846" s="2">
        <v>48</v>
      </c>
      <c r="G846" t="s">
        <v>146</v>
      </c>
      <c r="H846" t="s">
        <v>45</v>
      </c>
      <c r="I846" t="s">
        <v>66</v>
      </c>
      <c r="J846" t="s">
        <v>22</v>
      </c>
      <c r="K846">
        <v>4.4000000000000004</v>
      </c>
      <c r="L846" t="s">
        <v>34</v>
      </c>
      <c r="M846" t="s">
        <v>61</v>
      </c>
      <c r="N846" t="s">
        <v>34</v>
      </c>
      <c r="O846">
        <v>44</v>
      </c>
      <c r="P846" t="s">
        <v>62</v>
      </c>
      <c r="Q846" t="s">
        <v>68</v>
      </c>
      <c r="R846" s="1">
        <v>0.1</v>
      </c>
      <c r="S846">
        <f t="shared" si="52"/>
        <v>43.2</v>
      </c>
      <c r="T846">
        <f>IFERROR(VLOOKUP(A846,Table1[[Customer ID]:[Discount Amount]], 6, FALSE),"Not Found")</f>
        <v>48</v>
      </c>
      <c r="U846" t="str">
        <f t="shared" si="53"/>
        <v>Venmo</v>
      </c>
      <c r="V846" s="4" t="str">
        <f t="shared" si="54"/>
        <v>Normal</v>
      </c>
      <c r="W846" s="4" t="str">
        <f t="shared" si="55"/>
        <v>Good</v>
      </c>
      <c r="X846" s="4">
        <f>AVERAGE(Table1[Purchase Amount])</f>
        <v>129.48419400000012</v>
      </c>
    </row>
    <row r="847" spans="1:24" ht="15" customHeight="1" x14ac:dyDescent="0.25">
      <c r="A847">
        <v>846</v>
      </c>
      <c r="B847">
        <v>31</v>
      </c>
      <c r="C847" t="s">
        <v>27</v>
      </c>
      <c r="D847" t="s">
        <v>114</v>
      </c>
      <c r="E847" t="s">
        <v>29</v>
      </c>
      <c r="F847" s="2">
        <v>21</v>
      </c>
      <c r="G847" t="s">
        <v>113</v>
      </c>
      <c r="H847" t="s">
        <v>20</v>
      </c>
      <c r="I847" t="s">
        <v>103</v>
      </c>
      <c r="J847" t="s">
        <v>22</v>
      </c>
      <c r="K847">
        <v>3.7</v>
      </c>
      <c r="L847" t="s">
        <v>34</v>
      </c>
      <c r="M847" t="s">
        <v>24</v>
      </c>
      <c r="N847" t="s">
        <v>34</v>
      </c>
      <c r="O847">
        <v>30</v>
      </c>
      <c r="P847" t="s">
        <v>62</v>
      </c>
      <c r="Q847" t="s">
        <v>42</v>
      </c>
      <c r="R847" s="1">
        <v>0.1</v>
      </c>
      <c r="S847">
        <f t="shared" si="52"/>
        <v>18.899999999999999</v>
      </c>
      <c r="T847">
        <f>IFERROR(VLOOKUP(A847,Table1[[Customer ID]:[Discount Amount]], 6, FALSE),"Not Found")</f>
        <v>21</v>
      </c>
      <c r="U847" t="str">
        <f t="shared" si="53"/>
        <v>Venmo</v>
      </c>
      <c r="V847" s="4" t="str">
        <f t="shared" si="54"/>
        <v>Normal</v>
      </c>
      <c r="W847" s="4" t="str">
        <f t="shared" si="55"/>
        <v>Good</v>
      </c>
      <c r="X847" s="4">
        <f>AVERAGE(Table1[Purchase Amount])</f>
        <v>129.48419400000012</v>
      </c>
    </row>
    <row r="848" spans="1:24" ht="15" customHeight="1" x14ac:dyDescent="0.25">
      <c r="A848">
        <v>847</v>
      </c>
      <c r="B848">
        <v>49</v>
      </c>
      <c r="C848" t="s">
        <v>27</v>
      </c>
      <c r="D848" t="s">
        <v>151</v>
      </c>
      <c r="E848" t="s">
        <v>98</v>
      </c>
      <c r="F848" s="2">
        <v>72</v>
      </c>
      <c r="G848" t="s">
        <v>70</v>
      </c>
      <c r="H848" t="s">
        <v>31</v>
      </c>
      <c r="I848" t="s">
        <v>136</v>
      </c>
      <c r="J848" t="s">
        <v>33</v>
      </c>
      <c r="K848">
        <v>3.7</v>
      </c>
      <c r="L848" t="s">
        <v>34</v>
      </c>
      <c r="M848" t="s">
        <v>61</v>
      </c>
      <c r="N848" t="s">
        <v>34</v>
      </c>
      <c r="O848">
        <v>42</v>
      </c>
      <c r="P848" t="s">
        <v>36</v>
      </c>
      <c r="Q848" t="s">
        <v>37</v>
      </c>
      <c r="R848" s="1">
        <v>0.1</v>
      </c>
      <c r="S848">
        <f t="shared" si="52"/>
        <v>64.8</v>
      </c>
      <c r="T848">
        <f>IFERROR(VLOOKUP(A848,Table1[[Customer ID]:[Discount Amount]], 6, FALSE),"Not Found")</f>
        <v>72</v>
      </c>
      <c r="U848" t="str">
        <f t="shared" si="53"/>
        <v>Debit Card</v>
      </c>
      <c r="V848" s="4" t="str">
        <f t="shared" si="54"/>
        <v>Normal</v>
      </c>
      <c r="W848" s="4" t="str">
        <f t="shared" si="55"/>
        <v>Good</v>
      </c>
      <c r="X848" s="4">
        <f>AVERAGE(Table1[Purchase Amount])</f>
        <v>129.48419400000012</v>
      </c>
    </row>
    <row r="849" spans="1:24" ht="15" customHeight="1" x14ac:dyDescent="0.25">
      <c r="A849">
        <v>848</v>
      </c>
      <c r="B849">
        <v>53</v>
      </c>
      <c r="C849" t="s">
        <v>27</v>
      </c>
      <c r="D849" t="s">
        <v>83</v>
      </c>
      <c r="E849" t="s">
        <v>18</v>
      </c>
      <c r="F849" s="2">
        <v>44</v>
      </c>
      <c r="G849" t="s">
        <v>131</v>
      </c>
      <c r="H849" t="s">
        <v>45</v>
      </c>
      <c r="I849" t="s">
        <v>74</v>
      </c>
      <c r="J849" t="s">
        <v>47</v>
      </c>
      <c r="K849">
        <v>4.0999999999999996</v>
      </c>
      <c r="L849" t="s">
        <v>34</v>
      </c>
      <c r="M849" t="s">
        <v>24</v>
      </c>
      <c r="N849" t="s">
        <v>34</v>
      </c>
      <c r="O849">
        <v>30</v>
      </c>
      <c r="P849" t="s">
        <v>58</v>
      </c>
      <c r="Q849" t="s">
        <v>42</v>
      </c>
      <c r="R849" s="1">
        <v>0.1</v>
      </c>
      <c r="S849">
        <f t="shared" si="52"/>
        <v>39.6</v>
      </c>
      <c r="T849">
        <f>IFERROR(VLOOKUP(A849,Table1[[Customer ID]:[Discount Amount]], 6, FALSE),"Not Found")</f>
        <v>44</v>
      </c>
      <c r="U849" t="str">
        <f t="shared" si="53"/>
        <v>PayPal</v>
      </c>
      <c r="V849" s="4" t="str">
        <f t="shared" si="54"/>
        <v>Normal</v>
      </c>
      <c r="W849" s="4" t="str">
        <f t="shared" si="55"/>
        <v>Good</v>
      </c>
      <c r="X849" s="4">
        <f>AVERAGE(Table1[Purchase Amount])</f>
        <v>129.48419400000012</v>
      </c>
    </row>
    <row r="850" spans="1:24" ht="15" customHeight="1" x14ac:dyDescent="0.25">
      <c r="A850">
        <v>849</v>
      </c>
      <c r="B850">
        <v>48</v>
      </c>
      <c r="C850" t="s">
        <v>27</v>
      </c>
      <c r="D850" t="s">
        <v>121</v>
      </c>
      <c r="E850" t="s">
        <v>98</v>
      </c>
      <c r="F850" s="2">
        <v>73</v>
      </c>
      <c r="G850" t="s">
        <v>143</v>
      </c>
      <c r="H850" t="s">
        <v>31</v>
      </c>
      <c r="I850" t="s">
        <v>107</v>
      </c>
      <c r="J850" t="s">
        <v>47</v>
      </c>
      <c r="K850">
        <v>3.6</v>
      </c>
      <c r="L850" t="s">
        <v>34</v>
      </c>
      <c r="M850" t="s">
        <v>48</v>
      </c>
      <c r="N850" t="s">
        <v>34</v>
      </c>
      <c r="O850">
        <v>33</v>
      </c>
      <c r="P850" t="s">
        <v>53</v>
      </c>
      <c r="Q850" t="s">
        <v>68</v>
      </c>
      <c r="R850" s="1">
        <v>0.1</v>
      </c>
      <c r="S850">
        <f t="shared" si="52"/>
        <v>65.7</v>
      </c>
      <c r="T850">
        <f>IFERROR(VLOOKUP(A850,Table1[[Customer ID]:[Discount Amount]], 6, FALSE),"Not Found")</f>
        <v>73</v>
      </c>
      <c r="U850" t="str">
        <f t="shared" si="53"/>
        <v>Credit Card</v>
      </c>
      <c r="V850" s="4" t="str">
        <f t="shared" si="54"/>
        <v>Normal</v>
      </c>
      <c r="W850" s="4" t="str">
        <f t="shared" si="55"/>
        <v>Good</v>
      </c>
      <c r="X850" s="4">
        <f>AVERAGE(Table1[Purchase Amount])</f>
        <v>129.48419400000012</v>
      </c>
    </row>
    <row r="851" spans="1:24" ht="15" customHeight="1" x14ac:dyDescent="0.25">
      <c r="A851">
        <v>850</v>
      </c>
      <c r="B851">
        <v>23</v>
      </c>
      <c r="C851" t="s">
        <v>27</v>
      </c>
      <c r="D851" t="s">
        <v>109</v>
      </c>
      <c r="E851" t="s">
        <v>18</v>
      </c>
      <c r="F851" s="2">
        <v>61</v>
      </c>
      <c r="G851" t="s">
        <v>146</v>
      </c>
      <c r="H851" t="s">
        <v>55</v>
      </c>
      <c r="I851" t="s">
        <v>103</v>
      </c>
      <c r="J851" t="s">
        <v>33</v>
      </c>
      <c r="K851">
        <v>4.3</v>
      </c>
      <c r="L851" t="s">
        <v>34</v>
      </c>
      <c r="M851" t="s">
        <v>61</v>
      </c>
      <c r="N851" t="s">
        <v>34</v>
      </c>
      <c r="O851">
        <v>24</v>
      </c>
      <c r="P851" t="s">
        <v>58</v>
      </c>
      <c r="Q851" t="s">
        <v>37</v>
      </c>
      <c r="R851" s="1">
        <v>0.1</v>
      </c>
      <c r="S851">
        <f t="shared" si="52"/>
        <v>54.9</v>
      </c>
      <c r="T851">
        <f>IFERROR(VLOOKUP(A851,Table1[[Customer ID]:[Discount Amount]], 6, FALSE),"Not Found")</f>
        <v>61</v>
      </c>
      <c r="U851" t="str">
        <f t="shared" si="53"/>
        <v>PayPal</v>
      </c>
      <c r="V851" s="4" t="str">
        <f t="shared" si="54"/>
        <v>Normal</v>
      </c>
      <c r="W851" s="4" t="str">
        <f t="shared" si="55"/>
        <v>Good</v>
      </c>
      <c r="X851" s="4">
        <f>AVERAGE(Table1[Purchase Amount])</f>
        <v>129.48419400000012</v>
      </c>
    </row>
    <row r="852" spans="1:24" ht="15" customHeight="1" x14ac:dyDescent="0.25">
      <c r="A852">
        <v>851</v>
      </c>
      <c r="B852">
        <v>68</v>
      </c>
      <c r="C852" t="s">
        <v>27</v>
      </c>
      <c r="D852" t="s">
        <v>72</v>
      </c>
      <c r="E852" t="s">
        <v>98</v>
      </c>
      <c r="F852" s="2">
        <v>20</v>
      </c>
      <c r="G852" t="s">
        <v>115</v>
      </c>
      <c r="H852" t="s">
        <v>45</v>
      </c>
      <c r="I852" t="s">
        <v>156</v>
      </c>
      <c r="J852" t="s">
        <v>22</v>
      </c>
      <c r="K852">
        <v>2.6</v>
      </c>
      <c r="L852" t="s">
        <v>34</v>
      </c>
      <c r="M852" t="s">
        <v>48</v>
      </c>
      <c r="N852" t="s">
        <v>34</v>
      </c>
      <c r="O852">
        <v>13</v>
      </c>
      <c r="P852" t="s">
        <v>62</v>
      </c>
      <c r="Q852" t="s">
        <v>42</v>
      </c>
      <c r="R852" s="1">
        <v>0.1</v>
      </c>
      <c r="S852">
        <f t="shared" si="52"/>
        <v>18</v>
      </c>
      <c r="T852">
        <f>IFERROR(VLOOKUP(A852,Table1[[Customer ID]:[Discount Amount]], 6, FALSE),"Not Found")</f>
        <v>20</v>
      </c>
      <c r="U852" t="str">
        <f t="shared" si="53"/>
        <v>Venmo</v>
      </c>
      <c r="V852" s="4" t="str">
        <f t="shared" si="54"/>
        <v>Normal</v>
      </c>
      <c r="W852" s="4" t="str">
        <f t="shared" si="55"/>
        <v>Poor</v>
      </c>
      <c r="X852" s="4">
        <f>AVERAGE(Table1[Purchase Amount])</f>
        <v>129.48419400000012</v>
      </c>
    </row>
    <row r="853" spans="1:24" ht="15" customHeight="1" x14ac:dyDescent="0.25">
      <c r="A853">
        <v>852</v>
      </c>
      <c r="B853">
        <v>35</v>
      </c>
      <c r="C853" t="s">
        <v>27</v>
      </c>
      <c r="D853" t="s">
        <v>121</v>
      </c>
      <c r="E853" t="s">
        <v>98</v>
      </c>
      <c r="F853" s="2">
        <v>86</v>
      </c>
      <c r="G853" t="s">
        <v>97</v>
      </c>
      <c r="H853" t="s">
        <v>31</v>
      </c>
      <c r="I853" t="s">
        <v>46</v>
      </c>
      <c r="J853" t="s">
        <v>57</v>
      </c>
      <c r="K853">
        <v>2.9</v>
      </c>
      <c r="L853" t="s">
        <v>34</v>
      </c>
      <c r="M853" t="s">
        <v>61</v>
      </c>
      <c r="N853" t="s">
        <v>34</v>
      </c>
      <c r="O853">
        <v>19</v>
      </c>
      <c r="P853" t="s">
        <v>36</v>
      </c>
      <c r="Q853" t="s">
        <v>42</v>
      </c>
      <c r="R853" s="1">
        <v>0.1</v>
      </c>
      <c r="S853">
        <f t="shared" si="52"/>
        <v>77.400000000000006</v>
      </c>
      <c r="T853">
        <f>IFERROR(VLOOKUP(A853,Table1[[Customer ID]:[Discount Amount]], 6, FALSE),"Not Found")</f>
        <v>86</v>
      </c>
      <c r="U853" t="str">
        <f t="shared" si="53"/>
        <v>Debit Card</v>
      </c>
      <c r="V853" s="4" t="str">
        <f t="shared" si="54"/>
        <v>Normal</v>
      </c>
      <c r="W853" s="4" t="str">
        <f t="shared" si="55"/>
        <v>Poor</v>
      </c>
      <c r="X853" s="4">
        <f>AVERAGE(Table1[Purchase Amount])</f>
        <v>129.48419400000012</v>
      </c>
    </row>
    <row r="854" spans="1:24" ht="15" customHeight="1" x14ac:dyDescent="0.25">
      <c r="A854">
        <v>853</v>
      </c>
      <c r="B854">
        <v>34</v>
      </c>
      <c r="C854" t="s">
        <v>27</v>
      </c>
      <c r="D854" t="s">
        <v>157</v>
      </c>
      <c r="E854" t="s">
        <v>18</v>
      </c>
      <c r="F854" s="2">
        <v>60</v>
      </c>
      <c r="G854" t="s">
        <v>67</v>
      </c>
      <c r="H854" t="s">
        <v>45</v>
      </c>
      <c r="I854" t="s">
        <v>52</v>
      </c>
      <c r="J854" t="s">
        <v>33</v>
      </c>
      <c r="K854">
        <v>4.2</v>
      </c>
      <c r="L854" t="s">
        <v>34</v>
      </c>
      <c r="M854" t="s">
        <v>79</v>
      </c>
      <c r="N854" t="s">
        <v>34</v>
      </c>
      <c r="O854">
        <v>23</v>
      </c>
      <c r="P854" t="s">
        <v>36</v>
      </c>
      <c r="Q854" t="s">
        <v>63</v>
      </c>
      <c r="R854" s="1">
        <v>0.1</v>
      </c>
      <c r="S854">
        <f t="shared" si="52"/>
        <v>54</v>
      </c>
      <c r="T854">
        <f>IFERROR(VLOOKUP(A854,Table1[[Customer ID]:[Discount Amount]], 6, FALSE),"Not Found")</f>
        <v>60</v>
      </c>
      <c r="U854" t="str">
        <f t="shared" si="53"/>
        <v>Debit Card</v>
      </c>
      <c r="V854" s="4" t="str">
        <f t="shared" si="54"/>
        <v>Normal</v>
      </c>
      <c r="W854" s="4" t="str">
        <f t="shared" si="55"/>
        <v>Good</v>
      </c>
      <c r="X854" s="4">
        <f>AVERAGE(Table1[Purchase Amount])</f>
        <v>129.48419400000012</v>
      </c>
    </row>
    <row r="855" spans="1:24" ht="15" customHeight="1" x14ac:dyDescent="0.25">
      <c r="A855">
        <v>854</v>
      </c>
      <c r="B855">
        <v>62</v>
      </c>
      <c r="C855" t="s">
        <v>27</v>
      </c>
      <c r="D855" t="s">
        <v>64</v>
      </c>
      <c r="E855" t="s">
        <v>29</v>
      </c>
      <c r="F855" s="2">
        <v>43</v>
      </c>
      <c r="G855" t="s">
        <v>143</v>
      </c>
      <c r="H855" t="s">
        <v>45</v>
      </c>
      <c r="I855" t="s">
        <v>108</v>
      </c>
      <c r="J855" t="s">
        <v>22</v>
      </c>
      <c r="K855">
        <v>4</v>
      </c>
      <c r="L855" t="s">
        <v>34</v>
      </c>
      <c r="M855" t="s">
        <v>35</v>
      </c>
      <c r="N855" t="s">
        <v>34</v>
      </c>
      <c r="O855">
        <v>35</v>
      </c>
      <c r="P855" t="s">
        <v>25</v>
      </c>
      <c r="Q855" t="s">
        <v>42</v>
      </c>
      <c r="R855" s="1">
        <v>0.1</v>
      </c>
      <c r="S855">
        <f t="shared" si="52"/>
        <v>38.700000000000003</v>
      </c>
      <c r="T855">
        <f>IFERROR(VLOOKUP(A855,Table1[[Customer ID]:[Discount Amount]], 6, FALSE),"Not Found")</f>
        <v>43</v>
      </c>
      <c r="U855" t="str">
        <f t="shared" si="53"/>
        <v>Cash</v>
      </c>
      <c r="V855" s="4" t="str">
        <f t="shared" si="54"/>
        <v>Normal</v>
      </c>
      <c r="W855" s="4" t="str">
        <f t="shared" si="55"/>
        <v>Good</v>
      </c>
      <c r="X855" s="4">
        <f>AVERAGE(Table1[Purchase Amount])</f>
        <v>129.48419400000012</v>
      </c>
    </row>
    <row r="856" spans="1:24" ht="15" customHeight="1" x14ac:dyDescent="0.25">
      <c r="A856">
        <v>855</v>
      </c>
      <c r="B856">
        <v>21</v>
      </c>
      <c r="C856" t="s">
        <v>27</v>
      </c>
      <c r="D856" t="s">
        <v>99</v>
      </c>
      <c r="E856" t="s">
        <v>18</v>
      </c>
      <c r="F856" s="2">
        <v>44</v>
      </c>
      <c r="G856" t="s">
        <v>19</v>
      </c>
      <c r="H856" t="s">
        <v>45</v>
      </c>
      <c r="I856" t="s">
        <v>74</v>
      </c>
      <c r="J856" t="s">
        <v>33</v>
      </c>
      <c r="K856">
        <v>4.3</v>
      </c>
      <c r="L856" t="s">
        <v>34</v>
      </c>
      <c r="M856" t="s">
        <v>35</v>
      </c>
      <c r="N856" t="s">
        <v>34</v>
      </c>
      <c r="O856">
        <v>22</v>
      </c>
      <c r="P856" t="s">
        <v>62</v>
      </c>
      <c r="Q856" t="s">
        <v>42</v>
      </c>
      <c r="R856" s="1">
        <v>0.1</v>
      </c>
      <c r="S856">
        <f t="shared" si="52"/>
        <v>39.6</v>
      </c>
      <c r="T856">
        <f>IFERROR(VLOOKUP(A856,Table1[[Customer ID]:[Discount Amount]], 6, FALSE),"Not Found")</f>
        <v>44</v>
      </c>
      <c r="U856" t="str">
        <f t="shared" si="53"/>
        <v>Venmo</v>
      </c>
      <c r="V856" s="4" t="str">
        <f t="shared" si="54"/>
        <v>Normal</v>
      </c>
      <c r="W856" s="4" t="str">
        <f t="shared" si="55"/>
        <v>Good</v>
      </c>
      <c r="X856" s="4">
        <f>AVERAGE(Table1[Purchase Amount])</f>
        <v>129.48419400000012</v>
      </c>
    </row>
    <row r="857" spans="1:24" ht="15" customHeight="1" x14ac:dyDescent="0.25">
      <c r="A857">
        <v>856</v>
      </c>
      <c r="B857">
        <v>70</v>
      </c>
      <c r="C857" t="s">
        <v>27</v>
      </c>
      <c r="D857" t="s">
        <v>105</v>
      </c>
      <c r="E857" t="s">
        <v>18</v>
      </c>
      <c r="F857" s="2">
        <v>76</v>
      </c>
      <c r="G857" t="s">
        <v>123</v>
      </c>
      <c r="H857" t="s">
        <v>45</v>
      </c>
      <c r="I857" t="s">
        <v>133</v>
      </c>
      <c r="J857" t="s">
        <v>33</v>
      </c>
      <c r="K857">
        <v>3</v>
      </c>
      <c r="L857" t="s">
        <v>34</v>
      </c>
      <c r="M857" t="s">
        <v>41</v>
      </c>
      <c r="N857" t="s">
        <v>34</v>
      </c>
      <c r="O857">
        <v>14</v>
      </c>
      <c r="P857" t="s">
        <v>53</v>
      </c>
      <c r="Q857" t="s">
        <v>37</v>
      </c>
      <c r="R857" s="1">
        <v>0.1</v>
      </c>
      <c r="S857">
        <f t="shared" si="52"/>
        <v>68.400000000000006</v>
      </c>
      <c r="T857">
        <f>IFERROR(VLOOKUP(A857,Table1[[Customer ID]:[Discount Amount]], 6, FALSE),"Not Found")</f>
        <v>76</v>
      </c>
      <c r="U857" t="str">
        <f t="shared" si="53"/>
        <v>Credit Card</v>
      </c>
      <c r="V857" s="4" t="str">
        <f t="shared" si="54"/>
        <v>Normal</v>
      </c>
      <c r="W857" s="4" t="str">
        <f t="shared" si="55"/>
        <v>Good</v>
      </c>
      <c r="X857" s="4">
        <f>AVERAGE(Table1[Purchase Amount])</f>
        <v>129.48419400000012</v>
      </c>
    </row>
    <row r="858" spans="1:24" ht="15" customHeight="1" x14ac:dyDescent="0.25">
      <c r="A858">
        <v>857</v>
      </c>
      <c r="B858">
        <v>55</v>
      </c>
      <c r="C858" t="s">
        <v>27</v>
      </c>
      <c r="D858" t="s">
        <v>38</v>
      </c>
      <c r="E858" t="s">
        <v>18</v>
      </c>
      <c r="F858" s="2">
        <v>33</v>
      </c>
      <c r="G858" t="s">
        <v>148</v>
      </c>
      <c r="H858" t="s">
        <v>31</v>
      </c>
      <c r="I858" t="s">
        <v>133</v>
      </c>
      <c r="J858" t="s">
        <v>57</v>
      </c>
      <c r="K858">
        <v>3.5</v>
      </c>
      <c r="L858" t="s">
        <v>34</v>
      </c>
      <c r="M858" t="s">
        <v>61</v>
      </c>
      <c r="N858" t="s">
        <v>34</v>
      </c>
      <c r="O858">
        <v>47</v>
      </c>
      <c r="P858" t="s">
        <v>36</v>
      </c>
      <c r="Q858" t="s">
        <v>89</v>
      </c>
      <c r="R858" s="1">
        <v>0.1</v>
      </c>
      <c r="S858">
        <f t="shared" si="52"/>
        <v>29.7</v>
      </c>
      <c r="T858">
        <f>IFERROR(VLOOKUP(A858,Table1[[Customer ID]:[Discount Amount]], 6, FALSE),"Not Found")</f>
        <v>33</v>
      </c>
      <c r="U858" t="str">
        <f t="shared" si="53"/>
        <v>Debit Card</v>
      </c>
      <c r="V858" s="4" t="str">
        <f t="shared" si="54"/>
        <v>Normal</v>
      </c>
      <c r="W858" s="4" t="str">
        <f t="shared" si="55"/>
        <v>Good</v>
      </c>
      <c r="X858" s="4">
        <f>AVERAGE(Table1[Purchase Amount])</f>
        <v>129.48419400000012</v>
      </c>
    </row>
    <row r="859" spans="1:24" ht="15" customHeight="1" x14ac:dyDescent="0.25">
      <c r="A859">
        <v>858</v>
      </c>
      <c r="B859">
        <v>43</v>
      </c>
      <c r="C859" t="s">
        <v>27</v>
      </c>
      <c r="D859" t="s">
        <v>54</v>
      </c>
      <c r="E859" t="s">
        <v>18</v>
      </c>
      <c r="F859" s="2">
        <v>60</v>
      </c>
      <c r="G859" t="s">
        <v>146</v>
      </c>
      <c r="H859" t="s">
        <v>45</v>
      </c>
      <c r="I859" t="s">
        <v>128</v>
      </c>
      <c r="J859" t="s">
        <v>47</v>
      </c>
      <c r="K859">
        <v>3</v>
      </c>
      <c r="L859" t="s">
        <v>34</v>
      </c>
      <c r="M859" t="s">
        <v>24</v>
      </c>
      <c r="N859" t="s">
        <v>34</v>
      </c>
      <c r="O859">
        <v>50</v>
      </c>
      <c r="P859" t="s">
        <v>36</v>
      </c>
      <c r="Q859" t="s">
        <v>63</v>
      </c>
      <c r="R859" s="1">
        <v>0.1</v>
      </c>
      <c r="S859">
        <f t="shared" si="52"/>
        <v>54</v>
      </c>
      <c r="T859">
        <f>IFERROR(VLOOKUP(A859,Table1[[Customer ID]:[Discount Amount]], 6, FALSE),"Not Found")</f>
        <v>60</v>
      </c>
      <c r="U859" t="str">
        <f t="shared" si="53"/>
        <v>Debit Card</v>
      </c>
      <c r="V859" s="4" t="str">
        <f t="shared" si="54"/>
        <v>Normal</v>
      </c>
      <c r="W859" s="4" t="str">
        <f t="shared" si="55"/>
        <v>Good</v>
      </c>
      <c r="X859" s="4">
        <f>AVERAGE(Table1[Purchase Amount])</f>
        <v>129.48419400000012</v>
      </c>
    </row>
    <row r="860" spans="1:24" ht="15" customHeight="1" x14ac:dyDescent="0.25">
      <c r="A860">
        <v>859</v>
      </c>
      <c r="B860">
        <v>19</v>
      </c>
      <c r="C860" t="s">
        <v>27</v>
      </c>
      <c r="D860" t="s">
        <v>96</v>
      </c>
      <c r="E860" t="s">
        <v>77</v>
      </c>
      <c r="F860" s="2">
        <v>26</v>
      </c>
      <c r="G860" t="s">
        <v>142</v>
      </c>
      <c r="H860" t="s">
        <v>45</v>
      </c>
      <c r="I860" t="s">
        <v>21</v>
      </c>
      <c r="J860" t="s">
        <v>47</v>
      </c>
      <c r="K860">
        <v>3.1</v>
      </c>
      <c r="L860" t="s">
        <v>34</v>
      </c>
      <c r="M860" t="s">
        <v>35</v>
      </c>
      <c r="N860" t="s">
        <v>34</v>
      </c>
      <c r="O860">
        <v>33</v>
      </c>
      <c r="P860" t="s">
        <v>58</v>
      </c>
      <c r="Q860" t="s">
        <v>26</v>
      </c>
      <c r="R860" s="1">
        <v>0.1</v>
      </c>
      <c r="S860">
        <f t="shared" si="52"/>
        <v>23.4</v>
      </c>
      <c r="T860">
        <f>IFERROR(VLOOKUP(A860,Table1[[Customer ID]:[Discount Amount]], 6, FALSE),"Not Found")</f>
        <v>26</v>
      </c>
      <c r="U860" t="str">
        <f t="shared" si="53"/>
        <v>PayPal</v>
      </c>
      <c r="V860" s="4" t="str">
        <f t="shared" si="54"/>
        <v>Normal</v>
      </c>
      <c r="W860" s="4" t="str">
        <f t="shared" si="55"/>
        <v>Good</v>
      </c>
      <c r="X860" s="4">
        <f>AVERAGE(Table1[Purchase Amount])</f>
        <v>129.48419400000012</v>
      </c>
    </row>
    <row r="861" spans="1:24" ht="15" customHeight="1" x14ac:dyDescent="0.25">
      <c r="A861">
        <v>860</v>
      </c>
      <c r="B861">
        <v>47</v>
      </c>
      <c r="C861" t="s">
        <v>27</v>
      </c>
      <c r="D861" t="s">
        <v>83</v>
      </c>
      <c r="E861" t="s">
        <v>18</v>
      </c>
      <c r="F861" s="2">
        <v>73</v>
      </c>
      <c r="G861" t="s">
        <v>59</v>
      </c>
      <c r="H861" t="s">
        <v>31</v>
      </c>
      <c r="I861" t="s">
        <v>147</v>
      </c>
      <c r="J861" t="s">
        <v>22</v>
      </c>
      <c r="K861">
        <v>4</v>
      </c>
      <c r="L861" t="s">
        <v>34</v>
      </c>
      <c r="M861" t="s">
        <v>79</v>
      </c>
      <c r="N861" t="s">
        <v>34</v>
      </c>
      <c r="O861">
        <v>7</v>
      </c>
      <c r="P861" t="s">
        <v>36</v>
      </c>
      <c r="Q861" t="s">
        <v>42</v>
      </c>
      <c r="R861" s="1">
        <v>0.1</v>
      </c>
      <c r="S861">
        <f t="shared" si="52"/>
        <v>65.7</v>
      </c>
      <c r="T861">
        <f>IFERROR(VLOOKUP(A861,Table1[[Customer ID]:[Discount Amount]], 6, FALSE),"Not Found")</f>
        <v>73</v>
      </c>
      <c r="U861" t="str">
        <f t="shared" si="53"/>
        <v>Debit Card</v>
      </c>
      <c r="V861" s="4" t="str">
        <f t="shared" si="54"/>
        <v>Normal</v>
      </c>
      <c r="W861" s="4" t="str">
        <f t="shared" si="55"/>
        <v>Good</v>
      </c>
      <c r="X861" s="4">
        <f>AVERAGE(Table1[Purchase Amount])</f>
        <v>129.48419400000012</v>
      </c>
    </row>
    <row r="862" spans="1:24" ht="15" customHeight="1" x14ac:dyDescent="0.25">
      <c r="A862">
        <v>861</v>
      </c>
      <c r="B862">
        <v>26</v>
      </c>
      <c r="C862" t="s">
        <v>27</v>
      </c>
      <c r="D862" t="s">
        <v>72</v>
      </c>
      <c r="E862" t="s">
        <v>98</v>
      </c>
      <c r="F862" s="2">
        <v>87</v>
      </c>
      <c r="G862" t="s">
        <v>30</v>
      </c>
      <c r="H862" t="s">
        <v>31</v>
      </c>
      <c r="I862" t="s">
        <v>125</v>
      </c>
      <c r="J862" t="s">
        <v>33</v>
      </c>
      <c r="K862">
        <v>4.0999999999999996</v>
      </c>
      <c r="L862" t="s">
        <v>34</v>
      </c>
      <c r="M862" t="s">
        <v>24</v>
      </c>
      <c r="N862" t="s">
        <v>34</v>
      </c>
      <c r="O862">
        <v>3</v>
      </c>
      <c r="P862" t="s">
        <v>25</v>
      </c>
      <c r="Q862" t="s">
        <v>42</v>
      </c>
      <c r="R862" s="1">
        <v>0.1</v>
      </c>
      <c r="S862">
        <f t="shared" si="52"/>
        <v>78.3</v>
      </c>
      <c r="T862">
        <f>IFERROR(VLOOKUP(A862,Table1[[Customer ID]:[Discount Amount]], 6, FALSE),"Not Found")</f>
        <v>87</v>
      </c>
      <c r="U862" t="str">
        <f t="shared" si="53"/>
        <v>Cash</v>
      </c>
      <c r="V862" s="4" t="str">
        <f t="shared" si="54"/>
        <v>Normal</v>
      </c>
      <c r="W862" s="4" t="str">
        <f t="shared" si="55"/>
        <v>Good</v>
      </c>
      <c r="X862" s="4">
        <f>AVERAGE(Table1[Purchase Amount])</f>
        <v>129.48419400000012</v>
      </c>
    </row>
    <row r="863" spans="1:24" ht="15" customHeight="1" x14ac:dyDescent="0.25">
      <c r="A863">
        <v>862</v>
      </c>
      <c r="B863">
        <v>46</v>
      </c>
      <c r="C863" t="s">
        <v>27</v>
      </c>
      <c r="D863" t="s">
        <v>122</v>
      </c>
      <c r="E863" t="s">
        <v>18</v>
      </c>
      <c r="F863" s="2">
        <v>100</v>
      </c>
      <c r="G863" t="s">
        <v>138</v>
      </c>
      <c r="H863" t="s">
        <v>20</v>
      </c>
      <c r="I863" t="s">
        <v>93</v>
      </c>
      <c r="J863" t="s">
        <v>33</v>
      </c>
      <c r="K863">
        <v>1</v>
      </c>
      <c r="L863" t="s">
        <v>34</v>
      </c>
      <c r="M863" t="s">
        <v>41</v>
      </c>
      <c r="N863" t="s">
        <v>34</v>
      </c>
      <c r="O863">
        <v>35</v>
      </c>
      <c r="P863" t="s">
        <v>53</v>
      </c>
      <c r="Q863" t="s">
        <v>63</v>
      </c>
      <c r="R863" s="1">
        <v>0.1</v>
      </c>
      <c r="S863">
        <f t="shared" si="52"/>
        <v>90</v>
      </c>
      <c r="T863">
        <f>IFERROR(VLOOKUP(A863,Table1[[Customer ID]:[Discount Amount]], 6, FALSE),"Not Found")</f>
        <v>100</v>
      </c>
      <c r="U863" t="str">
        <f t="shared" si="53"/>
        <v>Credit Card</v>
      </c>
      <c r="V863" s="4" t="str">
        <f t="shared" si="54"/>
        <v>Normal</v>
      </c>
      <c r="W863" s="4" t="str">
        <f t="shared" si="55"/>
        <v>Poor</v>
      </c>
      <c r="X863" s="4">
        <f>AVERAGE(Table1[Purchase Amount])</f>
        <v>129.48419400000012</v>
      </c>
    </row>
    <row r="864" spans="1:24" ht="15" customHeight="1" x14ac:dyDescent="0.25">
      <c r="A864">
        <v>863</v>
      </c>
      <c r="B864">
        <v>19</v>
      </c>
      <c r="C864" t="s">
        <v>27</v>
      </c>
      <c r="D864" t="s">
        <v>76</v>
      </c>
      <c r="E864" t="s">
        <v>77</v>
      </c>
      <c r="F864" s="2">
        <v>84</v>
      </c>
      <c r="G864" t="s">
        <v>100</v>
      </c>
      <c r="H864" t="s">
        <v>31</v>
      </c>
      <c r="I864" t="s">
        <v>103</v>
      </c>
      <c r="J864" t="s">
        <v>22</v>
      </c>
      <c r="K864">
        <v>4.9000000000000004</v>
      </c>
      <c r="L864" t="s">
        <v>34</v>
      </c>
      <c r="M864" t="s">
        <v>24</v>
      </c>
      <c r="N864" t="s">
        <v>34</v>
      </c>
      <c r="O864">
        <v>13</v>
      </c>
      <c r="P864" t="s">
        <v>58</v>
      </c>
      <c r="Q864" t="s">
        <v>89</v>
      </c>
      <c r="R864" s="1">
        <v>0.1</v>
      </c>
      <c r="S864">
        <f t="shared" si="52"/>
        <v>75.599999999999994</v>
      </c>
      <c r="T864">
        <f>IFERROR(VLOOKUP(A864,Table1[[Customer ID]:[Discount Amount]], 6, FALSE),"Not Found")</f>
        <v>84</v>
      </c>
      <c r="U864" t="str">
        <f t="shared" si="53"/>
        <v>PayPal</v>
      </c>
      <c r="V864" s="4" t="str">
        <f t="shared" si="54"/>
        <v>Normal</v>
      </c>
      <c r="W864" s="4" t="str">
        <f t="shared" si="55"/>
        <v>Good</v>
      </c>
      <c r="X864" s="4">
        <f>AVERAGE(Table1[Purchase Amount])</f>
        <v>129.48419400000012</v>
      </c>
    </row>
    <row r="865" spans="1:24" ht="15" customHeight="1" x14ac:dyDescent="0.25">
      <c r="A865">
        <v>864</v>
      </c>
      <c r="B865">
        <v>49</v>
      </c>
      <c r="C865" t="s">
        <v>27</v>
      </c>
      <c r="D865" t="s">
        <v>140</v>
      </c>
      <c r="E865" t="s">
        <v>98</v>
      </c>
      <c r="F865" s="2">
        <v>41</v>
      </c>
      <c r="G865" t="s">
        <v>84</v>
      </c>
      <c r="H865" t="s">
        <v>31</v>
      </c>
      <c r="I865" t="s">
        <v>128</v>
      </c>
      <c r="J865" t="s">
        <v>57</v>
      </c>
      <c r="K865">
        <v>3.9</v>
      </c>
      <c r="L865" t="s">
        <v>34</v>
      </c>
      <c r="M865" t="s">
        <v>24</v>
      </c>
      <c r="N865" t="s">
        <v>34</v>
      </c>
      <c r="O865">
        <v>42</v>
      </c>
      <c r="P865" t="s">
        <v>58</v>
      </c>
      <c r="Q865" t="s">
        <v>89</v>
      </c>
      <c r="R865" s="1">
        <v>0.1</v>
      </c>
      <c r="S865">
        <f t="shared" si="52"/>
        <v>36.9</v>
      </c>
      <c r="T865">
        <f>IFERROR(VLOOKUP(A865,Table1[[Customer ID]:[Discount Amount]], 6, FALSE),"Not Found")</f>
        <v>41</v>
      </c>
      <c r="U865" t="str">
        <f t="shared" si="53"/>
        <v>PayPal</v>
      </c>
      <c r="V865" s="4" t="str">
        <f t="shared" si="54"/>
        <v>Normal</v>
      </c>
      <c r="W865" s="4" t="str">
        <f t="shared" si="55"/>
        <v>Good</v>
      </c>
      <c r="X865" s="4">
        <f>AVERAGE(Table1[Purchase Amount])</f>
        <v>129.48419400000012</v>
      </c>
    </row>
    <row r="866" spans="1:24" ht="15" customHeight="1" x14ac:dyDescent="0.25">
      <c r="A866">
        <v>865</v>
      </c>
      <c r="B866">
        <v>51</v>
      </c>
      <c r="C866" t="s">
        <v>27</v>
      </c>
      <c r="D866" t="s">
        <v>109</v>
      </c>
      <c r="E866" t="s">
        <v>18</v>
      </c>
      <c r="F866" s="2">
        <v>59</v>
      </c>
      <c r="G866" t="s">
        <v>70</v>
      </c>
      <c r="H866" t="s">
        <v>55</v>
      </c>
      <c r="I866" t="s">
        <v>103</v>
      </c>
      <c r="J866" t="s">
        <v>22</v>
      </c>
      <c r="K866">
        <v>3.9</v>
      </c>
      <c r="L866" t="s">
        <v>34</v>
      </c>
      <c r="M866" t="s">
        <v>79</v>
      </c>
      <c r="N866" t="s">
        <v>34</v>
      </c>
      <c r="O866">
        <v>5</v>
      </c>
      <c r="P866" t="s">
        <v>58</v>
      </c>
      <c r="Q866" t="s">
        <v>49</v>
      </c>
      <c r="R866" s="1">
        <v>0.1</v>
      </c>
      <c r="S866">
        <f t="shared" si="52"/>
        <v>53.1</v>
      </c>
      <c r="T866">
        <f>IFERROR(VLOOKUP(A866,Table1[[Customer ID]:[Discount Amount]], 6, FALSE),"Not Found")</f>
        <v>59</v>
      </c>
      <c r="U866" t="str">
        <f t="shared" si="53"/>
        <v>PayPal</v>
      </c>
      <c r="V866" s="4" t="str">
        <f t="shared" si="54"/>
        <v>Normal</v>
      </c>
      <c r="W866" s="4" t="str">
        <f t="shared" si="55"/>
        <v>Good</v>
      </c>
      <c r="X866" s="4">
        <f>AVERAGE(Table1[Purchase Amount])</f>
        <v>129.48419400000012</v>
      </c>
    </row>
    <row r="867" spans="1:24" ht="15" customHeight="1" x14ac:dyDescent="0.25">
      <c r="A867">
        <v>866</v>
      </c>
      <c r="B867">
        <v>64</v>
      </c>
      <c r="C867" t="s">
        <v>27</v>
      </c>
      <c r="D867" t="s">
        <v>118</v>
      </c>
      <c r="E867" t="s">
        <v>18</v>
      </c>
      <c r="F867" s="2">
        <v>26</v>
      </c>
      <c r="G867" t="s">
        <v>92</v>
      </c>
      <c r="H867" t="s">
        <v>45</v>
      </c>
      <c r="I867" t="s">
        <v>103</v>
      </c>
      <c r="J867" t="s">
        <v>22</v>
      </c>
      <c r="K867">
        <v>4.8</v>
      </c>
      <c r="L867" t="s">
        <v>34</v>
      </c>
      <c r="M867" t="s">
        <v>48</v>
      </c>
      <c r="N867" t="s">
        <v>34</v>
      </c>
      <c r="O867">
        <v>23</v>
      </c>
      <c r="P867" t="s">
        <v>62</v>
      </c>
      <c r="Q867" t="s">
        <v>49</v>
      </c>
      <c r="R867" s="1">
        <v>0.1</v>
      </c>
      <c r="S867">
        <f t="shared" si="52"/>
        <v>23.4</v>
      </c>
      <c r="T867">
        <f>IFERROR(VLOOKUP(A867,Table1[[Customer ID]:[Discount Amount]], 6, FALSE),"Not Found")</f>
        <v>26</v>
      </c>
      <c r="U867" t="str">
        <f t="shared" si="53"/>
        <v>Venmo</v>
      </c>
      <c r="V867" s="4" t="str">
        <f t="shared" si="54"/>
        <v>Normal</v>
      </c>
      <c r="W867" s="4" t="str">
        <f t="shared" si="55"/>
        <v>Good</v>
      </c>
      <c r="X867" s="4">
        <f>AVERAGE(Table1[Purchase Amount])</f>
        <v>129.48419400000012</v>
      </c>
    </row>
    <row r="868" spans="1:24" ht="15" customHeight="1" x14ac:dyDescent="0.25">
      <c r="A868">
        <v>867</v>
      </c>
      <c r="B868">
        <v>67</v>
      </c>
      <c r="C868" t="s">
        <v>27</v>
      </c>
      <c r="D868" t="s">
        <v>28</v>
      </c>
      <c r="E868" t="s">
        <v>29</v>
      </c>
      <c r="F868" s="2">
        <v>69</v>
      </c>
      <c r="G868" t="s">
        <v>110</v>
      </c>
      <c r="H868" t="s">
        <v>31</v>
      </c>
      <c r="I868" t="s">
        <v>107</v>
      </c>
      <c r="J868" t="s">
        <v>57</v>
      </c>
      <c r="K868">
        <v>2.7</v>
      </c>
      <c r="L868" t="s">
        <v>34</v>
      </c>
      <c r="M868" t="s">
        <v>35</v>
      </c>
      <c r="N868" t="s">
        <v>34</v>
      </c>
      <c r="O868">
        <v>11</v>
      </c>
      <c r="P868" t="s">
        <v>58</v>
      </c>
      <c r="Q868" t="s">
        <v>68</v>
      </c>
      <c r="R868" s="1">
        <v>0.1</v>
      </c>
      <c r="S868">
        <f t="shared" si="52"/>
        <v>62.1</v>
      </c>
      <c r="T868">
        <f>IFERROR(VLOOKUP(A868,Table1[[Customer ID]:[Discount Amount]], 6, FALSE),"Not Found")</f>
        <v>69</v>
      </c>
      <c r="U868" t="str">
        <f t="shared" si="53"/>
        <v>PayPal</v>
      </c>
      <c r="V868" s="4" t="str">
        <f t="shared" si="54"/>
        <v>Normal</v>
      </c>
      <c r="W868" s="4" t="str">
        <f t="shared" si="55"/>
        <v>Poor</v>
      </c>
      <c r="X868" s="4">
        <f>AVERAGE(Table1[Purchase Amount])</f>
        <v>129.48419400000012</v>
      </c>
    </row>
    <row r="869" spans="1:24" ht="15" customHeight="1" x14ac:dyDescent="0.25">
      <c r="A869">
        <v>868</v>
      </c>
      <c r="B869">
        <v>37</v>
      </c>
      <c r="C869" t="s">
        <v>27</v>
      </c>
      <c r="D869" t="s">
        <v>96</v>
      </c>
      <c r="E869" t="s">
        <v>77</v>
      </c>
      <c r="F869" s="2">
        <v>20</v>
      </c>
      <c r="G869" t="s">
        <v>92</v>
      </c>
      <c r="H869" t="s">
        <v>31</v>
      </c>
      <c r="I869" t="s">
        <v>156</v>
      </c>
      <c r="J869" t="s">
        <v>33</v>
      </c>
      <c r="K869">
        <v>3.1</v>
      </c>
      <c r="L869" t="s">
        <v>34</v>
      </c>
      <c r="M869" t="s">
        <v>35</v>
      </c>
      <c r="N869" t="s">
        <v>34</v>
      </c>
      <c r="O869">
        <v>23</v>
      </c>
      <c r="P869" t="s">
        <v>88</v>
      </c>
      <c r="Q869" t="s">
        <v>89</v>
      </c>
      <c r="R869" s="1">
        <v>0.1</v>
      </c>
      <c r="S869">
        <f t="shared" si="52"/>
        <v>18</v>
      </c>
      <c r="T869">
        <f>IFERROR(VLOOKUP(A869,Table1[[Customer ID]:[Discount Amount]], 6, FALSE),"Not Found")</f>
        <v>20</v>
      </c>
      <c r="U869" t="str">
        <f t="shared" si="53"/>
        <v>Bank Transfer</v>
      </c>
      <c r="V869" s="4" t="str">
        <f t="shared" si="54"/>
        <v>Normal</v>
      </c>
      <c r="W869" s="4" t="str">
        <f t="shared" si="55"/>
        <v>Good</v>
      </c>
      <c r="X869" s="4">
        <f>AVERAGE(Table1[Purchase Amount])</f>
        <v>129.48419400000012</v>
      </c>
    </row>
    <row r="870" spans="1:24" ht="15" customHeight="1" x14ac:dyDescent="0.25">
      <c r="A870">
        <v>869</v>
      </c>
      <c r="B870">
        <v>40</v>
      </c>
      <c r="C870" t="s">
        <v>27</v>
      </c>
      <c r="D870" t="s">
        <v>157</v>
      </c>
      <c r="E870" t="s">
        <v>18</v>
      </c>
      <c r="F870" s="2">
        <v>83</v>
      </c>
      <c r="G870" t="s">
        <v>134</v>
      </c>
      <c r="H870" t="s">
        <v>31</v>
      </c>
      <c r="I870" t="s">
        <v>93</v>
      </c>
      <c r="J870" t="s">
        <v>57</v>
      </c>
      <c r="K870">
        <v>3.2</v>
      </c>
      <c r="L870" t="s">
        <v>34</v>
      </c>
      <c r="M870" t="s">
        <v>79</v>
      </c>
      <c r="N870" t="s">
        <v>34</v>
      </c>
      <c r="O870">
        <v>2</v>
      </c>
      <c r="P870" t="s">
        <v>53</v>
      </c>
      <c r="Q870" t="s">
        <v>63</v>
      </c>
      <c r="R870" s="1">
        <v>0.1</v>
      </c>
      <c r="S870">
        <f t="shared" si="52"/>
        <v>74.7</v>
      </c>
      <c r="T870">
        <f>IFERROR(VLOOKUP(A870,Table1[[Customer ID]:[Discount Amount]], 6, FALSE),"Not Found")</f>
        <v>83</v>
      </c>
      <c r="U870" t="str">
        <f t="shared" si="53"/>
        <v>Credit Card</v>
      </c>
      <c r="V870" s="4" t="str">
        <f t="shared" si="54"/>
        <v>Normal</v>
      </c>
      <c r="W870" s="4" t="str">
        <f t="shared" si="55"/>
        <v>Good</v>
      </c>
      <c r="X870" s="4">
        <f>AVERAGE(Table1[Purchase Amount])</f>
        <v>129.48419400000012</v>
      </c>
    </row>
    <row r="871" spans="1:24" ht="15" customHeight="1" x14ac:dyDescent="0.25">
      <c r="A871">
        <v>870</v>
      </c>
      <c r="B871">
        <v>38</v>
      </c>
      <c r="C871" t="s">
        <v>27</v>
      </c>
      <c r="D871" t="s">
        <v>64</v>
      </c>
      <c r="E871" t="s">
        <v>29</v>
      </c>
      <c r="F871" s="2">
        <v>54</v>
      </c>
      <c r="G871" t="s">
        <v>132</v>
      </c>
      <c r="H871" t="s">
        <v>31</v>
      </c>
      <c r="I871" t="s">
        <v>153</v>
      </c>
      <c r="J871" t="s">
        <v>33</v>
      </c>
      <c r="K871">
        <v>2.7</v>
      </c>
      <c r="L871" t="s">
        <v>34</v>
      </c>
      <c r="M871" t="s">
        <v>41</v>
      </c>
      <c r="N871" t="s">
        <v>34</v>
      </c>
      <c r="O871">
        <v>33</v>
      </c>
      <c r="P871" t="s">
        <v>58</v>
      </c>
      <c r="Q871" t="s">
        <v>26</v>
      </c>
      <c r="R871" s="1">
        <v>0.1</v>
      </c>
      <c r="S871">
        <f t="shared" si="52"/>
        <v>48.6</v>
      </c>
      <c r="T871">
        <f>IFERROR(VLOOKUP(A871,Table1[[Customer ID]:[Discount Amount]], 6, FALSE),"Not Found")</f>
        <v>54</v>
      </c>
      <c r="U871" t="str">
        <f t="shared" si="53"/>
        <v>PayPal</v>
      </c>
      <c r="V871" s="4" t="str">
        <f t="shared" si="54"/>
        <v>Normal</v>
      </c>
      <c r="W871" s="4" t="str">
        <f t="shared" si="55"/>
        <v>Poor</v>
      </c>
      <c r="X871" s="4">
        <f>AVERAGE(Table1[Purchase Amount])</f>
        <v>129.48419400000012</v>
      </c>
    </row>
    <row r="872" spans="1:24" ht="15" customHeight="1" x14ac:dyDescent="0.25">
      <c r="A872">
        <v>871</v>
      </c>
      <c r="B872">
        <v>66</v>
      </c>
      <c r="C872" t="s">
        <v>27</v>
      </c>
      <c r="D872" t="s">
        <v>83</v>
      </c>
      <c r="E872" t="s">
        <v>18</v>
      </c>
      <c r="F872" s="2">
        <v>66</v>
      </c>
      <c r="G872" t="s">
        <v>154</v>
      </c>
      <c r="H872" t="s">
        <v>31</v>
      </c>
      <c r="I872" t="s">
        <v>74</v>
      </c>
      <c r="J872" t="s">
        <v>47</v>
      </c>
      <c r="K872">
        <v>2.5</v>
      </c>
      <c r="L872" t="s">
        <v>34</v>
      </c>
      <c r="M872" t="s">
        <v>24</v>
      </c>
      <c r="N872" t="s">
        <v>34</v>
      </c>
      <c r="O872">
        <v>6</v>
      </c>
      <c r="P872" t="s">
        <v>88</v>
      </c>
      <c r="Q872" t="s">
        <v>68</v>
      </c>
      <c r="R872" s="1">
        <v>0.1</v>
      </c>
      <c r="S872">
        <f t="shared" si="52"/>
        <v>59.4</v>
      </c>
      <c r="T872">
        <f>IFERROR(VLOOKUP(A872,Table1[[Customer ID]:[Discount Amount]], 6, FALSE),"Not Found")</f>
        <v>66</v>
      </c>
      <c r="U872" t="str">
        <f t="shared" si="53"/>
        <v>Bank Transfer</v>
      </c>
      <c r="V872" s="4" t="str">
        <f t="shared" si="54"/>
        <v>Normal</v>
      </c>
      <c r="W872" s="4" t="str">
        <f t="shared" si="55"/>
        <v>Poor</v>
      </c>
      <c r="X872" s="4">
        <f>AVERAGE(Table1[Purchase Amount])</f>
        <v>129.48419400000012</v>
      </c>
    </row>
    <row r="873" spans="1:24" ht="15" customHeight="1" x14ac:dyDescent="0.25">
      <c r="A873">
        <v>872</v>
      </c>
      <c r="B873">
        <v>47</v>
      </c>
      <c r="C873" t="s">
        <v>27</v>
      </c>
      <c r="D873" t="s">
        <v>69</v>
      </c>
      <c r="E873" t="s">
        <v>29</v>
      </c>
      <c r="F873" s="2">
        <v>42</v>
      </c>
      <c r="G873" t="s">
        <v>135</v>
      </c>
      <c r="H873" t="s">
        <v>31</v>
      </c>
      <c r="I873" t="s">
        <v>103</v>
      </c>
      <c r="J873" t="s">
        <v>33</v>
      </c>
      <c r="K873">
        <v>2.6</v>
      </c>
      <c r="L873" t="s">
        <v>34</v>
      </c>
      <c r="M873" t="s">
        <v>79</v>
      </c>
      <c r="N873" t="s">
        <v>34</v>
      </c>
      <c r="O873">
        <v>45</v>
      </c>
      <c r="P873" t="s">
        <v>36</v>
      </c>
      <c r="Q873" t="s">
        <v>37</v>
      </c>
      <c r="R873" s="1">
        <v>0.1</v>
      </c>
      <c r="S873">
        <f t="shared" si="52"/>
        <v>37.799999999999997</v>
      </c>
      <c r="T873">
        <f>IFERROR(VLOOKUP(A873,Table1[[Customer ID]:[Discount Amount]], 6, FALSE),"Not Found")</f>
        <v>42</v>
      </c>
      <c r="U873" t="str">
        <f t="shared" si="53"/>
        <v>Debit Card</v>
      </c>
      <c r="V873" s="4" t="str">
        <f t="shared" si="54"/>
        <v>Normal</v>
      </c>
      <c r="W873" s="4" t="str">
        <f t="shared" si="55"/>
        <v>Poor</v>
      </c>
      <c r="X873" s="4">
        <f>AVERAGE(Table1[Purchase Amount])</f>
        <v>129.48419400000012</v>
      </c>
    </row>
    <row r="874" spans="1:24" ht="15" customHeight="1" x14ac:dyDescent="0.25">
      <c r="A874">
        <v>873</v>
      </c>
      <c r="B874">
        <v>56</v>
      </c>
      <c r="C874" t="s">
        <v>27</v>
      </c>
      <c r="D874" t="s">
        <v>109</v>
      </c>
      <c r="E874" t="s">
        <v>18</v>
      </c>
      <c r="F874" s="2">
        <v>33</v>
      </c>
      <c r="G874" t="s">
        <v>86</v>
      </c>
      <c r="H874" t="s">
        <v>31</v>
      </c>
      <c r="I874" t="s">
        <v>136</v>
      </c>
      <c r="J874" t="s">
        <v>33</v>
      </c>
      <c r="K874">
        <v>2.9</v>
      </c>
      <c r="L874" t="s">
        <v>34</v>
      </c>
      <c r="M874" t="s">
        <v>24</v>
      </c>
      <c r="N874" t="s">
        <v>34</v>
      </c>
      <c r="O874">
        <v>25</v>
      </c>
      <c r="P874" t="s">
        <v>25</v>
      </c>
      <c r="Q874" t="s">
        <v>37</v>
      </c>
      <c r="R874" s="1">
        <v>0.1</v>
      </c>
      <c r="S874">
        <f t="shared" si="52"/>
        <v>29.7</v>
      </c>
      <c r="T874">
        <f>IFERROR(VLOOKUP(A874,Table1[[Customer ID]:[Discount Amount]], 6, FALSE),"Not Found")</f>
        <v>33</v>
      </c>
      <c r="U874" t="str">
        <f t="shared" si="53"/>
        <v>Cash</v>
      </c>
      <c r="V874" s="4" t="str">
        <f t="shared" si="54"/>
        <v>Normal</v>
      </c>
      <c r="W874" s="4" t="str">
        <f t="shared" si="55"/>
        <v>Poor</v>
      </c>
      <c r="X874" s="4">
        <f>AVERAGE(Table1[Purchase Amount])</f>
        <v>129.48419400000012</v>
      </c>
    </row>
    <row r="875" spans="1:24" ht="15" customHeight="1" x14ac:dyDescent="0.25">
      <c r="A875">
        <v>874</v>
      </c>
      <c r="B875">
        <v>51</v>
      </c>
      <c r="C875" t="s">
        <v>27</v>
      </c>
      <c r="D875" t="s">
        <v>151</v>
      </c>
      <c r="E875" t="s">
        <v>98</v>
      </c>
      <c r="F875" s="2">
        <v>77</v>
      </c>
      <c r="G875" t="s">
        <v>149</v>
      </c>
      <c r="H875" t="s">
        <v>31</v>
      </c>
      <c r="I875" t="s">
        <v>136</v>
      </c>
      <c r="J875" t="s">
        <v>57</v>
      </c>
      <c r="K875">
        <v>4.2</v>
      </c>
      <c r="L875" t="s">
        <v>34</v>
      </c>
      <c r="M875" t="s">
        <v>35</v>
      </c>
      <c r="N875" t="s">
        <v>34</v>
      </c>
      <c r="O875">
        <v>24</v>
      </c>
      <c r="P875" t="s">
        <v>62</v>
      </c>
      <c r="Q875" t="s">
        <v>37</v>
      </c>
      <c r="R875" s="1">
        <v>0.1</v>
      </c>
      <c r="S875">
        <f t="shared" si="52"/>
        <v>69.3</v>
      </c>
      <c r="T875">
        <f>IFERROR(VLOOKUP(A875,Table1[[Customer ID]:[Discount Amount]], 6, FALSE),"Not Found")</f>
        <v>77</v>
      </c>
      <c r="U875" t="str">
        <f t="shared" si="53"/>
        <v>Venmo</v>
      </c>
      <c r="V875" s="4" t="str">
        <f t="shared" si="54"/>
        <v>Normal</v>
      </c>
      <c r="W875" s="4" t="str">
        <f t="shared" si="55"/>
        <v>Good</v>
      </c>
      <c r="X875" s="4">
        <f>AVERAGE(Table1[Purchase Amount])</f>
        <v>129.48419400000012</v>
      </c>
    </row>
    <row r="876" spans="1:24" ht="15" customHeight="1" x14ac:dyDescent="0.25">
      <c r="A876">
        <v>875</v>
      </c>
      <c r="B876">
        <v>25</v>
      </c>
      <c r="C876" t="s">
        <v>27</v>
      </c>
      <c r="D876" t="s">
        <v>96</v>
      </c>
      <c r="E876" t="s">
        <v>77</v>
      </c>
      <c r="F876" s="2">
        <v>65</v>
      </c>
      <c r="G876" t="s">
        <v>94</v>
      </c>
      <c r="H876" t="s">
        <v>31</v>
      </c>
      <c r="I876" t="s">
        <v>87</v>
      </c>
      <c r="J876" t="s">
        <v>47</v>
      </c>
      <c r="K876">
        <v>4.4000000000000004</v>
      </c>
      <c r="L876" t="s">
        <v>34</v>
      </c>
      <c r="M876" t="s">
        <v>35</v>
      </c>
      <c r="N876" t="s">
        <v>34</v>
      </c>
      <c r="O876">
        <v>10</v>
      </c>
      <c r="P876" t="s">
        <v>62</v>
      </c>
      <c r="Q876" t="s">
        <v>63</v>
      </c>
      <c r="R876" s="1">
        <v>0.1</v>
      </c>
      <c r="S876">
        <f t="shared" si="52"/>
        <v>58.5</v>
      </c>
      <c r="T876">
        <f>IFERROR(VLOOKUP(A876,Table1[[Customer ID]:[Discount Amount]], 6, FALSE),"Not Found")</f>
        <v>65</v>
      </c>
      <c r="U876" t="str">
        <f t="shared" si="53"/>
        <v>Venmo</v>
      </c>
      <c r="V876" s="4" t="str">
        <f t="shared" si="54"/>
        <v>Normal</v>
      </c>
      <c r="W876" s="4" t="str">
        <f t="shared" si="55"/>
        <v>Good</v>
      </c>
      <c r="X876" s="4">
        <f>AVERAGE(Table1[Purchase Amount])</f>
        <v>129.48419400000012</v>
      </c>
    </row>
    <row r="877" spans="1:24" ht="15" customHeight="1" x14ac:dyDescent="0.25">
      <c r="A877">
        <v>876</v>
      </c>
      <c r="B877">
        <v>37</v>
      </c>
      <c r="C877" t="s">
        <v>27</v>
      </c>
      <c r="D877" t="s">
        <v>121</v>
      </c>
      <c r="E877" t="s">
        <v>98</v>
      </c>
      <c r="F877" s="2">
        <v>39</v>
      </c>
      <c r="G877" t="s">
        <v>86</v>
      </c>
      <c r="H877" t="s">
        <v>45</v>
      </c>
      <c r="I877" t="s">
        <v>85</v>
      </c>
      <c r="J877" t="s">
        <v>57</v>
      </c>
      <c r="K877">
        <v>4.0999999999999996</v>
      </c>
      <c r="L877" t="s">
        <v>34</v>
      </c>
      <c r="M877" t="s">
        <v>35</v>
      </c>
      <c r="N877" t="s">
        <v>34</v>
      </c>
      <c r="O877">
        <v>7</v>
      </c>
      <c r="P877" t="s">
        <v>88</v>
      </c>
      <c r="Q877" t="s">
        <v>63</v>
      </c>
      <c r="R877" s="1">
        <v>0.1</v>
      </c>
      <c r="S877">
        <f t="shared" si="52"/>
        <v>35.1</v>
      </c>
      <c r="T877">
        <f>IFERROR(VLOOKUP(A877,Table1[[Customer ID]:[Discount Amount]], 6, FALSE),"Not Found")</f>
        <v>39</v>
      </c>
      <c r="U877" t="str">
        <f t="shared" si="53"/>
        <v>Bank Transfer</v>
      </c>
      <c r="V877" s="4" t="str">
        <f t="shared" si="54"/>
        <v>Normal</v>
      </c>
      <c r="W877" s="4" t="str">
        <f t="shared" si="55"/>
        <v>Good</v>
      </c>
      <c r="X877" s="4">
        <f>AVERAGE(Table1[Purchase Amount])</f>
        <v>129.48419400000012</v>
      </c>
    </row>
    <row r="878" spans="1:24" ht="15" customHeight="1" x14ac:dyDescent="0.25">
      <c r="A878">
        <v>877</v>
      </c>
      <c r="B878">
        <v>41</v>
      </c>
      <c r="C878" t="s">
        <v>27</v>
      </c>
      <c r="D878" t="s">
        <v>114</v>
      </c>
      <c r="E878" t="s">
        <v>29</v>
      </c>
      <c r="F878" s="2">
        <v>51</v>
      </c>
      <c r="G878" t="s">
        <v>137</v>
      </c>
      <c r="H878" t="s">
        <v>45</v>
      </c>
      <c r="I878" t="s">
        <v>85</v>
      </c>
      <c r="J878" t="s">
        <v>57</v>
      </c>
      <c r="K878">
        <v>3.8</v>
      </c>
      <c r="L878" t="s">
        <v>34</v>
      </c>
      <c r="M878" t="s">
        <v>41</v>
      </c>
      <c r="N878" t="s">
        <v>34</v>
      </c>
      <c r="O878">
        <v>1</v>
      </c>
      <c r="P878" t="s">
        <v>36</v>
      </c>
      <c r="Q878" t="s">
        <v>26</v>
      </c>
      <c r="R878" s="1">
        <v>0.1</v>
      </c>
      <c r="S878">
        <f t="shared" si="52"/>
        <v>45.9</v>
      </c>
      <c r="T878">
        <f>IFERROR(VLOOKUP(A878,Table1[[Customer ID]:[Discount Amount]], 6, FALSE),"Not Found")</f>
        <v>51</v>
      </c>
      <c r="U878" t="str">
        <f t="shared" si="53"/>
        <v>Debit Card</v>
      </c>
      <c r="V878" s="4" t="str">
        <f t="shared" si="54"/>
        <v>Normal</v>
      </c>
      <c r="W878" s="4" t="str">
        <f t="shared" si="55"/>
        <v>Good</v>
      </c>
      <c r="X878" s="4">
        <f>AVERAGE(Table1[Purchase Amount])</f>
        <v>129.48419400000012</v>
      </c>
    </row>
    <row r="879" spans="1:24" ht="15" customHeight="1" x14ac:dyDescent="0.25">
      <c r="A879">
        <v>878</v>
      </c>
      <c r="B879">
        <v>64</v>
      </c>
      <c r="C879" t="s">
        <v>27</v>
      </c>
      <c r="D879" t="s">
        <v>69</v>
      </c>
      <c r="E879" t="s">
        <v>29</v>
      </c>
      <c r="F879" s="2">
        <v>65</v>
      </c>
      <c r="G879" t="s">
        <v>137</v>
      </c>
      <c r="H879" t="s">
        <v>31</v>
      </c>
      <c r="I879" t="s">
        <v>108</v>
      </c>
      <c r="J879" t="s">
        <v>22</v>
      </c>
      <c r="K879">
        <v>4.9000000000000004</v>
      </c>
      <c r="L879" t="s">
        <v>34</v>
      </c>
      <c r="M879" t="s">
        <v>79</v>
      </c>
      <c r="N879" t="s">
        <v>34</v>
      </c>
      <c r="O879">
        <v>45</v>
      </c>
      <c r="P879" t="s">
        <v>62</v>
      </c>
      <c r="Q879" t="s">
        <v>63</v>
      </c>
      <c r="R879" s="1">
        <v>0.1</v>
      </c>
      <c r="S879">
        <f t="shared" si="52"/>
        <v>58.5</v>
      </c>
      <c r="T879">
        <f>IFERROR(VLOOKUP(A879,Table1[[Customer ID]:[Discount Amount]], 6, FALSE),"Not Found")</f>
        <v>65</v>
      </c>
      <c r="U879" t="str">
        <f t="shared" si="53"/>
        <v>Venmo</v>
      </c>
      <c r="V879" s="4" t="str">
        <f t="shared" si="54"/>
        <v>Normal</v>
      </c>
      <c r="W879" s="4" t="str">
        <f t="shared" si="55"/>
        <v>Good</v>
      </c>
      <c r="X879" s="4">
        <f>AVERAGE(Table1[Purchase Amount])</f>
        <v>129.48419400000012</v>
      </c>
    </row>
    <row r="880" spans="1:24" ht="15" customHeight="1" x14ac:dyDescent="0.25">
      <c r="A880">
        <v>879</v>
      </c>
      <c r="B880">
        <v>23</v>
      </c>
      <c r="C880" t="s">
        <v>27</v>
      </c>
      <c r="D880" t="s">
        <v>28</v>
      </c>
      <c r="E880" t="s">
        <v>29</v>
      </c>
      <c r="F880" s="2">
        <v>89</v>
      </c>
      <c r="G880" t="s">
        <v>65</v>
      </c>
      <c r="H880" t="s">
        <v>55</v>
      </c>
      <c r="I880" t="s">
        <v>40</v>
      </c>
      <c r="J880" t="s">
        <v>57</v>
      </c>
      <c r="K880">
        <v>4.9000000000000004</v>
      </c>
      <c r="L880" t="s">
        <v>34</v>
      </c>
      <c r="M880" t="s">
        <v>61</v>
      </c>
      <c r="N880" t="s">
        <v>34</v>
      </c>
      <c r="O880">
        <v>37</v>
      </c>
      <c r="P880" t="s">
        <v>36</v>
      </c>
      <c r="Q880" t="s">
        <v>26</v>
      </c>
      <c r="R880" s="1">
        <v>0.1</v>
      </c>
      <c r="S880">
        <f t="shared" si="52"/>
        <v>80.099999999999994</v>
      </c>
      <c r="T880">
        <f>IFERROR(VLOOKUP(A880,Table1[[Customer ID]:[Discount Amount]], 6, FALSE),"Not Found")</f>
        <v>89</v>
      </c>
      <c r="U880" t="str">
        <f t="shared" si="53"/>
        <v>Debit Card</v>
      </c>
      <c r="V880" s="4" t="str">
        <f t="shared" si="54"/>
        <v>Normal</v>
      </c>
      <c r="W880" s="4" t="str">
        <f t="shared" si="55"/>
        <v>Good</v>
      </c>
      <c r="X880" s="4">
        <f>AVERAGE(Table1[Purchase Amount])</f>
        <v>129.48419400000012</v>
      </c>
    </row>
    <row r="881" spans="1:24" ht="15" customHeight="1" x14ac:dyDescent="0.25">
      <c r="A881">
        <v>880</v>
      </c>
      <c r="B881">
        <v>62</v>
      </c>
      <c r="C881" t="s">
        <v>27</v>
      </c>
      <c r="D881" t="s">
        <v>122</v>
      </c>
      <c r="E881" t="s">
        <v>18</v>
      </c>
      <c r="F881" s="2">
        <v>76</v>
      </c>
      <c r="G881" t="s">
        <v>162</v>
      </c>
      <c r="H881" t="s">
        <v>55</v>
      </c>
      <c r="I881" t="s">
        <v>107</v>
      </c>
      <c r="J881" t="s">
        <v>33</v>
      </c>
      <c r="K881">
        <v>4.0999999999999996</v>
      </c>
      <c r="L881" t="s">
        <v>34</v>
      </c>
      <c r="M881" t="s">
        <v>35</v>
      </c>
      <c r="N881" t="s">
        <v>34</v>
      </c>
      <c r="O881">
        <v>14</v>
      </c>
      <c r="P881" t="s">
        <v>58</v>
      </c>
      <c r="Q881" t="s">
        <v>37</v>
      </c>
      <c r="R881" s="1">
        <v>0.1</v>
      </c>
      <c r="S881">
        <f t="shared" si="52"/>
        <v>68.400000000000006</v>
      </c>
      <c r="T881">
        <f>IFERROR(VLOOKUP(A881,Table1[[Customer ID]:[Discount Amount]], 6, FALSE),"Not Found")</f>
        <v>76</v>
      </c>
      <c r="U881" t="str">
        <f t="shared" si="53"/>
        <v>PayPal</v>
      </c>
      <c r="V881" s="4" t="str">
        <f t="shared" si="54"/>
        <v>Normal</v>
      </c>
      <c r="W881" s="4" t="str">
        <f t="shared" si="55"/>
        <v>Good</v>
      </c>
      <c r="X881" s="4">
        <f>AVERAGE(Table1[Purchase Amount])</f>
        <v>129.48419400000012</v>
      </c>
    </row>
    <row r="882" spans="1:24" ht="15" customHeight="1" x14ac:dyDescent="0.25">
      <c r="A882">
        <v>881</v>
      </c>
      <c r="B882">
        <v>39</v>
      </c>
      <c r="C882" t="s">
        <v>27</v>
      </c>
      <c r="D882" t="s">
        <v>104</v>
      </c>
      <c r="E882" t="s">
        <v>29</v>
      </c>
      <c r="F882" s="2">
        <v>75</v>
      </c>
      <c r="G882" t="s">
        <v>158</v>
      </c>
      <c r="H882" t="s">
        <v>45</v>
      </c>
      <c r="I882" t="s">
        <v>46</v>
      </c>
      <c r="J882" t="s">
        <v>33</v>
      </c>
      <c r="K882">
        <v>3.1</v>
      </c>
      <c r="L882" t="s">
        <v>34</v>
      </c>
      <c r="M882" t="s">
        <v>61</v>
      </c>
      <c r="N882" t="s">
        <v>34</v>
      </c>
      <c r="O882">
        <v>25</v>
      </c>
      <c r="P882" t="s">
        <v>36</v>
      </c>
      <c r="Q882" t="s">
        <v>42</v>
      </c>
      <c r="R882" s="1">
        <v>0.1</v>
      </c>
      <c r="S882">
        <f t="shared" si="52"/>
        <v>67.5</v>
      </c>
      <c r="T882">
        <f>IFERROR(VLOOKUP(A882,Table1[[Customer ID]:[Discount Amount]], 6, FALSE),"Not Found")</f>
        <v>75</v>
      </c>
      <c r="U882" t="str">
        <f t="shared" si="53"/>
        <v>Debit Card</v>
      </c>
      <c r="V882" s="4" t="str">
        <f t="shared" si="54"/>
        <v>Normal</v>
      </c>
      <c r="W882" s="4" t="str">
        <f t="shared" si="55"/>
        <v>Good</v>
      </c>
      <c r="X882" s="4">
        <f>AVERAGE(Table1[Purchase Amount])</f>
        <v>129.48419400000012</v>
      </c>
    </row>
    <row r="883" spans="1:24" ht="15" customHeight="1" x14ac:dyDescent="0.25">
      <c r="A883">
        <v>882</v>
      </c>
      <c r="B883">
        <v>52</v>
      </c>
      <c r="C883" t="s">
        <v>27</v>
      </c>
      <c r="D883" t="s">
        <v>121</v>
      </c>
      <c r="E883" t="s">
        <v>98</v>
      </c>
      <c r="F883" s="2">
        <v>61</v>
      </c>
      <c r="G883" t="s">
        <v>30</v>
      </c>
      <c r="H883" t="s">
        <v>31</v>
      </c>
      <c r="I883" t="s">
        <v>153</v>
      </c>
      <c r="J883" t="s">
        <v>57</v>
      </c>
      <c r="K883">
        <v>2.7</v>
      </c>
      <c r="L883" t="s">
        <v>34</v>
      </c>
      <c r="M883" t="s">
        <v>79</v>
      </c>
      <c r="N883" t="s">
        <v>34</v>
      </c>
      <c r="O883">
        <v>18</v>
      </c>
      <c r="P883" t="s">
        <v>62</v>
      </c>
      <c r="Q883" t="s">
        <v>49</v>
      </c>
      <c r="R883" s="1">
        <v>0.1</v>
      </c>
      <c r="S883">
        <f t="shared" si="52"/>
        <v>54.9</v>
      </c>
      <c r="T883">
        <f>IFERROR(VLOOKUP(A883,Table1[[Customer ID]:[Discount Amount]], 6, FALSE),"Not Found")</f>
        <v>61</v>
      </c>
      <c r="U883" t="str">
        <f t="shared" si="53"/>
        <v>Venmo</v>
      </c>
      <c r="V883" s="4" t="str">
        <f t="shared" si="54"/>
        <v>Normal</v>
      </c>
      <c r="W883" s="4" t="str">
        <f t="shared" si="55"/>
        <v>Poor</v>
      </c>
      <c r="X883" s="4">
        <f>AVERAGE(Table1[Purchase Amount])</f>
        <v>129.48419400000012</v>
      </c>
    </row>
    <row r="884" spans="1:24" ht="15" customHeight="1" x14ac:dyDescent="0.25">
      <c r="A884">
        <v>883</v>
      </c>
      <c r="B884">
        <v>50</v>
      </c>
      <c r="C884" t="s">
        <v>27</v>
      </c>
      <c r="D884" t="s">
        <v>151</v>
      </c>
      <c r="E884" t="s">
        <v>98</v>
      </c>
      <c r="F884" s="2">
        <v>35</v>
      </c>
      <c r="G884" t="s">
        <v>138</v>
      </c>
      <c r="H884" t="s">
        <v>31</v>
      </c>
      <c r="I884" t="s">
        <v>128</v>
      </c>
      <c r="J884" t="s">
        <v>47</v>
      </c>
      <c r="K884">
        <v>3.8</v>
      </c>
      <c r="L884" t="s">
        <v>34</v>
      </c>
      <c r="M884" t="s">
        <v>79</v>
      </c>
      <c r="N884" t="s">
        <v>34</v>
      </c>
      <c r="O884">
        <v>37</v>
      </c>
      <c r="P884" t="s">
        <v>25</v>
      </c>
      <c r="Q884" t="s">
        <v>63</v>
      </c>
      <c r="R884" s="1">
        <v>0.1</v>
      </c>
      <c r="S884">
        <f t="shared" si="52"/>
        <v>31.5</v>
      </c>
      <c r="T884">
        <f>IFERROR(VLOOKUP(A884,Table1[[Customer ID]:[Discount Amount]], 6, FALSE),"Not Found")</f>
        <v>35</v>
      </c>
      <c r="U884" t="str">
        <f t="shared" si="53"/>
        <v>Cash</v>
      </c>
      <c r="V884" s="4" t="str">
        <f t="shared" si="54"/>
        <v>Normal</v>
      </c>
      <c r="W884" s="4" t="str">
        <f t="shared" si="55"/>
        <v>Good</v>
      </c>
      <c r="X884" s="4">
        <f>AVERAGE(Table1[Purchase Amount])</f>
        <v>129.48419400000012</v>
      </c>
    </row>
    <row r="885" spans="1:24" ht="15" customHeight="1" x14ac:dyDescent="0.25">
      <c r="A885">
        <v>884</v>
      </c>
      <c r="B885">
        <v>28</v>
      </c>
      <c r="C885" t="s">
        <v>27</v>
      </c>
      <c r="D885" t="s">
        <v>140</v>
      </c>
      <c r="E885" t="s">
        <v>98</v>
      </c>
      <c r="F885" s="2">
        <v>37</v>
      </c>
      <c r="G885" t="s">
        <v>78</v>
      </c>
      <c r="H885" t="s">
        <v>55</v>
      </c>
      <c r="I885" t="s">
        <v>133</v>
      </c>
      <c r="J885" t="s">
        <v>47</v>
      </c>
      <c r="K885">
        <v>4.3</v>
      </c>
      <c r="L885" t="s">
        <v>34</v>
      </c>
      <c r="M885" t="s">
        <v>35</v>
      </c>
      <c r="N885" t="s">
        <v>34</v>
      </c>
      <c r="O885">
        <v>30</v>
      </c>
      <c r="P885" t="s">
        <v>88</v>
      </c>
      <c r="Q885" t="s">
        <v>42</v>
      </c>
      <c r="R885" s="1">
        <v>0.1</v>
      </c>
      <c r="S885">
        <f t="shared" si="52"/>
        <v>33.299999999999997</v>
      </c>
      <c r="T885">
        <f>IFERROR(VLOOKUP(A885,Table1[[Customer ID]:[Discount Amount]], 6, FALSE),"Not Found")</f>
        <v>37</v>
      </c>
      <c r="U885" t="str">
        <f t="shared" si="53"/>
        <v>Bank Transfer</v>
      </c>
      <c r="V885" s="4" t="str">
        <f t="shared" si="54"/>
        <v>Normal</v>
      </c>
      <c r="W885" s="4" t="str">
        <f t="shared" si="55"/>
        <v>Good</v>
      </c>
      <c r="X885" s="4">
        <f>AVERAGE(Table1[Purchase Amount])</f>
        <v>129.48419400000012</v>
      </c>
    </row>
    <row r="886" spans="1:24" ht="15" customHeight="1" x14ac:dyDescent="0.25">
      <c r="A886">
        <v>885</v>
      </c>
      <c r="B886">
        <v>67</v>
      </c>
      <c r="C886" t="s">
        <v>27</v>
      </c>
      <c r="D886" t="s">
        <v>122</v>
      </c>
      <c r="E886" t="s">
        <v>18</v>
      </c>
      <c r="F886" s="2">
        <v>91</v>
      </c>
      <c r="G886" t="s">
        <v>135</v>
      </c>
      <c r="H886" t="s">
        <v>45</v>
      </c>
      <c r="I886" t="s">
        <v>52</v>
      </c>
      <c r="J886" t="s">
        <v>22</v>
      </c>
      <c r="K886">
        <v>4.0999999999999996</v>
      </c>
      <c r="L886" t="s">
        <v>34</v>
      </c>
      <c r="M886" t="s">
        <v>61</v>
      </c>
      <c r="N886" t="s">
        <v>34</v>
      </c>
      <c r="O886">
        <v>34</v>
      </c>
      <c r="P886" t="s">
        <v>88</v>
      </c>
      <c r="Q886" t="s">
        <v>26</v>
      </c>
      <c r="R886" s="1">
        <v>0.1</v>
      </c>
      <c r="S886">
        <f t="shared" si="52"/>
        <v>81.900000000000006</v>
      </c>
      <c r="T886">
        <f>IFERROR(VLOOKUP(A886,Table1[[Customer ID]:[Discount Amount]], 6, FALSE),"Not Found")</f>
        <v>91</v>
      </c>
      <c r="U886" t="str">
        <f t="shared" si="53"/>
        <v>Bank Transfer</v>
      </c>
      <c r="V886" s="4" t="str">
        <f t="shared" si="54"/>
        <v>Normal</v>
      </c>
      <c r="W886" s="4" t="str">
        <f t="shared" si="55"/>
        <v>Good</v>
      </c>
      <c r="X886" s="4">
        <f>AVERAGE(Table1[Purchase Amount])</f>
        <v>129.48419400000012</v>
      </c>
    </row>
    <row r="887" spans="1:24" ht="15" customHeight="1" x14ac:dyDescent="0.25">
      <c r="A887">
        <v>886</v>
      </c>
      <c r="B887">
        <v>41</v>
      </c>
      <c r="C887" t="s">
        <v>27</v>
      </c>
      <c r="D887" t="s">
        <v>157</v>
      </c>
      <c r="E887" t="s">
        <v>18</v>
      </c>
      <c r="F887" s="2">
        <v>99</v>
      </c>
      <c r="G887" t="s">
        <v>90</v>
      </c>
      <c r="H887" t="s">
        <v>45</v>
      </c>
      <c r="I887" t="s">
        <v>66</v>
      </c>
      <c r="J887" t="s">
        <v>47</v>
      </c>
      <c r="K887">
        <v>4.4000000000000004</v>
      </c>
      <c r="L887" t="s">
        <v>34</v>
      </c>
      <c r="M887" t="s">
        <v>35</v>
      </c>
      <c r="N887" t="s">
        <v>34</v>
      </c>
      <c r="O887">
        <v>49</v>
      </c>
      <c r="P887" t="s">
        <v>36</v>
      </c>
      <c r="Q887" t="s">
        <v>63</v>
      </c>
      <c r="R887" s="1">
        <v>0.1</v>
      </c>
      <c r="S887">
        <f t="shared" si="52"/>
        <v>89.1</v>
      </c>
      <c r="T887">
        <f>IFERROR(VLOOKUP(A887,Table1[[Customer ID]:[Discount Amount]], 6, FALSE),"Not Found")</f>
        <v>99</v>
      </c>
      <c r="U887" t="str">
        <f t="shared" si="53"/>
        <v>Debit Card</v>
      </c>
      <c r="V887" s="4" t="str">
        <f t="shared" si="54"/>
        <v>Normal</v>
      </c>
      <c r="W887" s="4" t="str">
        <f t="shared" si="55"/>
        <v>Good</v>
      </c>
      <c r="X887" s="4">
        <f>AVERAGE(Table1[Purchase Amount])</f>
        <v>129.48419400000012</v>
      </c>
    </row>
    <row r="888" spans="1:24" ht="15" customHeight="1" x14ac:dyDescent="0.25">
      <c r="A888">
        <v>887</v>
      </c>
      <c r="B888">
        <v>19</v>
      </c>
      <c r="C888" t="s">
        <v>27</v>
      </c>
      <c r="D888" t="s">
        <v>54</v>
      </c>
      <c r="E888" t="s">
        <v>18</v>
      </c>
      <c r="F888" s="2">
        <v>54</v>
      </c>
      <c r="G888" t="s">
        <v>144</v>
      </c>
      <c r="H888" t="s">
        <v>55</v>
      </c>
      <c r="I888" t="s">
        <v>60</v>
      </c>
      <c r="J888" t="s">
        <v>57</v>
      </c>
      <c r="K888">
        <v>3.6</v>
      </c>
      <c r="L888" t="s">
        <v>34</v>
      </c>
      <c r="M888" t="s">
        <v>61</v>
      </c>
      <c r="N888" t="s">
        <v>34</v>
      </c>
      <c r="O888">
        <v>48</v>
      </c>
      <c r="P888" t="s">
        <v>88</v>
      </c>
      <c r="Q888" t="s">
        <v>42</v>
      </c>
      <c r="R888" s="1">
        <v>0.1</v>
      </c>
      <c r="S888">
        <f t="shared" si="52"/>
        <v>48.6</v>
      </c>
      <c r="T888">
        <f>IFERROR(VLOOKUP(A888,Table1[[Customer ID]:[Discount Amount]], 6, FALSE),"Not Found")</f>
        <v>54</v>
      </c>
      <c r="U888" t="str">
        <f t="shared" si="53"/>
        <v>Bank Transfer</v>
      </c>
      <c r="V888" s="4" t="str">
        <f t="shared" si="54"/>
        <v>Normal</v>
      </c>
      <c r="W888" s="4" t="str">
        <f t="shared" si="55"/>
        <v>Good</v>
      </c>
      <c r="X888" s="4">
        <f>AVERAGE(Table1[Purchase Amount])</f>
        <v>129.48419400000012</v>
      </c>
    </row>
    <row r="889" spans="1:24" ht="15" customHeight="1" x14ac:dyDescent="0.25">
      <c r="A889">
        <v>888</v>
      </c>
      <c r="B889">
        <v>70</v>
      </c>
      <c r="C889" t="s">
        <v>27</v>
      </c>
      <c r="D889" t="s">
        <v>69</v>
      </c>
      <c r="E889" t="s">
        <v>29</v>
      </c>
      <c r="F889" s="2">
        <v>47</v>
      </c>
      <c r="G889" t="s">
        <v>120</v>
      </c>
      <c r="H889" t="s">
        <v>45</v>
      </c>
      <c r="I889" t="s">
        <v>156</v>
      </c>
      <c r="J889" t="s">
        <v>22</v>
      </c>
      <c r="K889">
        <v>3.3</v>
      </c>
      <c r="L889" t="s">
        <v>34</v>
      </c>
      <c r="M889" t="s">
        <v>41</v>
      </c>
      <c r="N889" t="s">
        <v>34</v>
      </c>
      <c r="O889">
        <v>33</v>
      </c>
      <c r="P889" t="s">
        <v>58</v>
      </c>
      <c r="Q889" t="s">
        <v>89</v>
      </c>
      <c r="R889" s="1">
        <v>0.1</v>
      </c>
      <c r="S889">
        <f t="shared" si="52"/>
        <v>42.3</v>
      </c>
      <c r="T889">
        <f>IFERROR(VLOOKUP(A889,Table1[[Customer ID]:[Discount Amount]], 6, FALSE),"Not Found")</f>
        <v>47</v>
      </c>
      <c r="U889" t="str">
        <f t="shared" si="53"/>
        <v>PayPal</v>
      </c>
      <c r="V889" s="4" t="str">
        <f t="shared" si="54"/>
        <v>Normal</v>
      </c>
      <c r="W889" s="4" t="str">
        <f t="shared" si="55"/>
        <v>Good</v>
      </c>
      <c r="X889" s="4">
        <f>AVERAGE(Table1[Purchase Amount])</f>
        <v>129.48419400000012</v>
      </c>
    </row>
    <row r="890" spans="1:24" ht="15" customHeight="1" x14ac:dyDescent="0.25">
      <c r="A890">
        <v>889</v>
      </c>
      <c r="B890">
        <v>49</v>
      </c>
      <c r="C890" t="s">
        <v>27</v>
      </c>
      <c r="D890" t="s">
        <v>129</v>
      </c>
      <c r="E890" t="s">
        <v>29</v>
      </c>
      <c r="F890" s="2">
        <v>77</v>
      </c>
      <c r="G890" t="s">
        <v>132</v>
      </c>
      <c r="H890" t="s">
        <v>55</v>
      </c>
      <c r="I890" t="s">
        <v>133</v>
      </c>
      <c r="J890" t="s">
        <v>33</v>
      </c>
      <c r="K890">
        <v>1</v>
      </c>
      <c r="L890" t="s">
        <v>34</v>
      </c>
      <c r="M890" t="s">
        <v>61</v>
      </c>
      <c r="N890" t="s">
        <v>34</v>
      </c>
      <c r="O890">
        <v>44</v>
      </c>
      <c r="P890" t="s">
        <v>25</v>
      </c>
      <c r="Q890" t="s">
        <v>49</v>
      </c>
      <c r="R890" s="1">
        <v>0.1</v>
      </c>
      <c r="S890">
        <f t="shared" si="52"/>
        <v>69.3</v>
      </c>
      <c r="T890">
        <f>IFERROR(VLOOKUP(A890,Table1[[Customer ID]:[Discount Amount]], 6, FALSE),"Not Found")</f>
        <v>77</v>
      </c>
      <c r="U890" t="str">
        <f t="shared" si="53"/>
        <v>Cash</v>
      </c>
      <c r="V890" s="4" t="str">
        <f t="shared" si="54"/>
        <v>Normal</v>
      </c>
      <c r="W890" s="4" t="str">
        <f t="shared" si="55"/>
        <v>Poor</v>
      </c>
      <c r="X890" s="4">
        <f>AVERAGE(Table1[Purchase Amount])</f>
        <v>129.48419400000012</v>
      </c>
    </row>
    <row r="891" spans="1:24" ht="15" customHeight="1" x14ac:dyDescent="0.25">
      <c r="A891">
        <v>890</v>
      </c>
      <c r="B891">
        <v>59</v>
      </c>
      <c r="C891" t="s">
        <v>27</v>
      </c>
      <c r="D891" t="s">
        <v>114</v>
      </c>
      <c r="E891" t="s">
        <v>29</v>
      </c>
      <c r="F891" s="2">
        <v>84</v>
      </c>
      <c r="G891" t="s">
        <v>150</v>
      </c>
      <c r="H891" t="s">
        <v>55</v>
      </c>
      <c r="I891" t="s">
        <v>21</v>
      </c>
      <c r="J891" t="s">
        <v>47</v>
      </c>
      <c r="K891">
        <v>2.8</v>
      </c>
      <c r="L891" t="s">
        <v>34</v>
      </c>
      <c r="M891" t="s">
        <v>35</v>
      </c>
      <c r="N891" t="s">
        <v>34</v>
      </c>
      <c r="O891">
        <v>50</v>
      </c>
      <c r="P891" t="s">
        <v>62</v>
      </c>
      <c r="Q891" t="s">
        <v>26</v>
      </c>
      <c r="R891" s="1">
        <v>0.1</v>
      </c>
      <c r="S891">
        <f t="shared" si="52"/>
        <v>75.599999999999994</v>
      </c>
      <c r="T891">
        <f>IFERROR(VLOOKUP(A891,Table1[[Customer ID]:[Discount Amount]], 6, FALSE),"Not Found")</f>
        <v>84</v>
      </c>
      <c r="U891" t="str">
        <f t="shared" si="53"/>
        <v>Venmo</v>
      </c>
      <c r="V891" s="4" t="str">
        <f t="shared" si="54"/>
        <v>Normal</v>
      </c>
      <c r="W891" s="4" t="str">
        <f t="shared" si="55"/>
        <v>Poor</v>
      </c>
      <c r="X891" s="4">
        <f>AVERAGE(Table1[Purchase Amount])</f>
        <v>129.48419400000012</v>
      </c>
    </row>
    <row r="892" spans="1:24" ht="15" customHeight="1" x14ac:dyDescent="0.25">
      <c r="A892">
        <v>891</v>
      </c>
      <c r="B892">
        <v>52</v>
      </c>
      <c r="C892" t="s">
        <v>27</v>
      </c>
      <c r="D892" t="s">
        <v>43</v>
      </c>
      <c r="E892" t="s">
        <v>29</v>
      </c>
      <c r="F892" s="2">
        <v>51</v>
      </c>
      <c r="G892" t="s">
        <v>101</v>
      </c>
      <c r="H892" t="s">
        <v>55</v>
      </c>
      <c r="I892" t="s">
        <v>66</v>
      </c>
      <c r="J892" t="s">
        <v>33</v>
      </c>
      <c r="K892">
        <v>4.3</v>
      </c>
      <c r="L892" t="s">
        <v>34</v>
      </c>
      <c r="M892" t="s">
        <v>41</v>
      </c>
      <c r="N892" t="s">
        <v>34</v>
      </c>
      <c r="O892">
        <v>47</v>
      </c>
      <c r="P892" t="s">
        <v>53</v>
      </c>
      <c r="Q892" t="s">
        <v>42</v>
      </c>
      <c r="R892" s="1">
        <v>0.1</v>
      </c>
      <c r="S892">
        <f t="shared" si="52"/>
        <v>45.9</v>
      </c>
      <c r="T892">
        <f>IFERROR(VLOOKUP(A892,Table1[[Customer ID]:[Discount Amount]], 6, FALSE),"Not Found")</f>
        <v>51</v>
      </c>
      <c r="U892" t="str">
        <f t="shared" si="53"/>
        <v>Credit Card</v>
      </c>
      <c r="V892" s="4" t="str">
        <f t="shared" si="54"/>
        <v>Normal</v>
      </c>
      <c r="W892" s="4" t="str">
        <f t="shared" si="55"/>
        <v>Good</v>
      </c>
      <c r="X892" s="4">
        <f>AVERAGE(Table1[Purchase Amount])</f>
        <v>129.48419400000012</v>
      </c>
    </row>
    <row r="893" spans="1:24" ht="15" customHeight="1" x14ac:dyDescent="0.25">
      <c r="A893">
        <v>892</v>
      </c>
      <c r="B893">
        <v>20</v>
      </c>
      <c r="C893" t="s">
        <v>27</v>
      </c>
      <c r="D893" t="s">
        <v>122</v>
      </c>
      <c r="E893" t="s">
        <v>18</v>
      </c>
      <c r="F893" s="2">
        <v>26</v>
      </c>
      <c r="G893" t="s">
        <v>78</v>
      </c>
      <c r="H893" t="s">
        <v>55</v>
      </c>
      <c r="I893" t="s">
        <v>107</v>
      </c>
      <c r="J893" t="s">
        <v>57</v>
      </c>
      <c r="K893">
        <v>3.9</v>
      </c>
      <c r="L893" t="s">
        <v>34</v>
      </c>
      <c r="M893" t="s">
        <v>48</v>
      </c>
      <c r="N893" t="s">
        <v>34</v>
      </c>
      <c r="O893">
        <v>24</v>
      </c>
      <c r="P893" t="s">
        <v>58</v>
      </c>
      <c r="Q893" t="s">
        <v>63</v>
      </c>
      <c r="R893" s="1">
        <v>0.1</v>
      </c>
      <c r="S893">
        <f t="shared" si="52"/>
        <v>23.4</v>
      </c>
      <c r="T893">
        <f>IFERROR(VLOOKUP(A893,Table1[[Customer ID]:[Discount Amount]], 6, FALSE),"Not Found")</f>
        <v>26</v>
      </c>
      <c r="U893" t="str">
        <f t="shared" si="53"/>
        <v>PayPal</v>
      </c>
      <c r="V893" s="4" t="str">
        <f t="shared" si="54"/>
        <v>Normal</v>
      </c>
      <c r="W893" s="4" t="str">
        <f t="shared" si="55"/>
        <v>Good</v>
      </c>
      <c r="X893" s="4">
        <f>AVERAGE(Table1[Purchase Amount])</f>
        <v>129.48419400000012</v>
      </c>
    </row>
    <row r="894" spans="1:24" ht="15" customHeight="1" x14ac:dyDescent="0.25">
      <c r="A894">
        <v>893</v>
      </c>
      <c r="B894">
        <v>31</v>
      </c>
      <c r="C894" t="s">
        <v>27</v>
      </c>
      <c r="D894" t="s">
        <v>54</v>
      </c>
      <c r="E894" t="s">
        <v>18</v>
      </c>
      <c r="F894" s="2">
        <v>64</v>
      </c>
      <c r="G894" t="s">
        <v>110</v>
      </c>
      <c r="H894" t="s">
        <v>45</v>
      </c>
      <c r="I894" t="s">
        <v>85</v>
      </c>
      <c r="J894" t="s">
        <v>57</v>
      </c>
      <c r="K894">
        <v>2.7</v>
      </c>
      <c r="L894" t="s">
        <v>34</v>
      </c>
      <c r="M894" t="s">
        <v>35</v>
      </c>
      <c r="N894" t="s">
        <v>34</v>
      </c>
      <c r="O894">
        <v>43</v>
      </c>
      <c r="P894" t="s">
        <v>36</v>
      </c>
      <c r="Q894" t="s">
        <v>42</v>
      </c>
      <c r="R894" s="1">
        <v>0.1</v>
      </c>
      <c r="S894">
        <f t="shared" si="52"/>
        <v>57.6</v>
      </c>
      <c r="T894">
        <f>IFERROR(VLOOKUP(A894,Table1[[Customer ID]:[Discount Amount]], 6, FALSE),"Not Found")</f>
        <v>64</v>
      </c>
      <c r="U894" t="str">
        <f t="shared" si="53"/>
        <v>Debit Card</v>
      </c>
      <c r="V894" s="4" t="str">
        <f t="shared" si="54"/>
        <v>Normal</v>
      </c>
      <c r="W894" s="4" t="str">
        <f t="shared" si="55"/>
        <v>Poor</v>
      </c>
      <c r="X894" s="4">
        <f>AVERAGE(Table1[Purchase Amount])</f>
        <v>129.48419400000012</v>
      </c>
    </row>
    <row r="895" spans="1:24" ht="15" customHeight="1" x14ac:dyDescent="0.25">
      <c r="A895">
        <v>894</v>
      </c>
      <c r="B895">
        <v>33</v>
      </c>
      <c r="C895" t="s">
        <v>27</v>
      </c>
      <c r="D895" t="s">
        <v>104</v>
      </c>
      <c r="E895" t="s">
        <v>29</v>
      </c>
      <c r="F895" s="2">
        <v>51</v>
      </c>
      <c r="G895" t="s">
        <v>137</v>
      </c>
      <c r="H895" t="s">
        <v>31</v>
      </c>
      <c r="I895" t="s">
        <v>46</v>
      </c>
      <c r="J895" t="s">
        <v>33</v>
      </c>
      <c r="K895">
        <v>4.7</v>
      </c>
      <c r="L895" t="s">
        <v>34</v>
      </c>
      <c r="M895" t="s">
        <v>61</v>
      </c>
      <c r="N895" t="s">
        <v>34</v>
      </c>
      <c r="O895">
        <v>14</v>
      </c>
      <c r="P895" t="s">
        <v>62</v>
      </c>
      <c r="Q895" t="s">
        <v>42</v>
      </c>
      <c r="R895" s="1">
        <v>0.1</v>
      </c>
      <c r="S895">
        <f t="shared" si="52"/>
        <v>45.9</v>
      </c>
      <c r="T895">
        <f>IFERROR(VLOOKUP(A895,Table1[[Customer ID]:[Discount Amount]], 6, FALSE),"Not Found")</f>
        <v>51</v>
      </c>
      <c r="U895" t="str">
        <f t="shared" si="53"/>
        <v>Venmo</v>
      </c>
      <c r="V895" s="4" t="str">
        <f t="shared" si="54"/>
        <v>Normal</v>
      </c>
      <c r="W895" s="4" t="str">
        <f t="shared" si="55"/>
        <v>Good</v>
      </c>
      <c r="X895" s="4">
        <f>AVERAGE(Table1[Purchase Amount])</f>
        <v>129.48419400000012</v>
      </c>
    </row>
    <row r="896" spans="1:24" ht="15" customHeight="1" x14ac:dyDescent="0.25">
      <c r="A896">
        <v>895</v>
      </c>
      <c r="B896">
        <v>44</v>
      </c>
      <c r="C896" t="s">
        <v>27</v>
      </c>
      <c r="D896" t="s">
        <v>83</v>
      </c>
      <c r="E896" t="s">
        <v>18</v>
      </c>
      <c r="F896" s="2">
        <v>60</v>
      </c>
      <c r="G896" t="s">
        <v>162</v>
      </c>
      <c r="H896" t="s">
        <v>45</v>
      </c>
      <c r="I896" t="s">
        <v>66</v>
      </c>
      <c r="J896" t="s">
        <v>33</v>
      </c>
      <c r="K896">
        <v>3.8</v>
      </c>
      <c r="L896" t="s">
        <v>34</v>
      </c>
      <c r="M896" t="s">
        <v>35</v>
      </c>
      <c r="N896" t="s">
        <v>34</v>
      </c>
      <c r="O896">
        <v>3</v>
      </c>
      <c r="P896" t="s">
        <v>36</v>
      </c>
      <c r="Q896" t="s">
        <v>37</v>
      </c>
      <c r="R896" s="1">
        <v>0.1</v>
      </c>
      <c r="S896">
        <f t="shared" si="52"/>
        <v>54</v>
      </c>
      <c r="T896">
        <f>IFERROR(VLOOKUP(A896,Table1[[Customer ID]:[Discount Amount]], 6, FALSE),"Not Found")</f>
        <v>60</v>
      </c>
      <c r="U896" t="str">
        <f t="shared" si="53"/>
        <v>Debit Card</v>
      </c>
      <c r="V896" s="4" t="str">
        <f t="shared" si="54"/>
        <v>Normal</v>
      </c>
      <c r="W896" s="4" t="str">
        <f t="shared" si="55"/>
        <v>Good</v>
      </c>
      <c r="X896" s="4">
        <f>AVERAGE(Table1[Purchase Amount])</f>
        <v>129.48419400000012</v>
      </c>
    </row>
    <row r="897" spans="1:24" ht="15" customHeight="1" x14ac:dyDescent="0.25">
      <c r="A897">
        <v>896</v>
      </c>
      <c r="B897">
        <v>40</v>
      </c>
      <c r="C897" t="s">
        <v>27</v>
      </c>
      <c r="D897" t="s">
        <v>64</v>
      </c>
      <c r="E897" t="s">
        <v>29</v>
      </c>
      <c r="F897" s="2">
        <v>69</v>
      </c>
      <c r="G897" t="s">
        <v>149</v>
      </c>
      <c r="H897" t="s">
        <v>20</v>
      </c>
      <c r="I897" t="s">
        <v>21</v>
      </c>
      <c r="J897" t="s">
        <v>33</v>
      </c>
      <c r="K897">
        <v>4.7</v>
      </c>
      <c r="L897" t="s">
        <v>34</v>
      </c>
      <c r="M897" t="s">
        <v>79</v>
      </c>
      <c r="N897" t="s">
        <v>34</v>
      </c>
      <c r="O897">
        <v>33</v>
      </c>
      <c r="P897" t="s">
        <v>36</v>
      </c>
      <c r="Q897" t="s">
        <v>37</v>
      </c>
      <c r="R897" s="1">
        <v>0.1</v>
      </c>
      <c r="S897">
        <f t="shared" si="52"/>
        <v>62.1</v>
      </c>
      <c r="T897">
        <f>IFERROR(VLOOKUP(A897,Table1[[Customer ID]:[Discount Amount]], 6, FALSE),"Not Found")</f>
        <v>69</v>
      </c>
      <c r="U897" t="str">
        <f t="shared" si="53"/>
        <v>Debit Card</v>
      </c>
      <c r="V897" s="4" t="str">
        <f t="shared" si="54"/>
        <v>Normal</v>
      </c>
      <c r="W897" s="4" t="str">
        <f t="shared" si="55"/>
        <v>Good</v>
      </c>
      <c r="X897" s="4">
        <f>AVERAGE(Table1[Purchase Amount])</f>
        <v>129.48419400000012</v>
      </c>
    </row>
    <row r="898" spans="1:24" ht="15" customHeight="1" x14ac:dyDescent="0.25">
      <c r="A898">
        <v>897</v>
      </c>
      <c r="B898">
        <v>69</v>
      </c>
      <c r="C898" t="s">
        <v>27</v>
      </c>
      <c r="D898" t="s">
        <v>50</v>
      </c>
      <c r="E898" t="s">
        <v>29</v>
      </c>
      <c r="F898" s="2">
        <v>29</v>
      </c>
      <c r="G898" t="s">
        <v>100</v>
      </c>
      <c r="H898" t="s">
        <v>31</v>
      </c>
      <c r="I898" t="s">
        <v>107</v>
      </c>
      <c r="J898" t="s">
        <v>33</v>
      </c>
      <c r="K898">
        <v>4.7</v>
      </c>
      <c r="L898" t="s">
        <v>34</v>
      </c>
      <c r="M898" t="s">
        <v>61</v>
      </c>
      <c r="N898" t="s">
        <v>34</v>
      </c>
      <c r="O898">
        <v>38</v>
      </c>
      <c r="P898" t="s">
        <v>25</v>
      </c>
      <c r="Q898" t="s">
        <v>89</v>
      </c>
      <c r="R898" s="1">
        <v>0.1</v>
      </c>
      <c r="S898">
        <f t="shared" ref="S898:S961" si="56">F898-(F898*R898)</f>
        <v>26.1</v>
      </c>
      <c r="T898">
        <f>IFERROR(VLOOKUP(A898,Table1[[Customer ID]:[Discount Amount]], 6, FALSE),"Not Found")</f>
        <v>29</v>
      </c>
      <c r="U898" t="str">
        <f t="shared" ref="U898:U961" si="57">INDEX(P:P, MATCH(A898, A:A, 0))</f>
        <v>Cash</v>
      </c>
      <c r="V898" s="4" t="str">
        <f t="shared" ref="V898:V961" si="58">IF(AND(F898&gt;1000,K898&gt;=4),"Best Customer","Normal")</f>
        <v>Normal</v>
      </c>
      <c r="W898" s="4" t="str">
        <f t="shared" ref="W898:W961" si="59">IF(K898&gt;=3,"Good","Poor")</f>
        <v>Good</v>
      </c>
      <c r="X898" s="4">
        <f>AVERAGE(Table1[Purchase Amount])</f>
        <v>129.48419400000012</v>
      </c>
    </row>
    <row r="899" spans="1:24" ht="15" customHeight="1" x14ac:dyDescent="0.25">
      <c r="A899">
        <v>898</v>
      </c>
      <c r="B899">
        <v>29</v>
      </c>
      <c r="C899" t="s">
        <v>27</v>
      </c>
      <c r="D899" t="s">
        <v>38</v>
      </c>
      <c r="E899" t="s">
        <v>18</v>
      </c>
      <c r="F899" s="2">
        <v>91</v>
      </c>
      <c r="G899" t="s">
        <v>44</v>
      </c>
      <c r="H899" t="s">
        <v>31</v>
      </c>
      <c r="I899" t="s">
        <v>85</v>
      </c>
      <c r="J899" t="s">
        <v>33</v>
      </c>
      <c r="K899">
        <v>3.4</v>
      </c>
      <c r="L899" t="s">
        <v>34</v>
      </c>
      <c r="M899" t="s">
        <v>61</v>
      </c>
      <c r="N899" t="s">
        <v>34</v>
      </c>
      <c r="O899">
        <v>46</v>
      </c>
      <c r="P899" t="s">
        <v>62</v>
      </c>
      <c r="Q899" t="s">
        <v>26</v>
      </c>
      <c r="R899" s="1">
        <v>0.1</v>
      </c>
      <c r="S899">
        <f t="shared" si="56"/>
        <v>81.900000000000006</v>
      </c>
      <c r="T899">
        <f>IFERROR(VLOOKUP(A899,Table1[[Customer ID]:[Discount Amount]], 6, FALSE),"Not Found")</f>
        <v>91</v>
      </c>
      <c r="U899" t="str">
        <f t="shared" si="57"/>
        <v>Venmo</v>
      </c>
      <c r="V899" s="4" t="str">
        <f t="shared" si="58"/>
        <v>Normal</v>
      </c>
      <c r="W899" s="4" t="str">
        <f t="shared" si="59"/>
        <v>Good</v>
      </c>
      <c r="X899" s="4">
        <f>AVERAGE(Table1[Purchase Amount])</f>
        <v>129.48419400000012</v>
      </c>
    </row>
    <row r="900" spans="1:24" ht="15" customHeight="1" x14ac:dyDescent="0.25">
      <c r="A900">
        <v>899</v>
      </c>
      <c r="B900">
        <v>54</v>
      </c>
      <c r="C900" t="s">
        <v>27</v>
      </c>
      <c r="D900" t="s">
        <v>114</v>
      </c>
      <c r="E900" t="s">
        <v>29</v>
      </c>
      <c r="F900" s="2">
        <v>70</v>
      </c>
      <c r="G900" t="s">
        <v>158</v>
      </c>
      <c r="H900" t="s">
        <v>45</v>
      </c>
      <c r="I900" t="s">
        <v>46</v>
      </c>
      <c r="J900" t="s">
        <v>33</v>
      </c>
      <c r="K900">
        <v>3.5</v>
      </c>
      <c r="L900" t="s">
        <v>34</v>
      </c>
      <c r="M900" t="s">
        <v>41</v>
      </c>
      <c r="N900" t="s">
        <v>34</v>
      </c>
      <c r="O900">
        <v>19</v>
      </c>
      <c r="P900" t="s">
        <v>88</v>
      </c>
      <c r="Q900" t="s">
        <v>63</v>
      </c>
      <c r="R900" s="1">
        <v>0.1</v>
      </c>
      <c r="S900">
        <f t="shared" si="56"/>
        <v>63</v>
      </c>
      <c r="T900">
        <f>IFERROR(VLOOKUP(A900,Table1[[Customer ID]:[Discount Amount]], 6, FALSE),"Not Found")</f>
        <v>70</v>
      </c>
      <c r="U900" t="str">
        <f t="shared" si="57"/>
        <v>Bank Transfer</v>
      </c>
      <c r="V900" s="4" t="str">
        <f t="shared" si="58"/>
        <v>Normal</v>
      </c>
      <c r="W900" s="4" t="str">
        <f t="shared" si="59"/>
        <v>Good</v>
      </c>
      <c r="X900" s="4">
        <f>AVERAGE(Table1[Purchase Amount])</f>
        <v>129.48419400000012</v>
      </c>
    </row>
    <row r="901" spans="1:24" ht="15" customHeight="1" x14ac:dyDescent="0.25">
      <c r="A901">
        <v>900</v>
      </c>
      <c r="B901">
        <v>65</v>
      </c>
      <c r="C901" t="s">
        <v>27</v>
      </c>
      <c r="D901" t="s">
        <v>127</v>
      </c>
      <c r="E901" t="s">
        <v>18</v>
      </c>
      <c r="F901" s="2">
        <v>58</v>
      </c>
      <c r="G901" t="s">
        <v>159</v>
      </c>
      <c r="H901" t="s">
        <v>31</v>
      </c>
      <c r="I901" t="s">
        <v>145</v>
      </c>
      <c r="J901" t="s">
        <v>57</v>
      </c>
      <c r="K901">
        <v>4</v>
      </c>
      <c r="L901" t="s">
        <v>34</v>
      </c>
      <c r="M901" t="s">
        <v>24</v>
      </c>
      <c r="N901" t="s">
        <v>34</v>
      </c>
      <c r="O901">
        <v>20</v>
      </c>
      <c r="P901" t="s">
        <v>58</v>
      </c>
      <c r="Q901" t="s">
        <v>49</v>
      </c>
      <c r="R901" s="1">
        <v>0.1</v>
      </c>
      <c r="S901">
        <f t="shared" si="56"/>
        <v>52.2</v>
      </c>
      <c r="T901">
        <f>IFERROR(VLOOKUP(A901,Table1[[Customer ID]:[Discount Amount]], 6, FALSE),"Not Found")</f>
        <v>58</v>
      </c>
      <c r="U901" t="str">
        <f t="shared" si="57"/>
        <v>PayPal</v>
      </c>
      <c r="V901" s="4" t="str">
        <f t="shared" si="58"/>
        <v>Normal</v>
      </c>
      <c r="W901" s="4" t="str">
        <f t="shared" si="59"/>
        <v>Good</v>
      </c>
      <c r="X901" s="4">
        <f>AVERAGE(Table1[Purchase Amount])</f>
        <v>129.48419400000012</v>
      </c>
    </row>
    <row r="902" spans="1:24" ht="15" customHeight="1" x14ac:dyDescent="0.25">
      <c r="A902">
        <v>901</v>
      </c>
      <c r="B902">
        <v>54</v>
      </c>
      <c r="C902" t="s">
        <v>27</v>
      </c>
      <c r="D902" t="s">
        <v>64</v>
      </c>
      <c r="E902" t="s">
        <v>29</v>
      </c>
      <c r="F902" s="2">
        <v>98</v>
      </c>
      <c r="G902" t="s">
        <v>154</v>
      </c>
      <c r="H902" t="s">
        <v>45</v>
      </c>
      <c r="I902" t="s">
        <v>85</v>
      </c>
      <c r="J902" t="s">
        <v>47</v>
      </c>
      <c r="K902">
        <v>3.3</v>
      </c>
      <c r="L902" t="s">
        <v>34</v>
      </c>
      <c r="M902" t="s">
        <v>35</v>
      </c>
      <c r="N902" t="s">
        <v>34</v>
      </c>
      <c r="O902">
        <v>42</v>
      </c>
      <c r="P902" t="s">
        <v>88</v>
      </c>
      <c r="Q902" t="s">
        <v>37</v>
      </c>
      <c r="R902" s="1">
        <v>0.1</v>
      </c>
      <c r="S902">
        <f t="shared" si="56"/>
        <v>88.2</v>
      </c>
      <c r="T902">
        <f>IFERROR(VLOOKUP(A902,Table1[[Customer ID]:[Discount Amount]], 6, FALSE),"Not Found")</f>
        <v>98</v>
      </c>
      <c r="U902" t="str">
        <f t="shared" si="57"/>
        <v>Bank Transfer</v>
      </c>
      <c r="V902" s="4" t="str">
        <f t="shared" si="58"/>
        <v>Normal</v>
      </c>
      <c r="W902" s="4" t="str">
        <f t="shared" si="59"/>
        <v>Good</v>
      </c>
      <c r="X902" s="4">
        <f>AVERAGE(Table1[Purchase Amount])</f>
        <v>129.48419400000012</v>
      </c>
    </row>
    <row r="903" spans="1:24" ht="15" customHeight="1" x14ac:dyDescent="0.25">
      <c r="A903">
        <v>902</v>
      </c>
      <c r="B903">
        <v>60</v>
      </c>
      <c r="C903" t="s">
        <v>27</v>
      </c>
      <c r="D903" t="s">
        <v>129</v>
      </c>
      <c r="E903" t="s">
        <v>29</v>
      </c>
      <c r="F903" s="2">
        <v>68</v>
      </c>
      <c r="G903" t="s">
        <v>146</v>
      </c>
      <c r="H903" t="s">
        <v>45</v>
      </c>
      <c r="I903" t="s">
        <v>111</v>
      </c>
      <c r="J903" t="s">
        <v>57</v>
      </c>
      <c r="K903">
        <v>4.7</v>
      </c>
      <c r="L903" t="s">
        <v>34</v>
      </c>
      <c r="M903" t="s">
        <v>41</v>
      </c>
      <c r="N903" t="s">
        <v>34</v>
      </c>
      <c r="O903">
        <v>34</v>
      </c>
      <c r="P903" t="s">
        <v>25</v>
      </c>
      <c r="Q903" t="s">
        <v>42</v>
      </c>
      <c r="R903" s="1">
        <v>0.1</v>
      </c>
      <c r="S903">
        <f t="shared" si="56"/>
        <v>61.2</v>
      </c>
      <c r="T903">
        <f>IFERROR(VLOOKUP(A903,Table1[[Customer ID]:[Discount Amount]], 6, FALSE),"Not Found")</f>
        <v>68</v>
      </c>
      <c r="U903" t="str">
        <f t="shared" si="57"/>
        <v>Cash</v>
      </c>
      <c r="V903" s="4" t="str">
        <f t="shared" si="58"/>
        <v>Normal</v>
      </c>
      <c r="W903" s="4" t="str">
        <f t="shared" si="59"/>
        <v>Good</v>
      </c>
      <c r="X903" s="4">
        <f>AVERAGE(Table1[Purchase Amount])</f>
        <v>129.48419400000012</v>
      </c>
    </row>
    <row r="904" spans="1:24" ht="15" customHeight="1" x14ac:dyDescent="0.25">
      <c r="A904">
        <v>903</v>
      </c>
      <c r="B904">
        <v>43</v>
      </c>
      <c r="C904" t="s">
        <v>27</v>
      </c>
      <c r="D904" t="s">
        <v>64</v>
      </c>
      <c r="E904" t="s">
        <v>29</v>
      </c>
      <c r="F904" s="2">
        <v>44</v>
      </c>
      <c r="G904" t="s">
        <v>70</v>
      </c>
      <c r="H904" t="s">
        <v>31</v>
      </c>
      <c r="I904" t="s">
        <v>56</v>
      </c>
      <c r="J904" t="s">
        <v>57</v>
      </c>
      <c r="K904">
        <v>2.8</v>
      </c>
      <c r="L904" t="s">
        <v>34</v>
      </c>
      <c r="M904" t="s">
        <v>79</v>
      </c>
      <c r="N904" t="s">
        <v>34</v>
      </c>
      <c r="O904">
        <v>5</v>
      </c>
      <c r="P904" t="s">
        <v>25</v>
      </c>
      <c r="Q904" t="s">
        <v>42</v>
      </c>
      <c r="R904" s="1">
        <v>0.1</v>
      </c>
      <c r="S904">
        <f t="shared" si="56"/>
        <v>39.6</v>
      </c>
      <c r="T904">
        <f>IFERROR(VLOOKUP(A904,Table1[[Customer ID]:[Discount Amount]], 6, FALSE),"Not Found")</f>
        <v>44</v>
      </c>
      <c r="U904" t="str">
        <f t="shared" si="57"/>
        <v>Cash</v>
      </c>
      <c r="V904" s="4" t="str">
        <f t="shared" si="58"/>
        <v>Normal</v>
      </c>
      <c r="W904" s="4" t="str">
        <f t="shared" si="59"/>
        <v>Poor</v>
      </c>
      <c r="X904" s="4">
        <f>AVERAGE(Table1[Purchase Amount])</f>
        <v>129.48419400000012</v>
      </c>
    </row>
    <row r="905" spans="1:24" ht="15" customHeight="1" x14ac:dyDescent="0.25">
      <c r="A905">
        <v>904</v>
      </c>
      <c r="B905">
        <v>44</v>
      </c>
      <c r="C905" t="s">
        <v>27</v>
      </c>
      <c r="D905" t="s">
        <v>96</v>
      </c>
      <c r="E905" t="s">
        <v>77</v>
      </c>
      <c r="F905" s="2">
        <v>45</v>
      </c>
      <c r="G905" t="s">
        <v>155</v>
      </c>
      <c r="H905" t="s">
        <v>31</v>
      </c>
      <c r="I905" t="s">
        <v>74</v>
      </c>
      <c r="J905" t="s">
        <v>22</v>
      </c>
      <c r="K905">
        <v>3.3</v>
      </c>
      <c r="L905" t="s">
        <v>34</v>
      </c>
      <c r="M905" t="s">
        <v>61</v>
      </c>
      <c r="N905" t="s">
        <v>34</v>
      </c>
      <c r="O905">
        <v>3</v>
      </c>
      <c r="P905" t="s">
        <v>58</v>
      </c>
      <c r="Q905" t="s">
        <v>37</v>
      </c>
      <c r="R905" s="1">
        <v>0.1</v>
      </c>
      <c r="S905">
        <f t="shared" si="56"/>
        <v>40.5</v>
      </c>
      <c r="T905">
        <f>IFERROR(VLOOKUP(A905,Table1[[Customer ID]:[Discount Amount]], 6, FALSE),"Not Found")</f>
        <v>45</v>
      </c>
      <c r="U905" t="str">
        <f t="shared" si="57"/>
        <v>PayPal</v>
      </c>
      <c r="V905" s="4" t="str">
        <f t="shared" si="58"/>
        <v>Normal</v>
      </c>
      <c r="W905" s="4" t="str">
        <f t="shared" si="59"/>
        <v>Good</v>
      </c>
      <c r="X905" s="4">
        <f>AVERAGE(Table1[Purchase Amount])</f>
        <v>129.48419400000012</v>
      </c>
    </row>
    <row r="906" spans="1:24" ht="15" customHeight="1" x14ac:dyDescent="0.25">
      <c r="A906">
        <v>905</v>
      </c>
      <c r="B906">
        <v>69</v>
      </c>
      <c r="C906" t="s">
        <v>27</v>
      </c>
      <c r="D906" t="s">
        <v>17</v>
      </c>
      <c r="E906" t="s">
        <v>18</v>
      </c>
      <c r="F906" s="2">
        <v>99</v>
      </c>
      <c r="G906" t="s">
        <v>148</v>
      </c>
      <c r="H906" t="s">
        <v>45</v>
      </c>
      <c r="I906" t="s">
        <v>87</v>
      </c>
      <c r="J906" t="s">
        <v>33</v>
      </c>
      <c r="K906">
        <v>2.9</v>
      </c>
      <c r="L906" t="s">
        <v>34</v>
      </c>
      <c r="M906" t="s">
        <v>35</v>
      </c>
      <c r="N906" t="s">
        <v>34</v>
      </c>
      <c r="O906">
        <v>46</v>
      </c>
      <c r="P906" t="s">
        <v>58</v>
      </c>
      <c r="Q906" t="s">
        <v>63</v>
      </c>
      <c r="R906" s="1">
        <v>0.1</v>
      </c>
      <c r="S906">
        <f t="shared" si="56"/>
        <v>89.1</v>
      </c>
      <c r="T906">
        <f>IFERROR(VLOOKUP(A906,Table1[[Customer ID]:[Discount Amount]], 6, FALSE),"Not Found")</f>
        <v>99</v>
      </c>
      <c r="U906" t="str">
        <f t="shared" si="57"/>
        <v>PayPal</v>
      </c>
      <c r="V906" s="4" t="str">
        <f t="shared" si="58"/>
        <v>Normal</v>
      </c>
      <c r="W906" s="4" t="str">
        <f t="shared" si="59"/>
        <v>Poor</v>
      </c>
      <c r="X906" s="4">
        <f>AVERAGE(Table1[Purchase Amount])</f>
        <v>129.48419400000012</v>
      </c>
    </row>
    <row r="907" spans="1:24" ht="15" customHeight="1" x14ac:dyDescent="0.25">
      <c r="A907">
        <v>906</v>
      </c>
      <c r="B907">
        <v>46</v>
      </c>
      <c r="C907" t="s">
        <v>27</v>
      </c>
      <c r="D907" t="s">
        <v>157</v>
      </c>
      <c r="E907" t="s">
        <v>18</v>
      </c>
      <c r="F907" s="2">
        <v>68</v>
      </c>
      <c r="G907" t="s">
        <v>149</v>
      </c>
      <c r="H907" t="s">
        <v>55</v>
      </c>
      <c r="I907" t="s">
        <v>128</v>
      </c>
      <c r="J907" t="s">
        <v>33</v>
      </c>
      <c r="K907">
        <v>2.8</v>
      </c>
      <c r="L907" t="s">
        <v>34</v>
      </c>
      <c r="M907" t="s">
        <v>24</v>
      </c>
      <c r="N907" t="s">
        <v>34</v>
      </c>
      <c r="O907">
        <v>16</v>
      </c>
      <c r="P907" t="s">
        <v>62</v>
      </c>
      <c r="Q907" t="s">
        <v>49</v>
      </c>
      <c r="R907" s="1">
        <v>0.1</v>
      </c>
      <c r="S907">
        <f t="shared" si="56"/>
        <v>61.2</v>
      </c>
      <c r="T907">
        <f>IFERROR(VLOOKUP(A907,Table1[[Customer ID]:[Discount Amount]], 6, FALSE),"Not Found")</f>
        <v>68</v>
      </c>
      <c r="U907" t="str">
        <f t="shared" si="57"/>
        <v>Venmo</v>
      </c>
      <c r="V907" s="4" t="str">
        <f t="shared" si="58"/>
        <v>Normal</v>
      </c>
      <c r="W907" s="4" t="str">
        <f t="shared" si="59"/>
        <v>Poor</v>
      </c>
      <c r="X907" s="4">
        <f>AVERAGE(Table1[Purchase Amount])</f>
        <v>129.48419400000012</v>
      </c>
    </row>
    <row r="908" spans="1:24" ht="15" customHeight="1" x14ac:dyDescent="0.25">
      <c r="A908">
        <v>907</v>
      </c>
      <c r="B908">
        <v>41</v>
      </c>
      <c r="C908" t="s">
        <v>27</v>
      </c>
      <c r="D908" t="s">
        <v>99</v>
      </c>
      <c r="E908" t="s">
        <v>18</v>
      </c>
      <c r="F908" s="2">
        <v>56</v>
      </c>
      <c r="G908" t="s">
        <v>30</v>
      </c>
      <c r="H908" t="s">
        <v>31</v>
      </c>
      <c r="I908" t="s">
        <v>46</v>
      </c>
      <c r="J908" t="s">
        <v>33</v>
      </c>
      <c r="K908">
        <v>4.2</v>
      </c>
      <c r="L908" t="s">
        <v>34</v>
      </c>
      <c r="M908" t="s">
        <v>24</v>
      </c>
      <c r="N908" t="s">
        <v>34</v>
      </c>
      <c r="O908">
        <v>21</v>
      </c>
      <c r="P908" t="s">
        <v>36</v>
      </c>
      <c r="Q908" t="s">
        <v>68</v>
      </c>
      <c r="R908" s="1">
        <v>0.1</v>
      </c>
      <c r="S908">
        <f t="shared" si="56"/>
        <v>50.4</v>
      </c>
      <c r="T908">
        <f>IFERROR(VLOOKUP(A908,Table1[[Customer ID]:[Discount Amount]], 6, FALSE),"Not Found")</f>
        <v>56</v>
      </c>
      <c r="U908" t="str">
        <f t="shared" si="57"/>
        <v>Debit Card</v>
      </c>
      <c r="V908" s="4" t="str">
        <f t="shared" si="58"/>
        <v>Normal</v>
      </c>
      <c r="W908" s="4" t="str">
        <f t="shared" si="59"/>
        <v>Good</v>
      </c>
      <c r="X908" s="4">
        <f>AVERAGE(Table1[Purchase Amount])</f>
        <v>129.48419400000012</v>
      </c>
    </row>
    <row r="909" spans="1:24" ht="15" customHeight="1" x14ac:dyDescent="0.25">
      <c r="A909">
        <v>908</v>
      </c>
      <c r="B909">
        <v>32</v>
      </c>
      <c r="C909" t="s">
        <v>27</v>
      </c>
      <c r="D909" t="s">
        <v>127</v>
      </c>
      <c r="E909" t="s">
        <v>18</v>
      </c>
      <c r="F909" s="2">
        <v>43</v>
      </c>
      <c r="G909" t="s">
        <v>146</v>
      </c>
      <c r="H909" t="s">
        <v>45</v>
      </c>
      <c r="I909" t="s">
        <v>128</v>
      </c>
      <c r="J909" t="s">
        <v>22</v>
      </c>
      <c r="K909">
        <v>4.4000000000000004</v>
      </c>
      <c r="L909" t="s">
        <v>34</v>
      </c>
      <c r="M909" t="s">
        <v>61</v>
      </c>
      <c r="N909" t="s">
        <v>34</v>
      </c>
      <c r="O909">
        <v>34</v>
      </c>
      <c r="P909" t="s">
        <v>53</v>
      </c>
      <c r="Q909" t="s">
        <v>68</v>
      </c>
      <c r="R909" s="1">
        <v>0.1</v>
      </c>
      <c r="S909">
        <f t="shared" si="56"/>
        <v>38.700000000000003</v>
      </c>
      <c r="T909">
        <f>IFERROR(VLOOKUP(A909,Table1[[Customer ID]:[Discount Amount]], 6, FALSE),"Not Found")</f>
        <v>43</v>
      </c>
      <c r="U909" t="str">
        <f t="shared" si="57"/>
        <v>Credit Card</v>
      </c>
      <c r="V909" s="4" t="str">
        <f t="shared" si="58"/>
        <v>Normal</v>
      </c>
      <c r="W909" s="4" t="str">
        <f t="shared" si="59"/>
        <v>Good</v>
      </c>
      <c r="X909" s="4">
        <f>AVERAGE(Table1[Purchase Amount])</f>
        <v>129.48419400000012</v>
      </c>
    </row>
    <row r="910" spans="1:24" ht="15" customHeight="1" x14ac:dyDescent="0.25">
      <c r="A910">
        <v>909</v>
      </c>
      <c r="B910">
        <v>26</v>
      </c>
      <c r="C910" t="s">
        <v>27</v>
      </c>
      <c r="D910" t="s">
        <v>28</v>
      </c>
      <c r="E910" t="s">
        <v>29</v>
      </c>
      <c r="F910" s="2">
        <v>99</v>
      </c>
      <c r="G910" t="s">
        <v>131</v>
      </c>
      <c r="H910" t="s">
        <v>31</v>
      </c>
      <c r="I910" t="s">
        <v>156</v>
      </c>
      <c r="J910" t="s">
        <v>22</v>
      </c>
      <c r="K910">
        <v>3.6</v>
      </c>
      <c r="L910" t="s">
        <v>34</v>
      </c>
      <c r="M910" t="s">
        <v>35</v>
      </c>
      <c r="N910" t="s">
        <v>34</v>
      </c>
      <c r="O910">
        <v>9</v>
      </c>
      <c r="P910" t="s">
        <v>58</v>
      </c>
      <c r="Q910" t="s">
        <v>63</v>
      </c>
      <c r="R910" s="1">
        <v>0.1</v>
      </c>
      <c r="S910">
        <f t="shared" si="56"/>
        <v>89.1</v>
      </c>
      <c r="T910">
        <f>IFERROR(VLOOKUP(A910,Table1[[Customer ID]:[Discount Amount]], 6, FALSE),"Not Found")</f>
        <v>99</v>
      </c>
      <c r="U910" t="str">
        <f t="shared" si="57"/>
        <v>PayPal</v>
      </c>
      <c r="V910" s="4" t="str">
        <f t="shared" si="58"/>
        <v>Normal</v>
      </c>
      <c r="W910" s="4" t="str">
        <f t="shared" si="59"/>
        <v>Good</v>
      </c>
      <c r="X910" s="4">
        <f>AVERAGE(Table1[Purchase Amount])</f>
        <v>129.48419400000012</v>
      </c>
    </row>
    <row r="911" spans="1:24" ht="15" customHeight="1" x14ac:dyDescent="0.25">
      <c r="A911">
        <v>910</v>
      </c>
      <c r="B911">
        <v>61</v>
      </c>
      <c r="C911" t="s">
        <v>27</v>
      </c>
      <c r="D911" t="s">
        <v>114</v>
      </c>
      <c r="E911" t="s">
        <v>29</v>
      </c>
      <c r="F911" s="2">
        <v>56</v>
      </c>
      <c r="G911" t="s">
        <v>119</v>
      </c>
      <c r="H911" t="s">
        <v>45</v>
      </c>
      <c r="I911" t="s">
        <v>153</v>
      </c>
      <c r="J911" t="s">
        <v>47</v>
      </c>
      <c r="K911">
        <v>2.7</v>
      </c>
      <c r="L911" t="s">
        <v>34</v>
      </c>
      <c r="M911" t="s">
        <v>61</v>
      </c>
      <c r="N911" t="s">
        <v>34</v>
      </c>
      <c r="O911">
        <v>36</v>
      </c>
      <c r="P911" t="s">
        <v>58</v>
      </c>
      <c r="Q911" t="s">
        <v>26</v>
      </c>
      <c r="R911" s="1">
        <v>0.1</v>
      </c>
      <c r="S911">
        <f t="shared" si="56"/>
        <v>50.4</v>
      </c>
      <c r="T911">
        <f>IFERROR(VLOOKUP(A911,Table1[[Customer ID]:[Discount Amount]], 6, FALSE),"Not Found")</f>
        <v>56</v>
      </c>
      <c r="U911" t="str">
        <f t="shared" si="57"/>
        <v>PayPal</v>
      </c>
      <c r="V911" s="4" t="str">
        <f t="shared" si="58"/>
        <v>Normal</v>
      </c>
      <c r="W911" s="4" t="str">
        <f t="shared" si="59"/>
        <v>Poor</v>
      </c>
      <c r="X911" s="4">
        <f>AVERAGE(Table1[Purchase Amount])</f>
        <v>129.48419400000012</v>
      </c>
    </row>
    <row r="912" spans="1:24" ht="15" customHeight="1" x14ac:dyDescent="0.25">
      <c r="A912">
        <v>911</v>
      </c>
      <c r="B912">
        <v>49</v>
      </c>
      <c r="C912" t="s">
        <v>27</v>
      </c>
      <c r="D912" t="s">
        <v>83</v>
      </c>
      <c r="E912" t="s">
        <v>18</v>
      </c>
      <c r="F912" s="2">
        <v>25</v>
      </c>
      <c r="G912" t="s">
        <v>30</v>
      </c>
      <c r="H912" t="s">
        <v>55</v>
      </c>
      <c r="I912" t="s">
        <v>136</v>
      </c>
      <c r="J912" t="s">
        <v>33</v>
      </c>
      <c r="K912">
        <v>3.4</v>
      </c>
      <c r="L912" t="s">
        <v>34</v>
      </c>
      <c r="M912" t="s">
        <v>61</v>
      </c>
      <c r="N912" t="s">
        <v>34</v>
      </c>
      <c r="O912">
        <v>22</v>
      </c>
      <c r="P912" t="s">
        <v>53</v>
      </c>
      <c r="Q912" t="s">
        <v>42</v>
      </c>
      <c r="R912" s="1">
        <v>0.1</v>
      </c>
      <c r="S912">
        <f t="shared" si="56"/>
        <v>22.5</v>
      </c>
      <c r="T912">
        <f>IFERROR(VLOOKUP(A912,Table1[[Customer ID]:[Discount Amount]], 6, FALSE),"Not Found")</f>
        <v>25</v>
      </c>
      <c r="U912" t="str">
        <f t="shared" si="57"/>
        <v>Credit Card</v>
      </c>
      <c r="V912" s="4" t="str">
        <f t="shared" si="58"/>
        <v>Normal</v>
      </c>
      <c r="W912" s="4" t="str">
        <f t="shared" si="59"/>
        <v>Good</v>
      </c>
      <c r="X912" s="4">
        <f>AVERAGE(Table1[Purchase Amount])</f>
        <v>129.48419400000012</v>
      </c>
    </row>
    <row r="913" spans="1:24" ht="15" customHeight="1" x14ac:dyDescent="0.25">
      <c r="A913">
        <v>912</v>
      </c>
      <c r="B913">
        <v>53</v>
      </c>
      <c r="C913" t="s">
        <v>27</v>
      </c>
      <c r="D913" t="s">
        <v>99</v>
      </c>
      <c r="E913" t="s">
        <v>18</v>
      </c>
      <c r="F913" s="2">
        <v>74</v>
      </c>
      <c r="G913" t="s">
        <v>84</v>
      </c>
      <c r="H913" t="s">
        <v>31</v>
      </c>
      <c r="I913" t="s">
        <v>40</v>
      </c>
      <c r="J913" t="s">
        <v>22</v>
      </c>
      <c r="K913">
        <v>2.8</v>
      </c>
      <c r="L913" t="s">
        <v>34</v>
      </c>
      <c r="M913" t="s">
        <v>41</v>
      </c>
      <c r="N913" t="s">
        <v>34</v>
      </c>
      <c r="O913">
        <v>2</v>
      </c>
      <c r="P913" t="s">
        <v>88</v>
      </c>
      <c r="Q913" t="s">
        <v>37</v>
      </c>
      <c r="R913" s="1">
        <v>0.1</v>
      </c>
      <c r="S913">
        <f t="shared" si="56"/>
        <v>66.599999999999994</v>
      </c>
      <c r="T913">
        <f>IFERROR(VLOOKUP(A913,Table1[[Customer ID]:[Discount Amount]], 6, FALSE),"Not Found")</f>
        <v>74</v>
      </c>
      <c r="U913" t="str">
        <f t="shared" si="57"/>
        <v>Bank Transfer</v>
      </c>
      <c r="V913" s="4" t="str">
        <f t="shared" si="58"/>
        <v>Normal</v>
      </c>
      <c r="W913" s="4" t="str">
        <f t="shared" si="59"/>
        <v>Poor</v>
      </c>
      <c r="X913" s="4">
        <f>AVERAGE(Table1[Purchase Amount])</f>
        <v>129.48419400000012</v>
      </c>
    </row>
    <row r="914" spans="1:24" ht="15" customHeight="1" x14ac:dyDescent="0.25">
      <c r="A914">
        <v>913</v>
      </c>
      <c r="B914">
        <v>24</v>
      </c>
      <c r="C914" t="s">
        <v>27</v>
      </c>
      <c r="D914" t="s">
        <v>83</v>
      </c>
      <c r="E914" t="s">
        <v>18</v>
      </c>
      <c r="F914" s="2">
        <v>56</v>
      </c>
      <c r="G914" t="s">
        <v>100</v>
      </c>
      <c r="H914" t="s">
        <v>31</v>
      </c>
      <c r="I914" t="s">
        <v>93</v>
      </c>
      <c r="J914" t="s">
        <v>22</v>
      </c>
      <c r="K914">
        <v>3.4</v>
      </c>
      <c r="L914" t="s">
        <v>34</v>
      </c>
      <c r="M914" t="s">
        <v>79</v>
      </c>
      <c r="N914" t="s">
        <v>34</v>
      </c>
      <c r="O914">
        <v>32</v>
      </c>
      <c r="P914" t="s">
        <v>88</v>
      </c>
      <c r="Q914" t="s">
        <v>42</v>
      </c>
      <c r="R914" s="1">
        <v>0.1</v>
      </c>
      <c r="S914">
        <f t="shared" si="56"/>
        <v>50.4</v>
      </c>
      <c r="T914">
        <f>IFERROR(VLOOKUP(A914,Table1[[Customer ID]:[Discount Amount]], 6, FALSE),"Not Found")</f>
        <v>56</v>
      </c>
      <c r="U914" t="str">
        <f t="shared" si="57"/>
        <v>Bank Transfer</v>
      </c>
      <c r="V914" s="4" t="str">
        <f t="shared" si="58"/>
        <v>Normal</v>
      </c>
      <c r="W914" s="4" t="str">
        <f t="shared" si="59"/>
        <v>Good</v>
      </c>
      <c r="X914" s="4">
        <f>AVERAGE(Table1[Purchase Amount])</f>
        <v>129.48419400000012</v>
      </c>
    </row>
    <row r="915" spans="1:24" ht="15" customHeight="1" x14ac:dyDescent="0.25">
      <c r="A915">
        <v>914</v>
      </c>
      <c r="B915">
        <v>37</v>
      </c>
      <c r="C915" t="s">
        <v>27</v>
      </c>
      <c r="D915" t="s">
        <v>140</v>
      </c>
      <c r="E915" t="s">
        <v>98</v>
      </c>
      <c r="F915" s="2">
        <v>47</v>
      </c>
      <c r="G915" t="s">
        <v>144</v>
      </c>
      <c r="H915" t="s">
        <v>31</v>
      </c>
      <c r="I915" t="s">
        <v>52</v>
      </c>
      <c r="J915" t="s">
        <v>47</v>
      </c>
      <c r="K915">
        <v>2.6</v>
      </c>
      <c r="L915" t="s">
        <v>34</v>
      </c>
      <c r="M915" t="s">
        <v>79</v>
      </c>
      <c r="N915" t="s">
        <v>34</v>
      </c>
      <c r="O915">
        <v>29</v>
      </c>
      <c r="P915" t="s">
        <v>25</v>
      </c>
      <c r="Q915" t="s">
        <v>63</v>
      </c>
      <c r="R915" s="1">
        <v>0.1</v>
      </c>
      <c r="S915">
        <f t="shared" si="56"/>
        <v>42.3</v>
      </c>
      <c r="T915">
        <f>IFERROR(VLOOKUP(A915,Table1[[Customer ID]:[Discount Amount]], 6, FALSE),"Not Found")</f>
        <v>47</v>
      </c>
      <c r="U915" t="str">
        <f t="shared" si="57"/>
        <v>Cash</v>
      </c>
      <c r="V915" s="4" t="str">
        <f t="shared" si="58"/>
        <v>Normal</v>
      </c>
      <c r="W915" s="4" t="str">
        <f t="shared" si="59"/>
        <v>Poor</v>
      </c>
      <c r="X915" s="4">
        <f>AVERAGE(Table1[Purchase Amount])</f>
        <v>129.48419400000012</v>
      </c>
    </row>
    <row r="916" spans="1:24" ht="15" customHeight="1" x14ac:dyDescent="0.25">
      <c r="A916">
        <v>915</v>
      </c>
      <c r="B916">
        <v>43</v>
      </c>
      <c r="C916" t="s">
        <v>27</v>
      </c>
      <c r="D916" t="s">
        <v>157</v>
      </c>
      <c r="E916" t="s">
        <v>18</v>
      </c>
      <c r="F916" s="2">
        <v>67</v>
      </c>
      <c r="G916" t="s">
        <v>155</v>
      </c>
      <c r="H916" t="s">
        <v>45</v>
      </c>
      <c r="I916" t="s">
        <v>66</v>
      </c>
      <c r="J916" t="s">
        <v>57</v>
      </c>
      <c r="K916">
        <v>4.0999999999999996</v>
      </c>
      <c r="L916" t="s">
        <v>34</v>
      </c>
      <c r="M916" t="s">
        <v>24</v>
      </c>
      <c r="N916" t="s">
        <v>34</v>
      </c>
      <c r="O916">
        <v>27</v>
      </c>
      <c r="P916" t="s">
        <v>62</v>
      </c>
      <c r="Q916" t="s">
        <v>63</v>
      </c>
      <c r="R916" s="1">
        <v>0.1</v>
      </c>
      <c r="S916">
        <f t="shared" si="56"/>
        <v>60.3</v>
      </c>
      <c r="T916">
        <f>IFERROR(VLOOKUP(A916,Table1[[Customer ID]:[Discount Amount]], 6, FALSE),"Not Found")</f>
        <v>67</v>
      </c>
      <c r="U916" t="str">
        <f t="shared" si="57"/>
        <v>Venmo</v>
      </c>
      <c r="V916" s="4" t="str">
        <f t="shared" si="58"/>
        <v>Normal</v>
      </c>
      <c r="W916" s="4" t="str">
        <f t="shared" si="59"/>
        <v>Good</v>
      </c>
      <c r="X916" s="4">
        <f>AVERAGE(Table1[Purchase Amount])</f>
        <v>129.48419400000012</v>
      </c>
    </row>
    <row r="917" spans="1:24" ht="15" customHeight="1" x14ac:dyDescent="0.25">
      <c r="A917">
        <v>916</v>
      </c>
      <c r="B917">
        <v>31</v>
      </c>
      <c r="C917" t="s">
        <v>27</v>
      </c>
      <c r="D917" t="s">
        <v>157</v>
      </c>
      <c r="E917" t="s">
        <v>18</v>
      </c>
      <c r="F917" s="2">
        <v>22</v>
      </c>
      <c r="G917" t="s">
        <v>159</v>
      </c>
      <c r="H917" t="s">
        <v>45</v>
      </c>
      <c r="I917" t="s">
        <v>66</v>
      </c>
      <c r="J917" t="s">
        <v>22</v>
      </c>
      <c r="K917">
        <v>2.9</v>
      </c>
      <c r="L917" t="s">
        <v>34</v>
      </c>
      <c r="M917" t="s">
        <v>48</v>
      </c>
      <c r="N917" t="s">
        <v>34</v>
      </c>
      <c r="O917">
        <v>33</v>
      </c>
      <c r="P917" t="s">
        <v>53</v>
      </c>
      <c r="Q917" t="s">
        <v>89</v>
      </c>
      <c r="R917" s="1">
        <v>0.1</v>
      </c>
      <c r="S917">
        <f t="shared" si="56"/>
        <v>19.8</v>
      </c>
      <c r="T917">
        <f>IFERROR(VLOOKUP(A917,Table1[[Customer ID]:[Discount Amount]], 6, FALSE),"Not Found")</f>
        <v>22</v>
      </c>
      <c r="U917" t="str">
        <f t="shared" si="57"/>
        <v>Credit Card</v>
      </c>
      <c r="V917" s="4" t="str">
        <f t="shared" si="58"/>
        <v>Normal</v>
      </c>
      <c r="W917" s="4" t="str">
        <f t="shared" si="59"/>
        <v>Poor</v>
      </c>
      <c r="X917" s="4">
        <f>AVERAGE(Table1[Purchase Amount])</f>
        <v>129.48419400000012</v>
      </c>
    </row>
    <row r="918" spans="1:24" ht="15" customHeight="1" x14ac:dyDescent="0.25">
      <c r="A918">
        <v>917</v>
      </c>
      <c r="B918">
        <v>49</v>
      </c>
      <c r="C918" t="s">
        <v>27</v>
      </c>
      <c r="D918" t="s">
        <v>109</v>
      </c>
      <c r="E918" t="s">
        <v>18</v>
      </c>
      <c r="F918" s="2">
        <v>34</v>
      </c>
      <c r="G918" t="s">
        <v>44</v>
      </c>
      <c r="H918" t="s">
        <v>55</v>
      </c>
      <c r="I918" t="s">
        <v>74</v>
      </c>
      <c r="J918" t="s">
        <v>33</v>
      </c>
      <c r="K918">
        <v>2.7</v>
      </c>
      <c r="L918" t="s">
        <v>34</v>
      </c>
      <c r="M918" t="s">
        <v>24</v>
      </c>
      <c r="N918" t="s">
        <v>34</v>
      </c>
      <c r="O918">
        <v>16</v>
      </c>
      <c r="P918" t="s">
        <v>62</v>
      </c>
      <c r="Q918" t="s">
        <v>42</v>
      </c>
      <c r="R918" s="1">
        <v>0.1</v>
      </c>
      <c r="S918">
        <f t="shared" si="56"/>
        <v>30.6</v>
      </c>
      <c r="T918">
        <f>IFERROR(VLOOKUP(A918,Table1[[Customer ID]:[Discount Amount]], 6, FALSE),"Not Found")</f>
        <v>34</v>
      </c>
      <c r="U918" t="str">
        <f t="shared" si="57"/>
        <v>Venmo</v>
      </c>
      <c r="V918" s="4" t="str">
        <f t="shared" si="58"/>
        <v>Normal</v>
      </c>
      <c r="W918" s="4" t="str">
        <f t="shared" si="59"/>
        <v>Poor</v>
      </c>
      <c r="X918" s="4">
        <f>AVERAGE(Table1[Purchase Amount])</f>
        <v>129.48419400000012</v>
      </c>
    </row>
    <row r="919" spans="1:24" ht="15" customHeight="1" x14ac:dyDescent="0.25">
      <c r="A919">
        <v>918</v>
      </c>
      <c r="B919">
        <v>69</v>
      </c>
      <c r="C919" t="s">
        <v>27</v>
      </c>
      <c r="D919" t="s">
        <v>127</v>
      </c>
      <c r="E919" t="s">
        <v>18</v>
      </c>
      <c r="F919" s="2">
        <v>64</v>
      </c>
      <c r="G919" t="s">
        <v>146</v>
      </c>
      <c r="H919" t="s">
        <v>31</v>
      </c>
      <c r="I919" t="s">
        <v>125</v>
      </c>
      <c r="J919" t="s">
        <v>33</v>
      </c>
      <c r="K919">
        <v>3.7</v>
      </c>
      <c r="L919" t="s">
        <v>34</v>
      </c>
      <c r="M919" t="s">
        <v>24</v>
      </c>
      <c r="N919" t="s">
        <v>34</v>
      </c>
      <c r="O919">
        <v>11</v>
      </c>
      <c r="P919" t="s">
        <v>88</v>
      </c>
      <c r="Q919" t="s">
        <v>37</v>
      </c>
      <c r="R919" s="1">
        <v>0.1</v>
      </c>
      <c r="S919">
        <f t="shared" si="56"/>
        <v>57.6</v>
      </c>
      <c r="T919">
        <f>IFERROR(VLOOKUP(A919,Table1[[Customer ID]:[Discount Amount]], 6, FALSE),"Not Found")</f>
        <v>64</v>
      </c>
      <c r="U919" t="str">
        <f t="shared" si="57"/>
        <v>Bank Transfer</v>
      </c>
      <c r="V919" s="4" t="str">
        <f t="shared" si="58"/>
        <v>Normal</v>
      </c>
      <c r="W919" s="4" t="str">
        <f t="shared" si="59"/>
        <v>Good</v>
      </c>
      <c r="X919" s="4">
        <f>AVERAGE(Table1[Purchase Amount])</f>
        <v>129.48419400000012</v>
      </c>
    </row>
    <row r="920" spans="1:24" ht="15" customHeight="1" x14ac:dyDescent="0.25">
      <c r="A920">
        <v>919</v>
      </c>
      <c r="B920">
        <v>65</v>
      </c>
      <c r="C920" t="s">
        <v>27</v>
      </c>
      <c r="D920" t="s">
        <v>54</v>
      </c>
      <c r="E920" t="s">
        <v>18</v>
      </c>
      <c r="F920" s="2">
        <v>42</v>
      </c>
      <c r="G920" t="s">
        <v>134</v>
      </c>
      <c r="H920" t="s">
        <v>31</v>
      </c>
      <c r="I920" t="s">
        <v>108</v>
      </c>
      <c r="J920" t="s">
        <v>33</v>
      </c>
      <c r="K920">
        <v>4.3</v>
      </c>
      <c r="L920" t="s">
        <v>34</v>
      </c>
      <c r="M920" t="s">
        <v>41</v>
      </c>
      <c r="N920" t="s">
        <v>34</v>
      </c>
      <c r="O920">
        <v>11</v>
      </c>
      <c r="P920" t="s">
        <v>25</v>
      </c>
      <c r="Q920" t="s">
        <v>89</v>
      </c>
      <c r="R920" s="1">
        <v>0.1</v>
      </c>
      <c r="S920">
        <f t="shared" si="56"/>
        <v>37.799999999999997</v>
      </c>
      <c r="T920">
        <f>IFERROR(VLOOKUP(A920,Table1[[Customer ID]:[Discount Amount]], 6, FALSE),"Not Found")</f>
        <v>42</v>
      </c>
      <c r="U920" t="str">
        <f t="shared" si="57"/>
        <v>Cash</v>
      </c>
      <c r="V920" s="4" t="str">
        <f t="shared" si="58"/>
        <v>Normal</v>
      </c>
      <c r="W920" s="4" t="str">
        <f t="shared" si="59"/>
        <v>Good</v>
      </c>
      <c r="X920" s="4">
        <f>AVERAGE(Table1[Purchase Amount])</f>
        <v>129.48419400000012</v>
      </c>
    </row>
    <row r="921" spans="1:24" ht="15" customHeight="1" x14ac:dyDescent="0.25">
      <c r="A921">
        <v>920</v>
      </c>
      <c r="B921">
        <v>41</v>
      </c>
      <c r="C921" t="s">
        <v>27</v>
      </c>
      <c r="D921" t="s">
        <v>38</v>
      </c>
      <c r="E921" t="s">
        <v>18</v>
      </c>
      <c r="F921" s="2">
        <v>82</v>
      </c>
      <c r="G921" t="s">
        <v>97</v>
      </c>
      <c r="H921" t="s">
        <v>45</v>
      </c>
      <c r="I921" t="s">
        <v>93</v>
      </c>
      <c r="J921" t="s">
        <v>22</v>
      </c>
      <c r="K921">
        <v>2.6</v>
      </c>
      <c r="L921" t="s">
        <v>34</v>
      </c>
      <c r="M921" t="s">
        <v>41</v>
      </c>
      <c r="N921" t="s">
        <v>34</v>
      </c>
      <c r="O921">
        <v>17</v>
      </c>
      <c r="P921" t="s">
        <v>36</v>
      </c>
      <c r="Q921" t="s">
        <v>68</v>
      </c>
      <c r="R921" s="1">
        <v>0.1</v>
      </c>
      <c r="S921">
        <f t="shared" si="56"/>
        <v>73.8</v>
      </c>
      <c r="T921">
        <f>IFERROR(VLOOKUP(A921,Table1[[Customer ID]:[Discount Amount]], 6, FALSE),"Not Found")</f>
        <v>82</v>
      </c>
      <c r="U921" t="str">
        <f t="shared" si="57"/>
        <v>Debit Card</v>
      </c>
      <c r="V921" s="4" t="str">
        <f t="shared" si="58"/>
        <v>Normal</v>
      </c>
      <c r="W921" s="4" t="str">
        <f t="shared" si="59"/>
        <v>Poor</v>
      </c>
      <c r="X921" s="4">
        <f>AVERAGE(Table1[Purchase Amount])</f>
        <v>129.48419400000012</v>
      </c>
    </row>
    <row r="922" spans="1:24" ht="15" customHeight="1" x14ac:dyDescent="0.25">
      <c r="A922">
        <v>921</v>
      </c>
      <c r="B922">
        <v>37</v>
      </c>
      <c r="C922" t="s">
        <v>27</v>
      </c>
      <c r="D922" t="s">
        <v>114</v>
      </c>
      <c r="E922" t="s">
        <v>29</v>
      </c>
      <c r="F922" s="2">
        <v>81</v>
      </c>
      <c r="G922" t="s">
        <v>100</v>
      </c>
      <c r="H922" t="s">
        <v>20</v>
      </c>
      <c r="I922" t="s">
        <v>133</v>
      </c>
      <c r="J922" t="s">
        <v>57</v>
      </c>
      <c r="K922">
        <v>4.3</v>
      </c>
      <c r="L922" t="s">
        <v>34</v>
      </c>
      <c r="M922" t="s">
        <v>35</v>
      </c>
      <c r="N922" t="s">
        <v>34</v>
      </c>
      <c r="O922">
        <v>37</v>
      </c>
      <c r="P922" t="s">
        <v>25</v>
      </c>
      <c r="Q922" t="s">
        <v>26</v>
      </c>
      <c r="R922" s="1">
        <v>0.1</v>
      </c>
      <c r="S922">
        <f t="shared" si="56"/>
        <v>72.900000000000006</v>
      </c>
      <c r="T922">
        <f>IFERROR(VLOOKUP(A922,Table1[[Customer ID]:[Discount Amount]], 6, FALSE),"Not Found")</f>
        <v>81</v>
      </c>
      <c r="U922" t="str">
        <f t="shared" si="57"/>
        <v>Cash</v>
      </c>
      <c r="V922" s="4" t="str">
        <f t="shared" si="58"/>
        <v>Normal</v>
      </c>
      <c r="W922" s="4" t="str">
        <f t="shared" si="59"/>
        <v>Good</v>
      </c>
      <c r="X922" s="4">
        <f>AVERAGE(Table1[Purchase Amount])</f>
        <v>129.48419400000012</v>
      </c>
    </row>
    <row r="923" spans="1:24" ht="15" customHeight="1" x14ac:dyDescent="0.25">
      <c r="A923">
        <v>922</v>
      </c>
      <c r="B923">
        <v>70</v>
      </c>
      <c r="C923" t="s">
        <v>27</v>
      </c>
      <c r="D923" t="s">
        <v>76</v>
      </c>
      <c r="E923" t="s">
        <v>77</v>
      </c>
      <c r="F923" s="2">
        <v>24</v>
      </c>
      <c r="G923" t="s">
        <v>130</v>
      </c>
      <c r="H923" t="s">
        <v>45</v>
      </c>
      <c r="I923" t="s">
        <v>153</v>
      </c>
      <c r="J923" t="s">
        <v>57</v>
      </c>
      <c r="K923">
        <v>4.0999999999999996</v>
      </c>
      <c r="L923" t="s">
        <v>34</v>
      </c>
      <c r="M923" t="s">
        <v>61</v>
      </c>
      <c r="N923" t="s">
        <v>34</v>
      </c>
      <c r="O923">
        <v>18</v>
      </c>
      <c r="P923" t="s">
        <v>58</v>
      </c>
      <c r="Q923" t="s">
        <v>26</v>
      </c>
      <c r="R923" s="1">
        <v>0.1</v>
      </c>
      <c r="S923">
        <f t="shared" si="56"/>
        <v>21.6</v>
      </c>
      <c r="T923">
        <f>IFERROR(VLOOKUP(A923,Table1[[Customer ID]:[Discount Amount]], 6, FALSE),"Not Found")</f>
        <v>24</v>
      </c>
      <c r="U923" t="str">
        <f t="shared" si="57"/>
        <v>PayPal</v>
      </c>
      <c r="V923" s="4" t="str">
        <f t="shared" si="58"/>
        <v>Normal</v>
      </c>
      <c r="W923" s="4" t="str">
        <f t="shared" si="59"/>
        <v>Good</v>
      </c>
      <c r="X923" s="4">
        <f>AVERAGE(Table1[Purchase Amount])</f>
        <v>129.48419400000012</v>
      </c>
    </row>
    <row r="924" spans="1:24" ht="15" customHeight="1" x14ac:dyDescent="0.25">
      <c r="A924">
        <v>923</v>
      </c>
      <c r="B924">
        <v>63</v>
      </c>
      <c r="C924" t="s">
        <v>27</v>
      </c>
      <c r="D924" t="s">
        <v>140</v>
      </c>
      <c r="E924" t="s">
        <v>98</v>
      </c>
      <c r="F924" s="2">
        <v>60</v>
      </c>
      <c r="G924" t="s">
        <v>160</v>
      </c>
      <c r="H924" t="s">
        <v>31</v>
      </c>
      <c r="I924" t="s">
        <v>128</v>
      </c>
      <c r="J924" t="s">
        <v>47</v>
      </c>
      <c r="K924">
        <v>4.2</v>
      </c>
      <c r="L924" t="s">
        <v>34</v>
      </c>
      <c r="M924" t="s">
        <v>24</v>
      </c>
      <c r="N924" t="s">
        <v>34</v>
      </c>
      <c r="O924">
        <v>13</v>
      </c>
      <c r="P924" t="s">
        <v>53</v>
      </c>
      <c r="Q924" t="s">
        <v>42</v>
      </c>
      <c r="R924" s="1">
        <v>0.1</v>
      </c>
      <c r="S924">
        <f t="shared" si="56"/>
        <v>54</v>
      </c>
      <c r="T924">
        <f>IFERROR(VLOOKUP(A924,Table1[[Customer ID]:[Discount Amount]], 6, FALSE),"Not Found")</f>
        <v>60</v>
      </c>
      <c r="U924" t="str">
        <f t="shared" si="57"/>
        <v>Credit Card</v>
      </c>
      <c r="V924" s="4" t="str">
        <f t="shared" si="58"/>
        <v>Normal</v>
      </c>
      <c r="W924" s="4" t="str">
        <f t="shared" si="59"/>
        <v>Good</v>
      </c>
      <c r="X924" s="4">
        <f>AVERAGE(Table1[Purchase Amount])</f>
        <v>129.48419400000012</v>
      </c>
    </row>
    <row r="925" spans="1:24" ht="15" customHeight="1" x14ac:dyDescent="0.25">
      <c r="A925">
        <v>924</v>
      </c>
      <c r="B925">
        <v>55</v>
      </c>
      <c r="C925" t="s">
        <v>27</v>
      </c>
      <c r="D925" t="s">
        <v>38</v>
      </c>
      <c r="E925" t="s">
        <v>18</v>
      </c>
      <c r="F925" s="2">
        <v>24</v>
      </c>
      <c r="G925" t="s">
        <v>100</v>
      </c>
      <c r="H925" t="s">
        <v>31</v>
      </c>
      <c r="I925" t="s">
        <v>153</v>
      </c>
      <c r="J925" t="s">
        <v>33</v>
      </c>
      <c r="K925">
        <v>4.2</v>
      </c>
      <c r="L925" t="s">
        <v>34</v>
      </c>
      <c r="M925" t="s">
        <v>41</v>
      </c>
      <c r="N925" t="s">
        <v>34</v>
      </c>
      <c r="O925">
        <v>7</v>
      </c>
      <c r="P925" t="s">
        <v>58</v>
      </c>
      <c r="Q925" t="s">
        <v>26</v>
      </c>
      <c r="R925" s="1">
        <v>0.1</v>
      </c>
      <c r="S925">
        <f t="shared" si="56"/>
        <v>21.6</v>
      </c>
      <c r="T925">
        <f>IFERROR(VLOOKUP(A925,Table1[[Customer ID]:[Discount Amount]], 6, FALSE),"Not Found")</f>
        <v>24</v>
      </c>
      <c r="U925" t="str">
        <f t="shared" si="57"/>
        <v>PayPal</v>
      </c>
      <c r="V925" s="4" t="str">
        <f t="shared" si="58"/>
        <v>Normal</v>
      </c>
      <c r="W925" s="4" t="str">
        <f t="shared" si="59"/>
        <v>Good</v>
      </c>
      <c r="X925" s="4">
        <f>AVERAGE(Table1[Purchase Amount])</f>
        <v>129.48419400000012</v>
      </c>
    </row>
    <row r="926" spans="1:24" ht="15" customHeight="1" x14ac:dyDescent="0.25">
      <c r="A926">
        <v>925</v>
      </c>
      <c r="B926">
        <v>52</v>
      </c>
      <c r="C926" t="s">
        <v>27</v>
      </c>
      <c r="D926" t="s">
        <v>105</v>
      </c>
      <c r="E926" t="s">
        <v>18</v>
      </c>
      <c r="F926" s="2">
        <v>78</v>
      </c>
      <c r="G926" t="s">
        <v>124</v>
      </c>
      <c r="H926" t="s">
        <v>20</v>
      </c>
      <c r="I926" t="s">
        <v>56</v>
      </c>
      <c r="J926" t="s">
        <v>22</v>
      </c>
      <c r="K926">
        <v>3.1</v>
      </c>
      <c r="L926" t="s">
        <v>34</v>
      </c>
      <c r="M926" t="s">
        <v>24</v>
      </c>
      <c r="N926" t="s">
        <v>34</v>
      </c>
      <c r="O926">
        <v>37</v>
      </c>
      <c r="P926" t="s">
        <v>25</v>
      </c>
      <c r="Q926" t="s">
        <v>37</v>
      </c>
      <c r="R926" s="1">
        <v>0.1</v>
      </c>
      <c r="S926">
        <f t="shared" si="56"/>
        <v>70.2</v>
      </c>
      <c r="T926">
        <f>IFERROR(VLOOKUP(A926,Table1[[Customer ID]:[Discount Amount]], 6, FALSE),"Not Found")</f>
        <v>78</v>
      </c>
      <c r="U926" t="str">
        <f t="shared" si="57"/>
        <v>Cash</v>
      </c>
      <c r="V926" s="4" t="str">
        <f t="shared" si="58"/>
        <v>Normal</v>
      </c>
      <c r="W926" s="4" t="str">
        <f t="shared" si="59"/>
        <v>Good</v>
      </c>
      <c r="X926" s="4">
        <f>AVERAGE(Table1[Purchase Amount])</f>
        <v>129.48419400000012</v>
      </c>
    </row>
    <row r="927" spans="1:24" ht="15" customHeight="1" x14ac:dyDescent="0.25">
      <c r="A927">
        <v>926</v>
      </c>
      <c r="B927">
        <v>22</v>
      </c>
      <c r="C927" t="s">
        <v>27</v>
      </c>
      <c r="D927" t="s">
        <v>109</v>
      </c>
      <c r="E927" t="s">
        <v>18</v>
      </c>
      <c r="F927" s="2">
        <v>88</v>
      </c>
      <c r="G927" t="s">
        <v>150</v>
      </c>
      <c r="H927" t="s">
        <v>45</v>
      </c>
      <c r="I927" t="s">
        <v>147</v>
      </c>
      <c r="J927" t="s">
        <v>22</v>
      </c>
      <c r="K927">
        <v>4.9000000000000004</v>
      </c>
      <c r="L927" t="s">
        <v>34</v>
      </c>
      <c r="M927" t="s">
        <v>61</v>
      </c>
      <c r="N927" t="s">
        <v>34</v>
      </c>
      <c r="O927">
        <v>8</v>
      </c>
      <c r="P927" t="s">
        <v>25</v>
      </c>
      <c r="Q927" t="s">
        <v>42</v>
      </c>
      <c r="R927" s="1">
        <v>0.1</v>
      </c>
      <c r="S927">
        <f t="shared" si="56"/>
        <v>79.2</v>
      </c>
      <c r="T927">
        <f>IFERROR(VLOOKUP(A927,Table1[[Customer ID]:[Discount Amount]], 6, FALSE),"Not Found")</f>
        <v>88</v>
      </c>
      <c r="U927" t="str">
        <f t="shared" si="57"/>
        <v>Cash</v>
      </c>
      <c r="V927" s="4" t="str">
        <f t="shared" si="58"/>
        <v>Normal</v>
      </c>
      <c r="W927" s="4" t="str">
        <f t="shared" si="59"/>
        <v>Good</v>
      </c>
      <c r="X927" s="4">
        <f>AVERAGE(Table1[Purchase Amount])</f>
        <v>129.48419400000012</v>
      </c>
    </row>
    <row r="928" spans="1:24" ht="15" customHeight="1" x14ac:dyDescent="0.25">
      <c r="A928">
        <v>927</v>
      </c>
      <c r="B928">
        <v>54</v>
      </c>
      <c r="C928" t="s">
        <v>27</v>
      </c>
      <c r="D928" t="s">
        <v>109</v>
      </c>
      <c r="E928" t="s">
        <v>18</v>
      </c>
      <c r="F928" s="2">
        <v>63</v>
      </c>
      <c r="G928" t="s">
        <v>97</v>
      </c>
      <c r="H928" t="s">
        <v>20</v>
      </c>
      <c r="I928" t="s">
        <v>93</v>
      </c>
      <c r="J928" t="s">
        <v>33</v>
      </c>
      <c r="K928">
        <v>4.4000000000000004</v>
      </c>
      <c r="L928" t="s">
        <v>34</v>
      </c>
      <c r="M928" t="s">
        <v>61</v>
      </c>
      <c r="N928" t="s">
        <v>34</v>
      </c>
      <c r="O928">
        <v>11</v>
      </c>
      <c r="P928" t="s">
        <v>25</v>
      </c>
      <c r="Q928" t="s">
        <v>68</v>
      </c>
      <c r="R928" s="1">
        <v>0.1</v>
      </c>
      <c r="S928">
        <f t="shared" si="56"/>
        <v>56.7</v>
      </c>
      <c r="T928">
        <f>IFERROR(VLOOKUP(A928,Table1[[Customer ID]:[Discount Amount]], 6, FALSE),"Not Found")</f>
        <v>63</v>
      </c>
      <c r="U928" t="str">
        <f t="shared" si="57"/>
        <v>Cash</v>
      </c>
      <c r="V928" s="4" t="str">
        <f t="shared" si="58"/>
        <v>Normal</v>
      </c>
      <c r="W928" s="4" t="str">
        <f t="shared" si="59"/>
        <v>Good</v>
      </c>
      <c r="X928" s="4">
        <f>AVERAGE(Table1[Purchase Amount])</f>
        <v>129.48419400000012</v>
      </c>
    </row>
    <row r="929" spans="1:24" ht="15" customHeight="1" x14ac:dyDescent="0.25">
      <c r="A929">
        <v>928</v>
      </c>
      <c r="B929">
        <v>28</v>
      </c>
      <c r="C929" t="s">
        <v>27</v>
      </c>
      <c r="D929" t="s">
        <v>140</v>
      </c>
      <c r="E929" t="s">
        <v>98</v>
      </c>
      <c r="F929" s="2">
        <v>78</v>
      </c>
      <c r="G929" t="s">
        <v>110</v>
      </c>
      <c r="H929" t="s">
        <v>45</v>
      </c>
      <c r="I929" t="s">
        <v>40</v>
      </c>
      <c r="J929" t="s">
        <v>57</v>
      </c>
      <c r="K929">
        <v>4.4000000000000004</v>
      </c>
      <c r="L929" t="s">
        <v>34</v>
      </c>
      <c r="M929" t="s">
        <v>24</v>
      </c>
      <c r="N929" t="s">
        <v>34</v>
      </c>
      <c r="O929">
        <v>8</v>
      </c>
      <c r="P929" t="s">
        <v>62</v>
      </c>
      <c r="Q929" t="s">
        <v>68</v>
      </c>
      <c r="R929" s="1">
        <v>0.1</v>
      </c>
      <c r="S929">
        <f t="shared" si="56"/>
        <v>70.2</v>
      </c>
      <c r="T929">
        <f>IFERROR(VLOOKUP(A929,Table1[[Customer ID]:[Discount Amount]], 6, FALSE),"Not Found")</f>
        <v>78</v>
      </c>
      <c r="U929" t="str">
        <f t="shared" si="57"/>
        <v>Venmo</v>
      </c>
      <c r="V929" s="4" t="str">
        <f t="shared" si="58"/>
        <v>Normal</v>
      </c>
      <c r="W929" s="4" t="str">
        <f t="shared" si="59"/>
        <v>Good</v>
      </c>
      <c r="X929" s="4">
        <f>AVERAGE(Table1[Purchase Amount])</f>
        <v>129.48419400000012</v>
      </c>
    </row>
    <row r="930" spans="1:24" ht="15" customHeight="1" x14ac:dyDescent="0.25">
      <c r="A930">
        <v>929</v>
      </c>
      <c r="B930">
        <v>67</v>
      </c>
      <c r="C930" t="s">
        <v>27</v>
      </c>
      <c r="D930" t="s">
        <v>157</v>
      </c>
      <c r="E930" t="s">
        <v>18</v>
      </c>
      <c r="F930" s="2">
        <v>37</v>
      </c>
      <c r="G930" t="s">
        <v>100</v>
      </c>
      <c r="H930" t="s">
        <v>20</v>
      </c>
      <c r="I930" t="s">
        <v>52</v>
      </c>
      <c r="J930" t="s">
        <v>22</v>
      </c>
      <c r="K930">
        <v>3.4</v>
      </c>
      <c r="L930" t="s">
        <v>34</v>
      </c>
      <c r="M930" t="s">
        <v>48</v>
      </c>
      <c r="N930" t="s">
        <v>34</v>
      </c>
      <c r="O930">
        <v>31</v>
      </c>
      <c r="P930" t="s">
        <v>25</v>
      </c>
      <c r="Q930" t="s">
        <v>63</v>
      </c>
      <c r="R930" s="1">
        <v>0.1</v>
      </c>
      <c r="S930">
        <f t="shared" si="56"/>
        <v>33.299999999999997</v>
      </c>
      <c r="T930">
        <f>IFERROR(VLOOKUP(A930,Table1[[Customer ID]:[Discount Amount]], 6, FALSE),"Not Found")</f>
        <v>37</v>
      </c>
      <c r="U930" t="str">
        <f t="shared" si="57"/>
        <v>Cash</v>
      </c>
      <c r="V930" s="4" t="str">
        <f t="shared" si="58"/>
        <v>Normal</v>
      </c>
      <c r="W930" s="4" t="str">
        <f t="shared" si="59"/>
        <v>Good</v>
      </c>
      <c r="X930" s="4">
        <f>AVERAGE(Table1[Purchase Amount])</f>
        <v>129.48419400000012</v>
      </c>
    </row>
    <row r="931" spans="1:24" ht="15" customHeight="1" x14ac:dyDescent="0.25">
      <c r="A931">
        <v>930</v>
      </c>
      <c r="B931">
        <v>59</v>
      </c>
      <c r="C931" t="s">
        <v>27</v>
      </c>
      <c r="D931" t="s">
        <v>151</v>
      </c>
      <c r="E931" t="s">
        <v>98</v>
      </c>
      <c r="F931" s="2">
        <v>94</v>
      </c>
      <c r="G931" t="s">
        <v>137</v>
      </c>
      <c r="H931" t="s">
        <v>31</v>
      </c>
      <c r="I931" t="s">
        <v>32</v>
      </c>
      <c r="J931" t="s">
        <v>47</v>
      </c>
      <c r="K931">
        <v>4.5</v>
      </c>
      <c r="L931" t="s">
        <v>34</v>
      </c>
      <c r="M931" t="s">
        <v>41</v>
      </c>
      <c r="N931" t="s">
        <v>34</v>
      </c>
      <c r="O931">
        <v>26</v>
      </c>
      <c r="P931" t="s">
        <v>36</v>
      </c>
      <c r="Q931" t="s">
        <v>89</v>
      </c>
      <c r="R931" s="1">
        <v>0.1</v>
      </c>
      <c r="S931">
        <f t="shared" si="56"/>
        <v>84.6</v>
      </c>
      <c r="T931">
        <f>IFERROR(VLOOKUP(A931,Table1[[Customer ID]:[Discount Amount]], 6, FALSE),"Not Found")</f>
        <v>94</v>
      </c>
      <c r="U931" t="str">
        <f t="shared" si="57"/>
        <v>Debit Card</v>
      </c>
      <c r="V931" s="4" t="str">
        <f t="shared" si="58"/>
        <v>Normal</v>
      </c>
      <c r="W931" s="4" t="str">
        <f t="shared" si="59"/>
        <v>Good</v>
      </c>
      <c r="X931" s="4">
        <f>AVERAGE(Table1[Purchase Amount])</f>
        <v>129.48419400000012</v>
      </c>
    </row>
    <row r="932" spans="1:24" ht="15" customHeight="1" x14ac:dyDescent="0.25">
      <c r="A932">
        <v>931</v>
      </c>
      <c r="B932">
        <v>26</v>
      </c>
      <c r="C932" t="s">
        <v>27</v>
      </c>
      <c r="D932" t="s">
        <v>17</v>
      </c>
      <c r="E932" t="s">
        <v>18</v>
      </c>
      <c r="F932" s="2">
        <v>78</v>
      </c>
      <c r="G932" t="s">
        <v>135</v>
      </c>
      <c r="H932" t="s">
        <v>45</v>
      </c>
      <c r="I932" t="s">
        <v>93</v>
      </c>
      <c r="J932" t="s">
        <v>47</v>
      </c>
      <c r="K932">
        <v>4.5</v>
      </c>
      <c r="L932" t="s">
        <v>34</v>
      </c>
      <c r="M932" t="s">
        <v>48</v>
      </c>
      <c r="N932" t="s">
        <v>34</v>
      </c>
      <c r="O932">
        <v>20</v>
      </c>
      <c r="P932" t="s">
        <v>53</v>
      </c>
      <c r="Q932" t="s">
        <v>68</v>
      </c>
      <c r="R932" s="1">
        <v>0.1</v>
      </c>
      <c r="S932">
        <f t="shared" si="56"/>
        <v>70.2</v>
      </c>
      <c r="T932">
        <f>IFERROR(VLOOKUP(A932,Table1[[Customer ID]:[Discount Amount]], 6, FALSE),"Not Found")</f>
        <v>78</v>
      </c>
      <c r="U932" t="str">
        <f t="shared" si="57"/>
        <v>Credit Card</v>
      </c>
      <c r="V932" s="4" t="str">
        <f t="shared" si="58"/>
        <v>Normal</v>
      </c>
      <c r="W932" s="4" t="str">
        <f t="shared" si="59"/>
        <v>Good</v>
      </c>
      <c r="X932" s="4">
        <f>AVERAGE(Table1[Purchase Amount])</f>
        <v>129.48419400000012</v>
      </c>
    </row>
    <row r="933" spans="1:24" ht="15" customHeight="1" x14ac:dyDescent="0.25">
      <c r="A933">
        <v>932</v>
      </c>
      <c r="B933">
        <v>24</v>
      </c>
      <c r="C933" t="s">
        <v>27</v>
      </c>
      <c r="D933" t="s">
        <v>76</v>
      </c>
      <c r="E933" t="s">
        <v>77</v>
      </c>
      <c r="F933" s="2">
        <v>36</v>
      </c>
      <c r="G933" t="s">
        <v>137</v>
      </c>
      <c r="H933" t="s">
        <v>31</v>
      </c>
      <c r="I933" t="s">
        <v>153</v>
      </c>
      <c r="J933" t="s">
        <v>22</v>
      </c>
      <c r="K933">
        <v>4.0999999999999996</v>
      </c>
      <c r="L933" t="s">
        <v>34</v>
      </c>
      <c r="M933" t="s">
        <v>24</v>
      </c>
      <c r="N933" t="s">
        <v>34</v>
      </c>
      <c r="O933">
        <v>24</v>
      </c>
      <c r="P933" t="s">
        <v>88</v>
      </c>
      <c r="Q933" t="s">
        <v>89</v>
      </c>
      <c r="R933" s="1">
        <v>0.1</v>
      </c>
      <c r="S933">
        <f t="shared" si="56"/>
        <v>32.4</v>
      </c>
      <c r="T933">
        <f>IFERROR(VLOOKUP(A933,Table1[[Customer ID]:[Discount Amount]], 6, FALSE),"Not Found")</f>
        <v>36</v>
      </c>
      <c r="U933" t="str">
        <f t="shared" si="57"/>
        <v>Bank Transfer</v>
      </c>
      <c r="V933" s="4" t="str">
        <f t="shared" si="58"/>
        <v>Normal</v>
      </c>
      <c r="W933" s="4" t="str">
        <f t="shared" si="59"/>
        <v>Good</v>
      </c>
      <c r="X933" s="4">
        <f>AVERAGE(Table1[Purchase Amount])</f>
        <v>129.48419400000012</v>
      </c>
    </row>
    <row r="934" spans="1:24" ht="15" customHeight="1" x14ac:dyDescent="0.25">
      <c r="A934">
        <v>933</v>
      </c>
      <c r="B934">
        <v>62</v>
      </c>
      <c r="C934" t="s">
        <v>27</v>
      </c>
      <c r="D934" t="s">
        <v>122</v>
      </c>
      <c r="E934" t="s">
        <v>18</v>
      </c>
      <c r="F934" s="2">
        <v>24</v>
      </c>
      <c r="G934" t="s">
        <v>102</v>
      </c>
      <c r="H934" t="s">
        <v>45</v>
      </c>
      <c r="I934" t="s">
        <v>74</v>
      </c>
      <c r="J934" t="s">
        <v>22</v>
      </c>
      <c r="K934">
        <v>3.2</v>
      </c>
      <c r="L934" t="s">
        <v>34</v>
      </c>
      <c r="M934" t="s">
        <v>24</v>
      </c>
      <c r="N934" t="s">
        <v>34</v>
      </c>
      <c r="O934">
        <v>45</v>
      </c>
      <c r="P934" t="s">
        <v>36</v>
      </c>
      <c r="Q934" t="s">
        <v>68</v>
      </c>
      <c r="R934" s="1">
        <v>0.1</v>
      </c>
      <c r="S934">
        <f t="shared" si="56"/>
        <v>21.6</v>
      </c>
      <c r="T934">
        <f>IFERROR(VLOOKUP(A934,Table1[[Customer ID]:[Discount Amount]], 6, FALSE),"Not Found")</f>
        <v>24</v>
      </c>
      <c r="U934" t="str">
        <f t="shared" si="57"/>
        <v>Debit Card</v>
      </c>
      <c r="V934" s="4" t="str">
        <f t="shared" si="58"/>
        <v>Normal</v>
      </c>
      <c r="W934" s="4" t="str">
        <f t="shared" si="59"/>
        <v>Good</v>
      </c>
      <c r="X934" s="4">
        <f>AVERAGE(Table1[Purchase Amount])</f>
        <v>129.48419400000012</v>
      </c>
    </row>
    <row r="935" spans="1:24" ht="15" customHeight="1" x14ac:dyDescent="0.25">
      <c r="A935">
        <v>934</v>
      </c>
      <c r="B935">
        <v>70</v>
      </c>
      <c r="C935" t="s">
        <v>27</v>
      </c>
      <c r="D935" t="s">
        <v>140</v>
      </c>
      <c r="E935" t="s">
        <v>98</v>
      </c>
      <c r="F935" s="2">
        <v>84</v>
      </c>
      <c r="G935" t="s">
        <v>92</v>
      </c>
      <c r="H935" t="s">
        <v>31</v>
      </c>
      <c r="I935" t="s">
        <v>87</v>
      </c>
      <c r="J935" t="s">
        <v>33</v>
      </c>
      <c r="K935">
        <v>2.7</v>
      </c>
      <c r="L935" t="s">
        <v>34</v>
      </c>
      <c r="M935" t="s">
        <v>48</v>
      </c>
      <c r="N935" t="s">
        <v>34</v>
      </c>
      <c r="O935">
        <v>33</v>
      </c>
      <c r="P935" t="s">
        <v>36</v>
      </c>
      <c r="Q935" t="s">
        <v>42</v>
      </c>
      <c r="R935" s="1">
        <v>0.1</v>
      </c>
      <c r="S935">
        <f t="shared" si="56"/>
        <v>75.599999999999994</v>
      </c>
      <c r="T935">
        <f>IFERROR(VLOOKUP(A935,Table1[[Customer ID]:[Discount Amount]], 6, FALSE),"Not Found")</f>
        <v>84</v>
      </c>
      <c r="U935" t="str">
        <f t="shared" si="57"/>
        <v>Debit Card</v>
      </c>
      <c r="V935" s="4" t="str">
        <f t="shared" si="58"/>
        <v>Normal</v>
      </c>
      <c r="W935" s="4" t="str">
        <f t="shared" si="59"/>
        <v>Poor</v>
      </c>
      <c r="X935" s="4">
        <f>AVERAGE(Table1[Purchase Amount])</f>
        <v>129.48419400000012</v>
      </c>
    </row>
    <row r="936" spans="1:24" ht="15" customHeight="1" x14ac:dyDescent="0.25">
      <c r="A936">
        <v>935</v>
      </c>
      <c r="B936">
        <v>45</v>
      </c>
      <c r="C936" t="s">
        <v>27</v>
      </c>
      <c r="D936" t="s">
        <v>109</v>
      </c>
      <c r="E936" t="s">
        <v>18</v>
      </c>
      <c r="F936" s="2">
        <v>47</v>
      </c>
      <c r="G936" t="s">
        <v>123</v>
      </c>
      <c r="H936" t="s">
        <v>55</v>
      </c>
      <c r="I936" t="s">
        <v>52</v>
      </c>
      <c r="J936" t="s">
        <v>33</v>
      </c>
      <c r="K936">
        <v>3.7</v>
      </c>
      <c r="L936" t="s">
        <v>34</v>
      </c>
      <c r="M936" t="s">
        <v>61</v>
      </c>
      <c r="N936" t="s">
        <v>34</v>
      </c>
      <c r="O936">
        <v>21</v>
      </c>
      <c r="P936" t="s">
        <v>88</v>
      </c>
      <c r="Q936" t="s">
        <v>42</v>
      </c>
      <c r="R936" s="1">
        <v>0.1</v>
      </c>
      <c r="S936">
        <f t="shared" si="56"/>
        <v>42.3</v>
      </c>
      <c r="T936">
        <f>IFERROR(VLOOKUP(A936,Table1[[Customer ID]:[Discount Amount]], 6, FALSE),"Not Found")</f>
        <v>47</v>
      </c>
      <c r="U936" t="str">
        <f t="shared" si="57"/>
        <v>Bank Transfer</v>
      </c>
      <c r="V936" s="4" t="str">
        <f t="shared" si="58"/>
        <v>Normal</v>
      </c>
      <c r="W936" s="4" t="str">
        <f t="shared" si="59"/>
        <v>Good</v>
      </c>
      <c r="X936" s="4">
        <f>AVERAGE(Table1[Purchase Amount])</f>
        <v>129.48419400000012</v>
      </c>
    </row>
    <row r="937" spans="1:24" ht="15" customHeight="1" x14ac:dyDescent="0.25">
      <c r="A937">
        <v>936</v>
      </c>
      <c r="B937">
        <v>58</v>
      </c>
      <c r="C937" t="s">
        <v>27</v>
      </c>
      <c r="D937" t="s">
        <v>83</v>
      </c>
      <c r="E937" t="s">
        <v>18</v>
      </c>
      <c r="F937" s="2">
        <v>51</v>
      </c>
      <c r="G937" t="s">
        <v>90</v>
      </c>
      <c r="H937" t="s">
        <v>45</v>
      </c>
      <c r="I937" t="s">
        <v>32</v>
      </c>
      <c r="J937" t="s">
        <v>47</v>
      </c>
      <c r="K937">
        <v>2.6</v>
      </c>
      <c r="L937" t="s">
        <v>34</v>
      </c>
      <c r="M937" t="s">
        <v>48</v>
      </c>
      <c r="N937" t="s">
        <v>34</v>
      </c>
      <c r="O937">
        <v>2</v>
      </c>
      <c r="P937" t="s">
        <v>88</v>
      </c>
      <c r="Q937" t="s">
        <v>89</v>
      </c>
      <c r="R937" s="1">
        <v>0.1</v>
      </c>
      <c r="S937">
        <f t="shared" si="56"/>
        <v>45.9</v>
      </c>
      <c r="T937">
        <f>IFERROR(VLOOKUP(A937,Table1[[Customer ID]:[Discount Amount]], 6, FALSE),"Not Found")</f>
        <v>51</v>
      </c>
      <c r="U937" t="str">
        <f t="shared" si="57"/>
        <v>Bank Transfer</v>
      </c>
      <c r="V937" s="4" t="str">
        <f t="shared" si="58"/>
        <v>Normal</v>
      </c>
      <c r="W937" s="4" t="str">
        <f t="shared" si="59"/>
        <v>Poor</v>
      </c>
      <c r="X937" s="4">
        <f>AVERAGE(Table1[Purchase Amount])</f>
        <v>129.48419400000012</v>
      </c>
    </row>
    <row r="938" spans="1:24" ht="15" customHeight="1" x14ac:dyDescent="0.25">
      <c r="A938">
        <v>937</v>
      </c>
      <c r="B938">
        <v>31</v>
      </c>
      <c r="C938" t="s">
        <v>27</v>
      </c>
      <c r="D938" t="s">
        <v>72</v>
      </c>
      <c r="E938" t="s">
        <v>98</v>
      </c>
      <c r="F938" s="2">
        <v>84</v>
      </c>
      <c r="G938" t="s">
        <v>94</v>
      </c>
      <c r="H938" t="s">
        <v>31</v>
      </c>
      <c r="I938" t="s">
        <v>136</v>
      </c>
      <c r="J938" t="s">
        <v>57</v>
      </c>
      <c r="K938">
        <v>2.7</v>
      </c>
      <c r="L938" t="s">
        <v>34</v>
      </c>
      <c r="M938" t="s">
        <v>35</v>
      </c>
      <c r="N938" t="s">
        <v>34</v>
      </c>
      <c r="O938">
        <v>28</v>
      </c>
      <c r="P938" t="s">
        <v>25</v>
      </c>
      <c r="Q938" t="s">
        <v>26</v>
      </c>
      <c r="R938" s="1">
        <v>0.1</v>
      </c>
      <c r="S938">
        <f t="shared" si="56"/>
        <v>75.599999999999994</v>
      </c>
      <c r="T938">
        <f>IFERROR(VLOOKUP(A938,Table1[[Customer ID]:[Discount Amount]], 6, FALSE),"Not Found")</f>
        <v>84</v>
      </c>
      <c r="U938" t="str">
        <f t="shared" si="57"/>
        <v>Cash</v>
      </c>
      <c r="V938" s="4" t="str">
        <f t="shared" si="58"/>
        <v>Normal</v>
      </c>
      <c r="W938" s="4" t="str">
        <f t="shared" si="59"/>
        <v>Poor</v>
      </c>
      <c r="X938" s="4">
        <f>AVERAGE(Table1[Purchase Amount])</f>
        <v>129.48419400000012</v>
      </c>
    </row>
    <row r="939" spans="1:24" ht="15" customHeight="1" x14ac:dyDescent="0.25">
      <c r="A939">
        <v>938</v>
      </c>
      <c r="B939">
        <v>32</v>
      </c>
      <c r="C939" t="s">
        <v>27</v>
      </c>
      <c r="D939" t="s">
        <v>54</v>
      </c>
      <c r="E939" t="s">
        <v>18</v>
      </c>
      <c r="F939" s="2">
        <v>24</v>
      </c>
      <c r="G939" t="s">
        <v>141</v>
      </c>
      <c r="H939" t="s">
        <v>31</v>
      </c>
      <c r="I939" t="s">
        <v>87</v>
      </c>
      <c r="J939" t="s">
        <v>57</v>
      </c>
      <c r="K939">
        <v>2.7</v>
      </c>
      <c r="L939" t="s">
        <v>34</v>
      </c>
      <c r="M939" t="s">
        <v>61</v>
      </c>
      <c r="N939" t="s">
        <v>34</v>
      </c>
      <c r="O939">
        <v>18</v>
      </c>
      <c r="P939" t="s">
        <v>62</v>
      </c>
      <c r="Q939" t="s">
        <v>37</v>
      </c>
      <c r="R939" s="1">
        <v>0.1</v>
      </c>
      <c r="S939">
        <f t="shared" si="56"/>
        <v>21.6</v>
      </c>
      <c r="T939">
        <f>IFERROR(VLOOKUP(A939,Table1[[Customer ID]:[Discount Amount]], 6, FALSE),"Not Found")</f>
        <v>24</v>
      </c>
      <c r="U939" t="str">
        <f t="shared" si="57"/>
        <v>Venmo</v>
      </c>
      <c r="V939" s="4" t="str">
        <f t="shared" si="58"/>
        <v>Normal</v>
      </c>
      <c r="W939" s="4" t="str">
        <f t="shared" si="59"/>
        <v>Poor</v>
      </c>
      <c r="X939" s="4">
        <f>AVERAGE(Table1[Purchase Amount])</f>
        <v>129.48419400000012</v>
      </c>
    </row>
    <row r="940" spans="1:24" ht="15" customHeight="1" x14ac:dyDescent="0.25">
      <c r="A940">
        <v>939</v>
      </c>
      <c r="B940">
        <v>36</v>
      </c>
      <c r="C940" t="s">
        <v>27</v>
      </c>
      <c r="D940" t="s">
        <v>118</v>
      </c>
      <c r="E940" t="s">
        <v>18</v>
      </c>
      <c r="F940" s="2">
        <v>97</v>
      </c>
      <c r="G940" t="s">
        <v>59</v>
      </c>
      <c r="H940" t="s">
        <v>55</v>
      </c>
      <c r="I940" t="s">
        <v>147</v>
      </c>
      <c r="J940" t="s">
        <v>47</v>
      </c>
      <c r="K940">
        <v>4.8</v>
      </c>
      <c r="L940" t="s">
        <v>34</v>
      </c>
      <c r="M940" t="s">
        <v>35</v>
      </c>
      <c r="N940" t="s">
        <v>34</v>
      </c>
      <c r="O940">
        <v>21</v>
      </c>
      <c r="P940" t="s">
        <v>36</v>
      </c>
      <c r="Q940" t="s">
        <v>89</v>
      </c>
      <c r="R940" s="1">
        <v>0.1</v>
      </c>
      <c r="S940">
        <f t="shared" si="56"/>
        <v>87.3</v>
      </c>
      <c r="T940">
        <f>IFERROR(VLOOKUP(A940,Table1[[Customer ID]:[Discount Amount]], 6, FALSE),"Not Found")</f>
        <v>97</v>
      </c>
      <c r="U940" t="str">
        <f t="shared" si="57"/>
        <v>Debit Card</v>
      </c>
      <c r="V940" s="4" t="str">
        <f t="shared" si="58"/>
        <v>Normal</v>
      </c>
      <c r="W940" s="4" t="str">
        <f t="shared" si="59"/>
        <v>Good</v>
      </c>
      <c r="X940" s="4">
        <f>AVERAGE(Table1[Purchase Amount])</f>
        <v>129.48419400000012</v>
      </c>
    </row>
    <row r="941" spans="1:24" ht="15" customHeight="1" x14ac:dyDescent="0.25">
      <c r="A941">
        <v>940</v>
      </c>
      <c r="B941">
        <v>25</v>
      </c>
      <c r="C941" t="s">
        <v>27</v>
      </c>
      <c r="D941" t="s">
        <v>17</v>
      </c>
      <c r="E941" t="s">
        <v>18</v>
      </c>
      <c r="F941" s="2">
        <v>89</v>
      </c>
      <c r="G941" t="s">
        <v>101</v>
      </c>
      <c r="H941" t="s">
        <v>45</v>
      </c>
      <c r="I941" t="s">
        <v>91</v>
      </c>
      <c r="J941" t="s">
        <v>22</v>
      </c>
      <c r="K941">
        <v>4.8</v>
      </c>
      <c r="L941" t="s">
        <v>34</v>
      </c>
      <c r="M941" t="s">
        <v>79</v>
      </c>
      <c r="N941" t="s">
        <v>34</v>
      </c>
      <c r="O941">
        <v>24</v>
      </c>
      <c r="P941" t="s">
        <v>53</v>
      </c>
      <c r="Q941" t="s">
        <v>42</v>
      </c>
      <c r="R941" s="1">
        <v>0.1</v>
      </c>
      <c r="S941">
        <f t="shared" si="56"/>
        <v>80.099999999999994</v>
      </c>
      <c r="T941">
        <f>IFERROR(VLOOKUP(A941,Table1[[Customer ID]:[Discount Amount]], 6, FALSE),"Not Found")</f>
        <v>89</v>
      </c>
      <c r="U941" t="str">
        <f t="shared" si="57"/>
        <v>Credit Card</v>
      </c>
      <c r="V941" s="4" t="str">
        <f t="shared" si="58"/>
        <v>Normal</v>
      </c>
      <c r="W941" s="4" t="str">
        <f t="shared" si="59"/>
        <v>Good</v>
      </c>
      <c r="X941" s="4">
        <f>AVERAGE(Table1[Purchase Amount])</f>
        <v>129.48419400000012</v>
      </c>
    </row>
    <row r="942" spans="1:24" ht="15" customHeight="1" x14ac:dyDescent="0.25">
      <c r="A942">
        <v>941</v>
      </c>
      <c r="B942">
        <v>48</v>
      </c>
      <c r="C942" t="s">
        <v>27</v>
      </c>
      <c r="D942" t="s">
        <v>114</v>
      </c>
      <c r="E942" t="s">
        <v>29</v>
      </c>
      <c r="F942" s="2">
        <v>44</v>
      </c>
      <c r="G942" t="s">
        <v>92</v>
      </c>
      <c r="H942" t="s">
        <v>55</v>
      </c>
      <c r="I942" t="s">
        <v>125</v>
      </c>
      <c r="J942" t="s">
        <v>33</v>
      </c>
      <c r="K942">
        <v>2.6</v>
      </c>
      <c r="L942" t="s">
        <v>34</v>
      </c>
      <c r="M942" t="s">
        <v>48</v>
      </c>
      <c r="N942" t="s">
        <v>34</v>
      </c>
      <c r="O942">
        <v>15</v>
      </c>
      <c r="P942" t="s">
        <v>58</v>
      </c>
      <c r="Q942" t="s">
        <v>63</v>
      </c>
      <c r="R942" s="1">
        <v>0.1</v>
      </c>
      <c r="S942">
        <f t="shared" si="56"/>
        <v>39.6</v>
      </c>
      <c r="T942">
        <f>IFERROR(VLOOKUP(A942,Table1[[Customer ID]:[Discount Amount]], 6, FALSE),"Not Found")</f>
        <v>44</v>
      </c>
      <c r="U942" t="str">
        <f t="shared" si="57"/>
        <v>PayPal</v>
      </c>
      <c r="V942" s="4" t="str">
        <f t="shared" si="58"/>
        <v>Normal</v>
      </c>
      <c r="W942" s="4" t="str">
        <f t="shared" si="59"/>
        <v>Poor</v>
      </c>
      <c r="X942" s="4">
        <f>AVERAGE(Table1[Purchase Amount])</f>
        <v>129.48419400000012</v>
      </c>
    </row>
    <row r="943" spans="1:24" ht="15" customHeight="1" x14ac:dyDescent="0.25">
      <c r="A943">
        <v>942</v>
      </c>
      <c r="B943">
        <v>39</v>
      </c>
      <c r="C943" t="s">
        <v>27</v>
      </c>
      <c r="D943" t="s">
        <v>69</v>
      </c>
      <c r="E943" t="s">
        <v>29</v>
      </c>
      <c r="F943" s="2">
        <v>35</v>
      </c>
      <c r="G943" t="s">
        <v>44</v>
      </c>
      <c r="H943" t="s">
        <v>45</v>
      </c>
      <c r="I943" t="s">
        <v>40</v>
      </c>
      <c r="J943" t="s">
        <v>22</v>
      </c>
      <c r="K943">
        <v>4.5</v>
      </c>
      <c r="L943" t="s">
        <v>34</v>
      </c>
      <c r="M943" t="s">
        <v>41</v>
      </c>
      <c r="N943" t="s">
        <v>34</v>
      </c>
      <c r="O943">
        <v>38</v>
      </c>
      <c r="P943" t="s">
        <v>58</v>
      </c>
      <c r="Q943" t="s">
        <v>63</v>
      </c>
      <c r="R943" s="1">
        <v>0.1</v>
      </c>
      <c r="S943">
        <f t="shared" si="56"/>
        <v>31.5</v>
      </c>
      <c r="T943">
        <f>IFERROR(VLOOKUP(A943,Table1[[Customer ID]:[Discount Amount]], 6, FALSE),"Not Found")</f>
        <v>35</v>
      </c>
      <c r="U943" t="str">
        <f t="shared" si="57"/>
        <v>PayPal</v>
      </c>
      <c r="V943" s="4" t="str">
        <f t="shared" si="58"/>
        <v>Normal</v>
      </c>
      <c r="W943" s="4" t="str">
        <f t="shared" si="59"/>
        <v>Good</v>
      </c>
      <c r="X943" s="4">
        <f>AVERAGE(Table1[Purchase Amount])</f>
        <v>129.48419400000012</v>
      </c>
    </row>
    <row r="944" spans="1:24" ht="15" customHeight="1" x14ac:dyDescent="0.25">
      <c r="A944">
        <v>943</v>
      </c>
      <c r="B944">
        <v>26</v>
      </c>
      <c r="C944" t="s">
        <v>27</v>
      </c>
      <c r="D944" t="s">
        <v>157</v>
      </c>
      <c r="E944" t="s">
        <v>18</v>
      </c>
      <c r="F944" s="2">
        <v>91</v>
      </c>
      <c r="G944" t="s">
        <v>150</v>
      </c>
      <c r="H944" t="s">
        <v>31</v>
      </c>
      <c r="I944" t="s">
        <v>128</v>
      </c>
      <c r="J944" t="s">
        <v>22</v>
      </c>
      <c r="K944">
        <v>3.2</v>
      </c>
      <c r="L944" t="s">
        <v>34</v>
      </c>
      <c r="M944" t="s">
        <v>61</v>
      </c>
      <c r="N944" t="s">
        <v>34</v>
      </c>
      <c r="O944">
        <v>38</v>
      </c>
      <c r="P944" t="s">
        <v>58</v>
      </c>
      <c r="Q944" t="s">
        <v>68</v>
      </c>
      <c r="R944" s="1">
        <v>0.1</v>
      </c>
      <c r="S944">
        <f t="shared" si="56"/>
        <v>81.900000000000006</v>
      </c>
      <c r="T944">
        <f>IFERROR(VLOOKUP(A944,Table1[[Customer ID]:[Discount Amount]], 6, FALSE),"Not Found")</f>
        <v>91</v>
      </c>
      <c r="U944" t="str">
        <f t="shared" si="57"/>
        <v>PayPal</v>
      </c>
      <c r="V944" s="4" t="str">
        <f t="shared" si="58"/>
        <v>Normal</v>
      </c>
      <c r="W944" s="4" t="str">
        <f t="shared" si="59"/>
        <v>Good</v>
      </c>
      <c r="X944" s="4">
        <f>AVERAGE(Table1[Purchase Amount])</f>
        <v>129.48419400000012</v>
      </c>
    </row>
    <row r="945" spans="1:24" ht="15" customHeight="1" x14ac:dyDescent="0.25">
      <c r="A945">
        <v>944</v>
      </c>
      <c r="B945">
        <v>32</v>
      </c>
      <c r="C945" t="s">
        <v>27</v>
      </c>
      <c r="D945" t="s">
        <v>64</v>
      </c>
      <c r="E945" t="s">
        <v>29</v>
      </c>
      <c r="F945" s="2">
        <v>63</v>
      </c>
      <c r="G945" t="s">
        <v>142</v>
      </c>
      <c r="H945" t="s">
        <v>45</v>
      </c>
      <c r="I945" t="s">
        <v>128</v>
      </c>
      <c r="J945" t="s">
        <v>22</v>
      </c>
      <c r="K945">
        <v>3.8</v>
      </c>
      <c r="L945" t="s">
        <v>34</v>
      </c>
      <c r="M945" t="s">
        <v>79</v>
      </c>
      <c r="N945" t="s">
        <v>34</v>
      </c>
      <c r="O945">
        <v>13</v>
      </c>
      <c r="P945" t="s">
        <v>62</v>
      </c>
      <c r="Q945" t="s">
        <v>89</v>
      </c>
      <c r="R945" s="1">
        <v>0.1</v>
      </c>
      <c r="S945">
        <f t="shared" si="56"/>
        <v>56.7</v>
      </c>
      <c r="T945">
        <f>IFERROR(VLOOKUP(A945,Table1[[Customer ID]:[Discount Amount]], 6, FALSE),"Not Found")</f>
        <v>63</v>
      </c>
      <c r="U945" t="str">
        <f t="shared" si="57"/>
        <v>Venmo</v>
      </c>
      <c r="V945" s="4" t="str">
        <f t="shared" si="58"/>
        <v>Normal</v>
      </c>
      <c r="W945" s="4" t="str">
        <f t="shared" si="59"/>
        <v>Good</v>
      </c>
      <c r="X945" s="4">
        <f>AVERAGE(Table1[Purchase Amount])</f>
        <v>129.48419400000012</v>
      </c>
    </row>
    <row r="946" spans="1:24" ht="15" customHeight="1" x14ac:dyDescent="0.25">
      <c r="A946">
        <v>945</v>
      </c>
      <c r="B946">
        <v>54</v>
      </c>
      <c r="C946" t="s">
        <v>27</v>
      </c>
      <c r="D946" t="s">
        <v>114</v>
      </c>
      <c r="E946" t="s">
        <v>29</v>
      </c>
      <c r="F946" s="2">
        <v>97</v>
      </c>
      <c r="G946" t="s">
        <v>102</v>
      </c>
      <c r="H946" t="s">
        <v>55</v>
      </c>
      <c r="I946" t="s">
        <v>85</v>
      </c>
      <c r="J946" t="s">
        <v>33</v>
      </c>
      <c r="K946">
        <v>4.8</v>
      </c>
      <c r="L946" t="s">
        <v>34</v>
      </c>
      <c r="M946" t="s">
        <v>61</v>
      </c>
      <c r="N946" t="s">
        <v>34</v>
      </c>
      <c r="O946">
        <v>39</v>
      </c>
      <c r="P946" t="s">
        <v>25</v>
      </c>
      <c r="Q946" t="s">
        <v>68</v>
      </c>
      <c r="R946" s="1">
        <v>0.1</v>
      </c>
      <c r="S946">
        <f t="shared" si="56"/>
        <v>87.3</v>
      </c>
      <c r="T946">
        <f>IFERROR(VLOOKUP(A946,Table1[[Customer ID]:[Discount Amount]], 6, FALSE),"Not Found")</f>
        <v>97</v>
      </c>
      <c r="U946" t="str">
        <f t="shared" si="57"/>
        <v>Cash</v>
      </c>
      <c r="V946" s="4" t="str">
        <f t="shared" si="58"/>
        <v>Normal</v>
      </c>
      <c r="W946" s="4" t="str">
        <f t="shared" si="59"/>
        <v>Good</v>
      </c>
      <c r="X946" s="4">
        <f>AVERAGE(Table1[Purchase Amount])</f>
        <v>129.48419400000012</v>
      </c>
    </row>
    <row r="947" spans="1:24" ht="15" customHeight="1" x14ac:dyDescent="0.25">
      <c r="A947">
        <v>946</v>
      </c>
      <c r="B947">
        <v>38</v>
      </c>
      <c r="C947" t="s">
        <v>27</v>
      </c>
      <c r="D947" t="s">
        <v>151</v>
      </c>
      <c r="E947" t="s">
        <v>98</v>
      </c>
      <c r="F947" s="2">
        <v>38</v>
      </c>
      <c r="G947" t="s">
        <v>120</v>
      </c>
      <c r="H947" t="s">
        <v>31</v>
      </c>
      <c r="I947" t="s">
        <v>111</v>
      </c>
      <c r="J947" t="s">
        <v>57</v>
      </c>
      <c r="K947">
        <v>4.0999999999999996</v>
      </c>
      <c r="L947" t="s">
        <v>34</v>
      </c>
      <c r="M947" t="s">
        <v>48</v>
      </c>
      <c r="N947" t="s">
        <v>34</v>
      </c>
      <c r="O947">
        <v>8</v>
      </c>
      <c r="P947" t="s">
        <v>62</v>
      </c>
      <c r="Q947" t="s">
        <v>63</v>
      </c>
      <c r="R947" s="1">
        <v>0.1</v>
      </c>
      <c r="S947">
        <f t="shared" si="56"/>
        <v>34.200000000000003</v>
      </c>
      <c r="T947">
        <f>IFERROR(VLOOKUP(A947,Table1[[Customer ID]:[Discount Amount]], 6, FALSE),"Not Found")</f>
        <v>38</v>
      </c>
      <c r="U947" t="str">
        <f t="shared" si="57"/>
        <v>Venmo</v>
      </c>
      <c r="V947" s="4" t="str">
        <f t="shared" si="58"/>
        <v>Normal</v>
      </c>
      <c r="W947" s="4" t="str">
        <f t="shared" si="59"/>
        <v>Good</v>
      </c>
      <c r="X947" s="4">
        <f>AVERAGE(Table1[Purchase Amount])</f>
        <v>129.48419400000012</v>
      </c>
    </row>
    <row r="948" spans="1:24" ht="15" customHeight="1" x14ac:dyDescent="0.25">
      <c r="A948">
        <v>947</v>
      </c>
      <c r="B948">
        <v>46</v>
      </c>
      <c r="C948" t="s">
        <v>27</v>
      </c>
      <c r="D948" t="s">
        <v>76</v>
      </c>
      <c r="E948" t="s">
        <v>77</v>
      </c>
      <c r="F948" s="2">
        <v>24</v>
      </c>
      <c r="G948" t="s">
        <v>78</v>
      </c>
      <c r="H948" t="s">
        <v>20</v>
      </c>
      <c r="I948" t="s">
        <v>74</v>
      </c>
      <c r="J948" t="s">
        <v>33</v>
      </c>
      <c r="K948">
        <v>2.8</v>
      </c>
      <c r="L948" t="s">
        <v>34</v>
      </c>
      <c r="M948" t="s">
        <v>79</v>
      </c>
      <c r="N948" t="s">
        <v>34</v>
      </c>
      <c r="O948">
        <v>4</v>
      </c>
      <c r="P948" t="s">
        <v>58</v>
      </c>
      <c r="Q948" t="s">
        <v>37</v>
      </c>
      <c r="R948" s="1">
        <v>0.1</v>
      </c>
      <c r="S948">
        <f t="shared" si="56"/>
        <v>21.6</v>
      </c>
      <c r="T948">
        <f>IFERROR(VLOOKUP(A948,Table1[[Customer ID]:[Discount Amount]], 6, FALSE),"Not Found")</f>
        <v>24</v>
      </c>
      <c r="U948" t="str">
        <f t="shared" si="57"/>
        <v>PayPal</v>
      </c>
      <c r="V948" s="4" t="str">
        <f t="shared" si="58"/>
        <v>Normal</v>
      </c>
      <c r="W948" s="4" t="str">
        <f t="shared" si="59"/>
        <v>Poor</v>
      </c>
      <c r="X948" s="4">
        <f>AVERAGE(Table1[Purchase Amount])</f>
        <v>129.48419400000012</v>
      </c>
    </row>
    <row r="949" spans="1:24" ht="15" customHeight="1" x14ac:dyDescent="0.25">
      <c r="A949">
        <v>948</v>
      </c>
      <c r="B949">
        <v>57</v>
      </c>
      <c r="C949" t="s">
        <v>27</v>
      </c>
      <c r="D949" t="s">
        <v>118</v>
      </c>
      <c r="E949" t="s">
        <v>18</v>
      </c>
      <c r="F949" s="2">
        <v>32</v>
      </c>
      <c r="G949" t="s">
        <v>102</v>
      </c>
      <c r="H949" t="s">
        <v>31</v>
      </c>
      <c r="I949" t="s">
        <v>103</v>
      </c>
      <c r="J949" t="s">
        <v>22</v>
      </c>
      <c r="K949">
        <v>3.9</v>
      </c>
      <c r="L949" t="s">
        <v>34</v>
      </c>
      <c r="M949" t="s">
        <v>48</v>
      </c>
      <c r="N949" t="s">
        <v>34</v>
      </c>
      <c r="O949">
        <v>6</v>
      </c>
      <c r="P949" t="s">
        <v>25</v>
      </c>
      <c r="Q949" t="s">
        <v>63</v>
      </c>
      <c r="R949" s="1">
        <v>0.1</v>
      </c>
      <c r="S949">
        <f t="shared" si="56"/>
        <v>28.8</v>
      </c>
      <c r="T949">
        <f>IFERROR(VLOOKUP(A949,Table1[[Customer ID]:[Discount Amount]], 6, FALSE),"Not Found")</f>
        <v>32</v>
      </c>
      <c r="U949" t="str">
        <f t="shared" si="57"/>
        <v>Cash</v>
      </c>
      <c r="V949" s="4" t="str">
        <f t="shared" si="58"/>
        <v>Normal</v>
      </c>
      <c r="W949" s="4" t="str">
        <f t="shared" si="59"/>
        <v>Good</v>
      </c>
      <c r="X949" s="4">
        <f>AVERAGE(Table1[Purchase Amount])</f>
        <v>129.48419400000012</v>
      </c>
    </row>
    <row r="950" spans="1:24" ht="15" customHeight="1" x14ac:dyDescent="0.25">
      <c r="A950">
        <v>949</v>
      </c>
      <c r="B950">
        <v>49</v>
      </c>
      <c r="C950" t="s">
        <v>27</v>
      </c>
      <c r="D950" t="s">
        <v>64</v>
      </c>
      <c r="E950" t="s">
        <v>29</v>
      </c>
      <c r="F950" s="2">
        <v>90</v>
      </c>
      <c r="G950" t="s">
        <v>51</v>
      </c>
      <c r="H950" t="s">
        <v>45</v>
      </c>
      <c r="I950" t="s">
        <v>21</v>
      </c>
      <c r="J950" t="s">
        <v>57</v>
      </c>
      <c r="K950">
        <v>4.9000000000000004</v>
      </c>
      <c r="L950" t="s">
        <v>34</v>
      </c>
      <c r="M950" t="s">
        <v>61</v>
      </c>
      <c r="N950" t="s">
        <v>34</v>
      </c>
      <c r="O950">
        <v>11</v>
      </c>
      <c r="P950" t="s">
        <v>62</v>
      </c>
      <c r="Q950" t="s">
        <v>63</v>
      </c>
      <c r="R950" s="1">
        <v>0.1</v>
      </c>
      <c r="S950">
        <f t="shared" si="56"/>
        <v>81</v>
      </c>
      <c r="T950">
        <f>IFERROR(VLOOKUP(A950,Table1[[Customer ID]:[Discount Amount]], 6, FALSE),"Not Found")</f>
        <v>90</v>
      </c>
      <c r="U950" t="str">
        <f t="shared" si="57"/>
        <v>Venmo</v>
      </c>
      <c r="V950" s="4" t="str">
        <f t="shared" si="58"/>
        <v>Normal</v>
      </c>
      <c r="W950" s="4" t="str">
        <f t="shared" si="59"/>
        <v>Good</v>
      </c>
      <c r="X950" s="4">
        <f>AVERAGE(Table1[Purchase Amount])</f>
        <v>129.48419400000012</v>
      </c>
    </row>
    <row r="951" spans="1:24" ht="15" customHeight="1" x14ac:dyDescent="0.25">
      <c r="A951">
        <v>950</v>
      </c>
      <c r="B951">
        <v>33</v>
      </c>
      <c r="C951" t="s">
        <v>27</v>
      </c>
      <c r="D951" t="s">
        <v>109</v>
      </c>
      <c r="E951" t="s">
        <v>18</v>
      </c>
      <c r="F951" s="2">
        <v>36</v>
      </c>
      <c r="G951" t="s">
        <v>39</v>
      </c>
      <c r="H951" t="s">
        <v>31</v>
      </c>
      <c r="I951" t="s">
        <v>21</v>
      </c>
      <c r="J951" t="s">
        <v>57</v>
      </c>
      <c r="K951">
        <v>3.4</v>
      </c>
      <c r="L951" t="s">
        <v>34</v>
      </c>
      <c r="M951" t="s">
        <v>24</v>
      </c>
      <c r="N951" t="s">
        <v>34</v>
      </c>
      <c r="O951">
        <v>49</v>
      </c>
      <c r="P951" t="s">
        <v>62</v>
      </c>
      <c r="Q951" t="s">
        <v>42</v>
      </c>
      <c r="R951" s="1">
        <v>0.1</v>
      </c>
      <c r="S951">
        <f t="shared" si="56"/>
        <v>32.4</v>
      </c>
      <c r="T951">
        <f>IFERROR(VLOOKUP(A951,Table1[[Customer ID]:[Discount Amount]], 6, FALSE),"Not Found")</f>
        <v>36</v>
      </c>
      <c r="U951" t="str">
        <f t="shared" si="57"/>
        <v>Venmo</v>
      </c>
      <c r="V951" s="4" t="str">
        <f t="shared" si="58"/>
        <v>Normal</v>
      </c>
      <c r="W951" s="4" t="str">
        <f t="shared" si="59"/>
        <v>Good</v>
      </c>
      <c r="X951" s="4">
        <f>AVERAGE(Table1[Purchase Amount])</f>
        <v>129.48419400000012</v>
      </c>
    </row>
    <row r="952" spans="1:24" ht="15" customHeight="1" x14ac:dyDescent="0.25">
      <c r="A952">
        <v>951</v>
      </c>
      <c r="B952">
        <v>54</v>
      </c>
      <c r="C952" t="s">
        <v>27</v>
      </c>
      <c r="D952" t="s">
        <v>104</v>
      </c>
      <c r="E952" t="s">
        <v>29</v>
      </c>
      <c r="F952" s="2">
        <v>37</v>
      </c>
      <c r="G952" t="s">
        <v>110</v>
      </c>
      <c r="H952" t="s">
        <v>20</v>
      </c>
      <c r="I952" t="s">
        <v>156</v>
      </c>
      <c r="J952" t="s">
        <v>22</v>
      </c>
      <c r="K952">
        <v>4.0999999999999996</v>
      </c>
      <c r="L952" t="s">
        <v>34</v>
      </c>
      <c r="M952" t="s">
        <v>35</v>
      </c>
      <c r="N952" t="s">
        <v>34</v>
      </c>
      <c r="O952">
        <v>30</v>
      </c>
      <c r="P952" t="s">
        <v>58</v>
      </c>
      <c r="Q952" t="s">
        <v>37</v>
      </c>
      <c r="R952" s="1">
        <v>0.1</v>
      </c>
      <c r="S952">
        <f t="shared" si="56"/>
        <v>33.299999999999997</v>
      </c>
      <c r="T952">
        <f>IFERROR(VLOOKUP(A952,Table1[[Customer ID]:[Discount Amount]], 6, FALSE),"Not Found")</f>
        <v>37</v>
      </c>
      <c r="U952" t="str">
        <f t="shared" si="57"/>
        <v>PayPal</v>
      </c>
      <c r="V952" s="4" t="str">
        <f t="shared" si="58"/>
        <v>Normal</v>
      </c>
      <c r="W952" s="4" t="str">
        <f t="shared" si="59"/>
        <v>Good</v>
      </c>
      <c r="X952" s="4">
        <f>AVERAGE(Table1[Purchase Amount])</f>
        <v>129.48419400000012</v>
      </c>
    </row>
    <row r="953" spans="1:24" ht="15" customHeight="1" x14ac:dyDescent="0.25">
      <c r="A953">
        <v>952</v>
      </c>
      <c r="B953">
        <v>47</v>
      </c>
      <c r="C953" t="s">
        <v>27</v>
      </c>
      <c r="D953" t="s">
        <v>157</v>
      </c>
      <c r="E953" t="s">
        <v>18</v>
      </c>
      <c r="F953" s="2">
        <v>51</v>
      </c>
      <c r="G953" t="s">
        <v>148</v>
      </c>
      <c r="H953" t="s">
        <v>31</v>
      </c>
      <c r="I953" t="s">
        <v>128</v>
      </c>
      <c r="J953" t="s">
        <v>57</v>
      </c>
      <c r="K953">
        <v>2.9</v>
      </c>
      <c r="L953" t="s">
        <v>34</v>
      </c>
      <c r="M953" t="s">
        <v>61</v>
      </c>
      <c r="N953" t="s">
        <v>34</v>
      </c>
      <c r="O953">
        <v>34</v>
      </c>
      <c r="P953" t="s">
        <v>88</v>
      </c>
      <c r="Q953" t="s">
        <v>42</v>
      </c>
      <c r="R953" s="1">
        <v>0.1</v>
      </c>
      <c r="S953">
        <f t="shared" si="56"/>
        <v>45.9</v>
      </c>
      <c r="T953">
        <f>IFERROR(VLOOKUP(A953,Table1[[Customer ID]:[Discount Amount]], 6, FALSE),"Not Found")</f>
        <v>51</v>
      </c>
      <c r="U953" t="str">
        <f t="shared" si="57"/>
        <v>Bank Transfer</v>
      </c>
      <c r="V953" s="4" t="str">
        <f t="shared" si="58"/>
        <v>Normal</v>
      </c>
      <c r="W953" s="4" t="str">
        <f t="shared" si="59"/>
        <v>Poor</v>
      </c>
      <c r="X953" s="4">
        <f>AVERAGE(Table1[Purchase Amount])</f>
        <v>129.48419400000012</v>
      </c>
    </row>
    <row r="954" spans="1:24" ht="15" customHeight="1" x14ac:dyDescent="0.25">
      <c r="A954">
        <v>953</v>
      </c>
      <c r="B954">
        <v>36</v>
      </c>
      <c r="C954" t="s">
        <v>27</v>
      </c>
      <c r="D954" t="s">
        <v>64</v>
      </c>
      <c r="E954" t="s">
        <v>29</v>
      </c>
      <c r="F954" s="2">
        <v>71</v>
      </c>
      <c r="G954" t="s">
        <v>161</v>
      </c>
      <c r="H954" t="s">
        <v>55</v>
      </c>
      <c r="I954" t="s">
        <v>46</v>
      </c>
      <c r="J954" t="s">
        <v>47</v>
      </c>
      <c r="K954">
        <v>3.1</v>
      </c>
      <c r="L954" t="s">
        <v>34</v>
      </c>
      <c r="M954" t="s">
        <v>41</v>
      </c>
      <c r="N954" t="s">
        <v>34</v>
      </c>
      <c r="O954">
        <v>28</v>
      </c>
      <c r="P954" t="s">
        <v>58</v>
      </c>
      <c r="Q954" t="s">
        <v>42</v>
      </c>
      <c r="R954" s="1">
        <v>0.1</v>
      </c>
      <c r="S954">
        <f t="shared" si="56"/>
        <v>63.9</v>
      </c>
      <c r="T954">
        <f>IFERROR(VLOOKUP(A954,Table1[[Customer ID]:[Discount Amount]], 6, FALSE),"Not Found")</f>
        <v>71</v>
      </c>
      <c r="U954" t="str">
        <f t="shared" si="57"/>
        <v>PayPal</v>
      </c>
      <c r="V954" s="4" t="str">
        <f t="shared" si="58"/>
        <v>Normal</v>
      </c>
      <c r="W954" s="4" t="str">
        <f t="shared" si="59"/>
        <v>Good</v>
      </c>
      <c r="X954" s="4">
        <f>AVERAGE(Table1[Purchase Amount])</f>
        <v>129.48419400000012</v>
      </c>
    </row>
    <row r="955" spans="1:24" ht="15" customHeight="1" x14ac:dyDescent="0.25">
      <c r="A955">
        <v>954</v>
      </c>
      <c r="B955">
        <v>68</v>
      </c>
      <c r="C955" t="s">
        <v>27</v>
      </c>
      <c r="D955" t="s">
        <v>28</v>
      </c>
      <c r="E955" t="s">
        <v>29</v>
      </c>
      <c r="F955" s="2">
        <v>50</v>
      </c>
      <c r="G955" t="s">
        <v>144</v>
      </c>
      <c r="H955" t="s">
        <v>55</v>
      </c>
      <c r="I955" t="s">
        <v>128</v>
      </c>
      <c r="J955" t="s">
        <v>33</v>
      </c>
      <c r="K955">
        <v>3.6</v>
      </c>
      <c r="L955" t="s">
        <v>34</v>
      </c>
      <c r="M955" t="s">
        <v>41</v>
      </c>
      <c r="N955" t="s">
        <v>34</v>
      </c>
      <c r="O955">
        <v>36</v>
      </c>
      <c r="P955" t="s">
        <v>62</v>
      </c>
      <c r="Q955" t="s">
        <v>37</v>
      </c>
      <c r="R955" s="1">
        <v>0.1</v>
      </c>
      <c r="S955">
        <f t="shared" si="56"/>
        <v>45</v>
      </c>
      <c r="T955">
        <f>IFERROR(VLOOKUP(A955,Table1[[Customer ID]:[Discount Amount]], 6, FALSE),"Not Found")</f>
        <v>50</v>
      </c>
      <c r="U955" t="str">
        <f t="shared" si="57"/>
        <v>Venmo</v>
      </c>
      <c r="V955" s="4" t="str">
        <f t="shared" si="58"/>
        <v>Normal</v>
      </c>
      <c r="W955" s="4" t="str">
        <f t="shared" si="59"/>
        <v>Good</v>
      </c>
      <c r="X955" s="4">
        <f>AVERAGE(Table1[Purchase Amount])</f>
        <v>129.48419400000012</v>
      </c>
    </row>
    <row r="956" spans="1:24" ht="15" customHeight="1" x14ac:dyDescent="0.25">
      <c r="A956">
        <v>955</v>
      </c>
      <c r="B956">
        <v>60</v>
      </c>
      <c r="C956" t="s">
        <v>27</v>
      </c>
      <c r="D956" t="s">
        <v>64</v>
      </c>
      <c r="E956" t="s">
        <v>29</v>
      </c>
      <c r="F956" s="2">
        <v>74</v>
      </c>
      <c r="G956" t="s">
        <v>119</v>
      </c>
      <c r="H956" t="s">
        <v>55</v>
      </c>
      <c r="I956" t="s">
        <v>156</v>
      </c>
      <c r="J956" t="s">
        <v>47</v>
      </c>
      <c r="K956">
        <v>3.5</v>
      </c>
      <c r="L956" t="s">
        <v>34</v>
      </c>
      <c r="M956" t="s">
        <v>24</v>
      </c>
      <c r="N956" t="s">
        <v>34</v>
      </c>
      <c r="O956">
        <v>18</v>
      </c>
      <c r="P956" t="s">
        <v>53</v>
      </c>
      <c r="Q956" t="s">
        <v>63</v>
      </c>
      <c r="R956" s="1">
        <v>0.1</v>
      </c>
      <c r="S956">
        <f t="shared" si="56"/>
        <v>66.599999999999994</v>
      </c>
      <c r="T956">
        <f>IFERROR(VLOOKUP(A956,Table1[[Customer ID]:[Discount Amount]], 6, FALSE),"Not Found")</f>
        <v>74</v>
      </c>
      <c r="U956" t="str">
        <f t="shared" si="57"/>
        <v>Credit Card</v>
      </c>
      <c r="V956" s="4" t="str">
        <f t="shared" si="58"/>
        <v>Normal</v>
      </c>
      <c r="W956" s="4" t="str">
        <f t="shared" si="59"/>
        <v>Good</v>
      </c>
      <c r="X956" s="4">
        <f>AVERAGE(Table1[Purchase Amount])</f>
        <v>129.48419400000012</v>
      </c>
    </row>
    <row r="957" spans="1:24" ht="15" customHeight="1" x14ac:dyDescent="0.25">
      <c r="A957">
        <v>956</v>
      </c>
      <c r="B957">
        <v>55</v>
      </c>
      <c r="C957" t="s">
        <v>27</v>
      </c>
      <c r="D957" t="s">
        <v>157</v>
      </c>
      <c r="E957" t="s">
        <v>18</v>
      </c>
      <c r="F957" s="2">
        <v>75</v>
      </c>
      <c r="G957" t="s">
        <v>149</v>
      </c>
      <c r="H957" t="s">
        <v>45</v>
      </c>
      <c r="I957" t="s">
        <v>107</v>
      </c>
      <c r="J957" t="s">
        <v>57</v>
      </c>
      <c r="K957">
        <v>3.4</v>
      </c>
      <c r="L957" t="s">
        <v>34</v>
      </c>
      <c r="M957" t="s">
        <v>35</v>
      </c>
      <c r="N957" t="s">
        <v>34</v>
      </c>
      <c r="O957">
        <v>4</v>
      </c>
      <c r="P957" t="s">
        <v>58</v>
      </c>
      <c r="Q957" t="s">
        <v>42</v>
      </c>
      <c r="R957" s="1">
        <v>0.1</v>
      </c>
      <c r="S957">
        <f t="shared" si="56"/>
        <v>67.5</v>
      </c>
      <c r="T957">
        <f>IFERROR(VLOOKUP(A957,Table1[[Customer ID]:[Discount Amount]], 6, FALSE),"Not Found")</f>
        <v>75</v>
      </c>
      <c r="U957" t="str">
        <f t="shared" si="57"/>
        <v>PayPal</v>
      </c>
      <c r="V957" s="4" t="str">
        <f t="shared" si="58"/>
        <v>Normal</v>
      </c>
      <c r="W957" s="4" t="str">
        <f t="shared" si="59"/>
        <v>Good</v>
      </c>
      <c r="X957" s="4">
        <f>AVERAGE(Table1[Purchase Amount])</f>
        <v>129.48419400000012</v>
      </c>
    </row>
    <row r="958" spans="1:24" ht="15" customHeight="1" x14ac:dyDescent="0.25">
      <c r="A958">
        <v>957</v>
      </c>
      <c r="B958">
        <v>29</v>
      </c>
      <c r="C958" t="s">
        <v>27</v>
      </c>
      <c r="D958" t="s">
        <v>38</v>
      </c>
      <c r="E958" t="s">
        <v>18</v>
      </c>
      <c r="F958" s="2">
        <v>99</v>
      </c>
      <c r="G958" t="s">
        <v>149</v>
      </c>
      <c r="H958" t="s">
        <v>20</v>
      </c>
      <c r="I958" t="s">
        <v>128</v>
      </c>
      <c r="J958" t="s">
        <v>33</v>
      </c>
      <c r="K958">
        <v>2.9</v>
      </c>
      <c r="L958" t="s">
        <v>34</v>
      </c>
      <c r="M958" t="s">
        <v>41</v>
      </c>
      <c r="N958" t="s">
        <v>34</v>
      </c>
      <c r="O958">
        <v>42</v>
      </c>
      <c r="P958" t="s">
        <v>36</v>
      </c>
      <c r="Q958" t="s">
        <v>37</v>
      </c>
      <c r="R958" s="1">
        <v>0.1</v>
      </c>
      <c r="S958">
        <f t="shared" si="56"/>
        <v>89.1</v>
      </c>
      <c r="T958">
        <f>IFERROR(VLOOKUP(A958,Table1[[Customer ID]:[Discount Amount]], 6, FALSE),"Not Found")</f>
        <v>99</v>
      </c>
      <c r="U958" t="str">
        <f t="shared" si="57"/>
        <v>Debit Card</v>
      </c>
      <c r="V958" s="4" t="str">
        <f t="shared" si="58"/>
        <v>Normal</v>
      </c>
      <c r="W958" s="4" t="str">
        <f t="shared" si="59"/>
        <v>Poor</v>
      </c>
      <c r="X958" s="4">
        <f>AVERAGE(Table1[Purchase Amount])</f>
        <v>129.48419400000012</v>
      </c>
    </row>
    <row r="959" spans="1:24" ht="15" customHeight="1" x14ac:dyDescent="0.25">
      <c r="A959">
        <v>958</v>
      </c>
      <c r="B959">
        <v>38</v>
      </c>
      <c r="C959" t="s">
        <v>27</v>
      </c>
      <c r="D959" t="s">
        <v>129</v>
      </c>
      <c r="E959" t="s">
        <v>29</v>
      </c>
      <c r="F959" s="2">
        <v>23</v>
      </c>
      <c r="G959" t="s">
        <v>102</v>
      </c>
      <c r="H959" t="s">
        <v>20</v>
      </c>
      <c r="I959" t="s">
        <v>111</v>
      </c>
      <c r="J959" t="s">
        <v>33</v>
      </c>
      <c r="K959">
        <v>4.7</v>
      </c>
      <c r="L959" t="s">
        <v>34</v>
      </c>
      <c r="M959" t="s">
        <v>48</v>
      </c>
      <c r="N959" t="s">
        <v>34</v>
      </c>
      <c r="O959">
        <v>11</v>
      </c>
      <c r="P959" t="s">
        <v>25</v>
      </c>
      <c r="Q959" t="s">
        <v>37</v>
      </c>
      <c r="R959" s="1">
        <v>0.1</v>
      </c>
      <c r="S959">
        <f t="shared" si="56"/>
        <v>20.7</v>
      </c>
      <c r="T959">
        <f>IFERROR(VLOOKUP(A959,Table1[[Customer ID]:[Discount Amount]], 6, FALSE),"Not Found")</f>
        <v>23</v>
      </c>
      <c r="U959" t="str">
        <f t="shared" si="57"/>
        <v>Cash</v>
      </c>
      <c r="V959" s="4" t="str">
        <f t="shared" si="58"/>
        <v>Normal</v>
      </c>
      <c r="W959" s="4" t="str">
        <f t="shared" si="59"/>
        <v>Good</v>
      </c>
      <c r="X959" s="4">
        <f>AVERAGE(Table1[Purchase Amount])</f>
        <v>129.48419400000012</v>
      </c>
    </row>
    <row r="960" spans="1:24" ht="15" customHeight="1" x14ac:dyDescent="0.25">
      <c r="A960">
        <v>959</v>
      </c>
      <c r="B960">
        <v>70</v>
      </c>
      <c r="C960" t="s">
        <v>27</v>
      </c>
      <c r="D960" t="s">
        <v>140</v>
      </c>
      <c r="E960" t="s">
        <v>98</v>
      </c>
      <c r="F960" s="2">
        <v>53</v>
      </c>
      <c r="G960" t="s">
        <v>155</v>
      </c>
      <c r="H960" t="s">
        <v>20</v>
      </c>
      <c r="I960" t="s">
        <v>56</v>
      </c>
      <c r="J960" t="s">
        <v>22</v>
      </c>
      <c r="K960">
        <v>4.4000000000000004</v>
      </c>
      <c r="L960" t="s">
        <v>34</v>
      </c>
      <c r="M960" t="s">
        <v>35</v>
      </c>
      <c r="N960" t="s">
        <v>34</v>
      </c>
      <c r="O960">
        <v>31</v>
      </c>
      <c r="P960" t="s">
        <v>53</v>
      </c>
      <c r="Q960" t="s">
        <v>68</v>
      </c>
      <c r="R960" s="1">
        <v>0.1</v>
      </c>
      <c r="S960">
        <f t="shared" si="56"/>
        <v>47.7</v>
      </c>
      <c r="T960">
        <f>IFERROR(VLOOKUP(A960,Table1[[Customer ID]:[Discount Amount]], 6, FALSE),"Not Found")</f>
        <v>53</v>
      </c>
      <c r="U960" t="str">
        <f t="shared" si="57"/>
        <v>Credit Card</v>
      </c>
      <c r="V960" s="4" t="str">
        <f t="shared" si="58"/>
        <v>Normal</v>
      </c>
      <c r="W960" s="4" t="str">
        <f t="shared" si="59"/>
        <v>Good</v>
      </c>
      <c r="X960" s="4">
        <f>AVERAGE(Table1[Purchase Amount])</f>
        <v>129.48419400000012</v>
      </c>
    </row>
    <row r="961" spans="1:24" ht="15" customHeight="1" x14ac:dyDescent="0.25">
      <c r="A961">
        <v>960</v>
      </c>
      <c r="B961">
        <v>36</v>
      </c>
      <c r="C961" t="s">
        <v>27</v>
      </c>
      <c r="D961" t="s">
        <v>122</v>
      </c>
      <c r="E961" t="s">
        <v>18</v>
      </c>
      <c r="F961" s="2">
        <v>99</v>
      </c>
      <c r="G961" t="s">
        <v>158</v>
      </c>
      <c r="H961" t="s">
        <v>31</v>
      </c>
      <c r="I961" t="s">
        <v>128</v>
      </c>
      <c r="J961" t="s">
        <v>33</v>
      </c>
      <c r="K961">
        <v>2.6</v>
      </c>
      <c r="L961" t="s">
        <v>34</v>
      </c>
      <c r="M961" t="s">
        <v>24</v>
      </c>
      <c r="N961" t="s">
        <v>34</v>
      </c>
      <c r="O961">
        <v>12</v>
      </c>
      <c r="P961" t="s">
        <v>25</v>
      </c>
      <c r="Q961" t="s">
        <v>89</v>
      </c>
      <c r="R961" s="1">
        <v>0.1</v>
      </c>
      <c r="S961">
        <f t="shared" si="56"/>
        <v>89.1</v>
      </c>
      <c r="T961">
        <f>IFERROR(VLOOKUP(A961,Table1[[Customer ID]:[Discount Amount]], 6, FALSE),"Not Found")</f>
        <v>99</v>
      </c>
      <c r="U961" t="str">
        <f t="shared" si="57"/>
        <v>Cash</v>
      </c>
      <c r="V961" s="4" t="str">
        <f t="shared" si="58"/>
        <v>Normal</v>
      </c>
      <c r="W961" s="4" t="str">
        <f t="shared" si="59"/>
        <v>Poor</v>
      </c>
      <c r="X961" s="4">
        <f>AVERAGE(Table1[Purchase Amount])</f>
        <v>129.48419400000012</v>
      </c>
    </row>
    <row r="962" spans="1:24" ht="15" customHeight="1" x14ac:dyDescent="0.25">
      <c r="A962">
        <v>961</v>
      </c>
      <c r="B962">
        <v>18</v>
      </c>
      <c r="C962" t="s">
        <v>27</v>
      </c>
      <c r="D962" t="s">
        <v>50</v>
      </c>
      <c r="E962" t="s">
        <v>29</v>
      </c>
      <c r="F962" s="2">
        <v>48</v>
      </c>
      <c r="G962" t="s">
        <v>119</v>
      </c>
      <c r="H962" t="s">
        <v>20</v>
      </c>
      <c r="I962" t="s">
        <v>91</v>
      </c>
      <c r="J962" t="s">
        <v>33</v>
      </c>
      <c r="K962">
        <v>4.4000000000000004</v>
      </c>
      <c r="L962" t="s">
        <v>34</v>
      </c>
      <c r="M962" t="s">
        <v>24</v>
      </c>
      <c r="N962" t="s">
        <v>34</v>
      </c>
      <c r="O962">
        <v>20</v>
      </c>
      <c r="P962" t="s">
        <v>62</v>
      </c>
      <c r="Q962" t="s">
        <v>37</v>
      </c>
      <c r="R962" s="1">
        <v>0.1</v>
      </c>
      <c r="S962">
        <f t="shared" ref="S962:S1025" si="60">F962-(F962*R962)</f>
        <v>43.2</v>
      </c>
      <c r="T962">
        <f>IFERROR(VLOOKUP(A962,Table1[[Customer ID]:[Discount Amount]], 6, FALSE),"Not Found")</f>
        <v>48</v>
      </c>
      <c r="U962" t="str">
        <f t="shared" ref="U962:U1025" si="61">INDEX(P:P, MATCH(A962, A:A, 0))</f>
        <v>Venmo</v>
      </c>
      <c r="V962" s="4" t="str">
        <f t="shared" ref="V962:V1025" si="62">IF(AND(F962&gt;1000,K962&gt;=4),"Best Customer","Normal")</f>
        <v>Normal</v>
      </c>
      <c r="W962" s="4" t="str">
        <f t="shared" ref="W962:W1025" si="63">IF(K962&gt;=3,"Good","Poor")</f>
        <v>Good</v>
      </c>
      <c r="X962" s="4">
        <f>AVERAGE(Table1[Purchase Amount])</f>
        <v>129.48419400000012</v>
      </c>
    </row>
    <row r="963" spans="1:24" ht="15" customHeight="1" x14ac:dyDescent="0.25">
      <c r="A963">
        <v>962</v>
      </c>
      <c r="B963">
        <v>62</v>
      </c>
      <c r="C963" t="s">
        <v>27</v>
      </c>
      <c r="D963" t="s">
        <v>151</v>
      </c>
      <c r="E963" t="s">
        <v>98</v>
      </c>
      <c r="F963" s="2">
        <v>72</v>
      </c>
      <c r="G963" t="s">
        <v>78</v>
      </c>
      <c r="H963" t="s">
        <v>45</v>
      </c>
      <c r="I963" t="s">
        <v>21</v>
      </c>
      <c r="J963" t="s">
        <v>47</v>
      </c>
      <c r="K963">
        <v>3.7</v>
      </c>
      <c r="L963" t="s">
        <v>34</v>
      </c>
      <c r="M963" t="s">
        <v>79</v>
      </c>
      <c r="N963" t="s">
        <v>34</v>
      </c>
      <c r="O963">
        <v>37</v>
      </c>
      <c r="P963" t="s">
        <v>36</v>
      </c>
      <c r="Q963" t="s">
        <v>37</v>
      </c>
      <c r="R963" s="1">
        <v>0.1</v>
      </c>
      <c r="S963">
        <f t="shared" si="60"/>
        <v>64.8</v>
      </c>
      <c r="T963">
        <f>IFERROR(VLOOKUP(A963,Table1[[Customer ID]:[Discount Amount]], 6, FALSE),"Not Found")</f>
        <v>72</v>
      </c>
      <c r="U963" t="str">
        <f t="shared" si="61"/>
        <v>Debit Card</v>
      </c>
      <c r="V963" s="4" t="str">
        <f t="shared" si="62"/>
        <v>Normal</v>
      </c>
      <c r="W963" s="4" t="str">
        <f t="shared" si="63"/>
        <v>Good</v>
      </c>
      <c r="X963" s="4">
        <f>AVERAGE(Table1[Purchase Amount])</f>
        <v>129.48419400000012</v>
      </c>
    </row>
    <row r="964" spans="1:24" ht="15" customHeight="1" x14ac:dyDescent="0.25">
      <c r="A964">
        <v>963</v>
      </c>
      <c r="B964">
        <v>29</v>
      </c>
      <c r="C964" t="s">
        <v>27</v>
      </c>
      <c r="D964" t="s">
        <v>28</v>
      </c>
      <c r="E964" t="s">
        <v>29</v>
      </c>
      <c r="F964" s="2">
        <v>64</v>
      </c>
      <c r="G964" t="s">
        <v>113</v>
      </c>
      <c r="H964" t="s">
        <v>45</v>
      </c>
      <c r="I964" t="s">
        <v>93</v>
      </c>
      <c r="J964" t="s">
        <v>33</v>
      </c>
      <c r="K964">
        <v>4.4000000000000004</v>
      </c>
      <c r="L964" t="s">
        <v>34</v>
      </c>
      <c r="M964" t="s">
        <v>24</v>
      </c>
      <c r="N964" t="s">
        <v>34</v>
      </c>
      <c r="O964">
        <v>26</v>
      </c>
      <c r="P964" t="s">
        <v>36</v>
      </c>
      <c r="Q964" t="s">
        <v>89</v>
      </c>
      <c r="R964" s="1">
        <v>0.1</v>
      </c>
      <c r="S964">
        <f t="shared" si="60"/>
        <v>57.6</v>
      </c>
      <c r="T964">
        <f>IFERROR(VLOOKUP(A964,Table1[[Customer ID]:[Discount Amount]], 6, FALSE),"Not Found")</f>
        <v>64</v>
      </c>
      <c r="U964" t="str">
        <f t="shared" si="61"/>
        <v>Debit Card</v>
      </c>
      <c r="V964" s="4" t="str">
        <f t="shared" si="62"/>
        <v>Normal</v>
      </c>
      <c r="W964" s="4" t="str">
        <f t="shared" si="63"/>
        <v>Good</v>
      </c>
      <c r="X964" s="4">
        <f>AVERAGE(Table1[Purchase Amount])</f>
        <v>129.48419400000012</v>
      </c>
    </row>
    <row r="965" spans="1:24" ht="15" customHeight="1" x14ac:dyDescent="0.25">
      <c r="A965">
        <v>964</v>
      </c>
      <c r="B965">
        <v>21</v>
      </c>
      <c r="C965" t="s">
        <v>27</v>
      </c>
      <c r="D965" t="s">
        <v>151</v>
      </c>
      <c r="E965" t="s">
        <v>98</v>
      </c>
      <c r="F965" s="2">
        <v>63</v>
      </c>
      <c r="G965" t="s">
        <v>30</v>
      </c>
      <c r="H965" t="s">
        <v>45</v>
      </c>
      <c r="I965" t="s">
        <v>93</v>
      </c>
      <c r="J965" t="s">
        <v>33</v>
      </c>
      <c r="K965">
        <v>2.5</v>
      </c>
      <c r="L965" t="s">
        <v>34</v>
      </c>
      <c r="M965" t="s">
        <v>41</v>
      </c>
      <c r="N965" t="s">
        <v>34</v>
      </c>
      <c r="O965">
        <v>14</v>
      </c>
      <c r="P965" t="s">
        <v>53</v>
      </c>
      <c r="Q965" t="s">
        <v>26</v>
      </c>
      <c r="R965" s="1">
        <v>0.1</v>
      </c>
      <c r="S965">
        <f t="shared" si="60"/>
        <v>56.7</v>
      </c>
      <c r="T965">
        <f>IFERROR(VLOOKUP(A965,Table1[[Customer ID]:[Discount Amount]], 6, FALSE),"Not Found")</f>
        <v>63</v>
      </c>
      <c r="U965" t="str">
        <f t="shared" si="61"/>
        <v>Credit Card</v>
      </c>
      <c r="V965" s="4" t="str">
        <f t="shared" si="62"/>
        <v>Normal</v>
      </c>
      <c r="W965" s="4" t="str">
        <f t="shared" si="63"/>
        <v>Poor</v>
      </c>
      <c r="X965" s="4">
        <f>AVERAGE(Table1[Purchase Amount])</f>
        <v>129.48419400000012</v>
      </c>
    </row>
    <row r="966" spans="1:24" ht="15" customHeight="1" x14ac:dyDescent="0.25">
      <c r="A966">
        <v>965</v>
      </c>
      <c r="B966">
        <v>42</v>
      </c>
      <c r="C966" t="s">
        <v>27</v>
      </c>
      <c r="D966" t="s">
        <v>121</v>
      </c>
      <c r="E966" t="s">
        <v>98</v>
      </c>
      <c r="F966" s="2">
        <v>51</v>
      </c>
      <c r="G966" t="s">
        <v>150</v>
      </c>
      <c r="H966" t="s">
        <v>31</v>
      </c>
      <c r="I966" t="s">
        <v>56</v>
      </c>
      <c r="J966" t="s">
        <v>33</v>
      </c>
      <c r="K966">
        <v>2.6</v>
      </c>
      <c r="L966" t="s">
        <v>34</v>
      </c>
      <c r="M966" t="s">
        <v>79</v>
      </c>
      <c r="N966" t="s">
        <v>34</v>
      </c>
      <c r="O966">
        <v>12</v>
      </c>
      <c r="P966" t="s">
        <v>62</v>
      </c>
      <c r="Q966" t="s">
        <v>68</v>
      </c>
      <c r="R966" s="1">
        <v>0.1</v>
      </c>
      <c r="S966">
        <f t="shared" si="60"/>
        <v>45.9</v>
      </c>
      <c r="T966">
        <f>IFERROR(VLOOKUP(A966,Table1[[Customer ID]:[Discount Amount]], 6, FALSE),"Not Found")</f>
        <v>51</v>
      </c>
      <c r="U966" t="str">
        <f t="shared" si="61"/>
        <v>Venmo</v>
      </c>
      <c r="V966" s="4" t="str">
        <f t="shared" si="62"/>
        <v>Normal</v>
      </c>
      <c r="W966" s="4" t="str">
        <f t="shared" si="63"/>
        <v>Poor</v>
      </c>
      <c r="X966" s="4">
        <f>AVERAGE(Table1[Purchase Amount])</f>
        <v>129.48419400000012</v>
      </c>
    </row>
    <row r="967" spans="1:24" ht="15" customHeight="1" x14ac:dyDescent="0.25">
      <c r="A967">
        <v>966</v>
      </c>
      <c r="B967">
        <v>43</v>
      </c>
      <c r="C967" t="s">
        <v>27</v>
      </c>
      <c r="D967" t="s">
        <v>151</v>
      </c>
      <c r="E967" t="s">
        <v>98</v>
      </c>
      <c r="F967" s="2">
        <v>55</v>
      </c>
      <c r="G967" t="s">
        <v>143</v>
      </c>
      <c r="H967" t="s">
        <v>45</v>
      </c>
      <c r="I967" t="s">
        <v>40</v>
      </c>
      <c r="J967" t="s">
        <v>33</v>
      </c>
      <c r="K967">
        <v>5</v>
      </c>
      <c r="L967" t="s">
        <v>34</v>
      </c>
      <c r="M967" t="s">
        <v>48</v>
      </c>
      <c r="N967" t="s">
        <v>34</v>
      </c>
      <c r="O967">
        <v>10</v>
      </c>
      <c r="P967" t="s">
        <v>53</v>
      </c>
      <c r="Q967" t="s">
        <v>49</v>
      </c>
      <c r="R967" s="1">
        <v>0.1</v>
      </c>
      <c r="S967">
        <f t="shared" si="60"/>
        <v>49.5</v>
      </c>
      <c r="T967">
        <f>IFERROR(VLOOKUP(A967,Table1[[Customer ID]:[Discount Amount]], 6, FALSE),"Not Found")</f>
        <v>55</v>
      </c>
      <c r="U967" t="str">
        <f t="shared" si="61"/>
        <v>Credit Card</v>
      </c>
      <c r="V967" s="4" t="str">
        <f t="shared" si="62"/>
        <v>Normal</v>
      </c>
      <c r="W967" s="4" t="str">
        <f t="shared" si="63"/>
        <v>Good</v>
      </c>
      <c r="X967" s="4">
        <f>AVERAGE(Table1[Purchase Amount])</f>
        <v>129.48419400000012</v>
      </c>
    </row>
    <row r="968" spans="1:24" ht="15" customHeight="1" x14ac:dyDescent="0.25">
      <c r="A968">
        <v>967</v>
      </c>
      <c r="B968">
        <v>58</v>
      </c>
      <c r="C968" t="s">
        <v>27</v>
      </c>
      <c r="D968" t="s">
        <v>157</v>
      </c>
      <c r="E968" t="s">
        <v>18</v>
      </c>
      <c r="F968" s="2">
        <v>55</v>
      </c>
      <c r="G968" t="s">
        <v>70</v>
      </c>
      <c r="H968" t="s">
        <v>31</v>
      </c>
      <c r="I968" t="s">
        <v>60</v>
      </c>
      <c r="J968" t="s">
        <v>33</v>
      </c>
      <c r="K968">
        <v>4.9000000000000004</v>
      </c>
      <c r="L968" t="s">
        <v>34</v>
      </c>
      <c r="M968" t="s">
        <v>61</v>
      </c>
      <c r="N968" t="s">
        <v>34</v>
      </c>
      <c r="O968">
        <v>19</v>
      </c>
      <c r="P968" t="s">
        <v>25</v>
      </c>
      <c r="Q968" t="s">
        <v>49</v>
      </c>
      <c r="R968" s="1">
        <v>0.1</v>
      </c>
      <c r="S968">
        <f t="shared" si="60"/>
        <v>49.5</v>
      </c>
      <c r="T968">
        <f>IFERROR(VLOOKUP(A968,Table1[[Customer ID]:[Discount Amount]], 6, FALSE),"Not Found")</f>
        <v>55</v>
      </c>
      <c r="U968" t="str">
        <f t="shared" si="61"/>
        <v>Cash</v>
      </c>
      <c r="V968" s="4" t="str">
        <f t="shared" si="62"/>
        <v>Normal</v>
      </c>
      <c r="W968" s="4" t="str">
        <f t="shared" si="63"/>
        <v>Good</v>
      </c>
      <c r="X968" s="4">
        <f>AVERAGE(Table1[Purchase Amount])</f>
        <v>129.48419400000012</v>
      </c>
    </row>
    <row r="969" spans="1:24" ht="15" customHeight="1" x14ac:dyDescent="0.25">
      <c r="A969">
        <v>968</v>
      </c>
      <c r="B969">
        <v>27</v>
      </c>
      <c r="C969" t="s">
        <v>27</v>
      </c>
      <c r="D969" t="s">
        <v>83</v>
      </c>
      <c r="E969" t="s">
        <v>18</v>
      </c>
      <c r="F969" s="2">
        <v>26</v>
      </c>
      <c r="G969" t="s">
        <v>160</v>
      </c>
      <c r="H969" t="s">
        <v>55</v>
      </c>
      <c r="I969" t="s">
        <v>153</v>
      </c>
      <c r="J969" t="s">
        <v>57</v>
      </c>
      <c r="K969">
        <v>3.7</v>
      </c>
      <c r="L969" t="s">
        <v>34</v>
      </c>
      <c r="M969" t="s">
        <v>48</v>
      </c>
      <c r="N969" t="s">
        <v>34</v>
      </c>
      <c r="O969">
        <v>4</v>
      </c>
      <c r="P969" t="s">
        <v>25</v>
      </c>
      <c r="Q969" t="s">
        <v>26</v>
      </c>
      <c r="R969" s="1">
        <v>0.1</v>
      </c>
      <c r="S969">
        <f t="shared" si="60"/>
        <v>23.4</v>
      </c>
      <c r="T969">
        <f>IFERROR(VLOOKUP(A969,Table1[[Customer ID]:[Discount Amount]], 6, FALSE),"Not Found")</f>
        <v>26</v>
      </c>
      <c r="U969" t="str">
        <f t="shared" si="61"/>
        <v>Cash</v>
      </c>
      <c r="V969" s="4" t="str">
        <f t="shared" si="62"/>
        <v>Normal</v>
      </c>
      <c r="W969" s="4" t="str">
        <f t="shared" si="63"/>
        <v>Good</v>
      </c>
      <c r="X969" s="4">
        <f>AVERAGE(Table1[Purchase Amount])</f>
        <v>129.48419400000012</v>
      </c>
    </row>
    <row r="970" spans="1:24" ht="15" customHeight="1" x14ac:dyDescent="0.25">
      <c r="A970">
        <v>969</v>
      </c>
      <c r="B970">
        <v>57</v>
      </c>
      <c r="C970" t="s">
        <v>27</v>
      </c>
      <c r="D970" t="s">
        <v>54</v>
      </c>
      <c r="E970" t="s">
        <v>18</v>
      </c>
      <c r="F970" s="2">
        <v>67</v>
      </c>
      <c r="G970" t="s">
        <v>134</v>
      </c>
      <c r="H970" t="s">
        <v>45</v>
      </c>
      <c r="I970" t="s">
        <v>85</v>
      </c>
      <c r="J970" t="s">
        <v>57</v>
      </c>
      <c r="K970">
        <v>3.1</v>
      </c>
      <c r="L970" t="s">
        <v>34</v>
      </c>
      <c r="M970" t="s">
        <v>79</v>
      </c>
      <c r="N970" t="s">
        <v>34</v>
      </c>
      <c r="O970">
        <v>48</v>
      </c>
      <c r="P970" t="s">
        <v>88</v>
      </c>
      <c r="Q970" t="s">
        <v>37</v>
      </c>
      <c r="R970" s="1">
        <v>0.1</v>
      </c>
      <c r="S970">
        <f t="shared" si="60"/>
        <v>60.3</v>
      </c>
      <c r="T970">
        <f>IFERROR(VLOOKUP(A970,Table1[[Customer ID]:[Discount Amount]], 6, FALSE),"Not Found")</f>
        <v>67</v>
      </c>
      <c r="U970" t="str">
        <f t="shared" si="61"/>
        <v>Bank Transfer</v>
      </c>
      <c r="V970" s="4" t="str">
        <f t="shared" si="62"/>
        <v>Normal</v>
      </c>
      <c r="W970" s="4" t="str">
        <f t="shared" si="63"/>
        <v>Good</v>
      </c>
      <c r="X970" s="4">
        <f>AVERAGE(Table1[Purchase Amount])</f>
        <v>129.48419400000012</v>
      </c>
    </row>
    <row r="971" spans="1:24" ht="15" customHeight="1" x14ac:dyDescent="0.25">
      <c r="A971">
        <v>970</v>
      </c>
      <c r="B971">
        <v>40</v>
      </c>
      <c r="C971" t="s">
        <v>27</v>
      </c>
      <c r="D971" t="s">
        <v>76</v>
      </c>
      <c r="E971" t="s">
        <v>77</v>
      </c>
      <c r="F971" s="2">
        <v>31</v>
      </c>
      <c r="G971" t="s">
        <v>19</v>
      </c>
      <c r="H971" t="s">
        <v>55</v>
      </c>
      <c r="I971" t="s">
        <v>136</v>
      </c>
      <c r="J971" t="s">
        <v>47</v>
      </c>
      <c r="K971">
        <v>3.2</v>
      </c>
      <c r="L971" t="s">
        <v>34</v>
      </c>
      <c r="M971" t="s">
        <v>61</v>
      </c>
      <c r="N971" t="s">
        <v>34</v>
      </c>
      <c r="O971">
        <v>37</v>
      </c>
      <c r="P971" t="s">
        <v>58</v>
      </c>
      <c r="Q971" t="s">
        <v>42</v>
      </c>
      <c r="R971" s="1">
        <v>0.1</v>
      </c>
      <c r="S971">
        <f t="shared" si="60"/>
        <v>27.9</v>
      </c>
      <c r="T971">
        <f>IFERROR(VLOOKUP(A971,Table1[[Customer ID]:[Discount Amount]], 6, FALSE),"Not Found")</f>
        <v>31</v>
      </c>
      <c r="U971" t="str">
        <f t="shared" si="61"/>
        <v>PayPal</v>
      </c>
      <c r="V971" s="4" t="str">
        <f t="shared" si="62"/>
        <v>Normal</v>
      </c>
      <c r="W971" s="4" t="str">
        <f t="shared" si="63"/>
        <v>Good</v>
      </c>
      <c r="X971" s="4">
        <f>AVERAGE(Table1[Purchase Amount])</f>
        <v>129.48419400000012</v>
      </c>
    </row>
    <row r="972" spans="1:24" ht="15" customHeight="1" x14ac:dyDescent="0.25">
      <c r="A972">
        <v>971</v>
      </c>
      <c r="B972">
        <v>45</v>
      </c>
      <c r="C972" t="s">
        <v>27</v>
      </c>
      <c r="D972" t="s">
        <v>109</v>
      </c>
      <c r="E972" t="s">
        <v>18</v>
      </c>
      <c r="F972" s="2">
        <v>66</v>
      </c>
      <c r="G972" t="s">
        <v>19</v>
      </c>
      <c r="H972" t="s">
        <v>55</v>
      </c>
      <c r="I972" t="s">
        <v>125</v>
      </c>
      <c r="J972" t="s">
        <v>22</v>
      </c>
      <c r="K972">
        <v>4.4000000000000004</v>
      </c>
      <c r="L972" t="s">
        <v>34</v>
      </c>
      <c r="M972" t="s">
        <v>35</v>
      </c>
      <c r="N972" t="s">
        <v>34</v>
      </c>
      <c r="O972">
        <v>4</v>
      </c>
      <c r="P972" t="s">
        <v>25</v>
      </c>
      <c r="Q972" t="s">
        <v>42</v>
      </c>
      <c r="R972" s="1">
        <v>0.1</v>
      </c>
      <c r="S972">
        <f t="shared" si="60"/>
        <v>59.4</v>
      </c>
      <c r="T972">
        <f>IFERROR(VLOOKUP(A972,Table1[[Customer ID]:[Discount Amount]], 6, FALSE),"Not Found")</f>
        <v>66</v>
      </c>
      <c r="U972" t="str">
        <f t="shared" si="61"/>
        <v>Cash</v>
      </c>
      <c r="V972" s="4" t="str">
        <f t="shared" si="62"/>
        <v>Normal</v>
      </c>
      <c r="W972" s="4" t="str">
        <f t="shared" si="63"/>
        <v>Good</v>
      </c>
      <c r="X972" s="4">
        <f>AVERAGE(Table1[Purchase Amount])</f>
        <v>129.48419400000012</v>
      </c>
    </row>
    <row r="973" spans="1:24" ht="15" customHeight="1" x14ac:dyDescent="0.25">
      <c r="A973">
        <v>972</v>
      </c>
      <c r="B973">
        <v>47</v>
      </c>
      <c r="C973" t="s">
        <v>27</v>
      </c>
      <c r="D973" t="s">
        <v>28</v>
      </c>
      <c r="E973" t="s">
        <v>29</v>
      </c>
      <c r="F973" s="2">
        <v>67</v>
      </c>
      <c r="G973" t="s">
        <v>102</v>
      </c>
      <c r="H973" t="s">
        <v>31</v>
      </c>
      <c r="I973" t="s">
        <v>128</v>
      </c>
      <c r="J973" t="s">
        <v>57</v>
      </c>
      <c r="K973">
        <v>4.3</v>
      </c>
      <c r="L973" t="s">
        <v>34</v>
      </c>
      <c r="M973" t="s">
        <v>79</v>
      </c>
      <c r="N973" t="s">
        <v>34</v>
      </c>
      <c r="O973">
        <v>15</v>
      </c>
      <c r="P973" t="s">
        <v>53</v>
      </c>
      <c r="Q973" t="s">
        <v>26</v>
      </c>
      <c r="R973" s="1">
        <v>0.1</v>
      </c>
      <c r="S973">
        <f t="shared" si="60"/>
        <v>60.3</v>
      </c>
      <c r="T973">
        <f>IFERROR(VLOOKUP(A973,Table1[[Customer ID]:[Discount Amount]], 6, FALSE),"Not Found")</f>
        <v>67</v>
      </c>
      <c r="U973" t="str">
        <f t="shared" si="61"/>
        <v>Credit Card</v>
      </c>
      <c r="V973" s="4" t="str">
        <f t="shared" si="62"/>
        <v>Normal</v>
      </c>
      <c r="W973" s="4" t="str">
        <f t="shared" si="63"/>
        <v>Good</v>
      </c>
      <c r="X973" s="4">
        <f>AVERAGE(Table1[Purchase Amount])</f>
        <v>129.48419400000012</v>
      </c>
    </row>
    <row r="974" spans="1:24" ht="15" customHeight="1" x14ac:dyDescent="0.25">
      <c r="A974">
        <v>973</v>
      </c>
      <c r="B974">
        <v>61</v>
      </c>
      <c r="C974" t="s">
        <v>27</v>
      </c>
      <c r="D974" t="s">
        <v>140</v>
      </c>
      <c r="E974" t="s">
        <v>98</v>
      </c>
      <c r="F974" s="2">
        <v>61</v>
      </c>
      <c r="G974" t="s">
        <v>92</v>
      </c>
      <c r="H974" t="s">
        <v>45</v>
      </c>
      <c r="I974" t="s">
        <v>133</v>
      </c>
      <c r="J974" t="s">
        <v>22</v>
      </c>
      <c r="K974">
        <v>3</v>
      </c>
      <c r="L974" t="s">
        <v>34</v>
      </c>
      <c r="M974" t="s">
        <v>24</v>
      </c>
      <c r="N974" t="s">
        <v>34</v>
      </c>
      <c r="O974">
        <v>33</v>
      </c>
      <c r="P974" t="s">
        <v>53</v>
      </c>
      <c r="Q974" t="s">
        <v>26</v>
      </c>
      <c r="R974" s="1">
        <v>0.1</v>
      </c>
      <c r="S974">
        <f t="shared" si="60"/>
        <v>54.9</v>
      </c>
      <c r="T974">
        <f>IFERROR(VLOOKUP(A974,Table1[[Customer ID]:[Discount Amount]], 6, FALSE),"Not Found")</f>
        <v>61</v>
      </c>
      <c r="U974" t="str">
        <f t="shared" si="61"/>
        <v>Credit Card</v>
      </c>
      <c r="V974" s="4" t="str">
        <f t="shared" si="62"/>
        <v>Normal</v>
      </c>
      <c r="W974" s="4" t="str">
        <f t="shared" si="63"/>
        <v>Good</v>
      </c>
      <c r="X974" s="4">
        <f>AVERAGE(Table1[Purchase Amount])</f>
        <v>129.48419400000012</v>
      </c>
    </row>
    <row r="975" spans="1:24" ht="15" customHeight="1" x14ac:dyDescent="0.25">
      <c r="A975">
        <v>974</v>
      </c>
      <c r="B975">
        <v>60</v>
      </c>
      <c r="C975" t="s">
        <v>27</v>
      </c>
      <c r="D975" t="s">
        <v>96</v>
      </c>
      <c r="E975" t="s">
        <v>77</v>
      </c>
      <c r="F975" s="2">
        <v>75</v>
      </c>
      <c r="G975" t="s">
        <v>92</v>
      </c>
      <c r="H975" t="s">
        <v>31</v>
      </c>
      <c r="I975" t="s">
        <v>147</v>
      </c>
      <c r="J975" t="s">
        <v>47</v>
      </c>
      <c r="K975">
        <v>3.5</v>
      </c>
      <c r="L975" t="s">
        <v>34</v>
      </c>
      <c r="M975" t="s">
        <v>41</v>
      </c>
      <c r="N975" t="s">
        <v>34</v>
      </c>
      <c r="O975">
        <v>30</v>
      </c>
      <c r="P975" t="s">
        <v>88</v>
      </c>
      <c r="Q975" t="s">
        <v>37</v>
      </c>
      <c r="R975" s="1">
        <v>0.1</v>
      </c>
      <c r="S975">
        <f t="shared" si="60"/>
        <v>67.5</v>
      </c>
      <c r="T975">
        <f>IFERROR(VLOOKUP(A975,Table1[[Customer ID]:[Discount Amount]], 6, FALSE),"Not Found")</f>
        <v>75</v>
      </c>
      <c r="U975" t="str">
        <f t="shared" si="61"/>
        <v>Bank Transfer</v>
      </c>
      <c r="V975" s="4" t="str">
        <f t="shared" si="62"/>
        <v>Normal</v>
      </c>
      <c r="W975" s="4" t="str">
        <f t="shared" si="63"/>
        <v>Good</v>
      </c>
      <c r="X975" s="4">
        <f>AVERAGE(Table1[Purchase Amount])</f>
        <v>129.48419400000012</v>
      </c>
    </row>
    <row r="976" spans="1:24" ht="15" customHeight="1" x14ac:dyDescent="0.25">
      <c r="A976">
        <v>975</v>
      </c>
      <c r="B976">
        <v>69</v>
      </c>
      <c r="C976" t="s">
        <v>27</v>
      </c>
      <c r="D976" t="s">
        <v>122</v>
      </c>
      <c r="E976" t="s">
        <v>18</v>
      </c>
      <c r="F976" s="2">
        <v>90</v>
      </c>
      <c r="G976" t="s">
        <v>134</v>
      </c>
      <c r="H976" t="s">
        <v>31</v>
      </c>
      <c r="I976" t="s">
        <v>56</v>
      </c>
      <c r="J976" t="s">
        <v>33</v>
      </c>
      <c r="K976">
        <v>3.6</v>
      </c>
      <c r="L976" t="s">
        <v>34</v>
      </c>
      <c r="M976" t="s">
        <v>41</v>
      </c>
      <c r="N976" t="s">
        <v>34</v>
      </c>
      <c r="O976">
        <v>23</v>
      </c>
      <c r="P976" t="s">
        <v>88</v>
      </c>
      <c r="Q976" t="s">
        <v>42</v>
      </c>
      <c r="R976" s="1">
        <v>0.1</v>
      </c>
      <c r="S976">
        <f t="shared" si="60"/>
        <v>81</v>
      </c>
      <c r="T976">
        <f>IFERROR(VLOOKUP(A976,Table1[[Customer ID]:[Discount Amount]], 6, FALSE),"Not Found")</f>
        <v>90</v>
      </c>
      <c r="U976" t="str">
        <f t="shared" si="61"/>
        <v>Bank Transfer</v>
      </c>
      <c r="V976" s="4" t="str">
        <f t="shared" si="62"/>
        <v>Normal</v>
      </c>
      <c r="W976" s="4" t="str">
        <f t="shared" si="63"/>
        <v>Good</v>
      </c>
      <c r="X976" s="4">
        <f>AVERAGE(Table1[Purchase Amount])</f>
        <v>129.48419400000012</v>
      </c>
    </row>
    <row r="977" spans="1:24" ht="15" customHeight="1" x14ac:dyDescent="0.25">
      <c r="A977">
        <v>976</v>
      </c>
      <c r="B977">
        <v>58</v>
      </c>
      <c r="C977" t="s">
        <v>27</v>
      </c>
      <c r="D977" t="s">
        <v>127</v>
      </c>
      <c r="E977" t="s">
        <v>18</v>
      </c>
      <c r="F977" s="2">
        <v>40</v>
      </c>
      <c r="G977" t="s">
        <v>155</v>
      </c>
      <c r="H977" t="s">
        <v>31</v>
      </c>
      <c r="I977" t="s">
        <v>21</v>
      </c>
      <c r="J977" t="s">
        <v>57</v>
      </c>
      <c r="K977">
        <v>3.8</v>
      </c>
      <c r="L977" t="s">
        <v>34</v>
      </c>
      <c r="M977" t="s">
        <v>41</v>
      </c>
      <c r="N977" t="s">
        <v>34</v>
      </c>
      <c r="O977">
        <v>2</v>
      </c>
      <c r="P977" t="s">
        <v>88</v>
      </c>
      <c r="Q977" t="s">
        <v>26</v>
      </c>
      <c r="R977" s="1">
        <v>0.1</v>
      </c>
      <c r="S977">
        <f t="shared" si="60"/>
        <v>36</v>
      </c>
      <c r="T977">
        <f>IFERROR(VLOOKUP(A977,Table1[[Customer ID]:[Discount Amount]], 6, FALSE),"Not Found")</f>
        <v>40</v>
      </c>
      <c r="U977" t="str">
        <f t="shared" si="61"/>
        <v>Bank Transfer</v>
      </c>
      <c r="V977" s="4" t="str">
        <f t="shared" si="62"/>
        <v>Normal</v>
      </c>
      <c r="W977" s="4" t="str">
        <f t="shared" si="63"/>
        <v>Good</v>
      </c>
      <c r="X977" s="4">
        <f>AVERAGE(Table1[Purchase Amount])</f>
        <v>129.48419400000012</v>
      </c>
    </row>
    <row r="978" spans="1:24" ht="15" customHeight="1" x14ac:dyDescent="0.25">
      <c r="A978">
        <v>977</v>
      </c>
      <c r="B978">
        <v>34</v>
      </c>
      <c r="C978" t="s">
        <v>27</v>
      </c>
      <c r="D978" t="s">
        <v>17</v>
      </c>
      <c r="E978" t="s">
        <v>18</v>
      </c>
      <c r="F978" s="2">
        <v>90</v>
      </c>
      <c r="G978" t="s">
        <v>67</v>
      </c>
      <c r="H978" t="s">
        <v>31</v>
      </c>
      <c r="I978" t="s">
        <v>85</v>
      </c>
      <c r="J978" t="s">
        <v>47</v>
      </c>
      <c r="K978">
        <v>3.6</v>
      </c>
      <c r="L978" t="s">
        <v>34</v>
      </c>
      <c r="M978" t="s">
        <v>61</v>
      </c>
      <c r="N978" t="s">
        <v>34</v>
      </c>
      <c r="O978">
        <v>50</v>
      </c>
      <c r="P978" t="s">
        <v>53</v>
      </c>
      <c r="Q978" t="s">
        <v>63</v>
      </c>
      <c r="R978" s="1">
        <v>0.1</v>
      </c>
      <c r="S978">
        <f t="shared" si="60"/>
        <v>81</v>
      </c>
      <c r="T978">
        <f>IFERROR(VLOOKUP(A978,Table1[[Customer ID]:[Discount Amount]], 6, FALSE),"Not Found")</f>
        <v>90</v>
      </c>
      <c r="U978" t="str">
        <f t="shared" si="61"/>
        <v>Credit Card</v>
      </c>
      <c r="V978" s="4" t="str">
        <f t="shared" si="62"/>
        <v>Normal</v>
      </c>
      <c r="W978" s="4" t="str">
        <f t="shared" si="63"/>
        <v>Good</v>
      </c>
      <c r="X978" s="4">
        <f>AVERAGE(Table1[Purchase Amount])</f>
        <v>129.48419400000012</v>
      </c>
    </row>
    <row r="979" spans="1:24" ht="15" customHeight="1" x14ac:dyDescent="0.25">
      <c r="A979">
        <v>978</v>
      </c>
      <c r="B979">
        <v>20</v>
      </c>
      <c r="C979" t="s">
        <v>27</v>
      </c>
      <c r="D979" t="s">
        <v>114</v>
      </c>
      <c r="E979" t="s">
        <v>29</v>
      </c>
      <c r="F979" s="2">
        <v>20</v>
      </c>
      <c r="G979" t="s">
        <v>155</v>
      </c>
      <c r="H979" t="s">
        <v>31</v>
      </c>
      <c r="I979" t="s">
        <v>40</v>
      </c>
      <c r="J979" t="s">
        <v>33</v>
      </c>
      <c r="K979">
        <v>4.5999999999999996</v>
      </c>
      <c r="L979" t="s">
        <v>34</v>
      </c>
      <c r="M979" t="s">
        <v>61</v>
      </c>
      <c r="N979" t="s">
        <v>34</v>
      </c>
      <c r="O979">
        <v>34</v>
      </c>
      <c r="P979" t="s">
        <v>25</v>
      </c>
      <c r="Q979" t="s">
        <v>68</v>
      </c>
      <c r="R979" s="1">
        <v>0.1</v>
      </c>
      <c r="S979">
        <f t="shared" si="60"/>
        <v>18</v>
      </c>
      <c r="T979">
        <f>IFERROR(VLOOKUP(A979,Table1[[Customer ID]:[Discount Amount]], 6, FALSE),"Not Found")</f>
        <v>20</v>
      </c>
      <c r="U979" t="str">
        <f t="shared" si="61"/>
        <v>Cash</v>
      </c>
      <c r="V979" s="4" t="str">
        <f t="shared" si="62"/>
        <v>Normal</v>
      </c>
      <c r="W979" s="4" t="str">
        <f t="shared" si="63"/>
        <v>Good</v>
      </c>
      <c r="X979" s="4">
        <f>AVERAGE(Table1[Purchase Amount])</f>
        <v>129.48419400000012</v>
      </c>
    </row>
    <row r="980" spans="1:24" ht="15" customHeight="1" x14ac:dyDescent="0.25">
      <c r="A980">
        <v>979</v>
      </c>
      <c r="B980">
        <v>56</v>
      </c>
      <c r="C980" t="s">
        <v>27</v>
      </c>
      <c r="D980" t="s">
        <v>43</v>
      </c>
      <c r="E980" t="s">
        <v>29</v>
      </c>
      <c r="F980" s="2">
        <v>40</v>
      </c>
      <c r="G980" t="s">
        <v>92</v>
      </c>
      <c r="H980" t="s">
        <v>31</v>
      </c>
      <c r="I980" t="s">
        <v>156</v>
      </c>
      <c r="J980" t="s">
        <v>57</v>
      </c>
      <c r="K980">
        <v>2.5</v>
      </c>
      <c r="L980" t="s">
        <v>34</v>
      </c>
      <c r="M980" t="s">
        <v>24</v>
      </c>
      <c r="N980" t="s">
        <v>34</v>
      </c>
      <c r="O980">
        <v>33</v>
      </c>
      <c r="P980" t="s">
        <v>53</v>
      </c>
      <c r="Q980" t="s">
        <v>26</v>
      </c>
      <c r="R980" s="1">
        <v>0.1</v>
      </c>
      <c r="S980">
        <f t="shared" si="60"/>
        <v>36</v>
      </c>
      <c r="T980">
        <f>IFERROR(VLOOKUP(A980,Table1[[Customer ID]:[Discount Amount]], 6, FALSE),"Not Found")</f>
        <v>40</v>
      </c>
      <c r="U980" t="str">
        <f t="shared" si="61"/>
        <v>Credit Card</v>
      </c>
      <c r="V980" s="4" t="str">
        <f t="shared" si="62"/>
        <v>Normal</v>
      </c>
      <c r="W980" s="4" t="str">
        <f t="shared" si="63"/>
        <v>Poor</v>
      </c>
      <c r="X980" s="4">
        <f>AVERAGE(Table1[Purchase Amount])</f>
        <v>129.48419400000012</v>
      </c>
    </row>
    <row r="981" spans="1:24" ht="15" customHeight="1" x14ac:dyDescent="0.25">
      <c r="A981">
        <v>980</v>
      </c>
      <c r="B981">
        <v>64</v>
      </c>
      <c r="C981" t="s">
        <v>27</v>
      </c>
      <c r="D981" t="s">
        <v>64</v>
      </c>
      <c r="E981" t="s">
        <v>29</v>
      </c>
      <c r="F981" s="2">
        <v>33</v>
      </c>
      <c r="G981" t="s">
        <v>132</v>
      </c>
      <c r="H981" t="s">
        <v>55</v>
      </c>
      <c r="I981" t="s">
        <v>60</v>
      </c>
      <c r="J981" t="s">
        <v>47</v>
      </c>
      <c r="K981">
        <v>3.5</v>
      </c>
      <c r="L981" t="s">
        <v>34</v>
      </c>
      <c r="M981" t="s">
        <v>48</v>
      </c>
      <c r="N981" t="s">
        <v>34</v>
      </c>
      <c r="O981">
        <v>34</v>
      </c>
      <c r="P981" t="s">
        <v>36</v>
      </c>
      <c r="Q981" t="s">
        <v>42</v>
      </c>
      <c r="R981" s="1">
        <v>0.1</v>
      </c>
      <c r="S981">
        <f t="shared" si="60"/>
        <v>29.7</v>
      </c>
      <c r="T981">
        <f>IFERROR(VLOOKUP(A981,Table1[[Customer ID]:[Discount Amount]], 6, FALSE),"Not Found")</f>
        <v>33</v>
      </c>
      <c r="U981" t="str">
        <f t="shared" si="61"/>
        <v>Debit Card</v>
      </c>
      <c r="V981" s="4" t="str">
        <f t="shared" si="62"/>
        <v>Normal</v>
      </c>
      <c r="W981" s="4" t="str">
        <f t="shared" si="63"/>
        <v>Good</v>
      </c>
      <c r="X981" s="4">
        <f>AVERAGE(Table1[Purchase Amount])</f>
        <v>129.48419400000012</v>
      </c>
    </row>
    <row r="982" spans="1:24" ht="15" customHeight="1" x14ac:dyDescent="0.25">
      <c r="A982">
        <v>981</v>
      </c>
      <c r="B982">
        <v>56</v>
      </c>
      <c r="C982" t="s">
        <v>27</v>
      </c>
      <c r="D982" t="s">
        <v>151</v>
      </c>
      <c r="E982" t="s">
        <v>98</v>
      </c>
      <c r="F982" s="2">
        <v>98</v>
      </c>
      <c r="G982" t="s">
        <v>106</v>
      </c>
      <c r="H982" t="s">
        <v>55</v>
      </c>
      <c r="I982" t="s">
        <v>87</v>
      </c>
      <c r="J982" t="s">
        <v>33</v>
      </c>
      <c r="K982">
        <v>4</v>
      </c>
      <c r="L982" t="s">
        <v>34</v>
      </c>
      <c r="M982" t="s">
        <v>35</v>
      </c>
      <c r="N982" t="s">
        <v>34</v>
      </c>
      <c r="O982">
        <v>39</v>
      </c>
      <c r="P982" t="s">
        <v>58</v>
      </c>
      <c r="Q982" t="s">
        <v>63</v>
      </c>
      <c r="R982" s="1">
        <v>0.1</v>
      </c>
      <c r="S982">
        <f t="shared" si="60"/>
        <v>88.2</v>
      </c>
      <c r="T982">
        <f>IFERROR(VLOOKUP(A982,Table1[[Customer ID]:[Discount Amount]], 6, FALSE),"Not Found")</f>
        <v>98</v>
      </c>
      <c r="U982" t="str">
        <f t="shared" si="61"/>
        <v>PayPal</v>
      </c>
      <c r="V982" s="4" t="str">
        <f t="shared" si="62"/>
        <v>Normal</v>
      </c>
      <c r="W982" s="4" t="str">
        <f t="shared" si="63"/>
        <v>Good</v>
      </c>
      <c r="X982" s="4">
        <f>AVERAGE(Table1[Purchase Amount])</f>
        <v>129.48419400000012</v>
      </c>
    </row>
    <row r="983" spans="1:24" ht="15" customHeight="1" x14ac:dyDescent="0.25">
      <c r="A983">
        <v>982</v>
      </c>
      <c r="B983">
        <v>27</v>
      </c>
      <c r="C983" t="s">
        <v>27</v>
      </c>
      <c r="D983" t="s">
        <v>114</v>
      </c>
      <c r="E983" t="s">
        <v>29</v>
      </c>
      <c r="F983" s="2">
        <v>42</v>
      </c>
      <c r="G983" t="s">
        <v>106</v>
      </c>
      <c r="H983" t="s">
        <v>31</v>
      </c>
      <c r="I983" t="s">
        <v>153</v>
      </c>
      <c r="J983" t="s">
        <v>33</v>
      </c>
      <c r="K983">
        <v>3.5</v>
      </c>
      <c r="L983" t="s">
        <v>34</v>
      </c>
      <c r="M983" t="s">
        <v>79</v>
      </c>
      <c r="N983" t="s">
        <v>34</v>
      </c>
      <c r="O983">
        <v>47</v>
      </c>
      <c r="P983" t="s">
        <v>53</v>
      </c>
      <c r="Q983" t="s">
        <v>37</v>
      </c>
      <c r="R983" s="1">
        <v>0.1</v>
      </c>
      <c r="S983">
        <f t="shared" si="60"/>
        <v>37.799999999999997</v>
      </c>
      <c r="T983">
        <f>IFERROR(VLOOKUP(A983,Table1[[Customer ID]:[Discount Amount]], 6, FALSE),"Not Found")</f>
        <v>42</v>
      </c>
      <c r="U983" t="str">
        <f t="shared" si="61"/>
        <v>Credit Card</v>
      </c>
      <c r="V983" s="4" t="str">
        <f t="shared" si="62"/>
        <v>Normal</v>
      </c>
      <c r="W983" s="4" t="str">
        <f t="shared" si="63"/>
        <v>Good</v>
      </c>
      <c r="X983" s="4">
        <f>AVERAGE(Table1[Purchase Amount])</f>
        <v>129.48419400000012</v>
      </c>
    </row>
    <row r="984" spans="1:24" ht="15" customHeight="1" x14ac:dyDescent="0.25">
      <c r="A984">
        <v>983</v>
      </c>
      <c r="B984">
        <v>35</v>
      </c>
      <c r="C984" t="s">
        <v>27</v>
      </c>
      <c r="D984" t="s">
        <v>76</v>
      </c>
      <c r="E984" t="s">
        <v>77</v>
      </c>
      <c r="F984" s="2">
        <v>62</v>
      </c>
      <c r="G984" t="s">
        <v>152</v>
      </c>
      <c r="H984" t="s">
        <v>55</v>
      </c>
      <c r="I984" t="s">
        <v>46</v>
      </c>
      <c r="J984" t="s">
        <v>57</v>
      </c>
      <c r="K984">
        <v>3.2</v>
      </c>
      <c r="L984" t="s">
        <v>34</v>
      </c>
      <c r="M984" t="s">
        <v>24</v>
      </c>
      <c r="N984" t="s">
        <v>34</v>
      </c>
      <c r="O984">
        <v>37</v>
      </c>
      <c r="P984" t="s">
        <v>58</v>
      </c>
      <c r="Q984" t="s">
        <v>42</v>
      </c>
      <c r="R984" s="1">
        <v>0.1</v>
      </c>
      <c r="S984">
        <f t="shared" si="60"/>
        <v>55.8</v>
      </c>
      <c r="T984">
        <f>IFERROR(VLOOKUP(A984,Table1[[Customer ID]:[Discount Amount]], 6, FALSE),"Not Found")</f>
        <v>62</v>
      </c>
      <c r="U984" t="str">
        <f t="shared" si="61"/>
        <v>PayPal</v>
      </c>
      <c r="V984" s="4" t="str">
        <f t="shared" si="62"/>
        <v>Normal</v>
      </c>
      <c r="W984" s="4" t="str">
        <f t="shared" si="63"/>
        <v>Good</v>
      </c>
      <c r="X984" s="4">
        <f>AVERAGE(Table1[Purchase Amount])</f>
        <v>129.48419400000012</v>
      </c>
    </row>
    <row r="985" spans="1:24" ht="15" customHeight="1" x14ac:dyDescent="0.25">
      <c r="A985">
        <v>984</v>
      </c>
      <c r="B985">
        <v>24</v>
      </c>
      <c r="C985" t="s">
        <v>27</v>
      </c>
      <c r="D985" t="s">
        <v>64</v>
      </c>
      <c r="E985" t="s">
        <v>29</v>
      </c>
      <c r="F985" s="2">
        <v>45</v>
      </c>
      <c r="G985" t="s">
        <v>110</v>
      </c>
      <c r="H985" t="s">
        <v>45</v>
      </c>
      <c r="I985" t="s">
        <v>91</v>
      </c>
      <c r="J985" t="s">
        <v>22</v>
      </c>
      <c r="K985">
        <v>3.5</v>
      </c>
      <c r="L985" t="s">
        <v>34</v>
      </c>
      <c r="M985" t="s">
        <v>35</v>
      </c>
      <c r="N985" t="s">
        <v>34</v>
      </c>
      <c r="O985">
        <v>40</v>
      </c>
      <c r="P985" t="s">
        <v>62</v>
      </c>
      <c r="Q985" t="s">
        <v>68</v>
      </c>
      <c r="R985" s="1">
        <v>0.1</v>
      </c>
      <c r="S985">
        <f t="shared" si="60"/>
        <v>40.5</v>
      </c>
      <c r="T985">
        <f>IFERROR(VLOOKUP(A985,Table1[[Customer ID]:[Discount Amount]], 6, FALSE),"Not Found")</f>
        <v>45</v>
      </c>
      <c r="U985" t="str">
        <f t="shared" si="61"/>
        <v>Venmo</v>
      </c>
      <c r="V985" s="4" t="str">
        <f t="shared" si="62"/>
        <v>Normal</v>
      </c>
      <c r="W985" s="4" t="str">
        <f t="shared" si="63"/>
        <v>Good</v>
      </c>
      <c r="X985" s="4">
        <f>AVERAGE(Table1[Purchase Amount])</f>
        <v>129.48419400000012</v>
      </c>
    </row>
    <row r="986" spans="1:24" ht="15" customHeight="1" x14ac:dyDescent="0.25">
      <c r="A986">
        <v>985</v>
      </c>
      <c r="B986">
        <v>26</v>
      </c>
      <c r="C986" t="s">
        <v>27</v>
      </c>
      <c r="D986" t="s">
        <v>72</v>
      </c>
      <c r="E986" t="s">
        <v>98</v>
      </c>
      <c r="F986" s="2">
        <v>78</v>
      </c>
      <c r="G986" t="s">
        <v>144</v>
      </c>
      <c r="H986" t="s">
        <v>31</v>
      </c>
      <c r="I986" t="s">
        <v>93</v>
      </c>
      <c r="J986" t="s">
        <v>57</v>
      </c>
      <c r="K986">
        <v>3.4</v>
      </c>
      <c r="L986" t="s">
        <v>34</v>
      </c>
      <c r="M986" t="s">
        <v>35</v>
      </c>
      <c r="N986" t="s">
        <v>34</v>
      </c>
      <c r="O986">
        <v>8</v>
      </c>
      <c r="P986" t="s">
        <v>53</v>
      </c>
      <c r="Q986" t="s">
        <v>68</v>
      </c>
      <c r="R986" s="1">
        <v>0.1</v>
      </c>
      <c r="S986">
        <f t="shared" si="60"/>
        <v>70.2</v>
      </c>
      <c r="T986">
        <f>IFERROR(VLOOKUP(A986,Table1[[Customer ID]:[Discount Amount]], 6, FALSE),"Not Found")</f>
        <v>78</v>
      </c>
      <c r="U986" t="str">
        <f t="shared" si="61"/>
        <v>Credit Card</v>
      </c>
      <c r="V986" s="4" t="str">
        <f t="shared" si="62"/>
        <v>Normal</v>
      </c>
      <c r="W986" s="4" t="str">
        <f t="shared" si="63"/>
        <v>Good</v>
      </c>
      <c r="X986" s="4">
        <f>AVERAGE(Table1[Purchase Amount])</f>
        <v>129.48419400000012</v>
      </c>
    </row>
    <row r="987" spans="1:24" ht="15" customHeight="1" x14ac:dyDescent="0.25">
      <c r="A987">
        <v>986</v>
      </c>
      <c r="B987">
        <v>32</v>
      </c>
      <c r="C987" t="s">
        <v>27</v>
      </c>
      <c r="D987" t="s">
        <v>69</v>
      </c>
      <c r="E987" t="s">
        <v>29</v>
      </c>
      <c r="F987" s="2">
        <v>80</v>
      </c>
      <c r="G987" t="s">
        <v>154</v>
      </c>
      <c r="H987" t="s">
        <v>31</v>
      </c>
      <c r="I987" t="s">
        <v>85</v>
      </c>
      <c r="J987" t="s">
        <v>47</v>
      </c>
      <c r="K987">
        <v>5</v>
      </c>
      <c r="L987" t="s">
        <v>34</v>
      </c>
      <c r="M987" t="s">
        <v>61</v>
      </c>
      <c r="N987" t="s">
        <v>34</v>
      </c>
      <c r="O987">
        <v>12</v>
      </c>
      <c r="P987" t="s">
        <v>88</v>
      </c>
      <c r="Q987" t="s">
        <v>49</v>
      </c>
      <c r="R987" s="1">
        <v>0.1</v>
      </c>
      <c r="S987">
        <f t="shared" si="60"/>
        <v>72</v>
      </c>
      <c r="T987">
        <f>IFERROR(VLOOKUP(A987,Table1[[Customer ID]:[Discount Amount]], 6, FALSE),"Not Found")</f>
        <v>80</v>
      </c>
      <c r="U987" t="str">
        <f t="shared" si="61"/>
        <v>Bank Transfer</v>
      </c>
      <c r="V987" s="4" t="str">
        <f t="shared" si="62"/>
        <v>Normal</v>
      </c>
      <c r="W987" s="4" t="str">
        <f t="shared" si="63"/>
        <v>Good</v>
      </c>
      <c r="X987" s="4">
        <f>AVERAGE(Table1[Purchase Amount])</f>
        <v>129.48419400000012</v>
      </c>
    </row>
    <row r="988" spans="1:24" ht="15" customHeight="1" x14ac:dyDescent="0.25">
      <c r="A988">
        <v>987</v>
      </c>
      <c r="B988">
        <v>54</v>
      </c>
      <c r="C988" t="s">
        <v>27</v>
      </c>
      <c r="D988" t="s">
        <v>129</v>
      </c>
      <c r="E988" t="s">
        <v>29</v>
      </c>
      <c r="F988" s="2">
        <v>96</v>
      </c>
      <c r="G988" t="s">
        <v>115</v>
      </c>
      <c r="H988" t="s">
        <v>55</v>
      </c>
      <c r="I988" t="s">
        <v>145</v>
      </c>
      <c r="J988" t="s">
        <v>33</v>
      </c>
      <c r="K988">
        <v>4.5</v>
      </c>
      <c r="L988" t="s">
        <v>34</v>
      </c>
      <c r="M988" t="s">
        <v>48</v>
      </c>
      <c r="N988" t="s">
        <v>34</v>
      </c>
      <c r="O988">
        <v>36</v>
      </c>
      <c r="P988" t="s">
        <v>88</v>
      </c>
      <c r="Q988" t="s">
        <v>42</v>
      </c>
      <c r="R988" s="1">
        <v>0.1</v>
      </c>
      <c r="S988">
        <f t="shared" si="60"/>
        <v>86.4</v>
      </c>
      <c r="T988">
        <f>IFERROR(VLOOKUP(A988,Table1[[Customer ID]:[Discount Amount]], 6, FALSE),"Not Found")</f>
        <v>96</v>
      </c>
      <c r="U988" t="str">
        <f t="shared" si="61"/>
        <v>Bank Transfer</v>
      </c>
      <c r="V988" s="4" t="str">
        <f t="shared" si="62"/>
        <v>Normal</v>
      </c>
      <c r="W988" s="4" t="str">
        <f t="shared" si="63"/>
        <v>Good</v>
      </c>
      <c r="X988" s="4">
        <f>AVERAGE(Table1[Purchase Amount])</f>
        <v>129.48419400000012</v>
      </c>
    </row>
    <row r="989" spans="1:24" ht="15" customHeight="1" x14ac:dyDescent="0.25">
      <c r="A989">
        <v>988</v>
      </c>
      <c r="B989">
        <v>62</v>
      </c>
      <c r="C989" t="s">
        <v>27</v>
      </c>
      <c r="D989" t="s">
        <v>69</v>
      </c>
      <c r="E989" t="s">
        <v>29</v>
      </c>
      <c r="F989" s="2">
        <v>47</v>
      </c>
      <c r="G989" t="s">
        <v>154</v>
      </c>
      <c r="H989" t="s">
        <v>31</v>
      </c>
      <c r="I989" t="s">
        <v>103</v>
      </c>
      <c r="J989" t="s">
        <v>57</v>
      </c>
      <c r="K989">
        <v>2.8</v>
      </c>
      <c r="L989" t="s">
        <v>34</v>
      </c>
      <c r="M989" t="s">
        <v>61</v>
      </c>
      <c r="N989" t="s">
        <v>34</v>
      </c>
      <c r="O989">
        <v>48</v>
      </c>
      <c r="P989" t="s">
        <v>58</v>
      </c>
      <c r="Q989" t="s">
        <v>26</v>
      </c>
      <c r="R989" s="1">
        <v>0.1</v>
      </c>
      <c r="S989">
        <f t="shared" si="60"/>
        <v>42.3</v>
      </c>
      <c r="T989">
        <f>IFERROR(VLOOKUP(A989,Table1[[Customer ID]:[Discount Amount]], 6, FALSE),"Not Found")</f>
        <v>47</v>
      </c>
      <c r="U989" t="str">
        <f t="shared" si="61"/>
        <v>PayPal</v>
      </c>
      <c r="V989" s="4" t="str">
        <f t="shared" si="62"/>
        <v>Normal</v>
      </c>
      <c r="W989" s="4" t="str">
        <f t="shared" si="63"/>
        <v>Poor</v>
      </c>
      <c r="X989" s="4">
        <f>AVERAGE(Table1[Purchase Amount])</f>
        <v>129.48419400000012</v>
      </c>
    </row>
    <row r="990" spans="1:24" ht="15" customHeight="1" x14ac:dyDescent="0.25">
      <c r="A990">
        <v>989</v>
      </c>
      <c r="B990">
        <v>50</v>
      </c>
      <c r="C990" t="s">
        <v>27</v>
      </c>
      <c r="D990" t="s">
        <v>99</v>
      </c>
      <c r="E990" t="s">
        <v>18</v>
      </c>
      <c r="F990" s="2">
        <v>84</v>
      </c>
      <c r="G990" t="s">
        <v>90</v>
      </c>
      <c r="H990" t="s">
        <v>31</v>
      </c>
      <c r="I990" t="s">
        <v>108</v>
      </c>
      <c r="J990" t="s">
        <v>22</v>
      </c>
      <c r="K990">
        <v>4.9000000000000004</v>
      </c>
      <c r="L990" t="s">
        <v>34</v>
      </c>
      <c r="M990" t="s">
        <v>41</v>
      </c>
      <c r="N990" t="s">
        <v>34</v>
      </c>
      <c r="O990">
        <v>47</v>
      </c>
      <c r="P990" t="s">
        <v>58</v>
      </c>
      <c r="Q990" t="s">
        <v>89</v>
      </c>
      <c r="R990" s="1">
        <v>0.1</v>
      </c>
      <c r="S990">
        <f t="shared" si="60"/>
        <v>75.599999999999994</v>
      </c>
      <c r="T990">
        <f>IFERROR(VLOOKUP(A990,Table1[[Customer ID]:[Discount Amount]], 6, FALSE),"Not Found")</f>
        <v>84</v>
      </c>
      <c r="U990" t="str">
        <f t="shared" si="61"/>
        <v>PayPal</v>
      </c>
      <c r="V990" s="4" t="str">
        <f t="shared" si="62"/>
        <v>Normal</v>
      </c>
      <c r="W990" s="4" t="str">
        <f t="shared" si="63"/>
        <v>Good</v>
      </c>
      <c r="X990" s="4">
        <f>AVERAGE(Table1[Purchase Amount])</f>
        <v>129.48419400000012</v>
      </c>
    </row>
    <row r="991" spans="1:24" ht="15" customHeight="1" x14ac:dyDescent="0.25">
      <c r="A991">
        <v>990</v>
      </c>
      <c r="B991">
        <v>70</v>
      </c>
      <c r="C991" t="s">
        <v>27</v>
      </c>
      <c r="D991" t="s">
        <v>72</v>
      </c>
      <c r="E991" t="s">
        <v>98</v>
      </c>
      <c r="F991" s="2">
        <v>31</v>
      </c>
      <c r="G991" t="s">
        <v>152</v>
      </c>
      <c r="H991" t="s">
        <v>31</v>
      </c>
      <c r="I991" t="s">
        <v>56</v>
      </c>
      <c r="J991" t="s">
        <v>33</v>
      </c>
      <c r="K991">
        <v>3.1</v>
      </c>
      <c r="L991" t="s">
        <v>34</v>
      </c>
      <c r="M991" t="s">
        <v>48</v>
      </c>
      <c r="N991" t="s">
        <v>34</v>
      </c>
      <c r="O991">
        <v>2</v>
      </c>
      <c r="P991" t="s">
        <v>88</v>
      </c>
      <c r="Q991" t="s">
        <v>42</v>
      </c>
      <c r="R991" s="1">
        <v>0.1</v>
      </c>
      <c r="S991">
        <f t="shared" si="60"/>
        <v>27.9</v>
      </c>
      <c r="T991">
        <f>IFERROR(VLOOKUP(A991,Table1[[Customer ID]:[Discount Amount]], 6, FALSE),"Not Found")</f>
        <v>31</v>
      </c>
      <c r="U991" t="str">
        <f t="shared" si="61"/>
        <v>Bank Transfer</v>
      </c>
      <c r="V991" s="4" t="str">
        <f t="shared" si="62"/>
        <v>Normal</v>
      </c>
      <c r="W991" s="4" t="str">
        <f t="shared" si="63"/>
        <v>Good</v>
      </c>
      <c r="X991" s="4">
        <f>AVERAGE(Table1[Purchase Amount])</f>
        <v>129.48419400000012</v>
      </c>
    </row>
    <row r="992" spans="1:24" ht="15" customHeight="1" x14ac:dyDescent="0.25">
      <c r="A992">
        <v>991</v>
      </c>
      <c r="B992">
        <v>48</v>
      </c>
      <c r="C992" t="s">
        <v>27</v>
      </c>
      <c r="D992" t="s">
        <v>28</v>
      </c>
      <c r="E992" t="s">
        <v>29</v>
      </c>
      <c r="F992" s="2">
        <v>63</v>
      </c>
      <c r="G992" t="s">
        <v>155</v>
      </c>
      <c r="H992" t="s">
        <v>55</v>
      </c>
      <c r="I992" t="s">
        <v>52</v>
      </c>
      <c r="J992" t="s">
        <v>33</v>
      </c>
      <c r="K992">
        <v>4.8</v>
      </c>
      <c r="L992" t="s">
        <v>34</v>
      </c>
      <c r="M992" t="s">
        <v>48</v>
      </c>
      <c r="N992" t="s">
        <v>34</v>
      </c>
      <c r="O992">
        <v>24</v>
      </c>
      <c r="P992" t="s">
        <v>25</v>
      </c>
      <c r="Q992" t="s">
        <v>26</v>
      </c>
      <c r="R992" s="1">
        <v>0.1</v>
      </c>
      <c r="S992">
        <f t="shared" si="60"/>
        <v>56.7</v>
      </c>
      <c r="T992">
        <f>IFERROR(VLOOKUP(A992,Table1[[Customer ID]:[Discount Amount]], 6, FALSE),"Not Found")</f>
        <v>63</v>
      </c>
      <c r="U992" t="str">
        <f t="shared" si="61"/>
        <v>Cash</v>
      </c>
      <c r="V992" s="4" t="str">
        <f t="shared" si="62"/>
        <v>Normal</v>
      </c>
      <c r="W992" s="4" t="str">
        <f t="shared" si="63"/>
        <v>Good</v>
      </c>
      <c r="X992" s="4">
        <f>AVERAGE(Table1[Purchase Amount])</f>
        <v>129.48419400000012</v>
      </c>
    </row>
    <row r="993" spans="1:24" ht="15" customHeight="1" x14ac:dyDescent="0.25">
      <c r="A993">
        <v>992</v>
      </c>
      <c r="B993">
        <v>20</v>
      </c>
      <c r="C993" t="s">
        <v>27</v>
      </c>
      <c r="D993" t="s">
        <v>54</v>
      </c>
      <c r="E993" t="s">
        <v>18</v>
      </c>
      <c r="F993" s="2">
        <v>97</v>
      </c>
      <c r="G993" t="s">
        <v>59</v>
      </c>
      <c r="H993" t="s">
        <v>20</v>
      </c>
      <c r="I993" t="s">
        <v>32</v>
      </c>
      <c r="J993" t="s">
        <v>33</v>
      </c>
      <c r="K993">
        <v>2.7</v>
      </c>
      <c r="L993" t="s">
        <v>34</v>
      </c>
      <c r="M993" t="s">
        <v>24</v>
      </c>
      <c r="N993" t="s">
        <v>34</v>
      </c>
      <c r="O993">
        <v>40</v>
      </c>
      <c r="P993" t="s">
        <v>88</v>
      </c>
      <c r="Q993" t="s">
        <v>68</v>
      </c>
      <c r="R993" s="1">
        <v>0.1</v>
      </c>
      <c r="S993">
        <f t="shared" si="60"/>
        <v>87.3</v>
      </c>
      <c r="T993">
        <f>IFERROR(VLOOKUP(A993,Table1[[Customer ID]:[Discount Amount]], 6, FALSE),"Not Found")</f>
        <v>97</v>
      </c>
      <c r="U993" t="str">
        <f t="shared" si="61"/>
        <v>Bank Transfer</v>
      </c>
      <c r="V993" s="4" t="str">
        <f t="shared" si="62"/>
        <v>Normal</v>
      </c>
      <c r="W993" s="4" t="str">
        <f t="shared" si="63"/>
        <v>Poor</v>
      </c>
      <c r="X993" s="4">
        <f>AVERAGE(Table1[Purchase Amount])</f>
        <v>129.48419400000012</v>
      </c>
    </row>
    <row r="994" spans="1:24" ht="15" customHeight="1" x14ac:dyDescent="0.25">
      <c r="A994">
        <v>993</v>
      </c>
      <c r="B994">
        <v>46</v>
      </c>
      <c r="C994" t="s">
        <v>27</v>
      </c>
      <c r="D994" t="s">
        <v>96</v>
      </c>
      <c r="E994" t="s">
        <v>77</v>
      </c>
      <c r="F994" s="2">
        <v>99</v>
      </c>
      <c r="G994" t="s">
        <v>119</v>
      </c>
      <c r="H994" t="s">
        <v>31</v>
      </c>
      <c r="I994" t="s">
        <v>85</v>
      </c>
      <c r="J994" t="s">
        <v>22</v>
      </c>
      <c r="K994">
        <v>4.5999999999999996</v>
      </c>
      <c r="L994" t="s">
        <v>34</v>
      </c>
      <c r="M994" t="s">
        <v>61</v>
      </c>
      <c r="N994" t="s">
        <v>34</v>
      </c>
      <c r="O994">
        <v>50</v>
      </c>
      <c r="P994" t="s">
        <v>36</v>
      </c>
      <c r="Q994" t="s">
        <v>26</v>
      </c>
      <c r="R994" s="1">
        <v>0.1</v>
      </c>
      <c r="S994">
        <f t="shared" si="60"/>
        <v>89.1</v>
      </c>
      <c r="T994">
        <f>IFERROR(VLOOKUP(A994,Table1[[Customer ID]:[Discount Amount]], 6, FALSE),"Not Found")</f>
        <v>99</v>
      </c>
      <c r="U994" t="str">
        <f t="shared" si="61"/>
        <v>Debit Card</v>
      </c>
      <c r="V994" s="4" t="str">
        <f t="shared" si="62"/>
        <v>Normal</v>
      </c>
      <c r="W994" s="4" t="str">
        <f t="shared" si="63"/>
        <v>Good</v>
      </c>
      <c r="X994" s="4">
        <f>AVERAGE(Table1[Purchase Amount])</f>
        <v>129.48419400000012</v>
      </c>
    </row>
    <row r="995" spans="1:24" ht="15" customHeight="1" x14ac:dyDescent="0.25">
      <c r="A995">
        <v>994</v>
      </c>
      <c r="B995">
        <v>51</v>
      </c>
      <c r="C995" t="s">
        <v>27</v>
      </c>
      <c r="D995" t="s">
        <v>121</v>
      </c>
      <c r="E995" t="s">
        <v>98</v>
      </c>
      <c r="F995" s="2">
        <v>90</v>
      </c>
      <c r="G995" t="s">
        <v>141</v>
      </c>
      <c r="H995" t="s">
        <v>31</v>
      </c>
      <c r="I995" t="s">
        <v>145</v>
      </c>
      <c r="J995" t="s">
        <v>22</v>
      </c>
      <c r="K995">
        <v>4.4000000000000004</v>
      </c>
      <c r="L995" t="s">
        <v>34</v>
      </c>
      <c r="M995" t="s">
        <v>48</v>
      </c>
      <c r="N995" t="s">
        <v>34</v>
      </c>
      <c r="O995">
        <v>25</v>
      </c>
      <c r="P995" t="s">
        <v>25</v>
      </c>
      <c r="Q995" t="s">
        <v>26</v>
      </c>
      <c r="R995" s="1">
        <v>0.1</v>
      </c>
      <c r="S995">
        <f t="shared" si="60"/>
        <v>81</v>
      </c>
      <c r="T995">
        <f>IFERROR(VLOOKUP(A995,Table1[[Customer ID]:[Discount Amount]], 6, FALSE),"Not Found")</f>
        <v>90</v>
      </c>
      <c r="U995" t="str">
        <f t="shared" si="61"/>
        <v>Cash</v>
      </c>
      <c r="V995" s="4" t="str">
        <f t="shared" si="62"/>
        <v>Normal</v>
      </c>
      <c r="W995" s="4" t="str">
        <f t="shared" si="63"/>
        <v>Good</v>
      </c>
      <c r="X995" s="4">
        <f>AVERAGE(Table1[Purchase Amount])</f>
        <v>129.48419400000012</v>
      </c>
    </row>
    <row r="996" spans="1:24" ht="15" customHeight="1" x14ac:dyDescent="0.25">
      <c r="A996">
        <v>995</v>
      </c>
      <c r="B996">
        <v>53</v>
      </c>
      <c r="C996" t="s">
        <v>27</v>
      </c>
      <c r="D996" t="s">
        <v>72</v>
      </c>
      <c r="E996" t="s">
        <v>98</v>
      </c>
      <c r="F996" s="2">
        <v>68</v>
      </c>
      <c r="G996" t="s">
        <v>101</v>
      </c>
      <c r="H996" t="s">
        <v>45</v>
      </c>
      <c r="I996" t="s">
        <v>111</v>
      </c>
      <c r="J996" t="s">
        <v>47</v>
      </c>
      <c r="K996">
        <v>3.2</v>
      </c>
      <c r="L996" t="s">
        <v>34</v>
      </c>
      <c r="M996" t="s">
        <v>61</v>
      </c>
      <c r="N996" t="s">
        <v>34</v>
      </c>
      <c r="O996">
        <v>20</v>
      </c>
      <c r="P996" t="s">
        <v>36</v>
      </c>
      <c r="Q996" t="s">
        <v>42</v>
      </c>
      <c r="R996" s="1">
        <v>0.1</v>
      </c>
      <c r="S996">
        <f t="shared" si="60"/>
        <v>61.2</v>
      </c>
      <c r="T996">
        <f>IFERROR(VLOOKUP(A996,Table1[[Customer ID]:[Discount Amount]], 6, FALSE),"Not Found")</f>
        <v>68</v>
      </c>
      <c r="U996" t="str">
        <f t="shared" si="61"/>
        <v>Debit Card</v>
      </c>
      <c r="V996" s="4" t="str">
        <f t="shared" si="62"/>
        <v>Normal</v>
      </c>
      <c r="W996" s="4" t="str">
        <f t="shared" si="63"/>
        <v>Good</v>
      </c>
      <c r="X996" s="4">
        <f>AVERAGE(Table1[Purchase Amount])</f>
        <v>129.48419400000012</v>
      </c>
    </row>
    <row r="997" spans="1:24" ht="15" customHeight="1" x14ac:dyDescent="0.25">
      <c r="A997">
        <v>996</v>
      </c>
      <c r="B997">
        <v>44</v>
      </c>
      <c r="C997" t="s">
        <v>27</v>
      </c>
      <c r="D997" t="s">
        <v>50</v>
      </c>
      <c r="E997" t="s">
        <v>29</v>
      </c>
      <c r="F997" s="2">
        <v>80</v>
      </c>
      <c r="G997" t="s">
        <v>161</v>
      </c>
      <c r="H997" t="s">
        <v>31</v>
      </c>
      <c r="I997" t="s">
        <v>87</v>
      </c>
      <c r="J997" t="s">
        <v>33</v>
      </c>
      <c r="K997">
        <v>3</v>
      </c>
      <c r="L997" t="s">
        <v>34</v>
      </c>
      <c r="M997" t="s">
        <v>41</v>
      </c>
      <c r="N997" t="s">
        <v>34</v>
      </c>
      <c r="O997">
        <v>10</v>
      </c>
      <c r="P997" t="s">
        <v>62</v>
      </c>
      <c r="Q997" t="s">
        <v>26</v>
      </c>
      <c r="R997" s="1">
        <v>0.1</v>
      </c>
      <c r="S997">
        <f t="shared" si="60"/>
        <v>72</v>
      </c>
      <c r="T997">
        <f>IFERROR(VLOOKUP(A997,Table1[[Customer ID]:[Discount Amount]], 6, FALSE),"Not Found")</f>
        <v>80</v>
      </c>
      <c r="U997" t="str">
        <f t="shared" si="61"/>
        <v>Venmo</v>
      </c>
      <c r="V997" s="4" t="str">
        <f t="shared" si="62"/>
        <v>Normal</v>
      </c>
      <c r="W997" s="4" t="str">
        <f t="shared" si="63"/>
        <v>Good</v>
      </c>
      <c r="X997" s="4">
        <f>AVERAGE(Table1[Purchase Amount])</f>
        <v>129.48419400000012</v>
      </c>
    </row>
    <row r="998" spans="1:24" ht="15" customHeight="1" x14ac:dyDescent="0.25">
      <c r="A998">
        <v>997</v>
      </c>
      <c r="B998">
        <v>29</v>
      </c>
      <c r="C998" t="s">
        <v>27</v>
      </c>
      <c r="D998" t="s">
        <v>121</v>
      </c>
      <c r="E998" t="s">
        <v>98</v>
      </c>
      <c r="F998" s="2">
        <v>91</v>
      </c>
      <c r="G998" t="s">
        <v>143</v>
      </c>
      <c r="H998" t="s">
        <v>45</v>
      </c>
      <c r="I998" t="s">
        <v>125</v>
      </c>
      <c r="J998" t="s">
        <v>57</v>
      </c>
      <c r="K998">
        <v>4.9000000000000004</v>
      </c>
      <c r="L998" t="s">
        <v>34</v>
      </c>
      <c r="M998" t="s">
        <v>24</v>
      </c>
      <c r="N998" t="s">
        <v>34</v>
      </c>
      <c r="O998">
        <v>32</v>
      </c>
      <c r="P998" t="s">
        <v>88</v>
      </c>
      <c r="Q998" t="s">
        <v>37</v>
      </c>
      <c r="R998" s="1">
        <v>0.1</v>
      </c>
      <c r="S998">
        <f t="shared" si="60"/>
        <v>81.900000000000006</v>
      </c>
      <c r="T998">
        <f>IFERROR(VLOOKUP(A998,Table1[[Customer ID]:[Discount Amount]], 6, FALSE),"Not Found")</f>
        <v>91</v>
      </c>
      <c r="U998" t="str">
        <f t="shared" si="61"/>
        <v>Bank Transfer</v>
      </c>
      <c r="V998" s="4" t="str">
        <f t="shared" si="62"/>
        <v>Normal</v>
      </c>
      <c r="W998" s="4" t="str">
        <f t="shared" si="63"/>
        <v>Good</v>
      </c>
      <c r="X998" s="4">
        <f>AVERAGE(Table1[Purchase Amount])</f>
        <v>129.48419400000012</v>
      </c>
    </row>
    <row r="999" spans="1:24" ht="15" customHeight="1" x14ac:dyDescent="0.25">
      <c r="A999">
        <v>998</v>
      </c>
      <c r="B999">
        <v>64</v>
      </c>
      <c r="C999" t="s">
        <v>27</v>
      </c>
      <c r="D999" t="s">
        <v>99</v>
      </c>
      <c r="E999" t="s">
        <v>18</v>
      </c>
      <c r="F999" s="2">
        <v>30</v>
      </c>
      <c r="G999" t="s">
        <v>70</v>
      </c>
      <c r="H999" t="s">
        <v>31</v>
      </c>
      <c r="I999" t="s">
        <v>128</v>
      </c>
      <c r="J999" t="s">
        <v>33</v>
      </c>
      <c r="K999">
        <v>3.6</v>
      </c>
      <c r="L999" t="s">
        <v>34</v>
      </c>
      <c r="M999" t="s">
        <v>61</v>
      </c>
      <c r="N999" t="s">
        <v>34</v>
      </c>
      <c r="O999">
        <v>31</v>
      </c>
      <c r="P999" t="s">
        <v>25</v>
      </c>
      <c r="Q999" t="s">
        <v>89</v>
      </c>
      <c r="R999" s="1">
        <v>0.1</v>
      </c>
      <c r="S999">
        <f t="shared" si="60"/>
        <v>27</v>
      </c>
      <c r="T999">
        <f>IFERROR(VLOOKUP(A999,Table1[[Customer ID]:[Discount Amount]], 6, FALSE),"Not Found")</f>
        <v>30</v>
      </c>
      <c r="U999" t="str">
        <f t="shared" si="61"/>
        <v>Cash</v>
      </c>
      <c r="V999" s="4" t="str">
        <f t="shared" si="62"/>
        <v>Normal</v>
      </c>
      <c r="W999" s="4" t="str">
        <f t="shared" si="63"/>
        <v>Good</v>
      </c>
      <c r="X999" s="4">
        <f>AVERAGE(Table1[Purchase Amount])</f>
        <v>129.48419400000012</v>
      </c>
    </row>
    <row r="1000" spans="1:24" ht="15" customHeight="1" x14ac:dyDescent="0.25">
      <c r="A1000">
        <v>999</v>
      </c>
      <c r="B1000">
        <v>51</v>
      </c>
      <c r="C1000" t="s">
        <v>27</v>
      </c>
      <c r="D1000" t="s">
        <v>72</v>
      </c>
      <c r="E1000" t="s">
        <v>98</v>
      </c>
      <c r="F1000" s="2">
        <v>90</v>
      </c>
      <c r="G1000" t="s">
        <v>115</v>
      </c>
      <c r="H1000" t="s">
        <v>31</v>
      </c>
      <c r="I1000" t="s">
        <v>32</v>
      </c>
      <c r="J1000" t="s">
        <v>33</v>
      </c>
      <c r="K1000">
        <v>3.8</v>
      </c>
      <c r="L1000" t="s">
        <v>34</v>
      </c>
      <c r="M1000" t="s">
        <v>79</v>
      </c>
      <c r="N1000" t="s">
        <v>34</v>
      </c>
      <c r="O1000">
        <v>48</v>
      </c>
      <c r="P1000" t="s">
        <v>88</v>
      </c>
      <c r="Q1000" t="s">
        <v>68</v>
      </c>
      <c r="R1000" s="1">
        <v>0.1</v>
      </c>
      <c r="S1000">
        <f t="shared" si="60"/>
        <v>81</v>
      </c>
      <c r="T1000">
        <f>IFERROR(VLOOKUP(A1000,Table1[[Customer ID]:[Discount Amount]], 6, FALSE),"Not Found")</f>
        <v>90</v>
      </c>
      <c r="U1000" t="str">
        <f t="shared" si="61"/>
        <v>Bank Transfer</v>
      </c>
      <c r="V1000" s="4" t="str">
        <f t="shared" si="62"/>
        <v>Normal</v>
      </c>
      <c r="W1000" s="4" t="str">
        <f t="shared" si="63"/>
        <v>Good</v>
      </c>
      <c r="X1000" s="4">
        <f>AVERAGE(Table1[Purchase Amount])</f>
        <v>129.48419400000012</v>
      </c>
    </row>
    <row r="1001" spans="1:24" ht="15" customHeight="1" x14ac:dyDescent="0.25">
      <c r="A1001">
        <v>1000</v>
      </c>
      <c r="B1001">
        <v>50</v>
      </c>
      <c r="C1001" t="s">
        <v>27</v>
      </c>
      <c r="D1001" t="s">
        <v>105</v>
      </c>
      <c r="E1001" t="s">
        <v>18</v>
      </c>
      <c r="F1001" s="2">
        <v>28</v>
      </c>
      <c r="G1001" t="s">
        <v>110</v>
      </c>
      <c r="H1001" t="s">
        <v>45</v>
      </c>
      <c r="I1001" t="s">
        <v>60</v>
      </c>
      <c r="J1001" t="s">
        <v>33</v>
      </c>
      <c r="K1001">
        <v>2.9</v>
      </c>
      <c r="L1001" t="s">
        <v>34</v>
      </c>
      <c r="M1001" t="s">
        <v>24</v>
      </c>
      <c r="N1001" t="s">
        <v>34</v>
      </c>
      <c r="O1001">
        <v>23</v>
      </c>
      <c r="P1001" t="s">
        <v>36</v>
      </c>
      <c r="Q1001" t="s">
        <v>42</v>
      </c>
      <c r="R1001" s="1">
        <v>0.1</v>
      </c>
      <c r="S1001">
        <f t="shared" si="60"/>
        <v>25.2</v>
      </c>
      <c r="T1001">
        <f>IFERROR(VLOOKUP(A1001,Table1[[Customer ID]:[Discount Amount]], 6, FALSE),"Not Found")</f>
        <v>28</v>
      </c>
      <c r="U1001" t="str">
        <f t="shared" si="61"/>
        <v>Debit Card</v>
      </c>
      <c r="V1001" s="4" t="str">
        <f t="shared" si="62"/>
        <v>Normal</v>
      </c>
      <c r="W1001" s="4" t="str">
        <f t="shared" si="63"/>
        <v>Poor</v>
      </c>
      <c r="X1001" s="4">
        <f>AVERAGE(Table1[Purchase Amount])</f>
        <v>129.48419400000012</v>
      </c>
    </row>
    <row r="1002" spans="1:24" ht="15" customHeight="1" x14ac:dyDescent="0.25">
      <c r="A1002">
        <v>1001</v>
      </c>
      <c r="B1002">
        <v>43</v>
      </c>
      <c r="C1002" t="s">
        <v>27</v>
      </c>
      <c r="D1002" t="s">
        <v>105</v>
      </c>
      <c r="E1002" t="s">
        <v>18</v>
      </c>
      <c r="F1002" s="2">
        <v>46</v>
      </c>
      <c r="G1002" t="s">
        <v>160</v>
      </c>
      <c r="H1002" t="s">
        <v>31</v>
      </c>
      <c r="I1002" t="s">
        <v>46</v>
      </c>
      <c r="J1002" t="s">
        <v>22</v>
      </c>
      <c r="K1002">
        <v>3.9</v>
      </c>
      <c r="L1002" t="s">
        <v>34</v>
      </c>
      <c r="M1002" t="s">
        <v>61</v>
      </c>
      <c r="N1002" t="s">
        <v>34</v>
      </c>
      <c r="O1002">
        <v>1</v>
      </c>
      <c r="P1002" t="s">
        <v>88</v>
      </c>
      <c r="Q1002" t="s">
        <v>68</v>
      </c>
      <c r="R1002" s="1">
        <v>0.1</v>
      </c>
      <c r="S1002">
        <f t="shared" si="60"/>
        <v>41.4</v>
      </c>
      <c r="T1002">
        <f>IFERROR(VLOOKUP(A1002,Table1[[Customer ID]:[Discount Amount]], 6, FALSE),"Not Found")</f>
        <v>46</v>
      </c>
      <c r="U1002" t="str">
        <f t="shared" si="61"/>
        <v>Bank Transfer</v>
      </c>
      <c r="V1002" s="4" t="str">
        <f t="shared" si="62"/>
        <v>Normal</v>
      </c>
      <c r="W1002" s="4" t="str">
        <f t="shared" si="63"/>
        <v>Good</v>
      </c>
      <c r="X1002" s="4">
        <f>AVERAGE(Table1[Purchase Amount])</f>
        <v>129.48419400000012</v>
      </c>
    </row>
    <row r="1003" spans="1:24" ht="15" customHeight="1" x14ac:dyDescent="0.25">
      <c r="A1003">
        <v>1002</v>
      </c>
      <c r="B1003">
        <v>61</v>
      </c>
      <c r="C1003" t="s">
        <v>27</v>
      </c>
      <c r="D1003" t="s">
        <v>157</v>
      </c>
      <c r="E1003" t="s">
        <v>18</v>
      </c>
      <c r="F1003" s="2">
        <v>60</v>
      </c>
      <c r="G1003" t="s">
        <v>155</v>
      </c>
      <c r="H1003" t="s">
        <v>31</v>
      </c>
      <c r="I1003" t="s">
        <v>108</v>
      </c>
      <c r="J1003" t="s">
        <v>47</v>
      </c>
      <c r="K1003">
        <v>3.6</v>
      </c>
      <c r="L1003" t="s">
        <v>34</v>
      </c>
      <c r="M1003" t="s">
        <v>24</v>
      </c>
      <c r="N1003" t="s">
        <v>34</v>
      </c>
      <c r="O1003">
        <v>4</v>
      </c>
      <c r="P1003" t="s">
        <v>36</v>
      </c>
      <c r="Q1003" t="s">
        <v>89</v>
      </c>
      <c r="R1003" s="1">
        <v>0.1</v>
      </c>
      <c r="S1003">
        <f t="shared" si="60"/>
        <v>54</v>
      </c>
      <c r="T1003">
        <f>IFERROR(VLOOKUP(A1003,Table1[[Customer ID]:[Discount Amount]], 6, FALSE),"Not Found")</f>
        <v>60</v>
      </c>
      <c r="U1003" t="str">
        <f t="shared" si="61"/>
        <v>Debit Card</v>
      </c>
      <c r="V1003" s="4" t="str">
        <f t="shared" si="62"/>
        <v>Normal</v>
      </c>
      <c r="W1003" s="4" t="str">
        <f t="shared" si="63"/>
        <v>Good</v>
      </c>
      <c r="X1003" s="4">
        <f>AVERAGE(Table1[Purchase Amount])</f>
        <v>129.48419400000012</v>
      </c>
    </row>
    <row r="1004" spans="1:24" ht="15" customHeight="1" x14ac:dyDescent="0.25">
      <c r="A1004">
        <v>1003</v>
      </c>
      <c r="B1004">
        <v>55</v>
      </c>
      <c r="C1004" t="s">
        <v>27</v>
      </c>
      <c r="D1004" t="s">
        <v>72</v>
      </c>
      <c r="E1004" t="s">
        <v>98</v>
      </c>
      <c r="F1004" s="2">
        <v>59</v>
      </c>
      <c r="G1004" t="s">
        <v>86</v>
      </c>
      <c r="H1004" t="s">
        <v>31</v>
      </c>
      <c r="I1004" t="s">
        <v>32</v>
      </c>
      <c r="J1004" t="s">
        <v>33</v>
      </c>
      <c r="K1004">
        <v>3.5</v>
      </c>
      <c r="L1004" t="s">
        <v>34</v>
      </c>
      <c r="M1004" t="s">
        <v>48</v>
      </c>
      <c r="N1004" t="s">
        <v>34</v>
      </c>
      <c r="O1004">
        <v>3</v>
      </c>
      <c r="P1004" t="s">
        <v>88</v>
      </c>
      <c r="Q1004" t="s">
        <v>68</v>
      </c>
      <c r="R1004" s="1">
        <v>0.1</v>
      </c>
      <c r="S1004">
        <f t="shared" si="60"/>
        <v>53.1</v>
      </c>
      <c r="T1004">
        <f>IFERROR(VLOOKUP(A1004,Table1[[Customer ID]:[Discount Amount]], 6, FALSE),"Not Found")</f>
        <v>59</v>
      </c>
      <c r="U1004" t="str">
        <f t="shared" si="61"/>
        <v>Bank Transfer</v>
      </c>
      <c r="V1004" s="4" t="str">
        <f t="shared" si="62"/>
        <v>Normal</v>
      </c>
      <c r="W1004" s="4" t="str">
        <f t="shared" si="63"/>
        <v>Good</v>
      </c>
      <c r="X1004" s="4">
        <f>AVERAGE(Table1[Purchase Amount])</f>
        <v>129.48419400000012</v>
      </c>
    </row>
    <row r="1005" spans="1:24" ht="15" customHeight="1" x14ac:dyDescent="0.25">
      <c r="A1005">
        <v>1004</v>
      </c>
      <c r="B1005">
        <v>56</v>
      </c>
      <c r="C1005" t="s">
        <v>27</v>
      </c>
      <c r="D1005" t="s">
        <v>64</v>
      </c>
      <c r="E1005" t="s">
        <v>29</v>
      </c>
      <c r="F1005" s="2">
        <v>68</v>
      </c>
      <c r="G1005" t="s">
        <v>90</v>
      </c>
      <c r="H1005" t="s">
        <v>31</v>
      </c>
      <c r="I1005" t="s">
        <v>93</v>
      </c>
      <c r="J1005" t="s">
        <v>47</v>
      </c>
      <c r="K1005">
        <v>4</v>
      </c>
      <c r="L1005" t="s">
        <v>34</v>
      </c>
      <c r="M1005" t="s">
        <v>48</v>
      </c>
      <c r="N1005" t="s">
        <v>34</v>
      </c>
      <c r="O1005">
        <v>3</v>
      </c>
      <c r="P1005" t="s">
        <v>25</v>
      </c>
      <c r="Q1005" t="s">
        <v>68</v>
      </c>
      <c r="R1005" s="1">
        <v>0.1</v>
      </c>
      <c r="S1005">
        <f t="shared" si="60"/>
        <v>61.2</v>
      </c>
      <c r="T1005">
        <f>IFERROR(VLOOKUP(A1005,Table1[[Customer ID]:[Discount Amount]], 6, FALSE),"Not Found")</f>
        <v>68</v>
      </c>
      <c r="U1005" t="str">
        <f t="shared" si="61"/>
        <v>Cash</v>
      </c>
      <c r="V1005" s="4" t="str">
        <f t="shared" si="62"/>
        <v>Normal</v>
      </c>
      <c r="W1005" s="4" t="str">
        <f t="shared" si="63"/>
        <v>Good</v>
      </c>
      <c r="X1005" s="4">
        <f>AVERAGE(Table1[Purchase Amount])</f>
        <v>129.48419400000012</v>
      </c>
    </row>
    <row r="1006" spans="1:24" ht="15" customHeight="1" x14ac:dyDescent="0.25">
      <c r="A1006">
        <v>1005</v>
      </c>
      <c r="B1006">
        <v>33</v>
      </c>
      <c r="C1006" t="s">
        <v>27</v>
      </c>
      <c r="D1006" t="s">
        <v>104</v>
      </c>
      <c r="E1006" t="s">
        <v>29</v>
      </c>
      <c r="F1006" s="2">
        <v>79</v>
      </c>
      <c r="G1006" t="s">
        <v>65</v>
      </c>
      <c r="H1006" t="s">
        <v>31</v>
      </c>
      <c r="I1006" t="s">
        <v>40</v>
      </c>
      <c r="J1006" t="s">
        <v>57</v>
      </c>
      <c r="K1006">
        <v>4.8</v>
      </c>
      <c r="L1006" t="s">
        <v>34</v>
      </c>
      <c r="M1006" t="s">
        <v>41</v>
      </c>
      <c r="N1006" t="s">
        <v>34</v>
      </c>
      <c r="O1006">
        <v>44</v>
      </c>
      <c r="P1006" t="s">
        <v>25</v>
      </c>
      <c r="Q1006" t="s">
        <v>49</v>
      </c>
      <c r="R1006" s="1">
        <v>0.1</v>
      </c>
      <c r="S1006">
        <f t="shared" si="60"/>
        <v>71.099999999999994</v>
      </c>
      <c r="T1006">
        <f>IFERROR(VLOOKUP(A1006,Table1[[Customer ID]:[Discount Amount]], 6, FALSE),"Not Found")</f>
        <v>79</v>
      </c>
      <c r="U1006" t="str">
        <f t="shared" si="61"/>
        <v>Cash</v>
      </c>
      <c r="V1006" s="4" t="str">
        <f t="shared" si="62"/>
        <v>Normal</v>
      </c>
      <c r="W1006" s="4" t="str">
        <f t="shared" si="63"/>
        <v>Good</v>
      </c>
      <c r="X1006" s="4">
        <f>AVERAGE(Table1[Purchase Amount])</f>
        <v>129.48419400000012</v>
      </c>
    </row>
    <row r="1007" spans="1:24" ht="15" customHeight="1" x14ac:dyDescent="0.25">
      <c r="A1007">
        <v>1006</v>
      </c>
      <c r="B1007">
        <v>43</v>
      </c>
      <c r="C1007" t="s">
        <v>27</v>
      </c>
      <c r="D1007" t="s">
        <v>104</v>
      </c>
      <c r="E1007" t="s">
        <v>29</v>
      </c>
      <c r="F1007" s="2">
        <v>94</v>
      </c>
      <c r="G1007" t="s">
        <v>101</v>
      </c>
      <c r="H1007" t="s">
        <v>31</v>
      </c>
      <c r="I1007" t="s">
        <v>133</v>
      </c>
      <c r="J1007" t="s">
        <v>22</v>
      </c>
      <c r="K1007">
        <v>3.9</v>
      </c>
      <c r="L1007" t="s">
        <v>34</v>
      </c>
      <c r="M1007" t="s">
        <v>48</v>
      </c>
      <c r="N1007" t="s">
        <v>34</v>
      </c>
      <c r="O1007">
        <v>5</v>
      </c>
      <c r="P1007" t="s">
        <v>36</v>
      </c>
      <c r="Q1007" t="s">
        <v>68</v>
      </c>
      <c r="R1007" s="1">
        <v>0.1</v>
      </c>
      <c r="S1007">
        <f t="shared" si="60"/>
        <v>84.6</v>
      </c>
      <c r="T1007">
        <f>IFERROR(VLOOKUP(A1007,Table1[[Customer ID]:[Discount Amount]], 6, FALSE),"Not Found")</f>
        <v>94</v>
      </c>
      <c r="U1007" t="str">
        <f t="shared" si="61"/>
        <v>Debit Card</v>
      </c>
      <c r="V1007" s="4" t="str">
        <f t="shared" si="62"/>
        <v>Normal</v>
      </c>
      <c r="W1007" s="4" t="str">
        <f t="shared" si="63"/>
        <v>Good</v>
      </c>
      <c r="X1007" s="4">
        <f>AVERAGE(Table1[Purchase Amount])</f>
        <v>129.48419400000012</v>
      </c>
    </row>
    <row r="1008" spans="1:24" ht="15" customHeight="1" x14ac:dyDescent="0.25">
      <c r="A1008">
        <v>1007</v>
      </c>
      <c r="B1008">
        <v>21</v>
      </c>
      <c r="C1008" t="s">
        <v>27</v>
      </c>
      <c r="D1008" t="s">
        <v>99</v>
      </c>
      <c r="E1008" t="s">
        <v>18</v>
      </c>
      <c r="F1008" s="2">
        <v>83</v>
      </c>
      <c r="G1008" t="s">
        <v>113</v>
      </c>
      <c r="H1008" t="s">
        <v>55</v>
      </c>
      <c r="I1008" t="s">
        <v>107</v>
      </c>
      <c r="J1008" t="s">
        <v>57</v>
      </c>
      <c r="K1008">
        <v>4.5</v>
      </c>
      <c r="L1008" t="s">
        <v>34</v>
      </c>
      <c r="M1008" t="s">
        <v>79</v>
      </c>
      <c r="N1008" t="s">
        <v>34</v>
      </c>
      <c r="O1008">
        <v>50</v>
      </c>
      <c r="P1008" t="s">
        <v>62</v>
      </c>
      <c r="Q1008" t="s">
        <v>37</v>
      </c>
      <c r="R1008" s="1">
        <v>0.1</v>
      </c>
      <c r="S1008">
        <f t="shared" si="60"/>
        <v>74.7</v>
      </c>
      <c r="T1008">
        <f>IFERROR(VLOOKUP(A1008,Table1[[Customer ID]:[Discount Amount]], 6, FALSE),"Not Found")</f>
        <v>83</v>
      </c>
      <c r="U1008" t="str">
        <f t="shared" si="61"/>
        <v>Venmo</v>
      </c>
      <c r="V1008" s="4" t="str">
        <f t="shared" si="62"/>
        <v>Normal</v>
      </c>
      <c r="W1008" s="4" t="str">
        <f t="shared" si="63"/>
        <v>Good</v>
      </c>
      <c r="X1008" s="4">
        <f>AVERAGE(Table1[Purchase Amount])</f>
        <v>129.48419400000012</v>
      </c>
    </row>
    <row r="1009" spans="1:24" ht="15" customHeight="1" x14ac:dyDescent="0.25">
      <c r="A1009">
        <v>1008</v>
      </c>
      <c r="B1009">
        <v>58</v>
      </c>
      <c r="C1009" t="s">
        <v>27</v>
      </c>
      <c r="D1009" t="s">
        <v>43</v>
      </c>
      <c r="E1009" t="s">
        <v>29</v>
      </c>
      <c r="F1009" s="2">
        <v>62</v>
      </c>
      <c r="G1009" t="s">
        <v>160</v>
      </c>
      <c r="H1009" t="s">
        <v>20</v>
      </c>
      <c r="I1009" t="s">
        <v>156</v>
      </c>
      <c r="J1009" t="s">
        <v>33</v>
      </c>
      <c r="K1009">
        <v>4.8</v>
      </c>
      <c r="L1009" t="s">
        <v>34</v>
      </c>
      <c r="M1009" t="s">
        <v>24</v>
      </c>
      <c r="N1009" t="s">
        <v>34</v>
      </c>
      <c r="O1009">
        <v>2</v>
      </c>
      <c r="P1009" t="s">
        <v>53</v>
      </c>
      <c r="Q1009" t="s">
        <v>49</v>
      </c>
      <c r="R1009" s="1">
        <v>0.1</v>
      </c>
      <c r="S1009">
        <f t="shared" si="60"/>
        <v>55.8</v>
      </c>
      <c r="T1009">
        <f>IFERROR(VLOOKUP(A1009,Table1[[Customer ID]:[Discount Amount]], 6, FALSE),"Not Found")</f>
        <v>62</v>
      </c>
      <c r="U1009" t="str">
        <f t="shared" si="61"/>
        <v>Credit Card</v>
      </c>
      <c r="V1009" s="4" t="str">
        <f t="shared" si="62"/>
        <v>Normal</v>
      </c>
      <c r="W1009" s="4" t="str">
        <f t="shared" si="63"/>
        <v>Good</v>
      </c>
      <c r="X1009" s="4">
        <f>AVERAGE(Table1[Purchase Amount])</f>
        <v>129.48419400000012</v>
      </c>
    </row>
    <row r="1010" spans="1:24" ht="15" customHeight="1" x14ac:dyDescent="0.25">
      <c r="A1010">
        <v>1009</v>
      </c>
      <c r="B1010">
        <v>41</v>
      </c>
      <c r="C1010" t="s">
        <v>27</v>
      </c>
      <c r="D1010" t="s">
        <v>129</v>
      </c>
      <c r="E1010" t="s">
        <v>29</v>
      </c>
      <c r="F1010" s="2">
        <v>85</v>
      </c>
      <c r="G1010" t="s">
        <v>110</v>
      </c>
      <c r="H1010" t="s">
        <v>31</v>
      </c>
      <c r="I1010" t="s">
        <v>136</v>
      </c>
      <c r="J1010" t="s">
        <v>33</v>
      </c>
      <c r="K1010">
        <v>2.6</v>
      </c>
      <c r="L1010" t="s">
        <v>34</v>
      </c>
      <c r="M1010" t="s">
        <v>48</v>
      </c>
      <c r="N1010" t="s">
        <v>34</v>
      </c>
      <c r="O1010">
        <v>29</v>
      </c>
      <c r="P1010" t="s">
        <v>58</v>
      </c>
      <c r="Q1010" t="s">
        <v>49</v>
      </c>
      <c r="R1010" s="1">
        <v>0.1</v>
      </c>
      <c r="S1010">
        <f t="shared" si="60"/>
        <v>76.5</v>
      </c>
      <c r="T1010">
        <f>IFERROR(VLOOKUP(A1010,Table1[[Customer ID]:[Discount Amount]], 6, FALSE),"Not Found")</f>
        <v>85</v>
      </c>
      <c r="U1010" t="str">
        <f t="shared" si="61"/>
        <v>PayPal</v>
      </c>
      <c r="V1010" s="4" t="str">
        <f t="shared" si="62"/>
        <v>Normal</v>
      </c>
      <c r="W1010" s="4" t="str">
        <f t="shared" si="63"/>
        <v>Poor</v>
      </c>
      <c r="X1010" s="4">
        <f>AVERAGE(Table1[Purchase Amount])</f>
        <v>129.48419400000012</v>
      </c>
    </row>
    <row r="1011" spans="1:24" ht="15" customHeight="1" x14ac:dyDescent="0.25">
      <c r="A1011">
        <v>1010</v>
      </c>
      <c r="B1011">
        <v>39</v>
      </c>
      <c r="C1011" t="s">
        <v>27</v>
      </c>
      <c r="D1011" t="s">
        <v>83</v>
      </c>
      <c r="E1011" t="s">
        <v>18</v>
      </c>
      <c r="F1011" s="2">
        <v>30</v>
      </c>
      <c r="G1011" t="s">
        <v>119</v>
      </c>
      <c r="H1011" t="s">
        <v>31</v>
      </c>
      <c r="I1011" t="s">
        <v>153</v>
      </c>
      <c r="J1011" t="s">
        <v>57</v>
      </c>
      <c r="K1011">
        <v>3.1</v>
      </c>
      <c r="L1011" t="s">
        <v>34</v>
      </c>
      <c r="M1011" t="s">
        <v>61</v>
      </c>
      <c r="N1011" t="s">
        <v>34</v>
      </c>
      <c r="O1011">
        <v>11</v>
      </c>
      <c r="P1011" t="s">
        <v>62</v>
      </c>
      <c r="Q1011" t="s">
        <v>49</v>
      </c>
      <c r="R1011" s="1">
        <v>0.1</v>
      </c>
      <c r="S1011">
        <f t="shared" si="60"/>
        <v>27</v>
      </c>
      <c r="T1011">
        <f>IFERROR(VLOOKUP(A1011,Table1[[Customer ID]:[Discount Amount]], 6, FALSE),"Not Found")</f>
        <v>30</v>
      </c>
      <c r="U1011" t="str">
        <f t="shared" si="61"/>
        <v>Venmo</v>
      </c>
      <c r="V1011" s="4" t="str">
        <f t="shared" si="62"/>
        <v>Normal</v>
      </c>
      <c r="W1011" s="4" t="str">
        <f t="shared" si="63"/>
        <v>Good</v>
      </c>
      <c r="X1011" s="4">
        <f>AVERAGE(Table1[Purchase Amount])</f>
        <v>129.48419400000012</v>
      </c>
    </row>
    <row r="1012" spans="1:24" ht="15" customHeight="1" x14ac:dyDescent="0.25">
      <c r="A1012">
        <v>1011</v>
      </c>
      <c r="B1012">
        <v>54</v>
      </c>
      <c r="C1012" t="s">
        <v>27</v>
      </c>
      <c r="D1012" t="s">
        <v>109</v>
      </c>
      <c r="E1012" t="s">
        <v>18</v>
      </c>
      <c r="F1012" s="2">
        <v>24</v>
      </c>
      <c r="G1012" t="s">
        <v>130</v>
      </c>
      <c r="H1012" t="s">
        <v>20</v>
      </c>
      <c r="I1012" t="s">
        <v>85</v>
      </c>
      <c r="J1012" t="s">
        <v>33</v>
      </c>
      <c r="K1012">
        <v>4.7</v>
      </c>
      <c r="L1012" t="s">
        <v>34</v>
      </c>
      <c r="M1012" t="s">
        <v>41</v>
      </c>
      <c r="N1012" t="s">
        <v>34</v>
      </c>
      <c r="O1012">
        <v>37</v>
      </c>
      <c r="P1012" t="s">
        <v>53</v>
      </c>
      <c r="Q1012" t="s">
        <v>89</v>
      </c>
      <c r="R1012" s="1">
        <v>0.1</v>
      </c>
      <c r="S1012">
        <f t="shared" si="60"/>
        <v>21.6</v>
      </c>
      <c r="T1012">
        <f>IFERROR(VLOOKUP(A1012,Table1[[Customer ID]:[Discount Amount]], 6, FALSE),"Not Found")</f>
        <v>24</v>
      </c>
      <c r="U1012" t="str">
        <f t="shared" si="61"/>
        <v>Credit Card</v>
      </c>
      <c r="V1012" s="4" t="str">
        <f t="shared" si="62"/>
        <v>Normal</v>
      </c>
      <c r="W1012" s="4" t="str">
        <f t="shared" si="63"/>
        <v>Good</v>
      </c>
      <c r="X1012" s="4">
        <f>AVERAGE(Table1[Purchase Amount])</f>
        <v>129.48419400000012</v>
      </c>
    </row>
    <row r="1013" spans="1:24" ht="15" customHeight="1" x14ac:dyDescent="0.25">
      <c r="A1013">
        <v>1012</v>
      </c>
      <c r="B1013">
        <v>43</v>
      </c>
      <c r="C1013" t="s">
        <v>27</v>
      </c>
      <c r="D1013" t="s">
        <v>104</v>
      </c>
      <c r="E1013" t="s">
        <v>29</v>
      </c>
      <c r="F1013" s="2">
        <v>25</v>
      </c>
      <c r="G1013" t="s">
        <v>39</v>
      </c>
      <c r="H1013" t="s">
        <v>45</v>
      </c>
      <c r="I1013" t="s">
        <v>91</v>
      </c>
      <c r="J1013" t="s">
        <v>33</v>
      </c>
      <c r="K1013">
        <v>2.9</v>
      </c>
      <c r="L1013" t="s">
        <v>34</v>
      </c>
      <c r="M1013" t="s">
        <v>79</v>
      </c>
      <c r="N1013" t="s">
        <v>34</v>
      </c>
      <c r="O1013">
        <v>32</v>
      </c>
      <c r="P1013" t="s">
        <v>36</v>
      </c>
      <c r="Q1013" t="s">
        <v>89</v>
      </c>
      <c r="R1013" s="1">
        <v>0.1</v>
      </c>
      <c r="S1013">
        <f t="shared" si="60"/>
        <v>22.5</v>
      </c>
      <c r="T1013">
        <f>IFERROR(VLOOKUP(A1013,Table1[[Customer ID]:[Discount Amount]], 6, FALSE),"Not Found")</f>
        <v>25</v>
      </c>
      <c r="U1013" t="str">
        <f t="shared" si="61"/>
        <v>Debit Card</v>
      </c>
      <c r="V1013" s="4" t="str">
        <f t="shared" si="62"/>
        <v>Normal</v>
      </c>
      <c r="W1013" s="4" t="str">
        <f t="shared" si="63"/>
        <v>Poor</v>
      </c>
      <c r="X1013" s="4">
        <f>AVERAGE(Table1[Purchase Amount])</f>
        <v>129.48419400000012</v>
      </c>
    </row>
    <row r="1014" spans="1:24" ht="15" customHeight="1" x14ac:dyDescent="0.25">
      <c r="A1014">
        <v>1013</v>
      </c>
      <c r="B1014">
        <v>28</v>
      </c>
      <c r="C1014" t="s">
        <v>27</v>
      </c>
      <c r="D1014" t="s">
        <v>121</v>
      </c>
      <c r="E1014" t="s">
        <v>98</v>
      </c>
      <c r="F1014" s="2">
        <v>37</v>
      </c>
      <c r="G1014" t="s">
        <v>110</v>
      </c>
      <c r="H1014" t="s">
        <v>45</v>
      </c>
      <c r="I1014" t="s">
        <v>147</v>
      </c>
      <c r="J1014" t="s">
        <v>57</v>
      </c>
      <c r="K1014">
        <v>3.8</v>
      </c>
      <c r="L1014" t="s">
        <v>34</v>
      </c>
      <c r="M1014" t="s">
        <v>61</v>
      </c>
      <c r="N1014" t="s">
        <v>34</v>
      </c>
      <c r="O1014">
        <v>27</v>
      </c>
      <c r="P1014" t="s">
        <v>53</v>
      </c>
      <c r="Q1014" t="s">
        <v>49</v>
      </c>
      <c r="R1014" s="1">
        <v>0.1</v>
      </c>
      <c r="S1014">
        <f t="shared" si="60"/>
        <v>33.299999999999997</v>
      </c>
      <c r="T1014">
        <f>IFERROR(VLOOKUP(A1014,Table1[[Customer ID]:[Discount Amount]], 6, FALSE),"Not Found")</f>
        <v>37</v>
      </c>
      <c r="U1014" t="str">
        <f t="shared" si="61"/>
        <v>Credit Card</v>
      </c>
      <c r="V1014" s="4" t="str">
        <f t="shared" si="62"/>
        <v>Normal</v>
      </c>
      <c r="W1014" s="4" t="str">
        <f t="shared" si="63"/>
        <v>Good</v>
      </c>
      <c r="X1014" s="4">
        <f>AVERAGE(Table1[Purchase Amount])</f>
        <v>129.48419400000012</v>
      </c>
    </row>
    <row r="1015" spans="1:24" ht="15" customHeight="1" x14ac:dyDescent="0.25">
      <c r="A1015">
        <v>1014</v>
      </c>
      <c r="B1015">
        <v>59</v>
      </c>
      <c r="C1015" t="s">
        <v>27</v>
      </c>
      <c r="D1015" t="s">
        <v>114</v>
      </c>
      <c r="E1015" t="s">
        <v>29</v>
      </c>
      <c r="F1015" s="2">
        <v>69</v>
      </c>
      <c r="G1015" t="s">
        <v>30</v>
      </c>
      <c r="H1015" t="s">
        <v>20</v>
      </c>
      <c r="I1015" t="s">
        <v>93</v>
      </c>
      <c r="J1015" t="s">
        <v>57</v>
      </c>
      <c r="K1015">
        <v>3.8</v>
      </c>
      <c r="L1015" t="s">
        <v>34</v>
      </c>
      <c r="M1015" t="s">
        <v>41</v>
      </c>
      <c r="N1015" t="s">
        <v>34</v>
      </c>
      <c r="O1015">
        <v>31</v>
      </c>
      <c r="P1015" t="s">
        <v>62</v>
      </c>
      <c r="Q1015" t="s">
        <v>68</v>
      </c>
      <c r="R1015" s="1">
        <v>0.1</v>
      </c>
      <c r="S1015">
        <f t="shared" si="60"/>
        <v>62.1</v>
      </c>
      <c r="T1015">
        <f>IFERROR(VLOOKUP(A1015,Table1[[Customer ID]:[Discount Amount]], 6, FALSE),"Not Found")</f>
        <v>69</v>
      </c>
      <c r="U1015" t="str">
        <f t="shared" si="61"/>
        <v>Venmo</v>
      </c>
      <c r="V1015" s="4" t="str">
        <f t="shared" si="62"/>
        <v>Normal</v>
      </c>
      <c r="W1015" s="4" t="str">
        <f t="shared" si="63"/>
        <v>Good</v>
      </c>
      <c r="X1015" s="4">
        <f>AVERAGE(Table1[Purchase Amount])</f>
        <v>129.48419400000012</v>
      </c>
    </row>
    <row r="1016" spans="1:24" ht="15" customHeight="1" x14ac:dyDescent="0.25">
      <c r="A1016">
        <v>1015</v>
      </c>
      <c r="B1016">
        <v>28</v>
      </c>
      <c r="C1016" t="s">
        <v>27</v>
      </c>
      <c r="D1016" t="s">
        <v>72</v>
      </c>
      <c r="E1016" t="s">
        <v>98</v>
      </c>
      <c r="F1016" s="2">
        <v>97</v>
      </c>
      <c r="G1016" t="s">
        <v>90</v>
      </c>
      <c r="H1016" t="s">
        <v>31</v>
      </c>
      <c r="I1016" t="s">
        <v>111</v>
      </c>
      <c r="J1016" t="s">
        <v>57</v>
      </c>
      <c r="K1016">
        <v>3</v>
      </c>
      <c r="L1016" t="s">
        <v>34</v>
      </c>
      <c r="M1016" t="s">
        <v>24</v>
      </c>
      <c r="N1016" t="s">
        <v>34</v>
      </c>
      <c r="O1016">
        <v>36</v>
      </c>
      <c r="P1016" t="s">
        <v>36</v>
      </c>
      <c r="Q1016" t="s">
        <v>89</v>
      </c>
      <c r="R1016" s="1">
        <v>0.1</v>
      </c>
      <c r="S1016">
        <f t="shared" si="60"/>
        <v>87.3</v>
      </c>
      <c r="T1016">
        <f>IFERROR(VLOOKUP(A1016,Table1[[Customer ID]:[Discount Amount]], 6, FALSE),"Not Found")</f>
        <v>97</v>
      </c>
      <c r="U1016" t="str">
        <f t="shared" si="61"/>
        <v>Debit Card</v>
      </c>
      <c r="V1016" s="4" t="str">
        <f t="shared" si="62"/>
        <v>Normal</v>
      </c>
      <c r="W1016" s="4" t="str">
        <f t="shared" si="63"/>
        <v>Good</v>
      </c>
      <c r="X1016" s="4">
        <f>AVERAGE(Table1[Purchase Amount])</f>
        <v>129.48419400000012</v>
      </c>
    </row>
    <row r="1017" spans="1:24" ht="15" customHeight="1" x14ac:dyDescent="0.25">
      <c r="A1017">
        <v>1016</v>
      </c>
      <c r="B1017">
        <v>68</v>
      </c>
      <c r="C1017" t="s">
        <v>27</v>
      </c>
      <c r="D1017" t="s">
        <v>43</v>
      </c>
      <c r="E1017" t="s">
        <v>29</v>
      </c>
      <c r="F1017" s="2">
        <v>24</v>
      </c>
      <c r="G1017" t="s">
        <v>134</v>
      </c>
      <c r="H1017" t="s">
        <v>31</v>
      </c>
      <c r="I1017" t="s">
        <v>128</v>
      </c>
      <c r="J1017" t="s">
        <v>57</v>
      </c>
      <c r="K1017">
        <v>4.0999999999999996</v>
      </c>
      <c r="L1017" t="s">
        <v>34</v>
      </c>
      <c r="M1017" t="s">
        <v>24</v>
      </c>
      <c r="N1017" t="s">
        <v>34</v>
      </c>
      <c r="O1017">
        <v>34</v>
      </c>
      <c r="P1017" t="s">
        <v>25</v>
      </c>
      <c r="Q1017" t="s">
        <v>26</v>
      </c>
      <c r="R1017" s="1">
        <v>0.1</v>
      </c>
      <c r="S1017">
        <f t="shared" si="60"/>
        <v>21.6</v>
      </c>
      <c r="T1017">
        <f>IFERROR(VLOOKUP(A1017,Table1[[Customer ID]:[Discount Amount]], 6, FALSE),"Not Found")</f>
        <v>24</v>
      </c>
      <c r="U1017" t="str">
        <f t="shared" si="61"/>
        <v>Cash</v>
      </c>
      <c r="V1017" s="4" t="str">
        <f t="shared" si="62"/>
        <v>Normal</v>
      </c>
      <c r="W1017" s="4" t="str">
        <f t="shared" si="63"/>
        <v>Good</v>
      </c>
      <c r="X1017" s="4">
        <f>AVERAGE(Table1[Purchase Amount])</f>
        <v>129.48419400000012</v>
      </c>
    </row>
    <row r="1018" spans="1:24" ht="15" customHeight="1" x14ac:dyDescent="0.25">
      <c r="A1018">
        <v>1017</v>
      </c>
      <c r="B1018">
        <v>20</v>
      </c>
      <c r="C1018" t="s">
        <v>27</v>
      </c>
      <c r="D1018" t="s">
        <v>114</v>
      </c>
      <c r="E1018" t="s">
        <v>29</v>
      </c>
      <c r="F1018" s="2">
        <v>30</v>
      </c>
      <c r="G1018" t="s">
        <v>161</v>
      </c>
      <c r="H1018" t="s">
        <v>20</v>
      </c>
      <c r="I1018" t="s">
        <v>74</v>
      </c>
      <c r="J1018" t="s">
        <v>57</v>
      </c>
      <c r="K1018">
        <v>3.4</v>
      </c>
      <c r="L1018" t="s">
        <v>34</v>
      </c>
      <c r="M1018" t="s">
        <v>61</v>
      </c>
      <c r="N1018" t="s">
        <v>34</v>
      </c>
      <c r="O1018">
        <v>15</v>
      </c>
      <c r="P1018" t="s">
        <v>88</v>
      </c>
      <c r="Q1018" t="s">
        <v>63</v>
      </c>
      <c r="R1018" s="1">
        <v>0.1</v>
      </c>
      <c r="S1018">
        <f t="shared" si="60"/>
        <v>27</v>
      </c>
      <c r="T1018">
        <f>IFERROR(VLOOKUP(A1018,Table1[[Customer ID]:[Discount Amount]], 6, FALSE),"Not Found")</f>
        <v>30</v>
      </c>
      <c r="U1018" t="str">
        <f t="shared" si="61"/>
        <v>Bank Transfer</v>
      </c>
      <c r="V1018" s="4" t="str">
        <f t="shared" si="62"/>
        <v>Normal</v>
      </c>
      <c r="W1018" s="4" t="str">
        <f t="shared" si="63"/>
        <v>Good</v>
      </c>
      <c r="X1018" s="4">
        <f>AVERAGE(Table1[Purchase Amount])</f>
        <v>129.48419400000012</v>
      </c>
    </row>
    <row r="1019" spans="1:24" ht="15" customHeight="1" x14ac:dyDescent="0.25">
      <c r="A1019">
        <v>1018</v>
      </c>
      <c r="B1019">
        <v>21</v>
      </c>
      <c r="C1019" t="s">
        <v>27</v>
      </c>
      <c r="D1019" t="s">
        <v>96</v>
      </c>
      <c r="E1019" t="s">
        <v>77</v>
      </c>
      <c r="F1019" s="2">
        <v>53</v>
      </c>
      <c r="G1019" t="s">
        <v>142</v>
      </c>
      <c r="H1019" t="s">
        <v>45</v>
      </c>
      <c r="I1019" t="s">
        <v>108</v>
      </c>
      <c r="J1019" t="s">
        <v>47</v>
      </c>
      <c r="K1019">
        <v>2.5</v>
      </c>
      <c r="L1019" t="s">
        <v>34</v>
      </c>
      <c r="M1019" t="s">
        <v>61</v>
      </c>
      <c r="N1019" t="s">
        <v>34</v>
      </c>
      <c r="O1019">
        <v>14</v>
      </c>
      <c r="P1019" t="s">
        <v>53</v>
      </c>
      <c r="Q1019" t="s">
        <v>49</v>
      </c>
      <c r="R1019" s="1">
        <v>0.1</v>
      </c>
      <c r="S1019">
        <f t="shared" si="60"/>
        <v>47.7</v>
      </c>
      <c r="T1019">
        <f>IFERROR(VLOOKUP(A1019,Table1[[Customer ID]:[Discount Amount]], 6, FALSE),"Not Found")</f>
        <v>53</v>
      </c>
      <c r="U1019" t="str">
        <f t="shared" si="61"/>
        <v>Credit Card</v>
      </c>
      <c r="V1019" s="4" t="str">
        <f t="shared" si="62"/>
        <v>Normal</v>
      </c>
      <c r="W1019" s="4" t="str">
        <f t="shared" si="63"/>
        <v>Poor</v>
      </c>
      <c r="X1019" s="4">
        <f>AVERAGE(Table1[Purchase Amount])</f>
        <v>129.48419400000012</v>
      </c>
    </row>
    <row r="1020" spans="1:24" ht="15" customHeight="1" x14ac:dyDescent="0.25">
      <c r="A1020">
        <v>1019</v>
      </c>
      <c r="B1020">
        <v>50</v>
      </c>
      <c r="C1020" t="s">
        <v>27</v>
      </c>
      <c r="D1020" t="s">
        <v>157</v>
      </c>
      <c r="E1020" t="s">
        <v>18</v>
      </c>
      <c r="F1020" s="2">
        <v>70</v>
      </c>
      <c r="G1020" t="s">
        <v>160</v>
      </c>
      <c r="H1020" t="s">
        <v>20</v>
      </c>
      <c r="I1020" t="s">
        <v>103</v>
      </c>
      <c r="J1020" t="s">
        <v>33</v>
      </c>
      <c r="K1020">
        <v>4.9000000000000004</v>
      </c>
      <c r="L1020" t="s">
        <v>34</v>
      </c>
      <c r="M1020" t="s">
        <v>79</v>
      </c>
      <c r="N1020" t="s">
        <v>34</v>
      </c>
      <c r="O1020">
        <v>46</v>
      </c>
      <c r="P1020" t="s">
        <v>25</v>
      </c>
      <c r="Q1020" t="s">
        <v>26</v>
      </c>
      <c r="R1020" s="1">
        <v>0.1</v>
      </c>
      <c r="S1020">
        <f t="shared" si="60"/>
        <v>63</v>
      </c>
      <c r="T1020">
        <f>IFERROR(VLOOKUP(A1020,Table1[[Customer ID]:[Discount Amount]], 6, FALSE),"Not Found")</f>
        <v>70</v>
      </c>
      <c r="U1020" t="str">
        <f t="shared" si="61"/>
        <v>Cash</v>
      </c>
      <c r="V1020" s="4" t="str">
        <f t="shared" si="62"/>
        <v>Normal</v>
      </c>
      <c r="W1020" s="4" t="str">
        <f t="shared" si="63"/>
        <v>Good</v>
      </c>
      <c r="X1020" s="4">
        <f>AVERAGE(Table1[Purchase Amount])</f>
        <v>129.48419400000012</v>
      </c>
    </row>
    <row r="1021" spans="1:24" ht="15" customHeight="1" x14ac:dyDescent="0.25">
      <c r="A1021">
        <v>1020</v>
      </c>
      <c r="B1021">
        <v>32</v>
      </c>
      <c r="C1021" t="s">
        <v>27</v>
      </c>
      <c r="D1021" t="s">
        <v>38</v>
      </c>
      <c r="E1021" t="s">
        <v>18</v>
      </c>
      <c r="F1021" s="2">
        <v>76</v>
      </c>
      <c r="G1021" t="s">
        <v>70</v>
      </c>
      <c r="H1021" t="s">
        <v>55</v>
      </c>
      <c r="I1021" t="s">
        <v>56</v>
      </c>
      <c r="J1021" t="s">
        <v>22</v>
      </c>
      <c r="K1021">
        <v>2.8</v>
      </c>
      <c r="L1021" t="s">
        <v>34</v>
      </c>
      <c r="M1021" t="s">
        <v>24</v>
      </c>
      <c r="N1021" t="s">
        <v>34</v>
      </c>
      <c r="O1021">
        <v>33</v>
      </c>
      <c r="P1021" t="s">
        <v>62</v>
      </c>
      <c r="Q1021" t="s">
        <v>68</v>
      </c>
      <c r="R1021" s="1">
        <v>0.1</v>
      </c>
      <c r="S1021">
        <f t="shared" si="60"/>
        <v>68.400000000000006</v>
      </c>
      <c r="T1021">
        <f>IFERROR(VLOOKUP(A1021,Table1[[Customer ID]:[Discount Amount]], 6, FALSE),"Not Found")</f>
        <v>76</v>
      </c>
      <c r="U1021" t="str">
        <f t="shared" si="61"/>
        <v>Venmo</v>
      </c>
      <c r="V1021" s="4" t="str">
        <f t="shared" si="62"/>
        <v>Normal</v>
      </c>
      <c r="W1021" s="4" t="str">
        <f t="shared" si="63"/>
        <v>Poor</v>
      </c>
      <c r="X1021" s="4">
        <f>AVERAGE(Table1[Purchase Amount])</f>
        <v>129.48419400000012</v>
      </c>
    </row>
    <row r="1022" spans="1:24" ht="15" customHeight="1" x14ac:dyDescent="0.25">
      <c r="A1022">
        <v>1021</v>
      </c>
      <c r="B1022">
        <v>24</v>
      </c>
      <c r="C1022" t="s">
        <v>27</v>
      </c>
      <c r="D1022" t="s">
        <v>129</v>
      </c>
      <c r="E1022" t="s">
        <v>29</v>
      </c>
      <c r="F1022" s="2">
        <v>95</v>
      </c>
      <c r="G1022" t="s">
        <v>143</v>
      </c>
      <c r="H1022" t="s">
        <v>31</v>
      </c>
      <c r="I1022" t="s">
        <v>40</v>
      </c>
      <c r="J1022" t="s">
        <v>47</v>
      </c>
      <c r="K1022">
        <v>4.5</v>
      </c>
      <c r="L1022" t="s">
        <v>34</v>
      </c>
      <c r="M1022" t="s">
        <v>61</v>
      </c>
      <c r="N1022" t="s">
        <v>34</v>
      </c>
      <c r="O1022">
        <v>41</v>
      </c>
      <c r="P1022" t="s">
        <v>36</v>
      </c>
      <c r="Q1022" t="s">
        <v>49</v>
      </c>
      <c r="R1022" s="1">
        <v>0.1</v>
      </c>
      <c r="S1022">
        <f t="shared" si="60"/>
        <v>85.5</v>
      </c>
      <c r="T1022">
        <f>IFERROR(VLOOKUP(A1022,Table1[[Customer ID]:[Discount Amount]], 6, FALSE),"Not Found")</f>
        <v>95</v>
      </c>
      <c r="U1022" t="str">
        <f t="shared" si="61"/>
        <v>Debit Card</v>
      </c>
      <c r="V1022" s="4" t="str">
        <f t="shared" si="62"/>
        <v>Normal</v>
      </c>
      <c r="W1022" s="4" t="str">
        <f t="shared" si="63"/>
        <v>Good</v>
      </c>
      <c r="X1022" s="4">
        <f>AVERAGE(Table1[Purchase Amount])</f>
        <v>129.48419400000012</v>
      </c>
    </row>
    <row r="1023" spans="1:24" ht="15" customHeight="1" x14ac:dyDescent="0.25">
      <c r="A1023">
        <v>1022</v>
      </c>
      <c r="B1023">
        <v>55</v>
      </c>
      <c r="C1023" t="s">
        <v>27</v>
      </c>
      <c r="D1023" t="s">
        <v>76</v>
      </c>
      <c r="E1023" t="s">
        <v>77</v>
      </c>
      <c r="F1023" s="2">
        <v>51</v>
      </c>
      <c r="G1023" t="s">
        <v>97</v>
      </c>
      <c r="H1023" t="s">
        <v>55</v>
      </c>
      <c r="I1023" t="s">
        <v>107</v>
      </c>
      <c r="J1023" t="s">
        <v>22</v>
      </c>
      <c r="K1023">
        <v>4.9000000000000004</v>
      </c>
      <c r="L1023" t="s">
        <v>34</v>
      </c>
      <c r="M1023" t="s">
        <v>41</v>
      </c>
      <c r="N1023" t="s">
        <v>34</v>
      </c>
      <c r="O1023">
        <v>39</v>
      </c>
      <c r="P1023" t="s">
        <v>58</v>
      </c>
      <c r="Q1023" t="s">
        <v>26</v>
      </c>
      <c r="R1023" s="1">
        <v>0.1</v>
      </c>
      <c r="S1023">
        <f t="shared" si="60"/>
        <v>45.9</v>
      </c>
      <c r="T1023">
        <f>IFERROR(VLOOKUP(A1023,Table1[[Customer ID]:[Discount Amount]], 6, FALSE),"Not Found")</f>
        <v>51</v>
      </c>
      <c r="U1023" t="str">
        <f t="shared" si="61"/>
        <v>PayPal</v>
      </c>
      <c r="V1023" s="4" t="str">
        <f t="shared" si="62"/>
        <v>Normal</v>
      </c>
      <c r="W1023" s="4" t="str">
        <f t="shared" si="63"/>
        <v>Good</v>
      </c>
      <c r="X1023" s="4">
        <f>AVERAGE(Table1[Purchase Amount])</f>
        <v>129.48419400000012</v>
      </c>
    </row>
    <row r="1024" spans="1:24" ht="15" customHeight="1" x14ac:dyDescent="0.25">
      <c r="A1024">
        <v>1023</v>
      </c>
      <c r="B1024">
        <v>61</v>
      </c>
      <c r="C1024" t="s">
        <v>27</v>
      </c>
      <c r="D1024" t="s">
        <v>69</v>
      </c>
      <c r="E1024" t="s">
        <v>29</v>
      </c>
      <c r="F1024" s="2">
        <v>41</v>
      </c>
      <c r="G1024" t="s">
        <v>137</v>
      </c>
      <c r="H1024" t="s">
        <v>31</v>
      </c>
      <c r="I1024" t="s">
        <v>107</v>
      </c>
      <c r="J1024" t="s">
        <v>22</v>
      </c>
      <c r="K1024">
        <v>4.9000000000000004</v>
      </c>
      <c r="L1024" t="s">
        <v>34</v>
      </c>
      <c r="M1024" t="s">
        <v>48</v>
      </c>
      <c r="N1024" t="s">
        <v>34</v>
      </c>
      <c r="O1024">
        <v>7</v>
      </c>
      <c r="P1024" t="s">
        <v>25</v>
      </c>
      <c r="Q1024" t="s">
        <v>49</v>
      </c>
      <c r="R1024" s="1">
        <v>0.1</v>
      </c>
      <c r="S1024">
        <f t="shared" si="60"/>
        <v>36.9</v>
      </c>
      <c r="T1024">
        <f>IFERROR(VLOOKUP(A1024,Table1[[Customer ID]:[Discount Amount]], 6, FALSE),"Not Found")</f>
        <v>41</v>
      </c>
      <c r="U1024" t="str">
        <f t="shared" si="61"/>
        <v>Cash</v>
      </c>
      <c r="V1024" s="4" t="str">
        <f t="shared" si="62"/>
        <v>Normal</v>
      </c>
      <c r="W1024" s="4" t="str">
        <f t="shared" si="63"/>
        <v>Good</v>
      </c>
      <c r="X1024" s="4">
        <f>AVERAGE(Table1[Purchase Amount])</f>
        <v>129.48419400000012</v>
      </c>
    </row>
    <row r="1025" spans="1:24" ht="15" customHeight="1" x14ac:dyDescent="0.25">
      <c r="A1025">
        <v>1024</v>
      </c>
      <c r="B1025">
        <v>61</v>
      </c>
      <c r="C1025" t="s">
        <v>27</v>
      </c>
      <c r="D1025" t="s">
        <v>28</v>
      </c>
      <c r="E1025" t="s">
        <v>29</v>
      </c>
      <c r="F1025" s="2">
        <v>71</v>
      </c>
      <c r="G1025" t="s">
        <v>94</v>
      </c>
      <c r="H1025" t="s">
        <v>55</v>
      </c>
      <c r="I1025" t="s">
        <v>156</v>
      </c>
      <c r="J1025" t="s">
        <v>22</v>
      </c>
      <c r="K1025">
        <v>3.5</v>
      </c>
      <c r="L1025" t="s">
        <v>34</v>
      </c>
      <c r="M1025" t="s">
        <v>35</v>
      </c>
      <c r="N1025" t="s">
        <v>34</v>
      </c>
      <c r="O1025">
        <v>29</v>
      </c>
      <c r="P1025" t="s">
        <v>88</v>
      </c>
      <c r="Q1025" t="s">
        <v>63</v>
      </c>
      <c r="R1025" s="1">
        <v>0.1</v>
      </c>
      <c r="S1025">
        <f t="shared" si="60"/>
        <v>63.9</v>
      </c>
      <c r="T1025">
        <f>IFERROR(VLOOKUP(A1025,Table1[[Customer ID]:[Discount Amount]], 6, FALSE),"Not Found")</f>
        <v>71</v>
      </c>
      <c r="U1025" t="str">
        <f t="shared" si="61"/>
        <v>Bank Transfer</v>
      </c>
      <c r="V1025" s="4" t="str">
        <f t="shared" si="62"/>
        <v>Normal</v>
      </c>
      <c r="W1025" s="4" t="str">
        <f t="shared" si="63"/>
        <v>Good</v>
      </c>
      <c r="X1025" s="4">
        <f>AVERAGE(Table1[Purchase Amount])</f>
        <v>129.48419400000012</v>
      </c>
    </row>
    <row r="1026" spans="1:24" ht="15" customHeight="1" x14ac:dyDescent="0.25">
      <c r="A1026">
        <v>1025</v>
      </c>
      <c r="B1026">
        <v>28</v>
      </c>
      <c r="C1026" t="s">
        <v>27</v>
      </c>
      <c r="D1026" t="s">
        <v>17</v>
      </c>
      <c r="E1026" t="s">
        <v>18</v>
      </c>
      <c r="F1026" s="2">
        <v>66</v>
      </c>
      <c r="G1026" t="s">
        <v>78</v>
      </c>
      <c r="H1026" t="s">
        <v>31</v>
      </c>
      <c r="I1026" t="s">
        <v>66</v>
      </c>
      <c r="J1026" t="s">
        <v>57</v>
      </c>
      <c r="K1026">
        <v>3.5</v>
      </c>
      <c r="L1026" t="s">
        <v>34</v>
      </c>
      <c r="M1026" t="s">
        <v>35</v>
      </c>
      <c r="N1026" t="s">
        <v>34</v>
      </c>
      <c r="O1026">
        <v>18</v>
      </c>
      <c r="P1026" t="s">
        <v>62</v>
      </c>
      <c r="Q1026" t="s">
        <v>37</v>
      </c>
      <c r="R1026" s="1">
        <v>0.1</v>
      </c>
      <c r="S1026">
        <f t="shared" ref="S1026:S1089" si="64">F1026-(F1026*R1026)</f>
        <v>59.4</v>
      </c>
      <c r="T1026">
        <f>IFERROR(VLOOKUP(A1026,Table1[[Customer ID]:[Discount Amount]], 6, FALSE),"Not Found")</f>
        <v>66</v>
      </c>
      <c r="U1026" t="str">
        <f t="shared" ref="U1026:U1089" si="65">INDEX(P:P, MATCH(A1026, A:A, 0))</f>
        <v>Venmo</v>
      </c>
      <c r="V1026" s="4" t="str">
        <f t="shared" ref="V1026:V1089" si="66">IF(AND(F1026&gt;1000,K1026&gt;=4),"Best Customer","Normal")</f>
        <v>Normal</v>
      </c>
      <c r="W1026" s="4" t="str">
        <f t="shared" ref="W1026:W1089" si="67">IF(K1026&gt;=3,"Good","Poor")</f>
        <v>Good</v>
      </c>
      <c r="X1026" s="4">
        <f>AVERAGE(Table1[Purchase Amount])</f>
        <v>129.48419400000012</v>
      </c>
    </row>
    <row r="1027" spans="1:24" ht="15" customHeight="1" x14ac:dyDescent="0.25">
      <c r="A1027">
        <v>1026</v>
      </c>
      <c r="B1027">
        <v>60</v>
      </c>
      <c r="C1027" t="s">
        <v>27</v>
      </c>
      <c r="D1027" t="s">
        <v>38</v>
      </c>
      <c r="E1027" t="s">
        <v>18</v>
      </c>
      <c r="F1027" s="2">
        <v>84</v>
      </c>
      <c r="G1027" t="s">
        <v>137</v>
      </c>
      <c r="H1027" t="s">
        <v>31</v>
      </c>
      <c r="I1027" t="s">
        <v>21</v>
      </c>
      <c r="J1027" t="s">
        <v>22</v>
      </c>
      <c r="K1027">
        <v>4.9000000000000004</v>
      </c>
      <c r="L1027" t="s">
        <v>34</v>
      </c>
      <c r="M1027" t="s">
        <v>35</v>
      </c>
      <c r="N1027" t="s">
        <v>34</v>
      </c>
      <c r="O1027">
        <v>15</v>
      </c>
      <c r="P1027" t="s">
        <v>53</v>
      </c>
      <c r="Q1027" t="s">
        <v>49</v>
      </c>
      <c r="R1027" s="1">
        <v>0.1</v>
      </c>
      <c r="S1027">
        <f t="shared" si="64"/>
        <v>75.599999999999994</v>
      </c>
      <c r="T1027">
        <f>IFERROR(VLOOKUP(A1027,Table1[[Customer ID]:[Discount Amount]], 6, FALSE),"Not Found")</f>
        <v>84</v>
      </c>
      <c r="U1027" t="str">
        <f t="shared" si="65"/>
        <v>Credit Card</v>
      </c>
      <c r="V1027" s="4" t="str">
        <f t="shared" si="66"/>
        <v>Normal</v>
      </c>
      <c r="W1027" s="4" t="str">
        <f t="shared" si="67"/>
        <v>Good</v>
      </c>
      <c r="X1027" s="4">
        <f>AVERAGE(Table1[Purchase Amount])</f>
        <v>129.48419400000012</v>
      </c>
    </row>
    <row r="1028" spans="1:24" ht="15" customHeight="1" x14ac:dyDescent="0.25">
      <c r="A1028">
        <v>1027</v>
      </c>
      <c r="B1028">
        <v>49</v>
      </c>
      <c r="C1028" t="s">
        <v>27</v>
      </c>
      <c r="D1028" t="s">
        <v>69</v>
      </c>
      <c r="E1028" t="s">
        <v>29</v>
      </c>
      <c r="F1028" s="2">
        <v>95</v>
      </c>
      <c r="G1028" t="s">
        <v>138</v>
      </c>
      <c r="H1028" t="s">
        <v>45</v>
      </c>
      <c r="I1028" t="s">
        <v>156</v>
      </c>
      <c r="J1028" t="s">
        <v>22</v>
      </c>
      <c r="K1028">
        <v>3</v>
      </c>
      <c r="L1028" t="s">
        <v>34</v>
      </c>
      <c r="M1028" t="s">
        <v>61</v>
      </c>
      <c r="N1028" t="s">
        <v>34</v>
      </c>
      <c r="O1028">
        <v>39</v>
      </c>
      <c r="P1028" t="s">
        <v>58</v>
      </c>
      <c r="Q1028" t="s">
        <v>68</v>
      </c>
      <c r="R1028" s="1">
        <v>0.1</v>
      </c>
      <c r="S1028">
        <f t="shared" si="64"/>
        <v>85.5</v>
      </c>
      <c r="T1028">
        <f>IFERROR(VLOOKUP(A1028,Table1[[Customer ID]:[Discount Amount]], 6, FALSE),"Not Found")</f>
        <v>95</v>
      </c>
      <c r="U1028" t="str">
        <f t="shared" si="65"/>
        <v>PayPal</v>
      </c>
      <c r="V1028" s="4" t="str">
        <f t="shared" si="66"/>
        <v>Normal</v>
      </c>
      <c r="W1028" s="4" t="str">
        <f t="shared" si="67"/>
        <v>Good</v>
      </c>
      <c r="X1028" s="4">
        <f>AVERAGE(Table1[Purchase Amount])</f>
        <v>129.48419400000012</v>
      </c>
    </row>
    <row r="1029" spans="1:24" ht="15" customHeight="1" x14ac:dyDescent="0.25">
      <c r="A1029">
        <v>1028</v>
      </c>
      <c r="B1029">
        <v>33</v>
      </c>
      <c r="C1029" t="s">
        <v>27</v>
      </c>
      <c r="D1029" t="s">
        <v>50</v>
      </c>
      <c r="E1029" t="s">
        <v>29</v>
      </c>
      <c r="F1029" s="2">
        <v>90</v>
      </c>
      <c r="G1029" t="s">
        <v>90</v>
      </c>
      <c r="H1029" t="s">
        <v>45</v>
      </c>
      <c r="I1029" t="s">
        <v>147</v>
      </c>
      <c r="J1029" t="s">
        <v>57</v>
      </c>
      <c r="K1029">
        <v>2.8</v>
      </c>
      <c r="L1029" t="s">
        <v>34</v>
      </c>
      <c r="M1029" t="s">
        <v>79</v>
      </c>
      <c r="N1029" t="s">
        <v>34</v>
      </c>
      <c r="O1029">
        <v>11</v>
      </c>
      <c r="P1029" t="s">
        <v>25</v>
      </c>
      <c r="Q1029" t="s">
        <v>42</v>
      </c>
      <c r="R1029" s="1">
        <v>0.1</v>
      </c>
      <c r="S1029">
        <f t="shared" si="64"/>
        <v>81</v>
      </c>
      <c r="T1029">
        <f>IFERROR(VLOOKUP(A1029,Table1[[Customer ID]:[Discount Amount]], 6, FALSE),"Not Found")</f>
        <v>90</v>
      </c>
      <c r="U1029" t="str">
        <f t="shared" si="65"/>
        <v>Cash</v>
      </c>
      <c r="V1029" s="4" t="str">
        <f t="shared" si="66"/>
        <v>Normal</v>
      </c>
      <c r="W1029" s="4" t="str">
        <f t="shared" si="67"/>
        <v>Poor</v>
      </c>
      <c r="X1029" s="4">
        <f>AVERAGE(Table1[Purchase Amount])</f>
        <v>129.48419400000012</v>
      </c>
    </row>
    <row r="1030" spans="1:24" ht="15" customHeight="1" x14ac:dyDescent="0.25">
      <c r="A1030">
        <v>1029</v>
      </c>
      <c r="B1030">
        <v>45</v>
      </c>
      <c r="C1030" t="s">
        <v>27</v>
      </c>
      <c r="D1030" t="s">
        <v>83</v>
      </c>
      <c r="E1030" t="s">
        <v>18</v>
      </c>
      <c r="F1030" s="2">
        <v>36</v>
      </c>
      <c r="G1030" t="s">
        <v>137</v>
      </c>
      <c r="H1030" t="s">
        <v>55</v>
      </c>
      <c r="I1030" t="s">
        <v>107</v>
      </c>
      <c r="J1030" t="s">
        <v>57</v>
      </c>
      <c r="K1030">
        <v>3.7</v>
      </c>
      <c r="L1030" t="s">
        <v>34</v>
      </c>
      <c r="M1030" t="s">
        <v>24</v>
      </c>
      <c r="N1030" t="s">
        <v>34</v>
      </c>
      <c r="O1030">
        <v>4</v>
      </c>
      <c r="P1030" t="s">
        <v>25</v>
      </c>
      <c r="Q1030" t="s">
        <v>89</v>
      </c>
      <c r="R1030" s="1">
        <v>0.1</v>
      </c>
      <c r="S1030">
        <f t="shared" si="64"/>
        <v>32.4</v>
      </c>
      <c r="T1030">
        <f>IFERROR(VLOOKUP(A1030,Table1[[Customer ID]:[Discount Amount]], 6, FALSE),"Not Found")</f>
        <v>36</v>
      </c>
      <c r="U1030" t="str">
        <f t="shared" si="65"/>
        <v>Cash</v>
      </c>
      <c r="V1030" s="4" t="str">
        <f t="shared" si="66"/>
        <v>Normal</v>
      </c>
      <c r="W1030" s="4" t="str">
        <f t="shared" si="67"/>
        <v>Good</v>
      </c>
      <c r="X1030" s="4">
        <f>AVERAGE(Table1[Purchase Amount])</f>
        <v>129.48419400000012</v>
      </c>
    </row>
    <row r="1031" spans="1:24" ht="15" customHeight="1" x14ac:dyDescent="0.25">
      <c r="A1031">
        <v>1030</v>
      </c>
      <c r="B1031">
        <v>29</v>
      </c>
      <c r="C1031" t="s">
        <v>27</v>
      </c>
      <c r="D1031" t="s">
        <v>43</v>
      </c>
      <c r="E1031" t="s">
        <v>29</v>
      </c>
      <c r="F1031" s="2">
        <v>22</v>
      </c>
      <c r="G1031" t="s">
        <v>90</v>
      </c>
      <c r="H1031" t="s">
        <v>31</v>
      </c>
      <c r="I1031" t="s">
        <v>66</v>
      </c>
      <c r="J1031" t="s">
        <v>33</v>
      </c>
      <c r="K1031">
        <v>3.6</v>
      </c>
      <c r="L1031" t="s">
        <v>34</v>
      </c>
      <c r="M1031" t="s">
        <v>41</v>
      </c>
      <c r="N1031" t="s">
        <v>34</v>
      </c>
      <c r="O1031">
        <v>33</v>
      </c>
      <c r="P1031" t="s">
        <v>62</v>
      </c>
      <c r="Q1031" t="s">
        <v>68</v>
      </c>
      <c r="R1031" s="1">
        <v>0.1</v>
      </c>
      <c r="S1031">
        <f t="shared" si="64"/>
        <v>19.8</v>
      </c>
      <c r="T1031">
        <f>IFERROR(VLOOKUP(A1031,Table1[[Customer ID]:[Discount Amount]], 6, FALSE),"Not Found")</f>
        <v>22</v>
      </c>
      <c r="U1031" t="str">
        <f t="shared" si="65"/>
        <v>Venmo</v>
      </c>
      <c r="V1031" s="4" t="str">
        <f t="shared" si="66"/>
        <v>Normal</v>
      </c>
      <c r="W1031" s="4" t="str">
        <f t="shared" si="67"/>
        <v>Good</v>
      </c>
      <c r="X1031" s="4">
        <f>AVERAGE(Table1[Purchase Amount])</f>
        <v>129.48419400000012</v>
      </c>
    </row>
    <row r="1032" spans="1:24" ht="15" customHeight="1" x14ac:dyDescent="0.25">
      <c r="A1032">
        <v>1031</v>
      </c>
      <c r="B1032">
        <v>58</v>
      </c>
      <c r="C1032" t="s">
        <v>27</v>
      </c>
      <c r="D1032" t="s">
        <v>76</v>
      </c>
      <c r="E1032" t="s">
        <v>77</v>
      </c>
      <c r="F1032" s="2">
        <v>89</v>
      </c>
      <c r="G1032" t="s">
        <v>70</v>
      </c>
      <c r="H1032" t="s">
        <v>45</v>
      </c>
      <c r="I1032" t="s">
        <v>74</v>
      </c>
      <c r="J1032" t="s">
        <v>22</v>
      </c>
      <c r="K1032">
        <v>3.3</v>
      </c>
      <c r="L1032" t="s">
        <v>34</v>
      </c>
      <c r="M1032" t="s">
        <v>79</v>
      </c>
      <c r="N1032" t="s">
        <v>34</v>
      </c>
      <c r="O1032">
        <v>37</v>
      </c>
      <c r="P1032" t="s">
        <v>36</v>
      </c>
      <c r="Q1032" t="s">
        <v>37</v>
      </c>
      <c r="R1032" s="1">
        <v>0.1</v>
      </c>
      <c r="S1032">
        <f t="shared" si="64"/>
        <v>80.099999999999994</v>
      </c>
      <c r="T1032">
        <f>IFERROR(VLOOKUP(A1032,Table1[[Customer ID]:[Discount Amount]], 6, FALSE),"Not Found")</f>
        <v>89</v>
      </c>
      <c r="U1032" t="str">
        <f t="shared" si="65"/>
        <v>Debit Card</v>
      </c>
      <c r="V1032" s="4" t="str">
        <f t="shared" si="66"/>
        <v>Normal</v>
      </c>
      <c r="W1032" s="4" t="str">
        <f t="shared" si="67"/>
        <v>Good</v>
      </c>
      <c r="X1032" s="4">
        <f>AVERAGE(Table1[Purchase Amount])</f>
        <v>129.48419400000012</v>
      </c>
    </row>
    <row r="1033" spans="1:24" ht="15" customHeight="1" x14ac:dyDescent="0.25">
      <c r="A1033">
        <v>1032</v>
      </c>
      <c r="B1033">
        <v>22</v>
      </c>
      <c r="C1033" t="s">
        <v>27</v>
      </c>
      <c r="D1033" t="s">
        <v>121</v>
      </c>
      <c r="E1033" t="s">
        <v>98</v>
      </c>
      <c r="F1033" s="2">
        <v>50</v>
      </c>
      <c r="G1033" t="s">
        <v>65</v>
      </c>
      <c r="H1033" t="s">
        <v>31</v>
      </c>
      <c r="I1033" t="s">
        <v>147</v>
      </c>
      <c r="J1033" t="s">
        <v>33</v>
      </c>
      <c r="K1033">
        <v>3.4</v>
      </c>
      <c r="L1033" t="s">
        <v>34</v>
      </c>
      <c r="M1033" t="s">
        <v>35</v>
      </c>
      <c r="N1033" t="s">
        <v>34</v>
      </c>
      <c r="O1033">
        <v>32</v>
      </c>
      <c r="P1033" t="s">
        <v>25</v>
      </c>
      <c r="Q1033" t="s">
        <v>37</v>
      </c>
      <c r="R1033" s="1">
        <v>0.1</v>
      </c>
      <c r="S1033">
        <f t="shared" si="64"/>
        <v>45</v>
      </c>
      <c r="T1033">
        <f>IFERROR(VLOOKUP(A1033,Table1[[Customer ID]:[Discount Amount]], 6, FALSE),"Not Found")</f>
        <v>50</v>
      </c>
      <c r="U1033" t="str">
        <f t="shared" si="65"/>
        <v>Cash</v>
      </c>
      <c r="V1033" s="4" t="str">
        <f t="shared" si="66"/>
        <v>Normal</v>
      </c>
      <c r="W1033" s="4" t="str">
        <f t="shared" si="67"/>
        <v>Good</v>
      </c>
      <c r="X1033" s="4">
        <f>AVERAGE(Table1[Purchase Amount])</f>
        <v>129.48419400000012</v>
      </c>
    </row>
    <row r="1034" spans="1:24" ht="15" customHeight="1" x14ac:dyDescent="0.25">
      <c r="A1034">
        <v>1033</v>
      </c>
      <c r="B1034">
        <v>55</v>
      </c>
      <c r="C1034" t="s">
        <v>27</v>
      </c>
      <c r="D1034" t="s">
        <v>151</v>
      </c>
      <c r="E1034" t="s">
        <v>98</v>
      </c>
      <c r="F1034" s="2">
        <v>36</v>
      </c>
      <c r="G1034" t="s">
        <v>94</v>
      </c>
      <c r="H1034" t="s">
        <v>31</v>
      </c>
      <c r="I1034" t="s">
        <v>107</v>
      </c>
      <c r="J1034" t="s">
        <v>47</v>
      </c>
      <c r="K1034">
        <v>4</v>
      </c>
      <c r="L1034" t="s">
        <v>34</v>
      </c>
      <c r="M1034" t="s">
        <v>35</v>
      </c>
      <c r="N1034" t="s">
        <v>34</v>
      </c>
      <c r="O1034">
        <v>44</v>
      </c>
      <c r="P1034" t="s">
        <v>53</v>
      </c>
      <c r="Q1034" t="s">
        <v>37</v>
      </c>
      <c r="R1034" s="1">
        <v>0.1</v>
      </c>
      <c r="S1034">
        <f t="shared" si="64"/>
        <v>32.4</v>
      </c>
      <c r="T1034">
        <f>IFERROR(VLOOKUP(A1034,Table1[[Customer ID]:[Discount Amount]], 6, FALSE),"Not Found")</f>
        <v>36</v>
      </c>
      <c r="U1034" t="str">
        <f t="shared" si="65"/>
        <v>Credit Card</v>
      </c>
      <c r="V1034" s="4" t="str">
        <f t="shared" si="66"/>
        <v>Normal</v>
      </c>
      <c r="W1034" s="4" t="str">
        <f t="shared" si="67"/>
        <v>Good</v>
      </c>
      <c r="X1034" s="4">
        <f>AVERAGE(Table1[Purchase Amount])</f>
        <v>129.48419400000012</v>
      </c>
    </row>
    <row r="1035" spans="1:24" ht="15" customHeight="1" x14ac:dyDescent="0.25">
      <c r="A1035">
        <v>1034</v>
      </c>
      <c r="B1035">
        <v>19</v>
      </c>
      <c r="C1035" t="s">
        <v>27</v>
      </c>
      <c r="D1035" t="s">
        <v>99</v>
      </c>
      <c r="E1035" t="s">
        <v>18</v>
      </c>
      <c r="F1035" s="2">
        <v>52</v>
      </c>
      <c r="G1035" t="s">
        <v>39</v>
      </c>
      <c r="H1035" t="s">
        <v>55</v>
      </c>
      <c r="I1035" t="s">
        <v>153</v>
      </c>
      <c r="J1035" t="s">
        <v>33</v>
      </c>
      <c r="K1035">
        <v>4.5999999999999996</v>
      </c>
      <c r="L1035" t="s">
        <v>34</v>
      </c>
      <c r="M1035" t="s">
        <v>35</v>
      </c>
      <c r="N1035" t="s">
        <v>34</v>
      </c>
      <c r="O1035">
        <v>41</v>
      </c>
      <c r="P1035" t="s">
        <v>88</v>
      </c>
      <c r="Q1035" t="s">
        <v>37</v>
      </c>
      <c r="R1035" s="1">
        <v>0.1</v>
      </c>
      <c r="S1035">
        <f t="shared" si="64"/>
        <v>46.8</v>
      </c>
      <c r="T1035">
        <f>IFERROR(VLOOKUP(A1035,Table1[[Customer ID]:[Discount Amount]], 6, FALSE),"Not Found")</f>
        <v>52</v>
      </c>
      <c r="U1035" t="str">
        <f t="shared" si="65"/>
        <v>Bank Transfer</v>
      </c>
      <c r="V1035" s="4" t="str">
        <f t="shared" si="66"/>
        <v>Normal</v>
      </c>
      <c r="W1035" s="4" t="str">
        <f t="shared" si="67"/>
        <v>Good</v>
      </c>
      <c r="X1035" s="4">
        <f>AVERAGE(Table1[Purchase Amount])</f>
        <v>129.48419400000012</v>
      </c>
    </row>
    <row r="1036" spans="1:24" ht="15" customHeight="1" x14ac:dyDescent="0.25">
      <c r="A1036">
        <v>1035</v>
      </c>
      <c r="B1036">
        <v>68</v>
      </c>
      <c r="C1036" t="s">
        <v>27</v>
      </c>
      <c r="D1036" t="s">
        <v>105</v>
      </c>
      <c r="E1036" t="s">
        <v>18</v>
      </c>
      <c r="F1036" s="2">
        <v>29</v>
      </c>
      <c r="G1036" t="s">
        <v>106</v>
      </c>
      <c r="H1036" t="s">
        <v>31</v>
      </c>
      <c r="I1036" t="s">
        <v>21</v>
      </c>
      <c r="J1036" t="s">
        <v>47</v>
      </c>
      <c r="K1036">
        <v>4.2</v>
      </c>
      <c r="L1036" t="s">
        <v>34</v>
      </c>
      <c r="M1036" t="s">
        <v>79</v>
      </c>
      <c r="N1036" t="s">
        <v>34</v>
      </c>
      <c r="O1036">
        <v>44</v>
      </c>
      <c r="P1036" t="s">
        <v>88</v>
      </c>
      <c r="Q1036" t="s">
        <v>26</v>
      </c>
      <c r="R1036" s="1">
        <v>0.1</v>
      </c>
      <c r="S1036">
        <f t="shared" si="64"/>
        <v>26.1</v>
      </c>
      <c r="T1036">
        <f>IFERROR(VLOOKUP(A1036,Table1[[Customer ID]:[Discount Amount]], 6, FALSE),"Not Found")</f>
        <v>29</v>
      </c>
      <c r="U1036" t="str">
        <f t="shared" si="65"/>
        <v>Bank Transfer</v>
      </c>
      <c r="V1036" s="4" t="str">
        <f t="shared" si="66"/>
        <v>Normal</v>
      </c>
      <c r="W1036" s="4" t="str">
        <f t="shared" si="67"/>
        <v>Good</v>
      </c>
      <c r="X1036" s="4">
        <f>AVERAGE(Table1[Purchase Amount])</f>
        <v>129.48419400000012</v>
      </c>
    </row>
    <row r="1037" spans="1:24" ht="15" customHeight="1" x14ac:dyDescent="0.25">
      <c r="A1037">
        <v>1036</v>
      </c>
      <c r="B1037">
        <v>61</v>
      </c>
      <c r="C1037" t="s">
        <v>27</v>
      </c>
      <c r="D1037" t="s">
        <v>118</v>
      </c>
      <c r="E1037" t="s">
        <v>18</v>
      </c>
      <c r="F1037" s="2">
        <v>89</v>
      </c>
      <c r="G1037" t="s">
        <v>160</v>
      </c>
      <c r="H1037" t="s">
        <v>31</v>
      </c>
      <c r="I1037" t="s">
        <v>60</v>
      </c>
      <c r="J1037" t="s">
        <v>47</v>
      </c>
      <c r="K1037">
        <v>2.8</v>
      </c>
      <c r="L1037" t="s">
        <v>34</v>
      </c>
      <c r="M1037" t="s">
        <v>61</v>
      </c>
      <c r="N1037" t="s">
        <v>34</v>
      </c>
      <c r="O1037">
        <v>32</v>
      </c>
      <c r="P1037" t="s">
        <v>62</v>
      </c>
      <c r="Q1037" t="s">
        <v>49</v>
      </c>
      <c r="R1037" s="1">
        <v>0.1</v>
      </c>
      <c r="S1037">
        <f t="shared" si="64"/>
        <v>80.099999999999994</v>
      </c>
      <c r="T1037">
        <f>IFERROR(VLOOKUP(A1037,Table1[[Customer ID]:[Discount Amount]], 6, FALSE),"Not Found")</f>
        <v>89</v>
      </c>
      <c r="U1037" t="str">
        <f t="shared" si="65"/>
        <v>Venmo</v>
      </c>
      <c r="V1037" s="4" t="str">
        <f t="shared" si="66"/>
        <v>Normal</v>
      </c>
      <c r="W1037" s="4" t="str">
        <f t="shared" si="67"/>
        <v>Poor</v>
      </c>
      <c r="X1037" s="4">
        <f>AVERAGE(Table1[Purchase Amount])</f>
        <v>129.48419400000012</v>
      </c>
    </row>
    <row r="1038" spans="1:24" ht="15" customHeight="1" x14ac:dyDescent="0.25">
      <c r="A1038">
        <v>1037</v>
      </c>
      <c r="B1038">
        <v>68</v>
      </c>
      <c r="C1038" t="s">
        <v>27</v>
      </c>
      <c r="D1038" t="s">
        <v>69</v>
      </c>
      <c r="E1038" t="s">
        <v>29</v>
      </c>
      <c r="F1038" s="2">
        <v>47</v>
      </c>
      <c r="G1038" t="s">
        <v>135</v>
      </c>
      <c r="H1038" t="s">
        <v>31</v>
      </c>
      <c r="I1038" t="s">
        <v>52</v>
      </c>
      <c r="J1038" t="s">
        <v>47</v>
      </c>
      <c r="K1038">
        <v>3.7</v>
      </c>
      <c r="L1038" t="s">
        <v>34</v>
      </c>
      <c r="M1038" t="s">
        <v>41</v>
      </c>
      <c r="N1038" t="s">
        <v>34</v>
      </c>
      <c r="O1038">
        <v>13</v>
      </c>
      <c r="P1038" t="s">
        <v>88</v>
      </c>
      <c r="Q1038" t="s">
        <v>42</v>
      </c>
      <c r="R1038" s="1">
        <v>0.1</v>
      </c>
      <c r="S1038">
        <f t="shared" si="64"/>
        <v>42.3</v>
      </c>
      <c r="T1038">
        <f>IFERROR(VLOOKUP(A1038,Table1[[Customer ID]:[Discount Amount]], 6, FALSE),"Not Found")</f>
        <v>47</v>
      </c>
      <c r="U1038" t="str">
        <f t="shared" si="65"/>
        <v>Bank Transfer</v>
      </c>
      <c r="V1038" s="4" t="str">
        <f t="shared" si="66"/>
        <v>Normal</v>
      </c>
      <c r="W1038" s="4" t="str">
        <f t="shared" si="67"/>
        <v>Good</v>
      </c>
      <c r="X1038" s="4">
        <f>AVERAGE(Table1[Purchase Amount])</f>
        <v>129.48419400000012</v>
      </c>
    </row>
    <row r="1039" spans="1:24" ht="15" customHeight="1" x14ac:dyDescent="0.25">
      <c r="A1039">
        <v>1038</v>
      </c>
      <c r="B1039">
        <v>52</v>
      </c>
      <c r="C1039" t="s">
        <v>27</v>
      </c>
      <c r="D1039" t="s">
        <v>50</v>
      </c>
      <c r="E1039" t="s">
        <v>29</v>
      </c>
      <c r="F1039" s="2">
        <v>25</v>
      </c>
      <c r="G1039" t="s">
        <v>159</v>
      </c>
      <c r="H1039" t="s">
        <v>20</v>
      </c>
      <c r="I1039" t="s">
        <v>60</v>
      </c>
      <c r="J1039" t="s">
        <v>33</v>
      </c>
      <c r="K1039">
        <v>3.4</v>
      </c>
      <c r="L1039" t="s">
        <v>34</v>
      </c>
      <c r="M1039" t="s">
        <v>24</v>
      </c>
      <c r="N1039" t="s">
        <v>34</v>
      </c>
      <c r="O1039">
        <v>48</v>
      </c>
      <c r="P1039" t="s">
        <v>36</v>
      </c>
      <c r="Q1039" t="s">
        <v>37</v>
      </c>
      <c r="R1039" s="1">
        <v>0.1</v>
      </c>
      <c r="S1039">
        <f t="shared" si="64"/>
        <v>22.5</v>
      </c>
      <c r="T1039">
        <f>IFERROR(VLOOKUP(A1039,Table1[[Customer ID]:[Discount Amount]], 6, FALSE),"Not Found")</f>
        <v>25</v>
      </c>
      <c r="U1039" t="str">
        <f t="shared" si="65"/>
        <v>Debit Card</v>
      </c>
      <c r="V1039" s="4" t="str">
        <f t="shared" si="66"/>
        <v>Normal</v>
      </c>
      <c r="W1039" s="4" t="str">
        <f t="shared" si="67"/>
        <v>Good</v>
      </c>
      <c r="X1039" s="4">
        <f>AVERAGE(Table1[Purchase Amount])</f>
        <v>129.48419400000012</v>
      </c>
    </row>
    <row r="1040" spans="1:24" ht="15" customHeight="1" x14ac:dyDescent="0.25">
      <c r="A1040">
        <v>1039</v>
      </c>
      <c r="B1040">
        <v>41</v>
      </c>
      <c r="C1040" t="s">
        <v>27</v>
      </c>
      <c r="D1040" t="s">
        <v>99</v>
      </c>
      <c r="E1040" t="s">
        <v>18</v>
      </c>
      <c r="F1040" s="2">
        <v>74</v>
      </c>
      <c r="G1040" t="s">
        <v>137</v>
      </c>
      <c r="H1040" t="s">
        <v>20</v>
      </c>
      <c r="I1040" t="s">
        <v>128</v>
      </c>
      <c r="J1040" t="s">
        <v>47</v>
      </c>
      <c r="K1040">
        <v>3</v>
      </c>
      <c r="L1040" t="s">
        <v>34</v>
      </c>
      <c r="M1040" t="s">
        <v>61</v>
      </c>
      <c r="N1040" t="s">
        <v>34</v>
      </c>
      <c r="O1040">
        <v>3</v>
      </c>
      <c r="P1040" t="s">
        <v>88</v>
      </c>
      <c r="Q1040" t="s">
        <v>26</v>
      </c>
      <c r="R1040" s="1">
        <v>0.1</v>
      </c>
      <c r="S1040">
        <f t="shared" si="64"/>
        <v>66.599999999999994</v>
      </c>
      <c r="T1040">
        <f>IFERROR(VLOOKUP(A1040,Table1[[Customer ID]:[Discount Amount]], 6, FALSE),"Not Found")</f>
        <v>74</v>
      </c>
      <c r="U1040" t="str">
        <f t="shared" si="65"/>
        <v>Bank Transfer</v>
      </c>
      <c r="V1040" s="4" t="str">
        <f t="shared" si="66"/>
        <v>Normal</v>
      </c>
      <c r="W1040" s="4" t="str">
        <f t="shared" si="67"/>
        <v>Good</v>
      </c>
      <c r="X1040" s="4">
        <f>AVERAGE(Table1[Purchase Amount])</f>
        <v>129.48419400000012</v>
      </c>
    </row>
    <row r="1041" spans="1:24" ht="15" customHeight="1" x14ac:dyDescent="0.25">
      <c r="A1041">
        <v>1040</v>
      </c>
      <c r="B1041">
        <v>29</v>
      </c>
      <c r="C1041" t="s">
        <v>27</v>
      </c>
      <c r="D1041" t="s">
        <v>114</v>
      </c>
      <c r="E1041" t="s">
        <v>29</v>
      </c>
      <c r="F1041" s="2">
        <v>46</v>
      </c>
      <c r="G1041" t="s">
        <v>113</v>
      </c>
      <c r="H1041" t="s">
        <v>31</v>
      </c>
      <c r="I1041" t="s">
        <v>87</v>
      </c>
      <c r="J1041" t="s">
        <v>47</v>
      </c>
      <c r="K1041">
        <v>4.8</v>
      </c>
      <c r="L1041" t="s">
        <v>34</v>
      </c>
      <c r="M1041" t="s">
        <v>24</v>
      </c>
      <c r="N1041" t="s">
        <v>34</v>
      </c>
      <c r="O1041">
        <v>39</v>
      </c>
      <c r="P1041" t="s">
        <v>62</v>
      </c>
      <c r="Q1041" t="s">
        <v>42</v>
      </c>
      <c r="R1041" s="1">
        <v>0.1</v>
      </c>
      <c r="S1041">
        <f t="shared" si="64"/>
        <v>41.4</v>
      </c>
      <c r="T1041">
        <f>IFERROR(VLOOKUP(A1041,Table1[[Customer ID]:[Discount Amount]], 6, FALSE),"Not Found")</f>
        <v>46</v>
      </c>
      <c r="U1041" t="str">
        <f t="shared" si="65"/>
        <v>Venmo</v>
      </c>
      <c r="V1041" s="4" t="str">
        <f t="shared" si="66"/>
        <v>Normal</v>
      </c>
      <c r="W1041" s="4" t="str">
        <f t="shared" si="67"/>
        <v>Good</v>
      </c>
      <c r="X1041" s="4">
        <f>AVERAGE(Table1[Purchase Amount])</f>
        <v>129.48419400000012</v>
      </c>
    </row>
    <row r="1042" spans="1:24" ht="15" customHeight="1" x14ac:dyDescent="0.25">
      <c r="A1042">
        <v>1041</v>
      </c>
      <c r="B1042">
        <v>68</v>
      </c>
      <c r="C1042" t="s">
        <v>27</v>
      </c>
      <c r="D1042" t="s">
        <v>109</v>
      </c>
      <c r="E1042" t="s">
        <v>18</v>
      </c>
      <c r="F1042" s="2">
        <v>22</v>
      </c>
      <c r="G1042" t="s">
        <v>134</v>
      </c>
      <c r="H1042" t="s">
        <v>55</v>
      </c>
      <c r="I1042" t="s">
        <v>87</v>
      </c>
      <c r="J1042" t="s">
        <v>47</v>
      </c>
      <c r="K1042">
        <v>4</v>
      </c>
      <c r="L1042" t="s">
        <v>34</v>
      </c>
      <c r="M1042" t="s">
        <v>79</v>
      </c>
      <c r="N1042" t="s">
        <v>34</v>
      </c>
      <c r="O1042">
        <v>7</v>
      </c>
      <c r="P1042" t="s">
        <v>25</v>
      </c>
      <c r="Q1042" t="s">
        <v>89</v>
      </c>
      <c r="R1042" s="1">
        <v>0.1</v>
      </c>
      <c r="S1042">
        <f t="shared" si="64"/>
        <v>19.8</v>
      </c>
      <c r="T1042">
        <f>IFERROR(VLOOKUP(A1042,Table1[[Customer ID]:[Discount Amount]], 6, FALSE),"Not Found")</f>
        <v>22</v>
      </c>
      <c r="U1042" t="str">
        <f t="shared" si="65"/>
        <v>Cash</v>
      </c>
      <c r="V1042" s="4" t="str">
        <f t="shared" si="66"/>
        <v>Normal</v>
      </c>
      <c r="W1042" s="4" t="str">
        <f t="shared" si="67"/>
        <v>Good</v>
      </c>
      <c r="X1042" s="4">
        <f>AVERAGE(Table1[Purchase Amount])</f>
        <v>129.48419400000012</v>
      </c>
    </row>
    <row r="1043" spans="1:24" ht="15" customHeight="1" x14ac:dyDescent="0.25">
      <c r="A1043">
        <v>1042</v>
      </c>
      <c r="B1043">
        <v>36</v>
      </c>
      <c r="C1043" t="s">
        <v>27</v>
      </c>
      <c r="D1043" t="s">
        <v>38</v>
      </c>
      <c r="E1043" t="s">
        <v>18</v>
      </c>
      <c r="F1043" s="2">
        <v>25</v>
      </c>
      <c r="G1043" t="s">
        <v>120</v>
      </c>
      <c r="H1043" t="s">
        <v>31</v>
      </c>
      <c r="I1043" t="s">
        <v>108</v>
      </c>
      <c r="J1043" t="s">
        <v>57</v>
      </c>
      <c r="K1043">
        <v>4.9000000000000004</v>
      </c>
      <c r="L1043" t="s">
        <v>34</v>
      </c>
      <c r="M1043" t="s">
        <v>79</v>
      </c>
      <c r="N1043" t="s">
        <v>34</v>
      </c>
      <c r="O1043">
        <v>11</v>
      </c>
      <c r="P1043" t="s">
        <v>25</v>
      </c>
      <c r="Q1043" t="s">
        <v>89</v>
      </c>
      <c r="R1043" s="1">
        <v>0.1</v>
      </c>
      <c r="S1043">
        <f t="shared" si="64"/>
        <v>22.5</v>
      </c>
      <c r="T1043">
        <f>IFERROR(VLOOKUP(A1043,Table1[[Customer ID]:[Discount Amount]], 6, FALSE),"Not Found")</f>
        <v>25</v>
      </c>
      <c r="U1043" t="str">
        <f t="shared" si="65"/>
        <v>Cash</v>
      </c>
      <c r="V1043" s="4" t="str">
        <f t="shared" si="66"/>
        <v>Normal</v>
      </c>
      <c r="W1043" s="4" t="str">
        <f t="shared" si="67"/>
        <v>Good</v>
      </c>
      <c r="X1043" s="4">
        <f>AVERAGE(Table1[Purchase Amount])</f>
        <v>129.48419400000012</v>
      </c>
    </row>
    <row r="1044" spans="1:24" ht="15" customHeight="1" x14ac:dyDescent="0.25">
      <c r="A1044">
        <v>1043</v>
      </c>
      <c r="B1044">
        <v>55</v>
      </c>
      <c r="C1044" t="s">
        <v>27</v>
      </c>
      <c r="D1044" t="s">
        <v>114</v>
      </c>
      <c r="E1044" t="s">
        <v>29</v>
      </c>
      <c r="F1044" s="2">
        <v>80</v>
      </c>
      <c r="G1044" t="s">
        <v>106</v>
      </c>
      <c r="H1044" t="s">
        <v>31</v>
      </c>
      <c r="I1044" t="s">
        <v>125</v>
      </c>
      <c r="J1044" t="s">
        <v>33</v>
      </c>
      <c r="K1044">
        <v>4.9000000000000004</v>
      </c>
      <c r="L1044" t="s">
        <v>34</v>
      </c>
      <c r="M1044" t="s">
        <v>79</v>
      </c>
      <c r="N1044" t="s">
        <v>34</v>
      </c>
      <c r="O1044">
        <v>47</v>
      </c>
      <c r="P1044" t="s">
        <v>53</v>
      </c>
      <c r="Q1044" t="s">
        <v>26</v>
      </c>
      <c r="R1044" s="1">
        <v>0.1</v>
      </c>
      <c r="S1044">
        <f t="shared" si="64"/>
        <v>72</v>
      </c>
      <c r="T1044">
        <f>IFERROR(VLOOKUP(A1044,Table1[[Customer ID]:[Discount Amount]], 6, FALSE),"Not Found")</f>
        <v>80</v>
      </c>
      <c r="U1044" t="str">
        <f t="shared" si="65"/>
        <v>Credit Card</v>
      </c>
      <c r="V1044" s="4" t="str">
        <f t="shared" si="66"/>
        <v>Normal</v>
      </c>
      <c r="W1044" s="4" t="str">
        <f t="shared" si="67"/>
        <v>Good</v>
      </c>
      <c r="X1044" s="4">
        <f>AVERAGE(Table1[Purchase Amount])</f>
        <v>129.48419400000012</v>
      </c>
    </row>
    <row r="1045" spans="1:24" ht="15" customHeight="1" x14ac:dyDescent="0.25">
      <c r="A1045">
        <v>1044</v>
      </c>
      <c r="B1045">
        <v>28</v>
      </c>
      <c r="C1045" t="s">
        <v>27</v>
      </c>
      <c r="D1045" t="s">
        <v>109</v>
      </c>
      <c r="E1045" t="s">
        <v>18</v>
      </c>
      <c r="F1045" s="2">
        <v>76</v>
      </c>
      <c r="G1045" t="s">
        <v>135</v>
      </c>
      <c r="H1045" t="s">
        <v>31</v>
      </c>
      <c r="I1045" t="s">
        <v>93</v>
      </c>
      <c r="J1045" t="s">
        <v>33</v>
      </c>
      <c r="K1045">
        <v>3.3</v>
      </c>
      <c r="L1045" t="s">
        <v>34</v>
      </c>
      <c r="M1045" t="s">
        <v>41</v>
      </c>
      <c r="N1045" t="s">
        <v>34</v>
      </c>
      <c r="O1045">
        <v>28</v>
      </c>
      <c r="P1045" t="s">
        <v>36</v>
      </c>
      <c r="Q1045" t="s">
        <v>89</v>
      </c>
      <c r="R1045" s="1">
        <v>0.1</v>
      </c>
      <c r="S1045">
        <f t="shared" si="64"/>
        <v>68.400000000000006</v>
      </c>
      <c r="T1045">
        <f>IFERROR(VLOOKUP(A1045,Table1[[Customer ID]:[Discount Amount]], 6, FALSE),"Not Found")</f>
        <v>76</v>
      </c>
      <c r="U1045" t="str">
        <f t="shared" si="65"/>
        <v>Debit Card</v>
      </c>
      <c r="V1045" s="4" t="str">
        <f t="shared" si="66"/>
        <v>Normal</v>
      </c>
      <c r="W1045" s="4" t="str">
        <f t="shared" si="67"/>
        <v>Good</v>
      </c>
      <c r="X1045" s="4">
        <f>AVERAGE(Table1[Purchase Amount])</f>
        <v>129.48419400000012</v>
      </c>
    </row>
    <row r="1046" spans="1:24" ht="15" customHeight="1" x14ac:dyDescent="0.25">
      <c r="A1046">
        <v>1045</v>
      </c>
      <c r="B1046">
        <v>39</v>
      </c>
      <c r="C1046" t="s">
        <v>27</v>
      </c>
      <c r="D1046" t="s">
        <v>109</v>
      </c>
      <c r="E1046" t="s">
        <v>18</v>
      </c>
      <c r="F1046" s="2">
        <v>30</v>
      </c>
      <c r="G1046" t="s">
        <v>123</v>
      </c>
      <c r="H1046" t="s">
        <v>45</v>
      </c>
      <c r="I1046" t="s">
        <v>147</v>
      </c>
      <c r="J1046" t="s">
        <v>57</v>
      </c>
      <c r="K1046">
        <v>4.4000000000000004</v>
      </c>
      <c r="L1046" t="s">
        <v>34</v>
      </c>
      <c r="M1046" t="s">
        <v>79</v>
      </c>
      <c r="N1046" t="s">
        <v>34</v>
      </c>
      <c r="O1046">
        <v>17</v>
      </c>
      <c r="P1046" t="s">
        <v>88</v>
      </c>
      <c r="Q1046" t="s">
        <v>63</v>
      </c>
      <c r="R1046" s="1">
        <v>0.1</v>
      </c>
      <c r="S1046">
        <f t="shared" si="64"/>
        <v>27</v>
      </c>
      <c r="T1046">
        <f>IFERROR(VLOOKUP(A1046,Table1[[Customer ID]:[Discount Amount]], 6, FALSE),"Not Found")</f>
        <v>30</v>
      </c>
      <c r="U1046" t="str">
        <f t="shared" si="65"/>
        <v>Bank Transfer</v>
      </c>
      <c r="V1046" s="4" t="str">
        <f t="shared" si="66"/>
        <v>Normal</v>
      </c>
      <c r="W1046" s="4" t="str">
        <f t="shared" si="67"/>
        <v>Good</v>
      </c>
      <c r="X1046" s="4">
        <f>AVERAGE(Table1[Purchase Amount])</f>
        <v>129.48419400000012</v>
      </c>
    </row>
    <row r="1047" spans="1:24" ht="15" customHeight="1" x14ac:dyDescent="0.25">
      <c r="A1047">
        <v>1046</v>
      </c>
      <c r="B1047">
        <v>54</v>
      </c>
      <c r="C1047" t="s">
        <v>27</v>
      </c>
      <c r="D1047" t="s">
        <v>127</v>
      </c>
      <c r="E1047" t="s">
        <v>18</v>
      </c>
      <c r="F1047" s="2">
        <v>79</v>
      </c>
      <c r="G1047" t="s">
        <v>110</v>
      </c>
      <c r="H1047" t="s">
        <v>45</v>
      </c>
      <c r="I1047" t="s">
        <v>40</v>
      </c>
      <c r="J1047" t="s">
        <v>47</v>
      </c>
      <c r="K1047">
        <v>3.5</v>
      </c>
      <c r="L1047" t="s">
        <v>34</v>
      </c>
      <c r="M1047" t="s">
        <v>41</v>
      </c>
      <c r="N1047" t="s">
        <v>34</v>
      </c>
      <c r="O1047">
        <v>11</v>
      </c>
      <c r="P1047" t="s">
        <v>58</v>
      </c>
      <c r="Q1047" t="s">
        <v>68</v>
      </c>
      <c r="R1047" s="1">
        <v>0.1</v>
      </c>
      <c r="S1047">
        <f t="shared" si="64"/>
        <v>71.099999999999994</v>
      </c>
      <c r="T1047">
        <f>IFERROR(VLOOKUP(A1047,Table1[[Customer ID]:[Discount Amount]], 6, FALSE),"Not Found")</f>
        <v>79</v>
      </c>
      <c r="U1047" t="str">
        <f t="shared" si="65"/>
        <v>PayPal</v>
      </c>
      <c r="V1047" s="4" t="str">
        <f t="shared" si="66"/>
        <v>Normal</v>
      </c>
      <c r="W1047" s="4" t="str">
        <f t="shared" si="67"/>
        <v>Good</v>
      </c>
      <c r="X1047" s="4">
        <f>AVERAGE(Table1[Purchase Amount])</f>
        <v>129.48419400000012</v>
      </c>
    </row>
    <row r="1048" spans="1:24" ht="15" customHeight="1" x14ac:dyDescent="0.25">
      <c r="A1048">
        <v>1047</v>
      </c>
      <c r="B1048">
        <v>40</v>
      </c>
      <c r="C1048" t="s">
        <v>27</v>
      </c>
      <c r="D1048" t="s">
        <v>140</v>
      </c>
      <c r="E1048" t="s">
        <v>98</v>
      </c>
      <c r="F1048" s="2">
        <v>22</v>
      </c>
      <c r="G1048" t="s">
        <v>44</v>
      </c>
      <c r="H1048" t="s">
        <v>31</v>
      </c>
      <c r="I1048" t="s">
        <v>87</v>
      </c>
      <c r="J1048" t="s">
        <v>22</v>
      </c>
      <c r="K1048">
        <v>4.2</v>
      </c>
      <c r="L1048" t="s">
        <v>34</v>
      </c>
      <c r="M1048" t="s">
        <v>24</v>
      </c>
      <c r="N1048" t="s">
        <v>34</v>
      </c>
      <c r="O1048">
        <v>12</v>
      </c>
      <c r="P1048" t="s">
        <v>62</v>
      </c>
      <c r="Q1048" t="s">
        <v>49</v>
      </c>
      <c r="R1048" s="1">
        <v>0.1</v>
      </c>
      <c r="S1048">
        <f t="shared" si="64"/>
        <v>19.8</v>
      </c>
      <c r="T1048">
        <f>IFERROR(VLOOKUP(A1048,Table1[[Customer ID]:[Discount Amount]], 6, FALSE),"Not Found")</f>
        <v>22</v>
      </c>
      <c r="U1048" t="str">
        <f t="shared" si="65"/>
        <v>Venmo</v>
      </c>
      <c r="V1048" s="4" t="str">
        <f t="shared" si="66"/>
        <v>Normal</v>
      </c>
      <c r="W1048" s="4" t="str">
        <f t="shared" si="67"/>
        <v>Good</v>
      </c>
      <c r="X1048" s="4">
        <f>AVERAGE(Table1[Purchase Amount])</f>
        <v>129.48419400000012</v>
      </c>
    </row>
    <row r="1049" spans="1:24" ht="15" customHeight="1" x14ac:dyDescent="0.25">
      <c r="A1049">
        <v>1048</v>
      </c>
      <c r="B1049">
        <v>31</v>
      </c>
      <c r="C1049" t="s">
        <v>27</v>
      </c>
      <c r="D1049" t="s">
        <v>105</v>
      </c>
      <c r="E1049" t="s">
        <v>18</v>
      </c>
      <c r="F1049" s="2">
        <v>36</v>
      </c>
      <c r="G1049" t="s">
        <v>144</v>
      </c>
      <c r="H1049" t="s">
        <v>55</v>
      </c>
      <c r="I1049" t="s">
        <v>21</v>
      </c>
      <c r="J1049" t="s">
        <v>47</v>
      </c>
      <c r="K1049">
        <v>4.2</v>
      </c>
      <c r="L1049" t="s">
        <v>34</v>
      </c>
      <c r="M1049" t="s">
        <v>24</v>
      </c>
      <c r="N1049" t="s">
        <v>34</v>
      </c>
      <c r="O1049">
        <v>7</v>
      </c>
      <c r="P1049" t="s">
        <v>53</v>
      </c>
      <c r="Q1049" t="s">
        <v>89</v>
      </c>
      <c r="R1049" s="1">
        <v>0.1</v>
      </c>
      <c r="S1049">
        <f t="shared" si="64"/>
        <v>32.4</v>
      </c>
      <c r="T1049">
        <f>IFERROR(VLOOKUP(A1049,Table1[[Customer ID]:[Discount Amount]], 6, FALSE),"Not Found")</f>
        <v>36</v>
      </c>
      <c r="U1049" t="str">
        <f t="shared" si="65"/>
        <v>Credit Card</v>
      </c>
      <c r="V1049" s="4" t="str">
        <f t="shared" si="66"/>
        <v>Normal</v>
      </c>
      <c r="W1049" s="4" t="str">
        <f t="shared" si="67"/>
        <v>Good</v>
      </c>
      <c r="X1049" s="4">
        <f>AVERAGE(Table1[Purchase Amount])</f>
        <v>129.48419400000012</v>
      </c>
    </row>
    <row r="1050" spans="1:24" ht="15" customHeight="1" x14ac:dyDescent="0.25">
      <c r="A1050">
        <v>1049</v>
      </c>
      <c r="B1050">
        <v>30</v>
      </c>
      <c r="C1050" t="s">
        <v>27</v>
      </c>
      <c r="D1050" t="s">
        <v>105</v>
      </c>
      <c r="E1050" t="s">
        <v>18</v>
      </c>
      <c r="F1050" s="2">
        <v>77</v>
      </c>
      <c r="G1050" t="s">
        <v>94</v>
      </c>
      <c r="H1050" t="s">
        <v>45</v>
      </c>
      <c r="I1050" t="s">
        <v>52</v>
      </c>
      <c r="J1050" t="s">
        <v>47</v>
      </c>
      <c r="K1050">
        <v>2.7</v>
      </c>
      <c r="L1050" t="s">
        <v>34</v>
      </c>
      <c r="M1050" t="s">
        <v>24</v>
      </c>
      <c r="N1050" t="s">
        <v>34</v>
      </c>
      <c r="O1050">
        <v>19</v>
      </c>
      <c r="P1050" t="s">
        <v>62</v>
      </c>
      <c r="Q1050" t="s">
        <v>89</v>
      </c>
      <c r="R1050" s="1">
        <v>0.1</v>
      </c>
      <c r="S1050">
        <f t="shared" si="64"/>
        <v>69.3</v>
      </c>
      <c r="T1050">
        <f>IFERROR(VLOOKUP(A1050,Table1[[Customer ID]:[Discount Amount]], 6, FALSE),"Not Found")</f>
        <v>77</v>
      </c>
      <c r="U1050" t="str">
        <f t="shared" si="65"/>
        <v>Venmo</v>
      </c>
      <c r="V1050" s="4" t="str">
        <f t="shared" si="66"/>
        <v>Normal</v>
      </c>
      <c r="W1050" s="4" t="str">
        <f t="shared" si="67"/>
        <v>Poor</v>
      </c>
      <c r="X1050" s="4">
        <f>AVERAGE(Table1[Purchase Amount])</f>
        <v>129.48419400000012</v>
      </c>
    </row>
    <row r="1051" spans="1:24" ht="15" customHeight="1" x14ac:dyDescent="0.25">
      <c r="A1051">
        <v>1050</v>
      </c>
      <c r="B1051">
        <v>45</v>
      </c>
      <c r="C1051" t="s">
        <v>27</v>
      </c>
      <c r="D1051" t="s">
        <v>28</v>
      </c>
      <c r="E1051" t="s">
        <v>29</v>
      </c>
      <c r="F1051" s="2">
        <v>33</v>
      </c>
      <c r="G1051" t="s">
        <v>138</v>
      </c>
      <c r="H1051" t="s">
        <v>55</v>
      </c>
      <c r="I1051" t="s">
        <v>66</v>
      </c>
      <c r="J1051" t="s">
        <v>47</v>
      </c>
      <c r="K1051">
        <v>2.8</v>
      </c>
      <c r="L1051" t="s">
        <v>34</v>
      </c>
      <c r="M1051" t="s">
        <v>48</v>
      </c>
      <c r="N1051" t="s">
        <v>34</v>
      </c>
      <c r="O1051">
        <v>24</v>
      </c>
      <c r="P1051" t="s">
        <v>25</v>
      </c>
      <c r="Q1051" t="s">
        <v>37</v>
      </c>
      <c r="R1051" s="1">
        <v>0.1</v>
      </c>
      <c r="S1051">
        <f t="shared" si="64"/>
        <v>29.7</v>
      </c>
      <c r="T1051">
        <f>IFERROR(VLOOKUP(A1051,Table1[[Customer ID]:[Discount Amount]], 6, FALSE),"Not Found")</f>
        <v>33</v>
      </c>
      <c r="U1051" t="str">
        <f t="shared" si="65"/>
        <v>Cash</v>
      </c>
      <c r="V1051" s="4" t="str">
        <f t="shared" si="66"/>
        <v>Normal</v>
      </c>
      <c r="W1051" s="4" t="str">
        <f t="shared" si="67"/>
        <v>Poor</v>
      </c>
      <c r="X1051" s="4">
        <f>AVERAGE(Table1[Purchase Amount])</f>
        <v>129.48419400000012</v>
      </c>
    </row>
    <row r="1052" spans="1:24" ht="15" customHeight="1" x14ac:dyDescent="0.25">
      <c r="A1052">
        <v>1051</v>
      </c>
      <c r="B1052">
        <v>48</v>
      </c>
      <c r="C1052" t="s">
        <v>27</v>
      </c>
      <c r="D1052" t="s">
        <v>140</v>
      </c>
      <c r="E1052" t="s">
        <v>98</v>
      </c>
      <c r="F1052" s="2">
        <v>64</v>
      </c>
      <c r="G1052" t="s">
        <v>67</v>
      </c>
      <c r="H1052" t="s">
        <v>31</v>
      </c>
      <c r="I1052" t="s">
        <v>56</v>
      </c>
      <c r="J1052" t="s">
        <v>22</v>
      </c>
      <c r="K1052">
        <v>3.8</v>
      </c>
      <c r="L1052" t="s">
        <v>34</v>
      </c>
      <c r="M1052" t="s">
        <v>79</v>
      </c>
      <c r="N1052" t="s">
        <v>34</v>
      </c>
      <c r="O1052">
        <v>19</v>
      </c>
      <c r="P1052" t="s">
        <v>62</v>
      </c>
      <c r="Q1052" t="s">
        <v>42</v>
      </c>
      <c r="R1052" s="1">
        <v>0.1</v>
      </c>
      <c r="S1052">
        <f t="shared" si="64"/>
        <v>57.6</v>
      </c>
      <c r="T1052">
        <f>IFERROR(VLOOKUP(A1052,Table1[[Customer ID]:[Discount Amount]], 6, FALSE),"Not Found")</f>
        <v>64</v>
      </c>
      <c r="U1052" t="str">
        <f t="shared" si="65"/>
        <v>Venmo</v>
      </c>
      <c r="V1052" s="4" t="str">
        <f t="shared" si="66"/>
        <v>Normal</v>
      </c>
      <c r="W1052" s="4" t="str">
        <f t="shared" si="67"/>
        <v>Good</v>
      </c>
      <c r="X1052" s="4">
        <f>AVERAGE(Table1[Purchase Amount])</f>
        <v>129.48419400000012</v>
      </c>
    </row>
    <row r="1053" spans="1:24" ht="15" customHeight="1" x14ac:dyDescent="0.25">
      <c r="A1053">
        <v>1052</v>
      </c>
      <c r="B1053">
        <v>45</v>
      </c>
      <c r="C1053" t="s">
        <v>27</v>
      </c>
      <c r="D1053" t="s">
        <v>105</v>
      </c>
      <c r="E1053" t="s">
        <v>18</v>
      </c>
      <c r="F1053" s="2">
        <v>53</v>
      </c>
      <c r="G1053" t="s">
        <v>90</v>
      </c>
      <c r="H1053" t="s">
        <v>31</v>
      </c>
      <c r="I1053" t="s">
        <v>91</v>
      </c>
      <c r="J1053" t="s">
        <v>47</v>
      </c>
      <c r="K1053">
        <v>2.6</v>
      </c>
      <c r="L1053" t="s">
        <v>34</v>
      </c>
      <c r="M1053" t="s">
        <v>35</v>
      </c>
      <c r="N1053" t="s">
        <v>34</v>
      </c>
      <c r="O1053">
        <v>39</v>
      </c>
      <c r="P1053" t="s">
        <v>58</v>
      </c>
      <c r="Q1053" t="s">
        <v>49</v>
      </c>
      <c r="R1053" s="1">
        <v>0.1</v>
      </c>
      <c r="S1053">
        <f t="shared" si="64"/>
        <v>47.7</v>
      </c>
      <c r="T1053">
        <f>IFERROR(VLOOKUP(A1053,Table1[[Customer ID]:[Discount Amount]], 6, FALSE),"Not Found")</f>
        <v>53</v>
      </c>
      <c r="U1053" t="str">
        <f t="shared" si="65"/>
        <v>PayPal</v>
      </c>
      <c r="V1053" s="4" t="str">
        <f t="shared" si="66"/>
        <v>Normal</v>
      </c>
      <c r="W1053" s="4" t="str">
        <f t="shared" si="67"/>
        <v>Poor</v>
      </c>
      <c r="X1053" s="4">
        <f>AVERAGE(Table1[Purchase Amount])</f>
        <v>129.48419400000012</v>
      </c>
    </row>
    <row r="1054" spans="1:24" ht="15" customHeight="1" x14ac:dyDescent="0.25">
      <c r="A1054">
        <v>1053</v>
      </c>
      <c r="B1054">
        <v>60</v>
      </c>
      <c r="C1054" t="s">
        <v>27</v>
      </c>
      <c r="D1054" t="s">
        <v>72</v>
      </c>
      <c r="E1054" t="s">
        <v>98</v>
      </c>
      <c r="F1054" s="2">
        <v>36</v>
      </c>
      <c r="G1054" t="s">
        <v>138</v>
      </c>
      <c r="H1054" t="s">
        <v>20</v>
      </c>
      <c r="I1054" t="s">
        <v>136</v>
      </c>
      <c r="J1054" t="s">
        <v>47</v>
      </c>
      <c r="K1054">
        <v>3</v>
      </c>
      <c r="L1054" t="s">
        <v>34</v>
      </c>
      <c r="M1054" t="s">
        <v>41</v>
      </c>
      <c r="N1054" t="s">
        <v>34</v>
      </c>
      <c r="O1054">
        <v>1</v>
      </c>
      <c r="P1054" t="s">
        <v>53</v>
      </c>
      <c r="Q1054" t="s">
        <v>89</v>
      </c>
      <c r="R1054" s="1">
        <v>0.1</v>
      </c>
      <c r="S1054">
        <f t="shared" si="64"/>
        <v>32.4</v>
      </c>
      <c r="T1054">
        <f>IFERROR(VLOOKUP(A1054,Table1[[Customer ID]:[Discount Amount]], 6, FALSE),"Not Found")</f>
        <v>36</v>
      </c>
      <c r="U1054" t="str">
        <f t="shared" si="65"/>
        <v>Credit Card</v>
      </c>
      <c r="V1054" s="4" t="str">
        <f t="shared" si="66"/>
        <v>Normal</v>
      </c>
      <c r="W1054" s="4" t="str">
        <f t="shared" si="67"/>
        <v>Good</v>
      </c>
      <c r="X1054" s="4">
        <f>AVERAGE(Table1[Purchase Amount])</f>
        <v>129.48419400000012</v>
      </c>
    </row>
    <row r="1055" spans="1:24" ht="15" customHeight="1" x14ac:dyDescent="0.25">
      <c r="A1055">
        <v>1054</v>
      </c>
      <c r="B1055">
        <v>59</v>
      </c>
      <c r="C1055" t="s">
        <v>27</v>
      </c>
      <c r="D1055" t="s">
        <v>118</v>
      </c>
      <c r="E1055" t="s">
        <v>18</v>
      </c>
      <c r="F1055" s="2">
        <v>70</v>
      </c>
      <c r="G1055" t="s">
        <v>124</v>
      </c>
      <c r="H1055" t="s">
        <v>31</v>
      </c>
      <c r="I1055" t="s">
        <v>74</v>
      </c>
      <c r="J1055" t="s">
        <v>33</v>
      </c>
      <c r="K1055">
        <v>3.3</v>
      </c>
      <c r="L1055" t="s">
        <v>23</v>
      </c>
      <c r="M1055" t="s">
        <v>41</v>
      </c>
      <c r="N1055" t="s">
        <v>34</v>
      </c>
      <c r="O1055">
        <v>10</v>
      </c>
      <c r="P1055" t="s">
        <v>36</v>
      </c>
      <c r="Q1055" t="s">
        <v>68</v>
      </c>
      <c r="R1055" s="1">
        <v>0.1</v>
      </c>
      <c r="S1055">
        <f t="shared" si="64"/>
        <v>63</v>
      </c>
      <c r="T1055">
        <f>IFERROR(VLOOKUP(A1055,Table1[[Customer ID]:[Discount Amount]], 6, FALSE),"Not Found")</f>
        <v>70</v>
      </c>
      <c r="U1055" t="str">
        <f t="shared" si="65"/>
        <v>Debit Card</v>
      </c>
      <c r="V1055" s="4" t="str">
        <f t="shared" si="66"/>
        <v>Normal</v>
      </c>
      <c r="W1055" s="4" t="str">
        <f t="shared" si="67"/>
        <v>Good</v>
      </c>
      <c r="X1055" s="4">
        <f>AVERAGE(Table1[Purchase Amount])</f>
        <v>129.48419400000012</v>
      </c>
    </row>
    <row r="1056" spans="1:24" ht="15" customHeight="1" x14ac:dyDescent="0.25">
      <c r="A1056">
        <v>1055</v>
      </c>
      <c r="B1056">
        <v>18</v>
      </c>
      <c r="C1056" t="s">
        <v>27</v>
      </c>
      <c r="D1056" t="s">
        <v>54</v>
      </c>
      <c r="E1056" t="s">
        <v>18</v>
      </c>
      <c r="F1056" s="2">
        <v>96</v>
      </c>
      <c r="G1056" t="s">
        <v>100</v>
      </c>
      <c r="H1056" t="s">
        <v>45</v>
      </c>
      <c r="I1056" t="s">
        <v>128</v>
      </c>
      <c r="J1056" t="s">
        <v>22</v>
      </c>
      <c r="K1056">
        <v>4.9000000000000004</v>
      </c>
      <c r="L1056" t="s">
        <v>23</v>
      </c>
      <c r="M1056" t="s">
        <v>61</v>
      </c>
      <c r="N1056" t="s">
        <v>34</v>
      </c>
      <c r="O1056">
        <v>48</v>
      </c>
      <c r="P1056" t="s">
        <v>58</v>
      </c>
      <c r="Q1056" t="s">
        <v>37</v>
      </c>
      <c r="R1056" s="1">
        <v>0.1</v>
      </c>
      <c r="S1056">
        <f t="shared" si="64"/>
        <v>86.4</v>
      </c>
      <c r="T1056">
        <f>IFERROR(VLOOKUP(A1056,Table1[[Customer ID]:[Discount Amount]], 6, FALSE),"Not Found")</f>
        <v>96</v>
      </c>
      <c r="U1056" t="str">
        <f t="shared" si="65"/>
        <v>PayPal</v>
      </c>
      <c r="V1056" s="4" t="str">
        <f t="shared" si="66"/>
        <v>Normal</v>
      </c>
      <c r="W1056" s="4" t="str">
        <f t="shared" si="67"/>
        <v>Good</v>
      </c>
      <c r="X1056" s="4">
        <f>AVERAGE(Table1[Purchase Amount])</f>
        <v>129.48419400000012</v>
      </c>
    </row>
    <row r="1057" spans="1:24" ht="15" customHeight="1" x14ac:dyDescent="0.25">
      <c r="A1057">
        <v>1056</v>
      </c>
      <c r="B1057">
        <v>70</v>
      </c>
      <c r="C1057" t="s">
        <v>27</v>
      </c>
      <c r="D1057" t="s">
        <v>96</v>
      </c>
      <c r="E1057" t="s">
        <v>77</v>
      </c>
      <c r="F1057" s="2">
        <v>27</v>
      </c>
      <c r="G1057" t="s">
        <v>97</v>
      </c>
      <c r="H1057" t="s">
        <v>31</v>
      </c>
      <c r="I1057" t="s">
        <v>108</v>
      </c>
      <c r="J1057" t="s">
        <v>33</v>
      </c>
      <c r="K1057">
        <v>3.3</v>
      </c>
      <c r="L1057" t="s">
        <v>23</v>
      </c>
      <c r="M1057" t="s">
        <v>79</v>
      </c>
      <c r="N1057" t="s">
        <v>34</v>
      </c>
      <c r="O1057">
        <v>24</v>
      </c>
      <c r="P1057" t="s">
        <v>36</v>
      </c>
      <c r="Q1057" t="s">
        <v>49</v>
      </c>
      <c r="R1057" s="1">
        <v>0.1</v>
      </c>
      <c r="S1057">
        <f t="shared" si="64"/>
        <v>24.3</v>
      </c>
      <c r="T1057">
        <f>IFERROR(VLOOKUP(A1057,Table1[[Customer ID]:[Discount Amount]], 6, FALSE),"Not Found")</f>
        <v>27</v>
      </c>
      <c r="U1057" t="str">
        <f t="shared" si="65"/>
        <v>Debit Card</v>
      </c>
      <c r="V1057" s="4" t="str">
        <f t="shared" si="66"/>
        <v>Normal</v>
      </c>
      <c r="W1057" s="4" t="str">
        <f t="shared" si="67"/>
        <v>Good</v>
      </c>
      <c r="X1057" s="4">
        <f>AVERAGE(Table1[Purchase Amount])</f>
        <v>129.48419400000012</v>
      </c>
    </row>
    <row r="1058" spans="1:24" ht="15" customHeight="1" x14ac:dyDescent="0.25">
      <c r="A1058">
        <v>1057</v>
      </c>
      <c r="B1058">
        <v>20</v>
      </c>
      <c r="C1058" t="s">
        <v>27</v>
      </c>
      <c r="D1058" t="s">
        <v>127</v>
      </c>
      <c r="E1058" t="s">
        <v>18</v>
      </c>
      <c r="F1058" s="2">
        <v>64</v>
      </c>
      <c r="G1058" t="s">
        <v>161</v>
      </c>
      <c r="H1058" t="s">
        <v>45</v>
      </c>
      <c r="I1058" t="s">
        <v>40</v>
      </c>
      <c r="J1058" t="s">
        <v>22</v>
      </c>
      <c r="K1058">
        <v>2.9</v>
      </c>
      <c r="L1058" t="s">
        <v>23</v>
      </c>
      <c r="M1058" t="s">
        <v>41</v>
      </c>
      <c r="N1058" t="s">
        <v>34</v>
      </c>
      <c r="O1058">
        <v>42</v>
      </c>
      <c r="P1058" t="s">
        <v>62</v>
      </c>
      <c r="Q1058" t="s">
        <v>89</v>
      </c>
      <c r="R1058" s="1">
        <v>0.1</v>
      </c>
      <c r="S1058">
        <f t="shared" si="64"/>
        <v>57.6</v>
      </c>
      <c r="T1058">
        <f>IFERROR(VLOOKUP(A1058,Table1[[Customer ID]:[Discount Amount]], 6, FALSE),"Not Found")</f>
        <v>64</v>
      </c>
      <c r="U1058" t="str">
        <f t="shared" si="65"/>
        <v>Venmo</v>
      </c>
      <c r="V1058" s="4" t="str">
        <f t="shared" si="66"/>
        <v>Normal</v>
      </c>
      <c r="W1058" s="4" t="str">
        <f t="shared" si="67"/>
        <v>Poor</v>
      </c>
      <c r="X1058" s="4">
        <f>AVERAGE(Table1[Purchase Amount])</f>
        <v>129.48419400000012</v>
      </c>
    </row>
    <row r="1059" spans="1:24" ht="15" customHeight="1" x14ac:dyDescent="0.25">
      <c r="A1059">
        <v>1058</v>
      </c>
      <c r="B1059">
        <v>65</v>
      </c>
      <c r="C1059" t="s">
        <v>27</v>
      </c>
      <c r="D1059" t="s">
        <v>96</v>
      </c>
      <c r="E1059" t="s">
        <v>77</v>
      </c>
      <c r="F1059" s="2">
        <v>23</v>
      </c>
      <c r="G1059" t="s">
        <v>59</v>
      </c>
      <c r="H1059" t="s">
        <v>55</v>
      </c>
      <c r="I1059" t="s">
        <v>125</v>
      </c>
      <c r="J1059" t="s">
        <v>33</v>
      </c>
      <c r="K1059">
        <v>4.4000000000000004</v>
      </c>
      <c r="L1059" t="s">
        <v>23</v>
      </c>
      <c r="M1059" t="s">
        <v>41</v>
      </c>
      <c r="N1059" t="s">
        <v>34</v>
      </c>
      <c r="O1059">
        <v>20</v>
      </c>
      <c r="P1059" t="s">
        <v>53</v>
      </c>
      <c r="Q1059" t="s">
        <v>26</v>
      </c>
      <c r="R1059" s="1">
        <v>0.1</v>
      </c>
      <c r="S1059">
        <f t="shared" si="64"/>
        <v>20.7</v>
      </c>
      <c r="T1059">
        <f>IFERROR(VLOOKUP(A1059,Table1[[Customer ID]:[Discount Amount]], 6, FALSE),"Not Found")</f>
        <v>23</v>
      </c>
      <c r="U1059" t="str">
        <f t="shared" si="65"/>
        <v>Credit Card</v>
      </c>
      <c r="V1059" s="4" t="str">
        <f t="shared" si="66"/>
        <v>Normal</v>
      </c>
      <c r="W1059" s="4" t="str">
        <f t="shared" si="67"/>
        <v>Good</v>
      </c>
      <c r="X1059" s="4">
        <f>AVERAGE(Table1[Purchase Amount])</f>
        <v>129.48419400000012</v>
      </c>
    </row>
    <row r="1060" spans="1:24" ht="15" customHeight="1" x14ac:dyDescent="0.25">
      <c r="A1060">
        <v>1059</v>
      </c>
      <c r="B1060">
        <v>29</v>
      </c>
      <c r="C1060" t="s">
        <v>27</v>
      </c>
      <c r="D1060" t="s">
        <v>129</v>
      </c>
      <c r="E1060" t="s">
        <v>29</v>
      </c>
      <c r="F1060" s="2">
        <v>33</v>
      </c>
      <c r="G1060" t="s">
        <v>110</v>
      </c>
      <c r="H1060" t="s">
        <v>45</v>
      </c>
      <c r="I1060" t="s">
        <v>111</v>
      </c>
      <c r="J1060" t="s">
        <v>57</v>
      </c>
      <c r="K1060">
        <v>3.1</v>
      </c>
      <c r="L1060" t="s">
        <v>23</v>
      </c>
      <c r="M1060" t="s">
        <v>79</v>
      </c>
      <c r="N1060" t="s">
        <v>34</v>
      </c>
      <c r="O1060">
        <v>49</v>
      </c>
      <c r="P1060" t="s">
        <v>88</v>
      </c>
      <c r="Q1060" t="s">
        <v>63</v>
      </c>
      <c r="R1060" s="1">
        <v>0.1</v>
      </c>
      <c r="S1060">
        <f t="shared" si="64"/>
        <v>29.7</v>
      </c>
      <c r="T1060">
        <f>IFERROR(VLOOKUP(A1060,Table1[[Customer ID]:[Discount Amount]], 6, FALSE),"Not Found")</f>
        <v>33</v>
      </c>
      <c r="U1060" t="str">
        <f t="shared" si="65"/>
        <v>Bank Transfer</v>
      </c>
      <c r="V1060" s="4" t="str">
        <f t="shared" si="66"/>
        <v>Normal</v>
      </c>
      <c r="W1060" s="4" t="str">
        <f t="shared" si="67"/>
        <v>Good</v>
      </c>
      <c r="X1060" s="4">
        <f>AVERAGE(Table1[Purchase Amount])</f>
        <v>129.48419400000012</v>
      </c>
    </row>
    <row r="1061" spans="1:24" ht="15" customHeight="1" x14ac:dyDescent="0.25">
      <c r="A1061">
        <v>1060</v>
      </c>
      <c r="B1061">
        <v>22</v>
      </c>
      <c r="C1061" t="s">
        <v>27</v>
      </c>
      <c r="D1061" t="s">
        <v>96</v>
      </c>
      <c r="E1061" t="s">
        <v>77</v>
      </c>
      <c r="F1061" s="2">
        <v>34</v>
      </c>
      <c r="G1061" t="s">
        <v>134</v>
      </c>
      <c r="H1061" t="s">
        <v>31</v>
      </c>
      <c r="I1061" t="s">
        <v>56</v>
      </c>
      <c r="J1061" t="s">
        <v>22</v>
      </c>
      <c r="K1061">
        <v>2.5</v>
      </c>
      <c r="L1061" t="s">
        <v>23</v>
      </c>
      <c r="M1061" t="s">
        <v>24</v>
      </c>
      <c r="N1061" t="s">
        <v>34</v>
      </c>
      <c r="O1061">
        <v>25</v>
      </c>
      <c r="P1061" t="s">
        <v>36</v>
      </c>
      <c r="Q1061" t="s">
        <v>42</v>
      </c>
      <c r="R1061" s="1">
        <v>0.1</v>
      </c>
      <c r="S1061">
        <f t="shared" si="64"/>
        <v>30.6</v>
      </c>
      <c r="T1061">
        <f>IFERROR(VLOOKUP(A1061,Table1[[Customer ID]:[Discount Amount]], 6, FALSE),"Not Found")</f>
        <v>34</v>
      </c>
      <c r="U1061" t="str">
        <f t="shared" si="65"/>
        <v>Debit Card</v>
      </c>
      <c r="V1061" s="4" t="str">
        <f t="shared" si="66"/>
        <v>Normal</v>
      </c>
      <c r="W1061" s="4" t="str">
        <f t="shared" si="67"/>
        <v>Poor</v>
      </c>
      <c r="X1061" s="4">
        <f>AVERAGE(Table1[Purchase Amount])</f>
        <v>129.48419400000012</v>
      </c>
    </row>
    <row r="1062" spans="1:24" ht="15" customHeight="1" x14ac:dyDescent="0.25">
      <c r="A1062">
        <v>1061</v>
      </c>
      <c r="B1062">
        <v>27</v>
      </c>
      <c r="C1062" t="s">
        <v>27</v>
      </c>
      <c r="D1062" t="s">
        <v>127</v>
      </c>
      <c r="E1062" t="s">
        <v>18</v>
      </c>
      <c r="F1062" s="2">
        <v>35</v>
      </c>
      <c r="G1062" t="s">
        <v>141</v>
      </c>
      <c r="H1062" t="s">
        <v>55</v>
      </c>
      <c r="I1062" t="s">
        <v>85</v>
      </c>
      <c r="J1062" t="s">
        <v>57</v>
      </c>
      <c r="K1062">
        <v>2.6</v>
      </c>
      <c r="L1062" t="s">
        <v>23</v>
      </c>
      <c r="M1062" t="s">
        <v>79</v>
      </c>
      <c r="N1062" t="s">
        <v>34</v>
      </c>
      <c r="O1062">
        <v>21</v>
      </c>
      <c r="P1062" t="s">
        <v>36</v>
      </c>
      <c r="Q1062" t="s">
        <v>63</v>
      </c>
      <c r="R1062" s="1">
        <v>0.1</v>
      </c>
      <c r="S1062">
        <f t="shared" si="64"/>
        <v>31.5</v>
      </c>
      <c r="T1062">
        <f>IFERROR(VLOOKUP(A1062,Table1[[Customer ID]:[Discount Amount]], 6, FALSE),"Not Found")</f>
        <v>35</v>
      </c>
      <c r="U1062" t="str">
        <f t="shared" si="65"/>
        <v>Debit Card</v>
      </c>
      <c r="V1062" s="4" t="str">
        <f t="shared" si="66"/>
        <v>Normal</v>
      </c>
      <c r="W1062" s="4" t="str">
        <f t="shared" si="67"/>
        <v>Poor</v>
      </c>
      <c r="X1062" s="4">
        <f>AVERAGE(Table1[Purchase Amount])</f>
        <v>129.48419400000012</v>
      </c>
    </row>
    <row r="1063" spans="1:24" ht="15" customHeight="1" x14ac:dyDescent="0.25">
      <c r="A1063">
        <v>1062</v>
      </c>
      <c r="B1063">
        <v>36</v>
      </c>
      <c r="C1063" t="s">
        <v>27</v>
      </c>
      <c r="D1063" t="s">
        <v>76</v>
      </c>
      <c r="E1063" t="s">
        <v>77</v>
      </c>
      <c r="F1063" s="2">
        <v>62</v>
      </c>
      <c r="G1063" t="s">
        <v>161</v>
      </c>
      <c r="H1063" t="s">
        <v>31</v>
      </c>
      <c r="I1063" t="s">
        <v>85</v>
      </c>
      <c r="J1063" t="s">
        <v>57</v>
      </c>
      <c r="K1063">
        <v>4.4000000000000004</v>
      </c>
      <c r="L1063" t="s">
        <v>23</v>
      </c>
      <c r="M1063" t="s">
        <v>35</v>
      </c>
      <c r="N1063" t="s">
        <v>34</v>
      </c>
      <c r="O1063">
        <v>12</v>
      </c>
      <c r="P1063" t="s">
        <v>62</v>
      </c>
      <c r="Q1063" t="s">
        <v>63</v>
      </c>
      <c r="R1063" s="1">
        <v>0.1</v>
      </c>
      <c r="S1063">
        <f t="shared" si="64"/>
        <v>55.8</v>
      </c>
      <c r="T1063">
        <f>IFERROR(VLOOKUP(A1063,Table1[[Customer ID]:[Discount Amount]], 6, FALSE),"Not Found")</f>
        <v>62</v>
      </c>
      <c r="U1063" t="str">
        <f t="shared" si="65"/>
        <v>Venmo</v>
      </c>
      <c r="V1063" s="4" t="str">
        <f t="shared" si="66"/>
        <v>Normal</v>
      </c>
      <c r="W1063" s="4" t="str">
        <f t="shared" si="67"/>
        <v>Good</v>
      </c>
      <c r="X1063" s="4">
        <f>AVERAGE(Table1[Purchase Amount])</f>
        <v>129.48419400000012</v>
      </c>
    </row>
    <row r="1064" spans="1:24" ht="15" customHeight="1" x14ac:dyDescent="0.25">
      <c r="A1064">
        <v>1063</v>
      </c>
      <c r="B1064">
        <v>59</v>
      </c>
      <c r="C1064" t="s">
        <v>27</v>
      </c>
      <c r="D1064" t="s">
        <v>151</v>
      </c>
      <c r="E1064" t="s">
        <v>98</v>
      </c>
      <c r="F1064" s="2">
        <v>75</v>
      </c>
      <c r="G1064" t="s">
        <v>90</v>
      </c>
      <c r="H1064" t="s">
        <v>31</v>
      </c>
      <c r="I1064" t="s">
        <v>60</v>
      </c>
      <c r="J1064" t="s">
        <v>47</v>
      </c>
      <c r="K1064">
        <v>2.6</v>
      </c>
      <c r="L1064" t="s">
        <v>23</v>
      </c>
      <c r="M1064" t="s">
        <v>79</v>
      </c>
      <c r="N1064" t="s">
        <v>34</v>
      </c>
      <c r="O1064">
        <v>21</v>
      </c>
      <c r="P1064" t="s">
        <v>36</v>
      </c>
      <c r="Q1064" t="s">
        <v>63</v>
      </c>
      <c r="R1064" s="1">
        <v>0.1</v>
      </c>
      <c r="S1064">
        <f t="shared" si="64"/>
        <v>67.5</v>
      </c>
      <c r="T1064">
        <f>IFERROR(VLOOKUP(A1064,Table1[[Customer ID]:[Discount Amount]], 6, FALSE),"Not Found")</f>
        <v>75</v>
      </c>
      <c r="U1064" t="str">
        <f t="shared" si="65"/>
        <v>Debit Card</v>
      </c>
      <c r="V1064" s="4" t="str">
        <f t="shared" si="66"/>
        <v>Normal</v>
      </c>
      <c r="W1064" s="4" t="str">
        <f t="shared" si="67"/>
        <v>Poor</v>
      </c>
      <c r="X1064" s="4">
        <f>AVERAGE(Table1[Purchase Amount])</f>
        <v>129.48419400000012</v>
      </c>
    </row>
    <row r="1065" spans="1:24" ht="15" customHeight="1" x14ac:dyDescent="0.25">
      <c r="A1065">
        <v>1064</v>
      </c>
      <c r="B1065">
        <v>62</v>
      </c>
      <c r="C1065" t="s">
        <v>27</v>
      </c>
      <c r="D1065" t="s">
        <v>83</v>
      </c>
      <c r="E1065" t="s">
        <v>18</v>
      </c>
      <c r="F1065" s="2">
        <v>29</v>
      </c>
      <c r="G1065" t="s">
        <v>51</v>
      </c>
      <c r="H1065" t="s">
        <v>55</v>
      </c>
      <c r="I1065" t="s">
        <v>91</v>
      </c>
      <c r="J1065" t="s">
        <v>57</v>
      </c>
      <c r="K1065">
        <v>3.3</v>
      </c>
      <c r="L1065" t="s">
        <v>23</v>
      </c>
      <c r="M1065" t="s">
        <v>35</v>
      </c>
      <c r="N1065" t="s">
        <v>34</v>
      </c>
      <c r="O1065">
        <v>35</v>
      </c>
      <c r="P1065" t="s">
        <v>25</v>
      </c>
      <c r="Q1065" t="s">
        <v>42</v>
      </c>
      <c r="R1065" s="1">
        <v>0.1</v>
      </c>
      <c r="S1065">
        <f t="shared" si="64"/>
        <v>26.1</v>
      </c>
      <c r="T1065">
        <f>IFERROR(VLOOKUP(A1065,Table1[[Customer ID]:[Discount Amount]], 6, FALSE),"Not Found")</f>
        <v>29</v>
      </c>
      <c r="U1065" t="str">
        <f t="shared" si="65"/>
        <v>Cash</v>
      </c>
      <c r="V1065" s="4" t="str">
        <f t="shared" si="66"/>
        <v>Normal</v>
      </c>
      <c r="W1065" s="4" t="str">
        <f t="shared" si="67"/>
        <v>Good</v>
      </c>
      <c r="X1065" s="4">
        <f>AVERAGE(Table1[Purchase Amount])</f>
        <v>129.48419400000012</v>
      </c>
    </row>
    <row r="1066" spans="1:24" ht="15" customHeight="1" x14ac:dyDescent="0.25">
      <c r="A1066">
        <v>1065</v>
      </c>
      <c r="B1066">
        <v>34</v>
      </c>
      <c r="C1066" t="s">
        <v>27</v>
      </c>
      <c r="D1066" t="s">
        <v>64</v>
      </c>
      <c r="E1066" t="s">
        <v>29</v>
      </c>
      <c r="F1066" s="2">
        <v>28</v>
      </c>
      <c r="G1066" t="s">
        <v>162</v>
      </c>
      <c r="H1066" t="s">
        <v>31</v>
      </c>
      <c r="I1066" t="s">
        <v>111</v>
      </c>
      <c r="J1066" t="s">
        <v>33</v>
      </c>
      <c r="K1066">
        <v>3.5</v>
      </c>
      <c r="L1066" t="s">
        <v>23</v>
      </c>
      <c r="M1066" t="s">
        <v>61</v>
      </c>
      <c r="N1066" t="s">
        <v>34</v>
      </c>
      <c r="O1066">
        <v>42</v>
      </c>
      <c r="P1066" t="s">
        <v>53</v>
      </c>
      <c r="Q1066" t="s">
        <v>63</v>
      </c>
      <c r="R1066" s="1">
        <v>0.1</v>
      </c>
      <c r="S1066">
        <f t="shared" si="64"/>
        <v>25.2</v>
      </c>
      <c r="T1066">
        <f>IFERROR(VLOOKUP(A1066,Table1[[Customer ID]:[Discount Amount]], 6, FALSE),"Not Found")</f>
        <v>28</v>
      </c>
      <c r="U1066" t="str">
        <f t="shared" si="65"/>
        <v>Credit Card</v>
      </c>
      <c r="V1066" s="4" t="str">
        <f t="shared" si="66"/>
        <v>Normal</v>
      </c>
      <c r="W1066" s="4" t="str">
        <f t="shared" si="67"/>
        <v>Good</v>
      </c>
      <c r="X1066" s="4">
        <f>AVERAGE(Table1[Purchase Amount])</f>
        <v>129.48419400000012</v>
      </c>
    </row>
    <row r="1067" spans="1:24" ht="15" customHeight="1" x14ac:dyDescent="0.25">
      <c r="A1067">
        <v>1066</v>
      </c>
      <c r="B1067">
        <v>59</v>
      </c>
      <c r="C1067" t="s">
        <v>27</v>
      </c>
      <c r="D1067" t="s">
        <v>17</v>
      </c>
      <c r="E1067" t="s">
        <v>18</v>
      </c>
      <c r="F1067" s="2">
        <v>20</v>
      </c>
      <c r="G1067" t="s">
        <v>51</v>
      </c>
      <c r="H1067" t="s">
        <v>20</v>
      </c>
      <c r="I1067" t="s">
        <v>74</v>
      </c>
      <c r="J1067" t="s">
        <v>33</v>
      </c>
      <c r="K1067">
        <v>4.0999999999999996</v>
      </c>
      <c r="L1067" t="s">
        <v>23</v>
      </c>
      <c r="M1067" t="s">
        <v>48</v>
      </c>
      <c r="N1067" t="s">
        <v>34</v>
      </c>
      <c r="O1067">
        <v>3</v>
      </c>
      <c r="P1067" t="s">
        <v>58</v>
      </c>
      <c r="Q1067" t="s">
        <v>63</v>
      </c>
      <c r="R1067" s="1">
        <v>0.1</v>
      </c>
      <c r="S1067">
        <f t="shared" si="64"/>
        <v>18</v>
      </c>
      <c r="T1067">
        <f>IFERROR(VLOOKUP(A1067,Table1[[Customer ID]:[Discount Amount]], 6, FALSE),"Not Found")</f>
        <v>20</v>
      </c>
      <c r="U1067" t="str">
        <f t="shared" si="65"/>
        <v>PayPal</v>
      </c>
      <c r="V1067" s="4" t="str">
        <f t="shared" si="66"/>
        <v>Normal</v>
      </c>
      <c r="W1067" s="4" t="str">
        <f t="shared" si="67"/>
        <v>Good</v>
      </c>
      <c r="X1067" s="4">
        <f>AVERAGE(Table1[Purchase Amount])</f>
        <v>129.48419400000012</v>
      </c>
    </row>
    <row r="1068" spans="1:24" ht="15" customHeight="1" x14ac:dyDescent="0.25">
      <c r="A1068">
        <v>1067</v>
      </c>
      <c r="B1068">
        <v>49</v>
      </c>
      <c r="C1068" t="s">
        <v>27</v>
      </c>
      <c r="D1068" t="s">
        <v>76</v>
      </c>
      <c r="E1068" t="s">
        <v>77</v>
      </c>
      <c r="F1068" s="2">
        <v>96</v>
      </c>
      <c r="G1068" t="s">
        <v>149</v>
      </c>
      <c r="H1068" t="s">
        <v>31</v>
      </c>
      <c r="I1068" t="s">
        <v>46</v>
      </c>
      <c r="J1068" t="s">
        <v>22</v>
      </c>
      <c r="K1068">
        <v>4</v>
      </c>
      <c r="L1068" t="s">
        <v>23</v>
      </c>
      <c r="M1068" t="s">
        <v>48</v>
      </c>
      <c r="N1068" t="s">
        <v>34</v>
      </c>
      <c r="O1068">
        <v>11</v>
      </c>
      <c r="P1068" t="s">
        <v>58</v>
      </c>
      <c r="Q1068" t="s">
        <v>68</v>
      </c>
      <c r="R1068" s="1">
        <v>0.1</v>
      </c>
      <c r="S1068">
        <f t="shared" si="64"/>
        <v>86.4</v>
      </c>
      <c r="T1068">
        <f>IFERROR(VLOOKUP(A1068,Table1[[Customer ID]:[Discount Amount]], 6, FALSE),"Not Found")</f>
        <v>96</v>
      </c>
      <c r="U1068" t="str">
        <f t="shared" si="65"/>
        <v>PayPal</v>
      </c>
      <c r="V1068" s="4" t="str">
        <f t="shared" si="66"/>
        <v>Normal</v>
      </c>
      <c r="W1068" s="4" t="str">
        <f t="shared" si="67"/>
        <v>Good</v>
      </c>
      <c r="X1068" s="4">
        <f>AVERAGE(Table1[Purchase Amount])</f>
        <v>129.48419400000012</v>
      </c>
    </row>
    <row r="1069" spans="1:24" ht="15" customHeight="1" x14ac:dyDescent="0.25">
      <c r="A1069">
        <v>1068</v>
      </c>
      <c r="B1069">
        <v>18</v>
      </c>
      <c r="C1069" t="s">
        <v>27</v>
      </c>
      <c r="D1069" t="s">
        <v>157</v>
      </c>
      <c r="E1069" t="s">
        <v>18</v>
      </c>
      <c r="F1069" s="2">
        <v>43</v>
      </c>
      <c r="G1069" t="s">
        <v>78</v>
      </c>
      <c r="H1069" t="s">
        <v>55</v>
      </c>
      <c r="I1069" t="s">
        <v>145</v>
      </c>
      <c r="J1069" t="s">
        <v>57</v>
      </c>
      <c r="K1069">
        <v>2.7</v>
      </c>
      <c r="L1069" t="s">
        <v>23</v>
      </c>
      <c r="M1069" t="s">
        <v>41</v>
      </c>
      <c r="N1069" t="s">
        <v>34</v>
      </c>
      <c r="O1069">
        <v>22</v>
      </c>
      <c r="P1069" t="s">
        <v>58</v>
      </c>
      <c r="Q1069" t="s">
        <v>37</v>
      </c>
      <c r="R1069" s="1">
        <v>0.1</v>
      </c>
      <c r="S1069">
        <f t="shared" si="64"/>
        <v>38.700000000000003</v>
      </c>
      <c r="T1069">
        <f>IFERROR(VLOOKUP(A1069,Table1[[Customer ID]:[Discount Amount]], 6, FALSE),"Not Found")</f>
        <v>43</v>
      </c>
      <c r="U1069" t="str">
        <f t="shared" si="65"/>
        <v>PayPal</v>
      </c>
      <c r="V1069" s="4" t="str">
        <f t="shared" si="66"/>
        <v>Normal</v>
      </c>
      <c r="W1069" s="4" t="str">
        <f t="shared" si="67"/>
        <v>Poor</v>
      </c>
      <c r="X1069" s="4">
        <f>AVERAGE(Table1[Purchase Amount])</f>
        <v>129.48419400000012</v>
      </c>
    </row>
    <row r="1070" spans="1:24" ht="15" customHeight="1" x14ac:dyDescent="0.25">
      <c r="A1070">
        <v>1069</v>
      </c>
      <c r="B1070">
        <v>55</v>
      </c>
      <c r="C1070" t="s">
        <v>27</v>
      </c>
      <c r="D1070" t="s">
        <v>38</v>
      </c>
      <c r="E1070" t="s">
        <v>18</v>
      </c>
      <c r="F1070" s="2">
        <v>94</v>
      </c>
      <c r="G1070" t="s">
        <v>162</v>
      </c>
      <c r="H1070" t="s">
        <v>31</v>
      </c>
      <c r="I1070" t="s">
        <v>21</v>
      </c>
      <c r="J1070" t="s">
        <v>47</v>
      </c>
      <c r="K1070">
        <v>2.5</v>
      </c>
      <c r="L1070" t="s">
        <v>23</v>
      </c>
      <c r="M1070" t="s">
        <v>24</v>
      </c>
      <c r="N1070" t="s">
        <v>34</v>
      </c>
      <c r="O1070">
        <v>47</v>
      </c>
      <c r="P1070" t="s">
        <v>53</v>
      </c>
      <c r="Q1070" t="s">
        <v>26</v>
      </c>
      <c r="R1070" s="1">
        <v>0.1</v>
      </c>
      <c r="S1070">
        <f t="shared" si="64"/>
        <v>84.6</v>
      </c>
      <c r="T1070">
        <f>IFERROR(VLOOKUP(A1070,Table1[[Customer ID]:[Discount Amount]], 6, FALSE),"Not Found")</f>
        <v>94</v>
      </c>
      <c r="U1070" t="str">
        <f t="shared" si="65"/>
        <v>Credit Card</v>
      </c>
      <c r="V1070" s="4" t="str">
        <f t="shared" si="66"/>
        <v>Normal</v>
      </c>
      <c r="W1070" s="4" t="str">
        <f t="shared" si="67"/>
        <v>Poor</v>
      </c>
      <c r="X1070" s="4">
        <f>AVERAGE(Table1[Purchase Amount])</f>
        <v>129.48419400000012</v>
      </c>
    </row>
    <row r="1071" spans="1:24" ht="15" customHeight="1" x14ac:dyDescent="0.25">
      <c r="A1071">
        <v>1070</v>
      </c>
      <c r="B1071">
        <v>38</v>
      </c>
      <c r="C1071" t="s">
        <v>27</v>
      </c>
      <c r="D1071" t="s">
        <v>122</v>
      </c>
      <c r="E1071" t="s">
        <v>18</v>
      </c>
      <c r="F1071" s="2">
        <v>81</v>
      </c>
      <c r="G1071" t="s">
        <v>106</v>
      </c>
      <c r="H1071" t="s">
        <v>20</v>
      </c>
      <c r="I1071" t="s">
        <v>32</v>
      </c>
      <c r="J1071" t="s">
        <v>47</v>
      </c>
      <c r="K1071">
        <v>4.3</v>
      </c>
      <c r="L1071" t="s">
        <v>23</v>
      </c>
      <c r="M1071" t="s">
        <v>79</v>
      </c>
      <c r="N1071" t="s">
        <v>34</v>
      </c>
      <c r="O1071">
        <v>33</v>
      </c>
      <c r="P1071" t="s">
        <v>62</v>
      </c>
      <c r="Q1071" t="s">
        <v>63</v>
      </c>
      <c r="R1071" s="1">
        <v>0.1</v>
      </c>
      <c r="S1071">
        <f t="shared" si="64"/>
        <v>72.900000000000006</v>
      </c>
      <c r="T1071">
        <f>IFERROR(VLOOKUP(A1071,Table1[[Customer ID]:[Discount Amount]], 6, FALSE),"Not Found")</f>
        <v>81</v>
      </c>
      <c r="U1071" t="str">
        <f t="shared" si="65"/>
        <v>Venmo</v>
      </c>
      <c r="V1071" s="4" t="str">
        <f t="shared" si="66"/>
        <v>Normal</v>
      </c>
      <c r="W1071" s="4" t="str">
        <f t="shared" si="67"/>
        <v>Good</v>
      </c>
      <c r="X1071" s="4">
        <f>AVERAGE(Table1[Purchase Amount])</f>
        <v>129.48419400000012</v>
      </c>
    </row>
    <row r="1072" spans="1:24" ht="15" customHeight="1" x14ac:dyDescent="0.25">
      <c r="A1072">
        <v>1071</v>
      </c>
      <c r="B1072">
        <v>50</v>
      </c>
      <c r="C1072" t="s">
        <v>27</v>
      </c>
      <c r="D1072" t="s">
        <v>50</v>
      </c>
      <c r="E1072" t="s">
        <v>29</v>
      </c>
      <c r="F1072" s="2">
        <v>75</v>
      </c>
      <c r="G1072" t="s">
        <v>134</v>
      </c>
      <c r="H1072" t="s">
        <v>31</v>
      </c>
      <c r="I1072" t="s">
        <v>87</v>
      </c>
      <c r="J1072" t="s">
        <v>57</v>
      </c>
      <c r="K1072">
        <v>3.3</v>
      </c>
      <c r="L1072" t="s">
        <v>23</v>
      </c>
      <c r="M1072" t="s">
        <v>35</v>
      </c>
      <c r="N1072" t="s">
        <v>34</v>
      </c>
      <c r="O1072">
        <v>50</v>
      </c>
      <c r="P1072" t="s">
        <v>36</v>
      </c>
      <c r="Q1072" t="s">
        <v>26</v>
      </c>
      <c r="R1072" s="1">
        <v>0.1</v>
      </c>
      <c r="S1072">
        <f t="shared" si="64"/>
        <v>67.5</v>
      </c>
      <c r="T1072">
        <f>IFERROR(VLOOKUP(A1072,Table1[[Customer ID]:[Discount Amount]], 6, FALSE),"Not Found")</f>
        <v>75</v>
      </c>
      <c r="U1072" t="str">
        <f t="shared" si="65"/>
        <v>Debit Card</v>
      </c>
      <c r="V1072" s="4" t="str">
        <f t="shared" si="66"/>
        <v>Normal</v>
      </c>
      <c r="W1072" s="4" t="str">
        <f t="shared" si="67"/>
        <v>Good</v>
      </c>
      <c r="X1072" s="4">
        <f>AVERAGE(Table1[Purchase Amount])</f>
        <v>129.48419400000012</v>
      </c>
    </row>
    <row r="1073" spans="1:24" ht="15" customHeight="1" x14ac:dyDescent="0.25">
      <c r="A1073">
        <v>1072</v>
      </c>
      <c r="B1073">
        <v>61</v>
      </c>
      <c r="C1073" t="s">
        <v>27</v>
      </c>
      <c r="D1073" t="s">
        <v>64</v>
      </c>
      <c r="E1073" t="s">
        <v>29</v>
      </c>
      <c r="F1073" s="2">
        <v>81</v>
      </c>
      <c r="G1073" t="s">
        <v>78</v>
      </c>
      <c r="H1073" t="s">
        <v>31</v>
      </c>
      <c r="I1073" t="s">
        <v>56</v>
      </c>
      <c r="J1073" t="s">
        <v>57</v>
      </c>
      <c r="K1073">
        <v>2.6</v>
      </c>
      <c r="L1073" t="s">
        <v>23</v>
      </c>
      <c r="M1073" t="s">
        <v>61</v>
      </c>
      <c r="N1073" t="s">
        <v>34</v>
      </c>
      <c r="O1073">
        <v>46</v>
      </c>
      <c r="P1073" t="s">
        <v>53</v>
      </c>
      <c r="Q1073" t="s">
        <v>42</v>
      </c>
      <c r="R1073" s="1">
        <v>0.1</v>
      </c>
      <c r="S1073">
        <f t="shared" si="64"/>
        <v>72.900000000000006</v>
      </c>
      <c r="T1073">
        <f>IFERROR(VLOOKUP(A1073,Table1[[Customer ID]:[Discount Amount]], 6, FALSE),"Not Found")</f>
        <v>81</v>
      </c>
      <c r="U1073" t="str">
        <f t="shared" si="65"/>
        <v>Credit Card</v>
      </c>
      <c r="V1073" s="4" t="str">
        <f t="shared" si="66"/>
        <v>Normal</v>
      </c>
      <c r="W1073" s="4" t="str">
        <f t="shared" si="67"/>
        <v>Poor</v>
      </c>
      <c r="X1073" s="4">
        <f>AVERAGE(Table1[Purchase Amount])</f>
        <v>129.48419400000012</v>
      </c>
    </row>
    <row r="1074" spans="1:24" ht="15" customHeight="1" x14ac:dyDescent="0.25">
      <c r="A1074">
        <v>1073</v>
      </c>
      <c r="B1074">
        <v>48</v>
      </c>
      <c r="C1074" t="s">
        <v>27</v>
      </c>
      <c r="D1074" t="s">
        <v>54</v>
      </c>
      <c r="E1074" t="s">
        <v>18</v>
      </c>
      <c r="F1074" s="2">
        <v>92</v>
      </c>
      <c r="G1074" t="s">
        <v>161</v>
      </c>
      <c r="H1074" t="s">
        <v>45</v>
      </c>
      <c r="I1074" t="s">
        <v>133</v>
      </c>
      <c r="J1074" t="s">
        <v>47</v>
      </c>
      <c r="K1074">
        <v>1</v>
      </c>
      <c r="L1074" t="s">
        <v>23</v>
      </c>
      <c r="M1074" t="s">
        <v>61</v>
      </c>
      <c r="N1074" t="s">
        <v>34</v>
      </c>
      <c r="O1074">
        <v>34</v>
      </c>
      <c r="P1074" t="s">
        <v>36</v>
      </c>
      <c r="Q1074" t="s">
        <v>89</v>
      </c>
      <c r="R1074" s="1">
        <v>0.1</v>
      </c>
      <c r="S1074">
        <f t="shared" si="64"/>
        <v>82.8</v>
      </c>
      <c r="T1074">
        <f>IFERROR(VLOOKUP(A1074,Table1[[Customer ID]:[Discount Amount]], 6, FALSE),"Not Found")</f>
        <v>92</v>
      </c>
      <c r="U1074" t="str">
        <f t="shared" si="65"/>
        <v>Debit Card</v>
      </c>
      <c r="V1074" s="4" t="str">
        <f t="shared" si="66"/>
        <v>Normal</v>
      </c>
      <c r="W1074" s="4" t="str">
        <f t="shared" si="67"/>
        <v>Poor</v>
      </c>
      <c r="X1074" s="4">
        <f>AVERAGE(Table1[Purchase Amount])</f>
        <v>129.48419400000012</v>
      </c>
    </row>
    <row r="1075" spans="1:24" ht="15" customHeight="1" x14ac:dyDescent="0.25">
      <c r="A1075">
        <v>1074</v>
      </c>
      <c r="B1075">
        <v>22</v>
      </c>
      <c r="C1075" t="s">
        <v>27</v>
      </c>
      <c r="D1075" t="s">
        <v>129</v>
      </c>
      <c r="E1075" t="s">
        <v>29</v>
      </c>
      <c r="F1075" s="2">
        <v>96</v>
      </c>
      <c r="G1075" t="s">
        <v>19</v>
      </c>
      <c r="H1075" t="s">
        <v>20</v>
      </c>
      <c r="I1075" t="s">
        <v>66</v>
      </c>
      <c r="J1075" t="s">
        <v>33</v>
      </c>
      <c r="K1075">
        <v>4</v>
      </c>
      <c r="L1075" t="s">
        <v>23</v>
      </c>
      <c r="M1075" t="s">
        <v>48</v>
      </c>
      <c r="N1075" t="s">
        <v>34</v>
      </c>
      <c r="O1075">
        <v>33</v>
      </c>
      <c r="P1075" t="s">
        <v>53</v>
      </c>
      <c r="Q1075" t="s">
        <v>42</v>
      </c>
      <c r="R1075" s="1">
        <v>0.1</v>
      </c>
      <c r="S1075">
        <f t="shared" si="64"/>
        <v>86.4</v>
      </c>
      <c r="T1075">
        <f>IFERROR(VLOOKUP(A1075,Table1[[Customer ID]:[Discount Amount]], 6, FALSE),"Not Found")</f>
        <v>96</v>
      </c>
      <c r="U1075" t="str">
        <f t="shared" si="65"/>
        <v>Credit Card</v>
      </c>
      <c r="V1075" s="4" t="str">
        <f t="shared" si="66"/>
        <v>Normal</v>
      </c>
      <c r="W1075" s="4" t="str">
        <f t="shared" si="67"/>
        <v>Good</v>
      </c>
      <c r="X1075" s="4">
        <f>AVERAGE(Table1[Purchase Amount])</f>
        <v>129.48419400000012</v>
      </c>
    </row>
    <row r="1076" spans="1:24" ht="15" customHeight="1" x14ac:dyDescent="0.25">
      <c r="A1076">
        <v>1075</v>
      </c>
      <c r="B1076">
        <v>48</v>
      </c>
      <c r="C1076" t="s">
        <v>27</v>
      </c>
      <c r="D1076" t="s">
        <v>50</v>
      </c>
      <c r="E1076" t="s">
        <v>29</v>
      </c>
      <c r="F1076" s="2">
        <v>71</v>
      </c>
      <c r="G1076" t="s">
        <v>65</v>
      </c>
      <c r="H1076" t="s">
        <v>55</v>
      </c>
      <c r="I1076" t="s">
        <v>32</v>
      </c>
      <c r="J1076" t="s">
        <v>47</v>
      </c>
      <c r="K1076">
        <v>2.6</v>
      </c>
      <c r="L1076" t="s">
        <v>23</v>
      </c>
      <c r="M1076" t="s">
        <v>24</v>
      </c>
      <c r="N1076" t="s">
        <v>34</v>
      </c>
      <c r="O1076">
        <v>45</v>
      </c>
      <c r="P1076" t="s">
        <v>88</v>
      </c>
      <c r="Q1076" t="s">
        <v>89</v>
      </c>
      <c r="R1076" s="1">
        <v>0.1</v>
      </c>
      <c r="S1076">
        <f t="shared" si="64"/>
        <v>63.9</v>
      </c>
      <c r="T1076">
        <f>IFERROR(VLOOKUP(A1076,Table1[[Customer ID]:[Discount Amount]], 6, FALSE),"Not Found")</f>
        <v>71</v>
      </c>
      <c r="U1076" t="str">
        <f t="shared" si="65"/>
        <v>Bank Transfer</v>
      </c>
      <c r="V1076" s="4" t="str">
        <f t="shared" si="66"/>
        <v>Normal</v>
      </c>
      <c r="W1076" s="4" t="str">
        <f t="shared" si="67"/>
        <v>Poor</v>
      </c>
      <c r="X1076" s="4">
        <f>AVERAGE(Table1[Purchase Amount])</f>
        <v>129.48419400000012</v>
      </c>
    </row>
    <row r="1077" spans="1:24" ht="15" customHeight="1" x14ac:dyDescent="0.25">
      <c r="A1077">
        <v>1076</v>
      </c>
      <c r="B1077">
        <v>57</v>
      </c>
      <c r="C1077" t="s">
        <v>27</v>
      </c>
      <c r="D1077" t="s">
        <v>28</v>
      </c>
      <c r="E1077" t="s">
        <v>29</v>
      </c>
      <c r="F1077" s="2">
        <v>50</v>
      </c>
      <c r="G1077" t="s">
        <v>146</v>
      </c>
      <c r="H1077" t="s">
        <v>45</v>
      </c>
      <c r="I1077" t="s">
        <v>91</v>
      </c>
      <c r="J1077" t="s">
        <v>57</v>
      </c>
      <c r="K1077">
        <v>4.9000000000000004</v>
      </c>
      <c r="L1077" t="s">
        <v>23</v>
      </c>
      <c r="M1077" t="s">
        <v>79</v>
      </c>
      <c r="N1077" t="s">
        <v>34</v>
      </c>
      <c r="O1077">
        <v>32</v>
      </c>
      <c r="P1077" t="s">
        <v>36</v>
      </c>
      <c r="Q1077" t="s">
        <v>68</v>
      </c>
      <c r="R1077" s="1">
        <v>0.1</v>
      </c>
      <c r="S1077">
        <f t="shared" si="64"/>
        <v>45</v>
      </c>
      <c r="T1077">
        <f>IFERROR(VLOOKUP(A1077,Table1[[Customer ID]:[Discount Amount]], 6, FALSE),"Not Found")</f>
        <v>50</v>
      </c>
      <c r="U1077" t="str">
        <f t="shared" si="65"/>
        <v>Debit Card</v>
      </c>
      <c r="V1077" s="4" t="str">
        <f t="shared" si="66"/>
        <v>Normal</v>
      </c>
      <c r="W1077" s="4" t="str">
        <f t="shared" si="67"/>
        <v>Good</v>
      </c>
      <c r="X1077" s="4">
        <f>AVERAGE(Table1[Purchase Amount])</f>
        <v>129.48419400000012</v>
      </c>
    </row>
    <row r="1078" spans="1:24" ht="15" customHeight="1" x14ac:dyDescent="0.25">
      <c r="A1078">
        <v>1077</v>
      </c>
      <c r="B1078">
        <v>33</v>
      </c>
      <c r="C1078" t="s">
        <v>27</v>
      </c>
      <c r="D1078" t="s">
        <v>76</v>
      </c>
      <c r="E1078" t="s">
        <v>77</v>
      </c>
      <c r="F1078" s="2">
        <v>72</v>
      </c>
      <c r="G1078" t="s">
        <v>86</v>
      </c>
      <c r="H1078" t="s">
        <v>45</v>
      </c>
      <c r="I1078" t="s">
        <v>103</v>
      </c>
      <c r="J1078" t="s">
        <v>33</v>
      </c>
      <c r="K1078">
        <v>2.9</v>
      </c>
      <c r="L1078" t="s">
        <v>23</v>
      </c>
      <c r="M1078" t="s">
        <v>24</v>
      </c>
      <c r="N1078" t="s">
        <v>34</v>
      </c>
      <c r="O1078">
        <v>47</v>
      </c>
      <c r="P1078" t="s">
        <v>62</v>
      </c>
      <c r="Q1078" t="s">
        <v>68</v>
      </c>
      <c r="R1078" s="1">
        <v>0.1</v>
      </c>
      <c r="S1078">
        <f t="shared" si="64"/>
        <v>64.8</v>
      </c>
      <c r="T1078">
        <f>IFERROR(VLOOKUP(A1078,Table1[[Customer ID]:[Discount Amount]], 6, FALSE),"Not Found")</f>
        <v>72</v>
      </c>
      <c r="U1078" t="str">
        <f t="shared" si="65"/>
        <v>Venmo</v>
      </c>
      <c r="V1078" s="4" t="str">
        <f t="shared" si="66"/>
        <v>Normal</v>
      </c>
      <c r="W1078" s="4" t="str">
        <f t="shared" si="67"/>
        <v>Poor</v>
      </c>
      <c r="X1078" s="4">
        <f>AVERAGE(Table1[Purchase Amount])</f>
        <v>129.48419400000012</v>
      </c>
    </row>
    <row r="1079" spans="1:24" ht="15" customHeight="1" x14ac:dyDescent="0.25">
      <c r="A1079">
        <v>1078</v>
      </c>
      <c r="B1079">
        <v>58</v>
      </c>
      <c r="C1079" t="s">
        <v>27</v>
      </c>
      <c r="D1079" t="s">
        <v>96</v>
      </c>
      <c r="E1079" t="s">
        <v>77</v>
      </c>
      <c r="F1079" s="2">
        <v>28</v>
      </c>
      <c r="G1079" t="s">
        <v>154</v>
      </c>
      <c r="H1079" t="s">
        <v>31</v>
      </c>
      <c r="I1079" t="s">
        <v>136</v>
      </c>
      <c r="J1079" t="s">
        <v>22</v>
      </c>
      <c r="K1079">
        <v>3.7</v>
      </c>
      <c r="L1079" t="s">
        <v>23</v>
      </c>
      <c r="M1079" t="s">
        <v>24</v>
      </c>
      <c r="N1079" t="s">
        <v>34</v>
      </c>
      <c r="O1079">
        <v>5</v>
      </c>
      <c r="P1079" t="s">
        <v>58</v>
      </c>
      <c r="Q1079" t="s">
        <v>37</v>
      </c>
      <c r="R1079" s="1">
        <v>0.1</v>
      </c>
      <c r="S1079">
        <f t="shared" si="64"/>
        <v>25.2</v>
      </c>
      <c r="T1079">
        <f>IFERROR(VLOOKUP(A1079,Table1[[Customer ID]:[Discount Amount]], 6, FALSE),"Not Found")</f>
        <v>28</v>
      </c>
      <c r="U1079" t="str">
        <f t="shared" si="65"/>
        <v>PayPal</v>
      </c>
      <c r="V1079" s="4" t="str">
        <f t="shared" si="66"/>
        <v>Normal</v>
      </c>
      <c r="W1079" s="4" t="str">
        <f t="shared" si="67"/>
        <v>Good</v>
      </c>
      <c r="X1079" s="4">
        <f>AVERAGE(Table1[Purchase Amount])</f>
        <v>129.48419400000012</v>
      </c>
    </row>
    <row r="1080" spans="1:24" ht="15" customHeight="1" x14ac:dyDescent="0.25">
      <c r="A1080">
        <v>1079</v>
      </c>
      <c r="B1080">
        <v>37</v>
      </c>
      <c r="C1080" t="s">
        <v>27</v>
      </c>
      <c r="D1080" t="s">
        <v>127</v>
      </c>
      <c r="E1080" t="s">
        <v>18</v>
      </c>
      <c r="F1080" s="2">
        <v>59</v>
      </c>
      <c r="G1080" t="s">
        <v>150</v>
      </c>
      <c r="H1080" t="s">
        <v>31</v>
      </c>
      <c r="I1080" t="s">
        <v>153</v>
      </c>
      <c r="J1080" t="s">
        <v>47</v>
      </c>
      <c r="K1080">
        <v>4.4000000000000004</v>
      </c>
      <c r="L1080" t="s">
        <v>23</v>
      </c>
      <c r="M1080" t="s">
        <v>61</v>
      </c>
      <c r="N1080" t="s">
        <v>34</v>
      </c>
      <c r="O1080">
        <v>49</v>
      </c>
      <c r="P1080" t="s">
        <v>53</v>
      </c>
      <c r="Q1080" t="s">
        <v>89</v>
      </c>
      <c r="R1080" s="1">
        <v>0.1</v>
      </c>
      <c r="S1080">
        <f t="shared" si="64"/>
        <v>53.1</v>
      </c>
      <c r="T1080">
        <f>IFERROR(VLOOKUP(A1080,Table1[[Customer ID]:[Discount Amount]], 6, FALSE),"Not Found")</f>
        <v>59</v>
      </c>
      <c r="U1080" t="str">
        <f t="shared" si="65"/>
        <v>Credit Card</v>
      </c>
      <c r="V1080" s="4" t="str">
        <f t="shared" si="66"/>
        <v>Normal</v>
      </c>
      <c r="W1080" s="4" t="str">
        <f t="shared" si="67"/>
        <v>Good</v>
      </c>
      <c r="X1080" s="4">
        <f>AVERAGE(Table1[Purchase Amount])</f>
        <v>129.48419400000012</v>
      </c>
    </row>
    <row r="1081" spans="1:24" ht="15" customHeight="1" x14ac:dyDescent="0.25">
      <c r="A1081">
        <v>1080</v>
      </c>
      <c r="B1081">
        <v>18</v>
      </c>
      <c r="C1081" t="s">
        <v>27</v>
      </c>
      <c r="D1081" t="s">
        <v>76</v>
      </c>
      <c r="E1081" t="s">
        <v>77</v>
      </c>
      <c r="F1081" s="2">
        <v>33</v>
      </c>
      <c r="G1081" t="s">
        <v>142</v>
      </c>
      <c r="H1081" t="s">
        <v>55</v>
      </c>
      <c r="I1081" t="s">
        <v>74</v>
      </c>
      <c r="J1081" t="s">
        <v>57</v>
      </c>
      <c r="K1081">
        <v>4.4000000000000004</v>
      </c>
      <c r="L1081" t="s">
        <v>23</v>
      </c>
      <c r="M1081" t="s">
        <v>35</v>
      </c>
      <c r="N1081" t="s">
        <v>34</v>
      </c>
      <c r="O1081">
        <v>48</v>
      </c>
      <c r="P1081" t="s">
        <v>88</v>
      </c>
      <c r="Q1081" t="s">
        <v>42</v>
      </c>
      <c r="R1081" s="1">
        <v>0.1</v>
      </c>
      <c r="S1081">
        <f t="shared" si="64"/>
        <v>29.7</v>
      </c>
      <c r="T1081">
        <f>IFERROR(VLOOKUP(A1081,Table1[[Customer ID]:[Discount Amount]], 6, FALSE),"Not Found")</f>
        <v>33</v>
      </c>
      <c r="U1081" t="str">
        <f t="shared" si="65"/>
        <v>Bank Transfer</v>
      </c>
      <c r="V1081" s="4" t="str">
        <f t="shared" si="66"/>
        <v>Normal</v>
      </c>
      <c r="W1081" s="4" t="str">
        <f t="shared" si="67"/>
        <v>Good</v>
      </c>
      <c r="X1081" s="4">
        <f>AVERAGE(Table1[Purchase Amount])</f>
        <v>129.48419400000012</v>
      </c>
    </row>
    <row r="1082" spans="1:24" ht="15" customHeight="1" x14ac:dyDescent="0.25">
      <c r="A1082">
        <v>1081</v>
      </c>
      <c r="B1082">
        <v>65</v>
      </c>
      <c r="C1082" t="s">
        <v>27</v>
      </c>
      <c r="D1082" t="s">
        <v>129</v>
      </c>
      <c r="E1082" t="s">
        <v>29</v>
      </c>
      <c r="F1082" s="2">
        <v>59</v>
      </c>
      <c r="G1082" t="s">
        <v>78</v>
      </c>
      <c r="H1082" t="s">
        <v>45</v>
      </c>
      <c r="I1082" t="s">
        <v>74</v>
      </c>
      <c r="J1082" t="s">
        <v>47</v>
      </c>
      <c r="K1082">
        <v>3.8</v>
      </c>
      <c r="L1082" t="s">
        <v>23</v>
      </c>
      <c r="M1082" t="s">
        <v>61</v>
      </c>
      <c r="N1082" t="s">
        <v>34</v>
      </c>
      <c r="O1082">
        <v>22</v>
      </c>
      <c r="P1082" t="s">
        <v>25</v>
      </c>
      <c r="Q1082" t="s">
        <v>63</v>
      </c>
      <c r="R1082" s="1">
        <v>0.1</v>
      </c>
      <c r="S1082">
        <f t="shared" si="64"/>
        <v>53.1</v>
      </c>
      <c r="T1082">
        <f>IFERROR(VLOOKUP(A1082,Table1[[Customer ID]:[Discount Amount]], 6, FALSE),"Not Found")</f>
        <v>59</v>
      </c>
      <c r="U1082" t="str">
        <f t="shared" si="65"/>
        <v>Cash</v>
      </c>
      <c r="V1082" s="4" t="str">
        <f t="shared" si="66"/>
        <v>Normal</v>
      </c>
      <c r="W1082" s="4" t="str">
        <f t="shared" si="67"/>
        <v>Good</v>
      </c>
      <c r="X1082" s="4">
        <f>AVERAGE(Table1[Purchase Amount])</f>
        <v>129.48419400000012</v>
      </c>
    </row>
    <row r="1083" spans="1:24" ht="15" customHeight="1" x14ac:dyDescent="0.25">
      <c r="A1083">
        <v>1082</v>
      </c>
      <c r="B1083">
        <v>62</v>
      </c>
      <c r="C1083" t="s">
        <v>27</v>
      </c>
      <c r="D1083" t="s">
        <v>114</v>
      </c>
      <c r="E1083" t="s">
        <v>29</v>
      </c>
      <c r="F1083" s="2">
        <v>30</v>
      </c>
      <c r="G1083" t="s">
        <v>161</v>
      </c>
      <c r="H1083" t="s">
        <v>20</v>
      </c>
      <c r="I1083" t="s">
        <v>60</v>
      </c>
      <c r="J1083" t="s">
        <v>33</v>
      </c>
      <c r="K1083">
        <v>4.5</v>
      </c>
      <c r="L1083" t="s">
        <v>23</v>
      </c>
      <c r="M1083" t="s">
        <v>24</v>
      </c>
      <c r="N1083" t="s">
        <v>34</v>
      </c>
      <c r="O1083">
        <v>45</v>
      </c>
      <c r="P1083" t="s">
        <v>53</v>
      </c>
      <c r="Q1083" t="s">
        <v>49</v>
      </c>
      <c r="R1083" s="1">
        <v>0.1</v>
      </c>
      <c r="S1083">
        <f t="shared" si="64"/>
        <v>27</v>
      </c>
      <c r="T1083">
        <f>IFERROR(VLOOKUP(A1083,Table1[[Customer ID]:[Discount Amount]], 6, FALSE),"Not Found")</f>
        <v>30</v>
      </c>
      <c r="U1083" t="str">
        <f t="shared" si="65"/>
        <v>Credit Card</v>
      </c>
      <c r="V1083" s="4" t="str">
        <f t="shared" si="66"/>
        <v>Normal</v>
      </c>
      <c r="W1083" s="4" t="str">
        <f t="shared" si="67"/>
        <v>Good</v>
      </c>
      <c r="X1083" s="4">
        <f>AVERAGE(Table1[Purchase Amount])</f>
        <v>129.48419400000012</v>
      </c>
    </row>
    <row r="1084" spans="1:24" ht="15" customHeight="1" x14ac:dyDescent="0.25">
      <c r="A1084">
        <v>1083</v>
      </c>
      <c r="B1084">
        <v>54</v>
      </c>
      <c r="C1084" t="s">
        <v>27</v>
      </c>
      <c r="D1084" t="s">
        <v>64</v>
      </c>
      <c r="E1084" t="s">
        <v>29</v>
      </c>
      <c r="F1084" s="2">
        <v>85</v>
      </c>
      <c r="G1084" t="s">
        <v>30</v>
      </c>
      <c r="H1084" t="s">
        <v>20</v>
      </c>
      <c r="I1084" t="s">
        <v>128</v>
      </c>
      <c r="J1084" t="s">
        <v>22</v>
      </c>
      <c r="K1084">
        <v>2.6</v>
      </c>
      <c r="L1084" t="s">
        <v>23</v>
      </c>
      <c r="M1084" t="s">
        <v>79</v>
      </c>
      <c r="N1084" t="s">
        <v>34</v>
      </c>
      <c r="O1084">
        <v>30</v>
      </c>
      <c r="P1084" t="s">
        <v>62</v>
      </c>
      <c r="Q1084" t="s">
        <v>37</v>
      </c>
      <c r="R1084" s="1">
        <v>0.1</v>
      </c>
      <c r="S1084">
        <f t="shared" si="64"/>
        <v>76.5</v>
      </c>
      <c r="T1084">
        <f>IFERROR(VLOOKUP(A1084,Table1[[Customer ID]:[Discount Amount]], 6, FALSE),"Not Found")</f>
        <v>85</v>
      </c>
      <c r="U1084" t="str">
        <f t="shared" si="65"/>
        <v>Venmo</v>
      </c>
      <c r="V1084" s="4" t="str">
        <f t="shared" si="66"/>
        <v>Normal</v>
      </c>
      <c r="W1084" s="4" t="str">
        <f t="shared" si="67"/>
        <v>Poor</v>
      </c>
      <c r="X1084" s="4">
        <f>AVERAGE(Table1[Purchase Amount])</f>
        <v>129.48419400000012</v>
      </c>
    </row>
    <row r="1085" spans="1:24" ht="15" customHeight="1" x14ac:dyDescent="0.25">
      <c r="A1085">
        <v>1084</v>
      </c>
      <c r="B1085">
        <v>35</v>
      </c>
      <c r="C1085" t="s">
        <v>27</v>
      </c>
      <c r="D1085" t="s">
        <v>104</v>
      </c>
      <c r="E1085" t="s">
        <v>29</v>
      </c>
      <c r="F1085" s="2">
        <v>97</v>
      </c>
      <c r="G1085" t="s">
        <v>155</v>
      </c>
      <c r="H1085" t="s">
        <v>45</v>
      </c>
      <c r="I1085" t="s">
        <v>147</v>
      </c>
      <c r="J1085" t="s">
        <v>57</v>
      </c>
      <c r="K1085">
        <v>3.3</v>
      </c>
      <c r="L1085" t="s">
        <v>23</v>
      </c>
      <c r="M1085" t="s">
        <v>48</v>
      </c>
      <c r="N1085" t="s">
        <v>34</v>
      </c>
      <c r="O1085">
        <v>43</v>
      </c>
      <c r="P1085" t="s">
        <v>25</v>
      </c>
      <c r="Q1085" t="s">
        <v>26</v>
      </c>
      <c r="R1085" s="1">
        <v>0.1</v>
      </c>
      <c r="S1085">
        <f t="shared" si="64"/>
        <v>87.3</v>
      </c>
      <c r="T1085">
        <f>IFERROR(VLOOKUP(A1085,Table1[[Customer ID]:[Discount Amount]], 6, FALSE),"Not Found")</f>
        <v>97</v>
      </c>
      <c r="U1085" t="str">
        <f t="shared" si="65"/>
        <v>Cash</v>
      </c>
      <c r="V1085" s="4" t="str">
        <f t="shared" si="66"/>
        <v>Normal</v>
      </c>
      <c r="W1085" s="4" t="str">
        <f t="shared" si="67"/>
        <v>Good</v>
      </c>
      <c r="X1085" s="4">
        <f>AVERAGE(Table1[Purchase Amount])</f>
        <v>129.48419400000012</v>
      </c>
    </row>
    <row r="1086" spans="1:24" ht="15" customHeight="1" x14ac:dyDescent="0.25">
      <c r="A1086">
        <v>1085</v>
      </c>
      <c r="B1086">
        <v>34</v>
      </c>
      <c r="C1086" t="s">
        <v>27</v>
      </c>
      <c r="D1086" t="s">
        <v>17</v>
      </c>
      <c r="E1086" t="s">
        <v>18</v>
      </c>
      <c r="F1086" s="2">
        <v>36</v>
      </c>
      <c r="G1086" t="s">
        <v>100</v>
      </c>
      <c r="H1086" t="s">
        <v>55</v>
      </c>
      <c r="I1086" t="s">
        <v>66</v>
      </c>
      <c r="J1086" t="s">
        <v>47</v>
      </c>
      <c r="K1086">
        <v>4.0999999999999996</v>
      </c>
      <c r="L1086" t="s">
        <v>23</v>
      </c>
      <c r="M1086" t="s">
        <v>79</v>
      </c>
      <c r="N1086" t="s">
        <v>34</v>
      </c>
      <c r="O1086">
        <v>48</v>
      </c>
      <c r="P1086" t="s">
        <v>25</v>
      </c>
      <c r="Q1086" t="s">
        <v>37</v>
      </c>
      <c r="R1086" s="1">
        <v>0.1</v>
      </c>
      <c r="S1086">
        <f t="shared" si="64"/>
        <v>32.4</v>
      </c>
      <c r="T1086">
        <f>IFERROR(VLOOKUP(A1086,Table1[[Customer ID]:[Discount Amount]], 6, FALSE),"Not Found")</f>
        <v>36</v>
      </c>
      <c r="U1086" t="str">
        <f t="shared" si="65"/>
        <v>Cash</v>
      </c>
      <c r="V1086" s="4" t="str">
        <f t="shared" si="66"/>
        <v>Normal</v>
      </c>
      <c r="W1086" s="4" t="str">
        <f t="shared" si="67"/>
        <v>Good</v>
      </c>
      <c r="X1086" s="4">
        <f>AVERAGE(Table1[Purchase Amount])</f>
        <v>129.48419400000012</v>
      </c>
    </row>
    <row r="1087" spans="1:24" ht="15" customHeight="1" x14ac:dyDescent="0.25">
      <c r="A1087">
        <v>1086</v>
      </c>
      <c r="B1087">
        <v>25</v>
      </c>
      <c r="C1087" t="s">
        <v>27</v>
      </c>
      <c r="D1087" t="s">
        <v>50</v>
      </c>
      <c r="E1087" t="s">
        <v>29</v>
      </c>
      <c r="F1087" s="2">
        <v>85</v>
      </c>
      <c r="G1087" t="s">
        <v>144</v>
      </c>
      <c r="H1087" t="s">
        <v>31</v>
      </c>
      <c r="I1087" t="s">
        <v>156</v>
      </c>
      <c r="J1087" t="s">
        <v>22</v>
      </c>
      <c r="K1087">
        <v>3</v>
      </c>
      <c r="L1087" t="s">
        <v>23</v>
      </c>
      <c r="M1087" t="s">
        <v>48</v>
      </c>
      <c r="N1087" t="s">
        <v>34</v>
      </c>
      <c r="O1087">
        <v>23</v>
      </c>
      <c r="P1087" t="s">
        <v>62</v>
      </c>
      <c r="Q1087" t="s">
        <v>89</v>
      </c>
      <c r="R1087" s="1">
        <v>0.1</v>
      </c>
      <c r="S1087">
        <f t="shared" si="64"/>
        <v>76.5</v>
      </c>
      <c r="T1087">
        <f>IFERROR(VLOOKUP(A1087,Table1[[Customer ID]:[Discount Amount]], 6, FALSE),"Not Found")</f>
        <v>85</v>
      </c>
      <c r="U1087" t="str">
        <f t="shared" si="65"/>
        <v>Venmo</v>
      </c>
      <c r="V1087" s="4" t="str">
        <f t="shared" si="66"/>
        <v>Normal</v>
      </c>
      <c r="W1087" s="4" t="str">
        <f t="shared" si="67"/>
        <v>Good</v>
      </c>
      <c r="X1087" s="4">
        <f>AVERAGE(Table1[Purchase Amount])</f>
        <v>129.48419400000012</v>
      </c>
    </row>
    <row r="1088" spans="1:24" ht="15" customHeight="1" x14ac:dyDescent="0.25">
      <c r="A1088">
        <v>1087</v>
      </c>
      <c r="B1088">
        <v>53</v>
      </c>
      <c r="C1088" t="s">
        <v>27</v>
      </c>
      <c r="D1088" t="s">
        <v>28</v>
      </c>
      <c r="E1088" t="s">
        <v>29</v>
      </c>
      <c r="F1088" s="2">
        <v>62</v>
      </c>
      <c r="G1088" t="s">
        <v>148</v>
      </c>
      <c r="H1088" t="s">
        <v>31</v>
      </c>
      <c r="I1088" t="s">
        <v>21</v>
      </c>
      <c r="J1088" t="s">
        <v>22</v>
      </c>
      <c r="K1088">
        <v>3</v>
      </c>
      <c r="L1088" t="s">
        <v>23</v>
      </c>
      <c r="M1088" t="s">
        <v>35</v>
      </c>
      <c r="N1088" t="s">
        <v>34</v>
      </c>
      <c r="O1088">
        <v>27</v>
      </c>
      <c r="P1088" t="s">
        <v>58</v>
      </c>
      <c r="Q1088" t="s">
        <v>68</v>
      </c>
      <c r="R1088" s="1">
        <v>0.1</v>
      </c>
      <c r="S1088">
        <f t="shared" si="64"/>
        <v>55.8</v>
      </c>
      <c r="T1088">
        <f>IFERROR(VLOOKUP(A1088,Table1[[Customer ID]:[Discount Amount]], 6, FALSE),"Not Found")</f>
        <v>62</v>
      </c>
      <c r="U1088" t="str">
        <f t="shared" si="65"/>
        <v>PayPal</v>
      </c>
      <c r="V1088" s="4" t="str">
        <f t="shared" si="66"/>
        <v>Normal</v>
      </c>
      <c r="W1088" s="4" t="str">
        <f t="shared" si="67"/>
        <v>Good</v>
      </c>
      <c r="X1088" s="4">
        <f>AVERAGE(Table1[Purchase Amount])</f>
        <v>129.48419400000012</v>
      </c>
    </row>
    <row r="1089" spans="1:24" ht="15" customHeight="1" x14ac:dyDescent="0.25">
      <c r="A1089">
        <v>1088</v>
      </c>
      <c r="B1089">
        <v>45</v>
      </c>
      <c r="C1089" t="s">
        <v>27</v>
      </c>
      <c r="D1089" t="s">
        <v>109</v>
      </c>
      <c r="E1089" t="s">
        <v>18</v>
      </c>
      <c r="F1089" s="2">
        <v>71</v>
      </c>
      <c r="G1089" t="s">
        <v>154</v>
      </c>
      <c r="H1089" t="s">
        <v>55</v>
      </c>
      <c r="I1089" t="s">
        <v>32</v>
      </c>
      <c r="J1089" t="s">
        <v>22</v>
      </c>
      <c r="K1089">
        <v>3.4</v>
      </c>
      <c r="L1089" t="s">
        <v>23</v>
      </c>
      <c r="M1089" t="s">
        <v>79</v>
      </c>
      <c r="N1089" t="s">
        <v>34</v>
      </c>
      <c r="O1089">
        <v>7</v>
      </c>
      <c r="P1089" t="s">
        <v>88</v>
      </c>
      <c r="Q1089" t="s">
        <v>42</v>
      </c>
      <c r="R1089" s="1">
        <v>0.1</v>
      </c>
      <c r="S1089">
        <f t="shared" si="64"/>
        <v>63.9</v>
      </c>
      <c r="T1089">
        <f>IFERROR(VLOOKUP(A1089,Table1[[Customer ID]:[Discount Amount]], 6, FALSE),"Not Found")</f>
        <v>71</v>
      </c>
      <c r="U1089" t="str">
        <f t="shared" si="65"/>
        <v>Bank Transfer</v>
      </c>
      <c r="V1089" s="4" t="str">
        <f t="shared" si="66"/>
        <v>Normal</v>
      </c>
      <c r="W1089" s="4" t="str">
        <f t="shared" si="67"/>
        <v>Good</v>
      </c>
      <c r="X1089" s="4">
        <f>AVERAGE(Table1[Purchase Amount])</f>
        <v>129.48419400000012</v>
      </c>
    </row>
    <row r="1090" spans="1:24" ht="15" customHeight="1" x14ac:dyDescent="0.25">
      <c r="A1090">
        <v>1089</v>
      </c>
      <c r="B1090">
        <v>49</v>
      </c>
      <c r="C1090" t="s">
        <v>27</v>
      </c>
      <c r="D1090" t="s">
        <v>99</v>
      </c>
      <c r="E1090" t="s">
        <v>18</v>
      </c>
      <c r="F1090" s="2">
        <v>21</v>
      </c>
      <c r="G1090" t="s">
        <v>119</v>
      </c>
      <c r="H1090" t="s">
        <v>31</v>
      </c>
      <c r="I1090" t="s">
        <v>156</v>
      </c>
      <c r="J1090" t="s">
        <v>22</v>
      </c>
      <c r="K1090">
        <v>2.7</v>
      </c>
      <c r="L1090" t="s">
        <v>23</v>
      </c>
      <c r="M1090" t="s">
        <v>35</v>
      </c>
      <c r="N1090" t="s">
        <v>34</v>
      </c>
      <c r="O1090">
        <v>2</v>
      </c>
      <c r="P1090" t="s">
        <v>58</v>
      </c>
      <c r="Q1090" t="s">
        <v>26</v>
      </c>
      <c r="R1090" s="1">
        <v>0.1</v>
      </c>
      <c r="S1090">
        <f t="shared" ref="S1090:S1153" si="68">F1090-(F1090*R1090)</f>
        <v>18.899999999999999</v>
      </c>
      <c r="T1090">
        <f>IFERROR(VLOOKUP(A1090,Table1[[Customer ID]:[Discount Amount]], 6, FALSE),"Not Found")</f>
        <v>21</v>
      </c>
      <c r="U1090" t="str">
        <f t="shared" ref="U1090:U1153" si="69">INDEX(P:P, MATCH(A1090, A:A, 0))</f>
        <v>PayPal</v>
      </c>
      <c r="V1090" s="4" t="str">
        <f t="shared" ref="V1090:V1153" si="70">IF(AND(F1090&gt;1000,K1090&gt;=4),"Best Customer","Normal")</f>
        <v>Normal</v>
      </c>
      <c r="W1090" s="4" t="str">
        <f t="shared" ref="W1090:W1153" si="71">IF(K1090&gt;=3,"Good","Poor")</f>
        <v>Poor</v>
      </c>
      <c r="X1090" s="4">
        <f>AVERAGE(Table1[Purchase Amount])</f>
        <v>129.48419400000012</v>
      </c>
    </row>
    <row r="1091" spans="1:24" ht="15" customHeight="1" x14ac:dyDescent="0.25">
      <c r="A1091">
        <v>1090</v>
      </c>
      <c r="B1091">
        <v>40</v>
      </c>
      <c r="C1091" t="s">
        <v>27</v>
      </c>
      <c r="D1091" t="s">
        <v>104</v>
      </c>
      <c r="E1091" t="s">
        <v>29</v>
      </c>
      <c r="F1091" s="2">
        <v>61</v>
      </c>
      <c r="G1091" t="s">
        <v>150</v>
      </c>
      <c r="H1091" t="s">
        <v>31</v>
      </c>
      <c r="I1091" t="s">
        <v>153</v>
      </c>
      <c r="J1091" t="s">
        <v>33</v>
      </c>
      <c r="K1091">
        <v>3.8</v>
      </c>
      <c r="L1091" t="s">
        <v>23</v>
      </c>
      <c r="M1091" t="s">
        <v>79</v>
      </c>
      <c r="N1091" t="s">
        <v>34</v>
      </c>
      <c r="O1091">
        <v>33</v>
      </c>
      <c r="P1091" t="s">
        <v>58</v>
      </c>
      <c r="Q1091" t="s">
        <v>68</v>
      </c>
      <c r="R1091" s="1">
        <v>0.1</v>
      </c>
      <c r="S1091">
        <f t="shared" si="68"/>
        <v>54.9</v>
      </c>
      <c r="T1091">
        <f>IFERROR(VLOOKUP(A1091,Table1[[Customer ID]:[Discount Amount]], 6, FALSE),"Not Found")</f>
        <v>61</v>
      </c>
      <c r="U1091" t="str">
        <f t="shared" si="69"/>
        <v>PayPal</v>
      </c>
      <c r="V1091" s="4" t="str">
        <f t="shared" si="70"/>
        <v>Normal</v>
      </c>
      <c r="W1091" s="4" t="str">
        <f t="shared" si="71"/>
        <v>Good</v>
      </c>
      <c r="X1091" s="4">
        <f>AVERAGE(Table1[Purchase Amount])</f>
        <v>129.48419400000012</v>
      </c>
    </row>
    <row r="1092" spans="1:24" ht="15" customHeight="1" x14ac:dyDescent="0.25">
      <c r="A1092">
        <v>1091</v>
      </c>
      <c r="B1092">
        <v>38</v>
      </c>
      <c r="C1092" t="s">
        <v>27</v>
      </c>
      <c r="D1092" t="s">
        <v>129</v>
      </c>
      <c r="E1092" t="s">
        <v>29</v>
      </c>
      <c r="F1092" s="2">
        <v>58</v>
      </c>
      <c r="G1092" t="s">
        <v>115</v>
      </c>
      <c r="H1092" t="s">
        <v>31</v>
      </c>
      <c r="I1092" t="s">
        <v>111</v>
      </c>
      <c r="J1092" t="s">
        <v>33</v>
      </c>
      <c r="K1092">
        <v>4.2</v>
      </c>
      <c r="L1092" t="s">
        <v>23</v>
      </c>
      <c r="M1092" t="s">
        <v>48</v>
      </c>
      <c r="N1092" t="s">
        <v>34</v>
      </c>
      <c r="O1092">
        <v>27</v>
      </c>
      <c r="P1092" t="s">
        <v>25</v>
      </c>
      <c r="Q1092" t="s">
        <v>89</v>
      </c>
      <c r="R1092" s="1">
        <v>0.1</v>
      </c>
      <c r="S1092">
        <f t="shared" si="68"/>
        <v>52.2</v>
      </c>
      <c r="T1092">
        <f>IFERROR(VLOOKUP(A1092,Table1[[Customer ID]:[Discount Amount]], 6, FALSE),"Not Found")</f>
        <v>58</v>
      </c>
      <c r="U1092" t="str">
        <f t="shared" si="69"/>
        <v>Cash</v>
      </c>
      <c r="V1092" s="4" t="str">
        <f t="shared" si="70"/>
        <v>Normal</v>
      </c>
      <c r="W1092" s="4" t="str">
        <f t="shared" si="71"/>
        <v>Good</v>
      </c>
      <c r="X1092" s="4">
        <f>AVERAGE(Table1[Purchase Amount])</f>
        <v>129.48419400000012</v>
      </c>
    </row>
    <row r="1093" spans="1:24" ht="15" customHeight="1" x14ac:dyDescent="0.25">
      <c r="A1093">
        <v>1092</v>
      </c>
      <c r="B1093">
        <v>44</v>
      </c>
      <c r="C1093" t="s">
        <v>27</v>
      </c>
      <c r="D1093" t="s">
        <v>127</v>
      </c>
      <c r="E1093" t="s">
        <v>18</v>
      </c>
      <c r="F1093" s="2">
        <v>80</v>
      </c>
      <c r="G1093" t="s">
        <v>134</v>
      </c>
      <c r="H1093" t="s">
        <v>45</v>
      </c>
      <c r="I1093" t="s">
        <v>107</v>
      </c>
      <c r="J1093" t="s">
        <v>33</v>
      </c>
      <c r="K1093">
        <v>4.7</v>
      </c>
      <c r="L1093" t="s">
        <v>23</v>
      </c>
      <c r="M1093" t="s">
        <v>48</v>
      </c>
      <c r="N1093" t="s">
        <v>34</v>
      </c>
      <c r="O1093">
        <v>6</v>
      </c>
      <c r="P1093" t="s">
        <v>53</v>
      </c>
      <c r="Q1093" t="s">
        <v>89</v>
      </c>
      <c r="R1093" s="1">
        <v>0.1</v>
      </c>
      <c r="S1093">
        <f t="shared" si="68"/>
        <v>72</v>
      </c>
      <c r="T1093">
        <f>IFERROR(VLOOKUP(A1093,Table1[[Customer ID]:[Discount Amount]], 6, FALSE),"Not Found")</f>
        <v>80</v>
      </c>
      <c r="U1093" t="str">
        <f t="shared" si="69"/>
        <v>Credit Card</v>
      </c>
      <c r="V1093" s="4" t="str">
        <f t="shared" si="70"/>
        <v>Normal</v>
      </c>
      <c r="W1093" s="4" t="str">
        <f t="shared" si="71"/>
        <v>Good</v>
      </c>
      <c r="X1093" s="4">
        <f>AVERAGE(Table1[Purchase Amount])</f>
        <v>129.48419400000012</v>
      </c>
    </row>
    <row r="1094" spans="1:24" ht="15" customHeight="1" x14ac:dyDescent="0.25">
      <c r="A1094">
        <v>1093</v>
      </c>
      <c r="B1094">
        <v>68</v>
      </c>
      <c r="C1094" t="s">
        <v>27</v>
      </c>
      <c r="D1094" t="s">
        <v>50</v>
      </c>
      <c r="E1094" t="s">
        <v>29</v>
      </c>
      <c r="F1094" s="2">
        <v>50</v>
      </c>
      <c r="G1094" t="s">
        <v>130</v>
      </c>
      <c r="H1094" t="s">
        <v>45</v>
      </c>
      <c r="I1094" t="s">
        <v>87</v>
      </c>
      <c r="J1094" t="s">
        <v>33</v>
      </c>
      <c r="K1094">
        <v>4.0999999999999996</v>
      </c>
      <c r="L1094" t="s">
        <v>23</v>
      </c>
      <c r="M1094" t="s">
        <v>41</v>
      </c>
      <c r="N1094" t="s">
        <v>34</v>
      </c>
      <c r="O1094">
        <v>20</v>
      </c>
      <c r="P1094" t="s">
        <v>62</v>
      </c>
      <c r="Q1094" t="s">
        <v>37</v>
      </c>
      <c r="R1094" s="1">
        <v>0.1</v>
      </c>
      <c r="S1094">
        <f t="shared" si="68"/>
        <v>45</v>
      </c>
      <c r="T1094">
        <f>IFERROR(VLOOKUP(A1094,Table1[[Customer ID]:[Discount Amount]], 6, FALSE),"Not Found")</f>
        <v>50</v>
      </c>
      <c r="U1094" t="str">
        <f t="shared" si="69"/>
        <v>Venmo</v>
      </c>
      <c r="V1094" s="4" t="str">
        <f t="shared" si="70"/>
        <v>Normal</v>
      </c>
      <c r="W1094" s="4" t="str">
        <f t="shared" si="71"/>
        <v>Good</v>
      </c>
      <c r="X1094" s="4">
        <f>AVERAGE(Table1[Purchase Amount])</f>
        <v>129.48419400000012</v>
      </c>
    </row>
    <row r="1095" spans="1:24" ht="15" customHeight="1" x14ac:dyDescent="0.25">
      <c r="A1095">
        <v>1094</v>
      </c>
      <c r="B1095">
        <v>60</v>
      </c>
      <c r="C1095" t="s">
        <v>27</v>
      </c>
      <c r="D1095" t="s">
        <v>140</v>
      </c>
      <c r="E1095" t="s">
        <v>98</v>
      </c>
      <c r="F1095" s="2">
        <v>48</v>
      </c>
      <c r="G1095" t="s">
        <v>143</v>
      </c>
      <c r="H1095" t="s">
        <v>55</v>
      </c>
      <c r="I1095" t="s">
        <v>91</v>
      </c>
      <c r="J1095" t="s">
        <v>22</v>
      </c>
      <c r="K1095">
        <v>4.2</v>
      </c>
      <c r="L1095" t="s">
        <v>23</v>
      </c>
      <c r="M1095" t="s">
        <v>41</v>
      </c>
      <c r="N1095" t="s">
        <v>34</v>
      </c>
      <c r="O1095">
        <v>46</v>
      </c>
      <c r="P1095" t="s">
        <v>62</v>
      </c>
      <c r="Q1095" t="s">
        <v>63</v>
      </c>
      <c r="R1095" s="1">
        <v>0.1</v>
      </c>
      <c r="S1095">
        <f t="shared" si="68"/>
        <v>43.2</v>
      </c>
      <c r="T1095">
        <f>IFERROR(VLOOKUP(A1095,Table1[[Customer ID]:[Discount Amount]], 6, FALSE),"Not Found")</f>
        <v>48</v>
      </c>
      <c r="U1095" t="str">
        <f t="shared" si="69"/>
        <v>Venmo</v>
      </c>
      <c r="V1095" s="4" t="str">
        <f t="shared" si="70"/>
        <v>Normal</v>
      </c>
      <c r="W1095" s="4" t="str">
        <f t="shared" si="71"/>
        <v>Good</v>
      </c>
      <c r="X1095" s="4">
        <f>AVERAGE(Table1[Purchase Amount])</f>
        <v>129.48419400000012</v>
      </c>
    </row>
    <row r="1096" spans="1:24" ht="15" customHeight="1" x14ac:dyDescent="0.25">
      <c r="A1096">
        <v>1095</v>
      </c>
      <c r="B1096">
        <v>25</v>
      </c>
      <c r="C1096" t="s">
        <v>27</v>
      </c>
      <c r="D1096" t="s">
        <v>50</v>
      </c>
      <c r="E1096" t="s">
        <v>29</v>
      </c>
      <c r="F1096" s="2">
        <v>40</v>
      </c>
      <c r="G1096" t="s">
        <v>115</v>
      </c>
      <c r="H1096" t="s">
        <v>31</v>
      </c>
      <c r="I1096" t="s">
        <v>40</v>
      </c>
      <c r="J1096" t="s">
        <v>22</v>
      </c>
      <c r="K1096">
        <v>4.8</v>
      </c>
      <c r="L1096" t="s">
        <v>23</v>
      </c>
      <c r="M1096" t="s">
        <v>79</v>
      </c>
      <c r="N1096" t="s">
        <v>34</v>
      </c>
      <c r="O1096">
        <v>25</v>
      </c>
      <c r="P1096" t="s">
        <v>25</v>
      </c>
      <c r="Q1096" t="s">
        <v>37</v>
      </c>
      <c r="R1096" s="1">
        <v>0.1</v>
      </c>
      <c r="S1096">
        <f t="shared" si="68"/>
        <v>36</v>
      </c>
      <c r="T1096">
        <f>IFERROR(VLOOKUP(A1096,Table1[[Customer ID]:[Discount Amount]], 6, FALSE),"Not Found")</f>
        <v>40</v>
      </c>
      <c r="U1096" t="str">
        <f t="shared" si="69"/>
        <v>Cash</v>
      </c>
      <c r="V1096" s="4" t="str">
        <f t="shared" si="70"/>
        <v>Normal</v>
      </c>
      <c r="W1096" s="4" t="str">
        <f t="shared" si="71"/>
        <v>Good</v>
      </c>
      <c r="X1096" s="4">
        <f>AVERAGE(Table1[Purchase Amount])</f>
        <v>129.48419400000012</v>
      </c>
    </row>
    <row r="1097" spans="1:24" ht="15" customHeight="1" x14ac:dyDescent="0.25">
      <c r="A1097">
        <v>1096</v>
      </c>
      <c r="B1097">
        <v>19</v>
      </c>
      <c r="C1097" t="s">
        <v>27</v>
      </c>
      <c r="D1097" t="s">
        <v>76</v>
      </c>
      <c r="E1097" t="s">
        <v>77</v>
      </c>
      <c r="F1097" s="2">
        <v>34</v>
      </c>
      <c r="G1097" t="s">
        <v>65</v>
      </c>
      <c r="H1097" t="s">
        <v>55</v>
      </c>
      <c r="I1097" t="s">
        <v>145</v>
      </c>
      <c r="J1097" t="s">
        <v>57</v>
      </c>
      <c r="K1097">
        <v>3</v>
      </c>
      <c r="L1097" t="s">
        <v>23</v>
      </c>
      <c r="M1097" t="s">
        <v>35</v>
      </c>
      <c r="N1097" t="s">
        <v>34</v>
      </c>
      <c r="O1097">
        <v>30</v>
      </c>
      <c r="P1097" t="s">
        <v>88</v>
      </c>
      <c r="Q1097" t="s">
        <v>37</v>
      </c>
      <c r="R1097" s="1">
        <v>0.1</v>
      </c>
      <c r="S1097">
        <f t="shared" si="68"/>
        <v>30.6</v>
      </c>
      <c r="T1097">
        <f>IFERROR(VLOOKUP(A1097,Table1[[Customer ID]:[Discount Amount]], 6, FALSE),"Not Found")</f>
        <v>34</v>
      </c>
      <c r="U1097" t="str">
        <f t="shared" si="69"/>
        <v>Bank Transfer</v>
      </c>
      <c r="V1097" s="4" t="str">
        <f t="shared" si="70"/>
        <v>Normal</v>
      </c>
      <c r="W1097" s="4" t="str">
        <f t="shared" si="71"/>
        <v>Good</v>
      </c>
      <c r="X1097" s="4">
        <f>AVERAGE(Table1[Purchase Amount])</f>
        <v>129.48419400000012</v>
      </c>
    </row>
    <row r="1098" spans="1:24" ht="15" customHeight="1" x14ac:dyDescent="0.25">
      <c r="A1098">
        <v>1097</v>
      </c>
      <c r="B1098">
        <v>57</v>
      </c>
      <c r="C1098" t="s">
        <v>27</v>
      </c>
      <c r="D1098" t="s">
        <v>76</v>
      </c>
      <c r="E1098" t="s">
        <v>77</v>
      </c>
      <c r="F1098" s="2">
        <v>46</v>
      </c>
      <c r="G1098" t="s">
        <v>132</v>
      </c>
      <c r="H1098" t="s">
        <v>55</v>
      </c>
      <c r="I1098" t="s">
        <v>56</v>
      </c>
      <c r="J1098" t="s">
        <v>47</v>
      </c>
      <c r="K1098">
        <v>2.6</v>
      </c>
      <c r="L1098" t="s">
        <v>23</v>
      </c>
      <c r="M1098" t="s">
        <v>24</v>
      </c>
      <c r="N1098" t="s">
        <v>34</v>
      </c>
      <c r="O1098">
        <v>48</v>
      </c>
      <c r="P1098" t="s">
        <v>53</v>
      </c>
      <c r="Q1098" t="s">
        <v>49</v>
      </c>
      <c r="R1098" s="1">
        <v>0.1</v>
      </c>
      <c r="S1098">
        <f t="shared" si="68"/>
        <v>41.4</v>
      </c>
      <c r="T1098">
        <f>IFERROR(VLOOKUP(A1098,Table1[[Customer ID]:[Discount Amount]], 6, FALSE),"Not Found")</f>
        <v>46</v>
      </c>
      <c r="U1098" t="str">
        <f t="shared" si="69"/>
        <v>Credit Card</v>
      </c>
      <c r="V1098" s="4" t="str">
        <f t="shared" si="70"/>
        <v>Normal</v>
      </c>
      <c r="W1098" s="4" t="str">
        <f t="shared" si="71"/>
        <v>Poor</v>
      </c>
      <c r="X1098" s="4">
        <f>AVERAGE(Table1[Purchase Amount])</f>
        <v>129.48419400000012</v>
      </c>
    </row>
    <row r="1099" spans="1:24" ht="15" customHeight="1" x14ac:dyDescent="0.25">
      <c r="A1099">
        <v>1098</v>
      </c>
      <c r="B1099">
        <v>58</v>
      </c>
      <c r="C1099" t="s">
        <v>27</v>
      </c>
      <c r="D1099" t="s">
        <v>28</v>
      </c>
      <c r="E1099" t="s">
        <v>29</v>
      </c>
      <c r="F1099" s="2">
        <v>27</v>
      </c>
      <c r="G1099" t="s">
        <v>84</v>
      </c>
      <c r="H1099" t="s">
        <v>31</v>
      </c>
      <c r="I1099" t="s">
        <v>40</v>
      </c>
      <c r="J1099" t="s">
        <v>57</v>
      </c>
      <c r="K1099">
        <v>3.2</v>
      </c>
      <c r="L1099" t="s">
        <v>23</v>
      </c>
      <c r="M1099" t="s">
        <v>48</v>
      </c>
      <c r="N1099" t="s">
        <v>34</v>
      </c>
      <c r="O1099">
        <v>47</v>
      </c>
      <c r="P1099" t="s">
        <v>88</v>
      </c>
      <c r="Q1099" t="s">
        <v>26</v>
      </c>
      <c r="R1099" s="1">
        <v>0.1</v>
      </c>
      <c r="S1099">
        <f t="shared" si="68"/>
        <v>24.3</v>
      </c>
      <c r="T1099">
        <f>IFERROR(VLOOKUP(A1099,Table1[[Customer ID]:[Discount Amount]], 6, FALSE),"Not Found")</f>
        <v>27</v>
      </c>
      <c r="U1099" t="str">
        <f t="shared" si="69"/>
        <v>Bank Transfer</v>
      </c>
      <c r="V1099" s="4" t="str">
        <f t="shared" si="70"/>
        <v>Normal</v>
      </c>
      <c r="W1099" s="4" t="str">
        <f t="shared" si="71"/>
        <v>Good</v>
      </c>
      <c r="X1099" s="4">
        <f>AVERAGE(Table1[Purchase Amount])</f>
        <v>129.48419400000012</v>
      </c>
    </row>
    <row r="1100" spans="1:24" ht="15" customHeight="1" x14ac:dyDescent="0.25">
      <c r="A1100">
        <v>1099</v>
      </c>
      <c r="B1100">
        <v>49</v>
      </c>
      <c r="C1100" t="s">
        <v>27</v>
      </c>
      <c r="D1100" t="s">
        <v>69</v>
      </c>
      <c r="E1100" t="s">
        <v>29</v>
      </c>
      <c r="F1100" s="2">
        <v>98</v>
      </c>
      <c r="G1100" t="s">
        <v>161</v>
      </c>
      <c r="H1100" t="s">
        <v>55</v>
      </c>
      <c r="I1100" t="s">
        <v>156</v>
      </c>
      <c r="J1100" t="s">
        <v>33</v>
      </c>
      <c r="K1100">
        <v>3.6</v>
      </c>
      <c r="L1100" t="s">
        <v>23</v>
      </c>
      <c r="M1100" t="s">
        <v>79</v>
      </c>
      <c r="N1100" t="s">
        <v>34</v>
      </c>
      <c r="O1100">
        <v>27</v>
      </c>
      <c r="P1100" t="s">
        <v>53</v>
      </c>
      <c r="Q1100" t="s">
        <v>26</v>
      </c>
      <c r="R1100" s="1">
        <v>0.1</v>
      </c>
      <c r="S1100">
        <f t="shared" si="68"/>
        <v>88.2</v>
      </c>
      <c r="T1100">
        <f>IFERROR(VLOOKUP(A1100,Table1[[Customer ID]:[Discount Amount]], 6, FALSE),"Not Found")</f>
        <v>98</v>
      </c>
      <c r="U1100" t="str">
        <f t="shared" si="69"/>
        <v>Credit Card</v>
      </c>
      <c r="V1100" s="4" t="str">
        <f t="shared" si="70"/>
        <v>Normal</v>
      </c>
      <c r="W1100" s="4" t="str">
        <f t="shared" si="71"/>
        <v>Good</v>
      </c>
      <c r="X1100" s="4">
        <f>AVERAGE(Table1[Purchase Amount])</f>
        <v>129.48419400000012</v>
      </c>
    </row>
    <row r="1101" spans="1:24" ht="15" customHeight="1" x14ac:dyDescent="0.25">
      <c r="A1101">
        <v>1100</v>
      </c>
      <c r="B1101">
        <v>19</v>
      </c>
      <c r="C1101" t="s">
        <v>27</v>
      </c>
      <c r="D1101" t="s">
        <v>127</v>
      </c>
      <c r="E1101" t="s">
        <v>18</v>
      </c>
      <c r="F1101" s="2">
        <v>73</v>
      </c>
      <c r="G1101" t="s">
        <v>134</v>
      </c>
      <c r="H1101" t="s">
        <v>31</v>
      </c>
      <c r="I1101" t="s">
        <v>145</v>
      </c>
      <c r="J1101" t="s">
        <v>47</v>
      </c>
      <c r="K1101">
        <v>2.6</v>
      </c>
      <c r="L1101" t="s">
        <v>23</v>
      </c>
      <c r="M1101" t="s">
        <v>79</v>
      </c>
      <c r="N1101" t="s">
        <v>34</v>
      </c>
      <c r="O1101">
        <v>45</v>
      </c>
      <c r="P1101" t="s">
        <v>88</v>
      </c>
      <c r="Q1101" t="s">
        <v>89</v>
      </c>
      <c r="R1101" s="1">
        <v>0.1</v>
      </c>
      <c r="S1101">
        <f t="shared" si="68"/>
        <v>65.7</v>
      </c>
      <c r="T1101">
        <f>IFERROR(VLOOKUP(A1101,Table1[[Customer ID]:[Discount Amount]], 6, FALSE),"Not Found")</f>
        <v>73</v>
      </c>
      <c r="U1101" t="str">
        <f t="shared" si="69"/>
        <v>Bank Transfer</v>
      </c>
      <c r="V1101" s="4" t="str">
        <f t="shared" si="70"/>
        <v>Normal</v>
      </c>
      <c r="W1101" s="4" t="str">
        <f t="shared" si="71"/>
        <v>Poor</v>
      </c>
      <c r="X1101" s="4">
        <f>AVERAGE(Table1[Purchase Amount])</f>
        <v>129.48419400000012</v>
      </c>
    </row>
    <row r="1102" spans="1:24" ht="15" customHeight="1" x14ac:dyDescent="0.25">
      <c r="A1102">
        <v>1101</v>
      </c>
      <c r="B1102">
        <v>50</v>
      </c>
      <c r="C1102" t="s">
        <v>27</v>
      </c>
      <c r="D1102" t="s">
        <v>99</v>
      </c>
      <c r="E1102" t="s">
        <v>18</v>
      </c>
      <c r="F1102" s="2">
        <v>28</v>
      </c>
      <c r="G1102" t="s">
        <v>158</v>
      </c>
      <c r="H1102" t="s">
        <v>45</v>
      </c>
      <c r="I1102" t="s">
        <v>133</v>
      </c>
      <c r="J1102" t="s">
        <v>33</v>
      </c>
      <c r="K1102">
        <v>4.4000000000000004</v>
      </c>
      <c r="L1102" t="s">
        <v>23</v>
      </c>
      <c r="M1102" t="s">
        <v>61</v>
      </c>
      <c r="N1102" t="s">
        <v>34</v>
      </c>
      <c r="O1102">
        <v>2</v>
      </c>
      <c r="P1102" t="s">
        <v>53</v>
      </c>
      <c r="Q1102" t="s">
        <v>26</v>
      </c>
      <c r="R1102" s="1">
        <v>0.1</v>
      </c>
      <c r="S1102">
        <f t="shared" si="68"/>
        <v>25.2</v>
      </c>
      <c r="T1102">
        <f>IFERROR(VLOOKUP(A1102,Table1[[Customer ID]:[Discount Amount]], 6, FALSE),"Not Found")</f>
        <v>28</v>
      </c>
      <c r="U1102" t="str">
        <f t="shared" si="69"/>
        <v>Credit Card</v>
      </c>
      <c r="V1102" s="4" t="str">
        <f t="shared" si="70"/>
        <v>Normal</v>
      </c>
      <c r="W1102" s="4" t="str">
        <f t="shared" si="71"/>
        <v>Good</v>
      </c>
      <c r="X1102" s="4">
        <f>AVERAGE(Table1[Purchase Amount])</f>
        <v>129.48419400000012</v>
      </c>
    </row>
    <row r="1103" spans="1:24" ht="15" customHeight="1" x14ac:dyDescent="0.25">
      <c r="A1103">
        <v>1102</v>
      </c>
      <c r="B1103">
        <v>30</v>
      </c>
      <c r="C1103" t="s">
        <v>27</v>
      </c>
      <c r="D1103" t="s">
        <v>43</v>
      </c>
      <c r="E1103" t="s">
        <v>29</v>
      </c>
      <c r="F1103" s="2">
        <v>76</v>
      </c>
      <c r="G1103" t="s">
        <v>143</v>
      </c>
      <c r="H1103" t="s">
        <v>20</v>
      </c>
      <c r="I1103" t="s">
        <v>153</v>
      </c>
      <c r="J1103" t="s">
        <v>47</v>
      </c>
      <c r="K1103">
        <v>3</v>
      </c>
      <c r="L1103" t="s">
        <v>23</v>
      </c>
      <c r="M1103" t="s">
        <v>35</v>
      </c>
      <c r="N1103" t="s">
        <v>34</v>
      </c>
      <c r="O1103">
        <v>39</v>
      </c>
      <c r="P1103" t="s">
        <v>25</v>
      </c>
      <c r="Q1103" t="s">
        <v>89</v>
      </c>
      <c r="R1103" s="1">
        <v>0.1</v>
      </c>
      <c r="S1103">
        <f t="shared" si="68"/>
        <v>68.400000000000006</v>
      </c>
      <c r="T1103">
        <f>IFERROR(VLOOKUP(A1103,Table1[[Customer ID]:[Discount Amount]], 6, FALSE),"Not Found")</f>
        <v>76</v>
      </c>
      <c r="U1103" t="str">
        <f t="shared" si="69"/>
        <v>Cash</v>
      </c>
      <c r="V1103" s="4" t="str">
        <f t="shared" si="70"/>
        <v>Normal</v>
      </c>
      <c r="W1103" s="4" t="str">
        <f t="shared" si="71"/>
        <v>Good</v>
      </c>
      <c r="X1103" s="4">
        <f>AVERAGE(Table1[Purchase Amount])</f>
        <v>129.48419400000012</v>
      </c>
    </row>
    <row r="1104" spans="1:24" ht="15" customHeight="1" x14ac:dyDescent="0.25">
      <c r="A1104">
        <v>1103</v>
      </c>
      <c r="B1104">
        <v>52</v>
      </c>
      <c r="C1104" t="s">
        <v>27</v>
      </c>
      <c r="D1104" t="s">
        <v>127</v>
      </c>
      <c r="E1104" t="s">
        <v>18</v>
      </c>
      <c r="F1104" s="2">
        <v>83</v>
      </c>
      <c r="G1104" t="s">
        <v>152</v>
      </c>
      <c r="H1104" t="s">
        <v>31</v>
      </c>
      <c r="I1104" t="s">
        <v>145</v>
      </c>
      <c r="J1104" t="s">
        <v>47</v>
      </c>
      <c r="K1104">
        <v>2.9</v>
      </c>
      <c r="L1104" t="s">
        <v>23</v>
      </c>
      <c r="M1104" t="s">
        <v>61</v>
      </c>
      <c r="N1104" t="s">
        <v>34</v>
      </c>
      <c r="O1104">
        <v>24</v>
      </c>
      <c r="P1104" t="s">
        <v>25</v>
      </c>
      <c r="Q1104" t="s">
        <v>89</v>
      </c>
      <c r="R1104" s="1">
        <v>0.1</v>
      </c>
      <c r="S1104">
        <f t="shared" si="68"/>
        <v>74.7</v>
      </c>
      <c r="T1104">
        <f>IFERROR(VLOOKUP(A1104,Table1[[Customer ID]:[Discount Amount]], 6, FALSE),"Not Found")</f>
        <v>83</v>
      </c>
      <c r="U1104" t="str">
        <f t="shared" si="69"/>
        <v>Cash</v>
      </c>
      <c r="V1104" s="4" t="str">
        <f t="shared" si="70"/>
        <v>Normal</v>
      </c>
      <c r="W1104" s="4" t="str">
        <f t="shared" si="71"/>
        <v>Poor</v>
      </c>
      <c r="X1104" s="4">
        <f>AVERAGE(Table1[Purchase Amount])</f>
        <v>129.48419400000012</v>
      </c>
    </row>
    <row r="1105" spans="1:24" ht="15" customHeight="1" x14ac:dyDescent="0.25">
      <c r="A1105">
        <v>1104</v>
      </c>
      <c r="B1105">
        <v>35</v>
      </c>
      <c r="C1105" t="s">
        <v>27</v>
      </c>
      <c r="D1105" t="s">
        <v>83</v>
      </c>
      <c r="E1105" t="s">
        <v>18</v>
      </c>
      <c r="F1105" s="2">
        <v>23</v>
      </c>
      <c r="G1105" t="s">
        <v>65</v>
      </c>
      <c r="H1105" t="s">
        <v>55</v>
      </c>
      <c r="I1105" t="s">
        <v>103</v>
      </c>
      <c r="J1105" t="s">
        <v>33</v>
      </c>
      <c r="K1105">
        <v>4.3</v>
      </c>
      <c r="L1105" t="s">
        <v>23</v>
      </c>
      <c r="M1105" t="s">
        <v>35</v>
      </c>
      <c r="N1105" t="s">
        <v>34</v>
      </c>
      <c r="O1105">
        <v>8</v>
      </c>
      <c r="P1105" t="s">
        <v>36</v>
      </c>
      <c r="Q1105" t="s">
        <v>68</v>
      </c>
      <c r="R1105" s="1">
        <v>0.1</v>
      </c>
      <c r="S1105">
        <f t="shared" si="68"/>
        <v>20.7</v>
      </c>
      <c r="T1105">
        <f>IFERROR(VLOOKUP(A1105,Table1[[Customer ID]:[Discount Amount]], 6, FALSE),"Not Found")</f>
        <v>23</v>
      </c>
      <c r="U1105" t="str">
        <f t="shared" si="69"/>
        <v>Debit Card</v>
      </c>
      <c r="V1105" s="4" t="str">
        <f t="shared" si="70"/>
        <v>Normal</v>
      </c>
      <c r="W1105" s="4" t="str">
        <f t="shared" si="71"/>
        <v>Good</v>
      </c>
      <c r="X1105" s="4">
        <f>AVERAGE(Table1[Purchase Amount])</f>
        <v>129.48419400000012</v>
      </c>
    </row>
    <row r="1106" spans="1:24" ht="15" customHeight="1" x14ac:dyDescent="0.25">
      <c r="A1106">
        <v>1105</v>
      </c>
      <c r="B1106">
        <v>35</v>
      </c>
      <c r="C1106" t="s">
        <v>27</v>
      </c>
      <c r="D1106" t="s">
        <v>64</v>
      </c>
      <c r="E1106" t="s">
        <v>29</v>
      </c>
      <c r="F1106" s="2">
        <v>28</v>
      </c>
      <c r="G1106" t="s">
        <v>143</v>
      </c>
      <c r="H1106" t="s">
        <v>31</v>
      </c>
      <c r="I1106" t="s">
        <v>56</v>
      </c>
      <c r="J1106" t="s">
        <v>47</v>
      </c>
      <c r="K1106">
        <v>3.1</v>
      </c>
      <c r="L1106" t="s">
        <v>23</v>
      </c>
      <c r="M1106" t="s">
        <v>61</v>
      </c>
      <c r="N1106" t="s">
        <v>34</v>
      </c>
      <c r="O1106">
        <v>8</v>
      </c>
      <c r="P1106" t="s">
        <v>88</v>
      </c>
      <c r="Q1106" t="s">
        <v>37</v>
      </c>
      <c r="R1106" s="1">
        <v>0.1</v>
      </c>
      <c r="S1106">
        <f t="shared" si="68"/>
        <v>25.2</v>
      </c>
      <c r="T1106">
        <f>IFERROR(VLOOKUP(A1106,Table1[[Customer ID]:[Discount Amount]], 6, FALSE),"Not Found")</f>
        <v>28</v>
      </c>
      <c r="U1106" t="str">
        <f t="shared" si="69"/>
        <v>Bank Transfer</v>
      </c>
      <c r="V1106" s="4" t="str">
        <f t="shared" si="70"/>
        <v>Normal</v>
      </c>
      <c r="W1106" s="4" t="str">
        <f t="shared" si="71"/>
        <v>Good</v>
      </c>
      <c r="X1106" s="4">
        <f>AVERAGE(Table1[Purchase Amount])</f>
        <v>129.48419400000012</v>
      </c>
    </row>
    <row r="1107" spans="1:24" ht="15" customHeight="1" x14ac:dyDescent="0.25">
      <c r="A1107">
        <v>1106</v>
      </c>
      <c r="B1107">
        <v>33</v>
      </c>
      <c r="C1107" t="s">
        <v>27</v>
      </c>
      <c r="D1107" t="s">
        <v>17</v>
      </c>
      <c r="E1107" t="s">
        <v>18</v>
      </c>
      <c r="F1107" s="2">
        <v>83</v>
      </c>
      <c r="G1107" t="s">
        <v>97</v>
      </c>
      <c r="H1107" t="s">
        <v>55</v>
      </c>
      <c r="I1107" t="s">
        <v>21</v>
      </c>
      <c r="J1107" t="s">
        <v>33</v>
      </c>
      <c r="K1107">
        <v>3</v>
      </c>
      <c r="L1107" t="s">
        <v>23</v>
      </c>
      <c r="M1107" t="s">
        <v>79</v>
      </c>
      <c r="N1107" t="s">
        <v>34</v>
      </c>
      <c r="O1107">
        <v>6</v>
      </c>
      <c r="P1107" t="s">
        <v>62</v>
      </c>
      <c r="Q1107" t="s">
        <v>63</v>
      </c>
      <c r="R1107" s="1">
        <v>0.1</v>
      </c>
      <c r="S1107">
        <f t="shared" si="68"/>
        <v>74.7</v>
      </c>
      <c r="T1107">
        <f>IFERROR(VLOOKUP(A1107,Table1[[Customer ID]:[Discount Amount]], 6, FALSE),"Not Found")</f>
        <v>83</v>
      </c>
      <c r="U1107" t="str">
        <f t="shared" si="69"/>
        <v>Venmo</v>
      </c>
      <c r="V1107" s="4" t="str">
        <f t="shared" si="70"/>
        <v>Normal</v>
      </c>
      <c r="W1107" s="4" t="str">
        <f t="shared" si="71"/>
        <v>Good</v>
      </c>
      <c r="X1107" s="4">
        <f>AVERAGE(Table1[Purchase Amount])</f>
        <v>129.48419400000012</v>
      </c>
    </row>
    <row r="1108" spans="1:24" ht="15" customHeight="1" x14ac:dyDescent="0.25">
      <c r="A1108">
        <v>1107</v>
      </c>
      <c r="B1108">
        <v>52</v>
      </c>
      <c r="C1108" t="s">
        <v>27</v>
      </c>
      <c r="D1108" t="s">
        <v>122</v>
      </c>
      <c r="E1108" t="s">
        <v>18</v>
      </c>
      <c r="F1108" s="2">
        <v>96</v>
      </c>
      <c r="G1108" t="s">
        <v>120</v>
      </c>
      <c r="H1108" t="s">
        <v>45</v>
      </c>
      <c r="I1108" t="s">
        <v>111</v>
      </c>
      <c r="J1108" t="s">
        <v>22</v>
      </c>
      <c r="K1108">
        <v>3.6</v>
      </c>
      <c r="L1108" t="s">
        <v>23</v>
      </c>
      <c r="M1108" t="s">
        <v>48</v>
      </c>
      <c r="N1108" t="s">
        <v>34</v>
      </c>
      <c r="O1108">
        <v>12</v>
      </c>
      <c r="P1108" t="s">
        <v>62</v>
      </c>
      <c r="Q1108" t="s">
        <v>89</v>
      </c>
      <c r="R1108" s="1">
        <v>0.1</v>
      </c>
      <c r="S1108">
        <f t="shared" si="68"/>
        <v>86.4</v>
      </c>
      <c r="T1108">
        <f>IFERROR(VLOOKUP(A1108,Table1[[Customer ID]:[Discount Amount]], 6, FALSE),"Not Found")</f>
        <v>96</v>
      </c>
      <c r="U1108" t="str">
        <f t="shared" si="69"/>
        <v>Venmo</v>
      </c>
      <c r="V1108" s="4" t="str">
        <f t="shared" si="70"/>
        <v>Normal</v>
      </c>
      <c r="W1108" s="4" t="str">
        <f t="shared" si="71"/>
        <v>Good</v>
      </c>
      <c r="X1108" s="4">
        <f>AVERAGE(Table1[Purchase Amount])</f>
        <v>129.48419400000012</v>
      </c>
    </row>
    <row r="1109" spans="1:24" ht="15" customHeight="1" x14ac:dyDescent="0.25">
      <c r="A1109">
        <v>1108</v>
      </c>
      <c r="B1109">
        <v>69</v>
      </c>
      <c r="C1109" t="s">
        <v>27</v>
      </c>
      <c r="D1109" t="s">
        <v>140</v>
      </c>
      <c r="E1109" t="s">
        <v>98</v>
      </c>
      <c r="F1109" s="2">
        <v>62</v>
      </c>
      <c r="G1109" t="s">
        <v>152</v>
      </c>
      <c r="H1109" t="s">
        <v>31</v>
      </c>
      <c r="I1109" t="s">
        <v>145</v>
      </c>
      <c r="J1109" t="s">
        <v>47</v>
      </c>
      <c r="K1109">
        <v>2.8</v>
      </c>
      <c r="L1109" t="s">
        <v>23</v>
      </c>
      <c r="M1109" t="s">
        <v>48</v>
      </c>
      <c r="N1109" t="s">
        <v>34</v>
      </c>
      <c r="O1109">
        <v>26</v>
      </c>
      <c r="P1109" t="s">
        <v>88</v>
      </c>
      <c r="Q1109" t="s">
        <v>26</v>
      </c>
      <c r="R1109" s="1">
        <v>0.1</v>
      </c>
      <c r="S1109">
        <f t="shared" si="68"/>
        <v>55.8</v>
      </c>
      <c r="T1109">
        <f>IFERROR(VLOOKUP(A1109,Table1[[Customer ID]:[Discount Amount]], 6, FALSE),"Not Found")</f>
        <v>62</v>
      </c>
      <c r="U1109" t="str">
        <f t="shared" si="69"/>
        <v>Bank Transfer</v>
      </c>
      <c r="V1109" s="4" t="str">
        <f t="shared" si="70"/>
        <v>Normal</v>
      </c>
      <c r="W1109" s="4" t="str">
        <f t="shared" si="71"/>
        <v>Poor</v>
      </c>
      <c r="X1109" s="4">
        <f>AVERAGE(Table1[Purchase Amount])</f>
        <v>129.48419400000012</v>
      </c>
    </row>
    <row r="1110" spans="1:24" ht="15" customHeight="1" x14ac:dyDescent="0.25">
      <c r="A1110">
        <v>1109</v>
      </c>
      <c r="B1110">
        <v>27</v>
      </c>
      <c r="C1110" t="s">
        <v>27</v>
      </c>
      <c r="D1110" t="s">
        <v>54</v>
      </c>
      <c r="E1110" t="s">
        <v>18</v>
      </c>
      <c r="F1110" s="2">
        <v>25</v>
      </c>
      <c r="G1110" t="s">
        <v>137</v>
      </c>
      <c r="H1110" t="s">
        <v>31</v>
      </c>
      <c r="I1110" t="s">
        <v>147</v>
      </c>
      <c r="J1110" t="s">
        <v>47</v>
      </c>
      <c r="K1110">
        <v>2.8</v>
      </c>
      <c r="L1110" t="s">
        <v>23</v>
      </c>
      <c r="M1110" t="s">
        <v>24</v>
      </c>
      <c r="N1110" t="s">
        <v>34</v>
      </c>
      <c r="O1110">
        <v>50</v>
      </c>
      <c r="P1110" t="s">
        <v>25</v>
      </c>
      <c r="Q1110" t="s">
        <v>89</v>
      </c>
      <c r="R1110" s="1">
        <v>0.1</v>
      </c>
      <c r="S1110">
        <f t="shared" si="68"/>
        <v>22.5</v>
      </c>
      <c r="T1110">
        <f>IFERROR(VLOOKUP(A1110,Table1[[Customer ID]:[Discount Amount]], 6, FALSE),"Not Found")</f>
        <v>25</v>
      </c>
      <c r="U1110" t="str">
        <f t="shared" si="69"/>
        <v>Cash</v>
      </c>
      <c r="V1110" s="4" t="str">
        <f t="shared" si="70"/>
        <v>Normal</v>
      </c>
      <c r="W1110" s="4" t="str">
        <f t="shared" si="71"/>
        <v>Poor</v>
      </c>
      <c r="X1110" s="4">
        <f>AVERAGE(Table1[Purchase Amount])</f>
        <v>129.48419400000012</v>
      </c>
    </row>
    <row r="1111" spans="1:24" ht="15" customHeight="1" x14ac:dyDescent="0.25">
      <c r="A1111">
        <v>1110</v>
      </c>
      <c r="B1111">
        <v>66</v>
      </c>
      <c r="C1111" t="s">
        <v>27</v>
      </c>
      <c r="D1111" t="s">
        <v>83</v>
      </c>
      <c r="E1111" t="s">
        <v>18</v>
      </c>
      <c r="F1111" s="2">
        <v>97</v>
      </c>
      <c r="G1111" t="s">
        <v>142</v>
      </c>
      <c r="H1111" t="s">
        <v>45</v>
      </c>
      <c r="I1111" t="s">
        <v>111</v>
      </c>
      <c r="J1111" t="s">
        <v>22</v>
      </c>
      <c r="K1111">
        <v>1</v>
      </c>
      <c r="L1111" t="s">
        <v>23</v>
      </c>
      <c r="M1111" t="s">
        <v>79</v>
      </c>
      <c r="N1111" t="s">
        <v>34</v>
      </c>
      <c r="O1111">
        <v>2</v>
      </c>
      <c r="P1111" t="s">
        <v>62</v>
      </c>
      <c r="Q1111" t="s">
        <v>26</v>
      </c>
      <c r="R1111" s="1">
        <v>0.1</v>
      </c>
      <c r="S1111">
        <f t="shared" si="68"/>
        <v>87.3</v>
      </c>
      <c r="T1111">
        <f>IFERROR(VLOOKUP(A1111,Table1[[Customer ID]:[Discount Amount]], 6, FALSE),"Not Found")</f>
        <v>97</v>
      </c>
      <c r="U1111" t="str">
        <f t="shared" si="69"/>
        <v>Venmo</v>
      </c>
      <c r="V1111" s="4" t="str">
        <f t="shared" si="70"/>
        <v>Normal</v>
      </c>
      <c r="W1111" s="4" t="str">
        <f t="shared" si="71"/>
        <v>Poor</v>
      </c>
      <c r="X1111" s="4">
        <f>AVERAGE(Table1[Purchase Amount])</f>
        <v>129.48419400000012</v>
      </c>
    </row>
    <row r="1112" spans="1:24" ht="15" customHeight="1" x14ac:dyDescent="0.25">
      <c r="A1112">
        <v>1111</v>
      </c>
      <c r="B1112">
        <v>28</v>
      </c>
      <c r="C1112" t="s">
        <v>27</v>
      </c>
      <c r="D1112" t="s">
        <v>83</v>
      </c>
      <c r="E1112" t="s">
        <v>18</v>
      </c>
      <c r="F1112" s="2">
        <v>61</v>
      </c>
      <c r="G1112" t="s">
        <v>152</v>
      </c>
      <c r="H1112" t="s">
        <v>45</v>
      </c>
      <c r="I1112" t="s">
        <v>128</v>
      </c>
      <c r="J1112" t="s">
        <v>47</v>
      </c>
      <c r="K1112">
        <v>3</v>
      </c>
      <c r="L1112" t="s">
        <v>23</v>
      </c>
      <c r="M1112" t="s">
        <v>24</v>
      </c>
      <c r="N1112" t="s">
        <v>34</v>
      </c>
      <c r="O1112">
        <v>31</v>
      </c>
      <c r="P1112" t="s">
        <v>25</v>
      </c>
      <c r="Q1112" t="s">
        <v>68</v>
      </c>
      <c r="R1112" s="1">
        <v>0.1</v>
      </c>
      <c r="S1112">
        <f t="shared" si="68"/>
        <v>54.9</v>
      </c>
      <c r="T1112">
        <f>IFERROR(VLOOKUP(A1112,Table1[[Customer ID]:[Discount Amount]], 6, FALSE),"Not Found")</f>
        <v>61</v>
      </c>
      <c r="U1112" t="str">
        <f t="shared" si="69"/>
        <v>Cash</v>
      </c>
      <c r="V1112" s="4" t="str">
        <f t="shared" si="70"/>
        <v>Normal</v>
      </c>
      <c r="W1112" s="4" t="str">
        <f t="shared" si="71"/>
        <v>Good</v>
      </c>
      <c r="X1112" s="4">
        <f>AVERAGE(Table1[Purchase Amount])</f>
        <v>129.48419400000012</v>
      </c>
    </row>
    <row r="1113" spans="1:24" ht="15" customHeight="1" x14ac:dyDescent="0.25">
      <c r="A1113">
        <v>1112</v>
      </c>
      <c r="B1113">
        <v>22</v>
      </c>
      <c r="C1113" t="s">
        <v>27</v>
      </c>
      <c r="D1113" t="s">
        <v>72</v>
      </c>
      <c r="E1113" t="s">
        <v>98</v>
      </c>
      <c r="F1113" s="2">
        <v>66</v>
      </c>
      <c r="G1113" t="s">
        <v>101</v>
      </c>
      <c r="H1113" t="s">
        <v>55</v>
      </c>
      <c r="I1113" t="s">
        <v>21</v>
      </c>
      <c r="J1113" t="s">
        <v>57</v>
      </c>
      <c r="K1113">
        <v>4.0999999999999996</v>
      </c>
      <c r="L1113" t="s">
        <v>23</v>
      </c>
      <c r="M1113" t="s">
        <v>79</v>
      </c>
      <c r="N1113" t="s">
        <v>34</v>
      </c>
      <c r="O1113">
        <v>4</v>
      </c>
      <c r="P1113" t="s">
        <v>53</v>
      </c>
      <c r="Q1113" t="s">
        <v>68</v>
      </c>
      <c r="R1113" s="1">
        <v>0.1</v>
      </c>
      <c r="S1113">
        <f t="shared" si="68"/>
        <v>59.4</v>
      </c>
      <c r="T1113">
        <f>IFERROR(VLOOKUP(A1113,Table1[[Customer ID]:[Discount Amount]], 6, FALSE),"Not Found")</f>
        <v>66</v>
      </c>
      <c r="U1113" t="str">
        <f t="shared" si="69"/>
        <v>Credit Card</v>
      </c>
      <c r="V1113" s="4" t="str">
        <f t="shared" si="70"/>
        <v>Normal</v>
      </c>
      <c r="W1113" s="4" t="str">
        <f t="shared" si="71"/>
        <v>Good</v>
      </c>
      <c r="X1113" s="4">
        <f>AVERAGE(Table1[Purchase Amount])</f>
        <v>129.48419400000012</v>
      </c>
    </row>
    <row r="1114" spans="1:24" ht="15" customHeight="1" x14ac:dyDescent="0.25">
      <c r="A1114">
        <v>1113</v>
      </c>
      <c r="B1114">
        <v>69</v>
      </c>
      <c r="C1114" t="s">
        <v>27</v>
      </c>
      <c r="D1114" t="s">
        <v>83</v>
      </c>
      <c r="E1114" t="s">
        <v>18</v>
      </c>
      <c r="F1114" s="2">
        <v>67</v>
      </c>
      <c r="G1114" t="s">
        <v>155</v>
      </c>
      <c r="H1114" t="s">
        <v>20</v>
      </c>
      <c r="I1114" t="s">
        <v>136</v>
      </c>
      <c r="J1114" t="s">
        <v>33</v>
      </c>
      <c r="K1114">
        <v>4.5999999999999996</v>
      </c>
      <c r="L1114" t="s">
        <v>23</v>
      </c>
      <c r="M1114" t="s">
        <v>35</v>
      </c>
      <c r="N1114" t="s">
        <v>34</v>
      </c>
      <c r="O1114">
        <v>32</v>
      </c>
      <c r="P1114" t="s">
        <v>58</v>
      </c>
      <c r="Q1114" t="s">
        <v>37</v>
      </c>
      <c r="R1114" s="1">
        <v>0.1</v>
      </c>
      <c r="S1114">
        <f t="shared" si="68"/>
        <v>60.3</v>
      </c>
      <c r="T1114">
        <f>IFERROR(VLOOKUP(A1114,Table1[[Customer ID]:[Discount Amount]], 6, FALSE),"Not Found")</f>
        <v>67</v>
      </c>
      <c r="U1114" t="str">
        <f t="shared" si="69"/>
        <v>PayPal</v>
      </c>
      <c r="V1114" s="4" t="str">
        <f t="shared" si="70"/>
        <v>Normal</v>
      </c>
      <c r="W1114" s="4" t="str">
        <f t="shared" si="71"/>
        <v>Good</v>
      </c>
      <c r="X1114" s="4">
        <f>AVERAGE(Table1[Purchase Amount])</f>
        <v>129.48419400000012</v>
      </c>
    </row>
    <row r="1115" spans="1:24" ht="15" customHeight="1" x14ac:dyDescent="0.25">
      <c r="A1115">
        <v>1114</v>
      </c>
      <c r="B1115">
        <v>28</v>
      </c>
      <c r="C1115" t="s">
        <v>27</v>
      </c>
      <c r="D1115" t="s">
        <v>28</v>
      </c>
      <c r="E1115" t="s">
        <v>29</v>
      </c>
      <c r="F1115" s="2">
        <v>80</v>
      </c>
      <c r="G1115" t="s">
        <v>106</v>
      </c>
      <c r="H1115" t="s">
        <v>31</v>
      </c>
      <c r="I1115" t="s">
        <v>66</v>
      </c>
      <c r="J1115" t="s">
        <v>57</v>
      </c>
      <c r="K1115">
        <v>4.8</v>
      </c>
      <c r="L1115" t="s">
        <v>23</v>
      </c>
      <c r="M1115" t="s">
        <v>79</v>
      </c>
      <c r="N1115" t="s">
        <v>34</v>
      </c>
      <c r="O1115">
        <v>11</v>
      </c>
      <c r="P1115" t="s">
        <v>58</v>
      </c>
      <c r="Q1115" t="s">
        <v>68</v>
      </c>
      <c r="R1115" s="1">
        <v>0.1</v>
      </c>
      <c r="S1115">
        <f t="shared" si="68"/>
        <v>72</v>
      </c>
      <c r="T1115">
        <f>IFERROR(VLOOKUP(A1115,Table1[[Customer ID]:[Discount Amount]], 6, FALSE),"Not Found")</f>
        <v>80</v>
      </c>
      <c r="U1115" t="str">
        <f t="shared" si="69"/>
        <v>PayPal</v>
      </c>
      <c r="V1115" s="4" t="str">
        <f t="shared" si="70"/>
        <v>Normal</v>
      </c>
      <c r="W1115" s="4" t="str">
        <f t="shared" si="71"/>
        <v>Good</v>
      </c>
      <c r="X1115" s="4">
        <f>AVERAGE(Table1[Purchase Amount])</f>
        <v>129.48419400000012</v>
      </c>
    </row>
    <row r="1116" spans="1:24" ht="15" customHeight="1" x14ac:dyDescent="0.25">
      <c r="A1116">
        <v>1115</v>
      </c>
      <c r="B1116">
        <v>55</v>
      </c>
      <c r="C1116" t="s">
        <v>27</v>
      </c>
      <c r="D1116" t="s">
        <v>122</v>
      </c>
      <c r="E1116" t="s">
        <v>18</v>
      </c>
      <c r="F1116" s="2">
        <v>25</v>
      </c>
      <c r="G1116" t="s">
        <v>132</v>
      </c>
      <c r="H1116" t="s">
        <v>45</v>
      </c>
      <c r="I1116" t="s">
        <v>111</v>
      </c>
      <c r="J1116" t="s">
        <v>47</v>
      </c>
      <c r="K1116">
        <v>2.6</v>
      </c>
      <c r="L1116" t="s">
        <v>23</v>
      </c>
      <c r="M1116" t="s">
        <v>79</v>
      </c>
      <c r="N1116" t="s">
        <v>34</v>
      </c>
      <c r="O1116">
        <v>47</v>
      </c>
      <c r="P1116" t="s">
        <v>88</v>
      </c>
      <c r="Q1116" t="s">
        <v>63</v>
      </c>
      <c r="R1116" s="1">
        <v>0.1</v>
      </c>
      <c r="S1116">
        <f t="shared" si="68"/>
        <v>22.5</v>
      </c>
      <c r="T1116">
        <f>IFERROR(VLOOKUP(A1116,Table1[[Customer ID]:[Discount Amount]], 6, FALSE),"Not Found")</f>
        <v>25</v>
      </c>
      <c r="U1116" t="str">
        <f t="shared" si="69"/>
        <v>Bank Transfer</v>
      </c>
      <c r="V1116" s="4" t="str">
        <f t="shared" si="70"/>
        <v>Normal</v>
      </c>
      <c r="W1116" s="4" t="str">
        <f t="shared" si="71"/>
        <v>Poor</v>
      </c>
      <c r="X1116" s="4">
        <f>AVERAGE(Table1[Purchase Amount])</f>
        <v>129.48419400000012</v>
      </c>
    </row>
    <row r="1117" spans="1:24" ht="15" customHeight="1" x14ac:dyDescent="0.25">
      <c r="A1117">
        <v>1116</v>
      </c>
      <c r="B1117">
        <v>30</v>
      </c>
      <c r="C1117" t="s">
        <v>27</v>
      </c>
      <c r="D1117" t="s">
        <v>64</v>
      </c>
      <c r="E1117" t="s">
        <v>29</v>
      </c>
      <c r="F1117" s="2">
        <v>58</v>
      </c>
      <c r="G1117" t="s">
        <v>101</v>
      </c>
      <c r="H1117" t="s">
        <v>55</v>
      </c>
      <c r="I1117" t="s">
        <v>145</v>
      </c>
      <c r="J1117" t="s">
        <v>47</v>
      </c>
      <c r="K1117">
        <v>4</v>
      </c>
      <c r="L1117" t="s">
        <v>23</v>
      </c>
      <c r="M1117" t="s">
        <v>41</v>
      </c>
      <c r="N1117" t="s">
        <v>34</v>
      </c>
      <c r="O1117">
        <v>37</v>
      </c>
      <c r="P1117" t="s">
        <v>25</v>
      </c>
      <c r="Q1117" t="s">
        <v>26</v>
      </c>
      <c r="R1117" s="1">
        <v>0.1</v>
      </c>
      <c r="S1117">
        <f t="shared" si="68"/>
        <v>52.2</v>
      </c>
      <c r="T1117">
        <f>IFERROR(VLOOKUP(A1117,Table1[[Customer ID]:[Discount Amount]], 6, FALSE),"Not Found")</f>
        <v>58</v>
      </c>
      <c r="U1117" t="str">
        <f t="shared" si="69"/>
        <v>Cash</v>
      </c>
      <c r="V1117" s="4" t="str">
        <f t="shared" si="70"/>
        <v>Normal</v>
      </c>
      <c r="W1117" s="4" t="str">
        <f t="shared" si="71"/>
        <v>Good</v>
      </c>
      <c r="X1117" s="4">
        <f>AVERAGE(Table1[Purchase Amount])</f>
        <v>129.48419400000012</v>
      </c>
    </row>
    <row r="1118" spans="1:24" ht="15" customHeight="1" x14ac:dyDescent="0.25">
      <c r="A1118">
        <v>1117</v>
      </c>
      <c r="B1118">
        <v>67</v>
      </c>
      <c r="C1118" t="s">
        <v>27</v>
      </c>
      <c r="D1118" t="s">
        <v>104</v>
      </c>
      <c r="E1118" t="s">
        <v>29</v>
      </c>
      <c r="F1118" s="2">
        <v>96</v>
      </c>
      <c r="G1118" t="s">
        <v>135</v>
      </c>
      <c r="H1118" t="s">
        <v>31</v>
      </c>
      <c r="I1118" t="s">
        <v>103</v>
      </c>
      <c r="J1118" t="s">
        <v>22</v>
      </c>
      <c r="K1118">
        <v>4.2</v>
      </c>
      <c r="L1118" t="s">
        <v>23</v>
      </c>
      <c r="M1118" t="s">
        <v>61</v>
      </c>
      <c r="N1118" t="s">
        <v>34</v>
      </c>
      <c r="O1118">
        <v>39</v>
      </c>
      <c r="P1118" t="s">
        <v>58</v>
      </c>
      <c r="Q1118" t="s">
        <v>89</v>
      </c>
      <c r="R1118" s="1">
        <v>0.1</v>
      </c>
      <c r="S1118">
        <f t="shared" si="68"/>
        <v>86.4</v>
      </c>
      <c r="T1118">
        <f>IFERROR(VLOOKUP(A1118,Table1[[Customer ID]:[Discount Amount]], 6, FALSE),"Not Found")</f>
        <v>96</v>
      </c>
      <c r="U1118" t="str">
        <f t="shared" si="69"/>
        <v>PayPal</v>
      </c>
      <c r="V1118" s="4" t="str">
        <f t="shared" si="70"/>
        <v>Normal</v>
      </c>
      <c r="W1118" s="4" t="str">
        <f t="shared" si="71"/>
        <v>Good</v>
      </c>
      <c r="X1118" s="4">
        <f>AVERAGE(Table1[Purchase Amount])</f>
        <v>129.48419400000012</v>
      </c>
    </row>
    <row r="1119" spans="1:24" ht="15" customHeight="1" x14ac:dyDescent="0.25">
      <c r="A1119">
        <v>1118</v>
      </c>
      <c r="B1119">
        <v>25</v>
      </c>
      <c r="C1119" t="s">
        <v>27</v>
      </c>
      <c r="D1119" t="s">
        <v>28</v>
      </c>
      <c r="E1119" t="s">
        <v>29</v>
      </c>
      <c r="F1119" s="2">
        <v>77</v>
      </c>
      <c r="G1119" t="s">
        <v>19</v>
      </c>
      <c r="H1119" t="s">
        <v>45</v>
      </c>
      <c r="I1119" t="s">
        <v>107</v>
      </c>
      <c r="J1119" t="s">
        <v>33</v>
      </c>
      <c r="K1119">
        <v>4.5</v>
      </c>
      <c r="L1119" t="s">
        <v>23</v>
      </c>
      <c r="M1119" t="s">
        <v>48</v>
      </c>
      <c r="N1119" t="s">
        <v>34</v>
      </c>
      <c r="O1119">
        <v>24</v>
      </c>
      <c r="P1119" t="s">
        <v>53</v>
      </c>
      <c r="Q1119" t="s">
        <v>42</v>
      </c>
      <c r="R1119" s="1">
        <v>0.1</v>
      </c>
      <c r="S1119">
        <f t="shared" si="68"/>
        <v>69.3</v>
      </c>
      <c r="T1119">
        <f>IFERROR(VLOOKUP(A1119,Table1[[Customer ID]:[Discount Amount]], 6, FALSE),"Not Found")</f>
        <v>77</v>
      </c>
      <c r="U1119" t="str">
        <f t="shared" si="69"/>
        <v>Credit Card</v>
      </c>
      <c r="V1119" s="4" t="str">
        <f t="shared" si="70"/>
        <v>Normal</v>
      </c>
      <c r="W1119" s="4" t="str">
        <f t="shared" si="71"/>
        <v>Good</v>
      </c>
      <c r="X1119" s="4">
        <f>AVERAGE(Table1[Purchase Amount])</f>
        <v>129.48419400000012</v>
      </c>
    </row>
    <row r="1120" spans="1:24" ht="15" customHeight="1" x14ac:dyDescent="0.25">
      <c r="A1120">
        <v>1119</v>
      </c>
      <c r="B1120">
        <v>49</v>
      </c>
      <c r="C1120" t="s">
        <v>27</v>
      </c>
      <c r="D1120" t="s">
        <v>114</v>
      </c>
      <c r="E1120" t="s">
        <v>29</v>
      </c>
      <c r="F1120" s="2">
        <v>65</v>
      </c>
      <c r="G1120" t="s">
        <v>102</v>
      </c>
      <c r="H1120" t="s">
        <v>31</v>
      </c>
      <c r="I1120" t="s">
        <v>66</v>
      </c>
      <c r="J1120" t="s">
        <v>57</v>
      </c>
      <c r="K1120">
        <v>4.9000000000000004</v>
      </c>
      <c r="L1120" t="s">
        <v>23</v>
      </c>
      <c r="M1120" t="s">
        <v>24</v>
      </c>
      <c r="N1120" t="s">
        <v>34</v>
      </c>
      <c r="O1120">
        <v>11</v>
      </c>
      <c r="P1120" t="s">
        <v>58</v>
      </c>
      <c r="Q1120" t="s">
        <v>63</v>
      </c>
      <c r="R1120" s="1">
        <v>0.1</v>
      </c>
      <c r="S1120">
        <f t="shared" si="68"/>
        <v>58.5</v>
      </c>
      <c r="T1120">
        <f>IFERROR(VLOOKUP(A1120,Table1[[Customer ID]:[Discount Amount]], 6, FALSE),"Not Found")</f>
        <v>65</v>
      </c>
      <c r="U1120" t="str">
        <f t="shared" si="69"/>
        <v>PayPal</v>
      </c>
      <c r="V1120" s="4" t="str">
        <f t="shared" si="70"/>
        <v>Normal</v>
      </c>
      <c r="W1120" s="4" t="str">
        <f t="shared" si="71"/>
        <v>Good</v>
      </c>
      <c r="X1120" s="4">
        <f>AVERAGE(Table1[Purchase Amount])</f>
        <v>129.48419400000012</v>
      </c>
    </row>
    <row r="1121" spans="1:24" ht="15" customHeight="1" x14ac:dyDescent="0.25">
      <c r="A1121">
        <v>1120</v>
      </c>
      <c r="B1121">
        <v>34</v>
      </c>
      <c r="C1121" t="s">
        <v>27</v>
      </c>
      <c r="D1121" t="s">
        <v>50</v>
      </c>
      <c r="E1121" t="s">
        <v>29</v>
      </c>
      <c r="F1121" s="2">
        <v>36</v>
      </c>
      <c r="G1121" t="s">
        <v>119</v>
      </c>
      <c r="H1121" t="s">
        <v>31</v>
      </c>
      <c r="I1121" t="s">
        <v>91</v>
      </c>
      <c r="J1121" t="s">
        <v>33</v>
      </c>
      <c r="K1121">
        <v>3.1</v>
      </c>
      <c r="L1121" t="s">
        <v>23</v>
      </c>
      <c r="M1121" t="s">
        <v>24</v>
      </c>
      <c r="N1121" t="s">
        <v>34</v>
      </c>
      <c r="O1121">
        <v>36</v>
      </c>
      <c r="P1121" t="s">
        <v>53</v>
      </c>
      <c r="Q1121" t="s">
        <v>26</v>
      </c>
      <c r="R1121" s="1">
        <v>0.1</v>
      </c>
      <c r="S1121">
        <f t="shared" si="68"/>
        <v>32.4</v>
      </c>
      <c r="T1121">
        <f>IFERROR(VLOOKUP(A1121,Table1[[Customer ID]:[Discount Amount]], 6, FALSE),"Not Found")</f>
        <v>36</v>
      </c>
      <c r="U1121" t="str">
        <f t="shared" si="69"/>
        <v>Credit Card</v>
      </c>
      <c r="V1121" s="4" t="str">
        <f t="shared" si="70"/>
        <v>Normal</v>
      </c>
      <c r="W1121" s="4" t="str">
        <f t="shared" si="71"/>
        <v>Good</v>
      </c>
      <c r="X1121" s="4">
        <f>AVERAGE(Table1[Purchase Amount])</f>
        <v>129.48419400000012</v>
      </c>
    </row>
    <row r="1122" spans="1:24" ht="15" customHeight="1" x14ac:dyDescent="0.25">
      <c r="A1122">
        <v>1121</v>
      </c>
      <c r="B1122">
        <v>22</v>
      </c>
      <c r="C1122" t="s">
        <v>27</v>
      </c>
      <c r="D1122" t="s">
        <v>140</v>
      </c>
      <c r="E1122" t="s">
        <v>98</v>
      </c>
      <c r="F1122" s="2">
        <v>84</v>
      </c>
      <c r="G1122" t="s">
        <v>78</v>
      </c>
      <c r="H1122" t="s">
        <v>31</v>
      </c>
      <c r="I1122" t="s">
        <v>87</v>
      </c>
      <c r="J1122" t="s">
        <v>22</v>
      </c>
      <c r="K1122">
        <v>4</v>
      </c>
      <c r="L1122" t="s">
        <v>23</v>
      </c>
      <c r="M1122" t="s">
        <v>79</v>
      </c>
      <c r="N1122" t="s">
        <v>34</v>
      </c>
      <c r="O1122">
        <v>40</v>
      </c>
      <c r="P1122" t="s">
        <v>36</v>
      </c>
      <c r="Q1122" t="s">
        <v>42</v>
      </c>
      <c r="R1122" s="1">
        <v>0.1</v>
      </c>
      <c r="S1122">
        <f t="shared" si="68"/>
        <v>75.599999999999994</v>
      </c>
      <c r="T1122">
        <f>IFERROR(VLOOKUP(A1122,Table1[[Customer ID]:[Discount Amount]], 6, FALSE),"Not Found")</f>
        <v>84</v>
      </c>
      <c r="U1122" t="str">
        <f t="shared" si="69"/>
        <v>Debit Card</v>
      </c>
      <c r="V1122" s="4" t="str">
        <f t="shared" si="70"/>
        <v>Normal</v>
      </c>
      <c r="W1122" s="4" t="str">
        <f t="shared" si="71"/>
        <v>Good</v>
      </c>
      <c r="X1122" s="4">
        <f>AVERAGE(Table1[Purchase Amount])</f>
        <v>129.48419400000012</v>
      </c>
    </row>
    <row r="1123" spans="1:24" ht="15" customHeight="1" x14ac:dyDescent="0.25">
      <c r="A1123">
        <v>1122</v>
      </c>
      <c r="B1123">
        <v>63</v>
      </c>
      <c r="C1123" t="s">
        <v>27</v>
      </c>
      <c r="D1123" t="s">
        <v>17</v>
      </c>
      <c r="E1123" t="s">
        <v>18</v>
      </c>
      <c r="F1123" s="2">
        <v>58</v>
      </c>
      <c r="G1123" t="s">
        <v>67</v>
      </c>
      <c r="H1123" t="s">
        <v>20</v>
      </c>
      <c r="I1123" t="s">
        <v>145</v>
      </c>
      <c r="J1123" t="s">
        <v>47</v>
      </c>
      <c r="K1123">
        <v>3.2</v>
      </c>
      <c r="L1123" t="s">
        <v>23</v>
      </c>
      <c r="M1123" t="s">
        <v>61</v>
      </c>
      <c r="N1123" t="s">
        <v>34</v>
      </c>
      <c r="O1123">
        <v>25</v>
      </c>
      <c r="P1123" t="s">
        <v>25</v>
      </c>
      <c r="Q1123" t="s">
        <v>37</v>
      </c>
      <c r="R1123" s="1">
        <v>0.1</v>
      </c>
      <c r="S1123">
        <f t="shared" si="68"/>
        <v>52.2</v>
      </c>
      <c r="T1123">
        <f>IFERROR(VLOOKUP(A1123,Table1[[Customer ID]:[Discount Amount]], 6, FALSE),"Not Found")</f>
        <v>58</v>
      </c>
      <c r="U1123" t="str">
        <f t="shared" si="69"/>
        <v>Cash</v>
      </c>
      <c r="V1123" s="4" t="str">
        <f t="shared" si="70"/>
        <v>Normal</v>
      </c>
      <c r="W1123" s="4" t="str">
        <f t="shared" si="71"/>
        <v>Good</v>
      </c>
      <c r="X1123" s="4">
        <f>AVERAGE(Table1[Purchase Amount])</f>
        <v>129.48419400000012</v>
      </c>
    </row>
    <row r="1124" spans="1:24" ht="15" customHeight="1" x14ac:dyDescent="0.25">
      <c r="A1124">
        <v>1123</v>
      </c>
      <c r="B1124">
        <v>70</v>
      </c>
      <c r="C1124" t="s">
        <v>27</v>
      </c>
      <c r="D1124" t="s">
        <v>69</v>
      </c>
      <c r="E1124" t="s">
        <v>29</v>
      </c>
      <c r="F1124" s="2">
        <v>62</v>
      </c>
      <c r="G1124" t="s">
        <v>134</v>
      </c>
      <c r="H1124" t="s">
        <v>55</v>
      </c>
      <c r="I1124" t="s">
        <v>103</v>
      </c>
      <c r="J1124" t="s">
        <v>33</v>
      </c>
      <c r="K1124">
        <v>4.3</v>
      </c>
      <c r="L1124" t="s">
        <v>23</v>
      </c>
      <c r="M1124" t="s">
        <v>41</v>
      </c>
      <c r="N1124" t="s">
        <v>34</v>
      </c>
      <c r="O1124">
        <v>12</v>
      </c>
      <c r="P1124" t="s">
        <v>53</v>
      </c>
      <c r="Q1124" t="s">
        <v>49</v>
      </c>
      <c r="R1124" s="1">
        <v>0.1</v>
      </c>
      <c r="S1124">
        <f t="shared" si="68"/>
        <v>55.8</v>
      </c>
      <c r="T1124">
        <f>IFERROR(VLOOKUP(A1124,Table1[[Customer ID]:[Discount Amount]], 6, FALSE),"Not Found")</f>
        <v>62</v>
      </c>
      <c r="U1124" t="str">
        <f t="shared" si="69"/>
        <v>Credit Card</v>
      </c>
      <c r="V1124" s="4" t="str">
        <f t="shared" si="70"/>
        <v>Normal</v>
      </c>
      <c r="W1124" s="4" t="str">
        <f t="shared" si="71"/>
        <v>Good</v>
      </c>
      <c r="X1124" s="4">
        <f>AVERAGE(Table1[Purchase Amount])</f>
        <v>129.48419400000012</v>
      </c>
    </row>
    <row r="1125" spans="1:24" ht="15" customHeight="1" x14ac:dyDescent="0.25">
      <c r="A1125">
        <v>1124</v>
      </c>
      <c r="B1125">
        <v>36</v>
      </c>
      <c r="C1125" t="s">
        <v>27</v>
      </c>
      <c r="D1125" t="s">
        <v>64</v>
      </c>
      <c r="E1125" t="s">
        <v>29</v>
      </c>
      <c r="F1125" s="2">
        <v>67</v>
      </c>
      <c r="G1125" t="s">
        <v>97</v>
      </c>
      <c r="H1125" t="s">
        <v>55</v>
      </c>
      <c r="I1125" t="s">
        <v>66</v>
      </c>
      <c r="J1125" t="s">
        <v>47</v>
      </c>
      <c r="K1125">
        <v>2.5</v>
      </c>
      <c r="L1125" t="s">
        <v>23</v>
      </c>
      <c r="M1125" t="s">
        <v>48</v>
      </c>
      <c r="N1125" t="s">
        <v>34</v>
      </c>
      <c r="O1125">
        <v>38</v>
      </c>
      <c r="P1125" t="s">
        <v>25</v>
      </c>
      <c r="Q1125" t="s">
        <v>42</v>
      </c>
      <c r="R1125" s="1">
        <v>0.1</v>
      </c>
      <c r="S1125">
        <f t="shared" si="68"/>
        <v>60.3</v>
      </c>
      <c r="T1125">
        <f>IFERROR(VLOOKUP(A1125,Table1[[Customer ID]:[Discount Amount]], 6, FALSE),"Not Found")</f>
        <v>67</v>
      </c>
      <c r="U1125" t="str">
        <f t="shared" si="69"/>
        <v>Cash</v>
      </c>
      <c r="V1125" s="4" t="str">
        <f t="shared" si="70"/>
        <v>Normal</v>
      </c>
      <c r="W1125" s="4" t="str">
        <f t="shared" si="71"/>
        <v>Poor</v>
      </c>
      <c r="X1125" s="4">
        <f>AVERAGE(Table1[Purchase Amount])</f>
        <v>129.48419400000012</v>
      </c>
    </row>
    <row r="1126" spans="1:24" ht="15" customHeight="1" x14ac:dyDescent="0.25">
      <c r="A1126">
        <v>1125</v>
      </c>
      <c r="B1126">
        <v>42</v>
      </c>
      <c r="C1126" t="s">
        <v>27</v>
      </c>
      <c r="D1126" t="s">
        <v>127</v>
      </c>
      <c r="E1126" t="s">
        <v>18</v>
      </c>
      <c r="F1126" s="2">
        <v>20</v>
      </c>
      <c r="G1126" t="s">
        <v>141</v>
      </c>
      <c r="H1126" t="s">
        <v>31</v>
      </c>
      <c r="I1126" t="s">
        <v>108</v>
      </c>
      <c r="J1126" t="s">
        <v>33</v>
      </c>
      <c r="K1126">
        <v>1</v>
      </c>
      <c r="L1126" t="s">
        <v>23</v>
      </c>
      <c r="M1126" t="s">
        <v>61</v>
      </c>
      <c r="N1126" t="s">
        <v>34</v>
      </c>
      <c r="O1126">
        <v>40</v>
      </c>
      <c r="P1126" t="s">
        <v>25</v>
      </c>
      <c r="Q1126" t="s">
        <v>37</v>
      </c>
      <c r="R1126" s="1">
        <v>0.1</v>
      </c>
      <c r="S1126">
        <f t="shared" si="68"/>
        <v>18</v>
      </c>
      <c r="T1126">
        <f>IFERROR(VLOOKUP(A1126,Table1[[Customer ID]:[Discount Amount]], 6, FALSE),"Not Found")</f>
        <v>20</v>
      </c>
      <c r="U1126" t="str">
        <f t="shared" si="69"/>
        <v>Cash</v>
      </c>
      <c r="V1126" s="4" t="str">
        <f t="shared" si="70"/>
        <v>Normal</v>
      </c>
      <c r="W1126" s="4" t="str">
        <f t="shared" si="71"/>
        <v>Poor</v>
      </c>
      <c r="X1126" s="4">
        <f>AVERAGE(Table1[Purchase Amount])</f>
        <v>129.48419400000012</v>
      </c>
    </row>
    <row r="1127" spans="1:24" ht="15" customHeight="1" x14ac:dyDescent="0.25">
      <c r="A1127">
        <v>1126</v>
      </c>
      <c r="B1127">
        <v>27</v>
      </c>
      <c r="C1127" t="s">
        <v>27</v>
      </c>
      <c r="D1127" t="s">
        <v>121</v>
      </c>
      <c r="E1127" t="s">
        <v>98</v>
      </c>
      <c r="F1127" s="2">
        <v>90</v>
      </c>
      <c r="G1127" t="s">
        <v>86</v>
      </c>
      <c r="H1127" t="s">
        <v>31</v>
      </c>
      <c r="I1127" t="s">
        <v>107</v>
      </c>
      <c r="J1127" t="s">
        <v>57</v>
      </c>
      <c r="K1127">
        <v>2.7</v>
      </c>
      <c r="L1127" t="s">
        <v>23</v>
      </c>
      <c r="M1127" t="s">
        <v>41</v>
      </c>
      <c r="N1127" t="s">
        <v>34</v>
      </c>
      <c r="O1127">
        <v>10</v>
      </c>
      <c r="P1127" t="s">
        <v>88</v>
      </c>
      <c r="Q1127" t="s">
        <v>26</v>
      </c>
      <c r="R1127" s="1">
        <v>0.1</v>
      </c>
      <c r="S1127">
        <f t="shared" si="68"/>
        <v>81</v>
      </c>
      <c r="T1127">
        <f>IFERROR(VLOOKUP(A1127,Table1[[Customer ID]:[Discount Amount]], 6, FALSE),"Not Found")</f>
        <v>90</v>
      </c>
      <c r="U1127" t="str">
        <f t="shared" si="69"/>
        <v>Bank Transfer</v>
      </c>
      <c r="V1127" s="4" t="str">
        <f t="shared" si="70"/>
        <v>Normal</v>
      </c>
      <c r="W1127" s="4" t="str">
        <f t="shared" si="71"/>
        <v>Poor</v>
      </c>
      <c r="X1127" s="4">
        <f>AVERAGE(Table1[Purchase Amount])</f>
        <v>129.48419400000012</v>
      </c>
    </row>
    <row r="1128" spans="1:24" ht="15" customHeight="1" x14ac:dyDescent="0.25">
      <c r="A1128">
        <v>1127</v>
      </c>
      <c r="B1128">
        <v>23</v>
      </c>
      <c r="C1128" t="s">
        <v>27</v>
      </c>
      <c r="D1128" t="s">
        <v>129</v>
      </c>
      <c r="E1128" t="s">
        <v>29</v>
      </c>
      <c r="F1128" s="2">
        <v>58</v>
      </c>
      <c r="G1128" t="s">
        <v>141</v>
      </c>
      <c r="H1128" t="s">
        <v>45</v>
      </c>
      <c r="I1128" t="s">
        <v>56</v>
      </c>
      <c r="J1128" t="s">
        <v>22</v>
      </c>
      <c r="K1128">
        <v>3.4</v>
      </c>
      <c r="L1128" t="s">
        <v>23</v>
      </c>
      <c r="M1128" t="s">
        <v>24</v>
      </c>
      <c r="N1128" t="s">
        <v>34</v>
      </c>
      <c r="O1128">
        <v>47</v>
      </c>
      <c r="P1128" t="s">
        <v>62</v>
      </c>
      <c r="Q1128" t="s">
        <v>89</v>
      </c>
      <c r="R1128" s="1">
        <v>0.1</v>
      </c>
      <c r="S1128">
        <f t="shared" si="68"/>
        <v>52.2</v>
      </c>
      <c r="T1128">
        <f>IFERROR(VLOOKUP(A1128,Table1[[Customer ID]:[Discount Amount]], 6, FALSE),"Not Found")</f>
        <v>58</v>
      </c>
      <c r="U1128" t="str">
        <f t="shared" si="69"/>
        <v>Venmo</v>
      </c>
      <c r="V1128" s="4" t="str">
        <f t="shared" si="70"/>
        <v>Normal</v>
      </c>
      <c r="W1128" s="4" t="str">
        <f t="shared" si="71"/>
        <v>Good</v>
      </c>
      <c r="X1128" s="4">
        <f>AVERAGE(Table1[Purchase Amount])</f>
        <v>129.48419400000012</v>
      </c>
    </row>
    <row r="1129" spans="1:24" ht="15" customHeight="1" x14ac:dyDescent="0.25">
      <c r="A1129">
        <v>1128</v>
      </c>
      <c r="B1129">
        <v>50</v>
      </c>
      <c r="C1129" t="s">
        <v>27</v>
      </c>
      <c r="D1129" t="s">
        <v>38</v>
      </c>
      <c r="E1129" t="s">
        <v>18</v>
      </c>
      <c r="F1129" s="2">
        <v>53</v>
      </c>
      <c r="G1129" t="s">
        <v>143</v>
      </c>
      <c r="H1129" t="s">
        <v>20</v>
      </c>
      <c r="I1129" t="s">
        <v>125</v>
      </c>
      <c r="J1129" t="s">
        <v>33</v>
      </c>
      <c r="K1129">
        <v>4.8</v>
      </c>
      <c r="L1129" t="s">
        <v>23</v>
      </c>
      <c r="M1129" t="s">
        <v>48</v>
      </c>
      <c r="N1129" t="s">
        <v>34</v>
      </c>
      <c r="O1129">
        <v>22</v>
      </c>
      <c r="P1129" t="s">
        <v>36</v>
      </c>
      <c r="Q1129" t="s">
        <v>42</v>
      </c>
      <c r="R1129" s="1">
        <v>0.1</v>
      </c>
      <c r="S1129">
        <f t="shared" si="68"/>
        <v>47.7</v>
      </c>
      <c r="T1129">
        <f>IFERROR(VLOOKUP(A1129,Table1[[Customer ID]:[Discount Amount]], 6, FALSE),"Not Found")</f>
        <v>53</v>
      </c>
      <c r="U1129" t="str">
        <f t="shared" si="69"/>
        <v>Debit Card</v>
      </c>
      <c r="V1129" s="4" t="str">
        <f t="shared" si="70"/>
        <v>Normal</v>
      </c>
      <c r="W1129" s="4" t="str">
        <f t="shared" si="71"/>
        <v>Good</v>
      </c>
      <c r="X1129" s="4">
        <f>AVERAGE(Table1[Purchase Amount])</f>
        <v>129.48419400000012</v>
      </c>
    </row>
    <row r="1130" spans="1:24" ht="15" customHeight="1" x14ac:dyDescent="0.25">
      <c r="A1130">
        <v>1129</v>
      </c>
      <c r="B1130">
        <v>56</v>
      </c>
      <c r="C1130" t="s">
        <v>27</v>
      </c>
      <c r="D1130" t="s">
        <v>43</v>
      </c>
      <c r="E1130" t="s">
        <v>29</v>
      </c>
      <c r="F1130" s="2">
        <v>30</v>
      </c>
      <c r="G1130" t="s">
        <v>101</v>
      </c>
      <c r="H1130" t="s">
        <v>45</v>
      </c>
      <c r="I1130" t="s">
        <v>103</v>
      </c>
      <c r="J1130" t="s">
        <v>22</v>
      </c>
      <c r="K1130">
        <v>4.7</v>
      </c>
      <c r="L1130" t="s">
        <v>23</v>
      </c>
      <c r="M1130" t="s">
        <v>79</v>
      </c>
      <c r="N1130" t="s">
        <v>34</v>
      </c>
      <c r="O1130">
        <v>35</v>
      </c>
      <c r="P1130" t="s">
        <v>36</v>
      </c>
      <c r="Q1130" t="s">
        <v>42</v>
      </c>
      <c r="R1130" s="1">
        <v>0.1</v>
      </c>
      <c r="S1130">
        <f t="shared" si="68"/>
        <v>27</v>
      </c>
      <c r="T1130">
        <f>IFERROR(VLOOKUP(A1130,Table1[[Customer ID]:[Discount Amount]], 6, FALSE),"Not Found")</f>
        <v>30</v>
      </c>
      <c r="U1130" t="str">
        <f t="shared" si="69"/>
        <v>Debit Card</v>
      </c>
      <c r="V1130" s="4" t="str">
        <f t="shared" si="70"/>
        <v>Normal</v>
      </c>
      <c r="W1130" s="4" t="str">
        <f t="shared" si="71"/>
        <v>Good</v>
      </c>
      <c r="X1130" s="4">
        <f>AVERAGE(Table1[Purchase Amount])</f>
        <v>129.48419400000012</v>
      </c>
    </row>
    <row r="1131" spans="1:24" ht="15" customHeight="1" x14ac:dyDescent="0.25">
      <c r="A1131">
        <v>1130</v>
      </c>
      <c r="B1131">
        <v>37</v>
      </c>
      <c r="C1131" t="s">
        <v>27</v>
      </c>
      <c r="D1131" t="s">
        <v>83</v>
      </c>
      <c r="E1131" t="s">
        <v>18</v>
      </c>
      <c r="F1131" s="2">
        <v>65</v>
      </c>
      <c r="G1131" t="s">
        <v>132</v>
      </c>
      <c r="H1131" t="s">
        <v>20</v>
      </c>
      <c r="I1131" t="s">
        <v>32</v>
      </c>
      <c r="J1131" t="s">
        <v>22</v>
      </c>
      <c r="K1131">
        <v>4.7</v>
      </c>
      <c r="L1131" t="s">
        <v>23</v>
      </c>
      <c r="M1131" t="s">
        <v>61</v>
      </c>
      <c r="N1131" t="s">
        <v>34</v>
      </c>
      <c r="O1131">
        <v>46</v>
      </c>
      <c r="P1131" t="s">
        <v>62</v>
      </c>
      <c r="Q1131" t="s">
        <v>89</v>
      </c>
      <c r="R1131" s="1">
        <v>0.1</v>
      </c>
      <c r="S1131">
        <f t="shared" si="68"/>
        <v>58.5</v>
      </c>
      <c r="T1131">
        <f>IFERROR(VLOOKUP(A1131,Table1[[Customer ID]:[Discount Amount]], 6, FALSE),"Not Found")</f>
        <v>65</v>
      </c>
      <c r="U1131" t="str">
        <f t="shared" si="69"/>
        <v>Venmo</v>
      </c>
      <c r="V1131" s="4" t="str">
        <f t="shared" si="70"/>
        <v>Normal</v>
      </c>
      <c r="W1131" s="4" t="str">
        <f t="shared" si="71"/>
        <v>Good</v>
      </c>
      <c r="X1131" s="4">
        <f>AVERAGE(Table1[Purchase Amount])</f>
        <v>129.48419400000012</v>
      </c>
    </row>
    <row r="1132" spans="1:24" ht="15" customHeight="1" x14ac:dyDescent="0.25">
      <c r="A1132">
        <v>1131</v>
      </c>
      <c r="B1132">
        <v>67</v>
      </c>
      <c r="C1132" t="s">
        <v>27</v>
      </c>
      <c r="D1132" t="s">
        <v>50</v>
      </c>
      <c r="E1132" t="s">
        <v>29</v>
      </c>
      <c r="F1132" s="2">
        <v>41</v>
      </c>
      <c r="G1132" t="s">
        <v>70</v>
      </c>
      <c r="H1132" t="s">
        <v>31</v>
      </c>
      <c r="I1132" t="s">
        <v>107</v>
      </c>
      <c r="J1132" t="s">
        <v>57</v>
      </c>
      <c r="K1132">
        <v>3.9</v>
      </c>
      <c r="L1132" t="s">
        <v>23</v>
      </c>
      <c r="M1132" t="s">
        <v>24</v>
      </c>
      <c r="N1132" t="s">
        <v>34</v>
      </c>
      <c r="O1132">
        <v>30</v>
      </c>
      <c r="P1132" t="s">
        <v>58</v>
      </c>
      <c r="Q1132" t="s">
        <v>68</v>
      </c>
      <c r="R1132" s="1">
        <v>0.1</v>
      </c>
      <c r="S1132">
        <f t="shared" si="68"/>
        <v>36.9</v>
      </c>
      <c r="T1132">
        <f>IFERROR(VLOOKUP(A1132,Table1[[Customer ID]:[Discount Amount]], 6, FALSE),"Not Found")</f>
        <v>41</v>
      </c>
      <c r="U1132" t="str">
        <f t="shared" si="69"/>
        <v>PayPal</v>
      </c>
      <c r="V1132" s="4" t="str">
        <f t="shared" si="70"/>
        <v>Normal</v>
      </c>
      <c r="W1132" s="4" t="str">
        <f t="shared" si="71"/>
        <v>Good</v>
      </c>
      <c r="X1132" s="4">
        <f>AVERAGE(Table1[Purchase Amount])</f>
        <v>129.48419400000012</v>
      </c>
    </row>
    <row r="1133" spans="1:24" ht="15" customHeight="1" x14ac:dyDescent="0.25">
      <c r="A1133">
        <v>1132</v>
      </c>
      <c r="B1133">
        <v>67</v>
      </c>
      <c r="C1133" t="s">
        <v>27</v>
      </c>
      <c r="D1133" t="s">
        <v>38</v>
      </c>
      <c r="E1133" t="s">
        <v>18</v>
      </c>
      <c r="F1133" s="2">
        <v>73</v>
      </c>
      <c r="G1133" t="s">
        <v>44</v>
      </c>
      <c r="H1133" t="s">
        <v>31</v>
      </c>
      <c r="I1133" t="s">
        <v>40</v>
      </c>
      <c r="J1133" t="s">
        <v>33</v>
      </c>
      <c r="K1133">
        <v>3.7</v>
      </c>
      <c r="L1133" t="s">
        <v>23</v>
      </c>
      <c r="M1133" t="s">
        <v>61</v>
      </c>
      <c r="N1133" t="s">
        <v>34</v>
      </c>
      <c r="O1133">
        <v>20</v>
      </c>
      <c r="P1133" t="s">
        <v>88</v>
      </c>
      <c r="Q1133" t="s">
        <v>42</v>
      </c>
      <c r="R1133" s="1">
        <v>0.1</v>
      </c>
      <c r="S1133">
        <f t="shared" si="68"/>
        <v>65.7</v>
      </c>
      <c r="T1133">
        <f>IFERROR(VLOOKUP(A1133,Table1[[Customer ID]:[Discount Amount]], 6, FALSE),"Not Found")</f>
        <v>73</v>
      </c>
      <c r="U1133" t="str">
        <f t="shared" si="69"/>
        <v>Bank Transfer</v>
      </c>
      <c r="V1133" s="4" t="str">
        <f t="shared" si="70"/>
        <v>Normal</v>
      </c>
      <c r="W1133" s="4" t="str">
        <f t="shared" si="71"/>
        <v>Good</v>
      </c>
      <c r="X1133" s="4">
        <f>AVERAGE(Table1[Purchase Amount])</f>
        <v>129.48419400000012</v>
      </c>
    </row>
    <row r="1134" spans="1:24" ht="15" customHeight="1" x14ac:dyDescent="0.25">
      <c r="A1134">
        <v>1133</v>
      </c>
      <c r="B1134">
        <v>50</v>
      </c>
      <c r="C1134" t="s">
        <v>27</v>
      </c>
      <c r="D1134" t="s">
        <v>83</v>
      </c>
      <c r="E1134" t="s">
        <v>18</v>
      </c>
      <c r="F1134" s="2">
        <v>98</v>
      </c>
      <c r="G1134" t="s">
        <v>134</v>
      </c>
      <c r="H1134" t="s">
        <v>55</v>
      </c>
      <c r="I1134" t="s">
        <v>147</v>
      </c>
      <c r="J1134" t="s">
        <v>33</v>
      </c>
      <c r="K1134">
        <v>4.3</v>
      </c>
      <c r="L1134" t="s">
        <v>23</v>
      </c>
      <c r="M1134" t="s">
        <v>48</v>
      </c>
      <c r="N1134" t="s">
        <v>34</v>
      </c>
      <c r="O1134">
        <v>25</v>
      </c>
      <c r="P1134" t="s">
        <v>25</v>
      </c>
      <c r="Q1134" t="s">
        <v>89</v>
      </c>
      <c r="R1134" s="1">
        <v>0.1</v>
      </c>
      <c r="S1134">
        <f t="shared" si="68"/>
        <v>88.2</v>
      </c>
      <c r="T1134">
        <f>IFERROR(VLOOKUP(A1134,Table1[[Customer ID]:[Discount Amount]], 6, FALSE),"Not Found")</f>
        <v>98</v>
      </c>
      <c r="U1134" t="str">
        <f t="shared" si="69"/>
        <v>Cash</v>
      </c>
      <c r="V1134" s="4" t="str">
        <f t="shared" si="70"/>
        <v>Normal</v>
      </c>
      <c r="W1134" s="4" t="str">
        <f t="shared" si="71"/>
        <v>Good</v>
      </c>
      <c r="X1134" s="4">
        <f>AVERAGE(Table1[Purchase Amount])</f>
        <v>129.48419400000012</v>
      </c>
    </row>
    <row r="1135" spans="1:24" ht="15" customHeight="1" x14ac:dyDescent="0.25">
      <c r="A1135">
        <v>1134</v>
      </c>
      <c r="B1135">
        <v>36</v>
      </c>
      <c r="C1135" t="s">
        <v>27</v>
      </c>
      <c r="D1135" t="s">
        <v>72</v>
      </c>
      <c r="E1135" t="s">
        <v>98</v>
      </c>
      <c r="F1135" s="2">
        <v>36</v>
      </c>
      <c r="G1135" t="s">
        <v>115</v>
      </c>
      <c r="H1135" t="s">
        <v>20</v>
      </c>
      <c r="I1135" t="s">
        <v>87</v>
      </c>
      <c r="J1135" t="s">
        <v>22</v>
      </c>
      <c r="K1135">
        <v>4.0999999999999996</v>
      </c>
      <c r="L1135" t="s">
        <v>23</v>
      </c>
      <c r="M1135" t="s">
        <v>41</v>
      </c>
      <c r="N1135" t="s">
        <v>34</v>
      </c>
      <c r="O1135">
        <v>29</v>
      </c>
      <c r="P1135" t="s">
        <v>25</v>
      </c>
      <c r="Q1135" t="s">
        <v>26</v>
      </c>
      <c r="R1135" s="1">
        <v>0.1</v>
      </c>
      <c r="S1135">
        <f t="shared" si="68"/>
        <v>32.4</v>
      </c>
      <c r="T1135">
        <f>IFERROR(VLOOKUP(A1135,Table1[[Customer ID]:[Discount Amount]], 6, FALSE),"Not Found")</f>
        <v>36</v>
      </c>
      <c r="U1135" t="str">
        <f t="shared" si="69"/>
        <v>Cash</v>
      </c>
      <c r="V1135" s="4" t="str">
        <f t="shared" si="70"/>
        <v>Normal</v>
      </c>
      <c r="W1135" s="4" t="str">
        <f t="shared" si="71"/>
        <v>Good</v>
      </c>
      <c r="X1135" s="4">
        <f>AVERAGE(Table1[Purchase Amount])</f>
        <v>129.48419400000012</v>
      </c>
    </row>
    <row r="1136" spans="1:24" ht="15" customHeight="1" x14ac:dyDescent="0.25">
      <c r="A1136">
        <v>1135</v>
      </c>
      <c r="B1136">
        <v>62</v>
      </c>
      <c r="C1136" t="s">
        <v>27</v>
      </c>
      <c r="D1136" t="s">
        <v>17</v>
      </c>
      <c r="E1136" t="s">
        <v>18</v>
      </c>
      <c r="F1136" s="2">
        <v>81</v>
      </c>
      <c r="G1136" t="s">
        <v>59</v>
      </c>
      <c r="H1136" t="s">
        <v>31</v>
      </c>
      <c r="I1136" t="s">
        <v>60</v>
      </c>
      <c r="J1136" t="s">
        <v>57</v>
      </c>
      <c r="K1136">
        <v>1</v>
      </c>
      <c r="L1136" t="s">
        <v>23</v>
      </c>
      <c r="M1136" t="s">
        <v>61</v>
      </c>
      <c r="N1136" t="s">
        <v>34</v>
      </c>
      <c r="O1136">
        <v>2</v>
      </c>
      <c r="P1136" t="s">
        <v>62</v>
      </c>
      <c r="Q1136" t="s">
        <v>63</v>
      </c>
      <c r="R1136" s="1">
        <v>0.1</v>
      </c>
      <c r="S1136">
        <f t="shared" si="68"/>
        <v>72.900000000000006</v>
      </c>
      <c r="T1136">
        <f>IFERROR(VLOOKUP(A1136,Table1[[Customer ID]:[Discount Amount]], 6, FALSE),"Not Found")</f>
        <v>81</v>
      </c>
      <c r="U1136" t="str">
        <f t="shared" si="69"/>
        <v>Venmo</v>
      </c>
      <c r="V1136" s="4" t="str">
        <f t="shared" si="70"/>
        <v>Normal</v>
      </c>
      <c r="W1136" s="4" t="str">
        <f t="shared" si="71"/>
        <v>Poor</v>
      </c>
      <c r="X1136" s="4">
        <f>AVERAGE(Table1[Purchase Amount])</f>
        <v>129.48419400000012</v>
      </c>
    </row>
    <row r="1137" spans="1:24" ht="15" customHeight="1" x14ac:dyDescent="0.25">
      <c r="A1137">
        <v>1136</v>
      </c>
      <c r="B1137">
        <v>65</v>
      </c>
      <c r="C1137" t="s">
        <v>27</v>
      </c>
      <c r="D1137" t="s">
        <v>122</v>
      </c>
      <c r="E1137" t="s">
        <v>18</v>
      </c>
      <c r="F1137" s="2">
        <v>90</v>
      </c>
      <c r="G1137" t="s">
        <v>97</v>
      </c>
      <c r="H1137" t="s">
        <v>45</v>
      </c>
      <c r="I1137" t="s">
        <v>145</v>
      </c>
      <c r="J1137" t="s">
        <v>22</v>
      </c>
      <c r="K1137">
        <v>3.6</v>
      </c>
      <c r="L1137" t="s">
        <v>23</v>
      </c>
      <c r="M1137" t="s">
        <v>41</v>
      </c>
      <c r="N1137" t="s">
        <v>34</v>
      </c>
      <c r="O1137">
        <v>32</v>
      </c>
      <c r="P1137" t="s">
        <v>88</v>
      </c>
      <c r="Q1137" t="s">
        <v>37</v>
      </c>
      <c r="R1137" s="1">
        <v>0.1</v>
      </c>
      <c r="S1137">
        <f t="shared" si="68"/>
        <v>81</v>
      </c>
      <c r="T1137">
        <f>IFERROR(VLOOKUP(A1137,Table1[[Customer ID]:[Discount Amount]], 6, FALSE),"Not Found")</f>
        <v>90</v>
      </c>
      <c r="U1137" t="str">
        <f t="shared" si="69"/>
        <v>Bank Transfer</v>
      </c>
      <c r="V1137" s="4" t="str">
        <f t="shared" si="70"/>
        <v>Normal</v>
      </c>
      <c r="W1137" s="4" t="str">
        <f t="shared" si="71"/>
        <v>Good</v>
      </c>
      <c r="X1137" s="4">
        <f>AVERAGE(Table1[Purchase Amount])</f>
        <v>129.48419400000012</v>
      </c>
    </row>
    <row r="1138" spans="1:24" ht="15" customHeight="1" x14ac:dyDescent="0.25">
      <c r="A1138">
        <v>1137</v>
      </c>
      <c r="B1138">
        <v>23</v>
      </c>
      <c r="C1138" t="s">
        <v>27</v>
      </c>
      <c r="D1138" t="s">
        <v>69</v>
      </c>
      <c r="E1138" t="s">
        <v>29</v>
      </c>
      <c r="F1138" s="2">
        <v>83</v>
      </c>
      <c r="G1138" t="s">
        <v>44</v>
      </c>
      <c r="H1138" t="s">
        <v>55</v>
      </c>
      <c r="I1138" t="s">
        <v>128</v>
      </c>
      <c r="J1138" t="s">
        <v>57</v>
      </c>
      <c r="K1138">
        <v>4.8</v>
      </c>
      <c r="L1138" t="s">
        <v>23</v>
      </c>
      <c r="M1138" t="s">
        <v>35</v>
      </c>
      <c r="N1138" t="s">
        <v>34</v>
      </c>
      <c r="O1138">
        <v>37</v>
      </c>
      <c r="P1138" t="s">
        <v>25</v>
      </c>
      <c r="Q1138" t="s">
        <v>42</v>
      </c>
      <c r="R1138" s="1">
        <v>0.1</v>
      </c>
      <c r="S1138">
        <f t="shared" si="68"/>
        <v>74.7</v>
      </c>
      <c r="T1138">
        <f>IFERROR(VLOOKUP(A1138,Table1[[Customer ID]:[Discount Amount]], 6, FALSE),"Not Found")</f>
        <v>83</v>
      </c>
      <c r="U1138" t="str">
        <f t="shared" si="69"/>
        <v>Cash</v>
      </c>
      <c r="V1138" s="4" t="str">
        <f t="shared" si="70"/>
        <v>Normal</v>
      </c>
      <c r="W1138" s="4" t="str">
        <f t="shared" si="71"/>
        <v>Good</v>
      </c>
      <c r="X1138" s="4">
        <f>AVERAGE(Table1[Purchase Amount])</f>
        <v>129.48419400000012</v>
      </c>
    </row>
    <row r="1139" spans="1:24" ht="15" customHeight="1" x14ac:dyDescent="0.25">
      <c r="A1139">
        <v>1138</v>
      </c>
      <c r="B1139">
        <v>46</v>
      </c>
      <c r="C1139" t="s">
        <v>27</v>
      </c>
      <c r="D1139" t="s">
        <v>38</v>
      </c>
      <c r="E1139" t="s">
        <v>18</v>
      </c>
      <c r="F1139" s="2">
        <v>91</v>
      </c>
      <c r="G1139" t="s">
        <v>110</v>
      </c>
      <c r="H1139" t="s">
        <v>20</v>
      </c>
      <c r="I1139" t="s">
        <v>136</v>
      </c>
      <c r="J1139" t="s">
        <v>22</v>
      </c>
      <c r="K1139">
        <v>2.8</v>
      </c>
      <c r="L1139" t="s">
        <v>23</v>
      </c>
      <c r="M1139" t="s">
        <v>41</v>
      </c>
      <c r="N1139" t="s">
        <v>34</v>
      </c>
      <c r="O1139">
        <v>16</v>
      </c>
      <c r="P1139" t="s">
        <v>88</v>
      </c>
      <c r="Q1139" t="s">
        <v>63</v>
      </c>
      <c r="R1139" s="1">
        <v>0.1</v>
      </c>
      <c r="S1139">
        <f t="shared" si="68"/>
        <v>81.900000000000006</v>
      </c>
      <c r="T1139">
        <f>IFERROR(VLOOKUP(A1139,Table1[[Customer ID]:[Discount Amount]], 6, FALSE),"Not Found")</f>
        <v>91</v>
      </c>
      <c r="U1139" t="str">
        <f t="shared" si="69"/>
        <v>Bank Transfer</v>
      </c>
      <c r="V1139" s="4" t="str">
        <f t="shared" si="70"/>
        <v>Normal</v>
      </c>
      <c r="W1139" s="4" t="str">
        <f t="shared" si="71"/>
        <v>Poor</v>
      </c>
      <c r="X1139" s="4">
        <f>AVERAGE(Table1[Purchase Amount])</f>
        <v>129.48419400000012</v>
      </c>
    </row>
    <row r="1140" spans="1:24" ht="15" customHeight="1" x14ac:dyDescent="0.25">
      <c r="A1140">
        <v>1139</v>
      </c>
      <c r="B1140">
        <v>18</v>
      </c>
      <c r="C1140" t="s">
        <v>27</v>
      </c>
      <c r="D1140" t="s">
        <v>99</v>
      </c>
      <c r="E1140" t="s">
        <v>18</v>
      </c>
      <c r="F1140" s="2">
        <v>36</v>
      </c>
      <c r="G1140" t="s">
        <v>141</v>
      </c>
      <c r="H1140" t="s">
        <v>31</v>
      </c>
      <c r="I1140" t="s">
        <v>66</v>
      </c>
      <c r="J1140" t="s">
        <v>57</v>
      </c>
      <c r="K1140">
        <v>4.7</v>
      </c>
      <c r="L1140" t="s">
        <v>23</v>
      </c>
      <c r="M1140" t="s">
        <v>61</v>
      </c>
      <c r="N1140" t="s">
        <v>34</v>
      </c>
      <c r="O1140">
        <v>32</v>
      </c>
      <c r="P1140" t="s">
        <v>62</v>
      </c>
      <c r="Q1140" t="s">
        <v>89</v>
      </c>
      <c r="R1140" s="1">
        <v>0.1</v>
      </c>
      <c r="S1140">
        <f t="shared" si="68"/>
        <v>32.4</v>
      </c>
      <c r="T1140">
        <f>IFERROR(VLOOKUP(A1140,Table1[[Customer ID]:[Discount Amount]], 6, FALSE),"Not Found")</f>
        <v>36</v>
      </c>
      <c r="U1140" t="str">
        <f t="shared" si="69"/>
        <v>Venmo</v>
      </c>
      <c r="V1140" s="4" t="str">
        <f t="shared" si="70"/>
        <v>Normal</v>
      </c>
      <c r="W1140" s="4" t="str">
        <f t="shared" si="71"/>
        <v>Good</v>
      </c>
      <c r="X1140" s="4">
        <f>AVERAGE(Table1[Purchase Amount])</f>
        <v>129.48419400000012</v>
      </c>
    </row>
    <row r="1141" spans="1:24" ht="15" customHeight="1" x14ac:dyDescent="0.25">
      <c r="A1141">
        <v>1140</v>
      </c>
      <c r="B1141">
        <v>58</v>
      </c>
      <c r="C1141" t="s">
        <v>27</v>
      </c>
      <c r="D1141" t="s">
        <v>76</v>
      </c>
      <c r="E1141" t="s">
        <v>77</v>
      </c>
      <c r="F1141" s="2">
        <v>53</v>
      </c>
      <c r="G1141" t="s">
        <v>51</v>
      </c>
      <c r="H1141" t="s">
        <v>45</v>
      </c>
      <c r="I1141" t="s">
        <v>66</v>
      </c>
      <c r="J1141" t="s">
        <v>33</v>
      </c>
      <c r="K1141">
        <v>3.9</v>
      </c>
      <c r="L1141" t="s">
        <v>23</v>
      </c>
      <c r="M1141" t="s">
        <v>24</v>
      </c>
      <c r="N1141" t="s">
        <v>34</v>
      </c>
      <c r="O1141">
        <v>42</v>
      </c>
      <c r="P1141" t="s">
        <v>36</v>
      </c>
      <c r="Q1141" t="s">
        <v>68</v>
      </c>
      <c r="R1141" s="1">
        <v>0.1</v>
      </c>
      <c r="S1141">
        <f t="shared" si="68"/>
        <v>47.7</v>
      </c>
      <c r="T1141">
        <f>IFERROR(VLOOKUP(A1141,Table1[[Customer ID]:[Discount Amount]], 6, FALSE),"Not Found")</f>
        <v>53</v>
      </c>
      <c r="U1141" t="str">
        <f t="shared" si="69"/>
        <v>Debit Card</v>
      </c>
      <c r="V1141" s="4" t="str">
        <f t="shared" si="70"/>
        <v>Normal</v>
      </c>
      <c r="W1141" s="4" t="str">
        <f t="shared" si="71"/>
        <v>Good</v>
      </c>
      <c r="X1141" s="4">
        <f>AVERAGE(Table1[Purchase Amount])</f>
        <v>129.48419400000012</v>
      </c>
    </row>
    <row r="1142" spans="1:24" ht="15" customHeight="1" x14ac:dyDescent="0.25">
      <c r="A1142">
        <v>1141</v>
      </c>
      <c r="B1142">
        <v>31</v>
      </c>
      <c r="C1142" t="s">
        <v>27</v>
      </c>
      <c r="D1142" t="s">
        <v>109</v>
      </c>
      <c r="E1142" t="s">
        <v>18</v>
      </c>
      <c r="F1142" s="2">
        <v>39</v>
      </c>
      <c r="G1142" t="s">
        <v>106</v>
      </c>
      <c r="H1142" t="s">
        <v>31</v>
      </c>
      <c r="I1142" t="s">
        <v>32</v>
      </c>
      <c r="J1142" t="s">
        <v>22</v>
      </c>
      <c r="K1142">
        <v>2.6</v>
      </c>
      <c r="L1142" t="s">
        <v>23</v>
      </c>
      <c r="M1142" t="s">
        <v>48</v>
      </c>
      <c r="N1142" t="s">
        <v>34</v>
      </c>
      <c r="O1142">
        <v>6</v>
      </c>
      <c r="P1142" t="s">
        <v>53</v>
      </c>
      <c r="Q1142" t="s">
        <v>63</v>
      </c>
      <c r="R1142" s="1">
        <v>0.1</v>
      </c>
      <c r="S1142">
        <f t="shared" si="68"/>
        <v>35.1</v>
      </c>
      <c r="T1142">
        <f>IFERROR(VLOOKUP(A1142,Table1[[Customer ID]:[Discount Amount]], 6, FALSE),"Not Found")</f>
        <v>39</v>
      </c>
      <c r="U1142" t="str">
        <f t="shared" si="69"/>
        <v>Credit Card</v>
      </c>
      <c r="V1142" s="4" t="str">
        <f t="shared" si="70"/>
        <v>Normal</v>
      </c>
      <c r="W1142" s="4" t="str">
        <f t="shared" si="71"/>
        <v>Poor</v>
      </c>
      <c r="X1142" s="4">
        <f>AVERAGE(Table1[Purchase Amount])</f>
        <v>129.48419400000012</v>
      </c>
    </row>
    <row r="1143" spans="1:24" ht="15" customHeight="1" x14ac:dyDescent="0.25">
      <c r="A1143">
        <v>1142</v>
      </c>
      <c r="B1143">
        <v>39</v>
      </c>
      <c r="C1143" t="s">
        <v>27</v>
      </c>
      <c r="D1143" t="s">
        <v>43</v>
      </c>
      <c r="E1143" t="s">
        <v>29</v>
      </c>
      <c r="F1143" s="2">
        <v>33</v>
      </c>
      <c r="G1143" t="s">
        <v>90</v>
      </c>
      <c r="H1143" t="s">
        <v>55</v>
      </c>
      <c r="I1143" t="s">
        <v>153</v>
      </c>
      <c r="J1143" t="s">
        <v>22</v>
      </c>
      <c r="K1143">
        <v>4.7</v>
      </c>
      <c r="L1143" t="s">
        <v>23</v>
      </c>
      <c r="M1143" t="s">
        <v>79</v>
      </c>
      <c r="N1143" t="s">
        <v>34</v>
      </c>
      <c r="O1143">
        <v>23</v>
      </c>
      <c r="P1143" t="s">
        <v>58</v>
      </c>
      <c r="Q1143" t="s">
        <v>89</v>
      </c>
      <c r="R1143" s="1">
        <v>0.1</v>
      </c>
      <c r="S1143">
        <f t="shared" si="68"/>
        <v>29.7</v>
      </c>
      <c r="T1143">
        <f>IFERROR(VLOOKUP(A1143,Table1[[Customer ID]:[Discount Amount]], 6, FALSE),"Not Found")</f>
        <v>33</v>
      </c>
      <c r="U1143" t="str">
        <f t="shared" si="69"/>
        <v>PayPal</v>
      </c>
      <c r="V1143" s="4" t="str">
        <f t="shared" si="70"/>
        <v>Normal</v>
      </c>
      <c r="W1143" s="4" t="str">
        <f t="shared" si="71"/>
        <v>Good</v>
      </c>
      <c r="X1143" s="4">
        <f>AVERAGE(Table1[Purchase Amount])</f>
        <v>129.48419400000012</v>
      </c>
    </row>
    <row r="1144" spans="1:24" ht="15" customHeight="1" x14ac:dyDescent="0.25">
      <c r="A1144">
        <v>1143</v>
      </c>
      <c r="B1144">
        <v>69</v>
      </c>
      <c r="C1144" t="s">
        <v>27</v>
      </c>
      <c r="D1144" t="s">
        <v>17</v>
      </c>
      <c r="E1144" t="s">
        <v>18</v>
      </c>
      <c r="F1144" s="2">
        <v>76</v>
      </c>
      <c r="G1144" t="s">
        <v>90</v>
      </c>
      <c r="H1144" t="s">
        <v>45</v>
      </c>
      <c r="I1144" t="s">
        <v>93</v>
      </c>
      <c r="J1144" t="s">
        <v>33</v>
      </c>
      <c r="K1144">
        <v>3.5</v>
      </c>
      <c r="L1144" t="s">
        <v>23</v>
      </c>
      <c r="M1144" t="s">
        <v>48</v>
      </c>
      <c r="N1144" t="s">
        <v>34</v>
      </c>
      <c r="O1144">
        <v>27</v>
      </c>
      <c r="P1144" t="s">
        <v>62</v>
      </c>
      <c r="Q1144" t="s">
        <v>68</v>
      </c>
      <c r="R1144" s="1">
        <v>0.1</v>
      </c>
      <c r="S1144">
        <f t="shared" si="68"/>
        <v>68.400000000000006</v>
      </c>
      <c r="T1144">
        <f>IFERROR(VLOOKUP(A1144,Table1[[Customer ID]:[Discount Amount]], 6, FALSE),"Not Found")</f>
        <v>76</v>
      </c>
      <c r="U1144" t="str">
        <f t="shared" si="69"/>
        <v>Venmo</v>
      </c>
      <c r="V1144" s="4" t="str">
        <f t="shared" si="70"/>
        <v>Normal</v>
      </c>
      <c r="W1144" s="4" t="str">
        <f t="shared" si="71"/>
        <v>Good</v>
      </c>
      <c r="X1144" s="4">
        <f>AVERAGE(Table1[Purchase Amount])</f>
        <v>129.48419400000012</v>
      </c>
    </row>
    <row r="1145" spans="1:24" ht="15" customHeight="1" x14ac:dyDescent="0.25">
      <c r="A1145">
        <v>1144</v>
      </c>
      <c r="B1145">
        <v>68</v>
      </c>
      <c r="C1145" t="s">
        <v>27</v>
      </c>
      <c r="D1145" t="s">
        <v>151</v>
      </c>
      <c r="E1145" t="s">
        <v>98</v>
      </c>
      <c r="F1145" s="2">
        <v>23</v>
      </c>
      <c r="G1145" t="s">
        <v>158</v>
      </c>
      <c r="H1145" t="s">
        <v>45</v>
      </c>
      <c r="I1145" t="s">
        <v>147</v>
      </c>
      <c r="J1145" t="s">
        <v>22</v>
      </c>
      <c r="K1145">
        <v>4.4000000000000004</v>
      </c>
      <c r="L1145" t="s">
        <v>23</v>
      </c>
      <c r="M1145" t="s">
        <v>24</v>
      </c>
      <c r="N1145" t="s">
        <v>34</v>
      </c>
      <c r="O1145">
        <v>43</v>
      </c>
      <c r="P1145" t="s">
        <v>58</v>
      </c>
      <c r="Q1145" t="s">
        <v>37</v>
      </c>
      <c r="R1145" s="1">
        <v>0.1</v>
      </c>
      <c r="S1145">
        <f t="shared" si="68"/>
        <v>20.7</v>
      </c>
      <c r="T1145">
        <f>IFERROR(VLOOKUP(A1145,Table1[[Customer ID]:[Discount Amount]], 6, FALSE),"Not Found")</f>
        <v>23</v>
      </c>
      <c r="U1145" t="str">
        <f t="shared" si="69"/>
        <v>PayPal</v>
      </c>
      <c r="V1145" s="4" t="str">
        <f t="shared" si="70"/>
        <v>Normal</v>
      </c>
      <c r="W1145" s="4" t="str">
        <f t="shared" si="71"/>
        <v>Good</v>
      </c>
      <c r="X1145" s="4">
        <f>AVERAGE(Table1[Purchase Amount])</f>
        <v>129.48419400000012</v>
      </c>
    </row>
    <row r="1146" spans="1:24" ht="15" customHeight="1" x14ac:dyDescent="0.25">
      <c r="A1146">
        <v>1145</v>
      </c>
      <c r="B1146">
        <v>41</v>
      </c>
      <c r="C1146" t="s">
        <v>27</v>
      </c>
      <c r="D1146" t="s">
        <v>109</v>
      </c>
      <c r="E1146" t="s">
        <v>18</v>
      </c>
      <c r="F1146" s="2">
        <v>54</v>
      </c>
      <c r="G1146" t="s">
        <v>30</v>
      </c>
      <c r="H1146" t="s">
        <v>55</v>
      </c>
      <c r="I1146" t="s">
        <v>91</v>
      </c>
      <c r="J1146" t="s">
        <v>47</v>
      </c>
      <c r="K1146">
        <v>4.4000000000000004</v>
      </c>
      <c r="L1146" t="s">
        <v>23</v>
      </c>
      <c r="M1146" t="s">
        <v>41</v>
      </c>
      <c r="N1146" t="s">
        <v>34</v>
      </c>
      <c r="O1146">
        <v>25</v>
      </c>
      <c r="P1146" t="s">
        <v>88</v>
      </c>
      <c r="Q1146" t="s">
        <v>89</v>
      </c>
      <c r="R1146" s="1">
        <v>0.1</v>
      </c>
      <c r="S1146">
        <f t="shared" si="68"/>
        <v>48.6</v>
      </c>
      <c r="T1146">
        <f>IFERROR(VLOOKUP(A1146,Table1[[Customer ID]:[Discount Amount]], 6, FALSE),"Not Found")</f>
        <v>54</v>
      </c>
      <c r="U1146" t="str">
        <f t="shared" si="69"/>
        <v>Bank Transfer</v>
      </c>
      <c r="V1146" s="4" t="str">
        <f t="shared" si="70"/>
        <v>Normal</v>
      </c>
      <c r="W1146" s="4" t="str">
        <f t="shared" si="71"/>
        <v>Good</v>
      </c>
      <c r="X1146" s="4">
        <f>AVERAGE(Table1[Purchase Amount])</f>
        <v>129.48419400000012</v>
      </c>
    </row>
    <row r="1147" spans="1:24" ht="15" customHeight="1" x14ac:dyDescent="0.25">
      <c r="A1147">
        <v>1146</v>
      </c>
      <c r="B1147">
        <v>31</v>
      </c>
      <c r="C1147" t="s">
        <v>27</v>
      </c>
      <c r="D1147" t="s">
        <v>140</v>
      </c>
      <c r="E1147" t="s">
        <v>98</v>
      </c>
      <c r="F1147" s="2">
        <v>89</v>
      </c>
      <c r="G1147" t="s">
        <v>158</v>
      </c>
      <c r="H1147" t="s">
        <v>45</v>
      </c>
      <c r="I1147" t="s">
        <v>136</v>
      </c>
      <c r="J1147" t="s">
        <v>57</v>
      </c>
      <c r="K1147">
        <v>3</v>
      </c>
      <c r="L1147" t="s">
        <v>23</v>
      </c>
      <c r="M1147" t="s">
        <v>61</v>
      </c>
      <c r="N1147" t="s">
        <v>34</v>
      </c>
      <c r="O1147">
        <v>30</v>
      </c>
      <c r="P1147" t="s">
        <v>25</v>
      </c>
      <c r="Q1147" t="s">
        <v>63</v>
      </c>
      <c r="R1147" s="1">
        <v>0.1</v>
      </c>
      <c r="S1147">
        <f t="shared" si="68"/>
        <v>80.099999999999994</v>
      </c>
      <c r="T1147">
        <f>IFERROR(VLOOKUP(A1147,Table1[[Customer ID]:[Discount Amount]], 6, FALSE),"Not Found")</f>
        <v>89</v>
      </c>
      <c r="U1147" t="str">
        <f t="shared" si="69"/>
        <v>Cash</v>
      </c>
      <c r="V1147" s="4" t="str">
        <f t="shared" si="70"/>
        <v>Normal</v>
      </c>
      <c r="W1147" s="4" t="str">
        <f t="shared" si="71"/>
        <v>Good</v>
      </c>
      <c r="X1147" s="4">
        <f>AVERAGE(Table1[Purchase Amount])</f>
        <v>129.48419400000012</v>
      </c>
    </row>
    <row r="1148" spans="1:24" ht="15" customHeight="1" x14ac:dyDescent="0.25">
      <c r="A1148">
        <v>1147</v>
      </c>
      <c r="B1148">
        <v>48</v>
      </c>
      <c r="C1148" t="s">
        <v>27</v>
      </c>
      <c r="D1148" t="s">
        <v>140</v>
      </c>
      <c r="E1148" t="s">
        <v>98</v>
      </c>
      <c r="F1148" s="2">
        <v>38</v>
      </c>
      <c r="G1148" t="s">
        <v>59</v>
      </c>
      <c r="H1148" t="s">
        <v>31</v>
      </c>
      <c r="I1148" t="s">
        <v>91</v>
      </c>
      <c r="J1148" t="s">
        <v>57</v>
      </c>
      <c r="K1148">
        <v>4.2</v>
      </c>
      <c r="L1148" t="s">
        <v>23</v>
      </c>
      <c r="M1148" t="s">
        <v>24</v>
      </c>
      <c r="N1148" t="s">
        <v>34</v>
      </c>
      <c r="O1148">
        <v>7</v>
      </c>
      <c r="P1148" t="s">
        <v>88</v>
      </c>
      <c r="Q1148" t="s">
        <v>63</v>
      </c>
      <c r="R1148" s="1">
        <v>0.1</v>
      </c>
      <c r="S1148">
        <f t="shared" si="68"/>
        <v>34.200000000000003</v>
      </c>
      <c r="T1148">
        <f>IFERROR(VLOOKUP(A1148,Table1[[Customer ID]:[Discount Amount]], 6, FALSE),"Not Found")</f>
        <v>38</v>
      </c>
      <c r="U1148" t="str">
        <f t="shared" si="69"/>
        <v>Bank Transfer</v>
      </c>
      <c r="V1148" s="4" t="str">
        <f t="shared" si="70"/>
        <v>Normal</v>
      </c>
      <c r="W1148" s="4" t="str">
        <f t="shared" si="71"/>
        <v>Good</v>
      </c>
      <c r="X1148" s="4">
        <f>AVERAGE(Table1[Purchase Amount])</f>
        <v>129.48419400000012</v>
      </c>
    </row>
    <row r="1149" spans="1:24" ht="15" customHeight="1" x14ac:dyDescent="0.25">
      <c r="A1149">
        <v>1148</v>
      </c>
      <c r="B1149">
        <v>59</v>
      </c>
      <c r="C1149" t="s">
        <v>27</v>
      </c>
      <c r="D1149" t="s">
        <v>64</v>
      </c>
      <c r="E1149" t="s">
        <v>29</v>
      </c>
      <c r="F1149" s="2">
        <v>36</v>
      </c>
      <c r="G1149" t="s">
        <v>65</v>
      </c>
      <c r="H1149" t="s">
        <v>20</v>
      </c>
      <c r="I1149" t="s">
        <v>46</v>
      </c>
      <c r="J1149" t="s">
        <v>22</v>
      </c>
      <c r="K1149">
        <v>4.3</v>
      </c>
      <c r="L1149" t="s">
        <v>23</v>
      </c>
      <c r="M1149" t="s">
        <v>79</v>
      </c>
      <c r="N1149" t="s">
        <v>34</v>
      </c>
      <c r="O1149">
        <v>17</v>
      </c>
      <c r="P1149" t="s">
        <v>36</v>
      </c>
      <c r="Q1149" t="s">
        <v>49</v>
      </c>
      <c r="R1149" s="1">
        <v>0.1</v>
      </c>
      <c r="S1149">
        <f t="shared" si="68"/>
        <v>32.4</v>
      </c>
      <c r="T1149">
        <f>IFERROR(VLOOKUP(A1149,Table1[[Customer ID]:[Discount Amount]], 6, FALSE),"Not Found")</f>
        <v>36</v>
      </c>
      <c r="U1149" t="str">
        <f t="shared" si="69"/>
        <v>Debit Card</v>
      </c>
      <c r="V1149" s="4" t="str">
        <f t="shared" si="70"/>
        <v>Normal</v>
      </c>
      <c r="W1149" s="4" t="str">
        <f t="shared" si="71"/>
        <v>Good</v>
      </c>
      <c r="X1149" s="4">
        <f>AVERAGE(Table1[Purchase Amount])</f>
        <v>129.48419400000012</v>
      </c>
    </row>
    <row r="1150" spans="1:24" ht="15" customHeight="1" x14ac:dyDescent="0.25">
      <c r="A1150">
        <v>1149</v>
      </c>
      <c r="B1150">
        <v>34</v>
      </c>
      <c r="C1150" t="s">
        <v>27</v>
      </c>
      <c r="D1150" t="s">
        <v>99</v>
      </c>
      <c r="E1150" t="s">
        <v>18</v>
      </c>
      <c r="F1150" s="2">
        <v>66</v>
      </c>
      <c r="G1150" t="s">
        <v>67</v>
      </c>
      <c r="H1150" t="s">
        <v>31</v>
      </c>
      <c r="I1150" t="s">
        <v>111</v>
      </c>
      <c r="J1150" t="s">
        <v>33</v>
      </c>
      <c r="K1150">
        <v>2.6</v>
      </c>
      <c r="L1150" t="s">
        <v>23</v>
      </c>
      <c r="M1150" t="s">
        <v>48</v>
      </c>
      <c r="N1150" t="s">
        <v>34</v>
      </c>
      <c r="O1150">
        <v>10</v>
      </c>
      <c r="P1150" t="s">
        <v>58</v>
      </c>
      <c r="Q1150" t="s">
        <v>89</v>
      </c>
      <c r="R1150" s="1">
        <v>0.1</v>
      </c>
      <c r="S1150">
        <f t="shared" si="68"/>
        <v>59.4</v>
      </c>
      <c r="T1150">
        <f>IFERROR(VLOOKUP(A1150,Table1[[Customer ID]:[Discount Amount]], 6, FALSE),"Not Found")</f>
        <v>66</v>
      </c>
      <c r="U1150" t="str">
        <f t="shared" si="69"/>
        <v>PayPal</v>
      </c>
      <c r="V1150" s="4" t="str">
        <f t="shared" si="70"/>
        <v>Normal</v>
      </c>
      <c r="W1150" s="4" t="str">
        <f t="shared" si="71"/>
        <v>Poor</v>
      </c>
      <c r="X1150" s="4">
        <f>AVERAGE(Table1[Purchase Amount])</f>
        <v>129.48419400000012</v>
      </c>
    </row>
    <row r="1151" spans="1:24" ht="15" customHeight="1" x14ac:dyDescent="0.25">
      <c r="A1151">
        <v>1150</v>
      </c>
      <c r="B1151">
        <v>21</v>
      </c>
      <c r="C1151" t="s">
        <v>27</v>
      </c>
      <c r="D1151" t="s">
        <v>50</v>
      </c>
      <c r="E1151" t="s">
        <v>29</v>
      </c>
      <c r="F1151" s="2">
        <v>42</v>
      </c>
      <c r="G1151" t="s">
        <v>160</v>
      </c>
      <c r="H1151" t="s">
        <v>45</v>
      </c>
      <c r="I1151" t="s">
        <v>128</v>
      </c>
      <c r="J1151" t="s">
        <v>33</v>
      </c>
      <c r="K1151">
        <v>3.3</v>
      </c>
      <c r="L1151" t="s">
        <v>23</v>
      </c>
      <c r="M1151" t="s">
        <v>48</v>
      </c>
      <c r="N1151" t="s">
        <v>34</v>
      </c>
      <c r="O1151">
        <v>40</v>
      </c>
      <c r="P1151" t="s">
        <v>62</v>
      </c>
      <c r="Q1151" t="s">
        <v>49</v>
      </c>
      <c r="R1151" s="1">
        <v>0.1</v>
      </c>
      <c r="S1151">
        <f t="shared" si="68"/>
        <v>37.799999999999997</v>
      </c>
      <c r="T1151">
        <f>IFERROR(VLOOKUP(A1151,Table1[[Customer ID]:[Discount Amount]], 6, FALSE),"Not Found")</f>
        <v>42</v>
      </c>
      <c r="U1151" t="str">
        <f t="shared" si="69"/>
        <v>Venmo</v>
      </c>
      <c r="V1151" s="4" t="str">
        <f t="shared" si="70"/>
        <v>Normal</v>
      </c>
      <c r="W1151" s="4" t="str">
        <f t="shared" si="71"/>
        <v>Good</v>
      </c>
      <c r="X1151" s="4">
        <f>AVERAGE(Table1[Purchase Amount])</f>
        <v>129.48419400000012</v>
      </c>
    </row>
    <row r="1152" spans="1:24" ht="15" customHeight="1" x14ac:dyDescent="0.25">
      <c r="A1152">
        <v>1151</v>
      </c>
      <c r="B1152">
        <v>29</v>
      </c>
      <c r="C1152" t="s">
        <v>27</v>
      </c>
      <c r="D1152" t="s">
        <v>50</v>
      </c>
      <c r="E1152" t="s">
        <v>29</v>
      </c>
      <c r="F1152" s="2">
        <v>36</v>
      </c>
      <c r="G1152" t="s">
        <v>70</v>
      </c>
      <c r="H1152" t="s">
        <v>55</v>
      </c>
      <c r="I1152" t="s">
        <v>46</v>
      </c>
      <c r="J1152" t="s">
        <v>22</v>
      </c>
      <c r="K1152">
        <v>2.7</v>
      </c>
      <c r="L1152" t="s">
        <v>23</v>
      </c>
      <c r="M1152" t="s">
        <v>79</v>
      </c>
      <c r="N1152" t="s">
        <v>34</v>
      </c>
      <c r="O1152">
        <v>50</v>
      </c>
      <c r="P1152" t="s">
        <v>62</v>
      </c>
      <c r="Q1152" t="s">
        <v>68</v>
      </c>
      <c r="R1152" s="1">
        <v>0.1</v>
      </c>
      <c r="S1152">
        <f t="shared" si="68"/>
        <v>32.4</v>
      </c>
      <c r="T1152">
        <f>IFERROR(VLOOKUP(A1152,Table1[[Customer ID]:[Discount Amount]], 6, FALSE),"Not Found")</f>
        <v>36</v>
      </c>
      <c r="U1152" t="str">
        <f t="shared" si="69"/>
        <v>Venmo</v>
      </c>
      <c r="V1152" s="4" t="str">
        <f t="shared" si="70"/>
        <v>Normal</v>
      </c>
      <c r="W1152" s="4" t="str">
        <f t="shared" si="71"/>
        <v>Poor</v>
      </c>
      <c r="X1152" s="4">
        <f>AVERAGE(Table1[Purchase Amount])</f>
        <v>129.48419400000012</v>
      </c>
    </row>
    <row r="1153" spans="1:24" ht="15" customHeight="1" x14ac:dyDescent="0.25">
      <c r="A1153">
        <v>1152</v>
      </c>
      <c r="B1153">
        <v>41</v>
      </c>
      <c r="C1153" t="s">
        <v>27</v>
      </c>
      <c r="D1153" t="s">
        <v>118</v>
      </c>
      <c r="E1153" t="s">
        <v>18</v>
      </c>
      <c r="F1153" s="2">
        <v>86</v>
      </c>
      <c r="G1153" t="s">
        <v>90</v>
      </c>
      <c r="H1153" t="s">
        <v>31</v>
      </c>
      <c r="I1153" t="s">
        <v>85</v>
      </c>
      <c r="J1153" t="s">
        <v>33</v>
      </c>
      <c r="K1153">
        <v>1</v>
      </c>
      <c r="L1153" t="s">
        <v>23</v>
      </c>
      <c r="M1153" t="s">
        <v>61</v>
      </c>
      <c r="N1153" t="s">
        <v>34</v>
      </c>
      <c r="O1153">
        <v>24</v>
      </c>
      <c r="P1153" t="s">
        <v>53</v>
      </c>
      <c r="Q1153" t="s">
        <v>26</v>
      </c>
      <c r="R1153" s="1">
        <v>0.1</v>
      </c>
      <c r="S1153">
        <f t="shared" si="68"/>
        <v>77.400000000000006</v>
      </c>
      <c r="T1153">
        <f>IFERROR(VLOOKUP(A1153,Table1[[Customer ID]:[Discount Amount]], 6, FALSE),"Not Found")</f>
        <v>86</v>
      </c>
      <c r="U1153" t="str">
        <f t="shared" si="69"/>
        <v>Credit Card</v>
      </c>
      <c r="V1153" s="4" t="str">
        <f t="shared" si="70"/>
        <v>Normal</v>
      </c>
      <c r="W1153" s="4" t="str">
        <f t="shared" si="71"/>
        <v>Poor</v>
      </c>
      <c r="X1153" s="4">
        <f>AVERAGE(Table1[Purchase Amount])</f>
        <v>129.48419400000012</v>
      </c>
    </row>
    <row r="1154" spans="1:24" ht="15" customHeight="1" x14ac:dyDescent="0.25">
      <c r="A1154">
        <v>1153</v>
      </c>
      <c r="B1154">
        <v>62</v>
      </c>
      <c r="C1154" t="s">
        <v>27</v>
      </c>
      <c r="D1154" t="s">
        <v>69</v>
      </c>
      <c r="E1154" t="s">
        <v>29</v>
      </c>
      <c r="F1154" s="2">
        <v>49</v>
      </c>
      <c r="G1154" t="s">
        <v>115</v>
      </c>
      <c r="H1154" t="s">
        <v>31</v>
      </c>
      <c r="I1154" t="s">
        <v>133</v>
      </c>
      <c r="J1154" t="s">
        <v>47</v>
      </c>
      <c r="K1154">
        <v>4</v>
      </c>
      <c r="L1154" t="s">
        <v>23</v>
      </c>
      <c r="M1154" t="s">
        <v>24</v>
      </c>
      <c r="N1154" t="s">
        <v>34</v>
      </c>
      <c r="O1154">
        <v>8</v>
      </c>
      <c r="P1154" t="s">
        <v>58</v>
      </c>
      <c r="Q1154" t="s">
        <v>63</v>
      </c>
      <c r="R1154" s="1">
        <v>0.1</v>
      </c>
      <c r="S1154">
        <f t="shared" ref="S1154:S1217" si="72">F1154-(F1154*R1154)</f>
        <v>44.1</v>
      </c>
      <c r="T1154">
        <f>IFERROR(VLOOKUP(A1154,Table1[[Customer ID]:[Discount Amount]], 6, FALSE),"Not Found")</f>
        <v>49</v>
      </c>
      <c r="U1154" t="str">
        <f t="shared" ref="U1154:U1217" si="73">INDEX(P:P, MATCH(A1154, A:A, 0))</f>
        <v>PayPal</v>
      </c>
      <c r="V1154" s="4" t="str">
        <f t="shared" ref="V1154:V1217" si="74">IF(AND(F1154&gt;1000,K1154&gt;=4),"Best Customer","Normal")</f>
        <v>Normal</v>
      </c>
      <c r="W1154" s="4" t="str">
        <f t="shared" ref="W1154:W1217" si="75">IF(K1154&gt;=3,"Good","Poor")</f>
        <v>Good</v>
      </c>
      <c r="X1154" s="4">
        <f>AVERAGE(Table1[Purchase Amount])</f>
        <v>129.48419400000012</v>
      </c>
    </row>
    <row r="1155" spans="1:24" ht="15" customHeight="1" x14ac:dyDescent="0.25">
      <c r="A1155">
        <v>1154</v>
      </c>
      <c r="B1155">
        <v>27</v>
      </c>
      <c r="C1155" t="s">
        <v>27</v>
      </c>
      <c r="D1155" t="s">
        <v>38</v>
      </c>
      <c r="E1155" t="s">
        <v>18</v>
      </c>
      <c r="F1155" s="2">
        <v>41</v>
      </c>
      <c r="G1155" t="s">
        <v>161</v>
      </c>
      <c r="H1155" t="s">
        <v>31</v>
      </c>
      <c r="I1155" t="s">
        <v>136</v>
      </c>
      <c r="J1155" t="s">
        <v>57</v>
      </c>
      <c r="K1155">
        <v>4</v>
      </c>
      <c r="L1155" t="s">
        <v>23</v>
      </c>
      <c r="M1155" t="s">
        <v>35</v>
      </c>
      <c r="N1155" t="s">
        <v>34</v>
      </c>
      <c r="O1155">
        <v>6</v>
      </c>
      <c r="P1155" t="s">
        <v>88</v>
      </c>
      <c r="Q1155" t="s">
        <v>37</v>
      </c>
      <c r="R1155" s="1">
        <v>0.1</v>
      </c>
      <c r="S1155">
        <f t="shared" si="72"/>
        <v>36.9</v>
      </c>
      <c r="T1155">
        <f>IFERROR(VLOOKUP(A1155,Table1[[Customer ID]:[Discount Amount]], 6, FALSE),"Not Found")</f>
        <v>41</v>
      </c>
      <c r="U1155" t="str">
        <f t="shared" si="73"/>
        <v>Bank Transfer</v>
      </c>
      <c r="V1155" s="4" t="str">
        <f t="shared" si="74"/>
        <v>Normal</v>
      </c>
      <c r="W1155" s="4" t="str">
        <f t="shared" si="75"/>
        <v>Good</v>
      </c>
      <c r="X1155" s="4">
        <f>AVERAGE(Table1[Purchase Amount])</f>
        <v>129.48419400000012</v>
      </c>
    </row>
    <row r="1156" spans="1:24" ht="15" customHeight="1" x14ac:dyDescent="0.25">
      <c r="A1156">
        <v>1155</v>
      </c>
      <c r="B1156">
        <v>49</v>
      </c>
      <c r="C1156" t="s">
        <v>27</v>
      </c>
      <c r="D1156" t="s">
        <v>157</v>
      </c>
      <c r="E1156" t="s">
        <v>18</v>
      </c>
      <c r="F1156" s="2">
        <v>82</v>
      </c>
      <c r="G1156" t="s">
        <v>160</v>
      </c>
      <c r="H1156" t="s">
        <v>45</v>
      </c>
      <c r="I1156" t="s">
        <v>128</v>
      </c>
      <c r="J1156" t="s">
        <v>33</v>
      </c>
      <c r="K1156">
        <v>2.9</v>
      </c>
      <c r="L1156" t="s">
        <v>23</v>
      </c>
      <c r="M1156" t="s">
        <v>41</v>
      </c>
      <c r="N1156" t="s">
        <v>34</v>
      </c>
      <c r="O1156">
        <v>44</v>
      </c>
      <c r="P1156" t="s">
        <v>53</v>
      </c>
      <c r="Q1156" t="s">
        <v>68</v>
      </c>
      <c r="R1156" s="1">
        <v>0.1</v>
      </c>
      <c r="S1156">
        <f t="shared" si="72"/>
        <v>73.8</v>
      </c>
      <c r="T1156">
        <f>IFERROR(VLOOKUP(A1156,Table1[[Customer ID]:[Discount Amount]], 6, FALSE),"Not Found")</f>
        <v>82</v>
      </c>
      <c r="U1156" t="str">
        <f t="shared" si="73"/>
        <v>Credit Card</v>
      </c>
      <c r="V1156" s="4" t="str">
        <f t="shared" si="74"/>
        <v>Normal</v>
      </c>
      <c r="W1156" s="4" t="str">
        <f t="shared" si="75"/>
        <v>Poor</v>
      </c>
      <c r="X1156" s="4">
        <f>AVERAGE(Table1[Purchase Amount])</f>
        <v>129.48419400000012</v>
      </c>
    </row>
    <row r="1157" spans="1:24" ht="15" customHeight="1" x14ac:dyDescent="0.25">
      <c r="A1157">
        <v>1156</v>
      </c>
      <c r="B1157">
        <v>67</v>
      </c>
      <c r="C1157" t="s">
        <v>27</v>
      </c>
      <c r="D1157" t="s">
        <v>17</v>
      </c>
      <c r="E1157" t="s">
        <v>18</v>
      </c>
      <c r="F1157" s="2">
        <v>53</v>
      </c>
      <c r="G1157" t="s">
        <v>65</v>
      </c>
      <c r="H1157" t="s">
        <v>55</v>
      </c>
      <c r="I1157" t="s">
        <v>46</v>
      </c>
      <c r="J1157" t="s">
        <v>47</v>
      </c>
      <c r="K1157">
        <v>2.6</v>
      </c>
      <c r="L1157" t="s">
        <v>23</v>
      </c>
      <c r="M1157" t="s">
        <v>61</v>
      </c>
      <c r="N1157" t="s">
        <v>34</v>
      </c>
      <c r="O1157">
        <v>47</v>
      </c>
      <c r="P1157" t="s">
        <v>58</v>
      </c>
      <c r="Q1157" t="s">
        <v>37</v>
      </c>
      <c r="R1157" s="1">
        <v>0.1</v>
      </c>
      <c r="S1157">
        <f t="shared" si="72"/>
        <v>47.7</v>
      </c>
      <c r="T1157">
        <f>IFERROR(VLOOKUP(A1157,Table1[[Customer ID]:[Discount Amount]], 6, FALSE),"Not Found")</f>
        <v>53</v>
      </c>
      <c r="U1157" t="str">
        <f t="shared" si="73"/>
        <v>PayPal</v>
      </c>
      <c r="V1157" s="4" t="str">
        <f t="shared" si="74"/>
        <v>Normal</v>
      </c>
      <c r="W1157" s="4" t="str">
        <f t="shared" si="75"/>
        <v>Poor</v>
      </c>
      <c r="X1157" s="4">
        <f>AVERAGE(Table1[Purchase Amount])</f>
        <v>129.48419400000012</v>
      </c>
    </row>
    <row r="1158" spans="1:24" ht="15" customHeight="1" x14ac:dyDescent="0.25">
      <c r="A1158">
        <v>1157</v>
      </c>
      <c r="B1158">
        <v>20</v>
      </c>
      <c r="C1158" t="s">
        <v>27</v>
      </c>
      <c r="D1158" t="s">
        <v>72</v>
      </c>
      <c r="E1158" t="s">
        <v>98</v>
      </c>
      <c r="F1158" s="2">
        <v>21</v>
      </c>
      <c r="G1158" t="s">
        <v>135</v>
      </c>
      <c r="H1158" t="s">
        <v>31</v>
      </c>
      <c r="I1158" t="s">
        <v>133</v>
      </c>
      <c r="J1158" t="s">
        <v>57</v>
      </c>
      <c r="K1158">
        <v>4.8</v>
      </c>
      <c r="L1158" t="s">
        <v>23</v>
      </c>
      <c r="M1158" t="s">
        <v>61</v>
      </c>
      <c r="N1158" t="s">
        <v>34</v>
      </c>
      <c r="O1158">
        <v>6</v>
      </c>
      <c r="P1158" t="s">
        <v>62</v>
      </c>
      <c r="Q1158" t="s">
        <v>63</v>
      </c>
      <c r="R1158" s="1">
        <v>0.1</v>
      </c>
      <c r="S1158">
        <f t="shared" si="72"/>
        <v>18.899999999999999</v>
      </c>
      <c r="T1158">
        <f>IFERROR(VLOOKUP(A1158,Table1[[Customer ID]:[Discount Amount]], 6, FALSE),"Not Found")</f>
        <v>21</v>
      </c>
      <c r="U1158" t="str">
        <f t="shared" si="73"/>
        <v>Venmo</v>
      </c>
      <c r="V1158" s="4" t="str">
        <f t="shared" si="74"/>
        <v>Normal</v>
      </c>
      <c r="W1158" s="4" t="str">
        <f t="shared" si="75"/>
        <v>Good</v>
      </c>
      <c r="X1158" s="4">
        <f>AVERAGE(Table1[Purchase Amount])</f>
        <v>129.48419400000012</v>
      </c>
    </row>
    <row r="1159" spans="1:24" ht="15" customHeight="1" x14ac:dyDescent="0.25">
      <c r="A1159">
        <v>1158</v>
      </c>
      <c r="B1159">
        <v>37</v>
      </c>
      <c r="C1159" t="s">
        <v>27</v>
      </c>
      <c r="D1159" t="s">
        <v>114</v>
      </c>
      <c r="E1159" t="s">
        <v>29</v>
      </c>
      <c r="F1159" s="2">
        <v>66</v>
      </c>
      <c r="G1159" t="s">
        <v>106</v>
      </c>
      <c r="H1159" t="s">
        <v>31</v>
      </c>
      <c r="I1159" t="s">
        <v>103</v>
      </c>
      <c r="J1159" t="s">
        <v>47</v>
      </c>
      <c r="K1159">
        <v>4.4000000000000004</v>
      </c>
      <c r="L1159" t="s">
        <v>23</v>
      </c>
      <c r="M1159" t="s">
        <v>24</v>
      </c>
      <c r="N1159" t="s">
        <v>34</v>
      </c>
      <c r="O1159">
        <v>11</v>
      </c>
      <c r="P1159" t="s">
        <v>25</v>
      </c>
      <c r="Q1159" t="s">
        <v>37</v>
      </c>
      <c r="R1159" s="1">
        <v>0.1</v>
      </c>
      <c r="S1159">
        <f t="shared" si="72"/>
        <v>59.4</v>
      </c>
      <c r="T1159">
        <f>IFERROR(VLOOKUP(A1159,Table1[[Customer ID]:[Discount Amount]], 6, FALSE),"Not Found")</f>
        <v>66</v>
      </c>
      <c r="U1159" t="str">
        <f t="shared" si="73"/>
        <v>Cash</v>
      </c>
      <c r="V1159" s="4" t="str">
        <f t="shared" si="74"/>
        <v>Normal</v>
      </c>
      <c r="W1159" s="4" t="str">
        <f t="shared" si="75"/>
        <v>Good</v>
      </c>
      <c r="X1159" s="4">
        <f>AVERAGE(Table1[Purchase Amount])</f>
        <v>129.48419400000012</v>
      </c>
    </row>
    <row r="1160" spans="1:24" ht="15" customHeight="1" x14ac:dyDescent="0.25">
      <c r="A1160">
        <v>1159</v>
      </c>
      <c r="B1160">
        <v>69</v>
      </c>
      <c r="C1160" t="s">
        <v>27</v>
      </c>
      <c r="D1160" t="s">
        <v>114</v>
      </c>
      <c r="E1160" t="s">
        <v>29</v>
      </c>
      <c r="F1160" s="2">
        <v>89</v>
      </c>
      <c r="G1160" t="s">
        <v>158</v>
      </c>
      <c r="H1160" t="s">
        <v>45</v>
      </c>
      <c r="I1160" t="s">
        <v>108</v>
      </c>
      <c r="J1160" t="s">
        <v>57</v>
      </c>
      <c r="K1160">
        <v>4</v>
      </c>
      <c r="L1160" t="s">
        <v>23</v>
      </c>
      <c r="M1160" t="s">
        <v>41</v>
      </c>
      <c r="N1160" t="s">
        <v>34</v>
      </c>
      <c r="O1160">
        <v>41</v>
      </c>
      <c r="P1160" t="s">
        <v>88</v>
      </c>
      <c r="Q1160" t="s">
        <v>49</v>
      </c>
      <c r="R1160" s="1">
        <v>0.1</v>
      </c>
      <c r="S1160">
        <f t="shared" si="72"/>
        <v>80.099999999999994</v>
      </c>
      <c r="T1160">
        <f>IFERROR(VLOOKUP(A1160,Table1[[Customer ID]:[Discount Amount]], 6, FALSE),"Not Found")</f>
        <v>89</v>
      </c>
      <c r="U1160" t="str">
        <f t="shared" si="73"/>
        <v>Bank Transfer</v>
      </c>
      <c r="V1160" s="4" t="str">
        <f t="shared" si="74"/>
        <v>Normal</v>
      </c>
      <c r="W1160" s="4" t="str">
        <f t="shared" si="75"/>
        <v>Good</v>
      </c>
      <c r="X1160" s="4">
        <f>AVERAGE(Table1[Purchase Amount])</f>
        <v>129.48419400000012</v>
      </c>
    </row>
    <row r="1161" spans="1:24" ht="15" customHeight="1" x14ac:dyDescent="0.25">
      <c r="A1161">
        <v>1160</v>
      </c>
      <c r="B1161">
        <v>66</v>
      </c>
      <c r="C1161" t="s">
        <v>27</v>
      </c>
      <c r="D1161" t="s">
        <v>69</v>
      </c>
      <c r="E1161" t="s">
        <v>29</v>
      </c>
      <c r="F1161" s="2">
        <v>55</v>
      </c>
      <c r="G1161" t="s">
        <v>132</v>
      </c>
      <c r="H1161" t="s">
        <v>45</v>
      </c>
      <c r="I1161" t="s">
        <v>74</v>
      </c>
      <c r="J1161" t="s">
        <v>47</v>
      </c>
      <c r="K1161">
        <v>3.6</v>
      </c>
      <c r="L1161" t="s">
        <v>23</v>
      </c>
      <c r="M1161" t="s">
        <v>41</v>
      </c>
      <c r="N1161" t="s">
        <v>34</v>
      </c>
      <c r="O1161">
        <v>46</v>
      </c>
      <c r="P1161" t="s">
        <v>62</v>
      </c>
      <c r="Q1161" t="s">
        <v>63</v>
      </c>
      <c r="R1161" s="1">
        <v>0.1</v>
      </c>
      <c r="S1161">
        <f t="shared" si="72"/>
        <v>49.5</v>
      </c>
      <c r="T1161">
        <f>IFERROR(VLOOKUP(A1161,Table1[[Customer ID]:[Discount Amount]], 6, FALSE),"Not Found")</f>
        <v>55</v>
      </c>
      <c r="U1161" t="str">
        <f t="shared" si="73"/>
        <v>Venmo</v>
      </c>
      <c r="V1161" s="4" t="str">
        <f t="shared" si="74"/>
        <v>Normal</v>
      </c>
      <c r="W1161" s="4" t="str">
        <f t="shared" si="75"/>
        <v>Good</v>
      </c>
      <c r="X1161" s="4">
        <f>AVERAGE(Table1[Purchase Amount])</f>
        <v>129.48419400000012</v>
      </c>
    </row>
    <row r="1162" spans="1:24" ht="15" customHeight="1" x14ac:dyDescent="0.25">
      <c r="A1162">
        <v>1161</v>
      </c>
      <c r="B1162">
        <v>37</v>
      </c>
      <c r="C1162" t="s">
        <v>27</v>
      </c>
      <c r="D1162" t="s">
        <v>129</v>
      </c>
      <c r="E1162" t="s">
        <v>29</v>
      </c>
      <c r="F1162" s="2">
        <v>42</v>
      </c>
      <c r="G1162" t="s">
        <v>86</v>
      </c>
      <c r="H1162" t="s">
        <v>55</v>
      </c>
      <c r="I1162" t="s">
        <v>74</v>
      </c>
      <c r="J1162" t="s">
        <v>57</v>
      </c>
      <c r="K1162">
        <v>3.2</v>
      </c>
      <c r="L1162" t="s">
        <v>23</v>
      </c>
      <c r="M1162" t="s">
        <v>79</v>
      </c>
      <c r="N1162" t="s">
        <v>34</v>
      </c>
      <c r="O1162">
        <v>9</v>
      </c>
      <c r="P1162" t="s">
        <v>62</v>
      </c>
      <c r="Q1162" t="s">
        <v>68</v>
      </c>
      <c r="R1162" s="1">
        <v>0.1</v>
      </c>
      <c r="S1162">
        <f t="shared" si="72"/>
        <v>37.799999999999997</v>
      </c>
      <c r="T1162">
        <f>IFERROR(VLOOKUP(A1162,Table1[[Customer ID]:[Discount Amount]], 6, FALSE),"Not Found")</f>
        <v>42</v>
      </c>
      <c r="U1162" t="str">
        <f t="shared" si="73"/>
        <v>Venmo</v>
      </c>
      <c r="V1162" s="4" t="str">
        <f t="shared" si="74"/>
        <v>Normal</v>
      </c>
      <c r="W1162" s="4" t="str">
        <f t="shared" si="75"/>
        <v>Good</v>
      </c>
      <c r="X1162" s="4">
        <f>AVERAGE(Table1[Purchase Amount])</f>
        <v>129.48419400000012</v>
      </c>
    </row>
    <row r="1163" spans="1:24" ht="15" customHeight="1" x14ac:dyDescent="0.25">
      <c r="A1163">
        <v>1162</v>
      </c>
      <c r="B1163">
        <v>63</v>
      </c>
      <c r="C1163" t="s">
        <v>27</v>
      </c>
      <c r="D1163" t="s">
        <v>54</v>
      </c>
      <c r="E1163" t="s">
        <v>18</v>
      </c>
      <c r="F1163" s="2">
        <v>52</v>
      </c>
      <c r="G1163" t="s">
        <v>142</v>
      </c>
      <c r="H1163" t="s">
        <v>55</v>
      </c>
      <c r="I1163" t="s">
        <v>108</v>
      </c>
      <c r="J1163" t="s">
        <v>47</v>
      </c>
      <c r="K1163">
        <v>3.1</v>
      </c>
      <c r="L1163" t="s">
        <v>23</v>
      </c>
      <c r="M1163" t="s">
        <v>41</v>
      </c>
      <c r="N1163" t="s">
        <v>34</v>
      </c>
      <c r="O1163">
        <v>37</v>
      </c>
      <c r="P1163" t="s">
        <v>58</v>
      </c>
      <c r="Q1163" t="s">
        <v>42</v>
      </c>
      <c r="R1163" s="1">
        <v>0.1</v>
      </c>
      <c r="S1163">
        <f t="shared" si="72"/>
        <v>46.8</v>
      </c>
      <c r="T1163">
        <f>IFERROR(VLOOKUP(A1163,Table1[[Customer ID]:[Discount Amount]], 6, FALSE),"Not Found")</f>
        <v>52</v>
      </c>
      <c r="U1163" t="str">
        <f t="shared" si="73"/>
        <v>PayPal</v>
      </c>
      <c r="V1163" s="4" t="str">
        <f t="shared" si="74"/>
        <v>Normal</v>
      </c>
      <c r="W1163" s="4" t="str">
        <f t="shared" si="75"/>
        <v>Good</v>
      </c>
      <c r="X1163" s="4">
        <f>AVERAGE(Table1[Purchase Amount])</f>
        <v>129.48419400000012</v>
      </c>
    </row>
    <row r="1164" spans="1:24" ht="15" customHeight="1" x14ac:dyDescent="0.25">
      <c r="A1164">
        <v>1163</v>
      </c>
      <c r="B1164">
        <v>47</v>
      </c>
      <c r="C1164" t="s">
        <v>27</v>
      </c>
      <c r="D1164" t="s">
        <v>121</v>
      </c>
      <c r="E1164" t="s">
        <v>98</v>
      </c>
      <c r="F1164" s="2">
        <v>92</v>
      </c>
      <c r="G1164" t="s">
        <v>134</v>
      </c>
      <c r="H1164" t="s">
        <v>31</v>
      </c>
      <c r="I1164" t="s">
        <v>74</v>
      </c>
      <c r="J1164" t="s">
        <v>22</v>
      </c>
      <c r="K1164">
        <v>4.2</v>
      </c>
      <c r="L1164" t="s">
        <v>23</v>
      </c>
      <c r="M1164" t="s">
        <v>61</v>
      </c>
      <c r="N1164" t="s">
        <v>34</v>
      </c>
      <c r="O1164">
        <v>13</v>
      </c>
      <c r="P1164" t="s">
        <v>58</v>
      </c>
      <c r="Q1164" t="s">
        <v>26</v>
      </c>
      <c r="R1164" s="1">
        <v>0.1</v>
      </c>
      <c r="S1164">
        <f t="shared" si="72"/>
        <v>82.8</v>
      </c>
      <c r="T1164">
        <f>IFERROR(VLOOKUP(A1164,Table1[[Customer ID]:[Discount Amount]], 6, FALSE),"Not Found")</f>
        <v>92</v>
      </c>
      <c r="U1164" t="str">
        <f t="shared" si="73"/>
        <v>PayPal</v>
      </c>
      <c r="V1164" s="4" t="str">
        <f t="shared" si="74"/>
        <v>Normal</v>
      </c>
      <c r="W1164" s="4" t="str">
        <f t="shared" si="75"/>
        <v>Good</v>
      </c>
      <c r="X1164" s="4">
        <f>AVERAGE(Table1[Purchase Amount])</f>
        <v>129.48419400000012</v>
      </c>
    </row>
    <row r="1165" spans="1:24" ht="15" customHeight="1" x14ac:dyDescent="0.25">
      <c r="A1165">
        <v>1164</v>
      </c>
      <c r="B1165">
        <v>26</v>
      </c>
      <c r="C1165" t="s">
        <v>27</v>
      </c>
      <c r="D1165" t="s">
        <v>99</v>
      </c>
      <c r="E1165" t="s">
        <v>18</v>
      </c>
      <c r="F1165" s="2">
        <v>56</v>
      </c>
      <c r="G1165" t="s">
        <v>65</v>
      </c>
      <c r="H1165" t="s">
        <v>45</v>
      </c>
      <c r="I1165" t="s">
        <v>32</v>
      </c>
      <c r="J1165" t="s">
        <v>57</v>
      </c>
      <c r="K1165">
        <v>3</v>
      </c>
      <c r="L1165" t="s">
        <v>23</v>
      </c>
      <c r="M1165" t="s">
        <v>41</v>
      </c>
      <c r="N1165" t="s">
        <v>34</v>
      </c>
      <c r="O1165">
        <v>24</v>
      </c>
      <c r="P1165" t="s">
        <v>36</v>
      </c>
      <c r="Q1165" t="s">
        <v>42</v>
      </c>
      <c r="R1165" s="1">
        <v>0.1</v>
      </c>
      <c r="S1165">
        <f t="shared" si="72"/>
        <v>50.4</v>
      </c>
      <c r="T1165">
        <f>IFERROR(VLOOKUP(A1165,Table1[[Customer ID]:[Discount Amount]], 6, FALSE),"Not Found")</f>
        <v>56</v>
      </c>
      <c r="U1165" t="str">
        <f t="shared" si="73"/>
        <v>Debit Card</v>
      </c>
      <c r="V1165" s="4" t="str">
        <f t="shared" si="74"/>
        <v>Normal</v>
      </c>
      <c r="W1165" s="4" t="str">
        <f t="shared" si="75"/>
        <v>Good</v>
      </c>
      <c r="X1165" s="4">
        <f>AVERAGE(Table1[Purchase Amount])</f>
        <v>129.48419400000012</v>
      </c>
    </row>
    <row r="1166" spans="1:24" ht="15" customHeight="1" x14ac:dyDescent="0.25">
      <c r="A1166">
        <v>1165</v>
      </c>
      <c r="B1166">
        <v>68</v>
      </c>
      <c r="C1166" t="s">
        <v>27</v>
      </c>
      <c r="D1166" t="s">
        <v>157</v>
      </c>
      <c r="E1166" t="s">
        <v>18</v>
      </c>
      <c r="F1166" s="2">
        <v>96</v>
      </c>
      <c r="G1166" t="s">
        <v>39</v>
      </c>
      <c r="H1166" t="s">
        <v>31</v>
      </c>
      <c r="I1166" t="s">
        <v>93</v>
      </c>
      <c r="J1166" t="s">
        <v>22</v>
      </c>
      <c r="K1166">
        <v>4.2</v>
      </c>
      <c r="L1166" t="s">
        <v>23</v>
      </c>
      <c r="M1166" t="s">
        <v>24</v>
      </c>
      <c r="N1166" t="s">
        <v>34</v>
      </c>
      <c r="O1166">
        <v>47</v>
      </c>
      <c r="P1166" t="s">
        <v>58</v>
      </c>
      <c r="Q1166" t="s">
        <v>37</v>
      </c>
      <c r="R1166" s="1">
        <v>0.1</v>
      </c>
      <c r="S1166">
        <f t="shared" si="72"/>
        <v>86.4</v>
      </c>
      <c r="T1166">
        <f>IFERROR(VLOOKUP(A1166,Table1[[Customer ID]:[Discount Amount]], 6, FALSE),"Not Found")</f>
        <v>96</v>
      </c>
      <c r="U1166" t="str">
        <f t="shared" si="73"/>
        <v>PayPal</v>
      </c>
      <c r="V1166" s="4" t="str">
        <f t="shared" si="74"/>
        <v>Normal</v>
      </c>
      <c r="W1166" s="4" t="str">
        <f t="shared" si="75"/>
        <v>Good</v>
      </c>
      <c r="X1166" s="4">
        <f>AVERAGE(Table1[Purchase Amount])</f>
        <v>129.48419400000012</v>
      </c>
    </row>
    <row r="1167" spans="1:24" ht="15" customHeight="1" x14ac:dyDescent="0.25">
      <c r="A1167">
        <v>1166</v>
      </c>
      <c r="B1167">
        <v>51</v>
      </c>
      <c r="C1167" t="s">
        <v>27</v>
      </c>
      <c r="D1167" t="s">
        <v>17</v>
      </c>
      <c r="E1167" t="s">
        <v>18</v>
      </c>
      <c r="F1167" s="2">
        <v>64</v>
      </c>
      <c r="G1167" t="s">
        <v>59</v>
      </c>
      <c r="H1167" t="s">
        <v>31</v>
      </c>
      <c r="I1167" t="s">
        <v>153</v>
      </c>
      <c r="J1167" t="s">
        <v>22</v>
      </c>
      <c r="K1167">
        <v>2.9</v>
      </c>
      <c r="L1167" t="s">
        <v>23</v>
      </c>
      <c r="M1167" t="s">
        <v>79</v>
      </c>
      <c r="N1167" t="s">
        <v>34</v>
      </c>
      <c r="O1167">
        <v>21</v>
      </c>
      <c r="P1167" t="s">
        <v>62</v>
      </c>
      <c r="Q1167" t="s">
        <v>63</v>
      </c>
      <c r="R1167" s="1">
        <v>0.1</v>
      </c>
      <c r="S1167">
        <f t="shared" si="72"/>
        <v>57.6</v>
      </c>
      <c r="T1167">
        <f>IFERROR(VLOOKUP(A1167,Table1[[Customer ID]:[Discount Amount]], 6, FALSE),"Not Found")</f>
        <v>64</v>
      </c>
      <c r="U1167" t="str">
        <f t="shared" si="73"/>
        <v>Venmo</v>
      </c>
      <c r="V1167" s="4" t="str">
        <f t="shared" si="74"/>
        <v>Normal</v>
      </c>
      <c r="W1167" s="4" t="str">
        <f t="shared" si="75"/>
        <v>Poor</v>
      </c>
      <c r="X1167" s="4">
        <f>AVERAGE(Table1[Purchase Amount])</f>
        <v>129.48419400000012</v>
      </c>
    </row>
    <row r="1168" spans="1:24" ht="15" customHeight="1" x14ac:dyDescent="0.25">
      <c r="A1168">
        <v>1167</v>
      </c>
      <c r="B1168">
        <v>48</v>
      </c>
      <c r="C1168" t="s">
        <v>27</v>
      </c>
      <c r="D1168" t="s">
        <v>157</v>
      </c>
      <c r="E1168" t="s">
        <v>18</v>
      </c>
      <c r="F1168" s="2">
        <v>48</v>
      </c>
      <c r="G1168" t="s">
        <v>115</v>
      </c>
      <c r="H1168" t="s">
        <v>55</v>
      </c>
      <c r="I1168" t="s">
        <v>107</v>
      </c>
      <c r="J1168" t="s">
        <v>22</v>
      </c>
      <c r="K1168">
        <v>3.7</v>
      </c>
      <c r="L1168" t="s">
        <v>23</v>
      </c>
      <c r="M1168" t="s">
        <v>48</v>
      </c>
      <c r="N1168" t="s">
        <v>34</v>
      </c>
      <c r="O1168">
        <v>22</v>
      </c>
      <c r="P1168" t="s">
        <v>62</v>
      </c>
      <c r="Q1168" t="s">
        <v>89</v>
      </c>
      <c r="R1168" s="1">
        <v>0.1</v>
      </c>
      <c r="S1168">
        <f t="shared" si="72"/>
        <v>43.2</v>
      </c>
      <c r="T1168">
        <f>IFERROR(VLOOKUP(A1168,Table1[[Customer ID]:[Discount Amount]], 6, FALSE),"Not Found")</f>
        <v>48</v>
      </c>
      <c r="U1168" t="str">
        <f t="shared" si="73"/>
        <v>Venmo</v>
      </c>
      <c r="V1168" s="4" t="str">
        <f t="shared" si="74"/>
        <v>Normal</v>
      </c>
      <c r="W1168" s="4" t="str">
        <f t="shared" si="75"/>
        <v>Good</v>
      </c>
      <c r="X1168" s="4">
        <f>AVERAGE(Table1[Purchase Amount])</f>
        <v>129.48419400000012</v>
      </c>
    </row>
    <row r="1169" spans="1:24" ht="15" customHeight="1" x14ac:dyDescent="0.25">
      <c r="A1169">
        <v>1168</v>
      </c>
      <c r="B1169">
        <v>60</v>
      </c>
      <c r="C1169" t="s">
        <v>27</v>
      </c>
      <c r="D1169" t="s">
        <v>105</v>
      </c>
      <c r="E1169" t="s">
        <v>18</v>
      </c>
      <c r="F1169" s="2">
        <v>83</v>
      </c>
      <c r="G1169" t="s">
        <v>131</v>
      </c>
      <c r="H1169" t="s">
        <v>20</v>
      </c>
      <c r="I1169" t="s">
        <v>56</v>
      </c>
      <c r="J1169" t="s">
        <v>57</v>
      </c>
      <c r="K1169">
        <v>3.6</v>
      </c>
      <c r="L1169" t="s">
        <v>23</v>
      </c>
      <c r="M1169" t="s">
        <v>35</v>
      </c>
      <c r="N1169" t="s">
        <v>34</v>
      </c>
      <c r="O1169">
        <v>16</v>
      </c>
      <c r="P1169" t="s">
        <v>58</v>
      </c>
      <c r="Q1169" t="s">
        <v>37</v>
      </c>
      <c r="R1169" s="1">
        <v>0.1</v>
      </c>
      <c r="S1169">
        <f t="shared" si="72"/>
        <v>74.7</v>
      </c>
      <c r="T1169">
        <f>IFERROR(VLOOKUP(A1169,Table1[[Customer ID]:[Discount Amount]], 6, FALSE),"Not Found")</f>
        <v>83</v>
      </c>
      <c r="U1169" t="str">
        <f t="shared" si="73"/>
        <v>PayPal</v>
      </c>
      <c r="V1169" s="4" t="str">
        <f t="shared" si="74"/>
        <v>Normal</v>
      </c>
      <c r="W1169" s="4" t="str">
        <f t="shared" si="75"/>
        <v>Good</v>
      </c>
      <c r="X1169" s="4">
        <f>AVERAGE(Table1[Purchase Amount])</f>
        <v>129.48419400000012</v>
      </c>
    </row>
    <row r="1170" spans="1:24" ht="15" customHeight="1" x14ac:dyDescent="0.25">
      <c r="A1170">
        <v>1169</v>
      </c>
      <c r="B1170">
        <v>68</v>
      </c>
      <c r="C1170" t="s">
        <v>27</v>
      </c>
      <c r="D1170" t="s">
        <v>129</v>
      </c>
      <c r="E1170" t="s">
        <v>29</v>
      </c>
      <c r="F1170" s="2">
        <v>91</v>
      </c>
      <c r="G1170" t="s">
        <v>149</v>
      </c>
      <c r="H1170" t="s">
        <v>45</v>
      </c>
      <c r="I1170" t="s">
        <v>111</v>
      </c>
      <c r="J1170" t="s">
        <v>57</v>
      </c>
      <c r="K1170">
        <v>3.6</v>
      </c>
      <c r="L1170" t="s">
        <v>23</v>
      </c>
      <c r="M1170" t="s">
        <v>24</v>
      </c>
      <c r="N1170" t="s">
        <v>34</v>
      </c>
      <c r="O1170">
        <v>37</v>
      </c>
      <c r="P1170" t="s">
        <v>36</v>
      </c>
      <c r="Q1170" t="s">
        <v>89</v>
      </c>
      <c r="R1170" s="1">
        <v>0.1</v>
      </c>
      <c r="S1170">
        <f t="shared" si="72"/>
        <v>81.900000000000006</v>
      </c>
      <c r="T1170">
        <f>IFERROR(VLOOKUP(A1170,Table1[[Customer ID]:[Discount Amount]], 6, FALSE),"Not Found")</f>
        <v>91</v>
      </c>
      <c r="U1170" t="str">
        <f t="shared" si="73"/>
        <v>Debit Card</v>
      </c>
      <c r="V1170" s="4" t="str">
        <f t="shared" si="74"/>
        <v>Normal</v>
      </c>
      <c r="W1170" s="4" t="str">
        <f t="shared" si="75"/>
        <v>Good</v>
      </c>
      <c r="X1170" s="4">
        <f>AVERAGE(Table1[Purchase Amount])</f>
        <v>129.48419400000012</v>
      </c>
    </row>
    <row r="1171" spans="1:24" ht="15" customHeight="1" x14ac:dyDescent="0.25">
      <c r="A1171">
        <v>1170</v>
      </c>
      <c r="B1171">
        <v>25</v>
      </c>
      <c r="C1171" t="s">
        <v>27</v>
      </c>
      <c r="D1171" t="s">
        <v>104</v>
      </c>
      <c r="E1171" t="s">
        <v>29</v>
      </c>
      <c r="F1171" s="2">
        <v>94</v>
      </c>
      <c r="G1171" t="s">
        <v>162</v>
      </c>
      <c r="H1171" t="s">
        <v>55</v>
      </c>
      <c r="I1171" t="s">
        <v>85</v>
      </c>
      <c r="J1171" t="s">
        <v>47</v>
      </c>
      <c r="K1171">
        <v>4.5</v>
      </c>
      <c r="L1171" t="s">
        <v>23</v>
      </c>
      <c r="M1171" t="s">
        <v>41</v>
      </c>
      <c r="N1171" t="s">
        <v>34</v>
      </c>
      <c r="O1171">
        <v>3</v>
      </c>
      <c r="P1171" t="s">
        <v>25</v>
      </c>
      <c r="Q1171" t="s">
        <v>49</v>
      </c>
      <c r="R1171" s="1">
        <v>0.1</v>
      </c>
      <c r="S1171">
        <f t="shared" si="72"/>
        <v>84.6</v>
      </c>
      <c r="T1171">
        <f>IFERROR(VLOOKUP(A1171,Table1[[Customer ID]:[Discount Amount]], 6, FALSE),"Not Found")</f>
        <v>94</v>
      </c>
      <c r="U1171" t="str">
        <f t="shared" si="73"/>
        <v>Cash</v>
      </c>
      <c r="V1171" s="4" t="str">
        <f t="shared" si="74"/>
        <v>Normal</v>
      </c>
      <c r="W1171" s="4" t="str">
        <f t="shared" si="75"/>
        <v>Good</v>
      </c>
      <c r="X1171" s="4">
        <f>AVERAGE(Table1[Purchase Amount])</f>
        <v>129.48419400000012</v>
      </c>
    </row>
    <row r="1172" spans="1:24" ht="15" customHeight="1" x14ac:dyDescent="0.25">
      <c r="A1172">
        <v>1171</v>
      </c>
      <c r="B1172">
        <v>57</v>
      </c>
      <c r="C1172" t="s">
        <v>27</v>
      </c>
      <c r="D1172" t="s">
        <v>122</v>
      </c>
      <c r="E1172" t="s">
        <v>18</v>
      </c>
      <c r="F1172" s="2">
        <v>62</v>
      </c>
      <c r="G1172" t="s">
        <v>44</v>
      </c>
      <c r="H1172" t="s">
        <v>55</v>
      </c>
      <c r="I1172" t="s">
        <v>46</v>
      </c>
      <c r="J1172" t="s">
        <v>33</v>
      </c>
      <c r="K1172">
        <v>3.2</v>
      </c>
      <c r="L1172" t="s">
        <v>23</v>
      </c>
      <c r="M1172" t="s">
        <v>61</v>
      </c>
      <c r="N1172" t="s">
        <v>34</v>
      </c>
      <c r="O1172">
        <v>33</v>
      </c>
      <c r="P1172" t="s">
        <v>25</v>
      </c>
      <c r="Q1172" t="s">
        <v>68</v>
      </c>
      <c r="R1172" s="1">
        <v>0.1</v>
      </c>
      <c r="S1172">
        <f t="shared" si="72"/>
        <v>55.8</v>
      </c>
      <c r="T1172">
        <f>IFERROR(VLOOKUP(A1172,Table1[[Customer ID]:[Discount Amount]], 6, FALSE),"Not Found")</f>
        <v>62</v>
      </c>
      <c r="U1172" t="str">
        <f t="shared" si="73"/>
        <v>Cash</v>
      </c>
      <c r="V1172" s="4" t="str">
        <f t="shared" si="74"/>
        <v>Normal</v>
      </c>
      <c r="W1172" s="4" t="str">
        <f t="shared" si="75"/>
        <v>Good</v>
      </c>
      <c r="X1172" s="4">
        <f>AVERAGE(Table1[Purchase Amount])</f>
        <v>129.48419400000012</v>
      </c>
    </row>
    <row r="1173" spans="1:24" ht="15" customHeight="1" x14ac:dyDescent="0.25">
      <c r="A1173">
        <v>1172</v>
      </c>
      <c r="B1173">
        <v>41</v>
      </c>
      <c r="C1173" t="s">
        <v>27</v>
      </c>
      <c r="D1173" t="s">
        <v>105</v>
      </c>
      <c r="E1173" t="s">
        <v>18</v>
      </c>
      <c r="F1173" s="2">
        <v>55</v>
      </c>
      <c r="G1173" t="s">
        <v>119</v>
      </c>
      <c r="H1173" t="s">
        <v>31</v>
      </c>
      <c r="I1173" t="s">
        <v>107</v>
      </c>
      <c r="J1173" t="s">
        <v>33</v>
      </c>
      <c r="K1173">
        <v>3.9</v>
      </c>
      <c r="L1173" t="s">
        <v>23</v>
      </c>
      <c r="M1173" t="s">
        <v>79</v>
      </c>
      <c r="N1173" t="s">
        <v>34</v>
      </c>
      <c r="O1173">
        <v>15</v>
      </c>
      <c r="P1173" t="s">
        <v>36</v>
      </c>
      <c r="Q1173" t="s">
        <v>49</v>
      </c>
      <c r="R1173" s="1">
        <v>0.1</v>
      </c>
      <c r="S1173">
        <f t="shared" si="72"/>
        <v>49.5</v>
      </c>
      <c r="T1173">
        <f>IFERROR(VLOOKUP(A1173,Table1[[Customer ID]:[Discount Amount]], 6, FALSE),"Not Found")</f>
        <v>55</v>
      </c>
      <c r="U1173" t="str">
        <f t="shared" si="73"/>
        <v>Debit Card</v>
      </c>
      <c r="V1173" s="4" t="str">
        <f t="shared" si="74"/>
        <v>Normal</v>
      </c>
      <c r="W1173" s="4" t="str">
        <f t="shared" si="75"/>
        <v>Good</v>
      </c>
      <c r="X1173" s="4">
        <f>AVERAGE(Table1[Purchase Amount])</f>
        <v>129.48419400000012</v>
      </c>
    </row>
    <row r="1174" spans="1:24" ht="15" customHeight="1" x14ac:dyDescent="0.25">
      <c r="A1174">
        <v>1173</v>
      </c>
      <c r="B1174">
        <v>59</v>
      </c>
      <c r="C1174" t="s">
        <v>27</v>
      </c>
      <c r="D1174" t="s">
        <v>76</v>
      </c>
      <c r="E1174" t="s">
        <v>77</v>
      </c>
      <c r="F1174" s="2">
        <v>68</v>
      </c>
      <c r="G1174" t="s">
        <v>123</v>
      </c>
      <c r="H1174" t="s">
        <v>45</v>
      </c>
      <c r="I1174" t="s">
        <v>145</v>
      </c>
      <c r="J1174" t="s">
        <v>33</v>
      </c>
      <c r="K1174">
        <v>4.5999999999999996</v>
      </c>
      <c r="L1174" t="s">
        <v>23</v>
      </c>
      <c r="M1174" t="s">
        <v>48</v>
      </c>
      <c r="N1174" t="s">
        <v>34</v>
      </c>
      <c r="O1174">
        <v>42</v>
      </c>
      <c r="P1174" t="s">
        <v>88</v>
      </c>
      <c r="Q1174" t="s">
        <v>68</v>
      </c>
      <c r="R1174" s="1">
        <v>0.1</v>
      </c>
      <c r="S1174">
        <f t="shared" si="72"/>
        <v>61.2</v>
      </c>
      <c r="T1174">
        <f>IFERROR(VLOOKUP(A1174,Table1[[Customer ID]:[Discount Amount]], 6, FALSE),"Not Found")</f>
        <v>68</v>
      </c>
      <c r="U1174" t="str">
        <f t="shared" si="73"/>
        <v>Bank Transfer</v>
      </c>
      <c r="V1174" s="4" t="str">
        <f t="shared" si="74"/>
        <v>Normal</v>
      </c>
      <c r="W1174" s="4" t="str">
        <f t="shared" si="75"/>
        <v>Good</v>
      </c>
      <c r="X1174" s="4">
        <f>AVERAGE(Table1[Purchase Amount])</f>
        <v>129.48419400000012</v>
      </c>
    </row>
    <row r="1175" spans="1:24" ht="15" customHeight="1" x14ac:dyDescent="0.25">
      <c r="A1175">
        <v>1174</v>
      </c>
      <c r="B1175">
        <v>44</v>
      </c>
      <c r="C1175" t="s">
        <v>27</v>
      </c>
      <c r="D1175" t="s">
        <v>50</v>
      </c>
      <c r="E1175" t="s">
        <v>29</v>
      </c>
      <c r="F1175" s="2">
        <v>76</v>
      </c>
      <c r="G1175" t="s">
        <v>130</v>
      </c>
      <c r="H1175" t="s">
        <v>31</v>
      </c>
      <c r="I1175" t="s">
        <v>91</v>
      </c>
      <c r="J1175" t="s">
        <v>22</v>
      </c>
      <c r="K1175">
        <v>2.5</v>
      </c>
      <c r="L1175" t="s">
        <v>23</v>
      </c>
      <c r="M1175" t="s">
        <v>61</v>
      </c>
      <c r="N1175" t="s">
        <v>34</v>
      </c>
      <c r="O1175">
        <v>42</v>
      </c>
      <c r="P1175" t="s">
        <v>25</v>
      </c>
      <c r="Q1175" t="s">
        <v>68</v>
      </c>
      <c r="R1175" s="1">
        <v>0.1</v>
      </c>
      <c r="S1175">
        <f t="shared" si="72"/>
        <v>68.400000000000006</v>
      </c>
      <c r="T1175">
        <f>IFERROR(VLOOKUP(A1175,Table1[[Customer ID]:[Discount Amount]], 6, FALSE),"Not Found")</f>
        <v>76</v>
      </c>
      <c r="U1175" t="str">
        <f t="shared" si="73"/>
        <v>Cash</v>
      </c>
      <c r="V1175" s="4" t="str">
        <f t="shared" si="74"/>
        <v>Normal</v>
      </c>
      <c r="W1175" s="4" t="str">
        <f t="shared" si="75"/>
        <v>Poor</v>
      </c>
      <c r="X1175" s="4">
        <f>AVERAGE(Table1[Purchase Amount])</f>
        <v>129.48419400000012</v>
      </c>
    </row>
    <row r="1176" spans="1:24" ht="15" customHeight="1" x14ac:dyDescent="0.25">
      <c r="A1176">
        <v>1175</v>
      </c>
      <c r="B1176">
        <v>42</v>
      </c>
      <c r="C1176" t="s">
        <v>27</v>
      </c>
      <c r="D1176" t="s">
        <v>104</v>
      </c>
      <c r="E1176" t="s">
        <v>29</v>
      </c>
      <c r="F1176" s="2">
        <v>31</v>
      </c>
      <c r="G1176" t="s">
        <v>113</v>
      </c>
      <c r="H1176" t="s">
        <v>31</v>
      </c>
      <c r="I1176" t="s">
        <v>40</v>
      </c>
      <c r="J1176" t="s">
        <v>22</v>
      </c>
      <c r="K1176">
        <v>4.3</v>
      </c>
      <c r="L1176" t="s">
        <v>23</v>
      </c>
      <c r="M1176" t="s">
        <v>61</v>
      </c>
      <c r="N1176" t="s">
        <v>34</v>
      </c>
      <c r="O1176">
        <v>19</v>
      </c>
      <c r="P1176" t="s">
        <v>88</v>
      </c>
      <c r="Q1176" t="s">
        <v>68</v>
      </c>
      <c r="R1176" s="1">
        <v>0.1</v>
      </c>
      <c r="S1176">
        <f t="shared" si="72"/>
        <v>27.9</v>
      </c>
      <c r="T1176">
        <f>IFERROR(VLOOKUP(A1176,Table1[[Customer ID]:[Discount Amount]], 6, FALSE),"Not Found")</f>
        <v>31</v>
      </c>
      <c r="U1176" t="str">
        <f t="shared" si="73"/>
        <v>Bank Transfer</v>
      </c>
      <c r="V1176" s="4" t="str">
        <f t="shared" si="74"/>
        <v>Normal</v>
      </c>
      <c r="W1176" s="4" t="str">
        <f t="shared" si="75"/>
        <v>Good</v>
      </c>
      <c r="X1176" s="4">
        <f>AVERAGE(Table1[Purchase Amount])</f>
        <v>129.48419400000012</v>
      </c>
    </row>
    <row r="1177" spans="1:24" ht="15" customHeight="1" x14ac:dyDescent="0.25">
      <c r="A1177">
        <v>1176</v>
      </c>
      <c r="B1177">
        <v>35</v>
      </c>
      <c r="C1177" t="s">
        <v>27</v>
      </c>
      <c r="D1177" t="s">
        <v>114</v>
      </c>
      <c r="E1177" t="s">
        <v>29</v>
      </c>
      <c r="F1177" s="2">
        <v>81</v>
      </c>
      <c r="G1177" t="s">
        <v>131</v>
      </c>
      <c r="H1177" t="s">
        <v>31</v>
      </c>
      <c r="I1177" t="s">
        <v>56</v>
      </c>
      <c r="J1177" t="s">
        <v>33</v>
      </c>
      <c r="K1177">
        <v>4.0999999999999996</v>
      </c>
      <c r="L1177" t="s">
        <v>23</v>
      </c>
      <c r="M1177" t="s">
        <v>48</v>
      </c>
      <c r="N1177" t="s">
        <v>34</v>
      </c>
      <c r="O1177">
        <v>26</v>
      </c>
      <c r="P1177" t="s">
        <v>58</v>
      </c>
      <c r="Q1177" t="s">
        <v>37</v>
      </c>
      <c r="R1177" s="1">
        <v>0.1</v>
      </c>
      <c r="S1177">
        <f t="shared" si="72"/>
        <v>72.900000000000006</v>
      </c>
      <c r="T1177">
        <f>IFERROR(VLOOKUP(A1177,Table1[[Customer ID]:[Discount Amount]], 6, FALSE),"Not Found")</f>
        <v>81</v>
      </c>
      <c r="U1177" t="str">
        <f t="shared" si="73"/>
        <v>PayPal</v>
      </c>
      <c r="V1177" s="4" t="str">
        <f t="shared" si="74"/>
        <v>Normal</v>
      </c>
      <c r="W1177" s="4" t="str">
        <f t="shared" si="75"/>
        <v>Good</v>
      </c>
      <c r="X1177" s="4">
        <f>AVERAGE(Table1[Purchase Amount])</f>
        <v>129.48419400000012</v>
      </c>
    </row>
    <row r="1178" spans="1:24" ht="15" customHeight="1" x14ac:dyDescent="0.25">
      <c r="A1178">
        <v>1177</v>
      </c>
      <c r="B1178">
        <v>36</v>
      </c>
      <c r="C1178" t="s">
        <v>27</v>
      </c>
      <c r="D1178" t="s">
        <v>157</v>
      </c>
      <c r="E1178" t="s">
        <v>18</v>
      </c>
      <c r="F1178" s="2">
        <v>83</v>
      </c>
      <c r="G1178" t="s">
        <v>123</v>
      </c>
      <c r="H1178" t="s">
        <v>31</v>
      </c>
      <c r="I1178" t="s">
        <v>46</v>
      </c>
      <c r="J1178" t="s">
        <v>22</v>
      </c>
      <c r="K1178">
        <v>1</v>
      </c>
      <c r="L1178" t="s">
        <v>23</v>
      </c>
      <c r="M1178" t="s">
        <v>35</v>
      </c>
      <c r="N1178" t="s">
        <v>34</v>
      </c>
      <c r="O1178">
        <v>39</v>
      </c>
      <c r="P1178" t="s">
        <v>58</v>
      </c>
      <c r="Q1178" t="s">
        <v>37</v>
      </c>
      <c r="R1178" s="1">
        <v>0.1</v>
      </c>
      <c r="S1178">
        <f t="shared" si="72"/>
        <v>74.7</v>
      </c>
      <c r="T1178">
        <f>IFERROR(VLOOKUP(A1178,Table1[[Customer ID]:[Discount Amount]], 6, FALSE),"Not Found")</f>
        <v>83</v>
      </c>
      <c r="U1178" t="str">
        <f t="shared" si="73"/>
        <v>PayPal</v>
      </c>
      <c r="V1178" s="4" t="str">
        <f t="shared" si="74"/>
        <v>Normal</v>
      </c>
      <c r="W1178" s="4" t="str">
        <f t="shared" si="75"/>
        <v>Poor</v>
      </c>
      <c r="X1178" s="4">
        <f>AVERAGE(Table1[Purchase Amount])</f>
        <v>129.48419400000012</v>
      </c>
    </row>
    <row r="1179" spans="1:24" ht="15" customHeight="1" x14ac:dyDescent="0.25">
      <c r="A1179">
        <v>1178</v>
      </c>
      <c r="B1179">
        <v>54</v>
      </c>
      <c r="C1179" t="s">
        <v>27</v>
      </c>
      <c r="D1179" t="s">
        <v>122</v>
      </c>
      <c r="E1179" t="s">
        <v>18</v>
      </c>
      <c r="F1179" s="2">
        <v>21</v>
      </c>
      <c r="G1179" t="s">
        <v>141</v>
      </c>
      <c r="H1179" t="s">
        <v>31</v>
      </c>
      <c r="I1179" t="s">
        <v>40</v>
      </c>
      <c r="J1179" t="s">
        <v>33</v>
      </c>
      <c r="K1179">
        <v>4.8</v>
      </c>
      <c r="L1179" t="s">
        <v>23</v>
      </c>
      <c r="M1179" t="s">
        <v>24</v>
      </c>
      <c r="N1179" t="s">
        <v>34</v>
      </c>
      <c r="O1179">
        <v>24</v>
      </c>
      <c r="P1179" t="s">
        <v>36</v>
      </c>
      <c r="Q1179" t="s">
        <v>42</v>
      </c>
      <c r="R1179" s="1">
        <v>0.1</v>
      </c>
      <c r="S1179">
        <f t="shared" si="72"/>
        <v>18.899999999999999</v>
      </c>
      <c r="T1179">
        <f>IFERROR(VLOOKUP(A1179,Table1[[Customer ID]:[Discount Amount]], 6, FALSE),"Not Found")</f>
        <v>21</v>
      </c>
      <c r="U1179" t="str">
        <f t="shared" si="73"/>
        <v>Debit Card</v>
      </c>
      <c r="V1179" s="4" t="str">
        <f t="shared" si="74"/>
        <v>Normal</v>
      </c>
      <c r="W1179" s="4" t="str">
        <f t="shared" si="75"/>
        <v>Good</v>
      </c>
      <c r="X1179" s="4">
        <f>AVERAGE(Table1[Purchase Amount])</f>
        <v>129.48419400000012</v>
      </c>
    </row>
    <row r="1180" spans="1:24" ht="15" customHeight="1" x14ac:dyDescent="0.25">
      <c r="A1180">
        <v>1179</v>
      </c>
      <c r="B1180">
        <v>37</v>
      </c>
      <c r="C1180" t="s">
        <v>27</v>
      </c>
      <c r="D1180" t="s">
        <v>157</v>
      </c>
      <c r="E1180" t="s">
        <v>18</v>
      </c>
      <c r="F1180" s="2">
        <v>22</v>
      </c>
      <c r="G1180" t="s">
        <v>30</v>
      </c>
      <c r="H1180" t="s">
        <v>31</v>
      </c>
      <c r="I1180" t="s">
        <v>147</v>
      </c>
      <c r="J1180" t="s">
        <v>33</v>
      </c>
      <c r="K1180">
        <v>4.9000000000000004</v>
      </c>
      <c r="L1180" t="s">
        <v>23</v>
      </c>
      <c r="M1180" t="s">
        <v>61</v>
      </c>
      <c r="N1180" t="s">
        <v>34</v>
      </c>
      <c r="O1180">
        <v>23</v>
      </c>
      <c r="P1180" t="s">
        <v>36</v>
      </c>
      <c r="Q1180" t="s">
        <v>49</v>
      </c>
      <c r="R1180" s="1">
        <v>0.1</v>
      </c>
      <c r="S1180">
        <f t="shared" si="72"/>
        <v>19.8</v>
      </c>
      <c r="T1180">
        <f>IFERROR(VLOOKUP(A1180,Table1[[Customer ID]:[Discount Amount]], 6, FALSE),"Not Found")</f>
        <v>22</v>
      </c>
      <c r="U1180" t="str">
        <f t="shared" si="73"/>
        <v>Debit Card</v>
      </c>
      <c r="V1180" s="4" t="str">
        <f t="shared" si="74"/>
        <v>Normal</v>
      </c>
      <c r="W1180" s="4" t="str">
        <f t="shared" si="75"/>
        <v>Good</v>
      </c>
      <c r="X1180" s="4">
        <f>AVERAGE(Table1[Purchase Amount])</f>
        <v>129.48419400000012</v>
      </c>
    </row>
    <row r="1181" spans="1:24" ht="15" customHeight="1" x14ac:dyDescent="0.25">
      <c r="A1181">
        <v>1180</v>
      </c>
      <c r="B1181">
        <v>20</v>
      </c>
      <c r="C1181" t="s">
        <v>27</v>
      </c>
      <c r="D1181" t="s">
        <v>17</v>
      </c>
      <c r="E1181" t="s">
        <v>18</v>
      </c>
      <c r="F1181" s="2">
        <v>33</v>
      </c>
      <c r="G1181" t="s">
        <v>102</v>
      </c>
      <c r="H1181" t="s">
        <v>31</v>
      </c>
      <c r="I1181" t="s">
        <v>74</v>
      </c>
      <c r="J1181" t="s">
        <v>57</v>
      </c>
      <c r="K1181">
        <v>2.8</v>
      </c>
      <c r="L1181" t="s">
        <v>23</v>
      </c>
      <c r="M1181" t="s">
        <v>35</v>
      </c>
      <c r="N1181" t="s">
        <v>34</v>
      </c>
      <c r="O1181">
        <v>44</v>
      </c>
      <c r="P1181" t="s">
        <v>88</v>
      </c>
      <c r="Q1181" t="s">
        <v>49</v>
      </c>
      <c r="R1181" s="1">
        <v>0.1</v>
      </c>
      <c r="S1181">
        <f t="shared" si="72"/>
        <v>29.7</v>
      </c>
      <c r="T1181">
        <f>IFERROR(VLOOKUP(A1181,Table1[[Customer ID]:[Discount Amount]], 6, FALSE),"Not Found")</f>
        <v>33</v>
      </c>
      <c r="U1181" t="str">
        <f t="shared" si="73"/>
        <v>Bank Transfer</v>
      </c>
      <c r="V1181" s="4" t="str">
        <f t="shared" si="74"/>
        <v>Normal</v>
      </c>
      <c r="W1181" s="4" t="str">
        <f t="shared" si="75"/>
        <v>Poor</v>
      </c>
      <c r="X1181" s="4">
        <f>AVERAGE(Table1[Purchase Amount])</f>
        <v>129.48419400000012</v>
      </c>
    </row>
    <row r="1182" spans="1:24" ht="15" customHeight="1" x14ac:dyDescent="0.25">
      <c r="A1182">
        <v>1181</v>
      </c>
      <c r="B1182">
        <v>23</v>
      </c>
      <c r="C1182" t="s">
        <v>27</v>
      </c>
      <c r="D1182" t="s">
        <v>122</v>
      </c>
      <c r="E1182" t="s">
        <v>18</v>
      </c>
      <c r="F1182" s="2">
        <v>23</v>
      </c>
      <c r="G1182" t="s">
        <v>123</v>
      </c>
      <c r="H1182" t="s">
        <v>55</v>
      </c>
      <c r="I1182" t="s">
        <v>56</v>
      </c>
      <c r="J1182" t="s">
        <v>33</v>
      </c>
      <c r="K1182">
        <v>4.9000000000000004</v>
      </c>
      <c r="L1182" t="s">
        <v>23</v>
      </c>
      <c r="M1182" t="s">
        <v>24</v>
      </c>
      <c r="N1182" t="s">
        <v>34</v>
      </c>
      <c r="O1182">
        <v>34</v>
      </c>
      <c r="P1182" t="s">
        <v>25</v>
      </c>
      <c r="Q1182" t="s">
        <v>42</v>
      </c>
      <c r="R1182" s="1">
        <v>0.1</v>
      </c>
      <c r="S1182">
        <f t="shared" si="72"/>
        <v>20.7</v>
      </c>
      <c r="T1182">
        <f>IFERROR(VLOOKUP(A1182,Table1[[Customer ID]:[Discount Amount]], 6, FALSE),"Not Found")</f>
        <v>23</v>
      </c>
      <c r="U1182" t="str">
        <f t="shared" si="73"/>
        <v>Cash</v>
      </c>
      <c r="V1182" s="4" t="str">
        <f t="shared" si="74"/>
        <v>Normal</v>
      </c>
      <c r="W1182" s="4" t="str">
        <f t="shared" si="75"/>
        <v>Good</v>
      </c>
      <c r="X1182" s="4">
        <f>AVERAGE(Table1[Purchase Amount])</f>
        <v>129.48419400000012</v>
      </c>
    </row>
    <row r="1183" spans="1:24" ht="15" customHeight="1" x14ac:dyDescent="0.25">
      <c r="A1183">
        <v>1182</v>
      </c>
      <c r="B1183">
        <v>61</v>
      </c>
      <c r="C1183" t="s">
        <v>27</v>
      </c>
      <c r="D1183" t="s">
        <v>54</v>
      </c>
      <c r="E1183" t="s">
        <v>18</v>
      </c>
      <c r="F1183" s="2">
        <v>96</v>
      </c>
      <c r="G1183" t="s">
        <v>101</v>
      </c>
      <c r="H1183" t="s">
        <v>45</v>
      </c>
      <c r="I1183" t="s">
        <v>147</v>
      </c>
      <c r="J1183" t="s">
        <v>57</v>
      </c>
      <c r="K1183">
        <v>3.5</v>
      </c>
      <c r="L1183" t="s">
        <v>23</v>
      </c>
      <c r="M1183" t="s">
        <v>35</v>
      </c>
      <c r="N1183" t="s">
        <v>34</v>
      </c>
      <c r="O1183">
        <v>43</v>
      </c>
      <c r="P1183" t="s">
        <v>88</v>
      </c>
      <c r="Q1183" t="s">
        <v>37</v>
      </c>
      <c r="R1183" s="1">
        <v>0.1</v>
      </c>
      <c r="S1183">
        <f t="shared" si="72"/>
        <v>86.4</v>
      </c>
      <c r="T1183">
        <f>IFERROR(VLOOKUP(A1183,Table1[[Customer ID]:[Discount Amount]], 6, FALSE),"Not Found")</f>
        <v>96</v>
      </c>
      <c r="U1183" t="str">
        <f t="shared" si="73"/>
        <v>Bank Transfer</v>
      </c>
      <c r="V1183" s="4" t="str">
        <f t="shared" si="74"/>
        <v>Normal</v>
      </c>
      <c r="W1183" s="4" t="str">
        <f t="shared" si="75"/>
        <v>Good</v>
      </c>
      <c r="X1183" s="4">
        <f>AVERAGE(Table1[Purchase Amount])</f>
        <v>129.48419400000012</v>
      </c>
    </row>
    <row r="1184" spans="1:24" ht="15" customHeight="1" x14ac:dyDescent="0.25">
      <c r="A1184">
        <v>1183</v>
      </c>
      <c r="B1184">
        <v>37</v>
      </c>
      <c r="C1184" t="s">
        <v>27</v>
      </c>
      <c r="D1184" t="s">
        <v>50</v>
      </c>
      <c r="E1184" t="s">
        <v>29</v>
      </c>
      <c r="F1184" s="2">
        <v>21</v>
      </c>
      <c r="G1184" t="s">
        <v>110</v>
      </c>
      <c r="H1184" t="s">
        <v>31</v>
      </c>
      <c r="I1184" t="s">
        <v>125</v>
      </c>
      <c r="J1184" t="s">
        <v>33</v>
      </c>
      <c r="K1184">
        <v>3.8</v>
      </c>
      <c r="L1184" t="s">
        <v>23</v>
      </c>
      <c r="M1184" t="s">
        <v>61</v>
      </c>
      <c r="N1184" t="s">
        <v>34</v>
      </c>
      <c r="O1184">
        <v>45</v>
      </c>
      <c r="P1184" t="s">
        <v>58</v>
      </c>
      <c r="Q1184" t="s">
        <v>37</v>
      </c>
      <c r="R1184" s="1">
        <v>0.1</v>
      </c>
      <c r="S1184">
        <f t="shared" si="72"/>
        <v>18.899999999999999</v>
      </c>
      <c r="T1184">
        <f>IFERROR(VLOOKUP(A1184,Table1[[Customer ID]:[Discount Amount]], 6, FALSE),"Not Found")</f>
        <v>21</v>
      </c>
      <c r="U1184" t="str">
        <f t="shared" si="73"/>
        <v>PayPal</v>
      </c>
      <c r="V1184" s="4" t="str">
        <f t="shared" si="74"/>
        <v>Normal</v>
      </c>
      <c r="W1184" s="4" t="str">
        <f t="shared" si="75"/>
        <v>Good</v>
      </c>
      <c r="X1184" s="4">
        <f>AVERAGE(Table1[Purchase Amount])</f>
        <v>129.48419400000012</v>
      </c>
    </row>
    <row r="1185" spans="1:24" ht="15" customHeight="1" x14ac:dyDescent="0.25">
      <c r="A1185">
        <v>1184</v>
      </c>
      <c r="B1185">
        <v>23</v>
      </c>
      <c r="C1185" t="s">
        <v>27</v>
      </c>
      <c r="D1185" t="s">
        <v>99</v>
      </c>
      <c r="E1185" t="s">
        <v>18</v>
      </c>
      <c r="F1185" s="2">
        <v>39</v>
      </c>
      <c r="G1185" t="s">
        <v>119</v>
      </c>
      <c r="H1185" t="s">
        <v>31</v>
      </c>
      <c r="I1185" t="s">
        <v>52</v>
      </c>
      <c r="J1185" t="s">
        <v>33</v>
      </c>
      <c r="K1185">
        <v>4.5</v>
      </c>
      <c r="L1185" t="s">
        <v>23</v>
      </c>
      <c r="M1185" t="s">
        <v>41</v>
      </c>
      <c r="N1185" t="s">
        <v>34</v>
      </c>
      <c r="O1185">
        <v>4</v>
      </c>
      <c r="P1185" t="s">
        <v>53</v>
      </c>
      <c r="Q1185" t="s">
        <v>26</v>
      </c>
      <c r="R1185" s="1">
        <v>0.1</v>
      </c>
      <c r="S1185">
        <f t="shared" si="72"/>
        <v>35.1</v>
      </c>
      <c r="T1185">
        <f>IFERROR(VLOOKUP(A1185,Table1[[Customer ID]:[Discount Amount]], 6, FALSE),"Not Found")</f>
        <v>39</v>
      </c>
      <c r="U1185" t="str">
        <f t="shared" si="73"/>
        <v>Credit Card</v>
      </c>
      <c r="V1185" s="4" t="str">
        <f t="shared" si="74"/>
        <v>Normal</v>
      </c>
      <c r="W1185" s="4" t="str">
        <f t="shared" si="75"/>
        <v>Good</v>
      </c>
      <c r="X1185" s="4">
        <f>AVERAGE(Table1[Purchase Amount])</f>
        <v>129.48419400000012</v>
      </c>
    </row>
    <row r="1186" spans="1:24" ht="15" customHeight="1" x14ac:dyDescent="0.25">
      <c r="A1186">
        <v>1185</v>
      </c>
      <c r="B1186">
        <v>63</v>
      </c>
      <c r="C1186" t="s">
        <v>27</v>
      </c>
      <c r="D1186" t="s">
        <v>114</v>
      </c>
      <c r="E1186" t="s">
        <v>29</v>
      </c>
      <c r="F1186" s="2">
        <v>73</v>
      </c>
      <c r="G1186" t="s">
        <v>30</v>
      </c>
      <c r="H1186" t="s">
        <v>55</v>
      </c>
      <c r="I1186" t="s">
        <v>91</v>
      </c>
      <c r="J1186" t="s">
        <v>47</v>
      </c>
      <c r="K1186">
        <v>3.4</v>
      </c>
      <c r="L1186" t="s">
        <v>23</v>
      </c>
      <c r="M1186" t="s">
        <v>61</v>
      </c>
      <c r="N1186" t="s">
        <v>34</v>
      </c>
      <c r="O1186">
        <v>19</v>
      </c>
      <c r="P1186" t="s">
        <v>53</v>
      </c>
      <c r="Q1186" t="s">
        <v>49</v>
      </c>
      <c r="R1186" s="1">
        <v>0.1</v>
      </c>
      <c r="S1186">
        <f t="shared" si="72"/>
        <v>65.7</v>
      </c>
      <c r="T1186">
        <f>IFERROR(VLOOKUP(A1186,Table1[[Customer ID]:[Discount Amount]], 6, FALSE),"Not Found")</f>
        <v>73</v>
      </c>
      <c r="U1186" t="str">
        <f t="shared" si="73"/>
        <v>Credit Card</v>
      </c>
      <c r="V1186" s="4" t="str">
        <f t="shared" si="74"/>
        <v>Normal</v>
      </c>
      <c r="W1186" s="4" t="str">
        <f t="shared" si="75"/>
        <v>Good</v>
      </c>
      <c r="X1186" s="4">
        <f>AVERAGE(Table1[Purchase Amount])</f>
        <v>129.48419400000012</v>
      </c>
    </row>
    <row r="1187" spans="1:24" ht="15" customHeight="1" x14ac:dyDescent="0.25">
      <c r="A1187">
        <v>1186</v>
      </c>
      <c r="B1187">
        <v>47</v>
      </c>
      <c r="C1187" t="s">
        <v>27</v>
      </c>
      <c r="D1187" t="s">
        <v>109</v>
      </c>
      <c r="E1187" t="s">
        <v>18</v>
      </c>
      <c r="F1187" s="2">
        <v>64</v>
      </c>
      <c r="G1187" t="s">
        <v>94</v>
      </c>
      <c r="H1187" t="s">
        <v>31</v>
      </c>
      <c r="I1187" t="s">
        <v>87</v>
      </c>
      <c r="J1187" t="s">
        <v>33</v>
      </c>
      <c r="K1187">
        <v>3.9</v>
      </c>
      <c r="L1187" t="s">
        <v>23</v>
      </c>
      <c r="M1187" t="s">
        <v>24</v>
      </c>
      <c r="N1187" t="s">
        <v>34</v>
      </c>
      <c r="O1187">
        <v>29</v>
      </c>
      <c r="P1187" t="s">
        <v>53</v>
      </c>
      <c r="Q1187" t="s">
        <v>42</v>
      </c>
      <c r="R1187" s="1">
        <v>0.1</v>
      </c>
      <c r="S1187">
        <f t="shared" si="72"/>
        <v>57.6</v>
      </c>
      <c r="T1187">
        <f>IFERROR(VLOOKUP(A1187,Table1[[Customer ID]:[Discount Amount]], 6, FALSE),"Not Found")</f>
        <v>64</v>
      </c>
      <c r="U1187" t="str">
        <f t="shared" si="73"/>
        <v>Credit Card</v>
      </c>
      <c r="V1187" s="4" t="str">
        <f t="shared" si="74"/>
        <v>Normal</v>
      </c>
      <c r="W1187" s="4" t="str">
        <f t="shared" si="75"/>
        <v>Good</v>
      </c>
      <c r="X1187" s="4">
        <f>AVERAGE(Table1[Purchase Amount])</f>
        <v>129.48419400000012</v>
      </c>
    </row>
    <row r="1188" spans="1:24" ht="15" customHeight="1" x14ac:dyDescent="0.25">
      <c r="A1188">
        <v>1187</v>
      </c>
      <c r="B1188">
        <v>63</v>
      </c>
      <c r="C1188" t="s">
        <v>27</v>
      </c>
      <c r="D1188" t="s">
        <v>109</v>
      </c>
      <c r="E1188" t="s">
        <v>18</v>
      </c>
      <c r="F1188" s="2">
        <v>68</v>
      </c>
      <c r="G1188" t="s">
        <v>102</v>
      </c>
      <c r="H1188" t="s">
        <v>31</v>
      </c>
      <c r="I1188" t="s">
        <v>56</v>
      </c>
      <c r="J1188" t="s">
        <v>57</v>
      </c>
      <c r="K1188">
        <v>4.0999999999999996</v>
      </c>
      <c r="L1188" t="s">
        <v>23</v>
      </c>
      <c r="M1188" t="s">
        <v>41</v>
      </c>
      <c r="N1188" t="s">
        <v>34</v>
      </c>
      <c r="O1188">
        <v>27</v>
      </c>
      <c r="P1188" t="s">
        <v>53</v>
      </c>
      <c r="Q1188" t="s">
        <v>49</v>
      </c>
      <c r="R1188" s="1">
        <v>0.1</v>
      </c>
      <c r="S1188">
        <f t="shared" si="72"/>
        <v>61.2</v>
      </c>
      <c r="T1188">
        <f>IFERROR(VLOOKUP(A1188,Table1[[Customer ID]:[Discount Amount]], 6, FALSE),"Not Found")</f>
        <v>68</v>
      </c>
      <c r="U1188" t="str">
        <f t="shared" si="73"/>
        <v>Credit Card</v>
      </c>
      <c r="V1188" s="4" t="str">
        <f t="shared" si="74"/>
        <v>Normal</v>
      </c>
      <c r="W1188" s="4" t="str">
        <f t="shared" si="75"/>
        <v>Good</v>
      </c>
      <c r="X1188" s="4">
        <f>AVERAGE(Table1[Purchase Amount])</f>
        <v>129.48419400000012</v>
      </c>
    </row>
    <row r="1189" spans="1:24" ht="15" customHeight="1" x14ac:dyDescent="0.25">
      <c r="A1189">
        <v>1188</v>
      </c>
      <c r="B1189">
        <v>56</v>
      </c>
      <c r="C1189" t="s">
        <v>27</v>
      </c>
      <c r="D1189" t="s">
        <v>64</v>
      </c>
      <c r="E1189" t="s">
        <v>29</v>
      </c>
      <c r="F1189" s="2">
        <v>89</v>
      </c>
      <c r="G1189" t="s">
        <v>141</v>
      </c>
      <c r="H1189" t="s">
        <v>45</v>
      </c>
      <c r="I1189" t="s">
        <v>125</v>
      </c>
      <c r="J1189" t="s">
        <v>47</v>
      </c>
      <c r="K1189">
        <v>3</v>
      </c>
      <c r="L1189" t="s">
        <v>23</v>
      </c>
      <c r="M1189" t="s">
        <v>61</v>
      </c>
      <c r="N1189" t="s">
        <v>34</v>
      </c>
      <c r="O1189">
        <v>37</v>
      </c>
      <c r="P1189" t="s">
        <v>53</v>
      </c>
      <c r="Q1189" t="s">
        <v>63</v>
      </c>
      <c r="R1189" s="1">
        <v>0.1</v>
      </c>
      <c r="S1189">
        <f t="shared" si="72"/>
        <v>80.099999999999994</v>
      </c>
      <c r="T1189">
        <f>IFERROR(VLOOKUP(A1189,Table1[[Customer ID]:[Discount Amount]], 6, FALSE),"Not Found")</f>
        <v>89</v>
      </c>
      <c r="U1189" t="str">
        <f t="shared" si="73"/>
        <v>Credit Card</v>
      </c>
      <c r="V1189" s="4" t="str">
        <f t="shared" si="74"/>
        <v>Normal</v>
      </c>
      <c r="W1189" s="4" t="str">
        <f t="shared" si="75"/>
        <v>Good</v>
      </c>
      <c r="X1189" s="4">
        <f>AVERAGE(Table1[Purchase Amount])</f>
        <v>129.48419400000012</v>
      </c>
    </row>
    <row r="1190" spans="1:24" ht="15" customHeight="1" x14ac:dyDescent="0.25">
      <c r="A1190">
        <v>1189</v>
      </c>
      <c r="B1190">
        <v>68</v>
      </c>
      <c r="C1190" t="s">
        <v>27</v>
      </c>
      <c r="D1190" t="s">
        <v>118</v>
      </c>
      <c r="E1190" t="s">
        <v>18</v>
      </c>
      <c r="F1190" s="2">
        <v>29</v>
      </c>
      <c r="G1190" t="s">
        <v>149</v>
      </c>
      <c r="H1190" t="s">
        <v>31</v>
      </c>
      <c r="I1190" t="s">
        <v>87</v>
      </c>
      <c r="J1190" t="s">
        <v>57</v>
      </c>
      <c r="K1190">
        <v>3.3</v>
      </c>
      <c r="L1190" t="s">
        <v>23</v>
      </c>
      <c r="M1190" t="s">
        <v>79</v>
      </c>
      <c r="N1190" t="s">
        <v>34</v>
      </c>
      <c r="O1190">
        <v>11</v>
      </c>
      <c r="P1190" t="s">
        <v>53</v>
      </c>
      <c r="Q1190" t="s">
        <v>26</v>
      </c>
      <c r="R1190" s="1">
        <v>0.1</v>
      </c>
      <c r="S1190">
        <f t="shared" si="72"/>
        <v>26.1</v>
      </c>
      <c r="T1190">
        <f>IFERROR(VLOOKUP(A1190,Table1[[Customer ID]:[Discount Amount]], 6, FALSE),"Not Found")</f>
        <v>29</v>
      </c>
      <c r="U1190" t="str">
        <f t="shared" si="73"/>
        <v>Credit Card</v>
      </c>
      <c r="V1190" s="4" t="str">
        <f t="shared" si="74"/>
        <v>Normal</v>
      </c>
      <c r="W1190" s="4" t="str">
        <f t="shared" si="75"/>
        <v>Good</v>
      </c>
      <c r="X1190" s="4">
        <f>AVERAGE(Table1[Purchase Amount])</f>
        <v>129.48419400000012</v>
      </c>
    </row>
    <row r="1191" spans="1:24" ht="15" customHeight="1" x14ac:dyDescent="0.25">
      <c r="A1191">
        <v>1190</v>
      </c>
      <c r="B1191">
        <v>64</v>
      </c>
      <c r="C1191" t="s">
        <v>27</v>
      </c>
      <c r="D1191" t="s">
        <v>38</v>
      </c>
      <c r="E1191" t="s">
        <v>18</v>
      </c>
      <c r="F1191" s="2">
        <v>97</v>
      </c>
      <c r="G1191" t="s">
        <v>100</v>
      </c>
      <c r="H1191" t="s">
        <v>20</v>
      </c>
      <c r="I1191" t="s">
        <v>147</v>
      </c>
      <c r="J1191" t="s">
        <v>57</v>
      </c>
      <c r="K1191">
        <v>1</v>
      </c>
      <c r="L1191" t="s">
        <v>23</v>
      </c>
      <c r="M1191" t="s">
        <v>35</v>
      </c>
      <c r="N1191" t="s">
        <v>34</v>
      </c>
      <c r="O1191">
        <v>28</v>
      </c>
      <c r="P1191" t="s">
        <v>36</v>
      </c>
      <c r="Q1191" t="s">
        <v>49</v>
      </c>
      <c r="R1191" s="1">
        <v>0.1</v>
      </c>
      <c r="S1191">
        <f t="shared" si="72"/>
        <v>87.3</v>
      </c>
      <c r="T1191">
        <f>IFERROR(VLOOKUP(A1191,Table1[[Customer ID]:[Discount Amount]], 6, FALSE),"Not Found")</f>
        <v>97</v>
      </c>
      <c r="U1191" t="str">
        <f t="shared" si="73"/>
        <v>Debit Card</v>
      </c>
      <c r="V1191" s="4" t="str">
        <f t="shared" si="74"/>
        <v>Normal</v>
      </c>
      <c r="W1191" s="4" t="str">
        <f t="shared" si="75"/>
        <v>Poor</v>
      </c>
      <c r="X1191" s="4">
        <f>AVERAGE(Table1[Purchase Amount])</f>
        <v>129.48419400000012</v>
      </c>
    </row>
    <row r="1192" spans="1:24" ht="15" customHeight="1" x14ac:dyDescent="0.25">
      <c r="A1192">
        <v>1191</v>
      </c>
      <c r="B1192">
        <v>62</v>
      </c>
      <c r="C1192" t="s">
        <v>27</v>
      </c>
      <c r="D1192" t="s">
        <v>38</v>
      </c>
      <c r="E1192" t="s">
        <v>18</v>
      </c>
      <c r="F1192" s="2">
        <v>45</v>
      </c>
      <c r="G1192" t="s">
        <v>30</v>
      </c>
      <c r="H1192" t="s">
        <v>31</v>
      </c>
      <c r="I1192" t="s">
        <v>108</v>
      </c>
      <c r="J1192" t="s">
        <v>22</v>
      </c>
      <c r="K1192">
        <v>4.3</v>
      </c>
      <c r="L1192" t="s">
        <v>23</v>
      </c>
      <c r="M1192" t="s">
        <v>79</v>
      </c>
      <c r="N1192" t="s">
        <v>34</v>
      </c>
      <c r="O1192">
        <v>31</v>
      </c>
      <c r="P1192" t="s">
        <v>53</v>
      </c>
      <c r="Q1192" t="s">
        <v>26</v>
      </c>
      <c r="R1192" s="1">
        <v>0.1</v>
      </c>
      <c r="S1192">
        <f t="shared" si="72"/>
        <v>40.5</v>
      </c>
      <c r="T1192">
        <f>IFERROR(VLOOKUP(A1192,Table1[[Customer ID]:[Discount Amount]], 6, FALSE),"Not Found")</f>
        <v>45</v>
      </c>
      <c r="U1192" t="str">
        <f t="shared" si="73"/>
        <v>Credit Card</v>
      </c>
      <c r="V1192" s="4" t="str">
        <f t="shared" si="74"/>
        <v>Normal</v>
      </c>
      <c r="W1192" s="4" t="str">
        <f t="shared" si="75"/>
        <v>Good</v>
      </c>
      <c r="X1192" s="4">
        <f>AVERAGE(Table1[Purchase Amount])</f>
        <v>129.48419400000012</v>
      </c>
    </row>
    <row r="1193" spans="1:24" ht="15" customHeight="1" x14ac:dyDescent="0.25">
      <c r="A1193">
        <v>1192</v>
      </c>
      <c r="B1193">
        <v>34</v>
      </c>
      <c r="C1193" t="s">
        <v>27</v>
      </c>
      <c r="D1193" t="s">
        <v>17</v>
      </c>
      <c r="E1193" t="s">
        <v>18</v>
      </c>
      <c r="F1193" s="2">
        <v>70</v>
      </c>
      <c r="G1193" t="s">
        <v>102</v>
      </c>
      <c r="H1193" t="s">
        <v>45</v>
      </c>
      <c r="I1193" t="s">
        <v>103</v>
      </c>
      <c r="J1193" t="s">
        <v>22</v>
      </c>
      <c r="K1193">
        <v>4.0999999999999996</v>
      </c>
      <c r="L1193" t="s">
        <v>23</v>
      </c>
      <c r="M1193" t="s">
        <v>35</v>
      </c>
      <c r="N1193" t="s">
        <v>34</v>
      </c>
      <c r="O1193">
        <v>50</v>
      </c>
      <c r="P1193" t="s">
        <v>62</v>
      </c>
      <c r="Q1193" t="s">
        <v>37</v>
      </c>
      <c r="R1193" s="1">
        <v>0.1</v>
      </c>
      <c r="S1193">
        <f t="shared" si="72"/>
        <v>63</v>
      </c>
      <c r="T1193">
        <f>IFERROR(VLOOKUP(A1193,Table1[[Customer ID]:[Discount Amount]], 6, FALSE),"Not Found")</f>
        <v>70</v>
      </c>
      <c r="U1193" t="str">
        <f t="shared" si="73"/>
        <v>Venmo</v>
      </c>
      <c r="V1193" s="4" t="str">
        <f t="shared" si="74"/>
        <v>Normal</v>
      </c>
      <c r="W1193" s="4" t="str">
        <f t="shared" si="75"/>
        <v>Good</v>
      </c>
      <c r="X1193" s="4">
        <f>AVERAGE(Table1[Purchase Amount])</f>
        <v>129.48419400000012</v>
      </c>
    </row>
    <row r="1194" spans="1:24" ht="15" customHeight="1" x14ac:dyDescent="0.25">
      <c r="A1194">
        <v>1193</v>
      </c>
      <c r="B1194">
        <v>49</v>
      </c>
      <c r="C1194" t="s">
        <v>27</v>
      </c>
      <c r="D1194" t="s">
        <v>76</v>
      </c>
      <c r="E1194" t="s">
        <v>77</v>
      </c>
      <c r="F1194" s="2">
        <v>56</v>
      </c>
      <c r="G1194" t="s">
        <v>67</v>
      </c>
      <c r="H1194" t="s">
        <v>31</v>
      </c>
      <c r="I1194" t="s">
        <v>156</v>
      </c>
      <c r="J1194" t="s">
        <v>57</v>
      </c>
      <c r="K1194">
        <v>4</v>
      </c>
      <c r="L1194" t="s">
        <v>23</v>
      </c>
      <c r="M1194" t="s">
        <v>41</v>
      </c>
      <c r="N1194" t="s">
        <v>34</v>
      </c>
      <c r="O1194">
        <v>42</v>
      </c>
      <c r="P1194" t="s">
        <v>62</v>
      </c>
      <c r="Q1194" t="s">
        <v>37</v>
      </c>
      <c r="R1194" s="1">
        <v>0.1</v>
      </c>
      <c r="S1194">
        <f t="shared" si="72"/>
        <v>50.4</v>
      </c>
      <c r="T1194">
        <f>IFERROR(VLOOKUP(A1194,Table1[[Customer ID]:[Discount Amount]], 6, FALSE),"Not Found")</f>
        <v>56</v>
      </c>
      <c r="U1194" t="str">
        <f t="shared" si="73"/>
        <v>Venmo</v>
      </c>
      <c r="V1194" s="4" t="str">
        <f t="shared" si="74"/>
        <v>Normal</v>
      </c>
      <c r="W1194" s="4" t="str">
        <f t="shared" si="75"/>
        <v>Good</v>
      </c>
      <c r="X1194" s="4">
        <f>AVERAGE(Table1[Purchase Amount])</f>
        <v>129.48419400000012</v>
      </c>
    </row>
    <row r="1195" spans="1:24" ht="15" customHeight="1" x14ac:dyDescent="0.25">
      <c r="A1195">
        <v>1194</v>
      </c>
      <c r="B1195">
        <v>40</v>
      </c>
      <c r="C1195" t="s">
        <v>27</v>
      </c>
      <c r="D1195" t="s">
        <v>96</v>
      </c>
      <c r="E1195" t="s">
        <v>77</v>
      </c>
      <c r="F1195" s="2">
        <v>55</v>
      </c>
      <c r="G1195" t="s">
        <v>148</v>
      </c>
      <c r="H1195" t="s">
        <v>45</v>
      </c>
      <c r="I1195" t="s">
        <v>136</v>
      </c>
      <c r="J1195" t="s">
        <v>47</v>
      </c>
      <c r="K1195">
        <v>5</v>
      </c>
      <c r="L1195" t="s">
        <v>23</v>
      </c>
      <c r="M1195" t="s">
        <v>41</v>
      </c>
      <c r="N1195" t="s">
        <v>34</v>
      </c>
      <c r="O1195">
        <v>18</v>
      </c>
      <c r="P1195" t="s">
        <v>53</v>
      </c>
      <c r="Q1195" t="s">
        <v>89</v>
      </c>
      <c r="R1195" s="1">
        <v>0.1</v>
      </c>
      <c r="S1195">
        <f t="shared" si="72"/>
        <v>49.5</v>
      </c>
      <c r="T1195">
        <f>IFERROR(VLOOKUP(A1195,Table1[[Customer ID]:[Discount Amount]], 6, FALSE),"Not Found")</f>
        <v>55</v>
      </c>
      <c r="U1195" t="str">
        <f t="shared" si="73"/>
        <v>Credit Card</v>
      </c>
      <c r="V1195" s="4" t="str">
        <f t="shared" si="74"/>
        <v>Normal</v>
      </c>
      <c r="W1195" s="4" t="str">
        <f t="shared" si="75"/>
        <v>Good</v>
      </c>
      <c r="X1195" s="4">
        <f>AVERAGE(Table1[Purchase Amount])</f>
        <v>129.48419400000012</v>
      </c>
    </row>
    <row r="1196" spans="1:24" ht="15" customHeight="1" x14ac:dyDescent="0.25">
      <c r="A1196">
        <v>1195</v>
      </c>
      <c r="B1196">
        <v>50</v>
      </c>
      <c r="C1196" t="s">
        <v>27</v>
      </c>
      <c r="D1196" t="s">
        <v>83</v>
      </c>
      <c r="E1196" t="s">
        <v>18</v>
      </c>
      <c r="F1196" s="2">
        <v>46</v>
      </c>
      <c r="G1196" t="s">
        <v>101</v>
      </c>
      <c r="H1196" t="s">
        <v>55</v>
      </c>
      <c r="I1196" t="s">
        <v>147</v>
      </c>
      <c r="J1196" t="s">
        <v>22</v>
      </c>
      <c r="K1196">
        <v>3.1</v>
      </c>
      <c r="L1196" t="s">
        <v>23</v>
      </c>
      <c r="M1196" t="s">
        <v>41</v>
      </c>
      <c r="N1196" t="s">
        <v>34</v>
      </c>
      <c r="O1196">
        <v>6</v>
      </c>
      <c r="P1196" t="s">
        <v>53</v>
      </c>
      <c r="Q1196" t="s">
        <v>89</v>
      </c>
      <c r="R1196" s="1">
        <v>0.1</v>
      </c>
      <c r="S1196">
        <f t="shared" si="72"/>
        <v>41.4</v>
      </c>
      <c r="T1196">
        <f>IFERROR(VLOOKUP(A1196,Table1[[Customer ID]:[Discount Amount]], 6, FALSE),"Not Found")</f>
        <v>46</v>
      </c>
      <c r="U1196" t="str">
        <f t="shared" si="73"/>
        <v>Credit Card</v>
      </c>
      <c r="V1196" s="4" t="str">
        <f t="shared" si="74"/>
        <v>Normal</v>
      </c>
      <c r="W1196" s="4" t="str">
        <f t="shared" si="75"/>
        <v>Good</v>
      </c>
      <c r="X1196" s="4">
        <f>AVERAGE(Table1[Purchase Amount])</f>
        <v>129.48419400000012</v>
      </c>
    </row>
    <row r="1197" spans="1:24" ht="15" customHeight="1" x14ac:dyDescent="0.25">
      <c r="A1197">
        <v>1196</v>
      </c>
      <c r="B1197">
        <v>25</v>
      </c>
      <c r="C1197" t="s">
        <v>27</v>
      </c>
      <c r="D1197" t="s">
        <v>129</v>
      </c>
      <c r="E1197" t="s">
        <v>29</v>
      </c>
      <c r="F1197" s="2">
        <v>95</v>
      </c>
      <c r="G1197" t="s">
        <v>152</v>
      </c>
      <c r="H1197" t="s">
        <v>31</v>
      </c>
      <c r="I1197" t="s">
        <v>32</v>
      </c>
      <c r="J1197" t="s">
        <v>22</v>
      </c>
      <c r="K1197">
        <v>4</v>
      </c>
      <c r="L1197" t="s">
        <v>23</v>
      </c>
      <c r="M1197" t="s">
        <v>41</v>
      </c>
      <c r="N1197" t="s">
        <v>34</v>
      </c>
      <c r="O1197">
        <v>33</v>
      </c>
      <c r="P1197" t="s">
        <v>62</v>
      </c>
      <c r="Q1197" t="s">
        <v>42</v>
      </c>
      <c r="R1197" s="1">
        <v>0.1</v>
      </c>
      <c r="S1197">
        <f t="shared" si="72"/>
        <v>85.5</v>
      </c>
      <c r="T1197">
        <f>IFERROR(VLOOKUP(A1197,Table1[[Customer ID]:[Discount Amount]], 6, FALSE),"Not Found")</f>
        <v>95</v>
      </c>
      <c r="U1197" t="str">
        <f t="shared" si="73"/>
        <v>Venmo</v>
      </c>
      <c r="V1197" s="4" t="str">
        <f t="shared" si="74"/>
        <v>Normal</v>
      </c>
      <c r="W1197" s="4" t="str">
        <f t="shared" si="75"/>
        <v>Good</v>
      </c>
      <c r="X1197" s="4">
        <f>AVERAGE(Table1[Purchase Amount])</f>
        <v>129.48419400000012</v>
      </c>
    </row>
    <row r="1198" spans="1:24" ht="15" customHeight="1" x14ac:dyDescent="0.25">
      <c r="A1198">
        <v>1197</v>
      </c>
      <c r="B1198">
        <v>30</v>
      </c>
      <c r="C1198" t="s">
        <v>27</v>
      </c>
      <c r="D1198" t="s">
        <v>114</v>
      </c>
      <c r="E1198" t="s">
        <v>29</v>
      </c>
      <c r="F1198" s="2">
        <v>88</v>
      </c>
      <c r="G1198" t="s">
        <v>86</v>
      </c>
      <c r="H1198" t="s">
        <v>31</v>
      </c>
      <c r="I1198" t="s">
        <v>125</v>
      </c>
      <c r="J1198" t="s">
        <v>22</v>
      </c>
      <c r="K1198">
        <v>3.2</v>
      </c>
      <c r="L1198" t="s">
        <v>23</v>
      </c>
      <c r="M1198" t="s">
        <v>41</v>
      </c>
      <c r="N1198" t="s">
        <v>34</v>
      </c>
      <c r="O1198">
        <v>13</v>
      </c>
      <c r="P1198" t="s">
        <v>88</v>
      </c>
      <c r="Q1198" t="s">
        <v>68</v>
      </c>
      <c r="R1198" s="1">
        <v>0.1</v>
      </c>
      <c r="S1198">
        <f t="shared" si="72"/>
        <v>79.2</v>
      </c>
      <c r="T1198">
        <f>IFERROR(VLOOKUP(A1198,Table1[[Customer ID]:[Discount Amount]], 6, FALSE),"Not Found")</f>
        <v>88</v>
      </c>
      <c r="U1198" t="str">
        <f t="shared" si="73"/>
        <v>Bank Transfer</v>
      </c>
      <c r="V1198" s="4" t="str">
        <f t="shared" si="74"/>
        <v>Normal</v>
      </c>
      <c r="W1198" s="4" t="str">
        <f t="shared" si="75"/>
        <v>Good</v>
      </c>
      <c r="X1198" s="4">
        <f>AVERAGE(Table1[Purchase Amount])</f>
        <v>129.48419400000012</v>
      </c>
    </row>
    <row r="1199" spans="1:24" ht="15" customHeight="1" x14ac:dyDescent="0.25">
      <c r="A1199">
        <v>1198</v>
      </c>
      <c r="B1199">
        <v>54</v>
      </c>
      <c r="C1199" t="s">
        <v>27</v>
      </c>
      <c r="D1199" t="s">
        <v>140</v>
      </c>
      <c r="E1199" t="s">
        <v>98</v>
      </c>
      <c r="F1199" s="2">
        <v>92</v>
      </c>
      <c r="G1199" t="s">
        <v>84</v>
      </c>
      <c r="H1199" t="s">
        <v>45</v>
      </c>
      <c r="I1199" t="s">
        <v>111</v>
      </c>
      <c r="J1199" t="s">
        <v>47</v>
      </c>
      <c r="K1199">
        <v>3.9</v>
      </c>
      <c r="L1199" t="s">
        <v>23</v>
      </c>
      <c r="M1199" t="s">
        <v>24</v>
      </c>
      <c r="N1199" t="s">
        <v>34</v>
      </c>
      <c r="O1199">
        <v>26</v>
      </c>
      <c r="P1199" t="s">
        <v>58</v>
      </c>
      <c r="Q1199" t="s">
        <v>49</v>
      </c>
      <c r="R1199" s="1">
        <v>0.1</v>
      </c>
      <c r="S1199">
        <f t="shared" si="72"/>
        <v>82.8</v>
      </c>
      <c r="T1199">
        <f>IFERROR(VLOOKUP(A1199,Table1[[Customer ID]:[Discount Amount]], 6, FALSE),"Not Found")</f>
        <v>92</v>
      </c>
      <c r="U1199" t="str">
        <f t="shared" si="73"/>
        <v>PayPal</v>
      </c>
      <c r="V1199" s="4" t="str">
        <f t="shared" si="74"/>
        <v>Normal</v>
      </c>
      <c r="W1199" s="4" t="str">
        <f t="shared" si="75"/>
        <v>Good</v>
      </c>
      <c r="X1199" s="4">
        <f>AVERAGE(Table1[Purchase Amount])</f>
        <v>129.48419400000012</v>
      </c>
    </row>
    <row r="1200" spans="1:24" ht="15" customHeight="1" x14ac:dyDescent="0.25">
      <c r="A1200">
        <v>1199</v>
      </c>
      <c r="B1200">
        <v>40</v>
      </c>
      <c r="C1200" t="s">
        <v>27</v>
      </c>
      <c r="D1200" t="s">
        <v>105</v>
      </c>
      <c r="E1200" t="s">
        <v>18</v>
      </c>
      <c r="F1200" s="2">
        <v>49</v>
      </c>
      <c r="G1200" t="s">
        <v>131</v>
      </c>
      <c r="H1200" t="s">
        <v>31</v>
      </c>
      <c r="I1200" t="s">
        <v>60</v>
      </c>
      <c r="J1200" t="s">
        <v>57</v>
      </c>
      <c r="K1200">
        <v>3.9</v>
      </c>
      <c r="L1200" t="s">
        <v>23</v>
      </c>
      <c r="M1200" t="s">
        <v>41</v>
      </c>
      <c r="N1200" t="s">
        <v>34</v>
      </c>
      <c r="O1200">
        <v>17</v>
      </c>
      <c r="P1200" t="s">
        <v>25</v>
      </c>
      <c r="Q1200" t="s">
        <v>49</v>
      </c>
      <c r="R1200" s="1">
        <v>0.1</v>
      </c>
      <c r="S1200">
        <f t="shared" si="72"/>
        <v>44.1</v>
      </c>
      <c r="T1200">
        <f>IFERROR(VLOOKUP(A1200,Table1[[Customer ID]:[Discount Amount]], 6, FALSE),"Not Found")</f>
        <v>49</v>
      </c>
      <c r="U1200" t="str">
        <f t="shared" si="73"/>
        <v>Cash</v>
      </c>
      <c r="V1200" s="4" t="str">
        <f t="shared" si="74"/>
        <v>Normal</v>
      </c>
      <c r="W1200" s="4" t="str">
        <f t="shared" si="75"/>
        <v>Good</v>
      </c>
      <c r="X1200" s="4">
        <f>AVERAGE(Table1[Purchase Amount])</f>
        <v>129.48419400000012</v>
      </c>
    </row>
    <row r="1201" spans="1:24" ht="15" customHeight="1" x14ac:dyDescent="0.25">
      <c r="A1201">
        <v>1200</v>
      </c>
      <c r="B1201">
        <v>49</v>
      </c>
      <c r="C1201" t="s">
        <v>27</v>
      </c>
      <c r="D1201" t="s">
        <v>121</v>
      </c>
      <c r="E1201" t="s">
        <v>98</v>
      </c>
      <c r="F1201" s="2">
        <v>89</v>
      </c>
      <c r="G1201" t="s">
        <v>106</v>
      </c>
      <c r="H1201" t="s">
        <v>31</v>
      </c>
      <c r="I1201" t="s">
        <v>91</v>
      </c>
      <c r="J1201" t="s">
        <v>47</v>
      </c>
      <c r="K1201">
        <v>4.5</v>
      </c>
      <c r="L1201" t="s">
        <v>23</v>
      </c>
      <c r="M1201" t="s">
        <v>35</v>
      </c>
      <c r="N1201" t="s">
        <v>34</v>
      </c>
      <c r="O1201">
        <v>3</v>
      </c>
      <c r="P1201" t="s">
        <v>36</v>
      </c>
      <c r="Q1201" t="s">
        <v>26</v>
      </c>
      <c r="R1201" s="1">
        <v>0.1</v>
      </c>
      <c r="S1201">
        <f t="shared" si="72"/>
        <v>80.099999999999994</v>
      </c>
      <c r="T1201">
        <f>IFERROR(VLOOKUP(A1201,Table1[[Customer ID]:[Discount Amount]], 6, FALSE),"Not Found")</f>
        <v>89</v>
      </c>
      <c r="U1201" t="str">
        <f t="shared" si="73"/>
        <v>Debit Card</v>
      </c>
      <c r="V1201" s="4" t="str">
        <f t="shared" si="74"/>
        <v>Normal</v>
      </c>
      <c r="W1201" s="4" t="str">
        <f t="shared" si="75"/>
        <v>Good</v>
      </c>
      <c r="X1201" s="4">
        <f>AVERAGE(Table1[Purchase Amount])</f>
        <v>129.48419400000012</v>
      </c>
    </row>
    <row r="1202" spans="1:24" ht="15" customHeight="1" x14ac:dyDescent="0.25">
      <c r="A1202">
        <v>1201</v>
      </c>
      <c r="B1202">
        <v>27</v>
      </c>
      <c r="C1202" t="s">
        <v>27</v>
      </c>
      <c r="D1202" t="s">
        <v>76</v>
      </c>
      <c r="E1202" t="s">
        <v>77</v>
      </c>
      <c r="F1202" s="2">
        <v>22</v>
      </c>
      <c r="G1202" t="s">
        <v>115</v>
      </c>
      <c r="H1202" t="s">
        <v>20</v>
      </c>
      <c r="I1202" t="s">
        <v>40</v>
      </c>
      <c r="J1202" t="s">
        <v>22</v>
      </c>
      <c r="K1202">
        <v>4.4000000000000004</v>
      </c>
      <c r="L1202" t="s">
        <v>23</v>
      </c>
      <c r="M1202" t="s">
        <v>48</v>
      </c>
      <c r="N1202" t="s">
        <v>34</v>
      </c>
      <c r="O1202">
        <v>7</v>
      </c>
      <c r="P1202" t="s">
        <v>58</v>
      </c>
      <c r="Q1202" t="s">
        <v>26</v>
      </c>
      <c r="R1202" s="1">
        <v>0.1</v>
      </c>
      <c r="S1202">
        <f t="shared" si="72"/>
        <v>19.8</v>
      </c>
      <c r="T1202">
        <f>IFERROR(VLOOKUP(A1202,Table1[[Customer ID]:[Discount Amount]], 6, FALSE),"Not Found")</f>
        <v>22</v>
      </c>
      <c r="U1202" t="str">
        <f t="shared" si="73"/>
        <v>PayPal</v>
      </c>
      <c r="V1202" s="4" t="str">
        <f t="shared" si="74"/>
        <v>Normal</v>
      </c>
      <c r="W1202" s="4" t="str">
        <f t="shared" si="75"/>
        <v>Good</v>
      </c>
      <c r="X1202" s="4">
        <f>AVERAGE(Table1[Purchase Amount])</f>
        <v>129.48419400000012</v>
      </c>
    </row>
    <row r="1203" spans="1:24" ht="15" customHeight="1" x14ac:dyDescent="0.25">
      <c r="A1203">
        <v>1202</v>
      </c>
      <c r="B1203">
        <v>27</v>
      </c>
      <c r="C1203" t="s">
        <v>27</v>
      </c>
      <c r="D1203" t="s">
        <v>72</v>
      </c>
      <c r="E1203" t="s">
        <v>98</v>
      </c>
      <c r="F1203" s="2">
        <v>61</v>
      </c>
      <c r="G1203" t="s">
        <v>44</v>
      </c>
      <c r="H1203" t="s">
        <v>20</v>
      </c>
      <c r="I1203" t="s">
        <v>40</v>
      </c>
      <c r="J1203" t="s">
        <v>57</v>
      </c>
      <c r="K1203">
        <v>3.1</v>
      </c>
      <c r="L1203" t="s">
        <v>23</v>
      </c>
      <c r="M1203" t="s">
        <v>41</v>
      </c>
      <c r="N1203" t="s">
        <v>34</v>
      </c>
      <c r="O1203">
        <v>46</v>
      </c>
      <c r="P1203" t="s">
        <v>62</v>
      </c>
      <c r="Q1203" t="s">
        <v>89</v>
      </c>
      <c r="R1203" s="1">
        <v>0.1</v>
      </c>
      <c r="S1203">
        <f t="shared" si="72"/>
        <v>54.9</v>
      </c>
      <c r="T1203">
        <f>IFERROR(VLOOKUP(A1203,Table1[[Customer ID]:[Discount Amount]], 6, FALSE),"Not Found")</f>
        <v>61</v>
      </c>
      <c r="U1203" t="str">
        <f t="shared" si="73"/>
        <v>Venmo</v>
      </c>
      <c r="V1203" s="4" t="str">
        <f t="shared" si="74"/>
        <v>Normal</v>
      </c>
      <c r="W1203" s="4" t="str">
        <f t="shared" si="75"/>
        <v>Good</v>
      </c>
      <c r="X1203" s="4">
        <f>AVERAGE(Table1[Purchase Amount])</f>
        <v>129.48419400000012</v>
      </c>
    </row>
    <row r="1204" spans="1:24" ht="15" customHeight="1" x14ac:dyDescent="0.25">
      <c r="A1204">
        <v>1203</v>
      </c>
      <c r="B1204">
        <v>48</v>
      </c>
      <c r="C1204" t="s">
        <v>27</v>
      </c>
      <c r="D1204" t="s">
        <v>129</v>
      </c>
      <c r="E1204" t="s">
        <v>29</v>
      </c>
      <c r="F1204" s="2">
        <v>29</v>
      </c>
      <c r="G1204" t="s">
        <v>106</v>
      </c>
      <c r="H1204" t="s">
        <v>55</v>
      </c>
      <c r="I1204" t="s">
        <v>21</v>
      </c>
      <c r="J1204" t="s">
        <v>33</v>
      </c>
      <c r="K1204">
        <v>2.9</v>
      </c>
      <c r="L1204" t="s">
        <v>23</v>
      </c>
      <c r="M1204" t="s">
        <v>24</v>
      </c>
      <c r="N1204" t="s">
        <v>34</v>
      </c>
      <c r="O1204">
        <v>14</v>
      </c>
      <c r="P1204" t="s">
        <v>62</v>
      </c>
      <c r="Q1204" t="s">
        <v>63</v>
      </c>
      <c r="R1204" s="1">
        <v>0.1</v>
      </c>
      <c r="S1204">
        <f t="shared" si="72"/>
        <v>26.1</v>
      </c>
      <c r="T1204">
        <f>IFERROR(VLOOKUP(A1204,Table1[[Customer ID]:[Discount Amount]], 6, FALSE),"Not Found")</f>
        <v>29</v>
      </c>
      <c r="U1204" t="str">
        <f t="shared" si="73"/>
        <v>Venmo</v>
      </c>
      <c r="V1204" s="4" t="str">
        <f t="shared" si="74"/>
        <v>Normal</v>
      </c>
      <c r="W1204" s="4" t="str">
        <f t="shared" si="75"/>
        <v>Poor</v>
      </c>
      <c r="X1204" s="4">
        <f>AVERAGE(Table1[Purchase Amount])</f>
        <v>129.48419400000012</v>
      </c>
    </row>
    <row r="1205" spans="1:24" ht="15" customHeight="1" x14ac:dyDescent="0.25">
      <c r="A1205">
        <v>1204</v>
      </c>
      <c r="B1205">
        <v>40</v>
      </c>
      <c r="C1205" t="s">
        <v>27</v>
      </c>
      <c r="D1205" t="s">
        <v>140</v>
      </c>
      <c r="E1205" t="s">
        <v>98</v>
      </c>
      <c r="F1205" s="2">
        <v>82</v>
      </c>
      <c r="G1205" t="s">
        <v>120</v>
      </c>
      <c r="H1205" t="s">
        <v>31</v>
      </c>
      <c r="I1205" t="s">
        <v>108</v>
      </c>
      <c r="J1205" t="s">
        <v>22</v>
      </c>
      <c r="K1205">
        <v>3.7</v>
      </c>
      <c r="L1205" t="s">
        <v>23</v>
      </c>
      <c r="M1205" t="s">
        <v>35</v>
      </c>
      <c r="N1205" t="s">
        <v>34</v>
      </c>
      <c r="O1205">
        <v>23</v>
      </c>
      <c r="P1205" t="s">
        <v>88</v>
      </c>
      <c r="Q1205" t="s">
        <v>49</v>
      </c>
      <c r="R1205" s="1">
        <v>0.1</v>
      </c>
      <c r="S1205">
        <f t="shared" si="72"/>
        <v>73.8</v>
      </c>
      <c r="T1205">
        <f>IFERROR(VLOOKUP(A1205,Table1[[Customer ID]:[Discount Amount]], 6, FALSE),"Not Found")</f>
        <v>82</v>
      </c>
      <c r="U1205" t="str">
        <f t="shared" si="73"/>
        <v>Bank Transfer</v>
      </c>
      <c r="V1205" s="4" t="str">
        <f t="shared" si="74"/>
        <v>Normal</v>
      </c>
      <c r="W1205" s="4" t="str">
        <f t="shared" si="75"/>
        <v>Good</v>
      </c>
      <c r="X1205" s="4">
        <f>AVERAGE(Table1[Purchase Amount])</f>
        <v>129.48419400000012</v>
      </c>
    </row>
    <row r="1206" spans="1:24" ht="15" customHeight="1" x14ac:dyDescent="0.25">
      <c r="A1206">
        <v>1205</v>
      </c>
      <c r="B1206">
        <v>67</v>
      </c>
      <c r="C1206" t="s">
        <v>27</v>
      </c>
      <c r="D1206" t="s">
        <v>114</v>
      </c>
      <c r="E1206" t="s">
        <v>29</v>
      </c>
      <c r="F1206" s="2">
        <v>94</v>
      </c>
      <c r="G1206" t="s">
        <v>67</v>
      </c>
      <c r="H1206" t="s">
        <v>31</v>
      </c>
      <c r="I1206" t="s">
        <v>136</v>
      </c>
      <c r="J1206" t="s">
        <v>33</v>
      </c>
      <c r="K1206">
        <v>3.2</v>
      </c>
      <c r="L1206" t="s">
        <v>23</v>
      </c>
      <c r="M1206" t="s">
        <v>41</v>
      </c>
      <c r="N1206" t="s">
        <v>34</v>
      </c>
      <c r="O1206">
        <v>20</v>
      </c>
      <c r="P1206" t="s">
        <v>53</v>
      </c>
      <c r="Q1206" t="s">
        <v>63</v>
      </c>
      <c r="R1206" s="1">
        <v>0.1</v>
      </c>
      <c r="S1206">
        <f t="shared" si="72"/>
        <v>84.6</v>
      </c>
      <c r="T1206">
        <f>IFERROR(VLOOKUP(A1206,Table1[[Customer ID]:[Discount Amount]], 6, FALSE),"Not Found")</f>
        <v>94</v>
      </c>
      <c r="U1206" t="str">
        <f t="shared" si="73"/>
        <v>Credit Card</v>
      </c>
      <c r="V1206" s="4" t="str">
        <f t="shared" si="74"/>
        <v>Normal</v>
      </c>
      <c r="W1206" s="4" t="str">
        <f t="shared" si="75"/>
        <v>Good</v>
      </c>
      <c r="X1206" s="4">
        <f>AVERAGE(Table1[Purchase Amount])</f>
        <v>129.48419400000012</v>
      </c>
    </row>
    <row r="1207" spans="1:24" ht="15" customHeight="1" x14ac:dyDescent="0.25">
      <c r="A1207">
        <v>1206</v>
      </c>
      <c r="B1207">
        <v>52</v>
      </c>
      <c r="C1207" t="s">
        <v>27</v>
      </c>
      <c r="D1207" t="s">
        <v>69</v>
      </c>
      <c r="E1207" t="s">
        <v>29</v>
      </c>
      <c r="F1207" s="2">
        <v>99</v>
      </c>
      <c r="G1207" t="s">
        <v>19</v>
      </c>
      <c r="H1207" t="s">
        <v>31</v>
      </c>
      <c r="I1207" t="s">
        <v>21</v>
      </c>
      <c r="J1207" t="s">
        <v>33</v>
      </c>
      <c r="K1207">
        <v>3.5</v>
      </c>
      <c r="L1207" t="s">
        <v>23</v>
      </c>
      <c r="M1207" t="s">
        <v>24</v>
      </c>
      <c r="N1207" t="s">
        <v>34</v>
      </c>
      <c r="O1207">
        <v>38</v>
      </c>
      <c r="P1207" t="s">
        <v>88</v>
      </c>
      <c r="Q1207" t="s">
        <v>89</v>
      </c>
      <c r="R1207" s="1">
        <v>0.1</v>
      </c>
      <c r="S1207">
        <f t="shared" si="72"/>
        <v>89.1</v>
      </c>
      <c r="T1207">
        <f>IFERROR(VLOOKUP(A1207,Table1[[Customer ID]:[Discount Amount]], 6, FALSE),"Not Found")</f>
        <v>99</v>
      </c>
      <c r="U1207" t="str">
        <f t="shared" si="73"/>
        <v>Bank Transfer</v>
      </c>
      <c r="V1207" s="4" t="str">
        <f t="shared" si="74"/>
        <v>Normal</v>
      </c>
      <c r="W1207" s="4" t="str">
        <f t="shared" si="75"/>
        <v>Good</v>
      </c>
      <c r="X1207" s="4">
        <f>AVERAGE(Table1[Purchase Amount])</f>
        <v>129.48419400000012</v>
      </c>
    </row>
    <row r="1208" spans="1:24" ht="15" customHeight="1" x14ac:dyDescent="0.25">
      <c r="A1208">
        <v>1207</v>
      </c>
      <c r="B1208">
        <v>22</v>
      </c>
      <c r="C1208" t="s">
        <v>27</v>
      </c>
      <c r="D1208" t="s">
        <v>69</v>
      </c>
      <c r="E1208" t="s">
        <v>29</v>
      </c>
      <c r="F1208" s="2">
        <v>59</v>
      </c>
      <c r="G1208" t="s">
        <v>149</v>
      </c>
      <c r="H1208" t="s">
        <v>55</v>
      </c>
      <c r="I1208" t="s">
        <v>128</v>
      </c>
      <c r="J1208" t="s">
        <v>47</v>
      </c>
      <c r="K1208">
        <v>3</v>
      </c>
      <c r="L1208" t="s">
        <v>23</v>
      </c>
      <c r="M1208" t="s">
        <v>35</v>
      </c>
      <c r="N1208" t="s">
        <v>34</v>
      </c>
      <c r="O1208">
        <v>16</v>
      </c>
      <c r="P1208" t="s">
        <v>62</v>
      </c>
      <c r="Q1208" t="s">
        <v>63</v>
      </c>
      <c r="R1208" s="1">
        <v>0.1</v>
      </c>
      <c r="S1208">
        <f t="shared" si="72"/>
        <v>53.1</v>
      </c>
      <c r="T1208">
        <f>IFERROR(VLOOKUP(A1208,Table1[[Customer ID]:[Discount Amount]], 6, FALSE),"Not Found")</f>
        <v>59</v>
      </c>
      <c r="U1208" t="str">
        <f t="shared" si="73"/>
        <v>Venmo</v>
      </c>
      <c r="V1208" s="4" t="str">
        <f t="shared" si="74"/>
        <v>Normal</v>
      </c>
      <c r="W1208" s="4" t="str">
        <f t="shared" si="75"/>
        <v>Good</v>
      </c>
      <c r="X1208" s="4">
        <f>AVERAGE(Table1[Purchase Amount])</f>
        <v>129.48419400000012</v>
      </c>
    </row>
    <row r="1209" spans="1:24" ht="15" customHeight="1" x14ac:dyDescent="0.25">
      <c r="A1209">
        <v>1208</v>
      </c>
      <c r="B1209">
        <v>62</v>
      </c>
      <c r="C1209" t="s">
        <v>27</v>
      </c>
      <c r="D1209" t="s">
        <v>151</v>
      </c>
      <c r="E1209" t="s">
        <v>98</v>
      </c>
      <c r="F1209" s="2">
        <v>90</v>
      </c>
      <c r="G1209" t="s">
        <v>155</v>
      </c>
      <c r="H1209" t="s">
        <v>31</v>
      </c>
      <c r="I1209" t="s">
        <v>32</v>
      </c>
      <c r="J1209" t="s">
        <v>57</v>
      </c>
      <c r="K1209">
        <v>4.0999999999999996</v>
      </c>
      <c r="L1209" t="s">
        <v>23</v>
      </c>
      <c r="M1209" t="s">
        <v>79</v>
      </c>
      <c r="N1209" t="s">
        <v>34</v>
      </c>
      <c r="O1209">
        <v>48</v>
      </c>
      <c r="P1209" t="s">
        <v>53</v>
      </c>
      <c r="Q1209" t="s">
        <v>63</v>
      </c>
      <c r="R1209" s="1">
        <v>0.1</v>
      </c>
      <c r="S1209">
        <f t="shared" si="72"/>
        <v>81</v>
      </c>
      <c r="T1209">
        <f>IFERROR(VLOOKUP(A1209,Table1[[Customer ID]:[Discount Amount]], 6, FALSE),"Not Found")</f>
        <v>90</v>
      </c>
      <c r="U1209" t="str">
        <f t="shared" si="73"/>
        <v>Credit Card</v>
      </c>
      <c r="V1209" s="4" t="str">
        <f t="shared" si="74"/>
        <v>Normal</v>
      </c>
      <c r="W1209" s="4" t="str">
        <f t="shared" si="75"/>
        <v>Good</v>
      </c>
      <c r="X1209" s="4">
        <f>AVERAGE(Table1[Purchase Amount])</f>
        <v>129.48419400000012</v>
      </c>
    </row>
    <row r="1210" spans="1:24" ht="15" customHeight="1" x14ac:dyDescent="0.25">
      <c r="A1210">
        <v>1209</v>
      </c>
      <c r="B1210">
        <v>20</v>
      </c>
      <c r="C1210" t="s">
        <v>27</v>
      </c>
      <c r="D1210" t="s">
        <v>151</v>
      </c>
      <c r="E1210" t="s">
        <v>98</v>
      </c>
      <c r="F1210" s="2">
        <v>100</v>
      </c>
      <c r="G1210" t="s">
        <v>59</v>
      </c>
      <c r="H1210" t="s">
        <v>55</v>
      </c>
      <c r="I1210" t="s">
        <v>46</v>
      </c>
      <c r="J1210" t="s">
        <v>22</v>
      </c>
      <c r="K1210">
        <v>1</v>
      </c>
      <c r="L1210" t="s">
        <v>23</v>
      </c>
      <c r="M1210" t="s">
        <v>41</v>
      </c>
      <c r="N1210" t="s">
        <v>34</v>
      </c>
      <c r="O1210">
        <v>8</v>
      </c>
      <c r="P1210" t="s">
        <v>36</v>
      </c>
      <c r="Q1210" t="s">
        <v>49</v>
      </c>
      <c r="R1210" s="1">
        <v>0.1</v>
      </c>
      <c r="S1210">
        <f t="shared" si="72"/>
        <v>90</v>
      </c>
      <c r="T1210">
        <f>IFERROR(VLOOKUP(A1210,Table1[[Customer ID]:[Discount Amount]], 6, FALSE),"Not Found")</f>
        <v>100</v>
      </c>
      <c r="U1210" t="str">
        <f t="shared" si="73"/>
        <v>Debit Card</v>
      </c>
      <c r="V1210" s="4" t="str">
        <f t="shared" si="74"/>
        <v>Normal</v>
      </c>
      <c r="W1210" s="4" t="str">
        <f t="shared" si="75"/>
        <v>Poor</v>
      </c>
      <c r="X1210" s="4">
        <f>AVERAGE(Table1[Purchase Amount])</f>
        <v>129.48419400000012</v>
      </c>
    </row>
    <row r="1211" spans="1:24" ht="15" customHeight="1" x14ac:dyDescent="0.25">
      <c r="A1211">
        <v>1210</v>
      </c>
      <c r="B1211">
        <v>41</v>
      </c>
      <c r="C1211" t="s">
        <v>27</v>
      </c>
      <c r="D1211" t="s">
        <v>99</v>
      </c>
      <c r="E1211" t="s">
        <v>18</v>
      </c>
      <c r="F1211" s="2">
        <v>62</v>
      </c>
      <c r="G1211" t="s">
        <v>78</v>
      </c>
      <c r="H1211" t="s">
        <v>31</v>
      </c>
      <c r="I1211" t="s">
        <v>74</v>
      </c>
      <c r="J1211" t="s">
        <v>22</v>
      </c>
      <c r="K1211">
        <v>3.8</v>
      </c>
      <c r="L1211" t="s">
        <v>23</v>
      </c>
      <c r="M1211" t="s">
        <v>79</v>
      </c>
      <c r="N1211" t="s">
        <v>34</v>
      </c>
      <c r="O1211">
        <v>16</v>
      </c>
      <c r="P1211" t="s">
        <v>88</v>
      </c>
      <c r="Q1211" t="s">
        <v>42</v>
      </c>
      <c r="R1211" s="1">
        <v>0.1</v>
      </c>
      <c r="S1211">
        <f t="shared" si="72"/>
        <v>55.8</v>
      </c>
      <c r="T1211">
        <f>IFERROR(VLOOKUP(A1211,Table1[[Customer ID]:[Discount Amount]], 6, FALSE),"Not Found")</f>
        <v>62</v>
      </c>
      <c r="U1211" t="str">
        <f t="shared" si="73"/>
        <v>Bank Transfer</v>
      </c>
      <c r="V1211" s="4" t="str">
        <f t="shared" si="74"/>
        <v>Normal</v>
      </c>
      <c r="W1211" s="4" t="str">
        <f t="shared" si="75"/>
        <v>Good</v>
      </c>
      <c r="X1211" s="4">
        <f>AVERAGE(Table1[Purchase Amount])</f>
        <v>129.48419400000012</v>
      </c>
    </row>
    <row r="1212" spans="1:24" ht="15" customHeight="1" x14ac:dyDescent="0.25">
      <c r="A1212">
        <v>1211</v>
      </c>
      <c r="B1212">
        <v>34</v>
      </c>
      <c r="C1212" t="s">
        <v>27</v>
      </c>
      <c r="D1212" t="s">
        <v>28</v>
      </c>
      <c r="E1212" t="s">
        <v>29</v>
      </c>
      <c r="F1212" s="2">
        <v>78</v>
      </c>
      <c r="G1212" t="s">
        <v>146</v>
      </c>
      <c r="H1212" t="s">
        <v>31</v>
      </c>
      <c r="I1212" t="s">
        <v>21</v>
      </c>
      <c r="J1212" t="s">
        <v>47</v>
      </c>
      <c r="K1212">
        <v>4.0999999999999996</v>
      </c>
      <c r="L1212" t="s">
        <v>23</v>
      </c>
      <c r="M1212" t="s">
        <v>79</v>
      </c>
      <c r="N1212" t="s">
        <v>34</v>
      </c>
      <c r="O1212">
        <v>5</v>
      </c>
      <c r="P1212" t="s">
        <v>25</v>
      </c>
      <c r="Q1212" t="s">
        <v>37</v>
      </c>
      <c r="R1212" s="1">
        <v>0.1</v>
      </c>
      <c r="S1212">
        <f t="shared" si="72"/>
        <v>70.2</v>
      </c>
      <c r="T1212">
        <f>IFERROR(VLOOKUP(A1212,Table1[[Customer ID]:[Discount Amount]], 6, FALSE),"Not Found")</f>
        <v>78</v>
      </c>
      <c r="U1212" t="str">
        <f t="shared" si="73"/>
        <v>Cash</v>
      </c>
      <c r="V1212" s="4" t="str">
        <f t="shared" si="74"/>
        <v>Normal</v>
      </c>
      <c r="W1212" s="4" t="str">
        <f t="shared" si="75"/>
        <v>Good</v>
      </c>
      <c r="X1212" s="4">
        <f>AVERAGE(Table1[Purchase Amount])</f>
        <v>129.48419400000012</v>
      </c>
    </row>
    <row r="1213" spans="1:24" ht="15" customHeight="1" x14ac:dyDescent="0.25">
      <c r="A1213">
        <v>1212</v>
      </c>
      <c r="B1213">
        <v>23</v>
      </c>
      <c r="C1213" t="s">
        <v>27</v>
      </c>
      <c r="D1213" t="s">
        <v>83</v>
      </c>
      <c r="E1213" t="s">
        <v>18</v>
      </c>
      <c r="F1213" s="2">
        <v>94</v>
      </c>
      <c r="G1213" t="s">
        <v>142</v>
      </c>
      <c r="H1213" t="s">
        <v>31</v>
      </c>
      <c r="I1213" t="s">
        <v>93</v>
      </c>
      <c r="J1213" t="s">
        <v>33</v>
      </c>
      <c r="K1213">
        <v>4.5999999999999996</v>
      </c>
      <c r="L1213" t="s">
        <v>23</v>
      </c>
      <c r="M1213" t="s">
        <v>48</v>
      </c>
      <c r="N1213" t="s">
        <v>34</v>
      </c>
      <c r="O1213">
        <v>14</v>
      </c>
      <c r="P1213" t="s">
        <v>62</v>
      </c>
      <c r="Q1213" t="s">
        <v>63</v>
      </c>
      <c r="R1213" s="1">
        <v>0.1</v>
      </c>
      <c r="S1213">
        <f t="shared" si="72"/>
        <v>84.6</v>
      </c>
      <c r="T1213">
        <f>IFERROR(VLOOKUP(A1213,Table1[[Customer ID]:[Discount Amount]], 6, FALSE),"Not Found")</f>
        <v>94</v>
      </c>
      <c r="U1213" t="str">
        <f t="shared" si="73"/>
        <v>Venmo</v>
      </c>
      <c r="V1213" s="4" t="str">
        <f t="shared" si="74"/>
        <v>Normal</v>
      </c>
      <c r="W1213" s="4" t="str">
        <f t="shared" si="75"/>
        <v>Good</v>
      </c>
      <c r="X1213" s="4">
        <f>AVERAGE(Table1[Purchase Amount])</f>
        <v>129.48419400000012</v>
      </c>
    </row>
    <row r="1214" spans="1:24" ht="15" customHeight="1" x14ac:dyDescent="0.25">
      <c r="A1214">
        <v>1213</v>
      </c>
      <c r="B1214">
        <v>32</v>
      </c>
      <c r="C1214" t="s">
        <v>27</v>
      </c>
      <c r="D1214" t="s">
        <v>72</v>
      </c>
      <c r="E1214" t="s">
        <v>98</v>
      </c>
      <c r="F1214" s="2">
        <v>74</v>
      </c>
      <c r="G1214" t="s">
        <v>78</v>
      </c>
      <c r="H1214" t="s">
        <v>31</v>
      </c>
      <c r="I1214" t="s">
        <v>52</v>
      </c>
      <c r="J1214" t="s">
        <v>57</v>
      </c>
      <c r="K1214">
        <v>2.5</v>
      </c>
      <c r="L1214" t="s">
        <v>23</v>
      </c>
      <c r="M1214" t="s">
        <v>35</v>
      </c>
      <c r="N1214" t="s">
        <v>34</v>
      </c>
      <c r="O1214">
        <v>18</v>
      </c>
      <c r="P1214" t="s">
        <v>53</v>
      </c>
      <c r="Q1214" t="s">
        <v>26</v>
      </c>
      <c r="R1214" s="1">
        <v>0.1</v>
      </c>
      <c r="S1214">
        <f t="shared" si="72"/>
        <v>66.599999999999994</v>
      </c>
      <c r="T1214">
        <f>IFERROR(VLOOKUP(A1214,Table1[[Customer ID]:[Discount Amount]], 6, FALSE),"Not Found")</f>
        <v>74</v>
      </c>
      <c r="U1214" t="str">
        <f t="shared" si="73"/>
        <v>Credit Card</v>
      </c>
      <c r="V1214" s="4" t="str">
        <f t="shared" si="74"/>
        <v>Normal</v>
      </c>
      <c r="W1214" s="4" t="str">
        <f t="shared" si="75"/>
        <v>Poor</v>
      </c>
      <c r="X1214" s="4">
        <f>AVERAGE(Table1[Purchase Amount])</f>
        <v>129.48419400000012</v>
      </c>
    </row>
    <row r="1215" spans="1:24" ht="15" customHeight="1" x14ac:dyDescent="0.25">
      <c r="A1215">
        <v>1214</v>
      </c>
      <c r="B1215">
        <v>68</v>
      </c>
      <c r="C1215" t="s">
        <v>27</v>
      </c>
      <c r="D1215" t="s">
        <v>69</v>
      </c>
      <c r="E1215" t="s">
        <v>29</v>
      </c>
      <c r="F1215" s="2">
        <v>52</v>
      </c>
      <c r="G1215" t="s">
        <v>70</v>
      </c>
      <c r="H1215" t="s">
        <v>20</v>
      </c>
      <c r="I1215" t="s">
        <v>40</v>
      </c>
      <c r="J1215" t="s">
        <v>33</v>
      </c>
      <c r="K1215">
        <v>3.7</v>
      </c>
      <c r="L1215" t="s">
        <v>23</v>
      </c>
      <c r="M1215" t="s">
        <v>61</v>
      </c>
      <c r="N1215" t="s">
        <v>34</v>
      </c>
      <c r="O1215">
        <v>14</v>
      </c>
      <c r="P1215" t="s">
        <v>36</v>
      </c>
      <c r="Q1215" t="s">
        <v>63</v>
      </c>
      <c r="R1215" s="1">
        <v>0.1</v>
      </c>
      <c r="S1215">
        <f t="shared" si="72"/>
        <v>46.8</v>
      </c>
      <c r="T1215">
        <f>IFERROR(VLOOKUP(A1215,Table1[[Customer ID]:[Discount Amount]], 6, FALSE),"Not Found")</f>
        <v>52</v>
      </c>
      <c r="U1215" t="str">
        <f t="shared" si="73"/>
        <v>Debit Card</v>
      </c>
      <c r="V1215" s="4" t="str">
        <f t="shared" si="74"/>
        <v>Normal</v>
      </c>
      <c r="W1215" s="4" t="str">
        <f t="shared" si="75"/>
        <v>Good</v>
      </c>
      <c r="X1215" s="4">
        <f>AVERAGE(Table1[Purchase Amount])</f>
        <v>129.48419400000012</v>
      </c>
    </row>
    <row r="1216" spans="1:24" ht="15" customHeight="1" x14ac:dyDescent="0.25">
      <c r="A1216">
        <v>1215</v>
      </c>
      <c r="B1216">
        <v>30</v>
      </c>
      <c r="C1216" t="s">
        <v>27</v>
      </c>
      <c r="D1216" t="s">
        <v>96</v>
      </c>
      <c r="E1216" t="s">
        <v>77</v>
      </c>
      <c r="F1216" s="2">
        <v>81</v>
      </c>
      <c r="G1216" t="s">
        <v>84</v>
      </c>
      <c r="H1216" t="s">
        <v>31</v>
      </c>
      <c r="I1216" t="s">
        <v>74</v>
      </c>
      <c r="J1216" t="s">
        <v>47</v>
      </c>
      <c r="K1216">
        <v>3.8</v>
      </c>
      <c r="L1216" t="s">
        <v>23</v>
      </c>
      <c r="M1216" t="s">
        <v>35</v>
      </c>
      <c r="N1216" t="s">
        <v>34</v>
      </c>
      <c r="O1216">
        <v>5</v>
      </c>
      <c r="P1216" t="s">
        <v>25</v>
      </c>
      <c r="Q1216" t="s">
        <v>63</v>
      </c>
      <c r="R1216" s="1">
        <v>0.1</v>
      </c>
      <c r="S1216">
        <f t="shared" si="72"/>
        <v>72.900000000000006</v>
      </c>
      <c r="T1216">
        <f>IFERROR(VLOOKUP(A1216,Table1[[Customer ID]:[Discount Amount]], 6, FALSE),"Not Found")</f>
        <v>81</v>
      </c>
      <c r="U1216" t="str">
        <f t="shared" si="73"/>
        <v>Cash</v>
      </c>
      <c r="V1216" s="4" t="str">
        <f t="shared" si="74"/>
        <v>Normal</v>
      </c>
      <c r="W1216" s="4" t="str">
        <f t="shared" si="75"/>
        <v>Good</v>
      </c>
      <c r="X1216" s="4">
        <f>AVERAGE(Table1[Purchase Amount])</f>
        <v>129.48419400000012</v>
      </c>
    </row>
    <row r="1217" spans="1:24" ht="15" customHeight="1" x14ac:dyDescent="0.25">
      <c r="A1217">
        <v>1216</v>
      </c>
      <c r="B1217">
        <v>66</v>
      </c>
      <c r="C1217" t="s">
        <v>27</v>
      </c>
      <c r="D1217" t="s">
        <v>118</v>
      </c>
      <c r="E1217" t="s">
        <v>18</v>
      </c>
      <c r="F1217" s="2">
        <v>20</v>
      </c>
      <c r="G1217" t="s">
        <v>123</v>
      </c>
      <c r="H1217" t="s">
        <v>45</v>
      </c>
      <c r="I1217" t="s">
        <v>136</v>
      </c>
      <c r="J1217" t="s">
        <v>22</v>
      </c>
      <c r="K1217">
        <v>2.6</v>
      </c>
      <c r="L1217" t="s">
        <v>23</v>
      </c>
      <c r="M1217" t="s">
        <v>41</v>
      </c>
      <c r="N1217" t="s">
        <v>34</v>
      </c>
      <c r="O1217">
        <v>15</v>
      </c>
      <c r="P1217" t="s">
        <v>53</v>
      </c>
      <c r="Q1217" t="s">
        <v>63</v>
      </c>
      <c r="R1217" s="1">
        <v>0.1</v>
      </c>
      <c r="S1217">
        <f t="shared" si="72"/>
        <v>18</v>
      </c>
      <c r="T1217">
        <f>IFERROR(VLOOKUP(A1217,Table1[[Customer ID]:[Discount Amount]], 6, FALSE),"Not Found")</f>
        <v>20</v>
      </c>
      <c r="U1217" t="str">
        <f t="shared" si="73"/>
        <v>Credit Card</v>
      </c>
      <c r="V1217" s="4" t="str">
        <f t="shared" si="74"/>
        <v>Normal</v>
      </c>
      <c r="W1217" s="4" t="str">
        <f t="shared" si="75"/>
        <v>Poor</v>
      </c>
      <c r="X1217" s="4">
        <f>AVERAGE(Table1[Purchase Amount])</f>
        <v>129.48419400000012</v>
      </c>
    </row>
    <row r="1218" spans="1:24" ht="15" customHeight="1" x14ac:dyDescent="0.25">
      <c r="A1218">
        <v>1217</v>
      </c>
      <c r="B1218">
        <v>62</v>
      </c>
      <c r="C1218" t="s">
        <v>27</v>
      </c>
      <c r="D1218" t="s">
        <v>99</v>
      </c>
      <c r="E1218" t="s">
        <v>18</v>
      </c>
      <c r="F1218" s="2">
        <v>32</v>
      </c>
      <c r="G1218" t="s">
        <v>144</v>
      </c>
      <c r="H1218" t="s">
        <v>20</v>
      </c>
      <c r="I1218" t="s">
        <v>107</v>
      </c>
      <c r="J1218" t="s">
        <v>57</v>
      </c>
      <c r="K1218">
        <v>3.7</v>
      </c>
      <c r="L1218" t="s">
        <v>23</v>
      </c>
      <c r="M1218" t="s">
        <v>35</v>
      </c>
      <c r="N1218" t="s">
        <v>34</v>
      </c>
      <c r="O1218">
        <v>3</v>
      </c>
      <c r="P1218" t="s">
        <v>62</v>
      </c>
      <c r="Q1218" t="s">
        <v>63</v>
      </c>
      <c r="R1218" s="1">
        <v>0.1</v>
      </c>
      <c r="S1218">
        <f t="shared" ref="S1218:S1281" si="76">F1218-(F1218*R1218)</f>
        <v>28.8</v>
      </c>
      <c r="T1218">
        <f>IFERROR(VLOOKUP(A1218,Table1[[Customer ID]:[Discount Amount]], 6, FALSE),"Not Found")</f>
        <v>32</v>
      </c>
      <c r="U1218" t="str">
        <f t="shared" ref="U1218:U1281" si="77">INDEX(P:P, MATCH(A1218, A:A, 0))</f>
        <v>Venmo</v>
      </c>
      <c r="V1218" s="4" t="str">
        <f t="shared" ref="V1218:V1281" si="78">IF(AND(F1218&gt;1000,K1218&gt;=4),"Best Customer","Normal")</f>
        <v>Normal</v>
      </c>
      <c r="W1218" s="4" t="str">
        <f t="shared" ref="W1218:W1281" si="79">IF(K1218&gt;=3,"Good","Poor")</f>
        <v>Good</v>
      </c>
      <c r="X1218" s="4">
        <f>AVERAGE(Table1[Purchase Amount])</f>
        <v>129.48419400000012</v>
      </c>
    </row>
    <row r="1219" spans="1:24" ht="15" customHeight="1" x14ac:dyDescent="0.25">
      <c r="A1219">
        <v>1218</v>
      </c>
      <c r="B1219">
        <v>50</v>
      </c>
      <c r="C1219" t="s">
        <v>27</v>
      </c>
      <c r="D1219" t="s">
        <v>151</v>
      </c>
      <c r="E1219" t="s">
        <v>98</v>
      </c>
      <c r="F1219" s="2">
        <v>63</v>
      </c>
      <c r="G1219" t="s">
        <v>137</v>
      </c>
      <c r="H1219" t="s">
        <v>20</v>
      </c>
      <c r="I1219" t="s">
        <v>128</v>
      </c>
      <c r="J1219" t="s">
        <v>47</v>
      </c>
      <c r="K1219">
        <v>2.6</v>
      </c>
      <c r="L1219" t="s">
        <v>23</v>
      </c>
      <c r="M1219" t="s">
        <v>35</v>
      </c>
      <c r="N1219" t="s">
        <v>34</v>
      </c>
      <c r="O1219">
        <v>12</v>
      </c>
      <c r="P1219" t="s">
        <v>25</v>
      </c>
      <c r="Q1219" t="s">
        <v>63</v>
      </c>
      <c r="R1219" s="1">
        <v>0.1</v>
      </c>
      <c r="S1219">
        <f t="shared" si="76"/>
        <v>56.7</v>
      </c>
      <c r="T1219">
        <f>IFERROR(VLOOKUP(A1219,Table1[[Customer ID]:[Discount Amount]], 6, FALSE),"Not Found")</f>
        <v>63</v>
      </c>
      <c r="U1219" t="str">
        <f t="shared" si="77"/>
        <v>Cash</v>
      </c>
      <c r="V1219" s="4" t="str">
        <f t="shared" si="78"/>
        <v>Normal</v>
      </c>
      <c r="W1219" s="4" t="str">
        <f t="shared" si="79"/>
        <v>Poor</v>
      </c>
      <c r="X1219" s="4">
        <f>AVERAGE(Table1[Purchase Amount])</f>
        <v>129.48419400000012</v>
      </c>
    </row>
    <row r="1220" spans="1:24" ht="15" customHeight="1" x14ac:dyDescent="0.25">
      <c r="A1220">
        <v>1219</v>
      </c>
      <c r="B1220">
        <v>55</v>
      </c>
      <c r="C1220" t="s">
        <v>27</v>
      </c>
      <c r="D1220" t="s">
        <v>151</v>
      </c>
      <c r="E1220" t="s">
        <v>98</v>
      </c>
      <c r="F1220" s="2">
        <v>79</v>
      </c>
      <c r="G1220" t="s">
        <v>78</v>
      </c>
      <c r="H1220" t="s">
        <v>31</v>
      </c>
      <c r="I1220" t="s">
        <v>128</v>
      </c>
      <c r="J1220" t="s">
        <v>33</v>
      </c>
      <c r="K1220">
        <v>3.1</v>
      </c>
      <c r="L1220" t="s">
        <v>23</v>
      </c>
      <c r="M1220" t="s">
        <v>48</v>
      </c>
      <c r="N1220" t="s">
        <v>34</v>
      </c>
      <c r="O1220">
        <v>43</v>
      </c>
      <c r="P1220" t="s">
        <v>25</v>
      </c>
      <c r="Q1220" t="s">
        <v>63</v>
      </c>
      <c r="R1220" s="1">
        <v>0.1</v>
      </c>
      <c r="S1220">
        <f t="shared" si="76"/>
        <v>71.099999999999994</v>
      </c>
      <c r="T1220">
        <f>IFERROR(VLOOKUP(A1220,Table1[[Customer ID]:[Discount Amount]], 6, FALSE),"Not Found")</f>
        <v>79</v>
      </c>
      <c r="U1220" t="str">
        <f t="shared" si="77"/>
        <v>Cash</v>
      </c>
      <c r="V1220" s="4" t="str">
        <f t="shared" si="78"/>
        <v>Normal</v>
      </c>
      <c r="W1220" s="4" t="str">
        <f t="shared" si="79"/>
        <v>Good</v>
      </c>
      <c r="X1220" s="4">
        <f>AVERAGE(Table1[Purchase Amount])</f>
        <v>129.48419400000012</v>
      </c>
    </row>
    <row r="1221" spans="1:24" ht="15" customHeight="1" x14ac:dyDescent="0.25">
      <c r="A1221">
        <v>1220</v>
      </c>
      <c r="B1221">
        <v>19</v>
      </c>
      <c r="C1221" t="s">
        <v>27</v>
      </c>
      <c r="D1221" t="s">
        <v>127</v>
      </c>
      <c r="E1221" t="s">
        <v>18</v>
      </c>
      <c r="F1221" s="2">
        <v>23</v>
      </c>
      <c r="G1221" t="s">
        <v>84</v>
      </c>
      <c r="H1221" t="s">
        <v>31</v>
      </c>
      <c r="I1221" t="s">
        <v>133</v>
      </c>
      <c r="J1221" t="s">
        <v>22</v>
      </c>
      <c r="K1221">
        <v>2.5</v>
      </c>
      <c r="L1221" t="s">
        <v>23</v>
      </c>
      <c r="M1221" t="s">
        <v>79</v>
      </c>
      <c r="N1221" t="s">
        <v>34</v>
      </c>
      <c r="O1221">
        <v>35</v>
      </c>
      <c r="P1221" t="s">
        <v>53</v>
      </c>
      <c r="Q1221" t="s">
        <v>68</v>
      </c>
      <c r="R1221" s="1">
        <v>0.1</v>
      </c>
      <c r="S1221">
        <f t="shared" si="76"/>
        <v>20.7</v>
      </c>
      <c r="T1221">
        <f>IFERROR(VLOOKUP(A1221,Table1[[Customer ID]:[Discount Amount]], 6, FALSE),"Not Found")</f>
        <v>23</v>
      </c>
      <c r="U1221" t="str">
        <f t="shared" si="77"/>
        <v>Credit Card</v>
      </c>
      <c r="V1221" s="4" t="str">
        <f t="shared" si="78"/>
        <v>Normal</v>
      </c>
      <c r="W1221" s="4" t="str">
        <f t="shared" si="79"/>
        <v>Poor</v>
      </c>
      <c r="X1221" s="4">
        <f>AVERAGE(Table1[Purchase Amount])</f>
        <v>129.48419400000012</v>
      </c>
    </row>
    <row r="1222" spans="1:24" ht="15" customHeight="1" x14ac:dyDescent="0.25">
      <c r="A1222">
        <v>1221</v>
      </c>
      <c r="B1222">
        <v>67</v>
      </c>
      <c r="C1222" t="s">
        <v>27</v>
      </c>
      <c r="D1222" t="s">
        <v>43</v>
      </c>
      <c r="E1222" t="s">
        <v>29</v>
      </c>
      <c r="F1222" s="2">
        <v>64</v>
      </c>
      <c r="G1222" t="s">
        <v>70</v>
      </c>
      <c r="H1222" t="s">
        <v>31</v>
      </c>
      <c r="I1222" t="s">
        <v>93</v>
      </c>
      <c r="J1222" t="s">
        <v>22</v>
      </c>
      <c r="K1222">
        <v>1</v>
      </c>
      <c r="L1222" t="s">
        <v>23</v>
      </c>
      <c r="M1222" t="s">
        <v>61</v>
      </c>
      <c r="N1222" t="s">
        <v>34</v>
      </c>
      <c r="O1222">
        <v>36</v>
      </c>
      <c r="P1222" t="s">
        <v>88</v>
      </c>
      <c r="Q1222" t="s">
        <v>37</v>
      </c>
      <c r="R1222" s="1">
        <v>0.1</v>
      </c>
      <c r="S1222">
        <f t="shared" si="76"/>
        <v>57.6</v>
      </c>
      <c r="T1222">
        <f>IFERROR(VLOOKUP(A1222,Table1[[Customer ID]:[Discount Amount]], 6, FALSE),"Not Found")</f>
        <v>64</v>
      </c>
      <c r="U1222" t="str">
        <f t="shared" si="77"/>
        <v>Bank Transfer</v>
      </c>
      <c r="V1222" s="4" t="str">
        <f t="shared" si="78"/>
        <v>Normal</v>
      </c>
      <c r="W1222" s="4" t="str">
        <f t="shared" si="79"/>
        <v>Poor</v>
      </c>
      <c r="X1222" s="4">
        <f>AVERAGE(Table1[Purchase Amount])</f>
        <v>129.48419400000012</v>
      </c>
    </row>
    <row r="1223" spans="1:24" ht="15" customHeight="1" x14ac:dyDescent="0.25">
      <c r="A1223">
        <v>1222</v>
      </c>
      <c r="B1223">
        <v>18</v>
      </c>
      <c r="C1223" t="s">
        <v>27</v>
      </c>
      <c r="D1223" t="s">
        <v>105</v>
      </c>
      <c r="E1223" t="s">
        <v>18</v>
      </c>
      <c r="F1223" s="2">
        <v>69</v>
      </c>
      <c r="G1223" t="s">
        <v>141</v>
      </c>
      <c r="H1223" t="s">
        <v>31</v>
      </c>
      <c r="I1223" t="s">
        <v>46</v>
      </c>
      <c r="J1223" t="s">
        <v>22</v>
      </c>
      <c r="K1223">
        <v>4.5</v>
      </c>
      <c r="L1223" t="s">
        <v>23</v>
      </c>
      <c r="M1223" t="s">
        <v>24</v>
      </c>
      <c r="N1223" t="s">
        <v>34</v>
      </c>
      <c r="O1223">
        <v>3</v>
      </c>
      <c r="P1223" t="s">
        <v>25</v>
      </c>
      <c r="Q1223" t="s">
        <v>37</v>
      </c>
      <c r="R1223" s="1">
        <v>0.1</v>
      </c>
      <c r="S1223">
        <f t="shared" si="76"/>
        <v>62.1</v>
      </c>
      <c r="T1223">
        <f>IFERROR(VLOOKUP(A1223,Table1[[Customer ID]:[Discount Amount]], 6, FALSE),"Not Found")</f>
        <v>69</v>
      </c>
      <c r="U1223" t="str">
        <f t="shared" si="77"/>
        <v>Cash</v>
      </c>
      <c r="V1223" s="4" t="str">
        <f t="shared" si="78"/>
        <v>Normal</v>
      </c>
      <c r="W1223" s="4" t="str">
        <f t="shared" si="79"/>
        <v>Good</v>
      </c>
      <c r="X1223" s="4">
        <f>AVERAGE(Table1[Purchase Amount])</f>
        <v>129.48419400000012</v>
      </c>
    </row>
    <row r="1224" spans="1:24" ht="15" customHeight="1" x14ac:dyDescent="0.25">
      <c r="A1224">
        <v>1223</v>
      </c>
      <c r="B1224">
        <v>58</v>
      </c>
      <c r="C1224" t="s">
        <v>27</v>
      </c>
      <c r="D1224" t="s">
        <v>109</v>
      </c>
      <c r="E1224" t="s">
        <v>18</v>
      </c>
      <c r="F1224" s="2">
        <v>69</v>
      </c>
      <c r="G1224" t="s">
        <v>102</v>
      </c>
      <c r="H1224" t="s">
        <v>45</v>
      </c>
      <c r="I1224" t="s">
        <v>87</v>
      </c>
      <c r="J1224" t="s">
        <v>47</v>
      </c>
      <c r="K1224">
        <v>3.4</v>
      </c>
      <c r="L1224" t="s">
        <v>23</v>
      </c>
      <c r="M1224" t="s">
        <v>48</v>
      </c>
      <c r="N1224" t="s">
        <v>34</v>
      </c>
      <c r="O1224">
        <v>27</v>
      </c>
      <c r="P1224" t="s">
        <v>88</v>
      </c>
      <c r="Q1224" t="s">
        <v>49</v>
      </c>
      <c r="R1224" s="1">
        <v>0.1</v>
      </c>
      <c r="S1224">
        <f t="shared" si="76"/>
        <v>62.1</v>
      </c>
      <c r="T1224">
        <f>IFERROR(VLOOKUP(A1224,Table1[[Customer ID]:[Discount Amount]], 6, FALSE),"Not Found")</f>
        <v>69</v>
      </c>
      <c r="U1224" t="str">
        <f t="shared" si="77"/>
        <v>Bank Transfer</v>
      </c>
      <c r="V1224" s="4" t="str">
        <f t="shared" si="78"/>
        <v>Normal</v>
      </c>
      <c r="W1224" s="4" t="str">
        <f t="shared" si="79"/>
        <v>Good</v>
      </c>
      <c r="X1224" s="4">
        <f>AVERAGE(Table1[Purchase Amount])</f>
        <v>129.48419400000012</v>
      </c>
    </row>
    <row r="1225" spans="1:24" ht="15" customHeight="1" x14ac:dyDescent="0.25">
      <c r="A1225">
        <v>1224</v>
      </c>
      <c r="B1225">
        <v>69</v>
      </c>
      <c r="C1225" t="s">
        <v>27</v>
      </c>
      <c r="D1225" t="s">
        <v>99</v>
      </c>
      <c r="E1225" t="s">
        <v>18</v>
      </c>
      <c r="F1225" s="2">
        <v>24</v>
      </c>
      <c r="G1225" t="s">
        <v>124</v>
      </c>
      <c r="H1225" t="s">
        <v>45</v>
      </c>
      <c r="I1225" t="s">
        <v>46</v>
      </c>
      <c r="J1225" t="s">
        <v>22</v>
      </c>
      <c r="K1225">
        <v>3.9</v>
      </c>
      <c r="L1225" t="s">
        <v>23</v>
      </c>
      <c r="M1225" t="s">
        <v>35</v>
      </c>
      <c r="N1225" t="s">
        <v>34</v>
      </c>
      <c r="O1225">
        <v>21</v>
      </c>
      <c r="P1225" t="s">
        <v>88</v>
      </c>
      <c r="Q1225" t="s">
        <v>26</v>
      </c>
      <c r="R1225" s="1">
        <v>0.1</v>
      </c>
      <c r="S1225">
        <f t="shared" si="76"/>
        <v>21.6</v>
      </c>
      <c r="T1225">
        <f>IFERROR(VLOOKUP(A1225,Table1[[Customer ID]:[Discount Amount]], 6, FALSE),"Not Found")</f>
        <v>24</v>
      </c>
      <c r="U1225" t="str">
        <f t="shared" si="77"/>
        <v>Bank Transfer</v>
      </c>
      <c r="V1225" s="4" t="str">
        <f t="shared" si="78"/>
        <v>Normal</v>
      </c>
      <c r="W1225" s="4" t="str">
        <f t="shared" si="79"/>
        <v>Good</v>
      </c>
      <c r="X1225" s="4">
        <f>AVERAGE(Table1[Purchase Amount])</f>
        <v>129.48419400000012</v>
      </c>
    </row>
    <row r="1226" spans="1:24" ht="15" customHeight="1" x14ac:dyDescent="0.25">
      <c r="A1226">
        <v>1225</v>
      </c>
      <c r="B1226">
        <v>62</v>
      </c>
      <c r="C1226" t="s">
        <v>27</v>
      </c>
      <c r="D1226" t="s">
        <v>54</v>
      </c>
      <c r="E1226" t="s">
        <v>18</v>
      </c>
      <c r="F1226" s="2">
        <v>50</v>
      </c>
      <c r="G1226" t="s">
        <v>44</v>
      </c>
      <c r="H1226" t="s">
        <v>31</v>
      </c>
      <c r="I1226" t="s">
        <v>52</v>
      </c>
      <c r="J1226" t="s">
        <v>57</v>
      </c>
      <c r="K1226">
        <v>3.7</v>
      </c>
      <c r="L1226" t="s">
        <v>23</v>
      </c>
      <c r="M1226" t="s">
        <v>48</v>
      </c>
      <c r="N1226" t="s">
        <v>34</v>
      </c>
      <c r="O1226">
        <v>18</v>
      </c>
      <c r="P1226" t="s">
        <v>62</v>
      </c>
      <c r="Q1226" t="s">
        <v>26</v>
      </c>
      <c r="R1226" s="1">
        <v>0.1</v>
      </c>
      <c r="S1226">
        <f t="shared" si="76"/>
        <v>45</v>
      </c>
      <c r="T1226">
        <f>IFERROR(VLOOKUP(A1226,Table1[[Customer ID]:[Discount Amount]], 6, FALSE),"Not Found")</f>
        <v>50</v>
      </c>
      <c r="U1226" t="str">
        <f t="shared" si="77"/>
        <v>Venmo</v>
      </c>
      <c r="V1226" s="4" t="str">
        <f t="shared" si="78"/>
        <v>Normal</v>
      </c>
      <c r="W1226" s="4" t="str">
        <f t="shared" si="79"/>
        <v>Good</v>
      </c>
      <c r="X1226" s="4">
        <f>AVERAGE(Table1[Purchase Amount])</f>
        <v>129.48419400000012</v>
      </c>
    </row>
    <row r="1227" spans="1:24" ht="15" customHeight="1" x14ac:dyDescent="0.25">
      <c r="A1227">
        <v>1226</v>
      </c>
      <c r="B1227">
        <v>28</v>
      </c>
      <c r="C1227" t="s">
        <v>27</v>
      </c>
      <c r="D1227" t="s">
        <v>43</v>
      </c>
      <c r="E1227" t="s">
        <v>29</v>
      </c>
      <c r="F1227" s="2">
        <v>97</v>
      </c>
      <c r="G1227" t="s">
        <v>134</v>
      </c>
      <c r="H1227" t="s">
        <v>55</v>
      </c>
      <c r="I1227" t="s">
        <v>156</v>
      </c>
      <c r="J1227" t="s">
        <v>47</v>
      </c>
      <c r="K1227">
        <v>2.6</v>
      </c>
      <c r="L1227" t="s">
        <v>23</v>
      </c>
      <c r="M1227" t="s">
        <v>35</v>
      </c>
      <c r="N1227" t="s">
        <v>34</v>
      </c>
      <c r="O1227">
        <v>16</v>
      </c>
      <c r="P1227" t="s">
        <v>36</v>
      </c>
      <c r="Q1227" t="s">
        <v>26</v>
      </c>
      <c r="R1227" s="1">
        <v>0.1</v>
      </c>
      <c r="S1227">
        <f t="shared" si="76"/>
        <v>87.3</v>
      </c>
      <c r="T1227">
        <f>IFERROR(VLOOKUP(A1227,Table1[[Customer ID]:[Discount Amount]], 6, FALSE),"Not Found")</f>
        <v>97</v>
      </c>
      <c r="U1227" t="str">
        <f t="shared" si="77"/>
        <v>Debit Card</v>
      </c>
      <c r="V1227" s="4" t="str">
        <f t="shared" si="78"/>
        <v>Normal</v>
      </c>
      <c r="W1227" s="4" t="str">
        <f t="shared" si="79"/>
        <v>Poor</v>
      </c>
      <c r="X1227" s="4">
        <f>AVERAGE(Table1[Purchase Amount])</f>
        <v>129.48419400000012</v>
      </c>
    </row>
    <row r="1228" spans="1:24" ht="15" customHeight="1" x14ac:dyDescent="0.25">
      <c r="A1228">
        <v>1227</v>
      </c>
      <c r="B1228">
        <v>53</v>
      </c>
      <c r="C1228" t="s">
        <v>27</v>
      </c>
      <c r="D1228" t="s">
        <v>121</v>
      </c>
      <c r="E1228" t="s">
        <v>98</v>
      </c>
      <c r="F1228" s="2">
        <v>91</v>
      </c>
      <c r="G1228" t="s">
        <v>90</v>
      </c>
      <c r="H1228" t="s">
        <v>55</v>
      </c>
      <c r="I1228" t="s">
        <v>128</v>
      </c>
      <c r="J1228" t="s">
        <v>47</v>
      </c>
      <c r="K1228">
        <v>3.4</v>
      </c>
      <c r="L1228" t="s">
        <v>23</v>
      </c>
      <c r="M1228" t="s">
        <v>48</v>
      </c>
      <c r="N1228" t="s">
        <v>34</v>
      </c>
      <c r="O1228">
        <v>18</v>
      </c>
      <c r="P1228" t="s">
        <v>62</v>
      </c>
      <c r="Q1228" t="s">
        <v>68</v>
      </c>
      <c r="R1228" s="1">
        <v>0.1</v>
      </c>
      <c r="S1228">
        <f t="shared" si="76"/>
        <v>81.900000000000006</v>
      </c>
      <c r="T1228">
        <f>IFERROR(VLOOKUP(A1228,Table1[[Customer ID]:[Discount Amount]], 6, FALSE),"Not Found")</f>
        <v>91</v>
      </c>
      <c r="U1228" t="str">
        <f t="shared" si="77"/>
        <v>Venmo</v>
      </c>
      <c r="V1228" s="4" t="str">
        <f t="shared" si="78"/>
        <v>Normal</v>
      </c>
      <c r="W1228" s="4" t="str">
        <f t="shared" si="79"/>
        <v>Good</v>
      </c>
      <c r="X1228" s="4">
        <f>AVERAGE(Table1[Purchase Amount])</f>
        <v>129.48419400000012</v>
      </c>
    </row>
    <row r="1229" spans="1:24" ht="15" customHeight="1" x14ac:dyDescent="0.25">
      <c r="A1229">
        <v>1228</v>
      </c>
      <c r="B1229">
        <v>27</v>
      </c>
      <c r="C1229" t="s">
        <v>27</v>
      </c>
      <c r="D1229" t="s">
        <v>118</v>
      </c>
      <c r="E1229" t="s">
        <v>18</v>
      </c>
      <c r="F1229" s="2">
        <v>37</v>
      </c>
      <c r="G1229" t="s">
        <v>44</v>
      </c>
      <c r="H1229" t="s">
        <v>45</v>
      </c>
      <c r="I1229" t="s">
        <v>52</v>
      </c>
      <c r="J1229" t="s">
        <v>33</v>
      </c>
      <c r="K1229">
        <v>4.9000000000000004</v>
      </c>
      <c r="L1229" t="s">
        <v>23</v>
      </c>
      <c r="M1229" t="s">
        <v>48</v>
      </c>
      <c r="N1229" t="s">
        <v>34</v>
      </c>
      <c r="O1229">
        <v>19</v>
      </c>
      <c r="P1229" t="s">
        <v>88</v>
      </c>
      <c r="Q1229" t="s">
        <v>68</v>
      </c>
      <c r="R1229" s="1">
        <v>0.1</v>
      </c>
      <c r="S1229">
        <f t="shared" si="76"/>
        <v>33.299999999999997</v>
      </c>
      <c r="T1229">
        <f>IFERROR(VLOOKUP(A1229,Table1[[Customer ID]:[Discount Amount]], 6, FALSE),"Not Found")</f>
        <v>37</v>
      </c>
      <c r="U1229" t="str">
        <f t="shared" si="77"/>
        <v>Bank Transfer</v>
      </c>
      <c r="V1229" s="4" t="str">
        <f t="shared" si="78"/>
        <v>Normal</v>
      </c>
      <c r="W1229" s="4" t="str">
        <f t="shared" si="79"/>
        <v>Good</v>
      </c>
      <c r="X1229" s="4">
        <f>AVERAGE(Table1[Purchase Amount])</f>
        <v>129.48419400000012</v>
      </c>
    </row>
    <row r="1230" spans="1:24" ht="15" customHeight="1" x14ac:dyDescent="0.25">
      <c r="A1230">
        <v>1229</v>
      </c>
      <c r="B1230">
        <v>55</v>
      </c>
      <c r="C1230" t="s">
        <v>27</v>
      </c>
      <c r="D1230" t="s">
        <v>96</v>
      </c>
      <c r="E1230" t="s">
        <v>77</v>
      </c>
      <c r="F1230" s="2">
        <v>55</v>
      </c>
      <c r="G1230" t="s">
        <v>102</v>
      </c>
      <c r="H1230" t="s">
        <v>55</v>
      </c>
      <c r="I1230" t="s">
        <v>52</v>
      </c>
      <c r="J1230" t="s">
        <v>22</v>
      </c>
      <c r="K1230">
        <v>3.9</v>
      </c>
      <c r="L1230" t="s">
        <v>23</v>
      </c>
      <c r="M1230" t="s">
        <v>61</v>
      </c>
      <c r="N1230" t="s">
        <v>34</v>
      </c>
      <c r="O1230">
        <v>1</v>
      </c>
      <c r="P1230" t="s">
        <v>25</v>
      </c>
      <c r="Q1230" t="s">
        <v>49</v>
      </c>
      <c r="R1230" s="1">
        <v>0.1</v>
      </c>
      <c r="S1230">
        <f t="shared" si="76"/>
        <v>49.5</v>
      </c>
      <c r="T1230">
        <f>IFERROR(VLOOKUP(A1230,Table1[[Customer ID]:[Discount Amount]], 6, FALSE),"Not Found")</f>
        <v>55</v>
      </c>
      <c r="U1230" t="str">
        <f t="shared" si="77"/>
        <v>Cash</v>
      </c>
      <c r="V1230" s="4" t="str">
        <f t="shared" si="78"/>
        <v>Normal</v>
      </c>
      <c r="W1230" s="4" t="str">
        <f t="shared" si="79"/>
        <v>Good</v>
      </c>
      <c r="X1230" s="4">
        <f>AVERAGE(Table1[Purchase Amount])</f>
        <v>129.48419400000012</v>
      </c>
    </row>
    <row r="1231" spans="1:24" ht="15" customHeight="1" x14ac:dyDescent="0.25">
      <c r="A1231">
        <v>1230</v>
      </c>
      <c r="B1231">
        <v>34</v>
      </c>
      <c r="C1231" t="s">
        <v>27</v>
      </c>
      <c r="D1231" t="s">
        <v>50</v>
      </c>
      <c r="E1231" t="s">
        <v>29</v>
      </c>
      <c r="F1231" s="2">
        <v>52</v>
      </c>
      <c r="G1231" t="s">
        <v>124</v>
      </c>
      <c r="H1231" t="s">
        <v>20</v>
      </c>
      <c r="I1231" t="s">
        <v>125</v>
      </c>
      <c r="J1231" t="s">
        <v>22</v>
      </c>
      <c r="K1231">
        <v>3.6</v>
      </c>
      <c r="L1231" t="s">
        <v>23</v>
      </c>
      <c r="M1231" t="s">
        <v>61</v>
      </c>
      <c r="N1231" t="s">
        <v>34</v>
      </c>
      <c r="O1231">
        <v>39</v>
      </c>
      <c r="P1231" t="s">
        <v>88</v>
      </c>
      <c r="Q1231" t="s">
        <v>49</v>
      </c>
      <c r="R1231" s="1">
        <v>0.1</v>
      </c>
      <c r="S1231">
        <f t="shared" si="76"/>
        <v>46.8</v>
      </c>
      <c r="T1231">
        <f>IFERROR(VLOOKUP(A1231,Table1[[Customer ID]:[Discount Amount]], 6, FALSE),"Not Found")</f>
        <v>52</v>
      </c>
      <c r="U1231" t="str">
        <f t="shared" si="77"/>
        <v>Bank Transfer</v>
      </c>
      <c r="V1231" s="4" t="str">
        <f t="shared" si="78"/>
        <v>Normal</v>
      </c>
      <c r="W1231" s="4" t="str">
        <f t="shared" si="79"/>
        <v>Good</v>
      </c>
      <c r="X1231" s="4">
        <f>AVERAGE(Table1[Purchase Amount])</f>
        <v>129.48419400000012</v>
      </c>
    </row>
    <row r="1232" spans="1:24" ht="15" customHeight="1" x14ac:dyDescent="0.25">
      <c r="A1232">
        <v>1231</v>
      </c>
      <c r="B1232">
        <v>25</v>
      </c>
      <c r="C1232" t="s">
        <v>27</v>
      </c>
      <c r="D1232" t="s">
        <v>64</v>
      </c>
      <c r="E1232" t="s">
        <v>29</v>
      </c>
      <c r="F1232" s="2">
        <v>80</v>
      </c>
      <c r="G1232" t="s">
        <v>44</v>
      </c>
      <c r="H1232" t="s">
        <v>45</v>
      </c>
      <c r="I1232" t="s">
        <v>60</v>
      </c>
      <c r="J1232" t="s">
        <v>33</v>
      </c>
      <c r="K1232">
        <v>1</v>
      </c>
      <c r="L1232" t="s">
        <v>23</v>
      </c>
      <c r="M1232" t="s">
        <v>24</v>
      </c>
      <c r="N1232" t="s">
        <v>34</v>
      </c>
      <c r="O1232">
        <v>49</v>
      </c>
      <c r="P1232" t="s">
        <v>62</v>
      </c>
      <c r="Q1232" t="s">
        <v>42</v>
      </c>
      <c r="R1232" s="1">
        <v>0.1</v>
      </c>
      <c r="S1232">
        <f t="shared" si="76"/>
        <v>72</v>
      </c>
      <c r="T1232">
        <f>IFERROR(VLOOKUP(A1232,Table1[[Customer ID]:[Discount Amount]], 6, FALSE),"Not Found")</f>
        <v>80</v>
      </c>
      <c r="U1232" t="str">
        <f t="shared" si="77"/>
        <v>Venmo</v>
      </c>
      <c r="V1232" s="4" t="str">
        <f t="shared" si="78"/>
        <v>Normal</v>
      </c>
      <c r="W1232" s="4" t="str">
        <f t="shared" si="79"/>
        <v>Poor</v>
      </c>
      <c r="X1232" s="4">
        <f>AVERAGE(Table1[Purchase Amount])</f>
        <v>129.48419400000012</v>
      </c>
    </row>
    <row r="1233" spans="1:24" ht="15" customHeight="1" x14ac:dyDescent="0.25">
      <c r="A1233">
        <v>1232</v>
      </c>
      <c r="B1233">
        <v>66</v>
      </c>
      <c r="C1233" t="s">
        <v>27</v>
      </c>
      <c r="D1233" t="s">
        <v>105</v>
      </c>
      <c r="E1233" t="s">
        <v>18</v>
      </c>
      <c r="F1233" s="2">
        <v>79</v>
      </c>
      <c r="G1233" t="s">
        <v>78</v>
      </c>
      <c r="H1233" t="s">
        <v>31</v>
      </c>
      <c r="I1233" t="s">
        <v>133</v>
      </c>
      <c r="J1233" t="s">
        <v>33</v>
      </c>
      <c r="K1233">
        <v>4</v>
      </c>
      <c r="L1233" t="s">
        <v>23</v>
      </c>
      <c r="M1233" t="s">
        <v>41</v>
      </c>
      <c r="N1233" t="s">
        <v>34</v>
      </c>
      <c r="O1233">
        <v>43</v>
      </c>
      <c r="P1233" t="s">
        <v>53</v>
      </c>
      <c r="Q1233" t="s">
        <v>89</v>
      </c>
      <c r="R1233" s="1">
        <v>0.1</v>
      </c>
      <c r="S1233">
        <f t="shared" si="76"/>
        <v>71.099999999999994</v>
      </c>
      <c r="T1233">
        <f>IFERROR(VLOOKUP(A1233,Table1[[Customer ID]:[Discount Amount]], 6, FALSE),"Not Found")</f>
        <v>79</v>
      </c>
      <c r="U1233" t="str">
        <f t="shared" si="77"/>
        <v>Credit Card</v>
      </c>
      <c r="V1233" s="4" t="str">
        <f t="shared" si="78"/>
        <v>Normal</v>
      </c>
      <c r="W1233" s="4" t="str">
        <f t="shared" si="79"/>
        <v>Good</v>
      </c>
      <c r="X1233" s="4">
        <f>AVERAGE(Table1[Purchase Amount])</f>
        <v>129.48419400000012</v>
      </c>
    </row>
    <row r="1234" spans="1:24" ht="15" customHeight="1" x14ac:dyDescent="0.25">
      <c r="A1234">
        <v>1233</v>
      </c>
      <c r="B1234">
        <v>57</v>
      </c>
      <c r="C1234" t="s">
        <v>27</v>
      </c>
      <c r="D1234" t="s">
        <v>69</v>
      </c>
      <c r="E1234" t="s">
        <v>29</v>
      </c>
      <c r="F1234" s="2">
        <v>23</v>
      </c>
      <c r="G1234" t="s">
        <v>101</v>
      </c>
      <c r="H1234" t="s">
        <v>31</v>
      </c>
      <c r="I1234" t="s">
        <v>103</v>
      </c>
      <c r="J1234" t="s">
        <v>57</v>
      </c>
      <c r="K1234">
        <v>3.6</v>
      </c>
      <c r="L1234" t="s">
        <v>23</v>
      </c>
      <c r="M1234" t="s">
        <v>35</v>
      </c>
      <c r="N1234" t="s">
        <v>34</v>
      </c>
      <c r="O1234">
        <v>31</v>
      </c>
      <c r="P1234" t="s">
        <v>36</v>
      </c>
      <c r="Q1234" t="s">
        <v>63</v>
      </c>
      <c r="R1234" s="1">
        <v>0.1</v>
      </c>
      <c r="S1234">
        <f t="shared" si="76"/>
        <v>20.7</v>
      </c>
      <c r="T1234">
        <f>IFERROR(VLOOKUP(A1234,Table1[[Customer ID]:[Discount Amount]], 6, FALSE),"Not Found")</f>
        <v>23</v>
      </c>
      <c r="U1234" t="str">
        <f t="shared" si="77"/>
        <v>Debit Card</v>
      </c>
      <c r="V1234" s="4" t="str">
        <f t="shared" si="78"/>
        <v>Normal</v>
      </c>
      <c r="W1234" s="4" t="str">
        <f t="shared" si="79"/>
        <v>Good</v>
      </c>
      <c r="X1234" s="4">
        <f>AVERAGE(Table1[Purchase Amount])</f>
        <v>129.48419400000012</v>
      </c>
    </row>
    <row r="1235" spans="1:24" ht="15" customHeight="1" x14ac:dyDescent="0.25">
      <c r="A1235">
        <v>1234</v>
      </c>
      <c r="B1235">
        <v>46</v>
      </c>
      <c r="C1235" t="s">
        <v>27</v>
      </c>
      <c r="D1235" t="s">
        <v>99</v>
      </c>
      <c r="E1235" t="s">
        <v>18</v>
      </c>
      <c r="F1235" s="2">
        <v>73</v>
      </c>
      <c r="G1235" t="s">
        <v>144</v>
      </c>
      <c r="H1235" t="s">
        <v>45</v>
      </c>
      <c r="I1235" t="s">
        <v>56</v>
      </c>
      <c r="J1235" t="s">
        <v>22</v>
      </c>
      <c r="K1235">
        <v>3.5</v>
      </c>
      <c r="L1235" t="s">
        <v>23</v>
      </c>
      <c r="M1235" t="s">
        <v>79</v>
      </c>
      <c r="N1235" t="s">
        <v>34</v>
      </c>
      <c r="O1235">
        <v>40</v>
      </c>
      <c r="P1235" t="s">
        <v>62</v>
      </c>
      <c r="Q1235" t="s">
        <v>63</v>
      </c>
      <c r="R1235" s="1">
        <v>0.1</v>
      </c>
      <c r="S1235">
        <f t="shared" si="76"/>
        <v>65.7</v>
      </c>
      <c r="T1235">
        <f>IFERROR(VLOOKUP(A1235,Table1[[Customer ID]:[Discount Amount]], 6, FALSE),"Not Found")</f>
        <v>73</v>
      </c>
      <c r="U1235" t="str">
        <f t="shared" si="77"/>
        <v>Venmo</v>
      </c>
      <c r="V1235" s="4" t="str">
        <f t="shared" si="78"/>
        <v>Normal</v>
      </c>
      <c r="W1235" s="4" t="str">
        <f t="shared" si="79"/>
        <v>Good</v>
      </c>
      <c r="X1235" s="4">
        <f>AVERAGE(Table1[Purchase Amount])</f>
        <v>129.48419400000012</v>
      </c>
    </row>
    <row r="1236" spans="1:24" ht="15" customHeight="1" x14ac:dyDescent="0.25">
      <c r="A1236">
        <v>1235</v>
      </c>
      <c r="B1236">
        <v>38</v>
      </c>
      <c r="C1236" t="s">
        <v>27</v>
      </c>
      <c r="D1236" t="s">
        <v>43</v>
      </c>
      <c r="E1236" t="s">
        <v>29</v>
      </c>
      <c r="F1236" s="2">
        <v>99</v>
      </c>
      <c r="G1236" t="s">
        <v>131</v>
      </c>
      <c r="H1236" t="s">
        <v>31</v>
      </c>
      <c r="I1236" t="s">
        <v>91</v>
      </c>
      <c r="J1236" t="s">
        <v>47</v>
      </c>
      <c r="K1236">
        <v>4.0999999999999996</v>
      </c>
      <c r="L1236" t="s">
        <v>23</v>
      </c>
      <c r="M1236" t="s">
        <v>48</v>
      </c>
      <c r="N1236" t="s">
        <v>34</v>
      </c>
      <c r="O1236">
        <v>2</v>
      </c>
      <c r="P1236" t="s">
        <v>88</v>
      </c>
      <c r="Q1236" t="s">
        <v>68</v>
      </c>
      <c r="R1236" s="1">
        <v>0.1</v>
      </c>
      <c r="S1236">
        <f t="shared" si="76"/>
        <v>89.1</v>
      </c>
      <c r="T1236">
        <f>IFERROR(VLOOKUP(A1236,Table1[[Customer ID]:[Discount Amount]], 6, FALSE),"Not Found")</f>
        <v>99</v>
      </c>
      <c r="U1236" t="str">
        <f t="shared" si="77"/>
        <v>Bank Transfer</v>
      </c>
      <c r="V1236" s="4" t="str">
        <f t="shared" si="78"/>
        <v>Normal</v>
      </c>
      <c r="W1236" s="4" t="str">
        <f t="shared" si="79"/>
        <v>Good</v>
      </c>
      <c r="X1236" s="4">
        <f>AVERAGE(Table1[Purchase Amount])</f>
        <v>129.48419400000012</v>
      </c>
    </row>
    <row r="1237" spans="1:24" ht="15" customHeight="1" x14ac:dyDescent="0.25">
      <c r="A1237">
        <v>1236</v>
      </c>
      <c r="B1237">
        <v>23</v>
      </c>
      <c r="C1237" t="s">
        <v>27</v>
      </c>
      <c r="D1237" t="s">
        <v>127</v>
      </c>
      <c r="E1237" t="s">
        <v>18</v>
      </c>
      <c r="F1237" s="2">
        <v>22</v>
      </c>
      <c r="G1237" t="s">
        <v>161</v>
      </c>
      <c r="H1237" t="s">
        <v>31</v>
      </c>
      <c r="I1237" t="s">
        <v>46</v>
      </c>
      <c r="J1237" t="s">
        <v>33</v>
      </c>
      <c r="K1237">
        <v>3</v>
      </c>
      <c r="L1237" t="s">
        <v>23</v>
      </c>
      <c r="M1237" t="s">
        <v>48</v>
      </c>
      <c r="N1237" t="s">
        <v>34</v>
      </c>
      <c r="O1237">
        <v>46</v>
      </c>
      <c r="P1237" t="s">
        <v>58</v>
      </c>
      <c r="Q1237" t="s">
        <v>63</v>
      </c>
      <c r="R1237" s="1">
        <v>0.1</v>
      </c>
      <c r="S1237">
        <f t="shared" si="76"/>
        <v>19.8</v>
      </c>
      <c r="T1237">
        <f>IFERROR(VLOOKUP(A1237,Table1[[Customer ID]:[Discount Amount]], 6, FALSE),"Not Found")</f>
        <v>22</v>
      </c>
      <c r="U1237" t="str">
        <f t="shared" si="77"/>
        <v>PayPal</v>
      </c>
      <c r="V1237" s="4" t="str">
        <f t="shared" si="78"/>
        <v>Normal</v>
      </c>
      <c r="W1237" s="4" t="str">
        <f t="shared" si="79"/>
        <v>Good</v>
      </c>
      <c r="X1237" s="4">
        <f>AVERAGE(Table1[Purchase Amount])</f>
        <v>129.48419400000012</v>
      </c>
    </row>
    <row r="1238" spans="1:24" ht="15" customHeight="1" x14ac:dyDescent="0.25">
      <c r="A1238">
        <v>1237</v>
      </c>
      <c r="B1238">
        <v>42</v>
      </c>
      <c r="C1238" t="s">
        <v>27</v>
      </c>
      <c r="D1238" t="s">
        <v>64</v>
      </c>
      <c r="E1238" t="s">
        <v>29</v>
      </c>
      <c r="F1238" s="2">
        <v>68</v>
      </c>
      <c r="G1238" t="s">
        <v>110</v>
      </c>
      <c r="H1238" t="s">
        <v>31</v>
      </c>
      <c r="I1238" t="s">
        <v>32</v>
      </c>
      <c r="J1238" t="s">
        <v>57</v>
      </c>
      <c r="K1238">
        <v>4.4000000000000004</v>
      </c>
      <c r="L1238" t="s">
        <v>23</v>
      </c>
      <c r="M1238" t="s">
        <v>48</v>
      </c>
      <c r="N1238" t="s">
        <v>34</v>
      </c>
      <c r="O1238">
        <v>35</v>
      </c>
      <c r="P1238" t="s">
        <v>36</v>
      </c>
      <c r="Q1238" t="s">
        <v>63</v>
      </c>
      <c r="R1238" s="1">
        <v>0.1</v>
      </c>
      <c r="S1238">
        <f t="shared" si="76"/>
        <v>61.2</v>
      </c>
      <c r="T1238">
        <f>IFERROR(VLOOKUP(A1238,Table1[[Customer ID]:[Discount Amount]], 6, FALSE),"Not Found")</f>
        <v>68</v>
      </c>
      <c r="U1238" t="str">
        <f t="shared" si="77"/>
        <v>Debit Card</v>
      </c>
      <c r="V1238" s="4" t="str">
        <f t="shared" si="78"/>
        <v>Normal</v>
      </c>
      <c r="W1238" s="4" t="str">
        <f t="shared" si="79"/>
        <v>Good</v>
      </c>
      <c r="X1238" s="4">
        <f>AVERAGE(Table1[Purchase Amount])</f>
        <v>129.48419400000012</v>
      </c>
    </row>
    <row r="1239" spans="1:24" ht="15" customHeight="1" x14ac:dyDescent="0.25">
      <c r="A1239">
        <v>1238</v>
      </c>
      <c r="B1239">
        <v>25</v>
      </c>
      <c r="C1239" t="s">
        <v>27</v>
      </c>
      <c r="D1239" t="s">
        <v>157</v>
      </c>
      <c r="E1239" t="s">
        <v>18</v>
      </c>
      <c r="F1239" s="2">
        <v>92</v>
      </c>
      <c r="G1239" t="s">
        <v>113</v>
      </c>
      <c r="H1239" t="s">
        <v>55</v>
      </c>
      <c r="I1239" t="s">
        <v>103</v>
      </c>
      <c r="J1239" t="s">
        <v>33</v>
      </c>
      <c r="K1239">
        <v>4.4000000000000004</v>
      </c>
      <c r="L1239" t="s">
        <v>23</v>
      </c>
      <c r="M1239" t="s">
        <v>41</v>
      </c>
      <c r="N1239" t="s">
        <v>34</v>
      </c>
      <c r="O1239">
        <v>42</v>
      </c>
      <c r="P1239" t="s">
        <v>53</v>
      </c>
      <c r="Q1239" t="s">
        <v>37</v>
      </c>
      <c r="R1239" s="1">
        <v>0.1</v>
      </c>
      <c r="S1239">
        <f t="shared" si="76"/>
        <v>82.8</v>
      </c>
      <c r="T1239">
        <f>IFERROR(VLOOKUP(A1239,Table1[[Customer ID]:[Discount Amount]], 6, FALSE),"Not Found")</f>
        <v>92</v>
      </c>
      <c r="U1239" t="str">
        <f t="shared" si="77"/>
        <v>Credit Card</v>
      </c>
      <c r="V1239" s="4" t="str">
        <f t="shared" si="78"/>
        <v>Normal</v>
      </c>
      <c r="W1239" s="4" t="str">
        <f t="shared" si="79"/>
        <v>Good</v>
      </c>
      <c r="X1239" s="4">
        <f>AVERAGE(Table1[Purchase Amount])</f>
        <v>129.48419400000012</v>
      </c>
    </row>
    <row r="1240" spans="1:24" ht="15" customHeight="1" x14ac:dyDescent="0.25">
      <c r="A1240">
        <v>1239</v>
      </c>
      <c r="B1240">
        <v>55</v>
      </c>
      <c r="C1240" t="s">
        <v>27</v>
      </c>
      <c r="D1240" t="s">
        <v>99</v>
      </c>
      <c r="E1240" t="s">
        <v>18</v>
      </c>
      <c r="F1240" s="2">
        <v>77</v>
      </c>
      <c r="G1240" t="s">
        <v>162</v>
      </c>
      <c r="H1240" t="s">
        <v>31</v>
      </c>
      <c r="I1240" t="s">
        <v>111</v>
      </c>
      <c r="J1240" t="s">
        <v>22</v>
      </c>
      <c r="K1240">
        <v>3.7</v>
      </c>
      <c r="L1240" t="s">
        <v>23</v>
      </c>
      <c r="M1240" t="s">
        <v>61</v>
      </c>
      <c r="N1240" t="s">
        <v>34</v>
      </c>
      <c r="O1240">
        <v>3</v>
      </c>
      <c r="P1240" t="s">
        <v>62</v>
      </c>
      <c r="Q1240" t="s">
        <v>89</v>
      </c>
      <c r="R1240" s="1">
        <v>0.1</v>
      </c>
      <c r="S1240">
        <f t="shared" si="76"/>
        <v>69.3</v>
      </c>
      <c r="T1240">
        <f>IFERROR(VLOOKUP(A1240,Table1[[Customer ID]:[Discount Amount]], 6, FALSE),"Not Found")</f>
        <v>77</v>
      </c>
      <c r="U1240" t="str">
        <f t="shared" si="77"/>
        <v>Venmo</v>
      </c>
      <c r="V1240" s="4" t="str">
        <f t="shared" si="78"/>
        <v>Normal</v>
      </c>
      <c r="W1240" s="4" t="str">
        <f t="shared" si="79"/>
        <v>Good</v>
      </c>
      <c r="X1240" s="4">
        <f>AVERAGE(Table1[Purchase Amount])</f>
        <v>129.48419400000012</v>
      </c>
    </row>
    <row r="1241" spans="1:24" ht="15" customHeight="1" x14ac:dyDescent="0.25">
      <c r="A1241">
        <v>1240</v>
      </c>
      <c r="B1241">
        <v>62</v>
      </c>
      <c r="C1241" t="s">
        <v>27</v>
      </c>
      <c r="D1241" t="s">
        <v>76</v>
      </c>
      <c r="E1241" t="s">
        <v>77</v>
      </c>
      <c r="F1241" s="2">
        <v>37</v>
      </c>
      <c r="G1241" t="s">
        <v>131</v>
      </c>
      <c r="H1241" t="s">
        <v>20</v>
      </c>
      <c r="I1241" t="s">
        <v>87</v>
      </c>
      <c r="J1241" t="s">
        <v>33</v>
      </c>
      <c r="K1241">
        <v>4.8</v>
      </c>
      <c r="L1241" t="s">
        <v>23</v>
      </c>
      <c r="M1241" t="s">
        <v>24</v>
      </c>
      <c r="N1241" t="s">
        <v>34</v>
      </c>
      <c r="O1241">
        <v>32</v>
      </c>
      <c r="P1241" t="s">
        <v>36</v>
      </c>
      <c r="Q1241" t="s">
        <v>63</v>
      </c>
      <c r="R1241" s="1">
        <v>0.1</v>
      </c>
      <c r="S1241">
        <f t="shared" si="76"/>
        <v>33.299999999999997</v>
      </c>
      <c r="T1241">
        <f>IFERROR(VLOOKUP(A1241,Table1[[Customer ID]:[Discount Amount]], 6, FALSE),"Not Found")</f>
        <v>37</v>
      </c>
      <c r="U1241" t="str">
        <f t="shared" si="77"/>
        <v>Debit Card</v>
      </c>
      <c r="V1241" s="4" t="str">
        <f t="shared" si="78"/>
        <v>Normal</v>
      </c>
      <c r="W1241" s="4" t="str">
        <f t="shared" si="79"/>
        <v>Good</v>
      </c>
      <c r="X1241" s="4">
        <f>AVERAGE(Table1[Purchase Amount])</f>
        <v>129.48419400000012</v>
      </c>
    </row>
    <row r="1242" spans="1:24" ht="15" customHeight="1" x14ac:dyDescent="0.25">
      <c r="A1242">
        <v>1241</v>
      </c>
      <c r="B1242">
        <v>41</v>
      </c>
      <c r="C1242" t="s">
        <v>27</v>
      </c>
      <c r="D1242" t="s">
        <v>129</v>
      </c>
      <c r="E1242" t="s">
        <v>29</v>
      </c>
      <c r="F1242" s="2">
        <v>79</v>
      </c>
      <c r="G1242" t="s">
        <v>131</v>
      </c>
      <c r="H1242" t="s">
        <v>45</v>
      </c>
      <c r="I1242" t="s">
        <v>32</v>
      </c>
      <c r="J1242" t="s">
        <v>22</v>
      </c>
      <c r="K1242">
        <v>2.9</v>
      </c>
      <c r="L1242" t="s">
        <v>23</v>
      </c>
      <c r="M1242" t="s">
        <v>48</v>
      </c>
      <c r="N1242" t="s">
        <v>34</v>
      </c>
      <c r="O1242">
        <v>48</v>
      </c>
      <c r="P1242" t="s">
        <v>36</v>
      </c>
      <c r="Q1242" t="s">
        <v>49</v>
      </c>
      <c r="R1242" s="1">
        <v>0.1</v>
      </c>
      <c r="S1242">
        <f t="shared" si="76"/>
        <v>71.099999999999994</v>
      </c>
      <c r="T1242">
        <f>IFERROR(VLOOKUP(A1242,Table1[[Customer ID]:[Discount Amount]], 6, FALSE),"Not Found")</f>
        <v>79</v>
      </c>
      <c r="U1242" t="str">
        <f t="shared" si="77"/>
        <v>Debit Card</v>
      </c>
      <c r="V1242" s="4" t="str">
        <f t="shared" si="78"/>
        <v>Normal</v>
      </c>
      <c r="W1242" s="4" t="str">
        <f t="shared" si="79"/>
        <v>Poor</v>
      </c>
      <c r="X1242" s="4">
        <f>AVERAGE(Table1[Purchase Amount])</f>
        <v>129.48419400000012</v>
      </c>
    </row>
    <row r="1243" spans="1:24" ht="15" customHeight="1" x14ac:dyDescent="0.25">
      <c r="A1243">
        <v>1242</v>
      </c>
      <c r="B1243">
        <v>58</v>
      </c>
      <c r="C1243" t="s">
        <v>27</v>
      </c>
      <c r="D1243" t="s">
        <v>83</v>
      </c>
      <c r="E1243" t="s">
        <v>18</v>
      </c>
      <c r="F1243" s="2">
        <v>51</v>
      </c>
      <c r="G1243" t="s">
        <v>135</v>
      </c>
      <c r="H1243" t="s">
        <v>20</v>
      </c>
      <c r="I1243" t="s">
        <v>136</v>
      </c>
      <c r="J1243" t="s">
        <v>22</v>
      </c>
      <c r="K1243">
        <v>3.1</v>
      </c>
      <c r="L1243" t="s">
        <v>23</v>
      </c>
      <c r="M1243" t="s">
        <v>61</v>
      </c>
      <c r="N1243" t="s">
        <v>34</v>
      </c>
      <c r="O1243">
        <v>34</v>
      </c>
      <c r="P1243" t="s">
        <v>53</v>
      </c>
      <c r="Q1243" t="s">
        <v>26</v>
      </c>
      <c r="R1243" s="1">
        <v>0.1</v>
      </c>
      <c r="S1243">
        <f t="shared" si="76"/>
        <v>45.9</v>
      </c>
      <c r="T1243">
        <f>IFERROR(VLOOKUP(A1243,Table1[[Customer ID]:[Discount Amount]], 6, FALSE),"Not Found")</f>
        <v>51</v>
      </c>
      <c r="U1243" t="str">
        <f t="shared" si="77"/>
        <v>Credit Card</v>
      </c>
      <c r="V1243" s="4" t="str">
        <f t="shared" si="78"/>
        <v>Normal</v>
      </c>
      <c r="W1243" s="4" t="str">
        <f t="shared" si="79"/>
        <v>Good</v>
      </c>
      <c r="X1243" s="4">
        <f>AVERAGE(Table1[Purchase Amount])</f>
        <v>129.48419400000012</v>
      </c>
    </row>
    <row r="1244" spans="1:24" ht="15" customHeight="1" x14ac:dyDescent="0.25">
      <c r="A1244">
        <v>1243</v>
      </c>
      <c r="B1244">
        <v>56</v>
      </c>
      <c r="C1244" t="s">
        <v>27</v>
      </c>
      <c r="D1244" t="s">
        <v>105</v>
      </c>
      <c r="E1244" t="s">
        <v>18</v>
      </c>
      <c r="F1244" s="2">
        <v>27</v>
      </c>
      <c r="G1244" t="s">
        <v>158</v>
      </c>
      <c r="H1244" t="s">
        <v>31</v>
      </c>
      <c r="I1244" t="s">
        <v>107</v>
      </c>
      <c r="J1244" t="s">
        <v>57</v>
      </c>
      <c r="K1244">
        <v>4</v>
      </c>
      <c r="L1244" t="s">
        <v>23</v>
      </c>
      <c r="M1244" t="s">
        <v>79</v>
      </c>
      <c r="N1244" t="s">
        <v>34</v>
      </c>
      <c r="O1244">
        <v>15</v>
      </c>
      <c r="P1244" t="s">
        <v>88</v>
      </c>
      <c r="Q1244" t="s">
        <v>37</v>
      </c>
      <c r="R1244" s="1">
        <v>0.1</v>
      </c>
      <c r="S1244">
        <f t="shared" si="76"/>
        <v>24.3</v>
      </c>
      <c r="T1244">
        <f>IFERROR(VLOOKUP(A1244,Table1[[Customer ID]:[Discount Amount]], 6, FALSE),"Not Found")</f>
        <v>27</v>
      </c>
      <c r="U1244" t="str">
        <f t="shared" si="77"/>
        <v>Bank Transfer</v>
      </c>
      <c r="V1244" s="4" t="str">
        <f t="shared" si="78"/>
        <v>Normal</v>
      </c>
      <c r="W1244" s="4" t="str">
        <f t="shared" si="79"/>
        <v>Good</v>
      </c>
      <c r="X1244" s="4">
        <f>AVERAGE(Table1[Purchase Amount])</f>
        <v>129.48419400000012</v>
      </c>
    </row>
    <row r="1245" spans="1:24" ht="15" customHeight="1" x14ac:dyDescent="0.25">
      <c r="A1245">
        <v>1244</v>
      </c>
      <c r="B1245">
        <v>25</v>
      </c>
      <c r="C1245" t="s">
        <v>27</v>
      </c>
      <c r="D1245" t="s">
        <v>118</v>
      </c>
      <c r="E1245" t="s">
        <v>18</v>
      </c>
      <c r="F1245" s="2">
        <v>23</v>
      </c>
      <c r="G1245" t="s">
        <v>132</v>
      </c>
      <c r="H1245" t="s">
        <v>55</v>
      </c>
      <c r="I1245" t="s">
        <v>136</v>
      </c>
      <c r="J1245" t="s">
        <v>33</v>
      </c>
      <c r="K1245">
        <v>3</v>
      </c>
      <c r="L1245" t="s">
        <v>23</v>
      </c>
      <c r="M1245" t="s">
        <v>48</v>
      </c>
      <c r="N1245" t="s">
        <v>34</v>
      </c>
      <c r="O1245">
        <v>22</v>
      </c>
      <c r="P1245" t="s">
        <v>36</v>
      </c>
      <c r="Q1245" t="s">
        <v>49</v>
      </c>
      <c r="R1245" s="1">
        <v>0.1</v>
      </c>
      <c r="S1245">
        <f t="shared" si="76"/>
        <v>20.7</v>
      </c>
      <c r="T1245">
        <f>IFERROR(VLOOKUP(A1245,Table1[[Customer ID]:[Discount Amount]], 6, FALSE),"Not Found")</f>
        <v>23</v>
      </c>
      <c r="U1245" t="str">
        <f t="shared" si="77"/>
        <v>Debit Card</v>
      </c>
      <c r="V1245" s="4" t="str">
        <f t="shared" si="78"/>
        <v>Normal</v>
      </c>
      <c r="W1245" s="4" t="str">
        <f t="shared" si="79"/>
        <v>Good</v>
      </c>
      <c r="X1245" s="4">
        <f>AVERAGE(Table1[Purchase Amount])</f>
        <v>129.48419400000012</v>
      </c>
    </row>
    <row r="1246" spans="1:24" ht="15" customHeight="1" x14ac:dyDescent="0.25">
      <c r="A1246">
        <v>1245</v>
      </c>
      <c r="B1246">
        <v>70</v>
      </c>
      <c r="C1246" t="s">
        <v>27</v>
      </c>
      <c r="D1246" t="s">
        <v>105</v>
      </c>
      <c r="E1246" t="s">
        <v>18</v>
      </c>
      <c r="F1246" s="2">
        <v>76</v>
      </c>
      <c r="G1246" t="s">
        <v>102</v>
      </c>
      <c r="H1246" t="s">
        <v>55</v>
      </c>
      <c r="I1246" t="s">
        <v>153</v>
      </c>
      <c r="J1246" t="s">
        <v>57</v>
      </c>
      <c r="K1246">
        <v>3.9</v>
      </c>
      <c r="L1246" t="s">
        <v>23</v>
      </c>
      <c r="M1246" t="s">
        <v>41</v>
      </c>
      <c r="N1246" t="s">
        <v>34</v>
      </c>
      <c r="O1246">
        <v>2</v>
      </c>
      <c r="P1246" t="s">
        <v>25</v>
      </c>
      <c r="Q1246" t="s">
        <v>42</v>
      </c>
      <c r="R1246" s="1">
        <v>0.1</v>
      </c>
      <c r="S1246">
        <f t="shared" si="76"/>
        <v>68.400000000000006</v>
      </c>
      <c r="T1246">
        <f>IFERROR(VLOOKUP(A1246,Table1[[Customer ID]:[Discount Amount]], 6, FALSE),"Not Found")</f>
        <v>76</v>
      </c>
      <c r="U1246" t="str">
        <f t="shared" si="77"/>
        <v>Cash</v>
      </c>
      <c r="V1246" s="4" t="str">
        <f t="shared" si="78"/>
        <v>Normal</v>
      </c>
      <c r="W1246" s="4" t="str">
        <f t="shared" si="79"/>
        <v>Good</v>
      </c>
      <c r="X1246" s="4">
        <f>AVERAGE(Table1[Purchase Amount])</f>
        <v>129.48419400000012</v>
      </c>
    </row>
    <row r="1247" spans="1:24" ht="15" customHeight="1" x14ac:dyDescent="0.25">
      <c r="A1247">
        <v>1246</v>
      </c>
      <c r="B1247">
        <v>42</v>
      </c>
      <c r="C1247" t="s">
        <v>27</v>
      </c>
      <c r="D1247" t="s">
        <v>157</v>
      </c>
      <c r="E1247" t="s">
        <v>18</v>
      </c>
      <c r="F1247" s="2">
        <v>31</v>
      </c>
      <c r="G1247" t="s">
        <v>101</v>
      </c>
      <c r="H1247" t="s">
        <v>31</v>
      </c>
      <c r="I1247" t="s">
        <v>111</v>
      </c>
      <c r="J1247" t="s">
        <v>47</v>
      </c>
      <c r="K1247">
        <v>3.4</v>
      </c>
      <c r="L1247" t="s">
        <v>23</v>
      </c>
      <c r="M1247" t="s">
        <v>24</v>
      </c>
      <c r="N1247" t="s">
        <v>34</v>
      </c>
      <c r="O1247">
        <v>30</v>
      </c>
      <c r="P1247" t="s">
        <v>88</v>
      </c>
      <c r="Q1247" t="s">
        <v>26</v>
      </c>
      <c r="R1247" s="1">
        <v>0.1</v>
      </c>
      <c r="S1247">
        <f t="shared" si="76"/>
        <v>27.9</v>
      </c>
      <c r="T1247">
        <f>IFERROR(VLOOKUP(A1247,Table1[[Customer ID]:[Discount Amount]], 6, FALSE),"Not Found")</f>
        <v>31</v>
      </c>
      <c r="U1247" t="str">
        <f t="shared" si="77"/>
        <v>Bank Transfer</v>
      </c>
      <c r="V1247" s="4" t="str">
        <f t="shared" si="78"/>
        <v>Normal</v>
      </c>
      <c r="W1247" s="4" t="str">
        <f t="shared" si="79"/>
        <v>Good</v>
      </c>
      <c r="X1247" s="4">
        <f>AVERAGE(Table1[Purchase Amount])</f>
        <v>129.48419400000012</v>
      </c>
    </row>
    <row r="1248" spans="1:24" ht="15" customHeight="1" x14ac:dyDescent="0.25">
      <c r="A1248">
        <v>1247</v>
      </c>
      <c r="B1248">
        <v>27</v>
      </c>
      <c r="C1248" t="s">
        <v>27</v>
      </c>
      <c r="D1248" t="s">
        <v>83</v>
      </c>
      <c r="E1248" t="s">
        <v>18</v>
      </c>
      <c r="F1248" s="2">
        <v>60</v>
      </c>
      <c r="G1248" t="s">
        <v>119</v>
      </c>
      <c r="H1248" t="s">
        <v>31</v>
      </c>
      <c r="I1248" t="s">
        <v>103</v>
      </c>
      <c r="J1248" t="s">
        <v>22</v>
      </c>
      <c r="K1248">
        <v>2.7</v>
      </c>
      <c r="L1248" t="s">
        <v>23</v>
      </c>
      <c r="M1248" t="s">
        <v>24</v>
      </c>
      <c r="N1248" t="s">
        <v>34</v>
      </c>
      <c r="O1248">
        <v>27</v>
      </c>
      <c r="P1248" t="s">
        <v>25</v>
      </c>
      <c r="Q1248" t="s">
        <v>42</v>
      </c>
      <c r="R1248" s="1">
        <v>0.1</v>
      </c>
      <c r="S1248">
        <f t="shared" si="76"/>
        <v>54</v>
      </c>
      <c r="T1248">
        <f>IFERROR(VLOOKUP(A1248,Table1[[Customer ID]:[Discount Amount]], 6, FALSE),"Not Found")</f>
        <v>60</v>
      </c>
      <c r="U1248" t="str">
        <f t="shared" si="77"/>
        <v>Cash</v>
      </c>
      <c r="V1248" s="4" t="str">
        <f t="shared" si="78"/>
        <v>Normal</v>
      </c>
      <c r="W1248" s="4" t="str">
        <f t="shared" si="79"/>
        <v>Poor</v>
      </c>
      <c r="X1248" s="4">
        <f>AVERAGE(Table1[Purchase Amount])</f>
        <v>129.48419400000012</v>
      </c>
    </row>
    <row r="1249" spans="1:24" ht="15" customHeight="1" x14ac:dyDescent="0.25">
      <c r="A1249">
        <v>1248</v>
      </c>
      <c r="B1249">
        <v>65</v>
      </c>
      <c r="C1249" t="s">
        <v>27</v>
      </c>
      <c r="D1249" t="s">
        <v>17</v>
      </c>
      <c r="E1249" t="s">
        <v>18</v>
      </c>
      <c r="F1249" s="2">
        <v>99</v>
      </c>
      <c r="G1249" t="s">
        <v>138</v>
      </c>
      <c r="H1249" t="s">
        <v>31</v>
      </c>
      <c r="I1249" t="s">
        <v>103</v>
      </c>
      <c r="J1249" t="s">
        <v>33</v>
      </c>
      <c r="K1249">
        <v>1</v>
      </c>
      <c r="L1249" t="s">
        <v>23</v>
      </c>
      <c r="M1249" t="s">
        <v>61</v>
      </c>
      <c r="N1249" t="s">
        <v>34</v>
      </c>
      <c r="O1249">
        <v>18</v>
      </c>
      <c r="P1249" t="s">
        <v>62</v>
      </c>
      <c r="Q1249" t="s">
        <v>68</v>
      </c>
      <c r="R1249" s="1">
        <v>0.1</v>
      </c>
      <c r="S1249">
        <f t="shared" si="76"/>
        <v>89.1</v>
      </c>
      <c r="T1249">
        <f>IFERROR(VLOOKUP(A1249,Table1[[Customer ID]:[Discount Amount]], 6, FALSE),"Not Found")</f>
        <v>99</v>
      </c>
      <c r="U1249" t="str">
        <f t="shared" si="77"/>
        <v>Venmo</v>
      </c>
      <c r="V1249" s="4" t="str">
        <f t="shared" si="78"/>
        <v>Normal</v>
      </c>
      <c r="W1249" s="4" t="str">
        <f t="shared" si="79"/>
        <v>Poor</v>
      </c>
      <c r="X1249" s="4">
        <f>AVERAGE(Table1[Purchase Amount])</f>
        <v>129.48419400000012</v>
      </c>
    </row>
    <row r="1250" spans="1:24" ht="15" customHeight="1" x14ac:dyDescent="0.25">
      <c r="A1250">
        <v>1249</v>
      </c>
      <c r="B1250">
        <v>62</v>
      </c>
      <c r="C1250" t="s">
        <v>27</v>
      </c>
      <c r="D1250" t="s">
        <v>64</v>
      </c>
      <c r="E1250" t="s">
        <v>29</v>
      </c>
      <c r="F1250" s="2">
        <v>37</v>
      </c>
      <c r="G1250" t="s">
        <v>59</v>
      </c>
      <c r="H1250" t="s">
        <v>20</v>
      </c>
      <c r="I1250" t="s">
        <v>46</v>
      </c>
      <c r="J1250" t="s">
        <v>22</v>
      </c>
      <c r="K1250">
        <v>3</v>
      </c>
      <c r="L1250" t="s">
        <v>23</v>
      </c>
      <c r="M1250" t="s">
        <v>35</v>
      </c>
      <c r="N1250" t="s">
        <v>34</v>
      </c>
      <c r="O1250">
        <v>8</v>
      </c>
      <c r="P1250" t="s">
        <v>53</v>
      </c>
      <c r="Q1250" t="s">
        <v>49</v>
      </c>
      <c r="R1250" s="1">
        <v>0.1</v>
      </c>
      <c r="S1250">
        <f t="shared" si="76"/>
        <v>33.299999999999997</v>
      </c>
      <c r="T1250">
        <f>IFERROR(VLOOKUP(A1250,Table1[[Customer ID]:[Discount Amount]], 6, FALSE),"Not Found")</f>
        <v>37</v>
      </c>
      <c r="U1250" t="str">
        <f t="shared" si="77"/>
        <v>Credit Card</v>
      </c>
      <c r="V1250" s="4" t="str">
        <f t="shared" si="78"/>
        <v>Normal</v>
      </c>
      <c r="W1250" s="4" t="str">
        <f t="shared" si="79"/>
        <v>Good</v>
      </c>
      <c r="X1250" s="4">
        <f>AVERAGE(Table1[Purchase Amount])</f>
        <v>129.48419400000012</v>
      </c>
    </row>
    <row r="1251" spans="1:24" ht="15" customHeight="1" x14ac:dyDescent="0.25">
      <c r="A1251">
        <v>1250</v>
      </c>
      <c r="B1251">
        <v>62</v>
      </c>
      <c r="C1251" t="s">
        <v>27</v>
      </c>
      <c r="D1251" t="s">
        <v>151</v>
      </c>
      <c r="E1251" t="s">
        <v>98</v>
      </c>
      <c r="F1251" s="2">
        <v>50</v>
      </c>
      <c r="G1251" t="s">
        <v>123</v>
      </c>
      <c r="H1251" t="s">
        <v>31</v>
      </c>
      <c r="I1251" t="s">
        <v>145</v>
      </c>
      <c r="J1251" t="s">
        <v>22</v>
      </c>
      <c r="K1251">
        <v>4.5</v>
      </c>
      <c r="L1251" t="s">
        <v>23</v>
      </c>
      <c r="M1251" t="s">
        <v>61</v>
      </c>
      <c r="N1251" t="s">
        <v>34</v>
      </c>
      <c r="O1251">
        <v>48</v>
      </c>
      <c r="P1251" t="s">
        <v>62</v>
      </c>
      <c r="Q1251" t="s">
        <v>89</v>
      </c>
      <c r="R1251" s="1">
        <v>0.1</v>
      </c>
      <c r="S1251">
        <f t="shared" si="76"/>
        <v>45</v>
      </c>
      <c r="T1251">
        <f>IFERROR(VLOOKUP(A1251,Table1[[Customer ID]:[Discount Amount]], 6, FALSE),"Not Found")</f>
        <v>50</v>
      </c>
      <c r="U1251" t="str">
        <f t="shared" si="77"/>
        <v>Venmo</v>
      </c>
      <c r="V1251" s="4" t="str">
        <f t="shared" si="78"/>
        <v>Normal</v>
      </c>
      <c r="W1251" s="4" t="str">
        <f t="shared" si="79"/>
        <v>Good</v>
      </c>
      <c r="X1251" s="4">
        <f>AVERAGE(Table1[Purchase Amount])</f>
        <v>129.48419400000012</v>
      </c>
    </row>
    <row r="1252" spans="1:24" ht="15" customHeight="1" x14ac:dyDescent="0.25">
      <c r="A1252">
        <v>1251</v>
      </c>
      <c r="B1252">
        <v>52</v>
      </c>
      <c r="C1252" t="s">
        <v>27</v>
      </c>
      <c r="D1252" t="s">
        <v>109</v>
      </c>
      <c r="E1252" t="s">
        <v>18</v>
      </c>
      <c r="F1252" s="2">
        <v>26</v>
      </c>
      <c r="G1252" t="s">
        <v>132</v>
      </c>
      <c r="H1252" t="s">
        <v>20</v>
      </c>
      <c r="I1252" t="s">
        <v>66</v>
      </c>
      <c r="J1252" t="s">
        <v>22</v>
      </c>
      <c r="K1252">
        <v>4.0999999999999996</v>
      </c>
      <c r="L1252" t="s">
        <v>23</v>
      </c>
      <c r="M1252" t="s">
        <v>35</v>
      </c>
      <c r="N1252" t="s">
        <v>34</v>
      </c>
      <c r="O1252">
        <v>24</v>
      </c>
      <c r="P1252" t="s">
        <v>25</v>
      </c>
      <c r="Q1252" t="s">
        <v>42</v>
      </c>
      <c r="R1252" s="1">
        <v>0.1</v>
      </c>
      <c r="S1252">
        <f t="shared" si="76"/>
        <v>23.4</v>
      </c>
      <c r="T1252">
        <f>IFERROR(VLOOKUP(A1252,Table1[[Customer ID]:[Discount Amount]], 6, FALSE),"Not Found")</f>
        <v>26</v>
      </c>
      <c r="U1252" t="str">
        <f t="shared" si="77"/>
        <v>Cash</v>
      </c>
      <c r="V1252" s="4" t="str">
        <f t="shared" si="78"/>
        <v>Normal</v>
      </c>
      <c r="W1252" s="4" t="str">
        <f t="shared" si="79"/>
        <v>Good</v>
      </c>
      <c r="X1252" s="4">
        <f>AVERAGE(Table1[Purchase Amount])</f>
        <v>129.48419400000012</v>
      </c>
    </row>
    <row r="1253" spans="1:24" ht="15" customHeight="1" x14ac:dyDescent="0.25">
      <c r="A1253">
        <v>1252</v>
      </c>
      <c r="B1253">
        <v>56</v>
      </c>
      <c r="C1253" t="s">
        <v>27</v>
      </c>
      <c r="D1253" t="s">
        <v>54</v>
      </c>
      <c r="E1253" t="s">
        <v>18</v>
      </c>
      <c r="F1253" s="2">
        <v>86</v>
      </c>
      <c r="G1253" t="s">
        <v>102</v>
      </c>
      <c r="H1253" t="s">
        <v>20</v>
      </c>
      <c r="I1253" t="s">
        <v>108</v>
      </c>
      <c r="J1253" t="s">
        <v>33</v>
      </c>
      <c r="K1253">
        <v>5</v>
      </c>
      <c r="L1253" t="s">
        <v>23</v>
      </c>
      <c r="M1253" t="s">
        <v>79</v>
      </c>
      <c r="N1253" t="s">
        <v>34</v>
      </c>
      <c r="O1253">
        <v>43</v>
      </c>
      <c r="P1253" t="s">
        <v>53</v>
      </c>
      <c r="Q1253" t="s">
        <v>42</v>
      </c>
      <c r="R1253" s="1">
        <v>0.1</v>
      </c>
      <c r="S1253">
        <f t="shared" si="76"/>
        <v>77.400000000000006</v>
      </c>
      <c r="T1253">
        <f>IFERROR(VLOOKUP(A1253,Table1[[Customer ID]:[Discount Amount]], 6, FALSE),"Not Found")</f>
        <v>86</v>
      </c>
      <c r="U1253" t="str">
        <f t="shared" si="77"/>
        <v>Credit Card</v>
      </c>
      <c r="V1253" s="4" t="str">
        <f t="shared" si="78"/>
        <v>Normal</v>
      </c>
      <c r="W1253" s="4" t="str">
        <f t="shared" si="79"/>
        <v>Good</v>
      </c>
      <c r="X1253" s="4">
        <f>AVERAGE(Table1[Purchase Amount])</f>
        <v>129.48419400000012</v>
      </c>
    </row>
    <row r="1254" spans="1:24" ht="15" customHeight="1" x14ac:dyDescent="0.25">
      <c r="A1254">
        <v>1253</v>
      </c>
      <c r="B1254">
        <v>28</v>
      </c>
      <c r="C1254" t="s">
        <v>27</v>
      </c>
      <c r="D1254" t="s">
        <v>121</v>
      </c>
      <c r="E1254" t="s">
        <v>98</v>
      </c>
      <c r="F1254" s="2">
        <v>41</v>
      </c>
      <c r="G1254" t="s">
        <v>97</v>
      </c>
      <c r="H1254" t="s">
        <v>45</v>
      </c>
      <c r="I1254" t="s">
        <v>87</v>
      </c>
      <c r="J1254" t="s">
        <v>47</v>
      </c>
      <c r="K1254">
        <v>4</v>
      </c>
      <c r="L1254" t="s">
        <v>23</v>
      </c>
      <c r="M1254" t="s">
        <v>24</v>
      </c>
      <c r="N1254" t="s">
        <v>34</v>
      </c>
      <c r="O1254">
        <v>8</v>
      </c>
      <c r="P1254" t="s">
        <v>25</v>
      </c>
      <c r="Q1254" t="s">
        <v>37</v>
      </c>
      <c r="R1254" s="1">
        <v>0.1</v>
      </c>
      <c r="S1254">
        <f t="shared" si="76"/>
        <v>36.9</v>
      </c>
      <c r="T1254">
        <f>IFERROR(VLOOKUP(A1254,Table1[[Customer ID]:[Discount Amount]], 6, FALSE),"Not Found")</f>
        <v>41</v>
      </c>
      <c r="U1254" t="str">
        <f t="shared" si="77"/>
        <v>Cash</v>
      </c>
      <c r="V1254" s="4" t="str">
        <f t="shared" si="78"/>
        <v>Normal</v>
      </c>
      <c r="W1254" s="4" t="str">
        <f t="shared" si="79"/>
        <v>Good</v>
      </c>
      <c r="X1254" s="4">
        <f>AVERAGE(Table1[Purchase Amount])</f>
        <v>129.48419400000012</v>
      </c>
    </row>
    <row r="1255" spans="1:24" ht="15" customHeight="1" x14ac:dyDescent="0.25">
      <c r="A1255">
        <v>1254</v>
      </c>
      <c r="B1255">
        <v>39</v>
      </c>
      <c r="C1255" t="s">
        <v>27</v>
      </c>
      <c r="D1255" t="s">
        <v>121</v>
      </c>
      <c r="E1255" t="s">
        <v>98</v>
      </c>
      <c r="F1255" s="2">
        <v>23</v>
      </c>
      <c r="G1255" t="s">
        <v>39</v>
      </c>
      <c r="H1255" t="s">
        <v>20</v>
      </c>
      <c r="I1255" t="s">
        <v>46</v>
      </c>
      <c r="J1255" t="s">
        <v>22</v>
      </c>
      <c r="K1255">
        <v>4.9000000000000004</v>
      </c>
      <c r="L1255" t="s">
        <v>23</v>
      </c>
      <c r="M1255" t="s">
        <v>61</v>
      </c>
      <c r="N1255" t="s">
        <v>34</v>
      </c>
      <c r="O1255">
        <v>49</v>
      </c>
      <c r="P1255" t="s">
        <v>58</v>
      </c>
      <c r="Q1255" t="s">
        <v>49</v>
      </c>
      <c r="R1255" s="1">
        <v>0.1</v>
      </c>
      <c r="S1255">
        <f t="shared" si="76"/>
        <v>20.7</v>
      </c>
      <c r="T1255">
        <f>IFERROR(VLOOKUP(A1255,Table1[[Customer ID]:[Discount Amount]], 6, FALSE),"Not Found")</f>
        <v>23</v>
      </c>
      <c r="U1255" t="str">
        <f t="shared" si="77"/>
        <v>PayPal</v>
      </c>
      <c r="V1255" s="4" t="str">
        <f t="shared" si="78"/>
        <v>Normal</v>
      </c>
      <c r="W1255" s="4" t="str">
        <f t="shared" si="79"/>
        <v>Good</v>
      </c>
      <c r="X1255" s="4">
        <f>AVERAGE(Table1[Purchase Amount])</f>
        <v>129.48419400000012</v>
      </c>
    </row>
    <row r="1256" spans="1:24" ht="15" customHeight="1" x14ac:dyDescent="0.25">
      <c r="A1256">
        <v>1255</v>
      </c>
      <c r="B1256">
        <v>54</v>
      </c>
      <c r="C1256" t="s">
        <v>27</v>
      </c>
      <c r="D1256" t="s">
        <v>140</v>
      </c>
      <c r="E1256" t="s">
        <v>98</v>
      </c>
      <c r="F1256" s="2">
        <v>56</v>
      </c>
      <c r="G1256" t="s">
        <v>19</v>
      </c>
      <c r="H1256" t="s">
        <v>20</v>
      </c>
      <c r="I1256" t="s">
        <v>40</v>
      </c>
      <c r="J1256" t="s">
        <v>33</v>
      </c>
      <c r="K1256">
        <v>3.3</v>
      </c>
      <c r="L1256" t="s">
        <v>23</v>
      </c>
      <c r="M1256" t="s">
        <v>41</v>
      </c>
      <c r="N1256" t="s">
        <v>34</v>
      </c>
      <c r="O1256">
        <v>2</v>
      </c>
      <c r="P1256" t="s">
        <v>53</v>
      </c>
      <c r="Q1256" t="s">
        <v>68</v>
      </c>
      <c r="R1256" s="1">
        <v>0.1</v>
      </c>
      <c r="S1256">
        <f t="shared" si="76"/>
        <v>50.4</v>
      </c>
      <c r="T1256">
        <f>IFERROR(VLOOKUP(A1256,Table1[[Customer ID]:[Discount Amount]], 6, FALSE),"Not Found")</f>
        <v>56</v>
      </c>
      <c r="U1256" t="str">
        <f t="shared" si="77"/>
        <v>Credit Card</v>
      </c>
      <c r="V1256" s="4" t="str">
        <f t="shared" si="78"/>
        <v>Normal</v>
      </c>
      <c r="W1256" s="4" t="str">
        <f t="shared" si="79"/>
        <v>Good</v>
      </c>
      <c r="X1256" s="4">
        <f>AVERAGE(Table1[Purchase Amount])</f>
        <v>129.48419400000012</v>
      </c>
    </row>
    <row r="1257" spans="1:24" ht="15" customHeight="1" x14ac:dyDescent="0.25">
      <c r="A1257">
        <v>1256</v>
      </c>
      <c r="B1257">
        <v>30</v>
      </c>
      <c r="C1257" t="s">
        <v>27</v>
      </c>
      <c r="D1257" t="s">
        <v>64</v>
      </c>
      <c r="E1257" t="s">
        <v>29</v>
      </c>
      <c r="F1257" s="2">
        <v>68</v>
      </c>
      <c r="G1257" t="s">
        <v>102</v>
      </c>
      <c r="H1257" t="s">
        <v>31</v>
      </c>
      <c r="I1257" t="s">
        <v>145</v>
      </c>
      <c r="J1257" t="s">
        <v>47</v>
      </c>
      <c r="K1257">
        <v>4.0999999999999996</v>
      </c>
      <c r="L1257" t="s">
        <v>23</v>
      </c>
      <c r="M1257" t="s">
        <v>24</v>
      </c>
      <c r="N1257" t="s">
        <v>34</v>
      </c>
      <c r="O1257">
        <v>38</v>
      </c>
      <c r="P1257" t="s">
        <v>25</v>
      </c>
      <c r="Q1257" t="s">
        <v>89</v>
      </c>
      <c r="R1257" s="1">
        <v>0.1</v>
      </c>
      <c r="S1257">
        <f t="shared" si="76"/>
        <v>61.2</v>
      </c>
      <c r="T1257">
        <f>IFERROR(VLOOKUP(A1257,Table1[[Customer ID]:[Discount Amount]], 6, FALSE),"Not Found")</f>
        <v>68</v>
      </c>
      <c r="U1257" t="str">
        <f t="shared" si="77"/>
        <v>Cash</v>
      </c>
      <c r="V1257" s="4" t="str">
        <f t="shared" si="78"/>
        <v>Normal</v>
      </c>
      <c r="W1257" s="4" t="str">
        <f t="shared" si="79"/>
        <v>Good</v>
      </c>
      <c r="X1257" s="4">
        <f>AVERAGE(Table1[Purchase Amount])</f>
        <v>129.48419400000012</v>
      </c>
    </row>
    <row r="1258" spans="1:24" ht="15" customHeight="1" x14ac:dyDescent="0.25">
      <c r="A1258">
        <v>1257</v>
      </c>
      <c r="B1258">
        <v>45</v>
      </c>
      <c r="C1258" t="s">
        <v>27</v>
      </c>
      <c r="D1258" t="s">
        <v>76</v>
      </c>
      <c r="E1258" t="s">
        <v>77</v>
      </c>
      <c r="F1258" s="2">
        <v>48</v>
      </c>
      <c r="G1258" t="s">
        <v>154</v>
      </c>
      <c r="H1258" t="s">
        <v>55</v>
      </c>
      <c r="I1258" t="s">
        <v>21</v>
      </c>
      <c r="J1258" t="s">
        <v>22</v>
      </c>
      <c r="K1258">
        <v>3.6</v>
      </c>
      <c r="L1258" t="s">
        <v>23</v>
      </c>
      <c r="M1258" t="s">
        <v>61</v>
      </c>
      <c r="N1258" t="s">
        <v>34</v>
      </c>
      <c r="O1258">
        <v>4</v>
      </c>
      <c r="P1258" t="s">
        <v>25</v>
      </c>
      <c r="Q1258" t="s">
        <v>89</v>
      </c>
      <c r="R1258" s="1">
        <v>0.1</v>
      </c>
      <c r="S1258">
        <f t="shared" si="76"/>
        <v>43.2</v>
      </c>
      <c r="T1258">
        <f>IFERROR(VLOOKUP(A1258,Table1[[Customer ID]:[Discount Amount]], 6, FALSE),"Not Found")</f>
        <v>48</v>
      </c>
      <c r="U1258" t="str">
        <f t="shared" si="77"/>
        <v>Cash</v>
      </c>
      <c r="V1258" s="4" t="str">
        <f t="shared" si="78"/>
        <v>Normal</v>
      </c>
      <c r="W1258" s="4" t="str">
        <f t="shared" si="79"/>
        <v>Good</v>
      </c>
      <c r="X1258" s="4">
        <f>AVERAGE(Table1[Purchase Amount])</f>
        <v>129.48419400000012</v>
      </c>
    </row>
    <row r="1259" spans="1:24" ht="15" customHeight="1" x14ac:dyDescent="0.25">
      <c r="A1259">
        <v>1258</v>
      </c>
      <c r="B1259">
        <v>68</v>
      </c>
      <c r="C1259" t="s">
        <v>27</v>
      </c>
      <c r="D1259" t="s">
        <v>157</v>
      </c>
      <c r="E1259" t="s">
        <v>18</v>
      </c>
      <c r="F1259" s="2">
        <v>67</v>
      </c>
      <c r="G1259" t="s">
        <v>120</v>
      </c>
      <c r="H1259" t="s">
        <v>45</v>
      </c>
      <c r="I1259" t="s">
        <v>133</v>
      </c>
      <c r="J1259" t="s">
        <v>33</v>
      </c>
      <c r="K1259">
        <v>3</v>
      </c>
      <c r="L1259" t="s">
        <v>23</v>
      </c>
      <c r="M1259" t="s">
        <v>35</v>
      </c>
      <c r="N1259" t="s">
        <v>34</v>
      </c>
      <c r="O1259">
        <v>31</v>
      </c>
      <c r="P1259" t="s">
        <v>25</v>
      </c>
      <c r="Q1259" t="s">
        <v>63</v>
      </c>
      <c r="R1259" s="1">
        <v>0.1</v>
      </c>
      <c r="S1259">
        <f t="shared" si="76"/>
        <v>60.3</v>
      </c>
      <c r="T1259">
        <f>IFERROR(VLOOKUP(A1259,Table1[[Customer ID]:[Discount Amount]], 6, FALSE),"Not Found")</f>
        <v>67</v>
      </c>
      <c r="U1259" t="str">
        <f t="shared" si="77"/>
        <v>Cash</v>
      </c>
      <c r="V1259" s="4" t="str">
        <f t="shared" si="78"/>
        <v>Normal</v>
      </c>
      <c r="W1259" s="4" t="str">
        <f t="shared" si="79"/>
        <v>Good</v>
      </c>
      <c r="X1259" s="4">
        <f>AVERAGE(Table1[Purchase Amount])</f>
        <v>129.48419400000012</v>
      </c>
    </row>
    <row r="1260" spans="1:24" ht="15" customHeight="1" x14ac:dyDescent="0.25">
      <c r="A1260">
        <v>1259</v>
      </c>
      <c r="B1260">
        <v>47</v>
      </c>
      <c r="C1260" t="s">
        <v>27</v>
      </c>
      <c r="D1260" t="s">
        <v>151</v>
      </c>
      <c r="E1260" t="s">
        <v>98</v>
      </c>
      <c r="F1260" s="2">
        <v>87</v>
      </c>
      <c r="G1260" t="s">
        <v>90</v>
      </c>
      <c r="H1260" t="s">
        <v>20</v>
      </c>
      <c r="I1260" t="s">
        <v>133</v>
      </c>
      <c r="J1260" t="s">
        <v>33</v>
      </c>
      <c r="K1260">
        <v>4.0999999999999996</v>
      </c>
      <c r="L1260" t="s">
        <v>23</v>
      </c>
      <c r="M1260" t="s">
        <v>41</v>
      </c>
      <c r="N1260" t="s">
        <v>34</v>
      </c>
      <c r="O1260">
        <v>34</v>
      </c>
      <c r="P1260" t="s">
        <v>36</v>
      </c>
      <c r="Q1260" t="s">
        <v>63</v>
      </c>
      <c r="R1260" s="1">
        <v>0.1</v>
      </c>
      <c r="S1260">
        <f t="shared" si="76"/>
        <v>78.3</v>
      </c>
      <c r="T1260">
        <f>IFERROR(VLOOKUP(A1260,Table1[[Customer ID]:[Discount Amount]], 6, FALSE),"Not Found")</f>
        <v>87</v>
      </c>
      <c r="U1260" t="str">
        <f t="shared" si="77"/>
        <v>Debit Card</v>
      </c>
      <c r="V1260" s="4" t="str">
        <f t="shared" si="78"/>
        <v>Normal</v>
      </c>
      <c r="W1260" s="4" t="str">
        <f t="shared" si="79"/>
        <v>Good</v>
      </c>
      <c r="X1260" s="4">
        <f>AVERAGE(Table1[Purchase Amount])</f>
        <v>129.48419400000012</v>
      </c>
    </row>
    <row r="1261" spans="1:24" ht="15" customHeight="1" x14ac:dyDescent="0.25">
      <c r="A1261">
        <v>1260</v>
      </c>
      <c r="B1261">
        <v>68</v>
      </c>
      <c r="C1261" t="s">
        <v>27</v>
      </c>
      <c r="D1261" t="s">
        <v>122</v>
      </c>
      <c r="E1261" t="s">
        <v>18</v>
      </c>
      <c r="F1261" s="2">
        <v>64</v>
      </c>
      <c r="G1261" t="s">
        <v>120</v>
      </c>
      <c r="H1261" t="s">
        <v>31</v>
      </c>
      <c r="I1261" t="s">
        <v>156</v>
      </c>
      <c r="J1261" t="s">
        <v>47</v>
      </c>
      <c r="K1261">
        <v>3.9</v>
      </c>
      <c r="L1261" t="s">
        <v>23</v>
      </c>
      <c r="M1261" t="s">
        <v>24</v>
      </c>
      <c r="N1261" t="s">
        <v>34</v>
      </c>
      <c r="O1261">
        <v>45</v>
      </c>
      <c r="P1261" t="s">
        <v>53</v>
      </c>
      <c r="Q1261" t="s">
        <v>42</v>
      </c>
      <c r="R1261" s="1">
        <v>0.1</v>
      </c>
      <c r="S1261">
        <f t="shared" si="76"/>
        <v>57.6</v>
      </c>
      <c r="T1261">
        <f>IFERROR(VLOOKUP(A1261,Table1[[Customer ID]:[Discount Amount]], 6, FALSE),"Not Found")</f>
        <v>64</v>
      </c>
      <c r="U1261" t="str">
        <f t="shared" si="77"/>
        <v>Credit Card</v>
      </c>
      <c r="V1261" s="4" t="str">
        <f t="shared" si="78"/>
        <v>Normal</v>
      </c>
      <c r="W1261" s="4" t="str">
        <f t="shared" si="79"/>
        <v>Good</v>
      </c>
      <c r="X1261" s="4">
        <f>AVERAGE(Table1[Purchase Amount])</f>
        <v>129.48419400000012</v>
      </c>
    </row>
    <row r="1262" spans="1:24" ht="15" customHeight="1" x14ac:dyDescent="0.25">
      <c r="A1262">
        <v>1261</v>
      </c>
      <c r="B1262">
        <v>63</v>
      </c>
      <c r="C1262" t="s">
        <v>27</v>
      </c>
      <c r="D1262" t="s">
        <v>38</v>
      </c>
      <c r="E1262" t="s">
        <v>18</v>
      </c>
      <c r="F1262" s="2">
        <v>93</v>
      </c>
      <c r="G1262" t="s">
        <v>138</v>
      </c>
      <c r="H1262" t="s">
        <v>20</v>
      </c>
      <c r="I1262" t="s">
        <v>93</v>
      </c>
      <c r="J1262" t="s">
        <v>33</v>
      </c>
      <c r="K1262">
        <v>4.0999999999999996</v>
      </c>
      <c r="L1262" t="s">
        <v>23</v>
      </c>
      <c r="M1262" t="s">
        <v>48</v>
      </c>
      <c r="N1262" t="s">
        <v>34</v>
      </c>
      <c r="O1262">
        <v>30</v>
      </c>
      <c r="P1262" t="s">
        <v>36</v>
      </c>
      <c r="Q1262" t="s">
        <v>37</v>
      </c>
      <c r="R1262" s="1">
        <v>0.1</v>
      </c>
      <c r="S1262">
        <f t="shared" si="76"/>
        <v>83.7</v>
      </c>
      <c r="T1262">
        <f>IFERROR(VLOOKUP(A1262,Table1[[Customer ID]:[Discount Amount]], 6, FALSE),"Not Found")</f>
        <v>93</v>
      </c>
      <c r="U1262" t="str">
        <f t="shared" si="77"/>
        <v>Debit Card</v>
      </c>
      <c r="V1262" s="4" t="str">
        <f t="shared" si="78"/>
        <v>Normal</v>
      </c>
      <c r="W1262" s="4" t="str">
        <f t="shared" si="79"/>
        <v>Good</v>
      </c>
      <c r="X1262" s="4">
        <f>AVERAGE(Table1[Purchase Amount])</f>
        <v>129.48419400000012</v>
      </c>
    </row>
    <row r="1263" spans="1:24" ht="15" customHeight="1" x14ac:dyDescent="0.25">
      <c r="A1263">
        <v>1262</v>
      </c>
      <c r="B1263">
        <v>20</v>
      </c>
      <c r="C1263" t="s">
        <v>27</v>
      </c>
      <c r="D1263" t="s">
        <v>38</v>
      </c>
      <c r="E1263" t="s">
        <v>18</v>
      </c>
      <c r="F1263" s="2">
        <v>29</v>
      </c>
      <c r="G1263" t="s">
        <v>115</v>
      </c>
      <c r="H1263" t="s">
        <v>45</v>
      </c>
      <c r="I1263" t="s">
        <v>125</v>
      </c>
      <c r="J1263" t="s">
        <v>57</v>
      </c>
      <c r="K1263">
        <v>2.8</v>
      </c>
      <c r="L1263" t="s">
        <v>23</v>
      </c>
      <c r="M1263" t="s">
        <v>79</v>
      </c>
      <c r="N1263" t="s">
        <v>34</v>
      </c>
      <c r="O1263">
        <v>2</v>
      </c>
      <c r="P1263" t="s">
        <v>53</v>
      </c>
      <c r="Q1263" t="s">
        <v>89</v>
      </c>
      <c r="R1263" s="1">
        <v>0.1</v>
      </c>
      <c r="S1263">
        <f t="shared" si="76"/>
        <v>26.1</v>
      </c>
      <c r="T1263">
        <f>IFERROR(VLOOKUP(A1263,Table1[[Customer ID]:[Discount Amount]], 6, FALSE),"Not Found")</f>
        <v>29</v>
      </c>
      <c r="U1263" t="str">
        <f t="shared" si="77"/>
        <v>Credit Card</v>
      </c>
      <c r="V1263" s="4" t="str">
        <f t="shared" si="78"/>
        <v>Normal</v>
      </c>
      <c r="W1263" s="4" t="str">
        <f t="shared" si="79"/>
        <v>Poor</v>
      </c>
      <c r="X1263" s="4">
        <f>AVERAGE(Table1[Purchase Amount])</f>
        <v>129.48419400000012</v>
      </c>
    </row>
    <row r="1264" spans="1:24" ht="15" customHeight="1" x14ac:dyDescent="0.25">
      <c r="A1264">
        <v>1263</v>
      </c>
      <c r="B1264">
        <v>29</v>
      </c>
      <c r="C1264" t="s">
        <v>27</v>
      </c>
      <c r="D1264" t="s">
        <v>151</v>
      </c>
      <c r="E1264" t="s">
        <v>98</v>
      </c>
      <c r="F1264" s="2">
        <v>62</v>
      </c>
      <c r="G1264" t="s">
        <v>65</v>
      </c>
      <c r="H1264" t="s">
        <v>45</v>
      </c>
      <c r="I1264" t="s">
        <v>60</v>
      </c>
      <c r="J1264" t="s">
        <v>22</v>
      </c>
      <c r="K1264">
        <v>4.8</v>
      </c>
      <c r="L1264" t="s">
        <v>23</v>
      </c>
      <c r="M1264" t="s">
        <v>48</v>
      </c>
      <c r="N1264" t="s">
        <v>34</v>
      </c>
      <c r="O1264">
        <v>44</v>
      </c>
      <c r="P1264" t="s">
        <v>62</v>
      </c>
      <c r="Q1264" t="s">
        <v>42</v>
      </c>
      <c r="R1264" s="1">
        <v>0.1</v>
      </c>
      <c r="S1264">
        <f t="shared" si="76"/>
        <v>55.8</v>
      </c>
      <c r="T1264">
        <f>IFERROR(VLOOKUP(A1264,Table1[[Customer ID]:[Discount Amount]], 6, FALSE),"Not Found")</f>
        <v>62</v>
      </c>
      <c r="U1264" t="str">
        <f t="shared" si="77"/>
        <v>Venmo</v>
      </c>
      <c r="V1264" s="4" t="str">
        <f t="shared" si="78"/>
        <v>Normal</v>
      </c>
      <c r="W1264" s="4" t="str">
        <f t="shared" si="79"/>
        <v>Good</v>
      </c>
      <c r="X1264" s="4">
        <f>AVERAGE(Table1[Purchase Amount])</f>
        <v>129.48419400000012</v>
      </c>
    </row>
    <row r="1265" spans="1:24" ht="15" customHeight="1" x14ac:dyDescent="0.25">
      <c r="A1265">
        <v>1264</v>
      </c>
      <c r="B1265">
        <v>41</v>
      </c>
      <c r="C1265" t="s">
        <v>27</v>
      </c>
      <c r="D1265" t="s">
        <v>83</v>
      </c>
      <c r="E1265" t="s">
        <v>18</v>
      </c>
      <c r="F1265" s="2">
        <v>70</v>
      </c>
      <c r="G1265" t="s">
        <v>143</v>
      </c>
      <c r="H1265" t="s">
        <v>45</v>
      </c>
      <c r="I1265" t="s">
        <v>60</v>
      </c>
      <c r="J1265" t="s">
        <v>22</v>
      </c>
      <c r="K1265">
        <v>4.5999999999999996</v>
      </c>
      <c r="L1265" t="s">
        <v>23</v>
      </c>
      <c r="M1265" t="s">
        <v>41</v>
      </c>
      <c r="N1265" t="s">
        <v>34</v>
      </c>
      <c r="O1265">
        <v>1</v>
      </c>
      <c r="P1265" t="s">
        <v>53</v>
      </c>
      <c r="Q1265" t="s">
        <v>68</v>
      </c>
      <c r="R1265" s="1">
        <v>0.1</v>
      </c>
      <c r="S1265">
        <f t="shared" si="76"/>
        <v>63</v>
      </c>
      <c r="T1265">
        <f>IFERROR(VLOOKUP(A1265,Table1[[Customer ID]:[Discount Amount]], 6, FALSE),"Not Found")</f>
        <v>70</v>
      </c>
      <c r="U1265" t="str">
        <f t="shared" si="77"/>
        <v>Credit Card</v>
      </c>
      <c r="V1265" s="4" t="str">
        <f t="shared" si="78"/>
        <v>Normal</v>
      </c>
      <c r="W1265" s="4" t="str">
        <f t="shared" si="79"/>
        <v>Good</v>
      </c>
      <c r="X1265" s="4">
        <f>AVERAGE(Table1[Purchase Amount])</f>
        <v>129.48419400000012</v>
      </c>
    </row>
    <row r="1266" spans="1:24" ht="15" customHeight="1" x14ac:dyDescent="0.25">
      <c r="A1266">
        <v>1265</v>
      </c>
      <c r="B1266">
        <v>52</v>
      </c>
      <c r="C1266" t="s">
        <v>27</v>
      </c>
      <c r="D1266" t="s">
        <v>127</v>
      </c>
      <c r="E1266" t="s">
        <v>18</v>
      </c>
      <c r="F1266" s="2">
        <v>92</v>
      </c>
      <c r="G1266" t="s">
        <v>84</v>
      </c>
      <c r="H1266" t="s">
        <v>55</v>
      </c>
      <c r="I1266" t="s">
        <v>74</v>
      </c>
      <c r="J1266" t="s">
        <v>22</v>
      </c>
      <c r="K1266">
        <v>2.5</v>
      </c>
      <c r="L1266" t="s">
        <v>23</v>
      </c>
      <c r="M1266" t="s">
        <v>79</v>
      </c>
      <c r="N1266" t="s">
        <v>34</v>
      </c>
      <c r="O1266">
        <v>1</v>
      </c>
      <c r="P1266" t="s">
        <v>62</v>
      </c>
      <c r="Q1266" t="s">
        <v>68</v>
      </c>
      <c r="R1266" s="1">
        <v>0.1</v>
      </c>
      <c r="S1266">
        <f t="shared" si="76"/>
        <v>82.8</v>
      </c>
      <c r="T1266">
        <f>IFERROR(VLOOKUP(A1266,Table1[[Customer ID]:[Discount Amount]], 6, FALSE),"Not Found")</f>
        <v>92</v>
      </c>
      <c r="U1266" t="str">
        <f t="shared" si="77"/>
        <v>Venmo</v>
      </c>
      <c r="V1266" s="4" t="str">
        <f t="shared" si="78"/>
        <v>Normal</v>
      </c>
      <c r="W1266" s="4" t="str">
        <f t="shared" si="79"/>
        <v>Poor</v>
      </c>
      <c r="X1266" s="4">
        <f>AVERAGE(Table1[Purchase Amount])</f>
        <v>129.48419400000012</v>
      </c>
    </row>
    <row r="1267" spans="1:24" ht="15" customHeight="1" x14ac:dyDescent="0.25">
      <c r="A1267">
        <v>1266</v>
      </c>
      <c r="B1267">
        <v>32</v>
      </c>
      <c r="C1267" t="s">
        <v>27</v>
      </c>
      <c r="D1267" t="s">
        <v>38</v>
      </c>
      <c r="E1267" t="s">
        <v>18</v>
      </c>
      <c r="F1267" s="2">
        <v>79</v>
      </c>
      <c r="G1267" t="s">
        <v>119</v>
      </c>
      <c r="H1267" t="s">
        <v>31</v>
      </c>
      <c r="I1267" t="s">
        <v>107</v>
      </c>
      <c r="J1267" t="s">
        <v>33</v>
      </c>
      <c r="K1267">
        <v>2.7</v>
      </c>
      <c r="L1267" t="s">
        <v>23</v>
      </c>
      <c r="M1267" t="s">
        <v>79</v>
      </c>
      <c r="N1267" t="s">
        <v>34</v>
      </c>
      <c r="O1267">
        <v>27</v>
      </c>
      <c r="P1267" t="s">
        <v>88</v>
      </c>
      <c r="Q1267" t="s">
        <v>26</v>
      </c>
      <c r="R1267" s="1">
        <v>0.1</v>
      </c>
      <c r="S1267">
        <f t="shared" si="76"/>
        <v>71.099999999999994</v>
      </c>
      <c r="T1267">
        <f>IFERROR(VLOOKUP(A1267,Table1[[Customer ID]:[Discount Amount]], 6, FALSE),"Not Found")</f>
        <v>79</v>
      </c>
      <c r="U1267" t="str">
        <f t="shared" si="77"/>
        <v>Bank Transfer</v>
      </c>
      <c r="V1267" s="4" t="str">
        <f t="shared" si="78"/>
        <v>Normal</v>
      </c>
      <c r="W1267" s="4" t="str">
        <f t="shared" si="79"/>
        <v>Poor</v>
      </c>
      <c r="X1267" s="4">
        <f>AVERAGE(Table1[Purchase Amount])</f>
        <v>129.48419400000012</v>
      </c>
    </row>
    <row r="1268" spans="1:24" ht="15" customHeight="1" x14ac:dyDescent="0.25">
      <c r="A1268">
        <v>1267</v>
      </c>
      <c r="B1268">
        <v>20</v>
      </c>
      <c r="C1268" t="s">
        <v>27</v>
      </c>
      <c r="D1268" t="s">
        <v>118</v>
      </c>
      <c r="E1268" t="s">
        <v>18</v>
      </c>
      <c r="F1268" s="2">
        <v>31</v>
      </c>
      <c r="G1268" t="s">
        <v>86</v>
      </c>
      <c r="H1268" t="s">
        <v>31</v>
      </c>
      <c r="I1268" t="s">
        <v>145</v>
      </c>
      <c r="J1268" t="s">
        <v>47</v>
      </c>
      <c r="K1268">
        <v>4</v>
      </c>
      <c r="L1268" t="s">
        <v>23</v>
      </c>
      <c r="M1268" t="s">
        <v>24</v>
      </c>
      <c r="N1268" t="s">
        <v>34</v>
      </c>
      <c r="O1268">
        <v>14</v>
      </c>
      <c r="P1268" t="s">
        <v>36</v>
      </c>
      <c r="Q1268" t="s">
        <v>63</v>
      </c>
      <c r="R1268" s="1">
        <v>0.1</v>
      </c>
      <c r="S1268">
        <f t="shared" si="76"/>
        <v>27.9</v>
      </c>
      <c r="T1268">
        <f>IFERROR(VLOOKUP(A1268,Table1[[Customer ID]:[Discount Amount]], 6, FALSE),"Not Found")</f>
        <v>31</v>
      </c>
      <c r="U1268" t="str">
        <f t="shared" si="77"/>
        <v>Debit Card</v>
      </c>
      <c r="V1268" s="4" t="str">
        <f t="shared" si="78"/>
        <v>Normal</v>
      </c>
      <c r="W1268" s="4" t="str">
        <f t="shared" si="79"/>
        <v>Good</v>
      </c>
      <c r="X1268" s="4">
        <f>AVERAGE(Table1[Purchase Amount])</f>
        <v>129.48419400000012</v>
      </c>
    </row>
    <row r="1269" spans="1:24" ht="15" customHeight="1" x14ac:dyDescent="0.25">
      <c r="A1269">
        <v>1268</v>
      </c>
      <c r="B1269">
        <v>47</v>
      </c>
      <c r="C1269" t="s">
        <v>27</v>
      </c>
      <c r="D1269" t="s">
        <v>17</v>
      </c>
      <c r="E1269" t="s">
        <v>18</v>
      </c>
      <c r="F1269" s="2">
        <v>83</v>
      </c>
      <c r="G1269" t="s">
        <v>123</v>
      </c>
      <c r="H1269" t="s">
        <v>55</v>
      </c>
      <c r="I1269" t="s">
        <v>85</v>
      </c>
      <c r="J1269" t="s">
        <v>33</v>
      </c>
      <c r="K1269">
        <v>2.7</v>
      </c>
      <c r="L1269" t="s">
        <v>23</v>
      </c>
      <c r="M1269" t="s">
        <v>24</v>
      </c>
      <c r="N1269" t="s">
        <v>34</v>
      </c>
      <c r="O1269">
        <v>41</v>
      </c>
      <c r="P1269" t="s">
        <v>25</v>
      </c>
      <c r="Q1269" t="s">
        <v>26</v>
      </c>
      <c r="R1269" s="1">
        <v>0.1</v>
      </c>
      <c r="S1269">
        <f t="shared" si="76"/>
        <v>74.7</v>
      </c>
      <c r="T1269">
        <f>IFERROR(VLOOKUP(A1269,Table1[[Customer ID]:[Discount Amount]], 6, FALSE),"Not Found")</f>
        <v>83</v>
      </c>
      <c r="U1269" t="str">
        <f t="shared" si="77"/>
        <v>Cash</v>
      </c>
      <c r="V1269" s="4" t="str">
        <f t="shared" si="78"/>
        <v>Normal</v>
      </c>
      <c r="W1269" s="4" t="str">
        <f t="shared" si="79"/>
        <v>Poor</v>
      </c>
      <c r="X1269" s="4">
        <f>AVERAGE(Table1[Purchase Amount])</f>
        <v>129.48419400000012</v>
      </c>
    </row>
    <row r="1270" spans="1:24" ht="15" customHeight="1" x14ac:dyDescent="0.25">
      <c r="A1270">
        <v>1269</v>
      </c>
      <c r="B1270">
        <v>23</v>
      </c>
      <c r="C1270" t="s">
        <v>27</v>
      </c>
      <c r="D1270" t="s">
        <v>96</v>
      </c>
      <c r="E1270" t="s">
        <v>77</v>
      </c>
      <c r="F1270" s="2">
        <v>88</v>
      </c>
      <c r="G1270" t="s">
        <v>161</v>
      </c>
      <c r="H1270" t="s">
        <v>20</v>
      </c>
      <c r="I1270" t="s">
        <v>103</v>
      </c>
      <c r="J1270" t="s">
        <v>22</v>
      </c>
      <c r="K1270">
        <v>2.9</v>
      </c>
      <c r="L1270" t="s">
        <v>23</v>
      </c>
      <c r="M1270" t="s">
        <v>79</v>
      </c>
      <c r="N1270" t="s">
        <v>34</v>
      </c>
      <c r="O1270">
        <v>25</v>
      </c>
      <c r="P1270" t="s">
        <v>36</v>
      </c>
      <c r="Q1270" t="s">
        <v>68</v>
      </c>
      <c r="R1270" s="1">
        <v>0.1</v>
      </c>
      <c r="S1270">
        <f t="shared" si="76"/>
        <v>79.2</v>
      </c>
      <c r="T1270">
        <f>IFERROR(VLOOKUP(A1270,Table1[[Customer ID]:[Discount Amount]], 6, FALSE),"Not Found")</f>
        <v>88</v>
      </c>
      <c r="U1270" t="str">
        <f t="shared" si="77"/>
        <v>Debit Card</v>
      </c>
      <c r="V1270" s="4" t="str">
        <f t="shared" si="78"/>
        <v>Normal</v>
      </c>
      <c r="W1270" s="4" t="str">
        <f t="shared" si="79"/>
        <v>Poor</v>
      </c>
      <c r="X1270" s="4">
        <f>AVERAGE(Table1[Purchase Amount])</f>
        <v>129.48419400000012</v>
      </c>
    </row>
    <row r="1271" spans="1:24" ht="15" customHeight="1" x14ac:dyDescent="0.25">
      <c r="A1271">
        <v>1270</v>
      </c>
      <c r="B1271">
        <v>43</v>
      </c>
      <c r="C1271" t="s">
        <v>27</v>
      </c>
      <c r="D1271" t="s">
        <v>50</v>
      </c>
      <c r="E1271" t="s">
        <v>29</v>
      </c>
      <c r="F1271" s="2">
        <v>53</v>
      </c>
      <c r="G1271" t="s">
        <v>84</v>
      </c>
      <c r="H1271" t="s">
        <v>31</v>
      </c>
      <c r="I1271" t="s">
        <v>107</v>
      </c>
      <c r="J1271" t="s">
        <v>33</v>
      </c>
      <c r="K1271">
        <v>3</v>
      </c>
      <c r="L1271" t="s">
        <v>23</v>
      </c>
      <c r="M1271" t="s">
        <v>24</v>
      </c>
      <c r="N1271" t="s">
        <v>34</v>
      </c>
      <c r="O1271">
        <v>47</v>
      </c>
      <c r="P1271" t="s">
        <v>58</v>
      </c>
      <c r="Q1271" t="s">
        <v>37</v>
      </c>
      <c r="R1271" s="1">
        <v>0.1</v>
      </c>
      <c r="S1271">
        <f t="shared" si="76"/>
        <v>47.7</v>
      </c>
      <c r="T1271">
        <f>IFERROR(VLOOKUP(A1271,Table1[[Customer ID]:[Discount Amount]], 6, FALSE),"Not Found")</f>
        <v>53</v>
      </c>
      <c r="U1271" t="str">
        <f t="shared" si="77"/>
        <v>PayPal</v>
      </c>
      <c r="V1271" s="4" t="str">
        <f t="shared" si="78"/>
        <v>Normal</v>
      </c>
      <c r="W1271" s="4" t="str">
        <f t="shared" si="79"/>
        <v>Good</v>
      </c>
      <c r="X1271" s="4">
        <f>AVERAGE(Table1[Purchase Amount])</f>
        <v>129.48419400000012</v>
      </c>
    </row>
    <row r="1272" spans="1:24" ht="15" customHeight="1" x14ac:dyDescent="0.25">
      <c r="A1272">
        <v>1271</v>
      </c>
      <c r="B1272">
        <v>67</v>
      </c>
      <c r="C1272" t="s">
        <v>27</v>
      </c>
      <c r="D1272" t="s">
        <v>83</v>
      </c>
      <c r="E1272" t="s">
        <v>18</v>
      </c>
      <c r="F1272" s="2">
        <v>98</v>
      </c>
      <c r="G1272" t="s">
        <v>154</v>
      </c>
      <c r="H1272" t="s">
        <v>31</v>
      </c>
      <c r="I1272" t="s">
        <v>93</v>
      </c>
      <c r="J1272" t="s">
        <v>47</v>
      </c>
      <c r="K1272">
        <v>3.3</v>
      </c>
      <c r="L1272" t="s">
        <v>23</v>
      </c>
      <c r="M1272" t="s">
        <v>24</v>
      </c>
      <c r="N1272" t="s">
        <v>34</v>
      </c>
      <c r="O1272">
        <v>20</v>
      </c>
      <c r="P1272" t="s">
        <v>25</v>
      </c>
      <c r="Q1272" t="s">
        <v>49</v>
      </c>
      <c r="R1272" s="1">
        <v>0.1</v>
      </c>
      <c r="S1272">
        <f t="shared" si="76"/>
        <v>88.2</v>
      </c>
      <c r="T1272">
        <f>IFERROR(VLOOKUP(A1272,Table1[[Customer ID]:[Discount Amount]], 6, FALSE),"Not Found")</f>
        <v>98</v>
      </c>
      <c r="U1272" t="str">
        <f t="shared" si="77"/>
        <v>Cash</v>
      </c>
      <c r="V1272" s="4" t="str">
        <f t="shared" si="78"/>
        <v>Normal</v>
      </c>
      <c r="W1272" s="4" t="str">
        <f t="shared" si="79"/>
        <v>Good</v>
      </c>
      <c r="X1272" s="4">
        <f>AVERAGE(Table1[Purchase Amount])</f>
        <v>129.48419400000012</v>
      </c>
    </row>
    <row r="1273" spans="1:24" ht="15" customHeight="1" x14ac:dyDescent="0.25">
      <c r="A1273">
        <v>1272</v>
      </c>
      <c r="B1273">
        <v>70</v>
      </c>
      <c r="C1273" t="s">
        <v>27</v>
      </c>
      <c r="D1273" t="s">
        <v>50</v>
      </c>
      <c r="E1273" t="s">
        <v>29</v>
      </c>
      <c r="F1273" s="2">
        <v>57</v>
      </c>
      <c r="G1273" t="s">
        <v>70</v>
      </c>
      <c r="H1273" t="s">
        <v>55</v>
      </c>
      <c r="I1273" t="s">
        <v>85</v>
      </c>
      <c r="J1273" t="s">
        <v>33</v>
      </c>
      <c r="K1273">
        <v>4.3</v>
      </c>
      <c r="L1273" t="s">
        <v>23</v>
      </c>
      <c r="M1273" t="s">
        <v>48</v>
      </c>
      <c r="N1273" t="s">
        <v>34</v>
      </c>
      <c r="O1273">
        <v>42</v>
      </c>
      <c r="P1273" t="s">
        <v>58</v>
      </c>
      <c r="Q1273" t="s">
        <v>49</v>
      </c>
      <c r="R1273" s="1">
        <v>0.1</v>
      </c>
      <c r="S1273">
        <f t="shared" si="76"/>
        <v>51.3</v>
      </c>
      <c r="T1273">
        <f>IFERROR(VLOOKUP(A1273,Table1[[Customer ID]:[Discount Amount]], 6, FALSE),"Not Found")</f>
        <v>57</v>
      </c>
      <c r="U1273" t="str">
        <f t="shared" si="77"/>
        <v>PayPal</v>
      </c>
      <c r="V1273" s="4" t="str">
        <f t="shared" si="78"/>
        <v>Normal</v>
      </c>
      <c r="W1273" s="4" t="str">
        <f t="shared" si="79"/>
        <v>Good</v>
      </c>
      <c r="X1273" s="4">
        <f>AVERAGE(Table1[Purchase Amount])</f>
        <v>129.48419400000012</v>
      </c>
    </row>
    <row r="1274" spans="1:24" ht="15" customHeight="1" x14ac:dyDescent="0.25">
      <c r="A1274">
        <v>1273</v>
      </c>
      <c r="B1274">
        <v>35</v>
      </c>
      <c r="C1274" t="s">
        <v>27</v>
      </c>
      <c r="D1274" t="s">
        <v>121</v>
      </c>
      <c r="E1274" t="s">
        <v>98</v>
      </c>
      <c r="F1274" s="2">
        <v>80</v>
      </c>
      <c r="G1274" t="s">
        <v>59</v>
      </c>
      <c r="H1274" t="s">
        <v>31</v>
      </c>
      <c r="I1274" t="s">
        <v>108</v>
      </c>
      <c r="J1274" t="s">
        <v>22</v>
      </c>
      <c r="K1274">
        <v>4.4000000000000004</v>
      </c>
      <c r="L1274" t="s">
        <v>23</v>
      </c>
      <c r="M1274" t="s">
        <v>61</v>
      </c>
      <c r="N1274" t="s">
        <v>34</v>
      </c>
      <c r="O1274">
        <v>16</v>
      </c>
      <c r="P1274" t="s">
        <v>88</v>
      </c>
      <c r="Q1274" t="s">
        <v>42</v>
      </c>
      <c r="R1274" s="1">
        <v>0.1</v>
      </c>
      <c r="S1274">
        <f t="shared" si="76"/>
        <v>72</v>
      </c>
      <c r="T1274">
        <f>IFERROR(VLOOKUP(A1274,Table1[[Customer ID]:[Discount Amount]], 6, FALSE),"Not Found")</f>
        <v>80</v>
      </c>
      <c r="U1274" t="str">
        <f t="shared" si="77"/>
        <v>Bank Transfer</v>
      </c>
      <c r="V1274" s="4" t="str">
        <f t="shared" si="78"/>
        <v>Normal</v>
      </c>
      <c r="W1274" s="4" t="str">
        <f t="shared" si="79"/>
        <v>Good</v>
      </c>
      <c r="X1274" s="4">
        <f>AVERAGE(Table1[Purchase Amount])</f>
        <v>129.48419400000012</v>
      </c>
    </row>
    <row r="1275" spans="1:24" ht="15" customHeight="1" x14ac:dyDescent="0.25">
      <c r="A1275">
        <v>1274</v>
      </c>
      <c r="B1275">
        <v>41</v>
      </c>
      <c r="C1275" t="s">
        <v>27</v>
      </c>
      <c r="D1275" t="s">
        <v>109</v>
      </c>
      <c r="E1275" t="s">
        <v>18</v>
      </c>
      <c r="F1275" s="2">
        <v>29</v>
      </c>
      <c r="G1275" t="s">
        <v>149</v>
      </c>
      <c r="H1275" t="s">
        <v>45</v>
      </c>
      <c r="I1275" t="s">
        <v>153</v>
      </c>
      <c r="J1275" t="s">
        <v>33</v>
      </c>
      <c r="K1275">
        <v>4.0999999999999996</v>
      </c>
      <c r="L1275" t="s">
        <v>23</v>
      </c>
      <c r="M1275" t="s">
        <v>79</v>
      </c>
      <c r="N1275" t="s">
        <v>34</v>
      </c>
      <c r="O1275">
        <v>32</v>
      </c>
      <c r="P1275" t="s">
        <v>53</v>
      </c>
      <c r="Q1275" t="s">
        <v>63</v>
      </c>
      <c r="R1275" s="1">
        <v>0.1</v>
      </c>
      <c r="S1275">
        <f t="shared" si="76"/>
        <v>26.1</v>
      </c>
      <c r="T1275">
        <f>IFERROR(VLOOKUP(A1275,Table1[[Customer ID]:[Discount Amount]], 6, FALSE),"Not Found")</f>
        <v>29</v>
      </c>
      <c r="U1275" t="str">
        <f t="shared" si="77"/>
        <v>Credit Card</v>
      </c>
      <c r="V1275" s="4" t="str">
        <f t="shared" si="78"/>
        <v>Normal</v>
      </c>
      <c r="W1275" s="4" t="str">
        <f t="shared" si="79"/>
        <v>Good</v>
      </c>
      <c r="X1275" s="4">
        <f>AVERAGE(Table1[Purchase Amount])</f>
        <v>129.48419400000012</v>
      </c>
    </row>
    <row r="1276" spans="1:24" ht="15" customHeight="1" x14ac:dyDescent="0.25">
      <c r="A1276">
        <v>1275</v>
      </c>
      <c r="B1276">
        <v>54</v>
      </c>
      <c r="C1276" t="s">
        <v>27</v>
      </c>
      <c r="D1276" t="s">
        <v>64</v>
      </c>
      <c r="E1276" t="s">
        <v>29</v>
      </c>
      <c r="F1276" s="2">
        <v>73</v>
      </c>
      <c r="G1276" t="s">
        <v>146</v>
      </c>
      <c r="H1276" t="s">
        <v>31</v>
      </c>
      <c r="I1276" t="s">
        <v>21</v>
      </c>
      <c r="J1276" t="s">
        <v>33</v>
      </c>
      <c r="K1276">
        <v>3.1</v>
      </c>
      <c r="L1276" t="s">
        <v>23</v>
      </c>
      <c r="M1276" t="s">
        <v>41</v>
      </c>
      <c r="N1276" t="s">
        <v>34</v>
      </c>
      <c r="O1276">
        <v>37</v>
      </c>
      <c r="P1276" t="s">
        <v>58</v>
      </c>
      <c r="Q1276" t="s">
        <v>37</v>
      </c>
      <c r="R1276" s="1">
        <v>0.1</v>
      </c>
      <c r="S1276">
        <f t="shared" si="76"/>
        <v>65.7</v>
      </c>
      <c r="T1276">
        <f>IFERROR(VLOOKUP(A1276,Table1[[Customer ID]:[Discount Amount]], 6, FALSE),"Not Found")</f>
        <v>73</v>
      </c>
      <c r="U1276" t="str">
        <f t="shared" si="77"/>
        <v>PayPal</v>
      </c>
      <c r="V1276" s="4" t="str">
        <f t="shared" si="78"/>
        <v>Normal</v>
      </c>
      <c r="W1276" s="4" t="str">
        <f t="shared" si="79"/>
        <v>Good</v>
      </c>
      <c r="X1276" s="4">
        <f>AVERAGE(Table1[Purchase Amount])</f>
        <v>129.48419400000012</v>
      </c>
    </row>
    <row r="1277" spans="1:24" ht="15" customHeight="1" x14ac:dyDescent="0.25">
      <c r="A1277">
        <v>1276</v>
      </c>
      <c r="B1277">
        <v>55</v>
      </c>
      <c r="C1277" t="s">
        <v>27</v>
      </c>
      <c r="D1277" t="s">
        <v>127</v>
      </c>
      <c r="E1277" t="s">
        <v>18</v>
      </c>
      <c r="F1277" s="2">
        <v>32</v>
      </c>
      <c r="G1277" t="s">
        <v>100</v>
      </c>
      <c r="H1277" t="s">
        <v>55</v>
      </c>
      <c r="I1277" t="s">
        <v>156</v>
      </c>
      <c r="J1277" t="s">
        <v>47</v>
      </c>
      <c r="K1277">
        <v>4.5</v>
      </c>
      <c r="L1277" t="s">
        <v>23</v>
      </c>
      <c r="M1277" t="s">
        <v>24</v>
      </c>
      <c r="N1277" t="s">
        <v>34</v>
      </c>
      <c r="O1277">
        <v>1</v>
      </c>
      <c r="P1277" t="s">
        <v>58</v>
      </c>
      <c r="Q1277" t="s">
        <v>42</v>
      </c>
      <c r="R1277" s="1">
        <v>0.1</v>
      </c>
      <c r="S1277">
        <f t="shared" si="76"/>
        <v>28.8</v>
      </c>
      <c r="T1277">
        <f>IFERROR(VLOOKUP(A1277,Table1[[Customer ID]:[Discount Amount]], 6, FALSE),"Not Found")</f>
        <v>32</v>
      </c>
      <c r="U1277" t="str">
        <f t="shared" si="77"/>
        <v>PayPal</v>
      </c>
      <c r="V1277" s="4" t="str">
        <f t="shared" si="78"/>
        <v>Normal</v>
      </c>
      <c r="W1277" s="4" t="str">
        <f t="shared" si="79"/>
        <v>Good</v>
      </c>
      <c r="X1277" s="4">
        <f>AVERAGE(Table1[Purchase Amount])</f>
        <v>129.48419400000012</v>
      </c>
    </row>
    <row r="1278" spans="1:24" ht="15" customHeight="1" x14ac:dyDescent="0.25">
      <c r="A1278">
        <v>1277</v>
      </c>
      <c r="B1278">
        <v>51</v>
      </c>
      <c r="C1278" t="s">
        <v>27</v>
      </c>
      <c r="D1278" t="s">
        <v>151</v>
      </c>
      <c r="E1278" t="s">
        <v>98</v>
      </c>
      <c r="F1278" s="2">
        <v>68</v>
      </c>
      <c r="G1278" t="s">
        <v>162</v>
      </c>
      <c r="H1278" t="s">
        <v>45</v>
      </c>
      <c r="I1278" t="s">
        <v>156</v>
      </c>
      <c r="J1278" t="s">
        <v>33</v>
      </c>
      <c r="K1278">
        <v>4.8</v>
      </c>
      <c r="L1278" t="s">
        <v>23</v>
      </c>
      <c r="M1278" t="s">
        <v>79</v>
      </c>
      <c r="N1278" t="s">
        <v>34</v>
      </c>
      <c r="O1278">
        <v>37</v>
      </c>
      <c r="P1278" t="s">
        <v>88</v>
      </c>
      <c r="Q1278" t="s">
        <v>26</v>
      </c>
      <c r="R1278" s="1">
        <v>0.1</v>
      </c>
      <c r="S1278">
        <f t="shared" si="76"/>
        <v>61.2</v>
      </c>
      <c r="T1278">
        <f>IFERROR(VLOOKUP(A1278,Table1[[Customer ID]:[Discount Amount]], 6, FALSE),"Not Found")</f>
        <v>68</v>
      </c>
      <c r="U1278" t="str">
        <f t="shared" si="77"/>
        <v>Bank Transfer</v>
      </c>
      <c r="V1278" s="4" t="str">
        <f t="shared" si="78"/>
        <v>Normal</v>
      </c>
      <c r="W1278" s="4" t="str">
        <f t="shared" si="79"/>
        <v>Good</v>
      </c>
      <c r="X1278" s="4">
        <f>AVERAGE(Table1[Purchase Amount])</f>
        <v>129.48419400000012</v>
      </c>
    </row>
    <row r="1279" spans="1:24" ht="15" customHeight="1" x14ac:dyDescent="0.25">
      <c r="A1279">
        <v>1278</v>
      </c>
      <c r="B1279">
        <v>19</v>
      </c>
      <c r="C1279" t="s">
        <v>27</v>
      </c>
      <c r="D1279" t="s">
        <v>118</v>
      </c>
      <c r="E1279" t="s">
        <v>18</v>
      </c>
      <c r="F1279" s="2">
        <v>97</v>
      </c>
      <c r="G1279" t="s">
        <v>159</v>
      </c>
      <c r="H1279" t="s">
        <v>45</v>
      </c>
      <c r="I1279" t="s">
        <v>93</v>
      </c>
      <c r="J1279" t="s">
        <v>33</v>
      </c>
      <c r="K1279">
        <v>5</v>
      </c>
      <c r="L1279" t="s">
        <v>23</v>
      </c>
      <c r="M1279" t="s">
        <v>61</v>
      </c>
      <c r="N1279" t="s">
        <v>34</v>
      </c>
      <c r="O1279">
        <v>5</v>
      </c>
      <c r="P1279" t="s">
        <v>62</v>
      </c>
      <c r="Q1279" t="s">
        <v>37</v>
      </c>
      <c r="R1279" s="1">
        <v>0.1</v>
      </c>
      <c r="S1279">
        <f t="shared" si="76"/>
        <v>87.3</v>
      </c>
      <c r="T1279">
        <f>IFERROR(VLOOKUP(A1279,Table1[[Customer ID]:[Discount Amount]], 6, FALSE),"Not Found")</f>
        <v>97</v>
      </c>
      <c r="U1279" t="str">
        <f t="shared" si="77"/>
        <v>Venmo</v>
      </c>
      <c r="V1279" s="4" t="str">
        <f t="shared" si="78"/>
        <v>Normal</v>
      </c>
      <c r="W1279" s="4" t="str">
        <f t="shared" si="79"/>
        <v>Good</v>
      </c>
      <c r="X1279" s="4">
        <f>AVERAGE(Table1[Purchase Amount])</f>
        <v>129.48419400000012</v>
      </c>
    </row>
    <row r="1280" spans="1:24" ht="15" customHeight="1" x14ac:dyDescent="0.25">
      <c r="A1280">
        <v>1279</v>
      </c>
      <c r="B1280">
        <v>28</v>
      </c>
      <c r="C1280" t="s">
        <v>27</v>
      </c>
      <c r="D1280" t="s">
        <v>54</v>
      </c>
      <c r="E1280" t="s">
        <v>18</v>
      </c>
      <c r="F1280" s="2">
        <v>98</v>
      </c>
      <c r="G1280" t="s">
        <v>144</v>
      </c>
      <c r="H1280" t="s">
        <v>31</v>
      </c>
      <c r="I1280" t="s">
        <v>111</v>
      </c>
      <c r="J1280" t="s">
        <v>47</v>
      </c>
      <c r="K1280">
        <v>2.8</v>
      </c>
      <c r="L1280" t="s">
        <v>23</v>
      </c>
      <c r="M1280" t="s">
        <v>79</v>
      </c>
      <c r="N1280" t="s">
        <v>34</v>
      </c>
      <c r="O1280">
        <v>31</v>
      </c>
      <c r="P1280" t="s">
        <v>62</v>
      </c>
      <c r="Q1280" t="s">
        <v>89</v>
      </c>
      <c r="R1280" s="1">
        <v>0.1</v>
      </c>
      <c r="S1280">
        <f t="shared" si="76"/>
        <v>88.2</v>
      </c>
      <c r="T1280">
        <f>IFERROR(VLOOKUP(A1280,Table1[[Customer ID]:[Discount Amount]], 6, FALSE),"Not Found")</f>
        <v>98</v>
      </c>
      <c r="U1280" t="str">
        <f t="shared" si="77"/>
        <v>Venmo</v>
      </c>
      <c r="V1280" s="4" t="str">
        <f t="shared" si="78"/>
        <v>Normal</v>
      </c>
      <c r="W1280" s="4" t="str">
        <f t="shared" si="79"/>
        <v>Poor</v>
      </c>
      <c r="X1280" s="4">
        <f>AVERAGE(Table1[Purchase Amount])</f>
        <v>129.48419400000012</v>
      </c>
    </row>
    <row r="1281" spans="1:24" ht="15" customHeight="1" x14ac:dyDescent="0.25">
      <c r="A1281">
        <v>1280</v>
      </c>
      <c r="B1281">
        <v>63</v>
      </c>
      <c r="C1281" t="s">
        <v>27</v>
      </c>
      <c r="D1281" t="s">
        <v>83</v>
      </c>
      <c r="E1281" t="s">
        <v>18</v>
      </c>
      <c r="F1281" s="2">
        <v>56</v>
      </c>
      <c r="G1281" t="s">
        <v>106</v>
      </c>
      <c r="H1281" t="s">
        <v>45</v>
      </c>
      <c r="I1281" t="s">
        <v>103</v>
      </c>
      <c r="J1281" t="s">
        <v>47</v>
      </c>
      <c r="K1281">
        <v>3.7</v>
      </c>
      <c r="L1281" t="s">
        <v>23</v>
      </c>
      <c r="M1281" t="s">
        <v>61</v>
      </c>
      <c r="N1281" t="s">
        <v>34</v>
      </c>
      <c r="O1281">
        <v>18</v>
      </c>
      <c r="P1281" t="s">
        <v>36</v>
      </c>
      <c r="Q1281" t="s">
        <v>49</v>
      </c>
      <c r="R1281" s="1">
        <v>0.1</v>
      </c>
      <c r="S1281">
        <f t="shared" si="76"/>
        <v>50.4</v>
      </c>
      <c r="T1281">
        <f>IFERROR(VLOOKUP(A1281,Table1[[Customer ID]:[Discount Amount]], 6, FALSE),"Not Found")</f>
        <v>56</v>
      </c>
      <c r="U1281" t="str">
        <f t="shared" si="77"/>
        <v>Debit Card</v>
      </c>
      <c r="V1281" s="4" t="str">
        <f t="shared" si="78"/>
        <v>Normal</v>
      </c>
      <c r="W1281" s="4" t="str">
        <f t="shared" si="79"/>
        <v>Good</v>
      </c>
      <c r="X1281" s="4">
        <f>AVERAGE(Table1[Purchase Amount])</f>
        <v>129.48419400000012</v>
      </c>
    </row>
    <row r="1282" spans="1:24" ht="15" customHeight="1" x14ac:dyDescent="0.25">
      <c r="A1282">
        <v>1281</v>
      </c>
      <c r="B1282">
        <v>30</v>
      </c>
      <c r="C1282" t="s">
        <v>27</v>
      </c>
      <c r="D1282" t="s">
        <v>99</v>
      </c>
      <c r="E1282" t="s">
        <v>18</v>
      </c>
      <c r="F1282" s="2">
        <v>78</v>
      </c>
      <c r="G1282" t="s">
        <v>160</v>
      </c>
      <c r="H1282" t="s">
        <v>45</v>
      </c>
      <c r="I1282" t="s">
        <v>32</v>
      </c>
      <c r="J1282" t="s">
        <v>22</v>
      </c>
      <c r="K1282">
        <v>4.4000000000000004</v>
      </c>
      <c r="L1282" t="s">
        <v>23</v>
      </c>
      <c r="M1282" t="s">
        <v>41</v>
      </c>
      <c r="N1282" t="s">
        <v>34</v>
      </c>
      <c r="O1282">
        <v>39</v>
      </c>
      <c r="P1282" t="s">
        <v>62</v>
      </c>
      <c r="Q1282" t="s">
        <v>63</v>
      </c>
      <c r="R1282" s="1">
        <v>0.1</v>
      </c>
      <c r="S1282">
        <f t="shared" ref="S1282:S1345" si="80">F1282-(F1282*R1282)</f>
        <v>70.2</v>
      </c>
      <c r="T1282">
        <f>IFERROR(VLOOKUP(A1282,Table1[[Customer ID]:[Discount Amount]], 6, FALSE),"Not Found")</f>
        <v>78</v>
      </c>
      <c r="U1282" t="str">
        <f t="shared" ref="U1282:U1345" si="81">INDEX(P:P, MATCH(A1282, A:A, 0))</f>
        <v>Venmo</v>
      </c>
      <c r="V1282" s="4" t="str">
        <f t="shared" ref="V1282:V1345" si="82">IF(AND(F1282&gt;1000,K1282&gt;=4),"Best Customer","Normal")</f>
        <v>Normal</v>
      </c>
      <c r="W1282" s="4" t="str">
        <f t="shared" ref="W1282:W1345" si="83">IF(K1282&gt;=3,"Good","Poor")</f>
        <v>Good</v>
      </c>
      <c r="X1282" s="4">
        <f>AVERAGE(Table1[Purchase Amount])</f>
        <v>129.48419400000012</v>
      </c>
    </row>
    <row r="1283" spans="1:24" ht="15" customHeight="1" x14ac:dyDescent="0.25">
      <c r="A1283">
        <v>1282</v>
      </c>
      <c r="B1283">
        <v>29</v>
      </c>
      <c r="C1283" t="s">
        <v>27</v>
      </c>
      <c r="D1283" t="s">
        <v>114</v>
      </c>
      <c r="E1283" t="s">
        <v>29</v>
      </c>
      <c r="F1283" s="2">
        <v>81</v>
      </c>
      <c r="G1283" t="s">
        <v>131</v>
      </c>
      <c r="H1283" t="s">
        <v>31</v>
      </c>
      <c r="I1283" t="s">
        <v>21</v>
      </c>
      <c r="J1283" t="s">
        <v>33</v>
      </c>
      <c r="K1283">
        <v>4.5</v>
      </c>
      <c r="L1283" t="s">
        <v>23</v>
      </c>
      <c r="M1283" t="s">
        <v>48</v>
      </c>
      <c r="N1283" t="s">
        <v>34</v>
      </c>
      <c r="O1283">
        <v>8</v>
      </c>
      <c r="P1283" t="s">
        <v>62</v>
      </c>
      <c r="Q1283" t="s">
        <v>68</v>
      </c>
      <c r="R1283" s="1">
        <v>0.1</v>
      </c>
      <c r="S1283">
        <f t="shared" si="80"/>
        <v>72.900000000000006</v>
      </c>
      <c r="T1283">
        <f>IFERROR(VLOOKUP(A1283,Table1[[Customer ID]:[Discount Amount]], 6, FALSE),"Not Found")</f>
        <v>81</v>
      </c>
      <c r="U1283" t="str">
        <f t="shared" si="81"/>
        <v>Venmo</v>
      </c>
      <c r="V1283" s="4" t="str">
        <f t="shared" si="82"/>
        <v>Normal</v>
      </c>
      <c r="W1283" s="4" t="str">
        <f t="shared" si="83"/>
        <v>Good</v>
      </c>
      <c r="X1283" s="4">
        <f>AVERAGE(Table1[Purchase Amount])</f>
        <v>129.48419400000012</v>
      </c>
    </row>
    <row r="1284" spans="1:24" ht="15" customHeight="1" x14ac:dyDescent="0.25">
      <c r="A1284">
        <v>1283</v>
      </c>
      <c r="B1284">
        <v>24</v>
      </c>
      <c r="C1284" t="s">
        <v>27</v>
      </c>
      <c r="D1284" t="s">
        <v>38</v>
      </c>
      <c r="E1284" t="s">
        <v>18</v>
      </c>
      <c r="F1284" s="2">
        <v>68</v>
      </c>
      <c r="G1284" t="s">
        <v>132</v>
      </c>
      <c r="H1284" t="s">
        <v>45</v>
      </c>
      <c r="I1284" t="s">
        <v>111</v>
      </c>
      <c r="J1284" t="s">
        <v>22</v>
      </c>
      <c r="K1284">
        <v>3</v>
      </c>
      <c r="L1284" t="s">
        <v>23</v>
      </c>
      <c r="M1284" t="s">
        <v>35</v>
      </c>
      <c r="N1284" t="s">
        <v>34</v>
      </c>
      <c r="O1284">
        <v>20</v>
      </c>
      <c r="P1284" t="s">
        <v>62</v>
      </c>
      <c r="Q1284" t="s">
        <v>42</v>
      </c>
      <c r="R1284" s="1">
        <v>0.1</v>
      </c>
      <c r="S1284">
        <f t="shared" si="80"/>
        <v>61.2</v>
      </c>
      <c r="T1284">
        <f>IFERROR(VLOOKUP(A1284,Table1[[Customer ID]:[Discount Amount]], 6, FALSE),"Not Found")</f>
        <v>68</v>
      </c>
      <c r="U1284" t="str">
        <f t="shared" si="81"/>
        <v>Venmo</v>
      </c>
      <c r="V1284" s="4" t="str">
        <f t="shared" si="82"/>
        <v>Normal</v>
      </c>
      <c r="W1284" s="4" t="str">
        <f t="shared" si="83"/>
        <v>Good</v>
      </c>
      <c r="X1284" s="4">
        <f>AVERAGE(Table1[Purchase Amount])</f>
        <v>129.48419400000012</v>
      </c>
    </row>
    <row r="1285" spans="1:24" ht="15" customHeight="1" x14ac:dyDescent="0.25">
      <c r="A1285">
        <v>1284</v>
      </c>
      <c r="B1285">
        <v>69</v>
      </c>
      <c r="C1285" t="s">
        <v>27</v>
      </c>
      <c r="D1285" t="s">
        <v>38</v>
      </c>
      <c r="E1285" t="s">
        <v>18</v>
      </c>
      <c r="F1285" s="2">
        <v>94</v>
      </c>
      <c r="G1285" t="s">
        <v>123</v>
      </c>
      <c r="H1285" t="s">
        <v>31</v>
      </c>
      <c r="I1285" t="s">
        <v>111</v>
      </c>
      <c r="J1285" t="s">
        <v>22</v>
      </c>
      <c r="K1285">
        <v>3.9</v>
      </c>
      <c r="L1285" t="s">
        <v>23</v>
      </c>
      <c r="M1285" t="s">
        <v>41</v>
      </c>
      <c r="N1285" t="s">
        <v>34</v>
      </c>
      <c r="O1285">
        <v>23</v>
      </c>
      <c r="P1285" t="s">
        <v>36</v>
      </c>
      <c r="Q1285" t="s">
        <v>63</v>
      </c>
      <c r="R1285" s="1">
        <v>0.1</v>
      </c>
      <c r="S1285">
        <f t="shared" si="80"/>
        <v>84.6</v>
      </c>
      <c r="T1285">
        <f>IFERROR(VLOOKUP(A1285,Table1[[Customer ID]:[Discount Amount]], 6, FALSE),"Not Found")</f>
        <v>94</v>
      </c>
      <c r="U1285" t="str">
        <f t="shared" si="81"/>
        <v>Debit Card</v>
      </c>
      <c r="V1285" s="4" t="str">
        <f t="shared" si="82"/>
        <v>Normal</v>
      </c>
      <c r="W1285" s="4" t="str">
        <f t="shared" si="83"/>
        <v>Good</v>
      </c>
      <c r="X1285" s="4">
        <f>AVERAGE(Table1[Purchase Amount])</f>
        <v>129.48419400000012</v>
      </c>
    </row>
    <row r="1286" spans="1:24" ht="15" customHeight="1" x14ac:dyDescent="0.25">
      <c r="A1286">
        <v>1285</v>
      </c>
      <c r="B1286">
        <v>65</v>
      </c>
      <c r="C1286" t="s">
        <v>27</v>
      </c>
      <c r="D1286" t="s">
        <v>157</v>
      </c>
      <c r="E1286" t="s">
        <v>18</v>
      </c>
      <c r="F1286" s="2">
        <v>93</v>
      </c>
      <c r="G1286" t="s">
        <v>100</v>
      </c>
      <c r="H1286" t="s">
        <v>31</v>
      </c>
      <c r="I1286" t="s">
        <v>40</v>
      </c>
      <c r="J1286" t="s">
        <v>33</v>
      </c>
      <c r="K1286">
        <v>3.9</v>
      </c>
      <c r="L1286" t="s">
        <v>23</v>
      </c>
      <c r="M1286" t="s">
        <v>61</v>
      </c>
      <c r="N1286" t="s">
        <v>34</v>
      </c>
      <c r="O1286">
        <v>38</v>
      </c>
      <c r="P1286" t="s">
        <v>58</v>
      </c>
      <c r="Q1286" t="s">
        <v>89</v>
      </c>
      <c r="R1286" s="1">
        <v>0.1</v>
      </c>
      <c r="S1286">
        <f t="shared" si="80"/>
        <v>83.7</v>
      </c>
      <c r="T1286">
        <f>IFERROR(VLOOKUP(A1286,Table1[[Customer ID]:[Discount Amount]], 6, FALSE),"Not Found")</f>
        <v>93</v>
      </c>
      <c r="U1286" t="str">
        <f t="shared" si="81"/>
        <v>PayPal</v>
      </c>
      <c r="V1286" s="4" t="str">
        <f t="shared" si="82"/>
        <v>Normal</v>
      </c>
      <c r="W1286" s="4" t="str">
        <f t="shared" si="83"/>
        <v>Good</v>
      </c>
      <c r="X1286" s="4">
        <f>AVERAGE(Table1[Purchase Amount])</f>
        <v>129.48419400000012</v>
      </c>
    </row>
    <row r="1287" spans="1:24" ht="15" customHeight="1" x14ac:dyDescent="0.25">
      <c r="A1287">
        <v>1286</v>
      </c>
      <c r="B1287">
        <v>64</v>
      </c>
      <c r="C1287" t="s">
        <v>27</v>
      </c>
      <c r="D1287" t="s">
        <v>43</v>
      </c>
      <c r="E1287" t="s">
        <v>29</v>
      </c>
      <c r="F1287" s="2">
        <v>99</v>
      </c>
      <c r="G1287" t="s">
        <v>134</v>
      </c>
      <c r="H1287" t="s">
        <v>31</v>
      </c>
      <c r="I1287" t="s">
        <v>103</v>
      </c>
      <c r="J1287" t="s">
        <v>47</v>
      </c>
      <c r="K1287">
        <v>3.5</v>
      </c>
      <c r="L1287" t="s">
        <v>23</v>
      </c>
      <c r="M1287" t="s">
        <v>79</v>
      </c>
      <c r="N1287" t="s">
        <v>34</v>
      </c>
      <c r="O1287">
        <v>45</v>
      </c>
      <c r="P1287" t="s">
        <v>88</v>
      </c>
      <c r="Q1287" t="s">
        <v>89</v>
      </c>
      <c r="R1287" s="1">
        <v>0.1</v>
      </c>
      <c r="S1287">
        <f t="shared" si="80"/>
        <v>89.1</v>
      </c>
      <c r="T1287">
        <f>IFERROR(VLOOKUP(A1287,Table1[[Customer ID]:[Discount Amount]], 6, FALSE),"Not Found")</f>
        <v>99</v>
      </c>
      <c r="U1287" t="str">
        <f t="shared" si="81"/>
        <v>Bank Transfer</v>
      </c>
      <c r="V1287" s="4" t="str">
        <f t="shared" si="82"/>
        <v>Normal</v>
      </c>
      <c r="W1287" s="4" t="str">
        <f t="shared" si="83"/>
        <v>Good</v>
      </c>
      <c r="X1287" s="4">
        <f>AVERAGE(Table1[Purchase Amount])</f>
        <v>129.48419400000012</v>
      </c>
    </row>
    <row r="1288" spans="1:24" ht="15" customHeight="1" x14ac:dyDescent="0.25">
      <c r="A1288">
        <v>1287</v>
      </c>
      <c r="B1288">
        <v>40</v>
      </c>
      <c r="C1288" t="s">
        <v>27</v>
      </c>
      <c r="D1288" t="s">
        <v>43</v>
      </c>
      <c r="E1288" t="s">
        <v>29</v>
      </c>
      <c r="F1288" s="2">
        <v>49</v>
      </c>
      <c r="G1288" t="s">
        <v>154</v>
      </c>
      <c r="H1288" t="s">
        <v>45</v>
      </c>
      <c r="I1288" t="s">
        <v>52</v>
      </c>
      <c r="J1288" t="s">
        <v>22</v>
      </c>
      <c r="K1288">
        <v>4.9000000000000004</v>
      </c>
      <c r="L1288" t="s">
        <v>23</v>
      </c>
      <c r="M1288" t="s">
        <v>79</v>
      </c>
      <c r="N1288" t="s">
        <v>34</v>
      </c>
      <c r="O1288">
        <v>44</v>
      </c>
      <c r="P1288" t="s">
        <v>36</v>
      </c>
      <c r="Q1288" t="s">
        <v>89</v>
      </c>
      <c r="R1288" s="1">
        <v>0.1</v>
      </c>
      <c r="S1288">
        <f t="shared" si="80"/>
        <v>44.1</v>
      </c>
      <c r="T1288">
        <f>IFERROR(VLOOKUP(A1288,Table1[[Customer ID]:[Discount Amount]], 6, FALSE),"Not Found")</f>
        <v>49</v>
      </c>
      <c r="U1288" t="str">
        <f t="shared" si="81"/>
        <v>Debit Card</v>
      </c>
      <c r="V1288" s="4" t="str">
        <f t="shared" si="82"/>
        <v>Normal</v>
      </c>
      <c r="W1288" s="4" t="str">
        <f t="shared" si="83"/>
        <v>Good</v>
      </c>
      <c r="X1288" s="4">
        <f>AVERAGE(Table1[Purchase Amount])</f>
        <v>129.48419400000012</v>
      </c>
    </row>
    <row r="1289" spans="1:24" ht="15" customHeight="1" x14ac:dyDescent="0.25">
      <c r="A1289">
        <v>1288</v>
      </c>
      <c r="B1289">
        <v>24</v>
      </c>
      <c r="C1289" t="s">
        <v>27</v>
      </c>
      <c r="D1289" t="s">
        <v>109</v>
      </c>
      <c r="E1289" t="s">
        <v>18</v>
      </c>
      <c r="F1289" s="2">
        <v>28</v>
      </c>
      <c r="G1289" t="s">
        <v>144</v>
      </c>
      <c r="H1289" t="s">
        <v>20</v>
      </c>
      <c r="I1289" t="s">
        <v>74</v>
      </c>
      <c r="J1289" t="s">
        <v>22</v>
      </c>
      <c r="K1289">
        <v>3.4</v>
      </c>
      <c r="L1289" t="s">
        <v>23</v>
      </c>
      <c r="M1289" t="s">
        <v>24</v>
      </c>
      <c r="N1289" t="s">
        <v>34</v>
      </c>
      <c r="O1289">
        <v>20</v>
      </c>
      <c r="P1289" t="s">
        <v>58</v>
      </c>
      <c r="Q1289" t="s">
        <v>42</v>
      </c>
      <c r="R1289" s="1">
        <v>0.1</v>
      </c>
      <c r="S1289">
        <f t="shared" si="80"/>
        <v>25.2</v>
      </c>
      <c r="T1289">
        <f>IFERROR(VLOOKUP(A1289,Table1[[Customer ID]:[Discount Amount]], 6, FALSE),"Not Found")</f>
        <v>28</v>
      </c>
      <c r="U1289" t="str">
        <f t="shared" si="81"/>
        <v>PayPal</v>
      </c>
      <c r="V1289" s="4" t="str">
        <f t="shared" si="82"/>
        <v>Normal</v>
      </c>
      <c r="W1289" s="4" t="str">
        <f t="shared" si="83"/>
        <v>Good</v>
      </c>
      <c r="X1289" s="4">
        <f>AVERAGE(Table1[Purchase Amount])</f>
        <v>129.48419400000012</v>
      </c>
    </row>
    <row r="1290" spans="1:24" ht="15" customHeight="1" x14ac:dyDescent="0.25">
      <c r="A1290">
        <v>1289</v>
      </c>
      <c r="B1290">
        <v>66</v>
      </c>
      <c r="C1290" t="s">
        <v>27</v>
      </c>
      <c r="D1290" t="s">
        <v>114</v>
      </c>
      <c r="E1290" t="s">
        <v>29</v>
      </c>
      <c r="F1290" s="2">
        <v>93</v>
      </c>
      <c r="G1290" t="s">
        <v>130</v>
      </c>
      <c r="H1290" t="s">
        <v>20</v>
      </c>
      <c r="I1290" t="s">
        <v>103</v>
      </c>
      <c r="J1290" t="s">
        <v>22</v>
      </c>
      <c r="K1290">
        <v>4.0999999999999996</v>
      </c>
      <c r="L1290" t="s">
        <v>23</v>
      </c>
      <c r="M1290" t="s">
        <v>24</v>
      </c>
      <c r="N1290" t="s">
        <v>34</v>
      </c>
      <c r="O1290">
        <v>34</v>
      </c>
      <c r="P1290" t="s">
        <v>58</v>
      </c>
      <c r="Q1290" t="s">
        <v>68</v>
      </c>
      <c r="R1290" s="1">
        <v>0.1</v>
      </c>
      <c r="S1290">
        <f t="shared" si="80"/>
        <v>83.7</v>
      </c>
      <c r="T1290">
        <f>IFERROR(VLOOKUP(A1290,Table1[[Customer ID]:[Discount Amount]], 6, FALSE),"Not Found")</f>
        <v>93</v>
      </c>
      <c r="U1290" t="str">
        <f t="shared" si="81"/>
        <v>PayPal</v>
      </c>
      <c r="V1290" s="4" t="str">
        <f t="shared" si="82"/>
        <v>Normal</v>
      </c>
      <c r="W1290" s="4" t="str">
        <f t="shared" si="83"/>
        <v>Good</v>
      </c>
      <c r="X1290" s="4">
        <f>AVERAGE(Table1[Purchase Amount])</f>
        <v>129.48419400000012</v>
      </c>
    </row>
    <row r="1291" spans="1:24" ht="15" customHeight="1" x14ac:dyDescent="0.25">
      <c r="A1291">
        <v>1290</v>
      </c>
      <c r="B1291">
        <v>35</v>
      </c>
      <c r="C1291" t="s">
        <v>27</v>
      </c>
      <c r="D1291" t="s">
        <v>96</v>
      </c>
      <c r="E1291" t="s">
        <v>77</v>
      </c>
      <c r="F1291" s="2">
        <v>24</v>
      </c>
      <c r="G1291" t="s">
        <v>132</v>
      </c>
      <c r="H1291" t="s">
        <v>31</v>
      </c>
      <c r="I1291" t="s">
        <v>46</v>
      </c>
      <c r="J1291" t="s">
        <v>47</v>
      </c>
      <c r="K1291">
        <v>2.9</v>
      </c>
      <c r="L1291" t="s">
        <v>23</v>
      </c>
      <c r="M1291" t="s">
        <v>79</v>
      </c>
      <c r="N1291" t="s">
        <v>34</v>
      </c>
      <c r="O1291">
        <v>10</v>
      </c>
      <c r="P1291" t="s">
        <v>58</v>
      </c>
      <c r="Q1291" t="s">
        <v>26</v>
      </c>
      <c r="R1291" s="1">
        <v>0.1</v>
      </c>
      <c r="S1291">
        <f t="shared" si="80"/>
        <v>21.6</v>
      </c>
      <c r="T1291">
        <f>IFERROR(VLOOKUP(A1291,Table1[[Customer ID]:[Discount Amount]], 6, FALSE),"Not Found")</f>
        <v>24</v>
      </c>
      <c r="U1291" t="str">
        <f t="shared" si="81"/>
        <v>PayPal</v>
      </c>
      <c r="V1291" s="4" t="str">
        <f t="shared" si="82"/>
        <v>Normal</v>
      </c>
      <c r="W1291" s="4" t="str">
        <f t="shared" si="83"/>
        <v>Poor</v>
      </c>
      <c r="X1291" s="4">
        <f>AVERAGE(Table1[Purchase Amount])</f>
        <v>129.48419400000012</v>
      </c>
    </row>
    <row r="1292" spans="1:24" ht="15" customHeight="1" x14ac:dyDescent="0.25">
      <c r="A1292">
        <v>1291</v>
      </c>
      <c r="B1292">
        <v>67</v>
      </c>
      <c r="C1292" t="s">
        <v>27</v>
      </c>
      <c r="D1292" t="s">
        <v>122</v>
      </c>
      <c r="E1292" t="s">
        <v>18</v>
      </c>
      <c r="F1292" s="2">
        <v>35</v>
      </c>
      <c r="G1292" t="s">
        <v>106</v>
      </c>
      <c r="H1292" t="s">
        <v>31</v>
      </c>
      <c r="I1292" t="s">
        <v>91</v>
      </c>
      <c r="J1292" t="s">
        <v>33</v>
      </c>
      <c r="K1292">
        <v>3.4</v>
      </c>
      <c r="L1292" t="s">
        <v>23</v>
      </c>
      <c r="M1292" t="s">
        <v>35</v>
      </c>
      <c r="N1292" t="s">
        <v>34</v>
      </c>
      <c r="O1292">
        <v>3</v>
      </c>
      <c r="P1292" t="s">
        <v>58</v>
      </c>
      <c r="Q1292" t="s">
        <v>49</v>
      </c>
      <c r="R1292" s="1">
        <v>0.1</v>
      </c>
      <c r="S1292">
        <f t="shared" si="80"/>
        <v>31.5</v>
      </c>
      <c r="T1292">
        <f>IFERROR(VLOOKUP(A1292,Table1[[Customer ID]:[Discount Amount]], 6, FALSE),"Not Found")</f>
        <v>35</v>
      </c>
      <c r="U1292" t="str">
        <f t="shared" si="81"/>
        <v>PayPal</v>
      </c>
      <c r="V1292" s="4" t="str">
        <f t="shared" si="82"/>
        <v>Normal</v>
      </c>
      <c r="W1292" s="4" t="str">
        <f t="shared" si="83"/>
        <v>Good</v>
      </c>
      <c r="X1292" s="4">
        <f>AVERAGE(Table1[Purchase Amount])</f>
        <v>129.48419400000012</v>
      </c>
    </row>
    <row r="1293" spans="1:24" ht="15" customHeight="1" x14ac:dyDescent="0.25">
      <c r="A1293">
        <v>1292</v>
      </c>
      <c r="B1293">
        <v>69</v>
      </c>
      <c r="C1293" t="s">
        <v>27</v>
      </c>
      <c r="D1293" t="s">
        <v>121</v>
      </c>
      <c r="E1293" t="s">
        <v>98</v>
      </c>
      <c r="F1293" s="2">
        <v>68</v>
      </c>
      <c r="G1293" t="s">
        <v>130</v>
      </c>
      <c r="H1293" t="s">
        <v>55</v>
      </c>
      <c r="I1293" t="s">
        <v>56</v>
      </c>
      <c r="J1293" t="s">
        <v>33</v>
      </c>
      <c r="K1293">
        <v>3.2</v>
      </c>
      <c r="L1293" t="s">
        <v>23</v>
      </c>
      <c r="M1293" t="s">
        <v>41</v>
      </c>
      <c r="N1293" t="s">
        <v>34</v>
      </c>
      <c r="O1293">
        <v>23</v>
      </c>
      <c r="P1293" t="s">
        <v>36</v>
      </c>
      <c r="Q1293" t="s">
        <v>89</v>
      </c>
      <c r="R1293" s="1">
        <v>0.1</v>
      </c>
      <c r="S1293">
        <f t="shared" si="80"/>
        <v>61.2</v>
      </c>
      <c r="T1293">
        <f>IFERROR(VLOOKUP(A1293,Table1[[Customer ID]:[Discount Amount]], 6, FALSE),"Not Found")</f>
        <v>68</v>
      </c>
      <c r="U1293" t="str">
        <f t="shared" si="81"/>
        <v>Debit Card</v>
      </c>
      <c r="V1293" s="4" t="str">
        <f t="shared" si="82"/>
        <v>Normal</v>
      </c>
      <c r="W1293" s="4" t="str">
        <f t="shared" si="83"/>
        <v>Good</v>
      </c>
      <c r="X1293" s="4">
        <f>AVERAGE(Table1[Purchase Amount])</f>
        <v>129.48419400000012</v>
      </c>
    </row>
    <row r="1294" spans="1:24" ht="15" customHeight="1" x14ac:dyDescent="0.25">
      <c r="A1294">
        <v>1293</v>
      </c>
      <c r="B1294">
        <v>26</v>
      </c>
      <c r="C1294" t="s">
        <v>27</v>
      </c>
      <c r="D1294" t="s">
        <v>114</v>
      </c>
      <c r="E1294" t="s">
        <v>29</v>
      </c>
      <c r="F1294" s="2">
        <v>61</v>
      </c>
      <c r="G1294" t="s">
        <v>70</v>
      </c>
      <c r="H1294" t="s">
        <v>31</v>
      </c>
      <c r="I1294" t="s">
        <v>125</v>
      </c>
      <c r="J1294" t="s">
        <v>57</v>
      </c>
      <c r="K1294">
        <v>1</v>
      </c>
      <c r="L1294" t="s">
        <v>23</v>
      </c>
      <c r="M1294" t="s">
        <v>35</v>
      </c>
      <c r="N1294" t="s">
        <v>34</v>
      </c>
      <c r="O1294">
        <v>42</v>
      </c>
      <c r="P1294" t="s">
        <v>88</v>
      </c>
      <c r="Q1294" t="s">
        <v>49</v>
      </c>
      <c r="R1294" s="1">
        <v>0.1</v>
      </c>
      <c r="S1294">
        <f t="shared" si="80"/>
        <v>54.9</v>
      </c>
      <c r="T1294">
        <f>IFERROR(VLOOKUP(A1294,Table1[[Customer ID]:[Discount Amount]], 6, FALSE),"Not Found")</f>
        <v>61</v>
      </c>
      <c r="U1294" t="str">
        <f t="shared" si="81"/>
        <v>Bank Transfer</v>
      </c>
      <c r="V1294" s="4" t="str">
        <f t="shared" si="82"/>
        <v>Normal</v>
      </c>
      <c r="W1294" s="4" t="str">
        <f t="shared" si="83"/>
        <v>Poor</v>
      </c>
      <c r="X1294" s="4">
        <f>AVERAGE(Table1[Purchase Amount])</f>
        <v>129.48419400000012</v>
      </c>
    </row>
    <row r="1295" spans="1:24" ht="15" customHeight="1" x14ac:dyDescent="0.25">
      <c r="A1295">
        <v>1294</v>
      </c>
      <c r="B1295">
        <v>23</v>
      </c>
      <c r="C1295" t="s">
        <v>27</v>
      </c>
      <c r="D1295" t="s">
        <v>127</v>
      </c>
      <c r="E1295" t="s">
        <v>18</v>
      </c>
      <c r="F1295" s="2">
        <v>74</v>
      </c>
      <c r="G1295" t="s">
        <v>67</v>
      </c>
      <c r="H1295" t="s">
        <v>20</v>
      </c>
      <c r="I1295" t="s">
        <v>52</v>
      </c>
      <c r="J1295" t="s">
        <v>47</v>
      </c>
      <c r="K1295">
        <v>4.0999999999999996</v>
      </c>
      <c r="L1295" t="s">
        <v>23</v>
      </c>
      <c r="M1295" t="s">
        <v>24</v>
      </c>
      <c r="N1295" t="s">
        <v>34</v>
      </c>
      <c r="O1295">
        <v>30</v>
      </c>
      <c r="P1295" t="s">
        <v>36</v>
      </c>
      <c r="Q1295" t="s">
        <v>49</v>
      </c>
      <c r="R1295" s="1">
        <v>0.1</v>
      </c>
      <c r="S1295">
        <f t="shared" si="80"/>
        <v>66.599999999999994</v>
      </c>
      <c r="T1295">
        <f>IFERROR(VLOOKUP(A1295,Table1[[Customer ID]:[Discount Amount]], 6, FALSE),"Not Found")</f>
        <v>74</v>
      </c>
      <c r="U1295" t="str">
        <f t="shared" si="81"/>
        <v>Debit Card</v>
      </c>
      <c r="V1295" s="4" t="str">
        <f t="shared" si="82"/>
        <v>Normal</v>
      </c>
      <c r="W1295" s="4" t="str">
        <f t="shared" si="83"/>
        <v>Good</v>
      </c>
      <c r="X1295" s="4">
        <f>AVERAGE(Table1[Purchase Amount])</f>
        <v>129.48419400000012</v>
      </c>
    </row>
    <row r="1296" spans="1:24" ht="15" customHeight="1" x14ac:dyDescent="0.25">
      <c r="A1296">
        <v>1295</v>
      </c>
      <c r="B1296">
        <v>27</v>
      </c>
      <c r="C1296" t="s">
        <v>27</v>
      </c>
      <c r="D1296" t="s">
        <v>38</v>
      </c>
      <c r="E1296" t="s">
        <v>18</v>
      </c>
      <c r="F1296" s="2">
        <v>64</v>
      </c>
      <c r="G1296" t="s">
        <v>152</v>
      </c>
      <c r="H1296" t="s">
        <v>31</v>
      </c>
      <c r="I1296" t="s">
        <v>153</v>
      </c>
      <c r="J1296" t="s">
        <v>57</v>
      </c>
      <c r="K1296">
        <v>4.5</v>
      </c>
      <c r="L1296" t="s">
        <v>23</v>
      </c>
      <c r="M1296" t="s">
        <v>24</v>
      </c>
      <c r="N1296" t="s">
        <v>34</v>
      </c>
      <c r="O1296">
        <v>21</v>
      </c>
      <c r="P1296" t="s">
        <v>25</v>
      </c>
      <c r="Q1296" t="s">
        <v>63</v>
      </c>
      <c r="R1296" s="1">
        <v>0.1</v>
      </c>
      <c r="S1296">
        <f t="shared" si="80"/>
        <v>57.6</v>
      </c>
      <c r="T1296">
        <f>IFERROR(VLOOKUP(A1296,Table1[[Customer ID]:[Discount Amount]], 6, FALSE),"Not Found")</f>
        <v>64</v>
      </c>
      <c r="U1296" t="str">
        <f t="shared" si="81"/>
        <v>Cash</v>
      </c>
      <c r="V1296" s="4" t="str">
        <f t="shared" si="82"/>
        <v>Normal</v>
      </c>
      <c r="W1296" s="4" t="str">
        <f t="shared" si="83"/>
        <v>Good</v>
      </c>
      <c r="X1296" s="4">
        <f>AVERAGE(Table1[Purchase Amount])</f>
        <v>129.48419400000012</v>
      </c>
    </row>
    <row r="1297" spans="1:24" ht="15" customHeight="1" x14ac:dyDescent="0.25">
      <c r="A1297">
        <v>1296</v>
      </c>
      <c r="B1297">
        <v>30</v>
      </c>
      <c r="C1297" t="s">
        <v>27</v>
      </c>
      <c r="D1297" t="s">
        <v>140</v>
      </c>
      <c r="E1297" t="s">
        <v>98</v>
      </c>
      <c r="F1297" s="2">
        <v>60</v>
      </c>
      <c r="G1297" t="s">
        <v>110</v>
      </c>
      <c r="H1297" t="s">
        <v>31</v>
      </c>
      <c r="I1297" t="s">
        <v>21</v>
      </c>
      <c r="J1297" t="s">
        <v>47</v>
      </c>
      <c r="K1297">
        <v>2.8</v>
      </c>
      <c r="L1297" t="s">
        <v>23</v>
      </c>
      <c r="M1297" t="s">
        <v>24</v>
      </c>
      <c r="N1297" t="s">
        <v>34</v>
      </c>
      <c r="O1297">
        <v>50</v>
      </c>
      <c r="P1297" t="s">
        <v>58</v>
      </c>
      <c r="Q1297" t="s">
        <v>26</v>
      </c>
      <c r="R1297" s="1">
        <v>0.1</v>
      </c>
      <c r="S1297">
        <f t="shared" si="80"/>
        <v>54</v>
      </c>
      <c r="T1297">
        <f>IFERROR(VLOOKUP(A1297,Table1[[Customer ID]:[Discount Amount]], 6, FALSE),"Not Found")</f>
        <v>60</v>
      </c>
      <c r="U1297" t="str">
        <f t="shared" si="81"/>
        <v>PayPal</v>
      </c>
      <c r="V1297" s="4" t="str">
        <f t="shared" si="82"/>
        <v>Normal</v>
      </c>
      <c r="W1297" s="4" t="str">
        <f t="shared" si="83"/>
        <v>Poor</v>
      </c>
      <c r="X1297" s="4">
        <f>AVERAGE(Table1[Purchase Amount])</f>
        <v>129.48419400000012</v>
      </c>
    </row>
    <row r="1298" spans="1:24" ht="15" customHeight="1" x14ac:dyDescent="0.25">
      <c r="A1298">
        <v>1297</v>
      </c>
      <c r="B1298">
        <v>48</v>
      </c>
      <c r="C1298" t="s">
        <v>27</v>
      </c>
      <c r="D1298" t="s">
        <v>109</v>
      </c>
      <c r="E1298" t="s">
        <v>18</v>
      </c>
      <c r="F1298" s="2">
        <v>29</v>
      </c>
      <c r="G1298" t="s">
        <v>130</v>
      </c>
      <c r="H1298" t="s">
        <v>55</v>
      </c>
      <c r="I1298" t="s">
        <v>147</v>
      </c>
      <c r="J1298" t="s">
        <v>33</v>
      </c>
      <c r="K1298">
        <v>2.8</v>
      </c>
      <c r="L1298" t="s">
        <v>23</v>
      </c>
      <c r="M1298" t="s">
        <v>61</v>
      </c>
      <c r="N1298" t="s">
        <v>34</v>
      </c>
      <c r="O1298">
        <v>16</v>
      </c>
      <c r="P1298" t="s">
        <v>25</v>
      </c>
      <c r="Q1298" t="s">
        <v>68</v>
      </c>
      <c r="R1298" s="1">
        <v>0.1</v>
      </c>
      <c r="S1298">
        <f t="shared" si="80"/>
        <v>26.1</v>
      </c>
      <c r="T1298">
        <f>IFERROR(VLOOKUP(A1298,Table1[[Customer ID]:[Discount Amount]], 6, FALSE),"Not Found")</f>
        <v>29</v>
      </c>
      <c r="U1298" t="str">
        <f t="shared" si="81"/>
        <v>Cash</v>
      </c>
      <c r="V1298" s="4" t="str">
        <f t="shared" si="82"/>
        <v>Normal</v>
      </c>
      <c r="W1298" s="4" t="str">
        <f t="shared" si="83"/>
        <v>Poor</v>
      </c>
      <c r="X1298" s="4">
        <f>AVERAGE(Table1[Purchase Amount])</f>
        <v>129.48419400000012</v>
      </c>
    </row>
    <row r="1299" spans="1:24" ht="15" customHeight="1" x14ac:dyDescent="0.25">
      <c r="A1299">
        <v>1298</v>
      </c>
      <c r="B1299">
        <v>44</v>
      </c>
      <c r="C1299" t="s">
        <v>27</v>
      </c>
      <c r="D1299" t="s">
        <v>121</v>
      </c>
      <c r="E1299" t="s">
        <v>98</v>
      </c>
      <c r="F1299" s="2">
        <v>85</v>
      </c>
      <c r="G1299" t="s">
        <v>131</v>
      </c>
      <c r="H1299" t="s">
        <v>31</v>
      </c>
      <c r="I1299" t="s">
        <v>153</v>
      </c>
      <c r="J1299" t="s">
        <v>57</v>
      </c>
      <c r="K1299">
        <v>4.5999999999999996</v>
      </c>
      <c r="L1299" t="s">
        <v>23</v>
      </c>
      <c r="M1299" t="s">
        <v>24</v>
      </c>
      <c r="N1299" t="s">
        <v>34</v>
      </c>
      <c r="O1299">
        <v>32</v>
      </c>
      <c r="P1299" t="s">
        <v>62</v>
      </c>
      <c r="Q1299" t="s">
        <v>49</v>
      </c>
      <c r="R1299" s="1">
        <v>0.1</v>
      </c>
      <c r="S1299">
        <f t="shared" si="80"/>
        <v>76.5</v>
      </c>
      <c r="T1299">
        <f>IFERROR(VLOOKUP(A1299,Table1[[Customer ID]:[Discount Amount]], 6, FALSE),"Not Found")</f>
        <v>85</v>
      </c>
      <c r="U1299" t="str">
        <f t="shared" si="81"/>
        <v>Venmo</v>
      </c>
      <c r="V1299" s="4" t="str">
        <f t="shared" si="82"/>
        <v>Normal</v>
      </c>
      <c r="W1299" s="4" t="str">
        <f t="shared" si="83"/>
        <v>Good</v>
      </c>
      <c r="X1299" s="4">
        <f>AVERAGE(Table1[Purchase Amount])</f>
        <v>129.48419400000012</v>
      </c>
    </row>
    <row r="1300" spans="1:24" ht="15" customHeight="1" x14ac:dyDescent="0.25">
      <c r="A1300">
        <v>1299</v>
      </c>
      <c r="B1300">
        <v>29</v>
      </c>
      <c r="C1300" t="s">
        <v>27</v>
      </c>
      <c r="D1300" t="s">
        <v>99</v>
      </c>
      <c r="E1300" t="s">
        <v>18</v>
      </c>
      <c r="F1300" s="2">
        <v>81</v>
      </c>
      <c r="G1300" t="s">
        <v>102</v>
      </c>
      <c r="H1300" t="s">
        <v>55</v>
      </c>
      <c r="I1300" t="s">
        <v>91</v>
      </c>
      <c r="J1300" t="s">
        <v>57</v>
      </c>
      <c r="K1300">
        <v>3</v>
      </c>
      <c r="L1300" t="s">
        <v>23</v>
      </c>
      <c r="M1300" t="s">
        <v>35</v>
      </c>
      <c r="N1300" t="s">
        <v>34</v>
      </c>
      <c r="O1300">
        <v>14</v>
      </c>
      <c r="P1300" t="s">
        <v>88</v>
      </c>
      <c r="Q1300" t="s">
        <v>89</v>
      </c>
      <c r="R1300" s="1">
        <v>0.1</v>
      </c>
      <c r="S1300">
        <f t="shared" si="80"/>
        <v>72.900000000000006</v>
      </c>
      <c r="T1300">
        <f>IFERROR(VLOOKUP(A1300,Table1[[Customer ID]:[Discount Amount]], 6, FALSE),"Not Found")</f>
        <v>81</v>
      </c>
      <c r="U1300" t="str">
        <f t="shared" si="81"/>
        <v>Bank Transfer</v>
      </c>
      <c r="V1300" s="4" t="str">
        <f t="shared" si="82"/>
        <v>Normal</v>
      </c>
      <c r="W1300" s="4" t="str">
        <f t="shared" si="83"/>
        <v>Good</v>
      </c>
      <c r="X1300" s="4">
        <f>AVERAGE(Table1[Purchase Amount])</f>
        <v>129.48419400000012</v>
      </c>
    </row>
    <row r="1301" spans="1:24" ht="15" customHeight="1" x14ac:dyDescent="0.25">
      <c r="A1301">
        <v>1300</v>
      </c>
      <c r="B1301">
        <v>29</v>
      </c>
      <c r="C1301" t="s">
        <v>27</v>
      </c>
      <c r="D1301" t="s">
        <v>114</v>
      </c>
      <c r="E1301" t="s">
        <v>29</v>
      </c>
      <c r="F1301" s="2">
        <v>23</v>
      </c>
      <c r="G1301" t="s">
        <v>119</v>
      </c>
      <c r="H1301" t="s">
        <v>45</v>
      </c>
      <c r="I1301" t="s">
        <v>147</v>
      </c>
      <c r="J1301" t="s">
        <v>47</v>
      </c>
      <c r="K1301">
        <v>3.6</v>
      </c>
      <c r="L1301" t="s">
        <v>23</v>
      </c>
      <c r="M1301" t="s">
        <v>41</v>
      </c>
      <c r="N1301" t="s">
        <v>34</v>
      </c>
      <c r="O1301">
        <v>42</v>
      </c>
      <c r="P1301" t="s">
        <v>62</v>
      </c>
      <c r="Q1301" t="s">
        <v>68</v>
      </c>
      <c r="R1301" s="1">
        <v>0.1</v>
      </c>
      <c r="S1301">
        <f t="shared" si="80"/>
        <v>20.7</v>
      </c>
      <c r="T1301">
        <f>IFERROR(VLOOKUP(A1301,Table1[[Customer ID]:[Discount Amount]], 6, FALSE),"Not Found")</f>
        <v>23</v>
      </c>
      <c r="U1301" t="str">
        <f t="shared" si="81"/>
        <v>Venmo</v>
      </c>
      <c r="V1301" s="4" t="str">
        <f t="shared" si="82"/>
        <v>Normal</v>
      </c>
      <c r="W1301" s="4" t="str">
        <f t="shared" si="83"/>
        <v>Good</v>
      </c>
      <c r="X1301" s="4">
        <f>AVERAGE(Table1[Purchase Amount])</f>
        <v>129.48419400000012</v>
      </c>
    </row>
    <row r="1302" spans="1:24" ht="15" customHeight="1" x14ac:dyDescent="0.25">
      <c r="A1302">
        <v>1301</v>
      </c>
      <c r="B1302">
        <v>67</v>
      </c>
      <c r="C1302" t="s">
        <v>27</v>
      </c>
      <c r="D1302" t="s">
        <v>17</v>
      </c>
      <c r="E1302" t="s">
        <v>18</v>
      </c>
      <c r="F1302" s="2">
        <v>100</v>
      </c>
      <c r="G1302" t="s">
        <v>154</v>
      </c>
      <c r="H1302" t="s">
        <v>31</v>
      </c>
      <c r="I1302" t="s">
        <v>103</v>
      </c>
      <c r="J1302" t="s">
        <v>33</v>
      </c>
      <c r="K1302">
        <v>4.5</v>
      </c>
      <c r="L1302" t="s">
        <v>23</v>
      </c>
      <c r="M1302" t="s">
        <v>79</v>
      </c>
      <c r="N1302" t="s">
        <v>34</v>
      </c>
      <c r="O1302">
        <v>47</v>
      </c>
      <c r="P1302" t="s">
        <v>53</v>
      </c>
      <c r="Q1302" t="s">
        <v>63</v>
      </c>
      <c r="R1302" s="1">
        <v>0.1</v>
      </c>
      <c r="S1302">
        <f t="shared" si="80"/>
        <v>90</v>
      </c>
      <c r="T1302">
        <f>IFERROR(VLOOKUP(A1302,Table1[[Customer ID]:[Discount Amount]], 6, FALSE),"Not Found")</f>
        <v>100</v>
      </c>
      <c r="U1302" t="str">
        <f t="shared" si="81"/>
        <v>Credit Card</v>
      </c>
      <c r="V1302" s="4" t="str">
        <f t="shared" si="82"/>
        <v>Normal</v>
      </c>
      <c r="W1302" s="4" t="str">
        <f t="shared" si="83"/>
        <v>Good</v>
      </c>
      <c r="X1302" s="4">
        <f>AVERAGE(Table1[Purchase Amount])</f>
        <v>129.48419400000012</v>
      </c>
    </row>
    <row r="1303" spans="1:24" ht="15" customHeight="1" x14ac:dyDescent="0.25">
      <c r="A1303">
        <v>1302</v>
      </c>
      <c r="B1303">
        <v>42</v>
      </c>
      <c r="C1303" t="s">
        <v>27</v>
      </c>
      <c r="D1303" t="s">
        <v>38</v>
      </c>
      <c r="E1303" t="s">
        <v>18</v>
      </c>
      <c r="F1303" s="2">
        <v>54</v>
      </c>
      <c r="G1303" t="s">
        <v>94</v>
      </c>
      <c r="H1303" t="s">
        <v>31</v>
      </c>
      <c r="I1303" t="s">
        <v>108</v>
      </c>
      <c r="J1303" t="s">
        <v>47</v>
      </c>
      <c r="K1303">
        <v>5</v>
      </c>
      <c r="L1303" t="s">
        <v>23</v>
      </c>
      <c r="M1303" t="s">
        <v>61</v>
      </c>
      <c r="N1303" t="s">
        <v>34</v>
      </c>
      <c r="O1303">
        <v>21</v>
      </c>
      <c r="P1303" t="s">
        <v>36</v>
      </c>
      <c r="Q1303" t="s">
        <v>26</v>
      </c>
      <c r="R1303" s="1">
        <v>0.1</v>
      </c>
      <c r="S1303">
        <f t="shared" si="80"/>
        <v>48.6</v>
      </c>
      <c r="T1303">
        <f>IFERROR(VLOOKUP(A1303,Table1[[Customer ID]:[Discount Amount]], 6, FALSE),"Not Found")</f>
        <v>54</v>
      </c>
      <c r="U1303" t="str">
        <f t="shared" si="81"/>
        <v>Debit Card</v>
      </c>
      <c r="V1303" s="4" t="str">
        <f t="shared" si="82"/>
        <v>Normal</v>
      </c>
      <c r="W1303" s="4" t="str">
        <f t="shared" si="83"/>
        <v>Good</v>
      </c>
      <c r="X1303" s="4">
        <f>AVERAGE(Table1[Purchase Amount])</f>
        <v>129.48419400000012</v>
      </c>
    </row>
    <row r="1304" spans="1:24" ht="15" customHeight="1" x14ac:dyDescent="0.25">
      <c r="A1304">
        <v>1303</v>
      </c>
      <c r="B1304">
        <v>23</v>
      </c>
      <c r="C1304" t="s">
        <v>27</v>
      </c>
      <c r="D1304" t="s">
        <v>140</v>
      </c>
      <c r="E1304" t="s">
        <v>98</v>
      </c>
      <c r="F1304" s="2">
        <v>25</v>
      </c>
      <c r="G1304" t="s">
        <v>161</v>
      </c>
      <c r="H1304" t="s">
        <v>31</v>
      </c>
      <c r="I1304" t="s">
        <v>133</v>
      </c>
      <c r="J1304" t="s">
        <v>47</v>
      </c>
      <c r="K1304">
        <v>2.9</v>
      </c>
      <c r="L1304" t="s">
        <v>23</v>
      </c>
      <c r="M1304" t="s">
        <v>79</v>
      </c>
      <c r="N1304" t="s">
        <v>34</v>
      </c>
      <c r="O1304">
        <v>37</v>
      </c>
      <c r="P1304" t="s">
        <v>53</v>
      </c>
      <c r="Q1304" t="s">
        <v>42</v>
      </c>
      <c r="R1304" s="1">
        <v>0.1</v>
      </c>
      <c r="S1304">
        <f t="shared" si="80"/>
        <v>22.5</v>
      </c>
      <c r="T1304">
        <f>IFERROR(VLOOKUP(A1304,Table1[[Customer ID]:[Discount Amount]], 6, FALSE),"Not Found")</f>
        <v>25</v>
      </c>
      <c r="U1304" t="str">
        <f t="shared" si="81"/>
        <v>Credit Card</v>
      </c>
      <c r="V1304" s="4" t="str">
        <f t="shared" si="82"/>
        <v>Normal</v>
      </c>
      <c r="W1304" s="4" t="str">
        <f t="shared" si="83"/>
        <v>Poor</v>
      </c>
      <c r="X1304" s="4">
        <f>AVERAGE(Table1[Purchase Amount])</f>
        <v>129.48419400000012</v>
      </c>
    </row>
    <row r="1305" spans="1:24" ht="15" customHeight="1" x14ac:dyDescent="0.25">
      <c r="A1305">
        <v>1304</v>
      </c>
      <c r="B1305">
        <v>34</v>
      </c>
      <c r="C1305" t="s">
        <v>27</v>
      </c>
      <c r="D1305" t="s">
        <v>118</v>
      </c>
      <c r="E1305" t="s">
        <v>18</v>
      </c>
      <c r="F1305" s="2">
        <v>32</v>
      </c>
      <c r="G1305" t="s">
        <v>101</v>
      </c>
      <c r="H1305" t="s">
        <v>45</v>
      </c>
      <c r="I1305" t="s">
        <v>153</v>
      </c>
      <c r="J1305" t="s">
        <v>57</v>
      </c>
      <c r="K1305">
        <v>3.1</v>
      </c>
      <c r="L1305" t="s">
        <v>23</v>
      </c>
      <c r="M1305" t="s">
        <v>79</v>
      </c>
      <c r="N1305" t="s">
        <v>34</v>
      </c>
      <c r="O1305">
        <v>10</v>
      </c>
      <c r="P1305" t="s">
        <v>53</v>
      </c>
      <c r="Q1305" t="s">
        <v>49</v>
      </c>
      <c r="R1305" s="1">
        <v>0.1</v>
      </c>
      <c r="S1305">
        <f t="shared" si="80"/>
        <v>28.8</v>
      </c>
      <c r="T1305">
        <f>IFERROR(VLOOKUP(A1305,Table1[[Customer ID]:[Discount Amount]], 6, FALSE),"Not Found")</f>
        <v>32</v>
      </c>
      <c r="U1305" t="str">
        <f t="shared" si="81"/>
        <v>Credit Card</v>
      </c>
      <c r="V1305" s="4" t="str">
        <f t="shared" si="82"/>
        <v>Normal</v>
      </c>
      <c r="W1305" s="4" t="str">
        <f t="shared" si="83"/>
        <v>Good</v>
      </c>
      <c r="X1305" s="4">
        <f>AVERAGE(Table1[Purchase Amount])</f>
        <v>129.48419400000012</v>
      </c>
    </row>
    <row r="1306" spans="1:24" ht="15" customHeight="1" x14ac:dyDescent="0.25">
      <c r="A1306">
        <v>1305</v>
      </c>
      <c r="B1306">
        <v>64</v>
      </c>
      <c r="C1306" t="s">
        <v>27</v>
      </c>
      <c r="D1306" t="s">
        <v>104</v>
      </c>
      <c r="E1306" t="s">
        <v>29</v>
      </c>
      <c r="F1306" s="2">
        <v>63</v>
      </c>
      <c r="G1306" t="s">
        <v>39</v>
      </c>
      <c r="H1306" t="s">
        <v>55</v>
      </c>
      <c r="I1306" t="s">
        <v>108</v>
      </c>
      <c r="J1306" t="s">
        <v>33</v>
      </c>
      <c r="K1306">
        <v>4</v>
      </c>
      <c r="L1306" t="s">
        <v>23</v>
      </c>
      <c r="M1306" t="s">
        <v>41</v>
      </c>
      <c r="N1306" t="s">
        <v>34</v>
      </c>
      <c r="O1306">
        <v>18</v>
      </c>
      <c r="P1306" t="s">
        <v>58</v>
      </c>
      <c r="Q1306" t="s">
        <v>63</v>
      </c>
      <c r="R1306" s="1">
        <v>0.1</v>
      </c>
      <c r="S1306">
        <f t="shared" si="80"/>
        <v>56.7</v>
      </c>
      <c r="T1306">
        <f>IFERROR(VLOOKUP(A1306,Table1[[Customer ID]:[Discount Amount]], 6, FALSE),"Not Found")</f>
        <v>63</v>
      </c>
      <c r="U1306" t="str">
        <f t="shared" si="81"/>
        <v>PayPal</v>
      </c>
      <c r="V1306" s="4" t="str">
        <f t="shared" si="82"/>
        <v>Normal</v>
      </c>
      <c r="W1306" s="4" t="str">
        <f t="shared" si="83"/>
        <v>Good</v>
      </c>
      <c r="X1306" s="4">
        <f>AVERAGE(Table1[Purchase Amount])</f>
        <v>129.48419400000012</v>
      </c>
    </row>
    <row r="1307" spans="1:24" ht="15" customHeight="1" x14ac:dyDescent="0.25">
      <c r="A1307">
        <v>1306</v>
      </c>
      <c r="B1307">
        <v>31</v>
      </c>
      <c r="C1307" t="s">
        <v>27</v>
      </c>
      <c r="D1307" t="s">
        <v>99</v>
      </c>
      <c r="E1307" t="s">
        <v>18</v>
      </c>
      <c r="F1307" s="2">
        <v>56</v>
      </c>
      <c r="G1307" t="s">
        <v>149</v>
      </c>
      <c r="H1307" t="s">
        <v>20</v>
      </c>
      <c r="I1307" t="s">
        <v>145</v>
      </c>
      <c r="J1307" t="s">
        <v>33</v>
      </c>
      <c r="K1307">
        <v>4.5</v>
      </c>
      <c r="L1307" t="s">
        <v>23</v>
      </c>
      <c r="M1307" t="s">
        <v>61</v>
      </c>
      <c r="N1307" t="s">
        <v>34</v>
      </c>
      <c r="O1307">
        <v>2</v>
      </c>
      <c r="P1307" t="s">
        <v>58</v>
      </c>
      <c r="Q1307" t="s">
        <v>63</v>
      </c>
      <c r="R1307" s="1">
        <v>0.1</v>
      </c>
      <c r="S1307">
        <f t="shared" si="80"/>
        <v>50.4</v>
      </c>
      <c r="T1307">
        <f>IFERROR(VLOOKUP(A1307,Table1[[Customer ID]:[Discount Amount]], 6, FALSE),"Not Found")</f>
        <v>56</v>
      </c>
      <c r="U1307" t="str">
        <f t="shared" si="81"/>
        <v>PayPal</v>
      </c>
      <c r="V1307" s="4" t="str">
        <f t="shared" si="82"/>
        <v>Normal</v>
      </c>
      <c r="W1307" s="4" t="str">
        <f t="shared" si="83"/>
        <v>Good</v>
      </c>
      <c r="X1307" s="4">
        <f>AVERAGE(Table1[Purchase Amount])</f>
        <v>129.48419400000012</v>
      </c>
    </row>
    <row r="1308" spans="1:24" ht="15" customHeight="1" x14ac:dyDescent="0.25">
      <c r="A1308">
        <v>1307</v>
      </c>
      <c r="B1308">
        <v>54</v>
      </c>
      <c r="C1308" t="s">
        <v>27</v>
      </c>
      <c r="D1308" t="s">
        <v>127</v>
      </c>
      <c r="E1308" t="s">
        <v>18</v>
      </c>
      <c r="F1308" s="2">
        <v>33</v>
      </c>
      <c r="G1308" t="s">
        <v>148</v>
      </c>
      <c r="H1308" t="s">
        <v>45</v>
      </c>
      <c r="I1308" t="s">
        <v>60</v>
      </c>
      <c r="J1308" t="s">
        <v>22</v>
      </c>
      <c r="K1308">
        <v>4.5</v>
      </c>
      <c r="L1308" t="s">
        <v>23</v>
      </c>
      <c r="M1308" t="s">
        <v>79</v>
      </c>
      <c r="N1308" t="s">
        <v>34</v>
      </c>
      <c r="O1308">
        <v>40</v>
      </c>
      <c r="P1308" t="s">
        <v>58</v>
      </c>
      <c r="Q1308" t="s">
        <v>49</v>
      </c>
      <c r="R1308" s="1">
        <v>0.1</v>
      </c>
      <c r="S1308">
        <f t="shared" si="80"/>
        <v>29.7</v>
      </c>
      <c r="T1308">
        <f>IFERROR(VLOOKUP(A1308,Table1[[Customer ID]:[Discount Amount]], 6, FALSE),"Not Found")</f>
        <v>33</v>
      </c>
      <c r="U1308" t="str">
        <f t="shared" si="81"/>
        <v>PayPal</v>
      </c>
      <c r="V1308" s="4" t="str">
        <f t="shared" si="82"/>
        <v>Normal</v>
      </c>
      <c r="W1308" s="4" t="str">
        <f t="shared" si="83"/>
        <v>Good</v>
      </c>
      <c r="X1308" s="4">
        <f>AVERAGE(Table1[Purchase Amount])</f>
        <v>129.48419400000012</v>
      </c>
    </row>
    <row r="1309" spans="1:24" ht="15" customHeight="1" x14ac:dyDescent="0.25">
      <c r="A1309">
        <v>1308</v>
      </c>
      <c r="B1309">
        <v>23</v>
      </c>
      <c r="C1309" t="s">
        <v>27</v>
      </c>
      <c r="D1309" t="s">
        <v>76</v>
      </c>
      <c r="E1309" t="s">
        <v>77</v>
      </c>
      <c r="F1309" s="2">
        <v>32</v>
      </c>
      <c r="G1309" t="s">
        <v>146</v>
      </c>
      <c r="H1309" t="s">
        <v>45</v>
      </c>
      <c r="I1309" t="s">
        <v>40</v>
      </c>
      <c r="J1309" t="s">
        <v>57</v>
      </c>
      <c r="K1309">
        <v>3.1</v>
      </c>
      <c r="L1309" t="s">
        <v>23</v>
      </c>
      <c r="M1309" t="s">
        <v>61</v>
      </c>
      <c r="N1309" t="s">
        <v>34</v>
      </c>
      <c r="O1309">
        <v>43</v>
      </c>
      <c r="P1309" t="s">
        <v>58</v>
      </c>
      <c r="Q1309" t="s">
        <v>49</v>
      </c>
      <c r="R1309" s="1">
        <v>0.1</v>
      </c>
      <c r="S1309">
        <f t="shared" si="80"/>
        <v>28.8</v>
      </c>
      <c r="T1309">
        <f>IFERROR(VLOOKUP(A1309,Table1[[Customer ID]:[Discount Amount]], 6, FALSE),"Not Found")</f>
        <v>32</v>
      </c>
      <c r="U1309" t="str">
        <f t="shared" si="81"/>
        <v>PayPal</v>
      </c>
      <c r="V1309" s="4" t="str">
        <f t="shared" si="82"/>
        <v>Normal</v>
      </c>
      <c r="W1309" s="4" t="str">
        <f t="shared" si="83"/>
        <v>Good</v>
      </c>
      <c r="X1309" s="4">
        <f>AVERAGE(Table1[Purchase Amount])</f>
        <v>129.48419400000012</v>
      </c>
    </row>
    <row r="1310" spans="1:24" ht="15" customHeight="1" x14ac:dyDescent="0.25">
      <c r="A1310">
        <v>1309</v>
      </c>
      <c r="B1310">
        <v>59</v>
      </c>
      <c r="C1310" t="s">
        <v>27</v>
      </c>
      <c r="D1310" t="s">
        <v>157</v>
      </c>
      <c r="E1310" t="s">
        <v>18</v>
      </c>
      <c r="F1310" s="2">
        <v>38</v>
      </c>
      <c r="G1310" t="s">
        <v>159</v>
      </c>
      <c r="H1310" t="s">
        <v>45</v>
      </c>
      <c r="I1310" t="s">
        <v>46</v>
      </c>
      <c r="J1310" t="s">
        <v>57</v>
      </c>
      <c r="K1310">
        <v>4.4000000000000004</v>
      </c>
      <c r="L1310" t="s">
        <v>23</v>
      </c>
      <c r="M1310" t="s">
        <v>79</v>
      </c>
      <c r="N1310" t="s">
        <v>34</v>
      </c>
      <c r="O1310">
        <v>14</v>
      </c>
      <c r="P1310" t="s">
        <v>53</v>
      </c>
      <c r="Q1310" t="s">
        <v>63</v>
      </c>
      <c r="R1310" s="1">
        <v>0.1</v>
      </c>
      <c r="S1310">
        <f t="shared" si="80"/>
        <v>34.200000000000003</v>
      </c>
      <c r="T1310">
        <f>IFERROR(VLOOKUP(A1310,Table1[[Customer ID]:[Discount Amount]], 6, FALSE),"Not Found")</f>
        <v>38</v>
      </c>
      <c r="U1310" t="str">
        <f t="shared" si="81"/>
        <v>Credit Card</v>
      </c>
      <c r="V1310" s="4" t="str">
        <f t="shared" si="82"/>
        <v>Normal</v>
      </c>
      <c r="W1310" s="4" t="str">
        <f t="shared" si="83"/>
        <v>Good</v>
      </c>
      <c r="X1310" s="4">
        <f>AVERAGE(Table1[Purchase Amount])</f>
        <v>129.48419400000012</v>
      </c>
    </row>
    <row r="1311" spans="1:24" ht="15" customHeight="1" x14ac:dyDescent="0.25">
      <c r="A1311">
        <v>1310</v>
      </c>
      <c r="B1311">
        <v>32</v>
      </c>
      <c r="C1311" t="s">
        <v>27</v>
      </c>
      <c r="D1311" t="s">
        <v>118</v>
      </c>
      <c r="E1311" t="s">
        <v>18</v>
      </c>
      <c r="F1311" s="2">
        <v>21</v>
      </c>
      <c r="G1311" t="s">
        <v>135</v>
      </c>
      <c r="H1311" t="s">
        <v>45</v>
      </c>
      <c r="I1311" t="s">
        <v>107</v>
      </c>
      <c r="J1311" t="s">
        <v>57</v>
      </c>
      <c r="K1311">
        <v>4.7</v>
      </c>
      <c r="L1311" t="s">
        <v>23</v>
      </c>
      <c r="M1311" t="s">
        <v>48</v>
      </c>
      <c r="N1311" t="s">
        <v>34</v>
      </c>
      <c r="O1311">
        <v>41</v>
      </c>
      <c r="P1311" t="s">
        <v>25</v>
      </c>
      <c r="Q1311" t="s">
        <v>37</v>
      </c>
      <c r="R1311" s="1">
        <v>0.1</v>
      </c>
      <c r="S1311">
        <f t="shared" si="80"/>
        <v>18.899999999999999</v>
      </c>
      <c r="T1311">
        <f>IFERROR(VLOOKUP(A1311,Table1[[Customer ID]:[Discount Amount]], 6, FALSE),"Not Found")</f>
        <v>21</v>
      </c>
      <c r="U1311" t="str">
        <f t="shared" si="81"/>
        <v>Cash</v>
      </c>
      <c r="V1311" s="4" t="str">
        <f t="shared" si="82"/>
        <v>Normal</v>
      </c>
      <c r="W1311" s="4" t="str">
        <f t="shared" si="83"/>
        <v>Good</v>
      </c>
      <c r="X1311" s="4">
        <f>AVERAGE(Table1[Purchase Amount])</f>
        <v>129.48419400000012</v>
      </c>
    </row>
    <row r="1312" spans="1:24" ht="15" customHeight="1" x14ac:dyDescent="0.25">
      <c r="A1312">
        <v>1311</v>
      </c>
      <c r="B1312">
        <v>43</v>
      </c>
      <c r="C1312" t="s">
        <v>27</v>
      </c>
      <c r="D1312" t="s">
        <v>83</v>
      </c>
      <c r="E1312" t="s">
        <v>18</v>
      </c>
      <c r="F1312" s="2">
        <v>59</v>
      </c>
      <c r="G1312" t="s">
        <v>30</v>
      </c>
      <c r="H1312" t="s">
        <v>45</v>
      </c>
      <c r="I1312" t="s">
        <v>60</v>
      </c>
      <c r="J1312" t="s">
        <v>22</v>
      </c>
      <c r="K1312">
        <v>3.1</v>
      </c>
      <c r="L1312" t="s">
        <v>23</v>
      </c>
      <c r="M1312" t="s">
        <v>48</v>
      </c>
      <c r="N1312" t="s">
        <v>34</v>
      </c>
      <c r="O1312">
        <v>38</v>
      </c>
      <c r="P1312" t="s">
        <v>53</v>
      </c>
      <c r="Q1312" t="s">
        <v>63</v>
      </c>
      <c r="R1312" s="1">
        <v>0.1</v>
      </c>
      <c r="S1312">
        <f t="shared" si="80"/>
        <v>53.1</v>
      </c>
      <c r="T1312">
        <f>IFERROR(VLOOKUP(A1312,Table1[[Customer ID]:[Discount Amount]], 6, FALSE),"Not Found")</f>
        <v>59</v>
      </c>
      <c r="U1312" t="str">
        <f t="shared" si="81"/>
        <v>Credit Card</v>
      </c>
      <c r="V1312" s="4" t="str">
        <f t="shared" si="82"/>
        <v>Normal</v>
      </c>
      <c r="W1312" s="4" t="str">
        <f t="shared" si="83"/>
        <v>Good</v>
      </c>
      <c r="X1312" s="4">
        <f>AVERAGE(Table1[Purchase Amount])</f>
        <v>129.48419400000012</v>
      </c>
    </row>
    <row r="1313" spans="1:24" ht="15" customHeight="1" x14ac:dyDescent="0.25">
      <c r="A1313">
        <v>1312</v>
      </c>
      <c r="B1313">
        <v>32</v>
      </c>
      <c r="C1313" t="s">
        <v>27</v>
      </c>
      <c r="D1313" t="s">
        <v>72</v>
      </c>
      <c r="E1313" t="s">
        <v>98</v>
      </c>
      <c r="F1313" s="2">
        <v>87</v>
      </c>
      <c r="G1313" t="s">
        <v>65</v>
      </c>
      <c r="H1313" t="s">
        <v>31</v>
      </c>
      <c r="I1313" t="s">
        <v>125</v>
      </c>
      <c r="J1313" t="s">
        <v>47</v>
      </c>
      <c r="K1313">
        <v>4.2</v>
      </c>
      <c r="L1313" t="s">
        <v>23</v>
      </c>
      <c r="M1313" t="s">
        <v>61</v>
      </c>
      <c r="N1313" t="s">
        <v>34</v>
      </c>
      <c r="O1313">
        <v>12</v>
      </c>
      <c r="P1313" t="s">
        <v>62</v>
      </c>
      <c r="Q1313" t="s">
        <v>49</v>
      </c>
      <c r="R1313" s="1">
        <v>0.1</v>
      </c>
      <c r="S1313">
        <f t="shared" si="80"/>
        <v>78.3</v>
      </c>
      <c r="T1313">
        <f>IFERROR(VLOOKUP(A1313,Table1[[Customer ID]:[Discount Amount]], 6, FALSE),"Not Found")</f>
        <v>87</v>
      </c>
      <c r="U1313" t="str">
        <f t="shared" si="81"/>
        <v>Venmo</v>
      </c>
      <c r="V1313" s="4" t="str">
        <f t="shared" si="82"/>
        <v>Normal</v>
      </c>
      <c r="W1313" s="4" t="str">
        <f t="shared" si="83"/>
        <v>Good</v>
      </c>
      <c r="X1313" s="4">
        <f>AVERAGE(Table1[Purchase Amount])</f>
        <v>129.48419400000012</v>
      </c>
    </row>
    <row r="1314" spans="1:24" ht="15" customHeight="1" x14ac:dyDescent="0.25">
      <c r="A1314">
        <v>1313</v>
      </c>
      <c r="B1314">
        <v>66</v>
      </c>
      <c r="C1314" t="s">
        <v>27</v>
      </c>
      <c r="D1314" t="s">
        <v>17</v>
      </c>
      <c r="E1314" t="s">
        <v>18</v>
      </c>
      <c r="F1314" s="2">
        <v>79</v>
      </c>
      <c r="G1314" t="s">
        <v>146</v>
      </c>
      <c r="H1314" t="s">
        <v>31</v>
      </c>
      <c r="I1314" t="s">
        <v>111</v>
      </c>
      <c r="J1314" t="s">
        <v>22</v>
      </c>
      <c r="K1314">
        <v>3</v>
      </c>
      <c r="L1314" t="s">
        <v>23</v>
      </c>
      <c r="M1314" t="s">
        <v>48</v>
      </c>
      <c r="N1314" t="s">
        <v>34</v>
      </c>
      <c r="O1314">
        <v>19</v>
      </c>
      <c r="P1314" t="s">
        <v>88</v>
      </c>
      <c r="Q1314" t="s">
        <v>42</v>
      </c>
      <c r="R1314" s="1">
        <v>0.1</v>
      </c>
      <c r="S1314">
        <f t="shared" si="80"/>
        <v>71.099999999999994</v>
      </c>
      <c r="T1314">
        <f>IFERROR(VLOOKUP(A1314,Table1[[Customer ID]:[Discount Amount]], 6, FALSE),"Not Found")</f>
        <v>79</v>
      </c>
      <c r="U1314" t="str">
        <f t="shared" si="81"/>
        <v>Bank Transfer</v>
      </c>
      <c r="V1314" s="4" t="str">
        <f t="shared" si="82"/>
        <v>Normal</v>
      </c>
      <c r="W1314" s="4" t="str">
        <f t="shared" si="83"/>
        <v>Good</v>
      </c>
      <c r="X1314" s="4">
        <f>AVERAGE(Table1[Purchase Amount])</f>
        <v>129.48419400000012</v>
      </c>
    </row>
    <row r="1315" spans="1:24" ht="15" customHeight="1" x14ac:dyDescent="0.25">
      <c r="A1315">
        <v>1314</v>
      </c>
      <c r="B1315">
        <v>70</v>
      </c>
      <c r="C1315" t="s">
        <v>27</v>
      </c>
      <c r="D1315" t="s">
        <v>72</v>
      </c>
      <c r="E1315" t="s">
        <v>98</v>
      </c>
      <c r="F1315" s="2">
        <v>28</v>
      </c>
      <c r="G1315" t="s">
        <v>146</v>
      </c>
      <c r="H1315" t="s">
        <v>31</v>
      </c>
      <c r="I1315" t="s">
        <v>107</v>
      </c>
      <c r="J1315" t="s">
        <v>57</v>
      </c>
      <c r="K1315">
        <v>1</v>
      </c>
      <c r="L1315" t="s">
        <v>23</v>
      </c>
      <c r="M1315" t="s">
        <v>35</v>
      </c>
      <c r="N1315" t="s">
        <v>34</v>
      </c>
      <c r="O1315">
        <v>23</v>
      </c>
      <c r="P1315" t="s">
        <v>53</v>
      </c>
      <c r="Q1315" t="s">
        <v>68</v>
      </c>
      <c r="R1315" s="1">
        <v>0.1</v>
      </c>
      <c r="S1315">
        <f t="shared" si="80"/>
        <v>25.2</v>
      </c>
      <c r="T1315">
        <f>IFERROR(VLOOKUP(A1315,Table1[[Customer ID]:[Discount Amount]], 6, FALSE),"Not Found")</f>
        <v>28</v>
      </c>
      <c r="U1315" t="str">
        <f t="shared" si="81"/>
        <v>Credit Card</v>
      </c>
      <c r="V1315" s="4" t="str">
        <f t="shared" si="82"/>
        <v>Normal</v>
      </c>
      <c r="W1315" s="4" t="str">
        <f t="shared" si="83"/>
        <v>Poor</v>
      </c>
      <c r="X1315" s="4">
        <f>AVERAGE(Table1[Purchase Amount])</f>
        <v>129.48419400000012</v>
      </c>
    </row>
    <row r="1316" spans="1:24" ht="15" customHeight="1" x14ac:dyDescent="0.25">
      <c r="A1316">
        <v>1315</v>
      </c>
      <c r="B1316">
        <v>42</v>
      </c>
      <c r="C1316" t="s">
        <v>27</v>
      </c>
      <c r="D1316" t="s">
        <v>151</v>
      </c>
      <c r="E1316" t="s">
        <v>98</v>
      </c>
      <c r="F1316" s="2">
        <v>67</v>
      </c>
      <c r="G1316" t="s">
        <v>146</v>
      </c>
      <c r="H1316" t="s">
        <v>55</v>
      </c>
      <c r="I1316" t="s">
        <v>87</v>
      </c>
      <c r="J1316" t="s">
        <v>57</v>
      </c>
      <c r="K1316">
        <v>3.4</v>
      </c>
      <c r="L1316" t="s">
        <v>23</v>
      </c>
      <c r="M1316" t="s">
        <v>35</v>
      </c>
      <c r="N1316" t="s">
        <v>34</v>
      </c>
      <c r="O1316">
        <v>49</v>
      </c>
      <c r="P1316" t="s">
        <v>36</v>
      </c>
      <c r="Q1316" t="s">
        <v>49</v>
      </c>
      <c r="R1316" s="1">
        <v>0.1</v>
      </c>
      <c r="S1316">
        <f t="shared" si="80"/>
        <v>60.3</v>
      </c>
      <c r="T1316">
        <f>IFERROR(VLOOKUP(A1316,Table1[[Customer ID]:[Discount Amount]], 6, FALSE),"Not Found")</f>
        <v>67</v>
      </c>
      <c r="U1316" t="str">
        <f t="shared" si="81"/>
        <v>Debit Card</v>
      </c>
      <c r="V1316" s="4" t="str">
        <f t="shared" si="82"/>
        <v>Normal</v>
      </c>
      <c r="W1316" s="4" t="str">
        <f t="shared" si="83"/>
        <v>Good</v>
      </c>
      <c r="X1316" s="4">
        <f>AVERAGE(Table1[Purchase Amount])</f>
        <v>129.48419400000012</v>
      </c>
    </row>
    <row r="1317" spans="1:24" ht="15" customHeight="1" x14ac:dyDescent="0.25">
      <c r="A1317">
        <v>1316</v>
      </c>
      <c r="B1317">
        <v>56</v>
      </c>
      <c r="C1317" t="s">
        <v>27</v>
      </c>
      <c r="D1317" t="s">
        <v>54</v>
      </c>
      <c r="E1317" t="s">
        <v>18</v>
      </c>
      <c r="F1317" s="2">
        <v>75</v>
      </c>
      <c r="G1317" t="s">
        <v>149</v>
      </c>
      <c r="H1317" t="s">
        <v>45</v>
      </c>
      <c r="I1317" t="s">
        <v>93</v>
      </c>
      <c r="J1317" t="s">
        <v>33</v>
      </c>
      <c r="K1317">
        <v>4.2</v>
      </c>
      <c r="L1317" t="s">
        <v>23</v>
      </c>
      <c r="M1317" t="s">
        <v>41</v>
      </c>
      <c r="N1317" t="s">
        <v>34</v>
      </c>
      <c r="O1317">
        <v>29</v>
      </c>
      <c r="P1317" t="s">
        <v>36</v>
      </c>
      <c r="Q1317" t="s">
        <v>37</v>
      </c>
      <c r="R1317" s="1">
        <v>0.1</v>
      </c>
      <c r="S1317">
        <f t="shared" si="80"/>
        <v>67.5</v>
      </c>
      <c r="T1317">
        <f>IFERROR(VLOOKUP(A1317,Table1[[Customer ID]:[Discount Amount]], 6, FALSE),"Not Found")</f>
        <v>75</v>
      </c>
      <c r="U1317" t="str">
        <f t="shared" si="81"/>
        <v>Debit Card</v>
      </c>
      <c r="V1317" s="4" t="str">
        <f t="shared" si="82"/>
        <v>Normal</v>
      </c>
      <c r="W1317" s="4" t="str">
        <f t="shared" si="83"/>
        <v>Good</v>
      </c>
      <c r="X1317" s="4">
        <f>AVERAGE(Table1[Purchase Amount])</f>
        <v>129.48419400000012</v>
      </c>
    </row>
    <row r="1318" spans="1:24" ht="15" customHeight="1" x14ac:dyDescent="0.25">
      <c r="A1318">
        <v>1317</v>
      </c>
      <c r="B1318">
        <v>28</v>
      </c>
      <c r="C1318" t="s">
        <v>27</v>
      </c>
      <c r="D1318" t="s">
        <v>114</v>
      </c>
      <c r="E1318" t="s">
        <v>29</v>
      </c>
      <c r="F1318" s="2">
        <v>32</v>
      </c>
      <c r="G1318" t="s">
        <v>100</v>
      </c>
      <c r="H1318" t="s">
        <v>55</v>
      </c>
      <c r="I1318" t="s">
        <v>107</v>
      </c>
      <c r="J1318" t="s">
        <v>33</v>
      </c>
      <c r="K1318">
        <v>4.5999999999999996</v>
      </c>
      <c r="L1318" t="s">
        <v>23</v>
      </c>
      <c r="M1318" t="s">
        <v>24</v>
      </c>
      <c r="N1318" t="s">
        <v>34</v>
      </c>
      <c r="O1318">
        <v>14</v>
      </c>
      <c r="P1318" t="s">
        <v>36</v>
      </c>
      <c r="Q1318" t="s">
        <v>68</v>
      </c>
      <c r="R1318" s="1">
        <v>0.1</v>
      </c>
      <c r="S1318">
        <f t="shared" si="80"/>
        <v>28.8</v>
      </c>
      <c r="T1318">
        <f>IFERROR(VLOOKUP(A1318,Table1[[Customer ID]:[Discount Amount]], 6, FALSE),"Not Found")</f>
        <v>32</v>
      </c>
      <c r="U1318" t="str">
        <f t="shared" si="81"/>
        <v>Debit Card</v>
      </c>
      <c r="V1318" s="4" t="str">
        <f t="shared" si="82"/>
        <v>Normal</v>
      </c>
      <c r="W1318" s="4" t="str">
        <f t="shared" si="83"/>
        <v>Good</v>
      </c>
      <c r="X1318" s="4">
        <f>AVERAGE(Table1[Purchase Amount])</f>
        <v>129.48419400000012</v>
      </c>
    </row>
    <row r="1319" spans="1:24" ht="15" customHeight="1" x14ac:dyDescent="0.25">
      <c r="A1319">
        <v>1318</v>
      </c>
      <c r="B1319">
        <v>28</v>
      </c>
      <c r="C1319" t="s">
        <v>27</v>
      </c>
      <c r="D1319" t="s">
        <v>99</v>
      </c>
      <c r="E1319" t="s">
        <v>18</v>
      </c>
      <c r="F1319" s="2">
        <v>43</v>
      </c>
      <c r="G1319" t="s">
        <v>70</v>
      </c>
      <c r="H1319" t="s">
        <v>31</v>
      </c>
      <c r="I1319" t="s">
        <v>93</v>
      </c>
      <c r="J1319" t="s">
        <v>33</v>
      </c>
      <c r="K1319">
        <v>2.8</v>
      </c>
      <c r="L1319" t="s">
        <v>23</v>
      </c>
      <c r="M1319" t="s">
        <v>35</v>
      </c>
      <c r="N1319" t="s">
        <v>34</v>
      </c>
      <c r="O1319">
        <v>19</v>
      </c>
      <c r="P1319" t="s">
        <v>25</v>
      </c>
      <c r="Q1319" t="s">
        <v>42</v>
      </c>
      <c r="R1319" s="1">
        <v>0.1</v>
      </c>
      <c r="S1319">
        <f t="shared" si="80"/>
        <v>38.700000000000003</v>
      </c>
      <c r="T1319">
        <f>IFERROR(VLOOKUP(A1319,Table1[[Customer ID]:[Discount Amount]], 6, FALSE),"Not Found")</f>
        <v>43</v>
      </c>
      <c r="U1319" t="str">
        <f t="shared" si="81"/>
        <v>Cash</v>
      </c>
      <c r="V1319" s="4" t="str">
        <f t="shared" si="82"/>
        <v>Normal</v>
      </c>
      <c r="W1319" s="4" t="str">
        <f t="shared" si="83"/>
        <v>Poor</v>
      </c>
      <c r="X1319" s="4">
        <f>AVERAGE(Table1[Purchase Amount])</f>
        <v>129.48419400000012</v>
      </c>
    </row>
    <row r="1320" spans="1:24" ht="15" customHeight="1" x14ac:dyDescent="0.25">
      <c r="A1320">
        <v>1319</v>
      </c>
      <c r="B1320">
        <v>52</v>
      </c>
      <c r="C1320" t="s">
        <v>27</v>
      </c>
      <c r="D1320" t="s">
        <v>54</v>
      </c>
      <c r="E1320" t="s">
        <v>18</v>
      </c>
      <c r="F1320" s="2">
        <v>93</v>
      </c>
      <c r="G1320" t="s">
        <v>115</v>
      </c>
      <c r="H1320" t="s">
        <v>31</v>
      </c>
      <c r="I1320" t="s">
        <v>125</v>
      </c>
      <c r="J1320" t="s">
        <v>33</v>
      </c>
      <c r="K1320">
        <v>2.7</v>
      </c>
      <c r="L1320" t="s">
        <v>23</v>
      </c>
      <c r="M1320" t="s">
        <v>61</v>
      </c>
      <c r="N1320" t="s">
        <v>34</v>
      </c>
      <c r="O1320">
        <v>19</v>
      </c>
      <c r="P1320" t="s">
        <v>53</v>
      </c>
      <c r="Q1320" t="s">
        <v>68</v>
      </c>
      <c r="R1320" s="1">
        <v>0.1</v>
      </c>
      <c r="S1320">
        <f t="shared" si="80"/>
        <v>83.7</v>
      </c>
      <c r="T1320">
        <f>IFERROR(VLOOKUP(A1320,Table1[[Customer ID]:[Discount Amount]], 6, FALSE),"Not Found")</f>
        <v>93</v>
      </c>
      <c r="U1320" t="str">
        <f t="shared" si="81"/>
        <v>Credit Card</v>
      </c>
      <c r="V1320" s="4" t="str">
        <f t="shared" si="82"/>
        <v>Normal</v>
      </c>
      <c r="W1320" s="4" t="str">
        <f t="shared" si="83"/>
        <v>Poor</v>
      </c>
      <c r="X1320" s="4">
        <f>AVERAGE(Table1[Purchase Amount])</f>
        <v>129.48419400000012</v>
      </c>
    </row>
    <row r="1321" spans="1:24" ht="15" customHeight="1" x14ac:dyDescent="0.25">
      <c r="A1321">
        <v>1320</v>
      </c>
      <c r="B1321">
        <v>65</v>
      </c>
      <c r="C1321" t="s">
        <v>27</v>
      </c>
      <c r="D1321" t="s">
        <v>28</v>
      </c>
      <c r="E1321" t="s">
        <v>29</v>
      </c>
      <c r="F1321" s="2">
        <v>24</v>
      </c>
      <c r="G1321" t="s">
        <v>142</v>
      </c>
      <c r="H1321" t="s">
        <v>31</v>
      </c>
      <c r="I1321" t="s">
        <v>87</v>
      </c>
      <c r="J1321" t="s">
        <v>33</v>
      </c>
      <c r="K1321">
        <v>4</v>
      </c>
      <c r="L1321" t="s">
        <v>23</v>
      </c>
      <c r="M1321" t="s">
        <v>24</v>
      </c>
      <c r="N1321" t="s">
        <v>34</v>
      </c>
      <c r="O1321">
        <v>48</v>
      </c>
      <c r="P1321" t="s">
        <v>88</v>
      </c>
      <c r="Q1321" t="s">
        <v>26</v>
      </c>
      <c r="R1321" s="1">
        <v>0.1</v>
      </c>
      <c r="S1321">
        <f t="shared" si="80"/>
        <v>21.6</v>
      </c>
      <c r="T1321">
        <f>IFERROR(VLOOKUP(A1321,Table1[[Customer ID]:[Discount Amount]], 6, FALSE),"Not Found")</f>
        <v>24</v>
      </c>
      <c r="U1321" t="str">
        <f t="shared" si="81"/>
        <v>Bank Transfer</v>
      </c>
      <c r="V1321" s="4" t="str">
        <f t="shared" si="82"/>
        <v>Normal</v>
      </c>
      <c r="W1321" s="4" t="str">
        <f t="shared" si="83"/>
        <v>Good</v>
      </c>
      <c r="X1321" s="4">
        <f>AVERAGE(Table1[Purchase Amount])</f>
        <v>129.48419400000012</v>
      </c>
    </row>
    <row r="1322" spans="1:24" ht="15" customHeight="1" x14ac:dyDescent="0.25">
      <c r="A1322">
        <v>1321</v>
      </c>
      <c r="B1322">
        <v>56</v>
      </c>
      <c r="C1322" t="s">
        <v>27</v>
      </c>
      <c r="D1322" t="s">
        <v>64</v>
      </c>
      <c r="E1322" t="s">
        <v>29</v>
      </c>
      <c r="F1322" s="2">
        <v>31</v>
      </c>
      <c r="G1322" t="s">
        <v>19</v>
      </c>
      <c r="H1322" t="s">
        <v>20</v>
      </c>
      <c r="I1322" t="s">
        <v>147</v>
      </c>
      <c r="J1322" t="s">
        <v>47</v>
      </c>
      <c r="K1322">
        <v>3.1</v>
      </c>
      <c r="L1322" t="s">
        <v>23</v>
      </c>
      <c r="M1322" t="s">
        <v>35</v>
      </c>
      <c r="N1322" t="s">
        <v>34</v>
      </c>
      <c r="O1322">
        <v>19</v>
      </c>
      <c r="P1322" t="s">
        <v>36</v>
      </c>
      <c r="Q1322" t="s">
        <v>49</v>
      </c>
      <c r="R1322" s="1">
        <v>0.1</v>
      </c>
      <c r="S1322">
        <f t="shared" si="80"/>
        <v>27.9</v>
      </c>
      <c r="T1322">
        <f>IFERROR(VLOOKUP(A1322,Table1[[Customer ID]:[Discount Amount]], 6, FALSE),"Not Found")</f>
        <v>31</v>
      </c>
      <c r="U1322" t="str">
        <f t="shared" si="81"/>
        <v>Debit Card</v>
      </c>
      <c r="V1322" s="4" t="str">
        <f t="shared" si="82"/>
        <v>Normal</v>
      </c>
      <c r="W1322" s="4" t="str">
        <f t="shared" si="83"/>
        <v>Good</v>
      </c>
      <c r="X1322" s="4">
        <f>AVERAGE(Table1[Purchase Amount])</f>
        <v>129.48419400000012</v>
      </c>
    </row>
    <row r="1323" spans="1:24" ht="15" customHeight="1" x14ac:dyDescent="0.25">
      <c r="A1323">
        <v>1322</v>
      </c>
      <c r="B1323">
        <v>59</v>
      </c>
      <c r="C1323" t="s">
        <v>27</v>
      </c>
      <c r="D1323" t="s">
        <v>17</v>
      </c>
      <c r="E1323" t="s">
        <v>18</v>
      </c>
      <c r="F1323" s="2">
        <v>84</v>
      </c>
      <c r="G1323" t="s">
        <v>146</v>
      </c>
      <c r="H1323" t="s">
        <v>45</v>
      </c>
      <c r="I1323" t="s">
        <v>108</v>
      </c>
      <c r="J1323" t="s">
        <v>22</v>
      </c>
      <c r="K1323">
        <v>3.7</v>
      </c>
      <c r="L1323" t="s">
        <v>23</v>
      </c>
      <c r="M1323" t="s">
        <v>61</v>
      </c>
      <c r="N1323" t="s">
        <v>34</v>
      </c>
      <c r="O1323">
        <v>45</v>
      </c>
      <c r="P1323" t="s">
        <v>88</v>
      </c>
      <c r="Q1323" t="s">
        <v>63</v>
      </c>
      <c r="R1323" s="1">
        <v>0.1</v>
      </c>
      <c r="S1323">
        <f t="shared" si="80"/>
        <v>75.599999999999994</v>
      </c>
      <c r="T1323">
        <f>IFERROR(VLOOKUP(A1323,Table1[[Customer ID]:[Discount Amount]], 6, FALSE),"Not Found")</f>
        <v>84</v>
      </c>
      <c r="U1323" t="str">
        <f t="shared" si="81"/>
        <v>Bank Transfer</v>
      </c>
      <c r="V1323" s="4" t="str">
        <f t="shared" si="82"/>
        <v>Normal</v>
      </c>
      <c r="W1323" s="4" t="str">
        <f t="shared" si="83"/>
        <v>Good</v>
      </c>
      <c r="X1323" s="4">
        <f>AVERAGE(Table1[Purchase Amount])</f>
        <v>129.48419400000012</v>
      </c>
    </row>
    <row r="1324" spans="1:24" ht="15" customHeight="1" x14ac:dyDescent="0.25">
      <c r="A1324">
        <v>1323</v>
      </c>
      <c r="B1324">
        <v>23</v>
      </c>
      <c r="C1324" t="s">
        <v>27</v>
      </c>
      <c r="D1324" t="s">
        <v>99</v>
      </c>
      <c r="E1324" t="s">
        <v>18</v>
      </c>
      <c r="F1324" s="2">
        <v>74</v>
      </c>
      <c r="G1324" t="s">
        <v>155</v>
      </c>
      <c r="H1324" t="s">
        <v>31</v>
      </c>
      <c r="I1324" t="s">
        <v>111</v>
      </c>
      <c r="J1324" t="s">
        <v>22</v>
      </c>
      <c r="K1324">
        <v>4</v>
      </c>
      <c r="L1324" t="s">
        <v>23</v>
      </c>
      <c r="M1324" t="s">
        <v>79</v>
      </c>
      <c r="N1324" t="s">
        <v>34</v>
      </c>
      <c r="O1324">
        <v>17</v>
      </c>
      <c r="P1324" t="s">
        <v>88</v>
      </c>
      <c r="Q1324" t="s">
        <v>37</v>
      </c>
      <c r="R1324" s="1">
        <v>0.1</v>
      </c>
      <c r="S1324">
        <f t="shared" si="80"/>
        <v>66.599999999999994</v>
      </c>
      <c r="T1324">
        <f>IFERROR(VLOOKUP(A1324,Table1[[Customer ID]:[Discount Amount]], 6, FALSE),"Not Found")</f>
        <v>74</v>
      </c>
      <c r="U1324" t="str">
        <f t="shared" si="81"/>
        <v>Bank Transfer</v>
      </c>
      <c r="V1324" s="4" t="str">
        <f t="shared" si="82"/>
        <v>Normal</v>
      </c>
      <c r="W1324" s="4" t="str">
        <f t="shared" si="83"/>
        <v>Good</v>
      </c>
      <c r="X1324" s="4">
        <f>AVERAGE(Table1[Purchase Amount])</f>
        <v>129.48419400000012</v>
      </c>
    </row>
    <row r="1325" spans="1:24" ht="15" customHeight="1" x14ac:dyDescent="0.25">
      <c r="A1325">
        <v>1324</v>
      </c>
      <c r="B1325">
        <v>58</v>
      </c>
      <c r="C1325" t="s">
        <v>27</v>
      </c>
      <c r="D1325" t="s">
        <v>54</v>
      </c>
      <c r="E1325" t="s">
        <v>18</v>
      </c>
      <c r="F1325" s="2">
        <v>62</v>
      </c>
      <c r="G1325" t="s">
        <v>101</v>
      </c>
      <c r="H1325" t="s">
        <v>31</v>
      </c>
      <c r="I1325" t="s">
        <v>52</v>
      </c>
      <c r="J1325" t="s">
        <v>33</v>
      </c>
      <c r="K1325">
        <v>4.5999999999999996</v>
      </c>
      <c r="L1325" t="s">
        <v>23</v>
      </c>
      <c r="M1325" t="s">
        <v>24</v>
      </c>
      <c r="N1325" t="s">
        <v>34</v>
      </c>
      <c r="O1325">
        <v>15</v>
      </c>
      <c r="P1325" t="s">
        <v>36</v>
      </c>
      <c r="Q1325" t="s">
        <v>63</v>
      </c>
      <c r="R1325" s="1">
        <v>0.1</v>
      </c>
      <c r="S1325">
        <f t="shared" si="80"/>
        <v>55.8</v>
      </c>
      <c r="T1325">
        <f>IFERROR(VLOOKUP(A1325,Table1[[Customer ID]:[Discount Amount]], 6, FALSE),"Not Found")</f>
        <v>62</v>
      </c>
      <c r="U1325" t="str">
        <f t="shared" si="81"/>
        <v>Debit Card</v>
      </c>
      <c r="V1325" s="4" t="str">
        <f t="shared" si="82"/>
        <v>Normal</v>
      </c>
      <c r="W1325" s="4" t="str">
        <f t="shared" si="83"/>
        <v>Good</v>
      </c>
      <c r="X1325" s="4">
        <f>AVERAGE(Table1[Purchase Amount])</f>
        <v>129.48419400000012</v>
      </c>
    </row>
    <row r="1326" spans="1:24" ht="15" customHeight="1" x14ac:dyDescent="0.25">
      <c r="A1326">
        <v>1325</v>
      </c>
      <c r="B1326">
        <v>39</v>
      </c>
      <c r="C1326" t="s">
        <v>27</v>
      </c>
      <c r="D1326" t="s">
        <v>50</v>
      </c>
      <c r="E1326" t="s">
        <v>29</v>
      </c>
      <c r="F1326" s="2">
        <v>77</v>
      </c>
      <c r="G1326" t="s">
        <v>102</v>
      </c>
      <c r="H1326" t="s">
        <v>55</v>
      </c>
      <c r="I1326" t="s">
        <v>108</v>
      </c>
      <c r="J1326" t="s">
        <v>57</v>
      </c>
      <c r="K1326">
        <v>3.8</v>
      </c>
      <c r="L1326" t="s">
        <v>23</v>
      </c>
      <c r="M1326" t="s">
        <v>35</v>
      </c>
      <c r="N1326" t="s">
        <v>34</v>
      </c>
      <c r="O1326">
        <v>11</v>
      </c>
      <c r="P1326" t="s">
        <v>53</v>
      </c>
      <c r="Q1326" t="s">
        <v>89</v>
      </c>
      <c r="R1326" s="1">
        <v>0.1</v>
      </c>
      <c r="S1326">
        <f t="shared" si="80"/>
        <v>69.3</v>
      </c>
      <c r="T1326">
        <f>IFERROR(VLOOKUP(A1326,Table1[[Customer ID]:[Discount Amount]], 6, FALSE),"Not Found")</f>
        <v>77</v>
      </c>
      <c r="U1326" t="str">
        <f t="shared" si="81"/>
        <v>Credit Card</v>
      </c>
      <c r="V1326" s="4" t="str">
        <f t="shared" si="82"/>
        <v>Normal</v>
      </c>
      <c r="W1326" s="4" t="str">
        <f t="shared" si="83"/>
        <v>Good</v>
      </c>
      <c r="X1326" s="4">
        <f>AVERAGE(Table1[Purchase Amount])</f>
        <v>129.48419400000012</v>
      </c>
    </row>
    <row r="1327" spans="1:24" ht="15" customHeight="1" x14ac:dyDescent="0.25">
      <c r="A1327">
        <v>1326</v>
      </c>
      <c r="B1327">
        <v>28</v>
      </c>
      <c r="C1327" t="s">
        <v>27</v>
      </c>
      <c r="D1327" t="s">
        <v>104</v>
      </c>
      <c r="E1327" t="s">
        <v>29</v>
      </c>
      <c r="F1327" s="2">
        <v>73</v>
      </c>
      <c r="G1327" t="s">
        <v>123</v>
      </c>
      <c r="H1327" t="s">
        <v>45</v>
      </c>
      <c r="I1327" t="s">
        <v>133</v>
      </c>
      <c r="J1327" t="s">
        <v>57</v>
      </c>
      <c r="K1327">
        <v>3.5</v>
      </c>
      <c r="L1327" t="s">
        <v>23</v>
      </c>
      <c r="M1327" t="s">
        <v>61</v>
      </c>
      <c r="N1327" t="s">
        <v>34</v>
      </c>
      <c r="O1327">
        <v>1</v>
      </c>
      <c r="P1327" t="s">
        <v>25</v>
      </c>
      <c r="Q1327" t="s">
        <v>42</v>
      </c>
      <c r="R1327" s="1">
        <v>0.1</v>
      </c>
      <c r="S1327">
        <f t="shared" si="80"/>
        <v>65.7</v>
      </c>
      <c r="T1327">
        <f>IFERROR(VLOOKUP(A1327,Table1[[Customer ID]:[Discount Amount]], 6, FALSE),"Not Found")</f>
        <v>73</v>
      </c>
      <c r="U1327" t="str">
        <f t="shared" si="81"/>
        <v>Cash</v>
      </c>
      <c r="V1327" s="4" t="str">
        <f t="shared" si="82"/>
        <v>Normal</v>
      </c>
      <c r="W1327" s="4" t="str">
        <f t="shared" si="83"/>
        <v>Good</v>
      </c>
      <c r="X1327" s="4">
        <f>AVERAGE(Table1[Purchase Amount])</f>
        <v>129.48419400000012</v>
      </c>
    </row>
    <row r="1328" spans="1:24" ht="15" customHeight="1" x14ac:dyDescent="0.25">
      <c r="A1328">
        <v>1327</v>
      </c>
      <c r="B1328">
        <v>40</v>
      </c>
      <c r="C1328" t="s">
        <v>27</v>
      </c>
      <c r="D1328" t="s">
        <v>72</v>
      </c>
      <c r="E1328" t="s">
        <v>98</v>
      </c>
      <c r="F1328" s="2">
        <v>50</v>
      </c>
      <c r="G1328" t="s">
        <v>152</v>
      </c>
      <c r="H1328" t="s">
        <v>31</v>
      </c>
      <c r="I1328" t="s">
        <v>91</v>
      </c>
      <c r="J1328" t="s">
        <v>33</v>
      </c>
      <c r="K1328">
        <v>1</v>
      </c>
      <c r="L1328" t="s">
        <v>23</v>
      </c>
      <c r="M1328" t="s">
        <v>35</v>
      </c>
      <c r="N1328" t="s">
        <v>34</v>
      </c>
      <c r="O1328">
        <v>17</v>
      </c>
      <c r="P1328" t="s">
        <v>25</v>
      </c>
      <c r="Q1328" t="s">
        <v>42</v>
      </c>
      <c r="R1328" s="1">
        <v>0.1</v>
      </c>
      <c r="S1328">
        <f t="shared" si="80"/>
        <v>45</v>
      </c>
      <c r="T1328">
        <f>IFERROR(VLOOKUP(A1328,Table1[[Customer ID]:[Discount Amount]], 6, FALSE),"Not Found")</f>
        <v>50</v>
      </c>
      <c r="U1328" t="str">
        <f t="shared" si="81"/>
        <v>Cash</v>
      </c>
      <c r="V1328" s="4" t="str">
        <f t="shared" si="82"/>
        <v>Normal</v>
      </c>
      <c r="W1328" s="4" t="str">
        <f t="shared" si="83"/>
        <v>Poor</v>
      </c>
      <c r="X1328" s="4">
        <f>AVERAGE(Table1[Purchase Amount])</f>
        <v>129.48419400000012</v>
      </c>
    </row>
    <row r="1329" spans="1:24" ht="15" customHeight="1" x14ac:dyDescent="0.25">
      <c r="A1329">
        <v>1328</v>
      </c>
      <c r="B1329">
        <v>52</v>
      </c>
      <c r="C1329" t="s">
        <v>27</v>
      </c>
      <c r="D1329" t="s">
        <v>76</v>
      </c>
      <c r="E1329" t="s">
        <v>77</v>
      </c>
      <c r="F1329" s="2">
        <v>40</v>
      </c>
      <c r="G1329" t="s">
        <v>67</v>
      </c>
      <c r="H1329" t="s">
        <v>31</v>
      </c>
      <c r="I1329" t="s">
        <v>156</v>
      </c>
      <c r="J1329" t="s">
        <v>22</v>
      </c>
      <c r="K1329">
        <v>2.8</v>
      </c>
      <c r="L1329" t="s">
        <v>23</v>
      </c>
      <c r="M1329" t="s">
        <v>24</v>
      </c>
      <c r="N1329" t="s">
        <v>34</v>
      </c>
      <c r="O1329">
        <v>37</v>
      </c>
      <c r="P1329" t="s">
        <v>25</v>
      </c>
      <c r="Q1329" t="s">
        <v>26</v>
      </c>
      <c r="R1329" s="1">
        <v>0.1</v>
      </c>
      <c r="S1329">
        <f t="shared" si="80"/>
        <v>36</v>
      </c>
      <c r="T1329">
        <f>IFERROR(VLOOKUP(A1329,Table1[[Customer ID]:[Discount Amount]], 6, FALSE),"Not Found")</f>
        <v>40</v>
      </c>
      <c r="U1329" t="str">
        <f t="shared" si="81"/>
        <v>Cash</v>
      </c>
      <c r="V1329" s="4" t="str">
        <f t="shared" si="82"/>
        <v>Normal</v>
      </c>
      <c r="W1329" s="4" t="str">
        <f t="shared" si="83"/>
        <v>Poor</v>
      </c>
      <c r="X1329" s="4">
        <f>AVERAGE(Table1[Purchase Amount])</f>
        <v>129.48419400000012</v>
      </c>
    </row>
    <row r="1330" spans="1:24" ht="15" customHeight="1" x14ac:dyDescent="0.25">
      <c r="A1330">
        <v>1329</v>
      </c>
      <c r="B1330">
        <v>37</v>
      </c>
      <c r="C1330" t="s">
        <v>27</v>
      </c>
      <c r="D1330" t="s">
        <v>127</v>
      </c>
      <c r="E1330" t="s">
        <v>18</v>
      </c>
      <c r="F1330" s="2">
        <v>97</v>
      </c>
      <c r="G1330" t="s">
        <v>159</v>
      </c>
      <c r="H1330" t="s">
        <v>31</v>
      </c>
      <c r="I1330" t="s">
        <v>108</v>
      </c>
      <c r="J1330" t="s">
        <v>22</v>
      </c>
      <c r="K1330">
        <v>3.7</v>
      </c>
      <c r="L1330" t="s">
        <v>23</v>
      </c>
      <c r="M1330" t="s">
        <v>24</v>
      </c>
      <c r="N1330" t="s">
        <v>34</v>
      </c>
      <c r="O1330">
        <v>40</v>
      </c>
      <c r="P1330" t="s">
        <v>88</v>
      </c>
      <c r="Q1330" t="s">
        <v>26</v>
      </c>
      <c r="R1330" s="1">
        <v>0.1</v>
      </c>
      <c r="S1330">
        <f t="shared" si="80"/>
        <v>87.3</v>
      </c>
      <c r="T1330">
        <f>IFERROR(VLOOKUP(A1330,Table1[[Customer ID]:[Discount Amount]], 6, FALSE),"Not Found")</f>
        <v>97</v>
      </c>
      <c r="U1330" t="str">
        <f t="shared" si="81"/>
        <v>Bank Transfer</v>
      </c>
      <c r="V1330" s="4" t="str">
        <f t="shared" si="82"/>
        <v>Normal</v>
      </c>
      <c r="W1330" s="4" t="str">
        <f t="shared" si="83"/>
        <v>Good</v>
      </c>
      <c r="X1330" s="4">
        <f>AVERAGE(Table1[Purchase Amount])</f>
        <v>129.48419400000012</v>
      </c>
    </row>
    <row r="1331" spans="1:24" ht="15" customHeight="1" x14ac:dyDescent="0.25">
      <c r="A1331">
        <v>1330</v>
      </c>
      <c r="B1331">
        <v>70</v>
      </c>
      <c r="C1331" t="s">
        <v>27</v>
      </c>
      <c r="D1331" t="s">
        <v>43</v>
      </c>
      <c r="E1331" t="s">
        <v>29</v>
      </c>
      <c r="F1331" s="2">
        <v>63</v>
      </c>
      <c r="G1331" t="s">
        <v>152</v>
      </c>
      <c r="H1331" t="s">
        <v>31</v>
      </c>
      <c r="I1331" t="s">
        <v>91</v>
      </c>
      <c r="J1331" t="s">
        <v>47</v>
      </c>
      <c r="K1331">
        <v>3.3</v>
      </c>
      <c r="L1331" t="s">
        <v>23</v>
      </c>
      <c r="M1331" t="s">
        <v>61</v>
      </c>
      <c r="N1331" t="s">
        <v>34</v>
      </c>
      <c r="O1331">
        <v>50</v>
      </c>
      <c r="P1331" t="s">
        <v>58</v>
      </c>
      <c r="Q1331" t="s">
        <v>63</v>
      </c>
      <c r="R1331" s="1">
        <v>0.1</v>
      </c>
      <c r="S1331">
        <f t="shared" si="80"/>
        <v>56.7</v>
      </c>
      <c r="T1331">
        <f>IFERROR(VLOOKUP(A1331,Table1[[Customer ID]:[Discount Amount]], 6, FALSE),"Not Found")</f>
        <v>63</v>
      </c>
      <c r="U1331" t="str">
        <f t="shared" si="81"/>
        <v>PayPal</v>
      </c>
      <c r="V1331" s="4" t="str">
        <f t="shared" si="82"/>
        <v>Normal</v>
      </c>
      <c r="W1331" s="4" t="str">
        <f t="shared" si="83"/>
        <v>Good</v>
      </c>
      <c r="X1331" s="4">
        <f>AVERAGE(Table1[Purchase Amount])</f>
        <v>129.48419400000012</v>
      </c>
    </row>
    <row r="1332" spans="1:24" ht="15" customHeight="1" x14ac:dyDescent="0.25">
      <c r="A1332">
        <v>1331</v>
      </c>
      <c r="B1332">
        <v>30</v>
      </c>
      <c r="C1332" t="s">
        <v>27</v>
      </c>
      <c r="D1332" t="s">
        <v>69</v>
      </c>
      <c r="E1332" t="s">
        <v>29</v>
      </c>
      <c r="F1332" s="2">
        <v>65</v>
      </c>
      <c r="G1332" t="s">
        <v>84</v>
      </c>
      <c r="H1332" t="s">
        <v>31</v>
      </c>
      <c r="I1332" t="s">
        <v>103</v>
      </c>
      <c r="J1332" t="s">
        <v>47</v>
      </c>
      <c r="K1332">
        <v>2.9</v>
      </c>
      <c r="L1332" t="s">
        <v>23</v>
      </c>
      <c r="M1332" t="s">
        <v>24</v>
      </c>
      <c r="N1332" t="s">
        <v>34</v>
      </c>
      <c r="O1332">
        <v>20</v>
      </c>
      <c r="P1332" t="s">
        <v>58</v>
      </c>
      <c r="Q1332" t="s">
        <v>68</v>
      </c>
      <c r="R1332" s="1">
        <v>0.1</v>
      </c>
      <c r="S1332">
        <f t="shared" si="80"/>
        <v>58.5</v>
      </c>
      <c r="T1332">
        <f>IFERROR(VLOOKUP(A1332,Table1[[Customer ID]:[Discount Amount]], 6, FALSE),"Not Found")</f>
        <v>65</v>
      </c>
      <c r="U1332" t="str">
        <f t="shared" si="81"/>
        <v>PayPal</v>
      </c>
      <c r="V1332" s="4" t="str">
        <f t="shared" si="82"/>
        <v>Normal</v>
      </c>
      <c r="W1332" s="4" t="str">
        <f t="shared" si="83"/>
        <v>Poor</v>
      </c>
      <c r="X1332" s="4">
        <f>AVERAGE(Table1[Purchase Amount])</f>
        <v>129.48419400000012</v>
      </c>
    </row>
    <row r="1333" spans="1:24" ht="15" customHeight="1" x14ac:dyDescent="0.25">
      <c r="A1333">
        <v>1332</v>
      </c>
      <c r="B1333">
        <v>38</v>
      </c>
      <c r="C1333" t="s">
        <v>27</v>
      </c>
      <c r="D1333" t="s">
        <v>105</v>
      </c>
      <c r="E1333" t="s">
        <v>18</v>
      </c>
      <c r="F1333" s="2">
        <v>91</v>
      </c>
      <c r="G1333" t="s">
        <v>106</v>
      </c>
      <c r="H1333" t="s">
        <v>31</v>
      </c>
      <c r="I1333" t="s">
        <v>107</v>
      </c>
      <c r="J1333" t="s">
        <v>33</v>
      </c>
      <c r="K1333">
        <v>3.2</v>
      </c>
      <c r="L1333" t="s">
        <v>23</v>
      </c>
      <c r="M1333" t="s">
        <v>24</v>
      </c>
      <c r="N1333" t="s">
        <v>34</v>
      </c>
      <c r="O1333">
        <v>8</v>
      </c>
      <c r="P1333" t="s">
        <v>58</v>
      </c>
      <c r="Q1333" t="s">
        <v>68</v>
      </c>
      <c r="R1333" s="1">
        <v>0.1</v>
      </c>
      <c r="S1333">
        <f t="shared" si="80"/>
        <v>81.900000000000006</v>
      </c>
      <c r="T1333">
        <f>IFERROR(VLOOKUP(A1333,Table1[[Customer ID]:[Discount Amount]], 6, FALSE),"Not Found")</f>
        <v>91</v>
      </c>
      <c r="U1333" t="str">
        <f t="shared" si="81"/>
        <v>PayPal</v>
      </c>
      <c r="V1333" s="4" t="str">
        <f t="shared" si="82"/>
        <v>Normal</v>
      </c>
      <c r="W1333" s="4" t="str">
        <f t="shared" si="83"/>
        <v>Good</v>
      </c>
      <c r="X1333" s="4">
        <f>AVERAGE(Table1[Purchase Amount])</f>
        <v>129.48419400000012</v>
      </c>
    </row>
    <row r="1334" spans="1:24" ht="15" customHeight="1" x14ac:dyDescent="0.25">
      <c r="A1334">
        <v>1333</v>
      </c>
      <c r="B1334">
        <v>66</v>
      </c>
      <c r="C1334" t="s">
        <v>27</v>
      </c>
      <c r="D1334" t="s">
        <v>83</v>
      </c>
      <c r="E1334" t="s">
        <v>18</v>
      </c>
      <c r="F1334" s="2">
        <v>60</v>
      </c>
      <c r="G1334" t="s">
        <v>148</v>
      </c>
      <c r="H1334" t="s">
        <v>55</v>
      </c>
      <c r="I1334" t="s">
        <v>133</v>
      </c>
      <c r="J1334" t="s">
        <v>33</v>
      </c>
      <c r="K1334">
        <v>4.3</v>
      </c>
      <c r="L1334" t="s">
        <v>23</v>
      </c>
      <c r="M1334" t="s">
        <v>48</v>
      </c>
      <c r="N1334" t="s">
        <v>34</v>
      </c>
      <c r="O1334">
        <v>16</v>
      </c>
      <c r="P1334" t="s">
        <v>88</v>
      </c>
      <c r="Q1334" t="s">
        <v>37</v>
      </c>
      <c r="R1334" s="1">
        <v>0.1</v>
      </c>
      <c r="S1334">
        <f t="shared" si="80"/>
        <v>54</v>
      </c>
      <c r="T1334">
        <f>IFERROR(VLOOKUP(A1334,Table1[[Customer ID]:[Discount Amount]], 6, FALSE),"Not Found")</f>
        <v>60</v>
      </c>
      <c r="U1334" t="str">
        <f t="shared" si="81"/>
        <v>Bank Transfer</v>
      </c>
      <c r="V1334" s="4" t="str">
        <f t="shared" si="82"/>
        <v>Normal</v>
      </c>
      <c r="W1334" s="4" t="str">
        <f t="shared" si="83"/>
        <v>Good</v>
      </c>
      <c r="X1334" s="4">
        <f>AVERAGE(Table1[Purchase Amount])</f>
        <v>129.48419400000012</v>
      </c>
    </row>
    <row r="1335" spans="1:24" ht="15" customHeight="1" x14ac:dyDescent="0.25">
      <c r="A1335">
        <v>1334</v>
      </c>
      <c r="B1335">
        <v>29</v>
      </c>
      <c r="C1335" t="s">
        <v>27</v>
      </c>
      <c r="D1335" t="s">
        <v>99</v>
      </c>
      <c r="E1335" t="s">
        <v>18</v>
      </c>
      <c r="F1335" s="2">
        <v>69</v>
      </c>
      <c r="G1335" t="s">
        <v>161</v>
      </c>
      <c r="H1335" t="s">
        <v>31</v>
      </c>
      <c r="I1335" t="s">
        <v>107</v>
      </c>
      <c r="J1335" t="s">
        <v>22</v>
      </c>
      <c r="K1335">
        <v>2.7</v>
      </c>
      <c r="L1335" t="s">
        <v>23</v>
      </c>
      <c r="M1335" t="s">
        <v>79</v>
      </c>
      <c r="N1335" t="s">
        <v>34</v>
      </c>
      <c r="O1335">
        <v>9</v>
      </c>
      <c r="P1335" t="s">
        <v>88</v>
      </c>
      <c r="Q1335" t="s">
        <v>37</v>
      </c>
      <c r="R1335" s="1">
        <v>0.1</v>
      </c>
      <c r="S1335">
        <f t="shared" si="80"/>
        <v>62.1</v>
      </c>
      <c r="T1335">
        <f>IFERROR(VLOOKUP(A1335,Table1[[Customer ID]:[Discount Amount]], 6, FALSE),"Not Found")</f>
        <v>69</v>
      </c>
      <c r="U1335" t="str">
        <f t="shared" si="81"/>
        <v>Bank Transfer</v>
      </c>
      <c r="V1335" s="4" t="str">
        <f t="shared" si="82"/>
        <v>Normal</v>
      </c>
      <c r="W1335" s="4" t="str">
        <f t="shared" si="83"/>
        <v>Poor</v>
      </c>
      <c r="X1335" s="4">
        <f>AVERAGE(Table1[Purchase Amount])</f>
        <v>129.48419400000012</v>
      </c>
    </row>
    <row r="1336" spans="1:24" ht="15" customHeight="1" x14ac:dyDescent="0.25">
      <c r="A1336">
        <v>1335</v>
      </c>
      <c r="B1336">
        <v>46</v>
      </c>
      <c r="C1336" t="s">
        <v>27</v>
      </c>
      <c r="D1336" t="s">
        <v>76</v>
      </c>
      <c r="E1336" t="s">
        <v>77</v>
      </c>
      <c r="F1336" s="2">
        <v>52</v>
      </c>
      <c r="G1336" t="s">
        <v>154</v>
      </c>
      <c r="H1336" t="s">
        <v>55</v>
      </c>
      <c r="I1336" t="s">
        <v>32</v>
      </c>
      <c r="J1336" t="s">
        <v>33</v>
      </c>
      <c r="K1336">
        <v>1</v>
      </c>
      <c r="L1336" t="s">
        <v>23</v>
      </c>
      <c r="M1336" t="s">
        <v>48</v>
      </c>
      <c r="N1336" t="s">
        <v>34</v>
      </c>
      <c r="O1336">
        <v>12</v>
      </c>
      <c r="P1336" t="s">
        <v>62</v>
      </c>
      <c r="Q1336" t="s">
        <v>42</v>
      </c>
      <c r="R1336" s="1">
        <v>0.1</v>
      </c>
      <c r="S1336">
        <f t="shared" si="80"/>
        <v>46.8</v>
      </c>
      <c r="T1336">
        <f>IFERROR(VLOOKUP(A1336,Table1[[Customer ID]:[Discount Amount]], 6, FALSE),"Not Found")</f>
        <v>52</v>
      </c>
      <c r="U1336" t="str">
        <f t="shared" si="81"/>
        <v>Venmo</v>
      </c>
      <c r="V1336" s="4" t="str">
        <f t="shared" si="82"/>
        <v>Normal</v>
      </c>
      <c r="W1336" s="4" t="str">
        <f t="shared" si="83"/>
        <v>Poor</v>
      </c>
      <c r="X1336" s="4">
        <f>AVERAGE(Table1[Purchase Amount])</f>
        <v>129.48419400000012</v>
      </c>
    </row>
    <row r="1337" spans="1:24" ht="15" customHeight="1" x14ac:dyDescent="0.25">
      <c r="A1337">
        <v>1336</v>
      </c>
      <c r="B1337">
        <v>56</v>
      </c>
      <c r="C1337" t="s">
        <v>27</v>
      </c>
      <c r="D1337" t="s">
        <v>151</v>
      </c>
      <c r="E1337" t="s">
        <v>98</v>
      </c>
      <c r="F1337" s="2">
        <v>49</v>
      </c>
      <c r="G1337" t="s">
        <v>158</v>
      </c>
      <c r="H1337" t="s">
        <v>31</v>
      </c>
      <c r="I1337" t="s">
        <v>107</v>
      </c>
      <c r="J1337" t="s">
        <v>47</v>
      </c>
      <c r="K1337">
        <v>4.8</v>
      </c>
      <c r="L1337" t="s">
        <v>23</v>
      </c>
      <c r="M1337" t="s">
        <v>41</v>
      </c>
      <c r="N1337" t="s">
        <v>34</v>
      </c>
      <c r="O1337">
        <v>26</v>
      </c>
      <c r="P1337" t="s">
        <v>53</v>
      </c>
      <c r="Q1337" t="s">
        <v>26</v>
      </c>
      <c r="R1337" s="1">
        <v>0.1</v>
      </c>
      <c r="S1337">
        <f t="shared" si="80"/>
        <v>44.1</v>
      </c>
      <c r="T1337">
        <f>IFERROR(VLOOKUP(A1337,Table1[[Customer ID]:[Discount Amount]], 6, FALSE),"Not Found")</f>
        <v>49</v>
      </c>
      <c r="U1337" t="str">
        <f t="shared" si="81"/>
        <v>Credit Card</v>
      </c>
      <c r="V1337" s="4" t="str">
        <f t="shared" si="82"/>
        <v>Normal</v>
      </c>
      <c r="W1337" s="4" t="str">
        <f t="shared" si="83"/>
        <v>Good</v>
      </c>
      <c r="X1337" s="4">
        <f>AVERAGE(Table1[Purchase Amount])</f>
        <v>129.48419400000012</v>
      </c>
    </row>
    <row r="1338" spans="1:24" ht="15" customHeight="1" x14ac:dyDescent="0.25">
      <c r="A1338">
        <v>1337</v>
      </c>
      <c r="B1338">
        <v>23</v>
      </c>
      <c r="C1338" t="s">
        <v>27</v>
      </c>
      <c r="D1338" t="s">
        <v>140</v>
      </c>
      <c r="E1338" t="s">
        <v>98</v>
      </c>
      <c r="F1338" s="2">
        <v>85</v>
      </c>
      <c r="G1338" t="s">
        <v>123</v>
      </c>
      <c r="H1338" t="s">
        <v>31</v>
      </c>
      <c r="I1338" t="s">
        <v>103</v>
      </c>
      <c r="J1338" t="s">
        <v>33</v>
      </c>
      <c r="K1338">
        <v>4.8</v>
      </c>
      <c r="L1338" t="s">
        <v>23</v>
      </c>
      <c r="M1338" t="s">
        <v>48</v>
      </c>
      <c r="N1338" t="s">
        <v>34</v>
      </c>
      <c r="O1338">
        <v>44</v>
      </c>
      <c r="P1338" t="s">
        <v>36</v>
      </c>
      <c r="Q1338" t="s">
        <v>89</v>
      </c>
      <c r="R1338" s="1">
        <v>0.1</v>
      </c>
      <c r="S1338">
        <f t="shared" si="80"/>
        <v>76.5</v>
      </c>
      <c r="T1338">
        <f>IFERROR(VLOOKUP(A1338,Table1[[Customer ID]:[Discount Amount]], 6, FALSE),"Not Found")</f>
        <v>85</v>
      </c>
      <c r="U1338" t="str">
        <f t="shared" si="81"/>
        <v>Debit Card</v>
      </c>
      <c r="V1338" s="4" t="str">
        <f t="shared" si="82"/>
        <v>Normal</v>
      </c>
      <c r="W1338" s="4" t="str">
        <f t="shared" si="83"/>
        <v>Good</v>
      </c>
      <c r="X1338" s="4">
        <f>AVERAGE(Table1[Purchase Amount])</f>
        <v>129.48419400000012</v>
      </c>
    </row>
    <row r="1339" spans="1:24" ht="15" customHeight="1" x14ac:dyDescent="0.25">
      <c r="A1339">
        <v>1338</v>
      </c>
      <c r="B1339">
        <v>37</v>
      </c>
      <c r="C1339" t="s">
        <v>27</v>
      </c>
      <c r="D1339" t="s">
        <v>127</v>
      </c>
      <c r="E1339" t="s">
        <v>18</v>
      </c>
      <c r="F1339" s="2">
        <v>86</v>
      </c>
      <c r="G1339" t="s">
        <v>65</v>
      </c>
      <c r="H1339" t="s">
        <v>45</v>
      </c>
      <c r="I1339" t="s">
        <v>153</v>
      </c>
      <c r="J1339" t="s">
        <v>33</v>
      </c>
      <c r="K1339">
        <v>3.4</v>
      </c>
      <c r="L1339" t="s">
        <v>23</v>
      </c>
      <c r="M1339" t="s">
        <v>61</v>
      </c>
      <c r="N1339" t="s">
        <v>34</v>
      </c>
      <c r="O1339">
        <v>19</v>
      </c>
      <c r="P1339" t="s">
        <v>53</v>
      </c>
      <c r="Q1339" t="s">
        <v>68</v>
      </c>
      <c r="R1339" s="1">
        <v>0.1</v>
      </c>
      <c r="S1339">
        <f t="shared" si="80"/>
        <v>77.400000000000006</v>
      </c>
      <c r="T1339">
        <f>IFERROR(VLOOKUP(A1339,Table1[[Customer ID]:[Discount Amount]], 6, FALSE),"Not Found")</f>
        <v>86</v>
      </c>
      <c r="U1339" t="str">
        <f t="shared" si="81"/>
        <v>Credit Card</v>
      </c>
      <c r="V1339" s="4" t="str">
        <f t="shared" si="82"/>
        <v>Normal</v>
      </c>
      <c r="W1339" s="4" t="str">
        <f t="shared" si="83"/>
        <v>Good</v>
      </c>
      <c r="X1339" s="4">
        <f>AVERAGE(Table1[Purchase Amount])</f>
        <v>129.48419400000012</v>
      </c>
    </row>
    <row r="1340" spans="1:24" ht="15" customHeight="1" x14ac:dyDescent="0.25">
      <c r="A1340">
        <v>1339</v>
      </c>
      <c r="B1340">
        <v>56</v>
      </c>
      <c r="C1340" t="s">
        <v>27</v>
      </c>
      <c r="D1340" t="s">
        <v>69</v>
      </c>
      <c r="E1340" t="s">
        <v>29</v>
      </c>
      <c r="F1340" s="2">
        <v>51</v>
      </c>
      <c r="G1340" t="s">
        <v>51</v>
      </c>
      <c r="H1340" t="s">
        <v>55</v>
      </c>
      <c r="I1340" t="s">
        <v>52</v>
      </c>
      <c r="J1340" t="s">
        <v>22</v>
      </c>
      <c r="K1340">
        <v>2.6</v>
      </c>
      <c r="L1340" t="s">
        <v>23</v>
      </c>
      <c r="M1340" t="s">
        <v>24</v>
      </c>
      <c r="N1340" t="s">
        <v>34</v>
      </c>
      <c r="O1340">
        <v>43</v>
      </c>
      <c r="P1340" t="s">
        <v>58</v>
      </c>
      <c r="Q1340" t="s">
        <v>89</v>
      </c>
      <c r="R1340" s="1">
        <v>0.1</v>
      </c>
      <c r="S1340">
        <f t="shared" si="80"/>
        <v>45.9</v>
      </c>
      <c r="T1340">
        <f>IFERROR(VLOOKUP(A1340,Table1[[Customer ID]:[Discount Amount]], 6, FALSE),"Not Found")</f>
        <v>51</v>
      </c>
      <c r="U1340" t="str">
        <f t="shared" si="81"/>
        <v>PayPal</v>
      </c>
      <c r="V1340" s="4" t="str">
        <f t="shared" si="82"/>
        <v>Normal</v>
      </c>
      <c r="W1340" s="4" t="str">
        <f t="shared" si="83"/>
        <v>Poor</v>
      </c>
      <c r="X1340" s="4">
        <f>AVERAGE(Table1[Purchase Amount])</f>
        <v>129.48419400000012</v>
      </c>
    </row>
    <row r="1341" spans="1:24" ht="15" customHeight="1" x14ac:dyDescent="0.25">
      <c r="A1341">
        <v>1340</v>
      </c>
      <c r="B1341">
        <v>36</v>
      </c>
      <c r="C1341" t="s">
        <v>27</v>
      </c>
      <c r="D1341" t="s">
        <v>114</v>
      </c>
      <c r="E1341" t="s">
        <v>29</v>
      </c>
      <c r="F1341" s="2">
        <v>56</v>
      </c>
      <c r="G1341" t="s">
        <v>102</v>
      </c>
      <c r="H1341" t="s">
        <v>45</v>
      </c>
      <c r="I1341" t="s">
        <v>21</v>
      </c>
      <c r="J1341" t="s">
        <v>22</v>
      </c>
      <c r="K1341">
        <v>5</v>
      </c>
      <c r="L1341" t="s">
        <v>23</v>
      </c>
      <c r="M1341" t="s">
        <v>79</v>
      </c>
      <c r="N1341" t="s">
        <v>34</v>
      </c>
      <c r="O1341">
        <v>5</v>
      </c>
      <c r="P1341" t="s">
        <v>88</v>
      </c>
      <c r="Q1341" t="s">
        <v>63</v>
      </c>
      <c r="R1341" s="1">
        <v>0.1</v>
      </c>
      <c r="S1341">
        <f t="shared" si="80"/>
        <v>50.4</v>
      </c>
      <c r="T1341">
        <f>IFERROR(VLOOKUP(A1341,Table1[[Customer ID]:[Discount Amount]], 6, FALSE),"Not Found")</f>
        <v>56</v>
      </c>
      <c r="U1341" t="str">
        <f t="shared" si="81"/>
        <v>Bank Transfer</v>
      </c>
      <c r="V1341" s="4" t="str">
        <f t="shared" si="82"/>
        <v>Normal</v>
      </c>
      <c r="W1341" s="4" t="str">
        <f t="shared" si="83"/>
        <v>Good</v>
      </c>
      <c r="X1341" s="4">
        <f>AVERAGE(Table1[Purchase Amount])</f>
        <v>129.48419400000012</v>
      </c>
    </row>
    <row r="1342" spans="1:24" ht="15" customHeight="1" x14ac:dyDescent="0.25">
      <c r="A1342">
        <v>1341</v>
      </c>
      <c r="B1342">
        <v>40</v>
      </c>
      <c r="C1342" t="s">
        <v>27</v>
      </c>
      <c r="D1342" t="s">
        <v>114</v>
      </c>
      <c r="E1342" t="s">
        <v>29</v>
      </c>
      <c r="F1342" s="2">
        <v>72</v>
      </c>
      <c r="G1342" t="s">
        <v>161</v>
      </c>
      <c r="H1342" t="s">
        <v>31</v>
      </c>
      <c r="I1342" t="s">
        <v>145</v>
      </c>
      <c r="J1342" t="s">
        <v>47</v>
      </c>
      <c r="K1342">
        <v>4.4000000000000004</v>
      </c>
      <c r="L1342" t="s">
        <v>23</v>
      </c>
      <c r="M1342" t="s">
        <v>79</v>
      </c>
      <c r="N1342" t="s">
        <v>34</v>
      </c>
      <c r="O1342">
        <v>5</v>
      </c>
      <c r="P1342" t="s">
        <v>36</v>
      </c>
      <c r="Q1342" t="s">
        <v>63</v>
      </c>
      <c r="R1342" s="1">
        <v>0.1</v>
      </c>
      <c r="S1342">
        <f t="shared" si="80"/>
        <v>64.8</v>
      </c>
      <c r="T1342">
        <f>IFERROR(VLOOKUP(A1342,Table1[[Customer ID]:[Discount Amount]], 6, FALSE),"Not Found")</f>
        <v>72</v>
      </c>
      <c r="U1342" t="str">
        <f t="shared" si="81"/>
        <v>Debit Card</v>
      </c>
      <c r="V1342" s="4" t="str">
        <f t="shared" si="82"/>
        <v>Normal</v>
      </c>
      <c r="W1342" s="4" t="str">
        <f t="shared" si="83"/>
        <v>Good</v>
      </c>
      <c r="X1342" s="4">
        <f>AVERAGE(Table1[Purchase Amount])</f>
        <v>129.48419400000012</v>
      </c>
    </row>
    <row r="1343" spans="1:24" ht="15" customHeight="1" x14ac:dyDescent="0.25">
      <c r="A1343">
        <v>1342</v>
      </c>
      <c r="B1343">
        <v>26</v>
      </c>
      <c r="C1343" t="s">
        <v>27</v>
      </c>
      <c r="D1343" t="s">
        <v>83</v>
      </c>
      <c r="E1343" t="s">
        <v>18</v>
      </c>
      <c r="F1343" s="2">
        <v>27</v>
      </c>
      <c r="G1343" t="s">
        <v>159</v>
      </c>
      <c r="H1343" t="s">
        <v>20</v>
      </c>
      <c r="I1343" t="s">
        <v>52</v>
      </c>
      <c r="J1343" t="s">
        <v>47</v>
      </c>
      <c r="K1343">
        <v>1</v>
      </c>
      <c r="L1343" t="s">
        <v>23</v>
      </c>
      <c r="M1343" t="s">
        <v>24</v>
      </c>
      <c r="N1343" t="s">
        <v>34</v>
      </c>
      <c r="O1343">
        <v>31</v>
      </c>
      <c r="P1343" t="s">
        <v>88</v>
      </c>
      <c r="Q1343" t="s">
        <v>37</v>
      </c>
      <c r="R1343" s="1">
        <v>0.1</v>
      </c>
      <c r="S1343">
        <f t="shared" si="80"/>
        <v>24.3</v>
      </c>
      <c r="T1343">
        <f>IFERROR(VLOOKUP(A1343,Table1[[Customer ID]:[Discount Amount]], 6, FALSE),"Not Found")</f>
        <v>27</v>
      </c>
      <c r="U1343" t="str">
        <f t="shared" si="81"/>
        <v>Bank Transfer</v>
      </c>
      <c r="V1343" s="4" t="str">
        <f t="shared" si="82"/>
        <v>Normal</v>
      </c>
      <c r="W1343" s="4" t="str">
        <f t="shared" si="83"/>
        <v>Poor</v>
      </c>
      <c r="X1343" s="4">
        <f>AVERAGE(Table1[Purchase Amount])</f>
        <v>129.48419400000012</v>
      </c>
    </row>
    <row r="1344" spans="1:24" ht="15" customHeight="1" x14ac:dyDescent="0.25">
      <c r="A1344">
        <v>1343</v>
      </c>
      <c r="B1344">
        <v>57</v>
      </c>
      <c r="C1344" t="s">
        <v>27</v>
      </c>
      <c r="D1344" t="s">
        <v>28</v>
      </c>
      <c r="E1344" t="s">
        <v>29</v>
      </c>
      <c r="F1344" s="2">
        <v>43</v>
      </c>
      <c r="G1344" t="s">
        <v>150</v>
      </c>
      <c r="H1344" t="s">
        <v>20</v>
      </c>
      <c r="I1344" t="s">
        <v>52</v>
      </c>
      <c r="J1344" t="s">
        <v>57</v>
      </c>
      <c r="K1344">
        <v>3.4</v>
      </c>
      <c r="L1344" t="s">
        <v>23</v>
      </c>
      <c r="M1344" t="s">
        <v>41</v>
      </c>
      <c r="N1344" t="s">
        <v>34</v>
      </c>
      <c r="O1344">
        <v>11</v>
      </c>
      <c r="P1344" t="s">
        <v>88</v>
      </c>
      <c r="Q1344" t="s">
        <v>42</v>
      </c>
      <c r="R1344" s="1">
        <v>0.1</v>
      </c>
      <c r="S1344">
        <f t="shared" si="80"/>
        <v>38.700000000000003</v>
      </c>
      <c r="T1344">
        <f>IFERROR(VLOOKUP(A1344,Table1[[Customer ID]:[Discount Amount]], 6, FALSE),"Not Found")</f>
        <v>43</v>
      </c>
      <c r="U1344" t="str">
        <f t="shared" si="81"/>
        <v>Bank Transfer</v>
      </c>
      <c r="V1344" s="4" t="str">
        <f t="shared" si="82"/>
        <v>Normal</v>
      </c>
      <c r="W1344" s="4" t="str">
        <f t="shared" si="83"/>
        <v>Good</v>
      </c>
      <c r="X1344" s="4">
        <f>AVERAGE(Table1[Purchase Amount])</f>
        <v>129.48419400000012</v>
      </c>
    </row>
    <row r="1345" spans="1:24" ht="15" customHeight="1" x14ac:dyDescent="0.25">
      <c r="A1345">
        <v>1344</v>
      </c>
      <c r="B1345">
        <v>68</v>
      </c>
      <c r="C1345" t="s">
        <v>27</v>
      </c>
      <c r="D1345" t="s">
        <v>140</v>
      </c>
      <c r="E1345" t="s">
        <v>98</v>
      </c>
      <c r="F1345" s="2">
        <v>56</v>
      </c>
      <c r="G1345" t="s">
        <v>67</v>
      </c>
      <c r="H1345" t="s">
        <v>31</v>
      </c>
      <c r="I1345" t="s">
        <v>91</v>
      </c>
      <c r="J1345" t="s">
        <v>33</v>
      </c>
      <c r="K1345">
        <v>3.4</v>
      </c>
      <c r="L1345" t="s">
        <v>23</v>
      </c>
      <c r="M1345" t="s">
        <v>24</v>
      </c>
      <c r="N1345" t="s">
        <v>34</v>
      </c>
      <c r="O1345">
        <v>34</v>
      </c>
      <c r="P1345" t="s">
        <v>88</v>
      </c>
      <c r="Q1345" t="s">
        <v>42</v>
      </c>
      <c r="R1345" s="1">
        <v>0.1</v>
      </c>
      <c r="S1345">
        <f t="shared" si="80"/>
        <v>50.4</v>
      </c>
      <c r="T1345">
        <f>IFERROR(VLOOKUP(A1345,Table1[[Customer ID]:[Discount Amount]], 6, FALSE),"Not Found")</f>
        <v>56</v>
      </c>
      <c r="U1345" t="str">
        <f t="shared" si="81"/>
        <v>Bank Transfer</v>
      </c>
      <c r="V1345" s="4" t="str">
        <f t="shared" si="82"/>
        <v>Normal</v>
      </c>
      <c r="W1345" s="4" t="str">
        <f t="shared" si="83"/>
        <v>Good</v>
      </c>
      <c r="X1345" s="4">
        <f>AVERAGE(Table1[Purchase Amount])</f>
        <v>129.48419400000012</v>
      </c>
    </row>
    <row r="1346" spans="1:24" ht="15" customHeight="1" x14ac:dyDescent="0.25">
      <c r="A1346">
        <v>1345</v>
      </c>
      <c r="B1346">
        <v>56</v>
      </c>
      <c r="C1346" t="s">
        <v>27</v>
      </c>
      <c r="D1346" t="s">
        <v>17</v>
      </c>
      <c r="E1346" t="s">
        <v>18</v>
      </c>
      <c r="F1346" s="2">
        <v>37</v>
      </c>
      <c r="G1346" t="s">
        <v>101</v>
      </c>
      <c r="H1346" t="s">
        <v>55</v>
      </c>
      <c r="I1346" t="s">
        <v>111</v>
      </c>
      <c r="J1346" t="s">
        <v>47</v>
      </c>
      <c r="K1346">
        <v>4.9000000000000004</v>
      </c>
      <c r="L1346" t="s">
        <v>23</v>
      </c>
      <c r="M1346" t="s">
        <v>79</v>
      </c>
      <c r="N1346" t="s">
        <v>34</v>
      </c>
      <c r="O1346">
        <v>14</v>
      </c>
      <c r="P1346" t="s">
        <v>25</v>
      </c>
      <c r="Q1346" t="s">
        <v>49</v>
      </c>
      <c r="R1346" s="1">
        <v>0.1</v>
      </c>
      <c r="S1346">
        <f t="shared" ref="S1346:S1409" si="84">F1346-(F1346*R1346)</f>
        <v>33.299999999999997</v>
      </c>
      <c r="T1346">
        <f>IFERROR(VLOOKUP(A1346,Table1[[Customer ID]:[Discount Amount]], 6, FALSE),"Not Found")</f>
        <v>37</v>
      </c>
      <c r="U1346" t="str">
        <f t="shared" ref="U1346:U1409" si="85">INDEX(P:P, MATCH(A1346, A:A, 0))</f>
        <v>Cash</v>
      </c>
      <c r="V1346" s="4" t="str">
        <f t="shared" ref="V1346:V1409" si="86">IF(AND(F1346&gt;1000,K1346&gt;=4),"Best Customer","Normal")</f>
        <v>Normal</v>
      </c>
      <c r="W1346" s="4" t="str">
        <f t="shared" ref="W1346:W1409" si="87">IF(K1346&gt;=3,"Good","Poor")</f>
        <v>Good</v>
      </c>
      <c r="X1346" s="4">
        <f>AVERAGE(Table1[Purchase Amount])</f>
        <v>129.48419400000012</v>
      </c>
    </row>
    <row r="1347" spans="1:24" ht="15" customHeight="1" x14ac:dyDescent="0.25">
      <c r="A1347">
        <v>1346</v>
      </c>
      <c r="B1347">
        <v>40</v>
      </c>
      <c r="C1347" t="s">
        <v>27</v>
      </c>
      <c r="D1347" t="s">
        <v>157</v>
      </c>
      <c r="E1347" t="s">
        <v>18</v>
      </c>
      <c r="F1347" s="2">
        <v>21</v>
      </c>
      <c r="G1347" t="s">
        <v>137</v>
      </c>
      <c r="H1347" t="s">
        <v>31</v>
      </c>
      <c r="I1347" t="s">
        <v>32</v>
      </c>
      <c r="J1347" t="s">
        <v>47</v>
      </c>
      <c r="K1347">
        <v>3.6</v>
      </c>
      <c r="L1347" t="s">
        <v>23</v>
      </c>
      <c r="M1347" t="s">
        <v>24</v>
      </c>
      <c r="N1347" t="s">
        <v>34</v>
      </c>
      <c r="O1347">
        <v>42</v>
      </c>
      <c r="P1347" t="s">
        <v>62</v>
      </c>
      <c r="Q1347" t="s">
        <v>26</v>
      </c>
      <c r="R1347" s="1">
        <v>0.1</v>
      </c>
      <c r="S1347">
        <f t="shared" si="84"/>
        <v>18.899999999999999</v>
      </c>
      <c r="T1347">
        <f>IFERROR(VLOOKUP(A1347,Table1[[Customer ID]:[Discount Amount]], 6, FALSE),"Not Found")</f>
        <v>21</v>
      </c>
      <c r="U1347" t="str">
        <f t="shared" si="85"/>
        <v>Venmo</v>
      </c>
      <c r="V1347" s="4" t="str">
        <f t="shared" si="86"/>
        <v>Normal</v>
      </c>
      <c r="W1347" s="4" t="str">
        <f t="shared" si="87"/>
        <v>Good</v>
      </c>
      <c r="X1347" s="4">
        <f>AVERAGE(Table1[Purchase Amount])</f>
        <v>129.48419400000012</v>
      </c>
    </row>
    <row r="1348" spans="1:24" ht="15" customHeight="1" x14ac:dyDescent="0.25">
      <c r="A1348">
        <v>1347</v>
      </c>
      <c r="B1348">
        <v>44</v>
      </c>
      <c r="C1348" t="s">
        <v>27</v>
      </c>
      <c r="D1348" t="s">
        <v>83</v>
      </c>
      <c r="E1348" t="s">
        <v>18</v>
      </c>
      <c r="F1348" s="2">
        <v>91</v>
      </c>
      <c r="G1348" t="s">
        <v>149</v>
      </c>
      <c r="H1348" t="s">
        <v>45</v>
      </c>
      <c r="I1348" t="s">
        <v>32</v>
      </c>
      <c r="J1348" t="s">
        <v>22</v>
      </c>
      <c r="K1348">
        <v>3</v>
      </c>
      <c r="L1348" t="s">
        <v>23</v>
      </c>
      <c r="M1348" t="s">
        <v>35</v>
      </c>
      <c r="N1348" t="s">
        <v>34</v>
      </c>
      <c r="O1348">
        <v>15</v>
      </c>
      <c r="P1348" t="s">
        <v>62</v>
      </c>
      <c r="Q1348" t="s">
        <v>68</v>
      </c>
      <c r="R1348" s="1">
        <v>0.1</v>
      </c>
      <c r="S1348">
        <f t="shared" si="84"/>
        <v>81.900000000000006</v>
      </c>
      <c r="T1348">
        <f>IFERROR(VLOOKUP(A1348,Table1[[Customer ID]:[Discount Amount]], 6, FALSE),"Not Found")</f>
        <v>91</v>
      </c>
      <c r="U1348" t="str">
        <f t="shared" si="85"/>
        <v>Venmo</v>
      </c>
      <c r="V1348" s="4" t="str">
        <f t="shared" si="86"/>
        <v>Normal</v>
      </c>
      <c r="W1348" s="4" t="str">
        <f t="shared" si="87"/>
        <v>Good</v>
      </c>
      <c r="X1348" s="4">
        <f>AVERAGE(Table1[Purchase Amount])</f>
        <v>129.48419400000012</v>
      </c>
    </row>
    <row r="1349" spans="1:24" ht="15" customHeight="1" x14ac:dyDescent="0.25">
      <c r="A1349">
        <v>1348</v>
      </c>
      <c r="B1349">
        <v>44</v>
      </c>
      <c r="C1349" t="s">
        <v>27</v>
      </c>
      <c r="D1349" t="s">
        <v>127</v>
      </c>
      <c r="E1349" t="s">
        <v>18</v>
      </c>
      <c r="F1349" s="2">
        <v>95</v>
      </c>
      <c r="G1349" t="s">
        <v>84</v>
      </c>
      <c r="H1349" t="s">
        <v>31</v>
      </c>
      <c r="I1349" t="s">
        <v>128</v>
      </c>
      <c r="J1349" t="s">
        <v>57</v>
      </c>
      <c r="K1349">
        <v>3.9</v>
      </c>
      <c r="L1349" t="s">
        <v>23</v>
      </c>
      <c r="M1349" t="s">
        <v>41</v>
      </c>
      <c r="N1349" t="s">
        <v>34</v>
      </c>
      <c r="O1349">
        <v>47</v>
      </c>
      <c r="P1349" t="s">
        <v>88</v>
      </c>
      <c r="Q1349" t="s">
        <v>42</v>
      </c>
      <c r="R1349" s="1">
        <v>0.1</v>
      </c>
      <c r="S1349">
        <f t="shared" si="84"/>
        <v>85.5</v>
      </c>
      <c r="T1349">
        <f>IFERROR(VLOOKUP(A1349,Table1[[Customer ID]:[Discount Amount]], 6, FALSE),"Not Found")</f>
        <v>95</v>
      </c>
      <c r="U1349" t="str">
        <f t="shared" si="85"/>
        <v>Bank Transfer</v>
      </c>
      <c r="V1349" s="4" t="str">
        <f t="shared" si="86"/>
        <v>Normal</v>
      </c>
      <c r="W1349" s="4" t="str">
        <f t="shared" si="87"/>
        <v>Good</v>
      </c>
      <c r="X1349" s="4">
        <f>AVERAGE(Table1[Purchase Amount])</f>
        <v>129.48419400000012</v>
      </c>
    </row>
    <row r="1350" spans="1:24" ht="15" customHeight="1" x14ac:dyDescent="0.25">
      <c r="A1350">
        <v>1349</v>
      </c>
      <c r="B1350">
        <v>19</v>
      </c>
      <c r="C1350" t="s">
        <v>27</v>
      </c>
      <c r="D1350" t="s">
        <v>114</v>
      </c>
      <c r="E1350" t="s">
        <v>29</v>
      </c>
      <c r="F1350" s="2">
        <v>54</v>
      </c>
      <c r="G1350" t="s">
        <v>137</v>
      </c>
      <c r="H1350" t="s">
        <v>20</v>
      </c>
      <c r="I1350" t="s">
        <v>66</v>
      </c>
      <c r="J1350" t="s">
        <v>33</v>
      </c>
      <c r="K1350">
        <v>3.2</v>
      </c>
      <c r="L1350" t="s">
        <v>23</v>
      </c>
      <c r="M1350" t="s">
        <v>24</v>
      </c>
      <c r="N1350" t="s">
        <v>34</v>
      </c>
      <c r="O1350">
        <v>23</v>
      </c>
      <c r="P1350" t="s">
        <v>53</v>
      </c>
      <c r="Q1350" t="s">
        <v>89</v>
      </c>
      <c r="R1350" s="1">
        <v>0.1</v>
      </c>
      <c r="S1350">
        <f t="shared" si="84"/>
        <v>48.6</v>
      </c>
      <c r="T1350">
        <f>IFERROR(VLOOKUP(A1350,Table1[[Customer ID]:[Discount Amount]], 6, FALSE),"Not Found")</f>
        <v>54</v>
      </c>
      <c r="U1350" t="str">
        <f t="shared" si="85"/>
        <v>Credit Card</v>
      </c>
      <c r="V1350" s="4" t="str">
        <f t="shared" si="86"/>
        <v>Normal</v>
      </c>
      <c r="W1350" s="4" t="str">
        <f t="shared" si="87"/>
        <v>Good</v>
      </c>
      <c r="X1350" s="4">
        <f>AVERAGE(Table1[Purchase Amount])</f>
        <v>129.48419400000012</v>
      </c>
    </row>
    <row r="1351" spans="1:24" ht="15" customHeight="1" x14ac:dyDescent="0.25">
      <c r="A1351">
        <v>1350</v>
      </c>
      <c r="B1351">
        <v>21</v>
      </c>
      <c r="C1351" t="s">
        <v>27</v>
      </c>
      <c r="D1351" t="s">
        <v>105</v>
      </c>
      <c r="E1351" t="s">
        <v>18</v>
      </c>
      <c r="F1351" s="2">
        <v>36</v>
      </c>
      <c r="G1351" t="s">
        <v>30</v>
      </c>
      <c r="H1351" t="s">
        <v>20</v>
      </c>
      <c r="I1351" t="s">
        <v>40</v>
      </c>
      <c r="J1351" t="s">
        <v>33</v>
      </c>
      <c r="K1351">
        <v>3.2</v>
      </c>
      <c r="L1351" t="s">
        <v>23</v>
      </c>
      <c r="M1351" t="s">
        <v>79</v>
      </c>
      <c r="N1351" t="s">
        <v>34</v>
      </c>
      <c r="O1351">
        <v>23</v>
      </c>
      <c r="P1351" t="s">
        <v>25</v>
      </c>
      <c r="Q1351" t="s">
        <v>68</v>
      </c>
      <c r="R1351" s="1">
        <v>0.1</v>
      </c>
      <c r="S1351">
        <f t="shared" si="84"/>
        <v>32.4</v>
      </c>
      <c r="T1351">
        <f>IFERROR(VLOOKUP(A1351,Table1[[Customer ID]:[Discount Amount]], 6, FALSE),"Not Found")</f>
        <v>36</v>
      </c>
      <c r="U1351" t="str">
        <f t="shared" si="85"/>
        <v>Cash</v>
      </c>
      <c r="V1351" s="4" t="str">
        <f t="shared" si="86"/>
        <v>Normal</v>
      </c>
      <c r="W1351" s="4" t="str">
        <f t="shared" si="87"/>
        <v>Good</v>
      </c>
      <c r="X1351" s="4">
        <f>AVERAGE(Table1[Purchase Amount])</f>
        <v>129.48419400000012</v>
      </c>
    </row>
    <row r="1352" spans="1:24" ht="15" customHeight="1" x14ac:dyDescent="0.25">
      <c r="A1352">
        <v>1351</v>
      </c>
      <c r="B1352">
        <v>31</v>
      </c>
      <c r="C1352" t="s">
        <v>27</v>
      </c>
      <c r="D1352" t="s">
        <v>28</v>
      </c>
      <c r="E1352" t="s">
        <v>29</v>
      </c>
      <c r="F1352" s="2">
        <v>71</v>
      </c>
      <c r="G1352" t="s">
        <v>143</v>
      </c>
      <c r="H1352" t="s">
        <v>31</v>
      </c>
      <c r="I1352" t="s">
        <v>108</v>
      </c>
      <c r="J1352" t="s">
        <v>47</v>
      </c>
      <c r="K1352">
        <v>4.3</v>
      </c>
      <c r="L1352" t="s">
        <v>23</v>
      </c>
      <c r="M1352" t="s">
        <v>79</v>
      </c>
      <c r="N1352" t="s">
        <v>34</v>
      </c>
      <c r="O1352">
        <v>1</v>
      </c>
      <c r="P1352" t="s">
        <v>25</v>
      </c>
      <c r="Q1352" t="s">
        <v>63</v>
      </c>
      <c r="R1352" s="1">
        <v>0.1</v>
      </c>
      <c r="S1352">
        <f t="shared" si="84"/>
        <v>63.9</v>
      </c>
      <c r="T1352">
        <f>IFERROR(VLOOKUP(A1352,Table1[[Customer ID]:[Discount Amount]], 6, FALSE),"Not Found")</f>
        <v>71</v>
      </c>
      <c r="U1352" t="str">
        <f t="shared" si="85"/>
        <v>Cash</v>
      </c>
      <c r="V1352" s="4" t="str">
        <f t="shared" si="86"/>
        <v>Normal</v>
      </c>
      <c r="W1352" s="4" t="str">
        <f t="shared" si="87"/>
        <v>Good</v>
      </c>
      <c r="X1352" s="4">
        <f>AVERAGE(Table1[Purchase Amount])</f>
        <v>129.48419400000012</v>
      </c>
    </row>
    <row r="1353" spans="1:24" ht="15" customHeight="1" x14ac:dyDescent="0.25">
      <c r="A1353">
        <v>1352</v>
      </c>
      <c r="B1353">
        <v>30</v>
      </c>
      <c r="C1353" t="s">
        <v>27</v>
      </c>
      <c r="D1353" t="s">
        <v>76</v>
      </c>
      <c r="E1353" t="s">
        <v>77</v>
      </c>
      <c r="F1353" s="2">
        <v>31</v>
      </c>
      <c r="G1353" t="s">
        <v>84</v>
      </c>
      <c r="H1353" t="s">
        <v>45</v>
      </c>
      <c r="I1353" t="s">
        <v>125</v>
      </c>
      <c r="J1353" t="s">
        <v>57</v>
      </c>
      <c r="K1353">
        <v>2.8</v>
      </c>
      <c r="L1353" t="s">
        <v>23</v>
      </c>
      <c r="M1353" t="s">
        <v>41</v>
      </c>
      <c r="N1353" t="s">
        <v>34</v>
      </c>
      <c r="O1353">
        <v>28</v>
      </c>
      <c r="P1353" t="s">
        <v>88</v>
      </c>
      <c r="Q1353" t="s">
        <v>37</v>
      </c>
      <c r="R1353" s="1">
        <v>0.1</v>
      </c>
      <c r="S1353">
        <f t="shared" si="84"/>
        <v>27.9</v>
      </c>
      <c r="T1353">
        <f>IFERROR(VLOOKUP(A1353,Table1[[Customer ID]:[Discount Amount]], 6, FALSE),"Not Found")</f>
        <v>31</v>
      </c>
      <c r="U1353" t="str">
        <f t="shared" si="85"/>
        <v>Bank Transfer</v>
      </c>
      <c r="V1353" s="4" t="str">
        <f t="shared" si="86"/>
        <v>Normal</v>
      </c>
      <c r="W1353" s="4" t="str">
        <f t="shared" si="87"/>
        <v>Poor</v>
      </c>
      <c r="X1353" s="4">
        <f>AVERAGE(Table1[Purchase Amount])</f>
        <v>129.48419400000012</v>
      </c>
    </row>
    <row r="1354" spans="1:24" ht="15" customHeight="1" x14ac:dyDescent="0.25">
      <c r="A1354">
        <v>1353</v>
      </c>
      <c r="B1354">
        <v>65</v>
      </c>
      <c r="C1354" t="s">
        <v>27</v>
      </c>
      <c r="D1354" t="s">
        <v>64</v>
      </c>
      <c r="E1354" t="s">
        <v>29</v>
      </c>
      <c r="F1354" s="2">
        <v>89</v>
      </c>
      <c r="G1354" t="s">
        <v>102</v>
      </c>
      <c r="H1354" t="s">
        <v>20</v>
      </c>
      <c r="I1354" t="s">
        <v>108</v>
      </c>
      <c r="J1354" t="s">
        <v>33</v>
      </c>
      <c r="K1354">
        <v>4.5</v>
      </c>
      <c r="L1354" t="s">
        <v>23</v>
      </c>
      <c r="M1354" t="s">
        <v>79</v>
      </c>
      <c r="N1354" t="s">
        <v>34</v>
      </c>
      <c r="O1354">
        <v>37</v>
      </c>
      <c r="P1354" t="s">
        <v>53</v>
      </c>
      <c r="Q1354" t="s">
        <v>68</v>
      </c>
      <c r="R1354" s="1">
        <v>0.1</v>
      </c>
      <c r="S1354">
        <f t="shared" si="84"/>
        <v>80.099999999999994</v>
      </c>
      <c r="T1354">
        <f>IFERROR(VLOOKUP(A1354,Table1[[Customer ID]:[Discount Amount]], 6, FALSE),"Not Found")</f>
        <v>89</v>
      </c>
      <c r="U1354" t="str">
        <f t="shared" si="85"/>
        <v>Credit Card</v>
      </c>
      <c r="V1354" s="4" t="str">
        <f t="shared" si="86"/>
        <v>Normal</v>
      </c>
      <c r="W1354" s="4" t="str">
        <f t="shared" si="87"/>
        <v>Good</v>
      </c>
      <c r="X1354" s="4">
        <f>AVERAGE(Table1[Purchase Amount])</f>
        <v>129.48419400000012</v>
      </c>
    </row>
    <row r="1355" spans="1:24" ht="15" customHeight="1" x14ac:dyDescent="0.25">
      <c r="A1355">
        <v>1354</v>
      </c>
      <c r="B1355">
        <v>39</v>
      </c>
      <c r="C1355" t="s">
        <v>27</v>
      </c>
      <c r="D1355" t="s">
        <v>99</v>
      </c>
      <c r="E1355" t="s">
        <v>18</v>
      </c>
      <c r="F1355" s="2">
        <v>83</v>
      </c>
      <c r="G1355" t="s">
        <v>123</v>
      </c>
      <c r="H1355" t="s">
        <v>31</v>
      </c>
      <c r="I1355" t="s">
        <v>147</v>
      </c>
      <c r="J1355" t="s">
        <v>22</v>
      </c>
      <c r="K1355">
        <v>4.0999999999999996</v>
      </c>
      <c r="L1355" t="s">
        <v>23</v>
      </c>
      <c r="M1355" t="s">
        <v>79</v>
      </c>
      <c r="N1355" t="s">
        <v>34</v>
      </c>
      <c r="O1355">
        <v>4</v>
      </c>
      <c r="P1355" t="s">
        <v>25</v>
      </c>
      <c r="Q1355" t="s">
        <v>63</v>
      </c>
      <c r="R1355" s="1">
        <v>0.1</v>
      </c>
      <c r="S1355">
        <f t="shared" si="84"/>
        <v>74.7</v>
      </c>
      <c r="T1355">
        <f>IFERROR(VLOOKUP(A1355,Table1[[Customer ID]:[Discount Amount]], 6, FALSE),"Not Found")</f>
        <v>83</v>
      </c>
      <c r="U1355" t="str">
        <f t="shared" si="85"/>
        <v>Cash</v>
      </c>
      <c r="V1355" s="4" t="str">
        <f t="shared" si="86"/>
        <v>Normal</v>
      </c>
      <c r="W1355" s="4" t="str">
        <f t="shared" si="87"/>
        <v>Good</v>
      </c>
      <c r="X1355" s="4">
        <f>AVERAGE(Table1[Purchase Amount])</f>
        <v>129.48419400000012</v>
      </c>
    </row>
    <row r="1356" spans="1:24" ht="15" customHeight="1" x14ac:dyDescent="0.25">
      <c r="A1356">
        <v>1355</v>
      </c>
      <c r="B1356">
        <v>64</v>
      </c>
      <c r="C1356" t="s">
        <v>27</v>
      </c>
      <c r="D1356" t="s">
        <v>104</v>
      </c>
      <c r="E1356" t="s">
        <v>29</v>
      </c>
      <c r="F1356" s="2">
        <v>42</v>
      </c>
      <c r="G1356" t="s">
        <v>106</v>
      </c>
      <c r="H1356" t="s">
        <v>31</v>
      </c>
      <c r="I1356" t="s">
        <v>85</v>
      </c>
      <c r="J1356" t="s">
        <v>33</v>
      </c>
      <c r="K1356">
        <v>3.6</v>
      </c>
      <c r="L1356" t="s">
        <v>23</v>
      </c>
      <c r="M1356" t="s">
        <v>41</v>
      </c>
      <c r="N1356" t="s">
        <v>34</v>
      </c>
      <c r="O1356">
        <v>21</v>
      </c>
      <c r="P1356" t="s">
        <v>88</v>
      </c>
      <c r="Q1356" t="s">
        <v>37</v>
      </c>
      <c r="R1356" s="1">
        <v>0.1</v>
      </c>
      <c r="S1356">
        <f t="shared" si="84"/>
        <v>37.799999999999997</v>
      </c>
      <c r="T1356">
        <f>IFERROR(VLOOKUP(A1356,Table1[[Customer ID]:[Discount Amount]], 6, FALSE),"Not Found")</f>
        <v>42</v>
      </c>
      <c r="U1356" t="str">
        <f t="shared" si="85"/>
        <v>Bank Transfer</v>
      </c>
      <c r="V1356" s="4" t="str">
        <f t="shared" si="86"/>
        <v>Normal</v>
      </c>
      <c r="W1356" s="4" t="str">
        <f t="shared" si="87"/>
        <v>Good</v>
      </c>
      <c r="X1356" s="4">
        <f>AVERAGE(Table1[Purchase Amount])</f>
        <v>129.48419400000012</v>
      </c>
    </row>
    <row r="1357" spans="1:24" ht="15" customHeight="1" x14ac:dyDescent="0.25">
      <c r="A1357">
        <v>1356</v>
      </c>
      <c r="B1357">
        <v>59</v>
      </c>
      <c r="C1357" t="s">
        <v>27</v>
      </c>
      <c r="D1357" t="s">
        <v>54</v>
      </c>
      <c r="E1357" t="s">
        <v>18</v>
      </c>
      <c r="F1357" s="2">
        <v>91</v>
      </c>
      <c r="G1357" t="s">
        <v>67</v>
      </c>
      <c r="H1357" t="s">
        <v>31</v>
      </c>
      <c r="I1357" t="s">
        <v>74</v>
      </c>
      <c r="J1357" t="s">
        <v>57</v>
      </c>
      <c r="K1357">
        <v>3</v>
      </c>
      <c r="L1357" t="s">
        <v>23</v>
      </c>
      <c r="M1357" t="s">
        <v>41</v>
      </c>
      <c r="N1357" t="s">
        <v>34</v>
      </c>
      <c r="O1357">
        <v>50</v>
      </c>
      <c r="P1357" t="s">
        <v>58</v>
      </c>
      <c r="Q1357" t="s">
        <v>68</v>
      </c>
      <c r="R1357" s="1">
        <v>0.1</v>
      </c>
      <c r="S1357">
        <f t="shared" si="84"/>
        <v>81.900000000000006</v>
      </c>
      <c r="T1357">
        <f>IFERROR(VLOOKUP(A1357,Table1[[Customer ID]:[Discount Amount]], 6, FALSE),"Not Found")</f>
        <v>91</v>
      </c>
      <c r="U1357" t="str">
        <f t="shared" si="85"/>
        <v>PayPal</v>
      </c>
      <c r="V1357" s="4" t="str">
        <f t="shared" si="86"/>
        <v>Normal</v>
      </c>
      <c r="W1357" s="4" t="str">
        <f t="shared" si="87"/>
        <v>Good</v>
      </c>
      <c r="X1357" s="4">
        <f>AVERAGE(Table1[Purchase Amount])</f>
        <v>129.48419400000012</v>
      </c>
    </row>
    <row r="1358" spans="1:24" ht="15" customHeight="1" x14ac:dyDescent="0.25">
      <c r="A1358">
        <v>1357</v>
      </c>
      <c r="B1358">
        <v>49</v>
      </c>
      <c r="C1358" t="s">
        <v>27</v>
      </c>
      <c r="D1358" t="s">
        <v>96</v>
      </c>
      <c r="E1358" t="s">
        <v>77</v>
      </c>
      <c r="F1358" s="2">
        <v>61</v>
      </c>
      <c r="G1358" t="s">
        <v>102</v>
      </c>
      <c r="H1358" t="s">
        <v>31</v>
      </c>
      <c r="I1358" t="s">
        <v>128</v>
      </c>
      <c r="J1358" t="s">
        <v>33</v>
      </c>
      <c r="K1358">
        <v>4</v>
      </c>
      <c r="L1358" t="s">
        <v>23</v>
      </c>
      <c r="M1358" t="s">
        <v>35</v>
      </c>
      <c r="N1358" t="s">
        <v>34</v>
      </c>
      <c r="O1358">
        <v>34</v>
      </c>
      <c r="P1358" t="s">
        <v>88</v>
      </c>
      <c r="Q1358" t="s">
        <v>49</v>
      </c>
      <c r="R1358" s="1">
        <v>0.1</v>
      </c>
      <c r="S1358">
        <f t="shared" si="84"/>
        <v>54.9</v>
      </c>
      <c r="T1358">
        <f>IFERROR(VLOOKUP(A1358,Table1[[Customer ID]:[Discount Amount]], 6, FALSE),"Not Found")</f>
        <v>61</v>
      </c>
      <c r="U1358" t="str">
        <f t="shared" si="85"/>
        <v>Bank Transfer</v>
      </c>
      <c r="V1358" s="4" t="str">
        <f t="shared" si="86"/>
        <v>Normal</v>
      </c>
      <c r="W1358" s="4" t="str">
        <f t="shared" si="87"/>
        <v>Good</v>
      </c>
      <c r="X1358" s="4">
        <f>AVERAGE(Table1[Purchase Amount])</f>
        <v>129.48419400000012</v>
      </c>
    </row>
    <row r="1359" spans="1:24" ht="15" customHeight="1" x14ac:dyDescent="0.25">
      <c r="A1359">
        <v>1358</v>
      </c>
      <c r="B1359">
        <v>24</v>
      </c>
      <c r="C1359" t="s">
        <v>27</v>
      </c>
      <c r="D1359" t="s">
        <v>104</v>
      </c>
      <c r="E1359" t="s">
        <v>29</v>
      </c>
      <c r="F1359" s="2">
        <v>66</v>
      </c>
      <c r="G1359" t="s">
        <v>152</v>
      </c>
      <c r="H1359" t="s">
        <v>55</v>
      </c>
      <c r="I1359" t="s">
        <v>46</v>
      </c>
      <c r="J1359" t="s">
        <v>57</v>
      </c>
      <c r="K1359">
        <v>3.5</v>
      </c>
      <c r="L1359" t="s">
        <v>23</v>
      </c>
      <c r="M1359" t="s">
        <v>79</v>
      </c>
      <c r="N1359" t="s">
        <v>34</v>
      </c>
      <c r="O1359">
        <v>20</v>
      </c>
      <c r="P1359" t="s">
        <v>25</v>
      </c>
      <c r="Q1359" t="s">
        <v>37</v>
      </c>
      <c r="R1359" s="1">
        <v>0.1</v>
      </c>
      <c r="S1359">
        <f t="shared" si="84"/>
        <v>59.4</v>
      </c>
      <c r="T1359">
        <f>IFERROR(VLOOKUP(A1359,Table1[[Customer ID]:[Discount Amount]], 6, FALSE),"Not Found")</f>
        <v>66</v>
      </c>
      <c r="U1359" t="str">
        <f t="shared" si="85"/>
        <v>Cash</v>
      </c>
      <c r="V1359" s="4" t="str">
        <f t="shared" si="86"/>
        <v>Normal</v>
      </c>
      <c r="W1359" s="4" t="str">
        <f t="shared" si="87"/>
        <v>Good</v>
      </c>
      <c r="X1359" s="4">
        <f>AVERAGE(Table1[Purchase Amount])</f>
        <v>129.48419400000012</v>
      </c>
    </row>
    <row r="1360" spans="1:24" ht="15" customHeight="1" x14ac:dyDescent="0.25">
      <c r="A1360">
        <v>1359</v>
      </c>
      <c r="B1360">
        <v>19</v>
      </c>
      <c r="C1360" t="s">
        <v>27</v>
      </c>
      <c r="D1360" t="s">
        <v>129</v>
      </c>
      <c r="E1360" t="s">
        <v>29</v>
      </c>
      <c r="F1360" s="2">
        <v>22</v>
      </c>
      <c r="G1360" t="s">
        <v>137</v>
      </c>
      <c r="H1360" t="s">
        <v>20</v>
      </c>
      <c r="I1360" t="s">
        <v>136</v>
      </c>
      <c r="J1360" t="s">
        <v>33</v>
      </c>
      <c r="K1360">
        <v>2.5</v>
      </c>
      <c r="L1360" t="s">
        <v>23</v>
      </c>
      <c r="M1360" t="s">
        <v>48</v>
      </c>
      <c r="N1360" t="s">
        <v>34</v>
      </c>
      <c r="O1360">
        <v>25</v>
      </c>
      <c r="P1360" t="s">
        <v>62</v>
      </c>
      <c r="Q1360" t="s">
        <v>63</v>
      </c>
      <c r="R1360" s="1">
        <v>0.1</v>
      </c>
      <c r="S1360">
        <f t="shared" si="84"/>
        <v>19.8</v>
      </c>
      <c r="T1360">
        <f>IFERROR(VLOOKUP(A1360,Table1[[Customer ID]:[Discount Amount]], 6, FALSE),"Not Found")</f>
        <v>22</v>
      </c>
      <c r="U1360" t="str">
        <f t="shared" si="85"/>
        <v>Venmo</v>
      </c>
      <c r="V1360" s="4" t="str">
        <f t="shared" si="86"/>
        <v>Normal</v>
      </c>
      <c r="W1360" s="4" t="str">
        <f t="shared" si="87"/>
        <v>Poor</v>
      </c>
      <c r="X1360" s="4">
        <f>AVERAGE(Table1[Purchase Amount])</f>
        <v>129.48419400000012</v>
      </c>
    </row>
    <row r="1361" spans="1:24" ht="15" customHeight="1" x14ac:dyDescent="0.25">
      <c r="A1361">
        <v>1360</v>
      </c>
      <c r="B1361">
        <v>27</v>
      </c>
      <c r="C1361" t="s">
        <v>27</v>
      </c>
      <c r="D1361" t="s">
        <v>83</v>
      </c>
      <c r="E1361" t="s">
        <v>18</v>
      </c>
      <c r="F1361" s="2">
        <v>68</v>
      </c>
      <c r="G1361" t="s">
        <v>134</v>
      </c>
      <c r="H1361" t="s">
        <v>55</v>
      </c>
      <c r="I1361" t="s">
        <v>128</v>
      </c>
      <c r="J1361" t="s">
        <v>22</v>
      </c>
      <c r="K1361">
        <v>4.3</v>
      </c>
      <c r="L1361" t="s">
        <v>23</v>
      </c>
      <c r="M1361" t="s">
        <v>48</v>
      </c>
      <c r="N1361" t="s">
        <v>34</v>
      </c>
      <c r="O1361">
        <v>26</v>
      </c>
      <c r="P1361" t="s">
        <v>88</v>
      </c>
      <c r="Q1361" t="s">
        <v>89</v>
      </c>
      <c r="R1361" s="1">
        <v>0.1</v>
      </c>
      <c r="S1361">
        <f t="shared" si="84"/>
        <v>61.2</v>
      </c>
      <c r="T1361">
        <f>IFERROR(VLOOKUP(A1361,Table1[[Customer ID]:[Discount Amount]], 6, FALSE),"Not Found")</f>
        <v>68</v>
      </c>
      <c r="U1361" t="str">
        <f t="shared" si="85"/>
        <v>Bank Transfer</v>
      </c>
      <c r="V1361" s="4" t="str">
        <f t="shared" si="86"/>
        <v>Normal</v>
      </c>
      <c r="W1361" s="4" t="str">
        <f t="shared" si="87"/>
        <v>Good</v>
      </c>
      <c r="X1361" s="4">
        <f>AVERAGE(Table1[Purchase Amount])</f>
        <v>129.48419400000012</v>
      </c>
    </row>
    <row r="1362" spans="1:24" ht="15" customHeight="1" x14ac:dyDescent="0.25">
      <c r="A1362">
        <v>1361</v>
      </c>
      <c r="B1362">
        <v>56</v>
      </c>
      <c r="C1362" t="s">
        <v>27</v>
      </c>
      <c r="D1362" t="s">
        <v>122</v>
      </c>
      <c r="E1362" t="s">
        <v>18</v>
      </c>
      <c r="F1362" s="2">
        <v>43</v>
      </c>
      <c r="G1362" t="s">
        <v>51</v>
      </c>
      <c r="H1362" t="s">
        <v>45</v>
      </c>
      <c r="I1362" t="s">
        <v>40</v>
      </c>
      <c r="J1362" t="s">
        <v>47</v>
      </c>
      <c r="K1362">
        <v>2.8</v>
      </c>
      <c r="L1362" t="s">
        <v>23</v>
      </c>
      <c r="M1362" t="s">
        <v>61</v>
      </c>
      <c r="N1362" t="s">
        <v>34</v>
      </c>
      <c r="O1362">
        <v>4</v>
      </c>
      <c r="P1362" t="s">
        <v>88</v>
      </c>
      <c r="Q1362" t="s">
        <v>49</v>
      </c>
      <c r="R1362" s="1">
        <v>0.1</v>
      </c>
      <c r="S1362">
        <f t="shared" si="84"/>
        <v>38.700000000000003</v>
      </c>
      <c r="T1362">
        <f>IFERROR(VLOOKUP(A1362,Table1[[Customer ID]:[Discount Amount]], 6, FALSE),"Not Found")</f>
        <v>43</v>
      </c>
      <c r="U1362" t="str">
        <f t="shared" si="85"/>
        <v>Bank Transfer</v>
      </c>
      <c r="V1362" s="4" t="str">
        <f t="shared" si="86"/>
        <v>Normal</v>
      </c>
      <c r="W1362" s="4" t="str">
        <f t="shared" si="87"/>
        <v>Poor</v>
      </c>
      <c r="X1362" s="4">
        <f>AVERAGE(Table1[Purchase Amount])</f>
        <v>129.48419400000012</v>
      </c>
    </row>
    <row r="1363" spans="1:24" ht="15" customHeight="1" x14ac:dyDescent="0.25">
      <c r="A1363">
        <v>1362</v>
      </c>
      <c r="B1363">
        <v>49</v>
      </c>
      <c r="C1363" t="s">
        <v>27</v>
      </c>
      <c r="D1363" t="s">
        <v>157</v>
      </c>
      <c r="E1363" t="s">
        <v>18</v>
      </c>
      <c r="F1363" s="2">
        <v>32</v>
      </c>
      <c r="G1363" t="s">
        <v>51</v>
      </c>
      <c r="H1363" t="s">
        <v>31</v>
      </c>
      <c r="I1363" t="s">
        <v>56</v>
      </c>
      <c r="J1363" t="s">
        <v>47</v>
      </c>
      <c r="K1363">
        <v>3.7</v>
      </c>
      <c r="L1363" t="s">
        <v>23</v>
      </c>
      <c r="M1363" t="s">
        <v>79</v>
      </c>
      <c r="N1363" t="s">
        <v>34</v>
      </c>
      <c r="O1363">
        <v>39</v>
      </c>
      <c r="P1363" t="s">
        <v>36</v>
      </c>
      <c r="Q1363" t="s">
        <v>42</v>
      </c>
      <c r="R1363" s="1">
        <v>0.1</v>
      </c>
      <c r="S1363">
        <f t="shared" si="84"/>
        <v>28.8</v>
      </c>
      <c r="T1363">
        <f>IFERROR(VLOOKUP(A1363,Table1[[Customer ID]:[Discount Amount]], 6, FALSE),"Not Found")</f>
        <v>32</v>
      </c>
      <c r="U1363" t="str">
        <f t="shared" si="85"/>
        <v>Debit Card</v>
      </c>
      <c r="V1363" s="4" t="str">
        <f t="shared" si="86"/>
        <v>Normal</v>
      </c>
      <c r="W1363" s="4" t="str">
        <f t="shared" si="87"/>
        <v>Good</v>
      </c>
      <c r="X1363" s="4">
        <f>AVERAGE(Table1[Purchase Amount])</f>
        <v>129.48419400000012</v>
      </c>
    </row>
    <row r="1364" spans="1:24" ht="15" customHeight="1" x14ac:dyDescent="0.25">
      <c r="A1364">
        <v>1363</v>
      </c>
      <c r="B1364">
        <v>41</v>
      </c>
      <c r="C1364" t="s">
        <v>27</v>
      </c>
      <c r="D1364" t="s">
        <v>76</v>
      </c>
      <c r="E1364" t="s">
        <v>77</v>
      </c>
      <c r="F1364" s="2">
        <v>46</v>
      </c>
      <c r="G1364" t="s">
        <v>92</v>
      </c>
      <c r="H1364" t="s">
        <v>31</v>
      </c>
      <c r="I1364" t="s">
        <v>85</v>
      </c>
      <c r="J1364" t="s">
        <v>47</v>
      </c>
      <c r="K1364">
        <v>4.3</v>
      </c>
      <c r="L1364" t="s">
        <v>23</v>
      </c>
      <c r="M1364" t="s">
        <v>61</v>
      </c>
      <c r="N1364" t="s">
        <v>34</v>
      </c>
      <c r="O1364">
        <v>29</v>
      </c>
      <c r="P1364" t="s">
        <v>25</v>
      </c>
      <c r="Q1364" t="s">
        <v>26</v>
      </c>
      <c r="R1364" s="1">
        <v>0.1</v>
      </c>
      <c r="S1364">
        <f t="shared" si="84"/>
        <v>41.4</v>
      </c>
      <c r="T1364">
        <f>IFERROR(VLOOKUP(A1364,Table1[[Customer ID]:[Discount Amount]], 6, FALSE),"Not Found")</f>
        <v>46</v>
      </c>
      <c r="U1364" t="str">
        <f t="shared" si="85"/>
        <v>Cash</v>
      </c>
      <c r="V1364" s="4" t="str">
        <f t="shared" si="86"/>
        <v>Normal</v>
      </c>
      <c r="W1364" s="4" t="str">
        <f t="shared" si="87"/>
        <v>Good</v>
      </c>
      <c r="X1364" s="4">
        <f>AVERAGE(Table1[Purchase Amount])</f>
        <v>129.48419400000012</v>
      </c>
    </row>
    <row r="1365" spans="1:24" ht="15" customHeight="1" x14ac:dyDescent="0.25">
      <c r="A1365">
        <v>1364</v>
      </c>
      <c r="B1365">
        <v>36</v>
      </c>
      <c r="C1365" t="s">
        <v>27</v>
      </c>
      <c r="D1365" t="s">
        <v>118</v>
      </c>
      <c r="E1365" t="s">
        <v>18</v>
      </c>
      <c r="F1365" s="2">
        <v>90</v>
      </c>
      <c r="G1365" t="s">
        <v>59</v>
      </c>
      <c r="H1365" t="s">
        <v>45</v>
      </c>
      <c r="I1365" t="s">
        <v>46</v>
      </c>
      <c r="J1365" t="s">
        <v>57</v>
      </c>
      <c r="K1365">
        <v>4</v>
      </c>
      <c r="L1365" t="s">
        <v>23</v>
      </c>
      <c r="M1365" t="s">
        <v>61</v>
      </c>
      <c r="N1365" t="s">
        <v>34</v>
      </c>
      <c r="O1365">
        <v>47</v>
      </c>
      <c r="P1365" t="s">
        <v>58</v>
      </c>
      <c r="Q1365" t="s">
        <v>37</v>
      </c>
      <c r="R1365" s="1">
        <v>0.1</v>
      </c>
      <c r="S1365">
        <f t="shared" si="84"/>
        <v>81</v>
      </c>
      <c r="T1365">
        <f>IFERROR(VLOOKUP(A1365,Table1[[Customer ID]:[Discount Amount]], 6, FALSE),"Not Found")</f>
        <v>90</v>
      </c>
      <c r="U1365" t="str">
        <f t="shared" si="85"/>
        <v>PayPal</v>
      </c>
      <c r="V1365" s="4" t="str">
        <f t="shared" si="86"/>
        <v>Normal</v>
      </c>
      <c r="W1365" s="4" t="str">
        <f t="shared" si="87"/>
        <v>Good</v>
      </c>
      <c r="X1365" s="4">
        <f>AVERAGE(Table1[Purchase Amount])</f>
        <v>129.48419400000012</v>
      </c>
    </row>
    <row r="1366" spans="1:24" ht="15" customHeight="1" x14ac:dyDescent="0.25">
      <c r="A1366">
        <v>1365</v>
      </c>
      <c r="B1366">
        <v>68</v>
      </c>
      <c r="C1366" t="s">
        <v>27</v>
      </c>
      <c r="D1366" t="s">
        <v>64</v>
      </c>
      <c r="E1366" t="s">
        <v>29</v>
      </c>
      <c r="F1366" s="2">
        <v>75</v>
      </c>
      <c r="G1366" t="s">
        <v>143</v>
      </c>
      <c r="H1366" t="s">
        <v>45</v>
      </c>
      <c r="I1366" t="s">
        <v>52</v>
      </c>
      <c r="J1366" t="s">
        <v>47</v>
      </c>
      <c r="K1366">
        <v>4.7</v>
      </c>
      <c r="L1366" t="s">
        <v>23</v>
      </c>
      <c r="M1366" t="s">
        <v>61</v>
      </c>
      <c r="N1366" t="s">
        <v>34</v>
      </c>
      <c r="O1366">
        <v>5</v>
      </c>
      <c r="P1366" t="s">
        <v>25</v>
      </c>
      <c r="Q1366" t="s">
        <v>63</v>
      </c>
      <c r="R1366" s="1">
        <v>0.1</v>
      </c>
      <c r="S1366">
        <f t="shared" si="84"/>
        <v>67.5</v>
      </c>
      <c r="T1366">
        <f>IFERROR(VLOOKUP(A1366,Table1[[Customer ID]:[Discount Amount]], 6, FALSE),"Not Found")</f>
        <v>75</v>
      </c>
      <c r="U1366" t="str">
        <f t="shared" si="85"/>
        <v>Cash</v>
      </c>
      <c r="V1366" s="4" t="str">
        <f t="shared" si="86"/>
        <v>Normal</v>
      </c>
      <c r="W1366" s="4" t="str">
        <f t="shared" si="87"/>
        <v>Good</v>
      </c>
      <c r="X1366" s="4">
        <f>AVERAGE(Table1[Purchase Amount])</f>
        <v>129.48419400000012</v>
      </c>
    </row>
    <row r="1367" spans="1:24" ht="15" customHeight="1" x14ac:dyDescent="0.25">
      <c r="A1367">
        <v>1366</v>
      </c>
      <c r="B1367">
        <v>28</v>
      </c>
      <c r="C1367" t="s">
        <v>27</v>
      </c>
      <c r="D1367" t="s">
        <v>69</v>
      </c>
      <c r="E1367" t="s">
        <v>29</v>
      </c>
      <c r="F1367" s="2">
        <v>69</v>
      </c>
      <c r="G1367" t="s">
        <v>102</v>
      </c>
      <c r="H1367" t="s">
        <v>31</v>
      </c>
      <c r="I1367" t="s">
        <v>87</v>
      </c>
      <c r="J1367" t="s">
        <v>22</v>
      </c>
      <c r="K1367">
        <v>4.5</v>
      </c>
      <c r="L1367" t="s">
        <v>23</v>
      </c>
      <c r="M1367" t="s">
        <v>48</v>
      </c>
      <c r="N1367" t="s">
        <v>34</v>
      </c>
      <c r="O1367">
        <v>18</v>
      </c>
      <c r="P1367" t="s">
        <v>88</v>
      </c>
      <c r="Q1367" t="s">
        <v>89</v>
      </c>
      <c r="R1367" s="1">
        <v>0.1</v>
      </c>
      <c r="S1367">
        <f t="shared" si="84"/>
        <v>62.1</v>
      </c>
      <c r="T1367">
        <f>IFERROR(VLOOKUP(A1367,Table1[[Customer ID]:[Discount Amount]], 6, FALSE),"Not Found")</f>
        <v>69</v>
      </c>
      <c r="U1367" t="str">
        <f t="shared" si="85"/>
        <v>Bank Transfer</v>
      </c>
      <c r="V1367" s="4" t="str">
        <f t="shared" si="86"/>
        <v>Normal</v>
      </c>
      <c r="W1367" s="4" t="str">
        <f t="shared" si="87"/>
        <v>Good</v>
      </c>
      <c r="X1367" s="4">
        <f>AVERAGE(Table1[Purchase Amount])</f>
        <v>129.48419400000012</v>
      </c>
    </row>
    <row r="1368" spans="1:24" ht="15" customHeight="1" x14ac:dyDescent="0.25">
      <c r="A1368">
        <v>1367</v>
      </c>
      <c r="B1368">
        <v>45</v>
      </c>
      <c r="C1368" t="s">
        <v>27</v>
      </c>
      <c r="D1368" t="s">
        <v>114</v>
      </c>
      <c r="E1368" t="s">
        <v>29</v>
      </c>
      <c r="F1368" s="2">
        <v>40</v>
      </c>
      <c r="G1368" t="s">
        <v>141</v>
      </c>
      <c r="H1368" t="s">
        <v>31</v>
      </c>
      <c r="I1368" t="s">
        <v>87</v>
      </c>
      <c r="J1368" t="s">
        <v>47</v>
      </c>
      <c r="K1368">
        <v>3.1</v>
      </c>
      <c r="L1368" t="s">
        <v>23</v>
      </c>
      <c r="M1368" t="s">
        <v>35</v>
      </c>
      <c r="N1368" t="s">
        <v>34</v>
      </c>
      <c r="O1368">
        <v>10</v>
      </c>
      <c r="P1368" t="s">
        <v>53</v>
      </c>
      <c r="Q1368" t="s">
        <v>89</v>
      </c>
      <c r="R1368" s="1">
        <v>0.1</v>
      </c>
      <c r="S1368">
        <f t="shared" si="84"/>
        <v>36</v>
      </c>
      <c r="T1368">
        <f>IFERROR(VLOOKUP(A1368,Table1[[Customer ID]:[Discount Amount]], 6, FALSE),"Not Found")</f>
        <v>40</v>
      </c>
      <c r="U1368" t="str">
        <f t="shared" si="85"/>
        <v>Credit Card</v>
      </c>
      <c r="V1368" s="4" t="str">
        <f t="shared" si="86"/>
        <v>Normal</v>
      </c>
      <c r="W1368" s="4" t="str">
        <f t="shared" si="87"/>
        <v>Good</v>
      </c>
      <c r="X1368" s="4">
        <f>AVERAGE(Table1[Purchase Amount])</f>
        <v>129.48419400000012</v>
      </c>
    </row>
    <row r="1369" spans="1:24" ht="15" customHeight="1" x14ac:dyDescent="0.25">
      <c r="A1369">
        <v>1368</v>
      </c>
      <c r="B1369">
        <v>60</v>
      </c>
      <c r="C1369" t="s">
        <v>27</v>
      </c>
      <c r="D1369" t="s">
        <v>114</v>
      </c>
      <c r="E1369" t="s">
        <v>29</v>
      </c>
      <c r="F1369" s="2">
        <v>63</v>
      </c>
      <c r="G1369" t="s">
        <v>141</v>
      </c>
      <c r="H1369" t="s">
        <v>55</v>
      </c>
      <c r="I1369" t="s">
        <v>40</v>
      </c>
      <c r="J1369" t="s">
        <v>47</v>
      </c>
      <c r="K1369">
        <v>3.8</v>
      </c>
      <c r="L1369" t="s">
        <v>23</v>
      </c>
      <c r="M1369" t="s">
        <v>61</v>
      </c>
      <c r="N1369" t="s">
        <v>34</v>
      </c>
      <c r="O1369">
        <v>25</v>
      </c>
      <c r="P1369" t="s">
        <v>25</v>
      </c>
      <c r="Q1369" t="s">
        <v>37</v>
      </c>
      <c r="R1369" s="1">
        <v>0.1</v>
      </c>
      <c r="S1369">
        <f t="shared" si="84"/>
        <v>56.7</v>
      </c>
      <c r="T1369">
        <f>IFERROR(VLOOKUP(A1369,Table1[[Customer ID]:[Discount Amount]], 6, FALSE),"Not Found")</f>
        <v>63</v>
      </c>
      <c r="U1369" t="str">
        <f t="shared" si="85"/>
        <v>Cash</v>
      </c>
      <c r="V1369" s="4" t="str">
        <f t="shared" si="86"/>
        <v>Normal</v>
      </c>
      <c r="W1369" s="4" t="str">
        <f t="shared" si="87"/>
        <v>Good</v>
      </c>
      <c r="X1369" s="4">
        <f>AVERAGE(Table1[Purchase Amount])</f>
        <v>129.48419400000012</v>
      </c>
    </row>
    <row r="1370" spans="1:24" ht="15" customHeight="1" x14ac:dyDescent="0.25">
      <c r="A1370">
        <v>1369</v>
      </c>
      <c r="B1370">
        <v>21</v>
      </c>
      <c r="C1370" t="s">
        <v>27</v>
      </c>
      <c r="D1370" t="s">
        <v>38</v>
      </c>
      <c r="E1370" t="s">
        <v>18</v>
      </c>
      <c r="F1370" s="2">
        <v>36</v>
      </c>
      <c r="G1370" t="s">
        <v>59</v>
      </c>
      <c r="H1370" t="s">
        <v>45</v>
      </c>
      <c r="I1370" t="s">
        <v>108</v>
      </c>
      <c r="J1370" t="s">
        <v>57</v>
      </c>
      <c r="K1370">
        <v>4.9000000000000004</v>
      </c>
      <c r="L1370" t="s">
        <v>23</v>
      </c>
      <c r="M1370" t="s">
        <v>61</v>
      </c>
      <c r="N1370" t="s">
        <v>34</v>
      </c>
      <c r="O1370">
        <v>2</v>
      </c>
      <c r="P1370" t="s">
        <v>25</v>
      </c>
      <c r="Q1370" t="s">
        <v>26</v>
      </c>
      <c r="R1370" s="1">
        <v>0.1</v>
      </c>
      <c r="S1370">
        <f t="shared" si="84"/>
        <v>32.4</v>
      </c>
      <c r="T1370">
        <f>IFERROR(VLOOKUP(A1370,Table1[[Customer ID]:[Discount Amount]], 6, FALSE),"Not Found")</f>
        <v>36</v>
      </c>
      <c r="U1370" t="str">
        <f t="shared" si="85"/>
        <v>Cash</v>
      </c>
      <c r="V1370" s="4" t="str">
        <f t="shared" si="86"/>
        <v>Normal</v>
      </c>
      <c r="W1370" s="4" t="str">
        <f t="shared" si="87"/>
        <v>Good</v>
      </c>
      <c r="X1370" s="4">
        <f>AVERAGE(Table1[Purchase Amount])</f>
        <v>129.48419400000012</v>
      </c>
    </row>
    <row r="1371" spans="1:24" ht="15" customHeight="1" x14ac:dyDescent="0.25">
      <c r="A1371">
        <v>1370</v>
      </c>
      <c r="B1371">
        <v>32</v>
      </c>
      <c r="C1371" t="s">
        <v>27</v>
      </c>
      <c r="D1371" t="s">
        <v>72</v>
      </c>
      <c r="E1371" t="s">
        <v>98</v>
      </c>
      <c r="F1371" s="2">
        <v>75</v>
      </c>
      <c r="G1371" t="s">
        <v>141</v>
      </c>
      <c r="H1371" t="s">
        <v>31</v>
      </c>
      <c r="I1371" t="s">
        <v>93</v>
      </c>
      <c r="J1371" t="s">
        <v>22</v>
      </c>
      <c r="K1371">
        <v>3.2</v>
      </c>
      <c r="L1371" t="s">
        <v>23</v>
      </c>
      <c r="M1371" t="s">
        <v>24</v>
      </c>
      <c r="N1371" t="s">
        <v>34</v>
      </c>
      <c r="O1371">
        <v>48</v>
      </c>
      <c r="P1371" t="s">
        <v>62</v>
      </c>
      <c r="Q1371" t="s">
        <v>89</v>
      </c>
      <c r="R1371" s="1">
        <v>0.1</v>
      </c>
      <c r="S1371">
        <f t="shared" si="84"/>
        <v>67.5</v>
      </c>
      <c r="T1371">
        <f>IFERROR(VLOOKUP(A1371,Table1[[Customer ID]:[Discount Amount]], 6, FALSE),"Not Found")</f>
        <v>75</v>
      </c>
      <c r="U1371" t="str">
        <f t="shared" si="85"/>
        <v>Venmo</v>
      </c>
      <c r="V1371" s="4" t="str">
        <f t="shared" si="86"/>
        <v>Normal</v>
      </c>
      <c r="W1371" s="4" t="str">
        <f t="shared" si="87"/>
        <v>Good</v>
      </c>
      <c r="X1371" s="4">
        <f>AVERAGE(Table1[Purchase Amount])</f>
        <v>129.48419400000012</v>
      </c>
    </row>
    <row r="1372" spans="1:24" ht="15" customHeight="1" x14ac:dyDescent="0.25">
      <c r="A1372">
        <v>1371</v>
      </c>
      <c r="B1372">
        <v>27</v>
      </c>
      <c r="C1372" t="s">
        <v>27</v>
      </c>
      <c r="D1372" t="s">
        <v>129</v>
      </c>
      <c r="E1372" t="s">
        <v>29</v>
      </c>
      <c r="F1372" s="2">
        <v>67</v>
      </c>
      <c r="G1372" t="s">
        <v>39</v>
      </c>
      <c r="H1372" t="s">
        <v>45</v>
      </c>
      <c r="I1372" t="s">
        <v>145</v>
      </c>
      <c r="J1372" t="s">
        <v>57</v>
      </c>
      <c r="K1372">
        <v>1</v>
      </c>
      <c r="L1372" t="s">
        <v>23</v>
      </c>
      <c r="M1372" t="s">
        <v>41</v>
      </c>
      <c r="N1372" t="s">
        <v>34</v>
      </c>
      <c r="O1372">
        <v>41</v>
      </c>
      <c r="P1372" t="s">
        <v>88</v>
      </c>
      <c r="Q1372" t="s">
        <v>63</v>
      </c>
      <c r="R1372" s="1">
        <v>0.1</v>
      </c>
      <c r="S1372">
        <f t="shared" si="84"/>
        <v>60.3</v>
      </c>
      <c r="T1372">
        <f>IFERROR(VLOOKUP(A1372,Table1[[Customer ID]:[Discount Amount]], 6, FALSE),"Not Found")</f>
        <v>67</v>
      </c>
      <c r="U1372" t="str">
        <f t="shared" si="85"/>
        <v>Bank Transfer</v>
      </c>
      <c r="V1372" s="4" t="str">
        <f t="shared" si="86"/>
        <v>Normal</v>
      </c>
      <c r="W1372" s="4" t="str">
        <f t="shared" si="87"/>
        <v>Poor</v>
      </c>
      <c r="X1372" s="4">
        <f>AVERAGE(Table1[Purchase Amount])</f>
        <v>129.48419400000012</v>
      </c>
    </row>
    <row r="1373" spans="1:24" ht="15" customHeight="1" x14ac:dyDescent="0.25">
      <c r="A1373">
        <v>1372</v>
      </c>
      <c r="B1373">
        <v>40</v>
      </c>
      <c r="C1373" t="s">
        <v>27</v>
      </c>
      <c r="D1373" t="s">
        <v>99</v>
      </c>
      <c r="E1373" t="s">
        <v>18</v>
      </c>
      <c r="F1373" s="2">
        <v>64</v>
      </c>
      <c r="G1373" t="s">
        <v>149</v>
      </c>
      <c r="H1373" t="s">
        <v>31</v>
      </c>
      <c r="I1373" t="s">
        <v>103</v>
      </c>
      <c r="J1373" t="s">
        <v>33</v>
      </c>
      <c r="K1373">
        <v>2.8</v>
      </c>
      <c r="L1373" t="s">
        <v>23</v>
      </c>
      <c r="M1373" t="s">
        <v>48</v>
      </c>
      <c r="N1373" t="s">
        <v>34</v>
      </c>
      <c r="O1373">
        <v>42</v>
      </c>
      <c r="P1373" t="s">
        <v>53</v>
      </c>
      <c r="Q1373" t="s">
        <v>42</v>
      </c>
      <c r="R1373" s="1">
        <v>0.1</v>
      </c>
      <c r="S1373">
        <f t="shared" si="84"/>
        <v>57.6</v>
      </c>
      <c r="T1373">
        <f>IFERROR(VLOOKUP(A1373,Table1[[Customer ID]:[Discount Amount]], 6, FALSE),"Not Found")</f>
        <v>64</v>
      </c>
      <c r="U1373" t="str">
        <f t="shared" si="85"/>
        <v>Credit Card</v>
      </c>
      <c r="V1373" s="4" t="str">
        <f t="shared" si="86"/>
        <v>Normal</v>
      </c>
      <c r="W1373" s="4" t="str">
        <f t="shared" si="87"/>
        <v>Poor</v>
      </c>
      <c r="X1373" s="4">
        <f>AVERAGE(Table1[Purchase Amount])</f>
        <v>129.48419400000012</v>
      </c>
    </row>
    <row r="1374" spans="1:24" ht="15" customHeight="1" x14ac:dyDescent="0.25">
      <c r="A1374">
        <v>1373</v>
      </c>
      <c r="B1374">
        <v>64</v>
      </c>
      <c r="C1374" t="s">
        <v>27</v>
      </c>
      <c r="D1374" t="s">
        <v>118</v>
      </c>
      <c r="E1374" t="s">
        <v>18</v>
      </c>
      <c r="F1374" s="2">
        <v>61</v>
      </c>
      <c r="G1374" t="s">
        <v>113</v>
      </c>
      <c r="H1374" t="s">
        <v>31</v>
      </c>
      <c r="I1374" t="s">
        <v>85</v>
      </c>
      <c r="J1374" t="s">
        <v>47</v>
      </c>
      <c r="K1374">
        <v>4</v>
      </c>
      <c r="L1374" t="s">
        <v>23</v>
      </c>
      <c r="M1374" t="s">
        <v>41</v>
      </c>
      <c r="N1374" t="s">
        <v>34</v>
      </c>
      <c r="O1374">
        <v>44</v>
      </c>
      <c r="P1374" t="s">
        <v>58</v>
      </c>
      <c r="Q1374" t="s">
        <v>68</v>
      </c>
      <c r="R1374" s="1">
        <v>0.1</v>
      </c>
      <c r="S1374">
        <f t="shared" si="84"/>
        <v>54.9</v>
      </c>
      <c r="T1374">
        <f>IFERROR(VLOOKUP(A1374,Table1[[Customer ID]:[Discount Amount]], 6, FALSE),"Not Found")</f>
        <v>61</v>
      </c>
      <c r="U1374" t="str">
        <f t="shared" si="85"/>
        <v>PayPal</v>
      </c>
      <c r="V1374" s="4" t="str">
        <f t="shared" si="86"/>
        <v>Normal</v>
      </c>
      <c r="W1374" s="4" t="str">
        <f t="shared" si="87"/>
        <v>Good</v>
      </c>
      <c r="X1374" s="4">
        <f>AVERAGE(Table1[Purchase Amount])</f>
        <v>129.48419400000012</v>
      </c>
    </row>
    <row r="1375" spans="1:24" ht="15" customHeight="1" x14ac:dyDescent="0.25">
      <c r="A1375">
        <v>1374</v>
      </c>
      <c r="B1375">
        <v>18</v>
      </c>
      <c r="C1375" t="s">
        <v>27</v>
      </c>
      <c r="D1375" t="s">
        <v>43</v>
      </c>
      <c r="E1375" t="s">
        <v>29</v>
      </c>
      <c r="F1375" s="2">
        <v>40</v>
      </c>
      <c r="G1375" t="s">
        <v>138</v>
      </c>
      <c r="H1375" t="s">
        <v>45</v>
      </c>
      <c r="I1375" t="s">
        <v>156</v>
      </c>
      <c r="J1375" t="s">
        <v>22</v>
      </c>
      <c r="K1375">
        <v>2.6</v>
      </c>
      <c r="L1375" t="s">
        <v>23</v>
      </c>
      <c r="M1375" t="s">
        <v>48</v>
      </c>
      <c r="N1375" t="s">
        <v>34</v>
      </c>
      <c r="O1375">
        <v>6</v>
      </c>
      <c r="P1375" t="s">
        <v>25</v>
      </c>
      <c r="Q1375" t="s">
        <v>37</v>
      </c>
      <c r="R1375" s="1">
        <v>0.1</v>
      </c>
      <c r="S1375">
        <f t="shared" si="84"/>
        <v>36</v>
      </c>
      <c r="T1375">
        <f>IFERROR(VLOOKUP(A1375,Table1[[Customer ID]:[Discount Amount]], 6, FALSE),"Not Found")</f>
        <v>40</v>
      </c>
      <c r="U1375" t="str">
        <f t="shared" si="85"/>
        <v>Cash</v>
      </c>
      <c r="V1375" s="4" t="str">
        <f t="shared" si="86"/>
        <v>Normal</v>
      </c>
      <c r="W1375" s="4" t="str">
        <f t="shared" si="87"/>
        <v>Poor</v>
      </c>
      <c r="X1375" s="4">
        <f>AVERAGE(Table1[Purchase Amount])</f>
        <v>129.48419400000012</v>
      </c>
    </row>
    <row r="1376" spans="1:24" ht="15" customHeight="1" x14ac:dyDescent="0.25">
      <c r="A1376">
        <v>1375</v>
      </c>
      <c r="B1376">
        <v>22</v>
      </c>
      <c r="C1376" t="s">
        <v>27</v>
      </c>
      <c r="D1376" t="s">
        <v>69</v>
      </c>
      <c r="E1376" t="s">
        <v>29</v>
      </c>
      <c r="F1376" s="2">
        <v>97</v>
      </c>
      <c r="G1376" t="s">
        <v>101</v>
      </c>
      <c r="H1376" t="s">
        <v>31</v>
      </c>
      <c r="I1376" t="s">
        <v>46</v>
      </c>
      <c r="J1376" t="s">
        <v>47</v>
      </c>
      <c r="K1376">
        <v>2.7</v>
      </c>
      <c r="L1376" t="s">
        <v>23</v>
      </c>
      <c r="M1376" t="s">
        <v>35</v>
      </c>
      <c r="N1376" t="s">
        <v>34</v>
      </c>
      <c r="O1376">
        <v>5</v>
      </c>
      <c r="P1376" t="s">
        <v>88</v>
      </c>
      <c r="Q1376" t="s">
        <v>37</v>
      </c>
      <c r="R1376" s="1">
        <v>0.1</v>
      </c>
      <c r="S1376">
        <f t="shared" si="84"/>
        <v>87.3</v>
      </c>
      <c r="T1376">
        <f>IFERROR(VLOOKUP(A1376,Table1[[Customer ID]:[Discount Amount]], 6, FALSE),"Not Found")</f>
        <v>97</v>
      </c>
      <c r="U1376" t="str">
        <f t="shared" si="85"/>
        <v>Bank Transfer</v>
      </c>
      <c r="V1376" s="4" t="str">
        <f t="shared" si="86"/>
        <v>Normal</v>
      </c>
      <c r="W1376" s="4" t="str">
        <f t="shared" si="87"/>
        <v>Poor</v>
      </c>
      <c r="X1376" s="4">
        <f>AVERAGE(Table1[Purchase Amount])</f>
        <v>129.48419400000012</v>
      </c>
    </row>
    <row r="1377" spans="1:24" ht="15" customHeight="1" x14ac:dyDescent="0.25">
      <c r="A1377">
        <v>1376</v>
      </c>
      <c r="B1377">
        <v>42</v>
      </c>
      <c r="C1377" t="s">
        <v>27</v>
      </c>
      <c r="D1377" t="s">
        <v>140</v>
      </c>
      <c r="E1377" t="s">
        <v>98</v>
      </c>
      <c r="F1377" s="2">
        <v>31</v>
      </c>
      <c r="G1377" t="s">
        <v>94</v>
      </c>
      <c r="H1377" t="s">
        <v>45</v>
      </c>
      <c r="I1377" t="s">
        <v>60</v>
      </c>
      <c r="J1377" t="s">
        <v>33</v>
      </c>
      <c r="K1377">
        <v>4.0999999999999996</v>
      </c>
      <c r="L1377" t="s">
        <v>23</v>
      </c>
      <c r="M1377" t="s">
        <v>41</v>
      </c>
      <c r="N1377" t="s">
        <v>34</v>
      </c>
      <c r="O1377">
        <v>8</v>
      </c>
      <c r="P1377" t="s">
        <v>53</v>
      </c>
      <c r="Q1377" t="s">
        <v>49</v>
      </c>
      <c r="R1377" s="1">
        <v>0.1</v>
      </c>
      <c r="S1377">
        <f t="shared" si="84"/>
        <v>27.9</v>
      </c>
      <c r="T1377">
        <f>IFERROR(VLOOKUP(A1377,Table1[[Customer ID]:[Discount Amount]], 6, FALSE),"Not Found")</f>
        <v>31</v>
      </c>
      <c r="U1377" t="str">
        <f t="shared" si="85"/>
        <v>Credit Card</v>
      </c>
      <c r="V1377" s="4" t="str">
        <f t="shared" si="86"/>
        <v>Normal</v>
      </c>
      <c r="W1377" s="4" t="str">
        <f t="shared" si="87"/>
        <v>Good</v>
      </c>
      <c r="X1377" s="4">
        <f>AVERAGE(Table1[Purchase Amount])</f>
        <v>129.48419400000012</v>
      </c>
    </row>
    <row r="1378" spans="1:24" ht="15" customHeight="1" x14ac:dyDescent="0.25">
      <c r="A1378">
        <v>1377</v>
      </c>
      <c r="B1378">
        <v>57</v>
      </c>
      <c r="C1378" t="s">
        <v>27</v>
      </c>
      <c r="D1378" t="s">
        <v>121</v>
      </c>
      <c r="E1378" t="s">
        <v>98</v>
      </c>
      <c r="F1378" s="2">
        <v>65</v>
      </c>
      <c r="G1378" t="s">
        <v>131</v>
      </c>
      <c r="H1378" t="s">
        <v>45</v>
      </c>
      <c r="I1378" t="s">
        <v>136</v>
      </c>
      <c r="J1378" t="s">
        <v>33</v>
      </c>
      <c r="K1378">
        <v>5</v>
      </c>
      <c r="L1378" t="s">
        <v>23</v>
      </c>
      <c r="M1378" t="s">
        <v>35</v>
      </c>
      <c r="N1378" t="s">
        <v>34</v>
      </c>
      <c r="O1378">
        <v>24</v>
      </c>
      <c r="P1378" t="s">
        <v>58</v>
      </c>
      <c r="Q1378" t="s">
        <v>49</v>
      </c>
      <c r="R1378" s="1">
        <v>0.1</v>
      </c>
      <c r="S1378">
        <f t="shared" si="84"/>
        <v>58.5</v>
      </c>
      <c r="T1378">
        <f>IFERROR(VLOOKUP(A1378,Table1[[Customer ID]:[Discount Amount]], 6, FALSE),"Not Found")</f>
        <v>65</v>
      </c>
      <c r="U1378" t="str">
        <f t="shared" si="85"/>
        <v>PayPal</v>
      </c>
      <c r="V1378" s="4" t="str">
        <f t="shared" si="86"/>
        <v>Normal</v>
      </c>
      <c r="W1378" s="4" t="str">
        <f t="shared" si="87"/>
        <v>Good</v>
      </c>
      <c r="X1378" s="4">
        <f>AVERAGE(Table1[Purchase Amount])</f>
        <v>129.48419400000012</v>
      </c>
    </row>
    <row r="1379" spans="1:24" ht="15" customHeight="1" x14ac:dyDescent="0.25">
      <c r="A1379">
        <v>1378</v>
      </c>
      <c r="B1379">
        <v>33</v>
      </c>
      <c r="C1379" t="s">
        <v>27</v>
      </c>
      <c r="D1379" t="s">
        <v>28</v>
      </c>
      <c r="E1379" t="s">
        <v>29</v>
      </c>
      <c r="F1379" s="2">
        <v>54</v>
      </c>
      <c r="G1379" t="s">
        <v>106</v>
      </c>
      <c r="H1379" t="s">
        <v>45</v>
      </c>
      <c r="I1379" t="s">
        <v>21</v>
      </c>
      <c r="J1379" t="s">
        <v>33</v>
      </c>
      <c r="K1379">
        <v>3</v>
      </c>
      <c r="L1379" t="s">
        <v>23</v>
      </c>
      <c r="M1379" t="s">
        <v>79</v>
      </c>
      <c r="N1379" t="s">
        <v>34</v>
      </c>
      <c r="O1379">
        <v>42</v>
      </c>
      <c r="P1379" t="s">
        <v>62</v>
      </c>
      <c r="Q1379" t="s">
        <v>42</v>
      </c>
      <c r="R1379" s="1">
        <v>0.1</v>
      </c>
      <c r="S1379">
        <f t="shared" si="84"/>
        <v>48.6</v>
      </c>
      <c r="T1379">
        <f>IFERROR(VLOOKUP(A1379,Table1[[Customer ID]:[Discount Amount]], 6, FALSE),"Not Found")</f>
        <v>54</v>
      </c>
      <c r="U1379" t="str">
        <f t="shared" si="85"/>
        <v>Venmo</v>
      </c>
      <c r="V1379" s="4" t="str">
        <f t="shared" si="86"/>
        <v>Normal</v>
      </c>
      <c r="W1379" s="4" t="str">
        <f t="shared" si="87"/>
        <v>Good</v>
      </c>
      <c r="X1379" s="4">
        <f>AVERAGE(Table1[Purchase Amount])</f>
        <v>129.48419400000012</v>
      </c>
    </row>
    <row r="1380" spans="1:24" ht="15" customHeight="1" x14ac:dyDescent="0.25">
      <c r="A1380">
        <v>1379</v>
      </c>
      <c r="B1380">
        <v>37</v>
      </c>
      <c r="C1380" t="s">
        <v>27</v>
      </c>
      <c r="D1380" t="s">
        <v>96</v>
      </c>
      <c r="E1380" t="s">
        <v>77</v>
      </c>
      <c r="F1380" s="2">
        <v>49</v>
      </c>
      <c r="G1380" t="s">
        <v>70</v>
      </c>
      <c r="H1380" t="s">
        <v>20</v>
      </c>
      <c r="I1380" t="s">
        <v>107</v>
      </c>
      <c r="J1380" t="s">
        <v>47</v>
      </c>
      <c r="K1380">
        <v>3.6</v>
      </c>
      <c r="L1380" t="s">
        <v>23</v>
      </c>
      <c r="M1380" t="s">
        <v>35</v>
      </c>
      <c r="N1380" t="s">
        <v>34</v>
      </c>
      <c r="O1380">
        <v>24</v>
      </c>
      <c r="P1380" t="s">
        <v>62</v>
      </c>
      <c r="Q1380" t="s">
        <v>26</v>
      </c>
      <c r="R1380" s="1">
        <v>0.1</v>
      </c>
      <c r="S1380">
        <f t="shared" si="84"/>
        <v>44.1</v>
      </c>
      <c r="T1380">
        <f>IFERROR(VLOOKUP(A1380,Table1[[Customer ID]:[Discount Amount]], 6, FALSE),"Not Found")</f>
        <v>49</v>
      </c>
      <c r="U1380" t="str">
        <f t="shared" si="85"/>
        <v>Venmo</v>
      </c>
      <c r="V1380" s="4" t="str">
        <f t="shared" si="86"/>
        <v>Normal</v>
      </c>
      <c r="W1380" s="4" t="str">
        <f t="shared" si="87"/>
        <v>Good</v>
      </c>
      <c r="X1380" s="4">
        <f>AVERAGE(Table1[Purchase Amount])</f>
        <v>129.48419400000012</v>
      </c>
    </row>
    <row r="1381" spans="1:24" ht="15" customHeight="1" x14ac:dyDescent="0.25">
      <c r="A1381">
        <v>1380</v>
      </c>
      <c r="B1381">
        <v>21</v>
      </c>
      <c r="C1381" t="s">
        <v>27</v>
      </c>
      <c r="D1381" t="s">
        <v>17</v>
      </c>
      <c r="E1381" t="s">
        <v>18</v>
      </c>
      <c r="F1381" s="2">
        <v>64</v>
      </c>
      <c r="G1381" t="s">
        <v>120</v>
      </c>
      <c r="H1381" t="s">
        <v>45</v>
      </c>
      <c r="I1381" t="s">
        <v>66</v>
      </c>
      <c r="J1381" t="s">
        <v>47</v>
      </c>
      <c r="K1381">
        <v>2.8</v>
      </c>
      <c r="L1381" t="s">
        <v>23</v>
      </c>
      <c r="M1381" t="s">
        <v>41</v>
      </c>
      <c r="N1381" t="s">
        <v>34</v>
      </c>
      <c r="O1381">
        <v>38</v>
      </c>
      <c r="P1381" t="s">
        <v>62</v>
      </c>
      <c r="Q1381" t="s">
        <v>68</v>
      </c>
      <c r="R1381" s="1">
        <v>0.1</v>
      </c>
      <c r="S1381">
        <f t="shared" si="84"/>
        <v>57.6</v>
      </c>
      <c r="T1381">
        <f>IFERROR(VLOOKUP(A1381,Table1[[Customer ID]:[Discount Amount]], 6, FALSE),"Not Found")</f>
        <v>64</v>
      </c>
      <c r="U1381" t="str">
        <f t="shared" si="85"/>
        <v>Venmo</v>
      </c>
      <c r="V1381" s="4" t="str">
        <f t="shared" si="86"/>
        <v>Normal</v>
      </c>
      <c r="W1381" s="4" t="str">
        <f t="shared" si="87"/>
        <v>Poor</v>
      </c>
      <c r="X1381" s="4">
        <f>AVERAGE(Table1[Purchase Amount])</f>
        <v>129.48419400000012</v>
      </c>
    </row>
    <row r="1382" spans="1:24" ht="15" customHeight="1" x14ac:dyDescent="0.25">
      <c r="A1382">
        <v>1381</v>
      </c>
      <c r="B1382">
        <v>51</v>
      </c>
      <c r="C1382" t="s">
        <v>27</v>
      </c>
      <c r="D1382" t="s">
        <v>140</v>
      </c>
      <c r="E1382" t="s">
        <v>98</v>
      </c>
      <c r="F1382" s="2">
        <v>35</v>
      </c>
      <c r="G1382" t="s">
        <v>97</v>
      </c>
      <c r="H1382" t="s">
        <v>55</v>
      </c>
      <c r="I1382" t="s">
        <v>56</v>
      </c>
      <c r="J1382" t="s">
        <v>22</v>
      </c>
      <c r="K1382">
        <v>4.5999999999999996</v>
      </c>
      <c r="L1382" t="s">
        <v>23</v>
      </c>
      <c r="M1382" t="s">
        <v>24</v>
      </c>
      <c r="N1382" t="s">
        <v>34</v>
      </c>
      <c r="O1382">
        <v>41</v>
      </c>
      <c r="P1382" t="s">
        <v>25</v>
      </c>
      <c r="Q1382" t="s">
        <v>89</v>
      </c>
      <c r="R1382" s="1">
        <v>0.1</v>
      </c>
      <c r="S1382">
        <f t="shared" si="84"/>
        <v>31.5</v>
      </c>
      <c r="T1382">
        <f>IFERROR(VLOOKUP(A1382,Table1[[Customer ID]:[Discount Amount]], 6, FALSE),"Not Found")</f>
        <v>35</v>
      </c>
      <c r="U1382" t="str">
        <f t="shared" si="85"/>
        <v>Cash</v>
      </c>
      <c r="V1382" s="4" t="str">
        <f t="shared" si="86"/>
        <v>Normal</v>
      </c>
      <c r="W1382" s="4" t="str">
        <f t="shared" si="87"/>
        <v>Good</v>
      </c>
      <c r="X1382" s="4">
        <f>AVERAGE(Table1[Purchase Amount])</f>
        <v>129.48419400000012</v>
      </c>
    </row>
    <row r="1383" spans="1:24" ht="15" customHeight="1" x14ac:dyDescent="0.25">
      <c r="A1383">
        <v>1382</v>
      </c>
      <c r="B1383">
        <v>30</v>
      </c>
      <c r="C1383" t="s">
        <v>27</v>
      </c>
      <c r="D1383" t="s">
        <v>72</v>
      </c>
      <c r="E1383" t="s">
        <v>98</v>
      </c>
      <c r="F1383" s="2">
        <v>86</v>
      </c>
      <c r="G1383" t="s">
        <v>44</v>
      </c>
      <c r="H1383" t="s">
        <v>45</v>
      </c>
      <c r="I1383" t="s">
        <v>93</v>
      </c>
      <c r="J1383" t="s">
        <v>22</v>
      </c>
      <c r="K1383">
        <v>2.9</v>
      </c>
      <c r="L1383" t="s">
        <v>23</v>
      </c>
      <c r="M1383" t="s">
        <v>24</v>
      </c>
      <c r="N1383" t="s">
        <v>34</v>
      </c>
      <c r="O1383">
        <v>48</v>
      </c>
      <c r="P1383" t="s">
        <v>62</v>
      </c>
      <c r="Q1383" t="s">
        <v>37</v>
      </c>
      <c r="R1383" s="1">
        <v>0.1</v>
      </c>
      <c r="S1383">
        <f t="shared" si="84"/>
        <v>77.400000000000006</v>
      </c>
      <c r="T1383">
        <f>IFERROR(VLOOKUP(A1383,Table1[[Customer ID]:[Discount Amount]], 6, FALSE),"Not Found")</f>
        <v>86</v>
      </c>
      <c r="U1383" t="str">
        <f t="shared" si="85"/>
        <v>Venmo</v>
      </c>
      <c r="V1383" s="4" t="str">
        <f t="shared" si="86"/>
        <v>Normal</v>
      </c>
      <c r="W1383" s="4" t="str">
        <f t="shared" si="87"/>
        <v>Poor</v>
      </c>
      <c r="X1383" s="4">
        <f>AVERAGE(Table1[Purchase Amount])</f>
        <v>129.48419400000012</v>
      </c>
    </row>
    <row r="1384" spans="1:24" ht="15" customHeight="1" x14ac:dyDescent="0.25">
      <c r="A1384">
        <v>1383</v>
      </c>
      <c r="B1384">
        <v>68</v>
      </c>
      <c r="C1384" t="s">
        <v>27</v>
      </c>
      <c r="D1384" t="s">
        <v>96</v>
      </c>
      <c r="E1384" t="s">
        <v>77</v>
      </c>
      <c r="F1384" s="2">
        <v>55</v>
      </c>
      <c r="G1384" t="s">
        <v>113</v>
      </c>
      <c r="H1384" t="s">
        <v>45</v>
      </c>
      <c r="I1384" t="s">
        <v>60</v>
      </c>
      <c r="J1384" t="s">
        <v>22</v>
      </c>
      <c r="K1384">
        <v>4.8</v>
      </c>
      <c r="L1384" t="s">
        <v>23</v>
      </c>
      <c r="M1384" t="s">
        <v>61</v>
      </c>
      <c r="N1384" t="s">
        <v>34</v>
      </c>
      <c r="O1384">
        <v>16</v>
      </c>
      <c r="P1384" t="s">
        <v>88</v>
      </c>
      <c r="Q1384" t="s">
        <v>37</v>
      </c>
      <c r="R1384" s="1">
        <v>0.1</v>
      </c>
      <c r="S1384">
        <f t="shared" si="84"/>
        <v>49.5</v>
      </c>
      <c r="T1384">
        <f>IFERROR(VLOOKUP(A1384,Table1[[Customer ID]:[Discount Amount]], 6, FALSE),"Not Found")</f>
        <v>55</v>
      </c>
      <c r="U1384" t="str">
        <f t="shared" si="85"/>
        <v>Bank Transfer</v>
      </c>
      <c r="V1384" s="4" t="str">
        <f t="shared" si="86"/>
        <v>Normal</v>
      </c>
      <c r="W1384" s="4" t="str">
        <f t="shared" si="87"/>
        <v>Good</v>
      </c>
      <c r="X1384" s="4">
        <f>AVERAGE(Table1[Purchase Amount])</f>
        <v>129.48419400000012</v>
      </c>
    </row>
    <row r="1385" spans="1:24" ht="15" customHeight="1" x14ac:dyDescent="0.25">
      <c r="A1385">
        <v>1384</v>
      </c>
      <c r="B1385">
        <v>36</v>
      </c>
      <c r="C1385" t="s">
        <v>27</v>
      </c>
      <c r="D1385" t="s">
        <v>129</v>
      </c>
      <c r="E1385" t="s">
        <v>29</v>
      </c>
      <c r="F1385" s="2">
        <v>58</v>
      </c>
      <c r="G1385" t="s">
        <v>59</v>
      </c>
      <c r="H1385" t="s">
        <v>31</v>
      </c>
      <c r="I1385" t="s">
        <v>56</v>
      </c>
      <c r="J1385" t="s">
        <v>33</v>
      </c>
      <c r="K1385">
        <v>3.3</v>
      </c>
      <c r="L1385" t="s">
        <v>23</v>
      </c>
      <c r="M1385" t="s">
        <v>61</v>
      </c>
      <c r="N1385" t="s">
        <v>34</v>
      </c>
      <c r="O1385">
        <v>4</v>
      </c>
      <c r="P1385" t="s">
        <v>62</v>
      </c>
      <c r="Q1385" t="s">
        <v>42</v>
      </c>
      <c r="R1385" s="1">
        <v>0.1</v>
      </c>
      <c r="S1385">
        <f t="shared" si="84"/>
        <v>52.2</v>
      </c>
      <c r="T1385">
        <f>IFERROR(VLOOKUP(A1385,Table1[[Customer ID]:[Discount Amount]], 6, FALSE),"Not Found")</f>
        <v>58</v>
      </c>
      <c r="U1385" t="str">
        <f t="shared" si="85"/>
        <v>Venmo</v>
      </c>
      <c r="V1385" s="4" t="str">
        <f t="shared" si="86"/>
        <v>Normal</v>
      </c>
      <c r="W1385" s="4" t="str">
        <f t="shared" si="87"/>
        <v>Good</v>
      </c>
      <c r="X1385" s="4">
        <f>AVERAGE(Table1[Purchase Amount])</f>
        <v>129.48419400000012</v>
      </c>
    </row>
    <row r="1386" spans="1:24" ht="15" customHeight="1" x14ac:dyDescent="0.25">
      <c r="A1386">
        <v>1385</v>
      </c>
      <c r="B1386">
        <v>46</v>
      </c>
      <c r="C1386" t="s">
        <v>27</v>
      </c>
      <c r="D1386" t="s">
        <v>140</v>
      </c>
      <c r="E1386" t="s">
        <v>98</v>
      </c>
      <c r="F1386" s="2">
        <v>96</v>
      </c>
      <c r="G1386" t="s">
        <v>148</v>
      </c>
      <c r="H1386" t="s">
        <v>31</v>
      </c>
      <c r="I1386" t="s">
        <v>56</v>
      </c>
      <c r="J1386" t="s">
        <v>47</v>
      </c>
      <c r="K1386">
        <v>4.5999999999999996</v>
      </c>
      <c r="L1386" t="s">
        <v>23</v>
      </c>
      <c r="M1386" t="s">
        <v>24</v>
      </c>
      <c r="N1386" t="s">
        <v>34</v>
      </c>
      <c r="O1386">
        <v>8</v>
      </c>
      <c r="P1386" t="s">
        <v>88</v>
      </c>
      <c r="Q1386" t="s">
        <v>26</v>
      </c>
      <c r="R1386" s="1">
        <v>0.1</v>
      </c>
      <c r="S1386">
        <f t="shared" si="84"/>
        <v>86.4</v>
      </c>
      <c r="T1386">
        <f>IFERROR(VLOOKUP(A1386,Table1[[Customer ID]:[Discount Amount]], 6, FALSE),"Not Found")</f>
        <v>96</v>
      </c>
      <c r="U1386" t="str">
        <f t="shared" si="85"/>
        <v>Bank Transfer</v>
      </c>
      <c r="V1386" s="4" t="str">
        <f t="shared" si="86"/>
        <v>Normal</v>
      </c>
      <c r="W1386" s="4" t="str">
        <f t="shared" si="87"/>
        <v>Good</v>
      </c>
      <c r="X1386" s="4">
        <f>AVERAGE(Table1[Purchase Amount])</f>
        <v>129.48419400000012</v>
      </c>
    </row>
    <row r="1387" spans="1:24" ht="15" customHeight="1" x14ac:dyDescent="0.25">
      <c r="A1387">
        <v>1386</v>
      </c>
      <c r="B1387">
        <v>41</v>
      </c>
      <c r="C1387" t="s">
        <v>27</v>
      </c>
      <c r="D1387" t="s">
        <v>50</v>
      </c>
      <c r="E1387" t="s">
        <v>29</v>
      </c>
      <c r="F1387" s="2">
        <v>64</v>
      </c>
      <c r="G1387" t="s">
        <v>149</v>
      </c>
      <c r="H1387" t="s">
        <v>31</v>
      </c>
      <c r="I1387" t="s">
        <v>91</v>
      </c>
      <c r="J1387" t="s">
        <v>47</v>
      </c>
      <c r="K1387">
        <v>2.6</v>
      </c>
      <c r="L1387" t="s">
        <v>23</v>
      </c>
      <c r="M1387" t="s">
        <v>48</v>
      </c>
      <c r="N1387" t="s">
        <v>34</v>
      </c>
      <c r="O1387">
        <v>1</v>
      </c>
      <c r="P1387" t="s">
        <v>88</v>
      </c>
      <c r="Q1387" t="s">
        <v>68</v>
      </c>
      <c r="R1387" s="1">
        <v>0.1</v>
      </c>
      <c r="S1387">
        <f t="shared" si="84"/>
        <v>57.6</v>
      </c>
      <c r="T1387">
        <f>IFERROR(VLOOKUP(A1387,Table1[[Customer ID]:[Discount Amount]], 6, FALSE),"Not Found")</f>
        <v>64</v>
      </c>
      <c r="U1387" t="str">
        <f t="shared" si="85"/>
        <v>Bank Transfer</v>
      </c>
      <c r="V1387" s="4" t="str">
        <f t="shared" si="86"/>
        <v>Normal</v>
      </c>
      <c r="W1387" s="4" t="str">
        <f t="shared" si="87"/>
        <v>Poor</v>
      </c>
      <c r="X1387" s="4">
        <f>AVERAGE(Table1[Purchase Amount])</f>
        <v>129.48419400000012</v>
      </c>
    </row>
    <row r="1388" spans="1:24" ht="15" customHeight="1" x14ac:dyDescent="0.25">
      <c r="A1388">
        <v>1387</v>
      </c>
      <c r="B1388">
        <v>68</v>
      </c>
      <c r="C1388" t="s">
        <v>27</v>
      </c>
      <c r="D1388" t="s">
        <v>96</v>
      </c>
      <c r="E1388" t="s">
        <v>77</v>
      </c>
      <c r="F1388" s="2">
        <v>56</v>
      </c>
      <c r="G1388" t="s">
        <v>123</v>
      </c>
      <c r="H1388" t="s">
        <v>31</v>
      </c>
      <c r="I1388" t="s">
        <v>153</v>
      </c>
      <c r="J1388" t="s">
        <v>47</v>
      </c>
      <c r="K1388">
        <v>4</v>
      </c>
      <c r="L1388" t="s">
        <v>23</v>
      </c>
      <c r="M1388" t="s">
        <v>79</v>
      </c>
      <c r="N1388" t="s">
        <v>34</v>
      </c>
      <c r="O1388">
        <v>4</v>
      </c>
      <c r="P1388" t="s">
        <v>36</v>
      </c>
      <c r="Q1388" t="s">
        <v>37</v>
      </c>
      <c r="R1388" s="1">
        <v>0.1</v>
      </c>
      <c r="S1388">
        <f t="shared" si="84"/>
        <v>50.4</v>
      </c>
      <c r="T1388">
        <f>IFERROR(VLOOKUP(A1388,Table1[[Customer ID]:[Discount Amount]], 6, FALSE),"Not Found")</f>
        <v>56</v>
      </c>
      <c r="U1388" t="str">
        <f t="shared" si="85"/>
        <v>Debit Card</v>
      </c>
      <c r="V1388" s="4" t="str">
        <f t="shared" si="86"/>
        <v>Normal</v>
      </c>
      <c r="W1388" s="4" t="str">
        <f t="shared" si="87"/>
        <v>Good</v>
      </c>
      <c r="X1388" s="4">
        <f>AVERAGE(Table1[Purchase Amount])</f>
        <v>129.48419400000012</v>
      </c>
    </row>
    <row r="1389" spans="1:24" ht="15" customHeight="1" x14ac:dyDescent="0.25">
      <c r="A1389">
        <v>1388</v>
      </c>
      <c r="B1389">
        <v>21</v>
      </c>
      <c r="C1389" t="s">
        <v>27</v>
      </c>
      <c r="D1389" t="s">
        <v>118</v>
      </c>
      <c r="E1389" t="s">
        <v>18</v>
      </c>
      <c r="F1389" s="2">
        <v>85</v>
      </c>
      <c r="G1389" t="s">
        <v>106</v>
      </c>
      <c r="H1389" t="s">
        <v>31</v>
      </c>
      <c r="I1389" t="s">
        <v>133</v>
      </c>
      <c r="J1389" t="s">
        <v>22</v>
      </c>
      <c r="K1389">
        <v>3.8</v>
      </c>
      <c r="L1389" t="s">
        <v>23</v>
      </c>
      <c r="M1389" t="s">
        <v>24</v>
      </c>
      <c r="N1389" t="s">
        <v>34</v>
      </c>
      <c r="O1389">
        <v>20</v>
      </c>
      <c r="P1389" t="s">
        <v>53</v>
      </c>
      <c r="Q1389" t="s">
        <v>42</v>
      </c>
      <c r="R1389" s="1">
        <v>0.1</v>
      </c>
      <c r="S1389">
        <f t="shared" si="84"/>
        <v>76.5</v>
      </c>
      <c r="T1389">
        <f>IFERROR(VLOOKUP(A1389,Table1[[Customer ID]:[Discount Amount]], 6, FALSE),"Not Found")</f>
        <v>85</v>
      </c>
      <c r="U1389" t="str">
        <f t="shared" si="85"/>
        <v>Credit Card</v>
      </c>
      <c r="V1389" s="4" t="str">
        <f t="shared" si="86"/>
        <v>Normal</v>
      </c>
      <c r="W1389" s="4" t="str">
        <f t="shared" si="87"/>
        <v>Good</v>
      </c>
      <c r="X1389" s="4">
        <f>AVERAGE(Table1[Purchase Amount])</f>
        <v>129.48419400000012</v>
      </c>
    </row>
    <row r="1390" spans="1:24" ht="15" customHeight="1" x14ac:dyDescent="0.25">
      <c r="A1390">
        <v>1389</v>
      </c>
      <c r="B1390">
        <v>62</v>
      </c>
      <c r="C1390" t="s">
        <v>27</v>
      </c>
      <c r="D1390" t="s">
        <v>157</v>
      </c>
      <c r="E1390" t="s">
        <v>18</v>
      </c>
      <c r="F1390" s="2">
        <v>23</v>
      </c>
      <c r="G1390" t="s">
        <v>100</v>
      </c>
      <c r="H1390" t="s">
        <v>31</v>
      </c>
      <c r="I1390" t="s">
        <v>107</v>
      </c>
      <c r="J1390" t="s">
        <v>33</v>
      </c>
      <c r="K1390">
        <v>3.9</v>
      </c>
      <c r="L1390" t="s">
        <v>23</v>
      </c>
      <c r="M1390" t="s">
        <v>61</v>
      </c>
      <c r="N1390" t="s">
        <v>34</v>
      </c>
      <c r="O1390">
        <v>40</v>
      </c>
      <c r="P1390" t="s">
        <v>25</v>
      </c>
      <c r="Q1390" t="s">
        <v>37</v>
      </c>
      <c r="R1390" s="1">
        <v>0.1</v>
      </c>
      <c r="S1390">
        <f t="shared" si="84"/>
        <v>20.7</v>
      </c>
      <c r="T1390">
        <f>IFERROR(VLOOKUP(A1390,Table1[[Customer ID]:[Discount Amount]], 6, FALSE),"Not Found")</f>
        <v>23</v>
      </c>
      <c r="U1390" t="str">
        <f t="shared" si="85"/>
        <v>Cash</v>
      </c>
      <c r="V1390" s="4" t="str">
        <f t="shared" si="86"/>
        <v>Normal</v>
      </c>
      <c r="W1390" s="4" t="str">
        <f t="shared" si="87"/>
        <v>Good</v>
      </c>
      <c r="X1390" s="4">
        <f>AVERAGE(Table1[Purchase Amount])</f>
        <v>129.48419400000012</v>
      </c>
    </row>
    <row r="1391" spans="1:24" ht="15" customHeight="1" x14ac:dyDescent="0.25">
      <c r="A1391">
        <v>1390</v>
      </c>
      <c r="B1391">
        <v>59</v>
      </c>
      <c r="C1391" t="s">
        <v>27</v>
      </c>
      <c r="D1391" t="s">
        <v>129</v>
      </c>
      <c r="E1391" t="s">
        <v>29</v>
      </c>
      <c r="F1391" s="2">
        <v>72</v>
      </c>
      <c r="G1391" t="s">
        <v>44</v>
      </c>
      <c r="H1391" t="s">
        <v>45</v>
      </c>
      <c r="I1391" t="s">
        <v>108</v>
      </c>
      <c r="J1391" t="s">
        <v>47</v>
      </c>
      <c r="K1391">
        <v>2.6</v>
      </c>
      <c r="L1391" t="s">
        <v>23</v>
      </c>
      <c r="M1391" t="s">
        <v>48</v>
      </c>
      <c r="N1391" t="s">
        <v>34</v>
      </c>
      <c r="O1391">
        <v>8</v>
      </c>
      <c r="P1391" t="s">
        <v>36</v>
      </c>
      <c r="Q1391" t="s">
        <v>89</v>
      </c>
      <c r="R1391" s="1">
        <v>0.1</v>
      </c>
      <c r="S1391">
        <f t="shared" si="84"/>
        <v>64.8</v>
      </c>
      <c r="T1391">
        <f>IFERROR(VLOOKUP(A1391,Table1[[Customer ID]:[Discount Amount]], 6, FALSE),"Not Found")</f>
        <v>72</v>
      </c>
      <c r="U1391" t="str">
        <f t="shared" si="85"/>
        <v>Debit Card</v>
      </c>
      <c r="V1391" s="4" t="str">
        <f t="shared" si="86"/>
        <v>Normal</v>
      </c>
      <c r="W1391" s="4" t="str">
        <f t="shared" si="87"/>
        <v>Poor</v>
      </c>
      <c r="X1391" s="4">
        <f>AVERAGE(Table1[Purchase Amount])</f>
        <v>129.48419400000012</v>
      </c>
    </row>
    <row r="1392" spans="1:24" ht="15" customHeight="1" x14ac:dyDescent="0.25">
      <c r="A1392">
        <v>1391</v>
      </c>
      <c r="B1392">
        <v>25</v>
      </c>
      <c r="C1392" t="s">
        <v>27</v>
      </c>
      <c r="D1392" t="s">
        <v>64</v>
      </c>
      <c r="E1392" t="s">
        <v>29</v>
      </c>
      <c r="F1392" s="2">
        <v>38</v>
      </c>
      <c r="G1392" t="s">
        <v>100</v>
      </c>
      <c r="H1392" t="s">
        <v>31</v>
      </c>
      <c r="I1392" t="s">
        <v>125</v>
      </c>
      <c r="J1392" t="s">
        <v>57</v>
      </c>
      <c r="K1392">
        <v>4.3</v>
      </c>
      <c r="L1392" t="s">
        <v>23</v>
      </c>
      <c r="M1392" t="s">
        <v>24</v>
      </c>
      <c r="N1392" t="s">
        <v>34</v>
      </c>
      <c r="O1392">
        <v>42</v>
      </c>
      <c r="P1392" t="s">
        <v>36</v>
      </c>
      <c r="Q1392" t="s">
        <v>26</v>
      </c>
      <c r="R1392" s="1">
        <v>0.1</v>
      </c>
      <c r="S1392">
        <f t="shared" si="84"/>
        <v>34.200000000000003</v>
      </c>
      <c r="T1392">
        <f>IFERROR(VLOOKUP(A1392,Table1[[Customer ID]:[Discount Amount]], 6, FALSE),"Not Found")</f>
        <v>38</v>
      </c>
      <c r="U1392" t="str">
        <f t="shared" si="85"/>
        <v>Debit Card</v>
      </c>
      <c r="V1392" s="4" t="str">
        <f t="shared" si="86"/>
        <v>Normal</v>
      </c>
      <c r="W1392" s="4" t="str">
        <f t="shared" si="87"/>
        <v>Good</v>
      </c>
      <c r="X1392" s="4">
        <f>AVERAGE(Table1[Purchase Amount])</f>
        <v>129.48419400000012</v>
      </c>
    </row>
    <row r="1393" spans="1:24" ht="15" customHeight="1" x14ac:dyDescent="0.25">
      <c r="A1393">
        <v>1392</v>
      </c>
      <c r="B1393">
        <v>53</v>
      </c>
      <c r="C1393" t="s">
        <v>27</v>
      </c>
      <c r="D1393" t="s">
        <v>118</v>
      </c>
      <c r="E1393" t="s">
        <v>18</v>
      </c>
      <c r="F1393" s="2">
        <v>29</v>
      </c>
      <c r="G1393" t="s">
        <v>149</v>
      </c>
      <c r="H1393" t="s">
        <v>55</v>
      </c>
      <c r="I1393" t="s">
        <v>32</v>
      </c>
      <c r="J1393" t="s">
        <v>22</v>
      </c>
      <c r="K1393">
        <v>3.6</v>
      </c>
      <c r="L1393" t="s">
        <v>23</v>
      </c>
      <c r="M1393" t="s">
        <v>61</v>
      </c>
      <c r="N1393" t="s">
        <v>34</v>
      </c>
      <c r="O1393">
        <v>38</v>
      </c>
      <c r="P1393" t="s">
        <v>53</v>
      </c>
      <c r="Q1393" t="s">
        <v>49</v>
      </c>
      <c r="R1393" s="1">
        <v>0.1</v>
      </c>
      <c r="S1393">
        <f t="shared" si="84"/>
        <v>26.1</v>
      </c>
      <c r="T1393">
        <f>IFERROR(VLOOKUP(A1393,Table1[[Customer ID]:[Discount Amount]], 6, FALSE),"Not Found")</f>
        <v>29</v>
      </c>
      <c r="U1393" t="str">
        <f t="shared" si="85"/>
        <v>Credit Card</v>
      </c>
      <c r="V1393" s="4" t="str">
        <f t="shared" si="86"/>
        <v>Normal</v>
      </c>
      <c r="W1393" s="4" t="str">
        <f t="shared" si="87"/>
        <v>Good</v>
      </c>
      <c r="X1393" s="4">
        <f>AVERAGE(Table1[Purchase Amount])</f>
        <v>129.48419400000012</v>
      </c>
    </row>
    <row r="1394" spans="1:24" ht="15" customHeight="1" x14ac:dyDescent="0.25">
      <c r="A1394">
        <v>1393</v>
      </c>
      <c r="B1394">
        <v>31</v>
      </c>
      <c r="C1394" t="s">
        <v>27</v>
      </c>
      <c r="D1394" t="s">
        <v>43</v>
      </c>
      <c r="E1394" t="s">
        <v>29</v>
      </c>
      <c r="F1394" s="2">
        <v>46</v>
      </c>
      <c r="G1394" t="s">
        <v>100</v>
      </c>
      <c r="H1394" t="s">
        <v>31</v>
      </c>
      <c r="I1394" t="s">
        <v>52</v>
      </c>
      <c r="J1394" t="s">
        <v>33</v>
      </c>
      <c r="K1394">
        <v>4.2</v>
      </c>
      <c r="L1394" t="s">
        <v>23</v>
      </c>
      <c r="M1394" t="s">
        <v>61</v>
      </c>
      <c r="N1394" t="s">
        <v>34</v>
      </c>
      <c r="O1394">
        <v>34</v>
      </c>
      <c r="P1394" t="s">
        <v>62</v>
      </c>
      <c r="Q1394" t="s">
        <v>63</v>
      </c>
      <c r="R1394" s="1">
        <v>0.1</v>
      </c>
      <c r="S1394">
        <f t="shared" si="84"/>
        <v>41.4</v>
      </c>
      <c r="T1394">
        <f>IFERROR(VLOOKUP(A1394,Table1[[Customer ID]:[Discount Amount]], 6, FALSE),"Not Found")</f>
        <v>46</v>
      </c>
      <c r="U1394" t="str">
        <f t="shared" si="85"/>
        <v>Venmo</v>
      </c>
      <c r="V1394" s="4" t="str">
        <f t="shared" si="86"/>
        <v>Normal</v>
      </c>
      <c r="W1394" s="4" t="str">
        <f t="shared" si="87"/>
        <v>Good</v>
      </c>
      <c r="X1394" s="4">
        <f>AVERAGE(Table1[Purchase Amount])</f>
        <v>129.48419400000012</v>
      </c>
    </row>
    <row r="1395" spans="1:24" ht="15" customHeight="1" x14ac:dyDescent="0.25">
      <c r="A1395">
        <v>1394</v>
      </c>
      <c r="B1395">
        <v>46</v>
      </c>
      <c r="C1395" t="s">
        <v>27</v>
      </c>
      <c r="D1395" t="s">
        <v>43</v>
      </c>
      <c r="E1395" t="s">
        <v>29</v>
      </c>
      <c r="F1395" s="2">
        <v>58</v>
      </c>
      <c r="G1395" t="s">
        <v>161</v>
      </c>
      <c r="H1395" t="s">
        <v>45</v>
      </c>
      <c r="I1395" t="s">
        <v>52</v>
      </c>
      <c r="J1395" t="s">
        <v>33</v>
      </c>
      <c r="K1395">
        <v>3.9</v>
      </c>
      <c r="L1395" t="s">
        <v>23</v>
      </c>
      <c r="M1395" t="s">
        <v>61</v>
      </c>
      <c r="N1395" t="s">
        <v>34</v>
      </c>
      <c r="O1395">
        <v>14</v>
      </c>
      <c r="P1395" t="s">
        <v>58</v>
      </c>
      <c r="Q1395" t="s">
        <v>89</v>
      </c>
      <c r="R1395" s="1">
        <v>0.1</v>
      </c>
      <c r="S1395">
        <f t="shared" si="84"/>
        <v>52.2</v>
      </c>
      <c r="T1395">
        <f>IFERROR(VLOOKUP(A1395,Table1[[Customer ID]:[Discount Amount]], 6, FALSE),"Not Found")</f>
        <v>58</v>
      </c>
      <c r="U1395" t="str">
        <f t="shared" si="85"/>
        <v>PayPal</v>
      </c>
      <c r="V1395" s="4" t="str">
        <f t="shared" si="86"/>
        <v>Normal</v>
      </c>
      <c r="W1395" s="4" t="str">
        <f t="shared" si="87"/>
        <v>Good</v>
      </c>
      <c r="X1395" s="4">
        <f>AVERAGE(Table1[Purchase Amount])</f>
        <v>129.48419400000012</v>
      </c>
    </row>
    <row r="1396" spans="1:24" ht="15" customHeight="1" x14ac:dyDescent="0.25">
      <c r="A1396">
        <v>1395</v>
      </c>
      <c r="B1396">
        <v>26</v>
      </c>
      <c r="C1396" t="s">
        <v>27</v>
      </c>
      <c r="D1396" t="s">
        <v>76</v>
      </c>
      <c r="E1396" t="s">
        <v>77</v>
      </c>
      <c r="F1396" s="2">
        <v>43</v>
      </c>
      <c r="G1396" t="s">
        <v>141</v>
      </c>
      <c r="H1396" t="s">
        <v>45</v>
      </c>
      <c r="I1396" t="s">
        <v>87</v>
      </c>
      <c r="J1396" t="s">
        <v>47</v>
      </c>
      <c r="K1396">
        <v>4.7</v>
      </c>
      <c r="L1396" t="s">
        <v>23</v>
      </c>
      <c r="M1396" t="s">
        <v>79</v>
      </c>
      <c r="N1396" t="s">
        <v>34</v>
      </c>
      <c r="O1396">
        <v>39</v>
      </c>
      <c r="P1396" t="s">
        <v>25</v>
      </c>
      <c r="Q1396" t="s">
        <v>26</v>
      </c>
      <c r="R1396" s="1">
        <v>0.1</v>
      </c>
      <c r="S1396">
        <f t="shared" si="84"/>
        <v>38.700000000000003</v>
      </c>
      <c r="T1396">
        <f>IFERROR(VLOOKUP(A1396,Table1[[Customer ID]:[Discount Amount]], 6, FALSE),"Not Found")</f>
        <v>43</v>
      </c>
      <c r="U1396" t="str">
        <f t="shared" si="85"/>
        <v>Cash</v>
      </c>
      <c r="V1396" s="4" t="str">
        <f t="shared" si="86"/>
        <v>Normal</v>
      </c>
      <c r="W1396" s="4" t="str">
        <f t="shared" si="87"/>
        <v>Good</v>
      </c>
      <c r="X1396" s="4">
        <f>AVERAGE(Table1[Purchase Amount])</f>
        <v>129.48419400000012</v>
      </c>
    </row>
    <row r="1397" spans="1:24" ht="15" customHeight="1" x14ac:dyDescent="0.25">
      <c r="A1397">
        <v>1396</v>
      </c>
      <c r="B1397">
        <v>47</v>
      </c>
      <c r="C1397" t="s">
        <v>27</v>
      </c>
      <c r="D1397" t="s">
        <v>129</v>
      </c>
      <c r="E1397" t="s">
        <v>29</v>
      </c>
      <c r="F1397" s="2">
        <v>32</v>
      </c>
      <c r="G1397" t="s">
        <v>154</v>
      </c>
      <c r="H1397" t="s">
        <v>45</v>
      </c>
      <c r="I1397" t="s">
        <v>156</v>
      </c>
      <c r="J1397" t="s">
        <v>33</v>
      </c>
      <c r="K1397">
        <v>2.8</v>
      </c>
      <c r="L1397" t="s">
        <v>23</v>
      </c>
      <c r="M1397" t="s">
        <v>79</v>
      </c>
      <c r="N1397" t="s">
        <v>34</v>
      </c>
      <c r="O1397">
        <v>40</v>
      </c>
      <c r="P1397" t="s">
        <v>58</v>
      </c>
      <c r="Q1397" t="s">
        <v>68</v>
      </c>
      <c r="R1397" s="1">
        <v>0.1</v>
      </c>
      <c r="S1397">
        <f t="shared" si="84"/>
        <v>28.8</v>
      </c>
      <c r="T1397">
        <f>IFERROR(VLOOKUP(A1397,Table1[[Customer ID]:[Discount Amount]], 6, FALSE),"Not Found")</f>
        <v>32</v>
      </c>
      <c r="U1397" t="str">
        <f t="shared" si="85"/>
        <v>PayPal</v>
      </c>
      <c r="V1397" s="4" t="str">
        <f t="shared" si="86"/>
        <v>Normal</v>
      </c>
      <c r="W1397" s="4" t="str">
        <f t="shared" si="87"/>
        <v>Poor</v>
      </c>
      <c r="X1397" s="4">
        <f>AVERAGE(Table1[Purchase Amount])</f>
        <v>129.48419400000012</v>
      </c>
    </row>
    <row r="1398" spans="1:24" ht="15" customHeight="1" x14ac:dyDescent="0.25">
      <c r="A1398">
        <v>1397</v>
      </c>
      <c r="B1398">
        <v>37</v>
      </c>
      <c r="C1398" t="s">
        <v>27</v>
      </c>
      <c r="D1398" t="s">
        <v>99</v>
      </c>
      <c r="E1398" t="s">
        <v>18</v>
      </c>
      <c r="F1398" s="2">
        <v>30</v>
      </c>
      <c r="G1398" t="s">
        <v>59</v>
      </c>
      <c r="H1398" t="s">
        <v>20</v>
      </c>
      <c r="I1398" t="s">
        <v>107</v>
      </c>
      <c r="J1398" t="s">
        <v>22</v>
      </c>
      <c r="K1398">
        <v>3</v>
      </c>
      <c r="L1398" t="s">
        <v>23</v>
      </c>
      <c r="M1398" t="s">
        <v>79</v>
      </c>
      <c r="N1398" t="s">
        <v>34</v>
      </c>
      <c r="O1398">
        <v>49</v>
      </c>
      <c r="P1398" t="s">
        <v>36</v>
      </c>
      <c r="Q1398" t="s">
        <v>42</v>
      </c>
      <c r="R1398" s="1">
        <v>0.1</v>
      </c>
      <c r="S1398">
        <f t="shared" si="84"/>
        <v>27</v>
      </c>
      <c r="T1398">
        <f>IFERROR(VLOOKUP(A1398,Table1[[Customer ID]:[Discount Amount]], 6, FALSE),"Not Found")</f>
        <v>30</v>
      </c>
      <c r="U1398" t="str">
        <f t="shared" si="85"/>
        <v>Debit Card</v>
      </c>
      <c r="V1398" s="4" t="str">
        <f t="shared" si="86"/>
        <v>Normal</v>
      </c>
      <c r="W1398" s="4" t="str">
        <f t="shared" si="87"/>
        <v>Good</v>
      </c>
      <c r="X1398" s="4">
        <f>AVERAGE(Table1[Purchase Amount])</f>
        <v>129.48419400000012</v>
      </c>
    </row>
    <row r="1399" spans="1:24" ht="15" customHeight="1" x14ac:dyDescent="0.25">
      <c r="A1399">
        <v>1398</v>
      </c>
      <c r="B1399">
        <v>55</v>
      </c>
      <c r="C1399" t="s">
        <v>27</v>
      </c>
      <c r="D1399" t="s">
        <v>28</v>
      </c>
      <c r="E1399" t="s">
        <v>29</v>
      </c>
      <c r="F1399" s="2">
        <v>67</v>
      </c>
      <c r="G1399" t="s">
        <v>97</v>
      </c>
      <c r="H1399" t="s">
        <v>55</v>
      </c>
      <c r="I1399" t="s">
        <v>87</v>
      </c>
      <c r="J1399" t="s">
        <v>57</v>
      </c>
      <c r="K1399">
        <v>4.7</v>
      </c>
      <c r="L1399" t="s">
        <v>23</v>
      </c>
      <c r="M1399" t="s">
        <v>48</v>
      </c>
      <c r="N1399" t="s">
        <v>34</v>
      </c>
      <c r="O1399">
        <v>33</v>
      </c>
      <c r="P1399" t="s">
        <v>58</v>
      </c>
      <c r="Q1399" t="s">
        <v>49</v>
      </c>
      <c r="R1399" s="1">
        <v>0.1</v>
      </c>
      <c r="S1399">
        <f t="shared" si="84"/>
        <v>60.3</v>
      </c>
      <c r="T1399">
        <f>IFERROR(VLOOKUP(A1399,Table1[[Customer ID]:[Discount Amount]], 6, FALSE),"Not Found")</f>
        <v>67</v>
      </c>
      <c r="U1399" t="str">
        <f t="shared" si="85"/>
        <v>PayPal</v>
      </c>
      <c r="V1399" s="4" t="str">
        <f t="shared" si="86"/>
        <v>Normal</v>
      </c>
      <c r="W1399" s="4" t="str">
        <f t="shared" si="87"/>
        <v>Good</v>
      </c>
      <c r="X1399" s="4">
        <f>AVERAGE(Table1[Purchase Amount])</f>
        <v>129.48419400000012</v>
      </c>
    </row>
    <row r="1400" spans="1:24" ht="15" customHeight="1" x14ac:dyDescent="0.25">
      <c r="A1400">
        <v>1399</v>
      </c>
      <c r="B1400">
        <v>30</v>
      </c>
      <c r="C1400" t="s">
        <v>27</v>
      </c>
      <c r="D1400" t="s">
        <v>157</v>
      </c>
      <c r="E1400" t="s">
        <v>18</v>
      </c>
      <c r="F1400" s="2">
        <v>45</v>
      </c>
      <c r="G1400" t="s">
        <v>152</v>
      </c>
      <c r="H1400" t="s">
        <v>31</v>
      </c>
      <c r="I1400" t="s">
        <v>128</v>
      </c>
      <c r="J1400" t="s">
        <v>57</v>
      </c>
      <c r="K1400">
        <v>2.5</v>
      </c>
      <c r="L1400" t="s">
        <v>23</v>
      </c>
      <c r="M1400" t="s">
        <v>35</v>
      </c>
      <c r="N1400" t="s">
        <v>34</v>
      </c>
      <c r="O1400">
        <v>25</v>
      </c>
      <c r="P1400" t="s">
        <v>53</v>
      </c>
      <c r="Q1400" t="s">
        <v>26</v>
      </c>
      <c r="R1400" s="1">
        <v>0.1</v>
      </c>
      <c r="S1400">
        <f t="shared" si="84"/>
        <v>40.5</v>
      </c>
      <c r="T1400">
        <f>IFERROR(VLOOKUP(A1400,Table1[[Customer ID]:[Discount Amount]], 6, FALSE),"Not Found")</f>
        <v>45</v>
      </c>
      <c r="U1400" t="str">
        <f t="shared" si="85"/>
        <v>Credit Card</v>
      </c>
      <c r="V1400" s="4" t="str">
        <f t="shared" si="86"/>
        <v>Normal</v>
      </c>
      <c r="W1400" s="4" t="str">
        <f t="shared" si="87"/>
        <v>Poor</v>
      </c>
      <c r="X1400" s="4">
        <f>AVERAGE(Table1[Purchase Amount])</f>
        <v>129.48419400000012</v>
      </c>
    </row>
    <row r="1401" spans="1:24" ht="15" customHeight="1" x14ac:dyDescent="0.25">
      <c r="A1401">
        <v>1400</v>
      </c>
      <c r="B1401">
        <v>19</v>
      </c>
      <c r="C1401" t="s">
        <v>27</v>
      </c>
      <c r="D1401" t="s">
        <v>64</v>
      </c>
      <c r="E1401" t="s">
        <v>29</v>
      </c>
      <c r="F1401" s="2">
        <v>81</v>
      </c>
      <c r="G1401" t="s">
        <v>137</v>
      </c>
      <c r="H1401" t="s">
        <v>31</v>
      </c>
      <c r="I1401" t="s">
        <v>21</v>
      </c>
      <c r="J1401" t="s">
        <v>22</v>
      </c>
      <c r="K1401">
        <v>3.1</v>
      </c>
      <c r="L1401" t="s">
        <v>23</v>
      </c>
      <c r="M1401" t="s">
        <v>48</v>
      </c>
      <c r="N1401" t="s">
        <v>34</v>
      </c>
      <c r="O1401">
        <v>48</v>
      </c>
      <c r="P1401" t="s">
        <v>62</v>
      </c>
      <c r="Q1401" t="s">
        <v>49</v>
      </c>
      <c r="R1401" s="1">
        <v>0.1</v>
      </c>
      <c r="S1401">
        <f t="shared" si="84"/>
        <v>72.900000000000006</v>
      </c>
      <c r="T1401">
        <f>IFERROR(VLOOKUP(A1401,Table1[[Customer ID]:[Discount Amount]], 6, FALSE),"Not Found")</f>
        <v>81</v>
      </c>
      <c r="U1401" t="str">
        <f t="shared" si="85"/>
        <v>Venmo</v>
      </c>
      <c r="V1401" s="4" t="str">
        <f t="shared" si="86"/>
        <v>Normal</v>
      </c>
      <c r="W1401" s="4" t="str">
        <f t="shared" si="87"/>
        <v>Good</v>
      </c>
      <c r="X1401" s="4">
        <f>AVERAGE(Table1[Purchase Amount])</f>
        <v>129.48419400000012</v>
      </c>
    </row>
    <row r="1402" spans="1:24" ht="15" customHeight="1" x14ac:dyDescent="0.25">
      <c r="A1402">
        <v>1401</v>
      </c>
      <c r="B1402">
        <v>36</v>
      </c>
      <c r="C1402" t="s">
        <v>27</v>
      </c>
      <c r="D1402" t="s">
        <v>104</v>
      </c>
      <c r="E1402" t="s">
        <v>29</v>
      </c>
      <c r="F1402" s="2">
        <v>23</v>
      </c>
      <c r="G1402" t="s">
        <v>158</v>
      </c>
      <c r="H1402" t="s">
        <v>31</v>
      </c>
      <c r="I1402" t="s">
        <v>46</v>
      </c>
      <c r="J1402" t="s">
        <v>47</v>
      </c>
      <c r="K1402">
        <v>3.6</v>
      </c>
      <c r="L1402" t="s">
        <v>23</v>
      </c>
      <c r="M1402" t="s">
        <v>79</v>
      </c>
      <c r="N1402" t="s">
        <v>34</v>
      </c>
      <c r="O1402">
        <v>22</v>
      </c>
      <c r="P1402" t="s">
        <v>53</v>
      </c>
      <c r="Q1402" t="s">
        <v>63</v>
      </c>
      <c r="R1402" s="1">
        <v>0.1</v>
      </c>
      <c r="S1402">
        <f t="shared" si="84"/>
        <v>20.7</v>
      </c>
      <c r="T1402">
        <f>IFERROR(VLOOKUP(A1402,Table1[[Customer ID]:[Discount Amount]], 6, FALSE),"Not Found")</f>
        <v>23</v>
      </c>
      <c r="U1402" t="str">
        <f t="shared" si="85"/>
        <v>Credit Card</v>
      </c>
      <c r="V1402" s="4" t="str">
        <f t="shared" si="86"/>
        <v>Normal</v>
      </c>
      <c r="W1402" s="4" t="str">
        <f t="shared" si="87"/>
        <v>Good</v>
      </c>
      <c r="X1402" s="4">
        <f>AVERAGE(Table1[Purchase Amount])</f>
        <v>129.48419400000012</v>
      </c>
    </row>
    <row r="1403" spans="1:24" ht="15" customHeight="1" x14ac:dyDescent="0.25">
      <c r="A1403">
        <v>1402</v>
      </c>
      <c r="B1403">
        <v>23</v>
      </c>
      <c r="C1403" t="s">
        <v>27</v>
      </c>
      <c r="D1403" t="s">
        <v>121</v>
      </c>
      <c r="E1403" t="s">
        <v>98</v>
      </c>
      <c r="F1403" s="2">
        <v>59</v>
      </c>
      <c r="G1403" t="s">
        <v>102</v>
      </c>
      <c r="H1403" t="s">
        <v>31</v>
      </c>
      <c r="I1403" t="s">
        <v>74</v>
      </c>
      <c r="J1403" t="s">
        <v>47</v>
      </c>
      <c r="K1403">
        <v>3.5</v>
      </c>
      <c r="L1403" t="s">
        <v>23</v>
      </c>
      <c r="M1403" t="s">
        <v>41</v>
      </c>
      <c r="N1403" t="s">
        <v>34</v>
      </c>
      <c r="O1403">
        <v>1</v>
      </c>
      <c r="P1403" t="s">
        <v>58</v>
      </c>
      <c r="Q1403" t="s">
        <v>26</v>
      </c>
      <c r="R1403" s="1">
        <v>0.1</v>
      </c>
      <c r="S1403">
        <f t="shared" si="84"/>
        <v>53.1</v>
      </c>
      <c r="T1403">
        <f>IFERROR(VLOOKUP(A1403,Table1[[Customer ID]:[Discount Amount]], 6, FALSE),"Not Found")</f>
        <v>59</v>
      </c>
      <c r="U1403" t="str">
        <f t="shared" si="85"/>
        <v>PayPal</v>
      </c>
      <c r="V1403" s="4" t="str">
        <f t="shared" si="86"/>
        <v>Normal</v>
      </c>
      <c r="W1403" s="4" t="str">
        <f t="shared" si="87"/>
        <v>Good</v>
      </c>
      <c r="X1403" s="4">
        <f>AVERAGE(Table1[Purchase Amount])</f>
        <v>129.48419400000012</v>
      </c>
    </row>
    <row r="1404" spans="1:24" ht="15" customHeight="1" x14ac:dyDescent="0.25">
      <c r="A1404">
        <v>1403</v>
      </c>
      <c r="B1404">
        <v>62</v>
      </c>
      <c r="C1404" t="s">
        <v>27</v>
      </c>
      <c r="D1404" t="s">
        <v>28</v>
      </c>
      <c r="E1404" t="s">
        <v>29</v>
      </c>
      <c r="F1404" s="2">
        <v>21</v>
      </c>
      <c r="G1404" t="s">
        <v>86</v>
      </c>
      <c r="H1404" t="s">
        <v>45</v>
      </c>
      <c r="I1404" t="s">
        <v>32</v>
      </c>
      <c r="J1404" t="s">
        <v>57</v>
      </c>
      <c r="K1404">
        <v>3.1</v>
      </c>
      <c r="L1404" t="s">
        <v>23</v>
      </c>
      <c r="M1404" t="s">
        <v>61</v>
      </c>
      <c r="N1404" t="s">
        <v>34</v>
      </c>
      <c r="O1404">
        <v>47</v>
      </c>
      <c r="P1404" t="s">
        <v>58</v>
      </c>
      <c r="Q1404" t="s">
        <v>42</v>
      </c>
      <c r="R1404" s="1">
        <v>0.1</v>
      </c>
      <c r="S1404">
        <f t="shared" si="84"/>
        <v>18.899999999999999</v>
      </c>
      <c r="T1404">
        <f>IFERROR(VLOOKUP(A1404,Table1[[Customer ID]:[Discount Amount]], 6, FALSE),"Not Found")</f>
        <v>21</v>
      </c>
      <c r="U1404" t="str">
        <f t="shared" si="85"/>
        <v>PayPal</v>
      </c>
      <c r="V1404" s="4" t="str">
        <f t="shared" si="86"/>
        <v>Normal</v>
      </c>
      <c r="W1404" s="4" t="str">
        <f t="shared" si="87"/>
        <v>Good</v>
      </c>
      <c r="X1404" s="4">
        <f>AVERAGE(Table1[Purchase Amount])</f>
        <v>129.48419400000012</v>
      </c>
    </row>
    <row r="1405" spans="1:24" ht="15" customHeight="1" x14ac:dyDescent="0.25">
      <c r="A1405">
        <v>1404</v>
      </c>
      <c r="B1405">
        <v>26</v>
      </c>
      <c r="C1405" t="s">
        <v>27</v>
      </c>
      <c r="D1405" t="s">
        <v>104</v>
      </c>
      <c r="E1405" t="s">
        <v>29</v>
      </c>
      <c r="F1405" s="2">
        <v>20</v>
      </c>
      <c r="G1405" t="s">
        <v>160</v>
      </c>
      <c r="H1405" t="s">
        <v>31</v>
      </c>
      <c r="I1405" t="s">
        <v>145</v>
      </c>
      <c r="J1405" t="s">
        <v>33</v>
      </c>
      <c r="K1405">
        <v>3.6</v>
      </c>
      <c r="L1405" t="s">
        <v>23</v>
      </c>
      <c r="M1405" t="s">
        <v>48</v>
      </c>
      <c r="N1405" t="s">
        <v>34</v>
      </c>
      <c r="O1405">
        <v>20</v>
      </c>
      <c r="P1405" t="s">
        <v>53</v>
      </c>
      <c r="Q1405" t="s">
        <v>68</v>
      </c>
      <c r="R1405" s="1">
        <v>0.1</v>
      </c>
      <c r="S1405">
        <f t="shared" si="84"/>
        <v>18</v>
      </c>
      <c r="T1405">
        <f>IFERROR(VLOOKUP(A1405,Table1[[Customer ID]:[Discount Amount]], 6, FALSE),"Not Found")</f>
        <v>20</v>
      </c>
      <c r="U1405" t="str">
        <f t="shared" si="85"/>
        <v>Credit Card</v>
      </c>
      <c r="V1405" s="4" t="str">
        <f t="shared" si="86"/>
        <v>Normal</v>
      </c>
      <c r="W1405" s="4" t="str">
        <f t="shared" si="87"/>
        <v>Good</v>
      </c>
      <c r="X1405" s="4">
        <f>AVERAGE(Table1[Purchase Amount])</f>
        <v>129.48419400000012</v>
      </c>
    </row>
    <row r="1406" spans="1:24" ht="15" customHeight="1" x14ac:dyDescent="0.25">
      <c r="A1406">
        <v>1405</v>
      </c>
      <c r="B1406">
        <v>36</v>
      </c>
      <c r="C1406" t="s">
        <v>27</v>
      </c>
      <c r="D1406" t="s">
        <v>50</v>
      </c>
      <c r="E1406" t="s">
        <v>29</v>
      </c>
      <c r="F1406" s="2">
        <v>28</v>
      </c>
      <c r="G1406" t="s">
        <v>110</v>
      </c>
      <c r="H1406" t="s">
        <v>31</v>
      </c>
      <c r="I1406" t="s">
        <v>103</v>
      </c>
      <c r="J1406" t="s">
        <v>22</v>
      </c>
      <c r="K1406">
        <v>3.5</v>
      </c>
      <c r="L1406" t="s">
        <v>23</v>
      </c>
      <c r="M1406" t="s">
        <v>79</v>
      </c>
      <c r="N1406" t="s">
        <v>34</v>
      </c>
      <c r="O1406">
        <v>10</v>
      </c>
      <c r="P1406" t="s">
        <v>36</v>
      </c>
      <c r="Q1406" t="s">
        <v>26</v>
      </c>
      <c r="R1406" s="1">
        <v>0.1</v>
      </c>
      <c r="S1406">
        <f t="shared" si="84"/>
        <v>25.2</v>
      </c>
      <c r="T1406">
        <f>IFERROR(VLOOKUP(A1406,Table1[[Customer ID]:[Discount Amount]], 6, FALSE),"Not Found")</f>
        <v>28</v>
      </c>
      <c r="U1406" t="str">
        <f t="shared" si="85"/>
        <v>Debit Card</v>
      </c>
      <c r="V1406" s="4" t="str">
        <f t="shared" si="86"/>
        <v>Normal</v>
      </c>
      <c r="W1406" s="4" t="str">
        <f t="shared" si="87"/>
        <v>Good</v>
      </c>
      <c r="X1406" s="4">
        <f>AVERAGE(Table1[Purchase Amount])</f>
        <v>129.48419400000012</v>
      </c>
    </row>
    <row r="1407" spans="1:24" ht="15" customHeight="1" x14ac:dyDescent="0.25">
      <c r="A1407">
        <v>1406</v>
      </c>
      <c r="B1407">
        <v>33</v>
      </c>
      <c r="C1407" t="s">
        <v>27</v>
      </c>
      <c r="D1407" t="s">
        <v>105</v>
      </c>
      <c r="E1407" t="s">
        <v>18</v>
      </c>
      <c r="F1407" s="2">
        <v>100</v>
      </c>
      <c r="G1407" t="s">
        <v>132</v>
      </c>
      <c r="H1407" t="s">
        <v>31</v>
      </c>
      <c r="I1407" t="s">
        <v>145</v>
      </c>
      <c r="J1407" t="s">
        <v>22</v>
      </c>
      <c r="K1407">
        <v>2.7</v>
      </c>
      <c r="L1407" t="s">
        <v>23</v>
      </c>
      <c r="M1407" t="s">
        <v>48</v>
      </c>
      <c r="N1407" t="s">
        <v>34</v>
      </c>
      <c r="O1407">
        <v>39</v>
      </c>
      <c r="P1407" t="s">
        <v>53</v>
      </c>
      <c r="Q1407" t="s">
        <v>42</v>
      </c>
      <c r="R1407" s="1">
        <v>0.1</v>
      </c>
      <c r="S1407">
        <f t="shared" si="84"/>
        <v>90</v>
      </c>
      <c r="T1407">
        <f>IFERROR(VLOOKUP(A1407,Table1[[Customer ID]:[Discount Amount]], 6, FALSE),"Not Found")</f>
        <v>100</v>
      </c>
      <c r="U1407" t="str">
        <f t="shared" si="85"/>
        <v>Credit Card</v>
      </c>
      <c r="V1407" s="4" t="str">
        <f t="shared" si="86"/>
        <v>Normal</v>
      </c>
      <c r="W1407" s="4" t="str">
        <f t="shared" si="87"/>
        <v>Poor</v>
      </c>
      <c r="X1407" s="4">
        <f>AVERAGE(Table1[Purchase Amount])</f>
        <v>129.48419400000012</v>
      </c>
    </row>
    <row r="1408" spans="1:24" ht="15" customHeight="1" x14ac:dyDescent="0.25">
      <c r="A1408">
        <v>1407</v>
      </c>
      <c r="B1408">
        <v>32</v>
      </c>
      <c r="C1408" t="s">
        <v>27</v>
      </c>
      <c r="D1408" t="s">
        <v>38</v>
      </c>
      <c r="E1408" t="s">
        <v>18</v>
      </c>
      <c r="F1408" s="2">
        <v>46</v>
      </c>
      <c r="G1408" t="s">
        <v>155</v>
      </c>
      <c r="H1408" t="s">
        <v>45</v>
      </c>
      <c r="I1408" t="s">
        <v>156</v>
      </c>
      <c r="J1408" t="s">
        <v>33</v>
      </c>
      <c r="K1408">
        <v>3.6</v>
      </c>
      <c r="L1408" t="s">
        <v>23</v>
      </c>
      <c r="M1408" t="s">
        <v>61</v>
      </c>
      <c r="N1408" t="s">
        <v>34</v>
      </c>
      <c r="O1408">
        <v>15</v>
      </c>
      <c r="P1408" t="s">
        <v>36</v>
      </c>
      <c r="Q1408" t="s">
        <v>42</v>
      </c>
      <c r="R1408" s="1">
        <v>0.1</v>
      </c>
      <c r="S1408">
        <f t="shared" si="84"/>
        <v>41.4</v>
      </c>
      <c r="T1408">
        <f>IFERROR(VLOOKUP(A1408,Table1[[Customer ID]:[Discount Amount]], 6, FALSE),"Not Found")</f>
        <v>46</v>
      </c>
      <c r="U1408" t="str">
        <f t="shared" si="85"/>
        <v>Debit Card</v>
      </c>
      <c r="V1408" s="4" t="str">
        <f t="shared" si="86"/>
        <v>Normal</v>
      </c>
      <c r="W1408" s="4" t="str">
        <f t="shared" si="87"/>
        <v>Good</v>
      </c>
      <c r="X1408" s="4">
        <f>AVERAGE(Table1[Purchase Amount])</f>
        <v>129.48419400000012</v>
      </c>
    </row>
    <row r="1409" spans="1:24" ht="15" customHeight="1" x14ac:dyDescent="0.25">
      <c r="A1409">
        <v>1408</v>
      </c>
      <c r="B1409">
        <v>56</v>
      </c>
      <c r="C1409" t="s">
        <v>27</v>
      </c>
      <c r="D1409" t="s">
        <v>69</v>
      </c>
      <c r="E1409" t="s">
        <v>29</v>
      </c>
      <c r="F1409" s="2">
        <v>61</v>
      </c>
      <c r="G1409" t="s">
        <v>158</v>
      </c>
      <c r="H1409" t="s">
        <v>20</v>
      </c>
      <c r="I1409" t="s">
        <v>103</v>
      </c>
      <c r="J1409" t="s">
        <v>33</v>
      </c>
      <c r="K1409">
        <v>4.5</v>
      </c>
      <c r="L1409" t="s">
        <v>23</v>
      </c>
      <c r="M1409" t="s">
        <v>61</v>
      </c>
      <c r="N1409" t="s">
        <v>34</v>
      </c>
      <c r="O1409">
        <v>11</v>
      </c>
      <c r="P1409" t="s">
        <v>53</v>
      </c>
      <c r="Q1409" t="s">
        <v>49</v>
      </c>
      <c r="R1409" s="1">
        <v>0.1</v>
      </c>
      <c r="S1409">
        <f t="shared" si="84"/>
        <v>54.9</v>
      </c>
      <c r="T1409">
        <f>IFERROR(VLOOKUP(A1409,Table1[[Customer ID]:[Discount Amount]], 6, FALSE),"Not Found")</f>
        <v>61</v>
      </c>
      <c r="U1409" t="str">
        <f t="shared" si="85"/>
        <v>Credit Card</v>
      </c>
      <c r="V1409" s="4" t="str">
        <f t="shared" si="86"/>
        <v>Normal</v>
      </c>
      <c r="W1409" s="4" t="str">
        <f t="shared" si="87"/>
        <v>Good</v>
      </c>
      <c r="X1409" s="4">
        <f>AVERAGE(Table1[Purchase Amount])</f>
        <v>129.48419400000012</v>
      </c>
    </row>
    <row r="1410" spans="1:24" ht="15" customHeight="1" x14ac:dyDescent="0.25">
      <c r="A1410">
        <v>1409</v>
      </c>
      <c r="B1410">
        <v>58</v>
      </c>
      <c r="C1410" t="s">
        <v>27</v>
      </c>
      <c r="D1410" t="s">
        <v>118</v>
      </c>
      <c r="E1410" t="s">
        <v>18</v>
      </c>
      <c r="F1410" s="2">
        <v>58</v>
      </c>
      <c r="G1410" t="s">
        <v>94</v>
      </c>
      <c r="H1410" t="s">
        <v>31</v>
      </c>
      <c r="I1410" t="s">
        <v>52</v>
      </c>
      <c r="J1410" t="s">
        <v>22</v>
      </c>
      <c r="K1410">
        <v>4.0999999999999996</v>
      </c>
      <c r="L1410" t="s">
        <v>23</v>
      </c>
      <c r="M1410" t="s">
        <v>35</v>
      </c>
      <c r="N1410" t="s">
        <v>34</v>
      </c>
      <c r="O1410">
        <v>38</v>
      </c>
      <c r="P1410" t="s">
        <v>62</v>
      </c>
      <c r="Q1410" t="s">
        <v>26</v>
      </c>
      <c r="R1410" s="1">
        <v>0.1</v>
      </c>
      <c r="S1410">
        <f t="shared" ref="S1410:S1473" si="88">F1410-(F1410*R1410)</f>
        <v>52.2</v>
      </c>
      <c r="T1410">
        <f>IFERROR(VLOOKUP(A1410,Table1[[Customer ID]:[Discount Amount]], 6, FALSE),"Not Found")</f>
        <v>58</v>
      </c>
      <c r="U1410" t="str">
        <f t="shared" ref="U1410:U1473" si="89">INDEX(P:P, MATCH(A1410, A:A, 0))</f>
        <v>Venmo</v>
      </c>
      <c r="V1410" s="4" t="str">
        <f t="shared" ref="V1410:V1473" si="90">IF(AND(F1410&gt;1000,K1410&gt;=4),"Best Customer","Normal")</f>
        <v>Normal</v>
      </c>
      <c r="W1410" s="4" t="str">
        <f t="shared" ref="W1410:W1473" si="91">IF(K1410&gt;=3,"Good","Poor")</f>
        <v>Good</v>
      </c>
      <c r="X1410" s="4">
        <f>AVERAGE(Table1[Purchase Amount])</f>
        <v>129.48419400000012</v>
      </c>
    </row>
    <row r="1411" spans="1:24" ht="15" customHeight="1" x14ac:dyDescent="0.25">
      <c r="A1411">
        <v>1410</v>
      </c>
      <c r="B1411">
        <v>34</v>
      </c>
      <c r="C1411" t="s">
        <v>27</v>
      </c>
      <c r="D1411" t="s">
        <v>104</v>
      </c>
      <c r="E1411" t="s">
        <v>29</v>
      </c>
      <c r="F1411" s="2">
        <v>50</v>
      </c>
      <c r="G1411" t="s">
        <v>161</v>
      </c>
      <c r="H1411" t="s">
        <v>31</v>
      </c>
      <c r="I1411" t="s">
        <v>74</v>
      </c>
      <c r="J1411" t="s">
        <v>33</v>
      </c>
      <c r="K1411">
        <v>4.2</v>
      </c>
      <c r="L1411" t="s">
        <v>23</v>
      </c>
      <c r="M1411" t="s">
        <v>24</v>
      </c>
      <c r="N1411" t="s">
        <v>34</v>
      </c>
      <c r="O1411">
        <v>41</v>
      </c>
      <c r="P1411" t="s">
        <v>25</v>
      </c>
      <c r="Q1411" t="s">
        <v>89</v>
      </c>
      <c r="R1411" s="1">
        <v>0.1</v>
      </c>
      <c r="S1411">
        <f t="shared" si="88"/>
        <v>45</v>
      </c>
      <c r="T1411">
        <f>IFERROR(VLOOKUP(A1411,Table1[[Customer ID]:[Discount Amount]], 6, FALSE),"Not Found")</f>
        <v>50</v>
      </c>
      <c r="U1411" t="str">
        <f t="shared" si="89"/>
        <v>Cash</v>
      </c>
      <c r="V1411" s="4" t="str">
        <f t="shared" si="90"/>
        <v>Normal</v>
      </c>
      <c r="W1411" s="4" t="str">
        <f t="shared" si="91"/>
        <v>Good</v>
      </c>
      <c r="X1411" s="4">
        <f>AVERAGE(Table1[Purchase Amount])</f>
        <v>129.48419400000012</v>
      </c>
    </row>
    <row r="1412" spans="1:24" ht="15" customHeight="1" x14ac:dyDescent="0.25">
      <c r="A1412">
        <v>1411</v>
      </c>
      <c r="B1412">
        <v>61</v>
      </c>
      <c r="C1412" t="s">
        <v>27</v>
      </c>
      <c r="D1412" t="s">
        <v>64</v>
      </c>
      <c r="E1412" t="s">
        <v>29</v>
      </c>
      <c r="F1412" s="2">
        <v>93</v>
      </c>
      <c r="G1412" t="s">
        <v>65</v>
      </c>
      <c r="H1412" t="s">
        <v>31</v>
      </c>
      <c r="I1412" t="s">
        <v>66</v>
      </c>
      <c r="J1412" t="s">
        <v>57</v>
      </c>
      <c r="K1412">
        <v>4</v>
      </c>
      <c r="L1412" t="s">
        <v>23</v>
      </c>
      <c r="M1412" t="s">
        <v>48</v>
      </c>
      <c r="N1412" t="s">
        <v>34</v>
      </c>
      <c r="O1412">
        <v>18</v>
      </c>
      <c r="P1412" t="s">
        <v>36</v>
      </c>
      <c r="Q1412" t="s">
        <v>49</v>
      </c>
      <c r="R1412" s="1">
        <v>0.1</v>
      </c>
      <c r="S1412">
        <f t="shared" si="88"/>
        <v>83.7</v>
      </c>
      <c r="T1412">
        <f>IFERROR(VLOOKUP(A1412,Table1[[Customer ID]:[Discount Amount]], 6, FALSE),"Not Found")</f>
        <v>93</v>
      </c>
      <c r="U1412" t="str">
        <f t="shared" si="89"/>
        <v>Debit Card</v>
      </c>
      <c r="V1412" s="4" t="str">
        <f t="shared" si="90"/>
        <v>Normal</v>
      </c>
      <c r="W1412" s="4" t="str">
        <f t="shared" si="91"/>
        <v>Good</v>
      </c>
      <c r="X1412" s="4">
        <f>AVERAGE(Table1[Purchase Amount])</f>
        <v>129.48419400000012</v>
      </c>
    </row>
    <row r="1413" spans="1:24" ht="15" customHeight="1" x14ac:dyDescent="0.25">
      <c r="A1413">
        <v>1412</v>
      </c>
      <c r="B1413">
        <v>48</v>
      </c>
      <c r="C1413" t="s">
        <v>27</v>
      </c>
      <c r="D1413" t="s">
        <v>122</v>
      </c>
      <c r="E1413" t="s">
        <v>18</v>
      </c>
      <c r="F1413" s="2">
        <v>24</v>
      </c>
      <c r="G1413" t="s">
        <v>119</v>
      </c>
      <c r="H1413" t="s">
        <v>45</v>
      </c>
      <c r="I1413" t="s">
        <v>93</v>
      </c>
      <c r="J1413" t="s">
        <v>57</v>
      </c>
      <c r="K1413">
        <v>2.8</v>
      </c>
      <c r="L1413" t="s">
        <v>23</v>
      </c>
      <c r="M1413" t="s">
        <v>48</v>
      </c>
      <c r="N1413" t="s">
        <v>34</v>
      </c>
      <c r="O1413">
        <v>13</v>
      </c>
      <c r="P1413" t="s">
        <v>62</v>
      </c>
      <c r="Q1413" t="s">
        <v>37</v>
      </c>
      <c r="R1413" s="1">
        <v>0.1</v>
      </c>
      <c r="S1413">
        <f t="shared" si="88"/>
        <v>21.6</v>
      </c>
      <c r="T1413">
        <f>IFERROR(VLOOKUP(A1413,Table1[[Customer ID]:[Discount Amount]], 6, FALSE),"Not Found")</f>
        <v>24</v>
      </c>
      <c r="U1413" t="str">
        <f t="shared" si="89"/>
        <v>Venmo</v>
      </c>
      <c r="V1413" s="4" t="str">
        <f t="shared" si="90"/>
        <v>Normal</v>
      </c>
      <c r="W1413" s="4" t="str">
        <f t="shared" si="91"/>
        <v>Poor</v>
      </c>
      <c r="X1413" s="4">
        <f>AVERAGE(Table1[Purchase Amount])</f>
        <v>129.48419400000012</v>
      </c>
    </row>
    <row r="1414" spans="1:24" ht="15" customHeight="1" x14ac:dyDescent="0.25">
      <c r="A1414">
        <v>1413</v>
      </c>
      <c r="B1414">
        <v>25</v>
      </c>
      <c r="C1414" t="s">
        <v>27</v>
      </c>
      <c r="D1414" t="s">
        <v>54</v>
      </c>
      <c r="E1414" t="s">
        <v>18</v>
      </c>
      <c r="F1414" s="2">
        <v>100</v>
      </c>
      <c r="G1414" t="s">
        <v>113</v>
      </c>
      <c r="H1414" t="s">
        <v>31</v>
      </c>
      <c r="I1414" t="s">
        <v>103</v>
      </c>
      <c r="J1414" t="s">
        <v>57</v>
      </c>
      <c r="K1414">
        <v>2.6</v>
      </c>
      <c r="L1414" t="s">
        <v>23</v>
      </c>
      <c r="M1414" t="s">
        <v>41</v>
      </c>
      <c r="N1414" t="s">
        <v>34</v>
      </c>
      <c r="O1414">
        <v>43</v>
      </c>
      <c r="P1414" t="s">
        <v>62</v>
      </c>
      <c r="Q1414" t="s">
        <v>49</v>
      </c>
      <c r="R1414" s="1">
        <v>0.1</v>
      </c>
      <c r="S1414">
        <f t="shared" si="88"/>
        <v>90</v>
      </c>
      <c r="T1414">
        <f>IFERROR(VLOOKUP(A1414,Table1[[Customer ID]:[Discount Amount]], 6, FALSE),"Not Found")</f>
        <v>100</v>
      </c>
      <c r="U1414" t="str">
        <f t="shared" si="89"/>
        <v>Venmo</v>
      </c>
      <c r="V1414" s="4" t="str">
        <f t="shared" si="90"/>
        <v>Normal</v>
      </c>
      <c r="W1414" s="4" t="str">
        <f t="shared" si="91"/>
        <v>Poor</v>
      </c>
      <c r="X1414" s="4">
        <f>AVERAGE(Table1[Purchase Amount])</f>
        <v>129.48419400000012</v>
      </c>
    </row>
    <row r="1415" spans="1:24" ht="15" customHeight="1" x14ac:dyDescent="0.25">
      <c r="A1415">
        <v>1414</v>
      </c>
      <c r="B1415">
        <v>51</v>
      </c>
      <c r="C1415" t="s">
        <v>27</v>
      </c>
      <c r="D1415" t="s">
        <v>118</v>
      </c>
      <c r="E1415" t="s">
        <v>18</v>
      </c>
      <c r="F1415" s="2">
        <v>79</v>
      </c>
      <c r="G1415" t="s">
        <v>132</v>
      </c>
      <c r="H1415" t="s">
        <v>55</v>
      </c>
      <c r="I1415" t="s">
        <v>91</v>
      </c>
      <c r="J1415" t="s">
        <v>47</v>
      </c>
      <c r="K1415">
        <v>2.7</v>
      </c>
      <c r="L1415" t="s">
        <v>23</v>
      </c>
      <c r="M1415" t="s">
        <v>48</v>
      </c>
      <c r="N1415" t="s">
        <v>34</v>
      </c>
      <c r="O1415">
        <v>12</v>
      </c>
      <c r="P1415" t="s">
        <v>88</v>
      </c>
      <c r="Q1415" t="s">
        <v>37</v>
      </c>
      <c r="R1415" s="1">
        <v>0.1</v>
      </c>
      <c r="S1415">
        <f t="shared" si="88"/>
        <v>71.099999999999994</v>
      </c>
      <c r="T1415">
        <f>IFERROR(VLOOKUP(A1415,Table1[[Customer ID]:[Discount Amount]], 6, FALSE),"Not Found")</f>
        <v>79</v>
      </c>
      <c r="U1415" t="str">
        <f t="shared" si="89"/>
        <v>Bank Transfer</v>
      </c>
      <c r="V1415" s="4" t="str">
        <f t="shared" si="90"/>
        <v>Normal</v>
      </c>
      <c r="W1415" s="4" t="str">
        <f t="shared" si="91"/>
        <v>Poor</v>
      </c>
      <c r="X1415" s="4">
        <f>AVERAGE(Table1[Purchase Amount])</f>
        <v>129.48419400000012</v>
      </c>
    </row>
    <row r="1416" spans="1:24" ht="15" customHeight="1" x14ac:dyDescent="0.25">
      <c r="A1416">
        <v>1415</v>
      </c>
      <c r="B1416">
        <v>29</v>
      </c>
      <c r="C1416" t="s">
        <v>27</v>
      </c>
      <c r="D1416" t="s">
        <v>105</v>
      </c>
      <c r="E1416" t="s">
        <v>18</v>
      </c>
      <c r="F1416" s="2">
        <v>51</v>
      </c>
      <c r="G1416" t="s">
        <v>120</v>
      </c>
      <c r="H1416" t="s">
        <v>31</v>
      </c>
      <c r="I1416" t="s">
        <v>40</v>
      </c>
      <c r="J1416" t="s">
        <v>57</v>
      </c>
      <c r="K1416">
        <v>4.5</v>
      </c>
      <c r="L1416" t="s">
        <v>23</v>
      </c>
      <c r="M1416" t="s">
        <v>48</v>
      </c>
      <c r="N1416" t="s">
        <v>34</v>
      </c>
      <c r="O1416">
        <v>3</v>
      </c>
      <c r="P1416" t="s">
        <v>53</v>
      </c>
      <c r="Q1416" t="s">
        <v>68</v>
      </c>
      <c r="R1416" s="1">
        <v>0.1</v>
      </c>
      <c r="S1416">
        <f t="shared" si="88"/>
        <v>45.9</v>
      </c>
      <c r="T1416">
        <f>IFERROR(VLOOKUP(A1416,Table1[[Customer ID]:[Discount Amount]], 6, FALSE),"Not Found")</f>
        <v>51</v>
      </c>
      <c r="U1416" t="str">
        <f t="shared" si="89"/>
        <v>Credit Card</v>
      </c>
      <c r="V1416" s="4" t="str">
        <f t="shared" si="90"/>
        <v>Normal</v>
      </c>
      <c r="W1416" s="4" t="str">
        <f t="shared" si="91"/>
        <v>Good</v>
      </c>
      <c r="X1416" s="4">
        <f>AVERAGE(Table1[Purchase Amount])</f>
        <v>129.48419400000012</v>
      </c>
    </row>
    <row r="1417" spans="1:24" ht="15" customHeight="1" x14ac:dyDescent="0.25">
      <c r="A1417">
        <v>1416</v>
      </c>
      <c r="B1417">
        <v>54</v>
      </c>
      <c r="C1417" t="s">
        <v>27</v>
      </c>
      <c r="D1417" t="s">
        <v>114</v>
      </c>
      <c r="E1417" t="s">
        <v>29</v>
      </c>
      <c r="F1417" s="2">
        <v>90</v>
      </c>
      <c r="G1417" t="s">
        <v>44</v>
      </c>
      <c r="H1417" t="s">
        <v>31</v>
      </c>
      <c r="I1417" t="s">
        <v>74</v>
      </c>
      <c r="J1417" t="s">
        <v>22</v>
      </c>
      <c r="K1417">
        <v>3.7</v>
      </c>
      <c r="L1417" t="s">
        <v>23</v>
      </c>
      <c r="M1417" t="s">
        <v>35</v>
      </c>
      <c r="N1417" t="s">
        <v>34</v>
      </c>
      <c r="O1417">
        <v>12</v>
      </c>
      <c r="P1417" t="s">
        <v>53</v>
      </c>
      <c r="Q1417" t="s">
        <v>63</v>
      </c>
      <c r="R1417" s="1">
        <v>0.1</v>
      </c>
      <c r="S1417">
        <f t="shared" si="88"/>
        <v>81</v>
      </c>
      <c r="T1417">
        <f>IFERROR(VLOOKUP(A1417,Table1[[Customer ID]:[Discount Amount]], 6, FALSE),"Not Found")</f>
        <v>90</v>
      </c>
      <c r="U1417" t="str">
        <f t="shared" si="89"/>
        <v>Credit Card</v>
      </c>
      <c r="V1417" s="4" t="str">
        <f t="shared" si="90"/>
        <v>Normal</v>
      </c>
      <c r="W1417" s="4" t="str">
        <f t="shared" si="91"/>
        <v>Good</v>
      </c>
      <c r="X1417" s="4">
        <f>AVERAGE(Table1[Purchase Amount])</f>
        <v>129.48419400000012</v>
      </c>
    </row>
    <row r="1418" spans="1:24" ht="15" customHeight="1" x14ac:dyDescent="0.25">
      <c r="A1418">
        <v>1417</v>
      </c>
      <c r="B1418">
        <v>48</v>
      </c>
      <c r="C1418" t="s">
        <v>27</v>
      </c>
      <c r="D1418" t="s">
        <v>151</v>
      </c>
      <c r="E1418" t="s">
        <v>98</v>
      </c>
      <c r="F1418" s="2">
        <v>56</v>
      </c>
      <c r="G1418" t="s">
        <v>161</v>
      </c>
      <c r="H1418" t="s">
        <v>45</v>
      </c>
      <c r="I1418" t="s">
        <v>153</v>
      </c>
      <c r="J1418" t="s">
        <v>57</v>
      </c>
      <c r="K1418">
        <v>3.4</v>
      </c>
      <c r="L1418" t="s">
        <v>23</v>
      </c>
      <c r="M1418" t="s">
        <v>35</v>
      </c>
      <c r="N1418" t="s">
        <v>34</v>
      </c>
      <c r="O1418">
        <v>46</v>
      </c>
      <c r="P1418" t="s">
        <v>25</v>
      </c>
      <c r="Q1418" t="s">
        <v>37</v>
      </c>
      <c r="R1418" s="1">
        <v>0.1</v>
      </c>
      <c r="S1418">
        <f t="shared" si="88"/>
        <v>50.4</v>
      </c>
      <c r="T1418">
        <f>IFERROR(VLOOKUP(A1418,Table1[[Customer ID]:[Discount Amount]], 6, FALSE),"Not Found")</f>
        <v>56</v>
      </c>
      <c r="U1418" t="str">
        <f t="shared" si="89"/>
        <v>Cash</v>
      </c>
      <c r="V1418" s="4" t="str">
        <f t="shared" si="90"/>
        <v>Normal</v>
      </c>
      <c r="W1418" s="4" t="str">
        <f t="shared" si="91"/>
        <v>Good</v>
      </c>
      <c r="X1418" s="4">
        <f>AVERAGE(Table1[Purchase Amount])</f>
        <v>129.48419400000012</v>
      </c>
    </row>
    <row r="1419" spans="1:24" ht="15" customHeight="1" x14ac:dyDescent="0.25">
      <c r="A1419">
        <v>1418</v>
      </c>
      <c r="B1419">
        <v>62</v>
      </c>
      <c r="C1419" t="s">
        <v>27</v>
      </c>
      <c r="D1419" t="s">
        <v>54</v>
      </c>
      <c r="E1419" t="s">
        <v>18</v>
      </c>
      <c r="F1419" s="2">
        <v>25</v>
      </c>
      <c r="G1419" t="s">
        <v>39</v>
      </c>
      <c r="H1419" t="s">
        <v>55</v>
      </c>
      <c r="I1419" t="s">
        <v>60</v>
      </c>
      <c r="J1419" t="s">
        <v>33</v>
      </c>
      <c r="K1419">
        <v>4.5999999999999996</v>
      </c>
      <c r="L1419" t="s">
        <v>23</v>
      </c>
      <c r="M1419" t="s">
        <v>24</v>
      </c>
      <c r="N1419" t="s">
        <v>34</v>
      </c>
      <c r="O1419">
        <v>21</v>
      </c>
      <c r="P1419" t="s">
        <v>36</v>
      </c>
      <c r="Q1419" t="s">
        <v>89</v>
      </c>
      <c r="R1419" s="1">
        <v>0.1</v>
      </c>
      <c r="S1419">
        <f t="shared" si="88"/>
        <v>22.5</v>
      </c>
      <c r="T1419">
        <f>IFERROR(VLOOKUP(A1419,Table1[[Customer ID]:[Discount Amount]], 6, FALSE),"Not Found")</f>
        <v>25</v>
      </c>
      <c r="U1419" t="str">
        <f t="shared" si="89"/>
        <v>Debit Card</v>
      </c>
      <c r="V1419" s="4" t="str">
        <f t="shared" si="90"/>
        <v>Normal</v>
      </c>
      <c r="W1419" s="4" t="str">
        <f t="shared" si="91"/>
        <v>Good</v>
      </c>
      <c r="X1419" s="4">
        <f>AVERAGE(Table1[Purchase Amount])</f>
        <v>129.48419400000012</v>
      </c>
    </row>
    <row r="1420" spans="1:24" ht="15" customHeight="1" x14ac:dyDescent="0.25">
      <c r="A1420">
        <v>1419</v>
      </c>
      <c r="B1420">
        <v>18</v>
      </c>
      <c r="C1420" t="s">
        <v>27</v>
      </c>
      <c r="D1420" t="s">
        <v>38</v>
      </c>
      <c r="E1420" t="s">
        <v>18</v>
      </c>
      <c r="F1420" s="2">
        <v>75</v>
      </c>
      <c r="G1420" t="s">
        <v>51</v>
      </c>
      <c r="H1420" t="s">
        <v>31</v>
      </c>
      <c r="I1420" t="s">
        <v>111</v>
      </c>
      <c r="J1420" t="s">
        <v>57</v>
      </c>
      <c r="K1420">
        <v>4.0999999999999996</v>
      </c>
      <c r="L1420" t="s">
        <v>23</v>
      </c>
      <c r="M1420" t="s">
        <v>41</v>
      </c>
      <c r="N1420" t="s">
        <v>34</v>
      </c>
      <c r="O1420">
        <v>23</v>
      </c>
      <c r="P1420" t="s">
        <v>62</v>
      </c>
      <c r="Q1420" t="s">
        <v>63</v>
      </c>
      <c r="R1420" s="1">
        <v>0.1</v>
      </c>
      <c r="S1420">
        <f t="shared" si="88"/>
        <v>67.5</v>
      </c>
      <c r="T1420">
        <f>IFERROR(VLOOKUP(A1420,Table1[[Customer ID]:[Discount Amount]], 6, FALSE),"Not Found")</f>
        <v>75</v>
      </c>
      <c r="U1420" t="str">
        <f t="shared" si="89"/>
        <v>Venmo</v>
      </c>
      <c r="V1420" s="4" t="str">
        <f t="shared" si="90"/>
        <v>Normal</v>
      </c>
      <c r="W1420" s="4" t="str">
        <f t="shared" si="91"/>
        <v>Good</v>
      </c>
      <c r="X1420" s="4">
        <f>AVERAGE(Table1[Purchase Amount])</f>
        <v>129.48419400000012</v>
      </c>
    </row>
    <row r="1421" spans="1:24" ht="15" customHeight="1" x14ac:dyDescent="0.25">
      <c r="A1421">
        <v>1420</v>
      </c>
      <c r="B1421">
        <v>43</v>
      </c>
      <c r="C1421" t="s">
        <v>27</v>
      </c>
      <c r="D1421" t="s">
        <v>69</v>
      </c>
      <c r="E1421" t="s">
        <v>29</v>
      </c>
      <c r="F1421" s="2">
        <v>75</v>
      </c>
      <c r="G1421" t="s">
        <v>39</v>
      </c>
      <c r="H1421" t="s">
        <v>31</v>
      </c>
      <c r="I1421" t="s">
        <v>108</v>
      </c>
      <c r="J1421" t="s">
        <v>57</v>
      </c>
      <c r="K1421">
        <v>2.6</v>
      </c>
      <c r="L1421" t="s">
        <v>23</v>
      </c>
      <c r="M1421" t="s">
        <v>35</v>
      </c>
      <c r="N1421" t="s">
        <v>34</v>
      </c>
      <c r="O1421">
        <v>4</v>
      </c>
      <c r="P1421" t="s">
        <v>36</v>
      </c>
      <c r="Q1421" t="s">
        <v>37</v>
      </c>
      <c r="R1421" s="1">
        <v>0.1</v>
      </c>
      <c r="S1421">
        <f t="shared" si="88"/>
        <v>67.5</v>
      </c>
      <c r="T1421">
        <f>IFERROR(VLOOKUP(A1421,Table1[[Customer ID]:[Discount Amount]], 6, FALSE),"Not Found")</f>
        <v>75</v>
      </c>
      <c r="U1421" t="str">
        <f t="shared" si="89"/>
        <v>Debit Card</v>
      </c>
      <c r="V1421" s="4" t="str">
        <f t="shared" si="90"/>
        <v>Normal</v>
      </c>
      <c r="W1421" s="4" t="str">
        <f t="shared" si="91"/>
        <v>Poor</v>
      </c>
      <c r="X1421" s="4">
        <f>AVERAGE(Table1[Purchase Amount])</f>
        <v>129.48419400000012</v>
      </c>
    </row>
    <row r="1422" spans="1:24" ht="15" customHeight="1" x14ac:dyDescent="0.25">
      <c r="A1422">
        <v>1421</v>
      </c>
      <c r="B1422">
        <v>22</v>
      </c>
      <c r="C1422" t="s">
        <v>27</v>
      </c>
      <c r="D1422" t="s">
        <v>109</v>
      </c>
      <c r="E1422" t="s">
        <v>18</v>
      </c>
      <c r="F1422" s="2">
        <v>53</v>
      </c>
      <c r="G1422" t="s">
        <v>19</v>
      </c>
      <c r="H1422" t="s">
        <v>20</v>
      </c>
      <c r="I1422" t="s">
        <v>85</v>
      </c>
      <c r="J1422" t="s">
        <v>57</v>
      </c>
      <c r="K1422">
        <v>4.5999999999999996</v>
      </c>
      <c r="L1422" t="s">
        <v>23</v>
      </c>
      <c r="M1422" t="s">
        <v>48</v>
      </c>
      <c r="N1422" t="s">
        <v>34</v>
      </c>
      <c r="O1422">
        <v>45</v>
      </c>
      <c r="P1422" t="s">
        <v>58</v>
      </c>
      <c r="Q1422" t="s">
        <v>63</v>
      </c>
      <c r="R1422" s="1">
        <v>0.1</v>
      </c>
      <c r="S1422">
        <f t="shared" si="88"/>
        <v>47.7</v>
      </c>
      <c r="T1422">
        <f>IFERROR(VLOOKUP(A1422,Table1[[Customer ID]:[Discount Amount]], 6, FALSE),"Not Found")</f>
        <v>53</v>
      </c>
      <c r="U1422" t="str">
        <f t="shared" si="89"/>
        <v>PayPal</v>
      </c>
      <c r="V1422" s="4" t="str">
        <f t="shared" si="90"/>
        <v>Normal</v>
      </c>
      <c r="W1422" s="4" t="str">
        <f t="shared" si="91"/>
        <v>Good</v>
      </c>
      <c r="X1422" s="4">
        <f>AVERAGE(Table1[Purchase Amount])</f>
        <v>129.48419400000012</v>
      </c>
    </row>
    <row r="1423" spans="1:24" ht="15" customHeight="1" x14ac:dyDescent="0.25">
      <c r="A1423">
        <v>1422</v>
      </c>
      <c r="B1423">
        <v>68</v>
      </c>
      <c r="C1423" t="s">
        <v>27</v>
      </c>
      <c r="D1423" t="s">
        <v>157</v>
      </c>
      <c r="E1423" t="s">
        <v>18</v>
      </c>
      <c r="F1423" s="2">
        <v>100</v>
      </c>
      <c r="G1423" t="s">
        <v>78</v>
      </c>
      <c r="H1423" t="s">
        <v>55</v>
      </c>
      <c r="I1423" t="s">
        <v>133</v>
      </c>
      <c r="J1423" t="s">
        <v>33</v>
      </c>
      <c r="K1423">
        <v>3</v>
      </c>
      <c r="L1423" t="s">
        <v>23</v>
      </c>
      <c r="M1423" t="s">
        <v>24</v>
      </c>
      <c r="N1423" t="s">
        <v>34</v>
      </c>
      <c r="O1423">
        <v>24</v>
      </c>
      <c r="P1423" t="s">
        <v>88</v>
      </c>
      <c r="Q1423" t="s">
        <v>89</v>
      </c>
      <c r="R1423" s="1">
        <v>0.1</v>
      </c>
      <c r="S1423">
        <f t="shared" si="88"/>
        <v>90</v>
      </c>
      <c r="T1423">
        <f>IFERROR(VLOOKUP(A1423,Table1[[Customer ID]:[Discount Amount]], 6, FALSE),"Not Found")</f>
        <v>100</v>
      </c>
      <c r="U1423" t="str">
        <f t="shared" si="89"/>
        <v>Bank Transfer</v>
      </c>
      <c r="V1423" s="4" t="str">
        <f t="shared" si="90"/>
        <v>Normal</v>
      </c>
      <c r="W1423" s="4" t="str">
        <f t="shared" si="91"/>
        <v>Good</v>
      </c>
      <c r="X1423" s="4">
        <f>AVERAGE(Table1[Purchase Amount])</f>
        <v>129.48419400000012</v>
      </c>
    </row>
    <row r="1424" spans="1:24" ht="15" customHeight="1" x14ac:dyDescent="0.25">
      <c r="A1424">
        <v>1423</v>
      </c>
      <c r="B1424">
        <v>44</v>
      </c>
      <c r="C1424" t="s">
        <v>27</v>
      </c>
      <c r="D1424" t="s">
        <v>157</v>
      </c>
      <c r="E1424" t="s">
        <v>18</v>
      </c>
      <c r="F1424" s="2">
        <v>27</v>
      </c>
      <c r="G1424" t="s">
        <v>152</v>
      </c>
      <c r="H1424" t="s">
        <v>45</v>
      </c>
      <c r="I1424" t="s">
        <v>103</v>
      </c>
      <c r="J1424" t="s">
        <v>47</v>
      </c>
      <c r="K1424">
        <v>3.4</v>
      </c>
      <c r="L1424" t="s">
        <v>23</v>
      </c>
      <c r="M1424" t="s">
        <v>35</v>
      </c>
      <c r="N1424" t="s">
        <v>34</v>
      </c>
      <c r="O1424">
        <v>3</v>
      </c>
      <c r="P1424" t="s">
        <v>58</v>
      </c>
      <c r="Q1424" t="s">
        <v>68</v>
      </c>
      <c r="R1424" s="1">
        <v>0.1</v>
      </c>
      <c r="S1424">
        <f t="shared" si="88"/>
        <v>24.3</v>
      </c>
      <c r="T1424">
        <f>IFERROR(VLOOKUP(A1424,Table1[[Customer ID]:[Discount Amount]], 6, FALSE),"Not Found")</f>
        <v>27</v>
      </c>
      <c r="U1424" t="str">
        <f t="shared" si="89"/>
        <v>PayPal</v>
      </c>
      <c r="V1424" s="4" t="str">
        <f t="shared" si="90"/>
        <v>Normal</v>
      </c>
      <c r="W1424" s="4" t="str">
        <f t="shared" si="91"/>
        <v>Good</v>
      </c>
      <c r="X1424" s="4">
        <f>AVERAGE(Table1[Purchase Amount])</f>
        <v>129.48419400000012</v>
      </c>
    </row>
    <row r="1425" spans="1:24" ht="15" customHeight="1" x14ac:dyDescent="0.25">
      <c r="A1425">
        <v>1424</v>
      </c>
      <c r="B1425">
        <v>51</v>
      </c>
      <c r="C1425" t="s">
        <v>27</v>
      </c>
      <c r="D1425" t="s">
        <v>121</v>
      </c>
      <c r="E1425" t="s">
        <v>98</v>
      </c>
      <c r="F1425" s="2">
        <v>60</v>
      </c>
      <c r="G1425" t="s">
        <v>113</v>
      </c>
      <c r="H1425" t="s">
        <v>55</v>
      </c>
      <c r="I1425" t="s">
        <v>40</v>
      </c>
      <c r="J1425" t="s">
        <v>47</v>
      </c>
      <c r="K1425">
        <v>3.5</v>
      </c>
      <c r="L1425" t="s">
        <v>23</v>
      </c>
      <c r="M1425" t="s">
        <v>35</v>
      </c>
      <c r="N1425" t="s">
        <v>34</v>
      </c>
      <c r="O1425">
        <v>12</v>
      </c>
      <c r="P1425" t="s">
        <v>62</v>
      </c>
      <c r="Q1425" t="s">
        <v>63</v>
      </c>
      <c r="R1425" s="1">
        <v>0.1</v>
      </c>
      <c r="S1425">
        <f t="shared" si="88"/>
        <v>54</v>
      </c>
      <c r="T1425">
        <f>IFERROR(VLOOKUP(A1425,Table1[[Customer ID]:[Discount Amount]], 6, FALSE),"Not Found")</f>
        <v>60</v>
      </c>
      <c r="U1425" t="str">
        <f t="shared" si="89"/>
        <v>Venmo</v>
      </c>
      <c r="V1425" s="4" t="str">
        <f t="shared" si="90"/>
        <v>Normal</v>
      </c>
      <c r="W1425" s="4" t="str">
        <f t="shared" si="91"/>
        <v>Good</v>
      </c>
      <c r="X1425" s="4">
        <f>AVERAGE(Table1[Purchase Amount])</f>
        <v>129.48419400000012</v>
      </c>
    </row>
    <row r="1426" spans="1:24" ht="15" customHeight="1" x14ac:dyDescent="0.25">
      <c r="A1426">
        <v>1425</v>
      </c>
      <c r="B1426">
        <v>66</v>
      </c>
      <c r="C1426" t="s">
        <v>27</v>
      </c>
      <c r="D1426" t="s">
        <v>96</v>
      </c>
      <c r="E1426" t="s">
        <v>77</v>
      </c>
      <c r="F1426" s="2">
        <v>23</v>
      </c>
      <c r="G1426" t="s">
        <v>115</v>
      </c>
      <c r="H1426" t="s">
        <v>55</v>
      </c>
      <c r="I1426" t="s">
        <v>91</v>
      </c>
      <c r="J1426" t="s">
        <v>47</v>
      </c>
      <c r="K1426">
        <v>3.5</v>
      </c>
      <c r="L1426" t="s">
        <v>23</v>
      </c>
      <c r="M1426" t="s">
        <v>24</v>
      </c>
      <c r="N1426" t="s">
        <v>34</v>
      </c>
      <c r="O1426">
        <v>34</v>
      </c>
      <c r="P1426" t="s">
        <v>88</v>
      </c>
      <c r="Q1426" t="s">
        <v>63</v>
      </c>
      <c r="R1426" s="1">
        <v>0.1</v>
      </c>
      <c r="S1426">
        <f t="shared" si="88"/>
        <v>20.7</v>
      </c>
      <c r="T1426">
        <f>IFERROR(VLOOKUP(A1426,Table1[[Customer ID]:[Discount Amount]], 6, FALSE),"Not Found")</f>
        <v>23</v>
      </c>
      <c r="U1426" t="str">
        <f t="shared" si="89"/>
        <v>Bank Transfer</v>
      </c>
      <c r="V1426" s="4" t="str">
        <f t="shared" si="90"/>
        <v>Normal</v>
      </c>
      <c r="W1426" s="4" t="str">
        <f t="shared" si="91"/>
        <v>Good</v>
      </c>
      <c r="X1426" s="4">
        <f>AVERAGE(Table1[Purchase Amount])</f>
        <v>129.48419400000012</v>
      </c>
    </row>
    <row r="1427" spans="1:24" ht="15" customHeight="1" x14ac:dyDescent="0.25">
      <c r="A1427">
        <v>1426</v>
      </c>
      <c r="B1427">
        <v>59</v>
      </c>
      <c r="C1427" t="s">
        <v>27</v>
      </c>
      <c r="D1427" t="s">
        <v>76</v>
      </c>
      <c r="E1427" t="s">
        <v>77</v>
      </c>
      <c r="F1427" s="2">
        <v>40</v>
      </c>
      <c r="G1427" t="s">
        <v>162</v>
      </c>
      <c r="H1427" t="s">
        <v>55</v>
      </c>
      <c r="I1427" t="s">
        <v>32</v>
      </c>
      <c r="J1427" t="s">
        <v>22</v>
      </c>
      <c r="K1427">
        <v>3.7</v>
      </c>
      <c r="L1427" t="s">
        <v>23</v>
      </c>
      <c r="M1427" t="s">
        <v>79</v>
      </c>
      <c r="N1427" t="s">
        <v>34</v>
      </c>
      <c r="O1427">
        <v>39</v>
      </c>
      <c r="P1427" t="s">
        <v>53</v>
      </c>
      <c r="Q1427" t="s">
        <v>49</v>
      </c>
      <c r="R1427" s="1">
        <v>0.1</v>
      </c>
      <c r="S1427">
        <f t="shared" si="88"/>
        <v>36</v>
      </c>
      <c r="T1427">
        <f>IFERROR(VLOOKUP(A1427,Table1[[Customer ID]:[Discount Amount]], 6, FALSE),"Not Found")</f>
        <v>40</v>
      </c>
      <c r="U1427" t="str">
        <f t="shared" si="89"/>
        <v>Credit Card</v>
      </c>
      <c r="V1427" s="4" t="str">
        <f t="shared" si="90"/>
        <v>Normal</v>
      </c>
      <c r="W1427" s="4" t="str">
        <f t="shared" si="91"/>
        <v>Good</v>
      </c>
      <c r="X1427" s="4">
        <f>AVERAGE(Table1[Purchase Amount])</f>
        <v>129.48419400000012</v>
      </c>
    </row>
    <row r="1428" spans="1:24" ht="15" customHeight="1" x14ac:dyDescent="0.25">
      <c r="A1428">
        <v>1427</v>
      </c>
      <c r="B1428">
        <v>60</v>
      </c>
      <c r="C1428" t="s">
        <v>27</v>
      </c>
      <c r="D1428" t="s">
        <v>99</v>
      </c>
      <c r="E1428" t="s">
        <v>18</v>
      </c>
      <c r="F1428" s="2">
        <v>38</v>
      </c>
      <c r="G1428" t="s">
        <v>113</v>
      </c>
      <c r="H1428" t="s">
        <v>31</v>
      </c>
      <c r="I1428" t="s">
        <v>52</v>
      </c>
      <c r="J1428" t="s">
        <v>57</v>
      </c>
      <c r="K1428">
        <v>4.8</v>
      </c>
      <c r="L1428" t="s">
        <v>23</v>
      </c>
      <c r="M1428" t="s">
        <v>35</v>
      </c>
      <c r="N1428" t="s">
        <v>34</v>
      </c>
      <c r="O1428">
        <v>35</v>
      </c>
      <c r="P1428" t="s">
        <v>58</v>
      </c>
      <c r="Q1428" t="s">
        <v>63</v>
      </c>
      <c r="R1428" s="1">
        <v>0.1</v>
      </c>
      <c r="S1428">
        <f t="shared" si="88"/>
        <v>34.200000000000003</v>
      </c>
      <c r="T1428">
        <f>IFERROR(VLOOKUP(A1428,Table1[[Customer ID]:[Discount Amount]], 6, FALSE),"Not Found")</f>
        <v>38</v>
      </c>
      <c r="U1428" t="str">
        <f t="shared" si="89"/>
        <v>PayPal</v>
      </c>
      <c r="V1428" s="4" t="str">
        <f t="shared" si="90"/>
        <v>Normal</v>
      </c>
      <c r="W1428" s="4" t="str">
        <f t="shared" si="91"/>
        <v>Good</v>
      </c>
      <c r="X1428" s="4">
        <f>AVERAGE(Table1[Purchase Amount])</f>
        <v>129.48419400000012</v>
      </c>
    </row>
    <row r="1429" spans="1:24" ht="15" customHeight="1" x14ac:dyDescent="0.25">
      <c r="A1429">
        <v>1428</v>
      </c>
      <c r="B1429">
        <v>31</v>
      </c>
      <c r="C1429" t="s">
        <v>27</v>
      </c>
      <c r="D1429" t="s">
        <v>104</v>
      </c>
      <c r="E1429" t="s">
        <v>29</v>
      </c>
      <c r="F1429" s="2">
        <v>90</v>
      </c>
      <c r="G1429" t="s">
        <v>130</v>
      </c>
      <c r="H1429" t="s">
        <v>55</v>
      </c>
      <c r="I1429" t="s">
        <v>108</v>
      </c>
      <c r="J1429" t="s">
        <v>57</v>
      </c>
      <c r="K1429">
        <v>4.9000000000000004</v>
      </c>
      <c r="L1429" t="s">
        <v>23</v>
      </c>
      <c r="M1429" t="s">
        <v>48</v>
      </c>
      <c r="N1429" t="s">
        <v>34</v>
      </c>
      <c r="O1429">
        <v>8</v>
      </c>
      <c r="P1429" t="s">
        <v>53</v>
      </c>
      <c r="Q1429" t="s">
        <v>49</v>
      </c>
      <c r="R1429" s="1">
        <v>0.1</v>
      </c>
      <c r="S1429">
        <f t="shared" si="88"/>
        <v>81</v>
      </c>
      <c r="T1429">
        <f>IFERROR(VLOOKUP(A1429,Table1[[Customer ID]:[Discount Amount]], 6, FALSE),"Not Found")</f>
        <v>90</v>
      </c>
      <c r="U1429" t="str">
        <f t="shared" si="89"/>
        <v>Credit Card</v>
      </c>
      <c r="V1429" s="4" t="str">
        <f t="shared" si="90"/>
        <v>Normal</v>
      </c>
      <c r="W1429" s="4" t="str">
        <f t="shared" si="91"/>
        <v>Good</v>
      </c>
      <c r="X1429" s="4">
        <f>AVERAGE(Table1[Purchase Amount])</f>
        <v>129.48419400000012</v>
      </c>
    </row>
    <row r="1430" spans="1:24" ht="15" customHeight="1" x14ac:dyDescent="0.25">
      <c r="A1430">
        <v>1429</v>
      </c>
      <c r="B1430">
        <v>20</v>
      </c>
      <c r="C1430" t="s">
        <v>27</v>
      </c>
      <c r="D1430" t="s">
        <v>118</v>
      </c>
      <c r="E1430" t="s">
        <v>18</v>
      </c>
      <c r="F1430" s="2">
        <v>97</v>
      </c>
      <c r="G1430" t="s">
        <v>86</v>
      </c>
      <c r="H1430" t="s">
        <v>55</v>
      </c>
      <c r="I1430" t="s">
        <v>93</v>
      </c>
      <c r="J1430" t="s">
        <v>57</v>
      </c>
      <c r="K1430">
        <v>4.9000000000000004</v>
      </c>
      <c r="L1430" t="s">
        <v>23</v>
      </c>
      <c r="M1430" t="s">
        <v>61</v>
      </c>
      <c r="N1430" t="s">
        <v>34</v>
      </c>
      <c r="O1430">
        <v>42</v>
      </c>
      <c r="P1430" t="s">
        <v>58</v>
      </c>
      <c r="Q1430" t="s">
        <v>37</v>
      </c>
      <c r="R1430" s="1">
        <v>0.1</v>
      </c>
      <c r="S1430">
        <f t="shared" si="88"/>
        <v>87.3</v>
      </c>
      <c r="T1430">
        <f>IFERROR(VLOOKUP(A1430,Table1[[Customer ID]:[Discount Amount]], 6, FALSE),"Not Found")</f>
        <v>97</v>
      </c>
      <c r="U1430" t="str">
        <f t="shared" si="89"/>
        <v>PayPal</v>
      </c>
      <c r="V1430" s="4" t="str">
        <f t="shared" si="90"/>
        <v>Normal</v>
      </c>
      <c r="W1430" s="4" t="str">
        <f t="shared" si="91"/>
        <v>Good</v>
      </c>
      <c r="X1430" s="4">
        <f>AVERAGE(Table1[Purchase Amount])</f>
        <v>129.48419400000012</v>
      </c>
    </row>
    <row r="1431" spans="1:24" ht="15" customHeight="1" x14ac:dyDescent="0.25">
      <c r="A1431">
        <v>1430</v>
      </c>
      <c r="B1431">
        <v>24</v>
      </c>
      <c r="C1431" t="s">
        <v>27</v>
      </c>
      <c r="D1431" t="s">
        <v>122</v>
      </c>
      <c r="E1431" t="s">
        <v>18</v>
      </c>
      <c r="F1431" s="2">
        <v>38</v>
      </c>
      <c r="G1431" t="s">
        <v>106</v>
      </c>
      <c r="H1431" t="s">
        <v>45</v>
      </c>
      <c r="I1431" t="s">
        <v>133</v>
      </c>
      <c r="J1431" t="s">
        <v>47</v>
      </c>
      <c r="K1431">
        <v>4.7</v>
      </c>
      <c r="L1431" t="s">
        <v>23</v>
      </c>
      <c r="M1431" t="s">
        <v>24</v>
      </c>
      <c r="N1431" t="s">
        <v>34</v>
      </c>
      <c r="O1431">
        <v>6</v>
      </c>
      <c r="P1431" t="s">
        <v>53</v>
      </c>
      <c r="Q1431" t="s">
        <v>63</v>
      </c>
      <c r="R1431" s="1">
        <v>0.1</v>
      </c>
      <c r="S1431">
        <f t="shared" si="88"/>
        <v>34.200000000000003</v>
      </c>
      <c r="T1431">
        <f>IFERROR(VLOOKUP(A1431,Table1[[Customer ID]:[Discount Amount]], 6, FALSE),"Not Found")</f>
        <v>38</v>
      </c>
      <c r="U1431" t="str">
        <f t="shared" si="89"/>
        <v>Credit Card</v>
      </c>
      <c r="V1431" s="4" t="str">
        <f t="shared" si="90"/>
        <v>Normal</v>
      </c>
      <c r="W1431" s="4" t="str">
        <f t="shared" si="91"/>
        <v>Good</v>
      </c>
      <c r="X1431" s="4">
        <f>AVERAGE(Table1[Purchase Amount])</f>
        <v>129.48419400000012</v>
      </c>
    </row>
    <row r="1432" spans="1:24" ht="15" customHeight="1" x14ac:dyDescent="0.25">
      <c r="A1432">
        <v>1431</v>
      </c>
      <c r="B1432">
        <v>48</v>
      </c>
      <c r="C1432" t="s">
        <v>27</v>
      </c>
      <c r="D1432" t="s">
        <v>121</v>
      </c>
      <c r="E1432" t="s">
        <v>98</v>
      </c>
      <c r="F1432" s="2">
        <v>30</v>
      </c>
      <c r="G1432" t="s">
        <v>113</v>
      </c>
      <c r="H1432" t="s">
        <v>55</v>
      </c>
      <c r="I1432" t="s">
        <v>108</v>
      </c>
      <c r="J1432" t="s">
        <v>57</v>
      </c>
      <c r="K1432">
        <v>4.9000000000000004</v>
      </c>
      <c r="L1432" t="s">
        <v>23</v>
      </c>
      <c r="M1432" t="s">
        <v>35</v>
      </c>
      <c r="N1432" t="s">
        <v>34</v>
      </c>
      <c r="O1432">
        <v>3</v>
      </c>
      <c r="P1432" t="s">
        <v>53</v>
      </c>
      <c r="Q1432" t="s">
        <v>89</v>
      </c>
      <c r="R1432" s="1">
        <v>0.1</v>
      </c>
      <c r="S1432">
        <f t="shared" si="88"/>
        <v>27</v>
      </c>
      <c r="T1432">
        <f>IFERROR(VLOOKUP(A1432,Table1[[Customer ID]:[Discount Amount]], 6, FALSE),"Not Found")</f>
        <v>30</v>
      </c>
      <c r="U1432" t="str">
        <f t="shared" si="89"/>
        <v>Credit Card</v>
      </c>
      <c r="V1432" s="4" t="str">
        <f t="shared" si="90"/>
        <v>Normal</v>
      </c>
      <c r="W1432" s="4" t="str">
        <f t="shared" si="91"/>
        <v>Good</v>
      </c>
      <c r="X1432" s="4">
        <f>AVERAGE(Table1[Purchase Amount])</f>
        <v>129.48419400000012</v>
      </c>
    </row>
    <row r="1433" spans="1:24" ht="15" customHeight="1" x14ac:dyDescent="0.25">
      <c r="A1433">
        <v>1432</v>
      </c>
      <c r="B1433">
        <v>39</v>
      </c>
      <c r="C1433" t="s">
        <v>27</v>
      </c>
      <c r="D1433" t="s">
        <v>99</v>
      </c>
      <c r="E1433" t="s">
        <v>18</v>
      </c>
      <c r="F1433" s="2">
        <v>88</v>
      </c>
      <c r="G1433" t="s">
        <v>130</v>
      </c>
      <c r="H1433" t="s">
        <v>31</v>
      </c>
      <c r="I1433" t="s">
        <v>128</v>
      </c>
      <c r="J1433" t="s">
        <v>47</v>
      </c>
      <c r="K1433">
        <v>2.9</v>
      </c>
      <c r="L1433" t="s">
        <v>23</v>
      </c>
      <c r="M1433" t="s">
        <v>61</v>
      </c>
      <c r="N1433" t="s">
        <v>34</v>
      </c>
      <c r="O1433">
        <v>29</v>
      </c>
      <c r="P1433" t="s">
        <v>62</v>
      </c>
      <c r="Q1433" t="s">
        <v>37</v>
      </c>
      <c r="R1433" s="1">
        <v>0.1</v>
      </c>
      <c r="S1433">
        <f t="shared" si="88"/>
        <v>79.2</v>
      </c>
      <c r="T1433">
        <f>IFERROR(VLOOKUP(A1433,Table1[[Customer ID]:[Discount Amount]], 6, FALSE),"Not Found")</f>
        <v>88</v>
      </c>
      <c r="U1433" t="str">
        <f t="shared" si="89"/>
        <v>Venmo</v>
      </c>
      <c r="V1433" s="4" t="str">
        <f t="shared" si="90"/>
        <v>Normal</v>
      </c>
      <c r="W1433" s="4" t="str">
        <f t="shared" si="91"/>
        <v>Poor</v>
      </c>
      <c r="X1433" s="4">
        <f>AVERAGE(Table1[Purchase Amount])</f>
        <v>129.48419400000012</v>
      </c>
    </row>
    <row r="1434" spans="1:24" ht="15" customHeight="1" x14ac:dyDescent="0.25">
      <c r="A1434">
        <v>1433</v>
      </c>
      <c r="B1434">
        <v>34</v>
      </c>
      <c r="C1434" t="s">
        <v>27</v>
      </c>
      <c r="D1434" t="s">
        <v>64</v>
      </c>
      <c r="E1434" t="s">
        <v>29</v>
      </c>
      <c r="F1434" s="2">
        <v>33</v>
      </c>
      <c r="G1434" t="s">
        <v>67</v>
      </c>
      <c r="H1434" t="s">
        <v>45</v>
      </c>
      <c r="I1434" t="s">
        <v>40</v>
      </c>
      <c r="J1434" t="s">
        <v>22</v>
      </c>
      <c r="K1434">
        <v>4.4000000000000004</v>
      </c>
      <c r="L1434" t="s">
        <v>23</v>
      </c>
      <c r="M1434" t="s">
        <v>61</v>
      </c>
      <c r="N1434" t="s">
        <v>34</v>
      </c>
      <c r="O1434">
        <v>32</v>
      </c>
      <c r="P1434" t="s">
        <v>36</v>
      </c>
      <c r="Q1434" t="s">
        <v>37</v>
      </c>
      <c r="R1434" s="1">
        <v>0.1</v>
      </c>
      <c r="S1434">
        <f t="shared" si="88"/>
        <v>29.7</v>
      </c>
      <c r="T1434">
        <f>IFERROR(VLOOKUP(A1434,Table1[[Customer ID]:[Discount Amount]], 6, FALSE),"Not Found")</f>
        <v>33</v>
      </c>
      <c r="U1434" t="str">
        <f t="shared" si="89"/>
        <v>Debit Card</v>
      </c>
      <c r="V1434" s="4" t="str">
        <f t="shared" si="90"/>
        <v>Normal</v>
      </c>
      <c r="W1434" s="4" t="str">
        <f t="shared" si="91"/>
        <v>Good</v>
      </c>
      <c r="X1434" s="4">
        <f>AVERAGE(Table1[Purchase Amount])</f>
        <v>129.48419400000012</v>
      </c>
    </row>
    <row r="1435" spans="1:24" ht="15" customHeight="1" x14ac:dyDescent="0.25">
      <c r="A1435">
        <v>1434</v>
      </c>
      <c r="B1435">
        <v>70</v>
      </c>
      <c r="C1435" t="s">
        <v>27</v>
      </c>
      <c r="D1435" t="s">
        <v>83</v>
      </c>
      <c r="E1435" t="s">
        <v>18</v>
      </c>
      <c r="F1435" s="2">
        <v>60</v>
      </c>
      <c r="G1435" t="s">
        <v>120</v>
      </c>
      <c r="H1435" t="s">
        <v>45</v>
      </c>
      <c r="I1435" t="s">
        <v>52</v>
      </c>
      <c r="J1435" t="s">
        <v>22</v>
      </c>
      <c r="K1435">
        <v>3.2</v>
      </c>
      <c r="L1435" t="s">
        <v>23</v>
      </c>
      <c r="M1435" t="s">
        <v>79</v>
      </c>
      <c r="N1435" t="s">
        <v>34</v>
      </c>
      <c r="O1435">
        <v>45</v>
      </c>
      <c r="P1435" t="s">
        <v>36</v>
      </c>
      <c r="Q1435" t="s">
        <v>26</v>
      </c>
      <c r="R1435" s="1">
        <v>0.1</v>
      </c>
      <c r="S1435">
        <f t="shared" si="88"/>
        <v>54</v>
      </c>
      <c r="T1435">
        <f>IFERROR(VLOOKUP(A1435,Table1[[Customer ID]:[Discount Amount]], 6, FALSE),"Not Found")</f>
        <v>60</v>
      </c>
      <c r="U1435" t="str">
        <f t="shared" si="89"/>
        <v>Debit Card</v>
      </c>
      <c r="V1435" s="4" t="str">
        <f t="shared" si="90"/>
        <v>Normal</v>
      </c>
      <c r="W1435" s="4" t="str">
        <f t="shared" si="91"/>
        <v>Good</v>
      </c>
      <c r="X1435" s="4">
        <f>AVERAGE(Table1[Purchase Amount])</f>
        <v>129.48419400000012</v>
      </c>
    </row>
    <row r="1436" spans="1:24" ht="15" customHeight="1" x14ac:dyDescent="0.25">
      <c r="A1436">
        <v>1435</v>
      </c>
      <c r="B1436">
        <v>59</v>
      </c>
      <c r="C1436" t="s">
        <v>27</v>
      </c>
      <c r="D1436" t="s">
        <v>127</v>
      </c>
      <c r="E1436" t="s">
        <v>18</v>
      </c>
      <c r="F1436" s="2">
        <v>64</v>
      </c>
      <c r="G1436" t="s">
        <v>101</v>
      </c>
      <c r="H1436" t="s">
        <v>45</v>
      </c>
      <c r="I1436" t="s">
        <v>125</v>
      </c>
      <c r="J1436" t="s">
        <v>57</v>
      </c>
      <c r="K1436">
        <v>4.5999999999999996</v>
      </c>
      <c r="L1436" t="s">
        <v>23</v>
      </c>
      <c r="M1436" t="s">
        <v>35</v>
      </c>
      <c r="N1436" t="s">
        <v>34</v>
      </c>
      <c r="O1436">
        <v>21</v>
      </c>
      <c r="P1436" t="s">
        <v>36</v>
      </c>
      <c r="Q1436" t="s">
        <v>68</v>
      </c>
      <c r="R1436" s="1">
        <v>0.1</v>
      </c>
      <c r="S1436">
        <f t="shared" si="88"/>
        <v>57.6</v>
      </c>
      <c r="T1436">
        <f>IFERROR(VLOOKUP(A1436,Table1[[Customer ID]:[Discount Amount]], 6, FALSE),"Not Found")</f>
        <v>64</v>
      </c>
      <c r="U1436" t="str">
        <f t="shared" si="89"/>
        <v>Debit Card</v>
      </c>
      <c r="V1436" s="4" t="str">
        <f t="shared" si="90"/>
        <v>Normal</v>
      </c>
      <c r="W1436" s="4" t="str">
        <f t="shared" si="91"/>
        <v>Good</v>
      </c>
      <c r="X1436" s="4">
        <f>AVERAGE(Table1[Purchase Amount])</f>
        <v>129.48419400000012</v>
      </c>
    </row>
    <row r="1437" spans="1:24" ht="15" customHeight="1" x14ac:dyDescent="0.25">
      <c r="A1437">
        <v>1436</v>
      </c>
      <c r="B1437">
        <v>45</v>
      </c>
      <c r="C1437" t="s">
        <v>27</v>
      </c>
      <c r="D1437" t="s">
        <v>129</v>
      </c>
      <c r="E1437" t="s">
        <v>29</v>
      </c>
      <c r="F1437" s="2">
        <v>95</v>
      </c>
      <c r="G1437" t="s">
        <v>123</v>
      </c>
      <c r="H1437" t="s">
        <v>20</v>
      </c>
      <c r="I1437" t="s">
        <v>40</v>
      </c>
      <c r="J1437" t="s">
        <v>47</v>
      </c>
      <c r="K1437">
        <v>4</v>
      </c>
      <c r="L1437" t="s">
        <v>23</v>
      </c>
      <c r="M1437" t="s">
        <v>24</v>
      </c>
      <c r="N1437" t="s">
        <v>34</v>
      </c>
      <c r="O1437">
        <v>41</v>
      </c>
      <c r="P1437" t="s">
        <v>25</v>
      </c>
      <c r="Q1437" t="s">
        <v>26</v>
      </c>
      <c r="R1437" s="1">
        <v>0.1</v>
      </c>
      <c r="S1437">
        <f t="shared" si="88"/>
        <v>85.5</v>
      </c>
      <c r="T1437">
        <f>IFERROR(VLOOKUP(A1437,Table1[[Customer ID]:[Discount Amount]], 6, FALSE),"Not Found")</f>
        <v>95</v>
      </c>
      <c r="U1437" t="str">
        <f t="shared" si="89"/>
        <v>Cash</v>
      </c>
      <c r="V1437" s="4" t="str">
        <f t="shared" si="90"/>
        <v>Normal</v>
      </c>
      <c r="W1437" s="4" t="str">
        <f t="shared" si="91"/>
        <v>Good</v>
      </c>
      <c r="X1437" s="4">
        <f>AVERAGE(Table1[Purchase Amount])</f>
        <v>129.48419400000012</v>
      </c>
    </row>
    <row r="1438" spans="1:24" ht="15" customHeight="1" x14ac:dyDescent="0.25">
      <c r="A1438">
        <v>1437</v>
      </c>
      <c r="B1438">
        <v>35</v>
      </c>
      <c r="C1438" t="s">
        <v>27</v>
      </c>
      <c r="D1438" t="s">
        <v>140</v>
      </c>
      <c r="E1438" t="s">
        <v>98</v>
      </c>
      <c r="F1438" s="2">
        <v>83</v>
      </c>
      <c r="G1438" t="s">
        <v>120</v>
      </c>
      <c r="H1438" t="s">
        <v>31</v>
      </c>
      <c r="I1438" t="s">
        <v>85</v>
      </c>
      <c r="J1438" t="s">
        <v>22</v>
      </c>
      <c r="K1438">
        <v>3.7</v>
      </c>
      <c r="L1438" t="s">
        <v>23</v>
      </c>
      <c r="M1438" t="s">
        <v>35</v>
      </c>
      <c r="N1438" t="s">
        <v>34</v>
      </c>
      <c r="O1438">
        <v>23</v>
      </c>
      <c r="P1438" t="s">
        <v>58</v>
      </c>
      <c r="Q1438" t="s">
        <v>89</v>
      </c>
      <c r="R1438" s="1">
        <v>0.1</v>
      </c>
      <c r="S1438">
        <f t="shared" si="88"/>
        <v>74.7</v>
      </c>
      <c r="T1438">
        <f>IFERROR(VLOOKUP(A1438,Table1[[Customer ID]:[Discount Amount]], 6, FALSE),"Not Found")</f>
        <v>83</v>
      </c>
      <c r="U1438" t="str">
        <f t="shared" si="89"/>
        <v>PayPal</v>
      </c>
      <c r="V1438" s="4" t="str">
        <f t="shared" si="90"/>
        <v>Normal</v>
      </c>
      <c r="W1438" s="4" t="str">
        <f t="shared" si="91"/>
        <v>Good</v>
      </c>
      <c r="X1438" s="4">
        <f>AVERAGE(Table1[Purchase Amount])</f>
        <v>129.48419400000012</v>
      </c>
    </row>
    <row r="1439" spans="1:24" ht="15" customHeight="1" x14ac:dyDescent="0.25">
      <c r="A1439">
        <v>1438</v>
      </c>
      <c r="B1439">
        <v>69</v>
      </c>
      <c r="C1439" t="s">
        <v>27</v>
      </c>
      <c r="D1439" t="s">
        <v>151</v>
      </c>
      <c r="E1439" t="s">
        <v>98</v>
      </c>
      <c r="F1439" s="2">
        <v>97</v>
      </c>
      <c r="G1439" t="s">
        <v>39</v>
      </c>
      <c r="H1439" t="s">
        <v>20</v>
      </c>
      <c r="I1439" t="s">
        <v>108</v>
      </c>
      <c r="J1439" t="s">
        <v>22</v>
      </c>
      <c r="K1439">
        <v>4.2</v>
      </c>
      <c r="L1439" t="s">
        <v>23</v>
      </c>
      <c r="M1439" t="s">
        <v>35</v>
      </c>
      <c r="N1439" t="s">
        <v>34</v>
      </c>
      <c r="O1439">
        <v>14</v>
      </c>
      <c r="P1439" t="s">
        <v>25</v>
      </c>
      <c r="Q1439" t="s">
        <v>49</v>
      </c>
      <c r="R1439" s="1">
        <v>0.1</v>
      </c>
      <c r="S1439">
        <f t="shared" si="88"/>
        <v>87.3</v>
      </c>
      <c r="T1439">
        <f>IFERROR(VLOOKUP(A1439,Table1[[Customer ID]:[Discount Amount]], 6, FALSE),"Not Found")</f>
        <v>97</v>
      </c>
      <c r="U1439" t="str">
        <f t="shared" si="89"/>
        <v>Cash</v>
      </c>
      <c r="V1439" s="4" t="str">
        <f t="shared" si="90"/>
        <v>Normal</v>
      </c>
      <c r="W1439" s="4" t="str">
        <f t="shared" si="91"/>
        <v>Good</v>
      </c>
      <c r="X1439" s="4">
        <f>AVERAGE(Table1[Purchase Amount])</f>
        <v>129.48419400000012</v>
      </c>
    </row>
    <row r="1440" spans="1:24" ht="15" customHeight="1" x14ac:dyDescent="0.25">
      <c r="A1440">
        <v>1439</v>
      </c>
      <c r="B1440">
        <v>58</v>
      </c>
      <c r="C1440" t="s">
        <v>27</v>
      </c>
      <c r="D1440" t="s">
        <v>76</v>
      </c>
      <c r="E1440" t="s">
        <v>77</v>
      </c>
      <c r="F1440" s="2">
        <v>38</v>
      </c>
      <c r="G1440" t="s">
        <v>155</v>
      </c>
      <c r="H1440" t="s">
        <v>31</v>
      </c>
      <c r="I1440" t="s">
        <v>128</v>
      </c>
      <c r="J1440" t="s">
        <v>33</v>
      </c>
      <c r="K1440">
        <v>2.9</v>
      </c>
      <c r="L1440" t="s">
        <v>23</v>
      </c>
      <c r="M1440" t="s">
        <v>24</v>
      </c>
      <c r="N1440" t="s">
        <v>34</v>
      </c>
      <c r="O1440">
        <v>24</v>
      </c>
      <c r="P1440" t="s">
        <v>36</v>
      </c>
      <c r="Q1440" t="s">
        <v>42</v>
      </c>
      <c r="R1440" s="1">
        <v>0.1</v>
      </c>
      <c r="S1440">
        <f t="shared" si="88"/>
        <v>34.200000000000003</v>
      </c>
      <c r="T1440">
        <f>IFERROR(VLOOKUP(A1440,Table1[[Customer ID]:[Discount Amount]], 6, FALSE),"Not Found")</f>
        <v>38</v>
      </c>
      <c r="U1440" t="str">
        <f t="shared" si="89"/>
        <v>Debit Card</v>
      </c>
      <c r="V1440" s="4" t="str">
        <f t="shared" si="90"/>
        <v>Normal</v>
      </c>
      <c r="W1440" s="4" t="str">
        <f t="shared" si="91"/>
        <v>Poor</v>
      </c>
      <c r="X1440" s="4">
        <f>AVERAGE(Table1[Purchase Amount])</f>
        <v>129.48419400000012</v>
      </c>
    </row>
    <row r="1441" spans="1:24" ht="15" customHeight="1" x14ac:dyDescent="0.25">
      <c r="A1441">
        <v>1440</v>
      </c>
      <c r="B1441">
        <v>25</v>
      </c>
      <c r="C1441" t="s">
        <v>27</v>
      </c>
      <c r="D1441" t="s">
        <v>151</v>
      </c>
      <c r="E1441" t="s">
        <v>98</v>
      </c>
      <c r="F1441" s="2">
        <v>48</v>
      </c>
      <c r="G1441" t="s">
        <v>110</v>
      </c>
      <c r="H1441" t="s">
        <v>31</v>
      </c>
      <c r="I1441" t="s">
        <v>87</v>
      </c>
      <c r="J1441" t="s">
        <v>57</v>
      </c>
      <c r="K1441">
        <v>4.8</v>
      </c>
      <c r="L1441" t="s">
        <v>23</v>
      </c>
      <c r="M1441" t="s">
        <v>79</v>
      </c>
      <c r="N1441" t="s">
        <v>34</v>
      </c>
      <c r="O1441">
        <v>25</v>
      </c>
      <c r="P1441" t="s">
        <v>25</v>
      </c>
      <c r="Q1441" t="s">
        <v>89</v>
      </c>
      <c r="R1441" s="1">
        <v>0.1</v>
      </c>
      <c r="S1441">
        <f t="shared" si="88"/>
        <v>43.2</v>
      </c>
      <c r="T1441">
        <f>IFERROR(VLOOKUP(A1441,Table1[[Customer ID]:[Discount Amount]], 6, FALSE),"Not Found")</f>
        <v>48</v>
      </c>
      <c r="U1441" t="str">
        <f t="shared" si="89"/>
        <v>Cash</v>
      </c>
      <c r="V1441" s="4" t="str">
        <f t="shared" si="90"/>
        <v>Normal</v>
      </c>
      <c r="W1441" s="4" t="str">
        <f t="shared" si="91"/>
        <v>Good</v>
      </c>
      <c r="X1441" s="4">
        <f>AVERAGE(Table1[Purchase Amount])</f>
        <v>129.48419400000012</v>
      </c>
    </row>
    <row r="1442" spans="1:24" ht="15" customHeight="1" x14ac:dyDescent="0.25">
      <c r="A1442">
        <v>1441</v>
      </c>
      <c r="B1442">
        <v>27</v>
      </c>
      <c r="C1442" t="s">
        <v>27</v>
      </c>
      <c r="D1442" t="s">
        <v>121</v>
      </c>
      <c r="E1442" t="s">
        <v>98</v>
      </c>
      <c r="F1442" s="2">
        <v>76</v>
      </c>
      <c r="G1442" t="s">
        <v>150</v>
      </c>
      <c r="H1442" t="s">
        <v>31</v>
      </c>
      <c r="I1442" t="s">
        <v>136</v>
      </c>
      <c r="J1442" t="s">
        <v>33</v>
      </c>
      <c r="K1442">
        <v>4.4000000000000004</v>
      </c>
      <c r="L1442" t="s">
        <v>23</v>
      </c>
      <c r="M1442" t="s">
        <v>24</v>
      </c>
      <c r="N1442" t="s">
        <v>34</v>
      </c>
      <c r="O1442">
        <v>13</v>
      </c>
      <c r="P1442" t="s">
        <v>62</v>
      </c>
      <c r="Q1442" t="s">
        <v>42</v>
      </c>
      <c r="R1442" s="1">
        <v>0.1</v>
      </c>
      <c r="S1442">
        <f t="shared" si="88"/>
        <v>68.400000000000006</v>
      </c>
      <c r="T1442">
        <f>IFERROR(VLOOKUP(A1442,Table1[[Customer ID]:[Discount Amount]], 6, FALSE),"Not Found")</f>
        <v>76</v>
      </c>
      <c r="U1442" t="str">
        <f t="shared" si="89"/>
        <v>Venmo</v>
      </c>
      <c r="V1442" s="4" t="str">
        <f t="shared" si="90"/>
        <v>Normal</v>
      </c>
      <c r="W1442" s="4" t="str">
        <f t="shared" si="91"/>
        <v>Good</v>
      </c>
      <c r="X1442" s="4">
        <f>AVERAGE(Table1[Purchase Amount])</f>
        <v>129.48419400000012</v>
      </c>
    </row>
    <row r="1443" spans="1:24" ht="15" customHeight="1" x14ac:dyDescent="0.25">
      <c r="A1443">
        <v>1442</v>
      </c>
      <c r="B1443">
        <v>34</v>
      </c>
      <c r="C1443" t="s">
        <v>27</v>
      </c>
      <c r="D1443" t="s">
        <v>99</v>
      </c>
      <c r="E1443" t="s">
        <v>18</v>
      </c>
      <c r="F1443" s="2">
        <v>25</v>
      </c>
      <c r="G1443" t="s">
        <v>137</v>
      </c>
      <c r="H1443" t="s">
        <v>55</v>
      </c>
      <c r="I1443" t="s">
        <v>156</v>
      </c>
      <c r="J1443" t="s">
        <v>57</v>
      </c>
      <c r="K1443">
        <v>3.4</v>
      </c>
      <c r="L1443" t="s">
        <v>23</v>
      </c>
      <c r="M1443" t="s">
        <v>35</v>
      </c>
      <c r="N1443" t="s">
        <v>34</v>
      </c>
      <c r="O1443">
        <v>3</v>
      </c>
      <c r="P1443" t="s">
        <v>62</v>
      </c>
      <c r="Q1443" t="s">
        <v>63</v>
      </c>
      <c r="R1443" s="1">
        <v>0.1</v>
      </c>
      <c r="S1443">
        <f t="shared" si="88"/>
        <v>22.5</v>
      </c>
      <c r="T1443">
        <f>IFERROR(VLOOKUP(A1443,Table1[[Customer ID]:[Discount Amount]], 6, FALSE),"Not Found")</f>
        <v>25</v>
      </c>
      <c r="U1443" t="str">
        <f t="shared" si="89"/>
        <v>Venmo</v>
      </c>
      <c r="V1443" s="4" t="str">
        <f t="shared" si="90"/>
        <v>Normal</v>
      </c>
      <c r="W1443" s="4" t="str">
        <f t="shared" si="91"/>
        <v>Good</v>
      </c>
      <c r="X1443" s="4">
        <f>AVERAGE(Table1[Purchase Amount])</f>
        <v>129.48419400000012</v>
      </c>
    </row>
    <row r="1444" spans="1:24" ht="15" customHeight="1" x14ac:dyDescent="0.25">
      <c r="A1444">
        <v>1443</v>
      </c>
      <c r="B1444">
        <v>53</v>
      </c>
      <c r="C1444" t="s">
        <v>27</v>
      </c>
      <c r="D1444" t="s">
        <v>83</v>
      </c>
      <c r="E1444" t="s">
        <v>18</v>
      </c>
      <c r="F1444" s="2">
        <v>92</v>
      </c>
      <c r="G1444" t="s">
        <v>161</v>
      </c>
      <c r="H1444" t="s">
        <v>55</v>
      </c>
      <c r="I1444" t="s">
        <v>111</v>
      </c>
      <c r="J1444" t="s">
        <v>33</v>
      </c>
      <c r="K1444">
        <v>2.8</v>
      </c>
      <c r="L1444" t="s">
        <v>23</v>
      </c>
      <c r="M1444" t="s">
        <v>41</v>
      </c>
      <c r="N1444" t="s">
        <v>34</v>
      </c>
      <c r="O1444">
        <v>42</v>
      </c>
      <c r="P1444" t="s">
        <v>53</v>
      </c>
      <c r="Q1444" t="s">
        <v>49</v>
      </c>
      <c r="R1444" s="1">
        <v>0.1</v>
      </c>
      <c r="S1444">
        <f t="shared" si="88"/>
        <v>82.8</v>
      </c>
      <c r="T1444">
        <f>IFERROR(VLOOKUP(A1444,Table1[[Customer ID]:[Discount Amount]], 6, FALSE),"Not Found")</f>
        <v>92</v>
      </c>
      <c r="U1444" t="str">
        <f t="shared" si="89"/>
        <v>Credit Card</v>
      </c>
      <c r="V1444" s="4" t="str">
        <f t="shared" si="90"/>
        <v>Normal</v>
      </c>
      <c r="W1444" s="4" t="str">
        <f t="shared" si="91"/>
        <v>Poor</v>
      </c>
      <c r="X1444" s="4">
        <f>AVERAGE(Table1[Purchase Amount])</f>
        <v>129.48419400000012</v>
      </c>
    </row>
    <row r="1445" spans="1:24" ht="15" customHeight="1" x14ac:dyDescent="0.25">
      <c r="A1445">
        <v>1444</v>
      </c>
      <c r="B1445">
        <v>58</v>
      </c>
      <c r="C1445" t="s">
        <v>27</v>
      </c>
      <c r="D1445" t="s">
        <v>121</v>
      </c>
      <c r="E1445" t="s">
        <v>98</v>
      </c>
      <c r="F1445" s="2">
        <v>47</v>
      </c>
      <c r="G1445" t="s">
        <v>161</v>
      </c>
      <c r="H1445" t="s">
        <v>45</v>
      </c>
      <c r="I1445" t="s">
        <v>147</v>
      </c>
      <c r="J1445" t="s">
        <v>47</v>
      </c>
      <c r="K1445">
        <v>4.2</v>
      </c>
      <c r="L1445" t="s">
        <v>23</v>
      </c>
      <c r="M1445" t="s">
        <v>79</v>
      </c>
      <c r="N1445" t="s">
        <v>34</v>
      </c>
      <c r="O1445">
        <v>2</v>
      </c>
      <c r="P1445" t="s">
        <v>25</v>
      </c>
      <c r="Q1445" t="s">
        <v>42</v>
      </c>
      <c r="R1445" s="1">
        <v>0.1</v>
      </c>
      <c r="S1445">
        <f t="shared" si="88"/>
        <v>42.3</v>
      </c>
      <c r="T1445">
        <f>IFERROR(VLOOKUP(A1445,Table1[[Customer ID]:[Discount Amount]], 6, FALSE),"Not Found")</f>
        <v>47</v>
      </c>
      <c r="U1445" t="str">
        <f t="shared" si="89"/>
        <v>Cash</v>
      </c>
      <c r="V1445" s="4" t="str">
        <f t="shared" si="90"/>
        <v>Normal</v>
      </c>
      <c r="W1445" s="4" t="str">
        <f t="shared" si="91"/>
        <v>Good</v>
      </c>
      <c r="X1445" s="4">
        <f>AVERAGE(Table1[Purchase Amount])</f>
        <v>129.48419400000012</v>
      </c>
    </row>
    <row r="1446" spans="1:24" ht="15" customHeight="1" x14ac:dyDescent="0.25">
      <c r="A1446">
        <v>1445</v>
      </c>
      <c r="B1446">
        <v>32</v>
      </c>
      <c r="C1446" t="s">
        <v>27</v>
      </c>
      <c r="D1446" t="s">
        <v>127</v>
      </c>
      <c r="E1446" t="s">
        <v>18</v>
      </c>
      <c r="F1446" s="2">
        <v>36</v>
      </c>
      <c r="G1446" t="s">
        <v>84</v>
      </c>
      <c r="H1446" t="s">
        <v>45</v>
      </c>
      <c r="I1446" t="s">
        <v>136</v>
      </c>
      <c r="J1446" t="s">
        <v>47</v>
      </c>
      <c r="K1446">
        <v>3.8</v>
      </c>
      <c r="L1446" t="s">
        <v>23</v>
      </c>
      <c r="M1446" t="s">
        <v>61</v>
      </c>
      <c r="N1446" t="s">
        <v>34</v>
      </c>
      <c r="O1446">
        <v>26</v>
      </c>
      <c r="P1446" t="s">
        <v>25</v>
      </c>
      <c r="Q1446" t="s">
        <v>37</v>
      </c>
      <c r="R1446" s="1">
        <v>0.1</v>
      </c>
      <c r="S1446">
        <f t="shared" si="88"/>
        <v>32.4</v>
      </c>
      <c r="T1446">
        <f>IFERROR(VLOOKUP(A1446,Table1[[Customer ID]:[Discount Amount]], 6, FALSE),"Not Found")</f>
        <v>36</v>
      </c>
      <c r="U1446" t="str">
        <f t="shared" si="89"/>
        <v>Cash</v>
      </c>
      <c r="V1446" s="4" t="str">
        <f t="shared" si="90"/>
        <v>Normal</v>
      </c>
      <c r="W1446" s="4" t="str">
        <f t="shared" si="91"/>
        <v>Good</v>
      </c>
      <c r="X1446" s="4">
        <f>AVERAGE(Table1[Purchase Amount])</f>
        <v>129.48419400000012</v>
      </c>
    </row>
    <row r="1447" spans="1:24" ht="15" customHeight="1" x14ac:dyDescent="0.25">
      <c r="A1447">
        <v>1446</v>
      </c>
      <c r="B1447">
        <v>64</v>
      </c>
      <c r="C1447" t="s">
        <v>27</v>
      </c>
      <c r="D1447" t="s">
        <v>114</v>
      </c>
      <c r="E1447" t="s">
        <v>29</v>
      </c>
      <c r="F1447" s="2">
        <v>51</v>
      </c>
      <c r="G1447" t="s">
        <v>100</v>
      </c>
      <c r="H1447" t="s">
        <v>31</v>
      </c>
      <c r="I1447" t="s">
        <v>133</v>
      </c>
      <c r="J1447" t="s">
        <v>47</v>
      </c>
      <c r="K1447">
        <v>3.1</v>
      </c>
      <c r="L1447" t="s">
        <v>23</v>
      </c>
      <c r="M1447" t="s">
        <v>41</v>
      </c>
      <c r="N1447" t="s">
        <v>34</v>
      </c>
      <c r="O1447">
        <v>24</v>
      </c>
      <c r="P1447" t="s">
        <v>53</v>
      </c>
      <c r="Q1447" t="s">
        <v>49</v>
      </c>
      <c r="R1447" s="1">
        <v>0.1</v>
      </c>
      <c r="S1447">
        <f t="shared" si="88"/>
        <v>45.9</v>
      </c>
      <c r="T1447">
        <f>IFERROR(VLOOKUP(A1447,Table1[[Customer ID]:[Discount Amount]], 6, FALSE),"Not Found")</f>
        <v>51</v>
      </c>
      <c r="U1447" t="str">
        <f t="shared" si="89"/>
        <v>Credit Card</v>
      </c>
      <c r="V1447" s="4" t="str">
        <f t="shared" si="90"/>
        <v>Normal</v>
      </c>
      <c r="W1447" s="4" t="str">
        <f t="shared" si="91"/>
        <v>Good</v>
      </c>
      <c r="X1447" s="4">
        <f>AVERAGE(Table1[Purchase Amount])</f>
        <v>129.48419400000012</v>
      </c>
    </row>
    <row r="1448" spans="1:24" ht="15" customHeight="1" x14ac:dyDescent="0.25">
      <c r="A1448">
        <v>1447</v>
      </c>
      <c r="B1448">
        <v>63</v>
      </c>
      <c r="C1448" t="s">
        <v>27</v>
      </c>
      <c r="D1448" t="s">
        <v>109</v>
      </c>
      <c r="E1448" t="s">
        <v>18</v>
      </c>
      <c r="F1448" s="2">
        <v>35</v>
      </c>
      <c r="G1448" t="s">
        <v>162</v>
      </c>
      <c r="H1448" t="s">
        <v>20</v>
      </c>
      <c r="I1448" t="s">
        <v>46</v>
      </c>
      <c r="J1448" t="s">
        <v>57</v>
      </c>
      <c r="K1448">
        <v>3.2</v>
      </c>
      <c r="L1448" t="s">
        <v>23</v>
      </c>
      <c r="M1448" t="s">
        <v>61</v>
      </c>
      <c r="N1448" t="s">
        <v>34</v>
      </c>
      <c r="O1448">
        <v>6</v>
      </c>
      <c r="P1448" t="s">
        <v>53</v>
      </c>
      <c r="Q1448" t="s">
        <v>37</v>
      </c>
      <c r="R1448" s="1">
        <v>0.1</v>
      </c>
      <c r="S1448">
        <f t="shared" si="88"/>
        <v>31.5</v>
      </c>
      <c r="T1448">
        <f>IFERROR(VLOOKUP(A1448,Table1[[Customer ID]:[Discount Amount]], 6, FALSE),"Not Found")</f>
        <v>35</v>
      </c>
      <c r="U1448" t="str">
        <f t="shared" si="89"/>
        <v>Credit Card</v>
      </c>
      <c r="V1448" s="4" t="str">
        <f t="shared" si="90"/>
        <v>Normal</v>
      </c>
      <c r="W1448" s="4" t="str">
        <f t="shared" si="91"/>
        <v>Good</v>
      </c>
      <c r="X1448" s="4">
        <f>AVERAGE(Table1[Purchase Amount])</f>
        <v>129.48419400000012</v>
      </c>
    </row>
    <row r="1449" spans="1:24" ht="15" customHeight="1" x14ac:dyDescent="0.25">
      <c r="A1449">
        <v>1448</v>
      </c>
      <c r="B1449">
        <v>23</v>
      </c>
      <c r="C1449" t="s">
        <v>27</v>
      </c>
      <c r="D1449" t="s">
        <v>83</v>
      </c>
      <c r="E1449" t="s">
        <v>18</v>
      </c>
      <c r="F1449" s="2">
        <v>57</v>
      </c>
      <c r="G1449" t="s">
        <v>110</v>
      </c>
      <c r="H1449" t="s">
        <v>55</v>
      </c>
      <c r="I1449" t="s">
        <v>56</v>
      </c>
      <c r="J1449" t="s">
        <v>57</v>
      </c>
      <c r="K1449">
        <v>3</v>
      </c>
      <c r="L1449" t="s">
        <v>23</v>
      </c>
      <c r="M1449" t="s">
        <v>79</v>
      </c>
      <c r="N1449" t="s">
        <v>34</v>
      </c>
      <c r="O1449">
        <v>25</v>
      </c>
      <c r="P1449" t="s">
        <v>58</v>
      </c>
      <c r="Q1449" t="s">
        <v>42</v>
      </c>
      <c r="R1449" s="1">
        <v>0.1</v>
      </c>
      <c r="S1449">
        <f t="shared" si="88"/>
        <v>51.3</v>
      </c>
      <c r="T1449">
        <f>IFERROR(VLOOKUP(A1449,Table1[[Customer ID]:[Discount Amount]], 6, FALSE),"Not Found")</f>
        <v>57</v>
      </c>
      <c r="U1449" t="str">
        <f t="shared" si="89"/>
        <v>PayPal</v>
      </c>
      <c r="V1449" s="4" t="str">
        <f t="shared" si="90"/>
        <v>Normal</v>
      </c>
      <c r="W1449" s="4" t="str">
        <f t="shared" si="91"/>
        <v>Good</v>
      </c>
      <c r="X1449" s="4">
        <f>AVERAGE(Table1[Purchase Amount])</f>
        <v>129.48419400000012</v>
      </c>
    </row>
    <row r="1450" spans="1:24" ht="15" customHeight="1" x14ac:dyDescent="0.25">
      <c r="A1450">
        <v>1449</v>
      </c>
      <c r="B1450">
        <v>64</v>
      </c>
      <c r="C1450" t="s">
        <v>27</v>
      </c>
      <c r="D1450" t="s">
        <v>151</v>
      </c>
      <c r="E1450" t="s">
        <v>98</v>
      </c>
      <c r="F1450" s="2">
        <v>95</v>
      </c>
      <c r="G1450" t="s">
        <v>154</v>
      </c>
      <c r="H1450" t="s">
        <v>31</v>
      </c>
      <c r="I1450" t="s">
        <v>40</v>
      </c>
      <c r="J1450" t="s">
        <v>57</v>
      </c>
      <c r="K1450">
        <v>3.6</v>
      </c>
      <c r="L1450" t="s">
        <v>23</v>
      </c>
      <c r="M1450" t="s">
        <v>35</v>
      </c>
      <c r="N1450" t="s">
        <v>34</v>
      </c>
      <c r="O1450">
        <v>11</v>
      </c>
      <c r="P1450" t="s">
        <v>53</v>
      </c>
      <c r="Q1450" t="s">
        <v>63</v>
      </c>
      <c r="R1450" s="1">
        <v>0.1</v>
      </c>
      <c r="S1450">
        <f t="shared" si="88"/>
        <v>85.5</v>
      </c>
      <c r="T1450">
        <f>IFERROR(VLOOKUP(A1450,Table1[[Customer ID]:[Discount Amount]], 6, FALSE),"Not Found")</f>
        <v>95</v>
      </c>
      <c r="U1450" t="str">
        <f t="shared" si="89"/>
        <v>Credit Card</v>
      </c>
      <c r="V1450" s="4" t="str">
        <f t="shared" si="90"/>
        <v>Normal</v>
      </c>
      <c r="W1450" s="4" t="str">
        <f t="shared" si="91"/>
        <v>Good</v>
      </c>
      <c r="X1450" s="4">
        <f>AVERAGE(Table1[Purchase Amount])</f>
        <v>129.48419400000012</v>
      </c>
    </row>
    <row r="1451" spans="1:24" ht="15" customHeight="1" x14ac:dyDescent="0.25">
      <c r="A1451">
        <v>1450</v>
      </c>
      <c r="B1451">
        <v>18</v>
      </c>
      <c r="C1451" t="s">
        <v>27</v>
      </c>
      <c r="D1451" t="s">
        <v>105</v>
      </c>
      <c r="E1451" t="s">
        <v>18</v>
      </c>
      <c r="F1451" s="2">
        <v>41</v>
      </c>
      <c r="G1451" t="s">
        <v>101</v>
      </c>
      <c r="H1451" t="s">
        <v>45</v>
      </c>
      <c r="I1451" t="s">
        <v>107</v>
      </c>
      <c r="J1451" t="s">
        <v>22</v>
      </c>
      <c r="K1451">
        <v>2.5</v>
      </c>
      <c r="L1451" t="s">
        <v>23</v>
      </c>
      <c r="M1451" t="s">
        <v>48</v>
      </c>
      <c r="N1451" t="s">
        <v>34</v>
      </c>
      <c r="O1451">
        <v>20</v>
      </c>
      <c r="P1451" t="s">
        <v>25</v>
      </c>
      <c r="Q1451" t="s">
        <v>63</v>
      </c>
      <c r="R1451" s="1">
        <v>0.1</v>
      </c>
      <c r="S1451">
        <f t="shared" si="88"/>
        <v>36.9</v>
      </c>
      <c r="T1451">
        <f>IFERROR(VLOOKUP(A1451,Table1[[Customer ID]:[Discount Amount]], 6, FALSE),"Not Found")</f>
        <v>41</v>
      </c>
      <c r="U1451" t="str">
        <f t="shared" si="89"/>
        <v>Cash</v>
      </c>
      <c r="V1451" s="4" t="str">
        <f t="shared" si="90"/>
        <v>Normal</v>
      </c>
      <c r="W1451" s="4" t="str">
        <f t="shared" si="91"/>
        <v>Poor</v>
      </c>
      <c r="X1451" s="4">
        <f>AVERAGE(Table1[Purchase Amount])</f>
        <v>129.48419400000012</v>
      </c>
    </row>
    <row r="1452" spans="1:24" ht="15" customHeight="1" x14ac:dyDescent="0.25">
      <c r="A1452">
        <v>1451</v>
      </c>
      <c r="B1452">
        <v>25</v>
      </c>
      <c r="C1452" t="s">
        <v>27</v>
      </c>
      <c r="D1452" t="s">
        <v>157</v>
      </c>
      <c r="E1452" t="s">
        <v>18</v>
      </c>
      <c r="F1452" s="2">
        <v>44</v>
      </c>
      <c r="G1452" t="s">
        <v>44</v>
      </c>
      <c r="H1452" t="s">
        <v>55</v>
      </c>
      <c r="I1452" t="s">
        <v>147</v>
      </c>
      <c r="J1452" t="s">
        <v>22</v>
      </c>
      <c r="K1452">
        <v>3.4</v>
      </c>
      <c r="L1452" t="s">
        <v>23</v>
      </c>
      <c r="M1452" t="s">
        <v>35</v>
      </c>
      <c r="N1452" t="s">
        <v>34</v>
      </c>
      <c r="O1452">
        <v>25</v>
      </c>
      <c r="P1452" t="s">
        <v>25</v>
      </c>
      <c r="Q1452" t="s">
        <v>37</v>
      </c>
      <c r="R1452" s="1">
        <v>0.1</v>
      </c>
      <c r="S1452">
        <f t="shared" si="88"/>
        <v>39.6</v>
      </c>
      <c r="T1452">
        <f>IFERROR(VLOOKUP(A1452,Table1[[Customer ID]:[Discount Amount]], 6, FALSE),"Not Found")</f>
        <v>44</v>
      </c>
      <c r="U1452" t="str">
        <f t="shared" si="89"/>
        <v>Cash</v>
      </c>
      <c r="V1452" s="4" t="str">
        <f t="shared" si="90"/>
        <v>Normal</v>
      </c>
      <c r="W1452" s="4" t="str">
        <f t="shared" si="91"/>
        <v>Good</v>
      </c>
      <c r="X1452" s="4">
        <f>AVERAGE(Table1[Purchase Amount])</f>
        <v>129.48419400000012</v>
      </c>
    </row>
    <row r="1453" spans="1:24" ht="15" customHeight="1" x14ac:dyDescent="0.25">
      <c r="A1453">
        <v>1452</v>
      </c>
      <c r="B1453">
        <v>54</v>
      </c>
      <c r="C1453" t="s">
        <v>27</v>
      </c>
      <c r="D1453" t="s">
        <v>96</v>
      </c>
      <c r="E1453" t="s">
        <v>77</v>
      </c>
      <c r="F1453" s="2">
        <v>34</v>
      </c>
      <c r="G1453" t="s">
        <v>144</v>
      </c>
      <c r="H1453" t="s">
        <v>31</v>
      </c>
      <c r="I1453" t="s">
        <v>125</v>
      </c>
      <c r="J1453" t="s">
        <v>47</v>
      </c>
      <c r="K1453">
        <v>2.5</v>
      </c>
      <c r="L1453" t="s">
        <v>23</v>
      </c>
      <c r="M1453" t="s">
        <v>79</v>
      </c>
      <c r="N1453" t="s">
        <v>34</v>
      </c>
      <c r="O1453">
        <v>35</v>
      </c>
      <c r="P1453" t="s">
        <v>58</v>
      </c>
      <c r="Q1453" t="s">
        <v>37</v>
      </c>
      <c r="R1453" s="1">
        <v>0.1</v>
      </c>
      <c r="S1453">
        <f t="shared" si="88"/>
        <v>30.6</v>
      </c>
      <c r="T1453">
        <f>IFERROR(VLOOKUP(A1453,Table1[[Customer ID]:[Discount Amount]], 6, FALSE),"Not Found")</f>
        <v>34</v>
      </c>
      <c r="U1453" t="str">
        <f t="shared" si="89"/>
        <v>PayPal</v>
      </c>
      <c r="V1453" s="4" t="str">
        <f t="shared" si="90"/>
        <v>Normal</v>
      </c>
      <c r="W1453" s="4" t="str">
        <f t="shared" si="91"/>
        <v>Poor</v>
      </c>
      <c r="X1453" s="4">
        <f>AVERAGE(Table1[Purchase Amount])</f>
        <v>129.48419400000012</v>
      </c>
    </row>
    <row r="1454" spans="1:24" ht="15" customHeight="1" x14ac:dyDescent="0.25">
      <c r="A1454">
        <v>1453</v>
      </c>
      <c r="B1454">
        <v>60</v>
      </c>
      <c r="C1454" t="s">
        <v>27</v>
      </c>
      <c r="D1454" t="s">
        <v>96</v>
      </c>
      <c r="E1454" t="s">
        <v>77</v>
      </c>
      <c r="F1454" s="2">
        <v>25</v>
      </c>
      <c r="G1454" t="s">
        <v>92</v>
      </c>
      <c r="H1454" t="s">
        <v>45</v>
      </c>
      <c r="I1454" t="s">
        <v>74</v>
      </c>
      <c r="J1454" t="s">
        <v>33</v>
      </c>
      <c r="K1454">
        <v>4.7</v>
      </c>
      <c r="L1454" t="s">
        <v>23</v>
      </c>
      <c r="M1454" t="s">
        <v>41</v>
      </c>
      <c r="N1454" t="s">
        <v>34</v>
      </c>
      <c r="O1454">
        <v>11</v>
      </c>
      <c r="P1454" t="s">
        <v>88</v>
      </c>
      <c r="Q1454" t="s">
        <v>37</v>
      </c>
      <c r="R1454" s="1">
        <v>0.1</v>
      </c>
      <c r="S1454">
        <f t="shared" si="88"/>
        <v>22.5</v>
      </c>
      <c r="T1454">
        <f>IFERROR(VLOOKUP(A1454,Table1[[Customer ID]:[Discount Amount]], 6, FALSE),"Not Found")</f>
        <v>25</v>
      </c>
      <c r="U1454" t="str">
        <f t="shared" si="89"/>
        <v>Bank Transfer</v>
      </c>
      <c r="V1454" s="4" t="str">
        <f t="shared" si="90"/>
        <v>Normal</v>
      </c>
      <c r="W1454" s="4" t="str">
        <f t="shared" si="91"/>
        <v>Good</v>
      </c>
      <c r="X1454" s="4">
        <f>AVERAGE(Table1[Purchase Amount])</f>
        <v>129.48419400000012</v>
      </c>
    </row>
    <row r="1455" spans="1:24" ht="15" customHeight="1" x14ac:dyDescent="0.25">
      <c r="A1455">
        <v>1454</v>
      </c>
      <c r="B1455">
        <v>36</v>
      </c>
      <c r="C1455" t="s">
        <v>27</v>
      </c>
      <c r="D1455" t="s">
        <v>151</v>
      </c>
      <c r="E1455" t="s">
        <v>98</v>
      </c>
      <c r="F1455" s="2">
        <v>93</v>
      </c>
      <c r="G1455" t="s">
        <v>138</v>
      </c>
      <c r="H1455" t="s">
        <v>55</v>
      </c>
      <c r="I1455" t="s">
        <v>147</v>
      </c>
      <c r="J1455" t="s">
        <v>22</v>
      </c>
      <c r="K1455">
        <v>3.2</v>
      </c>
      <c r="L1455" t="s">
        <v>23</v>
      </c>
      <c r="M1455" t="s">
        <v>41</v>
      </c>
      <c r="N1455" t="s">
        <v>34</v>
      </c>
      <c r="O1455">
        <v>41</v>
      </c>
      <c r="P1455" t="s">
        <v>88</v>
      </c>
      <c r="Q1455" t="s">
        <v>89</v>
      </c>
      <c r="R1455" s="1">
        <v>0.1</v>
      </c>
      <c r="S1455">
        <f t="shared" si="88"/>
        <v>83.7</v>
      </c>
      <c r="T1455">
        <f>IFERROR(VLOOKUP(A1455,Table1[[Customer ID]:[Discount Amount]], 6, FALSE),"Not Found")</f>
        <v>93</v>
      </c>
      <c r="U1455" t="str">
        <f t="shared" si="89"/>
        <v>Bank Transfer</v>
      </c>
      <c r="V1455" s="4" t="str">
        <f t="shared" si="90"/>
        <v>Normal</v>
      </c>
      <c r="W1455" s="4" t="str">
        <f t="shared" si="91"/>
        <v>Good</v>
      </c>
      <c r="X1455" s="4">
        <f>AVERAGE(Table1[Purchase Amount])</f>
        <v>129.48419400000012</v>
      </c>
    </row>
    <row r="1456" spans="1:24" ht="15" customHeight="1" x14ac:dyDescent="0.25">
      <c r="A1456">
        <v>1455</v>
      </c>
      <c r="B1456">
        <v>66</v>
      </c>
      <c r="C1456" t="s">
        <v>27</v>
      </c>
      <c r="D1456" t="s">
        <v>140</v>
      </c>
      <c r="E1456" t="s">
        <v>98</v>
      </c>
      <c r="F1456" s="2">
        <v>50</v>
      </c>
      <c r="G1456" t="s">
        <v>160</v>
      </c>
      <c r="H1456" t="s">
        <v>45</v>
      </c>
      <c r="I1456" t="s">
        <v>125</v>
      </c>
      <c r="J1456" t="s">
        <v>22</v>
      </c>
      <c r="K1456">
        <v>2.9</v>
      </c>
      <c r="L1456" t="s">
        <v>23</v>
      </c>
      <c r="M1456" t="s">
        <v>35</v>
      </c>
      <c r="N1456" t="s">
        <v>34</v>
      </c>
      <c r="O1456">
        <v>17</v>
      </c>
      <c r="P1456" t="s">
        <v>53</v>
      </c>
      <c r="Q1456" t="s">
        <v>49</v>
      </c>
      <c r="R1456" s="1">
        <v>0.1</v>
      </c>
      <c r="S1456">
        <f t="shared" si="88"/>
        <v>45</v>
      </c>
      <c r="T1456">
        <f>IFERROR(VLOOKUP(A1456,Table1[[Customer ID]:[Discount Amount]], 6, FALSE),"Not Found")</f>
        <v>50</v>
      </c>
      <c r="U1456" t="str">
        <f t="shared" si="89"/>
        <v>Credit Card</v>
      </c>
      <c r="V1456" s="4" t="str">
        <f t="shared" si="90"/>
        <v>Normal</v>
      </c>
      <c r="W1456" s="4" t="str">
        <f t="shared" si="91"/>
        <v>Poor</v>
      </c>
      <c r="X1456" s="4">
        <f>AVERAGE(Table1[Purchase Amount])</f>
        <v>129.48419400000012</v>
      </c>
    </row>
    <row r="1457" spans="1:24" ht="15" customHeight="1" x14ac:dyDescent="0.25">
      <c r="A1457">
        <v>1456</v>
      </c>
      <c r="B1457">
        <v>60</v>
      </c>
      <c r="C1457" t="s">
        <v>27</v>
      </c>
      <c r="D1457" t="s">
        <v>99</v>
      </c>
      <c r="E1457" t="s">
        <v>18</v>
      </c>
      <c r="F1457" s="2">
        <v>79</v>
      </c>
      <c r="G1457" t="s">
        <v>51</v>
      </c>
      <c r="H1457" t="s">
        <v>45</v>
      </c>
      <c r="I1457" t="s">
        <v>153</v>
      </c>
      <c r="J1457" t="s">
        <v>47</v>
      </c>
      <c r="K1457">
        <v>4.9000000000000004</v>
      </c>
      <c r="L1457" t="s">
        <v>23</v>
      </c>
      <c r="M1457" t="s">
        <v>61</v>
      </c>
      <c r="N1457" t="s">
        <v>34</v>
      </c>
      <c r="O1457">
        <v>1</v>
      </c>
      <c r="P1457" t="s">
        <v>58</v>
      </c>
      <c r="Q1457" t="s">
        <v>63</v>
      </c>
      <c r="R1457" s="1">
        <v>0.1</v>
      </c>
      <c r="S1457">
        <f t="shared" si="88"/>
        <v>71.099999999999994</v>
      </c>
      <c r="T1457">
        <f>IFERROR(VLOOKUP(A1457,Table1[[Customer ID]:[Discount Amount]], 6, FALSE),"Not Found")</f>
        <v>79</v>
      </c>
      <c r="U1457" t="str">
        <f t="shared" si="89"/>
        <v>PayPal</v>
      </c>
      <c r="V1457" s="4" t="str">
        <f t="shared" si="90"/>
        <v>Normal</v>
      </c>
      <c r="W1457" s="4" t="str">
        <f t="shared" si="91"/>
        <v>Good</v>
      </c>
      <c r="X1457" s="4">
        <f>AVERAGE(Table1[Purchase Amount])</f>
        <v>129.48419400000012</v>
      </c>
    </row>
    <row r="1458" spans="1:24" ht="15" customHeight="1" x14ac:dyDescent="0.25">
      <c r="A1458">
        <v>1457</v>
      </c>
      <c r="B1458">
        <v>59</v>
      </c>
      <c r="C1458" t="s">
        <v>27</v>
      </c>
      <c r="D1458" t="s">
        <v>76</v>
      </c>
      <c r="E1458" t="s">
        <v>77</v>
      </c>
      <c r="F1458" s="2">
        <v>100</v>
      </c>
      <c r="G1458" t="s">
        <v>39</v>
      </c>
      <c r="H1458" t="s">
        <v>55</v>
      </c>
      <c r="I1458" t="s">
        <v>21</v>
      </c>
      <c r="J1458" t="s">
        <v>33</v>
      </c>
      <c r="K1458">
        <v>2.7</v>
      </c>
      <c r="L1458" t="s">
        <v>23</v>
      </c>
      <c r="M1458" t="s">
        <v>48</v>
      </c>
      <c r="N1458" t="s">
        <v>34</v>
      </c>
      <c r="O1458">
        <v>30</v>
      </c>
      <c r="P1458" t="s">
        <v>58</v>
      </c>
      <c r="Q1458" t="s">
        <v>63</v>
      </c>
      <c r="R1458" s="1">
        <v>0.1</v>
      </c>
      <c r="S1458">
        <f t="shared" si="88"/>
        <v>90</v>
      </c>
      <c r="T1458">
        <f>IFERROR(VLOOKUP(A1458,Table1[[Customer ID]:[Discount Amount]], 6, FALSE),"Not Found")</f>
        <v>100</v>
      </c>
      <c r="U1458" t="str">
        <f t="shared" si="89"/>
        <v>PayPal</v>
      </c>
      <c r="V1458" s="4" t="str">
        <f t="shared" si="90"/>
        <v>Normal</v>
      </c>
      <c r="W1458" s="4" t="str">
        <f t="shared" si="91"/>
        <v>Poor</v>
      </c>
      <c r="X1458" s="4">
        <f>AVERAGE(Table1[Purchase Amount])</f>
        <v>129.48419400000012</v>
      </c>
    </row>
    <row r="1459" spans="1:24" ht="15" customHeight="1" x14ac:dyDescent="0.25">
      <c r="A1459">
        <v>1458</v>
      </c>
      <c r="B1459">
        <v>58</v>
      </c>
      <c r="C1459" t="s">
        <v>27</v>
      </c>
      <c r="D1459" t="s">
        <v>38</v>
      </c>
      <c r="E1459" t="s">
        <v>18</v>
      </c>
      <c r="F1459" s="2">
        <v>57</v>
      </c>
      <c r="G1459" t="s">
        <v>78</v>
      </c>
      <c r="H1459" t="s">
        <v>55</v>
      </c>
      <c r="I1459" t="s">
        <v>85</v>
      </c>
      <c r="J1459" t="s">
        <v>33</v>
      </c>
      <c r="K1459">
        <v>4.7</v>
      </c>
      <c r="L1459" t="s">
        <v>23</v>
      </c>
      <c r="M1459" t="s">
        <v>61</v>
      </c>
      <c r="N1459" t="s">
        <v>34</v>
      </c>
      <c r="O1459">
        <v>47</v>
      </c>
      <c r="P1459" t="s">
        <v>62</v>
      </c>
      <c r="Q1459" t="s">
        <v>89</v>
      </c>
      <c r="R1459" s="1">
        <v>0.1</v>
      </c>
      <c r="S1459">
        <f t="shared" si="88"/>
        <v>51.3</v>
      </c>
      <c r="T1459">
        <f>IFERROR(VLOOKUP(A1459,Table1[[Customer ID]:[Discount Amount]], 6, FALSE),"Not Found")</f>
        <v>57</v>
      </c>
      <c r="U1459" t="str">
        <f t="shared" si="89"/>
        <v>Venmo</v>
      </c>
      <c r="V1459" s="4" t="str">
        <f t="shared" si="90"/>
        <v>Normal</v>
      </c>
      <c r="W1459" s="4" t="str">
        <f t="shared" si="91"/>
        <v>Good</v>
      </c>
      <c r="X1459" s="4">
        <f>AVERAGE(Table1[Purchase Amount])</f>
        <v>129.48419400000012</v>
      </c>
    </row>
    <row r="1460" spans="1:24" ht="15" customHeight="1" x14ac:dyDescent="0.25">
      <c r="A1460">
        <v>1459</v>
      </c>
      <c r="B1460">
        <v>35</v>
      </c>
      <c r="C1460" t="s">
        <v>27</v>
      </c>
      <c r="D1460" t="s">
        <v>127</v>
      </c>
      <c r="E1460" t="s">
        <v>18</v>
      </c>
      <c r="F1460" s="2">
        <v>28</v>
      </c>
      <c r="G1460" t="s">
        <v>146</v>
      </c>
      <c r="H1460" t="s">
        <v>31</v>
      </c>
      <c r="I1460" t="s">
        <v>145</v>
      </c>
      <c r="J1460" t="s">
        <v>33</v>
      </c>
      <c r="K1460">
        <v>2.9</v>
      </c>
      <c r="L1460" t="s">
        <v>23</v>
      </c>
      <c r="M1460" t="s">
        <v>41</v>
      </c>
      <c r="N1460" t="s">
        <v>34</v>
      </c>
      <c r="O1460">
        <v>34</v>
      </c>
      <c r="P1460" t="s">
        <v>62</v>
      </c>
      <c r="Q1460" t="s">
        <v>26</v>
      </c>
      <c r="R1460" s="1">
        <v>0.1</v>
      </c>
      <c r="S1460">
        <f t="shared" si="88"/>
        <v>25.2</v>
      </c>
      <c r="T1460">
        <f>IFERROR(VLOOKUP(A1460,Table1[[Customer ID]:[Discount Amount]], 6, FALSE),"Not Found")</f>
        <v>28</v>
      </c>
      <c r="U1460" t="str">
        <f t="shared" si="89"/>
        <v>Venmo</v>
      </c>
      <c r="V1460" s="4" t="str">
        <f t="shared" si="90"/>
        <v>Normal</v>
      </c>
      <c r="W1460" s="4" t="str">
        <f t="shared" si="91"/>
        <v>Poor</v>
      </c>
      <c r="X1460" s="4">
        <f>AVERAGE(Table1[Purchase Amount])</f>
        <v>129.48419400000012</v>
      </c>
    </row>
    <row r="1461" spans="1:24" ht="15" customHeight="1" x14ac:dyDescent="0.25">
      <c r="A1461">
        <v>1460</v>
      </c>
      <c r="B1461">
        <v>20</v>
      </c>
      <c r="C1461" t="s">
        <v>27</v>
      </c>
      <c r="D1461" t="s">
        <v>72</v>
      </c>
      <c r="E1461" t="s">
        <v>98</v>
      </c>
      <c r="F1461" s="2">
        <v>35</v>
      </c>
      <c r="G1461" t="s">
        <v>94</v>
      </c>
      <c r="H1461" t="s">
        <v>45</v>
      </c>
      <c r="I1461" t="s">
        <v>52</v>
      </c>
      <c r="J1461" t="s">
        <v>22</v>
      </c>
      <c r="K1461">
        <v>4.8</v>
      </c>
      <c r="L1461" t="s">
        <v>23</v>
      </c>
      <c r="M1461" t="s">
        <v>61</v>
      </c>
      <c r="N1461" t="s">
        <v>34</v>
      </c>
      <c r="O1461">
        <v>18</v>
      </c>
      <c r="P1461" t="s">
        <v>62</v>
      </c>
      <c r="Q1461" t="s">
        <v>89</v>
      </c>
      <c r="R1461" s="1">
        <v>0.1</v>
      </c>
      <c r="S1461">
        <f t="shared" si="88"/>
        <v>31.5</v>
      </c>
      <c r="T1461">
        <f>IFERROR(VLOOKUP(A1461,Table1[[Customer ID]:[Discount Amount]], 6, FALSE),"Not Found")</f>
        <v>35</v>
      </c>
      <c r="U1461" t="str">
        <f t="shared" si="89"/>
        <v>Venmo</v>
      </c>
      <c r="V1461" s="4" t="str">
        <f t="shared" si="90"/>
        <v>Normal</v>
      </c>
      <c r="W1461" s="4" t="str">
        <f t="shared" si="91"/>
        <v>Good</v>
      </c>
      <c r="X1461" s="4">
        <f>AVERAGE(Table1[Purchase Amount])</f>
        <v>129.48419400000012</v>
      </c>
    </row>
    <row r="1462" spans="1:24" ht="15" customHeight="1" x14ac:dyDescent="0.25">
      <c r="A1462">
        <v>1461</v>
      </c>
      <c r="B1462">
        <v>70</v>
      </c>
      <c r="C1462" t="s">
        <v>27</v>
      </c>
      <c r="D1462" t="s">
        <v>151</v>
      </c>
      <c r="E1462" t="s">
        <v>98</v>
      </c>
      <c r="F1462" s="2">
        <v>85</v>
      </c>
      <c r="G1462" t="s">
        <v>78</v>
      </c>
      <c r="H1462" t="s">
        <v>45</v>
      </c>
      <c r="I1462" t="s">
        <v>111</v>
      </c>
      <c r="J1462" t="s">
        <v>47</v>
      </c>
      <c r="K1462">
        <v>4.5999999999999996</v>
      </c>
      <c r="L1462" t="s">
        <v>23</v>
      </c>
      <c r="M1462" t="s">
        <v>24</v>
      </c>
      <c r="N1462" t="s">
        <v>34</v>
      </c>
      <c r="O1462">
        <v>33</v>
      </c>
      <c r="P1462" t="s">
        <v>62</v>
      </c>
      <c r="Q1462" t="s">
        <v>68</v>
      </c>
      <c r="R1462" s="1">
        <v>0.1</v>
      </c>
      <c r="S1462">
        <f t="shared" si="88"/>
        <v>76.5</v>
      </c>
      <c r="T1462">
        <f>IFERROR(VLOOKUP(A1462,Table1[[Customer ID]:[Discount Amount]], 6, FALSE),"Not Found")</f>
        <v>85</v>
      </c>
      <c r="U1462" t="str">
        <f t="shared" si="89"/>
        <v>Venmo</v>
      </c>
      <c r="V1462" s="4" t="str">
        <f t="shared" si="90"/>
        <v>Normal</v>
      </c>
      <c r="W1462" s="4" t="str">
        <f t="shared" si="91"/>
        <v>Good</v>
      </c>
      <c r="X1462" s="4">
        <f>AVERAGE(Table1[Purchase Amount])</f>
        <v>129.48419400000012</v>
      </c>
    </row>
    <row r="1463" spans="1:24" ht="15" customHeight="1" x14ac:dyDescent="0.25">
      <c r="A1463">
        <v>1462</v>
      </c>
      <c r="B1463">
        <v>54</v>
      </c>
      <c r="C1463" t="s">
        <v>27</v>
      </c>
      <c r="D1463" t="s">
        <v>28</v>
      </c>
      <c r="E1463" t="s">
        <v>29</v>
      </c>
      <c r="F1463" s="2">
        <v>95</v>
      </c>
      <c r="G1463" t="s">
        <v>123</v>
      </c>
      <c r="H1463" t="s">
        <v>55</v>
      </c>
      <c r="I1463" t="s">
        <v>46</v>
      </c>
      <c r="J1463" t="s">
        <v>57</v>
      </c>
      <c r="K1463">
        <v>5</v>
      </c>
      <c r="L1463" t="s">
        <v>23</v>
      </c>
      <c r="M1463" t="s">
        <v>41</v>
      </c>
      <c r="N1463" t="s">
        <v>34</v>
      </c>
      <c r="O1463">
        <v>42</v>
      </c>
      <c r="P1463" t="s">
        <v>62</v>
      </c>
      <c r="Q1463" t="s">
        <v>37</v>
      </c>
      <c r="R1463" s="1">
        <v>0.1</v>
      </c>
      <c r="S1463">
        <f t="shared" si="88"/>
        <v>85.5</v>
      </c>
      <c r="T1463">
        <f>IFERROR(VLOOKUP(A1463,Table1[[Customer ID]:[Discount Amount]], 6, FALSE),"Not Found")</f>
        <v>95</v>
      </c>
      <c r="U1463" t="str">
        <f t="shared" si="89"/>
        <v>Venmo</v>
      </c>
      <c r="V1463" s="4" t="str">
        <f t="shared" si="90"/>
        <v>Normal</v>
      </c>
      <c r="W1463" s="4" t="str">
        <f t="shared" si="91"/>
        <v>Good</v>
      </c>
      <c r="X1463" s="4">
        <f>AVERAGE(Table1[Purchase Amount])</f>
        <v>129.48419400000012</v>
      </c>
    </row>
    <row r="1464" spans="1:24" ht="15" customHeight="1" x14ac:dyDescent="0.25">
      <c r="A1464">
        <v>1463</v>
      </c>
      <c r="B1464">
        <v>38</v>
      </c>
      <c r="C1464" t="s">
        <v>27</v>
      </c>
      <c r="D1464" t="s">
        <v>140</v>
      </c>
      <c r="E1464" t="s">
        <v>98</v>
      </c>
      <c r="F1464" s="2">
        <v>90</v>
      </c>
      <c r="G1464" t="s">
        <v>144</v>
      </c>
      <c r="H1464" t="s">
        <v>55</v>
      </c>
      <c r="I1464" t="s">
        <v>103</v>
      </c>
      <c r="J1464" t="s">
        <v>57</v>
      </c>
      <c r="K1464">
        <v>4.8</v>
      </c>
      <c r="L1464" t="s">
        <v>23</v>
      </c>
      <c r="M1464" t="s">
        <v>41</v>
      </c>
      <c r="N1464" t="s">
        <v>34</v>
      </c>
      <c r="O1464">
        <v>2</v>
      </c>
      <c r="P1464" t="s">
        <v>62</v>
      </c>
      <c r="Q1464" t="s">
        <v>37</v>
      </c>
      <c r="R1464" s="1">
        <v>0.1</v>
      </c>
      <c r="S1464">
        <f t="shared" si="88"/>
        <v>81</v>
      </c>
      <c r="T1464">
        <f>IFERROR(VLOOKUP(A1464,Table1[[Customer ID]:[Discount Amount]], 6, FALSE),"Not Found")</f>
        <v>90</v>
      </c>
      <c r="U1464" t="str">
        <f t="shared" si="89"/>
        <v>Venmo</v>
      </c>
      <c r="V1464" s="4" t="str">
        <f t="shared" si="90"/>
        <v>Normal</v>
      </c>
      <c r="W1464" s="4" t="str">
        <f t="shared" si="91"/>
        <v>Good</v>
      </c>
      <c r="X1464" s="4">
        <f>AVERAGE(Table1[Purchase Amount])</f>
        <v>129.48419400000012</v>
      </c>
    </row>
    <row r="1465" spans="1:24" ht="15" customHeight="1" x14ac:dyDescent="0.25">
      <c r="A1465">
        <v>1464</v>
      </c>
      <c r="B1465">
        <v>54</v>
      </c>
      <c r="C1465" t="s">
        <v>27</v>
      </c>
      <c r="D1465" t="s">
        <v>50</v>
      </c>
      <c r="E1465" t="s">
        <v>29</v>
      </c>
      <c r="F1465" s="2">
        <v>49</v>
      </c>
      <c r="G1465" t="s">
        <v>142</v>
      </c>
      <c r="H1465" t="s">
        <v>31</v>
      </c>
      <c r="I1465" t="s">
        <v>56</v>
      </c>
      <c r="J1465" t="s">
        <v>57</v>
      </c>
      <c r="K1465">
        <v>4.9000000000000004</v>
      </c>
      <c r="L1465" t="s">
        <v>23</v>
      </c>
      <c r="M1465" t="s">
        <v>48</v>
      </c>
      <c r="N1465" t="s">
        <v>34</v>
      </c>
      <c r="O1465">
        <v>1</v>
      </c>
      <c r="P1465" t="s">
        <v>88</v>
      </c>
      <c r="Q1465" t="s">
        <v>42</v>
      </c>
      <c r="R1465" s="1">
        <v>0.1</v>
      </c>
      <c r="S1465">
        <f t="shared" si="88"/>
        <v>44.1</v>
      </c>
      <c r="T1465">
        <f>IFERROR(VLOOKUP(A1465,Table1[[Customer ID]:[Discount Amount]], 6, FALSE),"Not Found")</f>
        <v>49</v>
      </c>
      <c r="U1465" t="str">
        <f t="shared" si="89"/>
        <v>Bank Transfer</v>
      </c>
      <c r="V1465" s="4" t="str">
        <f t="shared" si="90"/>
        <v>Normal</v>
      </c>
      <c r="W1465" s="4" t="str">
        <f t="shared" si="91"/>
        <v>Good</v>
      </c>
      <c r="X1465" s="4">
        <f>AVERAGE(Table1[Purchase Amount])</f>
        <v>129.48419400000012</v>
      </c>
    </row>
    <row r="1466" spans="1:24" ht="15" customHeight="1" x14ac:dyDescent="0.25">
      <c r="A1466">
        <v>1465</v>
      </c>
      <c r="B1466">
        <v>33</v>
      </c>
      <c r="C1466" t="s">
        <v>27</v>
      </c>
      <c r="D1466" t="s">
        <v>114</v>
      </c>
      <c r="E1466" t="s">
        <v>29</v>
      </c>
      <c r="F1466" s="2">
        <v>92</v>
      </c>
      <c r="G1466" t="s">
        <v>39</v>
      </c>
      <c r="H1466" t="s">
        <v>31</v>
      </c>
      <c r="I1466" t="s">
        <v>145</v>
      </c>
      <c r="J1466" t="s">
        <v>22</v>
      </c>
      <c r="K1466">
        <v>4.5999999999999996</v>
      </c>
      <c r="L1466" t="s">
        <v>23</v>
      </c>
      <c r="M1466" t="s">
        <v>41</v>
      </c>
      <c r="N1466" t="s">
        <v>34</v>
      </c>
      <c r="O1466">
        <v>23</v>
      </c>
      <c r="P1466" t="s">
        <v>88</v>
      </c>
      <c r="Q1466" t="s">
        <v>37</v>
      </c>
      <c r="R1466" s="1">
        <v>0.1</v>
      </c>
      <c r="S1466">
        <f t="shared" si="88"/>
        <v>82.8</v>
      </c>
      <c r="T1466">
        <f>IFERROR(VLOOKUP(A1466,Table1[[Customer ID]:[Discount Amount]], 6, FALSE),"Not Found")</f>
        <v>92</v>
      </c>
      <c r="U1466" t="str">
        <f t="shared" si="89"/>
        <v>Bank Transfer</v>
      </c>
      <c r="V1466" s="4" t="str">
        <f t="shared" si="90"/>
        <v>Normal</v>
      </c>
      <c r="W1466" s="4" t="str">
        <f t="shared" si="91"/>
        <v>Good</v>
      </c>
      <c r="X1466" s="4">
        <f>AVERAGE(Table1[Purchase Amount])</f>
        <v>129.48419400000012</v>
      </c>
    </row>
    <row r="1467" spans="1:24" ht="15" customHeight="1" x14ac:dyDescent="0.25">
      <c r="A1467">
        <v>1466</v>
      </c>
      <c r="B1467">
        <v>46</v>
      </c>
      <c r="C1467" t="s">
        <v>27</v>
      </c>
      <c r="D1467" t="s">
        <v>43</v>
      </c>
      <c r="E1467" t="s">
        <v>29</v>
      </c>
      <c r="F1467" s="2">
        <v>72</v>
      </c>
      <c r="G1467" t="s">
        <v>137</v>
      </c>
      <c r="H1467" t="s">
        <v>20</v>
      </c>
      <c r="I1467" t="s">
        <v>111</v>
      </c>
      <c r="J1467" t="s">
        <v>22</v>
      </c>
      <c r="K1467">
        <v>3.9</v>
      </c>
      <c r="L1467" t="s">
        <v>23</v>
      </c>
      <c r="M1467" t="s">
        <v>48</v>
      </c>
      <c r="N1467" t="s">
        <v>34</v>
      </c>
      <c r="O1467">
        <v>42</v>
      </c>
      <c r="P1467" t="s">
        <v>25</v>
      </c>
      <c r="Q1467" t="s">
        <v>68</v>
      </c>
      <c r="R1467" s="1">
        <v>0.1</v>
      </c>
      <c r="S1467">
        <f t="shared" si="88"/>
        <v>64.8</v>
      </c>
      <c r="T1467">
        <f>IFERROR(VLOOKUP(A1467,Table1[[Customer ID]:[Discount Amount]], 6, FALSE),"Not Found")</f>
        <v>72</v>
      </c>
      <c r="U1467" t="str">
        <f t="shared" si="89"/>
        <v>Cash</v>
      </c>
      <c r="V1467" s="4" t="str">
        <f t="shared" si="90"/>
        <v>Normal</v>
      </c>
      <c r="W1467" s="4" t="str">
        <f t="shared" si="91"/>
        <v>Good</v>
      </c>
      <c r="X1467" s="4">
        <f>AVERAGE(Table1[Purchase Amount])</f>
        <v>129.48419400000012</v>
      </c>
    </row>
    <row r="1468" spans="1:24" ht="15" customHeight="1" x14ac:dyDescent="0.25">
      <c r="A1468">
        <v>1467</v>
      </c>
      <c r="B1468">
        <v>58</v>
      </c>
      <c r="C1468" t="s">
        <v>27</v>
      </c>
      <c r="D1468" t="s">
        <v>54</v>
      </c>
      <c r="E1468" t="s">
        <v>18</v>
      </c>
      <c r="F1468" s="2">
        <v>71</v>
      </c>
      <c r="G1468" t="s">
        <v>51</v>
      </c>
      <c r="H1468" t="s">
        <v>31</v>
      </c>
      <c r="I1468" t="s">
        <v>93</v>
      </c>
      <c r="J1468" t="s">
        <v>57</v>
      </c>
      <c r="K1468">
        <v>4.5</v>
      </c>
      <c r="L1468" t="s">
        <v>23</v>
      </c>
      <c r="M1468" t="s">
        <v>48</v>
      </c>
      <c r="N1468" t="s">
        <v>34</v>
      </c>
      <c r="O1468">
        <v>3</v>
      </c>
      <c r="P1468" t="s">
        <v>58</v>
      </c>
      <c r="Q1468" t="s">
        <v>49</v>
      </c>
      <c r="R1468" s="1">
        <v>0.1</v>
      </c>
      <c r="S1468">
        <f t="shared" si="88"/>
        <v>63.9</v>
      </c>
      <c r="T1468">
        <f>IFERROR(VLOOKUP(A1468,Table1[[Customer ID]:[Discount Amount]], 6, FALSE),"Not Found")</f>
        <v>71</v>
      </c>
      <c r="U1468" t="str">
        <f t="shared" si="89"/>
        <v>PayPal</v>
      </c>
      <c r="V1468" s="4" t="str">
        <f t="shared" si="90"/>
        <v>Normal</v>
      </c>
      <c r="W1468" s="4" t="str">
        <f t="shared" si="91"/>
        <v>Good</v>
      </c>
      <c r="X1468" s="4">
        <f>AVERAGE(Table1[Purchase Amount])</f>
        <v>129.48419400000012</v>
      </c>
    </row>
    <row r="1469" spans="1:24" ht="15" customHeight="1" x14ac:dyDescent="0.25">
      <c r="A1469">
        <v>1468</v>
      </c>
      <c r="B1469">
        <v>30</v>
      </c>
      <c r="C1469" t="s">
        <v>27</v>
      </c>
      <c r="D1469" t="s">
        <v>50</v>
      </c>
      <c r="E1469" t="s">
        <v>29</v>
      </c>
      <c r="F1469" s="2">
        <v>27</v>
      </c>
      <c r="G1469" t="s">
        <v>90</v>
      </c>
      <c r="H1469" t="s">
        <v>20</v>
      </c>
      <c r="I1469" t="s">
        <v>21</v>
      </c>
      <c r="J1469" t="s">
        <v>22</v>
      </c>
      <c r="K1469">
        <v>4.7</v>
      </c>
      <c r="L1469" t="s">
        <v>23</v>
      </c>
      <c r="M1469" t="s">
        <v>48</v>
      </c>
      <c r="N1469" t="s">
        <v>34</v>
      </c>
      <c r="O1469">
        <v>16</v>
      </c>
      <c r="P1469" t="s">
        <v>36</v>
      </c>
      <c r="Q1469" t="s">
        <v>89</v>
      </c>
      <c r="R1469" s="1">
        <v>0.1</v>
      </c>
      <c r="S1469">
        <f t="shared" si="88"/>
        <v>24.3</v>
      </c>
      <c r="T1469">
        <f>IFERROR(VLOOKUP(A1469,Table1[[Customer ID]:[Discount Amount]], 6, FALSE),"Not Found")</f>
        <v>27</v>
      </c>
      <c r="U1469" t="str">
        <f t="shared" si="89"/>
        <v>Debit Card</v>
      </c>
      <c r="V1469" s="4" t="str">
        <f t="shared" si="90"/>
        <v>Normal</v>
      </c>
      <c r="W1469" s="4" t="str">
        <f t="shared" si="91"/>
        <v>Good</v>
      </c>
      <c r="X1469" s="4">
        <f>AVERAGE(Table1[Purchase Amount])</f>
        <v>129.48419400000012</v>
      </c>
    </row>
    <row r="1470" spans="1:24" ht="15" customHeight="1" x14ac:dyDescent="0.25">
      <c r="A1470">
        <v>1469</v>
      </c>
      <c r="B1470">
        <v>42</v>
      </c>
      <c r="C1470" t="s">
        <v>27</v>
      </c>
      <c r="D1470" t="s">
        <v>43</v>
      </c>
      <c r="E1470" t="s">
        <v>29</v>
      </c>
      <c r="F1470" s="2">
        <v>39</v>
      </c>
      <c r="G1470" t="s">
        <v>100</v>
      </c>
      <c r="H1470" t="s">
        <v>55</v>
      </c>
      <c r="I1470" t="s">
        <v>153</v>
      </c>
      <c r="J1470" t="s">
        <v>47</v>
      </c>
      <c r="K1470">
        <v>3.9</v>
      </c>
      <c r="L1470" t="s">
        <v>23</v>
      </c>
      <c r="M1470" t="s">
        <v>61</v>
      </c>
      <c r="N1470" t="s">
        <v>34</v>
      </c>
      <c r="O1470">
        <v>46</v>
      </c>
      <c r="P1470" t="s">
        <v>25</v>
      </c>
      <c r="Q1470" t="s">
        <v>89</v>
      </c>
      <c r="R1470" s="1">
        <v>0.1</v>
      </c>
      <c r="S1470">
        <f t="shared" si="88"/>
        <v>35.1</v>
      </c>
      <c r="T1470">
        <f>IFERROR(VLOOKUP(A1470,Table1[[Customer ID]:[Discount Amount]], 6, FALSE),"Not Found")</f>
        <v>39</v>
      </c>
      <c r="U1470" t="str">
        <f t="shared" si="89"/>
        <v>Cash</v>
      </c>
      <c r="V1470" s="4" t="str">
        <f t="shared" si="90"/>
        <v>Normal</v>
      </c>
      <c r="W1470" s="4" t="str">
        <f t="shared" si="91"/>
        <v>Good</v>
      </c>
      <c r="X1470" s="4">
        <f>AVERAGE(Table1[Purchase Amount])</f>
        <v>129.48419400000012</v>
      </c>
    </row>
    <row r="1471" spans="1:24" ht="15" customHeight="1" x14ac:dyDescent="0.25">
      <c r="A1471">
        <v>1470</v>
      </c>
      <c r="B1471">
        <v>28</v>
      </c>
      <c r="C1471" t="s">
        <v>27</v>
      </c>
      <c r="D1471" t="s">
        <v>50</v>
      </c>
      <c r="E1471" t="s">
        <v>29</v>
      </c>
      <c r="F1471" s="2">
        <v>98</v>
      </c>
      <c r="G1471" t="s">
        <v>149</v>
      </c>
      <c r="H1471" t="s">
        <v>31</v>
      </c>
      <c r="I1471" t="s">
        <v>66</v>
      </c>
      <c r="J1471" t="s">
        <v>22</v>
      </c>
      <c r="K1471">
        <v>4.4000000000000004</v>
      </c>
      <c r="L1471" t="s">
        <v>23</v>
      </c>
      <c r="M1471" t="s">
        <v>24</v>
      </c>
      <c r="N1471" t="s">
        <v>34</v>
      </c>
      <c r="O1471">
        <v>31</v>
      </c>
      <c r="P1471" t="s">
        <v>58</v>
      </c>
      <c r="Q1471" t="s">
        <v>63</v>
      </c>
      <c r="R1471" s="1">
        <v>0.1</v>
      </c>
      <c r="S1471">
        <f t="shared" si="88"/>
        <v>88.2</v>
      </c>
      <c r="T1471">
        <f>IFERROR(VLOOKUP(A1471,Table1[[Customer ID]:[Discount Amount]], 6, FALSE),"Not Found")</f>
        <v>98</v>
      </c>
      <c r="U1471" t="str">
        <f t="shared" si="89"/>
        <v>PayPal</v>
      </c>
      <c r="V1471" s="4" t="str">
        <f t="shared" si="90"/>
        <v>Normal</v>
      </c>
      <c r="W1471" s="4" t="str">
        <f t="shared" si="91"/>
        <v>Good</v>
      </c>
      <c r="X1471" s="4">
        <f>AVERAGE(Table1[Purchase Amount])</f>
        <v>129.48419400000012</v>
      </c>
    </row>
    <row r="1472" spans="1:24" ht="15" customHeight="1" x14ac:dyDescent="0.25">
      <c r="A1472">
        <v>1471</v>
      </c>
      <c r="B1472">
        <v>43</v>
      </c>
      <c r="C1472" t="s">
        <v>27</v>
      </c>
      <c r="D1472" t="s">
        <v>121</v>
      </c>
      <c r="E1472" t="s">
        <v>98</v>
      </c>
      <c r="F1472" s="2">
        <v>27</v>
      </c>
      <c r="G1472" t="s">
        <v>19</v>
      </c>
      <c r="H1472" t="s">
        <v>31</v>
      </c>
      <c r="I1472" t="s">
        <v>153</v>
      </c>
      <c r="J1472" t="s">
        <v>33</v>
      </c>
      <c r="K1472">
        <v>3.9</v>
      </c>
      <c r="L1472" t="s">
        <v>23</v>
      </c>
      <c r="M1472" t="s">
        <v>79</v>
      </c>
      <c r="N1472" t="s">
        <v>34</v>
      </c>
      <c r="O1472">
        <v>15</v>
      </c>
      <c r="P1472" t="s">
        <v>25</v>
      </c>
      <c r="Q1472" t="s">
        <v>63</v>
      </c>
      <c r="R1472" s="1">
        <v>0.1</v>
      </c>
      <c r="S1472">
        <f t="shared" si="88"/>
        <v>24.3</v>
      </c>
      <c r="T1472">
        <f>IFERROR(VLOOKUP(A1472,Table1[[Customer ID]:[Discount Amount]], 6, FALSE),"Not Found")</f>
        <v>27</v>
      </c>
      <c r="U1472" t="str">
        <f t="shared" si="89"/>
        <v>Cash</v>
      </c>
      <c r="V1472" s="4" t="str">
        <f t="shared" si="90"/>
        <v>Normal</v>
      </c>
      <c r="W1472" s="4" t="str">
        <f t="shared" si="91"/>
        <v>Good</v>
      </c>
      <c r="X1472" s="4">
        <f>AVERAGE(Table1[Purchase Amount])</f>
        <v>129.48419400000012</v>
      </c>
    </row>
    <row r="1473" spans="1:24" ht="15" customHeight="1" x14ac:dyDescent="0.25">
      <c r="A1473">
        <v>1472</v>
      </c>
      <c r="B1473">
        <v>31</v>
      </c>
      <c r="C1473" t="s">
        <v>27</v>
      </c>
      <c r="D1473" t="s">
        <v>50</v>
      </c>
      <c r="E1473" t="s">
        <v>29</v>
      </c>
      <c r="F1473" s="2">
        <v>71</v>
      </c>
      <c r="G1473" t="s">
        <v>148</v>
      </c>
      <c r="H1473" t="s">
        <v>55</v>
      </c>
      <c r="I1473" t="s">
        <v>85</v>
      </c>
      <c r="J1473" t="s">
        <v>33</v>
      </c>
      <c r="K1473">
        <v>2.8</v>
      </c>
      <c r="L1473" t="s">
        <v>23</v>
      </c>
      <c r="M1473" t="s">
        <v>41</v>
      </c>
      <c r="N1473" t="s">
        <v>34</v>
      </c>
      <c r="O1473">
        <v>48</v>
      </c>
      <c r="P1473" t="s">
        <v>62</v>
      </c>
      <c r="Q1473" t="s">
        <v>63</v>
      </c>
      <c r="R1473" s="1">
        <v>0.1</v>
      </c>
      <c r="S1473">
        <f t="shared" si="88"/>
        <v>63.9</v>
      </c>
      <c r="T1473">
        <f>IFERROR(VLOOKUP(A1473,Table1[[Customer ID]:[Discount Amount]], 6, FALSE),"Not Found")</f>
        <v>71</v>
      </c>
      <c r="U1473" t="str">
        <f t="shared" si="89"/>
        <v>Venmo</v>
      </c>
      <c r="V1473" s="4" t="str">
        <f t="shared" si="90"/>
        <v>Normal</v>
      </c>
      <c r="W1473" s="4" t="str">
        <f t="shared" si="91"/>
        <v>Poor</v>
      </c>
      <c r="X1473" s="4">
        <f>AVERAGE(Table1[Purchase Amount])</f>
        <v>129.48419400000012</v>
      </c>
    </row>
    <row r="1474" spans="1:24" ht="15" customHeight="1" x14ac:dyDescent="0.25">
      <c r="A1474">
        <v>1473</v>
      </c>
      <c r="B1474">
        <v>39</v>
      </c>
      <c r="C1474" t="s">
        <v>27</v>
      </c>
      <c r="D1474" t="s">
        <v>64</v>
      </c>
      <c r="E1474" t="s">
        <v>29</v>
      </c>
      <c r="F1474" s="2">
        <v>24</v>
      </c>
      <c r="G1474" t="s">
        <v>102</v>
      </c>
      <c r="H1474" t="s">
        <v>45</v>
      </c>
      <c r="I1474" t="s">
        <v>156</v>
      </c>
      <c r="J1474" t="s">
        <v>33</v>
      </c>
      <c r="K1474">
        <v>3.5</v>
      </c>
      <c r="L1474" t="s">
        <v>23</v>
      </c>
      <c r="M1474" t="s">
        <v>48</v>
      </c>
      <c r="N1474" t="s">
        <v>34</v>
      </c>
      <c r="O1474">
        <v>11</v>
      </c>
      <c r="P1474" t="s">
        <v>25</v>
      </c>
      <c r="Q1474" t="s">
        <v>26</v>
      </c>
      <c r="R1474" s="1">
        <v>0.1</v>
      </c>
      <c r="S1474">
        <f t="shared" ref="S1474:S1537" si="92">F1474-(F1474*R1474)</f>
        <v>21.6</v>
      </c>
      <c r="T1474">
        <f>IFERROR(VLOOKUP(A1474,Table1[[Customer ID]:[Discount Amount]], 6, FALSE),"Not Found")</f>
        <v>24</v>
      </c>
      <c r="U1474" t="str">
        <f t="shared" ref="U1474:U1537" si="93">INDEX(P:P, MATCH(A1474, A:A, 0))</f>
        <v>Cash</v>
      </c>
      <c r="V1474" s="4" t="str">
        <f t="shared" ref="V1474:V1537" si="94">IF(AND(F1474&gt;1000,K1474&gt;=4),"Best Customer","Normal")</f>
        <v>Normal</v>
      </c>
      <c r="W1474" s="4" t="str">
        <f t="shared" ref="W1474:W1537" si="95">IF(K1474&gt;=3,"Good","Poor")</f>
        <v>Good</v>
      </c>
      <c r="X1474" s="4">
        <f>AVERAGE(Table1[Purchase Amount])</f>
        <v>129.48419400000012</v>
      </c>
    </row>
    <row r="1475" spans="1:24" ht="15" customHeight="1" x14ac:dyDescent="0.25">
      <c r="A1475">
        <v>1474</v>
      </c>
      <c r="B1475">
        <v>69</v>
      </c>
      <c r="C1475" t="s">
        <v>27</v>
      </c>
      <c r="D1475" t="s">
        <v>54</v>
      </c>
      <c r="E1475" t="s">
        <v>18</v>
      </c>
      <c r="F1475" s="2">
        <v>63</v>
      </c>
      <c r="G1475" t="s">
        <v>59</v>
      </c>
      <c r="H1475" t="s">
        <v>31</v>
      </c>
      <c r="I1475" t="s">
        <v>111</v>
      </c>
      <c r="J1475" t="s">
        <v>47</v>
      </c>
      <c r="K1475">
        <v>4.3</v>
      </c>
      <c r="L1475" t="s">
        <v>23</v>
      </c>
      <c r="M1475" t="s">
        <v>61</v>
      </c>
      <c r="N1475" t="s">
        <v>34</v>
      </c>
      <c r="O1475">
        <v>20</v>
      </c>
      <c r="P1475" t="s">
        <v>53</v>
      </c>
      <c r="Q1475" t="s">
        <v>63</v>
      </c>
      <c r="R1475" s="1">
        <v>0.1</v>
      </c>
      <c r="S1475">
        <f t="shared" si="92"/>
        <v>56.7</v>
      </c>
      <c r="T1475">
        <f>IFERROR(VLOOKUP(A1475,Table1[[Customer ID]:[Discount Amount]], 6, FALSE),"Not Found")</f>
        <v>63</v>
      </c>
      <c r="U1475" t="str">
        <f t="shared" si="93"/>
        <v>Credit Card</v>
      </c>
      <c r="V1475" s="4" t="str">
        <f t="shared" si="94"/>
        <v>Normal</v>
      </c>
      <c r="W1475" s="4" t="str">
        <f t="shared" si="95"/>
        <v>Good</v>
      </c>
      <c r="X1475" s="4">
        <f>AVERAGE(Table1[Purchase Amount])</f>
        <v>129.48419400000012</v>
      </c>
    </row>
    <row r="1476" spans="1:24" ht="15" customHeight="1" x14ac:dyDescent="0.25">
      <c r="A1476">
        <v>1475</v>
      </c>
      <c r="B1476">
        <v>31</v>
      </c>
      <c r="C1476" t="s">
        <v>27</v>
      </c>
      <c r="D1476" t="s">
        <v>127</v>
      </c>
      <c r="E1476" t="s">
        <v>18</v>
      </c>
      <c r="F1476" s="2">
        <v>72</v>
      </c>
      <c r="G1476" t="s">
        <v>131</v>
      </c>
      <c r="H1476" t="s">
        <v>55</v>
      </c>
      <c r="I1476" t="s">
        <v>136</v>
      </c>
      <c r="J1476" t="s">
        <v>47</v>
      </c>
      <c r="K1476">
        <v>3.9</v>
      </c>
      <c r="L1476" t="s">
        <v>23</v>
      </c>
      <c r="M1476" t="s">
        <v>79</v>
      </c>
      <c r="N1476" t="s">
        <v>34</v>
      </c>
      <c r="O1476">
        <v>6</v>
      </c>
      <c r="P1476" t="s">
        <v>53</v>
      </c>
      <c r="Q1476" t="s">
        <v>42</v>
      </c>
      <c r="R1476" s="1">
        <v>0.1</v>
      </c>
      <c r="S1476">
        <f t="shared" si="92"/>
        <v>64.8</v>
      </c>
      <c r="T1476">
        <f>IFERROR(VLOOKUP(A1476,Table1[[Customer ID]:[Discount Amount]], 6, FALSE),"Not Found")</f>
        <v>72</v>
      </c>
      <c r="U1476" t="str">
        <f t="shared" si="93"/>
        <v>Credit Card</v>
      </c>
      <c r="V1476" s="4" t="str">
        <f t="shared" si="94"/>
        <v>Normal</v>
      </c>
      <c r="W1476" s="4" t="str">
        <f t="shared" si="95"/>
        <v>Good</v>
      </c>
      <c r="X1476" s="4">
        <f>AVERAGE(Table1[Purchase Amount])</f>
        <v>129.48419400000012</v>
      </c>
    </row>
    <row r="1477" spans="1:24" ht="15" customHeight="1" x14ac:dyDescent="0.25">
      <c r="A1477">
        <v>1476</v>
      </c>
      <c r="B1477">
        <v>44</v>
      </c>
      <c r="C1477" t="s">
        <v>27</v>
      </c>
      <c r="D1477" t="s">
        <v>118</v>
      </c>
      <c r="E1477" t="s">
        <v>18</v>
      </c>
      <c r="F1477" s="2">
        <v>61</v>
      </c>
      <c r="G1477" t="s">
        <v>159</v>
      </c>
      <c r="H1477" t="s">
        <v>31</v>
      </c>
      <c r="I1477" t="s">
        <v>147</v>
      </c>
      <c r="J1477" t="s">
        <v>33</v>
      </c>
      <c r="K1477">
        <v>4</v>
      </c>
      <c r="L1477" t="s">
        <v>23</v>
      </c>
      <c r="M1477" t="s">
        <v>61</v>
      </c>
      <c r="N1477" t="s">
        <v>34</v>
      </c>
      <c r="O1477">
        <v>24</v>
      </c>
      <c r="P1477" t="s">
        <v>25</v>
      </c>
      <c r="Q1477" t="s">
        <v>42</v>
      </c>
      <c r="R1477" s="1">
        <v>0.1</v>
      </c>
      <c r="S1477">
        <f t="shared" si="92"/>
        <v>54.9</v>
      </c>
      <c r="T1477">
        <f>IFERROR(VLOOKUP(A1477,Table1[[Customer ID]:[Discount Amount]], 6, FALSE),"Not Found")</f>
        <v>61</v>
      </c>
      <c r="U1477" t="str">
        <f t="shared" si="93"/>
        <v>Cash</v>
      </c>
      <c r="V1477" s="4" t="str">
        <f t="shared" si="94"/>
        <v>Normal</v>
      </c>
      <c r="W1477" s="4" t="str">
        <f t="shared" si="95"/>
        <v>Good</v>
      </c>
      <c r="X1477" s="4">
        <f>AVERAGE(Table1[Purchase Amount])</f>
        <v>129.48419400000012</v>
      </c>
    </row>
    <row r="1478" spans="1:24" ht="15" customHeight="1" x14ac:dyDescent="0.25">
      <c r="A1478">
        <v>1477</v>
      </c>
      <c r="B1478">
        <v>39</v>
      </c>
      <c r="C1478" t="s">
        <v>27</v>
      </c>
      <c r="D1478" t="s">
        <v>64</v>
      </c>
      <c r="E1478" t="s">
        <v>29</v>
      </c>
      <c r="F1478" s="2">
        <v>56</v>
      </c>
      <c r="G1478" t="s">
        <v>162</v>
      </c>
      <c r="H1478" t="s">
        <v>31</v>
      </c>
      <c r="I1478" t="s">
        <v>87</v>
      </c>
      <c r="J1478" t="s">
        <v>47</v>
      </c>
      <c r="K1478">
        <v>4.0999999999999996</v>
      </c>
      <c r="L1478" t="s">
        <v>23</v>
      </c>
      <c r="M1478" t="s">
        <v>79</v>
      </c>
      <c r="N1478" t="s">
        <v>34</v>
      </c>
      <c r="O1478">
        <v>18</v>
      </c>
      <c r="P1478" t="s">
        <v>53</v>
      </c>
      <c r="Q1478" t="s">
        <v>42</v>
      </c>
      <c r="R1478" s="1">
        <v>0.1</v>
      </c>
      <c r="S1478">
        <f t="shared" si="92"/>
        <v>50.4</v>
      </c>
      <c r="T1478">
        <f>IFERROR(VLOOKUP(A1478,Table1[[Customer ID]:[Discount Amount]], 6, FALSE),"Not Found")</f>
        <v>56</v>
      </c>
      <c r="U1478" t="str">
        <f t="shared" si="93"/>
        <v>Credit Card</v>
      </c>
      <c r="V1478" s="4" t="str">
        <f t="shared" si="94"/>
        <v>Normal</v>
      </c>
      <c r="W1478" s="4" t="str">
        <f t="shared" si="95"/>
        <v>Good</v>
      </c>
      <c r="X1478" s="4">
        <f>AVERAGE(Table1[Purchase Amount])</f>
        <v>129.48419400000012</v>
      </c>
    </row>
    <row r="1479" spans="1:24" ht="15" customHeight="1" x14ac:dyDescent="0.25">
      <c r="A1479">
        <v>1478</v>
      </c>
      <c r="B1479">
        <v>24</v>
      </c>
      <c r="C1479" t="s">
        <v>27</v>
      </c>
      <c r="D1479" t="s">
        <v>114</v>
      </c>
      <c r="E1479" t="s">
        <v>29</v>
      </c>
      <c r="F1479" s="2">
        <v>32</v>
      </c>
      <c r="G1479" t="s">
        <v>123</v>
      </c>
      <c r="H1479" t="s">
        <v>20</v>
      </c>
      <c r="I1479" t="s">
        <v>153</v>
      </c>
      <c r="J1479" t="s">
        <v>57</v>
      </c>
      <c r="K1479">
        <v>4.3</v>
      </c>
      <c r="L1479" t="s">
        <v>23</v>
      </c>
      <c r="M1479" t="s">
        <v>24</v>
      </c>
      <c r="N1479" t="s">
        <v>34</v>
      </c>
      <c r="O1479">
        <v>1</v>
      </c>
      <c r="P1479" t="s">
        <v>58</v>
      </c>
      <c r="Q1479" t="s">
        <v>63</v>
      </c>
      <c r="R1479" s="1">
        <v>0.1</v>
      </c>
      <c r="S1479">
        <f t="shared" si="92"/>
        <v>28.8</v>
      </c>
      <c r="T1479">
        <f>IFERROR(VLOOKUP(A1479,Table1[[Customer ID]:[Discount Amount]], 6, FALSE),"Not Found")</f>
        <v>32</v>
      </c>
      <c r="U1479" t="str">
        <f t="shared" si="93"/>
        <v>PayPal</v>
      </c>
      <c r="V1479" s="4" t="str">
        <f t="shared" si="94"/>
        <v>Normal</v>
      </c>
      <c r="W1479" s="4" t="str">
        <f t="shared" si="95"/>
        <v>Good</v>
      </c>
      <c r="X1479" s="4">
        <f>AVERAGE(Table1[Purchase Amount])</f>
        <v>129.48419400000012</v>
      </c>
    </row>
    <row r="1480" spans="1:24" ht="15" customHeight="1" x14ac:dyDescent="0.25">
      <c r="A1480">
        <v>1479</v>
      </c>
      <c r="B1480">
        <v>28</v>
      </c>
      <c r="C1480" t="s">
        <v>27</v>
      </c>
      <c r="D1480" t="s">
        <v>43</v>
      </c>
      <c r="E1480" t="s">
        <v>29</v>
      </c>
      <c r="F1480" s="2">
        <v>23</v>
      </c>
      <c r="G1480" t="s">
        <v>155</v>
      </c>
      <c r="H1480" t="s">
        <v>31</v>
      </c>
      <c r="I1480" t="s">
        <v>74</v>
      </c>
      <c r="J1480" t="s">
        <v>57</v>
      </c>
      <c r="K1480">
        <v>4.2</v>
      </c>
      <c r="L1480" t="s">
        <v>23</v>
      </c>
      <c r="M1480" t="s">
        <v>35</v>
      </c>
      <c r="N1480" t="s">
        <v>34</v>
      </c>
      <c r="O1480">
        <v>13</v>
      </c>
      <c r="P1480" t="s">
        <v>62</v>
      </c>
      <c r="Q1480" t="s">
        <v>68</v>
      </c>
      <c r="R1480" s="1">
        <v>0.1</v>
      </c>
      <c r="S1480">
        <f t="shared" si="92"/>
        <v>20.7</v>
      </c>
      <c r="T1480">
        <f>IFERROR(VLOOKUP(A1480,Table1[[Customer ID]:[Discount Amount]], 6, FALSE),"Not Found")</f>
        <v>23</v>
      </c>
      <c r="U1480" t="str">
        <f t="shared" si="93"/>
        <v>Venmo</v>
      </c>
      <c r="V1480" s="4" t="str">
        <f t="shared" si="94"/>
        <v>Normal</v>
      </c>
      <c r="W1480" s="4" t="str">
        <f t="shared" si="95"/>
        <v>Good</v>
      </c>
      <c r="X1480" s="4">
        <f>AVERAGE(Table1[Purchase Amount])</f>
        <v>129.48419400000012</v>
      </c>
    </row>
    <row r="1481" spans="1:24" ht="15" customHeight="1" x14ac:dyDescent="0.25">
      <c r="A1481">
        <v>1480</v>
      </c>
      <c r="B1481">
        <v>48</v>
      </c>
      <c r="C1481" t="s">
        <v>27</v>
      </c>
      <c r="D1481" t="s">
        <v>76</v>
      </c>
      <c r="E1481" t="s">
        <v>77</v>
      </c>
      <c r="F1481" s="2">
        <v>100</v>
      </c>
      <c r="G1481" t="s">
        <v>155</v>
      </c>
      <c r="H1481" t="s">
        <v>45</v>
      </c>
      <c r="I1481" t="s">
        <v>40</v>
      </c>
      <c r="J1481" t="s">
        <v>33</v>
      </c>
      <c r="K1481">
        <v>4</v>
      </c>
      <c r="L1481" t="s">
        <v>23</v>
      </c>
      <c r="M1481" t="s">
        <v>24</v>
      </c>
      <c r="N1481" t="s">
        <v>34</v>
      </c>
      <c r="O1481">
        <v>2</v>
      </c>
      <c r="P1481" t="s">
        <v>88</v>
      </c>
      <c r="Q1481" t="s">
        <v>26</v>
      </c>
      <c r="R1481" s="1">
        <v>0.1</v>
      </c>
      <c r="S1481">
        <f t="shared" si="92"/>
        <v>90</v>
      </c>
      <c r="T1481">
        <f>IFERROR(VLOOKUP(A1481,Table1[[Customer ID]:[Discount Amount]], 6, FALSE),"Not Found")</f>
        <v>100</v>
      </c>
      <c r="U1481" t="str">
        <f t="shared" si="93"/>
        <v>Bank Transfer</v>
      </c>
      <c r="V1481" s="4" t="str">
        <f t="shared" si="94"/>
        <v>Normal</v>
      </c>
      <c r="W1481" s="4" t="str">
        <f t="shared" si="95"/>
        <v>Good</v>
      </c>
      <c r="X1481" s="4">
        <f>AVERAGE(Table1[Purchase Amount])</f>
        <v>129.48419400000012</v>
      </c>
    </row>
    <row r="1482" spans="1:24" ht="15" customHeight="1" x14ac:dyDescent="0.25">
      <c r="A1482">
        <v>1481</v>
      </c>
      <c r="B1482">
        <v>39</v>
      </c>
      <c r="C1482" t="s">
        <v>27</v>
      </c>
      <c r="D1482" t="s">
        <v>50</v>
      </c>
      <c r="E1482" t="s">
        <v>29</v>
      </c>
      <c r="F1482" s="2">
        <v>74</v>
      </c>
      <c r="G1482" t="s">
        <v>132</v>
      </c>
      <c r="H1482" t="s">
        <v>31</v>
      </c>
      <c r="I1482" t="s">
        <v>133</v>
      </c>
      <c r="J1482" t="s">
        <v>47</v>
      </c>
      <c r="K1482">
        <v>3.6</v>
      </c>
      <c r="L1482" t="s">
        <v>23</v>
      </c>
      <c r="M1482" t="s">
        <v>61</v>
      </c>
      <c r="N1482" t="s">
        <v>34</v>
      </c>
      <c r="O1482">
        <v>26</v>
      </c>
      <c r="P1482" t="s">
        <v>25</v>
      </c>
      <c r="Q1482" t="s">
        <v>37</v>
      </c>
      <c r="R1482" s="1">
        <v>0.1</v>
      </c>
      <c r="S1482">
        <f t="shared" si="92"/>
        <v>66.599999999999994</v>
      </c>
      <c r="T1482">
        <f>IFERROR(VLOOKUP(A1482,Table1[[Customer ID]:[Discount Amount]], 6, FALSE),"Not Found")</f>
        <v>74</v>
      </c>
      <c r="U1482" t="str">
        <f t="shared" si="93"/>
        <v>Cash</v>
      </c>
      <c r="V1482" s="4" t="str">
        <f t="shared" si="94"/>
        <v>Normal</v>
      </c>
      <c r="W1482" s="4" t="str">
        <f t="shared" si="95"/>
        <v>Good</v>
      </c>
      <c r="X1482" s="4">
        <f>AVERAGE(Table1[Purchase Amount])</f>
        <v>129.48419400000012</v>
      </c>
    </row>
    <row r="1483" spans="1:24" ht="15" customHeight="1" x14ac:dyDescent="0.25">
      <c r="A1483">
        <v>1482</v>
      </c>
      <c r="B1483">
        <v>64</v>
      </c>
      <c r="C1483" t="s">
        <v>27</v>
      </c>
      <c r="D1483" t="s">
        <v>122</v>
      </c>
      <c r="E1483" t="s">
        <v>18</v>
      </c>
      <c r="F1483" s="2">
        <v>33</v>
      </c>
      <c r="G1483" t="s">
        <v>106</v>
      </c>
      <c r="H1483" t="s">
        <v>55</v>
      </c>
      <c r="I1483" t="s">
        <v>85</v>
      </c>
      <c r="J1483" t="s">
        <v>33</v>
      </c>
      <c r="K1483">
        <v>3.3</v>
      </c>
      <c r="L1483" t="s">
        <v>23</v>
      </c>
      <c r="M1483" t="s">
        <v>24</v>
      </c>
      <c r="N1483" t="s">
        <v>34</v>
      </c>
      <c r="O1483">
        <v>31</v>
      </c>
      <c r="P1483" t="s">
        <v>58</v>
      </c>
      <c r="Q1483" t="s">
        <v>37</v>
      </c>
      <c r="R1483" s="1">
        <v>0.1</v>
      </c>
      <c r="S1483">
        <f t="shared" si="92"/>
        <v>29.7</v>
      </c>
      <c r="T1483">
        <f>IFERROR(VLOOKUP(A1483,Table1[[Customer ID]:[Discount Amount]], 6, FALSE),"Not Found")</f>
        <v>33</v>
      </c>
      <c r="U1483" t="str">
        <f t="shared" si="93"/>
        <v>PayPal</v>
      </c>
      <c r="V1483" s="4" t="str">
        <f t="shared" si="94"/>
        <v>Normal</v>
      </c>
      <c r="W1483" s="4" t="str">
        <f t="shared" si="95"/>
        <v>Good</v>
      </c>
      <c r="X1483" s="4">
        <f>AVERAGE(Table1[Purchase Amount])</f>
        <v>129.48419400000012</v>
      </c>
    </row>
    <row r="1484" spans="1:24" ht="15" customHeight="1" x14ac:dyDescent="0.25">
      <c r="A1484">
        <v>1483</v>
      </c>
      <c r="B1484">
        <v>28</v>
      </c>
      <c r="C1484" t="s">
        <v>27</v>
      </c>
      <c r="D1484" t="s">
        <v>43</v>
      </c>
      <c r="E1484" t="s">
        <v>29</v>
      </c>
      <c r="F1484" s="2">
        <v>67</v>
      </c>
      <c r="G1484" t="s">
        <v>59</v>
      </c>
      <c r="H1484" t="s">
        <v>55</v>
      </c>
      <c r="I1484" t="s">
        <v>87</v>
      </c>
      <c r="J1484" t="s">
        <v>33</v>
      </c>
      <c r="K1484">
        <v>4.0999999999999996</v>
      </c>
      <c r="L1484" t="s">
        <v>23</v>
      </c>
      <c r="M1484" t="s">
        <v>41</v>
      </c>
      <c r="N1484" t="s">
        <v>34</v>
      </c>
      <c r="O1484">
        <v>43</v>
      </c>
      <c r="P1484" t="s">
        <v>88</v>
      </c>
      <c r="Q1484" t="s">
        <v>26</v>
      </c>
      <c r="R1484" s="1">
        <v>0.1</v>
      </c>
      <c r="S1484">
        <f t="shared" si="92"/>
        <v>60.3</v>
      </c>
      <c r="T1484">
        <f>IFERROR(VLOOKUP(A1484,Table1[[Customer ID]:[Discount Amount]], 6, FALSE),"Not Found")</f>
        <v>67</v>
      </c>
      <c r="U1484" t="str">
        <f t="shared" si="93"/>
        <v>Bank Transfer</v>
      </c>
      <c r="V1484" s="4" t="str">
        <f t="shared" si="94"/>
        <v>Normal</v>
      </c>
      <c r="W1484" s="4" t="str">
        <f t="shared" si="95"/>
        <v>Good</v>
      </c>
      <c r="X1484" s="4">
        <f>AVERAGE(Table1[Purchase Amount])</f>
        <v>129.48419400000012</v>
      </c>
    </row>
    <row r="1485" spans="1:24" ht="15" customHeight="1" x14ac:dyDescent="0.25">
      <c r="A1485">
        <v>1484</v>
      </c>
      <c r="B1485">
        <v>39</v>
      </c>
      <c r="C1485" t="s">
        <v>27</v>
      </c>
      <c r="D1485" t="s">
        <v>50</v>
      </c>
      <c r="E1485" t="s">
        <v>29</v>
      </c>
      <c r="F1485" s="2">
        <v>61</v>
      </c>
      <c r="G1485" t="s">
        <v>97</v>
      </c>
      <c r="H1485" t="s">
        <v>55</v>
      </c>
      <c r="I1485" t="s">
        <v>52</v>
      </c>
      <c r="J1485" t="s">
        <v>57</v>
      </c>
      <c r="K1485">
        <v>4.7</v>
      </c>
      <c r="L1485" t="s">
        <v>23</v>
      </c>
      <c r="M1485" t="s">
        <v>79</v>
      </c>
      <c r="N1485" t="s">
        <v>34</v>
      </c>
      <c r="O1485">
        <v>12</v>
      </c>
      <c r="P1485" t="s">
        <v>36</v>
      </c>
      <c r="Q1485" t="s">
        <v>68</v>
      </c>
      <c r="R1485" s="1">
        <v>0.1</v>
      </c>
      <c r="S1485">
        <f t="shared" si="92"/>
        <v>54.9</v>
      </c>
      <c r="T1485">
        <f>IFERROR(VLOOKUP(A1485,Table1[[Customer ID]:[Discount Amount]], 6, FALSE),"Not Found")</f>
        <v>61</v>
      </c>
      <c r="U1485" t="str">
        <f t="shared" si="93"/>
        <v>Debit Card</v>
      </c>
      <c r="V1485" s="4" t="str">
        <f t="shared" si="94"/>
        <v>Normal</v>
      </c>
      <c r="W1485" s="4" t="str">
        <f t="shared" si="95"/>
        <v>Good</v>
      </c>
      <c r="X1485" s="4">
        <f>AVERAGE(Table1[Purchase Amount])</f>
        <v>129.48419400000012</v>
      </c>
    </row>
    <row r="1486" spans="1:24" ht="15" customHeight="1" x14ac:dyDescent="0.25">
      <c r="A1486">
        <v>1485</v>
      </c>
      <c r="B1486">
        <v>49</v>
      </c>
      <c r="C1486" t="s">
        <v>27</v>
      </c>
      <c r="D1486" t="s">
        <v>54</v>
      </c>
      <c r="E1486" t="s">
        <v>18</v>
      </c>
      <c r="F1486" s="2">
        <v>46</v>
      </c>
      <c r="G1486" t="s">
        <v>137</v>
      </c>
      <c r="H1486" t="s">
        <v>31</v>
      </c>
      <c r="I1486" t="s">
        <v>147</v>
      </c>
      <c r="J1486" t="s">
        <v>57</v>
      </c>
      <c r="K1486">
        <v>4.4000000000000004</v>
      </c>
      <c r="L1486" t="s">
        <v>23</v>
      </c>
      <c r="M1486" t="s">
        <v>48</v>
      </c>
      <c r="N1486" t="s">
        <v>34</v>
      </c>
      <c r="O1486">
        <v>22</v>
      </c>
      <c r="P1486" t="s">
        <v>62</v>
      </c>
      <c r="Q1486" t="s">
        <v>63</v>
      </c>
      <c r="R1486" s="1">
        <v>0.1</v>
      </c>
      <c r="S1486">
        <f t="shared" si="92"/>
        <v>41.4</v>
      </c>
      <c r="T1486">
        <f>IFERROR(VLOOKUP(A1486,Table1[[Customer ID]:[Discount Amount]], 6, FALSE),"Not Found")</f>
        <v>46</v>
      </c>
      <c r="U1486" t="str">
        <f t="shared" si="93"/>
        <v>Venmo</v>
      </c>
      <c r="V1486" s="4" t="str">
        <f t="shared" si="94"/>
        <v>Normal</v>
      </c>
      <c r="W1486" s="4" t="str">
        <f t="shared" si="95"/>
        <v>Good</v>
      </c>
      <c r="X1486" s="4">
        <f>AVERAGE(Table1[Purchase Amount])</f>
        <v>129.48419400000012</v>
      </c>
    </row>
    <row r="1487" spans="1:24" ht="15" customHeight="1" x14ac:dyDescent="0.25">
      <c r="A1487">
        <v>1486</v>
      </c>
      <c r="B1487">
        <v>22</v>
      </c>
      <c r="C1487" t="s">
        <v>27</v>
      </c>
      <c r="D1487" t="s">
        <v>43</v>
      </c>
      <c r="E1487" t="s">
        <v>29</v>
      </c>
      <c r="F1487" s="2">
        <v>56</v>
      </c>
      <c r="G1487" t="s">
        <v>137</v>
      </c>
      <c r="H1487" t="s">
        <v>45</v>
      </c>
      <c r="I1487" t="s">
        <v>46</v>
      </c>
      <c r="J1487" t="s">
        <v>33</v>
      </c>
      <c r="K1487">
        <v>3.4</v>
      </c>
      <c r="L1487" t="s">
        <v>23</v>
      </c>
      <c r="M1487" t="s">
        <v>24</v>
      </c>
      <c r="N1487" t="s">
        <v>34</v>
      </c>
      <c r="O1487">
        <v>3</v>
      </c>
      <c r="P1487" t="s">
        <v>25</v>
      </c>
      <c r="Q1487" t="s">
        <v>89</v>
      </c>
      <c r="R1487" s="1">
        <v>0.1</v>
      </c>
      <c r="S1487">
        <f t="shared" si="92"/>
        <v>50.4</v>
      </c>
      <c r="T1487">
        <f>IFERROR(VLOOKUP(A1487,Table1[[Customer ID]:[Discount Amount]], 6, FALSE),"Not Found")</f>
        <v>56</v>
      </c>
      <c r="U1487" t="str">
        <f t="shared" si="93"/>
        <v>Cash</v>
      </c>
      <c r="V1487" s="4" t="str">
        <f t="shared" si="94"/>
        <v>Normal</v>
      </c>
      <c r="W1487" s="4" t="str">
        <f t="shared" si="95"/>
        <v>Good</v>
      </c>
      <c r="X1487" s="4">
        <f>AVERAGE(Table1[Purchase Amount])</f>
        <v>129.48419400000012</v>
      </c>
    </row>
    <row r="1488" spans="1:24" ht="15" customHeight="1" x14ac:dyDescent="0.25">
      <c r="A1488">
        <v>1487</v>
      </c>
      <c r="B1488">
        <v>25</v>
      </c>
      <c r="C1488" t="s">
        <v>27</v>
      </c>
      <c r="D1488" t="s">
        <v>140</v>
      </c>
      <c r="E1488" t="s">
        <v>98</v>
      </c>
      <c r="F1488" s="2">
        <v>73</v>
      </c>
      <c r="G1488" t="s">
        <v>161</v>
      </c>
      <c r="H1488" t="s">
        <v>55</v>
      </c>
      <c r="I1488" t="s">
        <v>52</v>
      </c>
      <c r="J1488" t="s">
        <v>33</v>
      </c>
      <c r="K1488">
        <v>5</v>
      </c>
      <c r="L1488" t="s">
        <v>23</v>
      </c>
      <c r="M1488" t="s">
        <v>35</v>
      </c>
      <c r="N1488" t="s">
        <v>34</v>
      </c>
      <c r="O1488">
        <v>23</v>
      </c>
      <c r="P1488" t="s">
        <v>62</v>
      </c>
      <c r="Q1488" t="s">
        <v>63</v>
      </c>
      <c r="R1488" s="1">
        <v>0.1</v>
      </c>
      <c r="S1488">
        <f t="shared" si="92"/>
        <v>65.7</v>
      </c>
      <c r="T1488">
        <f>IFERROR(VLOOKUP(A1488,Table1[[Customer ID]:[Discount Amount]], 6, FALSE),"Not Found")</f>
        <v>73</v>
      </c>
      <c r="U1488" t="str">
        <f t="shared" si="93"/>
        <v>Venmo</v>
      </c>
      <c r="V1488" s="4" t="str">
        <f t="shared" si="94"/>
        <v>Normal</v>
      </c>
      <c r="W1488" s="4" t="str">
        <f t="shared" si="95"/>
        <v>Good</v>
      </c>
      <c r="X1488" s="4">
        <f>AVERAGE(Table1[Purchase Amount])</f>
        <v>129.48419400000012</v>
      </c>
    </row>
    <row r="1489" spans="1:24" ht="15" customHeight="1" x14ac:dyDescent="0.25">
      <c r="A1489">
        <v>1488</v>
      </c>
      <c r="B1489">
        <v>40</v>
      </c>
      <c r="C1489" t="s">
        <v>27</v>
      </c>
      <c r="D1489" t="s">
        <v>122</v>
      </c>
      <c r="E1489" t="s">
        <v>18</v>
      </c>
      <c r="F1489" s="2">
        <v>44</v>
      </c>
      <c r="G1489" t="s">
        <v>150</v>
      </c>
      <c r="H1489" t="s">
        <v>45</v>
      </c>
      <c r="I1489" t="s">
        <v>40</v>
      </c>
      <c r="J1489" t="s">
        <v>57</v>
      </c>
      <c r="K1489">
        <v>4.5999999999999996</v>
      </c>
      <c r="L1489" t="s">
        <v>23</v>
      </c>
      <c r="M1489" t="s">
        <v>48</v>
      </c>
      <c r="N1489" t="s">
        <v>34</v>
      </c>
      <c r="O1489">
        <v>26</v>
      </c>
      <c r="P1489" t="s">
        <v>58</v>
      </c>
      <c r="Q1489" t="s">
        <v>49</v>
      </c>
      <c r="R1489" s="1">
        <v>0.1</v>
      </c>
      <c r="S1489">
        <f t="shared" si="92"/>
        <v>39.6</v>
      </c>
      <c r="T1489">
        <f>IFERROR(VLOOKUP(A1489,Table1[[Customer ID]:[Discount Amount]], 6, FALSE),"Not Found")</f>
        <v>44</v>
      </c>
      <c r="U1489" t="str">
        <f t="shared" si="93"/>
        <v>PayPal</v>
      </c>
      <c r="V1489" s="4" t="str">
        <f t="shared" si="94"/>
        <v>Normal</v>
      </c>
      <c r="W1489" s="4" t="str">
        <f t="shared" si="95"/>
        <v>Good</v>
      </c>
      <c r="X1489" s="4">
        <f>AVERAGE(Table1[Purchase Amount])</f>
        <v>129.48419400000012</v>
      </c>
    </row>
    <row r="1490" spans="1:24" ht="15" customHeight="1" x14ac:dyDescent="0.25">
      <c r="A1490">
        <v>1489</v>
      </c>
      <c r="B1490">
        <v>23</v>
      </c>
      <c r="C1490" t="s">
        <v>27</v>
      </c>
      <c r="D1490" t="s">
        <v>64</v>
      </c>
      <c r="E1490" t="s">
        <v>29</v>
      </c>
      <c r="F1490" s="2">
        <v>44</v>
      </c>
      <c r="G1490" t="s">
        <v>135</v>
      </c>
      <c r="H1490" t="s">
        <v>45</v>
      </c>
      <c r="I1490" t="s">
        <v>136</v>
      </c>
      <c r="J1490" t="s">
        <v>22</v>
      </c>
      <c r="K1490">
        <v>4</v>
      </c>
      <c r="L1490" t="s">
        <v>23</v>
      </c>
      <c r="M1490" t="s">
        <v>24</v>
      </c>
      <c r="N1490" t="s">
        <v>34</v>
      </c>
      <c r="O1490">
        <v>37</v>
      </c>
      <c r="P1490" t="s">
        <v>53</v>
      </c>
      <c r="Q1490" t="s">
        <v>26</v>
      </c>
      <c r="R1490" s="1">
        <v>0.1</v>
      </c>
      <c r="S1490">
        <f t="shared" si="92"/>
        <v>39.6</v>
      </c>
      <c r="T1490">
        <f>IFERROR(VLOOKUP(A1490,Table1[[Customer ID]:[Discount Amount]], 6, FALSE),"Not Found")</f>
        <v>44</v>
      </c>
      <c r="U1490" t="str">
        <f t="shared" si="93"/>
        <v>Credit Card</v>
      </c>
      <c r="V1490" s="4" t="str">
        <f t="shared" si="94"/>
        <v>Normal</v>
      </c>
      <c r="W1490" s="4" t="str">
        <f t="shared" si="95"/>
        <v>Good</v>
      </c>
      <c r="X1490" s="4">
        <f>AVERAGE(Table1[Purchase Amount])</f>
        <v>129.48419400000012</v>
      </c>
    </row>
    <row r="1491" spans="1:24" ht="15" customHeight="1" x14ac:dyDescent="0.25">
      <c r="A1491">
        <v>1490</v>
      </c>
      <c r="B1491">
        <v>24</v>
      </c>
      <c r="C1491" t="s">
        <v>27</v>
      </c>
      <c r="D1491" t="s">
        <v>50</v>
      </c>
      <c r="E1491" t="s">
        <v>29</v>
      </c>
      <c r="F1491" s="2">
        <v>26</v>
      </c>
      <c r="G1491" t="s">
        <v>146</v>
      </c>
      <c r="H1491" t="s">
        <v>20</v>
      </c>
      <c r="I1491" t="s">
        <v>87</v>
      </c>
      <c r="J1491" t="s">
        <v>57</v>
      </c>
      <c r="K1491">
        <v>4.0999999999999996</v>
      </c>
      <c r="L1491" t="s">
        <v>23</v>
      </c>
      <c r="M1491" t="s">
        <v>79</v>
      </c>
      <c r="N1491" t="s">
        <v>34</v>
      </c>
      <c r="O1491">
        <v>42</v>
      </c>
      <c r="P1491" t="s">
        <v>62</v>
      </c>
      <c r="Q1491" t="s">
        <v>37</v>
      </c>
      <c r="R1491" s="1">
        <v>0.1</v>
      </c>
      <c r="S1491">
        <f t="shared" si="92"/>
        <v>23.4</v>
      </c>
      <c r="T1491">
        <f>IFERROR(VLOOKUP(A1491,Table1[[Customer ID]:[Discount Amount]], 6, FALSE),"Not Found")</f>
        <v>26</v>
      </c>
      <c r="U1491" t="str">
        <f t="shared" si="93"/>
        <v>Venmo</v>
      </c>
      <c r="V1491" s="4" t="str">
        <f t="shared" si="94"/>
        <v>Normal</v>
      </c>
      <c r="W1491" s="4" t="str">
        <f t="shared" si="95"/>
        <v>Good</v>
      </c>
      <c r="X1491" s="4">
        <f>AVERAGE(Table1[Purchase Amount])</f>
        <v>129.48419400000012</v>
      </c>
    </row>
    <row r="1492" spans="1:24" ht="15" customHeight="1" x14ac:dyDescent="0.25">
      <c r="A1492">
        <v>1491</v>
      </c>
      <c r="B1492">
        <v>66</v>
      </c>
      <c r="C1492" t="s">
        <v>27</v>
      </c>
      <c r="D1492" t="s">
        <v>140</v>
      </c>
      <c r="E1492" t="s">
        <v>98</v>
      </c>
      <c r="F1492" s="2">
        <v>52</v>
      </c>
      <c r="G1492" t="s">
        <v>119</v>
      </c>
      <c r="H1492" t="s">
        <v>45</v>
      </c>
      <c r="I1492" t="s">
        <v>21</v>
      </c>
      <c r="J1492" t="s">
        <v>33</v>
      </c>
      <c r="K1492">
        <v>4.9000000000000004</v>
      </c>
      <c r="L1492" t="s">
        <v>23</v>
      </c>
      <c r="M1492" t="s">
        <v>61</v>
      </c>
      <c r="N1492" t="s">
        <v>34</v>
      </c>
      <c r="O1492">
        <v>15</v>
      </c>
      <c r="P1492" t="s">
        <v>62</v>
      </c>
      <c r="Q1492" t="s">
        <v>68</v>
      </c>
      <c r="R1492" s="1">
        <v>0.1</v>
      </c>
      <c r="S1492">
        <f t="shared" si="92"/>
        <v>46.8</v>
      </c>
      <c r="T1492">
        <f>IFERROR(VLOOKUP(A1492,Table1[[Customer ID]:[Discount Amount]], 6, FALSE),"Not Found")</f>
        <v>52</v>
      </c>
      <c r="U1492" t="str">
        <f t="shared" si="93"/>
        <v>Venmo</v>
      </c>
      <c r="V1492" s="4" t="str">
        <f t="shared" si="94"/>
        <v>Normal</v>
      </c>
      <c r="W1492" s="4" t="str">
        <f t="shared" si="95"/>
        <v>Good</v>
      </c>
      <c r="X1492" s="4">
        <f>AVERAGE(Table1[Purchase Amount])</f>
        <v>129.48419400000012</v>
      </c>
    </row>
    <row r="1493" spans="1:24" ht="15" customHeight="1" x14ac:dyDescent="0.25">
      <c r="A1493">
        <v>1492</v>
      </c>
      <c r="B1493">
        <v>27</v>
      </c>
      <c r="C1493" t="s">
        <v>27</v>
      </c>
      <c r="D1493" t="s">
        <v>38</v>
      </c>
      <c r="E1493" t="s">
        <v>18</v>
      </c>
      <c r="F1493" s="2">
        <v>54</v>
      </c>
      <c r="G1493" t="s">
        <v>100</v>
      </c>
      <c r="H1493" t="s">
        <v>55</v>
      </c>
      <c r="I1493" t="s">
        <v>40</v>
      </c>
      <c r="J1493" t="s">
        <v>57</v>
      </c>
      <c r="K1493">
        <v>2.7</v>
      </c>
      <c r="L1493" t="s">
        <v>23</v>
      </c>
      <c r="M1493" t="s">
        <v>35</v>
      </c>
      <c r="N1493" t="s">
        <v>34</v>
      </c>
      <c r="O1493">
        <v>10</v>
      </c>
      <c r="P1493" t="s">
        <v>88</v>
      </c>
      <c r="Q1493" t="s">
        <v>37</v>
      </c>
      <c r="R1493" s="1">
        <v>0.1</v>
      </c>
      <c r="S1493">
        <f t="shared" si="92"/>
        <v>48.6</v>
      </c>
      <c r="T1493">
        <f>IFERROR(VLOOKUP(A1493,Table1[[Customer ID]:[Discount Amount]], 6, FALSE),"Not Found")</f>
        <v>54</v>
      </c>
      <c r="U1493" t="str">
        <f t="shared" si="93"/>
        <v>Bank Transfer</v>
      </c>
      <c r="V1493" s="4" t="str">
        <f t="shared" si="94"/>
        <v>Normal</v>
      </c>
      <c r="W1493" s="4" t="str">
        <f t="shared" si="95"/>
        <v>Poor</v>
      </c>
      <c r="X1493" s="4">
        <f>AVERAGE(Table1[Purchase Amount])</f>
        <v>129.48419400000012</v>
      </c>
    </row>
    <row r="1494" spans="1:24" ht="15" customHeight="1" x14ac:dyDescent="0.25">
      <c r="A1494">
        <v>1493</v>
      </c>
      <c r="B1494">
        <v>62</v>
      </c>
      <c r="C1494" t="s">
        <v>27</v>
      </c>
      <c r="D1494" t="s">
        <v>96</v>
      </c>
      <c r="E1494" t="s">
        <v>77</v>
      </c>
      <c r="F1494" s="2">
        <v>38</v>
      </c>
      <c r="G1494" t="s">
        <v>134</v>
      </c>
      <c r="H1494" t="s">
        <v>31</v>
      </c>
      <c r="I1494" t="s">
        <v>125</v>
      </c>
      <c r="J1494" t="s">
        <v>57</v>
      </c>
      <c r="K1494">
        <v>4.5</v>
      </c>
      <c r="L1494" t="s">
        <v>23</v>
      </c>
      <c r="M1494" t="s">
        <v>35</v>
      </c>
      <c r="N1494" t="s">
        <v>34</v>
      </c>
      <c r="O1494">
        <v>3</v>
      </c>
      <c r="P1494" t="s">
        <v>62</v>
      </c>
      <c r="Q1494" t="s">
        <v>37</v>
      </c>
      <c r="R1494" s="1">
        <v>0.1</v>
      </c>
      <c r="S1494">
        <f t="shared" si="92"/>
        <v>34.200000000000003</v>
      </c>
      <c r="T1494">
        <f>IFERROR(VLOOKUP(A1494,Table1[[Customer ID]:[Discount Amount]], 6, FALSE),"Not Found")</f>
        <v>38</v>
      </c>
      <c r="U1494" t="str">
        <f t="shared" si="93"/>
        <v>Venmo</v>
      </c>
      <c r="V1494" s="4" t="str">
        <f t="shared" si="94"/>
        <v>Normal</v>
      </c>
      <c r="W1494" s="4" t="str">
        <f t="shared" si="95"/>
        <v>Good</v>
      </c>
      <c r="X1494" s="4">
        <f>AVERAGE(Table1[Purchase Amount])</f>
        <v>129.48419400000012</v>
      </c>
    </row>
    <row r="1495" spans="1:24" ht="15" customHeight="1" x14ac:dyDescent="0.25">
      <c r="A1495">
        <v>1494</v>
      </c>
      <c r="B1495">
        <v>70</v>
      </c>
      <c r="C1495" t="s">
        <v>27</v>
      </c>
      <c r="D1495" t="s">
        <v>114</v>
      </c>
      <c r="E1495" t="s">
        <v>29</v>
      </c>
      <c r="F1495" s="2">
        <v>44</v>
      </c>
      <c r="G1495" t="s">
        <v>86</v>
      </c>
      <c r="H1495" t="s">
        <v>55</v>
      </c>
      <c r="I1495" t="s">
        <v>133</v>
      </c>
      <c r="J1495" t="s">
        <v>47</v>
      </c>
      <c r="K1495">
        <v>2.7</v>
      </c>
      <c r="L1495" t="s">
        <v>23</v>
      </c>
      <c r="M1495" t="s">
        <v>24</v>
      </c>
      <c r="N1495" t="s">
        <v>34</v>
      </c>
      <c r="O1495">
        <v>44</v>
      </c>
      <c r="P1495" t="s">
        <v>53</v>
      </c>
      <c r="Q1495" t="s">
        <v>37</v>
      </c>
      <c r="R1495" s="1">
        <v>0.1</v>
      </c>
      <c r="S1495">
        <f t="shared" si="92"/>
        <v>39.6</v>
      </c>
      <c r="T1495">
        <f>IFERROR(VLOOKUP(A1495,Table1[[Customer ID]:[Discount Amount]], 6, FALSE),"Not Found")</f>
        <v>44</v>
      </c>
      <c r="U1495" t="str">
        <f t="shared" si="93"/>
        <v>Credit Card</v>
      </c>
      <c r="V1495" s="4" t="str">
        <f t="shared" si="94"/>
        <v>Normal</v>
      </c>
      <c r="W1495" s="4" t="str">
        <f t="shared" si="95"/>
        <v>Poor</v>
      </c>
      <c r="X1495" s="4">
        <f>AVERAGE(Table1[Purchase Amount])</f>
        <v>129.48419400000012</v>
      </c>
    </row>
    <row r="1496" spans="1:24" ht="15" customHeight="1" x14ac:dyDescent="0.25">
      <c r="A1496">
        <v>1495</v>
      </c>
      <c r="B1496">
        <v>43</v>
      </c>
      <c r="C1496" t="s">
        <v>27</v>
      </c>
      <c r="D1496" t="s">
        <v>17</v>
      </c>
      <c r="E1496" t="s">
        <v>18</v>
      </c>
      <c r="F1496" s="2">
        <v>76</v>
      </c>
      <c r="G1496" t="s">
        <v>39</v>
      </c>
      <c r="H1496" t="s">
        <v>31</v>
      </c>
      <c r="I1496" t="s">
        <v>85</v>
      </c>
      <c r="J1496" t="s">
        <v>33</v>
      </c>
      <c r="K1496">
        <v>3</v>
      </c>
      <c r="L1496" t="s">
        <v>23</v>
      </c>
      <c r="M1496" t="s">
        <v>79</v>
      </c>
      <c r="N1496" t="s">
        <v>34</v>
      </c>
      <c r="O1496">
        <v>23</v>
      </c>
      <c r="P1496" t="s">
        <v>88</v>
      </c>
      <c r="Q1496" t="s">
        <v>89</v>
      </c>
      <c r="R1496" s="1">
        <v>0.1</v>
      </c>
      <c r="S1496">
        <f t="shared" si="92"/>
        <v>68.400000000000006</v>
      </c>
      <c r="T1496">
        <f>IFERROR(VLOOKUP(A1496,Table1[[Customer ID]:[Discount Amount]], 6, FALSE),"Not Found")</f>
        <v>76</v>
      </c>
      <c r="U1496" t="str">
        <f t="shared" si="93"/>
        <v>Bank Transfer</v>
      </c>
      <c r="V1496" s="4" t="str">
        <f t="shared" si="94"/>
        <v>Normal</v>
      </c>
      <c r="W1496" s="4" t="str">
        <f t="shared" si="95"/>
        <v>Good</v>
      </c>
      <c r="X1496" s="4">
        <f>AVERAGE(Table1[Purchase Amount])</f>
        <v>129.48419400000012</v>
      </c>
    </row>
    <row r="1497" spans="1:24" ht="15" customHeight="1" x14ac:dyDescent="0.25">
      <c r="A1497">
        <v>1496</v>
      </c>
      <c r="B1497">
        <v>45</v>
      </c>
      <c r="C1497" t="s">
        <v>27</v>
      </c>
      <c r="D1497" t="s">
        <v>50</v>
      </c>
      <c r="E1497" t="s">
        <v>29</v>
      </c>
      <c r="F1497" s="2">
        <v>23</v>
      </c>
      <c r="G1497" t="s">
        <v>159</v>
      </c>
      <c r="H1497" t="s">
        <v>31</v>
      </c>
      <c r="I1497" t="s">
        <v>60</v>
      </c>
      <c r="J1497" t="s">
        <v>22</v>
      </c>
      <c r="K1497">
        <v>4.5</v>
      </c>
      <c r="L1497" t="s">
        <v>23</v>
      </c>
      <c r="M1497" t="s">
        <v>79</v>
      </c>
      <c r="N1497" t="s">
        <v>34</v>
      </c>
      <c r="O1497">
        <v>6</v>
      </c>
      <c r="P1497" t="s">
        <v>58</v>
      </c>
      <c r="Q1497" t="s">
        <v>26</v>
      </c>
      <c r="R1497" s="1">
        <v>0.1</v>
      </c>
      <c r="S1497">
        <f t="shared" si="92"/>
        <v>20.7</v>
      </c>
      <c r="T1497">
        <f>IFERROR(VLOOKUP(A1497,Table1[[Customer ID]:[Discount Amount]], 6, FALSE),"Not Found")</f>
        <v>23</v>
      </c>
      <c r="U1497" t="str">
        <f t="shared" si="93"/>
        <v>PayPal</v>
      </c>
      <c r="V1497" s="4" t="str">
        <f t="shared" si="94"/>
        <v>Normal</v>
      </c>
      <c r="W1497" s="4" t="str">
        <f t="shared" si="95"/>
        <v>Good</v>
      </c>
      <c r="X1497" s="4">
        <f>AVERAGE(Table1[Purchase Amount])</f>
        <v>129.48419400000012</v>
      </c>
    </row>
    <row r="1498" spans="1:24" ht="15" customHeight="1" x14ac:dyDescent="0.25">
      <c r="A1498">
        <v>1497</v>
      </c>
      <c r="B1498">
        <v>63</v>
      </c>
      <c r="C1498" t="s">
        <v>27</v>
      </c>
      <c r="D1498" t="s">
        <v>17</v>
      </c>
      <c r="E1498" t="s">
        <v>18</v>
      </c>
      <c r="F1498" s="2">
        <v>98</v>
      </c>
      <c r="G1498" t="s">
        <v>161</v>
      </c>
      <c r="H1498" t="s">
        <v>31</v>
      </c>
      <c r="I1498" t="s">
        <v>66</v>
      </c>
      <c r="J1498" t="s">
        <v>22</v>
      </c>
      <c r="K1498">
        <v>5</v>
      </c>
      <c r="L1498" t="s">
        <v>23</v>
      </c>
      <c r="M1498" t="s">
        <v>24</v>
      </c>
      <c r="N1498" t="s">
        <v>34</v>
      </c>
      <c r="O1498">
        <v>9</v>
      </c>
      <c r="P1498" t="s">
        <v>62</v>
      </c>
      <c r="Q1498" t="s">
        <v>68</v>
      </c>
      <c r="R1498" s="1">
        <v>0.1</v>
      </c>
      <c r="S1498">
        <f t="shared" si="92"/>
        <v>88.2</v>
      </c>
      <c r="T1498">
        <f>IFERROR(VLOOKUP(A1498,Table1[[Customer ID]:[Discount Amount]], 6, FALSE),"Not Found")</f>
        <v>98</v>
      </c>
      <c r="U1498" t="str">
        <f t="shared" si="93"/>
        <v>Venmo</v>
      </c>
      <c r="V1498" s="4" t="str">
        <f t="shared" si="94"/>
        <v>Normal</v>
      </c>
      <c r="W1498" s="4" t="str">
        <f t="shared" si="95"/>
        <v>Good</v>
      </c>
      <c r="X1498" s="4">
        <f>AVERAGE(Table1[Purchase Amount])</f>
        <v>129.48419400000012</v>
      </c>
    </row>
    <row r="1499" spans="1:24" ht="15" customHeight="1" x14ac:dyDescent="0.25">
      <c r="A1499">
        <v>1498</v>
      </c>
      <c r="B1499">
        <v>69</v>
      </c>
      <c r="C1499" t="s">
        <v>27</v>
      </c>
      <c r="D1499" t="s">
        <v>96</v>
      </c>
      <c r="E1499" t="s">
        <v>77</v>
      </c>
      <c r="F1499" s="2">
        <v>33</v>
      </c>
      <c r="G1499" t="s">
        <v>113</v>
      </c>
      <c r="H1499" t="s">
        <v>55</v>
      </c>
      <c r="I1499" t="s">
        <v>87</v>
      </c>
      <c r="J1499" t="s">
        <v>33</v>
      </c>
      <c r="K1499">
        <v>3.8</v>
      </c>
      <c r="L1499" t="s">
        <v>23</v>
      </c>
      <c r="M1499" t="s">
        <v>41</v>
      </c>
      <c r="N1499" t="s">
        <v>34</v>
      </c>
      <c r="O1499">
        <v>16</v>
      </c>
      <c r="P1499" t="s">
        <v>36</v>
      </c>
      <c r="Q1499" t="s">
        <v>63</v>
      </c>
      <c r="R1499" s="1">
        <v>0.1</v>
      </c>
      <c r="S1499">
        <f t="shared" si="92"/>
        <v>29.7</v>
      </c>
      <c r="T1499">
        <f>IFERROR(VLOOKUP(A1499,Table1[[Customer ID]:[Discount Amount]], 6, FALSE),"Not Found")</f>
        <v>33</v>
      </c>
      <c r="U1499" t="str">
        <f t="shared" si="93"/>
        <v>Debit Card</v>
      </c>
      <c r="V1499" s="4" t="str">
        <f t="shared" si="94"/>
        <v>Normal</v>
      </c>
      <c r="W1499" s="4" t="str">
        <f t="shared" si="95"/>
        <v>Good</v>
      </c>
      <c r="X1499" s="4">
        <f>AVERAGE(Table1[Purchase Amount])</f>
        <v>129.48419400000012</v>
      </c>
    </row>
    <row r="1500" spans="1:24" ht="15" customHeight="1" x14ac:dyDescent="0.25">
      <c r="A1500">
        <v>1499</v>
      </c>
      <c r="B1500">
        <v>59</v>
      </c>
      <c r="C1500" t="s">
        <v>27</v>
      </c>
      <c r="D1500" t="s">
        <v>127</v>
      </c>
      <c r="E1500" t="s">
        <v>18</v>
      </c>
      <c r="F1500" s="2">
        <v>32</v>
      </c>
      <c r="G1500" t="s">
        <v>44</v>
      </c>
      <c r="H1500" t="s">
        <v>31</v>
      </c>
      <c r="I1500" t="s">
        <v>147</v>
      </c>
      <c r="J1500" t="s">
        <v>57</v>
      </c>
      <c r="K1500">
        <v>3.1</v>
      </c>
      <c r="L1500" t="s">
        <v>23</v>
      </c>
      <c r="M1500" t="s">
        <v>24</v>
      </c>
      <c r="N1500" t="s">
        <v>34</v>
      </c>
      <c r="O1500">
        <v>46</v>
      </c>
      <c r="P1500" t="s">
        <v>62</v>
      </c>
      <c r="Q1500" t="s">
        <v>89</v>
      </c>
      <c r="R1500" s="1">
        <v>0.1</v>
      </c>
      <c r="S1500">
        <f t="shared" si="92"/>
        <v>28.8</v>
      </c>
      <c r="T1500">
        <f>IFERROR(VLOOKUP(A1500,Table1[[Customer ID]:[Discount Amount]], 6, FALSE),"Not Found")</f>
        <v>32</v>
      </c>
      <c r="U1500" t="str">
        <f t="shared" si="93"/>
        <v>Venmo</v>
      </c>
      <c r="V1500" s="4" t="str">
        <f t="shared" si="94"/>
        <v>Normal</v>
      </c>
      <c r="W1500" s="4" t="str">
        <f t="shared" si="95"/>
        <v>Good</v>
      </c>
      <c r="X1500" s="4">
        <f>AVERAGE(Table1[Purchase Amount])</f>
        <v>129.48419400000012</v>
      </c>
    </row>
    <row r="1501" spans="1:24" ht="15" customHeight="1" x14ac:dyDescent="0.25">
      <c r="A1501">
        <v>1500</v>
      </c>
      <c r="B1501">
        <v>19</v>
      </c>
      <c r="C1501" t="s">
        <v>27</v>
      </c>
      <c r="D1501" t="s">
        <v>151</v>
      </c>
      <c r="E1501" t="s">
        <v>98</v>
      </c>
      <c r="F1501" s="2">
        <v>85</v>
      </c>
      <c r="G1501" t="s">
        <v>160</v>
      </c>
      <c r="H1501" t="s">
        <v>55</v>
      </c>
      <c r="I1501" t="s">
        <v>21</v>
      </c>
      <c r="J1501" t="s">
        <v>47</v>
      </c>
      <c r="K1501">
        <v>3.4</v>
      </c>
      <c r="L1501" t="s">
        <v>23</v>
      </c>
      <c r="M1501" t="s">
        <v>35</v>
      </c>
      <c r="N1501" t="s">
        <v>34</v>
      </c>
      <c r="O1501">
        <v>24</v>
      </c>
      <c r="P1501" t="s">
        <v>53</v>
      </c>
      <c r="Q1501" t="s">
        <v>63</v>
      </c>
      <c r="R1501" s="1">
        <v>0.1</v>
      </c>
      <c r="S1501">
        <f t="shared" si="92"/>
        <v>76.5</v>
      </c>
      <c r="T1501">
        <f>IFERROR(VLOOKUP(A1501,Table1[[Customer ID]:[Discount Amount]], 6, FALSE),"Not Found")</f>
        <v>85</v>
      </c>
      <c r="U1501" t="str">
        <f t="shared" si="93"/>
        <v>Credit Card</v>
      </c>
      <c r="V1501" s="4" t="str">
        <f t="shared" si="94"/>
        <v>Normal</v>
      </c>
      <c r="W1501" s="4" t="str">
        <f t="shared" si="95"/>
        <v>Good</v>
      </c>
      <c r="X1501" s="4">
        <f>AVERAGE(Table1[Purchase Amount])</f>
        <v>129.48419400000012</v>
      </c>
    </row>
    <row r="1502" spans="1:24" ht="15" customHeight="1" x14ac:dyDescent="0.25">
      <c r="A1502">
        <v>1501</v>
      </c>
      <c r="B1502">
        <v>63</v>
      </c>
      <c r="C1502" t="s">
        <v>27</v>
      </c>
      <c r="D1502" t="s">
        <v>109</v>
      </c>
      <c r="E1502" t="s">
        <v>18</v>
      </c>
      <c r="F1502" s="2">
        <v>69</v>
      </c>
      <c r="G1502" t="s">
        <v>51</v>
      </c>
      <c r="H1502" t="s">
        <v>45</v>
      </c>
      <c r="I1502" t="s">
        <v>125</v>
      </c>
      <c r="J1502" t="s">
        <v>57</v>
      </c>
      <c r="K1502">
        <v>4.8</v>
      </c>
      <c r="L1502" t="s">
        <v>23</v>
      </c>
      <c r="M1502" t="s">
        <v>79</v>
      </c>
      <c r="N1502" t="s">
        <v>34</v>
      </c>
      <c r="O1502">
        <v>22</v>
      </c>
      <c r="P1502" t="s">
        <v>36</v>
      </c>
      <c r="Q1502" t="s">
        <v>42</v>
      </c>
      <c r="R1502" s="1">
        <v>0.1</v>
      </c>
      <c r="S1502">
        <f t="shared" si="92"/>
        <v>62.1</v>
      </c>
      <c r="T1502">
        <f>IFERROR(VLOOKUP(A1502,Table1[[Customer ID]:[Discount Amount]], 6, FALSE),"Not Found")</f>
        <v>69</v>
      </c>
      <c r="U1502" t="str">
        <f t="shared" si="93"/>
        <v>Debit Card</v>
      </c>
      <c r="V1502" s="4" t="str">
        <f t="shared" si="94"/>
        <v>Normal</v>
      </c>
      <c r="W1502" s="4" t="str">
        <f t="shared" si="95"/>
        <v>Good</v>
      </c>
      <c r="X1502" s="4">
        <f>AVERAGE(Table1[Purchase Amount])</f>
        <v>129.48419400000012</v>
      </c>
    </row>
    <row r="1503" spans="1:24" ht="15" customHeight="1" x14ac:dyDescent="0.25">
      <c r="A1503">
        <v>1502</v>
      </c>
      <c r="B1503">
        <v>37</v>
      </c>
      <c r="C1503" t="s">
        <v>27</v>
      </c>
      <c r="D1503" t="s">
        <v>109</v>
      </c>
      <c r="E1503" t="s">
        <v>18</v>
      </c>
      <c r="F1503" s="2">
        <v>55</v>
      </c>
      <c r="G1503" t="s">
        <v>148</v>
      </c>
      <c r="H1503" t="s">
        <v>20</v>
      </c>
      <c r="I1503" t="s">
        <v>153</v>
      </c>
      <c r="J1503" t="s">
        <v>33</v>
      </c>
      <c r="K1503">
        <v>2.7</v>
      </c>
      <c r="L1503" t="s">
        <v>23</v>
      </c>
      <c r="M1503" t="s">
        <v>24</v>
      </c>
      <c r="N1503" t="s">
        <v>34</v>
      </c>
      <c r="O1503">
        <v>13</v>
      </c>
      <c r="P1503" t="s">
        <v>36</v>
      </c>
      <c r="Q1503" t="s">
        <v>63</v>
      </c>
      <c r="R1503" s="1">
        <v>0.1</v>
      </c>
      <c r="S1503">
        <f t="shared" si="92"/>
        <v>49.5</v>
      </c>
      <c r="T1503">
        <f>IFERROR(VLOOKUP(A1503,Table1[[Customer ID]:[Discount Amount]], 6, FALSE),"Not Found")</f>
        <v>55</v>
      </c>
      <c r="U1503" t="str">
        <f t="shared" si="93"/>
        <v>Debit Card</v>
      </c>
      <c r="V1503" s="4" t="str">
        <f t="shared" si="94"/>
        <v>Normal</v>
      </c>
      <c r="W1503" s="4" t="str">
        <f t="shared" si="95"/>
        <v>Poor</v>
      </c>
      <c r="X1503" s="4">
        <f>AVERAGE(Table1[Purchase Amount])</f>
        <v>129.48419400000012</v>
      </c>
    </row>
    <row r="1504" spans="1:24" ht="15" customHeight="1" x14ac:dyDescent="0.25">
      <c r="A1504">
        <v>1503</v>
      </c>
      <c r="B1504">
        <v>37</v>
      </c>
      <c r="C1504" t="s">
        <v>27</v>
      </c>
      <c r="D1504" t="s">
        <v>99</v>
      </c>
      <c r="E1504" t="s">
        <v>18</v>
      </c>
      <c r="F1504" s="2">
        <v>66</v>
      </c>
      <c r="G1504" t="s">
        <v>97</v>
      </c>
      <c r="H1504" t="s">
        <v>31</v>
      </c>
      <c r="I1504" t="s">
        <v>40</v>
      </c>
      <c r="J1504" t="s">
        <v>57</v>
      </c>
      <c r="K1504">
        <v>3.2</v>
      </c>
      <c r="L1504" t="s">
        <v>23</v>
      </c>
      <c r="M1504" t="s">
        <v>48</v>
      </c>
      <c r="N1504" t="s">
        <v>34</v>
      </c>
      <c r="O1504">
        <v>20</v>
      </c>
      <c r="P1504" t="s">
        <v>25</v>
      </c>
      <c r="Q1504" t="s">
        <v>89</v>
      </c>
      <c r="R1504" s="1">
        <v>0.1</v>
      </c>
      <c r="S1504">
        <f t="shared" si="92"/>
        <v>59.4</v>
      </c>
      <c r="T1504">
        <f>IFERROR(VLOOKUP(A1504,Table1[[Customer ID]:[Discount Amount]], 6, FALSE),"Not Found")</f>
        <v>66</v>
      </c>
      <c r="U1504" t="str">
        <f t="shared" si="93"/>
        <v>Cash</v>
      </c>
      <c r="V1504" s="4" t="str">
        <f t="shared" si="94"/>
        <v>Normal</v>
      </c>
      <c r="W1504" s="4" t="str">
        <f t="shared" si="95"/>
        <v>Good</v>
      </c>
      <c r="X1504" s="4">
        <f>AVERAGE(Table1[Purchase Amount])</f>
        <v>129.48419400000012</v>
      </c>
    </row>
    <row r="1505" spans="1:24" ht="15" customHeight="1" x14ac:dyDescent="0.25">
      <c r="A1505">
        <v>1504</v>
      </c>
      <c r="B1505">
        <v>50</v>
      </c>
      <c r="C1505" t="s">
        <v>27</v>
      </c>
      <c r="D1505" t="s">
        <v>96</v>
      </c>
      <c r="E1505" t="s">
        <v>77</v>
      </c>
      <c r="F1505" s="2">
        <v>30</v>
      </c>
      <c r="G1505" t="s">
        <v>113</v>
      </c>
      <c r="H1505" t="s">
        <v>31</v>
      </c>
      <c r="I1505" t="s">
        <v>125</v>
      </c>
      <c r="J1505" t="s">
        <v>47</v>
      </c>
      <c r="K1505">
        <v>3.9</v>
      </c>
      <c r="L1505" t="s">
        <v>23</v>
      </c>
      <c r="M1505" t="s">
        <v>41</v>
      </c>
      <c r="N1505" t="s">
        <v>34</v>
      </c>
      <c r="O1505">
        <v>46</v>
      </c>
      <c r="P1505" t="s">
        <v>25</v>
      </c>
      <c r="Q1505" t="s">
        <v>37</v>
      </c>
      <c r="R1505" s="1">
        <v>0.1</v>
      </c>
      <c r="S1505">
        <f t="shared" si="92"/>
        <v>27</v>
      </c>
      <c r="T1505">
        <f>IFERROR(VLOOKUP(A1505,Table1[[Customer ID]:[Discount Amount]], 6, FALSE),"Not Found")</f>
        <v>30</v>
      </c>
      <c r="U1505" t="str">
        <f t="shared" si="93"/>
        <v>Cash</v>
      </c>
      <c r="V1505" s="4" t="str">
        <f t="shared" si="94"/>
        <v>Normal</v>
      </c>
      <c r="W1505" s="4" t="str">
        <f t="shared" si="95"/>
        <v>Good</v>
      </c>
      <c r="X1505" s="4">
        <f>AVERAGE(Table1[Purchase Amount])</f>
        <v>129.48419400000012</v>
      </c>
    </row>
    <row r="1506" spans="1:24" ht="15" customHeight="1" x14ac:dyDescent="0.25">
      <c r="A1506">
        <v>1505</v>
      </c>
      <c r="B1506">
        <v>60</v>
      </c>
      <c r="C1506" t="s">
        <v>27</v>
      </c>
      <c r="D1506" t="s">
        <v>96</v>
      </c>
      <c r="E1506" t="s">
        <v>77</v>
      </c>
      <c r="F1506" s="2">
        <v>80</v>
      </c>
      <c r="G1506" t="s">
        <v>148</v>
      </c>
      <c r="H1506" t="s">
        <v>31</v>
      </c>
      <c r="I1506" t="s">
        <v>147</v>
      </c>
      <c r="J1506" t="s">
        <v>22</v>
      </c>
      <c r="K1506">
        <v>4.2</v>
      </c>
      <c r="L1506" t="s">
        <v>23</v>
      </c>
      <c r="M1506" t="s">
        <v>79</v>
      </c>
      <c r="N1506" t="s">
        <v>34</v>
      </c>
      <c r="O1506">
        <v>10</v>
      </c>
      <c r="P1506" t="s">
        <v>88</v>
      </c>
      <c r="Q1506" t="s">
        <v>42</v>
      </c>
      <c r="R1506" s="1">
        <v>0.1</v>
      </c>
      <c r="S1506">
        <f t="shared" si="92"/>
        <v>72</v>
      </c>
      <c r="T1506">
        <f>IFERROR(VLOOKUP(A1506,Table1[[Customer ID]:[Discount Amount]], 6, FALSE),"Not Found")</f>
        <v>80</v>
      </c>
      <c r="U1506" t="str">
        <f t="shared" si="93"/>
        <v>Bank Transfer</v>
      </c>
      <c r="V1506" s="4" t="str">
        <f t="shared" si="94"/>
        <v>Normal</v>
      </c>
      <c r="W1506" s="4" t="str">
        <f t="shared" si="95"/>
        <v>Good</v>
      </c>
      <c r="X1506" s="4">
        <f>AVERAGE(Table1[Purchase Amount])</f>
        <v>129.48419400000012</v>
      </c>
    </row>
    <row r="1507" spans="1:24" ht="15" customHeight="1" x14ac:dyDescent="0.25">
      <c r="A1507">
        <v>1506</v>
      </c>
      <c r="B1507">
        <v>46</v>
      </c>
      <c r="C1507" t="s">
        <v>27</v>
      </c>
      <c r="D1507" t="s">
        <v>114</v>
      </c>
      <c r="E1507" t="s">
        <v>29</v>
      </c>
      <c r="F1507" s="2">
        <v>20</v>
      </c>
      <c r="G1507" t="s">
        <v>86</v>
      </c>
      <c r="H1507" t="s">
        <v>31</v>
      </c>
      <c r="I1507" t="s">
        <v>147</v>
      </c>
      <c r="J1507" t="s">
        <v>57</v>
      </c>
      <c r="K1507">
        <v>3</v>
      </c>
      <c r="L1507" t="s">
        <v>23</v>
      </c>
      <c r="M1507" t="s">
        <v>61</v>
      </c>
      <c r="N1507" t="s">
        <v>34</v>
      </c>
      <c r="O1507">
        <v>39</v>
      </c>
      <c r="P1507" t="s">
        <v>25</v>
      </c>
      <c r="Q1507" t="s">
        <v>42</v>
      </c>
      <c r="R1507" s="1">
        <v>0.1</v>
      </c>
      <c r="S1507">
        <f t="shared" si="92"/>
        <v>18</v>
      </c>
      <c r="T1507">
        <f>IFERROR(VLOOKUP(A1507,Table1[[Customer ID]:[Discount Amount]], 6, FALSE),"Not Found")</f>
        <v>20</v>
      </c>
      <c r="U1507" t="str">
        <f t="shared" si="93"/>
        <v>Cash</v>
      </c>
      <c r="V1507" s="4" t="str">
        <f t="shared" si="94"/>
        <v>Normal</v>
      </c>
      <c r="W1507" s="4" t="str">
        <f t="shared" si="95"/>
        <v>Good</v>
      </c>
      <c r="X1507" s="4">
        <f>AVERAGE(Table1[Purchase Amount])</f>
        <v>129.48419400000012</v>
      </c>
    </row>
    <row r="1508" spans="1:24" ht="15" customHeight="1" x14ac:dyDescent="0.25">
      <c r="A1508">
        <v>1507</v>
      </c>
      <c r="B1508">
        <v>35</v>
      </c>
      <c r="C1508" t="s">
        <v>27</v>
      </c>
      <c r="D1508" t="s">
        <v>38</v>
      </c>
      <c r="E1508" t="s">
        <v>18</v>
      </c>
      <c r="F1508" s="2">
        <v>30</v>
      </c>
      <c r="G1508" t="s">
        <v>30</v>
      </c>
      <c r="H1508" t="s">
        <v>45</v>
      </c>
      <c r="I1508" t="s">
        <v>56</v>
      </c>
      <c r="J1508" t="s">
        <v>47</v>
      </c>
      <c r="K1508">
        <v>3</v>
      </c>
      <c r="L1508" t="s">
        <v>23</v>
      </c>
      <c r="M1508" t="s">
        <v>41</v>
      </c>
      <c r="N1508" t="s">
        <v>34</v>
      </c>
      <c r="O1508">
        <v>44</v>
      </c>
      <c r="P1508" t="s">
        <v>58</v>
      </c>
      <c r="Q1508" t="s">
        <v>37</v>
      </c>
      <c r="R1508" s="1">
        <v>0.1</v>
      </c>
      <c r="S1508">
        <f t="shared" si="92"/>
        <v>27</v>
      </c>
      <c r="T1508">
        <f>IFERROR(VLOOKUP(A1508,Table1[[Customer ID]:[Discount Amount]], 6, FALSE),"Not Found")</f>
        <v>30</v>
      </c>
      <c r="U1508" t="str">
        <f t="shared" si="93"/>
        <v>PayPal</v>
      </c>
      <c r="V1508" s="4" t="str">
        <f t="shared" si="94"/>
        <v>Normal</v>
      </c>
      <c r="W1508" s="4" t="str">
        <f t="shared" si="95"/>
        <v>Good</v>
      </c>
      <c r="X1508" s="4">
        <f>AVERAGE(Table1[Purchase Amount])</f>
        <v>129.48419400000012</v>
      </c>
    </row>
    <row r="1509" spans="1:24" ht="15" customHeight="1" x14ac:dyDescent="0.25">
      <c r="A1509">
        <v>1508</v>
      </c>
      <c r="B1509">
        <v>66</v>
      </c>
      <c r="C1509" t="s">
        <v>27</v>
      </c>
      <c r="D1509" t="s">
        <v>157</v>
      </c>
      <c r="E1509" t="s">
        <v>18</v>
      </c>
      <c r="F1509" s="2">
        <v>86</v>
      </c>
      <c r="G1509" t="s">
        <v>78</v>
      </c>
      <c r="H1509" t="s">
        <v>55</v>
      </c>
      <c r="I1509" t="s">
        <v>125</v>
      </c>
      <c r="J1509" t="s">
        <v>22</v>
      </c>
      <c r="K1509">
        <v>3.7</v>
      </c>
      <c r="L1509" t="s">
        <v>23</v>
      </c>
      <c r="M1509" t="s">
        <v>41</v>
      </c>
      <c r="N1509" t="s">
        <v>34</v>
      </c>
      <c r="O1509">
        <v>7</v>
      </c>
      <c r="P1509" t="s">
        <v>62</v>
      </c>
      <c r="Q1509" t="s">
        <v>49</v>
      </c>
      <c r="R1509" s="1">
        <v>0.1</v>
      </c>
      <c r="S1509">
        <f t="shared" si="92"/>
        <v>77.400000000000006</v>
      </c>
      <c r="T1509">
        <f>IFERROR(VLOOKUP(A1509,Table1[[Customer ID]:[Discount Amount]], 6, FALSE),"Not Found")</f>
        <v>86</v>
      </c>
      <c r="U1509" t="str">
        <f t="shared" si="93"/>
        <v>Venmo</v>
      </c>
      <c r="V1509" s="4" t="str">
        <f t="shared" si="94"/>
        <v>Normal</v>
      </c>
      <c r="W1509" s="4" t="str">
        <f t="shared" si="95"/>
        <v>Good</v>
      </c>
      <c r="X1509" s="4">
        <f>AVERAGE(Table1[Purchase Amount])</f>
        <v>129.48419400000012</v>
      </c>
    </row>
    <row r="1510" spans="1:24" ht="15" customHeight="1" x14ac:dyDescent="0.25">
      <c r="A1510">
        <v>1509</v>
      </c>
      <c r="B1510">
        <v>35</v>
      </c>
      <c r="C1510" t="s">
        <v>27</v>
      </c>
      <c r="D1510" t="s">
        <v>118</v>
      </c>
      <c r="E1510" t="s">
        <v>18</v>
      </c>
      <c r="F1510" s="2">
        <v>84</v>
      </c>
      <c r="G1510" t="s">
        <v>92</v>
      </c>
      <c r="H1510" t="s">
        <v>45</v>
      </c>
      <c r="I1510" t="s">
        <v>56</v>
      </c>
      <c r="J1510" t="s">
        <v>33</v>
      </c>
      <c r="K1510">
        <v>4.4000000000000004</v>
      </c>
      <c r="L1510" t="s">
        <v>23</v>
      </c>
      <c r="M1510" t="s">
        <v>48</v>
      </c>
      <c r="N1510" t="s">
        <v>34</v>
      </c>
      <c r="O1510">
        <v>3</v>
      </c>
      <c r="P1510" t="s">
        <v>25</v>
      </c>
      <c r="Q1510" t="s">
        <v>63</v>
      </c>
      <c r="R1510" s="1">
        <v>0.1</v>
      </c>
      <c r="S1510">
        <f t="shared" si="92"/>
        <v>75.599999999999994</v>
      </c>
      <c r="T1510">
        <f>IFERROR(VLOOKUP(A1510,Table1[[Customer ID]:[Discount Amount]], 6, FALSE),"Not Found")</f>
        <v>84</v>
      </c>
      <c r="U1510" t="str">
        <f t="shared" si="93"/>
        <v>Cash</v>
      </c>
      <c r="V1510" s="4" t="str">
        <f t="shared" si="94"/>
        <v>Normal</v>
      </c>
      <c r="W1510" s="4" t="str">
        <f t="shared" si="95"/>
        <v>Good</v>
      </c>
      <c r="X1510" s="4">
        <f>AVERAGE(Table1[Purchase Amount])</f>
        <v>129.48419400000012</v>
      </c>
    </row>
    <row r="1511" spans="1:24" ht="15" customHeight="1" x14ac:dyDescent="0.25">
      <c r="A1511">
        <v>1510</v>
      </c>
      <c r="B1511">
        <v>20</v>
      </c>
      <c r="C1511" t="s">
        <v>27</v>
      </c>
      <c r="D1511" t="s">
        <v>157</v>
      </c>
      <c r="E1511" t="s">
        <v>18</v>
      </c>
      <c r="F1511" s="2">
        <v>54</v>
      </c>
      <c r="G1511" t="s">
        <v>132</v>
      </c>
      <c r="H1511" t="s">
        <v>20</v>
      </c>
      <c r="I1511" t="s">
        <v>32</v>
      </c>
      <c r="J1511" t="s">
        <v>57</v>
      </c>
      <c r="K1511">
        <v>4.5999999999999996</v>
      </c>
      <c r="L1511" t="s">
        <v>23</v>
      </c>
      <c r="M1511" t="s">
        <v>35</v>
      </c>
      <c r="N1511" t="s">
        <v>34</v>
      </c>
      <c r="O1511">
        <v>44</v>
      </c>
      <c r="P1511" t="s">
        <v>36</v>
      </c>
      <c r="Q1511" t="s">
        <v>49</v>
      </c>
      <c r="R1511" s="1">
        <v>0.1</v>
      </c>
      <c r="S1511">
        <f t="shared" si="92"/>
        <v>48.6</v>
      </c>
      <c r="T1511">
        <f>IFERROR(VLOOKUP(A1511,Table1[[Customer ID]:[Discount Amount]], 6, FALSE),"Not Found")</f>
        <v>54</v>
      </c>
      <c r="U1511" t="str">
        <f t="shared" si="93"/>
        <v>Debit Card</v>
      </c>
      <c r="V1511" s="4" t="str">
        <f t="shared" si="94"/>
        <v>Normal</v>
      </c>
      <c r="W1511" s="4" t="str">
        <f t="shared" si="95"/>
        <v>Good</v>
      </c>
      <c r="X1511" s="4">
        <f>AVERAGE(Table1[Purchase Amount])</f>
        <v>129.48419400000012</v>
      </c>
    </row>
    <row r="1512" spans="1:24" ht="15" customHeight="1" x14ac:dyDescent="0.25">
      <c r="A1512">
        <v>1511</v>
      </c>
      <c r="B1512">
        <v>55</v>
      </c>
      <c r="C1512" t="s">
        <v>27</v>
      </c>
      <c r="D1512" t="s">
        <v>118</v>
      </c>
      <c r="E1512" t="s">
        <v>18</v>
      </c>
      <c r="F1512" s="2">
        <v>30</v>
      </c>
      <c r="G1512" t="s">
        <v>106</v>
      </c>
      <c r="H1512" t="s">
        <v>20</v>
      </c>
      <c r="I1512" t="s">
        <v>85</v>
      </c>
      <c r="J1512" t="s">
        <v>47</v>
      </c>
      <c r="K1512">
        <v>3</v>
      </c>
      <c r="L1512" t="s">
        <v>23</v>
      </c>
      <c r="M1512" t="s">
        <v>35</v>
      </c>
      <c r="N1512" t="s">
        <v>34</v>
      </c>
      <c r="O1512">
        <v>31</v>
      </c>
      <c r="P1512" t="s">
        <v>62</v>
      </c>
      <c r="Q1512" t="s">
        <v>49</v>
      </c>
      <c r="R1512" s="1">
        <v>0.1</v>
      </c>
      <c r="S1512">
        <f t="shared" si="92"/>
        <v>27</v>
      </c>
      <c r="T1512">
        <f>IFERROR(VLOOKUP(A1512,Table1[[Customer ID]:[Discount Amount]], 6, FALSE),"Not Found")</f>
        <v>30</v>
      </c>
      <c r="U1512" t="str">
        <f t="shared" si="93"/>
        <v>Venmo</v>
      </c>
      <c r="V1512" s="4" t="str">
        <f t="shared" si="94"/>
        <v>Normal</v>
      </c>
      <c r="W1512" s="4" t="str">
        <f t="shared" si="95"/>
        <v>Good</v>
      </c>
      <c r="X1512" s="4">
        <f>AVERAGE(Table1[Purchase Amount])</f>
        <v>129.48419400000012</v>
      </c>
    </row>
    <row r="1513" spans="1:24" ht="15" customHeight="1" x14ac:dyDescent="0.25">
      <c r="A1513">
        <v>1512</v>
      </c>
      <c r="B1513">
        <v>34</v>
      </c>
      <c r="C1513" t="s">
        <v>27</v>
      </c>
      <c r="D1513" t="s">
        <v>157</v>
      </c>
      <c r="E1513" t="s">
        <v>18</v>
      </c>
      <c r="F1513" s="2">
        <v>91</v>
      </c>
      <c r="G1513" t="s">
        <v>160</v>
      </c>
      <c r="H1513" t="s">
        <v>31</v>
      </c>
      <c r="I1513" t="s">
        <v>111</v>
      </c>
      <c r="J1513" t="s">
        <v>22</v>
      </c>
      <c r="K1513">
        <v>3.6</v>
      </c>
      <c r="L1513" t="s">
        <v>23</v>
      </c>
      <c r="M1513" t="s">
        <v>61</v>
      </c>
      <c r="N1513" t="s">
        <v>34</v>
      </c>
      <c r="O1513">
        <v>48</v>
      </c>
      <c r="P1513" t="s">
        <v>53</v>
      </c>
      <c r="Q1513" t="s">
        <v>26</v>
      </c>
      <c r="R1513" s="1">
        <v>0.1</v>
      </c>
      <c r="S1513">
        <f t="shared" si="92"/>
        <v>81.900000000000006</v>
      </c>
      <c r="T1513">
        <f>IFERROR(VLOOKUP(A1513,Table1[[Customer ID]:[Discount Amount]], 6, FALSE),"Not Found")</f>
        <v>91</v>
      </c>
      <c r="U1513" t="str">
        <f t="shared" si="93"/>
        <v>Credit Card</v>
      </c>
      <c r="V1513" s="4" t="str">
        <f t="shared" si="94"/>
        <v>Normal</v>
      </c>
      <c r="W1513" s="4" t="str">
        <f t="shared" si="95"/>
        <v>Good</v>
      </c>
      <c r="X1513" s="4">
        <f>AVERAGE(Table1[Purchase Amount])</f>
        <v>129.48419400000012</v>
      </c>
    </row>
    <row r="1514" spans="1:24" ht="15" customHeight="1" x14ac:dyDescent="0.25">
      <c r="A1514">
        <v>1513</v>
      </c>
      <c r="B1514">
        <v>60</v>
      </c>
      <c r="C1514" t="s">
        <v>27</v>
      </c>
      <c r="D1514" t="s">
        <v>140</v>
      </c>
      <c r="E1514" t="s">
        <v>98</v>
      </c>
      <c r="F1514" s="2">
        <v>23</v>
      </c>
      <c r="G1514" t="s">
        <v>59</v>
      </c>
      <c r="H1514" t="s">
        <v>45</v>
      </c>
      <c r="I1514" t="s">
        <v>153</v>
      </c>
      <c r="J1514" t="s">
        <v>22</v>
      </c>
      <c r="K1514">
        <v>3.9</v>
      </c>
      <c r="L1514" t="s">
        <v>23</v>
      </c>
      <c r="M1514" t="s">
        <v>24</v>
      </c>
      <c r="N1514" t="s">
        <v>34</v>
      </c>
      <c r="O1514">
        <v>18</v>
      </c>
      <c r="P1514" t="s">
        <v>58</v>
      </c>
      <c r="Q1514" t="s">
        <v>68</v>
      </c>
      <c r="R1514" s="1">
        <v>0.1</v>
      </c>
      <c r="S1514">
        <f t="shared" si="92"/>
        <v>20.7</v>
      </c>
      <c r="T1514">
        <f>IFERROR(VLOOKUP(A1514,Table1[[Customer ID]:[Discount Amount]], 6, FALSE),"Not Found")</f>
        <v>23</v>
      </c>
      <c r="U1514" t="str">
        <f t="shared" si="93"/>
        <v>PayPal</v>
      </c>
      <c r="V1514" s="4" t="str">
        <f t="shared" si="94"/>
        <v>Normal</v>
      </c>
      <c r="W1514" s="4" t="str">
        <f t="shared" si="95"/>
        <v>Good</v>
      </c>
      <c r="X1514" s="4">
        <f>AVERAGE(Table1[Purchase Amount])</f>
        <v>129.48419400000012</v>
      </c>
    </row>
    <row r="1515" spans="1:24" ht="15" customHeight="1" x14ac:dyDescent="0.25">
      <c r="A1515">
        <v>1514</v>
      </c>
      <c r="B1515">
        <v>22</v>
      </c>
      <c r="C1515" t="s">
        <v>27</v>
      </c>
      <c r="D1515" t="s">
        <v>105</v>
      </c>
      <c r="E1515" t="s">
        <v>18</v>
      </c>
      <c r="F1515" s="2">
        <v>35</v>
      </c>
      <c r="G1515" t="s">
        <v>152</v>
      </c>
      <c r="H1515" t="s">
        <v>31</v>
      </c>
      <c r="I1515" t="s">
        <v>46</v>
      </c>
      <c r="J1515" t="s">
        <v>33</v>
      </c>
      <c r="K1515">
        <v>4.0999999999999996</v>
      </c>
      <c r="L1515" t="s">
        <v>23</v>
      </c>
      <c r="M1515" t="s">
        <v>35</v>
      </c>
      <c r="N1515" t="s">
        <v>34</v>
      </c>
      <c r="O1515">
        <v>27</v>
      </c>
      <c r="P1515" t="s">
        <v>25</v>
      </c>
      <c r="Q1515" t="s">
        <v>42</v>
      </c>
      <c r="R1515" s="1">
        <v>0.1</v>
      </c>
      <c r="S1515">
        <f t="shared" si="92"/>
        <v>31.5</v>
      </c>
      <c r="T1515">
        <f>IFERROR(VLOOKUP(A1515,Table1[[Customer ID]:[Discount Amount]], 6, FALSE),"Not Found")</f>
        <v>35</v>
      </c>
      <c r="U1515" t="str">
        <f t="shared" si="93"/>
        <v>Cash</v>
      </c>
      <c r="V1515" s="4" t="str">
        <f t="shared" si="94"/>
        <v>Normal</v>
      </c>
      <c r="W1515" s="4" t="str">
        <f t="shared" si="95"/>
        <v>Good</v>
      </c>
      <c r="X1515" s="4">
        <f>AVERAGE(Table1[Purchase Amount])</f>
        <v>129.48419400000012</v>
      </c>
    </row>
    <row r="1516" spans="1:24" ht="15" customHeight="1" x14ac:dyDescent="0.25">
      <c r="A1516">
        <v>1515</v>
      </c>
      <c r="B1516">
        <v>26</v>
      </c>
      <c r="C1516" t="s">
        <v>27</v>
      </c>
      <c r="D1516" t="s">
        <v>72</v>
      </c>
      <c r="E1516" t="s">
        <v>98</v>
      </c>
      <c r="F1516" s="2">
        <v>90</v>
      </c>
      <c r="G1516" t="s">
        <v>144</v>
      </c>
      <c r="H1516" t="s">
        <v>45</v>
      </c>
      <c r="I1516" t="s">
        <v>60</v>
      </c>
      <c r="J1516" t="s">
        <v>22</v>
      </c>
      <c r="K1516">
        <v>3.9</v>
      </c>
      <c r="L1516" t="s">
        <v>23</v>
      </c>
      <c r="M1516" t="s">
        <v>41</v>
      </c>
      <c r="N1516" t="s">
        <v>34</v>
      </c>
      <c r="O1516">
        <v>1</v>
      </c>
      <c r="P1516" t="s">
        <v>62</v>
      </c>
      <c r="Q1516" t="s">
        <v>26</v>
      </c>
      <c r="R1516" s="1">
        <v>0.1</v>
      </c>
      <c r="S1516">
        <f t="shared" si="92"/>
        <v>81</v>
      </c>
      <c r="T1516">
        <f>IFERROR(VLOOKUP(A1516,Table1[[Customer ID]:[Discount Amount]], 6, FALSE),"Not Found")</f>
        <v>90</v>
      </c>
      <c r="U1516" t="str">
        <f t="shared" si="93"/>
        <v>Venmo</v>
      </c>
      <c r="V1516" s="4" t="str">
        <f t="shared" si="94"/>
        <v>Normal</v>
      </c>
      <c r="W1516" s="4" t="str">
        <f t="shared" si="95"/>
        <v>Good</v>
      </c>
      <c r="X1516" s="4">
        <f>AVERAGE(Table1[Purchase Amount])</f>
        <v>129.48419400000012</v>
      </c>
    </row>
    <row r="1517" spans="1:24" ht="15" customHeight="1" x14ac:dyDescent="0.25">
      <c r="A1517">
        <v>1516</v>
      </c>
      <c r="B1517">
        <v>39</v>
      </c>
      <c r="C1517" t="s">
        <v>27</v>
      </c>
      <c r="D1517" t="s">
        <v>109</v>
      </c>
      <c r="E1517" t="s">
        <v>18</v>
      </c>
      <c r="F1517" s="2">
        <v>93</v>
      </c>
      <c r="G1517" t="s">
        <v>102</v>
      </c>
      <c r="H1517" t="s">
        <v>55</v>
      </c>
      <c r="I1517" t="s">
        <v>156</v>
      </c>
      <c r="J1517" t="s">
        <v>47</v>
      </c>
      <c r="K1517">
        <v>3.9</v>
      </c>
      <c r="L1517" t="s">
        <v>23</v>
      </c>
      <c r="M1517" t="s">
        <v>41</v>
      </c>
      <c r="N1517" t="s">
        <v>34</v>
      </c>
      <c r="O1517">
        <v>34</v>
      </c>
      <c r="P1517" t="s">
        <v>25</v>
      </c>
      <c r="Q1517" t="s">
        <v>26</v>
      </c>
      <c r="R1517" s="1">
        <v>0.1</v>
      </c>
      <c r="S1517">
        <f t="shared" si="92"/>
        <v>83.7</v>
      </c>
      <c r="T1517">
        <f>IFERROR(VLOOKUP(A1517,Table1[[Customer ID]:[Discount Amount]], 6, FALSE),"Not Found")</f>
        <v>93</v>
      </c>
      <c r="U1517" t="str">
        <f t="shared" si="93"/>
        <v>Cash</v>
      </c>
      <c r="V1517" s="4" t="str">
        <f t="shared" si="94"/>
        <v>Normal</v>
      </c>
      <c r="W1517" s="4" t="str">
        <f t="shared" si="95"/>
        <v>Good</v>
      </c>
      <c r="X1517" s="4">
        <f>AVERAGE(Table1[Purchase Amount])</f>
        <v>129.48419400000012</v>
      </c>
    </row>
    <row r="1518" spans="1:24" ht="15" customHeight="1" x14ac:dyDescent="0.25">
      <c r="A1518">
        <v>1517</v>
      </c>
      <c r="B1518">
        <v>20</v>
      </c>
      <c r="C1518" t="s">
        <v>27</v>
      </c>
      <c r="D1518" t="s">
        <v>109</v>
      </c>
      <c r="E1518" t="s">
        <v>18</v>
      </c>
      <c r="F1518" s="2">
        <v>68</v>
      </c>
      <c r="G1518" t="s">
        <v>158</v>
      </c>
      <c r="H1518" t="s">
        <v>45</v>
      </c>
      <c r="I1518" t="s">
        <v>91</v>
      </c>
      <c r="J1518" t="s">
        <v>22</v>
      </c>
      <c r="K1518">
        <v>4.5</v>
      </c>
      <c r="L1518" t="s">
        <v>23</v>
      </c>
      <c r="M1518" t="s">
        <v>61</v>
      </c>
      <c r="N1518" t="s">
        <v>34</v>
      </c>
      <c r="O1518">
        <v>5</v>
      </c>
      <c r="P1518" t="s">
        <v>88</v>
      </c>
      <c r="Q1518" t="s">
        <v>68</v>
      </c>
      <c r="R1518" s="1">
        <v>0.1</v>
      </c>
      <c r="S1518">
        <f t="shared" si="92"/>
        <v>61.2</v>
      </c>
      <c r="T1518">
        <f>IFERROR(VLOOKUP(A1518,Table1[[Customer ID]:[Discount Amount]], 6, FALSE),"Not Found")</f>
        <v>68</v>
      </c>
      <c r="U1518" t="str">
        <f t="shared" si="93"/>
        <v>Bank Transfer</v>
      </c>
      <c r="V1518" s="4" t="str">
        <f t="shared" si="94"/>
        <v>Normal</v>
      </c>
      <c r="W1518" s="4" t="str">
        <f t="shared" si="95"/>
        <v>Good</v>
      </c>
      <c r="X1518" s="4">
        <f>AVERAGE(Table1[Purchase Amount])</f>
        <v>129.48419400000012</v>
      </c>
    </row>
    <row r="1519" spans="1:24" ht="15" customHeight="1" x14ac:dyDescent="0.25">
      <c r="A1519">
        <v>1518</v>
      </c>
      <c r="B1519">
        <v>57</v>
      </c>
      <c r="C1519" t="s">
        <v>27</v>
      </c>
      <c r="D1519" t="s">
        <v>43</v>
      </c>
      <c r="E1519" t="s">
        <v>29</v>
      </c>
      <c r="F1519" s="2">
        <v>41</v>
      </c>
      <c r="G1519" t="s">
        <v>132</v>
      </c>
      <c r="H1519" t="s">
        <v>31</v>
      </c>
      <c r="I1519" t="s">
        <v>111</v>
      </c>
      <c r="J1519" t="s">
        <v>33</v>
      </c>
      <c r="K1519">
        <v>3.4</v>
      </c>
      <c r="L1519" t="s">
        <v>23</v>
      </c>
      <c r="M1519" t="s">
        <v>24</v>
      </c>
      <c r="N1519" t="s">
        <v>34</v>
      </c>
      <c r="O1519">
        <v>12</v>
      </c>
      <c r="P1519" t="s">
        <v>25</v>
      </c>
      <c r="Q1519" t="s">
        <v>37</v>
      </c>
      <c r="R1519" s="1">
        <v>0.1</v>
      </c>
      <c r="S1519">
        <f t="shared" si="92"/>
        <v>36.9</v>
      </c>
      <c r="T1519">
        <f>IFERROR(VLOOKUP(A1519,Table1[[Customer ID]:[Discount Amount]], 6, FALSE),"Not Found")</f>
        <v>41</v>
      </c>
      <c r="U1519" t="str">
        <f t="shared" si="93"/>
        <v>Cash</v>
      </c>
      <c r="V1519" s="4" t="str">
        <f t="shared" si="94"/>
        <v>Normal</v>
      </c>
      <c r="W1519" s="4" t="str">
        <f t="shared" si="95"/>
        <v>Good</v>
      </c>
      <c r="X1519" s="4">
        <f>AVERAGE(Table1[Purchase Amount])</f>
        <v>129.48419400000012</v>
      </c>
    </row>
    <row r="1520" spans="1:24" ht="15" customHeight="1" x14ac:dyDescent="0.25">
      <c r="A1520">
        <v>1519</v>
      </c>
      <c r="B1520">
        <v>68</v>
      </c>
      <c r="C1520" t="s">
        <v>27</v>
      </c>
      <c r="D1520" t="s">
        <v>114</v>
      </c>
      <c r="E1520" t="s">
        <v>29</v>
      </c>
      <c r="F1520" s="2">
        <v>73</v>
      </c>
      <c r="G1520" t="s">
        <v>101</v>
      </c>
      <c r="H1520" t="s">
        <v>31</v>
      </c>
      <c r="I1520" t="s">
        <v>52</v>
      </c>
      <c r="J1520" t="s">
        <v>22</v>
      </c>
      <c r="K1520">
        <v>4.0999999999999996</v>
      </c>
      <c r="L1520" t="s">
        <v>23</v>
      </c>
      <c r="M1520" t="s">
        <v>79</v>
      </c>
      <c r="N1520" t="s">
        <v>34</v>
      </c>
      <c r="O1520">
        <v>14</v>
      </c>
      <c r="P1520" t="s">
        <v>62</v>
      </c>
      <c r="Q1520" t="s">
        <v>89</v>
      </c>
      <c r="R1520" s="1">
        <v>0.1</v>
      </c>
      <c r="S1520">
        <f t="shared" si="92"/>
        <v>65.7</v>
      </c>
      <c r="T1520">
        <f>IFERROR(VLOOKUP(A1520,Table1[[Customer ID]:[Discount Amount]], 6, FALSE),"Not Found")</f>
        <v>73</v>
      </c>
      <c r="U1520" t="str">
        <f t="shared" si="93"/>
        <v>Venmo</v>
      </c>
      <c r="V1520" s="4" t="str">
        <f t="shared" si="94"/>
        <v>Normal</v>
      </c>
      <c r="W1520" s="4" t="str">
        <f t="shared" si="95"/>
        <v>Good</v>
      </c>
      <c r="X1520" s="4">
        <f>AVERAGE(Table1[Purchase Amount])</f>
        <v>129.48419400000012</v>
      </c>
    </row>
    <row r="1521" spans="1:24" ht="15" customHeight="1" x14ac:dyDescent="0.25">
      <c r="A1521">
        <v>1520</v>
      </c>
      <c r="B1521">
        <v>50</v>
      </c>
      <c r="C1521" t="s">
        <v>27</v>
      </c>
      <c r="D1521" t="s">
        <v>28</v>
      </c>
      <c r="E1521" t="s">
        <v>29</v>
      </c>
      <c r="F1521" s="2">
        <v>73</v>
      </c>
      <c r="G1521" t="s">
        <v>152</v>
      </c>
      <c r="H1521" t="s">
        <v>45</v>
      </c>
      <c r="I1521" t="s">
        <v>128</v>
      </c>
      <c r="J1521" t="s">
        <v>47</v>
      </c>
      <c r="K1521">
        <v>4.9000000000000004</v>
      </c>
      <c r="L1521" t="s">
        <v>23</v>
      </c>
      <c r="M1521" t="s">
        <v>79</v>
      </c>
      <c r="N1521" t="s">
        <v>34</v>
      </c>
      <c r="O1521">
        <v>40</v>
      </c>
      <c r="P1521" t="s">
        <v>58</v>
      </c>
      <c r="Q1521" t="s">
        <v>26</v>
      </c>
      <c r="R1521" s="1">
        <v>0.1</v>
      </c>
      <c r="S1521">
        <f t="shared" si="92"/>
        <v>65.7</v>
      </c>
      <c r="T1521">
        <f>IFERROR(VLOOKUP(A1521,Table1[[Customer ID]:[Discount Amount]], 6, FALSE),"Not Found")</f>
        <v>73</v>
      </c>
      <c r="U1521" t="str">
        <f t="shared" si="93"/>
        <v>PayPal</v>
      </c>
      <c r="V1521" s="4" t="str">
        <f t="shared" si="94"/>
        <v>Normal</v>
      </c>
      <c r="W1521" s="4" t="str">
        <f t="shared" si="95"/>
        <v>Good</v>
      </c>
      <c r="X1521" s="4">
        <f>AVERAGE(Table1[Purchase Amount])</f>
        <v>129.48419400000012</v>
      </c>
    </row>
    <row r="1522" spans="1:24" ht="15" customHeight="1" x14ac:dyDescent="0.25">
      <c r="A1522">
        <v>1521</v>
      </c>
      <c r="B1522">
        <v>21</v>
      </c>
      <c r="C1522" t="s">
        <v>27</v>
      </c>
      <c r="D1522" t="s">
        <v>64</v>
      </c>
      <c r="E1522" t="s">
        <v>29</v>
      </c>
      <c r="F1522" s="2">
        <v>66</v>
      </c>
      <c r="G1522" t="s">
        <v>141</v>
      </c>
      <c r="H1522" t="s">
        <v>31</v>
      </c>
      <c r="I1522" t="s">
        <v>60</v>
      </c>
      <c r="J1522" t="s">
        <v>57</v>
      </c>
      <c r="K1522">
        <v>4.4000000000000004</v>
      </c>
      <c r="L1522" t="s">
        <v>23</v>
      </c>
      <c r="M1522" t="s">
        <v>41</v>
      </c>
      <c r="N1522" t="s">
        <v>34</v>
      </c>
      <c r="O1522">
        <v>39</v>
      </c>
      <c r="P1522" t="s">
        <v>25</v>
      </c>
      <c r="Q1522" t="s">
        <v>37</v>
      </c>
      <c r="R1522" s="1">
        <v>0.1</v>
      </c>
      <c r="S1522">
        <f t="shared" si="92"/>
        <v>59.4</v>
      </c>
      <c r="T1522">
        <f>IFERROR(VLOOKUP(A1522,Table1[[Customer ID]:[Discount Amount]], 6, FALSE),"Not Found")</f>
        <v>66</v>
      </c>
      <c r="U1522" t="str">
        <f t="shared" si="93"/>
        <v>Cash</v>
      </c>
      <c r="V1522" s="4" t="str">
        <f t="shared" si="94"/>
        <v>Normal</v>
      </c>
      <c r="W1522" s="4" t="str">
        <f t="shared" si="95"/>
        <v>Good</v>
      </c>
      <c r="X1522" s="4">
        <f>AVERAGE(Table1[Purchase Amount])</f>
        <v>129.48419400000012</v>
      </c>
    </row>
    <row r="1523" spans="1:24" ht="15" customHeight="1" x14ac:dyDescent="0.25">
      <c r="A1523">
        <v>1522</v>
      </c>
      <c r="B1523">
        <v>29</v>
      </c>
      <c r="C1523" t="s">
        <v>27</v>
      </c>
      <c r="D1523" t="s">
        <v>104</v>
      </c>
      <c r="E1523" t="s">
        <v>29</v>
      </c>
      <c r="F1523" s="2">
        <v>59</v>
      </c>
      <c r="G1523" t="s">
        <v>155</v>
      </c>
      <c r="H1523" t="s">
        <v>31</v>
      </c>
      <c r="I1523" t="s">
        <v>32</v>
      </c>
      <c r="J1523" t="s">
        <v>57</v>
      </c>
      <c r="K1523">
        <v>2.7</v>
      </c>
      <c r="L1523" t="s">
        <v>23</v>
      </c>
      <c r="M1523" t="s">
        <v>41</v>
      </c>
      <c r="N1523" t="s">
        <v>34</v>
      </c>
      <c r="O1523">
        <v>50</v>
      </c>
      <c r="P1523" t="s">
        <v>88</v>
      </c>
      <c r="Q1523" t="s">
        <v>26</v>
      </c>
      <c r="R1523" s="1">
        <v>0.1</v>
      </c>
      <c r="S1523">
        <f t="shared" si="92"/>
        <v>53.1</v>
      </c>
      <c r="T1523">
        <f>IFERROR(VLOOKUP(A1523,Table1[[Customer ID]:[Discount Amount]], 6, FALSE),"Not Found")</f>
        <v>59</v>
      </c>
      <c r="U1523" t="str">
        <f t="shared" si="93"/>
        <v>Bank Transfer</v>
      </c>
      <c r="V1523" s="4" t="str">
        <f t="shared" si="94"/>
        <v>Normal</v>
      </c>
      <c r="W1523" s="4" t="str">
        <f t="shared" si="95"/>
        <v>Poor</v>
      </c>
      <c r="X1523" s="4">
        <f>AVERAGE(Table1[Purchase Amount])</f>
        <v>129.48419400000012</v>
      </c>
    </row>
    <row r="1524" spans="1:24" ht="15" customHeight="1" x14ac:dyDescent="0.25">
      <c r="A1524">
        <v>1523</v>
      </c>
      <c r="B1524">
        <v>38</v>
      </c>
      <c r="C1524" t="s">
        <v>27</v>
      </c>
      <c r="D1524" t="s">
        <v>54</v>
      </c>
      <c r="E1524" t="s">
        <v>18</v>
      </c>
      <c r="F1524" s="2">
        <v>72</v>
      </c>
      <c r="G1524" t="s">
        <v>65</v>
      </c>
      <c r="H1524" t="s">
        <v>45</v>
      </c>
      <c r="I1524" t="s">
        <v>52</v>
      </c>
      <c r="J1524" t="s">
        <v>33</v>
      </c>
      <c r="K1524">
        <v>4.8</v>
      </c>
      <c r="L1524" t="s">
        <v>23</v>
      </c>
      <c r="M1524" t="s">
        <v>35</v>
      </c>
      <c r="N1524" t="s">
        <v>34</v>
      </c>
      <c r="O1524">
        <v>5</v>
      </c>
      <c r="P1524" t="s">
        <v>36</v>
      </c>
      <c r="Q1524" t="s">
        <v>42</v>
      </c>
      <c r="R1524" s="1">
        <v>0.1</v>
      </c>
      <c r="S1524">
        <f t="shared" si="92"/>
        <v>64.8</v>
      </c>
      <c r="T1524">
        <f>IFERROR(VLOOKUP(A1524,Table1[[Customer ID]:[Discount Amount]], 6, FALSE),"Not Found")</f>
        <v>72</v>
      </c>
      <c r="U1524" t="str">
        <f t="shared" si="93"/>
        <v>Debit Card</v>
      </c>
      <c r="V1524" s="4" t="str">
        <f t="shared" si="94"/>
        <v>Normal</v>
      </c>
      <c r="W1524" s="4" t="str">
        <f t="shared" si="95"/>
        <v>Good</v>
      </c>
      <c r="X1524" s="4">
        <f>AVERAGE(Table1[Purchase Amount])</f>
        <v>129.48419400000012</v>
      </c>
    </row>
    <row r="1525" spans="1:24" ht="15" customHeight="1" x14ac:dyDescent="0.25">
      <c r="A1525">
        <v>1524</v>
      </c>
      <c r="B1525">
        <v>54</v>
      </c>
      <c r="C1525" t="s">
        <v>27</v>
      </c>
      <c r="D1525" t="s">
        <v>105</v>
      </c>
      <c r="E1525" t="s">
        <v>18</v>
      </c>
      <c r="F1525" s="2">
        <v>88</v>
      </c>
      <c r="G1525" t="s">
        <v>160</v>
      </c>
      <c r="H1525" t="s">
        <v>31</v>
      </c>
      <c r="I1525" t="s">
        <v>32</v>
      </c>
      <c r="J1525" t="s">
        <v>57</v>
      </c>
      <c r="K1525">
        <v>3.3</v>
      </c>
      <c r="L1525" t="s">
        <v>23</v>
      </c>
      <c r="M1525" t="s">
        <v>41</v>
      </c>
      <c r="N1525" t="s">
        <v>34</v>
      </c>
      <c r="O1525">
        <v>35</v>
      </c>
      <c r="P1525" t="s">
        <v>36</v>
      </c>
      <c r="Q1525" t="s">
        <v>49</v>
      </c>
      <c r="R1525" s="1">
        <v>0.1</v>
      </c>
      <c r="S1525">
        <f t="shared" si="92"/>
        <v>79.2</v>
      </c>
      <c r="T1525">
        <f>IFERROR(VLOOKUP(A1525,Table1[[Customer ID]:[Discount Amount]], 6, FALSE),"Not Found")</f>
        <v>88</v>
      </c>
      <c r="U1525" t="str">
        <f t="shared" si="93"/>
        <v>Debit Card</v>
      </c>
      <c r="V1525" s="4" t="str">
        <f t="shared" si="94"/>
        <v>Normal</v>
      </c>
      <c r="W1525" s="4" t="str">
        <f t="shared" si="95"/>
        <v>Good</v>
      </c>
      <c r="X1525" s="4">
        <f>AVERAGE(Table1[Purchase Amount])</f>
        <v>129.48419400000012</v>
      </c>
    </row>
    <row r="1526" spans="1:24" ht="15" customHeight="1" x14ac:dyDescent="0.25">
      <c r="A1526">
        <v>1525</v>
      </c>
      <c r="B1526">
        <v>22</v>
      </c>
      <c r="C1526" t="s">
        <v>27</v>
      </c>
      <c r="D1526" t="s">
        <v>105</v>
      </c>
      <c r="E1526" t="s">
        <v>18</v>
      </c>
      <c r="F1526" s="2">
        <v>76</v>
      </c>
      <c r="G1526" t="s">
        <v>97</v>
      </c>
      <c r="H1526" t="s">
        <v>45</v>
      </c>
      <c r="I1526" t="s">
        <v>136</v>
      </c>
      <c r="J1526" t="s">
        <v>57</v>
      </c>
      <c r="K1526">
        <v>4.4000000000000004</v>
      </c>
      <c r="L1526" t="s">
        <v>23</v>
      </c>
      <c r="M1526" t="s">
        <v>35</v>
      </c>
      <c r="N1526" t="s">
        <v>34</v>
      </c>
      <c r="O1526">
        <v>6</v>
      </c>
      <c r="P1526" t="s">
        <v>25</v>
      </c>
      <c r="Q1526" t="s">
        <v>68</v>
      </c>
      <c r="R1526" s="1">
        <v>0.1</v>
      </c>
      <c r="S1526">
        <f t="shared" si="92"/>
        <v>68.400000000000006</v>
      </c>
      <c r="T1526">
        <f>IFERROR(VLOOKUP(A1526,Table1[[Customer ID]:[Discount Amount]], 6, FALSE),"Not Found")</f>
        <v>76</v>
      </c>
      <c r="U1526" t="str">
        <f t="shared" si="93"/>
        <v>Cash</v>
      </c>
      <c r="V1526" s="4" t="str">
        <f t="shared" si="94"/>
        <v>Normal</v>
      </c>
      <c r="W1526" s="4" t="str">
        <f t="shared" si="95"/>
        <v>Good</v>
      </c>
      <c r="X1526" s="4">
        <f>AVERAGE(Table1[Purchase Amount])</f>
        <v>129.48419400000012</v>
      </c>
    </row>
    <row r="1527" spans="1:24" ht="15" customHeight="1" x14ac:dyDescent="0.25">
      <c r="A1527">
        <v>1526</v>
      </c>
      <c r="B1527">
        <v>29</v>
      </c>
      <c r="C1527" t="s">
        <v>27</v>
      </c>
      <c r="D1527" t="s">
        <v>114</v>
      </c>
      <c r="E1527" t="s">
        <v>29</v>
      </c>
      <c r="F1527" s="2">
        <v>31</v>
      </c>
      <c r="G1527" t="s">
        <v>123</v>
      </c>
      <c r="H1527" t="s">
        <v>31</v>
      </c>
      <c r="I1527" t="s">
        <v>91</v>
      </c>
      <c r="J1527" t="s">
        <v>22</v>
      </c>
      <c r="K1527">
        <v>4.5999999999999996</v>
      </c>
      <c r="L1527" t="s">
        <v>23</v>
      </c>
      <c r="M1527" t="s">
        <v>41</v>
      </c>
      <c r="N1527" t="s">
        <v>34</v>
      </c>
      <c r="O1527">
        <v>22</v>
      </c>
      <c r="P1527" t="s">
        <v>25</v>
      </c>
      <c r="Q1527" t="s">
        <v>89</v>
      </c>
      <c r="R1527" s="1">
        <v>0.1</v>
      </c>
      <c r="S1527">
        <f t="shared" si="92"/>
        <v>27.9</v>
      </c>
      <c r="T1527">
        <f>IFERROR(VLOOKUP(A1527,Table1[[Customer ID]:[Discount Amount]], 6, FALSE),"Not Found")</f>
        <v>31</v>
      </c>
      <c r="U1527" t="str">
        <f t="shared" si="93"/>
        <v>Cash</v>
      </c>
      <c r="V1527" s="4" t="str">
        <f t="shared" si="94"/>
        <v>Normal</v>
      </c>
      <c r="W1527" s="4" t="str">
        <f t="shared" si="95"/>
        <v>Good</v>
      </c>
      <c r="X1527" s="4">
        <f>AVERAGE(Table1[Purchase Amount])</f>
        <v>129.48419400000012</v>
      </c>
    </row>
    <row r="1528" spans="1:24" ht="15" customHeight="1" x14ac:dyDescent="0.25">
      <c r="A1528">
        <v>1527</v>
      </c>
      <c r="B1528">
        <v>41</v>
      </c>
      <c r="C1528" t="s">
        <v>27</v>
      </c>
      <c r="D1528" t="s">
        <v>96</v>
      </c>
      <c r="E1528" t="s">
        <v>77</v>
      </c>
      <c r="F1528" s="2">
        <v>22</v>
      </c>
      <c r="G1528" t="s">
        <v>142</v>
      </c>
      <c r="H1528" t="s">
        <v>45</v>
      </c>
      <c r="I1528" t="s">
        <v>32</v>
      </c>
      <c r="J1528" t="s">
        <v>57</v>
      </c>
      <c r="K1528">
        <v>3.1</v>
      </c>
      <c r="L1528" t="s">
        <v>23</v>
      </c>
      <c r="M1528" t="s">
        <v>79</v>
      </c>
      <c r="N1528" t="s">
        <v>34</v>
      </c>
      <c r="O1528">
        <v>27</v>
      </c>
      <c r="P1528" t="s">
        <v>58</v>
      </c>
      <c r="Q1528" t="s">
        <v>42</v>
      </c>
      <c r="R1528" s="1">
        <v>0.1</v>
      </c>
      <c r="S1528">
        <f t="shared" si="92"/>
        <v>19.8</v>
      </c>
      <c r="T1528">
        <f>IFERROR(VLOOKUP(A1528,Table1[[Customer ID]:[Discount Amount]], 6, FALSE),"Not Found")</f>
        <v>22</v>
      </c>
      <c r="U1528" t="str">
        <f t="shared" si="93"/>
        <v>PayPal</v>
      </c>
      <c r="V1528" s="4" t="str">
        <f t="shared" si="94"/>
        <v>Normal</v>
      </c>
      <c r="W1528" s="4" t="str">
        <f t="shared" si="95"/>
        <v>Good</v>
      </c>
      <c r="X1528" s="4">
        <f>AVERAGE(Table1[Purchase Amount])</f>
        <v>129.48419400000012</v>
      </c>
    </row>
    <row r="1529" spans="1:24" ht="15" customHeight="1" x14ac:dyDescent="0.25">
      <c r="A1529">
        <v>1528</v>
      </c>
      <c r="B1529">
        <v>26</v>
      </c>
      <c r="C1529" t="s">
        <v>27</v>
      </c>
      <c r="D1529" t="s">
        <v>64</v>
      </c>
      <c r="E1529" t="s">
        <v>29</v>
      </c>
      <c r="F1529" s="2">
        <v>75</v>
      </c>
      <c r="G1529" t="s">
        <v>59</v>
      </c>
      <c r="H1529" t="s">
        <v>45</v>
      </c>
      <c r="I1529" t="s">
        <v>46</v>
      </c>
      <c r="J1529" t="s">
        <v>47</v>
      </c>
      <c r="K1529">
        <v>4.5</v>
      </c>
      <c r="L1529" t="s">
        <v>23</v>
      </c>
      <c r="M1529" t="s">
        <v>41</v>
      </c>
      <c r="N1529" t="s">
        <v>34</v>
      </c>
      <c r="O1529">
        <v>33</v>
      </c>
      <c r="P1529" t="s">
        <v>36</v>
      </c>
      <c r="Q1529" t="s">
        <v>89</v>
      </c>
      <c r="R1529" s="1">
        <v>0.1</v>
      </c>
      <c r="S1529">
        <f t="shared" si="92"/>
        <v>67.5</v>
      </c>
      <c r="T1529">
        <f>IFERROR(VLOOKUP(A1529,Table1[[Customer ID]:[Discount Amount]], 6, FALSE),"Not Found")</f>
        <v>75</v>
      </c>
      <c r="U1529" t="str">
        <f t="shared" si="93"/>
        <v>Debit Card</v>
      </c>
      <c r="V1529" s="4" t="str">
        <f t="shared" si="94"/>
        <v>Normal</v>
      </c>
      <c r="W1529" s="4" t="str">
        <f t="shared" si="95"/>
        <v>Good</v>
      </c>
      <c r="X1529" s="4">
        <f>AVERAGE(Table1[Purchase Amount])</f>
        <v>129.48419400000012</v>
      </c>
    </row>
    <row r="1530" spans="1:24" ht="15" customHeight="1" x14ac:dyDescent="0.25">
      <c r="A1530">
        <v>1529</v>
      </c>
      <c r="B1530">
        <v>69</v>
      </c>
      <c r="C1530" t="s">
        <v>27</v>
      </c>
      <c r="D1530" t="s">
        <v>17</v>
      </c>
      <c r="E1530" t="s">
        <v>18</v>
      </c>
      <c r="F1530" s="2">
        <v>75</v>
      </c>
      <c r="G1530" t="s">
        <v>123</v>
      </c>
      <c r="H1530" t="s">
        <v>55</v>
      </c>
      <c r="I1530" t="s">
        <v>46</v>
      </c>
      <c r="J1530" t="s">
        <v>33</v>
      </c>
      <c r="K1530">
        <v>4</v>
      </c>
      <c r="L1530" t="s">
        <v>23</v>
      </c>
      <c r="M1530" t="s">
        <v>48</v>
      </c>
      <c r="N1530" t="s">
        <v>34</v>
      </c>
      <c r="O1530">
        <v>47</v>
      </c>
      <c r="P1530" t="s">
        <v>62</v>
      </c>
      <c r="Q1530" t="s">
        <v>68</v>
      </c>
      <c r="R1530" s="1">
        <v>0.1</v>
      </c>
      <c r="S1530">
        <f t="shared" si="92"/>
        <v>67.5</v>
      </c>
      <c r="T1530">
        <f>IFERROR(VLOOKUP(A1530,Table1[[Customer ID]:[Discount Amount]], 6, FALSE),"Not Found")</f>
        <v>75</v>
      </c>
      <c r="U1530" t="str">
        <f t="shared" si="93"/>
        <v>Venmo</v>
      </c>
      <c r="V1530" s="4" t="str">
        <f t="shared" si="94"/>
        <v>Normal</v>
      </c>
      <c r="W1530" s="4" t="str">
        <f t="shared" si="95"/>
        <v>Good</v>
      </c>
      <c r="X1530" s="4">
        <f>AVERAGE(Table1[Purchase Amount])</f>
        <v>129.48419400000012</v>
      </c>
    </row>
    <row r="1531" spans="1:24" ht="15" customHeight="1" x14ac:dyDescent="0.25">
      <c r="A1531">
        <v>1530</v>
      </c>
      <c r="B1531">
        <v>20</v>
      </c>
      <c r="C1531" t="s">
        <v>27</v>
      </c>
      <c r="D1531" t="s">
        <v>104</v>
      </c>
      <c r="E1531" t="s">
        <v>29</v>
      </c>
      <c r="F1531" s="2">
        <v>63</v>
      </c>
      <c r="G1531" t="s">
        <v>160</v>
      </c>
      <c r="H1531" t="s">
        <v>31</v>
      </c>
      <c r="I1531" t="s">
        <v>107</v>
      </c>
      <c r="J1531" t="s">
        <v>22</v>
      </c>
      <c r="K1531">
        <v>3.1</v>
      </c>
      <c r="L1531" t="s">
        <v>23</v>
      </c>
      <c r="M1531" t="s">
        <v>35</v>
      </c>
      <c r="N1531" t="s">
        <v>34</v>
      </c>
      <c r="O1531">
        <v>48</v>
      </c>
      <c r="P1531" t="s">
        <v>53</v>
      </c>
      <c r="Q1531" t="s">
        <v>68</v>
      </c>
      <c r="R1531" s="1">
        <v>0.1</v>
      </c>
      <c r="S1531">
        <f t="shared" si="92"/>
        <v>56.7</v>
      </c>
      <c r="T1531">
        <f>IFERROR(VLOOKUP(A1531,Table1[[Customer ID]:[Discount Amount]], 6, FALSE),"Not Found")</f>
        <v>63</v>
      </c>
      <c r="U1531" t="str">
        <f t="shared" si="93"/>
        <v>Credit Card</v>
      </c>
      <c r="V1531" s="4" t="str">
        <f t="shared" si="94"/>
        <v>Normal</v>
      </c>
      <c r="W1531" s="4" t="str">
        <f t="shared" si="95"/>
        <v>Good</v>
      </c>
      <c r="X1531" s="4">
        <f>AVERAGE(Table1[Purchase Amount])</f>
        <v>129.48419400000012</v>
      </c>
    </row>
    <row r="1532" spans="1:24" ht="15" customHeight="1" x14ac:dyDescent="0.25">
      <c r="A1532">
        <v>1531</v>
      </c>
      <c r="B1532">
        <v>59</v>
      </c>
      <c r="C1532" t="s">
        <v>27</v>
      </c>
      <c r="D1532" t="s">
        <v>76</v>
      </c>
      <c r="E1532" t="s">
        <v>77</v>
      </c>
      <c r="F1532" s="2">
        <v>21</v>
      </c>
      <c r="G1532" t="s">
        <v>110</v>
      </c>
      <c r="H1532" t="s">
        <v>31</v>
      </c>
      <c r="I1532" t="s">
        <v>147</v>
      </c>
      <c r="J1532" t="s">
        <v>33</v>
      </c>
      <c r="K1532">
        <v>3.9</v>
      </c>
      <c r="L1532" t="s">
        <v>23</v>
      </c>
      <c r="M1532" t="s">
        <v>79</v>
      </c>
      <c r="N1532" t="s">
        <v>34</v>
      </c>
      <c r="O1532">
        <v>22</v>
      </c>
      <c r="P1532" t="s">
        <v>88</v>
      </c>
      <c r="Q1532" t="s">
        <v>37</v>
      </c>
      <c r="R1532" s="1">
        <v>0.1</v>
      </c>
      <c r="S1532">
        <f t="shared" si="92"/>
        <v>18.899999999999999</v>
      </c>
      <c r="T1532">
        <f>IFERROR(VLOOKUP(A1532,Table1[[Customer ID]:[Discount Amount]], 6, FALSE),"Not Found")</f>
        <v>21</v>
      </c>
      <c r="U1532" t="str">
        <f t="shared" si="93"/>
        <v>Bank Transfer</v>
      </c>
      <c r="V1532" s="4" t="str">
        <f t="shared" si="94"/>
        <v>Normal</v>
      </c>
      <c r="W1532" s="4" t="str">
        <f t="shared" si="95"/>
        <v>Good</v>
      </c>
      <c r="X1532" s="4">
        <f>AVERAGE(Table1[Purchase Amount])</f>
        <v>129.48419400000012</v>
      </c>
    </row>
    <row r="1533" spans="1:24" ht="15" customHeight="1" x14ac:dyDescent="0.25">
      <c r="A1533">
        <v>1532</v>
      </c>
      <c r="B1533">
        <v>63</v>
      </c>
      <c r="C1533" t="s">
        <v>27</v>
      </c>
      <c r="D1533" t="s">
        <v>104</v>
      </c>
      <c r="E1533" t="s">
        <v>29</v>
      </c>
      <c r="F1533" s="2">
        <v>83</v>
      </c>
      <c r="G1533" t="s">
        <v>149</v>
      </c>
      <c r="H1533" t="s">
        <v>55</v>
      </c>
      <c r="I1533" t="s">
        <v>111</v>
      </c>
      <c r="J1533" t="s">
        <v>33</v>
      </c>
      <c r="K1533">
        <v>4.5</v>
      </c>
      <c r="L1533" t="s">
        <v>23</v>
      </c>
      <c r="M1533" t="s">
        <v>79</v>
      </c>
      <c r="N1533" t="s">
        <v>34</v>
      </c>
      <c r="O1533">
        <v>8</v>
      </c>
      <c r="P1533" t="s">
        <v>58</v>
      </c>
      <c r="Q1533" t="s">
        <v>68</v>
      </c>
      <c r="R1533" s="1">
        <v>0.1</v>
      </c>
      <c r="S1533">
        <f t="shared" si="92"/>
        <v>74.7</v>
      </c>
      <c r="T1533">
        <f>IFERROR(VLOOKUP(A1533,Table1[[Customer ID]:[Discount Amount]], 6, FALSE),"Not Found")</f>
        <v>83</v>
      </c>
      <c r="U1533" t="str">
        <f t="shared" si="93"/>
        <v>PayPal</v>
      </c>
      <c r="V1533" s="4" t="str">
        <f t="shared" si="94"/>
        <v>Normal</v>
      </c>
      <c r="W1533" s="4" t="str">
        <f t="shared" si="95"/>
        <v>Good</v>
      </c>
      <c r="X1533" s="4">
        <f>AVERAGE(Table1[Purchase Amount])</f>
        <v>129.48419400000012</v>
      </c>
    </row>
    <row r="1534" spans="1:24" ht="15" customHeight="1" x14ac:dyDescent="0.25">
      <c r="A1534">
        <v>1533</v>
      </c>
      <c r="B1534">
        <v>68</v>
      </c>
      <c r="C1534" t="s">
        <v>27</v>
      </c>
      <c r="D1534" t="s">
        <v>96</v>
      </c>
      <c r="E1534" t="s">
        <v>77</v>
      </c>
      <c r="F1534" s="2">
        <v>46</v>
      </c>
      <c r="G1534" t="s">
        <v>59</v>
      </c>
      <c r="H1534" t="s">
        <v>55</v>
      </c>
      <c r="I1534" t="s">
        <v>153</v>
      </c>
      <c r="J1534" t="s">
        <v>22</v>
      </c>
      <c r="K1534">
        <v>4.4000000000000004</v>
      </c>
      <c r="L1534" t="s">
        <v>23</v>
      </c>
      <c r="M1534" t="s">
        <v>79</v>
      </c>
      <c r="N1534" t="s">
        <v>34</v>
      </c>
      <c r="O1534">
        <v>5</v>
      </c>
      <c r="P1534" t="s">
        <v>58</v>
      </c>
      <c r="Q1534" t="s">
        <v>63</v>
      </c>
      <c r="R1534" s="1">
        <v>0.1</v>
      </c>
      <c r="S1534">
        <f t="shared" si="92"/>
        <v>41.4</v>
      </c>
      <c r="T1534">
        <f>IFERROR(VLOOKUP(A1534,Table1[[Customer ID]:[Discount Amount]], 6, FALSE),"Not Found")</f>
        <v>46</v>
      </c>
      <c r="U1534" t="str">
        <f t="shared" si="93"/>
        <v>PayPal</v>
      </c>
      <c r="V1534" s="4" t="str">
        <f t="shared" si="94"/>
        <v>Normal</v>
      </c>
      <c r="W1534" s="4" t="str">
        <f t="shared" si="95"/>
        <v>Good</v>
      </c>
      <c r="X1534" s="4">
        <f>AVERAGE(Table1[Purchase Amount])</f>
        <v>129.48419400000012</v>
      </c>
    </row>
    <row r="1535" spans="1:24" ht="15" customHeight="1" x14ac:dyDescent="0.25">
      <c r="A1535">
        <v>1534</v>
      </c>
      <c r="B1535">
        <v>50</v>
      </c>
      <c r="C1535" t="s">
        <v>27</v>
      </c>
      <c r="D1535" t="s">
        <v>72</v>
      </c>
      <c r="E1535" t="s">
        <v>98</v>
      </c>
      <c r="F1535" s="2">
        <v>59</v>
      </c>
      <c r="G1535" t="s">
        <v>132</v>
      </c>
      <c r="H1535" t="s">
        <v>31</v>
      </c>
      <c r="I1535" t="s">
        <v>133</v>
      </c>
      <c r="J1535" t="s">
        <v>57</v>
      </c>
      <c r="K1535">
        <v>3.6</v>
      </c>
      <c r="L1535" t="s">
        <v>23</v>
      </c>
      <c r="M1535" t="s">
        <v>41</v>
      </c>
      <c r="N1535" t="s">
        <v>34</v>
      </c>
      <c r="O1535">
        <v>16</v>
      </c>
      <c r="P1535" t="s">
        <v>88</v>
      </c>
      <c r="Q1535" t="s">
        <v>37</v>
      </c>
      <c r="R1535" s="1">
        <v>0.1</v>
      </c>
      <c r="S1535">
        <f t="shared" si="92"/>
        <v>53.1</v>
      </c>
      <c r="T1535">
        <f>IFERROR(VLOOKUP(A1535,Table1[[Customer ID]:[Discount Amount]], 6, FALSE),"Not Found")</f>
        <v>59</v>
      </c>
      <c r="U1535" t="str">
        <f t="shared" si="93"/>
        <v>Bank Transfer</v>
      </c>
      <c r="V1535" s="4" t="str">
        <f t="shared" si="94"/>
        <v>Normal</v>
      </c>
      <c r="W1535" s="4" t="str">
        <f t="shared" si="95"/>
        <v>Good</v>
      </c>
      <c r="X1535" s="4">
        <f>AVERAGE(Table1[Purchase Amount])</f>
        <v>129.48419400000012</v>
      </c>
    </row>
    <row r="1536" spans="1:24" ht="15" customHeight="1" x14ac:dyDescent="0.25">
      <c r="A1536">
        <v>1535</v>
      </c>
      <c r="B1536">
        <v>55</v>
      </c>
      <c r="C1536" t="s">
        <v>27</v>
      </c>
      <c r="D1536" t="s">
        <v>118</v>
      </c>
      <c r="E1536" t="s">
        <v>18</v>
      </c>
      <c r="F1536" s="2">
        <v>66</v>
      </c>
      <c r="G1536" t="s">
        <v>162</v>
      </c>
      <c r="H1536" t="s">
        <v>31</v>
      </c>
      <c r="I1536" t="s">
        <v>93</v>
      </c>
      <c r="J1536" t="s">
        <v>57</v>
      </c>
      <c r="K1536">
        <v>3.4</v>
      </c>
      <c r="L1536" t="s">
        <v>23</v>
      </c>
      <c r="M1536" t="s">
        <v>35</v>
      </c>
      <c r="N1536" t="s">
        <v>34</v>
      </c>
      <c r="O1536">
        <v>26</v>
      </c>
      <c r="P1536" t="s">
        <v>62</v>
      </c>
      <c r="Q1536" t="s">
        <v>89</v>
      </c>
      <c r="R1536" s="1">
        <v>0.1</v>
      </c>
      <c r="S1536">
        <f t="shared" si="92"/>
        <v>59.4</v>
      </c>
      <c r="T1536">
        <f>IFERROR(VLOOKUP(A1536,Table1[[Customer ID]:[Discount Amount]], 6, FALSE),"Not Found")</f>
        <v>66</v>
      </c>
      <c r="U1536" t="str">
        <f t="shared" si="93"/>
        <v>Venmo</v>
      </c>
      <c r="V1536" s="4" t="str">
        <f t="shared" si="94"/>
        <v>Normal</v>
      </c>
      <c r="W1536" s="4" t="str">
        <f t="shared" si="95"/>
        <v>Good</v>
      </c>
      <c r="X1536" s="4">
        <f>AVERAGE(Table1[Purchase Amount])</f>
        <v>129.48419400000012</v>
      </c>
    </row>
    <row r="1537" spans="1:24" ht="15" customHeight="1" x14ac:dyDescent="0.25">
      <c r="A1537">
        <v>1536</v>
      </c>
      <c r="B1537">
        <v>36</v>
      </c>
      <c r="C1537" t="s">
        <v>27</v>
      </c>
      <c r="D1537" t="s">
        <v>121</v>
      </c>
      <c r="E1537" t="s">
        <v>98</v>
      </c>
      <c r="F1537" s="2">
        <v>74</v>
      </c>
      <c r="G1537" t="s">
        <v>154</v>
      </c>
      <c r="H1537" t="s">
        <v>55</v>
      </c>
      <c r="I1537" t="s">
        <v>156</v>
      </c>
      <c r="J1537" t="s">
        <v>47</v>
      </c>
      <c r="K1537">
        <v>4</v>
      </c>
      <c r="L1537" t="s">
        <v>23</v>
      </c>
      <c r="M1537" t="s">
        <v>41</v>
      </c>
      <c r="N1537" t="s">
        <v>34</v>
      </c>
      <c r="O1537">
        <v>8</v>
      </c>
      <c r="P1537" t="s">
        <v>62</v>
      </c>
      <c r="Q1537" t="s">
        <v>42</v>
      </c>
      <c r="R1537" s="1">
        <v>0.1</v>
      </c>
      <c r="S1537">
        <f t="shared" si="92"/>
        <v>66.599999999999994</v>
      </c>
      <c r="T1537">
        <f>IFERROR(VLOOKUP(A1537,Table1[[Customer ID]:[Discount Amount]], 6, FALSE),"Not Found")</f>
        <v>74</v>
      </c>
      <c r="U1537" t="str">
        <f t="shared" si="93"/>
        <v>Venmo</v>
      </c>
      <c r="V1537" s="4" t="str">
        <f t="shared" si="94"/>
        <v>Normal</v>
      </c>
      <c r="W1537" s="4" t="str">
        <f t="shared" si="95"/>
        <v>Good</v>
      </c>
      <c r="X1537" s="4">
        <f>AVERAGE(Table1[Purchase Amount])</f>
        <v>129.48419400000012</v>
      </c>
    </row>
    <row r="1538" spans="1:24" ht="15" customHeight="1" x14ac:dyDescent="0.25">
      <c r="A1538">
        <v>1537</v>
      </c>
      <c r="B1538">
        <v>18</v>
      </c>
      <c r="C1538" t="s">
        <v>27</v>
      </c>
      <c r="D1538" t="s">
        <v>28</v>
      </c>
      <c r="E1538" t="s">
        <v>29</v>
      </c>
      <c r="F1538" s="2">
        <v>82</v>
      </c>
      <c r="G1538" t="s">
        <v>113</v>
      </c>
      <c r="H1538" t="s">
        <v>31</v>
      </c>
      <c r="I1538" t="s">
        <v>91</v>
      </c>
      <c r="J1538" t="s">
        <v>57</v>
      </c>
      <c r="K1538">
        <v>2.6</v>
      </c>
      <c r="L1538" t="s">
        <v>23</v>
      </c>
      <c r="M1538" t="s">
        <v>48</v>
      </c>
      <c r="N1538" t="s">
        <v>34</v>
      </c>
      <c r="O1538">
        <v>17</v>
      </c>
      <c r="P1538" t="s">
        <v>25</v>
      </c>
      <c r="Q1538" t="s">
        <v>37</v>
      </c>
      <c r="R1538" s="1">
        <v>0.1</v>
      </c>
      <c r="S1538">
        <f t="shared" ref="S1538:S1601" si="96">F1538-(F1538*R1538)</f>
        <v>73.8</v>
      </c>
      <c r="T1538">
        <f>IFERROR(VLOOKUP(A1538,Table1[[Customer ID]:[Discount Amount]], 6, FALSE),"Not Found")</f>
        <v>82</v>
      </c>
      <c r="U1538" t="str">
        <f t="shared" ref="U1538:U1601" si="97">INDEX(P:P, MATCH(A1538, A:A, 0))</f>
        <v>Cash</v>
      </c>
      <c r="V1538" s="4" t="str">
        <f t="shared" ref="V1538:V1601" si="98">IF(AND(F1538&gt;1000,K1538&gt;=4),"Best Customer","Normal")</f>
        <v>Normal</v>
      </c>
      <c r="W1538" s="4" t="str">
        <f t="shared" ref="W1538:W1601" si="99">IF(K1538&gt;=3,"Good","Poor")</f>
        <v>Poor</v>
      </c>
      <c r="X1538" s="4">
        <f>AVERAGE(Table1[Purchase Amount])</f>
        <v>129.48419400000012</v>
      </c>
    </row>
    <row r="1539" spans="1:24" ht="15" customHeight="1" x14ac:dyDescent="0.25">
      <c r="A1539">
        <v>1538</v>
      </c>
      <c r="B1539">
        <v>68</v>
      </c>
      <c r="C1539" t="s">
        <v>27</v>
      </c>
      <c r="D1539" t="s">
        <v>72</v>
      </c>
      <c r="E1539" t="s">
        <v>98</v>
      </c>
      <c r="F1539" s="2">
        <v>89</v>
      </c>
      <c r="G1539" t="s">
        <v>148</v>
      </c>
      <c r="H1539" t="s">
        <v>45</v>
      </c>
      <c r="I1539" t="s">
        <v>40</v>
      </c>
      <c r="J1539" t="s">
        <v>33</v>
      </c>
      <c r="K1539">
        <v>3.2</v>
      </c>
      <c r="L1539" t="s">
        <v>23</v>
      </c>
      <c r="M1539" t="s">
        <v>79</v>
      </c>
      <c r="N1539" t="s">
        <v>34</v>
      </c>
      <c r="O1539">
        <v>50</v>
      </c>
      <c r="P1539" t="s">
        <v>62</v>
      </c>
      <c r="Q1539" t="s">
        <v>49</v>
      </c>
      <c r="R1539" s="1">
        <v>0.1</v>
      </c>
      <c r="S1539">
        <f t="shared" si="96"/>
        <v>80.099999999999994</v>
      </c>
      <c r="T1539">
        <f>IFERROR(VLOOKUP(A1539,Table1[[Customer ID]:[Discount Amount]], 6, FALSE),"Not Found")</f>
        <v>89</v>
      </c>
      <c r="U1539" t="str">
        <f t="shared" si="97"/>
        <v>Venmo</v>
      </c>
      <c r="V1539" s="4" t="str">
        <f t="shared" si="98"/>
        <v>Normal</v>
      </c>
      <c r="W1539" s="4" t="str">
        <f t="shared" si="99"/>
        <v>Good</v>
      </c>
      <c r="X1539" s="4">
        <f>AVERAGE(Table1[Purchase Amount])</f>
        <v>129.48419400000012</v>
      </c>
    </row>
    <row r="1540" spans="1:24" ht="15" customHeight="1" x14ac:dyDescent="0.25">
      <c r="A1540">
        <v>1539</v>
      </c>
      <c r="B1540">
        <v>56</v>
      </c>
      <c r="C1540" t="s">
        <v>27</v>
      </c>
      <c r="D1540" t="s">
        <v>157</v>
      </c>
      <c r="E1540" t="s">
        <v>18</v>
      </c>
      <c r="F1540" s="2">
        <v>65</v>
      </c>
      <c r="G1540" t="s">
        <v>44</v>
      </c>
      <c r="H1540" t="s">
        <v>45</v>
      </c>
      <c r="I1540" t="s">
        <v>103</v>
      </c>
      <c r="J1540" t="s">
        <v>47</v>
      </c>
      <c r="K1540">
        <v>3.2</v>
      </c>
      <c r="L1540" t="s">
        <v>23</v>
      </c>
      <c r="M1540" t="s">
        <v>24</v>
      </c>
      <c r="N1540" t="s">
        <v>34</v>
      </c>
      <c r="O1540">
        <v>22</v>
      </c>
      <c r="P1540" t="s">
        <v>62</v>
      </c>
      <c r="Q1540" t="s">
        <v>68</v>
      </c>
      <c r="R1540" s="1">
        <v>0.1</v>
      </c>
      <c r="S1540">
        <f t="shared" si="96"/>
        <v>58.5</v>
      </c>
      <c r="T1540">
        <f>IFERROR(VLOOKUP(A1540,Table1[[Customer ID]:[Discount Amount]], 6, FALSE),"Not Found")</f>
        <v>65</v>
      </c>
      <c r="U1540" t="str">
        <f t="shared" si="97"/>
        <v>Venmo</v>
      </c>
      <c r="V1540" s="4" t="str">
        <f t="shared" si="98"/>
        <v>Normal</v>
      </c>
      <c r="W1540" s="4" t="str">
        <f t="shared" si="99"/>
        <v>Good</v>
      </c>
      <c r="X1540" s="4">
        <f>AVERAGE(Table1[Purchase Amount])</f>
        <v>129.48419400000012</v>
      </c>
    </row>
    <row r="1541" spans="1:24" ht="15" customHeight="1" x14ac:dyDescent="0.25">
      <c r="A1541">
        <v>1540</v>
      </c>
      <c r="B1541">
        <v>32</v>
      </c>
      <c r="C1541" t="s">
        <v>27</v>
      </c>
      <c r="D1541" t="s">
        <v>114</v>
      </c>
      <c r="E1541" t="s">
        <v>29</v>
      </c>
      <c r="F1541" s="2">
        <v>55</v>
      </c>
      <c r="G1541" t="s">
        <v>135</v>
      </c>
      <c r="H1541" t="s">
        <v>31</v>
      </c>
      <c r="I1541" t="s">
        <v>156</v>
      </c>
      <c r="J1541" t="s">
        <v>33</v>
      </c>
      <c r="K1541">
        <v>5</v>
      </c>
      <c r="L1541" t="s">
        <v>23</v>
      </c>
      <c r="M1541" t="s">
        <v>41</v>
      </c>
      <c r="N1541" t="s">
        <v>34</v>
      </c>
      <c r="O1541">
        <v>19</v>
      </c>
      <c r="P1541" t="s">
        <v>25</v>
      </c>
      <c r="Q1541" t="s">
        <v>63</v>
      </c>
      <c r="R1541" s="1">
        <v>0.1</v>
      </c>
      <c r="S1541">
        <f t="shared" si="96"/>
        <v>49.5</v>
      </c>
      <c r="T1541">
        <f>IFERROR(VLOOKUP(A1541,Table1[[Customer ID]:[Discount Amount]], 6, FALSE),"Not Found")</f>
        <v>55</v>
      </c>
      <c r="U1541" t="str">
        <f t="shared" si="97"/>
        <v>Cash</v>
      </c>
      <c r="V1541" s="4" t="str">
        <f t="shared" si="98"/>
        <v>Normal</v>
      </c>
      <c r="W1541" s="4" t="str">
        <f t="shared" si="99"/>
        <v>Good</v>
      </c>
      <c r="X1541" s="4">
        <f>AVERAGE(Table1[Purchase Amount])</f>
        <v>129.48419400000012</v>
      </c>
    </row>
    <row r="1542" spans="1:24" ht="15" customHeight="1" x14ac:dyDescent="0.25">
      <c r="A1542">
        <v>1541</v>
      </c>
      <c r="B1542">
        <v>28</v>
      </c>
      <c r="C1542" t="s">
        <v>27</v>
      </c>
      <c r="D1542" t="s">
        <v>54</v>
      </c>
      <c r="E1542" t="s">
        <v>18</v>
      </c>
      <c r="F1542" s="2">
        <v>95</v>
      </c>
      <c r="G1542" t="s">
        <v>92</v>
      </c>
      <c r="H1542" t="s">
        <v>31</v>
      </c>
      <c r="I1542" t="s">
        <v>46</v>
      </c>
      <c r="J1542" t="s">
        <v>22</v>
      </c>
      <c r="K1542">
        <v>2.9</v>
      </c>
      <c r="L1542" t="s">
        <v>23</v>
      </c>
      <c r="M1542" t="s">
        <v>79</v>
      </c>
      <c r="N1542" t="s">
        <v>34</v>
      </c>
      <c r="O1542">
        <v>14</v>
      </c>
      <c r="P1542" t="s">
        <v>88</v>
      </c>
      <c r="Q1542" t="s">
        <v>42</v>
      </c>
      <c r="R1542" s="1">
        <v>0.1</v>
      </c>
      <c r="S1542">
        <f t="shared" si="96"/>
        <v>85.5</v>
      </c>
      <c r="T1542">
        <f>IFERROR(VLOOKUP(A1542,Table1[[Customer ID]:[Discount Amount]], 6, FALSE),"Not Found")</f>
        <v>95</v>
      </c>
      <c r="U1542" t="str">
        <f t="shared" si="97"/>
        <v>Bank Transfer</v>
      </c>
      <c r="V1542" s="4" t="str">
        <f t="shared" si="98"/>
        <v>Normal</v>
      </c>
      <c r="W1542" s="4" t="str">
        <f t="shared" si="99"/>
        <v>Poor</v>
      </c>
      <c r="X1542" s="4">
        <f>AVERAGE(Table1[Purchase Amount])</f>
        <v>129.48419400000012</v>
      </c>
    </row>
    <row r="1543" spans="1:24" ht="15" customHeight="1" x14ac:dyDescent="0.25">
      <c r="A1543">
        <v>1542</v>
      </c>
      <c r="B1543">
        <v>24</v>
      </c>
      <c r="C1543" t="s">
        <v>27</v>
      </c>
      <c r="D1543" t="s">
        <v>69</v>
      </c>
      <c r="E1543" t="s">
        <v>29</v>
      </c>
      <c r="F1543" s="2">
        <v>77</v>
      </c>
      <c r="G1543" t="s">
        <v>44</v>
      </c>
      <c r="H1543" t="s">
        <v>55</v>
      </c>
      <c r="I1543" t="s">
        <v>91</v>
      </c>
      <c r="J1543" t="s">
        <v>22</v>
      </c>
      <c r="K1543">
        <v>2.9</v>
      </c>
      <c r="L1543" t="s">
        <v>23</v>
      </c>
      <c r="M1543" t="s">
        <v>48</v>
      </c>
      <c r="N1543" t="s">
        <v>34</v>
      </c>
      <c r="O1543">
        <v>35</v>
      </c>
      <c r="P1543" t="s">
        <v>25</v>
      </c>
      <c r="Q1543" t="s">
        <v>68</v>
      </c>
      <c r="R1543" s="1">
        <v>0.1</v>
      </c>
      <c r="S1543">
        <f t="shared" si="96"/>
        <v>69.3</v>
      </c>
      <c r="T1543">
        <f>IFERROR(VLOOKUP(A1543,Table1[[Customer ID]:[Discount Amount]], 6, FALSE),"Not Found")</f>
        <v>77</v>
      </c>
      <c r="U1543" t="str">
        <f t="shared" si="97"/>
        <v>Cash</v>
      </c>
      <c r="V1543" s="4" t="str">
        <f t="shared" si="98"/>
        <v>Normal</v>
      </c>
      <c r="W1543" s="4" t="str">
        <f t="shared" si="99"/>
        <v>Poor</v>
      </c>
      <c r="X1543" s="4">
        <f>AVERAGE(Table1[Purchase Amount])</f>
        <v>129.48419400000012</v>
      </c>
    </row>
    <row r="1544" spans="1:24" ht="15" customHeight="1" x14ac:dyDescent="0.25">
      <c r="A1544">
        <v>1543</v>
      </c>
      <c r="B1544">
        <v>59</v>
      </c>
      <c r="C1544" t="s">
        <v>27</v>
      </c>
      <c r="D1544" t="s">
        <v>118</v>
      </c>
      <c r="E1544" t="s">
        <v>18</v>
      </c>
      <c r="F1544" s="2">
        <v>44</v>
      </c>
      <c r="G1544" t="s">
        <v>135</v>
      </c>
      <c r="H1544" t="s">
        <v>31</v>
      </c>
      <c r="I1544" t="s">
        <v>125</v>
      </c>
      <c r="J1544" t="s">
        <v>22</v>
      </c>
      <c r="K1544">
        <v>3.5</v>
      </c>
      <c r="L1544" t="s">
        <v>23</v>
      </c>
      <c r="M1544" t="s">
        <v>79</v>
      </c>
      <c r="N1544" t="s">
        <v>34</v>
      </c>
      <c r="O1544">
        <v>43</v>
      </c>
      <c r="P1544" t="s">
        <v>58</v>
      </c>
      <c r="Q1544" t="s">
        <v>26</v>
      </c>
      <c r="R1544" s="1">
        <v>0.1</v>
      </c>
      <c r="S1544">
        <f t="shared" si="96"/>
        <v>39.6</v>
      </c>
      <c r="T1544">
        <f>IFERROR(VLOOKUP(A1544,Table1[[Customer ID]:[Discount Amount]], 6, FALSE),"Not Found")</f>
        <v>44</v>
      </c>
      <c r="U1544" t="str">
        <f t="shared" si="97"/>
        <v>PayPal</v>
      </c>
      <c r="V1544" s="4" t="str">
        <f t="shared" si="98"/>
        <v>Normal</v>
      </c>
      <c r="W1544" s="4" t="str">
        <f t="shared" si="99"/>
        <v>Good</v>
      </c>
      <c r="X1544" s="4">
        <f>AVERAGE(Table1[Purchase Amount])</f>
        <v>129.48419400000012</v>
      </c>
    </row>
    <row r="1545" spans="1:24" ht="15" customHeight="1" x14ac:dyDescent="0.25">
      <c r="A1545">
        <v>1544</v>
      </c>
      <c r="B1545">
        <v>56</v>
      </c>
      <c r="C1545" t="s">
        <v>27</v>
      </c>
      <c r="D1545" t="s">
        <v>109</v>
      </c>
      <c r="E1545" t="s">
        <v>18</v>
      </c>
      <c r="F1545" s="2">
        <v>89</v>
      </c>
      <c r="G1545" t="s">
        <v>59</v>
      </c>
      <c r="H1545" t="s">
        <v>31</v>
      </c>
      <c r="I1545" t="s">
        <v>91</v>
      </c>
      <c r="J1545" t="s">
        <v>47</v>
      </c>
      <c r="K1545">
        <v>4</v>
      </c>
      <c r="L1545" t="s">
        <v>23</v>
      </c>
      <c r="M1545" t="s">
        <v>24</v>
      </c>
      <c r="N1545" t="s">
        <v>34</v>
      </c>
      <c r="O1545">
        <v>24</v>
      </c>
      <c r="P1545" t="s">
        <v>62</v>
      </c>
      <c r="Q1545" t="s">
        <v>49</v>
      </c>
      <c r="R1545" s="1">
        <v>0.1</v>
      </c>
      <c r="S1545">
        <f t="shared" si="96"/>
        <v>80.099999999999994</v>
      </c>
      <c r="T1545">
        <f>IFERROR(VLOOKUP(A1545,Table1[[Customer ID]:[Discount Amount]], 6, FALSE),"Not Found")</f>
        <v>89</v>
      </c>
      <c r="U1545" t="str">
        <f t="shared" si="97"/>
        <v>Venmo</v>
      </c>
      <c r="V1545" s="4" t="str">
        <f t="shared" si="98"/>
        <v>Normal</v>
      </c>
      <c r="W1545" s="4" t="str">
        <f t="shared" si="99"/>
        <v>Good</v>
      </c>
      <c r="X1545" s="4">
        <f>AVERAGE(Table1[Purchase Amount])</f>
        <v>129.48419400000012</v>
      </c>
    </row>
    <row r="1546" spans="1:24" ht="15" customHeight="1" x14ac:dyDescent="0.25">
      <c r="A1546">
        <v>1545</v>
      </c>
      <c r="B1546">
        <v>30</v>
      </c>
      <c r="C1546" t="s">
        <v>27</v>
      </c>
      <c r="D1546" t="s">
        <v>50</v>
      </c>
      <c r="E1546" t="s">
        <v>29</v>
      </c>
      <c r="F1546" s="2">
        <v>24</v>
      </c>
      <c r="G1546" t="s">
        <v>100</v>
      </c>
      <c r="H1546" t="s">
        <v>31</v>
      </c>
      <c r="I1546" t="s">
        <v>125</v>
      </c>
      <c r="J1546" t="s">
        <v>33</v>
      </c>
      <c r="K1546">
        <v>3.9</v>
      </c>
      <c r="L1546" t="s">
        <v>23</v>
      </c>
      <c r="M1546" t="s">
        <v>24</v>
      </c>
      <c r="N1546" t="s">
        <v>34</v>
      </c>
      <c r="O1546">
        <v>17</v>
      </c>
      <c r="P1546" t="s">
        <v>36</v>
      </c>
      <c r="Q1546" t="s">
        <v>68</v>
      </c>
      <c r="R1546" s="1">
        <v>0.1</v>
      </c>
      <c r="S1546">
        <f t="shared" si="96"/>
        <v>21.6</v>
      </c>
      <c r="T1546">
        <f>IFERROR(VLOOKUP(A1546,Table1[[Customer ID]:[Discount Amount]], 6, FALSE),"Not Found")</f>
        <v>24</v>
      </c>
      <c r="U1546" t="str">
        <f t="shared" si="97"/>
        <v>Debit Card</v>
      </c>
      <c r="V1546" s="4" t="str">
        <f t="shared" si="98"/>
        <v>Normal</v>
      </c>
      <c r="W1546" s="4" t="str">
        <f t="shared" si="99"/>
        <v>Good</v>
      </c>
      <c r="X1546" s="4">
        <f>AVERAGE(Table1[Purchase Amount])</f>
        <v>129.48419400000012</v>
      </c>
    </row>
    <row r="1547" spans="1:24" ht="15" customHeight="1" x14ac:dyDescent="0.25">
      <c r="A1547">
        <v>1546</v>
      </c>
      <c r="B1547">
        <v>48</v>
      </c>
      <c r="C1547" t="s">
        <v>27</v>
      </c>
      <c r="D1547" t="s">
        <v>114</v>
      </c>
      <c r="E1547" t="s">
        <v>29</v>
      </c>
      <c r="F1547" s="2">
        <v>43</v>
      </c>
      <c r="G1547" t="s">
        <v>143</v>
      </c>
      <c r="H1547" t="s">
        <v>31</v>
      </c>
      <c r="I1547" t="s">
        <v>40</v>
      </c>
      <c r="J1547" t="s">
        <v>22</v>
      </c>
      <c r="K1547">
        <v>4.9000000000000004</v>
      </c>
      <c r="L1547" t="s">
        <v>23</v>
      </c>
      <c r="M1547" t="s">
        <v>48</v>
      </c>
      <c r="N1547" t="s">
        <v>34</v>
      </c>
      <c r="O1547">
        <v>49</v>
      </c>
      <c r="P1547" t="s">
        <v>88</v>
      </c>
      <c r="Q1547" t="s">
        <v>49</v>
      </c>
      <c r="R1547" s="1">
        <v>0.1</v>
      </c>
      <c r="S1547">
        <f t="shared" si="96"/>
        <v>38.700000000000003</v>
      </c>
      <c r="T1547">
        <f>IFERROR(VLOOKUP(A1547,Table1[[Customer ID]:[Discount Amount]], 6, FALSE),"Not Found")</f>
        <v>43</v>
      </c>
      <c r="U1547" t="str">
        <f t="shared" si="97"/>
        <v>Bank Transfer</v>
      </c>
      <c r="V1547" s="4" t="str">
        <f t="shared" si="98"/>
        <v>Normal</v>
      </c>
      <c r="W1547" s="4" t="str">
        <f t="shared" si="99"/>
        <v>Good</v>
      </c>
      <c r="X1547" s="4">
        <f>AVERAGE(Table1[Purchase Amount])</f>
        <v>129.48419400000012</v>
      </c>
    </row>
    <row r="1548" spans="1:24" ht="15" customHeight="1" x14ac:dyDescent="0.25">
      <c r="A1548">
        <v>1547</v>
      </c>
      <c r="B1548">
        <v>60</v>
      </c>
      <c r="C1548" t="s">
        <v>27</v>
      </c>
      <c r="D1548" t="s">
        <v>140</v>
      </c>
      <c r="E1548" t="s">
        <v>98</v>
      </c>
      <c r="F1548" s="2">
        <v>51</v>
      </c>
      <c r="G1548" t="s">
        <v>123</v>
      </c>
      <c r="H1548" t="s">
        <v>20</v>
      </c>
      <c r="I1548" t="s">
        <v>66</v>
      </c>
      <c r="J1548" t="s">
        <v>57</v>
      </c>
      <c r="K1548">
        <v>3.8</v>
      </c>
      <c r="L1548" t="s">
        <v>23</v>
      </c>
      <c r="M1548" t="s">
        <v>61</v>
      </c>
      <c r="N1548" t="s">
        <v>34</v>
      </c>
      <c r="O1548">
        <v>17</v>
      </c>
      <c r="P1548" t="s">
        <v>88</v>
      </c>
      <c r="Q1548" t="s">
        <v>49</v>
      </c>
      <c r="R1548" s="1">
        <v>0.1</v>
      </c>
      <c r="S1548">
        <f t="shared" si="96"/>
        <v>45.9</v>
      </c>
      <c r="T1548">
        <f>IFERROR(VLOOKUP(A1548,Table1[[Customer ID]:[Discount Amount]], 6, FALSE),"Not Found")</f>
        <v>51</v>
      </c>
      <c r="U1548" t="str">
        <f t="shared" si="97"/>
        <v>Bank Transfer</v>
      </c>
      <c r="V1548" s="4" t="str">
        <f t="shared" si="98"/>
        <v>Normal</v>
      </c>
      <c r="W1548" s="4" t="str">
        <f t="shared" si="99"/>
        <v>Good</v>
      </c>
      <c r="X1548" s="4">
        <f>AVERAGE(Table1[Purchase Amount])</f>
        <v>129.48419400000012</v>
      </c>
    </row>
    <row r="1549" spans="1:24" ht="15" customHeight="1" x14ac:dyDescent="0.25">
      <c r="A1549">
        <v>1548</v>
      </c>
      <c r="B1549">
        <v>46</v>
      </c>
      <c r="C1549" t="s">
        <v>27</v>
      </c>
      <c r="D1549" t="s">
        <v>64</v>
      </c>
      <c r="E1549" t="s">
        <v>29</v>
      </c>
      <c r="F1549" s="2">
        <v>46</v>
      </c>
      <c r="G1549" t="s">
        <v>30</v>
      </c>
      <c r="H1549" t="s">
        <v>45</v>
      </c>
      <c r="I1549" t="s">
        <v>147</v>
      </c>
      <c r="J1549" t="s">
        <v>57</v>
      </c>
      <c r="K1549">
        <v>3.5</v>
      </c>
      <c r="L1549" t="s">
        <v>23</v>
      </c>
      <c r="M1549" t="s">
        <v>24</v>
      </c>
      <c r="N1549" t="s">
        <v>34</v>
      </c>
      <c r="O1549">
        <v>40</v>
      </c>
      <c r="P1549" t="s">
        <v>25</v>
      </c>
      <c r="Q1549" t="s">
        <v>37</v>
      </c>
      <c r="R1549" s="1">
        <v>0.1</v>
      </c>
      <c r="S1549">
        <f t="shared" si="96"/>
        <v>41.4</v>
      </c>
      <c r="T1549">
        <f>IFERROR(VLOOKUP(A1549,Table1[[Customer ID]:[Discount Amount]], 6, FALSE),"Not Found")</f>
        <v>46</v>
      </c>
      <c r="U1549" t="str">
        <f t="shared" si="97"/>
        <v>Cash</v>
      </c>
      <c r="V1549" s="4" t="str">
        <f t="shared" si="98"/>
        <v>Normal</v>
      </c>
      <c r="W1549" s="4" t="str">
        <f t="shared" si="99"/>
        <v>Good</v>
      </c>
      <c r="X1549" s="4">
        <f>AVERAGE(Table1[Purchase Amount])</f>
        <v>129.48419400000012</v>
      </c>
    </row>
    <row r="1550" spans="1:24" ht="15" customHeight="1" x14ac:dyDescent="0.25">
      <c r="A1550">
        <v>1549</v>
      </c>
      <c r="B1550">
        <v>69</v>
      </c>
      <c r="C1550" t="s">
        <v>27</v>
      </c>
      <c r="D1550" t="s">
        <v>157</v>
      </c>
      <c r="E1550" t="s">
        <v>18</v>
      </c>
      <c r="F1550" s="2">
        <v>32</v>
      </c>
      <c r="G1550" t="s">
        <v>106</v>
      </c>
      <c r="H1550" t="s">
        <v>31</v>
      </c>
      <c r="I1550" t="s">
        <v>153</v>
      </c>
      <c r="J1550" t="s">
        <v>57</v>
      </c>
      <c r="K1550">
        <v>3.7</v>
      </c>
      <c r="L1550" t="s">
        <v>23</v>
      </c>
      <c r="M1550" t="s">
        <v>48</v>
      </c>
      <c r="N1550" t="s">
        <v>34</v>
      </c>
      <c r="O1550">
        <v>43</v>
      </c>
      <c r="P1550" t="s">
        <v>88</v>
      </c>
      <c r="Q1550" t="s">
        <v>26</v>
      </c>
      <c r="R1550" s="1">
        <v>0.1</v>
      </c>
      <c r="S1550">
        <f t="shared" si="96"/>
        <v>28.8</v>
      </c>
      <c r="T1550">
        <f>IFERROR(VLOOKUP(A1550,Table1[[Customer ID]:[Discount Amount]], 6, FALSE),"Not Found")</f>
        <v>32</v>
      </c>
      <c r="U1550" t="str">
        <f t="shared" si="97"/>
        <v>Bank Transfer</v>
      </c>
      <c r="V1550" s="4" t="str">
        <f t="shared" si="98"/>
        <v>Normal</v>
      </c>
      <c r="W1550" s="4" t="str">
        <f t="shared" si="99"/>
        <v>Good</v>
      </c>
      <c r="X1550" s="4">
        <f>AVERAGE(Table1[Purchase Amount])</f>
        <v>129.48419400000012</v>
      </c>
    </row>
    <row r="1551" spans="1:24" ht="15" customHeight="1" x14ac:dyDescent="0.25">
      <c r="A1551">
        <v>1550</v>
      </c>
      <c r="B1551">
        <v>19</v>
      </c>
      <c r="C1551" t="s">
        <v>27</v>
      </c>
      <c r="D1551" t="s">
        <v>140</v>
      </c>
      <c r="E1551" t="s">
        <v>98</v>
      </c>
      <c r="F1551" s="2">
        <v>55</v>
      </c>
      <c r="G1551" t="s">
        <v>124</v>
      </c>
      <c r="H1551" t="s">
        <v>31</v>
      </c>
      <c r="I1551" t="s">
        <v>40</v>
      </c>
      <c r="J1551" t="s">
        <v>33</v>
      </c>
      <c r="K1551">
        <v>2.9</v>
      </c>
      <c r="L1551" t="s">
        <v>23</v>
      </c>
      <c r="M1551" t="s">
        <v>41</v>
      </c>
      <c r="N1551" t="s">
        <v>34</v>
      </c>
      <c r="O1551">
        <v>19</v>
      </c>
      <c r="P1551" t="s">
        <v>36</v>
      </c>
      <c r="Q1551" t="s">
        <v>63</v>
      </c>
      <c r="R1551" s="1">
        <v>0.1</v>
      </c>
      <c r="S1551">
        <f t="shared" si="96"/>
        <v>49.5</v>
      </c>
      <c r="T1551">
        <f>IFERROR(VLOOKUP(A1551,Table1[[Customer ID]:[Discount Amount]], 6, FALSE),"Not Found")</f>
        <v>55</v>
      </c>
      <c r="U1551" t="str">
        <f t="shared" si="97"/>
        <v>Debit Card</v>
      </c>
      <c r="V1551" s="4" t="str">
        <f t="shared" si="98"/>
        <v>Normal</v>
      </c>
      <c r="W1551" s="4" t="str">
        <f t="shared" si="99"/>
        <v>Poor</v>
      </c>
      <c r="X1551" s="4">
        <f>AVERAGE(Table1[Purchase Amount])</f>
        <v>129.48419400000012</v>
      </c>
    </row>
    <row r="1552" spans="1:24" ht="15" customHeight="1" x14ac:dyDescent="0.25">
      <c r="A1552">
        <v>1551</v>
      </c>
      <c r="B1552">
        <v>66</v>
      </c>
      <c r="C1552" t="s">
        <v>27</v>
      </c>
      <c r="D1552" t="s">
        <v>28</v>
      </c>
      <c r="E1552" t="s">
        <v>29</v>
      </c>
      <c r="F1552" s="2">
        <v>26</v>
      </c>
      <c r="G1552" t="s">
        <v>100</v>
      </c>
      <c r="H1552" t="s">
        <v>55</v>
      </c>
      <c r="I1552" t="s">
        <v>40</v>
      </c>
      <c r="J1552" t="s">
        <v>57</v>
      </c>
      <c r="K1552">
        <v>2.8</v>
      </c>
      <c r="L1552" t="s">
        <v>23</v>
      </c>
      <c r="M1552" t="s">
        <v>35</v>
      </c>
      <c r="N1552" t="s">
        <v>34</v>
      </c>
      <c r="O1552">
        <v>40</v>
      </c>
      <c r="P1552" t="s">
        <v>88</v>
      </c>
      <c r="Q1552" t="s">
        <v>37</v>
      </c>
      <c r="R1552" s="1">
        <v>0.1</v>
      </c>
      <c r="S1552">
        <f t="shared" si="96"/>
        <v>23.4</v>
      </c>
      <c r="T1552">
        <f>IFERROR(VLOOKUP(A1552,Table1[[Customer ID]:[Discount Amount]], 6, FALSE),"Not Found")</f>
        <v>26</v>
      </c>
      <c r="U1552" t="str">
        <f t="shared" si="97"/>
        <v>Bank Transfer</v>
      </c>
      <c r="V1552" s="4" t="str">
        <f t="shared" si="98"/>
        <v>Normal</v>
      </c>
      <c r="W1552" s="4" t="str">
        <f t="shared" si="99"/>
        <v>Poor</v>
      </c>
      <c r="X1552" s="4">
        <f>AVERAGE(Table1[Purchase Amount])</f>
        <v>129.48419400000012</v>
      </c>
    </row>
    <row r="1553" spans="1:24" ht="15" customHeight="1" x14ac:dyDescent="0.25">
      <c r="A1553">
        <v>1552</v>
      </c>
      <c r="B1553">
        <v>64</v>
      </c>
      <c r="C1553" t="s">
        <v>27</v>
      </c>
      <c r="D1553" t="s">
        <v>69</v>
      </c>
      <c r="E1553" t="s">
        <v>29</v>
      </c>
      <c r="F1553" s="2">
        <v>29</v>
      </c>
      <c r="G1553" t="s">
        <v>120</v>
      </c>
      <c r="H1553" t="s">
        <v>31</v>
      </c>
      <c r="I1553" t="s">
        <v>21</v>
      </c>
      <c r="J1553" t="s">
        <v>57</v>
      </c>
      <c r="K1553">
        <v>3.7</v>
      </c>
      <c r="L1553" t="s">
        <v>23</v>
      </c>
      <c r="M1553" t="s">
        <v>41</v>
      </c>
      <c r="N1553" t="s">
        <v>34</v>
      </c>
      <c r="O1553">
        <v>13</v>
      </c>
      <c r="P1553" t="s">
        <v>53</v>
      </c>
      <c r="Q1553" t="s">
        <v>42</v>
      </c>
      <c r="R1553" s="1">
        <v>0.1</v>
      </c>
      <c r="S1553">
        <f t="shared" si="96"/>
        <v>26.1</v>
      </c>
      <c r="T1553">
        <f>IFERROR(VLOOKUP(A1553,Table1[[Customer ID]:[Discount Amount]], 6, FALSE),"Not Found")</f>
        <v>29</v>
      </c>
      <c r="U1553" t="str">
        <f t="shared" si="97"/>
        <v>Credit Card</v>
      </c>
      <c r="V1553" s="4" t="str">
        <f t="shared" si="98"/>
        <v>Normal</v>
      </c>
      <c r="W1553" s="4" t="str">
        <f t="shared" si="99"/>
        <v>Good</v>
      </c>
      <c r="X1553" s="4">
        <f>AVERAGE(Table1[Purchase Amount])</f>
        <v>129.48419400000012</v>
      </c>
    </row>
    <row r="1554" spans="1:24" ht="15" customHeight="1" x14ac:dyDescent="0.25">
      <c r="A1554">
        <v>1553</v>
      </c>
      <c r="B1554">
        <v>54</v>
      </c>
      <c r="C1554" t="s">
        <v>27</v>
      </c>
      <c r="D1554" t="s">
        <v>118</v>
      </c>
      <c r="E1554" t="s">
        <v>18</v>
      </c>
      <c r="F1554" s="2">
        <v>49</v>
      </c>
      <c r="G1554" t="s">
        <v>110</v>
      </c>
      <c r="H1554" t="s">
        <v>45</v>
      </c>
      <c r="I1554" t="s">
        <v>66</v>
      </c>
      <c r="J1554" t="s">
        <v>33</v>
      </c>
      <c r="K1554">
        <v>3</v>
      </c>
      <c r="L1554" t="s">
        <v>23</v>
      </c>
      <c r="M1554" t="s">
        <v>61</v>
      </c>
      <c r="N1554" t="s">
        <v>34</v>
      </c>
      <c r="O1554">
        <v>20</v>
      </c>
      <c r="P1554" t="s">
        <v>53</v>
      </c>
      <c r="Q1554" t="s">
        <v>42</v>
      </c>
      <c r="R1554" s="1">
        <v>0.1</v>
      </c>
      <c r="S1554">
        <f t="shared" si="96"/>
        <v>44.1</v>
      </c>
      <c r="T1554">
        <f>IFERROR(VLOOKUP(A1554,Table1[[Customer ID]:[Discount Amount]], 6, FALSE),"Not Found")</f>
        <v>49</v>
      </c>
      <c r="U1554" t="str">
        <f t="shared" si="97"/>
        <v>Credit Card</v>
      </c>
      <c r="V1554" s="4" t="str">
        <f t="shared" si="98"/>
        <v>Normal</v>
      </c>
      <c r="W1554" s="4" t="str">
        <f t="shared" si="99"/>
        <v>Good</v>
      </c>
      <c r="X1554" s="4">
        <f>AVERAGE(Table1[Purchase Amount])</f>
        <v>129.48419400000012</v>
      </c>
    </row>
    <row r="1555" spans="1:24" ht="15" customHeight="1" x14ac:dyDescent="0.25">
      <c r="A1555">
        <v>1554</v>
      </c>
      <c r="B1555">
        <v>27</v>
      </c>
      <c r="C1555" t="s">
        <v>27</v>
      </c>
      <c r="D1555" t="s">
        <v>118</v>
      </c>
      <c r="E1555" t="s">
        <v>18</v>
      </c>
      <c r="F1555" s="2">
        <v>45</v>
      </c>
      <c r="G1555" t="s">
        <v>143</v>
      </c>
      <c r="H1555" t="s">
        <v>31</v>
      </c>
      <c r="I1555" t="s">
        <v>91</v>
      </c>
      <c r="J1555" t="s">
        <v>33</v>
      </c>
      <c r="K1555">
        <v>4.8</v>
      </c>
      <c r="L1555" t="s">
        <v>23</v>
      </c>
      <c r="M1555" t="s">
        <v>35</v>
      </c>
      <c r="N1555" t="s">
        <v>34</v>
      </c>
      <c r="O1555">
        <v>21</v>
      </c>
      <c r="P1555" t="s">
        <v>36</v>
      </c>
      <c r="Q1555" t="s">
        <v>37</v>
      </c>
      <c r="R1555" s="1">
        <v>0.1</v>
      </c>
      <c r="S1555">
        <f t="shared" si="96"/>
        <v>40.5</v>
      </c>
      <c r="T1555">
        <f>IFERROR(VLOOKUP(A1555,Table1[[Customer ID]:[Discount Amount]], 6, FALSE),"Not Found")</f>
        <v>45</v>
      </c>
      <c r="U1555" t="str">
        <f t="shared" si="97"/>
        <v>Debit Card</v>
      </c>
      <c r="V1555" s="4" t="str">
        <f t="shared" si="98"/>
        <v>Normal</v>
      </c>
      <c r="W1555" s="4" t="str">
        <f t="shared" si="99"/>
        <v>Good</v>
      </c>
      <c r="X1555" s="4">
        <f>AVERAGE(Table1[Purchase Amount])</f>
        <v>129.48419400000012</v>
      </c>
    </row>
    <row r="1556" spans="1:24" ht="15" customHeight="1" x14ac:dyDescent="0.25">
      <c r="A1556">
        <v>1555</v>
      </c>
      <c r="B1556">
        <v>64</v>
      </c>
      <c r="C1556" t="s">
        <v>27</v>
      </c>
      <c r="D1556" t="s">
        <v>54</v>
      </c>
      <c r="E1556" t="s">
        <v>18</v>
      </c>
      <c r="F1556" s="2">
        <v>48</v>
      </c>
      <c r="G1556" t="s">
        <v>144</v>
      </c>
      <c r="H1556" t="s">
        <v>55</v>
      </c>
      <c r="I1556" t="s">
        <v>107</v>
      </c>
      <c r="J1556" t="s">
        <v>22</v>
      </c>
      <c r="K1556">
        <v>2.7</v>
      </c>
      <c r="L1556" t="s">
        <v>23</v>
      </c>
      <c r="M1556" t="s">
        <v>24</v>
      </c>
      <c r="N1556" t="s">
        <v>34</v>
      </c>
      <c r="O1556">
        <v>18</v>
      </c>
      <c r="P1556" t="s">
        <v>25</v>
      </c>
      <c r="Q1556" t="s">
        <v>68</v>
      </c>
      <c r="R1556" s="1">
        <v>0.1</v>
      </c>
      <c r="S1556">
        <f t="shared" si="96"/>
        <v>43.2</v>
      </c>
      <c r="T1556">
        <f>IFERROR(VLOOKUP(A1556,Table1[[Customer ID]:[Discount Amount]], 6, FALSE),"Not Found")</f>
        <v>48</v>
      </c>
      <c r="U1556" t="str">
        <f t="shared" si="97"/>
        <v>Cash</v>
      </c>
      <c r="V1556" s="4" t="str">
        <f t="shared" si="98"/>
        <v>Normal</v>
      </c>
      <c r="W1556" s="4" t="str">
        <f t="shared" si="99"/>
        <v>Poor</v>
      </c>
      <c r="X1556" s="4">
        <f>AVERAGE(Table1[Purchase Amount])</f>
        <v>129.48419400000012</v>
      </c>
    </row>
    <row r="1557" spans="1:24" ht="15" customHeight="1" x14ac:dyDescent="0.25">
      <c r="A1557">
        <v>1556</v>
      </c>
      <c r="B1557">
        <v>43</v>
      </c>
      <c r="C1557" t="s">
        <v>27</v>
      </c>
      <c r="D1557" t="s">
        <v>54</v>
      </c>
      <c r="E1557" t="s">
        <v>18</v>
      </c>
      <c r="F1557" s="2">
        <v>47</v>
      </c>
      <c r="G1557" t="s">
        <v>90</v>
      </c>
      <c r="H1557" t="s">
        <v>55</v>
      </c>
      <c r="I1557" t="s">
        <v>128</v>
      </c>
      <c r="J1557" t="s">
        <v>22</v>
      </c>
      <c r="K1557">
        <v>4.5</v>
      </c>
      <c r="L1557" t="s">
        <v>23</v>
      </c>
      <c r="M1557" t="s">
        <v>35</v>
      </c>
      <c r="N1557" t="s">
        <v>34</v>
      </c>
      <c r="O1557">
        <v>44</v>
      </c>
      <c r="P1557" t="s">
        <v>25</v>
      </c>
      <c r="Q1557" t="s">
        <v>37</v>
      </c>
      <c r="R1557" s="1">
        <v>0.1</v>
      </c>
      <c r="S1557">
        <f t="shared" si="96"/>
        <v>42.3</v>
      </c>
      <c r="T1557">
        <f>IFERROR(VLOOKUP(A1557,Table1[[Customer ID]:[Discount Amount]], 6, FALSE),"Not Found")</f>
        <v>47</v>
      </c>
      <c r="U1557" t="str">
        <f t="shared" si="97"/>
        <v>Cash</v>
      </c>
      <c r="V1557" s="4" t="str">
        <f t="shared" si="98"/>
        <v>Normal</v>
      </c>
      <c r="W1557" s="4" t="str">
        <f t="shared" si="99"/>
        <v>Good</v>
      </c>
      <c r="X1557" s="4">
        <f>AVERAGE(Table1[Purchase Amount])</f>
        <v>129.48419400000012</v>
      </c>
    </row>
    <row r="1558" spans="1:24" ht="15" customHeight="1" x14ac:dyDescent="0.25">
      <c r="A1558">
        <v>1557</v>
      </c>
      <c r="B1558">
        <v>43</v>
      </c>
      <c r="C1558" t="s">
        <v>27</v>
      </c>
      <c r="D1558" t="s">
        <v>83</v>
      </c>
      <c r="E1558" t="s">
        <v>18</v>
      </c>
      <c r="F1558" s="2">
        <v>57</v>
      </c>
      <c r="G1558" t="s">
        <v>51</v>
      </c>
      <c r="H1558" t="s">
        <v>31</v>
      </c>
      <c r="I1558" t="s">
        <v>133</v>
      </c>
      <c r="J1558" t="s">
        <v>47</v>
      </c>
      <c r="K1558">
        <v>2.7</v>
      </c>
      <c r="L1558" t="s">
        <v>23</v>
      </c>
      <c r="M1558" t="s">
        <v>24</v>
      </c>
      <c r="N1558" t="s">
        <v>34</v>
      </c>
      <c r="O1558">
        <v>26</v>
      </c>
      <c r="P1558" t="s">
        <v>53</v>
      </c>
      <c r="Q1558" t="s">
        <v>37</v>
      </c>
      <c r="R1558" s="1">
        <v>0.1</v>
      </c>
      <c r="S1558">
        <f t="shared" si="96"/>
        <v>51.3</v>
      </c>
      <c r="T1558">
        <f>IFERROR(VLOOKUP(A1558,Table1[[Customer ID]:[Discount Amount]], 6, FALSE),"Not Found")</f>
        <v>57</v>
      </c>
      <c r="U1558" t="str">
        <f t="shared" si="97"/>
        <v>Credit Card</v>
      </c>
      <c r="V1558" s="4" t="str">
        <f t="shared" si="98"/>
        <v>Normal</v>
      </c>
      <c r="W1558" s="4" t="str">
        <f t="shared" si="99"/>
        <v>Poor</v>
      </c>
      <c r="X1558" s="4">
        <f>AVERAGE(Table1[Purchase Amount])</f>
        <v>129.48419400000012</v>
      </c>
    </row>
    <row r="1559" spans="1:24" ht="15" customHeight="1" x14ac:dyDescent="0.25">
      <c r="A1559">
        <v>1558</v>
      </c>
      <c r="B1559">
        <v>27</v>
      </c>
      <c r="C1559" t="s">
        <v>27</v>
      </c>
      <c r="D1559" t="s">
        <v>104</v>
      </c>
      <c r="E1559" t="s">
        <v>29</v>
      </c>
      <c r="F1559" s="2">
        <v>34</v>
      </c>
      <c r="G1559" t="s">
        <v>130</v>
      </c>
      <c r="H1559" t="s">
        <v>45</v>
      </c>
      <c r="I1559" t="s">
        <v>87</v>
      </c>
      <c r="J1559" t="s">
        <v>47</v>
      </c>
      <c r="K1559">
        <v>3.5</v>
      </c>
      <c r="L1559" t="s">
        <v>23</v>
      </c>
      <c r="M1559" t="s">
        <v>79</v>
      </c>
      <c r="N1559" t="s">
        <v>34</v>
      </c>
      <c r="O1559">
        <v>34</v>
      </c>
      <c r="P1559" t="s">
        <v>58</v>
      </c>
      <c r="Q1559" t="s">
        <v>37</v>
      </c>
      <c r="R1559" s="1">
        <v>0.1</v>
      </c>
      <c r="S1559">
        <f t="shared" si="96"/>
        <v>30.6</v>
      </c>
      <c r="T1559">
        <f>IFERROR(VLOOKUP(A1559,Table1[[Customer ID]:[Discount Amount]], 6, FALSE),"Not Found")</f>
        <v>34</v>
      </c>
      <c r="U1559" t="str">
        <f t="shared" si="97"/>
        <v>PayPal</v>
      </c>
      <c r="V1559" s="4" t="str">
        <f t="shared" si="98"/>
        <v>Normal</v>
      </c>
      <c r="W1559" s="4" t="str">
        <f t="shared" si="99"/>
        <v>Good</v>
      </c>
      <c r="X1559" s="4">
        <f>AVERAGE(Table1[Purchase Amount])</f>
        <v>129.48419400000012</v>
      </c>
    </row>
    <row r="1560" spans="1:24" ht="15" customHeight="1" x14ac:dyDescent="0.25">
      <c r="A1560">
        <v>1559</v>
      </c>
      <c r="B1560">
        <v>35</v>
      </c>
      <c r="C1560" t="s">
        <v>27</v>
      </c>
      <c r="D1560" t="s">
        <v>28</v>
      </c>
      <c r="E1560" t="s">
        <v>29</v>
      </c>
      <c r="F1560" s="2">
        <v>75</v>
      </c>
      <c r="G1560" t="s">
        <v>110</v>
      </c>
      <c r="H1560" t="s">
        <v>20</v>
      </c>
      <c r="I1560" t="s">
        <v>147</v>
      </c>
      <c r="J1560" t="s">
        <v>47</v>
      </c>
      <c r="K1560">
        <v>3.5</v>
      </c>
      <c r="L1560" t="s">
        <v>23</v>
      </c>
      <c r="M1560" t="s">
        <v>61</v>
      </c>
      <c r="N1560" t="s">
        <v>34</v>
      </c>
      <c r="O1560">
        <v>24</v>
      </c>
      <c r="P1560" t="s">
        <v>53</v>
      </c>
      <c r="Q1560" t="s">
        <v>63</v>
      </c>
      <c r="R1560" s="1">
        <v>0.1</v>
      </c>
      <c r="S1560">
        <f t="shared" si="96"/>
        <v>67.5</v>
      </c>
      <c r="T1560">
        <f>IFERROR(VLOOKUP(A1560,Table1[[Customer ID]:[Discount Amount]], 6, FALSE),"Not Found")</f>
        <v>75</v>
      </c>
      <c r="U1560" t="str">
        <f t="shared" si="97"/>
        <v>Credit Card</v>
      </c>
      <c r="V1560" s="4" t="str">
        <f t="shared" si="98"/>
        <v>Normal</v>
      </c>
      <c r="W1560" s="4" t="str">
        <f t="shared" si="99"/>
        <v>Good</v>
      </c>
      <c r="X1560" s="4">
        <f>AVERAGE(Table1[Purchase Amount])</f>
        <v>129.48419400000012</v>
      </c>
    </row>
    <row r="1561" spans="1:24" ht="15" customHeight="1" x14ac:dyDescent="0.25">
      <c r="A1561">
        <v>1560</v>
      </c>
      <c r="B1561">
        <v>43</v>
      </c>
      <c r="C1561" t="s">
        <v>27</v>
      </c>
      <c r="D1561" t="s">
        <v>129</v>
      </c>
      <c r="E1561" t="s">
        <v>29</v>
      </c>
      <c r="F1561" s="2">
        <v>94</v>
      </c>
      <c r="G1561" t="s">
        <v>123</v>
      </c>
      <c r="H1561" t="s">
        <v>45</v>
      </c>
      <c r="I1561" t="s">
        <v>56</v>
      </c>
      <c r="J1561" t="s">
        <v>47</v>
      </c>
      <c r="K1561">
        <v>4.5</v>
      </c>
      <c r="L1561" t="s">
        <v>23</v>
      </c>
      <c r="M1561" t="s">
        <v>48</v>
      </c>
      <c r="N1561" t="s">
        <v>34</v>
      </c>
      <c r="O1561">
        <v>23</v>
      </c>
      <c r="P1561" t="s">
        <v>58</v>
      </c>
      <c r="Q1561" t="s">
        <v>89</v>
      </c>
      <c r="R1561" s="1">
        <v>0.1</v>
      </c>
      <c r="S1561">
        <f t="shared" si="96"/>
        <v>84.6</v>
      </c>
      <c r="T1561">
        <f>IFERROR(VLOOKUP(A1561,Table1[[Customer ID]:[Discount Amount]], 6, FALSE),"Not Found")</f>
        <v>94</v>
      </c>
      <c r="U1561" t="str">
        <f t="shared" si="97"/>
        <v>PayPal</v>
      </c>
      <c r="V1561" s="4" t="str">
        <f t="shared" si="98"/>
        <v>Normal</v>
      </c>
      <c r="W1561" s="4" t="str">
        <f t="shared" si="99"/>
        <v>Good</v>
      </c>
      <c r="X1561" s="4">
        <f>AVERAGE(Table1[Purchase Amount])</f>
        <v>129.48419400000012</v>
      </c>
    </row>
    <row r="1562" spans="1:24" ht="15" customHeight="1" x14ac:dyDescent="0.25">
      <c r="A1562">
        <v>1561</v>
      </c>
      <c r="B1562">
        <v>57</v>
      </c>
      <c r="C1562" t="s">
        <v>27</v>
      </c>
      <c r="D1562" t="s">
        <v>64</v>
      </c>
      <c r="E1562" t="s">
        <v>29</v>
      </c>
      <c r="F1562" s="2">
        <v>84</v>
      </c>
      <c r="G1562" t="s">
        <v>123</v>
      </c>
      <c r="H1562" t="s">
        <v>31</v>
      </c>
      <c r="I1562" t="s">
        <v>147</v>
      </c>
      <c r="J1562" t="s">
        <v>22</v>
      </c>
      <c r="K1562">
        <v>3.8</v>
      </c>
      <c r="L1562" t="s">
        <v>23</v>
      </c>
      <c r="M1562" t="s">
        <v>35</v>
      </c>
      <c r="N1562" t="s">
        <v>34</v>
      </c>
      <c r="O1562">
        <v>3</v>
      </c>
      <c r="P1562" t="s">
        <v>36</v>
      </c>
      <c r="Q1562" t="s">
        <v>26</v>
      </c>
      <c r="R1562" s="1">
        <v>0.1</v>
      </c>
      <c r="S1562">
        <f t="shared" si="96"/>
        <v>75.599999999999994</v>
      </c>
      <c r="T1562">
        <f>IFERROR(VLOOKUP(A1562,Table1[[Customer ID]:[Discount Amount]], 6, FALSE),"Not Found")</f>
        <v>84</v>
      </c>
      <c r="U1562" t="str">
        <f t="shared" si="97"/>
        <v>Debit Card</v>
      </c>
      <c r="V1562" s="4" t="str">
        <f t="shared" si="98"/>
        <v>Normal</v>
      </c>
      <c r="W1562" s="4" t="str">
        <f t="shared" si="99"/>
        <v>Good</v>
      </c>
      <c r="X1562" s="4">
        <f>AVERAGE(Table1[Purchase Amount])</f>
        <v>129.48419400000012</v>
      </c>
    </row>
    <row r="1563" spans="1:24" ht="15" customHeight="1" x14ac:dyDescent="0.25">
      <c r="A1563">
        <v>1562</v>
      </c>
      <c r="B1563">
        <v>50</v>
      </c>
      <c r="C1563" t="s">
        <v>27</v>
      </c>
      <c r="D1563" t="s">
        <v>129</v>
      </c>
      <c r="E1563" t="s">
        <v>29</v>
      </c>
      <c r="F1563" s="2">
        <v>38</v>
      </c>
      <c r="G1563" t="s">
        <v>149</v>
      </c>
      <c r="H1563" t="s">
        <v>31</v>
      </c>
      <c r="I1563" t="s">
        <v>91</v>
      </c>
      <c r="J1563" t="s">
        <v>57</v>
      </c>
      <c r="K1563">
        <v>3.8</v>
      </c>
      <c r="L1563" t="s">
        <v>23</v>
      </c>
      <c r="M1563" t="s">
        <v>24</v>
      </c>
      <c r="N1563" t="s">
        <v>34</v>
      </c>
      <c r="O1563">
        <v>2</v>
      </c>
      <c r="P1563" t="s">
        <v>88</v>
      </c>
      <c r="Q1563" t="s">
        <v>37</v>
      </c>
      <c r="R1563" s="1">
        <v>0.1</v>
      </c>
      <c r="S1563">
        <f t="shared" si="96"/>
        <v>34.200000000000003</v>
      </c>
      <c r="T1563">
        <f>IFERROR(VLOOKUP(A1563,Table1[[Customer ID]:[Discount Amount]], 6, FALSE),"Not Found")</f>
        <v>38</v>
      </c>
      <c r="U1563" t="str">
        <f t="shared" si="97"/>
        <v>Bank Transfer</v>
      </c>
      <c r="V1563" s="4" t="str">
        <f t="shared" si="98"/>
        <v>Normal</v>
      </c>
      <c r="W1563" s="4" t="str">
        <f t="shared" si="99"/>
        <v>Good</v>
      </c>
      <c r="X1563" s="4">
        <f>AVERAGE(Table1[Purchase Amount])</f>
        <v>129.48419400000012</v>
      </c>
    </row>
    <row r="1564" spans="1:24" ht="15" customHeight="1" x14ac:dyDescent="0.25">
      <c r="A1564">
        <v>1563</v>
      </c>
      <c r="B1564">
        <v>37</v>
      </c>
      <c r="C1564" t="s">
        <v>27</v>
      </c>
      <c r="D1564" t="s">
        <v>129</v>
      </c>
      <c r="E1564" t="s">
        <v>29</v>
      </c>
      <c r="F1564" s="2">
        <v>75</v>
      </c>
      <c r="G1564" t="s">
        <v>51</v>
      </c>
      <c r="H1564" t="s">
        <v>31</v>
      </c>
      <c r="I1564" t="s">
        <v>66</v>
      </c>
      <c r="J1564" t="s">
        <v>22</v>
      </c>
      <c r="K1564">
        <v>3.2</v>
      </c>
      <c r="L1564" t="s">
        <v>23</v>
      </c>
      <c r="M1564" t="s">
        <v>79</v>
      </c>
      <c r="N1564" t="s">
        <v>34</v>
      </c>
      <c r="O1564">
        <v>23</v>
      </c>
      <c r="P1564" t="s">
        <v>62</v>
      </c>
      <c r="Q1564" t="s">
        <v>68</v>
      </c>
      <c r="R1564" s="1">
        <v>0.1</v>
      </c>
      <c r="S1564">
        <f t="shared" si="96"/>
        <v>67.5</v>
      </c>
      <c r="T1564">
        <f>IFERROR(VLOOKUP(A1564,Table1[[Customer ID]:[Discount Amount]], 6, FALSE),"Not Found")</f>
        <v>75</v>
      </c>
      <c r="U1564" t="str">
        <f t="shared" si="97"/>
        <v>Venmo</v>
      </c>
      <c r="V1564" s="4" t="str">
        <f t="shared" si="98"/>
        <v>Normal</v>
      </c>
      <c r="W1564" s="4" t="str">
        <f t="shared" si="99"/>
        <v>Good</v>
      </c>
      <c r="X1564" s="4">
        <f>AVERAGE(Table1[Purchase Amount])</f>
        <v>129.48419400000012</v>
      </c>
    </row>
    <row r="1565" spans="1:24" ht="15" customHeight="1" x14ac:dyDescent="0.25">
      <c r="A1565">
        <v>1564</v>
      </c>
      <c r="B1565">
        <v>68</v>
      </c>
      <c r="C1565" t="s">
        <v>27</v>
      </c>
      <c r="D1565" t="s">
        <v>99</v>
      </c>
      <c r="E1565" t="s">
        <v>18</v>
      </c>
      <c r="F1565" s="2">
        <v>44</v>
      </c>
      <c r="G1565" t="s">
        <v>124</v>
      </c>
      <c r="H1565" t="s">
        <v>31</v>
      </c>
      <c r="I1565" t="s">
        <v>147</v>
      </c>
      <c r="J1565" t="s">
        <v>47</v>
      </c>
      <c r="K1565">
        <v>4.3</v>
      </c>
      <c r="L1565" t="s">
        <v>23</v>
      </c>
      <c r="M1565" t="s">
        <v>79</v>
      </c>
      <c r="N1565" t="s">
        <v>34</v>
      </c>
      <c r="O1565">
        <v>8</v>
      </c>
      <c r="P1565" t="s">
        <v>25</v>
      </c>
      <c r="Q1565" t="s">
        <v>26</v>
      </c>
      <c r="R1565" s="1">
        <v>0.1</v>
      </c>
      <c r="S1565">
        <f t="shared" si="96"/>
        <v>39.6</v>
      </c>
      <c r="T1565">
        <f>IFERROR(VLOOKUP(A1565,Table1[[Customer ID]:[Discount Amount]], 6, FALSE),"Not Found")</f>
        <v>44</v>
      </c>
      <c r="U1565" t="str">
        <f t="shared" si="97"/>
        <v>Cash</v>
      </c>
      <c r="V1565" s="4" t="str">
        <f t="shared" si="98"/>
        <v>Normal</v>
      </c>
      <c r="W1565" s="4" t="str">
        <f t="shared" si="99"/>
        <v>Good</v>
      </c>
      <c r="X1565" s="4">
        <f>AVERAGE(Table1[Purchase Amount])</f>
        <v>129.48419400000012</v>
      </c>
    </row>
    <row r="1566" spans="1:24" ht="15" customHeight="1" x14ac:dyDescent="0.25">
      <c r="A1566">
        <v>1565</v>
      </c>
      <c r="B1566">
        <v>22</v>
      </c>
      <c r="C1566" t="s">
        <v>27</v>
      </c>
      <c r="D1566" t="s">
        <v>104</v>
      </c>
      <c r="E1566" t="s">
        <v>29</v>
      </c>
      <c r="F1566" s="2">
        <v>33</v>
      </c>
      <c r="G1566" t="s">
        <v>19</v>
      </c>
      <c r="H1566" t="s">
        <v>20</v>
      </c>
      <c r="I1566" t="s">
        <v>156</v>
      </c>
      <c r="J1566" t="s">
        <v>57</v>
      </c>
      <c r="K1566">
        <v>4.5</v>
      </c>
      <c r="L1566" t="s">
        <v>23</v>
      </c>
      <c r="M1566" t="s">
        <v>79</v>
      </c>
      <c r="N1566" t="s">
        <v>34</v>
      </c>
      <c r="O1566">
        <v>30</v>
      </c>
      <c r="P1566" t="s">
        <v>36</v>
      </c>
      <c r="Q1566" t="s">
        <v>63</v>
      </c>
      <c r="R1566" s="1">
        <v>0.1</v>
      </c>
      <c r="S1566">
        <f t="shared" si="96"/>
        <v>29.7</v>
      </c>
      <c r="T1566">
        <f>IFERROR(VLOOKUP(A1566,Table1[[Customer ID]:[Discount Amount]], 6, FALSE),"Not Found")</f>
        <v>33</v>
      </c>
      <c r="U1566" t="str">
        <f t="shared" si="97"/>
        <v>Debit Card</v>
      </c>
      <c r="V1566" s="4" t="str">
        <f t="shared" si="98"/>
        <v>Normal</v>
      </c>
      <c r="W1566" s="4" t="str">
        <f t="shared" si="99"/>
        <v>Good</v>
      </c>
      <c r="X1566" s="4">
        <f>AVERAGE(Table1[Purchase Amount])</f>
        <v>129.48419400000012</v>
      </c>
    </row>
    <row r="1567" spans="1:24" ht="15" customHeight="1" x14ac:dyDescent="0.25">
      <c r="A1567">
        <v>1566</v>
      </c>
      <c r="B1567">
        <v>58</v>
      </c>
      <c r="C1567" t="s">
        <v>27</v>
      </c>
      <c r="D1567" t="s">
        <v>28</v>
      </c>
      <c r="E1567" t="s">
        <v>29</v>
      </c>
      <c r="F1567" s="2">
        <v>93</v>
      </c>
      <c r="G1567" t="s">
        <v>161</v>
      </c>
      <c r="H1567" t="s">
        <v>45</v>
      </c>
      <c r="I1567" t="s">
        <v>145</v>
      </c>
      <c r="J1567" t="s">
        <v>47</v>
      </c>
      <c r="K1567">
        <v>4.2</v>
      </c>
      <c r="L1567" t="s">
        <v>23</v>
      </c>
      <c r="M1567" t="s">
        <v>35</v>
      </c>
      <c r="N1567" t="s">
        <v>34</v>
      </c>
      <c r="O1567">
        <v>48</v>
      </c>
      <c r="P1567" t="s">
        <v>58</v>
      </c>
      <c r="Q1567" t="s">
        <v>49</v>
      </c>
      <c r="R1567" s="1">
        <v>0.1</v>
      </c>
      <c r="S1567">
        <f t="shared" si="96"/>
        <v>83.7</v>
      </c>
      <c r="T1567">
        <f>IFERROR(VLOOKUP(A1567,Table1[[Customer ID]:[Discount Amount]], 6, FALSE),"Not Found")</f>
        <v>93</v>
      </c>
      <c r="U1567" t="str">
        <f t="shared" si="97"/>
        <v>PayPal</v>
      </c>
      <c r="V1567" s="4" t="str">
        <f t="shared" si="98"/>
        <v>Normal</v>
      </c>
      <c r="W1567" s="4" t="str">
        <f t="shared" si="99"/>
        <v>Good</v>
      </c>
      <c r="X1567" s="4">
        <f>AVERAGE(Table1[Purchase Amount])</f>
        <v>129.48419400000012</v>
      </c>
    </row>
    <row r="1568" spans="1:24" ht="15" customHeight="1" x14ac:dyDescent="0.25">
      <c r="A1568">
        <v>1567</v>
      </c>
      <c r="B1568">
        <v>48</v>
      </c>
      <c r="C1568" t="s">
        <v>27</v>
      </c>
      <c r="D1568" t="s">
        <v>140</v>
      </c>
      <c r="E1568" t="s">
        <v>98</v>
      </c>
      <c r="F1568" s="2">
        <v>99</v>
      </c>
      <c r="G1568" t="s">
        <v>162</v>
      </c>
      <c r="H1568" t="s">
        <v>55</v>
      </c>
      <c r="I1568" t="s">
        <v>93</v>
      </c>
      <c r="J1568" t="s">
        <v>22</v>
      </c>
      <c r="K1568">
        <v>3</v>
      </c>
      <c r="L1568" t="s">
        <v>23</v>
      </c>
      <c r="M1568" t="s">
        <v>35</v>
      </c>
      <c r="N1568" t="s">
        <v>34</v>
      </c>
      <c r="O1568">
        <v>21</v>
      </c>
      <c r="P1568" t="s">
        <v>25</v>
      </c>
      <c r="Q1568" t="s">
        <v>68</v>
      </c>
      <c r="R1568" s="1">
        <v>0.1</v>
      </c>
      <c r="S1568">
        <f t="shared" si="96"/>
        <v>89.1</v>
      </c>
      <c r="T1568">
        <f>IFERROR(VLOOKUP(A1568,Table1[[Customer ID]:[Discount Amount]], 6, FALSE),"Not Found")</f>
        <v>99</v>
      </c>
      <c r="U1568" t="str">
        <f t="shared" si="97"/>
        <v>Cash</v>
      </c>
      <c r="V1568" s="4" t="str">
        <f t="shared" si="98"/>
        <v>Normal</v>
      </c>
      <c r="W1568" s="4" t="str">
        <f t="shared" si="99"/>
        <v>Good</v>
      </c>
      <c r="X1568" s="4">
        <f>AVERAGE(Table1[Purchase Amount])</f>
        <v>129.48419400000012</v>
      </c>
    </row>
    <row r="1569" spans="1:24" ht="15" customHeight="1" x14ac:dyDescent="0.25">
      <c r="A1569">
        <v>1568</v>
      </c>
      <c r="B1569">
        <v>30</v>
      </c>
      <c r="C1569" t="s">
        <v>27</v>
      </c>
      <c r="D1569" t="s">
        <v>104</v>
      </c>
      <c r="E1569" t="s">
        <v>29</v>
      </c>
      <c r="F1569" s="2">
        <v>33</v>
      </c>
      <c r="G1569" t="s">
        <v>120</v>
      </c>
      <c r="H1569" t="s">
        <v>31</v>
      </c>
      <c r="I1569" t="s">
        <v>156</v>
      </c>
      <c r="J1569" t="s">
        <v>33</v>
      </c>
      <c r="K1569">
        <v>4.0999999999999996</v>
      </c>
      <c r="L1569" t="s">
        <v>23</v>
      </c>
      <c r="M1569" t="s">
        <v>24</v>
      </c>
      <c r="N1569" t="s">
        <v>34</v>
      </c>
      <c r="O1569">
        <v>9</v>
      </c>
      <c r="P1569" t="s">
        <v>25</v>
      </c>
      <c r="Q1569" t="s">
        <v>42</v>
      </c>
      <c r="R1569" s="1">
        <v>0.1</v>
      </c>
      <c r="S1569">
        <f t="shared" si="96"/>
        <v>29.7</v>
      </c>
      <c r="T1569">
        <f>IFERROR(VLOOKUP(A1569,Table1[[Customer ID]:[Discount Amount]], 6, FALSE),"Not Found")</f>
        <v>33</v>
      </c>
      <c r="U1569" t="str">
        <f t="shared" si="97"/>
        <v>Cash</v>
      </c>
      <c r="V1569" s="4" t="str">
        <f t="shared" si="98"/>
        <v>Normal</v>
      </c>
      <c r="W1569" s="4" t="str">
        <f t="shared" si="99"/>
        <v>Good</v>
      </c>
      <c r="X1569" s="4">
        <f>AVERAGE(Table1[Purchase Amount])</f>
        <v>129.48419400000012</v>
      </c>
    </row>
    <row r="1570" spans="1:24" ht="15" customHeight="1" x14ac:dyDescent="0.25">
      <c r="A1570">
        <v>1569</v>
      </c>
      <c r="B1570">
        <v>51</v>
      </c>
      <c r="C1570" t="s">
        <v>27</v>
      </c>
      <c r="D1570" t="s">
        <v>140</v>
      </c>
      <c r="E1570" t="s">
        <v>98</v>
      </c>
      <c r="F1570" s="2">
        <v>76</v>
      </c>
      <c r="G1570" t="s">
        <v>155</v>
      </c>
      <c r="H1570" t="s">
        <v>45</v>
      </c>
      <c r="I1570" t="s">
        <v>52</v>
      </c>
      <c r="J1570" t="s">
        <v>33</v>
      </c>
      <c r="K1570">
        <v>4.5999999999999996</v>
      </c>
      <c r="L1570" t="s">
        <v>23</v>
      </c>
      <c r="M1570" t="s">
        <v>48</v>
      </c>
      <c r="N1570" t="s">
        <v>34</v>
      </c>
      <c r="O1570">
        <v>8</v>
      </c>
      <c r="P1570" t="s">
        <v>36</v>
      </c>
      <c r="Q1570" t="s">
        <v>42</v>
      </c>
      <c r="R1570" s="1">
        <v>0.1</v>
      </c>
      <c r="S1570">
        <f t="shared" si="96"/>
        <v>68.400000000000006</v>
      </c>
      <c r="T1570">
        <f>IFERROR(VLOOKUP(A1570,Table1[[Customer ID]:[Discount Amount]], 6, FALSE),"Not Found")</f>
        <v>76</v>
      </c>
      <c r="U1570" t="str">
        <f t="shared" si="97"/>
        <v>Debit Card</v>
      </c>
      <c r="V1570" s="4" t="str">
        <f t="shared" si="98"/>
        <v>Normal</v>
      </c>
      <c r="W1570" s="4" t="str">
        <f t="shared" si="99"/>
        <v>Good</v>
      </c>
      <c r="X1570" s="4">
        <f>AVERAGE(Table1[Purchase Amount])</f>
        <v>129.48419400000012</v>
      </c>
    </row>
    <row r="1571" spans="1:24" ht="15" customHeight="1" x14ac:dyDescent="0.25">
      <c r="A1571">
        <v>1570</v>
      </c>
      <c r="B1571">
        <v>20</v>
      </c>
      <c r="C1571" t="s">
        <v>27</v>
      </c>
      <c r="D1571" t="s">
        <v>122</v>
      </c>
      <c r="E1571" t="s">
        <v>18</v>
      </c>
      <c r="F1571" s="2">
        <v>63</v>
      </c>
      <c r="G1571" t="s">
        <v>135</v>
      </c>
      <c r="H1571" t="s">
        <v>31</v>
      </c>
      <c r="I1571" t="s">
        <v>108</v>
      </c>
      <c r="J1571" t="s">
        <v>57</v>
      </c>
      <c r="K1571">
        <v>2.9</v>
      </c>
      <c r="L1571" t="s">
        <v>23</v>
      </c>
      <c r="M1571" t="s">
        <v>24</v>
      </c>
      <c r="N1571" t="s">
        <v>34</v>
      </c>
      <c r="O1571">
        <v>29</v>
      </c>
      <c r="P1571" t="s">
        <v>36</v>
      </c>
      <c r="Q1571" t="s">
        <v>26</v>
      </c>
      <c r="R1571" s="1">
        <v>0.1</v>
      </c>
      <c r="S1571">
        <f t="shared" si="96"/>
        <v>56.7</v>
      </c>
      <c r="T1571">
        <f>IFERROR(VLOOKUP(A1571,Table1[[Customer ID]:[Discount Amount]], 6, FALSE),"Not Found")</f>
        <v>63</v>
      </c>
      <c r="U1571" t="str">
        <f t="shared" si="97"/>
        <v>Debit Card</v>
      </c>
      <c r="V1571" s="4" t="str">
        <f t="shared" si="98"/>
        <v>Normal</v>
      </c>
      <c r="W1571" s="4" t="str">
        <f t="shared" si="99"/>
        <v>Poor</v>
      </c>
      <c r="X1571" s="4">
        <f>AVERAGE(Table1[Purchase Amount])</f>
        <v>129.48419400000012</v>
      </c>
    </row>
    <row r="1572" spans="1:24" ht="15" customHeight="1" x14ac:dyDescent="0.25">
      <c r="A1572">
        <v>1571</v>
      </c>
      <c r="B1572">
        <v>30</v>
      </c>
      <c r="C1572" t="s">
        <v>27</v>
      </c>
      <c r="D1572" t="s">
        <v>99</v>
      </c>
      <c r="E1572" t="s">
        <v>18</v>
      </c>
      <c r="F1572" s="2">
        <v>41</v>
      </c>
      <c r="G1572" t="s">
        <v>146</v>
      </c>
      <c r="H1572" t="s">
        <v>45</v>
      </c>
      <c r="I1572" t="s">
        <v>60</v>
      </c>
      <c r="J1572" t="s">
        <v>22</v>
      </c>
      <c r="K1572">
        <v>4.8</v>
      </c>
      <c r="L1572" t="s">
        <v>23</v>
      </c>
      <c r="M1572" t="s">
        <v>79</v>
      </c>
      <c r="N1572" t="s">
        <v>34</v>
      </c>
      <c r="O1572">
        <v>3</v>
      </c>
      <c r="P1572" t="s">
        <v>88</v>
      </c>
      <c r="Q1572" t="s">
        <v>63</v>
      </c>
      <c r="R1572" s="1">
        <v>0.1</v>
      </c>
      <c r="S1572">
        <f t="shared" si="96"/>
        <v>36.9</v>
      </c>
      <c r="T1572">
        <f>IFERROR(VLOOKUP(A1572,Table1[[Customer ID]:[Discount Amount]], 6, FALSE),"Not Found")</f>
        <v>41</v>
      </c>
      <c r="U1572" t="str">
        <f t="shared" si="97"/>
        <v>Bank Transfer</v>
      </c>
      <c r="V1572" s="4" t="str">
        <f t="shared" si="98"/>
        <v>Normal</v>
      </c>
      <c r="W1572" s="4" t="str">
        <f t="shared" si="99"/>
        <v>Good</v>
      </c>
      <c r="X1572" s="4">
        <f>AVERAGE(Table1[Purchase Amount])</f>
        <v>129.48419400000012</v>
      </c>
    </row>
    <row r="1573" spans="1:24" ht="15" customHeight="1" x14ac:dyDescent="0.25">
      <c r="A1573">
        <v>1572</v>
      </c>
      <c r="B1573">
        <v>28</v>
      </c>
      <c r="C1573" t="s">
        <v>27</v>
      </c>
      <c r="D1573" t="s">
        <v>50</v>
      </c>
      <c r="E1573" t="s">
        <v>29</v>
      </c>
      <c r="F1573" s="2">
        <v>88</v>
      </c>
      <c r="G1573" t="s">
        <v>92</v>
      </c>
      <c r="H1573" t="s">
        <v>45</v>
      </c>
      <c r="I1573" t="s">
        <v>153</v>
      </c>
      <c r="J1573" t="s">
        <v>22</v>
      </c>
      <c r="K1573">
        <v>4.5</v>
      </c>
      <c r="L1573" t="s">
        <v>23</v>
      </c>
      <c r="M1573" t="s">
        <v>79</v>
      </c>
      <c r="N1573" t="s">
        <v>34</v>
      </c>
      <c r="O1573">
        <v>11</v>
      </c>
      <c r="P1573" t="s">
        <v>88</v>
      </c>
      <c r="Q1573" t="s">
        <v>89</v>
      </c>
      <c r="R1573" s="1">
        <v>0.1</v>
      </c>
      <c r="S1573">
        <f t="shared" si="96"/>
        <v>79.2</v>
      </c>
      <c r="T1573">
        <f>IFERROR(VLOOKUP(A1573,Table1[[Customer ID]:[Discount Amount]], 6, FALSE),"Not Found")</f>
        <v>88</v>
      </c>
      <c r="U1573" t="str">
        <f t="shared" si="97"/>
        <v>Bank Transfer</v>
      </c>
      <c r="V1573" s="4" t="str">
        <f t="shared" si="98"/>
        <v>Normal</v>
      </c>
      <c r="W1573" s="4" t="str">
        <f t="shared" si="99"/>
        <v>Good</v>
      </c>
      <c r="X1573" s="4">
        <f>AVERAGE(Table1[Purchase Amount])</f>
        <v>129.48419400000012</v>
      </c>
    </row>
    <row r="1574" spans="1:24" ht="15" customHeight="1" x14ac:dyDescent="0.25">
      <c r="A1574">
        <v>1573</v>
      </c>
      <c r="B1574">
        <v>37</v>
      </c>
      <c r="C1574" t="s">
        <v>27</v>
      </c>
      <c r="D1574" t="s">
        <v>122</v>
      </c>
      <c r="E1574" t="s">
        <v>18</v>
      </c>
      <c r="F1574" s="2">
        <v>92</v>
      </c>
      <c r="G1574" t="s">
        <v>155</v>
      </c>
      <c r="H1574" t="s">
        <v>45</v>
      </c>
      <c r="I1574" t="s">
        <v>32</v>
      </c>
      <c r="J1574" t="s">
        <v>57</v>
      </c>
      <c r="K1574">
        <v>3.4</v>
      </c>
      <c r="L1574" t="s">
        <v>23</v>
      </c>
      <c r="M1574" t="s">
        <v>41</v>
      </c>
      <c r="N1574" t="s">
        <v>34</v>
      </c>
      <c r="O1574">
        <v>16</v>
      </c>
      <c r="P1574" t="s">
        <v>36</v>
      </c>
      <c r="Q1574" t="s">
        <v>42</v>
      </c>
      <c r="R1574" s="1">
        <v>0.1</v>
      </c>
      <c r="S1574">
        <f t="shared" si="96"/>
        <v>82.8</v>
      </c>
      <c r="T1574">
        <f>IFERROR(VLOOKUP(A1574,Table1[[Customer ID]:[Discount Amount]], 6, FALSE),"Not Found")</f>
        <v>92</v>
      </c>
      <c r="U1574" t="str">
        <f t="shared" si="97"/>
        <v>Debit Card</v>
      </c>
      <c r="V1574" s="4" t="str">
        <f t="shared" si="98"/>
        <v>Normal</v>
      </c>
      <c r="W1574" s="4" t="str">
        <f t="shared" si="99"/>
        <v>Good</v>
      </c>
      <c r="X1574" s="4">
        <f>AVERAGE(Table1[Purchase Amount])</f>
        <v>129.48419400000012</v>
      </c>
    </row>
    <row r="1575" spans="1:24" ht="15" customHeight="1" x14ac:dyDescent="0.25">
      <c r="A1575">
        <v>1574</v>
      </c>
      <c r="B1575">
        <v>36</v>
      </c>
      <c r="C1575" t="s">
        <v>27</v>
      </c>
      <c r="D1575" t="s">
        <v>17</v>
      </c>
      <c r="E1575" t="s">
        <v>18</v>
      </c>
      <c r="F1575" s="2">
        <v>31</v>
      </c>
      <c r="G1575" t="s">
        <v>86</v>
      </c>
      <c r="H1575" t="s">
        <v>45</v>
      </c>
      <c r="I1575" t="s">
        <v>91</v>
      </c>
      <c r="J1575" t="s">
        <v>57</v>
      </c>
      <c r="K1575">
        <v>4.3</v>
      </c>
      <c r="L1575" t="s">
        <v>23</v>
      </c>
      <c r="M1575" t="s">
        <v>41</v>
      </c>
      <c r="N1575" t="s">
        <v>34</v>
      </c>
      <c r="O1575">
        <v>25</v>
      </c>
      <c r="P1575" t="s">
        <v>36</v>
      </c>
      <c r="Q1575" t="s">
        <v>26</v>
      </c>
      <c r="R1575" s="1">
        <v>0.1</v>
      </c>
      <c r="S1575">
        <f t="shared" si="96"/>
        <v>27.9</v>
      </c>
      <c r="T1575">
        <f>IFERROR(VLOOKUP(A1575,Table1[[Customer ID]:[Discount Amount]], 6, FALSE),"Not Found")</f>
        <v>31</v>
      </c>
      <c r="U1575" t="str">
        <f t="shared" si="97"/>
        <v>Debit Card</v>
      </c>
      <c r="V1575" s="4" t="str">
        <f t="shared" si="98"/>
        <v>Normal</v>
      </c>
      <c r="W1575" s="4" t="str">
        <f t="shared" si="99"/>
        <v>Good</v>
      </c>
      <c r="X1575" s="4">
        <f>AVERAGE(Table1[Purchase Amount])</f>
        <v>129.48419400000012</v>
      </c>
    </row>
    <row r="1576" spans="1:24" ht="15" customHeight="1" x14ac:dyDescent="0.25">
      <c r="A1576">
        <v>1575</v>
      </c>
      <c r="B1576">
        <v>18</v>
      </c>
      <c r="C1576" t="s">
        <v>27</v>
      </c>
      <c r="D1576" t="s">
        <v>122</v>
      </c>
      <c r="E1576" t="s">
        <v>18</v>
      </c>
      <c r="F1576" s="2">
        <v>25</v>
      </c>
      <c r="G1576" t="s">
        <v>120</v>
      </c>
      <c r="H1576" t="s">
        <v>55</v>
      </c>
      <c r="I1576" t="s">
        <v>87</v>
      </c>
      <c r="J1576" t="s">
        <v>33</v>
      </c>
      <c r="K1576">
        <v>4.2</v>
      </c>
      <c r="L1576" t="s">
        <v>23</v>
      </c>
      <c r="M1576" t="s">
        <v>35</v>
      </c>
      <c r="N1576" t="s">
        <v>34</v>
      </c>
      <c r="O1576">
        <v>32</v>
      </c>
      <c r="P1576" t="s">
        <v>58</v>
      </c>
      <c r="Q1576" t="s">
        <v>68</v>
      </c>
      <c r="R1576" s="1">
        <v>0.1</v>
      </c>
      <c r="S1576">
        <f t="shared" si="96"/>
        <v>22.5</v>
      </c>
      <c r="T1576">
        <f>IFERROR(VLOOKUP(A1576,Table1[[Customer ID]:[Discount Amount]], 6, FALSE),"Not Found")</f>
        <v>25</v>
      </c>
      <c r="U1576" t="str">
        <f t="shared" si="97"/>
        <v>PayPal</v>
      </c>
      <c r="V1576" s="4" t="str">
        <f t="shared" si="98"/>
        <v>Normal</v>
      </c>
      <c r="W1576" s="4" t="str">
        <f t="shared" si="99"/>
        <v>Good</v>
      </c>
      <c r="X1576" s="4">
        <f>AVERAGE(Table1[Purchase Amount])</f>
        <v>129.48419400000012</v>
      </c>
    </row>
    <row r="1577" spans="1:24" ht="15" customHeight="1" x14ac:dyDescent="0.25">
      <c r="A1577">
        <v>1576</v>
      </c>
      <c r="B1577">
        <v>52</v>
      </c>
      <c r="C1577" t="s">
        <v>27</v>
      </c>
      <c r="D1577" t="s">
        <v>38</v>
      </c>
      <c r="E1577" t="s">
        <v>18</v>
      </c>
      <c r="F1577" s="2">
        <v>28</v>
      </c>
      <c r="G1577" t="s">
        <v>19</v>
      </c>
      <c r="H1577" t="s">
        <v>31</v>
      </c>
      <c r="I1577" t="s">
        <v>156</v>
      </c>
      <c r="J1577" t="s">
        <v>33</v>
      </c>
      <c r="K1577">
        <v>3.6</v>
      </c>
      <c r="L1577" t="s">
        <v>23</v>
      </c>
      <c r="M1577" t="s">
        <v>79</v>
      </c>
      <c r="N1577" t="s">
        <v>34</v>
      </c>
      <c r="O1577">
        <v>28</v>
      </c>
      <c r="P1577" t="s">
        <v>25</v>
      </c>
      <c r="Q1577" t="s">
        <v>89</v>
      </c>
      <c r="R1577" s="1">
        <v>0.1</v>
      </c>
      <c r="S1577">
        <f t="shared" si="96"/>
        <v>25.2</v>
      </c>
      <c r="T1577">
        <f>IFERROR(VLOOKUP(A1577,Table1[[Customer ID]:[Discount Amount]], 6, FALSE),"Not Found")</f>
        <v>28</v>
      </c>
      <c r="U1577" t="str">
        <f t="shared" si="97"/>
        <v>Cash</v>
      </c>
      <c r="V1577" s="4" t="str">
        <f t="shared" si="98"/>
        <v>Normal</v>
      </c>
      <c r="W1577" s="4" t="str">
        <f t="shared" si="99"/>
        <v>Good</v>
      </c>
      <c r="X1577" s="4">
        <f>AVERAGE(Table1[Purchase Amount])</f>
        <v>129.48419400000012</v>
      </c>
    </row>
    <row r="1578" spans="1:24" ht="15" customHeight="1" x14ac:dyDescent="0.25">
      <c r="A1578">
        <v>1577</v>
      </c>
      <c r="B1578">
        <v>56</v>
      </c>
      <c r="C1578" t="s">
        <v>27</v>
      </c>
      <c r="D1578" t="s">
        <v>157</v>
      </c>
      <c r="E1578" t="s">
        <v>18</v>
      </c>
      <c r="F1578" s="2">
        <v>75</v>
      </c>
      <c r="G1578" t="s">
        <v>113</v>
      </c>
      <c r="H1578" t="s">
        <v>31</v>
      </c>
      <c r="I1578" t="s">
        <v>32</v>
      </c>
      <c r="J1578" t="s">
        <v>33</v>
      </c>
      <c r="K1578">
        <v>3.7</v>
      </c>
      <c r="L1578" t="s">
        <v>23</v>
      </c>
      <c r="M1578" t="s">
        <v>41</v>
      </c>
      <c r="N1578" t="s">
        <v>34</v>
      </c>
      <c r="O1578">
        <v>36</v>
      </c>
      <c r="P1578" t="s">
        <v>58</v>
      </c>
      <c r="Q1578" t="s">
        <v>42</v>
      </c>
      <c r="R1578" s="1">
        <v>0.1</v>
      </c>
      <c r="S1578">
        <f t="shared" si="96"/>
        <v>67.5</v>
      </c>
      <c r="T1578">
        <f>IFERROR(VLOOKUP(A1578,Table1[[Customer ID]:[Discount Amount]], 6, FALSE),"Not Found")</f>
        <v>75</v>
      </c>
      <c r="U1578" t="str">
        <f t="shared" si="97"/>
        <v>PayPal</v>
      </c>
      <c r="V1578" s="4" t="str">
        <f t="shared" si="98"/>
        <v>Normal</v>
      </c>
      <c r="W1578" s="4" t="str">
        <f t="shared" si="99"/>
        <v>Good</v>
      </c>
      <c r="X1578" s="4">
        <f>AVERAGE(Table1[Purchase Amount])</f>
        <v>129.48419400000012</v>
      </c>
    </row>
    <row r="1579" spans="1:24" ht="15" customHeight="1" x14ac:dyDescent="0.25">
      <c r="A1579">
        <v>1578</v>
      </c>
      <c r="B1579">
        <v>68</v>
      </c>
      <c r="C1579" t="s">
        <v>27</v>
      </c>
      <c r="D1579" t="s">
        <v>151</v>
      </c>
      <c r="E1579" t="s">
        <v>98</v>
      </c>
      <c r="F1579" s="2">
        <v>34</v>
      </c>
      <c r="G1579" t="s">
        <v>143</v>
      </c>
      <c r="H1579" t="s">
        <v>55</v>
      </c>
      <c r="I1579" t="s">
        <v>21</v>
      </c>
      <c r="J1579" t="s">
        <v>33</v>
      </c>
      <c r="K1579">
        <v>4</v>
      </c>
      <c r="L1579" t="s">
        <v>23</v>
      </c>
      <c r="M1579" t="s">
        <v>24</v>
      </c>
      <c r="N1579" t="s">
        <v>34</v>
      </c>
      <c r="O1579">
        <v>7</v>
      </c>
      <c r="P1579" t="s">
        <v>62</v>
      </c>
      <c r="Q1579" t="s">
        <v>89</v>
      </c>
      <c r="R1579" s="1">
        <v>0.1</v>
      </c>
      <c r="S1579">
        <f t="shared" si="96"/>
        <v>30.6</v>
      </c>
      <c r="T1579">
        <f>IFERROR(VLOOKUP(A1579,Table1[[Customer ID]:[Discount Amount]], 6, FALSE),"Not Found")</f>
        <v>34</v>
      </c>
      <c r="U1579" t="str">
        <f t="shared" si="97"/>
        <v>Venmo</v>
      </c>
      <c r="V1579" s="4" t="str">
        <f t="shared" si="98"/>
        <v>Normal</v>
      </c>
      <c r="W1579" s="4" t="str">
        <f t="shared" si="99"/>
        <v>Good</v>
      </c>
      <c r="X1579" s="4">
        <f>AVERAGE(Table1[Purchase Amount])</f>
        <v>129.48419400000012</v>
      </c>
    </row>
    <row r="1580" spans="1:24" ht="15" customHeight="1" x14ac:dyDescent="0.25">
      <c r="A1580">
        <v>1579</v>
      </c>
      <c r="B1580">
        <v>62</v>
      </c>
      <c r="C1580" t="s">
        <v>27</v>
      </c>
      <c r="D1580" t="s">
        <v>99</v>
      </c>
      <c r="E1580" t="s">
        <v>18</v>
      </c>
      <c r="F1580" s="2">
        <v>97</v>
      </c>
      <c r="G1580" t="s">
        <v>19</v>
      </c>
      <c r="H1580" t="s">
        <v>55</v>
      </c>
      <c r="I1580" t="s">
        <v>125</v>
      </c>
      <c r="J1580" t="s">
        <v>22</v>
      </c>
      <c r="K1580">
        <v>4.9000000000000004</v>
      </c>
      <c r="L1580" t="s">
        <v>23</v>
      </c>
      <c r="M1580" t="s">
        <v>41</v>
      </c>
      <c r="N1580" t="s">
        <v>34</v>
      </c>
      <c r="O1580">
        <v>2</v>
      </c>
      <c r="P1580" t="s">
        <v>58</v>
      </c>
      <c r="Q1580" t="s">
        <v>37</v>
      </c>
      <c r="R1580" s="1">
        <v>0.1</v>
      </c>
      <c r="S1580">
        <f t="shared" si="96"/>
        <v>87.3</v>
      </c>
      <c r="T1580">
        <f>IFERROR(VLOOKUP(A1580,Table1[[Customer ID]:[Discount Amount]], 6, FALSE),"Not Found")</f>
        <v>97</v>
      </c>
      <c r="U1580" t="str">
        <f t="shared" si="97"/>
        <v>PayPal</v>
      </c>
      <c r="V1580" s="4" t="str">
        <f t="shared" si="98"/>
        <v>Normal</v>
      </c>
      <c r="W1580" s="4" t="str">
        <f t="shared" si="99"/>
        <v>Good</v>
      </c>
      <c r="X1580" s="4">
        <f>AVERAGE(Table1[Purchase Amount])</f>
        <v>129.48419400000012</v>
      </c>
    </row>
    <row r="1581" spans="1:24" ht="15" customHeight="1" x14ac:dyDescent="0.25">
      <c r="A1581">
        <v>1580</v>
      </c>
      <c r="B1581">
        <v>35</v>
      </c>
      <c r="C1581" t="s">
        <v>27</v>
      </c>
      <c r="D1581" t="s">
        <v>96</v>
      </c>
      <c r="E1581" t="s">
        <v>77</v>
      </c>
      <c r="F1581" s="2">
        <v>80</v>
      </c>
      <c r="G1581" t="s">
        <v>142</v>
      </c>
      <c r="H1581" t="s">
        <v>31</v>
      </c>
      <c r="I1581" t="s">
        <v>111</v>
      </c>
      <c r="J1581" t="s">
        <v>57</v>
      </c>
      <c r="K1581">
        <v>3.1</v>
      </c>
      <c r="L1581" t="s">
        <v>23</v>
      </c>
      <c r="M1581" t="s">
        <v>35</v>
      </c>
      <c r="N1581" t="s">
        <v>34</v>
      </c>
      <c r="O1581">
        <v>6</v>
      </c>
      <c r="P1581" t="s">
        <v>88</v>
      </c>
      <c r="Q1581" t="s">
        <v>42</v>
      </c>
      <c r="R1581" s="1">
        <v>0.1</v>
      </c>
      <c r="S1581">
        <f t="shared" si="96"/>
        <v>72</v>
      </c>
      <c r="T1581">
        <f>IFERROR(VLOOKUP(A1581,Table1[[Customer ID]:[Discount Amount]], 6, FALSE),"Not Found")</f>
        <v>80</v>
      </c>
      <c r="U1581" t="str">
        <f t="shared" si="97"/>
        <v>Bank Transfer</v>
      </c>
      <c r="V1581" s="4" t="str">
        <f t="shared" si="98"/>
        <v>Normal</v>
      </c>
      <c r="W1581" s="4" t="str">
        <f t="shared" si="99"/>
        <v>Good</v>
      </c>
      <c r="X1581" s="4">
        <f>AVERAGE(Table1[Purchase Amount])</f>
        <v>129.48419400000012</v>
      </c>
    </row>
    <row r="1582" spans="1:24" ht="15" customHeight="1" x14ac:dyDescent="0.25">
      <c r="A1582">
        <v>1581</v>
      </c>
      <c r="B1582">
        <v>65</v>
      </c>
      <c r="C1582" t="s">
        <v>27</v>
      </c>
      <c r="D1582" t="s">
        <v>140</v>
      </c>
      <c r="E1582" t="s">
        <v>98</v>
      </c>
      <c r="F1582" s="2">
        <v>71</v>
      </c>
      <c r="G1582" t="s">
        <v>86</v>
      </c>
      <c r="H1582" t="s">
        <v>45</v>
      </c>
      <c r="I1582" t="s">
        <v>128</v>
      </c>
      <c r="J1582" t="s">
        <v>57</v>
      </c>
      <c r="K1582">
        <v>3.7</v>
      </c>
      <c r="L1582" t="s">
        <v>23</v>
      </c>
      <c r="M1582" t="s">
        <v>24</v>
      </c>
      <c r="N1582" t="s">
        <v>34</v>
      </c>
      <c r="O1582">
        <v>30</v>
      </c>
      <c r="P1582" t="s">
        <v>25</v>
      </c>
      <c r="Q1582" t="s">
        <v>49</v>
      </c>
      <c r="R1582" s="1">
        <v>0.1</v>
      </c>
      <c r="S1582">
        <f t="shared" si="96"/>
        <v>63.9</v>
      </c>
      <c r="T1582">
        <f>IFERROR(VLOOKUP(A1582,Table1[[Customer ID]:[Discount Amount]], 6, FALSE),"Not Found")</f>
        <v>71</v>
      </c>
      <c r="U1582" t="str">
        <f t="shared" si="97"/>
        <v>Cash</v>
      </c>
      <c r="V1582" s="4" t="str">
        <f t="shared" si="98"/>
        <v>Normal</v>
      </c>
      <c r="W1582" s="4" t="str">
        <f t="shared" si="99"/>
        <v>Good</v>
      </c>
      <c r="X1582" s="4">
        <f>AVERAGE(Table1[Purchase Amount])</f>
        <v>129.48419400000012</v>
      </c>
    </row>
    <row r="1583" spans="1:24" ht="15" customHeight="1" x14ac:dyDescent="0.25">
      <c r="A1583">
        <v>1582</v>
      </c>
      <c r="B1583">
        <v>69</v>
      </c>
      <c r="C1583" t="s">
        <v>27</v>
      </c>
      <c r="D1583" t="s">
        <v>50</v>
      </c>
      <c r="E1583" t="s">
        <v>29</v>
      </c>
      <c r="F1583" s="2">
        <v>77</v>
      </c>
      <c r="G1583" t="s">
        <v>90</v>
      </c>
      <c r="H1583" t="s">
        <v>45</v>
      </c>
      <c r="I1583" t="s">
        <v>147</v>
      </c>
      <c r="J1583" t="s">
        <v>47</v>
      </c>
      <c r="K1583">
        <v>4.2</v>
      </c>
      <c r="L1583" t="s">
        <v>23</v>
      </c>
      <c r="M1583" t="s">
        <v>35</v>
      </c>
      <c r="N1583" t="s">
        <v>34</v>
      </c>
      <c r="O1583">
        <v>46</v>
      </c>
      <c r="P1583" t="s">
        <v>25</v>
      </c>
      <c r="Q1583" t="s">
        <v>37</v>
      </c>
      <c r="R1583" s="1">
        <v>0.1</v>
      </c>
      <c r="S1583">
        <f t="shared" si="96"/>
        <v>69.3</v>
      </c>
      <c r="T1583">
        <f>IFERROR(VLOOKUP(A1583,Table1[[Customer ID]:[Discount Amount]], 6, FALSE),"Not Found")</f>
        <v>77</v>
      </c>
      <c r="U1583" t="str">
        <f t="shared" si="97"/>
        <v>Cash</v>
      </c>
      <c r="V1583" s="4" t="str">
        <f t="shared" si="98"/>
        <v>Normal</v>
      </c>
      <c r="W1583" s="4" t="str">
        <f t="shared" si="99"/>
        <v>Good</v>
      </c>
      <c r="X1583" s="4">
        <f>AVERAGE(Table1[Purchase Amount])</f>
        <v>129.48419400000012</v>
      </c>
    </row>
    <row r="1584" spans="1:24" ht="15" customHeight="1" x14ac:dyDescent="0.25">
      <c r="A1584">
        <v>1583</v>
      </c>
      <c r="B1584">
        <v>28</v>
      </c>
      <c r="C1584" t="s">
        <v>27</v>
      </c>
      <c r="D1584" t="s">
        <v>114</v>
      </c>
      <c r="E1584" t="s">
        <v>29</v>
      </c>
      <c r="F1584" s="2">
        <v>41</v>
      </c>
      <c r="G1584" t="s">
        <v>135</v>
      </c>
      <c r="H1584" t="s">
        <v>45</v>
      </c>
      <c r="I1584" t="s">
        <v>46</v>
      </c>
      <c r="J1584" t="s">
        <v>33</v>
      </c>
      <c r="K1584">
        <v>2.5</v>
      </c>
      <c r="L1584" t="s">
        <v>23</v>
      </c>
      <c r="M1584" t="s">
        <v>79</v>
      </c>
      <c r="N1584" t="s">
        <v>34</v>
      </c>
      <c r="O1584">
        <v>39</v>
      </c>
      <c r="P1584" t="s">
        <v>25</v>
      </c>
      <c r="Q1584" t="s">
        <v>42</v>
      </c>
      <c r="R1584" s="1">
        <v>0.1</v>
      </c>
      <c r="S1584">
        <f t="shared" si="96"/>
        <v>36.9</v>
      </c>
      <c r="T1584">
        <f>IFERROR(VLOOKUP(A1584,Table1[[Customer ID]:[Discount Amount]], 6, FALSE),"Not Found")</f>
        <v>41</v>
      </c>
      <c r="U1584" t="str">
        <f t="shared" si="97"/>
        <v>Cash</v>
      </c>
      <c r="V1584" s="4" t="str">
        <f t="shared" si="98"/>
        <v>Normal</v>
      </c>
      <c r="W1584" s="4" t="str">
        <f t="shared" si="99"/>
        <v>Poor</v>
      </c>
      <c r="X1584" s="4">
        <f>AVERAGE(Table1[Purchase Amount])</f>
        <v>129.48419400000012</v>
      </c>
    </row>
    <row r="1585" spans="1:24" ht="15" customHeight="1" x14ac:dyDescent="0.25">
      <c r="A1585">
        <v>1584</v>
      </c>
      <c r="B1585">
        <v>37</v>
      </c>
      <c r="C1585" t="s">
        <v>27</v>
      </c>
      <c r="D1585" t="s">
        <v>129</v>
      </c>
      <c r="E1585" t="s">
        <v>29</v>
      </c>
      <c r="F1585" s="2">
        <v>92</v>
      </c>
      <c r="G1585" t="s">
        <v>106</v>
      </c>
      <c r="H1585" t="s">
        <v>20</v>
      </c>
      <c r="I1585" t="s">
        <v>52</v>
      </c>
      <c r="J1585" t="s">
        <v>57</v>
      </c>
      <c r="K1585">
        <v>4.3</v>
      </c>
      <c r="L1585" t="s">
        <v>23</v>
      </c>
      <c r="M1585" t="s">
        <v>79</v>
      </c>
      <c r="N1585" t="s">
        <v>34</v>
      </c>
      <c r="O1585">
        <v>8</v>
      </c>
      <c r="P1585" t="s">
        <v>62</v>
      </c>
      <c r="Q1585" t="s">
        <v>49</v>
      </c>
      <c r="R1585" s="1">
        <v>0.1</v>
      </c>
      <c r="S1585">
        <f t="shared" si="96"/>
        <v>82.8</v>
      </c>
      <c r="T1585">
        <f>IFERROR(VLOOKUP(A1585,Table1[[Customer ID]:[Discount Amount]], 6, FALSE),"Not Found")</f>
        <v>92</v>
      </c>
      <c r="U1585" t="str">
        <f t="shared" si="97"/>
        <v>Venmo</v>
      </c>
      <c r="V1585" s="4" t="str">
        <f t="shared" si="98"/>
        <v>Normal</v>
      </c>
      <c r="W1585" s="4" t="str">
        <f t="shared" si="99"/>
        <v>Good</v>
      </c>
      <c r="X1585" s="4">
        <f>AVERAGE(Table1[Purchase Amount])</f>
        <v>129.48419400000012</v>
      </c>
    </row>
    <row r="1586" spans="1:24" ht="15" customHeight="1" x14ac:dyDescent="0.25">
      <c r="A1586">
        <v>1585</v>
      </c>
      <c r="B1586">
        <v>41</v>
      </c>
      <c r="C1586" t="s">
        <v>27</v>
      </c>
      <c r="D1586" t="s">
        <v>118</v>
      </c>
      <c r="E1586" t="s">
        <v>18</v>
      </c>
      <c r="F1586" s="2">
        <v>95</v>
      </c>
      <c r="G1586" t="s">
        <v>135</v>
      </c>
      <c r="H1586" t="s">
        <v>55</v>
      </c>
      <c r="I1586" t="s">
        <v>153</v>
      </c>
      <c r="J1586" t="s">
        <v>33</v>
      </c>
      <c r="K1586">
        <v>3.1</v>
      </c>
      <c r="L1586" t="s">
        <v>23</v>
      </c>
      <c r="M1586" t="s">
        <v>48</v>
      </c>
      <c r="N1586" t="s">
        <v>34</v>
      </c>
      <c r="O1586">
        <v>46</v>
      </c>
      <c r="P1586" t="s">
        <v>53</v>
      </c>
      <c r="Q1586" t="s">
        <v>37</v>
      </c>
      <c r="R1586" s="1">
        <v>0.1</v>
      </c>
      <c r="S1586">
        <f t="shared" si="96"/>
        <v>85.5</v>
      </c>
      <c r="T1586">
        <f>IFERROR(VLOOKUP(A1586,Table1[[Customer ID]:[Discount Amount]], 6, FALSE),"Not Found")</f>
        <v>95</v>
      </c>
      <c r="U1586" t="str">
        <f t="shared" si="97"/>
        <v>Credit Card</v>
      </c>
      <c r="V1586" s="4" t="str">
        <f t="shared" si="98"/>
        <v>Normal</v>
      </c>
      <c r="W1586" s="4" t="str">
        <f t="shared" si="99"/>
        <v>Good</v>
      </c>
      <c r="X1586" s="4">
        <f>AVERAGE(Table1[Purchase Amount])</f>
        <v>129.48419400000012</v>
      </c>
    </row>
    <row r="1587" spans="1:24" ht="15" customHeight="1" x14ac:dyDescent="0.25">
      <c r="A1587">
        <v>1586</v>
      </c>
      <c r="B1587">
        <v>37</v>
      </c>
      <c r="C1587" t="s">
        <v>27</v>
      </c>
      <c r="D1587" t="s">
        <v>127</v>
      </c>
      <c r="E1587" t="s">
        <v>18</v>
      </c>
      <c r="F1587" s="2">
        <v>25</v>
      </c>
      <c r="G1587" t="s">
        <v>51</v>
      </c>
      <c r="H1587" t="s">
        <v>31</v>
      </c>
      <c r="I1587" t="s">
        <v>103</v>
      </c>
      <c r="J1587" t="s">
        <v>47</v>
      </c>
      <c r="K1587">
        <v>3</v>
      </c>
      <c r="L1587" t="s">
        <v>23</v>
      </c>
      <c r="M1587" t="s">
        <v>79</v>
      </c>
      <c r="N1587" t="s">
        <v>34</v>
      </c>
      <c r="O1587">
        <v>40</v>
      </c>
      <c r="P1587" t="s">
        <v>36</v>
      </c>
      <c r="Q1587" t="s">
        <v>89</v>
      </c>
      <c r="R1587" s="1">
        <v>0.1</v>
      </c>
      <c r="S1587">
        <f t="shared" si="96"/>
        <v>22.5</v>
      </c>
      <c r="T1587">
        <f>IFERROR(VLOOKUP(A1587,Table1[[Customer ID]:[Discount Amount]], 6, FALSE),"Not Found")</f>
        <v>25</v>
      </c>
      <c r="U1587" t="str">
        <f t="shared" si="97"/>
        <v>Debit Card</v>
      </c>
      <c r="V1587" s="4" t="str">
        <f t="shared" si="98"/>
        <v>Normal</v>
      </c>
      <c r="W1587" s="4" t="str">
        <f t="shared" si="99"/>
        <v>Good</v>
      </c>
      <c r="X1587" s="4">
        <f>AVERAGE(Table1[Purchase Amount])</f>
        <v>129.48419400000012</v>
      </c>
    </row>
    <row r="1588" spans="1:24" ht="15" customHeight="1" x14ac:dyDescent="0.25">
      <c r="A1588">
        <v>1587</v>
      </c>
      <c r="B1588">
        <v>25</v>
      </c>
      <c r="C1588" t="s">
        <v>27</v>
      </c>
      <c r="D1588" t="s">
        <v>151</v>
      </c>
      <c r="E1588" t="s">
        <v>98</v>
      </c>
      <c r="F1588" s="2">
        <v>77</v>
      </c>
      <c r="G1588" t="s">
        <v>142</v>
      </c>
      <c r="H1588" t="s">
        <v>31</v>
      </c>
      <c r="I1588" t="s">
        <v>66</v>
      </c>
      <c r="J1588" t="s">
        <v>47</v>
      </c>
      <c r="K1588">
        <v>4</v>
      </c>
      <c r="L1588" t="s">
        <v>23</v>
      </c>
      <c r="M1588" t="s">
        <v>61</v>
      </c>
      <c r="N1588" t="s">
        <v>34</v>
      </c>
      <c r="O1588">
        <v>21</v>
      </c>
      <c r="P1588" t="s">
        <v>88</v>
      </c>
      <c r="Q1588" t="s">
        <v>26</v>
      </c>
      <c r="R1588" s="1">
        <v>0.1</v>
      </c>
      <c r="S1588">
        <f t="shared" si="96"/>
        <v>69.3</v>
      </c>
      <c r="T1588">
        <f>IFERROR(VLOOKUP(A1588,Table1[[Customer ID]:[Discount Amount]], 6, FALSE),"Not Found")</f>
        <v>77</v>
      </c>
      <c r="U1588" t="str">
        <f t="shared" si="97"/>
        <v>Bank Transfer</v>
      </c>
      <c r="V1588" s="4" t="str">
        <f t="shared" si="98"/>
        <v>Normal</v>
      </c>
      <c r="W1588" s="4" t="str">
        <f t="shared" si="99"/>
        <v>Good</v>
      </c>
      <c r="X1588" s="4">
        <f>AVERAGE(Table1[Purchase Amount])</f>
        <v>129.48419400000012</v>
      </c>
    </row>
    <row r="1589" spans="1:24" ht="15" customHeight="1" x14ac:dyDescent="0.25">
      <c r="A1589">
        <v>1588</v>
      </c>
      <c r="B1589">
        <v>41</v>
      </c>
      <c r="C1589" t="s">
        <v>27</v>
      </c>
      <c r="D1589" t="s">
        <v>105</v>
      </c>
      <c r="E1589" t="s">
        <v>18</v>
      </c>
      <c r="F1589" s="2">
        <v>99</v>
      </c>
      <c r="G1589" t="s">
        <v>51</v>
      </c>
      <c r="H1589" t="s">
        <v>31</v>
      </c>
      <c r="I1589" t="s">
        <v>56</v>
      </c>
      <c r="J1589" t="s">
        <v>57</v>
      </c>
      <c r="K1589">
        <v>3.5</v>
      </c>
      <c r="L1589" t="s">
        <v>23</v>
      </c>
      <c r="M1589" t="s">
        <v>35</v>
      </c>
      <c r="N1589" t="s">
        <v>34</v>
      </c>
      <c r="O1589">
        <v>33</v>
      </c>
      <c r="P1589" t="s">
        <v>53</v>
      </c>
      <c r="Q1589" t="s">
        <v>89</v>
      </c>
      <c r="R1589" s="1">
        <v>0.1</v>
      </c>
      <c r="S1589">
        <f t="shared" si="96"/>
        <v>89.1</v>
      </c>
      <c r="T1589">
        <f>IFERROR(VLOOKUP(A1589,Table1[[Customer ID]:[Discount Amount]], 6, FALSE),"Not Found")</f>
        <v>99</v>
      </c>
      <c r="U1589" t="str">
        <f t="shared" si="97"/>
        <v>Credit Card</v>
      </c>
      <c r="V1589" s="4" t="str">
        <f t="shared" si="98"/>
        <v>Normal</v>
      </c>
      <c r="W1589" s="4" t="str">
        <f t="shared" si="99"/>
        <v>Good</v>
      </c>
      <c r="X1589" s="4">
        <f>AVERAGE(Table1[Purchase Amount])</f>
        <v>129.48419400000012</v>
      </c>
    </row>
    <row r="1590" spans="1:24" ht="15" customHeight="1" x14ac:dyDescent="0.25">
      <c r="A1590">
        <v>1589</v>
      </c>
      <c r="B1590">
        <v>48</v>
      </c>
      <c r="C1590" t="s">
        <v>27</v>
      </c>
      <c r="D1590" t="s">
        <v>114</v>
      </c>
      <c r="E1590" t="s">
        <v>29</v>
      </c>
      <c r="F1590" s="2">
        <v>24</v>
      </c>
      <c r="G1590" t="s">
        <v>84</v>
      </c>
      <c r="H1590" t="s">
        <v>45</v>
      </c>
      <c r="I1590" t="s">
        <v>128</v>
      </c>
      <c r="J1590" t="s">
        <v>22</v>
      </c>
      <c r="K1590">
        <v>3.2</v>
      </c>
      <c r="L1590" t="s">
        <v>23</v>
      </c>
      <c r="M1590" t="s">
        <v>79</v>
      </c>
      <c r="N1590" t="s">
        <v>34</v>
      </c>
      <c r="O1590">
        <v>3</v>
      </c>
      <c r="P1590" t="s">
        <v>62</v>
      </c>
      <c r="Q1590" t="s">
        <v>42</v>
      </c>
      <c r="R1590" s="1">
        <v>0.1</v>
      </c>
      <c r="S1590">
        <f t="shared" si="96"/>
        <v>21.6</v>
      </c>
      <c r="T1590">
        <f>IFERROR(VLOOKUP(A1590,Table1[[Customer ID]:[Discount Amount]], 6, FALSE),"Not Found")</f>
        <v>24</v>
      </c>
      <c r="U1590" t="str">
        <f t="shared" si="97"/>
        <v>Venmo</v>
      </c>
      <c r="V1590" s="4" t="str">
        <f t="shared" si="98"/>
        <v>Normal</v>
      </c>
      <c r="W1590" s="4" t="str">
        <f t="shared" si="99"/>
        <v>Good</v>
      </c>
      <c r="X1590" s="4">
        <f>AVERAGE(Table1[Purchase Amount])</f>
        <v>129.48419400000012</v>
      </c>
    </row>
    <row r="1591" spans="1:24" ht="15" customHeight="1" x14ac:dyDescent="0.25">
      <c r="A1591">
        <v>1590</v>
      </c>
      <c r="B1591">
        <v>42</v>
      </c>
      <c r="C1591" t="s">
        <v>27</v>
      </c>
      <c r="D1591" t="s">
        <v>140</v>
      </c>
      <c r="E1591" t="s">
        <v>98</v>
      </c>
      <c r="F1591" s="2">
        <v>72</v>
      </c>
      <c r="G1591" t="s">
        <v>90</v>
      </c>
      <c r="H1591" t="s">
        <v>31</v>
      </c>
      <c r="I1591" t="s">
        <v>153</v>
      </c>
      <c r="J1591" t="s">
        <v>57</v>
      </c>
      <c r="K1591">
        <v>2.7</v>
      </c>
      <c r="L1591" t="s">
        <v>23</v>
      </c>
      <c r="M1591" t="s">
        <v>48</v>
      </c>
      <c r="N1591" t="s">
        <v>34</v>
      </c>
      <c r="O1591">
        <v>48</v>
      </c>
      <c r="P1591" t="s">
        <v>25</v>
      </c>
      <c r="Q1591" t="s">
        <v>26</v>
      </c>
      <c r="R1591" s="1">
        <v>0.1</v>
      </c>
      <c r="S1591">
        <f t="shared" si="96"/>
        <v>64.8</v>
      </c>
      <c r="T1591">
        <f>IFERROR(VLOOKUP(A1591,Table1[[Customer ID]:[Discount Amount]], 6, FALSE),"Not Found")</f>
        <v>72</v>
      </c>
      <c r="U1591" t="str">
        <f t="shared" si="97"/>
        <v>Cash</v>
      </c>
      <c r="V1591" s="4" t="str">
        <f t="shared" si="98"/>
        <v>Normal</v>
      </c>
      <c r="W1591" s="4" t="str">
        <f t="shared" si="99"/>
        <v>Poor</v>
      </c>
      <c r="X1591" s="4">
        <f>AVERAGE(Table1[Purchase Amount])</f>
        <v>129.48419400000012</v>
      </c>
    </row>
    <row r="1592" spans="1:24" ht="15" customHeight="1" x14ac:dyDescent="0.25">
      <c r="A1592">
        <v>1591</v>
      </c>
      <c r="B1592">
        <v>54</v>
      </c>
      <c r="C1592" t="s">
        <v>27</v>
      </c>
      <c r="D1592" t="s">
        <v>109</v>
      </c>
      <c r="E1592" t="s">
        <v>18</v>
      </c>
      <c r="F1592" s="2">
        <v>80</v>
      </c>
      <c r="G1592" t="s">
        <v>59</v>
      </c>
      <c r="H1592" t="s">
        <v>55</v>
      </c>
      <c r="I1592" t="s">
        <v>136</v>
      </c>
      <c r="J1592" t="s">
        <v>22</v>
      </c>
      <c r="K1592">
        <v>3</v>
      </c>
      <c r="L1592" t="s">
        <v>23</v>
      </c>
      <c r="M1592" t="s">
        <v>35</v>
      </c>
      <c r="N1592" t="s">
        <v>34</v>
      </c>
      <c r="O1592">
        <v>8</v>
      </c>
      <c r="P1592" t="s">
        <v>58</v>
      </c>
      <c r="Q1592" t="s">
        <v>49</v>
      </c>
      <c r="R1592" s="1">
        <v>0.1</v>
      </c>
      <c r="S1592">
        <f t="shared" si="96"/>
        <v>72</v>
      </c>
      <c r="T1592">
        <f>IFERROR(VLOOKUP(A1592,Table1[[Customer ID]:[Discount Amount]], 6, FALSE),"Not Found")</f>
        <v>80</v>
      </c>
      <c r="U1592" t="str">
        <f t="shared" si="97"/>
        <v>PayPal</v>
      </c>
      <c r="V1592" s="4" t="str">
        <f t="shared" si="98"/>
        <v>Normal</v>
      </c>
      <c r="W1592" s="4" t="str">
        <f t="shared" si="99"/>
        <v>Good</v>
      </c>
      <c r="X1592" s="4">
        <f>AVERAGE(Table1[Purchase Amount])</f>
        <v>129.48419400000012</v>
      </c>
    </row>
    <row r="1593" spans="1:24" ht="15" customHeight="1" x14ac:dyDescent="0.25">
      <c r="A1593">
        <v>1592</v>
      </c>
      <c r="B1593">
        <v>18</v>
      </c>
      <c r="C1593" t="s">
        <v>27</v>
      </c>
      <c r="D1593" t="s">
        <v>122</v>
      </c>
      <c r="E1593" t="s">
        <v>18</v>
      </c>
      <c r="F1593" s="2">
        <v>100</v>
      </c>
      <c r="G1593" t="s">
        <v>130</v>
      </c>
      <c r="H1593" t="s">
        <v>45</v>
      </c>
      <c r="I1593" t="s">
        <v>133</v>
      </c>
      <c r="J1593" t="s">
        <v>22</v>
      </c>
      <c r="K1593">
        <v>2.9</v>
      </c>
      <c r="L1593" t="s">
        <v>23</v>
      </c>
      <c r="M1593" t="s">
        <v>79</v>
      </c>
      <c r="N1593" t="s">
        <v>34</v>
      </c>
      <c r="O1593">
        <v>24</v>
      </c>
      <c r="P1593" t="s">
        <v>58</v>
      </c>
      <c r="Q1593" t="s">
        <v>49</v>
      </c>
      <c r="R1593" s="1">
        <v>0.1</v>
      </c>
      <c r="S1593">
        <f t="shared" si="96"/>
        <v>90</v>
      </c>
      <c r="T1593">
        <f>IFERROR(VLOOKUP(A1593,Table1[[Customer ID]:[Discount Amount]], 6, FALSE),"Not Found")</f>
        <v>100</v>
      </c>
      <c r="U1593" t="str">
        <f t="shared" si="97"/>
        <v>PayPal</v>
      </c>
      <c r="V1593" s="4" t="str">
        <f t="shared" si="98"/>
        <v>Normal</v>
      </c>
      <c r="W1593" s="4" t="str">
        <f t="shared" si="99"/>
        <v>Poor</v>
      </c>
      <c r="X1593" s="4">
        <f>AVERAGE(Table1[Purchase Amount])</f>
        <v>129.48419400000012</v>
      </c>
    </row>
    <row r="1594" spans="1:24" ht="15" customHeight="1" x14ac:dyDescent="0.25">
      <c r="A1594">
        <v>1593</v>
      </c>
      <c r="B1594">
        <v>56</v>
      </c>
      <c r="C1594" t="s">
        <v>27</v>
      </c>
      <c r="D1594" t="s">
        <v>72</v>
      </c>
      <c r="E1594" t="s">
        <v>98</v>
      </c>
      <c r="F1594" s="2">
        <v>83</v>
      </c>
      <c r="G1594" t="s">
        <v>141</v>
      </c>
      <c r="H1594" t="s">
        <v>31</v>
      </c>
      <c r="I1594" t="s">
        <v>128</v>
      </c>
      <c r="J1594" t="s">
        <v>57</v>
      </c>
      <c r="K1594">
        <v>3.3</v>
      </c>
      <c r="L1594" t="s">
        <v>23</v>
      </c>
      <c r="M1594" t="s">
        <v>35</v>
      </c>
      <c r="N1594" t="s">
        <v>34</v>
      </c>
      <c r="O1594">
        <v>10</v>
      </c>
      <c r="P1594" t="s">
        <v>88</v>
      </c>
      <c r="Q1594" t="s">
        <v>63</v>
      </c>
      <c r="R1594" s="1">
        <v>0.1</v>
      </c>
      <c r="S1594">
        <f t="shared" si="96"/>
        <v>74.7</v>
      </c>
      <c r="T1594">
        <f>IFERROR(VLOOKUP(A1594,Table1[[Customer ID]:[Discount Amount]], 6, FALSE),"Not Found")</f>
        <v>83</v>
      </c>
      <c r="U1594" t="str">
        <f t="shared" si="97"/>
        <v>Bank Transfer</v>
      </c>
      <c r="V1594" s="4" t="str">
        <f t="shared" si="98"/>
        <v>Normal</v>
      </c>
      <c r="W1594" s="4" t="str">
        <f t="shared" si="99"/>
        <v>Good</v>
      </c>
      <c r="X1594" s="4">
        <f>AVERAGE(Table1[Purchase Amount])</f>
        <v>129.48419400000012</v>
      </c>
    </row>
    <row r="1595" spans="1:24" ht="15" customHeight="1" x14ac:dyDescent="0.25">
      <c r="A1595">
        <v>1594</v>
      </c>
      <c r="B1595">
        <v>61</v>
      </c>
      <c r="C1595" t="s">
        <v>27</v>
      </c>
      <c r="D1595" t="s">
        <v>157</v>
      </c>
      <c r="E1595" t="s">
        <v>18</v>
      </c>
      <c r="F1595" s="2">
        <v>95</v>
      </c>
      <c r="G1595" t="s">
        <v>106</v>
      </c>
      <c r="H1595" t="s">
        <v>31</v>
      </c>
      <c r="I1595" t="s">
        <v>40</v>
      </c>
      <c r="J1595" t="s">
        <v>33</v>
      </c>
      <c r="K1595">
        <v>4.9000000000000004</v>
      </c>
      <c r="L1595" t="s">
        <v>23</v>
      </c>
      <c r="M1595" t="s">
        <v>41</v>
      </c>
      <c r="N1595" t="s">
        <v>34</v>
      </c>
      <c r="O1595">
        <v>25</v>
      </c>
      <c r="P1595" t="s">
        <v>88</v>
      </c>
      <c r="Q1595" t="s">
        <v>42</v>
      </c>
      <c r="R1595" s="1">
        <v>0.1</v>
      </c>
      <c r="S1595">
        <f t="shared" si="96"/>
        <v>85.5</v>
      </c>
      <c r="T1595">
        <f>IFERROR(VLOOKUP(A1595,Table1[[Customer ID]:[Discount Amount]], 6, FALSE),"Not Found")</f>
        <v>95</v>
      </c>
      <c r="U1595" t="str">
        <f t="shared" si="97"/>
        <v>Bank Transfer</v>
      </c>
      <c r="V1595" s="4" t="str">
        <f t="shared" si="98"/>
        <v>Normal</v>
      </c>
      <c r="W1595" s="4" t="str">
        <f t="shared" si="99"/>
        <v>Good</v>
      </c>
      <c r="X1595" s="4">
        <f>AVERAGE(Table1[Purchase Amount])</f>
        <v>129.48419400000012</v>
      </c>
    </row>
    <row r="1596" spans="1:24" ht="15" customHeight="1" x14ac:dyDescent="0.25">
      <c r="A1596">
        <v>1595</v>
      </c>
      <c r="B1596">
        <v>40</v>
      </c>
      <c r="C1596" t="s">
        <v>27</v>
      </c>
      <c r="D1596" t="s">
        <v>69</v>
      </c>
      <c r="E1596" t="s">
        <v>29</v>
      </c>
      <c r="F1596" s="2">
        <v>41</v>
      </c>
      <c r="G1596" t="s">
        <v>92</v>
      </c>
      <c r="H1596" t="s">
        <v>20</v>
      </c>
      <c r="I1596" t="s">
        <v>103</v>
      </c>
      <c r="J1596" t="s">
        <v>57</v>
      </c>
      <c r="K1596">
        <v>3.7</v>
      </c>
      <c r="L1596" t="s">
        <v>23</v>
      </c>
      <c r="M1596" t="s">
        <v>48</v>
      </c>
      <c r="N1596" t="s">
        <v>34</v>
      </c>
      <c r="O1596">
        <v>3</v>
      </c>
      <c r="P1596" t="s">
        <v>25</v>
      </c>
      <c r="Q1596" t="s">
        <v>89</v>
      </c>
      <c r="R1596" s="1">
        <v>0.1</v>
      </c>
      <c r="S1596">
        <f t="shared" si="96"/>
        <v>36.9</v>
      </c>
      <c r="T1596">
        <f>IFERROR(VLOOKUP(A1596,Table1[[Customer ID]:[Discount Amount]], 6, FALSE),"Not Found")</f>
        <v>41</v>
      </c>
      <c r="U1596" t="str">
        <f t="shared" si="97"/>
        <v>Cash</v>
      </c>
      <c r="V1596" s="4" t="str">
        <f t="shared" si="98"/>
        <v>Normal</v>
      </c>
      <c r="W1596" s="4" t="str">
        <f t="shared" si="99"/>
        <v>Good</v>
      </c>
      <c r="X1596" s="4">
        <f>AVERAGE(Table1[Purchase Amount])</f>
        <v>129.48419400000012</v>
      </c>
    </row>
    <row r="1597" spans="1:24" ht="15" customHeight="1" x14ac:dyDescent="0.25">
      <c r="A1597">
        <v>1596</v>
      </c>
      <c r="B1597">
        <v>34</v>
      </c>
      <c r="C1597" t="s">
        <v>27</v>
      </c>
      <c r="D1597" t="s">
        <v>104</v>
      </c>
      <c r="E1597" t="s">
        <v>29</v>
      </c>
      <c r="F1597" s="2">
        <v>35</v>
      </c>
      <c r="G1597" t="s">
        <v>59</v>
      </c>
      <c r="H1597" t="s">
        <v>55</v>
      </c>
      <c r="I1597" t="s">
        <v>87</v>
      </c>
      <c r="J1597" t="s">
        <v>33</v>
      </c>
      <c r="K1597">
        <v>3.5</v>
      </c>
      <c r="L1597" t="s">
        <v>23</v>
      </c>
      <c r="M1597" t="s">
        <v>24</v>
      </c>
      <c r="N1597" t="s">
        <v>34</v>
      </c>
      <c r="O1597">
        <v>45</v>
      </c>
      <c r="P1597" t="s">
        <v>36</v>
      </c>
      <c r="Q1597" t="s">
        <v>89</v>
      </c>
      <c r="R1597" s="1">
        <v>0.1</v>
      </c>
      <c r="S1597">
        <f t="shared" si="96"/>
        <v>31.5</v>
      </c>
      <c r="T1597">
        <f>IFERROR(VLOOKUP(A1597,Table1[[Customer ID]:[Discount Amount]], 6, FALSE),"Not Found")</f>
        <v>35</v>
      </c>
      <c r="U1597" t="str">
        <f t="shared" si="97"/>
        <v>Debit Card</v>
      </c>
      <c r="V1597" s="4" t="str">
        <f t="shared" si="98"/>
        <v>Normal</v>
      </c>
      <c r="W1597" s="4" t="str">
        <f t="shared" si="99"/>
        <v>Good</v>
      </c>
      <c r="X1597" s="4">
        <f>AVERAGE(Table1[Purchase Amount])</f>
        <v>129.48419400000012</v>
      </c>
    </row>
    <row r="1598" spans="1:24" ht="15" customHeight="1" x14ac:dyDescent="0.25">
      <c r="A1598">
        <v>1597</v>
      </c>
      <c r="B1598">
        <v>42</v>
      </c>
      <c r="C1598" t="s">
        <v>27</v>
      </c>
      <c r="D1598" t="s">
        <v>50</v>
      </c>
      <c r="E1598" t="s">
        <v>29</v>
      </c>
      <c r="F1598" s="2">
        <v>30</v>
      </c>
      <c r="G1598" t="s">
        <v>149</v>
      </c>
      <c r="H1598" t="s">
        <v>55</v>
      </c>
      <c r="I1598" t="s">
        <v>136</v>
      </c>
      <c r="J1598" t="s">
        <v>47</v>
      </c>
      <c r="K1598">
        <v>4.7</v>
      </c>
      <c r="L1598" t="s">
        <v>23</v>
      </c>
      <c r="M1598" t="s">
        <v>48</v>
      </c>
      <c r="N1598" t="s">
        <v>34</v>
      </c>
      <c r="O1598">
        <v>15</v>
      </c>
      <c r="P1598" t="s">
        <v>36</v>
      </c>
      <c r="Q1598" t="s">
        <v>42</v>
      </c>
      <c r="R1598" s="1">
        <v>0.1</v>
      </c>
      <c r="S1598">
        <f t="shared" si="96"/>
        <v>27</v>
      </c>
      <c r="T1598">
        <f>IFERROR(VLOOKUP(A1598,Table1[[Customer ID]:[Discount Amount]], 6, FALSE),"Not Found")</f>
        <v>30</v>
      </c>
      <c r="U1598" t="str">
        <f t="shared" si="97"/>
        <v>Debit Card</v>
      </c>
      <c r="V1598" s="4" t="str">
        <f t="shared" si="98"/>
        <v>Normal</v>
      </c>
      <c r="W1598" s="4" t="str">
        <f t="shared" si="99"/>
        <v>Good</v>
      </c>
      <c r="X1598" s="4">
        <f>AVERAGE(Table1[Purchase Amount])</f>
        <v>129.48419400000012</v>
      </c>
    </row>
    <row r="1599" spans="1:24" ht="15" customHeight="1" x14ac:dyDescent="0.25">
      <c r="A1599">
        <v>1598</v>
      </c>
      <c r="B1599">
        <v>43</v>
      </c>
      <c r="C1599" t="s">
        <v>27</v>
      </c>
      <c r="D1599" t="s">
        <v>64</v>
      </c>
      <c r="E1599" t="s">
        <v>29</v>
      </c>
      <c r="F1599" s="2">
        <v>21</v>
      </c>
      <c r="G1599" t="s">
        <v>149</v>
      </c>
      <c r="H1599" t="s">
        <v>20</v>
      </c>
      <c r="I1599" t="s">
        <v>125</v>
      </c>
      <c r="J1599" t="s">
        <v>22</v>
      </c>
      <c r="K1599">
        <v>2.6</v>
      </c>
      <c r="L1599" t="s">
        <v>23</v>
      </c>
      <c r="M1599" t="s">
        <v>48</v>
      </c>
      <c r="N1599" t="s">
        <v>34</v>
      </c>
      <c r="O1599">
        <v>34</v>
      </c>
      <c r="P1599" t="s">
        <v>88</v>
      </c>
      <c r="Q1599" t="s">
        <v>37</v>
      </c>
      <c r="R1599" s="1">
        <v>0.1</v>
      </c>
      <c r="S1599">
        <f t="shared" si="96"/>
        <v>18.899999999999999</v>
      </c>
      <c r="T1599">
        <f>IFERROR(VLOOKUP(A1599,Table1[[Customer ID]:[Discount Amount]], 6, FALSE),"Not Found")</f>
        <v>21</v>
      </c>
      <c r="U1599" t="str">
        <f t="shared" si="97"/>
        <v>Bank Transfer</v>
      </c>
      <c r="V1599" s="4" t="str">
        <f t="shared" si="98"/>
        <v>Normal</v>
      </c>
      <c r="W1599" s="4" t="str">
        <f t="shared" si="99"/>
        <v>Poor</v>
      </c>
      <c r="X1599" s="4">
        <f>AVERAGE(Table1[Purchase Amount])</f>
        <v>129.48419400000012</v>
      </c>
    </row>
    <row r="1600" spans="1:24" ht="15" customHeight="1" x14ac:dyDescent="0.25">
      <c r="A1600">
        <v>1599</v>
      </c>
      <c r="B1600">
        <v>47</v>
      </c>
      <c r="C1600" t="s">
        <v>27</v>
      </c>
      <c r="D1600" t="s">
        <v>50</v>
      </c>
      <c r="E1600" t="s">
        <v>29</v>
      </c>
      <c r="F1600" s="2">
        <v>85</v>
      </c>
      <c r="G1600" t="s">
        <v>19</v>
      </c>
      <c r="H1600" t="s">
        <v>31</v>
      </c>
      <c r="I1600" t="s">
        <v>147</v>
      </c>
      <c r="J1600" t="s">
        <v>47</v>
      </c>
      <c r="K1600">
        <v>4.0999999999999996</v>
      </c>
      <c r="L1600" t="s">
        <v>23</v>
      </c>
      <c r="M1600" t="s">
        <v>61</v>
      </c>
      <c r="N1600" t="s">
        <v>34</v>
      </c>
      <c r="O1600">
        <v>21</v>
      </c>
      <c r="P1600" t="s">
        <v>62</v>
      </c>
      <c r="Q1600" t="s">
        <v>68</v>
      </c>
      <c r="R1600" s="1">
        <v>0.1</v>
      </c>
      <c r="S1600">
        <f t="shared" si="96"/>
        <v>76.5</v>
      </c>
      <c r="T1600">
        <f>IFERROR(VLOOKUP(A1600,Table1[[Customer ID]:[Discount Amount]], 6, FALSE),"Not Found")</f>
        <v>85</v>
      </c>
      <c r="U1600" t="str">
        <f t="shared" si="97"/>
        <v>Venmo</v>
      </c>
      <c r="V1600" s="4" t="str">
        <f t="shared" si="98"/>
        <v>Normal</v>
      </c>
      <c r="W1600" s="4" t="str">
        <f t="shared" si="99"/>
        <v>Good</v>
      </c>
      <c r="X1600" s="4">
        <f>AVERAGE(Table1[Purchase Amount])</f>
        <v>129.48419400000012</v>
      </c>
    </row>
    <row r="1601" spans="1:24" ht="15" customHeight="1" x14ac:dyDescent="0.25">
      <c r="A1601">
        <v>1600</v>
      </c>
      <c r="B1601">
        <v>48</v>
      </c>
      <c r="C1601" t="s">
        <v>27</v>
      </c>
      <c r="D1601" t="s">
        <v>38</v>
      </c>
      <c r="E1601" t="s">
        <v>18</v>
      </c>
      <c r="F1601" s="2">
        <v>54</v>
      </c>
      <c r="G1601" t="s">
        <v>143</v>
      </c>
      <c r="H1601" t="s">
        <v>31</v>
      </c>
      <c r="I1601" t="s">
        <v>108</v>
      </c>
      <c r="J1601" t="s">
        <v>22</v>
      </c>
      <c r="K1601">
        <v>2.8</v>
      </c>
      <c r="L1601" t="s">
        <v>23</v>
      </c>
      <c r="M1601" t="s">
        <v>41</v>
      </c>
      <c r="N1601" t="s">
        <v>34</v>
      </c>
      <c r="O1601">
        <v>22</v>
      </c>
      <c r="P1601" t="s">
        <v>36</v>
      </c>
      <c r="Q1601" t="s">
        <v>68</v>
      </c>
      <c r="R1601" s="1">
        <v>0.1</v>
      </c>
      <c r="S1601">
        <f t="shared" si="96"/>
        <v>48.6</v>
      </c>
      <c r="T1601">
        <f>IFERROR(VLOOKUP(A1601,Table1[[Customer ID]:[Discount Amount]], 6, FALSE),"Not Found")</f>
        <v>54</v>
      </c>
      <c r="U1601" t="str">
        <f t="shared" si="97"/>
        <v>Debit Card</v>
      </c>
      <c r="V1601" s="4" t="str">
        <f t="shared" si="98"/>
        <v>Normal</v>
      </c>
      <c r="W1601" s="4" t="str">
        <f t="shared" si="99"/>
        <v>Poor</v>
      </c>
      <c r="X1601" s="4">
        <f>AVERAGE(Table1[Purchase Amount])</f>
        <v>129.48419400000012</v>
      </c>
    </row>
    <row r="1602" spans="1:24" ht="15" customHeight="1" x14ac:dyDescent="0.25">
      <c r="A1602">
        <v>1601</v>
      </c>
      <c r="B1602">
        <v>20</v>
      </c>
      <c r="C1602" t="s">
        <v>27</v>
      </c>
      <c r="D1602" t="s">
        <v>151</v>
      </c>
      <c r="E1602" t="s">
        <v>98</v>
      </c>
      <c r="F1602" s="2">
        <v>26</v>
      </c>
      <c r="G1602" t="s">
        <v>39</v>
      </c>
      <c r="H1602" t="s">
        <v>55</v>
      </c>
      <c r="I1602" t="s">
        <v>52</v>
      </c>
      <c r="J1602" t="s">
        <v>33</v>
      </c>
      <c r="K1602">
        <v>4.7</v>
      </c>
      <c r="L1602" t="s">
        <v>23</v>
      </c>
      <c r="M1602" t="s">
        <v>79</v>
      </c>
      <c r="N1602" t="s">
        <v>34</v>
      </c>
      <c r="O1602">
        <v>24</v>
      </c>
      <c r="P1602" t="s">
        <v>58</v>
      </c>
      <c r="Q1602" t="s">
        <v>26</v>
      </c>
      <c r="R1602" s="1">
        <v>0.1</v>
      </c>
      <c r="S1602">
        <f t="shared" ref="S1602:S1665" si="100">F1602-(F1602*R1602)</f>
        <v>23.4</v>
      </c>
      <c r="T1602">
        <f>IFERROR(VLOOKUP(A1602,Table1[[Customer ID]:[Discount Amount]], 6, FALSE),"Not Found")</f>
        <v>26</v>
      </c>
      <c r="U1602" t="str">
        <f t="shared" ref="U1602:U1665" si="101">INDEX(P:P, MATCH(A1602, A:A, 0))</f>
        <v>PayPal</v>
      </c>
      <c r="V1602" s="4" t="str">
        <f t="shared" ref="V1602:V1665" si="102">IF(AND(F1602&gt;1000,K1602&gt;=4),"Best Customer","Normal")</f>
        <v>Normal</v>
      </c>
      <c r="W1602" s="4" t="str">
        <f t="shared" ref="W1602:W1665" si="103">IF(K1602&gt;=3,"Good","Poor")</f>
        <v>Good</v>
      </c>
      <c r="X1602" s="4">
        <f>AVERAGE(Table1[Purchase Amount])</f>
        <v>129.48419400000012</v>
      </c>
    </row>
    <row r="1603" spans="1:24" ht="15" customHeight="1" x14ac:dyDescent="0.25">
      <c r="A1603">
        <v>1602</v>
      </c>
      <c r="B1603">
        <v>65</v>
      </c>
      <c r="C1603" t="s">
        <v>27</v>
      </c>
      <c r="D1603" t="s">
        <v>38</v>
      </c>
      <c r="E1603" t="s">
        <v>18</v>
      </c>
      <c r="F1603" s="2">
        <v>59</v>
      </c>
      <c r="G1603" t="s">
        <v>102</v>
      </c>
      <c r="H1603" t="s">
        <v>20</v>
      </c>
      <c r="I1603" t="s">
        <v>46</v>
      </c>
      <c r="J1603" t="s">
        <v>33</v>
      </c>
      <c r="K1603">
        <v>2.9</v>
      </c>
      <c r="L1603" t="s">
        <v>23</v>
      </c>
      <c r="M1603" t="s">
        <v>48</v>
      </c>
      <c r="N1603" t="s">
        <v>34</v>
      </c>
      <c r="O1603">
        <v>33</v>
      </c>
      <c r="P1603" t="s">
        <v>53</v>
      </c>
      <c r="Q1603" t="s">
        <v>42</v>
      </c>
      <c r="R1603" s="1">
        <v>0.1</v>
      </c>
      <c r="S1603">
        <f t="shared" si="100"/>
        <v>53.1</v>
      </c>
      <c r="T1603">
        <f>IFERROR(VLOOKUP(A1603,Table1[[Customer ID]:[Discount Amount]], 6, FALSE),"Not Found")</f>
        <v>59</v>
      </c>
      <c r="U1603" t="str">
        <f t="shared" si="101"/>
        <v>Credit Card</v>
      </c>
      <c r="V1603" s="4" t="str">
        <f t="shared" si="102"/>
        <v>Normal</v>
      </c>
      <c r="W1603" s="4" t="str">
        <f t="shared" si="103"/>
        <v>Poor</v>
      </c>
      <c r="X1603" s="4">
        <f>AVERAGE(Table1[Purchase Amount])</f>
        <v>129.48419400000012</v>
      </c>
    </row>
    <row r="1604" spans="1:24" ht="15" customHeight="1" x14ac:dyDescent="0.25">
      <c r="A1604">
        <v>1603</v>
      </c>
      <c r="B1604">
        <v>54</v>
      </c>
      <c r="C1604" t="s">
        <v>27</v>
      </c>
      <c r="D1604" t="s">
        <v>28</v>
      </c>
      <c r="E1604" t="s">
        <v>29</v>
      </c>
      <c r="F1604" s="2">
        <v>48</v>
      </c>
      <c r="G1604" t="s">
        <v>154</v>
      </c>
      <c r="H1604" t="s">
        <v>55</v>
      </c>
      <c r="I1604" t="s">
        <v>103</v>
      </c>
      <c r="J1604" t="s">
        <v>22</v>
      </c>
      <c r="K1604">
        <v>2.8</v>
      </c>
      <c r="L1604" t="s">
        <v>23</v>
      </c>
      <c r="M1604" t="s">
        <v>35</v>
      </c>
      <c r="N1604" t="s">
        <v>34</v>
      </c>
      <c r="O1604">
        <v>13</v>
      </c>
      <c r="P1604" t="s">
        <v>62</v>
      </c>
      <c r="Q1604" t="s">
        <v>89</v>
      </c>
      <c r="R1604" s="1">
        <v>0.1</v>
      </c>
      <c r="S1604">
        <f t="shared" si="100"/>
        <v>43.2</v>
      </c>
      <c r="T1604">
        <f>IFERROR(VLOOKUP(A1604,Table1[[Customer ID]:[Discount Amount]], 6, FALSE),"Not Found")</f>
        <v>48</v>
      </c>
      <c r="U1604" t="str">
        <f t="shared" si="101"/>
        <v>Venmo</v>
      </c>
      <c r="V1604" s="4" t="str">
        <f t="shared" si="102"/>
        <v>Normal</v>
      </c>
      <c r="W1604" s="4" t="str">
        <f t="shared" si="103"/>
        <v>Poor</v>
      </c>
      <c r="X1604" s="4">
        <f>AVERAGE(Table1[Purchase Amount])</f>
        <v>129.48419400000012</v>
      </c>
    </row>
    <row r="1605" spans="1:24" ht="15" customHeight="1" x14ac:dyDescent="0.25">
      <c r="A1605">
        <v>1604</v>
      </c>
      <c r="B1605">
        <v>23</v>
      </c>
      <c r="C1605" t="s">
        <v>27</v>
      </c>
      <c r="D1605" t="s">
        <v>54</v>
      </c>
      <c r="E1605" t="s">
        <v>18</v>
      </c>
      <c r="F1605" s="2">
        <v>98</v>
      </c>
      <c r="G1605" t="s">
        <v>141</v>
      </c>
      <c r="H1605" t="s">
        <v>45</v>
      </c>
      <c r="I1605" t="s">
        <v>40</v>
      </c>
      <c r="J1605" t="s">
        <v>57</v>
      </c>
      <c r="K1605">
        <v>4.3</v>
      </c>
      <c r="L1605" t="s">
        <v>23</v>
      </c>
      <c r="M1605" t="s">
        <v>79</v>
      </c>
      <c r="N1605" t="s">
        <v>34</v>
      </c>
      <c r="O1605">
        <v>17</v>
      </c>
      <c r="P1605" t="s">
        <v>36</v>
      </c>
      <c r="Q1605" t="s">
        <v>68</v>
      </c>
      <c r="R1605" s="1">
        <v>0.1</v>
      </c>
      <c r="S1605">
        <f t="shared" si="100"/>
        <v>88.2</v>
      </c>
      <c r="T1605">
        <f>IFERROR(VLOOKUP(A1605,Table1[[Customer ID]:[Discount Amount]], 6, FALSE),"Not Found")</f>
        <v>98</v>
      </c>
      <c r="U1605" t="str">
        <f t="shared" si="101"/>
        <v>Debit Card</v>
      </c>
      <c r="V1605" s="4" t="str">
        <f t="shared" si="102"/>
        <v>Normal</v>
      </c>
      <c r="W1605" s="4" t="str">
        <f t="shared" si="103"/>
        <v>Good</v>
      </c>
      <c r="X1605" s="4">
        <f>AVERAGE(Table1[Purchase Amount])</f>
        <v>129.48419400000012</v>
      </c>
    </row>
    <row r="1606" spans="1:24" ht="15" customHeight="1" x14ac:dyDescent="0.25">
      <c r="A1606">
        <v>1605</v>
      </c>
      <c r="B1606">
        <v>18</v>
      </c>
      <c r="C1606" t="s">
        <v>27</v>
      </c>
      <c r="D1606" t="s">
        <v>127</v>
      </c>
      <c r="E1606" t="s">
        <v>18</v>
      </c>
      <c r="F1606" s="2">
        <v>92</v>
      </c>
      <c r="G1606" t="s">
        <v>94</v>
      </c>
      <c r="H1606" t="s">
        <v>31</v>
      </c>
      <c r="I1606" t="s">
        <v>32</v>
      </c>
      <c r="J1606" t="s">
        <v>57</v>
      </c>
      <c r="K1606">
        <v>4.8</v>
      </c>
      <c r="L1606" t="s">
        <v>23</v>
      </c>
      <c r="M1606" t="s">
        <v>41</v>
      </c>
      <c r="N1606" t="s">
        <v>34</v>
      </c>
      <c r="O1606">
        <v>25</v>
      </c>
      <c r="P1606" t="s">
        <v>53</v>
      </c>
      <c r="Q1606" t="s">
        <v>63</v>
      </c>
      <c r="R1606" s="1">
        <v>0.1</v>
      </c>
      <c r="S1606">
        <f t="shared" si="100"/>
        <v>82.8</v>
      </c>
      <c r="T1606">
        <f>IFERROR(VLOOKUP(A1606,Table1[[Customer ID]:[Discount Amount]], 6, FALSE),"Not Found")</f>
        <v>92</v>
      </c>
      <c r="U1606" t="str">
        <f t="shared" si="101"/>
        <v>Credit Card</v>
      </c>
      <c r="V1606" s="4" t="str">
        <f t="shared" si="102"/>
        <v>Normal</v>
      </c>
      <c r="W1606" s="4" t="str">
        <f t="shared" si="103"/>
        <v>Good</v>
      </c>
      <c r="X1606" s="4">
        <f>AVERAGE(Table1[Purchase Amount])</f>
        <v>129.48419400000012</v>
      </c>
    </row>
    <row r="1607" spans="1:24" ht="15" customHeight="1" x14ac:dyDescent="0.25">
      <c r="A1607">
        <v>1606</v>
      </c>
      <c r="B1607">
        <v>70</v>
      </c>
      <c r="C1607" t="s">
        <v>27</v>
      </c>
      <c r="D1607" t="s">
        <v>114</v>
      </c>
      <c r="E1607" t="s">
        <v>29</v>
      </c>
      <c r="F1607" s="2">
        <v>46</v>
      </c>
      <c r="G1607" t="s">
        <v>115</v>
      </c>
      <c r="H1607" t="s">
        <v>31</v>
      </c>
      <c r="I1607" t="s">
        <v>107</v>
      </c>
      <c r="J1607" t="s">
        <v>22</v>
      </c>
      <c r="K1607">
        <v>3.4</v>
      </c>
      <c r="L1607" t="s">
        <v>23</v>
      </c>
      <c r="M1607" t="s">
        <v>79</v>
      </c>
      <c r="N1607" t="s">
        <v>34</v>
      </c>
      <c r="O1607">
        <v>15</v>
      </c>
      <c r="P1607" t="s">
        <v>53</v>
      </c>
      <c r="Q1607" t="s">
        <v>68</v>
      </c>
      <c r="R1607" s="1">
        <v>0.1</v>
      </c>
      <c r="S1607">
        <f t="shared" si="100"/>
        <v>41.4</v>
      </c>
      <c r="T1607">
        <f>IFERROR(VLOOKUP(A1607,Table1[[Customer ID]:[Discount Amount]], 6, FALSE),"Not Found")</f>
        <v>46</v>
      </c>
      <c r="U1607" t="str">
        <f t="shared" si="101"/>
        <v>Credit Card</v>
      </c>
      <c r="V1607" s="4" t="str">
        <f t="shared" si="102"/>
        <v>Normal</v>
      </c>
      <c r="W1607" s="4" t="str">
        <f t="shared" si="103"/>
        <v>Good</v>
      </c>
      <c r="X1607" s="4">
        <f>AVERAGE(Table1[Purchase Amount])</f>
        <v>129.48419400000012</v>
      </c>
    </row>
    <row r="1608" spans="1:24" ht="15" customHeight="1" x14ac:dyDescent="0.25">
      <c r="A1608">
        <v>1607</v>
      </c>
      <c r="B1608">
        <v>55</v>
      </c>
      <c r="C1608" t="s">
        <v>27</v>
      </c>
      <c r="D1608" t="s">
        <v>17</v>
      </c>
      <c r="E1608" t="s">
        <v>18</v>
      </c>
      <c r="F1608" s="2">
        <v>21</v>
      </c>
      <c r="G1608" t="s">
        <v>124</v>
      </c>
      <c r="H1608" t="s">
        <v>55</v>
      </c>
      <c r="I1608" t="s">
        <v>32</v>
      </c>
      <c r="J1608" t="s">
        <v>33</v>
      </c>
      <c r="K1608">
        <v>4.3</v>
      </c>
      <c r="L1608" t="s">
        <v>23</v>
      </c>
      <c r="M1608" t="s">
        <v>24</v>
      </c>
      <c r="N1608" t="s">
        <v>34</v>
      </c>
      <c r="O1608">
        <v>4</v>
      </c>
      <c r="P1608" t="s">
        <v>58</v>
      </c>
      <c r="Q1608" t="s">
        <v>89</v>
      </c>
      <c r="R1608" s="1">
        <v>0.1</v>
      </c>
      <c r="S1608">
        <f t="shared" si="100"/>
        <v>18.899999999999999</v>
      </c>
      <c r="T1608">
        <f>IFERROR(VLOOKUP(A1608,Table1[[Customer ID]:[Discount Amount]], 6, FALSE),"Not Found")</f>
        <v>21</v>
      </c>
      <c r="U1608" t="str">
        <f t="shared" si="101"/>
        <v>PayPal</v>
      </c>
      <c r="V1608" s="4" t="str">
        <f t="shared" si="102"/>
        <v>Normal</v>
      </c>
      <c r="W1608" s="4" t="str">
        <f t="shared" si="103"/>
        <v>Good</v>
      </c>
      <c r="X1608" s="4">
        <f>AVERAGE(Table1[Purchase Amount])</f>
        <v>129.48419400000012</v>
      </c>
    </row>
    <row r="1609" spans="1:24" ht="15" customHeight="1" x14ac:dyDescent="0.25">
      <c r="A1609">
        <v>1608</v>
      </c>
      <c r="B1609">
        <v>49</v>
      </c>
      <c r="C1609" t="s">
        <v>27</v>
      </c>
      <c r="D1609" t="s">
        <v>54</v>
      </c>
      <c r="E1609" t="s">
        <v>18</v>
      </c>
      <c r="F1609" s="2">
        <v>72</v>
      </c>
      <c r="G1609" t="s">
        <v>84</v>
      </c>
      <c r="H1609" t="s">
        <v>55</v>
      </c>
      <c r="I1609" t="s">
        <v>85</v>
      </c>
      <c r="J1609" t="s">
        <v>47</v>
      </c>
      <c r="K1609">
        <v>2.7</v>
      </c>
      <c r="L1609" t="s">
        <v>23</v>
      </c>
      <c r="M1609" t="s">
        <v>35</v>
      </c>
      <c r="N1609" t="s">
        <v>34</v>
      </c>
      <c r="O1609">
        <v>43</v>
      </c>
      <c r="P1609" t="s">
        <v>36</v>
      </c>
      <c r="Q1609" t="s">
        <v>37</v>
      </c>
      <c r="R1609" s="1">
        <v>0.1</v>
      </c>
      <c r="S1609">
        <f t="shared" si="100"/>
        <v>64.8</v>
      </c>
      <c r="T1609">
        <f>IFERROR(VLOOKUP(A1609,Table1[[Customer ID]:[Discount Amount]], 6, FALSE),"Not Found")</f>
        <v>72</v>
      </c>
      <c r="U1609" t="str">
        <f t="shared" si="101"/>
        <v>Debit Card</v>
      </c>
      <c r="V1609" s="4" t="str">
        <f t="shared" si="102"/>
        <v>Normal</v>
      </c>
      <c r="W1609" s="4" t="str">
        <f t="shared" si="103"/>
        <v>Poor</v>
      </c>
      <c r="X1609" s="4">
        <f>AVERAGE(Table1[Purchase Amount])</f>
        <v>129.48419400000012</v>
      </c>
    </row>
    <row r="1610" spans="1:24" ht="15" customHeight="1" x14ac:dyDescent="0.25">
      <c r="A1610">
        <v>1609</v>
      </c>
      <c r="B1610">
        <v>26</v>
      </c>
      <c r="C1610" t="s">
        <v>27</v>
      </c>
      <c r="D1610" t="s">
        <v>121</v>
      </c>
      <c r="E1610" t="s">
        <v>98</v>
      </c>
      <c r="F1610" s="2">
        <v>58</v>
      </c>
      <c r="G1610" t="s">
        <v>137</v>
      </c>
      <c r="H1610" t="s">
        <v>20</v>
      </c>
      <c r="I1610" t="s">
        <v>128</v>
      </c>
      <c r="J1610" t="s">
        <v>47</v>
      </c>
      <c r="K1610">
        <v>4.5999999999999996</v>
      </c>
      <c r="L1610" t="s">
        <v>23</v>
      </c>
      <c r="M1610" t="s">
        <v>79</v>
      </c>
      <c r="N1610" t="s">
        <v>34</v>
      </c>
      <c r="O1610">
        <v>12</v>
      </c>
      <c r="P1610" t="s">
        <v>88</v>
      </c>
      <c r="Q1610" t="s">
        <v>68</v>
      </c>
      <c r="R1610" s="1">
        <v>0.1</v>
      </c>
      <c r="S1610">
        <f t="shared" si="100"/>
        <v>52.2</v>
      </c>
      <c r="T1610">
        <f>IFERROR(VLOOKUP(A1610,Table1[[Customer ID]:[Discount Amount]], 6, FALSE),"Not Found")</f>
        <v>58</v>
      </c>
      <c r="U1610" t="str">
        <f t="shared" si="101"/>
        <v>Bank Transfer</v>
      </c>
      <c r="V1610" s="4" t="str">
        <f t="shared" si="102"/>
        <v>Normal</v>
      </c>
      <c r="W1610" s="4" t="str">
        <f t="shared" si="103"/>
        <v>Good</v>
      </c>
      <c r="X1610" s="4">
        <f>AVERAGE(Table1[Purchase Amount])</f>
        <v>129.48419400000012</v>
      </c>
    </row>
    <row r="1611" spans="1:24" ht="15" customHeight="1" x14ac:dyDescent="0.25">
      <c r="A1611">
        <v>1610</v>
      </c>
      <c r="B1611">
        <v>33</v>
      </c>
      <c r="C1611" t="s">
        <v>27</v>
      </c>
      <c r="D1611" t="s">
        <v>38</v>
      </c>
      <c r="E1611" t="s">
        <v>18</v>
      </c>
      <c r="F1611" s="2">
        <v>93</v>
      </c>
      <c r="G1611" t="s">
        <v>158</v>
      </c>
      <c r="H1611" t="s">
        <v>55</v>
      </c>
      <c r="I1611" t="s">
        <v>60</v>
      </c>
      <c r="J1611" t="s">
        <v>47</v>
      </c>
      <c r="K1611">
        <v>4.0999999999999996</v>
      </c>
      <c r="L1611" t="s">
        <v>23</v>
      </c>
      <c r="M1611" t="s">
        <v>24</v>
      </c>
      <c r="N1611" t="s">
        <v>34</v>
      </c>
      <c r="O1611">
        <v>3</v>
      </c>
      <c r="P1611" t="s">
        <v>62</v>
      </c>
      <c r="Q1611" t="s">
        <v>42</v>
      </c>
      <c r="R1611" s="1">
        <v>0.1</v>
      </c>
      <c r="S1611">
        <f t="shared" si="100"/>
        <v>83.7</v>
      </c>
      <c r="T1611">
        <f>IFERROR(VLOOKUP(A1611,Table1[[Customer ID]:[Discount Amount]], 6, FALSE),"Not Found")</f>
        <v>93</v>
      </c>
      <c r="U1611" t="str">
        <f t="shared" si="101"/>
        <v>Venmo</v>
      </c>
      <c r="V1611" s="4" t="str">
        <f t="shared" si="102"/>
        <v>Normal</v>
      </c>
      <c r="W1611" s="4" t="str">
        <f t="shared" si="103"/>
        <v>Good</v>
      </c>
      <c r="X1611" s="4">
        <f>AVERAGE(Table1[Purchase Amount])</f>
        <v>129.48419400000012</v>
      </c>
    </row>
    <row r="1612" spans="1:24" ht="15" customHeight="1" x14ac:dyDescent="0.25">
      <c r="A1612">
        <v>1611</v>
      </c>
      <c r="B1612">
        <v>20</v>
      </c>
      <c r="C1612" t="s">
        <v>27</v>
      </c>
      <c r="D1612" t="s">
        <v>105</v>
      </c>
      <c r="E1612" t="s">
        <v>18</v>
      </c>
      <c r="F1612" s="2">
        <v>31</v>
      </c>
      <c r="G1612" t="s">
        <v>65</v>
      </c>
      <c r="H1612" t="s">
        <v>45</v>
      </c>
      <c r="I1612" t="s">
        <v>66</v>
      </c>
      <c r="J1612" t="s">
        <v>33</v>
      </c>
      <c r="K1612">
        <v>3.4</v>
      </c>
      <c r="L1612" t="s">
        <v>23</v>
      </c>
      <c r="M1612" t="s">
        <v>41</v>
      </c>
      <c r="N1612" t="s">
        <v>34</v>
      </c>
      <c r="O1612">
        <v>1</v>
      </c>
      <c r="P1612" t="s">
        <v>58</v>
      </c>
      <c r="Q1612" t="s">
        <v>49</v>
      </c>
      <c r="R1612" s="1">
        <v>0.1</v>
      </c>
      <c r="S1612">
        <f t="shared" si="100"/>
        <v>27.9</v>
      </c>
      <c r="T1612">
        <f>IFERROR(VLOOKUP(A1612,Table1[[Customer ID]:[Discount Amount]], 6, FALSE),"Not Found")</f>
        <v>31</v>
      </c>
      <c r="U1612" t="str">
        <f t="shared" si="101"/>
        <v>PayPal</v>
      </c>
      <c r="V1612" s="4" t="str">
        <f t="shared" si="102"/>
        <v>Normal</v>
      </c>
      <c r="W1612" s="4" t="str">
        <f t="shared" si="103"/>
        <v>Good</v>
      </c>
      <c r="X1612" s="4">
        <f>AVERAGE(Table1[Purchase Amount])</f>
        <v>129.48419400000012</v>
      </c>
    </row>
    <row r="1613" spans="1:24" ht="15" customHeight="1" x14ac:dyDescent="0.25">
      <c r="A1613">
        <v>1612</v>
      </c>
      <c r="B1613">
        <v>41</v>
      </c>
      <c r="C1613" t="s">
        <v>27</v>
      </c>
      <c r="D1613" t="s">
        <v>99</v>
      </c>
      <c r="E1613" t="s">
        <v>18</v>
      </c>
      <c r="F1613" s="2">
        <v>26</v>
      </c>
      <c r="G1613" t="s">
        <v>100</v>
      </c>
      <c r="H1613" t="s">
        <v>45</v>
      </c>
      <c r="I1613" t="s">
        <v>52</v>
      </c>
      <c r="J1613" t="s">
        <v>22</v>
      </c>
      <c r="K1613">
        <v>4.5</v>
      </c>
      <c r="L1613" t="s">
        <v>23</v>
      </c>
      <c r="M1613" t="s">
        <v>79</v>
      </c>
      <c r="N1613" t="s">
        <v>34</v>
      </c>
      <c r="O1613">
        <v>6</v>
      </c>
      <c r="P1613" t="s">
        <v>36</v>
      </c>
      <c r="Q1613" t="s">
        <v>42</v>
      </c>
      <c r="R1613" s="1">
        <v>0.1</v>
      </c>
      <c r="S1613">
        <f t="shared" si="100"/>
        <v>23.4</v>
      </c>
      <c r="T1613">
        <f>IFERROR(VLOOKUP(A1613,Table1[[Customer ID]:[Discount Amount]], 6, FALSE),"Not Found")</f>
        <v>26</v>
      </c>
      <c r="U1613" t="str">
        <f t="shared" si="101"/>
        <v>Debit Card</v>
      </c>
      <c r="V1613" s="4" t="str">
        <f t="shared" si="102"/>
        <v>Normal</v>
      </c>
      <c r="W1613" s="4" t="str">
        <f t="shared" si="103"/>
        <v>Good</v>
      </c>
      <c r="X1613" s="4">
        <f>AVERAGE(Table1[Purchase Amount])</f>
        <v>129.48419400000012</v>
      </c>
    </row>
    <row r="1614" spans="1:24" ht="15" customHeight="1" x14ac:dyDescent="0.25">
      <c r="A1614">
        <v>1613</v>
      </c>
      <c r="B1614">
        <v>18</v>
      </c>
      <c r="C1614" t="s">
        <v>27</v>
      </c>
      <c r="D1614" t="s">
        <v>122</v>
      </c>
      <c r="E1614" t="s">
        <v>18</v>
      </c>
      <c r="F1614" s="2">
        <v>68</v>
      </c>
      <c r="G1614" t="s">
        <v>59</v>
      </c>
      <c r="H1614" t="s">
        <v>31</v>
      </c>
      <c r="I1614" t="s">
        <v>91</v>
      </c>
      <c r="J1614" t="s">
        <v>57</v>
      </c>
      <c r="K1614">
        <v>4.4000000000000004</v>
      </c>
      <c r="L1614" t="s">
        <v>23</v>
      </c>
      <c r="M1614" t="s">
        <v>24</v>
      </c>
      <c r="N1614" t="s">
        <v>34</v>
      </c>
      <c r="O1614">
        <v>26</v>
      </c>
      <c r="P1614" t="s">
        <v>62</v>
      </c>
      <c r="Q1614" t="s">
        <v>42</v>
      </c>
      <c r="R1614" s="1">
        <v>0.1</v>
      </c>
      <c r="S1614">
        <f t="shared" si="100"/>
        <v>61.2</v>
      </c>
      <c r="T1614">
        <f>IFERROR(VLOOKUP(A1614,Table1[[Customer ID]:[Discount Amount]], 6, FALSE),"Not Found")</f>
        <v>68</v>
      </c>
      <c r="U1614" t="str">
        <f t="shared" si="101"/>
        <v>Venmo</v>
      </c>
      <c r="V1614" s="4" t="str">
        <f t="shared" si="102"/>
        <v>Normal</v>
      </c>
      <c r="W1614" s="4" t="str">
        <f t="shared" si="103"/>
        <v>Good</v>
      </c>
      <c r="X1614" s="4">
        <f>AVERAGE(Table1[Purchase Amount])</f>
        <v>129.48419400000012</v>
      </c>
    </row>
    <row r="1615" spans="1:24" ht="15" customHeight="1" x14ac:dyDescent="0.25">
      <c r="A1615">
        <v>1614</v>
      </c>
      <c r="B1615">
        <v>26</v>
      </c>
      <c r="C1615" t="s">
        <v>27</v>
      </c>
      <c r="D1615" t="s">
        <v>50</v>
      </c>
      <c r="E1615" t="s">
        <v>29</v>
      </c>
      <c r="F1615" s="2">
        <v>31</v>
      </c>
      <c r="G1615" t="s">
        <v>44</v>
      </c>
      <c r="H1615" t="s">
        <v>55</v>
      </c>
      <c r="I1615" t="s">
        <v>40</v>
      </c>
      <c r="J1615" t="s">
        <v>57</v>
      </c>
      <c r="K1615">
        <v>4</v>
      </c>
      <c r="L1615" t="s">
        <v>23</v>
      </c>
      <c r="M1615" t="s">
        <v>79</v>
      </c>
      <c r="N1615" t="s">
        <v>34</v>
      </c>
      <c r="O1615">
        <v>6</v>
      </c>
      <c r="P1615" t="s">
        <v>53</v>
      </c>
      <c r="Q1615" t="s">
        <v>89</v>
      </c>
      <c r="R1615" s="1">
        <v>0.1</v>
      </c>
      <c r="S1615">
        <f t="shared" si="100"/>
        <v>27.9</v>
      </c>
      <c r="T1615">
        <f>IFERROR(VLOOKUP(A1615,Table1[[Customer ID]:[Discount Amount]], 6, FALSE),"Not Found")</f>
        <v>31</v>
      </c>
      <c r="U1615" t="str">
        <f t="shared" si="101"/>
        <v>Credit Card</v>
      </c>
      <c r="V1615" s="4" t="str">
        <f t="shared" si="102"/>
        <v>Normal</v>
      </c>
      <c r="W1615" s="4" t="str">
        <f t="shared" si="103"/>
        <v>Good</v>
      </c>
      <c r="X1615" s="4">
        <f>AVERAGE(Table1[Purchase Amount])</f>
        <v>129.48419400000012</v>
      </c>
    </row>
    <row r="1616" spans="1:24" ht="15" customHeight="1" x14ac:dyDescent="0.25">
      <c r="A1616">
        <v>1615</v>
      </c>
      <c r="B1616">
        <v>30</v>
      </c>
      <c r="C1616" t="s">
        <v>27</v>
      </c>
      <c r="D1616" t="s">
        <v>17</v>
      </c>
      <c r="E1616" t="s">
        <v>18</v>
      </c>
      <c r="F1616" s="2">
        <v>41</v>
      </c>
      <c r="G1616" t="s">
        <v>124</v>
      </c>
      <c r="H1616" t="s">
        <v>55</v>
      </c>
      <c r="I1616" t="s">
        <v>85</v>
      </c>
      <c r="J1616" t="s">
        <v>57</v>
      </c>
      <c r="K1616">
        <v>3.4</v>
      </c>
      <c r="L1616" t="s">
        <v>23</v>
      </c>
      <c r="M1616" t="s">
        <v>35</v>
      </c>
      <c r="N1616" t="s">
        <v>34</v>
      </c>
      <c r="O1616">
        <v>22</v>
      </c>
      <c r="P1616" t="s">
        <v>25</v>
      </c>
      <c r="Q1616" t="s">
        <v>68</v>
      </c>
      <c r="R1616" s="1">
        <v>0.1</v>
      </c>
      <c r="S1616">
        <f t="shared" si="100"/>
        <v>36.9</v>
      </c>
      <c r="T1616">
        <f>IFERROR(VLOOKUP(A1616,Table1[[Customer ID]:[Discount Amount]], 6, FALSE),"Not Found")</f>
        <v>41</v>
      </c>
      <c r="U1616" t="str">
        <f t="shared" si="101"/>
        <v>Cash</v>
      </c>
      <c r="V1616" s="4" t="str">
        <f t="shared" si="102"/>
        <v>Normal</v>
      </c>
      <c r="W1616" s="4" t="str">
        <f t="shared" si="103"/>
        <v>Good</v>
      </c>
      <c r="X1616" s="4">
        <f>AVERAGE(Table1[Purchase Amount])</f>
        <v>129.48419400000012</v>
      </c>
    </row>
    <row r="1617" spans="1:24" ht="15" customHeight="1" x14ac:dyDescent="0.25">
      <c r="A1617">
        <v>1616</v>
      </c>
      <c r="B1617">
        <v>64</v>
      </c>
      <c r="C1617" t="s">
        <v>27</v>
      </c>
      <c r="D1617" t="s">
        <v>50</v>
      </c>
      <c r="E1617" t="s">
        <v>29</v>
      </c>
      <c r="F1617" s="2">
        <v>62</v>
      </c>
      <c r="G1617" t="s">
        <v>101</v>
      </c>
      <c r="H1617" t="s">
        <v>31</v>
      </c>
      <c r="I1617" t="s">
        <v>91</v>
      </c>
      <c r="J1617" t="s">
        <v>47</v>
      </c>
      <c r="K1617">
        <v>3.2</v>
      </c>
      <c r="L1617" t="s">
        <v>23</v>
      </c>
      <c r="M1617" t="s">
        <v>24</v>
      </c>
      <c r="N1617" t="s">
        <v>34</v>
      </c>
      <c r="O1617">
        <v>45</v>
      </c>
      <c r="P1617" t="s">
        <v>25</v>
      </c>
      <c r="Q1617" t="s">
        <v>68</v>
      </c>
      <c r="R1617" s="1">
        <v>0.1</v>
      </c>
      <c r="S1617">
        <f t="shared" si="100"/>
        <v>55.8</v>
      </c>
      <c r="T1617">
        <f>IFERROR(VLOOKUP(A1617,Table1[[Customer ID]:[Discount Amount]], 6, FALSE),"Not Found")</f>
        <v>62</v>
      </c>
      <c r="U1617" t="str">
        <f t="shared" si="101"/>
        <v>Cash</v>
      </c>
      <c r="V1617" s="4" t="str">
        <f t="shared" si="102"/>
        <v>Normal</v>
      </c>
      <c r="W1617" s="4" t="str">
        <f t="shared" si="103"/>
        <v>Good</v>
      </c>
      <c r="X1617" s="4">
        <f>AVERAGE(Table1[Purchase Amount])</f>
        <v>129.48419400000012</v>
      </c>
    </row>
    <row r="1618" spans="1:24" ht="15" customHeight="1" x14ac:dyDescent="0.25">
      <c r="A1618">
        <v>1617</v>
      </c>
      <c r="B1618">
        <v>26</v>
      </c>
      <c r="C1618" t="s">
        <v>27</v>
      </c>
      <c r="D1618" t="s">
        <v>64</v>
      </c>
      <c r="E1618" t="s">
        <v>29</v>
      </c>
      <c r="F1618" s="2">
        <v>41</v>
      </c>
      <c r="G1618" t="s">
        <v>92</v>
      </c>
      <c r="H1618" t="s">
        <v>31</v>
      </c>
      <c r="I1618" t="s">
        <v>93</v>
      </c>
      <c r="J1618" t="s">
        <v>33</v>
      </c>
      <c r="K1618">
        <v>3.4</v>
      </c>
      <c r="L1618" t="s">
        <v>23</v>
      </c>
      <c r="M1618" t="s">
        <v>24</v>
      </c>
      <c r="N1618" t="s">
        <v>34</v>
      </c>
      <c r="O1618">
        <v>50</v>
      </c>
      <c r="P1618" t="s">
        <v>25</v>
      </c>
      <c r="Q1618" t="s">
        <v>37</v>
      </c>
      <c r="R1618" s="1">
        <v>0.1</v>
      </c>
      <c r="S1618">
        <f t="shared" si="100"/>
        <v>36.9</v>
      </c>
      <c r="T1618">
        <f>IFERROR(VLOOKUP(A1618,Table1[[Customer ID]:[Discount Amount]], 6, FALSE),"Not Found")</f>
        <v>41</v>
      </c>
      <c r="U1618" t="str">
        <f t="shared" si="101"/>
        <v>Cash</v>
      </c>
      <c r="V1618" s="4" t="str">
        <f t="shared" si="102"/>
        <v>Normal</v>
      </c>
      <c r="W1618" s="4" t="str">
        <f t="shared" si="103"/>
        <v>Good</v>
      </c>
      <c r="X1618" s="4">
        <f>AVERAGE(Table1[Purchase Amount])</f>
        <v>129.48419400000012</v>
      </c>
    </row>
    <row r="1619" spans="1:24" ht="15" customHeight="1" x14ac:dyDescent="0.25">
      <c r="A1619">
        <v>1618</v>
      </c>
      <c r="B1619">
        <v>43</v>
      </c>
      <c r="C1619" t="s">
        <v>27</v>
      </c>
      <c r="D1619" t="s">
        <v>118</v>
      </c>
      <c r="E1619" t="s">
        <v>18</v>
      </c>
      <c r="F1619" s="2">
        <v>64</v>
      </c>
      <c r="G1619" t="s">
        <v>59</v>
      </c>
      <c r="H1619" t="s">
        <v>31</v>
      </c>
      <c r="I1619" t="s">
        <v>145</v>
      </c>
      <c r="J1619" t="s">
        <v>22</v>
      </c>
      <c r="K1619">
        <v>4.3</v>
      </c>
      <c r="L1619" t="s">
        <v>23</v>
      </c>
      <c r="M1619" t="s">
        <v>24</v>
      </c>
      <c r="N1619" t="s">
        <v>34</v>
      </c>
      <c r="O1619">
        <v>50</v>
      </c>
      <c r="P1619" t="s">
        <v>53</v>
      </c>
      <c r="Q1619" t="s">
        <v>89</v>
      </c>
      <c r="R1619" s="1">
        <v>0.1</v>
      </c>
      <c r="S1619">
        <f t="shared" si="100"/>
        <v>57.6</v>
      </c>
      <c r="T1619">
        <f>IFERROR(VLOOKUP(A1619,Table1[[Customer ID]:[Discount Amount]], 6, FALSE),"Not Found")</f>
        <v>64</v>
      </c>
      <c r="U1619" t="str">
        <f t="shared" si="101"/>
        <v>Credit Card</v>
      </c>
      <c r="V1619" s="4" t="str">
        <f t="shared" si="102"/>
        <v>Normal</v>
      </c>
      <c r="W1619" s="4" t="str">
        <f t="shared" si="103"/>
        <v>Good</v>
      </c>
      <c r="X1619" s="4">
        <f>AVERAGE(Table1[Purchase Amount])</f>
        <v>129.48419400000012</v>
      </c>
    </row>
    <row r="1620" spans="1:24" ht="15" customHeight="1" x14ac:dyDescent="0.25">
      <c r="A1620">
        <v>1619</v>
      </c>
      <c r="B1620">
        <v>63</v>
      </c>
      <c r="C1620" t="s">
        <v>27</v>
      </c>
      <c r="D1620" t="s">
        <v>121</v>
      </c>
      <c r="E1620" t="s">
        <v>98</v>
      </c>
      <c r="F1620" s="2">
        <v>72</v>
      </c>
      <c r="G1620" t="s">
        <v>113</v>
      </c>
      <c r="H1620" t="s">
        <v>45</v>
      </c>
      <c r="I1620" t="s">
        <v>66</v>
      </c>
      <c r="J1620" t="s">
        <v>57</v>
      </c>
      <c r="K1620">
        <v>5</v>
      </c>
      <c r="L1620" t="s">
        <v>23</v>
      </c>
      <c r="M1620" t="s">
        <v>24</v>
      </c>
      <c r="N1620" t="s">
        <v>34</v>
      </c>
      <c r="O1620">
        <v>39</v>
      </c>
      <c r="P1620" t="s">
        <v>36</v>
      </c>
      <c r="Q1620" t="s">
        <v>37</v>
      </c>
      <c r="R1620" s="1">
        <v>0.1</v>
      </c>
      <c r="S1620">
        <f t="shared" si="100"/>
        <v>64.8</v>
      </c>
      <c r="T1620">
        <f>IFERROR(VLOOKUP(A1620,Table1[[Customer ID]:[Discount Amount]], 6, FALSE),"Not Found")</f>
        <v>72</v>
      </c>
      <c r="U1620" t="str">
        <f t="shared" si="101"/>
        <v>Debit Card</v>
      </c>
      <c r="V1620" s="4" t="str">
        <f t="shared" si="102"/>
        <v>Normal</v>
      </c>
      <c r="W1620" s="4" t="str">
        <f t="shared" si="103"/>
        <v>Good</v>
      </c>
      <c r="X1620" s="4">
        <f>AVERAGE(Table1[Purchase Amount])</f>
        <v>129.48419400000012</v>
      </c>
    </row>
    <row r="1621" spans="1:24" ht="15" customHeight="1" x14ac:dyDescent="0.25">
      <c r="A1621">
        <v>1620</v>
      </c>
      <c r="B1621">
        <v>57</v>
      </c>
      <c r="C1621" t="s">
        <v>27</v>
      </c>
      <c r="D1621" t="s">
        <v>69</v>
      </c>
      <c r="E1621" t="s">
        <v>29</v>
      </c>
      <c r="F1621" s="2">
        <v>78</v>
      </c>
      <c r="G1621" t="s">
        <v>135</v>
      </c>
      <c r="H1621" t="s">
        <v>45</v>
      </c>
      <c r="I1621" t="s">
        <v>56</v>
      </c>
      <c r="J1621" t="s">
        <v>22</v>
      </c>
      <c r="K1621">
        <v>3.5</v>
      </c>
      <c r="L1621" t="s">
        <v>23</v>
      </c>
      <c r="M1621" t="s">
        <v>48</v>
      </c>
      <c r="N1621" t="s">
        <v>34</v>
      </c>
      <c r="O1621">
        <v>50</v>
      </c>
      <c r="P1621" t="s">
        <v>62</v>
      </c>
      <c r="Q1621" t="s">
        <v>68</v>
      </c>
      <c r="R1621" s="1">
        <v>0.1</v>
      </c>
      <c r="S1621">
        <f t="shared" si="100"/>
        <v>70.2</v>
      </c>
      <c r="T1621">
        <f>IFERROR(VLOOKUP(A1621,Table1[[Customer ID]:[Discount Amount]], 6, FALSE),"Not Found")</f>
        <v>78</v>
      </c>
      <c r="U1621" t="str">
        <f t="shared" si="101"/>
        <v>Venmo</v>
      </c>
      <c r="V1621" s="4" t="str">
        <f t="shared" si="102"/>
        <v>Normal</v>
      </c>
      <c r="W1621" s="4" t="str">
        <f t="shared" si="103"/>
        <v>Good</v>
      </c>
      <c r="X1621" s="4">
        <f>AVERAGE(Table1[Purchase Amount])</f>
        <v>129.48419400000012</v>
      </c>
    </row>
    <row r="1622" spans="1:24" ht="15" customHeight="1" x14ac:dyDescent="0.25">
      <c r="A1622">
        <v>1621</v>
      </c>
      <c r="B1622">
        <v>25</v>
      </c>
      <c r="C1622" t="s">
        <v>27</v>
      </c>
      <c r="D1622" t="s">
        <v>64</v>
      </c>
      <c r="E1622" t="s">
        <v>29</v>
      </c>
      <c r="F1622" s="2">
        <v>47</v>
      </c>
      <c r="G1622" t="s">
        <v>138</v>
      </c>
      <c r="H1622" t="s">
        <v>31</v>
      </c>
      <c r="I1622" t="s">
        <v>103</v>
      </c>
      <c r="J1622" t="s">
        <v>22</v>
      </c>
      <c r="K1622">
        <v>3.1</v>
      </c>
      <c r="L1622" t="s">
        <v>23</v>
      </c>
      <c r="M1622" t="s">
        <v>41</v>
      </c>
      <c r="N1622" t="s">
        <v>34</v>
      </c>
      <c r="O1622">
        <v>27</v>
      </c>
      <c r="P1622" t="s">
        <v>58</v>
      </c>
      <c r="Q1622" t="s">
        <v>63</v>
      </c>
      <c r="R1622" s="1">
        <v>0.1</v>
      </c>
      <c r="S1622">
        <f t="shared" si="100"/>
        <v>42.3</v>
      </c>
      <c r="T1622">
        <f>IFERROR(VLOOKUP(A1622,Table1[[Customer ID]:[Discount Amount]], 6, FALSE),"Not Found")</f>
        <v>47</v>
      </c>
      <c r="U1622" t="str">
        <f t="shared" si="101"/>
        <v>PayPal</v>
      </c>
      <c r="V1622" s="4" t="str">
        <f t="shared" si="102"/>
        <v>Normal</v>
      </c>
      <c r="W1622" s="4" t="str">
        <f t="shared" si="103"/>
        <v>Good</v>
      </c>
      <c r="X1622" s="4">
        <f>AVERAGE(Table1[Purchase Amount])</f>
        <v>129.48419400000012</v>
      </c>
    </row>
    <row r="1623" spans="1:24" ht="15" customHeight="1" x14ac:dyDescent="0.25">
      <c r="A1623">
        <v>1622</v>
      </c>
      <c r="B1623">
        <v>68</v>
      </c>
      <c r="C1623" t="s">
        <v>27</v>
      </c>
      <c r="D1623" t="s">
        <v>129</v>
      </c>
      <c r="E1623" t="s">
        <v>29</v>
      </c>
      <c r="F1623" s="2">
        <v>46</v>
      </c>
      <c r="G1623" t="s">
        <v>90</v>
      </c>
      <c r="H1623" t="s">
        <v>45</v>
      </c>
      <c r="I1623" t="s">
        <v>85</v>
      </c>
      <c r="J1623" t="s">
        <v>57</v>
      </c>
      <c r="K1623">
        <v>3.9</v>
      </c>
      <c r="L1623" t="s">
        <v>23</v>
      </c>
      <c r="M1623" t="s">
        <v>41</v>
      </c>
      <c r="N1623" t="s">
        <v>34</v>
      </c>
      <c r="O1623">
        <v>38</v>
      </c>
      <c r="P1623" t="s">
        <v>36</v>
      </c>
      <c r="Q1623" t="s">
        <v>89</v>
      </c>
      <c r="R1623" s="1">
        <v>0.1</v>
      </c>
      <c r="S1623">
        <f t="shared" si="100"/>
        <v>41.4</v>
      </c>
      <c r="T1623">
        <f>IFERROR(VLOOKUP(A1623,Table1[[Customer ID]:[Discount Amount]], 6, FALSE),"Not Found")</f>
        <v>46</v>
      </c>
      <c r="U1623" t="str">
        <f t="shared" si="101"/>
        <v>Debit Card</v>
      </c>
      <c r="V1623" s="4" t="str">
        <f t="shared" si="102"/>
        <v>Normal</v>
      </c>
      <c r="W1623" s="4" t="str">
        <f t="shared" si="103"/>
        <v>Good</v>
      </c>
      <c r="X1623" s="4">
        <f>AVERAGE(Table1[Purchase Amount])</f>
        <v>129.48419400000012</v>
      </c>
    </row>
    <row r="1624" spans="1:24" ht="15" customHeight="1" x14ac:dyDescent="0.25">
      <c r="A1624">
        <v>1623</v>
      </c>
      <c r="B1624">
        <v>31</v>
      </c>
      <c r="C1624" t="s">
        <v>27</v>
      </c>
      <c r="D1624" t="s">
        <v>54</v>
      </c>
      <c r="E1624" t="s">
        <v>18</v>
      </c>
      <c r="F1624" s="2">
        <v>43</v>
      </c>
      <c r="G1624" t="s">
        <v>146</v>
      </c>
      <c r="H1624" t="s">
        <v>55</v>
      </c>
      <c r="I1624" t="s">
        <v>60</v>
      </c>
      <c r="J1624" t="s">
        <v>22</v>
      </c>
      <c r="K1624">
        <v>4</v>
      </c>
      <c r="L1624" t="s">
        <v>23</v>
      </c>
      <c r="M1624" t="s">
        <v>48</v>
      </c>
      <c r="N1624" t="s">
        <v>34</v>
      </c>
      <c r="O1624">
        <v>37</v>
      </c>
      <c r="P1624" t="s">
        <v>88</v>
      </c>
      <c r="Q1624" t="s">
        <v>63</v>
      </c>
      <c r="R1624" s="1">
        <v>0.1</v>
      </c>
      <c r="S1624">
        <f t="shared" si="100"/>
        <v>38.700000000000003</v>
      </c>
      <c r="T1624">
        <f>IFERROR(VLOOKUP(A1624,Table1[[Customer ID]:[Discount Amount]], 6, FALSE),"Not Found")</f>
        <v>43</v>
      </c>
      <c r="U1624" t="str">
        <f t="shared" si="101"/>
        <v>Bank Transfer</v>
      </c>
      <c r="V1624" s="4" t="str">
        <f t="shared" si="102"/>
        <v>Normal</v>
      </c>
      <c r="W1624" s="4" t="str">
        <f t="shared" si="103"/>
        <v>Good</v>
      </c>
      <c r="X1624" s="4">
        <f>AVERAGE(Table1[Purchase Amount])</f>
        <v>129.48419400000012</v>
      </c>
    </row>
    <row r="1625" spans="1:24" ht="15" customHeight="1" x14ac:dyDescent="0.25">
      <c r="A1625">
        <v>1624</v>
      </c>
      <c r="B1625">
        <v>64</v>
      </c>
      <c r="C1625" t="s">
        <v>27</v>
      </c>
      <c r="D1625" t="s">
        <v>104</v>
      </c>
      <c r="E1625" t="s">
        <v>29</v>
      </c>
      <c r="F1625" s="2">
        <v>58</v>
      </c>
      <c r="G1625" t="s">
        <v>102</v>
      </c>
      <c r="H1625" t="s">
        <v>31</v>
      </c>
      <c r="I1625" t="s">
        <v>128</v>
      </c>
      <c r="J1625" t="s">
        <v>57</v>
      </c>
      <c r="K1625">
        <v>3.5</v>
      </c>
      <c r="L1625" t="s">
        <v>23</v>
      </c>
      <c r="M1625" t="s">
        <v>79</v>
      </c>
      <c r="N1625" t="s">
        <v>34</v>
      </c>
      <c r="O1625">
        <v>50</v>
      </c>
      <c r="P1625" t="s">
        <v>36</v>
      </c>
      <c r="Q1625" t="s">
        <v>49</v>
      </c>
      <c r="R1625" s="1">
        <v>0.1</v>
      </c>
      <c r="S1625">
        <f t="shared" si="100"/>
        <v>52.2</v>
      </c>
      <c r="T1625">
        <f>IFERROR(VLOOKUP(A1625,Table1[[Customer ID]:[Discount Amount]], 6, FALSE),"Not Found")</f>
        <v>58</v>
      </c>
      <c r="U1625" t="str">
        <f t="shared" si="101"/>
        <v>Debit Card</v>
      </c>
      <c r="V1625" s="4" t="str">
        <f t="shared" si="102"/>
        <v>Normal</v>
      </c>
      <c r="W1625" s="4" t="str">
        <f t="shared" si="103"/>
        <v>Good</v>
      </c>
      <c r="X1625" s="4">
        <f>AVERAGE(Table1[Purchase Amount])</f>
        <v>129.48419400000012</v>
      </c>
    </row>
    <row r="1626" spans="1:24" ht="15" customHeight="1" x14ac:dyDescent="0.25">
      <c r="A1626">
        <v>1625</v>
      </c>
      <c r="B1626">
        <v>38</v>
      </c>
      <c r="C1626" t="s">
        <v>27</v>
      </c>
      <c r="D1626" t="s">
        <v>127</v>
      </c>
      <c r="E1626" t="s">
        <v>18</v>
      </c>
      <c r="F1626" s="2">
        <v>32</v>
      </c>
      <c r="G1626" t="s">
        <v>67</v>
      </c>
      <c r="H1626" t="s">
        <v>31</v>
      </c>
      <c r="I1626" t="s">
        <v>32</v>
      </c>
      <c r="J1626" t="s">
        <v>22</v>
      </c>
      <c r="K1626">
        <v>3.6</v>
      </c>
      <c r="L1626" t="s">
        <v>23</v>
      </c>
      <c r="M1626" t="s">
        <v>35</v>
      </c>
      <c r="N1626" t="s">
        <v>34</v>
      </c>
      <c r="O1626">
        <v>40</v>
      </c>
      <c r="P1626" t="s">
        <v>58</v>
      </c>
      <c r="Q1626" t="s">
        <v>63</v>
      </c>
      <c r="R1626" s="1">
        <v>0.1</v>
      </c>
      <c r="S1626">
        <f t="shared" si="100"/>
        <v>28.8</v>
      </c>
      <c r="T1626">
        <f>IFERROR(VLOOKUP(A1626,Table1[[Customer ID]:[Discount Amount]], 6, FALSE),"Not Found")</f>
        <v>32</v>
      </c>
      <c r="U1626" t="str">
        <f t="shared" si="101"/>
        <v>PayPal</v>
      </c>
      <c r="V1626" s="4" t="str">
        <f t="shared" si="102"/>
        <v>Normal</v>
      </c>
      <c r="W1626" s="4" t="str">
        <f t="shared" si="103"/>
        <v>Good</v>
      </c>
      <c r="X1626" s="4">
        <f>AVERAGE(Table1[Purchase Amount])</f>
        <v>129.48419400000012</v>
      </c>
    </row>
    <row r="1627" spans="1:24" ht="15" customHeight="1" x14ac:dyDescent="0.25">
      <c r="A1627">
        <v>1626</v>
      </c>
      <c r="B1627">
        <v>34</v>
      </c>
      <c r="C1627" t="s">
        <v>27</v>
      </c>
      <c r="D1627" t="s">
        <v>122</v>
      </c>
      <c r="E1627" t="s">
        <v>18</v>
      </c>
      <c r="F1627" s="2">
        <v>45</v>
      </c>
      <c r="G1627" t="s">
        <v>120</v>
      </c>
      <c r="H1627" t="s">
        <v>45</v>
      </c>
      <c r="I1627" t="s">
        <v>56</v>
      </c>
      <c r="J1627" t="s">
        <v>22</v>
      </c>
      <c r="K1627">
        <v>3</v>
      </c>
      <c r="L1627" t="s">
        <v>23</v>
      </c>
      <c r="M1627" t="s">
        <v>79</v>
      </c>
      <c r="N1627" t="s">
        <v>34</v>
      </c>
      <c r="O1627">
        <v>3</v>
      </c>
      <c r="P1627" t="s">
        <v>58</v>
      </c>
      <c r="Q1627" t="s">
        <v>68</v>
      </c>
      <c r="R1627" s="1">
        <v>0.1</v>
      </c>
      <c r="S1627">
        <f t="shared" si="100"/>
        <v>40.5</v>
      </c>
      <c r="T1627">
        <f>IFERROR(VLOOKUP(A1627,Table1[[Customer ID]:[Discount Amount]], 6, FALSE),"Not Found")</f>
        <v>45</v>
      </c>
      <c r="U1627" t="str">
        <f t="shared" si="101"/>
        <v>PayPal</v>
      </c>
      <c r="V1627" s="4" t="str">
        <f t="shared" si="102"/>
        <v>Normal</v>
      </c>
      <c r="W1627" s="4" t="str">
        <f t="shared" si="103"/>
        <v>Good</v>
      </c>
      <c r="X1627" s="4">
        <f>AVERAGE(Table1[Purchase Amount])</f>
        <v>129.48419400000012</v>
      </c>
    </row>
    <row r="1628" spans="1:24" ht="15" customHeight="1" x14ac:dyDescent="0.25">
      <c r="A1628">
        <v>1627</v>
      </c>
      <c r="B1628">
        <v>32</v>
      </c>
      <c r="C1628" t="s">
        <v>27</v>
      </c>
      <c r="D1628" t="s">
        <v>140</v>
      </c>
      <c r="E1628" t="s">
        <v>98</v>
      </c>
      <c r="F1628" s="2">
        <v>35</v>
      </c>
      <c r="G1628" t="s">
        <v>158</v>
      </c>
      <c r="H1628" t="s">
        <v>45</v>
      </c>
      <c r="I1628" t="s">
        <v>108</v>
      </c>
      <c r="J1628" t="s">
        <v>57</v>
      </c>
      <c r="K1628">
        <v>2.6</v>
      </c>
      <c r="L1628" t="s">
        <v>23</v>
      </c>
      <c r="M1628" t="s">
        <v>79</v>
      </c>
      <c r="N1628" t="s">
        <v>34</v>
      </c>
      <c r="O1628">
        <v>45</v>
      </c>
      <c r="P1628" t="s">
        <v>53</v>
      </c>
      <c r="Q1628" t="s">
        <v>68</v>
      </c>
      <c r="R1628" s="1">
        <v>0.1</v>
      </c>
      <c r="S1628">
        <f t="shared" si="100"/>
        <v>31.5</v>
      </c>
      <c r="T1628">
        <f>IFERROR(VLOOKUP(A1628,Table1[[Customer ID]:[Discount Amount]], 6, FALSE),"Not Found")</f>
        <v>35</v>
      </c>
      <c r="U1628" t="str">
        <f t="shared" si="101"/>
        <v>Credit Card</v>
      </c>
      <c r="V1628" s="4" t="str">
        <f t="shared" si="102"/>
        <v>Normal</v>
      </c>
      <c r="W1628" s="4" t="str">
        <f t="shared" si="103"/>
        <v>Poor</v>
      </c>
      <c r="X1628" s="4">
        <f>AVERAGE(Table1[Purchase Amount])</f>
        <v>129.48419400000012</v>
      </c>
    </row>
    <row r="1629" spans="1:24" ht="15" customHeight="1" x14ac:dyDescent="0.25">
      <c r="A1629">
        <v>1628</v>
      </c>
      <c r="B1629">
        <v>69</v>
      </c>
      <c r="C1629" t="s">
        <v>27</v>
      </c>
      <c r="D1629" t="s">
        <v>28</v>
      </c>
      <c r="E1629" t="s">
        <v>29</v>
      </c>
      <c r="F1629" s="2">
        <v>21</v>
      </c>
      <c r="G1629" t="s">
        <v>94</v>
      </c>
      <c r="H1629" t="s">
        <v>31</v>
      </c>
      <c r="I1629" t="s">
        <v>21</v>
      </c>
      <c r="J1629" t="s">
        <v>22</v>
      </c>
      <c r="K1629">
        <v>2.9</v>
      </c>
      <c r="L1629" t="s">
        <v>23</v>
      </c>
      <c r="M1629" t="s">
        <v>79</v>
      </c>
      <c r="N1629" t="s">
        <v>34</v>
      </c>
      <c r="O1629">
        <v>8</v>
      </c>
      <c r="P1629" t="s">
        <v>53</v>
      </c>
      <c r="Q1629" t="s">
        <v>49</v>
      </c>
      <c r="R1629" s="1">
        <v>0.1</v>
      </c>
      <c r="S1629">
        <f t="shared" si="100"/>
        <v>18.899999999999999</v>
      </c>
      <c r="T1629">
        <f>IFERROR(VLOOKUP(A1629,Table1[[Customer ID]:[Discount Amount]], 6, FALSE),"Not Found")</f>
        <v>21</v>
      </c>
      <c r="U1629" t="str">
        <f t="shared" si="101"/>
        <v>Credit Card</v>
      </c>
      <c r="V1629" s="4" t="str">
        <f t="shared" si="102"/>
        <v>Normal</v>
      </c>
      <c r="W1629" s="4" t="str">
        <f t="shared" si="103"/>
        <v>Poor</v>
      </c>
      <c r="X1629" s="4">
        <f>AVERAGE(Table1[Purchase Amount])</f>
        <v>129.48419400000012</v>
      </c>
    </row>
    <row r="1630" spans="1:24" ht="15" customHeight="1" x14ac:dyDescent="0.25">
      <c r="A1630">
        <v>1629</v>
      </c>
      <c r="B1630">
        <v>45</v>
      </c>
      <c r="C1630" t="s">
        <v>27</v>
      </c>
      <c r="D1630" t="s">
        <v>157</v>
      </c>
      <c r="E1630" t="s">
        <v>18</v>
      </c>
      <c r="F1630" s="2">
        <v>64</v>
      </c>
      <c r="G1630" t="s">
        <v>97</v>
      </c>
      <c r="H1630" t="s">
        <v>55</v>
      </c>
      <c r="I1630" t="s">
        <v>147</v>
      </c>
      <c r="J1630" t="s">
        <v>22</v>
      </c>
      <c r="K1630">
        <v>3.1</v>
      </c>
      <c r="L1630" t="s">
        <v>23</v>
      </c>
      <c r="M1630" t="s">
        <v>79</v>
      </c>
      <c r="N1630" t="s">
        <v>34</v>
      </c>
      <c r="O1630">
        <v>7</v>
      </c>
      <c r="P1630" t="s">
        <v>25</v>
      </c>
      <c r="Q1630" t="s">
        <v>42</v>
      </c>
      <c r="R1630" s="1">
        <v>0.1</v>
      </c>
      <c r="S1630">
        <f t="shared" si="100"/>
        <v>57.6</v>
      </c>
      <c r="T1630">
        <f>IFERROR(VLOOKUP(A1630,Table1[[Customer ID]:[Discount Amount]], 6, FALSE),"Not Found")</f>
        <v>64</v>
      </c>
      <c r="U1630" t="str">
        <f t="shared" si="101"/>
        <v>Cash</v>
      </c>
      <c r="V1630" s="4" t="str">
        <f t="shared" si="102"/>
        <v>Normal</v>
      </c>
      <c r="W1630" s="4" t="str">
        <f t="shared" si="103"/>
        <v>Good</v>
      </c>
      <c r="X1630" s="4">
        <f>AVERAGE(Table1[Purchase Amount])</f>
        <v>129.48419400000012</v>
      </c>
    </row>
    <row r="1631" spans="1:24" ht="15" customHeight="1" x14ac:dyDescent="0.25">
      <c r="A1631">
        <v>1630</v>
      </c>
      <c r="B1631">
        <v>35</v>
      </c>
      <c r="C1631" t="s">
        <v>27</v>
      </c>
      <c r="D1631" t="s">
        <v>118</v>
      </c>
      <c r="E1631" t="s">
        <v>18</v>
      </c>
      <c r="F1631" s="2">
        <v>88</v>
      </c>
      <c r="G1631" t="s">
        <v>86</v>
      </c>
      <c r="H1631" t="s">
        <v>55</v>
      </c>
      <c r="I1631" t="s">
        <v>153</v>
      </c>
      <c r="J1631" t="s">
        <v>33</v>
      </c>
      <c r="K1631">
        <v>3.3</v>
      </c>
      <c r="L1631" t="s">
        <v>23</v>
      </c>
      <c r="M1631" t="s">
        <v>79</v>
      </c>
      <c r="N1631" t="s">
        <v>34</v>
      </c>
      <c r="O1631">
        <v>13</v>
      </c>
      <c r="P1631" t="s">
        <v>62</v>
      </c>
      <c r="Q1631" t="s">
        <v>37</v>
      </c>
      <c r="R1631" s="1">
        <v>0.1</v>
      </c>
      <c r="S1631">
        <f t="shared" si="100"/>
        <v>79.2</v>
      </c>
      <c r="T1631">
        <f>IFERROR(VLOOKUP(A1631,Table1[[Customer ID]:[Discount Amount]], 6, FALSE),"Not Found")</f>
        <v>88</v>
      </c>
      <c r="U1631" t="str">
        <f t="shared" si="101"/>
        <v>Venmo</v>
      </c>
      <c r="V1631" s="4" t="str">
        <f t="shared" si="102"/>
        <v>Normal</v>
      </c>
      <c r="W1631" s="4" t="str">
        <f t="shared" si="103"/>
        <v>Good</v>
      </c>
      <c r="X1631" s="4">
        <f>AVERAGE(Table1[Purchase Amount])</f>
        <v>129.48419400000012</v>
      </c>
    </row>
    <row r="1632" spans="1:24" ht="15" customHeight="1" x14ac:dyDescent="0.25">
      <c r="A1632">
        <v>1631</v>
      </c>
      <c r="B1632">
        <v>63</v>
      </c>
      <c r="C1632" t="s">
        <v>27</v>
      </c>
      <c r="D1632" t="s">
        <v>72</v>
      </c>
      <c r="E1632" t="s">
        <v>98</v>
      </c>
      <c r="F1632" s="2">
        <v>48</v>
      </c>
      <c r="G1632" t="s">
        <v>131</v>
      </c>
      <c r="H1632" t="s">
        <v>31</v>
      </c>
      <c r="I1632" t="s">
        <v>133</v>
      </c>
      <c r="J1632" t="s">
        <v>57</v>
      </c>
      <c r="K1632">
        <v>2.9</v>
      </c>
      <c r="L1632" t="s">
        <v>23</v>
      </c>
      <c r="M1632" t="s">
        <v>48</v>
      </c>
      <c r="N1632" t="s">
        <v>34</v>
      </c>
      <c r="O1632">
        <v>29</v>
      </c>
      <c r="P1632" t="s">
        <v>62</v>
      </c>
      <c r="Q1632" t="s">
        <v>63</v>
      </c>
      <c r="R1632" s="1">
        <v>0.1</v>
      </c>
      <c r="S1632">
        <f t="shared" si="100"/>
        <v>43.2</v>
      </c>
      <c r="T1632">
        <f>IFERROR(VLOOKUP(A1632,Table1[[Customer ID]:[Discount Amount]], 6, FALSE),"Not Found")</f>
        <v>48</v>
      </c>
      <c r="U1632" t="str">
        <f t="shared" si="101"/>
        <v>Venmo</v>
      </c>
      <c r="V1632" s="4" t="str">
        <f t="shared" si="102"/>
        <v>Normal</v>
      </c>
      <c r="W1632" s="4" t="str">
        <f t="shared" si="103"/>
        <v>Poor</v>
      </c>
      <c r="X1632" s="4">
        <f>AVERAGE(Table1[Purchase Amount])</f>
        <v>129.48419400000012</v>
      </c>
    </row>
    <row r="1633" spans="1:24" ht="15" customHeight="1" x14ac:dyDescent="0.25">
      <c r="A1633">
        <v>1632</v>
      </c>
      <c r="B1633">
        <v>65</v>
      </c>
      <c r="C1633" t="s">
        <v>27</v>
      </c>
      <c r="D1633" t="s">
        <v>127</v>
      </c>
      <c r="E1633" t="s">
        <v>18</v>
      </c>
      <c r="F1633" s="2">
        <v>36</v>
      </c>
      <c r="G1633" t="s">
        <v>102</v>
      </c>
      <c r="H1633" t="s">
        <v>45</v>
      </c>
      <c r="I1633" t="s">
        <v>111</v>
      </c>
      <c r="J1633" t="s">
        <v>57</v>
      </c>
      <c r="K1633">
        <v>3.9</v>
      </c>
      <c r="L1633" t="s">
        <v>23</v>
      </c>
      <c r="M1633" t="s">
        <v>41</v>
      </c>
      <c r="N1633" t="s">
        <v>34</v>
      </c>
      <c r="O1633">
        <v>7</v>
      </c>
      <c r="P1633" t="s">
        <v>88</v>
      </c>
      <c r="Q1633" t="s">
        <v>89</v>
      </c>
      <c r="R1633" s="1">
        <v>0.1</v>
      </c>
      <c r="S1633">
        <f t="shared" si="100"/>
        <v>32.4</v>
      </c>
      <c r="T1633">
        <f>IFERROR(VLOOKUP(A1633,Table1[[Customer ID]:[Discount Amount]], 6, FALSE),"Not Found")</f>
        <v>36</v>
      </c>
      <c r="U1633" t="str">
        <f t="shared" si="101"/>
        <v>Bank Transfer</v>
      </c>
      <c r="V1633" s="4" t="str">
        <f t="shared" si="102"/>
        <v>Normal</v>
      </c>
      <c r="W1633" s="4" t="str">
        <f t="shared" si="103"/>
        <v>Good</v>
      </c>
      <c r="X1633" s="4">
        <f>AVERAGE(Table1[Purchase Amount])</f>
        <v>129.48419400000012</v>
      </c>
    </row>
    <row r="1634" spans="1:24" ht="15" customHeight="1" x14ac:dyDescent="0.25">
      <c r="A1634">
        <v>1633</v>
      </c>
      <c r="B1634">
        <v>35</v>
      </c>
      <c r="C1634" t="s">
        <v>27</v>
      </c>
      <c r="D1634" t="s">
        <v>43</v>
      </c>
      <c r="E1634" t="s">
        <v>29</v>
      </c>
      <c r="F1634" s="2">
        <v>28</v>
      </c>
      <c r="G1634" t="s">
        <v>123</v>
      </c>
      <c r="H1634" t="s">
        <v>55</v>
      </c>
      <c r="I1634" t="s">
        <v>32</v>
      </c>
      <c r="J1634" t="s">
        <v>57</v>
      </c>
      <c r="K1634">
        <v>4.7</v>
      </c>
      <c r="L1634" t="s">
        <v>23</v>
      </c>
      <c r="M1634" t="s">
        <v>41</v>
      </c>
      <c r="N1634" t="s">
        <v>34</v>
      </c>
      <c r="O1634">
        <v>50</v>
      </c>
      <c r="P1634" t="s">
        <v>36</v>
      </c>
      <c r="Q1634" t="s">
        <v>63</v>
      </c>
      <c r="R1634" s="1">
        <v>0.1</v>
      </c>
      <c r="S1634">
        <f t="shared" si="100"/>
        <v>25.2</v>
      </c>
      <c r="T1634">
        <f>IFERROR(VLOOKUP(A1634,Table1[[Customer ID]:[Discount Amount]], 6, FALSE),"Not Found")</f>
        <v>28</v>
      </c>
      <c r="U1634" t="str">
        <f t="shared" si="101"/>
        <v>Debit Card</v>
      </c>
      <c r="V1634" s="4" t="str">
        <f t="shared" si="102"/>
        <v>Normal</v>
      </c>
      <c r="W1634" s="4" t="str">
        <f t="shared" si="103"/>
        <v>Good</v>
      </c>
      <c r="X1634" s="4">
        <f>AVERAGE(Table1[Purchase Amount])</f>
        <v>129.48419400000012</v>
      </c>
    </row>
    <row r="1635" spans="1:24" ht="15" customHeight="1" x14ac:dyDescent="0.25">
      <c r="A1635">
        <v>1634</v>
      </c>
      <c r="B1635">
        <v>54</v>
      </c>
      <c r="C1635" t="s">
        <v>27</v>
      </c>
      <c r="D1635" t="s">
        <v>105</v>
      </c>
      <c r="E1635" t="s">
        <v>18</v>
      </c>
      <c r="F1635" s="2">
        <v>80</v>
      </c>
      <c r="G1635" t="s">
        <v>86</v>
      </c>
      <c r="H1635" t="s">
        <v>31</v>
      </c>
      <c r="I1635" t="s">
        <v>145</v>
      </c>
      <c r="J1635" t="s">
        <v>33</v>
      </c>
      <c r="K1635">
        <v>4.4000000000000004</v>
      </c>
      <c r="L1635" t="s">
        <v>23</v>
      </c>
      <c r="M1635" t="s">
        <v>41</v>
      </c>
      <c r="N1635" t="s">
        <v>34</v>
      </c>
      <c r="O1635">
        <v>33</v>
      </c>
      <c r="P1635" t="s">
        <v>36</v>
      </c>
      <c r="Q1635" t="s">
        <v>68</v>
      </c>
      <c r="R1635" s="1">
        <v>0.1</v>
      </c>
      <c r="S1635">
        <f t="shared" si="100"/>
        <v>72</v>
      </c>
      <c r="T1635">
        <f>IFERROR(VLOOKUP(A1635,Table1[[Customer ID]:[Discount Amount]], 6, FALSE),"Not Found")</f>
        <v>80</v>
      </c>
      <c r="U1635" t="str">
        <f t="shared" si="101"/>
        <v>Debit Card</v>
      </c>
      <c r="V1635" s="4" t="str">
        <f t="shared" si="102"/>
        <v>Normal</v>
      </c>
      <c r="W1635" s="4" t="str">
        <f t="shared" si="103"/>
        <v>Good</v>
      </c>
      <c r="X1635" s="4">
        <f>AVERAGE(Table1[Purchase Amount])</f>
        <v>129.48419400000012</v>
      </c>
    </row>
    <row r="1636" spans="1:24" ht="15" customHeight="1" x14ac:dyDescent="0.25">
      <c r="A1636">
        <v>1635</v>
      </c>
      <c r="B1636">
        <v>28</v>
      </c>
      <c r="C1636" t="s">
        <v>27</v>
      </c>
      <c r="D1636" t="s">
        <v>76</v>
      </c>
      <c r="E1636" t="s">
        <v>77</v>
      </c>
      <c r="F1636" s="2">
        <v>23</v>
      </c>
      <c r="G1636" t="s">
        <v>30</v>
      </c>
      <c r="H1636" t="s">
        <v>55</v>
      </c>
      <c r="I1636" t="s">
        <v>108</v>
      </c>
      <c r="J1636" t="s">
        <v>57</v>
      </c>
      <c r="K1636">
        <v>3.6</v>
      </c>
      <c r="L1636" t="s">
        <v>23</v>
      </c>
      <c r="M1636" t="s">
        <v>48</v>
      </c>
      <c r="N1636" t="s">
        <v>34</v>
      </c>
      <c r="O1636">
        <v>30</v>
      </c>
      <c r="P1636" t="s">
        <v>25</v>
      </c>
      <c r="Q1636" t="s">
        <v>63</v>
      </c>
      <c r="R1636" s="1">
        <v>0.1</v>
      </c>
      <c r="S1636">
        <f t="shared" si="100"/>
        <v>20.7</v>
      </c>
      <c r="T1636">
        <f>IFERROR(VLOOKUP(A1636,Table1[[Customer ID]:[Discount Amount]], 6, FALSE),"Not Found")</f>
        <v>23</v>
      </c>
      <c r="U1636" t="str">
        <f t="shared" si="101"/>
        <v>Cash</v>
      </c>
      <c r="V1636" s="4" t="str">
        <f t="shared" si="102"/>
        <v>Normal</v>
      </c>
      <c r="W1636" s="4" t="str">
        <f t="shared" si="103"/>
        <v>Good</v>
      </c>
      <c r="X1636" s="4">
        <f>AVERAGE(Table1[Purchase Amount])</f>
        <v>129.48419400000012</v>
      </c>
    </row>
    <row r="1637" spans="1:24" ht="15" customHeight="1" x14ac:dyDescent="0.25">
      <c r="A1637">
        <v>1636</v>
      </c>
      <c r="B1637">
        <v>68</v>
      </c>
      <c r="C1637" t="s">
        <v>27</v>
      </c>
      <c r="D1637" t="s">
        <v>28</v>
      </c>
      <c r="E1637" t="s">
        <v>29</v>
      </c>
      <c r="F1637" s="2">
        <v>24</v>
      </c>
      <c r="G1637" t="s">
        <v>134</v>
      </c>
      <c r="H1637" t="s">
        <v>45</v>
      </c>
      <c r="I1637" t="s">
        <v>111</v>
      </c>
      <c r="J1637" t="s">
        <v>57</v>
      </c>
      <c r="K1637">
        <v>3.2</v>
      </c>
      <c r="L1637" t="s">
        <v>23</v>
      </c>
      <c r="M1637" t="s">
        <v>24</v>
      </c>
      <c r="N1637" t="s">
        <v>34</v>
      </c>
      <c r="O1637">
        <v>40</v>
      </c>
      <c r="P1637" t="s">
        <v>25</v>
      </c>
      <c r="Q1637" t="s">
        <v>49</v>
      </c>
      <c r="R1637" s="1">
        <v>0.1</v>
      </c>
      <c r="S1637">
        <f t="shared" si="100"/>
        <v>21.6</v>
      </c>
      <c r="T1637">
        <f>IFERROR(VLOOKUP(A1637,Table1[[Customer ID]:[Discount Amount]], 6, FALSE),"Not Found")</f>
        <v>24</v>
      </c>
      <c r="U1637" t="str">
        <f t="shared" si="101"/>
        <v>Cash</v>
      </c>
      <c r="V1637" s="4" t="str">
        <f t="shared" si="102"/>
        <v>Normal</v>
      </c>
      <c r="W1637" s="4" t="str">
        <f t="shared" si="103"/>
        <v>Good</v>
      </c>
      <c r="X1637" s="4">
        <f>AVERAGE(Table1[Purchase Amount])</f>
        <v>129.48419400000012</v>
      </c>
    </row>
    <row r="1638" spans="1:24" ht="15" customHeight="1" x14ac:dyDescent="0.25">
      <c r="A1638">
        <v>1637</v>
      </c>
      <c r="B1638">
        <v>58</v>
      </c>
      <c r="C1638" t="s">
        <v>27</v>
      </c>
      <c r="D1638" t="s">
        <v>151</v>
      </c>
      <c r="E1638" t="s">
        <v>98</v>
      </c>
      <c r="F1638" s="2">
        <v>22</v>
      </c>
      <c r="G1638" t="s">
        <v>86</v>
      </c>
      <c r="H1638" t="s">
        <v>45</v>
      </c>
      <c r="I1638" t="s">
        <v>93</v>
      </c>
      <c r="J1638" t="s">
        <v>47</v>
      </c>
      <c r="K1638">
        <v>4</v>
      </c>
      <c r="L1638" t="s">
        <v>23</v>
      </c>
      <c r="M1638" t="s">
        <v>35</v>
      </c>
      <c r="N1638" t="s">
        <v>34</v>
      </c>
      <c r="O1638">
        <v>49</v>
      </c>
      <c r="P1638" t="s">
        <v>25</v>
      </c>
      <c r="Q1638" t="s">
        <v>89</v>
      </c>
      <c r="R1638" s="1">
        <v>0.1</v>
      </c>
      <c r="S1638">
        <f t="shared" si="100"/>
        <v>19.8</v>
      </c>
      <c r="T1638">
        <f>IFERROR(VLOOKUP(A1638,Table1[[Customer ID]:[Discount Amount]], 6, FALSE),"Not Found")</f>
        <v>22</v>
      </c>
      <c r="U1638" t="str">
        <f t="shared" si="101"/>
        <v>Cash</v>
      </c>
      <c r="V1638" s="4" t="str">
        <f t="shared" si="102"/>
        <v>Normal</v>
      </c>
      <c r="W1638" s="4" t="str">
        <f t="shared" si="103"/>
        <v>Good</v>
      </c>
      <c r="X1638" s="4">
        <f>AVERAGE(Table1[Purchase Amount])</f>
        <v>129.48419400000012</v>
      </c>
    </row>
    <row r="1639" spans="1:24" ht="15" customHeight="1" x14ac:dyDescent="0.25">
      <c r="A1639">
        <v>1638</v>
      </c>
      <c r="B1639">
        <v>35</v>
      </c>
      <c r="C1639" t="s">
        <v>27</v>
      </c>
      <c r="D1639" t="s">
        <v>157</v>
      </c>
      <c r="E1639" t="s">
        <v>18</v>
      </c>
      <c r="F1639" s="2">
        <v>21</v>
      </c>
      <c r="G1639" t="s">
        <v>97</v>
      </c>
      <c r="H1639" t="s">
        <v>31</v>
      </c>
      <c r="I1639" t="s">
        <v>145</v>
      </c>
      <c r="J1639" t="s">
        <v>33</v>
      </c>
      <c r="K1639">
        <v>3.5</v>
      </c>
      <c r="L1639" t="s">
        <v>23</v>
      </c>
      <c r="M1639" t="s">
        <v>79</v>
      </c>
      <c r="N1639" t="s">
        <v>34</v>
      </c>
      <c r="O1639">
        <v>32</v>
      </c>
      <c r="P1639" t="s">
        <v>62</v>
      </c>
      <c r="Q1639" t="s">
        <v>89</v>
      </c>
      <c r="R1639" s="1">
        <v>0.1</v>
      </c>
      <c r="S1639">
        <f t="shared" si="100"/>
        <v>18.899999999999999</v>
      </c>
      <c r="T1639">
        <f>IFERROR(VLOOKUP(A1639,Table1[[Customer ID]:[Discount Amount]], 6, FALSE),"Not Found")</f>
        <v>21</v>
      </c>
      <c r="U1639" t="str">
        <f t="shared" si="101"/>
        <v>Venmo</v>
      </c>
      <c r="V1639" s="4" t="str">
        <f t="shared" si="102"/>
        <v>Normal</v>
      </c>
      <c r="W1639" s="4" t="str">
        <f t="shared" si="103"/>
        <v>Good</v>
      </c>
      <c r="X1639" s="4">
        <f>AVERAGE(Table1[Purchase Amount])</f>
        <v>129.48419400000012</v>
      </c>
    </row>
    <row r="1640" spans="1:24" ht="15" customHeight="1" x14ac:dyDescent="0.25">
      <c r="A1640">
        <v>1639</v>
      </c>
      <c r="B1640">
        <v>68</v>
      </c>
      <c r="C1640" t="s">
        <v>27</v>
      </c>
      <c r="D1640" t="s">
        <v>96</v>
      </c>
      <c r="E1640" t="s">
        <v>77</v>
      </c>
      <c r="F1640" s="2">
        <v>51</v>
      </c>
      <c r="G1640" t="s">
        <v>65</v>
      </c>
      <c r="H1640" t="s">
        <v>31</v>
      </c>
      <c r="I1640" t="s">
        <v>40</v>
      </c>
      <c r="J1640" t="s">
        <v>33</v>
      </c>
      <c r="K1640">
        <v>4.5999999999999996</v>
      </c>
      <c r="L1640" t="s">
        <v>23</v>
      </c>
      <c r="M1640" t="s">
        <v>35</v>
      </c>
      <c r="N1640" t="s">
        <v>34</v>
      </c>
      <c r="O1640">
        <v>18</v>
      </c>
      <c r="P1640" t="s">
        <v>62</v>
      </c>
      <c r="Q1640" t="s">
        <v>26</v>
      </c>
      <c r="R1640" s="1">
        <v>0.1</v>
      </c>
      <c r="S1640">
        <f t="shared" si="100"/>
        <v>45.9</v>
      </c>
      <c r="T1640">
        <f>IFERROR(VLOOKUP(A1640,Table1[[Customer ID]:[Discount Amount]], 6, FALSE),"Not Found")</f>
        <v>51</v>
      </c>
      <c r="U1640" t="str">
        <f t="shared" si="101"/>
        <v>Venmo</v>
      </c>
      <c r="V1640" s="4" t="str">
        <f t="shared" si="102"/>
        <v>Normal</v>
      </c>
      <c r="W1640" s="4" t="str">
        <f t="shared" si="103"/>
        <v>Good</v>
      </c>
      <c r="X1640" s="4">
        <f>AVERAGE(Table1[Purchase Amount])</f>
        <v>129.48419400000012</v>
      </c>
    </row>
    <row r="1641" spans="1:24" ht="15" customHeight="1" x14ac:dyDescent="0.25">
      <c r="A1641">
        <v>1640</v>
      </c>
      <c r="B1641">
        <v>41</v>
      </c>
      <c r="C1641" t="s">
        <v>27</v>
      </c>
      <c r="D1641" t="s">
        <v>43</v>
      </c>
      <c r="E1641" t="s">
        <v>29</v>
      </c>
      <c r="F1641" s="2">
        <v>65</v>
      </c>
      <c r="G1641" t="s">
        <v>146</v>
      </c>
      <c r="H1641" t="s">
        <v>45</v>
      </c>
      <c r="I1641" t="s">
        <v>74</v>
      </c>
      <c r="J1641" t="s">
        <v>57</v>
      </c>
      <c r="K1641">
        <v>3.3</v>
      </c>
      <c r="L1641" t="s">
        <v>23</v>
      </c>
      <c r="M1641" t="s">
        <v>35</v>
      </c>
      <c r="N1641" t="s">
        <v>34</v>
      </c>
      <c r="O1641">
        <v>50</v>
      </c>
      <c r="P1641" t="s">
        <v>58</v>
      </c>
      <c r="Q1641" t="s">
        <v>49</v>
      </c>
      <c r="R1641" s="1">
        <v>0.1</v>
      </c>
      <c r="S1641">
        <f t="shared" si="100"/>
        <v>58.5</v>
      </c>
      <c r="T1641">
        <f>IFERROR(VLOOKUP(A1641,Table1[[Customer ID]:[Discount Amount]], 6, FALSE),"Not Found")</f>
        <v>65</v>
      </c>
      <c r="U1641" t="str">
        <f t="shared" si="101"/>
        <v>PayPal</v>
      </c>
      <c r="V1641" s="4" t="str">
        <f t="shared" si="102"/>
        <v>Normal</v>
      </c>
      <c r="W1641" s="4" t="str">
        <f t="shared" si="103"/>
        <v>Good</v>
      </c>
      <c r="X1641" s="4">
        <f>AVERAGE(Table1[Purchase Amount])</f>
        <v>129.48419400000012</v>
      </c>
    </row>
    <row r="1642" spans="1:24" ht="15" customHeight="1" x14ac:dyDescent="0.25">
      <c r="A1642">
        <v>1641</v>
      </c>
      <c r="B1642">
        <v>65</v>
      </c>
      <c r="C1642" t="s">
        <v>27</v>
      </c>
      <c r="D1642" t="s">
        <v>129</v>
      </c>
      <c r="E1642" t="s">
        <v>29</v>
      </c>
      <c r="F1642" s="2">
        <v>51</v>
      </c>
      <c r="G1642" t="s">
        <v>65</v>
      </c>
      <c r="H1642" t="s">
        <v>55</v>
      </c>
      <c r="I1642" t="s">
        <v>87</v>
      </c>
      <c r="J1642" t="s">
        <v>33</v>
      </c>
      <c r="K1642">
        <v>4</v>
      </c>
      <c r="L1642" t="s">
        <v>23</v>
      </c>
      <c r="M1642" t="s">
        <v>41</v>
      </c>
      <c r="N1642" t="s">
        <v>34</v>
      </c>
      <c r="O1642">
        <v>13</v>
      </c>
      <c r="P1642" t="s">
        <v>58</v>
      </c>
      <c r="Q1642" t="s">
        <v>26</v>
      </c>
      <c r="R1642" s="1">
        <v>0.1</v>
      </c>
      <c r="S1642">
        <f t="shared" si="100"/>
        <v>45.9</v>
      </c>
      <c r="T1642">
        <f>IFERROR(VLOOKUP(A1642,Table1[[Customer ID]:[Discount Amount]], 6, FALSE),"Not Found")</f>
        <v>51</v>
      </c>
      <c r="U1642" t="str">
        <f t="shared" si="101"/>
        <v>PayPal</v>
      </c>
      <c r="V1642" s="4" t="str">
        <f t="shared" si="102"/>
        <v>Normal</v>
      </c>
      <c r="W1642" s="4" t="str">
        <f t="shared" si="103"/>
        <v>Good</v>
      </c>
      <c r="X1642" s="4">
        <f>AVERAGE(Table1[Purchase Amount])</f>
        <v>129.48419400000012</v>
      </c>
    </row>
    <row r="1643" spans="1:24" ht="15" customHeight="1" x14ac:dyDescent="0.25">
      <c r="A1643">
        <v>1642</v>
      </c>
      <c r="B1643">
        <v>50</v>
      </c>
      <c r="C1643" t="s">
        <v>27</v>
      </c>
      <c r="D1643" t="s">
        <v>83</v>
      </c>
      <c r="E1643" t="s">
        <v>18</v>
      </c>
      <c r="F1643" s="2">
        <v>32</v>
      </c>
      <c r="G1643" t="s">
        <v>92</v>
      </c>
      <c r="H1643" t="s">
        <v>45</v>
      </c>
      <c r="I1643" t="s">
        <v>111</v>
      </c>
      <c r="J1643" t="s">
        <v>57</v>
      </c>
      <c r="K1643">
        <v>3.4</v>
      </c>
      <c r="L1643" t="s">
        <v>23</v>
      </c>
      <c r="M1643" t="s">
        <v>35</v>
      </c>
      <c r="N1643" t="s">
        <v>34</v>
      </c>
      <c r="O1643">
        <v>1</v>
      </c>
      <c r="P1643" t="s">
        <v>88</v>
      </c>
      <c r="Q1643" t="s">
        <v>63</v>
      </c>
      <c r="R1643" s="1">
        <v>0.1</v>
      </c>
      <c r="S1643">
        <f t="shared" si="100"/>
        <v>28.8</v>
      </c>
      <c r="T1643">
        <f>IFERROR(VLOOKUP(A1643,Table1[[Customer ID]:[Discount Amount]], 6, FALSE),"Not Found")</f>
        <v>32</v>
      </c>
      <c r="U1643" t="str">
        <f t="shared" si="101"/>
        <v>Bank Transfer</v>
      </c>
      <c r="V1643" s="4" t="str">
        <f t="shared" si="102"/>
        <v>Normal</v>
      </c>
      <c r="W1643" s="4" t="str">
        <f t="shared" si="103"/>
        <v>Good</v>
      </c>
      <c r="X1643" s="4">
        <f>AVERAGE(Table1[Purchase Amount])</f>
        <v>129.48419400000012</v>
      </c>
    </row>
    <row r="1644" spans="1:24" ht="15" customHeight="1" x14ac:dyDescent="0.25">
      <c r="A1644">
        <v>1643</v>
      </c>
      <c r="B1644">
        <v>18</v>
      </c>
      <c r="C1644" t="s">
        <v>27</v>
      </c>
      <c r="D1644" t="s">
        <v>76</v>
      </c>
      <c r="E1644" t="s">
        <v>77</v>
      </c>
      <c r="F1644" s="2">
        <v>70</v>
      </c>
      <c r="G1644" t="s">
        <v>149</v>
      </c>
      <c r="H1644" t="s">
        <v>31</v>
      </c>
      <c r="I1644" t="s">
        <v>56</v>
      </c>
      <c r="J1644" t="s">
        <v>33</v>
      </c>
      <c r="K1644">
        <v>4.2</v>
      </c>
      <c r="L1644" t="s">
        <v>23</v>
      </c>
      <c r="M1644" t="s">
        <v>48</v>
      </c>
      <c r="N1644" t="s">
        <v>34</v>
      </c>
      <c r="O1644">
        <v>16</v>
      </c>
      <c r="P1644" t="s">
        <v>58</v>
      </c>
      <c r="Q1644" t="s">
        <v>89</v>
      </c>
      <c r="R1644" s="1">
        <v>0.1</v>
      </c>
      <c r="S1644">
        <f t="shared" si="100"/>
        <v>63</v>
      </c>
      <c r="T1644">
        <f>IFERROR(VLOOKUP(A1644,Table1[[Customer ID]:[Discount Amount]], 6, FALSE),"Not Found")</f>
        <v>70</v>
      </c>
      <c r="U1644" t="str">
        <f t="shared" si="101"/>
        <v>PayPal</v>
      </c>
      <c r="V1644" s="4" t="str">
        <f t="shared" si="102"/>
        <v>Normal</v>
      </c>
      <c r="W1644" s="4" t="str">
        <f t="shared" si="103"/>
        <v>Good</v>
      </c>
      <c r="X1644" s="4">
        <f>AVERAGE(Table1[Purchase Amount])</f>
        <v>129.48419400000012</v>
      </c>
    </row>
    <row r="1645" spans="1:24" ht="15" customHeight="1" x14ac:dyDescent="0.25">
      <c r="A1645">
        <v>1644</v>
      </c>
      <c r="B1645">
        <v>38</v>
      </c>
      <c r="C1645" t="s">
        <v>27</v>
      </c>
      <c r="D1645" t="s">
        <v>129</v>
      </c>
      <c r="E1645" t="s">
        <v>29</v>
      </c>
      <c r="F1645" s="2">
        <v>77</v>
      </c>
      <c r="G1645" t="s">
        <v>90</v>
      </c>
      <c r="H1645" t="s">
        <v>45</v>
      </c>
      <c r="I1645" t="s">
        <v>136</v>
      </c>
      <c r="J1645" t="s">
        <v>57</v>
      </c>
      <c r="K1645">
        <v>3.9</v>
      </c>
      <c r="L1645" t="s">
        <v>23</v>
      </c>
      <c r="M1645" t="s">
        <v>41</v>
      </c>
      <c r="N1645" t="s">
        <v>34</v>
      </c>
      <c r="O1645">
        <v>6</v>
      </c>
      <c r="P1645" t="s">
        <v>58</v>
      </c>
      <c r="Q1645" t="s">
        <v>42</v>
      </c>
      <c r="R1645" s="1">
        <v>0.1</v>
      </c>
      <c r="S1645">
        <f t="shared" si="100"/>
        <v>69.3</v>
      </c>
      <c r="T1645">
        <f>IFERROR(VLOOKUP(A1645,Table1[[Customer ID]:[Discount Amount]], 6, FALSE),"Not Found")</f>
        <v>77</v>
      </c>
      <c r="U1645" t="str">
        <f t="shared" si="101"/>
        <v>PayPal</v>
      </c>
      <c r="V1645" s="4" t="str">
        <f t="shared" si="102"/>
        <v>Normal</v>
      </c>
      <c r="W1645" s="4" t="str">
        <f t="shared" si="103"/>
        <v>Good</v>
      </c>
      <c r="X1645" s="4">
        <f>AVERAGE(Table1[Purchase Amount])</f>
        <v>129.48419400000012</v>
      </c>
    </row>
    <row r="1646" spans="1:24" ht="15" customHeight="1" x14ac:dyDescent="0.25">
      <c r="A1646">
        <v>1645</v>
      </c>
      <c r="B1646">
        <v>68</v>
      </c>
      <c r="C1646" t="s">
        <v>27</v>
      </c>
      <c r="D1646" t="s">
        <v>76</v>
      </c>
      <c r="E1646" t="s">
        <v>77</v>
      </c>
      <c r="F1646" s="2">
        <v>90</v>
      </c>
      <c r="G1646" t="s">
        <v>134</v>
      </c>
      <c r="H1646" t="s">
        <v>55</v>
      </c>
      <c r="I1646" t="s">
        <v>56</v>
      </c>
      <c r="J1646" t="s">
        <v>57</v>
      </c>
      <c r="K1646">
        <v>3.9</v>
      </c>
      <c r="L1646" t="s">
        <v>23</v>
      </c>
      <c r="M1646" t="s">
        <v>79</v>
      </c>
      <c r="N1646" t="s">
        <v>34</v>
      </c>
      <c r="O1646">
        <v>21</v>
      </c>
      <c r="P1646" t="s">
        <v>36</v>
      </c>
      <c r="Q1646" t="s">
        <v>42</v>
      </c>
      <c r="R1646" s="1">
        <v>0.1</v>
      </c>
      <c r="S1646">
        <f t="shared" si="100"/>
        <v>81</v>
      </c>
      <c r="T1646">
        <f>IFERROR(VLOOKUP(A1646,Table1[[Customer ID]:[Discount Amount]], 6, FALSE),"Not Found")</f>
        <v>90</v>
      </c>
      <c r="U1646" t="str">
        <f t="shared" si="101"/>
        <v>Debit Card</v>
      </c>
      <c r="V1646" s="4" t="str">
        <f t="shared" si="102"/>
        <v>Normal</v>
      </c>
      <c r="W1646" s="4" t="str">
        <f t="shared" si="103"/>
        <v>Good</v>
      </c>
      <c r="X1646" s="4">
        <f>AVERAGE(Table1[Purchase Amount])</f>
        <v>129.48419400000012</v>
      </c>
    </row>
    <row r="1647" spans="1:24" ht="15" customHeight="1" x14ac:dyDescent="0.25">
      <c r="A1647">
        <v>1646</v>
      </c>
      <c r="B1647">
        <v>53</v>
      </c>
      <c r="C1647" t="s">
        <v>27</v>
      </c>
      <c r="D1647" t="s">
        <v>129</v>
      </c>
      <c r="E1647" t="s">
        <v>29</v>
      </c>
      <c r="F1647" s="2">
        <v>36</v>
      </c>
      <c r="G1647" t="s">
        <v>90</v>
      </c>
      <c r="H1647" t="s">
        <v>45</v>
      </c>
      <c r="I1647" t="s">
        <v>93</v>
      </c>
      <c r="J1647" t="s">
        <v>57</v>
      </c>
      <c r="K1647">
        <v>2.8</v>
      </c>
      <c r="L1647" t="s">
        <v>23</v>
      </c>
      <c r="M1647" t="s">
        <v>24</v>
      </c>
      <c r="N1647" t="s">
        <v>34</v>
      </c>
      <c r="O1647">
        <v>36</v>
      </c>
      <c r="P1647" t="s">
        <v>62</v>
      </c>
      <c r="Q1647" t="s">
        <v>63</v>
      </c>
      <c r="R1647" s="1">
        <v>0.1</v>
      </c>
      <c r="S1647">
        <f t="shared" si="100"/>
        <v>32.4</v>
      </c>
      <c r="T1647">
        <f>IFERROR(VLOOKUP(A1647,Table1[[Customer ID]:[Discount Amount]], 6, FALSE),"Not Found")</f>
        <v>36</v>
      </c>
      <c r="U1647" t="str">
        <f t="shared" si="101"/>
        <v>Venmo</v>
      </c>
      <c r="V1647" s="4" t="str">
        <f t="shared" si="102"/>
        <v>Normal</v>
      </c>
      <c r="W1647" s="4" t="str">
        <f t="shared" si="103"/>
        <v>Poor</v>
      </c>
      <c r="X1647" s="4">
        <f>AVERAGE(Table1[Purchase Amount])</f>
        <v>129.48419400000012</v>
      </c>
    </row>
    <row r="1648" spans="1:24" ht="15" customHeight="1" x14ac:dyDescent="0.25">
      <c r="A1648">
        <v>1647</v>
      </c>
      <c r="B1648">
        <v>58</v>
      </c>
      <c r="C1648" t="s">
        <v>27</v>
      </c>
      <c r="D1648" t="s">
        <v>69</v>
      </c>
      <c r="E1648" t="s">
        <v>29</v>
      </c>
      <c r="F1648" s="2">
        <v>77</v>
      </c>
      <c r="G1648" t="s">
        <v>137</v>
      </c>
      <c r="H1648" t="s">
        <v>55</v>
      </c>
      <c r="I1648" t="s">
        <v>153</v>
      </c>
      <c r="J1648" t="s">
        <v>57</v>
      </c>
      <c r="K1648">
        <v>3.7</v>
      </c>
      <c r="L1648" t="s">
        <v>23</v>
      </c>
      <c r="M1648" t="s">
        <v>24</v>
      </c>
      <c r="N1648" t="s">
        <v>34</v>
      </c>
      <c r="O1648">
        <v>20</v>
      </c>
      <c r="P1648" t="s">
        <v>88</v>
      </c>
      <c r="Q1648" t="s">
        <v>63</v>
      </c>
      <c r="R1648" s="1">
        <v>0.1</v>
      </c>
      <c r="S1648">
        <f t="shared" si="100"/>
        <v>69.3</v>
      </c>
      <c r="T1648">
        <f>IFERROR(VLOOKUP(A1648,Table1[[Customer ID]:[Discount Amount]], 6, FALSE),"Not Found")</f>
        <v>77</v>
      </c>
      <c r="U1648" t="str">
        <f t="shared" si="101"/>
        <v>Bank Transfer</v>
      </c>
      <c r="V1648" s="4" t="str">
        <f t="shared" si="102"/>
        <v>Normal</v>
      </c>
      <c r="W1648" s="4" t="str">
        <f t="shared" si="103"/>
        <v>Good</v>
      </c>
      <c r="X1648" s="4">
        <f>AVERAGE(Table1[Purchase Amount])</f>
        <v>129.48419400000012</v>
      </c>
    </row>
    <row r="1649" spans="1:24" ht="15" customHeight="1" x14ac:dyDescent="0.25">
      <c r="A1649">
        <v>1648</v>
      </c>
      <c r="B1649">
        <v>34</v>
      </c>
      <c r="C1649" t="s">
        <v>27</v>
      </c>
      <c r="D1649" t="s">
        <v>151</v>
      </c>
      <c r="E1649" t="s">
        <v>98</v>
      </c>
      <c r="F1649" s="2">
        <v>78</v>
      </c>
      <c r="G1649" t="s">
        <v>135</v>
      </c>
      <c r="H1649" t="s">
        <v>31</v>
      </c>
      <c r="I1649" t="s">
        <v>66</v>
      </c>
      <c r="J1649" t="s">
        <v>57</v>
      </c>
      <c r="K1649">
        <v>4.9000000000000004</v>
      </c>
      <c r="L1649" t="s">
        <v>23</v>
      </c>
      <c r="M1649" t="s">
        <v>48</v>
      </c>
      <c r="N1649" t="s">
        <v>34</v>
      </c>
      <c r="O1649">
        <v>8</v>
      </c>
      <c r="P1649" t="s">
        <v>36</v>
      </c>
      <c r="Q1649" t="s">
        <v>37</v>
      </c>
      <c r="R1649" s="1">
        <v>0.1</v>
      </c>
      <c r="S1649">
        <f t="shared" si="100"/>
        <v>70.2</v>
      </c>
      <c r="T1649">
        <f>IFERROR(VLOOKUP(A1649,Table1[[Customer ID]:[Discount Amount]], 6, FALSE),"Not Found")</f>
        <v>78</v>
      </c>
      <c r="U1649" t="str">
        <f t="shared" si="101"/>
        <v>Debit Card</v>
      </c>
      <c r="V1649" s="4" t="str">
        <f t="shared" si="102"/>
        <v>Normal</v>
      </c>
      <c r="W1649" s="4" t="str">
        <f t="shared" si="103"/>
        <v>Good</v>
      </c>
      <c r="X1649" s="4">
        <f>AVERAGE(Table1[Purchase Amount])</f>
        <v>129.48419400000012</v>
      </c>
    </row>
    <row r="1650" spans="1:24" ht="15" customHeight="1" x14ac:dyDescent="0.25">
      <c r="A1650">
        <v>1649</v>
      </c>
      <c r="B1650">
        <v>36</v>
      </c>
      <c r="C1650" t="s">
        <v>27</v>
      </c>
      <c r="D1650" t="s">
        <v>99</v>
      </c>
      <c r="E1650" t="s">
        <v>18</v>
      </c>
      <c r="F1650" s="2">
        <v>69</v>
      </c>
      <c r="G1650" t="s">
        <v>142</v>
      </c>
      <c r="H1650" t="s">
        <v>31</v>
      </c>
      <c r="I1650" t="s">
        <v>85</v>
      </c>
      <c r="J1650" t="s">
        <v>57</v>
      </c>
      <c r="K1650">
        <v>2.6</v>
      </c>
      <c r="L1650" t="s">
        <v>23</v>
      </c>
      <c r="M1650" t="s">
        <v>61</v>
      </c>
      <c r="N1650" t="s">
        <v>34</v>
      </c>
      <c r="O1650">
        <v>22</v>
      </c>
      <c r="P1650" t="s">
        <v>53</v>
      </c>
      <c r="Q1650" t="s">
        <v>42</v>
      </c>
      <c r="R1650" s="1">
        <v>0.1</v>
      </c>
      <c r="S1650">
        <f t="shared" si="100"/>
        <v>62.1</v>
      </c>
      <c r="T1650">
        <f>IFERROR(VLOOKUP(A1650,Table1[[Customer ID]:[Discount Amount]], 6, FALSE),"Not Found")</f>
        <v>69</v>
      </c>
      <c r="U1650" t="str">
        <f t="shared" si="101"/>
        <v>Credit Card</v>
      </c>
      <c r="V1650" s="4" t="str">
        <f t="shared" si="102"/>
        <v>Normal</v>
      </c>
      <c r="W1650" s="4" t="str">
        <f t="shared" si="103"/>
        <v>Poor</v>
      </c>
      <c r="X1650" s="4">
        <f>AVERAGE(Table1[Purchase Amount])</f>
        <v>129.48419400000012</v>
      </c>
    </row>
    <row r="1651" spans="1:24" ht="15" customHeight="1" x14ac:dyDescent="0.25">
      <c r="A1651">
        <v>1650</v>
      </c>
      <c r="B1651">
        <v>58</v>
      </c>
      <c r="C1651" t="s">
        <v>27</v>
      </c>
      <c r="D1651" t="s">
        <v>17</v>
      </c>
      <c r="E1651" t="s">
        <v>18</v>
      </c>
      <c r="F1651" s="2">
        <v>63</v>
      </c>
      <c r="G1651" t="s">
        <v>59</v>
      </c>
      <c r="H1651" t="s">
        <v>31</v>
      </c>
      <c r="I1651" t="s">
        <v>32</v>
      </c>
      <c r="J1651" t="s">
        <v>57</v>
      </c>
      <c r="K1651">
        <v>4.9000000000000004</v>
      </c>
      <c r="L1651" t="s">
        <v>23</v>
      </c>
      <c r="M1651" t="s">
        <v>35</v>
      </c>
      <c r="N1651" t="s">
        <v>34</v>
      </c>
      <c r="O1651">
        <v>3</v>
      </c>
      <c r="P1651" t="s">
        <v>53</v>
      </c>
      <c r="Q1651" t="s">
        <v>37</v>
      </c>
      <c r="R1651" s="1">
        <v>0.1</v>
      </c>
      <c r="S1651">
        <f t="shared" si="100"/>
        <v>56.7</v>
      </c>
      <c r="T1651">
        <f>IFERROR(VLOOKUP(A1651,Table1[[Customer ID]:[Discount Amount]], 6, FALSE),"Not Found")</f>
        <v>63</v>
      </c>
      <c r="U1651" t="str">
        <f t="shared" si="101"/>
        <v>Credit Card</v>
      </c>
      <c r="V1651" s="4" t="str">
        <f t="shared" si="102"/>
        <v>Normal</v>
      </c>
      <c r="W1651" s="4" t="str">
        <f t="shared" si="103"/>
        <v>Good</v>
      </c>
      <c r="X1651" s="4">
        <f>AVERAGE(Table1[Purchase Amount])</f>
        <v>129.48419400000012</v>
      </c>
    </row>
    <row r="1652" spans="1:24" ht="15" customHeight="1" x14ac:dyDescent="0.25">
      <c r="A1652">
        <v>1651</v>
      </c>
      <c r="B1652">
        <v>60</v>
      </c>
      <c r="C1652" t="s">
        <v>27</v>
      </c>
      <c r="D1652" t="s">
        <v>129</v>
      </c>
      <c r="E1652" t="s">
        <v>29</v>
      </c>
      <c r="F1652" s="2">
        <v>36</v>
      </c>
      <c r="G1652" t="s">
        <v>100</v>
      </c>
      <c r="H1652" t="s">
        <v>31</v>
      </c>
      <c r="I1652" t="s">
        <v>153</v>
      </c>
      <c r="J1652" t="s">
        <v>22</v>
      </c>
      <c r="K1652">
        <v>3.4</v>
      </c>
      <c r="L1652" t="s">
        <v>23</v>
      </c>
      <c r="M1652" t="s">
        <v>79</v>
      </c>
      <c r="N1652" t="s">
        <v>34</v>
      </c>
      <c r="O1652">
        <v>46</v>
      </c>
      <c r="P1652" t="s">
        <v>53</v>
      </c>
      <c r="Q1652" t="s">
        <v>89</v>
      </c>
      <c r="R1652" s="1">
        <v>0.1</v>
      </c>
      <c r="S1652">
        <f t="shared" si="100"/>
        <v>32.4</v>
      </c>
      <c r="T1652">
        <f>IFERROR(VLOOKUP(A1652,Table1[[Customer ID]:[Discount Amount]], 6, FALSE),"Not Found")</f>
        <v>36</v>
      </c>
      <c r="U1652" t="str">
        <f t="shared" si="101"/>
        <v>Credit Card</v>
      </c>
      <c r="V1652" s="4" t="str">
        <f t="shared" si="102"/>
        <v>Normal</v>
      </c>
      <c r="W1652" s="4" t="str">
        <f t="shared" si="103"/>
        <v>Good</v>
      </c>
      <c r="X1652" s="4">
        <f>AVERAGE(Table1[Purchase Amount])</f>
        <v>129.48419400000012</v>
      </c>
    </row>
    <row r="1653" spans="1:24" ht="15" customHeight="1" x14ac:dyDescent="0.25">
      <c r="A1653">
        <v>1652</v>
      </c>
      <c r="B1653">
        <v>59</v>
      </c>
      <c r="C1653" t="s">
        <v>27</v>
      </c>
      <c r="D1653" t="s">
        <v>76</v>
      </c>
      <c r="E1653" t="s">
        <v>77</v>
      </c>
      <c r="F1653" s="2">
        <v>80</v>
      </c>
      <c r="G1653" t="s">
        <v>152</v>
      </c>
      <c r="H1653" t="s">
        <v>31</v>
      </c>
      <c r="I1653" t="s">
        <v>74</v>
      </c>
      <c r="J1653" t="s">
        <v>22</v>
      </c>
      <c r="K1653">
        <v>3.9</v>
      </c>
      <c r="L1653" t="s">
        <v>23</v>
      </c>
      <c r="M1653" t="s">
        <v>24</v>
      </c>
      <c r="N1653" t="s">
        <v>34</v>
      </c>
      <c r="O1653">
        <v>42</v>
      </c>
      <c r="P1653" t="s">
        <v>36</v>
      </c>
      <c r="Q1653" t="s">
        <v>42</v>
      </c>
      <c r="R1653" s="1">
        <v>0.1</v>
      </c>
      <c r="S1653">
        <f t="shared" si="100"/>
        <v>72</v>
      </c>
      <c r="T1653">
        <f>IFERROR(VLOOKUP(A1653,Table1[[Customer ID]:[Discount Amount]], 6, FALSE),"Not Found")</f>
        <v>80</v>
      </c>
      <c r="U1653" t="str">
        <f t="shared" si="101"/>
        <v>Debit Card</v>
      </c>
      <c r="V1653" s="4" t="str">
        <f t="shared" si="102"/>
        <v>Normal</v>
      </c>
      <c r="W1653" s="4" t="str">
        <f t="shared" si="103"/>
        <v>Good</v>
      </c>
      <c r="X1653" s="4">
        <f>AVERAGE(Table1[Purchase Amount])</f>
        <v>129.48419400000012</v>
      </c>
    </row>
    <row r="1654" spans="1:24" ht="15" customHeight="1" x14ac:dyDescent="0.25">
      <c r="A1654">
        <v>1653</v>
      </c>
      <c r="B1654">
        <v>65</v>
      </c>
      <c r="C1654" t="s">
        <v>27</v>
      </c>
      <c r="D1654" t="s">
        <v>127</v>
      </c>
      <c r="E1654" t="s">
        <v>18</v>
      </c>
      <c r="F1654" s="2">
        <v>35</v>
      </c>
      <c r="G1654" t="s">
        <v>110</v>
      </c>
      <c r="H1654" t="s">
        <v>31</v>
      </c>
      <c r="I1654" t="s">
        <v>108</v>
      </c>
      <c r="J1654" t="s">
        <v>57</v>
      </c>
      <c r="K1654">
        <v>4</v>
      </c>
      <c r="L1654" t="s">
        <v>23</v>
      </c>
      <c r="M1654" t="s">
        <v>79</v>
      </c>
      <c r="N1654" t="s">
        <v>34</v>
      </c>
      <c r="O1654">
        <v>1</v>
      </c>
      <c r="P1654" t="s">
        <v>88</v>
      </c>
      <c r="Q1654" t="s">
        <v>89</v>
      </c>
      <c r="R1654" s="1">
        <v>0.1</v>
      </c>
      <c r="S1654">
        <f t="shared" si="100"/>
        <v>31.5</v>
      </c>
      <c r="T1654">
        <f>IFERROR(VLOOKUP(A1654,Table1[[Customer ID]:[Discount Amount]], 6, FALSE),"Not Found")</f>
        <v>35</v>
      </c>
      <c r="U1654" t="str">
        <f t="shared" si="101"/>
        <v>Bank Transfer</v>
      </c>
      <c r="V1654" s="4" t="str">
        <f t="shared" si="102"/>
        <v>Normal</v>
      </c>
      <c r="W1654" s="4" t="str">
        <f t="shared" si="103"/>
        <v>Good</v>
      </c>
      <c r="X1654" s="4">
        <f>AVERAGE(Table1[Purchase Amount])</f>
        <v>129.48419400000012</v>
      </c>
    </row>
    <row r="1655" spans="1:24" ht="15" customHeight="1" x14ac:dyDescent="0.25">
      <c r="A1655">
        <v>1654</v>
      </c>
      <c r="B1655">
        <v>31</v>
      </c>
      <c r="C1655" t="s">
        <v>27</v>
      </c>
      <c r="D1655" t="s">
        <v>114</v>
      </c>
      <c r="E1655" t="s">
        <v>29</v>
      </c>
      <c r="F1655" s="2">
        <v>93</v>
      </c>
      <c r="G1655" t="s">
        <v>92</v>
      </c>
      <c r="H1655" t="s">
        <v>45</v>
      </c>
      <c r="I1655" t="s">
        <v>153</v>
      </c>
      <c r="J1655" t="s">
        <v>22</v>
      </c>
      <c r="K1655">
        <v>3</v>
      </c>
      <c r="L1655" t="s">
        <v>23</v>
      </c>
      <c r="M1655" t="s">
        <v>41</v>
      </c>
      <c r="N1655" t="s">
        <v>34</v>
      </c>
      <c r="O1655">
        <v>29</v>
      </c>
      <c r="P1655" t="s">
        <v>36</v>
      </c>
      <c r="Q1655" t="s">
        <v>68</v>
      </c>
      <c r="R1655" s="1">
        <v>0.1</v>
      </c>
      <c r="S1655">
        <f t="shared" si="100"/>
        <v>83.7</v>
      </c>
      <c r="T1655">
        <f>IFERROR(VLOOKUP(A1655,Table1[[Customer ID]:[Discount Amount]], 6, FALSE),"Not Found")</f>
        <v>93</v>
      </c>
      <c r="U1655" t="str">
        <f t="shared" si="101"/>
        <v>Debit Card</v>
      </c>
      <c r="V1655" s="4" t="str">
        <f t="shared" si="102"/>
        <v>Normal</v>
      </c>
      <c r="W1655" s="4" t="str">
        <f t="shared" si="103"/>
        <v>Good</v>
      </c>
      <c r="X1655" s="4">
        <f>AVERAGE(Table1[Purchase Amount])</f>
        <v>129.48419400000012</v>
      </c>
    </row>
    <row r="1656" spans="1:24" ht="15" customHeight="1" x14ac:dyDescent="0.25">
      <c r="A1656">
        <v>1655</v>
      </c>
      <c r="B1656">
        <v>43</v>
      </c>
      <c r="C1656" t="s">
        <v>27</v>
      </c>
      <c r="D1656" t="s">
        <v>114</v>
      </c>
      <c r="E1656" t="s">
        <v>29</v>
      </c>
      <c r="F1656" s="2">
        <v>25</v>
      </c>
      <c r="G1656" t="s">
        <v>102</v>
      </c>
      <c r="H1656" t="s">
        <v>45</v>
      </c>
      <c r="I1656" t="s">
        <v>85</v>
      </c>
      <c r="J1656" t="s">
        <v>33</v>
      </c>
      <c r="K1656">
        <v>2.6</v>
      </c>
      <c r="L1656" t="s">
        <v>23</v>
      </c>
      <c r="M1656" t="s">
        <v>48</v>
      </c>
      <c r="N1656" t="s">
        <v>34</v>
      </c>
      <c r="O1656">
        <v>14</v>
      </c>
      <c r="P1656" t="s">
        <v>53</v>
      </c>
      <c r="Q1656" t="s">
        <v>37</v>
      </c>
      <c r="R1656" s="1">
        <v>0.1</v>
      </c>
      <c r="S1656">
        <f t="shared" si="100"/>
        <v>22.5</v>
      </c>
      <c r="T1656">
        <f>IFERROR(VLOOKUP(A1656,Table1[[Customer ID]:[Discount Amount]], 6, FALSE),"Not Found")</f>
        <v>25</v>
      </c>
      <c r="U1656" t="str">
        <f t="shared" si="101"/>
        <v>Credit Card</v>
      </c>
      <c r="V1656" s="4" t="str">
        <f t="shared" si="102"/>
        <v>Normal</v>
      </c>
      <c r="W1656" s="4" t="str">
        <f t="shared" si="103"/>
        <v>Poor</v>
      </c>
      <c r="X1656" s="4">
        <f>AVERAGE(Table1[Purchase Amount])</f>
        <v>129.48419400000012</v>
      </c>
    </row>
    <row r="1657" spans="1:24" ht="15" customHeight="1" x14ac:dyDescent="0.25">
      <c r="A1657">
        <v>1656</v>
      </c>
      <c r="B1657">
        <v>37</v>
      </c>
      <c r="C1657" t="s">
        <v>27</v>
      </c>
      <c r="D1657" t="s">
        <v>127</v>
      </c>
      <c r="E1657" t="s">
        <v>18</v>
      </c>
      <c r="F1657" s="2">
        <v>81</v>
      </c>
      <c r="G1657" t="s">
        <v>150</v>
      </c>
      <c r="H1657" t="s">
        <v>45</v>
      </c>
      <c r="I1657" t="s">
        <v>133</v>
      </c>
      <c r="J1657" t="s">
        <v>33</v>
      </c>
      <c r="K1657">
        <v>3.2</v>
      </c>
      <c r="L1657" t="s">
        <v>23</v>
      </c>
      <c r="M1657" t="s">
        <v>79</v>
      </c>
      <c r="N1657" t="s">
        <v>34</v>
      </c>
      <c r="O1657">
        <v>4</v>
      </c>
      <c r="P1657" t="s">
        <v>58</v>
      </c>
      <c r="Q1657" t="s">
        <v>42</v>
      </c>
      <c r="R1657" s="1">
        <v>0.1</v>
      </c>
      <c r="S1657">
        <f t="shared" si="100"/>
        <v>72.900000000000006</v>
      </c>
      <c r="T1657">
        <f>IFERROR(VLOOKUP(A1657,Table1[[Customer ID]:[Discount Amount]], 6, FALSE),"Not Found")</f>
        <v>81</v>
      </c>
      <c r="U1657" t="str">
        <f t="shared" si="101"/>
        <v>PayPal</v>
      </c>
      <c r="V1657" s="4" t="str">
        <f t="shared" si="102"/>
        <v>Normal</v>
      </c>
      <c r="W1657" s="4" t="str">
        <f t="shared" si="103"/>
        <v>Good</v>
      </c>
      <c r="X1657" s="4">
        <f>AVERAGE(Table1[Purchase Amount])</f>
        <v>129.48419400000012</v>
      </c>
    </row>
    <row r="1658" spans="1:24" ht="15" customHeight="1" x14ac:dyDescent="0.25">
      <c r="A1658">
        <v>1657</v>
      </c>
      <c r="B1658">
        <v>21</v>
      </c>
      <c r="C1658" t="s">
        <v>27</v>
      </c>
      <c r="D1658" t="s">
        <v>118</v>
      </c>
      <c r="E1658" t="s">
        <v>18</v>
      </c>
      <c r="F1658" s="2">
        <v>42</v>
      </c>
      <c r="G1658" t="s">
        <v>102</v>
      </c>
      <c r="H1658" t="s">
        <v>45</v>
      </c>
      <c r="I1658" t="s">
        <v>60</v>
      </c>
      <c r="J1658" t="s">
        <v>33</v>
      </c>
      <c r="K1658">
        <v>2.6</v>
      </c>
      <c r="L1658" t="s">
        <v>23</v>
      </c>
      <c r="M1658" t="s">
        <v>41</v>
      </c>
      <c r="N1658" t="s">
        <v>34</v>
      </c>
      <c r="O1658">
        <v>41</v>
      </c>
      <c r="P1658" t="s">
        <v>58</v>
      </c>
      <c r="Q1658" t="s">
        <v>63</v>
      </c>
      <c r="R1658" s="1">
        <v>0.1</v>
      </c>
      <c r="S1658">
        <f t="shared" si="100"/>
        <v>37.799999999999997</v>
      </c>
      <c r="T1658">
        <f>IFERROR(VLOOKUP(A1658,Table1[[Customer ID]:[Discount Amount]], 6, FALSE),"Not Found")</f>
        <v>42</v>
      </c>
      <c r="U1658" t="str">
        <f t="shared" si="101"/>
        <v>PayPal</v>
      </c>
      <c r="V1658" s="4" t="str">
        <f t="shared" si="102"/>
        <v>Normal</v>
      </c>
      <c r="W1658" s="4" t="str">
        <f t="shared" si="103"/>
        <v>Poor</v>
      </c>
      <c r="X1658" s="4">
        <f>AVERAGE(Table1[Purchase Amount])</f>
        <v>129.48419400000012</v>
      </c>
    </row>
    <row r="1659" spans="1:24" ht="15" customHeight="1" x14ac:dyDescent="0.25">
      <c r="A1659">
        <v>1658</v>
      </c>
      <c r="B1659">
        <v>69</v>
      </c>
      <c r="C1659" t="s">
        <v>27</v>
      </c>
      <c r="D1659" t="s">
        <v>122</v>
      </c>
      <c r="E1659" t="s">
        <v>18</v>
      </c>
      <c r="F1659" s="2">
        <v>36</v>
      </c>
      <c r="G1659" t="s">
        <v>102</v>
      </c>
      <c r="H1659" t="s">
        <v>45</v>
      </c>
      <c r="I1659" t="s">
        <v>156</v>
      </c>
      <c r="J1659" t="s">
        <v>33</v>
      </c>
      <c r="K1659">
        <v>3.2</v>
      </c>
      <c r="L1659" t="s">
        <v>23</v>
      </c>
      <c r="M1659" t="s">
        <v>48</v>
      </c>
      <c r="N1659" t="s">
        <v>34</v>
      </c>
      <c r="O1659">
        <v>4</v>
      </c>
      <c r="P1659" t="s">
        <v>36</v>
      </c>
      <c r="Q1659" t="s">
        <v>68</v>
      </c>
      <c r="R1659" s="1">
        <v>0.1</v>
      </c>
      <c r="S1659">
        <f t="shared" si="100"/>
        <v>32.4</v>
      </c>
      <c r="T1659">
        <f>IFERROR(VLOOKUP(A1659,Table1[[Customer ID]:[Discount Amount]], 6, FALSE),"Not Found")</f>
        <v>36</v>
      </c>
      <c r="U1659" t="str">
        <f t="shared" si="101"/>
        <v>Debit Card</v>
      </c>
      <c r="V1659" s="4" t="str">
        <f t="shared" si="102"/>
        <v>Normal</v>
      </c>
      <c r="W1659" s="4" t="str">
        <f t="shared" si="103"/>
        <v>Good</v>
      </c>
      <c r="X1659" s="4">
        <f>AVERAGE(Table1[Purchase Amount])</f>
        <v>129.48419400000012</v>
      </c>
    </row>
    <row r="1660" spans="1:24" ht="15" customHeight="1" x14ac:dyDescent="0.25">
      <c r="A1660">
        <v>1659</v>
      </c>
      <c r="B1660">
        <v>32</v>
      </c>
      <c r="C1660" t="s">
        <v>27</v>
      </c>
      <c r="D1660" t="s">
        <v>50</v>
      </c>
      <c r="E1660" t="s">
        <v>29</v>
      </c>
      <c r="F1660" s="2">
        <v>66</v>
      </c>
      <c r="G1660" t="s">
        <v>148</v>
      </c>
      <c r="H1660" t="s">
        <v>55</v>
      </c>
      <c r="I1660" t="s">
        <v>136</v>
      </c>
      <c r="J1660" t="s">
        <v>33</v>
      </c>
      <c r="K1660">
        <v>4.0999999999999996</v>
      </c>
      <c r="L1660" t="s">
        <v>23</v>
      </c>
      <c r="M1660" t="s">
        <v>48</v>
      </c>
      <c r="N1660" t="s">
        <v>34</v>
      </c>
      <c r="O1660">
        <v>47</v>
      </c>
      <c r="P1660" t="s">
        <v>25</v>
      </c>
      <c r="Q1660" t="s">
        <v>26</v>
      </c>
      <c r="R1660" s="1">
        <v>0.1</v>
      </c>
      <c r="S1660">
        <f t="shared" si="100"/>
        <v>59.4</v>
      </c>
      <c r="T1660">
        <f>IFERROR(VLOOKUP(A1660,Table1[[Customer ID]:[Discount Amount]], 6, FALSE),"Not Found")</f>
        <v>66</v>
      </c>
      <c r="U1660" t="str">
        <f t="shared" si="101"/>
        <v>Cash</v>
      </c>
      <c r="V1660" s="4" t="str">
        <f t="shared" si="102"/>
        <v>Normal</v>
      </c>
      <c r="W1660" s="4" t="str">
        <f t="shared" si="103"/>
        <v>Good</v>
      </c>
      <c r="X1660" s="4">
        <f>AVERAGE(Table1[Purchase Amount])</f>
        <v>129.48419400000012</v>
      </c>
    </row>
    <row r="1661" spans="1:24" ht="15" customHeight="1" x14ac:dyDescent="0.25">
      <c r="A1661">
        <v>1660</v>
      </c>
      <c r="B1661">
        <v>53</v>
      </c>
      <c r="C1661" t="s">
        <v>27</v>
      </c>
      <c r="D1661" t="s">
        <v>43</v>
      </c>
      <c r="E1661" t="s">
        <v>29</v>
      </c>
      <c r="F1661" s="2">
        <v>37</v>
      </c>
      <c r="G1661" t="s">
        <v>144</v>
      </c>
      <c r="H1661" t="s">
        <v>31</v>
      </c>
      <c r="I1661" t="s">
        <v>40</v>
      </c>
      <c r="J1661" t="s">
        <v>47</v>
      </c>
      <c r="K1661">
        <v>3.9</v>
      </c>
      <c r="L1661" t="s">
        <v>23</v>
      </c>
      <c r="M1661" t="s">
        <v>79</v>
      </c>
      <c r="N1661" t="s">
        <v>34</v>
      </c>
      <c r="O1661">
        <v>44</v>
      </c>
      <c r="P1661" t="s">
        <v>62</v>
      </c>
      <c r="Q1661" t="s">
        <v>49</v>
      </c>
      <c r="R1661" s="1">
        <v>0.1</v>
      </c>
      <c r="S1661">
        <f t="shared" si="100"/>
        <v>33.299999999999997</v>
      </c>
      <c r="T1661">
        <f>IFERROR(VLOOKUP(A1661,Table1[[Customer ID]:[Discount Amount]], 6, FALSE),"Not Found")</f>
        <v>37</v>
      </c>
      <c r="U1661" t="str">
        <f t="shared" si="101"/>
        <v>Venmo</v>
      </c>
      <c r="V1661" s="4" t="str">
        <f t="shared" si="102"/>
        <v>Normal</v>
      </c>
      <c r="W1661" s="4" t="str">
        <f t="shared" si="103"/>
        <v>Good</v>
      </c>
      <c r="X1661" s="4">
        <f>AVERAGE(Table1[Purchase Amount])</f>
        <v>129.48419400000012</v>
      </c>
    </row>
    <row r="1662" spans="1:24" ht="15" customHeight="1" x14ac:dyDescent="0.25">
      <c r="A1662">
        <v>1661</v>
      </c>
      <c r="B1662">
        <v>59</v>
      </c>
      <c r="C1662" t="s">
        <v>27</v>
      </c>
      <c r="D1662" t="s">
        <v>17</v>
      </c>
      <c r="E1662" t="s">
        <v>18</v>
      </c>
      <c r="F1662" s="2">
        <v>45</v>
      </c>
      <c r="G1662" t="s">
        <v>119</v>
      </c>
      <c r="H1662" t="s">
        <v>45</v>
      </c>
      <c r="I1662" t="s">
        <v>52</v>
      </c>
      <c r="J1662" t="s">
        <v>22</v>
      </c>
      <c r="K1662">
        <v>4.0999999999999996</v>
      </c>
      <c r="L1662" t="s">
        <v>23</v>
      </c>
      <c r="M1662" t="s">
        <v>24</v>
      </c>
      <c r="N1662" t="s">
        <v>34</v>
      </c>
      <c r="O1662">
        <v>37</v>
      </c>
      <c r="P1662" t="s">
        <v>62</v>
      </c>
      <c r="Q1662" t="s">
        <v>42</v>
      </c>
      <c r="R1662" s="1">
        <v>0.1</v>
      </c>
      <c r="S1662">
        <f t="shared" si="100"/>
        <v>40.5</v>
      </c>
      <c r="T1662">
        <f>IFERROR(VLOOKUP(A1662,Table1[[Customer ID]:[Discount Amount]], 6, FALSE),"Not Found")</f>
        <v>45</v>
      </c>
      <c r="U1662" t="str">
        <f t="shared" si="101"/>
        <v>Venmo</v>
      </c>
      <c r="V1662" s="4" t="str">
        <f t="shared" si="102"/>
        <v>Normal</v>
      </c>
      <c r="W1662" s="4" t="str">
        <f t="shared" si="103"/>
        <v>Good</v>
      </c>
      <c r="X1662" s="4">
        <f>AVERAGE(Table1[Purchase Amount])</f>
        <v>129.48419400000012</v>
      </c>
    </row>
    <row r="1663" spans="1:24" ht="15" customHeight="1" x14ac:dyDescent="0.25">
      <c r="A1663">
        <v>1662</v>
      </c>
      <c r="B1663">
        <v>64</v>
      </c>
      <c r="C1663" t="s">
        <v>27</v>
      </c>
      <c r="D1663" t="s">
        <v>43</v>
      </c>
      <c r="E1663" t="s">
        <v>29</v>
      </c>
      <c r="F1663" s="2">
        <v>86</v>
      </c>
      <c r="G1663" t="s">
        <v>141</v>
      </c>
      <c r="H1663" t="s">
        <v>55</v>
      </c>
      <c r="I1663" t="s">
        <v>56</v>
      </c>
      <c r="J1663" t="s">
        <v>57</v>
      </c>
      <c r="K1663">
        <v>2.7</v>
      </c>
      <c r="L1663" t="s">
        <v>23</v>
      </c>
      <c r="M1663" t="s">
        <v>41</v>
      </c>
      <c r="N1663" t="s">
        <v>34</v>
      </c>
      <c r="O1663">
        <v>21</v>
      </c>
      <c r="P1663" t="s">
        <v>36</v>
      </c>
      <c r="Q1663" t="s">
        <v>37</v>
      </c>
      <c r="R1663" s="1">
        <v>0.1</v>
      </c>
      <c r="S1663">
        <f t="shared" si="100"/>
        <v>77.400000000000006</v>
      </c>
      <c r="T1663">
        <f>IFERROR(VLOOKUP(A1663,Table1[[Customer ID]:[Discount Amount]], 6, FALSE),"Not Found")</f>
        <v>86</v>
      </c>
      <c r="U1663" t="str">
        <f t="shared" si="101"/>
        <v>Debit Card</v>
      </c>
      <c r="V1663" s="4" t="str">
        <f t="shared" si="102"/>
        <v>Normal</v>
      </c>
      <c r="W1663" s="4" t="str">
        <f t="shared" si="103"/>
        <v>Poor</v>
      </c>
      <c r="X1663" s="4">
        <f>AVERAGE(Table1[Purchase Amount])</f>
        <v>129.48419400000012</v>
      </c>
    </row>
    <row r="1664" spans="1:24" ht="15" customHeight="1" x14ac:dyDescent="0.25">
      <c r="A1664">
        <v>1663</v>
      </c>
      <c r="B1664">
        <v>63</v>
      </c>
      <c r="C1664" t="s">
        <v>27</v>
      </c>
      <c r="D1664" t="s">
        <v>28</v>
      </c>
      <c r="E1664" t="s">
        <v>29</v>
      </c>
      <c r="F1664" s="2">
        <v>24</v>
      </c>
      <c r="G1664" t="s">
        <v>110</v>
      </c>
      <c r="H1664" t="s">
        <v>31</v>
      </c>
      <c r="I1664" t="s">
        <v>21</v>
      </c>
      <c r="J1664" t="s">
        <v>22</v>
      </c>
      <c r="K1664">
        <v>4.5999999999999996</v>
      </c>
      <c r="L1664" t="s">
        <v>23</v>
      </c>
      <c r="M1664" t="s">
        <v>35</v>
      </c>
      <c r="N1664" t="s">
        <v>34</v>
      </c>
      <c r="O1664">
        <v>46</v>
      </c>
      <c r="P1664" t="s">
        <v>36</v>
      </c>
      <c r="Q1664" t="s">
        <v>89</v>
      </c>
      <c r="R1664" s="1">
        <v>0.1</v>
      </c>
      <c r="S1664">
        <f t="shared" si="100"/>
        <v>21.6</v>
      </c>
      <c r="T1664">
        <f>IFERROR(VLOOKUP(A1664,Table1[[Customer ID]:[Discount Amount]], 6, FALSE),"Not Found")</f>
        <v>24</v>
      </c>
      <c r="U1664" t="str">
        <f t="shared" si="101"/>
        <v>Debit Card</v>
      </c>
      <c r="V1664" s="4" t="str">
        <f t="shared" si="102"/>
        <v>Normal</v>
      </c>
      <c r="W1664" s="4" t="str">
        <f t="shared" si="103"/>
        <v>Good</v>
      </c>
      <c r="X1664" s="4">
        <f>AVERAGE(Table1[Purchase Amount])</f>
        <v>129.48419400000012</v>
      </c>
    </row>
    <row r="1665" spans="1:24" ht="15" customHeight="1" x14ac:dyDescent="0.25">
      <c r="A1665">
        <v>1664</v>
      </c>
      <c r="B1665">
        <v>43</v>
      </c>
      <c r="C1665" t="s">
        <v>27</v>
      </c>
      <c r="D1665" t="s">
        <v>38</v>
      </c>
      <c r="E1665" t="s">
        <v>18</v>
      </c>
      <c r="F1665" s="2">
        <v>22</v>
      </c>
      <c r="G1665" t="s">
        <v>94</v>
      </c>
      <c r="H1665" t="s">
        <v>20</v>
      </c>
      <c r="I1665" t="s">
        <v>133</v>
      </c>
      <c r="J1665" t="s">
        <v>57</v>
      </c>
      <c r="K1665">
        <v>3.5</v>
      </c>
      <c r="L1665" t="s">
        <v>23</v>
      </c>
      <c r="M1665" t="s">
        <v>24</v>
      </c>
      <c r="N1665" t="s">
        <v>34</v>
      </c>
      <c r="O1665">
        <v>1</v>
      </c>
      <c r="P1665" t="s">
        <v>25</v>
      </c>
      <c r="Q1665" t="s">
        <v>68</v>
      </c>
      <c r="R1665" s="1">
        <v>0.1</v>
      </c>
      <c r="S1665">
        <f t="shared" si="100"/>
        <v>19.8</v>
      </c>
      <c r="T1665">
        <f>IFERROR(VLOOKUP(A1665,Table1[[Customer ID]:[Discount Amount]], 6, FALSE),"Not Found")</f>
        <v>22</v>
      </c>
      <c r="U1665" t="str">
        <f t="shared" si="101"/>
        <v>Cash</v>
      </c>
      <c r="V1665" s="4" t="str">
        <f t="shared" si="102"/>
        <v>Normal</v>
      </c>
      <c r="W1665" s="4" t="str">
        <f t="shared" si="103"/>
        <v>Good</v>
      </c>
      <c r="X1665" s="4">
        <f>AVERAGE(Table1[Purchase Amount])</f>
        <v>129.48419400000012</v>
      </c>
    </row>
    <row r="1666" spans="1:24" ht="15" customHeight="1" x14ac:dyDescent="0.25">
      <c r="A1666">
        <v>1665</v>
      </c>
      <c r="B1666">
        <v>19</v>
      </c>
      <c r="C1666" t="s">
        <v>27</v>
      </c>
      <c r="D1666" t="s">
        <v>69</v>
      </c>
      <c r="E1666" t="s">
        <v>29</v>
      </c>
      <c r="F1666" s="2">
        <v>53</v>
      </c>
      <c r="G1666" t="s">
        <v>120</v>
      </c>
      <c r="H1666" t="s">
        <v>31</v>
      </c>
      <c r="I1666" t="s">
        <v>66</v>
      </c>
      <c r="J1666" t="s">
        <v>33</v>
      </c>
      <c r="K1666">
        <v>5</v>
      </c>
      <c r="L1666" t="s">
        <v>23</v>
      </c>
      <c r="M1666" t="s">
        <v>79</v>
      </c>
      <c r="N1666" t="s">
        <v>34</v>
      </c>
      <c r="O1666">
        <v>35</v>
      </c>
      <c r="P1666" t="s">
        <v>58</v>
      </c>
      <c r="Q1666" t="s">
        <v>26</v>
      </c>
      <c r="R1666" s="1">
        <v>0.1</v>
      </c>
      <c r="S1666">
        <f t="shared" ref="S1666:S1729" si="104">F1666-(F1666*R1666)</f>
        <v>47.7</v>
      </c>
      <c r="T1666">
        <f>IFERROR(VLOOKUP(A1666,Table1[[Customer ID]:[Discount Amount]], 6, FALSE),"Not Found")</f>
        <v>53</v>
      </c>
      <c r="U1666" t="str">
        <f t="shared" ref="U1666:U1729" si="105">INDEX(P:P, MATCH(A1666, A:A, 0))</f>
        <v>PayPal</v>
      </c>
      <c r="V1666" s="4" t="str">
        <f t="shared" ref="V1666:V1729" si="106">IF(AND(F1666&gt;1000,K1666&gt;=4),"Best Customer","Normal")</f>
        <v>Normal</v>
      </c>
      <c r="W1666" s="4" t="str">
        <f t="shared" ref="W1666:W1729" si="107">IF(K1666&gt;=3,"Good","Poor")</f>
        <v>Good</v>
      </c>
      <c r="X1666" s="4">
        <f>AVERAGE(Table1[Purchase Amount])</f>
        <v>129.48419400000012</v>
      </c>
    </row>
    <row r="1667" spans="1:24" ht="15" customHeight="1" x14ac:dyDescent="0.25">
      <c r="A1667">
        <v>1666</v>
      </c>
      <c r="B1667">
        <v>40</v>
      </c>
      <c r="C1667" t="s">
        <v>27</v>
      </c>
      <c r="D1667" t="s">
        <v>96</v>
      </c>
      <c r="E1667" t="s">
        <v>77</v>
      </c>
      <c r="F1667" s="2">
        <v>41</v>
      </c>
      <c r="G1667" t="s">
        <v>110</v>
      </c>
      <c r="H1667" t="s">
        <v>45</v>
      </c>
      <c r="I1667" t="s">
        <v>136</v>
      </c>
      <c r="J1667" t="s">
        <v>47</v>
      </c>
      <c r="K1667">
        <v>3.4</v>
      </c>
      <c r="L1667" t="s">
        <v>23</v>
      </c>
      <c r="M1667" t="s">
        <v>79</v>
      </c>
      <c r="N1667" t="s">
        <v>34</v>
      </c>
      <c r="O1667">
        <v>49</v>
      </c>
      <c r="P1667" t="s">
        <v>62</v>
      </c>
      <c r="Q1667" t="s">
        <v>42</v>
      </c>
      <c r="R1667" s="1">
        <v>0.1</v>
      </c>
      <c r="S1667">
        <f t="shared" si="104"/>
        <v>36.9</v>
      </c>
      <c r="T1667">
        <f>IFERROR(VLOOKUP(A1667,Table1[[Customer ID]:[Discount Amount]], 6, FALSE),"Not Found")</f>
        <v>41</v>
      </c>
      <c r="U1667" t="str">
        <f t="shared" si="105"/>
        <v>Venmo</v>
      </c>
      <c r="V1667" s="4" t="str">
        <f t="shared" si="106"/>
        <v>Normal</v>
      </c>
      <c r="W1667" s="4" t="str">
        <f t="shared" si="107"/>
        <v>Good</v>
      </c>
      <c r="X1667" s="4">
        <f>AVERAGE(Table1[Purchase Amount])</f>
        <v>129.48419400000012</v>
      </c>
    </row>
    <row r="1668" spans="1:24" ht="15" customHeight="1" x14ac:dyDescent="0.25">
      <c r="A1668">
        <v>1667</v>
      </c>
      <c r="B1668">
        <v>51</v>
      </c>
      <c r="C1668" t="s">
        <v>27</v>
      </c>
      <c r="D1668" t="s">
        <v>122</v>
      </c>
      <c r="E1668" t="s">
        <v>18</v>
      </c>
      <c r="F1668" s="2">
        <v>64</v>
      </c>
      <c r="G1668" t="s">
        <v>100</v>
      </c>
      <c r="H1668" t="s">
        <v>31</v>
      </c>
      <c r="I1668" t="s">
        <v>74</v>
      </c>
      <c r="J1668" t="s">
        <v>57</v>
      </c>
      <c r="K1668">
        <v>3.1</v>
      </c>
      <c r="L1668" t="s">
        <v>23</v>
      </c>
      <c r="M1668" t="s">
        <v>48</v>
      </c>
      <c r="N1668" t="s">
        <v>34</v>
      </c>
      <c r="O1668">
        <v>47</v>
      </c>
      <c r="P1668" t="s">
        <v>58</v>
      </c>
      <c r="Q1668" t="s">
        <v>49</v>
      </c>
      <c r="R1668" s="1">
        <v>0.1</v>
      </c>
      <c r="S1668">
        <f t="shared" si="104"/>
        <v>57.6</v>
      </c>
      <c r="T1668">
        <f>IFERROR(VLOOKUP(A1668,Table1[[Customer ID]:[Discount Amount]], 6, FALSE),"Not Found")</f>
        <v>64</v>
      </c>
      <c r="U1668" t="str">
        <f t="shared" si="105"/>
        <v>PayPal</v>
      </c>
      <c r="V1668" s="4" t="str">
        <f t="shared" si="106"/>
        <v>Normal</v>
      </c>
      <c r="W1668" s="4" t="str">
        <f t="shared" si="107"/>
        <v>Good</v>
      </c>
      <c r="X1668" s="4">
        <f>AVERAGE(Table1[Purchase Amount])</f>
        <v>129.48419400000012</v>
      </c>
    </row>
    <row r="1669" spans="1:24" ht="15" customHeight="1" x14ac:dyDescent="0.25">
      <c r="A1669">
        <v>1668</v>
      </c>
      <c r="B1669">
        <v>51</v>
      </c>
      <c r="C1669" t="s">
        <v>27</v>
      </c>
      <c r="D1669" t="s">
        <v>69</v>
      </c>
      <c r="E1669" t="s">
        <v>29</v>
      </c>
      <c r="F1669" s="2">
        <v>40</v>
      </c>
      <c r="G1669" t="s">
        <v>142</v>
      </c>
      <c r="H1669" t="s">
        <v>45</v>
      </c>
      <c r="I1669" t="s">
        <v>60</v>
      </c>
      <c r="J1669" t="s">
        <v>22</v>
      </c>
      <c r="K1669">
        <v>3.4</v>
      </c>
      <c r="L1669" t="s">
        <v>23</v>
      </c>
      <c r="M1669" t="s">
        <v>41</v>
      </c>
      <c r="N1669" t="s">
        <v>34</v>
      </c>
      <c r="O1669">
        <v>24</v>
      </c>
      <c r="P1669" t="s">
        <v>88</v>
      </c>
      <c r="Q1669" t="s">
        <v>63</v>
      </c>
      <c r="R1669" s="1">
        <v>0.1</v>
      </c>
      <c r="S1669">
        <f t="shared" si="104"/>
        <v>36</v>
      </c>
      <c r="T1669">
        <f>IFERROR(VLOOKUP(A1669,Table1[[Customer ID]:[Discount Amount]], 6, FALSE),"Not Found")</f>
        <v>40</v>
      </c>
      <c r="U1669" t="str">
        <f t="shared" si="105"/>
        <v>Bank Transfer</v>
      </c>
      <c r="V1669" s="4" t="str">
        <f t="shared" si="106"/>
        <v>Normal</v>
      </c>
      <c r="W1669" s="4" t="str">
        <f t="shared" si="107"/>
        <v>Good</v>
      </c>
      <c r="X1669" s="4">
        <f>AVERAGE(Table1[Purchase Amount])</f>
        <v>129.48419400000012</v>
      </c>
    </row>
    <row r="1670" spans="1:24" ht="15" customHeight="1" x14ac:dyDescent="0.25">
      <c r="A1670">
        <v>1669</v>
      </c>
      <c r="B1670">
        <v>66</v>
      </c>
      <c r="C1670" t="s">
        <v>27</v>
      </c>
      <c r="D1670" t="s">
        <v>118</v>
      </c>
      <c r="E1670" t="s">
        <v>18</v>
      </c>
      <c r="F1670" s="2">
        <v>33</v>
      </c>
      <c r="G1670" t="s">
        <v>144</v>
      </c>
      <c r="H1670" t="s">
        <v>45</v>
      </c>
      <c r="I1670" t="s">
        <v>103</v>
      </c>
      <c r="J1670" t="s">
        <v>57</v>
      </c>
      <c r="K1670">
        <v>4</v>
      </c>
      <c r="L1670" t="s">
        <v>23</v>
      </c>
      <c r="M1670" t="s">
        <v>24</v>
      </c>
      <c r="N1670" t="s">
        <v>34</v>
      </c>
      <c r="O1670">
        <v>28</v>
      </c>
      <c r="P1670" t="s">
        <v>36</v>
      </c>
      <c r="Q1670" t="s">
        <v>89</v>
      </c>
      <c r="R1670" s="1">
        <v>0.1</v>
      </c>
      <c r="S1670">
        <f t="shared" si="104"/>
        <v>29.7</v>
      </c>
      <c r="T1670">
        <f>IFERROR(VLOOKUP(A1670,Table1[[Customer ID]:[Discount Amount]], 6, FALSE),"Not Found")</f>
        <v>33</v>
      </c>
      <c r="U1670" t="str">
        <f t="shared" si="105"/>
        <v>Debit Card</v>
      </c>
      <c r="V1670" s="4" t="str">
        <f t="shared" si="106"/>
        <v>Normal</v>
      </c>
      <c r="W1670" s="4" t="str">
        <f t="shared" si="107"/>
        <v>Good</v>
      </c>
      <c r="X1670" s="4">
        <f>AVERAGE(Table1[Purchase Amount])</f>
        <v>129.48419400000012</v>
      </c>
    </row>
    <row r="1671" spans="1:24" ht="15" customHeight="1" x14ac:dyDescent="0.25">
      <c r="A1671">
        <v>1670</v>
      </c>
      <c r="B1671">
        <v>42</v>
      </c>
      <c r="C1671" t="s">
        <v>27</v>
      </c>
      <c r="D1671" t="s">
        <v>17</v>
      </c>
      <c r="E1671" t="s">
        <v>18</v>
      </c>
      <c r="F1671" s="2">
        <v>59</v>
      </c>
      <c r="G1671" t="s">
        <v>59</v>
      </c>
      <c r="H1671" t="s">
        <v>45</v>
      </c>
      <c r="I1671" t="s">
        <v>125</v>
      </c>
      <c r="J1671" t="s">
        <v>22</v>
      </c>
      <c r="K1671">
        <v>2.7</v>
      </c>
      <c r="L1671" t="s">
        <v>23</v>
      </c>
      <c r="M1671" t="s">
        <v>48</v>
      </c>
      <c r="N1671" t="s">
        <v>34</v>
      </c>
      <c r="O1671">
        <v>22</v>
      </c>
      <c r="P1671" t="s">
        <v>88</v>
      </c>
      <c r="Q1671" t="s">
        <v>37</v>
      </c>
      <c r="R1671" s="1">
        <v>0.1</v>
      </c>
      <c r="S1671">
        <f t="shared" si="104"/>
        <v>53.1</v>
      </c>
      <c r="T1671">
        <f>IFERROR(VLOOKUP(A1671,Table1[[Customer ID]:[Discount Amount]], 6, FALSE),"Not Found")</f>
        <v>59</v>
      </c>
      <c r="U1671" t="str">
        <f t="shared" si="105"/>
        <v>Bank Transfer</v>
      </c>
      <c r="V1671" s="4" t="str">
        <f t="shared" si="106"/>
        <v>Normal</v>
      </c>
      <c r="W1671" s="4" t="str">
        <f t="shared" si="107"/>
        <v>Poor</v>
      </c>
      <c r="X1671" s="4">
        <f>AVERAGE(Table1[Purchase Amount])</f>
        <v>129.48419400000012</v>
      </c>
    </row>
    <row r="1672" spans="1:24" ht="15" customHeight="1" x14ac:dyDescent="0.25">
      <c r="A1672">
        <v>1671</v>
      </c>
      <c r="B1672">
        <v>22</v>
      </c>
      <c r="C1672" t="s">
        <v>27</v>
      </c>
      <c r="D1672" t="s">
        <v>99</v>
      </c>
      <c r="E1672" t="s">
        <v>18</v>
      </c>
      <c r="F1672" s="2">
        <v>73</v>
      </c>
      <c r="G1672" t="s">
        <v>144</v>
      </c>
      <c r="H1672" t="s">
        <v>45</v>
      </c>
      <c r="I1672" t="s">
        <v>128</v>
      </c>
      <c r="J1672" t="s">
        <v>47</v>
      </c>
      <c r="K1672">
        <v>3.6</v>
      </c>
      <c r="L1672" t="s">
        <v>23</v>
      </c>
      <c r="M1672" t="s">
        <v>35</v>
      </c>
      <c r="N1672" t="s">
        <v>34</v>
      </c>
      <c r="O1672">
        <v>20</v>
      </c>
      <c r="P1672" t="s">
        <v>25</v>
      </c>
      <c r="Q1672" t="s">
        <v>26</v>
      </c>
      <c r="R1672" s="1">
        <v>0.1</v>
      </c>
      <c r="S1672">
        <f t="shared" si="104"/>
        <v>65.7</v>
      </c>
      <c r="T1672">
        <f>IFERROR(VLOOKUP(A1672,Table1[[Customer ID]:[Discount Amount]], 6, FALSE),"Not Found")</f>
        <v>73</v>
      </c>
      <c r="U1672" t="str">
        <f t="shared" si="105"/>
        <v>Cash</v>
      </c>
      <c r="V1672" s="4" t="str">
        <f t="shared" si="106"/>
        <v>Normal</v>
      </c>
      <c r="W1672" s="4" t="str">
        <f t="shared" si="107"/>
        <v>Good</v>
      </c>
      <c r="X1672" s="4">
        <f>AVERAGE(Table1[Purchase Amount])</f>
        <v>129.48419400000012</v>
      </c>
    </row>
    <row r="1673" spans="1:24" ht="15" customHeight="1" x14ac:dyDescent="0.25">
      <c r="A1673">
        <v>1672</v>
      </c>
      <c r="B1673">
        <v>31</v>
      </c>
      <c r="C1673" t="s">
        <v>27</v>
      </c>
      <c r="D1673" t="s">
        <v>83</v>
      </c>
      <c r="E1673" t="s">
        <v>18</v>
      </c>
      <c r="F1673" s="2">
        <v>22</v>
      </c>
      <c r="G1673" t="s">
        <v>144</v>
      </c>
      <c r="H1673" t="s">
        <v>31</v>
      </c>
      <c r="I1673" t="s">
        <v>21</v>
      </c>
      <c r="J1673" t="s">
        <v>22</v>
      </c>
      <c r="K1673">
        <v>4</v>
      </c>
      <c r="L1673" t="s">
        <v>23</v>
      </c>
      <c r="M1673" t="s">
        <v>35</v>
      </c>
      <c r="N1673" t="s">
        <v>34</v>
      </c>
      <c r="O1673">
        <v>25</v>
      </c>
      <c r="P1673" t="s">
        <v>88</v>
      </c>
      <c r="Q1673" t="s">
        <v>26</v>
      </c>
      <c r="R1673" s="1">
        <v>0.1</v>
      </c>
      <c r="S1673">
        <f t="shared" si="104"/>
        <v>19.8</v>
      </c>
      <c r="T1673">
        <f>IFERROR(VLOOKUP(A1673,Table1[[Customer ID]:[Discount Amount]], 6, FALSE),"Not Found")</f>
        <v>22</v>
      </c>
      <c r="U1673" t="str">
        <f t="shared" si="105"/>
        <v>Bank Transfer</v>
      </c>
      <c r="V1673" s="4" t="str">
        <f t="shared" si="106"/>
        <v>Normal</v>
      </c>
      <c r="W1673" s="4" t="str">
        <f t="shared" si="107"/>
        <v>Good</v>
      </c>
      <c r="X1673" s="4">
        <f>AVERAGE(Table1[Purchase Amount])</f>
        <v>129.48419400000012</v>
      </c>
    </row>
    <row r="1674" spans="1:24" ht="15" customHeight="1" x14ac:dyDescent="0.25">
      <c r="A1674">
        <v>1673</v>
      </c>
      <c r="B1674">
        <v>18</v>
      </c>
      <c r="C1674" t="s">
        <v>27</v>
      </c>
      <c r="D1674" t="s">
        <v>151</v>
      </c>
      <c r="E1674" t="s">
        <v>98</v>
      </c>
      <c r="F1674" s="2">
        <v>73</v>
      </c>
      <c r="G1674" t="s">
        <v>30</v>
      </c>
      <c r="H1674" t="s">
        <v>45</v>
      </c>
      <c r="I1674" t="s">
        <v>133</v>
      </c>
      <c r="J1674" t="s">
        <v>47</v>
      </c>
      <c r="K1674">
        <v>3.8</v>
      </c>
      <c r="L1674" t="s">
        <v>23</v>
      </c>
      <c r="M1674" t="s">
        <v>35</v>
      </c>
      <c r="N1674" t="s">
        <v>34</v>
      </c>
      <c r="O1674">
        <v>15</v>
      </c>
      <c r="P1674" t="s">
        <v>62</v>
      </c>
      <c r="Q1674" t="s">
        <v>37</v>
      </c>
      <c r="R1674" s="1">
        <v>0.1</v>
      </c>
      <c r="S1674">
        <f t="shared" si="104"/>
        <v>65.7</v>
      </c>
      <c r="T1674">
        <f>IFERROR(VLOOKUP(A1674,Table1[[Customer ID]:[Discount Amount]], 6, FALSE),"Not Found")</f>
        <v>73</v>
      </c>
      <c r="U1674" t="str">
        <f t="shared" si="105"/>
        <v>Venmo</v>
      </c>
      <c r="V1674" s="4" t="str">
        <f t="shared" si="106"/>
        <v>Normal</v>
      </c>
      <c r="W1674" s="4" t="str">
        <f t="shared" si="107"/>
        <v>Good</v>
      </c>
      <c r="X1674" s="4">
        <f>AVERAGE(Table1[Purchase Amount])</f>
        <v>129.48419400000012</v>
      </c>
    </row>
    <row r="1675" spans="1:24" ht="15" customHeight="1" x14ac:dyDescent="0.25">
      <c r="A1675">
        <v>1674</v>
      </c>
      <c r="B1675">
        <v>21</v>
      </c>
      <c r="C1675" t="s">
        <v>27</v>
      </c>
      <c r="D1675" t="s">
        <v>118</v>
      </c>
      <c r="E1675" t="s">
        <v>18</v>
      </c>
      <c r="F1675" s="2">
        <v>62</v>
      </c>
      <c r="G1675" t="s">
        <v>135</v>
      </c>
      <c r="H1675" t="s">
        <v>31</v>
      </c>
      <c r="I1675" t="s">
        <v>111</v>
      </c>
      <c r="J1675" t="s">
        <v>47</v>
      </c>
      <c r="K1675">
        <v>3.4</v>
      </c>
      <c r="L1675" t="s">
        <v>23</v>
      </c>
      <c r="M1675" t="s">
        <v>79</v>
      </c>
      <c r="N1675" t="s">
        <v>34</v>
      </c>
      <c r="O1675">
        <v>49</v>
      </c>
      <c r="P1675" t="s">
        <v>62</v>
      </c>
      <c r="Q1675" t="s">
        <v>68</v>
      </c>
      <c r="R1675" s="1">
        <v>0.1</v>
      </c>
      <c r="S1675">
        <f t="shared" si="104"/>
        <v>55.8</v>
      </c>
      <c r="T1675">
        <f>IFERROR(VLOOKUP(A1675,Table1[[Customer ID]:[Discount Amount]], 6, FALSE),"Not Found")</f>
        <v>62</v>
      </c>
      <c r="U1675" t="str">
        <f t="shared" si="105"/>
        <v>Venmo</v>
      </c>
      <c r="V1675" s="4" t="str">
        <f t="shared" si="106"/>
        <v>Normal</v>
      </c>
      <c r="W1675" s="4" t="str">
        <f t="shared" si="107"/>
        <v>Good</v>
      </c>
      <c r="X1675" s="4">
        <f>AVERAGE(Table1[Purchase Amount])</f>
        <v>129.48419400000012</v>
      </c>
    </row>
    <row r="1676" spans="1:24" ht="15" customHeight="1" x14ac:dyDescent="0.25">
      <c r="A1676">
        <v>1675</v>
      </c>
      <c r="B1676">
        <v>35</v>
      </c>
      <c r="C1676" t="s">
        <v>27</v>
      </c>
      <c r="D1676" t="s">
        <v>76</v>
      </c>
      <c r="E1676" t="s">
        <v>77</v>
      </c>
      <c r="F1676" s="2">
        <v>56</v>
      </c>
      <c r="G1676" t="s">
        <v>148</v>
      </c>
      <c r="H1676" t="s">
        <v>31</v>
      </c>
      <c r="I1676" t="s">
        <v>145</v>
      </c>
      <c r="J1676" t="s">
        <v>22</v>
      </c>
      <c r="K1676">
        <v>3.2</v>
      </c>
      <c r="L1676" t="s">
        <v>23</v>
      </c>
      <c r="M1676" t="s">
        <v>35</v>
      </c>
      <c r="N1676" t="s">
        <v>34</v>
      </c>
      <c r="O1676">
        <v>10</v>
      </c>
      <c r="P1676" t="s">
        <v>36</v>
      </c>
      <c r="Q1676" t="s">
        <v>89</v>
      </c>
      <c r="R1676" s="1">
        <v>0.1</v>
      </c>
      <c r="S1676">
        <f t="shared" si="104"/>
        <v>50.4</v>
      </c>
      <c r="T1676">
        <f>IFERROR(VLOOKUP(A1676,Table1[[Customer ID]:[Discount Amount]], 6, FALSE),"Not Found")</f>
        <v>56</v>
      </c>
      <c r="U1676" t="str">
        <f t="shared" si="105"/>
        <v>Debit Card</v>
      </c>
      <c r="V1676" s="4" t="str">
        <f t="shared" si="106"/>
        <v>Normal</v>
      </c>
      <c r="W1676" s="4" t="str">
        <f t="shared" si="107"/>
        <v>Good</v>
      </c>
      <c r="X1676" s="4">
        <f>AVERAGE(Table1[Purchase Amount])</f>
        <v>129.48419400000012</v>
      </c>
    </row>
    <row r="1677" spans="1:24" ht="15" customHeight="1" x14ac:dyDescent="0.25">
      <c r="A1677">
        <v>1676</v>
      </c>
      <c r="B1677">
        <v>35</v>
      </c>
      <c r="C1677" t="s">
        <v>27</v>
      </c>
      <c r="D1677" t="s">
        <v>99</v>
      </c>
      <c r="E1677" t="s">
        <v>18</v>
      </c>
      <c r="F1677" s="2">
        <v>90</v>
      </c>
      <c r="G1677" t="s">
        <v>92</v>
      </c>
      <c r="H1677" t="s">
        <v>31</v>
      </c>
      <c r="I1677" t="s">
        <v>56</v>
      </c>
      <c r="J1677" t="s">
        <v>33</v>
      </c>
      <c r="K1677">
        <v>4.7</v>
      </c>
      <c r="L1677" t="s">
        <v>23</v>
      </c>
      <c r="M1677" t="s">
        <v>79</v>
      </c>
      <c r="N1677" t="s">
        <v>34</v>
      </c>
      <c r="O1677">
        <v>21</v>
      </c>
      <c r="P1677" t="s">
        <v>53</v>
      </c>
      <c r="Q1677" t="s">
        <v>49</v>
      </c>
      <c r="R1677" s="1">
        <v>0.1</v>
      </c>
      <c r="S1677">
        <f t="shared" si="104"/>
        <v>81</v>
      </c>
      <c r="T1677">
        <f>IFERROR(VLOOKUP(A1677,Table1[[Customer ID]:[Discount Amount]], 6, FALSE),"Not Found")</f>
        <v>90</v>
      </c>
      <c r="U1677" t="str">
        <f t="shared" si="105"/>
        <v>Credit Card</v>
      </c>
      <c r="V1677" s="4" t="str">
        <f t="shared" si="106"/>
        <v>Normal</v>
      </c>
      <c r="W1677" s="4" t="str">
        <f t="shared" si="107"/>
        <v>Good</v>
      </c>
      <c r="X1677" s="4">
        <f>AVERAGE(Table1[Purchase Amount])</f>
        <v>129.48419400000012</v>
      </c>
    </row>
    <row r="1678" spans="1:24" ht="15" customHeight="1" x14ac:dyDescent="0.25">
      <c r="A1678">
        <v>1677</v>
      </c>
      <c r="B1678">
        <v>27</v>
      </c>
      <c r="C1678" t="s">
        <v>27</v>
      </c>
      <c r="D1678" t="s">
        <v>28</v>
      </c>
      <c r="E1678" t="s">
        <v>29</v>
      </c>
      <c r="F1678" s="2">
        <v>44</v>
      </c>
      <c r="G1678" t="s">
        <v>154</v>
      </c>
      <c r="H1678" t="s">
        <v>31</v>
      </c>
      <c r="I1678" t="s">
        <v>128</v>
      </c>
      <c r="J1678" t="s">
        <v>22</v>
      </c>
      <c r="K1678">
        <v>3.1</v>
      </c>
      <c r="L1678" t="s">
        <v>23</v>
      </c>
      <c r="M1678" t="s">
        <v>79</v>
      </c>
      <c r="N1678" t="s">
        <v>34</v>
      </c>
      <c r="O1678">
        <v>34</v>
      </c>
      <c r="P1678" t="s">
        <v>88</v>
      </c>
      <c r="Q1678" t="s">
        <v>26</v>
      </c>
      <c r="R1678" s="1">
        <v>0.1</v>
      </c>
      <c r="S1678">
        <f t="shared" si="104"/>
        <v>39.6</v>
      </c>
      <c r="T1678">
        <f>IFERROR(VLOOKUP(A1678,Table1[[Customer ID]:[Discount Amount]], 6, FALSE),"Not Found")</f>
        <v>44</v>
      </c>
      <c r="U1678" t="str">
        <f t="shared" si="105"/>
        <v>Bank Transfer</v>
      </c>
      <c r="V1678" s="4" t="str">
        <f t="shared" si="106"/>
        <v>Normal</v>
      </c>
      <c r="W1678" s="4" t="str">
        <f t="shared" si="107"/>
        <v>Good</v>
      </c>
      <c r="X1678" s="4">
        <f>AVERAGE(Table1[Purchase Amount])</f>
        <v>129.48419400000012</v>
      </c>
    </row>
    <row r="1679" spans="1:24" ht="15" customHeight="1" x14ac:dyDescent="0.25">
      <c r="A1679">
        <v>1678</v>
      </c>
      <c r="B1679">
        <v>65</v>
      </c>
      <c r="C1679" t="s">
        <v>27</v>
      </c>
      <c r="D1679" t="s">
        <v>109</v>
      </c>
      <c r="E1679" t="s">
        <v>18</v>
      </c>
      <c r="F1679" s="2">
        <v>35</v>
      </c>
      <c r="G1679" t="s">
        <v>123</v>
      </c>
      <c r="H1679" t="s">
        <v>45</v>
      </c>
      <c r="I1679" t="s">
        <v>153</v>
      </c>
      <c r="J1679" t="s">
        <v>57</v>
      </c>
      <c r="K1679">
        <v>3.3</v>
      </c>
      <c r="L1679" t="s">
        <v>23</v>
      </c>
      <c r="M1679" t="s">
        <v>79</v>
      </c>
      <c r="N1679" t="s">
        <v>23</v>
      </c>
      <c r="O1679">
        <v>41</v>
      </c>
      <c r="P1679" t="s">
        <v>36</v>
      </c>
      <c r="Q1679" t="s">
        <v>26</v>
      </c>
      <c r="R1679" s="1">
        <v>0.1</v>
      </c>
      <c r="S1679">
        <f t="shared" si="104"/>
        <v>31.5</v>
      </c>
      <c r="T1679">
        <f>IFERROR(VLOOKUP(A1679,Table1[[Customer ID]:[Discount Amount]], 6, FALSE),"Not Found")</f>
        <v>35</v>
      </c>
      <c r="U1679" t="str">
        <f t="shared" si="105"/>
        <v>Debit Card</v>
      </c>
      <c r="V1679" s="4" t="str">
        <f t="shared" si="106"/>
        <v>Normal</v>
      </c>
      <c r="W1679" s="4" t="str">
        <f t="shared" si="107"/>
        <v>Good</v>
      </c>
      <c r="X1679" s="4">
        <f>AVERAGE(Table1[Purchase Amount])</f>
        <v>129.48419400000012</v>
      </c>
    </row>
    <row r="1680" spans="1:24" ht="15" customHeight="1" x14ac:dyDescent="0.25">
      <c r="A1680">
        <v>1679</v>
      </c>
      <c r="B1680">
        <v>41</v>
      </c>
      <c r="C1680" t="s">
        <v>27</v>
      </c>
      <c r="D1680" t="s">
        <v>99</v>
      </c>
      <c r="E1680" t="s">
        <v>18</v>
      </c>
      <c r="F1680" s="2">
        <v>71</v>
      </c>
      <c r="G1680" t="s">
        <v>90</v>
      </c>
      <c r="H1680" t="s">
        <v>55</v>
      </c>
      <c r="I1680" t="s">
        <v>87</v>
      </c>
      <c r="J1680" t="s">
        <v>57</v>
      </c>
      <c r="K1680">
        <v>4.8</v>
      </c>
      <c r="L1680" t="s">
        <v>23</v>
      </c>
      <c r="M1680" t="s">
        <v>41</v>
      </c>
      <c r="N1680" t="s">
        <v>23</v>
      </c>
      <c r="O1680">
        <v>30</v>
      </c>
      <c r="P1680" t="s">
        <v>62</v>
      </c>
      <c r="Q1680" t="s">
        <v>89</v>
      </c>
      <c r="R1680" s="1">
        <v>0.1</v>
      </c>
      <c r="S1680">
        <f t="shared" si="104"/>
        <v>63.9</v>
      </c>
      <c r="T1680">
        <f>IFERROR(VLOOKUP(A1680,Table1[[Customer ID]:[Discount Amount]], 6, FALSE),"Not Found")</f>
        <v>71</v>
      </c>
      <c r="U1680" t="str">
        <f t="shared" si="105"/>
        <v>Venmo</v>
      </c>
      <c r="V1680" s="4" t="str">
        <f t="shared" si="106"/>
        <v>Normal</v>
      </c>
      <c r="W1680" s="4" t="str">
        <f t="shared" si="107"/>
        <v>Good</v>
      </c>
      <c r="X1680" s="4">
        <f>AVERAGE(Table1[Purchase Amount])</f>
        <v>129.48419400000012</v>
      </c>
    </row>
    <row r="1681" spans="1:24" ht="15" customHeight="1" x14ac:dyDescent="0.25">
      <c r="A1681">
        <v>1680</v>
      </c>
      <c r="B1681">
        <v>60</v>
      </c>
      <c r="C1681" t="s">
        <v>27</v>
      </c>
      <c r="D1681" t="s">
        <v>157</v>
      </c>
      <c r="E1681" t="s">
        <v>18</v>
      </c>
      <c r="F1681" s="2">
        <v>52</v>
      </c>
      <c r="G1681" t="s">
        <v>97</v>
      </c>
      <c r="H1681" t="s">
        <v>55</v>
      </c>
      <c r="I1681" t="s">
        <v>40</v>
      </c>
      <c r="J1681" t="s">
        <v>47</v>
      </c>
      <c r="K1681">
        <v>4.5</v>
      </c>
      <c r="L1681" t="s">
        <v>23</v>
      </c>
      <c r="M1681" t="s">
        <v>79</v>
      </c>
      <c r="N1681" t="s">
        <v>23</v>
      </c>
      <c r="O1681">
        <v>24</v>
      </c>
      <c r="P1681" t="s">
        <v>36</v>
      </c>
      <c r="Q1681" t="s">
        <v>68</v>
      </c>
      <c r="R1681" s="1">
        <v>0.1</v>
      </c>
      <c r="S1681">
        <f t="shared" si="104"/>
        <v>46.8</v>
      </c>
      <c r="T1681">
        <f>IFERROR(VLOOKUP(A1681,Table1[[Customer ID]:[Discount Amount]], 6, FALSE),"Not Found")</f>
        <v>52</v>
      </c>
      <c r="U1681" t="str">
        <f t="shared" si="105"/>
        <v>Debit Card</v>
      </c>
      <c r="V1681" s="4" t="str">
        <f t="shared" si="106"/>
        <v>Normal</v>
      </c>
      <c r="W1681" s="4" t="str">
        <f t="shared" si="107"/>
        <v>Good</v>
      </c>
      <c r="X1681" s="4">
        <f>AVERAGE(Table1[Purchase Amount])</f>
        <v>129.48419400000012</v>
      </c>
    </row>
    <row r="1682" spans="1:24" ht="15" customHeight="1" x14ac:dyDescent="0.25">
      <c r="A1682">
        <v>1681</v>
      </c>
      <c r="B1682">
        <v>61</v>
      </c>
      <c r="C1682" t="s">
        <v>27</v>
      </c>
      <c r="D1682" t="s">
        <v>72</v>
      </c>
      <c r="E1682" t="s">
        <v>98</v>
      </c>
      <c r="F1682" s="2">
        <v>37</v>
      </c>
      <c r="G1682" t="s">
        <v>119</v>
      </c>
      <c r="H1682" t="s">
        <v>31</v>
      </c>
      <c r="I1682" t="s">
        <v>21</v>
      </c>
      <c r="J1682" t="s">
        <v>57</v>
      </c>
      <c r="K1682">
        <v>3.4</v>
      </c>
      <c r="L1682" t="s">
        <v>23</v>
      </c>
      <c r="M1682" t="s">
        <v>48</v>
      </c>
      <c r="N1682" t="s">
        <v>23</v>
      </c>
      <c r="O1682">
        <v>6</v>
      </c>
      <c r="P1682" t="s">
        <v>53</v>
      </c>
      <c r="Q1682" t="s">
        <v>49</v>
      </c>
      <c r="R1682" s="1">
        <v>0.1</v>
      </c>
      <c r="S1682">
        <f t="shared" si="104"/>
        <v>33.299999999999997</v>
      </c>
      <c r="T1682">
        <f>IFERROR(VLOOKUP(A1682,Table1[[Customer ID]:[Discount Amount]], 6, FALSE),"Not Found")</f>
        <v>37</v>
      </c>
      <c r="U1682" t="str">
        <f t="shared" si="105"/>
        <v>Credit Card</v>
      </c>
      <c r="V1682" s="4" t="str">
        <f t="shared" si="106"/>
        <v>Normal</v>
      </c>
      <c r="W1682" s="4" t="str">
        <f t="shared" si="107"/>
        <v>Good</v>
      </c>
      <c r="X1682" s="4">
        <f>AVERAGE(Table1[Purchase Amount])</f>
        <v>129.48419400000012</v>
      </c>
    </row>
    <row r="1683" spans="1:24" ht="15" customHeight="1" x14ac:dyDescent="0.25">
      <c r="A1683">
        <v>1682</v>
      </c>
      <c r="B1683">
        <v>24</v>
      </c>
      <c r="C1683" t="s">
        <v>27</v>
      </c>
      <c r="D1683" t="s">
        <v>140</v>
      </c>
      <c r="E1683" t="s">
        <v>98</v>
      </c>
      <c r="F1683" s="2">
        <v>95</v>
      </c>
      <c r="G1683" t="s">
        <v>138</v>
      </c>
      <c r="H1683" t="s">
        <v>45</v>
      </c>
      <c r="I1683" t="s">
        <v>93</v>
      </c>
      <c r="J1683" t="s">
        <v>22</v>
      </c>
      <c r="K1683">
        <v>3.7</v>
      </c>
      <c r="L1683" t="s">
        <v>23</v>
      </c>
      <c r="M1683" t="s">
        <v>41</v>
      </c>
      <c r="N1683" t="s">
        <v>23</v>
      </c>
      <c r="O1683">
        <v>14</v>
      </c>
      <c r="P1683" t="s">
        <v>53</v>
      </c>
      <c r="Q1683" t="s">
        <v>68</v>
      </c>
      <c r="R1683" s="1">
        <v>0.1</v>
      </c>
      <c r="S1683">
        <f t="shared" si="104"/>
        <v>85.5</v>
      </c>
      <c r="T1683">
        <f>IFERROR(VLOOKUP(A1683,Table1[[Customer ID]:[Discount Amount]], 6, FALSE),"Not Found")</f>
        <v>95</v>
      </c>
      <c r="U1683" t="str">
        <f t="shared" si="105"/>
        <v>Credit Card</v>
      </c>
      <c r="V1683" s="4" t="str">
        <f t="shared" si="106"/>
        <v>Normal</v>
      </c>
      <c r="W1683" s="4" t="str">
        <f t="shared" si="107"/>
        <v>Good</v>
      </c>
      <c r="X1683" s="4">
        <f>AVERAGE(Table1[Purchase Amount])</f>
        <v>129.48419400000012</v>
      </c>
    </row>
    <row r="1684" spans="1:24" ht="15" customHeight="1" x14ac:dyDescent="0.25">
      <c r="A1684">
        <v>1683</v>
      </c>
      <c r="B1684">
        <v>65</v>
      </c>
      <c r="C1684" t="s">
        <v>27</v>
      </c>
      <c r="D1684" t="s">
        <v>105</v>
      </c>
      <c r="E1684" t="s">
        <v>18</v>
      </c>
      <c r="F1684" s="2">
        <v>97</v>
      </c>
      <c r="G1684" t="s">
        <v>101</v>
      </c>
      <c r="H1684" t="s">
        <v>31</v>
      </c>
      <c r="I1684" t="s">
        <v>52</v>
      </c>
      <c r="J1684" t="s">
        <v>47</v>
      </c>
      <c r="K1684">
        <v>4.9000000000000004</v>
      </c>
      <c r="L1684" t="s">
        <v>23</v>
      </c>
      <c r="M1684" t="s">
        <v>41</v>
      </c>
      <c r="N1684" t="s">
        <v>23</v>
      </c>
      <c r="O1684">
        <v>37</v>
      </c>
      <c r="P1684" t="s">
        <v>53</v>
      </c>
      <c r="Q1684" t="s">
        <v>68</v>
      </c>
      <c r="R1684" s="1">
        <v>0.1</v>
      </c>
      <c r="S1684">
        <f t="shared" si="104"/>
        <v>87.3</v>
      </c>
      <c r="T1684">
        <f>IFERROR(VLOOKUP(A1684,Table1[[Customer ID]:[Discount Amount]], 6, FALSE),"Not Found")</f>
        <v>97</v>
      </c>
      <c r="U1684" t="str">
        <f t="shared" si="105"/>
        <v>Credit Card</v>
      </c>
      <c r="V1684" s="4" t="str">
        <f t="shared" si="106"/>
        <v>Normal</v>
      </c>
      <c r="W1684" s="4" t="str">
        <f t="shared" si="107"/>
        <v>Good</v>
      </c>
      <c r="X1684" s="4">
        <f>AVERAGE(Table1[Purchase Amount])</f>
        <v>129.48419400000012</v>
      </c>
    </row>
    <row r="1685" spans="1:24" ht="15" customHeight="1" x14ac:dyDescent="0.25">
      <c r="A1685">
        <v>1684</v>
      </c>
      <c r="B1685">
        <v>23</v>
      </c>
      <c r="C1685" t="s">
        <v>27</v>
      </c>
      <c r="D1685" t="s">
        <v>76</v>
      </c>
      <c r="E1685" t="s">
        <v>77</v>
      </c>
      <c r="F1685" s="2">
        <v>57</v>
      </c>
      <c r="G1685" t="s">
        <v>100</v>
      </c>
      <c r="H1685" t="s">
        <v>55</v>
      </c>
      <c r="I1685" t="s">
        <v>107</v>
      </c>
      <c r="J1685" t="s">
        <v>33</v>
      </c>
      <c r="K1685">
        <v>3.5</v>
      </c>
      <c r="L1685" t="s">
        <v>23</v>
      </c>
      <c r="M1685" t="s">
        <v>79</v>
      </c>
      <c r="N1685" t="s">
        <v>23</v>
      </c>
      <c r="O1685">
        <v>37</v>
      </c>
      <c r="P1685" t="s">
        <v>62</v>
      </c>
      <c r="Q1685" t="s">
        <v>37</v>
      </c>
      <c r="R1685" s="1">
        <v>0.1</v>
      </c>
      <c r="S1685">
        <f t="shared" si="104"/>
        <v>51.3</v>
      </c>
      <c r="T1685">
        <f>IFERROR(VLOOKUP(A1685,Table1[[Customer ID]:[Discount Amount]], 6, FALSE),"Not Found")</f>
        <v>57</v>
      </c>
      <c r="U1685" t="str">
        <f t="shared" si="105"/>
        <v>Venmo</v>
      </c>
      <c r="V1685" s="4" t="str">
        <f t="shared" si="106"/>
        <v>Normal</v>
      </c>
      <c r="W1685" s="4" t="str">
        <f t="shared" si="107"/>
        <v>Good</v>
      </c>
      <c r="X1685" s="4">
        <f>AVERAGE(Table1[Purchase Amount])</f>
        <v>129.48419400000012</v>
      </c>
    </row>
    <row r="1686" spans="1:24" ht="15" customHeight="1" x14ac:dyDescent="0.25">
      <c r="A1686">
        <v>1685</v>
      </c>
      <c r="B1686">
        <v>30</v>
      </c>
      <c r="C1686" t="s">
        <v>27</v>
      </c>
      <c r="D1686" t="s">
        <v>38</v>
      </c>
      <c r="E1686" t="s">
        <v>18</v>
      </c>
      <c r="F1686" s="2">
        <v>93</v>
      </c>
      <c r="G1686" t="s">
        <v>110</v>
      </c>
      <c r="H1686" t="s">
        <v>31</v>
      </c>
      <c r="I1686" t="s">
        <v>91</v>
      </c>
      <c r="J1686" t="s">
        <v>33</v>
      </c>
      <c r="K1686">
        <v>4.5999999999999996</v>
      </c>
      <c r="L1686" t="s">
        <v>23</v>
      </c>
      <c r="M1686" t="s">
        <v>24</v>
      </c>
      <c r="N1686" t="s">
        <v>23</v>
      </c>
      <c r="O1686">
        <v>28</v>
      </c>
      <c r="P1686" t="s">
        <v>58</v>
      </c>
      <c r="Q1686" t="s">
        <v>26</v>
      </c>
      <c r="R1686" s="1">
        <v>0.1</v>
      </c>
      <c r="S1686">
        <f t="shared" si="104"/>
        <v>83.7</v>
      </c>
      <c r="T1686">
        <f>IFERROR(VLOOKUP(A1686,Table1[[Customer ID]:[Discount Amount]], 6, FALSE),"Not Found")</f>
        <v>93</v>
      </c>
      <c r="U1686" t="str">
        <f t="shared" si="105"/>
        <v>PayPal</v>
      </c>
      <c r="V1686" s="4" t="str">
        <f t="shared" si="106"/>
        <v>Normal</v>
      </c>
      <c r="W1686" s="4" t="str">
        <f t="shared" si="107"/>
        <v>Good</v>
      </c>
      <c r="X1686" s="4">
        <f>AVERAGE(Table1[Purchase Amount])</f>
        <v>129.48419400000012</v>
      </c>
    </row>
    <row r="1687" spans="1:24" ht="15" customHeight="1" x14ac:dyDescent="0.25">
      <c r="A1687">
        <v>1686</v>
      </c>
      <c r="B1687">
        <v>33</v>
      </c>
      <c r="C1687" t="s">
        <v>27</v>
      </c>
      <c r="D1687" t="s">
        <v>118</v>
      </c>
      <c r="E1687" t="s">
        <v>18</v>
      </c>
      <c r="F1687" s="2">
        <v>48</v>
      </c>
      <c r="G1687" t="s">
        <v>120</v>
      </c>
      <c r="H1687" t="s">
        <v>31</v>
      </c>
      <c r="I1687" t="s">
        <v>136</v>
      </c>
      <c r="J1687" t="s">
        <v>22</v>
      </c>
      <c r="K1687">
        <v>4.5999999999999996</v>
      </c>
      <c r="L1687" t="s">
        <v>23</v>
      </c>
      <c r="M1687" t="s">
        <v>24</v>
      </c>
      <c r="N1687" t="s">
        <v>23</v>
      </c>
      <c r="O1687">
        <v>43</v>
      </c>
      <c r="P1687" t="s">
        <v>58</v>
      </c>
      <c r="Q1687" t="s">
        <v>68</v>
      </c>
      <c r="R1687" s="1">
        <v>0.1</v>
      </c>
      <c r="S1687">
        <f t="shared" si="104"/>
        <v>43.2</v>
      </c>
      <c r="T1687">
        <f>IFERROR(VLOOKUP(A1687,Table1[[Customer ID]:[Discount Amount]], 6, FALSE),"Not Found")</f>
        <v>48</v>
      </c>
      <c r="U1687" t="str">
        <f t="shared" si="105"/>
        <v>PayPal</v>
      </c>
      <c r="V1687" s="4" t="str">
        <f t="shared" si="106"/>
        <v>Normal</v>
      </c>
      <c r="W1687" s="4" t="str">
        <f t="shared" si="107"/>
        <v>Good</v>
      </c>
      <c r="X1687" s="4">
        <f>AVERAGE(Table1[Purchase Amount])</f>
        <v>129.48419400000012</v>
      </c>
    </row>
    <row r="1688" spans="1:24" ht="15" customHeight="1" x14ac:dyDescent="0.25">
      <c r="A1688">
        <v>1687</v>
      </c>
      <c r="B1688">
        <v>22</v>
      </c>
      <c r="C1688" t="s">
        <v>27</v>
      </c>
      <c r="D1688" t="s">
        <v>43</v>
      </c>
      <c r="E1688" t="s">
        <v>29</v>
      </c>
      <c r="F1688" s="2">
        <v>75</v>
      </c>
      <c r="G1688" t="s">
        <v>44</v>
      </c>
      <c r="H1688" t="s">
        <v>45</v>
      </c>
      <c r="I1688" t="s">
        <v>46</v>
      </c>
      <c r="J1688" t="s">
        <v>47</v>
      </c>
      <c r="K1688">
        <v>4.2</v>
      </c>
      <c r="L1688" t="s">
        <v>23</v>
      </c>
      <c r="M1688" t="s">
        <v>48</v>
      </c>
      <c r="N1688" t="s">
        <v>23</v>
      </c>
      <c r="O1688">
        <v>25</v>
      </c>
      <c r="P1688" t="s">
        <v>25</v>
      </c>
      <c r="Q1688" t="s">
        <v>49</v>
      </c>
      <c r="R1688" s="1">
        <v>0.1</v>
      </c>
      <c r="S1688">
        <f t="shared" si="104"/>
        <v>67.5</v>
      </c>
      <c r="T1688">
        <f>IFERROR(VLOOKUP(A1688,Table1[[Customer ID]:[Discount Amount]], 6, FALSE),"Not Found")</f>
        <v>75</v>
      </c>
      <c r="U1688" t="str">
        <f t="shared" si="105"/>
        <v>Cash</v>
      </c>
      <c r="V1688" s="4" t="str">
        <f t="shared" si="106"/>
        <v>Normal</v>
      </c>
      <c r="W1688" s="4" t="str">
        <f t="shared" si="107"/>
        <v>Good</v>
      </c>
      <c r="X1688" s="4">
        <f>AVERAGE(Table1[Purchase Amount])</f>
        <v>129.48419400000012</v>
      </c>
    </row>
    <row r="1689" spans="1:24" ht="15" customHeight="1" x14ac:dyDescent="0.25">
      <c r="A1689">
        <v>1688</v>
      </c>
      <c r="B1689">
        <v>67</v>
      </c>
      <c r="C1689" t="s">
        <v>27</v>
      </c>
      <c r="D1689" t="s">
        <v>122</v>
      </c>
      <c r="E1689" t="s">
        <v>18</v>
      </c>
      <c r="F1689" s="2">
        <v>70</v>
      </c>
      <c r="G1689" t="s">
        <v>160</v>
      </c>
      <c r="H1689" t="s">
        <v>55</v>
      </c>
      <c r="I1689" t="s">
        <v>87</v>
      </c>
      <c r="J1689" t="s">
        <v>22</v>
      </c>
      <c r="K1689">
        <v>3.7</v>
      </c>
      <c r="L1689" t="s">
        <v>23</v>
      </c>
      <c r="M1689" t="s">
        <v>35</v>
      </c>
      <c r="N1689" t="s">
        <v>23</v>
      </c>
      <c r="O1689">
        <v>4</v>
      </c>
      <c r="P1689" t="s">
        <v>58</v>
      </c>
      <c r="Q1689" t="s">
        <v>49</v>
      </c>
      <c r="R1689" s="1">
        <v>0.1</v>
      </c>
      <c r="S1689">
        <f t="shared" si="104"/>
        <v>63</v>
      </c>
      <c r="T1689">
        <f>IFERROR(VLOOKUP(A1689,Table1[[Customer ID]:[Discount Amount]], 6, FALSE),"Not Found")</f>
        <v>70</v>
      </c>
      <c r="U1689" t="str">
        <f t="shared" si="105"/>
        <v>PayPal</v>
      </c>
      <c r="V1689" s="4" t="str">
        <f t="shared" si="106"/>
        <v>Normal</v>
      </c>
      <c r="W1689" s="4" t="str">
        <f t="shared" si="107"/>
        <v>Good</v>
      </c>
      <c r="X1689" s="4">
        <f>AVERAGE(Table1[Purchase Amount])</f>
        <v>129.48419400000012</v>
      </c>
    </row>
    <row r="1690" spans="1:24" ht="15" customHeight="1" x14ac:dyDescent="0.25">
      <c r="A1690">
        <v>1689</v>
      </c>
      <c r="B1690">
        <v>28</v>
      </c>
      <c r="C1690" t="s">
        <v>27</v>
      </c>
      <c r="D1690" t="s">
        <v>69</v>
      </c>
      <c r="E1690" t="s">
        <v>29</v>
      </c>
      <c r="F1690" s="2">
        <v>26</v>
      </c>
      <c r="G1690" t="s">
        <v>149</v>
      </c>
      <c r="H1690" t="s">
        <v>55</v>
      </c>
      <c r="I1690" t="s">
        <v>145</v>
      </c>
      <c r="J1690" t="s">
        <v>22</v>
      </c>
      <c r="K1690">
        <v>3</v>
      </c>
      <c r="L1690" t="s">
        <v>23</v>
      </c>
      <c r="M1690" t="s">
        <v>79</v>
      </c>
      <c r="N1690" t="s">
        <v>23</v>
      </c>
      <c r="O1690">
        <v>13</v>
      </c>
      <c r="P1690" t="s">
        <v>62</v>
      </c>
      <c r="Q1690" t="s">
        <v>89</v>
      </c>
      <c r="R1690" s="1">
        <v>0.1</v>
      </c>
      <c r="S1690">
        <f t="shared" si="104"/>
        <v>23.4</v>
      </c>
      <c r="T1690">
        <f>IFERROR(VLOOKUP(A1690,Table1[[Customer ID]:[Discount Amount]], 6, FALSE),"Not Found")</f>
        <v>26</v>
      </c>
      <c r="U1690" t="str">
        <f t="shared" si="105"/>
        <v>Venmo</v>
      </c>
      <c r="V1690" s="4" t="str">
        <f t="shared" si="106"/>
        <v>Normal</v>
      </c>
      <c r="W1690" s="4" t="str">
        <f t="shared" si="107"/>
        <v>Good</v>
      </c>
      <c r="X1690" s="4">
        <f>AVERAGE(Table1[Purchase Amount])</f>
        <v>129.48419400000012</v>
      </c>
    </row>
    <row r="1691" spans="1:24" ht="15" customHeight="1" x14ac:dyDescent="0.25">
      <c r="A1691">
        <v>1690</v>
      </c>
      <c r="B1691">
        <v>32</v>
      </c>
      <c r="C1691" t="s">
        <v>27</v>
      </c>
      <c r="D1691" t="s">
        <v>38</v>
      </c>
      <c r="E1691" t="s">
        <v>18</v>
      </c>
      <c r="F1691" s="2">
        <v>73</v>
      </c>
      <c r="G1691" t="s">
        <v>134</v>
      </c>
      <c r="H1691" t="s">
        <v>45</v>
      </c>
      <c r="I1691" t="s">
        <v>156</v>
      </c>
      <c r="J1691" t="s">
        <v>22</v>
      </c>
      <c r="K1691">
        <v>4.5999999999999996</v>
      </c>
      <c r="L1691" t="s">
        <v>23</v>
      </c>
      <c r="M1691" t="s">
        <v>48</v>
      </c>
      <c r="N1691" t="s">
        <v>23</v>
      </c>
      <c r="O1691">
        <v>32</v>
      </c>
      <c r="P1691" t="s">
        <v>88</v>
      </c>
      <c r="Q1691" t="s">
        <v>42</v>
      </c>
      <c r="R1691" s="1">
        <v>0.1</v>
      </c>
      <c r="S1691">
        <f t="shared" si="104"/>
        <v>65.7</v>
      </c>
      <c r="T1691">
        <f>IFERROR(VLOOKUP(A1691,Table1[[Customer ID]:[Discount Amount]], 6, FALSE),"Not Found")</f>
        <v>73</v>
      </c>
      <c r="U1691" t="str">
        <f t="shared" si="105"/>
        <v>Bank Transfer</v>
      </c>
      <c r="V1691" s="4" t="str">
        <f t="shared" si="106"/>
        <v>Normal</v>
      </c>
      <c r="W1691" s="4" t="str">
        <f t="shared" si="107"/>
        <v>Good</v>
      </c>
      <c r="X1691" s="4">
        <f>AVERAGE(Table1[Purchase Amount])</f>
        <v>129.48419400000012</v>
      </c>
    </row>
    <row r="1692" spans="1:24" ht="15" customHeight="1" x14ac:dyDescent="0.25">
      <c r="A1692">
        <v>1691</v>
      </c>
      <c r="B1692">
        <v>40</v>
      </c>
      <c r="C1692" t="s">
        <v>27</v>
      </c>
      <c r="D1692" t="s">
        <v>76</v>
      </c>
      <c r="E1692" t="s">
        <v>77</v>
      </c>
      <c r="F1692" s="2">
        <v>30</v>
      </c>
      <c r="G1692" t="s">
        <v>158</v>
      </c>
      <c r="H1692" t="s">
        <v>31</v>
      </c>
      <c r="I1692" t="s">
        <v>40</v>
      </c>
      <c r="J1692" t="s">
        <v>57</v>
      </c>
      <c r="K1692">
        <v>3.2</v>
      </c>
      <c r="L1692" t="s">
        <v>23</v>
      </c>
      <c r="M1692" t="s">
        <v>35</v>
      </c>
      <c r="N1692" t="s">
        <v>23</v>
      </c>
      <c r="O1692">
        <v>1</v>
      </c>
      <c r="P1692" t="s">
        <v>25</v>
      </c>
      <c r="Q1692" t="s">
        <v>49</v>
      </c>
      <c r="R1692" s="1">
        <v>0.1</v>
      </c>
      <c r="S1692">
        <f t="shared" si="104"/>
        <v>27</v>
      </c>
      <c r="T1692">
        <f>IFERROR(VLOOKUP(A1692,Table1[[Customer ID]:[Discount Amount]], 6, FALSE),"Not Found")</f>
        <v>30</v>
      </c>
      <c r="U1692" t="str">
        <f t="shared" si="105"/>
        <v>Cash</v>
      </c>
      <c r="V1692" s="4" t="str">
        <f t="shared" si="106"/>
        <v>Normal</v>
      </c>
      <c r="W1692" s="4" t="str">
        <f t="shared" si="107"/>
        <v>Good</v>
      </c>
      <c r="X1692" s="4">
        <f>AVERAGE(Table1[Purchase Amount])</f>
        <v>129.48419400000012</v>
      </c>
    </row>
    <row r="1693" spans="1:24" ht="15" customHeight="1" x14ac:dyDescent="0.25">
      <c r="A1693">
        <v>1692</v>
      </c>
      <c r="B1693">
        <v>64</v>
      </c>
      <c r="C1693" t="s">
        <v>27</v>
      </c>
      <c r="D1693" t="s">
        <v>72</v>
      </c>
      <c r="E1693" t="s">
        <v>98</v>
      </c>
      <c r="F1693" s="2">
        <v>61</v>
      </c>
      <c r="G1693" t="s">
        <v>115</v>
      </c>
      <c r="H1693" t="s">
        <v>45</v>
      </c>
      <c r="I1693" t="s">
        <v>74</v>
      </c>
      <c r="J1693" t="s">
        <v>57</v>
      </c>
      <c r="K1693">
        <v>3.5</v>
      </c>
      <c r="L1693" t="s">
        <v>23</v>
      </c>
      <c r="M1693" t="s">
        <v>79</v>
      </c>
      <c r="N1693" t="s">
        <v>23</v>
      </c>
      <c r="O1693">
        <v>4</v>
      </c>
      <c r="P1693" t="s">
        <v>25</v>
      </c>
      <c r="Q1693" t="s">
        <v>49</v>
      </c>
      <c r="R1693" s="1">
        <v>0.1</v>
      </c>
      <c r="S1693">
        <f t="shared" si="104"/>
        <v>54.9</v>
      </c>
      <c r="T1693">
        <f>IFERROR(VLOOKUP(A1693,Table1[[Customer ID]:[Discount Amount]], 6, FALSE),"Not Found")</f>
        <v>61</v>
      </c>
      <c r="U1693" t="str">
        <f t="shared" si="105"/>
        <v>Cash</v>
      </c>
      <c r="V1693" s="4" t="str">
        <f t="shared" si="106"/>
        <v>Normal</v>
      </c>
      <c r="W1693" s="4" t="str">
        <f t="shared" si="107"/>
        <v>Good</v>
      </c>
      <c r="X1693" s="4">
        <f>AVERAGE(Table1[Purchase Amount])</f>
        <v>129.48419400000012</v>
      </c>
    </row>
    <row r="1694" spans="1:24" ht="15" customHeight="1" x14ac:dyDescent="0.25">
      <c r="A1694">
        <v>1693</v>
      </c>
      <c r="B1694">
        <v>56</v>
      </c>
      <c r="C1694" t="s">
        <v>27</v>
      </c>
      <c r="D1694" t="s">
        <v>69</v>
      </c>
      <c r="E1694" t="s">
        <v>29</v>
      </c>
      <c r="F1694" s="2">
        <v>75</v>
      </c>
      <c r="G1694" t="s">
        <v>144</v>
      </c>
      <c r="H1694" t="s">
        <v>31</v>
      </c>
      <c r="I1694" t="s">
        <v>56</v>
      </c>
      <c r="J1694" t="s">
        <v>22</v>
      </c>
      <c r="K1694">
        <v>2.6</v>
      </c>
      <c r="L1694" t="s">
        <v>23</v>
      </c>
      <c r="M1694" t="s">
        <v>24</v>
      </c>
      <c r="N1694" t="s">
        <v>23</v>
      </c>
      <c r="O1694">
        <v>33</v>
      </c>
      <c r="P1694" t="s">
        <v>25</v>
      </c>
      <c r="Q1694" t="s">
        <v>68</v>
      </c>
      <c r="R1694" s="1">
        <v>0.1</v>
      </c>
      <c r="S1694">
        <f t="shared" si="104"/>
        <v>67.5</v>
      </c>
      <c r="T1694">
        <f>IFERROR(VLOOKUP(A1694,Table1[[Customer ID]:[Discount Amount]], 6, FALSE),"Not Found")</f>
        <v>75</v>
      </c>
      <c r="U1694" t="str">
        <f t="shared" si="105"/>
        <v>Cash</v>
      </c>
      <c r="V1694" s="4" t="str">
        <f t="shared" si="106"/>
        <v>Normal</v>
      </c>
      <c r="W1694" s="4" t="str">
        <f t="shared" si="107"/>
        <v>Poor</v>
      </c>
      <c r="X1694" s="4">
        <f>AVERAGE(Table1[Purchase Amount])</f>
        <v>129.48419400000012</v>
      </c>
    </row>
    <row r="1695" spans="1:24" ht="15" customHeight="1" x14ac:dyDescent="0.25">
      <c r="A1695">
        <v>1694</v>
      </c>
      <c r="B1695">
        <v>63</v>
      </c>
      <c r="C1695" t="s">
        <v>27</v>
      </c>
      <c r="D1695" t="s">
        <v>96</v>
      </c>
      <c r="E1695" t="s">
        <v>77</v>
      </c>
      <c r="F1695" s="2">
        <v>88</v>
      </c>
      <c r="G1695" t="s">
        <v>65</v>
      </c>
      <c r="H1695" t="s">
        <v>20</v>
      </c>
      <c r="I1695" t="s">
        <v>21</v>
      </c>
      <c r="J1695" t="s">
        <v>47</v>
      </c>
      <c r="K1695">
        <v>4.9000000000000004</v>
      </c>
      <c r="L1695" t="s">
        <v>23</v>
      </c>
      <c r="M1695" t="s">
        <v>24</v>
      </c>
      <c r="N1695" t="s">
        <v>23</v>
      </c>
      <c r="O1695">
        <v>45</v>
      </c>
      <c r="P1695" t="s">
        <v>88</v>
      </c>
      <c r="Q1695" t="s">
        <v>89</v>
      </c>
      <c r="R1695" s="1">
        <v>0.1</v>
      </c>
      <c r="S1695">
        <f t="shared" si="104"/>
        <v>79.2</v>
      </c>
      <c r="T1695">
        <f>IFERROR(VLOOKUP(A1695,Table1[[Customer ID]:[Discount Amount]], 6, FALSE),"Not Found")</f>
        <v>88</v>
      </c>
      <c r="U1695" t="str">
        <f t="shared" si="105"/>
        <v>Bank Transfer</v>
      </c>
      <c r="V1695" s="4" t="str">
        <f t="shared" si="106"/>
        <v>Normal</v>
      </c>
      <c r="W1695" s="4" t="str">
        <f t="shared" si="107"/>
        <v>Good</v>
      </c>
      <c r="X1695" s="4">
        <f>AVERAGE(Table1[Purchase Amount])</f>
        <v>129.48419400000012</v>
      </c>
    </row>
    <row r="1696" spans="1:24" ht="15" customHeight="1" x14ac:dyDescent="0.25">
      <c r="A1696">
        <v>1695</v>
      </c>
      <c r="B1696">
        <v>20</v>
      </c>
      <c r="C1696" t="s">
        <v>27</v>
      </c>
      <c r="D1696" t="s">
        <v>38</v>
      </c>
      <c r="E1696" t="s">
        <v>18</v>
      </c>
      <c r="F1696" s="2">
        <v>67</v>
      </c>
      <c r="G1696" t="s">
        <v>149</v>
      </c>
      <c r="H1696" t="s">
        <v>31</v>
      </c>
      <c r="I1696" t="s">
        <v>156</v>
      </c>
      <c r="J1696" t="s">
        <v>57</v>
      </c>
      <c r="K1696">
        <v>2.7</v>
      </c>
      <c r="L1696" t="s">
        <v>23</v>
      </c>
      <c r="M1696" t="s">
        <v>61</v>
      </c>
      <c r="N1696" t="s">
        <v>23</v>
      </c>
      <c r="O1696">
        <v>20</v>
      </c>
      <c r="P1696" t="s">
        <v>36</v>
      </c>
      <c r="Q1696" t="s">
        <v>89</v>
      </c>
      <c r="R1696" s="1">
        <v>0.1</v>
      </c>
      <c r="S1696">
        <f t="shared" si="104"/>
        <v>60.3</v>
      </c>
      <c r="T1696">
        <f>IFERROR(VLOOKUP(A1696,Table1[[Customer ID]:[Discount Amount]], 6, FALSE),"Not Found")</f>
        <v>67</v>
      </c>
      <c r="U1696" t="str">
        <f t="shared" si="105"/>
        <v>Debit Card</v>
      </c>
      <c r="V1696" s="4" t="str">
        <f t="shared" si="106"/>
        <v>Normal</v>
      </c>
      <c r="W1696" s="4" t="str">
        <f t="shared" si="107"/>
        <v>Poor</v>
      </c>
      <c r="X1696" s="4">
        <f>AVERAGE(Table1[Purchase Amount])</f>
        <v>129.48419400000012</v>
      </c>
    </row>
    <row r="1697" spans="1:24" ht="15" customHeight="1" x14ac:dyDescent="0.25">
      <c r="A1697">
        <v>1696</v>
      </c>
      <c r="B1697">
        <v>54</v>
      </c>
      <c r="C1697" t="s">
        <v>27</v>
      </c>
      <c r="D1697" t="s">
        <v>64</v>
      </c>
      <c r="E1697" t="s">
        <v>29</v>
      </c>
      <c r="F1697" s="2">
        <v>95</v>
      </c>
      <c r="G1697" t="s">
        <v>137</v>
      </c>
      <c r="H1697" t="s">
        <v>55</v>
      </c>
      <c r="I1697" t="s">
        <v>52</v>
      </c>
      <c r="J1697" t="s">
        <v>47</v>
      </c>
      <c r="K1697">
        <v>4.7</v>
      </c>
      <c r="L1697" t="s">
        <v>23</v>
      </c>
      <c r="M1697" t="s">
        <v>41</v>
      </c>
      <c r="N1697" t="s">
        <v>23</v>
      </c>
      <c r="O1697">
        <v>1</v>
      </c>
      <c r="P1697" t="s">
        <v>58</v>
      </c>
      <c r="Q1697" t="s">
        <v>89</v>
      </c>
      <c r="R1697" s="1">
        <v>0.1</v>
      </c>
      <c r="S1697">
        <f t="shared" si="104"/>
        <v>85.5</v>
      </c>
      <c r="T1697">
        <f>IFERROR(VLOOKUP(A1697,Table1[[Customer ID]:[Discount Amount]], 6, FALSE),"Not Found")</f>
        <v>95</v>
      </c>
      <c r="U1697" t="str">
        <f t="shared" si="105"/>
        <v>PayPal</v>
      </c>
      <c r="V1697" s="4" t="str">
        <f t="shared" si="106"/>
        <v>Normal</v>
      </c>
      <c r="W1697" s="4" t="str">
        <f t="shared" si="107"/>
        <v>Good</v>
      </c>
      <c r="X1697" s="4">
        <f>AVERAGE(Table1[Purchase Amount])</f>
        <v>129.48419400000012</v>
      </c>
    </row>
    <row r="1698" spans="1:24" ht="15" customHeight="1" x14ac:dyDescent="0.25">
      <c r="A1698">
        <v>1697</v>
      </c>
      <c r="B1698">
        <v>31</v>
      </c>
      <c r="C1698" t="s">
        <v>27</v>
      </c>
      <c r="D1698" t="s">
        <v>28</v>
      </c>
      <c r="E1698" t="s">
        <v>29</v>
      </c>
      <c r="F1698" s="2">
        <v>69</v>
      </c>
      <c r="G1698" t="s">
        <v>154</v>
      </c>
      <c r="H1698" t="s">
        <v>55</v>
      </c>
      <c r="I1698" t="s">
        <v>156</v>
      </c>
      <c r="J1698" t="s">
        <v>33</v>
      </c>
      <c r="K1698">
        <v>4</v>
      </c>
      <c r="L1698" t="s">
        <v>23</v>
      </c>
      <c r="M1698" t="s">
        <v>35</v>
      </c>
      <c r="N1698" t="s">
        <v>23</v>
      </c>
      <c r="O1698">
        <v>7</v>
      </c>
      <c r="P1698" t="s">
        <v>53</v>
      </c>
      <c r="Q1698" t="s">
        <v>68</v>
      </c>
      <c r="R1698" s="1">
        <v>0.1</v>
      </c>
      <c r="S1698">
        <f t="shared" si="104"/>
        <v>62.1</v>
      </c>
      <c r="T1698">
        <f>IFERROR(VLOOKUP(A1698,Table1[[Customer ID]:[Discount Amount]], 6, FALSE),"Not Found")</f>
        <v>69</v>
      </c>
      <c r="U1698" t="str">
        <f t="shared" si="105"/>
        <v>Credit Card</v>
      </c>
      <c r="V1698" s="4" t="str">
        <f t="shared" si="106"/>
        <v>Normal</v>
      </c>
      <c r="W1698" s="4" t="str">
        <f t="shared" si="107"/>
        <v>Good</v>
      </c>
      <c r="X1698" s="4">
        <f>AVERAGE(Table1[Purchase Amount])</f>
        <v>129.48419400000012</v>
      </c>
    </row>
    <row r="1699" spans="1:24" ht="15" customHeight="1" x14ac:dyDescent="0.25">
      <c r="A1699">
        <v>1698</v>
      </c>
      <c r="B1699">
        <v>36</v>
      </c>
      <c r="C1699" t="s">
        <v>27</v>
      </c>
      <c r="D1699" t="s">
        <v>38</v>
      </c>
      <c r="E1699" t="s">
        <v>18</v>
      </c>
      <c r="F1699" s="2">
        <v>87</v>
      </c>
      <c r="G1699" t="s">
        <v>30</v>
      </c>
      <c r="H1699" t="s">
        <v>45</v>
      </c>
      <c r="I1699" t="s">
        <v>107</v>
      </c>
      <c r="J1699" t="s">
        <v>47</v>
      </c>
      <c r="K1699">
        <v>3.5</v>
      </c>
      <c r="L1699" t="s">
        <v>23</v>
      </c>
      <c r="M1699" t="s">
        <v>79</v>
      </c>
      <c r="N1699" t="s">
        <v>23</v>
      </c>
      <c r="O1699">
        <v>48</v>
      </c>
      <c r="P1699" t="s">
        <v>53</v>
      </c>
      <c r="Q1699" t="s">
        <v>63</v>
      </c>
      <c r="R1699" s="1">
        <v>0.1</v>
      </c>
      <c r="S1699">
        <f t="shared" si="104"/>
        <v>78.3</v>
      </c>
      <c r="T1699">
        <f>IFERROR(VLOOKUP(A1699,Table1[[Customer ID]:[Discount Amount]], 6, FALSE),"Not Found")</f>
        <v>87</v>
      </c>
      <c r="U1699" t="str">
        <f t="shared" si="105"/>
        <v>Credit Card</v>
      </c>
      <c r="V1699" s="4" t="str">
        <f t="shared" si="106"/>
        <v>Normal</v>
      </c>
      <c r="W1699" s="4" t="str">
        <f t="shared" si="107"/>
        <v>Good</v>
      </c>
      <c r="X1699" s="4">
        <f>AVERAGE(Table1[Purchase Amount])</f>
        <v>129.48419400000012</v>
      </c>
    </row>
    <row r="1700" spans="1:24" ht="15" customHeight="1" x14ac:dyDescent="0.25">
      <c r="A1700">
        <v>1699</v>
      </c>
      <c r="B1700">
        <v>25</v>
      </c>
      <c r="C1700" t="s">
        <v>27</v>
      </c>
      <c r="D1700" t="s">
        <v>114</v>
      </c>
      <c r="E1700" t="s">
        <v>29</v>
      </c>
      <c r="F1700" s="2">
        <v>41</v>
      </c>
      <c r="G1700" t="s">
        <v>141</v>
      </c>
      <c r="H1700" t="s">
        <v>20</v>
      </c>
      <c r="I1700" t="s">
        <v>156</v>
      </c>
      <c r="J1700" t="s">
        <v>22</v>
      </c>
      <c r="K1700">
        <v>4.8</v>
      </c>
      <c r="L1700" t="s">
        <v>23</v>
      </c>
      <c r="M1700" t="s">
        <v>24</v>
      </c>
      <c r="N1700" t="s">
        <v>23</v>
      </c>
      <c r="O1700">
        <v>46</v>
      </c>
      <c r="P1700" t="s">
        <v>88</v>
      </c>
      <c r="Q1700" t="s">
        <v>37</v>
      </c>
      <c r="R1700" s="1">
        <v>0.1</v>
      </c>
      <c r="S1700">
        <f t="shared" si="104"/>
        <v>36.9</v>
      </c>
      <c r="T1700">
        <f>IFERROR(VLOOKUP(A1700,Table1[[Customer ID]:[Discount Amount]], 6, FALSE),"Not Found")</f>
        <v>41</v>
      </c>
      <c r="U1700" t="str">
        <f t="shared" si="105"/>
        <v>Bank Transfer</v>
      </c>
      <c r="V1700" s="4" t="str">
        <f t="shared" si="106"/>
        <v>Normal</v>
      </c>
      <c r="W1700" s="4" t="str">
        <f t="shared" si="107"/>
        <v>Good</v>
      </c>
      <c r="X1700" s="4">
        <f>AVERAGE(Table1[Purchase Amount])</f>
        <v>129.48419400000012</v>
      </c>
    </row>
    <row r="1701" spans="1:24" ht="15" customHeight="1" x14ac:dyDescent="0.25">
      <c r="A1701">
        <v>1700</v>
      </c>
      <c r="B1701">
        <v>20</v>
      </c>
      <c r="C1701" t="s">
        <v>27</v>
      </c>
      <c r="D1701" t="s">
        <v>127</v>
      </c>
      <c r="E1701" t="s">
        <v>18</v>
      </c>
      <c r="F1701" s="2">
        <v>67</v>
      </c>
      <c r="G1701" t="s">
        <v>86</v>
      </c>
      <c r="H1701" t="s">
        <v>45</v>
      </c>
      <c r="I1701" t="s">
        <v>147</v>
      </c>
      <c r="J1701" t="s">
        <v>33</v>
      </c>
      <c r="K1701">
        <v>4</v>
      </c>
      <c r="L1701" t="s">
        <v>23</v>
      </c>
      <c r="M1701" t="s">
        <v>35</v>
      </c>
      <c r="N1701" t="s">
        <v>23</v>
      </c>
      <c r="O1701">
        <v>34</v>
      </c>
      <c r="P1701" t="s">
        <v>36</v>
      </c>
      <c r="Q1701" t="s">
        <v>49</v>
      </c>
      <c r="R1701" s="1">
        <v>0.1</v>
      </c>
      <c r="S1701">
        <f t="shared" si="104"/>
        <v>60.3</v>
      </c>
      <c r="T1701">
        <f>IFERROR(VLOOKUP(A1701,Table1[[Customer ID]:[Discount Amount]], 6, FALSE),"Not Found")</f>
        <v>67</v>
      </c>
      <c r="U1701" t="str">
        <f t="shared" si="105"/>
        <v>Debit Card</v>
      </c>
      <c r="V1701" s="4" t="str">
        <f t="shared" si="106"/>
        <v>Normal</v>
      </c>
      <c r="W1701" s="4" t="str">
        <f t="shared" si="107"/>
        <v>Good</v>
      </c>
      <c r="X1701" s="4">
        <f>AVERAGE(Table1[Purchase Amount])</f>
        <v>129.48419400000012</v>
      </c>
    </row>
    <row r="1702" spans="1:24" ht="15" customHeight="1" x14ac:dyDescent="0.25">
      <c r="A1702">
        <v>1701</v>
      </c>
      <c r="B1702">
        <v>62</v>
      </c>
      <c r="C1702" t="s">
        <v>27</v>
      </c>
      <c r="D1702" t="s">
        <v>83</v>
      </c>
      <c r="E1702" t="s">
        <v>18</v>
      </c>
      <c r="F1702" s="2">
        <v>70</v>
      </c>
      <c r="G1702" t="s">
        <v>154</v>
      </c>
      <c r="H1702" t="s">
        <v>45</v>
      </c>
      <c r="I1702" t="s">
        <v>40</v>
      </c>
      <c r="J1702" t="s">
        <v>47</v>
      </c>
      <c r="K1702">
        <v>4.0999999999999996</v>
      </c>
      <c r="L1702" t="s">
        <v>23</v>
      </c>
      <c r="M1702" t="s">
        <v>61</v>
      </c>
      <c r="N1702" t="s">
        <v>23</v>
      </c>
      <c r="O1702">
        <v>36</v>
      </c>
      <c r="P1702" t="s">
        <v>88</v>
      </c>
      <c r="Q1702" t="s">
        <v>42</v>
      </c>
      <c r="R1702" s="1">
        <v>0.1</v>
      </c>
      <c r="S1702">
        <f t="shared" si="104"/>
        <v>63</v>
      </c>
      <c r="T1702">
        <f>IFERROR(VLOOKUP(A1702,Table1[[Customer ID]:[Discount Amount]], 6, FALSE),"Not Found")</f>
        <v>70</v>
      </c>
      <c r="U1702" t="str">
        <f t="shared" si="105"/>
        <v>Bank Transfer</v>
      </c>
      <c r="V1702" s="4" t="str">
        <f t="shared" si="106"/>
        <v>Normal</v>
      </c>
      <c r="W1702" s="4" t="str">
        <f t="shared" si="107"/>
        <v>Good</v>
      </c>
      <c r="X1702" s="4">
        <f>AVERAGE(Table1[Purchase Amount])</f>
        <v>129.48419400000012</v>
      </c>
    </row>
    <row r="1703" spans="1:24" ht="15" customHeight="1" x14ac:dyDescent="0.25">
      <c r="A1703">
        <v>1702</v>
      </c>
      <c r="B1703">
        <v>69</v>
      </c>
      <c r="C1703" t="s">
        <v>27</v>
      </c>
      <c r="D1703" t="s">
        <v>69</v>
      </c>
      <c r="E1703" t="s">
        <v>29</v>
      </c>
      <c r="F1703" s="2">
        <v>41</v>
      </c>
      <c r="G1703" t="s">
        <v>149</v>
      </c>
      <c r="H1703" t="s">
        <v>20</v>
      </c>
      <c r="I1703" t="s">
        <v>74</v>
      </c>
      <c r="J1703" t="s">
        <v>22</v>
      </c>
      <c r="K1703">
        <v>3.8</v>
      </c>
      <c r="L1703" t="s">
        <v>23</v>
      </c>
      <c r="M1703" t="s">
        <v>79</v>
      </c>
      <c r="N1703" t="s">
        <v>23</v>
      </c>
      <c r="O1703">
        <v>44</v>
      </c>
      <c r="P1703" t="s">
        <v>36</v>
      </c>
      <c r="Q1703" t="s">
        <v>63</v>
      </c>
      <c r="R1703" s="1">
        <v>0.1</v>
      </c>
      <c r="S1703">
        <f t="shared" si="104"/>
        <v>36.9</v>
      </c>
      <c r="T1703">
        <f>IFERROR(VLOOKUP(A1703,Table1[[Customer ID]:[Discount Amount]], 6, FALSE),"Not Found")</f>
        <v>41</v>
      </c>
      <c r="U1703" t="str">
        <f t="shared" si="105"/>
        <v>Debit Card</v>
      </c>
      <c r="V1703" s="4" t="str">
        <f t="shared" si="106"/>
        <v>Normal</v>
      </c>
      <c r="W1703" s="4" t="str">
        <f t="shared" si="107"/>
        <v>Good</v>
      </c>
      <c r="X1703" s="4">
        <f>AVERAGE(Table1[Purchase Amount])</f>
        <v>129.48419400000012</v>
      </c>
    </row>
    <row r="1704" spans="1:24" ht="15" customHeight="1" x14ac:dyDescent="0.25">
      <c r="A1704">
        <v>1703</v>
      </c>
      <c r="B1704">
        <v>54</v>
      </c>
      <c r="C1704" t="s">
        <v>27</v>
      </c>
      <c r="D1704" t="s">
        <v>109</v>
      </c>
      <c r="E1704" t="s">
        <v>18</v>
      </c>
      <c r="F1704" s="2">
        <v>83</v>
      </c>
      <c r="G1704" t="s">
        <v>51</v>
      </c>
      <c r="H1704" t="s">
        <v>20</v>
      </c>
      <c r="I1704" t="s">
        <v>52</v>
      </c>
      <c r="J1704" t="s">
        <v>57</v>
      </c>
      <c r="K1704">
        <v>5</v>
      </c>
      <c r="L1704" t="s">
        <v>23</v>
      </c>
      <c r="M1704" t="s">
        <v>61</v>
      </c>
      <c r="N1704" t="s">
        <v>23</v>
      </c>
      <c r="O1704">
        <v>48</v>
      </c>
      <c r="P1704" t="s">
        <v>88</v>
      </c>
      <c r="Q1704" t="s">
        <v>26</v>
      </c>
      <c r="R1704" s="1">
        <v>0.1</v>
      </c>
      <c r="S1704">
        <f t="shared" si="104"/>
        <v>74.7</v>
      </c>
      <c r="T1704">
        <f>IFERROR(VLOOKUP(A1704,Table1[[Customer ID]:[Discount Amount]], 6, FALSE),"Not Found")</f>
        <v>83</v>
      </c>
      <c r="U1704" t="str">
        <f t="shared" si="105"/>
        <v>Bank Transfer</v>
      </c>
      <c r="V1704" s="4" t="str">
        <f t="shared" si="106"/>
        <v>Normal</v>
      </c>
      <c r="W1704" s="4" t="str">
        <f t="shared" si="107"/>
        <v>Good</v>
      </c>
      <c r="X1704" s="4">
        <f>AVERAGE(Table1[Purchase Amount])</f>
        <v>129.48419400000012</v>
      </c>
    </row>
    <row r="1705" spans="1:24" ht="15" customHeight="1" x14ac:dyDescent="0.25">
      <c r="A1705">
        <v>1704</v>
      </c>
      <c r="B1705">
        <v>39</v>
      </c>
      <c r="C1705" t="s">
        <v>27</v>
      </c>
      <c r="D1705" t="s">
        <v>104</v>
      </c>
      <c r="E1705" t="s">
        <v>29</v>
      </c>
      <c r="F1705" s="2">
        <v>22</v>
      </c>
      <c r="G1705" t="s">
        <v>19</v>
      </c>
      <c r="H1705" t="s">
        <v>31</v>
      </c>
      <c r="I1705" t="s">
        <v>40</v>
      </c>
      <c r="J1705" t="s">
        <v>33</v>
      </c>
      <c r="K1705">
        <v>4</v>
      </c>
      <c r="L1705" t="s">
        <v>23</v>
      </c>
      <c r="M1705" t="s">
        <v>79</v>
      </c>
      <c r="N1705" t="s">
        <v>23</v>
      </c>
      <c r="O1705">
        <v>12</v>
      </c>
      <c r="P1705" t="s">
        <v>88</v>
      </c>
      <c r="Q1705" t="s">
        <v>49</v>
      </c>
      <c r="R1705" s="1">
        <v>0.1</v>
      </c>
      <c r="S1705">
        <f t="shared" si="104"/>
        <v>19.8</v>
      </c>
      <c r="T1705">
        <f>IFERROR(VLOOKUP(A1705,Table1[[Customer ID]:[Discount Amount]], 6, FALSE),"Not Found")</f>
        <v>22</v>
      </c>
      <c r="U1705" t="str">
        <f t="shared" si="105"/>
        <v>Bank Transfer</v>
      </c>
      <c r="V1705" s="4" t="str">
        <f t="shared" si="106"/>
        <v>Normal</v>
      </c>
      <c r="W1705" s="4" t="str">
        <f t="shared" si="107"/>
        <v>Good</v>
      </c>
      <c r="X1705" s="4">
        <f>AVERAGE(Table1[Purchase Amount])</f>
        <v>129.48419400000012</v>
      </c>
    </row>
    <row r="1706" spans="1:24" ht="15" customHeight="1" x14ac:dyDescent="0.25">
      <c r="A1706">
        <v>1705</v>
      </c>
      <c r="B1706">
        <v>56</v>
      </c>
      <c r="C1706" t="s">
        <v>27</v>
      </c>
      <c r="D1706" t="s">
        <v>140</v>
      </c>
      <c r="E1706" t="s">
        <v>98</v>
      </c>
      <c r="F1706" s="2">
        <v>20</v>
      </c>
      <c r="G1706" t="s">
        <v>161</v>
      </c>
      <c r="H1706" t="s">
        <v>31</v>
      </c>
      <c r="I1706" t="s">
        <v>107</v>
      </c>
      <c r="J1706" t="s">
        <v>57</v>
      </c>
      <c r="K1706">
        <v>3.9</v>
      </c>
      <c r="L1706" t="s">
        <v>23</v>
      </c>
      <c r="M1706" t="s">
        <v>48</v>
      </c>
      <c r="N1706" t="s">
        <v>23</v>
      </c>
      <c r="O1706">
        <v>19</v>
      </c>
      <c r="P1706" t="s">
        <v>25</v>
      </c>
      <c r="Q1706" t="s">
        <v>63</v>
      </c>
      <c r="R1706" s="1">
        <v>0.1</v>
      </c>
      <c r="S1706">
        <f t="shared" si="104"/>
        <v>18</v>
      </c>
      <c r="T1706">
        <f>IFERROR(VLOOKUP(A1706,Table1[[Customer ID]:[Discount Amount]], 6, FALSE),"Not Found")</f>
        <v>20</v>
      </c>
      <c r="U1706" t="str">
        <f t="shared" si="105"/>
        <v>Cash</v>
      </c>
      <c r="V1706" s="4" t="str">
        <f t="shared" si="106"/>
        <v>Normal</v>
      </c>
      <c r="W1706" s="4" t="str">
        <f t="shared" si="107"/>
        <v>Good</v>
      </c>
      <c r="X1706" s="4">
        <f>AVERAGE(Table1[Purchase Amount])</f>
        <v>129.48419400000012</v>
      </c>
    </row>
    <row r="1707" spans="1:24" ht="15" customHeight="1" x14ac:dyDescent="0.25">
      <c r="A1707">
        <v>1706</v>
      </c>
      <c r="B1707">
        <v>39</v>
      </c>
      <c r="C1707" t="s">
        <v>27</v>
      </c>
      <c r="D1707" t="s">
        <v>50</v>
      </c>
      <c r="E1707" t="s">
        <v>29</v>
      </c>
      <c r="F1707" s="2">
        <v>29</v>
      </c>
      <c r="G1707" t="s">
        <v>130</v>
      </c>
      <c r="H1707" t="s">
        <v>45</v>
      </c>
      <c r="I1707" t="s">
        <v>128</v>
      </c>
      <c r="J1707" t="s">
        <v>57</v>
      </c>
      <c r="K1707">
        <v>3.4</v>
      </c>
      <c r="L1707" t="s">
        <v>23</v>
      </c>
      <c r="M1707" t="s">
        <v>41</v>
      </c>
      <c r="N1707" t="s">
        <v>23</v>
      </c>
      <c r="O1707">
        <v>49</v>
      </c>
      <c r="P1707" t="s">
        <v>62</v>
      </c>
      <c r="Q1707" t="s">
        <v>68</v>
      </c>
      <c r="R1707" s="1">
        <v>0.1</v>
      </c>
      <c r="S1707">
        <f t="shared" si="104"/>
        <v>26.1</v>
      </c>
      <c r="T1707">
        <f>IFERROR(VLOOKUP(A1707,Table1[[Customer ID]:[Discount Amount]], 6, FALSE),"Not Found")</f>
        <v>29</v>
      </c>
      <c r="U1707" t="str">
        <f t="shared" si="105"/>
        <v>Venmo</v>
      </c>
      <c r="V1707" s="4" t="str">
        <f t="shared" si="106"/>
        <v>Normal</v>
      </c>
      <c r="W1707" s="4" t="str">
        <f t="shared" si="107"/>
        <v>Good</v>
      </c>
      <c r="X1707" s="4">
        <f>AVERAGE(Table1[Purchase Amount])</f>
        <v>129.48419400000012</v>
      </c>
    </row>
    <row r="1708" spans="1:24" ht="15" customHeight="1" x14ac:dyDescent="0.25">
      <c r="A1708">
        <v>1707</v>
      </c>
      <c r="B1708">
        <v>37</v>
      </c>
      <c r="C1708" t="s">
        <v>27</v>
      </c>
      <c r="D1708" t="s">
        <v>28</v>
      </c>
      <c r="E1708" t="s">
        <v>29</v>
      </c>
      <c r="F1708" s="2">
        <v>87</v>
      </c>
      <c r="G1708" t="s">
        <v>86</v>
      </c>
      <c r="H1708" t="s">
        <v>31</v>
      </c>
      <c r="I1708" t="s">
        <v>60</v>
      </c>
      <c r="J1708" t="s">
        <v>33</v>
      </c>
      <c r="K1708">
        <v>3</v>
      </c>
      <c r="L1708" t="s">
        <v>23</v>
      </c>
      <c r="M1708" t="s">
        <v>24</v>
      </c>
      <c r="N1708" t="s">
        <v>23</v>
      </c>
      <c r="O1708">
        <v>25</v>
      </c>
      <c r="P1708" t="s">
        <v>62</v>
      </c>
      <c r="Q1708" t="s">
        <v>89</v>
      </c>
      <c r="R1708" s="1">
        <v>0.1</v>
      </c>
      <c r="S1708">
        <f t="shared" si="104"/>
        <v>78.3</v>
      </c>
      <c r="T1708">
        <f>IFERROR(VLOOKUP(A1708,Table1[[Customer ID]:[Discount Amount]], 6, FALSE),"Not Found")</f>
        <v>87</v>
      </c>
      <c r="U1708" t="str">
        <f t="shared" si="105"/>
        <v>Venmo</v>
      </c>
      <c r="V1708" s="4" t="str">
        <f t="shared" si="106"/>
        <v>Normal</v>
      </c>
      <c r="W1708" s="4" t="str">
        <f t="shared" si="107"/>
        <v>Good</v>
      </c>
      <c r="X1708" s="4">
        <f>AVERAGE(Table1[Purchase Amount])</f>
        <v>129.48419400000012</v>
      </c>
    </row>
    <row r="1709" spans="1:24" ht="15" customHeight="1" x14ac:dyDescent="0.25">
      <c r="A1709">
        <v>1708</v>
      </c>
      <c r="B1709">
        <v>25</v>
      </c>
      <c r="C1709" t="s">
        <v>27</v>
      </c>
      <c r="D1709" t="s">
        <v>54</v>
      </c>
      <c r="E1709" t="s">
        <v>18</v>
      </c>
      <c r="F1709" s="2">
        <v>81</v>
      </c>
      <c r="G1709" t="s">
        <v>158</v>
      </c>
      <c r="H1709" t="s">
        <v>45</v>
      </c>
      <c r="I1709" t="s">
        <v>125</v>
      </c>
      <c r="J1709" t="s">
        <v>47</v>
      </c>
      <c r="K1709">
        <v>4.9000000000000004</v>
      </c>
      <c r="L1709" t="s">
        <v>23</v>
      </c>
      <c r="M1709" t="s">
        <v>41</v>
      </c>
      <c r="N1709" t="s">
        <v>23</v>
      </c>
      <c r="O1709">
        <v>25</v>
      </c>
      <c r="P1709" t="s">
        <v>25</v>
      </c>
      <c r="Q1709" t="s">
        <v>68</v>
      </c>
      <c r="R1709" s="1">
        <v>0.1</v>
      </c>
      <c r="S1709">
        <f t="shared" si="104"/>
        <v>72.900000000000006</v>
      </c>
      <c r="T1709">
        <f>IFERROR(VLOOKUP(A1709,Table1[[Customer ID]:[Discount Amount]], 6, FALSE),"Not Found")</f>
        <v>81</v>
      </c>
      <c r="U1709" t="str">
        <f t="shared" si="105"/>
        <v>Cash</v>
      </c>
      <c r="V1709" s="4" t="str">
        <f t="shared" si="106"/>
        <v>Normal</v>
      </c>
      <c r="W1709" s="4" t="str">
        <f t="shared" si="107"/>
        <v>Good</v>
      </c>
      <c r="X1709" s="4">
        <f>AVERAGE(Table1[Purchase Amount])</f>
        <v>129.48419400000012</v>
      </c>
    </row>
    <row r="1710" spans="1:24" ht="15" customHeight="1" x14ac:dyDescent="0.25">
      <c r="A1710">
        <v>1709</v>
      </c>
      <c r="B1710">
        <v>35</v>
      </c>
      <c r="C1710" t="s">
        <v>27</v>
      </c>
      <c r="D1710" t="s">
        <v>151</v>
      </c>
      <c r="E1710" t="s">
        <v>98</v>
      </c>
      <c r="F1710" s="2">
        <v>58</v>
      </c>
      <c r="G1710" t="s">
        <v>67</v>
      </c>
      <c r="H1710" t="s">
        <v>45</v>
      </c>
      <c r="I1710" t="s">
        <v>128</v>
      </c>
      <c r="J1710" t="s">
        <v>33</v>
      </c>
      <c r="K1710">
        <v>3.2</v>
      </c>
      <c r="L1710" t="s">
        <v>23</v>
      </c>
      <c r="M1710" t="s">
        <v>61</v>
      </c>
      <c r="N1710" t="s">
        <v>23</v>
      </c>
      <c r="O1710">
        <v>1</v>
      </c>
      <c r="P1710" t="s">
        <v>53</v>
      </c>
      <c r="Q1710" t="s">
        <v>37</v>
      </c>
      <c r="R1710" s="1">
        <v>0.1</v>
      </c>
      <c r="S1710">
        <f t="shared" si="104"/>
        <v>52.2</v>
      </c>
      <c r="T1710">
        <f>IFERROR(VLOOKUP(A1710,Table1[[Customer ID]:[Discount Amount]], 6, FALSE),"Not Found")</f>
        <v>58</v>
      </c>
      <c r="U1710" t="str">
        <f t="shared" si="105"/>
        <v>Credit Card</v>
      </c>
      <c r="V1710" s="4" t="str">
        <f t="shared" si="106"/>
        <v>Normal</v>
      </c>
      <c r="W1710" s="4" t="str">
        <f t="shared" si="107"/>
        <v>Good</v>
      </c>
      <c r="X1710" s="4">
        <f>AVERAGE(Table1[Purchase Amount])</f>
        <v>129.48419400000012</v>
      </c>
    </row>
    <row r="1711" spans="1:24" ht="15" customHeight="1" x14ac:dyDescent="0.25">
      <c r="A1711">
        <v>1710</v>
      </c>
      <c r="B1711">
        <v>45</v>
      </c>
      <c r="C1711" t="s">
        <v>27</v>
      </c>
      <c r="D1711" t="s">
        <v>122</v>
      </c>
      <c r="E1711" t="s">
        <v>18</v>
      </c>
      <c r="F1711" s="2">
        <v>83</v>
      </c>
      <c r="G1711" t="s">
        <v>102</v>
      </c>
      <c r="H1711" t="s">
        <v>31</v>
      </c>
      <c r="I1711" t="s">
        <v>136</v>
      </c>
      <c r="J1711" t="s">
        <v>22</v>
      </c>
      <c r="K1711">
        <v>3.8</v>
      </c>
      <c r="L1711" t="s">
        <v>23</v>
      </c>
      <c r="M1711" t="s">
        <v>24</v>
      </c>
      <c r="N1711" t="s">
        <v>23</v>
      </c>
      <c r="O1711">
        <v>19</v>
      </c>
      <c r="P1711" t="s">
        <v>88</v>
      </c>
      <c r="Q1711" t="s">
        <v>49</v>
      </c>
      <c r="R1711" s="1">
        <v>0.1</v>
      </c>
      <c r="S1711">
        <f t="shared" si="104"/>
        <v>74.7</v>
      </c>
      <c r="T1711">
        <f>IFERROR(VLOOKUP(A1711,Table1[[Customer ID]:[Discount Amount]], 6, FALSE),"Not Found")</f>
        <v>83</v>
      </c>
      <c r="U1711" t="str">
        <f t="shared" si="105"/>
        <v>Bank Transfer</v>
      </c>
      <c r="V1711" s="4" t="str">
        <f t="shared" si="106"/>
        <v>Normal</v>
      </c>
      <c r="W1711" s="4" t="str">
        <f t="shared" si="107"/>
        <v>Good</v>
      </c>
      <c r="X1711" s="4">
        <f>AVERAGE(Table1[Purchase Amount])</f>
        <v>129.48419400000012</v>
      </c>
    </row>
    <row r="1712" spans="1:24" ht="15" customHeight="1" x14ac:dyDescent="0.25">
      <c r="A1712">
        <v>1711</v>
      </c>
      <c r="B1712">
        <v>19</v>
      </c>
      <c r="C1712" t="s">
        <v>27</v>
      </c>
      <c r="D1712" t="s">
        <v>99</v>
      </c>
      <c r="E1712" t="s">
        <v>18</v>
      </c>
      <c r="F1712" s="2">
        <v>59</v>
      </c>
      <c r="G1712" t="s">
        <v>100</v>
      </c>
      <c r="H1712" t="s">
        <v>20</v>
      </c>
      <c r="I1712" t="s">
        <v>108</v>
      </c>
      <c r="J1712" t="s">
        <v>47</v>
      </c>
      <c r="K1712">
        <v>3.8</v>
      </c>
      <c r="L1712" t="s">
        <v>23</v>
      </c>
      <c r="M1712" t="s">
        <v>48</v>
      </c>
      <c r="N1712" t="s">
        <v>23</v>
      </c>
      <c r="O1712">
        <v>7</v>
      </c>
      <c r="P1712" t="s">
        <v>53</v>
      </c>
      <c r="Q1712" t="s">
        <v>37</v>
      </c>
      <c r="R1712" s="1">
        <v>0.1</v>
      </c>
      <c r="S1712">
        <f t="shared" si="104"/>
        <v>53.1</v>
      </c>
      <c r="T1712">
        <f>IFERROR(VLOOKUP(A1712,Table1[[Customer ID]:[Discount Amount]], 6, FALSE),"Not Found")</f>
        <v>59</v>
      </c>
      <c r="U1712" t="str">
        <f t="shared" si="105"/>
        <v>Credit Card</v>
      </c>
      <c r="V1712" s="4" t="str">
        <f t="shared" si="106"/>
        <v>Normal</v>
      </c>
      <c r="W1712" s="4" t="str">
        <f t="shared" si="107"/>
        <v>Good</v>
      </c>
      <c r="X1712" s="4">
        <f>AVERAGE(Table1[Purchase Amount])</f>
        <v>129.48419400000012</v>
      </c>
    </row>
    <row r="1713" spans="1:24" ht="15" customHeight="1" x14ac:dyDescent="0.25">
      <c r="A1713">
        <v>1712</v>
      </c>
      <c r="B1713">
        <v>21</v>
      </c>
      <c r="C1713" t="s">
        <v>27</v>
      </c>
      <c r="D1713" t="s">
        <v>17</v>
      </c>
      <c r="E1713" t="s">
        <v>18</v>
      </c>
      <c r="F1713" s="2">
        <v>93</v>
      </c>
      <c r="G1713" t="s">
        <v>134</v>
      </c>
      <c r="H1713" t="s">
        <v>31</v>
      </c>
      <c r="I1713" t="s">
        <v>107</v>
      </c>
      <c r="J1713" t="s">
        <v>33</v>
      </c>
      <c r="K1713">
        <v>4.7</v>
      </c>
      <c r="L1713" t="s">
        <v>23</v>
      </c>
      <c r="M1713" t="s">
        <v>61</v>
      </c>
      <c r="N1713" t="s">
        <v>23</v>
      </c>
      <c r="O1713">
        <v>19</v>
      </c>
      <c r="P1713" t="s">
        <v>53</v>
      </c>
      <c r="Q1713" t="s">
        <v>42</v>
      </c>
      <c r="R1713" s="1">
        <v>0.1</v>
      </c>
      <c r="S1713">
        <f t="shared" si="104"/>
        <v>83.7</v>
      </c>
      <c r="T1713">
        <f>IFERROR(VLOOKUP(A1713,Table1[[Customer ID]:[Discount Amount]], 6, FALSE),"Not Found")</f>
        <v>93</v>
      </c>
      <c r="U1713" t="str">
        <f t="shared" si="105"/>
        <v>Credit Card</v>
      </c>
      <c r="V1713" s="4" t="str">
        <f t="shared" si="106"/>
        <v>Normal</v>
      </c>
      <c r="W1713" s="4" t="str">
        <f t="shared" si="107"/>
        <v>Good</v>
      </c>
      <c r="X1713" s="4">
        <f>AVERAGE(Table1[Purchase Amount])</f>
        <v>129.48419400000012</v>
      </c>
    </row>
    <row r="1714" spans="1:24" ht="15" customHeight="1" x14ac:dyDescent="0.25">
      <c r="A1714">
        <v>1713</v>
      </c>
      <c r="B1714">
        <v>65</v>
      </c>
      <c r="C1714" t="s">
        <v>27</v>
      </c>
      <c r="D1714" t="s">
        <v>17</v>
      </c>
      <c r="E1714" t="s">
        <v>18</v>
      </c>
      <c r="F1714" s="2">
        <v>87</v>
      </c>
      <c r="G1714" t="s">
        <v>44</v>
      </c>
      <c r="H1714" t="s">
        <v>55</v>
      </c>
      <c r="I1714" t="s">
        <v>56</v>
      </c>
      <c r="J1714" t="s">
        <v>47</v>
      </c>
      <c r="K1714">
        <v>3.8</v>
      </c>
      <c r="L1714" t="s">
        <v>23</v>
      </c>
      <c r="M1714" t="s">
        <v>41</v>
      </c>
      <c r="N1714" t="s">
        <v>23</v>
      </c>
      <c r="O1714">
        <v>9</v>
      </c>
      <c r="P1714" t="s">
        <v>25</v>
      </c>
      <c r="Q1714" t="s">
        <v>89</v>
      </c>
      <c r="R1714" s="1">
        <v>0.1</v>
      </c>
      <c r="S1714">
        <f t="shared" si="104"/>
        <v>78.3</v>
      </c>
      <c r="T1714">
        <f>IFERROR(VLOOKUP(A1714,Table1[[Customer ID]:[Discount Amount]], 6, FALSE),"Not Found")</f>
        <v>87</v>
      </c>
      <c r="U1714" t="str">
        <f t="shared" si="105"/>
        <v>Cash</v>
      </c>
      <c r="V1714" s="4" t="str">
        <f t="shared" si="106"/>
        <v>Normal</v>
      </c>
      <c r="W1714" s="4" t="str">
        <f t="shared" si="107"/>
        <v>Good</v>
      </c>
      <c r="X1714" s="4">
        <f>AVERAGE(Table1[Purchase Amount])</f>
        <v>129.48419400000012</v>
      </c>
    </row>
    <row r="1715" spans="1:24" ht="15" customHeight="1" x14ac:dyDescent="0.25">
      <c r="A1715">
        <v>1714</v>
      </c>
      <c r="B1715">
        <v>49</v>
      </c>
      <c r="C1715" t="s">
        <v>27</v>
      </c>
      <c r="D1715" t="s">
        <v>96</v>
      </c>
      <c r="E1715" t="s">
        <v>77</v>
      </c>
      <c r="F1715" s="2">
        <v>22</v>
      </c>
      <c r="G1715" t="s">
        <v>146</v>
      </c>
      <c r="H1715" t="s">
        <v>31</v>
      </c>
      <c r="I1715" t="s">
        <v>136</v>
      </c>
      <c r="J1715" t="s">
        <v>22</v>
      </c>
      <c r="K1715">
        <v>4.5999999999999996</v>
      </c>
      <c r="L1715" t="s">
        <v>23</v>
      </c>
      <c r="M1715" t="s">
        <v>35</v>
      </c>
      <c r="N1715" t="s">
        <v>23</v>
      </c>
      <c r="O1715">
        <v>37</v>
      </c>
      <c r="P1715" t="s">
        <v>58</v>
      </c>
      <c r="Q1715" t="s">
        <v>37</v>
      </c>
      <c r="R1715" s="1">
        <v>0.1</v>
      </c>
      <c r="S1715">
        <f t="shared" si="104"/>
        <v>19.8</v>
      </c>
      <c r="T1715">
        <f>IFERROR(VLOOKUP(A1715,Table1[[Customer ID]:[Discount Amount]], 6, FALSE),"Not Found")</f>
        <v>22</v>
      </c>
      <c r="U1715" t="str">
        <f t="shared" si="105"/>
        <v>PayPal</v>
      </c>
      <c r="V1715" s="4" t="str">
        <f t="shared" si="106"/>
        <v>Normal</v>
      </c>
      <c r="W1715" s="4" t="str">
        <f t="shared" si="107"/>
        <v>Good</v>
      </c>
      <c r="X1715" s="4">
        <f>AVERAGE(Table1[Purchase Amount])</f>
        <v>129.48419400000012</v>
      </c>
    </row>
    <row r="1716" spans="1:24" ht="15" customHeight="1" x14ac:dyDescent="0.25">
      <c r="A1716">
        <v>1715</v>
      </c>
      <c r="B1716">
        <v>30</v>
      </c>
      <c r="C1716" t="s">
        <v>27</v>
      </c>
      <c r="D1716" t="s">
        <v>109</v>
      </c>
      <c r="E1716" t="s">
        <v>18</v>
      </c>
      <c r="F1716" s="2">
        <v>71</v>
      </c>
      <c r="G1716" t="s">
        <v>130</v>
      </c>
      <c r="H1716" t="s">
        <v>55</v>
      </c>
      <c r="I1716" t="s">
        <v>103</v>
      </c>
      <c r="J1716" t="s">
        <v>57</v>
      </c>
      <c r="K1716">
        <v>4.4000000000000004</v>
      </c>
      <c r="L1716" t="s">
        <v>23</v>
      </c>
      <c r="M1716" t="s">
        <v>24</v>
      </c>
      <c r="N1716" t="s">
        <v>23</v>
      </c>
      <c r="O1716">
        <v>15</v>
      </c>
      <c r="P1716" t="s">
        <v>25</v>
      </c>
      <c r="Q1716" t="s">
        <v>42</v>
      </c>
      <c r="R1716" s="1">
        <v>0.1</v>
      </c>
      <c r="S1716">
        <f t="shared" si="104"/>
        <v>63.9</v>
      </c>
      <c r="T1716">
        <f>IFERROR(VLOOKUP(A1716,Table1[[Customer ID]:[Discount Amount]], 6, FALSE),"Not Found")</f>
        <v>71</v>
      </c>
      <c r="U1716" t="str">
        <f t="shared" si="105"/>
        <v>Cash</v>
      </c>
      <c r="V1716" s="4" t="str">
        <f t="shared" si="106"/>
        <v>Normal</v>
      </c>
      <c r="W1716" s="4" t="str">
        <f t="shared" si="107"/>
        <v>Good</v>
      </c>
      <c r="X1716" s="4">
        <f>AVERAGE(Table1[Purchase Amount])</f>
        <v>129.48419400000012</v>
      </c>
    </row>
    <row r="1717" spans="1:24" ht="15" customHeight="1" x14ac:dyDescent="0.25">
      <c r="A1717">
        <v>1716</v>
      </c>
      <c r="B1717">
        <v>23</v>
      </c>
      <c r="C1717" t="s">
        <v>27</v>
      </c>
      <c r="D1717" t="s">
        <v>157</v>
      </c>
      <c r="E1717" t="s">
        <v>18</v>
      </c>
      <c r="F1717" s="2">
        <v>69</v>
      </c>
      <c r="G1717" t="s">
        <v>161</v>
      </c>
      <c r="H1717" t="s">
        <v>20</v>
      </c>
      <c r="I1717" t="s">
        <v>85</v>
      </c>
      <c r="J1717" t="s">
        <v>33</v>
      </c>
      <c r="K1717">
        <v>3.4</v>
      </c>
      <c r="L1717" t="s">
        <v>23</v>
      </c>
      <c r="M1717" t="s">
        <v>41</v>
      </c>
      <c r="N1717" t="s">
        <v>23</v>
      </c>
      <c r="O1717">
        <v>30</v>
      </c>
      <c r="P1717" t="s">
        <v>58</v>
      </c>
      <c r="Q1717" t="s">
        <v>68</v>
      </c>
      <c r="R1717" s="1">
        <v>0.1</v>
      </c>
      <c r="S1717">
        <f t="shared" si="104"/>
        <v>62.1</v>
      </c>
      <c r="T1717">
        <f>IFERROR(VLOOKUP(A1717,Table1[[Customer ID]:[Discount Amount]], 6, FALSE),"Not Found")</f>
        <v>69</v>
      </c>
      <c r="U1717" t="str">
        <f t="shared" si="105"/>
        <v>PayPal</v>
      </c>
      <c r="V1717" s="4" t="str">
        <f t="shared" si="106"/>
        <v>Normal</v>
      </c>
      <c r="W1717" s="4" t="str">
        <f t="shared" si="107"/>
        <v>Good</v>
      </c>
      <c r="X1717" s="4">
        <f>AVERAGE(Table1[Purchase Amount])</f>
        <v>129.48419400000012</v>
      </c>
    </row>
    <row r="1718" spans="1:24" ht="15" customHeight="1" x14ac:dyDescent="0.25">
      <c r="A1718">
        <v>1717</v>
      </c>
      <c r="B1718">
        <v>69</v>
      </c>
      <c r="C1718" t="s">
        <v>27</v>
      </c>
      <c r="D1718" t="s">
        <v>118</v>
      </c>
      <c r="E1718" t="s">
        <v>18</v>
      </c>
      <c r="F1718" s="2">
        <v>47</v>
      </c>
      <c r="G1718" t="s">
        <v>115</v>
      </c>
      <c r="H1718" t="s">
        <v>31</v>
      </c>
      <c r="I1718" t="s">
        <v>128</v>
      </c>
      <c r="J1718" t="s">
        <v>22</v>
      </c>
      <c r="K1718">
        <v>4.7</v>
      </c>
      <c r="L1718" t="s">
        <v>23</v>
      </c>
      <c r="M1718" t="s">
        <v>24</v>
      </c>
      <c r="N1718" t="s">
        <v>23</v>
      </c>
      <c r="O1718">
        <v>30</v>
      </c>
      <c r="P1718" t="s">
        <v>25</v>
      </c>
      <c r="Q1718" t="s">
        <v>63</v>
      </c>
      <c r="R1718" s="1">
        <v>0.1</v>
      </c>
      <c r="S1718">
        <f t="shared" si="104"/>
        <v>42.3</v>
      </c>
      <c r="T1718">
        <f>IFERROR(VLOOKUP(A1718,Table1[[Customer ID]:[Discount Amount]], 6, FALSE),"Not Found")</f>
        <v>47</v>
      </c>
      <c r="U1718" t="str">
        <f t="shared" si="105"/>
        <v>Cash</v>
      </c>
      <c r="V1718" s="4" t="str">
        <f t="shared" si="106"/>
        <v>Normal</v>
      </c>
      <c r="W1718" s="4" t="str">
        <f t="shared" si="107"/>
        <v>Good</v>
      </c>
      <c r="X1718" s="4">
        <f>AVERAGE(Table1[Purchase Amount])</f>
        <v>129.48419400000012</v>
      </c>
    </row>
    <row r="1719" spans="1:24" ht="15" customHeight="1" x14ac:dyDescent="0.25">
      <c r="A1719">
        <v>1718</v>
      </c>
      <c r="B1719">
        <v>29</v>
      </c>
      <c r="C1719" t="s">
        <v>27</v>
      </c>
      <c r="D1719" t="s">
        <v>83</v>
      </c>
      <c r="E1719" t="s">
        <v>18</v>
      </c>
      <c r="F1719" s="2">
        <v>50</v>
      </c>
      <c r="G1719" t="s">
        <v>135</v>
      </c>
      <c r="H1719" t="s">
        <v>45</v>
      </c>
      <c r="I1719" t="s">
        <v>108</v>
      </c>
      <c r="J1719" t="s">
        <v>57</v>
      </c>
      <c r="K1719">
        <v>2.9</v>
      </c>
      <c r="L1719" t="s">
        <v>23</v>
      </c>
      <c r="M1719" t="s">
        <v>61</v>
      </c>
      <c r="N1719" t="s">
        <v>23</v>
      </c>
      <c r="O1719">
        <v>16</v>
      </c>
      <c r="P1719" t="s">
        <v>36</v>
      </c>
      <c r="Q1719" t="s">
        <v>68</v>
      </c>
      <c r="R1719" s="1">
        <v>0.1</v>
      </c>
      <c r="S1719">
        <f t="shared" si="104"/>
        <v>45</v>
      </c>
      <c r="T1719">
        <f>IFERROR(VLOOKUP(A1719,Table1[[Customer ID]:[Discount Amount]], 6, FALSE),"Not Found")</f>
        <v>50</v>
      </c>
      <c r="U1719" t="str">
        <f t="shared" si="105"/>
        <v>Debit Card</v>
      </c>
      <c r="V1719" s="4" t="str">
        <f t="shared" si="106"/>
        <v>Normal</v>
      </c>
      <c r="W1719" s="4" t="str">
        <f t="shared" si="107"/>
        <v>Poor</v>
      </c>
      <c r="X1719" s="4">
        <f>AVERAGE(Table1[Purchase Amount])</f>
        <v>129.48419400000012</v>
      </c>
    </row>
    <row r="1720" spans="1:24" ht="15" customHeight="1" x14ac:dyDescent="0.25">
      <c r="A1720">
        <v>1719</v>
      </c>
      <c r="B1720">
        <v>54</v>
      </c>
      <c r="C1720" t="s">
        <v>27</v>
      </c>
      <c r="D1720" t="s">
        <v>17</v>
      </c>
      <c r="E1720" t="s">
        <v>18</v>
      </c>
      <c r="F1720" s="2">
        <v>96</v>
      </c>
      <c r="G1720" t="s">
        <v>106</v>
      </c>
      <c r="H1720" t="s">
        <v>45</v>
      </c>
      <c r="I1720" t="s">
        <v>136</v>
      </c>
      <c r="J1720" t="s">
        <v>22</v>
      </c>
      <c r="K1720">
        <v>3.4</v>
      </c>
      <c r="L1720" t="s">
        <v>23</v>
      </c>
      <c r="M1720" t="s">
        <v>41</v>
      </c>
      <c r="N1720" t="s">
        <v>23</v>
      </c>
      <c r="O1720">
        <v>14</v>
      </c>
      <c r="P1720" t="s">
        <v>58</v>
      </c>
      <c r="Q1720" t="s">
        <v>63</v>
      </c>
      <c r="R1720" s="1">
        <v>0.1</v>
      </c>
      <c r="S1720">
        <f t="shared" si="104"/>
        <v>86.4</v>
      </c>
      <c r="T1720">
        <f>IFERROR(VLOOKUP(A1720,Table1[[Customer ID]:[Discount Amount]], 6, FALSE),"Not Found")</f>
        <v>96</v>
      </c>
      <c r="U1720" t="str">
        <f t="shared" si="105"/>
        <v>PayPal</v>
      </c>
      <c r="V1720" s="4" t="str">
        <f t="shared" si="106"/>
        <v>Normal</v>
      </c>
      <c r="W1720" s="4" t="str">
        <f t="shared" si="107"/>
        <v>Good</v>
      </c>
      <c r="X1720" s="4">
        <f>AVERAGE(Table1[Purchase Amount])</f>
        <v>129.48419400000012</v>
      </c>
    </row>
    <row r="1721" spans="1:24" ht="15" customHeight="1" x14ac:dyDescent="0.25">
      <c r="A1721">
        <v>1720</v>
      </c>
      <c r="B1721">
        <v>45</v>
      </c>
      <c r="C1721" t="s">
        <v>27</v>
      </c>
      <c r="D1721" t="s">
        <v>127</v>
      </c>
      <c r="E1721" t="s">
        <v>18</v>
      </c>
      <c r="F1721" s="2">
        <v>39</v>
      </c>
      <c r="G1721" t="s">
        <v>106</v>
      </c>
      <c r="H1721" t="s">
        <v>31</v>
      </c>
      <c r="I1721" t="s">
        <v>32</v>
      </c>
      <c r="J1721" t="s">
        <v>22</v>
      </c>
      <c r="K1721">
        <v>3.2</v>
      </c>
      <c r="L1721" t="s">
        <v>23</v>
      </c>
      <c r="M1721" t="s">
        <v>35</v>
      </c>
      <c r="N1721" t="s">
        <v>23</v>
      </c>
      <c r="O1721">
        <v>8</v>
      </c>
      <c r="P1721" t="s">
        <v>62</v>
      </c>
      <c r="Q1721" t="s">
        <v>37</v>
      </c>
      <c r="R1721" s="1">
        <v>0.1</v>
      </c>
      <c r="S1721">
        <f t="shared" si="104"/>
        <v>35.1</v>
      </c>
      <c r="T1721">
        <f>IFERROR(VLOOKUP(A1721,Table1[[Customer ID]:[Discount Amount]], 6, FALSE),"Not Found")</f>
        <v>39</v>
      </c>
      <c r="U1721" t="str">
        <f t="shared" si="105"/>
        <v>Venmo</v>
      </c>
      <c r="V1721" s="4" t="str">
        <f t="shared" si="106"/>
        <v>Normal</v>
      </c>
      <c r="W1721" s="4" t="str">
        <f t="shared" si="107"/>
        <v>Good</v>
      </c>
      <c r="X1721" s="4">
        <f>AVERAGE(Table1[Purchase Amount])</f>
        <v>129.48419400000012</v>
      </c>
    </row>
    <row r="1722" spans="1:24" ht="15" customHeight="1" x14ac:dyDescent="0.25">
      <c r="A1722">
        <v>1721</v>
      </c>
      <c r="B1722">
        <v>25</v>
      </c>
      <c r="C1722" t="s">
        <v>27</v>
      </c>
      <c r="D1722" t="s">
        <v>54</v>
      </c>
      <c r="E1722" t="s">
        <v>18</v>
      </c>
      <c r="F1722" s="2">
        <v>84</v>
      </c>
      <c r="G1722" t="s">
        <v>97</v>
      </c>
      <c r="H1722" t="s">
        <v>55</v>
      </c>
      <c r="I1722" t="s">
        <v>56</v>
      </c>
      <c r="J1722" t="s">
        <v>22</v>
      </c>
      <c r="K1722">
        <v>2.8</v>
      </c>
      <c r="L1722" t="s">
        <v>23</v>
      </c>
      <c r="M1722" t="s">
        <v>61</v>
      </c>
      <c r="N1722" t="s">
        <v>23</v>
      </c>
      <c r="O1722">
        <v>40</v>
      </c>
      <c r="P1722" t="s">
        <v>36</v>
      </c>
      <c r="Q1722" t="s">
        <v>68</v>
      </c>
      <c r="R1722" s="1">
        <v>0.1</v>
      </c>
      <c r="S1722">
        <f t="shared" si="104"/>
        <v>75.599999999999994</v>
      </c>
      <c r="T1722">
        <f>IFERROR(VLOOKUP(A1722,Table1[[Customer ID]:[Discount Amount]], 6, FALSE),"Not Found")</f>
        <v>84</v>
      </c>
      <c r="U1722" t="str">
        <f t="shared" si="105"/>
        <v>Debit Card</v>
      </c>
      <c r="V1722" s="4" t="str">
        <f t="shared" si="106"/>
        <v>Normal</v>
      </c>
      <c r="W1722" s="4" t="str">
        <f t="shared" si="107"/>
        <v>Poor</v>
      </c>
      <c r="X1722" s="4">
        <f>AVERAGE(Table1[Purchase Amount])</f>
        <v>129.48419400000012</v>
      </c>
    </row>
    <row r="1723" spans="1:24" ht="15" customHeight="1" x14ac:dyDescent="0.25">
      <c r="A1723">
        <v>1722</v>
      </c>
      <c r="B1723">
        <v>34</v>
      </c>
      <c r="C1723" t="s">
        <v>27</v>
      </c>
      <c r="D1723" t="s">
        <v>50</v>
      </c>
      <c r="E1723" t="s">
        <v>29</v>
      </c>
      <c r="F1723" s="2">
        <v>28</v>
      </c>
      <c r="G1723" t="s">
        <v>143</v>
      </c>
      <c r="H1723" t="s">
        <v>55</v>
      </c>
      <c r="I1723" t="s">
        <v>87</v>
      </c>
      <c r="J1723" t="s">
        <v>33</v>
      </c>
      <c r="K1723">
        <v>4.3</v>
      </c>
      <c r="L1723" t="s">
        <v>23</v>
      </c>
      <c r="M1723" t="s">
        <v>35</v>
      </c>
      <c r="N1723" t="s">
        <v>23</v>
      </c>
      <c r="O1723">
        <v>24</v>
      </c>
      <c r="P1723" t="s">
        <v>53</v>
      </c>
      <c r="Q1723" t="s">
        <v>42</v>
      </c>
      <c r="R1723" s="1">
        <v>0.1</v>
      </c>
      <c r="S1723">
        <f t="shared" si="104"/>
        <v>25.2</v>
      </c>
      <c r="T1723">
        <f>IFERROR(VLOOKUP(A1723,Table1[[Customer ID]:[Discount Amount]], 6, FALSE),"Not Found")</f>
        <v>28</v>
      </c>
      <c r="U1723" t="str">
        <f t="shared" si="105"/>
        <v>Credit Card</v>
      </c>
      <c r="V1723" s="4" t="str">
        <f t="shared" si="106"/>
        <v>Normal</v>
      </c>
      <c r="W1723" s="4" t="str">
        <f t="shared" si="107"/>
        <v>Good</v>
      </c>
      <c r="X1723" s="4">
        <f>AVERAGE(Table1[Purchase Amount])</f>
        <v>129.48419400000012</v>
      </c>
    </row>
    <row r="1724" spans="1:24" ht="15" customHeight="1" x14ac:dyDescent="0.25">
      <c r="A1724">
        <v>1723</v>
      </c>
      <c r="B1724">
        <v>46</v>
      </c>
      <c r="C1724" t="s">
        <v>27</v>
      </c>
      <c r="D1724" t="s">
        <v>17</v>
      </c>
      <c r="E1724" t="s">
        <v>18</v>
      </c>
      <c r="F1724" s="2">
        <v>51</v>
      </c>
      <c r="G1724" t="s">
        <v>97</v>
      </c>
      <c r="H1724" t="s">
        <v>45</v>
      </c>
      <c r="I1724" t="s">
        <v>111</v>
      </c>
      <c r="J1724" t="s">
        <v>57</v>
      </c>
      <c r="K1724">
        <v>3.3</v>
      </c>
      <c r="L1724" t="s">
        <v>23</v>
      </c>
      <c r="M1724" t="s">
        <v>24</v>
      </c>
      <c r="N1724" t="s">
        <v>23</v>
      </c>
      <c r="O1724">
        <v>14</v>
      </c>
      <c r="P1724" t="s">
        <v>25</v>
      </c>
      <c r="Q1724" t="s">
        <v>89</v>
      </c>
      <c r="R1724" s="1">
        <v>0.1</v>
      </c>
      <c r="S1724">
        <f t="shared" si="104"/>
        <v>45.9</v>
      </c>
      <c r="T1724">
        <f>IFERROR(VLOOKUP(A1724,Table1[[Customer ID]:[Discount Amount]], 6, FALSE),"Not Found")</f>
        <v>51</v>
      </c>
      <c r="U1724" t="str">
        <f t="shared" si="105"/>
        <v>Cash</v>
      </c>
      <c r="V1724" s="4" t="str">
        <f t="shared" si="106"/>
        <v>Normal</v>
      </c>
      <c r="W1724" s="4" t="str">
        <f t="shared" si="107"/>
        <v>Good</v>
      </c>
      <c r="X1724" s="4">
        <f>AVERAGE(Table1[Purchase Amount])</f>
        <v>129.48419400000012</v>
      </c>
    </row>
    <row r="1725" spans="1:24" ht="15" customHeight="1" x14ac:dyDescent="0.25">
      <c r="A1725">
        <v>1724</v>
      </c>
      <c r="B1725">
        <v>70</v>
      </c>
      <c r="C1725" t="s">
        <v>27</v>
      </c>
      <c r="D1725" t="s">
        <v>129</v>
      </c>
      <c r="E1725" t="s">
        <v>29</v>
      </c>
      <c r="F1725" s="2">
        <v>20</v>
      </c>
      <c r="G1725" t="s">
        <v>101</v>
      </c>
      <c r="H1725" t="s">
        <v>20</v>
      </c>
      <c r="I1725" t="s">
        <v>133</v>
      </c>
      <c r="J1725" t="s">
        <v>33</v>
      </c>
      <c r="K1725">
        <v>3.3</v>
      </c>
      <c r="L1725" t="s">
        <v>23</v>
      </c>
      <c r="M1725" t="s">
        <v>24</v>
      </c>
      <c r="N1725" t="s">
        <v>23</v>
      </c>
      <c r="O1725">
        <v>39</v>
      </c>
      <c r="P1725" t="s">
        <v>58</v>
      </c>
      <c r="Q1725" t="s">
        <v>49</v>
      </c>
      <c r="R1725" s="1">
        <v>0.1</v>
      </c>
      <c r="S1725">
        <f t="shared" si="104"/>
        <v>18</v>
      </c>
      <c r="T1725">
        <f>IFERROR(VLOOKUP(A1725,Table1[[Customer ID]:[Discount Amount]], 6, FALSE),"Not Found")</f>
        <v>20</v>
      </c>
      <c r="U1725" t="str">
        <f t="shared" si="105"/>
        <v>PayPal</v>
      </c>
      <c r="V1725" s="4" t="str">
        <f t="shared" si="106"/>
        <v>Normal</v>
      </c>
      <c r="W1725" s="4" t="str">
        <f t="shared" si="107"/>
        <v>Good</v>
      </c>
      <c r="X1725" s="4">
        <f>AVERAGE(Table1[Purchase Amount])</f>
        <v>129.48419400000012</v>
      </c>
    </row>
    <row r="1726" spans="1:24" ht="15" customHeight="1" x14ac:dyDescent="0.25">
      <c r="A1726">
        <v>1725</v>
      </c>
      <c r="B1726">
        <v>42</v>
      </c>
      <c r="C1726" t="s">
        <v>27</v>
      </c>
      <c r="D1726" t="s">
        <v>72</v>
      </c>
      <c r="E1726" t="s">
        <v>98</v>
      </c>
      <c r="F1726" s="2">
        <v>72</v>
      </c>
      <c r="G1726" t="s">
        <v>143</v>
      </c>
      <c r="H1726" t="s">
        <v>55</v>
      </c>
      <c r="I1726" t="s">
        <v>147</v>
      </c>
      <c r="J1726" t="s">
        <v>22</v>
      </c>
      <c r="K1726">
        <v>3.3</v>
      </c>
      <c r="L1726" t="s">
        <v>23</v>
      </c>
      <c r="M1726" t="s">
        <v>35</v>
      </c>
      <c r="N1726" t="s">
        <v>23</v>
      </c>
      <c r="O1726">
        <v>21</v>
      </c>
      <c r="P1726" t="s">
        <v>58</v>
      </c>
      <c r="Q1726" t="s">
        <v>26</v>
      </c>
      <c r="R1726" s="1">
        <v>0.1</v>
      </c>
      <c r="S1726">
        <f t="shared" si="104"/>
        <v>64.8</v>
      </c>
      <c r="T1726">
        <f>IFERROR(VLOOKUP(A1726,Table1[[Customer ID]:[Discount Amount]], 6, FALSE),"Not Found")</f>
        <v>72</v>
      </c>
      <c r="U1726" t="str">
        <f t="shared" si="105"/>
        <v>PayPal</v>
      </c>
      <c r="V1726" s="4" t="str">
        <f t="shared" si="106"/>
        <v>Normal</v>
      </c>
      <c r="W1726" s="4" t="str">
        <f t="shared" si="107"/>
        <v>Good</v>
      </c>
      <c r="X1726" s="4">
        <f>AVERAGE(Table1[Purchase Amount])</f>
        <v>129.48419400000012</v>
      </c>
    </row>
    <row r="1727" spans="1:24" ht="15" customHeight="1" x14ac:dyDescent="0.25">
      <c r="A1727">
        <v>1726</v>
      </c>
      <c r="B1727">
        <v>45</v>
      </c>
      <c r="C1727" t="s">
        <v>27</v>
      </c>
      <c r="D1727" t="s">
        <v>28</v>
      </c>
      <c r="E1727" t="s">
        <v>29</v>
      </c>
      <c r="F1727" s="2">
        <v>33</v>
      </c>
      <c r="G1727" t="s">
        <v>97</v>
      </c>
      <c r="H1727" t="s">
        <v>31</v>
      </c>
      <c r="I1727" t="s">
        <v>91</v>
      </c>
      <c r="J1727" t="s">
        <v>33</v>
      </c>
      <c r="K1727">
        <v>3</v>
      </c>
      <c r="L1727" t="s">
        <v>23</v>
      </c>
      <c r="M1727" t="s">
        <v>79</v>
      </c>
      <c r="N1727" t="s">
        <v>23</v>
      </c>
      <c r="O1727">
        <v>32</v>
      </c>
      <c r="P1727" t="s">
        <v>62</v>
      </c>
      <c r="Q1727" t="s">
        <v>37</v>
      </c>
      <c r="R1727" s="1">
        <v>0.1</v>
      </c>
      <c r="S1727">
        <f t="shared" si="104"/>
        <v>29.7</v>
      </c>
      <c r="T1727">
        <f>IFERROR(VLOOKUP(A1727,Table1[[Customer ID]:[Discount Amount]], 6, FALSE),"Not Found")</f>
        <v>33</v>
      </c>
      <c r="U1727" t="str">
        <f t="shared" si="105"/>
        <v>Venmo</v>
      </c>
      <c r="V1727" s="4" t="str">
        <f t="shared" si="106"/>
        <v>Normal</v>
      </c>
      <c r="W1727" s="4" t="str">
        <f t="shared" si="107"/>
        <v>Good</v>
      </c>
      <c r="X1727" s="4">
        <f>AVERAGE(Table1[Purchase Amount])</f>
        <v>129.48419400000012</v>
      </c>
    </row>
    <row r="1728" spans="1:24" ht="15" customHeight="1" x14ac:dyDescent="0.25">
      <c r="A1728">
        <v>1727</v>
      </c>
      <c r="B1728">
        <v>57</v>
      </c>
      <c r="C1728" t="s">
        <v>27</v>
      </c>
      <c r="D1728" t="s">
        <v>76</v>
      </c>
      <c r="E1728" t="s">
        <v>77</v>
      </c>
      <c r="F1728" s="2">
        <v>28</v>
      </c>
      <c r="G1728" t="s">
        <v>102</v>
      </c>
      <c r="H1728" t="s">
        <v>55</v>
      </c>
      <c r="I1728" t="s">
        <v>21</v>
      </c>
      <c r="J1728" t="s">
        <v>57</v>
      </c>
      <c r="K1728">
        <v>2.8</v>
      </c>
      <c r="L1728" t="s">
        <v>23</v>
      </c>
      <c r="M1728" t="s">
        <v>61</v>
      </c>
      <c r="N1728" t="s">
        <v>23</v>
      </c>
      <c r="O1728">
        <v>45</v>
      </c>
      <c r="P1728" t="s">
        <v>36</v>
      </c>
      <c r="Q1728" t="s">
        <v>26</v>
      </c>
      <c r="R1728" s="1">
        <v>0.1</v>
      </c>
      <c r="S1728">
        <f t="shared" si="104"/>
        <v>25.2</v>
      </c>
      <c r="T1728">
        <f>IFERROR(VLOOKUP(A1728,Table1[[Customer ID]:[Discount Amount]], 6, FALSE),"Not Found")</f>
        <v>28</v>
      </c>
      <c r="U1728" t="str">
        <f t="shared" si="105"/>
        <v>Debit Card</v>
      </c>
      <c r="V1728" s="4" t="str">
        <f t="shared" si="106"/>
        <v>Normal</v>
      </c>
      <c r="W1728" s="4" t="str">
        <f t="shared" si="107"/>
        <v>Poor</v>
      </c>
      <c r="X1728" s="4">
        <f>AVERAGE(Table1[Purchase Amount])</f>
        <v>129.48419400000012</v>
      </c>
    </row>
    <row r="1729" spans="1:24" ht="15" customHeight="1" x14ac:dyDescent="0.25">
      <c r="A1729">
        <v>1728</v>
      </c>
      <c r="B1729">
        <v>49</v>
      </c>
      <c r="C1729" t="s">
        <v>27</v>
      </c>
      <c r="D1729" t="s">
        <v>118</v>
      </c>
      <c r="E1729" t="s">
        <v>18</v>
      </c>
      <c r="F1729" s="2">
        <v>53</v>
      </c>
      <c r="G1729" t="s">
        <v>138</v>
      </c>
      <c r="H1729" t="s">
        <v>55</v>
      </c>
      <c r="I1729" t="s">
        <v>111</v>
      </c>
      <c r="J1729" t="s">
        <v>33</v>
      </c>
      <c r="K1729">
        <v>4</v>
      </c>
      <c r="L1729" t="s">
        <v>23</v>
      </c>
      <c r="M1729" t="s">
        <v>61</v>
      </c>
      <c r="N1729" t="s">
        <v>23</v>
      </c>
      <c r="O1729">
        <v>19</v>
      </c>
      <c r="P1729" t="s">
        <v>58</v>
      </c>
      <c r="Q1729" t="s">
        <v>42</v>
      </c>
      <c r="R1729" s="1">
        <v>0.1</v>
      </c>
      <c r="S1729">
        <f t="shared" si="104"/>
        <v>47.7</v>
      </c>
      <c r="T1729">
        <f>IFERROR(VLOOKUP(A1729,Table1[[Customer ID]:[Discount Amount]], 6, FALSE),"Not Found")</f>
        <v>53</v>
      </c>
      <c r="U1729" t="str">
        <f t="shared" si="105"/>
        <v>PayPal</v>
      </c>
      <c r="V1729" s="4" t="str">
        <f t="shared" si="106"/>
        <v>Normal</v>
      </c>
      <c r="W1729" s="4" t="str">
        <f t="shared" si="107"/>
        <v>Good</v>
      </c>
      <c r="X1729" s="4">
        <f>AVERAGE(Table1[Purchase Amount])</f>
        <v>129.48419400000012</v>
      </c>
    </row>
    <row r="1730" spans="1:24" ht="15" customHeight="1" x14ac:dyDescent="0.25">
      <c r="A1730">
        <v>1729</v>
      </c>
      <c r="B1730">
        <v>23</v>
      </c>
      <c r="C1730" t="s">
        <v>27</v>
      </c>
      <c r="D1730" t="s">
        <v>109</v>
      </c>
      <c r="E1730" t="s">
        <v>18</v>
      </c>
      <c r="F1730" s="2">
        <v>48</v>
      </c>
      <c r="G1730" t="s">
        <v>162</v>
      </c>
      <c r="H1730" t="s">
        <v>45</v>
      </c>
      <c r="I1730" t="s">
        <v>40</v>
      </c>
      <c r="J1730" t="s">
        <v>47</v>
      </c>
      <c r="K1730">
        <v>4.3</v>
      </c>
      <c r="L1730" t="s">
        <v>23</v>
      </c>
      <c r="M1730" t="s">
        <v>61</v>
      </c>
      <c r="N1730" t="s">
        <v>23</v>
      </c>
      <c r="O1730">
        <v>1</v>
      </c>
      <c r="P1730" t="s">
        <v>36</v>
      </c>
      <c r="Q1730" t="s">
        <v>63</v>
      </c>
      <c r="R1730" s="1">
        <v>0.1</v>
      </c>
      <c r="S1730">
        <f t="shared" ref="S1730:S1793" si="108">F1730-(F1730*R1730)</f>
        <v>43.2</v>
      </c>
      <c r="T1730">
        <f>IFERROR(VLOOKUP(A1730,Table1[[Customer ID]:[Discount Amount]], 6, FALSE),"Not Found")</f>
        <v>48</v>
      </c>
      <c r="U1730" t="str">
        <f t="shared" ref="U1730:U1793" si="109">INDEX(P:P, MATCH(A1730, A:A, 0))</f>
        <v>Debit Card</v>
      </c>
      <c r="V1730" s="4" t="str">
        <f t="shared" ref="V1730:V1793" si="110">IF(AND(F1730&gt;1000,K1730&gt;=4),"Best Customer","Normal")</f>
        <v>Normal</v>
      </c>
      <c r="W1730" s="4" t="str">
        <f t="shared" ref="W1730:W1793" si="111">IF(K1730&gt;=3,"Good","Poor")</f>
        <v>Good</v>
      </c>
      <c r="X1730" s="4">
        <f>AVERAGE(Table1[Purchase Amount])</f>
        <v>129.48419400000012</v>
      </c>
    </row>
    <row r="1731" spans="1:24" ht="15" customHeight="1" x14ac:dyDescent="0.25">
      <c r="A1731">
        <v>1730</v>
      </c>
      <c r="B1731">
        <v>47</v>
      </c>
      <c r="C1731" t="s">
        <v>27</v>
      </c>
      <c r="D1731" t="s">
        <v>54</v>
      </c>
      <c r="E1731" t="s">
        <v>18</v>
      </c>
      <c r="F1731" s="2">
        <v>21</v>
      </c>
      <c r="G1731" t="s">
        <v>44</v>
      </c>
      <c r="H1731" t="s">
        <v>31</v>
      </c>
      <c r="I1731" t="s">
        <v>60</v>
      </c>
      <c r="J1731" t="s">
        <v>22</v>
      </c>
      <c r="K1731">
        <v>3.8</v>
      </c>
      <c r="L1731" t="s">
        <v>23</v>
      </c>
      <c r="M1731" t="s">
        <v>48</v>
      </c>
      <c r="N1731" t="s">
        <v>23</v>
      </c>
      <c r="O1731">
        <v>12</v>
      </c>
      <c r="P1731" t="s">
        <v>62</v>
      </c>
      <c r="Q1731" t="s">
        <v>89</v>
      </c>
      <c r="R1731" s="1">
        <v>0.1</v>
      </c>
      <c r="S1731">
        <f t="shared" si="108"/>
        <v>18.899999999999999</v>
      </c>
      <c r="T1731">
        <f>IFERROR(VLOOKUP(A1731,Table1[[Customer ID]:[Discount Amount]], 6, FALSE),"Not Found")</f>
        <v>21</v>
      </c>
      <c r="U1731" t="str">
        <f t="shared" si="109"/>
        <v>Venmo</v>
      </c>
      <c r="V1731" s="4" t="str">
        <f t="shared" si="110"/>
        <v>Normal</v>
      </c>
      <c r="W1731" s="4" t="str">
        <f t="shared" si="111"/>
        <v>Good</v>
      </c>
      <c r="X1731" s="4">
        <f>AVERAGE(Table1[Purchase Amount])</f>
        <v>129.48419400000012</v>
      </c>
    </row>
    <row r="1732" spans="1:24" ht="15" customHeight="1" x14ac:dyDescent="0.25">
      <c r="A1732">
        <v>1731</v>
      </c>
      <c r="B1732">
        <v>23</v>
      </c>
      <c r="C1732" t="s">
        <v>27</v>
      </c>
      <c r="D1732" t="s">
        <v>38</v>
      </c>
      <c r="E1732" t="s">
        <v>18</v>
      </c>
      <c r="F1732" s="2">
        <v>22</v>
      </c>
      <c r="G1732" t="s">
        <v>51</v>
      </c>
      <c r="H1732" t="s">
        <v>55</v>
      </c>
      <c r="I1732" t="s">
        <v>153</v>
      </c>
      <c r="J1732" t="s">
        <v>47</v>
      </c>
      <c r="K1732">
        <v>4.2</v>
      </c>
      <c r="L1732" t="s">
        <v>23</v>
      </c>
      <c r="M1732" t="s">
        <v>35</v>
      </c>
      <c r="N1732" t="s">
        <v>23</v>
      </c>
      <c r="O1732">
        <v>26</v>
      </c>
      <c r="P1732" t="s">
        <v>53</v>
      </c>
      <c r="Q1732" t="s">
        <v>26</v>
      </c>
      <c r="R1732" s="1">
        <v>0.1</v>
      </c>
      <c r="S1732">
        <f t="shared" si="108"/>
        <v>19.8</v>
      </c>
      <c r="T1732">
        <f>IFERROR(VLOOKUP(A1732,Table1[[Customer ID]:[Discount Amount]], 6, FALSE),"Not Found")</f>
        <v>22</v>
      </c>
      <c r="U1732" t="str">
        <f t="shared" si="109"/>
        <v>Credit Card</v>
      </c>
      <c r="V1732" s="4" t="str">
        <f t="shared" si="110"/>
        <v>Normal</v>
      </c>
      <c r="W1732" s="4" t="str">
        <f t="shared" si="111"/>
        <v>Good</v>
      </c>
      <c r="X1732" s="4">
        <f>AVERAGE(Table1[Purchase Amount])</f>
        <v>129.48419400000012</v>
      </c>
    </row>
    <row r="1733" spans="1:24" ht="15" customHeight="1" x14ac:dyDescent="0.25">
      <c r="A1733">
        <v>1732</v>
      </c>
      <c r="B1733">
        <v>21</v>
      </c>
      <c r="C1733" t="s">
        <v>27</v>
      </c>
      <c r="D1733" t="s">
        <v>104</v>
      </c>
      <c r="E1733" t="s">
        <v>29</v>
      </c>
      <c r="F1733" s="2">
        <v>87</v>
      </c>
      <c r="G1733" t="s">
        <v>161</v>
      </c>
      <c r="H1733" t="s">
        <v>31</v>
      </c>
      <c r="I1733" t="s">
        <v>85</v>
      </c>
      <c r="J1733" t="s">
        <v>47</v>
      </c>
      <c r="K1733">
        <v>3.1</v>
      </c>
      <c r="L1733" t="s">
        <v>23</v>
      </c>
      <c r="M1733" t="s">
        <v>79</v>
      </c>
      <c r="N1733" t="s">
        <v>23</v>
      </c>
      <c r="O1733">
        <v>12</v>
      </c>
      <c r="P1733" t="s">
        <v>25</v>
      </c>
      <c r="Q1733" t="s">
        <v>42</v>
      </c>
      <c r="R1733" s="1">
        <v>0.1</v>
      </c>
      <c r="S1733">
        <f t="shared" si="108"/>
        <v>78.3</v>
      </c>
      <c r="T1733">
        <f>IFERROR(VLOOKUP(A1733,Table1[[Customer ID]:[Discount Amount]], 6, FALSE),"Not Found")</f>
        <v>87</v>
      </c>
      <c r="U1733" t="str">
        <f t="shared" si="109"/>
        <v>Cash</v>
      </c>
      <c r="V1733" s="4" t="str">
        <f t="shared" si="110"/>
        <v>Normal</v>
      </c>
      <c r="W1733" s="4" t="str">
        <f t="shared" si="111"/>
        <v>Good</v>
      </c>
      <c r="X1733" s="4">
        <f>AVERAGE(Table1[Purchase Amount])</f>
        <v>129.48419400000012</v>
      </c>
    </row>
    <row r="1734" spans="1:24" ht="15" customHeight="1" x14ac:dyDescent="0.25">
      <c r="A1734">
        <v>1733</v>
      </c>
      <c r="B1734">
        <v>45</v>
      </c>
      <c r="C1734" t="s">
        <v>27</v>
      </c>
      <c r="D1734" t="s">
        <v>114</v>
      </c>
      <c r="E1734" t="s">
        <v>29</v>
      </c>
      <c r="F1734" s="2">
        <v>50</v>
      </c>
      <c r="G1734" t="s">
        <v>159</v>
      </c>
      <c r="H1734" t="s">
        <v>55</v>
      </c>
      <c r="I1734" t="s">
        <v>103</v>
      </c>
      <c r="J1734" t="s">
        <v>22</v>
      </c>
      <c r="K1734">
        <v>2.6</v>
      </c>
      <c r="L1734" t="s">
        <v>23</v>
      </c>
      <c r="M1734" t="s">
        <v>35</v>
      </c>
      <c r="N1734" t="s">
        <v>23</v>
      </c>
      <c r="O1734">
        <v>36</v>
      </c>
      <c r="P1734" t="s">
        <v>25</v>
      </c>
      <c r="Q1734" t="s">
        <v>63</v>
      </c>
      <c r="R1734" s="1">
        <v>0.1</v>
      </c>
      <c r="S1734">
        <f t="shared" si="108"/>
        <v>45</v>
      </c>
      <c r="T1734">
        <f>IFERROR(VLOOKUP(A1734,Table1[[Customer ID]:[Discount Amount]], 6, FALSE),"Not Found")</f>
        <v>50</v>
      </c>
      <c r="U1734" t="str">
        <f t="shared" si="109"/>
        <v>Cash</v>
      </c>
      <c r="V1734" s="4" t="str">
        <f t="shared" si="110"/>
        <v>Normal</v>
      </c>
      <c r="W1734" s="4" t="str">
        <f t="shared" si="111"/>
        <v>Poor</v>
      </c>
      <c r="X1734" s="4">
        <f>AVERAGE(Table1[Purchase Amount])</f>
        <v>129.48419400000012</v>
      </c>
    </row>
    <row r="1735" spans="1:24" ht="15" customHeight="1" x14ac:dyDescent="0.25">
      <c r="A1735">
        <v>1734</v>
      </c>
      <c r="B1735">
        <v>67</v>
      </c>
      <c r="C1735" t="s">
        <v>27</v>
      </c>
      <c r="D1735" t="s">
        <v>118</v>
      </c>
      <c r="E1735" t="s">
        <v>18</v>
      </c>
      <c r="F1735" s="2">
        <v>85</v>
      </c>
      <c r="G1735" t="s">
        <v>101</v>
      </c>
      <c r="H1735" t="s">
        <v>45</v>
      </c>
      <c r="I1735" t="s">
        <v>40</v>
      </c>
      <c r="J1735" t="s">
        <v>57</v>
      </c>
      <c r="K1735">
        <v>3.4</v>
      </c>
      <c r="L1735" t="s">
        <v>23</v>
      </c>
      <c r="M1735" t="s">
        <v>61</v>
      </c>
      <c r="N1735" t="s">
        <v>23</v>
      </c>
      <c r="O1735">
        <v>22</v>
      </c>
      <c r="P1735" t="s">
        <v>53</v>
      </c>
      <c r="Q1735" t="s">
        <v>49</v>
      </c>
      <c r="R1735" s="1">
        <v>0.1</v>
      </c>
      <c r="S1735">
        <f t="shared" si="108"/>
        <v>76.5</v>
      </c>
      <c r="T1735">
        <f>IFERROR(VLOOKUP(A1735,Table1[[Customer ID]:[Discount Amount]], 6, FALSE),"Not Found")</f>
        <v>85</v>
      </c>
      <c r="U1735" t="str">
        <f t="shared" si="109"/>
        <v>Credit Card</v>
      </c>
      <c r="V1735" s="4" t="str">
        <f t="shared" si="110"/>
        <v>Normal</v>
      </c>
      <c r="W1735" s="4" t="str">
        <f t="shared" si="111"/>
        <v>Good</v>
      </c>
      <c r="X1735" s="4">
        <f>AVERAGE(Table1[Purchase Amount])</f>
        <v>129.48419400000012</v>
      </c>
    </row>
    <row r="1736" spans="1:24" ht="15" customHeight="1" x14ac:dyDescent="0.25">
      <c r="A1736">
        <v>1735</v>
      </c>
      <c r="B1736">
        <v>31</v>
      </c>
      <c r="C1736" t="s">
        <v>27</v>
      </c>
      <c r="D1736" t="s">
        <v>109</v>
      </c>
      <c r="E1736" t="s">
        <v>18</v>
      </c>
      <c r="F1736" s="2">
        <v>98</v>
      </c>
      <c r="G1736" t="s">
        <v>146</v>
      </c>
      <c r="H1736" t="s">
        <v>45</v>
      </c>
      <c r="I1736" t="s">
        <v>60</v>
      </c>
      <c r="J1736" t="s">
        <v>33</v>
      </c>
      <c r="K1736">
        <v>3.1</v>
      </c>
      <c r="L1736" t="s">
        <v>23</v>
      </c>
      <c r="M1736" t="s">
        <v>79</v>
      </c>
      <c r="N1736" t="s">
        <v>23</v>
      </c>
      <c r="O1736">
        <v>16</v>
      </c>
      <c r="P1736" t="s">
        <v>58</v>
      </c>
      <c r="Q1736" t="s">
        <v>37</v>
      </c>
      <c r="R1736" s="1">
        <v>0.1</v>
      </c>
      <c r="S1736">
        <f t="shared" si="108"/>
        <v>88.2</v>
      </c>
      <c r="T1736">
        <f>IFERROR(VLOOKUP(A1736,Table1[[Customer ID]:[Discount Amount]], 6, FALSE),"Not Found")</f>
        <v>98</v>
      </c>
      <c r="U1736" t="str">
        <f t="shared" si="109"/>
        <v>PayPal</v>
      </c>
      <c r="V1736" s="4" t="str">
        <f t="shared" si="110"/>
        <v>Normal</v>
      </c>
      <c r="W1736" s="4" t="str">
        <f t="shared" si="111"/>
        <v>Good</v>
      </c>
      <c r="X1736" s="4">
        <f>AVERAGE(Table1[Purchase Amount])</f>
        <v>129.48419400000012</v>
      </c>
    </row>
    <row r="1737" spans="1:24" ht="15" customHeight="1" x14ac:dyDescent="0.25">
      <c r="A1737">
        <v>1736</v>
      </c>
      <c r="B1737">
        <v>58</v>
      </c>
      <c r="C1737" t="s">
        <v>27</v>
      </c>
      <c r="D1737" t="s">
        <v>157</v>
      </c>
      <c r="E1737" t="s">
        <v>18</v>
      </c>
      <c r="F1737" s="2">
        <v>34</v>
      </c>
      <c r="G1737" t="s">
        <v>152</v>
      </c>
      <c r="H1737" t="s">
        <v>31</v>
      </c>
      <c r="I1737" t="s">
        <v>66</v>
      </c>
      <c r="J1737" t="s">
        <v>22</v>
      </c>
      <c r="K1737">
        <v>3.6</v>
      </c>
      <c r="L1737" t="s">
        <v>23</v>
      </c>
      <c r="M1737" t="s">
        <v>61</v>
      </c>
      <c r="N1737" t="s">
        <v>23</v>
      </c>
      <c r="O1737">
        <v>31</v>
      </c>
      <c r="P1737" t="s">
        <v>62</v>
      </c>
      <c r="Q1737" t="s">
        <v>49</v>
      </c>
      <c r="R1737" s="1">
        <v>0.1</v>
      </c>
      <c r="S1737">
        <f t="shared" si="108"/>
        <v>30.6</v>
      </c>
      <c r="T1737">
        <f>IFERROR(VLOOKUP(A1737,Table1[[Customer ID]:[Discount Amount]], 6, FALSE),"Not Found")</f>
        <v>34</v>
      </c>
      <c r="U1737" t="str">
        <f t="shared" si="109"/>
        <v>Venmo</v>
      </c>
      <c r="V1737" s="4" t="str">
        <f t="shared" si="110"/>
        <v>Normal</v>
      </c>
      <c r="W1737" s="4" t="str">
        <f t="shared" si="111"/>
        <v>Good</v>
      </c>
      <c r="X1737" s="4">
        <f>AVERAGE(Table1[Purchase Amount])</f>
        <v>129.48419400000012</v>
      </c>
    </row>
    <row r="1738" spans="1:24" ht="15" customHeight="1" x14ac:dyDescent="0.25">
      <c r="A1738">
        <v>1737</v>
      </c>
      <c r="B1738">
        <v>57</v>
      </c>
      <c r="C1738" t="s">
        <v>27</v>
      </c>
      <c r="D1738" t="s">
        <v>54</v>
      </c>
      <c r="E1738" t="s">
        <v>18</v>
      </c>
      <c r="F1738" s="2">
        <v>61</v>
      </c>
      <c r="G1738" t="s">
        <v>65</v>
      </c>
      <c r="H1738" t="s">
        <v>31</v>
      </c>
      <c r="I1738" t="s">
        <v>66</v>
      </c>
      <c r="J1738" t="s">
        <v>57</v>
      </c>
      <c r="K1738">
        <v>2.6</v>
      </c>
      <c r="L1738" t="s">
        <v>23</v>
      </c>
      <c r="M1738" t="s">
        <v>41</v>
      </c>
      <c r="N1738" t="s">
        <v>23</v>
      </c>
      <c r="O1738">
        <v>43</v>
      </c>
      <c r="P1738" t="s">
        <v>25</v>
      </c>
      <c r="Q1738" t="s">
        <v>37</v>
      </c>
      <c r="R1738" s="1">
        <v>0.1</v>
      </c>
      <c r="S1738">
        <f t="shared" si="108"/>
        <v>54.9</v>
      </c>
      <c r="T1738">
        <f>IFERROR(VLOOKUP(A1738,Table1[[Customer ID]:[Discount Amount]], 6, FALSE),"Not Found")</f>
        <v>61</v>
      </c>
      <c r="U1738" t="str">
        <f t="shared" si="109"/>
        <v>Cash</v>
      </c>
      <c r="V1738" s="4" t="str">
        <f t="shared" si="110"/>
        <v>Normal</v>
      </c>
      <c r="W1738" s="4" t="str">
        <f t="shared" si="111"/>
        <v>Poor</v>
      </c>
      <c r="X1738" s="4">
        <f>AVERAGE(Table1[Purchase Amount])</f>
        <v>129.48419400000012</v>
      </c>
    </row>
    <row r="1739" spans="1:24" ht="15" customHeight="1" x14ac:dyDescent="0.25">
      <c r="A1739">
        <v>1738</v>
      </c>
      <c r="B1739">
        <v>42</v>
      </c>
      <c r="C1739" t="s">
        <v>27</v>
      </c>
      <c r="D1739" t="s">
        <v>50</v>
      </c>
      <c r="E1739" t="s">
        <v>29</v>
      </c>
      <c r="F1739" s="2">
        <v>98</v>
      </c>
      <c r="G1739" t="s">
        <v>90</v>
      </c>
      <c r="H1739" t="s">
        <v>45</v>
      </c>
      <c r="I1739" t="s">
        <v>85</v>
      </c>
      <c r="J1739" t="s">
        <v>57</v>
      </c>
      <c r="K1739">
        <v>4.2</v>
      </c>
      <c r="L1739" t="s">
        <v>23</v>
      </c>
      <c r="M1739" t="s">
        <v>48</v>
      </c>
      <c r="N1739" t="s">
        <v>23</v>
      </c>
      <c r="O1739">
        <v>50</v>
      </c>
      <c r="P1739" t="s">
        <v>62</v>
      </c>
      <c r="Q1739" t="s">
        <v>68</v>
      </c>
      <c r="R1739" s="1">
        <v>0.1</v>
      </c>
      <c r="S1739">
        <f t="shared" si="108"/>
        <v>88.2</v>
      </c>
      <c r="T1739">
        <f>IFERROR(VLOOKUP(A1739,Table1[[Customer ID]:[Discount Amount]], 6, FALSE),"Not Found")</f>
        <v>98</v>
      </c>
      <c r="U1739" t="str">
        <f t="shared" si="109"/>
        <v>Venmo</v>
      </c>
      <c r="V1739" s="4" t="str">
        <f t="shared" si="110"/>
        <v>Normal</v>
      </c>
      <c r="W1739" s="4" t="str">
        <f t="shared" si="111"/>
        <v>Good</v>
      </c>
      <c r="X1739" s="4">
        <f>AVERAGE(Table1[Purchase Amount])</f>
        <v>129.48419400000012</v>
      </c>
    </row>
    <row r="1740" spans="1:24" ht="15" customHeight="1" x14ac:dyDescent="0.25">
      <c r="A1740">
        <v>1739</v>
      </c>
      <c r="B1740">
        <v>60</v>
      </c>
      <c r="C1740" t="s">
        <v>27</v>
      </c>
      <c r="D1740" t="s">
        <v>69</v>
      </c>
      <c r="E1740" t="s">
        <v>29</v>
      </c>
      <c r="F1740" s="2">
        <v>61</v>
      </c>
      <c r="G1740" t="s">
        <v>65</v>
      </c>
      <c r="H1740" t="s">
        <v>31</v>
      </c>
      <c r="I1740" t="s">
        <v>93</v>
      </c>
      <c r="J1740" t="s">
        <v>33</v>
      </c>
      <c r="K1740">
        <v>2.9</v>
      </c>
      <c r="L1740" t="s">
        <v>23</v>
      </c>
      <c r="M1740" t="s">
        <v>41</v>
      </c>
      <c r="N1740" t="s">
        <v>23</v>
      </c>
      <c r="O1740">
        <v>37</v>
      </c>
      <c r="P1740" t="s">
        <v>53</v>
      </c>
      <c r="Q1740" t="s">
        <v>26</v>
      </c>
      <c r="R1740" s="1">
        <v>0.1</v>
      </c>
      <c r="S1740">
        <f t="shared" si="108"/>
        <v>54.9</v>
      </c>
      <c r="T1740">
        <f>IFERROR(VLOOKUP(A1740,Table1[[Customer ID]:[Discount Amount]], 6, FALSE),"Not Found")</f>
        <v>61</v>
      </c>
      <c r="U1740" t="str">
        <f t="shared" si="109"/>
        <v>Credit Card</v>
      </c>
      <c r="V1740" s="4" t="str">
        <f t="shared" si="110"/>
        <v>Normal</v>
      </c>
      <c r="W1740" s="4" t="str">
        <f t="shared" si="111"/>
        <v>Poor</v>
      </c>
      <c r="X1740" s="4">
        <f>AVERAGE(Table1[Purchase Amount])</f>
        <v>129.48419400000012</v>
      </c>
    </row>
    <row r="1741" spans="1:24" ht="15" customHeight="1" x14ac:dyDescent="0.25">
      <c r="A1741">
        <v>1740</v>
      </c>
      <c r="B1741">
        <v>21</v>
      </c>
      <c r="C1741" t="s">
        <v>27</v>
      </c>
      <c r="D1741" t="s">
        <v>50</v>
      </c>
      <c r="E1741" t="s">
        <v>29</v>
      </c>
      <c r="F1741" s="2">
        <v>98</v>
      </c>
      <c r="G1741" t="s">
        <v>120</v>
      </c>
      <c r="H1741" t="s">
        <v>45</v>
      </c>
      <c r="I1741" t="s">
        <v>153</v>
      </c>
      <c r="J1741" t="s">
        <v>22</v>
      </c>
      <c r="K1741">
        <v>4.2</v>
      </c>
      <c r="L1741" t="s">
        <v>23</v>
      </c>
      <c r="M1741" t="s">
        <v>61</v>
      </c>
      <c r="N1741" t="s">
        <v>23</v>
      </c>
      <c r="O1741">
        <v>23</v>
      </c>
      <c r="P1741" t="s">
        <v>25</v>
      </c>
      <c r="Q1741" t="s">
        <v>26</v>
      </c>
      <c r="R1741" s="1">
        <v>0.1</v>
      </c>
      <c r="S1741">
        <f t="shared" si="108"/>
        <v>88.2</v>
      </c>
      <c r="T1741">
        <f>IFERROR(VLOOKUP(A1741,Table1[[Customer ID]:[Discount Amount]], 6, FALSE),"Not Found")</f>
        <v>98</v>
      </c>
      <c r="U1741" t="str">
        <f t="shared" si="109"/>
        <v>Cash</v>
      </c>
      <c r="V1741" s="4" t="str">
        <f t="shared" si="110"/>
        <v>Normal</v>
      </c>
      <c r="W1741" s="4" t="str">
        <f t="shared" si="111"/>
        <v>Good</v>
      </c>
      <c r="X1741" s="4">
        <f>AVERAGE(Table1[Purchase Amount])</f>
        <v>129.48419400000012</v>
      </c>
    </row>
    <row r="1742" spans="1:24" ht="15" customHeight="1" x14ac:dyDescent="0.25">
      <c r="A1742">
        <v>1741</v>
      </c>
      <c r="B1742">
        <v>69</v>
      </c>
      <c r="C1742" t="s">
        <v>27</v>
      </c>
      <c r="D1742" t="s">
        <v>99</v>
      </c>
      <c r="E1742" t="s">
        <v>18</v>
      </c>
      <c r="F1742" s="2">
        <v>21</v>
      </c>
      <c r="G1742" t="s">
        <v>59</v>
      </c>
      <c r="H1742" t="s">
        <v>45</v>
      </c>
      <c r="I1742" t="s">
        <v>103</v>
      </c>
      <c r="J1742" t="s">
        <v>47</v>
      </c>
      <c r="K1742">
        <v>3.3</v>
      </c>
      <c r="L1742" t="s">
        <v>23</v>
      </c>
      <c r="M1742" t="s">
        <v>79</v>
      </c>
      <c r="N1742" t="s">
        <v>23</v>
      </c>
      <c r="O1742">
        <v>10</v>
      </c>
      <c r="P1742" t="s">
        <v>88</v>
      </c>
      <c r="Q1742" t="s">
        <v>63</v>
      </c>
      <c r="R1742" s="1">
        <v>0.1</v>
      </c>
      <c r="S1742">
        <f t="shared" si="108"/>
        <v>18.899999999999999</v>
      </c>
      <c r="T1742">
        <f>IFERROR(VLOOKUP(A1742,Table1[[Customer ID]:[Discount Amount]], 6, FALSE),"Not Found")</f>
        <v>21</v>
      </c>
      <c r="U1742" t="str">
        <f t="shared" si="109"/>
        <v>Bank Transfer</v>
      </c>
      <c r="V1742" s="4" t="str">
        <f t="shared" si="110"/>
        <v>Normal</v>
      </c>
      <c r="W1742" s="4" t="str">
        <f t="shared" si="111"/>
        <v>Good</v>
      </c>
      <c r="X1742" s="4">
        <f>AVERAGE(Table1[Purchase Amount])</f>
        <v>129.48419400000012</v>
      </c>
    </row>
    <row r="1743" spans="1:24" ht="15" customHeight="1" x14ac:dyDescent="0.25">
      <c r="A1743">
        <v>1742</v>
      </c>
      <c r="B1743">
        <v>41</v>
      </c>
      <c r="C1743" t="s">
        <v>27</v>
      </c>
      <c r="D1743" t="s">
        <v>99</v>
      </c>
      <c r="E1743" t="s">
        <v>18</v>
      </c>
      <c r="F1743" s="2">
        <v>51</v>
      </c>
      <c r="G1743" t="s">
        <v>143</v>
      </c>
      <c r="H1743" t="s">
        <v>20</v>
      </c>
      <c r="I1743" t="s">
        <v>147</v>
      </c>
      <c r="J1743" t="s">
        <v>22</v>
      </c>
      <c r="K1743">
        <v>3.6</v>
      </c>
      <c r="L1743" t="s">
        <v>23</v>
      </c>
      <c r="M1743" t="s">
        <v>79</v>
      </c>
      <c r="N1743" t="s">
        <v>23</v>
      </c>
      <c r="O1743">
        <v>20</v>
      </c>
      <c r="P1743" t="s">
        <v>88</v>
      </c>
      <c r="Q1743" t="s">
        <v>42</v>
      </c>
      <c r="R1743" s="1">
        <v>0.1</v>
      </c>
      <c r="S1743">
        <f t="shared" si="108"/>
        <v>45.9</v>
      </c>
      <c r="T1743">
        <f>IFERROR(VLOOKUP(A1743,Table1[[Customer ID]:[Discount Amount]], 6, FALSE),"Not Found")</f>
        <v>51</v>
      </c>
      <c r="U1743" t="str">
        <f t="shared" si="109"/>
        <v>Bank Transfer</v>
      </c>
      <c r="V1743" s="4" t="str">
        <f t="shared" si="110"/>
        <v>Normal</v>
      </c>
      <c r="W1743" s="4" t="str">
        <f t="shared" si="111"/>
        <v>Good</v>
      </c>
      <c r="X1743" s="4">
        <f>AVERAGE(Table1[Purchase Amount])</f>
        <v>129.48419400000012</v>
      </c>
    </row>
    <row r="1744" spans="1:24" ht="15" customHeight="1" x14ac:dyDescent="0.25">
      <c r="A1744">
        <v>1743</v>
      </c>
      <c r="B1744">
        <v>51</v>
      </c>
      <c r="C1744" t="s">
        <v>27</v>
      </c>
      <c r="D1744" t="s">
        <v>121</v>
      </c>
      <c r="E1744" t="s">
        <v>98</v>
      </c>
      <c r="F1744" s="2">
        <v>80</v>
      </c>
      <c r="G1744" t="s">
        <v>124</v>
      </c>
      <c r="H1744" t="s">
        <v>20</v>
      </c>
      <c r="I1744" t="s">
        <v>32</v>
      </c>
      <c r="J1744" t="s">
        <v>33</v>
      </c>
      <c r="K1744">
        <v>4.3</v>
      </c>
      <c r="L1744" t="s">
        <v>23</v>
      </c>
      <c r="M1744" t="s">
        <v>61</v>
      </c>
      <c r="N1744" t="s">
        <v>23</v>
      </c>
      <c r="O1744">
        <v>18</v>
      </c>
      <c r="P1744" t="s">
        <v>62</v>
      </c>
      <c r="Q1744" t="s">
        <v>63</v>
      </c>
      <c r="R1744" s="1">
        <v>0.1</v>
      </c>
      <c r="S1744">
        <f t="shared" si="108"/>
        <v>72</v>
      </c>
      <c r="T1744">
        <f>IFERROR(VLOOKUP(A1744,Table1[[Customer ID]:[Discount Amount]], 6, FALSE),"Not Found")</f>
        <v>80</v>
      </c>
      <c r="U1744" t="str">
        <f t="shared" si="109"/>
        <v>Venmo</v>
      </c>
      <c r="V1744" s="4" t="str">
        <f t="shared" si="110"/>
        <v>Normal</v>
      </c>
      <c r="W1744" s="4" t="str">
        <f t="shared" si="111"/>
        <v>Good</v>
      </c>
      <c r="X1744" s="4">
        <f>AVERAGE(Table1[Purchase Amount])</f>
        <v>129.48419400000012</v>
      </c>
    </row>
    <row r="1745" spans="1:24" ht="15" customHeight="1" x14ac:dyDescent="0.25">
      <c r="A1745">
        <v>1744</v>
      </c>
      <c r="B1745">
        <v>23</v>
      </c>
      <c r="C1745" t="s">
        <v>27</v>
      </c>
      <c r="D1745" t="s">
        <v>122</v>
      </c>
      <c r="E1745" t="s">
        <v>18</v>
      </c>
      <c r="F1745" s="2">
        <v>72</v>
      </c>
      <c r="G1745" t="s">
        <v>146</v>
      </c>
      <c r="H1745" t="s">
        <v>20</v>
      </c>
      <c r="I1745" t="s">
        <v>60</v>
      </c>
      <c r="J1745" t="s">
        <v>22</v>
      </c>
      <c r="K1745">
        <v>3.3</v>
      </c>
      <c r="L1745" t="s">
        <v>23</v>
      </c>
      <c r="M1745" t="s">
        <v>24</v>
      </c>
      <c r="N1745" t="s">
        <v>23</v>
      </c>
      <c r="O1745">
        <v>3</v>
      </c>
      <c r="P1745" t="s">
        <v>88</v>
      </c>
      <c r="Q1745" t="s">
        <v>26</v>
      </c>
      <c r="R1745" s="1">
        <v>0.1</v>
      </c>
      <c r="S1745">
        <f t="shared" si="108"/>
        <v>64.8</v>
      </c>
      <c r="T1745">
        <f>IFERROR(VLOOKUP(A1745,Table1[[Customer ID]:[Discount Amount]], 6, FALSE),"Not Found")</f>
        <v>72</v>
      </c>
      <c r="U1745" t="str">
        <f t="shared" si="109"/>
        <v>Bank Transfer</v>
      </c>
      <c r="V1745" s="4" t="str">
        <f t="shared" si="110"/>
        <v>Normal</v>
      </c>
      <c r="W1745" s="4" t="str">
        <f t="shared" si="111"/>
        <v>Good</v>
      </c>
      <c r="X1745" s="4">
        <f>AVERAGE(Table1[Purchase Amount])</f>
        <v>129.48419400000012</v>
      </c>
    </row>
    <row r="1746" spans="1:24" ht="15" customHeight="1" x14ac:dyDescent="0.25">
      <c r="A1746">
        <v>1745</v>
      </c>
      <c r="B1746">
        <v>57</v>
      </c>
      <c r="C1746" t="s">
        <v>27</v>
      </c>
      <c r="D1746" t="s">
        <v>28</v>
      </c>
      <c r="E1746" t="s">
        <v>29</v>
      </c>
      <c r="F1746" s="2">
        <v>63</v>
      </c>
      <c r="G1746" t="s">
        <v>113</v>
      </c>
      <c r="H1746" t="s">
        <v>45</v>
      </c>
      <c r="I1746" t="s">
        <v>147</v>
      </c>
      <c r="J1746" t="s">
        <v>22</v>
      </c>
      <c r="K1746">
        <v>3</v>
      </c>
      <c r="L1746" t="s">
        <v>23</v>
      </c>
      <c r="M1746" t="s">
        <v>24</v>
      </c>
      <c r="N1746" t="s">
        <v>23</v>
      </c>
      <c r="O1746">
        <v>23</v>
      </c>
      <c r="P1746" t="s">
        <v>58</v>
      </c>
      <c r="Q1746" t="s">
        <v>26</v>
      </c>
      <c r="R1746" s="1">
        <v>0.1</v>
      </c>
      <c r="S1746">
        <f t="shared" si="108"/>
        <v>56.7</v>
      </c>
      <c r="T1746">
        <f>IFERROR(VLOOKUP(A1746,Table1[[Customer ID]:[Discount Amount]], 6, FALSE),"Not Found")</f>
        <v>63</v>
      </c>
      <c r="U1746" t="str">
        <f t="shared" si="109"/>
        <v>PayPal</v>
      </c>
      <c r="V1746" s="4" t="str">
        <f t="shared" si="110"/>
        <v>Normal</v>
      </c>
      <c r="W1746" s="4" t="str">
        <f t="shared" si="111"/>
        <v>Good</v>
      </c>
      <c r="X1746" s="4">
        <f>AVERAGE(Table1[Purchase Amount])</f>
        <v>129.48419400000012</v>
      </c>
    </row>
    <row r="1747" spans="1:24" ht="15" customHeight="1" x14ac:dyDescent="0.25">
      <c r="A1747">
        <v>1746</v>
      </c>
      <c r="B1747">
        <v>40</v>
      </c>
      <c r="C1747" t="s">
        <v>27</v>
      </c>
      <c r="D1747" t="s">
        <v>122</v>
      </c>
      <c r="E1747" t="s">
        <v>18</v>
      </c>
      <c r="F1747" s="2">
        <v>27</v>
      </c>
      <c r="G1747" t="s">
        <v>154</v>
      </c>
      <c r="H1747" t="s">
        <v>45</v>
      </c>
      <c r="I1747" t="s">
        <v>46</v>
      </c>
      <c r="J1747" t="s">
        <v>22</v>
      </c>
      <c r="K1747">
        <v>3.6</v>
      </c>
      <c r="L1747" t="s">
        <v>23</v>
      </c>
      <c r="M1747" t="s">
        <v>48</v>
      </c>
      <c r="N1747" t="s">
        <v>23</v>
      </c>
      <c r="O1747">
        <v>27</v>
      </c>
      <c r="P1747" t="s">
        <v>25</v>
      </c>
      <c r="Q1747" t="s">
        <v>26</v>
      </c>
      <c r="R1747" s="1">
        <v>0.1</v>
      </c>
      <c r="S1747">
        <f t="shared" si="108"/>
        <v>24.3</v>
      </c>
      <c r="T1747">
        <f>IFERROR(VLOOKUP(A1747,Table1[[Customer ID]:[Discount Amount]], 6, FALSE),"Not Found")</f>
        <v>27</v>
      </c>
      <c r="U1747" t="str">
        <f t="shared" si="109"/>
        <v>Cash</v>
      </c>
      <c r="V1747" s="4" t="str">
        <f t="shared" si="110"/>
        <v>Normal</v>
      </c>
      <c r="W1747" s="4" t="str">
        <f t="shared" si="111"/>
        <v>Good</v>
      </c>
      <c r="X1747" s="4">
        <f>AVERAGE(Table1[Purchase Amount])</f>
        <v>129.48419400000012</v>
      </c>
    </row>
    <row r="1748" spans="1:24" ht="15" customHeight="1" x14ac:dyDescent="0.25">
      <c r="A1748">
        <v>1747</v>
      </c>
      <c r="B1748">
        <v>65</v>
      </c>
      <c r="C1748" t="s">
        <v>27</v>
      </c>
      <c r="D1748" t="s">
        <v>69</v>
      </c>
      <c r="E1748" t="s">
        <v>29</v>
      </c>
      <c r="F1748" s="2">
        <v>44</v>
      </c>
      <c r="G1748" t="s">
        <v>51</v>
      </c>
      <c r="H1748" t="s">
        <v>45</v>
      </c>
      <c r="I1748" t="s">
        <v>60</v>
      </c>
      <c r="J1748" t="s">
        <v>57</v>
      </c>
      <c r="K1748">
        <v>3.1</v>
      </c>
      <c r="L1748" t="s">
        <v>23</v>
      </c>
      <c r="M1748" t="s">
        <v>48</v>
      </c>
      <c r="N1748" t="s">
        <v>23</v>
      </c>
      <c r="O1748">
        <v>44</v>
      </c>
      <c r="P1748" t="s">
        <v>88</v>
      </c>
      <c r="Q1748" t="s">
        <v>89</v>
      </c>
      <c r="R1748" s="1">
        <v>0.1</v>
      </c>
      <c r="S1748">
        <f t="shared" si="108"/>
        <v>39.6</v>
      </c>
      <c r="T1748">
        <f>IFERROR(VLOOKUP(A1748,Table1[[Customer ID]:[Discount Amount]], 6, FALSE),"Not Found")</f>
        <v>44</v>
      </c>
      <c r="U1748" t="str">
        <f t="shared" si="109"/>
        <v>Bank Transfer</v>
      </c>
      <c r="V1748" s="4" t="str">
        <f t="shared" si="110"/>
        <v>Normal</v>
      </c>
      <c r="W1748" s="4" t="str">
        <f t="shared" si="111"/>
        <v>Good</v>
      </c>
      <c r="X1748" s="4">
        <f>AVERAGE(Table1[Purchase Amount])</f>
        <v>129.48419400000012</v>
      </c>
    </row>
    <row r="1749" spans="1:24" ht="15" customHeight="1" x14ac:dyDescent="0.25">
      <c r="A1749">
        <v>1748</v>
      </c>
      <c r="B1749">
        <v>61</v>
      </c>
      <c r="C1749" t="s">
        <v>27</v>
      </c>
      <c r="D1749" t="s">
        <v>76</v>
      </c>
      <c r="E1749" t="s">
        <v>77</v>
      </c>
      <c r="F1749" s="2">
        <v>23</v>
      </c>
      <c r="G1749" t="s">
        <v>132</v>
      </c>
      <c r="H1749" t="s">
        <v>31</v>
      </c>
      <c r="I1749" t="s">
        <v>52</v>
      </c>
      <c r="J1749" t="s">
        <v>22</v>
      </c>
      <c r="K1749">
        <v>2.9</v>
      </c>
      <c r="L1749" t="s">
        <v>23</v>
      </c>
      <c r="M1749" t="s">
        <v>61</v>
      </c>
      <c r="N1749" t="s">
        <v>23</v>
      </c>
      <c r="O1749">
        <v>41</v>
      </c>
      <c r="P1749" t="s">
        <v>62</v>
      </c>
      <c r="Q1749" t="s">
        <v>37</v>
      </c>
      <c r="R1749" s="1">
        <v>0.1</v>
      </c>
      <c r="S1749">
        <f t="shared" si="108"/>
        <v>20.7</v>
      </c>
      <c r="T1749">
        <f>IFERROR(VLOOKUP(A1749,Table1[[Customer ID]:[Discount Amount]], 6, FALSE),"Not Found")</f>
        <v>23</v>
      </c>
      <c r="U1749" t="str">
        <f t="shared" si="109"/>
        <v>Venmo</v>
      </c>
      <c r="V1749" s="4" t="str">
        <f t="shared" si="110"/>
        <v>Normal</v>
      </c>
      <c r="W1749" s="4" t="str">
        <f t="shared" si="111"/>
        <v>Poor</v>
      </c>
      <c r="X1749" s="4">
        <f>AVERAGE(Table1[Purchase Amount])</f>
        <v>129.48419400000012</v>
      </c>
    </row>
    <row r="1750" spans="1:24" ht="15" customHeight="1" x14ac:dyDescent="0.25">
      <c r="A1750">
        <v>1749</v>
      </c>
      <c r="B1750">
        <v>34</v>
      </c>
      <c r="C1750" t="s">
        <v>27</v>
      </c>
      <c r="D1750" t="s">
        <v>122</v>
      </c>
      <c r="E1750" t="s">
        <v>18</v>
      </c>
      <c r="F1750" s="2">
        <v>93</v>
      </c>
      <c r="G1750" t="s">
        <v>39</v>
      </c>
      <c r="H1750" t="s">
        <v>45</v>
      </c>
      <c r="I1750" t="s">
        <v>147</v>
      </c>
      <c r="J1750" t="s">
        <v>22</v>
      </c>
      <c r="K1750">
        <v>3.9</v>
      </c>
      <c r="L1750" t="s">
        <v>23</v>
      </c>
      <c r="M1750" t="s">
        <v>41</v>
      </c>
      <c r="N1750" t="s">
        <v>23</v>
      </c>
      <c r="O1750">
        <v>41</v>
      </c>
      <c r="P1750" t="s">
        <v>88</v>
      </c>
      <c r="Q1750" t="s">
        <v>49</v>
      </c>
      <c r="R1750" s="1">
        <v>0.1</v>
      </c>
      <c r="S1750">
        <f t="shared" si="108"/>
        <v>83.7</v>
      </c>
      <c r="T1750">
        <f>IFERROR(VLOOKUP(A1750,Table1[[Customer ID]:[Discount Amount]], 6, FALSE),"Not Found")</f>
        <v>93</v>
      </c>
      <c r="U1750" t="str">
        <f t="shared" si="109"/>
        <v>Bank Transfer</v>
      </c>
      <c r="V1750" s="4" t="str">
        <f t="shared" si="110"/>
        <v>Normal</v>
      </c>
      <c r="W1750" s="4" t="str">
        <f t="shared" si="111"/>
        <v>Good</v>
      </c>
      <c r="X1750" s="4">
        <f>AVERAGE(Table1[Purchase Amount])</f>
        <v>129.48419400000012</v>
      </c>
    </row>
    <row r="1751" spans="1:24" ht="15" customHeight="1" x14ac:dyDescent="0.25">
      <c r="A1751">
        <v>1750</v>
      </c>
      <c r="B1751">
        <v>43</v>
      </c>
      <c r="C1751" t="s">
        <v>27</v>
      </c>
      <c r="D1751" t="s">
        <v>83</v>
      </c>
      <c r="E1751" t="s">
        <v>18</v>
      </c>
      <c r="F1751" s="2">
        <v>70</v>
      </c>
      <c r="G1751" t="s">
        <v>162</v>
      </c>
      <c r="H1751" t="s">
        <v>45</v>
      </c>
      <c r="I1751" t="s">
        <v>136</v>
      </c>
      <c r="J1751" t="s">
        <v>47</v>
      </c>
      <c r="K1751">
        <v>3.2</v>
      </c>
      <c r="L1751" t="s">
        <v>23</v>
      </c>
      <c r="M1751" t="s">
        <v>41</v>
      </c>
      <c r="N1751" t="s">
        <v>23</v>
      </c>
      <c r="O1751">
        <v>36</v>
      </c>
      <c r="P1751" t="s">
        <v>36</v>
      </c>
      <c r="Q1751" t="s">
        <v>63</v>
      </c>
      <c r="R1751" s="1">
        <v>0.1</v>
      </c>
      <c r="S1751">
        <f t="shared" si="108"/>
        <v>63</v>
      </c>
      <c r="T1751">
        <f>IFERROR(VLOOKUP(A1751,Table1[[Customer ID]:[Discount Amount]], 6, FALSE),"Not Found")</f>
        <v>70</v>
      </c>
      <c r="U1751" t="str">
        <f t="shared" si="109"/>
        <v>Debit Card</v>
      </c>
      <c r="V1751" s="4" t="str">
        <f t="shared" si="110"/>
        <v>Normal</v>
      </c>
      <c r="W1751" s="4" t="str">
        <f t="shared" si="111"/>
        <v>Good</v>
      </c>
      <c r="X1751" s="4">
        <f>AVERAGE(Table1[Purchase Amount])</f>
        <v>129.48419400000012</v>
      </c>
    </row>
    <row r="1752" spans="1:24" ht="15" customHeight="1" x14ac:dyDescent="0.25">
      <c r="A1752">
        <v>1751</v>
      </c>
      <c r="B1752">
        <v>31</v>
      </c>
      <c r="C1752" t="s">
        <v>27</v>
      </c>
      <c r="D1752" t="s">
        <v>28</v>
      </c>
      <c r="E1752" t="s">
        <v>29</v>
      </c>
      <c r="F1752" s="2">
        <v>85</v>
      </c>
      <c r="G1752" t="s">
        <v>146</v>
      </c>
      <c r="H1752" t="s">
        <v>31</v>
      </c>
      <c r="I1752" t="s">
        <v>32</v>
      </c>
      <c r="J1752" t="s">
        <v>47</v>
      </c>
      <c r="K1752">
        <v>3.1</v>
      </c>
      <c r="L1752" t="s">
        <v>23</v>
      </c>
      <c r="M1752" t="s">
        <v>61</v>
      </c>
      <c r="N1752" t="s">
        <v>23</v>
      </c>
      <c r="O1752">
        <v>38</v>
      </c>
      <c r="P1752" t="s">
        <v>62</v>
      </c>
      <c r="Q1752" t="s">
        <v>63</v>
      </c>
      <c r="R1752" s="1">
        <v>0.1</v>
      </c>
      <c r="S1752">
        <f t="shared" si="108"/>
        <v>76.5</v>
      </c>
      <c r="T1752">
        <f>IFERROR(VLOOKUP(A1752,Table1[[Customer ID]:[Discount Amount]], 6, FALSE),"Not Found")</f>
        <v>85</v>
      </c>
      <c r="U1752" t="str">
        <f t="shared" si="109"/>
        <v>Venmo</v>
      </c>
      <c r="V1752" s="4" t="str">
        <f t="shared" si="110"/>
        <v>Normal</v>
      </c>
      <c r="W1752" s="4" t="str">
        <f t="shared" si="111"/>
        <v>Good</v>
      </c>
      <c r="X1752" s="4">
        <f>AVERAGE(Table1[Purchase Amount])</f>
        <v>129.48419400000012</v>
      </c>
    </row>
    <row r="1753" spans="1:24" ht="15" customHeight="1" x14ac:dyDescent="0.25">
      <c r="A1753">
        <v>1752</v>
      </c>
      <c r="B1753">
        <v>57</v>
      </c>
      <c r="C1753" t="s">
        <v>27</v>
      </c>
      <c r="D1753" t="s">
        <v>127</v>
      </c>
      <c r="E1753" t="s">
        <v>18</v>
      </c>
      <c r="F1753" s="2">
        <v>40</v>
      </c>
      <c r="G1753" t="s">
        <v>90</v>
      </c>
      <c r="H1753" t="s">
        <v>31</v>
      </c>
      <c r="I1753" t="s">
        <v>153</v>
      </c>
      <c r="J1753" t="s">
        <v>22</v>
      </c>
      <c r="K1753">
        <v>3.2</v>
      </c>
      <c r="L1753" t="s">
        <v>23</v>
      </c>
      <c r="M1753" t="s">
        <v>41</v>
      </c>
      <c r="N1753" t="s">
        <v>23</v>
      </c>
      <c r="O1753">
        <v>34</v>
      </c>
      <c r="P1753" t="s">
        <v>25</v>
      </c>
      <c r="Q1753" t="s">
        <v>49</v>
      </c>
      <c r="R1753" s="1">
        <v>0.1</v>
      </c>
      <c r="S1753">
        <f t="shared" si="108"/>
        <v>36</v>
      </c>
      <c r="T1753">
        <f>IFERROR(VLOOKUP(A1753,Table1[[Customer ID]:[Discount Amount]], 6, FALSE),"Not Found")</f>
        <v>40</v>
      </c>
      <c r="U1753" t="str">
        <f t="shared" si="109"/>
        <v>Cash</v>
      </c>
      <c r="V1753" s="4" t="str">
        <f t="shared" si="110"/>
        <v>Normal</v>
      </c>
      <c r="W1753" s="4" t="str">
        <f t="shared" si="111"/>
        <v>Good</v>
      </c>
      <c r="X1753" s="4">
        <f>AVERAGE(Table1[Purchase Amount])</f>
        <v>129.48419400000012</v>
      </c>
    </row>
    <row r="1754" spans="1:24" ht="15" customHeight="1" x14ac:dyDescent="0.25">
      <c r="A1754">
        <v>1753</v>
      </c>
      <c r="B1754">
        <v>34</v>
      </c>
      <c r="C1754" t="s">
        <v>27</v>
      </c>
      <c r="D1754" t="s">
        <v>151</v>
      </c>
      <c r="E1754" t="s">
        <v>98</v>
      </c>
      <c r="F1754" s="2">
        <v>29</v>
      </c>
      <c r="G1754" t="s">
        <v>130</v>
      </c>
      <c r="H1754" t="s">
        <v>45</v>
      </c>
      <c r="I1754" t="s">
        <v>74</v>
      </c>
      <c r="J1754" t="s">
        <v>22</v>
      </c>
      <c r="K1754">
        <v>3.3</v>
      </c>
      <c r="L1754" t="s">
        <v>23</v>
      </c>
      <c r="M1754" t="s">
        <v>48</v>
      </c>
      <c r="N1754" t="s">
        <v>23</v>
      </c>
      <c r="O1754">
        <v>14</v>
      </c>
      <c r="P1754" t="s">
        <v>62</v>
      </c>
      <c r="Q1754" t="s">
        <v>37</v>
      </c>
      <c r="R1754" s="1">
        <v>0.1</v>
      </c>
      <c r="S1754">
        <f t="shared" si="108"/>
        <v>26.1</v>
      </c>
      <c r="T1754">
        <f>IFERROR(VLOOKUP(A1754,Table1[[Customer ID]:[Discount Amount]], 6, FALSE),"Not Found")</f>
        <v>29</v>
      </c>
      <c r="U1754" t="str">
        <f t="shared" si="109"/>
        <v>Venmo</v>
      </c>
      <c r="V1754" s="4" t="str">
        <f t="shared" si="110"/>
        <v>Normal</v>
      </c>
      <c r="W1754" s="4" t="str">
        <f t="shared" si="111"/>
        <v>Good</v>
      </c>
      <c r="X1754" s="4">
        <f>AVERAGE(Table1[Purchase Amount])</f>
        <v>129.48419400000012</v>
      </c>
    </row>
    <row r="1755" spans="1:24" ht="15" customHeight="1" x14ac:dyDescent="0.25">
      <c r="A1755">
        <v>1754</v>
      </c>
      <c r="B1755">
        <v>25</v>
      </c>
      <c r="C1755" t="s">
        <v>27</v>
      </c>
      <c r="D1755" t="s">
        <v>122</v>
      </c>
      <c r="E1755" t="s">
        <v>18</v>
      </c>
      <c r="F1755" s="2">
        <v>27</v>
      </c>
      <c r="G1755" t="s">
        <v>92</v>
      </c>
      <c r="H1755" t="s">
        <v>45</v>
      </c>
      <c r="I1755" t="s">
        <v>40</v>
      </c>
      <c r="J1755" t="s">
        <v>47</v>
      </c>
      <c r="K1755">
        <v>4.8</v>
      </c>
      <c r="L1755" t="s">
        <v>23</v>
      </c>
      <c r="M1755" t="s">
        <v>79</v>
      </c>
      <c r="N1755" t="s">
        <v>23</v>
      </c>
      <c r="O1755">
        <v>23</v>
      </c>
      <c r="P1755" t="s">
        <v>53</v>
      </c>
      <c r="Q1755" t="s">
        <v>89</v>
      </c>
      <c r="R1755" s="1">
        <v>0.1</v>
      </c>
      <c r="S1755">
        <f t="shared" si="108"/>
        <v>24.3</v>
      </c>
      <c r="T1755">
        <f>IFERROR(VLOOKUP(A1755,Table1[[Customer ID]:[Discount Amount]], 6, FALSE),"Not Found")</f>
        <v>27</v>
      </c>
      <c r="U1755" t="str">
        <f t="shared" si="109"/>
        <v>Credit Card</v>
      </c>
      <c r="V1755" s="4" t="str">
        <f t="shared" si="110"/>
        <v>Normal</v>
      </c>
      <c r="W1755" s="4" t="str">
        <f t="shared" si="111"/>
        <v>Good</v>
      </c>
      <c r="X1755" s="4">
        <f>AVERAGE(Table1[Purchase Amount])</f>
        <v>129.48419400000012</v>
      </c>
    </row>
    <row r="1756" spans="1:24" ht="15" customHeight="1" x14ac:dyDescent="0.25">
      <c r="A1756">
        <v>1755</v>
      </c>
      <c r="B1756">
        <v>66</v>
      </c>
      <c r="C1756" t="s">
        <v>27</v>
      </c>
      <c r="D1756" t="s">
        <v>157</v>
      </c>
      <c r="E1756" t="s">
        <v>18</v>
      </c>
      <c r="F1756" s="2">
        <v>93</v>
      </c>
      <c r="G1756" t="s">
        <v>97</v>
      </c>
      <c r="H1756" t="s">
        <v>55</v>
      </c>
      <c r="I1756" t="s">
        <v>56</v>
      </c>
      <c r="J1756" t="s">
        <v>47</v>
      </c>
      <c r="K1756">
        <v>3.8</v>
      </c>
      <c r="L1756" t="s">
        <v>23</v>
      </c>
      <c r="M1756" t="s">
        <v>41</v>
      </c>
      <c r="N1756" t="s">
        <v>23</v>
      </c>
      <c r="O1756">
        <v>18</v>
      </c>
      <c r="P1756" t="s">
        <v>53</v>
      </c>
      <c r="Q1756" t="s">
        <v>89</v>
      </c>
      <c r="R1756" s="1">
        <v>0.1</v>
      </c>
      <c r="S1756">
        <f t="shared" si="108"/>
        <v>83.7</v>
      </c>
      <c r="T1756">
        <f>IFERROR(VLOOKUP(A1756,Table1[[Customer ID]:[Discount Amount]], 6, FALSE),"Not Found")</f>
        <v>93</v>
      </c>
      <c r="U1756" t="str">
        <f t="shared" si="109"/>
        <v>Credit Card</v>
      </c>
      <c r="V1756" s="4" t="str">
        <f t="shared" si="110"/>
        <v>Normal</v>
      </c>
      <c r="W1756" s="4" t="str">
        <f t="shared" si="111"/>
        <v>Good</v>
      </c>
      <c r="X1756" s="4">
        <f>AVERAGE(Table1[Purchase Amount])</f>
        <v>129.48419400000012</v>
      </c>
    </row>
    <row r="1757" spans="1:24" ht="15" customHeight="1" x14ac:dyDescent="0.25">
      <c r="A1757">
        <v>1756</v>
      </c>
      <c r="B1757">
        <v>56</v>
      </c>
      <c r="C1757" t="s">
        <v>27</v>
      </c>
      <c r="D1757" t="s">
        <v>114</v>
      </c>
      <c r="E1757" t="s">
        <v>29</v>
      </c>
      <c r="F1757" s="2">
        <v>20</v>
      </c>
      <c r="G1757" t="s">
        <v>143</v>
      </c>
      <c r="H1757" t="s">
        <v>20</v>
      </c>
      <c r="I1757" t="s">
        <v>103</v>
      </c>
      <c r="J1757" t="s">
        <v>33</v>
      </c>
      <c r="K1757">
        <v>4.5999999999999996</v>
      </c>
      <c r="L1757" t="s">
        <v>23</v>
      </c>
      <c r="M1757" t="s">
        <v>79</v>
      </c>
      <c r="N1757" t="s">
        <v>23</v>
      </c>
      <c r="O1757">
        <v>45</v>
      </c>
      <c r="P1757" t="s">
        <v>25</v>
      </c>
      <c r="Q1757" t="s">
        <v>42</v>
      </c>
      <c r="R1757" s="1">
        <v>0.1</v>
      </c>
      <c r="S1757">
        <f t="shared" si="108"/>
        <v>18</v>
      </c>
      <c r="T1757">
        <f>IFERROR(VLOOKUP(A1757,Table1[[Customer ID]:[Discount Amount]], 6, FALSE),"Not Found")</f>
        <v>20</v>
      </c>
      <c r="U1757" t="str">
        <f t="shared" si="109"/>
        <v>Cash</v>
      </c>
      <c r="V1757" s="4" t="str">
        <f t="shared" si="110"/>
        <v>Normal</v>
      </c>
      <c r="W1757" s="4" t="str">
        <f t="shared" si="111"/>
        <v>Good</v>
      </c>
      <c r="X1757" s="4">
        <f>AVERAGE(Table1[Purchase Amount])</f>
        <v>129.48419400000012</v>
      </c>
    </row>
    <row r="1758" spans="1:24" ht="15" customHeight="1" x14ac:dyDescent="0.25">
      <c r="A1758">
        <v>1757</v>
      </c>
      <c r="B1758">
        <v>49</v>
      </c>
      <c r="C1758" t="s">
        <v>27</v>
      </c>
      <c r="D1758" t="s">
        <v>50</v>
      </c>
      <c r="E1758" t="s">
        <v>29</v>
      </c>
      <c r="F1758" s="2">
        <v>55</v>
      </c>
      <c r="G1758" t="s">
        <v>132</v>
      </c>
      <c r="H1758" t="s">
        <v>55</v>
      </c>
      <c r="I1758" t="s">
        <v>128</v>
      </c>
      <c r="J1758" t="s">
        <v>47</v>
      </c>
      <c r="K1758">
        <v>2.8</v>
      </c>
      <c r="L1758" t="s">
        <v>23</v>
      </c>
      <c r="M1758" t="s">
        <v>35</v>
      </c>
      <c r="N1758" t="s">
        <v>23</v>
      </c>
      <c r="O1758">
        <v>14</v>
      </c>
      <c r="P1758" t="s">
        <v>88</v>
      </c>
      <c r="Q1758" t="s">
        <v>26</v>
      </c>
      <c r="R1758" s="1">
        <v>0.1</v>
      </c>
      <c r="S1758">
        <f t="shared" si="108"/>
        <v>49.5</v>
      </c>
      <c r="T1758">
        <f>IFERROR(VLOOKUP(A1758,Table1[[Customer ID]:[Discount Amount]], 6, FALSE),"Not Found")</f>
        <v>55</v>
      </c>
      <c r="U1758" t="str">
        <f t="shared" si="109"/>
        <v>Bank Transfer</v>
      </c>
      <c r="V1758" s="4" t="str">
        <f t="shared" si="110"/>
        <v>Normal</v>
      </c>
      <c r="W1758" s="4" t="str">
        <f t="shared" si="111"/>
        <v>Poor</v>
      </c>
      <c r="X1758" s="4">
        <f>AVERAGE(Table1[Purchase Amount])</f>
        <v>129.48419400000012</v>
      </c>
    </row>
    <row r="1759" spans="1:24" ht="15" customHeight="1" x14ac:dyDescent="0.25">
      <c r="A1759">
        <v>1758</v>
      </c>
      <c r="B1759">
        <v>19</v>
      </c>
      <c r="C1759" t="s">
        <v>27</v>
      </c>
      <c r="D1759" t="s">
        <v>157</v>
      </c>
      <c r="E1759" t="s">
        <v>18</v>
      </c>
      <c r="F1759" s="2">
        <v>94</v>
      </c>
      <c r="G1759" t="s">
        <v>113</v>
      </c>
      <c r="H1759" t="s">
        <v>45</v>
      </c>
      <c r="I1759" t="s">
        <v>52</v>
      </c>
      <c r="J1759" t="s">
        <v>47</v>
      </c>
      <c r="K1759">
        <v>3.6</v>
      </c>
      <c r="L1759" t="s">
        <v>23</v>
      </c>
      <c r="M1759" t="s">
        <v>24</v>
      </c>
      <c r="N1759" t="s">
        <v>23</v>
      </c>
      <c r="O1759">
        <v>48</v>
      </c>
      <c r="P1759" t="s">
        <v>36</v>
      </c>
      <c r="Q1759" t="s">
        <v>49</v>
      </c>
      <c r="R1759" s="1">
        <v>0.1</v>
      </c>
      <c r="S1759">
        <f t="shared" si="108"/>
        <v>84.6</v>
      </c>
      <c r="T1759">
        <f>IFERROR(VLOOKUP(A1759,Table1[[Customer ID]:[Discount Amount]], 6, FALSE),"Not Found")</f>
        <v>94</v>
      </c>
      <c r="U1759" t="str">
        <f t="shared" si="109"/>
        <v>Debit Card</v>
      </c>
      <c r="V1759" s="4" t="str">
        <f t="shared" si="110"/>
        <v>Normal</v>
      </c>
      <c r="W1759" s="4" t="str">
        <f t="shared" si="111"/>
        <v>Good</v>
      </c>
      <c r="X1759" s="4">
        <f>AVERAGE(Table1[Purchase Amount])</f>
        <v>129.48419400000012</v>
      </c>
    </row>
    <row r="1760" spans="1:24" ht="15" customHeight="1" x14ac:dyDescent="0.25">
      <c r="A1760">
        <v>1759</v>
      </c>
      <c r="B1760">
        <v>27</v>
      </c>
      <c r="C1760" t="s">
        <v>27</v>
      </c>
      <c r="D1760" t="s">
        <v>64</v>
      </c>
      <c r="E1760" t="s">
        <v>29</v>
      </c>
      <c r="F1760" s="2">
        <v>56</v>
      </c>
      <c r="G1760" t="s">
        <v>78</v>
      </c>
      <c r="H1760" t="s">
        <v>31</v>
      </c>
      <c r="I1760" t="s">
        <v>153</v>
      </c>
      <c r="J1760" t="s">
        <v>22</v>
      </c>
      <c r="K1760">
        <v>4.3</v>
      </c>
      <c r="L1760" t="s">
        <v>23</v>
      </c>
      <c r="M1760" t="s">
        <v>35</v>
      </c>
      <c r="N1760" t="s">
        <v>23</v>
      </c>
      <c r="O1760">
        <v>17</v>
      </c>
      <c r="P1760" t="s">
        <v>62</v>
      </c>
      <c r="Q1760" t="s">
        <v>68</v>
      </c>
      <c r="R1760" s="1">
        <v>0.1</v>
      </c>
      <c r="S1760">
        <f t="shared" si="108"/>
        <v>50.4</v>
      </c>
      <c r="T1760">
        <f>IFERROR(VLOOKUP(A1760,Table1[[Customer ID]:[Discount Amount]], 6, FALSE),"Not Found")</f>
        <v>56</v>
      </c>
      <c r="U1760" t="str">
        <f t="shared" si="109"/>
        <v>Venmo</v>
      </c>
      <c r="V1760" s="4" t="str">
        <f t="shared" si="110"/>
        <v>Normal</v>
      </c>
      <c r="W1760" s="4" t="str">
        <f t="shared" si="111"/>
        <v>Good</v>
      </c>
      <c r="X1760" s="4">
        <f>AVERAGE(Table1[Purchase Amount])</f>
        <v>129.48419400000012</v>
      </c>
    </row>
    <row r="1761" spans="1:24" ht="15" customHeight="1" x14ac:dyDescent="0.25">
      <c r="A1761">
        <v>1760</v>
      </c>
      <c r="B1761">
        <v>68</v>
      </c>
      <c r="C1761" t="s">
        <v>27</v>
      </c>
      <c r="D1761" t="s">
        <v>127</v>
      </c>
      <c r="E1761" t="s">
        <v>18</v>
      </c>
      <c r="F1761" s="2">
        <v>58</v>
      </c>
      <c r="G1761" t="s">
        <v>119</v>
      </c>
      <c r="H1761" t="s">
        <v>45</v>
      </c>
      <c r="I1761" t="s">
        <v>93</v>
      </c>
      <c r="J1761" t="s">
        <v>33</v>
      </c>
      <c r="K1761">
        <v>4</v>
      </c>
      <c r="L1761" t="s">
        <v>23</v>
      </c>
      <c r="M1761" t="s">
        <v>79</v>
      </c>
      <c r="N1761" t="s">
        <v>23</v>
      </c>
      <c r="O1761">
        <v>1</v>
      </c>
      <c r="P1761" t="s">
        <v>58</v>
      </c>
      <c r="Q1761" t="s">
        <v>26</v>
      </c>
      <c r="R1761" s="1">
        <v>0.1</v>
      </c>
      <c r="S1761">
        <f t="shared" si="108"/>
        <v>52.2</v>
      </c>
      <c r="T1761">
        <f>IFERROR(VLOOKUP(A1761,Table1[[Customer ID]:[Discount Amount]], 6, FALSE),"Not Found")</f>
        <v>58</v>
      </c>
      <c r="U1761" t="str">
        <f t="shared" si="109"/>
        <v>PayPal</v>
      </c>
      <c r="V1761" s="4" t="str">
        <f t="shared" si="110"/>
        <v>Normal</v>
      </c>
      <c r="W1761" s="4" t="str">
        <f t="shared" si="111"/>
        <v>Good</v>
      </c>
      <c r="X1761" s="4">
        <f>AVERAGE(Table1[Purchase Amount])</f>
        <v>129.48419400000012</v>
      </c>
    </row>
    <row r="1762" spans="1:24" ht="15" customHeight="1" x14ac:dyDescent="0.25">
      <c r="A1762">
        <v>1761</v>
      </c>
      <c r="B1762">
        <v>20</v>
      </c>
      <c r="C1762" t="s">
        <v>27</v>
      </c>
      <c r="D1762" t="s">
        <v>122</v>
      </c>
      <c r="E1762" t="s">
        <v>18</v>
      </c>
      <c r="F1762" s="2">
        <v>44</v>
      </c>
      <c r="G1762" t="s">
        <v>120</v>
      </c>
      <c r="H1762" t="s">
        <v>20</v>
      </c>
      <c r="I1762" t="s">
        <v>145</v>
      </c>
      <c r="J1762" t="s">
        <v>33</v>
      </c>
      <c r="K1762">
        <v>3.5</v>
      </c>
      <c r="L1762" t="s">
        <v>23</v>
      </c>
      <c r="M1762" t="s">
        <v>24</v>
      </c>
      <c r="N1762" t="s">
        <v>23</v>
      </c>
      <c r="O1762">
        <v>39</v>
      </c>
      <c r="P1762" t="s">
        <v>58</v>
      </c>
      <c r="Q1762" t="s">
        <v>26</v>
      </c>
      <c r="R1762" s="1">
        <v>0.1</v>
      </c>
      <c r="S1762">
        <f t="shared" si="108"/>
        <v>39.6</v>
      </c>
      <c r="T1762">
        <f>IFERROR(VLOOKUP(A1762,Table1[[Customer ID]:[Discount Amount]], 6, FALSE),"Not Found")</f>
        <v>44</v>
      </c>
      <c r="U1762" t="str">
        <f t="shared" si="109"/>
        <v>PayPal</v>
      </c>
      <c r="V1762" s="4" t="str">
        <f t="shared" si="110"/>
        <v>Normal</v>
      </c>
      <c r="W1762" s="4" t="str">
        <f t="shared" si="111"/>
        <v>Good</v>
      </c>
      <c r="X1762" s="4">
        <f>AVERAGE(Table1[Purchase Amount])</f>
        <v>129.48419400000012</v>
      </c>
    </row>
    <row r="1763" spans="1:24" ht="15" customHeight="1" x14ac:dyDescent="0.25">
      <c r="A1763">
        <v>1762</v>
      </c>
      <c r="B1763">
        <v>21</v>
      </c>
      <c r="C1763" t="s">
        <v>27</v>
      </c>
      <c r="D1763" t="s">
        <v>83</v>
      </c>
      <c r="E1763" t="s">
        <v>18</v>
      </c>
      <c r="F1763" s="2">
        <v>95</v>
      </c>
      <c r="G1763" t="s">
        <v>135</v>
      </c>
      <c r="H1763" t="s">
        <v>55</v>
      </c>
      <c r="I1763" t="s">
        <v>93</v>
      </c>
      <c r="J1763" t="s">
        <v>47</v>
      </c>
      <c r="K1763">
        <v>4.9000000000000004</v>
      </c>
      <c r="L1763" t="s">
        <v>23</v>
      </c>
      <c r="M1763" t="s">
        <v>41</v>
      </c>
      <c r="N1763" t="s">
        <v>23</v>
      </c>
      <c r="O1763">
        <v>24</v>
      </c>
      <c r="P1763" t="s">
        <v>25</v>
      </c>
      <c r="Q1763" t="s">
        <v>26</v>
      </c>
      <c r="R1763" s="1">
        <v>0.1</v>
      </c>
      <c r="S1763">
        <f t="shared" si="108"/>
        <v>85.5</v>
      </c>
      <c r="T1763">
        <f>IFERROR(VLOOKUP(A1763,Table1[[Customer ID]:[Discount Amount]], 6, FALSE),"Not Found")</f>
        <v>95</v>
      </c>
      <c r="U1763" t="str">
        <f t="shared" si="109"/>
        <v>Cash</v>
      </c>
      <c r="V1763" s="4" t="str">
        <f t="shared" si="110"/>
        <v>Normal</v>
      </c>
      <c r="W1763" s="4" t="str">
        <f t="shared" si="111"/>
        <v>Good</v>
      </c>
      <c r="X1763" s="4">
        <f>AVERAGE(Table1[Purchase Amount])</f>
        <v>129.48419400000012</v>
      </c>
    </row>
    <row r="1764" spans="1:24" ht="15" customHeight="1" x14ac:dyDescent="0.25">
      <c r="A1764">
        <v>1763</v>
      </c>
      <c r="B1764">
        <v>36</v>
      </c>
      <c r="C1764" t="s">
        <v>27</v>
      </c>
      <c r="D1764" t="s">
        <v>121</v>
      </c>
      <c r="E1764" t="s">
        <v>98</v>
      </c>
      <c r="F1764" s="2">
        <v>42</v>
      </c>
      <c r="G1764" t="s">
        <v>161</v>
      </c>
      <c r="H1764" t="s">
        <v>31</v>
      </c>
      <c r="I1764" t="s">
        <v>60</v>
      </c>
      <c r="J1764" t="s">
        <v>57</v>
      </c>
      <c r="K1764">
        <v>3.1</v>
      </c>
      <c r="L1764" t="s">
        <v>23</v>
      </c>
      <c r="M1764" t="s">
        <v>61</v>
      </c>
      <c r="N1764" t="s">
        <v>23</v>
      </c>
      <c r="O1764">
        <v>41</v>
      </c>
      <c r="P1764" t="s">
        <v>88</v>
      </c>
      <c r="Q1764" t="s">
        <v>89</v>
      </c>
      <c r="R1764" s="1">
        <v>0.1</v>
      </c>
      <c r="S1764">
        <f t="shared" si="108"/>
        <v>37.799999999999997</v>
      </c>
      <c r="T1764">
        <f>IFERROR(VLOOKUP(A1764,Table1[[Customer ID]:[Discount Amount]], 6, FALSE),"Not Found")</f>
        <v>42</v>
      </c>
      <c r="U1764" t="str">
        <f t="shared" si="109"/>
        <v>Bank Transfer</v>
      </c>
      <c r="V1764" s="4" t="str">
        <f t="shared" si="110"/>
        <v>Normal</v>
      </c>
      <c r="W1764" s="4" t="str">
        <f t="shared" si="111"/>
        <v>Good</v>
      </c>
      <c r="X1764" s="4">
        <f>AVERAGE(Table1[Purchase Amount])</f>
        <v>129.48419400000012</v>
      </c>
    </row>
    <row r="1765" spans="1:24" ht="15" customHeight="1" x14ac:dyDescent="0.25">
      <c r="A1765">
        <v>1764</v>
      </c>
      <c r="B1765">
        <v>37</v>
      </c>
      <c r="C1765" t="s">
        <v>27</v>
      </c>
      <c r="D1765" t="s">
        <v>50</v>
      </c>
      <c r="E1765" t="s">
        <v>29</v>
      </c>
      <c r="F1765" s="2">
        <v>93</v>
      </c>
      <c r="G1765" t="s">
        <v>84</v>
      </c>
      <c r="H1765" t="s">
        <v>31</v>
      </c>
      <c r="I1765" t="s">
        <v>107</v>
      </c>
      <c r="J1765" t="s">
        <v>22</v>
      </c>
      <c r="K1765">
        <v>3.9</v>
      </c>
      <c r="L1765" t="s">
        <v>23</v>
      </c>
      <c r="M1765" t="s">
        <v>48</v>
      </c>
      <c r="N1765" t="s">
        <v>23</v>
      </c>
      <c r="O1765">
        <v>28</v>
      </c>
      <c r="P1765" t="s">
        <v>58</v>
      </c>
      <c r="Q1765" t="s">
        <v>49</v>
      </c>
      <c r="R1765" s="1">
        <v>0.1</v>
      </c>
      <c r="S1765">
        <f t="shared" si="108"/>
        <v>83.7</v>
      </c>
      <c r="T1765">
        <f>IFERROR(VLOOKUP(A1765,Table1[[Customer ID]:[Discount Amount]], 6, FALSE),"Not Found")</f>
        <v>93</v>
      </c>
      <c r="U1765" t="str">
        <f t="shared" si="109"/>
        <v>PayPal</v>
      </c>
      <c r="V1765" s="4" t="str">
        <f t="shared" si="110"/>
        <v>Normal</v>
      </c>
      <c r="W1765" s="4" t="str">
        <f t="shared" si="111"/>
        <v>Good</v>
      </c>
      <c r="X1765" s="4">
        <f>AVERAGE(Table1[Purchase Amount])</f>
        <v>129.48419400000012</v>
      </c>
    </row>
    <row r="1766" spans="1:24" ht="15" customHeight="1" x14ac:dyDescent="0.25">
      <c r="A1766">
        <v>1765</v>
      </c>
      <c r="B1766">
        <v>61</v>
      </c>
      <c r="C1766" t="s">
        <v>27</v>
      </c>
      <c r="D1766" t="s">
        <v>157</v>
      </c>
      <c r="E1766" t="s">
        <v>18</v>
      </c>
      <c r="F1766" s="2">
        <v>56</v>
      </c>
      <c r="G1766" t="s">
        <v>143</v>
      </c>
      <c r="H1766" t="s">
        <v>31</v>
      </c>
      <c r="I1766" t="s">
        <v>103</v>
      </c>
      <c r="J1766" t="s">
        <v>57</v>
      </c>
      <c r="K1766">
        <v>3</v>
      </c>
      <c r="L1766" t="s">
        <v>23</v>
      </c>
      <c r="M1766" t="s">
        <v>48</v>
      </c>
      <c r="N1766" t="s">
        <v>23</v>
      </c>
      <c r="O1766">
        <v>34</v>
      </c>
      <c r="P1766" t="s">
        <v>62</v>
      </c>
      <c r="Q1766" t="s">
        <v>37</v>
      </c>
      <c r="R1766" s="1">
        <v>0.1</v>
      </c>
      <c r="S1766">
        <f t="shared" si="108"/>
        <v>50.4</v>
      </c>
      <c r="T1766">
        <f>IFERROR(VLOOKUP(A1766,Table1[[Customer ID]:[Discount Amount]], 6, FALSE),"Not Found")</f>
        <v>56</v>
      </c>
      <c r="U1766" t="str">
        <f t="shared" si="109"/>
        <v>Venmo</v>
      </c>
      <c r="V1766" s="4" t="str">
        <f t="shared" si="110"/>
        <v>Normal</v>
      </c>
      <c r="W1766" s="4" t="str">
        <f t="shared" si="111"/>
        <v>Good</v>
      </c>
      <c r="X1766" s="4">
        <f>AVERAGE(Table1[Purchase Amount])</f>
        <v>129.48419400000012</v>
      </c>
    </row>
    <row r="1767" spans="1:24" ht="15" customHeight="1" x14ac:dyDescent="0.25">
      <c r="A1767">
        <v>1766</v>
      </c>
      <c r="B1767">
        <v>68</v>
      </c>
      <c r="C1767" t="s">
        <v>27</v>
      </c>
      <c r="D1767" t="s">
        <v>83</v>
      </c>
      <c r="E1767" t="s">
        <v>18</v>
      </c>
      <c r="F1767" s="2">
        <v>88</v>
      </c>
      <c r="G1767" t="s">
        <v>110</v>
      </c>
      <c r="H1767" t="s">
        <v>31</v>
      </c>
      <c r="I1767" t="s">
        <v>108</v>
      </c>
      <c r="J1767" t="s">
        <v>33</v>
      </c>
      <c r="K1767">
        <v>4.0999999999999996</v>
      </c>
      <c r="L1767" t="s">
        <v>23</v>
      </c>
      <c r="M1767" t="s">
        <v>41</v>
      </c>
      <c r="N1767" t="s">
        <v>23</v>
      </c>
      <c r="O1767">
        <v>41</v>
      </c>
      <c r="P1767" t="s">
        <v>62</v>
      </c>
      <c r="Q1767" t="s">
        <v>37</v>
      </c>
      <c r="R1767" s="1">
        <v>0.1</v>
      </c>
      <c r="S1767">
        <f t="shared" si="108"/>
        <v>79.2</v>
      </c>
      <c r="T1767">
        <f>IFERROR(VLOOKUP(A1767,Table1[[Customer ID]:[Discount Amount]], 6, FALSE),"Not Found")</f>
        <v>88</v>
      </c>
      <c r="U1767" t="str">
        <f t="shared" si="109"/>
        <v>Venmo</v>
      </c>
      <c r="V1767" s="4" t="str">
        <f t="shared" si="110"/>
        <v>Normal</v>
      </c>
      <c r="W1767" s="4" t="str">
        <f t="shared" si="111"/>
        <v>Good</v>
      </c>
      <c r="X1767" s="4">
        <f>AVERAGE(Table1[Purchase Amount])</f>
        <v>129.48419400000012</v>
      </c>
    </row>
    <row r="1768" spans="1:24" ht="15" customHeight="1" x14ac:dyDescent="0.25">
      <c r="A1768">
        <v>1767</v>
      </c>
      <c r="B1768">
        <v>60</v>
      </c>
      <c r="C1768" t="s">
        <v>27</v>
      </c>
      <c r="D1768" t="s">
        <v>127</v>
      </c>
      <c r="E1768" t="s">
        <v>18</v>
      </c>
      <c r="F1768" s="2">
        <v>54</v>
      </c>
      <c r="G1768" t="s">
        <v>148</v>
      </c>
      <c r="H1768" t="s">
        <v>55</v>
      </c>
      <c r="I1768" t="s">
        <v>128</v>
      </c>
      <c r="J1768" t="s">
        <v>22</v>
      </c>
      <c r="K1768">
        <v>4.3</v>
      </c>
      <c r="L1768" t="s">
        <v>23</v>
      </c>
      <c r="M1768" t="s">
        <v>41</v>
      </c>
      <c r="N1768" t="s">
        <v>23</v>
      </c>
      <c r="O1768">
        <v>27</v>
      </c>
      <c r="P1768" t="s">
        <v>25</v>
      </c>
      <c r="Q1768" t="s">
        <v>68</v>
      </c>
      <c r="R1768" s="1">
        <v>0.1</v>
      </c>
      <c r="S1768">
        <f t="shared" si="108"/>
        <v>48.6</v>
      </c>
      <c r="T1768">
        <f>IFERROR(VLOOKUP(A1768,Table1[[Customer ID]:[Discount Amount]], 6, FALSE),"Not Found")</f>
        <v>54</v>
      </c>
      <c r="U1768" t="str">
        <f t="shared" si="109"/>
        <v>Cash</v>
      </c>
      <c r="V1768" s="4" t="str">
        <f t="shared" si="110"/>
        <v>Normal</v>
      </c>
      <c r="W1768" s="4" t="str">
        <f t="shared" si="111"/>
        <v>Good</v>
      </c>
      <c r="X1768" s="4">
        <f>AVERAGE(Table1[Purchase Amount])</f>
        <v>129.48419400000012</v>
      </c>
    </row>
    <row r="1769" spans="1:24" ht="15" customHeight="1" x14ac:dyDescent="0.25">
      <c r="A1769">
        <v>1768</v>
      </c>
      <c r="B1769">
        <v>69</v>
      </c>
      <c r="C1769" t="s">
        <v>27</v>
      </c>
      <c r="D1769" t="s">
        <v>50</v>
      </c>
      <c r="E1769" t="s">
        <v>29</v>
      </c>
      <c r="F1769" s="2">
        <v>89</v>
      </c>
      <c r="G1769" t="s">
        <v>120</v>
      </c>
      <c r="H1769" t="s">
        <v>45</v>
      </c>
      <c r="I1769" t="s">
        <v>107</v>
      </c>
      <c r="J1769" t="s">
        <v>47</v>
      </c>
      <c r="K1769">
        <v>3.8</v>
      </c>
      <c r="L1769" t="s">
        <v>23</v>
      </c>
      <c r="M1769" t="s">
        <v>41</v>
      </c>
      <c r="N1769" t="s">
        <v>23</v>
      </c>
      <c r="O1769">
        <v>46</v>
      </c>
      <c r="P1769" t="s">
        <v>36</v>
      </c>
      <c r="Q1769" t="s">
        <v>89</v>
      </c>
      <c r="R1769" s="1">
        <v>0.1</v>
      </c>
      <c r="S1769">
        <f t="shared" si="108"/>
        <v>80.099999999999994</v>
      </c>
      <c r="T1769">
        <f>IFERROR(VLOOKUP(A1769,Table1[[Customer ID]:[Discount Amount]], 6, FALSE),"Not Found")</f>
        <v>89</v>
      </c>
      <c r="U1769" t="str">
        <f t="shared" si="109"/>
        <v>Debit Card</v>
      </c>
      <c r="V1769" s="4" t="str">
        <f t="shared" si="110"/>
        <v>Normal</v>
      </c>
      <c r="W1769" s="4" t="str">
        <f t="shared" si="111"/>
        <v>Good</v>
      </c>
      <c r="X1769" s="4">
        <f>AVERAGE(Table1[Purchase Amount])</f>
        <v>129.48419400000012</v>
      </c>
    </row>
    <row r="1770" spans="1:24" ht="15" customHeight="1" x14ac:dyDescent="0.25">
      <c r="A1770">
        <v>1769</v>
      </c>
      <c r="B1770">
        <v>25</v>
      </c>
      <c r="C1770" t="s">
        <v>27</v>
      </c>
      <c r="D1770" t="s">
        <v>121</v>
      </c>
      <c r="E1770" t="s">
        <v>98</v>
      </c>
      <c r="F1770" s="2">
        <v>45</v>
      </c>
      <c r="G1770" t="s">
        <v>137</v>
      </c>
      <c r="H1770" t="s">
        <v>31</v>
      </c>
      <c r="I1770" t="s">
        <v>91</v>
      </c>
      <c r="J1770" t="s">
        <v>57</v>
      </c>
      <c r="K1770">
        <v>3.9</v>
      </c>
      <c r="L1770" t="s">
        <v>23</v>
      </c>
      <c r="M1770" t="s">
        <v>41</v>
      </c>
      <c r="N1770" t="s">
        <v>23</v>
      </c>
      <c r="O1770">
        <v>2</v>
      </c>
      <c r="P1770" t="s">
        <v>58</v>
      </c>
      <c r="Q1770" t="s">
        <v>63</v>
      </c>
      <c r="R1770" s="1">
        <v>0.1</v>
      </c>
      <c r="S1770">
        <f t="shared" si="108"/>
        <v>40.5</v>
      </c>
      <c r="T1770">
        <f>IFERROR(VLOOKUP(A1770,Table1[[Customer ID]:[Discount Amount]], 6, FALSE),"Not Found")</f>
        <v>45</v>
      </c>
      <c r="U1770" t="str">
        <f t="shared" si="109"/>
        <v>PayPal</v>
      </c>
      <c r="V1770" s="4" t="str">
        <f t="shared" si="110"/>
        <v>Normal</v>
      </c>
      <c r="W1770" s="4" t="str">
        <f t="shared" si="111"/>
        <v>Good</v>
      </c>
      <c r="X1770" s="4">
        <f>AVERAGE(Table1[Purchase Amount])</f>
        <v>129.48419400000012</v>
      </c>
    </row>
    <row r="1771" spans="1:24" ht="15" customHeight="1" x14ac:dyDescent="0.25">
      <c r="A1771">
        <v>1770</v>
      </c>
      <c r="B1771">
        <v>32</v>
      </c>
      <c r="C1771" t="s">
        <v>27</v>
      </c>
      <c r="D1771" t="s">
        <v>105</v>
      </c>
      <c r="E1771" t="s">
        <v>18</v>
      </c>
      <c r="F1771" s="2">
        <v>75</v>
      </c>
      <c r="G1771" t="s">
        <v>148</v>
      </c>
      <c r="H1771" t="s">
        <v>45</v>
      </c>
      <c r="I1771" t="s">
        <v>60</v>
      </c>
      <c r="J1771" t="s">
        <v>22</v>
      </c>
      <c r="K1771">
        <v>4.3</v>
      </c>
      <c r="L1771" t="s">
        <v>23</v>
      </c>
      <c r="M1771" t="s">
        <v>35</v>
      </c>
      <c r="N1771" t="s">
        <v>23</v>
      </c>
      <c r="O1771">
        <v>45</v>
      </c>
      <c r="P1771" t="s">
        <v>25</v>
      </c>
      <c r="Q1771" t="s">
        <v>42</v>
      </c>
      <c r="R1771" s="1">
        <v>0.1</v>
      </c>
      <c r="S1771">
        <f t="shared" si="108"/>
        <v>67.5</v>
      </c>
      <c r="T1771">
        <f>IFERROR(VLOOKUP(A1771,Table1[[Customer ID]:[Discount Amount]], 6, FALSE),"Not Found")</f>
        <v>75</v>
      </c>
      <c r="U1771" t="str">
        <f t="shared" si="109"/>
        <v>Cash</v>
      </c>
      <c r="V1771" s="4" t="str">
        <f t="shared" si="110"/>
        <v>Normal</v>
      </c>
      <c r="W1771" s="4" t="str">
        <f t="shared" si="111"/>
        <v>Good</v>
      </c>
      <c r="X1771" s="4">
        <f>AVERAGE(Table1[Purchase Amount])</f>
        <v>129.48419400000012</v>
      </c>
    </row>
    <row r="1772" spans="1:24" ht="15" customHeight="1" x14ac:dyDescent="0.25">
      <c r="A1772">
        <v>1771</v>
      </c>
      <c r="B1772">
        <v>53</v>
      </c>
      <c r="C1772" t="s">
        <v>27</v>
      </c>
      <c r="D1772" t="s">
        <v>104</v>
      </c>
      <c r="E1772" t="s">
        <v>29</v>
      </c>
      <c r="F1772" s="2">
        <v>22</v>
      </c>
      <c r="G1772" t="s">
        <v>113</v>
      </c>
      <c r="H1772" t="s">
        <v>31</v>
      </c>
      <c r="I1772" t="s">
        <v>136</v>
      </c>
      <c r="J1772" t="s">
        <v>47</v>
      </c>
      <c r="K1772">
        <v>4.3</v>
      </c>
      <c r="L1772" t="s">
        <v>23</v>
      </c>
      <c r="M1772" t="s">
        <v>61</v>
      </c>
      <c r="N1772" t="s">
        <v>23</v>
      </c>
      <c r="O1772">
        <v>34</v>
      </c>
      <c r="P1772" t="s">
        <v>88</v>
      </c>
      <c r="Q1772" t="s">
        <v>26</v>
      </c>
      <c r="R1772" s="1">
        <v>0.1</v>
      </c>
      <c r="S1772">
        <f t="shared" si="108"/>
        <v>19.8</v>
      </c>
      <c r="T1772">
        <f>IFERROR(VLOOKUP(A1772,Table1[[Customer ID]:[Discount Amount]], 6, FALSE),"Not Found")</f>
        <v>22</v>
      </c>
      <c r="U1772" t="str">
        <f t="shared" si="109"/>
        <v>Bank Transfer</v>
      </c>
      <c r="V1772" s="4" t="str">
        <f t="shared" si="110"/>
        <v>Normal</v>
      </c>
      <c r="W1772" s="4" t="str">
        <f t="shared" si="111"/>
        <v>Good</v>
      </c>
      <c r="X1772" s="4">
        <f>AVERAGE(Table1[Purchase Amount])</f>
        <v>129.48419400000012</v>
      </c>
    </row>
    <row r="1773" spans="1:24" ht="15" customHeight="1" x14ac:dyDescent="0.25">
      <c r="A1773">
        <v>1772</v>
      </c>
      <c r="B1773">
        <v>46</v>
      </c>
      <c r="C1773" t="s">
        <v>27</v>
      </c>
      <c r="D1773" t="s">
        <v>38</v>
      </c>
      <c r="E1773" t="s">
        <v>18</v>
      </c>
      <c r="F1773" s="2">
        <v>82</v>
      </c>
      <c r="G1773" t="s">
        <v>102</v>
      </c>
      <c r="H1773" t="s">
        <v>20</v>
      </c>
      <c r="I1773" t="s">
        <v>156</v>
      </c>
      <c r="J1773" t="s">
        <v>47</v>
      </c>
      <c r="K1773">
        <v>4.7</v>
      </c>
      <c r="L1773" t="s">
        <v>23</v>
      </c>
      <c r="M1773" t="s">
        <v>48</v>
      </c>
      <c r="N1773" t="s">
        <v>23</v>
      </c>
      <c r="O1773">
        <v>9</v>
      </c>
      <c r="P1773" t="s">
        <v>53</v>
      </c>
      <c r="Q1773" t="s">
        <v>49</v>
      </c>
      <c r="R1773" s="1">
        <v>0.1</v>
      </c>
      <c r="S1773">
        <f t="shared" si="108"/>
        <v>73.8</v>
      </c>
      <c r="T1773">
        <f>IFERROR(VLOOKUP(A1773,Table1[[Customer ID]:[Discount Amount]], 6, FALSE),"Not Found")</f>
        <v>82</v>
      </c>
      <c r="U1773" t="str">
        <f t="shared" si="109"/>
        <v>Credit Card</v>
      </c>
      <c r="V1773" s="4" t="str">
        <f t="shared" si="110"/>
        <v>Normal</v>
      </c>
      <c r="W1773" s="4" t="str">
        <f t="shared" si="111"/>
        <v>Good</v>
      </c>
      <c r="X1773" s="4">
        <f>AVERAGE(Table1[Purchase Amount])</f>
        <v>129.48419400000012</v>
      </c>
    </row>
    <row r="1774" spans="1:24" ht="15" customHeight="1" x14ac:dyDescent="0.25">
      <c r="A1774">
        <v>1773</v>
      </c>
      <c r="B1774">
        <v>58</v>
      </c>
      <c r="C1774" t="s">
        <v>27</v>
      </c>
      <c r="D1774" t="s">
        <v>72</v>
      </c>
      <c r="E1774" t="s">
        <v>98</v>
      </c>
      <c r="F1774" s="2">
        <v>34</v>
      </c>
      <c r="G1774" t="s">
        <v>135</v>
      </c>
      <c r="H1774" t="s">
        <v>31</v>
      </c>
      <c r="I1774" t="s">
        <v>133</v>
      </c>
      <c r="J1774" t="s">
        <v>57</v>
      </c>
      <c r="K1774">
        <v>3.1</v>
      </c>
      <c r="L1774" t="s">
        <v>23</v>
      </c>
      <c r="M1774" t="s">
        <v>41</v>
      </c>
      <c r="N1774" t="s">
        <v>23</v>
      </c>
      <c r="O1774">
        <v>1</v>
      </c>
      <c r="P1774" t="s">
        <v>88</v>
      </c>
      <c r="Q1774" t="s">
        <v>49</v>
      </c>
      <c r="R1774" s="1">
        <v>0.1</v>
      </c>
      <c r="S1774">
        <f t="shared" si="108"/>
        <v>30.6</v>
      </c>
      <c r="T1774">
        <f>IFERROR(VLOOKUP(A1774,Table1[[Customer ID]:[Discount Amount]], 6, FALSE),"Not Found")</f>
        <v>34</v>
      </c>
      <c r="U1774" t="str">
        <f t="shared" si="109"/>
        <v>Bank Transfer</v>
      </c>
      <c r="V1774" s="4" t="str">
        <f t="shared" si="110"/>
        <v>Normal</v>
      </c>
      <c r="W1774" s="4" t="str">
        <f t="shared" si="111"/>
        <v>Good</v>
      </c>
      <c r="X1774" s="4">
        <f>AVERAGE(Table1[Purchase Amount])</f>
        <v>129.48419400000012</v>
      </c>
    </row>
    <row r="1775" spans="1:24" ht="15" customHeight="1" x14ac:dyDescent="0.25">
      <c r="A1775">
        <v>1774</v>
      </c>
      <c r="B1775">
        <v>21</v>
      </c>
      <c r="C1775" t="s">
        <v>27</v>
      </c>
      <c r="D1775" t="s">
        <v>76</v>
      </c>
      <c r="E1775" t="s">
        <v>77</v>
      </c>
      <c r="F1775" s="2">
        <v>92</v>
      </c>
      <c r="G1775" t="s">
        <v>154</v>
      </c>
      <c r="H1775" t="s">
        <v>31</v>
      </c>
      <c r="I1775" t="s">
        <v>74</v>
      </c>
      <c r="J1775" t="s">
        <v>57</v>
      </c>
      <c r="K1775">
        <v>2.7</v>
      </c>
      <c r="L1775" t="s">
        <v>23</v>
      </c>
      <c r="M1775" t="s">
        <v>35</v>
      </c>
      <c r="N1775" t="s">
        <v>23</v>
      </c>
      <c r="O1775">
        <v>17</v>
      </c>
      <c r="P1775" t="s">
        <v>58</v>
      </c>
      <c r="Q1775" t="s">
        <v>49</v>
      </c>
      <c r="R1775" s="1">
        <v>0.1</v>
      </c>
      <c r="S1775">
        <f t="shared" si="108"/>
        <v>82.8</v>
      </c>
      <c r="T1775">
        <f>IFERROR(VLOOKUP(A1775,Table1[[Customer ID]:[Discount Amount]], 6, FALSE),"Not Found")</f>
        <v>92</v>
      </c>
      <c r="U1775" t="str">
        <f t="shared" si="109"/>
        <v>PayPal</v>
      </c>
      <c r="V1775" s="4" t="str">
        <f t="shared" si="110"/>
        <v>Normal</v>
      </c>
      <c r="W1775" s="4" t="str">
        <f t="shared" si="111"/>
        <v>Poor</v>
      </c>
      <c r="X1775" s="4">
        <f>AVERAGE(Table1[Purchase Amount])</f>
        <v>129.48419400000012</v>
      </c>
    </row>
    <row r="1776" spans="1:24" ht="15" customHeight="1" x14ac:dyDescent="0.25">
      <c r="A1776">
        <v>1775</v>
      </c>
      <c r="B1776">
        <v>46</v>
      </c>
      <c r="C1776" t="s">
        <v>27</v>
      </c>
      <c r="D1776" t="s">
        <v>127</v>
      </c>
      <c r="E1776" t="s">
        <v>18</v>
      </c>
      <c r="F1776" s="2">
        <v>78</v>
      </c>
      <c r="G1776" t="s">
        <v>101</v>
      </c>
      <c r="H1776" t="s">
        <v>31</v>
      </c>
      <c r="I1776" t="s">
        <v>107</v>
      </c>
      <c r="J1776" t="s">
        <v>33</v>
      </c>
      <c r="K1776">
        <v>3.7</v>
      </c>
      <c r="L1776" t="s">
        <v>23</v>
      </c>
      <c r="M1776" t="s">
        <v>61</v>
      </c>
      <c r="N1776" t="s">
        <v>23</v>
      </c>
      <c r="O1776">
        <v>6</v>
      </c>
      <c r="P1776" t="s">
        <v>58</v>
      </c>
      <c r="Q1776" t="s">
        <v>26</v>
      </c>
      <c r="R1776" s="1">
        <v>0.1</v>
      </c>
      <c r="S1776">
        <f t="shared" si="108"/>
        <v>70.2</v>
      </c>
      <c r="T1776">
        <f>IFERROR(VLOOKUP(A1776,Table1[[Customer ID]:[Discount Amount]], 6, FALSE),"Not Found")</f>
        <v>78</v>
      </c>
      <c r="U1776" t="str">
        <f t="shared" si="109"/>
        <v>PayPal</v>
      </c>
      <c r="V1776" s="4" t="str">
        <f t="shared" si="110"/>
        <v>Normal</v>
      </c>
      <c r="W1776" s="4" t="str">
        <f t="shared" si="111"/>
        <v>Good</v>
      </c>
      <c r="X1776" s="4">
        <f>AVERAGE(Table1[Purchase Amount])</f>
        <v>129.48419400000012</v>
      </c>
    </row>
    <row r="1777" spans="1:24" ht="15" customHeight="1" x14ac:dyDescent="0.25">
      <c r="A1777">
        <v>1776</v>
      </c>
      <c r="B1777">
        <v>18</v>
      </c>
      <c r="C1777" t="s">
        <v>27</v>
      </c>
      <c r="D1777" t="s">
        <v>96</v>
      </c>
      <c r="E1777" t="s">
        <v>77</v>
      </c>
      <c r="F1777" s="2">
        <v>47</v>
      </c>
      <c r="G1777" t="s">
        <v>141</v>
      </c>
      <c r="H1777" t="s">
        <v>31</v>
      </c>
      <c r="I1777" t="s">
        <v>111</v>
      </c>
      <c r="J1777" t="s">
        <v>33</v>
      </c>
      <c r="K1777">
        <v>3.3</v>
      </c>
      <c r="L1777" t="s">
        <v>23</v>
      </c>
      <c r="M1777" t="s">
        <v>41</v>
      </c>
      <c r="N1777" t="s">
        <v>23</v>
      </c>
      <c r="O1777">
        <v>12</v>
      </c>
      <c r="P1777" t="s">
        <v>25</v>
      </c>
      <c r="Q1777" t="s">
        <v>68</v>
      </c>
      <c r="R1777" s="1">
        <v>0.1</v>
      </c>
      <c r="S1777">
        <f t="shared" si="108"/>
        <v>42.3</v>
      </c>
      <c r="T1777">
        <f>IFERROR(VLOOKUP(A1777,Table1[[Customer ID]:[Discount Amount]], 6, FALSE),"Not Found")</f>
        <v>47</v>
      </c>
      <c r="U1777" t="str">
        <f t="shared" si="109"/>
        <v>Cash</v>
      </c>
      <c r="V1777" s="4" t="str">
        <f t="shared" si="110"/>
        <v>Normal</v>
      </c>
      <c r="W1777" s="4" t="str">
        <f t="shared" si="111"/>
        <v>Good</v>
      </c>
      <c r="X1777" s="4">
        <f>AVERAGE(Table1[Purchase Amount])</f>
        <v>129.48419400000012</v>
      </c>
    </row>
    <row r="1778" spans="1:24" ht="15" customHeight="1" x14ac:dyDescent="0.25">
      <c r="A1778">
        <v>1777</v>
      </c>
      <c r="B1778">
        <v>56</v>
      </c>
      <c r="C1778" t="s">
        <v>27</v>
      </c>
      <c r="D1778" t="s">
        <v>96</v>
      </c>
      <c r="E1778" t="s">
        <v>77</v>
      </c>
      <c r="F1778" s="2">
        <v>64</v>
      </c>
      <c r="G1778" t="s">
        <v>150</v>
      </c>
      <c r="H1778" t="s">
        <v>45</v>
      </c>
      <c r="I1778" t="s">
        <v>128</v>
      </c>
      <c r="J1778" t="s">
        <v>57</v>
      </c>
      <c r="K1778">
        <v>3.4</v>
      </c>
      <c r="L1778" t="s">
        <v>23</v>
      </c>
      <c r="M1778" t="s">
        <v>35</v>
      </c>
      <c r="N1778" t="s">
        <v>23</v>
      </c>
      <c r="O1778">
        <v>10</v>
      </c>
      <c r="P1778" t="s">
        <v>62</v>
      </c>
      <c r="Q1778" t="s">
        <v>63</v>
      </c>
      <c r="R1778" s="1">
        <v>0.1</v>
      </c>
      <c r="S1778">
        <f t="shared" si="108"/>
        <v>57.6</v>
      </c>
      <c r="T1778">
        <f>IFERROR(VLOOKUP(A1778,Table1[[Customer ID]:[Discount Amount]], 6, FALSE),"Not Found")</f>
        <v>64</v>
      </c>
      <c r="U1778" t="str">
        <f t="shared" si="109"/>
        <v>Venmo</v>
      </c>
      <c r="V1778" s="4" t="str">
        <f t="shared" si="110"/>
        <v>Normal</v>
      </c>
      <c r="W1778" s="4" t="str">
        <f t="shared" si="111"/>
        <v>Good</v>
      </c>
      <c r="X1778" s="4">
        <f>AVERAGE(Table1[Purchase Amount])</f>
        <v>129.48419400000012</v>
      </c>
    </row>
    <row r="1779" spans="1:24" ht="15" customHeight="1" x14ac:dyDescent="0.25">
      <c r="A1779">
        <v>1778</v>
      </c>
      <c r="B1779">
        <v>18</v>
      </c>
      <c r="C1779" t="s">
        <v>27</v>
      </c>
      <c r="D1779" t="s">
        <v>140</v>
      </c>
      <c r="E1779" t="s">
        <v>98</v>
      </c>
      <c r="F1779" s="2">
        <v>44</v>
      </c>
      <c r="G1779" t="s">
        <v>120</v>
      </c>
      <c r="H1779" t="s">
        <v>45</v>
      </c>
      <c r="I1779" t="s">
        <v>66</v>
      </c>
      <c r="J1779" t="s">
        <v>22</v>
      </c>
      <c r="K1779">
        <v>4.7</v>
      </c>
      <c r="L1779" t="s">
        <v>23</v>
      </c>
      <c r="M1779" t="s">
        <v>35</v>
      </c>
      <c r="N1779" t="s">
        <v>23</v>
      </c>
      <c r="O1779">
        <v>4</v>
      </c>
      <c r="P1779" t="s">
        <v>25</v>
      </c>
      <c r="Q1779" t="s">
        <v>89</v>
      </c>
      <c r="R1779" s="1">
        <v>0.1</v>
      </c>
      <c r="S1779">
        <f t="shared" si="108"/>
        <v>39.6</v>
      </c>
      <c r="T1779">
        <f>IFERROR(VLOOKUP(A1779,Table1[[Customer ID]:[Discount Amount]], 6, FALSE),"Not Found")</f>
        <v>44</v>
      </c>
      <c r="U1779" t="str">
        <f t="shared" si="109"/>
        <v>Cash</v>
      </c>
      <c r="V1779" s="4" t="str">
        <f t="shared" si="110"/>
        <v>Normal</v>
      </c>
      <c r="W1779" s="4" t="str">
        <f t="shared" si="111"/>
        <v>Good</v>
      </c>
      <c r="X1779" s="4">
        <f>AVERAGE(Table1[Purchase Amount])</f>
        <v>129.48419400000012</v>
      </c>
    </row>
    <row r="1780" spans="1:24" ht="15" customHeight="1" x14ac:dyDescent="0.25">
      <c r="A1780">
        <v>1779</v>
      </c>
      <c r="B1780">
        <v>49</v>
      </c>
      <c r="C1780" t="s">
        <v>27</v>
      </c>
      <c r="D1780" t="s">
        <v>114</v>
      </c>
      <c r="E1780" t="s">
        <v>29</v>
      </c>
      <c r="F1780" s="2">
        <v>94</v>
      </c>
      <c r="G1780" t="s">
        <v>152</v>
      </c>
      <c r="H1780" t="s">
        <v>31</v>
      </c>
      <c r="I1780" t="s">
        <v>46</v>
      </c>
      <c r="J1780" t="s">
        <v>22</v>
      </c>
      <c r="K1780">
        <v>4.9000000000000004</v>
      </c>
      <c r="L1780" t="s">
        <v>23</v>
      </c>
      <c r="M1780" t="s">
        <v>48</v>
      </c>
      <c r="N1780" t="s">
        <v>23</v>
      </c>
      <c r="O1780">
        <v>8</v>
      </c>
      <c r="P1780" t="s">
        <v>36</v>
      </c>
      <c r="Q1780" t="s">
        <v>68</v>
      </c>
      <c r="R1780" s="1">
        <v>0.1</v>
      </c>
      <c r="S1780">
        <f t="shared" si="108"/>
        <v>84.6</v>
      </c>
      <c r="T1780">
        <f>IFERROR(VLOOKUP(A1780,Table1[[Customer ID]:[Discount Amount]], 6, FALSE),"Not Found")</f>
        <v>94</v>
      </c>
      <c r="U1780" t="str">
        <f t="shared" si="109"/>
        <v>Debit Card</v>
      </c>
      <c r="V1780" s="4" t="str">
        <f t="shared" si="110"/>
        <v>Normal</v>
      </c>
      <c r="W1780" s="4" t="str">
        <f t="shared" si="111"/>
        <v>Good</v>
      </c>
      <c r="X1780" s="4">
        <f>AVERAGE(Table1[Purchase Amount])</f>
        <v>129.48419400000012</v>
      </c>
    </row>
    <row r="1781" spans="1:24" ht="15" customHeight="1" x14ac:dyDescent="0.25">
      <c r="A1781">
        <v>1780</v>
      </c>
      <c r="B1781">
        <v>29</v>
      </c>
      <c r="C1781" t="s">
        <v>27</v>
      </c>
      <c r="D1781" t="s">
        <v>129</v>
      </c>
      <c r="E1781" t="s">
        <v>29</v>
      </c>
      <c r="F1781" s="2">
        <v>62</v>
      </c>
      <c r="G1781" t="s">
        <v>138</v>
      </c>
      <c r="H1781" t="s">
        <v>31</v>
      </c>
      <c r="I1781" t="s">
        <v>103</v>
      </c>
      <c r="J1781" t="s">
        <v>22</v>
      </c>
      <c r="K1781">
        <v>4.3</v>
      </c>
      <c r="L1781" t="s">
        <v>23</v>
      </c>
      <c r="M1781" t="s">
        <v>35</v>
      </c>
      <c r="N1781" t="s">
        <v>23</v>
      </c>
      <c r="O1781">
        <v>41</v>
      </c>
      <c r="P1781" t="s">
        <v>62</v>
      </c>
      <c r="Q1781" t="s">
        <v>26</v>
      </c>
      <c r="R1781" s="1">
        <v>0.1</v>
      </c>
      <c r="S1781">
        <f t="shared" si="108"/>
        <v>55.8</v>
      </c>
      <c r="T1781">
        <f>IFERROR(VLOOKUP(A1781,Table1[[Customer ID]:[Discount Amount]], 6, FALSE),"Not Found")</f>
        <v>62</v>
      </c>
      <c r="U1781" t="str">
        <f t="shared" si="109"/>
        <v>Venmo</v>
      </c>
      <c r="V1781" s="4" t="str">
        <f t="shared" si="110"/>
        <v>Normal</v>
      </c>
      <c r="W1781" s="4" t="str">
        <f t="shared" si="111"/>
        <v>Good</v>
      </c>
      <c r="X1781" s="4">
        <f>AVERAGE(Table1[Purchase Amount])</f>
        <v>129.48419400000012</v>
      </c>
    </row>
    <row r="1782" spans="1:24" ht="15" customHeight="1" x14ac:dyDescent="0.25">
      <c r="A1782">
        <v>1781</v>
      </c>
      <c r="B1782">
        <v>67</v>
      </c>
      <c r="C1782" t="s">
        <v>27</v>
      </c>
      <c r="D1782" t="s">
        <v>50</v>
      </c>
      <c r="E1782" t="s">
        <v>29</v>
      </c>
      <c r="F1782" s="2">
        <v>81</v>
      </c>
      <c r="G1782" t="s">
        <v>86</v>
      </c>
      <c r="H1782" t="s">
        <v>55</v>
      </c>
      <c r="I1782" t="s">
        <v>85</v>
      </c>
      <c r="J1782" t="s">
        <v>57</v>
      </c>
      <c r="K1782">
        <v>4.2</v>
      </c>
      <c r="L1782" t="s">
        <v>23</v>
      </c>
      <c r="M1782" t="s">
        <v>79</v>
      </c>
      <c r="N1782" t="s">
        <v>23</v>
      </c>
      <c r="O1782">
        <v>49</v>
      </c>
      <c r="P1782" t="s">
        <v>53</v>
      </c>
      <c r="Q1782" t="s">
        <v>26</v>
      </c>
      <c r="R1782" s="1">
        <v>0.1</v>
      </c>
      <c r="S1782">
        <f t="shared" si="108"/>
        <v>72.900000000000006</v>
      </c>
      <c r="T1782">
        <f>IFERROR(VLOOKUP(A1782,Table1[[Customer ID]:[Discount Amount]], 6, FALSE),"Not Found")</f>
        <v>81</v>
      </c>
      <c r="U1782" t="str">
        <f t="shared" si="109"/>
        <v>Credit Card</v>
      </c>
      <c r="V1782" s="4" t="str">
        <f t="shared" si="110"/>
        <v>Normal</v>
      </c>
      <c r="W1782" s="4" t="str">
        <f t="shared" si="111"/>
        <v>Good</v>
      </c>
      <c r="X1782" s="4">
        <f>AVERAGE(Table1[Purchase Amount])</f>
        <v>129.48419400000012</v>
      </c>
    </row>
    <row r="1783" spans="1:24" ht="15" customHeight="1" x14ac:dyDescent="0.25">
      <c r="A1783">
        <v>1782</v>
      </c>
      <c r="B1783">
        <v>31</v>
      </c>
      <c r="C1783" t="s">
        <v>27</v>
      </c>
      <c r="D1783" t="s">
        <v>17</v>
      </c>
      <c r="E1783" t="s">
        <v>18</v>
      </c>
      <c r="F1783" s="2">
        <v>33</v>
      </c>
      <c r="G1783" t="s">
        <v>141</v>
      </c>
      <c r="H1783" t="s">
        <v>31</v>
      </c>
      <c r="I1783" t="s">
        <v>136</v>
      </c>
      <c r="J1783" t="s">
        <v>47</v>
      </c>
      <c r="K1783">
        <v>3.7</v>
      </c>
      <c r="L1783" t="s">
        <v>23</v>
      </c>
      <c r="M1783" t="s">
        <v>61</v>
      </c>
      <c r="N1783" t="s">
        <v>23</v>
      </c>
      <c r="O1783">
        <v>49</v>
      </c>
      <c r="P1783" t="s">
        <v>88</v>
      </c>
      <c r="Q1783" t="s">
        <v>37</v>
      </c>
      <c r="R1783" s="1">
        <v>0.1</v>
      </c>
      <c r="S1783">
        <f t="shared" si="108"/>
        <v>29.7</v>
      </c>
      <c r="T1783">
        <f>IFERROR(VLOOKUP(A1783,Table1[[Customer ID]:[Discount Amount]], 6, FALSE),"Not Found")</f>
        <v>33</v>
      </c>
      <c r="U1783" t="str">
        <f t="shared" si="109"/>
        <v>Bank Transfer</v>
      </c>
      <c r="V1783" s="4" t="str">
        <f t="shared" si="110"/>
        <v>Normal</v>
      </c>
      <c r="W1783" s="4" t="str">
        <f t="shared" si="111"/>
        <v>Good</v>
      </c>
      <c r="X1783" s="4">
        <f>AVERAGE(Table1[Purchase Amount])</f>
        <v>129.48419400000012</v>
      </c>
    </row>
    <row r="1784" spans="1:24" ht="15" customHeight="1" x14ac:dyDescent="0.25">
      <c r="A1784">
        <v>1783</v>
      </c>
      <c r="B1784">
        <v>52</v>
      </c>
      <c r="C1784" t="s">
        <v>27</v>
      </c>
      <c r="D1784" t="s">
        <v>99</v>
      </c>
      <c r="E1784" t="s">
        <v>18</v>
      </c>
      <c r="F1784" s="2">
        <v>88</v>
      </c>
      <c r="G1784" t="s">
        <v>144</v>
      </c>
      <c r="H1784" t="s">
        <v>31</v>
      </c>
      <c r="I1784" t="s">
        <v>107</v>
      </c>
      <c r="J1784" t="s">
        <v>47</v>
      </c>
      <c r="K1784">
        <v>2.7</v>
      </c>
      <c r="L1784" t="s">
        <v>23</v>
      </c>
      <c r="M1784" t="s">
        <v>79</v>
      </c>
      <c r="N1784" t="s">
        <v>23</v>
      </c>
      <c r="O1784">
        <v>40</v>
      </c>
      <c r="P1784" t="s">
        <v>88</v>
      </c>
      <c r="Q1784" t="s">
        <v>89</v>
      </c>
      <c r="R1784" s="1">
        <v>0.1</v>
      </c>
      <c r="S1784">
        <f t="shared" si="108"/>
        <v>79.2</v>
      </c>
      <c r="T1784">
        <f>IFERROR(VLOOKUP(A1784,Table1[[Customer ID]:[Discount Amount]], 6, FALSE),"Not Found")</f>
        <v>88</v>
      </c>
      <c r="U1784" t="str">
        <f t="shared" si="109"/>
        <v>Bank Transfer</v>
      </c>
      <c r="V1784" s="4" t="str">
        <f t="shared" si="110"/>
        <v>Normal</v>
      </c>
      <c r="W1784" s="4" t="str">
        <f t="shared" si="111"/>
        <v>Poor</v>
      </c>
      <c r="X1784" s="4">
        <f>AVERAGE(Table1[Purchase Amount])</f>
        <v>129.48419400000012</v>
      </c>
    </row>
    <row r="1785" spans="1:24" ht="15" customHeight="1" x14ac:dyDescent="0.25">
      <c r="A1785">
        <v>1784</v>
      </c>
      <c r="B1785">
        <v>42</v>
      </c>
      <c r="C1785" t="s">
        <v>27</v>
      </c>
      <c r="D1785" t="s">
        <v>69</v>
      </c>
      <c r="E1785" t="s">
        <v>29</v>
      </c>
      <c r="F1785" s="2">
        <v>49</v>
      </c>
      <c r="G1785" t="s">
        <v>90</v>
      </c>
      <c r="H1785" t="s">
        <v>45</v>
      </c>
      <c r="I1785" t="s">
        <v>107</v>
      </c>
      <c r="J1785" t="s">
        <v>22</v>
      </c>
      <c r="K1785">
        <v>3.3</v>
      </c>
      <c r="L1785" t="s">
        <v>23</v>
      </c>
      <c r="M1785" t="s">
        <v>35</v>
      </c>
      <c r="N1785" t="s">
        <v>23</v>
      </c>
      <c r="O1785">
        <v>30</v>
      </c>
      <c r="P1785" t="s">
        <v>53</v>
      </c>
      <c r="Q1785" t="s">
        <v>42</v>
      </c>
      <c r="R1785" s="1">
        <v>0.1</v>
      </c>
      <c r="S1785">
        <f t="shared" si="108"/>
        <v>44.1</v>
      </c>
      <c r="T1785">
        <f>IFERROR(VLOOKUP(A1785,Table1[[Customer ID]:[Discount Amount]], 6, FALSE),"Not Found")</f>
        <v>49</v>
      </c>
      <c r="U1785" t="str">
        <f t="shared" si="109"/>
        <v>Credit Card</v>
      </c>
      <c r="V1785" s="4" t="str">
        <f t="shared" si="110"/>
        <v>Normal</v>
      </c>
      <c r="W1785" s="4" t="str">
        <f t="shared" si="111"/>
        <v>Good</v>
      </c>
      <c r="X1785" s="4">
        <f>AVERAGE(Table1[Purchase Amount])</f>
        <v>129.48419400000012</v>
      </c>
    </row>
    <row r="1786" spans="1:24" ht="15" customHeight="1" x14ac:dyDescent="0.25">
      <c r="A1786">
        <v>1785</v>
      </c>
      <c r="B1786">
        <v>32</v>
      </c>
      <c r="C1786" t="s">
        <v>27</v>
      </c>
      <c r="D1786" t="s">
        <v>104</v>
      </c>
      <c r="E1786" t="s">
        <v>29</v>
      </c>
      <c r="F1786" s="2">
        <v>31</v>
      </c>
      <c r="G1786" t="s">
        <v>119</v>
      </c>
      <c r="H1786" t="s">
        <v>45</v>
      </c>
      <c r="I1786" t="s">
        <v>52</v>
      </c>
      <c r="J1786" t="s">
        <v>57</v>
      </c>
      <c r="K1786">
        <v>4.8</v>
      </c>
      <c r="L1786" t="s">
        <v>23</v>
      </c>
      <c r="M1786" t="s">
        <v>24</v>
      </c>
      <c r="N1786" t="s">
        <v>23</v>
      </c>
      <c r="O1786">
        <v>4</v>
      </c>
      <c r="P1786" t="s">
        <v>36</v>
      </c>
      <c r="Q1786" t="s">
        <v>37</v>
      </c>
      <c r="R1786" s="1">
        <v>0.1</v>
      </c>
      <c r="S1786">
        <f t="shared" si="108"/>
        <v>27.9</v>
      </c>
      <c r="T1786">
        <f>IFERROR(VLOOKUP(A1786,Table1[[Customer ID]:[Discount Amount]], 6, FALSE),"Not Found")</f>
        <v>31</v>
      </c>
      <c r="U1786" t="str">
        <f t="shared" si="109"/>
        <v>Debit Card</v>
      </c>
      <c r="V1786" s="4" t="str">
        <f t="shared" si="110"/>
        <v>Normal</v>
      </c>
      <c r="W1786" s="4" t="str">
        <f t="shared" si="111"/>
        <v>Good</v>
      </c>
      <c r="X1786" s="4">
        <f>AVERAGE(Table1[Purchase Amount])</f>
        <v>129.48419400000012</v>
      </c>
    </row>
    <row r="1787" spans="1:24" ht="15" customHeight="1" x14ac:dyDescent="0.25">
      <c r="A1787">
        <v>1786</v>
      </c>
      <c r="B1787">
        <v>47</v>
      </c>
      <c r="C1787" t="s">
        <v>27</v>
      </c>
      <c r="D1787" t="s">
        <v>43</v>
      </c>
      <c r="E1787" t="s">
        <v>29</v>
      </c>
      <c r="F1787" s="2">
        <v>29</v>
      </c>
      <c r="G1787" t="s">
        <v>141</v>
      </c>
      <c r="H1787" t="s">
        <v>55</v>
      </c>
      <c r="I1787" t="s">
        <v>145</v>
      </c>
      <c r="J1787" t="s">
        <v>47</v>
      </c>
      <c r="K1787">
        <v>4.0999999999999996</v>
      </c>
      <c r="L1787" t="s">
        <v>23</v>
      </c>
      <c r="M1787" t="s">
        <v>79</v>
      </c>
      <c r="N1787" t="s">
        <v>23</v>
      </c>
      <c r="O1787">
        <v>22</v>
      </c>
      <c r="P1787" t="s">
        <v>62</v>
      </c>
      <c r="Q1787" t="s">
        <v>42</v>
      </c>
      <c r="R1787" s="1">
        <v>0.1</v>
      </c>
      <c r="S1787">
        <f t="shared" si="108"/>
        <v>26.1</v>
      </c>
      <c r="T1787">
        <f>IFERROR(VLOOKUP(A1787,Table1[[Customer ID]:[Discount Amount]], 6, FALSE),"Not Found")</f>
        <v>29</v>
      </c>
      <c r="U1787" t="str">
        <f t="shared" si="109"/>
        <v>Venmo</v>
      </c>
      <c r="V1787" s="4" t="str">
        <f t="shared" si="110"/>
        <v>Normal</v>
      </c>
      <c r="W1787" s="4" t="str">
        <f t="shared" si="111"/>
        <v>Good</v>
      </c>
      <c r="X1787" s="4">
        <f>AVERAGE(Table1[Purchase Amount])</f>
        <v>129.48419400000012</v>
      </c>
    </row>
    <row r="1788" spans="1:24" ht="15" customHeight="1" x14ac:dyDescent="0.25">
      <c r="A1788">
        <v>1787</v>
      </c>
      <c r="B1788">
        <v>45</v>
      </c>
      <c r="C1788" t="s">
        <v>27</v>
      </c>
      <c r="D1788" t="s">
        <v>96</v>
      </c>
      <c r="E1788" t="s">
        <v>77</v>
      </c>
      <c r="F1788" s="2">
        <v>34</v>
      </c>
      <c r="G1788" t="s">
        <v>106</v>
      </c>
      <c r="H1788" t="s">
        <v>31</v>
      </c>
      <c r="I1788" t="s">
        <v>60</v>
      </c>
      <c r="J1788" t="s">
        <v>33</v>
      </c>
      <c r="K1788">
        <v>4.5999999999999996</v>
      </c>
      <c r="L1788" t="s">
        <v>23</v>
      </c>
      <c r="M1788" t="s">
        <v>41</v>
      </c>
      <c r="N1788" t="s">
        <v>23</v>
      </c>
      <c r="O1788">
        <v>22</v>
      </c>
      <c r="P1788" t="s">
        <v>62</v>
      </c>
      <c r="Q1788" t="s">
        <v>42</v>
      </c>
      <c r="R1788" s="1">
        <v>0.1</v>
      </c>
      <c r="S1788">
        <f t="shared" si="108"/>
        <v>30.6</v>
      </c>
      <c r="T1788">
        <f>IFERROR(VLOOKUP(A1788,Table1[[Customer ID]:[Discount Amount]], 6, FALSE),"Not Found")</f>
        <v>34</v>
      </c>
      <c r="U1788" t="str">
        <f t="shared" si="109"/>
        <v>Venmo</v>
      </c>
      <c r="V1788" s="4" t="str">
        <f t="shared" si="110"/>
        <v>Normal</v>
      </c>
      <c r="W1788" s="4" t="str">
        <f t="shared" si="111"/>
        <v>Good</v>
      </c>
      <c r="X1788" s="4">
        <f>AVERAGE(Table1[Purchase Amount])</f>
        <v>129.48419400000012</v>
      </c>
    </row>
    <row r="1789" spans="1:24" ht="15" customHeight="1" x14ac:dyDescent="0.25">
      <c r="A1789">
        <v>1788</v>
      </c>
      <c r="B1789">
        <v>20</v>
      </c>
      <c r="C1789" t="s">
        <v>27</v>
      </c>
      <c r="D1789" t="s">
        <v>127</v>
      </c>
      <c r="E1789" t="s">
        <v>18</v>
      </c>
      <c r="F1789" s="2">
        <v>38</v>
      </c>
      <c r="G1789" t="s">
        <v>39</v>
      </c>
      <c r="H1789" t="s">
        <v>45</v>
      </c>
      <c r="I1789" t="s">
        <v>133</v>
      </c>
      <c r="J1789" t="s">
        <v>47</v>
      </c>
      <c r="K1789">
        <v>4.9000000000000004</v>
      </c>
      <c r="L1789" t="s">
        <v>23</v>
      </c>
      <c r="M1789" t="s">
        <v>41</v>
      </c>
      <c r="N1789" t="s">
        <v>23</v>
      </c>
      <c r="O1789">
        <v>10</v>
      </c>
      <c r="P1789" t="s">
        <v>88</v>
      </c>
      <c r="Q1789" t="s">
        <v>37</v>
      </c>
      <c r="R1789" s="1">
        <v>0.1</v>
      </c>
      <c r="S1789">
        <f t="shared" si="108"/>
        <v>34.200000000000003</v>
      </c>
      <c r="T1789">
        <f>IFERROR(VLOOKUP(A1789,Table1[[Customer ID]:[Discount Amount]], 6, FALSE),"Not Found")</f>
        <v>38</v>
      </c>
      <c r="U1789" t="str">
        <f t="shared" si="109"/>
        <v>Bank Transfer</v>
      </c>
      <c r="V1789" s="4" t="str">
        <f t="shared" si="110"/>
        <v>Normal</v>
      </c>
      <c r="W1789" s="4" t="str">
        <f t="shared" si="111"/>
        <v>Good</v>
      </c>
      <c r="X1789" s="4">
        <f>AVERAGE(Table1[Purchase Amount])</f>
        <v>129.48419400000012</v>
      </c>
    </row>
    <row r="1790" spans="1:24" ht="15" customHeight="1" x14ac:dyDescent="0.25">
      <c r="A1790">
        <v>1789</v>
      </c>
      <c r="B1790">
        <v>66</v>
      </c>
      <c r="C1790" t="s">
        <v>27</v>
      </c>
      <c r="D1790" t="s">
        <v>118</v>
      </c>
      <c r="E1790" t="s">
        <v>18</v>
      </c>
      <c r="F1790" s="2">
        <v>41</v>
      </c>
      <c r="G1790" t="s">
        <v>44</v>
      </c>
      <c r="H1790" t="s">
        <v>45</v>
      </c>
      <c r="I1790" t="s">
        <v>136</v>
      </c>
      <c r="J1790" t="s">
        <v>57</v>
      </c>
      <c r="K1790">
        <v>3.1</v>
      </c>
      <c r="L1790" t="s">
        <v>23</v>
      </c>
      <c r="M1790" t="s">
        <v>48</v>
      </c>
      <c r="N1790" t="s">
        <v>23</v>
      </c>
      <c r="O1790">
        <v>23</v>
      </c>
      <c r="P1790" t="s">
        <v>25</v>
      </c>
      <c r="Q1790" t="s">
        <v>68</v>
      </c>
      <c r="R1790" s="1">
        <v>0.1</v>
      </c>
      <c r="S1790">
        <f t="shared" si="108"/>
        <v>36.9</v>
      </c>
      <c r="T1790">
        <f>IFERROR(VLOOKUP(A1790,Table1[[Customer ID]:[Discount Amount]], 6, FALSE),"Not Found")</f>
        <v>41</v>
      </c>
      <c r="U1790" t="str">
        <f t="shared" si="109"/>
        <v>Cash</v>
      </c>
      <c r="V1790" s="4" t="str">
        <f t="shared" si="110"/>
        <v>Normal</v>
      </c>
      <c r="W1790" s="4" t="str">
        <f t="shared" si="111"/>
        <v>Good</v>
      </c>
      <c r="X1790" s="4">
        <f>AVERAGE(Table1[Purchase Amount])</f>
        <v>129.48419400000012</v>
      </c>
    </row>
    <row r="1791" spans="1:24" ht="15" customHeight="1" x14ac:dyDescent="0.25">
      <c r="A1791">
        <v>1790</v>
      </c>
      <c r="B1791">
        <v>52</v>
      </c>
      <c r="C1791" t="s">
        <v>27</v>
      </c>
      <c r="D1791" t="s">
        <v>118</v>
      </c>
      <c r="E1791" t="s">
        <v>18</v>
      </c>
      <c r="F1791" s="2">
        <v>34</v>
      </c>
      <c r="G1791" t="s">
        <v>150</v>
      </c>
      <c r="H1791" t="s">
        <v>45</v>
      </c>
      <c r="I1791" t="s">
        <v>145</v>
      </c>
      <c r="J1791" t="s">
        <v>33</v>
      </c>
      <c r="K1791">
        <v>3</v>
      </c>
      <c r="L1791" t="s">
        <v>23</v>
      </c>
      <c r="M1791" t="s">
        <v>41</v>
      </c>
      <c r="N1791" t="s">
        <v>23</v>
      </c>
      <c r="O1791">
        <v>43</v>
      </c>
      <c r="P1791" t="s">
        <v>36</v>
      </c>
      <c r="Q1791" t="s">
        <v>37</v>
      </c>
      <c r="R1791" s="1">
        <v>0.1</v>
      </c>
      <c r="S1791">
        <f t="shared" si="108"/>
        <v>30.6</v>
      </c>
      <c r="T1791">
        <f>IFERROR(VLOOKUP(A1791,Table1[[Customer ID]:[Discount Amount]], 6, FALSE),"Not Found")</f>
        <v>34</v>
      </c>
      <c r="U1791" t="str">
        <f t="shared" si="109"/>
        <v>Debit Card</v>
      </c>
      <c r="V1791" s="4" t="str">
        <f t="shared" si="110"/>
        <v>Normal</v>
      </c>
      <c r="W1791" s="4" t="str">
        <f t="shared" si="111"/>
        <v>Good</v>
      </c>
      <c r="X1791" s="4">
        <f>AVERAGE(Table1[Purchase Amount])</f>
        <v>129.48419400000012</v>
      </c>
    </row>
    <row r="1792" spans="1:24" ht="15" customHeight="1" x14ac:dyDescent="0.25">
      <c r="A1792">
        <v>1791</v>
      </c>
      <c r="B1792">
        <v>50</v>
      </c>
      <c r="C1792" t="s">
        <v>27</v>
      </c>
      <c r="D1792" t="s">
        <v>43</v>
      </c>
      <c r="E1792" t="s">
        <v>29</v>
      </c>
      <c r="F1792" s="2">
        <v>26</v>
      </c>
      <c r="G1792" t="s">
        <v>134</v>
      </c>
      <c r="H1792" t="s">
        <v>55</v>
      </c>
      <c r="I1792" t="s">
        <v>111</v>
      </c>
      <c r="J1792" t="s">
        <v>57</v>
      </c>
      <c r="K1792">
        <v>3.7</v>
      </c>
      <c r="L1792" t="s">
        <v>23</v>
      </c>
      <c r="M1792" t="s">
        <v>48</v>
      </c>
      <c r="N1792" t="s">
        <v>23</v>
      </c>
      <c r="O1792">
        <v>31</v>
      </c>
      <c r="P1792" t="s">
        <v>58</v>
      </c>
      <c r="Q1792" t="s">
        <v>68</v>
      </c>
      <c r="R1792" s="1">
        <v>0.1</v>
      </c>
      <c r="S1792">
        <f t="shared" si="108"/>
        <v>23.4</v>
      </c>
      <c r="T1792">
        <f>IFERROR(VLOOKUP(A1792,Table1[[Customer ID]:[Discount Amount]], 6, FALSE),"Not Found")</f>
        <v>26</v>
      </c>
      <c r="U1792" t="str">
        <f t="shared" si="109"/>
        <v>PayPal</v>
      </c>
      <c r="V1792" s="4" t="str">
        <f t="shared" si="110"/>
        <v>Normal</v>
      </c>
      <c r="W1792" s="4" t="str">
        <f t="shared" si="111"/>
        <v>Good</v>
      </c>
      <c r="X1792" s="4">
        <f>AVERAGE(Table1[Purchase Amount])</f>
        <v>129.48419400000012</v>
      </c>
    </row>
    <row r="1793" spans="1:24" ht="15" customHeight="1" x14ac:dyDescent="0.25">
      <c r="A1793">
        <v>1792</v>
      </c>
      <c r="B1793">
        <v>62</v>
      </c>
      <c r="C1793" t="s">
        <v>27</v>
      </c>
      <c r="D1793" t="s">
        <v>109</v>
      </c>
      <c r="E1793" t="s">
        <v>18</v>
      </c>
      <c r="F1793" s="2">
        <v>98</v>
      </c>
      <c r="G1793" t="s">
        <v>39</v>
      </c>
      <c r="H1793" t="s">
        <v>55</v>
      </c>
      <c r="I1793" t="s">
        <v>66</v>
      </c>
      <c r="J1793" t="s">
        <v>22</v>
      </c>
      <c r="K1793">
        <v>4</v>
      </c>
      <c r="L1793" t="s">
        <v>23</v>
      </c>
      <c r="M1793" t="s">
        <v>48</v>
      </c>
      <c r="N1793" t="s">
        <v>23</v>
      </c>
      <c r="O1793">
        <v>38</v>
      </c>
      <c r="P1793" t="s">
        <v>25</v>
      </c>
      <c r="Q1793" t="s">
        <v>49</v>
      </c>
      <c r="R1793" s="1">
        <v>0.1</v>
      </c>
      <c r="S1793">
        <f t="shared" si="108"/>
        <v>88.2</v>
      </c>
      <c r="T1793">
        <f>IFERROR(VLOOKUP(A1793,Table1[[Customer ID]:[Discount Amount]], 6, FALSE),"Not Found")</f>
        <v>98</v>
      </c>
      <c r="U1793" t="str">
        <f t="shared" si="109"/>
        <v>Cash</v>
      </c>
      <c r="V1793" s="4" t="str">
        <f t="shared" si="110"/>
        <v>Normal</v>
      </c>
      <c r="W1793" s="4" t="str">
        <f t="shared" si="111"/>
        <v>Good</v>
      </c>
      <c r="X1793" s="4">
        <f>AVERAGE(Table1[Purchase Amount])</f>
        <v>129.48419400000012</v>
      </c>
    </row>
    <row r="1794" spans="1:24" ht="15" customHeight="1" x14ac:dyDescent="0.25">
      <c r="A1794">
        <v>1793</v>
      </c>
      <c r="B1794">
        <v>38</v>
      </c>
      <c r="C1794" t="s">
        <v>27</v>
      </c>
      <c r="D1794" t="s">
        <v>140</v>
      </c>
      <c r="E1794" t="s">
        <v>98</v>
      </c>
      <c r="F1794" s="2">
        <v>59</v>
      </c>
      <c r="G1794" t="s">
        <v>141</v>
      </c>
      <c r="H1794" t="s">
        <v>31</v>
      </c>
      <c r="I1794" t="s">
        <v>145</v>
      </c>
      <c r="J1794" t="s">
        <v>47</v>
      </c>
      <c r="K1794">
        <v>3</v>
      </c>
      <c r="L1794" t="s">
        <v>23</v>
      </c>
      <c r="M1794" t="s">
        <v>61</v>
      </c>
      <c r="N1794" t="s">
        <v>23</v>
      </c>
      <c r="O1794">
        <v>22</v>
      </c>
      <c r="P1794" t="s">
        <v>36</v>
      </c>
      <c r="Q1794" t="s">
        <v>63</v>
      </c>
      <c r="R1794" s="1">
        <v>0.1</v>
      </c>
      <c r="S1794">
        <f t="shared" ref="S1794:S1857" si="112">F1794-(F1794*R1794)</f>
        <v>53.1</v>
      </c>
      <c r="T1794">
        <f>IFERROR(VLOOKUP(A1794,Table1[[Customer ID]:[Discount Amount]], 6, FALSE),"Not Found")</f>
        <v>59</v>
      </c>
      <c r="U1794" t="str">
        <f t="shared" ref="U1794:U1857" si="113">INDEX(P:P, MATCH(A1794, A:A, 0))</f>
        <v>Debit Card</v>
      </c>
      <c r="V1794" s="4" t="str">
        <f t="shared" ref="V1794:V1857" si="114">IF(AND(F1794&gt;1000,K1794&gt;=4),"Best Customer","Normal")</f>
        <v>Normal</v>
      </c>
      <c r="W1794" s="4" t="str">
        <f t="shared" ref="W1794:W1857" si="115">IF(K1794&gt;=3,"Good","Poor")</f>
        <v>Good</v>
      </c>
      <c r="X1794" s="4">
        <f>AVERAGE(Table1[Purchase Amount])</f>
        <v>129.48419400000012</v>
      </c>
    </row>
    <row r="1795" spans="1:24" ht="15" customHeight="1" x14ac:dyDescent="0.25">
      <c r="A1795">
        <v>1794</v>
      </c>
      <c r="B1795">
        <v>65</v>
      </c>
      <c r="C1795" t="s">
        <v>27</v>
      </c>
      <c r="D1795" t="s">
        <v>64</v>
      </c>
      <c r="E1795" t="s">
        <v>29</v>
      </c>
      <c r="F1795" s="2">
        <v>92</v>
      </c>
      <c r="G1795" t="s">
        <v>141</v>
      </c>
      <c r="H1795" t="s">
        <v>55</v>
      </c>
      <c r="I1795" t="s">
        <v>32</v>
      </c>
      <c r="J1795" t="s">
        <v>47</v>
      </c>
      <c r="K1795">
        <v>3.8</v>
      </c>
      <c r="L1795" t="s">
        <v>23</v>
      </c>
      <c r="M1795" t="s">
        <v>48</v>
      </c>
      <c r="N1795" t="s">
        <v>23</v>
      </c>
      <c r="O1795">
        <v>45</v>
      </c>
      <c r="P1795" t="s">
        <v>25</v>
      </c>
      <c r="Q1795" t="s">
        <v>63</v>
      </c>
      <c r="R1795" s="1">
        <v>0.1</v>
      </c>
      <c r="S1795">
        <f t="shared" si="112"/>
        <v>82.8</v>
      </c>
      <c r="T1795">
        <f>IFERROR(VLOOKUP(A1795,Table1[[Customer ID]:[Discount Amount]], 6, FALSE),"Not Found")</f>
        <v>92</v>
      </c>
      <c r="U1795" t="str">
        <f t="shared" si="113"/>
        <v>Cash</v>
      </c>
      <c r="V1795" s="4" t="str">
        <f t="shared" si="114"/>
        <v>Normal</v>
      </c>
      <c r="W1795" s="4" t="str">
        <f t="shared" si="115"/>
        <v>Good</v>
      </c>
      <c r="X1795" s="4">
        <f>AVERAGE(Table1[Purchase Amount])</f>
        <v>129.48419400000012</v>
      </c>
    </row>
    <row r="1796" spans="1:24" ht="15" customHeight="1" x14ac:dyDescent="0.25">
      <c r="A1796">
        <v>1795</v>
      </c>
      <c r="B1796">
        <v>60</v>
      </c>
      <c r="C1796" t="s">
        <v>27</v>
      </c>
      <c r="D1796" t="s">
        <v>104</v>
      </c>
      <c r="E1796" t="s">
        <v>29</v>
      </c>
      <c r="F1796" s="2">
        <v>40</v>
      </c>
      <c r="G1796" t="s">
        <v>90</v>
      </c>
      <c r="H1796" t="s">
        <v>45</v>
      </c>
      <c r="I1796" t="s">
        <v>91</v>
      </c>
      <c r="J1796" t="s">
        <v>33</v>
      </c>
      <c r="K1796">
        <v>3.7</v>
      </c>
      <c r="L1796" t="s">
        <v>23</v>
      </c>
      <c r="M1796" t="s">
        <v>61</v>
      </c>
      <c r="N1796" t="s">
        <v>23</v>
      </c>
      <c r="O1796">
        <v>21</v>
      </c>
      <c r="P1796" t="s">
        <v>36</v>
      </c>
      <c r="Q1796" t="s">
        <v>89</v>
      </c>
      <c r="R1796" s="1">
        <v>0.1</v>
      </c>
      <c r="S1796">
        <f t="shared" si="112"/>
        <v>36</v>
      </c>
      <c r="T1796">
        <f>IFERROR(VLOOKUP(A1796,Table1[[Customer ID]:[Discount Amount]], 6, FALSE),"Not Found")</f>
        <v>40</v>
      </c>
      <c r="U1796" t="str">
        <f t="shared" si="113"/>
        <v>Debit Card</v>
      </c>
      <c r="V1796" s="4" t="str">
        <f t="shared" si="114"/>
        <v>Normal</v>
      </c>
      <c r="W1796" s="4" t="str">
        <f t="shared" si="115"/>
        <v>Good</v>
      </c>
      <c r="X1796" s="4">
        <f>AVERAGE(Table1[Purchase Amount])</f>
        <v>129.48419400000012</v>
      </c>
    </row>
    <row r="1797" spans="1:24" ht="15" customHeight="1" x14ac:dyDescent="0.25">
      <c r="A1797">
        <v>1796</v>
      </c>
      <c r="B1797">
        <v>68</v>
      </c>
      <c r="C1797" t="s">
        <v>27</v>
      </c>
      <c r="D1797" t="s">
        <v>109</v>
      </c>
      <c r="E1797" t="s">
        <v>18</v>
      </c>
      <c r="F1797" s="2">
        <v>20</v>
      </c>
      <c r="G1797" t="s">
        <v>59</v>
      </c>
      <c r="H1797" t="s">
        <v>55</v>
      </c>
      <c r="I1797" t="s">
        <v>111</v>
      </c>
      <c r="J1797" t="s">
        <v>47</v>
      </c>
      <c r="K1797">
        <v>4</v>
      </c>
      <c r="L1797" t="s">
        <v>23</v>
      </c>
      <c r="M1797" t="s">
        <v>41</v>
      </c>
      <c r="N1797" t="s">
        <v>23</v>
      </c>
      <c r="O1797">
        <v>9</v>
      </c>
      <c r="P1797" t="s">
        <v>36</v>
      </c>
      <c r="Q1797" t="s">
        <v>89</v>
      </c>
      <c r="R1797" s="1">
        <v>0.1</v>
      </c>
      <c r="S1797">
        <f t="shared" si="112"/>
        <v>18</v>
      </c>
      <c r="T1797">
        <f>IFERROR(VLOOKUP(A1797,Table1[[Customer ID]:[Discount Amount]], 6, FALSE),"Not Found")</f>
        <v>20</v>
      </c>
      <c r="U1797" t="str">
        <f t="shared" si="113"/>
        <v>Debit Card</v>
      </c>
      <c r="V1797" s="4" t="str">
        <f t="shared" si="114"/>
        <v>Normal</v>
      </c>
      <c r="W1797" s="4" t="str">
        <f t="shared" si="115"/>
        <v>Good</v>
      </c>
      <c r="X1797" s="4">
        <f>AVERAGE(Table1[Purchase Amount])</f>
        <v>129.48419400000012</v>
      </c>
    </row>
    <row r="1798" spans="1:24" ht="15" customHeight="1" x14ac:dyDescent="0.25">
      <c r="A1798">
        <v>1797</v>
      </c>
      <c r="B1798">
        <v>62</v>
      </c>
      <c r="C1798" t="s">
        <v>27</v>
      </c>
      <c r="D1798" t="s">
        <v>122</v>
      </c>
      <c r="E1798" t="s">
        <v>18</v>
      </c>
      <c r="F1798" s="2">
        <v>35</v>
      </c>
      <c r="G1798" t="s">
        <v>30</v>
      </c>
      <c r="H1798" t="s">
        <v>55</v>
      </c>
      <c r="I1798" t="s">
        <v>60</v>
      </c>
      <c r="J1798" t="s">
        <v>33</v>
      </c>
      <c r="K1798">
        <v>3.1</v>
      </c>
      <c r="L1798" t="s">
        <v>23</v>
      </c>
      <c r="M1798" t="s">
        <v>48</v>
      </c>
      <c r="N1798" t="s">
        <v>23</v>
      </c>
      <c r="O1798">
        <v>34</v>
      </c>
      <c r="P1798" t="s">
        <v>62</v>
      </c>
      <c r="Q1798" t="s">
        <v>26</v>
      </c>
      <c r="R1798" s="1">
        <v>0.1</v>
      </c>
      <c r="S1798">
        <f t="shared" si="112"/>
        <v>31.5</v>
      </c>
      <c r="T1798">
        <f>IFERROR(VLOOKUP(A1798,Table1[[Customer ID]:[Discount Amount]], 6, FALSE),"Not Found")</f>
        <v>35</v>
      </c>
      <c r="U1798" t="str">
        <f t="shared" si="113"/>
        <v>Venmo</v>
      </c>
      <c r="V1798" s="4" t="str">
        <f t="shared" si="114"/>
        <v>Normal</v>
      </c>
      <c r="W1798" s="4" t="str">
        <f t="shared" si="115"/>
        <v>Good</v>
      </c>
      <c r="X1798" s="4">
        <f>AVERAGE(Table1[Purchase Amount])</f>
        <v>129.48419400000012</v>
      </c>
    </row>
    <row r="1799" spans="1:24" ht="15" customHeight="1" x14ac:dyDescent="0.25">
      <c r="A1799">
        <v>1798</v>
      </c>
      <c r="B1799">
        <v>62</v>
      </c>
      <c r="C1799" t="s">
        <v>27</v>
      </c>
      <c r="D1799" t="s">
        <v>114</v>
      </c>
      <c r="E1799" t="s">
        <v>29</v>
      </c>
      <c r="F1799" s="2">
        <v>35</v>
      </c>
      <c r="G1799" t="s">
        <v>123</v>
      </c>
      <c r="H1799" t="s">
        <v>45</v>
      </c>
      <c r="I1799" t="s">
        <v>125</v>
      </c>
      <c r="J1799" t="s">
        <v>33</v>
      </c>
      <c r="K1799">
        <v>3.9</v>
      </c>
      <c r="L1799" t="s">
        <v>23</v>
      </c>
      <c r="M1799" t="s">
        <v>41</v>
      </c>
      <c r="N1799" t="s">
        <v>23</v>
      </c>
      <c r="O1799">
        <v>26</v>
      </c>
      <c r="P1799" t="s">
        <v>62</v>
      </c>
      <c r="Q1799" t="s">
        <v>26</v>
      </c>
      <c r="R1799" s="1">
        <v>0.1</v>
      </c>
      <c r="S1799">
        <f t="shared" si="112"/>
        <v>31.5</v>
      </c>
      <c r="T1799">
        <f>IFERROR(VLOOKUP(A1799,Table1[[Customer ID]:[Discount Amount]], 6, FALSE),"Not Found")</f>
        <v>35</v>
      </c>
      <c r="U1799" t="str">
        <f t="shared" si="113"/>
        <v>Venmo</v>
      </c>
      <c r="V1799" s="4" t="str">
        <f t="shared" si="114"/>
        <v>Normal</v>
      </c>
      <c r="W1799" s="4" t="str">
        <f t="shared" si="115"/>
        <v>Good</v>
      </c>
      <c r="X1799" s="4">
        <f>AVERAGE(Table1[Purchase Amount])</f>
        <v>129.48419400000012</v>
      </c>
    </row>
    <row r="1800" spans="1:24" ht="15" customHeight="1" x14ac:dyDescent="0.25">
      <c r="A1800">
        <v>1799</v>
      </c>
      <c r="B1800">
        <v>40</v>
      </c>
      <c r="C1800" t="s">
        <v>27</v>
      </c>
      <c r="D1800" t="s">
        <v>157</v>
      </c>
      <c r="E1800" t="s">
        <v>18</v>
      </c>
      <c r="F1800" s="2">
        <v>82</v>
      </c>
      <c r="G1800" t="s">
        <v>86</v>
      </c>
      <c r="H1800" t="s">
        <v>45</v>
      </c>
      <c r="I1800" t="s">
        <v>87</v>
      </c>
      <c r="J1800" t="s">
        <v>22</v>
      </c>
      <c r="K1800">
        <v>3.7</v>
      </c>
      <c r="L1800" t="s">
        <v>23</v>
      </c>
      <c r="M1800" t="s">
        <v>61</v>
      </c>
      <c r="N1800" t="s">
        <v>23</v>
      </c>
      <c r="O1800">
        <v>1</v>
      </c>
      <c r="P1800" t="s">
        <v>25</v>
      </c>
      <c r="Q1800" t="s">
        <v>26</v>
      </c>
      <c r="R1800" s="1">
        <v>0.1</v>
      </c>
      <c r="S1800">
        <f t="shared" si="112"/>
        <v>73.8</v>
      </c>
      <c r="T1800">
        <f>IFERROR(VLOOKUP(A1800,Table1[[Customer ID]:[Discount Amount]], 6, FALSE),"Not Found")</f>
        <v>82</v>
      </c>
      <c r="U1800" t="str">
        <f t="shared" si="113"/>
        <v>Cash</v>
      </c>
      <c r="V1800" s="4" t="str">
        <f t="shared" si="114"/>
        <v>Normal</v>
      </c>
      <c r="W1800" s="4" t="str">
        <f t="shared" si="115"/>
        <v>Good</v>
      </c>
      <c r="X1800" s="4">
        <f>AVERAGE(Table1[Purchase Amount])</f>
        <v>129.48419400000012</v>
      </c>
    </row>
    <row r="1801" spans="1:24" ht="15" customHeight="1" x14ac:dyDescent="0.25">
      <c r="A1801">
        <v>1800</v>
      </c>
      <c r="B1801">
        <v>32</v>
      </c>
      <c r="C1801" t="s">
        <v>27</v>
      </c>
      <c r="D1801" t="s">
        <v>83</v>
      </c>
      <c r="E1801" t="s">
        <v>18</v>
      </c>
      <c r="F1801" s="2">
        <v>48</v>
      </c>
      <c r="G1801" t="s">
        <v>19</v>
      </c>
      <c r="H1801" t="s">
        <v>31</v>
      </c>
      <c r="I1801" t="s">
        <v>103</v>
      </c>
      <c r="J1801" t="s">
        <v>47</v>
      </c>
      <c r="K1801">
        <v>3.9</v>
      </c>
      <c r="L1801" t="s">
        <v>23</v>
      </c>
      <c r="M1801" t="s">
        <v>61</v>
      </c>
      <c r="N1801" t="s">
        <v>23</v>
      </c>
      <c r="O1801">
        <v>47</v>
      </c>
      <c r="P1801" t="s">
        <v>62</v>
      </c>
      <c r="Q1801" t="s">
        <v>26</v>
      </c>
      <c r="R1801" s="1">
        <v>0.1</v>
      </c>
      <c r="S1801">
        <f t="shared" si="112"/>
        <v>43.2</v>
      </c>
      <c r="T1801">
        <f>IFERROR(VLOOKUP(A1801,Table1[[Customer ID]:[Discount Amount]], 6, FALSE),"Not Found")</f>
        <v>48</v>
      </c>
      <c r="U1801" t="str">
        <f t="shared" si="113"/>
        <v>Venmo</v>
      </c>
      <c r="V1801" s="4" t="str">
        <f t="shared" si="114"/>
        <v>Normal</v>
      </c>
      <c r="W1801" s="4" t="str">
        <f t="shared" si="115"/>
        <v>Good</v>
      </c>
      <c r="X1801" s="4">
        <f>AVERAGE(Table1[Purchase Amount])</f>
        <v>129.48419400000012</v>
      </c>
    </row>
    <row r="1802" spans="1:24" ht="15" customHeight="1" x14ac:dyDescent="0.25">
      <c r="A1802">
        <v>1801</v>
      </c>
      <c r="B1802">
        <v>22</v>
      </c>
      <c r="C1802" t="s">
        <v>27</v>
      </c>
      <c r="D1802" t="s">
        <v>76</v>
      </c>
      <c r="E1802" t="s">
        <v>77</v>
      </c>
      <c r="F1802" s="2">
        <v>58</v>
      </c>
      <c r="G1802" t="s">
        <v>149</v>
      </c>
      <c r="H1802" t="s">
        <v>20</v>
      </c>
      <c r="I1802" t="s">
        <v>91</v>
      </c>
      <c r="J1802" t="s">
        <v>22</v>
      </c>
      <c r="K1802">
        <v>2.7</v>
      </c>
      <c r="L1802" t="s">
        <v>23</v>
      </c>
      <c r="M1802" t="s">
        <v>61</v>
      </c>
      <c r="N1802" t="s">
        <v>23</v>
      </c>
      <c r="O1802">
        <v>30</v>
      </c>
      <c r="P1802" t="s">
        <v>53</v>
      </c>
      <c r="Q1802" t="s">
        <v>26</v>
      </c>
      <c r="R1802" s="1">
        <v>0.1</v>
      </c>
      <c r="S1802">
        <f t="shared" si="112"/>
        <v>52.2</v>
      </c>
      <c r="T1802">
        <f>IFERROR(VLOOKUP(A1802,Table1[[Customer ID]:[Discount Amount]], 6, FALSE),"Not Found")</f>
        <v>58</v>
      </c>
      <c r="U1802" t="str">
        <f t="shared" si="113"/>
        <v>Credit Card</v>
      </c>
      <c r="V1802" s="4" t="str">
        <f t="shared" si="114"/>
        <v>Normal</v>
      </c>
      <c r="W1802" s="4" t="str">
        <f t="shared" si="115"/>
        <v>Poor</v>
      </c>
      <c r="X1802" s="4">
        <f>AVERAGE(Table1[Purchase Amount])</f>
        <v>129.48419400000012</v>
      </c>
    </row>
    <row r="1803" spans="1:24" ht="15" customHeight="1" x14ac:dyDescent="0.25">
      <c r="A1803">
        <v>1802</v>
      </c>
      <c r="B1803">
        <v>33</v>
      </c>
      <c r="C1803" t="s">
        <v>27</v>
      </c>
      <c r="D1803" t="s">
        <v>127</v>
      </c>
      <c r="E1803" t="s">
        <v>18</v>
      </c>
      <c r="F1803" s="2">
        <v>57</v>
      </c>
      <c r="G1803" t="s">
        <v>131</v>
      </c>
      <c r="H1803" t="s">
        <v>31</v>
      </c>
      <c r="I1803" t="s">
        <v>156</v>
      </c>
      <c r="J1803" t="s">
        <v>33</v>
      </c>
      <c r="K1803">
        <v>3.9</v>
      </c>
      <c r="L1803" t="s">
        <v>23</v>
      </c>
      <c r="M1803" t="s">
        <v>61</v>
      </c>
      <c r="N1803" t="s">
        <v>23</v>
      </c>
      <c r="O1803">
        <v>48</v>
      </c>
      <c r="P1803" t="s">
        <v>36</v>
      </c>
      <c r="Q1803" t="s">
        <v>89</v>
      </c>
      <c r="R1803" s="1">
        <v>0.1</v>
      </c>
      <c r="S1803">
        <f t="shared" si="112"/>
        <v>51.3</v>
      </c>
      <c r="T1803">
        <f>IFERROR(VLOOKUP(A1803,Table1[[Customer ID]:[Discount Amount]], 6, FALSE),"Not Found")</f>
        <v>57</v>
      </c>
      <c r="U1803" t="str">
        <f t="shared" si="113"/>
        <v>Debit Card</v>
      </c>
      <c r="V1803" s="4" t="str">
        <f t="shared" si="114"/>
        <v>Normal</v>
      </c>
      <c r="W1803" s="4" t="str">
        <f t="shared" si="115"/>
        <v>Good</v>
      </c>
      <c r="X1803" s="4">
        <f>AVERAGE(Table1[Purchase Amount])</f>
        <v>129.48419400000012</v>
      </c>
    </row>
    <row r="1804" spans="1:24" ht="15" customHeight="1" x14ac:dyDescent="0.25">
      <c r="A1804">
        <v>1803</v>
      </c>
      <c r="B1804">
        <v>57</v>
      </c>
      <c r="C1804" t="s">
        <v>27</v>
      </c>
      <c r="D1804" t="s">
        <v>54</v>
      </c>
      <c r="E1804" t="s">
        <v>18</v>
      </c>
      <c r="F1804" s="2">
        <v>96</v>
      </c>
      <c r="G1804" t="s">
        <v>159</v>
      </c>
      <c r="H1804" t="s">
        <v>45</v>
      </c>
      <c r="I1804" t="s">
        <v>156</v>
      </c>
      <c r="J1804" t="s">
        <v>22</v>
      </c>
      <c r="K1804">
        <v>2.6</v>
      </c>
      <c r="L1804" t="s">
        <v>23</v>
      </c>
      <c r="M1804" t="s">
        <v>48</v>
      </c>
      <c r="N1804" t="s">
        <v>23</v>
      </c>
      <c r="O1804">
        <v>31</v>
      </c>
      <c r="P1804" t="s">
        <v>62</v>
      </c>
      <c r="Q1804" t="s">
        <v>68</v>
      </c>
      <c r="R1804" s="1">
        <v>0.1</v>
      </c>
      <c r="S1804">
        <f t="shared" si="112"/>
        <v>86.4</v>
      </c>
      <c r="T1804">
        <f>IFERROR(VLOOKUP(A1804,Table1[[Customer ID]:[Discount Amount]], 6, FALSE),"Not Found")</f>
        <v>96</v>
      </c>
      <c r="U1804" t="str">
        <f t="shared" si="113"/>
        <v>Venmo</v>
      </c>
      <c r="V1804" s="4" t="str">
        <f t="shared" si="114"/>
        <v>Normal</v>
      </c>
      <c r="W1804" s="4" t="str">
        <f t="shared" si="115"/>
        <v>Poor</v>
      </c>
      <c r="X1804" s="4">
        <f>AVERAGE(Table1[Purchase Amount])</f>
        <v>129.48419400000012</v>
      </c>
    </row>
    <row r="1805" spans="1:24" ht="15" customHeight="1" x14ac:dyDescent="0.25">
      <c r="A1805">
        <v>1804</v>
      </c>
      <c r="B1805">
        <v>60</v>
      </c>
      <c r="C1805" t="s">
        <v>27</v>
      </c>
      <c r="D1805" t="s">
        <v>140</v>
      </c>
      <c r="E1805" t="s">
        <v>98</v>
      </c>
      <c r="F1805" s="2">
        <v>97</v>
      </c>
      <c r="G1805" t="s">
        <v>132</v>
      </c>
      <c r="H1805" t="s">
        <v>55</v>
      </c>
      <c r="I1805" t="s">
        <v>85</v>
      </c>
      <c r="J1805" t="s">
        <v>57</v>
      </c>
      <c r="K1805">
        <v>3.5</v>
      </c>
      <c r="L1805" t="s">
        <v>23</v>
      </c>
      <c r="M1805" t="s">
        <v>35</v>
      </c>
      <c r="N1805" t="s">
        <v>23</v>
      </c>
      <c r="O1805">
        <v>33</v>
      </c>
      <c r="P1805" t="s">
        <v>62</v>
      </c>
      <c r="Q1805" t="s">
        <v>89</v>
      </c>
      <c r="R1805" s="1">
        <v>0.1</v>
      </c>
      <c r="S1805">
        <f t="shared" si="112"/>
        <v>87.3</v>
      </c>
      <c r="T1805">
        <f>IFERROR(VLOOKUP(A1805,Table1[[Customer ID]:[Discount Amount]], 6, FALSE),"Not Found")</f>
        <v>97</v>
      </c>
      <c r="U1805" t="str">
        <f t="shared" si="113"/>
        <v>Venmo</v>
      </c>
      <c r="V1805" s="4" t="str">
        <f t="shared" si="114"/>
        <v>Normal</v>
      </c>
      <c r="W1805" s="4" t="str">
        <f t="shared" si="115"/>
        <v>Good</v>
      </c>
      <c r="X1805" s="4">
        <f>AVERAGE(Table1[Purchase Amount])</f>
        <v>129.48419400000012</v>
      </c>
    </row>
    <row r="1806" spans="1:24" ht="15" customHeight="1" x14ac:dyDescent="0.25">
      <c r="A1806">
        <v>1805</v>
      </c>
      <c r="B1806">
        <v>30</v>
      </c>
      <c r="C1806" t="s">
        <v>27</v>
      </c>
      <c r="D1806" t="s">
        <v>127</v>
      </c>
      <c r="E1806" t="s">
        <v>18</v>
      </c>
      <c r="F1806" s="2">
        <v>42</v>
      </c>
      <c r="G1806" t="s">
        <v>119</v>
      </c>
      <c r="H1806" t="s">
        <v>45</v>
      </c>
      <c r="I1806" t="s">
        <v>145</v>
      </c>
      <c r="J1806" t="s">
        <v>22</v>
      </c>
      <c r="K1806">
        <v>4.4000000000000004</v>
      </c>
      <c r="L1806" t="s">
        <v>23</v>
      </c>
      <c r="M1806" t="s">
        <v>79</v>
      </c>
      <c r="N1806" t="s">
        <v>23</v>
      </c>
      <c r="O1806">
        <v>39</v>
      </c>
      <c r="P1806" t="s">
        <v>53</v>
      </c>
      <c r="Q1806" t="s">
        <v>26</v>
      </c>
      <c r="R1806" s="1">
        <v>0.1</v>
      </c>
      <c r="S1806">
        <f t="shared" si="112"/>
        <v>37.799999999999997</v>
      </c>
      <c r="T1806">
        <f>IFERROR(VLOOKUP(A1806,Table1[[Customer ID]:[Discount Amount]], 6, FALSE),"Not Found")</f>
        <v>42</v>
      </c>
      <c r="U1806" t="str">
        <f t="shared" si="113"/>
        <v>Credit Card</v>
      </c>
      <c r="V1806" s="4" t="str">
        <f t="shared" si="114"/>
        <v>Normal</v>
      </c>
      <c r="W1806" s="4" t="str">
        <f t="shared" si="115"/>
        <v>Good</v>
      </c>
      <c r="X1806" s="4">
        <f>AVERAGE(Table1[Purchase Amount])</f>
        <v>129.48419400000012</v>
      </c>
    </row>
    <row r="1807" spans="1:24" ht="15" customHeight="1" x14ac:dyDescent="0.25">
      <c r="A1807">
        <v>1806</v>
      </c>
      <c r="B1807">
        <v>41</v>
      </c>
      <c r="C1807" t="s">
        <v>27</v>
      </c>
      <c r="D1807" t="s">
        <v>17</v>
      </c>
      <c r="E1807" t="s">
        <v>18</v>
      </c>
      <c r="F1807" s="2">
        <v>62</v>
      </c>
      <c r="G1807" t="s">
        <v>150</v>
      </c>
      <c r="H1807" t="s">
        <v>45</v>
      </c>
      <c r="I1807" t="s">
        <v>133</v>
      </c>
      <c r="J1807" t="s">
        <v>33</v>
      </c>
      <c r="K1807">
        <v>4.9000000000000004</v>
      </c>
      <c r="L1807" t="s">
        <v>23</v>
      </c>
      <c r="M1807" t="s">
        <v>48</v>
      </c>
      <c r="N1807" t="s">
        <v>23</v>
      </c>
      <c r="O1807">
        <v>46</v>
      </c>
      <c r="P1807" t="s">
        <v>36</v>
      </c>
      <c r="Q1807" t="s">
        <v>26</v>
      </c>
      <c r="R1807" s="1">
        <v>0.1</v>
      </c>
      <c r="S1807">
        <f t="shared" si="112"/>
        <v>55.8</v>
      </c>
      <c r="T1807">
        <f>IFERROR(VLOOKUP(A1807,Table1[[Customer ID]:[Discount Amount]], 6, FALSE),"Not Found")</f>
        <v>62</v>
      </c>
      <c r="U1807" t="str">
        <f t="shared" si="113"/>
        <v>Debit Card</v>
      </c>
      <c r="V1807" s="4" t="str">
        <f t="shared" si="114"/>
        <v>Normal</v>
      </c>
      <c r="W1807" s="4" t="str">
        <f t="shared" si="115"/>
        <v>Good</v>
      </c>
      <c r="X1807" s="4">
        <f>AVERAGE(Table1[Purchase Amount])</f>
        <v>129.48419400000012</v>
      </c>
    </row>
    <row r="1808" spans="1:24" ht="15" customHeight="1" x14ac:dyDescent="0.25">
      <c r="A1808">
        <v>1807</v>
      </c>
      <c r="B1808">
        <v>58</v>
      </c>
      <c r="C1808" t="s">
        <v>27</v>
      </c>
      <c r="D1808" t="s">
        <v>69</v>
      </c>
      <c r="E1808" t="s">
        <v>29</v>
      </c>
      <c r="F1808" s="2">
        <v>67</v>
      </c>
      <c r="G1808" t="s">
        <v>159</v>
      </c>
      <c r="H1808" t="s">
        <v>31</v>
      </c>
      <c r="I1808" t="s">
        <v>93</v>
      </c>
      <c r="J1808" t="s">
        <v>47</v>
      </c>
      <c r="K1808">
        <v>3.9</v>
      </c>
      <c r="L1808" t="s">
        <v>23</v>
      </c>
      <c r="M1808" t="s">
        <v>24</v>
      </c>
      <c r="N1808" t="s">
        <v>23</v>
      </c>
      <c r="O1808">
        <v>24</v>
      </c>
      <c r="P1808" t="s">
        <v>62</v>
      </c>
      <c r="Q1808" t="s">
        <v>49</v>
      </c>
      <c r="R1808" s="1">
        <v>0.1</v>
      </c>
      <c r="S1808">
        <f t="shared" si="112"/>
        <v>60.3</v>
      </c>
      <c r="T1808">
        <f>IFERROR(VLOOKUP(A1808,Table1[[Customer ID]:[Discount Amount]], 6, FALSE),"Not Found")</f>
        <v>67</v>
      </c>
      <c r="U1808" t="str">
        <f t="shared" si="113"/>
        <v>Venmo</v>
      </c>
      <c r="V1808" s="4" t="str">
        <f t="shared" si="114"/>
        <v>Normal</v>
      </c>
      <c r="W1808" s="4" t="str">
        <f t="shared" si="115"/>
        <v>Good</v>
      </c>
      <c r="X1808" s="4">
        <f>AVERAGE(Table1[Purchase Amount])</f>
        <v>129.48419400000012</v>
      </c>
    </row>
    <row r="1809" spans="1:24" ht="15" customHeight="1" x14ac:dyDescent="0.25">
      <c r="A1809">
        <v>1808</v>
      </c>
      <c r="B1809">
        <v>34</v>
      </c>
      <c r="C1809" t="s">
        <v>27</v>
      </c>
      <c r="D1809" t="s">
        <v>140</v>
      </c>
      <c r="E1809" t="s">
        <v>98</v>
      </c>
      <c r="F1809" s="2">
        <v>46</v>
      </c>
      <c r="G1809" t="s">
        <v>84</v>
      </c>
      <c r="H1809" t="s">
        <v>45</v>
      </c>
      <c r="I1809" t="s">
        <v>133</v>
      </c>
      <c r="J1809" t="s">
        <v>57</v>
      </c>
      <c r="K1809">
        <v>3.5</v>
      </c>
      <c r="L1809" t="s">
        <v>23</v>
      </c>
      <c r="M1809" t="s">
        <v>24</v>
      </c>
      <c r="N1809" t="s">
        <v>23</v>
      </c>
      <c r="O1809">
        <v>37</v>
      </c>
      <c r="P1809" t="s">
        <v>62</v>
      </c>
      <c r="Q1809" t="s">
        <v>89</v>
      </c>
      <c r="R1809" s="1">
        <v>0.1</v>
      </c>
      <c r="S1809">
        <f t="shared" si="112"/>
        <v>41.4</v>
      </c>
      <c r="T1809">
        <f>IFERROR(VLOOKUP(A1809,Table1[[Customer ID]:[Discount Amount]], 6, FALSE),"Not Found")</f>
        <v>46</v>
      </c>
      <c r="U1809" t="str">
        <f t="shared" si="113"/>
        <v>Venmo</v>
      </c>
      <c r="V1809" s="4" t="str">
        <f t="shared" si="114"/>
        <v>Normal</v>
      </c>
      <c r="W1809" s="4" t="str">
        <f t="shared" si="115"/>
        <v>Good</v>
      </c>
      <c r="X1809" s="4">
        <f>AVERAGE(Table1[Purchase Amount])</f>
        <v>129.48419400000012</v>
      </c>
    </row>
    <row r="1810" spans="1:24" ht="15" customHeight="1" x14ac:dyDescent="0.25">
      <c r="A1810">
        <v>1809</v>
      </c>
      <c r="B1810">
        <v>67</v>
      </c>
      <c r="C1810" t="s">
        <v>27</v>
      </c>
      <c r="D1810" t="s">
        <v>96</v>
      </c>
      <c r="E1810" t="s">
        <v>77</v>
      </c>
      <c r="F1810" s="2">
        <v>71</v>
      </c>
      <c r="G1810" t="s">
        <v>65</v>
      </c>
      <c r="H1810" t="s">
        <v>31</v>
      </c>
      <c r="I1810" t="s">
        <v>107</v>
      </c>
      <c r="J1810" t="s">
        <v>33</v>
      </c>
      <c r="K1810">
        <v>4.3</v>
      </c>
      <c r="L1810" t="s">
        <v>23</v>
      </c>
      <c r="M1810" t="s">
        <v>79</v>
      </c>
      <c r="N1810" t="s">
        <v>23</v>
      </c>
      <c r="O1810">
        <v>7</v>
      </c>
      <c r="P1810" t="s">
        <v>36</v>
      </c>
      <c r="Q1810" t="s">
        <v>42</v>
      </c>
      <c r="R1810" s="1">
        <v>0.1</v>
      </c>
      <c r="S1810">
        <f t="shared" si="112"/>
        <v>63.9</v>
      </c>
      <c r="T1810">
        <f>IFERROR(VLOOKUP(A1810,Table1[[Customer ID]:[Discount Amount]], 6, FALSE),"Not Found")</f>
        <v>71</v>
      </c>
      <c r="U1810" t="str">
        <f t="shared" si="113"/>
        <v>Debit Card</v>
      </c>
      <c r="V1810" s="4" t="str">
        <f t="shared" si="114"/>
        <v>Normal</v>
      </c>
      <c r="W1810" s="4" t="str">
        <f t="shared" si="115"/>
        <v>Good</v>
      </c>
      <c r="X1810" s="4">
        <f>AVERAGE(Table1[Purchase Amount])</f>
        <v>129.48419400000012</v>
      </c>
    </row>
    <row r="1811" spans="1:24" ht="15" customHeight="1" x14ac:dyDescent="0.25">
      <c r="A1811">
        <v>1810</v>
      </c>
      <c r="B1811">
        <v>58</v>
      </c>
      <c r="C1811" t="s">
        <v>27</v>
      </c>
      <c r="D1811" t="s">
        <v>104</v>
      </c>
      <c r="E1811" t="s">
        <v>29</v>
      </c>
      <c r="F1811" s="2">
        <v>99</v>
      </c>
      <c r="G1811" t="s">
        <v>148</v>
      </c>
      <c r="H1811" t="s">
        <v>55</v>
      </c>
      <c r="I1811" t="s">
        <v>74</v>
      </c>
      <c r="J1811" t="s">
        <v>47</v>
      </c>
      <c r="K1811">
        <v>3.4</v>
      </c>
      <c r="L1811" t="s">
        <v>23</v>
      </c>
      <c r="M1811" t="s">
        <v>35</v>
      </c>
      <c r="N1811" t="s">
        <v>23</v>
      </c>
      <c r="O1811">
        <v>6</v>
      </c>
      <c r="P1811" t="s">
        <v>36</v>
      </c>
      <c r="Q1811" t="s">
        <v>89</v>
      </c>
      <c r="R1811" s="1">
        <v>0.1</v>
      </c>
      <c r="S1811">
        <f t="shared" si="112"/>
        <v>89.1</v>
      </c>
      <c r="T1811">
        <f>IFERROR(VLOOKUP(A1811,Table1[[Customer ID]:[Discount Amount]], 6, FALSE),"Not Found")</f>
        <v>99</v>
      </c>
      <c r="U1811" t="str">
        <f t="shared" si="113"/>
        <v>Debit Card</v>
      </c>
      <c r="V1811" s="4" t="str">
        <f t="shared" si="114"/>
        <v>Normal</v>
      </c>
      <c r="W1811" s="4" t="str">
        <f t="shared" si="115"/>
        <v>Good</v>
      </c>
      <c r="X1811" s="4">
        <f>AVERAGE(Table1[Purchase Amount])</f>
        <v>129.48419400000012</v>
      </c>
    </row>
    <row r="1812" spans="1:24" ht="15" customHeight="1" x14ac:dyDescent="0.25">
      <c r="A1812">
        <v>1811</v>
      </c>
      <c r="B1812">
        <v>41</v>
      </c>
      <c r="C1812" t="s">
        <v>27</v>
      </c>
      <c r="D1812" t="s">
        <v>109</v>
      </c>
      <c r="E1812" t="s">
        <v>18</v>
      </c>
      <c r="F1812" s="2">
        <v>28</v>
      </c>
      <c r="G1812" t="s">
        <v>106</v>
      </c>
      <c r="H1812" t="s">
        <v>31</v>
      </c>
      <c r="I1812" t="s">
        <v>87</v>
      </c>
      <c r="J1812" t="s">
        <v>47</v>
      </c>
      <c r="K1812">
        <v>2.7</v>
      </c>
      <c r="L1812" t="s">
        <v>23</v>
      </c>
      <c r="M1812" t="s">
        <v>24</v>
      </c>
      <c r="N1812" t="s">
        <v>23</v>
      </c>
      <c r="O1812">
        <v>16</v>
      </c>
      <c r="P1812" t="s">
        <v>25</v>
      </c>
      <c r="Q1812" t="s">
        <v>68</v>
      </c>
      <c r="R1812" s="1">
        <v>0.1</v>
      </c>
      <c r="S1812">
        <f t="shared" si="112"/>
        <v>25.2</v>
      </c>
      <c r="T1812">
        <f>IFERROR(VLOOKUP(A1812,Table1[[Customer ID]:[Discount Amount]], 6, FALSE),"Not Found")</f>
        <v>28</v>
      </c>
      <c r="U1812" t="str">
        <f t="shared" si="113"/>
        <v>Cash</v>
      </c>
      <c r="V1812" s="4" t="str">
        <f t="shared" si="114"/>
        <v>Normal</v>
      </c>
      <c r="W1812" s="4" t="str">
        <f t="shared" si="115"/>
        <v>Poor</v>
      </c>
      <c r="X1812" s="4">
        <f>AVERAGE(Table1[Purchase Amount])</f>
        <v>129.48419400000012</v>
      </c>
    </row>
    <row r="1813" spans="1:24" ht="15" customHeight="1" x14ac:dyDescent="0.25">
      <c r="A1813">
        <v>1812</v>
      </c>
      <c r="B1813">
        <v>42</v>
      </c>
      <c r="C1813" t="s">
        <v>27</v>
      </c>
      <c r="D1813" t="s">
        <v>114</v>
      </c>
      <c r="E1813" t="s">
        <v>29</v>
      </c>
      <c r="F1813" s="2">
        <v>77</v>
      </c>
      <c r="G1813" t="s">
        <v>59</v>
      </c>
      <c r="H1813" t="s">
        <v>45</v>
      </c>
      <c r="I1813" t="s">
        <v>74</v>
      </c>
      <c r="J1813" t="s">
        <v>57</v>
      </c>
      <c r="K1813">
        <v>3.6</v>
      </c>
      <c r="L1813" t="s">
        <v>23</v>
      </c>
      <c r="M1813" t="s">
        <v>24</v>
      </c>
      <c r="N1813" t="s">
        <v>23</v>
      </c>
      <c r="O1813">
        <v>33</v>
      </c>
      <c r="P1813" t="s">
        <v>88</v>
      </c>
      <c r="Q1813" t="s">
        <v>49</v>
      </c>
      <c r="R1813" s="1">
        <v>0.1</v>
      </c>
      <c r="S1813">
        <f t="shared" si="112"/>
        <v>69.3</v>
      </c>
      <c r="T1813">
        <f>IFERROR(VLOOKUP(A1813,Table1[[Customer ID]:[Discount Amount]], 6, FALSE),"Not Found")</f>
        <v>77</v>
      </c>
      <c r="U1813" t="str">
        <f t="shared" si="113"/>
        <v>Bank Transfer</v>
      </c>
      <c r="V1813" s="4" t="str">
        <f t="shared" si="114"/>
        <v>Normal</v>
      </c>
      <c r="W1813" s="4" t="str">
        <f t="shared" si="115"/>
        <v>Good</v>
      </c>
      <c r="X1813" s="4">
        <f>AVERAGE(Table1[Purchase Amount])</f>
        <v>129.48419400000012</v>
      </c>
    </row>
    <row r="1814" spans="1:24" ht="15" customHeight="1" x14ac:dyDescent="0.25">
      <c r="A1814">
        <v>1813</v>
      </c>
      <c r="B1814">
        <v>50</v>
      </c>
      <c r="C1814" t="s">
        <v>27</v>
      </c>
      <c r="D1814" t="s">
        <v>151</v>
      </c>
      <c r="E1814" t="s">
        <v>98</v>
      </c>
      <c r="F1814" s="2">
        <v>63</v>
      </c>
      <c r="G1814" t="s">
        <v>158</v>
      </c>
      <c r="H1814" t="s">
        <v>55</v>
      </c>
      <c r="I1814" t="s">
        <v>74</v>
      </c>
      <c r="J1814" t="s">
        <v>57</v>
      </c>
      <c r="K1814">
        <v>4.9000000000000004</v>
      </c>
      <c r="L1814" t="s">
        <v>23</v>
      </c>
      <c r="M1814" t="s">
        <v>61</v>
      </c>
      <c r="N1814" t="s">
        <v>23</v>
      </c>
      <c r="O1814">
        <v>18</v>
      </c>
      <c r="P1814" t="s">
        <v>58</v>
      </c>
      <c r="Q1814" t="s">
        <v>68</v>
      </c>
      <c r="R1814" s="1">
        <v>0.1</v>
      </c>
      <c r="S1814">
        <f t="shared" si="112"/>
        <v>56.7</v>
      </c>
      <c r="T1814">
        <f>IFERROR(VLOOKUP(A1814,Table1[[Customer ID]:[Discount Amount]], 6, FALSE),"Not Found")</f>
        <v>63</v>
      </c>
      <c r="U1814" t="str">
        <f t="shared" si="113"/>
        <v>PayPal</v>
      </c>
      <c r="V1814" s="4" t="str">
        <f t="shared" si="114"/>
        <v>Normal</v>
      </c>
      <c r="W1814" s="4" t="str">
        <f t="shared" si="115"/>
        <v>Good</v>
      </c>
      <c r="X1814" s="4">
        <f>AVERAGE(Table1[Purchase Amount])</f>
        <v>129.48419400000012</v>
      </c>
    </row>
    <row r="1815" spans="1:24" ht="15" customHeight="1" x14ac:dyDescent="0.25">
      <c r="A1815">
        <v>1814</v>
      </c>
      <c r="B1815">
        <v>40</v>
      </c>
      <c r="C1815" t="s">
        <v>27</v>
      </c>
      <c r="D1815" t="s">
        <v>54</v>
      </c>
      <c r="E1815" t="s">
        <v>18</v>
      </c>
      <c r="F1815" s="2">
        <v>62</v>
      </c>
      <c r="G1815" t="s">
        <v>44</v>
      </c>
      <c r="H1815" t="s">
        <v>31</v>
      </c>
      <c r="I1815" t="s">
        <v>21</v>
      </c>
      <c r="J1815" t="s">
        <v>33</v>
      </c>
      <c r="K1815">
        <v>3.5</v>
      </c>
      <c r="L1815" t="s">
        <v>23</v>
      </c>
      <c r="M1815" t="s">
        <v>35</v>
      </c>
      <c r="N1815" t="s">
        <v>23</v>
      </c>
      <c r="O1815">
        <v>24</v>
      </c>
      <c r="P1815" t="s">
        <v>58</v>
      </c>
      <c r="Q1815" t="s">
        <v>26</v>
      </c>
      <c r="R1815" s="1">
        <v>0.1</v>
      </c>
      <c r="S1815">
        <f t="shared" si="112"/>
        <v>55.8</v>
      </c>
      <c r="T1815">
        <f>IFERROR(VLOOKUP(A1815,Table1[[Customer ID]:[Discount Amount]], 6, FALSE),"Not Found")</f>
        <v>62</v>
      </c>
      <c r="U1815" t="str">
        <f t="shared" si="113"/>
        <v>PayPal</v>
      </c>
      <c r="V1815" s="4" t="str">
        <f t="shared" si="114"/>
        <v>Normal</v>
      </c>
      <c r="W1815" s="4" t="str">
        <f t="shared" si="115"/>
        <v>Good</v>
      </c>
      <c r="X1815" s="4">
        <f>AVERAGE(Table1[Purchase Amount])</f>
        <v>129.48419400000012</v>
      </c>
    </row>
    <row r="1816" spans="1:24" ht="15" customHeight="1" x14ac:dyDescent="0.25">
      <c r="A1816">
        <v>1815</v>
      </c>
      <c r="B1816">
        <v>32</v>
      </c>
      <c r="C1816" t="s">
        <v>27</v>
      </c>
      <c r="D1816" t="s">
        <v>109</v>
      </c>
      <c r="E1816" t="s">
        <v>18</v>
      </c>
      <c r="F1816" s="2">
        <v>92</v>
      </c>
      <c r="G1816" t="s">
        <v>39</v>
      </c>
      <c r="H1816" t="s">
        <v>31</v>
      </c>
      <c r="I1816" t="s">
        <v>32</v>
      </c>
      <c r="J1816" t="s">
        <v>57</v>
      </c>
      <c r="K1816">
        <v>3.8</v>
      </c>
      <c r="L1816" t="s">
        <v>23</v>
      </c>
      <c r="M1816" t="s">
        <v>35</v>
      </c>
      <c r="N1816" t="s">
        <v>23</v>
      </c>
      <c r="O1816">
        <v>24</v>
      </c>
      <c r="P1816" t="s">
        <v>25</v>
      </c>
      <c r="Q1816" t="s">
        <v>37</v>
      </c>
      <c r="R1816" s="1">
        <v>0.1</v>
      </c>
      <c r="S1816">
        <f t="shared" si="112"/>
        <v>82.8</v>
      </c>
      <c r="T1816">
        <f>IFERROR(VLOOKUP(A1816,Table1[[Customer ID]:[Discount Amount]], 6, FALSE),"Not Found")</f>
        <v>92</v>
      </c>
      <c r="U1816" t="str">
        <f t="shared" si="113"/>
        <v>Cash</v>
      </c>
      <c r="V1816" s="4" t="str">
        <f t="shared" si="114"/>
        <v>Normal</v>
      </c>
      <c r="W1816" s="4" t="str">
        <f t="shared" si="115"/>
        <v>Good</v>
      </c>
      <c r="X1816" s="4">
        <f>AVERAGE(Table1[Purchase Amount])</f>
        <v>129.48419400000012</v>
      </c>
    </row>
    <row r="1817" spans="1:24" ht="15" customHeight="1" x14ac:dyDescent="0.25">
      <c r="A1817">
        <v>1816</v>
      </c>
      <c r="B1817">
        <v>51</v>
      </c>
      <c r="C1817" t="s">
        <v>27</v>
      </c>
      <c r="D1817" t="s">
        <v>72</v>
      </c>
      <c r="E1817" t="s">
        <v>98</v>
      </c>
      <c r="F1817" s="2">
        <v>72</v>
      </c>
      <c r="G1817" t="s">
        <v>110</v>
      </c>
      <c r="H1817" t="s">
        <v>45</v>
      </c>
      <c r="I1817" t="s">
        <v>32</v>
      </c>
      <c r="J1817" t="s">
        <v>22</v>
      </c>
      <c r="K1817">
        <v>4.5</v>
      </c>
      <c r="L1817" t="s">
        <v>23</v>
      </c>
      <c r="M1817" t="s">
        <v>41</v>
      </c>
      <c r="N1817" t="s">
        <v>23</v>
      </c>
      <c r="O1817">
        <v>48</v>
      </c>
      <c r="P1817" t="s">
        <v>53</v>
      </c>
      <c r="Q1817" t="s">
        <v>63</v>
      </c>
      <c r="R1817" s="1">
        <v>0.1</v>
      </c>
      <c r="S1817">
        <f t="shared" si="112"/>
        <v>64.8</v>
      </c>
      <c r="T1817">
        <f>IFERROR(VLOOKUP(A1817,Table1[[Customer ID]:[Discount Amount]], 6, FALSE),"Not Found")</f>
        <v>72</v>
      </c>
      <c r="U1817" t="str">
        <f t="shared" si="113"/>
        <v>Credit Card</v>
      </c>
      <c r="V1817" s="4" t="str">
        <f t="shared" si="114"/>
        <v>Normal</v>
      </c>
      <c r="W1817" s="4" t="str">
        <f t="shared" si="115"/>
        <v>Good</v>
      </c>
      <c r="X1817" s="4">
        <f>AVERAGE(Table1[Purchase Amount])</f>
        <v>129.48419400000012</v>
      </c>
    </row>
    <row r="1818" spans="1:24" ht="15" customHeight="1" x14ac:dyDescent="0.25">
      <c r="A1818">
        <v>1817</v>
      </c>
      <c r="B1818">
        <v>26</v>
      </c>
      <c r="C1818" t="s">
        <v>27</v>
      </c>
      <c r="D1818" t="s">
        <v>64</v>
      </c>
      <c r="E1818" t="s">
        <v>29</v>
      </c>
      <c r="F1818" s="2">
        <v>79</v>
      </c>
      <c r="G1818" t="s">
        <v>138</v>
      </c>
      <c r="H1818" t="s">
        <v>31</v>
      </c>
      <c r="I1818" t="s">
        <v>66</v>
      </c>
      <c r="J1818" t="s">
        <v>57</v>
      </c>
      <c r="K1818">
        <v>4</v>
      </c>
      <c r="L1818" t="s">
        <v>23</v>
      </c>
      <c r="M1818" t="s">
        <v>61</v>
      </c>
      <c r="N1818" t="s">
        <v>23</v>
      </c>
      <c r="O1818">
        <v>4</v>
      </c>
      <c r="P1818" t="s">
        <v>25</v>
      </c>
      <c r="Q1818" t="s">
        <v>26</v>
      </c>
      <c r="R1818" s="1">
        <v>0.1</v>
      </c>
      <c r="S1818">
        <f t="shared" si="112"/>
        <v>71.099999999999994</v>
      </c>
      <c r="T1818">
        <f>IFERROR(VLOOKUP(A1818,Table1[[Customer ID]:[Discount Amount]], 6, FALSE),"Not Found")</f>
        <v>79</v>
      </c>
      <c r="U1818" t="str">
        <f t="shared" si="113"/>
        <v>Cash</v>
      </c>
      <c r="V1818" s="4" t="str">
        <f t="shared" si="114"/>
        <v>Normal</v>
      </c>
      <c r="W1818" s="4" t="str">
        <f t="shared" si="115"/>
        <v>Good</v>
      </c>
      <c r="X1818" s="4">
        <f>AVERAGE(Table1[Purchase Amount])</f>
        <v>129.48419400000012</v>
      </c>
    </row>
    <row r="1819" spans="1:24" ht="15" customHeight="1" x14ac:dyDescent="0.25">
      <c r="A1819">
        <v>1818</v>
      </c>
      <c r="B1819">
        <v>32</v>
      </c>
      <c r="C1819" t="s">
        <v>27</v>
      </c>
      <c r="D1819" t="s">
        <v>17</v>
      </c>
      <c r="E1819" t="s">
        <v>18</v>
      </c>
      <c r="F1819" s="2">
        <v>27</v>
      </c>
      <c r="G1819" t="s">
        <v>143</v>
      </c>
      <c r="H1819" t="s">
        <v>31</v>
      </c>
      <c r="I1819" t="s">
        <v>32</v>
      </c>
      <c r="J1819" t="s">
        <v>57</v>
      </c>
      <c r="K1819">
        <v>4.7</v>
      </c>
      <c r="L1819" t="s">
        <v>23</v>
      </c>
      <c r="M1819" t="s">
        <v>35</v>
      </c>
      <c r="N1819" t="s">
        <v>23</v>
      </c>
      <c r="O1819">
        <v>20</v>
      </c>
      <c r="P1819" t="s">
        <v>25</v>
      </c>
      <c r="Q1819" t="s">
        <v>26</v>
      </c>
      <c r="R1819" s="1">
        <v>0.1</v>
      </c>
      <c r="S1819">
        <f t="shared" si="112"/>
        <v>24.3</v>
      </c>
      <c r="T1819">
        <f>IFERROR(VLOOKUP(A1819,Table1[[Customer ID]:[Discount Amount]], 6, FALSE),"Not Found")</f>
        <v>27</v>
      </c>
      <c r="U1819" t="str">
        <f t="shared" si="113"/>
        <v>Cash</v>
      </c>
      <c r="V1819" s="4" t="str">
        <f t="shared" si="114"/>
        <v>Normal</v>
      </c>
      <c r="W1819" s="4" t="str">
        <f t="shared" si="115"/>
        <v>Good</v>
      </c>
      <c r="X1819" s="4">
        <f>AVERAGE(Table1[Purchase Amount])</f>
        <v>129.48419400000012</v>
      </c>
    </row>
    <row r="1820" spans="1:24" ht="15" customHeight="1" x14ac:dyDescent="0.25">
      <c r="A1820">
        <v>1819</v>
      </c>
      <c r="B1820">
        <v>58</v>
      </c>
      <c r="C1820" t="s">
        <v>27</v>
      </c>
      <c r="D1820" t="s">
        <v>28</v>
      </c>
      <c r="E1820" t="s">
        <v>29</v>
      </c>
      <c r="F1820" s="2">
        <v>39</v>
      </c>
      <c r="G1820" t="s">
        <v>134</v>
      </c>
      <c r="H1820" t="s">
        <v>31</v>
      </c>
      <c r="I1820" t="s">
        <v>32</v>
      </c>
      <c r="J1820" t="s">
        <v>47</v>
      </c>
      <c r="K1820">
        <v>3.8</v>
      </c>
      <c r="L1820" t="s">
        <v>23</v>
      </c>
      <c r="M1820" t="s">
        <v>61</v>
      </c>
      <c r="N1820" t="s">
        <v>23</v>
      </c>
      <c r="O1820">
        <v>47</v>
      </c>
      <c r="P1820" t="s">
        <v>36</v>
      </c>
      <c r="Q1820" t="s">
        <v>63</v>
      </c>
      <c r="R1820" s="1">
        <v>0.1</v>
      </c>
      <c r="S1820">
        <f t="shared" si="112"/>
        <v>35.1</v>
      </c>
      <c r="T1820">
        <f>IFERROR(VLOOKUP(A1820,Table1[[Customer ID]:[Discount Amount]], 6, FALSE),"Not Found")</f>
        <v>39</v>
      </c>
      <c r="U1820" t="str">
        <f t="shared" si="113"/>
        <v>Debit Card</v>
      </c>
      <c r="V1820" s="4" t="str">
        <f t="shared" si="114"/>
        <v>Normal</v>
      </c>
      <c r="W1820" s="4" t="str">
        <f t="shared" si="115"/>
        <v>Good</v>
      </c>
      <c r="X1820" s="4">
        <f>AVERAGE(Table1[Purchase Amount])</f>
        <v>129.48419400000012</v>
      </c>
    </row>
    <row r="1821" spans="1:24" ht="15" customHeight="1" x14ac:dyDescent="0.25">
      <c r="A1821">
        <v>1820</v>
      </c>
      <c r="B1821">
        <v>51</v>
      </c>
      <c r="C1821" t="s">
        <v>27</v>
      </c>
      <c r="D1821" t="s">
        <v>105</v>
      </c>
      <c r="E1821" t="s">
        <v>18</v>
      </c>
      <c r="F1821" s="2">
        <v>86</v>
      </c>
      <c r="G1821" t="s">
        <v>158</v>
      </c>
      <c r="H1821" t="s">
        <v>55</v>
      </c>
      <c r="I1821" t="s">
        <v>145</v>
      </c>
      <c r="J1821" t="s">
        <v>33</v>
      </c>
      <c r="K1821">
        <v>4.5</v>
      </c>
      <c r="L1821" t="s">
        <v>23</v>
      </c>
      <c r="M1821" t="s">
        <v>79</v>
      </c>
      <c r="N1821" t="s">
        <v>23</v>
      </c>
      <c r="O1821">
        <v>50</v>
      </c>
      <c r="P1821" t="s">
        <v>25</v>
      </c>
      <c r="Q1821" t="s">
        <v>37</v>
      </c>
      <c r="R1821" s="1">
        <v>0.1</v>
      </c>
      <c r="S1821">
        <f t="shared" si="112"/>
        <v>77.400000000000006</v>
      </c>
      <c r="T1821">
        <f>IFERROR(VLOOKUP(A1821,Table1[[Customer ID]:[Discount Amount]], 6, FALSE),"Not Found")</f>
        <v>86</v>
      </c>
      <c r="U1821" t="str">
        <f t="shared" si="113"/>
        <v>Cash</v>
      </c>
      <c r="V1821" s="4" t="str">
        <f t="shared" si="114"/>
        <v>Normal</v>
      </c>
      <c r="W1821" s="4" t="str">
        <f t="shared" si="115"/>
        <v>Good</v>
      </c>
      <c r="X1821" s="4">
        <f>AVERAGE(Table1[Purchase Amount])</f>
        <v>129.48419400000012</v>
      </c>
    </row>
    <row r="1822" spans="1:24" ht="15" customHeight="1" x14ac:dyDescent="0.25">
      <c r="A1822">
        <v>1821</v>
      </c>
      <c r="B1822">
        <v>19</v>
      </c>
      <c r="C1822" t="s">
        <v>27</v>
      </c>
      <c r="D1822" t="s">
        <v>38</v>
      </c>
      <c r="E1822" t="s">
        <v>18</v>
      </c>
      <c r="F1822" s="2">
        <v>94</v>
      </c>
      <c r="G1822" t="s">
        <v>155</v>
      </c>
      <c r="H1822" t="s">
        <v>20</v>
      </c>
      <c r="I1822" t="s">
        <v>133</v>
      </c>
      <c r="J1822" t="s">
        <v>47</v>
      </c>
      <c r="K1822">
        <v>5</v>
      </c>
      <c r="L1822" t="s">
        <v>23</v>
      </c>
      <c r="M1822" t="s">
        <v>61</v>
      </c>
      <c r="N1822" t="s">
        <v>23</v>
      </c>
      <c r="O1822">
        <v>31</v>
      </c>
      <c r="P1822" t="s">
        <v>58</v>
      </c>
      <c r="Q1822" t="s">
        <v>42</v>
      </c>
      <c r="R1822" s="1">
        <v>0.1</v>
      </c>
      <c r="S1822">
        <f t="shared" si="112"/>
        <v>84.6</v>
      </c>
      <c r="T1822">
        <f>IFERROR(VLOOKUP(A1822,Table1[[Customer ID]:[Discount Amount]], 6, FALSE),"Not Found")</f>
        <v>94</v>
      </c>
      <c r="U1822" t="str">
        <f t="shared" si="113"/>
        <v>PayPal</v>
      </c>
      <c r="V1822" s="4" t="str">
        <f t="shared" si="114"/>
        <v>Normal</v>
      </c>
      <c r="W1822" s="4" t="str">
        <f t="shared" si="115"/>
        <v>Good</v>
      </c>
      <c r="X1822" s="4">
        <f>AVERAGE(Table1[Purchase Amount])</f>
        <v>129.48419400000012</v>
      </c>
    </row>
    <row r="1823" spans="1:24" ht="15" customHeight="1" x14ac:dyDescent="0.25">
      <c r="A1823">
        <v>1822</v>
      </c>
      <c r="B1823">
        <v>57</v>
      </c>
      <c r="C1823" t="s">
        <v>27</v>
      </c>
      <c r="D1823" t="s">
        <v>54</v>
      </c>
      <c r="E1823" t="s">
        <v>18</v>
      </c>
      <c r="F1823" s="2">
        <v>53</v>
      </c>
      <c r="G1823" t="s">
        <v>94</v>
      </c>
      <c r="H1823" t="s">
        <v>31</v>
      </c>
      <c r="I1823" t="s">
        <v>147</v>
      </c>
      <c r="J1823" t="s">
        <v>33</v>
      </c>
      <c r="K1823">
        <v>2.8</v>
      </c>
      <c r="L1823" t="s">
        <v>23</v>
      </c>
      <c r="M1823" t="s">
        <v>61</v>
      </c>
      <c r="N1823" t="s">
        <v>23</v>
      </c>
      <c r="O1823">
        <v>29</v>
      </c>
      <c r="P1823" t="s">
        <v>58</v>
      </c>
      <c r="Q1823" t="s">
        <v>37</v>
      </c>
      <c r="R1823" s="1">
        <v>0.1</v>
      </c>
      <c r="S1823">
        <f t="shared" si="112"/>
        <v>47.7</v>
      </c>
      <c r="T1823">
        <f>IFERROR(VLOOKUP(A1823,Table1[[Customer ID]:[Discount Amount]], 6, FALSE),"Not Found")</f>
        <v>53</v>
      </c>
      <c r="U1823" t="str">
        <f t="shared" si="113"/>
        <v>PayPal</v>
      </c>
      <c r="V1823" s="4" t="str">
        <f t="shared" si="114"/>
        <v>Normal</v>
      </c>
      <c r="W1823" s="4" t="str">
        <f t="shared" si="115"/>
        <v>Poor</v>
      </c>
      <c r="X1823" s="4">
        <f>AVERAGE(Table1[Purchase Amount])</f>
        <v>129.48419400000012</v>
      </c>
    </row>
    <row r="1824" spans="1:24" ht="15" customHeight="1" x14ac:dyDescent="0.25">
      <c r="A1824">
        <v>1823</v>
      </c>
      <c r="B1824">
        <v>66</v>
      </c>
      <c r="C1824" t="s">
        <v>27</v>
      </c>
      <c r="D1824" t="s">
        <v>38</v>
      </c>
      <c r="E1824" t="s">
        <v>18</v>
      </c>
      <c r="F1824" s="2">
        <v>85</v>
      </c>
      <c r="G1824" t="s">
        <v>115</v>
      </c>
      <c r="H1824" t="s">
        <v>55</v>
      </c>
      <c r="I1824" t="s">
        <v>128</v>
      </c>
      <c r="J1824" t="s">
        <v>57</v>
      </c>
      <c r="K1824">
        <v>4.4000000000000004</v>
      </c>
      <c r="L1824" t="s">
        <v>23</v>
      </c>
      <c r="M1824" t="s">
        <v>24</v>
      </c>
      <c r="N1824" t="s">
        <v>23</v>
      </c>
      <c r="O1824">
        <v>4</v>
      </c>
      <c r="P1824" t="s">
        <v>25</v>
      </c>
      <c r="Q1824" t="s">
        <v>49</v>
      </c>
      <c r="R1824" s="1">
        <v>0.1</v>
      </c>
      <c r="S1824">
        <f t="shared" si="112"/>
        <v>76.5</v>
      </c>
      <c r="T1824">
        <f>IFERROR(VLOOKUP(A1824,Table1[[Customer ID]:[Discount Amount]], 6, FALSE),"Not Found")</f>
        <v>85</v>
      </c>
      <c r="U1824" t="str">
        <f t="shared" si="113"/>
        <v>Cash</v>
      </c>
      <c r="V1824" s="4" t="str">
        <f t="shared" si="114"/>
        <v>Normal</v>
      </c>
      <c r="W1824" s="4" t="str">
        <f t="shared" si="115"/>
        <v>Good</v>
      </c>
      <c r="X1824" s="4">
        <f>AVERAGE(Table1[Purchase Amount])</f>
        <v>129.48419400000012</v>
      </c>
    </row>
    <row r="1825" spans="1:24" ht="15" customHeight="1" x14ac:dyDescent="0.25">
      <c r="A1825">
        <v>1824</v>
      </c>
      <c r="B1825">
        <v>62</v>
      </c>
      <c r="C1825" t="s">
        <v>27</v>
      </c>
      <c r="D1825" t="s">
        <v>105</v>
      </c>
      <c r="E1825" t="s">
        <v>18</v>
      </c>
      <c r="F1825" s="2">
        <v>50</v>
      </c>
      <c r="G1825" t="s">
        <v>119</v>
      </c>
      <c r="H1825" t="s">
        <v>45</v>
      </c>
      <c r="I1825" t="s">
        <v>136</v>
      </c>
      <c r="J1825" t="s">
        <v>47</v>
      </c>
      <c r="K1825">
        <v>4.7</v>
      </c>
      <c r="L1825" t="s">
        <v>23</v>
      </c>
      <c r="M1825" t="s">
        <v>35</v>
      </c>
      <c r="N1825" t="s">
        <v>23</v>
      </c>
      <c r="O1825">
        <v>40</v>
      </c>
      <c r="P1825" t="s">
        <v>88</v>
      </c>
      <c r="Q1825" t="s">
        <v>68</v>
      </c>
      <c r="R1825" s="1">
        <v>0.1</v>
      </c>
      <c r="S1825">
        <f t="shared" si="112"/>
        <v>45</v>
      </c>
      <c r="T1825">
        <f>IFERROR(VLOOKUP(A1825,Table1[[Customer ID]:[Discount Amount]], 6, FALSE),"Not Found")</f>
        <v>50</v>
      </c>
      <c r="U1825" t="str">
        <f t="shared" si="113"/>
        <v>Bank Transfer</v>
      </c>
      <c r="V1825" s="4" t="str">
        <f t="shared" si="114"/>
        <v>Normal</v>
      </c>
      <c r="W1825" s="4" t="str">
        <f t="shared" si="115"/>
        <v>Good</v>
      </c>
      <c r="X1825" s="4">
        <f>AVERAGE(Table1[Purchase Amount])</f>
        <v>129.48419400000012</v>
      </c>
    </row>
    <row r="1826" spans="1:24" ht="15" customHeight="1" x14ac:dyDescent="0.25">
      <c r="A1826">
        <v>1825</v>
      </c>
      <c r="B1826">
        <v>58</v>
      </c>
      <c r="C1826" t="s">
        <v>27</v>
      </c>
      <c r="D1826" t="s">
        <v>99</v>
      </c>
      <c r="E1826" t="s">
        <v>18</v>
      </c>
      <c r="F1826" s="2">
        <v>47</v>
      </c>
      <c r="G1826" t="s">
        <v>44</v>
      </c>
      <c r="H1826" t="s">
        <v>20</v>
      </c>
      <c r="I1826" t="s">
        <v>87</v>
      </c>
      <c r="J1826" t="s">
        <v>22</v>
      </c>
      <c r="K1826">
        <v>3.8</v>
      </c>
      <c r="L1826" t="s">
        <v>23</v>
      </c>
      <c r="M1826" t="s">
        <v>61</v>
      </c>
      <c r="N1826" t="s">
        <v>23</v>
      </c>
      <c r="O1826">
        <v>31</v>
      </c>
      <c r="P1826" t="s">
        <v>25</v>
      </c>
      <c r="Q1826" t="s">
        <v>42</v>
      </c>
      <c r="R1826" s="1">
        <v>0.1</v>
      </c>
      <c r="S1826">
        <f t="shared" si="112"/>
        <v>42.3</v>
      </c>
      <c r="T1826">
        <f>IFERROR(VLOOKUP(A1826,Table1[[Customer ID]:[Discount Amount]], 6, FALSE),"Not Found")</f>
        <v>47</v>
      </c>
      <c r="U1826" t="str">
        <f t="shared" si="113"/>
        <v>Cash</v>
      </c>
      <c r="V1826" s="4" t="str">
        <f t="shared" si="114"/>
        <v>Normal</v>
      </c>
      <c r="W1826" s="4" t="str">
        <f t="shared" si="115"/>
        <v>Good</v>
      </c>
      <c r="X1826" s="4">
        <f>AVERAGE(Table1[Purchase Amount])</f>
        <v>129.48419400000012</v>
      </c>
    </row>
    <row r="1827" spans="1:24" ht="15" customHeight="1" x14ac:dyDescent="0.25">
      <c r="A1827">
        <v>1826</v>
      </c>
      <c r="B1827">
        <v>23</v>
      </c>
      <c r="C1827" t="s">
        <v>27</v>
      </c>
      <c r="D1827" t="s">
        <v>151</v>
      </c>
      <c r="E1827" t="s">
        <v>98</v>
      </c>
      <c r="F1827" s="2">
        <v>75</v>
      </c>
      <c r="G1827" t="s">
        <v>130</v>
      </c>
      <c r="H1827" t="s">
        <v>31</v>
      </c>
      <c r="I1827" t="s">
        <v>136</v>
      </c>
      <c r="J1827" t="s">
        <v>22</v>
      </c>
      <c r="K1827">
        <v>4.9000000000000004</v>
      </c>
      <c r="L1827" t="s">
        <v>23</v>
      </c>
      <c r="M1827" t="s">
        <v>79</v>
      </c>
      <c r="N1827" t="s">
        <v>23</v>
      </c>
      <c r="O1827">
        <v>41</v>
      </c>
      <c r="P1827" t="s">
        <v>53</v>
      </c>
      <c r="Q1827" t="s">
        <v>26</v>
      </c>
      <c r="R1827" s="1">
        <v>0.1</v>
      </c>
      <c r="S1827">
        <f t="shared" si="112"/>
        <v>67.5</v>
      </c>
      <c r="T1827">
        <f>IFERROR(VLOOKUP(A1827,Table1[[Customer ID]:[Discount Amount]], 6, FALSE),"Not Found")</f>
        <v>75</v>
      </c>
      <c r="U1827" t="str">
        <f t="shared" si="113"/>
        <v>Credit Card</v>
      </c>
      <c r="V1827" s="4" t="str">
        <f t="shared" si="114"/>
        <v>Normal</v>
      </c>
      <c r="W1827" s="4" t="str">
        <f t="shared" si="115"/>
        <v>Good</v>
      </c>
      <c r="X1827" s="4">
        <f>AVERAGE(Table1[Purchase Amount])</f>
        <v>129.48419400000012</v>
      </c>
    </row>
    <row r="1828" spans="1:24" ht="15" customHeight="1" x14ac:dyDescent="0.25">
      <c r="A1828">
        <v>1827</v>
      </c>
      <c r="B1828">
        <v>45</v>
      </c>
      <c r="C1828" t="s">
        <v>27</v>
      </c>
      <c r="D1828" t="s">
        <v>17</v>
      </c>
      <c r="E1828" t="s">
        <v>18</v>
      </c>
      <c r="F1828" s="2">
        <v>60</v>
      </c>
      <c r="G1828" t="s">
        <v>102</v>
      </c>
      <c r="H1828" t="s">
        <v>31</v>
      </c>
      <c r="I1828" t="s">
        <v>156</v>
      </c>
      <c r="J1828" t="s">
        <v>22</v>
      </c>
      <c r="K1828">
        <v>4.2</v>
      </c>
      <c r="L1828" t="s">
        <v>23</v>
      </c>
      <c r="M1828" t="s">
        <v>61</v>
      </c>
      <c r="N1828" t="s">
        <v>23</v>
      </c>
      <c r="O1828">
        <v>44</v>
      </c>
      <c r="P1828" t="s">
        <v>36</v>
      </c>
      <c r="Q1828" t="s">
        <v>49</v>
      </c>
      <c r="R1828" s="1">
        <v>0.1</v>
      </c>
      <c r="S1828">
        <f t="shared" si="112"/>
        <v>54</v>
      </c>
      <c r="T1828">
        <f>IFERROR(VLOOKUP(A1828,Table1[[Customer ID]:[Discount Amount]], 6, FALSE),"Not Found")</f>
        <v>60</v>
      </c>
      <c r="U1828" t="str">
        <f t="shared" si="113"/>
        <v>Debit Card</v>
      </c>
      <c r="V1828" s="4" t="str">
        <f t="shared" si="114"/>
        <v>Normal</v>
      </c>
      <c r="W1828" s="4" t="str">
        <f t="shared" si="115"/>
        <v>Good</v>
      </c>
      <c r="X1828" s="4">
        <f>AVERAGE(Table1[Purchase Amount])</f>
        <v>129.48419400000012</v>
      </c>
    </row>
    <row r="1829" spans="1:24" ht="15" customHeight="1" x14ac:dyDescent="0.25">
      <c r="A1829">
        <v>1828</v>
      </c>
      <c r="B1829">
        <v>20</v>
      </c>
      <c r="C1829" t="s">
        <v>27</v>
      </c>
      <c r="D1829" t="s">
        <v>17</v>
      </c>
      <c r="E1829" t="s">
        <v>18</v>
      </c>
      <c r="F1829" s="2">
        <v>36</v>
      </c>
      <c r="G1829" t="s">
        <v>84</v>
      </c>
      <c r="H1829" t="s">
        <v>55</v>
      </c>
      <c r="I1829" t="s">
        <v>136</v>
      </c>
      <c r="J1829" t="s">
        <v>33</v>
      </c>
      <c r="K1829">
        <v>4.9000000000000004</v>
      </c>
      <c r="L1829" t="s">
        <v>23</v>
      </c>
      <c r="M1829" t="s">
        <v>41</v>
      </c>
      <c r="N1829" t="s">
        <v>23</v>
      </c>
      <c r="O1829">
        <v>31</v>
      </c>
      <c r="P1829" t="s">
        <v>88</v>
      </c>
      <c r="Q1829" t="s">
        <v>26</v>
      </c>
      <c r="R1829" s="1">
        <v>0.1</v>
      </c>
      <c r="S1829">
        <f t="shared" si="112"/>
        <v>32.4</v>
      </c>
      <c r="T1829">
        <f>IFERROR(VLOOKUP(A1829,Table1[[Customer ID]:[Discount Amount]], 6, FALSE),"Not Found")</f>
        <v>36</v>
      </c>
      <c r="U1829" t="str">
        <f t="shared" si="113"/>
        <v>Bank Transfer</v>
      </c>
      <c r="V1829" s="4" t="str">
        <f t="shared" si="114"/>
        <v>Normal</v>
      </c>
      <c r="W1829" s="4" t="str">
        <f t="shared" si="115"/>
        <v>Good</v>
      </c>
      <c r="X1829" s="4">
        <f>AVERAGE(Table1[Purchase Amount])</f>
        <v>129.48419400000012</v>
      </c>
    </row>
    <row r="1830" spans="1:24" ht="15" customHeight="1" x14ac:dyDescent="0.25">
      <c r="A1830">
        <v>1829</v>
      </c>
      <c r="B1830">
        <v>33</v>
      </c>
      <c r="C1830" t="s">
        <v>27</v>
      </c>
      <c r="D1830" t="s">
        <v>76</v>
      </c>
      <c r="E1830" t="s">
        <v>77</v>
      </c>
      <c r="F1830" s="2">
        <v>80</v>
      </c>
      <c r="G1830" t="s">
        <v>132</v>
      </c>
      <c r="H1830" t="s">
        <v>45</v>
      </c>
      <c r="I1830" t="s">
        <v>85</v>
      </c>
      <c r="J1830" t="s">
        <v>33</v>
      </c>
      <c r="K1830">
        <v>3.9</v>
      </c>
      <c r="L1830" t="s">
        <v>23</v>
      </c>
      <c r="M1830" t="s">
        <v>61</v>
      </c>
      <c r="N1830" t="s">
        <v>23</v>
      </c>
      <c r="O1830">
        <v>45</v>
      </c>
      <c r="P1830" t="s">
        <v>25</v>
      </c>
      <c r="Q1830" t="s">
        <v>63</v>
      </c>
      <c r="R1830" s="1">
        <v>0.1</v>
      </c>
      <c r="S1830">
        <f t="shared" si="112"/>
        <v>72</v>
      </c>
      <c r="T1830">
        <f>IFERROR(VLOOKUP(A1830,Table1[[Customer ID]:[Discount Amount]], 6, FALSE),"Not Found")</f>
        <v>80</v>
      </c>
      <c r="U1830" t="str">
        <f t="shared" si="113"/>
        <v>Cash</v>
      </c>
      <c r="V1830" s="4" t="str">
        <f t="shared" si="114"/>
        <v>Normal</v>
      </c>
      <c r="W1830" s="4" t="str">
        <f t="shared" si="115"/>
        <v>Good</v>
      </c>
      <c r="X1830" s="4">
        <f>AVERAGE(Table1[Purchase Amount])</f>
        <v>129.48419400000012</v>
      </c>
    </row>
    <row r="1831" spans="1:24" ht="15" customHeight="1" x14ac:dyDescent="0.25">
      <c r="A1831">
        <v>1830</v>
      </c>
      <c r="B1831">
        <v>30</v>
      </c>
      <c r="C1831" t="s">
        <v>27</v>
      </c>
      <c r="D1831" t="s">
        <v>64</v>
      </c>
      <c r="E1831" t="s">
        <v>29</v>
      </c>
      <c r="F1831" s="2">
        <v>96</v>
      </c>
      <c r="G1831" t="s">
        <v>123</v>
      </c>
      <c r="H1831" t="s">
        <v>31</v>
      </c>
      <c r="I1831" t="s">
        <v>32</v>
      </c>
      <c r="J1831" t="s">
        <v>33</v>
      </c>
      <c r="K1831">
        <v>4.9000000000000004</v>
      </c>
      <c r="L1831" t="s">
        <v>23</v>
      </c>
      <c r="M1831" t="s">
        <v>41</v>
      </c>
      <c r="N1831" t="s">
        <v>23</v>
      </c>
      <c r="O1831">
        <v>50</v>
      </c>
      <c r="P1831" t="s">
        <v>53</v>
      </c>
      <c r="Q1831" t="s">
        <v>37</v>
      </c>
      <c r="R1831" s="1">
        <v>0.1</v>
      </c>
      <c r="S1831">
        <f t="shared" si="112"/>
        <v>86.4</v>
      </c>
      <c r="T1831">
        <f>IFERROR(VLOOKUP(A1831,Table1[[Customer ID]:[Discount Amount]], 6, FALSE),"Not Found")</f>
        <v>96</v>
      </c>
      <c r="U1831" t="str">
        <f t="shared" si="113"/>
        <v>Credit Card</v>
      </c>
      <c r="V1831" s="4" t="str">
        <f t="shared" si="114"/>
        <v>Normal</v>
      </c>
      <c r="W1831" s="4" t="str">
        <f t="shared" si="115"/>
        <v>Good</v>
      </c>
      <c r="X1831" s="4">
        <f>AVERAGE(Table1[Purchase Amount])</f>
        <v>129.48419400000012</v>
      </c>
    </row>
    <row r="1832" spans="1:24" ht="15" customHeight="1" x14ac:dyDescent="0.25">
      <c r="A1832">
        <v>1831</v>
      </c>
      <c r="B1832">
        <v>50</v>
      </c>
      <c r="C1832" t="s">
        <v>27</v>
      </c>
      <c r="D1832" t="s">
        <v>28</v>
      </c>
      <c r="E1832" t="s">
        <v>29</v>
      </c>
      <c r="F1832" s="2">
        <v>80</v>
      </c>
      <c r="G1832" t="s">
        <v>124</v>
      </c>
      <c r="H1832" t="s">
        <v>31</v>
      </c>
      <c r="I1832" t="s">
        <v>74</v>
      </c>
      <c r="J1832" t="s">
        <v>22</v>
      </c>
      <c r="K1832">
        <v>4.8</v>
      </c>
      <c r="L1832" t="s">
        <v>23</v>
      </c>
      <c r="M1832" t="s">
        <v>61</v>
      </c>
      <c r="N1832" t="s">
        <v>23</v>
      </c>
      <c r="O1832">
        <v>7</v>
      </c>
      <c r="P1832" t="s">
        <v>62</v>
      </c>
      <c r="Q1832" t="s">
        <v>49</v>
      </c>
      <c r="R1832" s="1">
        <v>0.1</v>
      </c>
      <c r="S1832">
        <f t="shared" si="112"/>
        <v>72</v>
      </c>
      <c r="T1832">
        <f>IFERROR(VLOOKUP(A1832,Table1[[Customer ID]:[Discount Amount]], 6, FALSE),"Not Found")</f>
        <v>80</v>
      </c>
      <c r="U1832" t="str">
        <f t="shared" si="113"/>
        <v>Venmo</v>
      </c>
      <c r="V1832" s="4" t="str">
        <f t="shared" si="114"/>
        <v>Normal</v>
      </c>
      <c r="W1832" s="4" t="str">
        <f t="shared" si="115"/>
        <v>Good</v>
      </c>
      <c r="X1832" s="4">
        <f>AVERAGE(Table1[Purchase Amount])</f>
        <v>129.48419400000012</v>
      </c>
    </row>
    <row r="1833" spans="1:24" ht="15" customHeight="1" x14ac:dyDescent="0.25">
      <c r="A1833">
        <v>1832</v>
      </c>
      <c r="B1833">
        <v>62</v>
      </c>
      <c r="C1833" t="s">
        <v>27</v>
      </c>
      <c r="D1833" t="s">
        <v>118</v>
      </c>
      <c r="E1833" t="s">
        <v>18</v>
      </c>
      <c r="F1833" s="2">
        <v>71</v>
      </c>
      <c r="G1833" t="s">
        <v>94</v>
      </c>
      <c r="H1833" t="s">
        <v>31</v>
      </c>
      <c r="I1833" t="s">
        <v>128</v>
      </c>
      <c r="J1833" t="s">
        <v>57</v>
      </c>
      <c r="K1833">
        <v>3.3</v>
      </c>
      <c r="L1833" t="s">
        <v>23</v>
      </c>
      <c r="M1833" t="s">
        <v>35</v>
      </c>
      <c r="N1833" t="s">
        <v>23</v>
      </c>
      <c r="O1833">
        <v>5</v>
      </c>
      <c r="P1833" t="s">
        <v>88</v>
      </c>
      <c r="Q1833" t="s">
        <v>63</v>
      </c>
      <c r="R1833" s="1">
        <v>0.1</v>
      </c>
      <c r="S1833">
        <f t="shared" si="112"/>
        <v>63.9</v>
      </c>
      <c r="T1833">
        <f>IFERROR(VLOOKUP(A1833,Table1[[Customer ID]:[Discount Amount]], 6, FALSE),"Not Found")</f>
        <v>71</v>
      </c>
      <c r="U1833" t="str">
        <f t="shared" si="113"/>
        <v>Bank Transfer</v>
      </c>
      <c r="V1833" s="4" t="str">
        <f t="shared" si="114"/>
        <v>Normal</v>
      </c>
      <c r="W1833" s="4" t="str">
        <f t="shared" si="115"/>
        <v>Good</v>
      </c>
      <c r="X1833" s="4">
        <f>AVERAGE(Table1[Purchase Amount])</f>
        <v>129.48419400000012</v>
      </c>
    </row>
    <row r="1834" spans="1:24" ht="15" customHeight="1" x14ac:dyDescent="0.25">
      <c r="A1834">
        <v>1833</v>
      </c>
      <c r="B1834">
        <v>69</v>
      </c>
      <c r="C1834" t="s">
        <v>27</v>
      </c>
      <c r="D1834" t="s">
        <v>50</v>
      </c>
      <c r="E1834" t="s">
        <v>29</v>
      </c>
      <c r="F1834" s="2">
        <v>29</v>
      </c>
      <c r="G1834" t="s">
        <v>119</v>
      </c>
      <c r="H1834" t="s">
        <v>31</v>
      </c>
      <c r="I1834" t="s">
        <v>74</v>
      </c>
      <c r="J1834" t="s">
        <v>47</v>
      </c>
      <c r="K1834">
        <v>4.5999999999999996</v>
      </c>
      <c r="L1834" t="s">
        <v>23</v>
      </c>
      <c r="M1834" t="s">
        <v>35</v>
      </c>
      <c r="N1834" t="s">
        <v>23</v>
      </c>
      <c r="O1834">
        <v>48</v>
      </c>
      <c r="P1834" t="s">
        <v>25</v>
      </c>
      <c r="Q1834" t="s">
        <v>42</v>
      </c>
      <c r="R1834" s="1">
        <v>0.1</v>
      </c>
      <c r="S1834">
        <f t="shared" si="112"/>
        <v>26.1</v>
      </c>
      <c r="T1834">
        <f>IFERROR(VLOOKUP(A1834,Table1[[Customer ID]:[Discount Amount]], 6, FALSE),"Not Found")</f>
        <v>29</v>
      </c>
      <c r="U1834" t="str">
        <f t="shared" si="113"/>
        <v>Cash</v>
      </c>
      <c r="V1834" s="4" t="str">
        <f t="shared" si="114"/>
        <v>Normal</v>
      </c>
      <c r="W1834" s="4" t="str">
        <f t="shared" si="115"/>
        <v>Good</v>
      </c>
      <c r="X1834" s="4">
        <f>AVERAGE(Table1[Purchase Amount])</f>
        <v>129.48419400000012</v>
      </c>
    </row>
    <row r="1835" spans="1:24" ht="15" customHeight="1" x14ac:dyDescent="0.25">
      <c r="A1835">
        <v>1834</v>
      </c>
      <c r="B1835">
        <v>34</v>
      </c>
      <c r="C1835" t="s">
        <v>27</v>
      </c>
      <c r="D1835" t="s">
        <v>50</v>
      </c>
      <c r="E1835" t="s">
        <v>29</v>
      </c>
      <c r="F1835" s="2">
        <v>53</v>
      </c>
      <c r="G1835" t="s">
        <v>119</v>
      </c>
      <c r="H1835" t="s">
        <v>31</v>
      </c>
      <c r="I1835" t="s">
        <v>52</v>
      </c>
      <c r="J1835" t="s">
        <v>33</v>
      </c>
      <c r="K1835">
        <v>4.5</v>
      </c>
      <c r="L1835" t="s">
        <v>23</v>
      </c>
      <c r="M1835" t="s">
        <v>41</v>
      </c>
      <c r="N1835" t="s">
        <v>23</v>
      </c>
      <c r="O1835">
        <v>19</v>
      </c>
      <c r="P1835" t="s">
        <v>58</v>
      </c>
      <c r="Q1835" t="s">
        <v>89</v>
      </c>
      <c r="R1835" s="1">
        <v>0.1</v>
      </c>
      <c r="S1835">
        <f t="shared" si="112"/>
        <v>47.7</v>
      </c>
      <c r="T1835">
        <f>IFERROR(VLOOKUP(A1835,Table1[[Customer ID]:[Discount Amount]], 6, FALSE),"Not Found")</f>
        <v>53</v>
      </c>
      <c r="U1835" t="str">
        <f t="shared" si="113"/>
        <v>PayPal</v>
      </c>
      <c r="V1835" s="4" t="str">
        <f t="shared" si="114"/>
        <v>Normal</v>
      </c>
      <c r="W1835" s="4" t="str">
        <f t="shared" si="115"/>
        <v>Good</v>
      </c>
      <c r="X1835" s="4">
        <f>AVERAGE(Table1[Purchase Amount])</f>
        <v>129.48419400000012</v>
      </c>
    </row>
    <row r="1836" spans="1:24" ht="15" customHeight="1" x14ac:dyDescent="0.25">
      <c r="A1836">
        <v>1835</v>
      </c>
      <c r="B1836">
        <v>49</v>
      </c>
      <c r="C1836" t="s">
        <v>27</v>
      </c>
      <c r="D1836" t="s">
        <v>122</v>
      </c>
      <c r="E1836" t="s">
        <v>18</v>
      </c>
      <c r="F1836" s="2">
        <v>35</v>
      </c>
      <c r="G1836" t="s">
        <v>102</v>
      </c>
      <c r="H1836" t="s">
        <v>31</v>
      </c>
      <c r="I1836" t="s">
        <v>103</v>
      </c>
      <c r="J1836" t="s">
        <v>57</v>
      </c>
      <c r="K1836">
        <v>4.0999999999999996</v>
      </c>
      <c r="L1836" t="s">
        <v>23</v>
      </c>
      <c r="M1836" t="s">
        <v>41</v>
      </c>
      <c r="N1836" t="s">
        <v>23</v>
      </c>
      <c r="O1836">
        <v>39</v>
      </c>
      <c r="P1836" t="s">
        <v>62</v>
      </c>
      <c r="Q1836" t="s">
        <v>89</v>
      </c>
      <c r="R1836" s="1">
        <v>0.1</v>
      </c>
      <c r="S1836">
        <f t="shared" si="112"/>
        <v>31.5</v>
      </c>
      <c r="T1836">
        <f>IFERROR(VLOOKUP(A1836,Table1[[Customer ID]:[Discount Amount]], 6, FALSE),"Not Found")</f>
        <v>35</v>
      </c>
      <c r="U1836" t="str">
        <f t="shared" si="113"/>
        <v>Venmo</v>
      </c>
      <c r="V1836" s="4" t="str">
        <f t="shared" si="114"/>
        <v>Normal</v>
      </c>
      <c r="W1836" s="4" t="str">
        <f t="shared" si="115"/>
        <v>Good</v>
      </c>
      <c r="X1836" s="4">
        <f>AVERAGE(Table1[Purchase Amount])</f>
        <v>129.48419400000012</v>
      </c>
    </row>
    <row r="1837" spans="1:24" ht="15" customHeight="1" x14ac:dyDescent="0.25">
      <c r="A1837">
        <v>1836</v>
      </c>
      <c r="B1837">
        <v>65</v>
      </c>
      <c r="C1837" t="s">
        <v>27</v>
      </c>
      <c r="D1837" t="s">
        <v>129</v>
      </c>
      <c r="E1837" t="s">
        <v>29</v>
      </c>
      <c r="F1837" s="2">
        <v>75</v>
      </c>
      <c r="G1837" t="s">
        <v>70</v>
      </c>
      <c r="H1837" t="s">
        <v>31</v>
      </c>
      <c r="I1837" t="s">
        <v>107</v>
      </c>
      <c r="J1837" t="s">
        <v>47</v>
      </c>
      <c r="K1837">
        <v>3.2</v>
      </c>
      <c r="L1837" t="s">
        <v>23</v>
      </c>
      <c r="M1837" t="s">
        <v>41</v>
      </c>
      <c r="N1837" t="s">
        <v>23</v>
      </c>
      <c r="O1837">
        <v>45</v>
      </c>
      <c r="P1837" t="s">
        <v>53</v>
      </c>
      <c r="Q1837" t="s">
        <v>37</v>
      </c>
      <c r="R1837" s="1">
        <v>0.1</v>
      </c>
      <c r="S1837">
        <f t="shared" si="112"/>
        <v>67.5</v>
      </c>
      <c r="T1837">
        <f>IFERROR(VLOOKUP(A1837,Table1[[Customer ID]:[Discount Amount]], 6, FALSE),"Not Found")</f>
        <v>75</v>
      </c>
      <c r="U1837" t="str">
        <f t="shared" si="113"/>
        <v>Credit Card</v>
      </c>
      <c r="V1837" s="4" t="str">
        <f t="shared" si="114"/>
        <v>Normal</v>
      </c>
      <c r="W1837" s="4" t="str">
        <f t="shared" si="115"/>
        <v>Good</v>
      </c>
      <c r="X1837" s="4">
        <f>AVERAGE(Table1[Purchase Amount])</f>
        <v>129.48419400000012</v>
      </c>
    </row>
    <row r="1838" spans="1:24" ht="15" customHeight="1" x14ac:dyDescent="0.25">
      <c r="A1838">
        <v>1837</v>
      </c>
      <c r="B1838">
        <v>66</v>
      </c>
      <c r="C1838" t="s">
        <v>27</v>
      </c>
      <c r="D1838" t="s">
        <v>99</v>
      </c>
      <c r="E1838" t="s">
        <v>18</v>
      </c>
      <c r="F1838" s="2">
        <v>52</v>
      </c>
      <c r="G1838" t="s">
        <v>30</v>
      </c>
      <c r="H1838" t="s">
        <v>31</v>
      </c>
      <c r="I1838" t="s">
        <v>147</v>
      </c>
      <c r="J1838" t="s">
        <v>47</v>
      </c>
      <c r="K1838">
        <v>4.2</v>
      </c>
      <c r="L1838" t="s">
        <v>23</v>
      </c>
      <c r="M1838" t="s">
        <v>41</v>
      </c>
      <c r="N1838" t="s">
        <v>23</v>
      </c>
      <c r="O1838">
        <v>35</v>
      </c>
      <c r="P1838" t="s">
        <v>53</v>
      </c>
      <c r="Q1838" t="s">
        <v>42</v>
      </c>
      <c r="R1838" s="1">
        <v>0.1</v>
      </c>
      <c r="S1838">
        <f t="shared" si="112"/>
        <v>46.8</v>
      </c>
      <c r="T1838">
        <f>IFERROR(VLOOKUP(A1838,Table1[[Customer ID]:[Discount Amount]], 6, FALSE),"Not Found")</f>
        <v>52</v>
      </c>
      <c r="U1838" t="str">
        <f t="shared" si="113"/>
        <v>Credit Card</v>
      </c>
      <c r="V1838" s="4" t="str">
        <f t="shared" si="114"/>
        <v>Normal</v>
      </c>
      <c r="W1838" s="4" t="str">
        <f t="shared" si="115"/>
        <v>Good</v>
      </c>
      <c r="X1838" s="4">
        <f>AVERAGE(Table1[Purchase Amount])</f>
        <v>129.48419400000012</v>
      </c>
    </row>
    <row r="1839" spans="1:24" ht="15" customHeight="1" x14ac:dyDescent="0.25">
      <c r="A1839">
        <v>1838</v>
      </c>
      <c r="B1839">
        <v>41</v>
      </c>
      <c r="C1839" t="s">
        <v>27</v>
      </c>
      <c r="D1839" t="s">
        <v>64</v>
      </c>
      <c r="E1839" t="s">
        <v>29</v>
      </c>
      <c r="F1839" s="2">
        <v>77</v>
      </c>
      <c r="G1839" t="s">
        <v>39</v>
      </c>
      <c r="H1839" t="s">
        <v>31</v>
      </c>
      <c r="I1839" t="s">
        <v>56</v>
      </c>
      <c r="J1839" t="s">
        <v>22</v>
      </c>
      <c r="K1839">
        <v>4.8</v>
      </c>
      <c r="L1839" t="s">
        <v>23</v>
      </c>
      <c r="M1839" t="s">
        <v>35</v>
      </c>
      <c r="N1839" t="s">
        <v>23</v>
      </c>
      <c r="O1839">
        <v>8</v>
      </c>
      <c r="P1839" t="s">
        <v>62</v>
      </c>
      <c r="Q1839" t="s">
        <v>42</v>
      </c>
      <c r="R1839" s="1">
        <v>0.1</v>
      </c>
      <c r="S1839">
        <f t="shared" si="112"/>
        <v>69.3</v>
      </c>
      <c r="T1839">
        <f>IFERROR(VLOOKUP(A1839,Table1[[Customer ID]:[Discount Amount]], 6, FALSE),"Not Found")</f>
        <v>77</v>
      </c>
      <c r="U1839" t="str">
        <f t="shared" si="113"/>
        <v>Venmo</v>
      </c>
      <c r="V1839" s="4" t="str">
        <f t="shared" si="114"/>
        <v>Normal</v>
      </c>
      <c r="W1839" s="4" t="str">
        <f t="shared" si="115"/>
        <v>Good</v>
      </c>
      <c r="X1839" s="4">
        <f>AVERAGE(Table1[Purchase Amount])</f>
        <v>129.48419400000012</v>
      </c>
    </row>
    <row r="1840" spans="1:24" ht="15" customHeight="1" x14ac:dyDescent="0.25">
      <c r="A1840">
        <v>1839</v>
      </c>
      <c r="B1840">
        <v>37</v>
      </c>
      <c r="C1840" t="s">
        <v>27</v>
      </c>
      <c r="D1840" t="s">
        <v>43</v>
      </c>
      <c r="E1840" t="s">
        <v>29</v>
      </c>
      <c r="F1840" s="2">
        <v>24</v>
      </c>
      <c r="G1840" t="s">
        <v>84</v>
      </c>
      <c r="H1840" t="s">
        <v>45</v>
      </c>
      <c r="I1840" t="s">
        <v>74</v>
      </c>
      <c r="J1840" t="s">
        <v>47</v>
      </c>
      <c r="K1840">
        <v>4.0999999999999996</v>
      </c>
      <c r="L1840" t="s">
        <v>23</v>
      </c>
      <c r="M1840" t="s">
        <v>79</v>
      </c>
      <c r="N1840" t="s">
        <v>23</v>
      </c>
      <c r="O1840">
        <v>11</v>
      </c>
      <c r="P1840" t="s">
        <v>53</v>
      </c>
      <c r="Q1840" t="s">
        <v>37</v>
      </c>
      <c r="R1840" s="1">
        <v>0.1</v>
      </c>
      <c r="S1840">
        <f t="shared" si="112"/>
        <v>21.6</v>
      </c>
      <c r="T1840">
        <f>IFERROR(VLOOKUP(A1840,Table1[[Customer ID]:[Discount Amount]], 6, FALSE),"Not Found")</f>
        <v>24</v>
      </c>
      <c r="U1840" t="str">
        <f t="shared" si="113"/>
        <v>Credit Card</v>
      </c>
      <c r="V1840" s="4" t="str">
        <f t="shared" si="114"/>
        <v>Normal</v>
      </c>
      <c r="W1840" s="4" t="str">
        <f t="shared" si="115"/>
        <v>Good</v>
      </c>
      <c r="X1840" s="4">
        <f>AVERAGE(Table1[Purchase Amount])</f>
        <v>129.48419400000012</v>
      </c>
    </row>
    <row r="1841" spans="1:24" ht="15" customHeight="1" x14ac:dyDescent="0.25">
      <c r="A1841">
        <v>1840</v>
      </c>
      <c r="B1841">
        <v>32</v>
      </c>
      <c r="C1841" t="s">
        <v>27</v>
      </c>
      <c r="D1841" t="s">
        <v>38</v>
      </c>
      <c r="E1841" t="s">
        <v>18</v>
      </c>
      <c r="F1841" s="2">
        <v>78</v>
      </c>
      <c r="G1841" t="s">
        <v>149</v>
      </c>
      <c r="H1841" t="s">
        <v>20</v>
      </c>
      <c r="I1841" t="s">
        <v>66</v>
      </c>
      <c r="J1841" t="s">
        <v>22</v>
      </c>
      <c r="K1841">
        <v>3.7</v>
      </c>
      <c r="L1841" t="s">
        <v>23</v>
      </c>
      <c r="M1841" t="s">
        <v>48</v>
      </c>
      <c r="N1841" t="s">
        <v>23</v>
      </c>
      <c r="O1841">
        <v>32</v>
      </c>
      <c r="P1841" t="s">
        <v>25</v>
      </c>
      <c r="Q1841" t="s">
        <v>49</v>
      </c>
      <c r="R1841" s="1">
        <v>0.1</v>
      </c>
      <c r="S1841">
        <f t="shared" si="112"/>
        <v>70.2</v>
      </c>
      <c r="T1841">
        <f>IFERROR(VLOOKUP(A1841,Table1[[Customer ID]:[Discount Amount]], 6, FALSE),"Not Found")</f>
        <v>78</v>
      </c>
      <c r="U1841" t="str">
        <f t="shared" si="113"/>
        <v>Cash</v>
      </c>
      <c r="V1841" s="4" t="str">
        <f t="shared" si="114"/>
        <v>Normal</v>
      </c>
      <c r="W1841" s="4" t="str">
        <f t="shared" si="115"/>
        <v>Good</v>
      </c>
      <c r="X1841" s="4">
        <f>AVERAGE(Table1[Purchase Amount])</f>
        <v>129.48419400000012</v>
      </c>
    </row>
    <row r="1842" spans="1:24" ht="15" customHeight="1" x14ac:dyDescent="0.25">
      <c r="A1842">
        <v>1841</v>
      </c>
      <c r="B1842">
        <v>42</v>
      </c>
      <c r="C1842" t="s">
        <v>27</v>
      </c>
      <c r="D1842" t="s">
        <v>121</v>
      </c>
      <c r="E1842" t="s">
        <v>98</v>
      </c>
      <c r="F1842" s="2">
        <v>98</v>
      </c>
      <c r="G1842" t="s">
        <v>162</v>
      </c>
      <c r="H1842" t="s">
        <v>31</v>
      </c>
      <c r="I1842" t="s">
        <v>133</v>
      </c>
      <c r="J1842" t="s">
        <v>22</v>
      </c>
      <c r="K1842">
        <v>2.6</v>
      </c>
      <c r="L1842" t="s">
        <v>23</v>
      </c>
      <c r="M1842" t="s">
        <v>48</v>
      </c>
      <c r="N1842" t="s">
        <v>23</v>
      </c>
      <c r="O1842">
        <v>46</v>
      </c>
      <c r="P1842" t="s">
        <v>88</v>
      </c>
      <c r="Q1842" t="s">
        <v>63</v>
      </c>
      <c r="R1842" s="1">
        <v>0.1</v>
      </c>
      <c r="S1842">
        <f t="shared" si="112"/>
        <v>88.2</v>
      </c>
      <c r="T1842">
        <f>IFERROR(VLOOKUP(A1842,Table1[[Customer ID]:[Discount Amount]], 6, FALSE),"Not Found")</f>
        <v>98</v>
      </c>
      <c r="U1842" t="str">
        <f t="shared" si="113"/>
        <v>Bank Transfer</v>
      </c>
      <c r="V1842" s="4" t="str">
        <f t="shared" si="114"/>
        <v>Normal</v>
      </c>
      <c r="W1842" s="4" t="str">
        <f t="shared" si="115"/>
        <v>Poor</v>
      </c>
      <c r="X1842" s="4">
        <f>AVERAGE(Table1[Purchase Amount])</f>
        <v>129.48419400000012</v>
      </c>
    </row>
    <row r="1843" spans="1:24" ht="15" customHeight="1" x14ac:dyDescent="0.25">
      <c r="A1843">
        <v>1842</v>
      </c>
      <c r="B1843">
        <v>31</v>
      </c>
      <c r="C1843" t="s">
        <v>27</v>
      </c>
      <c r="D1843" t="s">
        <v>105</v>
      </c>
      <c r="E1843" t="s">
        <v>18</v>
      </c>
      <c r="F1843" s="2">
        <v>57</v>
      </c>
      <c r="G1843" t="s">
        <v>84</v>
      </c>
      <c r="H1843" t="s">
        <v>45</v>
      </c>
      <c r="I1843" t="s">
        <v>74</v>
      </c>
      <c r="J1843" t="s">
        <v>22</v>
      </c>
      <c r="K1843">
        <v>3</v>
      </c>
      <c r="L1843" t="s">
        <v>23</v>
      </c>
      <c r="M1843" t="s">
        <v>24</v>
      </c>
      <c r="N1843" t="s">
        <v>23</v>
      </c>
      <c r="O1843">
        <v>7</v>
      </c>
      <c r="P1843" t="s">
        <v>58</v>
      </c>
      <c r="Q1843" t="s">
        <v>63</v>
      </c>
      <c r="R1843" s="1">
        <v>0.1</v>
      </c>
      <c r="S1843">
        <f t="shared" si="112"/>
        <v>51.3</v>
      </c>
      <c r="T1843">
        <f>IFERROR(VLOOKUP(A1843,Table1[[Customer ID]:[Discount Amount]], 6, FALSE),"Not Found")</f>
        <v>57</v>
      </c>
      <c r="U1843" t="str">
        <f t="shared" si="113"/>
        <v>PayPal</v>
      </c>
      <c r="V1843" s="4" t="str">
        <f t="shared" si="114"/>
        <v>Normal</v>
      </c>
      <c r="W1843" s="4" t="str">
        <f t="shared" si="115"/>
        <v>Good</v>
      </c>
      <c r="X1843" s="4">
        <f>AVERAGE(Table1[Purchase Amount])</f>
        <v>129.48419400000012</v>
      </c>
    </row>
    <row r="1844" spans="1:24" ht="15" customHeight="1" x14ac:dyDescent="0.25">
      <c r="A1844">
        <v>1843</v>
      </c>
      <c r="B1844">
        <v>61</v>
      </c>
      <c r="C1844" t="s">
        <v>27</v>
      </c>
      <c r="D1844" t="s">
        <v>69</v>
      </c>
      <c r="E1844" t="s">
        <v>29</v>
      </c>
      <c r="F1844" s="2">
        <v>78</v>
      </c>
      <c r="G1844" t="s">
        <v>51</v>
      </c>
      <c r="H1844" t="s">
        <v>31</v>
      </c>
      <c r="I1844" t="s">
        <v>40</v>
      </c>
      <c r="J1844" t="s">
        <v>57</v>
      </c>
      <c r="K1844">
        <v>4.4000000000000004</v>
      </c>
      <c r="L1844" t="s">
        <v>23</v>
      </c>
      <c r="M1844" t="s">
        <v>61</v>
      </c>
      <c r="N1844" t="s">
        <v>23</v>
      </c>
      <c r="O1844">
        <v>1</v>
      </c>
      <c r="P1844" t="s">
        <v>36</v>
      </c>
      <c r="Q1844" t="s">
        <v>49</v>
      </c>
      <c r="R1844" s="1">
        <v>0.1</v>
      </c>
      <c r="S1844">
        <f t="shared" si="112"/>
        <v>70.2</v>
      </c>
      <c r="T1844">
        <f>IFERROR(VLOOKUP(A1844,Table1[[Customer ID]:[Discount Amount]], 6, FALSE),"Not Found")</f>
        <v>78</v>
      </c>
      <c r="U1844" t="str">
        <f t="shared" si="113"/>
        <v>Debit Card</v>
      </c>
      <c r="V1844" s="4" t="str">
        <f t="shared" si="114"/>
        <v>Normal</v>
      </c>
      <c r="W1844" s="4" t="str">
        <f t="shared" si="115"/>
        <v>Good</v>
      </c>
      <c r="X1844" s="4">
        <f>AVERAGE(Table1[Purchase Amount])</f>
        <v>129.48419400000012</v>
      </c>
    </row>
    <row r="1845" spans="1:24" ht="15" customHeight="1" x14ac:dyDescent="0.25">
      <c r="A1845">
        <v>1844</v>
      </c>
      <c r="B1845">
        <v>36</v>
      </c>
      <c r="C1845" t="s">
        <v>27</v>
      </c>
      <c r="D1845" t="s">
        <v>96</v>
      </c>
      <c r="E1845" t="s">
        <v>77</v>
      </c>
      <c r="F1845" s="2">
        <v>76</v>
      </c>
      <c r="G1845" t="s">
        <v>70</v>
      </c>
      <c r="H1845" t="s">
        <v>31</v>
      </c>
      <c r="I1845" t="s">
        <v>103</v>
      </c>
      <c r="J1845" t="s">
        <v>47</v>
      </c>
      <c r="K1845">
        <v>4.7</v>
      </c>
      <c r="L1845" t="s">
        <v>23</v>
      </c>
      <c r="M1845" t="s">
        <v>79</v>
      </c>
      <c r="N1845" t="s">
        <v>23</v>
      </c>
      <c r="O1845">
        <v>32</v>
      </c>
      <c r="P1845" t="s">
        <v>53</v>
      </c>
      <c r="Q1845" t="s">
        <v>42</v>
      </c>
      <c r="R1845" s="1">
        <v>0.1</v>
      </c>
      <c r="S1845">
        <f t="shared" si="112"/>
        <v>68.400000000000006</v>
      </c>
      <c r="T1845">
        <f>IFERROR(VLOOKUP(A1845,Table1[[Customer ID]:[Discount Amount]], 6, FALSE),"Not Found")</f>
        <v>76</v>
      </c>
      <c r="U1845" t="str">
        <f t="shared" si="113"/>
        <v>Credit Card</v>
      </c>
      <c r="V1845" s="4" t="str">
        <f t="shared" si="114"/>
        <v>Normal</v>
      </c>
      <c r="W1845" s="4" t="str">
        <f t="shared" si="115"/>
        <v>Good</v>
      </c>
      <c r="X1845" s="4">
        <f>AVERAGE(Table1[Purchase Amount])</f>
        <v>129.48419400000012</v>
      </c>
    </row>
    <row r="1846" spans="1:24" ht="15" customHeight="1" x14ac:dyDescent="0.25">
      <c r="A1846">
        <v>1845</v>
      </c>
      <c r="B1846">
        <v>60</v>
      </c>
      <c r="C1846" t="s">
        <v>27</v>
      </c>
      <c r="D1846" t="s">
        <v>54</v>
      </c>
      <c r="E1846" t="s">
        <v>18</v>
      </c>
      <c r="F1846" s="2">
        <v>26</v>
      </c>
      <c r="G1846" t="s">
        <v>130</v>
      </c>
      <c r="H1846" t="s">
        <v>31</v>
      </c>
      <c r="I1846" t="s">
        <v>66</v>
      </c>
      <c r="J1846" t="s">
        <v>33</v>
      </c>
      <c r="K1846">
        <v>2.7</v>
      </c>
      <c r="L1846" t="s">
        <v>23</v>
      </c>
      <c r="M1846" t="s">
        <v>41</v>
      </c>
      <c r="N1846" t="s">
        <v>23</v>
      </c>
      <c r="O1846">
        <v>31</v>
      </c>
      <c r="P1846" t="s">
        <v>53</v>
      </c>
      <c r="Q1846" t="s">
        <v>49</v>
      </c>
      <c r="R1846" s="1">
        <v>0.1</v>
      </c>
      <c r="S1846">
        <f t="shared" si="112"/>
        <v>23.4</v>
      </c>
      <c r="T1846">
        <f>IFERROR(VLOOKUP(A1846,Table1[[Customer ID]:[Discount Amount]], 6, FALSE),"Not Found")</f>
        <v>26</v>
      </c>
      <c r="U1846" t="str">
        <f t="shared" si="113"/>
        <v>Credit Card</v>
      </c>
      <c r="V1846" s="4" t="str">
        <f t="shared" si="114"/>
        <v>Normal</v>
      </c>
      <c r="W1846" s="4" t="str">
        <f t="shared" si="115"/>
        <v>Poor</v>
      </c>
      <c r="X1846" s="4">
        <f>AVERAGE(Table1[Purchase Amount])</f>
        <v>129.48419400000012</v>
      </c>
    </row>
    <row r="1847" spans="1:24" ht="15" customHeight="1" x14ac:dyDescent="0.25">
      <c r="A1847">
        <v>1846</v>
      </c>
      <c r="B1847">
        <v>51</v>
      </c>
      <c r="C1847" t="s">
        <v>27</v>
      </c>
      <c r="D1847" t="s">
        <v>121</v>
      </c>
      <c r="E1847" t="s">
        <v>98</v>
      </c>
      <c r="F1847" s="2">
        <v>78</v>
      </c>
      <c r="G1847" t="s">
        <v>143</v>
      </c>
      <c r="H1847" t="s">
        <v>31</v>
      </c>
      <c r="I1847" t="s">
        <v>108</v>
      </c>
      <c r="J1847" t="s">
        <v>22</v>
      </c>
      <c r="K1847">
        <v>2.8</v>
      </c>
      <c r="L1847" t="s">
        <v>23</v>
      </c>
      <c r="M1847" t="s">
        <v>41</v>
      </c>
      <c r="N1847" t="s">
        <v>23</v>
      </c>
      <c r="O1847">
        <v>39</v>
      </c>
      <c r="P1847" t="s">
        <v>88</v>
      </c>
      <c r="Q1847" t="s">
        <v>37</v>
      </c>
      <c r="R1847" s="1">
        <v>0.1</v>
      </c>
      <c r="S1847">
        <f t="shared" si="112"/>
        <v>70.2</v>
      </c>
      <c r="T1847">
        <f>IFERROR(VLOOKUP(A1847,Table1[[Customer ID]:[Discount Amount]], 6, FALSE),"Not Found")</f>
        <v>78</v>
      </c>
      <c r="U1847" t="str">
        <f t="shared" si="113"/>
        <v>Bank Transfer</v>
      </c>
      <c r="V1847" s="4" t="str">
        <f t="shared" si="114"/>
        <v>Normal</v>
      </c>
      <c r="W1847" s="4" t="str">
        <f t="shared" si="115"/>
        <v>Poor</v>
      </c>
      <c r="X1847" s="4">
        <f>AVERAGE(Table1[Purchase Amount])</f>
        <v>129.48419400000012</v>
      </c>
    </row>
    <row r="1848" spans="1:24" ht="15" customHeight="1" x14ac:dyDescent="0.25">
      <c r="A1848">
        <v>1847</v>
      </c>
      <c r="B1848">
        <v>68</v>
      </c>
      <c r="C1848" t="s">
        <v>27</v>
      </c>
      <c r="D1848" t="s">
        <v>129</v>
      </c>
      <c r="E1848" t="s">
        <v>29</v>
      </c>
      <c r="F1848" s="2">
        <v>53</v>
      </c>
      <c r="G1848" t="s">
        <v>59</v>
      </c>
      <c r="H1848" t="s">
        <v>31</v>
      </c>
      <c r="I1848" t="s">
        <v>52</v>
      </c>
      <c r="J1848" t="s">
        <v>57</v>
      </c>
      <c r="K1848">
        <v>2.9</v>
      </c>
      <c r="L1848" t="s">
        <v>23</v>
      </c>
      <c r="M1848" t="s">
        <v>24</v>
      </c>
      <c r="N1848" t="s">
        <v>23</v>
      </c>
      <c r="O1848">
        <v>9</v>
      </c>
      <c r="P1848" t="s">
        <v>62</v>
      </c>
      <c r="Q1848" t="s">
        <v>37</v>
      </c>
      <c r="R1848" s="1">
        <v>0.1</v>
      </c>
      <c r="S1848">
        <f t="shared" si="112"/>
        <v>47.7</v>
      </c>
      <c r="T1848">
        <f>IFERROR(VLOOKUP(A1848,Table1[[Customer ID]:[Discount Amount]], 6, FALSE),"Not Found")</f>
        <v>53</v>
      </c>
      <c r="U1848" t="str">
        <f t="shared" si="113"/>
        <v>Venmo</v>
      </c>
      <c r="V1848" s="4" t="str">
        <f t="shared" si="114"/>
        <v>Normal</v>
      </c>
      <c r="W1848" s="4" t="str">
        <f t="shared" si="115"/>
        <v>Poor</v>
      </c>
      <c r="X1848" s="4">
        <f>AVERAGE(Table1[Purchase Amount])</f>
        <v>129.48419400000012</v>
      </c>
    </row>
    <row r="1849" spans="1:24" ht="15" customHeight="1" x14ac:dyDescent="0.25">
      <c r="A1849">
        <v>1848</v>
      </c>
      <c r="B1849">
        <v>46</v>
      </c>
      <c r="C1849" t="s">
        <v>27</v>
      </c>
      <c r="D1849" t="s">
        <v>121</v>
      </c>
      <c r="E1849" t="s">
        <v>98</v>
      </c>
      <c r="F1849" s="2">
        <v>100</v>
      </c>
      <c r="G1849" t="s">
        <v>150</v>
      </c>
      <c r="H1849" t="s">
        <v>20</v>
      </c>
      <c r="I1849" t="s">
        <v>128</v>
      </c>
      <c r="J1849" t="s">
        <v>57</v>
      </c>
      <c r="K1849">
        <v>4.4000000000000004</v>
      </c>
      <c r="L1849" t="s">
        <v>23</v>
      </c>
      <c r="M1849" t="s">
        <v>35</v>
      </c>
      <c r="N1849" t="s">
        <v>23</v>
      </c>
      <c r="O1849">
        <v>49</v>
      </c>
      <c r="P1849" t="s">
        <v>53</v>
      </c>
      <c r="Q1849" t="s">
        <v>26</v>
      </c>
      <c r="R1849" s="1">
        <v>0.1</v>
      </c>
      <c r="S1849">
        <f t="shared" si="112"/>
        <v>90</v>
      </c>
      <c r="T1849">
        <f>IFERROR(VLOOKUP(A1849,Table1[[Customer ID]:[Discount Amount]], 6, FALSE),"Not Found")</f>
        <v>100</v>
      </c>
      <c r="U1849" t="str">
        <f t="shared" si="113"/>
        <v>Credit Card</v>
      </c>
      <c r="V1849" s="4" t="str">
        <f t="shared" si="114"/>
        <v>Normal</v>
      </c>
      <c r="W1849" s="4" t="str">
        <f t="shared" si="115"/>
        <v>Good</v>
      </c>
      <c r="X1849" s="4">
        <f>AVERAGE(Table1[Purchase Amount])</f>
        <v>129.48419400000012</v>
      </c>
    </row>
    <row r="1850" spans="1:24" ht="15" customHeight="1" x14ac:dyDescent="0.25">
      <c r="A1850">
        <v>1849</v>
      </c>
      <c r="B1850">
        <v>19</v>
      </c>
      <c r="C1850" t="s">
        <v>27</v>
      </c>
      <c r="D1850" t="s">
        <v>109</v>
      </c>
      <c r="E1850" t="s">
        <v>18</v>
      </c>
      <c r="F1850" s="2">
        <v>73</v>
      </c>
      <c r="G1850" t="s">
        <v>94</v>
      </c>
      <c r="H1850" t="s">
        <v>20</v>
      </c>
      <c r="I1850" t="s">
        <v>52</v>
      </c>
      <c r="J1850" t="s">
        <v>22</v>
      </c>
      <c r="K1850">
        <v>2.7</v>
      </c>
      <c r="L1850" t="s">
        <v>23</v>
      </c>
      <c r="M1850" t="s">
        <v>61</v>
      </c>
      <c r="N1850" t="s">
        <v>23</v>
      </c>
      <c r="O1850">
        <v>34</v>
      </c>
      <c r="P1850" t="s">
        <v>25</v>
      </c>
      <c r="Q1850" t="s">
        <v>63</v>
      </c>
      <c r="R1850" s="1">
        <v>0.1</v>
      </c>
      <c r="S1850">
        <f t="shared" si="112"/>
        <v>65.7</v>
      </c>
      <c r="T1850">
        <f>IFERROR(VLOOKUP(A1850,Table1[[Customer ID]:[Discount Amount]], 6, FALSE),"Not Found")</f>
        <v>73</v>
      </c>
      <c r="U1850" t="str">
        <f t="shared" si="113"/>
        <v>Cash</v>
      </c>
      <c r="V1850" s="4" t="str">
        <f t="shared" si="114"/>
        <v>Normal</v>
      </c>
      <c r="W1850" s="4" t="str">
        <f t="shared" si="115"/>
        <v>Poor</v>
      </c>
      <c r="X1850" s="4">
        <f>AVERAGE(Table1[Purchase Amount])</f>
        <v>129.48419400000012</v>
      </c>
    </row>
    <row r="1851" spans="1:24" ht="15" customHeight="1" x14ac:dyDescent="0.25">
      <c r="A1851">
        <v>1850</v>
      </c>
      <c r="B1851">
        <v>30</v>
      </c>
      <c r="C1851" t="s">
        <v>27</v>
      </c>
      <c r="D1851" t="s">
        <v>122</v>
      </c>
      <c r="E1851" t="s">
        <v>18</v>
      </c>
      <c r="F1851" s="2">
        <v>40</v>
      </c>
      <c r="G1851" t="s">
        <v>110</v>
      </c>
      <c r="H1851" t="s">
        <v>31</v>
      </c>
      <c r="I1851" t="s">
        <v>125</v>
      </c>
      <c r="J1851" t="s">
        <v>22</v>
      </c>
      <c r="K1851">
        <v>4.5</v>
      </c>
      <c r="L1851" t="s">
        <v>23</v>
      </c>
      <c r="M1851" t="s">
        <v>48</v>
      </c>
      <c r="N1851" t="s">
        <v>23</v>
      </c>
      <c r="O1851">
        <v>35</v>
      </c>
      <c r="P1851" t="s">
        <v>88</v>
      </c>
      <c r="Q1851" t="s">
        <v>42</v>
      </c>
      <c r="R1851" s="1">
        <v>0.1</v>
      </c>
      <c r="S1851">
        <f t="shared" si="112"/>
        <v>36</v>
      </c>
      <c r="T1851">
        <f>IFERROR(VLOOKUP(A1851,Table1[[Customer ID]:[Discount Amount]], 6, FALSE),"Not Found")</f>
        <v>40</v>
      </c>
      <c r="U1851" t="str">
        <f t="shared" si="113"/>
        <v>Bank Transfer</v>
      </c>
      <c r="V1851" s="4" t="str">
        <f t="shared" si="114"/>
        <v>Normal</v>
      </c>
      <c r="W1851" s="4" t="str">
        <f t="shared" si="115"/>
        <v>Good</v>
      </c>
      <c r="X1851" s="4">
        <f>AVERAGE(Table1[Purchase Amount])</f>
        <v>129.48419400000012</v>
      </c>
    </row>
    <row r="1852" spans="1:24" ht="15" customHeight="1" x14ac:dyDescent="0.25">
      <c r="A1852">
        <v>1851</v>
      </c>
      <c r="B1852">
        <v>51</v>
      </c>
      <c r="C1852" t="s">
        <v>27</v>
      </c>
      <c r="D1852" t="s">
        <v>43</v>
      </c>
      <c r="E1852" t="s">
        <v>29</v>
      </c>
      <c r="F1852" s="2">
        <v>76</v>
      </c>
      <c r="G1852" t="s">
        <v>162</v>
      </c>
      <c r="H1852" t="s">
        <v>55</v>
      </c>
      <c r="I1852" t="s">
        <v>40</v>
      </c>
      <c r="J1852" t="s">
        <v>22</v>
      </c>
      <c r="K1852">
        <v>2.8</v>
      </c>
      <c r="L1852" t="s">
        <v>23</v>
      </c>
      <c r="M1852" t="s">
        <v>48</v>
      </c>
      <c r="N1852" t="s">
        <v>23</v>
      </c>
      <c r="O1852">
        <v>50</v>
      </c>
      <c r="P1852" t="s">
        <v>36</v>
      </c>
      <c r="Q1852" t="s">
        <v>26</v>
      </c>
      <c r="R1852" s="1">
        <v>0.1</v>
      </c>
      <c r="S1852">
        <f t="shared" si="112"/>
        <v>68.400000000000006</v>
      </c>
      <c r="T1852">
        <f>IFERROR(VLOOKUP(A1852,Table1[[Customer ID]:[Discount Amount]], 6, FALSE),"Not Found")</f>
        <v>76</v>
      </c>
      <c r="U1852" t="str">
        <f t="shared" si="113"/>
        <v>Debit Card</v>
      </c>
      <c r="V1852" s="4" t="str">
        <f t="shared" si="114"/>
        <v>Normal</v>
      </c>
      <c r="W1852" s="4" t="str">
        <f t="shared" si="115"/>
        <v>Poor</v>
      </c>
      <c r="X1852" s="4">
        <f>AVERAGE(Table1[Purchase Amount])</f>
        <v>129.48419400000012</v>
      </c>
    </row>
    <row r="1853" spans="1:24" ht="15" customHeight="1" x14ac:dyDescent="0.25">
      <c r="A1853">
        <v>1852</v>
      </c>
      <c r="B1853">
        <v>28</v>
      </c>
      <c r="C1853" t="s">
        <v>27</v>
      </c>
      <c r="D1853" t="s">
        <v>122</v>
      </c>
      <c r="E1853" t="s">
        <v>18</v>
      </c>
      <c r="F1853" s="2">
        <v>80</v>
      </c>
      <c r="G1853" t="s">
        <v>143</v>
      </c>
      <c r="H1853" t="s">
        <v>55</v>
      </c>
      <c r="I1853" t="s">
        <v>107</v>
      </c>
      <c r="J1853" t="s">
        <v>47</v>
      </c>
      <c r="K1853">
        <v>3.1</v>
      </c>
      <c r="L1853" t="s">
        <v>23</v>
      </c>
      <c r="M1853" t="s">
        <v>35</v>
      </c>
      <c r="N1853" t="s">
        <v>23</v>
      </c>
      <c r="O1853">
        <v>4</v>
      </c>
      <c r="P1853" t="s">
        <v>88</v>
      </c>
      <c r="Q1853" t="s">
        <v>89</v>
      </c>
      <c r="R1853" s="1">
        <v>0.1</v>
      </c>
      <c r="S1853">
        <f t="shared" si="112"/>
        <v>72</v>
      </c>
      <c r="T1853">
        <f>IFERROR(VLOOKUP(A1853,Table1[[Customer ID]:[Discount Amount]], 6, FALSE),"Not Found")</f>
        <v>80</v>
      </c>
      <c r="U1853" t="str">
        <f t="shared" si="113"/>
        <v>Bank Transfer</v>
      </c>
      <c r="V1853" s="4" t="str">
        <f t="shared" si="114"/>
        <v>Normal</v>
      </c>
      <c r="W1853" s="4" t="str">
        <f t="shared" si="115"/>
        <v>Good</v>
      </c>
      <c r="X1853" s="4">
        <f>AVERAGE(Table1[Purchase Amount])</f>
        <v>129.48419400000012</v>
      </c>
    </row>
    <row r="1854" spans="1:24" ht="15" customHeight="1" x14ac:dyDescent="0.25">
      <c r="A1854">
        <v>1853</v>
      </c>
      <c r="B1854">
        <v>41</v>
      </c>
      <c r="C1854" t="s">
        <v>27</v>
      </c>
      <c r="D1854" t="s">
        <v>127</v>
      </c>
      <c r="E1854" t="s">
        <v>18</v>
      </c>
      <c r="F1854" s="2">
        <v>80</v>
      </c>
      <c r="G1854" t="s">
        <v>78</v>
      </c>
      <c r="H1854" t="s">
        <v>20</v>
      </c>
      <c r="I1854" t="s">
        <v>111</v>
      </c>
      <c r="J1854" t="s">
        <v>22</v>
      </c>
      <c r="K1854">
        <v>3.8</v>
      </c>
      <c r="L1854" t="s">
        <v>23</v>
      </c>
      <c r="M1854" t="s">
        <v>48</v>
      </c>
      <c r="N1854" t="s">
        <v>23</v>
      </c>
      <c r="O1854">
        <v>32</v>
      </c>
      <c r="P1854" t="s">
        <v>25</v>
      </c>
      <c r="Q1854" t="s">
        <v>26</v>
      </c>
      <c r="R1854" s="1">
        <v>0.1</v>
      </c>
      <c r="S1854">
        <f t="shared" si="112"/>
        <v>72</v>
      </c>
      <c r="T1854">
        <f>IFERROR(VLOOKUP(A1854,Table1[[Customer ID]:[Discount Amount]], 6, FALSE),"Not Found")</f>
        <v>80</v>
      </c>
      <c r="U1854" t="str">
        <f t="shared" si="113"/>
        <v>Cash</v>
      </c>
      <c r="V1854" s="4" t="str">
        <f t="shared" si="114"/>
        <v>Normal</v>
      </c>
      <c r="W1854" s="4" t="str">
        <f t="shared" si="115"/>
        <v>Good</v>
      </c>
      <c r="X1854" s="4">
        <f>AVERAGE(Table1[Purchase Amount])</f>
        <v>129.48419400000012</v>
      </c>
    </row>
    <row r="1855" spans="1:24" ht="15" customHeight="1" x14ac:dyDescent="0.25">
      <c r="A1855">
        <v>1854</v>
      </c>
      <c r="B1855">
        <v>29</v>
      </c>
      <c r="C1855" t="s">
        <v>27</v>
      </c>
      <c r="D1855" t="s">
        <v>118</v>
      </c>
      <c r="E1855" t="s">
        <v>18</v>
      </c>
      <c r="F1855" s="2">
        <v>67</v>
      </c>
      <c r="G1855" t="s">
        <v>86</v>
      </c>
      <c r="H1855" t="s">
        <v>20</v>
      </c>
      <c r="I1855" t="s">
        <v>21</v>
      </c>
      <c r="J1855" t="s">
        <v>33</v>
      </c>
      <c r="K1855">
        <v>2.9</v>
      </c>
      <c r="L1855" t="s">
        <v>23</v>
      </c>
      <c r="M1855" t="s">
        <v>61</v>
      </c>
      <c r="N1855" t="s">
        <v>23</v>
      </c>
      <c r="O1855">
        <v>11</v>
      </c>
      <c r="P1855" t="s">
        <v>58</v>
      </c>
      <c r="Q1855" t="s">
        <v>89</v>
      </c>
      <c r="R1855" s="1">
        <v>0.1</v>
      </c>
      <c r="S1855">
        <f t="shared" si="112"/>
        <v>60.3</v>
      </c>
      <c r="T1855">
        <f>IFERROR(VLOOKUP(A1855,Table1[[Customer ID]:[Discount Amount]], 6, FALSE),"Not Found")</f>
        <v>67</v>
      </c>
      <c r="U1855" t="str">
        <f t="shared" si="113"/>
        <v>PayPal</v>
      </c>
      <c r="V1855" s="4" t="str">
        <f t="shared" si="114"/>
        <v>Normal</v>
      </c>
      <c r="W1855" s="4" t="str">
        <f t="shared" si="115"/>
        <v>Poor</v>
      </c>
      <c r="X1855" s="4">
        <f>AVERAGE(Table1[Purchase Amount])</f>
        <v>129.48419400000012</v>
      </c>
    </row>
    <row r="1856" spans="1:24" ht="15" customHeight="1" x14ac:dyDescent="0.25">
      <c r="A1856">
        <v>1855</v>
      </c>
      <c r="B1856">
        <v>25</v>
      </c>
      <c r="C1856" t="s">
        <v>27</v>
      </c>
      <c r="D1856" t="s">
        <v>127</v>
      </c>
      <c r="E1856" t="s">
        <v>18</v>
      </c>
      <c r="F1856" s="2">
        <v>61</v>
      </c>
      <c r="G1856" t="s">
        <v>70</v>
      </c>
      <c r="H1856" t="s">
        <v>31</v>
      </c>
      <c r="I1856" t="s">
        <v>147</v>
      </c>
      <c r="J1856" t="s">
        <v>33</v>
      </c>
      <c r="K1856">
        <v>3.8</v>
      </c>
      <c r="L1856" t="s">
        <v>23</v>
      </c>
      <c r="M1856" t="s">
        <v>61</v>
      </c>
      <c r="N1856" t="s">
        <v>23</v>
      </c>
      <c r="O1856">
        <v>49</v>
      </c>
      <c r="P1856" t="s">
        <v>53</v>
      </c>
      <c r="Q1856" t="s">
        <v>49</v>
      </c>
      <c r="R1856" s="1">
        <v>0.1</v>
      </c>
      <c r="S1856">
        <f t="shared" si="112"/>
        <v>54.9</v>
      </c>
      <c r="T1856">
        <f>IFERROR(VLOOKUP(A1856,Table1[[Customer ID]:[Discount Amount]], 6, FALSE),"Not Found")</f>
        <v>61</v>
      </c>
      <c r="U1856" t="str">
        <f t="shared" si="113"/>
        <v>Credit Card</v>
      </c>
      <c r="V1856" s="4" t="str">
        <f t="shared" si="114"/>
        <v>Normal</v>
      </c>
      <c r="W1856" s="4" t="str">
        <f t="shared" si="115"/>
        <v>Good</v>
      </c>
      <c r="X1856" s="4">
        <f>AVERAGE(Table1[Purchase Amount])</f>
        <v>129.48419400000012</v>
      </c>
    </row>
    <row r="1857" spans="1:24" ht="15" customHeight="1" x14ac:dyDescent="0.25">
      <c r="A1857">
        <v>1856</v>
      </c>
      <c r="B1857">
        <v>60</v>
      </c>
      <c r="C1857" t="s">
        <v>27</v>
      </c>
      <c r="D1857" t="s">
        <v>38</v>
      </c>
      <c r="E1857" t="s">
        <v>18</v>
      </c>
      <c r="F1857" s="2">
        <v>76</v>
      </c>
      <c r="G1857" t="s">
        <v>159</v>
      </c>
      <c r="H1857" t="s">
        <v>20</v>
      </c>
      <c r="I1857" t="s">
        <v>147</v>
      </c>
      <c r="J1857" t="s">
        <v>33</v>
      </c>
      <c r="K1857">
        <v>4.7</v>
      </c>
      <c r="L1857" t="s">
        <v>23</v>
      </c>
      <c r="M1857" t="s">
        <v>24</v>
      </c>
      <c r="N1857" t="s">
        <v>23</v>
      </c>
      <c r="O1857">
        <v>9</v>
      </c>
      <c r="P1857" t="s">
        <v>25</v>
      </c>
      <c r="Q1857" t="s">
        <v>49</v>
      </c>
      <c r="R1857" s="1">
        <v>0.1</v>
      </c>
      <c r="S1857">
        <f t="shared" si="112"/>
        <v>68.400000000000006</v>
      </c>
      <c r="T1857">
        <f>IFERROR(VLOOKUP(A1857,Table1[[Customer ID]:[Discount Amount]], 6, FALSE),"Not Found")</f>
        <v>76</v>
      </c>
      <c r="U1857" t="str">
        <f t="shared" si="113"/>
        <v>Cash</v>
      </c>
      <c r="V1857" s="4" t="str">
        <f t="shared" si="114"/>
        <v>Normal</v>
      </c>
      <c r="W1857" s="4" t="str">
        <f t="shared" si="115"/>
        <v>Good</v>
      </c>
      <c r="X1857" s="4">
        <f>AVERAGE(Table1[Purchase Amount])</f>
        <v>129.48419400000012</v>
      </c>
    </row>
    <row r="1858" spans="1:24" ht="15" customHeight="1" x14ac:dyDescent="0.25">
      <c r="A1858">
        <v>1857</v>
      </c>
      <c r="B1858">
        <v>63</v>
      </c>
      <c r="C1858" t="s">
        <v>27</v>
      </c>
      <c r="D1858" t="s">
        <v>50</v>
      </c>
      <c r="E1858" t="s">
        <v>29</v>
      </c>
      <c r="F1858" s="2">
        <v>55</v>
      </c>
      <c r="G1858" t="s">
        <v>150</v>
      </c>
      <c r="H1858" t="s">
        <v>20</v>
      </c>
      <c r="I1858" t="s">
        <v>56</v>
      </c>
      <c r="J1858" t="s">
        <v>57</v>
      </c>
      <c r="K1858">
        <v>3.2</v>
      </c>
      <c r="L1858" t="s">
        <v>23</v>
      </c>
      <c r="M1858" t="s">
        <v>35</v>
      </c>
      <c r="N1858" t="s">
        <v>23</v>
      </c>
      <c r="O1858">
        <v>30</v>
      </c>
      <c r="P1858" t="s">
        <v>58</v>
      </c>
      <c r="Q1858" t="s">
        <v>68</v>
      </c>
      <c r="R1858" s="1">
        <v>0.1</v>
      </c>
      <c r="S1858">
        <f t="shared" ref="S1858:S1921" si="116">F1858-(F1858*R1858)</f>
        <v>49.5</v>
      </c>
      <c r="T1858">
        <f>IFERROR(VLOOKUP(A1858,Table1[[Customer ID]:[Discount Amount]], 6, FALSE),"Not Found")</f>
        <v>55</v>
      </c>
      <c r="U1858" t="str">
        <f t="shared" ref="U1858:U1921" si="117">INDEX(P:P, MATCH(A1858, A:A, 0))</f>
        <v>PayPal</v>
      </c>
      <c r="V1858" s="4" t="str">
        <f t="shared" ref="V1858:V1921" si="118">IF(AND(F1858&gt;1000,K1858&gt;=4),"Best Customer","Normal")</f>
        <v>Normal</v>
      </c>
      <c r="W1858" s="4" t="str">
        <f t="shared" ref="W1858:W1921" si="119">IF(K1858&gt;=3,"Good","Poor")</f>
        <v>Good</v>
      </c>
      <c r="X1858" s="4">
        <f>AVERAGE(Table1[Purchase Amount])</f>
        <v>129.48419400000012</v>
      </c>
    </row>
    <row r="1859" spans="1:24" ht="15" customHeight="1" x14ac:dyDescent="0.25">
      <c r="A1859">
        <v>1858</v>
      </c>
      <c r="B1859">
        <v>51</v>
      </c>
      <c r="C1859" t="s">
        <v>27</v>
      </c>
      <c r="D1859" t="s">
        <v>17</v>
      </c>
      <c r="E1859" t="s">
        <v>18</v>
      </c>
      <c r="F1859" s="2">
        <v>85</v>
      </c>
      <c r="G1859" t="s">
        <v>92</v>
      </c>
      <c r="H1859" t="s">
        <v>45</v>
      </c>
      <c r="I1859" t="s">
        <v>125</v>
      </c>
      <c r="J1859" t="s">
        <v>57</v>
      </c>
      <c r="K1859">
        <v>4</v>
      </c>
      <c r="L1859" t="s">
        <v>23</v>
      </c>
      <c r="M1859" t="s">
        <v>79</v>
      </c>
      <c r="N1859" t="s">
        <v>23</v>
      </c>
      <c r="O1859">
        <v>33</v>
      </c>
      <c r="P1859" t="s">
        <v>25</v>
      </c>
      <c r="Q1859" t="s">
        <v>42</v>
      </c>
      <c r="R1859" s="1">
        <v>0.1</v>
      </c>
      <c r="S1859">
        <f t="shared" si="116"/>
        <v>76.5</v>
      </c>
      <c r="T1859">
        <f>IFERROR(VLOOKUP(A1859,Table1[[Customer ID]:[Discount Amount]], 6, FALSE),"Not Found")</f>
        <v>85</v>
      </c>
      <c r="U1859" t="str">
        <f t="shared" si="117"/>
        <v>Cash</v>
      </c>
      <c r="V1859" s="4" t="str">
        <f t="shared" si="118"/>
        <v>Normal</v>
      </c>
      <c r="W1859" s="4" t="str">
        <f t="shared" si="119"/>
        <v>Good</v>
      </c>
      <c r="X1859" s="4">
        <f>AVERAGE(Table1[Purchase Amount])</f>
        <v>129.48419400000012</v>
      </c>
    </row>
    <row r="1860" spans="1:24" ht="15" customHeight="1" x14ac:dyDescent="0.25">
      <c r="A1860">
        <v>1859</v>
      </c>
      <c r="B1860">
        <v>22</v>
      </c>
      <c r="C1860" t="s">
        <v>27</v>
      </c>
      <c r="D1860" t="s">
        <v>129</v>
      </c>
      <c r="E1860" t="s">
        <v>29</v>
      </c>
      <c r="F1860" s="2">
        <v>69</v>
      </c>
      <c r="G1860" t="s">
        <v>94</v>
      </c>
      <c r="H1860" t="s">
        <v>55</v>
      </c>
      <c r="I1860" t="s">
        <v>145</v>
      </c>
      <c r="J1860" t="s">
        <v>33</v>
      </c>
      <c r="K1860">
        <v>4.9000000000000004</v>
      </c>
      <c r="L1860" t="s">
        <v>23</v>
      </c>
      <c r="M1860" t="s">
        <v>41</v>
      </c>
      <c r="N1860" t="s">
        <v>23</v>
      </c>
      <c r="O1860">
        <v>8</v>
      </c>
      <c r="P1860" t="s">
        <v>36</v>
      </c>
      <c r="Q1860" t="s">
        <v>49</v>
      </c>
      <c r="R1860" s="1">
        <v>0.1</v>
      </c>
      <c r="S1860">
        <f t="shared" si="116"/>
        <v>62.1</v>
      </c>
      <c r="T1860">
        <f>IFERROR(VLOOKUP(A1860,Table1[[Customer ID]:[Discount Amount]], 6, FALSE),"Not Found")</f>
        <v>69</v>
      </c>
      <c r="U1860" t="str">
        <f t="shared" si="117"/>
        <v>Debit Card</v>
      </c>
      <c r="V1860" s="4" t="str">
        <f t="shared" si="118"/>
        <v>Normal</v>
      </c>
      <c r="W1860" s="4" t="str">
        <f t="shared" si="119"/>
        <v>Good</v>
      </c>
      <c r="X1860" s="4">
        <f>AVERAGE(Table1[Purchase Amount])</f>
        <v>129.48419400000012</v>
      </c>
    </row>
    <row r="1861" spans="1:24" ht="15" customHeight="1" x14ac:dyDescent="0.25">
      <c r="A1861">
        <v>1860</v>
      </c>
      <c r="B1861">
        <v>54</v>
      </c>
      <c r="C1861" t="s">
        <v>27</v>
      </c>
      <c r="D1861" t="s">
        <v>114</v>
      </c>
      <c r="E1861" t="s">
        <v>29</v>
      </c>
      <c r="F1861" s="2">
        <v>26</v>
      </c>
      <c r="G1861" t="s">
        <v>131</v>
      </c>
      <c r="H1861" t="s">
        <v>45</v>
      </c>
      <c r="I1861" t="s">
        <v>56</v>
      </c>
      <c r="J1861" t="s">
        <v>57</v>
      </c>
      <c r="K1861">
        <v>3.7</v>
      </c>
      <c r="L1861" t="s">
        <v>23</v>
      </c>
      <c r="M1861" t="s">
        <v>48</v>
      </c>
      <c r="N1861" t="s">
        <v>23</v>
      </c>
      <c r="O1861">
        <v>29</v>
      </c>
      <c r="P1861" t="s">
        <v>36</v>
      </c>
      <c r="Q1861" t="s">
        <v>89</v>
      </c>
      <c r="R1861" s="1">
        <v>0.1</v>
      </c>
      <c r="S1861">
        <f t="shared" si="116"/>
        <v>23.4</v>
      </c>
      <c r="T1861">
        <f>IFERROR(VLOOKUP(A1861,Table1[[Customer ID]:[Discount Amount]], 6, FALSE),"Not Found")</f>
        <v>26</v>
      </c>
      <c r="U1861" t="str">
        <f t="shared" si="117"/>
        <v>Debit Card</v>
      </c>
      <c r="V1861" s="4" t="str">
        <f t="shared" si="118"/>
        <v>Normal</v>
      </c>
      <c r="W1861" s="4" t="str">
        <f t="shared" si="119"/>
        <v>Good</v>
      </c>
      <c r="X1861" s="4">
        <f>AVERAGE(Table1[Purchase Amount])</f>
        <v>129.48419400000012</v>
      </c>
    </row>
    <row r="1862" spans="1:24" ht="15" customHeight="1" x14ac:dyDescent="0.25">
      <c r="A1862">
        <v>1861</v>
      </c>
      <c r="B1862">
        <v>18</v>
      </c>
      <c r="C1862" t="s">
        <v>27</v>
      </c>
      <c r="D1862" t="s">
        <v>17</v>
      </c>
      <c r="E1862" t="s">
        <v>18</v>
      </c>
      <c r="F1862" s="2">
        <v>64</v>
      </c>
      <c r="G1862" t="s">
        <v>124</v>
      </c>
      <c r="H1862" t="s">
        <v>31</v>
      </c>
      <c r="I1862" t="s">
        <v>153</v>
      </c>
      <c r="J1862" t="s">
        <v>57</v>
      </c>
      <c r="K1862">
        <v>4.8</v>
      </c>
      <c r="L1862" t="s">
        <v>23</v>
      </c>
      <c r="M1862" t="s">
        <v>79</v>
      </c>
      <c r="N1862" t="s">
        <v>23</v>
      </c>
      <c r="O1862">
        <v>4</v>
      </c>
      <c r="P1862" t="s">
        <v>53</v>
      </c>
      <c r="Q1862" t="s">
        <v>42</v>
      </c>
      <c r="R1862" s="1">
        <v>0.1</v>
      </c>
      <c r="S1862">
        <f t="shared" si="116"/>
        <v>57.6</v>
      </c>
      <c r="T1862">
        <f>IFERROR(VLOOKUP(A1862,Table1[[Customer ID]:[Discount Amount]], 6, FALSE),"Not Found")</f>
        <v>64</v>
      </c>
      <c r="U1862" t="str">
        <f t="shared" si="117"/>
        <v>Credit Card</v>
      </c>
      <c r="V1862" s="4" t="str">
        <f t="shared" si="118"/>
        <v>Normal</v>
      </c>
      <c r="W1862" s="4" t="str">
        <f t="shared" si="119"/>
        <v>Good</v>
      </c>
      <c r="X1862" s="4">
        <f>AVERAGE(Table1[Purchase Amount])</f>
        <v>129.48419400000012</v>
      </c>
    </row>
    <row r="1863" spans="1:24" ht="15" customHeight="1" x14ac:dyDescent="0.25">
      <c r="A1863">
        <v>1862</v>
      </c>
      <c r="B1863">
        <v>29</v>
      </c>
      <c r="C1863" t="s">
        <v>27</v>
      </c>
      <c r="D1863" t="s">
        <v>140</v>
      </c>
      <c r="E1863" t="s">
        <v>98</v>
      </c>
      <c r="F1863" s="2">
        <v>60</v>
      </c>
      <c r="G1863" t="s">
        <v>130</v>
      </c>
      <c r="H1863" t="s">
        <v>55</v>
      </c>
      <c r="I1863" t="s">
        <v>145</v>
      </c>
      <c r="J1863" t="s">
        <v>47</v>
      </c>
      <c r="K1863">
        <v>3.6</v>
      </c>
      <c r="L1863" t="s">
        <v>23</v>
      </c>
      <c r="M1863" t="s">
        <v>24</v>
      </c>
      <c r="N1863" t="s">
        <v>23</v>
      </c>
      <c r="O1863">
        <v>19</v>
      </c>
      <c r="P1863" t="s">
        <v>36</v>
      </c>
      <c r="Q1863" t="s">
        <v>42</v>
      </c>
      <c r="R1863" s="1">
        <v>0.1</v>
      </c>
      <c r="S1863">
        <f t="shared" si="116"/>
        <v>54</v>
      </c>
      <c r="T1863">
        <f>IFERROR(VLOOKUP(A1863,Table1[[Customer ID]:[Discount Amount]], 6, FALSE),"Not Found")</f>
        <v>60</v>
      </c>
      <c r="U1863" t="str">
        <f t="shared" si="117"/>
        <v>Debit Card</v>
      </c>
      <c r="V1863" s="4" t="str">
        <f t="shared" si="118"/>
        <v>Normal</v>
      </c>
      <c r="W1863" s="4" t="str">
        <f t="shared" si="119"/>
        <v>Good</v>
      </c>
      <c r="X1863" s="4">
        <f>AVERAGE(Table1[Purchase Amount])</f>
        <v>129.48419400000012</v>
      </c>
    </row>
    <row r="1864" spans="1:24" ht="15" customHeight="1" x14ac:dyDescent="0.25">
      <c r="A1864">
        <v>1863</v>
      </c>
      <c r="B1864">
        <v>59</v>
      </c>
      <c r="C1864" t="s">
        <v>27</v>
      </c>
      <c r="D1864" t="s">
        <v>43</v>
      </c>
      <c r="E1864" t="s">
        <v>29</v>
      </c>
      <c r="F1864" s="2">
        <v>36</v>
      </c>
      <c r="G1864" t="s">
        <v>132</v>
      </c>
      <c r="H1864" t="s">
        <v>31</v>
      </c>
      <c r="I1864" t="s">
        <v>156</v>
      </c>
      <c r="J1864" t="s">
        <v>22</v>
      </c>
      <c r="K1864">
        <v>4.5999999999999996</v>
      </c>
      <c r="L1864" t="s">
        <v>23</v>
      </c>
      <c r="M1864" t="s">
        <v>61</v>
      </c>
      <c r="N1864" t="s">
        <v>23</v>
      </c>
      <c r="O1864">
        <v>10</v>
      </c>
      <c r="P1864" t="s">
        <v>58</v>
      </c>
      <c r="Q1864" t="s">
        <v>89</v>
      </c>
      <c r="R1864" s="1">
        <v>0.1</v>
      </c>
      <c r="S1864">
        <f t="shared" si="116"/>
        <v>32.4</v>
      </c>
      <c r="T1864">
        <f>IFERROR(VLOOKUP(A1864,Table1[[Customer ID]:[Discount Amount]], 6, FALSE),"Not Found")</f>
        <v>36</v>
      </c>
      <c r="U1864" t="str">
        <f t="shared" si="117"/>
        <v>PayPal</v>
      </c>
      <c r="V1864" s="4" t="str">
        <f t="shared" si="118"/>
        <v>Normal</v>
      </c>
      <c r="W1864" s="4" t="str">
        <f t="shared" si="119"/>
        <v>Good</v>
      </c>
      <c r="X1864" s="4">
        <f>AVERAGE(Table1[Purchase Amount])</f>
        <v>129.48419400000012</v>
      </c>
    </row>
    <row r="1865" spans="1:24" ht="15" customHeight="1" x14ac:dyDescent="0.25">
      <c r="A1865">
        <v>1864</v>
      </c>
      <c r="B1865">
        <v>25</v>
      </c>
      <c r="C1865" t="s">
        <v>27</v>
      </c>
      <c r="D1865" t="s">
        <v>121</v>
      </c>
      <c r="E1865" t="s">
        <v>98</v>
      </c>
      <c r="F1865" s="2">
        <v>21</v>
      </c>
      <c r="G1865" t="s">
        <v>115</v>
      </c>
      <c r="H1865" t="s">
        <v>45</v>
      </c>
      <c r="I1865" t="s">
        <v>108</v>
      </c>
      <c r="J1865" t="s">
        <v>33</v>
      </c>
      <c r="K1865">
        <v>4.3</v>
      </c>
      <c r="L1865" t="s">
        <v>23</v>
      </c>
      <c r="M1865" t="s">
        <v>41</v>
      </c>
      <c r="N1865" t="s">
        <v>23</v>
      </c>
      <c r="O1865">
        <v>39</v>
      </c>
      <c r="P1865" t="s">
        <v>36</v>
      </c>
      <c r="Q1865" t="s">
        <v>42</v>
      </c>
      <c r="R1865" s="1">
        <v>0.1</v>
      </c>
      <c r="S1865">
        <f t="shared" si="116"/>
        <v>18.899999999999999</v>
      </c>
      <c r="T1865">
        <f>IFERROR(VLOOKUP(A1865,Table1[[Customer ID]:[Discount Amount]], 6, FALSE),"Not Found")</f>
        <v>21</v>
      </c>
      <c r="U1865" t="str">
        <f t="shared" si="117"/>
        <v>Debit Card</v>
      </c>
      <c r="V1865" s="4" t="str">
        <f t="shared" si="118"/>
        <v>Normal</v>
      </c>
      <c r="W1865" s="4" t="str">
        <f t="shared" si="119"/>
        <v>Good</v>
      </c>
      <c r="X1865" s="4">
        <f>AVERAGE(Table1[Purchase Amount])</f>
        <v>129.48419400000012</v>
      </c>
    </row>
    <row r="1866" spans="1:24" ht="15" customHeight="1" x14ac:dyDescent="0.25">
      <c r="A1866">
        <v>1865</v>
      </c>
      <c r="B1866">
        <v>19</v>
      </c>
      <c r="C1866" t="s">
        <v>27</v>
      </c>
      <c r="D1866" t="s">
        <v>104</v>
      </c>
      <c r="E1866" t="s">
        <v>29</v>
      </c>
      <c r="F1866" s="2">
        <v>72</v>
      </c>
      <c r="G1866" t="s">
        <v>162</v>
      </c>
      <c r="H1866" t="s">
        <v>55</v>
      </c>
      <c r="I1866" t="s">
        <v>128</v>
      </c>
      <c r="J1866" t="s">
        <v>47</v>
      </c>
      <c r="K1866">
        <v>3.2</v>
      </c>
      <c r="L1866" t="s">
        <v>23</v>
      </c>
      <c r="M1866" t="s">
        <v>41</v>
      </c>
      <c r="N1866" t="s">
        <v>23</v>
      </c>
      <c r="O1866">
        <v>21</v>
      </c>
      <c r="P1866" t="s">
        <v>62</v>
      </c>
      <c r="Q1866" t="s">
        <v>37</v>
      </c>
      <c r="R1866" s="1">
        <v>0.1</v>
      </c>
      <c r="S1866">
        <f t="shared" si="116"/>
        <v>64.8</v>
      </c>
      <c r="T1866">
        <f>IFERROR(VLOOKUP(A1866,Table1[[Customer ID]:[Discount Amount]], 6, FALSE),"Not Found")</f>
        <v>72</v>
      </c>
      <c r="U1866" t="str">
        <f t="shared" si="117"/>
        <v>Venmo</v>
      </c>
      <c r="V1866" s="4" t="str">
        <f t="shared" si="118"/>
        <v>Normal</v>
      </c>
      <c r="W1866" s="4" t="str">
        <f t="shared" si="119"/>
        <v>Good</v>
      </c>
      <c r="X1866" s="4">
        <f>AVERAGE(Table1[Purchase Amount])</f>
        <v>129.48419400000012</v>
      </c>
    </row>
    <row r="1867" spans="1:24" ht="15" customHeight="1" x14ac:dyDescent="0.25">
      <c r="A1867">
        <v>1866</v>
      </c>
      <c r="B1867">
        <v>56</v>
      </c>
      <c r="C1867" t="s">
        <v>27</v>
      </c>
      <c r="D1867" t="s">
        <v>99</v>
      </c>
      <c r="E1867" t="s">
        <v>18</v>
      </c>
      <c r="F1867" s="2">
        <v>62</v>
      </c>
      <c r="G1867" t="s">
        <v>146</v>
      </c>
      <c r="H1867" t="s">
        <v>55</v>
      </c>
      <c r="I1867" t="s">
        <v>153</v>
      </c>
      <c r="J1867" t="s">
        <v>57</v>
      </c>
      <c r="K1867">
        <v>3.8</v>
      </c>
      <c r="L1867" t="s">
        <v>23</v>
      </c>
      <c r="M1867" t="s">
        <v>48</v>
      </c>
      <c r="N1867" t="s">
        <v>23</v>
      </c>
      <c r="O1867">
        <v>12</v>
      </c>
      <c r="P1867" t="s">
        <v>88</v>
      </c>
      <c r="Q1867" t="s">
        <v>42</v>
      </c>
      <c r="R1867" s="1">
        <v>0.1</v>
      </c>
      <c r="S1867">
        <f t="shared" si="116"/>
        <v>55.8</v>
      </c>
      <c r="T1867">
        <f>IFERROR(VLOOKUP(A1867,Table1[[Customer ID]:[Discount Amount]], 6, FALSE),"Not Found")</f>
        <v>62</v>
      </c>
      <c r="U1867" t="str">
        <f t="shared" si="117"/>
        <v>Bank Transfer</v>
      </c>
      <c r="V1867" s="4" t="str">
        <f t="shared" si="118"/>
        <v>Normal</v>
      </c>
      <c r="W1867" s="4" t="str">
        <f t="shared" si="119"/>
        <v>Good</v>
      </c>
      <c r="X1867" s="4">
        <f>AVERAGE(Table1[Purchase Amount])</f>
        <v>129.48419400000012</v>
      </c>
    </row>
    <row r="1868" spans="1:24" ht="15" customHeight="1" x14ac:dyDescent="0.25">
      <c r="A1868">
        <v>1867</v>
      </c>
      <c r="B1868">
        <v>31</v>
      </c>
      <c r="C1868" t="s">
        <v>27</v>
      </c>
      <c r="D1868" t="s">
        <v>17</v>
      </c>
      <c r="E1868" t="s">
        <v>18</v>
      </c>
      <c r="F1868" s="2">
        <v>44</v>
      </c>
      <c r="G1868" t="s">
        <v>148</v>
      </c>
      <c r="H1868" t="s">
        <v>20</v>
      </c>
      <c r="I1868" t="s">
        <v>133</v>
      </c>
      <c r="J1868" t="s">
        <v>22</v>
      </c>
      <c r="K1868">
        <v>4.2</v>
      </c>
      <c r="L1868" t="s">
        <v>23</v>
      </c>
      <c r="M1868" t="s">
        <v>24</v>
      </c>
      <c r="N1868" t="s">
        <v>23</v>
      </c>
      <c r="O1868">
        <v>9</v>
      </c>
      <c r="P1868" t="s">
        <v>53</v>
      </c>
      <c r="Q1868" t="s">
        <v>89</v>
      </c>
      <c r="R1868" s="1">
        <v>0.1</v>
      </c>
      <c r="S1868">
        <f t="shared" si="116"/>
        <v>39.6</v>
      </c>
      <c r="T1868">
        <f>IFERROR(VLOOKUP(A1868,Table1[[Customer ID]:[Discount Amount]], 6, FALSE),"Not Found")</f>
        <v>44</v>
      </c>
      <c r="U1868" t="str">
        <f t="shared" si="117"/>
        <v>Credit Card</v>
      </c>
      <c r="V1868" s="4" t="str">
        <f t="shared" si="118"/>
        <v>Normal</v>
      </c>
      <c r="W1868" s="4" t="str">
        <f t="shared" si="119"/>
        <v>Good</v>
      </c>
      <c r="X1868" s="4">
        <f>AVERAGE(Table1[Purchase Amount])</f>
        <v>129.48419400000012</v>
      </c>
    </row>
    <row r="1869" spans="1:24" ht="15" customHeight="1" x14ac:dyDescent="0.25">
      <c r="A1869">
        <v>1868</v>
      </c>
      <c r="B1869">
        <v>45</v>
      </c>
      <c r="C1869" t="s">
        <v>27</v>
      </c>
      <c r="D1869" t="s">
        <v>122</v>
      </c>
      <c r="E1869" t="s">
        <v>18</v>
      </c>
      <c r="F1869" s="2">
        <v>52</v>
      </c>
      <c r="G1869" t="s">
        <v>143</v>
      </c>
      <c r="H1869" t="s">
        <v>31</v>
      </c>
      <c r="I1869" t="s">
        <v>60</v>
      </c>
      <c r="J1869" t="s">
        <v>47</v>
      </c>
      <c r="K1869">
        <v>3.4</v>
      </c>
      <c r="L1869" t="s">
        <v>23</v>
      </c>
      <c r="M1869" t="s">
        <v>41</v>
      </c>
      <c r="N1869" t="s">
        <v>23</v>
      </c>
      <c r="O1869">
        <v>20</v>
      </c>
      <c r="P1869" t="s">
        <v>62</v>
      </c>
      <c r="Q1869" t="s">
        <v>37</v>
      </c>
      <c r="R1869" s="1">
        <v>0.1</v>
      </c>
      <c r="S1869">
        <f t="shared" si="116"/>
        <v>46.8</v>
      </c>
      <c r="T1869">
        <f>IFERROR(VLOOKUP(A1869,Table1[[Customer ID]:[Discount Amount]], 6, FALSE),"Not Found")</f>
        <v>52</v>
      </c>
      <c r="U1869" t="str">
        <f t="shared" si="117"/>
        <v>Venmo</v>
      </c>
      <c r="V1869" s="4" t="str">
        <f t="shared" si="118"/>
        <v>Normal</v>
      </c>
      <c r="W1869" s="4" t="str">
        <f t="shared" si="119"/>
        <v>Good</v>
      </c>
      <c r="X1869" s="4">
        <f>AVERAGE(Table1[Purchase Amount])</f>
        <v>129.48419400000012</v>
      </c>
    </row>
    <row r="1870" spans="1:24" ht="15" customHeight="1" x14ac:dyDescent="0.25">
      <c r="A1870">
        <v>1869</v>
      </c>
      <c r="B1870">
        <v>23</v>
      </c>
      <c r="C1870" t="s">
        <v>27</v>
      </c>
      <c r="D1870" t="s">
        <v>43</v>
      </c>
      <c r="E1870" t="s">
        <v>29</v>
      </c>
      <c r="F1870" s="2">
        <v>58</v>
      </c>
      <c r="G1870" t="s">
        <v>102</v>
      </c>
      <c r="H1870" t="s">
        <v>31</v>
      </c>
      <c r="I1870" t="s">
        <v>153</v>
      </c>
      <c r="J1870" t="s">
        <v>33</v>
      </c>
      <c r="K1870">
        <v>4.7</v>
      </c>
      <c r="L1870" t="s">
        <v>23</v>
      </c>
      <c r="M1870" t="s">
        <v>79</v>
      </c>
      <c r="N1870" t="s">
        <v>23</v>
      </c>
      <c r="O1870">
        <v>44</v>
      </c>
      <c r="P1870" t="s">
        <v>25</v>
      </c>
      <c r="Q1870" t="s">
        <v>89</v>
      </c>
      <c r="R1870" s="1">
        <v>0.1</v>
      </c>
      <c r="S1870">
        <f t="shared" si="116"/>
        <v>52.2</v>
      </c>
      <c r="T1870">
        <f>IFERROR(VLOOKUP(A1870,Table1[[Customer ID]:[Discount Amount]], 6, FALSE),"Not Found")</f>
        <v>58</v>
      </c>
      <c r="U1870" t="str">
        <f t="shared" si="117"/>
        <v>Cash</v>
      </c>
      <c r="V1870" s="4" t="str">
        <f t="shared" si="118"/>
        <v>Normal</v>
      </c>
      <c r="W1870" s="4" t="str">
        <f t="shared" si="119"/>
        <v>Good</v>
      </c>
      <c r="X1870" s="4">
        <f>AVERAGE(Table1[Purchase Amount])</f>
        <v>129.48419400000012</v>
      </c>
    </row>
    <row r="1871" spans="1:24" ht="15" customHeight="1" x14ac:dyDescent="0.25">
      <c r="A1871">
        <v>1870</v>
      </c>
      <c r="B1871">
        <v>18</v>
      </c>
      <c r="C1871" t="s">
        <v>27</v>
      </c>
      <c r="D1871" t="s">
        <v>118</v>
      </c>
      <c r="E1871" t="s">
        <v>18</v>
      </c>
      <c r="F1871" s="2">
        <v>77</v>
      </c>
      <c r="G1871" t="s">
        <v>154</v>
      </c>
      <c r="H1871" t="s">
        <v>55</v>
      </c>
      <c r="I1871" t="s">
        <v>56</v>
      </c>
      <c r="J1871" t="s">
        <v>33</v>
      </c>
      <c r="K1871">
        <v>3.9</v>
      </c>
      <c r="L1871" t="s">
        <v>23</v>
      </c>
      <c r="M1871" t="s">
        <v>41</v>
      </c>
      <c r="N1871" t="s">
        <v>23</v>
      </c>
      <c r="O1871">
        <v>16</v>
      </c>
      <c r="P1871" t="s">
        <v>36</v>
      </c>
      <c r="Q1871" t="s">
        <v>63</v>
      </c>
      <c r="R1871" s="1">
        <v>0.1</v>
      </c>
      <c r="S1871">
        <f t="shared" si="116"/>
        <v>69.3</v>
      </c>
      <c r="T1871">
        <f>IFERROR(VLOOKUP(A1871,Table1[[Customer ID]:[Discount Amount]], 6, FALSE),"Not Found")</f>
        <v>77</v>
      </c>
      <c r="U1871" t="str">
        <f t="shared" si="117"/>
        <v>Debit Card</v>
      </c>
      <c r="V1871" s="4" t="str">
        <f t="shared" si="118"/>
        <v>Normal</v>
      </c>
      <c r="W1871" s="4" t="str">
        <f t="shared" si="119"/>
        <v>Good</v>
      </c>
      <c r="X1871" s="4">
        <f>AVERAGE(Table1[Purchase Amount])</f>
        <v>129.48419400000012</v>
      </c>
    </row>
    <row r="1872" spans="1:24" ht="15" customHeight="1" x14ac:dyDescent="0.25">
      <c r="A1872">
        <v>1871</v>
      </c>
      <c r="B1872">
        <v>43</v>
      </c>
      <c r="C1872" t="s">
        <v>27</v>
      </c>
      <c r="D1872" t="s">
        <v>118</v>
      </c>
      <c r="E1872" t="s">
        <v>18</v>
      </c>
      <c r="F1872" s="2">
        <v>99</v>
      </c>
      <c r="G1872" t="s">
        <v>162</v>
      </c>
      <c r="H1872" t="s">
        <v>45</v>
      </c>
      <c r="I1872" t="s">
        <v>111</v>
      </c>
      <c r="J1872" t="s">
        <v>33</v>
      </c>
      <c r="K1872">
        <v>4.3</v>
      </c>
      <c r="L1872" t="s">
        <v>23</v>
      </c>
      <c r="M1872" t="s">
        <v>48</v>
      </c>
      <c r="N1872" t="s">
        <v>23</v>
      </c>
      <c r="O1872">
        <v>27</v>
      </c>
      <c r="P1872" t="s">
        <v>36</v>
      </c>
      <c r="Q1872" t="s">
        <v>89</v>
      </c>
      <c r="R1872" s="1">
        <v>0.1</v>
      </c>
      <c r="S1872">
        <f t="shared" si="116"/>
        <v>89.1</v>
      </c>
      <c r="T1872">
        <f>IFERROR(VLOOKUP(A1872,Table1[[Customer ID]:[Discount Amount]], 6, FALSE),"Not Found")</f>
        <v>99</v>
      </c>
      <c r="U1872" t="str">
        <f t="shared" si="117"/>
        <v>Debit Card</v>
      </c>
      <c r="V1872" s="4" t="str">
        <f t="shared" si="118"/>
        <v>Normal</v>
      </c>
      <c r="W1872" s="4" t="str">
        <f t="shared" si="119"/>
        <v>Good</v>
      </c>
      <c r="X1872" s="4">
        <f>AVERAGE(Table1[Purchase Amount])</f>
        <v>129.48419400000012</v>
      </c>
    </row>
    <row r="1873" spans="1:24" ht="15" customHeight="1" x14ac:dyDescent="0.25">
      <c r="A1873">
        <v>1872</v>
      </c>
      <c r="B1873">
        <v>56</v>
      </c>
      <c r="C1873" t="s">
        <v>27</v>
      </c>
      <c r="D1873" t="s">
        <v>109</v>
      </c>
      <c r="E1873" t="s">
        <v>18</v>
      </c>
      <c r="F1873" s="2">
        <v>96</v>
      </c>
      <c r="G1873" t="s">
        <v>44</v>
      </c>
      <c r="H1873" t="s">
        <v>20</v>
      </c>
      <c r="I1873" t="s">
        <v>111</v>
      </c>
      <c r="J1873" t="s">
        <v>47</v>
      </c>
      <c r="K1873">
        <v>2.7</v>
      </c>
      <c r="L1873" t="s">
        <v>23</v>
      </c>
      <c r="M1873" t="s">
        <v>24</v>
      </c>
      <c r="N1873" t="s">
        <v>23</v>
      </c>
      <c r="O1873">
        <v>14</v>
      </c>
      <c r="P1873" t="s">
        <v>25</v>
      </c>
      <c r="Q1873" t="s">
        <v>63</v>
      </c>
      <c r="R1873" s="1">
        <v>0.1</v>
      </c>
      <c r="S1873">
        <f t="shared" si="116"/>
        <v>86.4</v>
      </c>
      <c r="T1873">
        <f>IFERROR(VLOOKUP(A1873,Table1[[Customer ID]:[Discount Amount]], 6, FALSE),"Not Found")</f>
        <v>96</v>
      </c>
      <c r="U1873" t="str">
        <f t="shared" si="117"/>
        <v>Cash</v>
      </c>
      <c r="V1873" s="4" t="str">
        <f t="shared" si="118"/>
        <v>Normal</v>
      </c>
      <c r="W1873" s="4" t="str">
        <f t="shared" si="119"/>
        <v>Poor</v>
      </c>
      <c r="X1873" s="4">
        <f>AVERAGE(Table1[Purchase Amount])</f>
        <v>129.48419400000012</v>
      </c>
    </row>
    <row r="1874" spans="1:24" ht="15" customHeight="1" x14ac:dyDescent="0.25">
      <c r="A1874">
        <v>1873</v>
      </c>
      <c r="B1874">
        <v>43</v>
      </c>
      <c r="C1874" t="s">
        <v>27</v>
      </c>
      <c r="D1874" t="s">
        <v>17</v>
      </c>
      <c r="E1874" t="s">
        <v>18</v>
      </c>
      <c r="F1874" s="2">
        <v>64</v>
      </c>
      <c r="G1874" t="s">
        <v>148</v>
      </c>
      <c r="H1874" t="s">
        <v>31</v>
      </c>
      <c r="I1874" t="s">
        <v>107</v>
      </c>
      <c r="J1874" t="s">
        <v>57</v>
      </c>
      <c r="K1874">
        <v>4.5999999999999996</v>
      </c>
      <c r="L1874" t="s">
        <v>23</v>
      </c>
      <c r="M1874" t="s">
        <v>24</v>
      </c>
      <c r="N1874" t="s">
        <v>23</v>
      </c>
      <c r="O1874">
        <v>24</v>
      </c>
      <c r="P1874" t="s">
        <v>53</v>
      </c>
      <c r="Q1874" t="s">
        <v>42</v>
      </c>
      <c r="R1874" s="1">
        <v>0.1</v>
      </c>
      <c r="S1874">
        <f t="shared" si="116"/>
        <v>57.6</v>
      </c>
      <c r="T1874">
        <f>IFERROR(VLOOKUP(A1874,Table1[[Customer ID]:[Discount Amount]], 6, FALSE),"Not Found")</f>
        <v>64</v>
      </c>
      <c r="U1874" t="str">
        <f t="shared" si="117"/>
        <v>Credit Card</v>
      </c>
      <c r="V1874" s="4" t="str">
        <f t="shared" si="118"/>
        <v>Normal</v>
      </c>
      <c r="W1874" s="4" t="str">
        <f t="shared" si="119"/>
        <v>Good</v>
      </c>
      <c r="X1874" s="4">
        <f>AVERAGE(Table1[Purchase Amount])</f>
        <v>129.48419400000012</v>
      </c>
    </row>
    <row r="1875" spans="1:24" ht="15" customHeight="1" x14ac:dyDescent="0.25">
      <c r="A1875">
        <v>1874</v>
      </c>
      <c r="B1875">
        <v>64</v>
      </c>
      <c r="C1875" t="s">
        <v>27</v>
      </c>
      <c r="D1875" t="s">
        <v>127</v>
      </c>
      <c r="E1875" t="s">
        <v>18</v>
      </c>
      <c r="F1875" s="2">
        <v>44</v>
      </c>
      <c r="G1875" t="s">
        <v>59</v>
      </c>
      <c r="H1875" t="s">
        <v>20</v>
      </c>
      <c r="I1875" t="s">
        <v>46</v>
      </c>
      <c r="J1875" t="s">
        <v>47</v>
      </c>
      <c r="K1875">
        <v>2.9</v>
      </c>
      <c r="L1875" t="s">
        <v>23</v>
      </c>
      <c r="M1875" t="s">
        <v>61</v>
      </c>
      <c r="N1875" t="s">
        <v>23</v>
      </c>
      <c r="O1875">
        <v>49</v>
      </c>
      <c r="P1875" t="s">
        <v>88</v>
      </c>
      <c r="Q1875" t="s">
        <v>26</v>
      </c>
      <c r="R1875" s="1">
        <v>0.1</v>
      </c>
      <c r="S1875">
        <f t="shared" si="116"/>
        <v>39.6</v>
      </c>
      <c r="T1875">
        <f>IFERROR(VLOOKUP(A1875,Table1[[Customer ID]:[Discount Amount]], 6, FALSE),"Not Found")</f>
        <v>44</v>
      </c>
      <c r="U1875" t="str">
        <f t="shared" si="117"/>
        <v>Bank Transfer</v>
      </c>
      <c r="V1875" s="4" t="str">
        <f t="shared" si="118"/>
        <v>Normal</v>
      </c>
      <c r="W1875" s="4" t="str">
        <f t="shared" si="119"/>
        <v>Poor</v>
      </c>
      <c r="X1875" s="4">
        <f>AVERAGE(Table1[Purchase Amount])</f>
        <v>129.48419400000012</v>
      </c>
    </row>
    <row r="1876" spans="1:24" ht="15" customHeight="1" x14ac:dyDescent="0.25">
      <c r="A1876">
        <v>1875</v>
      </c>
      <c r="B1876">
        <v>67</v>
      </c>
      <c r="C1876" t="s">
        <v>27</v>
      </c>
      <c r="D1876" t="s">
        <v>99</v>
      </c>
      <c r="E1876" t="s">
        <v>18</v>
      </c>
      <c r="F1876" s="2">
        <v>33</v>
      </c>
      <c r="G1876" t="s">
        <v>102</v>
      </c>
      <c r="H1876" t="s">
        <v>45</v>
      </c>
      <c r="I1876" t="s">
        <v>66</v>
      </c>
      <c r="J1876" t="s">
        <v>47</v>
      </c>
      <c r="K1876">
        <v>3.6</v>
      </c>
      <c r="L1876" t="s">
        <v>23</v>
      </c>
      <c r="M1876" t="s">
        <v>35</v>
      </c>
      <c r="N1876" t="s">
        <v>23</v>
      </c>
      <c r="O1876">
        <v>14</v>
      </c>
      <c r="P1876" t="s">
        <v>25</v>
      </c>
      <c r="Q1876" t="s">
        <v>26</v>
      </c>
      <c r="R1876" s="1">
        <v>0.1</v>
      </c>
      <c r="S1876">
        <f t="shared" si="116"/>
        <v>29.7</v>
      </c>
      <c r="T1876">
        <f>IFERROR(VLOOKUP(A1876,Table1[[Customer ID]:[Discount Amount]], 6, FALSE),"Not Found")</f>
        <v>33</v>
      </c>
      <c r="U1876" t="str">
        <f t="shared" si="117"/>
        <v>Cash</v>
      </c>
      <c r="V1876" s="4" t="str">
        <f t="shared" si="118"/>
        <v>Normal</v>
      </c>
      <c r="W1876" s="4" t="str">
        <f t="shared" si="119"/>
        <v>Good</v>
      </c>
      <c r="X1876" s="4">
        <f>AVERAGE(Table1[Purchase Amount])</f>
        <v>129.48419400000012</v>
      </c>
    </row>
    <row r="1877" spans="1:24" ht="15" customHeight="1" x14ac:dyDescent="0.25">
      <c r="A1877">
        <v>1876</v>
      </c>
      <c r="B1877">
        <v>63</v>
      </c>
      <c r="C1877" t="s">
        <v>27</v>
      </c>
      <c r="D1877" t="s">
        <v>151</v>
      </c>
      <c r="E1877" t="s">
        <v>98</v>
      </c>
      <c r="F1877" s="2">
        <v>71</v>
      </c>
      <c r="G1877" t="s">
        <v>65</v>
      </c>
      <c r="H1877" t="s">
        <v>31</v>
      </c>
      <c r="I1877" t="s">
        <v>60</v>
      </c>
      <c r="J1877" t="s">
        <v>22</v>
      </c>
      <c r="K1877">
        <v>3.9</v>
      </c>
      <c r="L1877" t="s">
        <v>23</v>
      </c>
      <c r="M1877" t="s">
        <v>79</v>
      </c>
      <c r="N1877" t="s">
        <v>23</v>
      </c>
      <c r="O1877">
        <v>6</v>
      </c>
      <c r="P1877" t="s">
        <v>53</v>
      </c>
      <c r="Q1877" t="s">
        <v>37</v>
      </c>
      <c r="R1877" s="1">
        <v>0.1</v>
      </c>
      <c r="S1877">
        <f t="shared" si="116"/>
        <v>63.9</v>
      </c>
      <c r="T1877">
        <f>IFERROR(VLOOKUP(A1877,Table1[[Customer ID]:[Discount Amount]], 6, FALSE),"Not Found")</f>
        <v>71</v>
      </c>
      <c r="U1877" t="str">
        <f t="shared" si="117"/>
        <v>Credit Card</v>
      </c>
      <c r="V1877" s="4" t="str">
        <f t="shared" si="118"/>
        <v>Normal</v>
      </c>
      <c r="W1877" s="4" t="str">
        <f t="shared" si="119"/>
        <v>Good</v>
      </c>
      <c r="X1877" s="4">
        <f>AVERAGE(Table1[Purchase Amount])</f>
        <v>129.48419400000012</v>
      </c>
    </row>
    <row r="1878" spans="1:24" ht="15" customHeight="1" x14ac:dyDescent="0.25">
      <c r="A1878">
        <v>1877</v>
      </c>
      <c r="B1878">
        <v>54</v>
      </c>
      <c r="C1878" t="s">
        <v>27</v>
      </c>
      <c r="D1878" t="s">
        <v>122</v>
      </c>
      <c r="E1878" t="s">
        <v>18</v>
      </c>
      <c r="F1878" s="2">
        <v>36</v>
      </c>
      <c r="G1878" t="s">
        <v>44</v>
      </c>
      <c r="H1878" t="s">
        <v>31</v>
      </c>
      <c r="I1878" t="s">
        <v>85</v>
      </c>
      <c r="J1878" t="s">
        <v>47</v>
      </c>
      <c r="K1878">
        <v>2.6</v>
      </c>
      <c r="L1878" t="s">
        <v>23</v>
      </c>
      <c r="M1878" t="s">
        <v>24</v>
      </c>
      <c r="N1878" t="s">
        <v>23</v>
      </c>
      <c r="O1878">
        <v>20</v>
      </c>
      <c r="P1878" t="s">
        <v>62</v>
      </c>
      <c r="Q1878" t="s">
        <v>37</v>
      </c>
      <c r="R1878" s="1">
        <v>0.1</v>
      </c>
      <c r="S1878">
        <f t="shared" si="116"/>
        <v>32.4</v>
      </c>
      <c r="T1878">
        <f>IFERROR(VLOOKUP(A1878,Table1[[Customer ID]:[Discount Amount]], 6, FALSE),"Not Found")</f>
        <v>36</v>
      </c>
      <c r="U1878" t="str">
        <f t="shared" si="117"/>
        <v>Venmo</v>
      </c>
      <c r="V1878" s="4" t="str">
        <f t="shared" si="118"/>
        <v>Normal</v>
      </c>
      <c r="W1878" s="4" t="str">
        <f t="shared" si="119"/>
        <v>Poor</v>
      </c>
      <c r="X1878" s="4">
        <f>AVERAGE(Table1[Purchase Amount])</f>
        <v>129.48419400000012</v>
      </c>
    </row>
    <row r="1879" spans="1:24" ht="15" customHeight="1" x14ac:dyDescent="0.25">
      <c r="A1879">
        <v>1878</v>
      </c>
      <c r="B1879">
        <v>69</v>
      </c>
      <c r="C1879" t="s">
        <v>27</v>
      </c>
      <c r="D1879" t="s">
        <v>43</v>
      </c>
      <c r="E1879" t="s">
        <v>29</v>
      </c>
      <c r="F1879" s="2">
        <v>62</v>
      </c>
      <c r="G1879" t="s">
        <v>78</v>
      </c>
      <c r="H1879" t="s">
        <v>45</v>
      </c>
      <c r="I1879" t="s">
        <v>136</v>
      </c>
      <c r="J1879" t="s">
        <v>47</v>
      </c>
      <c r="K1879">
        <v>3.6</v>
      </c>
      <c r="L1879" t="s">
        <v>23</v>
      </c>
      <c r="M1879" t="s">
        <v>61</v>
      </c>
      <c r="N1879" t="s">
        <v>23</v>
      </c>
      <c r="O1879">
        <v>3</v>
      </c>
      <c r="P1879" t="s">
        <v>53</v>
      </c>
      <c r="Q1879" t="s">
        <v>49</v>
      </c>
      <c r="R1879" s="1">
        <v>0.1</v>
      </c>
      <c r="S1879">
        <f t="shared" si="116"/>
        <v>55.8</v>
      </c>
      <c r="T1879">
        <f>IFERROR(VLOOKUP(A1879,Table1[[Customer ID]:[Discount Amount]], 6, FALSE),"Not Found")</f>
        <v>62</v>
      </c>
      <c r="U1879" t="str">
        <f t="shared" si="117"/>
        <v>Credit Card</v>
      </c>
      <c r="V1879" s="4" t="str">
        <f t="shared" si="118"/>
        <v>Normal</v>
      </c>
      <c r="W1879" s="4" t="str">
        <f t="shared" si="119"/>
        <v>Good</v>
      </c>
      <c r="X1879" s="4">
        <f>AVERAGE(Table1[Purchase Amount])</f>
        <v>129.48419400000012</v>
      </c>
    </row>
    <row r="1880" spans="1:24" ht="15" customHeight="1" x14ac:dyDescent="0.25">
      <c r="A1880">
        <v>1879</v>
      </c>
      <c r="B1880">
        <v>34</v>
      </c>
      <c r="C1880" t="s">
        <v>27</v>
      </c>
      <c r="D1880" t="s">
        <v>105</v>
      </c>
      <c r="E1880" t="s">
        <v>18</v>
      </c>
      <c r="F1880" s="2">
        <v>29</v>
      </c>
      <c r="G1880" t="s">
        <v>142</v>
      </c>
      <c r="H1880" t="s">
        <v>45</v>
      </c>
      <c r="I1880" t="s">
        <v>87</v>
      </c>
      <c r="J1880" t="s">
        <v>57</v>
      </c>
      <c r="K1880">
        <v>3.4</v>
      </c>
      <c r="L1880" t="s">
        <v>23</v>
      </c>
      <c r="M1880" t="s">
        <v>48</v>
      </c>
      <c r="N1880" t="s">
        <v>23</v>
      </c>
      <c r="O1880">
        <v>5</v>
      </c>
      <c r="P1880" t="s">
        <v>53</v>
      </c>
      <c r="Q1880" t="s">
        <v>42</v>
      </c>
      <c r="R1880" s="1">
        <v>0.1</v>
      </c>
      <c r="S1880">
        <f t="shared" si="116"/>
        <v>26.1</v>
      </c>
      <c r="T1880">
        <f>IFERROR(VLOOKUP(A1880,Table1[[Customer ID]:[Discount Amount]], 6, FALSE),"Not Found")</f>
        <v>29</v>
      </c>
      <c r="U1880" t="str">
        <f t="shared" si="117"/>
        <v>Credit Card</v>
      </c>
      <c r="V1880" s="4" t="str">
        <f t="shared" si="118"/>
        <v>Normal</v>
      </c>
      <c r="W1880" s="4" t="str">
        <f t="shared" si="119"/>
        <v>Good</v>
      </c>
      <c r="X1880" s="4">
        <f>AVERAGE(Table1[Purchase Amount])</f>
        <v>129.48419400000012</v>
      </c>
    </row>
    <row r="1881" spans="1:24" ht="15" customHeight="1" x14ac:dyDescent="0.25">
      <c r="A1881">
        <v>1880</v>
      </c>
      <c r="B1881">
        <v>56</v>
      </c>
      <c r="C1881" t="s">
        <v>27</v>
      </c>
      <c r="D1881" t="s">
        <v>17</v>
      </c>
      <c r="E1881" t="s">
        <v>18</v>
      </c>
      <c r="F1881" s="2">
        <v>33</v>
      </c>
      <c r="G1881" t="s">
        <v>65</v>
      </c>
      <c r="H1881" t="s">
        <v>45</v>
      </c>
      <c r="I1881" t="s">
        <v>103</v>
      </c>
      <c r="J1881" t="s">
        <v>33</v>
      </c>
      <c r="K1881">
        <v>3.5</v>
      </c>
      <c r="L1881" t="s">
        <v>23</v>
      </c>
      <c r="M1881" t="s">
        <v>61</v>
      </c>
      <c r="N1881" t="s">
        <v>23</v>
      </c>
      <c r="O1881">
        <v>46</v>
      </c>
      <c r="P1881" t="s">
        <v>25</v>
      </c>
      <c r="Q1881" t="s">
        <v>68</v>
      </c>
      <c r="R1881" s="1">
        <v>0.1</v>
      </c>
      <c r="S1881">
        <f t="shared" si="116"/>
        <v>29.7</v>
      </c>
      <c r="T1881">
        <f>IFERROR(VLOOKUP(A1881,Table1[[Customer ID]:[Discount Amount]], 6, FALSE),"Not Found")</f>
        <v>33</v>
      </c>
      <c r="U1881" t="str">
        <f t="shared" si="117"/>
        <v>Cash</v>
      </c>
      <c r="V1881" s="4" t="str">
        <f t="shared" si="118"/>
        <v>Normal</v>
      </c>
      <c r="W1881" s="4" t="str">
        <f t="shared" si="119"/>
        <v>Good</v>
      </c>
      <c r="X1881" s="4">
        <f>AVERAGE(Table1[Purchase Amount])</f>
        <v>129.48419400000012</v>
      </c>
    </row>
    <row r="1882" spans="1:24" ht="15" customHeight="1" x14ac:dyDescent="0.25">
      <c r="A1882">
        <v>1881</v>
      </c>
      <c r="B1882">
        <v>34</v>
      </c>
      <c r="C1882" t="s">
        <v>27</v>
      </c>
      <c r="D1882" t="s">
        <v>118</v>
      </c>
      <c r="E1882" t="s">
        <v>18</v>
      </c>
      <c r="F1882" s="2">
        <v>33</v>
      </c>
      <c r="G1882" t="s">
        <v>131</v>
      </c>
      <c r="H1882" t="s">
        <v>45</v>
      </c>
      <c r="I1882" t="s">
        <v>52</v>
      </c>
      <c r="J1882" t="s">
        <v>47</v>
      </c>
      <c r="K1882">
        <v>3.1</v>
      </c>
      <c r="L1882" t="s">
        <v>23</v>
      </c>
      <c r="M1882" t="s">
        <v>41</v>
      </c>
      <c r="N1882" t="s">
        <v>23</v>
      </c>
      <c r="O1882">
        <v>8</v>
      </c>
      <c r="P1882" t="s">
        <v>36</v>
      </c>
      <c r="Q1882" t="s">
        <v>42</v>
      </c>
      <c r="R1882" s="1">
        <v>0.1</v>
      </c>
      <c r="S1882">
        <f t="shared" si="116"/>
        <v>29.7</v>
      </c>
      <c r="T1882">
        <f>IFERROR(VLOOKUP(A1882,Table1[[Customer ID]:[Discount Amount]], 6, FALSE),"Not Found")</f>
        <v>33</v>
      </c>
      <c r="U1882" t="str">
        <f t="shared" si="117"/>
        <v>Debit Card</v>
      </c>
      <c r="V1882" s="4" t="str">
        <f t="shared" si="118"/>
        <v>Normal</v>
      </c>
      <c r="W1882" s="4" t="str">
        <f t="shared" si="119"/>
        <v>Good</v>
      </c>
      <c r="X1882" s="4">
        <f>AVERAGE(Table1[Purchase Amount])</f>
        <v>129.48419400000012</v>
      </c>
    </row>
    <row r="1883" spans="1:24" ht="15" customHeight="1" x14ac:dyDescent="0.25">
      <c r="A1883">
        <v>1882</v>
      </c>
      <c r="B1883">
        <v>58</v>
      </c>
      <c r="C1883" t="s">
        <v>27</v>
      </c>
      <c r="D1883" t="s">
        <v>118</v>
      </c>
      <c r="E1883" t="s">
        <v>18</v>
      </c>
      <c r="F1883" s="2">
        <v>41</v>
      </c>
      <c r="G1883" t="s">
        <v>131</v>
      </c>
      <c r="H1883" t="s">
        <v>31</v>
      </c>
      <c r="I1883" t="s">
        <v>46</v>
      </c>
      <c r="J1883" t="s">
        <v>22</v>
      </c>
      <c r="K1883">
        <v>4.3</v>
      </c>
      <c r="L1883" t="s">
        <v>23</v>
      </c>
      <c r="M1883" t="s">
        <v>24</v>
      </c>
      <c r="N1883" t="s">
        <v>23</v>
      </c>
      <c r="O1883">
        <v>13</v>
      </c>
      <c r="P1883" t="s">
        <v>25</v>
      </c>
      <c r="Q1883" t="s">
        <v>68</v>
      </c>
      <c r="R1883" s="1">
        <v>0.1</v>
      </c>
      <c r="S1883">
        <f t="shared" si="116"/>
        <v>36.9</v>
      </c>
      <c r="T1883">
        <f>IFERROR(VLOOKUP(A1883,Table1[[Customer ID]:[Discount Amount]], 6, FALSE),"Not Found")</f>
        <v>41</v>
      </c>
      <c r="U1883" t="str">
        <f t="shared" si="117"/>
        <v>Cash</v>
      </c>
      <c r="V1883" s="4" t="str">
        <f t="shared" si="118"/>
        <v>Normal</v>
      </c>
      <c r="W1883" s="4" t="str">
        <f t="shared" si="119"/>
        <v>Good</v>
      </c>
      <c r="X1883" s="4">
        <f>AVERAGE(Table1[Purchase Amount])</f>
        <v>129.48419400000012</v>
      </c>
    </row>
    <row r="1884" spans="1:24" ht="15" customHeight="1" x14ac:dyDescent="0.25">
      <c r="A1884">
        <v>1883</v>
      </c>
      <c r="B1884">
        <v>44</v>
      </c>
      <c r="C1884" t="s">
        <v>27</v>
      </c>
      <c r="D1884" t="s">
        <v>129</v>
      </c>
      <c r="E1884" t="s">
        <v>29</v>
      </c>
      <c r="F1884" s="2">
        <v>54</v>
      </c>
      <c r="G1884" t="s">
        <v>65</v>
      </c>
      <c r="H1884" t="s">
        <v>45</v>
      </c>
      <c r="I1884" t="s">
        <v>74</v>
      </c>
      <c r="J1884" t="s">
        <v>22</v>
      </c>
      <c r="K1884">
        <v>5</v>
      </c>
      <c r="L1884" t="s">
        <v>23</v>
      </c>
      <c r="M1884" t="s">
        <v>48</v>
      </c>
      <c r="N1884" t="s">
        <v>23</v>
      </c>
      <c r="O1884">
        <v>25</v>
      </c>
      <c r="P1884" t="s">
        <v>88</v>
      </c>
      <c r="Q1884" t="s">
        <v>37</v>
      </c>
      <c r="R1884" s="1">
        <v>0.1</v>
      </c>
      <c r="S1884">
        <f t="shared" si="116"/>
        <v>48.6</v>
      </c>
      <c r="T1884">
        <f>IFERROR(VLOOKUP(A1884,Table1[[Customer ID]:[Discount Amount]], 6, FALSE),"Not Found")</f>
        <v>54</v>
      </c>
      <c r="U1884" t="str">
        <f t="shared" si="117"/>
        <v>Bank Transfer</v>
      </c>
      <c r="V1884" s="4" t="str">
        <f t="shared" si="118"/>
        <v>Normal</v>
      </c>
      <c r="W1884" s="4" t="str">
        <f t="shared" si="119"/>
        <v>Good</v>
      </c>
      <c r="X1884" s="4">
        <f>AVERAGE(Table1[Purchase Amount])</f>
        <v>129.48419400000012</v>
      </c>
    </row>
    <row r="1885" spans="1:24" ht="15" customHeight="1" x14ac:dyDescent="0.25">
      <c r="A1885">
        <v>1884</v>
      </c>
      <c r="B1885">
        <v>25</v>
      </c>
      <c r="C1885" t="s">
        <v>27</v>
      </c>
      <c r="D1885" t="s">
        <v>104</v>
      </c>
      <c r="E1885" t="s">
        <v>29</v>
      </c>
      <c r="F1885" s="2">
        <v>58</v>
      </c>
      <c r="G1885" t="s">
        <v>160</v>
      </c>
      <c r="H1885" t="s">
        <v>31</v>
      </c>
      <c r="I1885" t="s">
        <v>128</v>
      </c>
      <c r="J1885" t="s">
        <v>33</v>
      </c>
      <c r="K1885">
        <v>4.9000000000000004</v>
      </c>
      <c r="L1885" t="s">
        <v>23</v>
      </c>
      <c r="M1885" t="s">
        <v>48</v>
      </c>
      <c r="N1885" t="s">
        <v>23</v>
      </c>
      <c r="O1885">
        <v>39</v>
      </c>
      <c r="P1885" t="s">
        <v>36</v>
      </c>
      <c r="Q1885" t="s">
        <v>89</v>
      </c>
      <c r="R1885" s="1">
        <v>0.1</v>
      </c>
      <c r="S1885">
        <f t="shared" si="116"/>
        <v>52.2</v>
      </c>
      <c r="T1885">
        <f>IFERROR(VLOOKUP(A1885,Table1[[Customer ID]:[Discount Amount]], 6, FALSE),"Not Found")</f>
        <v>58</v>
      </c>
      <c r="U1885" t="str">
        <f t="shared" si="117"/>
        <v>Debit Card</v>
      </c>
      <c r="V1885" s="4" t="str">
        <f t="shared" si="118"/>
        <v>Normal</v>
      </c>
      <c r="W1885" s="4" t="str">
        <f t="shared" si="119"/>
        <v>Good</v>
      </c>
      <c r="X1885" s="4">
        <f>AVERAGE(Table1[Purchase Amount])</f>
        <v>129.48419400000012</v>
      </c>
    </row>
    <row r="1886" spans="1:24" ht="15" customHeight="1" x14ac:dyDescent="0.25">
      <c r="A1886">
        <v>1885</v>
      </c>
      <c r="B1886">
        <v>27</v>
      </c>
      <c r="C1886" t="s">
        <v>27</v>
      </c>
      <c r="D1886" t="s">
        <v>54</v>
      </c>
      <c r="E1886" t="s">
        <v>18</v>
      </c>
      <c r="F1886" s="2">
        <v>30</v>
      </c>
      <c r="G1886" t="s">
        <v>150</v>
      </c>
      <c r="H1886" t="s">
        <v>55</v>
      </c>
      <c r="I1886" t="s">
        <v>136</v>
      </c>
      <c r="J1886" t="s">
        <v>57</v>
      </c>
      <c r="K1886">
        <v>4.3</v>
      </c>
      <c r="L1886" t="s">
        <v>23</v>
      </c>
      <c r="M1886" t="s">
        <v>79</v>
      </c>
      <c r="N1886" t="s">
        <v>23</v>
      </c>
      <c r="O1886">
        <v>15</v>
      </c>
      <c r="P1886" t="s">
        <v>88</v>
      </c>
      <c r="Q1886" t="s">
        <v>68</v>
      </c>
      <c r="R1886" s="1">
        <v>0.1</v>
      </c>
      <c r="S1886">
        <f t="shared" si="116"/>
        <v>27</v>
      </c>
      <c r="T1886">
        <f>IFERROR(VLOOKUP(A1886,Table1[[Customer ID]:[Discount Amount]], 6, FALSE),"Not Found")</f>
        <v>30</v>
      </c>
      <c r="U1886" t="str">
        <f t="shared" si="117"/>
        <v>Bank Transfer</v>
      </c>
      <c r="V1886" s="4" t="str">
        <f t="shared" si="118"/>
        <v>Normal</v>
      </c>
      <c r="W1886" s="4" t="str">
        <f t="shared" si="119"/>
        <v>Good</v>
      </c>
      <c r="X1886" s="4">
        <f>AVERAGE(Table1[Purchase Amount])</f>
        <v>129.48419400000012</v>
      </c>
    </row>
    <row r="1887" spans="1:24" ht="15" customHeight="1" x14ac:dyDescent="0.25">
      <c r="A1887">
        <v>1886</v>
      </c>
      <c r="B1887">
        <v>26</v>
      </c>
      <c r="C1887" t="s">
        <v>27</v>
      </c>
      <c r="D1887" t="s">
        <v>50</v>
      </c>
      <c r="E1887" t="s">
        <v>29</v>
      </c>
      <c r="F1887" s="2">
        <v>53</v>
      </c>
      <c r="G1887" t="s">
        <v>158</v>
      </c>
      <c r="H1887" t="s">
        <v>55</v>
      </c>
      <c r="I1887" t="s">
        <v>125</v>
      </c>
      <c r="J1887" t="s">
        <v>22</v>
      </c>
      <c r="K1887">
        <v>4.4000000000000004</v>
      </c>
      <c r="L1887" t="s">
        <v>23</v>
      </c>
      <c r="M1887" t="s">
        <v>24</v>
      </c>
      <c r="N1887" t="s">
        <v>23</v>
      </c>
      <c r="O1887">
        <v>35</v>
      </c>
      <c r="P1887" t="s">
        <v>25</v>
      </c>
      <c r="Q1887" t="s">
        <v>42</v>
      </c>
      <c r="R1887" s="1">
        <v>0.1</v>
      </c>
      <c r="S1887">
        <f t="shared" si="116"/>
        <v>47.7</v>
      </c>
      <c r="T1887">
        <f>IFERROR(VLOOKUP(A1887,Table1[[Customer ID]:[Discount Amount]], 6, FALSE),"Not Found")</f>
        <v>53</v>
      </c>
      <c r="U1887" t="str">
        <f t="shared" si="117"/>
        <v>Cash</v>
      </c>
      <c r="V1887" s="4" t="str">
        <f t="shared" si="118"/>
        <v>Normal</v>
      </c>
      <c r="W1887" s="4" t="str">
        <f t="shared" si="119"/>
        <v>Good</v>
      </c>
      <c r="X1887" s="4">
        <f>AVERAGE(Table1[Purchase Amount])</f>
        <v>129.48419400000012</v>
      </c>
    </row>
    <row r="1888" spans="1:24" ht="15" customHeight="1" x14ac:dyDescent="0.25">
      <c r="A1888">
        <v>1887</v>
      </c>
      <c r="B1888">
        <v>18</v>
      </c>
      <c r="C1888" t="s">
        <v>27</v>
      </c>
      <c r="D1888" t="s">
        <v>43</v>
      </c>
      <c r="E1888" t="s">
        <v>29</v>
      </c>
      <c r="F1888" s="2">
        <v>91</v>
      </c>
      <c r="G1888" t="s">
        <v>100</v>
      </c>
      <c r="H1888" t="s">
        <v>45</v>
      </c>
      <c r="I1888" t="s">
        <v>56</v>
      </c>
      <c r="J1888" t="s">
        <v>33</v>
      </c>
      <c r="K1888">
        <v>4.4000000000000004</v>
      </c>
      <c r="L1888" t="s">
        <v>23</v>
      </c>
      <c r="M1888" t="s">
        <v>79</v>
      </c>
      <c r="N1888" t="s">
        <v>23</v>
      </c>
      <c r="O1888">
        <v>46</v>
      </c>
      <c r="P1888" t="s">
        <v>25</v>
      </c>
      <c r="Q1888" t="s">
        <v>68</v>
      </c>
      <c r="R1888" s="1">
        <v>0.1</v>
      </c>
      <c r="S1888">
        <f t="shared" si="116"/>
        <v>81.900000000000006</v>
      </c>
      <c r="T1888">
        <f>IFERROR(VLOOKUP(A1888,Table1[[Customer ID]:[Discount Amount]], 6, FALSE),"Not Found")</f>
        <v>91</v>
      </c>
      <c r="U1888" t="str">
        <f t="shared" si="117"/>
        <v>Cash</v>
      </c>
      <c r="V1888" s="4" t="str">
        <f t="shared" si="118"/>
        <v>Normal</v>
      </c>
      <c r="W1888" s="4" t="str">
        <f t="shared" si="119"/>
        <v>Good</v>
      </c>
      <c r="X1888" s="4">
        <f>AVERAGE(Table1[Purchase Amount])</f>
        <v>129.48419400000012</v>
      </c>
    </row>
    <row r="1889" spans="1:24" ht="15" customHeight="1" x14ac:dyDescent="0.25">
      <c r="A1889">
        <v>1888</v>
      </c>
      <c r="B1889">
        <v>64</v>
      </c>
      <c r="C1889" t="s">
        <v>27</v>
      </c>
      <c r="D1889" t="s">
        <v>83</v>
      </c>
      <c r="E1889" t="s">
        <v>18</v>
      </c>
      <c r="F1889" s="2">
        <v>44</v>
      </c>
      <c r="G1889" t="s">
        <v>86</v>
      </c>
      <c r="H1889" t="s">
        <v>20</v>
      </c>
      <c r="I1889" t="s">
        <v>133</v>
      </c>
      <c r="J1889" t="s">
        <v>47</v>
      </c>
      <c r="K1889">
        <v>3.5</v>
      </c>
      <c r="L1889" t="s">
        <v>23</v>
      </c>
      <c r="M1889" t="s">
        <v>61</v>
      </c>
      <c r="N1889" t="s">
        <v>23</v>
      </c>
      <c r="O1889">
        <v>3</v>
      </c>
      <c r="P1889" t="s">
        <v>58</v>
      </c>
      <c r="Q1889" t="s">
        <v>42</v>
      </c>
      <c r="R1889" s="1">
        <v>0.1</v>
      </c>
      <c r="S1889">
        <f t="shared" si="116"/>
        <v>39.6</v>
      </c>
      <c r="T1889">
        <f>IFERROR(VLOOKUP(A1889,Table1[[Customer ID]:[Discount Amount]], 6, FALSE),"Not Found")</f>
        <v>44</v>
      </c>
      <c r="U1889" t="str">
        <f t="shared" si="117"/>
        <v>PayPal</v>
      </c>
      <c r="V1889" s="4" t="str">
        <f t="shared" si="118"/>
        <v>Normal</v>
      </c>
      <c r="W1889" s="4" t="str">
        <f t="shared" si="119"/>
        <v>Good</v>
      </c>
      <c r="X1889" s="4">
        <f>AVERAGE(Table1[Purchase Amount])</f>
        <v>129.48419400000012</v>
      </c>
    </row>
    <row r="1890" spans="1:24" ht="15" customHeight="1" x14ac:dyDescent="0.25">
      <c r="A1890">
        <v>1889</v>
      </c>
      <c r="B1890">
        <v>62</v>
      </c>
      <c r="C1890" t="s">
        <v>27</v>
      </c>
      <c r="D1890" t="s">
        <v>83</v>
      </c>
      <c r="E1890" t="s">
        <v>18</v>
      </c>
      <c r="F1890" s="2">
        <v>89</v>
      </c>
      <c r="G1890" t="s">
        <v>130</v>
      </c>
      <c r="H1890" t="s">
        <v>20</v>
      </c>
      <c r="I1890" t="s">
        <v>156</v>
      </c>
      <c r="J1890" t="s">
        <v>22</v>
      </c>
      <c r="K1890">
        <v>3.4</v>
      </c>
      <c r="L1890" t="s">
        <v>23</v>
      </c>
      <c r="M1890" t="s">
        <v>35</v>
      </c>
      <c r="N1890" t="s">
        <v>23</v>
      </c>
      <c r="O1890">
        <v>48</v>
      </c>
      <c r="P1890" t="s">
        <v>53</v>
      </c>
      <c r="Q1890" t="s">
        <v>26</v>
      </c>
      <c r="R1890" s="1">
        <v>0.1</v>
      </c>
      <c r="S1890">
        <f t="shared" si="116"/>
        <v>80.099999999999994</v>
      </c>
      <c r="T1890">
        <f>IFERROR(VLOOKUP(A1890,Table1[[Customer ID]:[Discount Amount]], 6, FALSE),"Not Found")</f>
        <v>89</v>
      </c>
      <c r="U1890" t="str">
        <f t="shared" si="117"/>
        <v>Credit Card</v>
      </c>
      <c r="V1890" s="4" t="str">
        <f t="shared" si="118"/>
        <v>Normal</v>
      </c>
      <c r="W1890" s="4" t="str">
        <f t="shared" si="119"/>
        <v>Good</v>
      </c>
      <c r="X1890" s="4">
        <f>AVERAGE(Table1[Purchase Amount])</f>
        <v>129.48419400000012</v>
      </c>
    </row>
    <row r="1891" spans="1:24" ht="15" customHeight="1" x14ac:dyDescent="0.25">
      <c r="A1891">
        <v>1890</v>
      </c>
      <c r="B1891">
        <v>59</v>
      </c>
      <c r="C1891" t="s">
        <v>27</v>
      </c>
      <c r="D1891" t="s">
        <v>122</v>
      </c>
      <c r="E1891" t="s">
        <v>18</v>
      </c>
      <c r="F1891" s="2">
        <v>57</v>
      </c>
      <c r="G1891" t="s">
        <v>134</v>
      </c>
      <c r="H1891" t="s">
        <v>45</v>
      </c>
      <c r="I1891" t="s">
        <v>145</v>
      </c>
      <c r="J1891" t="s">
        <v>33</v>
      </c>
      <c r="K1891">
        <v>2.5</v>
      </c>
      <c r="L1891" t="s">
        <v>23</v>
      </c>
      <c r="M1891" t="s">
        <v>79</v>
      </c>
      <c r="N1891" t="s">
        <v>23</v>
      </c>
      <c r="O1891">
        <v>27</v>
      </c>
      <c r="P1891" t="s">
        <v>88</v>
      </c>
      <c r="Q1891" t="s">
        <v>26</v>
      </c>
      <c r="R1891" s="1">
        <v>0.1</v>
      </c>
      <c r="S1891">
        <f t="shared" si="116"/>
        <v>51.3</v>
      </c>
      <c r="T1891">
        <f>IFERROR(VLOOKUP(A1891,Table1[[Customer ID]:[Discount Amount]], 6, FALSE),"Not Found")</f>
        <v>57</v>
      </c>
      <c r="U1891" t="str">
        <f t="shared" si="117"/>
        <v>Bank Transfer</v>
      </c>
      <c r="V1891" s="4" t="str">
        <f t="shared" si="118"/>
        <v>Normal</v>
      </c>
      <c r="W1891" s="4" t="str">
        <f t="shared" si="119"/>
        <v>Poor</v>
      </c>
      <c r="X1891" s="4">
        <f>AVERAGE(Table1[Purchase Amount])</f>
        <v>129.48419400000012</v>
      </c>
    </row>
    <row r="1892" spans="1:24" ht="15" customHeight="1" x14ac:dyDescent="0.25">
      <c r="A1892">
        <v>1891</v>
      </c>
      <c r="B1892">
        <v>36</v>
      </c>
      <c r="C1892" t="s">
        <v>27</v>
      </c>
      <c r="D1892" t="s">
        <v>28</v>
      </c>
      <c r="E1892" t="s">
        <v>29</v>
      </c>
      <c r="F1892" s="2">
        <v>57</v>
      </c>
      <c r="G1892" t="s">
        <v>135</v>
      </c>
      <c r="H1892" t="s">
        <v>31</v>
      </c>
      <c r="I1892" t="s">
        <v>107</v>
      </c>
      <c r="J1892" t="s">
        <v>33</v>
      </c>
      <c r="K1892">
        <v>3.4</v>
      </c>
      <c r="L1892" t="s">
        <v>23</v>
      </c>
      <c r="M1892" t="s">
        <v>48</v>
      </c>
      <c r="N1892" t="s">
        <v>23</v>
      </c>
      <c r="O1892">
        <v>5</v>
      </c>
      <c r="P1892" t="s">
        <v>53</v>
      </c>
      <c r="Q1892" t="s">
        <v>26</v>
      </c>
      <c r="R1892" s="1">
        <v>0.1</v>
      </c>
      <c r="S1892">
        <f t="shared" si="116"/>
        <v>51.3</v>
      </c>
      <c r="T1892">
        <f>IFERROR(VLOOKUP(A1892,Table1[[Customer ID]:[Discount Amount]], 6, FALSE),"Not Found")</f>
        <v>57</v>
      </c>
      <c r="U1892" t="str">
        <f t="shared" si="117"/>
        <v>Credit Card</v>
      </c>
      <c r="V1892" s="4" t="str">
        <f t="shared" si="118"/>
        <v>Normal</v>
      </c>
      <c r="W1892" s="4" t="str">
        <f t="shared" si="119"/>
        <v>Good</v>
      </c>
      <c r="X1892" s="4">
        <f>AVERAGE(Table1[Purchase Amount])</f>
        <v>129.48419400000012</v>
      </c>
    </row>
    <row r="1893" spans="1:24" ht="15" customHeight="1" x14ac:dyDescent="0.25">
      <c r="A1893">
        <v>1892</v>
      </c>
      <c r="B1893">
        <v>69</v>
      </c>
      <c r="C1893" t="s">
        <v>27</v>
      </c>
      <c r="D1893" t="s">
        <v>50</v>
      </c>
      <c r="E1893" t="s">
        <v>29</v>
      </c>
      <c r="F1893" s="2">
        <v>74</v>
      </c>
      <c r="G1893" t="s">
        <v>132</v>
      </c>
      <c r="H1893" t="s">
        <v>31</v>
      </c>
      <c r="I1893" t="s">
        <v>85</v>
      </c>
      <c r="J1893" t="s">
        <v>57</v>
      </c>
      <c r="K1893">
        <v>2.6</v>
      </c>
      <c r="L1893" t="s">
        <v>23</v>
      </c>
      <c r="M1893" t="s">
        <v>79</v>
      </c>
      <c r="N1893" t="s">
        <v>23</v>
      </c>
      <c r="O1893">
        <v>48</v>
      </c>
      <c r="P1893" t="s">
        <v>36</v>
      </c>
      <c r="Q1893" t="s">
        <v>37</v>
      </c>
      <c r="R1893" s="1">
        <v>0.1</v>
      </c>
      <c r="S1893">
        <f t="shared" si="116"/>
        <v>66.599999999999994</v>
      </c>
      <c r="T1893">
        <f>IFERROR(VLOOKUP(A1893,Table1[[Customer ID]:[Discount Amount]], 6, FALSE),"Not Found")</f>
        <v>74</v>
      </c>
      <c r="U1893" t="str">
        <f t="shared" si="117"/>
        <v>Debit Card</v>
      </c>
      <c r="V1893" s="4" t="str">
        <f t="shared" si="118"/>
        <v>Normal</v>
      </c>
      <c r="W1893" s="4" t="str">
        <f t="shared" si="119"/>
        <v>Poor</v>
      </c>
      <c r="X1893" s="4">
        <f>AVERAGE(Table1[Purchase Amount])</f>
        <v>129.48419400000012</v>
      </c>
    </row>
    <row r="1894" spans="1:24" ht="15" customHeight="1" x14ac:dyDescent="0.25">
      <c r="A1894">
        <v>1893</v>
      </c>
      <c r="B1894">
        <v>39</v>
      </c>
      <c r="C1894" t="s">
        <v>27</v>
      </c>
      <c r="D1894" t="s">
        <v>96</v>
      </c>
      <c r="E1894" t="s">
        <v>77</v>
      </c>
      <c r="F1894" s="2">
        <v>30</v>
      </c>
      <c r="G1894" t="s">
        <v>19</v>
      </c>
      <c r="H1894" t="s">
        <v>31</v>
      </c>
      <c r="I1894" t="s">
        <v>74</v>
      </c>
      <c r="J1894" t="s">
        <v>47</v>
      </c>
      <c r="K1894">
        <v>4.5999999999999996</v>
      </c>
      <c r="L1894" t="s">
        <v>23</v>
      </c>
      <c r="M1894" t="s">
        <v>41</v>
      </c>
      <c r="N1894" t="s">
        <v>23</v>
      </c>
      <c r="O1894">
        <v>12</v>
      </c>
      <c r="P1894" t="s">
        <v>62</v>
      </c>
      <c r="Q1894" t="s">
        <v>26</v>
      </c>
      <c r="R1894" s="1">
        <v>0.1</v>
      </c>
      <c r="S1894">
        <f t="shared" si="116"/>
        <v>27</v>
      </c>
      <c r="T1894">
        <f>IFERROR(VLOOKUP(A1894,Table1[[Customer ID]:[Discount Amount]], 6, FALSE),"Not Found")</f>
        <v>30</v>
      </c>
      <c r="U1894" t="str">
        <f t="shared" si="117"/>
        <v>Venmo</v>
      </c>
      <c r="V1894" s="4" t="str">
        <f t="shared" si="118"/>
        <v>Normal</v>
      </c>
      <c r="W1894" s="4" t="str">
        <f t="shared" si="119"/>
        <v>Good</v>
      </c>
      <c r="X1894" s="4">
        <f>AVERAGE(Table1[Purchase Amount])</f>
        <v>129.48419400000012</v>
      </c>
    </row>
    <row r="1895" spans="1:24" ht="15" customHeight="1" x14ac:dyDescent="0.25">
      <c r="A1895">
        <v>1894</v>
      </c>
      <c r="B1895">
        <v>28</v>
      </c>
      <c r="C1895" t="s">
        <v>27</v>
      </c>
      <c r="D1895" t="s">
        <v>157</v>
      </c>
      <c r="E1895" t="s">
        <v>18</v>
      </c>
      <c r="F1895" s="2">
        <v>20</v>
      </c>
      <c r="G1895" t="s">
        <v>143</v>
      </c>
      <c r="H1895" t="s">
        <v>45</v>
      </c>
      <c r="I1895" t="s">
        <v>46</v>
      </c>
      <c r="J1895" t="s">
        <v>57</v>
      </c>
      <c r="K1895">
        <v>3.7</v>
      </c>
      <c r="L1895" t="s">
        <v>23</v>
      </c>
      <c r="M1895" t="s">
        <v>61</v>
      </c>
      <c r="N1895" t="s">
        <v>23</v>
      </c>
      <c r="O1895">
        <v>10</v>
      </c>
      <c r="P1895" t="s">
        <v>58</v>
      </c>
      <c r="Q1895" t="s">
        <v>89</v>
      </c>
      <c r="R1895" s="1">
        <v>0.1</v>
      </c>
      <c r="S1895">
        <f t="shared" si="116"/>
        <v>18</v>
      </c>
      <c r="T1895">
        <f>IFERROR(VLOOKUP(A1895,Table1[[Customer ID]:[Discount Amount]], 6, FALSE),"Not Found")</f>
        <v>20</v>
      </c>
      <c r="U1895" t="str">
        <f t="shared" si="117"/>
        <v>PayPal</v>
      </c>
      <c r="V1895" s="4" t="str">
        <f t="shared" si="118"/>
        <v>Normal</v>
      </c>
      <c r="W1895" s="4" t="str">
        <f t="shared" si="119"/>
        <v>Good</v>
      </c>
      <c r="X1895" s="4">
        <f>AVERAGE(Table1[Purchase Amount])</f>
        <v>129.48419400000012</v>
      </c>
    </row>
    <row r="1896" spans="1:24" ht="15" customHeight="1" x14ac:dyDescent="0.25">
      <c r="A1896">
        <v>1895</v>
      </c>
      <c r="B1896">
        <v>42</v>
      </c>
      <c r="C1896" t="s">
        <v>27</v>
      </c>
      <c r="D1896" t="s">
        <v>83</v>
      </c>
      <c r="E1896" t="s">
        <v>18</v>
      </c>
      <c r="F1896" s="2">
        <v>90</v>
      </c>
      <c r="G1896" t="s">
        <v>150</v>
      </c>
      <c r="H1896" t="s">
        <v>31</v>
      </c>
      <c r="I1896" t="s">
        <v>66</v>
      </c>
      <c r="J1896" t="s">
        <v>47</v>
      </c>
      <c r="K1896">
        <v>2.5</v>
      </c>
      <c r="L1896" t="s">
        <v>23</v>
      </c>
      <c r="M1896" t="s">
        <v>35</v>
      </c>
      <c r="N1896" t="s">
        <v>23</v>
      </c>
      <c r="O1896">
        <v>48</v>
      </c>
      <c r="P1896" t="s">
        <v>36</v>
      </c>
      <c r="Q1896" t="s">
        <v>68</v>
      </c>
      <c r="R1896" s="1">
        <v>0.1</v>
      </c>
      <c r="S1896">
        <f t="shared" si="116"/>
        <v>81</v>
      </c>
      <c r="T1896">
        <f>IFERROR(VLOOKUP(A1896,Table1[[Customer ID]:[Discount Amount]], 6, FALSE),"Not Found")</f>
        <v>90</v>
      </c>
      <c r="U1896" t="str">
        <f t="shared" si="117"/>
        <v>Debit Card</v>
      </c>
      <c r="V1896" s="4" t="str">
        <f t="shared" si="118"/>
        <v>Normal</v>
      </c>
      <c r="W1896" s="4" t="str">
        <f t="shared" si="119"/>
        <v>Poor</v>
      </c>
      <c r="X1896" s="4">
        <f>AVERAGE(Table1[Purchase Amount])</f>
        <v>129.48419400000012</v>
      </c>
    </row>
    <row r="1897" spans="1:24" ht="15" customHeight="1" x14ac:dyDescent="0.25">
      <c r="A1897">
        <v>1896</v>
      </c>
      <c r="B1897">
        <v>31</v>
      </c>
      <c r="C1897" t="s">
        <v>27</v>
      </c>
      <c r="D1897" t="s">
        <v>109</v>
      </c>
      <c r="E1897" t="s">
        <v>18</v>
      </c>
      <c r="F1897" s="2">
        <v>61</v>
      </c>
      <c r="G1897" t="s">
        <v>155</v>
      </c>
      <c r="H1897" t="s">
        <v>45</v>
      </c>
      <c r="I1897" t="s">
        <v>91</v>
      </c>
      <c r="J1897" t="s">
        <v>47</v>
      </c>
      <c r="K1897">
        <v>4.5</v>
      </c>
      <c r="L1897" t="s">
        <v>23</v>
      </c>
      <c r="M1897" t="s">
        <v>61</v>
      </c>
      <c r="N1897" t="s">
        <v>23</v>
      </c>
      <c r="O1897">
        <v>3</v>
      </c>
      <c r="P1897" t="s">
        <v>36</v>
      </c>
      <c r="Q1897" t="s">
        <v>42</v>
      </c>
      <c r="R1897" s="1">
        <v>0.1</v>
      </c>
      <c r="S1897">
        <f t="shared" si="116"/>
        <v>54.9</v>
      </c>
      <c r="T1897">
        <f>IFERROR(VLOOKUP(A1897,Table1[[Customer ID]:[Discount Amount]], 6, FALSE),"Not Found")</f>
        <v>61</v>
      </c>
      <c r="U1897" t="str">
        <f t="shared" si="117"/>
        <v>Debit Card</v>
      </c>
      <c r="V1897" s="4" t="str">
        <f t="shared" si="118"/>
        <v>Normal</v>
      </c>
      <c r="W1897" s="4" t="str">
        <f t="shared" si="119"/>
        <v>Good</v>
      </c>
      <c r="X1897" s="4">
        <f>AVERAGE(Table1[Purchase Amount])</f>
        <v>129.48419400000012</v>
      </c>
    </row>
    <row r="1898" spans="1:24" ht="15" customHeight="1" x14ac:dyDescent="0.25">
      <c r="A1898">
        <v>1897</v>
      </c>
      <c r="B1898">
        <v>57</v>
      </c>
      <c r="C1898" t="s">
        <v>27</v>
      </c>
      <c r="D1898" t="s">
        <v>121</v>
      </c>
      <c r="E1898" t="s">
        <v>98</v>
      </c>
      <c r="F1898" s="2">
        <v>51</v>
      </c>
      <c r="G1898" t="s">
        <v>158</v>
      </c>
      <c r="H1898" t="s">
        <v>31</v>
      </c>
      <c r="I1898" t="s">
        <v>133</v>
      </c>
      <c r="J1898" t="s">
        <v>47</v>
      </c>
      <c r="K1898">
        <v>2.9</v>
      </c>
      <c r="L1898" t="s">
        <v>23</v>
      </c>
      <c r="M1898" t="s">
        <v>24</v>
      </c>
      <c r="N1898" t="s">
        <v>23</v>
      </c>
      <c r="O1898">
        <v>19</v>
      </c>
      <c r="P1898" t="s">
        <v>62</v>
      </c>
      <c r="Q1898" t="s">
        <v>42</v>
      </c>
      <c r="R1898" s="1">
        <v>0.1</v>
      </c>
      <c r="S1898">
        <f t="shared" si="116"/>
        <v>45.9</v>
      </c>
      <c r="T1898">
        <f>IFERROR(VLOOKUP(A1898,Table1[[Customer ID]:[Discount Amount]], 6, FALSE),"Not Found")</f>
        <v>51</v>
      </c>
      <c r="U1898" t="str">
        <f t="shared" si="117"/>
        <v>Venmo</v>
      </c>
      <c r="V1898" s="4" t="str">
        <f t="shared" si="118"/>
        <v>Normal</v>
      </c>
      <c r="W1898" s="4" t="str">
        <f t="shared" si="119"/>
        <v>Poor</v>
      </c>
      <c r="X1898" s="4">
        <f>AVERAGE(Table1[Purchase Amount])</f>
        <v>129.48419400000012</v>
      </c>
    </row>
    <row r="1899" spans="1:24" ht="15" customHeight="1" x14ac:dyDescent="0.25">
      <c r="A1899">
        <v>1898</v>
      </c>
      <c r="B1899">
        <v>53</v>
      </c>
      <c r="C1899" t="s">
        <v>27</v>
      </c>
      <c r="D1899" t="s">
        <v>28</v>
      </c>
      <c r="E1899" t="s">
        <v>29</v>
      </c>
      <c r="F1899" s="2">
        <v>97</v>
      </c>
      <c r="G1899" t="s">
        <v>148</v>
      </c>
      <c r="H1899" t="s">
        <v>45</v>
      </c>
      <c r="I1899" t="s">
        <v>147</v>
      </c>
      <c r="J1899" t="s">
        <v>22</v>
      </c>
      <c r="K1899">
        <v>2.9</v>
      </c>
      <c r="L1899" t="s">
        <v>23</v>
      </c>
      <c r="M1899" t="s">
        <v>35</v>
      </c>
      <c r="N1899" t="s">
        <v>23</v>
      </c>
      <c r="O1899">
        <v>11</v>
      </c>
      <c r="P1899" t="s">
        <v>36</v>
      </c>
      <c r="Q1899" t="s">
        <v>89</v>
      </c>
      <c r="R1899" s="1">
        <v>0.1</v>
      </c>
      <c r="S1899">
        <f t="shared" si="116"/>
        <v>87.3</v>
      </c>
      <c r="T1899">
        <f>IFERROR(VLOOKUP(A1899,Table1[[Customer ID]:[Discount Amount]], 6, FALSE),"Not Found")</f>
        <v>97</v>
      </c>
      <c r="U1899" t="str">
        <f t="shared" si="117"/>
        <v>Debit Card</v>
      </c>
      <c r="V1899" s="4" t="str">
        <f t="shared" si="118"/>
        <v>Normal</v>
      </c>
      <c r="W1899" s="4" t="str">
        <f t="shared" si="119"/>
        <v>Poor</v>
      </c>
      <c r="X1899" s="4">
        <f>AVERAGE(Table1[Purchase Amount])</f>
        <v>129.48419400000012</v>
      </c>
    </row>
    <row r="1900" spans="1:24" ht="15" customHeight="1" x14ac:dyDescent="0.25">
      <c r="A1900">
        <v>1899</v>
      </c>
      <c r="B1900">
        <v>59</v>
      </c>
      <c r="C1900" t="s">
        <v>27</v>
      </c>
      <c r="D1900" t="s">
        <v>99</v>
      </c>
      <c r="E1900" t="s">
        <v>18</v>
      </c>
      <c r="F1900" s="2">
        <v>97</v>
      </c>
      <c r="G1900" t="s">
        <v>152</v>
      </c>
      <c r="H1900" t="s">
        <v>45</v>
      </c>
      <c r="I1900" t="s">
        <v>87</v>
      </c>
      <c r="J1900" t="s">
        <v>47</v>
      </c>
      <c r="K1900">
        <v>3.5</v>
      </c>
      <c r="L1900" t="s">
        <v>23</v>
      </c>
      <c r="M1900" t="s">
        <v>79</v>
      </c>
      <c r="N1900" t="s">
        <v>23</v>
      </c>
      <c r="O1900">
        <v>25</v>
      </c>
      <c r="P1900" t="s">
        <v>62</v>
      </c>
      <c r="Q1900" t="s">
        <v>42</v>
      </c>
      <c r="R1900" s="1">
        <v>0.1</v>
      </c>
      <c r="S1900">
        <f t="shared" si="116"/>
        <v>87.3</v>
      </c>
      <c r="T1900">
        <f>IFERROR(VLOOKUP(A1900,Table1[[Customer ID]:[Discount Amount]], 6, FALSE),"Not Found")</f>
        <v>97</v>
      </c>
      <c r="U1900" t="str">
        <f t="shared" si="117"/>
        <v>Venmo</v>
      </c>
      <c r="V1900" s="4" t="str">
        <f t="shared" si="118"/>
        <v>Normal</v>
      </c>
      <c r="W1900" s="4" t="str">
        <f t="shared" si="119"/>
        <v>Good</v>
      </c>
      <c r="X1900" s="4">
        <f>AVERAGE(Table1[Purchase Amount])</f>
        <v>129.48419400000012</v>
      </c>
    </row>
    <row r="1901" spans="1:24" ht="15" customHeight="1" x14ac:dyDescent="0.25">
      <c r="A1901">
        <v>1900</v>
      </c>
      <c r="B1901">
        <v>32</v>
      </c>
      <c r="C1901" t="s">
        <v>27</v>
      </c>
      <c r="D1901" t="s">
        <v>54</v>
      </c>
      <c r="E1901" t="s">
        <v>18</v>
      </c>
      <c r="F1901" s="2">
        <v>40</v>
      </c>
      <c r="G1901" t="s">
        <v>101</v>
      </c>
      <c r="H1901" t="s">
        <v>45</v>
      </c>
      <c r="I1901" t="s">
        <v>125</v>
      </c>
      <c r="J1901" t="s">
        <v>22</v>
      </c>
      <c r="K1901">
        <v>4.2</v>
      </c>
      <c r="L1901" t="s">
        <v>23</v>
      </c>
      <c r="M1901" t="s">
        <v>48</v>
      </c>
      <c r="N1901" t="s">
        <v>23</v>
      </c>
      <c r="O1901">
        <v>42</v>
      </c>
      <c r="P1901" t="s">
        <v>58</v>
      </c>
      <c r="Q1901" t="s">
        <v>26</v>
      </c>
      <c r="R1901" s="1">
        <v>0.1</v>
      </c>
      <c r="S1901">
        <f t="shared" si="116"/>
        <v>36</v>
      </c>
      <c r="T1901">
        <f>IFERROR(VLOOKUP(A1901,Table1[[Customer ID]:[Discount Amount]], 6, FALSE),"Not Found")</f>
        <v>40</v>
      </c>
      <c r="U1901" t="str">
        <f t="shared" si="117"/>
        <v>PayPal</v>
      </c>
      <c r="V1901" s="4" t="str">
        <f t="shared" si="118"/>
        <v>Normal</v>
      </c>
      <c r="W1901" s="4" t="str">
        <f t="shared" si="119"/>
        <v>Good</v>
      </c>
      <c r="X1901" s="4">
        <f>AVERAGE(Table1[Purchase Amount])</f>
        <v>129.48419400000012</v>
      </c>
    </row>
    <row r="1902" spans="1:24" ht="15" customHeight="1" x14ac:dyDescent="0.25">
      <c r="A1902">
        <v>1901</v>
      </c>
      <c r="B1902">
        <v>65</v>
      </c>
      <c r="C1902" t="s">
        <v>27</v>
      </c>
      <c r="D1902" t="s">
        <v>50</v>
      </c>
      <c r="E1902" t="s">
        <v>29</v>
      </c>
      <c r="F1902" s="2">
        <v>85</v>
      </c>
      <c r="G1902" t="s">
        <v>141</v>
      </c>
      <c r="H1902" t="s">
        <v>55</v>
      </c>
      <c r="I1902" t="s">
        <v>74</v>
      </c>
      <c r="J1902" t="s">
        <v>57</v>
      </c>
      <c r="K1902">
        <v>3.3</v>
      </c>
      <c r="L1902" t="s">
        <v>23</v>
      </c>
      <c r="M1902" t="s">
        <v>35</v>
      </c>
      <c r="N1902" t="s">
        <v>23</v>
      </c>
      <c r="O1902">
        <v>34</v>
      </c>
      <c r="P1902" t="s">
        <v>25</v>
      </c>
      <c r="Q1902" t="s">
        <v>37</v>
      </c>
      <c r="R1902" s="1">
        <v>0.1</v>
      </c>
      <c r="S1902">
        <f t="shared" si="116"/>
        <v>76.5</v>
      </c>
      <c r="T1902">
        <f>IFERROR(VLOOKUP(A1902,Table1[[Customer ID]:[Discount Amount]], 6, FALSE),"Not Found")</f>
        <v>85</v>
      </c>
      <c r="U1902" t="str">
        <f t="shared" si="117"/>
        <v>Cash</v>
      </c>
      <c r="V1902" s="4" t="str">
        <f t="shared" si="118"/>
        <v>Normal</v>
      </c>
      <c r="W1902" s="4" t="str">
        <f t="shared" si="119"/>
        <v>Good</v>
      </c>
      <c r="X1902" s="4">
        <f>AVERAGE(Table1[Purchase Amount])</f>
        <v>129.48419400000012</v>
      </c>
    </row>
    <row r="1903" spans="1:24" ht="15" customHeight="1" x14ac:dyDescent="0.25">
      <c r="A1903">
        <v>1902</v>
      </c>
      <c r="B1903">
        <v>56</v>
      </c>
      <c r="C1903" t="s">
        <v>27</v>
      </c>
      <c r="D1903" t="s">
        <v>105</v>
      </c>
      <c r="E1903" t="s">
        <v>18</v>
      </c>
      <c r="F1903" s="2">
        <v>76</v>
      </c>
      <c r="G1903" t="s">
        <v>150</v>
      </c>
      <c r="H1903" t="s">
        <v>55</v>
      </c>
      <c r="I1903" t="s">
        <v>56</v>
      </c>
      <c r="J1903" t="s">
        <v>22</v>
      </c>
      <c r="K1903">
        <v>3.9</v>
      </c>
      <c r="L1903" t="s">
        <v>23</v>
      </c>
      <c r="M1903" t="s">
        <v>48</v>
      </c>
      <c r="N1903" t="s">
        <v>23</v>
      </c>
      <c r="O1903">
        <v>50</v>
      </c>
      <c r="P1903" t="s">
        <v>25</v>
      </c>
      <c r="Q1903" t="s">
        <v>37</v>
      </c>
      <c r="R1903" s="1">
        <v>0.1</v>
      </c>
      <c r="S1903">
        <f t="shared" si="116"/>
        <v>68.400000000000006</v>
      </c>
      <c r="T1903">
        <f>IFERROR(VLOOKUP(A1903,Table1[[Customer ID]:[Discount Amount]], 6, FALSE),"Not Found")</f>
        <v>76</v>
      </c>
      <c r="U1903" t="str">
        <f t="shared" si="117"/>
        <v>Cash</v>
      </c>
      <c r="V1903" s="4" t="str">
        <f t="shared" si="118"/>
        <v>Normal</v>
      </c>
      <c r="W1903" s="4" t="str">
        <f t="shared" si="119"/>
        <v>Good</v>
      </c>
      <c r="X1903" s="4">
        <f>AVERAGE(Table1[Purchase Amount])</f>
        <v>129.48419400000012</v>
      </c>
    </row>
    <row r="1904" spans="1:24" ht="15" customHeight="1" x14ac:dyDescent="0.25">
      <c r="A1904">
        <v>1903</v>
      </c>
      <c r="B1904">
        <v>31</v>
      </c>
      <c r="C1904" t="s">
        <v>27</v>
      </c>
      <c r="D1904" t="s">
        <v>121</v>
      </c>
      <c r="E1904" t="s">
        <v>98</v>
      </c>
      <c r="F1904" s="2">
        <v>22</v>
      </c>
      <c r="G1904" t="s">
        <v>110</v>
      </c>
      <c r="H1904" t="s">
        <v>55</v>
      </c>
      <c r="I1904" t="s">
        <v>21</v>
      </c>
      <c r="J1904" t="s">
        <v>33</v>
      </c>
      <c r="K1904">
        <v>5</v>
      </c>
      <c r="L1904" t="s">
        <v>23</v>
      </c>
      <c r="M1904" t="s">
        <v>48</v>
      </c>
      <c r="N1904" t="s">
        <v>23</v>
      </c>
      <c r="O1904">
        <v>21</v>
      </c>
      <c r="P1904" t="s">
        <v>62</v>
      </c>
      <c r="Q1904" t="s">
        <v>42</v>
      </c>
      <c r="R1904" s="1">
        <v>0.1</v>
      </c>
      <c r="S1904">
        <f t="shared" si="116"/>
        <v>19.8</v>
      </c>
      <c r="T1904">
        <f>IFERROR(VLOOKUP(A1904,Table1[[Customer ID]:[Discount Amount]], 6, FALSE),"Not Found")</f>
        <v>22</v>
      </c>
      <c r="U1904" t="str">
        <f t="shared" si="117"/>
        <v>Venmo</v>
      </c>
      <c r="V1904" s="4" t="str">
        <f t="shared" si="118"/>
        <v>Normal</v>
      </c>
      <c r="W1904" s="4" t="str">
        <f t="shared" si="119"/>
        <v>Good</v>
      </c>
      <c r="X1904" s="4">
        <f>AVERAGE(Table1[Purchase Amount])</f>
        <v>129.48419400000012</v>
      </c>
    </row>
    <row r="1905" spans="1:24" ht="15" customHeight="1" x14ac:dyDescent="0.25">
      <c r="A1905">
        <v>1904</v>
      </c>
      <c r="B1905">
        <v>59</v>
      </c>
      <c r="C1905" t="s">
        <v>27</v>
      </c>
      <c r="D1905" t="s">
        <v>99</v>
      </c>
      <c r="E1905" t="s">
        <v>18</v>
      </c>
      <c r="F1905" s="2">
        <v>63</v>
      </c>
      <c r="G1905" t="s">
        <v>134</v>
      </c>
      <c r="H1905" t="s">
        <v>31</v>
      </c>
      <c r="I1905" t="s">
        <v>133</v>
      </c>
      <c r="J1905" t="s">
        <v>57</v>
      </c>
      <c r="K1905">
        <v>3.3</v>
      </c>
      <c r="L1905" t="s">
        <v>23</v>
      </c>
      <c r="M1905" t="s">
        <v>24</v>
      </c>
      <c r="N1905" t="s">
        <v>23</v>
      </c>
      <c r="O1905">
        <v>37</v>
      </c>
      <c r="P1905" t="s">
        <v>88</v>
      </c>
      <c r="Q1905" t="s">
        <v>26</v>
      </c>
      <c r="R1905" s="1">
        <v>0.1</v>
      </c>
      <c r="S1905">
        <f t="shared" si="116"/>
        <v>56.7</v>
      </c>
      <c r="T1905">
        <f>IFERROR(VLOOKUP(A1905,Table1[[Customer ID]:[Discount Amount]], 6, FALSE),"Not Found")</f>
        <v>63</v>
      </c>
      <c r="U1905" t="str">
        <f t="shared" si="117"/>
        <v>Bank Transfer</v>
      </c>
      <c r="V1905" s="4" t="str">
        <f t="shared" si="118"/>
        <v>Normal</v>
      </c>
      <c r="W1905" s="4" t="str">
        <f t="shared" si="119"/>
        <v>Good</v>
      </c>
      <c r="X1905" s="4">
        <f>AVERAGE(Table1[Purchase Amount])</f>
        <v>129.48419400000012</v>
      </c>
    </row>
    <row r="1906" spans="1:24" ht="15" customHeight="1" x14ac:dyDescent="0.25">
      <c r="A1906">
        <v>1905</v>
      </c>
      <c r="B1906">
        <v>22</v>
      </c>
      <c r="C1906" t="s">
        <v>27</v>
      </c>
      <c r="D1906" t="s">
        <v>17</v>
      </c>
      <c r="E1906" t="s">
        <v>18</v>
      </c>
      <c r="F1906" s="2">
        <v>71</v>
      </c>
      <c r="G1906" t="s">
        <v>158</v>
      </c>
      <c r="H1906" t="s">
        <v>55</v>
      </c>
      <c r="I1906" t="s">
        <v>153</v>
      </c>
      <c r="J1906" t="s">
        <v>33</v>
      </c>
      <c r="K1906">
        <v>4.2</v>
      </c>
      <c r="L1906" t="s">
        <v>23</v>
      </c>
      <c r="M1906" t="s">
        <v>35</v>
      </c>
      <c r="N1906" t="s">
        <v>23</v>
      </c>
      <c r="O1906">
        <v>46</v>
      </c>
      <c r="P1906" t="s">
        <v>25</v>
      </c>
      <c r="Q1906" t="s">
        <v>42</v>
      </c>
      <c r="R1906" s="1">
        <v>0.1</v>
      </c>
      <c r="S1906">
        <f t="shared" si="116"/>
        <v>63.9</v>
      </c>
      <c r="T1906">
        <f>IFERROR(VLOOKUP(A1906,Table1[[Customer ID]:[Discount Amount]], 6, FALSE),"Not Found")</f>
        <v>71</v>
      </c>
      <c r="U1906" t="str">
        <f t="shared" si="117"/>
        <v>Cash</v>
      </c>
      <c r="V1906" s="4" t="str">
        <f t="shared" si="118"/>
        <v>Normal</v>
      </c>
      <c r="W1906" s="4" t="str">
        <f t="shared" si="119"/>
        <v>Good</v>
      </c>
      <c r="X1906" s="4">
        <f>AVERAGE(Table1[Purchase Amount])</f>
        <v>129.48419400000012</v>
      </c>
    </row>
    <row r="1907" spans="1:24" ht="15" customHeight="1" x14ac:dyDescent="0.25">
      <c r="A1907">
        <v>1906</v>
      </c>
      <c r="B1907">
        <v>47</v>
      </c>
      <c r="C1907" t="s">
        <v>27</v>
      </c>
      <c r="D1907" t="s">
        <v>151</v>
      </c>
      <c r="E1907" t="s">
        <v>98</v>
      </c>
      <c r="F1907" s="2">
        <v>35</v>
      </c>
      <c r="G1907" t="s">
        <v>161</v>
      </c>
      <c r="H1907" t="s">
        <v>31</v>
      </c>
      <c r="I1907" t="s">
        <v>147</v>
      </c>
      <c r="J1907" t="s">
        <v>57</v>
      </c>
      <c r="K1907">
        <v>4.9000000000000004</v>
      </c>
      <c r="L1907" t="s">
        <v>23</v>
      </c>
      <c r="M1907" t="s">
        <v>41</v>
      </c>
      <c r="N1907" t="s">
        <v>23</v>
      </c>
      <c r="O1907">
        <v>14</v>
      </c>
      <c r="P1907" t="s">
        <v>88</v>
      </c>
      <c r="Q1907" t="s">
        <v>89</v>
      </c>
      <c r="R1907" s="1">
        <v>0.1</v>
      </c>
      <c r="S1907">
        <f t="shared" si="116"/>
        <v>31.5</v>
      </c>
      <c r="T1907">
        <f>IFERROR(VLOOKUP(A1907,Table1[[Customer ID]:[Discount Amount]], 6, FALSE),"Not Found")</f>
        <v>35</v>
      </c>
      <c r="U1907" t="str">
        <f t="shared" si="117"/>
        <v>Bank Transfer</v>
      </c>
      <c r="V1907" s="4" t="str">
        <f t="shared" si="118"/>
        <v>Normal</v>
      </c>
      <c r="W1907" s="4" t="str">
        <f t="shared" si="119"/>
        <v>Good</v>
      </c>
      <c r="X1907" s="4">
        <f>AVERAGE(Table1[Purchase Amount])</f>
        <v>129.48419400000012</v>
      </c>
    </row>
    <row r="1908" spans="1:24" ht="15" customHeight="1" x14ac:dyDescent="0.25">
      <c r="A1908">
        <v>1907</v>
      </c>
      <c r="B1908">
        <v>23</v>
      </c>
      <c r="C1908" t="s">
        <v>27</v>
      </c>
      <c r="D1908" t="s">
        <v>104</v>
      </c>
      <c r="E1908" t="s">
        <v>29</v>
      </c>
      <c r="F1908" s="2">
        <v>30</v>
      </c>
      <c r="G1908" t="s">
        <v>84</v>
      </c>
      <c r="H1908" t="s">
        <v>31</v>
      </c>
      <c r="I1908" t="s">
        <v>93</v>
      </c>
      <c r="J1908" t="s">
        <v>33</v>
      </c>
      <c r="K1908">
        <v>4.5999999999999996</v>
      </c>
      <c r="L1908" t="s">
        <v>23</v>
      </c>
      <c r="M1908" t="s">
        <v>41</v>
      </c>
      <c r="N1908" t="s">
        <v>23</v>
      </c>
      <c r="O1908">
        <v>24</v>
      </c>
      <c r="P1908" t="s">
        <v>58</v>
      </c>
      <c r="Q1908" t="s">
        <v>89</v>
      </c>
      <c r="R1908" s="1">
        <v>0.1</v>
      </c>
      <c r="S1908">
        <f t="shared" si="116"/>
        <v>27</v>
      </c>
      <c r="T1908">
        <f>IFERROR(VLOOKUP(A1908,Table1[[Customer ID]:[Discount Amount]], 6, FALSE),"Not Found")</f>
        <v>30</v>
      </c>
      <c r="U1908" t="str">
        <f t="shared" si="117"/>
        <v>PayPal</v>
      </c>
      <c r="V1908" s="4" t="str">
        <f t="shared" si="118"/>
        <v>Normal</v>
      </c>
      <c r="W1908" s="4" t="str">
        <f t="shared" si="119"/>
        <v>Good</v>
      </c>
      <c r="X1908" s="4">
        <f>AVERAGE(Table1[Purchase Amount])</f>
        <v>129.48419400000012</v>
      </c>
    </row>
    <row r="1909" spans="1:24" ht="15" customHeight="1" x14ac:dyDescent="0.25">
      <c r="A1909">
        <v>1908</v>
      </c>
      <c r="B1909">
        <v>69</v>
      </c>
      <c r="C1909" t="s">
        <v>27</v>
      </c>
      <c r="D1909" t="s">
        <v>122</v>
      </c>
      <c r="E1909" t="s">
        <v>18</v>
      </c>
      <c r="F1909" s="2">
        <v>74</v>
      </c>
      <c r="G1909" t="s">
        <v>110</v>
      </c>
      <c r="H1909" t="s">
        <v>45</v>
      </c>
      <c r="I1909" t="s">
        <v>108</v>
      </c>
      <c r="J1909" t="s">
        <v>47</v>
      </c>
      <c r="K1909">
        <v>4.8</v>
      </c>
      <c r="L1909" t="s">
        <v>23</v>
      </c>
      <c r="M1909" t="s">
        <v>48</v>
      </c>
      <c r="N1909" t="s">
        <v>23</v>
      </c>
      <c r="O1909">
        <v>36</v>
      </c>
      <c r="P1909" t="s">
        <v>53</v>
      </c>
      <c r="Q1909" t="s">
        <v>63</v>
      </c>
      <c r="R1909" s="1">
        <v>0.1</v>
      </c>
      <c r="S1909">
        <f t="shared" si="116"/>
        <v>66.599999999999994</v>
      </c>
      <c r="T1909">
        <f>IFERROR(VLOOKUP(A1909,Table1[[Customer ID]:[Discount Amount]], 6, FALSE),"Not Found")</f>
        <v>74</v>
      </c>
      <c r="U1909" t="str">
        <f t="shared" si="117"/>
        <v>Credit Card</v>
      </c>
      <c r="V1909" s="4" t="str">
        <f t="shared" si="118"/>
        <v>Normal</v>
      </c>
      <c r="W1909" s="4" t="str">
        <f t="shared" si="119"/>
        <v>Good</v>
      </c>
      <c r="X1909" s="4">
        <f>AVERAGE(Table1[Purchase Amount])</f>
        <v>129.48419400000012</v>
      </c>
    </row>
    <row r="1910" spans="1:24" ht="15" customHeight="1" x14ac:dyDescent="0.25">
      <c r="A1910">
        <v>1909</v>
      </c>
      <c r="B1910">
        <v>18</v>
      </c>
      <c r="C1910" t="s">
        <v>27</v>
      </c>
      <c r="D1910" t="s">
        <v>129</v>
      </c>
      <c r="E1910" t="s">
        <v>29</v>
      </c>
      <c r="F1910" s="2">
        <v>71</v>
      </c>
      <c r="G1910" t="s">
        <v>160</v>
      </c>
      <c r="H1910" t="s">
        <v>20</v>
      </c>
      <c r="I1910" t="s">
        <v>103</v>
      </c>
      <c r="J1910" t="s">
        <v>22</v>
      </c>
      <c r="K1910">
        <v>2.7</v>
      </c>
      <c r="L1910" t="s">
        <v>23</v>
      </c>
      <c r="M1910" t="s">
        <v>79</v>
      </c>
      <c r="N1910" t="s">
        <v>23</v>
      </c>
      <c r="O1910">
        <v>19</v>
      </c>
      <c r="P1910" t="s">
        <v>36</v>
      </c>
      <c r="Q1910" t="s">
        <v>68</v>
      </c>
      <c r="R1910" s="1">
        <v>0.1</v>
      </c>
      <c r="S1910">
        <f t="shared" si="116"/>
        <v>63.9</v>
      </c>
      <c r="T1910">
        <f>IFERROR(VLOOKUP(A1910,Table1[[Customer ID]:[Discount Amount]], 6, FALSE),"Not Found")</f>
        <v>71</v>
      </c>
      <c r="U1910" t="str">
        <f t="shared" si="117"/>
        <v>Debit Card</v>
      </c>
      <c r="V1910" s="4" t="str">
        <f t="shared" si="118"/>
        <v>Normal</v>
      </c>
      <c r="W1910" s="4" t="str">
        <f t="shared" si="119"/>
        <v>Poor</v>
      </c>
      <c r="X1910" s="4">
        <f>AVERAGE(Table1[Purchase Amount])</f>
        <v>129.48419400000012</v>
      </c>
    </row>
    <row r="1911" spans="1:24" ht="15" customHeight="1" x14ac:dyDescent="0.25">
      <c r="A1911">
        <v>1910</v>
      </c>
      <c r="B1911">
        <v>50</v>
      </c>
      <c r="C1911" t="s">
        <v>27</v>
      </c>
      <c r="D1911" t="s">
        <v>127</v>
      </c>
      <c r="E1911" t="s">
        <v>18</v>
      </c>
      <c r="F1911" s="2">
        <v>84</v>
      </c>
      <c r="G1911" t="s">
        <v>70</v>
      </c>
      <c r="H1911" t="s">
        <v>55</v>
      </c>
      <c r="I1911" t="s">
        <v>40</v>
      </c>
      <c r="J1911" t="s">
        <v>33</v>
      </c>
      <c r="K1911">
        <v>4.3</v>
      </c>
      <c r="L1911" t="s">
        <v>23</v>
      </c>
      <c r="M1911" t="s">
        <v>48</v>
      </c>
      <c r="N1911" t="s">
        <v>23</v>
      </c>
      <c r="O1911">
        <v>12</v>
      </c>
      <c r="P1911" t="s">
        <v>53</v>
      </c>
      <c r="Q1911" t="s">
        <v>42</v>
      </c>
      <c r="R1911" s="1">
        <v>0.1</v>
      </c>
      <c r="S1911">
        <f t="shared" si="116"/>
        <v>75.599999999999994</v>
      </c>
      <c r="T1911">
        <f>IFERROR(VLOOKUP(A1911,Table1[[Customer ID]:[Discount Amount]], 6, FALSE),"Not Found")</f>
        <v>84</v>
      </c>
      <c r="U1911" t="str">
        <f t="shared" si="117"/>
        <v>Credit Card</v>
      </c>
      <c r="V1911" s="4" t="str">
        <f t="shared" si="118"/>
        <v>Normal</v>
      </c>
      <c r="W1911" s="4" t="str">
        <f t="shared" si="119"/>
        <v>Good</v>
      </c>
      <c r="X1911" s="4">
        <f>AVERAGE(Table1[Purchase Amount])</f>
        <v>129.48419400000012</v>
      </c>
    </row>
    <row r="1912" spans="1:24" ht="15" customHeight="1" x14ac:dyDescent="0.25">
      <c r="A1912">
        <v>1911</v>
      </c>
      <c r="B1912">
        <v>29</v>
      </c>
      <c r="C1912" t="s">
        <v>27</v>
      </c>
      <c r="D1912" t="s">
        <v>121</v>
      </c>
      <c r="E1912" t="s">
        <v>98</v>
      </c>
      <c r="F1912" s="2">
        <v>38</v>
      </c>
      <c r="G1912" t="s">
        <v>101</v>
      </c>
      <c r="H1912" t="s">
        <v>55</v>
      </c>
      <c r="I1912" t="s">
        <v>52</v>
      </c>
      <c r="J1912" t="s">
        <v>47</v>
      </c>
      <c r="K1912">
        <v>3.8</v>
      </c>
      <c r="L1912" t="s">
        <v>23</v>
      </c>
      <c r="M1912" t="s">
        <v>61</v>
      </c>
      <c r="N1912" t="s">
        <v>23</v>
      </c>
      <c r="O1912">
        <v>13</v>
      </c>
      <c r="P1912" t="s">
        <v>36</v>
      </c>
      <c r="Q1912" t="s">
        <v>37</v>
      </c>
      <c r="R1912" s="1">
        <v>0.1</v>
      </c>
      <c r="S1912">
        <f t="shared" si="116"/>
        <v>34.200000000000003</v>
      </c>
      <c r="T1912">
        <f>IFERROR(VLOOKUP(A1912,Table1[[Customer ID]:[Discount Amount]], 6, FALSE),"Not Found")</f>
        <v>38</v>
      </c>
      <c r="U1912" t="str">
        <f t="shared" si="117"/>
        <v>Debit Card</v>
      </c>
      <c r="V1912" s="4" t="str">
        <f t="shared" si="118"/>
        <v>Normal</v>
      </c>
      <c r="W1912" s="4" t="str">
        <f t="shared" si="119"/>
        <v>Good</v>
      </c>
      <c r="X1912" s="4">
        <f>AVERAGE(Table1[Purchase Amount])</f>
        <v>129.48419400000012</v>
      </c>
    </row>
    <row r="1913" spans="1:24" ht="15" customHeight="1" x14ac:dyDescent="0.25">
      <c r="A1913">
        <v>1912</v>
      </c>
      <c r="B1913">
        <v>65</v>
      </c>
      <c r="C1913" t="s">
        <v>27</v>
      </c>
      <c r="D1913" t="s">
        <v>50</v>
      </c>
      <c r="E1913" t="s">
        <v>29</v>
      </c>
      <c r="F1913" s="2">
        <v>81</v>
      </c>
      <c r="G1913" t="s">
        <v>150</v>
      </c>
      <c r="H1913" t="s">
        <v>31</v>
      </c>
      <c r="I1913" t="s">
        <v>85</v>
      </c>
      <c r="J1913" t="s">
        <v>33</v>
      </c>
      <c r="K1913">
        <v>4.9000000000000004</v>
      </c>
      <c r="L1913" t="s">
        <v>23</v>
      </c>
      <c r="M1913" t="s">
        <v>61</v>
      </c>
      <c r="N1913" t="s">
        <v>23</v>
      </c>
      <c r="O1913">
        <v>32</v>
      </c>
      <c r="P1913" t="s">
        <v>36</v>
      </c>
      <c r="Q1913" t="s">
        <v>68</v>
      </c>
      <c r="R1913" s="1">
        <v>0.1</v>
      </c>
      <c r="S1913">
        <f t="shared" si="116"/>
        <v>72.900000000000006</v>
      </c>
      <c r="T1913">
        <f>IFERROR(VLOOKUP(A1913,Table1[[Customer ID]:[Discount Amount]], 6, FALSE),"Not Found")</f>
        <v>81</v>
      </c>
      <c r="U1913" t="str">
        <f t="shared" si="117"/>
        <v>Debit Card</v>
      </c>
      <c r="V1913" s="4" t="str">
        <f t="shared" si="118"/>
        <v>Normal</v>
      </c>
      <c r="W1913" s="4" t="str">
        <f t="shared" si="119"/>
        <v>Good</v>
      </c>
      <c r="X1913" s="4">
        <f>AVERAGE(Table1[Purchase Amount])</f>
        <v>129.48419400000012</v>
      </c>
    </row>
    <row r="1914" spans="1:24" ht="15" customHeight="1" x14ac:dyDescent="0.25">
      <c r="A1914">
        <v>1913</v>
      </c>
      <c r="B1914">
        <v>29</v>
      </c>
      <c r="C1914" t="s">
        <v>27</v>
      </c>
      <c r="D1914" t="s">
        <v>127</v>
      </c>
      <c r="E1914" t="s">
        <v>18</v>
      </c>
      <c r="F1914" s="2">
        <v>56</v>
      </c>
      <c r="G1914" t="s">
        <v>92</v>
      </c>
      <c r="H1914" t="s">
        <v>55</v>
      </c>
      <c r="I1914" t="s">
        <v>103</v>
      </c>
      <c r="J1914" t="s">
        <v>22</v>
      </c>
      <c r="K1914">
        <v>3.4</v>
      </c>
      <c r="L1914" t="s">
        <v>23</v>
      </c>
      <c r="M1914" t="s">
        <v>41</v>
      </c>
      <c r="N1914" t="s">
        <v>23</v>
      </c>
      <c r="O1914">
        <v>5</v>
      </c>
      <c r="P1914" t="s">
        <v>53</v>
      </c>
      <c r="Q1914" t="s">
        <v>68</v>
      </c>
      <c r="R1914" s="1">
        <v>0.1</v>
      </c>
      <c r="S1914">
        <f t="shared" si="116"/>
        <v>50.4</v>
      </c>
      <c r="T1914">
        <f>IFERROR(VLOOKUP(A1914,Table1[[Customer ID]:[Discount Amount]], 6, FALSE),"Not Found")</f>
        <v>56</v>
      </c>
      <c r="U1914" t="str">
        <f t="shared" si="117"/>
        <v>Credit Card</v>
      </c>
      <c r="V1914" s="4" t="str">
        <f t="shared" si="118"/>
        <v>Normal</v>
      </c>
      <c r="W1914" s="4" t="str">
        <f t="shared" si="119"/>
        <v>Good</v>
      </c>
      <c r="X1914" s="4">
        <f>AVERAGE(Table1[Purchase Amount])</f>
        <v>129.48419400000012</v>
      </c>
    </row>
    <row r="1915" spans="1:24" ht="15" customHeight="1" x14ac:dyDescent="0.25">
      <c r="A1915">
        <v>1914</v>
      </c>
      <c r="B1915">
        <v>49</v>
      </c>
      <c r="C1915" t="s">
        <v>27</v>
      </c>
      <c r="D1915" t="s">
        <v>122</v>
      </c>
      <c r="E1915" t="s">
        <v>18</v>
      </c>
      <c r="F1915" s="2">
        <v>48</v>
      </c>
      <c r="G1915" t="s">
        <v>70</v>
      </c>
      <c r="H1915" t="s">
        <v>31</v>
      </c>
      <c r="I1915" t="s">
        <v>145</v>
      </c>
      <c r="J1915" t="s">
        <v>22</v>
      </c>
      <c r="K1915">
        <v>3.6</v>
      </c>
      <c r="L1915" t="s">
        <v>23</v>
      </c>
      <c r="M1915" t="s">
        <v>61</v>
      </c>
      <c r="N1915" t="s">
        <v>23</v>
      </c>
      <c r="O1915">
        <v>29</v>
      </c>
      <c r="P1915" t="s">
        <v>25</v>
      </c>
      <c r="Q1915" t="s">
        <v>49</v>
      </c>
      <c r="R1915" s="1">
        <v>0.1</v>
      </c>
      <c r="S1915">
        <f t="shared" si="116"/>
        <v>43.2</v>
      </c>
      <c r="T1915">
        <f>IFERROR(VLOOKUP(A1915,Table1[[Customer ID]:[Discount Amount]], 6, FALSE),"Not Found")</f>
        <v>48</v>
      </c>
      <c r="U1915" t="str">
        <f t="shared" si="117"/>
        <v>Cash</v>
      </c>
      <c r="V1915" s="4" t="str">
        <f t="shared" si="118"/>
        <v>Normal</v>
      </c>
      <c r="W1915" s="4" t="str">
        <f t="shared" si="119"/>
        <v>Good</v>
      </c>
      <c r="X1915" s="4">
        <f>AVERAGE(Table1[Purchase Amount])</f>
        <v>129.48419400000012</v>
      </c>
    </row>
    <row r="1916" spans="1:24" ht="15" customHeight="1" x14ac:dyDescent="0.25">
      <c r="A1916">
        <v>1915</v>
      </c>
      <c r="B1916">
        <v>28</v>
      </c>
      <c r="C1916" t="s">
        <v>27</v>
      </c>
      <c r="D1916" t="s">
        <v>54</v>
      </c>
      <c r="E1916" t="s">
        <v>18</v>
      </c>
      <c r="F1916" s="2">
        <v>97</v>
      </c>
      <c r="G1916" t="s">
        <v>148</v>
      </c>
      <c r="H1916" t="s">
        <v>45</v>
      </c>
      <c r="I1916" t="s">
        <v>93</v>
      </c>
      <c r="J1916" t="s">
        <v>47</v>
      </c>
      <c r="K1916">
        <v>3.4</v>
      </c>
      <c r="L1916" t="s">
        <v>23</v>
      </c>
      <c r="M1916" t="s">
        <v>24</v>
      </c>
      <c r="N1916" t="s">
        <v>23</v>
      </c>
      <c r="O1916">
        <v>40</v>
      </c>
      <c r="P1916" t="s">
        <v>53</v>
      </c>
      <c r="Q1916" t="s">
        <v>89</v>
      </c>
      <c r="R1916" s="1">
        <v>0.1</v>
      </c>
      <c r="S1916">
        <f t="shared" si="116"/>
        <v>87.3</v>
      </c>
      <c r="T1916">
        <f>IFERROR(VLOOKUP(A1916,Table1[[Customer ID]:[Discount Amount]], 6, FALSE),"Not Found")</f>
        <v>97</v>
      </c>
      <c r="U1916" t="str">
        <f t="shared" si="117"/>
        <v>Credit Card</v>
      </c>
      <c r="V1916" s="4" t="str">
        <f t="shared" si="118"/>
        <v>Normal</v>
      </c>
      <c r="W1916" s="4" t="str">
        <f t="shared" si="119"/>
        <v>Good</v>
      </c>
      <c r="X1916" s="4">
        <f>AVERAGE(Table1[Purchase Amount])</f>
        <v>129.48419400000012</v>
      </c>
    </row>
    <row r="1917" spans="1:24" ht="15" customHeight="1" x14ac:dyDescent="0.25">
      <c r="A1917">
        <v>1916</v>
      </c>
      <c r="B1917">
        <v>51</v>
      </c>
      <c r="C1917" t="s">
        <v>27</v>
      </c>
      <c r="D1917" t="s">
        <v>104</v>
      </c>
      <c r="E1917" t="s">
        <v>29</v>
      </c>
      <c r="F1917" s="2">
        <v>74</v>
      </c>
      <c r="G1917" t="s">
        <v>51</v>
      </c>
      <c r="H1917" t="s">
        <v>31</v>
      </c>
      <c r="I1917" t="s">
        <v>87</v>
      </c>
      <c r="J1917" t="s">
        <v>47</v>
      </c>
      <c r="K1917">
        <v>4.7</v>
      </c>
      <c r="L1917" t="s">
        <v>23</v>
      </c>
      <c r="M1917" t="s">
        <v>41</v>
      </c>
      <c r="N1917" t="s">
        <v>23</v>
      </c>
      <c r="O1917">
        <v>44</v>
      </c>
      <c r="P1917" t="s">
        <v>25</v>
      </c>
      <c r="Q1917" t="s">
        <v>26</v>
      </c>
      <c r="R1917" s="1">
        <v>0.1</v>
      </c>
      <c r="S1917">
        <f t="shared" si="116"/>
        <v>66.599999999999994</v>
      </c>
      <c r="T1917">
        <f>IFERROR(VLOOKUP(A1917,Table1[[Customer ID]:[Discount Amount]], 6, FALSE),"Not Found")</f>
        <v>74</v>
      </c>
      <c r="U1917" t="str">
        <f t="shared" si="117"/>
        <v>Cash</v>
      </c>
      <c r="V1917" s="4" t="str">
        <f t="shared" si="118"/>
        <v>Normal</v>
      </c>
      <c r="W1917" s="4" t="str">
        <f t="shared" si="119"/>
        <v>Good</v>
      </c>
      <c r="X1917" s="4">
        <f>AVERAGE(Table1[Purchase Amount])</f>
        <v>129.48419400000012</v>
      </c>
    </row>
    <row r="1918" spans="1:24" ht="15" customHeight="1" x14ac:dyDescent="0.25">
      <c r="A1918">
        <v>1917</v>
      </c>
      <c r="B1918">
        <v>26</v>
      </c>
      <c r="C1918" t="s">
        <v>27</v>
      </c>
      <c r="D1918" t="s">
        <v>83</v>
      </c>
      <c r="E1918" t="s">
        <v>18</v>
      </c>
      <c r="F1918" s="2">
        <v>50</v>
      </c>
      <c r="G1918" t="s">
        <v>115</v>
      </c>
      <c r="H1918" t="s">
        <v>55</v>
      </c>
      <c r="I1918" t="s">
        <v>56</v>
      </c>
      <c r="J1918" t="s">
        <v>22</v>
      </c>
      <c r="K1918">
        <v>3</v>
      </c>
      <c r="L1918" t="s">
        <v>23</v>
      </c>
      <c r="M1918" t="s">
        <v>79</v>
      </c>
      <c r="N1918" t="s">
        <v>23</v>
      </c>
      <c r="O1918">
        <v>3</v>
      </c>
      <c r="P1918" t="s">
        <v>36</v>
      </c>
      <c r="Q1918" t="s">
        <v>68</v>
      </c>
      <c r="R1918" s="1">
        <v>0.1</v>
      </c>
      <c r="S1918">
        <f t="shared" si="116"/>
        <v>45</v>
      </c>
      <c r="T1918">
        <f>IFERROR(VLOOKUP(A1918,Table1[[Customer ID]:[Discount Amount]], 6, FALSE),"Not Found")</f>
        <v>50</v>
      </c>
      <c r="U1918" t="str">
        <f t="shared" si="117"/>
        <v>Debit Card</v>
      </c>
      <c r="V1918" s="4" t="str">
        <f t="shared" si="118"/>
        <v>Normal</v>
      </c>
      <c r="W1918" s="4" t="str">
        <f t="shared" si="119"/>
        <v>Good</v>
      </c>
      <c r="X1918" s="4">
        <f>AVERAGE(Table1[Purchase Amount])</f>
        <v>129.48419400000012</v>
      </c>
    </row>
    <row r="1919" spans="1:24" ht="15" customHeight="1" x14ac:dyDescent="0.25">
      <c r="A1919">
        <v>1918</v>
      </c>
      <c r="B1919">
        <v>38</v>
      </c>
      <c r="C1919" t="s">
        <v>27</v>
      </c>
      <c r="D1919" t="s">
        <v>122</v>
      </c>
      <c r="E1919" t="s">
        <v>18</v>
      </c>
      <c r="F1919" s="2">
        <v>71</v>
      </c>
      <c r="G1919" t="s">
        <v>135</v>
      </c>
      <c r="H1919" t="s">
        <v>45</v>
      </c>
      <c r="I1919" t="s">
        <v>40</v>
      </c>
      <c r="J1919" t="s">
        <v>22</v>
      </c>
      <c r="K1919">
        <v>3.4</v>
      </c>
      <c r="L1919" t="s">
        <v>23</v>
      </c>
      <c r="M1919" t="s">
        <v>35</v>
      </c>
      <c r="N1919" t="s">
        <v>23</v>
      </c>
      <c r="O1919">
        <v>35</v>
      </c>
      <c r="P1919" t="s">
        <v>58</v>
      </c>
      <c r="Q1919" t="s">
        <v>68</v>
      </c>
      <c r="R1919" s="1">
        <v>0.1</v>
      </c>
      <c r="S1919">
        <f t="shared" si="116"/>
        <v>63.9</v>
      </c>
      <c r="T1919">
        <f>IFERROR(VLOOKUP(A1919,Table1[[Customer ID]:[Discount Amount]], 6, FALSE),"Not Found")</f>
        <v>71</v>
      </c>
      <c r="U1919" t="str">
        <f t="shared" si="117"/>
        <v>PayPal</v>
      </c>
      <c r="V1919" s="4" t="str">
        <f t="shared" si="118"/>
        <v>Normal</v>
      </c>
      <c r="W1919" s="4" t="str">
        <f t="shared" si="119"/>
        <v>Good</v>
      </c>
      <c r="X1919" s="4">
        <f>AVERAGE(Table1[Purchase Amount])</f>
        <v>129.48419400000012</v>
      </c>
    </row>
    <row r="1920" spans="1:24" ht="15" customHeight="1" x14ac:dyDescent="0.25">
      <c r="A1920">
        <v>1919</v>
      </c>
      <c r="B1920">
        <v>35</v>
      </c>
      <c r="C1920" t="s">
        <v>27</v>
      </c>
      <c r="D1920" t="s">
        <v>122</v>
      </c>
      <c r="E1920" t="s">
        <v>18</v>
      </c>
      <c r="F1920" s="2">
        <v>33</v>
      </c>
      <c r="G1920" t="s">
        <v>161</v>
      </c>
      <c r="H1920" t="s">
        <v>55</v>
      </c>
      <c r="I1920" t="s">
        <v>66</v>
      </c>
      <c r="J1920" t="s">
        <v>57</v>
      </c>
      <c r="K1920">
        <v>4.5999999999999996</v>
      </c>
      <c r="L1920" t="s">
        <v>23</v>
      </c>
      <c r="M1920" t="s">
        <v>24</v>
      </c>
      <c r="N1920" t="s">
        <v>23</v>
      </c>
      <c r="O1920">
        <v>33</v>
      </c>
      <c r="P1920" t="s">
        <v>36</v>
      </c>
      <c r="Q1920" t="s">
        <v>42</v>
      </c>
      <c r="R1920" s="1">
        <v>0.1</v>
      </c>
      <c r="S1920">
        <f t="shared" si="116"/>
        <v>29.7</v>
      </c>
      <c r="T1920">
        <f>IFERROR(VLOOKUP(A1920,Table1[[Customer ID]:[Discount Amount]], 6, FALSE),"Not Found")</f>
        <v>33</v>
      </c>
      <c r="U1920" t="str">
        <f t="shared" si="117"/>
        <v>Debit Card</v>
      </c>
      <c r="V1920" s="4" t="str">
        <f t="shared" si="118"/>
        <v>Normal</v>
      </c>
      <c r="W1920" s="4" t="str">
        <f t="shared" si="119"/>
        <v>Good</v>
      </c>
      <c r="X1920" s="4">
        <f>AVERAGE(Table1[Purchase Amount])</f>
        <v>129.48419400000012</v>
      </c>
    </row>
    <row r="1921" spans="1:24" ht="15" customHeight="1" x14ac:dyDescent="0.25">
      <c r="A1921">
        <v>1920</v>
      </c>
      <c r="B1921">
        <v>34</v>
      </c>
      <c r="C1921" t="s">
        <v>27</v>
      </c>
      <c r="D1921" t="s">
        <v>104</v>
      </c>
      <c r="E1921" t="s">
        <v>29</v>
      </c>
      <c r="F1921" s="2">
        <v>56</v>
      </c>
      <c r="G1921" t="s">
        <v>138</v>
      </c>
      <c r="H1921" t="s">
        <v>31</v>
      </c>
      <c r="I1921" t="s">
        <v>21</v>
      </c>
      <c r="J1921" t="s">
        <v>57</v>
      </c>
      <c r="K1921">
        <v>3.1</v>
      </c>
      <c r="L1921" t="s">
        <v>23</v>
      </c>
      <c r="M1921" t="s">
        <v>61</v>
      </c>
      <c r="N1921" t="s">
        <v>23</v>
      </c>
      <c r="O1921">
        <v>20</v>
      </c>
      <c r="P1921" t="s">
        <v>58</v>
      </c>
      <c r="Q1921" t="s">
        <v>68</v>
      </c>
      <c r="R1921" s="1">
        <v>0.1</v>
      </c>
      <c r="S1921">
        <f t="shared" si="116"/>
        <v>50.4</v>
      </c>
      <c r="T1921">
        <f>IFERROR(VLOOKUP(A1921,Table1[[Customer ID]:[Discount Amount]], 6, FALSE),"Not Found")</f>
        <v>56</v>
      </c>
      <c r="U1921" t="str">
        <f t="shared" si="117"/>
        <v>PayPal</v>
      </c>
      <c r="V1921" s="4" t="str">
        <f t="shared" si="118"/>
        <v>Normal</v>
      </c>
      <c r="W1921" s="4" t="str">
        <f t="shared" si="119"/>
        <v>Good</v>
      </c>
      <c r="X1921" s="4">
        <f>AVERAGE(Table1[Purchase Amount])</f>
        <v>129.48419400000012</v>
      </c>
    </row>
    <row r="1922" spans="1:24" ht="15" customHeight="1" x14ac:dyDescent="0.25">
      <c r="A1922">
        <v>1921</v>
      </c>
      <c r="B1922">
        <v>51</v>
      </c>
      <c r="C1922" t="s">
        <v>27</v>
      </c>
      <c r="D1922" t="s">
        <v>118</v>
      </c>
      <c r="E1922" t="s">
        <v>18</v>
      </c>
      <c r="F1922" s="2">
        <v>84</v>
      </c>
      <c r="G1922" t="s">
        <v>115</v>
      </c>
      <c r="H1922" t="s">
        <v>31</v>
      </c>
      <c r="I1922" t="s">
        <v>66</v>
      </c>
      <c r="J1922" t="s">
        <v>33</v>
      </c>
      <c r="K1922">
        <v>2.8</v>
      </c>
      <c r="L1922" t="s">
        <v>23</v>
      </c>
      <c r="M1922" t="s">
        <v>24</v>
      </c>
      <c r="N1922" t="s">
        <v>23</v>
      </c>
      <c r="O1922">
        <v>40</v>
      </c>
      <c r="P1922" t="s">
        <v>25</v>
      </c>
      <c r="Q1922" t="s">
        <v>63</v>
      </c>
      <c r="R1922" s="1">
        <v>0.1</v>
      </c>
      <c r="S1922">
        <f t="shared" ref="S1922:S1985" si="120">F1922-(F1922*R1922)</f>
        <v>75.599999999999994</v>
      </c>
      <c r="T1922">
        <f>IFERROR(VLOOKUP(A1922,Table1[[Customer ID]:[Discount Amount]], 6, FALSE),"Not Found")</f>
        <v>84</v>
      </c>
      <c r="U1922" t="str">
        <f t="shared" ref="U1922:U1985" si="121">INDEX(P:P, MATCH(A1922, A:A, 0))</f>
        <v>Cash</v>
      </c>
      <c r="V1922" s="4" t="str">
        <f t="shared" ref="V1922:V1985" si="122">IF(AND(F1922&gt;1000,K1922&gt;=4),"Best Customer","Normal")</f>
        <v>Normal</v>
      </c>
      <c r="W1922" s="4" t="str">
        <f t="shared" ref="W1922:W1985" si="123">IF(K1922&gt;=3,"Good","Poor")</f>
        <v>Poor</v>
      </c>
      <c r="X1922" s="4">
        <f>AVERAGE(Table1[Purchase Amount])</f>
        <v>129.48419400000012</v>
      </c>
    </row>
    <row r="1923" spans="1:24" ht="15" customHeight="1" x14ac:dyDescent="0.25">
      <c r="A1923">
        <v>1922</v>
      </c>
      <c r="B1923">
        <v>47</v>
      </c>
      <c r="C1923" t="s">
        <v>27</v>
      </c>
      <c r="D1923" t="s">
        <v>38</v>
      </c>
      <c r="E1923" t="s">
        <v>18</v>
      </c>
      <c r="F1923" s="2">
        <v>36</v>
      </c>
      <c r="G1923" t="s">
        <v>113</v>
      </c>
      <c r="H1923" t="s">
        <v>31</v>
      </c>
      <c r="I1923" t="s">
        <v>93</v>
      </c>
      <c r="J1923" t="s">
        <v>47</v>
      </c>
      <c r="K1923">
        <v>3.5</v>
      </c>
      <c r="L1923" t="s">
        <v>23</v>
      </c>
      <c r="M1923" t="s">
        <v>48</v>
      </c>
      <c r="N1923" t="s">
        <v>23</v>
      </c>
      <c r="O1923">
        <v>13</v>
      </c>
      <c r="P1923" t="s">
        <v>62</v>
      </c>
      <c r="Q1923" t="s">
        <v>49</v>
      </c>
      <c r="R1923" s="1">
        <v>0.1</v>
      </c>
      <c r="S1923">
        <f t="shared" si="120"/>
        <v>32.4</v>
      </c>
      <c r="T1923">
        <f>IFERROR(VLOOKUP(A1923,Table1[[Customer ID]:[Discount Amount]], 6, FALSE),"Not Found")</f>
        <v>36</v>
      </c>
      <c r="U1923" t="str">
        <f t="shared" si="121"/>
        <v>Venmo</v>
      </c>
      <c r="V1923" s="4" t="str">
        <f t="shared" si="122"/>
        <v>Normal</v>
      </c>
      <c r="W1923" s="4" t="str">
        <f t="shared" si="123"/>
        <v>Good</v>
      </c>
      <c r="X1923" s="4">
        <f>AVERAGE(Table1[Purchase Amount])</f>
        <v>129.48419400000012</v>
      </c>
    </row>
    <row r="1924" spans="1:24" ht="15" customHeight="1" x14ac:dyDescent="0.25">
      <c r="A1924">
        <v>1923</v>
      </c>
      <c r="B1924">
        <v>18</v>
      </c>
      <c r="C1924" t="s">
        <v>27</v>
      </c>
      <c r="D1924" t="s">
        <v>43</v>
      </c>
      <c r="E1924" t="s">
        <v>29</v>
      </c>
      <c r="F1924" s="2">
        <v>63</v>
      </c>
      <c r="G1924" t="s">
        <v>70</v>
      </c>
      <c r="H1924" t="s">
        <v>55</v>
      </c>
      <c r="I1924" t="s">
        <v>145</v>
      </c>
      <c r="J1924" t="s">
        <v>57</v>
      </c>
      <c r="K1924">
        <v>4.5999999999999996</v>
      </c>
      <c r="L1924" t="s">
        <v>23</v>
      </c>
      <c r="M1924" t="s">
        <v>24</v>
      </c>
      <c r="N1924" t="s">
        <v>23</v>
      </c>
      <c r="O1924">
        <v>9</v>
      </c>
      <c r="P1924" t="s">
        <v>58</v>
      </c>
      <c r="Q1924" t="s">
        <v>42</v>
      </c>
      <c r="R1924" s="1">
        <v>0.1</v>
      </c>
      <c r="S1924">
        <f t="shared" si="120"/>
        <v>56.7</v>
      </c>
      <c r="T1924">
        <f>IFERROR(VLOOKUP(A1924,Table1[[Customer ID]:[Discount Amount]], 6, FALSE),"Not Found")</f>
        <v>63</v>
      </c>
      <c r="U1924" t="str">
        <f t="shared" si="121"/>
        <v>PayPal</v>
      </c>
      <c r="V1924" s="4" t="str">
        <f t="shared" si="122"/>
        <v>Normal</v>
      </c>
      <c r="W1924" s="4" t="str">
        <f t="shared" si="123"/>
        <v>Good</v>
      </c>
      <c r="X1924" s="4">
        <f>AVERAGE(Table1[Purchase Amount])</f>
        <v>129.48419400000012</v>
      </c>
    </row>
    <row r="1925" spans="1:24" ht="15" customHeight="1" x14ac:dyDescent="0.25">
      <c r="A1925">
        <v>1924</v>
      </c>
      <c r="B1925">
        <v>64</v>
      </c>
      <c r="C1925" t="s">
        <v>27</v>
      </c>
      <c r="D1925" t="s">
        <v>121</v>
      </c>
      <c r="E1925" t="s">
        <v>98</v>
      </c>
      <c r="F1925" s="2">
        <v>36</v>
      </c>
      <c r="G1925" t="s">
        <v>137</v>
      </c>
      <c r="H1925" t="s">
        <v>20</v>
      </c>
      <c r="I1925" t="s">
        <v>74</v>
      </c>
      <c r="J1925" t="s">
        <v>57</v>
      </c>
      <c r="K1925">
        <v>4.3</v>
      </c>
      <c r="L1925" t="s">
        <v>23</v>
      </c>
      <c r="M1925" t="s">
        <v>24</v>
      </c>
      <c r="N1925" t="s">
        <v>23</v>
      </c>
      <c r="O1925">
        <v>7</v>
      </c>
      <c r="P1925" t="s">
        <v>25</v>
      </c>
      <c r="Q1925" t="s">
        <v>49</v>
      </c>
      <c r="R1925" s="1">
        <v>0.1</v>
      </c>
      <c r="S1925">
        <f t="shared" si="120"/>
        <v>32.4</v>
      </c>
      <c r="T1925">
        <f>IFERROR(VLOOKUP(A1925,Table1[[Customer ID]:[Discount Amount]], 6, FALSE),"Not Found")</f>
        <v>36</v>
      </c>
      <c r="U1925" t="str">
        <f t="shared" si="121"/>
        <v>Cash</v>
      </c>
      <c r="V1925" s="4" t="str">
        <f t="shared" si="122"/>
        <v>Normal</v>
      </c>
      <c r="W1925" s="4" t="str">
        <f t="shared" si="123"/>
        <v>Good</v>
      </c>
      <c r="X1925" s="4">
        <f>AVERAGE(Table1[Purchase Amount])</f>
        <v>129.48419400000012</v>
      </c>
    </row>
    <row r="1926" spans="1:24" ht="15" customHeight="1" x14ac:dyDescent="0.25">
      <c r="A1926">
        <v>1925</v>
      </c>
      <c r="B1926">
        <v>30</v>
      </c>
      <c r="C1926" t="s">
        <v>27</v>
      </c>
      <c r="D1926" t="s">
        <v>96</v>
      </c>
      <c r="E1926" t="s">
        <v>77</v>
      </c>
      <c r="F1926" s="2">
        <v>63</v>
      </c>
      <c r="G1926" t="s">
        <v>113</v>
      </c>
      <c r="H1926" t="s">
        <v>31</v>
      </c>
      <c r="I1926" t="s">
        <v>85</v>
      </c>
      <c r="J1926" t="s">
        <v>47</v>
      </c>
      <c r="K1926">
        <v>4.8</v>
      </c>
      <c r="L1926" t="s">
        <v>23</v>
      </c>
      <c r="M1926" t="s">
        <v>35</v>
      </c>
      <c r="N1926" t="s">
        <v>23</v>
      </c>
      <c r="O1926">
        <v>42</v>
      </c>
      <c r="P1926" t="s">
        <v>58</v>
      </c>
      <c r="Q1926" t="s">
        <v>37</v>
      </c>
      <c r="R1926" s="1">
        <v>0.1</v>
      </c>
      <c r="S1926">
        <f t="shared" si="120"/>
        <v>56.7</v>
      </c>
      <c r="T1926">
        <f>IFERROR(VLOOKUP(A1926,Table1[[Customer ID]:[Discount Amount]], 6, FALSE),"Not Found")</f>
        <v>63</v>
      </c>
      <c r="U1926" t="str">
        <f t="shared" si="121"/>
        <v>PayPal</v>
      </c>
      <c r="V1926" s="4" t="str">
        <f t="shared" si="122"/>
        <v>Normal</v>
      </c>
      <c r="W1926" s="4" t="str">
        <f t="shared" si="123"/>
        <v>Good</v>
      </c>
      <c r="X1926" s="4">
        <f>AVERAGE(Table1[Purchase Amount])</f>
        <v>129.48419400000012</v>
      </c>
    </row>
    <row r="1927" spans="1:24" ht="15" customHeight="1" x14ac:dyDescent="0.25">
      <c r="A1927">
        <v>1926</v>
      </c>
      <c r="B1927">
        <v>59</v>
      </c>
      <c r="C1927" t="s">
        <v>27</v>
      </c>
      <c r="D1927" t="s">
        <v>140</v>
      </c>
      <c r="E1927" t="s">
        <v>98</v>
      </c>
      <c r="F1927" s="2">
        <v>32</v>
      </c>
      <c r="G1927" t="s">
        <v>144</v>
      </c>
      <c r="H1927" t="s">
        <v>45</v>
      </c>
      <c r="I1927" t="s">
        <v>40</v>
      </c>
      <c r="J1927" t="s">
        <v>22</v>
      </c>
      <c r="K1927">
        <v>2.9</v>
      </c>
      <c r="L1927" t="s">
        <v>23</v>
      </c>
      <c r="M1927" t="s">
        <v>61</v>
      </c>
      <c r="N1927" t="s">
        <v>23</v>
      </c>
      <c r="O1927">
        <v>44</v>
      </c>
      <c r="P1927" t="s">
        <v>53</v>
      </c>
      <c r="Q1927" t="s">
        <v>89</v>
      </c>
      <c r="R1927" s="1">
        <v>0.1</v>
      </c>
      <c r="S1927">
        <f t="shared" si="120"/>
        <v>28.8</v>
      </c>
      <c r="T1927">
        <f>IFERROR(VLOOKUP(A1927,Table1[[Customer ID]:[Discount Amount]], 6, FALSE),"Not Found")</f>
        <v>32</v>
      </c>
      <c r="U1927" t="str">
        <f t="shared" si="121"/>
        <v>Credit Card</v>
      </c>
      <c r="V1927" s="4" t="str">
        <f t="shared" si="122"/>
        <v>Normal</v>
      </c>
      <c r="W1927" s="4" t="str">
        <f t="shared" si="123"/>
        <v>Poor</v>
      </c>
      <c r="X1927" s="4">
        <f>AVERAGE(Table1[Purchase Amount])</f>
        <v>129.48419400000012</v>
      </c>
    </row>
    <row r="1928" spans="1:24" ht="15" customHeight="1" x14ac:dyDescent="0.25">
      <c r="A1928">
        <v>1927</v>
      </c>
      <c r="B1928">
        <v>66</v>
      </c>
      <c r="C1928" t="s">
        <v>27</v>
      </c>
      <c r="D1928" t="s">
        <v>104</v>
      </c>
      <c r="E1928" t="s">
        <v>29</v>
      </c>
      <c r="F1928" s="2">
        <v>93</v>
      </c>
      <c r="G1928" t="s">
        <v>110</v>
      </c>
      <c r="H1928" t="s">
        <v>31</v>
      </c>
      <c r="I1928" t="s">
        <v>153</v>
      </c>
      <c r="J1928" t="s">
        <v>33</v>
      </c>
      <c r="K1928">
        <v>3</v>
      </c>
      <c r="L1928" t="s">
        <v>23</v>
      </c>
      <c r="M1928" t="s">
        <v>61</v>
      </c>
      <c r="N1928" t="s">
        <v>23</v>
      </c>
      <c r="O1928">
        <v>6</v>
      </c>
      <c r="P1928" t="s">
        <v>58</v>
      </c>
      <c r="Q1928" t="s">
        <v>49</v>
      </c>
      <c r="R1928" s="1">
        <v>0.1</v>
      </c>
      <c r="S1928">
        <f t="shared" si="120"/>
        <v>83.7</v>
      </c>
      <c r="T1928">
        <f>IFERROR(VLOOKUP(A1928,Table1[[Customer ID]:[Discount Amount]], 6, FALSE),"Not Found")</f>
        <v>93</v>
      </c>
      <c r="U1928" t="str">
        <f t="shared" si="121"/>
        <v>PayPal</v>
      </c>
      <c r="V1928" s="4" t="str">
        <f t="shared" si="122"/>
        <v>Normal</v>
      </c>
      <c r="W1928" s="4" t="str">
        <f t="shared" si="123"/>
        <v>Good</v>
      </c>
      <c r="X1928" s="4">
        <f>AVERAGE(Table1[Purchase Amount])</f>
        <v>129.48419400000012</v>
      </c>
    </row>
    <row r="1929" spans="1:24" ht="15" customHeight="1" x14ac:dyDescent="0.25">
      <c r="A1929">
        <v>1928</v>
      </c>
      <c r="B1929">
        <v>40</v>
      </c>
      <c r="C1929" t="s">
        <v>27</v>
      </c>
      <c r="D1929" t="s">
        <v>99</v>
      </c>
      <c r="E1929" t="s">
        <v>18</v>
      </c>
      <c r="F1929" s="2">
        <v>29</v>
      </c>
      <c r="G1929" t="s">
        <v>67</v>
      </c>
      <c r="H1929" t="s">
        <v>31</v>
      </c>
      <c r="I1929" t="s">
        <v>136</v>
      </c>
      <c r="J1929" t="s">
        <v>57</v>
      </c>
      <c r="K1929">
        <v>2.9</v>
      </c>
      <c r="L1929" t="s">
        <v>23</v>
      </c>
      <c r="M1929" t="s">
        <v>24</v>
      </c>
      <c r="N1929" t="s">
        <v>23</v>
      </c>
      <c r="O1929">
        <v>8</v>
      </c>
      <c r="P1929" t="s">
        <v>25</v>
      </c>
      <c r="Q1929" t="s">
        <v>63</v>
      </c>
      <c r="R1929" s="1">
        <v>0.1</v>
      </c>
      <c r="S1929">
        <f t="shared" si="120"/>
        <v>26.1</v>
      </c>
      <c r="T1929">
        <f>IFERROR(VLOOKUP(A1929,Table1[[Customer ID]:[Discount Amount]], 6, FALSE),"Not Found")</f>
        <v>29</v>
      </c>
      <c r="U1929" t="str">
        <f t="shared" si="121"/>
        <v>Cash</v>
      </c>
      <c r="V1929" s="4" t="str">
        <f t="shared" si="122"/>
        <v>Normal</v>
      </c>
      <c r="W1929" s="4" t="str">
        <f t="shared" si="123"/>
        <v>Poor</v>
      </c>
      <c r="X1929" s="4">
        <f>AVERAGE(Table1[Purchase Amount])</f>
        <v>129.48419400000012</v>
      </c>
    </row>
    <row r="1930" spans="1:24" ht="15" customHeight="1" x14ac:dyDescent="0.25">
      <c r="A1930">
        <v>1929</v>
      </c>
      <c r="B1930">
        <v>25</v>
      </c>
      <c r="C1930" t="s">
        <v>27</v>
      </c>
      <c r="D1930" t="s">
        <v>28</v>
      </c>
      <c r="E1930" t="s">
        <v>29</v>
      </c>
      <c r="F1930" s="2">
        <v>92</v>
      </c>
      <c r="G1930" t="s">
        <v>149</v>
      </c>
      <c r="H1930" t="s">
        <v>55</v>
      </c>
      <c r="I1930" t="s">
        <v>107</v>
      </c>
      <c r="J1930" t="s">
        <v>57</v>
      </c>
      <c r="K1930">
        <v>3.7</v>
      </c>
      <c r="L1930" t="s">
        <v>23</v>
      </c>
      <c r="M1930" t="s">
        <v>24</v>
      </c>
      <c r="N1930" t="s">
        <v>23</v>
      </c>
      <c r="O1930">
        <v>10</v>
      </c>
      <c r="P1930" t="s">
        <v>58</v>
      </c>
      <c r="Q1930" t="s">
        <v>26</v>
      </c>
      <c r="R1930" s="1">
        <v>0.1</v>
      </c>
      <c r="S1930">
        <f t="shared" si="120"/>
        <v>82.8</v>
      </c>
      <c r="T1930">
        <f>IFERROR(VLOOKUP(A1930,Table1[[Customer ID]:[Discount Amount]], 6, FALSE),"Not Found")</f>
        <v>92</v>
      </c>
      <c r="U1930" t="str">
        <f t="shared" si="121"/>
        <v>PayPal</v>
      </c>
      <c r="V1930" s="4" t="str">
        <f t="shared" si="122"/>
        <v>Normal</v>
      </c>
      <c r="W1930" s="4" t="str">
        <f t="shared" si="123"/>
        <v>Good</v>
      </c>
      <c r="X1930" s="4">
        <f>AVERAGE(Table1[Purchase Amount])</f>
        <v>129.48419400000012</v>
      </c>
    </row>
    <row r="1931" spans="1:24" ht="15" customHeight="1" x14ac:dyDescent="0.25">
      <c r="A1931">
        <v>1930</v>
      </c>
      <c r="B1931">
        <v>59</v>
      </c>
      <c r="C1931" t="s">
        <v>27</v>
      </c>
      <c r="D1931" t="s">
        <v>109</v>
      </c>
      <c r="E1931" t="s">
        <v>18</v>
      </c>
      <c r="F1931" s="2">
        <v>33</v>
      </c>
      <c r="G1931" t="s">
        <v>135</v>
      </c>
      <c r="H1931" t="s">
        <v>45</v>
      </c>
      <c r="I1931" t="s">
        <v>60</v>
      </c>
      <c r="J1931" t="s">
        <v>47</v>
      </c>
      <c r="K1931">
        <v>4.7</v>
      </c>
      <c r="L1931" t="s">
        <v>23</v>
      </c>
      <c r="M1931" t="s">
        <v>24</v>
      </c>
      <c r="N1931" t="s">
        <v>23</v>
      </c>
      <c r="O1931">
        <v>46</v>
      </c>
      <c r="P1931" t="s">
        <v>62</v>
      </c>
      <c r="Q1931" t="s">
        <v>37</v>
      </c>
      <c r="R1931" s="1">
        <v>0.1</v>
      </c>
      <c r="S1931">
        <f t="shared" si="120"/>
        <v>29.7</v>
      </c>
      <c r="T1931">
        <f>IFERROR(VLOOKUP(A1931,Table1[[Customer ID]:[Discount Amount]], 6, FALSE),"Not Found")</f>
        <v>33</v>
      </c>
      <c r="U1931" t="str">
        <f t="shared" si="121"/>
        <v>Venmo</v>
      </c>
      <c r="V1931" s="4" t="str">
        <f t="shared" si="122"/>
        <v>Normal</v>
      </c>
      <c r="W1931" s="4" t="str">
        <f t="shared" si="123"/>
        <v>Good</v>
      </c>
      <c r="X1931" s="4">
        <f>AVERAGE(Table1[Purchase Amount])</f>
        <v>129.48419400000012</v>
      </c>
    </row>
    <row r="1932" spans="1:24" ht="15" customHeight="1" x14ac:dyDescent="0.25">
      <c r="A1932">
        <v>1931</v>
      </c>
      <c r="B1932">
        <v>66</v>
      </c>
      <c r="C1932" t="s">
        <v>27</v>
      </c>
      <c r="D1932" t="s">
        <v>99</v>
      </c>
      <c r="E1932" t="s">
        <v>18</v>
      </c>
      <c r="F1932" s="2">
        <v>52</v>
      </c>
      <c r="G1932" t="s">
        <v>134</v>
      </c>
      <c r="H1932" t="s">
        <v>45</v>
      </c>
      <c r="I1932" t="s">
        <v>156</v>
      </c>
      <c r="J1932" t="s">
        <v>33</v>
      </c>
      <c r="K1932">
        <v>3.5</v>
      </c>
      <c r="L1932" t="s">
        <v>23</v>
      </c>
      <c r="M1932" t="s">
        <v>48</v>
      </c>
      <c r="N1932" t="s">
        <v>23</v>
      </c>
      <c r="O1932">
        <v>26</v>
      </c>
      <c r="P1932" t="s">
        <v>25</v>
      </c>
      <c r="Q1932" t="s">
        <v>26</v>
      </c>
      <c r="R1932" s="1">
        <v>0.1</v>
      </c>
      <c r="S1932">
        <f t="shared" si="120"/>
        <v>46.8</v>
      </c>
      <c r="T1932">
        <f>IFERROR(VLOOKUP(A1932,Table1[[Customer ID]:[Discount Amount]], 6, FALSE),"Not Found")</f>
        <v>52</v>
      </c>
      <c r="U1932" t="str">
        <f t="shared" si="121"/>
        <v>Cash</v>
      </c>
      <c r="V1932" s="4" t="str">
        <f t="shared" si="122"/>
        <v>Normal</v>
      </c>
      <c r="W1932" s="4" t="str">
        <f t="shared" si="123"/>
        <v>Good</v>
      </c>
      <c r="X1932" s="4">
        <f>AVERAGE(Table1[Purchase Amount])</f>
        <v>129.48419400000012</v>
      </c>
    </row>
    <row r="1933" spans="1:24" ht="15" customHeight="1" x14ac:dyDescent="0.25">
      <c r="A1933">
        <v>1932</v>
      </c>
      <c r="B1933">
        <v>54</v>
      </c>
      <c r="C1933" t="s">
        <v>27</v>
      </c>
      <c r="D1933" t="s">
        <v>50</v>
      </c>
      <c r="E1933" t="s">
        <v>29</v>
      </c>
      <c r="F1933" s="2">
        <v>42</v>
      </c>
      <c r="G1933" t="s">
        <v>44</v>
      </c>
      <c r="H1933" t="s">
        <v>55</v>
      </c>
      <c r="I1933" t="s">
        <v>21</v>
      </c>
      <c r="J1933" t="s">
        <v>33</v>
      </c>
      <c r="K1933">
        <v>2.7</v>
      </c>
      <c r="L1933" t="s">
        <v>23</v>
      </c>
      <c r="M1933" t="s">
        <v>48</v>
      </c>
      <c r="N1933" t="s">
        <v>23</v>
      </c>
      <c r="O1933">
        <v>6</v>
      </c>
      <c r="P1933" t="s">
        <v>36</v>
      </c>
      <c r="Q1933" t="s">
        <v>63</v>
      </c>
      <c r="R1933" s="1">
        <v>0.1</v>
      </c>
      <c r="S1933">
        <f t="shared" si="120"/>
        <v>37.799999999999997</v>
      </c>
      <c r="T1933">
        <f>IFERROR(VLOOKUP(A1933,Table1[[Customer ID]:[Discount Amount]], 6, FALSE),"Not Found")</f>
        <v>42</v>
      </c>
      <c r="U1933" t="str">
        <f t="shared" si="121"/>
        <v>Debit Card</v>
      </c>
      <c r="V1933" s="4" t="str">
        <f t="shared" si="122"/>
        <v>Normal</v>
      </c>
      <c r="W1933" s="4" t="str">
        <f t="shared" si="123"/>
        <v>Poor</v>
      </c>
      <c r="X1933" s="4">
        <f>AVERAGE(Table1[Purchase Amount])</f>
        <v>129.48419400000012</v>
      </c>
    </row>
    <row r="1934" spans="1:24" ht="15" customHeight="1" x14ac:dyDescent="0.25">
      <c r="A1934">
        <v>1933</v>
      </c>
      <c r="B1934">
        <v>42</v>
      </c>
      <c r="C1934" t="s">
        <v>27</v>
      </c>
      <c r="D1934" t="s">
        <v>83</v>
      </c>
      <c r="E1934" t="s">
        <v>18</v>
      </c>
      <c r="F1934" s="2">
        <v>36</v>
      </c>
      <c r="G1934" t="s">
        <v>106</v>
      </c>
      <c r="H1934" t="s">
        <v>31</v>
      </c>
      <c r="I1934" t="s">
        <v>32</v>
      </c>
      <c r="J1934" t="s">
        <v>33</v>
      </c>
      <c r="K1934">
        <v>5</v>
      </c>
      <c r="L1934" t="s">
        <v>23</v>
      </c>
      <c r="M1934" t="s">
        <v>35</v>
      </c>
      <c r="N1934" t="s">
        <v>23</v>
      </c>
      <c r="O1934">
        <v>47</v>
      </c>
      <c r="P1934" t="s">
        <v>53</v>
      </c>
      <c r="Q1934" t="s">
        <v>63</v>
      </c>
      <c r="R1934" s="1">
        <v>0.1</v>
      </c>
      <c r="S1934">
        <f t="shared" si="120"/>
        <v>32.4</v>
      </c>
      <c r="T1934">
        <f>IFERROR(VLOOKUP(A1934,Table1[[Customer ID]:[Discount Amount]], 6, FALSE),"Not Found")</f>
        <v>36</v>
      </c>
      <c r="U1934" t="str">
        <f t="shared" si="121"/>
        <v>Credit Card</v>
      </c>
      <c r="V1934" s="4" t="str">
        <f t="shared" si="122"/>
        <v>Normal</v>
      </c>
      <c r="W1934" s="4" t="str">
        <f t="shared" si="123"/>
        <v>Good</v>
      </c>
      <c r="X1934" s="4">
        <f>AVERAGE(Table1[Purchase Amount])</f>
        <v>129.48419400000012</v>
      </c>
    </row>
    <row r="1935" spans="1:24" ht="15" customHeight="1" x14ac:dyDescent="0.25">
      <c r="A1935">
        <v>1934</v>
      </c>
      <c r="B1935">
        <v>48</v>
      </c>
      <c r="C1935" t="s">
        <v>27</v>
      </c>
      <c r="D1935" t="s">
        <v>121</v>
      </c>
      <c r="E1935" t="s">
        <v>98</v>
      </c>
      <c r="F1935" s="2">
        <v>67</v>
      </c>
      <c r="G1935" t="s">
        <v>39</v>
      </c>
      <c r="H1935" t="s">
        <v>45</v>
      </c>
      <c r="I1935" t="s">
        <v>111</v>
      </c>
      <c r="J1935" t="s">
        <v>57</v>
      </c>
      <c r="K1935">
        <v>4.0999999999999996</v>
      </c>
      <c r="L1935" t="s">
        <v>23</v>
      </c>
      <c r="M1935" t="s">
        <v>79</v>
      </c>
      <c r="N1935" t="s">
        <v>23</v>
      </c>
      <c r="O1935">
        <v>28</v>
      </c>
      <c r="P1935" t="s">
        <v>62</v>
      </c>
      <c r="Q1935" t="s">
        <v>49</v>
      </c>
      <c r="R1935" s="1">
        <v>0.1</v>
      </c>
      <c r="S1935">
        <f t="shared" si="120"/>
        <v>60.3</v>
      </c>
      <c r="T1935">
        <f>IFERROR(VLOOKUP(A1935,Table1[[Customer ID]:[Discount Amount]], 6, FALSE),"Not Found")</f>
        <v>67</v>
      </c>
      <c r="U1935" t="str">
        <f t="shared" si="121"/>
        <v>Venmo</v>
      </c>
      <c r="V1935" s="4" t="str">
        <f t="shared" si="122"/>
        <v>Normal</v>
      </c>
      <c r="W1935" s="4" t="str">
        <f t="shared" si="123"/>
        <v>Good</v>
      </c>
      <c r="X1935" s="4">
        <f>AVERAGE(Table1[Purchase Amount])</f>
        <v>129.48419400000012</v>
      </c>
    </row>
    <row r="1936" spans="1:24" ht="15" customHeight="1" x14ac:dyDescent="0.25">
      <c r="A1936">
        <v>1935</v>
      </c>
      <c r="B1936">
        <v>34</v>
      </c>
      <c r="C1936" t="s">
        <v>27</v>
      </c>
      <c r="D1936" t="s">
        <v>96</v>
      </c>
      <c r="E1936" t="s">
        <v>77</v>
      </c>
      <c r="F1936" s="2">
        <v>43</v>
      </c>
      <c r="G1936" t="s">
        <v>113</v>
      </c>
      <c r="H1936" t="s">
        <v>45</v>
      </c>
      <c r="I1936" t="s">
        <v>133</v>
      </c>
      <c r="J1936" t="s">
        <v>22</v>
      </c>
      <c r="K1936">
        <v>2.7</v>
      </c>
      <c r="L1936" t="s">
        <v>23</v>
      </c>
      <c r="M1936" t="s">
        <v>35</v>
      </c>
      <c r="N1936" t="s">
        <v>23</v>
      </c>
      <c r="O1936">
        <v>23</v>
      </c>
      <c r="P1936" t="s">
        <v>88</v>
      </c>
      <c r="Q1936" t="s">
        <v>49</v>
      </c>
      <c r="R1936" s="1">
        <v>0.1</v>
      </c>
      <c r="S1936">
        <f t="shared" si="120"/>
        <v>38.700000000000003</v>
      </c>
      <c r="T1936">
        <f>IFERROR(VLOOKUP(A1936,Table1[[Customer ID]:[Discount Amount]], 6, FALSE),"Not Found")</f>
        <v>43</v>
      </c>
      <c r="U1936" t="str">
        <f t="shared" si="121"/>
        <v>Bank Transfer</v>
      </c>
      <c r="V1936" s="4" t="str">
        <f t="shared" si="122"/>
        <v>Normal</v>
      </c>
      <c r="W1936" s="4" t="str">
        <f t="shared" si="123"/>
        <v>Poor</v>
      </c>
      <c r="X1936" s="4">
        <f>AVERAGE(Table1[Purchase Amount])</f>
        <v>129.48419400000012</v>
      </c>
    </row>
    <row r="1937" spans="1:24" ht="15" customHeight="1" x14ac:dyDescent="0.25">
      <c r="A1937">
        <v>1936</v>
      </c>
      <c r="B1937">
        <v>19</v>
      </c>
      <c r="C1937" t="s">
        <v>27</v>
      </c>
      <c r="D1937" t="s">
        <v>118</v>
      </c>
      <c r="E1937" t="s">
        <v>18</v>
      </c>
      <c r="F1937" s="2">
        <v>68</v>
      </c>
      <c r="G1937" t="s">
        <v>134</v>
      </c>
      <c r="H1937" t="s">
        <v>20</v>
      </c>
      <c r="I1937" t="s">
        <v>111</v>
      </c>
      <c r="J1937" t="s">
        <v>33</v>
      </c>
      <c r="K1937">
        <v>4.8</v>
      </c>
      <c r="L1937" t="s">
        <v>23</v>
      </c>
      <c r="M1937" t="s">
        <v>35</v>
      </c>
      <c r="N1937" t="s">
        <v>23</v>
      </c>
      <c r="O1937">
        <v>45</v>
      </c>
      <c r="P1937" t="s">
        <v>25</v>
      </c>
      <c r="Q1937" t="s">
        <v>89</v>
      </c>
      <c r="R1937" s="1">
        <v>0.1</v>
      </c>
      <c r="S1937">
        <f t="shared" si="120"/>
        <v>61.2</v>
      </c>
      <c r="T1937">
        <f>IFERROR(VLOOKUP(A1937,Table1[[Customer ID]:[Discount Amount]], 6, FALSE),"Not Found")</f>
        <v>68</v>
      </c>
      <c r="U1937" t="str">
        <f t="shared" si="121"/>
        <v>Cash</v>
      </c>
      <c r="V1937" s="4" t="str">
        <f t="shared" si="122"/>
        <v>Normal</v>
      </c>
      <c r="W1937" s="4" t="str">
        <f t="shared" si="123"/>
        <v>Good</v>
      </c>
      <c r="X1937" s="4">
        <f>AVERAGE(Table1[Purchase Amount])</f>
        <v>129.48419400000012</v>
      </c>
    </row>
    <row r="1938" spans="1:24" ht="15" customHeight="1" x14ac:dyDescent="0.25">
      <c r="A1938">
        <v>1937</v>
      </c>
      <c r="B1938">
        <v>70</v>
      </c>
      <c r="C1938" t="s">
        <v>27</v>
      </c>
      <c r="D1938" t="s">
        <v>50</v>
      </c>
      <c r="E1938" t="s">
        <v>29</v>
      </c>
      <c r="F1938" s="2">
        <v>60</v>
      </c>
      <c r="G1938" t="s">
        <v>120</v>
      </c>
      <c r="H1938" t="s">
        <v>55</v>
      </c>
      <c r="I1938" t="s">
        <v>147</v>
      </c>
      <c r="J1938" t="s">
        <v>57</v>
      </c>
      <c r="K1938">
        <v>4.3</v>
      </c>
      <c r="L1938" t="s">
        <v>23</v>
      </c>
      <c r="M1938" t="s">
        <v>41</v>
      </c>
      <c r="N1938" t="s">
        <v>23</v>
      </c>
      <c r="O1938">
        <v>44</v>
      </c>
      <c r="P1938" t="s">
        <v>58</v>
      </c>
      <c r="Q1938" t="s">
        <v>63</v>
      </c>
      <c r="R1938" s="1">
        <v>0.1</v>
      </c>
      <c r="S1938">
        <f t="shared" si="120"/>
        <v>54</v>
      </c>
      <c r="T1938">
        <f>IFERROR(VLOOKUP(A1938,Table1[[Customer ID]:[Discount Amount]], 6, FALSE),"Not Found")</f>
        <v>60</v>
      </c>
      <c r="U1938" t="str">
        <f t="shared" si="121"/>
        <v>PayPal</v>
      </c>
      <c r="V1938" s="4" t="str">
        <f t="shared" si="122"/>
        <v>Normal</v>
      </c>
      <c r="W1938" s="4" t="str">
        <f t="shared" si="123"/>
        <v>Good</v>
      </c>
      <c r="X1938" s="4">
        <f>AVERAGE(Table1[Purchase Amount])</f>
        <v>129.48419400000012</v>
      </c>
    </row>
    <row r="1939" spans="1:24" ht="15" customHeight="1" x14ac:dyDescent="0.25">
      <c r="A1939">
        <v>1938</v>
      </c>
      <c r="B1939">
        <v>43</v>
      </c>
      <c r="C1939" t="s">
        <v>27</v>
      </c>
      <c r="D1939" t="s">
        <v>105</v>
      </c>
      <c r="E1939" t="s">
        <v>18</v>
      </c>
      <c r="F1939" s="2">
        <v>53</v>
      </c>
      <c r="G1939" t="s">
        <v>143</v>
      </c>
      <c r="H1939" t="s">
        <v>31</v>
      </c>
      <c r="I1939" t="s">
        <v>21</v>
      </c>
      <c r="J1939" t="s">
        <v>57</v>
      </c>
      <c r="K1939">
        <v>4.5</v>
      </c>
      <c r="L1939" t="s">
        <v>23</v>
      </c>
      <c r="M1939" t="s">
        <v>41</v>
      </c>
      <c r="N1939" t="s">
        <v>23</v>
      </c>
      <c r="O1939">
        <v>11</v>
      </c>
      <c r="P1939" t="s">
        <v>88</v>
      </c>
      <c r="Q1939" t="s">
        <v>42</v>
      </c>
      <c r="R1939" s="1">
        <v>0.1</v>
      </c>
      <c r="S1939">
        <f t="shared" si="120"/>
        <v>47.7</v>
      </c>
      <c r="T1939">
        <f>IFERROR(VLOOKUP(A1939,Table1[[Customer ID]:[Discount Amount]], 6, FALSE),"Not Found")</f>
        <v>53</v>
      </c>
      <c r="U1939" t="str">
        <f t="shared" si="121"/>
        <v>Bank Transfer</v>
      </c>
      <c r="V1939" s="4" t="str">
        <f t="shared" si="122"/>
        <v>Normal</v>
      </c>
      <c r="W1939" s="4" t="str">
        <f t="shared" si="123"/>
        <v>Good</v>
      </c>
      <c r="X1939" s="4">
        <f>AVERAGE(Table1[Purchase Amount])</f>
        <v>129.48419400000012</v>
      </c>
    </row>
    <row r="1940" spans="1:24" ht="15" customHeight="1" x14ac:dyDescent="0.25">
      <c r="A1940">
        <v>1939</v>
      </c>
      <c r="B1940">
        <v>46</v>
      </c>
      <c r="C1940" t="s">
        <v>27</v>
      </c>
      <c r="D1940" t="s">
        <v>109</v>
      </c>
      <c r="E1940" t="s">
        <v>18</v>
      </c>
      <c r="F1940" s="2">
        <v>23</v>
      </c>
      <c r="G1940" t="s">
        <v>70</v>
      </c>
      <c r="H1940" t="s">
        <v>45</v>
      </c>
      <c r="I1940" t="s">
        <v>74</v>
      </c>
      <c r="J1940" t="s">
        <v>33</v>
      </c>
      <c r="K1940">
        <v>3.8</v>
      </c>
      <c r="L1940" t="s">
        <v>23</v>
      </c>
      <c r="M1940" t="s">
        <v>24</v>
      </c>
      <c r="N1940" t="s">
        <v>23</v>
      </c>
      <c r="O1940">
        <v>39</v>
      </c>
      <c r="P1940" t="s">
        <v>36</v>
      </c>
      <c r="Q1940" t="s">
        <v>68</v>
      </c>
      <c r="R1940" s="1">
        <v>0.1</v>
      </c>
      <c r="S1940">
        <f t="shared" si="120"/>
        <v>20.7</v>
      </c>
      <c r="T1940">
        <f>IFERROR(VLOOKUP(A1940,Table1[[Customer ID]:[Discount Amount]], 6, FALSE),"Not Found")</f>
        <v>23</v>
      </c>
      <c r="U1940" t="str">
        <f t="shared" si="121"/>
        <v>Debit Card</v>
      </c>
      <c r="V1940" s="4" t="str">
        <f t="shared" si="122"/>
        <v>Normal</v>
      </c>
      <c r="W1940" s="4" t="str">
        <f t="shared" si="123"/>
        <v>Good</v>
      </c>
      <c r="X1940" s="4">
        <f>AVERAGE(Table1[Purchase Amount])</f>
        <v>129.48419400000012</v>
      </c>
    </row>
    <row r="1941" spans="1:24" ht="15" customHeight="1" x14ac:dyDescent="0.25">
      <c r="A1941">
        <v>1940</v>
      </c>
      <c r="B1941">
        <v>66</v>
      </c>
      <c r="C1941" t="s">
        <v>27</v>
      </c>
      <c r="D1941" t="s">
        <v>43</v>
      </c>
      <c r="E1941" t="s">
        <v>29</v>
      </c>
      <c r="F1941" s="2">
        <v>57</v>
      </c>
      <c r="G1941" t="s">
        <v>90</v>
      </c>
      <c r="H1941" t="s">
        <v>45</v>
      </c>
      <c r="I1941" t="s">
        <v>87</v>
      </c>
      <c r="J1941" t="s">
        <v>22</v>
      </c>
      <c r="K1941">
        <v>3.7</v>
      </c>
      <c r="L1941" t="s">
        <v>23</v>
      </c>
      <c r="M1941" t="s">
        <v>48</v>
      </c>
      <c r="N1941" t="s">
        <v>23</v>
      </c>
      <c r="O1941">
        <v>20</v>
      </c>
      <c r="P1941" t="s">
        <v>58</v>
      </c>
      <c r="Q1941" t="s">
        <v>63</v>
      </c>
      <c r="R1941" s="1">
        <v>0.1</v>
      </c>
      <c r="S1941">
        <f t="shared" si="120"/>
        <v>51.3</v>
      </c>
      <c r="T1941">
        <f>IFERROR(VLOOKUP(A1941,Table1[[Customer ID]:[Discount Amount]], 6, FALSE),"Not Found")</f>
        <v>57</v>
      </c>
      <c r="U1941" t="str">
        <f t="shared" si="121"/>
        <v>PayPal</v>
      </c>
      <c r="V1941" s="4" t="str">
        <f t="shared" si="122"/>
        <v>Normal</v>
      </c>
      <c r="W1941" s="4" t="str">
        <f t="shared" si="123"/>
        <v>Good</v>
      </c>
      <c r="X1941" s="4">
        <f>AVERAGE(Table1[Purchase Amount])</f>
        <v>129.48419400000012</v>
      </c>
    </row>
    <row r="1942" spans="1:24" ht="15" customHeight="1" x14ac:dyDescent="0.25">
      <c r="A1942">
        <v>1941</v>
      </c>
      <c r="B1942">
        <v>50</v>
      </c>
      <c r="C1942" t="s">
        <v>27</v>
      </c>
      <c r="D1942" t="s">
        <v>64</v>
      </c>
      <c r="E1942" t="s">
        <v>29</v>
      </c>
      <c r="F1942" s="2">
        <v>89</v>
      </c>
      <c r="G1942" t="s">
        <v>148</v>
      </c>
      <c r="H1942" t="s">
        <v>45</v>
      </c>
      <c r="I1942" t="s">
        <v>85</v>
      </c>
      <c r="J1942" t="s">
        <v>47</v>
      </c>
      <c r="K1942">
        <v>3.9</v>
      </c>
      <c r="L1942" t="s">
        <v>23</v>
      </c>
      <c r="M1942" t="s">
        <v>41</v>
      </c>
      <c r="N1942" t="s">
        <v>23</v>
      </c>
      <c r="O1942">
        <v>48</v>
      </c>
      <c r="P1942" t="s">
        <v>58</v>
      </c>
      <c r="Q1942" t="s">
        <v>89</v>
      </c>
      <c r="R1942" s="1">
        <v>0.1</v>
      </c>
      <c r="S1942">
        <f t="shared" si="120"/>
        <v>80.099999999999994</v>
      </c>
      <c r="T1942">
        <f>IFERROR(VLOOKUP(A1942,Table1[[Customer ID]:[Discount Amount]], 6, FALSE),"Not Found")</f>
        <v>89</v>
      </c>
      <c r="U1942" t="str">
        <f t="shared" si="121"/>
        <v>PayPal</v>
      </c>
      <c r="V1942" s="4" t="str">
        <f t="shared" si="122"/>
        <v>Normal</v>
      </c>
      <c r="W1942" s="4" t="str">
        <f t="shared" si="123"/>
        <v>Good</v>
      </c>
      <c r="X1942" s="4">
        <f>AVERAGE(Table1[Purchase Amount])</f>
        <v>129.48419400000012</v>
      </c>
    </row>
    <row r="1943" spans="1:24" ht="15" customHeight="1" x14ac:dyDescent="0.25">
      <c r="A1943">
        <v>1942</v>
      </c>
      <c r="B1943">
        <v>55</v>
      </c>
      <c r="C1943" t="s">
        <v>27</v>
      </c>
      <c r="D1943" t="s">
        <v>72</v>
      </c>
      <c r="E1943" t="s">
        <v>98</v>
      </c>
      <c r="F1943" s="2">
        <v>99</v>
      </c>
      <c r="G1943" t="s">
        <v>84</v>
      </c>
      <c r="H1943" t="s">
        <v>20</v>
      </c>
      <c r="I1943" t="s">
        <v>145</v>
      </c>
      <c r="J1943" t="s">
        <v>22</v>
      </c>
      <c r="K1943">
        <v>3.3</v>
      </c>
      <c r="L1943" t="s">
        <v>23</v>
      </c>
      <c r="M1943" t="s">
        <v>24</v>
      </c>
      <c r="N1943" t="s">
        <v>23</v>
      </c>
      <c r="O1943">
        <v>46</v>
      </c>
      <c r="P1943" t="s">
        <v>53</v>
      </c>
      <c r="Q1943" t="s">
        <v>37</v>
      </c>
      <c r="R1943" s="1">
        <v>0.1</v>
      </c>
      <c r="S1943">
        <f t="shared" si="120"/>
        <v>89.1</v>
      </c>
      <c r="T1943">
        <f>IFERROR(VLOOKUP(A1943,Table1[[Customer ID]:[Discount Amount]], 6, FALSE),"Not Found")</f>
        <v>99</v>
      </c>
      <c r="U1943" t="str">
        <f t="shared" si="121"/>
        <v>Credit Card</v>
      </c>
      <c r="V1943" s="4" t="str">
        <f t="shared" si="122"/>
        <v>Normal</v>
      </c>
      <c r="W1943" s="4" t="str">
        <f t="shared" si="123"/>
        <v>Good</v>
      </c>
      <c r="X1943" s="4">
        <f>AVERAGE(Table1[Purchase Amount])</f>
        <v>129.48419400000012</v>
      </c>
    </row>
    <row r="1944" spans="1:24" ht="15" customHeight="1" x14ac:dyDescent="0.25">
      <c r="A1944">
        <v>1943</v>
      </c>
      <c r="B1944">
        <v>63</v>
      </c>
      <c r="C1944" t="s">
        <v>27</v>
      </c>
      <c r="D1944" t="s">
        <v>99</v>
      </c>
      <c r="E1944" t="s">
        <v>18</v>
      </c>
      <c r="F1944" s="2">
        <v>28</v>
      </c>
      <c r="G1944" t="s">
        <v>51</v>
      </c>
      <c r="H1944" t="s">
        <v>31</v>
      </c>
      <c r="I1944" t="s">
        <v>128</v>
      </c>
      <c r="J1944" t="s">
        <v>47</v>
      </c>
      <c r="K1944">
        <v>3.4</v>
      </c>
      <c r="L1944" t="s">
        <v>23</v>
      </c>
      <c r="M1944" t="s">
        <v>61</v>
      </c>
      <c r="N1944" t="s">
        <v>23</v>
      </c>
      <c r="O1944">
        <v>22</v>
      </c>
      <c r="P1944" t="s">
        <v>58</v>
      </c>
      <c r="Q1944" t="s">
        <v>42</v>
      </c>
      <c r="R1944" s="1">
        <v>0.1</v>
      </c>
      <c r="S1944">
        <f t="shared" si="120"/>
        <v>25.2</v>
      </c>
      <c r="T1944">
        <f>IFERROR(VLOOKUP(A1944,Table1[[Customer ID]:[Discount Amount]], 6, FALSE),"Not Found")</f>
        <v>28</v>
      </c>
      <c r="U1944" t="str">
        <f t="shared" si="121"/>
        <v>PayPal</v>
      </c>
      <c r="V1944" s="4" t="str">
        <f t="shared" si="122"/>
        <v>Normal</v>
      </c>
      <c r="W1944" s="4" t="str">
        <f t="shared" si="123"/>
        <v>Good</v>
      </c>
      <c r="X1944" s="4">
        <f>AVERAGE(Table1[Purchase Amount])</f>
        <v>129.48419400000012</v>
      </c>
    </row>
    <row r="1945" spans="1:24" ht="15" customHeight="1" x14ac:dyDescent="0.25">
      <c r="A1945">
        <v>1944</v>
      </c>
      <c r="B1945">
        <v>32</v>
      </c>
      <c r="C1945" t="s">
        <v>27</v>
      </c>
      <c r="D1945" t="s">
        <v>105</v>
      </c>
      <c r="E1945" t="s">
        <v>18</v>
      </c>
      <c r="F1945" s="2">
        <v>53</v>
      </c>
      <c r="G1945" t="s">
        <v>59</v>
      </c>
      <c r="H1945" t="s">
        <v>45</v>
      </c>
      <c r="I1945" t="s">
        <v>111</v>
      </c>
      <c r="J1945" t="s">
        <v>57</v>
      </c>
      <c r="K1945">
        <v>3.8</v>
      </c>
      <c r="L1945" t="s">
        <v>23</v>
      </c>
      <c r="M1945" t="s">
        <v>79</v>
      </c>
      <c r="N1945" t="s">
        <v>23</v>
      </c>
      <c r="O1945">
        <v>45</v>
      </c>
      <c r="P1945" t="s">
        <v>25</v>
      </c>
      <c r="Q1945" t="s">
        <v>49</v>
      </c>
      <c r="R1945" s="1">
        <v>0.1</v>
      </c>
      <c r="S1945">
        <f t="shared" si="120"/>
        <v>47.7</v>
      </c>
      <c r="T1945">
        <f>IFERROR(VLOOKUP(A1945,Table1[[Customer ID]:[Discount Amount]], 6, FALSE),"Not Found")</f>
        <v>53</v>
      </c>
      <c r="U1945" t="str">
        <f t="shared" si="121"/>
        <v>Cash</v>
      </c>
      <c r="V1945" s="4" t="str">
        <f t="shared" si="122"/>
        <v>Normal</v>
      </c>
      <c r="W1945" s="4" t="str">
        <f t="shared" si="123"/>
        <v>Good</v>
      </c>
      <c r="X1945" s="4">
        <f>AVERAGE(Table1[Purchase Amount])</f>
        <v>129.48419400000012</v>
      </c>
    </row>
    <row r="1946" spans="1:24" ht="15" customHeight="1" x14ac:dyDescent="0.25">
      <c r="A1946">
        <v>1945</v>
      </c>
      <c r="B1946">
        <v>30</v>
      </c>
      <c r="C1946" t="s">
        <v>27</v>
      </c>
      <c r="D1946" t="s">
        <v>83</v>
      </c>
      <c r="E1946" t="s">
        <v>18</v>
      </c>
      <c r="F1946" s="2">
        <v>45</v>
      </c>
      <c r="G1946" t="s">
        <v>100</v>
      </c>
      <c r="H1946" t="s">
        <v>31</v>
      </c>
      <c r="I1946" t="s">
        <v>133</v>
      </c>
      <c r="J1946" t="s">
        <v>22</v>
      </c>
      <c r="K1946">
        <v>2.7</v>
      </c>
      <c r="L1946" t="s">
        <v>23</v>
      </c>
      <c r="M1946" t="s">
        <v>35</v>
      </c>
      <c r="N1946" t="s">
        <v>23</v>
      </c>
      <c r="O1946">
        <v>49</v>
      </c>
      <c r="P1946" t="s">
        <v>25</v>
      </c>
      <c r="Q1946" t="s">
        <v>63</v>
      </c>
      <c r="R1946" s="1">
        <v>0.1</v>
      </c>
      <c r="S1946">
        <f t="shared" si="120"/>
        <v>40.5</v>
      </c>
      <c r="T1946">
        <f>IFERROR(VLOOKUP(A1946,Table1[[Customer ID]:[Discount Amount]], 6, FALSE),"Not Found")</f>
        <v>45</v>
      </c>
      <c r="U1946" t="str">
        <f t="shared" si="121"/>
        <v>Cash</v>
      </c>
      <c r="V1946" s="4" t="str">
        <f t="shared" si="122"/>
        <v>Normal</v>
      </c>
      <c r="W1946" s="4" t="str">
        <f t="shared" si="123"/>
        <v>Poor</v>
      </c>
      <c r="X1946" s="4">
        <f>AVERAGE(Table1[Purchase Amount])</f>
        <v>129.48419400000012</v>
      </c>
    </row>
    <row r="1947" spans="1:24" ht="15" customHeight="1" x14ac:dyDescent="0.25">
      <c r="A1947">
        <v>1946</v>
      </c>
      <c r="B1947">
        <v>35</v>
      </c>
      <c r="C1947" t="s">
        <v>27</v>
      </c>
      <c r="D1947" t="s">
        <v>83</v>
      </c>
      <c r="E1947" t="s">
        <v>18</v>
      </c>
      <c r="F1947" s="2">
        <v>38</v>
      </c>
      <c r="G1947" t="s">
        <v>160</v>
      </c>
      <c r="H1947" t="s">
        <v>31</v>
      </c>
      <c r="I1947" t="s">
        <v>133</v>
      </c>
      <c r="J1947" t="s">
        <v>22</v>
      </c>
      <c r="K1947">
        <v>2.9</v>
      </c>
      <c r="L1947" t="s">
        <v>23</v>
      </c>
      <c r="M1947" t="s">
        <v>41</v>
      </c>
      <c r="N1947" t="s">
        <v>23</v>
      </c>
      <c r="O1947">
        <v>9</v>
      </c>
      <c r="P1947" t="s">
        <v>53</v>
      </c>
      <c r="Q1947" t="s">
        <v>63</v>
      </c>
      <c r="R1947" s="1">
        <v>0.1</v>
      </c>
      <c r="S1947">
        <f t="shared" si="120"/>
        <v>34.200000000000003</v>
      </c>
      <c r="T1947">
        <f>IFERROR(VLOOKUP(A1947,Table1[[Customer ID]:[Discount Amount]], 6, FALSE),"Not Found")</f>
        <v>38</v>
      </c>
      <c r="U1947" t="str">
        <f t="shared" si="121"/>
        <v>Credit Card</v>
      </c>
      <c r="V1947" s="4" t="str">
        <f t="shared" si="122"/>
        <v>Normal</v>
      </c>
      <c r="W1947" s="4" t="str">
        <f t="shared" si="123"/>
        <v>Poor</v>
      </c>
      <c r="X1947" s="4">
        <f>AVERAGE(Table1[Purchase Amount])</f>
        <v>129.48419400000012</v>
      </c>
    </row>
    <row r="1948" spans="1:24" ht="15" customHeight="1" x14ac:dyDescent="0.25">
      <c r="A1948">
        <v>1947</v>
      </c>
      <c r="B1948">
        <v>59</v>
      </c>
      <c r="C1948" t="s">
        <v>27</v>
      </c>
      <c r="D1948" t="s">
        <v>99</v>
      </c>
      <c r="E1948" t="s">
        <v>18</v>
      </c>
      <c r="F1948" s="2">
        <v>49</v>
      </c>
      <c r="G1948" t="s">
        <v>119</v>
      </c>
      <c r="H1948" t="s">
        <v>31</v>
      </c>
      <c r="I1948" t="s">
        <v>32</v>
      </c>
      <c r="J1948" t="s">
        <v>57</v>
      </c>
      <c r="K1948">
        <v>4.5</v>
      </c>
      <c r="L1948" t="s">
        <v>23</v>
      </c>
      <c r="M1948" t="s">
        <v>24</v>
      </c>
      <c r="N1948" t="s">
        <v>23</v>
      </c>
      <c r="O1948">
        <v>41</v>
      </c>
      <c r="P1948" t="s">
        <v>53</v>
      </c>
      <c r="Q1948" t="s">
        <v>37</v>
      </c>
      <c r="R1948" s="1">
        <v>0.1</v>
      </c>
      <c r="S1948">
        <f t="shared" si="120"/>
        <v>44.1</v>
      </c>
      <c r="T1948">
        <f>IFERROR(VLOOKUP(A1948,Table1[[Customer ID]:[Discount Amount]], 6, FALSE),"Not Found")</f>
        <v>49</v>
      </c>
      <c r="U1948" t="str">
        <f t="shared" si="121"/>
        <v>Credit Card</v>
      </c>
      <c r="V1948" s="4" t="str">
        <f t="shared" si="122"/>
        <v>Normal</v>
      </c>
      <c r="W1948" s="4" t="str">
        <f t="shared" si="123"/>
        <v>Good</v>
      </c>
      <c r="X1948" s="4">
        <f>AVERAGE(Table1[Purchase Amount])</f>
        <v>129.48419400000012</v>
      </c>
    </row>
    <row r="1949" spans="1:24" ht="15" customHeight="1" x14ac:dyDescent="0.25">
      <c r="A1949">
        <v>1948</v>
      </c>
      <c r="B1949">
        <v>59</v>
      </c>
      <c r="C1949" t="s">
        <v>27</v>
      </c>
      <c r="D1949" t="s">
        <v>38</v>
      </c>
      <c r="E1949" t="s">
        <v>18</v>
      </c>
      <c r="F1949" s="2">
        <v>32</v>
      </c>
      <c r="G1949" t="s">
        <v>101</v>
      </c>
      <c r="H1949" t="s">
        <v>31</v>
      </c>
      <c r="I1949" t="s">
        <v>85</v>
      </c>
      <c r="J1949" t="s">
        <v>57</v>
      </c>
      <c r="K1949">
        <v>2.6</v>
      </c>
      <c r="L1949" t="s">
        <v>23</v>
      </c>
      <c r="M1949" t="s">
        <v>48</v>
      </c>
      <c r="N1949" t="s">
        <v>23</v>
      </c>
      <c r="O1949">
        <v>2</v>
      </c>
      <c r="P1949" t="s">
        <v>58</v>
      </c>
      <c r="Q1949" t="s">
        <v>42</v>
      </c>
      <c r="R1949" s="1">
        <v>0.1</v>
      </c>
      <c r="S1949">
        <f t="shared" si="120"/>
        <v>28.8</v>
      </c>
      <c r="T1949">
        <f>IFERROR(VLOOKUP(A1949,Table1[[Customer ID]:[Discount Amount]], 6, FALSE),"Not Found")</f>
        <v>32</v>
      </c>
      <c r="U1949" t="str">
        <f t="shared" si="121"/>
        <v>PayPal</v>
      </c>
      <c r="V1949" s="4" t="str">
        <f t="shared" si="122"/>
        <v>Normal</v>
      </c>
      <c r="W1949" s="4" t="str">
        <f t="shared" si="123"/>
        <v>Poor</v>
      </c>
      <c r="X1949" s="4">
        <f>AVERAGE(Table1[Purchase Amount])</f>
        <v>129.48419400000012</v>
      </c>
    </row>
    <row r="1950" spans="1:24" ht="15" customHeight="1" x14ac:dyDescent="0.25">
      <c r="A1950">
        <v>1949</v>
      </c>
      <c r="B1950">
        <v>54</v>
      </c>
      <c r="C1950" t="s">
        <v>27</v>
      </c>
      <c r="D1950" t="s">
        <v>17</v>
      </c>
      <c r="E1950" t="s">
        <v>18</v>
      </c>
      <c r="F1950" s="2">
        <v>37</v>
      </c>
      <c r="G1950" t="s">
        <v>115</v>
      </c>
      <c r="H1950" t="s">
        <v>45</v>
      </c>
      <c r="I1950" t="s">
        <v>60</v>
      </c>
      <c r="J1950" t="s">
        <v>22</v>
      </c>
      <c r="K1950">
        <v>3.1</v>
      </c>
      <c r="L1950" t="s">
        <v>23</v>
      </c>
      <c r="M1950" t="s">
        <v>79</v>
      </c>
      <c r="N1950" t="s">
        <v>23</v>
      </c>
      <c r="O1950">
        <v>39</v>
      </c>
      <c r="P1950" t="s">
        <v>58</v>
      </c>
      <c r="Q1950" t="s">
        <v>68</v>
      </c>
      <c r="R1950" s="1">
        <v>0.1</v>
      </c>
      <c r="S1950">
        <f t="shared" si="120"/>
        <v>33.299999999999997</v>
      </c>
      <c r="T1950">
        <f>IFERROR(VLOOKUP(A1950,Table1[[Customer ID]:[Discount Amount]], 6, FALSE),"Not Found")</f>
        <v>37</v>
      </c>
      <c r="U1950" t="str">
        <f t="shared" si="121"/>
        <v>PayPal</v>
      </c>
      <c r="V1950" s="4" t="str">
        <f t="shared" si="122"/>
        <v>Normal</v>
      </c>
      <c r="W1950" s="4" t="str">
        <f t="shared" si="123"/>
        <v>Good</v>
      </c>
      <c r="X1950" s="4">
        <f>AVERAGE(Table1[Purchase Amount])</f>
        <v>129.48419400000012</v>
      </c>
    </row>
    <row r="1951" spans="1:24" ht="15" customHeight="1" x14ac:dyDescent="0.25">
      <c r="A1951">
        <v>1950</v>
      </c>
      <c r="B1951">
        <v>63</v>
      </c>
      <c r="C1951" t="s">
        <v>27</v>
      </c>
      <c r="D1951" t="s">
        <v>157</v>
      </c>
      <c r="E1951" t="s">
        <v>18</v>
      </c>
      <c r="F1951" s="2">
        <v>80</v>
      </c>
      <c r="G1951" t="s">
        <v>137</v>
      </c>
      <c r="H1951" t="s">
        <v>45</v>
      </c>
      <c r="I1951" t="s">
        <v>85</v>
      </c>
      <c r="J1951" t="s">
        <v>22</v>
      </c>
      <c r="K1951">
        <v>4.7</v>
      </c>
      <c r="L1951" t="s">
        <v>23</v>
      </c>
      <c r="M1951" t="s">
        <v>48</v>
      </c>
      <c r="N1951" t="s">
        <v>23</v>
      </c>
      <c r="O1951">
        <v>12</v>
      </c>
      <c r="P1951" t="s">
        <v>58</v>
      </c>
      <c r="Q1951" t="s">
        <v>37</v>
      </c>
      <c r="R1951" s="1">
        <v>0.1</v>
      </c>
      <c r="S1951">
        <f t="shared" si="120"/>
        <v>72</v>
      </c>
      <c r="T1951">
        <f>IFERROR(VLOOKUP(A1951,Table1[[Customer ID]:[Discount Amount]], 6, FALSE),"Not Found")</f>
        <v>80</v>
      </c>
      <c r="U1951" t="str">
        <f t="shared" si="121"/>
        <v>PayPal</v>
      </c>
      <c r="V1951" s="4" t="str">
        <f t="shared" si="122"/>
        <v>Normal</v>
      </c>
      <c r="W1951" s="4" t="str">
        <f t="shared" si="123"/>
        <v>Good</v>
      </c>
      <c r="X1951" s="4">
        <f>AVERAGE(Table1[Purchase Amount])</f>
        <v>129.48419400000012</v>
      </c>
    </row>
    <row r="1952" spans="1:24" ht="15" customHeight="1" x14ac:dyDescent="0.25">
      <c r="A1952">
        <v>1951</v>
      </c>
      <c r="B1952">
        <v>43</v>
      </c>
      <c r="C1952" t="s">
        <v>27</v>
      </c>
      <c r="D1952" t="s">
        <v>104</v>
      </c>
      <c r="E1952" t="s">
        <v>29</v>
      </c>
      <c r="F1952" s="2">
        <v>78</v>
      </c>
      <c r="G1952" t="s">
        <v>100</v>
      </c>
      <c r="H1952" t="s">
        <v>45</v>
      </c>
      <c r="I1952" t="s">
        <v>74</v>
      </c>
      <c r="J1952" t="s">
        <v>57</v>
      </c>
      <c r="K1952">
        <v>4.5999999999999996</v>
      </c>
      <c r="L1952" t="s">
        <v>23</v>
      </c>
      <c r="M1952" t="s">
        <v>35</v>
      </c>
      <c r="N1952" t="s">
        <v>23</v>
      </c>
      <c r="O1952">
        <v>26</v>
      </c>
      <c r="P1952" t="s">
        <v>58</v>
      </c>
      <c r="Q1952" t="s">
        <v>63</v>
      </c>
      <c r="R1952" s="1">
        <v>0.1</v>
      </c>
      <c r="S1952">
        <f t="shared" si="120"/>
        <v>70.2</v>
      </c>
      <c r="T1952">
        <f>IFERROR(VLOOKUP(A1952,Table1[[Customer ID]:[Discount Amount]], 6, FALSE),"Not Found")</f>
        <v>78</v>
      </c>
      <c r="U1952" t="str">
        <f t="shared" si="121"/>
        <v>PayPal</v>
      </c>
      <c r="V1952" s="4" t="str">
        <f t="shared" si="122"/>
        <v>Normal</v>
      </c>
      <c r="W1952" s="4" t="str">
        <f t="shared" si="123"/>
        <v>Good</v>
      </c>
      <c r="X1952" s="4">
        <f>AVERAGE(Table1[Purchase Amount])</f>
        <v>129.48419400000012</v>
      </c>
    </row>
    <row r="1953" spans="1:24" ht="15" customHeight="1" x14ac:dyDescent="0.25">
      <c r="A1953">
        <v>1952</v>
      </c>
      <c r="B1953">
        <v>33</v>
      </c>
      <c r="C1953" t="s">
        <v>27</v>
      </c>
      <c r="D1953" t="s">
        <v>43</v>
      </c>
      <c r="E1953" t="s">
        <v>29</v>
      </c>
      <c r="F1953" s="2">
        <v>53</v>
      </c>
      <c r="G1953" t="s">
        <v>115</v>
      </c>
      <c r="H1953" t="s">
        <v>45</v>
      </c>
      <c r="I1953" t="s">
        <v>133</v>
      </c>
      <c r="J1953" t="s">
        <v>57</v>
      </c>
      <c r="K1953">
        <v>2.7</v>
      </c>
      <c r="L1953" t="s">
        <v>23</v>
      </c>
      <c r="M1953" t="s">
        <v>79</v>
      </c>
      <c r="N1953" t="s">
        <v>23</v>
      </c>
      <c r="O1953">
        <v>32</v>
      </c>
      <c r="P1953" t="s">
        <v>88</v>
      </c>
      <c r="Q1953" t="s">
        <v>68</v>
      </c>
      <c r="R1953" s="1">
        <v>0.1</v>
      </c>
      <c r="S1953">
        <f t="shared" si="120"/>
        <v>47.7</v>
      </c>
      <c r="T1953">
        <f>IFERROR(VLOOKUP(A1953,Table1[[Customer ID]:[Discount Amount]], 6, FALSE),"Not Found")</f>
        <v>53</v>
      </c>
      <c r="U1953" t="str">
        <f t="shared" si="121"/>
        <v>Bank Transfer</v>
      </c>
      <c r="V1953" s="4" t="str">
        <f t="shared" si="122"/>
        <v>Normal</v>
      </c>
      <c r="W1953" s="4" t="str">
        <f t="shared" si="123"/>
        <v>Poor</v>
      </c>
      <c r="X1953" s="4">
        <f>AVERAGE(Table1[Purchase Amount])</f>
        <v>129.48419400000012</v>
      </c>
    </row>
    <row r="1954" spans="1:24" ht="15" customHeight="1" x14ac:dyDescent="0.25">
      <c r="A1954">
        <v>1953</v>
      </c>
      <c r="B1954">
        <v>57</v>
      </c>
      <c r="C1954" t="s">
        <v>27</v>
      </c>
      <c r="D1954" t="s">
        <v>72</v>
      </c>
      <c r="E1954" t="s">
        <v>98</v>
      </c>
      <c r="F1954" s="2">
        <v>82</v>
      </c>
      <c r="G1954" t="s">
        <v>106</v>
      </c>
      <c r="H1954" t="s">
        <v>45</v>
      </c>
      <c r="I1954" t="s">
        <v>52</v>
      </c>
      <c r="J1954" t="s">
        <v>57</v>
      </c>
      <c r="K1954">
        <v>4.5999999999999996</v>
      </c>
      <c r="L1954" t="s">
        <v>23</v>
      </c>
      <c r="M1954" t="s">
        <v>41</v>
      </c>
      <c r="N1954" t="s">
        <v>23</v>
      </c>
      <c r="O1954">
        <v>50</v>
      </c>
      <c r="P1954" t="s">
        <v>25</v>
      </c>
      <c r="Q1954" t="s">
        <v>68</v>
      </c>
      <c r="R1954" s="1">
        <v>0.1</v>
      </c>
      <c r="S1954">
        <f t="shared" si="120"/>
        <v>73.8</v>
      </c>
      <c r="T1954">
        <f>IFERROR(VLOOKUP(A1954,Table1[[Customer ID]:[Discount Amount]], 6, FALSE),"Not Found")</f>
        <v>82</v>
      </c>
      <c r="U1954" t="str">
        <f t="shared" si="121"/>
        <v>Cash</v>
      </c>
      <c r="V1954" s="4" t="str">
        <f t="shared" si="122"/>
        <v>Normal</v>
      </c>
      <c r="W1954" s="4" t="str">
        <f t="shared" si="123"/>
        <v>Good</v>
      </c>
      <c r="X1954" s="4">
        <f>AVERAGE(Table1[Purchase Amount])</f>
        <v>129.48419400000012</v>
      </c>
    </row>
    <row r="1955" spans="1:24" ht="15" customHeight="1" x14ac:dyDescent="0.25">
      <c r="A1955">
        <v>1954</v>
      </c>
      <c r="B1955">
        <v>25</v>
      </c>
      <c r="C1955" t="s">
        <v>27</v>
      </c>
      <c r="D1955" t="s">
        <v>122</v>
      </c>
      <c r="E1955" t="s">
        <v>18</v>
      </c>
      <c r="F1955" s="2">
        <v>33</v>
      </c>
      <c r="G1955" t="s">
        <v>92</v>
      </c>
      <c r="H1955" t="s">
        <v>20</v>
      </c>
      <c r="I1955" t="s">
        <v>93</v>
      </c>
      <c r="J1955" t="s">
        <v>33</v>
      </c>
      <c r="K1955">
        <v>4.8</v>
      </c>
      <c r="L1955" t="s">
        <v>23</v>
      </c>
      <c r="M1955" t="s">
        <v>24</v>
      </c>
      <c r="N1955" t="s">
        <v>23</v>
      </c>
      <c r="O1955">
        <v>3</v>
      </c>
      <c r="P1955" t="s">
        <v>58</v>
      </c>
      <c r="Q1955" t="s">
        <v>89</v>
      </c>
      <c r="R1955" s="1">
        <v>0.1</v>
      </c>
      <c r="S1955">
        <f t="shared" si="120"/>
        <v>29.7</v>
      </c>
      <c r="T1955">
        <f>IFERROR(VLOOKUP(A1955,Table1[[Customer ID]:[Discount Amount]], 6, FALSE),"Not Found")</f>
        <v>33</v>
      </c>
      <c r="U1955" t="str">
        <f t="shared" si="121"/>
        <v>PayPal</v>
      </c>
      <c r="V1955" s="4" t="str">
        <f t="shared" si="122"/>
        <v>Normal</v>
      </c>
      <c r="W1955" s="4" t="str">
        <f t="shared" si="123"/>
        <v>Good</v>
      </c>
      <c r="X1955" s="4">
        <f>AVERAGE(Table1[Purchase Amount])</f>
        <v>129.48419400000012</v>
      </c>
    </row>
    <row r="1956" spans="1:24" ht="15" customHeight="1" x14ac:dyDescent="0.25">
      <c r="A1956">
        <v>1955</v>
      </c>
      <c r="B1956">
        <v>26</v>
      </c>
      <c r="C1956" t="s">
        <v>27</v>
      </c>
      <c r="D1956" t="s">
        <v>43</v>
      </c>
      <c r="E1956" t="s">
        <v>29</v>
      </c>
      <c r="F1956" s="2">
        <v>77</v>
      </c>
      <c r="G1956" t="s">
        <v>92</v>
      </c>
      <c r="H1956" t="s">
        <v>31</v>
      </c>
      <c r="I1956" t="s">
        <v>136</v>
      </c>
      <c r="J1956" t="s">
        <v>22</v>
      </c>
      <c r="K1956">
        <v>4.2</v>
      </c>
      <c r="L1956" t="s">
        <v>23</v>
      </c>
      <c r="M1956" t="s">
        <v>35</v>
      </c>
      <c r="N1956" t="s">
        <v>23</v>
      </c>
      <c r="O1956">
        <v>3</v>
      </c>
      <c r="P1956" t="s">
        <v>62</v>
      </c>
      <c r="Q1956" t="s">
        <v>37</v>
      </c>
      <c r="R1956" s="1">
        <v>0.1</v>
      </c>
      <c r="S1956">
        <f t="shared" si="120"/>
        <v>69.3</v>
      </c>
      <c r="T1956">
        <f>IFERROR(VLOOKUP(A1956,Table1[[Customer ID]:[Discount Amount]], 6, FALSE),"Not Found")</f>
        <v>77</v>
      </c>
      <c r="U1956" t="str">
        <f t="shared" si="121"/>
        <v>Venmo</v>
      </c>
      <c r="V1956" s="4" t="str">
        <f t="shared" si="122"/>
        <v>Normal</v>
      </c>
      <c r="W1956" s="4" t="str">
        <f t="shared" si="123"/>
        <v>Good</v>
      </c>
      <c r="X1956" s="4">
        <f>AVERAGE(Table1[Purchase Amount])</f>
        <v>129.48419400000012</v>
      </c>
    </row>
    <row r="1957" spans="1:24" ht="15" customHeight="1" x14ac:dyDescent="0.25">
      <c r="A1957">
        <v>1956</v>
      </c>
      <c r="B1957">
        <v>50</v>
      </c>
      <c r="C1957" t="s">
        <v>27</v>
      </c>
      <c r="D1957" t="s">
        <v>83</v>
      </c>
      <c r="E1957" t="s">
        <v>18</v>
      </c>
      <c r="F1957" s="2">
        <v>56</v>
      </c>
      <c r="G1957" t="s">
        <v>94</v>
      </c>
      <c r="H1957" t="s">
        <v>31</v>
      </c>
      <c r="I1957" t="s">
        <v>136</v>
      </c>
      <c r="J1957" t="s">
        <v>22</v>
      </c>
      <c r="K1957">
        <v>4.9000000000000004</v>
      </c>
      <c r="L1957" t="s">
        <v>23</v>
      </c>
      <c r="M1957" t="s">
        <v>61</v>
      </c>
      <c r="N1957" t="s">
        <v>23</v>
      </c>
      <c r="O1957">
        <v>37</v>
      </c>
      <c r="P1957" t="s">
        <v>25</v>
      </c>
      <c r="Q1957" t="s">
        <v>42</v>
      </c>
      <c r="R1957" s="1">
        <v>0.1</v>
      </c>
      <c r="S1957">
        <f t="shared" si="120"/>
        <v>50.4</v>
      </c>
      <c r="T1957">
        <f>IFERROR(VLOOKUP(A1957,Table1[[Customer ID]:[Discount Amount]], 6, FALSE),"Not Found")</f>
        <v>56</v>
      </c>
      <c r="U1957" t="str">
        <f t="shared" si="121"/>
        <v>Cash</v>
      </c>
      <c r="V1957" s="4" t="str">
        <f t="shared" si="122"/>
        <v>Normal</v>
      </c>
      <c r="W1957" s="4" t="str">
        <f t="shared" si="123"/>
        <v>Good</v>
      </c>
      <c r="X1957" s="4">
        <f>AVERAGE(Table1[Purchase Amount])</f>
        <v>129.48419400000012</v>
      </c>
    </row>
    <row r="1958" spans="1:24" ht="15" customHeight="1" x14ac:dyDescent="0.25">
      <c r="A1958">
        <v>1957</v>
      </c>
      <c r="B1958">
        <v>70</v>
      </c>
      <c r="C1958" t="s">
        <v>27</v>
      </c>
      <c r="D1958" t="s">
        <v>105</v>
      </c>
      <c r="E1958" t="s">
        <v>18</v>
      </c>
      <c r="F1958" s="2">
        <v>37</v>
      </c>
      <c r="G1958" t="s">
        <v>142</v>
      </c>
      <c r="H1958" t="s">
        <v>31</v>
      </c>
      <c r="I1958" t="s">
        <v>136</v>
      </c>
      <c r="J1958" t="s">
        <v>22</v>
      </c>
      <c r="K1958">
        <v>4.9000000000000004</v>
      </c>
      <c r="L1958" t="s">
        <v>23</v>
      </c>
      <c r="M1958" t="s">
        <v>61</v>
      </c>
      <c r="N1958" t="s">
        <v>23</v>
      </c>
      <c r="O1958">
        <v>20</v>
      </c>
      <c r="P1958" t="s">
        <v>53</v>
      </c>
      <c r="Q1958" t="s">
        <v>89</v>
      </c>
      <c r="R1958" s="1">
        <v>0.1</v>
      </c>
      <c r="S1958">
        <f t="shared" si="120"/>
        <v>33.299999999999997</v>
      </c>
      <c r="T1958">
        <f>IFERROR(VLOOKUP(A1958,Table1[[Customer ID]:[Discount Amount]], 6, FALSE),"Not Found")</f>
        <v>37</v>
      </c>
      <c r="U1958" t="str">
        <f t="shared" si="121"/>
        <v>Credit Card</v>
      </c>
      <c r="V1958" s="4" t="str">
        <f t="shared" si="122"/>
        <v>Normal</v>
      </c>
      <c r="W1958" s="4" t="str">
        <f t="shared" si="123"/>
        <v>Good</v>
      </c>
      <c r="X1958" s="4">
        <f>AVERAGE(Table1[Purchase Amount])</f>
        <v>129.48419400000012</v>
      </c>
    </row>
    <row r="1959" spans="1:24" ht="15" customHeight="1" x14ac:dyDescent="0.25">
      <c r="A1959">
        <v>1958</v>
      </c>
      <c r="B1959">
        <v>68</v>
      </c>
      <c r="C1959" t="s">
        <v>27</v>
      </c>
      <c r="D1959" t="s">
        <v>43</v>
      </c>
      <c r="E1959" t="s">
        <v>29</v>
      </c>
      <c r="F1959" s="2">
        <v>54</v>
      </c>
      <c r="G1959" t="s">
        <v>30</v>
      </c>
      <c r="H1959" t="s">
        <v>31</v>
      </c>
      <c r="I1959" t="s">
        <v>128</v>
      </c>
      <c r="J1959" t="s">
        <v>33</v>
      </c>
      <c r="K1959">
        <v>4.5</v>
      </c>
      <c r="L1959" t="s">
        <v>23</v>
      </c>
      <c r="M1959" t="s">
        <v>48</v>
      </c>
      <c r="N1959" t="s">
        <v>23</v>
      </c>
      <c r="O1959">
        <v>26</v>
      </c>
      <c r="P1959" t="s">
        <v>25</v>
      </c>
      <c r="Q1959" t="s">
        <v>68</v>
      </c>
      <c r="R1959" s="1">
        <v>0.1</v>
      </c>
      <c r="S1959">
        <f t="shared" si="120"/>
        <v>48.6</v>
      </c>
      <c r="T1959">
        <f>IFERROR(VLOOKUP(A1959,Table1[[Customer ID]:[Discount Amount]], 6, FALSE),"Not Found")</f>
        <v>54</v>
      </c>
      <c r="U1959" t="str">
        <f t="shared" si="121"/>
        <v>Cash</v>
      </c>
      <c r="V1959" s="4" t="str">
        <f t="shared" si="122"/>
        <v>Normal</v>
      </c>
      <c r="W1959" s="4" t="str">
        <f t="shared" si="123"/>
        <v>Good</v>
      </c>
      <c r="X1959" s="4">
        <f>AVERAGE(Table1[Purchase Amount])</f>
        <v>129.48419400000012</v>
      </c>
    </row>
    <row r="1960" spans="1:24" ht="15" customHeight="1" x14ac:dyDescent="0.25">
      <c r="A1960">
        <v>1959</v>
      </c>
      <c r="B1960">
        <v>39</v>
      </c>
      <c r="C1960" t="s">
        <v>27</v>
      </c>
      <c r="D1960" t="s">
        <v>54</v>
      </c>
      <c r="E1960" t="s">
        <v>18</v>
      </c>
      <c r="F1960" s="2">
        <v>67</v>
      </c>
      <c r="G1960" t="s">
        <v>158</v>
      </c>
      <c r="H1960" t="s">
        <v>31</v>
      </c>
      <c r="I1960" t="s">
        <v>85</v>
      </c>
      <c r="J1960" t="s">
        <v>22</v>
      </c>
      <c r="K1960">
        <v>2.7</v>
      </c>
      <c r="L1960" t="s">
        <v>23</v>
      </c>
      <c r="M1960" t="s">
        <v>48</v>
      </c>
      <c r="N1960" t="s">
        <v>23</v>
      </c>
      <c r="O1960">
        <v>47</v>
      </c>
      <c r="P1960" t="s">
        <v>25</v>
      </c>
      <c r="Q1960" t="s">
        <v>37</v>
      </c>
      <c r="R1960" s="1">
        <v>0.1</v>
      </c>
      <c r="S1960">
        <f t="shared" si="120"/>
        <v>60.3</v>
      </c>
      <c r="T1960">
        <f>IFERROR(VLOOKUP(A1960,Table1[[Customer ID]:[Discount Amount]], 6, FALSE),"Not Found")</f>
        <v>67</v>
      </c>
      <c r="U1960" t="str">
        <f t="shared" si="121"/>
        <v>Cash</v>
      </c>
      <c r="V1960" s="4" t="str">
        <f t="shared" si="122"/>
        <v>Normal</v>
      </c>
      <c r="W1960" s="4" t="str">
        <f t="shared" si="123"/>
        <v>Poor</v>
      </c>
      <c r="X1960" s="4">
        <f>AVERAGE(Table1[Purchase Amount])</f>
        <v>129.48419400000012</v>
      </c>
    </row>
    <row r="1961" spans="1:24" ht="15" customHeight="1" x14ac:dyDescent="0.25">
      <c r="A1961">
        <v>1960</v>
      </c>
      <c r="B1961">
        <v>46</v>
      </c>
      <c r="C1961" t="s">
        <v>27</v>
      </c>
      <c r="D1961" t="s">
        <v>72</v>
      </c>
      <c r="E1961" t="s">
        <v>98</v>
      </c>
      <c r="F1961" s="2">
        <v>90</v>
      </c>
      <c r="G1961" t="s">
        <v>92</v>
      </c>
      <c r="H1961" t="s">
        <v>31</v>
      </c>
      <c r="I1961" t="s">
        <v>32</v>
      </c>
      <c r="J1961" t="s">
        <v>47</v>
      </c>
      <c r="K1961">
        <v>3.1</v>
      </c>
      <c r="L1961" t="s">
        <v>23</v>
      </c>
      <c r="M1961" t="s">
        <v>48</v>
      </c>
      <c r="N1961" t="s">
        <v>23</v>
      </c>
      <c r="O1961">
        <v>7</v>
      </c>
      <c r="P1961" t="s">
        <v>53</v>
      </c>
      <c r="Q1961" t="s">
        <v>63</v>
      </c>
      <c r="R1961" s="1">
        <v>0.1</v>
      </c>
      <c r="S1961">
        <f t="shared" si="120"/>
        <v>81</v>
      </c>
      <c r="T1961">
        <f>IFERROR(VLOOKUP(A1961,Table1[[Customer ID]:[Discount Amount]], 6, FALSE),"Not Found")</f>
        <v>90</v>
      </c>
      <c r="U1961" t="str">
        <f t="shared" si="121"/>
        <v>Credit Card</v>
      </c>
      <c r="V1961" s="4" t="str">
        <f t="shared" si="122"/>
        <v>Normal</v>
      </c>
      <c r="W1961" s="4" t="str">
        <f t="shared" si="123"/>
        <v>Good</v>
      </c>
      <c r="X1961" s="4">
        <f>AVERAGE(Table1[Purchase Amount])</f>
        <v>129.48419400000012</v>
      </c>
    </row>
    <row r="1962" spans="1:24" ht="15" customHeight="1" x14ac:dyDescent="0.25">
      <c r="A1962">
        <v>1961</v>
      </c>
      <c r="B1962">
        <v>57</v>
      </c>
      <c r="C1962" t="s">
        <v>27</v>
      </c>
      <c r="D1962" t="s">
        <v>109</v>
      </c>
      <c r="E1962" t="s">
        <v>18</v>
      </c>
      <c r="F1962" s="2">
        <v>72</v>
      </c>
      <c r="G1962" t="s">
        <v>97</v>
      </c>
      <c r="H1962" t="s">
        <v>45</v>
      </c>
      <c r="I1962" t="s">
        <v>46</v>
      </c>
      <c r="J1962" t="s">
        <v>57</v>
      </c>
      <c r="K1962">
        <v>3.3</v>
      </c>
      <c r="L1962" t="s">
        <v>23</v>
      </c>
      <c r="M1962" t="s">
        <v>41</v>
      </c>
      <c r="N1962" t="s">
        <v>23</v>
      </c>
      <c r="O1962">
        <v>40</v>
      </c>
      <c r="P1962" t="s">
        <v>53</v>
      </c>
      <c r="Q1962" t="s">
        <v>49</v>
      </c>
      <c r="R1962" s="1">
        <v>0.1</v>
      </c>
      <c r="S1962">
        <f t="shared" si="120"/>
        <v>64.8</v>
      </c>
      <c r="T1962">
        <f>IFERROR(VLOOKUP(A1962,Table1[[Customer ID]:[Discount Amount]], 6, FALSE),"Not Found")</f>
        <v>72</v>
      </c>
      <c r="U1962" t="str">
        <f t="shared" si="121"/>
        <v>Credit Card</v>
      </c>
      <c r="V1962" s="4" t="str">
        <f t="shared" si="122"/>
        <v>Normal</v>
      </c>
      <c r="W1962" s="4" t="str">
        <f t="shared" si="123"/>
        <v>Good</v>
      </c>
      <c r="X1962" s="4">
        <f>AVERAGE(Table1[Purchase Amount])</f>
        <v>129.48419400000012</v>
      </c>
    </row>
    <row r="1963" spans="1:24" ht="15" customHeight="1" x14ac:dyDescent="0.25">
      <c r="A1963">
        <v>1962</v>
      </c>
      <c r="B1963">
        <v>47</v>
      </c>
      <c r="C1963" t="s">
        <v>27</v>
      </c>
      <c r="D1963" t="s">
        <v>151</v>
      </c>
      <c r="E1963" t="s">
        <v>98</v>
      </c>
      <c r="F1963" s="2">
        <v>59</v>
      </c>
      <c r="G1963" t="s">
        <v>158</v>
      </c>
      <c r="H1963" t="s">
        <v>45</v>
      </c>
      <c r="I1963" t="s">
        <v>40</v>
      </c>
      <c r="J1963" t="s">
        <v>57</v>
      </c>
      <c r="K1963">
        <v>2.6</v>
      </c>
      <c r="L1963" t="s">
        <v>23</v>
      </c>
      <c r="M1963" t="s">
        <v>35</v>
      </c>
      <c r="N1963" t="s">
        <v>23</v>
      </c>
      <c r="O1963">
        <v>45</v>
      </c>
      <c r="P1963" t="s">
        <v>36</v>
      </c>
      <c r="Q1963" t="s">
        <v>37</v>
      </c>
      <c r="R1963" s="1">
        <v>0.1</v>
      </c>
      <c r="S1963">
        <f t="shared" si="120"/>
        <v>53.1</v>
      </c>
      <c r="T1963">
        <f>IFERROR(VLOOKUP(A1963,Table1[[Customer ID]:[Discount Amount]], 6, FALSE),"Not Found")</f>
        <v>59</v>
      </c>
      <c r="U1963" t="str">
        <f t="shared" si="121"/>
        <v>Debit Card</v>
      </c>
      <c r="V1963" s="4" t="str">
        <f t="shared" si="122"/>
        <v>Normal</v>
      </c>
      <c r="W1963" s="4" t="str">
        <f t="shared" si="123"/>
        <v>Poor</v>
      </c>
      <c r="X1963" s="4">
        <f>AVERAGE(Table1[Purchase Amount])</f>
        <v>129.48419400000012</v>
      </c>
    </row>
    <row r="1964" spans="1:24" ht="15" customHeight="1" x14ac:dyDescent="0.25">
      <c r="A1964">
        <v>1963</v>
      </c>
      <c r="B1964">
        <v>40</v>
      </c>
      <c r="C1964" t="s">
        <v>27</v>
      </c>
      <c r="D1964" t="s">
        <v>64</v>
      </c>
      <c r="E1964" t="s">
        <v>29</v>
      </c>
      <c r="F1964" s="2">
        <v>45</v>
      </c>
      <c r="G1964" t="s">
        <v>141</v>
      </c>
      <c r="H1964" t="s">
        <v>31</v>
      </c>
      <c r="I1964" t="s">
        <v>153</v>
      </c>
      <c r="J1964" t="s">
        <v>47</v>
      </c>
      <c r="K1964">
        <v>4.4000000000000004</v>
      </c>
      <c r="L1964" t="s">
        <v>23</v>
      </c>
      <c r="M1964" t="s">
        <v>24</v>
      </c>
      <c r="N1964" t="s">
        <v>23</v>
      </c>
      <c r="O1964">
        <v>20</v>
      </c>
      <c r="P1964" t="s">
        <v>58</v>
      </c>
      <c r="Q1964" t="s">
        <v>89</v>
      </c>
      <c r="R1964" s="1">
        <v>0.1</v>
      </c>
      <c r="S1964">
        <f t="shared" si="120"/>
        <v>40.5</v>
      </c>
      <c r="T1964">
        <f>IFERROR(VLOOKUP(A1964,Table1[[Customer ID]:[Discount Amount]], 6, FALSE),"Not Found")</f>
        <v>45</v>
      </c>
      <c r="U1964" t="str">
        <f t="shared" si="121"/>
        <v>PayPal</v>
      </c>
      <c r="V1964" s="4" t="str">
        <f t="shared" si="122"/>
        <v>Normal</v>
      </c>
      <c r="W1964" s="4" t="str">
        <f t="shared" si="123"/>
        <v>Good</v>
      </c>
      <c r="X1964" s="4">
        <f>AVERAGE(Table1[Purchase Amount])</f>
        <v>129.48419400000012</v>
      </c>
    </row>
    <row r="1965" spans="1:24" ht="15" customHeight="1" x14ac:dyDescent="0.25">
      <c r="A1965">
        <v>1964</v>
      </c>
      <c r="B1965">
        <v>52</v>
      </c>
      <c r="C1965" t="s">
        <v>27</v>
      </c>
      <c r="D1965" t="s">
        <v>54</v>
      </c>
      <c r="E1965" t="s">
        <v>18</v>
      </c>
      <c r="F1965" s="2">
        <v>30</v>
      </c>
      <c r="G1965" t="s">
        <v>113</v>
      </c>
      <c r="H1965" t="s">
        <v>45</v>
      </c>
      <c r="I1965" t="s">
        <v>136</v>
      </c>
      <c r="J1965" t="s">
        <v>33</v>
      </c>
      <c r="K1965">
        <v>3.9</v>
      </c>
      <c r="L1965" t="s">
        <v>23</v>
      </c>
      <c r="M1965" t="s">
        <v>24</v>
      </c>
      <c r="N1965" t="s">
        <v>23</v>
      </c>
      <c r="O1965">
        <v>11</v>
      </c>
      <c r="P1965" t="s">
        <v>53</v>
      </c>
      <c r="Q1965" t="s">
        <v>26</v>
      </c>
      <c r="R1965" s="1">
        <v>0.1</v>
      </c>
      <c r="S1965">
        <f t="shared" si="120"/>
        <v>27</v>
      </c>
      <c r="T1965">
        <f>IFERROR(VLOOKUP(A1965,Table1[[Customer ID]:[Discount Amount]], 6, FALSE),"Not Found")</f>
        <v>30</v>
      </c>
      <c r="U1965" t="str">
        <f t="shared" si="121"/>
        <v>Credit Card</v>
      </c>
      <c r="V1965" s="4" t="str">
        <f t="shared" si="122"/>
        <v>Normal</v>
      </c>
      <c r="W1965" s="4" t="str">
        <f t="shared" si="123"/>
        <v>Good</v>
      </c>
      <c r="X1965" s="4">
        <f>AVERAGE(Table1[Purchase Amount])</f>
        <v>129.48419400000012</v>
      </c>
    </row>
    <row r="1966" spans="1:24" ht="15" customHeight="1" x14ac:dyDescent="0.25">
      <c r="A1966">
        <v>1965</v>
      </c>
      <c r="B1966">
        <v>40</v>
      </c>
      <c r="C1966" t="s">
        <v>27</v>
      </c>
      <c r="D1966" t="s">
        <v>99</v>
      </c>
      <c r="E1966" t="s">
        <v>18</v>
      </c>
      <c r="F1966" s="2">
        <v>51</v>
      </c>
      <c r="G1966" t="s">
        <v>154</v>
      </c>
      <c r="H1966" t="s">
        <v>55</v>
      </c>
      <c r="I1966" t="s">
        <v>128</v>
      </c>
      <c r="J1966" t="s">
        <v>57</v>
      </c>
      <c r="K1966">
        <v>4.5999999999999996</v>
      </c>
      <c r="L1966" t="s">
        <v>23</v>
      </c>
      <c r="M1966" t="s">
        <v>61</v>
      </c>
      <c r="N1966" t="s">
        <v>23</v>
      </c>
      <c r="O1966">
        <v>50</v>
      </c>
      <c r="P1966" t="s">
        <v>36</v>
      </c>
      <c r="Q1966" t="s">
        <v>42</v>
      </c>
      <c r="R1966" s="1">
        <v>0.1</v>
      </c>
      <c r="S1966">
        <f t="shared" si="120"/>
        <v>45.9</v>
      </c>
      <c r="T1966">
        <f>IFERROR(VLOOKUP(A1966,Table1[[Customer ID]:[Discount Amount]], 6, FALSE),"Not Found")</f>
        <v>51</v>
      </c>
      <c r="U1966" t="str">
        <f t="shared" si="121"/>
        <v>Debit Card</v>
      </c>
      <c r="V1966" s="4" t="str">
        <f t="shared" si="122"/>
        <v>Normal</v>
      </c>
      <c r="W1966" s="4" t="str">
        <f t="shared" si="123"/>
        <v>Good</v>
      </c>
      <c r="X1966" s="4">
        <f>AVERAGE(Table1[Purchase Amount])</f>
        <v>129.48419400000012</v>
      </c>
    </row>
    <row r="1967" spans="1:24" ht="15" customHeight="1" x14ac:dyDescent="0.25">
      <c r="A1967">
        <v>1966</v>
      </c>
      <c r="B1967">
        <v>67</v>
      </c>
      <c r="C1967" t="s">
        <v>27</v>
      </c>
      <c r="D1967" t="s">
        <v>127</v>
      </c>
      <c r="E1967" t="s">
        <v>18</v>
      </c>
      <c r="F1967" s="2">
        <v>90</v>
      </c>
      <c r="G1967" t="s">
        <v>102</v>
      </c>
      <c r="H1967" t="s">
        <v>31</v>
      </c>
      <c r="I1967" t="s">
        <v>32</v>
      </c>
      <c r="J1967" t="s">
        <v>47</v>
      </c>
      <c r="K1967">
        <v>4.9000000000000004</v>
      </c>
      <c r="L1967" t="s">
        <v>23</v>
      </c>
      <c r="M1967" t="s">
        <v>61</v>
      </c>
      <c r="N1967" t="s">
        <v>23</v>
      </c>
      <c r="O1967">
        <v>25</v>
      </c>
      <c r="P1967" t="s">
        <v>36</v>
      </c>
      <c r="Q1967" t="s">
        <v>37</v>
      </c>
      <c r="R1967" s="1">
        <v>0.1</v>
      </c>
      <c r="S1967">
        <f t="shared" si="120"/>
        <v>81</v>
      </c>
      <c r="T1967">
        <f>IFERROR(VLOOKUP(A1967,Table1[[Customer ID]:[Discount Amount]], 6, FALSE),"Not Found")</f>
        <v>90</v>
      </c>
      <c r="U1967" t="str">
        <f t="shared" si="121"/>
        <v>Debit Card</v>
      </c>
      <c r="V1967" s="4" t="str">
        <f t="shared" si="122"/>
        <v>Normal</v>
      </c>
      <c r="W1967" s="4" t="str">
        <f t="shared" si="123"/>
        <v>Good</v>
      </c>
      <c r="X1967" s="4">
        <f>AVERAGE(Table1[Purchase Amount])</f>
        <v>129.48419400000012</v>
      </c>
    </row>
    <row r="1968" spans="1:24" ht="15" customHeight="1" x14ac:dyDescent="0.25">
      <c r="A1968">
        <v>1967</v>
      </c>
      <c r="B1968">
        <v>67</v>
      </c>
      <c r="C1968" t="s">
        <v>27</v>
      </c>
      <c r="D1968" t="s">
        <v>96</v>
      </c>
      <c r="E1968" t="s">
        <v>77</v>
      </c>
      <c r="F1968" s="2">
        <v>95</v>
      </c>
      <c r="G1968" t="s">
        <v>102</v>
      </c>
      <c r="H1968" t="s">
        <v>20</v>
      </c>
      <c r="I1968" t="s">
        <v>66</v>
      </c>
      <c r="J1968" t="s">
        <v>22</v>
      </c>
      <c r="K1968">
        <v>3.7</v>
      </c>
      <c r="L1968" t="s">
        <v>23</v>
      </c>
      <c r="M1968" t="s">
        <v>61</v>
      </c>
      <c r="N1968" t="s">
        <v>23</v>
      </c>
      <c r="O1968">
        <v>5</v>
      </c>
      <c r="P1968" t="s">
        <v>53</v>
      </c>
      <c r="Q1968" t="s">
        <v>89</v>
      </c>
      <c r="R1968" s="1">
        <v>0.1</v>
      </c>
      <c r="S1968">
        <f t="shared" si="120"/>
        <v>85.5</v>
      </c>
      <c r="T1968">
        <f>IFERROR(VLOOKUP(A1968,Table1[[Customer ID]:[Discount Amount]], 6, FALSE),"Not Found")</f>
        <v>95</v>
      </c>
      <c r="U1968" t="str">
        <f t="shared" si="121"/>
        <v>Credit Card</v>
      </c>
      <c r="V1968" s="4" t="str">
        <f t="shared" si="122"/>
        <v>Normal</v>
      </c>
      <c r="W1968" s="4" t="str">
        <f t="shared" si="123"/>
        <v>Good</v>
      </c>
      <c r="X1968" s="4">
        <f>AVERAGE(Table1[Purchase Amount])</f>
        <v>129.48419400000012</v>
      </c>
    </row>
    <row r="1969" spans="1:24" ht="15" customHeight="1" x14ac:dyDescent="0.25">
      <c r="A1969">
        <v>1968</v>
      </c>
      <c r="B1969">
        <v>37</v>
      </c>
      <c r="C1969" t="s">
        <v>27</v>
      </c>
      <c r="D1969" t="s">
        <v>157</v>
      </c>
      <c r="E1969" t="s">
        <v>18</v>
      </c>
      <c r="F1969" s="2">
        <v>81</v>
      </c>
      <c r="G1969" t="s">
        <v>160</v>
      </c>
      <c r="H1969" t="s">
        <v>45</v>
      </c>
      <c r="I1969" t="s">
        <v>52</v>
      </c>
      <c r="J1969" t="s">
        <v>47</v>
      </c>
      <c r="K1969">
        <v>3.7</v>
      </c>
      <c r="L1969" t="s">
        <v>23</v>
      </c>
      <c r="M1969" t="s">
        <v>24</v>
      </c>
      <c r="N1969" t="s">
        <v>23</v>
      </c>
      <c r="O1969">
        <v>4</v>
      </c>
      <c r="P1969" t="s">
        <v>62</v>
      </c>
      <c r="Q1969" t="s">
        <v>49</v>
      </c>
      <c r="R1969" s="1">
        <v>0.1</v>
      </c>
      <c r="S1969">
        <f t="shared" si="120"/>
        <v>72.900000000000006</v>
      </c>
      <c r="T1969">
        <f>IFERROR(VLOOKUP(A1969,Table1[[Customer ID]:[Discount Amount]], 6, FALSE),"Not Found")</f>
        <v>81</v>
      </c>
      <c r="U1969" t="str">
        <f t="shared" si="121"/>
        <v>Venmo</v>
      </c>
      <c r="V1969" s="4" t="str">
        <f t="shared" si="122"/>
        <v>Normal</v>
      </c>
      <c r="W1969" s="4" t="str">
        <f t="shared" si="123"/>
        <v>Good</v>
      </c>
      <c r="X1969" s="4">
        <f>AVERAGE(Table1[Purchase Amount])</f>
        <v>129.48419400000012</v>
      </c>
    </row>
    <row r="1970" spans="1:24" ht="15" customHeight="1" x14ac:dyDescent="0.25">
      <c r="A1970">
        <v>1969</v>
      </c>
      <c r="B1970">
        <v>67</v>
      </c>
      <c r="C1970" t="s">
        <v>27</v>
      </c>
      <c r="D1970" t="s">
        <v>38</v>
      </c>
      <c r="E1970" t="s">
        <v>18</v>
      </c>
      <c r="F1970" s="2">
        <v>70</v>
      </c>
      <c r="G1970" t="s">
        <v>120</v>
      </c>
      <c r="H1970" t="s">
        <v>55</v>
      </c>
      <c r="I1970" t="s">
        <v>74</v>
      </c>
      <c r="J1970" t="s">
        <v>33</v>
      </c>
      <c r="K1970">
        <v>4.2</v>
      </c>
      <c r="L1970" t="s">
        <v>23</v>
      </c>
      <c r="M1970" t="s">
        <v>24</v>
      </c>
      <c r="N1970" t="s">
        <v>23</v>
      </c>
      <c r="O1970">
        <v>25</v>
      </c>
      <c r="P1970" t="s">
        <v>53</v>
      </c>
      <c r="Q1970" t="s">
        <v>26</v>
      </c>
      <c r="R1970" s="1">
        <v>0.1</v>
      </c>
      <c r="S1970">
        <f t="shared" si="120"/>
        <v>63</v>
      </c>
      <c r="T1970">
        <f>IFERROR(VLOOKUP(A1970,Table1[[Customer ID]:[Discount Amount]], 6, FALSE),"Not Found")</f>
        <v>70</v>
      </c>
      <c r="U1970" t="str">
        <f t="shared" si="121"/>
        <v>Credit Card</v>
      </c>
      <c r="V1970" s="4" t="str">
        <f t="shared" si="122"/>
        <v>Normal</v>
      </c>
      <c r="W1970" s="4" t="str">
        <f t="shared" si="123"/>
        <v>Good</v>
      </c>
      <c r="X1970" s="4">
        <f>AVERAGE(Table1[Purchase Amount])</f>
        <v>129.48419400000012</v>
      </c>
    </row>
    <row r="1971" spans="1:24" ht="15" customHeight="1" x14ac:dyDescent="0.25">
      <c r="A1971">
        <v>1970</v>
      </c>
      <c r="B1971">
        <v>64</v>
      </c>
      <c r="C1971" t="s">
        <v>27</v>
      </c>
      <c r="D1971" t="s">
        <v>157</v>
      </c>
      <c r="E1971" t="s">
        <v>18</v>
      </c>
      <c r="F1971" s="2">
        <v>32</v>
      </c>
      <c r="G1971" t="s">
        <v>119</v>
      </c>
      <c r="H1971" t="s">
        <v>55</v>
      </c>
      <c r="I1971" t="s">
        <v>128</v>
      </c>
      <c r="J1971" t="s">
        <v>22</v>
      </c>
      <c r="K1971">
        <v>3.5</v>
      </c>
      <c r="L1971" t="s">
        <v>23</v>
      </c>
      <c r="M1971" t="s">
        <v>79</v>
      </c>
      <c r="N1971" t="s">
        <v>23</v>
      </c>
      <c r="O1971">
        <v>11</v>
      </c>
      <c r="P1971" t="s">
        <v>88</v>
      </c>
      <c r="Q1971" t="s">
        <v>89</v>
      </c>
      <c r="R1971" s="1">
        <v>0.1</v>
      </c>
      <c r="S1971">
        <f t="shared" si="120"/>
        <v>28.8</v>
      </c>
      <c r="T1971">
        <f>IFERROR(VLOOKUP(A1971,Table1[[Customer ID]:[Discount Amount]], 6, FALSE),"Not Found")</f>
        <v>32</v>
      </c>
      <c r="U1971" t="str">
        <f t="shared" si="121"/>
        <v>Bank Transfer</v>
      </c>
      <c r="V1971" s="4" t="str">
        <f t="shared" si="122"/>
        <v>Normal</v>
      </c>
      <c r="W1971" s="4" t="str">
        <f t="shared" si="123"/>
        <v>Good</v>
      </c>
      <c r="X1971" s="4">
        <f>AVERAGE(Table1[Purchase Amount])</f>
        <v>129.48419400000012</v>
      </c>
    </row>
    <row r="1972" spans="1:24" ht="15" customHeight="1" x14ac:dyDescent="0.25">
      <c r="A1972">
        <v>1971</v>
      </c>
      <c r="B1972">
        <v>28</v>
      </c>
      <c r="C1972" t="s">
        <v>27</v>
      </c>
      <c r="D1972" t="s">
        <v>114</v>
      </c>
      <c r="E1972" t="s">
        <v>29</v>
      </c>
      <c r="F1972" s="2">
        <v>94</v>
      </c>
      <c r="G1972" t="s">
        <v>106</v>
      </c>
      <c r="H1972" t="s">
        <v>31</v>
      </c>
      <c r="I1972" t="s">
        <v>91</v>
      </c>
      <c r="J1972" t="s">
        <v>33</v>
      </c>
      <c r="K1972">
        <v>2.9</v>
      </c>
      <c r="L1972" t="s">
        <v>23</v>
      </c>
      <c r="M1972" t="s">
        <v>79</v>
      </c>
      <c r="N1972" t="s">
        <v>23</v>
      </c>
      <c r="O1972">
        <v>4</v>
      </c>
      <c r="P1972" t="s">
        <v>53</v>
      </c>
      <c r="Q1972" t="s">
        <v>68</v>
      </c>
      <c r="R1972" s="1">
        <v>0.1</v>
      </c>
      <c r="S1972">
        <f t="shared" si="120"/>
        <v>84.6</v>
      </c>
      <c r="T1972">
        <f>IFERROR(VLOOKUP(A1972,Table1[[Customer ID]:[Discount Amount]], 6, FALSE),"Not Found")</f>
        <v>94</v>
      </c>
      <c r="U1972" t="str">
        <f t="shared" si="121"/>
        <v>Credit Card</v>
      </c>
      <c r="V1972" s="4" t="str">
        <f t="shared" si="122"/>
        <v>Normal</v>
      </c>
      <c r="W1972" s="4" t="str">
        <f t="shared" si="123"/>
        <v>Poor</v>
      </c>
      <c r="X1972" s="4">
        <f>AVERAGE(Table1[Purchase Amount])</f>
        <v>129.48419400000012</v>
      </c>
    </row>
    <row r="1973" spans="1:24" ht="15" customHeight="1" x14ac:dyDescent="0.25">
      <c r="A1973">
        <v>1972</v>
      </c>
      <c r="B1973">
        <v>54</v>
      </c>
      <c r="C1973" t="s">
        <v>27</v>
      </c>
      <c r="D1973" t="s">
        <v>64</v>
      </c>
      <c r="E1973" t="s">
        <v>29</v>
      </c>
      <c r="F1973" s="2">
        <v>29</v>
      </c>
      <c r="G1973" t="s">
        <v>78</v>
      </c>
      <c r="H1973" t="s">
        <v>20</v>
      </c>
      <c r="I1973" t="s">
        <v>91</v>
      </c>
      <c r="J1973" t="s">
        <v>33</v>
      </c>
      <c r="K1973">
        <v>3.4</v>
      </c>
      <c r="L1973" t="s">
        <v>23</v>
      </c>
      <c r="M1973" t="s">
        <v>79</v>
      </c>
      <c r="N1973" t="s">
        <v>23</v>
      </c>
      <c r="O1973">
        <v>1</v>
      </c>
      <c r="P1973" t="s">
        <v>62</v>
      </c>
      <c r="Q1973" t="s">
        <v>42</v>
      </c>
      <c r="R1973" s="1">
        <v>0.1</v>
      </c>
      <c r="S1973">
        <f t="shared" si="120"/>
        <v>26.1</v>
      </c>
      <c r="T1973">
        <f>IFERROR(VLOOKUP(A1973,Table1[[Customer ID]:[Discount Amount]], 6, FALSE),"Not Found")</f>
        <v>29</v>
      </c>
      <c r="U1973" t="str">
        <f t="shared" si="121"/>
        <v>Venmo</v>
      </c>
      <c r="V1973" s="4" t="str">
        <f t="shared" si="122"/>
        <v>Normal</v>
      </c>
      <c r="W1973" s="4" t="str">
        <f t="shared" si="123"/>
        <v>Good</v>
      </c>
      <c r="X1973" s="4">
        <f>AVERAGE(Table1[Purchase Amount])</f>
        <v>129.48419400000012</v>
      </c>
    </row>
    <row r="1974" spans="1:24" ht="15" customHeight="1" x14ac:dyDescent="0.25">
      <c r="A1974">
        <v>1973</v>
      </c>
      <c r="B1974">
        <v>54</v>
      </c>
      <c r="C1974" t="s">
        <v>27</v>
      </c>
      <c r="D1974" t="s">
        <v>104</v>
      </c>
      <c r="E1974" t="s">
        <v>29</v>
      </c>
      <c r="F1974" s="2">
        <v>31</v>
      </c>
      <c r="G1974" t="s">
        <v>119</v>
      </c>
      <c r="H1974" t="s">
        <v>31</v>
      </c>
      <c r="I1974" t="s">
        <v>153</v>
      </c>
      <c r="J1974" t="s">
        <v>57</v>
      </c>
      <c r="K1974">
        <v>3.3</v>
      </c>
      <c r="L1974" t="s">
        <v>23</v>
      </c>
      <c r="M1974" t="s">
        <v>61</v>
      </c>
      <c r="N1974" t="s">
        <v>23</v>
      </c>
      <c r="O1974">
        <v>48</v>
      </c>
      <c r="P1974" t="s">
        <v>58</v>
      </c>
      <c r="Q1974" t="s">
        <v>63</v>
      </c>
      <c r="R1974" s="1">
        <v>0.1</v>
      </c>
      <c r="S1974">
        <f t="shared" si="120"/>
        <v>27.9</v>
      </c>
      <c r="T1974">
        <f>IFERROR(VLOOKUP(A1974,Table1[[Customer ID]:[Discount Amount]], 6, FALSE),"Not Found")</f>
        <v>31</v>
      </c>
      <c r="U1974" t="str">
        <f t="shared" si="121"/>
        <v>PayPal</v>
      </c>
      <c r="V1974" s="4" t="str">
        <f t="shared" si="122"/>
        <v>Normal</v>
      </c>
      <c r="W1974" s="4" t="str">
        <f t="shared" si="123"/>
        <v>Good</v>
      </c>
      <c r="X1974" s="4">
        <f>AVERAGE(Table1[Purchase Amount])</f>
        <v>129.48419400000012</v>
      </c>
    </row>
    <row r="1975" spans="1:24" ht="15" customHeight="1" x14ac:dyDescent="0.25">
      <c r="A1975">
        <v>1974</v>
      </c>
      <c r="B1975">
        <v>24</v>
      </c>
      <c r="C1975" t="s">
        <v>27</v>
      </c>
      <c r="D1975" t="s">
        <v>122</v>
      </c>
      <c r="E1975" t="s">
        <v>18</v>
      </c>
      <c r="F1975" s="2">
        <v>20</v>
      </c>
      <c r="G1975" t="s">
        <v>106</v>
      </c>
      <c r="H1975" t="s">
        <v>20</v>
      </c>
      <c r="I1975" t="s">
        <v>46</v>
      </c>
      <c r="J1975" t="s">
        <v>47</v>
      </c>
      <c r="K1975">
        <v>4.5</v>
      </c>
      <c r="L1975" t="s">
        <v>23</v>
      </c>
      <c r="M1975" t="s">
        <v>24</v>
      </c>
      <c r="N1975" t="s">
        <v>23</v>
      </c>
      <c r="O1975">
        <v>9</v>
      </c>
      <c r="P1975" t="s">
        <v>62</v>
      </c>
      <c r="Q1975" t="s">
        <v>63</v>
      </c>
      <c r="R1975" s="1">
        <v>0.1</v>
      </c>
      <c r="S1975">
        <f t="shared" si="120"/>
        <v>18</v>
      </c>
      <c r="T1975">
        <f>IFERROR(VLOOKUP(A1975,Table1[[Customer ID]:[Discount Amount]], 6, FALSE),"Not Found")</f>
        <v>20</v>
      </c>
      <c r="U1975" t="str">
        <f t="shared" si="121"/>
        <v>Venmo</v>
      </c>
      <c r="V1975" s="4" t="str">
        <f t="shared" si="122"/>
        <v>Normal</v>
      </c>
      <c r="W1975" s="4" t="str">
        <f t="shared" si="123"/>
        <v>Good</v>
      </c>
      <c r="X1975" s="4">
        <f>AVERAGE(Table1[Purchase Amount])</f>
        <v>129.48419400000012</v>
      </c>
    </row>
    <row r="1976" spans="1:24" ht="15" customHeight="1" x14ac:dyDescent="0.25">
      <c r="A1976">
        <v>1975</v>
      </c>
      <c r="B1976">
        <v>27</v>
      </c>
      <c r="C1976" t="s">
        <v>27</v>
      </c>
      <c r="D1976" t="s">
        <v>43</v>
      </c>
      <c r="E1976" t="s">
        <v>29</v>
      </c>
      <c r="F1976" s="2">
        <v>44</v>
      </c>
      <c r="G1976" t="s">
        <v>65</v>
      </c>
      <c r="H1976" t="s">
        <v>31</v>
      </c>
      <c r="I1976" t="s">
        <v>145</v>
      </c>
      <c r="J1976" t="s">
        <v>22</v>
      </c>
      <c r="K1976">
        <v>4.5999999999999996</v>
      </c>
      <c r="L1976" t="s">
        <v>23</v>
      </c>
      <c r="M1976" t="s">
        <v>41</v>
      </c>
      <c r="N1976" t="s">
        <v>23</v>
      </c>
      <c r="O1976">
        <v>2</v>
      </c>
      <c r="P1976" t="s">
        <v>58</v>
      </c>
      <c r="Q1976" t="s">
        <v>89</v>
      </c>
      <c r="R1976" s="1">
        <v>0.1</v>
      </c>
      <c r="S1976">
        <f t="shared" si="120"/>
        <v>39.6</v>
      </c>
      <c r="T1976">
        <f>IFERROR(VLOOKUP(A1976,Table1[[Customer ID]:[Discount Amount]], 6, FALSE),"Not Found")</f>
        <v>44</v>
      </c>
      <c r="U1976" t="str">
        <f t="shared" si="121"/>
        <v>PayPal</v>
      </c>
      <c r="V1976" s="4" t="str">
        <f t="shared" si="122"/>
        <v>Normal</v>
      </c>
      <c r="W1976" s="4" t="str">
        <f t="shared" si="123"/>
        <v>Good</v>
      </c>
      <c r="X1976" s="4">
        <f>AVERAGE(Table1[Purchase Amount])</f>
        <v>129.48419400000012</v>
      </c>
    </row>
    <row r="1977" spans="1:24" ht="15" customHeight="1" x14ac:dyDescent="0.25">
      <c r="A1977">
        <v>1976</v>
      </c>
      <c r="B1977">
        <v>53</v>
      </c>
      <c r="C1977" t="s">
        <v>27</v>
      </c>
      <c r="D1977" t="s">
        <v>96</v>
      </c>
      <c r="E1977" t="s">
        <v>77</v>
      </c>
      <c r="F1977" s="2">
        <v>77</v>
      </c>
      <c r="G1977" t="s">
        <v>44</v>
      </c>
      <c r="H1977" t="s">
        <v>45</v>
      </c>
      <c r="I1977" t="s">
        <v>156</v>
      </c>
      <c r="J1977" t="s">
        <v>47</v>
      </c>
      <c r="K1977">
        <v>2.9</v>
      </c>
      <c r="L1977" t="s">
        <v>23</v>
      </c>
      <c r="M1977" t="s">
        <v>61</v>
      </c>
      <c r="N1977" t="s">
        <v>23</v>
      </c>
      <c r="O1977">
        <v>4</v>
      </c>
      <c r="P1977" t="s">
        <v>25</v>
      </c>
      <c r="Q1977" t="s">
        <v>37</v>
      </c>
      <c r="R1977" s="1">
        <v>0.1</v>
      </c>
      <c r="S1977">
        <f t="shared" si="120"/>
        <v>69.3</v>
      </c>
      <c r="T1977">
        <f>IFERROR(VLOOKUP(A1977,Table1[[Customer ID]:[Discount Amount]], 6, FALSE),"Not Found")</f>
        <v>77</v>
      </c>
      <c r="U1977" t="str">
        <f t="shared" si="121"/>
        <v>Cash</v>
      </c>
      <c r="V1977" s="4" t="str">
        <f t="shared" si="122"/>
        <v>Normal</v>
      </c>
      <c r="W1977" s="4" t="str">
        <f t="shared" si="123"/>
        <v>Poor</v>
      </c>
      <c r="X1977" s="4">
        <f>AVERAGE(Table1[Purchase Amount])</f>
        <v>129.48419400000012</v>
      </c>
    </row>
    <row r="1978" spans="1:24" ht="15" customHeight="1" x14ac:dyDescent="0.25">
      <c r="A1978">
        <v>1977</v>
      </c>
      <c r="B1978">
        <v>32</v>
      </c>
      <c r="C1978" t="s">
        <v>27</v>
      </c>
      <c r="D1978" t="s">
        <v>69</v>
      </c>
      <c r="E1978" t="s">
        <v>29</v>
      </c>
      <c r="F1978" s="2">
        <v>51</v>
      </c>
      <c r="G1978" t="s">
        <v>162</v>
      </c>
      <c r="H1978" t="s">
        <v>31</v>
      </c>
      <c r="I1978" t="s">
        <v>136</v>
      </c>
      <c r="J1978" t="s">
        <v>33</v>
      </c>
      <c r="K1978">
        <v>3.2</v>
      </c>
      <c r="L1978" t="s">
        <v>23</v>
      </c>
      <c r="M1978" t="s">
        <v>79</v>
      </c>
      <c r="N1978" t="s">
        <v>23</v>
      </c>
      <c r="O1978">
        <v>43</v>
      </c>
      <c r="P1978" t="s">
        <v>58</v>
      </c>
      <c r="Q1978" t="s">
        <v>89</v>
      </c>
      <c r="R1978" s="1">
        <v>0.1</v>
      </c>
      <c r="S1978">
        <f t="shared" si="120"/>
        <v>45.9</v>
      </c>
      <c r="T1978">
        <f>IFERROR(VLOOKUP(A1978,Table1[[Customer ID]:[Discount Amount]], 6, FALSE),"Not Found")</f>
        <v>51</v>
      </c>
      <c r="U1978" t="str">
        <f t="shared" si="121"/>
        <v>PayPal</v>
      </c>
      <c r="V1978" s="4" t="str">
        <f t="shared" si="122"/>
        <v>Normal</v>
      </c>
      <c r="W1978" s="4" t="str">
        <f t="shared" si="123"/>
        <v>Good</v>
      </c>
      <c r="X1978" s="4">
        <f>AVERAGE(Table1[Purchase Amount])</f>
        <v>129.48419400000012</v>
      </c>
    </row>
    <row r="1979" spans="1:24" ht="15" customHeight="1" x14ac:dyDescent="0.25">
      <c r="A1979">
        <v>1978</v>
      </c>
      <c r="B1979">
        <v>24</v>
      </c>
      <c r="C1979" t="s">
        <v>27</v>
      </c>
      <c r="D1979" t="s">
        <v>121</v>
      </c>
      <c r="E1979" t="s">
        <v>98</v>
      </c>
      <c r="F1979" s="2">
        <v>49</v>
      </c>
      <c r="G1979" t="s">
        <v>67</v>
      </c>
      <c r="H1979" t="s">
        <v>31</v>
      </c>
      <c r="I1979" t="s">
        <v>147</v>
      </c>
      <c r="J1979" t="s">
        <v>57</v>
      </c>
      <c r="K1979">
        <v>2.6</v>
      </c>
      <c r="L1979" t="s">
        <v>23</v>
      </c>
      <c r="M1979" t="s">
        <v>35</v>
      </c>
      <c r="N1979" t="s">
        <v>23</v>
      </c>
      <c r="O1979">
        <v>32</v>
      </c>
      <c r="P1979" t="s">
        <v>88</v>
      </c>
      <c r="Q1979" t="s">
        <v>49</v>
      </c>
      <c r="R1979" s="1">
        <v>0.1</v>
      </c>
      <c r="S1979">
        <f t="shared" si="120"/>
        <v>44.1</v>
      </c>
      <c r="T1979">
        <f>IFERROR(VLOOKUP(A1979,Table1[[Customer ID]:[Discount Amount]], 6, FALSE),"Not Found")</f>
        <v>49</v>
      </c>
      <c r="U1979" t="str">
        <f t="shared" si="121"/>
        <v>Bank Transfer</v>
      </c>
      <c r="V1979" s="4" t="str">
        <f t="shared" si="122"/>
        <v>Normal</v>
      </c>
      <c r="W1979" s="4" t="str">
        <f t="shared" si="123"/>
        <v>Poor</v>
      </c>
      <c r="X1979" s="4">
        <f>AVERAGE(Table1[Purchase Amount])</f>
        <v>129.48419400000012</v>
      </c>
    </row>
    <row r="1980" spans="1:24" ht="15" customHeight="1" x14ac:dyDescent="0.25">
      <c r="A1980">
        <v>1979</v>
      </c>
      <c r="B1980">
        <v>45</v>
      </c>
      <c r="C1980" t="s">
        <v>27</v>
      </c>
      <c r="D1980" t="s">
        <v>28</v>
      </c>
      <c r="E1980" t="s">
        <v>29</v>
      </c>
      <c r="F1980" s="2">
        <v>78</v>
      </c>
      <c r="G1980" t="s">
        <v>97</v>
      </c>
      <c r="H1980" t="s">
        <v>45</v>
      </c>
      <c r="I1980" t="s">
        <v>87</v>
      </c>
      <c r="J1980" t="s">
        <v>33</v>
      </c>
      <c r="K1980">
        <v>3.8</v>
      </c>
      <c r="L1980" t="s">
        <v>23</v>
      </c>
      <c r="M1980" t="s">
        <v>48</v>
      </c>
      <c r="N1980" t="s">
        <v>23</v>
      </c>
      <c r="O1980">
        <v>1</v>
      </c>
      <c r="P1980" t="s">
        <v>25</v>
      </c>
      <c r="Q1980" t="s">
        <v>37</v>
      </c>
      <c r="R1980" s="1">
        <v>0.1</v>
      </c>
      <c r="S1980">
        <f t="shared" si="120"/>
        <v>70.2</v>
      </c>
      <c r="T1980">
        <f>IFERROR(VLOOKUP(A1980,Table1[[Customer ID]:[Discount Amount]], 6, FALSE),"Not Found")</f>
        <v>78</v>
      </c>
      <c r="U1980" t="str">
        <f t="shared" si="121"/>
        <v>Cash</v>
      </c>
      <c r="V1980" s="4" t="str">
        <f t="shared" si="122"/>
        <v>Normal</v>
      </c>
      <c r="W1980" s="4" t="str">
        <f t="shared" si="123"/>
        <v>Good</v>
      </c>
      <c r="X1980" s="4">
        <f>AVERAGE(Table1[Purchase Amount])</f>
        <v>129.48419400000012</v>
      </c>
    </row>
    <row r="1981" spans="1:24" ht="15" customHeight="1" x14ac:dyDescent="0.25">
      <c r="A1981">
        <v>1980</v>
      </c>
      <c r="B1981">
        <v>49</v>
      </c>
      <c r="C1981" t="s">
        <v>27</v>
      </c>
      <c r="D1981" t="s">
        <v>109</v>
      </c>
      <c r="E1981" t="s">
        <v>18</v>
      </c>
      <c r="F1981" s="2">
        <v>98</v>
      </c>
      <c r="G1981" t="s">
        <v>65</v>
      </c>
      <c r="H1981" t="s">
        <v>45</v>
      </c>
      <c r="I1981" t="s">
        <v>74</v>
      </c>
      <c r="J1981" t="s">
        <v>33</v>
      </c>
      <c r="K1981">
        <v>2.8</v>
      </c>
      <c r="L1981" t="s">
        <v>23</v>
      </c>
      <c r="M1981" t="s">
        <v>48</v>
      </c>
      <c r="N1981" t="s">
        <v>23</v>
      </c>
      <c r="O1981">
        <v>38</v>
      </c>
      <c r="P1981" t="s">
        <v>36</v>
      </c>
      <c r="Q1981" t="s">
        <v>89</v>
      </c>
      <c r="R1981" s="1">
        <v>0.1</v>
      </c>
      <c r="S1981">
        <f t="shared" si="120"/>
        <v>88.2</v>
      </c>
      <c r="T1981">
        <f>IFERROR(VLOOKUP(A1981,Table1[[Customer ID]:[Discount Amount]], 6, FALSE),"Not Found")</f>
        <v>98</v>
      </c>
      <c r="U1981" t="str">
        <f t="shared" si="121"/>
        <v>Debit Card</v>
      </c>
      <c r="V1981" s="4" t="str">
        <f t="shared" si="122"/>
        <v>Normal</v>
      </c>
      <c r="W1981" s="4" t="str">
        <f t="shared" si="123"/>
        <v>Poor</v>
      </c>
      <c r="X1981" s="4">
        <f>AVERAGE(Table1[Purchase Amount])</f>
        <v>129.48419400000012</v>
      </c>
    </row>
    <row r="1982" spans="1:24" ht="15" customHeight="1" x14ac:dyDescent="0.25">
      <c r="A1982">
        <v>1981</v>
      </c>
      <c r="B1982">
        <v>51</v>
      </c>
      <c r="C1982" t="s">
        <v>27</v>
      </c>
      <c r="D1982" t="s">
        <v>121</v>
      </c>
      <c r="E1982" t="s">
        <v>98</v>
      </c>
      <c r="F1982" s="2">
        <v>94</v>
      </c>
      <c r="G1982" t="s">
        <v>141</v>
      </c>
      <c r="H1982" t="s">
        <v>31</v>
      </c>
      <c r="I1982" t="s">
        <v>93</v>
      </c>
      <c r="J1982" t="s">
        <v>22</v>
      </c>
      <c r="K1982">
        <v>4.4000000000000004</v>
      </c>
      <c r="L1982" t="s">
        <v>23</v>
      </c>
      <c r="M1982" t="s">
        <v>48</v>
      </c>
      <c r="N1982" t="s">
        <v>23</v>
      </c>
      <c r="O1982">
        <v>25</v>
      </c>
      <c r="P1982" t="s">
        <v>58</v>
      </c>
      <c r="Q1982" t="s">
        <v>89</v>
      </c>
      <c r="R1982" s="1">
        <v>0.1</v>
      </c>
      <c r="S1982">
        <f t="shared" si="120"/>
        <v>84.6</v>
      </c>
      <c r="T1982">
        <f>IFERROR(VLOOKUP(A1982,Table1[[Customer ID]:[Discount Amount]], 6, FALSE),"Not Found")</f>
        <v>94</v>
      </c>
      <c r="U1982" t="str">
        <f t="shared" si="121"/>
        <v>PayPal</v>
      </c>
      <c r="V1982" s="4" t="str">
        <f t="shared" si="122"/>
        <v>Normal</v>
      </c>
      <c r="W1982" s="4" t="str">
        <f t="shared" si="123"/>
        <v>Good</v>
      </c>
      <c r="X1982" s="4">
        <f>AVERAGE(Table1[Purchase Amount])</f>
        <v>129.48419400000012</v>
      </c>
    </row>
    <row r="1983" spans="1:24" ht="15" customHeight="1" x14ac:dyDescent="0.25">
      <c r="A1983">
        <v>1982</v>
      </c>
      <c r="B1983">
        <v>69</v>
      </c>
      <c r="C1983" t="s">
        <v>27</v>
      </c>
      <c r="D1983" t="s">
        <v>72</v>
      </c>
      <c r="E1983" t="s">
        <v>98</v>
      </c>
      <c r="F1983" s="2">
        <v>91</v>
      </c>
      <c r="G1983" t="s">
        <v>113</v>
      </c>
      <c r="H1983" t="s">
        <v>45</v>
      </c>
      <c r="I1983" t="s">
        <v>111</v>
      </c>
      <c r="J1983" t="s">
        <v>57</v>
      </c>
      <c r="K1983">
        <v>4.7</v>
      </c>
      <c r="L1983" t="s">
        <v>23</v>
      </c>
      <c r="M1983" t="s">
        <v>61</v>
      </c>
      <c r="N1983" t="s">
        <v>23</v>
      </c>
      <c r="O1983">
        <v>42</v>
      </c>
      <c r="P1983" t="s">
        <v>58</v>
      </c>
      <c r="Q1983" t="s">
        <v>37</v>
      </c>
      <c r="R1983" s="1">
        <v>0.1</v>
      </c>
      <c r="S1983">
        <f t="shared" si="120"/>
        <v>81.900000000000006</v>
      </c>
      <c r="T1983">
        <f>IFERROR(VLOOKUP(A1983,Table1[[Customer ID]:[Discount Amount]], 6, FALSE),"Not Found")</f>
        <v>91</v>
      </c>
      <c r="U1983" t="str">
        <f t="shared" si="121"/>
        <v>PayPal</v>
      </c>
      <c r="V1983" s="4" t="str">
        <f t="shared" si="122"/>
        <v>Normal</v>
      </c>
      <c r="W1983" s="4" t="str">
        <f t="shared" si="123"/>
        <v>Good</v>
      </c>
      <c r="X1983" s="4">
        <f>AVERAGE(Table1[Purchase Amount])</f>
        <v>129.48419400000012</v>
      </c>
    </row>
    <row r="1984" spans="1:24" ht="15" customHeight="1" x14ac:dyDescent="0.25">
      <c r="A1984">
        <v>1983</v>
      </c>
      <c r="B1984">
        <v>41</v>
      </c>
      <c r="C1984" t="s">
        <v>27</v>
      </c>
      <c r="D1984" t="s">
        <v>28</v>
      </c>
      <c r="E1984" t="s">
        <v>29</v>
      </c>
      <c r="F1984" s="2">
        <v>77</v>
      </c>
      <c r="G1984" t="s">
        <v>124</v>
      </c>
      <c r="H1984" t="s">
        <v>31</v>
      </c>
      <c r="I1984" t="s">
        <v>156</v>
      </c>
      <c r="J1984" t="s">
        <v>57</v>
      </c>
      <c r="K1984">
        <v>2.7</v>
      </c>
      <c r="L1984" t="s">
        <v>23</v>
      </c>
      <c r="M1984" t="s">
        <v>41</v>
      </c>
      <c r="N1984" t="s">
        <v>23</v>
      </c>
      <c r="O1984">
        <v>32</v>
      </c>
      <c r="P1984" t="s">
        <v>58</v>
      </c>
      <c r="Q1984" t="s">
        <v>42</v>
      </c>
      <c r="R1984" s="1">
        <v>0.1</v>
      </c>
      <c r="S1984">
        <f t="shared" si="120"/>
        <v>69.3</v>
      </c>
      <c r="T1984">
        <f>IFERROR(VLOOKUP(A1984,Table1[[Customer ID]:[Discount Amount]], 6, FALSE),"Not Found")</f>
        <v>77</v>
      </c>
      <c r="U1984" t="str">
        <f t="shared" si="121"/>
        <v>PayPal</v>
      </c>
      <c r="V1984" s="4" t="str">
        <f t="shared" si="122"/>
        <v>Normal</v>
      </c>
      <c r="W1984" s="4" t="str">
        <f t="shared" si="123"/>
        <v>Poor</v>
      </c>
      <c r="X1984" s="4">
        <f>AVERAGE(Table1[Purchase Amount])</f>
        <v>129.48419400000012</v>
      </c>
    </row>
    <row r="1985" spans="1:24" ht="15" customHeight="1" x14ac:dyDescent="0.25">
      <c r="A1985">
        <v>1984</v>
      </c>
      <c r="B1985">
        <v>59</v>
      </c>
      <c r="C1985" t="s">
        <v>27</v>
      </c>
      <c r="D1985" t="s">
        <v>129</v>
      </c>
      <c r="E1985" t="s">
        <v>29</v>
      </c>
      <c r="F1985" s="2">
        <v>97</v>
      </c>
      <c r="G1985" t="s">
        <v>160</v>
      </c>
      <c r="H1985" t="s">
        <v>31</v>
      </c>
      <c r="I1985" t="s">
        <v>136</v>
      </c>
      <c r="J1985" t="s">
        <v>57</v>
      </c>
      <c r="K1985">
        <v>2.6</v>
      </c>
      <c r="L1985" t="s">
        <v>23</v>
      </c>
      <c r="M1985" t="s">
        <v>79</v>
      </c>
      <c r="N1985" t="s">
        <v>23</v>
      </c>
      <c r="O1985">
        <v>21</v>
      </c>
      <c r="P1985" t="s">
        <v>36</v>
      </c>
      <c r="Q1985" t="s">
        <v>37</v>
      </c>
      <c r="R1985" s="1">
        <v>0.1</v>
      </c>
      <c r="S1985">
        <f t="shared" si="120"/>
        <v>87.3</v>
      </c>
      <c r="T1985">
        <f>IFERROR(VLOOKUP(A1985,Table1[[Customer ID]:[Discount Amount]], 6, FALSE),"Not Found")</f>
        <v>97</v>
      </c>
      <c r="U1985" t="str">
        <f t="shared" si="121"/>
        <v>Debit Card</v>
      </c>
      <c r="V1985" s="4" t="str">
        <f t="shared" si="122"/>
        <v>Normal</v>
      </c>
      <c r="W1985" s="4" t="str">
        <f t="shared" si="123"/>
        <v>Poor</v>
      </c>
      <c r="X1985" s="4">
        <f>AVERAGE(Table1[Purchase Amount])</f>
        <v>129.48419400000012</v>
      </c>
    </row>
    <row r="1986" spans="1:24" ht="15" customHeight="1" x14ac:dyDescent="0.25">
      <c r="A1986">
        <v>1985</v>
      </c>
      <c r="B1986">
        <v>26</v>
      </c>
      <c r="C1986" t="s">
        <v>27</v>
      </c>
      <c r="D1986" t="s">
        <v>122</v>
      </c>
      <c r="E1986" t="s">
        <v>18</v>
      </c>
      <c r="F1986" s="2">
        <v>58</v>
      </c>
      <c r="G1986" t="s">
        <v>154</v>
      </c>
      <c r="H1986" t="s">
        <v>31</v>
      </c>
      <c r="I1986" t="s">
        <v>40</v>
      </c>
      <c r="J1986" t="s">
        <v>57</v>
      </c>
      <c r="K1986">
        <v>3.4</v>
      </c>
      <c r="L1986" t="s">
        <v>23</v>
      </c>
      <c r="M1986" t="s">
        <v>41</v>
      </c>
      <c r="N1986" t="s">
        <v>23</v>
      </c>
      <c r="O1986">
        <v>26</v>
      </c>
      <c r="P1986" t="s">
        <v>58</v>
      </c>
      <c r="Q1986" t="s">
        <v>89</v>
      </c>
      <c r="R1986" s="1">
        <v>0.1</v>
      </c>
      <c r="S1986">
        <f t="shared" ref="S1986:S2049" si="124">F1986-(F1986*R1986)</f>
        <v>52.2</v>
      </c>
      <c r="T1986">
        <f>IFERROR(VLOOKUP(A1986,Table1[[Customer ID]:[Discount Amount]], 6, FALSE),"Not Found")</f>
        <v>58</v>
      </c>
      <c r="U1986" t="str">
        <f t="shared" ref="U1986:U2049" si="125">INDEX(P:P, MATCH(A1986, A:A, 0))</f>
        <v>PayPal</v>
      </c>
      <c r="V1986" s="4" t="str">
        <f t="shared" ref="V1986:V2049" si="126">IF(AND(F1986&gt;1000,K1986&gt;=4),"Best Customer","Normal")</f>
        <v>Normal</v>
      </c>
      <c r="W1986" s="4" t="str">
        <f t="shared" ref="W1986:W2049" si="127">IF(K1986&gt;=3,"Good","Poor")</f>
        <v>Good</v>
      </c>
      <c r="X1986" s="4">
        <f>AVERAGE(Table1[Purchase Amount])</f>
        <v>129.48419400000012</v>
      </c>
    </row>
    <row r="1987" spans="1:24" ht="15" customHeight="1" x14ac:dyDescent="0.25">
      <c r="A1987">
        <v>1986</v>
      </c>
      <c r="B1987">
        <v>23</v>
      </c>
      <c r="C1987" t="s">
        <v>27</v>
      </c>
      <c r="D1987" t="s">
        <v>43</v>
      </c>
      <c r="E1987" t="s">
        <v>29</v>
      </c>
      <c r="F1987" s="2">
        <v>97</v>
      </c>
      <c r="G1987" t="s">
        <v>65</v>
      </c>
      <c r="H1987" t="s">
        <v>31</v>
      </c>
      <c r="I1987" t="s">
        <v>133</v>
      </c>
      <c r="J1987" t="s">
        <v>33</v>
      </c>
      <c r="K1987">
        <v>3.9</v>
      </c>
      <c r="L1987" t="s">
        <v>23</v>
      </c>
      <c r="M1987" t="s">
        <v>41</v>
      </c>
      <c r="N1987" t="s">
        <v>23</v>
      </c>
      <c r="O1987">
        <v>6</v>
      </c>
      <c r="P1987" t="s">
        <v>53</v>
      </c>
      <c r="Q1987" t="s">
        <v>89</v>
      </c>
      <c r="R1987" s="1">
        <v>0.1</v>
      </c>
      <c r="S1987">
        <f t="shared" si="124"/>
        <v>87.3</v>
      </c>
      <c r="T1987">
        <f>IFERROR(VLOOKUP(A1987,Table1[[Customer ID]:[Discount Amount]], 6, FALSE),"Not Found")</f>
        <v>97</v>
      </c>
      <c r="U1987" t="str">
        <f t="shared" si="125"/>
        <v>Credit Card</v>
      </c>
      <c r="V1987" s="4" t="str">
        <f t="shared" si="126"/>
        <v>Normal</v>
      </c>
      <c r="W1987" s="4" t="str">
        <f t="shared" si="127"/>
        <v>Good</v>
      </c>
      <c r="X1987" s="4">
        <f>AVERAGE(Table1[Purchase Amount])</f>
        <v>129.48419400000012</v>
      </c>
    </row>
    <row r="1988" spans="1:24" ht="15" customHeight="1" x14ac:dyDescent="0.25">
      <c r="A1988">
        <v>1987</v>
      </c>
      <c r="B1988">
        <v>62</v>
      </c>
      <c r="C1988" t="s">
        <v>27</v>
      </c>
      <c r="D1988" t="s">
        <v>76</v>
      </c>
      <c r="E1988" t="s">
        <v>77</v>
      </c>
      <c r="F1988" s="2">
        <v>48</v>
      </c>
      <c r="G1988" t="s">
        <v>100</v>
      </c>
      <c r="H1988" t="s">
        <v>45</v>
      </c>
      <c r="I1988" t="s">
        <v>93</v>
      </c>
      <c r="J1988" t="s">
        <v>57</v>
      </c>
      <c r="K1988">
        <v>3.4</v>
      </c>
      <c r="L1988" t="s">
        <v>23</v>
      </c>
      <c r="M1988" t="s">
        <v>41</v>
      </c>
      <c r="N1988" t="s">
        <v>23</v>
      </c>
      <c r="O1988">
        <v>14</v>
      </c>
      <c r="P1988" t="s">
        <v>62</v>
      </c>
      <c r="Q1988" t="s">
        <v>37</v>
      </c>
      <c r="R1988" s="1">
        <v>0.1</v>
      </c>
      <c r="S1988">
        <f t="shared" si="124"/>
        <v>43.2</v>
      </c>
      <c r="T1988">
        <f>IFERROR(VLOOKUP(A1988,Table1[[Customer ID]:[Discount Amount]], 6, FALSE),"Not Found")</f>
        <v>48</v>
      </c>
      <c r="U1988" t="str">
        <f t="shared" si="125"/>
        <v>Venmo</v>
      </c>
      <c r="V1988" s="4" t="str">
        <f t="shared" si="126"/>
        <v>Normal</v>
      </c>
      <c r="W1988" s="4" t="str">
        <f t="shared" si="127"/>
        <v>Good</v>
      </c>
      <c r="X1988" s="4">
        <f>AVERAGE(Table1[Purchase Amount])</f>
        <v>129.48419400000012</v>
      </c>
    </row>
    <row r="1989" spans="1:24" ht="15" customHeight="1" x14ac:dyDescent="0.25">
      <c r="A1989">
        <v>1988</v>
      </c>
      <c r="B1989">
        <v>69</v>
      </c>
      <c r="C1989" t="s">
        <v>27</v>
      </c>
      <c r="D1989" t="s">
        <v>114</v>
      </c>
      <c r="E1989" t="s">
        <v>29</v>
      </c>
      <c r="F1989" s="2">
        <v>23</v>
      </c>
      <c r="G1989" t="s">
        <v>84</v>
      </c>
      <c r="H1989" t="s">
        <v>20</v>
      </c>
      <c r="I1989" t="s">
        <v>32</v>
      </c>
      <c r="J1989" t="s">
        <v>57</v>
      </c>
      <c r="K1989">
        <v>3.4</v>
      </c>
      <c r="L1989" t="s">
        <v>23</v>
      </c>
      <c r="M1989" t="s">
        <v>61</v>
      </c>
      <c r="N1989" t="s">
        <v>23</v>
      </c>
      <c r="O1989">
        <v>4</v>
      </c>
      <c r="P1989" t="s">
        <v>25</v>
      </c>
      <c r="Q1989" t="s">
        <v>37</v>
      </c>
      <c r="R1989" s="1">
        <v>0.1</v>
      </c>
      <c r="S1989">
        <f t="shared" si="124"/>
        <v>20.7</v>
      </c>
      <c r="T1989">
        <f>IFERROR(VLOOKUP(A1989,Table1[[Customer ID]:[Discount Amount]], 6, FALSE),"Not Found")</f>
        <v>23</v>
      </c>
      <c r="U1989" t="str">
        <f t="shared" si="125"/>
        <v>Cash</v>
      </c>
      <c r="V1989" s="4" t="str">
        <f t="shared" si="126"/>
        <v>Normal</v>
      </c>
      <c r="W1989" s="4" t="str">
        <f t="shared" si="127"/>
        <v>Good</v>
      </c>
      <c r="X1989" s="4">
        <f>AVERAGE(Table1[Purchase Amount])</f>
        <v>129.48419400000012</v>
      </c>
    </row>
    <row r="1990" spans="1:24" ht="15" customHeight="1" x14ac:dyDescent="0.25">
      <c r="A1990">
        <v>1989</v>
      </c>
      <c r="B1990">
        <v>46</v>
      </c>
      <c r="C1990" t="s">
        <v>27</v>
      </c>
      <c r="D1990" t="s">
        <v>99</v>
      </c>
      <c r="E1990" t="s">
        <v>18</v>
      </c>
      <c r="F1990" s="2">
        <v>79</v>
      </c>
      <c r="G1990" t="s">
        <v>138</v>
      </c>
      <c r="H1990" t="s">
        <v>31</v>
      </c>
      <c r="I1990" t="s">
        <v>133</v>
      </c>
      <c r="J1990" t="s">
        <v>22</v>
      </c>
      <c r="K1990">
        <v>3.9</v>
      </c>
      <c r="L1990" t="s">
        <v>23</v>
      </c>
      <c r="M1990" t="s">
        <v>35</v>
      </c>
      <c r="N1990" t="s">
        <v>23</v>
      </c>
      <c r="O1990">
        <v>26</v>
      </c>
      <c r="P1990" t="s">
        <v>88</v>
      </c>
      <c r="Q1990" t="s">
        <v>26</v>
      </c>
      <c r="R1990" s="1">
        <v>0.1</v>
      </c>
      <c r="S1990">
        <f t="shared" si="124"/>
        <v>71.099999999999994</v>
      </c>
      <c r="T1990">
        <f>IFERROR(VLOOKUP(A1990,Table1[[Customer ID]:[Discount Amount]], 6, FALSE),"Not Found")</f>
        <v>79</v>
      </c>
      <c r="U1990" t="str">
        <f t="shared" si="125"/>
        <v>Bank Transfer</v>
      </c>
      <c r="V1990" s="4" t="str">
        <f t="shared" si="126"/>
        <v>Normal</v>
      </c>
      <c r="W1990" s="4" t="str">
        <f t="shared" si="127"/>
        <v>Good</v>
      </c>
      <c r="X1990" s="4">
        <f>AVERAGE(Table1[Purchase Amount])</f>
        <v>129.48419400000012</v>
      </c>
    </row>
    <row r="1991" spans="1:24" ht="15" customHeight="1" x14ac:dyDescent="0.25">
      <c r="A1991">
        <v>1990</v>
      </c>
      <c r="B1991">
        <v>35</v>
      </c>
      <c r="C1991" t="s">
        <v>27</v>
      </c>
      <c r="D1991" t="s">
        <v>50</v>
      </c>
      <c r="E1991" t="s">
        <v>29</v>
      </c>
      <c r="F1991" s="2">
        <v>42</v>
      </c>
      <c r="G1991" t="s">
        <v>106</v>
      </c>
      <c r="H1991" t="s">
        <v>55</v>
      </c>
      <c r="I1991" t="s">
        <v>103</v>
      </c>
      <c r="J1991" t="s">
        <v>33</v>
      </c>
      <c r="K1991">
        <v>4</v>
      </c>
      <c r="L1991" t="s">
        <v>23</v>
      </c>
      <c r="M1991" t="s">
        <v>61</v>
      </c>
      <c r="N1991" t="s">
        <v>23</v>
      </c>
      <c r="O1991">
        <v>39</v>
      </c>
      <c r="P1991" t="s">
        <v>58</v>
      </c>
      <c r="Q1991" t="s">
        <v>68</v>
      </c>
      <c r="R1991" s="1">
        <v>0.1</v>
      </c>
      <c r="S1991">
        <f t="shared" si="124"/>
        <v>37.799999999999997</v>
      </c>
      <c r="T1991">
        <f>IFERROR(VLOOKUP(A1991,Table1[[Customer ID]:[Discount Amount]], 6, FALSE),"Not Found")</f>
        <v>42</v>
      </c>
      <c r="U1991" t="str">
        <f t="shared" si="125"/>
        <v>PayPal</v>
      </c>
      <c r="V1991" s="4" t="str">
        <f t="shared" si="126"/>
        <v>Normal</v>
      </c>
      <c r="W1991" s="4" t="str">
        <f t="shared" si="127"/>
        <v>Good</v>
      </c>
      <c r="X1991" s="4">
        <f>AVERAGE(Table1[Purchase Amount])</f>
        <v>129.48419400000012</v>
      </c>
    </row>
    <row r="1992" spans="1:24" ht="15" customHeight="1" x14ac:dyDescent="0.25">
      <c r="A1992">
        <v>1991</v>
      </c>
      <c r="B1992">
        <v>32</v>
      </c>
      <c r="C1992" t="s">
        <v>27</v>
      </c>
      <c r="D1992" t="s">
        <v>104</v>
      </c>
      <c r="E1992" t="s">
        <v>29</v>
      </c>
      <c r="F1992" s="2">
        <v>95</v>
      </c>
      <c r="G1992" t="s">
        <v>115</v>
      </c>
      <c r="H1992" t="s">
        <v>45</v>
      </c>
      <c r="I1992" t="s">
        <v>32</v>
      </c>
      <c r="J1992" t="s">
        <v>33</v>
      </c>
      <c r="K1992">
        <v>3.4</v>
      </c>
      <c r="L1992" t="s">
        <v>23</v>
      </c>
      <c r="M1992" t="s">
        <v>41</v>
      </c>
      <c r="N1992" t="s">
        <v>23</v>
      </c>
      <c r="O1992">
        <v>15</v>
      </c>
      <c r="P1992" t="s">
        <v>58</v>
      </c>
      <c r="Q1992" t="s">
        <v>49</v>
      </c>
      <c r="R1992" s="1">
        <v>0.1</v>
      </c>
      <c r="S1992">
        <f t="shared" si="124"/>
        <v>85.5</v>
      </c>
      <c r="T1992">
        <f>IFERROR(VLOOKUP(A1992,Table1[[Customer ID]:[Discount Amount]], 6, FALSE),"Not Found")</f>
        <v>95</v>
      </c>
      <c r="U1992" t="str">
        <f t="shared" si="125"/>
        <v>PayPal</v>
      </c>
      <c r="V1992" s="4" t="str">
        <f t="shared" si="126"/>
        <v>Normal</v>
      </c>
      <c r="W1992" s="4" t="str">
        <f t="shared" si="127"/>
        <v>Good</v>
      </c>
      <c r="X1992" s="4">
        <f>AVERAGE(Table1[Purchase Amount])</f>
        <v>129.48419400000012</v>
      </c>
    </row>
    <row r="1993" spans="1:24" ht="15" customHeight="1" x14ac:dyDescent="0.25">
      <c r="A1993">
        <v>1992</v>
      </c>
      <c r="B1993">
        <v>46</v>
      </c>
      <c r="C1993" t="s">
        <v>27</v>
      </c>
      <c r="D1993" t="s">
        <v>140</v>
      </c>
      <c r="E1993" t="s">
        <v>98</v>
      </c>
      <c r="F1993" s="2">
        <v>29</v>
      </c>
      <c r="G1993" t="s">
        <v>146</v>
      </c>
      <c r="H1993" t="s">
        <v>31</v>
      </c>
      <c r="I1993" t="s">
        <v>60</v>
      </c>
      <c r="J1993" t="s">
        <v>57</v>
      </c>
      <c r="K1993">
        <v>3.7</v>
      </c>
      <c r="L1993" t="s">
        <v>23</v>
      </c>
      <c r="M1993" t="s">
        <v>79</v>
      </c>
      <c r="N1993" t="s">
        <v>23</v>
      </c>
      <c r="O1993">
        <v>1</v>
      </c>
      <c r="P1993" t="s">
        <v>62</v>
      </c>
      <c r="Q1993" t="s">
        <v>63</v>
      </c>
      <c r="R1993" s="1">
        <v>0.1</v>
      </c>
      <c r="S1993">
        <f t="shared" si="124"/>
        <v>26.1</v>
      </c>
      <c r="T1993">
        <f>IFERROR(VLOOKUP(A1993,Table1[[Customer ID]:[Discount Amount]], 6, FALSE),"Not Found")</f>
        <v>29</v>
      </c>
      <c r="U1993" t="str">
        <f t="shared" si="125"/>
        <v>Venmo</v>
      </c>
      <c r="V1993" s="4" t="str">
        <f t="shared" si="126"/>
        <v>Normal</v>
      </c>
      <c r="W1993" s="4" t="str">
        <f t="shared" si="127"/>
        <v>Good</v>
      </c>
      <c r="X1993" s="4">
        <f>AVERAGE(Table1[Purchase Amount])</f>
        <v>129.48419400000012</v>
      </c>
    </row>
    <row r="1994" spans="1:24" ht="15" customHeight="1" x14ac:dyDescent="0.25">
      <c r="A1994">
        <v>1993</v>
      </c>
      <c r="B1994">
        <v>33</v>
      </c>
      <c r="C1994" t="s">
        <v>27</v>
      </c>
      <c r="D1994" t="s">
        <v>83</v>
      </c>
      <c r="E1994" t="s">
        <v>18</v>
      </c>
      <c r="F1994" s="2">
        <v>98</v>
      </c>
      <c r="G1994" t="s">
        <v>131</v>
      </c>
      <c r="H1994" t="s">
        <v>45</v>
      </c>
      <c r="I1994" t="s">
        <v>133</v>
      </c>
      <c r="J1994" t="s">
        <v>22</v>
      </c>
      <c r="K1994">
        <v>4.9000000000000004</v>
      </c>
      <c r="L1994" t="s">
        <v>23</v>
      </c>
      <c r="M1994" t="s">
        <v>41</v>
      </c>
      <c r="N1994" t="s">
        <v>23</v>
      </c>
      <c r="O1994">
        <v>28</v>
      </c>
      <c r="P1994" t="s">
        <v>62</v>
      </c>
      <c r="Q1994" t="s">
        <v>42</v>
      </c>
      <c r="R1994" s="1">
        <v>0.1</v>
      </c>
      <c r="S1994">
        <f t="shared" si="124"/>
        <v>88.2</v>
      </c>
      <c r="T1994">
        <f>IFERROR(VLOOKUP(A1994,Table1[[Customer ID]:[Discount Amount]], 6, FALSE),"Not Found")</f>
        <v>98</v>
      </c>
      <c r="U1994" t="str">
        <f t="shared" si="125"/>
        <v>Venmo</v>
      </c>
      <c r="V1994" s="4" t="str">
        <f t="shared" si="126"/>
        <v>Normal</v>
      </c>
      <c r="W1994" s="4" t="str">
        <f t="shared" si="127"/>
        <v>Good</v>
      </c>
      <c r="X1994" s="4">
        <f>AVERAGE(Table1[Purchase Amount])</f>
        <v>129.48419400000012</v>
      </c>
    </row>
    <row r="1995" spans="1:24" ht="15" customHeight="1" x14ac:dyDescent="0.25">
      <c r="A1995">
        <v>1994</v>
      </c>
      <c r="B1995">
        <v>32</v>
      </c>
      <c r="C1995" t="s">
        <v>27</v>
      </c>
      <c r="D1995" t="s">
        <v>118</v>
      </c>
      <c r="E1995" t="s">
        <v>18</v>
      </c>
      <c r="F1995" s="2">
        <v>96</v>
      </c>
      <c r="G1995" t="s">
        <v>100</v>
      </c>
      <c r="H1995" t="s">
        <v>55</v>
      </c>
      <c r="I1995" t="s">
        <v>66</v>
      </c>
      <c r="J1995" t="s">
        <v>33</v>
      </c>
      <c r="K1995">
        <v>5</v>
      </c>
      <c r="L1995" t="s">
        <v>23</v>
      </c>
      <c r="M1995" t="s">
        <v>61</v>
      </c>
      <c r="N1995" t="s">
        <v>23</v>
      </c>
      <c r="O1995">
        <v>17</v>
      </c>
      <c r="P1995" t="s">
        <v>25</v>
      </c>
      <c r="Q1995" t="s">
        <v>26</v>
      </c>
      <c r="R1995" s="1">
        <v>0.1</v>
      </c>
      <c r="S1995">
        <f t="shared" si="124"/>
        <v>86.4</v>
      </c>
      <c r="T1995">
        <f>IFERROR(VLOOKUP(A1995,Table1[[Customer ID]:[Discount Amount]], 6, FALSE),"Not Found")</f>
        <v>96</v>
      </c>
      <c r="U1995" t="str">
        <f t="shared" si="125"/>
        <v>Cash</v>
      </c>
      <c r="V1995" s="4" t="str">
        <f t="shared" si="126"/>
        <v>Normal</v>
      </c>
      <c r="W1995" s="4" t="str">
        <f t="shared" si="127"/>
        <v>Good</v>
      </c>
      <c r="X1995" s="4">
        <f>AVERAGE(Table1[Purchase Amount])</f>
        <v>129.48419400000012</v>
      </c>
    </row>
    <row r="1996" spans="1:24" ht="15" customHeight="1" x14ac:dyDescent="0.25">
      <c r="A1996">
        <v>1995</v>
      </c>
      <c r="B1996">
        <v>33</v>
      </c>
      <c r="C1996" t="s">
        <v>27</v>
      </c>
      <c r="D1996" t="s">
        <v>28</v>
      </c>
      <c r="E1996" t="s">
        <v>29</v>
      </c>
      <c r="F1996" s="2">
        <v>66</v>
      </c>
      <c r="G1996" t="s">
        <v>158</v>
      </c>
      <c r="H1996" t="s">
        <v>31</v>
      </c>
      <c r="I1996" t="s">
        <v>60</v>
      </c>
      <c r="J1996" t="s">
        <v>47</v>
      </c>
      <c r="K1996">
        <v>2.9</v>
      </c>
      <c r="L1996" t="s">
        <v>23</v>
      </c>
      <c r="M1996" t="s">
        <v>79</v>
      </c>
      <c r="N1996" t="s">
        <v>23</v>
      </c>
      <c r="O1996">
        <v>24</v>
      </c>
      <c r="P1996" t="s">
        <v>53</v>
      </c>
      <c r="Q1996" t="s">
        <v>26</v>
      </c>
      <c r="R1996" s="1">
        <v>0.1</v>
      </c>
      <c r="S1996">
        <f t="shared" si="124"/>
        <v>59.4</v>
      </c>
      <c r="T1996">
        <f>IFERROR(VLOOKUP(A1996,Table1[[Customer ID]:[Discount Amount]], 6, FALSE),"Not Found")</f>
        <v>66</v>
      </c>
      <c r="U1996" t="str">
        <f t="shared" si="125"/>
        <v>Credit Card</v>
      </c>
      <c r="V1996" s="4" t="str">
        <f t="shared" si="126"/>
        <v>Normal</v>
      </c>
      <c r="W1996" s="4" t="str">
        <f t="shared" si="127"/>
        <v>Poor</v>
      </c>
      <c r="X1996" s="4">
        <f>AVERAGE(Table1[Purchase Amount])</f>
        <v>129.48419400000012</v>
      </c>
    </row>
    <row r="1997" spans="1:24" ht="15" customHeight="1" x14ac:dyDescent="0.25">
      <c r="A1997">
        <v>1996</v>
      </c>
      <c r="B1997">
        <v>67</v>
      </c>
      <c r="C1997" t="s">
        <v>27</v>
      </c>
      <c r="D1997" t="s">
        <v>151</v>
      </c>
      <c r="E1997" t="s">
        <v>98</v>
      </c>
      <c r="F1997" s="2">
        <v>80</v>
      </c>
      <c r="G1997" t="s">
        <v>146</v>
      </c>
      <c r="H1997" t="s">
        <v>55</v>
      </c>
      <c r="I1997" t="s">
        <v>147</v>
      </c>
      <c r="J1997" t="s">
        <v>33</v>
      </c>
      <c r="K1997">
        <v>3</v>
      </c>
      <c r="L1997" t="s">
        <v>23</v>
      </c>
      <c r="M1997" t="s">
        <v>24</v>
      </c>
      <c r="N1997" t="s">
        <v>23</v>
      </c>
      <c r="O1997">
        <v>29</v>
      </c>
      <c r="P1997" t="s">
        <v>36</v>
      </c>
      <c r="Q1997" t="s">
        <v>37</v>
      </c>
      <c r="R1997" s="1">
        <v>0.1</v>
      </c>
      <c r="S1997">
        <f t="shared" si="124"/>
        <v>72</v>
      </c>
      <c r="T1997">
        <f>IFERROR(VLOOKUP(A1997,Table1[[Customer ID]:[Discount Amount]], 6, FALSE),"Not Found")</f>
        <v>80</v>
      </c>
      <c r="U1997" t="str">
        <f t="shared" si="125"/>
        <v>Debit Card</v>
      </c>
      <c r="V1997" s="4" t="str">
        <f t="shared" si="126"/>
        <v>Normal</v>
      </c>
      <c r="W1997" s="4" t="str">
        <f t="shared" si="127"/>
        <v>Good</v>
      </c>
      <c r="X1997" s="4">
        <f>AVERAGE(Table1[Purchase Amount])</f>
        <v>129.48419400000012</v>
      </c>
    </row>
    <row r="1998" spans="1:24" ht="15" customHeight="1" x14ac:dyDescent="0.25">
      <c r="A1998">
        <v>1997</v>
      </c>
      <c r="B1998">
        <v>67</v>
      </c>
      <c r="C1998" t="s">
        <v>27</v>
      </c>
      <c r="D1998" t="s">
        <v>140</v>
      </c>
      <c r="E1998" t="s">
        <v>98</v>
      </c>
      <c r="F1998" s="2">
        <v>27</v>
      </c>
      <c r="G1998" t="s">
        <v>130</v>
      </c>
      <c r="H1998" t="s">
        <v>45</v>
      </c>
      <c r="I1998" t="s">
        <v>91</v>
      </c>
      <c r="J1998" t="s">
        <v>57</v>
      </c>
      <c r="K1998">
        <v>3.3</v>
      </c>
      <c r="L1998" t="s">
        <v>23</v>
      </c>
      <c r="M1998" t="s">
        <v>79</v>
      </c>
      <c r="N1998" t="s">
        <v>23</v>
      </c>
      <c r="O1998">
        <v>18</v>
      </c>
      <c r="P1998" t="s">
        <v>25</v>
      </c>
      <c r="Q1998" t="s">
        <v>63</v>
      </c>
      <c r="R1998" s="1">
        <v>0.1</v>
      </c>
      <c r="S1998">
        <f t="shared" si="124"/>
        <v>24.3</v>
      </c>
      <c r="T1998">
        <f>IFERROR(VLOOKUP(A1998,Table1[[Customer ID]:[Discount Amount]], 6, FALSE),"Not Found")</f>
        <v>27</v>
      </c>
      <c r="U1998" t="str">
        <f t="shared" si="125"/>
        <v>Cash</v>
      </c>
      <c r="V1998" s="4" t="str">
        <f t="shared" si="126"/>
        <v>Normal</v>
      </c>
      <c r="W1998" s="4" t="str">
        <f t="shared" si="127"/>
        <v>Good</v>
      </c>
      <c r="X1998" s="4">
        <f>AVERAGE(Table1[Purchase Amount])</f>
        <v>129.48419400000012</v>
      </c>
    </row>
    <row r="1999" spans="1:24" ht="15" customHeight="1" x14ac:dyDescent="0.25">
      <c r="A1999">
        <v>1998</v>
      </c>
      <c r="B1999">
        <v>42</v>
      </c>
      <c r="C1999" t="s">
        <v>27</v>
      </c>
      <c r="D1999" t="s">
        <v>104</v>
      </c>
      <c r="E1999" t="s">
        <v>29</v>
      </c>
      <c r="F1999" s="2">
        <v>25</v>
      </c>
      <c r="G1999" t="s">
        <v>115</v>
      </c>
      <c r="H1999" t="s">
        <v>31</v>
      </c>
      <c r="I1999" t="s">
        <v>66</v>
      </c>
      <c r="J1999" t="s">
        <v>47</v>
      </c>
      <c r="K1999">
        <v>4.7</v>
      </c>
      <c r="L1999" t="s">
        <v>23</v>
      </c>
      <c r="M1999" t="s">
        <v>61</v>
      </c>
      <c r="N1999" t="s">
        <v>23</v>
      </c>
      <c r="O1999">
        <v>10</v>
      </c>
      <c r="P1999" t="s">
        <v>36</v>
      </c>
      <c r="Q1999" t="s">
        <v>68</v>
      </c>
      <c r="R1999" s="1">
        <v>0.1</v>
      </c>
      <c r="S1999">
        <f t="shared" si="124"/>
        <v>22.5</v>
      </c>
      <c r="T1999">
        <f>IFERROR(VLOOKUP(A1999,Table1[[Customer ID]:[Discount Amount]], 6, FALSE),"Not Found")</f>
        <v>25</v>
      </c>
      <c r="U1999" t="str">
        <f t="shared" si="125"/>
        <v>Debit Card</v>
      </c>
      <c r="V1999" s="4" t="str">
        <f t="shared" si="126"/>
        <v>Normal</v>
      </c>
      <c r="W1999" s="4" t="str">
        <f t="shared" si="127"/>
        <v>Good</v>
      </c>
      <c r="X1999" s="4">
        <f>AVERAGE(Table1[Purchase Amount])</f>
        <v>129.48419400000012</v>
      </c>
    </row>
    <row r="2000" spans="1:24" ht="15" customHeight="1" x14ac:dyDescent="0.25">
      <c r="A2000">
        <v>1999</v>
      </c>
      <c r="B2000">
        <v>20</v>
      </c>
      <c r="C2000" t="s">
        <v>27</v>
      </c>
      <c r="D2000" t="s">
        <v>99</v>
      </c>
      <c r="E2000" t="s">
        <v>18</v>
      </c>
      <c r="F2000" s="2">
        <v>45</v>
      </c>
      <c r="G2000" t="s">
        <v>84</v>
      </c>
      <c r="H2000" t="s">
        <v>31</v>
      </c>
      <c r="I2000" t="s">
        <v>108</v>
      </c>
      <c r="J2000" t="s">
        <v>47</v>
      </c>
      <c r="K2000">
        <v>3.4</v>
      </c>
      <c r="L2000" t="s">
        <v>23</v>
      </c>
      <c r="M2000" t="s">
        <v>41</v>
      </c>
      <c r="N2000" t="s">
        <v>23</v>
      </c>
      <c r="O2000">
        <v>19</v>
      </c>
      <c r="P2000" t="s">
        <v>25</v>
      </c>
      <c r="Q2000" t="s">
        <v>37</v>
      </c>
      <c r="R2000" s="1">
        <v>0.1</v>
      </c>
      <c r="S2000">
        <f t="shared" si="124"/>
        <v>40.5</v>
      </c>
      <c r="T2000">
        <f>IFERROR(VLOOKUP(A2000,Table1[[Customer ID]:[Discount Amount]], 6, FALSE),"Not Found")</f>
        <v>45</v>
      </c>
      <c r="U2000" t="str">
        <f t="shared" si="125"/>
        <v>Cash</v>
      </c>
      <c r="V2000" s="4" t="str">
        <f t="shared" si="126"/>
        <v>Normal</v>
      </c>
      <c r="W2000" s="4" t="str">
        <f t="shared" si="127"/>
        <v>Good</v>
      </c>
      <c r="X2000" s="4">
        <f>AVERAGE(Table1[Purchase Amount])</f>
        <v>129.48419400000012</v>
      </c>
    </row>
    <row r="2001" spans="1:24" ht="15" customHeight="1" x14ac:dyDescent="0.25">
      <c r="A2001">
        <v>2000</v>
      </c>
      <c r="B2001">
        <v>39</v>
      </c>
      <c r="C2001" t="s">
        <v>27</v>
      </c>
      <c r="D2001" t="s">
        <v>105</v>
      </c>
      <c r="E2001" t="s">
        <v>18</v>
      </c>
      <c r="F2001" s="2">
        <v>89</v>
      </c>
      <c r="G2001" t="s">
        <v>65</v>
      </c>
      <c r="H2001" t="s">
        <v>45</v>
      </c>
      <c r="I2001" t="s">
        <v>91</v>
      </c>
      <c r="J2001" t="s">
        <v>22</v>
      </c>
      <c r="K2001">
        <v>4.5999999999999996</v>
      </c>
      <c r="L2001" t="s">
        <v>23</v>
      </c>
      <c r="M2001" t="s">
        <v>41</v>
      </c>
      <c r="N2001" t="s">
        <v>23</v>
      </c>
      <c r="O2001">
        <v>26</v>
      </c>
      <c r="P2001" t="s">
        <v>36</v>
      </c>
      <c r="Q2001" t="s">
        <v>42</v>
      </c>
      <c r="R2001" s="1">
        <v>0.1</v>
      </c>
      <c r="S2001">
        <f t="shared" si="124"/>
        <v>80.099999999999994</v>
      </c>
      <c r="T2001">
        <f>IFERROR(VLOOKUP(A2001,Table1[[Customer ID]:[Discount Amount]], 6, FALSE),"Not Found")</f>
        <v>89</v>
      </c>
      <c r="U2001" t="str">
        <f t="shared" si="125"/>
        <v>Debit Card</v>
      </c>
      <c r="V2001" s="4" t="str">
        <f t="shared" si="126"/>
        <v>Normal</v>
      </c>
      <c r="W2001" s="4" t="str">
        <f t="shared" si="127"/>
        <v>Good</v>
      </c>
      <c r="X2001" s="4">
        <f>AVERAGE(Table1[Purchase Amount])</f>
        <v>129.48419400000012</v>
      </c>
    </row>
    <row r="2002" spans="1:24" ht="15" customHeight="1" x14ac:dyDescent="0.25">
      <c r="A2002">
        <v>2001</v>
      </c>
      <c r="B2002">
        <v>26</v>
      </c>
      <c r="C2002" t="s">
        <v>27</v>
      </c>
      <c r="D2002" t="s">
        <v>114</v>
      </c>
      <c r="E2002" t="s">
        <v>29</v>
      </c>
      <c r="F2002" s="2">
        <v>27</v>
      </c>
      <c r="G2002" t="s">
        <v>19</v>
      </c>
      <c r="H2002" t="s">
        <v>31</v>
      </c>
      <c r="I2002" t="s">
        <v>107</v>
      </c>
      <c r="J2002" t="s">
        <v>22</v>
      </c>
      <c r="K2002">
        <v>3.6</v>
      </c>
      <c r="L2002" t="s">
        <v>23</v>
      </c>
      <c r="M2002" t="s">
        <v>41</v>
      </c>
      <c r="N2002" t="s">
        <v>23</v>
      </c>
      <c r="O2002">
        <v>25</v>
      </c>
      <c r="P2002" t="s">
        <v>25</v>
      </c>
      <c r="Q2002" t="s">
        <v>68</v>
      </c>
      <c r="R2002" s="1">
        <v>0.1</v>
      </c>
      <c r="S2002">
        <f t="shared" si="124"/>
        <v>24.3</v>
      </c>
      <c r="T2002">
        <f>IFERROR(VLOOKUP(A2002,Table1[[Customer ID]:[Discount Amount]], 6, FALSE),"Not Found")</f>
        <v>27</v>
      </c>
      <c r="U2002" t="str">
        <f t="shared" si="125"/>
        <v>Cash</v>
      </c>
      <c r="V2002" s="4" t="str">
        <f t="shared" si="126"/>
        <v>Normal</v>
      </c>
      <c r="W2002" s="4" t="str">
        <f t="shared" si="127"/>
        <v>Good</v>
      </c>
      <c r="X2002" s="4">
        <f>AVERAGE(Table1[Purchase Amount])</f>
        <v>129.48419400000012</v>
      </c>
    </row>
    <row r="2003" spans="1:24" ht="15" customHeight="1" x14ac:dyDescent="0.25">
      <c r="A2003">
        <v>2002</v>
      </c>
      <c r="B2003">
        <v>51</v>
      </c>
      <c r="C2003" t="s">
        <v>27</v>
      </c>
      <c r="D2003" t="s">
        <v>28</v>
      </c>
      <c r="E2003" t="s">
        <v>29</v>
      </c>
      <c r="F2003" s="2">
        <v>90</v>
      </c>
      <c r="G2003" t="s">
        <v>162</v>
      </c>
      <c r="H2003" t="s">
        <v>55</v>
      </c>
      <c r="I2003" t="s">
        <v>66</v>
      </c>
      <c r="J2003" t="s">
        <v>22</v>
      </c>
      <c r="K2003">
        <v>2.6</v>
      </c>
      <c r="L2003" t="s">
        <v>23</v>
      </c>
      <c r="M2003" t="s">
        <v>35</v>
      </c>
      <c r="N2003" t="s">
        <v>23</v>
      </c>
      <c r="O2003">
        <v>2</v>
      </c>
      <c r="P2003" t="s">
        <v>36</v>
      </c>
      <c r="Q2003" t="s">
        <v>89</v>
      </c>
      <c r="R2003" s="1">
        <v>0.1</v>
      </c>
      <c r="S2003">
        <f t="shared" si="124"/>
        <v>81</v>
      </c>
      <c r="T2003">
        <f>IFERROR(VLOOKUP(A2003,Table1[[Customer ID]:[Discount Amount]], 6, FALSE),"Not Found")</f>
        <v>90</v>
      </c>
      <c r="U2003" t="str">
        <f t="shared" si="125"/>
        <v>Debit Card</v>
      </c>
      <c r="V2003" s="4" t="str">
        <f t="shared" si="126"/>
        <v>Normal</v>
      </c>
      <c r="W2003" s="4" t="str">
        <f t="shared" si="127"/>
        <v>Poor</v>
      </c>
      <c r="X2003" s="4">
        <f>AVERAGE(Table1[Purchase Amount])</f>
        <v>129.48419400000012</v>
      </c>
    </row>
    <row r="2004" spans="1:24" ht="15" customHeight="1" x14ac:dyDescent="0.25">
      <c r="A2004">
        <v>2003</v>
      </c>
      <c r="B2004">
        <v>31</v>
      </c>
      <c r="C2004" t="s">
        <v>27</v>
      </c>
      <c r="D2004" t="s">
        <v>38</v>
      </c>
      <c r="E2004" t="s">
        <v>18</v>
      </c>
      <c r="F2004" s="2">
        <v>65</v>
      </c>
      <c r="G2004" t="s">
        <v>101</v>
      </c>
      <c r="H2004" t="s">
        <v>31</v>
      </c>
      <c r="I2004" t="s">
        <v>46</v>
      </c>
      <c r="J2004" t="s">
        <v>57</v>
      </c>
      <c r="K2004">
        <v>2.7</v>
      </c>
      <c r="L2004" t="s">
        <v>23</v>
      </c>
      <c r="M2004" t="s">
        <v>61</v>
      </c>
      <c r="N2004" t="s">
        <v>23</v>
      </c>
      <c r="O2004">
        <v>19</v>
      </c>
      <c r="P2004" t="s">
        <v>58</v>
      </c>
      <c r="Q2004" t="s">
        <v>63</v>
      </c>
      <c r="R2004" s="1">
        <v>0.1</v>
      </c>
      <c r="S2004">
        <f t="shared" si="124"/>
        <v>58.5</v>
      </c>
      <c r="T2004">
        <f>IFERROR(VLOOKUP(A2004,Table1[[Customer ID]:[Discount Amount]], 6, FALSE),"Not Found")</f>
        <v>65</v>
      </c>
      <c r="U2004" t="str">
        <f t="shared" si="125"/>
        <v>PayPal</v>
      </c>
      <c r="V2004" s="4" t="str">
        <f t="shared" si="126"/>
        <v>Normal</v>
      </c>
      <c r="W2004" s="4" t="str">
        <f t="shared" si="127"/>
        <v>Poor</v>
      </c>
      <c r="X2004" s="4">
        <f>AVERAGE(Table1[Purchase Amount])</f>
        <v>129.48419400000012</v>
      </c>
    </row>
    <row r="2005" spans="1:24" ht="15" customHeight="1" x14ac:dyDescent="0.25">
      <c r="A2005">
        <v>2004</v>
      </c>
      <c r="B2005">
        <v>68</v>
      </c>
      <c r="C2005" t="s">
        <v>27</v>
      </c>
      <c r="D2005" t="s">
        <v>140</v>
      </c>
      <c r="E2005" t="s">
        <v>98</v>
      </c>
      <c r="F2005" s="2">
        <v>72</v>
      </c>
      <c r="G2005" t="s">
        <v>94</v>
      </c>
      <c r="H2005" t="s">
        <v>55</v>
      </c>
      <c r="I2005" t="s">
        <v>74</v>
      </c>
      <c r="J2005" t="s">
        <v>33</v>
      </c>
      <c r="K2005">
        <v>3.1</v>
      </c>
      <c r="L2005" t="s">
        <v>23</v>
      </c>
      <c r="M2005" t="s">
        <v>61</v>
      </c>
      <c r="N2005" t="s">
        <v>23</v>
      </c>
      <c r="O2005">
        <v>32</v>
      </c>
      <c r="P2005" t="s">
        <v>25</v>
      </c>
      <c r="Q2005" t="s">
        <v>37</v>
      </c>
      <c r="R2005" s="1">
        <v>0.1</v>
      </c>
      <c r="S2005">
        <f t="shared" si="124"/>
        <v>64.8</v>
      </c>
      <c r="T2005">
        <f>IFERROR(VLOOKUP(A2005,Table1[[Customer ID]:[Discount Amount]], 6, FALSE),"Not Found")</f>
        <v>72</v>
      </c>
      <c r="U2005" t="str">
        <f t="shared" si="125"/>
        <v>Cash</v>
      </c>
      <c r="V2005" s="4" t="str">
        <f t="shared" si="126"/>
        <v>Normal</v>
      </c>
      <c r="W2005" s="4" t="str">
        <f t="shared" si="127"/>
        <v>Good</v>
      </c>
      <c r="X2005" s="4">
        <f>AVERAGE(Table1[Purchase Amount])</f>
        <v>129.48419400000012</v>
      </c>
    </row>
    <row r="2006" spans="1:24" ht="15" customHeight="1" x14ac:dyDescent="0.25">
      <c r="A2006">
        <v>2005</v>
      </c>
      <c r="B2006">
        <v>44</v>
      </c>
      <c r="C2006" t="s">
        <v>27</v>
      </c>
      <c r="D2006" t="s">
        <v>72</v>
      </c>
      <c r="E2006" t="s">
        <v>98</v>
      </c>
      <c r="F2006" s="2">
        <v>70</v>
      </c>
      <c r="G2006" t="s">
        <v>160</v>
      </c>
      <c r="H2006" t="s">
        <v>45</v>
      </c>
      <c r="I2006" t="s">
        <v>74</v>
      </c>
      <c r="J2006" t="s">
        <v>47</v>
      </c>
      <c r="K2006">
        <v>3.2</v>
      </c>
      <c r="L2006" t="s">
        <v>23</v>
      </c>
      <c r="M2006" t="s">
        <v>41</v>
      </c>
      <c r="N2006" t="s">
        <v>23</v>
      </c>
      <c r="O2006">
        <v>13</v>
      </c>
      <c r="P2006" t="s">
        <v>25</v>
      </c>
      <c r="Q2006" t="s">
        <v>68</v>
      </c>
      <c r="R2006" s="1">
        <v>0.1</v>
      </c>
      <c r="S2006">
        <f t="shared" si="124"/>
        <v>63</v>
      </c>
      <c r="T2006">
        <f>IFERROR(VLOOKUP(A2006,Table1[[Customer ID]:[Discount Amount]], 6, FALSE),"Not Found")</f>
        <v>70</v>
      </c>
      <c r="U2006" t="str">
        <f t="shared" si="125"/>
        <v>Cash</v>
      </c>
      <c r="V2006" s="4" t="str">
        <f t="shared" si="126"/>
        <v>Normal</v>
      </c>
      <c r="W2006" s="4" t="str">
        <f t="shared" si="127"/>
        <v>Good</v>
      </c>
      <c r="X2006" s="4">
        <f>AVERAGE(Table1[Purchase Amount])</f>
        <v>129.48419400000012</v>
      </c>
    </row>
    <row r="2007" spans="1:24" ht="15" customHeight="1" x14ac:dyDescent="0.25">
      <c r="A2007">
        <v>2006</v>
      </c>
      <c r="B2007">
        <v>18</v>
      </c>
      <c r="C2007" t="s">
        <v>27</v>
      </c>
      <c r="D2007" t="s">
        <v>121</v>
      </c>
      <c r="E2007" t="s">
        <v>98</v>
      </c>
      <c r="F2007" s="2">
        <v>82</v>
      </c>
      <c r="G2007" t="s">
        <v>65</v>
      </c>
      <c r="H2007" t="s">
        <v>31</v>
      </c>
      <c r="I2007" t="s">
        <v>128</v>
      </c>
      <c r="J2007" t="s">
        <v>22</v>
      </c>
      <c r="K2007">
        <v>3.4</v>
      </c>
      <c r="L2007" t="s">
        <v>23</v>
      </c>
      <c r="M2007" t="s">
        <v>48</v>
      </c>
      <c r="N2007" t="s">
        <v>23</v>
      </c>
      <c r="O2007">
        <v>30</v>
      </c>
      <c r="P2007" t="s">
        <v>58</v>
      </c>
      <c r="Q2007" t="s">
        <v>89</v>
      </c>
      <c r="R2007" s="1">
        <v>0.1</v>
      </c>
      <c r="S2007">
        <f t="shared" si="124"/>
        <v>73.8</v>
      </c>
      <c r="T2007">
        <f>IFERROR(VLOOKUP(A2007,Table1[[Customer ID]:[Discount Amount]], 6, FALSE),"Not Found")</f>
        <v>82</v>
      </c>
      <c r="U2007" t="str">
        <f t="shared" si="125"/>
        <v>PayPal</v>
      </c>
      <c r="V2007" s="4" t="str">
        <f t="shared" si="126"/>
        <v>Normal</v>
      </c>
      <c r="W2007" s="4" t="str">
        <f t="shared" si="127"/>
        <v>Good</v>
      </c>
      <c r="X2007" s="4">
        <f>AVERAGE(Table1[Purchase Amount])</f>
        <v>129.48419400000012</v>
      </c>
    </row>
    <row r="2008" spans="1:24" ht="15" customHeight="1" x14ac:dyDescent="0.25">
      <c r="A2008">
        <v>2007</v>
      </c>
      <c r="B2008">
        <v>58</v>
      </c>
      <c r="C2008" t="s">
        <v>27</v>
      </c>
      <c r="D2008" t="s">
        <v>129</v>
      </c>
      <c r="E2008" t="s">
        <v>29</v>
      </c>
      <c r="F2008" s="2">
        <v>97</v>
      </c>
      <c r="G2008" t="s">
        <v>110</v>
      </c>
      <c r="H2008" t="s">
        <v>55</v>
      </c>
      <c r="I2008" t="s">
        <v>136</v>
      </c>
      <c r="J2008" t="s">
        <v>47</v>
      </c>
      <c r="K2008">
        <v>4.4000000000000004</v>
      </c>
      <c r="L2008" t="s">
        <v>23</v>
      </c>
      <c r="M2008" t="s">
        <v>61</v>
      </c>
      <c r="N2008" t="s">
        <v>23</v>
      </c>
      <c r="O2008">
        <v>2</v>
      </c>
      <c r="P2008" t="s">
        <v>53</v>
      </c>
      <c r="Q2008" t="s">
        <v>49</v>
      </c>
      <c r="R2008" s="1">
        <v>0.1</v>
      </c>
      <c r="S2008">
        <f t="shared" si="124"/>
        <v>87.3</v>
      </c>
      <c r="T2008">
        <f>IFERROR(VLOOKUP(A2008,Table1[[Customer ID]:[Discount Amount]], 6, FALSE),"Not Found")</f>
        <v>97</v>
      </c>
      <c r="U2008" t="str">
        <f t="shared" si="125"/>
        <v>Credit Card</v>
      </c>
      <c r="V2008" s="4" t="str">
        <f t="shared" si="126"/>
        <v>Normal</v>
      </c>
      <c r="W2008" s="4" t="str">
        <f t="shared" si="127"/>
        <v>Good</v>
      </c>
      <c r="X2008" s="4">
        <f>AVERAGE(Table1[Purchase Amount])</f>
        <v>129.48419400000012</v>
      </c>
    </row>
    <row r="2009" spans="1:24" ht="15" customHeight="1" x14ac:dyDescent="0.25">
      <c r="A2009">
        <v>2008</v>
      </c>
      <c r="B2009">
        <v>26</v>
      </c>
      <c r="C2009" t="s">
        <v>27</v>
      </c>
      <c r="D2009" t="s">
        <v>38</v>
      </c>
      <c r="E2009" t="s">
        <v>18</v>
      </c>
      <c r="F2009" s="2">
        <v>25</v>
      </c>
      <c r="G2009" t="s">
        <v>138</v>
      </c>
      <c r="H2009" t="s">
        <v>31</v>
      </c>
      <c r="I2009" t="s">
        <v>153</v>
      </c>
      <c r="J2009" t="s">
        <v>57</v>
      </c>
      <c r="K2009">
        <v>3.2</v>
      </c>
      <c r="L2009" t="s">
        <v>23</v>
      </c>
      <c r="M2009" t="s">
        <v>41</v>
      </c>
      <c r="N2009" t="s">
        <v>23</v>
      </c>
      <c r="O2009">
        <v>8</v>
      </c>
      <c r="P2009" t="s">
        <v>58</v>
      </c>
      <c r="Q2009" t="s">
        <v>37</v>
      </c>
      <c r="R2009" s="1">
        <v>0.1</v>
      </c>
      <c r="S2009">
        <f t="shared" si="124"/>
        <v>22.5</v>
      </c>
      <c r="T2009">
        <f>IFERROR(VLOOKUP(A2009,Table1[[Customer ID]:[Discount Amount]], 6, FALSE),"Not Found")</f>
        <v>25</v>
      </c>
      <c r="U2009" t="str">
        <f t="shared" si="125"/>
        <v>PayPal</v>
      </c>
      <c r="V2009" s="4" t="str">
        <f t="shared" si="126"/>
        <v>Normal</v>
      </c>
      <c r="W2009" s="4" t="str">
        <f t="shared" si="127"/>
        <v>Good</v>
      </c>
      <c r="X2009" s="4">
        <f>AVERAGE(Table1[Purchase Amount])</f>
        <v>129.48419400000012</v>
      </c>
    </row>
    <row r="2010" spans="1:24" ht="15" customHeight="1" x14ac:dyDescent="0.25">
      <c r="A2010">
        <v>2009</v>
      </c>
      <c r="B2010">
        <v>57</v>
      </c>
      <c r="C2010" t="s">
        <v>27</v>
      </c>
      <c r="D2010" t="s">
        <v>122</v>
      </c>
      <c r="E2010" t="s">
        <v>18</v>
      </c>
      <c r="F2010" s="2">
        <v>48</v>
      </c>
      <c r="G2010" t="s">
        <v>67</v>
      </c>
      <c r="H2010" t="s">
        <v>31</v>
      </c>
      <c r="I2010" t="s">
        <v>85</v>
      </c>
      <c r="J2010" t="s">
        <v>33</v>
      </c>
      <c r="K2010">
        <v>2.5</v>
      </c>
      <c r="L2010" t="s">
        <v>23</v>
      </c>
      <c r="M2010" t="s">
        <v>35</v>
      </c>
      <c r="N2010" t="s">
        <v>23</v>
      </c>
      <c r="O2010">
        <v>27</v>
      </c>
      <c r="P2010" t="s">
        <v>58</v>
      </c>
      <c r="Q2010" t="s">
        <v>63</v>
      </c>
      <c r="R2010" s="1">
        <v>0.1</v>
      </c>
      <c r="S2010">
        <f t="shared" si="124"/>
        <v>43.2</v>
      </c>
      <c r="T2010">
        <f>IFERROR(VLOOKUP(A2010,Table1[[Customer ID]:[Discount Amount]], 6, FALSE),"Not Found")</f>
        <v>48</v>
      </c>
      <c r="U2010" t="str">
        <f t="shared" si="125"/>
        <v>PayPal</v>
      </c>
      <c r="V2010" s="4" t="str">
        <f t="shared" si="126"/>
        <v>Normal</v>
      </c>
      <c r="W2010" s="4" t="str">
        <f t="shared" si="127"/>
        <v>Poor</v>
      </c>
      <c r="X2010" s="4">
        <f>AVERAGE(Table1[Purchase Amount])</f>
        <v>129.48419400000012</v>
      </c>
    </row>
    <row r="2011" spans="1:24" ht="15" customHeight="1" x14ac:dyDescent="0.25">
      <c r="A2011">
        <v>2010</v>
      </c>
      <c r="B2011">
        <v>37</v>
      </c>
      <c r="C2011" t="s">
        <v>27</v>
      </c>
      <c r="D2011" t="s">
        <v>151</v>
      </c>
      <c r="E2011" t="s">
        <v>98</v>
      </c>
      <c r="F2011" s="2">
        <v>99</v>
      </c>
      <c r="G2011" t="s">
        <v>51</v>
      </c>
      <c r="H2011" t="s">
        <v>31</v>
      </c>
      <c r="I2011" t="s">
        <v>91</v>
      </c>
      <c r="J2011" t="s">
        <v>57</v>
      </c>
      <c r="K2011">
        <v>3.8</v>
      </c>
      <c r="L2011" t="s">
        <v>23</v>
      </c>
      <c r="M2011" t="s">
        <v>79</v>
      </c>
      <c r="N2011" t="s">
        <v>23</v>
      </c>
      <c r="O2011">
        <v>26</v>
      </c>
      <c r="P2011" t="s">
        <v>62</v>
      </c>
      <c r="Q2011" t="s">
        <v>68</v>
      </c>
      <c r="R2011" s="1">
        <v>0.1</v>
      </c>
      <c r="S2011">
        <f t="shared" si="124"/>
        <v>89.1</v>
      </c>
      <c r="T2011">
        <f>IFERROR(VLOOKUP(A2011,Table1[[Customer ID]:[Discount Amount]], 6, FALSE),"Not Found")</f>
        <v>99</v>
      </c>
      <c r="U2011" t="str">
        <f t="shared" si="125"/>
        <v>Venmo</v>
      </c>
      <c r="V2011" s="4" t="str">
        <f t="shared" si="126"/>
        <v>Normal</v>
      </c>
      <c r="W2011" s="4" t="str">
        <f t="shared" si="127"/>
        <v>Good</v>
      </c>
      <c r="X2011" s="4">
        <f>AVERAGE(Table1[Purchase Amount])</f>
        <v>129.48419400000012</v>
      </c>
    </row>
    <row r="2012" spans="1:24" ht="15" customHeight="1" x14ac:dyDescent="0.25">
      <c r="A2012">
        <v>2011</v>
      </c>
      <c r="B2012">
        <v>24</v>
      </c>
      <c r="C2012" t="s">
        <v>27</v>
      </c>
      <c r="D2012" t="s">
        <v>127</v>
      </c>
      <c r="E2012" t="s">
        <v>18</v>
      </c>
      <c r="F2012" s="2">
        <v>21</v>
      </c>
      <c r="G2012" t="s">
        <v>152</v>
      </c>
      <c r="H2012" t="s">
        <v>31</v>
      </c>
      <c r="I2012" t="s">
        <v>125</v>
      </c>
      <c r="J2012" t="s">
        <v>57</v>
      </c>
      <c r="K2012">
        <v>4.4000000000000004</v>
      </c>
      <c r="L2012" t="s">
        <v>23</v>
      </c>
      <c r="M2012" t="s">
        <v>41</v>
      </c>
      <c r="N2012" t="s">
        <v>23</v>
      </c>
      <c r="O2012">
        <v>3</v>
      </c>
      <c r="P2012" t="s">
        <v>36</v>
      </c>
      <c r="Q2012" t="s">
        <v>68</v>
      </c>
      <c r="R2012" s="1">
        <v>0.1</v>
      </c>
      <c r="S2012">
        <f t="shared" si="124"/>
        <v>18.899999999999999</v>
      </c>
      <c r="T2012">
        <f>IFERROR(VLOOKUP(A2012,Table1[[Customer ID]:[Discount Amount]], 6, FALSE),"Not Found")</f>
        <v>21</v>
      </c>
      <c r="U2012" t="str">
        <f t="shared" si="125"/>
        <v>Debit Card</v>
      </c>
      <c r="V2012" s="4" t="str">
        <f t="shared" si="126"/>
        <v>Normal</v>
      </c>
      <c r="W2012" s="4" t="str">
        <f t="shared" si="127"/>
        <v>Good</v>
      </c>
      <c r="X2012" s="4">
        <f>AVERAGE(Table1[Purchase Amount])</f>
        <v>129.48419400000012</v>
      </c>
    </row>
    <row r="2013" spans="1:24" ht="15" customHeight="1" x14ac:dyDescent="0.25">
      <c r="A2013">
        <v>2012</v>
      </c>
      <c r="B2013">
        <v>57</v>
      </c>
      <c r="C2013" t="s">
        <v>27</v>
      </c>
      <c r="D2013" t="s">
        <v>121</v>
      </c>
      <c r="E2013" t="s">
        <v>98</v>
      </c>
      <c r="F2013" s="2">
        <v>94</v>
      </c>
      <c r="G2013" t="s">
        <v>154</v>
      </c>
      <c r="H2013" t="s">
        <v>31</v>
      </c>
      <c r="I2013" t="s">
        <v>56</v>
      </c>
      <c r="J2013" t="s">
        <v>33</v>
      </c>
      <c r="K2013">
        <v>3.7</v>
      </c>
      <c r="L2013" t="s">
        <v>23</v>
      </c>
      <c r="M2013" t="s">
        <v>61</v>
      </c>
      <c r="N2013" t="s">
        <v>23</v>
      </c>
      <c r="O2013">
        <v>4</v>
      </c>
      <c r="P2013" t="s">
        <v>88</v>
      </c>
      <c r="Q2013" t="s">
        <v>42</v>
      </c>
      <c r="R2013" s="1">
        <v>0.1</v>
      </c>
      <c r="S2013">
        <f t="shared" si="124"/>
        <v>84.6</v>
      </c>
      <c r="T2013">
        <f>IFERROR(VLOOKUP(A2013,Table1[[Customer ID]:[Discount Amount]], 6, FALSE),"Not Found")</f>
        <v>94</v>
      </c>
      <c r="U2013" t="str">
        <f t="shared" si="125"/>
        <v>Bank Transfer</v>
      </c>
      <c r="V2013" s="4" t="str">
        <f t="shared" si="126"/>
        <v>Normal</v>
      </c>
      <c r="W2013" s="4" t="str">
        <f t="shared" si="127"/>
        <v>Good</v>
      </c>
      <c r="X2013" s="4">
        <f>AVERAGE(Table1[Purchase Amount])</f>
        <v>129.48419400000012</v>
      </c>
    </row>
    <row r="2014" spans="1:24" ht="15" customHeight="1" x14ac:dyDescent="0.25">
      <c r="A2014">
        <v>2013</v>
      </c>
      <c r="B2014">
        <v>48</v>
      </c>
      <c r="C2014" t="s">
        <v>27</v>
      </c>
      <c r="D2014" t="s">
        <v>109</v>
      </c>
      <c r="E2014" t="s">
        <v>18</v>
      </c>
      <c r="F2014" s="2">
        <v>53</v>
      </c>
      <c r="G2014" t="s">
        <v>158</v>
      </c>
      <c r="H2014" t="s">
        <v>45</v>
      </c>
      <c r="I2014" t="s">
        <v>93</v>
      </c>
      <c r="J2014" t="s">
        <v>47</v>
      </c>
      <c r="K2014">
        <v>3.2</v>
      </c>
      <c r="L2014" t="s">
        <v>23</v>
      </c>
      <c r="M2014" t="s">
        <v>48</v>
      </c>
      <c r="N2014" t="s">
        <v>23</v>
      </c>
      <c r="O2014">
        <v>5</v>
      </c>
      <c r="P2014" t="s">
        <v>25</v>
      </c>
      <c r="Q2014" t="s">
        <v>89</v>
      </c>
      <c r="R2014" s="1">
        <v>0.1</v>
      </c>
      <c r="S2014">
        <f t="shared" si="124"/>
        <v>47.7</v>
      </c>
      <c r="T2014">
        <f>IFERROR(VLOOKUP(A2014,Table1[[Customer ID]:[Discount Amount]], 6, FALSE),"Not Found")</f>
        <v>53</v>
      </c>
      <c r="U2014" t="str">
        <f t="shared" si="125"/>
        <v>Cash</v>
      </c>
      <c r="V2014" s="4" t="str">
        <f t="shared" si="126"/>
        <v>Normal</v>
      </c>
      <c r="W2014" s="4" t="str">
        <f t="shared" si="127"/>
        <v>Good</v>
      </c>
      <c r="X2014" s="4">
        <f>AVERAGE(Table1[Purchase Amount])</f>
        <v>129.48419400000012</v>
      </c>
    </row>
    <row r="2015" spans="1:24" ht="15" customHeight="1" x14ac:dyDescent="0.25">
      <c r="A2015">
        <v>2014</v>
      </c>
      <c r="B2015">
        <v>39</v>
      </c>
      <c r="C2015" t="s">
        <v>27</v>
      </c>
      <c r="D2015" t="s">
        <v>104</v>
      </c>
      <c r="E2015" t="s">
        <v>29</v>
      </c>
      <c r="F2015" s="2">
        <v>70</v>
      </c>
      <c r="G2015" t="s">
        <v>138</v>
      </c>
      <c r="H2015" t="s">
        <v>31</v>
      </c>
      <c r="I2015" t="s">
        <v>145</v>
      </c>
      <c r="J2015" t="s">
        <v>22</v>
      </c>
      <c r="K2015">
        <v>4.9000000000000004</v>
      </c>
      <c r="L2015" t="s">
        <v>23</v>
      </c>
      <c r="M2015" t="s">
        <v>24</v>
      </c>
      <c r="N2015" t="s">
        <v>23</v>
      </c>
      <c r="O2015">
        <v>25</v>
      </c>
      <c r="P2015" t="s">
        <v>36</v>
      </c>
      <c r="Q2015" t="s">
        <v>37</v>
      </c>
      <c r="R2015" s="1">
        <v>0.1</v>
      </c>
      <c r="S2015">
        <f t="shared" si="124"/>
        <v>63</v>
      </c>
      <c r="T2015">
        <f>IFERROR(VLOOKUP(A2015,Table1[[Customer ID]:[Discount Amount]], 6, FALSE),"Not Found")</f>
        <v>70</v>
      </c>
      <c r="U2015" t="str">
        <f t="shared" si="125"/>
        <v>Debit Card</v>
      </c>
      <c r="V2015" s="4" t="str">
        <f t="shared" si="126"/>
        <v>Normal</v>
      </c>
      <c r="W2015" s="4" t="str">
        <f t="shared" si="127"/>
        <v>Good</v>
      </c>
      <c r="X2015" s="4">
        <f>AVERAGE(Table1[Purchase Amount])</f>
        <v>129.48419400000012</v>
      </c>
    </row>
    <row r="2016" spans="1:24" ht="15" customHeight="1" x14ac:dyDescent="0.25">
      <c r="A2016">
        <v>2015</v>
      </c>
      <c r="B2016">
        <v>51</v>
      </c>
      <c r="C2016" t="s">
        <v>27</v>
      </c>
      <c r="D2016" t="s">
        <v>122</v>
      </c>
      <c r="E2016" t="s">
        <v>18</v>
      </c>
      <c r="F2016" s="2">
        <v>26</v>
      </c>
      <c r="G2016" t="s">
        <v>59</v>
      </c>
      <c r="H2016" t="s">
        <v>45</v>
      </c>
      <c r="I2016" t="s">
        <v>40</v>
      </c>
      <c r="J2016" t="s">
        <v>57</v>
      </c>
      <c r="K2016">
        <v>3.9</v>
      </c>
      <c r="L2016" t="s">
        <v>23</v>
      </c>
      <c r="M2016" t="s">
        <v>24</v>
      </c>
      <c r="N2016" t="s">
        <v>23</v>
      </c>
      <c r="O2016">
        <v>47</v>
      </c>
      <c r="P2016" t="s">
        <v>58</v>
      </c>
      <c r="Q2016" t="s">
        <v>68</v>
      </c>
      <c r="R2016" s="1">
        <v>0.1</v>
      </c>
      <c r="S2016">
        <f t="shared" si="124"/>
        <v>23.4</v>
      </c>
      <c r="T2016">
        <f>IFERROR(VLOOKUP(A2016,Table1[[Customer ID]:[Discount Amount]], 6, FALSE),"Not Found")</f>
        <v>26</v>
      </c>
      <c r="U2016" t="str">
        <f t="shared" si="125"/>
        <v>PayPal</v>
      </c>
      <c r="V2016" s="4" t="str">
        <f t="shared" si="126"/>
        <v>Normal</v>
      </c>
      <c r="W2016" s="4" t="str">
        <f t="shared" si="127"/>
        <v>Good</v>
      </c>
      <c r="X2016" s="4">
        <f>AVERAGE(Table1[Purchase Amount])</f>
        <v>129.48419400000012</v>
      </c>
    </row>
    <row r="2017" spans="1:24" ht="15" customHeight="1" x14ac:dyDescent="0.25">
      <c r="A2017">
        <v>2016</v>
      </c>
      <c r="B2017">
        <v>57</v>
      </c>
      <c r="C2017" t="s">
        <v>27</v>
      </c>
      <c r="D2017" t="s">
        <v>114</v>
      </c>
      <c r="E2017" t="s">
        <v>29</v>
      </c>
      <c r="F2017" s="2">
        <v>82</v>
      </c>
      <c r="G2017" t="s">
        <v>138</v>
      </c>
      <c r="H2017" t="s">
        <v>55</v>
      </c>
      <c r="I2017" t="s">
        <v>136</v>
      </c>
      <c r="J2017" t="s">
        <v>57</v>
      </c>
      <c r="K2017">
        <v>4.5</v>
      </c>
      <c r="L2017" t="s">
        <v>23</v>
      </c>
      <c r="M2017" t="s">
        <v>79</v>
      </c>
      <c r="N2017" t="s">
        <v>23</v>
      </c>
      <c r="O2017">
        <v>8</v>
      </c>
      <c r="P2017" t="s">
        <v>53</v>
      </c>
      <c r="Q2017" t="s">
        <v>89</v>
      </c>
      <c r="R2017" s="1">
        <v>0.1</v>
      </c>
      <c r="S2017">
        <f t="shared" si="124"/>
        <v>73.8</v>
      </c>
      <c r="T2017">
        <f>IFERROR(VLOOKUP(A2017,Table1[[Customer ID]:[Discount Amount]], 6, FALSE),"Not Found")</f>
        <v>82</v>
      </c>
      <c r="U2017" t="str">
        <f t="shared" si="125"/>
        <v>Credit Card</v>
      </c>
      <c r="V2017" s="4" t="str">
        <f t="shared" si="126"/>
        <v>Normal</v>
      </c>
      <c r="W2017" s="4" t="str">
        <f t="shared" si="127"/>
        <v>Good</v>
      </c>
      <c r="X2017" s="4">
        <f>AVERAGE(Table1[Purchase Amount])</f>
        <v>129.48419400000012</v>
      </c>
    </row>
    <row r="2018" spans="1:24" ht="15" customHeight="1" x14ac:dyDescent="0.25">
      <c r="A2018">
        <v>2017</v>
      </c>
      <c r="B2018">
        <v>53</v>
      </c>
      <c r="C2018" t="s">
        <v>27</v>
      </c>
      <c r="D2018" t="s">
        <v>72</v>
      </c>
      <c r="E2018" t="s">
        <v>98</v>
      </c>
      <c r="F2018" s="2">
        <v>47</v>
      </c>
      <c r="G2018" t="s">
        <v>94</v>
      </c>
      <c r="H2018" t="s">
        <v>55</v>
      </c>
      <c r="I2018" t="s">
        <v>111</v>
      </c>
      <c r="J2018" t="s">
        <v>22</v>
      </c>
      <c r="K2018">
        <v>3.4</v>
      </c>
      <c r="L2018" t="s">
        <v>23</v>
      </c>
      <c r="M2018" t="s">
        <v>24</v>
      </c>
      <c r="N2018" t="s">
        <v>23</v>
      </c>
      <c r="O2018">
        <v>20</v>
      </c>
      <c r="P2018" t="s">
        <v>36</v>
      </c>
      <c r="Q2018" t="s">
        <v>89</v>
      </c>
      <c r="R2018" s="1">
        <v>0.1</v>
      </c>
      <c r="S2018">
        <f t="shared" si="124"/>
        <v>42.3</v>
      </c>
      <c r="T2018">
        <f>IFERROR(VLOOKUP(A2018,Table1[[Customer ID]:[Discount Amount]], 6, FALSE),"Not Found")</f>
        <v>47</v>
      </c>
      <c r="U2018" t="str">
        <f t="shared" si="125"/>
        <v>Debit Card</v>
      </c>
      <c r="V2018" s="4" t="str">
        <f t="shared" si="126"/>
        <v>Normal</v>
      </c>
      <c r="W2018" s="4" t="str">
        <f t="shared" si="127"/>
        <v>Good</v>
      </c>
      <c r="X2018" s="4">
        <f>AVERAGE(Table1[Purchase Amount])</f>
        <v>129.48419400000012</v>
      </c>
    </row>
    <row r="2019" spans="1:24" ht="15" customHeight="1" x14ac:dyDescent="0.25">
      <c r="A2019">
        <v>2018</v>
      </c>
      <c r="B2019">
        <v>70</v>
      </c>
      <c r="C2019" t="s">
        <v>27</v>
      </c>
      <c r="D2019" t="s">
        <v>105</v>
      </c>
      <c r="E2019" t="s">
        <v>18</v>
      </c>
      <c r="F2019" s="2">
        <v>32</v>
      </c>
      <c r="G2019" t="s">
        <v>97</v>
      </c>
      <c r="H2019" t="s">
        <v>55</v>
      </c>
      <c r="I2019" t="s">
        <v>93</v>
      </c>
      <c r="J2019" t="s">
        <v>22</v>
      </c>
      <c r="K2019">
        <v>4.0999999999999996</v>
      </c>
      <c r="L2019" t="s">
        <v>23</v>
      </c>
      <c r="M2019" t="s">
        <v>79</v>
      </c>
      <c r="N2019" t="s">
        <v>23</v>
      </c>
      <c r="O2019">
        <v>42</v>
      </c>
      <c r="P2019" t="s">
        <v>88</v>
      </c>
      <c r="Q2019" t="s">
        <v>63</v>
      </c>
      <c r="R2019" s="1">
        <v>0.1</v>
      </c>
      <c r="S2019">
        <f t="shared" si="124"/>
        <v>28.8</v>
      </c>
      <c r="T2019">
        <f>IFERROR(VLOOKUP(A2019,Table1[[Customer ID]:[Discount Amount]], 6, FALSE),"Not Found")</f>
        <v>32</v>
      </c>
      <c r="U2019" t="str">
        <f t="shared" si="125"/>
        <v>Bank Transfer</v>
      </c>
      <c r="V2019" s="4" t="str">
        <f t="shared" si="126"/>
        <v>Normal</v>
      </c>
      <c r="W2019" s="4" t="str">
        <f t="shared" si="127"/>
        <v>Good</v>
      </c>
      <c r="X2019" s="4">
        <f>AVERAGE(Table1[Purchase Amount])</f>
        <v>129.48419400000012</v>
      </c>
    </row>
    <row r="2020" spans="1:24" ht="15" customHeight="1" x14ac:dyDescent="0.25">
      <c r="A2020">
        <v>2019</v>
      </c>
      <c r="B2020">
        <v>60</v>
      </c>
      <c r="C2020" t="s">
        <v>27</v>
      </c>
      <c r="D2020" t="s">
        <v>104</v>
      </c>
      <c r="E2020" t="s">
        <v>29</v>
      </c>
      <c r="F2020" s="2">
        <v>97</v>
      </c>
      <c r="G2020" t="s">
        <v>100</v>
      </c>
      <c r="H2020" t="s">
        <v>55</v>
      </c>
      <c r="I2020" t="s">
        <v>133</v>
      </c>
      <c r="J2020" t="s">
        <v>47</v>
      </c>
      <c r="K2020">
        <v>4.5</v>
      </c>
      <c r="L2020" t="s">
        <v>23</v>
      </c>
      <c r="M2020" t="s">
        <v>48</v>
      </c>
      <c r="N2020" t="s">
        <v>23</v>
      </c>
      <c r="O2020">
        <v>20</v>
      </c>
      <c r="P2020" t="s">
        <v>88</v>
      </c>
      <c r="Q2020" t="s">
        <v>26</v>
      </c>
      <c r="R2020" s="1">
        <v>0.1</v>
      </c>
      <c r="S2020">
        <f t="shared" si="124"/>
        <v>87.3</v>
      </c>
      <c r="T2020">
        <f>IFERROR(VLOOKUP(A2020,Table1[[Customer ID]:[Discount Amount]], 6, FALSE),"Not Found")</f>
        <v>97</v>
      </c>
      <c r="U2020" t="str">
        <f t="shared" si="125"/>
        <v>Bank Transfer</v>
      </c>
      <c r="V2020" s="4" t="str">
        <f t="shared" si="126"/>
        <v>Normal</v>
      </c>
      <c r="W2020" s="4" t="str">
        <f t="shared" si="127"/>
        <v>Good</v>
      </c>
      <c r="X2020" s="4">
        <f>AVERAGE(Table1[Purchase Amount])</f>
        <v>129.48419400000012</v>
      </c>
    </row>
    <row r="2021" spans="1:24" ht="15" customHeight="1" x14ac:dyDescent="0.25">
      <c r="A2021">
        <v>2020</v>
      </c>
      <c r="B2021">
        <v>31</v>
      </c>
      <c r="C2021" t="s">
        <v>27</v>
      </c>
      <c r="D2021" t="s">
        <v>38</v>
      </c>
      <c r="E2021" t="s">
        <v>18</v>
      </c>
      <c r="F2021" s="2">
        <v>68</v>
      </c>
      <c r="G2021" t="s">
        <v>161</v>
      </c>
      <c r="H2021" t="s">
        <v>55</v>
      </c>
      <c r="I2021" t="s">
        <v>46</v>
      </c>
      <c r="J2021" t="s">
        <v>22</v>
      </c>
      <c r="K2021">
        <v>4.7</v>
      </c>
      <c r="L2021" t="s">
        <v>23</v>
      </c>
      <c r="M2021" t="s">
        <v>48</v>
      </c>
      <c r="N2021" t="s">
        <v>23</v>
      </c>
      <c r="O2021">
        <v>23</v>
      </c>
      <c r="P2021" t="s">
        <v>25</v>
      </c>
      <c r="Q2021" t="s">
        <v>89</v>
      </c>
      <c r="R2021" s="1">
        <v>0.1</v>
      </c>
      <c r="S2021">
        <f t="shared" si="124"/>
        <v>61.2</v>
      </c>
      <c r="T2021">
        <f>IFERROR(VLOOKUP(A2021,Table1[[Customer ID]:[Discount Amount]], 6, FALSE),"Not Found")</f>
        <v>68</v>
      </c>
      <c r="U2021" t="str">
        <f t="shared" si="125"/>
        <v>Cash</v>
      </c>
      <c r="V2021" s="4" t="str">
        <f t="shared" si="126"/>
        <v>Normal</v>
      </c>
      <c r="W2021" s="4" t="str">
        <f t="shared" si="127"/>
        <v>Good</v>
      </c>
      <c r="X2021" s="4">
        <f>AVERAGE(Table1[Purchase Amount])</f>
        <v>129.48419400000012</v>
      </c>
    </row>
    <row r="2022" spans="1:24" ht="15" customHeight="1" x14ac:dyDescent="0.25">
      <c r="A2022">
        <v>2021</v>
      </c>
      <c r="B2022">
        <v>41</v>
      </c>
      <c r="C2022" t="s">
        <v>27</v>
      </c>
      <c r="D2022" t="s">
        <v>127</v>
      </c>
      <c r="E2022" t="s">
        <v>18</v>
      </c>
      <c r="F2022" s="2">
        <v>23</v>
      </c>
      <c r="G2022" t="s">
        <v>78</v>
      </c>
      <c r="H2022" t="s">
        <v>31</v>
      </c>
      <c r="I2022" t="s">
        <v>56</v>
      </c>
      <c r="J2022" t="s">
        <v>22</v>
      </c>
      <c r="K2022">
        <v>4.8</v>
      </c>
      <c r="L2022" t="s">
        <v>23</v>
      </c>
      <c r="M2022" t="s">
        <v>79</v>
      </c>
      <c r="N2022" t="s">
        <v>23</v>
      </c>
      <c r="O2022">
        <v>26</v>
      </c>
      <c r="P2022" t="s">
        <v>25</v>
      </c>
      <c r="Q2022" t="s">
        <v>37</v>
      </c>
      <c r="R2022" s="1">
        <v>0.1</v>
      </c>
      <c r="S2022">
        <f t="shared" si="124"/>
        <v>20.7</v>
      </c>
      <c r="T2022">
        <f>IFERROR(VLOOKUP(A2022,Table1[[Customer ID]:[Discount Amount]], 6, FALSE),"Not Found")</f>
        <v>23</v>
      </c>
      <c r="U2022" t="str">
        <f t="shared" si="125"/>
        <v>Cash</v>
      </c>
      <c r="V2022" s="4" t="str">
        <f t="shared" si="126"/>
        <v>Normal</v>
      </c>
      <c r="W2022" s="4" t="str">
        <f t="shared" si="127"/>
        <v>Good</v>
      </c>
      <c r="X2022" s="4">
        <f>AVERAGE(Table1[Purchase Amount])</f>
        <v>129.48419400000012</v>
      </c>
    </row>
    <row r="2023" spans="1:24" ht="15" customHeight="1" x14ac:dyDescent="0.25">
      <c r="A2023">
        <v>2022</v>
      </c>
      <c r="B2023">
        <v>62</v>
      </c>
      <c r="C2023" t="s">
        <v>27</v>
      </c>
      <c r="D2023" t="s">
        <v>69</v>
      </c>
      <c r="E2023" t="s">
        <v>29</v>
      </c>
      <c r="F2023" s="2">
        <v>33</v>
      </c>
      <c r="G2023" t="s">
        <v>94</v>
      </c>
      <c r="H2023" t="s">
        <v>31</v>
      </c>
      <c r="I2023" t="s">
        <v>93</v>
      </c>
      <c r="J2023" t="s">
        <v>22</v>
      </c>
      <c r="K2023">
        <v>4.4000000000000004</v>
      </c>
      <c r="L2023" t="s">
        <v>23</v>
      </c>
      <c r="M2023" t="s">
        <v>24</v>
      </c>
      <c r="N2023" t="s">
        <v>23</v>
      </c>
      <c r="O2023">
        <v>48</v>
      </c>
      <c r="P2023" t="s">
        <v>62</v>
      </c>
      <c r="Q2023" t="s">
        <v>37</v>
      </c>
      <c r="R2023" s="1">
        <v>0.1</v>
      </c>
      <c r="S2023">
        <f t="shared" si="124"/>
        <v>29.7</v>
      </c>
      <c r="T2023">
        <f>IFERROR(VLOOKUP(A2023,Table1[[Customer ID]:[Discount Amount]], 6, FALSE),"Not Found")</f>
        <v>33</v>
      </c>
      <c r="U2023" t="str">
        <f t="shared" si="125"/>
        <v>Venmo</v>
      </c>
      <c r="V2023" s="4" t="str">
        <f t="shared" si="126"/>
        <v>Normal</v>
      </c>
      <c r="W2023" s="4" t="str">
        <f t="shared" si="127"/>
        <v>Good</v>
      </c>
      <c r="X2023" s="4">
        <f>AVERAGE(Table1[Purchase Amount])</f>
        <v>129.48419400000012</v>
      </c>
    </row>
    <row r="2024" spans="1:24" ht="15" customHeight="1" x14ac:dyDescent="0.25">
      <c r="A2024">
        <v>2023</v>
      </c>
      <c r="B2024">
        <v>59</v>
      </c>
      <c r="C2024" t="s">
        <v>27</v>
      </c>
      <c r="D2024" t="s">
        <v>50</v>
      </c>
      <c r="E2024" t="s">
        <v>29</v>
      </c>
      <c r="F2024" s="2">
        <v>38</v>
      </c>
      <c r="G2024" t="s">
        <v>51</v>
      </c>
      <c r="H2024" t="s">
        <v>55</v>
      </c>
      <c r="I2024" t="s">
        <v>40</v>
      </c>
      <c r="J2024" t="s">
        <v>22</v>
      </c>
      <c r="K2024">
        <v>4</v>
      </c>
      <c r="L2024" t="s">
        <v>23</v>
      </c>
      <c r="M2024" t="s">
        <v>48</v>
      </c>
      <c r="N2024" t="s">
        <v>23</v>
      </c>
      <c r="O2024">
        <v>16</v>
      </c>
      <c r="P2024" t="s">
        <v>25</v>
      </c>
      <c r="Q2024" t="s">
        <v>68</v>
      </c>
      <c r="R2024" s="1">
        <v>0.1</v>
      </c>
      <c r="S2024">
        <f t="shared" si="124"/>
        <v>34.200000000000003</v>
      </c>
      <c r="T2024">
        <f>IFERROR(VLOOKUP(A2024,Table1[[Customer ID]:[Discount Amount]], 6, FALSE),"Not Found")</f>
        <v>38</v>
      </c>
      <c r="U2024" t="str">
        <f t="shared" si="125"/>
        <v>Cash</v>
      </c>
      <c r="V2024" s="4" t="str">
        <f t="shared" si="126"/>
        <v>Normal</v>
      </c>
      <c r="W2024" s="4" t="str">
        <f t="shared" si="127"/>
        <v>Good</v>
      </c>
      <c r="X2024" s="4">
        <f>AVERAGE(Table1[Purchase Amount])</f>
        <v>129.48419400000012</v>
      </c>
    </row>
    <row r="2025" spans="1:24" ht="15" customHeight="1" x14ac:dyDescent="0.25">
      <c r="A2025">
        <v>2024</v>
      </c>
      <c r="B2025">
        <v>46</v>
      </c>
      <c r="C2025" t="s">
        <v>27</v>
      </c>
      <c r="D2025" t="s">
        <v>105</v>
      </c>
      <c r="E2025" t="s">
        <v>18</v>
      </c>
      <c r="F2025" s="2">
        <v>68</v>
      </c>
      <c r="G2025" t="s">
        <v>161</v>
      </c>
      <c r="H2025" t="s">
        <v>55</v>
      </c>
      <c r="I2025" t="s">
        <v>147</v>
      </c>
      <c r="J2025" t="s">
        <v>22</v>
      </c>
      <c r="K2025">
        <v>4.0999999999999996</v>
      </c>
      <c r="L2025" t="s">
        <v>23</v>
      </c>
      <c r="M2025" t="s">
        <v>48</v>
      </c>
      <c r="N2025" t="s">
        <v>23</v>
      </c>
      <c r="O2025">
        <v>28</v>
      </c>
      <c r="P2025" t="s">
        <v>25</v>
      </c>
      <c r="Q2025" t="s">
        <v>68</v>
      </c>
      <c r="R2025" s="1">
        <v>0.1</v>
      </c>
      <c r="S2025">
        <f t="shared" si="124"/>
        <v>61.2</v>
      </c>
      <c r="T2025">
        <f>IFERROR(VLOOKUP(A2025,Table1[[Customer ID]:[Discount Amount]], 6, FALSE),"Not Found")</f>
        <v>68</v>
      </c>
      <c r="U2025" t="str">
        <f t="shared" si="125"/>
        <v>Cash</v>
      </c>
      <c r="V2025" s="4" t="str">
        <f t="shared" si="126"/>
        <v>Normal</v>
      </c>
      <c r="W2025" s="4" t="str">
        <f t="shared" si="127"/>
        <v>Good</v>
      </c>
      <c r="X2025" s="4">
        <f>AVERAGE(Table1[Purchase Amount])</f>
        <v>129.48419400000012</v>
      </c>
    </row>
    <row r="2026" spans="1:24" ht="15" customHeight="1" x14ac:dyDescent="0.25">
      <c r="A2026">
        <v>2025</v>
      </c>
      <c r="B2026">
        <v>62</v>
      </c>
      <c r="C2026" t="s">
        <v>27</v>
      </c>
      <c r="D2026" t="s">
        <v>105</v>
      </c>
      <c r="E2026" t="s">
        <v>18</v>
      </c>
      <c r="F2026" s="2">
        <v>23</v>
      </c>
      <c r="G2026" t="s">
        <v>100</v>
      </c>
      <c r="H2026" t="s">
        <v>45</v>
      </c>
      <c r="I2026" t="s">
        <v>153</v>
      </c>
      <c r="J2026" t="s">
        <v>47</v>
      </c>
      <c r="K2026">
        <v>3.7</v>
      </c>
      <c r="L2026" t="s">
        <v>23</v>
      </c>
      <c r="M2026" t="s">
        <v>61</v>
      </c>
      <c r="N2026" t="s">
        <v>23</v>
      </c>
      <c r="O2026">
        <v>39</v>
      </c>
      <c r="P2026" t="s">
        <v>58</v>
      </c>
      <c r="Q2026" t="s">
        <v>26</v>
      </c>
      <c r="R2026" s="1">
        <v>0.1</v>
      </c>
      <c r="S2026">
        <f t="shared" si="124"/>
        <v>20.7</v>
      </c>
      <c r="T2026">
        <f>IFERROR(VLOOKUP(A2026,Table1[[Customer ID]:[Discount Amount]], 6, FALSE),"Not Found")</f>
        <v>23</v>
      </c>
      <c r="U2026" t="str">
        <f t="shared" si="125"/>
        <v>PayPal</v>
      </c>
      <c r="V2026" s="4" t="str">
        <f t="shared" si="126"/>
        <v>Normal</v>
      </c>
      <c r="W2026" s="4" t="str">
        <f t="shared" si="127"/>
        <v>Good</v>
      </c>
      <c r="X2026" s="4">
        <f>AVERAGE(Table1[Purchase Amount])</f>
        <v>129.48419400000012</v>
      </c>
    </row>
    <row r="2027" spans="1:24" ht="15" customHeight="1" x14ac:dyDescent="0.25">
      <c r="A2027">
        <v>2026</v>
      </c>
      <c r="B2027">
        <v>42</v>
      </c>
      <c r="C2027" t="s">
        <v>27</v>
      </c>
      <c r="D2027" t="s">
        <v>38</v>
      </c>
      <c r="E2027" t="s">
        <v>18</v>
      </c>
      <c r="F2027" s="2">
        <v>29</v>
      </c>
      <c r="G2027" t="s">
        <v>143</v>
      </c>
      <c r="H2027" t="s">
        <v>31</v>
      </c>
      <c r="I2027" t="s">
        <v>156</v>
      </c>
      <c r="J2027" t="s">
        <v>57</v>
      </c>
      <c r="K2027">
        <v>3</v>
      </c>
      <c r="L2027" t="s">
        <v>23</v>
      </c>
      <c r="M2027" t="s">
        <v>61</v>
      </c>
      <c r="N2027" t="s">
        <v>23</v>
      </c>
      <c r="O2027">
        <v>43</v>
      </c>
      <c r="P2027" t="s">
        <v>36</v>
      </c>
      <c r="Q2027" t="s">
        <v>89</v>
      </c>
      <c r="R2027" s="1">
        <v>0.1</v>
      </c>
      <c r="S2027">
        <f t="shared" si="124"/>
        <v>26.1</v>
      </c>
      <c r="T2027">
        <f>IFERROR(VLOOKUP(A2027,Table1[[Customer ID]:[Discount Amount]], 6, FALSE),"Not Found")</f>
        <v>29</v>
      </c>
      <c r="U2027" t="str">
        <f t="shared" si="125"/>
        <v>Debit Card</v>
      </c>
      <c r="V2027" s="4" t="str">
        <f t="shared" si="126"/>
        <v>Normal</v>
      </c>
      <c r="W2027" s="4" t="str">
        <f t="shared" si="127"/>
        <v>Good</v>
      </c>
      <c r="X2027" s="4">
        <f>AVERAGE(Table1[Purchase Amount])</f>
        <v>129.48419400000012</v>
      </c>
    </row>
    <row r="2028" spans="1:24" ht="15" customHeight="1" x14ac:dyDescent="0.25">
      <c r="A2028">
        <v>2027</v>
      </c>
      <c r="B2028">
        <v>37</v>
      </c>
      <c r="C2028" t="s">
        <v>27</v>
      </c>
      <c r="D2028" t="s">
        <v>129</v>
      </c>
      <c r="E2028" t="s">
        <v>29</v>
      </c>
      <c r="F2028" s="2">
        <v>35</v>
      </c>
      <c r="G2028" t="s">
        <v>94</v>
      </c>
      <c r="H2028" t="s">
        <v>31</v>
      </c>
      <c r="I2028" t="s">
        <v>108</v>
      </c>
      <c r="J2028" t="s">
        <v>22</v>
      </c>
      <c r="K2028">
        <v>3.6</v>
      </c>
      <c r="L2028" t="s">
        <v>23</v>
      </c>
      <c r="M2028" t="s">
        <v>61</v>
      </c>
      <c r="N2028" t="s">
        <v>23</v>
      </c>
      <c r="O2028">
        <v>45</v>
      </c>
      <c r="P2028" t="s">
        <v>88</v>
      </c>
      <c r="Q2028" t="s">
        <v>63</v>
      </c>
      <c r="R2028" s="1">
        <v>0.1</v>
      </c>
      <c r="S2028">
        <f t="shared" si="124"/>
        <v>31.5</v>
      </c>
      <c r="T2028">
        <f>IFERROR(VLOOKUP(A2028,Table1[[Customer ID]:[Discount Amount]], 6, FALSE),"Not Found")</f>
        <v>35</v>
      </c>
      <c r="U2028" t="str">
        <f t="shared" si="125"/>
        <v>Bank Transfer</v>
      </c>
      <c r="V2028" s="4" t="str">
        <f t="shared" si="126"/>
        <v>Normal</v>
      </c>
      <c r="W2028" s="4" t="str">
        <f t="shared" si="127"/>
        <v>Good</v>
      </c>
      <c r="X2028" s="4">
        <f>AVERAGE(Table1[Purchase Amount])</f>
        <v>129.48419400000012</v>
      </c>
    </row>
    <row r="2029" spans="1:24" ht="15" customHeight="1" x14ac:dyDescent="0.25">
      <c r="A2029">
        <v>2028</v>
      </c>
      <c r="B2029">
        <v>50</v>
      </c>
      <c r="C2029" t="s">
        <v>27</v>
      </c>
      <c r="D2029" t="s">
        <v>72</v>
      </c>
      <c r="E2029" t="s">
        <v>98</v>
      </c>
      <c r="F2029" s="2">
        <v>73</v>
      </c>
      <c r="G2029" t="s">
        <v>137</v>
      </c>
      <c r="H2029" t="s">
        <v>55</v>
      </c>
      <c r="I2029" t="s">
        <v>133</v>
      </c>
      <c r="J2029" t="s">
        <v>47</v>
      </c>
      <c r="K2029">
        <v>4.8</v>
      </c>
      <c r="L2029" t="s">
        <v>23</v>
      </c>
      <c r="M2029" t="s">
        <v>24</v>
      </c>
      <c r="N2029" t="s">
        <v>23</v>
      </c>
      <c r="O2029">
        <v>50</v>
      </c>
      <c r="P2029" t="s">
        <v>53</v>
      </c>
      <c r="Q2029" t="s">
        <v>63</v>
      </c>
      <c r="R2029" s="1">
        <v>0.1</v>
      </c>
      <c r="S2029">
        <f t="shared" si="124"/>
        <v>65.7</v>
      </c>
      <c r="T2029">
        <f>IFERROR(VLOOKUP(A2029,Table1[[Customer ID]:[Discount Amount]], 6, FALSE),"Not Found")</f>
        <v>73</v>
      </c>
      <c r="U2029" t="str">
        <f t="shared" si="125"/>
        <v>Credit Card</v>
      </c>
      <c r="V2029" s="4" t="str">
        <f t="shared" si="126"/>
        <v>Normal</v>
      </c>
      <c r="W2029" s="4" t="str">
        <f t="shared" si="127"/>
        <v>Good</v>
      </c>
      <c r="X2029" s="4">
        <f>AVERAGE(Table1[Purchase Amount])</f>
        <v>129.48419400000012</v>
      </c>
    </row>
    <row r="2030" spans="1:24" ht="15" customHeight="1" x14ac:dyDescent="0.25">
      <c r="A2030">
        <v>2029</v>
      </c>
      <c r="B2030">
        <v>29</v>
      </c>
      <c r="C2030" t="s">
        <v>27</v>
      </c>
      <c r="D2030" t="s">
        <v>72</v>
      </c>
      <c r="E2030" t="s">
        <v>98</v>
      </c>
      <c r="F2030" s="2">
        <v>84</v>
      </c>
      <c r="G2030" t="s">
        <v>90</v>
      </c>
      <c r="H2030" t="s">
        <v>20</v>
      </c>
      <c r="I2030" t="s">
        <v>66</v>
      </c>
      <c r="J2030" t="s">
        <v>47</v>
      </c>
      <c r="K2030">
        <v>3.7</v>
      </c>
      <c r="L2030" t="s">
        <v>23</v>
      </c>
      <c r="M2030" t="s">
        <v>41</v>
      </c>
      <c r="N2030" t="s">
        <v>23</v>
      </c>
      <c r="O2030">
        <v>10</v>
      </c>
      <c r="P2030" t="s">
        <v>62</v>
      </c>
      <c r="Q2030" t="s">
        <v>68</v>
      </c>
      <c r="R2030" s="1">
        <v>0.1</v>
      </c>
      <c r="S2030">
        <f t="shared" si="124"/>
        <v>75.599999999999994</v>
      </c>
      <c r="T2030">
        <f>IFERROR(VLOOKUP(A2030,Table1[[Customer ID]:[Discount Amount]], 6, FALSE),"Not Found")</f>
        <v>84</v>
      </c>
      <c r="U2030" t="str">
        <f t="shared" si="125"/>
        <v>Venmo</v>
      </c>
      <c r="V2030" s="4" t="str">
        <f t="shared" si="126"/>
        <v>Normal</v>
      </c>
      <c r="W2030" s="4" t="str">
        <f t="shared" si="127"/>
        <v>Good</v>
      </c>
      <c r="X2030" s="4">
        <f>AVERAGE(Table1[Purchase Amount])</f>
        <v>129.48419400000012</v>
      </c>
    </row>
    <row r="2031" spans="1:24" ht="15" customHeight="1" x14ac:dyDescent="0.25">
      <c r="A2031">
        <v>2030</v>
      </c>
      <c r="B2031">
        <v>25</v>
      </c>
      <c r="C2031" t="s">
        <v>27</v>
      </c>
      <c r="D2031" t="s">
        <v>129</v>
      </c>
      <c r="E2031" t="s">
        <v>29</v>
      </c>
      <c r="F2031" s="2">
        <v>23</v>
      </c>
      <c r="G2031" t="s">
        <v>39</v>
      </c>
      <c r="H2031" t="s">
        <v>31</v>
      </c>
      <c r="I2031" t="s">
        <v>136</v>
      </c>
      <c r="J2031" t="s">
        <v>33</v>
      </c>
      <c r="K2031">
        <v>4.5999999999999996</v>
      </c>
      <c r="L2031" t="s">
        <v>23</v>
      </c>
      <c r="M2031" t="s">
        <v>79</v>
      </c>
      <c r="N2031" t="s">
        <v>23</v>
      </c>
      <c r="O2031">
        <v>40</v>
      </c>
      <c r="P2031" t="s">
        <v>58</v>
      </c>
      <c r="Q2031" t="s">
        <v>37</v>
      </c>
      <c r="R2031" s="1">
        <v>0.1</v>
      </c>
      <c r="S2031">
        <f t="shared" si="124"/>
        <v>20.7</v>
      </c>
      <c r="T2031">
        <f>IFERROR(VLOOKUP(A2031,Table1[[Customer ID]:[Discount Amount]], 6, FALSE),"Not Found")</f>
        <v>23</v>
      </c>
      <c r="U2031" t="str">
        <f t="shared" si="125"/>
        <v>PayPal</v>
      </c>
      <c r="V2031" s="4" t="str">
        <f t="shared" si="126"/>
        <v>Normal</v>
      </c>
      <c r="W2031" s="4" t="str">
        <f t="shared" si="127"/>
        <v>Good</v>
      </c>
      <c r="X2031" s="4">
        <f>AVERAGE(Table1[Purchase Amount])</f>
        <v>129.48419400000012</v>
      </c>
    </row>
    <row r="2032" spans="1:24" ht="15" customHeight="1" x14ac:dyDescent="0.25">
      <c r="A2032">
        <v>2031</v>
      </c>
      <c r="B2032">
        <v>66</v>
      </c>
      <c r="C2032" t="s">
        <v>27</v>
      </c>
      <c r="D2032" t="s">
        <v>28</v>
      </c>
      <c r="E2032" t="s">
        <v>29</v>
      </c>
      <c r="F2032" s="2">
        <v>67</v>
      </c>
      <c r="G2032" t="s">
        <v>110</v>
      </c>
      <c r="H2032" t="s">
        <v>55</v>
      </c>
      <c r="I2032" t="s">
        <v>93</v>
      </c>
      <c r="J2032" t="s">
        <v>57</v>
      </c>
      <c r="K2032">
        <v>2.8</v>
      </c>
      <c r="L2032" t="s">
        <v>23</v>
      </c>
      <c r="M2032" t="s">
        <v>24</v>
      </c>
      <c r="N2032" t="s">
        <v>23</v>
      </c>
      <c r="O2032">
        <v>38</v>
      </c>
      <c r="P2032" t="s">
        <v>53</v>
      </c>
      <c r="Q2032" t="s">
        <v>42</v>
      </c>
      <c r="R2032" s="1">
        <v>0.1</v>
      </c>
      <c r="S2032">
        <f t="shared" si="124"/>
        <v>60.3</v>
      </c>
      <c r="T2032">
        <f>IFERROR(VLOOKUP(A2032,Table1[[Customer ID]:[Discount Amount]], 6, FALSE),"Not Found")</f>
        <v>67</v>
      </c>
      <c r="U2032" t="str">
        <f t="shared" si="125"/>
        <v>Credit Card</v>
      </c>
      <c r="V2032" s="4" t="str">
        <f t="shared" si="126"/>
        <v>Normal</v>
      </c>
      <c r="W2032" s="4" t="str">
        <f t="shared" si="127"/>
        <v>Poor</v>
      </c>
      <c r="X2032" s="4">
        <f>AVERAGE(Table1[Purchase Amount])</f>
        <v>129.48419400000012</v>
      </c>
    </row>
    <row r="2033" spans="1:24" ht="15" customHeight="1" x14ac:dyDescent="0.25">
      <c r="A2033">
        <v>2032</v>
      </c>
      <c r="B2033">
        <v>21</v>
      </c>
      <c r="C2033" t="s">
        <v>27</v>
      </c>
      <c r="D2033" t="s">
        <v>105</v>
      </c>
      <c r="E2033" t="s">
        <v>18</v>
      </c>
      <c r="F2033" s="2">
        <v>51</v>
      </c>
      <c r="G2033" t="s">
        <v>134</v>
      </c>
      <c r="H2033" t="s">
        <v>45</v>
      </c>
      <c r="I2033" t="s">
        <v>103</v>
      </c>
      <c r="J2033" t="s">
        <v>33</v>
      </c>
      <c r="K2033">
        <v>4</v>
      </c>
      <c r="L2033" t="s">
        <v>23</v>
      </c>
      <c r="M2033" t="s">
        <v>24</v>
      </c>
      <c r="N2033" t="s">
        <v>23</v>
      </c>
      <c r="O2033">
        <v>2</v>
      </c>
      <c r="P2033" t="s">
        <v>53</v>
      </c>
      <c r="Q2033" t="s">
        <v>42</v>
      </c>
      <c r="R2033" s="1">
        <v>0.1</v>
      </c>
      <c r="S2033">
        <f t="shared" si="124"/>
        <v>45.9</v>
      </c>
      <c r="T2033">
        <f>IFERROR(VLOOKUP(A2033,Table1[[Customer ID]:[Discount Amount]], 6, FALSE),"Not Found")</f>
        <v>51</v>
      </c>
      <c r="U2033" t="str">
        <f t="shared" si="125"/>
        <v>Credit Card</v>
      </c>
      <c r="V2033" s="4" t="str">
        <f t="shared" si="126"/>
        <v>Normal</v>
      </c>
      <c r="W2033" s="4" t="str">
        <f t="shared" si="127"/>
        <v>Good</v>
      </c>
      <c r="X2033" s="4">
        <f>AVERAGE(Table1[Purchase Amount])</f>
        <v>129.48419400000012</v>
      </c>
    </row>
    <row r="2034" spans="1:24" ht="15" customHeight="1" x14ac:dyDescent="0.25">
      <c r="A2034">
        <v>2033</v>
      </c>
      <c r="B2034">
        <v>46</v>
      </c>
      <c r="C2034" t="s">
        <v>27</v>
      </c>
      <c r="D2034" t="s">
        <v>118</v>
      </c>
      <c r="E2034" t="s">
        <v>18</v>
      </c>
      <c r="F2034" s="2">
        <v>36</v>
      </c>
      <c r="G2034" t="s">
        <v>30</v>
      </c>
      <c r="H2034" t="s">
        <v>31</v>
      </c>
      <c r="I2034" t="s">
        <v>125</v>
      </c>
      <c r="J2034" t="s">
        <v>22</v>
      </c>
      <c r="K2034">
        <v>4.2</v>
      </c>
      <c r="L2034" t="s">
        <v>23</v>
      </c>
      <c r="M2034" t="s">
        <v>79</v>
      </c>
      <c r="N2034" t="s">
        <v>23</v>
      </c>
      <c r="O2034">
        <v>13</v>
      </c>
      <c r="P2034" t="s">
        <v>25</v>
      </c>
      <c r="Q2034" t="s">
        <v>49</v>
      </c>
      <c r="R2034" s="1">
        <v>0.1</v>
      </c>
      <c r="S2034">
        <f t="shared" si="124"/>
        <v>32.4</v>
      </c>
      <c r="T2034">
        <f>IFERROR(VLOOKUP(A2034,Table1[[Customer ID]:[Discount Amount]], 6, FALSE),"Not Found")</f>
        <v>36</v>
      </c>
      <c r="U2034" t="str">
        <f t="shared" si="125"/>
        <v>Cash</v>
      </c>
      <c r="V2034" s="4" t="str">
        <f t="shared" si="126"/>
        <v>Normal</v>
      </c>
      <c r="W2034" s="4" t="str">
        <f t="shared" si="127"/>
        <v>Good</v>
      </c>
      <c r="X2034" s="4">
        <f>AVERAGE(Table1[Purchase Amount])</f>
        <v>129.48419400000012</v>
      </c>
    </row>
    <row r="2035" spans="1:24" ht="15" customHeight="1" x14ac:dyDescent="0.25">
      <c r="A2035">
        <v>2034</v>
      </c>
      <c r="B2035">
        <v>57</v>
      </c>
      <c r="C2035" t="s">
        <v>27</v>
      </c>
      <c r="D2035" t="s">
        <v>109</v>
      </c>
      <c r="E2035" t="s">
        <v>18</v>
      </c>
      <c r="F2035" s="2">
        <v>55</v>
      </c>
      <c r="G2035" t="s">
        <v>44</v>
      </c>
      <c r="H2035" t="s">
        <v>45</v>
      </c>
      <c r="I2035" t="s">
        <v>21</v>
      </c>
      <c r="J2035" t="s">
        <v>57</v>
      </c>
      <c r="K2035">
        <v>3.6</v>
      </c>
      <c r="L2035" t="s">
        <v>23</v>
      </c>
      <c r="M2035" t="s">
        <v>61</v>
      </c>
      <c r="N2035" t="s">
        <v>23</v>
      </c>
      <c r="O2035">
        <v>33</v>
      </c>
      <c r="P2035" t="s">
        <v>62</v>
      </c>
      <c r="Q2035" t="s">
        <v>49</v>
      </c>
      <c r="R2035" s="1">
        <v>0.1</v>
      </c>
      <c r="S2035">
        <f t="shared" si="124"/>
        <v>49.5</v>
      </c>
      <c r="T2035">
        <f>IFERROR(VLOOKUP(A2035,Table1[[Customer ID]:[Discount Amount]], 6, FALSE),"Not Found")</f>
        <v>55</v>
      </c>
      <c r="U2035" t="str">
        <f t="shared" si="125"/>
        <v>Venmo</v>
      </c>
      <c r="V2035" s="4" t="str">
        <f t="shared" si="126"/>
        <v>Normal</v>
      </c>
      <c r="W2035" s="4" t="str">
        <f t="shared" si="127"/>
        <v>Good</v>
      </c>
      <c r="X2035" s="4">
        <f>AVERAGE(Table1[Purchase Amount])</f>
        <v>129.48419400000012</v>
      </c>
    </row>
    <row r="2036" spans="1:24" ht="15" customHeight="1" x14ac:dyDescent="0.25">
      <c r="A2036">
        <v>2035</v>
      </c>
      <c r="B2036">
        <v>61</v>
      </c>
      <c r="C2036" t="s">
        <v>27</v>
      </c>
      <c r="D2036" t="s">
        <v>54</v>
      </c>
      <c r="E2036" t="s">
        <v>18</v>
      </c>
      <c r="F2036" s="2">
        <v>30</v>
      </c>
      <c r="G2036" t="s">
        <v>51</v>
      </c>
      <c r="H2036" t="s">
        <v>31</v>
      </c>
      <c r="I2036" t="s">
        <v>145</v>
      </c>
      <c r="J2036" t="s">
        <v>33</v>
      </c>
      <c r="K2036">
        <v>2.9</v>
      </c>
      <c r="L2036" t="s">
        <v>23</v>
      </c>
      <c r="M2036" t="s">
        <v>48</v>
      </c>
      <c r="N2036" t="s">
        <v>23</v>
      </c>
      <c r="O2036">
        <v>27</v>
      </c>
      <c r="P2036" t="s">
        <v>58</v>
      </c>
      <c r="Q2036" t="s">
        <v>42</v>
      </c>
      <c r="R2036" s="1">
        <v>0.1</v>
      </c>
      <c r="S2036">
        <f t="shared" si="124"/>
        <v>27</v>
      </c>
      <c r="T2036">
        <f>IFERROR(VLOOKUP(A2036,Table1[[Customer ID]:[Discount Amount]], 6, FALSE),"Not Found")</f>
        <v>30</v>
      </c>
      <c r="U2036" t="str">
        <f t="shared" si="125"/>
        <v>PayPal</v>
      </c>
      <c r="V2036" s="4" t="str">
        <f t="shared" si="126"/>
        <v>Normal</v>
      </c>
      <c r="W2036" s="4" t="str">
        <f t="shared" si="127"/>
        <v>Poor</v>
      </c>
      <c r="X2036" s="4">
        <f>AVERAGE(Table1[Purchase Amount])</f>
        <v>129.48419400000012</v>
      </c>
    </row>
    <row r="2037" spans="1:24" ht="15" customHeight="1" x14ac:dyDescent="0.25">
      <c r="A2037">
        <v>2036</v>
      </c>
      <c r="B2037">
        <v>53</v>
      </c>
      <c r="C2037" t="s">
        <v>27</v>
      </c>
      <c r="D2037" t="s">
        <v>17</v>
      </c>
      <c r="E2037" t="s">
        <v>18</v>
      </c>
      <c r="F2037" s="2">
        <v>70</v>
      </c>
      <c r="G2037" t="s">
        <v>142</v>
      </c>
      <c r="H2037" t="s">
        <v>55</v>
      </c>
      <c r="I2037" t="s">
        <v>52</v>
      </c>
      <c r="J2037" t="s">
        <v>57</v>
      </c>
      <c r="K2037">
        <v>4.0999999999999996</v>
      </c>
      <c r="L2037" t="s">
        <v>23</v>
      </c>
      <c r="M2037" t="s">
        <v>61</v>
      </c>
      <c r="N2037" t="s">
        <v>23</v>
      </c>
      <c r="O2037">
        <v>43</v>
      </c>
      <c r="P2037" t="s">
        <v>88</v>
      </c>
      <c r="Q2037" t="s">
        <v>26</v>
      </c>
      <c r="R2037" s="1">
        <v>0.1</v>
      </c>
      <c r="S2037">
        <f t="shared" si="124"/>
        <v>63</v>
      </c>
      <c r="T2037">
        <f>IFERROR(VLOOKUP(A2037,Table1[[Customer ID]:[Discount Amount]], 6, FALSE),"Not Found")</f>
        <v>70</v>
      </c>
      <c r="U2037" t="str">
        <f t="shared" si="125"/>
        <v>Bank Transfer</v>
      </c>
      <c r="V2037" s="4" t="str">
        <f t="shared" si="126"/>
        <v>Normal</v>
      </c>
      <c r="W2037" s="4" t="str">
        <f t="shared" si="127"/>
        <v>Good</v>
      </c>
      <c r="X2037" s="4">
        <f>AVERAGE(Table1[Purchase Amount])</f>
        <v>129.48419400000012</v>
      </c>
    </row>
    <row r="2038" spans="1:24" ht="15" customHeight="1" x14ac:dyDescent="0.25">
      <c r="A2038">
        <v>2037</v>
      </c>
      <c r="B2038">
        <v>37</v>
      </c>
      <c r="C2038" t="s">
        <v>27</v>
      </c>
      <c r="D2038" t="s">
        <v>118</v>
      </c>
      <c r="E2038" t="s">
        <v>18</v>
      </c>
      <c r="F2038" s="2">
        <v>63</v>
      </c>
      <c r="G2038" t="s">
        <v>120</v>
      </c>
      <c r="H2038" t="s">
        <v>55</v>
      </c>
      <c r="I2038" t="s">
        <v>107</v>
      </c>
      <c r="J2038" t="s">
        <v>22</v>
      </c>
      <c r="K2038">
        <v>3.1</v>
      </c>
      <c r="L2038" t="s">
        <v>23</v>
      </c>
      <c r="M2038" t="s">
        <v>79</v>
      </c>
      <c r="N2038" t="s">
        <v>23</v>
      </c>
      <c r="O2038">
        <v>46</v>
      </c>
      <c r="P2038" t="s">
        <v>25</v>
      </c>
      <c r="Q2038" t="s">
        <v>26</v>
      </c>
      <c r="R2038" s="1">
        <v>0.1</v>
      </c>
      <c r="S2038">
        <f t="shared" si="124"/>
        <v>56.7</v>
      </c>
      <c r="T2038">
        <f>IFERROR(VLOOKUP(A2038,Table1[[Customer ID]:[Discount Amount]], 6, FALSE),"Not Found")</f>
        <v>63</v>
      </c>
      <c r="U2038" t="str">
        <f t="shared" si="125"/>
        <v>Cash</v>
      </c>
      <c r="V2038" s="4" t="str">
        <f t="shared" si="126"/>
        <v>Normal</v>
      </c>
      <c r="W2038" s="4" t="str">
        <f t="shared" si="127"/>
        <v>Good</v>
      </c>
      <c r="X2038" s="4">
        <f>AVERAGE(Table1[Purchase Amount])</f>
        <v>129.48419400000012</v>
      </c>
    </row>
    <row r="2039" spans="1:24" ht="15" customHeight="1" x14ac:dyDescent="0.25">
      <c r="A2039">
        <v>2038</v>
      </c>
      <c r="B2039">
        <v>39</v>
      </c>
      <c r="C2039" t="s">
        <v>27</v>
      </c>
      <c r="D2039" t="s">
        <v>114</v>
      </c>
      <c r="E2039" t="s">
        <v>29</v>
      </c>
      <c r="F2039" s="2">
        <v>87</v>
      </c>
      <c r="G2039" t="s">
        <v>44</v>
      </c>
      <c r="H2039" t="s">
        <v>55</v>
      </c>
      <c r="I2039" t="s">
        <v>93</v>
      </c>
      <c r="J2039" t="s">
        <v>57</v>
      </c>
      <c r="K2039">
        <v>4.3</v>
      </c>
      <c r="L2039" t="s">
        <v>23</v>
      </c>
      <c r="M2039" t="s">
        <v>61</v>
      </c>
      <c r="N2039" t="s">
        <v>23</v>
      </c>
      <c r="O2039">
        <v>7</v>
      </c>
      <c r="P2039" t="s">
        <v>62</v>
      </c>
      <c r="Q2039" t="s">
        <v>68</v>
      </c>
      <c r="R2039" s="1">
        <v>0.1</v>
      </c>
      <c r="S2039">
        <f t="shared" si="124"/>
        <v>78.3</v>
      </c>
      <c r="T2039">
        <f>IFERROR(VLOOKUP(A2039,Table1[[Customer ID]:[Discount Amount]], 6, FALSE),"Not Found")</f>
        <v>87</v>
      </c>
      <c r="U2039" t="str">
        <f t="shared" si="125"/>
        <v>Venmo</v>
      </c>
      <c r="V2039" s="4" t="str">
        <f t="shared" si="126"/>
        <v>Normal</v>
      </c>
      <c r="W2039" s="4" t="str">
        <f t="shared" si="127"/>
        <v>Good</v>
      </c>
      <c r="X2039" s="4">
        <f>AVERAGE(Table1[Purchase Amount])</f>
        <v>129.48419400000012</v>
      </c>
    </row>
    <row r="2040" spans="1:24" ht="15" customHeight="1" x14ac:dyDescent="0.25">
      <c r="A2040">
        <v>2039</v>
      </c>
      <c r="B2040">
        <v>53</v>
      </c>
      <c r="C2040" t="s">
        <v>27</v>
      </c>
      <c r="D2040" t="s">
        <v>118</v>
      </c>
      <c r="E2040" t="s">
        <v>18</v>
      </c>
      <c r="F2040" s="2">
        <v>70</v>
      </c>
      <c r="G2040" t="s">
        <v>100</v>
      </c>
      <c r="H2040" t="s">
        <v>45</v>
      </c>
      <c r="I2040" t="s">
        <v>108</v>
      </c>
      <c r="J2040" t="s">
        <v>33</v>
      </c>
      <c r="K2040">
        <v>4.4000000000000004</v>
      </c>
      <c r="L2040" t="s">
        <v>23</v>
      </c>
      <c r="M2040" t="s">
        <v>79</v>
      </c>
      <c r="N2040" t="s">
        <v>23</v>
      </c>
      <c r="O2040">
        <v>35</v>
      </c>
      <c r="P2040" t="s">
        <v>53</v>
      </c>
      <c r="Q2040" t="s">
        <v>89</v>
      </c>
      <c r="R2040" s="1">
        <v>0.1</v>
      </c>
      <c r="S2040">
        <f t="shared" si="124"/>
        <v>63</v>
      </c>
      <c r="T2040">
        <f>IFERROR(VLOOKUP(A2040,Table1[[Customer ID]:[Discount Amount]], 6, FALSE),"Not Found")</f>
        <v>70</v>
      </c>
      <c r="U2040" t="str">
        <f t="shared" si="125"/>
        <v>Credit Card</v>
      </c>
      <c r="V2040" s="4" t="str">
        <f t="shared" si="126"/>
        <v>Normal</v>
      </c>
      <c r="W2040" s="4" t="str">
        <f t="shared" si="127"/>
        <v>Good</v>
      </c>
      <c r="X2040" s="4">
        <f>AVERAGE(Table1[Purchase Amount])</f>
        <v>129.48419400000012</v>
      </c>
    </row>
    <row r="2041" spans="1:24" ht="15" customHeight="1" x14ac:dyDescent="0.25">
      <c r="A2041">
        <v>2040</v>
      </c>
      <c r="B2041">
        <v>35</v>
      </c>
      <c r="C2041" t="s">
        <v>27</v>
      </c>
      <c r="D2041" t="s">
        <v>17</v>
      </c>
      <c r="E2041" t="s">
        <v>18</v>
      </c>
      <c r="F2041" s="2">
        <v>51</v>
      </c>
      <c r="G2041" t="s">
        <v>120</v>
      </c>
      <c r="H2041" t="s">
        <v>31</v>
      </c>
      <c r="I2041" t="s">
        <v>21</v>
      </c>
      <c r="J2041" t="s">
        <v>33</v>
      </c>
      <c r="K2041">
        <v>3.1</v>
      </c>
      <c r="L2041" t="s">
        <v>23</v>
      </c>
      <c r="M2041" t="s">
        <v>79</v>
      </c>
      <c r="N2041" t="s">
        <v>23</v>
      </c>
      <c r="O2041">
        <v>31</v>
      </c>
      <c r="P2041" t="s">
        <v>36</v>
      </c>
      <c r="Q2041" t="s">
        <v>68</v>
      </c>
      <c r="R2041" s="1">
        <v>0.1</v>
      </c>
      <c r="S2041">
        <f t="shared" si="124"/>
        <v>45.9</v>
      </c>
      <c r="T2041">
        <f>IFERROR(VLOOKUP(A2041,Table1[[Customer ID]:[Discount Amount]], 6, FALSE),"Not Found")</f>
        <v>51</v>
      </c>
      <c r="U2041" t="str">
        <f t="shared" si="125"/>
        <v>Debit Card</v>
      </c>
      <c r="V2041" s="4" t="str">
        <f t="shared" si="126"/>
        <v>Normal</v>
      </c>
      <c r="W2041" s="4" t="str">
        <f t="shared" si="127"/>
        <v>Good</v>
      </c>
      <c r="X2041" s="4">
        <f>AVERAGE(Table1[Purchase Amount])</f>
        <v>129.48419400000012</v>
      </c>
    </row>
    <row r="2042" spans="1:24" ht="15" customHeight="1" x14ac:dyDescent="0.25">
      <c r="A2042">
        <v>2041</v>
      </c>
      <c r="B2042">
        <v>69</v>
      </c>
      <c r="C2042" t="s">
        <v>27</v>
      </c>
      <c r="D2042" t="s">
        <v>50</v>
      </c>
      <c r="E2042" t="s">
        <v>29</v>
      </c>
      <c r="F2042" s="2">
        <v>25</v>
      </c>
      <c r="G2042" t="s">
        <v>30</v>
      </c>
      <c r="H2042" t="s">
        <v>20</v>
      </c>
      <c r="I2042" t="s">
        <v>85</v>
      </c>
      <c r="J2042" t="s">
        <v>33</v>
      </c>
      <c r="K2042">
        <v>2.9</v>
      </c>
      <c r="L2042" t="s">
        <v>23</v>
      </c>
      <c r="M2042" t="s">
        <v>35</v>
      </c>
      <c r="N2042" t="s">
        <v>23</v>
      </c>
      <c r="O2042">
        <v>42</v>
      </c>
      <c r="P2042" t="s">
        <v>62</v>
      </c>
      <c r="Q2042" t="s">
        <v>37</v>
      </c>
      <c r="R2042" s="1">
        <v>0.1</v>
      </c>
      <c r="S2042">
        <f t="shared" si="124"/>
        <v>22.5</v>
      </c>
      <c r="T2042">
        <f>IFERROR(VLOOKUP(A2042,Table1[[Customer ID]:[Discount Amount]], 6, FALSE),"Not Found")</f>
        <v>25</v>
      </c>
      <c r="U2042" t="str">
        <f t="shared" si="125"/>
        <v>Venmo</v>
      </c>
      <c r="V2042" s="4" t="str">
        <f t="shared" si="126"/>
        <v>Normal</v>
      </c>
      <c r="W2042" s="4" t="str">
        <f t="shared" si="127"/>
        <v>Poor</v>
      </c>
      <c r="X2042" s="4">
        <f>AVERAGE(Table1[Purchase Amount])</f>
        <v>129.48419400000012</v>
      </c>
    </row>
    <row r="2043" spans="1:24" ht="15" customHeight="1" x14ac:dyDescent="0.25">
      <c r="A2043">
        <v>2042</v>
      </c>
      <c r="B2043">
        <v>66</v>
      </c>
      <c r="C2043" t="s">
        <v>27</v>
      </c>
      <c r="D2043" t="s">
        <v>96</v>
      </c>
      <c r="E2043" t="s">
        <v>77</v>
      </c>
      <c r="F2043" s="2">
        <v>32</v>
      </c>
      <c r="G2043" t="s">
        <v>101</v>
      </c>
      <c r="H2043" t="s">
        <v>55</v>
      </c>
      <c r="I2043" t="s">
        <v>107</v>
      </c>
      <c r="J2043" t="s">
        <v>22</v>
      </c>
      <c r="K2043">
        <v>3.2</v>
      </c>
      <c r="L2043" t="s">
        <v>23</v>
      </c>
      <c r="M2043" t="s">
        <v>79</v>
      </c>
      <c r="N2043" t="s">
        <v>23</v>
      </c>
      <c r="O2043">
        <v>14</v>
      </c>
      <c r="P2043" t="s">
        <v>58</v>
      </c>
      <c r="Q2043" t="s">
        <v>68</v>
      </c>
      <c r="R2043" s="1">
        <v>0.1</v>
      </c>
      <c r="S2043">
        <f t="shared" si="124"/>
        <v>28.8</v>
      </c>
      <c r="T2043">
        <f>IFERROR(VLOOKUP(A2043,Table1[[Customer ID]:[Discount Amount]], 6, FALSE),"Not Found")</f>
        <v>32</v>
      </c>
      <c r="U2043" t="str">
        <f t="shared" si="125"/>
        <v>PayPal</v>
      </c>
      <c r="V2043" s="4" t="str">
        <f t="shared" si="126"/>
        <v>Normal</v>
      </c>
      <c r="W2043" s="4" t="str">
        <f t="shared" si="127"/>
        <v>Good</v>
      </c>
      <c r="X2043" s="4">
        <f>AVERAGE(Table1[Purchase Amount])</f>
        <v>129.48419400000012</v>
      </c>
    </row>
    <row r="2044" spans="1:24" ht="15" customHeight="1" x14ac:dyDescent="0.25">
      <c r="A2044">
        <v>2043</v>
      </c>
      <c r="B2044">
        <v>19</v>
      </c>
      <c r="C2044" t="s">
        <v>27</v>
      </c>
      <c r="D2044" t="s">
        <v>72</v>
      </c>
      <c r="E2044" t="s">
        <v>98</v>
      </c>
      <c r="F2044" s="2">
        <v>52</v>
      </c>
      <c r="G2044" t="s">
        <v>51</v>
      </c>
      <c r="H2044" t="s">
        <v>31</v>
      </c>
      <c r="I2044" t="s">
        <v>46</v>
      </c>
      <c r="J2044" t="s">
        <v>33</v>
      </c>
      <c r="K2044">
        <v>4</v>
      </c>
      <c r="L2044" t="s">
        <v>23</v>
      </c>
      <c r="M2044" t="s">
        <v>41</v>
      </c>
      <c r="N2044" t="s">
        <v>23</v>
      </c>
      <c r="O2044">
        <v>35</v>
      </c>
      <c r="P2044" t="s">
        <v>62</v>
      </c>
      <c r="Q2044" t="s">
        <v>42</v>
      </c>
      <c r="R2044" s="1">
        <v>0.1</v>
      </c>
      <c r="S2044">
        <f t="shared" si="124"/>
        <v>46.8</v>
      </c>
      <c r="T2044">
        <f>IFERROR(VLOOKUP(A2044,Table1[[Customer ID]:[Discount Amount]], 6, FALSE),"Not Found")</f>
        <v>52</v>
      </c>
      <c r="U2044" t="str">
        <f t="shared" si="125"/>
        <v>Venmo</v>
      </c>
      <c r="V2044" s="4" t="str">
        <f t="shared" si="126"/>
        <v>Normal</v>
      </c>
      <c r="W2044" s="4" t="str">
        <f t="shared" si="127"/>
        <v>Good</v>
      </c>
      <c r="X2044" s="4">
        <f>AVERAGE(Table1[Purchase Amount])</f>
        <v>129.48419400000012</v>
      </c>
    </row>
    <row r="2045" spans="1:24" ht="15" customHeight="1" x14ac:dyDescent="0.25">
      <c r="A2045">
        <v>2044</v>
      </c>
      <c r="B2045">
        <v>47</v>
      </c>
      <c r="C2045" t="s">
        <v>27</v>
      </c>
      <c r="D2045" t="s">
        <v>43</v>
      </c>
      <c r="E2045" t="s">
        <v>29</v>
      </c>
      <c r="F2045" s="2">
        <v>33</v>
      </c>
      <c r="G2045" t="s">
        <v>101</v>
      </c>
      <c r="H2045" t="s">
        <v>31</v>
      </c>
      <c r="I2045" t="s">
        <v>103</v>
      </c>
      <c r="J2045" t="s">
        <v>57</v>
      </c>
      <c r="K2045">
        <v>2.7</v>
      </c>
      <c r="L2045" t="s">
        <v>23</v>
      </c>
      <c r="M2045" t="s">
        <v>24</v>
      </c>
      <c r="N2045" t="s">
        <v>23</v>
      </c>
      <c r="O2045">
        <v>49</v>
      </c>
      <c r="P2045" t="s">
        <v>58</v>
      </c>
      <c r="Q2045" t="s">
        <v>26</v>
      </c>
      <c r="R2045" s="1">
        <v>0.1</v>
      </c>
      <c r="S2045">
        <f t="shared" si="124"/>
        <v>29.7</v>
      </c>
      <c r="T2045">
        <f>IFERROR(VLOOKUP(A2045,Table1[[Customer ID]:[Discount Amount]], 6, FALSE),"Not Found")</f>
        <v>33</v>
      </c>
      <c r="U2045" t="str">
        <f t="shared" si="125"/>
        <v>PayPal</v>
      </c>
      <c r="V2045" s="4" t="str">
        <f t="shared" si="126"/>
        <v>Normal</v>
      </c>
      <c r="W2045" s="4" t="str">
        <f t="shared" si="127"/>
        <v>Poor</v>
      </c>
      <c r="X2045" s="4">
        <f>AVERAGE(Table1[Purchase Amount])</f>
        <v>129.48419400000012</v>
      </c>
    </row>
    <row r="2046" spans="1:24" ht="15" customHeight="1" x14ac:dyDescent="0.25">
      <c r="A2046">
        <v>2045</v>
      </c>
      <c r="B2046">
        <v>49</v>
      </c>
      <c r="C2046" t="s">
        <v>27</v>
      </c>
      <c r="D2046" t="s">
        <v>109</v>
      </c>
      <c r="E2046" t="s">
        <v>18</v>
      </c>
      <c r="F2046" s="2">
        <v>68</v>
      </c>
      <c r="G2046" t="s">
        <v>146</v>
      </c>
      <c r="H2046" t="s">
        <v>45</v>
      </c>
      <c r="I2046" t="s">
        <v>108</v>
      </c>
      <c r="J2046" t="s">
        <v>33</v>
      </c>
      <c r="K2046">
        <v>3</v>
      </c>
      <c r="L2046" t="s">
        <v>23</v>
      </c>
      <c r="M2046" t="s">
        <v>35</v>
      </c>
      <c r="N2046" t="s">
        <v>23</v>
      </c>
      <c r="O2046">
        <v>17</v>
      </c>
      <c r="P2046" t="s">
        <v>58</v>
      </c>
      <c r="Q2046" t="s">
        <v>89</v>
      </c>
      <c r="R2046" s="1">
        <v>0.1</v>
      </c>
      <c r="S2046">
        <f t="shared" si="124"/>
        <v>61.2</v>
      </c>
      <c r="T2046">
        <f>IFERROR(VLOOKUP(A2046,Table1[[Customer ID]:[Discount Amount]], 6, FALSE),"Not Found")</f>
        <v>68</v>
      </c>
      <c r="U2046" t="str">
        <f t="shared" si="125"/>
        <v>PayPal</v>
      </c>
      <c r="V2046" s="4" t="str">
        <f t="shared" si="126"/>
        <v>Normal</v>
      </c>
      <c r="W2046" s="4" t="str">
        <f t="shared" si="127"/>
        <v>Good</v>
      </c>
      <c r="X2046" s="4">
        <f>AVERAGE(Table1[Purchase Amount])</f>
        <v>129.48419400000012</v>
      </c>
    </row>
    <row r="2047" spans="1:24" ht="15" customHeight="1" x14ac:dyDescent="0.25">
      <c r="A2047">
        <v>2046</v>
      </c>
      <c r="B2047">
        <v>31</v>
      </c>
      <c r="C2047" t="s">
        <v>27</v>
      </c>
      <c r="D2047" t="s">
        <v>50</v>
      </c>
      <c r="E2047" t="s">
        <v>29</v>
      </c>
      <c r="F2047" s="2">
        <v>20</v>
      </c>
      <c r="G2047" t="s">
        <v>160</v>
      </c>
      <c r="H2047" t="s">
        <v>31</v>
      </c>
      <c r="I2047" t="s">
        <v>46</v>
      </c>
      <c r="J2047" t="s">
        <v>47</v>
      </c>
      <c r="K2047">
        <v>4.4000000000000004</v>
      </c>
      <c r="L2047" t="s">
        <v>23</v>
      </c>
      <c r="M2047" t="s">
        <v>61</v>
      </c>
      <c r="N2047" t="s">
        <v>23</v>
      </c>
      <c r="O2047">
        <v>26</v>
      </c>
      <c r="P2047" t="s">
        <v>58</v>
      </c>
      <c r="Q2047" t="s">
        <v>37</v>
      </c>
      <c r="R2047" s="1">
        <v>0.1</v>
      </c>
      <c r="S2047">
        <f t="shared" si="124"/>
        <v>18</v>
      </c>
      <c r="T2047">
        <f>IFERROR(VLOOKUP(A2047,Table1[[Customer ID]:[Discount Amount]], 6, FALSE),"Not Found")</f>
        <v>20</v>
      </c>
      <c r="U2047" t="str">
        <f t="shared" si="125"/>
        <v>PayPal</v>
      </c>
      <c r="V2047" s="4" t="str">
        <f t="shared" si="126"/>
        <v>Normal</v>
      </c>
      <c r="W2047" s="4" t="str">
        <f t="shared" si="127"/>
        <v>Good</v>
      </c>
      <c r="X2047" s="4">
        <f>AVERAGE(Table1[Purchase Amount])</f>
        <v>129.48419400000012</v>
      </c>
    </row>
    <row r="2048" spans="1:24" ht="15" customHeight="1" x14ac:dyDescent="0.25">
      <c r="A2048">
        <v>2047</v>
      </c>
      <c r="B2048">
        <v>39</v>
      </c>
      <c r="C2048" t="s">
        <v>27</v>
      </c>
      <c r="D2048" t="s">
        <v>99</v>
      </c>
      <c r="E2048" t="s">
        <v>18</v>
      </c>
      <c r="F2048" s="2">
        <v>32</v>
      </c>
      <c r="G2048" t="s">
        <v>142</v>
      </c>
      <c r="H2048" t="s">
        <v>31</v>
      </c>
      <c r="I2048" t="s">
        <v>125</v>
      </c>
      <c r="J2048" t="s">
        <v>22</v>
      </c>
      <c r="K2048">
        <v>2.8</v>
      </c>
      <c r="L2048" t="s">
        <v>23</v>
      </c>
      <c r="M2048" t="s">
        <v>35</v>
      </c>
      <c r="N2048" t="s">
        <v>23</v>
      </c>
      <c r="O2048">
        <v>30</v>
      </c>
      <c r="P2048" t="s">
        <v>25</v>
      </c>
      <c r="Q2048" t="s">
        <v>63</v>
      </c>
      <c r="R2048" s="1">
        <v>0.1</v>
      </c>
      <c r="S2048">
        <f t="shared" si="124"/>
        <v>28.8</v>
      </c>
      <c r="T2048">
        <f>IFERROR(VLOOKUP(A2048,Table1[[Customer ID]:[Discount Amount]], 6, FALSE),"Not Found")</f>
        <v>32</v>
      </c>
      <c r="U2048" t="str">
        <f t="shared" si="125"/>
        <v>Cash</v>
      </c>
      <c r="V2048" s="4" t="str">
        <f t="shared" si="126"/>
        <v>Normal</v>
      </c>
      <c r="W2048" s="4" t="str">
        <f t="shared" si="127"/>
        <v>Poor</v>
      </c>
      <c r="X2048" s="4">
        <f>AVERAGE(Table1[Purchase Amount])</f>
        <v>129.48419400000012</v>
      </c>
    </row>
    <row r="2049" spans="1:24" ht="15" customHeight="1" x14ac:dyDescent="0.25">
      <c r="A2049">
        <v>2048</v>
      </c>
      <c r="B2049">
        <v>58</v>
      </c>
      <c r="C2049" t="s">
        <v>27</v>
      </c>
      <c r="D2049" t="s">
        <v>50</v>
      </c>
      <c r="E2049" t="s">
        <v>29</v>
      </c>
      <c r="F2049" s="2">
        <v>82</v>
      </c>
      <c r="G2049" t="s">
        <v>115</v>
      </c>
      <c r="H2049" t="s">
        <v>31</v>
      </c>
      <c r="I2049" t="s">
        <v>153</v>
      </c>
      <c r="J2049" t="s">
        <v>57</v>
      </c>
      <c r="K2049">
        <v>3.1</v>
      </c>
      <c r="L2049" t="s">
        <v>23</v>
      </c>
      <c r="M2049" t="s">
        <v>48</v>
      </c>
      <c r="N2049" t="s">
        <v>23</v>
      </c>
      <c r="O2049">
        <v>32</v>
      </c>
      <c r="P2049" t="s">
        <v>25</v>
      </c>
      <c r="Q2049" t="s">
        <v>49</v>
      </c>
      <c r="R2049" s="1">
        <v>0.1</v>
      </c>
      <c r="S2049">
        <f t="shared" si="124"/>
        <v>73.8</v>
      </c>
      <c r="T2049">
        <f>IFERROR(VLOOKUP(A2049,Table1[[Customer ID]:[Discount Amount]], 6, FALSE),"Not Found")</f>
        <v>82</v>
      </c>
      <c r="U2049" t="str">
        <f t="shared" si="125"/>
        <v>Cash</v>
      </c>
      <c r="V2049" s="4" t="str">
        <f t="shared" si="126"/>
        <v>Normal</v>
      </c>
      <c r="W2049" s="4" t="str">
        <f t="shared" si="127"/>
        <v>Good</v>
      </c>
      <c r="X2049" s="4">
        <f>AVERAGE(Table1[Purchase Amount])</f>
        <v>129.48419400000012</v>
      </c>
    </row>
    <row r="2050" spans="1:24" ht="15" customHeight="1" x14ac:dyDescent="0.25">
      <c r="A2050">
        <v>2049</v>
      </c>
      <c r="B2050">
        <v>45</v>
      </c>
      <c r="C2050" t="s">
        <v>27</v>
      </c>
      <c r="D2050" t="s">
        <v>140</v>
      </c>
      <c r="E2050" t="s">
        <v>98</v>
      </c>
      <c r="F2050" s="2">
        <v>64</v>
      </c>
      <c r="G2050" t="s">
        <v>113</v>
      </c>
      <c r="H2050" t="s">
        <v>20</v>
      </c>
      <c r="I2050" t="s">
        <v>136</v>
      </c>
      <c r="J2050" t="s">
        <v>22</v>
      </c>
      <c r="K2050">
        <v>3.9</v>
      </c>
      <c r="L2050" t="s">
        <v>23</v>
      </c>
      <c r="M2050" t="s">
        <v>61</v>
      </c>
      <c r="N2050" t="s">
        <v>23</v>
      </c>
      <c r="O2050">
        <v>35</v>
      </c>
      <c r="P2050" t="s">
        <v>88</v>
      </c>
      <c r="Q2050" t="s">
        <v>37</v>
      </c>
      <c r="R2050" s="1">
        <v>0.1</v>
      </c>
      <c r="S2050">
        <f t="shared" ref="S2050:S2113" si="128">F2050-(F2050*R2050)</f>
        <v>57.6</v>
      </c>
      <c r="T2050">
        <f>IFERROR(VLOOKUP(A2050,Table1[[Customer ID]:[Discount Amount]], 6, FALSE),"Not Found")</f>
        <v>64</v>
      </c>
      <c r="U2050" t="str">
        <f t="shared" ref="U2050:U2113" si="129">INDEX(P:P, MATCH(A2050, A:A, 0))</f>
        <v>Bank Transfer</v>
      </c>
      <c r="V2050" s="4" t="str">
        <f t="shared" ref="V2050:V2113" si="130">IF(AND(F2050&gt;1000,K2050&gt;=4),"Best Customer","Normal")</f>
        <v>Normal</v>
      </c>
      <c r="W2050" s="4" t="str">
        <f t="shared" ref="W2050:W2113" si="131">IF(K2050&gt;=3,"Good","Poor")</f>
        <v>Good</v>
      </c>
      <c r="X2050" s="4">
        <f>AVERAGE(Table1[Purchase Amount])</f>
        <v>129.48419400000012</v>
      </c>
    </row>
    <row r="2051" spans="1:24" ht="15" customHeight="1" x14ac:dyDescent="0.25">
      <c r="A2051">
        <v>2050</v>
      </c>
      <c r="B2051">
        <v>68</v>
      </c>
      <c r="C2051" t="s">
        <v>27</v>
      </c>
      <c r="D2051" t="s">
        <v>151</v>
      </c>
      <c r="E2051" t="s">
        <v>98</v>
      </c>
      <c r="F2051" s="2">
        <v>24</v>
      </c>
      <c r="G2051" t="s">
        <v>159</v>
      </c>
      <c r="H2051" t="s">
        <v>45</v>
      </c>
      <c r="I2051" t="s">
        <v>74</v>
      </c>
      <c r="J2051" t="s">
        <v>47</v>
      </c>
      <c r="K2051">
        <v>2.7</v>
      </c>
      <c r="L2051" t="s">
        <v>23</v>
      </c>
      <c r="M2051" t="s">
        <v>24</v>
      </c>
      <c r="N2051" t="s">
        <v>23</v>
      </c>
      <c r="O2051">
        <v>15</v>
      </c>
      <c r="P2051" t="s">
        <v>62</v>
      </c>
      <c r="Q2051" t="s">
        <v>49</v>
      </c>
      <c r="R2051" s="1">
        <v>0.1</v>
      </c>
      <c r="S2051">
        <f t="shared" si="128"/>
        <v>21.6</v>
      </c>
      <c r="T2051">
        <f>IFERROR(VLOOKUP(A2051,Table1[[Customer ID]:[Discount Amount]], 6, FALSE),"Not Found")</f>
        <v>24</v>
      </c>
      <c r="U2051" t="str">
        <f t="shared" si="129"/>
        <v>Venmo</v>
      </c>
      <c r="V2051" s="4" t="str">
        <f t="shared" si="130"/>
        <v>Normal</v>
      </c>
      <c r="W2051" s="4" t="str">
        <f t="shared" si="131"/>
        <v>Poor</v>
      </c>
      <c r="X2051" s="4">
        <f>AVERAGE(Table1[Purchase Amount])</f>
        <v>129.48419400000012</v>
      </c>
    </row>
    <row r="2052" spans="1:24" ht="15" customHeight="1" x14ac:dyDescent="0.25">
      <c r="A2052">
        <v>2051</v>
      </c>
      <c r="B2052">
        <v>35</v>
      </c>
      <c r="C2052" t="s">
        <v>27</v>
      </c>
      <c r="D2052" t="s">
        <v>64</v>
      </c>
      <c r="E2052" t="s">
        <v>29</v>
      </c>
      <c r="F2052" s="2">
        <v>96</v>
      </c>
      <c r="G2052" t="s">
        <v>149</v>
      </c>
      <c r="H2052" t="s">
        <v>31</v>
      </c>
      <c r="I2052" t="s">
        <v>147</v>
      </c>
      <c r="J2052" t="s">
        <v>57</v>
      </c>
      <c r="K2052">
        <v>3.4</v>
      </c>
      <c r="L2052" t="s">
        <v>23</v>
      </c>
      <c r="M2052" t="s">
        <v>48</v>
      </c>
      <c r="N2052" t="s">
        <v>23</v>
      </c>
      <c r="O2052">
        <v>10</v>
      </c>
      <c r="P2052" t="s">
        <v>36</v>
      </c>
      <c r="Q2052" t="s">
        <v>49</v>
      </c>
      <c r="R2052" s="1">
        <v>0.1</v>
      </c>
      <c r="S2052">
        <f t="shared" si="128"/>
        <v>86.4</v>
      </c>
      <c r="T2052">
        <f>IFERROR(VLOOKUP(A2052,Table1[[Customer ID]:[Discount Amount]], 6, FALSE),"Not Found")</f>
        <v>96</v>
      </c>
      <c r="U2052" t="str">
        <f t="shared" si="129"/>
        <v>Debit Card</v>
      </c>
      <c r="V2052" s="4" t="str">
        <f t="shared" si="130"/>
        <v>Normal</v>
      </c>
      <c r="W2052" s="4" t="str">
        <f t="shared" si="131"/>
        <v>Good</v>
      </c>
      <c r="X2052" s="4">
        <f>AVERAGE(Table1[Purchase Amount])</f>
        <v>129.48419400000012</v>
      </c>
    </row>
    <row r="2053" spans="1:24" ht="15" customHeight="1" x14ac:dyDescent="0.25">
      <c r="A2053">
        <v>2052</v>
      </c>
      <c r="B2053">
        <v>65</v>
      </c>
      <c r="C2053" t="s">
        <v>27</v>
      </c>
      <c r="D2053" t="s">
        <v>17</v>
      </c>
      <c r="E2053" t="s">
        <v>18</v>
      </c>
      <c r="F2053" s="2">
        <v>94</v>
      </c>
      <c r="G2053" t="s">
        <v>97</v>
      </c>
      <c r="H2053" t="s">
        <v>45</v>
      </c>
      <c r="I2053" t="s">
        <v>40</v>
      </c>
      <c r="J2053" t="s">
        <v>33</v>
      </c>
      <c r="K2053">
        <v>3.8</v>
      </c>
      <c r="L2053" t="s">
        <v>23</v>
      </c>
      <c r="M2053" t="s">
        <v>35</v>
      </c>
      <c r="N2053" t="s">
        <v>23</v>
      </c>
      <c r="O2053">
        <v>14</v>
      </c>
      <c r="P2053" t="s">
        <v>53</v>
      </c>
      <c r="Q2053" t="s">
        <v>42</v>
      </c>
      <c r="R2053" s="1">
        <v>0.1</v>
      </c>
      <c r="S2053">
        <f t="shared" si="128"/>
        <v>84.6</v>
      </c>
      <c r="T2053">
        <f>IFERROR(VLOOKUP(A2053,Table1[[Customer ID]:[Discount Amount]], 6, FALSE),"Not Found")</f>
        <v>94</v>
      </c>
      <c r="U2053" t="str">
        <f t="shared" si="129"/>
        <v>Credit Card</v>
      </c>
      <c r="V2053" s="4" t="str">
        <f t="shared" si="130"/>
        <v>Normal</v>
      </c>
      <c r="W2053" s="4" t="str">
        <f t="shared" si="131"/>
        <v>Good</v>
      </c>
      <c r="X2053" s="4">
        <f>AVERAGE(Table1[Purchase Amount])</f>
        <v>129.48419400000012</v>
      </c>
    </row>
    <row r="2054" spans="1:24" ht="15" customHeight="1" x14ac:dyDescent="0.25">
      <c r="A2054">
        <v>2053</v>
      </c>
      <c r="B2054">
        <v>45</v>
      </c>
      <c r="C2054" t="s">
        <v>27</v>
      </c>
      <c r="D2054" t="s">
        <v>104</v>
      </c>
      <c r="E2054" t="s">
        <v>29</v>
      </c>
      <c r="F2054" s="2">
        <v>48</v>
      </c>
      <c r="G2054" t="s">
        <v>132</v>
      </c>
      <c r="H2054" t="s">
        <v>31</v>
      </c>
      <c r="I2054" t="s">
        <v>85</v>
      </c>
      <c r="J2054" t="s">
        <v>22</v>
      </c>
      <c r="K2054">
        <v>3.7</v>
      </c>
      <c r="L2054" t="s">
        <v>23</v>
      </c>
      <c r="M2054" t="s">
        <v>41</v>
      </c>
      <c r="N2054" t="s">
        <v>23</v>
      </c>
      <c r="O2054">
        <v>30</v>
      </c>
      <c r="P2054" t="s">
        <v>88</v>
      </c>
      <c r="Q2054" t="s">
        <v>49</v>
      </c>
      <c r="R2054" s="1">
        <v>0.1</v>
      </c>
      <c r="S2054">
        <f t="shared" si="128"/>
        <v>43.2</v>
      </c>
      <c r="T2054">
        <f>IFERROR(VLOOKUP(A2054,Table1[[Customer ID]:[Discount Amount]], 6, FALSE),"Not Found")</f>
        <v>48</v>
      </c>
      <c r="U2054" t="str">
        <f t="shared" si="129"/>
        <v>Bank Transfer</v>
      </c>
      <c r="V2054" s="4" t="str">
        <f t="shared" si="130"/>
        <v>Normal</v>
      </c>
      <c r="W2054" s="4" t="str">
        <f t="shared" si="131"/>
        <v>Good</v>
      </c>
      <c r="X2054" s="4">
        <f>AVERAGE(Table1[Purchase Amount])</f>
        <v>129.48419400000012</v>
      </c>
    </row>
    <row r="2055" spans="1:24" ht="15" customHeight="1" x14ac:dyDescent="0.25">
      <c r="A2055">
        <v>2054</v>
      </c>
      <c r="B2055">
        <v>19</v>
      </c>
      <c r="C2055" t="s">
        <v>27</v>
      </c>
      <c r="D2055" t="s">
        <v>28</v>
      </c>
      <c r="E2055" t="s">
        <v>29</v>
      </c>
      <c r="F2055" s="2">
        <v>60</v>
      </c>
      <c r="G2055" t="s">
        <v>162</v>
      </c>
      <c r="H2055" t="s">
        <v>55</v>
      </c>
      <c r="I2055" t="s">
        <v>66</v>
      </c>
      <c r="J2055" t="s">
        <v>33</v>
      </c>
      <c r="K2055">
        <v>4.5</v>
      </c>
      <c r="L2055" t="s">
        <v>23</v>
      </c>
      <c r="M2055" t="s">
        <v>41</v>
      </c>
      <c r="N2055" t="s">
        <v>23</v>
      </c>
      <c r="O2055">
        <v>16</v>
      </c>
      <c r="P2055" t="s">
        <v>53</v>
      </c>
      <c r="Q2055" t="s">
        <v>89</v>
      </c>
      <c r="R2055" s="1">
        <v>0.1</v>
      </c>
      <c r="S2055">
        <f t="shared" si="128"/>
        <v>54</v>
      </c>
      <c r="T2055">
        <f>IFERROR(VLOOKUP(A2055,Table1[[Customer ID]:[Discount Amount]], 6, FALSE),"Not Found")</f>
        <v>60</v>
      </c>
      <c r="U2055" t="str">
        <f t="shared" si="129"/>
        <v>Credit Card</v>
      </c>
      <c r="V2055" s="4" t="str">
        <f t="shared" si="130"/>
        <v>Normal</v>
      </c>
      <c r="W2055" s="4" t="str">
        <f t="shared" si="131"/>
        <v>Good</v>
      </c>
      <c r="X2055" s="4">
        <f>AVERAGE(Table1[Purchase Amount])</f>
        <v>129.48419400000012</v>
      </c>
    </row>
    <row r="2056" spans="1:24" ht="15" customHeight="1" x14ac:dyDescent="0.25">
      <c r="A2056">
        <v>2055</v>
      </c>
      <c r="B2056">
        <v>65</v>
      </c>
      <c r="C2056" t="s">
        <v>27</v>
      </c>
      <c r="D2056" t="s">
        <v>127</v>
      </c>
      <c r="E2056" t="s">
        <v>18</v>
      </c>
      <c r="F2056" s="2">
        <v>56</v>
      </c>
      <c r="G2056" t="s">
        <v>131</v>
      </c>
      <c r="H2056" t="s">
        <v>20</v>
      </c>
      <c r="I2056" t="s">
        <v>133</v>
      </c>
      <c r="J2056" t="s">
        <v>33</v>
      </c>
      <c r="K2056">
        <v>2.9</v>
      </c>
      <c r="L2056" t="s">
        <v>23</v>
      </c>
      <c r="M2056" t="s">
        <v>61</v>
      </c>
      <c r="N2056" t="s">
        <v>23</v>
      </c>
      <c r="O2056">
        <v>14</v>
      </c>
      <c r="P2056" t="s">
        <v>58</v>
      </c>
      <c r="Q2056" t="s">
        <v>49</v>
      </c>
      <c r="R2056" s="1">
        <v>0.1</v>
      </c>
      <c r="S2056">
        <f t="shared" si="128"/>
        <v>50.4</v>
      </c>
      <c r="T2056">
        <f>IFERROR(VLOOKUP(A2056,Table1[[Customer ID]:[Discount Amount]], 6, FALSE),"Not Found")</f>
        <v>56</v>
      </c>
      <c r="U2056" t="str">
        <f t="shared" si="129"/>
        <v>PayPal</v>
      </c>
      <c r="V2056" s="4" t="str">
        <f t="shared" si="130"/>
        <v>Normal</v>
      </c>
      <c r="W2056" s="4" t="str">
        <f t="shared" si="131"/>
        <v>Poor</v>
      </c>
      <c r="X2056" s="4">
        <f>AVERAGE(Table1[Purchase Amount])</f>
        <v>129.48419400000012</v>
      </c>
    </row>
    <row r="2057" spans="1:24" ht="15" customHeight="1" x14ac:dyDescent="0.25">
      <c r="A2057">
        <v>2056</v>
      </c>
      <c r="B2057">
        <v>28</v>
      </c>
      <c r="C2057" t="s">
        <v>27</v>
      </c>
      <c r="D2057" t="s">
        <v>69</v>
      </c>
      <c r="E2057" t="s">
        <v>29</v>
      </c>
      <c r="F2057" s="2">
        <v>33</v>
      </c>
      <c r="G2057" t="s">
        <v>152</v>
      </c>
      <c r="H2057" t="s">
        <v>31</v>
      </c>
      <c r="I2057" t="s">
        <v>153</v>
      </c>
      <c r="J2057" t="s">
        <v>47</v>
      </c>
      <c r="K2057">
        <v>3.4</v>
      </c>
      <c r="L2057" t="s">
        <v>23</v>
      </c>
      <c r="M2057" t="s">
        <v>41</v>
      </c>
      <c r="N2057" t="s">
        <v>23</v>
      </c>
      <c r="O2057">
        <v>28</v>
      </c>
      <c r="P2057" t="s">
        <v>88</v>
      </c>
      <c r="Q2057" t="s">
        <v>26</v>
      </c>
      <c r="R2057" s="1">
        <v>0.1</v>
      </c>
      <c r="S2057">
        <f t="shared" si="128"/>
        <v>29.7</v>
      </c>
      <c r="T2057">
        <f>IFERROR(VLOOKUP(A2057,Table1[[Customer ID]:[Discount Amount]], 6, FALSE),"Not Found")</f>
        <v>33</v>
      </c>
      <c r="U2057" t="str">
        <f t="shared" si="129"/>
        <v>Bank Transfer</v>
      </c>
      <c r="V2057" s="4" t="str">
        <f t="shared" si="130"/>
        <v>Normal</v>
      </c>
      <c r="W2057" s="4" t="str">
        <f t="shared" si="131"/>
        <v>Good</v>
      </c>
      <c r="X2057" s="4">
        <f>AVERAGE(Table1[Purchase Amount])</f>
        <v>129.48419400000012</v>
      </c>
    </row>
    <row r="2058" spans="1:24" ht="15" customHeight="1" x14ac:dyDescent="0.25">
      <c r="A2058">
        <v>2057</v>
      </c>
      <c r="B2058">
        <v>55</v>
      </c>
      <c r="C2058" t="s">
        <v>27</v>
      </c>
      <c r="D2058" t="s">
        <v>104</v>
      </c>
      <c r="E2058" t="s">
        <v>29</v>
      </c>
      <c r="F2058" s="2">
        <v>46</v>
      </c>
      <c r="G2058" t="s">
        <v>120</v>
      </c>
      <c r="H2058" t="s">
        <v>45</v>
      </c>
      <c r="I2058" t="s">
        <v>74</v>
      </c>
      <c r="J2058" t="s">
        <v>33</v>
      </c>
      <c r="K2058">
        <v>4.4000000000000004</v>
      </c>
      <c r="L2058" t="s">
        <v>23</v>
      </c>
      <c r="M2058" t="s">
        <v>41</v>
      </c>
      <c r="N2058" t="s">
        <v>23</v>
      </c>
      <c r="O2058">
        <v>29</v>
      </c>
      <c r="P2058" t="s">
        <v>58</v>
      </c>
      <c r="Q2058" t="s">
        <v>42</v>
      </c>
      <c r="R2058" s="1">
        <v>0.1</v>
      </c>
      <c r="S2058">
        <f t="shared" si="128"/>
        <v>41.4</v>
      </c>
      <c r="T2058">
        <f>IFERROR(VLOOKUP(A2058,Table1[[Customer ID]:[Discount Amount]], 6, FALSE),"Not Found")</f>
        <v>46</v>
      </c>
      <c r="U2058" t="str">
        <f t="shared" si="129"/>
        <v>PayPal</v>
      </c>
      <c r="V2058" s="4" t="str">
        <f t="shared" si="130"/>
        <v>Normal</v>
      </c>
      <c r="W2058" s="4" t="str">
        <f t="shared" si="131"/>
        <v>Good</v>
      </c>
      <c r="X2058" s="4">
        <f>AVERAGE(Table1[Purchase Amount])</f>
        <v>129.48419400000012</v>
      </c>
    </row>
    <row r="2059" spans="1:24" ht="15" customHeight="1" x14ac:dyDescent="0.25">
      <c r="A2059">
        <v>2058</v>
      </c>
      <c r="B2059">
        <v>66</v>
      </c>
      <c r="C2059" t="s">
        <v>27</v>
      </c>
      <c r="D2059" t="s">
        <v>105</v>
      </c>
      <c r="E2059" t="s">
        <v>18</v>
      </c>
      <c r="F2059" s="2">
        <v>37</v>
      </c>
      <c r="G2059" t="s">
        <v>130</v>
      </c>
      <c r="H2059" t="s">
        <v>45</v>
      </c>
      <c r="I2059" t="s">
        <v>52</v>
      </c>
      <c r="J2059" t="s">
        <v>33</v>
      </c>
      <c r="K2059">
        <v>4.2</v>
      </c>
      <c r="L2059" t="s">
        <v>23</v>
      </c>
      <c r="M2059" t="s">
        <v>24</v>
      </c>
      <c r="N2059" t="s">
        <v>23</v>
      </c>
      <c r="O2059">
        <v>5</v>
      </c>
      <c r="P2059" t="s">
        <v>58</v>
      </c>
      <c r="Q2059" t="s">
        <v>63</v>
      </c>
      <c r="R2059" s="1">
        <v>0.1</v>
      </c>
      <c r="S2059">
        <f t="shared" si="128"/>
        <v>33.299999999999997</v>
      </c>
      <c r="T2059">
        <f>IFERROR(VLOOKUP(A2059,Table1[[Customer ID]:[Discount Amount]], 6, FALSE),"Not Found")</f>
        <v>37</v>
      </c>
      <c r="U2059" t="str">
        <f t="shared" si="129"/>
        <v>PayPal</v>
      </c>
      <c r="V2059" s="4" t="str">
        <f t="shared" si="130"/>
        <v>Normal</v>
      </c>
      <c r="W2059" s="4" t="str">
        <f t="shared" si="131"/>
        <v>Good</v>
      </c>
      <c r="X2059" s="4">
        <f>AVERAGE(Table1[Purchase Amount])</f>
        <v>129.48419400000012</v>
      </c>
    </row>
    <row r="2060" spans="1:24" ht="15" customHeight="1" x14ac:dyDescent="0.25">
      <c r="A2060">
        <v>2059</v>
      </c>
      <c r="B2060">
        <v>29</v>
      </c>
      <c r="C2060" t="s">
        <v>27</v>
      </c>
      <c r="D2060" t="s">
        <v>38</v>
      </c>
      <c r="E2060" t="s">
        <v>18</v>
      </c>
      <c r="F2060" s="2">
        <v>98</v>
      </c>
      <c r="G2060" t="s">
        <v>155</v>
      </c>
      <c r="H2060" t="s">
        <v>31</v>
      </c>
      <c r="I2060" t="s">
        <v>60</v>
      </c>
      <c r="J2060" t="s">
        <v>22</v>
      </c>
      <c r="K2060">
        <v>3.3</v>
      </c>
      <c r="L2060" t="s">
        <v>23</v>
      </c>
      <c r="M2060" t="s">
        <v>48</v>
      </c>
      <c r="N2060" t="s">
        <v>23</v>
      </c>
      <c r="O2060">
        <v>17</v>
      </c>
      <c r="P2060" t="s">
        <v>88</v>
      </c>
      <c r="Q2060" t="s">
        <v>37</v>
      </c>
      <c r="R2060" s="1">
        <v>0.1</v>
      </c>
      <c r="S2060">
        <f t="shared" si="128"/>
        <v>88.2</v>
      </c>
      <c r="T2060">
        <f>IFERROR(VLOOKUP(A2060,Table1[[Customer ID]:[Discount Amount]], 6, FALSE),"Not Found")</f>
        <v>98</v>
      </c>
      <c r="U2060" t="str">
        <f t="shared" si="129"/>
        <v>Bank Transfer</v>
      </c>
      <c r="V2060" s="4" t="str">
        <f t="shared" si="130"/>
        <v>Normal</v>
      </c>
      <c r="W2060" s="4" t="str">
        <f t="shared" si="131"/>
        <v>Good</v>
      </c>
      <c r="X2060" s="4">
        <f>AVERAGE(Table1[Purchase Amount])</f>
        <v>129.48419400000012</v>
      </c>
    </row>
    <row r="2061" spans="1:24" ht="15" customHeight="1" x14ac:dyDescent="0.25">
      <c r="A2061">
        <v>2060</v>
      </c>
      <c r="B2061">
        <v>56</v>
      </c>
      <c r="C2061" t="s">
        <v>27</v>
      </c>
      <c r="D2061" t="s">
        <v>54</v>
      </c>
      <c r="E2061" t="s">
        <v>18</v>
      </c>
      <c r="F2061" s="2">
        <v>50</v>
      </c>
      <c r="G2061" t="s">
        <v>19</v>
      </c>
      <c r="H2061" t="s">
        <v>20</v>
      </c>
      <c r="I2061" t="s">
        <v>56</v>
      </c>
      <c r="J2061" t="s">
        <v>33</v>
      </c>
      <c r="K2061">
        <v>3.7</v>
      </c>
      <c r="L2061" t="s">
        <v>23</v>
      </c>
      <c r="M2061" t="s">
        <v>61</v>
      </c>
      <c r="N2061" t="s">
        <v>23</v>
      </c>
      <c r="O2061">
        <v>50</v>
      </c>
      <c r="P2061" t="s">
        <v>58</v>
      </c>
      <c r="Q2061" t="s">
        <v>26</v>
      </c>
      <c r="R2061" s="1">
        <v>0.1</v>
      </c>
      <c r="S2061">
        <f t="shared" si="128"/>
        <v>45</v>
      </c>
      <c r="T2061">
        <f>IFERROR(VLOOKUP(A2061,Table1[[Customer ID]:[Discount Amount]], 6, FALSE),"Not Found")</f>
        <v>50</v>
      </c>
      <c r="U2061" t="str">
        <f t="shared" si="129"/>
        <v>PayPal</v>
      </c>
      <c r="V2061" s="4" t="str">
        <f t="shared" si="130"/>
        <v>Normal</v>
      </c>
      <c r="W2061" s="4" t="str">
        <f t="shared" si="131"/>
        <v>Good</v>
      </c>
      <c r="X2061" s="4">
        <f>AVERAGE(Table1[Purchase Amount])</f>
        <v>129.48419400000012</v>
      </c>
    </row>
    <row r="2062" spans="1:24" ht="15" customHeight="1" x14ac:dyDescent="0.25">
      <c r="A2062">
        <v>2061</v>
      </c>
      <c r="B2062">
        <v>21</v>
      </c>
      <c r="C2062" t="s">
        <v>27</v>
      </c>
      <c r="D2062" t="s">
        <v>114</v>
      </c>
      <c r="E2062" t="s">
        <v>29</v>
      </c>
      <c r="F2062" s="2">
        <v>63</v>
      </c>
      <c r="G2062" t="s">
        <v>59</v>
      </c>
      <c r="H2062" t="s">
        <v>31</v>
      </c>
      <c r="I2062" t="s">
        <v>74</v>
      </c>
      <c r="J2062" t="s">
        <v>47</v>
      </c>
      <c r="K2062">
        <v>3.2</v>
      </c>
      <c r="L2062" t="s">
        <v>23</v>
      </c>
      <c r="M2062" t="s">
        <v>79</v>
      </c>
      <c r="N2062" t="s">
        <v>23</v>
      </c>
      <c r="O2062">
        <v>23</v>
      </c>
      <c r="P2062" t="s">
        <v>88</v>
      </c>
      <c r="Q2062" t="s">
        <v>37</v>
      </c>
      <c r="R2062" s="1">
        <v>0.1</v>
      </c>
      <c r="S2062">
        <f t="shared" si="128"/>
        <v>56.7</v>
      </c>
      <c r="T2062">
        <f>IFERROR(VLOOKUP(A2062,Table1[[Customer ID]:[Discount Amount]], 6, FALSE),"Not Found")</f>
        <v>63</v>
      </c>
      <c r="U2062" t="str">
        <f t="shared" si="129"/>
        <v>Bank Transfer</v>
      </c>
      <c r="V2062" s="4" t="str">
        <f t="shared" si="130"/>
        <v>Normal</v>
      </c>
      <c r="W2062" s="4" t="str">
        <f t="shared" si="131"/>
        <v>Good</v>
      </c>
      <c r="X2062" s="4">
        <f>AVERAGE(Table1[Purchase Amount])</f>
        <v>129.48419400000012</v>
      </c>
    </row>
    <row r="2063" spans="1:24" ht="15" customHeight="1" x14ac:dyDescent="0.25">
      <c r="A2063">
        <v>2062</v>
      </c>
      <c r="B2063">
        <v>32</v>
      </c>
      <c r="C2063" t="s">
        <v>27</v>
      </c>
      <c r="D2063" t="s">
        <v>127</v>
      </c>
      <c r="E2063" t="s">
        <v>18</v>
      </c>
      <c r="F2063" s="2">
        <v>70</v>
      </c>
      <c r="G2063" t="s">
        <v>113</v>
      </c>
      <c r="H2063" t="s">
        <v>55</v>
      </c>
      <c r="I2063" t="s">
        <v>87</v>
      </c>
      <c r="J2063" t="s">
        <v>57</v>
      </c>
      <c r="K2063">
        <v>2.6</v>
      </c>
      <c r="L2063" t="s">
        <v>23</v>
      </c>
      <c r="M2063" t="s">
        <v>48</v>
      </c>
      <c r="N2063" t="s">
        <v>23</v>
      </c>
      <c r="O2063">
        <v>22</v>
      </c>
      <c r="P2063" t="s">
        <v>36</v>
      </c>
      <c r="Q2063" t="s">
        <v>49</v>
      </c>
      <c r="R2063" s="1">
        <v>0.1</v>
      </c>
      <c r="S2063">
        <f t="shared" si="128"/>
        <v>63</v>
      </c>
      <c r="T2063">
        <f>IFERROR(VLOOKUP(A2063,Table1[[Customer ID]:[Discount Amount]], 6, FALSE),"Not Found")</f>
        <v>70</v>
      </c>
      <c r="U2063" t="str">
        <f t="shared" si="129"/>
        <v>Debit Card</v>
      </c>
      <c r="V2063" s="4" t="str">
        <f t="shared" si="130"/>
        <v>Normal</v>
      </c>
      <c r="W2063" s="4" t="str">
        <f t="shared" si="131"/>
        <v>Poor</v>
      </c>
      <c r="X2063" s="4">
        <f>AVERAGE(Table1[Purchase Amount])</f>
        <v>129.48419400000012</v>
      </c>
    </row>
    <row r="2064" spans="1:24" ht="15" customHeight="1" x14ac:dyDescent="0.25">
      <c r="A2064">
        <v>2063</v>
      </c>
      <c r="B2064">
        <v>54</v>
      </c>
      <c r="C2064" t="s">
        <v>27</v>
      </c>
      <c r="D2064" t="s">
        <v>76</v>
      </c>
      <c r="E2064" t="s">
        <v>77</v>
      </c>
      <c r="F2064" s="2">
        <v>63</v>
      </c>
      <c r="G2064" t="s">
        <v>30</v>
      </c>
      <c r="H2064" t="s">
        <v>45</v>
      </c>
      <c r="I2064" t="s">
        <v>153</v>
      </c>
      <c r="J2064" t="s">
        <v>47</v>
      </c>
      <c r="K2064">
        <v>2.8</v>
      </c>
      <c r="L2064" t="s">
        <v>23</v>
      </c>
      <c r="M2064" t="s">
        <v>24</v>
      </c>
      <c r="N2064" t="s">
        <v>23</v>
      </c>
      <c r="O2064">
        <v>15</v>
      </c>
      <c r="P2064" t="s">
        <v>25</v>
      </c>
      <c r="Q2064" t="s">
        <v>37</v>
      </c>
      <c r="R2064" s="1">
        <v>0.1</v>
      </c>
      <c r="S2064">
        <f t="shared" si="128"/>
        <v>56.7</v>
      </c>
      <c r="T2064">
        <f>IFERROR(VLOOKUP(A2064,Table1[[Customer ID]:[Discount Amount]], 6, FALSE),"Not Found")</f>
        <v>63</v>
      </c>
      <c r="U2064" t="str">
        <f t="shared" si="129"/>
        <v>Cash</v>
      </c>
      <c r="V2064" s="4" t="str">
        <f t="shared" si="130"/>
        <v>Normal</v>
      </c>
      <c r="W2064" s="4" t="str">
        <f t="shared" si="131"/>
        <v>Poor</v>
      </c>
      <c r="X2064" s="4">
        <f>AVERAGE(Table1[Purchase Amount])</f>
        <v>129.48419400000012</v>
      </c>
    </row>
    <row r="2065" spans="1:24" ht="15" customHeight="1" x14ac:dyDescent="0.25">
      <c r="A2065">
        <v>2064</v>
      </c>
      <c r="B2065">
        <v>61</v>
      </c>
      <c r="C2065" t="s">
        <v>27</v>
      </c>
      <c r="D2065" t="s">
        <v>54</v>
      </c>
      <c r="E2065" t="s">
        <v>18</v>
      </c>
      <c r="F2065" s="2">
        <v>86</v>
      </c>
      <c r="G2065" t="s">
        <v>102</v>
      </c>
      <c r="H2065" t="s">
        <v>31</v>
      </c>
      <c r="I2065" t="s">
        <v>128</v>
      </c>
      <c r="J2065" t="s">
        <v>47</v>
      </c>
      <c r="K2065">
        <v>2.9</v>
      </c>
      <c r="L2065" t="s">
        <v>23</v>
      </c>
      <c r="M2065" t="s">
        <v>24</v>
      </c>
      <c r="N2065" t="s">
        <v>23</v>
      </c>
      <c r="O2065">
        <v>32</v>
      </c>
      <c r="P2065" t="s">
        <v>25</v>
      </c>
      <c r="Q2065" t="s">
        <v>42</v>
      </c>
      <c r="R2065" s="1">
        <v>0.1</v>
      </c>
      <c r="S2065">
        <f t="shared" si="128"/>
        <v>77.400000000000006</v>
      </c>
      <c r="T2065">
        <f>IFERROR(VLOOKUP(A2065,Table1[[Customer ID]:[Discount Amount]], 6, FALSE),"Not Found")</f>
        <v>86</v>
      </c>
      <c r="U2065" t="str">
        <f t="shared" si="129"/>
        <v>Cash</v>
      </c>
      <c r="V2065" s="4" t="str">
        <f t="shared" si="130"/>
        <v>Normal</v>
      </c>
      <c r="W2065" s="4" t="str">
        <f t="shared" si="131"/>
        <v>Poor</v>
      </c>
      <c r="X2065" s="4">
        <f>AVERAGE(Table1[Purchase Amount])</f>
        <v>129.48419400000012</v>
      </c>
    </row>
    <row r="2066" spans="1:24" ht="15" customHeight="1" x14ac:dyDescent="0.25">
      <c r="A2066">
        <v>2065</v>
      </c>
      <c r="B2066">
        <v>31</v>
      </c>
      <c r="C2066" t="s">
        <v>27</v>
      </c>
      <c r="D2066" t="s">
        <v>72</v>
      </c>
      <c r="E2066" t="s">
        <v>98</v>
      </c>
      <c r="F2066" s="2">
        <v>99</v>
      </c>
      <c r="G2066" t="s">
        <v>100</v>
      </c>
      <c r="H2066" t="s">
        <v>31</v>
      </c>
      <c r="I2066" t="s">
        <v>93</v>
      </c>
      <c r="J2066" t="s">
        <v>57</v>
      </c>
      <c r="K2066">
        <v>4</v>
      </c>
      <c r="L2066" t="s">
        <v>23</v>
      </c>
      <c r="M2066" t="s">
        <v>41</v>
      </c>
      <c r="N2066" t="s">
        <v>23</v>
      </c>
      <c r="O2066">
        <v>5</v>
      </c>
      <c r="P2066" t="s">
        <v>88</v>
      </c>
      <c r="Q2066" t="s">
        <v>42</v>
      </c>
      <c r="R2066" s="1">
        <v>0.1</v>
      </c>
      <c r="S2066">
        <f t="shared" si="128"/>
        <v>89.1</v>
      </c>
      <c r="T2066">
        <f>IFERROR(VLOOKUP(A2066,Table1[[Customer ID]:[Discount Amount]], 6, FALSE),"Not Found")</f>
        <v>99</v>
      </c>
      <c r="U2066" t="str">
        <f t="shared" si="129"/>
        <v>Bank Transfer</v>
      </c>
      <c r="V2066" s="4" t="str">
        <f t="shared" si="130"/>
        <v>Normal</v>
      </c>
      <c r="W2066" s="4" t="str">
        <f t="shared" si="131"/>
        <v>Good</v>
      </c>
      <c r="X2066" s="4">
        <f>AVERAGE(Table1[Purchase Amount])</f>
        <v>129.48419400000012</v>
      </c>
    </row>
    <row r="2067" spans="1:24" ht="15" customHeight="1" x14ac:dyDescent="0.25">
      <c r="A2067">
        <v>2066</v>
      </c>
      <c r="B2067">
        <v>27</v>
      </c>
      <c r="C2067" t="s">
        <v>27</v>
      </c>
      <c r="D2067" t="s">
        <v>140</v>
      </c>
      <c r="E2067" t="s">
        <v>98</v>
      </c>
      <c r="F2067" s="2">
        <v>40</v>
      </c>
      <c r="G2067" t="s">
        <v>123</v>
      </c>
      <c r="H2067" t="s">
        <v>31</v>
      </c>
      <c r="I2067" t="s">
        <v>74</v>
      </c>
      <c r="J2067" t="s">
        <v>33</v>
      </c>
      <c r="K2067">
        <v>2.9</v>
      </c>
      <c r="L2067" t="s">
        <v>23</v>
      </c>
      <c r="M2067" t="s">
        <v>35</v>
      </c>
      <c r="N2067" t="s">
        <v>23</v>
      </c>
      <c r="O2067">
        <v>6</v>
      </c>
      <c r="P2067" t="s">
        <v>88</v>
      </c>
      <c r="Q2067" t="s">
        <v>68</v>
      </c>
      <c r="R2067" s="1">
        <v>0.1</v>
      </c>
      <c r="S2067">
        <f t="shared" si="128"/>
        <v>36</v>
      </c>
      <c r="T2067">
        <f>IFERROR(VLOOKUP(A2067,Table1[[Customer ID]:[Discount Amount]], 6, FALSE),"Not Found")</f>
        <v>40</v>
      </c>
      <c r="U2067" t="str">
        <f t="shared" si="129"/>
        <v>Bank Transfer</v>
      </c>
      <c r="V2067" s="4" t="str">
        <f t="shared" si="130"/>
        <v>Normal</v>
      </c>
      <c r="W2067" s="4" t="str">
        <f t="shared" si="131"/>
        <v>Poor</v>
      </c>
      <c r="X2067" s="4">
        <f>AVERAGE(Table1[Purchase Amount])</f>
        <v>129.48419400000012</v>
      </c>
    </row>
    <row r="2068" spans="1:24" ht="15" customHeight="1" x14ac:dyDescent="0.25">
      <c r="A2068">
        <v>2067</v>
      </c>
      <c r="B2068">
        <v>64</v>
      </c>
      <c r="C2068" t="s">
        <v>27</v>
      </c>
      <c r="D2068" t="s">
        <v>140</v>
      </c>
      <c r="E2068" t="s">
        <v>98</v>
      </c>
      <c r="F2068" s="2">
        <v>92</v>
      </c>
      <c r="G2068" t="s">
        <v>44</v>
      </c>
      <c r="H2068" t="s">
        <v>31</v>
      </c>
      <c r="I2068" t="s">
        <v>21</v>
      </c>
      <c r="J2068" t="s">
        <v>47</v>
      </c>
      <c r="K2068">
        <v>4.7</v>
      </c>
      <c r="L2068" t="s">
        <v>23</v>
      </c>
      <c r="M2068" t="s">
        <v>48</v>
      </c>
      <c r="N2068" t="s">
        <v>23</v>
      </c>
      <c r="O2068">
        <v>44</v>
      </c>
      <c r="P2068" t="s">
        <v>36</v>
      </c>
      <c r="Q2068" t="s">
        <v>89</v>
      </c>
      <c r="R2068" s="1">
        <v>0.1</v>
      </c>
      <c r="S2068">
        <f t="shared" si="128"/>
        <v>82.8</v>
      </c>
      <c r="T2068">
        <f>IFERROR(VLOOKUP(A2068,Table1[[Customer ID]:[Discount Amount]], 6, FALSE),"Not Found")</f>
        <v>92</v>
      </c>
      <c r="U2068" t="str">
        <f t="shared" si="129"/>
        <v>Debit Card</v>
      </c>
      <c r="V2068" s="4" t="str">
        <f t="shared" si="130"/>
        <v>Normal</v>
      </c>
      <c r="W2068" s="4" t="str">
        <f t="shared" si="131"/>
        <v>Good</v>
      </c>
      <c r="X2068" s="4">
        <f>AVERAGE(Table1[Purchase Amount])</f>
        <v>129.48419400000012</v>
      </c>
    </row>
    <row r="2069" spans="1:24" ht="15" customHeight="1" x14ac:dyDescent="0.25">
      <c r="A2069">
        <v>2068</v>
      </c>
      <c r="B2069">
        <v>60</v>
      </c>
      <c r="C2069" t="s">
        <v>27</v>
      </c>
      <c r="D2069" t="s">
        <v>99</v>
      </c>
      <c r="E2069" t="s">
        <v>18</v>
      </c>
      <c r="F2069" s="2">
        <v>21</v>
      </c>
      <c r="G2069" t="s">
        <v>106</v>
      </c>
      <c r="H2069" t="s">
        <v>20</v>
      </c>
      <c r="I2069" t="s">
        <v>56</v>
      </c>
      <c r="J2069" t="s">
        <v>47</v>
      </c>
      <c r="K2069">
        <v>3.1</v>
      </c>
      <c r="L2069" t="s">
        <v>23</v>
      </c>
      <c r="M2069" t="s">
        <v>41</v>
      </c>
      <c r="N2069" t="s">
        <v>23</v>
      </c>
      <c r="O2069">
        <v>23</v>
      </c>
      <c r="P2069" t="s">
        <v>25</v>
      </c>
      <c r="Q2069" t="s">
        <v>89</v>
      </c>
      <c r="R2069" s="1">
        <v>0.1</v>
      </c>
      <c r="S2069">
        <f t="shared" si="128"/>
        <v>18.899999999999999</v>
      </c>
      <c r="T2069">
        <f>IFERROR(VLOOKUP(A2069,Table1[[Customer ID]:[Discount Amount]], 6, FALSE),"Not Found")</f>
        <v>21</v>
      </c>
      <c r="U2069" t="str">
        <f t="shared" si="129"/>
        <v>Cash</v>
      </c>
      <c r="V2069" s="4" t="str">
        <f t="shared" si="130"/>
        <v>Normal</v>
      </c>
      <c r="W2069" s="4" t="str">
        <f t="shared" si="131"/>
        <v>Good</v>
      </c>
      <c r="X2069" s="4">
        <f>AVERAGE(Table1[Purchase Amount])</f>
        <v>129.48419400000012</v>
      </c>
    </row>
    <row r="2070" spans="1:24" ht="15" customHeight="1" x14ac:dyDescent="0.25">
      <c r="A2070">
        <v>2069</v>
      </c>
      <c r="B2070">
        <v>70</v>
      </c>
      <c r="C2070" t="s">
        <v>27</v>
      </c>
      <c r="D2070" t="s">
        <v>50</v>
      </c>
      <c r="E2070" t="s">
        <v>29</v>
      </c>
      <c r="F2070" s="2">
        <v>81</v>
      </c>
      <c r="G2070" t="s">
        <v>84</v>
      </c>
      <c r="H2070" t="s">
        <v>20</v>
      </c>
      <c r="I2070" t="s">
        <v>40</v>
      </c>
      <c r="J2070" t="s">
        <v>57</v>
      </c>
      <c r="K2070">
        <v>3.9</v>
      </c>
      <c r="L2070" t="s">
        <v>23</v>
      </c>
      <c r="M2070" t="s">
        <v>48</v>
      </c>
      <c r="N2070" t="s">
        <v>23</v>
      </c>
      <c r="O2070">
        <v>44</v>
      </c>
      <c r="P2070" t="s">
        <v>62</v>
      </c>
      <c r="Q2070" t="s">
        <v>42</v>
      </c>
      <c r="R2070" s="1">
        <v>0.1</v>
      </c>
      <c r="S2070">
        <f t="shared" si="128"/>
        <v>72.900000000000006</v>
      </c>
      <c r="T2070">
        <f>IFERROR(VLOOKUP(A2070,Table1[[Customer ID]:[Discount Amount]], 6, FALSE),"Not Found")</f>
        <v>81</v>
      </c>
      <c r="U2070" t="str">
        <f t="shared" si="129"/>
        <v>Venmo</v>
      </c>
      <c r="V2070" s="4" t="str">
        <f t="shared" si="130"/>
        <v>Normal</v>
      </c>
      <c r="W2070" s="4" t="str">
        <f t="shared" si="131"/>
        <v>Good</v>
      </c>
      <c r="X2070" s="4">
        <f>AVERAGE(Table1[Purchase Amount])</f>
        <v>129.48419400000012</v>
      </c>
    </row>
    <row r="2071" spans="1:24" ht="15" customHeight="1" x14ac:dyDescent="0.25">
      <c r="A2071">
        <v>2070</v>
      </c>
      <c r="B2071">
        <v>36</v>
      </c>
      <c r="C2071" t="s">
        <v>27</v>
      </c>
      <c r="D2071" t="s">
        <v>17</v>
      </c>
      <c r="E2071" t="s">
        <v>18</v>
      </c>
      <c r="F2071" s="2">
        <v>82</v>
      </c>
      <c r="G2071" t="s">
        <v>152</v>
      </c>
      <c r="H2071" t="s">
        <v>31</v>
      </c>
      <c r="I2071" t="s">
        <v>91</v>
      </c>
      <c r="J2071" t="s">
        <v>47</v>
      </c>
      <c r="K2071">
        <v>3.4</v>
      </c>
      <c r="L2071" t="s">
        <v>23</v>
      </c>
      <c r="M2071" t="s">
        <v>35</v>
      </c>
      <c r="N2071" t="s">
        <v>23</v>
      </c>
      <c r="O2071">
        <v>3</v>
      </c>
      <c r="P2071" t="s">
        <v>36</v>
      </c>
      <c r="Q2071" t="s">
        <v>37</v>
      </c>
      <c r="R2071" s="1">
        <v>0.1</v>
      </c>
      <c r="S2071">
        <f t="shared" si="128"/>
        <v>73.8</v>
      </c>
      <c r="T2071">
        <f>IFERROR(VLOOKUP(A2071,Table1[[Customer ID]:[Discount Amount]], 6, FALSE),"Not Found")</f>
        <v>82</v>
      </c>
      <c r="U2071" t="str">
        <f t="shared" si="129"/>
        <v>Debit Card</v>
      </c>
      <c r="V2071" s="4" t="str">
        <f t="shared" si="130"/>
        <v>Normal</v>
      </c>
      <c r="W2071" s="4" t="str">
        <f t="shared" si="131"/>
        <v>Good</v>
      </c>
      <c r="X2071" s="4">
        <f>AVERAGE(Table1[Purchase Amount])</f>
        <v>129.48419400000012</v>
      </c>
    </row>
    <row r="2072" spans="1:24" ht="15" customHeight="1" x14ac:dyDescent="0.25">
      <c r="A2072">
        <v>2071</v>
      </c>
      <c r="B2072">
        <v>56</v>
      </c>
      <c r="C2072" t="s">
        <v>27</v>
      </c>
      <c r="D2072" t="s">
        <v>50</v>
      </c>
      <c r="E2072" t="s">
        <v>29</v>
      </c>
      <c r="F2072" s="2">
        <v>88</v>
      </c>
      <c r="G2072" t="s">
        <v>137</v>
      </c>
      <c r="H2072" t="s">
        <v>20</v>
      </c>
      <c r="I2072" t="s">
        <v>46</v>
      </c>
      <c r="J2072" t="s">
        <v>33</v>
      </c>
      <c r="K2072">
        <v>3.1</v>
      </c>
      <c r="L2072" t="s">
        <v>23</v>
      </c>
      <c r="M2072" t="s">
        <v>61</v>
      </c>
      <c r="N2072" t="s">
        <v>23</v>
      </c>
      <c r="O2072">
        <v>14</v>
      </c>
      <c r="P2072" t="s">
        <v>25</v>
      </c>
      <c r="Q2072" t="s">
        <v>42</v>
      </c>
      <c r="R2072" s="1">
        <v>0.1</v>
      </c>
      <c r="S2072">
        <f t="shared" si="128"/>
        <v>79.2</v>
      </c>
      <c r="T2072">
        <f>IFERROR(VLOOKUP(A2072,Table1[[Customer ID]:[Discount Amount]], 6, FALSE),"Not Found")</f>
        <v>88</v>
      </c>
      <c r="U2072" t="str">
        <f t="shared" si="129"/>
        <v>Cash</v>
      </c>
      <c r="V2072" s="4" t="str">
        <f t="shared" si="130"/>
        <v>Normal</v>
      </c>
      <c r="W2072" s="4" t="str">
        <f t="shared" si="131"/>
        <v>Good</v>
      </c>
      <c r="X2072" s="4">
        <f>AVERAGE(Table1[Purchase Amount])</f>
        <v>129.48419400000012</v>
      </c>
    </row>
    <row r="2073" spans="1:24" ht="15" customHeight="1" x14ac:dyDescent="0.25">
      <c r="A2073">
        <v>2072</v>
      </c>
      <c r="B2073">
        <v>69</v>
      </c>
      <c r="C2073" t="s">
        <v>27</v>
      </c>
      <c r="D2073" t="s">
        <v>96</v>
      </c>
      <c r="E2073" t="s">
        <v>77</v>
      </c>
      <c r="F2073" s="2">
        <v>100</v>
      </c>
      <c r="G2073" t="s">
        <v>30</v>
      </c>
      <c r="H2073" t="s">
        <v>55</v>
      </c>
      <c r="I2073" t="s">
        <v>52</v>
      </c>
      <c r="J2073" t="s">
        <v>47</v>
      </c>
      <c r="K2073">
        <v>4.8</v>
      </c>
      <c r="L2073" t="s">
        <v>23</v>
      </c>
      <c r="M2073" t="s">
        <v>48</v>
      </c>
      <c r="N2073" t="s">
        <v>23</v>
      </c>
      <c r="O2073">
        <v>37</v>
      </c>
      <c r="P2073" t="s">
        <v>58</v>
      </c>
      <c r="Q2073" t="s">
        <v>37</v>
      </c>
      <c r="R2073" s="1">
        <v>0.1</v>
      </c>
      <c r="S2073">
        <f t="shared" si="128"/>
        <v>90</v>
      </c>
      <c r="T2073">
        <f>IFERROR(VLOOKUP(A2073,Table1[[Customer ID]:[Discount Amount]], 6, FALSE),"Not Found")</f>
        <v>100</v>
      </c>
      <c r="U2073" t="str">
        <f t="shared" si="129"/>
        <v>PayPal</v>
      </c>
      <c r="V2073" s="4" t="str">
        <f t="shared" si="130"/>
        <v>Normal</v>
      </c>
      <c r="W2073" s="4" t="str">
        <f t="shared" si="131"/>
        <v>Good</v>
      </c>
      <c r="X2073" s="4">
        <f>AVERAGE(Table1[Purchase Amount])</f>
        <v>129.48419400000012</v>
      </c>
    </row>
    <row r="2074" spans="1:24" ht="15" customHeight="1" x14ac:dyDescent="0.25">
      <c r="A2074">
        <v>2073</v>
      </c>
      <c r="B2074">
        <v>39</v>
      </c>
      <c r="C2074" t="s">
        <v>27</v>
      </c>
      <c r="D2074" t="s">
        <v>104</v>
      </c>
      <c r="E2074" t="s">
        <v>29</v>
      </c>
      <c r="F2074" s="2">
        <v>66</v>
      </c>
      <c r="G2074" t="s">
        <v>97</v>
      </c>
      <c r="H2074" t="s">
        <v>31</v>
      </c>
      <c r="I2074" t="s">
        <v>56</v>
      </c>
      <c r="J2074" t="s">
        <v>22</v>
      </c>
      <c r="K2074">
        <v>3.9</v>
      </c>
      <c r="L2074" t="s">
        <v>23</v>
      </c>
      <c r="M2074" t="s">
        <v>79</v>
      </c>
      <c r="N2074" t="s">
        <v>23</v>
      </c>
      <c r="O2074">
        <v>22</v>
      </c>
      <c r="P2074" t="s">
        <v>88</v>
      </c>
      <c r="Q2074" t="s">
        <v>26</v>
      </c>
      <c r="R2074" s="1">
        <v>0.1</v>
      </c>
      <c r="S2074">
        <f t="shared" si="128"/>
        <v>59.4</v>
      </c>
      <c r="T2074">
        <f>IFERROR(VLOOKUP(A2074,Table1[[Customer ID]:[Discount Amount]], 6, FALSE),"Not Found")</f>
        <v>66</v>
      </c>
      <c r="U2074" t="str">
        <f t="shared" si="129"/>
        <v>Bank Transfer</v>
      </c>
      <c r="V2074" s="4" t="str">
        <f t="shared" si="130"/>
        <v>Normal</v>
      </c>
      <c r="W2074" s="4" t="str">
        <f t="shared" si="131"/>
        <v>Good</v>
      </c>
      <c r="X2074" s="4">
        <f>AVERAGE(Table1[Purchase Amount])</f>
        <v>129.48419400000012</v>
      </c>
    </row>
    <row r="2075" spans="1:24" ht="15" customHeight="1" x14ac:dyDescent="0.25">
      <c r="A2075">
        <v>2074</v>
      </c>
      <c r="B2075">
        <v>38</v>
      </c>
      <c r="C2075" t="s">
        <v>27</v>
      </c>
      <c r="D2075" t="s">
        <v>114</v>
      </c>
      <c r="E2075" t="s">
        <v>29</v>
      </c>
      <c r="F2075" s="2">
        <v>25</v>
      </c>
      <c r="G2075" t="s">
        <v>152</v>
      </c>
      <c r="H2075" t="s">
        <v>55</v>
      </c>
      <c r="I2075" t="s">
        <v>93</v>
      </c>
      <c r="J2075" t="s">
        <v>22</v>
      </c>
      <c r="K2075">
        <v>3.5</v>
      </c>
      <c r="L2075" t="s">
        <v>23</v>
      </c>
      <c r="M2075" t="s">
        <v>79</v>
      </c>
      <c r="N2075" t="s">
        <v>23</v>
      </c>
      <c r="O2075">
        <v>2</v>
      </c>
      <c r="P2075" t="s">
        <v>58</v>
      </c>
      <c r="Q2075" t="s">
        <v>63</v>
      </c>
      <c r="R2075" s="1">
        <v>0.1</v>
      </c>
      <c r="S2075">
        <f t="shared" si="128"/>
        <v>22.5</v>
      </c>
      <c r="T2075">
        <f>IFERROR(VLOOKUP(A2075,Table1[[Customer ID]:[Discount Amount]], 6, FALSE),"Not Found")</f>
        <v>25</v>
      </c>
      <c r="U2075" t="str">
        <f t="shared" si="129"/>
        <v>PayPal</v>
      </c>
      <c r="V2075" s="4" t="str">
        <f t="shared" si="130"/>
        <v>Normal</v>
      </c>
      <c r="W2075" s="4" t="str">
        <f t="shared" si="131"/>
        <v>Good</v>
      </c>
      <c r="X2075" s="4">
        <f>AVERAGE(Table1[Purchase Amount])</f>
        <v>129.48419400000012</v>
      </c>
    </row>
    <row r="2076" spans="1:24" ht="15" customHeight="1" x14ac:dyDescent="0.25">
      <c r="A2076">
        <v>2075</v>
      </c>
      <c r="B2076">
        <v>36</v>
      </c>
      <c r="C2076" t="s">
        <v>27</v>
      </c>
      <c r="D2076" t="s">
        <v>129</v>
      </c>
      <c r="E2076" t="s">
        <v>29</v>
      </c>
      <c r="F2076" s="2">
        <v>53</v>
      </c>
      <c r="G2076" t="s">
        <v>67</v>
      </c>
      <c r="H2076" t="s">
        <v>31</v>
      </c>
      <c r="I2076" t="s">
        <v>32</v>
      </c>
      <c r="J2076" t="s">
        <v>57</v>
      </c>
      <c r="K2076">
        <v>3.1</v>
      </c>
      <c r="L2076" t="s">
        <v>23</v>
      </c>
      <c r="M2076" t="s">
        <v>35</v>
      </c>
      <c r="N2076" t="s">
        <v>23</v>
      </c>
      <c r="O2076">
        <v>44</v>
      </c>
      <c r="P2076" t="s">
        <v>36</v>
      </c>
      <c r="Q2076" t="s">
        <v>89</v>
      </c>
      <c r="R2076" s="1">
        <v>0.1</v>
      </c>
      <c r="S2076">
        <f t="shared" si="128"/>
        <v>47.7</v>
      </c>
      <c r="T2076">
        <f>IFERROR(VLOOKUP(A2076,Table1[[Customer ID]:[Discount Amount]], 6, FALSE),"Not Found")</f>
        <v>53</v>
      </c>
      <c r="U2076" t="str">
        <f t="shared" si="129"/>
        <v>Debit Card</v>
      </c>
      <c r="V2076" s="4" t="str">
        <f t="shared" si="130"/>
        <v>Normal</v>
      </c>
      <c r="W2076" s="4" t="str">
        <f t="shared" si="131"/>
        <v>Good</v>
      </c>
      <c r="X2076" s="4">
        <f>AVERAGE(Table1[Purchase Amount])</f>
        <v>129.48419400000012</v>
      </c>
    </row>
    <row r="2077" spans="1:24" ht="15" customHeight="1" x14ac:dyDescent="0.25">
      <c r="A2077">
        <v>2076</v>
      </c>
      <c r="B2077">
        <v>46</v>
      </c>
      <c r="C2077" t="s">
        <v>27</v>
      </c>
      <c r="D2077" t="s">
        <v>127</v>
      </c>
      <c r="E2077" t="s">
        <v>18</v>
      </c>
      <c r="F2077" s="2">
        <v>28</v>
      </c>
      <c r="G2077" t="s">
        <v>30</v>
      </c>
      <c r="H2077" t="s">
        <v>55</v>
      </c>
      <c r="I2077" t="s">
        <v>156</v>
      </c>
      <c r="J2077" t="s">
        <v>47</v>
      </c>
      <c r="K2077">
        <v>4.7</v>
      </c>
      <c r="L2077" t="s">
        <v>23</v>
      </c>
      <c r="M2077" t="s">
        <v>61</v>
      </c>
      <c r="N2077" t="s">
        <v>23</v>
      </c>
      <c r="O2077">
        <v>49</v>
      </c>
      <c r="P2077" t="s">
        <v>36</v>
      </c>
      <c r="Q2077" t="s">
        <v>42</v>
      </c>
      <c r="R2077" s="1">
        <v>0.1</v>
      </c>
      <c r="S2077">
        <f t="shared" si="128"/>
        <v>25.2</v>
      </c>
      <c r="T2077">
        <f>IFERROR(VLOOKUP(A2077,Table1[[Customer ID]:[Discount Amount]], 6, FALSE),"Not Found")</f>
        <v>28</v>
      </c>
      <c r="U2077" t="str">
        <f t="shared" si="129"/>
        <v>Debit Card</v>
      </c>
      <c r="V2077" s="4" t="str">
        <f t="shared" si="130"/>
        <v>Normal</v>
      </c>
      <c r="W2077" s="4" t="str">
        <f t="shared" si="131"/>
        <v>Good</v>
      </c>
      <c r="X2077" s="4">
        <f>AVERAGE(Table1[Purchase Amount])</f>
        <v>129.48419400000012</v>
      </c>
    </row>
    <row r="2078" spans="1:24" ht="15" customHeight="1" x14ac:dyDescent="0.25">
      <c r="A2078">
        <v>2077</v>
      </c>
      <c r="B2078">
        <v>59</v>
      </c>
      <c r="C2078" t="s">
        <v>27</v>
      </c>
      <c r="D2078" t="s">
        <v>43</v>
      </c>
      <c r="E2078" t="s">
        <v>29</v>
      </c>
      <c r="F2078" s="2">
        <v>23</v>
      </c>
      <c r="G2078" t="s">
        <v>67</v>
      </c>
      <c r="H2078" t="s">
        <v>55</v>
      </c>
      <c r="I2078" t="s">
        <v>91</v>
      </c>
      <c r="J2078" t="s">
        <v>47</v>
      </c>
      <c r="K2078">
        <v>4.5999999999999996</v>
      </c>
      <c r="L2078" t="s">
        <v>23</v>
      </c>
      <c r="M2078" t="s">
        <v>35</v>
      </c>
      <c r="N2078" t="s">
        <v>23</v>
      </c>
      <c r="O2078">
        <v>22</v>
      </c>
      <c r="P2078" t="s">
        <v>36</v>
      </c>
      <c r="Q2078" t="s">
        <v>68</v>
      </c>
      <c r="R2078" s="1">
        <v>0.1</v>
      </c>
      <c r="S2078">
        <f t="shared" si="128"/>
        <v>20.7</v>
      </c>
      <c r="T2078">
        <f>IFERROR(VLOOKUP(A2078,Table1[[Customer ID]:[Discount Amount]], 6, FALSE),"Not Found")</f>
        <v>23</v>
      </c>
      <c r="U2078" t="str">
        <f t="shared" si="129"/>
        <v>Debit Card</v>
      </c>
      <c r="V2078" s="4" t="str">
        <f t="shared" si="130"/>
        <v>Normal</v>
      </c>
      <c r="W2078" s="4" t="str">
        <f t="shared" si="131"/>
        <v>Good</v>
      </c>
      <c r="X2078" s="4">
        <f>AVERAGE(Table1[Purchase Amount])</f>
        <v>129.48419400000012</v>
      </c>
    </row>
    <row r="2079" spans="1:24" ht="15" customHeight="1" x14ac:dyDescent="0.25">
      <c r="A2079">
        <v>2078</v>
      </c>
      <c r="B2079">
        <v>64</v>
      </c>
      <c r="C2079" t="s">
        <v>27</v>
      </c>
      <c r="D2079" t="s">
        <v>129</v>
      </c>
      <c r="E2079" t="s">
        <v>29</v>
      </c>
      <c r="F2079" s="2">
        <v>34</v>
      </c>
      <c r="G2079" t="s">
        <v>137</v>
      </c>
      <c r="H2079" t="s">
        <v>45</v>
      </c>
      <c r="I2079" t="s">
        <v>108</v>
      </c>
      <c r="J2079" t="s">
        <v>47</v>
      </c>
      <c r="K2079">
        <v>3.3</v>
      </c>
      <c r="L2079" t="s">
        <v>23</v>
      </c>
      <c r="M2079" t="s">
        <v>35</v>
      </c>
      <c r="N2079" t="s">
        <v>23</v>
      </c>
      <c r="O2079">
        <v>26</v>
      </c>
      <c r="P2079" t="s">
        <v>88</v>
      </c>
      <c r="Q2079" t="s">
        <v>49</v>
      </c>
      <c r="R2079" s="1">
        <v>0.1</v>
      </c>
      <c r="S2079">
        <f t="shared" si="128"/>
        <v>30.6</v>
      </c>
      <c r="T2079">
        <f>IFERROR(VLOOKUP(A2079,Table1[[Customer ID]:[Discount Amount]], 6, FALSE),"Not Found")</f>
        <v>34</v>
      </c>
      <c r="U2079" t="str">
        <f t="shared" si="129"/>
        <v>Bank Transfer</v>
      </c>
      <c r="V2079" s="4" t="str">
        <f t="shared" si="130"/>
        <v>Normal</v>
      </c>
      <c r="W2079" s="4" t="str">
        <f t="shared" si="131"/>
        <v>Good</v>
      </c>
      <c r="X2079" s="4">
        <f>AVERAGE(Table1[Purchase Amount])</f>
        <v>129.48419400000012</v>
      </c>
    </row>
    <row r="2080" spans="1:24" ht="15" customHeight="1" x14ac:dyDescent="0.25">
      <c r="A2080">
        <v>2079</v>
      </c>
      <c r="B2080">
        <v>49</v>
      </c>
      <c r="C2080" t="s">
        <v>27</v>
      </c>
      <c r="D2080" t="s">
        <v>157</v>
      </c>
      <c r="E2080" t="s">
        <v>18</v>
      </c>
      <c r="F2080" s="2">
        <v>42</v>
      </c>
      <c r="G2080" t="s">
        <v>135</v>
      </c>
      <c r="H2080" t="s">
        <v>31</v>
      </c>
      <c r="I2080" t="s">
        <v>74</v>
      </c>
      <c r="J2080" t="s">
        <v>33</v>
      </c>
      <c r="K2080">
        <v>3.2</v>
      </c>
      <c r="L2080" t="s">
        <v>23</v>
      </c>
      <c r="M2080" t="s">
        <v>79</v>
      </c>
      <c r="N2080" t="s">
        <v>23</v>
      </c>
      <c r="O2080">
        <v>40</v>
      </c>
      <c r="P2080" t="s">
        <v>36</v>
      </c>
      <c r="Q2080" t="s">
        <v>26</v>
      </c>
      <c r="R2080" s="1">
        <v>0.1</v>
      </c>
      <c r="S2080">
        <f t="shared" si="128"/>
        <v>37.799999999999997</v>
      </c>
      <c r="T2080">
        <f>IFERROR(VLOOKUP(A2080,Table1[[Customer ID]:[Discount Amount]], 6, FALSE),"Not Found")</f>
        <v>42</v>
      </c>
      <c r="U2080" t="str">
        <f t="shared" si="129"/>
        <v>Debit Card</v>
      </c>
      <c r="V2080" s="4" t="str">
        <f t="shared" si="130"/>
        <v>Normal</v>
      </c>
      <c r="W2080" s="4" t="str">
        <f t="shared" si="131"/>
        <v>Good</v>
      </c>
      <c r="X2080" s="4">
        <f>AVERAGE(Table1[Purchase Amount])</f>
        <v>129.48419400000012</v>
      </c>
    </row>
    <row r="2081" spans="1:24" ht="15" customHeight="1" x14ac:dyDescent="0.25">
      <c r="A2081">
        <v>2080</v>
      </c>
      <c r="B2081">
        <v>32</v>
      </c>
      <c r="C2081" t="s">
        <v>27</v>
      </c>
      <c r="D2081" t="s">
        <v>109</v>
      </c>
      <c r="E2081" t="s">
        <v>18</v>
      </c>
      <c r="F2081" s="2">
        <v>24</v>
      </c>
      <c r="G2081" t="s">
        <v>39</v>
      </c>
      <c r="H2081" t="s">
        <v>45</v>
      </c>
      <c r="I2081" t="s">
        <v>111</v>
      </c>
      <c r="J2081" t="s">
        <v>57</v>
      </c>
      <c r="K2081">
        <v>3.1</v>
      </c>
      <c r="L2081" t="s">
        <v>23</v>
      </c>
      <c r="M2081" t="s">
        <v>79</v>
      </c>
      <c r="N2081" t="s">
        <v>23</v>
      </c>
      <c r="O2081">
        <v>16</v>
      </c>
      <c r="P2081" t="s">
        <v>58</v>
      </c>
      <c r="Q2081" t="s">
        <v>37</v>
      </c>
      <c r="R2081" s="1">
        <v>0.1</v>
      </c>
      <c r="S2081">
        <f t="shared" si="128"/>
        <v>21.6</v>
      </c>
      <c r="T2081">
        <f>IFERROR(VLOOKUP(A2081,Table1[[Customer ID]:[Discount Amount]], 6, FALSE),"Not Found")</f>
        <v>24</v>
      </c>
      <c r="U2081" t="str">
        <f t="shared" si="129"/>
        <v>PayPal</v>
      </c>
      <c r="V2081" s="4" t="str">
        <f t="shared" si="130"/>
        <v>Normal</v>
      </c>
      <c r="W2081" s="4" t="str">
        <f t="shared" si="131"/>
        <v>Good</v>
      </c>
      <c r="X2081" s="4">
        <f>AVERAGE(Table1[Purchase Amount])</f>
        <v>129.48419400000012</v>
      </c>
    </row>
    <row r="2082" spans="1:24" ht="15" customHeight="1" x14ac:dyDescent="0.25">
      <c r="A2082">
        <v>2081</v>
      </c>
      <c r="B2082">
        <v>29</v>
      </c>
      <c r="C2082" t="s">
        <v>27</v>
      </c>
      <c r="D2082" t="s">
        <v>28</v>
      </c>
      <c r="E2082" t="s">
        <v>29</v>
      </c>
      <c r="F2082" s="2">
        <v>47</v>
      </c>
      <c r="G2082" t="s">
        <v>130</v>
      </c>
      <c r="H2082" t="s">
        <v>55</v>
      </c>
      <c r="I2082" t="s">
        <v>85</v>
      </c>
      <c r="J2082" t="s">
        <v>47</v>
      </c>
      <c r="K2082">
        <v>3.5</v>
      </c>
      <c r="L2082" t="s">
        <v>23</v>
      </c>
      <c r="M2082" t="s">
        <v>35</v>
      </c>
      <c r="N2082" t="s">
        <v>23</v>
      </c>
      <c r="O2082">
        <v>17</v>
      </c>
      <c r="P2082" t="s">
        <v>36</v>
      </c>
      <c r="Q2082" t="s">
        <v>68</v>
      </c>
      <c r="R2082" s="1">
        <v>0.1</v>
      </c>
      <c r="S2082">
        <f t="shared" si="128"/>
        <v>42.3</v>
      </c>
      <c r="T2082">
        <f>IFERROR(VLOOKUP(A2082,Table1[[Customer ID]:[Discount Amount]], 6, FALSE),"Not Found")</f>
        <v>47</v>
      </c>
      <c r="U2082" t="str">
        <f t="shared" si="129"/>
        <v>Debit Card</v>
      </c>
      <c r="V2082" s="4" t="str">
        <f t="shared" si="130"/>
        <v>Normal</v>
      </c>
      <c r="W2082" s="4" t="str">
        <f t="shared" si="131"/>
        <v>Good</v>
      </c>
      <c r="X2082" s="4">
        <f>AVERAGE(Table1[Purchase Amount])</f>
        <v>129.48419400000012</v>
      </c>
    </row>
    <row r="2083" spans="1:24" ht="15" customHeight="1" x14ac:dyDescent="0.25">
      <c r="A2083">
        <v>2082</v>
      </c>
      <c r="B2083">
        <v>24</v>
      </c>
      <c r="C2083" t="s">
        <v>27</v>
      </c>
      <c r="D2083" t="s">
        <v>76</v>
      </c>
      <c r="E2083" t="s">
        <v>77</v>
      </c>
      <c r="F2083" s="2">
        <v>78</v>
      </c>
      <c r="G2083" t="s">
        <v>51</v>
      </c>
      <c r="H2083" t="s">
        <v>55</v>
      </c>
      <c r="I2083" t="s">
        <v>128</v>
      </c>
      <c r="J2083" t="s">
        <v>33</v>
      </c>
      <c r="K2083">
        <v>4.3</v>
      </c>
      <c r="L2083" t="s">
        <v>23</v>
      </c>
      <c r="M2083" t="s">
        <v>24</v>
      </c>
      <c r="N2083" t="s">
        <v>23</v>
      </c>
      <c r="O2083">
        <v>48</v>
      </c>
      <c r="P2083" t="s">
        <v>88</v>
      </c>
      <c r="Q2083" t="s">
        <v>68</v>
      </c>
      <c r="R2083" s="1">
        <v>0.1</v>
      </c>
      <c r="S2083">
        <f t="shared" si="128"/>
        <v>70.2</v>
      </c>
      <c r="T2083">
        <f>IFERROR(VLOOKUP(A2083,Table1[[Customer ID]:[Discount Amount]], 6, FALSE),"Not Found")</f>
        <v>78</v>
      </c>
      <c r="U2083" t="str">
        <f t="shared" si="129"/>
        <v>Bank Transfer</v>
      </c>
      <c r="V2083" s="4" t="str">
        <f t="shared" si="130"/>
        <v>Normal</v>
      </c>
      <c r="W2083" s="4" t="str">
        <f t="shared" si="131"/>
        <v>Good</v>
      </c>
      <c r="X2083" s="4">
        <f>AVERAGE(Table1[Purchase Amount])</f>
        <v>129.48419400000012</v>
      </c>
    </row>
    <row r="2084" spans="1:24" ht="15" customHeight="1" x14ac:dyDescent="0.25">
      <c r="A2084">
        <v>2083</v>
      </c>
      <c r="B2084">
        <v>41</v>
      </c>
      <c r="C2084" t="s">
        <v>27</v>
      </c>
      <c r="D2084" t="s">
        <v>109</v>
      </c>
      <c r="E2084" t="s">
        <v>18</v>
      </c>
      <c r="F2084" s="2">
        <v>89</v>
      </c>
      <c r="G2084" t="s">
        <v>100</v>
      </c>
      <c r="H2084" t="s">
        <v>31</v>
      </c>
      <c r="I2084" t="s">
        <v>52</v>
      </c>
      <c r="J2084" t="s">
        <v>57</v>
      </c>
      <c r="K2084">
        <v>2.9</v>
      </c>
      <c r="L2084" t="s">
        <v>23</v>
      </c>
      <c r="M2084" t="s">
        <v>35</v>
      </c>
      <c r="N2084" t="s">
        <v>23</v>
      </c>
      <c r="O2084">
        <v>28</v>
      </c>
      <c r="P2084" t="s">
        <v>62</v>
      </c>
      <c r="Q2084" t="s">
        <v>63</v>
      </c>
      <c r="R2084" s="1">
        <v>0.1</v>
      </c>
      <c r="S2084">
        <f t="shared" si="128"/>
        <v>80.099999999999994</v>
      </c>
      <c r="T2084">
        <f>IFERROR(VLOOKUP(A2084,Table1[[Customer ID]:[Discount Amount]], 6, FALSE),"Not Found")</f>
        <v>89</v>
      </c>
      <c r="U2084" t="str">
        <f t="shared" si="129"/>
        <v>Venmo</v>
      </c>
      <c r="V2084" s="4" t="str">
        <f t="shared" si="130"/>
        <v>Normal</v>
      </c>
      <c r="W2084" s="4" t="str">
        <f t="shared" si="131"/>
        <v>Poor</v>
      </c>
      <c r="X2084" s="4">
        <f>AVERAGE(Table1[Purchase Amount])</f>
        <v>129.48419400000012</v>
      </c>
    </row>
    <row r="2085" spans="1:24" ht="15" customHeight="1" x14ac:dyDescent="0.25">
      <c r="A2085">
        <v>2084</v>
      </c>
      <c r="B2085">
        <v>41</v>
      </c>
      <c r="C2085" t="s">
        <v>27</v>
      </c>
      <c r="D2085" t="s">
        <v>129</v>
      </c>
      <c r="E2085" t="s">
        <v>29</v>
      </c>
      <c r="F2085" s="2">
        <v>59</v>
      </c>
      <c r="G2085" t="s">
        <v>149</v>
      </c>
      <c r="H2085" t="s">
        <v>45</v>
      </c>
      <c r="I2085" t="s">
        <v>108</v>
      </c>
      <c r="J2085" t="s">
        <v>47</v>
      </c>
      <c r="K2085">
        <v>2.7</v>
      </c>
      <c r="L2085" t="s">
        <v>23</v>
      </c>
      <c r="M2085" t="s">
        <v>48</v>
      </c>
      <c r="N2085" t="s">
        <v>23</v>
      </c>
      <c r="O2085">
        <v>26</v>
      </c>
      <c r="P2085" t="s">
        <v>53</v>
      </c>
      <c r="Q2085" t="s">
        <v>89</v>
      </c>
      <c r="R2085" s="1">
        <v>0.1</v>
      </c>
      <c r="S2085">
        <f t="shared" si="128"/>
        <v>53.1</v>
      </c>
      <c r="T2085">
        <f>IFERROR(VLOOKUP(A2085,Table1[[Customer ID]:[Discount Amount]], 6, FALSE),"Not Found")</f>
        <v>59</v>
      </c>
      <c r="U2085" t="str">
        <f t="shared" si="129"/>
        <v>Credit Card</v>
      </c>
      <c r="V2085" s="4" t="str">
        <f t="shared" si="130"/>
        <v>Normal</v>
      </c>
      <c r="W2085" s="4" t="str">
        <f t="shared" si="131"/>
        <v>Poor</v>
      </c>
      <c r="X2085" s="4">
        <f>AVERAGE(Table1[Purchase Amount])</f>
        <v>129.48419400000012</v>
      </c>
    </row>
    <row r="2086" spans="1:24" ht="15" customHeight="1" x14ac:dyDescent="0.25">
      <c r="A2086">
        <v>2085</v>
      </c>
      <c r="B2086">
        <v>32</v>
      </c>
      <c r="C2086" t="s">
        <v>27</v>
      </c>
      <c r="D2086" t="s">
        <v>118</v>
      </c>
      <c r="E2086" t="s">
        <v>18</v>
      </c>
      <c r="F2086" s="2">
        <v>94</v>
      </c>
      <c r="G2086" t="s">
        <v>84</v>
      </c>
      <c r="H2086" t="s">
        <v>55</v>
      </c>
      <c r="I2086" t="s">
        <v>60</v>
      </c>
      <c r="J2086" t="s">
        <v>57</v>
      </c>
      <c r="K2086">
        <v>4</v>
      </c>
      <c r="L2086" t="s">
        <v>23</v>
      </c>
      <c r="M2086" t="s">
        <v>24</v>
      </c>
      <c r="N2086" t="s">
        <v>23</v>
      </c>
      <c r="O2086">
        <v>43</v>
      </c>
      <c r="P2086" t="s">
        <v>88</v>
      </c>
      <c r="Q2086" t="s">
        <v>37</v>
      </c>
      <c r="R2086" s="1">
        <v>0.1</v>
      </c>
      <c r="S2086">
        <f t="shared" si="128"/>
        <v>84.6</v>
      </c>
      <c r="T2086">
        <f>IFERROR(VLOOKUP(A2086,Table1[[Customer ID]:[Discount Amount]], 6, FALSE),"Not Found")</f>
        <v>94</v>
      </c>
      <c r="U2086" t="str">
        <f t="shared" si="129"/>
        <v>Bank Transfer</v>
      </c>
      <c r="V2086" s="4" t="str">
        <f t="shared" si="130"/>
        <v>Normal</v>
      </c>
      <c r="W2086" s="4" t="str">
        <f t="shared" si="131"/>
        <v>Good</v>
      </c>
      <c r="X2086" s="4">
        <f>AVERAGE(Table1[Purchase Amount])</f>
        <v>129.48419400000012</v>
      </c>
    </row>
    <row r="2087" spans="1:24" ht="15" customHeight="1" x14ac:dyDescent="0.25">
      <c r="A2087">
        <v>2086</v>
      </c>
      <c r="B2087">
        <v>69</v>
      </c>
      <c r="C2087" t="s">
        <v>27</v>
      </c>
      <c r="D2087" t="s">
        <v>109</v>
      </c>
      <c r="E2087" t="s">
        <v>18</v>
      </c>
      <c r="F2087" s="2">
        <v>49</v>
      </c>
      <c r="G2087" t="s">
        <v>101</v>
      </c>
      <c r="H2087" t="s">
        <v>31</v>
      </c>
      <c r="I2087" t="s">
        <v>147</v>
      </c>
      <c r="J2087" t="s">
        <v>47</v>
      </c>
      <c r="K2087">
        <v>4.5999999999999996</v>
      </c>
      <c r="L2087" t="s">
        <v>23</v>
      </c>
      <c r="M2087" t="s">
        <v>35</v>
      </c>
      <c r="N2087" t="s">
        <v>23</v>
      </c>
      <c r="O2087">
        <v>38</v>
      </c>
      <c r="P2087" t="s">
        <v>36</v>
      </c>
      <c r="Q2087" t="s">
        <v>26</v>
      </c>
      <c r="R2087" s="1">
        <v>0.1</v>
      </c>
      <c r="S2087">
        <f t="shared" si="128"/>
        <v>44.1</v>
      </c>
      <c r="T2087">
        <f>IFERROR(VLOOKUP(A2087,Table1[[Customer ID]:[Discount Amount]], 6, FALSE),"Not Found")</f>
        <v>49</v>
      </c>
      <c r="U2087" t="str">
        <f t="shared" si="129"/>
        <v>Debit Card</v>
      </c>
      <c r="V2087" s="4" t="str">
        <f t="shared" si="130"/>
        <v>Normal</v>
      </c>
      <c r="W2087" s="4" t="str">
        <f t="shared" si="131"/>
        <v>Good</v>
      </c>
      <c r="X2087" s="4">
        <f>AVERAGE(Table1[Purchase Amount])</f>
        <v>129.48419400000012</v>
      </c>
    </row>
    <row r="2088" spans="1:24" ht="15" customHeight="1" x14ac:dyDescent="0.25">
      <c r="A2088">
        <v>2087</v>
      </c>
      <c r="B2088">
        <v>65</v>
      </c>
      <c r="C2088" t="s">
        <v>27</v>
      </c>
      <c r="D2088" t="s">
        <v>157</v>
      </c>
      <c r="E2088" t="s">
        <v>18</v>
      </c>
      <c r="F2088" s="2">
        <v>89</v>
      </c>
      <c r="G2088" t="s">
        <v>86</v>
      </c>
      <c r="H2088" t="s">
        <v>45</v>
      </c>
      <c r="I2088" t="s">
        <v>56</v>
      </c>
      <c r="J2088" t="s">
        <v>57</v>
      </c>
      <c r="K2088">
        <v>4.7</v>
      </c>
      <c r="L2088" t="s">
        <v>23</v>
      </c>
      <c r="M2088" t="s">
        <v>41</v>
      </c>
      <c r="N2088" t="s">
        <v>23</v>
      </c>
      <c r="O2088">
        <v>36</v>
      </c>
      <c r="P2088" t="s">
        <v>25</v>
      </c>
      <c r="Q2088" t="s">
        <v>63</v>
      </c>
      <c r="R2088" s="1">
        <v>0.1</v>
      </c>
      <c r="S2088">
        <f t="shared" si="128"/>
        <v>80.099999999999994</v>
      </c>
      <c r="T2088">
        <f>IFERROR(VLOOKUP(A2088,Table1[[Customer ID]:[Discount Amount]], 6, FALSE),"Not Found")</f>
        <v>89</v>
      </c>
      <c r="U2088" t="str">
        <f t="shared" si="129"/>
        <v>Cash</v>
      </c>
      <c r="V2088" s="4" t="str">
        <f t="shared" si="130"/>
        <v>Normal</v>
      </c>
      <c r="W2088" s="4" t="str">
        <f t="shared" si="131"/>
        <v>Good</v>
      </c>
      <c r="X2088" s="4">
        <f>AVERAGE(Table1[Purchase Amount])</f>
        <v>129.48419400000012</v>
      </c>
    </row>
    <row r="2089" spans="1:24" ht="15" customHeight="1" x14ac:dyDescent="0.25">
      <c r="A2089">
        <v>2088</v>
      </c>
      <c r="B2089">
        <v>54</v>
      </c>
      <c r="C2089" t="s">
        <v>27</v>
      </c>
      <c r="D2089" t="s">
        <v>64</v>
      </c>
      <c r="E2089" t="s">
        <v>29</v>
      </c>
      <c r="F2089" s="2">
        <v>91</v>
      </c>
      <c r="G2089" t="s">
        <v>59</v>
      </c>
      <c r="H2089" t="s">
        <v>31</v>
      </c>
      <c r="I2089" t="s">
        <v>74</v>
      </c>
      <c r="J2089" t="s">
        <v>57</v>
      </c>
      <c r="K2089">
        <v>4.7</v>
      </c>
      <c r="L2089" t="s">
        <v>23</v>
      </c>
      <c r="M2089" t="s">
        <v>24</v>
      </c>
      <c r="N2089" t="s">
        <v>23</v>
      </c>
      <c r="O2089">
        <v>1</v>
      </c>
      <c r="P2089" t="s">
        <v>53</v>
      </c>
      <c r="Q2089" t="s">
        <v>26</v>
      </c>
      <c r="R2089" s="1">
        <v>0.1</v>
      </c>
      <c r="S2089">
        <f t="shared" si="128"/>
        <v>81.900000000000006</v>
      </c>
      <c r="T2089">
        <f>IFERROR(VLOOKUP(A2089,Table1[[Customer ID]:[Discount Amount]], 6, FALSE),"Not Found")</f>
        <v>91</v>
      </c>
      <c r="U2089" t="str">
        <f t="shared" si="129"/>
        <v>Credit Card</v>
      </c>
      <c r="V2089" s="4" t="str">
        <f t="shared" si="130"/>
        <v>Normal</v>
      </c>
      <c r="W2089" s="4" t="str">
        <f t="shared" si="131"/>
        <v>Good</v>
      </c>
      <c r="X2089" s="4">
        <f>AVERAGE(Table1[Purchase Amount])</f>
        <v>129.48419400000012</v>
      </c>
    </row>
    <row r="2090" spans="1:24" ht="15" customHeight="1" x14ac:dyDescent="0.25">
      <c r="A2090">
        <v>2089</v>
      </c>
      <c r="B2090">
        <v>39</v>
      </c>
      <c r="C2090" t="s">
        <v>27</v>
      </c>
      <c r="D2090" t="s">
        <v>121</v>
      </c>
      <c r="E2090" t="s">
        <v>98</v>
      </c>
      <c r="F2090" s="2">
        <v>89</v>
      </c>
      <c r="G2090" t="s">
        <v>19</v>
      </c>
      <c r="H2090" t="s">
        <v>45</v>
      </c>
      <c r="I2090" t="s">
        <v>108</v>
      </c>
      <c r="J2090" t="s">
        <v>33</v>
      </c>
      <c r="K2090">
        <v>4</v>
      </c>
      <c r="L2090" t="s">
        <v>23</v>
      </c>
      <c r="M2090" t="s">
        <v>24</v>
      </c>
      <c r="N2090" t="s">
        <v>23</v>
      </c>
      <c r="O2090">
        <v>49</v>
      </c>
      <c r="P2090" t="s">
        <v>36</v>
      </c>
      <c r="Q2090" t="s">
        <v>49</v>
      </c>
      <c r="R2090" s="1">
        <v>0.1</v>
      </c>
      <c r="S2090">
        <f t="shared" si="128"/>
        <v>80.099999999999994</v>
      </c>
      <c r="T2090">
        <f>IFERROR(VLOOKUP(A2090,Table1[[Customer ID]:[Discount Amount]], 6, FALSE),"Not Found")</f>
        <v>89</v>
      </c>
      <c r="U2090" t="str">
        <f t="shared" si="129"/>
        <v>Debit Card</v>
      </c>
      <c r="V2090" s="4" t="str">
        <f t="shared" si="130"/>
        <v>Normal</v>
      </c>
      <c r="W2090" s="4" t="str">
        <f t="shared" si="131"/>
        <v>Good</v>
      </c>
      <c r="X2090" s="4">
        <f>AVERAGE(Table1[Purchase Amount])</f>
        <v>129.48419400000012</v>
      </c>
    </row>
    <row r="2091" spans="1:24" ht="15" customHeight="1" x14ac:dyDescent="0.25">
      <c r="A2091">
        <v>2090</v>
      </c>
      <c r="B2091">
        <v>37</v>
      </c>
      <c r="C2091" t="s">
        <v>27</v>
      </c>
      <c r="D2091" t="s">
        <v>96</v>
      </c>
      <c r="E2091" t="s">
        <v>77</v>
      </c>
      <c r="F2091" s="2">
        <v>57</v>
      </c>
      <c r="G2091" t="s">
        <v>106</v>
      </c>
      <c r="H2091" t="s">
        <v>45</v>
      </c>
      <c r="I2091" t="s">
        <v>133</v>
      </c>
      <c r="J2091" t="s">
        <v>33</v>
      </c>
      <c r="K2091">
        <v>3.6</v>
      </c>
      <c r="L2091" t="s">
        <v>23</v>
      </c>
      <c r="M2091" t="s">
        <v>35</v>
      </c>
      <c r="N2091" t="s">
        <v>23</v>
      </c>
      <c r="O2091">
        <v>41</v>
      </c>
      <c r="P2091" t="s">
        <v>53</v>
      </c>
      <c r="Q2091" t="s">
        <v>63</v>
      </c>
      <c r="R2091" s="1">
        <v>0.1</v>
      </c>
      <c r="S2091">
        <f t="shared" si="128"/>
        <v>51.3</v>
      </c>
      <c r="T2091">
        <f>IFERROR(VLOOKUP(A2091,Table1[[Customer ID]:[Discount Amount]], 6, FALSE),"Not Found")</f>
        <v>57</v>
      </c>
      <c r="U2091" t="str">
        <f t="shared" si="129"/>
        <v>Credit Card</v>
      </c>
      <c r="V2091" s="4" t="str">
        <f t="shared" si="130"/>
        <v>Normal</v>
      </c>
      <c r="W2091" s="4" t="str">
        <f t="shared" si="131"/>
        <v>Good</v>
      </c>
      <c r="X2091" s="4">
        <f>AVERAGE(Table1[Purchase Amount])</f>
        <v>129.48419400000012</v>
      </c>
    </row>
    <row r="2092" spans="1:24" ht="15" customHeight="1" x14ac:dyDescent="0.25">
      <c r="A2092">
        <v>2091</v>
      </c>
      <c r="B2092">
        <v>51</v>
      </c>
      <c r="C2092" t="s">
        <v>27</v>
      </c>
      <c r="D2092" t="s">
        <v>105</v>
      </c>
      <c r="E2092" t="s">
        <v>18</v>
      </c>
      <c r="F2092" s="2">
        <v>71</v>
      </c>
      <c r="G2092" t="s">
        <v>97</v>
      </c>
      <c r="H2092" t="s">
        <v>55</v>
      </c>
      <c r="I2092" t="s">
        <v>147</v>
      </c>
      <c r="J2092" t="s">
        <v>22</v>
      </c>
      <c r="K2092">
        <v>3.4</v>
      </c>
      <c r="L2092" t="s">
        <v>23</v>
      </c>
      <c r="M2092" t="s">
        <v>35</v>
      </c>
      <c r="N2092" t="s">
        <v>23</v>
      </c>
      <c r="O2092">
        <v>21</v>
      </c>
      <c r="P2092" t="s">
        <v>36</v>
      </c>
      <c r="Q2092" t="s">
        <v>42</v>
      </c>
      <c r="R2092" s="1">
        <v>0.1</v>
      </c>
      <c r="S2092">
        <f t="shared" si="128"/>
        <v>63.9</v>
      </c>
      <c r="T2092">
        <f>IFERROR(VLOOKUP(A2092,Table1[[Customer ID]:[Discount Amount]], 6, FALSE),"Not Found")</f>
        <v>71</v>
      </c>
      <c r="U2092" t="str">
        <f t="shared" si="129"/>
        <v>Debit Card</v>
      </c>
      <c r="V2092" s="4" t="str">
        <f t="shared" si="130"/>
        <v>Normal</v>
      </c>
      <c r="W2092" s="4" t="str">
        <f t="shared" si="131"/>
        <v>Good</v>
      </c>
      <c r="X2092" s="4">
        <f>AVERAGE(Table1[Purchase Amount])</f>
        <v>129.48419400000012</v>
      </c>
    </row>
    <row r="2093" spans="1:24" ht="15" customHeight="1" x14ac:dyDescent="0.25">
      <c r="A2093">
        <v>2092</v>
      </c>
      <c r="B2093">
        <v>26</v>
      </c>
      <c r="C2093" t="s">
        <v>27</v>
      </c>
      <c r="D2093" t="s">
        <v>109</v>
      </c>
      <c r="E2093" t="s">
        <v>18</v>
      </c>
      <c r="F2093" s="2">
        <v>97</v>
      </c>
      <c r="G2093" t="s">
        <v>155</v>
      </c>
      <c r="H2093" t="s">
        <v>20</v>
      </c>
      <c r="I2093" t="s">
        <v>56</v>
      </c>
      <c r="J2093" t="s">
        <v>47</v>
      </c>
      <c r="K2093">
        <v>3</v>
      </c>
      <c r="L2093" t="s">
        <v>23</v>
      </c>
      <c r="M2093" t="s">
        <v>79</v>
      </c>
      <c r="N2093" t="s">
        <v>23</v>
      </c>
      <c r="O2093">
        <v>24</v>
      </c>
      <c r="P2093" t="s">
        <v>88</v>
      </c>
      <c r="Q2093" t="s">
        <v>37</v>
      </c>
      <c r="R2093" s="1">
        <v>0.1</v>
      </c>
      <c r="S2093">
        <f t="shared" si="128"/>
        <v>87.3</v>
      </c>
      <c r="T2093">
        <f>IFERROR(VLOOKUP(A2093,Table1[[Customer ID]:[Discount Amount]], 6, FALSE),"Not Found")</f>
        <v>97</v>
      </c>
      <c r="U2093" t="str">
        <f t="shared" si="129"/>
        <v>Bank Transfer</v>
      </c>
      <c r="V2093" s="4" t="str">
        <f t="shared" si="130"/>
        <v>Normal</v>
      </c>
      <c r="W2093" s="4" t="str">
        <f t="shared" si="131"/>
        <v>Good</v>
      </c>
      <c r="X2093" s="4">
        <f>AVERAGE(Table1[Purchase Amount])</f>
        <v>129.48419400000012</v>
      </c>
    </row>
    <row r="2094" spans="1:24" ht="15" customHeight="1" x14ac:dyDescent="0.25">
      <c r="A2094">
        <v>2093</v>
      </c>
      <c r="B2094">
        <v>42</v>
      </c>
      <c r="C2094" t="s">
        <v>27</v>
      </c>
      <c r="D2094" t="s">
        <v>121</v>
      </c>
      <c r="E2094" t="s">
        <v>98</v>
      </c>
      <c r="F2094" s="2">
        <v>45</v>
      </c>
      <c r="G2094" t="s">
        <v>120</v>
      </c>
      <c r="H2094" t="s">
        <v>31</v>
      </c>
      <c r="I2094" t="s">
        <v>153</v>
      </c>
      <c r="J2094" t="s">
        <v>47</v>
      </c>
      <c r="K2094">
        <v>2.6</v>
      </c>
      <c r="L2094" t="s">
        <v>23</v>
      </c>
      <c r="M2094" t="s">
        <v>79</v>
      </c>
      <c r="N2094" t="s">
        <v>23</v>
      </c>
      <c r="O2094">
        <v>27</v>
      </c>
      <c r="P2094" t="s">
        <v>88</v>
      </c>
      <c r="Q2094" t="s">
        <v>26</v>
      </c>
      <c r="R2094" s="1">
        <v>0.1</v>
      </c>
      <c r="S2094">
        <f t="shared" si="128"/>
        <v>40.5</v>
      </c>
      <c r="T2094">
        <f>IFERROR(VLOOKUP(A2094,Table1[[Customer ID]:[Discount Amount]], 6, FALSE),"Not Found")</f>
        <v>45</v>
      </c>
      <c r="U2094" t="str">
        <f t="shared" si="129"/>
        <v>Bank Transfer</v>
      </c>
      <c r="V2094" s="4" t="str">
        <f t="shared" si="130"/>
        <v>Normal</v>
      </c>
      <c r="W2094" s="4" t="str">
        <f t="shared" si="131"/>
        <v>Poor</v>
      </c>
      <c r="X2094" s="4">
        <f>AVERAGE(Table1[Purchase Amount])</f>
        <v>129.48419400000012</v>
      </c>
    </row>
    <row r="2095" spans="1:24" ht="15" customHeight="1" x14ac:dyDescent="0.25">
      <c r="A2095">
        <v>2094</v>
      </c>
      <c r="B2095">
        <v>21</v>
      </c>
      <c r="C2095" t="s">
        <v>27</v>
      </c>
      <c r="D2095" t="s">
        <v>157</v>
      </c>
      <c r="E2095" t="s">
        <v>18</v>
      </c>
      <c r="F2095" s="2">
        <v>91</v>
      </c>
      <c r="G2095" t="s">
        <v>155</v>
      </c>
      <c r="H2095" t="s">
        <v>31</v>
      </c>
      <c r="I2095" t="s">
        <v>125</v>
      </c>
      <c r="J2095" t="s">
        <v>33</v>
      </c>
      <c r="K2095">
        <v>4.2</v>
      </c>
      <c r="L2095" t="s">
        <v>23</v>
      </c>
      <c r="M2095" t="s">
        <v>48</v>
      </c>
      <c r="N2095" t="s">
        <v>23</v>
      </c>
      <c r="O2095">
        <v>4</v>
      </c>
      <c r="P2095" t="s">
        <v>36</v>
      </c>
      <c r="Q2095" t="s">
        <v>49</v>
      </c>
      <c r="R2095" s="1">
        <v>0.1</v>
      </c>
      <c r="S2095">
        <f t="shared" si="128"/>
        <v>81.900000000000006</v>
      </c>
      <c r="T2095">
        <f>IFERROR(VLOOKUP(A2095,Table1[[Customer ID]:[Discount Amount]], 6, FALSE),"Not Found")</f>
        <v>91</v>
      </c>
      <c r="U2095" t="str">
        <f t="shared" si="129"/>
        <v>Debit Card</v>
      </c>
      <c r="V2095" s="4" t="str">
        <f t="shared" si="130"/>
        <v>Normal</v>
      </c>
      <c r="W2095" s="4" t="str">
        <f t="shared" si="131"/>
        <v>Good</v>
      </c>
      <c r="X2095" s="4">
        <f>AVERAGE(Table1[Purchase Amount])</f>
        <v>129.48419400000012</v>
      </c>
    </row>
    <row r="2096" spans="1:24" ht="15" customHeight="1" x14ac:dyDescent="0.25">
      <c r="A2096">
        <v>2095</v>
      </c>
      <c r="B2096">
        <v>53</v>
      </c>
      <c r="C2096" t="s">
        <v>27</v>
      </c>
      <c r="D2096" t="s">
        <v>105</v>
      </c>
      <c r="E2096" t="s">
        <v>18</v>
      </c>
      <c r="F2096" s="2">
        <v>25</v>
      </c>
      <c r="G2096" t="s">
        <v>30</v>
      </c>
      <c r="H2096" t="s">
        <v>31</v>
      </c>
      <c r="I2096" t="s">
        <v>91</v>
      </c>
      <c r="J2096" t="s">
        <v>33</v>
      </c>
      <c r="K2096">
        <v>3.4</v>
      </c>
      <c r="L2096" t="s">
        <v>23</v>
      </c>
      <c r="M2096" t="s">
        <v>24</v>
      </c>
      <c r="N2096" t="s">
        <v>23</v>
      </c>
      <c r="O2096">
        <v>19</v>
      </c>
      <c r="P2096" t="s">
        <v>62</v>
      </c>
      <c r="Q2096" t="s">
        <v>49</v>
      </c>
      <c r="R2096" s="1">
        <v>0.1</v>
      </c>
      <c r="S2096">
        <f t="shared" si="128"/>
        <v>22.5</v>
      </c>
      <c r="T2096">
        <f>IFERROR(VLOOKUP(A2096,Table1[[Customer ID]:[Discount Amount]], 6, FALSE),"Not Found")</f>
        <v>25</v>
      </c>
      <c r="U2096" t="str">
        <f t="shared" si="129"/>
        <v>Venmo</v>
      </c>
      <c r="V2096" s="4" t="str">
        <f t="shared" si="130"/>
        <v>Normal</v>
      </c>
      <c r="W2096" s="4" t="str">
        <f t="shared" si="131"/>
        <v>Good</v>
      </c>
      <c r="X2096" s="4">
        <f>AVERAGE(Table1[Purchase Amount])</f>
        <v>129.48419400000012</v>
      </c>
    </row>
    <row r="2097" spans="1:24" ht="15" customHeight="1" x14ac:dyDescent="0.25">
      <c r="A2097">
        <v>2096</v>
      </c>
      <c r="B2097">
        <v>36</v>
      </c>
      <c r="C2097" t="s">
        <v>27</v>
      </c>
      <c r="D2097" t="s">
        <v>83</v>
      </c>
      <c r="E2097" t="s">
        <v>18</v>
      </c>
      <c r="F2097" s="2">
        <v>63</v>
      </c>
      <c r="G2097" t="s">
        <v>110</v>
      </c>
      <c r="H2097" t="s">
        <v>31</v>
      </c>
      <c r="I2097" t="s">
        <v>85</v>
      </c>
      <c r="J2097" t="s">
        <v>47</v>
      </c>
      <c r="K2097">
        <v>4</v>
      </c>
      <c r="L2097" t="s">
        <v>23</v>
      </c>
      <c r="M2097" t="s">
        <v>48</v>
      </c>
      <c r="N2097" t="s">
        <v>23</v>
      </c>
      <c r="O2097">
        <v>1</v>
      </c>
      <c r="P2097" t="s">
        <v>88</v>
      </c>
      <c r="Q2097" t="s">
        <v>89</v>
      </c>
      <c r="R2097" s="1">
        <v>0.1</v>
      </c>
      <c r="S2097">
        <f t="shared" si="128"/>
        <v>56.7</v>
      </c>
      <c r="T2097">
        <f>IFERROR(VLOOKUP(A2097,Table1[[Customer ID]:[Discount Amount]], 6, FALSE),"Not Found")</f>
        <v>63</v>
      </c>
      <c r="U2097" t="str">
        <f t="shared" si="129"/>
        <v>Bank Transfer</v>
      </c>
      <c r="V2097" s="4" t="str">
        <f t="shared" si="130"/>
        <v>Normal</v>
      </c>
      <c r="W2097" s="4" t="str">
        <f t="shared" si="131"/>
        <v>Good</v>
      </c>
      <c r="X2097" s="4">
        <f>AVERAGE(Table1[Purchase Amount])</f>
        <v>129.48419400000012</v>
      </c>
    </row>
    <row r="2098" spans="1:24" ht="15" customHeight="1" x14ac:dyDescent="0.25">
      <c r="A2098">
        <v>2097</v>
      </c>
      <c r="B2098">
        <v>21</v>
      </c>
      <c r="C2098" t="s">
        <v>27</v>
      </c>
      <c r="D2098" t="s">
        <v>157</v>
      </c>
      <c r="E2098" t="s">
        <v>18</v>
      </c>
      <c r="F2098" s="2">
        <v>52</v>
      </c>
      <c r="G2098" t="s">
        <v>134</v>
      </c>
      <c r="H2098" t="s">
        <v>45</v>
      </c>
      <c r="I2098" t="s">
        <v>74</v>
      </c>
      <c r="J2098" t="s">
        <v>57</v>
      </c>
      <c r="K2098">
        <v>4.7</v>
      </c>
      <c r="L2098" t="s">
        <v>23</v>
      </c>
      <c r="M2098" t="s">
        <v>35</v>
      </c>
      <c r="N2098" t="s">
        <v>23</v>
      </c>
      <c r="O2098">
        <v>27</v>
      </c>
      <c r="P2098" t="s">
        <v>36</v>
      </c>
      <c r="Q2098" t="s">
        <v>49</v>
      </c>
      <c r="R2098" s="1">
        <v>0.1</v>
      </c>
      <c r="S2098">
        <f t="shared" si="128"/>
        <v>46.8</v>
      </c>
      <c r="T2098">
        <f>IFERROR(VLOOKUP(A2098,Table1[[Customer ID]:[Discount Amount]], 6, FALSE),"Not Found")</f>
        <v>52</v>
      </c>
      <c r="U2098" t="str">
        <f t="shared" si="129"/>
        <v>Debit Card</v>
      </c>
      <c r="V2098" s="4" t="str">
        <f t="shared" si="130"/>
        <v>Normal</v>
      </c>
      <c r="W2098" s="4" t="str">
        <f t="shared" si="131"/>
        <v>Good</v>
      </c>
      <c r="X2098" s="4">
        <f>AVERAGE(Table1[Purchase Amount])</f>
        <v>129.48419400000012</v>
      </c>
    </row>
    <row r="2099" spans="1:24" ht="15" customHeight="1" x14ac:dyDescent="0.25">
      <c r="A2099">
        <v>2098</v>
      </c>
      <c r="B2099">
        <v>33</v>
      </c>
      <c r="C2099" t="s">
        <v>27</v>
      </c>
      <c r="D2099" t="s">
        <v>140</v>
      </c>
      <c r="E2099" t="s">
        <v>98</v>
      </c>
      <c r="F2099" s="2">
        <v>43</v>
      </c>
      <c r="G2099" t="s">
        <v>141</v>
      </c>
      <c r="H2099" t="s">
        <v>55</v>
      </c>
      <c r="I2099" t="s">
        <v>128</v>
      </c>
      <c r="J2099" t="s">
        <v>22</v>
      </c>
      <c r="K2099">
        <v>3.9</v>
      </c>
      <c r="L2099" t="s">
        <v>23</v>
      </c>
      <c r="M2099" t="s">
        <v>79</v>
      </c>
      <c r="N2099" t="s">
        <v>23</v>
      </c>
      <c r="O2099">
        <v>5</v>
      </c>
      <c r="P2099" t="s">
        <v>53</v>
      </c>
      <c r="Q2099" t="s">
        <v>26</v>
      </c>
      <c r="R2099" s="1">
        <v>0.1</v>
      </c>
      <c r="S2099">
        <f t="shared" si="128"/>
        <v>38.700000000000003</v>
      </c>
      <c r="T2099">
        <f>IFERROR(VLOOKUP(A2099,Table1[[Customer ID]:[Discount Amount]], 6, FALSE),"Not Found")</f>
        <v>43</v>
      </c>
      <c r="U2099" t="str">
        <f t="shared" si="129"/>
        <v>Credit Card</v>
      </c>
      <c r="V2099" s="4" t="str">
        <f t="shared" si="130"/>
        <v>Normal</v>
      </c>
      <c r="W2099" s="4" t="str">
        <f t="shared" si="131"/>
        <v>Good</v>
      </c>
      <c r="X2099" s="4">
        <f>AVERAGE(Table1[Purchase Amount])</f>
        <v>129.48419400000012</v>
      </c>
    </row>
    <row r="2100" spans="1:24" ht="15" customHeight="1" x14ac:dyDescent="0.25">
      <c r="A2100">
        <v>2099</v>
      </c>
      <c r="B2100">
        <v>49</v>
      </c>
      <c r="C2100" t="s">
        <v>27</v>
      </c>
      <c r="D2100" t="s">
        <v>17</v>
      </c>
      <c r="E2100" t="s">
        <v>18</v>
      </c>
      <c r="F2100" s="2">
        <v>28</v>
      </c>
      <c r="G2100" t="s">
        <v>119</v>
      </c>
      <c r="H2100" t="s">
        <v>31</v>
      </c>
      <c r="I2100" t="s">
        <v>32</v>
      </c>
      <c r="J2100" t="s">
        <v>57</v>
      </c>
      <c r="K2100">
        <v>3.3</v>
      </c>
      <c r="L2100" t="s">
        <v>23</v>
      </c>
      <c r="M2100" t="s">
        <v>41</v>
      </c>
      <c r="N2100" t="s">
        <v>23</v>
      </c>
      <c r="O2100">
        <v>20</v>
      </c>
      <c r="P2100" t="s">
        <v>62</v>
      </c>
      <c r="Q2100" t="s">
        <v>37</v>
      </c>
      <c r="R2100" s="1">
        <v>0.1</v>
      </c>
      <c r="S2100">
        <f t="shared" si="128"/>
        <v>25.2</v>
      </c>
      <c r="T2100">
        <f>IFERROR(VLOOKUP(A2100,Table1[[Customer ID]:[Discount Amount]], 6, FALSE),"Not Found")</f>
        <v>28</v>
      </c>
      <c r="U2100" t="str">
        <f t="shared" si="129"/>
        <v>Venmo</v>
      </c>
      <c r="V2100" s="4" t="str">
        <f t="shared" si="130"/>
        <v>Normal</v>
      </c>
      <c r="W2100" s="4" t="str">
        <f t="shared" si="131"/>
        <v>Good</v>
      </c>
      <c r="X2100" s="4">
        <f>AVERAGE(Table1[Purchase Amount])</f>
        <v>129.48419400000012</v>
      </c>
    </row>
    <row r="2101" spans="1:24" ht="15" customHeight="1" x14ac:dyDescent="0.25">
      <c r="A2101">
        <v>2100</v>
      </c>
      <c r="B2101">
        <v>31</v>
      </c>
      <c r="C2101" t="s">
        <v>27</v>
      </c>
      <c r="D2101" t="s">
        <v>17</v>
      </c>
      <c r="E2101" t="s">
        <v>18</v>
      </c>
      <c r="F2101" s="2">
        <v>78</v>
      </c>
      <c r="G2101" t="s">
        <v>142</v>
      </c>
      <c r="H2101" t="s">
        <v>45</v>
      </c>
      <c r="I2101" t="s">
        <v>93</v>
      </c>
      <c r="J2101" t="s">
        <v>57</v>
      </c>
      <c r="K2101">
        <v>2.9</v>
      </c>
      <c r="L2101" t="s">
        <v>23</v>
      </c>
      <c r="M2101" t="s">
        <v>61</v>
      </c>
      <c r="N2101" t="s">
        <v>23</v>
      </c>
      <c r="O2101">
        <v>50</v>
      </c>
      <c r="P2101" t="s">
        <v>58</v>
      </c>
      <c r="Q2101" t="s">
        <v>49</v>
      </c>
      <c r="R2101" s="1">
        <v>0.1</v>
      </c>
      <c r="S2101">
        <f t="shared" si="128"/>
        <v>70.2</v>
      </c>
      <c r="T2101">
        <f>IFERROR(VLOOKUP(A2101,Table1[[Customer ID]:[Discount Amount]], 6, FALSE),"Not Found")</f>
        <v>78</v>
      </c>
      <c r="U2101" t="str">
        <f t="shared" si="129"/>
        <v>PayPal</v>
      </c>
      <c r="V2101" s="4" t="str">
        <f t="shared" si="130"/>
        <v>Normal</v>
      </c>
      <c r="W2101" s="4" t="str">
        <f t="shared" si="131"/>
        <v>Poor</v>
      </c>
      <c r="X2101" s="4">
        <f>AVERAGE(Table1[Purchase Amount])</f>
        <v>129.48419400000012</v>
      </c>
    </row>
    <row r="2102" spans="1:24" ht="15" customHeight="1" x14ac:dyDescent="0.25">
      <c r="A2102">
        <v>2101</v>
      </c>
      <c r="B2102">
        <v>68</v>
      </c>
      <c r="C2102" t="s">
        <v>27</v>
      </c>
      <c r="D2102" t="s">
        <v>127</v>
      </c>
      <c r="E2102" t="s">
        <v>18</v>
      </c>
      <c r="F2102" s="2">
        <v>31</v>
      </c>
      <c r="G2102" t="s">
        <v>113</v>
      </c>
      <c r="H2102" t="s">
        <v>31</v>
      </c>
      <c r="I2102" t="s">
        <v>153</v>
      </c>
      <c r="J2102" t="s">
        <v>33</v>
      </c>
      <c r="K2102">
        <v>4.4000000000000004</v>
      </c>
      <c r="L2102" t="s">
        <v>23</v>
      </c>
      <c r="M2102" t="s">
        <v>35</v>
      </c>
      <c r="N2102" t="s">
        <v>23</v>
      </c>
      <c r="O2102">
        <v>36</v>
      </c>
      <c r="P2102" t="s">
        <v>25</v>
      </c>
      <c r="Q2102" t="s">
        <v>89</v>
      </c>
      <c r="R2102" s="1">
        <v>0.1</v>
      </c>
      <c r="S2102">
        <f t="shared" si="128"/>
        <v>27.9</v>
      </c>
      <c r="T2102">
        <f>IFERROR(VLOOKUP(A2102,Table1[[Customer ID]:[Discount Amount]], 6, FALSE),"Not Found")</f>
        <v>31</v>
      </c>
      <c r="U2102" t="str">
        <f t="shared" si="129"/>
        <v>Cash</v>
      </c>
      <c r="V2102" s="4" t="str">
        <f t="shared" si="130"/>
        <v>Normal</v>
      </c>
      <c r="W2102" s="4" t="str">
        <f t="shared" si="131"/>
        <v>Good</v>
      </c>
      <c r="X2102" s="4">
        <f>AVERAGE(Table1[Purchase Amount])</f>
        <v>129.48419400000012</v>
      </c>
    </row>
    <row r="2103" spans="1:24" ht="15" customHeight="1" x14ac:dyDescent="0.25">
      <c r="A2103">
        <v>2102</v>
      </c>
      <c r="B2103">
        <v>49</v>
      </c>
      <c r="C2103" t="s">
        <v>27</v>
      </c>
      <c r="D2103" t="s">
        <v>38</v>
      </c>
      <c r="E2103" t="s">
        <v>18</v>
      </c>
      <c r="F2103" s="2">
        <v>23</v>
      </c>
      <c r="G2103" t="s">
        <v>123</v>
      </c>
      <c r="H2103" t="s">
        <v>31</v>
      </c>
      <c r="I2103" t="s">
        <v>74</v>
      </c>
      <c r="J2103" t="s">
        <v>22</v>
      </c>
      <c r="K2103">
        <v>3.6</v>
      </c>
      <c r="L2103" t="s">
        <v>23</v>
      </c>
      <c r="M2103" t="s">
        <v>79</v>
      </c>
      <c r="N2103" t="s">
        <v>23</v>
      </c>
      <c r="O2103">
        <v>12</v>
      </c>
      <c r="P2103" t="s">
        <v>88</v>
      </c>
      <c r="Q2103" t="s">
        <v>68</v>
      </c>
      <c r="R2103" s="1">
        <v>0.1</v>
      </c>
      <c r="S2103">
        <f t="shared" si="128"/>
        <v>20.7</v>
      </c>
      <c r="T2103">
        <f>IFERROR(VLOOKUP(A2103,Table1[[Customer ID]:[Discount Amount]], 6, FALSE),"Not Found")</f>
        <v>23</v>
      </c>
      <c r="U2103" t="str">
        <f t="shared" si="129"/>
        <v>Bank Transfer</v>
      </c>
      <c r="V2103" s="4" t="str">
        <f t="shared" si="130"/>
        <v>Normal</v>
      </c>
      <c r="W2103" s="4" t="str">
        <f t="shared" si="131"/>
        <v>Good</v>
      </c>
      <c r="X2103" s="4">
        <f>AVERAGE(Table1[Purchase Amount])</f>
        <v>129.48419400000012</v>
      </c>
    </row>
    <row r="2104" spans="1:24" ht="15" customHeight="1" x14ac:dyDescent="0.25">
      <c r="A2104">
        <v>2103</v>
      </c>
      <c r="B2104">
        <v>23</v>
      </c>
      <c r="C2104" t="s">
        <v>27</v>
      </c>
      <c r="D2104" t="s">
        <v>64</v>
      </c>
      <c r="E2104" t="s">
        <v>29</v>
      </c>
      <c r="F2104" s="2">
        <v>25</v>
      </c>
      <c r="G2104" t="s">
        <v>161</v>
      </c>
      <c r="H2104" t="s">
        <v>31</v>
      </c>
      <c r="I2104" t="s">
        <v>60</v>
      </c>
      <c r="J2104" t="s">
        <v>33</v>
      </c>
      <c r="K2104">
        <v>4.5</v>
      </c>
      <c r="L2104" t="s">
        <v>23</v>
      </c>
      <c r="M2104" t="s">
        <v>48</v>
      </c>
      <c r="N2104" t="s">
        <v>23</v>
      </c>
      <c r="O2104">
        <v>23</v>
      </c>
      <c r="P2104" t="s">
        <v>25</v>
      </c>
      <c r="Q2104" t="s">
        <v>42</v>
      </c>
      <c r="R2104" s="1">
        <v>0.1</v>
      </c>
      <c r="S2104">
        <f t="shared" si="128"/>
        <v>22.5</v>
      </c>
      <c r="T2104">
        <f>IFERROR(VLOOKUP(A2104,Table1[[Customer ID]:[Discount Amount]], 6, FALSE),"Not Found")</f>
        <v>25</v>
      </c>
      <c r="U2104" t="str">
        <f t="shared" si="129"/>
        <v>Cash</v>
      </c>
      <c r="V2104" s="4" t="str">
        <f t="shared" si="130"/>
        <v>Normal</v>
      </c>
      <c r="W2104" s="4" t="str">
        <f t="shared" si="131"/>
        <v>Good</v>
      </c>
      <c r="X2104" s="4">
        <f>AVERAGE(Table1[Purchase Amount])</f>
        <v>129.48419400000012</v>
      </c>
    </row>
    <row r="2105" spans="1:24" ht="15" customHeight="1" x14ac:dyDescent="0.25">
      <c r="A2105">
        <v>2104</v>
      </c>
      <c r="B2105">
        <v>30</v>
      </c>
      <c r="C2105" t="s">
        <v>27</v>
      </c>
      <c r="D2105" t="s">
        <v>99</v>
      </c>
      <c r="E2105" t="s">
        <v>18</v>
      </c>
      <c r="F2105" s="2">
        <v>86</v>
      </c>
      <c r="G2105" t="s">
        <v>102</v>
      </c>
      <c r="H2105" t="s">
        <v>55</v>
      </c>
      <c r="I2105" t="s">
        <v>46</v>
      </c>
      <c r="J2105" t="s">
        <v>57</v>
      </c>
      <c r="K2105">
        <v>3.7</v>
      </c>
      <c r="L2105" t="s">
        <v>23</v>
      </c>
      <c r="M2105" t="s">
        <v>48</v>
      </c>
      <c r="N2105" t="s">
        <v>23</v>
      </c>
      <c r="O2105">
        <v>21</v>
      </c>
      <c r="P2105" t="s">
        <v>62</v>
      </c>
      <c r="Q2105" t="s">
        <v>26</v>
      </c>
      <c r="R2105" s="1">
        <v>0.1</v>
      </c>
      <c r="S2105">
        <f t="shared" si="128"/>
        <v>77.400000000000006</v>
      </c>
      <c r="T2105">
        <f>IFERROR(VLOOKUP(A2105,Table1[[Customer ID]:[Discount Amount]], 6, FALSE),"Not Found")</f>
        <v>86</v>
      </c>
      <c r="U2105" t="str">
        <f t="shared" si="129"/>
        <v>Venmo</v>
      </c>
      <c r="V2105" s="4" t="str">
        <f t="shared" si="130"/>
        <v>Normal</v>
      </c>
      <c r="W2105" s="4" t="str">
        <f t="shared" si="131"/>
        <v>Good</v>
      </c>
      <c r="X2105" s="4">
        <f>AVERAGE(Table1[Purchase Amount])</f>
        <v>129.48419400000012</v>
      </c>
    </row>
    <row r="2106" spans="1:24" ht="15" customHeight="1" x14ac:dyDescent="0.25">
      <c r="A2106">
        <v>2105</v>
      </c>
      <c r="B2106">
        <v>53</v>
      </c>
      <c r="C2106" t="s">
        <v>27</v>
      </c>
      <c r="D2106" t="s">
        <v>72</v>
      </c>
      <c r="E2106" t="s">
        <v>98</v>
      </c>
      <c r="F2106" s="2">
        <v>88</v>
      </c>
      <c r="G2106" t="s">
        <v>110</v>
      </c>
      <c r="H2106" t="s">
        <v>31</v>
      </c>
      <c r="I2106" t="s">
        <v>133</v>
      </c>
      <c r="J2106" t="s">
        <v>33</v>
      </c>
      <c r="K2106">
        <v>2.8</v>
      </c>
      <c r="L2106" t="s">
        <v>23</v>
      </c>
      <c r="M2106" t="s">
        <v>35</v>
      </c>
      <c r="N2106" t="s">
        <v>23</v>
      </c>
      <c r="O2106">
        <v>47</v>
      </c>
      <c r="P2106" t="s">
        <v>62</v>
      </c>
      <c r="Q2106" t="s">
        <v>26</v>
      </c>
      <c r="R2106" s="1">
        <v>0.1</v>
      </c>
      <c r="S2106">
        <f t="shared" si="128"/>
        <v>79.2</v>
      </c>
      <c r="T2106">
        <f>IFERROR(VLOOKUP(A2106,Table1[[Customer ID]:[Discount Amount]], 6, FALSE),"Not Found")</f>
        <v>88</v>
      </c>
      <c r="U2106" t="str">
        <f t="shared" si="129"/>
        <v>Venmo</v>
      </c>
      <c r="V2106" s="4" t="str">
        <f t="shared" si="130"/>
        <v>Normal</v>
      </c>
      <c r="W2106" s="4" t="str">
        <f t="shared" si="131"/>
        <v>Poor</v>
      </c>
      <c r="X2106" s="4">
        <f>AVERAGE(Table1[Purchase Amount])</f>
        <v>129.48419400000012</v>
      </c>
    </row>
    <row r="2107" spans="1:24" ht="15" customHeight="1" x14ac:dyDescent="0.25">
      <c r="A2107">
        <v>2106</v>
      </c>
      <c r="B2107">
        <v>65</v>
      </c>
      <c r="C2107" t="s">
        <v>27</v>
      </c>
      <c r="D2107" t="s">
        <v>43</v>
      </c>
      <c r="E2107" t="s">
        <v>29</v>
      </c>
      <c r="F2107" s="2">
        <v>35</v>
      </c>
      <c r="G2107" t="s">
        <v>30</v>
      </c>
      <c r="H2107" t="s">
        <v>31</v>
      </c>
      <c r="I2107" t="s">
        <v>153</v>
      </c>
      <c r="J2107" t="s">
        <v>33</v>
      </c>
      <c r="K2107">
        <v>4.5</v>
      </c>
      <c r="L2107" t="s">
        <v>23</v>
      </c>
      <c r="M2107" t="s">
        <v>35</v>
      </c>
      <c r="N2107" t="s">
        <v>23</v>
      </c>
      <c r="O2107">
        <v>38</v>
      </c>
      <c r="P2107" t="s">
        <v>62</v>
      </c>
      <c r="Q2107" t="s">
        <v>68</v>
      </c>
      <c r="R2107" s="1">
        <v>0.1</v>
      </c>
      <c r="S2107">
        <f t="shared" si="128"/>
        <v>31.5</v>
      </c>
      <c r="T2107">
        <f>IFERROR(VLOOKUP(A2107,Table1[[Customer ID]:[Discount Amount]], 6, FALSE),"Not Found")</f>
        <v>35</v>
      </c>
      <c r="U2107" t="str">
        <f t="shared" si="129"/>
        <v>Venmo</v>
      </c>
      <c r="V2107" s="4" t="str">
        <f t="shared" si="130"/>
        <v>Normal</v>
      </c>
      <c r="W2107" s="4" t="str">
        <f t="shared" si="131"/>
        <v>Good</v>
      </c>
      <c r="X2107" s="4">
        <f>AVERAGE(Table1[Purchase Amount])</f>
        <v>129.48419400000012</v>
      </c>
    </row>
    <row r="2108" spans="1:24" ht="15" customHeight="1" x14ac:dyDescent="0.25">
      <c r="A2108">
        <v>2107</v>
      </c>
      <c r="B2108">
        <v>60</v>
      </c>
      <c r="C2108" t="s">
        <v>27</v>
      </c>
      <c r="D2108" t="s">
        <v>50</v>
      </c>
      <c r="E2108" t="s">
        <v>29</v>
      </c>
      <c r="F2108" s="2">
        <v>34</v>
      </c>
      <c r="G2108" t="s">
        <v>84</v>
      </c>
      <c r="H2108" t="s">
        <v>31</v>
      </c>
      <c r="I2108" t="s">
        <v>85</v>
      </c>
      <c r="J2108" t="s">
        <v>47</v>
      </c>
      <c r="K2108">
        <v>4.4000000000000004</v>
      </c>
      <c r="L2108" t="s">
        <v>23</v>
      </c>
      <c r="M2108" t="s">
        <v>24</v>
      </c>
      <c r="N2108" t="s">
        <v>23</v>
      </c>
      <c r="O2108">
        <v>40</v>
      </c>
      <c r="P2108" t="s">
        <v>53</v>
      </c>
      <c r="Q2108" t="s">
        <v>63</v>
      </c>
      <c r="R2108" s="1">
        <v>0.1</v>
      </c>
      <c r="S2108">
        <f t="shared" si="128"/>
        <v>30.6</v>
      </c>
      <c r="T2108">
        <f>IFERROR(VLOOKUP(A2108,Table1[[Customer ID]:[Discount Amount]], 6, FALSE),"Not Found")</f>
        <v>34</v>
      </c>
      <c r="U2108" t="str">
        <f t="shared" si="129"/>
        <v>Credit Card</v>
      </c>
      <c r="V2108" s="4" t="str">
        <f t="shared" si="130"/>
        <v>Normal</v>
      </c>
      <c r="W2108" s="4" t="str">
        <f t="shared" si="131"/>
        <v>Good</v>
      </c>
      <c r="X2108" s="4">
        <f>AVERAGE(Table1[Purchase Amount])</f>
        <v>129.48419400000012</v>
      </c>
    </row>
    <row r="2109" spans="1:24" ht="15" customHeight="1" x14ac:dyDescent="0.25">
      <c r="A2109">
        <v>2108</v>
      </c>
      <c r="B2109">
        <v>46</v>
      </c>
      <c r="C2109" t="s">
        <v>27</v>
      </c>
      <c r="D2109" t="s">
        <v>99</v>
      </c>
      <c r="E2109" t="s">
        <v>18</v>
      </c>
      <c r="F2109" s="2">
        <v>75</v>
      </c>
      <c r="G2109" t="s">
        <v>143</v>
      </c>
      <c r="H2109" t="s">
        <v>31</v>
      </c>
      <c r="I2109" t="s">
        <v>40</v>
      </c>
      <c r="J2109" t="s">
        <v>22</v>
      </c>
      <c r="K2109">
        <v>3.3</v>
      </c>
      <c r="L2109" t="s">
        <v>23</v>
      </c>
      <c r="M2109" t="s">
        <v>24</v>
      </c>
      <c r="N2109" t="s">
        <v>23</v>
      </c>
      <c r="O2109">
        <v>35</v>
      </c>
      <c r="P2109" t="s">
        <v>58</v>
      </c>
      <c r="Q2109" t="s">
        <v>37</v>
      </c>
      <c r="R2109" s="1">
        <v>0.1</v>
      </c>
      <c r="S2109">
        <f t="shared" si="128"/>
        <v>67.5</v>
      </c>
      <c r="T2109">
        <f>IFERROR(VLOOKUP(A2109,Table1[[Customer ID]:[Discount Amount]], 6, FALSE),"Not Found")</f>
        <v>75</v>
      </c>
      <c r="U2109" t="str">
        <f t="shared" si="129"/>
        <v>PayPal</v>
      </c>
      <c r="V2109" s="4" t="str">
        <f t="shared" si="130"/>
        <v>Normal</v>
      </c>
      <c r="W2109" s="4" t="str">
        <f t="shared" si="131"/>
        <v>Good</v>
      </c>
      <c r="X2109" s="4">
        <f>AVERAGE(Table1[Purchase Amount])</f>
        <v>129.48419400000012</v>
      </c>
    </row>
    <row r="2110" spans="1:24" ht="15" customHeight="1" x14ac:dyDescent="0.25">
      <c r="A2110">
        <v>2109</v>
      </c>
      <c r="B2110">
        <v>54</v>
      </c>
      <c r="C2110" t="s">
        <v>27</v>
      </c>
      <c r="D2110" t="s">
        <v>83</v>
      </c>
      <c r="E2110" t="s">
        <v>18</v>
      </c>
      <c r="F2110" s="2">
        <v>46</v>
      </c>
      <c r="G2110" t="s">
        <v>86</v>
      </c>
      <c r="H2110" t="s">
        <v>20</v>
      </c>
      <c r="I2110" t="s">
        <v>56</v>
      </c>
      <c r="J2110" t="s">
        <v>22</v>
      </c>
      <c r="K2110">
        <v>4.2</v>
      </c>
      <c r="L2110" t="s">
        <v>23</v>
      </c>
      <c r="M2110" t="s">
        <v>61</v>
      </c>
      <c r="N2110" t="s">
        <v>23</v>
      </c>
      <c r="O2110">
        <v>4</v>
      </c>
      <c r="P2110" t="s">
        <v>53</v>
      </c>
      <c r="Q2110" t="s">
        <v>37</v>
      </c>
      <c r="R2110" s="1">
        <v>0.1</v>
      </c>
      <c r="S2110">
        <f t="shared" si="128"/>
        <v>41.4</v>
      </c>
      <c r="T2110">
        <f>IFERROR(VLOOKUP(A2110,Table1[[Customer ID]:[Discount Amount]], 6, FALSE),"Not Found")</f>
        <v>46</v>
      </c>
      <c r="U2110" t="str">
        <f t="shared" si="129"/>
        <v>Credit Card</v>
      </c>
      <c r="V2110" s="4" t="str">
        <f t="shared" si="130"/>
        <v>Normal</v>
      </c>
      <c r="W2110" s="4" t="str">
        <f t="shared" si="131"/>
        <v>Good</v>
      </c>
      <c r="X2110" s="4">
        <f>AVERAGE(Table1[Purchase Amount])</f>
        <v>129.48419400000012</v>
      </c>
    </row>
    <row r="2111" spans="1:24" ht="15" customHeight="1" x14ac:dyDescent="0.25">
      <c r="A2111">
        <v>2110</v>
      </c>
      <c r="B2111">
        <v>59</v>
      </c>
      <c r="C2111" t="s">
        <v>27</v>
      </c>
      <c r="D2111" t="s">
        <v>50</v>
      </c>
      <c r="E2111" t="s">
        <v>29</v>
      </c>
      <c r="F2111" s="2">
        <v>31</v>
      </c>
      <c r="G2111" t="s">
        <v>19</v>
      </c>
      <c r="H2111" t="s">
        <v>45</v>
      </c>
      <c r="I2111" t="s">
        <v>145</v>
      </c>
      <c r="J2111" t="s">
        <v>47</v>
      </c>
      <c r="K2111">
        <v>2.7</v>
      </c>
      <c r="L2111" t="s">
        <v>23</v>
      </c>
      <c r="M2111" t="s">
        <v>35</v>
      </c>
      <c r="N2111" t="s">
        <v>23</v>
      </c>
      <c r="O2111">
        <v>28</v>
      </c>
      <c r="P2111" t="s">
        <v>62</v>
      </c>
      <c r="Q2111" t="s">
        <v>63</v>
      </c>
      <c r="R2111" s="1">
        <v>0.1</v>
      </c>
      <c r="S2111">
        <f t="shared" si="128"/>
        <v>27.9</v>
      </c>
      <c r="T2111">
        <f>IFERROR(VLOOKUP(A2111,Table1[[Customer ID]:[Discount Amount]], 6, FALSE),"Not Found")</f>
        <v>31</v>
      </c>
      <c r="U2111" t="str">
        <f t="shared" si="129"/>
        <v>Venmo</v>
      </c>
      <c r="V2111" s="4" t="str">
        <f t="shared" si="130"/>
        <v>Normal</v>
      </c>
      <c r="W2111" s="4" t="str">
        <f t="shared" si="131"/>
        <v>Poor</v>
      </c>
      <c r="X2111" s="4">
        <f>AVERAGE(Table1[Purchase Amount])</f>
        <v>129.48419400000012</v>
      </c>
    </row>
    <row r="2112" spans="1:24" ht="15" customHeight="1" x14ac:dyDescent="0.25">
      <c r="A2112">
        <v>2111</v>
      </c>
      <c r="B2112">
        <v>52</v>
      </c>
      <c r="C2112" t="s">
        <v>27</v>
      </c>
      <c r="D2112" t="s">
        <v>105</v>
      </c>
      <c r="E2112" t="s">
        <v>18</v>
      </c>
      <c r="F2112" s="2">
        <v>93</v>
      </c>
      <c r="G2112" t="s">
        <v>39</v>
      </c>
      <c r="H2112" t="s">
        <v>45</v>
      </c>
      <c r="I2112" t="s">
        <v>128</v>
      </c>
      <c r="J2112" t="s">
        <v>33</v>
      </c>
      <c r="K2112">
        <v>3.9</v>
      </c>
      <c r="L2112" t="s">
        <v>23</v>
      </c>
      <c r="M2112" t="s">
        <v>48</v>
      </c>
      <c r="N2112" t="s">
        <v>23</v>
      </c>
      <c r="O2112">
        <v>36</v>
      </c>
      <c r="P2112" t="s">
        <v>36</v>
      </c>
      <c r="Q2112" t="s">
        <v>63</v>
      </c>
      <c r="R2112" s="1">
        <v>0.1</v>
      </c>
      <c r="S2112">
        <f t="shared" si="128"/>
        <v>83.7</v>
      </c>
      <c r="T2112">
        <f>IFERROR(VLOOKUP(A2112,Table1[[Customer ID]:[Discount Amount]], 6, FALSE),"Not Found")</f>
        <v>93</v>
      </c>
      <c r="U2112" t="str">
        <f t="shared" si="129"/>
        <v>Debit Card</v>
      </c>
      <c r="V2112" s="4" t="str">
        <f t="shared" si="130"/>
        <v>Normal</v>
      </c>
      <c r="W2112" s="4" t="str">
        <f t="shared" si="131"/>
        <v>Good</v>
      </c>
      <c r="X2112" s="4">
        <f>AVERAGE(Table1[Purchase Amount])</f>
        <v>129.48419400000012</v>
      </c>
    </row>
    <row r="2113" spans="1:24" ht="15" customHeight="1" x14ac:dyDescent="0.25">
      <c r="A2113">
        <v>2112</v>
      </c>
      <c r="B2113">
        <v>41</v>
      </c>
      <c r="C2113" t="s">
        <v>27</v>
      </c>
      <c r="D2113" t="s">
        <v>28</v>
      </c>
      <c r="E2113" t="s">
        <v>29</v>
      </c>
      <c r="F2113" s="2">
        <v>85</v>
      </c>
      <c r="G2113" t="s">
        <v>146</v>
      </c>
      <c r="H2113" t="s">
        <v>20</v>
      </c>
      <c r="I2113" t="s">
        <v>136</v>
      </c>
      <c r="J2113" t="s">
        <v>33</v>
      </c>
      <c r="K2113">
        <v>2.6</v>
      </c>
      <c r="L2113" t="s">
        <v>23</v>
      </c>
      <c r="M2113" t="s">
        <v>35</v>
      </c>
      <c r="N2113" t="s">
        <v>23</v>
      </c>
      <c r="O2113">
        <v>15</v>
      </c>
      <c r="P2113" t="s">
        <v>88</v>
      </c>
      <c r="Q2113" t="s">
        <v>49</v>
      </c>
      <c r="R2113" s="1">
        <v>0.1</v>
      </c>
      <c r="S2113">
        <f t="shared" si="128"/>
        <v>76.5</v>
      </c>
      <c r="T2113">
        <f>IFERROR(VLOOKUP(A2113,Table1[[Customer ID]:[Discount Amount]], 6, FALSE),"Not Found")</f>
        <v>85</v>
      </c>
      <c r="U2113" t="str">
        <f t="shared" si="129"/>
        <v>Bank Transfer</v>
      </c>
      <c r="V2113" s="4" t="str">
        <f t="shared" si="130"/>
        <v>Normal</v>
      </c>
      <c r="W2113" s="4" t="str">
        <f t="shared" si="131"/>
        <v>Poor</v>
      </c>
      <c r="X2113" s="4">
        <f>AVERAGE(Table1[Purchase Amount])</f>
        <v>129.48419400000012</v>
      </c>
    </row>
    <row r="2114" spans="1:24" ht="15" customHeight="1" x14ac:dyDescent="0.25">
      <c r="A2114">
        <v>2113</v>
      </c>
      <c r="B2114">
        <v>43</v>
      </c>
      <c r="C2114" t="s">
        <v>27</v>
      </c>
      <c r="D2114" t="s">
        <v>114</v>
      </c>
      <c r="E2114" t="s">
        <v>29</v>
      </c>
      <c r="F2114" s="2">
        <v>68</v>
      </c>
      <c r="G2114" t="s">
        <v>65</v>
      </c>
      <c r="H2114" t="s">
        <v>31</v>
      </c>
      <c r="I2114" t="s">
        <v>107</v>
      </c>
      <c r="J2114" t="s">
        <v>47</v>
      </c>
      <c r="K2114">
        <v>4.5</v>
      </c>
      <c r="L2114" t="s">
        <v>23</v>
      </c>
      <c r="M2114" t="s">
        <v>41</v>
      </c>
      <c r="N2114" t="s">
        <v>23</v>
      </c>
      <c r="O2114">
        <v>7</v>
      </c>
      <c r="P2114" t="s">
        <v>25</v>
      </c>
      <c r="Q2114" t="s">
        <v>89</v>
      </c>
      <c r="R2114" s="1">
        <v>0.1</v>
      </c>
      <c r="S2114">
        <f t="shared" ref="S2114:S2177" si="132">F2114-(F2114*R2114)</f>
        <v>61.2</v>
      </c>
      <c r="T2114">
        <f>IFERROR(VLOOKUP(A2114,Table1[[Customer ID]:[Discount Amount]], 6, FALSE),"Not Found")</f>
        <v>68</v>
      </c>
      <c r="U2114" t="str">
        <f t="shared" ref="U2114:U2177" si="133">INDEX(P:P, MATCH(A2114, A:A, 0))</f>
        <v>Cash</v>
      </c>
      <c r="V2114" s="4" t="str">
        <f t="shared" ref="V2114:V2177" si="134">IF(AND(F2114&gt;1000,K2114&gt;=4),"Best Customer","Normal")</f>
        <v>Normal</v>
      </c>
      <c r="W2114" s="4" t="str">
        <f t="shared" ref="W2114:W2177" si="135">IF(K2114&gt;=3,"Good","Poor")</f>
        <v>Good</v>
      </c>
      <c r="X2114" s="4">
        <f>AVERAGE(Table1[Purchase Amount])</f>
        <v>129.48419400000012</v>
      </c>
    </row>
    <row r="2115" spans="1:24" ht="15" customHeight="1" x14ac:dyDescent="0.25">
      <c r="A2115">
        <v>2114</v>
      </c>
      <c r="B2115">
        <v>63</v>
      </c>
      <c r="C2115" t="s">
        <v>27</v>
      </c>
      <c r="D2115" t="s">
        <v>157</v>
      </c>
      <c r="E2115" t="s">
        <v>18</v>
      </c>
      <c r="F2115" s="2">
        <v>40</v>
      </c>
      <c r="G2115" t="s">
        <v>138</v>
      </c>
      <c r="H2115" t="s">
        <v>31</v>
      </c>
      <c r="I2115" t="s">
        <v>60</v>
      </c>
      <c r="J2115" t="s">
        <v>33</v>
      </c>
      <c r="K2115">
        <v>2.7</v>
      </c>
      <c r="L2115" t="s">
        <v>23</v>
      </c>
      <c r="M2115" t="s">
        <v>48</v>
      </c>
      <c r="N2115" t="s">
        <v>23</v>
      </c>
      <c r="O2115">
        <v>29</v>
      </c>
      <c r="P2115" t="s">
        <v>58</v>
      </c>
      <c r="Q2115" t="s">
        <v>63</v>
      </c>
      <c r="R2115" s="1">
        <v>0.1</v>
      </c>
      <c r="S2115">
        <f t="shared" si="132"/>
        <v>36</v>
      </c>
      <c r="T2115">
        <f>IFERROR(VLOOKUP(A2115,Table1[[Customer ID]:[Discount Amount]], 6, FALSE),"Not Found")</f>
        <v>40</v>
      </c>
      <c r="U2115" t="str">
        <f t="shared" si="133"/>
        <v>PayPal</v>
      </c>
      <c r="V2115" s="4" t="str">
        <f t="shared" si="134"/>
        <v>Normal</v>
      </c>
      <c r="W2115" s="4" t="str">
        <f t="shared" si="135"/>
        <v>Poor</v>
      </c>
      <c r="X2115" s="4">
        <f>AVERAGE(Table1[Purchase Amount])</f>
        <v>129.48419400000012</v>
      </c>
    </row>
    <row r="2116" spans="1:24" ht="15" customHeight="1" x14ac:dyDescent="0.25">
      <c r="A2116">
        <v>2115</v>
      </c>
      <c r="B2116">
        <v>37</v>
      </c>
      <c r="C2116" t="s">
        <v>27</v>
      </c>
      <c r="D2116" t="s">
        <v>38</v>
      </c>
      <c r="E2116" t="s">
        <v>18</v>
      </c>
      <c r="F2116" s="2">
        <v>51</v>
      </c>
      <c r="G2116" t="s">
        <v>84</v>
      </c>
      <c r="H2116" t="s">
        <v>31</v>
      </c>
      <c r="I2116" t="s">
        <v>87</v>
      </c>
      <c r="J2116" t="s">
        <v>22</v>
      </c>
      <c r="K2116">
        <v>2.9</v>
      </c>
      <c r="L2116" t="s">
        <v>23</v>
      </c>
      <c r="M2116" t="s">
        <v>24</v>
      </c>
      <c r="N2116" t="s">
        <v>23</v>
      </c>
      <c r="O2116">
        <v>12</v>
      </c>
      <c r="P2116" t="s">
        <v>36</v>
      </c>
      <c r="Q2116" t="s">
        <v>49</v>
      </c>
      <c r="R2116" s="1">
        <v>0.1</v>
      </c>
      <c r="S2116">
        <f t="shared" si="132"/>
        <v>45.9</v>
      </c>
      <c r="T2116">
        <f>IFERROR(VLOOKUP(A2116,Table1[[Customer ID]:[Discount Amount]], 6, FALSE),"Not Found")</f>
        <v>51</v>
      </c>
      <c r="U2116" t="str">
        <f t="shared" si="133"/>
        <v>Debit Card</v>
      </c>
      <c r="V2116" s="4" t="str">
        <f t="shared" si="134"/>
        <v>Normal</v>
      </c>
      <c r="W2116" s="4" t="str">
        <f t="shared" si="135"/>
        <v>Poor</v>
      </c>
      <c r="X2116" s="4">
        <f>AVERAGE(Table1[Purchase Amount])</f>
        <v>129.48419400000012</v>
      </c>
    </row>
    <row r="2117" spans="1:24" ht="15" customHeight="1" x14ac:dyDescent="0.25">
      <c r="A2117">
        <v>2116</v>
      </c>
      <c r="B2117">
        <v>44</v>
      </c>
      <c r="C2117" t="s">
        <v>27</v>
      </c>
      <c r="D2117" t="s">
        <v>129</v>
      </c>
      <c r="E2117" t="s">
        <v>29</v>
      </c>
      <c r="F2117" s="2">
        <v>85</v>
      </c>
      <c r="G2117" t="s">
        <v>159</v>
      </c>
      <c r="H2117" t="s">
        <v>31</v>
      </c>
      <c r="I2117" t="s">
        <v>111</v>
      </c>
      <c r="J2117" t="s">
        <v>22</v>
      </c>
      <c r="K2117">
        <v>3.4</v>
      </c>
      <c r="L2117" t="s">
        <v>23</v>
      </c>
      <c r="M2117" t="s">
        <v>48</v>
      </c>
      <c r="N2117" t="s">
        <v>23</v>
      </c>
      <c r="O2117">
        <v>16</v>
      </c>
      <c r="P2117" t="s">
        <v>88</v>
      </c>
      <c r="Q2117" t="s">
        <v>68</v>
      </c>
      <c r="R2117" s="1">
        <v>0.1</v>
      </c>
      <c r="S2117">
        <f t="shared" si="132"/>
        <v>76.5</v>
      </c>
      <c r="T2117">
        <f>IFERROR(VLOOKUP(A2117,Table1[[Customer ID]:[Discount Amount]], 6, FALSE),"Not Found")</f>
        <v>85</v>
      </c>
      <c r="U2117" t="str">
        <f t="shared" si="133"/>
        <v>Bank Transfer</v>
      </c>
      <c r="V2117" s="4" t="str">
        <f t="shared" si="134"/>
        <v>Normal</v>
      </c>
      <c r="W2117" s="4" t="str">
        <f t="shared" si="135"/>
        <v>Good</v>
      </c>
      <c r="X2117" s="4">
        <f>AVERAGE(Table1[Purchase Amount])</f>
        <v>129.48419400000012</v>
      </c>
    </row>
    <row r="2118" spans="1:24" ht="15" customHeight="1" x14ac:dyDescent="0.25">
      <c r="A2118">
        <v>2117</v>
      </c>
      <c r="B2118">
        <v>67</v>
      </c>
      <c r="C2118" t="s">
        <v>27</v>
      </c>
      <c r="D2118" t="s">
        <v>96</v>
      </c>
      <c r="E2118" t="s">
        <v>77</v>
      </c>
      <c r="F2118" s="2">
        <v>23</v>
      </c>
      <c r="G2118" t="s">
        <v>124</v>
      </c>
      <c r="H2118" t="s">
        <v>31</v>
      </c>
      <c r="I2118" t="s">
        <v>147</v>
      </c>
      <c r="J2118" t="s">
        <v>57</v>
      </c>
      <c r="K2118">
        <v>2.9</v>
      </c>
      <c r="L2118" t="s">
        <v>23</v>
      </c>
      <c r="M2118" t="s">
        <v>61</v>
      </c>
      <c r="N2118" t="s">
        <v>23</v>
      </c>
      <c r="O2118">
        <v>50</v>
      </c>
      <c r="P2118" t="s">
        <v>36</v>
      </c>
      <c r="Q2118" t="s">
        <v>68</v>
      </c>
      <c r="R2118" s="1">
        <v>0.1</v>
      </c>
      <c r="S2118">
        <f t="shared" si="132"/>
        <v>20.7</v>
      </c>
      <c r="T2118">
        <f>IFERROR(VLOOKUP(A2118,Table1[[Customer ID]:[Discount Amount]], 6, FALSE),"Not Found")</f>
        <v>23</v>
      </c>
      <c r="U2118" t="str">
        <f t="shared" si="133"/>
        <v>Debit Card</v>
      </c>
      <c r="V2118" s="4" t="str">
        <f t="shared" si="134"/>
        <v>Normal</v>
      </c>
      <c r="W2118" s="4" t="str">
        <f t="shared" si="135"/>
        <v>Poor</v>
      </c>
      <c r="X2118" s="4">
        <f>AVERAGE(Table1[Purchase Amount])</f>
        <v>129.48419400000012</v>
      </c>
    </row>
    <row r="2119" spans="1:24" ht="15" customHeight="1" x14ac:dyDescent="0.25">
      <c r="A2119">
        <v>2118</v>
      </c>
      <c r="B2119">
        <v>27</v>
      </c>
      <c r="C2119" t="s">
        <v>27</v>
      </c>
      <c r="D2119" t="s">
        <v>157</v>
      </c>
      <c r="E2119" t="s">
        <v>18</v>
      </c>
      <c r="F2119" s="2">
        <v>28</v>
      </c>
      <c r="G2119" t="s">
        <v>92</v>
      </c>
      <c r="H2119" t="s">
        <v>45</v>
      </c>
      <c r="I2119" t="s">
        <v>60</v>
      </c>
      <c r="J2119" t="s">
        <v>57</v>
      </c>
      <c r="K2119">
        <v>3.8</v>
      </c>
      <c r="L2119" t="s">
        <v>23</v>
      </c>
      <c r="M2119" t="s">
        <v>35</v>
      </c>
      <c r="N2119" t="s">
        <v>23</v>
      </c>
      <c r="O2119">
        <v>11</v>
      </c>
      <c r="P2119" t="s">
        <v>36</v>
      </c>
      <c r="Q2119" t="s">
        <v>49</v>
      </c>
      <c r="R2119" s="1">
        <v>0.1</v>
      </c>
      <c r="S2119">
        <f t="shared" si="132"/>
        <v>25.2</v>
      </c>
      <c r="T2119">
        <f>IFERROR(VLOOKUP(A2119,Table1[[Customer ID]:[Discount Amount]], 6, FALSE),"Not Found")</f>
        <v>28</v>
      </c>
      <c r="U2119" t="str">
        <f t="shared" si="133"/>
        <v>Debit Card</v>
      </c>
      <c r="V2119" s="4" t="str">
        <f t="shared" si="134"/>
        <v>Normal</v>
      </c>
      <c r="W2119" s="4" t="str">
        <f t="shared" si="135"/>
        <v>Good</v>
      </c>
      <c r="X2119" s="4">
        <f>AVERAGE(Table1[Purchase Amount])</f>
        <v>129.48419400000012</v>
      </c>
    </row>
    <row r="2120" spans="1:24" ht="15" customHeight="1" x14ac:dyDescent="0.25">
      <c r="A2120">
        <v>2119</v>
      </c>
      <c r="B2120">
        <v>60</v>
      </c>
      <c r="C2120" t="s">
        <v>27</v>
      </c>
      <c r="D2120" t="s">
        <v>105</v>
      </c>
      <c r="E2120" t="s">
        <v>18</v>
      </c>
      <c r="F2120" s="2">
        <v>44</v>
      </c>
      <c r="G2120" t="s">
        <v>160</v>
      </c>
      <c r="H2120" t="s">
        <v>31</v>
      </c>
      <c r="I2120" t="s">
        <v>21</v>
      </c>
      <c r="J2120" t="s">
        <v>47</v>
      </c>
      <c r="K2120">
        <v>4.2</v>
      </c>
      <c r="L2120" t="s">
        <v>23</v>
      </c>
      <c r="M2120" t="s">
        <v>41</v>
      </c>
      <c r="N2120" t="s">
        <v>23</v>
      </c>
      <c r="O2120">
        <v>28</v>
      </c>
      <c r="P2120" t="s">
        <v>36</v>
      </c>
      <c r="Q2120" t="s">
        <v>37</v>
      </c>
      <c r="R2120" s="1">
        <v>0.1</v>
      </c>
      <c r="S2120">
        <f t="shared" si="132"/>
        <v>39.6</v>
      </c>
      <c r="T2120">
        <f>IFERROR(VLOOKUP(A2120,Table1[[Customer ID]:[Discount Amount]], 6, FALSE),"Not Found")</f>
        <v>44</v>
      </c>
      <c r="U2120" t="str">
        <f t="shared" si="133"/>
        <v>Debit Card</v>
      </c>
      <c r="V2120" s="4" t="str">
        <f t="shared" si="134"/>
        <v>Normal</v>
      </c>
      <c r="W2120" s="4" t="str">
        <f t="shared" si="135"/>
        <v>Good</v>
      </c>
      <c r="X2120" s="4">
        <f>AVERAGE(Table1[Purchase Amount])</f>
        <v>129.48419400000012</v>
      </c>
    </row>
    <row r="2121" spans="1:24" ht="15" customHeight="1" x14ac:dyDescent="0.25">
      <c r="A2121">
        <v>2120</v>
      </c>
      <c r="B2121">
        <v>58</v>
      </c>
      <c r="C2121" t="s">
        <v>27</v>
      </c>
      <c r="D2121" t="s">
        <v>50</v>
      </c>
      <c r="E2121" t="s">
        <v>29</v>
      </c>
      <c r="F2121" s="2">
        <v>57</v>
      </c>
      <c r="G2121" t="s">
        <v>137</v>
      </c>
      <c r="H2121" t="s">
        <v>31</v>
      </c>
      <c r="I2121" t="s">
        <v>91</v>
      </c>
      <c r="J2121" t="s">
        <v>33</v>
      </c>
      <c r="K2121">
        <v>3.5</v>
      </c>
      <c r="L2121" t="s">
        <v>23</v>
      </c>
      <c r="M2121" t="s">
        <v>48</v>
      </c>
      <c r="N2121" t="s">
        <v>23</v>
      </c>
      <c r="O2121">
        <v>36</v>
      </c>
      <c r="P2121" t="s">
        <v>62</v>
      </c>
      <c r="Q2121" t="s">
        <v>68</v>
      </c>
      <c r="R2121" s="1">
        <v>0.1</v>
      </c>
      <c r="S2121">
        <f t="shared" si="132"/>
        <v>51.3</v>
      </c>
      <c r="T2121">
        <f>IFERROR(VLOOKUP(A2121,Table1[[Customer ID]:[Discount Amount]], 6, FALSE),"Not Found")</f>
        <v>57</v>
      </c>
      <c r="U2121" t="str">
        <f t="shared" si="133"/>
        <v>Venmo</v>
      </c>
      <c r="V2121" s="4" t="str">
        <f t="shared" si="134"/>
        <v>Normal</v>
      </c>
      <c r="W2121" s="4" t="str">
        <f t="shared" si="135"/>
        <v>Good</v>
      </c>
      <c r="X2121" s="4">
        <f>AVERAGE(Table1[Purchase Amount])</f>
        <v>129.48419400000012</v>
      </c>
    </row>
    <row r="2122" spans="1:24" ht="15" customHeight="1" x14ac:dyDescent="0.25">
      <c r="A2122">
        <v>2121</v>
      </c>
      <c r="B2122">
        <v>53</v>
      </c>
      <c r="C2122" t="s">
        <v>27</v>
      </c>
      <c r="D2122" t="s">
        <v>129</v>
      </c>
      <c r="E2122" t="s">
        <v>29</v>
      </c>
      <c r="F2122" s="2">
        <v>98</v>
      </c>
      <c r="G2122" t="s">
        <v>146</v>
      </c>
      <c r="H2122" t="s">
        <v>55</v>
      </c>
      <c r="I2122" t="s">
        <v>46</v>
      </c>
      <c r="J2122" t="s">
        <v>47</v>
      </c>
      <c r="K2122">
        <v>3.1</v>
      </c>
      <c r="L2122" t="s">
        <v>23</v>
      </c>
      <c r="M2122" t="s">
        <v>79</v>
      </c>
      <c r="N2122" t="s">
        <v>23</v>
      </c>
      <c r="O2122">
        <v>38</v>
      </c>
      <c r="P2122" t="s">
        <v>58</v>
      </c>
      <c r="Q2122" t="s">
        <v>37</v>
      </c>
      <c r="R2122" s="1">
        <v>0.1</v>
      </c>
      <c r="S2122">
        <f t="shared" si="132"/>
        <v>88.2</v>
      </c>
      <c r="T2122">
        <f>IFERROR(VLOOKUP(A2122,Table1[[Customer ID]:[Discount Amount]], 6, FALSE),"Not Found")</f>
        <v>98</v>
      </c>
      <c r="U2122" t="str">
        <f t="shared" si="133"/>
        <v>PayPal</v>
      </c>
      <c r="V2122" s="4" t="str">
        <f t="shared" si="134"/>
        <v>Normal</v>
      </c>
      <c r="W2122" s="4" t="str">
        <f t="shared" si="135"/>
        <v>Good</v>
      </c>
      <c r="X2122" s="4">
        <f>AVERAGE(Table1[Purchase Amount])</f>
        <v>129.48419400000012</v>
      </c>
    </row>
    <row r="2123" spans="1:24" ht="15" customHeight="1" x14ac:dyDescent="0.25">
      <c r="A2123">
        <v>2122</v>
      </c>
      <c r="B2123">
        <v>43</v>
      </c>
      <c r="C2123" t="s">
        <v>27</v>
      </c>
      <c r="D2123" t="s">
        <v>104</v>
      </c>
      <c r="E2123" t="s">
        <v>29</v>
      </c>
      <c r="F2123" s="2">
        <v>68</v>
      </c>
      <c r="G2123" t="s">
        <v>148</v>
      </c>
      <c r="H2123" t="s">
        <v>31</v>
      </c>
      <c r="I2123" t="s">
        <v>21</v>
      </c>
      <c r="J2123" t="s">
        <v>22</v>
      </c>
      <c r="K2123">
        <v>3.5</v>
      </c>
      <c r="L2123" t="s">
        <v>23</v>
      </c>
      <c r="M2123" t="s">
        <v>41</v>
      </c>
      <c r="N2123" t="s">
        <v>23</v>
      </c>
      <c r="O2123">
        <v>32</v>
      </c>
      <c r="P2123" t="s">
        <v>88</v>
      </c>
      <c r="Q2123" t="s">
        <v>42</v>
      </c>
      <c r="R2123" s="1">
        <v>0.1</v>
      </c>
      <c r="S2123">
        <f t="shared" si="132"/>
        <v>61.2</v>
      </c>
      <c r="T2123">
        <f>IFERROR(VLOOKUP(A2123,Table1[[Customer ID]:[Discount Amount]], 6, FALSE),"Not Found")</f>
        <v>68</v>
      </c>
      <c r="U2123" t="str">
        <f t="shared" si="133"/>
        <v>Bank Transfer</v>
      </c>
      <c r="V2123" s="4" t="str">
        <f t="shared" si="134"/>
        <v>Normal</v>
      </c>
      <c r="W2123" s="4" t="str">
        <f t="shared" si="135"/>
        <v>Good</v>
      </c>
      <c r="X2123" s="4">
        <f>AVERAGE(Table1[Purchase Amount])</f>
        <v>129.48419400000012</v>
      </c>
    </row>
    <row r="2124" spans="1:24" ht="15" customHeight="1" x14ac:dyDescent="0.25">
      <c r="A2124">
        <v>2123</v>
      </c>
      <c r="B2124">
        <v>32</v>
      </c>
      <c r="C2124" t="s">
        <v>27</v>
      </c>
      <c r="D2124" t="s">
        <v>96</v>
      </c>
      <c r="E2124" t="s">
        <v>77</v>
      </c>
      <c r="F2124" s="2">
        <v>36</v>
      </c>
      <c r="G2124" t="s">
        <v>138</v>
      </c>
      <c r="H2124" t="s">
        <v>45</v>
      </c>
      <c r="I2124" t="s">
        <v>147</v>
      </c>
      <c r="J2124" t="s">
        <v>47</v>
      </c>
      <c r="K2124">
        <v>4</v>
      </c>
      <c r="L2124" t="s">
        <v>23</v>
      </c>
      <c r="M2124" t="s">
        <v>61</v>
      </c>
      <c r="N2124" t="s">
        <v>23</v>
      </c>
      <c r="O2124">
        <v>42</v>
      </c>
      <c r="P2124" t="s">
        <v>36</v>
      </c>
      <c r="Q2124" t="s">
        <v>26</v>
      </c>
      <c r="R2124" s="1">
        <v>0.1</v>
      </c>
      <c r="S2124">
        <f t="shared" si="132"/>
        <v>32.4</v>
      </c>
      <c r="T2124">
        <f>IFERROR(VLOOKUP(A2124,Table1[[Customer ID]:[Discount Amount]], 6, FALSE),"Not Found")</f>
        <v>36</v>
      </c>
      <c r="U2124" t="str">
        <f t="shared" si="133"/>
        <v>Debit Card</v>
      </c>
      <c r="V2124" s="4" t="str">
        <f t="shared" si="134"/>
        <v>Normal</v>
      </c>
      <c r="W2124" s="4" t="str">
        <f t="shared" si="135"/>
        <v>Good</v>
      </c>
      <c r="X2124" s="4">
        <f>AVERAGE(Table1[Purchase Amount])</f>
        <v>129.48419400000012</v>
      </c>
    </row>
    <row r="2125" spans="1:24" ht="15" customHeight="1" x14ac:dyDescent="0.25">
      <c r="A2125">
        <v>2124</v>
      </c>
      <c r="B2125">
        <v>54</v>
      </c>
      <c r="C2125" t="s">
        <v>27</v>
      </c>
      <c r="D2125" t="s">
        <v>76</v>
      </c>
      <c r="E2125" t="s">
        <v>77</v>
      </c>
      <c r="F2125" s="2">
        <v>71</v>
      </c>
      <c r="G2125" t="s">
        <v>137</v>
      </c>
      <c r="H2125" t="s">
        <v>45</v>
      </c>
      <c r="I2125" t="s">
        <v>128</v>
      </c>
      <c r="J2125" t="s">
        <v>33</v>
      </c>
      <c r="K2125">
        <v>3.7</v>
      </c>
      <c r="L2125" t="s">
        <v>23</v>
      </c>
      <c r="M2125" t="s">
        <v>61</v>
      </c>
      <c r="N2125" t="s">
        <v>23</v>
      </c>
      <c r="O2125">
        <v>22</v>
      </c>
      <c r="P2125" t="s">
        <v>36</v>
      </c>
      <c r="Q2125" t="s">
        <v>68</v>
      </c>
      <c r="R2125" s="1">
        <v>0.1</v>
      </c>
      <c r="S2125">
        <f t="shared" si="132"/>
        <v>63.9</v>
      </c>
      <c r="T2125">
        <f>IFERROR(VLOOKUP(A2125,Table1[[Customer ID]:[Discount Amount]], 6, FALSE),"Not Found")</f>
        <v>71</v>
      </c>
      <c r="U2125" t="str">
        <f t="shared" si="133"/>
        <v>Debit Card</v>
      </c>
      <c r="V2125" s="4" t="str">
        <f t="shared" si="134"/>
        <v>Normal</v>
      </c>
      <c r="W2125" s="4" t="str">
        <f t="shared" si="135"/>
        <v>Good</v>
      </c>
      <c r="X2125" s="4">
        <f>AVERAGE(Table1[Purchase Amount])</f>
        <v>129.48419400000012</v>
      </c>
    </row>
    <row r="2126" spans="1:24" ht="15" customHeight="1" x14ac:dyDescent="0.25">
      <c r="A2126">
        <v>2125</v>
      </c>
      <c r="B2126">
        <v>47</v>
      </c>
      <c r="C2126" t="s">
        <v>27</v>
      </c>
      <c r="D2126" t="s">
        <v>122</v>
      </c>
      <c r="E2126" t="s">
        <v>18</v>
      </c>
      <c r="F2126" s="2">
        <v>60</v>
      </c>
      <c r="G2126" t="s">
        <v>159</v>
      </c>
      <c r="H2126" t="s">
        <v>31</v>
      </c>
      <c r="I2126" t="s">
        <v>147</v>
      </c>
      <c r="J2126" t="s">
        <v>47</v>
      </c>
      <c r="K2126">
        <v>4.2</v>
      </c>
      <c r="L2126" t="s">
        <v>23</v>
      </c>
      <c r="M2126" t="s">
        <v>79</v>
      </c>
      <c r="N2126" t="s">
        <v>23</v>
      </c>
      <c r="O2126">
        <v>22</v>
      </c>
      <c r="P2126" t="s">
        <v>62</v>
      </c>
      <c r="Q2126" t="s">
        <v>37</v>
      </c>
      <c r="R2126" s="1">
        <v>0.1</v>
      </c>
      <c r="S2126">
        <f t="shared" si="132"/>
        <v>54</v>
      </c>
      <c r="T2126">
        <f>IFERROR(VLOOKUP(A2126,Table1[[Customer ID]:[Discount Amount]], 6, FALSE),"Not Found")</f>
        <v>60</v>
      </c>
      <c r="U2126" t="str">
        <f t="shared" si="133"/>
        <v>Venmo</v>
      </c>
      <c r="V2126" s="4" t="str">
        <f t="shared" si="134"/>
        <v>Normal</v>
      </c>
      <c r="W2126" s="4" t="str">
        <f t="shared" si="135"/>
        <v>Good</v>
      </c>
      <c r="X2126" s="4">
        <f>AVERAGE(Table1[Purchase Amount])</f>
        <v>129.48419400000012</v>
      </c>
    </row>
    <row r="2127" spans="1:24" ht="15" customHeight="1" x14ac:dyDescent="0.25">
      <c r="A2127">
        <v>2126</v>
      </c>
      <c r="B2127">
        <v>57</v>
      </c>
      <c r="C2127" t="s">
        <v>27</v>
      </c>
      <c r="D2127" t="s">
        <v>76</v>
      </c>
      <c r="E2127" t="s">
        <v>77</v>
      </c>
      <c r="F2127" s="2">
        <v>87</v>
      </c>
      <c r="G2127" t="s">
        <v>132</v>
      </c>
      <c r="H2127" t="s">
        <v>31</v>
      </c>
      <c r="I2127" t="s">
        <v>56</v>
      </c>
      <c r="J2127" t="s">
        <v>47</v>
      </c>
      <c r="K2127">
        <v>4.8</v>
      </c>
      <c r="L2127" t="s">
        <v>23</v>
      </c>
      <c r="M2127" t="s">
        <v>48</v>
      </c>
      <c r="N2127" t="s">
        <v>23</v>
      </c>
      <c r="O2127">
        <v>31</v>
      </c>
      <c r="P2127" t="s">
        <v>58</v>
      </c>
      <c r="Q2127" t="s">
        <v>37</v>
      </c>
      <c r="R2127" s="1">
        <v>0.1</v>
      </c>
      <c r="S2127">
        <f t="shared" si="132"/>
        <v>78.3</v>
      </c>
      <c r="T2127">
        <f>IFERROR(VLOOKUP(A2127,Table1[[Customer ID]:[Discount Amount]], 6, FALSE),"Not Found")</f>
        <v>87</v>
      </c>
      <c r="U2127" t="str">
        <f t="shared" si="133"/>
        <v>PayPal</v>
      </c>
      <c r="V2127" s="4" t="str">
        <f t="shared" si="134"/>
        <v>Normal</v>
      </c>
      <c r="W2127" s="4" t="str">
        <f t="shared" si="135"/>
        <v>Good</v>
      </c>
      <c r="X2127" s="4">
        <f>AVERAGE(Table1[Purchase Amount])</f>
        <v>129.48419400000012</v>
      </c>
    </row>
    <row r="2128" spans="1:24" ht="15" customHeight="1" x14ac:dyDescent="0.25">
      <c r="A2128">
        <v>2127</v>
      </c>
      <c r="B2128">
        <v>63</v>
      </c>
      <c r="C2128" t="s">
        <v>27</v>
      </c>
      <c r="D2128" t="s">
        <v>72</v>
      </c>
      <c r="E2128" t="s">
        <v>98</v>
      </c>
      <c r="F2128" s="2">
        <v>38</v>
      </c>
      <c r="G2128" t="s">
        <v>51</v>
      </c>
      <c r="H2128" t="s">
        <v>20</v>
      </c>
      <c r="I2128" t="s">
        <v>87</v>
      </c>
      <c r="J2128" t="s">
        <v>22</v>
      </c>
      <c r="K2128">
        <v>4.0999999999999996</v>
      </c>
      <c r="L2128" t="s">
        <v>23</v>
      </c>
      <c r="M2128" t="s">
        <v>61</v>
      </c>
      <c r="N2128" t="s">
        <v>23</v>
      </c>
      <c r="O2128">
        <v>28</v>
      </c>
      <c r="P2128" t="s">
        <v>53</v>
      </c>
      <c r="Q2128" t="s">
        <v>42</v>
      </c>
      <c r="R2128" s="1">
        <v>0.1</v>
      </c>
      <c r="S2128">
        <f t="shared" si="132"/>
        <v>34.200000000000003</v>
      </c>
      <c r="T2128">
        <f>IFERROR(VLOOKUP(A2128,Table1[[Customer ID]:[Discount Amount]], 6, FALSE),"Not Found")</f>
        <v>38</v>
      </c>
      <c r="U2128" t="str">
        <f t="shared" si="133"/>
        <v>Credit Card</v>
      </c>
      <c r="V2128" s="4" t="str">
        <f t="shared" si="134"/>
        <v>Normal</v>
      </c>
      <c r="W2128" s="4" t="str">
        <f t="shared" si="135"/>
        <v>Good</v>
      </c>
      <c r="X2128" s="4">
        <f>AVERAGE(Table1[Purchase Amount])</f>
        <v>129.48419400000012</v>
      </c>
    </row>
    <row r="2129" spans="1:24" ht="15" customHeight="1" x14ac:dyDescent="0.25">
      <c r="A2129">
        <v>2128</v>
      </c>
      <c r="B2129">
        <v>70</v>
      </c>
      <c r="C2129" t="s">
        <v>27</v>
      </c>
      <c r="D2129" t="s">
        <v>151</v>
      </c>
      <c r="E2129" t="s">
        <v>98</v>
      </c>
      <c r="F2129" s="2">
        <v>45</v>
      </c>
      <c r="G2129" t="s">
        <v>134</v>
      </c>
      <c r="H2129" t="s">
        <v>31</v>
      </c>
      <c r="I2129" t="s">
        <v>91</v>
      </c>
      <c r="J2129" t="s">
        <v>33</v>
      </c>
      <c r="K2129">
        <v>4.5</v>
      </c>
      <c r="L2129" t="s">
        <v>23</v>
      </c>
      <c r="M2129" t="s">
        <v>41</v>
      </c>
      <c r="N2129" t="s">
        <v>23</v>
      </c>
      <c r="O2129">
        <v>40</v>
      </c>
      <c r="P2129" t="s">
        <v>36</v>
      </c>
      <c r="Q2129" t="s">
        <v>26</v>
      </c>
      <c r="R2129" s="1">
        <v>0.1</v>
      </c>
      <c r="S2129">
        <f t="shared" si="132"/>
        <v>40.5</v>
      </c>
      <c r="T2129">
        <f>IFERROR(VLOOKUP(A2129,Table1[[Customer ID]:[Discount Amount]], 6, FALSE),"Not Found")</f>
        <v>45</v>
      </c>
      <c r="U2129" t="str">
        <f t="shared" si="133"/>
        <v>Debit Card</v>
      </c>
      <c r="V2129" s="4" t="str">
        <f t="shared" si="134"/>
        <v>Normal</v>
      </c>
      <c r="W2129" s="4" t="str">
        <f t="shared" si="135"/>
        <v>Good</v>
      </c>
      <c r="X2129" s="4">
        <f>AVERAGE(Table1[Purchase Amount])</f>
        <v>129.48419400000012</v>
      </c>
    </row>
    <row r="2130" spans="1:24" ht="15" customHeight="1" x14ac:dyDescent="0.25">
      <c r="A2130">
        <v>2129</v>
      </c>
      <c r="B2130">
        <v>62</v>
      </c>
      <c r="C2130" t="s">
        <v>27</v>
      </c>
      <c r="D2130" t="s">
        <v>76</v>
      </c>
      <c r="E2130" t="s">
        <v>77</v>
      </c>
      <c r="F2130" s="2">
        <v>47</v>
      </c>
      <c r="G2130" t="s">
        <v>110</v>
      </c>
      <c r="H2130" t="s">
        <v>45</v>
      </c>
      <c r="I2130" t="s">
        <v>128</v>
      </c>
      <c r="J2130" t="s">
        <v>47</v>
      </c>
      <c r="K2130">
        <v>2.7</v>
      </c>
      <c r="L2130" t="s">
        <v>23</v>
      </c>
      <c r="M2130" t="s">
        <v>41</v>
      </c>
      <c r="N2130" t="s">
        <v>23</v>
      </c>
      <c r="O2130">
        <v>21</v>
      </c>
      <c r="P2130" t="s">
        <v>58</v>
      </c>
      <c r="Q2130" t="s">
        <v>26</v>
      </c>
      <c r="R2130" s="1">
        <v>0.1</v>
      </c>
      <c r="S2130">
        <f t="shared" si="132"/>
        <v>42.3</v>
      </c>
      <c r="T2130">
        <f>IFERROR(VLOOKUP(A2130,Table1[[Customer ID]:[Discount Amount]], 6, FALSE),"Not Found")</f>
        <v>47</v>
      </c>
      <c r="U2130" t="str">
        <f t="shared" si="133"/>
        <v>PayPal</v>
      </c>
      <c r="V2130" s="4" t="str">
        <f t="shared" si="134"/>
        <v>Normal</v>
      </c>
      <c r="W2130" s="4" t="str">
        <f t="shared" si="135"/>
        <v>Poor</v>
      </c>
      <c r="X2130" s="4">
        <f>AVERAGE(Table1[Purchase Amount])</f>
        <v>129.48419400000012</v>
      </c>
    </row>
    <row r="2131" spans="1:24" ht="15" customHeight="1" x14ac:dyDescent="0.25">
      <c r="A2131">
        <v>2130</v>
      </c>
      <c r="B2131">
        <v>40</v>
      </c>
      <c r="C2131" t="s">
        <v>27</v>
      </c>
      <c r="D2131" t="s">
        <v>122</v>
      </c>
      <c r="E2131" t="s">
        <v>18</v>
      </c>
      <c r="F2131" s="2">
        <v>57</v>
      </c>
      <c r="G2131" t="s">
        <v>120</v>
      </c>
      <c r="H2131" t="s">
        <v>45</v>
      </c>
      <c r="I2131" t="s">
        <v>108</v>
      </c>
      <c r="J2131" t="s">
        <v>47</v>
      </c>
      <c r="K2131">
        <v>2.8</v>
      </c>
      <c r="L2131" t="s">
        <v>23</v>
      </c>
      <c r="M2131" t="s">
        <v>48</v>
      </c>
      <c r="N2131" t="s">
        <v>23</v>
      </c>
      <c r="O2131">
        <v>12</v>
      </c>
      <c r="P2131" t="s">
        <v>58</v>
      </c>
      <c r="Q2131" t="s">
        <v>63</v>
      </c>
      <c r="R2131" s="1">
        <v>0.1</v>
      </c>
      <c r="S2131">
        <f t="shared" si="132"/>
        <v>51.3</v>
      </c>
      <c r="T2131">
        <f>IFERROR(VLOOKUP(A2131,Table1[[Customer ID]:[Discount Amount]], 6, FALSE),"Not Found")</f>
        <v>57</v>
      </c>
      <c r="U2131" t="str">
        <f t="shared" si="133"/>
        <v>PayPal</v>
      </c>
      <c r="V2131" s="4" t="str">
        <f t="shared" si="134"/>
        <v>Normal</v>
      </c>
      <c r="W2131" s="4" t="str">
        <f t="shared" si="135"/>
        <v>Poor</v>
      </c>
      <c r="X2131" s="4">
        <f>AVERAGE(Table1[Purchase Amount])</f>
        <v>129.48419400000012</v>
      </c>
    </row>
    <row r="2132" spans="1:24" ht="15" customHeight="1" x14ac:dyDescent="0.25">
      <c r="A2132">
        <v>2131</v>
      </c>
      <c r="B2132">
        <v>25</v>
      </c>
      <c r="C2132" t="s">
        <v>27</v>
      </c>
      <c r="D2132" t="s">
        <v>104</v>
      </c>
      <c r="E2132" t="s">
        <v>29</v>
      </c>
      <c r="F2132" s="2">
        <v>68</v>
      </c>
      <c r="G2132" t="s">
        <v>150</v>
      </c>
      <c r="H2132" t="s">
        <v>45</v>
      </c>
      <c r="I2132" t="s">
        <v>111</v>
      </c>
      <c r="J2132" t="s">
        <v>57</v>
      </c>
      <c r="K2132">
        <v>3.7</v>
      </c>
      <c r="L2132" t="s">
        <v>23</v>
      </c>
      <c r="M2132" t="s">
        <v>35</v>
      </c>
      <c r="N2132" t="s">
        <v>23</v>
      </c>
      <c r="O2132">
        <v>33</v>
      </c>
      <c r="P2132" t="s">
        <v>53</v>
      </c>
      <c r="Q2132" t="s">
        <v>49</v>
      </c>
      <c r="R2132" s="1">
        <v>0.1</v>
      </c>
      <c r="S2132">
        <f t="shared" si="132"/>
        <v>61.2</v>
      </c>
      <c r="T2132">
        <f>IFERROR(VLOOKUP(A2132,Table1[[Customer ID]:[Discount Amount]], 6, FALSE),"Not Found")</f>
        <v>68</v>
      </c>
      <c r="U2132" t="str">
        <f t="shared" si="133"/>
        <v>Credit Card</v>
      </c>
      <c r="V2132" s="4" t="str">
        <f t="shared" si="134"/>
        <v>Normal</v>
      </c>
      <c r="W2132" s="4" t="str">
        <f t="shared" si="135"/>
        <v>Good</v>
      </c>
      <c r="X2132" s="4">
        <f>AVERAGE(Table1[Purchase Amount])</f>
        <v>129.48419400000012</v>
      </c>
    </row>
    <row r="2133" spans="1:24" ht="15" customHeight="1" x14ac:dyDescent="0.25">
      <c r="A2133">
        <v>2132</v>
      </c>
      <c r="B2133">
        <v>19</v>
      </c>
      <c r="C2133" t="s">
        <v>27</v>
      </c>
      <c r="D2133" t="s">
        <v>54</v>
      </c>
      <c r="E2133" t="s">
        <v>18</v>
      </c>
      <c r="F2133" s="2">
        <v>52</v>
      </c>
      <c r="G2133" t="s">
        <v>39</v>
      </c>
      <c r="H2133" t="s">
        <v>31</v>
      </c>
      <c r="I2133" t="s">
        <v>46</v>
      </c>
      <c r="J2133" t="s">
        <v>47</v>
      </c>
      <c r="K2133">
        <v>3.6</v>
      </c>
      <c r="L2133" t="s">
        <v>23</v>
      </c>
      <c r="M2133" t="s">
        <v>61</v>
      </c>
      <c r="N2133" t="s">
        <v>23</v>
      </c>
      <c r="O2133">
        <v>9</v>
      </c>
      <c r="P2133" t="s">
        <v>88</v>
      </c>
      <c r="Q2133" t="s">
        <v>89</v>
      </c>
      <c r="R2133" s="1">
        <v>0.1</v>
      </c>
      <c r="S2133">
        <f t="shared" si="132"/>
        <v>46.8</v>
      </c>
      <c r="T2133">
        <f>IFERROR(VLOOKUP(A2133,Table1[[Customer ID]:[Discount Amount]], 6, FALSE),"Not Found")</f>
        <v>52</v>
      </c>
      <c r="U2133" t="str">
        <f t="shared" si="133"/>
        <v>Bank Transfer</v>
      </c>
      <c r="V2133" s="4" t="str">
        <f t="shared" si="134"/>
        <v>Normal</v>
      </c>
      <c r="W2133" s="4" t="str">
        <f t="shared" si="135"/>
        <v>Good</v>
      </c>
      <c r="X2133" s="4">
        <f>AVERAGE(Table1[Purchase Amount])</f>
        <v>129.48419400000012</v>
      </c>
    </row>
    <row r="2134" spans="1:24" ht="15" customHeight="1" x14ac:dyDescent="0.25">
      <c r="A2134">
        <v>2133</v>
      </c>
      <c r="B2134">
        <v>25</v>
      </c>
      <c r="C2134" t="s">
        <v>27</v>
      </c>
      <c r="D2134" t="s">
        <v>122</v>
      </c>
      <c r="E2134" t="s">
        <v>18</v>
      </c>
      <c r="F2134" s="2">
        <v>87</v>
      </c>
      <c r="G2134" t="s">
        <v>84</v>
      </c>
      <c r="H2134" t="s">
        <v>31</v>
      </c>
      <c r="I2134" t="s">
        <v>87</v>
      </c>
      <c r="J2134" t="s">
        <v>47</v>
      </c>
      <c r="K2134">
        <v>4.7</v>
      </c>
      <c r="L2134" t="s">
        <v>23</v>
      </c>
      <c r="M2134" t="s">
        <v>41</v>
      </c>
      <c r="N2134" t="s">
        <v>23</v>
      </c>
      <c r="O2134">
        <v>15</v>
      </c>
      <c r="P2134" t="s">
        <v>36</v>
      </c>
      <c r="Q2134" t="s">
        <v>26</v>
      </c>
      <c r="R2134" s="1">
        <v>0.1</v>
      </c>
      <c r="S2134">
        <f t="shared" si="132"/>
        <v>78.3</v>
      </c>
      <c r="T2134">
        <f>IFERROR(VLOOKUP(A2134,Table1[[Customer ID]:[Discount Amount]], 6, FALSE),"Not Found")</f>
        <v>87</v>
      </c>
      <c r="U2134" t="str">
        <f t="shared" si="133"/>
        <v>Debit Card</v>
      </c>
      <c r="V2134" s="4" t="str">
        <f t="shared" si="134"/>
        <v>Normal</v>
      </c>
      <c r="W2134" s="4" t="str">
        <f t="shared" si="135"/>
        <v>Good</v>
      </c>
      <c r="X2134" s="4">
        <f>AVERAGE(Table1[Purchase Amount])</f>
        <v>129.48419400000012</v>
      </c>
    </row>
    <row r="2135" spans="1:24" ht="15" customHeight="1" x14ac:dyDescent="0.25">
      <c r="A2135">
        <v>2134</v>
      </c>
      <c r="B2135">
        <v>21</v>
      </c>
      <c r="C2135" t="s">
        <v>27</v>
      </c>
      <c r="D2135" t="s">
        <v>64</v>
      </c>
      <c r="E2135" t="s">
        <v>29</v>
      </c>
      <c r="F2135" s="2">
        <v>34</v>
      </c>
      <c r="G2135" t="s">
        <v>94</v>
      </c>
      <c r="H2135" t="s">
        <v>31</v>
      </c>
      <c r="I2135" t="s">
        <v>21</v>
      </c>
      <c r="J2135" t="s">
        <v>57</v>
      </c>
      <c r="K2135">
        <v>3.8</v>
      </c>
      <c r="L2135" t="s">
        <v>23</v>
      </c>
      <c r="M2135" t="s">
        <v>24</v>
      </c>
      <c r="N2135" t="s">
        <v>23</v>
      </c>
      <c r="O2135">
        <v>13</v>
      </c>
      <c r="P2135" t="s">
        <v>88</v>
      </c>
      <c r="Q2135" t="s">
        <v>49</v>
      </c>
      <c r="R2135" s="1">
        <v>0.1</v>
      </c>
      <c r="S2135">
        <f t="shared" si="132"/>
        <v>30.6</v>
      </c>
      <c r="T2135">
        <f>IFERROR(VLOOKUP(A2135,Table1[[Customer ID]:[Discount Amount]], 6, FALSE),"Not Found")</f>
        <v>34</v>
      </c>
      <c r="U2135" t="str">
        <f t="shared" si="133"/>
        <v>Bank Transfer</v>
      </c>
      <c r="V2135" s="4" t="str">
        <f t="shared" si="134"/>
        <v>Normal</v>
      </c>
      <c r="W2135" s="4" t="str">
        <f t="shared" si="135"/>
        <v>Good</v>
      </c>
      <c r="X2135" s="4">
        <f>AVERAGE(Table1[Purchase Amount])</f>
        <v>129.48419400000012</v>
      </c>
    </row>
    <row r="2136" spans="1:24" ht="15" customHeight="1" x14ac:dyDescent="0.25">
      <c r="A2136">
        <v>2135</v>
      </c>
      <c r="B2136">
        <v>55</v>
      </c>
      <c r="C2136" t="s">
        <v>27</v>
      </c>
      <c r="D2136" t="s">
        <v>121</v>
      </c>
      <c r="E2136" t="s">
        <v>98</v>
      </c>
      <c r="F2136" s="2">
        <v>41</v>
      </c>
      <c r="G2136" t="s">
        <v>138</v>
      </c>
      <c r="H2136" t="s">
        <v>20</v>
      </c>
      <c r="I2136" t="s">
        <v>125</v>
      </c>
      <c r="J2136" t="s">
        <v>22</v>
      </c>
      <c r="K2136">
        <v>2.9</v>
      </c>
      <c r="L2136" t="s">
        <v>23</v>
      </c>
      <c r="M2136" t="s">
        <v>24</v>
      </c>
      <c r="N2136" t="s">
        <v>23</v>
      </c>
      <c r="O2136">
        <v>35</v>
      </c>
      <c r="P2136" t="s">
        <v>53</v>
      </c>
      <c r="Q2136" t="s">
        <v>89</v>
      </c>
      <c r="R2136" s="1">
        <v>0.1</v>
      </c>
      <c r="S2136">
        <f t="shared" si="132"/>
        <v>36.9</v>
      </c>
      <c r="T2136">
        <f>IFERROR(VLOOKUP(A2136,Table1[[Customer ID]:[Discount Amount]], 6, FALSE),"Not Found")</f>
        <v>41</v>
      </c>
      <c r="U2136" t="str">
        <f t="shared" si="133"/>
        <v>Credit Card</v>
      </c>
      <c r="V2136" s="4" t="str">
        <f t="shared" si="134"/>
        <v>Normal</v>
      </c>
      <c r="W2136" s="4" t="str">
        <f t="shared" si="135"/>
        <v>Poor</v>
      </c>
      <c r="X2136" s="4">
        <f>AVERAGE(Table1[Purchase Amount])</f>
        <v>129.48419400000012</v>
      </c>
    </row>
    <row r="2137" spans="1:24" ht="15" customHeight="1" x14ac:dyDescent="0.25">
      <c r="A2137">
        <v>2136</v>
      </c>
      <c r="B2137">
        <v>34</v>
      </c>
      <c r="C2137" t="s">
        <v>27</v>
      </c>
      <c r="D2137" t="s">
        <v>28</v>
      </c>
      <c r="E2137" t="s">
        <v>29</v>
      </c>
      <c r="F2137" s="2">
        <v>94</v>
      </c>
      <c r="G2137" t="s">
        <v>19</v>
      </c>
      <c r="H2137" t="s">
        <v>55</v>
      </c>
      <c r="I2137" t="s">
        <v>52</v>
      </c>
      <c r="J2137" t="s">
        <v>22</v>
      </c>
      <c r="K2137">
        <v>4.5999999999999996</v>
      </c>
      <c r="L2137" t="s">
        <v>23</v>
      </c>
      <c r="M2137" t="s">
        <v>79</v>
      </c>
      <c r="N2137" t="s">
        <v>23</v>
      </c>
      <c r="O2137">
        <v>1</v>
      </c>
      <c r="P2137" t="s">
        <v>36</v>
      </c>
      <c r="Q2137" t="s">
        <v>63</v>
      </c>
      <c r="R2137" s="1">
        <v>0.1</v>
      </c>
      <c r="S2137">
        <f t="shared" si="132"/>
        <v>84.6</v>
      </c>
      <c r="T2137">
        <f>IFERROR(VLOOKUP(A2137,Table1[[Customer ID]:[Discount Amount]], 6, FALSE),"Not Found")</f>
        <v>94</v>
      </c>
      <c r="U2137" t="str">
        <f t="shared" si="133"/>
        <v>Debit Card</v>
      </c>
      <c r="V2137" s="4" t="str">
        <f t="shared" si="134"/>
        <v>Normal</v>
      </c>
      <c r="W2137" s="4" t="str">
        <f t="shared" si="135"/>
        <v>Good</v>
      </c>
      <c r="X2137" s="4">
        <f>AVERAGE(Table1[Purchase Amount])</f>
        <v>129.48419400000012</v>
      </c>
    </row>
    <row r="2138" spans="1:24" ht="15" customHeight="1" x14ac:dyDescent="0.25">
      <c r="A2138">
        <v>2137</v>
      </c>
      <c r="B2138">
        <v>47</v>
      </c>
      <c r="C2138" t="s">
        <v>27</v>
      </c>
      <c r="D2138" t="s">
        <v>28</v>
      </c>
      <c r="E2138" t="s">
        <v>29</v>
      </c>
      <c r="F2138" s="2">
        <v>93</v>
      </c>
      <c r="G2138" t="s">
        <v>101</v>
      </c>
      <c r="H2138" t="s">
        <v>31</v>
      </c>
      <c r="I2138" t="s">
        <v>46</v>
      </c>
      <c r="J2138" t="s">
        <v>57</v>
      </c>
      <c r="K2138">
        <v>2.8</v>
      </c>
      <c r="L2138" t="s">
        <v>23</v>
      </c>
      <c r="M2138" t="s">
        <v>24</v>
      </c>
      <c r="N2138" t="s">
        <v>23</v>
      </c>
      <c r="O2138">
        <v>25</v>
      </c>
      <c r="P2138" t="s">
        <v>88</v>
      </c>
      <c r="Q2138" t="s">
        <v>89</v>
      </c>
      <c r="R2138" s="1">
        <v>0.1</v>
      </c>
      <c r="S2138">
        <f t="shared" si="132"/>
        <v>83.7</v>
      </c>
      <c r="T2138">
        <f>IFERROR(VLOOKUP(A2138,Table1[[Customer ID]:[Discount Amount]], 6, FALSE),"Not Found")</f>
        <v>93</v>
      </c>
      <c r="U2138" t="str">
        <f t="shared" si="133"/>
        <v>Bank Transfer</v>
      </c>
      <c r="V2138" s="4" t="str">
        <f t="shared" si="134"/>
        <v>Normal</v>
      </c>
      <c r="W2138" s="4" t="str">
        <f t="shared" si="135"/>
        <v>Poor</v>
      </c>
      <c r="X2138" s="4">
        <f>AVERAGE(Table1[Purchase Amount])</f>
        <v>129.48419400000012</v>
      </c>
    </row>
    <row r="2139" spans="1:24" ht="15" customHeight="1" x14ac:dyDescent="0.25">
      <c r="A2139">
        <v>2138</v>
      </c>
      <c r="B2139">
        <v>27</v>
      </c>
      <c r="C2139" t="s">
        <v>27</v>
      </c>
      <c r="D2139" t="s">
        <v>105</v>
      </c>
      <c r="E2139" t="s">
        <v>18</v>
      </c>
      <c r="F2139" s="2">
        <v>51</v>
      </c>
      <c r="G2139" t="s">
        <v>102</v>
      </c>
      <c r="H2139" t="s">
        <v>20</v>
      </c>
      <c r="I2139" t="s">
        <v>66</v>
      </c>
      <c r="J2139" t="s">
        <v>22</v>
      </c>
      <c r="K2139">
        <v>4.5999999999999996</v>
      </c>
      <c r="L2139" t="s">
        <v>23</v>
      </c>
      <c r="M2139" t="s">
        <v>41</v>
      </c>
      <c r="N2139" t="s">
        <v>23</v>
      </c>
      <c r="O2139">
        <v>20</v>
      </c>
      <c r="P2139" t="s">
        <v>53</v>
      </c>
      <c r="Q2139" t="s">
        <v>63</v>
      </c>
      <c r="R2139" s="1">
        <v>0.1</v>
      </c>
      <c r="S2139">
        <f t="shared" si="132"/>
        <v>45.9</v>
      </c>
      <c r="T2139">
        <f>IFERROR(VLOOKUP(A2139,Table1[[Customer ID]:[Discount Amount]], 6, FALSE),"Not Found")</f>
        <v>51</v>
      </c>
      <c r="U2139" t="str">
        <f t="shared" si="133"/>
        <v>Credit Card</v>
      </c>
      <c r="V2139" s="4" t="str">
        <f t="shared" si="134"/>
        <v>Normal</v>
      </c>
      <c r="W2139" s="4" t="str">
        <f t="shared" si="135"/>
        <v>Good</v>
      </c>
      <c r="X2139" s="4">
        <f>AVERAGE(Table1[Purchase Amount])</f>
        <v>129.48419400000012</v>
      </c>
    </row>
    <row r="2140" spans="1:24" ht="15" customHeight="1" x14ac:dyDescent="0.25">
      <c r="A2140">
        <v>2139</v>
      </c>
      <c r="B2140">
        <v>67</v>
      </c>
      <c r="C2140" t="s">
        <v>27</v>
      </c>
      <c r="D2140" t="s">
        <v>127</v>
      </c>
      <c r="E2140" t="s">
        <v>18</v>
      </c>
      <c r="F2140" s="2">
        <v>42</v>
      </c>
      <c r="G2140" t="s">
        <v>149</v>
      </c>
      <c r="H2140" t="s">
        <v>31</v>
      </c>
      <c r="I2140" t="s">
        <v>147</v>
      </c>
      <c r="J2140" t="s">
        <v>47</v>
      </c>
      <c r="K2140">
        <v>2.8</v>
      </c>
      <c r="L2140" t="s">
        <v>23</v>
      </c>
      <c r="M2140" t="s">
        <v>79</v>
      </c>
      <c r="N2140" t="s">
        <v>23</v>
      </c>
      <c r="O2140">
        <v>36</v>
      </c>
      <c r="P2140" t="s">
        <v>62</v>
      </c>
      <c r="Q2140" t="s">
        <v>37</v>
      </c>
      <c r="R2140" s="1">
        <v>0.1</v>
      </c>
      <c r="S2140">
        <f t="shared" si="132"/>
        <v>37.799999999999997</v>
      </c>
      <c r="T2140">
        <f>IFERROR(VLOOKUP(A2140,Table1[[Customer ID]:[Discount Amount]], 6, FALSE),"Not Found")</f>
        <v>42</v>
      </c>
      <c r="U2140" t="str">
        <f t="shared" si="133"/>
        <v>Venmo</v>
      </c>
      <c r="V2140" s="4" t="str">
        <f t="shared" si="134"/>
        <v>Normal</v>
      </c>
      <c r="W2140" s="4" t="str">
        <f t="shared" si="135"/>
        <v>Poor</v>
      </c>
      <c r="X2140" s="4">
        <f>AVERAGE(Table1[Purchase Amount])</f>
        <v>129.48419400000012</v>
      </c>
    </row>
    <row r="2141" spans="1:24" ht="15" customHeight="1" x14ac:dyDescent="0.25">
      <c r="A2141">
        <v>2140</v>
      </c>
      <c r="B2141">
        <v>40</v>
      </c>
      <c r="C2141" t="s">
        <v>27</v>
      </c>
      <c r="D2141" t="s">
        <v>151</v>
      </c>
      <c r="E2141" t="s">
        <v>98</v>
      </c>
      <c r="F2141" s="2">
        <v>95</v>
      </c>
      <c r="G2141" t="s">
        <v>101</v>
      </c>
      <c r="H2141" t="s">
        <v>31</v>
      </c>
      <c r="I2141" t="s">
        <v>46</v>
      </c>
      <c r="J2141" t="s">
        <v>22</v>
      </c>
      <c r="K2141">
        <v>3</v>
      </c>
      <c r="L2141" t="s">
        <v>23</v>
      </c>
      <c r="M2141" t="s">
        <v>35</v>
      </c>
      <c r="N2141" t="s">
        <v>23</v>
      </c>
      <c r="O2141">
        <v>33</v>
      </c>
      <c r="P2141" t="s">
        <v>25</v>
      </c>
      <c r="Q2141" t="s">
        <v>26</v>
      </c>
      <c r="R2141" s="1">
        <v>0.1</v>
      </c>
      <c r="S2141">
        <f t="shared" si="132"/>
        <v>85.5</v>
      </c>
      <c r="T2141">
        <f>IFERROR(VLOOKUP(A2141,Table1[[Customer ID]:[Discount Amount]], 6, FALSE),"Not Found")</f>
        <v>95</v>
      </c>
      <c r="U2141" t="str">
        <f t="shared" si="133"/>
        <v>Cash</v>
      </c>
      <c r="V2141" s="4" t="str">
        <f t="shared" si="134"/>
        <v>Normal</v>
      </c>
      <c r="W2141" s="4" t="str">
        <f t="shared" si="135"/>
        <v>Good</v>
      </c>
      <c r="X2141" s="4">
        <f>AVERAGE(Table1[Purchase Amount])</f>
        <v>129.48419400000012</v>
      </c>
    </row>
    <row r="2142" spans="1:24" ht="15" customHeight="1" x14ac:dyDescent="0.25">
      <c r="A2142">
        <v>2141</v>
      </c>
      <c r="B2142">
        <v>53</v>
      </c>
      <c r="C2142" t="s">
        <v>27</v>
      </c>
      <c r="D2142" t="s">
        <v>69</v>
      </c>
      <c r="E2142" t="s">
        <v>29</v>
      </c>
      <c r="F2142" s="2">
        <v>90</v>
      </c>
      <c r="G2142" t="s">
        <v>110</v>
      </c>
      <c r="H2142" t="s">
        <v>31</v>
      </c>
      <c r="I2142" t="s">
        <v>60</v>
      </c>
      <c r="J2142" t="s">
        <v>47</v>
      </c>
      <c r="K2142">
        <v>3.7</v>
      </c>
      <c r="L2142" t="s">
        <v>23</v>
      </c>
      <c r="M2142" t="s">
        <v>24</v>
      </c>
      <c r="N2142" t="s">
        <v>23</v>
      </c>
      <c r="O2142">
        <v>36</v>
      </c>
      <c r="P2142" t="s">
        <v>25</v>
      </c>
      <c r="Q2142" t="s">
        <v>89</v>
      </c>
      <c r="R2142" s="1">
        <v>0.1</v>
      </c>
      <c r="S2142">
        <f t="shared" si="132"/>
        <v>81</v>
      </c>
      <c r="T2142">
        <f>IFERROR(VLOOKUP(A2142,Table1[[Customer ID]:[Discount Amount]], 6, FALSE),"Not Found")</f>
        <v>90</v>
      </c>
      <c r="U2142" t="str">
        <f t="shared" si="133"/>
        <v>Cash</v>
      </c>
      <c r="V2142" s="4" t="str">
        <f t="shared" si="134"/>
        <v>Normal</v>
      </c>
      <c r="W2142" s="4" t="str">
        <f t="shared" si="135"/>
        <v>Good</v>
      </c>
      <c r="X2142" s="4">
        <f>AVERAGE(Table1[Purchase Amount])</f>
        <v>129.48419400000012</v>
      </c>
    </row>
    <row r="2143" spans="1:24" ht="15" customHeight="1" x14ac:dyDescent="0.25">
      <c r="A2143">
        <v>2142</v>
      </c>
      <c r="B2143">
        <v>24</v>
      </c>
      <c r="C2143" t="s">
        <v>27</v>
      </c>
      <c r="D2143" t="s">
        <v>157</v>
      </c>
      <c r="E2143" t="s">
        <v>18</v>
      </c>
      <c r="F2143" s="2">
        <v>98</v>
      </c>
      <c r="G2143" t="s">
        <v>70</v>
      </c>
      <c r="H2143" t="s">
        <v>31</v>
      </c>
      <c r="I2143" t="s">
        <v>145</v>
      </c>
      <c r="J2143" t="s">
        <v>22</v>
      </c>
      <c r="K2143">
        <v>4.0999999999999996</v>
      </c>
      <c r="L2143" t="s">
        <v>23</v>
      </c>
      <c r="M2143" t="s">
        <v>41</v>
      </c>
      <c r="N2143" t="s">
        <v>23</v>
      </c>
      <c r="O2143">
        <v>32</v>
      </c>
      <c r="P2143" t="s">
        <v>58</v>
      </c>
      <c r="Q2143" t="s">
        <v>49</v>
      </c>
      <c r="R2143" s="1">
        <v>0.1</v>
      </c>
      <c r="S2143">
        <f t="shared" si="132"/>
        <v>88.2</v>
      </c>
      <c r="T2143">
        <f>IFERROR(VLOOKUP(A2143,Table1[[Customer ID]:[Discount Amount]], 6, FALSE),"Not Found")</f>
        <v>98</v>
      </c>
      <c r="U2143" t="str">
        <f t="shared" si="133"/>
        <v>PayPal</v>
      </c>
      <c r="V2143" s="4" t="str">
        <f t="shared" si="134"/>
        <v>Normal</v>
      </c>
      <c r="W2143" s="4" t="str">
        <f t="shared" si="135"/>
        <v>Good</v>
      </c>
      <c r="X2143" s="4">
        <f>AVERAGE(Table1[Purchase Amount])</f>
        <v>129.48419400000012</v>
      </c>
    </row>
    <row r="2144" spans="1:24" ht="15" customHeight="1" x14ac:dyDescent="0.25">
      <c r="A2144">
        <v>2143</v>
      </c>
      <c r="B2144">
        <v>47</v>
      </c>
      <c r="C2144" t="s">
        <v>27</v>
      </c>
      <c r="D2144" t="s">
        <v>64</v>
      </c>
      <c r="E2144" t="s">
        <v>29</v>
      </c>
      <c r="F2144" s="2">
        <v>39</v>
      </c>
      <c r="G2144" t="s">
        <v>86</v>
      </c>
      <c r="H2144" t="s">
        <v>31</v>
      </c>
      <c r="I2144" t="s">
        <v>125</v>
      </c>
      <c r="J2144" t="s">
        <v>22</v>
      </c>
      <c r="K2144">
        <v>4.3</v>
      </c>
      <c r="L2144" t="s">
        <v>23</v>
      </c>
      <c r="M2144" t="s">
        <v>79</v>
      </c>
      <c r="N2144" t="s">
        <v>23</v>
      </c>
      <c r="O2144">
        <v>21</v>
      </c>
      <c r="P2144" t="s">
        <v>62</v>
      </c>
      <c r="Q2144" t="s">
        <v>37</v>
      </c>
      <c r="R2144" s="1">
        <v>0.1</v>
      </c>
      <c r="S2144">
        <f t="shared" si="132"/>
        <v>35.1</v>
      </c>
      <c r="T2144">
        <f>IFERROR(VLOOKUP(A2144,Table1[[Customer ID]:[Discount Amount]], 6, FALSE),"Not Found")</f>
        <v>39</v>
      </c>
      <c r="U2144" t="str">
        <f t="shared" si="133"/>
        <v>Venmo</v>
      </c>
      <c r="V2144" s="4" t="str">
        <f t="shared" si="134"/>
        <v>Normal</v>
      </c>
      <c r="W2144" s="4" t="str">
        <f t="shared" si="135"/>
        <v>Good</v>
      </c>
      <c r="X2144" s="4">
        <f>AVERAGE(Table1[Purchase Amount])</f>
        <v>129.48419400000012</v>
      </c>
    </row>
    <row r="2145" spans="1:24" ht="15" customHeight="1" x14ac:dyDescent="0.25">
      <c r="A2145">
        <v>2144</v>
      </c>
      <c r="B2145">
        <v>53</v>
      </c>
      <c r="C2145" t="s">
        <v>27</v>
      </c>
      <c r="D2145" t="s">
        <v>121</v>
      </c>
      <c r="E2145" t="s">
        <v>98</v>
      </c>
      <c r="F2145" s="2">
        <v>66</v>
      </c>
      <c r="G2145" t="s">
        <v>100</v>
      </c>
      <c r="H2145" t="s">
        <v>45</v>
      </c>
      <c r="I2145" t="s">
        <v>46</v>
      </c>
      <c r="J2145" t="s">
        <v>47</v>
      </c>
      <c r="K2145">
        <v>3.8</v>
      </c>
      <c r="L2145" t="s">
        <v>23</v>
      </c>
      <c r="M2145" t="s">
        <v>79</v>
      </c>
      <c r="N2145" t="s">
        <v>23</v>
      </c>
      <c r="O2145">
        <v>48</v>
      </c>
      <c r="P2145" t="s">
        <v>62</v>
      </c>
      <c r="Q2145" t="s">
        <v>68</v>
      </c>
      <c r="R2145" s="1">
        <v>0.1</v>
      </c>
      <c r="S2145">
        <f t="shared" si="132"/>
        <v>59.4</v>
      </c>
      <c r="T2145">
        <f>IFERROR(VLOOKUP(A2145,Table1[[Customer ID]:[Discount Amount]], 6, FALSE),"Not Found")</f>
        <v>66</v>
      </c>
      <c r="U2145" t="str">
        <f t="shared" si="133"/>
        <v>Venmo</v>
      </c>
      <c r="V2145" s="4" t="str">
        <f t="shared" si="134"/>
        <v>Normal</v>
      </c>
      <c r="W2145" s="4" t="str">
        <f t="shared" si="135"/>
        <v>Good</v>
      </c>
      <c r="X2145" s="4">
        <f>AVERAGE(Table1[Purchase Amount])</f>
        <v>129.48419400000012</v>
      </c>
    </row>
    <row r="2146" spans="1:24" ht="15" customHeight="1" x14ac:dyDescent="0.25">
      <c r="A2146">
        <v>2145</v>
      </c>
      <c r="B2146">
        <v>47</v>
      </c>
      <c r="C2146" t="s">
        <v>27</v>
      </c>
      <c r="D2146" t="s">
        <v>72</v>
      </c>
      <c r="E2146" t="s">
        <v>98</v>
      </c>
      <c r="F2146" s="2">
        <v>23</v>
      </c>
      <c r="G2146" t="s">
        <v>106</v>
      </c>
      <c r="H2146" t="s">
        <v>45</v>
      </c>
      <c r="I2146" t="s">
        <v>108</v>
      </c>
      <c r="J2146" t="s">
        <v>22</v>
      </c>
      <c r="K2146">
        <v>3.7</v>
      </c>
      <c r="L2146" t="s">
        <v>23</v>
      </c>
      <c r="M2146" t="s">
        <v>35</v>
      </c>
      <c r="N2146" t="s">
        <v>23</v>
      </c>
      <c r="O2146">
        <v>25</v>
      </c>
      <c r="P2146" t="s">
        <v>58</v>
      </c>
      <c r="Q2146" t="s">
        <v>37</v>
      </c>
      <c r="R2146" s="1">
        <v>0.1</v>
      </c>
      <c r="S2146">
        <f t="shared" si="132"/>
        <v>20.7</v>
      </c>
      <c r="T2146">
        <f>IFERROR(VLOOKUP(A2146,Table1[[Customer ID]:[Discount Amount]], 6, FALSE),"Not Found")</f>
        <v>23</v>
      </c>
      <c r="U2146" t="str">
        <f t="shared" si="133"/>
        <v>PayPal</v>
      </c>
      <c r="V2146" s="4" t="str">
        <f t="shared" si="134"/>
        <v>Normal</v>
      </c>
      <c r="W2146" s="4" t="str">
        <f t="shared" si="135"/>
        <v>Good</v>
      </c>
      <c r="X2146" s="4">
        <f>AVERAGE(Table1[Purchase Amount])</f>
        <v>129.48419400000012</v>
      </c>
    </row>
    <row r="2147" spans="1:24" ht="15" customHeight="1" x14ac:dyDescent="0.25">
      <c r="A2147">
        <v>2146</v>
      </c>
      <c r="B2147">
        <v>38</v>
      </c>
      <c r="C2147" t="s">
        <v>27</v>
      </c>
      <c r="D2147" t="s">
        <v>122</v>
      </c>
      <c r="E2147" t="s">
        <v>18</v>
      </c>
      <c r="F2147" s="2">
        <v>73</v>
      </c>
      <c r="G2147" t="s">
        <v>115</v>
      </c>
      <c r="H2147" t="s">
        <v>55</v>
      </c>
      <c r="I2147" t="s">
        <v>32</v>
      </c>
      <c r="J2147" t="s">
        <v>22</v>
      </c>
      <c r="K2147">
        <v>4.8</v>
      </c>
      <c r="L2147" t="s">
        <v>23</v>
      </c>
      <c r="M2147" t="s">
        <v>24</v>
      </c>
      <c r="N2147" t="s">
        <v>23</v>
      </c>
      <c r="O2147">
        <v>32</v>
      </c>
      <c r="P2147" t="s">
        <v>58</v>
      </c>
      <c r="Q2147" t="s">
        <v>49</v>
      </c>
      <c r="R2147" s="1">
        <v>0.1</v>
      </c>
      <c r="S2147">
        <f t="shared" si="132"/>
        <v>65.7</v>
      </c>
      <c r="T2147">
        <f>IFERROR(VLOOKUP(A2147,Table1[[Customer ID]:[Discount Amount]], 6, FALSE),"Not Found")</f>
        <v>73</v>
      </c>
      <c r="U2147" t="str">
        <f t="shared" si="133"/>
        <v>PayPal</v>
      </c>
      <c r="V2147" s="4" t="str">
        <f t="shared" si="134"/>
        <v>Normal</v>
      </c>
      <c r="W2147" s="4" t="str">
        <f t="shared" si="135"/>
        <v>Good</v>
      </c>
      <c r="X2147" s="4">
        <f>AVERAGE(Table1[Purchase Amount])</f>
        <v>129.48419400000012</v>
      </c>
    </row>
    <row r="2148" spans="1:24" ht="15" customHeight="1" x14ac:dyDescent="0.25">
      <c r="A2148">
        <v>2147</v>
      </c>
      <c r="B2148">
        <v>48</v>
      </c>
      <c r="C2148" t="s">
        <v>27</v>
      </c>
      <c r="D2148" t="s">
        <v>28</v>
      </c>
      <c r="E2148" t="s">
        <v>29</v>
      </c>
      <c r="F2148" s="2">
        <v>23</v>
      </c>
      <c r="G2148" t="s">
        <v>144</v>
      </c>
      <c r="H2148" t="s">
        <v>20</v>
      </c>
      <c r="I2148" t="s">
        <v>32</v>
      </c>
      <c r="J2148" t="s">
        <v>57</v>
      </c>
      <c r="K2148">
        <v>4.5999999999999996</v>
      </c>
      <c r="L2148" t="s">
        <v>23</v>
      </c>
      <c r="M2148" t="s">
        <v>24</v>
      </c>
      <c r="N2148" t="s">
        <v>23</v>
      </c>
      <c r="O2148">
        <v>45</v>
      </c>
      <c r="P2148" t="s">
        <v>58</v>
      </c>
      <c r="Q2148" t="s">
        <v>63</v>
      </c>
      <c r="R2148" s="1">
        <v>0.1</v>
      </c>
      <c r="S2148">
        <f t="shared" si="132"/>
        <v>20.7</v>
      </c>
      <c r="T2148">
        <f>IFERROR(VLOOKUP(A2148,Table1[[Customer ID]:[Discount Amount]], 6, FALSE),"Not Found")</f>
        <v>23</v>
      </c>
      <c r="U2148" t="str">
        <f t="shared" si="133"/>
        <v>PayPal</v>
      </c>
      <c r="V2148" s="4" t="str">
        <f t="shared" si="134"/>
        <v>Normal</v>
      </c>
      <c r="W2148" s="4" t="str">
        <f t="shared" si="135"/>
        <v>Good</v>
      </c>
      <c r="X2148" s="4">
        <f>AVERAGE(Table1[Purchase Amount])</f>
        <v>129.48419400000012</v>
      </c>
    </row>
    <row r="2149" spans="1:24" ht="15" customHeight="1" x14ac:dyDescent="0.25">
      <c r="A2149">
        <v>2148</v>
      </c>
      <c r="B2149">
        <v>47</v>
      </c>
      <c r="C2149" t="s">
        <v>27</v>
      </c>
      <c r="D2149" t="s">
        <v>122</v>
      </c>
      <c r="E2149" t="s">
        <v>18</v>
      </c>
      <c r="F2149" s="2">
        <v>43</v>
      </c>
      <c r="G2149" t="s">
        <v>146</v>
      </c>
      <c r="H2149" t="s">
        <v>55</v>
      </c>
      <c r="I2149" t="s">
        <v>103</v>
      </c>
      <c r="J2149" t="s">
        <v>47</v>
      </c>
      <c r="K2149">
        <v>4.8</v>
      </c>
      <c r="L2149" t="s">
        <v>23</v>
      </c>
      <c r="M2149" t="s">
        <v>24</v>
      </c>
      <c r="N2149" t="s">
        <v>23</v>
      </c>
      <c r="O2149">
        <v>4</v>
      </c>
      <c r="P2149" t="s">
        <v>25</v>
      </c>
      <c r="Q2149" t="s">
        <v>89</v>
      </c>
      <c r="R2149" s="1">
        <v>0.1</v>
      </c>
      <c r="S2149">
        <f t="shared" si="132"/>
        <v>38.700000000000003</v>
      </c>
      <c r="T2149">
        <f>IFERROR(VLOOKUP(A2149,Table1[[Customer ID]:[Discount Amount]], 6, FALSE),"Not Found")</f>
        <v>43</v>
      </c>
      <c r="U2149" t="str">
        <f t="shared" si="133"/>
        <v>Cash</v>
      </c>
      <c r="V2149" s="4" t="str">
        <f t="shared" si="134"/>
        <v>Normal</v>
      </c>
      <c r="W2149" s="4" t="str">
        <f t="shared" si="135"/>
        <v>Good</v>
      </c>
      <c r="X2149" s="4">
        <f>AVERAGE(Table1[Purchase Amount])</f>
        <v>129.48419400000012</v>
      </c>
    </row>
    <row r="2150" spans="1:24" ht="15" customHeight="1" x14ac:dyDescent="0.25">
      <c r="A2150">
        <v>2149</v>
      </c>
      <c r="B2150">
        <v>19</v>
      </c>
      <c r="C2150" t="s">
        <v>27</v>
      </c>
      <c r="D2150" t="s">
        <v>17</v>
      </c>
      <c r="E2150" t="s">
        <v>18</v>
      </c>
      <c r="F2150" s="2">
        <v>45</v>
      </c>
      <c r="G2150" t="s">
        <v>137</v>
      </c>
      <c r="H2150" t="s">
        <v>20</v>
      </c>
      <c r="I2150" t="s">
        <v>156</v>
      </c>
      <c r="J2150" t="s">
        <v>22</v>
      </c>
      <c r="K2150">
        <v>4.5999999999999996</v>
      </c>
      <c r="L2150" t="s">
        <v>23</v>
      </c>
      <c r="M2150" t="s">
        <v>41</v>
      </c>
      <c r="N2150" t="s">
        <v>23</v>
      </c>
      <c r="O2150">
        <v>19</v>
      </c>
      <c r="P2150" t="s">
        <v>58</v>
      </c>
      <c r="Q2150" t="s">
        <v>68</v>
      </c>
      <c r="R2150" s="1">
        <v>0.1</v>
      </c>
      <c r="S2150">
        <f t="shared" si="132"/>
        <v>40.5</v>
      </c>
      <c r="T2150">
        <f>IFERROR(VLOOKUP(A2150,Table1[[Customer ID]:[Discount Amount]], 6, FALSE),"Not Found")</f>
        <v>45</v>
      </c>
      <c r="U2150" t="str">
        <f t="shared" si="133"/>
        <v>PayPal</v>
      </c>
      <c r="V2150" s="4" t="str">
        <f t="shared" si="134"/>
        <v>Normal</v>
      </c>
      <c r="W2150" s="4" t="str">
        <f t="shared" si="135"/>
        <v>Good</v>
      </c>
      <c r="X2150" s="4">
        <f>AVERAGE(Table1[Purchase Amount])</f>
        <v>129.48419400000012</v>
      </c>
    </row>
    <row r="2151" spans="1:24" ht="15" customHeight="1" x14ac:dyDescent="0.25">
      <c r="A2151">
        <v>2150</v>
      </c>
      <c r="B2151">
        <v>38</v>
      </c>
      <c r="C2151" t="s">
        <v>27</v>
      </c>
      <c r="D2151" t="s">
        <v>121</v>
      </c>
      <c r="E2151" t="s">
        <v>98</v>
      </c>
      <c r="F2151" s="2">
        <v>21</v>
      </c>
      <c r="G2151" t="s">
        <v>135</v>
      </c>
      <c r="H2151" t="s">
        <v>45</v>
      </c>
      <c r="I2151" t="s">
        <v>108</v>
      </c>
      <c r="J2151" t="s">
        <v>22</v>
      </c>
      <c r="K2151">
        <v>4</v>
      </c>
      <c r="L2151" t="s">
        <v>23</v>
      </c>
      <c r="M2151" t="s">
        <v>24</v>
      </c>
      <c r="N2151" t="s">
        <v>23</v>
      </c>
      <c r="O2151">
        <v>1</v>
      </c>
      <c r="P2151" t="s">
        <v>88</v>
      </c>
      <c r="Q2151" t="s">
        <v>26</v>
      </c>
      <c r="R2151" s="1">
        <v>0.1</v>
      </c>
      <c r="S2151">
        <f t="shared" si="132"/>
        <v>18.899999999999999</v>
      </c>
      <c r="T2151">
        <f>IFERROR(VLOOKUP(A2151,Table1[[Customer ID]:[Discount Amount]], 6, FALSE),"Not Found")</f>
        <v>21</v>
      </c>
      <c r="U2151" t="str">
        <f t="shared" si="133"/>
        <v>Bank Transfer</v>
      </c>
      <c r="V2151" s="4" t="str">
        <f t="shared" si="134"/>
        <v>Normal</v>
      </c>
      <c r="W2151" s="4" t="str">
        <f t="shared" si="135"/>
        <v>Good</v>
      </c>
      <c r="X2151" s="4">
        <f>AVERAGE(Table1[Purchase Amount])</f>
        <v>129.48419400000012</v>
      </c>
    </row>
    <row r="2152" spans="1:24" ht="15" customHeight="1" x14ac:dyDescent="0.25">
      <c r="A2152">
        <v>2151</v>
      </c>
      <c r="B2152">
        <v>57</v>
      </c>
      <c r="C2152" t="s">
        <v>27</v>
      </c>
      <c r="D2152" t="s">
        <v>38</v>
      </c>
      <c r="E2152" t="s">
        <v>18</v>
      </c>
      <c r="F2152" s="2">
        <v>40</v>
      </c>
      <c r="G2152" t="s">
        <v>44</v>
      </c>
      <c r="H2152" t="s">
        <v>31</v>
      </c>
      <c r="I2152" t="s">
        <v>108</v>
      </c>
      <c r="J2152" t="s">
        <v>33</v>
      </c>
      <c r="K2152">
        <v>2.6</v>
      </c>
      <c r="L2152" t="s">
        <v>23</v>
      </c>
      <c r="M2152" t="s">
        <v>41</v>
      </c>
      <c r="N2152" t="s">
        <v>23</v>
      </c>
      <c r="O2152">
        <v>12</v>
      </c>
      <c r="P2152" t="s">
        <v>25</v>
      </c>
      <c r="Q2152" t="s">
        <v>26</v>
      </c>
      <c r="R2152" s="1">
        <v>0.1</v>
      </c>
      <c r="S2152">
        <f t="shared" si="132"/>
        <v>36</v>
      </c>
      <c r="T2152">
        <f>IFERROR(VLOOKUP(A2152,Table1[[Customer ID]:[Discount Amount]], 6, FALSE),"Not Found")</f>
        <v>40</v>
      </c>
      <c r="U2152" t="str">
        <f t="shared" si="133"/>
        <v>Cash</v>
      </c>
      <c r="V2152" s="4" t="str">
        <f t="shared" si="134"/>
        <v>Normal</v>
      </c>
      <c r="W2152" s="4" t="str">
        <f t="shared" si="135"/>
        <v>Poor</v>
      </c>
      <c r="X2152" s="4">
        <f>AVERAGE(Table1[Purchase Amount])</f>
        <v>129.48419400000012</v>
      </c>
    </row>
    <row r="2153" spans="1:24" ht="15" customHeight="1" x14ac:dyDescent="0.25">
      <c r="A2153">
        <v>2152</v>
      </c>
      <c r="B2153">
        <v>70</v>
      </c>
      <c r="C2153" t="s">
        <v>27</v>
      </c>
      <c r="D2153" t="s">
        <v>109</v>
      </c>
      <c r="E2153" t="s">
        <v>18</v>
      </c>
      <c r="F2153" s="2">
        <v>58</v>
      </c>
      <c r="G2153" t="s">
        <v>84</v>
      </c>
      <c r="H2153" t="s">
        <v>45</v>
      </c>
      <c r="I2153" t="s">
        <v>60</v>
      </c>
      <c r="J2153" t="s">
        <v>47</v>
      </c>
      <c r="K2153">
        <v>2.6</v>
      </c>
      <c r="L2153" t="s">
        <v>23</v>
      </c>
      <c r="M2153" t="s">
        <v>41</v>
      </c>
      <c r="N2153" t="s">
        <v>23</v>
      </c>
      <c r="O2153">
        <v>18</v>
      </c>
      <c r="P2153" t="s">
        <v>62</v>
      </c>
      <c r="Q2153" t="s">
        <v>42</v>
      </c>
      <c r="R2153" s="1">
        <v>0.1</v>
      </c>
      <c r="S2153">
        <f t="shared" si="132"/>
        <v>52.2</v>
      </c>
      <c r="T2153">
        <f>IFERROR(VLOOKUP(A2153,Table1[[Customer ID]:[Discount Amount]], 6, FALSE),"Not Found")</f>
        <v>58</v>
      </c>
      <c r="U2153" t="str">
        <f t="shared" si="133"/>
        <v>Venmo</v>
      </c>
      <c r="V2153" s="4" t="str">
        <f t="shared" si="134"/>
        <v>Normal</v>
      </c>
      <c r="W2153" s="4" t="str">
        <f t="shared" si="135"/>
        <v>Poor</v>
      </c>
      <c r="X2153" s="4">
        <f>AVERAGE(Table1[Purchase Amount])</f>
        <v>129.48419400000012</v>
      </c>
    </row>
    <row r="2154" spans="1:24" ht="15" customHeight="1" x14ac:dyDescent="0.25">
      <c r="A2154">
        <v>2153</v>
      </c>
      <c r="B2154">
        <v>38</v>
      </c>
      <c r="C2154" t="s">
        <v>27</v>
      </c>
      <c r="D2154" t="s">
        <v>54</v>
      </c>
      <c r="E2154" t="s">
        <v>18</v>
      </c>
      <c r="F2154" s="2">
        <v>48</v>
      </c>
      <c r="G2154" t="s">
        <v>131</v>
      </c>
      <c r="H2154" t="s">
        <v>45</v>
      </c>
      <c r="I2154" t="s">
        <v>87</v>
      </c>
      <c r="J2154" t="s">
        <v>57</v>
      </c>
      <c r="K2154">
        <v>4.5</v>
      </c>
      <c r="L2154" t="s">
        <v>23</v>
      </c>
      <c r="M2154" t="s">
        <v>79</v>
      </c>
      <c r="N2154" t="s">
        <v>23</v>
      </c>
      <c r="O2154">
        <v>43</v>
      </c>
      <c r="P2154" t="s">
        <v>88</v>
      </c>
      <c r="Q2154" t="s">
        <v>68</v>
      </c>
      <c r="R2154" s="1">
        <v>0.1</v>
      </c>
      <c r="S2154">
        <f t="shared" si="132"/>
        <v>43.2</v>
      </c>
      <c r="T2154">
        <f>IFERROR(VLOOKUP(A2154,Table1[[Customer ID]:[Discount Amount]], 6, FALSE),"Not Found")</f>
        <v>48</v>
      </c>
      <c r="U2154" t="str">
        <f t="shared" si="133"/>
        <v>Bank Transfer</v>
      </c>
      <c r="V2154" s="4" t="str">
        <f t="shared" si="134"/>
        <v>Normal</v>
      </c>
      <c r="W2154" s="4" t="str">
        <f t="shared" si="135"/>
        <v>Good</v>
      </c>
      <c r="X2154" s="4">
        <f>AVERAGE(Table1[Purchase Amount])</f>
        <v>129.48419400000012</v>
      </c>
    </row>
    <row r="2155" spans="1:24" ht="15" customHeight="1" x14ac:dyDescent="0.25">
      <c r="A2155">
        <v>2154</v>
      </c>
      <c r="B2155">
        <v>35</v>
      </c>
      <c r="C2155" t="s">
        <v>27</v>
      </c>
      <c r="D2155" t="s">
        <v>38</v>
      </c>
      <c r="E2155" t="s">
        <v>18</v>
      </c>
      <c r="F2155" s="2">
        <v>94</v>
      </c>
      <c r="G2155" t="s">
        <v>70</v>
      </c>
      <c r="H2155" t="s">
        <v>31</v>
      </c>
      <c r="I2155" t="s">
        <v>111</v>
      </c>
      <c r="J2155" t="s">
        <v>47</v>
      </c>
      <c r="K2155">
        <v>4.2</v>
      </c>
      <c r="L2155" t="s">
        <v>23</v>
      </c>
      <c r="M2155" t="s">
        <v>35</v>
      </c>
      <c r="N2155" t="s">
        <v>23</v>
      </c>
      <c r="O2155">
        <v>31</v>
      </c>
      <c r="P2155" t="s">
        <v>58</v>
      </c>
      <c r="Q2155" t="s">
        <v>49</v>
      </c>
      <c r="R2155" s="1">
        <v>0.1</v>
      </c>
      <c r="S2155">
        <f t="shared" si="132"/>
        <v>84.6</v>
      </c>
      <c r="T2155">
        <f>IFERROR(VLOOKUP(A2155,Table1[[Customer ID]:[Discount Amount]], 6, FALSE),"Not Found")</f>
        <v>94</v>
      </c>
      <c r="U2155" t="str">
        <f t="shared" si="133"/>
        <v>PayPal</v>
      </c>
      <c r="V2155" s="4" t="str">
        <f t="shared" si="134"/>
        <v>Normal</v>
      </c>
      <c r="W2155" s="4" t="str">
        <f t="shared" si="135"/>
        <v>Good</v>
      </c>
      <c r="X2155" s="4">
        <f>AVERAGE(Table1[Purchase Amount])</f>
        <v>129.48419400000012</v>
      </c>
    </row>
    <row r="2156" spans="1:24" ht="15" customHeight="1" x14ac:dyDescent="0.25">
      <c r="A2156">
        <v>2155</v>
      </c>
      <c r="B2156">
        <v>46</v>
      </c>
      <c r="C2156" t="s">
        <v>27</v>
      </c>
      <c r="D2156" t="s">
        <v>129</v>
      </c>
      <c r="E2156" t="s">
        <v>29</v>
      </c>
      <c r="F2156" s="2">
        <v>74</v>
      </c>
      <c r="G2156" t="s">
        <v>162</v>
      </c>
      <c r="H2156" t="s">
        <v>31</v>
      </c>
      <c r="I2156" t="s">
        <v>111</v>
      </c>
      <c r="J2156" t="s">
        <v>33</v>
      </c>
      <c r="K2156">
        <v>3.4</v>
      </c>
      <c r="L2156" t="s">
        <v>23</v>
      </c>
      <c r="M2156" t="s">
        <v>48</v>
      </c>
      <c r="N2156" t="s">
        <v>23</v>
      </c>
      <c r="O2156">
        <v>33</v>
      </c>
      <c r="P2156" t="s">
        <v>25</v>
      </c>
      <c r="Q2156" t="s">
        <v>63</v>
      </c>
      <c r="R2156" s="1">
        <v>0.1</v>
      </c>
      <c r="S2156">
        <f t="shared" si="132"/>
        <v>66.599999999999994</v>
      </c>
      <c r="T2156">
        <f>IFERROR(VLOOKUP(A2156,Table1[[Customer ID]:[Discount Amount]], 6, FALSE),"Not Found")</f>
        <v>74</v>
      </c>
      <c r="U2156" t="str">
        <f t="shared" si="133"/>
        <v>Cash</v>
      </c>
      <c r="V2156" s="4" t="str">
        <f t="shared" si="134"/>
        <v>Normal</v>
      </c>
      <c r="W2156" s="4" t="str">
        <f t="shared" si="135"/>
        <v>Good</v>
      </c>
      <c r="X2156" s="4">
        <f>AVERAGE(Table1[Purchase Amount])</f>
        <v>129.48419400000012</v>
      </c>
    </row>
    <row r="2157" spans="1:24" ht="15" customHeight="1" x14ac:dyDescent="0.25">
      <c r="A2157">
        <v>2156</v>
      </c>
      <c r="B2157">
        <v>32</v>
      </c>
      <c r="C2157" t="s">
        <v>27</v>
      </c>
      <c r="D2157" t="s">
        <v>69</v>
      </c>
      <c r="E2157" t="s">
        <v>29</v>
      </c>
      <c r="F2157" s="2">
        <v>51</v>
      </c>
      <c r="G2157" t="s">
        <v>135</v>
      </c>
      <c r="H2157" t="s">
        <v>45</v>
      </c>
      <c r="I2157" t="s">
        <v>52</v>
      </c>
      <c r="J2157" t="s">
        <v>47</v>
      </c>
      <c r="K2157">
        <v>3.7</v>
      </c>
      <c r="L2157" t="s">
        <v>23</v>
      </c>
      <c r="M2157" t="s">
        <v>48</v>
      </c>
      <c r="N2157" t="s">
        <v>23</v>
      </c>
      <c r="O2157">
        <v>46</v>
      </c>
      <c r="P2157" t="s">
        <v>58</v>
      </c>
      <c r="Q2157" t="s">
        <v>42</v>
      </c>
      <c r="R2157" s="1">
        <v>0.1</v>
      </c>
      <c r="S2157">
        <f t="shared" si="132"/>
        <v>45.9</v>
      </c>
      <c r="T2157">
        <f>IFERROR(VLOOKUP(A2157,Table1[[Customer ID]:[Discount Amount]], 6, FALSE),"Not Found")</f>
        <v>51</v>
      </c>
      <c r="U2157" t="str">
        <f t="shared" si="133"/>
        <v>PayPal</v>
      </c>
      <c r="V2157" s="4" t="str">
        <f t="shared" si="134"/>
        <v>Normal</v>
      </c>
      <c r="W2157" s="4" t="str">
        <f t="shared" si="135"/>
        <v>Good</v>
      </c>
      <c r="X2157" s="4">
        <f>AVERAGE(Table1[Purchase Amount])</f>
        <v>129.48419400000012</v>
      </c>
    </row>
    <row r="2158" spans="1:24" ht="15" customHeight="1" x14ac:dyDescent="0.25">
      <c r="A2158">
        <v>2157</v>
      </c>
      <c r="B2158">
        <v>38</v>
      </c>
      <c r="C2158" t="s">
        <v>27</v>
      </c>
      <c r="D2158" t="s">
        <v>122</v>
      </c>
      <c r="E2158" t="s">
        <v>18</v>
      </c>
      <c r="F2158" s="2">
        <v>83</v>
      </c>
      <c r="G2158" t="s">
        <v>146</v>
      </c>
      <c r="H2158" t="s">
        <v>31</v>
      </c>
      <c r="I2158" t="s">
        <v>125</v>
      </c>
      <c r="J2158" t="s">
        <v>22</v>
      </c>
      <c r="K2158">
        <v>3.6</v>
      </c>
      <c r="L2158" t="s">
        <v>23</v>
      </c>
      <c r="M2158" t="s">
        <v>79</v>
      </c>
      <c r="N2158" t="s">
        <v>23</v>
      </c>
      <c r="O2158">
        <v>41</v>
      </c>
      <c r="P2158" t="s">
        <v>36</v>
      </c>
      <c r="Q2158" t="s">
        <v>68</v>
      </c>
      <c r="R2158" s="1">
        <v>0.1</v>
      </c>
      <c r="S2158">
        <f t="shared" si="132"/>
        <v>74.7</v>
      </c>
      <c r="T2158">
        <f>IFERROR(VLOOKUP(A2158,Table1[[Customer ID]:[Discount Amount]], 6, FALSE),"Not Found")</f>
        <v>83</v>
      </c>
      <c r="U2158" t="str">
        <f t="shared" si="133"/>
        <v>Debit Card</v>
      </c>
      <c r="V2158" s="4" t="str">
        <f t="shared" si="134"/>
        <v>Normal</v>
      </c>
      <c r="W2158" s="4" t="str">
        <f t="shared" si="135"/>
        <v>Good</v>
      </c>
      <c r="X2158" s="4">
        <f>AVERAGE(Table1[Purchase Amount])</f>
        <v>129.48419400000012</v>
      </c>
    </row>
    <row r="2159" spans="1:24" ht="15" customHeight="1" x14ac:dyDescent="0.25">
      <c r="A2159">
        <v>2158</v>
      </c>
      <c r="B2159">
        <v>41</v>
      </c>
      <c r="C2159" t="s">
        <v>27</v>
      </c>
      <c r="D2159" t="s">
        <v>69</v>
      </c>
      <c r="E2159" t="s">
        <v>29</v>
      </c>
      <c r="F2159" s="2">
        <v>68</v>
      </c>
      <c r="G2159" t="s">
        <v>149</v>
      </c>
      <c r="H2159" t="s">
        <v>45</v>
      </c>
      <c r="I2159" t="s">
        <v>156</v>
      </c>
      <c r="J2159" t="s">
        <v>22</v>
      </c>
      <c r="K2159">
        <v>4</v>
      </c>
      <c r="L2159" t="s">
        <v>23</v>
      </c>
      <c r="M2159" t="s">
        <v>79</v>
      </c>
      <c r="N2159" t="s">
        <v>23</v>
      </c>
      <c r="O2159">
        <v>41</v>
      </c>
      <c r="P2159" t="s">
        <v>62</v>
      </c>
      <c r="Q2159" t="s">
        <v>89</v>
      </c>
      <c r="R2159" s="1">
        <v>0.1</v>
      </c>
      <c r="S2159">
        <f t="shared" si="132"/>
        <v>61.2</v>
      </c>
      <c r="T2159">
        <f>IFERROR(VLOOKUP(A2159,Table1[[Customer ID]:[Discount Amount]], 6, FALSE),"Not Found")</f>
        <v>68</v>
      </c>
      <c r="U2159" t="str">
        <f t="shared" si="133"/>
        <v>Venmo</v>
      </c>
      <c r="V2159" s="4" t="str">
        <f t="shared" si="134"/>
        <v>Normal</v>
      </c>
      <c r="W2159" s="4" t="str">
        <f t="shared" si="135"/>
        <v>Good</v>
      </c>
      <c r="X2159" s="4">
        <f>AVERAGE(Table1[Purchase Amount])</f>
        <v>129.48419400000012</v>
      </c>
    </row>
    <row r="2160" spans="1:24" ht="15" customHeight="1" x14ac:dyDescent="0.25">
      <c r="A2160">
        <v>2159</v>
      </c>
      <c r="B2160">
        <v>19</v>
      </c>
      <c r="C2160" t="s">
        <v>27</v>
      </c>
      <c r="D2160" t="s">
        <v>43</v>
      </c>
      <c r="E2160" t="s">
        <v>29</v>
      </c>
      <c r="F2160" s="2">
        <v>84</v>
      </c>
      <c r="G2160" t="s">
        <v>97</v>
      </c>
      <c r="H2160" t="s">
        <v>20</v>
      </c>
      <c r="I2160" t="s">
        <v>21</v>
      </c>
      <c r="J2160" t="s">
        <v>33</v>
      </c>
      <c r="K2160">
        <v>4.5999999999999996</v>
      </c>
      <c r="L2160" t="s">
        <v>23</v>
      </c>
      <c r="M2160" t="s">
        <v>24</v>
      </c>
      <c r="N2160" t="s">
        <v>23</v>
      </c>
      <c r="O2160">
        <v>9</v>
      </c>
      <c r="P2160" t="s">
        <v>88</v>
      </c>
      <c r="Q2160" t="s">
        <v>89</v>
      </c>
      <c r="R2160" s="1">
        <v>0.1</v>
      </c>
      <c r="S2160">
        <f t="shared" si="132"/>
        <v>75.599999999999994</v>
      </c>
      <c r="T2160">
        <f>IFERROR(VLOOKUP(A2160,Table1[[Customer ID]:[Discount Amount]], 6, FALSE),"Not Found")</f>
        <v>84</v>
      </c>
      <c r="U2160" t="str">
        <f t="shared" si="133"/>
        <v>Bank Transfer</v>
      </c>
      <c r="V2160" s="4" t="str">
        <f t="shared" si="134"/>
        <v>Normal</v>
      </c>
      <c r="W2160" s="4" t="str">
        <f t="shared" si="135"/>
        <v>Good</v>
      </c>
      <c r="X2160" s="4">
        <f>AVERAGE(Table1[Purchase Amount])</f>
        <v>129.48419400000012</v>
      </c>
    </row>
    <row r="2161" spans="1:24" ht="15" customHeight="1" x14ac:dyDescent="0.25">
      <c r="A2161">
        <v>2160</v>
      </c>
      <c r="B2161">
        <v>18</v>
      </c>
      <c r="C2161" t="s">
        <v>27</v>
      </c>
      <c r="D2161" t="s">
        <v>38</v>
      </c>
      <c r="E2161" t="s">
        <v>18</v>
      </c>
      <c r="F2161" s="2">
        <v>58</v>
      </c>
      <c r="G2161" t="s">
        <v>119</v>
      </c>
      <c r="H2161" t="s">
        <v>31</v>
      </c>
      <c r="I2161" t="s">
        <v>145</v>
      </c>
      <c r="J2161" t="s">
        <v>47</v>
      </c>
      <c r="K2161">
        <v>3</v>
      </c>
      <c r="L2161" t="s">
        <v>23</v>
      </c>
      <c r="M2161" t="s">
        <v>35</v>
      </c>
      <c r="N2161" t="s">
        <v>23</v>
      </c>
      <c r="O2161">
        <v>34</v>
      </c>
      <c r="P2161" t="s">
        <v>25</v>
      </c>
      <c r="Q2161" t="s">
        <v>49</v>
      </c>
      <c r="R2161" s="1">
        <v>0.1</v>
      </c>
      <c r="S2161">
        <f t="shared" si="132"/>
        <v>52.2</v>
      </c>
      <c r="T2161">
        <f>IFERROR(VLOOKUP(A2161,Table1[[Customer ID]:[Discount Amount]], 6, FALSE),"Not Found")</f>
        <v>58</v>
      </c>
      <c r="U2161" t="str">
        <f t="shared" si="133"/>
        <v>Cash</v>
      </c>
      <c r="V2161" s="4" t="str">
        <f t="shared" si="134"/>
        <v>Normal</v>
      </c>
      <c r="W2161" s="4" t="str">
        <f t="shared" si="135"/>
        <v>Good</v>
      </c>
      <c r="X2161" s="4">
        <f>AVERAGE(Table1[Purchase Amount])</f>
        <v>129.48419400000012</v>
      </c>
    </row>
    <row r="2162" spans="1:24" ht="15" customHeight="1" x14ac:dyDescent="0.25">
      <c r="A2162">
        <v>2161</v>
      </c>
      <c r="B2162">
        <v>45</v>
      </c>
      <c r="C2162" t="s">
        <v>27</v>
      </c>
      <c r="D2162" t="s">
        <v>118</v>
      </c>
      <c r="E2162" t="s">
        <v>18</v>
      </c>
      <c r="F2162" s="2">
        <v>92</v>
      </c>
      <c r="G2162" t="s">
        <v>154</v>
      </c>
      <c r="H2162" t="s">
        <v>45</v>
      </c>
      <c r="I2162" t="s">
        <v>103</v>
      </c>
      <c r="J2162" t="s">
        <v>22</v>
      </c>
      <c r="K2162">
        <v>3.3</v>
      </c>
      <c r="L2162" t="s">
        <v>23</v>
      </c>
      <c r="M2162" t="s">
        <v>61</v>
      </c>
      <c r="N2162" t="s">
        <v>23</v>
      </c>
      <c r="O2162">
        <v>21</v>
      </c>
      <c r="P2162" t="s">
        <v>58</v>
      </c>
      <c r="Q2162" t="s">
        <v>49</v>
      </c>
      <c r="R2162" s="1">
        <v>0.1</v>
      </c>
      <c r="S2162">
        <f t="shared" si="132"/>
        <v>82.8</v>
      </c>
      <c r="T2162">
        <f>IFERROR(VLOOKUP(A2162,Table1[[Customer ID]:[Discount Amount]], 6, FALSE),"Not Found")</f>
        <v>92</v>
      </c>
      <c r="U2162" t="str">
        <f t="shared" si="133"/>
        <v>PayPal</v>
      </c>
      <c r="V2162" s="4" t="str">
        <f t="shared" si="134"/>
        <v>Normal</v>
      </c>
      <c r="W2162" s="4" t="str">
        <f t="shared" si="135"/>
        <v>Good</v>
      </c>
      <c r="X2162" s="4">
        <f>AVERAGE(Table1[Purchase Amount])</f>
        <v>129.48419400000012</v>
      </c>
    </row>
    <row r="2163" spans="1:24" ht="15" customHeight="1" x14ac:dyDescent="0.25">
      <c r="A2163">
        <v>2162</v>
      </c>
      <c r="B2163">
        <v>23</v>
      </c>
      <c r="C2163" t="s">
        <v>27</v>
      </c>
      <c r="D2163" t="s">
        <v>157</v>
      </c>
      <c r="E2163" t="s">
        <v>18</v>
      </c>
      <c r="F2163" s="2">
        <v>69</v>
      </c>
      <c r="G2163" t="s">
        <v>155</v>
      </c>
      <c r="H2163" t="s">
        <v>55</v>
      </c>
      <c r="I2163" t="s">
        <v>145</v>
      </c>
      <c r="J2163" t="s">
        <v>57</v>
      </c>
      <c r="K2163">
        <v>3.8</v>
      </c>
      <c r="L2163" t="s">
        <v>23</v>
      </c>
      <c r="M2163" t="s">
        <v>61</v>
      </c>
      <c r="N2163" t="s">
        <v>23</v>
      </c>
      <c r="O2163">
        <v>5</v>
      </c>
      <c r="P2163" t="s">
        <v>36</v>
      </c>
      <c r="Q2163" t="s">
        <v>89</v>
      </c>
      <c r="R2163" s="1">
        <v>0.1</v>
      </c>
      <c r="S2163">
        <f t="shared" si="132"/>
        <v>62.1</v>
      </c>
      <c r="T2163">
        <f>IFERROR(VLOOKUP(A2163,Table1[[Customer ID]:[Discount Amount]], 6, FALSE),"Not Found")</f>
        <v>69</v>
      </c>
      <c r="U2163" t="str">
        <f t="shared" si="133"/>
        <v>Debit Card</v>
      </c>
      <c r="V2163" s="4" t="str">
        <f t="shared" si="134"/>
        <v>Normal</v>
      </c>
      <c r="W2163" s="4" t="str">
        <f t="shared" si="135"/>
        <v>Good</v>
      </c>
      <c r="X2163" s="4">
        <f>AVERAGE(Table1[Purchase Amount])</f>
        <v>129.48419400000012</v>
      </c>
    </row>
    <row r="2164" spans="1:24" ht="15" customHeight="1" x14ac:dyDescent="0.25">
      <c r="A2164">
        <v>2163</v>
      </c>
      <c r="B2164">
        <v>60</v>
      </c>
      <c r="C2164" t="s">
        <v>27</v>
      </c>
      <c r="D2164" t="s">
        <v>54</v>
      </c>
      <c r="E2164" t="s">
        <v>18</v>
      </c>
      <c r="F2164" s="2">
        <v>48</v>
      </c>
      <c r="G2164" t="s">
        <v>123</v>
      </c>
      <c r="H2164" t="s">
        <v>55</v>
      </c>
      <c r="I2164" t="s">
        <v>40</v>
      </c>
      <c r="J2164" t="s">
        <v>57</v>
      </c>
      <c r="K2164">
        <v>2.7</v>
      </c>
      <c r="L2164" t="s">
        <v>23</v>
      </c>
      <c r="M2164" t="s">
        <v>35</v>
      </c>
      <c r="N2164" t="s">
        <v>23</v>
      </c>
      <c r="O2164">
        <v>32</v>
      </c>
      <c r="P2164" t="s">
        <v>58</v>
      </c>
      <c r="Q2164" t="s">
        <v>26</v>
      </c>
      <c r="R2164" s="1">
        <v>0.1</v>
      </c>
      <c r="S2164">
        <f t="shared" si="132"/>
        <v>43.2</v>
      </c>
      <c r="T2164">
        <f>IFERROR(VLOOKUP(A2164,Table1[[Customer ID]:[Discount Amount]], 6, FALSE),"Not Found")</f>
        <v>48</v>
      </c>
      <c r="U2164" t="str">
        <f t="shared" si="133"/>
        <v>PayPal</v>
      </c>
      <c r="V2164" s="4" t="str">
        <f t="shared" si="134"/>
        <v>Normal</v>
      </c>
      <c r="W2164" s="4" t="str">
        <f t="shared" si="135"/>
        <v>Poor</v>
      </c>
      <c r="X2164" s="4">
        <f>AVERAGE(Table1[Purchase Amount])</f>
        <v>129.48419400000012</v>
      </c>
    </row>
    <row r="2165" spans="1:24" ht="15" customHeight="1" x14ac:dyDescent="0.25">
      <c r="A2165">
        <v>2164</v>
      </c>
      <c r="B2165">
        <v>52</v>
      </c>
      <c r="C2165" t="s">
        <v>27</v>
      </c>
      <c r="D2165" t="s">
        <v>72</v>
      </c>
      <c r="E2165" t="s">
        <v>98</v>
      </c>
      <c r="F2165" s="2">
        <v>60</v>
      </c>
      <c r="G2165" t="s">
        <v>101</v>
      </c>
      <c r="H2165" t="s">
        <v>45</v>
      </c>
      <c r="I2165" t="s">
        <v>85</v>
      </c>
      <c r="J2165" t="s">
        <v>33</v>
      </c>
      <c r="K2165">
        <v>4.5</v>
      </c>
      <c r="L2165" t="s">
        <v>23</v>
      </c>
      <c r="M2165" t="s">
        <v>61</v>
      </c>
      <c r="N2165" t="s">
        <v>23</v>
      </c>
      <c r="O2165">
        <v>44</v>
      </c>
      <c r="P2165" t="s">
        <v>88</v>
      </c>
      <c r="Q2165" t="s">
        <v>42</v>
      </c>
      <c r="R2165" s="1">
        <v>0.1</v>
      </c>
      <c r="S2165">
        <f t="shared" si="132"/>
        <v>54</v>
      </c>
      <c r="T2165">
        <f>IFERROR(VLOOKUP(A2165,Table1[[Customer ID]:[Discount Amount]], 6, FALSE),"Not Found")</f>
        <v>60</v>
      </c>
      <c r="U2165" t="str">
        <f t="shared" si="133"/>
        <v>Bank Transfer</v>
      </c>
      <c r="V2165" s="4" t="str">
        <f t="shared" si="134"/>
        <v>Normal</v>
      </c>
      <c r="W2165" s="4" t="str">
        <f t="shared" si="135"/>
        <v>Good</v>
      </c>
      <c r="X2165" s="4">
        <f>AVERAGE(Table1[Purchase Amount])</f>
        <v>129.48419400000012</v>
      </c>
    </row>
    <row r="2166" spans="1:24" ht="15" customHeight="1" x14ac:dyDescent="0.25">
      <c r="A2166">
        <v>2165</v>
      </c>
      <c r="B2166">
        <v>42</v>
      </c>
      <c r="C2166" t="s">
        <v>27</v>
      </c>
      <c r="D2166" t="s">
        <v>121</v>
      </c>
      <c r="E2166" t="s">
        <v>98</v>
      </c>
      <c r="F2166" s="2">
        <v>20</v>
      </c>
      <c r="G2166" t="s">
        <v>141</v>
      </c>
      <c r="H2166" t="s">
        <v>55</v>
      </c>
      <c r="I2166" t="s">
        <v>21</v>
      </c>
      <c r="J2166" t="s">
        <v>22</v>
      </c>
      <c r="K2166">
        <v>4.8</v>
      </c>
      <c r="L2166" t="s">
        <v>23</v>
      </c>
      <c r="M2166" t="s">
        <v>79</v>
      </c>
      <c r="N2166" t="s">
        <v>23</v>
      </c>
      <c r="O2166">
        <v>46</v>
      </c>
      <c r="P2166" t="s">
        <v>58</v>
      </c>
      <c r="Q2166" t="s">
        <v>68</v>
      </c>
      <c r="R2166" s="1">
        <v>0.1</v>
      </c>
      <c r="S2166">
        <f t="shared" si="132"/>
        <v>18</v>
      </c>
      <c r="T2166">
        <f>IFERROR(VLOOKUP(A2166,Table1[[Customer ID]:[Discount Amount]], 6, FALSE),"Not Found")</f>
        <v>20</v>
      </c>
      <c r="U2166" t="str">
        <f t="shared" si="133"/>
        <v>PayPal</v>
      </c>
      <c r="V2166" s="4" t="str">
        <f t="shared" si="134"/>
        <v>Normal</v>
      </c>
      <c r="W2166" s="4" t="str">
        <f t="shared" si="135"/>
        <v>Good</v>
      </c>
      <c r="X2166" s="4">
        <f>AVERAGE(Table1[Purchase Amount])</f>
        <v>129.48419400000012</v>
      </c>
    </row>
    <row r="2167" spans="1:24" ht="15" customHeight="1" x14ac:dyDescent="0.25">
      <c r="A2167">
        <v>2166</v>
      </c>
      <c r="B2167">
        <v>29</v>
      </c>
      <c r="C2167" t="s">
        <v>27</v>
      </c>
      <c r="D2167" t="s">
        <v>99</v>
      </c>
      <c r="E2167" t="s">
        <v>18</v>
      </c>
      <c r="F2167" s="2">
        <v>55</v>
      </c>
      <c r="G2167" t="s">
        <v>161</v>
      </c>
      <c r="H2167" t="s">
        <v>31</v>
      </c>
      <c r="I2167" t="s">
        <v>156</v>
      </c>
      <c r="J2167" t="s">
        <v>57</v>
      </c>
      <c r="K2167">
        <v>4.2</v>
      </c>
      <c r="L2167" t="s">
        <v>23</v>
      </c>
      <c r="M2167" t="s">
        <v>61</v>
      </c>
      <c r="N2167" t="s">
        <v>23</v>
      </c>
      <c r="O2167">
        <v>42</v>
      </c>
      <c r="P2167" t="s">
        <v>53</v>
      </c>
      <c r="Q2167" t="s">
        <v>63</v>
      </c>
      <c r="R2167" s="1">
        <v>0.1</v>
      </c>
      <c r="S2167">
        <f t="shared" si="132"/>
        <v>49.5</v>
      </c>
      <c r="T2167">
        <f>IFERROR(VLOOKUP(A2167,Table1[[Customer ID]:[Discount Amount]], 6, FALSE),"Not Found")</f>
        <v>55</v>
      </c>
      <c r="U2167" t="str">
        <f t="shared" si="133"/>
        <v>Credit Card</v>
      </c>
      <c r="V2167" s="4" t="str">
        <f t="shared" si="134"/>
        <v>Normal</v>
      </c>
      <c r="W2167" s="4" t="str">
        <f t="shared" si="135"/>
        <v>Good</v>
      </c>
      <c r="X2167" s="4">
        <f>AVERAGE(Table1[Purchase Amount])</f>
        <v>129.48419400000012</v>
      </c>
    </row>
    <row r="2168" spans="1:24" ht="15" customHeight="1" x14ac:dyDescent="0.25">
      <c r="A2168">
        <v>2167</v>
      </c>
      <c r="B2168">
        <v>31</v>
      </c>
      <c r="C2168" t="s">
        <v>27</v>
      </c>
      <c r="D2168" t="s">
        <v>96</v>
      </c>
      <c r="E2168" t="s">
        <v>77</v>
      </c>
      <c r="F2168" s="2">
        <v>88</v>
      </c>
      <c r="G2168" t="s">
        <v>131</v>
      </c>
      <c r="H2168" t="s">
        <v>55</v>
      </c>
      <c r="I2168" t="s">
        <v>66</v>
      </c>
      <c r="J2168" t="s">
        <v>33</v>
      </c>
      <c r="K2168">
        <v>3.5</v>
      </c>
      <c r="L2168" t="s">
        <v>23</v>
      </c>
      <c r="M2168" t="s">
        <v>61</v>
      </c>
      <c r="N2168" t="s">
        <v>23</v>
      </c>
      <c r="O2168">
        <v>50</v>
      </c>
      <c r="P2168" t="s">
        <v>53</v>
      </c>
      <c r="Q2168" t="s">
        <v>68</v>
      </c>
      <c r="R2168" s="1">
        <v>0.1</v>
      </c>
      <c r="S2168">
        <f t="shared" si="132"/>
        <v>79.2</v>
      </c>
      <c r="T2168">
        <f>IFERROR(VLOOKUP(A2168,Table1[[Customer ID]:[Discount Amount]], 6, FALSE),"Not Found")</f>
        <v>88</v>
      </c>
      <c r="U2168" t="str">
        <f t="shared" si="133"/>
        <v>Credit Card</v>
      </c>
      <c r="V2168" s="4" t="str">
        <f t="shared" si="134"/>
        <v>Normal</v>
      </c>
      <c r="W2168" s="4" t="str">
        <f t="shared" si="135"/>
        <v>Good</v>
      </c>
      <c r="X2168" s="4">
        <f>AVERAGE(Table1[Purchase Amount])</f>
        <v>129.48419400000012</v>
      </c>
    </row>
    <row r="2169" spans="1:24" ht="15" customHeight="1" x14ac:dyDescent="0.25">
      <c r="A2169">
        <v>2168</v>
      </c>
      <c r="B2169">
        <v>30</v>
      </c>
      <c r="C2169" t="s">
        <v>27</v>
      </c>
      <c r="D2169" t="s">
        <v>122</v>
      </c>
      <c r="E2169" t="s">
        <v>18</v>
      </c>
      <c r="F2169" s="2">
        <v>48</v>
      </c>
      <c r="G2169" t="s">
        <v>90</v>
      </c>
      <c r="H2169" t="s">
        <v>45</v>
      </c>
      <c r="I2169" t="s">
        <v>93</v>
      </c>
      <c r="J2169" t="s">
        <v>22</v>
      </c>
      <c r="K2169">
        <v>4.9000000000000004</v>
      </c>
      <c r="L2169" t="s">
        <v>23</v>
      </c>
      <c r="M2169" t="s">
        <v>24</v>
      </c>
      <c r="N2169" t="s">
        <v>23</v>
      </c>
      <c r="O2169">
        <v>33</v>
      </c>
      <c r="P2169" t="s">
        <v>62</v>
      </c>
      <c r="Q2169" t="s">
        <v>89</v>
      </c>
      <c r="R2169" s="1">
        <v>0.1</v>
      </c>
      <c r="S2169">
        <f t="shared" si="132"/>
        <v>43.2</v>
      </c>
      <c r="T2169">
        <f>IFERROR(VLOOKUP(A2169,Table1[[Customer ID]:[Discount Amount]], 6, FALSE),"Not Found")</f>
        <v>48</v>
      </c>
      <c r="U2169" t="str">
        <f t="shared" si="133"/>
        <v>Venmo</v>
      </c>
      <c r="V2169" s="4" t="str">
        <f t="shared" si="134"/>
        <v>Normal</v>
      </c>
      <c r="W2169" s="4" t="str">
        <f t="shared" si="135"/>
        <v>Good</v>
      </c>
      <c r="X2169" s="4">
        <f>AVERAGE(Table1[Purchase Amount])</f>
        <v>129.48419400000012</v>
      </c>
    </row>
    <row r="2170" spans="1:24" ht="15" customHeight="1" x14ac:dyDescent="0.25">
      <c r="A2170">
        <v>2169</v>
      </c>
      <c r="B2170">
        <v>23</v>
      </c>
      <c r="C2170" t="s">
        <v>27</v>
      </c>
      <c r="D2170" t="s">
        <v>69</v>
      </c>
      <c r="E2170" t="s">
        <v>29</v>
      </c>
      <c r="F2170" s="2">
        <v>74</v>
      </c>
      <c r="G2170" t="s">
        <v>115</v>
      </c>
      <c r="H2170" t="s">
        <v>31</v>
      </c>
      <c r="I2170" t="s">
        <v>56</v>
      </c>
      <c r="J2170" t="s">
        <v>33</v>
      </c>
      <c r="K2170">
        <v>4.0999999999999996</v>
      </c>
      <c r="L2170" t="s">
        <v>23</v>
      </c>
      <c r="M2170" t="s">
        <v>79</v>
      </c>
      <c r="N2170" t="s">
        <v>23</v>
      </c>
      <c r="O2170">
        <v>32</v>
      </c>
      <c r="P2170" t="s">
        <v>25</v>
      </c>
      <c r="Q2170" t="s">
        <v>37</v>
      </c>
      <c r="R2170" s="1">
        <v>0.1</v>
      </c>
      <c r="S2170">
        <f t="shared" si="132"/>
        <v>66.599999999999994</v>
      </c>
      <c r="T2170">
        <f>IFERROR(VLOOKUP(A2170,Table1[[Customer ID]:[Discount Amount]], 6, FALSE),"Not Found")</f>
        <v>74</v>
      </c>
      <c r="U2170" t="str">
        <f t="shared" si="133"/>
        <v>Cash</v>
      </c>
      <c r="V2170" s="4" t="str">
        <f t="shared" si="134"/>
        <v>Normal</v>
      </c>
      <c r="W2170" s="4" t="str">
        <f t="shared" si="135"/>
        <v>Good</v>
      </c>
      <c r="X2170" s="4">
        <f>AVERAGE(Table1[Purchase Amount])</f>
        <v>129.48419400000012</v>
      </c>
    </row>
    <row r="2171" spans="1:24" ht="15" customHeight="1" x14ac:dyDescent="0.25">
      <c r="A2171">
        <v>2170</v>
      </c>
      <c r="B2171">
        <v>31</v>
      </c>
      <c r="C2171" t="s">
        <v>27</v>
      </c>
      <c r="D2171" t="s">
        <v>76</v>
      </c>
      <c r="E2171" t="s">
        <v>77</v>
      </c>
      <c r="F2171" s="2">
        <v>42</v>
      </c>
      <c r="G2171" t="s">
        <v>67</v>
      </c>
      <c r="H2171" t="s">
        <v>31</v>
      </c>
      <c r="I2171" t="s">
        <v>60</v>
      </c>
      <c r="J2171" t="s">
        <v>47</v>
      </c>
      <c r="K2171">
        <v>2.9</v>
      </c>
      <c r="L2171" t="s">
        <v>23</v>
      </c>
      <c r="M2171" t="s">
        <v>79</v>
      </c>
      <c r="N2171" t="s">
        <v>23</v>
      </c>
      <c r="O2171">
        <v>32</v>
      </c>
      <c r="P2171" t="s">
        <v>88</v>
      </c>
      <c r="Q2171" t="s">
        <v>68</v>
      </c>
      <c r="R2171" s="1">
        <v>0.1</v>
      </c>
      <c r="S2171">
        <f t="shared" si="132"/>
        <v>37.799999999999997</v>
      </c>
      <c r="T2171">
        <f>IFERROR(VLOOKUP(A2171,Table1[[Customer ID]:[Discount Amount]], 6, FALSE),"Not Found")</f>
        <v>42</v>
      </c>
      <c r="U2171" t="str">
        <f t="shared" si="133"/>
        <v>Bank Transfer</v>
      </c>
      <c r="V2171" s="4" t="str">
        <f t="shared" si="134"/>
        <v>Normal</v>
      </c>
      <c r="W2171" s="4" t="str">
        <f t="shared" si="135"/>
        <v>Poor</v>
      </c>
      <c r="X2171" s="4">
        <f>AVERAGE(Table1[Purchase Amount])</f>
        <v>129.48419400000012</v>
      </c>
    </row>
    <row r="2172" spans="1:24" ht="15" customHeight="1" x14ac:dyDescent="0.25">
      <c r="A2172">
        <v>2171</v>
      </c>
      <c r="B2172">
        <v>40</v>
      </c>
      <c r="C2172" t="s">
        <v>27</v>
      </c>
      <c r="D2172" t="s">
        <v>127</v>
      </c>
      <c r="E2172" t="s">
        <v>18</v>
      </c>
      <c r="F2172" s="2">
        <v>32</v>
      </c>
      <c r="G2172" t="s">
        <v>30</v>
      </c>
      <c r="H2172" t="s">
        <v>31</v>
      </c>
      <c r="I2172" t="s">
        <v>156</v>
      </c>
      <c r="J2172" t="s">
        <v>47</v>
      </c>
      <c r="K2172">
        <v>4</v>
      </c>
      <c r="L2172" t="s">
        <v>23</v>
      </c>
      <c r="M2172" t="s">
        <v>79</v>
      </c>
      <c r="N2172" t="s">
        <v>23</v>
      </c>
      <c r="O2172">
        <v>37</v>
      </c>
      <c r="P2172" t="s">
        <v>62</v>
      </c>
      <c r="Q2172" t="s">
        <v>63</v>
      </c>
      <c r="R2172" s="1">
        <v>0.1</v>
      </c>
      <c r="S2172">
        <f t="shared" si="132"/>
        <v>28.8</v>
      </c>
      <c r="T2172">
        <f>IFERROR(VLOOKUP(A2172,Table1[[Customer ID]:[Discount Amount]], 6, FALSE),"Not Found")</f>
        <v>32</v>
      </c>
      <c r="U2172" t="str">
        <f t="shared" si="133"/>
        <v>Venmo</v>
      </c>
      <c r="V2172" s="4" t="str">
        <f t="shared" si="134"/>
        <v>Normal</v>
      </c>
      <c r="W2172" s="4" t="str">
        <f t="shared" si="135"/>
        <v>Good</v>
      </c>
      <c r="X2172" s="4">
        <f>AVERAGE(Table1[Purchase Amount])</f>
        <v>129.48419400000012</v>
      </c>
    </row>
    <row r="2173" spans="1:24" ht="15" customHeight="1" x14ac:dyDescent="0.25">
      <c r="A2173">
        <v>2172</v>
      </c>
      <c r="B2173">
        <v>39</v>
      </c>
      <c r="C2173" t="s">
        <v>27</v>
      </c>
      <c r="D2173" t="s">
        <v>54</v>
      </c>
      <c r="E2173" t="s">
        <v>18</v>
      </c>
      <c r="F2173" s="2">
        <v>98</v>
      </c>
      <c r="G2173" t="s">
        <v>146</v>
      </c>
      <c r="H2173" t="s">
        <v>31</v>
      </c>
      <c r="I2173" t="s">
        <v>52</v>
      </c>
      <c r="J2173" t="s">
        <v>57</v>
      </c>
      <c r="K2173">
        <v>4.5999999999999996</v>
      </c>
      <c r="L2173" t="s">
        <v>23</v>
      </c>
      <c r="M2173" t="s">
        <v>48</v>
      </c>
      <c r="N2173" t="s">
        <v>23</v>
      </c>
      <c r="O2173">
        <v>9</v>
      </c>
      <c r="P2173" t="s">
        <v>25</v>
      </c>
      <c r="Q2173" t="s">
        <v>89</v>
      </c>
      <c r="R2173" s="1">
        <v>0.1</v>
      </c>
      <c r="S2173">
        <f t="shared" si="132"/>
        <v>88.2</v>
      </c>
      <c r="T2173">
        <f>IFERROR(VLOOKUP(A2173,Table1[[Customer ID]:[Discount Amount]], 6, FALSE),"Not Found")</f>
        <v>98</v>
      </c>
      <c r="U2173" t="str">
        <f t="shared" si="133"/>
        <v>Cash</v>
      </c>
      <c r="V2173" s="4" t="str">
        <f t="shared" si="134"/>
        <v>Normal</v>
      </c>
      <c r="W2173" s="4" t="str">
        <f t="shared" si="135"/>
        <v>Good</v>
      </c>
      <c r="X2173" s="4">
        <f>AVERAGE(Table1[Purchase Amount])</f>
        <v>129.48419400000012</v>
      </c>
    </row>
    <row r="2174" spans="1:24" ht="15" customHeight="1" x14ac:dyDescent="0.25">
      <c r="A2174">
        <v>2173</v>
      </c>
      <c r="B2174">
        <v>28</v>
      </c>
      <c r="C2174" t="s">
        <v>27</v>
      </c>
      <c r="D2174" t="s">
        <v>122</v>
      </c>
      <c r="E2174" t="s">
        <v>18</v>
      </c>
      <c r="F2174" s="2">
        <v>89</v>
      </c>
      <c r="G2174" t="s">
        <v>159</v>
      </c>
      <c r="H2174" t="s">
        <v>55</v>
      </c>
      <c r="I2174" t="s">
        <v>107</v>
      </c>
      <c r="J2174" t="s">
        <v>47</v>
      </c>
      <c r="K2174">
        <v>2.8</v>
      </c>
      <c r="L2174" t="s">
        <v>23</v>
      </c>
      <c r="M2174" t="s">
        <v>48</v>
      </c>
      <c r="N2174" t="s">
        <v>23</v>
      </c>
      <c r="O2174">
        <v>6</v>
      </c>
      <c r="P2174" t="s">
        <v>58</v>
      </c>
      <c r="Q2174" t="s">
        <v>89</v>
      </c>
      <c r="R2174" s="1">
        <v>0.1</v>
      </c>
      <c r="S2174">
        <f t="shared" si="132"/>
        <v>80.099999999999994</v>
      </c>
      <c r="T2174">
        <f>IFERROR(VLOOKUP(A2174,Table1[[Customer ID]:[Discount Amount]], 6, FALSE),"Not Found")</f>
        <v>89</v>
      </c>
      <c r="U2174" t="str">
        <f t="shared" si="133"/>
        <v>PayPal</v>
      </c>
      <c r="V2174" s="4" t="str">
        <f t="shared" si="134"/>
        <v>Normal</v>
      </c>
      <c r="W2174" s="4" t="str">
        <f t="shared" si="135"/>
        <v>Poor</v>
      </c>
      <c r="X2174" s="4">
        <f>AVERAGE(Table1[Purchase Amount])</f>
        <v>129.48419400000012</v>
      </c>
    </row>
    <row r="2175" spans="1:24" ht="15" customHeight="1" x14ac:dyDescent="0.25">
      <c r="A2175">
        <v>2174</v>
      </c>
      <c r="B2175">
        <v>23</v>
      </c>
      <c r="C2175" t="s">
        <v>27</v>
      </c>
      <c r="D2175" t="s">
        <v>43</v>
      </c>
      <c r="E2175" t="s">
        <v>29</v>
      </c>
      <c r="F2175" s="2">
        <v>97</v>
      </c>
      <c r="G2175" t="s">
        <v>143</v>
      </c>
      <c r="H2175" t="s">
        <v>55</v>
      </c>
      <c r="I2175" t="s">
        <v>128</v>
      </c>
      <c r="J2175" t="s">
        <v>57</v>
      </c>
      <c r="K2175">
        <v>5</v>
      </c>
      <c r="L2175" t="s">
        <v>23</v>
      </c>
      <c r="M2175" t="s">
        <v>41</v>
      </c>
      <c r="N2175" t="s">
        <v>23</v>
      </c>
      <c r="O2175">
        <v>36</v>
      </c>
      <c r="P2175" t="s">
        <v>62</v>
      </c>
      <c r="Q2175" t="s">
        <v>37</v>
      </c>
      <c r="R2175" s="1">
        <v>0.1</v>
      </c>
      <c r="S2175">
        <f t="shared" si="132"/>
        <v>87.3</v>
      </c>
      <c r="T2175">
        <f>IFERROR(VLOOKUP(A2175,Table1[[Customer ID]:[Discount Amount]], 6, FALSE),"Not Found")</f>
        <v>97</v>
      </c>
      <c r="U2175" t="str">
        <f t="shared" si="133"/>
        <v>Venmo</v>
      </c>
      <c r="V2175" s="4" t="str">
        <f t="shared" si="134"/>
        <v>Normal</v>
      </c>
      <c r="W2175" s="4" t="str">
        <f t="shared" si="135"/>
        <v>Good</v>
      </c>
      <c r="X2175" s="4">
        <f>AVERAGE(Table1[Purchase Amount])</f>
        <v>129.48419400000012</v>
      </c>
    </row>
    <row r="2176" spans="1:24" ht="15" customHeight="1" x14ac:dyDescent="0.25">
      <c r="A2176">
        <v>2175</v>
      </c>
      <c r="B2176">
        <v>42</v>
      </c>
      <c r="C2176" t="s">
        <v>27</v>
      </c>
      <c r="D2176" t="s">
        <v>104</v>
      </c>
      <c r="E2176" t="s">
        <v>29</v>
      </c>
      <c r="F2176" s="2">
        <v>49</v>
      </c>
      <c r="G2176" t="s">
        <v>92</v>
      </c>
      <c r="H2176" t="s">
        <v>55</v>
      </c>
      <c r="I2176" t="s">
        <v>21</v>
      </c>
      <c r="J2176" t="s">
        <v>33</v>
      </c>
      <c r="K2176">
        <v>2.9</v>
      </c>
      <c r="L2176" t="s">
        <v>23</v>
      </c>
      <c r="M2176" t="s">
        <v>48</v>
      </c>
      <c r="N2176" t="s">
        <v>23</v>
      </c>
      <c r="O2176">
        <v>1</v>
      </c>
      <c r="P2176" t="s">
        <v>25</v>
      </c>
      <c r="Q2176" t="s">
        <v>49</v>
      </c>
      <c r="R2176" s="1">
        <v>0.1</v>
      </c>
      <c r="S2176">
        <f t="shared" si="132"/>
        <v>44.1</v>
      </c>
      <c r="T2176">
        <f>IFERROR(VLOOKUP(A2176,Table1[[Customer ID]:[Discount Amount]], 6, FALSE),"Not Found")</f>
        <v>49</v>
      </c>
      <c r="U2176" t="str">
        <f t="shared" si="133"/>
        <v>Cash</v>
      </c>
      <c r="V2176" s="4" t="str">
        <f t="shared" si="134"/>
        <v>Normal</v>
      </c>
      <c r="W2176" s="4" t="str">
        <f t="shared" si="135"/>
        <v>Poor</v>
      </c>
      <c r="X2176" s="4">
        <f>AVERAGE(Table1[Purchase Amount])</f>
        <v>129.48419400000012</v>
      </c>
    </row>
    <row r="2177" spans="1:24" ht="15" customHeight="1" x14ac:dyDescent="0.25">
      <c r="A2177">
        <v>2176</v>
      </c>
      <c r="B2177">
        <v>68</v>
      </c>
      <c r="C2177" t="s">
        <v>27</v>
      </c>
      <c r="D2177" t="s">
        <v>157</v>
      </c>
      <c r="E2177" t="s">
        <v>18</v>
      </c>
      <c r="F2177" s="2">
        <v>50</v>
      </c>
      <c r="G2177" t="s">
        <v>137</v>
      </c>
      <c r="H2177" t="s">
        <v>31</v>
      </c>
      <c r="I2177" t="s">
        <v>153</v>
      </c>
      <c r="J2177" t="s">
        <v>33</v>
      </c>
      <c r="K2177">
        <v>3.3</v>
      </c>
      <c r="L2177" t="s">
        <v>23</v>
      </c>
      <c r="M2177" t="s">
        <v>35</v>
      </c>
      <c r="N2177" t="s">
        <v>23</v>
      </c>
      <c r="O2177">
        <v>48</v>
      </c>
      <c r="P2177" t="s">
        <v>53</v>
      </c>
      <c r="Q2177" t="s">
        <v>89</v>
      </c>
      <c r="R2177" s="1">
        <v>0.1</v>
      </c>
      <c r="S2177">
        <f t="shared" si="132"/>
        <v>45</v>
      </c>
      <c r="T2177">
        <f>IFERROR(VLOOKUP(A2177,Table1[[Customer ID]:[Discount Amount]], 6, FALSE),"Not Found")</f>
        <v>50</v>
      </c>
      <c r="U2177" t="str">
        <f t="shared" si="133"/>
        <v>Credit Card</v>
      </c>
      <c r="V2177" s="4" t="str">
        <f t="shared" si="134"/>
        <v>Normal</v>
      </c>
      <c r="W2177" s="4" t="str">
        <f t="shared" si="135"/>
        <v>Good</v>
      </c>
      <c r="X2177" s="4">
        <f>AVERAGE(Table1[Purchase Amount])</f>
        <v>129.48419400000012</v>
      </c>
    </row>
    <row r="2178" spans="1:24" ht="15" customHeight="1" x14ac:dyDescent="0.25">
      <c r="A2178">
        <v>2177</v>
      </c>
      <c r="B2178">
        <v>24</v>
      </c>
      <c r="C2178" t="s">
        <v>27</v>
      </c>
      <c r="D2178" t="s">
        <v>114</v>
      </c>
      <c r="E2178" t="s">
        <v>29</v>
      </c>
      <c r="F2178" s="2">
        <v>91</v>
      </c>
      <c r="G2178" t="s">
        <v>84</v>
      </c>
      <c r="H2178" t="s">
        <v>55</v>
      </c>
      <c r="I2178" t="s">
        <v>46</v>
      </c>
      <c r="J2178" t="s">
        <v>22</v>
      </c>
      <c r="K2178">
        <v>3.4</v>
      </c>
      <c r="L2178" t="s">
        <v>23</v>
      </c>
      <c r="M2178" t="s">
        <v>41</v>
      </c>
      <c r="N2178" t="s">
        <v>23</v>
      </c>
      <c r="O2178">
        <v>44</v>
      </c>
      <c r="P2178" t="s">
        <v>36</v>
      </c>
      <c r="Q2178" t="s">
        <v>37</v>
      </c>
      <c r="R2178" s="1">
        <v>0.1</v>
      </c>
      <c r="S2178">
        <f t="shared" ref="S2178:S2241" si="136">F2178-(F2178*R2178)</f>
        <v>81.900000000000006</v>
      </c>
      <c r="T2178">
        <f>IFERROR(VLOOKUP(A2178,Table1[[Customer ID]:[Discount Amount]], 6, FALSE),"Not Found")</f>
        <v>91</v>
      </c>
      <c r="U2178" t="str">
        <f t="shared" ref="U2178:U2241" si="137">INDEX(P:P, MATCH(A2178, A:A, 0))</f>
        <v>Debit Card</v>
      </c>
      <c r="V2178" s="4" t="str">
        <f t="shared" ref="V2178:V2241" si="138">IF(AND(F2178&gt;1000,K2178&gt;=4),"Best Customer","Normal")</f>
        <v>Normal</v>
      </c>
      <c r="W2178" s="4" t="str">
        <f t="shared" ref="W2178:W2241" si="139">IF(K2178&gt;=3,"Good","Poor")</f>
        <v>Good</v>
      </c>
      <c r="X2178" s="4">
        <f>AVERAGE(Table1[Purchase Amount])</f>
        <v>129.48419400000012</v>
      </c>
    </row>
    <row r="2179" spans="1:24" ht="15" customHeight="1" x14ac:dyDescent="0.25">
      <c r="A2179">
        <v>2178</v>
      </c>
      <c r="B2179">
        <v>24</v>
      </c>
      <c r="C2179" t="s">
        <v>27</v>
      </c>
      <c r="D2179" t="s">
        <v>43</v>
      </c>
      <c r="E2179" t="s">
        <v>29</v>
      </c>
      <c r="F2179" s="2">
        <v>93</v>
      </c>
      <c r="G2179" t="s">
        <v>39</v>
      </c>
      <c r="H2179" t="s">
        <v>20</v>
      </c>
      <c r="I2179" t="s">
        <v>93</v>
      </c>
      <c r="J2179" t="s">
        <v>22</v>
      </c>
      <c r="K2179">
        <v>3</v>
      </c>
      <c r="L2179" t="s">
        <v>23</v>
      </c>
      <c r="M2179" t="s">
        <v>61</v>
      </c>
      <c r="N2179" t="s">
        <v>23</v>
      </c>
      <c r="O2179">
        <v>9</v>
      </c>
      <c r="P2179" t="s">
        <v>58</v>
      </c>
      <c r="Q2179" t="s">
        <v>68</v>
      </c>
      <c r="R2179" s="1">
        <v>0.1</v>
      </c>
      <c r="S2179">
        <f t="shared" si="136"/>
        <v>83.7</v>
      </c>
      <c r="T2179">
        <f>IFERROR(VLOOKUP(A2179,Table1[[Customer ID]:[Discount Amount]], 6, FALSE),"Not Found")</f>
        <v>93</v>
      </c>
      <c r="U2179" t="str">
        <f t="shared" si="137"/>
        <v>PayPal</v>
      </c>
      <c r="V2179" s="4" t="str">
        <f t="shared" si="138"/>
        <v>Normal</v>
      </c>
      <c r="W2179" s="4" t="str">
        <f t="shared" si="139"/>
        <v>Good</v>
      </c>
      <c r="X2179" s="4">
        <f>AVERAGE(Table1[Purchase Amount])</f>
        <v>129.48419400000012</v>
      </c>
    </row>
    <row r="2180" spans="1:24" ht="15" customHeight="1" x14ac:dyDescent="0.25">
      <c r="A2180">
        <v>2179</v>
      </c>
      <c r="B2180">
        <v>21</v>
      </c>
      <c r="C2180" t="s">
        <v>27</v>
      </c>
      <c r="D2180" t="s">
        <v>50</v>
      </c>
      <c r="E2180" t="s">
        <v>29</v>
      </c>
      <c r="F2180" s="2">
        <v>98</v>
      </c>
      <c r="G2180" t="s">
        <v>67</v>
      </c>
      <c r="H2180" t="s">
        <v>31</v>
      </c>
      <c r="I2180" t="s">
        <v>133</v>
      </c>
      <c r="J2180" t="s">
        <v>57</v>
      </c>
      <c r="K2180">
        <v>4.7</v>
      </c>
      <c r="L2180" t="s">
        <v>23</v>
      </c>
      <c r="M2180" t="s">
        <v>24</v>
      </c>
      <c r="N2180" t="s">
        <v>23</v>
      </c>
      <c r="O2180">
        <v>32</v>
      </c>
      <c r="P2180" t="s">
        <v>62</v>
      </c>
      <c r="Q2180" t="s">
        <v>49</v>
      </c>
      <c r="R2180" s="1">
        <v>0.1</v>
      </c>
      <c r="S2180">
        <f t="shared" si="136"/>
        <v>88.2</v>
      </c>
      <c r="T2180">
        <f>IFERROR(VLOOKUP(A2180,Table1[[Customer ID]:[Discount Amount]], 6, FALSE),"Not Found")</f>
        <v>98</v>
      </c>
      <c r="U2180" t="str">
        <f t="shared" si="137"/>
        <v>Venmo</v>
      </c>
      <c r="V2180" s="4" t="str">
        <f t="shared" si="138"/>
        <v>Normal</v>
      </c>
      <c r="W2180" s="4" t="str">
        <f t="shared" si="139"/>
        <v>Good</v>
      </c>
      <c r="X2180" s="4">
        <f>AVERAGE(Table1[Purchase Amount])</f>
        <v>129.48419400000012</v>
      </c>
    </row>
    <row r="2181" spans="1:24" ht="15" customHeight="1" x14ac:dyDescent="0.25">
      <c r="A2181">
        <v>2180</v>
      </c>
      <c r="B2181">
        <v>49</v>
      </c>
      <c r="C2181" t="s">
        <v>27</v>
      </c>
      <c r="D2181" t="s">
        <v>105</v>
      </c>
      <c r="E2181" t="s">
        <v>18</v>
      </c>
      <c r="F2181" s="2">
        <v>82</v>
      </c>
      <c r="G2181" t="s">
        <v>143</v>
      </c>
      <c r="H2181" t="s">
        <v>45</v>
      </c>
      <c r="I2181" t="s">
        <v>107</v>
      </c>
      <c r="J2181" t="s">
        <v>47</v>
      </c>
      <c r="K2181">
        <v>2.9</v>
      </c>
      <c r="L2181" t="s">
        <v>23</v>
      </c>
      <c r="M2181" t="s">
        <v>79</v>
      </c>
      <c r="N2181" t="s">
        <v>23</v>
      </c>
      <c r="O2181">
        <v>14</v>
      </c>
      <c r="P2181" t="s">
        <v>58</v>
      </c>
      <c r="Q2181" t="s">
        <v>42</v>
      </c>
      <c r="R2181" s="1">
        <v>0.1</v>
      </c>
      <c r="S2181">
        <f t="shared" si="136"/>
        <v>73.8</v>
      </c>
      <c r="T2181">
        <f>IFERROR(VLOOKUP(A2181,Table1[[Customer ID]:[Discount Amount]], 6, FALSE),"Not Found")</f>
        <v>82</v>
      </c>
      <c r="U2181" t="str">
        <f t="shared" si="137"/>
        <v>PayPal</v>
      </c>
      <c r="V2181" s="4" t="str">
        <f t="shared" si="138"/>
        <v>Normal</v>
      </c>
      <c r="W2181" s="4" t="str">
        <f t="shared" si="139"/>
        <v>Poor</v>
      </c>
      <c r="X2181" s="4">
        <f>AVERAGE(Table1[Purchase Amount])</f>
        <v>129.48419400000012</v>
      </c>
    </row>
    <row r="2182" spans="1:24" ht="15" customHeight="1" x14ac:dyDescent="0.25">
      <c r="A2182">
        <v>2181</v>
      </c>
      <c r="B2182">
        <v>41</v>
      </c>
      <c r="C2182" t="s">
        <v>27</v>
      </c>
      <c r="D2182" t="s">
        <v>76</v>
      </c>
      <c r="E2182" t="s">
        <v>77</v>
      </c>
      <c r="F2182" s="2">
        <v>37</v>
      </c>
      <c r="G2182" t="s">
        <v>115</v>
      </c>
      <c r="H2182" t="s">
        <v>31</v>
      </c>
      <c r="I2182" t="s">
        <v>52</v>
      </c>
      <c r="J2182" t="s">
        <v>57</v>
      </c>
      <c r="K2182">
        <v>4.0999999999999996</v>
      </c>
      <c r="L2182" t="s">
        <v>23</v>
      </c>
      <c r="M2182" t="s">
        <v>48</v>
      </c>
      <c r="N2182" t="s">
        <v>23</v>
      </c>
      <c r="O2182">
        <v>43</v>
      </c>
      <c r="P2182" t="s">
        <v>25</v>
      </c>
      <c r="Q2182" t="s">
        <v>37</v>
      </c>
      <c r="R2182" s="1">
        <v>0.1</v>
      </c>
      <c r="S2182">
        <f t="shared" si="136"/>
        <v>33.299999999999997</v>
      </c>
      <c r="T2182">
        <f>IFERROR(VLOOKUP(A2182,Table1[[Customer ID]:[Discount Amount]], 6, FALSE),"Not Found")</f>
        <v>37</v>
      </c>
      <c r="U2182" t="str">
        <f t="shared" si="137"/>
        <v>Cash</v>
      </c>
      <c r="V2182" s="4" t="str">
        <f t="shared" si="138"/>
        <v>Normal</v>
      </c>
      <c r="W2182" s="4" t="str">
        <f t="shared" si="139"/>
        <v>Good</v>
      </c>
      <c r="X2182" s="4">
        <f>AVERAGE(Table1[Purchase Amount])</f>
        <v>129.48419400000012</v>
      </c>
    </row>
    <row r="2183" spans="1:24" ht="15" customHeight="1" x14ac:dyDescent="0.25">
      <c r="A2183">
        <v>2182</v>
      </c>
      <c r="B2183">
        <v>22</v>
      </c>
      <c r="C2183" t="s">
        <v>27</v>
      </c>
      <c r="D2183" t="s">
        <v>69</v>
      </c>
      <c r="E2183" t="s">
        <v>29</v>
      </c>
      <c r="F2183" s="2">
        <v>63</v>
      </c>
      <c r="G2183" t="s">
        <v>135</v>
      </c>
      <c r="H2183" t="s">
        <v>31</v>
      </c>
      <c r="I2183" t="s">
        <v>40</v>
      </c>
      <c r="J2183" t="s">
        <v>47</v>
      </c>
      <c r="K2183">
        <v>3.2</v>
      </c>
      <c r="L2183" t="s">
        <v>23</v>
      </c>
      <c r="M2183" t="s">
        <v>35</v>
      </c>
      <c r="N2183" t="s">
        <v>23</v>
      </c>
      <c r="O2183">
        <v>32</v>
      </c>
      <c r="P2183" t="s">
        <v>88</v>
      </c>
      <c r="Q2183" t="s">
        <v>68</v>
      </c>
      <c r="R2183" s="1">
        <v>0.1</v>
      </c>
      <c r="S2183">
        <f t="shared" si="136"/>
        <v>56.7</v>
      </c>
      <c r="T2183">
        <f>IFERROR(VLOOKUP(A2183,Table1[[Customer ID]:[Discount Amount]], 6, FALSE),"Not Found")</f>
        <v>63</v>
      </c>
      <c r="U2183" t="str">
        <f t="shared" si="137"/>
        <v>Bank Transfer</v>
      </c>
      <c r="V2183" s="4" t="str">
        <f t="shared" si="138"/>
        <v>Normal</v>
      </c>
      <c r="W2183" s="4" t="str">
        <f t="shared" si="139"/>
        <v>Good</v>
      </c>
      <c r="X2183" s="4">
        <f>AVERAGE(Table1[Purchase Amount])</f>
        <v>129.48419400000012</v>
      </c>
    </row>
    <row r="2184" spans="1:24" ht="15" customHeight="1" x14ac:dyDescent="0.25">
      <c r="A2184">
        <v>2183</v>
      </c>
      <c r="B2184">
        <v>42</v>
      </c>
      <c r="C2184" t="s">
        <v>27</v>
      </c>
      <c r="D2184" t="s">
        <v>118</v>
      </c>
      <c r="E2184" t="s">
        <v>18</v>
      </c>
      <c r="F2184" s="2">
        <v>99</v>
      </c>
      <c r="G2184" t="s">
        <v>110</v>
      </c>
      <c r="H2184" t="s">
        <v>31</v>
      </c>
      <c r="I2184" t="s">
        <v>125</v>
      </c>
      <c r="J2184" t="s">
        <v>22</v>
      </c>
      <c r="K2184">
        <v>2.7</v>
      </c>
      <c r="L2184" t="s">
        <v>23</v>
      </c>
      <c r="M2184" t="s">
        <v>48</v>
      </c>
      <c r="N2184" t="s">
        <v>23</v>
      </c>
      <c r="O2184">
        <v>26</v>
      </c>
      <c r="P2184" t="s">
        <v>62</v>
      </c>
      <c r="Q2184" t="s">
        <v>68</v>
      </c>
      <c r="R2184" s="1">
        <v>0.1</v>
      </c>
      <c r="S2184">
        <f t="shared" si="136"/>
        <v>89.1</v>
      </c>
      <c r="T2184">
        <f>IFERROR(VLOOKUP(A2184,Table1[[Customer ID]:[Discount Amount]], 6, FALSE),"Not Found")</f>
        <v>99</v>
      </c>
      <c r="U2184" t="str">
        <f t="shared" si="137"/>
        <v>Venmo</v>
      </c>
      <c r="V2184" s="4" t="str">
        <f t="shared" si="138"/>
        <v>Normal</v>
      </c>
      <c r="W2184" s="4" t="str">
        <f t="shared" si="139"/>
        <v>Poor</v>
      </c>
      <c r="X2184" s="4">
        <f>AVERAGE(Table1[Purchase Amount])</f>
        <v>129.48419400000012</v>
      </c>
    </row>
    <row r="2185" spans="1:24" ht="15" customHeight="1" x14ac:dyDescent="0.25">
      <c r="A2185">
        <v>2184</v>
      </c>
      <c r="B2185">
        <v>30</v>
      </c>
      <c r="C2185" t="s">
        <v>27</v>
      </c>
      <c r="D2185" t="s">
        <v>54</v>
      </c>
      <c r="E2185" t="s">
        <v>18</v>
      </c>
      <c r="F2185" s="2">
        <v>37</v>
      </c>
      <c r="G2185" t="s">
        <v>124</v>
      </c>
      <c r="H2185" t="s">
        <v>31</v>
      </c>
      <c r="I2185" t="s">
        <v>125</v>
      </c>
      <c r="J2185" t="s">
        <v>33</v>
      </c>
      <c r="K2185">
        <v>4.7</v>
      </c>
      <c r="L2185" t="s">
        <v>23</v>
      </c>
      <c r="M2185" t="s">
        <v>48</v>
      </c>
      <c r="N2185" t="s">
        <v>23</v>
      </c>
      <c r="O2185">
        <v>2</v>
      </c>
      <c r="P2185" t="s">
        <v>25</v>
      </c>
      <c r="Q2185" t="s">
        <v>42</v>
      </c>
      <c r="R2185" s="1">
        <v>0.1</v>
      </c>
      <c r="S2185">
        <f t="shared" si="136"/>
        <v>33.299999999999997</v>
      </c>
      <c r="T2185">
        <f>IFERROR(VLOOKUP(A2185,Table1[[Customer ID]:[Discount Amount]], 6, FALSE),"Not Found")</f>
        <v>37</v>
      </c>
      <c r="U2185" t="str">
        <f t="shared" si="137"/>
        <v>Cash</v>
      </c>
      <c r="V2185" s="4" t="str">
        <f t="shared" si="138"/>
        <v>Normal</v>
      </c>
      <c r="W2185" s="4" t="str">
        <f t="shared" si="139"/>
        <v>Good</v>
      </c>
      <c r="X2185" s="4">
        <f>AVERAGE(Table1[Purchase Amount])</f>
        <v>129.48419400000012</v>
      </c>
    </row>
    <row r="2186" spans="1:24" ht="15" customHeight="1" x14ac:dyDescent="0.25">
      <c r="A2186">
        <v>2185</v>
      </c>
      <c r="B2186">
        <v>38</v>
      </c>
      <c r="C2186" t="s">
        <v>27</v>
      </c>
      <c r="D2186" t="s">
        <v>72</v>
      </c>
      <c r="E2186" t="s">
        <v>98</v>
      </c>
      <c r="F2186" s="2">
        <v>34</v>
      </c>
      <c r="G2186" t="s">
        <v>158</v>
      </c>
      <c r="H2186" t="s">
        <v>55</v>
      </c>
      <c r="I2186" t="s">
        <v>133</v>
      </c>
      <c r="J2186" t="s">
        <v>33</v>
      </c>
      <c r="K2186">
        <v>3.2</v>
      </c>
      <c r="L2186" t="s">
        <v>23</v>
      </c>
      <c r="M2186" t="s">
        <v>35</v>
      </c>
      <c r="N2186" t="s">
        <v>23</v>
      </c>
      <c r="O2186">
        <v>16</v>
      </c>
      <c r="P2186" t="s">
        <v>58</v>
      </c>
      <c r="Q2186" t="s">
        <v>63</v>
      </c>
      <c r="R2186" s="1">
        <v>0.1</v>
      </c>
      <c r="S2186">
        <f t="shared" si="136"/>
        <v>30.6</v>
      </c>
      <c r="T2186">
        <f>IFERROR(VLOOKUP(A2186,Table1[[Customer ID]:[Discount Amount]], 6, FALSE),"Not Found")</f>
        <v>34</v>
      </c>
      <c r="U2186" t="str">
        <f t="shared" si="137"/>
        <v>PayPal</v>
      </c>
      <c r="V2186" s="4" t="str">
        <f t="shared" si="138"/>
        <v>Normal</v>
      </c>
      <c r="W2186" s="4" t="str">
        <f t="shared" si="139"/>
        <v>Good</v>
      </c>
      <c r="X2186" s="4">
        <f>AVERAGE(Table1[Purchase Amount])</f>
        <v>129.48419400000012</v>
      </c>
    </row>
    <row r="2187" spans="1:24" ht="15" customHeight="1" x14ac:dyDescent="0.25">
      <c r="A2187">
        <v>2186</v>
      </c>
      <c r="B2187">
        <v>40</v>
      </c>
      <c r="C2187" t="s">
        <v>27</v>
      </c>
      <c r="D2187" t="s">
        <v>54</v>
      </c>
      <c r="E2187" t="s">
        <v>18</v>
      </c>
      <c r="F2187" s="2">
        <v>32</v>
      </c>
      <c r="G2187" t="s">
        <v>134</v>
      </c>
      <c r="H2187" t="s">
        <v>31</v>
      </c>
      <c r="I2187" t="s">
        <v>111</v>
      </c>
      <c r="J2187" t="s">
        <v>22</v>
      </c>
      <c r="K2187">
        <v>2.5</v>
      </c>
      <c r="L2187" t="s">
        <v>23</v>
      </c>
      <c r="M2187" t="s">
        <v>61</v>
      </c>
      <c r="N2187" t="s">
        <v>23</v>
      </c>
      <c r="O2187">
        <v>50</v>
      </c>
      <c r="P2187" t="s">
        <v>36</v>
      </c>
      <c r="Q2187" t="s">
        <v>63</v>
      </c>
      <c r="R2187" s="1">
        <v>0.1</v>
      </c>
      <c r="S2187">
        <f t="shared" si="136"/>
        <v>28.8</v>
      </c>
      <c r="T2187">
        <f>IFERROR(VLOOKUP(A2187,Table1[[Customer ID]:[Discount Amount]], 6, FALSE),"Not Found")</f>
        <v>32</v>
      </c>
      <c r="U2187" t="str">
        <f t="shared" si="137"/>
        <v>Debit Card</v>
      </c>
      <c r="V2187" s="4" t="str">
        <f t="shared" si="138"/>
        <v>Normal</v>
      </c>
      <c r="W2187" s="4" t="str">
        <f t="shared" si="139"/>
        <v>Poor</v>
      </c>
      <c r="X2187" s="4">
        <f>AVERAGE(Table1[Purchase Amount])</f>
        <v>129.48419400000012</v>
      </c>
    </row>
    <row r="2188" spans="1:24" ht="15" customHeight="1" x14ac:dyDescent="0.25">
      <c r="A2188">
        <v>2187</v>
      </c>
      <c r="B2188">
        <v>55</v>
      </c>
      <c r="C2188" t="s">
        <v>27</v>
      </c>
      <c r="D2188" t="s">
        <v>121</v>
      </c>
      <c r="E2188" t="s">
        <v>98</v>
      </c>
      <c r="F2188" s="2">
        <v>23</v>
      </c>
      <c r="G2188" t="s">
        <v>110</v>
      </c>
      <c r="H2188" t="s">
        <v>20</v>
      </c>
      <c r="I2188" t="s">
        <v>147</v>
      </c>
      <c r="J2188" t="s">
        <v>22</v>
      </c>
      <c r="K2188">
        <v>4.3</v>
      </c>
      <c r="L2188" t="s">
        <v>23</v>
      </c>
      <c r="M2188" t="s">
        <v>79</v>
      </c>
      <c r="N2188" t="s">
        <v>23</v>
      </c>
      <c r="O2188">
        <v>6</v>
      </c>
      <c r="P2188" t="s">
        <v>58</v>
      </c>
      <c r="Q2188" t="s">
        <v>63</v>
      </c>
      <c r="R2188" s="1">
        <v>0.1</v>
      </c>
      <c r="S2188">
        <f t="shared" si="136"/>
        <v>20.7</v>
      </c>
      <c r="T2188">
        <f>IFERROR(VLOOKUP(A2188,Table1[[Customer ID]:[Discount Amount]], 6, FALSE),"Not Found")</f>
        <v>23</v>
      </c>
      <c r="U2188" t="str">
        <f t="shared" si="137"/>
        <v>PayPal</v>
      </c>
      <c r="V2188" s="4" t="str">
        <f t="shared" si="138"/>
        <v>Normal</v>
      </c>
      <c r="W2188" s="4" t="str">
        <f t="shared" si="139"/>
        <v>Good</v>
      </c>
      <c r="X2188" s="4">
        <f>AVERAGE(Table1[Purchase Amount])</f>
        <v>129.48419400000012</v>
      </c>
    </row>
    <row r="2189" spans="1:24" ht="15" customHeight="1" x14ac:dyDescent="0.25">
      <c r="A2189">
        <v>2188</v>
      </c>
      <c r="B2189">
        <v>37</v>
      </c>
      <c r="C2189" t="s">
        <v>27</v>
      </c>
      <c r="D2189" t="s">
        <v>118</v>
      </c>
      <c r="E2189" t="s">
        <v>18</v>
      </c>
      <c r="F2189" s="2">
        <v>78</v>
      </c>
      <c r="G2189" t="s">
        <v>161</v>
      </c>
      <c r="H2189" t="s">
        <v>31</v>
      </c>
      <c r="I2189" t="s">
        <v>111</v>
      </c>
      <c r="J2189" t="s">
        <v>33</v>
      </c>
      <c r="K2189">
        <v>4.4000000000000004</v>
      </c>
      <c r="L2189" t="s">
        <v>23</v>
      </c>
      <c r="M2189" t="s">
        <v>35</v>
      </c>
      <c r="N2189" t="s">
        <v>23</v>
      </c>
      <c r="O2189">
        <v>20</v>
      </c>
      <c r="P2189" t="s">
        <v>58</v>
      </c>
      <c r="Q2189" t="s">
        <v>49</v>
      </c>
      <c r="R2189" s="1">
        <v>0.1</v>
      </c>
      <c r="S2189">
        <f t="shared" si="136"/>
        <v>70.2</v>
      </c>
      <c r="T2189">
        <f>IFERROR(VLOOKUP(A2189,Table1[[Customer ID]:[Discount Amount]], 6, FALSE),"Not Found")</f>
        <v>78</v>
      </c>
      <c r="U2189" t="str">
        <f t="shared" si="137"/>
        <v>PayPal</v>
      </c>
      <c r="V2189" s="4" t="str">
        <f t="shared" si="138"/>
        <v>Normal</v>
      </c>
      <c r="W2189" s="4" t="str">
        <f t="shared" si="139"/>
        <v>Good</v>
      </c>
      <c r="X2189" s="4">
        <f>AVERAGE(Table1[Purchase Amount])</f>
        <v>129.48419400000012</v>
      </c>
    </row>
    <row r="2190" spans="1:24" ht="15" customHeight="1" x14ac:dyDescent="0.25">
      <c r="A2190">
        <v>2189</v>
      </c>
      <c r="B2190">
        <v>41</v>
      </c>
      <c r="C2190" t="s">
        <v>27</v>
      </c>
      <c r="D2190" t="s">
        <v>76</v>
      </c>
      <c r="E2190" t="s">
        <v>77</v>
      </c>
      <c r="F2190" s="2">
        <v>54</v>
      </c>
      <c r="G2190" t="s">
        <v>19</v>
      </c>
      <c r="H2190" t="s">
        <v>31</v>
      </c>
      <c r="I2190" t="s">
        <v>60</v>
      </c>
      <c r="J2190" t="s">
        <v>22</v>
      </c>
      <c r="K2190">
        <v>4.7</v>
      </c>
      <c r="L2190" t="s">
        <v>23</v>
      </c>
      <c r="M2190" t="s">
        <v>79</v>
      </c>
      <c r="N2190" t="s">
        <v>23</v>
      </c>
      <c r="O2190">
        <v>9</v>
      </c>
      <c r="P2190" t="s">
        <v>53</v>
      </c>
      <c r="Q2190" t="s">
        <v>26</v>
      </c>
      <c r="R2190" s="1">
        <v>0.1</v>
      </c>
      <c r="S2190">
        <f t="shared" si="136"/>
        <v>48.6</v>
      </c>
      <c r="T2190">
        <f>IFERROR(VLOOKUP(A2190,Table1[[Customer ID]:[Discount Amount]], 6, FALSE),"Not Found")</f>
        <v>54</v>
      </c>
      <c r="U2190" t="str">
        <f t="shared" si="137"/>
        <v>Credit Card</v>
      </c>
      <c r="V2190" s="4" t="str">
        <f t="shared" si="138"/>
        <v>Normal</v>
      </c>
      <c r="W2190" s="4" t="str">
        <f t="shared" si="139"/>
        <v>Good</v>
      </c>
      <c r="X2190" s="4">
        <f>AVERAGE(Table1[Purchase Amount])</f>
        <v>129.48419400000012</v>
      </c>
    </row>
    <row r="2191" spans="1:24" ht="15" customHeight="1" x14ac:dyDescent="0.25">
      <c r="A2191">
        <v>2190</v>
      </c>
      <c r="B2191">
        <v>38</v>
      </c>
      <c r="C2191" t="s">
        <v>27</v>
      </c>
      <c r="D2191" t="s">
        <v>118</v>
      </c>
      <c r="E2191" t="s">
        <v>18</v>
      </c>
      <c r="F2191" s="2">
        <v>94</v>
      </c>
      <c r="G2191" t="s">
        <v>59</v>
      </c>
      <c r="H2191" t="s">
        <v>20</v>
      </c>
      <c r="I2191" t="s">
        <v>60</v>
      </c>
      <c r="J2191" t="s">
        <v>47</v>
      </c>
      <c r="K2191">
        <v>4</v>
      </c>
      <c r="L2191" t="s">
        <v>23</v>
      </c>
      <c r="M2191" t="s">
        <v>61</v>
      </c>
      <c r="N2191" t="s">
        <v>23</v>
      </c>
      <c r="O2191">
        <v>47</v>
      </c>
      <c r="P2191" t="s">
        <v>53</v>
      </c>
      <c r="Q2191" t="s">
        <v>68</v>
      </c>
      <c r="R2191" s="1">
        <v>0.1</v>
      </c>
      <c r="S2191">
        <f t="shared" si="136"/>
        <v>84.6</v>
      </c>
      <c r="T2191">
        <f>IFERROR(VLOOKUP(A2191,Table1[[Customer ID]:[Discount Amount]], 6, FALSE),"Not Found")</f>
        <v>94</v>
      </c>
      <c r="U2191" t="str">
        <f t="shared" si="137"/>
        <v>Credit Card</v>
      </c>
      <c r="V2191" s="4" t="str">
        <f t="shared" si="138"/>
        <v>Normal</v>
      </c>
      <c r="W2191" s="4" t="str">
        <f t="shared" si="139"/>
        <v>Good</v>
      </c>
      <c r="X2191" s="4">
        <f>AVERAGE(Table1[Purchase Amount])</f>
        <v>129.48419400000012</v>
      </c>
    </row>
    <row r="2192" spans="1:24" ht="15" customHeight="1" x14ac:dyDescent="0.25">
      <c r="A2192">
        <v>2191</v>
      </c>
      <c r="B2192">
        <v>42</v>
      </c>
      <c r="C2192" t="s">
        <v>27</v>
      </c>
      <c r="D2192" t="s">
        <v>114</v>
      </c>
      <c r="E2192" t="s">
        <v>29</v>
      </c>
      <c r="F2192" s="2">
        <v>75</v>
      </c>
      <c r="G2192" t="s">
        <v>148</v>
      </c>
      <c r="H2192" t="s">
        <v>55</v>
      </c>
      <c r="I2192" t="s">
        <v>125</v>
      </c>
      <c r="J2192" t="s">
        <v>33</v>
      </c>
      <c r="K2192">
        <v>4.5999999999999996</v>
      </c>
      <c r="L2192" t="s">
        <v>23</v>
      </c>
      <c r="M2192" t="s">
        <v>61</v>
      </c>
      <c r="N2192" t="s">
        <v>23</v>
      </c>
      <c r="O2192">
        <v>33</v>
      </c>
      <c r="P2192" t="s">
        <v>53</v>
      </c>
      <c r="Q2192" t="s">
        <v>49</v>
      </c>
      <c r="R2192" s="1">
        <v>0.1</v>
      </c>
      <c r="S2192">
        <f t="shared" si="136"/>
        <v>67.5</v>
      </c>
      <c r="T2192">
        <f>IFERROR(VLOOKUP(A2192,Table1[[Customer ID]:[Discount Amount]], 6, FALSE),"Not Found")</f>
        <v>75</v>
      </c>
      <c r="U2192" t="str">
        <f t="shared" si="137"/>
        <v>Credit Card</v>
      </c>
      <c r="V2192" s="4" t="str">
        <f t="shared" si="138"/>
        <v>Normal</v>
      </c>
      <c r="W2192" s="4" t="str">
        <f t="shared" si="139"/>
        <v>Good</v>
      </c>
      <c r="X2192" s="4">
        <f>AVERAGE(Table1[Purchase Amount])</f>
        <v>129.48419400000012</v>
      </c>
    </row>
    <row r="2193" spans="1:24" ht="15" customHeight="1" x14ac:dyDescent="0.25">
      <c r="A2193">
        <v>2192</v>
      </c>
      <c r="B2193">
        <v>26</v>
      </c>
      <c r="C2193" t="s">
        <v>27</v>
      </c>
      <c r="D2193" t="s">
        <v>118</v>
      </c>
      <c r="E2193" t="s">
        <v>18</v>
      </c>
      <c r="F2193" s="2">
        <v>69</v>
      </c>
      <c r="G2193" t="s">
        <v>78</v>
      </c>
      <c r="H2193" t="s">
        <v>55</v>
      </c>
      <c r="I2193" t="s">
        <v>125</v>
      </c>
      <c r="J2193" t="s">
        <v>57</v>
      </c>
      <c r="K2193">
        <v>3.8</v>
      </c>
      <c r="L2193" t="s">
        <v>23</v>
      </c>
      <c r="M2193" t="s">
        <v>79</v>
      </c>
      <c r="N2193" t="s">
        <v>23</v>
      </c>
      <c r="O2193">
        <v>46</v>
      </c>
      <c r="P2193" t="s">
        <v>25</v>
      </c>
      <c r="Q2193" t="s">
        <v>68</v>
      </c>
      <c r="R2193" s="1">
        <v>0.1</v>
      </c>
      <c r="S2193">
        <f t="shared" si="136"/>
        <v>62.1</v>
      </c>
      <c r="T2193">
        <f>IFERROR(VLOOKUP(A2193,Table1[[Customer ID]:[Discount Amount]], 6, FALSE),"Not Found")</f>
        <v>69</v>
      </c>
      <c r="U2193" t="str">
        <f t="shared" si="137"/>
        <v>Cash</v>
      </c>
      <c r="V2193" s="4" t="str">
        <f t="shared" si="138"/>
        <v>Normal</v>
      </c>
      <c r="W2193" s="4" t="str">
        <f t="shared" si="139"/>
        <v>Good</v>
      </c>
      <c r="X2193" s="4">
        <f>AVERAGE(Table1[Purchase Amount])</f>
        <v>129.48419400000012</v>
      </c>
    </row>
    <row r="2194" spans="1:24" ht="15" customHeight="1" x14ac:dyDescent="0.25">
      <c r="A2194">
        <v>2193</v>
      </c>
      <c r="B2194">
        <v>41</v>
      </c>
      <c r="C2194" t="s">
        <v>27</v>
      </c>
      <c r="D2194" t="s">
        <v>129</v>
      </c>
      <c r="E2194" t="s">
        <v>29</v>
      </c>
      <c r="F2194" s="2">
        <v>35</v>
      </c>
      <c r="G2194" t="s">
        <v>138</v>
      </c>
      <c r="H2194" t="s">
        <v>45</v>
      </c>
      <c r="I2194" t="s">
        <v>52</v>
      </c>
      <c r="J2194" t="s">
        <v>22</v>
      </c>
      <c r="K2194">
        <v>3.2</v>
      </c>
      <c r="L2194" t="s">
        <v>23</v>
      </c>
      <c r="M2194" t="s">
        <v>79</v>
      </c>
      <c r="N2194" t="s">
        <v>23</v>
      </c>
      <c r="O2194">
        <v>9</v>
      </c>
      <c r="P2194" t="s">
        <v>53</v>
      </c>
      <c r="Q2194" t="s">
        <v>42</v>
      </c>
      <c r="R2194" s="1">
        <v>0.1</v>
      </c>
      <c r="S2194">
        <f t="shared" si="136"/>
        <v>31.5</v>
      </c>
      <c r="T2194">
        <f>IFERROR(VLOOKUP(A2194,Table1[[Customer ID]:[Discount Amount]], 6, FALSE),"Not Found")</f>
        <v>35</v>
      </c>
      <c r="U2194" t="str">
        <f t="shared" si="137"/>
        <v>Credit Card</v>
      </c>
      <c r="V2194" s="4" t="str">
        <f t="shared" si="138"/>
        <v>Normal</v>
      </c>
      <c r="W2194" s="4" t="str">
        <f t="shared" si="139"/>
        <v>Good</v>
      </c>
      <c r="X2194" s="4">
        <f>AVERAGE(Table1[Purchase Amount])</f>
        <v>129.48419400000012</v>
      </c>
    </row>
    <row r="2195" spans="1:24" ht="15" customHeight="1" x14ac:dyDescent="0.25">
      <c r="A2195">
        <v>2194</v>
      </c>
      <c r="B2195">
        <v>27</v>
      </c>
      <c r="C2195" t="s">
        <v>27</v>
      </c>
      <c r="D2195" t="s">
        <v>38</v>
      </c>
      <c r="E2195" t="s">
        <v>18</v>
      </c>
      <c r="F2195" s="2">
        <v>78</v>
      </c>
      <c r="G2195" t="s">
        <v>19</v>
      </c>
      <c r="H2195" t="s">
        <v>45</v>
      </c>
      <c r="I2195" t="s">
        <v>156</v>
      </c>
      <c r="J2195" t="s">
        <v>33</v>
      </c>
      <c r="K2195">
        <v>5</v>
      </c>
      <c r="L2195" t="s">
        <v>23</v>
      </c>
      <c r="M2195" t="s">
        <v>61</v>
      </c>
      <c r="N2195" t="s">
        <v>23</v>
      </c>
      <c r="O2195">
        <v>8</v>
      </c>
      <c r="P2195" t="s">
        <v>58</v>
      </c>
      <c r="Q2195" t="s">
        <v>42</v>
      </c>
      <c r="R2195" s="1">
        <v>0.1</v>
      </c>
      <c r="S2195">
        <f t="shared" si="136"/>
        <v>70.2</v>
      </c>
      <c r="T2195">
        <f>IFERROR(VLOOKUP(A2195,Table1[[Customer ID]:[Discount Amount]], 6, FALSE),"Not Found")</f>
        <v>78</v>
      </c>
      <c r="U2195" t="str">
        <f t="shared" si="137"/>
        <v>PayPal</v>
      </c>
      <c r="V2195" s="4" t="str">
        <f t="shared" si="138"/>
        <v>Normal</v>
      </c>
      <c r="W2195" s="4" t="str">
        <f t="shared" si="139"/>
        <v>Good</v>
      </c>
      <c r="X2195" s="4">
        <f>AVERAGE(Table1[Purchase Amount])</f>
        <v>129.48419400000012</v>
      </c>
    </row>
    <row r="2196" spans="1:24" ht="15" customHeight="1" x14ac:dyDescent="0.25">
      <c r="A2196">
        <v>2195</v>
      </c>
      <c r="B2196">
        <v>61</v>
      </c>
      <c r="C2196" t="s">
        <v>27</v>
      </c>
      <c r="D2196" t="s">
        <v>105</v>
      </c>
      <c r="E2196" t="s">
        <v>18</v>
      </c>
      <c r="F2196" s="2">
        <v>29</v>
      </c>
      <c r="G2196" t="s">
        <v>70</v>
      </c>
      <c r="H2196" t="s">
        <v>31</v>
      </c>
      <c r="I2196" t="s">
        <v>153</v>
      </c>
      <c r="J2196" t="s">
        <v>57</v>
      </c>
      <c r="K2196">
        <v>3.5</v>
      </c>
      <c r="L2196" t="s">
        <v>23</v>
      </c>
      <c r="M2196" t="s">
        <v>24</v>
      </c>
      <c r="N2196" t="s">
        <v>23</v>
      </c>
      <c r="O2196">
        <v>48</v>
      </c>
      <c r="P2196" t="s">
        <v>88</v>
      </c>
      <c r="Q2196" t="s">
        <v>37</v>
      </c>
      <c r="R2196" s="1">
        <v>0.1</v>
      </c>
      <c r="S2196">
        <f t="shared" si="136"/>
        <v>26.1</v>
      </c>
      <c r="T2196">
        <f>IFERROR(VLOOKUP(A2196,Table1[[Customer ID]:[Discount Amount]], 6, FALSE),"Not Found")</f>
        <v>29</v>
      </c>
      <c r="U2196" t="str">
        <f t="shared" si="137"/>
        <v>Bank Transfer</v>
      </c>
      <c r="V2196" s="4" t="str">
        <f t="shared" si="138"/>
        <v>Normal</v>
      </c>
      <c r="W2196" s="4" t="str">
        <f t="shared" si="139"/>
        <v>Good</v>
      </c>
      <c r="X2196" s="4">
        <f>AVERAGE(Table1[Purchase Amount])</f>
        <v>129.48419400000012</v>
      </c>
    </row>
    <row r="2197" spans="1:24" ht="15" customHeight="1" x14ac:dyDescent="0.25">
      <c r="A2197">
        <v>2196</v>
      </c>
      <c r="B2197">
        <v>58</v>
      </c>
      <c r="C2197" t="s">
        <v>27</v>
      </c>
      <c r="D2197" t="s">
        <v>109</v>
      </c>
      <c r="E2197" t="s">
        <v>18</v>
      </c>
      <c r="F2197" s="2">
        <v>62</v>
      </c>
      <c r="G2197" t="s">
        <v>101</v>
      </c>
      <c r="H2197" t="s">
        <v>31</v>
      </c>
      <c r="I2197" t="s">
        <v>60</v>
      </c>
      <c r="J2197" t="s">
        <v>47</v>
      </c>
      <c r="K2197">
        <v>3.7</v>
      </c>
      <c r="L2197" t="s">
        <v>23</v>
      </c>
      <c r="M2197" t="s">
        <v>79</v>
      </c>
      <c r="N2197" t="s">
        <v>23</v>
      </c>
      <c r="O2197">
        <v>2</v>
      </c>
      <c r="P2197" t="s">
        <v>25</v>
      </c>
      <c r="Q2197" t="s">
        <v>42</v>
      </c>
      <c r="R2197" s="1">
        <v>0.1</v>
      </c>
      <c r="S2197">
        <f t="shared" si="136"/>
        <v>55.8</v>
      </c>
      <c r="T2197">
        <f>IFERROR(VLOOKUP(A2197,Table1[[Customer ID]:[Discount Amount]], 6, FALSE),"Not Found")</f>
        <v>62</v>
      </c>
      <c r="U2197" t="str">
        <f t="shared" si="137"/>
        <v>Cash</v>
      </c>
      <c r="V2197" s="4" t="str">
        <f t="shared" si="138"/>
        <v>Normal</v>
      </c>
      <c r="W2197" s="4" t="str">
        <f t="shared" si="139"/>
        <v>Good</v>
      </c>
      <c r="X2197" s="4">
        <f>AVERAGE(Table1[Purchase Amount])</f>
        <v>129.48419400000012</v>
      </c>
    </row>
    <row r="2198" spans="1:24" ht="15" customHeight="1" x14ac:dyDescent="0.25">
      <c r="A2198">
        <v>2197</v>
      </c>
      <c r="B2198">
        <v>25</v>
      </c>
      <c r="C2198" t="s">
        <v>27</v>
      </c>
      <c r="D2198" t="s">
        <v>157</v>
      </c>
      <c r="E2198" t="s">
        <v>18</v>
      </c>
      <c r="F2198" s="2">
        <v>58</v>
      </c>
      <c r="G2198" t="s">
        <v>84</v>
      </c>
      <c r="H2198" t="s">
        <v>31</v>
      </c>
      <c r="I2198" t="s">
        <v>85</v>
      </c>
      <c r="J2198" t="s">
        <v>33</v>
      </c>
      <c r="K2198">
        <v>4.8</v>
      </c>
      <c r="L2198" t="s">
        <v>23</v>
      </c>
      <c r="M2198" t="s">
        <v>79</v>
      </c>
      <c r="N2198" t="s">
        <v>23</v>
      </c>
      <c r="O2198">
        <v>31</v>
      </c>
      <c r="P2198" t="s">
        <v>58</v>
      </c>
      <c r="Q2198" t="s">
        <v>26</v>
      </c>
      <c r="R2198" s="1">
        <v>0.1</v>
      </c>
      <c r="S2198">
        <f t="shared" si="136"/>
        <v>52.2</v>
      </c>
      <c r="T2198">
        <f>IFERROR(VLOOKUP(A2198,Table1[[Customer ID]:[Discount Amount]], 6, FALSE),"Not Found")</f>
        <v>58</v>
      </c>
      <c r="U2198" t="str">
        <f t="shared" si="137"/>
        <v>PayPal</v>
      </c>
      <c r="V2198" s="4" t="str">
        <f t="shared" si="138"/>
        <v>Normal</v>
      </c>
      <c r="W2198" s="4" t="str">
        <f t="shared" si="139"/>
        <v>Good</v>
      </c>
      <c r="X2198" s="4">
        <f>AVERAGE(Table1[Purchase Amount])</f>
        <v>129.48419400000012</v>
      </c>
    </row>
    <row r="2199" spans="1:24" ht="15" customHeight="1" x14ac:dyDescent="0.25">
      <c r="A2199">
        <v>2198</v>
      </c>
      <c r="B2199">
        <v>33</v>
      </c>
      <c r="C2199" t="s">
        <v>27</v>
      </c>
      <c r="D2199" t="s">
        <v>151</v>
      </c>
      <c r="E2199" t="s">
        <v>98</v>
      </c>
      <c r="F2199" s="2">
        <v>88</v>
      </c>
      <c r="G2199" t="s">
        <v>78</v>
      </c>
      <c r="H2199" t="s">
        <v>31</v>
      </c>
      <c r="I2199" t="s">
        <v>91</v>
      </c>
      <c r="J2199" t="s">
        <v>57</v>
      </c>
      <c r="K2199">
        <v>3.7</v>
      </c>
      <c r="L2199" t="s">
        <v>23</v>
      </c>
      <c r="M2199" t="s">
        <v>41</v>
      </c>
      <c r="N2199" t="s">
        <v>23</v>
      </c>
      <c r="O2199">
        <v>40</v>
      </c>
      <c r="P2199" t="s">
        <v>62</v>
      </c>
      <c r="Q2199" t="s">
        <v>42</v>
      </c>
      <c r="R2199" s="1">
        <v>0.1</v>
      </c>
      <c r="S2199">
        <f t="shared" si="136"/>
        <v>79.2</v>
      </c>
      <c r="T2199">
        <f>IFERROR(VLOOKUP(A2199,Table1[[Customer ID]:[Discount Amount]], 6, FALSE),"Not Found")</f>
        <v>88</v>
      </c>
      <c r="U2199" t="str">
        <f t="shared" si="137"/>
        <v>Venmo</v>
      </c>
      <c r="V2199" s="4" t="str">
        <f t="shared" si="138"/>
        <v>Normal</v>
      </c>
      <c r="W2199" s="4" t="str">
        <f t="shared" si="139"/>
        <v>Good</v>
      </c>
      <c r="X2199" s="4">
        <f>AVERAGE(Table1[Purchase Amount])</f>
        <v>129.48419400000012</v>
      </c>
    </row>
    <row r="2200" spans="1:24" ht="15" customHeight="1" x14ac:dyDescent="0.25">
      <c r="A2200">
        <v>2199</v>
      </c>
      <c r="B2200">
        <v>57</v>
      </c>
      <c r="C2200" t="s">
        <v>27</v>
      </c>
      <c r="D2200" t="s">
        <v>129</v>
      </c>
      <c r="E2200" t="s">
        <v>29</v>
      </c>
      <c r="F2200" s="2">
        <v>80</v>
      </c>
      <c r="G2200" t="s">
        <v>101</v>
      </c>
      <c r="H2200" t="s">
        <v>45</v>
      </c>
      <c r="I2200" t="s">
        <v>156</v>
      </c>
      <c r="J2200" t="s">
        <v>57</v>
      </c>
      <c r="K2200">
        <v>3.5</v>
      </c>
      <c r="L2200" t="s">
        <v>23</v>
      </c>
      <c r="M2200" t="s">
        <v>35</v>
      </c>
      <c r="N2200" t="s">
        <v>23</v>
      </c>
      <c r="O2200">
        <v>35</v>
      </c>
      <c r="P2200" t="s">
        <v>62</v>
      </c>
      <c r="Q2200" t="s">
        <v>42</v>
      </c>
      <c r="R2200" s="1">
        <v>0.1</v>
      </c>
      <c r="S2200">
        <f t="shared" si="136"/>
        <v>72</v>
      </c>
      <c r="T2200">
        <f>IFERROR(VLOOKUP(A2200,Table1[[Customer ID]:[Discount Amount]], 6, FALSE),"Not Found")</f>
        <v>80</v>
      </c>
      <c r="U2200" t="str">
        <f t="shared" si="137"/>
        <v>Venmo</v>
      </c>
      <c r="V2200" s="4" t="str">
        <f t="shared" si="138"/>
        <v>Normal</v>
      </c>
      <c r="W2200" s="4" t="str">
        <f t="shared" si="139"/>
        <v>Good</v>
      </c>
      <c r="X2200" s="4">
        <f>AVERAGE(Table1[Purchase Amount])</f>
        <v>129.48419400000012</v>
      </c>
    </row>
    <row r="2201" spans="1:24" ht="15" customHeight="1" x14ac:dyDescent="0.25">
      <c r="A2201">
        <v>2200</v>
      </c>
      <c r="B2201">
        <v>39</v>
      </c>
      <c r="C2201" t="s">
        <v>27</v>
      </c>
      <c r="D2201" t="s">
        <v>129</v>
      </c>
      <c r="E2201" t="s">
        <v>29</v>
      </c>
      <c r="F2201" s="2">
        <v>47</v>
      </c>
      <c r="G2201" t="s">
        <v>134</v>
      </c>
      <c r="H2201" t="s">
        <v>31</v>
      </c>
      <c r="I2201" t="s">
        <v>125</v>
      </c>
      <c r="J2201" t="s">
        <v>57</v>
      </c>
      <c r="K2201">
        <v>4.9000000000000004</v>
      </c>
      <c r="L2201" t="s">
        <v>23</v>
      </c>
      <c r="M2201" t="s">
        <v>48</v>
      </c>
      <c r="N2201" t="s">
        <v>23</v>
      </c>
      <c r="O2201">
        <v>40</v>
      </c>
      <c r="P2201" t="s">
        <v>36</v>
      </c>
      <c r="Q2201" t="s">
        <v>42</v>
      </c>
      <c r="R2201" s="1">
        <v>0.1</v>
      </c>
      <c r="S2201">
        <f t="shared" si="136"/>
        <v>42.3</v>
      </c>
      <c r="T2201">
        <f>IFERROR(VLOOKUP(A2201,Table1[[Customer ID]:[Discount Amount]], 6, FALSE),"Not Found")</f>
        <v>47</v>
      </c>
      <c r="U2201" t="str">
        <f t="shared" si="137"/>
        <v>Debit Card</v>
      </c>
      <c r="V2201" s="4" t="str">
        <f t="shared" si="138"/>
        <v>Normal</v>
      </c>
      <c r="W2201" s="4" t="str">
        <f t="shared" si="139"/>
        <v>Good</v>
      </c>
      <c r="X2201" s="4">
        <f>AVERAGE(Table1[Purchase Amount])</f>
        <v>129.48419400000012</v>
      </c>
    </row>
    <row r="2202" spans="1:24" ht="15" customHeight="1" x14ac:dyDescent="0.25">
      <c r="A2202">
        <v>2201</v>
      </c>
      <c r="B2202">
        <v>60</v>
      </c>
      <c r="C2202" t="s">
        <v>27</v>
      </c>
      <c r="D2202" t="s">
        <v>43</v>
      </c>
      <c r="E2202" t="s">
        <v>29</v>
      </c>
      <c r="F2202" s="2">
        <v>51</v>
      </c>
      <c r="G2202" t="s">
        <v>162</v>
      </c>
      <c r="H2202" t="s">
        <v>45</v>
      </c>
      <c r="I2202" t="s">
        <v>103</v>
      </c>
      <c r="J2202" t="s">
        <v>57</v>
      </c>
      <c r="K2202">
        <v>4.7</v>
      </c>
      <c r="L2202" t="s">
        <v>23</v>
      </c>
      <c r="M2202" t="s">
        <v>79</v>
      </c>
      <c r="N2202" t="s">
        <v>23</v>
      </c>
      <c r="O2202">
        <v>27</v>
      </c>
      <c r="P2202" t="s">
        <v>36</v>
      </c>
      <c r="Q2202" t="s">
        <v>63</v>
      </c>
      <c r="R2202" s="1">
        <v>0.1</v>
      </c>
      <c r="S2202">
        <f t="shared" si="136"/>
        <v>45.9</v>
      </c>
      <c r="T2202">
        <f>IFERROR(VLOOKUP(A2202,Table1[[Customer ID]:[Discount Amount]], 6, FALSE),"Not Found")</f>
        <v>51</v>
      </c>
      <c r="U2202" t="str">
        <f t="shared" si="137"/>
        <v>Debit Card</v>
      </c>
      <c r="V2202" s="4" t="str">
        <f t="shared" si="138"/>
        <v>Normal</v>
      </c>
      <c r="W2202" s="4" t="str">
        <f t="shared" si="139"/>
        <v>Good</v>
      </c>
      <c r="X2202" s="4">
        <f>AVERAGE(Table1[Purchase Amount])</f>
        <v>129.48419400000012</v>
      </c>
    </row>
    <row r="2203" spans="1:24" ht="15" customHeight="1" x14ac:dyDescent="0.25">
      <c r="A2203">
        <v>2202</v>
      </c>
      <c r="B2203">
        <v>39</v>
      </c>
      <c r="C2203" t="s">
        <v>27</v>
      </c>
      <c r="D2203" t="s">
        <v>99</v>
      </c>
      <c r="E2203" t="s">
        <v>18</v>
      </c>
      <c r="F2203" s="2">
        <v>25</v>
      </c>
      <c r="G2203" t="s">
        <v>90</v>
      </c>
      <c r="H2203" t="s">
        <v>45</v>
      </c>
      <c r="I2203" t="s">
        <v>145</v>
      </c>
      <c r="J2203" t="s">
        <v>33</v>
      </c>
      <c r="K2203">
        <v>4.9000000000000004</v>
      </c>
      <c r="L2203" t="s">
        <v>23</v>
      </c>
      <c r="M2203" t="s">
        <v>41</v>
      </c>
      <c r="N2203" t="s">
        <v>23</v>
      </c>
      <c r="O2203">
        <v>10</v>
      </c>
      <c r="P2203" t="s">
        <v>62</v>
      </c>
      <c r="Q2203" t="s">
        <v>49</v>
      </c>
      <c r="R2203" s="1">
        <v>0.1</v>
      </c>
      <c r="S2203">
        <f t="shared" si="136"/>
        <v>22.5</v>
      </c>
      <c r="T2203">
        <f>IFERROR(VLOOKUP(A2203,Table1[[Customer ID]:[Discount Amount]], 6, FALSE),"Not Found")</f>
        <v>25</v>
      </c>
      <c r="U2203" t="str">
        <f t="shared" si="137"/>
        <v>Venmo</v>
      </c>
      <c r="V2203" s="4" t="str">
        <f t="shared" si="138"/>
        <v>Normal</v>
      </c>
      <c r="W2203" s="4" t="str">
        <f t="shared" si="139"/>
        <v>Good</v>
      </c>
      <c r="X2203" s="4">
        <f>AVERAGE(Table1[Purchase Amount])</f>
        <v>129.48419400000012</v>
      </c>
    </row>
    <row r="2204" spans="1:24" ht="15" customHeight="1" x14ac:dyDescent="0.25">
      <c r="A2204">
        <v>2203</v>
      </c>
      <c r="B2204">
        <v>42</v>
      </c>
      <c r="C2204" t="s">
        <v>27</v>
      </c>
      <c r="D2204" t="s">
        <v>157</v>
      </c>
      <c r="E2204" t="s">
        <v>18</v>
      </c>
      <c r="F2204" s="2">
        <v>36</v>
      </c>
      <c r="G2204" t="s">
        <v>51</v>
      </c>
      <c r="H2204" t="s">
        <v>31</v>
      </c>
      <c r="I2204" t="s">
        <v>46</v>
      </c>
      <c r="J2204" t="s">
        <v>57</v>
      </c>
      <c r="K2204">
        <v>4.3</v>
      </c>
      <c r="L2204" t="s">
        <v>23</v>
      </c>
      <c r="M2204" t="s">
        <v>79</v>
      </c>
      <c r="N2204" t="s">
        <v>23</v>
      </c>
      <c r="O2204">
        <v>23</v>
      </c>
      <c r="P2204" t="s">
        <v>53</v>
      </c>
      <c r="Q2204" t="s">
        <v>26</v>
      </c>
      <c r="R2204" s="1">
        <v>0.1</v>
      </c>
      <c r="S2204">
        <f t="shared" si="136"/>
        <v>32.4</v>
      </c>
      <c r="T2204">
        <f>IFERROR(VLOOKUP(A2204,Table1[[Customer ID]:[Discount Amount]], 6, FALSE),"Not Found")</f>
        <v>36</v>
      </c>
      <c r="U2204" t="str">
        <f t="shared" si="137"/>
        <v>Credit Card</v>
      </c>
      <c r="V2204" s="4" t="str">
        <f t="shared" si="138"/>
        <v>Normal</v>
      </c>
      <c r="W2204" s="4" t="str">
        <f t="shared" si="139"/>
        <v>Good</v>
      </c>
      <c r="X2204" s="4">
        <f>AVERAGE(Table1[Purchase Amount])</f>
        <v>129.48419400000012</v>
      </c>
    </row>
    <row r="2205" spans="1:24" ht="15" customHeight="1" x14ac:dyDescent="0.25">
      <c r="A2205">
        <v>2204</v>
      </c>
      <c r="B2205">
        <v>53</v>
      </c>
      <c r="C2205" t="s">
        <v>27</v>
      </c>
      <c r="D2205" t="s">
        <v>157</v>
      </c>
      <c r="E2205" t="s">
        <v>18</v>
      </c>
      <c r="F2205" s="2">
        <v>79</v>
      </c>
      <c r="G2205" t="s">
        <v>159</v>
      </c>
      <c r="H2205" t="s">
        <v>31</v>
      </c>
      <c r="I2205" t="s">
        <v>91</v>
      </c>
      <c r="J2205" t="s">
        <v>22</v>
      </c>
      <c r="K2205">
        <v>3.1</v>
      </c>
      <c r="L2205" t="s">
        <v>23</v>
      </c>
      <c r="M2205" t="s">
        <v>35</v>
      </c>
      <c r="N2205" t="s">
        <v>23</v>
      </c>
      <c r="O2205">
        <v>32</v>
      </c>
      <c r="P2205" t="s">
        <v>25</v>
      </c>
      <c r="Q2205" t="s">
        <v>37</v>
      </c>
      <c r="R2205" s="1">
        <v>0.1</v>
      </c>
      <c r="S2205">
        <f t="shared" si="136"/>
        <v>71.099999999999994</v>
      </c>
      <c r="T2205">
        <f>IFERROR(VLOOKUP(A2205,Table1[[Customer ID]:[Discount Amount]], 6, FALSE),"Not Found")</f>
        <v>79</v>
      </c>
      <c r="U2205" t="str">
        <f t="shared" si="137"/>
        <v>Cash</v>
      </c>
      <c r="V2205" s="4" t="str">
        <f t="shared" si="138"/>
        <v>Normal</v>
      </c>
      <c r="W2205" s="4" t="str">
        <f t="shared" si="139"/>
        <v>Good</v>
      </c>
      <c r="X2205" s="4">
        <f>AVERAGE(Table1[Purchase Amount])</f>
        <v>129.48419400000012</v>
      </c>
    </row>
    <row r="2206" spans="1:24" ht="15" customHeight="1" x14ac:dyDescent="0.25">
      <c r="A2206">
        <v>2205</v>
      </c>
      <c r="B2206">
        <v>20</v>
      </c>
      <c r="C2206" t="s">
        <v>27</v>
      </c>
      <c r="D2206" t="s">
        <v>109</v>
      </c>
      <c r="E2206" t="s">
        <v>18</v>
      </c>
      <c r="F2206" s="2">
        <v>41</v>
      </c>
      <c r="G2206" t="s">
        <v>123</v>
      </c>
      <c r="H2206" t="s">
        <v>55</v>
      </c>
      <c r="I2206" t="s">
        <v>107</v>
      </c>
      <c r="J2206" t="s">
        <v>22</v>
      </c>
      <c r="K2206">
        <v>3.4</v>
      </c>
      <c r="L2206" t="s">
        <v>23</v>
      </c>
      <c r="M2206" t="s">
        <v>41</v>
      </c>
      <c r="N2206" t="s">
        <v>23</v>
      </c>
      <c r="O2206">
        <v>6</v>
      </c>
      <c r="P2206" t="s">
        <v>36</v>
      </c>
      <c r="Q2206" t="s">
        <v>42</v>
      </c>
      <c r="R2206" s="1">
        <v>0.1</v>
      </c>
      <c r="S2206">
        <f t="shared" si="136"/>
        <v>36.9</v>
      </c>
      <c r="T2206">
        <f>IFERROR(VLOOKUP(A2206,Table1[[Customer ID]:[Discount Amount]], 6, FALSE),"Not Found")</f>
        <v>41</v>
      </c>
      <c r="U2206" t="str">
        <f t="shared" si="137"/>
        <v>Debit Card</v>
      </c>
      <c r="V2206" s="4" t="str">
        <f t="shared" si="138"/>
        <v>Normal</v>
      </c>
      <c r="W2206" s="4" t="str">
        <f t="shared" si="139"/>
        <v>Good</v>
      </c>
      <c r="X2206" s="4">
        <f>AVERAGE(Table1[Purchase Amount])</f>
        <v>129.48419400000012</v>
      </c>
    </row>
    <row r="2207" spans="1:24" ht="15" customHeight="1" x14ac:dyDescent="0.25">
      <c r="A2207">
        <v>2206</v>
      </c>
      <c r="B2207">
        <v>46</v>
      </c>
      <c r="C2207" t="s">
        <v>27</v>
      </c>
      <c r="D2207" t="s">
        <v>127</v>
      </c>
      <c r="E2207" t="s">
        <v>18</v>
      </c>
      <c r="F2207" s="2">
        <v>68</v>
      </c>
      <c r="G2207" t="s">
        <v>86</v>
      </c>
      <c r="H2207" t="s">
        <v>20</v>
      </c>
      <c r="I2207" t="s">
        <v>46</v>
      </c>
      <c r="J2207" t="s">
        <v>47</v>
      </c>
      <c r="K2207">
        <v>2.7</v>
      </c>
      <c r="L2207" t="s">
        <v>23</v>
      </c>
      <c r="M2207" t="s">
        <v>61</v>
      </c>
      <c r="N2207" t="s">
        <v>23</v>
      </c>
      <c r="O2207">
        <v>27</v>
      </c>
      <c r="P2207" t="s">
        <v>58</v>
      </c>
      <c r="Q2207" t="s">
        <v>26</v>
      </c>
      <c r="R2207" s="1">
        <v>0.1</v>
      </c>
      <c r="S2207">
        <f t="shared" si="136"/>
        <v>61.2</v>
      </c>
      <c r="T2207">
        <f>IFERROR(VLOOKUP(A2207,Table1[[Customer ID]:[Discount Amount]], 6, FALSE),"Not Found")</f>
        <v>68</v>
      </c>
      <c r="U2207" t="str">
        <f t="shared" si="137"/>
        <v>PayPal</v>
      </c>
      <c r="V2207" s="4" t="str">
        <f t="shared" si="138"/>
        <v>Normal</v>
      </c>
      <c r="W2207" s="4" t="str">
        <f t="shared" si="139"/>
        <v>Poor</v>
      </c>
      <c r="X2207" s="4">
        <f>AVERAGE(Table1[Purchase Amount])</f>
        <v>129.48419400000012</v>
      </c>
    </row>
    <row r="2208" spans="1:24" ht="15" customHeight="1" x14ac:dyDescent="0.25">
      <c r="A2208">
        <v>2207</v>
      </c>
      <c r="B2208">
        <v>46</v>
      </c>
      <c r="C2208" t="s">
        <v>27</v>
      </c>
      <c r="D2208" t="s">
        <v>121</v>
      </c>
      <c r="E2208" t="s">
        <v>98</v>
      </c>
      <c r="F2208" s="2">
        <v>51</v>
      </c>
      <c r="G2208" t="s">
        <v>44</v>
      </c>
      <c r="H2208" t="s">
        <v>45</v>
      </c>
      <c r="I2208" t="s">
        <v>93</v>
      </c>
      <c r="J2208" t="s">
        <v>33</v>
      </c>
      <c r="K2208">
        <v>2.6</v>
      </c>
      <c r="L2208" t="s">
        <v>23</v>
      </c>
      <c r="M2208" t="s">
        <v>48</v>
      </c>
      <c r="N2208" t="s">
        <v>23</v>
      </c>
      <c r="O2208">
        <v>25</v>
      </c>
      <c r="P2208" t="s">
        <v>88</v>
      </c>
      <c r="Q2208" t="s">
        <v>89</v>
      </c>
      <c r="R2208" s="1">
        <v>0.1</v>
      </c>
      <c r="S2208">
        <f t="shared" si="136"/>
        <v>45.9</v>
      </c>
      <c r="T2208">
        <f>IFERROR(VLOOKUP(A2208,Table1[[Customer ID]:[Discount Amount]], 6, FALSE),"Not Found")</f>
        <v>51</v>
      </c>
      <c r="U2208" t="str">
        <f t="shared" si="137"/>
        <v>Bank Transfer</v>
      </c>
      <c r="V2208" s="4" t="str">
        <f t="shared" si="138"/>
        <v>Normal</v>
      </c>
      <c r="W2208" s="4" t="str">
        <f t="shared" si="139"/>
        <v>Poor</v>
      </c>
      <c r="X2208" s="4">
        <f>AVERAGE(Table1[Purchase Amount])</f>
        <v>129.48419400000012</v>
      </c>
    </row>
    <row r="2209" spans="1:24" ht="15" customHeight="1" x14ac:dyDescent="0.25">
      <c r="A2209">
        <v>2208</v>
      </c>
      <c r="B2209">
        <v>69</v>
      </c>
      <c r="C2209" t="s">
        <v>27</v>
      </c>
      <c r="D2209" t="s">
        <v>69</v>
      </c>
      <c r="E2209" t="s">
        <v>29</v>
      </c>
      <c r="F2209" s="2">
        <v>38</v>
      </c>
      <c r="G2209" t="s">
        <v>110</v>
      </c>
      <c r="H2209" t="s">
        <v>31</v>
      </c>
      <c r="I2209" t="s">
        <v>85</v>
      </c>
      <c r="J2209" t="s">
        <v>47</v>
      </c>
      <c r="K2209">
        <v>2.9</v>
      </c>
      <c r="L2209" t="s">
        <v>23</v>
      </c>
      <c r="M2209" t="s">
        <v>79</v>
      </c>
      <c r="N2209" t="s">
        <v>23</v>
      </c>
      <c r="O2209">
        <v>11</v>
      </c>
      <c r="P2209" t="s">
        <v>53</v>
      </c>
      <c r="Q2209" t="s">
        <v>49</v>
      </c>
      <c r="R2209" s="1">
        <v>0.1</v>
      </c>
      <c r="S2209">
        <f t="shared" si="136"/>
        <v>34.200000000000003</v>
      </c>
      <c r="T2209">
        <f>IFERROR(VLOOKUP(A2209,Table1[[Customer ID]:[Discount Amount]], 6, FALSE),"Not Found")</f>
        <v>38</v>
      </c>
      <c r="U2209" t="str">
        <f t="shared" si="137"/>
        <v>Credit Card</v>
      </c>
      <c r="V2209" s="4" t="str">
        <f t="shared" si="138"/>
        <v>Normal</v>
      </c>
      <c r="W2209" s="4" t="str">
        <f t="shared" si="139"/>
        <v>Poor</v>
      </c>
      <c r="X2209" s="4">
        <f>AVERAGE(Table1[Purchase Amount])</f>
        <v>129.48419400000012</v>
      </c>
    </row>
    <row r="2210" spans="1:24" ht="15" customHeight="1" x14ac:dyDescent="0.25">
      <c r="A2210">
        <v>2209</v>
      </c>
      <c r="B2210">
        <v>28</v>
      </c>
      <c r="C2210" t="s">
        <v>27</v>
      </c>
      <c r="D2210" t="s">
        <v>129</v>
      </c>
      <c r="E2210" t="s">
        <v>29</v>
      </c>
      <c r="F2210" s="2">
        <v>46</v>
      </c>
      <c r="G2210" t="s">
        <v>92</v>
      </c>
      <c r="H2210" t="s">
        <v>20</v>
      </c>
      <c r="I2210" t="s">
        <v>111</v>
      </c>
      <c r="J2210" t="s">
        <v>57</v>
      </c>
      <c r="K2210">
        <v>2.7</v>
      </c>
      <c r="L2210" t="s">
        <v>23</v>
      </c>
      <c r="M2210" t="s">
        <v>41</v>
      </c>
      <c r="N2210" t="s">
        <v>23</v>
      </c>
      <c r="O2210">
        <v>23</v>
      </c>
      <c r="P2210" t="s">
        <v>58</v>
      </c>
      <c r="Q2210" t="s">
        <v>42</v>
      </c>
      <c r="R2210" s="1">
        <v>0.1</v>
      </c>
      <c r="S2210">
        <f t="shared" si="136"/>
        <v>41.4</v>
      </c>
      <c r="T2210">
        <f>IFERROR(VLOOKUP(A2210,Table1[[Customer ID]:[Discount Amount]], 6, FALSE),"Not Found")</f>
        <v>46</v>
      </c>
      <c r="U2210" t="str">
        <f t="shared" si="137"/>
        <v>PayPal</v>
      </c>
      <c r="V2210" s="4" t="str">
        <f t="shared" si="138"/>
        <v>Normal</v>
      </c>
      <c r="W2210" s="4" t="str">
        <f t="shared" si="139"/>
        <v>Poor</v>
      </c>
      <c r="X2210" s="4">
        <f>AVERAGE(Table1[Purchase Amount])</f>
        <v>129.48419400000012</v>
      </c>
    </row>
    <row r="2211" spans="1:24" ht="15" customHeight="1" x14ac:dyDescent="0.25">
      <c r="A2211">
        <v>2210</v>
      </c>
      <c r="B2211">
        <v>42</v>
      </c>
      <c r="C2211" t="s">
        <v>27</v>
      </c>
      <c r="D2211" t="s">
        <v>121</v>
      </c>
      <c r="E2211" t="s">
        <v>98</v>
      </c>
      <c r="F2211" s="2">
        <v>20</v>
      </c>
      <c r="G2211" t="s">
        <v>144</v>
      </c>
      <c r="H2211" t="s">
        <v>20</v>
      </c>
      <c r="I2211" t="s">
        <v>56</v>
      </c>
      <c r="J2211" t="s">
        <v>57</v>
      </c>
      <c r="K2211">
        <v>4.5</v>
      </c>
      <c r="L2211" t="s">
        <v>23</v>
      </c>
      <c r="M2211" t="s">
        <v>41</v>
      </c>
      <c r="N2211" t="s">
        <v>23</v>
      </c>
      <c r="O2211">
        <v>44</v>
      </c>
      <c r="P2211" t="s">
        <v>88</v>
      </c>
      <c r="Q2211" t="s">
        <v>37</v>
      </c>
      <c r="R2211" s="1">
        <v>0.1</v>
      </c>
      <c r="S2211">
        <f t="shared" si="136"/>
        <v>18</v>
      </c>
      <c r="T2211">
        <f>IFERROR(VLOOKUP(A2211,Table1[[Customer ID]:[Discount Amount]], 6, FALSE),"Not Found")</f>
        <v>20</v>
      </c>
      <c r="U2211" t="str">
        <f t="shared" si="137"/>
        <v>Bank Transfer</v>
      </c>
      <c r="V2211" s="4" t="str">
        <f t="shared" si="138"/>
        <v>Normal</v>
      </c>
      <c r="W2211" s="4" t="str">
        <f t="shared" si="139"/>
        <v>Good</v>
      </c>
      <c r="X2211" s="4">
        <f>AVERAGE(Table1[Purchase Amount])</f>
        <v>129.48419400000012</v>
      </c>
    </row>
    <row r="2212" spans="1:24" ht="15" customHeight="1" x14ac:dyDescent="0.25">
      <c r="A2212">
        <v>2211</v>
      </c>
      <c r="B2212">
        <v>30</v>
      </c>
      <c r="C2212" t="s">
        <v>27</v>
      </c>
      <c r="D2212" t="s">
        <v>28</v>
      </c>
      <c r="E2212" t="s">
        <v>29</v>
      </c>
      <c r="F2212" s="2">
        <v>25</v>
      </c>
      <c r="G2212" t="s">
        <v>138</v>
      </c>
      <c r="H2212" t="s">
        <v>31</v>
      </c>
      <c r="I2212" t="s">
        <v>108</v>
      </c>
      <c r="J2212" t="s">
        <v>57</v>
      </c>
      <c r="K2212">
        <v>3.1</v>
      </c>
      <c r="L2212" t="s">
        <v>23</v>
      </c>
      <c r="M2212" t="s">
        <v>48</v>
      </c>
      <c r="N2212" t="s">
        <v>23</v>
      </c>
      <c r="O2212">
        <v>35</v>
      </c>
      <c r="P2212" t="s">
        <v>58</v>
      </c>
      <c r="Q2212" t="s">
        <v>89</v>
      </c>
      <c r="R2212" s="1">
        <v>0.1</v>
      </c>
      <c r="S2212">
        <f t="shared" si="136"/>
        <v>22.5</v>
      </c>
      <c r="T2212">
        <f>IFERROR(VLOOKUP(A2212,Table1[[Customer ID]:[Discount Amount]], 6, FALSE),"Not Found")</f>
        <v>25</v>
      </c>
      <c r="U2212" t="str">
        <f t="shared" si="137"/>
        <v>PayPal</v>
      </c>
      <c r="V2212" s="4" t="str">
        <f t="shared" si="138"/>
        <v>Normal</v>
      </c>
      <c r="W2212" s="4" t="str">
        <f t="shared" si="139"/>
        <v>Good</v>
      </c>
      <c r="X2212" s="4">
        <f>AVERAGE(Table1[Purchase Amount])</f>
        <v>129.48419400000012</v>
      </c>
    </row>
    <row r="2213" spans="1:24" ht="15" customHeight="1" x14ac:dyDescent="0.25">
      <c r="A2213">
        <v>2212</v>
      </c>
      <c r="B2213">
        <v>50</v>
      </c>
      <c r="C2213" t="s">
        <v>27</v>
      </c>
      <c r="D2213" t="s">
        <v>127</v>
      </c>
      <c r="E2213" t="s">
        <v>18</v>
      </c>
      <c r="F2213" s="2">
        <v>89</v>
      </c>
      <c r="G2213" t="s">
        <v>94</v>
      </c>
      <c r="H2213" t="s">
        <v>45</v>
      </c>
      <c r="I2213" t="s">
        <v>66</v>
      </c>
      <c r="J2213" t="s">
        <v>22</v>
      </c>
      <c r="K2213">
        <v>3.2</v>
      </c>
      <c r="L2213" t="s">
        <v>23</v>
      </c>
      <c r="M2213" t="s">
        <v>35</v>
      </c>
      <c r="N2213" t="s">
        <v>23</v>
      </c>
      <c r="O2213">
        <v>45</v>
      </c>
      <c r="P2213" t="s">
        <v>36</v>
      </c>
      <c r="Q2213" t="s">
        <v>63</v>
      </c>
      <c r="R2213" s="1">
        <v>0.1</v>
      </c>
      <c r="S2213">
        <f t="shared" si="136"/>
        <v>80.099999999999994</v>
      </c>
      <c r="T2213">
        <f>IFERROR(VLOOKUP(A2213,Table1[[Customer ID]:[Discount Amount]], 6, FALSE),"Not Found")</f>
        <v>89</v>
      </c>
      <c r="U2213" t="str">
        <f t="shared" si="137"/>
        <v>Debit Card</v>
      </c>
      <c r="V2213" s="4" t="str">
        <f t="shared" si="138"/>
        <v>Normal</v>
      </c>
      <c r="W2213" s="4" t="str">
        <f t="shared" si="139"/>
        <v>Good</v>
      </c>
      <c r="X2213" s="4">
        <f>AVERAGE(Table1[Purchase Amount])</f>
        <v>129.48419400000012</v>
      </c>
    </row>
    <row r="2214" spans="1:24" ht="15" customHeight="1" x14ac:dyDescent="0.25">
      <c r="A2214">
        <v>2213</v>
      </c>
      <c r="B2214">
        <v>59</v>
      </c>
      <c r="C2214" t="s">
        <v>27</v>
      </c>
      <c r="D2214" t="s">
        <v>99</v>
      </c>
      <c r="E2214" t="s">
        <v>18</v>
      </c>
      <c r="F2214" s="2">
        <v>77</v>
      </c>
      <c r="G2214" t="s">
        <v>137</v>
      </c>
      <c r="H2214" t="s">
        <v>31</v>
      </c>
      <c r="I2214" t="s">
        <v>60</v>
      </c>
      <c r="J2214" t="s">
        <v>22</v>
      </c>
      <c r="K2214">
        <v>3.3</v>
      </c>
      <c r="L2214" t="s">
        <v>23</v>
      </c>
      <c r="M2214" t="s">
        <v>79</v>
      </c>
      <c r="N2214" t="s">
        <v>23</v>
      </c>
      <c r="O2214">
        <v>22</v>
      </c>
      <c r="P2214" t="s">
        <v>88</v>
      </c>
      <c r="Q2214" t="s">
        <v>37</v>
      </c>
      <c r="R2214" s="1">
        <v>0.1</v>
      </c>
      <c r="S2214">
        <f t="shared" si="136"/>
        <v>69.3</v>
      </c>
      <c r="T2214">
        <f>IFERROR(VLOOKUP(A2214,Table1[[Customer ID]:[Discount Amount]], 6, FALSE),"Not Found")</f>
        <v>77</v>
      </c>
      <c r="U2214" t="str">
        <f t="shared" si="137"/>
        <v>Bank Transfer</v>
      </c>
      <c r="V2214" s="4" t="str">
        <f t="shared" si="138"/>
        <v>Normal</v>
      </c>
      <c r="W2214" s="4" t="str">
        <f t="shared" si="139"/>
        <v>Good</v>
      </c>
      <c r="X2214" s="4">
        <f>AVERAGE(Table1[Purchase Amount])</f>
        <v>129.48419400000012</v>
      </c>
    </row>
    <row r="2215" spans="1:24" ht="15" customHeight="1" x14ac:dyDescent="0.25">
      <c r="A2215">
        <v>2214</v>
      </c>
      <c r="B2215">
        <v>54</v>
      </c>
      <c r="C2215" t="s">
        <v>27</v>
      </c>
      <c r="D2215" t="s">
        <v>64</v>
      </c>
      <c r="E2215" t="s">
        <v>29</v>
      </c>
      <c r="F2215" s="2">
        <v>94</v>
      </c>
      <c r="G2215" t="s">
        <v>135</v>
      </c>
      <c r="H2215" t="s">
        <v>31</v>
      </c>
      <c r="I2215" t="s">
        <v>125</v>
      </c>
      <c r="J2215" t="s">
        <v>47</v>
      </c>
      <c r="K2215">
        <v>2.9</v>
      </c>
      <c r="L2215" t="s">
        <v>23</v>
      </c>
      <c r="M2215" t="s">
        <v>61</v>
      </c>
      <c r="N2215" t="s">
        <v>23</v>
      </c>
      <c r="O2215">
        <v>18</v>
      </c>
      <c r="P2215" t="s">
        <v>36</v>
      </c>
      <c r="Q2215" t="s">
        <v>37</v>
      </c>
      <c r="R2215" s="1">
        <v>0.1</v>
      </c>
      <c r="S2215">
        <f t="shared" si="136"/>
        <v>84.6</v>
      </c>
      <c r="T2215">
        <f>IFERROR(VLOOKUP(A2215,Table1[[Customer ID]:[Discount Amount]], 6, FALSE),"Not Found")</f>
        <v>94</v>
      </c>
      <c r="U2215" t="str">
        <f t="shared" si="137"/>
        <v>Debit Card</v>
      </c>
      <c r="V2215" s="4" t="str">
        <f t="shared" si="138"/>
        <v>Normal</v>
      </c>
      <c r="W2215" s="4" t="str">
        <f t="shared" si="139"/>
        <v>Poor</v>
      </c>
      <c r="X2215" s="4">
        <f>AVERAGE(Table1[Purchase Amount])</f>
        <v>129.48419400000012</v>
      </c>
    </row>
    <row r="2216" spans="1:24" ht="15" customHeight="1" x14ac:dyDescent="0.25">
      <c r="A2216">
        <v>2215</v>
      </c>
      <c r="B2216">
        <v>50</v>
      </c>
      <c r="C2216" t="s">
        <v>27</v>
      </c>
      <c r="D2216" t="s">
        <v>114</v>
      </c>
      <c r="E2216" t="s">
        <v>29</v>
      </c>
      <c r="F2216" s="2">
        <v>100</v>
      </c>
      <c r="G2216" t="s">
        <v>161</v>
      </c>
      <c r="H2216" t="s">
        <v>45</v>
      </c>
      <c r="I2216" t="s">
        <v>133</v>
      </c>
      <c r="J2216" t="s">
        <v>47</v>
      </c>
      <c r="K2216">
        <v>4.0999999999999996</v>
      </c>
      <c r="L2216" t="s">
        <v>23</v>
      </c>
      <c r="M2216" t="s">
        <v>24</v>
      </c>
      <c r="N2216" t="s">
        <v>23</v>
      </c>
      <c r="O2216">
        <v>20</v>
      </c>
      <c r="P2216" t="s">
        <v>36</v>
      </c>
      <c r="Q2216" t="s">
        <v>26</v>
      </c>
      <c r="R2216" s="1">
        <v>0.1</v>
      </c>
      <c r="S2216">
        <f t="shared" si="136"/>
        <v>90</v>
      </c>
      <c r="T2216">
        <f>IFERROR(VLOOKUP(A2216,Table1[[Customer ID]:[Discount Amount]], 6, FALSE),"Not Found")</f>
        <v>100</v>
      </c>
      <c r="U2216" t="str">
        <f t="shared" si="137"/>
        <v>Debit Card</v>
      </c>
      <c r="V2216" s="4" t="str">
        <f t="shared" si="138"/>
        <v>Normal</v>
      </c>
      <c r="W2216" s="4" t="str">
        <f t="shared" si="139"/>
        <v>Good</v>
      </c>
      <c r="X2216" s="4">
        <f>AVERAGE(Table1[Purchase Amount])</f>
        <v>129.48419400000012</v>
      </c>
    </row>
    <row r="2217" spans="1:24" ht="15" customHeight="1" x14ac:dyDescent="0.25">
      <c r="A2217">
        <v>2216</v>
      </c>
      <c r="B2217">
        <v>25</v>
      </c>
      <c r="C2217" t="s">
        <v>27</v>
      </c>
      <c r="D2217" t="s">
        <v>121</v>
      </c>
      <c r="E2217" t="s">
        <v>98</v>
      </c>
      <c r="F2217" s="2">
        <v>96</v>
      </c>
      <c r="G2217" t="s">
        <v>154</v>
      </c>
      <c r="H2217" t="s">
        <v>31</v>
      </c>
      <c r="I2217" t="s">
        <v>91</v>
      </c>
      <c r="J2217" t="s">
        <v>22</v>
      </c>
      <c r="K2217">
        <v>2.7</v>
      </c>
      <c r="L2217" t="s">
        <v>23</v>
      </c>
      <c r="M2217" t="s">
        <v>61</v>
      </c>
      <c r="N2217" t="s">
        <v>23</v>
      </c>
      <c r="O2217">
        <v>28</v>
      </c>
      <c r="P2217" t="s">
        <v>53</v>
      </c>
      <c r="Q2217" t="s">
        <v>89</v>
      </c>
      <c r="R2217" s="1">
        <v>0.1</v>
      </c>
      <c r="S2217">
        <f t="shared" si="136"/>
        <v>86.4</v>
      </c>
      <c r="T2217">
        <f>IFERROR(VLOOKUP(A2217,Table1[[Customer ID]:[Discount Amount]], 6, FALSE),"Not Found")</f>
        <v>96</v>
      </c>
      <c r="U2217" t="str">
        <f t="shared" si="137"/>
        <v>Credit Card</v>
      </c>
      <c r="V2217" s="4" t="str">
        <f t="shared" si="138"/>
        <v>Normal</v>
      </c>
      <c r="W2217" s="4" t="str">
        <f t="shared" si="139"/>
        <v>Poor</v>
      </c>
      <c r="X2217" s="4">
        <f>AVERAGE(Table1[Purchase Amount])</f>
        <v>129.48419400000012</v>
      </c>
    </row>
    <row r="2218" spans="1:24" ht="15" customHeight="1" x14ac:dyDescent="0.25">
      <c r="A2218">
        <v>2217</v>
      </c>
      <c r="B2218">
        <v>41</v>
      </c>
      <c r="C2218" t="s">
        <v>27</v>
      </c>
      <c r="D2218" t="s">
        <v>99</v>
      </c>
      <c r="E2218" t="s">
        <v>18</v>
      </c>
      <c r="F2218" s="2">
        <v>36</v>
      </c>
      <c r="G2218" t="s">
        <v>84</v>
      </c>
      <c r="H2218" t="s">
        <v>20</v>
      </c>
      <c r="I2218" t="s">
        <v>153</v>
      </c>
      <c r="J2218" t="s">
        <v>22</v>
      </c>
      <c r="K2218">
        <v>4</v>
      </c>
      <c r="L2218" t="s">
        <v>23</v>
      </c>
      <c r="M2218" t="s">
        <v>48</v>
      </c>
      <c r="N2218" t="s">
        <v>23</v>
      </c>
      <c r="O2218">
        <v>15</v>
      </c>
      <c r="P2218" t="s">
        <v>62</v>
      </c>
      <c r="Q2218" t="s">
        <v>68</v>
      </c>
      <c r="R2218" s="1">
        <v>0.1</v>
      </c>
      <c r="S2218">
        <f t="shared" si="136"/>
        <v>32.4</v>
      </c>
      <c r="T2218">
        <f>IFERROR(VLOOKUP(A2218,Table1[[Customer ID]:[Discount Amount]], 6, FALSE),"Not Found")</f>
        <v>36</v>
      </c>
      <c r="U2218" t="str">
        <f t="shared" si="137"/>
        <v>Venmo</v>
      </c>
      <c r="V2218" s="4" t="str">
        <f t="shared" si="138"/>
        <v>Normal</v>
      </c>
      <c r="W2218" s="4" t="str">
        <f t="shared" si="139"/>
        <v>Good</v>
      </c>
      <c r="X2218" s="4">
        <f>AVERAGE(Table1[Purchase Amount])</f>
        <v>129.48419400000012</v>
      </c>
    </row>
    <row r="2219" spans="1:24" ht="15" customHeight="1" x14ac:dyDescent="0.25">
      <c r="A2219">
        <v>2218</v>
      </c>
      <c r="B2219">
        <v>35</v>
      </c>
      <c r="C2219" t="s">
        <v>27</v>
      </c>
      <c r="D2219" t="s">
        <v>50</v>
      </c>
      <c r="E2219" t="s">
        <v>29</v>
      </c>
      <c r="F2219" s="2">
        <v>27</v>
      </c>
      <c r="G2219" t="s">
        <v>102</v>
      </c>
      <c r="H2219" t="s">
        <v>20</v>
      </c>
      <c r="I2219" t="s">
        <v>46</v>
      </c>
      <c r="J2219" t="s">
        <v>47</v>
      </c>
      <c r="K2219">
        <v>2.6</v>
      </c>
      <c r="L2219" t="s">
        <v>23</v>
      </c>
      <c r="M2219" t="s">
        <v>48</v>
      </c>
      <c r="N2219" t="s">
        <v>23</v>
      </c>
      <c r="O2219">
        <v>42</v>
      </c>
      <c r="P2219" t="s">
        <v>88</v>
      </c>
      <c r="Q2219" t="s">
        <v>89</v>
      </c>
      <c r="R2219" s="1">
        <v>0.1</v>
      </c>
      <c r="S2219">
        <f t="shared" si="136"/>
        <v>24.3</v>
      </c>
      <c r="T2219">
        <f>IFERROR(VLOOKUP(A2219,Table1[[Customer ID]:[Discount Amount]], 6, FALSE),"Not Found")</f>
        <v>27</v>
      </c>
      <c r="U2219" t="str">
        <f t="shared" si="137"/>
        <v>Bank Transfer</v>
      </c>
      <c r="V2219" s="4" t="str">
        <f t="shared" si="138"/>
        <v>Normal</v>
      </c>
      <c r="W2219" s="4" t="str">
        <f t="shared" si="139"/>
        <v>Poor</v>
      </c>
      <c r="X2219" s="4">
        <f>AVERAGE(Table1[Purchase Amount])</f>
        <v>129.48419400000012</v>
      </c>
    </row>
    <row r="2220" spans="1:24" ht="15" customHeight="1" x14ac:dyDescent="0.25">
      <c r="A2220">
        <v>2219</v>
      </c>
      <c r="B2220">
        <v>67</v>
      </c>
      <c r="C2220" t="s">
        <v>27</v>
      </c>
      <c r="D2220" t="s">
        <v>28</v>
      </c>
      <c r="E2220" t="s">
        <v>29</v>
      </c>
      <c r="F2220" s="2">
        <v>67</v>
      </c>
      <c r="G2220" t="s">
        <v>161</v>
      </c>
      <c r="H2220" t="s">
        <v>31</v>
      </c>
      <c r="I2220" t="s">
        <v>87</v>
      </c>
      <c r="J2220" t="s">
        <v>22</v>
      </c>
      <c r="K2220">
        <v>3.5</v>
      </c>
      <c r="L2220" t="s">
        <v>23</v>
      </c>
      <c r="M2220" t="s">
        <v>48</v>
      </c>
      <c r="N2220" t="s">
        <v>23</v>
      </c>
      <c r="O2220">
        <v>20</v>
      </c>
      <c r="P2220" t="s">
        <v>36</v>
      </c>
      <c r="Q2220" t="s">
        <v>37</v>
      </c>
      <c r="R2220" s="1">
        <v>0.1</v>
      </c>
      <c r="S2220">
        <f t="shared" si="136"/>
        <v>60.3</v>
      </c>
      <c r="T2220">
        <f>IFERROR(VLOOKUP(A2220,Table1[[Customer ID]:[Discount Amount]], 6, FALSE),"Not Found")</f>
        <v>67</v>
      </c>
      <c r="U2220" t="str">
        <f t="shared" si="137"/>
        <v>Debit Card</v>
      </c>
      <c r="V2220" s="4" t="str">
        <f t="shared" si="138"/>
        <v>Normal</v>
      </c>
      <c r="W2220" s="4" t="str">
        <f t="shared" si="139"/>
        <v>Good</v>
      </c>
      <c r="X2220" s="4">
        <f>AVERAGE(Table1[Purchase Amount])</f>
        <v>129.48419400000012</v>
      </c>
    </row>
    <row r="2221" spans="1:24" ht="15" customHeight="1" x14ac:dyDescent="0.25">
      <c r="A2221">
        <v>2220</v>
      </c>
      <c r="B2221">
        <v>33</v>
      </c>
      <c r="C2221" t="s">
        <v>27</v>
      </c>
      <c r="D2221" t="s">
        <v>118</v>
      </c>
      <c r="E2221" t="s">
        <v>18</v>
      </c>
      <c r="F2221" s="2">
        <v>91</v>
      </c>
      <c r="G2221" t="s">
        <v>120</v>
      </c>
      <c r="H2221" t="s">
        <v>55</v>
      </c>
      <c r="I2221" t="s">
        <v>66</v>
      </c>
      <c r="J2221" t="s">
        <v>47</v>
      </c>
      <c r="K2221">
        <v>2.8</v>
      </c>
      <c r="L2221" t="s">
        <v>23</v>
      </c>
      <c r="M2221" t="s">
        <v>48</v>
      </c>
      <c r="N2221" t="s">
        <v>23</v>
      </c>
      <c r="O2221">
        <v>16</v>
      </c>
      <c r="P2221" t="s">
        <v>88</v>
      </c>
      <c r="Q2221" t="s">
        <v>89</v>
      </c>
      <c r="R2221" s="1">
        <v>0.1</v>
      </c>
      <c r="S2221">
        <f t="shared" si="136"/>
        <v>81.900000000000006</v>
      </c>
      <c r="T2221">
        <f>IFERROR(VLOOKUP(A2221,Table1[[Customer ID]:[Discount Amount]], 6, FALSE),"Not Found")</f>
        <v>91</v>
      </c>
      <c r="U2221" t="str">
        <f t="shared" si="137"/>
        <v>Bank Transfer</v>
      </c>
      <c r="V2221" s="4" t="str">
        <f t="shared" si="138"/>
        <v>Normal</v>
      </c>
      <c r="W2221" s="4" t="str">
        <f t="shared" si="139"/>
        <v>Poor</v>
      </c>
      <c r="X2221" s="4">
        <f>AVERAGE(Table1[Purchase Amount])</f>
        <v>129.48419400000012</v>
      </c>
    </row>
    <row r="2222" spans="1:24" ht="15" customHeight="1" x14ac:dyDescent="0.25">
      <c r="A2222">
        <v>2221</v>
      </c>
      <c r="B2222">
        <v>19</v>
      </c>
      <c r="C2222" t="s">
        <v>27</v>
      </c>
      <c r="D2222" t="s">
        <v>114</v>
      </c>
      <c r="E2222" t="s">
        <v>29</v>
      </c>
      <c r="F2222" s="2">
        <v>62</v>
      </c>
      <c r="G2222" t="s">
        <v>162</v>
      </c>
      <c r="H2222" t="s">
        <v>20</v>
      </c>
      <c r="I2222" t="s">
        <v>56</v>
      </c>
      <c r="J2222" t="s">
        <v>47</v>
      </c>
      <c r="K2222">
        <v>4.5</v>
      </c>
      <c r="L2222" t="s">
        <v>23</v>
      </c>
      <c r="M2222" t="s">
        <v>48</v>
      </c>
      <c r="N2222" t="s">
        <v>23</v>
      </c>
      <c r="O2222">
        <v>47</v>
      </c>
      <c r="P2222" t="s">
        <v>25</v>
      </c>
      <c r="Q2222" t="s">
        <v>49</v>
      </c>
      <c r="R2222" s="1">
        <v>0.1</v>
      </c>
      <c r="S2222">
        <f t="shared" si="136"/>
        <v>55.8</v>
      </c>
      <c r="T2222">
        <f>IFERROR(VLOOKUP(A2222,Table1[[Customer ID]:[Discount Amount]], 6, FALSE),"Not Found")</f>
        <v>62</v>
      </c>
      <c r="U2222" t="str">
        <f t="shared" si="137"/>
        <v>Cash</v>
      </c>
      <c r="V2222" s="4" t="str">
        <f t="shared" si="138"/>
        <v>Normal</v>
      </c>
      <c r="W2222" s="4" t="str">
        <f t="shared" si="139"/>
        <v>Good</v>
      </c>
      <c r="X2222" s="4">
        <f>AVERAGE(Table1[Purchase Amount])</f>
        <v>129.48419400000012</v>
      </c>
    </row>
    <row r="2223" spans="1:24" ht="15" customHeight="1" x14ac:dyDescent="0.25">
      <c r="A2223">
        <v>2222</v>
      </c>
      <c r="B2223">
        <v>25</v>
      </c>
      <c r="C2223" t="s">
        <v>27</v>
      </c>
      <c r="D2223" t="s">
        <v>54</v>
      </c>
      <c r="E2223" t="s">
        <v>18</v>
      </c>
      <c r="F2223" s="2">
        <v>88</v>
      </c>
      <c r="G2223" t="s">
        <v>124</v>
      </c>
      <c r="H2223" t="s">
        <v>20</v>
      </c>
      <c r="I2223" t="s">
        <v>32</v>
      </c>
      <c r="J2223" t="s">
        <v>47</v>
      </c>
      <c r="K2223">
        <v>3</v>
      </c>
      <c r="L2223" t="s">
        <v>23</v>
      </c>
      <c r="M2223" t="s">
        <v>35</v>
      </c>
      <c r="N2223" t="s">
        <v>23</v>
      </c>
      <c r="O2223">
        <v>34</v>
      </c>
      <c r="P2223" t="s">
        <v>53</v>
      </c>
      <c r="Q2223" t="s">
        <v>49</v>
      </c>
      <c r="R2223" s="1">
        <v>0.1</v>
      </c>
      <c r="S2223">
        <f t="shared" si="136"/>
        <v>79.2</v>
      </c>
      <c r="T2223">
        <f>IFERROR(VLOOKUP(A2223,Table1[[Customer ID]:[Discount Amount]], 6, FALSE),"Not Found")</f>
        <v>88</v>
      </c>
      <c r="U2223" t="str">
        <f t="shared" si="137"/>
        <v>Credit Card</v>
      </c>
      <c r="V2223" s="4" t="str">
        <f t="shared" si="138"/>
        <v>Normal</v>
      </c>
      <c r="W2223" s="4" t="str">
        <f t="shared" si="139"/>
        <v>Good</v>
      </c>
      <c r="X2223" s="4">
        <f>AVERAGE(Table1[Purchase Amount])</f>
        <v>129.48419400000012</v>
      </c>
    </row>
    <row r="2224" spans="1:24" ht="15" customHeight="1" x14ac:dyDescent="0.25">
      <c r="A2224">
        <v>2223</v>
      </c>
      <c r="B2224">
        <v>32</v>
      </c>
      <c r="C2224" t="s">
        <v>27</v>
      </c>
      <c r="D2224" t="s">
        <v>99</v>
      </c>
      <c r="E2224" t="s">
        <v>18</v>
      </c>
      <c r="F2224" s="2">
        <v>66</v>
      </c>
      <c r="G2224" t="s">
        <v>160</v>
      </c>
      <c r="H2224" t="s">
        <v>31</v>
      </c>
      <c r="I2224" t="s">
        <v>147</v>
      </c>
      <c r="J2224" t="s">
        <v>57</v>
      </c>
      <c r="K2224">
        <v>4.4000000000000004</v>
      </c>
      <c r="L2224" t="s">
        <v>23</v>
      </c>
      <c r="M2224" t="s">
        <v>48</v>
      </c>
      <c r="N2224" t="s">
        <v>23</v>
      </c>
      <c r="O2224">
        <v>30</v>
      </c>
      <c r="P2224" t="s">
        <v>53</v>
      </c>
      <c r="Q2224" t="s">
        <v>26</v>
      </c>
      <c r="R2224" s="1">
        <v>0.1</v>
      </c>
      <c r="S2224">
        <f t="shared" si="136"/>
        <v>59.4</v>
      </c>
      <c r="T2224">
        <f>IFERROR(VLOOKUP(A2224,Table1[[Customer ID]:[Discount Amount]], 6, FALSE),"Not Found")</f>
        <v>66</v>
      </c>
      <c r="U2224" t="str">
        <f t="shared" si="137"/>
        <v>Credit Card</v>
      </c>
      <c r="V2224" s="4" t="str">
        <f t="shared" si="138"/>
        <v>Normal</v>
      </c>
      <c r="W2224" s="4" t="str">
        <f t="shared" si="139"/>
        <v>Good</v>
      </c>
      <c r="X2224" s="4">
        <f>AVERAGE(Table1[Purchase Amount])</f>
        <v>129.48419400000012</v>
      </c>
    </row>
    <row r="2225" spans="1:24" ht="15" customHeight="1" x14ac:dyDescent="0.25">
      <c r="A2225">
        <v>2224</v>
      </c>
      <c r="B2225">
        <v>30</v>
      </c>
      <c r="C2225" t="s">
        <v>27</v>
      </c>
      <c r="D2225" t="s">
        <v>121</v>
      </c>
      <c r="E2225" t="s">
        <v>98</v>
      </c>
      <c r="F2225" s="2">
        <v>65</v>
      </c>
      <c r="G2225" t="s">
        <v>124</v>
      </c>
      <c r="H2225" t="s">
        <v>31</v>
      </c>
      <c r="I2225" t="s">
        <v>85</v>
      </c>
      <c r="J2225" t="s">
        <v>47</v>
      </c>
      <c r="K2225">
        <v>4.7</v>
      </c>
      <c r="L2225" t="s">
        <v>23</v>
      </c>
      <c r="M2225" t="s">
        <v>79</v>
      </c>
      <c r="N2225" t="s">
        <v>23</v>
      </c>
      <c r="O2225">
        <v>5</v>
      </c>
      <c r="P2225" t="s">
        <v>58</v>
      </c>
      <c r="Q2225" t="s">
        <v>37</v>
      </c>
      <c r="R2225" s="1">
        <v>0.1</v>
      </c>
      <c r="S2225">
        <f t="shared" si="136"/>
        <v>58.5</v>
      </c>
      <c r="T2225">
        <f>IFERROR(VLOOKUP(A2225,Table1[[Customer ID]:[Discount Amount]], 6, FALSE),"Not Found")</f>
        <v>65</v>
      </c>
      <c r="U2225" t="str">
        <f t="shared" si="137"/>
        <v>PayPal</v>
      </c>
      <c r="V2225" s="4" t="str">
        <f t="shared" si="138"/>
        <v>Normal</v>
      </c>
      <c r="W2225" s="4" t="str">
        <f t="shared" si="139"/>
        <v>Good</v>
      </c>
      <c r="X2225" s="4">
        <f>AVERAGE(Table1[Purchase Amount])</f>
        <v>129.48419400000012</v>
      </c>
    </row>
    <row r="2226" spans="1:24" ht="15" customHeight="1" x14ac:dyDescent="0.25">
      <c r="A2226">
        <v>2225</v>
      </c>
      <c r="B2226">
        <v>18</v>
      </c>
      <c r="C2226" t="s">
        <v>27</v>
      </c>
      <c r="D2226" t="s">
        <v>43</v>
      </c>
      <c r="E2226" t="s">
        <v>29</v>
      </c>
      <c r="F2226" s="2">
        <v>25</v>
      </c>
      <c r="G2226" t="s">
        <v>137</v>
      </c>
      <c r="H2226" t="s">
        <v>45</v>
      </c>
      <c r="I2226" t="s">
        <v>103</v>
      </c>
      <c r="J2226" t="s">
        <v>22</v>
      </c>
      <c r="K2226">
        <v>4.3</v>
      </c>
      <c r="L2226" t="s">
        <v>23</v>
      </c>
      <c r="M2226" t="s">
        <v>24</v>
      </c>
      <c r="N2226" t="s">
        <v>23</v>
      </c>
      <c r="O2226">
        <v>38</v>
      </c>
      <c r="P2226" t="s">
        <v>25</v>
      </c>
      <c r="Q2226" t="s">
        <v>37</v>
      </c>
      <c r="R2226" s="1">
        <v>0.1</v>
      </c>
      <c r="S2226">
        <f t="shared" si="136"/>
        <v>22.5</v>
      </c>
      <c r="T2226">
        <f>IFERROR(VLOOKUP(A2226,Table1[[Customer ID]:[Discount Amount]], 6, FALSE),"Not Found")</f>
        <v>25</v>
      </c>
      <c r="U2226" t="str">
        <f t="shared" si="137"/>
        <v>Cash</v>
      </c>
      <c r="V2226" s="4" t="str">
        <f t="shared" si="138"/>
        <v>Normal</v>
      </c>
      <c r="W2226" s="4" t="str">
        <f t="shared" si="139"/>
        <v>Good</v>
      </c>
      <c r="X2226" s="4">
        <f>AVERAGE(Table1[Purchase Amount])</f>
        <v>129.48419400000012</v>
      </c>
    </row>
    <row r="2227" spans="1:24" ht="15" customHeight="1" x14ac:dyDescent="0.25">
      <c r="A2227">
        <v>2226</v>
      </c>
      <c r="B2227">
        <v>38</v>
      </c>
      <c r="C2227" t="s">
        <v>27</v>
      </c>
      <c r="D2227" t="s">
        <v>114</v>
      </c>
      <c r="E2227" t="s">
        <v>29</v>
      </c>
      <c r="F2227" s="2">
        <v>64</v>
      </c>
      <c r="G2227" t="s">
        <v>155</v>
      </c>
      <c r="H2227" t="s">
        <v>55</v>
      </c>
      <c r="I2227" t="s">
        <v>21</v>
      </c>
      <c r="J2227" t="s">
        <v>33</v>
      </c>
      <c r="K2227">
        <v>4.8</v>
      </c>
      <c r="L2227" t="s">
        <v>23</v>
      </c>
      <c r="M2227" t="s">
        <v>35</v>
      </c>
      <c r="N2227" t="s">
        <v>23</v>
      </c>
      <c r="O2227">
        <v>18</v>
      </c>
      <c r="P2227" t="s">
        <v>53</v>
      </c>
      <c r="Q2227" t="s">
        <v>49</v>
      </c>
      <c r="R2227" s="1">
        <v>0.1</v>
      </c>
      <c r="S2227">
        <f t="shared" si="136"/>
        <v>57.6</v>
      </c>
      <c r="T2227">
        <f>IFERROR(VLOOKUP(A2227,Table1[[Customer ID]:[Discount Amount]], 6, FALSE),"Not Found")</f>
        <v>64</v>
      </c>
      <c r="U2227" t="str">
        <f t="shared" si="137"/>
        <v>Credit Card</v>
      </c>
      <c r="V2227" s="4" t="str">
        <f t="shared" si="138"/>
        <v>Normal</v>
      </c>
      <c r="W2227" s="4" t="str">
        <f t="shared" si="139"/>
        <v>Good</v>
      </c>
      <c r="X2227" s="4">
        <f>AVERAGE(Table1[Purchase Amount])</f>
        <v>129.48419400000012</v>
      </c>
    </row>
    <row r="2228" spans="1:24" ht="15" customHeight="1" x14ac:dyDescent="0.25">
      <c r="A2228">
        <v>2227</v>
      </c>
      <c r="B2228">
        <v>22</v>
      </c>
      <c r="C2228" t="s">
        <v>27</v>
      </c>
      <c r="D2228" t="s">
        <v>38</v>
      </c>
      <c r="E2228" t="s">
        <v>18</v>
      </c>
      <c r="F2228" s="2">
        <v>72</v>
      </c>
      <c r="G2228" t="s">
        <v>146</v>
      </c>
      <c r="H2228" t="s">
        <v>45</v>
      </c>
      <c r="I2228" t="s">
        <v>74</v>
      </c>
      <c r="J2228" t="s">
        <v>33</v>
      </c>
      <c r="K2228">
        <v>4.8</v>
      </c>
      <c r="L2228" t="s">
        <v>23</v>
      </c>
      <c r="M2228" t="s">
        <v>48</v>
      </c>
      <c r="N2228" t="s">
        <v>23</v>
      </c>
      <c r="O2228">
        <v>28</v>
      </c>
      <c r="P2228" t="s">
        <v>25</v>
      </c>
      <c r="Q2228" t="s">
        <v>49</v>
      </c>
      <c r="R2228" s="1">
        <v>0.1</v>
      </c>
      <c r="S2228">
        <f t="shared" si="136"/>
        <v>64.8</v>
      </c>
      <c r="T2228">
        <f>IFERROR(VLOOKUP(A2228,Table1[[Customer ID]:[Discount Amount]], 6, FALSE),"Not Found")</f>
        <v>72</v>
      </c>
      <c r="U2228" t="str">
        <f t="shared" si="137"/>
        <v>Cash</v>
      </c>
      <c r="V2228" s="4" t="str">
        <f t="shared" si="138"/>
        <v>Normal</v>
      </c>
      <c r="W2228" s="4" t="str">
        <f t="shared" si="139"/>
        <v>Good</v>
      </c>
      <c r="X2228" s="4">
        <f>AVERAGE(Table1[Purchase Amount])</f>
        <v>129.48419400000012</v>
      </c>
    </row>
    <row r="2229" spans="1:24" ht="15" customHeight="1" x14ac:dyDescent="0.25">
      <c r="A2229">
        <v>2228</v>
      </c>
      <c r="B2229">
        <v>40</v>
      </c>
      <c r="C2229" t="s">
        <v>27</v>
      </c>
      <c r="D2229" t="s">
        <v>129</v>
      </c>
      <c r="E2229" t="s">
        <v>29</v>
      </c>
      <c r="F2229" s="2">
        <v>74</v>
      </c>
      <c r="G2229" t="s">
        <v>155</v>
      </c>
      <c r="H2229" t="s">
        <v>55</v>
      </c>
      <c r="I2229" t="s">
        <v>85</v>
      </c>
      <c r="J2229" t="s">
        <v>57</v>
      </c>
      <c r="K2229">
        <v>4.4000000000000004</v>
      </c>
      <c r="L2229" t="s">
        <v>23</v>
      </c>
      <c r="M2229" t="s">
        <v>79</v>
      </c>
      <c r="N2229" t="s">
        <v>23</v>
      </c>
      <c r="O2229">
        <v>42</v>
      </c>
      <c r="P2229" t="s">
        <v>53</v>
      </c>
      <c r="Q2229" t="s">
        <v>89</v>
      </c>
      <c r="R2229" s="1">
        <v>0.1</v>
      </c>
      <c r="S2229">
        <f t="shared" si="136"/>
        <v>66.599999999999994</v>
      </c>
      <c r="T2229">
        <f>IFERROR(VLOOKUP(A2229,Table1[[Customer ID]:[Discount Amount]], 6, FALSE),"Not Found")</f>
        <v>74</v>
      </c>
      <c r="U2229" t="str">
        <f t="shared" si="137"/>
        <v>Credit Card</v>
      </c>
      <c r="V2229" s="4" t="str">
        <f t="shared" si="138"/>
        <v>Normal</v>
      </c>
      <c r="W2229" s="4" t="str">
        <f t="shared" si="139"/>
        <v>Good</v>
      </c>
      <c r="X2229" s="4">
        <f>AVERAGE(Table1[Purchase Amount])</f>
        <v>129.48419400000012</v>
      </c>
    </row>
    <row r="2230" spans="1:24" ht="15" customHeight="1" x14ac:dyDescent="0.25">
      <c r="A2230">
        <v>2229</v>
      </c>
      <c r="B2230">
        <v>54</v>
      </c>
      <c r="C2230" t="s">
        <v>27</v>
      </c>
      <c r="D2230" t="s">
        <v>43</v>
      </c>
      <c r="E2230" t="s">
        <v>29</v>
      </c>
      <c r="F2230" s="2">
        <v>50</v>
      </c>
      <c r="G2230" t="s">
        <v>124</v>
      </c>
      <c r="H2230" t="s">
        <v>31</v>
      </c>
      <c r="I2230" t="s">
        <v>93</v>
      </c>
      <c r="J2230" t="s">
        <v>47</v>
      </c>
      <c r="K2230">
        <v>3.7</v>
      </c>
      <c r="L2230" t="s">
        <v>23</v>
      </c>
      <c r="M2230" t="s">
        <v>35</v>
      </c>
      <c r="N2230" t="s">
        <v>23</v>
      </c>
      <c r="O2230">
        <v>5</v>
      </c>
      <c r="P2230" t="s">
        <v>53</v>
      </c>
      <c r="Q2230" t="s">
        <v>26</v>
      </c>
      <c r="R2230" s="1">
        <v>0.1</v>
      </c>
      <c r="S2230">
        <f t="shared" si="136"/>
        <v>45</v>
      </c>
      <c r="T2230">
        <f>IFERROR(VLOOKUP(A2230,Table1[[Customer ID]:[Discount Amount]], 6, FALSE),"Not Found")</f>
        <v>50</v>
      </c>
      <c r="U2230" t="str">
        <f t="shared" si="137"/>
        <v>Credit Card</v>
      </c>
      <c r="V2230" s="4" t="str">
        <f t="shared" si="138"/>
        <v>Normal</v>
      </c>
      <c r="W2230" s="4" t="str">
        <f t="shared" si="139"/>
        <v>Good</v>
      </c>
      <c r="X2230" s="4">
        <f>AVERAGE(Table1[Purchase Amount])</f>
        <v>129.48419400000012</v>
      </c>
    </row>
    <row r="2231" spans="1:24" ht="15" customHeight="1" x14ac:dyDescent="0.25">
      <c r="A2231">
        <v>2230</v>
      </c>
      <c r="B2231">
        <v>70</v>
      </c>
      <c r="C2231" t="s">
        <v>27</v>
      </c>
      <c r="D2231" t="s">
        <v>99</v>
      </c>
      <c r="E2231" t="s">
        <v>18</v>
      </c>
      <c r="F2231" s="2">
        <v>97</v>
      </c>
      <c r="G2231" t="s">
        <v>120</v>
      </c>
      <c r="H2231" t="s">
        <v>31</v>
      </c>
      <c r="I2231" t="s">
        <v>153</v>
      </c>
      <c r="J2231" t="s">
        <v>47</v>
      </c>
      <c r="K2231">
        <v>3.9</v>
      </c>
      <c r="L2231" t="s">
        <v>23</v>
      </c>
      <c r="M2231" t="s">
        <v>61</v>
      </c>
      <c r="N2231" t="s">
        <v>23</v>
      </c>
      <c r="O2231">
        <v>50</v>
      </c>
      <c r="P2231" t="s">
        <v>62</v>
      </c>
      <c r="Q2231" t="s">
        <v>42</v>
      </c>
      <c r="R2231" s="1">
        <v>0.1</v>
      </c>
      <c r="S2231">
        <f t="shared" si="136"/>
        <v>87.3</v>
      </c>
      <c r="T2231">
        <f>IFERROR(VLOOKUP(A2231,Table1[[Customer ID]:[Discount Amount]], 6, FALSE),"Not Found")</f>
        <v>97</v>
      </c>
      <c r="U2231" t="str">
        <f t="shared" si="137"/>
        <v>Venmo</v>
      </c>
      <c r="V2231" s="4" t="str">
        <f t="shared" si="138"/>
        <v>Normal</v>
      </c>
      <c r="W2231" s="4" t="str">
        <f t="shared" si="139"/>
        <v>Good</v>
      </c>
      <c r="X2231" s="4">
        <f>AVERAGE(Table1[Purchase Amount])</f>
        <v>129.48419400000012</v>
      </c>
    </row>
    <row r="2232" spans="1:24" ht="15" customHeight="1" x14ac:dyDescent="0.25">
      <c r="A2232">
        <v>2231</v>
      </c>
      <c r="B2232">
        <v>52</v>
      </c>
      <c r="C2232" t="s">
        <v>27</v>
      </c>
      <c r="D2232" t="s">
        <v>140</v>
      </c>
      <c r="E2232" t="s">
        <v>98</v>
      </c>
      <c r="F2232" s="2">
        <v>36</v>
      </c>
      <c r="G2232" t="s">
        <v>92</v>
      </c>
      <c r="H2232" t="s">
        <v>55</v>
      </c>
      <c r="I2232" t="s">
        <v>147</v>
      </c>
      <c r="J2232" t="s">
        <v>33</v>
      </c>
      <c r="K2232">
        <v>3.8</v>
      </c>
      <c r="L2232" t="s">
        <v>23</v>
      </c>
      <c r="M2232" t="s">
        <v>61</v>
      </c>
      <c r="N2232" t="s">
        <v>23</v>
      </c>
      <c r="O2232">
        <v>33</v>
      </c>
      <c r="P2232" t="s">
        <v>62</v>
      </c>
      <c r="Q2232" t="s">
        <v>89</v>
      </c>
      <c r="R2232" s="1">
        <v>0.1</v>
      </c>
      <c r="S2232">
        <f t="shared" si="136"/>
        <v>32.4</v>
      </c>
      <c r="T2232">
        <f>IFERROR(VLOOKUP(A2232,Table1[[Customer ID]:[Discount Amount]], 6, FALSE),"Not Found")</f>
        <v>36</v>
      </c>
      <c r="U2232" t="str">
        <f t="shared" si="137"/>
        <v>Venmo</v>
      </c>
      <c r="V2232" s="4" t="str">
        <f t="shared" si="138"/>
        <v>Normal</v>
      </c>
      <c r="W2232" s="4" t="str">
        <f t="shared" si="139"/>
        <v>Good</v>
      </c>
      <c r="X2232" s="4">
        <f>AVERAGE(Table1[Purchase Amount])</f>
        <v>129.48419400000012</v>
      </c>
    </row>
    <row r="2233" spans="1:24" ht="15" customHeight="1" x14ac:dyDescent="0.25">
      <c r="A2233">
        <v>2232</v>
      </c>
      <c r="B2233">
        <v>34</v>
      </c>
      <c r="C2233" t="s">
        <v>27</v>
      </c>
      <c r="D2233" t="s">
        <v>96</v>
      </c>
      <c r="E2233" t="s">
        <v>77</v>
      </c>
      <c r="F2233" s="2">
        <v>49</v>
      </c>
      <c r="G2233" t="s">
        <v>144</v>
      </c>
      <c r="H2233" t="s">
        <v>31</v>
      </c>
      <c r="I2233" t="s">
        <v>56</v>
      </c>
      <c r="J2233" t="s">
        <v>47</v>
      </c>
      <c r="K2233">
        <v>4.0999999999999996</v>
      </c>
      <c r="L2233" t="s">
        <v>23</v>
      </c>
      <c r="M2233" t="s">
        <v>48</v>
      </c>
      <c r="N2233" t="s">
        <v>23</v>
      </c>
      <c r="O2233">
        <v>1</v>
      </c>
      <c r="P2233" t="s">
        <v>53</v>
      </c>
      <c r="Q2233" t="s">
        <v>26</v>
      </c>
      <c r="R2233" s="1">
        <v>0.1</v>
      </c>
      <c r="S2233">
        <f t="shared" si="136"/>
        <v>44.1</v>
      </c>
      <c r="T2233">
        <f>IFERROR(VLOOKUP(A2233,Table1[[Customer ID]:[Discount Amount]], 6, FALSE),"Not Found")</f>
        <v>49</v>
      </c>
      <c r="U2233" t="str">
        <f t="shared" si="137"/>
        <v>Credit Card</v>
      </c>
      <c r="V2233" s="4" t="str">
        <f t="shared" si="138"/>
        <v>Normal</v>
      </c>
      <c r="W2233" s="4" t="str">
        <f t="shared" si="139"/>
        <v>Good</v>
      </c>
      <c r="X2233" s="4">
        <f>AVERAGE(Table1[Purchase Amount])</f>
        <v>129.48419400000012</v>
      </c>
    </row>
    <row r="2234" spans="1:24" ht="15" customHeight="1" x14ac:dyDescent="0.25">
      <c r="A2234">
        <v>2233</v>
      </c>
      <c r="B2234">
        <v>65</v>
      </c>
      <c r="C2234" t="s">
        <v>27</v>
      </c>
      <c r="D2234" t="s">
        <v>72</v>
      </c>
      <c r="E2234" t="s">
        <v>98</v>
      </c>
      <c r="F2234" s="2">
        <v>64</v>
      </c>
      <c r="G2234" t="s">
        <v>134</v>
      </c>
      <c r="H2234" t="s">
        <v>45</v>
      </c>
      <c r="I2234" t="s">
        <v>107</v>
      </c>
      <c r="J2234" t="s">
        <v>33</v>
      </c>
      <c r="K2234">
        <v>4</v>
      </c>
      <c r="L2234" t="s">
        <v>23</v>
      </c>
      <c r="M2234" t="s">
        <v>48</v>
      </c>
      <c r="N2234" t="s">
        <v>23</v>
      </c>
      <c r="O2234">
        <v>14</v>
      </c>
      <c r="P2234" t="s">
        <v>25</v>
      </c>
      <c r="Q2234" t="s">
        <v>89</v>
      </c>
      <c r="R2234" s="1">
        <v>0.1</v>
      </c>
      <c r="S2234">
        <f t="shared" si="136"/>
        <v>57.6</v>
      </c>
      <c r="T2234">
        <f>IFERROR(VLOOKUP(A2234,Table1[[Customer ID]:[Discount Amount]], 6, FALSE),"Not Found")</f>
        <v>64</v>
      </c>
      <c r="U2234" t="str">
        <f t="shared" si="137"/>
        <v>Cash</v>
      </c>
      <c r="V2234" s="4" t="str">
        <f t="shared" si="138"/>
        <v>Normal</v>
      </c>
      <c r="W2234" s="4" t="str">
        <f t="shared" si="139"/>
        <v>Good</v>
      </c>
      <c r="X2234" s="4">
        <f>AVERAGE(Table1[Purchase Amount])</f>
        <v>129.48419400000012</v>
      </c>
    </row>
    <row r="2235" spans="1:24" ht="15" customHeight="1" x14ac:dyDescent="0.25">
      <c r="A2235">
        <v>2234</v>
      </c>
      <c r="B2235">
        <v>38</v>
      </c>
      <c r="C2235" t="s">
        <v>27</v>
      </c>
      <c r="D2235" t="s">
        <v>118</v>
      </c>
      <c r="E2235" t="s">
        <v>18</v>
      </c>
      <c r="F2235" s="2">
        <v>31</v>
      </c>
      <c r="G2235" t="s">
        <v>67</v>
      </c>
      <c r="H2235" t="s">
        <v>20</v>
      </c>
      <c r="I2235" t="s">
        <v>85</v>
      </c>
      <c r="J2235" t="s">
        <v>57</v>
      </c>
      <c r="K2235">
        <v>4.5</v>
      </c>
      <c r="L2235" t="s">
        <v>23</v>
      </c>
      <c r="M2235" t="s">
        <v>61</v>
      </c>
      <c r="N2235" t="s">
        <v>23</v>
      </c>
      <c r="O2235">
        <v>48</v>
      </c>
      <c r="P2235" t="s">
        <v>53</v>
      </c>
      <c r="Q2235" t="s">
        <v>42</v>
      </c>
      <c r="R2235" s="1">
        <v>0.1</v>
      </c>
      <c r="S2235">
        <f t="shared" si="136"/>
        <v>27.9</v>
      </c>
      <c r="T2235">
        <f>IFERROR(VLOOKUP(A2235,Table1[[Customer ID]:[Discount Amount]], 6, FALSE),"Not Found")</f>
        <v>31</v>
      </c>
      <c r="U2235" t="str">
        <f t="shared" si="137"/>
        <v>Credit Card</v>
      </c>
      <c r="V2235" s="4" t="str">
        <f t="shared" si="138"/>
        <v>Normal</v>
      </c>
      <c r="W2235" s="4" t="str">
        <f t="shared" si="139"/>
        <v>Good</v>
      </c>
      <c r="X2235" s="4">
        <f>AVERAGE(Table1[Purchase Amount])</f>
        <v>129.48419400000012</v>
      </c>
    </row>
    <row r="2236" spans="1:24" ht="15" customHeight="1" x14ac:dyDescent="0.25">
      <c r="A2236">
        <v>2235</v>
      </c>
      <c r="B2236">
        <v>35</v>
      </c>
      <c r="C2236" t="s">
        <v>27</v>
      </c>
      <c r="D2236" t="s">
        <v>151</v>
      </c>
      <c r="E2236" t="s">
        <v>98</v>
      </c>
      <c r="F2236" s="2">
        <v>66</v>
      </c>
      <c r="G2236" t="s">
        <v>132</v>
      </c>
      <c r="H2236" t="s">
        <v>55</v>
      </c>
      <c r="I2236" t="s">
        <v>52</v>
      </c>
      <c r="J2236" t="s">
        <v>22</v>
      </c>
      <c r="K2236">
        <v>4</v>
      </c>
      <c r="L2236" t="s">
        <v>23</v>
      </c>
      <c r="M2236" t="s">
        <v>61</v>
      </c>
      <c r="N2236" t="s">
        <v>23</v>
      </c>
      <c r="O2236">
        <v>26</v>
      </c>
      <c r="P2236" t="s">
        <v>25</v>
      </c>
      <c r="Q2236" t="s">
        <v>26</v>
      </c>
      <c r="R2236" s="1">
        <v>0.1</v>
      </c>
      <c r="S2236">
        <f t="shared" si="136"/>
        <v>59.4</v>
      </c>
      <c r="T2236">
        <f>IFERROR(VLOOKUP(A2236,Table1[[Customer ID]:[Discount Amount]], 6, FALSE),"Not Found")</f>
        <v>66</v>
      </c>
      <c r="U2236" t="str">
        <f t="shared" si="137"/>
        <v>Cash</v>
      </c>
      <c r="V2236" s="4" t="str">
        <f t="shared" si="138"/>
        <v>Normal</v>
      </c>
      <c r="W2236" s="4" t="str">
        <f t="shared" si="139"/>
        <v>Good</v>
      </c>
      <c r="X2236" s="4">
        <f>AVERAGE(Table1[Purchase Amount])</f>
        <v>129.48419400000012</v>
      </c>
    </row>
    <row r="2237" spans="1:24" ht="15" customHeight="1" x14ac:dyDescent="0.25">
      <c r="A2237">
        <v>2236</v>
      </c>
      <c r="B2237">
        <v>40</v>
      </c>
      <c r="C2237" t="s">
        <v>27</v>
      </c>
      <c r="D2237" t="s">
        <v>105</v>
      </c>
      <c r="E2237" t="s">
        <v>18</v>
      </c>
      <c r="F2237" s="2">
        <v>82</v>
      </c>
      <c r="G2237" t="s">
        <v>44</v>
      </c>
      <c r="H2237" t="s">
        <v>31</v>
      </c>
      <c r="I2237" t="s">
        <v>85</v>
      </c>
      <c r="J2237" t="s">
        <v>33</v>
      </c>
      <c r="K2237">
        <v>4.5</v>
      </c>
      <c r="L2237" t="s">
        <v>23</v>
      </c>
      <c r="M2237" t="s">
        <v>41</v>
      </c>
      <c r="N2237" t="s">
        <v>23</v>
      </c>
      <c r="O2237">
        <v>44</v>
      </c>
      <c r="P2237" t="s">
        <v>53</v>
      </c>
      <c r="Q2237" t="s">
        <v>49</v>
      </c>
      <c r="R2237" s="1">
        <v>0.1</v>
      </c>
      <c r="S2237">
        <f t="shared" si="136"/>
        <v>73.8</v>
      </c>
      <c r="T2237">
        <f>IFERROR(VLOOKUP(A2237,Table1[[Customer ID]:[Discount Amount]], 6, FALSE),"Not Found")</f>
        <v>82</v>
      </c>
      <c r="U2237" t="str">
        <f t="shared" si="137"/>
        <v>Credit Card</v>
      </c>
      <c r="V2237" s="4" t="str">
        <f t="shared" si="138"/>
        <v>Normal</v>
      </c>
      <c r="W2237" s="4" t="str">
        <f t="shared" si="139"/>
        <v>Good</v>
      </c>
      <c r="X2237" s="4">
        <f>AVERAGE(Table1[Purchase Amount])</f>
        <v>129.48419400000012</v>
      </c>
    </row>
    <row r="2238" spans="1:24" ht="15" customHeight="1" x14ac:dyDescent="0.25">
      <c r="A2238">
        <v>2237</v>
      </c>
      <c r="B2238">
        <v>23</v>
      </c>
      <c r="C2238" t="s">
        <v>27</v>
      </c>
      <c r="D2238" t="s">
        <v>17</v>
      </c>
      <c r="E2238" t="s">
        <v>18</v>
      </c>
      <c r="F2238" s="2">
        <v>88</v>
      </c>
      <c r="G2238" t="s">
        <v>119</v>
      </c>
      <c r="H2238" t="s">
        <v>31</v>
      </c>
      <c r="I2238" t="s">
        <v>52</v>
      </c>
      <c r="J2238" t="s">
        <v>22</v>
      </c>
      <c r="K2238">
        <v>2.7</v>
      </c>
      <c r="L2238" t="s">
        <v>23</v>
      </c>
      <c r="M2238" t="s">
        <v>24</v>
      </c>
      <c r="N2238" t="s">
        <v>23</v>
      </c>
      <c r="O2238">
        <v>18</v>
      </c>
      <c r="P2238" t="s">
        <v>36</v>
      </c>
      <c r="Q2238" t="s">
        <v>89</v>
      </c>
      <c r="R2238" s="1">
        <v>0.1</v>
      </c>
      <c r="S2238">
        <f t="shared" si="136"/>
        <v>79.2</v>
      </c>
      <c r="T2238">
        <f>IFERROR(VLOOKUP(A2238,Table1[[Customer ID]:[Discount Amount]], 6, FALSE),"Not Found")</f>
        <v>88</v>
      </c>
      <c r="U2238" t="str">
        <f t="shared" si="137"/>
        <v>Debit Card</v>
      </c>
      <c r="V2238" s="4" t="str">
        <f t="shared" si="138"/>
        <v>Normal</v>
      </c>
      <c r="W2238" s="4" t="str">
        <f t="shared" si="139"/>
        <v>Poor</v>
      </c>
      <c r="X2238" s="4">
        <f>AVERAGE(Table1[Purchase Amount])</f>
        <v>129.48419400000012</v>
      </c>
    </row>
    <row r="2239" spans="1:24" ht="15" customHeight="1" x14ac:dyDescent="0.25">
      <c r="A2239">
        <v>2238</v>
      </c>
      <c r="B2239">
        <v>45</v>
      </c>
      <c r="C2239" t="s">
        <v>27</v>
      </c>
      <c r="D2239" t="s">
        <v>121</v>
      </c>
      <c r="E2239" t="s">
        <v>98</v>
      </c>
      <c r="F2239" s="2">
        <v>34</v>
      </c>
      <c r="G2239" t="s">
        <v>51</v>
      </c>
      <c r="H2239" t="s">
        <v>55</v>
      </c>
      <c r="I2239" t="s">
        <v>40</v>
      </c>
      <c r="J2239" t="s">
        <v>57</v>
      </c>
      <c r="K2239">
        <v>3.8</v>
      </c>
      <c r="L2239" t="s">
        <v>23</v>
      </c>
      <c r="M2239" t="s">
        <v>79</v>
      </c>
      <c r="N2239" t="s">
        <v>23</v>
      </c>
      <c r="O2239">
        <v>31</v>
      </c>
      <c r="P2239" t="s">
        <v>62</v>
      </c>
      <c r="Q2239" t="s">
        <v>63</v>
      </c>
      <c r="R2239" s="1">
        <v>0.1</v>
      </c>
      <c r="S2239">
        <f t="shared" si="136"/>
        <v>30.6</v>
      </c>
      <c r="T2239">
        <f>IFERROR(VLOOKUP(A2239,Table1[[Customer ID]:[Discount Amount]], 6, FALSE),"Not Found")</f>
        <v>34</v>
      </c>
      <c r="U2239" t="str">
        <f t="shared" si="137"/>
        <v>Venmo</v>
      </c>
      <c r="V2239" s="4" t="str">
        <f t="shared" si="138"/>
        <v>Normal</v>
      </c>
      <c r="W2239" s="4" t="str">
        <f t="shared" si="139"/>
        <v>Good</v>
      </c>
      <c r="X2239" s="4">
        <f>AVERAGE(Table1[Purchase Amount])</f>
        <v>129.48419400000012</v>
      </c>
    </row>
    <row r="2240" spans="1:24" ht="15" customHeight="1" x14ac:dyDescent="0.25">
      <c r="A2240">
        <v>2239</v>
      </c>
      <c r="B2240">
        <v>40</v>
      </c>
      <c r="C2240" t="s">
        <v>27</v>
      </c>
      <c r="D2240" t="s">
        <v>140</v>
      </c>
      <c r="E2240" t="s">
        <v>98</v>
      </c>
      <c r="F2240" s="2">
        <v>84</v>
      </c>
      <c r="G2240" t="s">
        <v>67</v>
      </c>
      <c r="H2240" t="s">
        <v>45</v>
      </c>
      <c r="I2240" t="s">
        <v>56</v>
      </c>
      <c r="J2240" t="s">
        <v>22</v>
      </c>
      <c r="K2240">
        <v>3.8</v>
      </c>
      <c r="L2240" t="s">
        <v>23</v>
      </c>
      <c r="M2240" t="s">
        <v>24</v>
      </c>
      <c r="N2240" t="s">
        <v>23</v>
      </c>
      <c r="O2240">
        <v>18</v>
      </c>
      <c r="P2240" t="s">
        <v>36</v>
      </c>
      <c r="Q2240" t="s">
        <v>26</v>
      </c>
      <c r="R2240" s="1">
        <v>0.1</v>
      </c>
      <c r="S2240">
        <f t="shared" si="136"/>
        <v>75.599999999999994</v>
      </c>
      <c r="T2240">
        <f>IFERROR(VLOOKUP(A2240,Table1[[Customer ID]:[Discount Amount]], 6, FALSE),"Not Found")</f>
        <v>84</v>
      </c>
      <c r="U2240" t="str">
        <f t="shared" si="137"/>
        <v>Debit Card</v>
      </c>
      <c r="V2240" s="4" t="str">
        <f t="shared" si="138"/>
        <v>Normal</v>
      </c>
      <c r="W2240" s="4" t="str">
        <f t="shared" si="139"/>
        <v>Good</v>
      </c>
      <c r="X2240" s="4">
        <f>AVERAGE(Table1[Purchase Amount])</f>
        <v>129.48419400000012</v>
      </c>
    </row>
    <row r="2241" spans="1:24" ht="15" customHeight="1" x14ac:dyDescent="0.25">
      <c r="A2241">
        <v>2240</v>
      </c>
      <c r="B2241">
        <v>42</v>
      </c>
      <c r="C2241" t="s">
        <v>27</v>
      </c>
      <c r="D2241" t="s">
        <v>50</v>
      </c>
      <c r="E2241" t="s">
        <v>29</v>
      </c>
      <c r="F2241" s="2">
        <v>96</v>
      </c>
      <c r="G2241" t="s">
        <v>51</v>
      </c>
      <c r="H2241" t="s">
        <v>45</v>
      </c>
      <c r="I2241" t="s">
        <v>91</v>
      </c>
      <c r="J2241" t="s">
        <v>57</v>
      </c>
      <c r="K2241">
        <v>3.8</v>
      </c>
      <c r="L2241" t="s">
        <v>23</v>
      </c>
      <c r="M2241" t="s">
        <v>41</v>
      </c>
      <c r="N2241" t="s">
        <v>23</v>
      </c>
      <c r="O2241">
        <v>41</v>
      </c>
      <c r="P2241" t="s">
        <v>53</v>
      </c>
      <c r="Q2241" t="s">
        <v>63</v>
      </c>
      <c r="R2241" s="1">
        <v>0.1</v>
      </c>
      <c r="S2241">
        <f t="shared" si="136"/>
        <v>86.4</v>
      </c>
      <c r="T2241">
        <f>IFERROR(VLOOKUP(A2241,Table1[[Customer ID]:[Discount Amount]], 6, FALSE),"Not Found")</f>
        <v>96</v>
      </c>
      <c r="U2241" t="str">
        <f t="shared" si="137"/>
        <v>Credit Card</v>
      </c>
      <c r="V2241" s="4" t="str">
        <f t="shared" si="138"/>
        <v>Normal</v>
      </c>
      <c r="W2241" s="4" t="str">
        <f t="shared" si="139"/>
        <v>Good</v>
      </c>
      <c r="X2241" s="4">
        <f>AVERAGE(Table1[Purchase Amount])</f>
        <v>129.48419400000012</v>
      </c>
    </row>
    <row r="2242" spans="1:24" ht="15" customHeight="1" x14ac:dyDescent="0.25">
      <c r="A2242">
        <v>2241</v>
      </c>
      <c r="B2242">
        <v>57</v>
      </c>
      <c r="C2242" t="s">
        <v>27</v>
      </c>
      <c r="D2242" t="s">
        <v>121</v>
      </c>
      <c r="E2242" t="s">
        <v>98</v>
      </c>
      <c r="F2242" s="2">
        <v>71</v>
      </c>
      <c r="G2242" t="s">
        <v>19</v>
      </c>
      <c r="H2242" t="s">
        <v>45</v>
      </c>
      <c r="I2242" t="s">
        <v>93</v>
      </c>
      <c r="J2242" t="s">
        <v>22</v>
      </c>
      <c r="K2242">
        <v>4.3</v>
      </c>
      <c r="L2242" t="s">
        <v>23</v>
      </c>
      <c r="M2242" t="s">
        <v>79</v>
      </c>
      <c r="N2242" t="s">
        <v>23</v>
      </c>
      <c r="O2242">
        <v>18</v>
      </c>
      <c r="P2242" t="s">
        <v>36</v>
      </c>
      <c r="Q2242" t="s">
        <v>63</v>
      </c>
      <c r="R2242" s="1">
        <v>0.1</v>
      </c>
      <c r="S2242">
        <f t="shared" ref="S2242:S2305" si="140">F2242-(F2242*R2242)</f>
        <v>63.9</v>
      </c>
      <c r="T2242">
        <f>IFERROR(VLOOKUP(A2242,Table1[[Customer ID]:[Discount Amount]], 6, FALSE),"Not Found")</f>
        <v>71</v>
      </c>
      <c r="U2242" t="str">
        <f t="shared" ref="U2242:U2305" si="141">INDEX(P:P, MATCH(A2242, A:A, 0))</f>
        <v>Debit Card</v>
      </c>
      <c r="V2242" s="4" t="str">
        <f t="shared" ref="V2242:V2305" si="142">IF(AND(F2242&gt;1000,K2242&gt;=4),"Best Customer","Normal")</f>
        <v>Normal</v>
      </c>
      <c r="W2242" s="4" t="str">
        <f t="shared" ref="W2242:W2305" si="143">IF(K2242&gt;=3,"Good","Poor")</f>
        <v>Good</v>
      </c>
      <c r="X2242" s="4">
        <f>AVERAGE(Table1[Purchase Amount])</f>
        <v>129.48419400000012</v>
      </c>
    </row>
    <row r="2243" spans="1:24" ht="15" customHeight="1" x14ac:dyDescent="0.25">
      <c r="A2243">
        <v>2242</v>
      </c>
      <c r="B2243">
        <v>18</v>
      </c>
      <c r="C2243" t="s">
        <v>27</v>
      </c>
      <c r="D2243" t="s">
        <v>96</v>
      </c>
      <c r="E2243" t="s">
        <v>77</v>
      </c>
      <c r="F2243" s="2">
        <v>77</v>
      </c>
      <c r="G2243" t="s">
        <v>106</v>
      </c>
      <c r="H2243" t="s">
        <v>31</v>
      </c>
      <c r="I2243" t="s">
        <v>66</v>
      </c>
      <c r="J2243" t="s">
        <v>57</v>
      </c>
      <c r="K2243">
        <v>3.5</v>
      </c>
      <c r="L2243" t="s">
        <v>23</v>
      </c>
      <c r="M2243" t="s">
        <v>35</v>
      </c>
      <c r="N2243" t="s">
        <v>23</v>
      </c>
      <c r="O2243">
        <v>3</v>
      </c>
      <c r="P2243" t="s">
        <v>88</v>
      </c>
      <c r="Q2243" t="s">
        <v>68</v>
      </c>
      <c r="R2243" s="1">
        <v>0.1</v>
      </c>
      <c r="S2243">
        <f t="shared" si="140"/>
        <v>69.3</v>
      </c>
      <c r="T2243">
        <f>IFERROR(VLOOKUP(A2243,Table1[[Customer ID]:[Discount Amount]], 6, FALSE),"Not Found")</f>
        <v>77</v>
      </c>
      <c r="U2243" t="str">
        <f t="shared" si="141"/>
        <v>Bank Transfer</v>
      </c>
      <c r="V2243" s="4" t="str">
        <f t="shared" si="142"/>
        <v>Normal</v>
      </c>
      <c r="W2243" s="4" t="str">
        <f t="shared" si="143"/>
        <v>Good</v>
      </c>
      <c r="X2243" s="4">
        <f>AVERAGE(Table1[Purchase Amount])</f>
        <v>129.48419400000012</v>
      </c>
    </row>
    <row r="2244" spans="1:24" ht="15" customHeight="1" x14ac:dyDescent="0.25">
      <c r="A2244">
        <v>2243</v>
      </c>
      <c r="B2244">
        <v>18</v>
      </c>
      <c r="C2244" t="s">
        <v>27</v>
      </c>
      <c r="D2244" t="s">
        <v>122</v>
      </c>
      <c r="E2244" t="s">
        <v>18</v>
      </c>
      <c r="F2244" s="2">
        <v>66</v>
      </c>
      <c r="G2244" t="s">
        <v>158</v>
      </c>
      <c r="H2244" t="s">
        <v>31</v>
      </c>
      <c r="I2244" t="s">
        <v>108</v>
      </c>
      <c r="J2244" t="s">
        <v>33</v>
      </c>
      <c r="K2244">
        <v>3.8</v>
      </c>
      <c r="L2244" t="s">
        <v>23</v>
      </c>
      <c r="M2244" t="s">
        <v>79</v>
      </c>
      <c r="N2244" t="s">
        <v>23</v>
      </c>
      <c r="O2244">
        <v>5</v>
      </c>
      <c r="P2244" t="s">
        <v>53</v>
      </c>
      <c r="Q2244" t="s">
        <v>68</v>
      </c>
      <c r="R2244" s="1">
        <v>0.1</v>
      </c>
      <c r="S2244">
        <f t="shared" si="140"/>
        <v>59.4</v>
      </c>
      <c r="T2244">
        <f>IFERROR(VLOOKUP(A2244,Table1[[Customer ID]:[Discount Amount]], 6, FALSE),"Not Found")</f>
        <v>66</v>
      </c>
      <c r="U2244" t="str">
        <f t="shared" si="141"/>
        <v>Credit Card</v>
      </c>
      <c r="V2244" s="4" t="str">
        <f t="shared" si="142"/>
        <v>Normal</v>
      </c>
      <c r="W2244" s="4" t="str">
        <f t="shared" si="143"/>
        <v>Good</v>
      </c>
      <c r="X2244" s="4">
        <f>AVERAGE(Table1[Purchase Amount])</f>
        <v>129.48419400000012</v>
      </c>
    </row>
    <row r="2245" spans="1:24" ht="15" customHeight="1" x14ac:dyDescent="0.25">
      <c r="A2245">
        <v>2244</v>
      </c>
      <c r="B2245">
        <v>56</v>
      </c>
      <c r="C2245" t="s">
        <v>27</v>
      </c>
      <c r="D2245" t="s">
        <v>38</v>
      </c>
      <c r="E2245" t="s">
        <v>18</v>
      </c>
      <c r="F2245" s="2">
        <v>21</v>
      </c>
      <c r="G2245" t="s">
        <v>97</v>
      </c>
      <c r="H2245" t="s">
        <v>31</v>
      </c>
      <c r="I2245" t="s">
        <v>147</v>
      </c>
      <c r="J2245" t="s">
        <v>22</v>
      </c>
      <c r="K2245">
        <v>3.7</v>
      </c>
      <c r="L2245" t="s">
        <v>23</v>
      </c>
      <c r="M2245" t="s">
        <v>41</v>
      </c>
      <c r="N2245" t="s">
        <v>23</v>
      </c>
      <c r="O2245">
        <v>13</v>
      </c>
      <c r="P2245" t="s">
        <v>36</v>
      </c>
      <c r="Q2245" t="s">
        <v>49</v>
      </c>
      <c r="R2245" s="1">
        <v>0.1</v>
      </c>
      <c r="S2245">
        <f t="shared" si="140"/>
        <v>18.899999999999999</v>
      </c>
      <c r="T2245">
        <f>IFERROR(VLOOKUP(A2245,Table1[[Customer ID]:[Discount Amount]], 6, FALSE),"Not Found")</f>
        <v>21</v>
      </c>
      <c r="U2245" t="str">
        <f t="shared" si="141"/>
        <v>Debit Card</v>
      </c>
      <c r="V2245" s="4" t="str">
        <f t="shared" si="142"/>
        <v>Normal</v>
      </c>
      <c r="W2245" s="4" t="str">
        <f t="shared" si="143"/>
        <v>Good</v>
      </c>
      <c r="X2245" s="4">
        <f>AVERAGE(Table1[Purchase Amount])</f>
        <v>129.48419400000012</v>
      </c>
    </row>
    <row r="2246" spans="1:24" ht="15" customHeight="1" x14ac:dyDescent="0.25">
      <c r="A2246">
        <v>2245</v>
      </c>
      <c r="B2246">
        <v>35</v>
      </c>
      <c r="C2246" t="s">
        <v>27</v>
      </c>
      <c r="D2246" t="s">
        <v>54</v>
      </c>
      <c r="E2246" t="s">
        <v>18</v>
      </c>
      <c r="F2246" s="2">
        <v>37</v>
      </c>
      <c r="G2246" t="s">
        <v>30</v>
      </c>
      <c r="H2246" t="s">
        <v>31</v>
      </c>
      <c r="I2246" t="s">
        <v>133</v>
      </c>
      <c r="J2246" t="s">
        <v>57</v>
      </c>
      <c r="K2246">
        <v>4.8</v>
      </c>
      <c r="L2246" t="s">
        <v>23</v>
      </c>
      <c r="M2246" t="s">
        <v>41</v>
      </c>
      <c r="N2246" t="s">
        <v>23</v>
      </c>
      <c r="O2246">
        <v>22</v>
      </c>
      <c r="P2246" t="s">
        <v>58</v>
      </c>
      <c r="Q2246" t="s">
        <v>49</v>
      </c>
      <c r="R2246" s="1">
        <v>0.1</v>
      </c>
      <c r="S2246">
        <f t="shared" si="140"/>
        <v>33.299999999999997</v>
      </c>
      <c r="T2246">
        <f>IFERROR(VLOOKUP(A2246,Table1[[Customer ID]:[Discount Amount]], 6, FALSE),"Not Found")</f>
        <v>37</v>
      </c>
      <c r="U2246" t="str">
        <f t="shared" si="141"/>
        <v>PayPal</v>
      </c>
      <c r="V2246" s="4" t="str">
        <f t="shared" si="142"/>
        <v>Normal</v>
      </c>
      <c r="W2246" s="4" t="str">
        <f t="shared" si="143"/>
        <v>Good</v>
      </c>
      <c r="X2246" s="4">
        <f>AVERAGE(Table1[Purchase Amount])</f>
        <v>129.48419400000012</v>
      </c>
    </row>
    <row r="2247" spans="1:24" ht="15" customHeight="1" x14ac:dyDescent="0.25">
      <c r="A2247">
        <v>2246</v>
      </c>
      <c r="B2247">
        <v>49</v>
      </c>
      <c r="C2247" t="s">
        <v>27</v>
      </c>
      <c r="D2247" t="s">
        <v>105</v>
      </c>
      <c r="E2247" t="s">
        <v>18</v>
      </c>
      <c r="F2247" s="2">
        <v>90</v>
      </c>
      <c r="G2247" t="s">
        <v>143</v>
      </c>
      <c r="H2247" t="s">
        <v>45</v>
      </c>
      <c r="I2247" t="s">
        <v>85</v>
      </c>
      <c r="J2247" t="s">
        <v>47</v>
      </c>
      <c r="K2247">
        <v>4.9000000000000004</v>
      </c>
      <c r="L2247" t="s">
        <v>23</v>
      </c>
      <c r="M2247" t="s">
        <v>35</v>
      </c>
      <c r="N2247" t="s">
        <v>23</v>
      </c>
      <c r="O2247">
        <v>45</v>
      </c>
      <c r="P2247" t="s">
        <v>58</v>
      </c>
      <c r="Q2247" t="s">
        <v>89</v>
      </c>
      <c r="R2247" s="1">
        <v>0.1</v>
      </c>
      <c r="S2247">
        <f t="shared" si="140"/>
        <v>81</v>
      </c>
      <c r="T2247">
        <f>IFERROR(VLOOKUP(A2247,Table1[[Customer ID]:[Discount Amount]], 6, FALSE),"Not Found")</f>
        <v>90</v>
      </c>
      <c r="U2247" t="str">
        <f t="shared" si="141"/>
        <v>PayPal</v>
      </c>
      <c r="V2247" s="4" t="str">
        <f t="shared" si="142"/>
        <v>Normal</v>
      </c>
      <c r="W2247" s="4" t="str">
        <f t="shared" si="143"/>
        <v>Good</v>
      </c>
      <c r="X2247" s="4">
        <f>AVERAGE(Table1[Purchase Amount])</f>
        <v>129.48419400000012</v>
      </c>
    </row>
    <row r="2248" spans="1:24" ht="15" customHeight="1" x14ac:dyDescent="0.25">
      <c r="A2248">
        <v>2247</v>
      </c>
      <c r="B2248">
        <v>49</v>
      </c>
      <c r="C2248" t="s">
        <v>27</v>
      </c>
      <c r="D2248" t="s">
        <v>96</v>
      </c>
      <c r="E2248" t="s">
        <v>77</v>
      </c>
      <c r="F2248" s="2">
        <v>96</v>
      </c>
      <c r="G2248" t="s">
        <v>135</v>
      </c>
      <c r="H2248" t="s">
        <v>31</v>
      </c>
      <c r="I2248" t="s">
        <v>128</v>
      </c>
      <c r="J2248" t="s">
        <v>47</v>
      </c>
      <c r="K2248">
        <v>4.3</v>
      </c>
      <c r="L2248" t="s">
        <v>23</v>
      </c>
      <c r="M2248" t="s">
        <v>48</v>
      </c>
      <c r="N2248" t="s">
        <v>23</v>
      </c>
      <c r="O2248">
        <v>39</v>
      </c>
      <c r="P2248" t="s">
        <v>58</v>
      </c>
      <c r="Q2248" t="s">
        <v>63</v>
      </c>
      <c r="R2248" s="1">
        <v>0.1</v>
      </c>
      <c r="S2248">
        <f t="shared" si="140"/>
        <v>86.4</v>
      </c>
      <c r="T2248">
        <f>IFERROR(VLOOKUP(A2248,Table1[[Customer ID]:[Discount Amount]], 6, FALSE),"Not Found")</f>
        <v>96</v>
      </c>
      <c r="U2248" t="str">
        <f t="shared" si="141"/>
        <v>PayPal</v>
      </c>
      <c r="V2248" s="4" t="str">
        <f t="shared" si="142"/>
        <v>Normal</v>
      </c>
      <c r="W2248" s="4" t="str">
        <f t="shared" si="143"/>
        <v>Good</v>
      </c>
      <c r="X2248" s="4">
        <f>AVERAGE(Table1[Purchase Amount])</f>
        <v>129.48419400000012</v>
      </c>
    </row>
    <row r="2249" spans="1:24" ht="15" customHeight="1" x14ac:dyDescent="0.25">
      <c r="A2249">
        <v>2248</v>
      </c>
      <c r="B2249">
        <v>34</v>
      </c>
      <c r="C2249" t="s">
        <v>27</v>
      </c>
      <c r="D2249" t="s">
        <v>50</v>
      </c>
      <c r="E2249" t="s">
        <v>29</v>
      </c>
      <c r="F2249" s="2">
        <v>37</v>
      </c>
      <c r="G2249" t="s">
        <v>67</v>
      </c>
      <c r="H2249" t="s">
        <v>45</v>
      </c>
      <c r="I2249" t="s">
        <v>147</v>
      </c>
      <c r="J2249" t="s">
        <v>57</v>
      </c>
      <c r="K2249">
        <v>4.4000000000000004</v>
      </c>
      <c r="L2249" t="s">
        <v>23</v>
      </c>
      <c r="M2249" t="s">
        <v>79</v>
      </c>
      <c r="N2249" t="s">
        <v>23</v>
      </c>
      <c r="O2249">
        <v>18</v>
      </c>
      <c r="P2249" t="s">
        <v>62</v>
      </c>
      <c r="Q2249" t="s">
        <v>49</v>
      </c>
      <c r="R2249" s="1">
        <v>0.1</v>
      </c>
      <c r="S2249">
        <f t="shared" si="140"/>
        <v>33.299999999999997</v>
      </c>
      <c r="T2249">
        <f>IFERROR(VLOOKUP(A2249,Table1[[Customer ID]:[Discount Amount]], 6, FALSE),"Not Found")</f>
        <v>37</v>
      </c>
      <c r="U2249" t="str">
        <f t="shared" si="141"/>
        <v>Venmo</v>
      </c>
      <c r="V2249" s="4" t="str">
        <f t="shared" si="142"/>
        <v>Normal</v>
      </c>
      <c r="W2249" s="4" t="str">
        <f t="shared" si="143"/>
        <v>Good</v>
      </c>
      <c r="X2249" s="4">
        <f>AVERAGE(Table1[Purchase Amount])</f>
        <v>129.48419400000012</v>
      </c>
    </row>
    <row r="2250" spans="1:24" ht="15" customHeight="1" x14ac:dyDescent="0.25">
      <c r="A2250">
        <v>2249</v>
      </c>
      <c r="B2250">
        <v>63</v>
      </c>
      <c r="C2250" t="s">
        <v>27</v>
      </c>
      <c r="D2250" t="s">
        <v>17</v>
      </c>
      <c r="E2250" t="s">
        <v>18</v>
      </c>
      <c r="F2250" s="2">
        <v>66</v>
      </c>
      <c r="G2250" t="s">
        <v>159</v>
      </c>
      <c r="H2250" t="s">
        <v>31</v>
      </c>
      <c r="I2250" t="s">
        <v>111</v>
      </c>
      <c r="J2250" t="s">
        <v>22</v>
      </c>
      <c r="K2250">
        <v>3.4</v>
      </c>
      <c r="L2250" t="s">
        <v>23</v>
      </c>
      <c r="M2250" t="s">
        <v>35</v>
      </c>
      <c r="N2250" t="s">
        <v>23</v>
      </c>
      <c r="O2250">
        <v>19</v>
      </c>
      <c r="P2250" t="s">
        <v>58</v>
      </c>
      <c r="Q2250" t="s">
        <v>89</v>
      </c>
      <c r="R2250" s="1">
        <v>0.1</v>
      </c>
      <c r="S2250">
        <f t="shared" si="140"/>
        <v>59.4</v>
      </c>
      <c r="T2250">
        <f>IFERROR(VLOOKUP(A2250,Table1[[Customer ID]:[Discount Amount]], 6, FALSE),"Not Found")</f>
        <v>66</v>
      </c>
      <c r="U2250" t="str">
        <f t="shared" si="141"/>
        <v>PayPal</v>
      </c>
      <c r="V2250" s="4" t="str">
        <f t="shared" si="142"/>
        <v>Normal</v>
      </c>
      <c r="W2250" s="4" t="str">
        <f t="shared" si="143"/>
        <v>Good</v>
      </c>
      <c r="X2250" s="4">
        <f>AVERAGE(Table1[Purchase Amount])</f>
        <v>129.48419400000012</v>
      </c>
    </row>
    <row r="2251" spans="1:24" ht="15" customHeight="1" x14ac:dyDescent="0.25">
      <c r="A2251">
        <v>2250</v>
      </c>
      <c r="B2251">
        <v>42</v>
      </c>
      <c r="C2251" t="s">
        <v>27</v>
      </c>
      <c r="D2251" t="s">
        <v>43</v>
      </c>
      <c r="E2251" t="s">
        <v>29</v>
      </c>
      <c r="F2251" s="2">
        <v>45</v>
      </c>
      <c r="G2251" t="s">
        <v>162</v>
      </c>
      <c r="H2251" t="s">
        <v>20</v>
      </c>
      <c r="I2251" t="s">
        <v>91</v>
      </c>
      <c r="J2251" t="s">
        <v>33</v>
      </c>
      <c r="K2251">
        <v>4.3</v>
      </c>
      <c r="L2251" t="s">
        <v>23</v>
      </c>
      <c r="M2251" t="s">
        <v>79</v>
      </c>
      <c r="N2251" t="s">
        <v>23</v>
      </c>
      <c r="O2251">
        <v>29</v>
      </c>
      <c r="P2251" t="s">
        <v>36</v>
      </c>
      <c r="Q2251" t="s">
        <v>26</v>
      </c>
      <c r="R2251" s="1">
        <v>0.1</v>
      </c>
      <c r="S2251">
        <f t="shared" si="140"/>
        <v>40.5</v>
      </c>
      <c r="T2251">
        <f>IFERROR(VLOOKUP(A2251,Table1[[Customer ID]:[Discount Amount]], 6, FALSE),"Not Found")</f>
        <v>45</v>
      </c>
      <c r="U2251" t="str">
        <f t="shared" si="141"/>
        <v>Debit Card</v>
      </c>
      <c r="V2251" s="4" t="str">
        <f t="shared" si="142"/>
        <v>Normal</v>
      </c>
      <c r="W2251" s="4" t="str">
        <f t="shared" si="143"/>
        <v>Good</v>
      </c>
      <c r="X2251" s="4">
        <f>AVERAGE(Table1[Purchase Amount])</f>
        <v>129.48419400000012</v>
      </c>
    </row>
    <row r="2252" spans="1:24" ht="15" customHeight="1" x14ac:dyDescent="0.25">
      <c r="A2252">
        <v>2251</v>
      </c>
      <c r="B2252">
        <v>41</v>
      </c>
      <c r="C2252" t="s">
        <v>27</v>
      </c>
      <c r="D2252" t="s">
        <v>72</v>
      </c>
      <c r="E2252" t="s">
        <v>98</v>
      </c>
      <c r="F2252" s="2">
        <v>89</v>
      </c>
      <c r="G2252" t="s">
        <v>92</v>
      </c>
      <c r="H2252" t="s">
        <v>45</v>
      </c>
      <c r="I2252" t="s">
        <v>136</v>
      </c>
      <c r="J2252" t="s">
        <v>57</v>
      </c>
      <c r="K2252">
        <v>4.5999999999999996</v>
      </c>
      <c r="L2252" t="s">
        <v>23</v>
      </c>
      <c r="M2252" t="s">
        <v>48</v>
      </c>
      <c r="N2252" t="s">
        <v>23</v>
      </c>
      <c r="O2252">
        <v>19</v>
      </c>
      <c r="P2252" t="s">
        <v>53</v>
      </c>
      <c r="Q2252" t="s">
        <v>26</v>
      </c>
      <c r="R2252" s="1">
        <v>0.1</v>
      </c>
      <c r="S2252">
        <f t="shared" si="140"/>
        <v>80.099999999999994</v>
      </c>
      <c r="T2252">
        <f>IFERROR(VLOOKUP(A2252,Table1[[Customer ID]:[Discount Amount]], 6, FALSE),"Not Found")</f>
        <v>89</v>
      </c>
      <c r="U2252" t="str">
        <f t="shared" si="141"/>
        <v>Credit Card</v>
      </c>
      <c r="V2252" s="4" t="str">
        <f t="shared" si="142"/>
        <v>Normal</v>
      </c>
      <c r="W2252" s="4" t="str">
        <f t="shared" si="143"/>
        <v>Good</v>
      </c>
      <c r="X2252" s="4">
        <f>AVERAGE(Table1[Purchase Amount])</f>
        <v>129.48419400000012</v>
      </c>
    </row>
    <row r="2253" spans="1:24" ht="15" customHeight="1" x14ac:dyDescent="0.25">
      <c r="A2253">
        <v>2252</v>
      </c>
      <c r="B2253">
        <v>26</v>
      </c>
      <c r="C2253" t="s">
        <v>27</v>
      </c>
      <c r="D2253" t="s">
        <v>72</v>
      </c>
      <c r="E2253" t="s">
        <v>98</v>
      </c>
      <c r="F2253" s="2">
        <v>94</v>
      </c>
      <c r="G2253" t="s">
        <v>138</v>
      </c>
      <c r="H2253" t="s">
        <v>45</v>
      </c>
      <c r="I2253" t="s">
        <v>133</v>
      </c>
      <c r="J2253" t="s">
        <v>47</v>
      </c>
      <c r="K2253">
        <v>3.8</v>
      </c>
      <c r="L2253" t="s">
        <v>23</v>
      </c>
      <c r="M2253" t="s">
        <v>35</v>
      </c>
      <c r="N2253" t="s">
        <v>23</v>
      </c>
      <c r="O2253">
        <v>22</v>
      </c>
      <c r="P2253" t="s">
        <v>36</v>
      </c>
      <c r="Q2253" t="s">
        <v>42</v>
      </c>
      <c r="R2253" s="1">
        <v>0.1</v>
      </c>
      <c r="S2253">
        <f t="shared" si="140"/>
        <v>84.6</v>
      </c>
      <c r="T2253">
        <f>IFERROR(VLOOKUP(A2253,Table1[[Customer ID]:[Discount Amount]], 6, FALSE),"Not Found")</f>
        <v>94</v>
      </c>
      <c r="U2253" t="str">
        <f t="shared" si="141"/>
        <v>Debit Card</v>
      </c>
      <c r="V2253" s="4" t="str">
        <f t="shared" si="142"/>
        <v>Normal</v>
      </c>
      <c r="W2253" s="4" t="str">
        <f t="shared" si="143"/>
        <v>Good</v>
      </c>
      <c r="X2253" s="4">
        <f>AVERAGE(Table1[Purchase Amount])</f>
        <v>129.48419400000012</v>
      </c>
    </row>
    <row r="2254" spans="1:24" ht="15" customHeight="1" x14ac:dyDescent="0.25">
      <c r="A2254">
        <v>2253</v>
      </c>
      <c r="B2254">
        <v>48</v>
      </c>
      <c r="C2254" t="s">
        <v>27</v>
      </c>
      <c r="D2254" t="s">
        <v>72</v>
      </c>
      <c r="E2254" t="s">
        <v>98</v>
      </c>
      <c r="F2254" s="2">
        <v>96</v>
      </c>
      <c r="G2254" t="s">
        <v>137</v>
      </c>
      <c r="H2254" t="s">
        <v>55</v>
      </c>
      <c r="I2254" t="s">
        <v>125</v>
      </c>
      <c r="J2254" t="s">
        <v>57</v>
      </c>
      <c r="K2254">
        <v>3.9</v>
      </c>
      <c r="L2254" t="s">
        <v>23</v>
      </c>
      <c r="M2254" t="s">
        <v>61</v>
      </c>
      <c r="N2254" t="s">
        <v>23</v>
      </c>
      <c r="O2254">
        <v>21</v>
      </c>
      <c r="P2254" t="s">
        <v>88</v>
      </c>
      <c r="Q2254" t="s">
        <v>49</v>
      </c>
      <c r="R2254" s="1">
        <v>0.1</v>
      </c>
      <c r="S2254">
        <f t="shared" si="140"/>
        <v>86.4</v>
      </c>
      <c r="T2254">
        <f>IFERROR(VLOOKUP(A2254,Table1[[Customer ID]:[Discount Amount]], 6, FALSE),"Not Found")</f>
        <v>96</v>
      </c>
      <c r="U2254" t="str">
        <f t="shared" si="141"/>
        <v>Bank Transfer</v>
      </c>
      <c r="V2254" s="4" t="str">
        <f t="shared" si="142"/>
        <v>Normal</v>
      </c>
      <c r="W2254" s="4" t="str">
        <f t="shared" si="143"/>
        <v>Good</v>
      </c>
      <c r="X2254" s="4">
        <f>AVERAGE(Table1[Purchase Amount])</f>
        <v>129.48419400000012</v>
      </c>
    </row>
    <row r="2255" spans="1:24" ht="15" customHeight="1" x14ac:dyDescent="0.25">
      <c r="A2255">
        <v>2254</v>
      </c>
      <c r="B2255">
        <v>62</v>
      </c>
      <c r="C2255" t="s">
        <v>27</v>
      </c>
      <c r="D2255" t="s">
        <v>83</v>
      </c>
      <c r="E2255" t="s">
        <v>18</v>
      </c>
      <c r="F2255" s="2">
        <v>31</v>
      </c>
      <c r="G2255" t="s">
        <v>142</v>
      </c>
      <c r="H2255" t="s">
        <v>31</v>
      </c>
      <c r="I2255" t="s">
        <v>60</v>
      </c>
      <c r="J2255" t="s">
        <v>33</v>
      </c>
      <c r="K2255">
        <v>2.6</v>
      </c>
      <c r="L2255" t="s">
        <v>23</v>
      </c>
      <c r="M2255" t="s">
        <v>48</v>
      </c>
      <c r="N2255" t="s">
        <v>23</v>
      </c>
      <c r="O2255">
        <v>22</v>
      </c>
      <c r="P2255" t="s">
        <v>58</v>
      </c>
      <c r="Q2255" t="s">
        <v>42</v>
      </c>
      <c r="R2255" s="1">
        <v>0.1</v>
      </c>
      <c r="S2255">
        <f t="shared" si="140"/>
        <v>27.9</v>
      </c>
      <c r="T2255">
        <f>IFERROR(VLOOKUP(A2255,Table1[[Customer ID]:[Discount Amount]], 6, FALSE),"Not Found")</f>
        <v>31</v>
      </c>
      <c r="U2255" t="str">
        <f t="shared" si="141"/>
        <v>PayPal</v>
      </c>
      <c r="V2255" s="4" t="str">
        <f t="shared" si="142"/>
        <v>Normal</v>
      </c>
      <c r="W2255" s="4" t="str">
        <f t="shared" si="143"/>
        <v>Poor</v>
      </c>
      <c r="X2255" s="4">
        <f>AVERAGE(Table1[Purchase Amount])</f>
        <v>129.48419400000012</v>
      </c>
    </row>
    <row r="2256" spans="1:24" ht="15" customHeight="1" x14ac:dyDescent="0.25">
      <c r="A2256">
        <v>2255</v>
      </c>
      <c r="B2256">
        <v>24</v>
      </c>
      <c r="C2256" t="s">
        <v>27</v>
      </c>
      <c r="D2256" t="s">
        <v>114</v>
      </c>
      <c r="E2256" t="s">
        <v>29</v>
      </c>
      <c r="F2256" s="2">
        <v>79</v>
      </c>
      <c r="G2256" t="s">
        <v>86</v>
      </c>
      <c r="H2256" t="s">
        <v>31</v>
      </c>
      <c r="I2256" t="s">
        <v>133</v>
      </c>
      <c r="J2256" t="s">
        <v>22</v>
      </c>
      <c r="K2256">
        <v>4.2</v>
      </c>
      <c r="L2256" t="s">
        <v>23</v>
      </c>
      <c r="M2256" t="s">
        <v>48</v>
      </c>
      <c r="N2256" t="s">
        <v>23</v>
      </c>
      <c r="O2256">
        <v>44</v>
      </c>
      <c r="P2256" t="s">
        <v>58</v>
      </c>
      <c r="Q2256" t="s">
        <v>63</v>
      </c>
      <c r="R2256" s="1">
        <v>0.1</v>
      </c>
      <c r="S2256">
        <f t="shared" si="140"/>
        <v>71.099999999999994</v>
      </c>
      <c r="T2256">
        <f>IFERROR(VLOOKUP(A2256,Table1[[Customer ID]:[Discount Amount]], 6, FALSE),"Not Found")</f>
        <v>79</v>
      </c>
      <c r="U2256" t="str">
        <f t="shared" si="141"/>
        <v>PayPal</v>
      </c>
      <c r="V2256" s="4" t="str">
        <f t="shared" si="142"/>
        <v>Normal</v>
      </c>
      <c r="W2256" s="4" t="str">
        <f t="shared" si="143"/>
        <v>Good</v>
      </c>
      <c r="X2256" s="4">
        <f>AVERAGE(Table1[Purchase Amount])</f>
        <v>129.48419400000012</v>
      </c>
    </row>
    <row r="2257" spans="1:24" ht="15" customHeight="1" x14ac:dyDescent="0.25">
      <c r="A2257">
        <v>2256</v>
      </c>
      <c r="B2257">
        <v>48</v>
      </c>
      <c r="C2257" t="s">
        <v>27</v>
      </c>
      <c r="D2257" t="s">
        <v>76</v>
      </c>
      <c r="E2257" t="s">
        <v>77</v>
      </c>
      <c r="F2257" s="2">
        <v>39</v>
      </c>
      <c r="G2257" t="s">
        <v>113</v>
      </c>
      <c r="H2257" t="s">
        <v>45</v>
      </c>
      <c r="I2257" t="s">
        <v>147</v>
      </c>
      <c r="J2257" t="s">
        <v>33</v>
      </c>
      <c r="K2257">
        <v>4.5999999999999996</v>
      </c>
      <c r="L2257" t="s">
        <v>23</v>
      </c>
      <c r="M2257" t="s">
        <v>48</v>
      </c>
      <c r="N2257" t="s">
        <v>23</v>
      </c>
      <c r="O2257">
        <v>42</v>
      </c>
      <c r="P2257" t="s">
        <v>88</v>
      </c>
      <c r="Q2257" t="s">
        <v>37</v>
      </c>
      <c r="R2257" s="1">
        <v>0.1</v>
      </c>
      <c r="S2257">
        <f t="shared" si="140"/>
        <v>35.1</v>
      </c>
      <c r="T2257">
        <f>IFERROR(VLOOKUP(A2257,Table1[[Customer ID]:[Discount Amount]], 6, FALSE),"Not Found")</f>
        <v>39</v>
      </c>
      <c r="U2257" t="str">
        <f t="shared" si="141"/>
        <v>Bank Transfer</v>
      </c>
      <c r="V2257" s="4" t="str">
        <f t="shared" si="142"/>
        <v>Normal</v>
      </c>
      <c r="W2257" s="4" t="str">
        <f t="shared" si="143"/>
        <v>Good</v>
      </c>
      <c r="X2257" s="4">
        <f>AVERAGE(Table1[Purchase Amount])</f>
        <v>129.48419400000012</v>
      </c>
    </row>
    <row r="2258" spans="1:24" ht="15" customHeight="1" x14ac:dyDescent="0.25">
      <c r="A2258">
        <v>2257</v>
      </c>
      <c r="B2258">
        <v>31</v>
      </c>
      <c r="C2258" t="s">
        <v>27</v>
      </c>
      <c r="D2258" t="s">
        <v>118</v>
      </c>
      <c r="E2258" t="s">
        <v>18</v>
      </c>
      <c r="F2258" s="2">
        <v>22</v>
      </c>
      <c r="G2258" t="s">
        <v>19</v>
      </c>
      <c r="H2258" t="s">
        <v>31</v>
      </c>
      <c r="I2258" t="s">
        <v>156</v>
      </c>
      <c r="J2258" t="s">
        <v>47</v>
      </c>
      <c r="K2258">
        <v>5</v>
      </c>
      <c r="L2258" t="s">
        <v>23</v>
      </c>
      <c r="M2258" t="s">
        <v>24</v>
      </c>
      <c r="N2258" t="s">
        <v>23</v>
      </c>
      <c r="O2258">
        <v>33</v>
      </c>
      <c r="P2258" t="s">
        <v>53</v>
      </c>
      <c r="Q2258" t="s">
        <v>37</v>
      </c>
      <c r="R2258" s="1">
        <v>0.1</v>
      </c>
      <c r="S2258">
        <f t="shared" si="140"/>
        <v>19.8</v>
      </c>
      <c r="T2258">
        <f>IFERROR(VLOOKUP(A2258,Table1[[Customer ID]:[Discount Amount]], 6, FALSE),"Not Found")</f>
        <v>22</v>
      </c>
      <c r="U2258" t="str">
        <f t="shared" si="141"/>
        <v>Credit Card</v>
      </c>
      <c r="V2258" s="4" t="str">
        <f t="shared" si="142"/>
        <v>Normal</v>
      </c>
      <c r="W2258" s="4" t="str">
        <f t="shared" si="143"/>
        <v>Good</v>
      </c>
      <c r="X2258" s="4">
        <f>AVERAGE(Table1[Purchase Amount])</f>
        <v>129.48419400000012</v>
      </c>
    </row>
    <row r="2259" spans="1:24" ht="15" customHeight="1" x14ac:dyDescent="0.25">
      <c r="A2259">
        <v>2258</v>
      </c>
      <c r="B2259">
        <v>41</v>
      </c>
      <c r="C2259" t="s">
        <v>27</v>
      </c>
      <c r="D2259" t="s">
        <v>122</v>
      </c>
      <c r="E2259" t="s">
        <v>18</v>
      </c>
      <c r="F2259" s="2">
        <v>32</v>
      </c>
      <c r="G2259" t="s">
        <v>65</v>
      </c>
      <c r="H2259" t="s">
        <v>45</v>
      </c>
      <c r="I2259" t="s">
        <v>21</v>
      </c>
      <c r="J2259" t="s">
        <v>47</v>
      </c>
      <c r="K2259">
        <v>4.2</v>
      </c>
      <c r="L2259" t="s">
        <v>23</v>
      </c>
      <c r="M2259" t="s">
        <v>24</v>
      </c>
      <c r="N2259" t="s">
        <v>23</v>
      </c>
      <c r="O2259">
        <v>6</v>
      </c>
      <c r="P2259" t="s">
        <v>88</v>
      </c>
      <c r="Q2259" t="s">
        <v>49</v>
      </c>
      <c r="R2259" s="1">
        <v>0.1</v>
      </c>
      <c r="S2259">
        <f t="shared" si="140"/>
        <v>28.8</v>
      </c>
      <c r="T2259">
        <f>IFERROR(VLOOKUP(A2259,Table1[[Customer ID]:[Discount Amount]], 6, FALSE),"Not Found")</f>
        <v>32</v>
      </c>
      <c r="U2259" t="str">
        <f t="shared" si="141"/>
        <v>Bank Transfer</v>
      </c>
      <c r="V2259" s="4" t="str">
        <f t="shared" si="142"/>
        <v>Normal</v>
      </c>
      <c r="W2259" s="4" t="str">
        <f t="shared" si="143"/>
        <v>Good</v>
      </c>
      <c r="X2259" s="4">
        <f>AVERAGE(Table1[Purchase Amount])</f>
        <v>129.48419400000012</v>
      </c>
    </row>
    <row r="2260" spans="1:24" ht="15" customHeight="1" x14ac:dyDescent="0.25">
      <c r="A2260">
        <v>2259</v>
      </c>
      <c r="B2260">
        <v>24</v>
      </c>
      <c r="C2260" t="s">
        <v>27</v>
      </c>
      <c r="D2260" t="s">
        <v>17</v>
      </c>
      <c r="E2260" t="s">
        <v>18</v>
      </c>
      <c r="F2260" s="2">
        <v>71</v>
      </c>
      <c r="G2260" t="s">
        <v>90</v>
      </c>
      <c r="H2260" t="s">
        <v>45</v>
      </c>
      <c r="I2260" t="s">
        <v>128</v>
      </c>
      <c r="J2260" t="s">
        <v>22</v>
      </c>
      <c r="K2260">
        <v>4.3</v>
      </c>
      <c r="L2260" t="s">
        <v>23</v>
      </c>
      <c r="M2260" t="s">
        <v>48</v>
      </c>
      <c r="N2260" t="s">
        <v>23</v>
      </c>
      <c r="O2260">
        <v>44</v>
      </c>
      <c r="P2260" t="s">
        <v>53</v>
      </c>
      <c r="Q2260" t="s">
        <v>63</v>
      </c>
      <c r="R2260" s="1">
        <v>0.1</v>
      </c>
      <c r="S2260">
        <f t="shared" si="140"/>
        <v>63.9</v>
      </c>
      <c r="T2260">
        <f>IFERROR(VLOOKUP(A2260,Table1[[Customer ID]:[Discount Amount]], 6, FALSE),"Not Found")</f>
        <v>71</v>
      </c>
      <c r="U2260" t="str">
        <f t="shared" si="141"/>
        <v>Credit Card</v>
      </c>
      <c r="V2260" s="4" t="str">
        <f t="shared" si="142"/>
        <v>Normal</v>
      </c>
      <c r="W2260" s="4" t="str">
        <f t="shared" si="143"/>
        <v>Good</v>
      </c>
      <c r="X2260" s="4">
        <f>AVERAGE(Table1[Purchase Amount])</f>
        <v>129.48419400000012</v>
      </c>
    </row>
    <row r="2261" spans="1:24" ht="15" customHeight="1" x14ac:dyDescent="0.25">
      <c r="A2261">
        <v>2260</v>
      </c>
      <c r="B2261">
        <v>60</v>
      </c>
      <c r="C2261" t="s">
        <v>27</v>
      </c>
      <c r="D2261" t="s">
        <v>109</v>
      </c>
      <c r="E2261" t="s">
        <v>18</v>
      </c>
      <c r="F2261" s="2">
        <v>96</v>
      </c>
      <c r="G2261" t="s">
        <v>67</v>
      </c>
      <c r="H2261" t="s">
        <v>20</v>
      </c>
      <c r="I2261" t="s">
        <v>56</v>
      </c>
      <c r="J2261" t="s">
        <v>33</v>
      </c>
      <c r="K2261">
        <v>3.3</v>
      </c>
      <c r="L2261" t="s">
        <v>23</v>
      </c>
      <c r="M2261" t="s">
        <v>35</v>
      </c>
      <c r="N2261" t="s">
        <v>23</v>
      </c>
      <c r="O2261">
        <v>24</v>
      </c>
      <c r="P2261" t="s">
        <v>25</v>
      </c>
      <c r="Q2261" t="s">
        <v>49</v>
      </c>
      <c r="R2261" s="1">
        <v>0.1</v>
      </c>
      <c r="S2261">
        <f t="shared" si="140"/>
        <v>86.4</v>
      </c>
      <c r="T2261">
        <f>IFERROR(VLOOKUP(A2261,Table1[[Customer ID]:[Discount Amount]], 6, FALSE),"Not Found")</f>
        <v>96</v>
      </c>
      <c r="U2261" t="str">
        <f t="shared" si="141"/>
        <v>Cash</v>
      </c>
      <c r="V2261" s="4" t="str">
        <f t="shared" si="142"/>
        <v>Normal</v>
      </c>
      <c r="W2261" s="4" t="str">
        <f t="shared" si="143"/>
        <v>Good</v>
      </c>
      <c r="X2261" s="4">
        <f>AVERAGE(Table1[Purchase Amount])</f>
        <v>129.48419400000012</v>
      </c>
    </row>
    <row r="2262" spans="1:24" ht="15" customHeight="1" x14ac:dyDescent="0.25">
      <c r="A2262">
        <v>2261</v>
      </c>
      <c r="B2262">
        <v>38</v>
      </c>
      <c r="C2262" t="s">
        <v>27</v>
      </c>
      <c r="D2262" t="s">
        <v>129</v>
      </c>
      <c r="E2262" t="s">
        <v>29</v>
      </c>
      <c r="F2262" s="2">
        <v>82</v>
      </c>
      <c r="G2262" t="s">
        <v>146</v>
      </c>
      <c r="H2262" t="s">
        <v>31</v>
      </c>
      <c r="I2262" t="s">
        <v>74</v>
      </c>
      <c r="J2262" t="s">
        <v>47</v>
      </c>
      <c r="K2262">
        <v>4.9000000000000004</v>
      </c>
      <c r="L2262" t="s">
        <v>23</v>
      </c>
      <c r="M2262" t="s">
        <v>61</v>
      </c>
      <c r="N2262" t="s">
        <v>23</v>
      </c>
      <c r="O2262">
        <v>16</v>
      </c>
      <c r="P2262" t="s">
        <v>58</v>
      </c>
      <c r="Q2262" t="s">
        <v>37</v>
      </c>
      <c r="R2262" s="1">
        <v>0.1</v>
      </c>
      <c r="S2262">
        <f t="shared" si="140"/>
        <v>73.8</v>
      </c>
      <c r="T2262">
        <f>IFERROR(VLOOKUP(A2262,Table1[[Customer ID]:[Discount Amount]], 6, FALSE),"Not Found")</f>
        <v>82</v>
      </c>
      <c r="U2262" t="str">
        <f t="shared" si="141"/>
        <v>PayPal</v>
      </c>
      <c r="V2262" s="4" t="str">
        <f t="shared" si="142"/>
        <v>Normal</v>
      </c>
      <c r="W2262" s="4" t="str">
        <f t="shared" si="143"/>
        <v>Good</v>
      </c>
      <c r="X2262" s="4">
        <f>AVERAGE(Table1[Purchase Amount])</f>
        <v>129.48419400000012</v>
      </c>
    </row>
    <row r="2263" spans="1:24" ht="15" customHeight="1" x14ac:dyDescent="0.25">
      <c r="A2263">
        <v>2262</v>
      </c>
      <c r="B2263">
        <v>58</v>
      </c>
      <c r="C2263" t="s">
        <v>27</v>
      </c>
      <c r="D2263" t="s">
        <v>104</v>
      </c>
      <c r="E2263" t="s">
        <v>29</v>
      </c>
      <c r="F2263" s="2">
        <v>76</v>
      </c>
      <c r="G2263" t="s">
        <v>30</v>
      </c>
      <c r="H2263" t="s">
        <v>45</v>
      </c>
      <c r="I2263" t="s">
        <v>133</v>
      </c>
      <c r="J2263" t="s">
        <v>33</v>
      </c>
      <c r="K2263">
        <v>4.4000000000000004</v>
      </c>
      <c r="L2263" t="s">
        <v>23</v>
      </c>
      <c r="M2263" t="s">
        <v>24</v>
      </c>
      <c r="N2263" t="s">
        <v>23</v>
      </c>
      <c r="O2263">
        <v>12</v>
      </c>
      <c r="P2263" t="s">
        <v>88</v>
      </c>
      <c r="Q2263" t="s">
        <v>89</v>
      </c>
      <c r="R2263" s="1">
        <v>0.1</v>
      </c>
      <c r="S2263">
        <f t="shared" si="140"/>
        <v>68.400000000000006</v>
      </c>
      <c r="T2263">
        <f>IFERROR(VLOOKUP(A2263,Table1[[Customer ID]:[Discount Amount]], 6, FALSE),"Not Found")</f>
        <v>76</v>
      </c>
      <c r="U2263" t="str">
        <f t="shared" si="141"/>
        <v>Bank Transfer</v>
      </c>
      <c r="V2263" s="4" t="str">
        <f t="shared" si="142"/>
        <v>Normal</v>
      </c>
      <c r="W2263" s="4" t="str">
        <f t="shared" si="143"/>
        <v>Good</v>
      </c>
      <c r="X2263" s="4">
        <f>AVERAGE(Table1[Purchase Amount])</f>
        <v>129.48419400000012</v>
      </c>
    </row>
    <row r="2264" spans="1:24" ht="15" customHeight="1" x14ac:dyDescent="0.25">
      <c r="A2264">
        <v>2263</v>
      </c>
      <c r="B2264">
        <v>53</v>
      </c>
      <c r="C2264" t="s">
        <v>27</v>
      </c>
      <c r="D2264" t="s">
        <v>104</v>
      </c>
      <c r="E2264" t="s">
        <v>29</v>
      </c>
      <c r="F2264" s="2">
        <v>22</v>
      </c>
      <c r="G2264" t="s">
        <v>150</v>
      </c>
      <c r="H2264" t="s">
        <v>31</v>
      </c>
      <c r="I2264" t="s">
        <v>93</v>
      </c>
      <c r="J2264" t="s">
        <v>22</v>
      </c>
      <c r="K2264">
        <v>3.1</v>
      </c>
      <c r="L2264" t="s">
        <v>23</v>
      </c>
      <c r="M2264" t="s">
        <v>41</v>
      </c>
      <c r="N2264" t="s">
        <v>23</v>
      </c>
      <c r="O2264">
        <v>50</v>
      </c>
      <c r="P2264" t="s">
        <v>58</v>
      </c>
      <c r="Q2264" t="s">
        <v>42</v>
      </c>
      <c r="R2264" s="1">
        <v>0.1</v>
      </c>
      <c r="S2264">
        <f t="shared" si="140"/>
        <v>19.8</v>
      </c>
      <c r="T2264">
        <f>IFERROR(VLOOKUP(A2264,Table1[[Customer ID]:[Discount Amount]], 6, FALSE),"Not Found")</f>
        <v>22</v>
      </c>
      <c r="U2264" t="str">
        <f t="shared" si="141"/>
        <v>PayPal</v>
      </c>
      <c r="V2264" s="4" t="str">
        <f t="shared" si="142"/>
        <v>Normal</v>
      </c>
      <c r="W2264" s="4" t="str">
        <f t="shared" si="143"/>
        <v>Good</v>
      </c>
      <c r="X2264" s="4">
        <f>AVERAGE(Table1[Purchase Amount])</f>
        <v>129.48419400000012</v>
      </c>
    </row>
    <row r="2265" spans="1:24" ht="15" customHeight="1" x14ac:dyDescent="0.25">
      <c r="A2265">
        <v>2264</v>
      </c>
      <c r="B2265">
        <v>44</v>
      </c>
      <c r="C2265" t="s">
        <v>27</v>
      </c>
      <c r="D2265" t="s">
        <v>129</v>
      </c>
      <c r="E2265" t="s">
        <v>29</v>
      </c>
      <c r="F2265" s="2">
        <v>40</v>
      </c>
      <c r="G2265" t="s">
        <v>102</v>
      </c>
      <c r="H2265" t="s">
        <v>20</v>
      </c>
      <c r="I2265" t="s">
        <v>93</v>
      </c>
      <c r="J2265" t="s">
        <v>22</v>
      </c>
      <c r="K2265">
        <v>3.5</v>
      </c>
      <c r="L2265" t="s">
        <v>23</v>
      </c>
      <c r="M2265" t="s">
        <v>48</v>
      </c>
      <c r="N2265" t="s">
        <v>23</v>
      </c>
      <c r="O2265">
        <v>42</v>
      </c>
      <c r="P2265" t="s">
        <v>25</v>
      </c>
      <c r="Q2265" t="s">
        <v>37</v>
      </c>
      <c r="R2265" s="1">
        <v>0.1</v>
      </c>
      <c r="S2265">
        <f t="shared" si="140"/>
        <v>36</v>
      </c>
      <c r="T2265">
        <f>IFERROR(VLOOKUP(A2265,Table1[[Customer ID]:[Discount Amount]], 6, FALSE),"Not Found")</f>
        <v>40</v>
      </c>
      <c r="U2265" t="str">
        <f t="shared" si="141"/>
        <v>Cash</v>
      </c>
      <c r="V2265" s="4" t="str">
        <f t="shared" si="142"/>
        <v>Normal</v>
      </c>
      <c r="W2265" s="4" t="str">
        <f t="shared" si="143"/>
        <v>Good</v>
      </c>
      <c r="X2265" s="4">
        <f>AVERAGE(Table1[Purchase Amount])</f>
        <v>129.48419400000012</v>
      </c>
    </row>
    <row r="2266" spans="1:24" ht="15" customHeight="1" x14ac:dyDescent="0.25">
      <c r="A2266">
        <v>2265</v>
      </c>
      <c r="B2266">
        <v>51</v>
      </c>
      <c r="C2266" t="s">
        <v>27</v>
      </c>
      <c r="D2266" t="s">
        <v>64</v>
      </c>
      <c r="E2266" t="s">
        <v>29</v>
      </c>
      <c r="F2266" s="2">
        <v>92</v>
      </c>
      <c r="G2266" t="s">
        <v>86</v>
      </c>
      <c r="H2266" t="s">
        <v>31</v>
      </c>
      <c r="I2266" t="s">
        <v>156</v>
      </c>
      <c r="J2266" t="s">
        <v>57</v>
      </c>
      <c r="K2266">
        <v>3.9</v>
      </c>
      <c r="L2266" t="s">
        <v>23</v>
      </c>
      <c r="M2266" t="s">
        <v>41</v>
      </c>
      <c r="N2266" t="s">
        <v>23</v>
      </c>
      <c r="O2266">
        <v>50</v>
      </c>
      <c r="P2266" t="s">
        <v>58</v>
      </c>
      <c r="Q2266" t="s">
        <v>42</v>
      </c>
      <c r="R2266" s="1">
        <v>0.1</v>
      </c>
      <c r="S2266">
        <f t="shared" si="140"/>
        <v>82.8</v>
      </c>
      <c r="T2266">
        <f>IFERROR(VLOOKUP(A2266,Table1[[Customer ID]:[Discount Amount]], 6, FALSE),"Not Found")</f>
        <v>92</v>
      </c>
      <c r="U2266" t="str">
        <f t="shared" si="141"/>
        <v>PayPal</v>
      </c>
      <c r="V2266" s="4" t="str">
        <f t="shared" si="142"/>
        <v>Normal</v>
      </c>
      <c r="W2266" s="4" t="str">
        <f t="shared" si="143"/>
        <v>Good</v>
      </c>
      <c r="X2266" s="4">
        <f>AVERAGE(Table1[Purchase Amount])</f>
        <v>129.48419400000012</v>
      </c>
    </row>
    <row r="2267" spans="1:24" ht="15" customHeight="1" x14ac:dyDescent="0.25">
      <c r="A2267">
        <v>2266</v>
      </c>
      <c r="B2267">
        <v>36</v>
      </c>
      <c r="C2267" t="s">
        <v>27</v>
      </c>
      <c r="D2267" t="s">
        <v>76</v>
      </c>
      <c r="E2267" t="s">
        <v>77</v>
      </c>
      <c r="F2267" s="2">
        <v>94</v>
      </c>
      <c r="G2267" t="s">
        <v>39</v>
      </c>
      <c r="H2267" t="s">
        <v>20</v>
      </c>
      <c r="I2267" t="s">
        <v>52</v>
      </c>
      <c r="J2267" t="s">
        <v>47</v>
      </c>
      <c r="K2267">
        <v>3.9</v>
      </c>
      <c r="L2267" t="s">
        <v>23</v>
      </c>
      <c r="M2267" t="s">
        <v>48</v>
      </c>
      <c r="N2267" t="s">
        <v>23</v>
      </c>
      <c r="O2267">
        <v>10</v>
      </c>
      <c r="P2267" t="s">
        <v>58</v>
      </c>
      <c r="Q2267" t="s">
        <v>37</v>
      </c>
      <c r="R2267" s="1">
        <v>0.1</v>
      </c>
      <c r="S2267">
        <f t="shared" si="140"/>
        <v>84.6</v>
      </c>
      <c r="T2267">
        <f>IFERROR(VLOOKUP(A2267,Table1[[Customer ID]:[Discount Amount]], 6, FALSE),"Not Found")</f>
        <v>94</v>
      </c>
      <c r="U2267" t="str">
        <f t="shared" si="141"/>
        <v>PayPal</v>
      </c>
      <c r="V2267" s="4" t="str">
        <f t="shared" si="142"/>
        <v>Normal</v>
      </c>
      <c r="W2267" s="4" t="str">
        <f t="shared" si="143"/>
        <v>Good</v>
      </c>
      <c r="X2267" s="4">
        <f>AVERAGE(Table1[Purchase Amount])</f>
        <v>129.48419400000012</v>
      </c>
    </row>
    <row r="2268" spans="1:24" ht="15" customHeight="1" x14ac:dyDescent="0.25">
      <c r="A2268">
        <v>2267</v>
      </c>
      <c r="B2268">
        <v>20</v>
      </c>
      <c r="C2268" t="s">
        <v>27</v>
      </c>
      <c r="D2268" t="s">
        <v>157</v>
      </c>
      <c r="E2268" t="s">
        <v>18</v>
      </c>
      <c r="F2268" s="2">
        <v>44</v>
      </c>
      <c r="G2268" t="s">
        <v>146</v>
      </c>
      <c r="H2268" t="s">
        <v>31</v>
      </c>
      <c r="I2268" t="s">
        <v>52</v>
      </c>
      <c r="J2268" t="s">
        <v>47</v>
      </c>
      <c r="K2268">
        <v>4.3</v>
      </c>
      <c r="L2268" t="s">
        <v>23</v>
      </c>
      <c r="M2268" t="s">
        <v>48</v>
      </c>
      <c r="N2268" t="s">
        <v>23</v>
      </c>
      <c r="O2268">
        <v>32</v>
      </c>
      <c r="P2268" t="s">
        <v>36</v>
      </c>
      <c r="Q2268" t="s">
        <v>26</v>
      </c>
      <c r="R2268" s="1">
        <v>0.1</v>
      </c>
      <c r="S2268">
        <f t="shared" si="140"/>
        <v>39.6</v>
      </c>
      <c r="T2268">
        <f>IFERROR(VLOOKUP(A2268,Table1[[Customer ID]:[Discount Amount]], 6, FALSE),"Not Found")</f>
        <v>44</v>
      </c>
      <c r="U2268" t="str">
        <f t="shared" si="141"/>
        <v>Debit Card</v>
      </c>
      <c r="V2268" s="4" t="str">
        <f t="shared" si="142"/>
        <v>Normal</v>
      </c>
      <c r="W2268" s="4" t="str">
        <f t="shared" si="143"/>
        <v>Good</v>
      </c>
      <c r="X2268" s="4">
        <f>AVERAGE(Table1[Purchase Amount])</f>
        <v>129.48419400000012</v>
      </c>
    </row>
    <row r="2269" spans="1:24" ht="15" customHeight="1" x14ac:dyDescent="0.25">
      <c r="A2269">
        <v>2268</v>
      </c>
      <c r="B2269">
        <v>32</v>
      </c>
      <c r="C2269" t="s">
        <v>27</v>
      </c>
      <c r="D2269" t="s">
        <v>43</v>
      </c>
      <c r="E2269" t="s">
        <v>29</v>
      </c>
      <c r="F2269" s="2">
        <v>49</v>
      </c>
      <c r="G2269" t="s">
        <v>70</v>
      </c>
      <c r="H2269" t="s">
        <v>55</v>
      </c>
      <c r="I2269" t="s">
        <v>74</v>
      </c>
      <c r="J2269" t="s">
        <v>33</v>
      </c>
      <c r="K2269">
        <v>3.8</v>
      </c>
      <c r="L2269" t="s">
        <v>23</v>
      </c>
      <c r="M2269" t="s">
        <v>61</v>
      </c>
      <c r="N2269" t="s">
        <v>23</v>
      </c>
      <c r="O2269">
        <v>37</v>
      </c>
      <c r="P2269" t="s">
        <v>62</v>
      </c>
      <c r="Q2269" t="s">
        <v>26</v>
      </c>
      <c r="R2269" s="1">
        <v>0.1</v>
      </c>
      <c r="S2269">
        <f t="shared" si="140"/>
        <v>44.1</v>
      </c>
      <c r="T2269">
        <f>IFERROR(VLOOKUP(A2269,Table1[[Customer ID]:[Discount Amount]], 6, FALSE),"Not Found")</f>
        <v>49</v>
      </c>
      <c r="U2269" t="str">
        <f t="shared" si="141"/>
        <v>Venmo</v>
      </c>
      <c r="V2269" s="4" t="str">
        <f t="shared" si="142"/>
        <v>Normal</v>
      </c>
      <c r="W2269" s="4" t="str">
        <f t="shared" si="143"/>
        <v>Good</v>
      </c>
      <c r="X2269" s="4">
        <f>AVERAGE(Table1[Purchase Amount])</f>
        <v>129.48419400000012</v>
      </c>
    </row>
    <row r="2270" spans="1:24" ht="15" customHeight="1" x14ac:dyDescent="0.25">
      <c r="A2270">
        <v>2269</v>
      </c>
      <c r="B2270">
        <v>66</v>
      </c>
      <c r="C2270" t="s">
        <v>27</v>
      </c>
      <c r="D2270" t="s">
        <v>127</v>
      </c>
      <c r="E2270" t="s">
        <v>18</v>
      </c>
      <c r="F2270" s="2">
        <v>26</v>
      </c>
      <c r="G2270" t="s">
        <v>160</v>
      </c>
      <c r="H2270" t="s">
        <v>45</v>
      </c>
      <c r="I2270" t="s">
        <v>103</v>
      </c>
      <c r="J2270" t="s">
        <v>33</v>
      </c>
      <c r="K2270">
        <v>2.7</v>
      </c>
      <c r="L2270" t="s">
        <v>23</v>
      </c>
      <c r="M2270" t="s">
        <v>41</v>
      </c>
      <c r="N2270" t="s">
        <v>23</v>
      </c>
      <c r="O2270">
        <v>15</v>
      </c>
      <c r="P2270" t="s">
        <v>88</v>
      </c>
      <c r="Q2270" t="s">
        <v>42</v>
      </c>
      <c r="R2270" s="1">
        <v>0.1</v>
      </c>
      <c r="S2270">
        <f t="shared" si="140"/>
        <v>23.4</v>
      </c>
      <c r="T2270">
        <f>IFERROR(VLOOKUP(A2270,Table1[[Customer ID]:[Discount Amount]], 6, FALSE),"Not Found")</f>
        <v>26</v>
      </c>
      <c r="U2270" t="str">
        <f t="shared" si="141"/>
        <v>Bank Transfer</v>
      </c>
      <c r="V2270" s="4" t="str">
        <f t="shared" si="142"/>
        <v>Normal</v>
      </c>
      <c r="W2270" s="4" t="str">
        <f t="shared" si="143"/>
        <v>Poor</v>
      </c>
      <c r="X2270" s="4">
        <f>AVERAGE(Table1[Purchase Amount])</f>
        <v>129.48419400000012</v>
      </c>
    </row>
    <row r="2271" spans="1:24" ht="15" customHeight="1" x14ac:dyDescent="0.25">
      <c r="A2271">
        <v>2270</v>
      </c>
      <c r="B2271">
        <v>49</v>
      </c>
      <c r="C2271" t="s">
        <v>27</v>
      </c>
      <c r="D2271" t="s">
        <v>122</v>
      </c>
      <c r="E2271" t="s">
        <v>18</v>
      </c>
      <c r="F2271" s="2">
        <v>38</v>
      </c>
      <c r="G2271" t="s">
        <v>70</v>
      </c>
      <c r="H2271" t="s">
        <v>31</v>
      </c>
      <c r="I2271" t="s">
        <v>52</v>
      </c>
      <c r="J2271" t="s">
        <v>47</v>
      </c>
      <c r="K2271">
        <v>4.4000000000000004</v>
      </c>
      <c r="L2271" t="s">
        <v>23</v>
      </c>
      <c r="M2271" t="s">
        <v>48</v>
      </c>
      <c r="N2271" t="s">
        <v>23</v>
      </c>
      <c r="O2271">
        <v>27</v>
      </c>
      <c r="P2271" t="s">
        <v>53</v>
      </c>
      <c r="Q2271" t="s">
        <v>49</v>
      </c>
      <c r="R2271" s="1">
        <v>0.1</v>
      </c>
      <c r="S2271">
        <f t="shared" si="140"/>
        <v>34.200000000000003</v>
      </c>
      <c r="T2271">
        <f>IFERROR(VLOOKUP(A2271,Table1[[Customer ID]:[Discount Amount]], 6, FALSE),"Not Found")</f>
        <v>38</v>
      </c>
      <c r="U2271" t="str">
        <f t="shared" si="141"/>
        <v>Credit Card</v>
      </c>
      <c r="V2271" s="4" t="str">
        <f t="shared" si="142"/>
        <v>Normal</v>
      </c>
      <c r="W2271" s="4" t="str">
        <f t="shared" si="143"/>
        <v>Good</v>
      </c>
      <c r="X2271" s="4">
        <f>AVERAGE(Table1[Purchase Amount])</f>
        <v>129.48419400000012</v>
      </c>
    </row>
    <row r="2272" spans="1:24" ht="15" customHeight="1" x14ac:dyDescent="0.25">
      <c r="A2272">
        <v>2271</v>
      </c>
      <c r="B2272">
        <v>27</v>
      </c>
      <c r="C2272" t="s">
        <v>27</v>
      </c>
      <c r="D2272" t="s">
        <v>118</v>
      </c>
      <c r="E2272" t="s">
        <v>18</v>
      </c>
      <c r="F2272" s="2">
        <v>72</v>
      </c>
      <c r="G2272" t="s">
        <v>160</v>
      </c>
      <c r="H2272" t="s">
        <v>45</v>
      </c>
      <c r="I2272" t="s">
        <v>66</v>
      </c>
      <c r="J2272" t="s">
        <v>33</v>
      </c>
      <c r="K2272">
        <v>3.5</v>
      </c>
      <c r="L2272" t="s">
        <v>23</v>
      </c>
      <c r="M2272" t="s">
        <v>61</v>
      </c>
      <c r="N2272" t="s">
        <v>23</v>
      </c>
      <c r="O2272">
        <v>7</v>
      </c>
      <c r="P2272" t="s">
        <v>62</v>
      </c>
      <c r="Q2272" t="s">
        <v>26</v>
      </c>
      <c r="R2272" s="1">
        <v>0.1</v>
      </c>
      <c r="S2272">
        <f t="shared" si="140"/>
        <v>64.8</v>
      </c>
      <c r="T2272">
        <f>IFERROR(VLOOKUP(A2272,Table1[[Customer ID]:[Discount Amount]], 6, FALSE),"Not Found")</f>
        <v>72</v>
      </c>
      <c r="U2272" t="str">
        <f t="shared" si="141"/>
        <v>Venmo</v>
      </c>
      <c r="V2272" s="4" t="str">
        <f t="shared" si="142"/>
        <v>Normal</v>
      </c>
      <c r="W2272" s="4" t="str">
        <f t="shared" si="143"/>
        <v>Good</v>
      </c>
      <c r="X2272" s="4">
        <f>AVERAGE(Table1[Purchase Amount])</f>
        <v>129.48419400000012</v>
      </c>
    </row>
    <row r="2273" spans="1:24" ht="15" customHeight="1" x14ac:dyDescent="0.25">
      <c r="A2273">
        <v>2272</v>
      </c>
      <c r="B2273">
        <v>29</v>
      </c>
      <c r="C2273" t="s">
        <v>27</v>
      </c>
      <c r="D2273" t="s">
        <v>157</v>
      </c>
      <c r="E2273" t="s">
        <v>18</v>
      </c>
      <c r="F2273" s="2">
        <v>99</v>
      </c>
      <c r="G2273" t="s">
        <v>148</v>
      </c>
      <c r="H2273" t="s">
        <v>31</v>
      </c>
      <c r="I2273" t="s">
        <v>93</v>
      </c>
      <c r="J2273" t="s">
        <v>57</v>
      </c>
      <c r="K2273">
        <v>3.4</v>
      </c>
      <c r="L2273" t="s">
        <v>23</v>
      </c>
      <c r="M2273" t="s">
        <v>35</v>
      </c>
      <c r="N2273" t="s">
        <v>23</v>
      </c>
      <c r="O2273">
        <v>49</v>
      </c>
      <c r="P2273" t="s">
        <v>58</v>
      </c>
      <c r="Q2273" t="s">
        <v>37</v>
      </c>
      <c r="R2273" s="1">
        <v>0.1</v>
      </c>
      <c r="S2273">
        <f t="shared" si="140"/>
        <v>89.1</v>
      </c>
      <c r="T2273">
        <f>IFERROR(VLOOKUP(A2273,Table1[[Customer ID]:[Discount Amount]], 6, FALSE),"Not Found")</f>
        <v>99</v>
      </c>
      <c r="U2273" t="str">
        <f t="shared" si="141"/>
        <v>PayPal</v>
      </c>
      <c r="V2273" s="4" t="str">
        <f t="shared" si="142"/>
        <v>Normal</v>
      </c>
      <c r="W2273" s="4" t="str">
        <f t="shared" si="143"/>
        <v>Good</v>
      </c>
      <c r="X2273" s="4">
        <f>AVERAGE(Table1[Purchase Amount])</f>
        <v>129.48419400000012</v>
      </c>
    </row>
    <row r="2274" spans="1:24" ht="15" customHeight="1" x14ac:dyDescent="0.25">
      <c r="A2274">
        <v>2273</v>
      </c>
      <c r="B2274">
        <v>29</v>
      </c>
      <c r="C2274" t="s">
        <v>27</v>
      </c>
      <c r="D2274" t="s">
        <v>96</v>
      </c>
      <c r="E2274" t="s">
        <v>77</v>
      </c>
      <c r="F2274" s="2">
        <v>38</v>
      </c>
      <c r="G2274" t="s">
        <v>94</v>
      </c>
      <c r="H2274" t="s">
        <v>45</v>
      </c>
      <c r="I2274" t="s">
        <v>103</v>
      </c>
      <c r="J2274" t="s">
        <v>33</v>
      </c>
      <c r="K2274">
        <v>4</v>
      </c>
      <c r="L2274" t="s">
        <v>23</v>
      </c>
      <c r="M2274" t="s">
        <v>24</v>
      </c>
      <c r="N2274" t="s">
        <v>23</v>
      </c>
      <c r="O2274">
        <v>44</v>
      </c>
      <c r="P2274" t="s">
        <v>58</v>
      </c>
      <c r="Q2274" t="s">
        <v>42</v>
      </c>
      <c r="R2274" s="1">
        <v>0.1</v>
      </c>
      <c r="S2274">
        <f t="shared" si="140"/>
        <v>34.200000000000003</v>
      </c>
      <c r="T2274">
        <f>IFERROR(VLOOKUP(A2274,Table1[[Customer ID]:[Discount Amount]], 6, FALSE),"Not Found")</f>
        <v>38</v>
      </c>
      <c r="U2274" t="str">
        <f t="shared" si="141"/>
        <v>PayPal</v>
      </c>
      <c r="V2274" s="4" t="str">
        <f t="shared" si="142"/>
        <v>Normal</v>
      </c>
      <c r="W2274" s="4" t="str">
        <f t="shared" si="143"/>
        <v>Good</v>
      </c>
      <c r="X2274" s="4">
        <f>AVERAGE(Table1[Purchase Amount])</f>
        <v>129.48419400000012</v>
      </c>
    </row>
    <row r="2275" spans="1:24" ht="15" customHeight="1" x14ac:dyDescent="0.25">
      <c r="A2275">
        <v>2274</v>
      </c>
      <c r="B2275">
        <v>55</v>
      </c>
      <c r="C2275" t="s">
        <v>27</v>
      </c>
      <c r="D2275" t="s">
        <v>76</v>
      </c>
      <c r="E2275" t="s">
        <v>77</v>
      </c>
      <c r="F2275" s="2">
        <v>96</v>
      </c>
      <c r="G2275" t="s">
        <v>110</v>
      </c>
      <c r="H2275" t="s">
        <v>45</v>
      </c>
      <c r="I2275" t="s">
        <v>153</v>
      </c>
      <c r="J2275" t="s">
        <v>22</v>
      </c>
      <c r="K2275">
        <v>4.8</v>
      </c>
      <c r="L2275" t="s">
        <v>23</v>
      </c>
      <c r="M2275" t="s">
        <v>61</v>
      </c>
      <c r="N2275" t="s">
        <v>23</v>
      </c>
      <c r="O2275">
        <v>13</v>
      </c>
      <c r="P2275" t="s">
        <v>58</v>
      </c>
      <c r="Q2275" t="s">
        <v>68</v>
      </c>
      <c r="R2275" s="1">
        <v>0.1</v>
      </c>
      <c r="S2275">
        <f t="shared" si="140"/>
        <v>86.4</v>
      </c>
      <c r="T2275">
        <f>IFERROR(VLOOKUP(A2275,Table1[[Customer ID]:[Discount Amount]], 6, FALSE),"Not Found")</f>
        <v>96</v>
      </c>
      <c r="U2275" t="str">
        <f t="shared" si="141"/>
        <v>PayPal</v>
      </c>
      <c r="V2275" s="4" t="str">
        <f t="shared" si="142"/>
        <v>Normal</v>
      </c>
      <c r="W2275" s="4" t="str">
        <f t="shared" si="143"/>
        <v>Good</v>
      </c>
      <c r="X2275" s="4">
        <f>AVERAGE(Table1[Purchase Amount])</f>
        <v>129.48419400000012</v>
      </c>
    </row>
    <row r="2276" spans="1:24" ht="15" customHeight="1" x14ac:dyDescent="0.25">
      <c r="A2276">
        <v>2275</v>
      </c>
      <c r="B2276">
        <v>57</v>
      </c>
      <c r="C2276" t="s">
        <v>27</v>
      </c>
      <c r="D2276" t="s">
        <v>157</v>
      </c>
      <c r="E2276" t="s">
        <v>18</v>
      </c>
      <c r="F2276" s="2">
        <v>27</v>
      </c>
      <c r="G2276" t="s">
        <v>101</v>
      </c>
      <c r="H2276" t="s">
        <v>45</v>
      </c>
      <c r="I2276" t="s">
        <v>156</v>
      </c>
      <c r="J2276" t="s">
        <v>33</v>
      </c>
      <c r="K2276">
        <v>4.5</v>
      </c>
      <c r="L2276" t="s">
        <v>23</v>
      </c>
      <c r="M2276" t="s">
        <v>79</v>
      </c>
      <c r="N2276" t="s">
        <v>23</v>
      </c>
      <c r="O2276">
        <v>38</v>
      </c>
      <c r="P2276" t="s">
        <v>58</v>
      </c>
      <c r="Q2276" t="s">
        <v>89</v>
      </c>
      <c r="R2276" s="1">
        <v>0.1</v>
      </c>
      <c r="S2276">
        <f t="shared" si="140"/>
        <v>24.3</v>
      </c>
      <c r="T2276">
        <f>IFERROR(VLOOKUP(A2276,Table1[[Customer ID]:[Discount Amount]], 6, FALSE),"Not Found")</f>
        <v>27</v>
      </c>
      <c r="U2276" t="str">
        <f t="shared" si="141"/>
        <v>PayPal</v>
      </c>
      <c r="V2276" s="4" t="str">
        <f t="shared" si="142"/>
        <v>Normal</v>
      </c>
      <c r="W2276" s="4" t="str">
        <f t="shared" si="143"/>
        <v>Good</v>
      </c>
      <c r="X2276" s="4">
        <f>AVERAGE(Table1[Purchase Amount])</f>
        <v>129.48419400000012</v>
      </c>
    </row>
    <row r="2277" spans="1:24" ht="15" customHeight="1" x14ac:dyDescent="0.25">
      <c r="A2277">
        <v>2276</v>
      </c>
      <c r="B2277">
        <v>29</v>
      </c>
      <c r="C2277" t="s">
        <v>27</v>
      </c>
      <c r="D2277" t="s">
        <v>54</v>
      </c>
      <c r="E2277" t="s">
        <v>18</v>
      </c>
      <c r="F2277" s="2">
        <v>24</v>
      </c>
      <c r="G2277" t="s">
        <v>142</v>
      </c>
      <c r="H2277" t="s">
        <v>31</v>
      </c>
      <c r="I2277" t="s">
        <v>85</v>
      </c>
      <c r="J2277" t="s">
        <v>22</v>
      </c>
      <c r="K2277">
        <v>4.4000000000000004</v>
      </c>
      <c r="L2277" t="s">
        <v>23</v>
      </c>
      <c r="M2277" t="s">
        <v>24</v>
      </c>
      <c r="N2277" t="s">
        <v>23</v>
      </c>
      <c r="O2277">
        <v>10</v>
      </c>
      <c r="P2277" t="s">
        <v>36</v>
      </c>
      <c r="Q2277" t="s">
        <v>26</v>
      </c>
      <c r="R2277" s="1">
        <v>0.1</v>
      </c>
      <c r="S2277">
        <f t="shared" si="140"/>
        <v>21.6</v>
      </c>
      <c r="T2277">
        <f>IFERROR(VLOOKUP(A2277,Table1[[Customer ID]:[Discount Amount]], 6, FALSE),"Not Found")</f>
        <v>24</v>
      </c>
      <c r="U2277" t="str">
        <f t="shared" si="141"/>
        <v>Debit Card</v>
      </c>
      <c r="V2277" s="4" t="str">
        <f t="shared" si="142"/>
        <v>Normal</v>
      </c>
      <c r="W2277" s="4" t="str">
        <f t="shared" si="143"/>
        <v>Good</v>
      </c>
      <c r="X2277" s="4">
        <f>AVERAGE(Table1[Purchase Amount])</f>
        <v>129.48419400000012</v>
      </c>
    </row>
    <row r="2278" spans="1:24" ht="15" customHeight="1" x14ac:dyDescent="0.25">
      <c r="A2278">
        <v>2277</v>
      </c>
      <c r="B2278">
        <v>31</v>
      </c>
      <c r="C2278" t="s">
        <v>27</v>
      </c>
      <c r="D2278" t="s">
        <v>109</v>
      </c>
      <c r="E2278" t="s">
        <v>18</v>
      </c>
      <c r="F2278" s="2">
        <v>82</v>
      </c>
      <c r="G2278" t="s">
        <v>162</v>
      </c>
      <c r="H2278" t="s">
        <v>45</v>
      </c>
      <c r="I2278" t="s">
        <v>46</v>
      </c>
      <c r="J2278" t="s">
        <v>57</v>
      </c>
      <c r="K2278">
        <v>4.0999999999999996</v>
      </c>
      <c r="L2278" t="s">
        <v>23</v>
      </c>
      <c r="M2278" t="s">
        <v>41</v>
      </c>
      <c r="N2278" t="s">
        <v>23</v>
      </c>
      <c r="O2278">
        <v>25</v>
      </c>
      <c r="P2278" t="s">
        <v>36</v>
      </c>
      <c r="Q2278" t="s">
        <v>26</v>
      </c>
      <c r="R2278" s="1">
        <v>0.1</v>
      </c>
      <c r="S2278">
        <f t="shared" si="140"/>
        <v>73.8</v>
      </c>
      <c r="T2278">
        <f>IFERROR(VLOOKUP(A2278,Table1[[Customer ID]:[Discount Amount]], 6, FALSE),"Not Found")</f>
        <v>82</v>
      </c>
      <c r="U2278" t="str">
        <f t="shared" si="141"/>
        <v>Debit Card</v>
      </c>
      <c r="V2278" s="4" t="str">
        <f t="shared" si="142"/>
        <v>Normal</v>
      </c>
      <c r="W2278" s="4" t="str">
        <f t="shared" si="143"/>
        <v>Good</v>
      </c>
      <c r="X2278" s="4">
        <f>AVERAGE(Table1[Purchase Amount])</f>
        <v>129.48419400000012</v>
      </c>
    </row>
    <row r="2279" spans="1:24" ht="15" customHeight="1" x14ac:dyDescent="0.25">
      <c r="A2279">
        <v>2278</v>
      </c>
      <c r="B2279">
        <v>25</v>
      </c>
      <c r="C2279" t="s">
        <v>27</v>
      </c>
      <c r="D2279" t="s">
        <v>64</v>
      </c>
      <c r="E2279" t="s">
        <v>29</v>
      </c>
      <c r="F2279" s="2">
        <v>56</v>
      </c>
      <c r="G2279" t="s">
        <v>51</v>
      </c>
      <c r="H2279" t="s">
        <v>31</v>
      </c>
      <c r="I2279" t="s">
        <v>56</v>
      </c>
      <c r="J2279" t="s">
        <v>57</v>
      </c>
      <c r="K2279">
        <v>4.5999999999999996</v>
      </c>
      <c r="L2279" t="s">
        <v>23</v>
      </c>
      <c r="M2279" t="s">
        <v>79</v>
      </c>
      <c r="N2279" t="s">
        <v>23</v>
      </c>
      <c r="O2279">
        <v>18</v>
      </c>
      <c r="P2279" t="s">
        <v>53</v>
      </c>
      <c r="Q2279" t="s">
        <v>37</v>
      </c>
      <c r="R2279" s="1">
        <v>0.1</v>
      </c>
      <c r="S2279">
        <f t="shared" si="140"/>
        <v>50.4</v>
      </c>
      <c r="T2279">
        <f>IFERROR(VLOOKUP(A2279,Table1[[Customer ID]:[Discount Amount]], 6, FALSE),"Not Found")</f>
        <v>56</v>
      </c>
      <c r="U2279" t="str">
        <f t="shared" si="141"/>
        <v>Credit Card</v>
      </c>
      <c r="V2279" s="4" t="str">
        <f t="shared" si="142"/>
        <v>Normal</v>
      </c>
      <c r="W2279" s="4" t="str">
        <f t="shared" si="143"/>
        <v>Good</v>
      </c>
      <c r="X2279" s="4">
        <f>AVERAGE(Table1[Purchase Amount])</f>
        <v>129.48419400000012</v>
      </c>
    </row>
    <row r="2280" spans="1:24" ht="15" customHeight="1" x14ac:dyDescent="0.25">
      <c r="A2280">
        <v>2279</v>
      </c>
      <c r="B2280">
        <v>61</v>
      </c>
      <c r="C2280" t="s">
        <v>27</v>
      </c>
      <c r="D2280" t="s">
        <v>43</v>
      </c>
      <c r="E2280" t="s">
        <v>29</v>
      </c>
      <c r="F2280" s="2">
        <v>25</v>
      </c>
      <c r="G2280" t="s">
        <v>106</v>
      </c>
      <c r="H2280" t="s">
        <v>31</v>
      </c>
      <c r="I2280" t="s">
        <v>125</v>
      </c>
      <c r="J2280" t="s">
        <v>47</v>
      </c>
      <c r="K2280">
        <v>3.8</v>
      </c>
      <c r="L2280" t="s">
        <v>23</v>
      </c>
      <c r="M2280" t="s">
        <v>48</v>
      </c>
      <c r="N2280" t="s">
        <v>23</v>
      </c>
      <c r="O2280">
        <v>6</v>
      </c>
      <c r="P2280" t="s">
        <v>25</v>
      </c>
      <c r="Q2280" t="s">
        <v>63</v>
      </c>
      <c r="R2280" s="1">
        <v>0.1</v>
      </c>
      <c r="S2280">
        <f t="shared" si="140"/>
        <v>22.5</v>
      </c>
      <c r="T2280">
        <f>IFERROR(VLOOKUP(A2280,Table1[[Customer ID]:[Discount Amount]], 6, FALSE),"Not Found")</f>
        <v>25</v>
      </c>
      <c r="U2280" t="str">
        <f t="shared" si="141"/>
        <v>Cash</v>
      </c>
      <c r="V2280" s="4" t="str">
        <f t="shared" si="142"/>
        <v>Normal</v>
      </c>
      <c r="W2280" s="4" t="str">
        <f t="shared" si="143"/>
        <v>Good</v>
      </c>
      <c r="X2280" s="4">
        <f>AVERAGE(Table1[Purchase Amount])</f>
        <v>129.48419400000012</v>
      </c>
    </row>
    <row r="2281" spans="1:24" ht="15" customHeight="1" x14ac:dyDescent="0.25">
      <c r="A2281">
        <v>2280</v>
      </c>
      <c r="B2281">
        <v>53</v>
      </c>
      <c r="C2281" t="s">
        <v>27</v>
      </c>
      <c r="D2281" t="s">
        <v>140</v>
      </c>
      <c r="E2281" t="s">
        <v>98</v>
      </c>
      <c r="F2281" s="2">
        <v>67</v>
      </c>
      <c r="G2281" t="s">
        <v>154</v>
      </c>
      <c r="H2281" t="s">
        <v>45</v>
      </c>
      <c r="I2281" t="s">
        <v>91</v>
      </c>
      <c r="J2281" t="s">
        <v>33</v>
      </c>
      <c r="K2281">
        <v>2.9</v>
      </c>
      <c r="L2281" t="s">
        <v>23</v>
      </c>
      <c r="M2281" t="s">
        <v>35</v>
      </c>
      <c r="N2281" t="s">
        <v>23</v>
      </c>
      <c r="O2281">
        <v>35</v>
      </c>
      <c r="P2281" t="s">
        <v>88</v>
      </c>
      <c r="Q2281" t="s">
        <v>37</v>
      </c>
      <c r="R2281" s="1">
        <v>0.1</v>
      </c>
      <c r="S2281">
        <f t="shared" si="140"/>
        <v>60.3</v>
      </c>
      <c r="T2281">
        <f>IFERROR(VLOOKUP(A2281,Table1[[Customer ID]:[Discount Amount]], 6, FALSE),"Not Found")</f>
        <v>67</v>
      </c>
      <c r="U2281" t="str">
        <f t="shared" si="141"/>
        <v>Bank Transfer</v>
      </c>
      <c r="V2281" s="4" t="str">
        <f t="shared" si="142"/>
        <v>Normal</v>
      </c>
      <c r="W2281" s="4" t="str">
        <f t="shared" si="143"/>
        <v>Poor</v>
      </c>
      <c r="X2281" s="4">
        <f>AVERAGE(Table1[Purchase Amount])</f>
        <v>129.48419400000012</v>
      </c>
    </row>
    <row r="2282" spans="1:24" ht="15" customHeight="1" x14ac:dyDescent="0.25">
      <c r="A2282">
        <v>2281</v>
      </c>
      <c r="B2282">
        <v>22</v>
      </c>
      <c r="C2282" t="s">
        <v>27</v>
      </c>
      <c r="D2282" t="s">
        <v>72</v>
      </c>
      <c r="E2282" t="s">
        <v>98</v>
      </c>
      <c r="F2282" s="2">
        <v>21</v>
      </c>
      <c r="G2282" t="s">
        <v>70</v>
      </c>
      <c r="H2282" t="s">
        <v>31</v>
      </c>
      <c r="I2282" t="s">
        <v>46</v>
      </c>
      <c r="J2282" t="s">
        <v>57</v>
      </c>
      <c r="K2282">
        <v>2.8</v>
      </c>
      <c r="L2282" t="s">
        <v>23</v>
      </c>
      <c r="M2282" t="s">
        <v>24</v>
      </c>
      <c r="N2282" t="s">
        <v>23</v>
      </c>
      <c r="O2282">
        <v>31</v>
      </c>
      <c r="P2282" t="s">
        <v>53</v>
      </c>
      <c r="Q2282" t="s">
        <v>89</v>
      </c>
      <c r="R2282" s="1">
        <v>0.1</v>
      </c>
      <c r="S2282">
        <f t="shared" si="140"/>
        <v>18.899999999999999</v>
      </c>
      <c r="T2282">
        <f>IFERROR(VLOOKUP(A2282,Table1[[Customer ID]:[Discount Amount]], 6, FALSE),"Not Found")</f>
        <v>21</v>
      </c>
      <c r="U2282" t="str">
        <f t="shared" si="141"/>
        <v>Credit Card</v>
      </c>
      <c r="V2282" s="4" t="str">
        <f t="shared" si="142"/>
        <v>Normal</v>
      </c>
      <c r="W2282" s="4" t="str">
        <f t="shared" si="143"/>
        <v>Poor</v>
      </c>
      <c r="X2282" s="4">
        <f>AVERAGE(Table1[Purchase Amount])</f>
        <v>129.48419400000012</v>
      </c>
    </row>
    <row r="2283" spans="1:24" ht="15" customHeight="1" x14ac:dyDescent="0.25">
      <c r="A2283">
        <v>2282</v>
      </c>
      <c r="B2283">
        <v>28</v>
      </c>
      <c r="C2283" t="s">
        <v>27</v>
      </c>
      <c r="D2283" t="s">
        <v>83</v>
      </c>
      <c r="E2283" t="s">
        <v>18</v>
      </c>
      <c r="F2283" s="2">
        <v>27</v>
      </c>
      <c r="G2283" t="s">
        <v>124</v>
      </c>
      <c r="H2283" t="s">
        <v>20</v>
      </c>
      <c r="I2283" t="s">
        <v>125</v>
      </c>
      <c r="J2283" t="s">
        <v>57</v>
      </c>
      <c r="K2283">
        <v>3</v>
      </c>
      <c r="L2283" t="s">
        <v>23</v>
      </c>
      <c r="M2283" t="s">
        <v>48</v>
      </c>
      <c r="N2283" t="s">
        <v>23</v>
      </c>
      <c r="O2283">
        <v>41</v>
      </c>
      <c r="P2283" t="s">
        <v>88</v>
      </c>
      <c r="Q2283" t="s">
        <v>49</v>
      </c>
      <c r="R2283" s="1">
        <v>0.1</v>
      </c>
      <c r="S2283">
        <f t="shared" si="140"/>
        <v>24.3</v>
      </c>
      <c r="T2283">
        <f>IFERROR(VLOOKUP(A2283,Table1[[Customer ID]:[Discount Amount]], 6, FALSE),"Not Found")</f>
        <v>27</v>
      </c>
      <c r="U2283" t="str">
        <f t="shared" si="141"/>
        <v>Bank Transfer</v>
      </c>
      <c r="V2283" s="4" t="str">
        <f t="shared" si="142"/>
        <v>Normal</v>
      </c>
      <c r="W2283" s="4" t="str">
        <f t="shared" si="143"/>
        <v>Good</v>
      </c>
      <c r="X2283" s="4">
        <f>AVERAGE(Table1[Purchase Amount])</f>
        <v>129.48419400000012</v>
      </c>
    </row>
    <row r="2284" spans="1:24" ht="15" customHeight="1" x14ac:dyDescent="0.25">
      <c r="A2284">
        <v>2283</v>
      </c>
      <c r="B2284">
        <v>18</v>
      </c>
      <c r="C2284" t="s">
        <v>27</v>
      </c>
      <c r="D2284" t="s">
        <v>140</v>
      </c>
      <c r="E2284" t="s">
        <v>98</v>
      </c>
      <c r="F2284" s="2">
        <v>97</v>
      </c>
      <c r="G2284" t="s">
        <v>161</v>
      </c>
      <c r="H2284" t="s">
        <v>55</v>
      </c>
      <c r="I2284" t="s">
        <v>46</v>
      </c>
      <c r="J2284" t="s">
        <v>47</v>
      </c>
      <c r="K2284">
        <v>4.2</v>
      </c>
      <c r="L2284" t="s">
        <v>23</v>
      </c>
      <c r="M2284" t="s">
        <v>41</v>
      </c>
      <c r="N2284" t="s">
        <v>23</v>
      </c>
      <c r="O2284">
        <v>8</v>
      </c>
      <c r="P2284" t="s">
        <v>53</v>
      </c>
      <c r="Q2284" t="s">
        <v>49</v>
      </c>
      <c r="R2284" s="1">
        <v>0.1</v>
      </c>
      <c r="S2284">
        <f t="shared" si="140"/>
        <v>87.3</v>
      </c>
      <c r="T2284">
        <f>IFERROR(VLOOKUP(A2284,Table1[[Customer ID]:[Discount Amount]], 6, FALSE),"Not Found")</f>
        <v>97</v>
      </c>
      <c r="U2284" t="str">
        <f t="shared" si="141"/>
        <v>Credit Card</v>
      </c>
      <c r="V2284" s="4" t="str">
        <f t="shared" si="142"/>
        <v>Normal</v>
      </c>
      <c r="W2284" s="4" t="str">
        <f t="shared" si="143"/>
        <v>Good</v>
      </c>
      <c r="X2284" s="4">
        <f>AVERAGE(Table1[Purchase Amount])</f>
        <v>129.48419400000012</v>
      </c>
    </row>
    <row r="2285" spans="1:24" ht="15" customHeight="1" x14ac:dyDescent="0.25">
      <c r="A2285">
        <v>2284</v>
      </c>
      <c r="B2285">
        <v>44</v>
      </c>
      <c r="C2285" t="s">
        <v>27</v>
      </c>
      <c r="D2285" t="s">
        <v>69</v>
      </c>
      <c r="E2285" t="s">
        <v>29</v>
      </c>
      <c r="F2285" s="2">
        <v>45</v>
      </c>
      <c r="G2285" t="s">
        <v>90</v>
      </c>
      <c r="H2285" t="s">
        <v>55</v>
      </c>
      <c r="I2285" t="s">
        <v>40</v>
      </c>
      <c r="J2285" t="s">
        <v>22</v>
      </c>
      <c r="K2285">
        <v>4.0999999999999996</v>
      </c>
      <c r="L2285" t="s">
        <v>23</v>
      </c>
      <c r="M2285" t="s">
        <v>35</v>
      </c>
      <c r="N2285" t="s">
        <v>23</v>
      </c>
      <c r="O2285">
        <v>34</v>
      </c>
      <c r="P2285" t="s">
        <v>53</v>
      </c>
      <c r="Q2285" t="s">
        <v>89</v>
      </c>
      <c r="R2285" s="1">
        <v>0.1</v>
      </c>
      <c r="S2285">
        <f t="shared" si="140"/>
        <v>40.5</v>
      </c>
      <c r="T2285">
        <f>IFERROR(VLOOKUP(A2285,Table1[[Customer ID]:[Discount Amount]], 6, FALSE),"Not Found")</f>
        <v>45</v>
      </c>
      <c r="U2285" t="str">
        <f t="shared" si="141"/>
        <v>Credit Card</v>
      </c>
      <c r="V2285" s="4" t="str">
        <f t="shared" si="142"/>
        <v>Normal</v>
      </c>
      <c r="W2285" s="4" t="str">
        <f t="shared" si="143"/>
        <v>Good</v>
      </c>
      <c r="X2285" s="4">
        <f>AVERAGE(Table1[Purchase Amount])</f>
        <v>129.48419400000012</v>
      </c>
    </row>
    <row r="2286" spans="1:24" ht="15" customHeight="1" x14ac:dyDescent="0.25">
      <c r="A2286">
        <v>2285</v>
      </c>
      <c r="B2286">
        <v>32</v>
      </c>
      <c r="C2286" t="s">
        <v>27</v>
      </c>
      <c r="D2286" t="s">
        <v>118</v>
      </c>
      <c r="E2286" t="s">
        <v>18</v>
      </c>
      <c r="F2286" s="2">
        <v>63</v>
      </c>
      <c r="G2286" t="s">
        <v>141</v>
      </c>
      <c r="H2286" t="s">
        <v>20</v>
      </c>
      <c r="I2286" t="s">
        <v>40</v>
      </c>
      <c r="J2286" t="s">
        <v>47</v>
      </c>
      <c r="K2286">
        <v>4.0999999999999996</v>
      </c>
      <c r="L2286" t="s">
        <v>23</v>
      </c>
      <c r="M2286" t="s">
        <v>61</v>
      </c>
      <c r="N2286" t="s">
        <v>23</v>
      </c>
      <c r="O2286">
        <v>20</v>
      </c>
      <c r="P2286" t="s">
        <v>62</v>
      </c>
      <c r="Q2286" t="s">
        <v>49</v>
      </c>
      <c r="R2286" s="1">
        <v>0.1</v>
      </c>
      <c r="S2286">
        <f t="shared" si="140"/>
        <v>56.7</v>
      </c>
      <c r="T2286">
        <f>IFERROR(VLOOKUP(A2286,Table1[[Customer ID]:[Discount Amount]], 6, FALSE),"Not Found")</f>
        <v>63</v>
      </c>
      <c r="U2286" t="str">
        <f t="shared" si="141"/>
        <v>Venmo</v>
      </c>
      <c r="V2286" s="4" t="str">
        <f t="shared" si="142"/>
        <v>Normal</v>
      </c>
      <c r="W2286" s="4" t="str">
        <f t="shared" si="143"/>
        <v>Good</v>
      </c>
      <c r="X2286" s="4">
        <f>AVERAGE(Table1[Purchase Amount])</f>
        <v>129.48419400000012</v>
      </c>
    </row>
    <row r="2287" spans="1:24" ht="15" customHeight="1" x14ac:dyDescent="0.25">
      <c r="A2287">
        <v>2286</v>
      </c>
      <c r="B2287">
        <v>34</v>
      </c>
      <c r="C2287" t="s">
        <v>27</v>
      </c>
      <c r="D2287" t="s">
        <v>114</v>
      </c>
      <c r="E2287" t="s">
        <v>29</v>
      </c>
      <c r="F2287" s="2">
        <v>100</v>
      </c>
      <c r="G2287" t="s">
        <v>113</v>
      </c>
      <c r="H2287" t="s">
        <v>45</v>
      </c>
      <c r="I2287" t="s">
        <v>136</v>
      </c>
      <c r="J2287" t="s">
        <v>57</v>
      </c>
      <c r="K2287">
        <v>4.5999999999999996</v>
      </c>
      <c r="L2287" t="s">
        <v>23</v>
      </c>
      <c r="M2287" t="s">
        <v>41</v>
      </c>
      <c r="N2287" t="s">
        <v>23</v>
      </c>
      <c r="O2287">
        <v>38</v>
      </c>
      <c r="P2287" t="s">
        <v>58</v>
      </c>
      <c r="Q2287" t="s">
        <v>63</v>
      </c>
      <c r="R2287" s="1">
        <v>0.1</v>
      </c>
      <c r="S2287">
        <f t="shared" si="140"/>
        <v>90</v>
      </c>
      <c r="T2287">
        <f>IFERROR(VLOOKUP(A2287,Table1[[Customer ID]:[Discount Amount]], 6, FALSE),"Not Found")</f>
        <v>100</v>
      </c>
      <c r="U2287" t="str">
        <f t="shared" si="141"/>
        <v>PayPal</v>
      </c>
      <c r="V2287" s="4" t="str">
        <f t="shared" si="142"/>
        <v>Normal</v>
      </c>
      <c r="W2287" s="4" t="str">
        <f t="shared" si="143"/>
        <v>Good</v>
      </c>
      <c r="X2287" s="4">
        <f>AVERAGE(Table1[Purchase Amount])</f>
        <v>129.48419400000012</v>
      </c>
    </row>
    <row r="2288" spans="1:24" ht="15" customHeight="1" x14ac:dyDescent="0.25">
      <c r="A2288">
        <v>2287</v>
      </c>
      <c r="B2288">
        <v>67</v>
      </c>
      <c r="C2288" t="s">
        <v>27</v>
      </c>
      <c r="D2288" t="s">
        <v>105</v>
      </c>
      <c r="E2288" t="s">
        <v>18</v>
      </c>
      <c r="F2288" s="2">
        <v>38</v>
      </c>
      <c r="G2288" t="s">
        <v>130</v>
      </c>
      <c r="H2288" t="s">
        <v>45</v>
      </c>
      <c r="I2288" t="s">
        <v>74</v>
      </c>
      <c r="J2288" t="s">
        <v>33</v>
      </c>
      <c r="K2288">
        <v>2.5</v>
      </c>
      <c r="L2288" t="s">
        <v>23</v>
      </c>
      <c r="M2288" t="s">
        <v>48</v>
      </c>
      <c r="N2288" t="s">
        <v>23</v>
      </c>
      <c r="O2288">
        <v>35</v>
      </c>
      <c r="P2288" t="s">
        <v>62</v>
      </c>
      <c r="Q2288" t="s">
        <v>37</v>
      </c>
      <c r="R2288" s="1">
        <v>0.1</v>
      </c>
      <c r="S2288">
        <f t="shared" si="140"/>
        <v>34.200000000000003</v>
      </c>
      <c r="T2288">
        <f>IFERROR(VLOOKUP(A2288,Table1[[Customer ID]:[Discount Amount]], 6, FALSE),"Not Found")</f>
        <v>38</v>
      </c>
      <c r="U2288" t="str">
        <f t="shared" si="141"/>
        <v>Venmo</v>
      </c>
      <c r="V2288" s="4" t="str">
        <f t="shared" si="142"/>
        <v>Normal</v>
      </c>
      <c r="W2288" s="4" t="str">
        <f t="shared" si="143"/>
        <v>Poor</v>
      </c>
      <c r="X2288" s="4">
        <f>AVERAGE(Table1[Purchase Amount])</f>
        <v>129.48419400000012</v>
      </c>
    </row>
    <row r="2289" spans="1:24" ht="15" customHeight="1" x14ac:dyDescent="0.25">
      <c r="A2289">
        <v>2288</v>
      </c>
      <c r="B2289">
        <v>66</v>
      </c>
      <c r="C2289" t="s">
        <v>27</v>
      </c>
      <c r="D2289" t="s">
        <v>118</v>
      </c>
      <c r="E2289" t="s">
        <v>18</v>
      </c>
      <c r="F2289" s="2">
        <v>45</v>
      </c>
      <c r="G2289" t="s">
        <v>137</v>
      </c>
      <c r="H2289" t="s">
        <v>45</v>
      </c>
      <c r="I2289" t="s">
        <v>93</v>
      </c>
      <c r="J2289" t="s">
        <v>57</v>
      </c>
      <c r="K2289">
        <v>3</v>
      </c>
      <c r="L2289" t="s">
        <v>23</v>
      </c>
      <c r="M2289" t="s">
        <v>48</v>
      </c>
      <c r="N2289" t="s">
        <v>23</v>
      </c>
      <c r="O2289">
        <v>6</v>
      </c>
      <c r="P2289" t="s">
        <v>36</v>
      </c>
      <c r="Q2289" t="s">
        <v>49</v>
      </c>
      <c r="R2289" s="1">
        <v>0.1</v>
      </c>
      <c r="S2289">
        <f t="shared" si="140"/>
        <v>40.5</v>
      </c>
      <c r="T2289">
        <f>IFERROR(VLOOKUP(A2289,Table1[[Customer ID]:[Discount Amount]], 6, FALSE),"Not Found")</f>
        <v>45</v>
      </c>
      <c r="U2289" t="str">
        <f t="shared" si="141"/>
        <v>Debit Card</v>
      </c>
      <c r="V2289" s="4" t="str">
        <f t="shared" si="142"/>
        <v>Normal</v>
      </c>
      <c r="W2289" s="4" t="str">
        <f t="shared" si="143"/>
        <v>Good</v>
      </c>
      <c r="X2289" s="4">
        <f>AVERAGE(Table1[Purchase Amount])</f>
        <v>129.48419400000012</v>
      </c>
    </row>
    <row r="2290" spans="1:24" ht="15" customHeight="1" x14ac:dyDescent="0.25">
      <c r="A2290">
        <v>2289</v>
      </c>
      <c r="B2290">
        <v>28</v>
      </c>
      <c r="C2290" t="s">
        <v>27</v>
      </c>
      <c r="D2290" t="s">
        <v>50</v>
      </c>
      <c r="E2290" t="s">
        <v>29</v>
      </c>
      <c r="F2290" s="2">
        <v>91</v>
      </c>
      <c r="G2290" t="s">
        <v>19</v>
      </c>
      <c r="H2290" t="s">
        <v>31</v>
      </c>
      <c r="I2290" t="s">
        <v>108</v>
      </c>
      <c r="J2290" t="s">
        <v>47</v>
      </c>
      <c r="K2290">
        <v>3.8</v>
      </c>
      <c r="L2290" t="s">
        <v>23</v>
      </c>
      <c r="M2290" t="s">
        <v>79</v>
      </c>
      <c r="N2290" t="s">
        <v>23</v>
      </c>
      <c r="O2290">
        <v>50</v>
      </c>
      <c r="P2290" t="s">
        <v>58</v>
      </c>
      <c r="Q2290" t="s">
        <v>26</v>
      </c>
      <c r="R2290" s="1">
        <v>0.1</v>
      </c>
      <c r="S2290">
        <f t="shared" si="140"/>
        <v>81.900000000000006</v>
      </c>
      <c r="T2290">
        <f>IFERROR(VLOOKUP(A2290,Table1[[Customer ID]:[Discount Amount]], 6, FALSE),"Not Found")</f>
        <v>91</v>
      </c>
      <c r="U2290" t="str">
        <f t="shared" si="141"/>
        <v>PayPal</v>
      </c>
      <c r="V2290" s="4" t="str">
        <f t="shared" si="142"/>
        <v>Normal</v>
      </c>
      <c r="W2290" s="4" t="str">
        <f t="shared" si="143"/>
        <v>Good</v>
      </c>
      <c r="X2290" s="4">
        <f>AVERAGE(Table1[Purchase Amount])</f>
        <v>129.48419400000012</v>
      </c>
    </row>
    <row r="2291" spans="1:24" ht="15" customHeight="1" x14ac:dyDescent="0.25">
      <c r="A2291">
        <v>2290</v>
      </c>
      <c r="B2291">
        <v>70</v>
      </c>
      <c r="C2291" t="s">
        <v>27</v>
      </c>
      <c r="D2291" t="s">
        <v>54</v>
      </c>
      <c r="E2291" t="s">
        <v>18</v>
      </c>
      <c r="F2291" s="2">
        <v>82</v>
      </c>
      <c r="G2291" t="s">
        <v>158</v>
      </c>
      <c r="H2291" t="s">
        <v>31</v>
      </c>
      <c r="I2291" t="s">
        <v>108</v>
      </c>
      <c r="J2291" t="s">
        <v>47</v>
      </c>
      <c r="K2291">
        <v>4.0999999999999996</v>
      </c>
      <c r="L2291" t="s">
        <v>23</v>
      </c>
      <c r="M2291" t="s">
        <v>35</v>
      </c>
      <c r="N2291" t="s">
        <v>23</v>
      </c>
      <c r="O2291">
        <v>47</v>
      </c>
      <c r="P2291" t="s">
        <v>62</v>
      </c>
      <c r="Q2291" t="s">
        <v>26</v>
      </c>
      <c r="R2291" s="1">
        <v>0.1</v>
      </c>
      <c r="S2291">
        <f t="shared" si="140"/>
        <v>73.8</v>
      </c>
      <c r="T2291">
        <f>IFERROR(VLOOKUP(A2291,Table1[[Customer ID]:[Discount Amount]], 6, FALSE),"Not Found")</f>
        <v>82</v>
      </c>
      <c r="U2291" t="str">
        <f t="shared" si="141"/>
        <v>Venmo</v>
      </c>
      <c r="V2291" s="4" t="str">
        <f t="shared" si="142"/>
        <v>Normal</v>
      </c>
      <c r="W2291" s="4" t="str">
        <f t="shared" si="143"/>
        <v>Good</v>
      </c>
      <c r="X2291" s="4">
        <f>AVERAGE(Table1[Purchase Amount])</f>
        <v>129.48419400000012</v>
      </c>
    </row>
    <row r="2292" spans="1:24" ht="15" customHeight="1" x14ac:dyDescent="0.25">
      <c r="A2292">
        <v>2291</v>
      </c>
      <c r="B2292">
        <v>37</v>
      </c>
      <c r="C2292" t="s">
        <v>27</v>
      </c>
      <c r="D2292" t="s">
        <v>151</v>
      </c>
      <c r="E2292" t="s">
        <v>98</v>
      </c>
      <c r="F2292" s="2">
        <v>48</v>
      </c>
      <c r="G2292" t="s">
        <v>124</v>
      </c>
      <c r="H2292" t="s">
        <v>45</v>
      </c>
      <c r="I2292" t="s">
        <v>87</v>
      </c>
      <c r="J2292" t="s">
        <v>22</v>
      </c>
      <c r="K2292">
        <v>3.3</v>
      </c>
      <c r="L2292" t="s">
        <v>23</v>
      </c>
      <c r="M2292" t="s">
        <v>24</v>
      </c>
      <c r="N2292" t="s">
        <v>23</v>
      </c>
      <c r="O2292">
        <v>23</v>
      </c>
      <c r="P2292" t="s">
        <v>58</v>
      </c>
      <c r="Q2292" t="s">
        <v>37</v>
      </c>
      <c r="R2292" s="1">
        <v>0.1</v>
      </c>
      <c r="S2292">
        <f t="shared" si="140"/>
        <v>43.2</v>
      </c>
      <c r="T2292">
        <f>IFERROR(VLOOKUP(A2292,Table1[[Customer ID]:[Discount Amount]], 6, FALSE),"Not Found")</f>
        <v>48</v>
      </c>
      <c r="U2292" t="str">
        <f t="shared" si="141"/>
        <v>PayPal</v>
      </c>
      <c r="V2292" s="4" t="str">
        <f t="shared" si="142"/>
        <v>Normal</v>
      </c>
      <c r="W2292" s="4" t="str">
        <f t="shared" si="143"/>
        <v>Good</v>
      </c>
      <c r="X2292" s="4">
        <f>AVERAGE(Table1[Purchase Amount])</f>
        <v>129.48419400000012</v>
      </c>
    </row>
    <row r="2293" spans="1:24" ht="15" customHeight="1" x14ac:dyDescent="0.25">
      <c r="A2293">
        <v>2292</v>
      </c>
      <c r="B2293">
        <v>28</v>
      </c>
      <c r="C2293" t="s">
        <v>27</v>
      </c>
      <c r="D2293" t="s">
        <v>76</v>
      </c>
      <c r="E2293" t="s">
        <v>77</v>
      </c>
      <c r="F2293" s="2">
        <v>30</v>
      </c>
      <c r="G2293" t="s">
        <v>90</v>
      </c>
      <c r="H2293" t="s">
        <v>31</v>
      </c>
      <c r="I2293" t="s">
        <v>91</v>
      </c>
      <c r="J2293" t="s">
        <v>33</v>
      </c>
      <c r="K2293">
        <v>5</v>
      </c>
      <c r="L2293" t="s">
        <v>23</v>
      </c>
      <c r="M2293" t="s">
        <v>41</v>
      </c>
      <c r="N2293" t="s">
        <v>23</v>
      </c>
      <c r="O2293">
        <v>13</v>
      </c>
      <c r="P2293" t="s">
        <v>53</v>
      </c>
      <c r="Q2293" t="s">
        <v>37</v>
      </c>
      <c r="R2293" s="1">
        <v>0.1</v>
      </c>
      <c r="S2293">
        <f t="shared" si="140"/>
        <v>27</v>
      </c>
      <c r="T2293">
        <f>IFERROR(VLOOKUP(A2293,Table1[[Customer ID]:[Discount Amount]], 6, FALSE),"Not Found")</f>
        <v>30</v>
      </c>
      <c r="U2293" t="str">
        <f t="shared" si="141"/>
        <v>Credit Card</v>
      </c>
      <c r="V2293" s="4" t="str">
        <f t="shared" si="142"/>
        <v>Normal</v>
      </c>
      <c r="W2293" s="4" t="str">
        <f t="shared" si="143"/>
        <v>Good</v>
      </c>
      <c r="X2293" s="4">
        <f>AVERAGE(Table1[Purchase Amount])</f>
        <v>129.48419400000012</v>
      </c>
    </row>
    <row r="2294" spans="1:24" ht="15" customHeight="1" x14ac:dyDescent="0.25">
      <c r="A2294">
        <v>2293</v>
      </c>
      <c r="B2294">
        <v>43</v>
      </c>
      <c r="C2294" t="s">
        <v>27</v>
      </c>
      <c r="D2294" t="s">
        <v>17</v>
      </c>
      <c r="E2294" t="s">
        <v>18</v>
      </c>
      <c r="F2294" s="2">
        <v>34</v>
      </c>
      <c r="G2294" t="s">
        <v>84</v>
      </c>
      <c r="H2294" t="s">
        <v>55</v>
      </c>
      <c r="I2294" t="s">
        <v>56</v>
      </c>
      <c r="J2294" t="s">
        <v>33</v>
      </c>
      <c r="K2294">
        <v>3.8</v>
      </c>
      <c r="L2294" t="s">
        <v>23</v>
      </c>
      <c r="M2294" t="s">
        <v>79</v>
      </c>
      <c r="N2294" t="s">
        <v>23</v>
      </c>
      <c r="O2294">
        <v>31</v>
      </c>
      <c r="P2294" t="s">
        <v>36</v>
      </c>
      <c r="Q2294" t="s">
        <v>42</v>
      </c>
      <c r="R2294" s="1">
        <v>0.1</v>
      </c>
      <c r="S2294">
        <f t="shared" si="140"/>
        <v>30.6</v>
      </c>
      <c r="T2294">
        <f>IFERROR(VLOOKUP(A2294,Table1[[Customer ID]:[Discount Amount]], 6, FALSE),"Not Found")</f>
        <v>34</v>
      </c>
      <c r="U2294" t="str">
        <f t="shared" si="141"/>
        <v>Debit Card</v>
      </c>
      <c r="V2294" s="4" t="str">
        <f t="shared" si="142"/>
        <v>Normal</v>
      </c>
      <c r="W2294" s="4" t="str">
        <f t="shared" si="143"/>
        <v>Good</v>
      </c>
      <c r="X2294" s="4">
        <f>AVERAGE(Table1[Purchase Amount])</f>
        <v>129.48419400000012</v>
      </c>
    </row>
    <row r="2295" spans="1:24" ht="15" customHeight="1" x14ac:dyDescent="0.25">
      <c r="A2295">
        <v>2294</v>
      </c>
      <c r="B2295">
        <v>37</v>
      </c>
      <c r="C2295" t="s">
        <v>27</v>
      </c>
      <c r="D2295" t="s">
        <v>127</v>
      </c>
      <c r="E2295" t="s">
        <v>18</v>
      </c>
      <c r="F2295" s="2">
        <v>68</v>
      </c>
      <c r="G2295" t="s">
        <v>160</v>
      </c>
      <c r="H2295" t="s">
        <v>45</v>
      </c>
      <c r="I2295" t="s">
        <v>93</v>
      </c>
      <c r="J2295" t="s">
        <v>47</v>
      </c>
      <c r="K2295">
        <v>3.3</v>
      </c>
      <c r="L2295" t="s">
        <v>23</v>
      </c>
      <c r="M2295" t="s">
        <v>61</v>
      </c>
      <c r="N2295" t="s">
        <v>23</v>
      </c>
      <c r="O2295">
        <v>16</v>
      </c>
      <c r="P2295" t="s">
        <v>36</v>
      </c>
      <c r="Q2295" t="s">
        <v>63</v>
      </c>
      <c r="R2295" s="1">
        <v>0.1</v>
      </c>
      <c r="S2295">
        <f t="shared" si="140"/>
        <v>61.2</v>
      </c>
      <c r="T2295">
        <f>IFERROR(VLOOKUP(A2295,Table1[[Customer ID]:[Discount Amount]], 6, FALSE),"Not Found")</f>
        <v>68</v>
      </c>
      <c r="U2295" t="str">
        <f t="shared" si="141"/>
        <v>Debit Card</v>
      </c>
      <c r="V2295" s="4" t="str">
        <f t="shared" si="142"/>
        <v>Normal</v>
      </c>
      <c r="W2295" s="4" t="str">
        <f t="shared" si="143"/>
        <v>Good</v>
      </c>
      <c r="X2295" s="4">
        <f>AVERAGE(Table1[Purchase Amount])</f>
        <v>129.48419400000012</v>
      </c>
    </row>
    <row r="2296" spans="1:24" ht="15" customHeight="1" x14ac:dyDescent="0.25">
      <c r="A2296">
        <v>2295</v>
      </c>
      <c r="B2296">
        <v>54</v>
      </c>
      <c r="C2296" t="s">
        <v>27</v>
      </c>
      <c r="D2296" t="s">
        <v>28</v>
      </c>
      <c r="E2296" t="s">
        <v>29</v>
      </c>
      <c r="F2296" s="2">
        <v>95</v>
      </c>
      <c r="G2296" t="s">
        <v>106</v>
      </c>
      <c r="H2296" t="s">
        <v>31</v>
      </c>
      <c r="I2296" t="s">
        <v>46</v>
      </c>
      <c r="J2296" t="s">
        <v>22</v>
      </c>
      <c r="K2296">
        <v>5</v>
      </c>
      <c r="L2296" t="s">
        <v>23</v>
      </c>
      <c r="M2296" t="s">
        <v>61</v>
      </c>
      <c r="N2296" t="s">
        <v>23</v>
      </c>
      <c r="O2296">
        <v>40</v>
      </c>
      <c r="P2296" t="s">
        <v>36</v>
      </c>
      <c r="Q2296" t="s">
        <v>49</v>
      </c>
      <c r="R2296" s="1">
        <v>0.1</v>
      </c>
      <c r="S2296">
        <f t="shared" si="140"/>
        <v>85.5</v>
      </c>
      <c r="T2296">
        <f>IFERROR(VLOOKUP(A2296,Table1[[Customer ID]:[Discount Amount]], 6, FALSE),"Not Found")</f>
        <v>95</v>
      </c>
      <c r="U2296" t="str">
        <f t="shared" si="141"/>
        <v>Debit Card</v>
      </c>
      <c r="V2296" s="4" t="str">
        <f t="shared" si="142"/>
        <v>Normal</v>
      </c>
      <c r="W2296" s="4" t="str">
        <f t="shared" si="143"/>
        <v>Good</v>
      </c>
      <c r="X2296" s="4">
        <f>AVERAGE(Table1[Purchase Amount])</f>
        <v>129.48419400000012</v>
      </c>
    </row>
    <row r="2297" spans="1:24" ht="15" customHeight="1" x14ac:dyDescent="0.25">
      <c r="A2297">
        <v>2296</v>
      </c>
      <c r="B2297">
        <v>50</v>
      </c>
      <c r="C2297" t="s">
        <v>27</v>
      </c>
      <c r="D2297" t="s">
        <v>64</v>
      </c>
      <c r="E2297" t="s">
        <v>29</v>
      </c>
      <c r="F2297" s="2">
        <v>22</v>
      </c>
      <c r="G2297" t="s">
        <v>115</v>
      </c>
      <c r="H2297" t="s">
        <v>45</v>
      </c>
      <c r="I2297" t="s">
        <v>56</v>
      </c>
      <c r="J2297" t="s">
        <v>33</v>
      </c>
      <c r="K2297">
        <v>2.9</v>
      </c>
      <c r="L2297" t="s">
        <v>23</v>
      </c>
      <c r="M2297" t="s">
        <v>41</v>
      </c>
      <c r="N2297" t="s">
        <v>23</v>
      </c>
      <c r="O2297">
        <v>45</v>
      </c>
      <c r="P2297" t="s">
        <v>58</v>
      </c>
      <c r="Q2297" t="s">
        <v>37</v>
      </c>
      <c r="R2297" s="1">
        <v>0.1</v>
      </c>
      <c r="S2297">
        <f t="shared" si="140"/>
        <v>19.8</v>
      </c>
      <c r="T2297">
        <f>IFERROR(VLOOKUP(A2297,Table1[[Customer ID]:[Discount Amount]], 6, FALSE),"Not Found")</f>
        <v>22</v>
      </c>
      <c r="U2297" t="str">
        <f t="shared" si="141"/>
        <v>PayPal</v>
      </c>
      <c r="V2297" s="4" t="str">
        <f t="shared" si="142"/>
        <v>Normal</v>
      </c>
      <c r="W2297" s="4" t="str">
        <f t="shared" si="143"/>
        <v>Poor</v>
      </c>
      <c r="X2297" s="4">
        <f>AVERAGE(Table1[Purchase Amount])</f>
        <v>129.48419400000012</v>
      </c>
    </row>
    <row r="2298" spans="1:24" ht="15" customHeight="1" x14ac:dyDescent="0.25">
      <c r="A2298">
        <v>2297</v>
      </c>
      <c r="B2298">
        <v>46</v>
      </c>
      <c r="C2298" t="s">
        <v>27</v>
      </c>
      <c r="D2298" t="s">
        <v>43</v>
      </c>
      <c r="E2298" t="s">
        <v>29</v>
      </c>
      <c r="F2298" s="2">
        <v>88</v>
      </c>
      <c r="G2298" t="s">
        <v>155</v>
      </c>
      <c r="H2298" t="s">
        <v>31</v>
      </c>
      <c r="I2298" t="s">
        <v>93</v>
      </c>
      <c r="J2298" t="s">
        <v>47</v>
      </c>
      <c r="K2298">
        <v>2.5</v>
      </c>
      <c r="L2298" t="s">
        <v>23</v>
      </c>
      <c r="M2298" t="s">
        <v>79</v>
      </c>
      <c r="N2298" t="s">
        <v>23</v>
      </c>
      <c r="O2298">
        <v>50</v>
      </c>
      <c r="P2298" t="s">
        <v>62</v>
      </c>
      <c r="Q2298" t="s">
        <v>63</v>
      </c>
      <c r="R2298" s="1">
        <v>0.1</v>
      </c>
      <c r="S2298">
        <f t="shared" si="140"/>
        <v>79.2</v>
      </c>
      <c r="T2298">
        <f>IFERROR(VLOOKUP(A2298,Table1[[Customer ID]:[Discount Amount]], 6, FALSE),"Not Found")</f>
        <v>88</v>
      </c>
      <c r="U2298" t="str">
        <f t="shared" si="141"/>
        <v>Venmo</v>
      </c>
      <c r="V2298" s="4" t="str">
        <f t="shared" si="142"/>
        <v>Normal</v>
      </c>
      <c r="W2298" s="4" t="str">
        <f t="shared" si="143"/>
        <v>Poor</v>
      </c>
      <c r="X2298" s="4">
        <f>AVERAGE(Table1[Purchase Amount])</f>
        <v>129.48419400000012</v>
      </c>
    </row>
    <row r="2299" spans="1:24" ht="15" customHeight="1" x14ac:dyDescent="0.25">
      <c r="A2299">
        <v>2298</v>
      </c>
      <c r="B2299">
        <v>60</v>
      </c>
      <c r="C2299" t="s">
        <v>27</v>
      </c>
      <c r="D2299" t="s">
        <v>105</v>
      </c>
      <c r="E2299" t="s">
        <v>18</v>
      </c>
      <c r="F2299" s="2">
        <v>83</v>
      </c>
      <c r="G2299" t="s">
        <v>19</v>
      </c>
      <c r="H2299" t="s">
        <v>31</v>
      </c>
      <c r="I2299" t="s">
        <v>108</v>
      </c>
      <c r="J2299" t="s">
        <v>57</v>
      </c>
      <c r="K2299">
        <v>4.7</v>
      </c>
      <c r="L2299" t="s">
        <v>23</v>
      </c>
      <c r="M2299" t="s">
        <v>24</v>
      </c>
      <c r="N2299" t="s">
        <v>23</v>
      </c>
      <c r="O2299">
        <v>1</v>
      </c>
      <c r="P2299" t="s">
        <v>88</v>
      </c>
      <c r="Q2299" t="s">
        <v>37</v>
      </c>
      <c r="R2299" s="1">
        <v>0.1</v>
      </c>
      <c r="S2299">
        <f t="shared" si="140"/>
        <v>74.7</v>
      </c>
      <c r="T2299">
        <f>IFERROR(VLOOKUP(A2299,Table1[[Customer ID]:[Discount Amount]], 6, FALSE),"Not Found")</f>
        <v>83</v>
      </c>
      <c r="U2299" t="str">
        <f t="shared" si="141"/>
        <v>Bank Transfer</v>
      </c>
      <c r="V2299" s="4" t="str">
        <f t="shared" si="142"/>
        <v>Normal</v>
      </c>
      <c r="W2299" s="4" t="str">
        <f t="shared" si="143"/>
        <v>Good</v>
      </c>
      <c r="X2299" s="4">
        <f>AVERAGE(Table1[Purchase Amount])</f>
        <v>129.48419400000012</v>
      </c>
    </row>
    <row r="2300" spans="1:24" ht="15" customHeight="1" x14ac:dyDescent="0.25">
      <c r="A2300">
        <v>2299</v>
      </c>
      <c r="B2300">
        <v>40</v>
      </c>
      <c r="C2300" t="s">
        <v>27</v>
      </c>
      <c r="D2300" t="s">
        <v>69</v>
      </c>
      <c r="E2300" t="s">
        <v>29</v>
      </c>
      <c r="F2300" s="2">
        <v>87</v>
      </c>
      <c r="G2300" t="s">
        <v>39</v>
      </c>
      <c r="H2300" t="s">
        <v>45</v>
      </c>
      <c r="I2300" t="s">
        <v>128</v>
      </c>
      <c r="J2300" t="s">
        <v>33</v>
      </c>
      <c r="K2300">
        <v>2.9</v>
      </c>
      <c r="L2300" t="s">
        <v>23</v>
      </c>
      <c r="M2300" t="s">
        <v>41</v>
      </c>
      <c r="N2300" t="s">
        <v>23</v>
      </c>
      <c r="O2300">
        <v>10</v>
      </c>
      <c r="P2300" t="s">
        <v>25</v>
      </c>
      <c r="Q2300" t="s">
        <v>63</v>
      </c>
      <c r="R2300" s="1">
        <v>0.1</v>
      </c>
      <c r="S2300">
        <f t="shared" si="140"/>
        <v>78.3</v>
      </c>
      <c r="T2300">
        <f>IFERROR(VLOOKUP(A2300,Table1[[Customer ID]:[Discount Amount]], 6, FALSE),"Not Found")</f>
        <v>87</v>
      </c>
      <c r="U2300" t="str">
        <f t="shared" si="141"/>
        <v>Cash</v>
      </c>
      <c r="V2300" s="4" t="str">
        <f t="shared" si="142"/>
        <v>Normal</v>
      </c>
      <c r="W2300" s="4" t="str">
        <f t="shared" si="143"/>
        <v>Poor</v>
      </c>
      <c r="X2300" s="4">
        <f>AVERAGE(Table1[Purchase Amount])</f>
        <v>129.48419400000012</v>
      </c>
    </row>
    <row r="2301" spans="1:24" ht="15" customHeight="1" x14ac:dyDescent="0.25">
      <c r="A2301">
        <v>2300</v>
      </c>
      <c r="B2301">
        <v>64</v>
      </c>
      <c r="C2301" t="s">
        <v>27</v>
      </c>
      <c r="D2301" t="s">
        <v>76</v>
      </c>
      <c r="E2301" t="s">
        <v>77</v>
      </c>
      <c r="F2301" s="2">
        <v>57</v>
      </c>
      <c r="G2301" t="s">
        <v>161</v>
      </c>
      <c r="H2301" t="s">
        <v>31</v>
      </c>
      <c r="I2301" t="s">
        <v>111</v>
      </c>
      <c r="J2301" t="s">
        <v>57</v>
      </c>
      <c r="K2301">
        <v>3.7</v>
      </c>
      <c r="L2301" t="s">
        <v>23</v>
      </c>
      <c r="M2301" t="s">
        <v>48</v>
      </c>
      <c r="N2301" t="s">
        <v>23</v>
      </c>
      <c r="O2301">
        <v>48</v>
      </c>
      <c r="P2301" t="s">
        <v>53</v>
      </c>
      <c r="Q2301" t="s">
        <v>63</v>
      </c>
      <c r="R2301" s="1">
        <v>0.1</v>
      </c>
      <c r="S2301">
        <f t="shared" si="140"/>
        <v>51.3</v>
      </c>
      <c r="T2301">
        <f>IFERROR(VLOOKUP(A2301,Table1[[Customer ID]:[Discount Amount]], 6, FALSE),"Not Found")</f>
        <v>57</v>
      </c>
      <c r="U2301" t="str">
        <f t="shared" si="141"/>
        <v>Credit Card</v>
      </c>
      <c r="V2301" s="4" t="str">
        <f t="shared" si="142"/>
        <v>Normal</v>
      </c>
      <c r="W2301" s="4" t="str">
        <f t="shared" si="143"/>
        <v>Good</v>
      </c>
      <c r="X2301" s="4">
        <f>AVERAGE(Table1[Purchase Amount])</f>
        <v>129.48419400000012</v>
      </c>
    </row>
    <row r="2302" spans="1:24" ht="15" customHeight="1" x14ac:dyDescent="0.25">
      <c r="A2302">
        <v>2301</v>
      </c>
      <c r="B2302">
        <v>18</v>
      </c>
      <c r="C2302" t="s">
        <v>27</v>
      </c>
      <c r="D2302" t="s">
        <v>76</v>
      </c>
      <c r="E2302" t="s">
        <v>77</v>
      </c>
      <c r="F2302" s="2">
        <v>88</v>
      </c>
      <c r="G2302" t="s">
        <v>78</v>
      </c>
      <c r="H2302" t="s">
        <v>20</v>
      </c>
      <c r="I2302" t="s">
        <v>107</v>
      </c>
      <c r="J2302" t="s">
        <v>57</v>
      </c>
      <c r="K2302">
        <v>4.4000000000000004</v>
      </c>
      <c r="L2302" t="s">
        <v>23</v>
      </c>
      <c r="M2302" t="s">
        <v>41</v>
      </c>
      <c r="N2302" t="s">
        <v>23</v>
      </c>
      <c r="O2302">
        <v>38</v>
      </c>
      <c r="P2302" t="s">
        <v>53</v>
      </c>
      <c r="Q2302" t="s">
        <v>42</v>
      </c>
      <c r="R2302" s="1">
        <v>0.1</v>
      </c>
      <c r="S2302">
        <f t="shared" si="140"/>
        <v>79.2</v>
      </c>
      <c r="T2302">
        <f>IFERROR(VLOOKUP(A2302,Table1[[Customer ID]:[Discount Amount]], 6, FALSE),"Not Found")</f>
        <v>88</v>
      </c>
      <c r="U2302" t="str">
        <f t="shared" si="141"/>
        <v>Credit Card</v>
      </c>
      <c r="V2302" s="4" t="str">
        <f t="shared" si="142"/>
        <v>Normal</v>
      </c>
      <c r="W2302" s="4" t="str">
        <f t="shared" si="143"/>
        <v>Good</v>
      </c>
      <c r="X2302" s="4">
        <f>AVERAGE(Table1[Purchase Amount])</f>
        <v>129.48419400000012</v>
      </c>
    </row>
    <row r="2303" spans="1:24" ht="15" customHeight="1" x14ac:dyDescent="0.25">
      <c r="A2303">
        <v>2302</v>
      </c>
      <c r="B2303">
        <v>37</v>
      </c>
      <c r="C2303" t="s">
        <v>27</v>
      </c>
      <c r="D2303" t="s">
        <v>99</v>
      </c>
      <c r="E2303" t="s">
        <v>18</v>
      </c>
      <c r="F2303" s="2">
        <v>20</v>
      </c>
      <c r="G2303" t="s">
        <v>94</v>
      </c>
      <c r="H2303" t="s">
        <v>45</v>
      </c>
      <c r="I2303" t="s">
        <v>156</v>
      </c>
      <c r="J2303" t="s">
        <v>22</v>
      </c>
      <c r="K2303">
        <v>2.9</v>
      </c>
      <c r="L2303" t="s">
        <v>23</v>
      </c>
      <c r="M2303" t="s">
        <v>79</v>
      </c>
      <c r="N2303" t="s">
        <v>23</v>
      </c>
      <c r="O2303">
        <v>21</v>
      </c>
      <c r="P2303" t="s">
        <v>36</v>
      </c>
      <c r="Q2303" t="s">
        <v>49</v>
      </c>
      <c r="R2303" s="1">
        <v>0.1</v>
      </c>
      <c r="S2303">
        <f t="shared" si="140"/>
        <v>18</v>
      </c>
      <c r="T2303">
        <f>IFERROR(VLOOKUP(A2303,Table1[[Customer ID]:[Discount Amount]], 6, FALSE),"Not Found")</f>
        <v>20</v>
      </c>
      <c r="U2303" t="str">
        <f t="shared" si="141"/>
        <v>Debit Card</v>
      </c>
      <c r="V2303" s="4" t="str">
        <f t="shared" si="142"/>
        <v>Normal</v>
      </c>
      <c r="W2303" s="4" t="str">
        <f t="shared" si="143"/>
        <v>Poor</v>
      </c>
      <c r="X2303" s="4">
        <f>AVERAGE(Table1[Purchase Amount])</f>
        <v>129.48419400000012</v>
      </c>
    </row>
    <row r="2304" spans="1:24" ht="15" customHeight="1" x14ac:dyDescent="0.25">
      <c r="A2304">
        <v>2303</v>
      </c>
      <c r="B2304">
        <v>36</v>
      </c>
      <c r="C2304" t="s">
        <v>27</v>
      </c>
      <c r="D2304" t="s">
        <v>114</v>
      </c>
      <c r="E2304" t="s">
        <v>29</v>
      </c>
      <c r="F2304" s="2">
        <v>39</v>
      </c>
      <c r="G2304" t="s">
        <v>39</v>
      </c>
      <c r="H2304" t="s">
        <v>45</v>
      </c>
      <c r="I2304" t="s">
        <v>136</v>
      </c>
      <c r="J2304" t="s">
        <v>57</v>
      </c>
      <c r="K2304">
        <v>3.6</v>
      </c>
      <c r="L2304" t="s">
        <v>23</v>
      </c>
      <c r="M2304" t="s">
        <v>48</v>
      </c>
      <c r="N2304" t="s">
        <v>23</v>
      </c>
      <c r="O2304">
        <v>38</v>
      </c>
      <c r="P2304" t="s">
        <v>62</v>
      </c>
      <c r="Q2304" t="s">
        <v>42</v>
      </c>
      <c r="R2304" s="1">
        <v>0.1</v>
      </c>
      <c r="S2304">
        <f t="shared" si="140"/>
        <v>35.1</v>
      </c>
      <c r="T2304">
        <f>IFERROR(VLOOKUP(A2304,Table1[[Customer ID]:[Discount Amount]], 6, FALSE),"Not Found")</f>
        <v>39</v>
      </c>
      <c r="U2304" t="str">
        <f t="shared" si="141"/>
        <v>Venmo</v>
      </c>
      <c r="V2304" s="4" t="str">
        <f t="shared" si="142"/>
        <v>Normal</v>
      </c>
      <c r="W2304" s="4" t="str">
        <f t="shared" si="143"/>
        <v>Good</v>
      </c>
      <c r="X2304" s="4">
        <f>AVERAGE(Table1[Purchase Amount])</f>
        <v>129.48419400000012</v>
      </c>
    </row>
    <row r="2305" spans="1:24" ht="15" customHeight="1" x14ac:dyDescent="0.25">
      <c r="A2305">
        <v>2304</v>
      </c>
      <c r="B2305">
        <v>51</v>
      </c>
      <c r="C2305" t="s">
        <v>27</v>
      </c>
      <c r="D2305" t="s">
        <v>28</v>
      </c>
      <c r="E2305" t="s">
        <v>29</v>
      </c>
      <c r="F2305" s="2">
        <v>71</v>
      </c>
      <c r="G2305" t="s">
        <v>131</v>
      </c>
      <c r="H2305" t="s">
        <v>55</v>
      </c>
      <c r="I2305" t="s">
        <v>56</v>
      </c>
      <c r="J2305" t="s">
        <v>33</v>
      </c>
      <c r="K2305">
        <v>4.8</v>
      </c>
      <c r="L2305" t="s">
        <v>23</v>
      </c>
      <c r="M2305" t="s">
        <v>41</v>
      </c>
      <c r="N2305" t="s">
        <v>23</v>
      </c>
      <c r="O2305">
        <v>31</v>
      </c>
      <c r="P2305" t="s">
        <v>53</v>
      </c>
      <c r="Q2305" t="s">
        <v>89</v>
      </c>
      <c r="R2305" s="1">
        <v>0.1</v>
      </c>
      <c r="S2305">
        <f t="shared" si="140"/>
        <v>63.9</v>
      </c>
      <c r="T2305">
        <f>IFERROR(VLOOKUP(A2305,Table1[[Customer ID]:[Discount Amount]], 6, FALSE),"Not Found")</f>
        <v>71</v>
      </c>
      <c r="U2305" t="str">
        <f t="shared" si="141"/>
        <v>Credit Card</v>
      </c>
      <c r="V2305" s="4" t="str">
        <f t="shared" si="142"/>
        <v>Normal</v>
      </c>
      <c r="W2305" s="4" t="str">
        <f t="shared" si="143"/>
        <v>Good</v>
      </c>
      <c r="X2305" s="4">
        <f>AVERAGE(Table1[Purchase Amount])</f>
        <v>129.48419400000012</v>
      </c>
    </row>
    <row r="2306" spans="1:24" ht="15" customHeight="1" x14ac:dyDescent="0.25">
      <c r="A2306">
        <v>2305</v>
      </c>
      <c r="B2306">
        <v>26</v>
      </c>
      <c r="C2306" t="s">
        <v>27</v>
      </c>
      <c r="D2306" t="s">
        <v>83</v>
      </c>
      <c r="E2306" t="s">
        <v>18</v>
      </c>
      <c r="F2306" s="2">
        <v>73</v>
      </c>
      <c r="G2306" t="s">
        <v>119</v>
      </c>
      <c r="H2306" t="s">
        <v>45</v>
      </c>
      <c r="I2306" t="s">
        <v>153</v>
      </c>
      <c r="J2306" t="s">
        <v>22</v>
      </c>
      <c r="K2306">
        <v>4.7</v>
      </c>
      <c r="L2306" t="s">
        <v>23</v>
      </c>
      <c r="M2306" t="s">
        <v>35</v>
      </c>
      <c r="N2306" t="s">
        <v>23</v>
      </c>
      <c r="O2306">
        <v>9</v>
      </c>
      <c r="P2306" t="s">
        <v>36</v>
      </c>
      <c r="Q2306" t="s">
        <v>89</v>
      </c>
      <c r="R2306" s="1">
        <v>0.1</v>
      </c>
      <c r="S2306">
        <f t="shared" ref="S2306:S2369" si="144">F2306-(F2306*R2306)</f>
        <v>65.7</v>
      </c>
      <c r="T2306">
        <f>IFERROR(VLOOKUP(A2306,Table1[[Customer ID]:[Discount Amount]], 6, FALSE),"Not Found")</f>
        <v>73</v>
      </c>
      <c r="U2306" t="str">
        <f t="shared" ref="U2306:U2369" si="145">INDEX(P:P, MATCH(A2306, A:A, 0))</f>
        <v>Debit Card</v>
      </c>
      <c r="V2306" s="4" t="str">
        <f t="shared" ref="V2306:V2369" si="146">IF(AND(F2306&gt;1000,K2306&gt;=4),"Best Customer","Normal")</f>
        <v>Normal</v>
      </c>
      <c r="W2306" s="4" t="str">
        <f t="shared" ref="W2306:W2369" si="147">IF(K2306&gt;=3,"Good","Poor")</f>
        <v>Good</v>
      </c>
      <c r="X2306" s="4">
        <f>AVERAGE(Table1[Purchase Amount])</f>
        <v>129.48419400000012</v>
      </c>
    </row>
    <row r="2307" spans="1:24" ht="15" customHeight="1" x14ac:dyDescent="0.25">
      <c r="A2307">
        <v>2306</v>
      </c>
      <c r="B2307">
        <v>68</v>
      </c>
      <c r="C2307" t="s">
        <v>27</v>
      </c>
      <c r="D2307" t="s">
        <v>69</v>
      </c>
      <c r="E2307" t="s">
        <v>29</v>
      </c>
      <c r="F2307" s="2">
        <v>63</v>
      </c>
      <c r="G2307" t="s">
        <v>94</v>
      </c>
      <c r="H2307" t="s">
        <v>31</v>
      </c>
      <c r="I2307" t="s">
        <v>133</v>
      </c>
      <c r="J2307" t="s">
        <v>57</v>
      </c>
      <c r="K2307">
        <v>2.6</v>
      </c>
      <c r="L2307" t="s">
        <v>23</v>
      </c>
      <c r="M2307" t="s">
        <v>35</v>
      </c>
      <c r="N2307" t="s">
        <v>23</v>
      </c>
      <c r="O2307">
        <v>47</v>
      </c>
      <c r="P2307" t="s">
        <v>25</v>
      </c>
      <c r="Q2307" t="s">
        <v>26</v>
      </c>
      <c r="R2307" s="1">
        <v>0.1</v>
      </c>
      <c r="S2307">
        <f t="shared" si="144"/>
        <v>56.7</v>
      </c>
      <c r="T2307">
        <f>IFERROR(VLOOKUP(A2307,Table1[[Customer ID]:[Discount Amount]], 6, FALSE),"Not Found")</f>
        <v>63</v>
      </c>
      <c r="U2307" t="str">
        <f t="shared" si="145"/>
        <v>Cash</v>
      </c>
      <c r="V2307" s="4" t="str">
        <f t="shared" si="146"/>
        <v>Normal</v>
      </c>
      <c r="W2307" s="4" t="str">
        <f t="shared" si="147"/>
        <v>Poor</v>
      </c>
      <c r="X2307" s="4">
        <f>AVERAGE(Table1[Purchase Amount])</f>
        <v>129.48419400000012</v>
      </c>
    </row>
    <row r="2308" spans="1:24" ht="15" customHeight="1" x14ac:dyDescent="0.25">
      <c r="A2308">
        <v>2307</v>
      </c>
      <c r="B2308">
        <v>27</v>
      </c>
      <c r="C2308" t="s">
        <v>27</v>
      </c>
      <c r="D2308" t="s">
        <v>43</v>
      </c>
      <c r="E2308" t="s">
        <v>29</v>
      </c>
      <c r="F2308" s="2">
        <v>78</v>
      </c>
      <c r="G2308" t="s">
        <v>67</v>
      </c>
      <c r="H2308" t="s">
        <v>45</v>
      </c>
      <c r="I2308" t="s">
        <v>153</v>
      </c>
      <c r="J2308" t="s">
        <v>22</v>
      </c>
      <c r="K2308">
        <v>3.4</v>
      </c>
      <c r="L2308" t="s">
        <v>23</v>
      </c>
      <c r="M2308" t="s">
        <v>24</v>
      </c>
      <c r="N2308" t="s">
        <v>23</v>
      </c>
      <c r="O2308">
        <v>8</v>
      </c>
      <c r="P2308" t="s">
        <v>25</v>
      </c>
      <c r="Q2308" t="s">
        <v>68</v>
      </c>
      <c r="R2308" s="1">
        <v>0.1</v>
      </c>
      <c r="S2308">
        <f t="shared" si="144"/>
        <v>70.2</v>
      </c>
      <c r="T2308">
        <f>IFERROR(VLOOKUP(A2308,Table1[[Customer ID]:[Discount Amount]], 6, FALSE),"Not Found")</f>
        <v>78</v>
      </c>
      <c r="U2308" t="str">
        <f t="shared" si="145"/>
        <v>Cash</v>
      </c>
      <c r="V2308" s="4" t="str">
        <f t="shared" si="146"/>
        <v>Normal</v>
      </c>
      <c r="W2308" s="4" t="str">
        <f t="shared" si="147"/>
        <v>Good</v>
      </c>
      <c r="X2308" s="4">
        <f>AVERAGE(Table1[Purchase Amount])</f>
        <v>129.48419400000012</v>
      </c>
    </row>
    <row r="2309" spans="1:24" ht="15" customHeight="1" x14ac:dyDescent="0.25">
      <c r="A2309">
        <v>2308</v>
      </c>
      <c r="B2309">
        <v>28</v>
      </c>
      <c r="C2309" t="s">
        <v>27</v>
      </c>
      <c r="D2309" t="s">
        <v>122</v>
      </c>
      <c r="E2309" t="s">
        <v>18</v>
      </c>
      <c r="F2309" s="2">
        <v>96</v>
      </c>
      <c r="G2309" t="s">
        <v>146</v>
      </c>
      <c r="H2309" t="s">
        <v>45</v>
      </c>
      <c r="I2309" t="s">
        <v>93</v>
      </c>
      <c r="J2309" t="s">
        <v>47</v>
      </c>
      <c r="K2309">
        <v>3.5</v>
      </c>
      <c r="L2309" t="s">
        <v>23</v>
      </c>
      <c r="M2309" t="s">
        <v>79</v>
      </c>
      <c r="N2309" t="s">
        <v>23</v>
      </c>
      <c r="O2309">
        <v>30</v>
      </c>
      <c r="P2309" t="s">
        <v>36</v>
      </c>
      <c r="Q2309" t="s">
        <v>49</v>
      </c>
      <c r="R2309" s="1">
        <v>0.1</v>
      </c>
      <c r="S2309">
        <f t="shared" si="144"/>
        <v>86.4</v>
      </c>
      <c r="T2309">
        <f>IFERROR(VLOOKUP(A2309,Table1[[Customer ID]:[Discount Amount]], 6, FALSE),"Not Found")</f>
        <v>96</v>
      </c>
      <c r="U2309" t="str">
        <f t="shared" si="145"/>
        <v>Debit Card</v>
      </c>
      <c r="V2309" s="4" t="str">
        <f t="shared" si="146"/>
        <v>Normal</v>
      </c>
      <c r="W2309" s="4" t="str">
        <f t="shared" si="147"/>
        <v>Good</v>
      </c>
      <c r="X2309" s="4">
        <f>AVERAGE(Table1[Purchase Amount])</f>
        <v>129.48419400000012</v>
      </c>
    </row>
    <row r="2310" spans="1:24" ht="15" customHeight="1" x14ac:dyDescent="0.25">
      <c r="A2310">
        <v>2309</v>
      </c>
      <c r="B2310">
        <v>49</v>
      </c>
      <c r="C2310" t="s">
        <v>27</v>
      </c>
      <c r="D2310" t="s">
        <v>28</v>
      </c>
      <c r="E2310" t="s">
        <v>29</v>
      </c>
      <c r="F2310" s="2">
        <v>81</v>
      </c>
      <c r="G2310" t="s">
        <v>86</v>
      </c>
      <c r="H2310" t="s">
        <v>31</v>
      </c>
      <c r="I2310" t="s">
        <v>147</v>
      </c>
      <c r="J2310" t="s">
        <v>22</v>
      </c>
      <c r="K2310">
        <v>3.4</v>
      </c>
      <c r="L2310" t="s">
        <v>23</v>
      </c>
      <c r="M2310" t="s">
        <v>41</v>
      </c>
      <c r="N2310" t="s">
        <v>23</v>
      </c>
      <c r="O2310">
        <v>22</v>
      </c>
      <c r="P2310" t="s">
        <v>88</v>
      </c>
      <c r="Q2310" t="s">
        <v>37</v>
      </c>
      <c r="R2310" s="1">
        <v>0.1</v>
      </c>
      <c r="S2310">
        <f t="shared" si="144"/>
        <v>72.900000000000006</v>
      </c>
      <c r="T2310">
        <f>IFERROR(VLOOKUP(A2310,Table1[[Customer ID]:[Discount Amount]], 6, FALSE),"Not Found")</f>
        <v>81</v>
      </c>
      <c r="U2310" t="str">
        <f t="shared" si="145"/>
        <v>Bank Transfer</v>
      </c>
      <c r="V2310" s="4" t="str">
        <f t="shared" si="146"/>
        <v>Normal</v>
      </c>
      <c r="W2310" s="4" t="str">
        <f t="shared" si="147"/>
        <v>Good</v>
      </c>
      <c r="X2310" s="4">
        <f>AVERAGE(Table1[Purchase Amount])</f>
        <v>129.48419400000012</v>
      </c>
    </row>
    <row r="2311" spans="1:24" ht="15" customHeight="1" x14ac:dyDescent="0.25">
      <c r="A2311">
        <v>2310</v>
      </c>
      <c r="B2311">
        <v>70</v>
      </c>
      <c r="C2311" t="s">
        <v>27</v>
      </c>
      <c r="D2311" t="s">
        <v>157</v>
      </c>
      <c r="E2311" t="s">
        <v>18</v>
      </c>
      <c r="F2311" s="2">
        <v>95</v>
      </c>
      <c r="G2311" t="s">
        <v>115</v>
      </c>
      <c r="H2311" t="s">
        <v>55</v>
      </c>
      <c r="I2311" t="s">
        <v>133</v>
      </c>
      <c r="J2311" t="s">
        <v>47</v>
      </c>
      <c r="K2311">
        <v>5</v>
      </c>
      <c r="L2311" t="s">
        <v>23</v>
      </c>
      <c r="M2311" t="s">
        <v>41</v>
      </c>
      <c r="N2311" t="s">
        <v>23</v>
      </c>
      <c r="O2311">
        <v>3</v>
      </c>
      <c r="P2311" t="s">
        <v>88</v>
      </c>
      <c r="Q2311" t="s">
        <v>37</v>
      </c>
      <c r="R2311" s="1">
        <v>0.1</v>
      </c>
      <c r="S2311">
        <f t="shared" si="144"/>
        <v>85.5</v>
      </c>
      <c r="T2311">
        <f>IFERROR(VLOOKUP(A2311,Table1[[Customer ID]:[Discount Amount]], 6, FALSE),"Not Found")</f>
        <v>95</v>
      </c>
      <c r="U2311" t="str">
        <f t="shared" si="145"/>
        <v>Bank Transfer</v>
      </c>
      <c r="V2311" s="4" t="str">
        <f t="shared" si="146"/>
        <v>Normal</v>
      </c>
      <c r="W2311" s="4" t="str">
        <f t="shared" si="147"/>
        <v>Good</v>
      </c>
      <c r="X2311" s="4">
        <f>AVERAGE(Table1[Purchase Amount])</f>
        <v>129.48419400000012</v>
      </c>
    </row>
    <row r="2312" spans="1:24" ht="15" customHeight="1" x14ac:dyDescent="0.25">
      <c r="A2312">
        <v>2311</v>
      </c>
      <c r="B2312">
        <v>30</v>
      </c>
      <c r="C2312" t="s">
        <v>27</v>
      </c>
      <c r="D2312" t="s">
        <v>43</v>
      </c>
      <c r="E2312" t="s">
        <v>29</v>
      </c>
      <c r="F2312" s="2">
        <v>68</v>
      </c>
      <c r="G2312" t="s">
        <v>138</v>
      </c>
      <c r="H2312" t="s">
        <v>31</v>
      </c>
      <c r="I2312" t="s">
        <v>128</v>
      </c>
      <c r="J2312" t="s">
        <v>33</v>
      </c>
      <c r="K2312">
        <v>4.5999999999999996</v>
      </c>
      <c r="L2312" t="s">
        <v>23</v>
      </c>
      <c r="M2312" t="s">
        <v>24</v>
      </c>
      <c r="N2312" t="s">
        <v>23</v>
      </c>
      <c r="O2312">
        <v>15</v>
      </c>
      <c r="P2312" t="s">
        <v>58</v>
      </c>
      <c r="Q2312" t="s">
        <v>42</v>
      </c>
      <c r="R2312" s="1">
        <v>0.1</v>
      </c>
      <c r="S2312">
        <f t="shared" si="144"/>
        <v>61.2</v>
      </c>
      <c r="T2312">
        <f>IFERROR(VLOOKUP(A2312,Table1[[Customer ID]:[Discount Amount]], 6, FALSE),"Not Found")</f>
        <v>68</v>
      </c>
      <c r="U2312" t="str">
        <f t="shared" si="145"/>
        <v>PayPal</v>
      </c>
      <c r="V2312" s="4" t="str">
        <f t="shared" si="146"/>
        <v>Normal</v>
      </c>
      <c r="W2312" s="4" t="str">
        <f t="shared" si="147"/>
        <v>Good</v>
      </c>
      <c r="X2312" s="4">
        <f>AVERAGE(Table1[Purchase Amount])</f>
        <v>129.48419400000012</v>
      </c>
    </row>
    <row r="2313" spans="1:24" ht="15" customHeight="1" x14ac:dyDescent="0.25">
      <c r="A2313">
        <v>2312</v>
      </c>
      <c r="B2313">
        <v>27</v>
      </c>
      <c r="C2313" t="s">
        <v>27</v>
      </c>
      <c r="D2313" t="s">
        <v>140</v>
      </c>
      <c r="E2313" t="s">
        <v>98</v>
      </c>
      <c r="F2313" s="2">
        <v>28</v>
      </c>
      <c r="G2313" t="s">
        <v>39</v>
      </c>
      <c r="H2313" t="s">
        <v>45</v>
      </c>
      <c r="I2313" t="s">
        <v>133</v>
      </c>
      <c r="J2313" t="s">
        <v>33</v>
      </c>
      <c r="K2313">
        <v>4.8</v>
      </c>
      <c r="L2313" t="s">
        <v>23</v>
      </c>
      <c r="M2313" t="s">
        <v>41</v>
      </c>
      <c r="N2313" t="s">
        <v>23</v>
      </c>
      <c r="O2313">
        <v>10</v>
      </c>
      <c r="P2313" t="s">
        <v>88</v>
      </c>
      <c r="Q2313" t="s">
        <v>63</v>
      </c>
      <c r="R2313" s="1">
        <v>0.1</v>
      </c>
      <c r="S2313">
        <f t="shared" si="144"/>
        <v>25.2</v>
      </c>
      <c r="T2313">
        <f>IFERROR(VLOOKUP(A2313,Table1[[Customer ID]:[Discount Amount]], 6, FALSE),"Not Found")</f>
        <v>28</v>
      </c>
      <c r="U2313" t="str">
        <f t="shared" si="145"/>
        <v>Bank Transfer</v>
      </c>
      <c r="V2313" s="4" t="str">
        <f t="shared" si="146"/>
        <v>Normal</v>
      </c>
      <c r="W2313" s="4" t="str">
        <f t="shared" si="147"/>
        <v>Good</v>
      </c>
      <c r="X2313" s="4">
        <f>AVERAGE(Table1[Purchase Amount])</f>
        <v>129.48419400000012</v>
      </c>
    </row>
    <row r="2314" spans="1:24" ht="15" customHeight="1" x14ac:dyDescent="0.25">
      <c r="A2314">
        <v>2313</v>
      </c>
      <c r="B2314">
        <v>19</v>
      </c>
      <c r="C2314" t="s">
        <v>27</v>
      </c>
      <c r="D2314" t="s">
        <v>17</v>
      </c>
      <c r="E2314" t="s">
        <v>18</v>
      </c>
      <c r="F2314" s="2">
        <v>30</v>
      </c>
      <c r="G2314" t="s">
        <v>84</v>
      </c>
      <c r="H2314" t="s">
        <v>45</v>
      </c>
      <c r="I2314" t="s">
        <v>111</v>
      </c>
      <c r="J2314" t="s">
        <v>57</v>
      </c>
      <c r="K2314">
        <v>3.7</v>
      </c>
      <c r="L2314" t="s">
        <v>23</v>
      </c>
      <c r="M2314" t="s">
        <v>35</v>
      </c>
      <c r="N2314" t="s">
        <v>23</v>
      </c>
      <c r="O2314">
        <v>19</v>
      </c>
      <c r="P2314" t="s">
        <v>25</v>
      </c>
      <c r="Q2314" t="s">
        <v>63</v>
      </c>
      <c r="R2314" s="1">
        <v>0.1</v>
      </c>
      <c r="S2314">
        <f t="shared" si="144"/>
        <v>27</v>
      </c>
      <c r="T2314">
        <f>IFERROR(VLOOKUP(A2314,Table1[[Customer ID]:[Discount Amount]], 6, FALSE),"Not Found")</f>
        <v>30</v>
      </c>
      <c r="U2314" t="str">
        <f t="shared" si="145"/>
        <v>Cash</v>
      </c>
      <c r="V2314" s="4" t="str">
        <f t="shared" si="146"/>
        <v>Normal</v>
      </c>
      <c r="W2314" s="4" t="str">
        <f t="shared" si="147"/>
        <v>Good</v>
      </c>
      <c r="X2314" s="4">
        <f>AVERAGE(Table1[Purchase Amount])</f>
        <v>129.48419400000012</v>
      </c>
    </row>
    <row r="2315" spans="1:24" ht="15" customHeight="1" x14ac:dyDescent="0.25">
      <c r="A2315">
        <v>2314</v>
      </c>
      <c r="B2315">
        <v>64</v>
      </c>
      <c r="C2315" t="s">
        <v>27</v>
      </c>
      <c r="D2315" t="s">
        <v>157</v>
      </c>
      <c r="E2315" t="s">
        <v>18</v>
      </c>
      <c r="F2315" s="2">
        <v>31</v>
      </c>
      <c r="G2315" t="s">
        <v>160</v>
      </c>
      <c r="H2315" t="s">
        <v>31</v>
      </c>
      <c r="I2315" t="s">
        <v>40</v>
      </c>
      <c r="J2315" t="s">
        <v>57</v>
      </c>
      <c r="K2315">
        <v>4.7</v>
      </c>
      <c r="L2315" t="s">
        <v>23</v>
      </c>
      <c r="M2315" t="s">
        <v>79</v>
      </c>
      <c r="N2315" t="s">
        <v>23</v>
      </c>
      <c r="O2315">
        <v>36</v>
      </c>
      <c r="P2315" t="s">
        <v>88</v>
      </c>
      <c r="Q2315" t="s">
        <v>89</v>
      </c>
      <c r="R2315" s="1">
        <v>0.1</v>
      </c>
      <c r="S2315">
        <f t="shared" si="144"/>
        <v>27.9</v>
      </c>
      <c r="T2315">
        <f>IFERROR(VLOOKUP(A2315,Table1[[Customer ID]:[Discount Amount]], 6, FALSE),"Not Found")</f>
        <v>31</v>
      </c>
      <c r="U2315" t="str">
        <f t="shared" si="145"/>
        <v>Bank Transfer</v>
      </c>
      <c r="V2315" s="4" t="str">
        <f t="shared" si="146"/>
        <v>Normal</v>
      </c>
      <c r="W2315" s="4" t="str">
        <f t="shared" si="147"/>
        <v>Good</v>
      </c>
      <c r="X2315" s="4">
        <f>AVERAGE(Table1[Purchase Amount])</f>
        <v>129.48419400000012</v>
      </c>
    </row>
    <row r="2316" spans="1:24" ht="15" customHeight="1" x14ac:dyDescent="0.25">
      <c r="A2316">
        <v>2315</v>
      </c>
      <c r="B2316">
        <v>42</v>
      </c>
      <c r="C2316" t="s">
        <v>27</v>
      </c>
      <c r="D2316" t="s">
        <v>69</v>
      </c>
      <c r="E2316" t="s">
        <v>29</v>
      </c>
      <c r="F2316" s="2">
        <v>95</v>
      </c>
      <c r="G2316" t="s">
        <v>138</v>
      </c>
      <c r="H2316" t="s">
        <v>20</v>
      </c>
      <c r="I2316" t="s">
        <v>60</v>
      </c>
      <c r="J2316" t="s">
        <v>22</v>
      </c>
      <c r="K2316">
        <v>4.4000000000000004</v>
      </c>
      <c r="L2316" t="s">
        <v>23</v>
      </c>
      <c r="M2316" t="s">
        <v>61</v>
      </c>
      <c r="N2316" t="s">
        <v>23</v>
      </c>
      <c r="O2316">
        <v>12</v>
      </c>
      <c r="P2316" t="s">
        <v>88</v>
      </c>
      <c r="Q2316" t="s">
        <v>63</v>
      </c>
      <c r="R2316" s="1">
        <v>0.1</v>
      </c>
      <c r="S2316">
        <f t="shared" si="144"/>
        <v>85.5</v>
      </c>
      <c r="T2316">
        <f>IFERROR(VLOOKUP(A2316,Table1[[Customer ID]:[Discount Amount]], 6, FALSE),"Not Found")</f>
        <v>95</v>
      </c>
      <c r="U2316" t="str">
        <f t="shared" si="145"/>
        <v>Bank Transfer</v>
      </c>
      <c r="V2316" s="4" t="str">
        <f t="shared" si="146"/>
        <v>Normal</v>
      </c>
      <c r="W2316" s="4" t="str">
        <f t="shared" si="147"/>
        <v>Good</v>
      </c>
      <c r="X2316" s="4">
        <f>AVERAGE(Table1[Purchase Amount])</f>
        <v>129.48419400000012</v>
      </c>
    </row>
    <row r="2317" spans="1:24" ht="15" customHeight="1" x14ac:dyDescent="0.25">
      <c r="A2317">
        <v>2316</v>
      </c>
      <c r="B2317">
        <v>69</v>
      </c>
      <c r="C2317" t="s">
        <v>27</v>
      </c>
      <c r="D2317" t="s">
        <v>105</v>
      </c>
      <c r="E2317" t="s">
        <v>18</v>
      </c>
      <c r="F2317" s="2">
        <v>79</v>
      </c>
      <c r="G2317" t="s">
        <v>84</v>
      </c>
      <c r="H2317" t="s">
        <v>31</v>
      </c>
      <c r="I2317" t="s">
        <v>91</v>
      </c>
      <c r="J2317" t="s">
        <v>22</v>
      </c>
      <c r="K2317">
        <v>3.5</v>
      </c>
      <c r="L2317" t="s">
        <v>23</v>
      </c>
      <c r="M2317" t="s">
        <v>41</v>
      </c>
      <c r="N2317" t="s">
        <v>23</v>
      </c>
      <c r="O2317">
        <v>49</v>
      </c>
      <c r="P2317" t="s">
        <v>36</v>
      </c>
      <c r="Q2317" t="s">
        <v>37</v>
      </c>
      <c r="R2317" s="1">
        <v>0.1</v>
      </c>
      <c r="S2317">
        <f t="shared" si="144"/>
        <v>71.099999999999994</v>
      </c>
      <c r="T2317">
        <f>IFERROR(VLOOKUP(A2317,Table1[[Customer ID]:[Discount Amount]], 6, FALSE),"Not Found")</f>
        <v>79</v>
      </c>
      <c r="U2317" t="str">
        <f t="shared" si="145"/>
        <v>Debit Card</v>
      </c>
      <c r="V2317" s="4" t="str">
        <f t="shared" si="146"/>
        <v>Normal</v>
      </c>
      <c r="W2317" s="4" t="str">
        <f t="shared" si="147"/>
        <v>Good</v>
      </c>
      <c r="X2317" s="4">
        <f>AVERAGE(Table1[Purchase Amount])</f>
        <v>129.48419400000012</v>
      </c>
    </row>
    <row r="2318" spans="1:24" ht="15" customHeight="1" x14ac:dyDescent="0.25">
      <c r="A2318">
        <v>2317</v>
      </c>
      <c r="B2318">
        <v>28</v>
      </c>
      <c r="C2318" t="s">
        <v>27</v>
      </c>
      <c r="D2318" t="s">
        <v>140</v>
      </c>
      <c r="E2318" t="s">
        <v>98</v>
      </c>
      <c r="F2318" s="2">
        <v>39</v>
      </c>
      <c r="G2318" t="s">
        <v>39</v>
      </c>
      <c r="H2318" t="s">
        <v>45</v>
      </c>
      <c r="I2318" t="s">
        <v>52</v>
      </c>
      <c r="J2318" t="s">
        <v>22</v>
      </c>
      <c r="K2318">
        <v>3.8</v>
      </c>
      <c r="L2318" t="s">
        <v>23</v>
      </c>
      <c r="M2318" t="s">
        <v>24</v>
      </c>
      <c r="N2318" t="s">
        <v>23</v>
      </c>
      <c r="O2318">
        <v>7</v>
      </c>
      <c r="P2318" t="s">
        <v>36</v>
      </c>
      <c r="Q2318" t="s">
        <v>49</v>
      </c>
      <c r="R2318" s="1">
        <v>0.1</v>
      </c>
      <c r="S2318">
        <f t="shared" si="144"/>
        <v>35.1</v>
      </c>
      <c r="T2318">
        <f>IFERROR(VLOOKUP(A2318,Table1[[Customer ID]:[Discount Amount]], 6, FALSE),"Not Found")</f>
        <v>39</v>
      </c>
      <c r="U2318" t="str">
        <f t="shared" si="145"/>
        <v>Debit Card</v>
      </c>
      <c r="V2318" s="4" t="str">
        <f t="shared" si="146"/>
        <v>Normal</v>
      </c>
      <c r="W2318" s="4" t="str">
        <f t="shared" si="147"/>
        <v>Good</v>
      </c>
      <c r="X2318" s="4">
        <f>AVERAGE(Table1[Purchase Amount])</f>
        <v>129.48419400000012</v>
      </c>
    </row>
    <row r="2319" spans="1:24" ht="15" customHeight="1" x14ac:dyDescent="0.25">
      <c r="A2319">
        <v>2318</v>
      </c>
      <c r="B2319">
        <v>47</v>
      </c>
      <c r="C2319" t="s">
        <v>27</v>
      </c>
      <c r="D2319" t="s">
        <v>96</v>
      </c>
      <c r="E2319" t="s">
        <v>77</v>
      </c>
      <c r="F2319" s="2">
        <v>34</v>
      </c>
      <c r="G2319" t="s">
        <v>131</v>
      </c>
      <c r="H2319" t="s">
        <v>31</v>
      </c>
      <c r="I2319" t="s">
        <v>66</v>
      </c>
      <c r="J2319" t="s">
        <v>57</v>
      </c>
      <c r="K2319">
        <v>4.7</v>
      </c>
      <c r="L2319" t="s">
        <v>23</v>
      </c>
      <c r="M2319" t="s">
        <v>79</v>
      </c>
      <c r="N2319" t="s">
        <v>23</v>
      </c>
      <c r="O2319">
        <v>28</v>
      </c>
      <c r="P2319" t="s">
        <v>88</v>
      </c>
      <c r="Q2319" t="s">
        <v>42</v>
      </c>
      <c r="R2319" s="1">
        <v>0.1</v>
      </c>
      <c r="S2319">
        <f t="shared" si="144"/>
        <v>30.6</v>
      </c>
      <c r="T2319">
        <f>IFERROR(VLOOKUP(A2319,Table1[[Customer ID]:[Discount Amount]], 6, FALSE),"Not Found")</f>
        <v>34</v>
      </c>
      <c r="U2319" t="str">
        <f t="shared" si="145"/>
        <v>Bank Transfer</v>
      </c>
      <c r="V2319" s="4" t="str">
        <f t="shared" si="146"/>
        <v>Normal</v>
      </c>
      <c r="W2319" s="4" t="str">
        <f t="shared" si="147"/>
        <v>Good</v>
      </c>
      <c r="X2319" s="4">
        <f>AVERAGE(Table1[Purchase Amount])</f>
        <v>129.48419400000012</v>
      </c>
    </row>
    <row r="2320" spans="1:24" ht="15" customHeight="1" x14ac:dyDescent="0.25">
      <c r="A2320">
        <v>2319</v>
      </c>
      <c r="B2320">
        <v>69</v>
      </c>
      <c r="C2320" t="s">
        <v>27</v>
      </c>
      <c r="D2320" t="s">
        <v>83</v>
      </c>
      <c r="E2320" t="s">
        <v>18</v>
      </c>
      <c r="F2320" s="2">
        <v>28</v>
      </c>
      <c r="G2320" t="s">
        <v>162</v>
      </c>
      <c r="H2320" t="s">
        <v>45</v>
      </c>
      <c r="I2320" t="s">
        <v>32</v>
      </c>
      <c r="J2320" t="s">
        <v>33</v>
      </c>
      <c r="K2320">
        <v>3.1</v>
      </c>
      <c r="L2320" t="s">
        <v>23</v>
      </c>
      <c r="M2320" t="s">
        <v>48</v>
      </c>
      <c r="N2320" t="s">
        <v>23</v>
      </c>
      <c r="O2320">
        <v>30</v>
      </c>
      <c r="P2320" t="s">
        <v>53</v>
      </c>
      <c r="Q2320" t="s">
        <v>49</v>
      </c>
      <c r="R2320" s="1">
        <v>0.1</v>
      </c>
      <c r="S2320">
        <f t="shared" si="144"/>
        <v>25.2</v>
      </c>
      <c r="T2320">
        <f>IFERROR(VLOOKUP(A2320,Table1[[Customer ID]:[Discount Amount]], 6, FALSE),"Not Found")</f>
        <v>28</v>
      </c>
      <c r="U2320" t="str">
        <f t="shared" si="145"/>
        <v>Credit Card</v>
      </c>
      <c r="V2320" s="4" t="str">
        <f t="shared" si="146"/>
        <v>Normal</v>
      </c>
      <c r="W2320" s="4" t="str">
        <f t="shared" si="147"/>
        <v>Good</v>
      </c>
      <c r="X2320" s="4">
        <f>AVERAGE(Table1[Purchase Amount])</f>
        <v>129.48419400000012</v>
      </c>
    </row>
    <row r="2321" spans="1:24" ht="15" customHeight="1" x14ac:dyDescent="0.25">
      <c r="A2321">
        <v>2320</v>
      </c>
      <c r="B2321">
        <v>56</v>
      </c>
      <c r="C2321" t="s">
        <v>27</v>
      </c>
      <c r="D2321" t="s">
        <v>121</v>
      </c>
      <c r="E2321" t="s">
        <v>98</v>
      </c>
      <c r="F2321" s="2">
        <v>38</v>
      </c>
      <c r="G2321" t="s">
        <v>94</v>
      </c>
      <c r="H2321" t="s">
        <v>20</v>
      </c>
      <c r="I2321" t="s">
        <v>156</v>
      </c>
      <c r="J2321" t="s">
        <v>22</v>
      </c>
      <c r="K2321">
        <v>5</v>
      </c>
      <c r="L2321" t="s">
        <v>23</v>
      </c>
      <c r="M2321" t="s">
        <v>35</v>
      </c>
      <c r="N2321" t="s">
        <v>23</v>
      </c>
      <c r="O2321">
        <v>29</v>
      </c>
      <c r="P2321" t="s">
        <v>58</v>
      </c>
      <c r="Q2321" t="s">
        <v>42</v>
      </c>
      <c r="R2321" s="1">
        <v>0.1</v>
      </c>
      <c r="S2321">
        <f t="shared" si="144"/>
        <v>34.200000000000003</v>
      </c>
      <c r="T2321">
        <f>IFERROR(VLOOKUP(A2321,Table1[[Customer ID]:[Discount Amount]], 6, FALSE),"Not Found")</f>
        <v>38</v>
      </c>
      <c r="U2321" t="str">
        <f t="shared" si="145"/>
        <v>PayPal</v>
      </c>
      <c r="V2321" s="4" t="str">
        <f t="shared" si="146"/>
        <v>Normal</v>
      </c>
      <c r="W2321" s="4" t="str">
        <f t="shared" si="147"/>
        <v>Good</v>
      </c>
      <c r="X2321" s="4">
        <f>AVERAGE(Table1[Purchase Amount])</f>
        <v>129.48419400000012</v>
      </c>
    </row>
    <row r="2322" spans="1:24" ht="15" customHeight="1" x14ac:dyDescent="0.25">
      <c r="A2322">
        <v>2321</v>
      </c>
      <c r="B2322">
        <v>28</v>
      </c>
      <c r="C2322" t="s">
        <v>27</v>
      </c>
      <c r="D2322" t="s">
        <v>72</v>
      </c>
      <c r="E2322" t="s">
        <v>98</v>
      </c>
      <c r="F2322" s="2">
        <v>55</v>
      </c>
      <c r="G2322" t="s">
        <v>110</v>
      </c>
      <c r="H2322" t="s">
        <v>31</v>
      </c>
      <c r="I2322" t="s">
        <v>21</v>
      </c>
      <c r="J2322" t="s">
        <v>33</v>
      </c>
      <c r="K2322">
        <v>3.7</v>
      </c>
      <c r="L2322" t="s">
        <v>23</v>
      </c>
      <c r="M2322" t="s">
        <v>35</v>
      </c>
      <c r="N2322" t="s">
        <v>23</v>
      </c>
      <c r="O2322">
        <v>9</v>
      </c>
      <c r="P2322" t="s">
        <v>36</v>
      </c>
      <c r="Q2322" t="s">
        <v>63</v>
      </c>
      <c r="R2322" s="1">
        <v>0.1</v>
      </c>
      <c r="S2322">
        <f t="shared" si="144"/>
        <v>49.5</v>
      </c>
      <c r="T2322">
        <f>IFERROR(VLOOKUP(A2322,Table1[[Customer ID]:[Discount Amount]], 6, FALSE),"Not Found")</f>
        <v>55</v>
      </c>
      <c r="U2322" t="str">
        <f t="shared" si="145"/>
        <v>Debit Card</v>
      </c>
      <c r="V2322" s="4" t="str">
        <f t="shared" si="146"/>
        <v>Normal</v>
      </c>
      <c r="W2322" s="4" t="str">
        <f t="shared" si="147"/>
        <v>Good</v>
      </c>
      <c r="X2322" s="4">
        <f>AVERAGE(Table1[Purchase Amount])</f>
        <v>129.48419400000012</v>
      </c>
    </row>
    <row r="2323" spans="1:24" ht="15" customHeight="1" x14ac:dyDescent="0.25">
      <c r="A2323">
        <v>2322</v>
      </c>
      <c r="B2323">
        <v>50</v>
      </c>
      <c r="C2323" t="s">
        <v>27</v>
      </c>
      <c r="D2323" t="s">
        <v>121</v>
      </c>
      <c r="E2323" t="s">
        <v>98</v>
      </c>
      <c r="F2323" s="2">
        <v>31</v>
      </c>
      <c r="G2323" t="s">
        <v>92</v>
      </c>
      <c r="H2323" t="s">
        <v>31</v>
      </c>
      <c r="I2323" t="s">
        <v>56</v>
      </c>
      <c r="J2323" t="s">
        <v>22</v>
      </c>
      <c r="K2323">
        <v>3</v>
      </c>
      <c r="L2323" t="s">
        <v>23</v>
      </c>
      <c r="M2323" t="s">
        <v>79</v>
      </c>
      <c r="N2323" t="s">
        <v>23</v>
      </c>
      <c r="O2323">
        <v>27</v>
      </c>
      <c r="P2323" t="s">
        <v>36</v>
      </c>
      <c r="Q2323" t="s">
        <v>89</v>
      </c>
      <c r="R2323" s="1">
        <v>0.1</v>
      </c>
      <c r="S2323">
        <f t="shared" si="144"/>
        <v>27.9</v>
      </c>
      <c r="T2323">
        <f>IFERROR(VLOOKUP(A2323,Table1[[Customer ID]:[Discount Amount]], 6, FALSE),"Not Found")</f>
        <v>31</v>
      </c>
      <c r="U2323" t="str">
        <f t="shared" si="145"/>
        <v>Debit Card</v>
      </c>
      <c r="V2323" s="4" t="str">
        <f t="shared" si="146"/>
        <v>Normal</v>
      </c>
      <c r="W2323" s="4" t="str">
        <f t="shared" si="147"/>
        <v>Good</v>
      </c>
      <c r="X2323" s="4">
        <f>AVERAGE(Table1[Purchase Amount])</f>
        <v>129.48419400000012</v>
      </c>
    </row>
    <row r="2324" spans="1:24" ht="15" customHeight="1" x14ac:dyDescent="0.25">
      <c r="A2324">
        <v>2323</v>
      </c>
      <c r="B2324">
        <v>39</v>
      </c>
      <c r="C2324" t="s">
        <v>27</v>
      </c>
      <c r="D2324" t="s">
        <v>76</v>
      </c>
      <c r="E2324" t="s">
        <v>77</v>
      </c>
      <c r="F2324" s="2">
        <v>84</v>
      </c>
      <c r="G2324" t="s">
        <v>115</v>
      </c>
      <c r="H2324" t="s">
        <v>55</v>
      </c>
      <c r="I2324" t="s">
        <v>107</v>
      </c>
      <c r="J2324" t="s">
        <v>33</v>
      </c>
      <c r="K2324">
        <v>4.5</v>
      </c>
      <c r="L2324" t="s">
        <v>23</v>
      </c>
      <c r="M2324" t="s">
        <v>48</v>
      </c>
      <c r="N2324" t="s">
        <v>23</v>
      </c>
      <c r="O2324">
        <v>21</v>
      </c>
      <c r="P2324" t="s">
        <v>62</v>
      </c>
      <c r="Q2324" t="s">
        <v>89</v>
      </c>
      <c r="R2324" s="1">
        <v>0.1</v>
      </c>
      <c r="S2324">
        <f t="shared" si="144"/>
        <v>75.599999999999994</v>
      </c>
      <c r="T2324">
        <f>IFERROR(VLOOKUP(A2324,Table1[[Customer ID]:[Discount Amount]], 6, FALSE),"Not Found")</f>
        <v>84</v>
      </c>
      <c r="U2324" t="str">
        <f t="shared" si="145"/>
        <v>Venmo</v>
      </c>
      <c r="V2324" s="4" t="str">
        <f t="shared" si="146"/>
        <v>Normal</v>
      </c>
      <c r="W2324" s="4" t="str">
        <f t="shared" si="147"/>
        <v>Good</v>
      </c>
      <c r="X2324" s="4">
        <f>AVERAGE(Table1[Purchase Amount])</f>
        <v>129.48419400000012</v>
      </c>
    </row>
    <row r="2325" spans="1:24" ht="15" customHeight="1" x14ac:dyDescent="0.25">
      <c r="A2325">
        <v>2324</v>
      </c>
      <c r="B2325">
        <v>35</v>
      </c>
      <c r="C2325" t="s">
        <v>27</v>
      </c>
      <c r="D2325" t="s">
        <v>43</v>
      </c>
      <c r="E2325" t="s">
        <v>29</v>
      </c>
      <c r="F2325" s="2">
        <v>93</v>
      </c>
      <c r="G2325" t="s">
        <v>106</v>
      </c>
      <c r="H2325" t="s">
        <v>45</v>
      </c>
      <c r="I2325" t="s">
        <v>32</v>
      </c>
      <c r="J2325" t="s">
        <v>22</v>
      </c>
      <c r="K2325">
        <v>4.7</v>
      </c>
      <c r="L2325" t="s">
        <v>23</v>
      </c>
      <c r="M2325" t="s">
        <v>61</v>
      </c>
      <c r="N2325" t="s">
        <v>23</v>
      </c>
      <c r="O2325">
        <v>36</v>
      </c>
      <c r="P2325" t="s">
        <v>53</v>
      </c>
      <c r="Q2325" t="s">
        <v>42</v>
      </c>
      <c r="R2325" s="1">
        <v>0.1</v>
      </c>
      <c r="S2325">
        <f t="shared" si="144"/>
        <v>83.7</v>
      </c>
      <c r="T2325">
        <f>IFERROR(VLOOKUP(A2325,Table1[[Customer ID]:[Discount Amount]], 6, FALSE),"Not Found")</f>
        <v>93</v>
      </c>
      <c r="U2325" t="str">
        <f t="shared" si="145"/>
        <v>Credit Card</v>
      </c>
      <c r="V2325" s="4" t="str">
        <f t="shared" si="146"/>
        <v>Normal</v>
      </c>
      <c r="W2325" s="4" t="str">
        <f t="shared" si="147"/>
        <v>Good</v>
      </c>
      <c r="X2325" s="4">
        <f>AVERAGE(Table1[Purchase Amount])</f>
        <v>129.48419400000012</v>
      </c>
    </row>
    <row r="2326" spans="1:24" ht="15" customHeight="1" x14ac:dyDescent="0.25">
      <c r="A2326">
        <v>2325</v>
      </c>
      <c r="B2326">
        <v>59</v>
      </c>
      <c r="C2326" t="s">
        <v>27</v>
      </c>
      <c r="D2326" t="s">
        <v>76</v>
      </c>
      <c r="E2326" t="s">
        <v>77</v>
      </c>
      <c r="F2326" s="2">
        <v>28</v>
      </c>
      <c r="G2326" t="s">
        <v>123</v>
      </c>
      <c r="H2326" t="s">
        <v>45</v>
      </c>
      <c r="I2326" t="s">
        <v>60</v>
      </c>
      <c r="J2326" t="s">
        <v>22</v>
      </c>
      <c r="K2326">
        <v>3.5</v>
      </c>
      <c r="L2326" t="s">
        <v>23</v>
      </c>
      <c r="M2326" t="s">
        <v>35</v>
      </c>
      <c r="N2326" t="s">
        <v>23</v>
      </c>
      <c r="O2326">
        <v>19</v>
      </c>
      <c r="P2326" t="s">
        <v>36</v>
      </c>
      <c r="Q2326" t="s">
        <v>49</v>
      </c>
      <c r="R2326" s="1">
        <v>0.1</v>
      </c>
      <c r="S2326">
        <f t="shared" si="144"/>
        <v>25.2</v>
      </c>
      <c r="T2326">
        <f>IFERROR(VLOOKUP(A2326,Table1[[Customer ID]:[Discount Amount]], 6, FALSE),"Not Found")</f>
        <v>28</v>
      </c>
      <c r="U2326" t="str">
        <f t="shared" si="145"/>
        <v>Debit Card</v>
      </c>
      <c r="V2326" s="4" t="str">
        <f t="shared" si="146"/>
        <v>Normal</v>
      </c>
      <c r="W2326" s="4" t="str">
        <f t="shared" si="147"/>
        <v>Good</v>
      </c>
      <c r="X2326" s="4">
        <f>AVERAGE(Table1[Purchase Amount])</f>
        <v>129.48419400000012</v>
      </c>
    </row>
    <row r="2327" spans="1:24" ht="15" customHeight="1" x14ac:dyDescent="0.25">
      <c r="A2327">
        <v>2326</v>
      </c>
      <c r="B2327">
        <v>44</v>
      </c>
      <c r="C2327" t="s">
        <v>27</v>
      </c>
      <c r="D2327" t="s">
        <v>151</v>
      </c>
      <c r="E2327" t="s">
        <v>98</v>
      </c>
      <c r="F2327" s="2">
        <v>55</v>
      </c>
      <c r="G2327" t="s">
        <v>101</v>
      </c>
      <c r="H2327" t="s">
        <v>31</v>
      </c>
      <c r="I2327" t="s">
        <v>103</v>
      </c>
      <c r="J2327" t="s">
        <v>57</v>
      </c>
      <c r="K2327">
        <v>4.4000000000000004</v>
      </c>
      <c r="L2327" t="s">
        <v>23</v>
      </c>
      <c r="M2327" t="s">
        <v>41</v>
      </c>
      <c r="N2327" t="s">
        <v>23</v>
      </c>
      <c r="O2327">
        <v>47</v>
      </c>
      <c r="P2327" t="s">
        <v>25</v>
      </c>
      <c r="Q2327" t="s">
        <v>26</v>
      </c>
      <c r="R2327" s="1">
        <v>0.1</v>
      </c>
      <c r="S2327">
        <f t="shared" si="144"/>
        <v>49.5</v>
      </c>
      <c r="T2327">
        <f>IFERROR(VLOOKUP(A2327,Table1[[Customer ID]:[Discount Amount]], 6, FALSE),"Not Found")</f>
        <v>55</v>
      </c>
      <c r="U2327" t="str">
        <f t="shared" si="145"/>
        <v>Cash</v>
      </c>
      <c r="V2327" s="4" t="str">
        <f t="shared" si="146"/>
        <v>Normal</v>
      </c>
      <c r="W2327" s="4" t="str">
        <f t="shared" si="147"/>
        <v>Good</v>
      </c>
      <c r="X2327" s="4">
        <f>AVERAGE(Table1[Purchase Amount])</f>
        <v>129.48419400000012</v>
      </c>
    </row>
    <row r="2328" spans="1:24" ht="15" customHeight="1" x14ac:dyDescent="0.25">
      <c r="A2328">
        <v>2327</v>
      </c>
      <c r="B2328">
        <v>66</v>
      </c>
      <c r="C2328" t="s">
        <v>27</v>
      </c>
      <c r="D2328" t="s">
        <v>122</v>
      </c>
      <c r="E2328" t="s">
        <v>18</v>
      </c>
      <c r="F2328" s="2">
        <v>63</v>
      </c>
      <c r="G2328" t="s">
        <v>142</v>
      </c>
      <c r="H2328" t="s">
        <v>45</v>
      </c>
      <c r="I2328" t="s">
        <v>125</v>
      </c>
      <c r="J2328" t="s">
        <v>22</v>
      </c>
      <c r="K2328">
        <v>2.6</v>
      </c>
      <c r="L2328" t="s">
        <v>23</v>
      </c>
      <c r="M2328" t="s">
        <v>24</v>
      </c>
      <c r="N2328" t="s">
        <v>23</v>
      </c>
      <c r="O2328">
        <v>38</v>
      </c>
      <c r="P2328" t="s">
        <v>88</v>
      </c>
      <c r="Q2328" t="s">
        <v>49</v>
      </c>
      <c r="R2328" s="1">
        <v>0.1</v>
      </c>
      <c r="S2328">
        <f t="shared" si="144"/>
        <v>56.7</v>
      </c>
      <c r="T2328">
        <f>IFERROR(VLOOKUP(A2328,Table1[[Customer ID]:[Discount Amount]], 6, FALSE),"Not Found")</f>
        <v>63</v>
      </c>
      <c r="U2328" t="str">
        <f t="shared" si="145"/>
        <v>Bank Transfer</v>
      </c>
      <c r="V2328" s="4" t="str">
        <f t="shared" si="146"/>
        <v>Normal</v>
      </c>
      <c r="W2328" s="4" t="str">
        <f t="shared" si="147"/>
        <v>Poor</v>
      </c>
      <c r="X2328" s="4">
        <f>AVERAGE(Table1[Purchase Amount])</f>
        <v>129.48419400000012</v>
      </c>
    </row>
    <row r="2329" spans="1:24" ht="15" customHeight="1" x14ac:dyDescent="0.25">
      <c r="A2329">
        <v>2328</v>
      </c>
      <c r="B2329">
        <v>20</v>
      </c>
      <c r="C2329" t="s">
        <v>27</v>
      </c>
      <c r="D2329" t="s">
        <v>122</v>
      </c>
      <c r="E2329" t="s">
        <v>18</v>
      </c>
      <c r="F2329" s="2">
        <v>94</v>
      </c>
      <c r="G2329" t="s">
        <v>51</v>
      </c>
      <c r="H2329" t="s">
        <v>31</v>
      </c>
      <c r="I2329" t="s">
        <v>46</v>
      </c>
      <c r="J2329" t="s">
        <v>22</v>
      </c>
      <c r="K2329">
        <v>4.2</v>
      </c>
      <c r="L2329" t="s">
        <v>23</v>
      </c>
      <c r="M2329" t="s">
        <v>41</v>
      </c>
      <c r="N2329" t="s">
        <v>23</v>
      </c>
      <c r="O2329">
        <v>22</v>
      </c>
      <c r="P2329" t="s">
        <v>62</v>
      </c>
      <c r="Q2329" t="s">
        <v>68</v>
      </c>
      <c r="R2329" s="1">
        <v>0.1</v>
      </c>
      <c r="S2329">
        <f t="shared" si="144"/>
        <v>84.6</v>
      </c>
      <c r="T2329">
        <f>IFERROR(VLOOKUP(A2329,Table1[[Customer ID]:[Discount Amount]], 6, FALSE),"Not Found")</f>
        <v>94</v>
      </c>
      <c r="U2329" t="str">
        <f t="shared" si="145"/>
        <v>Venmo</v>
      </c>
      <c r="V2329" s="4" t="str">
        <f t="shared" si="146"/>
        <v>Normal</v>
      </c>
      <c r="W2329" s="4" t="str">
        <f t="shared" si="147"/>
        <v>Good</v>
      </c>
      <c r="X2329" s="4">
        <f>AVERAGE(Table1[Purchase Amount])</f>
        <v>129.48419400000012</v>
      </c>
    </row>
    <row r="2330" spans="1:24" ht="15" customHeight="1" x14ac:dyDescent="0.25">
      <c r="A2330">
        <v>2329</v>
      </c>
      <c r="B2330">
        <v>45</v>
      </c>
      <c r="C2330" t="s">
        <v>27</v>
      </c>
      <c r="D2330" t="s">
        <v>99</v>
      </c>
      <c r="E2330" t="s">
        <v>18</v>
      </c>
      <c r="F2330" s="2">
        <v>36</v>
      </c>
      <c r="G2330" t="s">
        <v>86</v>
      </c>
      <c r="H2330" t="s">
        <v>31</v>
      </c>
      <c r="I2330" t="s">
        <v>125</v>
      </c>
      <c r="J2330" t="s">
        <v>47</v>
      </c>
      <c r="K2330">
        <v>2.6</v>
      </c>
      <c r="L2330" t="s">
        <v>23</v>
      </c>
      <c r="M2330" t="s">
        <v>61</v>
      </c>
      <c r="N2330" t="s">
        <v>23</v>
      </c>
      <c r="O2330">
        <v>29</v>
      </c>
      <c r="P2330" t="s">
        <v>62</v>
      </c>
      <c r="Q2330" t="s">
        <v>68</v>
      </c>
      <c r="R2330" s="1">
        <v>0.1</v>
      </c>
      <c r="S2330">
        <f t="shared" si="144"/>
        <v>32.4</v>
      </c>
      <c r="T2330">
        <f>IFERROR(VLOOKUP(A2330,Table1[[Customer ID]:[Discount Amount]], 6, FALSE),"Not Found")</f>
        <v>36</v>
      </c>
      <c r="U2330" t="str">
        <f t="shared" si="145"/>
        <v>Venmo</v>
      </c>
      <c r="V2330" s="4" t="str">
        <f t="shared" si="146"/>
        <v>Normal</v>
      </c>
      <c r="W2330" s="4" t="str">
        <f t="shared" si="147"/>
        <v>Poor</v>
      </c>
      <c r="X2330" s="4">
        <f>AVERAGE(Table1[Purchase Amount])</f>
        <v>129.48419400000012</v>
      </c>
    </row>
    <row r="2331" spans="1:24" ht="15" customHeight="1" x14ac:dyDescent="0.25">
      <c r="A2331">
        <v>2330</v>
      </c>
      <c r="B2331">
        <v>49</v>
      </c>
      <c r="C2331" t="s">
        <v>27</v>
      </c>
      <c r="D2331" t="s">
        <v>64</v>
      </c>
      <c r="E2331" t="s">
        <v>29</v>
      </c>
      <c r="F2331" s="2">
        <v>97</v>
      </c>
      <c r="G2331" t="s">
        <v>137</v>
      </c>
      <c r="H2331" t="s">
        <v>55</v>
      </c>
      <c r="I2331" t="s">
        <v>147</v>
      </c>
      <c r="J2331" t="s">
        <v>33</v>
      </c>
      <c r="K2331">
        <v>4.8</v>
      </c>
      <c r="L2331" t="s">
        <v>23</v>
      </c>
      <c r="M2331" t="s">
        <v>35</v>
      </c>
      <c r="N2331" t="s">
        <v>23</v>
      </c>
      <c r="O2331">
        <v>42</v>
      </c>
      <c r="P2331" t="s">
        <v>88</v>
      </c>
      <c r="Q2331" t="s">
        <v>49</v>
      </c>
      <c r="R2331" s="1">
        <v>0.1</v>
      </c>
      <c r="S2331">
        <f t="shared" si="144"/>
        <v>87.3</v>
      </c>
      <c r="T2331">
        <f>IFERROR(VLOOKUP(A2331,Table1[[Customer ID]:[Discount Amount]], 6, FALSE),"Not Found")</f>
        <v>97</v>
      </c>
      <c r="U2331" t="str">
        <f t="shared" si="145"/>
        <v>Bank Transfer</v>
      </c>
      <c r="V2331" s="4" t="str">
        <f t="shared" si="146"/>
        <v>Normal</v>
      </c>
      <c r="W2331" s="4" t="str">
        <f t="shared" si="147"/>
        <v>Good</v>
      </c>
      <c r="X2331" s="4">
        <f>AVERAGE(Table1[Purchase Amount])</f>
        <v>129.48419400000012</v>
      </c>
    </row>
    <row r="2332" spans="1:24" ht="15" customHeight="1" x14ac:dyDescent="0.25">
      <c r="A2332">
        <v>2331</v>
      </c>
      <c r="B2332">
        <v>60</v>
      </c>
      <c r="C2332" t="s">
        <v>27</v>
      </c>
      <c r="D2332" t="s">
        <v>104</v>
      </c>
      <c r="E2332" t="s">
        <v>29</v>
      </c>
      <c r="F2332" s="2">
        <v>63</v>
      </c>
      <c r="G2332" t="s">
        <v>150</v>
      </c>
      <c r="H2332" t="s">
        <v>45</v>
      </c>
      <c r="I2332" t="s">
        <v>108</v>
      </c>
      <c r="J2332" t="s">
        <v>57</v>
      </c>
      <c r="K2332">
        <v>2.9</v>
      </c>
      <c r="L2332" t="s">
        <v>23</v>
      </c>
      <c r="M2332" t="s">
        <v>48</v>
      </c>
      <c r="N2332" t="s">
        <v>23</v>
      </c>
      <c r="O2332">
        <v>47</v>
      </c>
      <c r="P2332" t="s">
        <v>58</v>
      </c>
      <c r="Q2332" t="s">
        <v>63</v>
      </c>
      <c r="R2332" s="1">
        <v>0.1</v>
      </c>
      <c r="S2332">
        <f t="shared" si="144"/>
        <v>56.7</v>
      </c>
      <c r="T2332">
        <f>IFERROR(VLOOKUP(A2332,Table1[[Customer ID]:[Discount Amount]], 6, FALSE),"Not Found")</f>
        <v>63</v>
      </c>
      <c r="U2332" t="str">
        <f t="shared" si="145"/>
        <v>PayPal</v>
      </c>
      <c r="V2332" s="4" t="str">
        <f t="shared" si="146"/>
        <v>Normal</v>
      </c>
      <c r="W2332" s="4" t="str">
        <f t="shared" si="147"/>
        <v>Poor</v>
      </c>
      <c r="X2332" s="4">
        <f>AVERAGE(Table1[Purchase Amount])</f>
        <v>129.48419400000012</v>
      </c>
    </row>
    <row r="2333" spans="1:24" ht="15" customHeight="1" x14ac:dyDescent="0.25">
      <c r="A2333">
        <v>2332</v>
      </c>
      <c r="B2333">
        <v>61</v>
      </c>
      <c r="C2333" t="s">
        <v>27</v>
      </c>
      <c r="D2333" t="s">
        <v>129</v>
      </c>
      <c r="E2333" t="s">
        <v>29</v>
      </c>
      <c r="F2333" s="2">
        <v>77</v>
      </c>
      <c r="G2333" t="s">
        <v>44</v>
      </c>
      <c r="H2333" t="s">
        <v>55</v>
      </c>
      <c r="I2333" t="s">
        <v>21</v>
      </c>
      <c r="J2333" t="s">
        <v>33</v>
      </c>
      <c r="K2333">
        <v>4.3</v>
      </c>
      <c r="L2333" t="s">
        <v>23</v>
      </c>
      <c r="M2333" t="s">
        <v>41</v>
      </c>
      <c r="N2333" t="s">
        <v>23</v>
      </c>
      <c r="O2333">
        <v>10</v>
      </c>
      <c r="P2333" t="s">
        <v>53</v>
      </c>
      <c r="Q2333" t="s">
        <v>68</v>
      </c>
      <c r="R2333" s="1">
        <v>0.1</v>
      </c>
      <c r="S2333">
        <f t="shared" si="144"/>
        <v>69.3</v>
      </c>
      <c r="T2333">
        <f>IFERROR(VLOOKUP(A2333,Table1[[Customer ID]:[Discount Amount]], 6, FALSE),"Not Found")</f>
        <v>77</v>
      </c>
      <c r="U2333" t="str">
        <f t="shared" si="145"/>
        <v>Credit Card</v>
      </c>
      <c r="V2333" s="4" t="str">
        <f t="shared" si="146"/>
        <v>Normal</v>
      </c>
      <c r="W2333" s="4" t="str">
        <f t="shared" si="147"/>
        <v>Good</v>
      </c>
      <c r="X2333" s="4">
        <f>AVERAGE(Table1[Purchase Amount])</f>
        <v>129.48419400000012</v>
      </c>
    </row>
    <row r="2334" spans="1:24" ht="15" customHeight="1" x14ac:dyDescent="0.25">
      <c r="A2334">
        <v>2333</v>
      </c>
      <c r="B2334">
        <v>36</v>
      </c>
      <c r="C2334" t="s">
        <v>27</v>
      </c>
      <c r="D2334" t="s">
        <v>129</v>
      </c>
      <c r="E2334" t="s">
        <v>29</v>
      </c>
      <c r="F2334" s="2">
        <v>53</v>
      </c>
      <c r="G2334" t="s">
        <v>30</v>
      </c>
      <c r="H2334" t="s">
        <v>20</v>
      </c>
      <c r="I2334" t="s">
        <v>21</v>
      </c>
      <c r="J2334" t="s">
        <v>47</v>
      </c>
      <c r="K2334">
        <v>2.6</v>
      </c>
      <c r="L2334" t="s">
        <v>23</v>
      </c>
      <c r="M2334" t="s">
        <v>48</v>
      </c>
      <c r="N2334" t="s">
        <v>23</v>
      </c>
      <c r="O2334">
        <v>10</v>
      </c>
      <c r="P2334" t="s">
        <v>62</v>
      </c>
      <c r="Q2334" t="s">
        <v>42</v>
      </c>
      <c r="R2334" s="1">
        <v>0.1</v>
      </c>
      <c r="S2334">
        <f t="shared" si="144"/>
        <v>47.7</v>
      </c>
      <c r="T2334">
        <f>IFERROR(VLOOKUP(A2334,Table1[[Customer ID]:[Discount Amount]], 6, FALSE),"Not Found")</f>
        <v>53</v>
      </c>
      <c r="U2334" t="str">
        <f t="shared" si="145"/>
        <v>Venmo</v>
      </c>
      <c r="V2334" s="4" t="str">
        <f t="shared" si="146"/>
        <v>Normal</v>
      </c>
      <c r="W2334" s="4" t="str">
        <f t="shared" si="147"/>
        <v>Poor</v>
      </c>
      <c r="X2334" s="4">
        <f>AVERAGE(Table1[Purchase Amount])</f>
        <v>129.48419400000012</v>
      </c>
    </row>
    <row r="2335" spans="1:24" ht="15" customHeight="1" x14ac:dyDescent="0.25">
      <c r="A2335">
        <v>2334</v>
      </c>
      <c r="B2335">
        <v>33</v>
      </c>
      <c r="C2335" t="s">
        <v>27</v>
      </c>
      <c r="D2335" t="s">
        <v>38</v>
      </c>
      <c r="E2335" t="s">
        <v>18</v>
      </c>
      <c r="F2335" s="2">
        <v>77</v>
      </c>
      <c r="G2335" t="s">
        <v>124</v>
      </c>
      <c r="H2335" t="s">
        <v>31</v>
      </c>
      <c r="I2335" t="s">
        <v>56</v>
      </c>
      <c r="J2335" t="s">
        <v>33</v>
      </c>
      <c r="K2335">
        <v>3.8</v>
      </c>
      <c r="L2335" t="s">
        <v>23</v>
      </c>
      <c r="M2335" t="s">
        <v>79</v>
      </c>
      <c r="N2335" t="s">
        <v>23</v>
      </c>
      <c r="O2335">
        <v>1</v>
      </c>
      <c r="P2335" t="s">
        <v>58</v>
      </c>
      <c r="Q2335" t="s">
        <v>63</v>
      </c>
      <c r="R2335" s="1">
        <v>0.1</v>
      </c>
      <c r="S2335">
        <f t="shared" si="144"/>
        <v>69.3</v>
      </c>
      <c r="T2335">
        <f>IFERROR(VLOOKUP(A2335,Table1[[Customer ID]:[Discount Amount]], 6, FALSE),"Not Found")</f>
        <v>77</v>
      </c>
      <c r="U2335" t="str">
        <f t="shared" si="145"/>
        <v>PayPal</v>
      </c>
      <c r="V2335" s="4" t="str">
        <f t="shared" si="146"/>
        <v>Normal</v>
      </c>
      <c r="W2335" s="4" t="str">
        <f t="shared" si="147"/>
        <v>Good</v>
      </c>
      <c r="X2335" s="4">
        <f>AVERAGE(Table1[Purchase Amount])</f>
        <v>129.48419400000012</v>
      </c>
    </row>
    <row r="2336" spans="1:24" ht="15" customHeight="1" x14ac:dyDescent="0.25">
      <c r="A2336">
        <v>2335</v>
      </c>
      <c r="B2336">
        <v>49</v>
      </c>
      <c r="C2336" t="s">
        <v>27</v>
      </c>
      <c r="D2336" t="s">
        <v>151</v>
      </c>
      <c r="E2336" t="s">
        <v>98</v>
      </c>
      <c r="F2336" s="2">
        <v>79</v>
      </c>
      <c r="G2336" t="s">
        <v>124</v>
      </c>
      <c r="H2336" t="s">
        <v>45</v>
      </c>
      <c r="I2336" t="s">
        <v>93</v>
      </c>
      <c r="J2336" t="s">
        <v>57</v>
      </c>
      <c r="K2336">
        <v>4.2</v>
      </c>
      <c r="L2336" t="s">
        <v>23</v>
      </c>
      <c r="M2336" t="s">
        <v>24</v>
      </c>
      <c r="N2336" t="s">
        <v>23</v>
      </c>
      <c r="O2336">
        <v>7</v>
      </c>
      <c r="P2336" t="s">
        <v>53</v>
      </c>
      <c r="Q2336" t="s">
        <v>42</v>
      </c>
      <c r="R2336" s="1">
        <v>0.1</v>
      </c>
      <c r="S2336">
        <f t="shared" si="144"/>
        <v>71.099999999999994</v>
      </c>
      <c r="T2336">
        <f>IFERROR(VLOOKUP(A2336,Table1[[Customer ID]:[Discount Amount]], 6, FALSE),"Not Found")</f>
        <v>79</v>
      </c>
      <c r="U2336" t="str">
        <f t="shared" si="145"/>
        <v>Credit Card</v>
      </c>
      <c r="V2336" s="4" t="str">
        <f t="shared" si="146"/>
        <v>Normal</v>
      </c>
      <c r="W2336" s="4" t="str">
        <f t="shared" si="147"/>
        <v>Good</v>
      </c>
      <c r="X2336" s="4">
        <f>AVERAGE(Table1[Purchase Amount])</f>
        <v>129.48419400000012</v>
      </c>
    </row>
    <row r="2337" spans="1:24" ht="15" customHeight="1" x14ac:dyDescent="0.25">
      <c r="A2337">
        <v>2336</v>
      </c>
      <c r="B2337">
        <v>31</v>
      </c>
      <c r="C2337" t="s">
        <v>27</v>
      </c>
      <c r="D2337" t="s">
        <v>76</v>
      </c>
      <c r="E2337" t="s">
        <v>77</v>
      </c>
      <c r="F2337" s="2">
        <v>37</v>
      </c>
      <c r="G2337" t="s">
        <v>161</v>
      </c>
      <c r="H2337" t="s">
        <v>31</v>
      </c>
      <c r="I2337" t="s">
        <v>40</v>
      </c>
      <c r="J2337" t="s">
        <v>57</v>
      </c>
      <c r="K2337">
        <v>3.9</v>
      </c>
      <c r="L2337" t="s">
        <v>23</v>
      </c>
      <c r="M2337" t="s">
        <v>48</v>
      </c>
      <c r="N2337" t="s">
        <v>23</v>
      </c>
      <c r="O2337">
        <v>10</v>
      </c>
      <c r="P2337" t="s">
        <v>62</v>
      </c>
      <c r="Q2337" t="s">
        <v>89</v>
      </c>
      <c r="R2337" s="1">
        <v>0.1</v>
      </c>
      <c r="S2337">
        <f t="shared" si="144"/>
        <v>33.299999999999997</v>
      </c>
      <c r="T2337">
        <f>IFERROR(VLOOKUP(A2337,Table1[[Customer ID]:[Discount Amount]], 6, FALSE),"Not Found")</f>
        <v>37</v>
      </c>
      <c r="U2337" t="str">
        <f t="shared" si="145"/>
        <v>Venmo</v>
      </c>
      <c r="V2337" s="4" t="str">
        <f t="shared" si="146"/>
        <v>Normal</v>
      </c>
      <c r="W2337" s="4" t="str">
        <f t="shared" si="147"/>
        <v>Good</v>
      </c>
      <c r="X2337" s="4">
        <f>AVERAGE(Table1[Purchase Amount])</f>
        <v>129.48419400000012</v>
      </c>
    </row>
    <row r="2338" spans="1:24" ht="15" customHeight="1" x14ac:dyDescent="0.25">
      <c r="A2338">
        <v>2337</v>
      </c>
      <c r="B2338">
        <v>19</v>
      </c>
      <c r="C2338" t="s">
        <v>27</v>
      </c>
      <c r="D2338" t="s">
        <v>114</v>
      </c>
      <c r="E2338" t="s">
        <v>29</v>
      </c>
      <c r="F2338" s="2">
        <v>94</v>
      </c>
      <c r="G2338" t="s">
        <v>19</v>
      </c>
      <c r="H2338" t="s">
        <v>31</v>
      </c>
      <c r="I2338" t="s">
        <v>93</v>
      </c>
      <c r="J2338" t="s">
        <v>22</v>
      </c>
      <c r="K2338">
        <v>3.1</v>
      </c>
      <c r="L2338" t="s">
        <v>23</v>
      </c>
      <c r="M2338" t="s">
        <v>35</v>
      </c>
      <c r="N2338" t="s">
        <v>23</v>
      </c>
      <c r="O2338">
        <v>11</v>
      </c>
      <c r="P2338" t="s">
        <v>53</v>
      </c>
      <c r="Q2338" t="s">
        <v>26</v>
      </c>
      <c r="R2338" s="1">
        <v>0.1</v>
      </c>
      <c r="S2338">
        <f t="shared" si="144"/>
        <v>84.6</v>
      </c>
      <c r="T2338">
        <f>IFERROR(VLOOKUP(A2338,Table1[[Customer ID]:[Discount Amount]], 6, FALSE),"Not Found")</f>
        <v>94</v>
      </c>
      <c r="U2338" t="str">
        <f t="shared" si="145"/>
        <v>Credit Card</v>
      </c>
      <c r="V2338" s="4" t="str">
        <f t="shared" si="146"/>
        <v>Normal</v>
      </c>
      <c r="W2338" s="4" t="str">
        <f t="shared" si="147"/>
        <v>Good</v>
      </c>
      <c r="X2338" s="4">
        <f>AVERAGE(Table1[Purchase Amount])</f>
        <v>129.48419400000012</v>
      </c>
    </row>
    <row r="2339" spans="1:24" ht="15" customHeight="1" x14ac:dyDescent="0.25">
      <c r="A2339">
        <v>2338</v>
      </c>
      <c r="B2339">
        <v>39</v>
      </c>
      <c r="C2339" t="s">
        <v>27</v>
      </c>
      <c r="D2339" t="s">
        <v>151</v>
      </c>
      <c r="E2339" t="s">
        <v>98</v>
      </c>
      <c r="F2339" s="2">
        <v>76</v>
      </c>
      <c r="G2339" t="s">
        <v>86</v>
      </c>
      <c r="H2339" t="s">
        <v>55</v>
      </c>
      <c r="I2339" t="s">
        <v>111</v>
      </c>
      <c r="J2339" t="s">
        <v>47</v>
      </c>
      <c r="K2339">
        <v>3.6</v>
      </c>
      <c r="L2339" t="s">
        <v>23</v>
      </c>
      <c r="M2339" t="s">
        <v>48</v>
      </c>
      <c r="N2339" t="s">
        <v>23</v>
      </c>
      <c r="O2339">
        <v>5</v>
      </c>
      <c r="P2339" t="s">
        <v>25</v>
      </c>
      <c r="Q2339" t="s">
        <v>49</v>
      </c>
      <c r="R2339" s="1">
        <v>0.1</v>
      </c>
      <c r="S2339">
        <f t="shared" si="144"/>
        <v>68.400000000000006</v>
      </c>
      <c r="T2339">
        <f>IFERROR(VLOOKUP(A2339,Table1[[Customer ID]:[Discount Amount]], 6, FALSE),"Not Found")</f>
        <v>76</v>
      </c>
      <c r="U2339" t="str">
        <f t="shared" si="145"/>
        <v>Cash</v>
      </c>
      <c r="V2339" s="4" t="str">
        <f t="shared" si="146"/>
        <v>Normal</v>
      </c>
      <c r="W2339" s="4" t="str">
        <f t="shared" si="147"/>
        <v>Good</v>
      </c>
      <c r="X2339" s="4">
        <f>AVERAGE(Table1[Purchase Amount])</f>
        <v>129.48419400000012</v>
      </c>
    </row>
    <row r="2340" spans="1:24" ht="15" customHeight="1" x14ac:dyDescent="0.25">
      <c r="A2340">
        <v>2339</v>
      </c>
      <c r="B2340">
        <v>66</v>
      </c>
      <c r="C2340" t="s">
        <v>27</v>
      </c>
      <c r="D2340" t="s">
        <v>140</v>
      </c>
      <c r="E2340" t="s">
        <v>98</v>
      </c>
      <c r="F2340" s="2">
        <v>68</v>
      </c>
      <c r="G2340" t="s">
        <v>160</v>
      </c>
      <c r="H2340" t="s">
        <v>55</v>
      </c>
      <c r="I2340" t="s">
        <v>153</v>
      </c>
      <c r="J2340" t="s">
        <v>47</v>
      </c>
      <c r="K2340">
        <v>4</v>
      </c>
      <c r="L2340" t="s">
        <v>23</v>
      </c>
      <c r="M2340" t="s">
        <v>61</v>
      </c>
      <c r="N2340" t="s">
        <v>23</v>
      </c>
      <c r="O2340">
        <v>21</v>
      </c>
      <c r="P2340" t="s">
        <v>58</v>
      </c>
      <c r="Q2340" t="s">
        <v>37</v>
      </c>
      <c r="R2340" s="1">
        <v>0.1</v>
      </c>
      <c r="S2340">
        <f t="shared" si="144"/>
        <v>61.2</v>
      </c>
      <c r="T2340">
        <f>IFERROR(VLOOKUP(A2340,Table1[[Customer ID]:[Discount Amount]], 6, FALSE),"Not Found")</f>
        <v>68</v>
      </c>
      <c r="U2340" t="str">
        <f t="shared" si="145"/>
        <v>PayPal</v>
      </c>
      <c r="V2340" s="4" t="str">
        <f t="shared" si="146"/>
        <v>Normal</v>
      </c>
      <c r="W2340" s="4" t="str">
        <f t="shared" si="147"/>
        <v>Good</v>
      </c>
      <c r="X2340" s="4">
        <f>AVERAGE(Table1[Purchase Amount])</f>
        <v>129.48419400000012</v>
      </c>
    </row>
    <row r="2341" spans="1:24" ht="15" customHeight="1" x14ac:dyDescent="0.25">
      <c r="A2341">
        <v>2340</v>
      </c>
      <c r="B2341">
        <v>25</v>
      </c>
      <c r="C2341" t="s">
        <v>27</v>
      </c>
      <c r="D2341" t="s">
        <v>38</v>
      </c>
      <c r="E2341" t="s">
        <v>18</v>
      </c>
      <c r="F2341" s="2">
        <v>65</v>
      </c>
      <c r="G2341" t="s">
        <v>44</v>
      </c>
      <c r="H2341" t="s">
        <v>45</v>
      </c>
      <c r="I2341" t="s">
        <v>125</v>
      </c>
      <c r="J2341" t="s">
        <v>33</v>
      </c>
      <c r="K2341">
        <v>3.4</v>
      </c>
      <c r="L2341" t="s">
        <v>23</v>
      </c>
      <c r="M2341" t="s">
        <v>79</v>
      </c>
      <c r="N2341" t="s">
        <v>23</v>
      </c>
      <c r="O2341">
        <v>24</v>
      </c>
      <c r="P2341" t="s">
        <v>88</v>
      </c>
      <c r="Q2341" t="s">
        <v>37</v>
      </c>
      <c r="R2341" s="1">
        <v>0.1</v>
      </c>
      <c r="S2341">
        <f t="shared" si="144"/>
        <v>58.5</v>
      </c>
      <c r="T2341">
        <f>IFERROR(VLOOKUP(A2341,Table1[[Customer ID]:[Discount Amount]], 6, FALSE),"Not Found")</f>
        <v>65</v>
      </c>
      <c r="U2341" t="str">
        <f t="shared" si="145"/>
        <v>Bank Transfer</v>
      </c>
      <c r="V2341" s="4" t="str">
        <f t="shared" si="146"/>
        <v>Normal</v>
      </c>
      <c r="W2341" s="4" t="str">
        <f t="shared" si="147"/>
        <v>Good</v>
      </c>
      <c r="X2341" s="4">
        <f>AVERAGE(Table1[Purchase Amount])</f>
        <v>129.48419400000012</v>
      </c>
    </row>
    <row r="2342" spans="1:24" ht="15" customHeight="1" x14ac:dyDescent="0.25">
      <c r="A2342">
        <v>2341</v>
      </c>
      <c r="B2342">
        <v>63</v>
      </c>
      <c r="C2342" t="s">
        <v>27</v>
      </c>
      <c r="D2342" t="s">
        <v>118</v>
      </c>
      <c r="E2342" t="s">
        <v>18</v>
      </c>
      <c r="F2342" s="2">
        <v>24</v>
      </c>
      <c r="G2342" t="s">
        <v>143</v>
      </c>
      <c r="H2342" t="s">
        <v>31</v>
      </c>
      <c r="I2342" t="s">
        <v>128</v>
      </c>
      <c r="J2342" t="s">
        <v>57</v>
      </c>
      <c r="K2342">
        <v>2.6</v>
      </c>
      <c r="L2342" t="s">
        <v>23</v>
      </c>
      <c r="M2342" t="s">
        <v>24</v>
      </c>
      <c r="N2342" t="s">
        <v>23</v>
      </c>
      <c r="O2342">
        <v>37</v>
      </c>
      <c r="P2342" t="s">
        <v>53</v>
      </c>
      <c r="Q2342" t="s">
        <v>89</v>
      </c>
      <c r="R2342" s="1">
        <v>0.1</v>
      </c>
      <c r="S2342">
        <f t="shared" si="144"/>
        <v>21.6</v>
      </c>
      <c r="T2342">
        <f>IFERROR(VLOOKUP(A2342,Table1[[Customer ID]:[Discount Amount]], 6, FALSE),"Not Found")</f>
        <v>24</v>
      </c>
      <c r="U2342" t="str">
        <f t="shared" si="145"/>
        <v>Credit Card</v>
      </c>
      <c r="V2342" s="4" t="str">
        <f t="shared" si="146"/>
        <v>Normal</v>
      </c>
      <c r="W2342" s="4" t="str">
        <f t="shared" si="147"/>
        <v>Poor</v>
      </c>
      <c r="X2342" s="4">
        <f>AVERAGE(Table1[Purchase Amount])</f>
        <v>129.48419400000012</v>
      </c>
    </row>
    <row r="2343" spans="1:24" ht="15" customHeight="1" x14ac:dyDescent="0.25">
      <c r="A2343">
        <v>2342</v>
      </c>
      <c r="B2343">
        <v>56</v>
      </c>
      <c r="C2343" t="s">
        <v>27</v>
      </c>
      <c r="D2343" t="s">
        <v>96</v>
      </c>
      <c r="E2343" t="s">
        <v>77</v>
      </c>
      <c r="F2343" s="2">
        <v>31</v>
      </c>
      <c r="G2343" t="s">
        <v>115</v>
      </c>
      <c r="H2343" t="s">
        <v>45</v>
      </c>
      <c r="I2343" t="s">
        <v>147</v>
      </c>
      <c r="J2343" t="s">
        <v>57</v>
      </c>
      <c r="K2343">
        <v>4.5</v>
      </c>
      <c r="L2343" t="s">
        <v>23</v>
      </c>
      <c r="M2343" t="s">
        <v>61</v>
      </c>
      <c r="N2343" t="s">
        <v>23</v>
      </c>
      <c r="O2343">
        <v>22</v>
      </c>
      <c r="P2343" t="s">
        <v>62</v>
      </c>
      <c r="Q2343" t="s">
        <v>63</v>
      </c>
      <c r="R2343" s="1">
        <v>0.1</v>
      </c>
      <c r="S2343">
        <f t="shared" si="144"/>
        <v>27.9</v>
      </c>
      <c r="T2343">
        <f>IFERROR(VLOOKUP(A2343,Table1[[Customer ID]:[Discount Amount]], 6, FALSE),"Not Found")</f>
        <v>31</v>
      </c>
      <c r="U2343" t="str">
        <f t="shared" si="145"/>
        <v>Venmo</v>
      </c>
      <c r="V2343" s="4" t="str">
        <f t="shared" si="146"/>
        <v>Normal</v>
      </c>
      <c r="W2343" s="4" t="str">
        <f t="shared" si="147"/>
        <v>Good</v>
      </c>
      <c r="X2343" s="4">
        <f>AVERAGE(Table1[Purchase Amount])</f>
        <v>129.48419400000012</v>
      </c>
    </row>
    <row r="2344" spans="1:24" ht="15" customHeight="1" x14ac:dyDescent="0.25">
      <c r="A2344">
        <v>2343</v>
      </c>
      <c r="B2344">
        <v>20</v>
      </c>
      <c r="C2344" t="s">
        <v>27</v>
      </c>
      <c r="D2344" t="s">
        <v>122</v>
      </c>
      <c r="E2344" t="s">
        <v>18</v>
      </c>
      <c r="F2344" s="2">
        <v>89</v>
      </c>
      <c r="G2344" t="s">
        <v>65</v>
      </c>
      <c r="H2344" t="s">
        <v>31</v>
      </c>
      <c r="I2344" t="s">
        <v>21</v>
      </c>
      <c r="J2344" t="s">
        <v>47</v>
      </c>
      <c r="K2344">
        <v>4.9000000000000004</v>
      </c>
      <c r="L2344" t="s">
        <v>23</v>
      </c>
      <c r="M2344" t="s">
        <v>24</v>
      </c>
      <c r="N2344" t="s">
        <v>23</v>
      </c>
      <c r="O2344">
        <v>16</v>
      </c>
      <c r="P2344" t="s">
        <v>36</v>
      </c>
      <c r="Q2344" t="s">
        <v>89</v>
      </c>
      <c r="R2344" s="1">
        <v>0.1</v>
      </c>
      <c r="S2344">
        <f t="shared" si="144"/>
        <v>80.099999999999994</v>
      </c>
      <c r="T2344">
        <f>IFERROR(VLOOKUP(A2344,Table1[[Customer ID]:[Discount Amount]], 6, FALSE),"Not Found")</f>
        <v>89</v>
      </c>
      <c r="U2344" t="str">
        <f t="shared" si="145"/>
        <v>Debit Card</v>
      </c>
      <c r="V2344" s="4" t="str">
        <f t="shared" si="146"/>
        <v>Normal</v>
      </c>
      <c r="W2344" s="4" t="str">
        <f t="shared" si="147"/>
        <v>Good</v>
      </c>
      <c r="X2344" s="4">
        <f>AVERAGE(Table1[Purchase Amount])</f>
        <v>129.48419400000012</v>
      </c>
    </row>
    <row r="2345" spans="1:24" ht="15" customHeight="1" x14ac:dyDescent="0.25">
      <c r="A2345">
        <v>2344</v>
      </c>
      <c r="B2345">
        <v>58</v>
      </c>
      <c r="C2345" t="s">
        <v>27</v>
      </c>
      <c r="D2345" t="s">
        <v>105</v>
      </c>
      <c r="E2345" t="s">
        <v>18</v>
      </c>
      <c r="F2345" s="2">
        <v>49</v>
      </c>
      <c r="G2345" t="s">
        <v>106</v>
      </c>
      <c r="H2345" t="s">
        <v>31</v>
      </c>
      <c r="I2345" t="s">
        <v>46</v>
      </c>
      <c r="J2345" t="s">
        <v>57</v>
      </c>
      <c r="K2345">
        <v>4.4000000000000004</v>
      </c>
      <c r="L2345" t="s">
        <v>23</v>
      </c>
      <c r="M2345" t="s">
        <v>41</v>
      </c>
      <c r="N2345" t="s">
        <v>23</v>
      </c>
      <c r="O2345">
        <v>44</v>
      </c>
      <c r="P2345" t="s">
        <v>58</v>
      </c>
      <c r="Q2345" t="s">
        <v>42</v>
      </c>
      <c r="R2345" s="1">
        <v>0.1</v>
      </c>
      <c r="S2345">
        <f t="shared" si="144"/>
        <v>44.1</v>
      </c>
      <c r="T2345">
        <f>IFERROR(VLOOKUP(A2345,Table1[[Customer ID]:[Discount Amount]], 6, FALSE),"Not Found")</f>
        <v>49</v>
      </c>
      <c r="U2345" t="str">
        <f t="shared" si="145"/>
        <v>PayPal</v>
      </c>
      <c r="V2345" s="4" t="str">
        <f t="shared" si="146"/>
        <v>Normal</v>
      </c>
      <c r="W2345" s="4" t="str">
        <f t="shared" si="147"/>
        <v>Good</v>
      </c>
      <c r="X2345" s="4">
        <f>AVERAGE(Table1[Purchase Amount])</f>
        <v>129.48419400000012</v>
      </c>
    </row>
    <row r="2346" spans="1:24" ht="15" customHeight="1" x14ac:dyDescent="0.25">
      <c r="A2346">
        <v>2345</v>
      </c>
      <c r="B2346">
        <v>34</v>
      </c>
      <c r="C2346" t="s">
        <v>27</v>
      </c>
      <c r="D2346" t="s">
        <v>121</v>
      </c>
      <c r="E2346" t="s">
        <v>98</v>
      </c>
      <c r="F2346" s="2">
        <v>92</v>
      </c>
      <c r="G2346" t="s">
        <v>159</v>
      </c>
      <c r="H2346" t="s">
        <v>20</v>
      </c>
      <c r="I2346" t="s">
        <v>107</v>
      </c>
      <c r="J2346" t="s">
        <v>47</v>
      </c>
      <c r="K2346">
        <v>3.5</v>
      </c>
      <c r="L2346" t="s">
        <v>23</v>
      </c>
      <c r="M2346" t="s">
        <v>61</v>
      </c>
      <c r="N2346" t="s">
        <v>23</v>
      </c>
      <c r="O2346">
        <v>14</v>
      </c>
      <c r="P2346" t="s">
        <v>62</v>
      </c>
      <c r="Q2346" t="s">
        <v>68</v>
      </c>
      <c r="R2346" s="1">
        <v>0.1</v>
      </c>
      <c r="S2346">
        <f t="shared" si="144"/>
        <v>82.8</v>
      </c>
      <c r="T2346">
        <f>IFERROR(VLOOKUP(A2346,Table1[[Customer ID]:[Discount Amount]], 6, FALSE),"Not Found")</f>
        <v>92</v>
      </c>
      <c r="U2346" t="str">
        <f t="shared" si="145"/>
        <v>Venmo</v>
      </c>
      <c r="V2346" s="4" t="str">
        <f t="shared" si="146"/>
        <v>Normal</v>
      </c>
      <c r="W2346" s="4" t="str">
        <f t="shared" si="147"/>
        <v>Good</v>
      </c>
      <c r="X2346" s="4">
        <f>AVERAGE(Table1[Purchase Amount])</f>
        <v>129.48419400000012</v>
      </c>
    </row>
    <row r="2347" spans="1:24" ht="15" customHeight="1" x14ac:dyDescent="0.25">
      <c r="A2347">
        <v>2346</v>
      </c>
      <c r="B2347">
        <v>28</v>
      </c>
      <c r="C2347" t="s">
        <v>27</v>
      </c>
      <c r="D2347" t="s">
        <v>17</v>
      </c>
      <c r="E2347" t="s">
        <v>18</v>
      </c>
      <c r="F2347" s="2">
        <v>32</v>
      </c>
      <c r="G2347" t="s">
        <v>101</v>
      </c>
      <c r="H2347" t="s">
        <v>55</v>
      </c>
      <c r="I2347" t="s">
        <v>108</v>
      </c>
      <c r="J2347" t="s">
        <v>22</v>
      </c>
      <c r="K2347">
        <v>3.3</v>
      </c>
      <c r="L2347" t="s">
        <v>23</v>
      </c>
      <c r="M2347" t="s">
        <v>61</v>
      </c>
      <c r="N2347" t="s">
        <v>23</v>
      </c>
      <c r="O2347">
        <v>23</v>
      </c>
      <c r="P2347" t="s">
        <v>88</v>
      </c>
      <c r="Q2347" t="s">
        <v>63</v>
      </c>
      <c r="R2347" s="1">
        <v>0.1</v>
      </c>
      <c r="S2347">
        <f t="shared" si="144"/>
        <v>28.8</v>
      </c>
      <c r="T2347">
        <f>IFERROR(VLOOKUP(A2347,Table1[[Customer ID]:[Discount Amount]], 6, FALSE),"Not Found")</f>
        <v>32</v>
      </c>
      <c r="U2347" t="str">
        <f t="shared" si="145"/>
        <v>Bank Transfer</v>
      </c>
      <c r="V2347" s="4" t="str">
        <f t="shared" si="146"/>
        <v>Normal</v>
      </c>
      <c r="W2347" s="4" t="str">
        <f t="shared" si="147"/>
        <v>Good</v>
      </c>
      <c r="X2347" s="4">
        <f>AVERAGE(Table1[Purchase Amount])</f>
        <v>129.48419400000012</v>
      </c>
    </row>
    <row r="2348" spans="1:24" ht="15" customHeight="1" x14ac:dyDescent="0.25">
      <c r="A2348">
        <v>2347</v>
      </c>
      <c r="B2348">
        <v>22</v>
      </c>
      <c r="C2348" t="s">
        <v>27</v>
      </c>
      <c r="D2348" t="s">
        <v>96</v>
      </c>
      <c r="E2348" t="s">
        <v>77</v>
      </c>
      <c r="F2348" s="2">
        <v>67</v>
      </c>
      <c r="G2348" t="s">
        <v>110</v>
      </c>
      <c r="H2348" t="s">
        <v>45</v>
      </c>
      <c r="I2348" t="s">
        <v>60</v>
      </c>
      <c r="J2348" t="s">
        <v>22</v>
      </c>
      <c r="K2348">
        <v>3.1</v>
      </c>
      <c r="L2348" t="s">
        <v>23</v>
      </c>
      <c r="M2348" t="s">
        <v>24</v>
      </c>
      <c r="N2348" t="s">
        <v>23</v>
      </c>
      <c r="O2348">
        <v>46</v>
      </c>
      <c r="P2348" t="s">
        <v>36</v>
      </c>
      <c r="Q2348" t="s">
        <v>89</v>
      </c>
      <c r="R2348" s="1">
        <v>0.1</v>
      </c>
      <c r="S2348">
        <f t="shared" si="144"/>
        <v>60.3</v>
      </c>
      <c r="T2348">
        <f>IFERROR(VLOOKUP(A2348,Table1[[Customer ID]:[Discount Amount]], 6, FALSE),"Not Found")</f>
        <v>67</v>
      </c>
      <c r="U2348" t="str">
        <f t="shared" si="145"/>
        <v>Debit Card</v>
      </c>
      <c r="V2348" s="4" t="str">
        <f t="shared" si="146"/>
        <v>Normal</v>
      </c>
      <c r="W2348" s="4" t="str">
        <f t="shared" si="147"/>
        <v>Good</v>
      </c>
      <c r="X2348" s="4">
        <f>AVERAGE(Table1[Purchase Amount])</f>
        <v>129.48419400000012</v>
      </c>
    </row>
    <row r="2349" spans="1:24" ht="15" customHeight="1" x14ac:dyDescent="0.25">
      <c r="A2349">
        <v>2348</v>
      </c>
      <c r="B2349">
        <v>37</v>
      </c>
      <c r="C2349" t="s">
        <v>27</v>
      </c>
      <c r="D2349" t="s">
        <v>114</v>
      </c>
      <c r="E2349" t="s">
        <v>29</v>
      </c>
      <c r="F2349" s="2">
        <v>64</v>
      </c>
      <c r="G2349" t="s">
        <v>19</v>
      </c>
      <c r="H2349" t="s">
        <v>55</v>
      </c>
      <c r="I2349" t="s">
        <v>85</v>
      </c>
      <c r="J2349" t="s">
        <v>47</v>
      </c>
      <c r="K2349">
        <v>4.2</v>
      </c>
      <c r="L2349" t="s">
        <v>23</v>
      </c>
      <c r="M2349" t="s">
        <v>61</v>
      </c>
      <c r="N2349" t="s">
        <v>23</v>
      </c>
      <c r="O2349">
        <v>46</v>
      </c>
      <c r="P2349" t="s">
        <v>25</v>
      </c>
      <c r="Q2349" t="s">
        <v>63</v>
      </c>
      <c r="R2349" s="1">
        <v>0.1</v>
      </c>
      <c r="S2349">
        <f t="shared" si="144"/>
        <v>57.6</v>
      </c>
      <c r="T2349">
        <f>IFERROR(VLOOKUP(A2349,Table1[[Customer ID]:[Discount Amount]], 6, FALSE),"Not Found")</f>
        <v>64</v>
      </c>
      <c r="U2349" t="str">
        <f t="shared" si="145"/>
        <v>Cash</v>
      </c>
      <c r="V2349" s="4" t="str">
        <f t="shared" si="146"/>
        <v>Normal</v>
      </c>
      <c r="W2349" s="4" t="str">
        <f t="shared" si="147"/>
        <v>Good</v>
      </c>
      <c r="X2349" s="4">
        <f>AVERAGE(Table1[Purchase Amount])</f>
        <v>129.48419400000012</v>
      </c>
    </row>
    <row r="2350" spans="1:24" ht="15" customHeight="1" x14ac:dyDescent="0.25">
      <c r="A2350">
        <v>2349</v>
      </c>
      <c r="B2350">
        <v>54</v>
      </c>
      <c r="C2350" t="s">
        <v>27</v>
      </c>
      <c r="D2350" t="s">
        <v>72</v>
      </c>
      <c r="E2350" t="s">
        <v>98</v>
      </c>
      <c r="F2350" s="2">
        <v>84</v>
      </c>
      <c r="G2350" t="s">
        <v>94</v>
      </c>
      <c r="H2350" t="s">
        <v>31</v>
      </c>
      <c r="I2350" t="s">
        <v>108</v>
      </c>
      <c r="J2350" t="s">
        <v>33</v>
      </c>
      <c r="K2350">
        <v>4.9000000000000004</v>
      </c>
      <c r="L2350" t="s">
        <v>23</v>
      </c>
      <c r="M2350" t="s">
        <v>79</v>
      </c>
      <c r="N2350" t="s">
        <v>23</v>
      </c>
      <c r="O2350">
        <v>16</v>
      </c>
      <c r="P2350" t="s">
        <v>58</v>
      </c>
      <c r="Q2350" t="s">
        <v>63</v>
      </c>
      <c r="R2350" s="1">
        <v>0.1</v>
      </c>
      <c r="S2350">
        <f t="shared" si="144"/>
        <v>75.599999999999994</v>
      </c>
      <c r="T2350">
        <f>IFERROR(VLOOKUP(A2350,Table1[[Customer ID]:[Discount Amount]], 6, FALSE),"Not Found")</f>
        <v>84</v>
      </c>
      <c r="U2350" t="str">
        <f t="shared" si="145"/>
        <v>PayPal</v>
      </c>
      <c r="V2350" s="4" t="str">
        <f t="shared" si="146"/>
        <v>Normal</v>
      </c>
      <c r="W2350" s="4" t="str">
        <f t="shared" si="147"/>
        <v>Good</v>
      </c>
      <c r="X2350" s="4">
        <f>AVERAGE(Table1[Purchase Amount])</f>
        <v>129.48419400000012</v>
      </c>
    </row>
    <row r="2351" spans="1:24" ht="15" customHeight="1" x14ac:dyDescent="0.25">
      <c r="A2351">
        <v>2350</v>
      </c>
      <c r="B2351">
        <v>65</v>
      </c>
      <c r="C2351" t="s">
        <v>27</v>
      </c>
      <c r="D2351" t="s">
        <v>118</v>
      </c>
      <c r="E2351" t="s">
        <v>18</v>
      </c>
      <c r="F2351" s="2">
        <v>34</v>
      </c>
      <c r="G2351" t="s">
        <v>101</v>
      </c>
      <c r="H2351" t="s">
        <v>31</v>
      </c>
      <c r="I2351" t="s">
        <v>108</v>
      </c>
      <c r="J2351" t="s">
        <v>47</v>
      </c>
      <c r="K2351">
        <v>3.9</v>
      </c>
      <c r="L2351" t="s">
        <v>23</v>
      </c>
      <c r="M2351" t="s">
        <v>24</v>
      </c>
      <c r="N2351" t="s">
        <v>23</v>
      </c>
      <c r="O2351">
        <v>40</v>
      </c>
      <c r="P2351" t="s">
        <v>53</v>
      </c>
      <c r="Q2351" t="s">
        <v>63</v>
      </c>
      <c r="R2351" s="1">
        <v>0.1</v>
      </c>
      <c r="S2351">
        <f t="shared" si="144"/>
        <v>30.6</v>
      </c>
      <c r="T2351">
        <f>IFERROR(VLOOKUP(A2351,Table1[[Customer ID]:[Discount Amount]], 6, FALSE),"Not Found")</f>
        <v>34</v>
      </c>
      <c r="U2351" t="str">
        <f t="shared" si="145"/>
        <v>Credit Card</v>
      </c>
      <c r="V2351" s="4" t="str">
        <f t="shared" si="146"/>
        <v>Normal</v>
      </c>
      <c r="W2351" s="4" t="str">
        <f t="shared" si="147"/>
        <v>Good</v>
      </c>
      <c r="X2351" s="4">
        <f>AVERAGE(Table1[Purchase Amount])</f>
        <v>129.48419400000012</v>
      </c>
    </row>
    <row r="2352" spans="1:24" ht="15" customHeight="1" x14ac:dyDescent="0.25">
      <c r="A2352">
        <v>2351</v>
      </c>
      <c r="B2352">
        <v>57</v>
      </c>
      <c r="C2352" t="s">
        <v>27</v>
      </c>
      <c r="D2352" t="s">
        <v>72</v>
      </c>
      <c r="E2352" t="s">
        <v>98</v>
      </c>
      <c r="F2352" s="2">
        <v>26</v>
      </c>
      <c r="G2352" t="s">
        <v>135</v>
      </c>
      <c r="H2352" t="s">
        <v>31</v>
      </c>
      <c r="I2352" t="s">
        <v>156</v>
      </c>
      <c r="J2352" t="s">
        <v>22</v>
      </c>
      <c r="K2352">
        <v>4.2</v>
      </c>
      <c r="L2352" t="s">
        <v>23</v>
      </c>
      <c r="M2352" t="s">
        <v>35</v>
      </c>
      <c r="N2352" t="s">
        <v>23</v>
      </c>
      <c r="O2352">
        <v>21</v>
      </c>
      <c r="P2352" t="s">
        <v>25</v>
      </c>
      <c r="Q2352" t="s">
        <v>49</v>
      </c>
      <c r="R2352" s="1">
        <v>0.1</v>
      </c>
      <c r="S2352">
        <f t="shared" si="144"/>
        <v>23.4</v>
      </c>
      <c r="T2352">
        <f>IFERROR(VLOOKUP(A2352,Table1[[Customer ID]:[Discount Amount]], 6, FALSE),"Not Found")</f>
        <v>26</v>
      </c>
      <c r="U2352" t="str">
        <f t="shared" si="145"/>
        <v>Cash</v>
      </c>
      <c r="V2352" s="4" t="str">
        <f t="shared" si="146"/>
        <v>Normal</v>
      </c>
      <c r="W2352" s="4" t="str">
        <f t="shared" si="147"/>
        <v>Good</v>
      </c>
      <c r="X2352" s="4">
        <f>AVERAGE(Table1[Purchase Amount])</f>
        <v>129.48419400000012</v>
      </c>
    </row>
    <row r="2353" spans="1:24" ht="15" customHeight="1" x14ac:dyDescent="0.25">
      <c r="A2353">
        <v>2352</v>
      </c>
      <c r="B2353">
        <v>38</v>
      </c>
      <c r="C2353" t="s">
        <v>27</v>
      </c>
      <c r="D2353" t="s">
        <v>127</v>
      </c>
      <c r="E2353" t="s">
        <v>18</v>
      </c>
      <c r="F2353" s="2">
        <v>50</v>
      </c>
      <c r="G2353" t="s">
        <v>132</v>
      </c>
      <c r="H2353" t="s">
        <v>55</v>
      </c>
      <c r="I2353" t="s">
        <v>128</v>
      </c>
      <c r="J2353" t="s">
        <v>47</v>
      </c>
      <c r="K2353">
        <v>4.9000000000000004</v>
      </c>
      <c r="L2353" t="s">
        <v>23</v>
      </c>
      <c r="M2353" t="s">
        <v>48</v>
      </c>
      <c r="N2353" t="s">
        <v>23</v>
      </c>
      <c r="O2353">
        <v>25</v>
      </c>
      <c r="P2353" t="s">
        <v>58</v>
      </c>
      <c r="Q2353" t="s">
        <v>68</v>
      </c>
      <c r="R2353" s="1">
        <v>0.1</v>
      </c>
      <c r="S2353">
        <f t="shared" si="144"/>
        <v>45</v>
      </c>
      <c r="T2353">
        <f>IFERROR(VLOOKUP(A2353,Table1[[Customer ID]:[Discount Amount]], 6, FALSE),"Not Found")</f>
        <v>50</v>
      </c>
      <c r="U2353" t="str">
        <f t="shared" si="145"/>
        <v>PayPal</v>
      </c>
      <c r="V2353" s="4" t="str">
        <f t="shared" si="146"/>
        <v>Normal</v>
      </c>
      <c r="W2353" s="4" t="str">
        <f t="shared" si="147"/>
        <v>Good</v>
      </c>
      <c r="X2353" s="4">
        <f>AVERAGE(Table1[Purchase Amount])</f>
        <v>129.48419400000012</v>
      </c>
    </row>
    <row r="2354" spans="1:24" ht="15" customHeight="1" x14ac:dyDescent="0.25">
      <c r="A2354">
        <v>2353</v>
      </c>
      <c r="B2354">
        <v>70</v>
      </c>
      <c r="C2354" t="s">
        <v>27</v>
      </c>
      <c r="D2354" t="s">
        <v>151</v>
      </c>
      <c r="E2354" t="s">
        <v>98</v>
      </c>
      <c r="F2354" s="2">
        <v>46</v>
      </c>
      <c r="G2354" t="s">
        <v>137</v>
      </c>
      <c r="H2354" t="s">
        <v>31</v>
      </c>
      <c r="I2354" t="s">
        <v>52</v>
      </c>
      <c r="J2354" t="s">
        <v>47</v>
      </c>
      <c r="K2354">
        <v>2.8</v>
      </c>
      <c r="L2354" t="s">
        <v>23</v>
      </c>
      <c r="M2354" t="s">
        <v>48</v>
      </c>
      <c r="N2354" t="s">
        <v>23</v>
      </c>
      <c r="O2354">
        <v>25</v>
      </c>
      <c r="P2354" t="s">
        <v>88</v>
      </c>
      <c r="Q2354" t="s">
        <v>37</v>
      </c>
      <c r="R2354" s="1">
        <v>0.1</v>
      </c>
      <c r="S2354">
        <f t="shared" si="144"/>
        <v>41.4</v>
      </c>
      <c r="T2354">
        <f>IFERROR(VLOOKUP(A2354,Table1[[Customer ID]:[Discount Amount]], 6, FALSE),"Not Found")</f>
        <v>46</v>
      </c>
      <c r="U2354" t="str">
        <f t="shared" si="145"/>
        <v>Bank Transfer</v>
      </c>
      <c r="V2354" s="4" t="str">
        <f t="shared" si="146"/>
        <v>Normal</v>
      </c>
      <c r="W2354" s="4" t="str">
        <f t="shared" si="147"/>
        <v>Poor</v>
      </c>
      <c r="X2354" s="4">
        <f>AVERAGE(Table1[Purchase Amount])</f>
        <v>129.48419400000012</v>
      </c>
    </row>
    <row r="2355" spans="1:24" ht="15" customHeight="1" x14ac:dyDescent="0.25">
      <c r="A2355">
        <v>2354</v>
      </c>
      <c r="B2355">
        <v>56</v>
      </c>
      <c r="C2355" t="s">
        <v>27</v>
      </c>
      <c r="D2355" t="s">
        <v>69</v>
      </c>
      <c r="E2355" t="s">
        <v>29</v>
      </c>
      <c r="F2355" s="2">
        <v>71</v>
      </c>
      <c r="G2355" t="s">
        <v>39</v>
      </c>
      <c r="H2355" t="s">
        <v>31</v>
      </c>
      <c r="I2355" t="s">
        <v>32</v>
      </c>
      <c r="J2355" t="s">
        <v>47</v>
      </c>
      <c r="K2355">
        <v>4.0999999999999996</v>
      </c>
      <c r="L2355" t="s">
        <v>23</v>
      </c>
      <c r="M2355" t="s">
        <v>24</v>
      </c>
      <c r="N2355" t="s">
        <v>23</v>
      </c>
      <c r="O2355">
        <v>25</v>
      </c>
      <c r="P2355" t="s">
        <v>36</v>
      </c>
      <c r="Q2355" t="s">
        <v>63</v>
      </c>
      <c r="R2355" s="1">
        <v>0.1</v>
      </c>
      <c r="S2355">
        <f t="shared" si="144"/>
        <v>63.9</v>
      </c>
      <c r="T2355">
        <f>IFERROR(VLOOKUP(A2355,Table1[[Customer ID]:[Discount Amount]], 6, FALSE),"Not Found")</f>
        <v>71</v>
      </c>
      <c r="U2355" t="str">
        <f t="shared" si="145"/>
        <v>Debit Card</v>
      </c>
      <c r="V2355" s="4" t="str">
        <f t="shared" si="146"/>
        <v>Normal</v>
      </c>
      <c r="W2355" s="4" t="str">
        <f t="shared" si="147"/>
        <v>Good</v>
      </c>
      <c r="X2355" s="4">
        <f>AVERAGE(Table1[Purchase Amount])</f>
        <v>129.48419400000012</v>
      </c>
    </row>
    <row r="2356" spans="1:24" ht="15" customHeight="1" x14ac:dyDescent="0.25">
      <c r="A2356">
        <v>2355</v>
      </c>
      <c r="B2356">
        <v>56</v>
      </c>
      <c r="C2356" t="s">
        <v>27</v>
      </c>
      <c r="D2356" t="s">
        <v>118</v>
      </c>
      <c r="E2356" t="s">
        <v>18</v>
      </c>
      <c r="F2356" s="2">
        <v>78</v>
      </c>
      <c r="G2356" t="s">
        <v>59</v>
      </c>
      <c r="H2356" t="s">
        <v>31</v>
      </c>
      <c r="I2356" t="s">
        <v>74</v>
      </c>
      <c r="J2356" t="s">
        <v>57</v>
      </c>
      <c r="K2356">
        <v>4.8</v>
      </c>
      <c r="L2356" t="s">
        <v>23</v>
      </c>
      <c r="M2356" t="s">
        <v>79</v>
      </c>
      <c r="N2356" t="s">
        <v>23</v>
      </c>
      <c r="O2356">
        <v>27</v>
      </c>
      <c r="P2356" t="s">
        <v>62</v>
      </c>
      <c r="Q2356" t="s">
        <v>42</v>
      </c>
      <c r="R2356" s="1">
        <v>0.1</v>
      </c>
      <c r="S2356">
        <f t="shared" si="144"/>
        <v>70.2</v>
      </c>
      <c r="T2356">
        <f>IFERROR(VLOOKUP(A2356,Table1[[Customer ID]:[Discount Amount]], 6, FALSE),"Not Found")</f>
        <v>78</v>
      </c>
      <c r="U2356" t="str">
        <f t="shared" si="145"/>
        <v>Venmo</v>
      </c>
      <c r="V2356" s="4" t="str">
        <f t="shared" si="146"/>
        <v>Normal</v>
      </c>
      <c r="W2356" s="4" t="str">
        <f t="shared" si="147"/>
        <v>Good</v>
      </c>
      <c r="X2356" s="4">
        <f>AVERAGE(Table1[Purchase Amount])</f>
        <v>129.48419400000012</v>
      </c>
    </row>
    <row r="2357" spans="1:24" ht="15" customHeight="1" x14ac:dyDescent="0.25">
      <c r="A2357">
        <v>2356</v>
      </c>
      <c r="B2357">
        <v>22</v>
      </c>
      <c r="C2357" t="s">
        <v>27</v>
      </c>
      <c r="D2357" t="s">
        <v>122</v>
      </c>
      <c r="E2357" t="s">
        <v>18</v>
      </c>
      <c r="F2357" s="2">
        <v>35</v>
      </c>
      <c r="G2357" t="s">
        <v>65</v>
      </c>
      <c r="H2357" t="s">
        <v>55</v>
      </c>
      <c r="I2357" t="s">
        <v>66</v>
      </c>
      <c r="J2357" t="s">
        <v>22</v>
      </c>
      <c r="K2357">
        <v>4.0999999999999996</v>
      </c>
      <c r="L2357" t="s">
        <v>23</v>
      </c>
      <c r="M2357" t="s">
        <v>79</v>
      </c>
      <c r="N2357" t="s">
        <v>23</v>
      </c>
      <c r="O2357">
        <v>12</v>
      </c>
      <c r="P2357" t="s">
        <v>25</v>
      </c>
      <c r="Q2357" t="s">
        <v>42</v>
      </c>
      <c r="R2357" s="1">
        <v>0.1</v>
      </c>
      <c r="S2357">
        <f t="shared" si="144"/>
        <v>31.5</v>
      </c>
      <c r="T2357">
        <f>IFERROR(VLOOKUP(A2357,Table1[[Customer ID]:[Discount Amount]], 6, FALSE),"Not Found")</f>
        <v>35</v>
      </c>
      <c r="U2357" t="str">
        <f t="shared" si="145"/>
        <v>Cash</v>
      </c>
      <c r="V2357" s="4" t="str">
        <f t="shared" si="146"/>
        <v>Normal</v>
      </c>
      <c r="W2357" s="4" t="str">
        <f t="shared" si="147"/>
        <v>Good</v>
      </c>
      <c r="X2357" s="4">
        <f>AVERAGE(Table1[Purchase Amount])</f>
        <v>129.48419400000012</v>
      </c>
    </row>
    <row r="2358" spans="1:24" ht="15" customHeight="1" x14ac:dyDescent="0.25">
      <c r="A2358">
        <v>2357</v>
      </c>
      <c r="B2358">
        <v>57</v>
      </c>
      <c r="C2358" t="s">
        <v>27</v>
      </c>
      <c r="D2358" t="s">
        <v>104</v>
      </c>
      <c r="E2358" t="s">
        <v>29</v>
      </c>
      <c r="F2358" s="2">
        <v>58</v>
      </c>
      <c r="G2358" t="s">
        <v>39</v>
      </c>
      <c r="H2358" t="s">
        <v>31</v>
      </c>
      <c r="I2358" t="s">
        <v>85</v>
      </c>
      <c r="J2358" t="s">
        <v>57</v>
      </c>
      <c r="K2358">
        <v>3</v>
      </c>
      <c r="L2358" t="s">
        <v>23</v>
      </c>
      <c r="M2358" t="s">
        <v>35</v>
      </c>
      <c r="N2358" t="s">
        <v>23</v>
      </c>
      <c r="O2358">
        <v>27</v>
      </c>
      <c r="P2358" t="s">
        <v>36</v>
      </c>
      <c r="Q2358" t="s">
        <v>37</v>
      </c>
      <c r="R2358" s="1">
        <v>0.1</v>
      </c>
      <c r="S2358">
        <f t="shared" si="144"/>
        <v>52.2</v>
      </c>
      <c r="T2358">
        <f>IFERROR(VLOOKUP(A2358,Table1[[Customer ID]:[Discount Amount]], 6, FALSE),"Not Found")</f>
        <v>58</v>
      </c>
      <c r="U2358" t="str">
        <f t="shared" si="145"/>
        <v>Debit Card</v>
      </c>
      <c r="V2358" s="4" t="str">
        <f t="shared" si="146"/>
        <v>Normal</v>
      </c>
      <c r="W2358" s="4" t="str">
        <f t="shared" si="147"/>
        <v>Good</v>
      </c>
      <c r="X2358" s="4">
        <f>AVERAGE(Table1[Purchase Amount])</f>
        <v>129.48419400000012</v>
      </c>
    </row>
    <row r="2359" spans="1:24" ht="15" customHeight="1" x14ac:dyDescent="0.25">
      <c r="A2359">
        <v>2358</v>
      </c>
      <c r="B2359">
        <v>53</v>
      </c>
      <c r="C2359" t="s">
        <v>27</v>
      </c>
      <c r="D2359" t="s">
        <v>38</v>
      </c>
      <c r="E2359" t="s">
        <v>18</v>
      </c>
      <c r="F2359" s="2">
        <v>67</v>
      </c>
      <c r="G2359" t="s">
        <v>113</v>
      </c>
      <c r="H2359" t="s">
        <v>45</v>
      </c>
      <c r="I2359" t="s">
        <v>128</v>
      </c>
      <c r="J2359" t="s">
        <v>47</v>
      </c>
      <c r="K2359">
        <v>4.2</v>
      </c>
      <c r="L2359" t="s">
        <v>23</v>
      </c>
      <c r="M2359" t="s">
        <v>41</v>
      </c>
      <c r="N2359" t="s">
        <v>23</v>
      </c>
      <c r="O2359">
        <v>40</v>
      </c>
      <c r="P2359" t="s">
        <v>53</v>
      </c>
      <c r="Q2359" t="s">
        <v>68</v>
      </c>
      <c r="R2359" s="1">
        <v>0.1</v>
      </c>
      <c r="S2359">
        <f t="shared" si="144"/>
        <v>60.3</v>
      </c>
      <c r="T2359">
        <f>IFERROR(VLOOKUP(A2359,Table1[[Customer ID]:[Discount Amount]], 6, FALSE),"Not Found")</f>
        <v>67</v>
      </c>
      <c r="U2359" t="str">
        <f t="shared" si="145"/>
        <v>Credit Card</v>
      </c>
      <c r="V2359" s="4" t="str">
        <f t="shared" si="146"/>
        <v>Normal</v>
      </c>
      <c r="W2359" s="4" t="str">
        <f t="shared" si="147"/>
        <v>Good</v>
      </c>
      <c r="X2359" s="4">
        <f>AVERAGE(Table1[Purchase Amount])</f>
        <v>129.48419400000012</v>
      </c>
    </row>
    <row r="2360" spans="1:24" ht="15" customHeight="1" x14ac:dyDescent="0.25">
      <c r="A2360">
        <v>2359</v>
      </c>
      <c r="B2360">
        <v>53</v>
      </c>
      <c r="C2360" t="s">
        <v>27</v>
      </c>
      <c r="D2360" t="s">
        <v>127</v>
      </c>
      <c r="E2360" t="s">
        <v>18</v>
      </c>
      <c r="F2360" s="2">
        <v>93</v>
      </c>
      <c r="G2360" t="s">
        <v>152</v>
      </c>
      <c r="H2360" t="s">
        <v>45</v>
      </c>
      <c r="I2360" t="s">
        <v>136</v>
      </c>
      <c r="J2360" t="s">
        <v>33</v>
      </c>
      <c r="K2360">
        <v>3.8</v>
      </c>
      <c r="L2360" t="s">
        <v>23</v>
      </c>
      <c r="M2360" t="s">
        <v>24</v>
      </c>
      <c r="N2360" t="s">
        <v>23</v>
      </c>
      <c r="O2360">
        <v>38</v>
      </c>
      <c r="P2360" t="s">
        <v>53</v>
      </c>
      <c r="Q2360" t="s">
        <v>37</v>
      </c>
      <c r="R2360" s="1">
        <v>0.1</v>
      </c>
      <c r="S2360">
        <f t="shared" si="144"/>
        <v>83.7</v>
      </c>
      <c r="T2360">
        <f>IFERROR(VLOOKUP(A2360,Table1[[Customer ID]:[Discount Amount]], 6, FALSE),"Not Found")</f>
        <v>93</v>
      </c>
      <c r="U2360" t="str">
        <f t="shared" si="145"/>
        <v>Credit Card</v>
      </c>
      <c r="V2360" s="4" t="str">
        <f t="shared" si="146"/>
        <v>Normal</v>
      </c>
      <c r="W2360" s="4" t="str">
        <f t="shared" si="147"/>
        <v>Good</v>
      </c>
      <c r="X2360" s="4">
        <f>AVERAGE(Table1[Purchase Amount])</f>
        <v>129.48419400000012</v>
      </c>
    </row>
    <row r="2361" spans="1:24" ht="15" customHeight="1" x14ac:dyDescent="0.25">
      <c r="A2361">
        <v>2360</v>
      </c>
      <c r="B2361">
        <v>19</v>
      </c>
      <c r="C2361" t="s">
        <v>27</v>
      </c>
      <c r="D2361" t="s">
        <v>129</v>
      </c>
      <c r="E2361" t="s">
        <v>29</v>
      </c>
      <c r="F2361" s="2">
        <v>81</v>
      </c>
      <c r="G2361" t="s">
        <v>78</v>
      </c>
      <c r="H2361" t="s">
        <v>55</v>
      </c>
      <c r="I2361" t="s">
        <v>133</v>
      </c>
      <c r="J2361" t="s">
        <v>33</v>
      </c>
      <c r="K2361">
        <v>3.3</v>
      </c>
      <c r="L2361" t="s">
        <v>23</v>
      </c>
      <c r="M2361" t="s">
        <v>41</v>
      </c>
      <c r="N2361" t="s">
        <v>23</v>
      </c>
      <c r="O2361">
        <v>44</v>
      </c>
      <c r="P2361" t="s">
        <v>88</v>
      </c>
      <c r="Q2361" t="s">
        <v>63</v>
      </c>
      <c r="R2361" s="1">
        <v>0.1</v>
      </c>
      <c r="S2361">
        <f t="shared" si="144"/>
        <v>72.900000000000006</v>
      </c>
      <c r="T2361">
        <f>IFERROR(VLOOKUP(A2361,Table1[[Customer ID]:[Discount Amount]], 6, FALSE),"Not Found")</f>
        <v>81</v>
      </c>
      <c r="U2361" t="str">
        <f t="shared" si="145"/>
        <v>Bank Transfer</v>
      </c>
      <c r="V2361" s="4" t="str">
        <f t="shared" si="146"/>
        <v>Normal</v>
      </c>
      <c r="W2361" s="4" t="str">
        <f t="shared" si="147"/>
        <v>Good</v>
      </c>
      <c r="X2361" s="4">
        <f>AVERAGE(Table1[Purchase Amount])</f>
        <v>129.48419400000012</v>
      </c>
    </row>
    <row r="2362" spans="1:24" ht="15" customHeight="1" x14ac:dyDescent="0.25">
      <c r="A2362">
        <v>2361</v>
      </c>
      <c r="B2362">
        <v>49</v>
      </c>
      <c r="C2362" t="s">
        <v>27</v>
      </c>
      <c r="D2362" t="s">
        <v>69</v>
      </c>
      <c r="E2362" t="s">
        <v>29</v>
      </c>
      <c r="F2362" s="2">
        <v>80</v>
      </c>
      <c r="G2362" t="s">
        <v>101</v>
      </c>
      <c r="H2362" t="s">
        <v>45</v>
      </c>
      <c r="I2362" t="s">
        <v>153</v>
      </c>
      <c r="J2362" t="s">
        <v>47</v>
      </c>
      <c r="K2362">
        <v>4.7</v>
      </c>
      <c r="L2362" t="s">
        <v>23</v>
      </c>
      <c r="M2362" t="s">
        <v>41</v>
      </c>
      <c r="N2362" t="s">
        <v>23</v>
      </c>
      <c r="O2362">
        <v>27</v>
      </c>
      <c r="P2362" t="s">
        <v>62</v>
      </c>
      <c r="Q2362" t="s">
        <v>63</v>
      </c>
      <c r="R2362" s="1">
        <v>0.1</v>
      </c>
      <c r="S2362">
        <f t="shared" si="144"/>
        <v>72</v>
      </c>
      <c r="T2362">
        <f>IFERROR(VLOOKUP(A2362,Table1[[Customer ID]:[Discount Amount]], 6, FALSE),"Not Found")</f>
        <v>80</v>
      </c>
      <c r="U2362" t="str">
        <f t="shared" si="145"/>
        <v>Venmo</v>
      </c>
      <c r="V2362" s="4" t="str">
        <f t="shared" si="146"/>
        <v>Normal</v>
      </c>
      <c r="W2362" s="4" t="str">
        <f t="shared" si="147"/>
        <v>Good</v>
      </c>
      <c r="X2362" s="4">
        <f>AVERAGE(Table1[Purchase Amount])</f>
        <v>129.48419400000012</v>
      </c>
    </row>
    <row r="2363" spans="1:24" ht="15" customHeight="1" x14ac:dyDescent="0.25">
      <c r="A2363">
        <v>2362</v>
      </c>
      <c r="B2363">
        <v>44</v>
      </c>
      <c r="C2363" t="s">
        <v>27</v>
      </c>
      <c r="D2363" t="s">
        <v>129</v>
      </c>
      <c r="E2363" t="s">
        <v>29</v>
      </c>
      <c r="F2363" s="2">
        <v>64</v>
      </c>
      <c r="G2363" t="s">
        <v>51</v>
      </c>
      <c r="H2363" t="s">
        <v>31</v>
      </c>
      <c r="I2363" t="s">
        <v>85</v>
      </c>
      <c r="J2363" t="s">
        <v>33</v>
      </c>
      <c r="K2363">
        <v>4.3</v>
      </c>
      <c r="L2363" t="s">
        <v>23</v>
      </c>
      <c r="M2363" t="s">
        <v>41</v>
      </c>
      <c r="N2363" t="s">
        <v>23</v>
      </c>
      <c r="O2363">
        <v>30</v>
      </c>
      <c r="P2363" t="s">
        <v>53</v>
      </c>
      <c r="Q2363" t="s">
        <v>63</v>
      </c>
      <c r="R2363" s="1">
        <v>0.1</v>
      </c>
      <c r="S2363">
        <f t="shared" si="144"/>
        <v>57.6</v>
      </c>
      <c r="T2363">
        <f>IFERROR(VLOOKUP(A2363,Table1[[Customer ID]:[Discount Amount]], 6, FALSE),"Not Found")</f>
        <v>64</v>
      </c>
      <c r="U2363" t="str">
        <f t="shared" si="145"/>
        <v>Credit Card</v>
      </c>
      <c r="V2363" s="4" t="str">
        <f t="shared" si="146"/>
        <v>Normal</v>
      </c>
      <c r="W2363" s="4" t="str">
        <f t="shared" si="147"/>
        <v>Good</v>
      </c>
      <c r="X2363" s="4">
        <f>AVERAGE(Table1[Purchase Amount])</f>
        <v>129.48419400000012</v>
      </c>
    </row>
    <row r="2364" spans="1:24" ht="15" customHeight="1" x14ac:dyDescent="0.25">
      <c r="A2364">
        <v>2363</v>
      </c>
      <c r="B2364">
        <v>27</v>
      </c>
      <c r="C2364" t="s">
        <v>27</v>
      </c>
      <c r="D2364" t="s">
        <v>109</v>
      </c>
      <c r="E2364" t="s">
        <v>18</v>
      </c>
      <c r="F2364" s="2">
        <v>41</v>
      </c>
      <c r="G2364" t="s">
        <v>138</v>
      </c>
      <c r="H2364" t="s">
        <v>31</v>
      </c>
      <c r="I2364" t="s">
        <v>60</v>
      </c>
      <c r="J2364" t="s">
        <v>47</v>
      </c>
      <c r="K2364">
        <v>2.7</v>
      </c>
      <c r="L2364" t="s">
        <v>23</v>
      </c>
      <c r="M2364" t="s">
        <v>24</v>
      </c>
      <c r="N2364" t="s">
        <v>23</v>
      </c>
      <c r="O2364">
        <v>24</v>
      </c>
      <c r="P2364" t="s">
        <v>53</v>
      </c>
      <c r="Q2364" t="s">
        <v>42</v>
      </c>
      <c r="R2364" s="1">
        <v>0.1</v>
      </c>
      <c r="S2364">
        <f t="shared" si="144"/>
        <v>36.9</v>
      </c>
      <c r="T2364">
        <f>IFERROR(VLOOKUP(A2364,Table1[[Customer ID]:[Discount Amount]], 6, FALSE),"Not Found")</f>
        <v>41</v>
      </c>
      <c r="U2364" t="str">
        <f t="shared" si="145"/>
        <v>Credit Card</v>
      </c>
      <c r="V2364" s="4" t="str">
        <f t="shared" si="146"/>
        <v>Normal</v>
      </c>
      <c r="W2364" s="4" t="str">
        <f t="shared" si="147"/>
        <v>Poor</v>
      </c>
      <c r="X2364" s="4">
        <f>AVERAGE(Table1[Purchase Amount])</f>
        <v>129.48419400000012</v>
      </c>
    </row>
    <row r="2365" spans="1:24" ht="15" customHeight="1" x14ac:dyDescent="0.25">
      <c r="A2365">
        <v>2364</v>
      </c>
      <c r="B2365">
        <v>60</v>
      </c>
      <c r="C2365" t="s">
        <v>27</v>
      </c>
      <c r="D2365" t="s">
        <v>105</v>
      </c>
      <c r="E2365" t="s">
        <v>18</v>
      </c>
      <c r="F2365" s="2">
        <v>79</v>
      </c>
      <c r="G2365" t="s">
        <v>78</v>
      </c>
      <c r="H2365" t="s">
        <v>20</v>
      </c>
      <c r="I2365" t="s">
        <v>136</v>
      </c>
      <c r="J2365" t="s">
        <v>22</v>
      </c>
      <c r="K2365">
        <v>4.2</v>
      </c>
      <c r="L2365" t="s">
        <v>23</v>
      </c>
      <c r="M2365" t="s">
        <v>61</v>
      </c>
      <c r="N2365" t="s">
        <v>23</v>
      </c>
      <c r="O2365">
        <v>38</v>
      </c>
      <c r="P2365" t="s">
        <v>25</v>
      </c>
      <c r="Q2365" t="s">
        <v>68</v>
      </c>
      <c r="R2365" s="1">
        <v>0.1</v>
      </c>
      <c r="S2365">
        <f t="shared" si="144"/>
        <v>71.099999999999994</v>
      </c>
      <c r="T2365">
        <f>IFERROR(VLOOKUP(A2365,Table1[[Customer ID]:[Discount Amount]], 6, FALSE),"Not Found")</f>
        <v>79</v>
      </c>
      <c r="U2365" t="str">
        <f t="shared" si="145"/>
        <v>Cash</v>
      </c>
      <c r="V2365" s="4" t="str">
        <f t="shared" si="146"/>
        <v>Normal</v>
      </c>
      <c r="W2365" s="4" t="str">
        <f t="shared" si="147"/>
        <v>Good</v>
      </c>
      <c r="X2365" s="4">
        <f>AVERAGE(Table1[Purchase Amount])</f>
        <v>129.48419400000012</v>
      </c>
    </row>
    <row r="2366" spans="1:24" ht="15" customHeight="1" x14ac:dyDescent="0.25">
      <c r="A2366">
        <v>2365</v>
      </c>
      <c r="B2366">
        <v>62</v>
      </c>
      <c r="C2366" t="s">
        <v>27</v>
      </c>
      <c r="D2366" t="s">
        <v>28</v>
      </c>
      <c r="E2366" t="s">
        <v>29</v>
      </c>
      <c r="F2366" s="2">
        <v>60</v>
      </c>
      <c r="G2366" t="s">
        <v>149</v>
      </c>
      <c r="H2366" t="s">
        <v>45</v>
      </c>
      <c r="I2366" t="s">
        <v>125</v>
      </c>
      <c r="J2366" t="s">
        <v>22</v>
      </c>
      <c r="K2366">
        <v>4.2</v>
      </c>
      <c r="L2366" t="s">
        <v>23</v>
      </c>
      <c r="M2366" t="s">
        <v>35</v>
      </c>
      <c r="N2366" t="s">
        <v>23</v>
      </c>
      <c r="O2366">
        <v>4</v>
      </c>
      <c r="P2366" t="s">
        <v>58</v>
      </c>
      <c r="Q2366" t="s">
        <v>37</v>
      </c>
      <c r="R2366" s="1">
        <v>0.1</v>
      </c>
      <c r="S2366">
        <f t="shared" si="144"/>
        <v>54</v>
      </c>
      <c r="T2366">
        <f>IFERROR(VLOOKUP(A2366,Table1[[Customer ID]:[Discount Amount]], 6, FALSE),"Not Found")</f>
        <v>60</v>
      </c>
      <c r="U2366" t="str">
        <f t="shared" si="145"/>
        <v>PayPal</v>
      </c>
      <c r="V2366" s="4" t="str">
        <f t="shared" si="146"/>
        <v>Normal</v>
      </c>
      <c r="W2366" s="4" t="str">
        <f t="shared" si="147"/>
        <v>Good</v>
      </c>
      <c r="X2366" s="4">
        <f>AVERAGE(Table1[Purchase Amount])</f>
        <v>129.48419400000012</v>
      </c>
    </row>
    <row r="2367" spans="1:24" ht="15" customHeight="1" x14ac:dyDescent="0.25">
      <c r="A2367">
        <v>2366</v>
      </c>
      <c r="B2367">
        <v>52</v>
      </c>
      <c r="C2367" t="s">
        <v>27</v>
      </c>
      <c r="D2367" t="s">
        <v>140</v>
      </c>
      <c r="E2367" t="s">
        <v>98</v>
      </c>
      <c r="F2367" s="2">
        <v>91</v>
      </c>
      <c r="G2367" t="s">
        <v>162</v>
      </c>
      <c r="H2367" t="s">
        <v>55</v>
      </c>
      <c r="I2367" t="s">
        <v>145</v>
      </c>
      <c r="J2367" t="s">
        <v>22</v>
      </c>
      <c r="K2367">
        <v>2.5</v>
      </c>
      <c r="L2367" t="s">
        <v>23</v>
      </c>
      <c r="M2367" t="s">
        <v>79</v>
      </c>
      <c r="N2367" t="s">
        <v>23</v>
      </c>
      <c r="O2367">
        <v>32</v>
      </c>
      <c r="P2367" t="s">
        <v>62</v>
      </c>
      <c r="Q2367" t="s">
        <v>42</v>
      </c>
      <c r="R2367" s="1">
        <v>0.1</v>
      </c>
      <c r="S2367">
        <f t="shared" si="144"/>
        <v>81.900000000000006</v>
      </c>
      <c r="T2367">
        <f>IFERROR(VLOOKUP(A2367,Table1[[Customer ID]:[Discount Amount]], 6, FALSE),"Not Found")</f>
        <v>91</v>
      </c>
      <c r="U2367" t="str">
        <f t="shared" si="145"/>
        <v>Venmo</v>
      </c>
      <c r="V2367" s="4" t="str">
        <f t="shared" si="146"/>
        <v>Normal</v>
      </c>
      <c r="W2367" s="4" t="str">
        <f t="shared" si="147"/>
        <v>Poor</v>
      </c>
      <c r="X2367" s="4">
        <f>AVERAGE(Table1[Purchase Amount])</f>
        <v>129.48419400000012</v>
      </c>
    </row>
    <row r="2368" spans="1:24" ht="15" customHeight="1" x14ac:dyDescent="0.25">
      <c r="A2368">
        <v>2367</v>
      </c>
      <c r="B2368">
        <v>30</v>
      </c>
      <c r="C2368" t="s">
        <v>27</v>
      </c>
      <c r="D2368" t="s">
        <v>72</v>
      </c>
      <c r="E2368" t="s">
        <v>98</v>
      </c>
      <c r="F2368" s="2">
        <v>66</v>
      </c>
      <c r="G2368" t="s">
        <v>110</v>
      </c>
      <c r="H2368" t="s">
        <v>45</v>
      </c>
      <c r="I2368" t="s">
        <v>60</v>
      </c>
      <c r="J2368" t="s">
        <v>22</v>
      </c>
      <c r="K2368">
        <v>3.6</v>
      </c>
      <c r="L2368" t="s">
        <v>23</v>
      </c>
      <c r="M2368" t="s">
        <v>61</v>
      </c>
      <c r="N2368" t="s">
        <v>23</v>
      </c>
      <c r="O2368">
        <v>32</v>
      </c>
      <c r="P2368" t="s">
        <v>53</v>
      </c>
      <c r="Q2368" t="s">
        <v>89</v>
      </c>
      <c r="R2368" s="1">
        <v>0.1</v>
      </c>
      <c r="S2368">
        <f t="shared" si="144"/>
        <v>59.4</v>
      </c>
      <c r="T2368">
        <f>IFERROR(VLOOKUP(A2368,Table1[[Customer ID]:[Discount Amount]], 6, FALSE),"Not Found")</f>
        <v>66</v>
      </c>
      <c r="U2368" t="str">
        <f t="shared" si="145"/>
        <v>Credit Card</v>
      </c>
      <c r="V2368" s="4" t="str">
        <f t="shared" si="146"/>
        <v>Normal</v>
      </c>
      <c r="W2368" s="4" t="str">
        <f t="shared" si="147"/>
        <v>Good</v>
      </c>
      <c r="X2368" s="4">
        <f>AVERAGE(Table1[Purchase Amount])</f>
        <v>129.48419400000012</v>
      </c>
    </row>
    <row r="2369" spans="1:24" ht="15" customHeight="1" x14ac:dyDescent="0.25">
      <c r="A2369">
        <v>2368</v>
      </c>
      <c r="B2369">
        <v>66</v>
      </c>
      <c r="C2369" t="s">
        <v>27</v>
      </c>
      <c r="D2369" t="s">
        <v>105</v>
      </c>
      <c r="E2369" t="s">
        <v>18</v>
      </c>
      <c r="F2369" s="2">
        <v>85</v>
      </c>
      <c r="G2369" t="s">
        <v>86</v>
      </c>
      <c r="H2369" t="s">
        <v>45</v>
      </c>
      <c r="I2369" t="s">
        <v>93</v>
      </c>
      <c r="J2369" t="s">
        <v>22</v>
      </c>
      <c r="K2369">
        <v>3.4</v>
      </c>
      <c r="L2369" t="s">
        <v>23</v>
      </c>
      <c r="M2369" t="s">
        <v>24</v>
      </c>
      <c r="N2369" t="s">
        <v>23</v>
      </c>
      <c r="O2369">
        <v>28</v>
      </c>
      <c r="P2369" t="s">
        <v>88</v>
      </c>
      <c r="Q2369" t="s">
        <v>68</v>
      </c>
      <c r="R2369" s="1">
        <v>0.1</v>
      </c>
      <c r="S2369">
        <f t="shared" si="144"/>
        <v>76.5</v>
      </c>
      <c r="T2369">
        <f>IFERROR(VLOOKUP(A2369,Table1[[Customer ID]:[Discount Amount]], 6, FALSE),"Not Found")</f>
        <v>85</v>
      </c>
      <c r="U2369" t="str">
        <f t="shared" si="145"/>
        <v>Bank Transfer</v>
      </c>
      <c r="V2369" s="4" t="str">
        <f t="shared" si="146"/>
        <v>Normal</v>
      </c>
      <c r="W2369" s="4" t="str">
        <f t="shared" si="147"/>
        <v>Good</v>
      </c>
      <c r="X2369" s="4">
        <f>AVERAGE(Table1[Purchase Amount])</f>
        <v>129.48419400000012</v>
      </c>
    </row>
    <row r="2370" spans="1:24" ht="15" customHeight="1" x14ac:dyDescent="0.25">
      <c r="A2370">
        <v>2369</v>
      </c>
      <c r="B2370">
        <v>29</v>
      </c>
      <c r="C2370" t="s">
        <v>27</v>
      </c>
      <c r="D2370" t="s">
        <v>28</v>
      </c>
      <c r="E2370" t="s">
        <v>29</v>
      </c>
      <c r="F2370" s="2">
        <v>38</v>
      </c>
      <c r="G2370" t="s">
        <v>131</v>
      </c>
      <c r="H2370" t="s">
        <v>31</v>
      </c>
      <c r="I2370" t="s">
        <v>107</v>
      </c>
      <c r="J2370" t="s">
        <v>57</v>
      </c>
      <c r="K2370">
        <v>3.3</v>
      </c>
      <c r="L2370" t="s">
        <v>23</v>
      </c>
      <c r="M2370" t="s">
        <v>24</v>
      </c>
      <c r="N2370" t="s">
        <v>23</v>
      </c>
      <c r="O2370">
        <v>6</v>
      </c>
      <c r="P2370" t="s">
        <v>36</v>
      </c>
      <c r="Q2370" t="s">
        <v>63</v>
      </c>
      <c r="R2370" s="1">
        <v>0.1</v>
      </c>
      <c r="S2370">
        <f t="shared" ref="S2370:S2433" si="148">F2370-(F2370*R2370)</f>
        <v>34.200000000000003</v>
      </c>
      <c r="T2370">
        <f>IFERROR(VLOOKUP(A2370,Table1[[Customer ID]:[Discount Amount]], 6, FALSE),"Not Found")</f>
        <v>38</v>
      </c>
      <c r="U2370" t="str">
        <f t="shared" ref="U2370:U2433" si="149">INDEX(P:P, MATCH(A2370, A:A, 0))</f>
        <v>Debit Card</v>
      </c>
      <c r="V2370" s="4" t="str">
        <f t="shared" ref="V2370:V2433" si="150">IF(AND(F2370&gt;1000,K2370&gt;=4),"Best Customer","Normal")</f>
        <v>Normal</v>
      </c>
      <c r="W2370" s="4" t="str">
        <f t="shared" ref="W2370:W2433" si="151">IF(K2370&gt;=3,"Good","Poor")</f>
        <v>Good</v>
      </c>
      <c r="X2370" s="4">
        <f>AVERAGE(Table1[Purchase Amount])</f>
        <v>129.48419400000012</v>
      </c>
    </row>
    <row r="2371" spans="1:24" ht="15" customHeight="1" x14ac:dyDescent="0.25">
      <c r="A2371">
        <v>2370</v>
      </c>
      <c r="B2371">
        <v>24</v>
      </c>
      <c r="C2371" t="s">
        <v>27</v>
      </c>
      <c r="D2371" t="s">
        <v>127</v>
      </c>
      <c r="E2371" t="s">
        <v>18</v>
      </c>
      <c r="F2371" s="2">
        <v>23</v>
      </c>
      <c r="G2371" t="s">
        <v>84</v>
      </c>
      <c r="H2371" t="s">
        <v>31</v>
      </c>
      <c r="I2371" t="s">
        <v>128</v>
      </c>
      <c r="J2371" t="s">
        <v>22</v>
      </c>
      <c r="K2371">
        <v>4.5999999999999996</v>
      </c>
      <c r="L2371" t="s">
        <v>23</v>
      </c>
      <c r="M2371" t="s">
        <v>24</v>
      </c>
      <c r="N2371" t="s">
        <v>23</v>
      </c>
      <c r="O2371">
        <v>24</v>
      </c>
      <c r="P2371" t="s">
        <v>58</v>
      </c>
      <c r="Q2371" t="s">
        <v>42</v>
      </c>
      <c r="R2371" s="1">
        <v>0.1</v>
      </c>
      <c r="S2371">
        <f t="shared" si="148"/>
        <v>20.7</v>
      </c>
      <c r="T2371">
        <f>IFERROR(VLOOKUP(A2371,Table1[[Customer ID]:[Discount Amount]], 6, FALSE),"Not Found")</f>
        <v>23</v>
      </c>
      <c r="U2371" t="str">
        <f t="shared" si="149"/>
        <v>PayPal</v>
      </c>
      <c r="V2371" s="4" t="str">
        <f t="shared" si="150"/>
        <v>Normal</v>
      </c>
      <c r="W2371" s="4" t="str">
        <f t="shared" si="151"/>
        <v>Good</v>
      </c>
      <c r="X2371" s="4">
        <f>AVERAGE(Table1[Purchase Amount])</f>
        <v>129.48419400000012</v>
      </c>
    </row>
    <row r="2372" spans="1:24" ht="15" customHeight="1" x14ac:dyDescent="0.25">
      <c r="A2372">
        <v>2371</v>
      </c>
      <c r="B2372">
        <v>51</v>
      </c>
      <c r="C2372" t="s">
        <v>27</v>
      </c>
      <c r="D2372" t="s">
        <v>72</v>
      </c>
      <c r="E2372" t="s">
        <v>98</v>
      </c>
      <c r="F2372" s="2">
        <v>71</v>
      </c>
      <c r="G2372" t="s">
        <v>148</v>
      </c>
      <c r="H2372" t="s">
        <v>31</v>
      </c>
      <c r="I2372" t="s">
        <v>40</v>
      </c>
      <c r="J2372" t="s">
        <v>33</v>
      </c>
      <c r="K2372">
        <v>3.9</v>
      </c>
      <c r="L2372" t="s">
        <v>23</v>
      </c>
      <c r="M2372" t="s">
        <v>48</v>
      </c>
      <c r="N2372" t="s">
        <v>23</v>
      </c>
      <c r="O2372">
        <v>38</v>
      </c>
      <c r="P2372" t="s">
        <v>62</v>
      </c>
      <c r="Q2372" t="s">
        <v>26</v>
      </c>
      <c r="R2372" s="1">
        <v>0.1</v>
      </c>
      <c r="S2372">
        <f t="shared" si="148"/>
        <v>63.9</v>
      </c>
      <c r="T2372">
        <f>IFERROR(VLOOKUP(A2372,Table1[[Customer ID]:[Discount Amount]], 6, FALSE),"Not Found")</f>
        <v>71</v>
      </c>
      <c r="U2372" t="str">
        <f t="shared" si="149"/>
        <v>Venmo</v>
      </c>
      <c r="V2372" s="4" t="str">
        <f t="shared" si="150"/>
        <v>Normal</v>
      </c>
      <c r="W2372" s="4" t="str">
        <f t="shared" si="151"/>
        <v>Good</v>
      </c>
      <c r="X2372" s="4">
        <f>AVERAGE(Table1[Purchase Amount])</f>
        <v>129.48419400000012</v>
      </c>
    </row>
    <row r="2373" spans="1:24" ht="15" customHeight="1" x14ac:dyDescent="0.25">
      <c r="A2373">
        <v>2372</v>
      </c>
      <c r="B2373">
        <v>67</v>
      </c>
      <c r="C2373" t="s">
        <v>27</v>
      </c>
      <c r="D2373" t="s">
        <v>105</v>
      </c>
      <c r="E2373" t="s">
        <v>18</v>
      </c>
      <c r="F2373" s="2">
        <v>25</v>
      </c>
      <c r="G2373" t="s">
        <v>102</v>
      </c>
      <c r="H2373" t="s">
        <v>31</v>
      </c>
      <c r="I2373" t="s">
        <v>103</v>
      </c>
      <c r="J2373" t="s">
        <v>22</v>
      </c>
      <c r="K2373">
        <v>3.7</v>
      </c>
      <c r="L2373" t="s">
        <v>23</v>
      </c>
      <c r="M2373" t="s">
        <v>79</v>
      </c>
      <c r="N2373" t="s">
        <v>23</v>
      </c>
      <c r="O2373">
        <v>28</v>
      </c>
      <c r="P2373" t="s">
        <v>36</v>
      </c>
      <c r="Q2373" t="s">
        <v>49</v>
      </c>
      <c r="R2373" s="1">
        <v>0.1</v>
      </c>
      <c r="S2373">
        <f t="shared" si="148"/>
        <v>22.5</v>
      </c>
      <c r="T2373">
        <f>IFERROR(VLOOKUP(A2373,Table1[[Customer ID]:[Discount Amount]], 6, FALSE),"Not Found")</f>
        <v>25</v>
      </c>
      <c r="U2373" t="str">
        <f t="shared" si="149"/>
        <v>Debit Card</v>
      </c>
      <c r="V2373" s="4" t="str">
        <f t="shared" si="150"/>
        <v>Normal</v>
      </c>
      <c r="W2373" s="4" t="str">
        <f t="shared" si="151"/>
        <v>Good</v>
      </c>
      <c r="X2373" s="4">
        <f>AVERAGE(Table1[Purchase Amount])</f>
        <v>129.48419400000012</v>
      </c>
    </row>
    <row r="2374" spans="1:24" ht="15" customHeight="1" x14ac:dyDescent="0.25">
      <c r="A2374">
        <v>2373</v>
      </c>
      <c r="B2374">
        <v>50</v>
      </c>
      <c r="C2374" t="s">
        <v>27</v>
      </c>
      <c r="D2374" t="s">
        <v>151</v>
      </c>
      <c r="E2374" t="s">
        <v>98</v>
      </c>
      <c r="F2374" s="2">
        <v>39</v>
      </c>
      <c r="G2374" t="s">
        <v>51</v>
      </c>
      <c r="H2374" t="s">
        <v>20</v>
      </c>
      <c r="I2374" t="s">
        <v>153</v>
      </c>
      <c r="J2374" t="s">
        <v>33</v>
      </c>
      <c r="K2374">
        <v>3.1</v>
      </c>
      <c r="L2374" t="s">
        <v>23</v>
      </c>
      <c r="M2374" t="s">
        <v>61</v>
      </c>
      <c r="N2374" t="s">
        <v>23</v>
      </c>
      <c r="O2374">
        <v>9</v>
      </c>
      <c r="P2374" t="s">
        <v>58</v>
      </c>
      <c r="Q2374" t="s">
        <v>89</v>
      </c>
      <c r="R2374" s="1">
        <v>0.1</v>
      </c>
      <c r="S2374">
        <f t="shared" si="148"/>
        <v>35.1</v>
      </c>
      <c r="T2374">
        <f>IFERROR(VLOOKUP(A2374,Table1[[Customer ID]:[Discount Amount]], 6, FALSE),"Not Found")</f>
        <v>39</v>
      </c>
      <c r="U2374" t="str">
        <f t="shared" si="149"/>
        <v>PayPal</v>
      </c>
      <c r="V2374" s="4" t="str">
        <f t="shared" si="150"/>
        <v>Normal</v>
      </c>
      <c r="W2374" s="4" t="str">
        <f t="shared" si="151"/>
        <v>Good</v>
      </c>
      <c r="X2374" s="4">
        <f>AVERAGE(Table1[Purchase Amount])</f>
        <v>129.48419400000012</v>
      </c>
    </row>
    <row r="2375" spans="1:24" ht="15" customHeight="1" x14ac:dyDescent="0.25">
      <c r="A2375">
        <v>2374</v>
      </c>
      <c r="B2375">
        <v>37</v>
      </c>
      <c r="C2375" t="s">
        <v>27</v>
      </c>
      <c r="D2375" t="s">
        <v>83</v>
      </c>
      <c r="E2375" t="s">
        <v>18</v>
      </c>
      <c r="F2375" s="2">
        <v>20</v>
      </c>
      <c r="G2375" t="s">
        <v>113</v>
      </c>
      <c r="H2375" t="s">
        <v>31</v>
      </c>
      <c r="I2375" t="s">
        <v>85</v>
      </c>
      <c r="J2375" t="s">
        <v>33</v>
      </c>
      <c r="K2375">
        <v>4.9000000000000004</v>
      </c>
      <c r="L2375" t="s">
        <v>23</v>
      </c>
      <c r="M2375" t="s">
        <v>61</v>
      </c>
      <c r="N2375" t="s">
        <v>23</v>
      </c>
      <c r="O2375">
        <v>21</v>
      </c>
      <c r="P2375" t="s">
        <v>36</v>
      </c>
      <c r="Q2375" t="s">
        <v>63</v>
      </c>
      <c r="R2375" s="1">
        <v>0.1</v>
      </c>
      <c r="S2375">
        <f t="shared" si="148"/>
        <v>18</v>
      </c>
      <c r="T2375">
        <f>IFERROR(VLOOKUP(A2375,Table1[[Customer ID]:[Discount Amount]], 6, FALSE),"Not Found")</f>
        <v>20</v>
      </c>
      <c r="U2375" t="str">
        <f t="shared" si="149"/>
        <v>Debit Card</v>
      </c>
      <c r="V2375" s="4" t="str">
        <f t="shared" si="150"/>
        <v>Normal</v>
      </c>
      <c r="W2375" s="4" t="str">
        <f t="shared" si="151"/>
        <v>Good</v>
      </c>
      <c r="X2375" s="4">
        <f>AVERAGE(Table1[Purchase Amount])</f>
        <v>129.48419400000012</v>
      </c>
    </row>
    <row r="2376" spans="1:24" ht="15" customHeight="1" x14ac:dyDescent="0.25">
      <c r="A2376">
        <v>2375</v>
      </c>
      <c r="B2376">
        <v>69</v>
      </c>
      <c r="C2376" t="s">
        <v>27</v>
      </c>
      <c r="D2376" t="s">
        <v>43</v>
      </c>
      <c r="E2376" t="s">
        <v>29</v>
      </c>
      <c r="F2376" s="2">
        <v>73</v>
      </c>
      <c r="G2376" t="s">
        <v>155</v>
      </c>
      <c r="H2376" t="s">
        <v>45</v>
      </c>
      <c r="I2376" t="s">
        <v>145</v>
      </c>
      <c r="J2376" t="s">
        <v>22</v>
      </c>
      <c r="K2376">
        <v>4.7</v>
      </c>
      <c r="L2376" t="s">
        <v>23</v>
      </c>
      <c r="M2376" t="s">
        <v>24</v>
      </c>
      <c r="N2376" t="s">
        <v>23</v>
      </c>
      <c r="O2376">
        <v>31</v>
      </c>
      <c r="P2376" t="s">
        <v>36</v>
      </c>
      <c r="Q2376" t="s">
        <v>42</v>
      </c>
      <c r="R2376" s="1">
        <v>0.1</v>
      </c>
      <c r="S2376">
        <f t="shared" si="148"/>
        <v>65.7</v>
      </c>
      <c r="T2376">
        <f>IFERROR(VLOOKUP(A2376,Table1[[Customer ID]:[Discount Amount]], 6, FALSE),"Not Found")</f>
        <v>73</v>
      </c>
      <c r="U2376" t="str">
        <f t="shared" si="149"/>
        <v>Debit Card</v>
      </c>
      <c r="V2376" s="4" t="str">
        <f t="shared" si="150"/>
        <v>Normal</v>
      </c>
      <c r="W2376" s="4" t="str">
        <f t="shared" si="151"/>
        <v>Good</v>
      </c>
      <c r="X2376" s="4">
        <f>AVERAGE(Table1[Purchase Amount])</f>
        <v>129.48419400000012</v>
      </c>
    </row>
    <row r="2377" spans="1:24" ht="15" customHeight="1" x14ac:dyDescent="0.25">
      <c r="A2377">
        <v>2376</v>
      </c>
      <c r="B2377">
        <v>60</v>
      </c>
      <c r="C2377" t="s">
        <v>27</v>
      </c>
      <c r="D2377" t="s">
        <v>104</v>
      </c>
      <c r="E2377" t="s">
        <v>29</v>
      </c>
      <c r="F2377" s="2">
        <v>63</v>
      </c>
      <c r="G2377" t="s">
        <v>138</v>
      </c>
      <c r="H2377" t="s">
        <v>45</v>
      </c>
      <c r="I2377" t="s">
        <v>145</v>
      </c>
      <c r="J2377" t="s">
        <v>47</v>
      </c>
      <c r="K2377">
        <v>2.9</v>
      </c>
      <c r="L2377" t="s">
        <v>23</v>
      </c>
      <c r="M2377" t="s">
        <v>79</v>
      </c>
      <c r="N2377" t="s">
        <v>23</v>
      </c>
      <c r="O2377">
        <v>18</v>
      </c>
      <c r="P2377" t="s">
        <v>53</v>
      </c>
      <c r="Q2377" t="s">
        <v>37</v>
      </c>
      <c r="R2377" s="1">
        <v>0.1</v>
      </c>
      <c r="S2377">
        <f t="shared" si="148"/>
        <v>56.7</v>
      </c>
      <c r="T2377">
        <f>IFERROR(VLOOKUP(A2377,Table1[[Customer ID]:[Discount Amount]], 6, FALSE),"Not Found")</f>
        <v>63</v>
      </c>
      <c r="U2377" t="str">
        <f t="shared" si="149"/>
        <v>Credit Card</v>
      </c>
      <c r="V2377" s="4" t="str">
        <f t="shared" si="150"/>
        <v>Normal</v>
      </c>
      <c r="W2377" s="4" t="str">
        <f t="shared" si="151"/>
        <v>Poor</v>
      </c>
      <c r="X2377" s="4">
        <f>AVERAGE(Table1[Purchase Amount])</f>
        <v>129.48419400000012</v>
      </c>
    </row>
    <row r="2378" spans="1:24" ht="15" customHeight="1" x14ac:dyDescent="0.25">
      <c r="A2378">
        <v>2377</v>
      </c>
      <c r="B2378">
        <v>21</v>
      </c>
      <c r="C2378" t="s">
        <v>27</v>
      </c>
      <c r="D2378" t="s">
        <v>43</v>
      </c>
      <c r="E2378" t="s">
        <v>29</v>
      </c>
      <c r="F2378" s="2">
        <v>94</v>
      </c>
      <c r="G2378" t="s">
        <v>65</v>
      </c>
      <c r="H2378" t="s">
        <v>20</v>
      </c>
      <c r="I2378" t="s">
        <v>128</v>
      </c>
      <c r="J2378" t="s">
        <v>33</v>
      </c>
      <c r="K2378">
        <v>4.0999999999999996</v>
      </c>
      <c r="L2378" t="s">
        <v>23</v>
      </c>
      <c r="M2378" t="s">
        <v>61</v>
      </c>
      <c r="N2378" t="s">
        <v>23</v>
      </c>
      <c r="O2378">
        <v>5</v>
      </c>
      <c r="P2378" t="s">
        <v>25</v>
      </c>
      <c r="Q2378" t="s">
        <v>26</v>
      </c>
      <c r="R2378" s="1">
        <v>0.1</v>
      </c>
      <c r="S2378">
        <f t="shared" si="148"/>
        <v>84.6</v>
      </c>
      <c r="T2378">
        <f>IFERROR(VLOOKUP(A2378,Table1[[Customer ID]:[Discount Amount]], 6, FALSE),"Not Found")</f>
        <v>94</v>
      </c>
      <c r="U2378" t="str">
        <f t="shared" si="149"/>
        <v>Cash</v>
      </c>
      <c r="V2378" s="4" t="str">
        <f t="shared" si="150"/>
        <v>Normal</v>
      </c>
      <c r="W2378" s="4" t="str">
        <f t="shared" si="151"/>
        <v>Good</v>
      </c>
      <c r="X2378" s="4">
        <f>AVERAGE(Table1[Purchase Amount])</f>
        <v>129.48419400000012</v>
      </c>
    </row>
    <row r="2379" spans="1:24" ht="15" customHeight="1" x14ac:dyDescent="0.25">
      <c r="A2379">
        <v>2378</v>
      </c>
      <c r="B2379">
        <v>44</v>
      </c>
      <c r="C2379" t="s">
        <v>27</v>
      </c>
      <c r="D2379" t="s">
        <v>118</v>
      </c>
      <c r="E2379" t="s">
        <v>18</v>
      </c>
      <c r="F2379" s="2">
        <v>94</v>
      </c>
      <c r="G2379" t="s">
        <v>130</v>
      </c>
      <c r="H2379" t="s">
        <v>45</v>
      </c>
      <c r="I2379" t="s">
        <v>87</v>
      </c>
      <c r="J2379" t="s">
        <v>47</v>
      </c>
      <c r="K2379">
        <v>4</v>
      </c>
      <c r="L2379" t="s">
        <v>23</v>
      </c>
      <c r="M2379" t="s">
        <v>79</v>
      </c>
      <c r="N2379" t="s">
        <v>23</v>
      </c>
      <c r="O2379">
        <v>22</v>
      </c>
      <c r="P2379" t="s">
        <v>25</v>
      </c>
      <c r="Q2379" t="s">
        <v>49</v>
      </c>
      <c r="R2379" s="1">
        <v>0.1</v>
      </c>
      <c r="S2379">
        <f t="shared" si="148"/>
        <v>84.6</v>
      </c>
      <c r="T2379">
        <f>IFERROR(VLOOKUP(A2379,Table1[[Customer ID]:[Discount Amount]], 6, FALSE),"Not Found")</f>
        <v>94</v>
      </c>
      <c r="U2379" t="str">
        <f t="shared" si="149"/>
        <v>Cash</v>
      </c>
      <c r="V2379" s="4" t="str">
        <f t="shared" si="150"/>
        <v>Normal</v>
      </c>
      <c r="W2379" s="4" t="str">
        <f t="shared" si="151"/>
        <v>Good</v>
      </c>
      <c r="X2379" s="4">
        <f>AVERAGE(Table1[Purchase Amount])</f>
        <v>129.48419400000012</v>
      </c>
    </row>
    <row r="2380" spans="1:24" ht="15" customHeight="1" x14ac:dyDescent="0.25">
      <c r="A2380">
        <v>2379</v>
      </c>
      <c r="B2380">
        <v>26</v>
      </c>
      <c r="C2380" t="s">
        <v>27</v>
      </c>
      <c r="D2380" t="s">
        <v>129</v>
      </c>
      <c r="E2380" t="s">
        <v>29</v>
      </c>
      <c r="F2380" s="2">
        <v>71</v>
      </c>
      <c r="G2380" t="s">
        <v>132</v>
      </c>
      <c r="H2380" t="s">
        <v>45</v>
      </c>
      <c r="I2380" t="s">
        <v>147</v>
      </c>
      <c r="J2380" t="s">
        <v>57</v>
      </c>
      <c r="K2380">
        <v>2.7</v>
      </c>
      <c r="L2380" t="s">
        <v>23</v>
      </c>
      <c r="M2380" t="s">
        <v>48</v>
      </c>
      <c r="N2380" t="s">
        <v>23</v>
      </c>
      <c r="O2380">
        <v>37</v>
      </c>
      <c r="P2380" t="s">
        <v>58</v>
      </c>
      <c r="Q2380" t="s">
        <v>68</v>
      </c>
      <c r="R2380" s="1">
        <v>0.1</v>
      </c>
      <c r="S2380">
        <f t="shared" si="148"/>
        <v>63.9</v>
      </c>
      <c r="T2380">
        <f>IFERROR(VLOOKUP(A2380,Table1[[Customer ID]:[Discount Amount]], 6, FALSE),"Not Found")</f>
        <v>71</v>
      </c>
      <c r="U2380" t="str">
        <f t="shared" si="149"/>
        <v>PayPal</v>
      </c>
      <c r="V2380" s="4" t="str">
        <f t="shared" si="150"/>
        <v>Normal</v>
      </c>
      <c r="W2380" s="4" t="str">
        <f t="shared" si="151"/>
        <v>Poor</v>
      </c>
      <c r="X2380" s="4">
        <f>AVERAGE(Table1[Purchase Amount])</f>
        <v>129.48419400000012</v>
      </c>
    </row>
    <row r="2381" spans="1:24" ht="15" customHeight="1" x14ac:dyDescent="0.25">
      <c r="A2381">
        <v>2380</v>
      </c>
      <c r="B2381">
        <v>40</v>
      </c>
      <c r="C2381" t="s">
        <v>27</v>
      </c>
      <c r="D2381" t="s">
        <v>64</v>
      </c>
      <c r="E2381" t="s">
        <v>29</v>
      </c>
      <c r="F2381" s="2">
        <v>77</v>
      </c>
      <c r="G2381" t="s">
        <v>130</v>
      </c>
      <c r="H2381" t="s">
        <v>31</v>
      </c>
      <c r="I2381" t="s">
        <v>145</v>
      </c>
      <c r="J2381" t="s">
        <v>33</v>
      </c>
      <c r="K2381">
        <v>4</v>
      </c>
      <c r="L2381" t="s">
        <v>23</v>
      </c>
      <c r="M2381" t="s">
        <v>41</v>
      </c>
      <c r="N2381" t="s">
        <v>23</v>
      </c>
      <c r="O2381">
        <v>22</v>
      </c>
      <c r="P2381" t="s">
        <v>36</v>
      </c>
      <c r="Q2381" t="s">
        <v>42</v>
      </c>
      <c r="R2381" s="1">
        <v>0.1</v>
      </c>
      <c r="S2381">
        <f t="shared" si="148"/>
        <v>69.3</v>
      </c>
      <c r="T2381">
        <f>IFERROR(VLOOKUP(A2381,Table1[[Customer ID]:[Discount Amount]], 6, FALSE),"Not Found")</f>
        <v>77</v>
      </c>
      <c r="U2381" t="str">
        <f t="shared" si="149"/>
        <v>Debit Card</v>
      </c>
      <c r="V2381" s="4" t="str">
        <f t="shared" si="150"/>
        <v>Normal</v>
      </c>
      <c r="W2381" s="4" t="str">
        <f t="shared" si="151"/>
        <v>Good</v>
      </c>
      <c r="X2381" s="4">
        <f>AVERAGE(Table1[Purchase Amount])</f>
        <v>129.48419400000012</v>
      </c>
    </row>
    <row r="2382" spans="1:24" ht="15" customHeight="1" x14ac:dyDescent="0.25">
      <c r="A2382">
        <v>2381</v>
      </c>
      <c r="B2382">
        <v>41</v>
      </c>
      <c r="C2382" t="s">
        <v>27</v>
      </c>
      <c r="D2382" t="s">
        <v>129</v>
      </c>
      <c r="E2382" t="s">
        <v>29</v>
      </c>
      <c r="F2382" s="2">
        <v>66</v>
      </c>
      <c r="G2382" t="s">
        <v>78</v>
      </c>
      <c r="H2382" t="s">
        <v>31</v>
      </c>
      <c r="I2382" t="s">
        <v>40</v>
      </c>
      <c r="J2382" t="s">
        <v>47</v>
      </c>
      <c r="K2382">
        <v>2.5</v>
      </c>
      <c r="L2382" t="s">
        <v>23</v>
      </c>
      <c r="M2382" t="s">
        <v>79</v>
      </c>
      <c r="N2382" t="s">
        <v>23</v>
      </c>
      <c r="O2382">
        <v>36</v>
      </c>
      <c r="P2382" t="s">
        <v>58</v>
      </c>
      <c r="Q2382" t="s">
        <v>89</v>
      </c>
      <c r="R2382" s="1">
        <v>0.1</v>
      </c>
      <c r="S2382">
        <f t="shared" si="148"/>
        <v>59.4</v>
      </c>
      <c r="T2382">
        <f>IFERROR(VLOOKUP(A2382,Table1[[Customer ID]:[Discount Amount]], 6, FALSE),"Not Found")</f>
        <v>66</v>
      </c>
      <c r="U2382" t="str">
        <f t="shared" si="149"/>
        <v>PayPal</v>
      </c>
      <c r="V2382" s="4" t="str">
        <f t="shared" si="150"/>
        <v>Normal</v>
      </c>
      <c r="W2382" s="4" t="str">
        <f t="shared" si="151"/>
        <v>Poor</v>
      </c>
      <c r="X2382" s="4">
        <f>AVERAGE(Table1[Purchase Amount])</f>
        <v>129.48419400000012</v>
      </c>
    </row>
    <row r="2383" spans="1:24" ht="15" customHeight="1" x14ac:dyDescent="0.25">
      <c r="A2383">
        <v>2382</v>
      </c>
      <c r="B2383">
        <v>62</v>
      </c>
      <c r="C2383" t="s">
        <v>27</v>
      </c>
      <c r="D2383" t="s">
        <v>121</v>
      </c>
      <c r="E2383" t="s">
        <v>98</v>
      </c>
      <c r="F2383" s="2">
        <v>23</v>
      </c>
      <c r="G2383" t="s">
        <v>59</v>
      </c>
      <c r="H2383" t="s">
        <v>31</v>
      </c>
      <c r="I2383" t="s">
        <v>147</v>
      </c>
      <c r="J2383" t="s">
        <v>57</v>
      </c>
      <c r="K2383">
        <v>4.5</v>
      </c>
      <c r="L2383" t="s">
        <v>23</v>
      </c>
      <c r="M2383" t="s">
        <v>35</v>
      </c>
      <c r="N2383" t="s">
        <v>23</v>
      </c>
      <c r="O2383">
        <v>23</v>
      </c>
      <c r="P2383" t="s">
        <v>58</v>
      </c>
      <c r="Q2383" t="s">
        <v>49</v>
      </c>
      <c r="R2383" s="1">
        <v>0.1</v>
      </c>
      <c r="S2383">
        <f t="shared" si="148"/>
        <v>20.7</v>
      </c>
      <c r="T2383">
        <f>IFERROR(VLOOKUP(A2383,Table1[[Customer ID]:[Discount Amount]], 6, FALSE),"Not Found")</f>
        <v>23</v>
      </c>
      <c r="U2383" t="str">
        <f t="shared" si="149"/>
        <v>PayPal</v>
      </c>
      <c r="V2383" s="4" t="str">
        <f t="shared" si="150"/>
        <v>Normal</v>
      </c>
      <c r="W2383" s="4" t="str">
        <f t="shared" si="151"/>
        <v>Good</v>
      </c>
      <c r="X2383" s="4">
        <f>AVERAGE(Table1[Purchase Amount])</f>
        <v>129.48419400000012</v>
      </c>
    </row>
    <row r="2384" spans="1:24" ht="15" customHeight="1" x14ac:dyDescent="0.25">
      <c r="A2384">
        <v>2383</v>
      </c>
      <c r="B2384">
        <v>39</v>
      </c>
      <c r="C2384" t="s">
        <v>27</v>
      </c>
      <c r="D2384" t="s">
        <v>127</v>
      </c>
      <c r="E2384" t="s">
        <v>18</v>
      </c>
      <c r="F2384" s="2">
        <v>60</v>
      </c>
      <c r="G2384" t="s">
        <v>19</v>
      </c>
      <c r="H2384" t="s">
        <v>31</v>
      </c>
      <c r="I2384" t="s">
        <v>156</v>
      </c>
      <c r="J2384" t="s">
        <v>33</v>
      </c>
      <c r="K2384">
        <v>3.9</v>
      </c>
      <c r="L2384" t="s">
        <v>23</v>
      </c>
      <c r="M2384" t="s">
        <v>61</v>
      </c>
      <c r="N2384" t="s">
        <v>23</v>
      </c>
      <c r="O2384">
        <v>44</v>
      </c>
      <c r="P2384" t="s">
        <v>36</v>
      </c>
      <c r="Q2384" t="s">
        <v>26</v>
      </c>
      <c r="R2384" s="1">
        <v>0.1</v>
      </c>
      <c r="S2384">
        <f t="shared" si="148"/>
        <v>54</v>
      </c>
      <c r="T2384">
        <f>IFERROR(VLOOKUP(A2384,Table1[[Customer ID]:[Discount Amount]], 6, FALSE),"Not Found")</f>
        <v>60</v>
      </c>
      <c r="U2384" t="str">
        <f t="shared" si="149"/>
        <v>Debit Card</v>
      </c>
      <c r="V2384" s="4" t="str">
        <f t="shared" si="150"/>
        <v>Normal</v>
      </c>
      <c r="W2384" s="4" t="str">
        <f t="shared" si="151"/>
        <v>Good</v>
      </c>
      <c r="X2384" s="4">
        <f>AVERAGE(Table1[Purchase Amount])</f>
        <v>129.48419400000012</v>
      </c>
    </row>
    <row r="2385" spans="1:24" ht="15" customHeight="1" x14ac:dyDescent="0.25">
      <c r="A2385">
        <v>2384</v>
      </c>
      <c r="B2385">
        <v>53</v>
      </c>
      <c r="C2385" t="s">
        <v>27</v>
      </c>
      <c r="D2385" t="s">
        <v>104</v>
      </c>
      <c r="E2385" t="s">
        <v>29</v>
      </c>
      <c r="F2385" s="2">
        <v>72</v>
      </c>
      <c r="G2385" t="s">
        <v>159</v>
      </c>
      <c r="H2385" t="s">
        <v>45</v>
      </c>
      <c r="I2385" t="s">
        <v>133</v>
      </c>
      <c r="J2385" t="s">
        <v>33</v>
      </c>
      <c r="K2385">
        <v>4.9000000000000004</v>
      </c>
      <c r="L2385" t="s">
        <v>23</v>
      </c>
      <c r="M2385" t="s">
        <v>41</v>
      </c>
      <c r="N2385" t="s">
        <v>23</v>
      </c>
      <c r="O2385">
        <v>25</v>
      </c>
      <c r="P2385" t="s">
        <v>88</v>
      </c>
      <c r="Q2385" t="s">
        <v>49</v>
      </c>
      <c r="R2385" s="1">
        <v>0.1</v>
      </c>
      <c r="S2385">
        <f t="shared" si="148"/>
        <v>64.8</v>
      </c>
      <c r="T2385">
        <f>IFERROR(VLOOKUP(A2385,Table1[[Customer ID]:[Discount Amount]], 6, FALSE),"Not Found")</f>
        <v>72</v>
      </c>
      <c r="U2385" t="str">
        <f t="shared" si="149"/>
        <v>Bank Transfer</v>
      </c>
      <c r="V2385" s="4" t="str">
        <f t="shared" si="150"/>
        <v>Normal</v>
      </c>
      <c r="W2385" s="4" t="str">
        <f t="shared" si="151"/>
        <v>Good</v>
      </c>
      <c r="X2385" s="4">
        <f>AVERAGE(Table1[Purchase Amount])</f>
        <v>129.48419400000012</v>
      </c>
    </row>
    <row r="2386" spans="1:24" ht="15" customHeight="1" x14ac:dyDescent="0.25">
      <c r="A2386">
        <v>2385</v>
      </c>
      <c r="B2386">
        <v>24</v>
      </c>
      <c r="C2386" t="s">
        <v>27</v>
      </c>
      <c r="D2386" t="s">
        <v>118</v>
      </c>
      <c r="E2386" t="s">
        <v>18</v>
      </c>
      <c r="F2386" s="2">
        <v>35</v>
      </c>
      <c r="G2386" t="s">
        <v>51</v>
      </c>
      <c r="H2386" t="s">
        <v>45</v>
      </c>
      <c r="I2386" t="s">
        <v>93</v>
      </c>
      <c r="J2386" t="s">
        <v>22</v>
      </c>
      <c r="K2386">
        <v>3.3</v>
      </c>
      <c r="L2386" t="s">
        <v>23</v>
      </c>
      <c r="M2386" t="s">
        <v>41</v>
      </c>
      <c r="N2386" t="s">
        <v>23</v>
      </c>
      <c r="O2386">
        <v>40</v>
      </c>
      <c r="P2386" t="s">
        <v>58</v>
      </c>
      <c r="Q2386" t="s">
        <v>37</v>
      </c>
      <c r="R2386" s="1">
        <v>0.1</v>
      </c>
      <c r="S2386">
        <f t="shared" si="148"/>
        <v>31.5</v>
      </c>
      <c r="T2386">
        <f>IFERROR(VLOOKUP(A2386,Table1[[Customer ID]:[Discount Amount]], 6, FALSE),"Not Found")</f>
        <v>35</v>
      </c>
      <c r="U2386" t="str">
        <f t="shared" si="149"/>
        <v>PayPal</v>
      </c>
      <c r="V2386" s="4" t="str">
        <f t="shared" si="150"/>
        <v>Normal</v>
      </c>
      <c r="W2386" s="4" t="str">
        <f t="shared" si="151"/>
        <v>Good</v>
      </c>
      <c r="X2386" s="4">
        <f>AVERAGE(Table1[Purchase Amount])</f>
        <v>129.48419400000012</v>
      </c>
    </row>
    <row r="2387" spans="1:24" ht="15" customHeight="1" x14ac:dyDescent="0.25">
      <c r="A2387">
        <v>2386</v>
      </c>
      <c r="B2387">
        <v>41</v>
      </c>
      <c r="C2387" t="s">
        <v>27</v>
      </c>
      <c r="D2387" t="s">
        <v>129</v>
      </c>
      <c r="E2387" t="s">
        <v>29</v>
      </c>
      <c r="F2387" s="2">
        <v>31</v>
      </c>
      <c r="G2387" t="s">
        <v>142</v>
      </c>
      <c r="H2387" t="s">
        <v>31</v>
      </c>
      <c r="I2387" t="s">
        <v>60</v>
      </c>
      <c r="J2387" t="s">
        <v>47</v>
      </c>
      <c r="K2387">
        <v>3.8</v>
      </c>
      <c r="L2387" t="s">
        <v>23</v>
      </c>
      <c r="M2387" t="s">
        <v>61</v>
      </c>
      <c r="N2387" t="s">
        <v>23</v>
      </c>
      <c r="O2387">
        <v>12</v>
      </c>
      <c r="P2387" t="s">
        <v>58</v>
      </c>
      <c r="Q2387" t="s">
        <v>26</v>
      </c>
      <c r="R2387" s="1">
        <v>0.1</v>
      </c>
      <c r="S2387">
        <f t="shared" si="148"/>
        <v>27.9</v>
      </c>
      <c r="T2387">
        <f>IFERROR(VLOOKUP(A2387,Table1[[Customer ID]:[Discount Amount]], 6, FALSE),"Not Found")</f>
        <v>31</v>
      </c>
      <c r="U2387" t="str">
        <f t="shared" si="149"/>
        <v>PayPal</v>
      </c>
      <c r="V2387" s="4" t="str">
        <f t="shared" si="150"/>
        <v>Normal</v>
      </c>
      <c r="W2387" s="4" t="str">
        <f t="shared" si="151"/>
        <v>Good</v>
      </c>
      <c r="X2387" s="4">
        <f>AVERAGE(Table1[Purchase Amount])</f>
        <v>129.48419400000012</v>
      </c>
    </row>
    <row r="2388" spans="1:24" ht="15" customHeight="1" x14ac:dyDescent="0.25">
      <c r="A2388">
        <v>2387</v>
      </c>
      <c r="B2388">
        <v>19</v>
      </c>
      <c r="C2388" t="s">
        <v>27</v>
      </c>
      <c r="D2388" t="s">
        <v>105</v>
      </c>
      <c r="E2388" t="s">
        <v>18</v>
      </c>
      <c r="F2388" s="2">
        <v>33</v>
      </c>
      <c r="G2388" t="s">
        <v>44</v>
      </c>
      <c r="H2388" t="s">
        <v>45</v>
      </c>
      <c r="I2388" t="s">
        <v>74</v>
      </c>
      <c r="J2388" t="s">
        <v>57</v>
      </c>
      <c r="K2388">
        <v>2.9</v>
      </c>
      <c r="L2388" t="s">
        <v>23</v>
      </c>
      <c r="M2388" t="s">
        <v>24</v>
      </c>
      <c r="N2388" t="s">
        <v>23</v>
      </c>
      <c r="O2388">
        <v>14</v>
      </c>
      <c r="P2388" t="s">
        <v>62</v>
      </c>
      <c r="Q2388" t="s">
        <v>42</v>
      </c>
      <c r="R2388" s="1">
        <v>0.1</v>
      </c>
      <c r="S2388">
        <f t="shared" si="148"/>
        <v>29.7</v>
      </c>
      <c r="T2388">
        <f>IFERROR(VLOOKUP(A2388,Table1[[Customer ID]:[Discount Amount]], 6, FALSE),"Not Found")</f>
        <v>33</v>
      </c>
      <c r="U2388" t="str">
        <f t="shared" si="149"/>
        <v>Venmo</v>
      </c>
      <c r="V2388" s="4" t="str">
        <f t="shared" si="150"/>
        <v>Normal</v>
      </c>
      <c r="W2388" s="4" t="str">
        <f t="shared" si="151"/>
        <v>Poor</v>
      </c>
      <c r="X2388" s="4">
        <f>AVERAGE(Table1[Purchase Amount])</f>
        <v>129.48419400000012</v>
      </c>
    </row>
    <row r="2389" spans="1:24" ht="15" customHeight="1" x14ac:dyDescent="0.25">
      <c r="A2389">
        <v>2388</v>
      </c>
      <c r="B2389">
        <v>36</v>
      </c>
      <c r="C2389" t="s">
        <v>27</v>
      </c>
      <c r="D2389" t="s">
        <v>64</v>
      </c>
      <c r="E2389" t="s">
        <v>29</v>
      </c>
      <c r="F2389" s="2">
        <v>95</v>
      </c>
      <c r="G2389" t="s">
        <v>65</v>
      </c>
      <c r="H2389" t="s">
        <v>31</v>
      </c>
      <c r="I2389" t="s">
        <v>133</v>
      </c>
      <c r="J2389" t="s">
        <v>57</v>
      </c>
      <c r="K2389">
        <v>4</v>
      </c>
      <c r="L2389" t="s">
        <v>23</v>
      </c>
      <c r="M2389" t="s">
        <v>41</v>
      </c>
      <c r="N2389" t="s">
        <v>23</v>
      </c>
      <c r="O2389">
        <v>14</v>
      </c>
      <c r="P2389" t="s">
        <v>36</v>
      </c>
      <c r="Q2389" t="s">
        <v>42</v>
      </c>
      <c r="R2389" s="1">
        <v>0.1</v>
      </c>
      <c r="S2389">
        <f t="shared" si="148"/>
        <v>85.5</v>
      </c>
      <c r="T2389">
        <f>IFERROR(VLOOKUP(A2389,Table1[[Customer ID]:[Discount Amount]], 6, FALSE),"Not Found")</f>
        <v>95</v>
      </c>
      <c r="U2389" t="str">
        <f t="shared" si="149"/>
        <v>Debit Card</v>
      </c>
      <c r="V2389" s="4" t="str">
        <f t="shared" si="150"/>
        <v>Normal</v>
      </c>
      <c r="W2389" s="4" t="str">
        <f t="shared" si="151"/>
        <v>Good</v>
      </c>
      <c r="X2389" s="4">
        <f>AVERAGE(Table1[Purchase Amount])</f>
        <v>129.48419400000012</v>
      </c>
    </row>
    <row r="2390" spans="1:24" ht="15" customHeight="1" x14ac:dyDescent="0.25">
      <c r="A2390">
        <v>2389</v>
      </c>
      <c r="B2390">
        <v>21</v>
      </c>
      <c r="C2390" t="s">
        <v>27</v>
      </c>
      <c r="D2390" t="s">
        <v>157</v>
      </c>
      <c r="E2390" t="s">
        <v>18</v>
      </c>
      <c r="F2390" s="2">
        <v>68</v>
      </c>
      <c r="G2390" t="s">
        <v>51</v>
      </c>
      <c r="H2390" t="s">
        <v>31</v>
      </c>
      <c r="I2390" t="s">
        <v>145</v>
      </c>
      <c r="J2390" t="s">
        <v>47</v>
      </c>
      <c r="K2390">
        <v>4.0999999999999996</v>
      </c>
      <c r="L2390" t="s">
        <v>23</v>
      </c>
      <c r="M2390" t="s">
        <v>48</v>
      </c>
      <c r="N2390" t="s">
        <v>23</v>
      </c>
      <c r="O2390">
        <v>10</v>
      </c>
      <c r="P2390" t="s">
        <v>36</v>
      </c>
      <c r="Q2390" t="s">
        <v>49</v>
      </c>
      <c r="R2390" s="1">
        <v>0.1</v>
      </c>
      <c r="S2390">
        <f t="shared" si="148"/>
        <v>61.2</v>
      </c>
      <c r="T2390">
        <f>IFERROR(VLOOKUP(A2390,Table1[[Customer ID]:[Discount Amount]], 6, FALSE),"Not Found")</f>
        <v>68</v>
      </c>
      <c r="U2390" t="str">
        <f t="shared" si="149"/>
        <v>Debit Card</v>
      </c>
      <c r="V2390" s="4" t="str">
        <f t="shared" si="150"/>
        <v>Normal</v>
      </c>
      <c r="W2390" s="4" t="str">
        <f t="shared" si="151"/>
        <v>Good</v>
      </c>
      <c r="X2390" s="4">
        <f>AVERAGE(Table1[Purchase Amount])</f>
        <v>129.48419400000012</v>
      </c>
    </row>
    <row r="2391" spans="1:24" ht="15" customHeight="1" x14ac:dyDescent="0.25">
      <c r="A2391">
        <v>2390</v>
      </c>
      <c r="B2391">
        <v>25</v>
      </c>
      <c r="C2391" t="s">
        <v>27</v>
      </c>
      <c r="D2391" t="s">
        <v>76</v>
      </c>
      <c r="E2391" t="s">
        <v>77</v>
      </c>
      <c r="F2391" s="2">
        <v>87</v>
      </c>
      <c r="G2391" t="s">
        <v>124</v>
      </c>
      <c r="H2391" t="s">
        <v>31</v>
      </c>
      <c r="I2391" t="s">
        <v>111</v>
      </c>
      <c r="J2391" t="s">
        <v>33</v>
      </c>
      <c r="K2391">
        <v>3.1</v>
      </c>
      <c r="L2391" t="s">
        <v>23</v>
      </c>
      <c r="M2391" t="s">
        <v>48</v>
      </c>
      <c r="N2391" t="s">
        <v>23</v>
      </c>
      <c r="O2391">
        <v>17</v>
      </c>
      <c r="P2391" t="s">
        <v>88</v>
      </c>
      <c r="Q2391" t="s">
        <v>63</v>
      </c>
      <c r="R2391" s="1">
        <v>0.1</v>
      </c>
      <c r="S2391">
        <f t="shared" si="148"/>
        <v>78.3</v>
      </c>
      <c r="T2391">
        <f>IFERROR(VLOOKUP(A2391,Table1[[Customer ID]:[Discount Amount]], 6, FALSE),"Not Found")</f>
        <v>87</v>
      </c>
      <c r="U2391" t="str">
        <f t="shared" si="149"/>
        <v>Bank Transfer</v>
      </c>
      <c r="V2391" s="4" t="str">
        <f t="shared" si="150"/>
        <v>Normal</v>
      </c>
      <c r="W2391" s="4" t="str">
        <f t="shared" si="151"/>
        <v>Good</v>
      </c>
      <c r="X2391" s="4">
        <f>AVERAGE(Table1[Purchase Amount])</f>
        <v>129.48419400000012</v>
      </c>
    </row>
    <row r="2392" spans="1:24" ht="15" customHeight="1" x14ac:dyDescent="0.25">
      <c r="A2392">
        <v>2391</v>
      </c>
      <c r="B2392">
        <v>65</v>
      </c>
      <c r="C2392" t="s">
        <v>27</v>
      </c>
      <c r="D2392" t="s">
        <v>38</v>
      </c>
      <c r="E2392" t="s">
        <v>18</v>
      </c>
      <c r="F2392" s="2">
        <v>64</v>
      </c>
      <c r="G2392" t="s">
        <v>150</v>
      </c>
      <c r="H2392" t="s">
        <v>20</v>
      </c>
      <c r="I2392" t="s">
        <v>52</v>
      </c>
      <c r="J2392" t="s">
        <v>22</v>
      </c>
      <c r="K2392">
        <v>4.5999999999999996</v>
      </c>
      <c r="L2392" t="s">
        <v>23</v>
      </c>
      <c r="M2392" t="s">
        <v>61</v>
      </c>
      <c r="N2392" t="s">
        <v>23</v>
      </c>
      <c r="O2392">
        <v>24</v>
      </c>
      <c r="P2392" t="s">
        <v>36</v>
      </c>
      <c r="Q2392" t="s">
        <v>89</v>
      </c>
      <c r="R2392" s="1">
        <v>0.1</v>
      </c>
      <c r="S2392">
        <f t="shared" si="148"/>
        <v>57.6</v>
      </c>
      <c r="T2392">
        <f>IFERROR(VLOOKUP(A2392,Table1[[Customer ID]:[Discount Amount]], 6, FALSE),"Not Found")</f>
        <v>64</v>
      </c>
      <c r="U2392" t="str">
        <f t="shared" si="149"/>
        <v>Debit Card</v>
      </c>
      <c r="V2392" s="4" t="str">
        <f t="shared" si="150"/>
        <v>Normal</v>
      </c>
      <c r="W2392" s="4" t="str">
        <f t="shared" si="151"/>
        <v>Good</v>
      </c>
      <c r="X2392" s="4">
        <f>AVERAGE(Table1[Purchase Amount])</f>
        <v>129.48419400000012</v>
      </c>
    </row>
    <row r="2393" spans="1:24" ht="15" customHeight="1" x14ac:dyDescent="0.25">
      <c r="A2393">
        <v>2392</v>
      </c>
      <c r="B2393">
        <v>42</v>
      </c>
      <c r="C2393" t="s">
        <v>27</v>
      </c>
      <c r="D2393" t="s">
        <v>38</v>
      </c>
      <c r="E2393" t="s">
        <v>18</v>
      </c>
      <c r="F2393" s="2">
        <v>74</v>
      </c>
      <c r="G2393" t="s">
        <v>113</v>
      </c>
      <c r="H2393" t="s">
        <v>31</v>
      </c>
      <c r="I2393" t="s">
        <v>40</v>
      </c>
      <c r="J2393" t="s">
        <v>22</v>
      </c>
      <c r="K2393">
        <v>4.5999999999999996</v>
      </c>
      <c r="L2393" t="s">
        <v>23</v>
      </c>
      <c r="M2393" t="s">
        <v>79</v>
      </c>
      <c r="N2393" t="s">
        <v>23</v>
      </c>
      <c r="O2393">
        <v>31</v>
      </c>
      <c r="P2393" t="s">
        <v>88</v>
      </c>
      <c r="Q2393" t="s">
        <v>37</v>
      </c>
      <c r="R2393" s="1">
        <v>0.1</v>
      </c>
      <c r="S2393">
        <f t="shared" si="148"/>
        <v>66.599999999999994</v>
      </c>
      <c r="T2393">
        <f>IFERROR(VLOOKUP(A2393,Table1[[Customer ID]:[Discount Amount]], 6, FALSE),"Not Found")</f>
        <v>74</v>
      </c>
      <c r="U2393" t="str">
        <f t="shared" si="149"/>
        <v>Bank Transfer</v>
      </c>
      <c r="V2393" s="4" t="str">
        <f t="shared" si="150"/>
        <v>Normal</v>
      </c>
      <c r="W2393" s="4" t="str">
        <f t="shared" si="151"/>
        <v>Good</v>
      </c>
      <c r="X2393" s="4">
        <f>AVERAGE(Table1[Purchase Amount])</f>
        <v>129.48419400000012</v>
      </c>
    </row>
    <row r="2394" spans="1:24" ht="15" customHeight="1" x14ac:dyDescent="0.25">
      <c r="A2394">
        <v>2393</v>
      </c>
      <c r="B2394">
        <v>40</v>
      </c>
      <c r="C2394" t="s">
        <v>27</v>
      </c>
      <c r="D2394" t="s">
        <v>109</v>
      </c>
      <c r="E2394" t="s">
        <v>18</v>
      </c>
      <c r="F2394" s="2">
        <v>62</v>
      </c>
      <c r="G2394" t="s">
        <v>146</v>
      </c>
      <c r="H2394" t="s">
        <v>45</v>
      </c>
      <c r="I2394" t="s">
        <v>153</v>
      </c>
      <c r="J2394" t="s">
        <v>33</v>
      </c>
      <c r="K2394">
        <v>2.6</v>
      </c>
      <c r="L2394" t="s">
        <v>23</v>
      </c>
      <c r="M2394" t="s">
        <v>41</v>
      </c>
      <c r="N2394" t="s">
        <v>23</v>
      </c>
      <c r="O2394">
        <v>36</v>
      </c>
      <c r="P2394" t="s">
        <v>25</v>
      </c>
      <c r="Q2394" t="s">
        <v>49</v>
      </c>
      <c r="R2394" s="1">
        <v>0.1</v>
      </c>
      <c r="S2394">
        <f t="shared" si="148"/>
        <v>55.8</v>
      </c>
      <c r="T2394">
        <f>IFERROR(VLOOKUP(A2394,Table1[[Customer ID]:[Discount Amount]], 6, FALSE),"Not Found")</f>
        <v>62</v>
      </c>
      <c r="U2394" t="str">
        <f t="shared" si="149"/>
        <v>Cash</v>
      </c>
      <c r="V2394" s="4" t="str">
        <f t="shared" si="150"/>
        <v>Normal</v>
      </c>
      <c r="W2394" s="4" t="str">
        <f t="shared" si="151"/>
        <v>Poor</v>
      </c>
      <c r="X2394" s="4">
        <f>AVERAGE(Table1[Purchase Amount])</f>
        <v>129.48419400000012</v>
      </c>
    </row>
    <row r="2395" spans="1:24" ht="15" customHeight="1" x14ac:dyDescent="0.25">
      <c r="A2395">
        <v>2394</v>
      </c>
      <c r="B2395">
        <v>58</v>
      </c>
      <c r="C2395" t="s">
        <v>27</v>
      </c>
      <c r="D2395" t="s">
        <v>105</v>
      </c>
      <c r="E2395" t="s">
        <v>18</v>
      </c>
      <c r="F2395" s="2">
        <v>97</v>
      </c>
      <c r="G2395" t="s">
        <v>119</v>
      </c>
      <c r="H2395" t="s">
        <v>31</v>
      </c>
      <c r="I2395" t="s">
        <v>60</v>
      </c>
      <c r="J2395" t="s">
        <v>22</v>
      </c>
      <c r="K2395">
        <v>5</v>
      </c>
      <c r="L2395" t="s">
        <v>23</v>
      </c>
      <c r="M2395" t="s">
        <v>41</v>
      </c>
      <c r="N2395" t="s">
        <v>23</v>
      </c>
      <c r="O2395">
        <v>38</v>
      </c>
      <c r="P2395" t="s">
        <v>58</v>
      </c>
      <c r="Q2395" t="s">
        <v>63</v>
      </c>
      <c r="R2395" s="1">
        <v>0.1</v>
      </c>
      <c r="S2395">
        <f t="shared" si="148"/>
        <v>87.3</v>
      </c>
      <c r="T2395">
        <f>IFERROR(VLOOKUP(A2395,Table1[[Customer ID]:[Discount Amount]], 6, FALSE),"Not Found")</f>
        <v>97</v>
      </c>
      <c r="U2395" t="str">
        <f t="shared" si="149"/>
        <v>PayPal</v>
      </c>
      <c r="V2395" s="4" t="str">
        <f t="shared" si="150"/>
        <v>Normal</v>
      </c>
      <c r="W2395" s="4" t="str">
        <f t="shared" si="151"/>
        <v>Good</v>
      </c>
      <c r="X2395" s="4">
        <f>AVERAGE(Table1[Purchase Amount])</f>
        <v>129.48419400000012</v>
      </c>
    </row>
    <row r="2396" spans="1:24" ht="15" customHeight="1" x14ac:dyDescent="0.25">
      <c r="A2396">
        <v>2395</v>
      </c>
      <c r="B2396">
        <v>40</v>
      </c>
      <c r="C2396" t="s">
        <v>27</v>
      </c>
      <c r="D2396" t="s">
        <v>121</v>
      </c>
      <c r="E2396" t="s">
        <v>98</v>
      </c>
      <c r="F2396" s="2">
        <v>47</v>
      </c>
      <c r="G2396" t="s">
        <v>115</v>
      </c>
      <c r="H2396" t="s">
        <v>45</v>
      </c>
      <c r="I2396" t="s">
        <v>145</v>
      </c>
      <c r="J2396" t="s">
        <v>47</v>
      </c>
      <c r="K2396">
        <v>2.9</v>
      </c>
      <c r="L2396" t="s">
        <v>23</v>
      </c>
      <c r="M2396" t="s">
        <v>41</v>
      </c>
      <c r="N2396" t="s">
        <v>23</v>
      </c>
      <c r="O2396">
        <v>23</v>
      </c>
      <c r="P2396" t="s">
        <v>36</v>
      </c>
      <c r="Q2396" t="s">
        <v>89</v>
      </c>
      <c r="R2396" s="1">
        <v>0.1</v>
      </c>
      <c r="S2396">
        <f t="shared" si="148"/>
        <v>42.3</v>
      </c>
      <c r="T2396">
        <f>IFERROR(VLOOKUP(A2396,Table1[[Customer ID]:[Discount Amount]], 6, FALSE),"Not Found")</f>
        <v>47</v>
      </c>
      <c r="U2396" t="str">
        <f t="shared" si="149"/>
        <v>Debit Card</v>
      </c>
      <c r="V2396" s="4" t="str">
        <f t="shared" si="150"/>
        <v>Normal</v>
      </c>
      <c r="W2396" s="4" t="str">
        <f t="shared" si="151"/>
        <v>Poor</v>
      </c>
      <c r="X2396" s="4">
        <f>AVERAGE(Table1[Purchase Amount])</f>
        <v>129.48419400000012</v>
      </c>
    </row>
    <row r="2397" spans="1:24" ht="15" customHeight="1" x14ac:dyDescent="0.25">
      <c r="A2397">
        <v>2396</v>
      </c>
      <c r="B2397">
        <v>62</v>
      </c>
      <c r="C2397" t="s">
        <v>27</v>
      </c>
      <c r="D2397" t="s">
        <v>118</v>
      </c>
      <c r="E2397" t="s">
        <v>18</v>
      </c>
      <c r="F2397" s="2">
        <v>83</v>
      </c>
      <c r="G2397" t="s">
        <v>115</v>
      </c>
      <c r="H2397" t="s">
        <v>31</v>
      </c>
      <c r="I2397" t="s">
        <v>128</v>
      </c>
      <c r="J2397" t="s">
        <v>22</v>
      </c>
      <c r="K2397">
        <v>3.5</v>
      </c>
      <c r="L2397" t="s">
        <v>23</v>
      </c>
      <c r="M2397" t="s">
        <v>41</v>
      </c>
      <c r="N2397" t="s">
        <v>23</v>
      </c>
      <c r="O2397">
        <v>47</v>
      </c>
      <c r="P2397" t="s">
        <v>58</v>
      </c>
      <c r="Q2397" t="s">
        <v>68</v>
      </c>
      <c r="R2397" s="1">
        <v>0.1</v>
      </c>
      <c r="S2397">
        <f t="shared" si="148"/>
        <v>74.7</v>
      </c>
      <c r="T2397">
        <f>IFERROR(VLOOKUP(A2397,Table1[[Customer ID]:[Discount Amount]], 6, FALSE),"Not Found")</f>
        <v>83</v>
      </c>
      <c r="U2397" t="str">
        <f t="shared" si="149"/>
        <v>PayPal</v>
      </c>
      <c r="V2397" s="4" t="str">
        <f t="shared" si="150"/>
        <v>Normal</v>
      </c>
      <c r="W2397" s="4" t="str">
        <f t="shared" si="151"/>
        <v>Good</v>
      </c>
      <c r="X2397" s="4">
        <f>AVERAGE(Table1[Purchase Amount])</f>
        <v>129.48419400000012</v>
      </c>
    </row>
    <row r="2398" spans="1:24" ht="15" customHeight="1" x14ac:dyDescent="0.25">
      <c r="A2398">
        <v>2397</v>
      </c>
      <c r="B2398">
        <v>38</v>
      </c>
      <c r="C2398" t="s">
        <v>27</v>
      </c>
      <c r="D2398" t="s">
        <v>38</v>
      </c>
      <c r="E2398" t="s">
        <v>18</v>
      </c>
      <c r="F2398" s="2">
        <v>82</v>
      </c>
      <c r="G2398" t="s">
        <v>123</v>
      </c>
      <c r="H2398" t="s">
        <v>31</v>
      </c>
      <c r="I2398" t="s">
        <v>21</v>
      </c>
      <c r="J2398" t="s">
        <v>33</v>
      </c>
      <c r="K2398">
        <v>3.7</v>
      </c>
      <c r="L2398" t="s">
        <v>23</v>
      </c>
      <c r="M2398" t="s">
        <v>41</v>
      </c>
      <c r="N2398" t="s">
        <v>23</v>
      </c>
      <c r="O2398">
        <v>20</v>
      </c>
      <c r="P2398" t="s">
        <v>62</v>
      </c>
      <c r="Q2398" t="s">
        <v>26</v>
      </c>
      <c r="R2398" s="1">
        <v>0.1</v>
      </c>
      <c r="S2398">
        <f t="shared" si="148"/>
        <v>73.8</v>
      </c>
      <c r="T2398">
        <f>IFERROR(VLOOKUP(A2398,Table1[[Customer ID]:[Discount Amount]], 6, FALSE),"Not Found")</f>
        <v>82</v>
      </c>
      <c r="U2398" t="str">
        <f t="shared" si="149"/>
        <v>Venmo</v>
      </c>
      <c r="V2398" s="4" t="str">
        <f t="shared" si="150"/>
        <v>Normal</v>
      </c>
      <c r="W2398" s="4" t="str">
        <f t="shared" si="151"/>
        <v>Good</v>
      </c>
      <c r="X2398" s="4">
        <f>AVERAGE(Table1[Purchase Amount])</f>
        <v>129.48419400000012</v>
      </c>
    </row>
    <row r="2399" spans="1:24" ht="15" customHeight="1" x14ac:dyDescent="0.25">
      <c r="A2399">
        <v>2398</v>
      </c>
      <c r="B2399">
        <v>37</v>
      </c>
      <c r="C2399" t="s">
        <v>27</v>
      </c>
      <c r="D2399" t="s">
        <v>28</v>
      </c>
      <c r="E2399" t="s">
        <v>29</v>
      </c>
      <c r="F2399" s="2">
        <v>26</v>
      </c>
      <c r="G2399" t="s">
        <v>154</v>
      </c>
      <c r="H2399" t="s">
        <v>45</v>
      </c>
      <c r="I2399" t="s">
        <v>40</v>
      </c>
      <c r="J2399" t="s">
        <v>47</v>
      </c>
      <c r="K2399">
        <v>2.9</v>
      </c>
      <c r="L2399" t="s">
        <v>23</v>
      </c>
      <c r="M2399" t="s">
        <v>48</v>
      </c>
      <c r="N2399" t="s">
        <v>23</v>
      </c>
      <c r="O2399">
        <v>41</v>
      </c>
      <c r="P2399" t="s">
        <v>62</v>
      </c>
      <c r="Q2399" t="s">
        <v>42</v>
      </c>
      <c r="R2399" s="1">
        <v>0.1</v>
      </c>
      <c r="S2399">
        <f t="shared" si="148"/>
        <v>23.4</v>
      </c>
      <c r="T2399">
        <f>IFERROR(VLOOKUP(A2399,Table1[[Customer ID]:[Discount Amount]], 6, FALSE),"Not Found")</f>
        <v>26</v>
      </c>
      <c r="U2399" t="str">
        <f t="shared" si="149"/>
        <v>Venmo</v>
      </c>
      <c r="V2399" s="4" t="str">
        <f t="shared" si="150"/>
        <v>Normal</v>
      </c>
      <c r="W2399" s="4" t="str">
        <f t="shared" si="151"/>
        <v>Poor</v>
      </c>
      <c r="X2399" s="4">
        <f>AVERAGE(Table1[Purchase Amount])</f>
        <v>129.48419400000012</v>
      </c>
    </row>
    <row r="2400" spans="1:24" ht="15" customHeight="1" x14ac:dyDescent="0.25">
      <c r="A2400">
        <v>2399</v>
      </c>
      <c r="B2400">
        <v>65</v>
      </c>
      <c r="C2400" t="s">
        <v>27</v>
      </c>
      <c r="D2400" t="s">
        <v>96</v>
      </c>
      <c r="E2400" t="s">
        <v>77</v>
      </c>
      <c r="F2400" s="2">
        <v>81</v>
      </c>
      <c r="G2400" t="s">
        <v>67</v>
      </c>
      <c r="H2400" t="s">
        <v>31</v>
      </c>
      <c r="I2400" t="s">
        <v>108</v>
      </c>
      <c r="J2400" t="s">
        <v>22</v>
      </c>
      <c r="K2400">
        <v>4.3</v>
      </c>
      <c r="L2400" t="s">
        <v>23</v>
      </c>
      <c r="M2400" t="s">
        <v>35</v>
      </c>
      <c r="N2400" t="s">
        <v>23</v>
      </c>
      <c r="O2400">
        <v>44</v>
      </c>
      <c r="P2400" t="s">
        <v>88</v>
      </c>
      <c r="Q2400" t="s">
        <v>89</v>
      </c>
      <c r="R2400" s="1">
        <v>0.1</v>
      </c>
      <c r="S2400">
        <f t="shared" si="148"/>
        <v>72.900000000000006</v>
      </c>
      <c r="T2400">
        <f>IFERROR(VLOOKUP(A2400,Table1[[Customer ID]:[Discount Amount]], 6, FALSE),"Not Found")</f>
        <v>81</v>
      </c>
      <c r="U2400" t="str">
        <f t="shared" si="149"/>
        <v>Bank Transfer</v>
      </c>
      <c r="V2400" s="4" t="str">
        <f t="shared" si="150"/>
        <v>Normal</v>
      </c>
      <c r="W2400" s="4" t="str">
        <f t="shared" si="151"/>
        <v>Good</v>
      </c>
      <c r="X2400" s="4">
        <f>AVERAGE(Table1[Purchase Amount])</f>
        <v>129.48419400000012</v>
      </c>
    </row>
    <row r="2401" spans="1:24" ht="15" customHeight="1" x14ac:dyDescent="0.25">
      <c r="A2401">
        <v>2400</v>
      </c>
      <c r="B2401">
        <v>55</v>
      </c>
      <c r="C2401" t="s">
        <v>27</v>
      </c>
      <c r="D2401" t="s">
        <v>157</v>
      </c>
      <c r="E2401" t="s">
        <v>18</v>
      </c>
      <c r="F2401" s="2">
        <v>44</v>
      </c>
      <c r="G2401" t="s">
        <v>132</v>
      </c>
      <c r="H2401" t="s">
        <v>45</v>
      </c>
      <c r="I2401" t="s">
        <v>56</v>
      </c>
      <c r="J2401" t="s">
        <v>33</v>
      </c>
      <c r="K2401">
        <v>3.2</v>
      </c>
      <c r="L2401" t="s">
        <v>23</v>
      </c>
      <c r="M2401" t="s">
        <v>48</v>
      </c>
      <c r="N2401" t="s">
        <v>23</v>
      </c>
      <c r="O2401">
        <v>31</v>
      </c>
      <c r="P2401" t="s">
        <v>25</v>
      </c>
      <c r="Q2401" t="s">
        <v>42</v>
      </c>
      <c r="R2401" s="1">
        <v>0.1</v>
      </c>
      <c r="S2401">
        <f t="shared" si="148"/>
        <v>39.6</v>
      </c>
      <c r="T2401">
        <f>IFERROR(VLOOKUP(A2401,Table1[[Customer ID]:[Discount Amount]], 6, FALSE),"Not Found")</f>
        <v>44</v>
      </c>
      <c r="U2401" t="str">
        <f t="shared" si="149"/>
        <v>Cash</v>
      </c>
      <c r="V2401" s="4" t="str">
        <f t="shared" si="150"/>
        <v>Normal</v>
      </c>
      <c r="W2401" s="4" t="str">
        <f t="shared" si="151"/>
        <v>Good</v>
      </c>
      <c r="X2401" s="4">
        <f>AVERAGE(Table1[Purchase Amount])</f>
        <v>129.48419400000012</v>
      </c>
    </row>
    <row r="2402" spans="1:24" ht="15" customHeight="1" x14ac:dyDescent="0.25">
      <c r="A2402">
        <v>2401</v>
      </c>
      <c r="B2402">
        <v>43</v>
      </c>
      <c r="C2402" t="s">
        <v>27</v>
      </c>
      <c r="D2402" t="s">
        <v>28</v>
      </c>
      <c r="E2402" t="s">
        <v>29</v>
      </c>
      <c r="F2402" s="2">
        <v>88</v>
      </c>
      <c r="G2402" t="s">
        <v>123</v>
      </c>
      <c r="H2402" t="s">
        <v>31</v>
      </c>
      <c r="I2402" t="s">
        <v>145</v>
      </c>
      <c r="J2402" t="s">
        <v>22</v>
      </c>
      <c r="K2402">
        <v>4.2</v>
      </c>
      <c r="L2402" t="s">
        <v>23</v>
      </c>
      <c r="M2402" t="s">
        <v>79</v>
      </c>
      <c r="N2402" t="s">
        <v>23</v>
      </c>
      <c r="O2402">
        <v>11</v>
      </c>
      <c r="P2402" t="s">
        <v>53</v>
      </c>
      <c r="Q2402" t="s">
        <v>68</v>
      </c>
      <c r="R2402" s="1">
        <v>0.1</v>
      </c>
      <c r="S2402">
        <f t="shared" si="148"/>
        <v>79.2</v>
      </c>
      <c r="T2402">
        <f>IFERROR(VLOOKUP(A2402,Table1[[Customer ID]:[Discount Amount]], 6, FALSE),"Not Found")</f>
        <v>88</v>
      </c>
      <c r="U2402" t="str">
        <f t="shared" si="149"/>
        <v>Credit Card</v>
      </c>
      <c r="V2402" s="4" t="str">
        <f t="shared" si="150"/>
        <v>Normal</v>
      </c>
      <c r="W2402" s="4" t="str">
        <f t="shared" si="151"/>
        <v>Good</v>
      </c>
      <c r="X2402" s="4">
        <f>AVERAGE(Table1[Purchase Amount])</f>
        <v>129.48419400000012</v>
      </c>
    </row>
    <row r="2403" spans="1:24" ht="15" customHeight="1" x14ac:dyDescent="0.25">
      <c r="A2403">
        <v>2402</v>
      </c>
      <c r="B2403">
        <v>43</v>
      </c>
      <c r="C2403" t="s">
        <v>27</v>
      </c>
      <c r="D2403" t="s">
        <v>151</v>
      </c>
      <c r="E2403" t="s">
        <v>98</v>
      </c>
      <c r="F2403" s="2">
        <v>76</v>
      </c>
      <c r="G2403" t="s">
        <v>123</v>
      </c>
      <c r="H2403" t="s">
        <v>31</v>
      </c>
      <c r="I2403" t="s">
        <v>136</v>
      </c>
      <c r="J2403" t="s">
        <v>22</v>
      </c>
      <c r="K2403">
        <v>4.2</v>
      </c>
      <c r="L2403" t="s">
        <v>23</v>
      </c>
      <c r="M2403" t="s">
        <v>24</v>
      </c>
      <c r="N2403" t="s">
        <v>23</v>
      </c>
      <c r="O2403">
        <v>25</v>
      </c>
      <c r="P2403" t="s">
        <v>58</v>
      </c>
      <c r="Q2403" t="s">
        <v>68</v>
      </c>
      <c r="R2403" s="1">
        <v>0.1</v>
      </c>
      <c r="S2403">
        <f t="shared" si="148"/>
        <v>68.400000000000006</v>
      </c>
      <c r="T2403">
        <f>IFERROR(VLOOKUP(A2403,Table1[[Customer ID]:[Discount Amount]], 6, FALSE),"Not Found")</f>
        <v>76</v>
      </c>
      <c r="U2403" t="str">
        <f t="shared" si="149"/>
        <v>PayPal</v>
      </c>
      <c r="V2403" s="4" t="str">
        <f t="shared" si="150"/>
        <v>Normal</v>
      </c>
      <c r="W2403" s="4" t="str">
        <f t="shared" si="151"/>
        <v>Good</v>
      </c>
      <c r="X2403" s="4">
        <f>AVERAGE(Table1[Purchase Amount])</f>
        <v>129.48419400000012</v>
      </c>
    </row>
    <row r="2404" spans="1:24" ht="15" customHeight="1" x14ac:dyDescent="0.25">
      <c r="A2404">
        <v>2403</v>
      </c>
      <c r="B2404">
        <v>45</v>
      </c>
      <c r="C2404" t="s">
        <v>27</v>
      </c>
      <c r="D2404" t="s">
        <v>129</v>
      </c>
      <c r="E2404" t="s">
        <v>29</v>
      </c>
      <c r="F2404" s="2">
        <v>89</v>
      </c>
      <c r="G2404" t="s">
        <v>144</v>
      </c>
      <c r="H2404" t="s">
        <v>31</v>
      </c>
      <c r="I2404" t="s">
        <v>60</v>
      </c>
      <c r="J2404" t="s">
        <v>22</v>
      </c>
      <c r="K2404">
        <v>3.8</v>
      </c>
      <c r="L2404" t="s">
        <v>23</v>
      </c>
      <c r="M2404" t="s">
        <v>35</v>
      </c>
      <c r="N2404" t="s">
        <v>23</v>
      </c>
      <c r="O2404">
        <v>31</v>
      </c>
      <c r="P2404" t="s">
        <v>25</v>
      </c>
      <c r="Q2404" t="s">
        <v>26</v>
      </c>
      <c r="R2404" s="1">
        <v>0.1</v>
      </c>
      <c r="S2404">
        <f t="shared" si="148"/>
        <v>80.099999999999994</v>
      </c>
      <c r="T2404">
        <f>IFERROR(VLOOKUP(A2404,Table1[[Customer ID]:[Discount Amount]], 6, FALSE),"Not Found")</f>
        <v>89</v>
      </c>
      <c r="U2404" t="str">
        <f t="shared" si="149"/>
        <v>Cash</v>
      </c>
      <c r="V2404" s="4" t="str">
        <f t="shared" si="150"/>
        <v>Normal</v>
      </c>
      <c r="W2404" s="4" t="str">
        <f t="shared" si="151"/>
        <v>Good</v>
      </c>
      <c r="X2404" s="4">
        <f>AVERAGE(Table1[Purchase Amount])</f>
        <v>129.48419400000012</v>
      </c>
    </row>
    <row r="2405" spans="1:24" ht="15" customHeight="1" x14ac:dyDescent="0.25">
      <c r="A2405">
        <v>2404</v>
      </c>
      <c r="B2405">
        <v>64</v>
      </c>
      <c r="C2405" t="s">
        <v>27</v>
      </c>
      <c r="D2405" t="s">
        <v>54</v>
      </c>
      <c r="E2405" t="s">
        <v>18</v>
      </c>
      <c r="F2405" s="2">
        <v>22</v>
      </c>
      <c r="G2405" t="s">
        <v>146</v>
      </c>
      <c r="H2405" t="s">
        <v>31</v>
      </c>
      <c r="I2405" t="s">
        <v>87</v>
      </c>
      <c r="J2405" t="s">
        <v>47</v>
      </c>
      <c r="K2405">
        <v>4.4000000000000004</v>
      </c>
      <c r="L2405" t="s">
        <v>23</v>
      </c>
      <c r="M2405" t="s">
        <v>24</v>
      </c>
      <c r="N2405" t="s">
        <v>23</v>
      </c>
      <c r="O2405">
        <v>40</v>
      </c>
      <c r="P2405" t="s">
        <v>36</v>
      </c>
      <c r="Q2405" t="s">
        <v>26</v>
      </c>
      <c r="R2405" s="1">
        <v>0.1</v>
      </c>
      <c r="S2405">
        <f t="shared" si="148"/>
        <v>19.8</v>
      </c>
      <c r="T2405">
        <f>IFERROR(VLOOKUP(A2405,Table1[[Customer ID]:[Discount Amount]], 6, FALSE),"Not Found")</f>
        <v>22</v>
      </c>
      <c r="U2405" t="str">
        <f t="shared" si="149"/>
        <v>Debit Card</v>
      </c>
      <c r="V2405" s="4" t="str">
        <f t="shared" si="150"/>
        <v>Normal</v>
      </c>
      <c r="W2405" s="4" t="str">
        <f t="shared" si="151"/>
        <v>Good</v>
      </c>
      <c r="X2405" s="4">
        <f>AVERAGE(Table1[Purchase Amount])</f>
        <v>129.48419400000012</v>
      </c>
    </row>
    <row r="2406" spans="1:24" ht="15" customHeight="1" x14ac:dyDescent="0.25">
      <c r="A2406">
        <v>2405</v>
      </c>
      <c r="B2406">
        <v>28</v>
      </c>
      <c r="C2406" t="s">
        <v>27</v>
      </c>
      <c r="D2406" t="s">
        <v>54</v>
      </c>
      <c r="E2406" t="s">
        <v>18</v>
      </c>
      <c r="F2406" s="2">
        <v>33</v>
      </c>
      <c r="G2406" t="s">
        <v>154</v>
      </c>
      <c r="H2406" t="s">
        <v>45</v>
      </c>
      <c r="I2406" t="s">
        <v>128</v>
      </c>
      <c r="J2406" t="s">
        <v>22</v>
      </c>
      <c r="K2406">
        <v>3.1</v>
      </c>
      <c r="L2406" t="s">
        <v>23</v>
      </c>
      <c r="M2406" t="s">
        <v>41</v>
      </c>
      <c r="N2406" t="s">
        <v>23</v>
      </c>
      <c r="O2406">
        <v>23</v>
      </c>
      <c r="P2406" t="s">
        <v>53</v>
      </c>
      <c r="Q2406" t="s">
        <v>68</v>
      </c>
      <c r="R2406" s="1">
        <v>0.1</v>
      </c>
      <c r="S2406">
        <f t="shared" si="148"/>
        <v>29.7</v>
      </c>
      <c r="T2406">
        <f>IFERROR(VLOOKUP(A2406,Table1[[Customer ID]:[Discount Amount]], 6, FALSE),"Not Found")</f>
        <v>33</v>
      </c>
      <c r="U2406" t="str">
        <f t="shared" si="149"/>
        <v>Credit Card</v>
      </c>
      <c r="V2406" s="4" t="str">
        <f t="shared" si="150"/>
        <v>Normal</v>
      </c>
      <c r="W2406" s="4" t="str">
        <f t="shared" si="151"/>
        <v>Good</v>
      </c>
      <c r="X2406" s="4">
        <f>AVERAGE(Table1[Purchase Amount])</f>
        <v>129.48419400000012</v>
      </c>
    </row>
    <row r="2407" spans="1:24" ht="15" customHeight="1" x14ac:dyDescent="0.25">
      <c r="A2407">
        <v>2406</v>
      </c>
      <c r="B2407">
        <v>69</v>
      </c>
      <c r="C2407" t="s">
        <v>27</v>
      </c>
      <c r="D2407" t="s">
        <v>109</v>
      </c>
      <c r="E2407" t="s">
        <v>18</v>
      </c>
      <c r="F2407" s="2">
        <v>97</v>
      </c>
      <c r="G2407" t="s">
        <v>19</v>
      </c>
      <c r="H2407" t="s">
        <v>20</v>
      </c>
      <c r="I2407" t="s">
        <v>153</v>
      </c>
      <c r="J2407" t="s">
        <v>47</v>
      </c>
      <c r="K2407">
        <v>5</v>
      </c>
      <c r="L2407" t="s">
        <v>23</v>
      </c>
      <c r="M2407" t="s">
        <v>24</v>
      </c>
      <c r="N2407" t="s">
        <v>23</v>
      </c>
      <c r="O2407">
        <v>5</v>
      </c>
      <c r="P2407" t="s">
        <v>36</v>
      </c>
      <c r="Q2407" t="s">
        <v>37</v>
      </c>
      <c r="R2407" s="1">
        <v>0.1</v>
      </c>
      <c r="S2407">
        <f t="shared" si="148"/>
        <v>87.3</v>
      </c>
      <c r="T2407">
        <f>IFERROR(VLOOKUP(A2407,Table1[[Customer ID]:[Discount Amount]], 6, FALSE),"Not Found")</f>
        <v>97</v>
      </c>
      <c r="U2407" t="str">
        <f t="shared" si="149"/>
        <v>Debit Card</v>
      </c>
      <c r="V2407" s="4" t="str">
        <f t="shared" si="150"/>
        <v>Normal</v>
      </c>
      <c r="W2407" s="4" t="str">
        <f t="shared" si="151"/>
        <v>Good</v>
      </c>
      <c r="X2407" s="4">
        <f>AVERAGE(Table1[Purchase Amount])</f>
        <v>129.48419400000012</v>
      </c>
    </row>
    <row r="2408" spans="1:24" ht="15" customHeight="1" x14ac:dyDescent="0.25">
      <c r="A2408">
        <v>2407</v>
      </c>
      <c r="B2408">
        <v>54</v>
      </c>
      <c r="C2408" t="s">
        <v>27</v>
      </c>
      <c r="D2408" t="s">
        <v>129</v>
      </c>
      <c r="E2408" t="s">
        <v>29</v>
      </c>
      <c r="F2408" s="2">
        <v>57</v>
      </c>
      <c r="G2408" t="s">
        <v>19</v>
      </c>
      <c r="H2408" t="s">
        <v>31</v>
      </c>
      <c r="I2408" t="s">
        <v>91</v>
      </c>
      <c r="J2408" t="s">
        <v>22</v>
      </c>
      <c r="K2408">
        <v>4.7</v>
      </c>
      <c r="L2408" t="s">
        <v>23</v>
      </c>
      <c r="M2408" t="s">
        <v>24</v>
      </c>
      <c r="N2408" t="s">
        <v>23</v>
      </c>
      <c r="O2408">
        <v>26</v>
      </c>
      <c r="P2408" t="s">
        <v>58</v>
      </c>
      <c r="Q2408" t="s">
        <v>26</v>
      </c>
      <c r="R2408" s="1">
        <v>0.1</v>
      </c>
      <c r="S2408">
        <f t="shared" si="148"/>
        <v>51.3</v>
      </c>
      <c r="T2408">
        <f>IFERROR(VLOOKUP(A2408,Table1[[Customer ID]:[Discount Amount]], 6, FALSE),"Not Found")</f>
        <v>57</v>
      </c>
      <c r="U2408" t="str">
        <f t="shared" si="149"/>
        <v>PayPal</v>
      </c>
      <c r="V2408" s="4" t="str">
        <f t="shared" si="150"/>
        <v>Normal</v>
      </c>
      <c r="W2408" s="4" t="str">
        <f t="shared" si="151"/>
        <v>Good</v>
      </c>
      <c r="X2408" s="4">
        <f>AVERAGE(Table1[Purchase Amount])</f>
        <v>129.48419400000012</v>
      </c>
    </row>
    <row r="2409" spans="1:24" ht="15" customHeight="1" x14ac:dyDescent="0.25">
      <c r="A2409">
        <v>2408</v>
      </c>
      <c r="B2409">
        <v>52</v>
      </c>
      <c r="C2409" t="s">
        <v>27</v>
      </c>
      <c r="D2409" t="s">
        <v>54</v>
      </c>
      <c r="E2409" t="s">
        <v>18</v>
      </c>
      <c r="F2409" s="2">
        <v>38</v>
      </c>
      <c r="G2409" t="s">
        <v>44</v>
      </c>
      <c r="H2409" t="s">
        <v>31</v>
      </c>
      <c r="I2409" t="s">
        <v>56</v>
      </c>
      <c r="J2409" t="s">
        <v>57</v>
      </c>
      <c r="K2409">
        <v>3</v>
      </c>
      <c r="L2409" t="s">
        <v>23</v>
      </c>
      <c r="M2409" t="s">
        <v>61</v>
      </c>
      <c r="N2409" t="s">
        <v>23</v>
      </c>
      <c r="O2409">
        <v>11</v>
      </c>
      <c r="P2409" t="s">
        <v>53</v>
      </c>
      <c r="Q2409" t="s">
        <v>68</v>
      </c>
      <c r="R2409" s="1">
        <v>0.1</v>
      </c>
      <c r="S2409">
        <f t="shared" si="148"/>
        <v>34.200000000000003</v>
      </c>
      <c r="T2409">
        <f>IFERROR(VLOOKUP(A2409,Table1[[Customer ID]:[Discount Amount]], 6, FALSE),"Not Found")</f>
        <v>38</v>
      </c>
      <c r="U2409" t="str">
        <f t="shared" si="149"/>
        <v>Credit Card</v>
      </c>
      <c r="V2409" s="4" t="str">
        <f t="shared" si="150"/>
        <v>Normal</v>
      </c>
      <c r="W2409" s="4" t="str">
        <f t="shared" si="151"/>
        <v>Good</v>
      </c>
      <c r="X2409" s="4">
        <f>AVERAGE(Table1[Purchase Amount])</f>
        <v>129.48419400000012</v>
      </c>
    </row>
    <row r="2410" spans="1:24" ht="15" customHeight="1" x14ac:dyDescent="0.25">
      <c r="A2410">
        <v>2409</v>
      </c>
      <c r="B2410">
        <v>23</v>
      </c>
      <c r="C2410" t="s">
        <v>27</v>
      </c>
      <c r="D2410" t="s">
        <v>140</v>
      </c>
      <c r="E2410" t="s">
        <v>98</v>
      </c>
      <c r="F2410" s="2">
        <v>55</v>
      </c>
      <c r="G2410" t="s">
        <v>135</v>
      </c>
      <c r="H2410" t="s">
        <v>20</v>
      </c>
      <c r="I2410" t="s">
        <v>40</v>
      </c>
      <c r="J2410" t="s">
        <v>47</v>
      </c>
      <c r="K2410">
        <v>4.2</v>
      </c>
      <c r="L2410" t="s">
        <v>23</v>
      </c>
      <c r="M2410" t="s">
        <v>79</v>
      </c>
      <c r="N2410" t="s">
        <v>23</v>
      </c>
      <c r="O2410">
        <v>44</v>
      </c>
      <c r="P2410" t="s">
        <v>36</v>
      </c>
      <c r="Q2410" t="s">
        <v>63</v>
      </c>
      <c r="R2410" s="1">
        <v>0.1</v>
      </c>
      <c r="S2410">
        <f t="shared" si="148"/>
        <v>49.5</v>
      </c>
      <c r="T2410">
        <f>IFERROR(VLOOKUP(A2410,Table1[[Customer ID]:[Discount Amount]], 6, FALSE),"Not Found")</f>
        <v>55</v>
      </c>
      <c r="U2410" t="str">
        <f t="shared" si="149"/>
        <v>Debit Card</v>
      </c>
      <c r="V2410" s="4" t="str">
        <f t="shared" si="150"/>
        <v>Normal</v>
      </c>
      <c r="W2410" s="4" t="str">
        <f t="shared" si="151"/>
        <v>Good</v>
      </c>
      <c r="X2410" s="4">
        <f>AVERAGE(Table1[Purchase Amount])</f>
        <v>129.48419400000012</v>
      </c>
    </row>
    <row r="2411" spans="1:24" ht="15" customHeight="1" x14ac:dyDescent="0.25">
      <c r="A2411">
        <v>2410</v>
      </c>
      <c r="B2411">
        <v>26</v>
      </c>
      <c r="C2411" t="s">
        <v>27</v>
      </c>
      <c r="D2411" t="s">
        <v>50</v>
      </c>
      <c r="E2411" t="s">
        <v>29</v>
      </c>
      <c r="F2411" s="2">
        <v>37</v>
      </c>
      <c r="G2411" t="s">
        <v>155</v>
      </c>
      <c r="H2411" t="s">
        <v>45</v>
      </c>
      <c r="I2411" t="s">
        <v>52</v>
      </c>
      <c r="J2411" t="s">
        <v>33</v>
      </c>
      <c r="K2411">
        <v>3</v>
      </c>
      <c r="L2411" t="s">
        <v>23</v>
      </c>
      <c r="M2411" t="s">
        <v>48</v>
      </c>
      <c r="N2411" t="s">
        <v>23</v>
      </c>
      <c r="O2411">
        <v>47</v>
      </c>
      <c r="P2411" t="s">
        <v>25</v>
      </c>
      <c r="Q2411" t="s">
        <v>63</v>
      </c>
      <c r="R2411" s="1">
        <v>0.1</v>
      </c>
      <c r="S2411">
        <f t="shared" si="148"/>
        <v>33.299999999999997</v>
      </c>
      <c r="T2411">
        <f>IFERROR(VLOOKUP(A2411,Table1[[Customer ID]:[Discount Amount]], 6, FALSE),"Not Found")</f>
        <v>37</v>
      </c>
      <c r="U2411" t="str">
        <f t="shared" si="149"/>
        <v>Cash</v>
      </c>
      <c r="V2411" s="4" t="str">
        <f t="shared" si="150"/>
        <v>Normal</v>
      </c>
      <c r="W2411" s="4" t="str">
        <f t="shared" si="151"/>
        <v>Good</v>
      </c>
      <c r="X2411" s="4">
        <f>AVERAGE(Table1[Purchase Amount])</f>
        <v>129.48419400000012</v>
      </c>
    </row>
    <row r="2412" spans="1:24" ht="15" customHeight="1" x14ac:dyDescent="0.25">
      <c r="A2412">
        <v>2411</v>
      </c>
      <c r="B2412">
        <v>48</v>
      </c>
      <c r="C2412" t="s">
        <v>27</v>
      </c>
      <c r="D2412" t="s">
        <v>72</v>
      </c>
      <c r="E2412" t="s">
        <v>98</v>
      </c>
      <c r="F2412" s="2">
        <v>43</v>
      </c>
      <c r="G2412" t="s">
        <v>59</v>
      </c>
      <c r="H2412" t="s">
        <v>31</v>
      </c>
      <c r="I2412" t="s">
        <v>125</v>
      </c>
      <c r="J2412" t="s">
        <v>57</v>
      </c>
      <c r="K2412">
        <v>3.7</v>
      </c>
      <c r="L2412" t="s">
        <v>23</v>
      </c>
      <c r="M2412" t="s">
        <v>35</v>
      </c>
      <c r="N2412" t="s">
        <v>23</v>
      </c>
      <c r="O2412">
        <v>46</v>
      </c>
      <c r="P2412" t="s">
        <v>58</v>
      </c>
      <c r="Q2412" t="s">
        <v>42</v>
      </c>
      <c r="R2412" s="1">
        <v>0.1</v>
      </c>
      <c r="S2412">
        <f t="shared" si="148"/>
        <v>38.700000000000003</v>
      </c>
      <c r="T2412">
        <f>IFERROR(VLOOKUP(A2412,Table1[[Customer ID]:[Discount Amount]], 6, FALSE),"Not Found")</f>
        <v>43</v>
      </c>
      <c r="U2412" t="str">
        <f t="shared" si="149"/>
        <v>PayPal</v>
      </c>
      <c r="V2412" s="4" t="str">
        <f t="shared" si="150"/>
        <v>Normal</v>
      </c>
      <c r="W2412" s="4" t="str">
        <f t="shared" si="151"/>
        <v>Good</v>
      </c>
      <c r="X2412" s="4">
        <f>AVERAGE(Table1[Purchase Amount])</f>
        <v>129.48419400000012</v>
      </c>
    </row>
    <row r="2413" spans="1:24" ht="15" customHeight="1" x14ac:dyDescent="0.25">
      <c r="A2413">
        <v>2412</v>
      </c>
      <c r="B2413">
        <v>49</v>
      </c>
      <c r="C2413" t="s">
        <v>27</v>
      </c>
      <c r="D2413" t="s">
        <v>83</v>
      </c>
      <c r="E2413" t="s">
        <v>18</v>
      </c>
      <c r="F2413" s="2">
        <v>96</v>
      </c>
      <c r="G2413" t="s">
        <v>138</v>
      </c>
      <c r="H2413" t="s">
        <v>31</v>
      </c>
      <c r="I2413" t="s">
        <v>128</v>
      </c>
      <c r="J2413" t="s">
        <v>57</v>
      </c>
      <c r="K2413">
        <v>2.7</v>
      </c>
      <c r="L2413" t="s">
        <v>23</v>
      </c>
      <c r="M2413" t="s">
        <v>35</v>
      </c>
      <c r="N2413" t="s">
        <v>23</v>
      </c>
      <c r="O2413">
        <v>35</v>
      </c>
      <c r="P2413" t="s">
        <v>25</v>
      </c>
      <c r="Q2413" t="s">
        <v>63</v>
      </c>
      <c r="R2413" s="1">
        <v>0.1</v>
      </c>
      <c r="S2413">
        <f t="shared" si="148"/>
        <v>86.4</v>
      </c>
      <c r="T2413">
        <f>IFERROR(VLOOKUP(A2413,Table1[[Customer ID]:[Discount Amount]], 6, FALSE),"Not Found")</f>
        <v>96</v>
      </c>
      <c r="U2413" t="str">
        <f t="shared" si="149"/>
        <v>Cash</v>
      </c>
      <c r="V2413" s="4" t="str">
        <f t="shared" si="150"/>
        <v>Normal</v>
      </c>
      <c r="W2413" s="4" t="str">
        <f t="shared" si="151"/>
        <v>Poor</v>
      </c>
      <c r="X2413" s="4">
        <f>AVERAGE(Table1[Purchase Amount])</f>
        <v>129.48419400000012</v>
      </c>
    </row>
    <row r="2414" spans="1:24" ht="15" customHeight="1" x14ac:dyDescent="0.25">
      <c r="A2414">
        <v>2413</v>
      </c>
      <c r="B2414">
        <v>53</v>
      </c>
      <c r="C2414" t="s">
        <v>27</v>
      </c>
      <c r="D2414" t="s">
        <v>96</v>
      </c>
      <c r="E2414" t="s">
        <v>77</v>
      </c>
      <c r="F2414" s="2">
        <v>51</v>
      </c>
      <c r="G2414" t="s">
        <v>123</v>
      </c>
      <c r="H2414" t="s">
        <v>31</v>
      </c>
      <c r="I2414" t="s">
        <v>136</v>
      </c>
      <c r="J2414" t="s">
        <v>22</v>
      </c>
      <c r="K2414">
        <v>4.3</v>
      </c>
      <c r="L2414" t="s">
        <v>23</v>
      </c>
      <c r="M2414" t="s">
        <v>41</v>
      </c>
      <c r="N2414" t="s">
        <v>23</v>
      </c>
      <c r="O2414">
        <v>8</v>
      </c>
      <c r="P2414" t="s">
        <v>88</v>
      </c>
      <c r="Q2414" t="s">
        <v>68</v>
      </c>
      <c r="R2414" s="1">
        <v>0.1</v>
      </c>
      <c r="S2414">
        <f t="shared" si="148"/>
        <v>45.9</v>
      </c>
      <c r="T2414">
        <f>IFERROR(VLOOKUP(A2414,Table1[[Customer ID]:[Discount Amount]], 6, FALSE),"Not Found")</f>
        <v>51</v>
      </c>
      <c r="U2414" t="str">
        <f t="shared" si="149"/>
        <v>Bank Transfer</v>
      </c>
      <c r="V2414" s="4" t="str">
        <f t="shared" si="150"/>
        <v>Normal</v>
      </c>
      <c r="W2414" s="4" t="str">
        <f t="shared" si="151"/>
        <v>Good</v>
      </c>
      <c r="X2414" s="4">
        <f>AVERAGE(Table1[Purchase Amount])</f>
        <v>129.48419400000012</v>
      </c>
    </row>
    <row r="2415" spans="1:24" ht="15" customHeight="1" x14ac:dyDescent="0.25">
      <c r="A2415">
        <v>2414</v>
      </c>
      <c r="B2415">
        <v>69</v>
      </c>
      <c r="C2415" t="s">
        <v>27</v>
      </c>
      <c r="D2415" t="s">
        <v>54</v>
      </c>
      <c r="E2415" t="s">
        <v>18</v>
      </c>
      <c r="F2415" s="2">
        <v>95</v>
      </c>
      <c r="G2415" t="s">
        <v>78</v>
      </c>
      <c r="H2415" t="s">
        <v>20</v>
      </c>
      <c r="I2415" t="s">
        <v>111</v>
      </c>
      <c r="J2415" t="s">
        <v>47</v>
      </c>
      <c r="K2415">
        <v>2.7</v>
      </c>
      <c r="L2415" t="s">
        <v>23</v>
      </c>
      <c r="M2415" t="s">
        <v>41</v>
      </c>
      <c r="N2415" t="s">
        <v>23</v>
      </c>
      <c r="O2415">
        <v>30</v>
      </c>
      <c r="P2415" t="s">
        <v>88</v>
      </c>
      <c r="Q2415" t="s">
        <v>26</v>
      </c>
      <c r="R2415" s="1">
        <v>0.1</v>
      </c>
      <c r="S2415">
        <f t="shared" si="148"/>
        <v>85.5</v>
      </c>
      <c r="T2415">
        <f>IFERROR(VLOOKUP(A2415,Table1[[Customer ID]:[Discount Amount]], 6, FALSE),"Not Found")</f>
        <v>95</v>
      </c>
      <c r="U2415" t="str">
        <f t="shared" si="149"/>
        <v>Bank Transfer</v>
      </c>
      <c r="V2415" s="4" t="str">
        <f t="shared" si="150"/>
        <v>Normal</v>
      </c>
      <c r="W2415" s="4" t="str">
        <f t="shared" si="151"/>
        <v>Poor</v>
      </c>
      <c r="X2415" s="4">
        <f>AVERAGE(Table1[Purchase Amount])</f>
        <v>129.48419400000012</v>
      </c>
    </row>
    <row r="2416" spans="1:24" ht="15" customHeight="1" x14ac:dyDescent="0.25">
      <c r="A2416">
        <v>2415</v>
      </c>
      <c r="B2416">
        <v>26</v>
      </c>
      <c r="C2416" t="s">
        <v>27</v>
      </c>
      <c r="D2416" t="s">
        <v>105</v>
      </c>
      <c r="E2416" t="s">
        <v>18</v>
      </c>
      <c r="F2416" s="2">
        <v>26</v>
      </c>
      <c r="G2416" t="s">
        <v>138</v>
      </c>
      <c r="H2416" t="s">
        <v>31</v>
      </c>
      <c r="I2416" t="s">
        <v>107</v>
      </c>
      <c r="J2416" t="s">
        <v>57</v>
      </c>
      <c r="K2416">
        <v>3.7</v>
      </c>
      <c r="L2416" t="s">
        <v>23</v>
      </c>
      <c r="M2416" t="s">
        <v>79</v>
      </c>
      <c r="N2416" t="s">
        <v>23</v>
      </c>
      <c r="O2416">
        <v>14</v>
      </c>
      <c r="P2416" t="s">
        <v>53</v>
      </c>
      <c r="Q2416" t="s">
        <v>68</v>
      </c>
      <c r="R2416" s="1">
        <v>0.1</v>
      </c>
      <c r="S2416">
        <f t="shared" si="148"/>
        <v>23.4</v>
      </c>
      <c r="T2416">
        <f>IFERROR(VLOOKUP(A2416,Table1[[Customer ID]:[Discount Amount]], 6, FALSE),"Not Found")</f>
        <v>26</v>
      </c>
      <c r="U2416" t="str">
        <f t="shared" si="149"/>
        <v>Credit Card</v>
      </c>
      <c r="V2416" s="4" t="str">
        <f t="shared" si="150"/>
        <v>Normal</v>
      </c>
      <c r="W2416" s="4" t="str">
        <f t="shared" si="151"/>
        <v>Good</v>
      </c>
      <c r="X2416" s="4">
        <f>AVERAGE(Table1[Purchase Amount])</f>
        <v>129.48419400000012</v>
      </c>
    </row>
    <row r="2417" spans="1:24" ht="15" customHeight="1" x14ac:dyDescent="0.25">
      <c r="A2417">
        <v>2416</v>
      </c>
      <c r="B2417">
        <v>21</v>
      </c>
      <c r="C2417" t="s">
        <v>27</v>
      </c>
      <c r="D2417" t="s">
        <v>76</v>
      </c>
      <c r="E2417" t="s">
        <v>77</v>
      </c>
      <c r="F2417" s="2">
        <v>34</v>
      </c>
      <c r="G2417" t="s">
        <v>135</v>
      </c>
      <c r="H2417" t="s">
        <v>20</v>
      </c>
      <c r="I2417" t="s">
        <v>107</v>
      </c>
      <c r="J2417" t="s">
        <v>47</v>
      </c>
      <c r="K2417">
        <v>4.3</v>
      </c>
      <c r="L2417" t="s">
        <v>23</v>
      </c>
      <c r="M2417" t="s">
        <v>24</v>
      </c>
      <c r="N2417" t="s">
        <v>23</v>
      </c>
      <c r="O2417">
        <v>30</v>
      </c>
      <c r="P2417" t="s">
        <v>88</v>
      </c>
      <c r="Q2417" t="s">
        <v>26</v>
      </c>
      <c r="R2417" s="1">
        <v>0.1</v>
      </c>
      <c r="S2417">
        <f t="shared" si="148"/>
        <v>30.6</v>
      </c>
      <c r="T2417">
        <f>IFERROR(VLOOKUP(A2417,Table1[[Customer ID]:[Discount Amount]], 6, FALSE),"Not Found")</f>
        <v>34</v>
      </c>
      <c r="U2417" t="str">
        <f t="shared" si="149"/>
        <v>Bank Transfer</v>
      </c>
      <c r="V2417" s="4" t="str">
        <f t="shared" si="150"/>
        <v>Normal</v>
      </c>
      <c r="W2417" s="4" t="str">
        <f t="shared" si="151"/>
        <v>Good</v>
      </c>
      <c r="X2417" s="4">
        <f>AVERAGE(Table1[Purchase Amount])</f>
        <v>129.48419400000012</v>
      </c>
    </row>
    <row r="2418" spans="1:24" ht="15" customHeight="1" x14ac:dyDescent="0.25">
      <c r="A2418">
        <v>2417</v>
      </c>
      <c r="B2418">
        <v>59</v>
      </c>
      <c r="C2418" t="s">
        <v>27</v>
      </c>
      <c r="D2418" t="s">
        <v>121</v>
      </c>
      <c r="E2418" t="s">
        <v>98</v>
      </c>
      <c r="F2418" s="2">
        <v>83</v>
      </c>
      <c r="G2418" t="s">
        <v>137</v>
      </c>
      <c r="H2418" t="s">
        <v>55</v>
      </c>
      <c r="I2418" t="s">
        <v>40</v>
      </c>
      <c r="J2418" t="s">
        <v>57</v>
      </c>
      <c r="K2418">
        <v>4</v>
      </c>
      <c r="L2418" t="s">
        <v>23</v>
      </c>
      <c r="M2418" t="s">
        <v>79</v>
      </c>
      <c r="N2418" t="s">
        <v>23</v>
      </c>
      <c r="O2418">
        <v>26</v>
      </c>
      <c r="P2418" t="s">
        <v>53</v>
      </c>
      <c r="Q2418" t="s">
        <v>63</v>
      </c>
      <c r="R2418" s="1">
        <v>0.1</v>
      </c>
      <c r="S2418">
        <f t="shared" si="148"/>
        <v>74.7</v>
      </c>
      <c r="T2418">
        <f>IFERROR(VLOOKUP(A2418,Table1[[Customer ID]:[Discount Amount]], 6, FALSE),"Not Found")</f>
        <v>83</v>
      </c>
      <c r="U2418" t="str">
        <f t="shared" si="149"/>
        <v>Credit Card</v>
      </c>
      <c r="V2418" s="4" t="str">
        <f t="shared" si="150"/>
        <v>Normal</v>
      </c>
      <c r="W2418" s="4" t="str">
        <f t="shared" si="151"/>
        <v>Good</v>
      </c>
      <c r="X2418" s="4">
        <f>AVERAGE(Table1[Purchase Amount])</f>
        <v>129.48419400000012</v>
      </c>
    </row>
    <row r="2419" spans="1:24" ht="15" customHeight="1" x14ac:dyDescent="0.25">
      <c r="A2419">
        <v>2418</v>
      </c>
      <c r="B2419">
        <v>21</v>
      </c>
      <c r="C2419" t="s">
        <v>27</v>
      </c>
      <c r="D2419" t="s">
        <v>104</v>
      </c>
      <c r="E2419" t="s">
        <v>29</v>
      </c>
      <c r="F2419" s="2">
        <v>24</v>
      </c>
      <c r="G2419" t="s">
        <v>148</v>
      </c>
      <c r="H2419" t="s">
        <v>31</v>
      </c>
      <c r="I2419" t="s">
        <v>21</v>
      </c>
      <c r="J2419" t="s">
        <v>47</v>
      </c>
      <c r="K2419">
        <v>3.3</v>
      </c>
      <c r="L2419" t="s">
        <v>23</v>
      </c>
      <c r="M2419" t="s">
        <v>24</v>
      </c>
      <c r="N2419" t="s">
        <v>23</v>
      </c>
      <c r="O2419">
        <v>32</v>
      </c>
      <c r="P2419" t="s">
        <v>62</v>
      </c>
      <c r="Q2419" t="s">
        <v>89</v>
      </c>
      <c r="R2419" s="1">
        <v>0.1</v>
      </c>
      <c r="S2419">
        <f t="shared" si="148"/>
        <v>21.6</v>
      </c>
      <c r="T2419">
        <f>IFERROR(VLOOKUP(A2419,Table1[[Customer ID]:[Discount Amount]], 6, FALSE),"Not Found")</f>
        <v>24</v>
      </c>
      <c r="U2419" t="str">
        <f t="shared" si="149"/>
        <v>Venmo</v>
      </c>
      <c r="V2419" s="4" t="str">
        <f t="shared" si="150"/>
        <v>Normal</v>
      </c>
      <c r="W2419" s="4" t="str">
        <f t="shared" si="151"/>
        <v>Good</v>
      </c>
      <c r="X2419" s="4">
        <f>AVERAGE(Table1[Purchase Amount])</f>
        <v>129.48419400000012</v>
      </c>
    </row>
    <row r="2420" spans="1:24" ht="15" customHeight="1" x14ac:dyDescent="0.25">
      <c r="A2420">
        <v>2419</v>
      </c>
      <c r="B2420">
        <v>22</v>
      </c>
      <c r="C2420" t="s">
        <v>27</v>
      </c>
      <c r="D2420" t="s">
        <v>99</v>
      </c>
      <c r="E2420" t="s">
        <v>18</v>
      </c>
      <c r="F2420" s="2">
        <v>69</v>
      </c>
      <c r="G2420" t="s">
        <v>113</v>
      </c>
      <c r="H2420" t="s">
        <v>55</v>
      </c>
      <c r="I2420" t="s">
        <v>91</v>
      </c>
      <c r="J2420" t="s">
        <v>47</v>
      </c>
      <c r="K2420">
        <v>4</v>
      </c>
      <c r="L2420" t="s">
        <v>23</v>
      </c>
      <c r="M2420" t="s">
        <v>79</v>
      </c>
      <c r="N2420" t="s">
        <v>23</v>
      </c>
      <c r="O2420">
        <v>47</v>
      </c>
      <c r="P2420" t="s">
        <v>25</v>
      </c>
      <c r="Q2420" t="s">
        <v>63</v>
      </c>
      <c r="R2420" s="1">
        <v>0.1</v>
      </c>
      <c r="S2420">
        <f t="shared" si="148"/>
        <v>62.1</v>
      </c>
      <c r="T2420">
        <f>IFERROR(VLOOKUP(A2420,Table1[[Customer ID]:[Discount Amount]], 6, FALSE),"Not Found")</f>
        <v>69</v>
      </c>
      <c r="U2420" t="str">
        <f t="shared" si="149"/>
        <v>Cash</v>
      </c>
      <c r="V2420" s="4" t="str">
        <f t="shared" si="150"/>
        <v>Normal</v>
      </c>
      <c r="W2420" s="4" t="str">
        <f t="shared" si="151"/>
        <v>Good</v>
      </c>
      <c r="X2420" s="4">
        <f>AVERAGE(Table1[Purchase Amount])</f>
        <v>129.48419400000012</v>
      </c>
    </row>
    <row r="2421" spans="1:24" ht="15" customHeight="1" x14ac:dyDescent="0.25">
      <c r="A2421">
        <v>2420</v>
      </c>
      <c r="B2421">
        <v>26</v>
      </c>
      <c r="C2421" t="s">
        <v>27</v>
      </c>
      <c r="D2421" t="s">
        <v>127</v>
      </c>
      <c r="E2421" t="s">
        <v>18</v>
      </c>
      <c r="F2421" s="2">
        <v>40</v>
      </c>
      <c r="G2421" t="s">
        <v>134</v>
      </c>
      <c r="H2421" t="s">
        <v>31</v>
      </c>
      <c r="I2421" t="s">
        <v>74</v>
      </c>
      <c r="J2421" t="s">
        <v>47</v>
      </c>
      <c r="K2421">
        <v>2.7</v>
      </c>
      <c r="L2421" t="s">
        <v>23</v>
      </c>
      <c r="M2421" t="s">
        <v>79</v>
      </c>
      <c r="N2421" t="s">
        <v>23</v>
      </c>
      <c r="O2421">
        <v>11</v>
      </c>
      <c r="P2421" t="s">
        <v>53</v>
      </c>
      <c r="Q2421" t="s">
        <v>63</v>
      </c>
      <c r="R2421" s="1">
        <v>0.1</v>
      </c>
      <c r="S2421">
        <f t="shared" si="148"/>
        <v>36</v>
      </c>
      <c r="T2421">
        <f>IFERROR(VLOOKUP(A2421,Table1[[Customer ID]:[Discount Amount]], 6, FALSE),"Not Found")</f>
        <v>40</v>
      </c>
      <c r="U2421" t="str">
        <f t="shared" si="149"/>
        <v>Credit Card</v>
      </c>
      <c r="V2421" s="4" t="str">
        <f t="shared" si="150"/>
        <v>Normal</v>
      </c>
      <c r="W2421" s="4" t="str">
        <f t="shared" si="151"/>
        <v>Poor</v>
      </c>
      <c r="X2421" s="4">
        <f>AVERAGE(Table1[Purchase Amount])</f>
        <v>129.48419400000012</v>
      </c>
    </row>
    <row r="2422" spans="1:24" ht="15" customHeight="1" x14ac:dyDescent="0.25">
      <c r="A2422">
        <v>2421</v>
      </c>
      <c r="B2422">
        <v>41</v>
      </c>
      <c r="C2422" t="s">
        <v>27</v>
      </c>
      <c r="D2422" t="s">
        <v>96</v>
      </c>
      <c r="E2422" t="s">
        <v>77</v>
      </c>
      <c r="F2422" s="2">
        <v>87</v>
      </c>
      <c r="G2422" t="s">
        <v>134</v>
      </c>
      <c r="H2422" t="s">
        <v>55</v>
      </c>
      <c r="I2422" t="s">
        <v>93</v>
      </c>
      <c r="J2422" t="s">
        <v>22</v>
      </c>
      <c r="K2422">
        <v>4.2</v>
      </c>
      <c r="L2422" t="s">
        <v>23</v>
      </c>
      <c r="M2422" t="s">
        <v>35</v>
      </c>
      <c r="N2422" t="s">
        <v>23</v>
      </c>
      <c r="O2422">
        <v>28</v>
      </c>
      <c r="P2422" t="s">
        <v>58</v>
      </c>
      <c r="Q2422" t="s">
        <v>49</v>
      </c>
      <c r="R2422" s="1">
        <v>0.1</v>
      </c>
      <c r="S2422">
        <f t="shared" si="148"/>
        <v>78.3</v>
      </c>
      <c r="T2422">
        <f>IFERROR(VLOOKUP(A2422,Table1[[Customer ID]:[Discount Amount]], 6, FALSE),"Not Found")</f>
        <v>87</v>
      </c>
      <c r="U2422" t="str">
        <f t="shared" si="149"/>
        <v>PayPal</v>
      </c>
      <c r="V2422" s="4" t="str">
        <f t="shared" si="150"/>
        <v>Normal</v>
      </c>
      <c r="W2422" s="4" t="str">
        <f t="shared" si="151"/>
        <v>Good</v>
      </c>
      <c r="X2422" s="4">
        <f>AVERAGE(Table1[Purchase Amount])</f>
        <v>129.48419400000012</v>
      </c>
    </row>
    <row r="2423" spans="1:24" ht="15" customHeight="1" x14ac:dyDescent="0.25">
      <c r="A2423">
        <v>2422</v>
      </c>
      <c r="B2423">
        <v>37</v>
      </c>
      <c r="C2423" t="s">
        <v>27</v>
      </c>
      <c r="D2423" t="s">
        <v>140</v>
      </c>
      <c r="E2423" t="s">
        <v>98</v>
      </c>
      <c r="F2423" s="2">
        <v>46</v>
      </c>
      <c r="G2423" t="s">
        <v>120</v>
      </c>
      <c r="H2423" t="s">
        <v>45</v>
      </c>
      <c r="I2423" t="s">
        <v>136</v>
      </c>
      <c r="J2423" t="s">
        <v>33</v>
      </c>
      <c r="K2423">
        <v>4.5999999999999996</v>
      </c>
      <c r="L2423" t="s">
        <v>23</v>
      </c>
      <c r="M2423" t="s">
        <v>24</v>
      </c>
      <c r="N2423" t="s">
        <v>23</v>
      </c>
      <c r="O2423">
        <v>2</v>
      </c>
      <c r="P2423" t="s">
        <v>36</v>
      </c>
      <c r="Q2423" t="s">
        <v>63</v>
      </c>
      <c r="R2423" s="1">
        <v>0.1</v>
      </c>
      <c r="S2423">
        <f t="shared" si="148"/>
        <v>41.4</v>
      </c>
      <c r="T2423">
        <f>IFERROR(VLOOKUP(A2423,Table1[[Customer ID]:[Discount Amount]], 6, FALSE),"Not Found")</f>
        <v>46</v>
      </c>
      <c r="U2423" t="str">
        <f t="shared" si="149"/>
        <v>Debit Card</v>
      </c>
      <c r="V2423" s="4" t="str">
        <f t="shared" si="150"/>
        <v>Normal</v>
      </c>
      <c r="W2423" s="4" t="str">
        <f t="shared" si="151"/>
        <v>Good</v>
      </c>
      <c r="X2423" s="4">
        <f>AVERAGE(Table1[Purchase Amount])</f>
        <v>129.48419400000012</v>
      </c>
    </row>
    <row r="2424" spans="1:24" ht="15" customHeight="1" x14ac:dyDescent="0.25">
      <c r="A2424">
        <v>2423</v>
      </c>
      <c r="B2424">
        <v>30</v>
      </c>
      <c r="C2424" t="s">
        <v>27</v>
      </c>
      <c r="D2424" t="s">
        <v>50</v>
      </c>
      <c r="E2424" t="s">
        <v>29</v>
      </c>
      <c r="F2424" s="2">
        <v>82</v>
      </c>
      <c r="G2424" t="s">
        <v>160</v>
      </c>
      <c r="H2424" t="s">
        <v>31</v>
      </c>
      <c r="I2424" t="s">
        <v>145</v>
      </c>
      <c r="J2424" t="s">
        <v>22</v>
      </c>
      <c r="K2424">
        <v>4.8</v>
      </c>
      <c r="L2424" t="s">
        <v>23</v>
      </c>
      <c r="M2424" t="s">
        <v>48</v>
      </c>
      <c r="N2424" t="s">
        <v>23</v>
      </c>
      <c r="O2424">
        <v>45</v>
      </c>
      <c r="P2424" t="s">
        <v>53</v>
      </c>
      <c r="Q2424" t="s">
        <v>26</v>
      </c>
      <c r="R2424" s="1">
        <v>0.1</v>
      </c>
      <c r="S2424">
        <f t="shared" si="148"/>
        <v>73.8</v>
      </c>
      <c r="T2424">
        <f>IFERROR(VLOOKUP(A2424,Table1[[Customer ID]:[Discount Amount]], 6, FALSE),"Not Found")</f>
        <v>82</v>
      </c>
      <c r="U2424" t="str">
        <f t="shared" si="149"/>
        <v>Credit Card</v>
      </c>
      <c r="V2424" s="4" t="str">
        <f t="shared" si="150"/>
        <v>Normal</v>
      </c>
      <c r="W2424" s="4" t="str">
        <f t="shared" si="151"/>
        <v>Good</v>
      </c>
      <c r="X2424" s="4">
        <f>AVERAGE(Table1[Purchase Amount])</f>
        <v>129.48419400000012</v>
      </c>
    </row>
    <row r="2425" spans="1:24" ht="15" customHeight="1" x14ac:dyDescent="0.25">
      <c r="A2425">
        <v>2424</v>
      </c>
      <c r="B2425">
        <v>49</v>
      </c>
      <c r="C2425" t="s">
        <v>27</v>
      </c>
      <c r="D2425" t="s">
        <v>104</v>
      </c>
      <c r="E2425" t="s">
        <v>29</v>
      </c>
      <c r="F2425" s="2">
        <v>81</v>
      </c>
      <c r="G2425" t="s">
        <v>154</v>
      </c>
      <c r="H2425" t="s">
        <v>31</v>
      </c>
      <c r="I2425" t="s">
        <v>66</v>
      </c>
      <c r="J2425" t="s">
        <v>57</v>
      </c>
      <c r="K2425">
        <v>2.8</v>
      </c>
      <c r="L2425" t="s">
        <v>23</v>
      </c>
      <c r="M2425" t="s">
        <v>35</v>
      </c>
      <c r="N2425" t="s">
        <v>23</v>
      </c>
      <c r="O2425">
        <v>7</v>
      </c>
      <c r="P2425" t="s">
        <v>53</v>
      </c>
      <c r="Q2425" t="s">
        <v>63</v>
      </c>
      <c r="R2425" s="1">
        <v>0.1</v>
      </c>
      <c r="S2425">
        <f t="shared" si="148"/>
        <v>72.900000000000006</v>
      </c>
      <c r="T2425">
        <f>IFERROR(VLOOKUP(A2425,Table1[[Customer ID]:[Discount Amount]], 6, FALSE),"Not Found")</f>
        <v>81</v>
      </c>
      <c r="U2425" t="str">
        <f t="shared" si="149"/>
        <v>Credit Card</v>
      </c>
      <c r="V2425" s="4" t="str">
        <f t="shared" si="150"/>
        <v>Normal</v>
      </c>
      <c r="W2425" s="4" t="str">
        <f t="shared" si="151"/>
        <v>Poor</v>
      </c>
      <c r="X2425" s="4">
        <f>AVERAGE(Table1[Purchase Amount])</f>
        <v>129.48419400000012</v>
      </c>
    </row>
    <row r="2426" spans="1:24" ht="15" customHeight="1" x14ac:dyDescent="0.25">
      <c r="A2426">
        <v>2425</v>
      </c>
      <c r="B2426">
        <v>49</v>
      </c>
      <c r="C2426" t="s">
        <v>27</v>
      </c>
      <c r="D2426" t="s">
        <v>50</v>
      </c>
      <c r="E2426" t="s">
        <v>29</v>
      </c>
      <c r="F2426" s="2">
        <v>57</v>
      </c>
      <c r="G2426" t="s">
        <v>143</v>
      </c>
      <c r="H2426" t="s">
        <v>31</v>
      </c>
      <c r="I2426" t="s">
        <v>145</v>
      </c>
      <c r="J2426" t="s">
        <v>22</v>
      </c>
      <c r="K2426">
        <v>4.5</v>
      </c>
      <c r="L2426" t="s">
        <v>23</v>
      </c>
      <c r="M2426" t="s">
        <v>79</v>
      </c>
      <c r="N2426" t="s">
        <v>23</v>
      </c>
      <c r="O2426">
        <v>28</v>
      </c>
      <c r="P2426" t="s">
        <v>88</v>
      </c>
      <c r="Q2426" t="s">
        <v>68</v>
      </c>
      <c r="R2426" s="1">
        <v>0.1</v>
      </c>
      <c r="S2426">
        <f t="shared" si="148"/>
        <v>51.3</v>
      </c>
      <c r="T2426">
        <f>IFERROR(VLOOKUP(A2426,Table1[[Customer ID]:[Discount Amount]], 6, FALSE),"Not Found")</f>
        <v>57</v>
      </c>
      <c r="U2426" t="str">
        <f t="shared" si="149"/>
        <v>Bank Transfer</v>
      </c>
      <c r="V2426" s="4" t="str">
        <f t="shared" si="150"/>
        <v>Normal</v>
      </c>
      <c r="W2426" s="4" t="str">
        <f t="shared" si="151"/>
        <v>Good</v>
      </c>
      <c r="X2426" s="4">
        <f>AVERAGE(Table1[Purchase Amount])</f>
        <v>129.48419400000012</v>
      </c>
    </row>
    <row r="2427" spans="1:24" ht="15" customHeight="1" x14ac:dyDescent="0.25">
      <c r="A2427">
        <v>2426</v>
      </c>
      <c r="B2427">
        <v>58</v>
      </c>
      <c r="C2427" t="s">
        <v>27</v>
      </c>
      <c r="D2427" t="s">
        <v>72</v>
      </c>
      <c r="E2427" t="s">
        <v>98</v>
      </c>
      <c r="F2427" s="2">
        <v>49</v>
      </c>
      <c r="G2427" t="s">
        <v>86</v>
      </c>
      <c r="H2427" t="s">
        <v>55</v>
      </c>
      <c r="I2427" t="s">
        <v>21</v>
      </c>
      <c r="J2427" t="s">
        <v>57</v>
      </c>
      <c r="K2427">
        <v>3</v>
      </c>
      <c r="L2427" t="s">
        <v>23</v>
      </c>
      <c r="M2427" t="s">
        <v>41</v>
      </c>
      <c r="N2427" t="s">
        <v>23</v>
      </c>
      <c r="O2427">
        <v>34</v>
      </c>
      <c r="P2427" t="s">
        <v>88</v>
      </c>
      <c r="Q2427" t="s">
        <v>37</v>
      </c>
      <c r="R2427" s="1">
        <v>0.1</v>
      </c>
      <c r="S2427">
        <f t="shared" si="148"/>
        <v>44.1</v>
      </c>
      <c r="T2427">
        <f>IFERROR(VLOOKUP(A2427,Table1[[Customer ID]:[Discount Amount]], 6, FALSE),"Not Found")</f>
        <v>49</v>
      </c>
      <c r="U2427" t="str">
        <f t="shared" si="149"/>
        <v>Bank Transfer</v>
      </c>
      <c r="V2427" s="4" t="str">
        <f t="shared" si="150"/>
        <v>Normal</v>
      </c>
      <c r="W2427" s="4" t="str">
        <f t="shared" si="151"/>
        <v>Good</v>
      </c>
      <c r="X2427" s="4">
        <f>AVERAGE(Table1[Purchase Amount])</f>
        <v>129.48419400000012</v>
      </c>
    </row>
    <row r="2428" spans="1:24" ht="15" customHeight="1" x14ac:dyDescent="0.25">
      <c r="A2428">
        <v>2427</v>
      </c>
      <c r="B2428">
        <v>70</v>
      </c>
      <c r="C2428" t="s">
        <v>27</v>
      </c>
      <c r="D2428" t="s">
        <v>96</v>
      </c>
      <c r="E2428" t="s">
        <v>77</v>
      </c>
      <c r="F2428" s="2">
        <v>42</v>
      </c>
      <c r="G2428" t="s">
        <v>67</v>
      </c>
      <c r="H2428" t="s">
        <v>31</v>
      </c>
      <c r="I2428" t="s">
        <v>21</v>
      </c>
      <c r="J2428" t="s">
        <v>47</v>
      </c>
      <c r="K2428">
        <v>4.5999999999999996</v>
      </c>
      <c r="L2428" t="s">
        <v>23</v>
      </c>
      <c r="M2428" t="s">
        <v>35</v>
      </c>
      <c r="N2428" t="s">
        <v>23</v>
      </c>
      <c r="O2428">
        <v>26</v>
      </c>
      <c r="P2428" t="s">
        <v>36</v>
      </c>
      <c r="Q2428" t="s">
        <v>63</v>
      </c>
      <c r="R2428" s="1">
        <v>0.1</v>
      </c>
      <c r="S2428">
        <f t="shared" si="148"/>
        <v>37.799999999999997</v>
      </c>
      <c r="T2428">
        <f>IFERROR(VLOOKUP(A2428,Table1[[Customer ID]:[Discount Amount]], 6, FALSE),"Not Found")</f>
        <v>42</v>
      </c>
      <c r="U2428" t="str">
        <f t="shared" si="149"/>
        <v>Debit Card</v>
      </c>
      <c r="V2428" s="4" t="str">
        <f t="shared" si="150"/>
        <v>Normal</v>
      </c>
      <c r="W2428" s="4" t="str">
        <f t="shared" si="151"/>
        <v>Good</v>
      </c>
      <c r="X2428" s="4">
        <f>AVERAGE(Table1[Purchase Amount])</f>
        <v>129.48419400000012</v>
      </c>
    </row>
    <row r="2429" spans="1:24" ht="15" customHeight="1" x14ac:dyDescent="0.25">
      <c r="A2429">
        <v>2428</v>
      </c>
      <c r="B2429">
        <v>27</v>
      </c>
      <c r="C2429" t="s">
        <v>27</v>
      </c>
      <c r="D2429" t="s">
        <v>96</v>
      </c>
      <c r="E2429" t="s">
        <v>77</v>
      </c>
      <c r="F2429" s="2">
        <v>26</v>
      </c>
      <c r="G2429" t="s">
        <v>123</v>
      </c>
      <c r="H2429" t="s">
        <v>31</v>
      </c>
      <c r="I2429" t="s">
        <v>66</v>
      </c>
      <c r="J2429" t="s">
        <v>33</v>
      </c>
      <c r="K2429">
        <v>3.3</v>
      </c>
      <c r="L2429" t="s">
        <v>23</v>
      </c>
      <c r="M2429" t="s">
        <v>24</v>
      </c>
      <c r="N2429" t="s">
        <v>23</v>
      </c>
      <c r="O2429">
        <v>45</v>
      </c>
      <c r="P2429" t="s">
        <v>25</v>
      </c>
      <c r="Q2429" t="s">
        <v>37</v>
      </c>
      <c r="R2429" s="1">
        <v>0.1</v>
      </c>
      <c r="S2429">
        <f t="shared" si="148"/>
        <v>23.4</v>
      </c>
      <c r="T2429">
        <f>IFERROR(VLOOKUP(A2429,Table1[[Customer ID]:[Discount Amount]], 6, FALSE),"Not Found")</f>
        <v>26</v>
      </c>
      <c r="U2429" t="str">
        <f t="shared" si="149"/>
        <v>Cash</v>
      </c>
      <c r="V2429" s="4" t="str">
        <f t="shared" si="150"/>
        <v>Normal</v>
      </c>
      <c r="W2429" s="4" t="str">
        <f t="shared" si="151"/>
        <v>Good</v>
      </c>
      <c r="X2429" s="4">
        <f>AVERAGE(Table1[Purchase Amount])</f>
        <v>129.48419400000012</v>
      </c>
    </row>
    <row r="2430" spans="1:24" ht="15" customHeight="1" x14ac:dyDescent="0.25">
      <c r="A2430">
        <v>2429</v>
      </c>
      <c r="B2430">
        <v>65</v>
      </c>
      <c r="C2430" t="s">
        <v>27</v>
      </c>
      <c r="D2430" t="s">
        <v>17</v>
      </c>
      <c r="E2430" t="s">
        <v>18</v>
      </c>
      <c r="F2430" s="2">
        <v>38</v>
      </c>
      <c r="G2430" t="s">
        <v>161</v>
      </c>
      <c r="H2430" t="s">
        <v>31</v>
      </c>
      <c r="I2430" t="s">
        <v>111</v>
      </c>
      <c r="J2430" t="s">
        <v>33</v>
      </c>
      <c r="K2430">
        <v>4.4000000000000004</v>
      </c>
      <c r="L2430" t="s">
        <v>23</v>
      </c>
      <c r="M2430" t="s">
        <v>79</v>
      </c>
      <c r="N2430" t="s">
        <v>23</v>
      </c>
      <c r="O2430">
        <v>34</v>
      </c>
      <c r="P2430" t="s">
        <v>36</v>
      </c>
      <c r="Q2430" t="s">
        <v>49</v>
      </c>
      <c r="R2430" s="1">
        <v>0.1</v>
      </c>
      <c r="S2430">
        <f t="shared" si="148"/>
        <v>34.200000000000003</v>
      </c>
      <c r="T2430">
        <f>IFERROR(VLOOKUP(A2430,Table1[[Customer ID]:[Discount Amount]], 6, FALSE),"Not Found")</f>
        <v>38</v>
      </c>
      <c r="U2430" t="str">
        <f t="shared" si="149"/>
        <v>Debit Card</v>
      </c>
      <c r="V2430" s="4" t="str">
        <f t="shared" si="150"/>
        <v>Normal</v>
      </c>
      <c r="W2430" s="4" t="str">
        <f t="shared" si="151"/>
        <v>Good</v>
      </c>
      <c r="X2430" s="4">
        <f>AVERAGE(Table1[Purchase Amount])</f>
        <v>129.48419400000012</v>
      </c>
    </row>
    <row r="2431" spans="1:24" ht="15" customHeight="1" x14ac:dyDescent="0.25">
      <c r="A2431">
        <v>2430</v>
      </c>
      <c r="B2431">
        <v>57</v>
      </c>
      <c r="C2431" t="s">
        <v>27</v>
      </c>
      <c r="D2431" t="s">
        <v>140</v>
      </c>
      <c r="E2431" t="s">
        <v>98</v>
      </c>
      <c r="F2431" s="2">
        <v>57</v>
      </c>
      <c r="G2431" t="s">
        <v>138</v>
      </c>
      <c r="H2431" t="s">
        <v>20</v>
      </c>
      <c r="I2431" t="s">
        <v>125</v>
      </c>
      <c r="J2431" t="s">
        <v>57</v>
      </c>
      <c r="K2431">
        <v>4.4000000000000004</v>
      </c>
      <c r="L2431" t="s">
        <v>23</v>
      </c>
      <c r="M2431" t="s">
        <v>24</v>
      </c>
      <c r="N2431" t="s">
        <v>23</v>
      </c>
      <c r="O2431">
        <v>47</v>
      </c>
      <c r="P2431" t="s">
        <v>53</v>
      </c>
      <c r="Q2431" t="s">
        <v>89</v>
      </c>
      <c r="R2431" s="1">
        <v>0.1</v>
      </c>
      <c r="S2431">
        <f t="shared" si="148"/>
        <v>51.3</v>
      </c>
      <c r="T2431">
        <f>IFERROR(VLOOKUP(A2431,Table1[[Customer ID]:[Discount Amount]], 6, FALSE),"Not Found")</f>
        <v>57</v>
      </c>
      <c r="U2431" t="str">
        <f t="shared" si="149"/>
        <v>Credit Card</v>
      </c>
      <c r="V2431" s="4" t="str">
        <f t="shared" si="150"/>
        <v>Normal</v>
      </c>
      <c r="W2431" s="4" t="str">
        <f t="shared" si="151"/>
        <v>Good</v>
      </c>
      <c r="X2431" s="4">
        <f>AVERAGE(Table1[Purchase Amount])</f>
        <v>129.48419400000012</v>
      </c>
    </row>
    <row r="2432" spans="1:24" ht="15" customHeight="1" x14ac:dyDescent="0.25">
      <c r="A2432">
        <v>2431</v>
      </c>
      <c r="B2432">
        <v>20</v>
      </c>
      <c r="C2432" t="s">
        <v>27</v>
      </c>
      <c r="D2432" t="s">
        <v>96</v>
      </c>
      <c r="E2432" t="s">
        <v>77</v>
      </c>
      <c r="F2432" s="2">
        <v>100</v>
      </c>
      <c r="G2432" t="s">
        <v>86</v>
      </c>
      <c r="H2432" t="s">
        <v>20</v>
      </c>
      <c r="I2432" t="s">
        <v>32</v>
      </c>
      <c r="J2432" t="s">
        <v>57</v>
      </c>
      <c r="K2432">
        <v>4.3</v>
      </c>
      <c r="L2432" t="s">
        <v>23</v>
      </c>
      <c r="M2432" t="s">
        <v>61</v>
      </c>
      <c r="N2432" t="s">
        <v>23</v>
      </c>
      <c r="O2432">
        <v>42</v>
      </c>
      <c r="P2432" t="s">
        <v>25</v>
      </c>
      <c r="Q2432" t="s">
        <v>37</v>
      </c>
      <c r="R2432" s="1">
        <v>0.1</v>
      </c>
      <c r="S2432">
        <f t="shared" si="148"/>
        <v>90</v>
      </c>
      <c r="T2432">
        <f>IFERROR(VLOOKUP(A2432,Table1[[Customer ID]:[Discount Amount]], 6, FALSE),"Not Found")</f>
        <v>100</v>
      </c>
      <c r="U2432" t="str">
        <f t="shared" si="149"/>
        <v>Cash</v>
      </c>
      <c r="V2432" s="4" t="str">
        <f t="shared" si="150"/>
        <v>Normal</v>
      </c>
      <c r="W2432" s="4" t="str">
        <f t="shared" si="151"/>
        <v>Good</v>
      </c>
      <c r="X2432" s="4">
        <f>AVERAGE(Table1[Purchase Amount])</f>
        <v>129.48419400000012</v>
      </c>
    </row>
    <row r="2433" spans="1:24" ht="15" customHeight="1" x14ac:dyDescent="0.25">
      <c r="A2433">
        <v>2432</v>
      </c>
      <c r="B2433">
        <v>34</v>
      </c>
      <c r="C2433" t="s">
        <v>27</v>
      </c>
      <c r="D2433" t="s">
        <v>83</v>
      </c>
      <c r="E2433" t="s">
        <v>18</v>
      </c>
      <c r="F2433" s="2">
        <v>73</v>
      </c>
      <c r="G2433" t="s">
        <v>51</v>
      </c>
      <c r="H2433" t="s">
        <v>55</v>
      </c>
      <c r="I2433" t="s">
        <v>21</v>
      </c>
      <c r="J2433" t="s">
        <v>47</v>
      </c>
      <c r="K2433">
        <v>3.4</v>
      </c>
      <c r="L2433" t="s">
        <v>23</v>
      </c>
      <c r="M2433" t="s">
        <v>61</v>
      </c>
      <c r="N2433" t="s">
        <v>23</v>
      </c>
      <c r="O2433">
        <v>27</v>
      </c>
      <c r="P2433" t="s">
        <v>88</v>
      </c>
      <c r="Q2433" t="s">
        <v>63</v>
      </c>
      <c r="R2433" s="1">
        <v>0.1</v>
      </c>
      <c r="S2433">
        <f t="shared" si="148"/>
        <v>65.7</v>
      </c>
      <c r="T2433">
        <f>IFERROR(VLOOKUP(A2433,Table1[[Customer ID]:[Discount Amount]], 6, FALSE),"Not Found")</f>
        <v>73</v>
      </c>
      <c r="U2433" t="str">
        <f t="shared" si="149"/>
        <v>Bank Transfer</v>
      </c>
      <c r="V2433" s="4" t="str">
        <f t="shared" si="150"/>
        <v>Normal</v>
      </c>
      <c r="W2433" s="4" t="str">
        <f t="shared" si="151"/>
        <v>Good</v>
      </c>
      <c r="X2433" s="4">
        <f>AVERAGE(Table1[Purchase Amount])</f>
        <v>129.48419400000012</v>
      </c>
    </row>
    <row r="2434" spans="1:24" ht="15" customHeight="1" x14ac:dyDescent="0.25">
      <c r="A2434">
        <v>2433</v>
      </c>
      <c r="B2434">
        <v>59</v>
      </c>
      <c r="C2434" t="s">
        <v>27</v>
      </c>
      <c r="D2434" t="s">
        <v>96</v>
      </c>
      <c r="E2434" t="s">
        <v>77</v>
      </c>
      <c r="F2434" s="2">
        <v>66</v>
      </c>
      <c r="G2434" t="s">
        <v>135</v>
      </c>
      <c r="H2434" t="s">
        <v>31</v>
      </c>
      <c r="I2434" t="s">
        <v>145</v>
      </c>
      <c r="J2434" t="s">
        <v>22</v>
      </c>
      <c r="K2434">
        <v>2.8</v>
      </c>
      <c r="L2434" t="s">
        <v>23</v>
      </c>
      <c r="M2434" t="s">
        <v>48</v>
      </c>
      <c r="N2434" t="s">
        <v>23</v>
      </c>
      <c r="O2434">
        <v>43</v>
      </c>
      <c r="P2434" t="s">
        <v>62</v>
      </c>
      <c r="Q2434" t="s">
        <v>42</v>
      </c>
      <c r="R2434" s="1">
        <v>0.1</v>
      </c>
      <c r="S2434">
        <f t="shared" ref="S2434:S2497" si="152">F2434-(F2434*R2434)</f>
        <v>59.4</v>
      </c>
      <c r="T2434">
        <f>IFERROR(VLOOKUP(A2434,Table1[[Customer ID]:[Discount Amount]], 6, FALSE),"Not Found")</f>
        <v>66</v>
      </c>
      <c r="U2434" t="str">
        <f t="shared" ref="U2434:U2497" si="153">INDEX(P:P, MATCH(A2434, A:A, 0))</f>
        <v>Venmo</v>
      </c>
      <c r="V2434" s="4" t="str">
        <f t="shared" ref="V2434:V2497" si="154">IF(AND(F2434&gt;1000,K2434&gt;=4),"Best Customer","Normal")</f>
        <v>Normal</v>
      </c>
      <c r="W2434" s="4" t="str">
        <f t="shared" ref="W2434:W2497" si="155">IF(K2434&gt;=3,"Good","Poor")</f>
        <v>Poor</v>
      </c>
      <c r="X2434" s="4">
        <f>AVERAGE(Table1[Purchase Amount])</f>
        <v>129.48419400000012</v>
      </c>
    </row>
    <row r="2435" spans="1:24" ht="15" customHeight="1" x14ac:dyDescent="0.25">
      <c r="A2435">
        <v>2434</v>
      </c>
      <c r="B2435">
        <v>54</v>
      </c>
      <c r="C2435" t="s">
        <v>27</v>
      </c>
      <c r="D2435" t="s">
        <v>17</v>
      </c>
      <c r="E2435" t="s">
        <v>18</v>
      </c>
      <c r="F2435" s="2">
        <v>73</v>
      </c>
      <c r="G2435" t="s">
        <v>123</v>
      </c>
      <c r="H2435" t="s">
        <v>31</v>
      </c>
      <c r="I2435" t="s">
        <v>74</v>
      </c>
      <c r="J2435" t="s">
        <v>33</v>
      </c>
      <c r="K2435">
        <v>3.4</v>
      </c>
      <c r="L2435" t="s">
        <v>23</v>
      </c>
      <c r="M2435" t="s">
        <v>24</v>
      </c>
      <c r="N2435" t="s">
        <v>23</v>
      </c>
      <c r="O2435">
        <v>16</v>
      </c>
      <c r="P2435" t="s">
        <v>25</v>
      </c>
      <c r="Q2435" t="s">
        <v>68</v>
      </c>
      <c r="R2435" s="1">
        <v>0.1</v>
      </c>
      <c r="S2435">
        <f t="shared" si="152"/>
        <v>65.7</v>
      </c>
      <c r="T2435">
        <f>IFERROR(VLOOKUP(A2435,Table1[[Customer ID]:[Discount Amount]], 6, FALSE),"Not Found")</f>
        <v>73</v>
      </c>
      <c r="U2435" t="str">
        <f t="shared" si="153"/>
        <v>Cash</v>
      </c>
      <c r="V2435" s="4" t="str">
        <f t="shared" si="154"/>
        <v>Normal</v>
      </c>
      <c r="W2435" s="4" t="str">
        <f t="shared" si="155"/>
        <v>Good</v>
      </c>
      <c r="X2435" s="4">
        <f>AVERAGE(Table1[Purchase Amount])</f>
        <v>129.48419400000012</v>
      </c>
    </row>
    <row r="2436" spans="1:24" ht="15" customHeight="1" x14ac:dyDescent="0.25">
      <c r="A2436">
        <v>2435</v>
      </c>
      <c r="B2436">
        <v>36</v>
      </c>
      <c r="C2436" t="s">
        <v>27</v>
      </c>
      <c r="D2436" t="s">
        <v>43</v>
      </c>
      <c r="E2436" t="s">
        <v>29</v>
      </c>
      <c r="F2436" s="2">
        <v>45</v>
      </c>
      <c r="G2436" t="s">
        <v>144</v>
      </c>
      <c r="H2436" t="s">
        <v>31</v>
      </c>
      <c r="I2436" t="s">
        <v>60</v>
      </c>
      <c r="J2436" t="s">
        <v>33</v>
      </c>
      <c r="K2436">
        <v>5</v>
      </c>
      <c r="L2436" t="s">
        <v>23</v>
      </c>
      <c r="M2436" t="s">
        <v>48</v>
      </c>
      <c r="N2436" t="s">
        <v>23</v>
      </c>
      <c r="O2436">
        <v>40</v>
      </c>
      <c r="P2436" t="s">
        <v>53</v>
      </c>
      <c r="Q2436" t="s">
        <v>42</v>
      </c>
      <c r="R2436" s="1">
        <v>0.1</v>
      </c>
      <c r="S2436">
        <f t="shared" si="152"/>
        <v>40.5</v>
      </c>
      <c r="T2436">
        <f>IFERROR(VLOOKUP(A2436,Table1[[Customer ID]:[Discount Amount]], 6, FALSE),"Not Found")</f>
        <v>45</v>
      </c>
      <c r="U2436" t="str">
        <f t="shared" si="153"/>
        <v>Credit Card</v>
      </c>
      <c r="V2436" s="4" t="str">
        <f t="shared" si="154"/>
        <v>Normal</v>
      </c>
      <c r="W2436" s="4" t="str">
        <f t="shared" si="155"/>
        <v>Good</v>
      </c>
      <c r="X2436" s="4">
        <f>AVERAGE(Table1[Purchase Amount])</f>
        <v>129.48419400000012</v>
      </c>
    </row>
    <row r="2437" spans="1:24" ht="15" customHeight="1" x14ac:dyDescent="0.25">
      <c r="A2437">
        <v>2436</v>
      </c>
      <c r="B2437">
        <v>21</v>
      </c>
      <c r="C2437" t="s">
        <v>27</v>
      </c>
      <c r="D2437" t="s">
        <v>140</v>
      </c>
      <c r="E2437" t="s">
        <v>98</v>
      </c>
      <c r="F2437" s="2">
        <v>27</v>
      </c>
      <c r="G2437" t="s">
        <v>135</v>
      </c>
      <c r="H2437" t="s">
        <v>55</v>
      </c>
      <c r="I2437" t="s">
        <v>40</v>
      </c>
      <c r="J2437" t="s">
        <v>47</v>
      </c>
      <c r="K2437">
        <v>4.5</v>
      </c>
      <c r="L2437" t="s">
        <v>23</v>
      </c>
      <c r="M2437" t="s">
        <v>35</v>
      </c>
      <c r="N2437" t="s">
        <v>23</v>
      </c>
      <c r="O2437">
        <v>29</v>
      </c>
      <c r="P2437" t="s">
        <v>25</v>
      </c>
      <c r="Q2437" t="s">
        <v>68</v>
      </c>
      <c r="R2437" s="1">
        <v>0.1</v>
      </c>
      <c r="S2437">
        <f t="shared" si="152"/>
        <v>24.3</v>
      </c>
      <c r="T2437">
        <f>IFERROR(VLOOKUP(A2437,Table1[[Customer ID]:[Discount Amount]], 6, FALSE),"Not Found")</f>
        <v>27</v>
      </c>
      <c r="U2437" t="str">
        <f t="shared" si="153"/>
        <v>Cash</v>
      </c>
      <c r="V2437" s="4" t="str">
        <f t="shared" si="154"/>
        <v>Normal</v>
      </c>
      <c r="W2437" s="4" t="str">
        <f t="shared" si="155"/>
        <v>Good</v>
      </c>
      <c r="X2437" s="4">
        <f>AVERAGE(Table1[Purchase Amount])</f>
        <v>129.48419400000012</v>
      </c>
    </row>
    <row r="2438" spans="1:24" ht="15" customHeight="1" x14ac:dyDescent="0.25">
      <c r="A2438">
        <v>2437</v>
      </c>
      <c r="B2438">
        <v>52</v>
      </c>
      <c r="C2438" t="s">
        <v>27</v>
      </c>
      <c r="D2438" t="s">
        <v>17</v>
      </c>
      <c r="E2438" t="s">
        <v>18</v>
      </c>
      <c r="F2438" s="2">
        <v>24</v>
      </c>
      <c r="G2438" t="s">
        <v>115</v>
      </c>
      <c r="H2438" t="s">
        <v>31</v>
      </c>
      <c r="I2438" t="s">
        <v>52</v>
      </c>
      <c r="J2438" t="s">
        <v>47</v>
      </c>
      <c r="K2438">
        <v>2.7</v>
      </c>
      <c r="L2438" t="s">
        <v>23</v>
      </c>
      <c r="M2438" t="s">
        <v>48</v>
      </c>
      <c r="N2438" t="s">
        <v>23</v>
      </c>
      <c r="O2438">
        <v>38</v>
      </c>
      <c r="P2438" t="s">
        <v>53</v>
      </c>
      <c r="Q2438" t="s">
        <v>37</v>
      </c>
      <c r="R2438" s="1">
        <v>0.1</v>
      </c>
      <c r="S2438">
        <f t="shared" si="152"/>
        <v>21.6</v>
      </c>
      <c r="T2438">
        <f>IFERROR(VLOOKUP(A2438,Table1[[Customer ID]:[Discount Amount]], 6, FALSE),"Not Found")</f>
        <v>24</v>
      </c>
      <c r="U2438" t="str">
        <f t="shared" si="153"/>
        <v>Credit Card</v>
      </c>
      <c r="V2438" s="4" t="str">
        <f t="shared" si="154"/>
        <v>Normal</v>
      </c>
      <c r="W2438" s="4" t="str">
        <f t="shared" si="155"/>
        <v>Poor</v>
      </c>
      <c r="X2438" s="4">
        <f>AVERAGE(Table1[Purchase Amount])</f>
        <v>129.48419400000012</v>
      </c>
    </row>
    <row r="2439" spans="1:24" ht="15" customHeight="1" x14ac:dyDescent="0.25">
      <c r="A2439">
        <v>2438</v>
      </c>
      <c r="B2439">
        <v>43</v>
      </c>
      <c r="C2439" t="s">
        <v>27</v>
      </c>
      <c r="D2439" t="s">
        <v>140</v>
      </c>
      <c r="E2439" t="s">
        <v>98</v>
      </c>
      <c r="F2439" s="2">
        <v>59</v>
      </c>
      <c r="G2439" t="s">
        <v>162</v>
      </c>
      <c r="H2439" t="s">
        <v>20</v>
      </c>
      <c r="I2439" t="s">
        <v>87</v>
      </c>
      <c r="J2439" t="s">
        <v>22</v>
      </c>
      <c r="K2439">
        <v>3.4</v>
      </c>
      <c r="L2439" t="s">
        <v>23</v>
      </c>
      <c r="M2439" t="s">
        <v>48</v>
      </c>
      <c r="N2439" t="s">
        <v>23</v>
      </c>
      <c r="O2439">
        <v>34</v>
      </c>
      <c r="P2439" t="s">
        <v>53</v>
      </c>
      <c r="Q2439" t="s">
        <v>26</v>
      </c>
      <c r="R2439" s="1">
        <v>0.1</v>
      </c>
      <c r="S2439">
        <f t="shared" si="152"/>
        <v>53.1</v>
      </c>
      <c r="T2439">
        <f>IFERROR(VLOOKUP(A2439,Table1[[Customer ID]:[Discount Amount]], 6, FALSE),"Not Found")</f>
        <v>59</v>
      </c>
      <c r="U2439" t="str">
        <f t="shared" si="153"/>
        <v>Credit Card</v>
      </c>
      <c r="V2439" s="4" t="str">
        <f t="shared" si="154"/>
        <v>Normal</v>
      </c>
      <c r="W2439" s="4" t="str">
        <f t="shared" si="155"/>
        <v>Good</v>
      </c>
      <c r="X2439" s="4">
        <f>AVERAGE(Table1[Purchase Amount])</f>
        <v>129.48419400000012</v>
      </c>
    </row>
    <row r="2440" spans="1:24" ht="15" customHeight="1" x14ac:dyDescent="0.25">
      <c r="A2440">
        <v>2439</v>
      </c>
      <c r="B2440">
        <v>32</v>
      </c>
      <c r="C2440" t="s">
        <v>27</v>
      </c>
      <c r="D2440" t="s">
        <v>109</v>
      </c>
      <c r="E2440" t="s">
        <v>18</v>
      </c>
      <c r="F2440" s="2">
        <v>20</v>
      </c>
      <c r="G2440" t="s">
        <v>143</v>
      </c>
      <c r="H2440" t="s">
        <v>55</v>
      </c>
      <c r="I2440" t="s">
        <v>128</v>
      </c>
      <c r="J2440" t="s">
        <v>22</v>
      </c>
      <c r="K2440">
        <v>3.4</v>
      </c>
      <c r="L2440" t="s">
        <v>23</v>
      </c>
      <c r="M2440" t="s">
        <v>61</v>
      </c>
      <c r="N2440" t="s">
        <v>23</v>
      </c>
      <c r="O2440">
        <v>30</v>
      </c>
      <c r="P2440" t="s">
        <v>62</v>
      </c>
      <c r="Q2440" t="s">
        <v>26</v>
      </c>
      <c r="R2440" s="1">
        <v>0.1</v>
      </c>
      <c r="S2440">
        <f t="shared" si="152"/>
        <v>18</v>
      </c>
      <c r="T2440">
        <f>IFERROR(VLOOKUP(A2440,Table1[[Customer ID]:[Discount Amount]], 6, FALSE),"Not Found")</f>
        <v>20</v>
      </c>
      <c r="U2440" t="str">
        <f t="shared" si="153"/>
        <v>Venmo</v>
      </c>
      <c r="V2440" s="4" t="str">
        <f t="shared" si="154"/>
        <v>Normal</v>
      </c>
      <c r="W2440" s="4" t="str">
        <f t="shared" si="155"/>
        <v>Good</v>
      </c>
      <c r="X2440" s="4">
        <f>AVERAGE(Table1[Purchase Amount])</f>
        <v>129.48419400000012</v>
      </c>
    </row>
    <row r="2441" spans="1:24" ht="15" customHeight="1" x14ac:dyDescent="0.25">
      <c r="A2441">
        <v>2440</v>
      </c>
      <c r="B2441">
        <v>55</v>
      </c>
      <c r="C2441" t="s">
        <v>27</v>
      </c>
      <c r="D2441" t="s">
        <v>69</v>
      </c>
      <c r="E2441" t="s">
        <v>29</v>
      </c>
      <c r="F2441" s="2">
        <v>44</v>
      </c>
      <c r="G2441" t="s">
        <v>100</v>
      </c>
      <c r="H2441" t="s">
        <v>31</v>
      </c>
      <c r="I2441" t="s">
        <v>125</v>
      </c>
      <c r="J2441" t="s">
        <v>57</v>
      </c>
      <c r="K2441">
        <v>2.8</v>
      </c>
      <c r="L2441" t="s">
        <v>23</v>
      </c>
      <c r="M2441" t="s">
        <v>24</v>
      </c>
      <c r="N2441" t="s">
        <v>23</v>
      </c>
      <c r="O2441">
        <v>45</v>
      </c>
      <c r="P2441" t="s">
        <v>88</v>
      </c>
      <c r="Q2441" t="s">
        <v>49</v>
      </c>
      <c r="R2441" s="1">
        <v>0.1</v>
      </c>
      <c r="S2441">
        <f t="shared" si="152"/>
        <v>39.6</v>
      </c>
      <c r="T2441">
        <f>IFERROR(VLOOKUP(A2441,Table1[[Customer ID]:[Discount Amount]], 6, FALSE),"Not Found")</f>
        <v>44</v>
      </c>
      <c r="U2441" t="str">
        <f t="shared" si="153"/>
        <v>Bank Transfer</v>
      </c>
      <c r="V2441" s="4" t="str">
        <f t="shared" si="154"/>
        <v>Normal</v>
      </c>
      <c r="W2441" s="4" t="str">
        <f t="shared" si="155"/>
        <v>Poor</v>
      </c>
      <c r="X2441" s="4">
        <f>AVERAGE(Table1[Purchase Amount])</f>
        <v>129.48419400000012</v>
      </c>
    </row>
    <row r="2442" spans="1:24" ht="15" customHeight="1" x14ac:dyDescent="0.25">
      <c r="A2442">
        <v>2441</v>
      </c>
      <c r="B2442">
        <v>31</v>
      </c>
      <c r="C2442" t="s">
        <v>27</v>
      </c>
      <c r="D2442" t="s">
        <v>105</v>
      </c>
      <c r="E2442" t="s">
        <v>18</v>
      </c>
      <c r="F2442" s="2">
        <v>90</v>
      </c>
      <c r="G2442" t="s">
        <v>102</v>
      </c>
      <c r="H2442" t="s">
        <v>31</v>
      </c>
      <c r="I2442" t="s">
        <v>46</v>
      </c>
      <c r="J2442" t="s">
        <v>33</v>
      </c>
      <c r="K2442">
        <v>4.7</v>
      </c>
      <c r="L2442" t="s">
        <v>23</v>
      </c>
      <c r="M2442" t="s">
        <v>24</v>
      </c>
      <c r="N2442" t="s">
        <v>23</v>
      </c>
      <c r="O2442">
        <v>47</v>
      </c>
      <c r="P2442" t="s">
        <v>88</v>
      </c>
      <c r="Q2442" t="s">
        <v>49</v>
      </c>
      <c r="R2442" s="1">
        <v>0.1</v>
      </c>
      <c r="S2442">
        <f t="shared" si="152"/>
        <v>81</v>
      </c>
      <c r="T2442">
        <f>IFERROR(VLOOKUP(A2442,Table1[[Customer ID]:[Discount Amount]], 6, FALSE),"Not Found")</f>
        <v>90</v>
      </c>
      <c r="U2442" t="str">
        <f t="shared" si="153"/>
        <v>Bank Transfer</v>
      </c>
      <c r="V2442" s="4" t="str">
        <f t="shared" si="154"/>
        <v>Normal</v>
      </c>
      <c r="W2442" s="4" t="str">
        <f t="shared" si="155"/>
        <v>Good</v>
      </c>
      <c r="X2442" s="4">
        <f>AVERAGE(Table1[Purchase Amount])</f>
        <v>129.48419400000012</v>
      </c>
    </row>
    <row r="2443" spans="1:24" ht="15" customHeight="1" x14ac:dyDescent="0.25">
      <c r="A2443">
        <v>2442</v>
      </c>
      <c r="B2443">
        <v>45</v>
      </c>
      <c r="C2443" t="s">
        <v>27</v>
      </c>
      <c r="D2443" t="s">
        <v>50</v>
      </c>
      <c r="E2443" t="s">
        <v>29</v>
      </c>
      <c r="F2443" s="2">
        <v>36</v>
      </c>
      <c r="G2443" t="s">
        <v>19</v>
      </c>
      <c r="H2443" t="s">
        <v>31</v>
      </c>
      <c r="I2443" t="s">
        <v>40</v>
      </c>
      <c r="J2443" t="s">
        <v>47</v>
      </c>
      <c r="K2443">
        <v>4.7</v>
      </c>
      <c r="L2443" t="s">
        <v>23</v>
      </c>
      <c r="M2443" t="s">
        <v>35</v>
      </c>
      <c r="N2443" t="s">
        <v>23</v>
      </c>
      <c r="O2443">
        <v>5</v>
      </c>
      <c r="P2443" t="s">
        <v>53</v>
      </c>
      <c r="Q2443" t="s">
        <v>42</v>
      </c>
      <c r="R2443" s="1">
        <v>0.1</v>
      </c>
      <c r="S2443">
        <f t="shared" si="152"/>
        <v>32.4</v>
      </c>
      <c r="T2443">
        <f>IFERROR(VLOOKUP(A2443,Table1[[Customer ID]:[Discount Amount]], 6, FALSE),"Not Found")</f>
        <v>36</v>
      </c>
      <c r="U2443" t="str">
        <f t="shared" si="153"/>
        <v>Credit Card</v>
      </c>
      <c r="V2443" s="4" t="str">
        <f t="shared" si="154"/>
        <v>Normal</v>
      </c>
      <c r="W2443" s="4" t="str">
        <f t="shared" si="155"/>
        <v>Good</v>
      </c>
      <c r="X2443" s="4">
        <f>AVERAGE(Table1[Purchase Amount])</f>
        <v>129.48419400000012</v>
      </c>
    </row>
    <row r="2444" spans="1:24" ht="15" customHeight="1" x14ac:dyDescent="0.25">
      <c r="A2444">
        <v>2443</v>
      </c>
      <c r="B2444">
        <v>53</v>
      </c>
      <c r="C2444" t="s">
        <v>27</v>
      </c>
      <c r="D2444" t="s">
        <v>118</v>
      </c>
      <c r="E2444" t="s">
        <v>18</v>
      </c>
      <c r="F2444" s="2">
        <v>95</v>
      </c>
      <c r="G2444" t="s">
        <v>162</v>
      </c>
      <c r="H2444" t="s">
        <v>45</v>
      </c>
      <c r="I2444" t="s">
        <v>111</v>
      </c>
      <c r="J2444" t="s">
        <v>22</v>
      </c>
      <c r="K2444">
        <v>4.7</v>
      </c>
      <c r="L2444" t="s">
        <v>23</v>
      </c>
      <c r="M2444" t="s">
        <v>35</v>
      </c>
      <c r="N2444" t="s">
        <v>23</v>
      </c>
      <c r="O2444">
        <v>50</v>
      </c>
      <c r="P2444" t="s">
        <v>36</v>
      </c>
      <c r="Q2444" t="s">
        <v>68</v>
      </c>
      <c r="R2444" s="1">
        <v>0.1</v>
      </c>
      <c r="S2444">
        <f t="shared" si="152"/>
        <v>85.5</v>
      </c>
      <c r="T2444">
        <f>IFERROR(VLOOKUP(A2444,Table1[[Customer ID]:[Discount Amount]], 6, FALSE),"Not Found")</f>
        <v>95</v>
      </c>
      <c r="U2444" t="str">
        <f t="shared" si="153"/>
        <v>Debit Card</v>
      </c>
      <c r="V2444" s="4" t="str">
        <f t="shared" si="154"/>
        <v>Normal</v>
      </c>
      <c r="W2444" s="4" t="str">
        <f t="shared" si="155"/>
        <v>Good</v>
      </c>
      <c r="X2444" s="4">
        <f>AVERAGE(Table1[Purchase Amount])</f>
        <v>129.48419400000012</v>
      </c>
    </row>
    <row r="2445" spans="1:24" ht="15" customHeight="1" x14ac:dyDescent="0.25">
      <c r="A2445">
        <v>2444</v>
      </c>
      <c r="B2445">
        <v>24</v>
      </c>
      <c r="C2445" t="s">
        <v>27</v>
      </c>
      <c r="D2445" t="s">
        <v>104</v>
      </c>
      <c r="E2445" t="s">
        <v>29</v>
      </c>
      <c r="F2445" s="2">
        <v>30</v>
      </c>
      <c r="G2445" t="s">
        <v>130</v>
      </c>
      <c r="H2445" t="s">
        <v>31</v>
      </c>
      <c r="I2445" t="s">
        <v>93</v>
      </c>
      <c r="J2445" t="s">
        <v>33</v>
      </c>
      <c r="K2445">
        <v>3.4</v>
      </c>
      <c r="L2445" t="s">
        <v>23</v>
      </c>
      <c r="M2445" t="s">
        <v>41</v>
      </c>
      <c r="N2445" t="s">
        <v>23</v>
      </c>
      <c r="O2445">
        <v>24</v>
      </c>
      <c r="P2445" t="s">
        <v>88</v>
      </c>
      <c r="Q2445" t="s">
        <v>68</v>
      </c>
      <c r="R2445" s="1">
        <v>0.1</v>
      </c>
      <c r="S2445">
        <f t="shared" si="152"/>
        <v>27</v>
      </c>
      <c r="T2445">
        <f>IFERROR(VLOOKUP(A2445,Table1[[Customer ID]:[Discount Amount]], 6, FALSE),"Not Found")</f>
        <v>30</v>
      </c>
      <c r="U2445" t="str">
        <f t="shared" si="153"/>
        <v>Bank Transfer</v>
      </c>
      <c r="V2445" s="4" t="str">
        <f t="shared" si="154"/>
        <v>Normal</v>
      </c>
      <c r="W2445" s="4" t="str">
        <f t="shared" si="155"/>
        <v>Good</v>
      </c>
      <c r="X2445" s="4">
        <f>AVERAGE(Table1[Purchase Amount])</f>
        <v>129.48419400000012</v>
      </c>
    </row>
    <row r="2446" spans="1:24" ht="15" customHeight="1" x14ac:dyDescent="0.25">
      <c r="A2446">
        <v>2445</v>
      </c>
      <c r="B2446">
        <v>47</v>
      </c>
      <c r="C2446" t="s">
        <v>27</v>
      </c>
      <c r="D2446" t="s">
        <v>129</v>
      </c>
      <c r="E2446" t="s">
        <v>29</v>
      </c>
      <c r="F2446" s="2">
        <v>65</v>
      </c>
      <c r="G2446" t="s">
        <v>154</v>
      </c>
      <c r="H2446" t="s">
        <v>55</v>
      </c>
      <c r="I2446" t="s">
        <v>133</v>
      </c>
      <c r="J2446" t="s">
        <v>47</v>
      </c>
      <c r="K2446">
        <v>3.7</v>
      </c>
      <c r="L2446" t="s">
        <v>23</v>
      </c>
      <c r="M2446" t="s">
        <v>61</v>
      </c>
      <c r="N2446" t="s">
        <v>23</v>
      </c>
      <c r="O2446">
        <v>15</v>
      </c>
      <c r="P2446" t="s">
        <v>36</v>
      </c>
      <c r="Q2446" t="s">
        <v>68</v>
      </c>
      <c r="R2446" s="1">
        <v>0.1</v>
      </c>
      <c r="S2446">
        <f t="shared" si="152"/>
        <v>58.5</v>
      </c>
      <c r="T2446">
        <f>IFERROR(VLOOKUP(A2446,Table1[[Customer ID]:[Discount Amount]], 6, FALSE),"Not Found")</f>
        <v>65</v>
      </c>
      <c r="U2446" t="str">
        <f t="shared" si="153"/>
        <v>Debit Card</v>
      </c>
      <c r="V2446" s="4" t="str">
        <f t="shared" si="154"/>
        <v>Normal</v>
      </c>
      <c r="W2446" s="4" t="str">
        <f t="shared" si="155"/>
        <v>Good</v>
      </c>
      <c r="X2446" s="4">
        <f>AVERAGE(Table1[Purchase Amount])</f>
        <v>129.48419400000012</v>
      </c>
    </row>
    <row r="2447" spans="1:24" ht="15" customHeight="1" x14ac:dyDescent="0.25">
      <c r="A2447">
        <v>2446</v>
      </c>
      <c r="B2447">
        <v>63</v>
      </c>
      <c r="C2447" t="s">
        <v>27</v>
      </c>
      <c r="D2447" t="s">
        <v>129</v>
      </c>
      <c r="E2447" t="s">
        <v>29</v>
      </c>
      <c r="F2447" s="2">
        <v>96</v>
      </c>
      <c r="G2447" t="s">
        <v>65</v>
      </c>
      <c r="H2447" t="s">
        <v>31</v>
      </c>
      <c r="I2447" t="s">
        <v>60</v>
      </c>
      <c r="J2447" t="s">
        <v>57</v>
      </c>
      <c r="K2447">
        <v>4.0999999999999996</v>
      </c>
      <c r="L2447" t="s">
        <v>23</v>
      </c>
      <c r="M2447" t="s">
        <v>48</v>
      </c>
      <c r="N2447" t="s">
        <v>23</v>
      </c>
      <c r="O2447">
        <v>50</v>
      </c>
      <c r="P2447" t="s">
        <v>25</v>
      </c>
      <c r="Q2447" t="s">
        <v>26</v>
      </c>
      <c r="R2447" s="1">
        <v>0.1</v>
      </c>
      <c r="S2447">
        <f t="shared" si="152"/>
        <v>86.4</v>
      </c>
      <c r="T2447">
        <f>IFERROR(VLOOKUP(A2447,Table1[[Customer ID]:[Discount Amount]], 6, FALSE),"Not Found")</f>
        <v>96</v>
      </c>
      <c r="U2447" t="str">
        <f t="shared" si="153"/>
        <v>Cash</v>
      </c>
      <c r="V2447" s="4" t="str">
        <f t="shared" si="154"/>
        <v>Normal</v>
      </c>
      <c r="W2447" s="4" t="str">
        <f t="shared" si="155"/>
        <v>Good</v>
      </c>
      <c r="X2447" s="4">
        <f>AVERAGE(Table1[Purchase Amount])</f>
        <v>129.48419400000012</v>
      </c>
    </row>
    <row r="2448" spans="1:24" ht="15" customHeight="1" x14ac:dyDescent="0.25">
      <c r="A2448">
        <v>2447</v>
      </c>
      <c r="B2448">
        <v>38</v>
      </c>
      <c r="C2448" t="s">
        <v>27</v>
      </c>
      <c r="D2448" t="s">
        <v>38</v>
      </c>
      <c r="E2448" t="s">
        <v>18</v>
      </c>
      <c r="F2448" s="2">
        <v>65</v>
      </c>
      <c r="G2448" t="s">
        <v>148</v>
      </c>
      <c r="H2448" t="s">
        <v>45</v>
      </c>
      <c r="I2448" t="s">
        <v>145</v>
      </c>
      <c r="J2448" t="s">
        <v>33</v>
      </c>
      <c r="K2448">
        <v>2.9</v>
      </c>
      <c r="L2448" t="s">
        <v>23</v>
      </c>
      <c r="M2448" t="s">
        <v>41</v>
      </c>
      <c r="N2448" t="s">
        <v>23</v>
      </c>
      <c r="O2448">
        <v>7</v>
      </c>
      <c r="P2448" t="s">
        <v>53</v>
      </c>
      <c r="Q2448" t="s">
        <v>42</v>
      </c>
      <c r="R2448" s="1">
        <v>0.1</v>
      </c>
      <c r="S2448">
        <f t="shared" si="152"/>
        <v>58.5</v>
      </c>
      <c r="T2448">
        <f>IFERROR(VLOOKUP(A2448,Table1[[Customer ID]:[Discount Amount]], 6, FALSE),"Not Found")</f>
        <v>65</v>
      </c>
      <c r="U2448" t="str">
        <f t="shared" si="153"/>
        <v>Credit Card</v>
      </c>
      <c r="V2448" s="4" t="str">
        <f t="shared" si="154"/>
        <v>Normal</v>
      </c>
      <c r="W2448" s="4" t="str">
        <f t="shared" si="155"/>
        <v>Poor</v>
      </c>
      <c r="X2448" s="4">
        <f>AVERAGE(Table1[Purchase Amount])</f>
        <v>129.48419400000012</v>
      </c>
    </row>
    <row r="2449" spans="1:24" ht="15" customHeight="1" x14ac:dyDescent="0.25">
      <c r="A2449">
        <v>2448</v>
      </c>
      <c r="B2449">
        <v>59</v>
      </c>
      <c r="C2449" t="s">
        <v>27</v>
      </c>
      <c r="D2449" t="s">
        <v>99</v>
      </c>
      <c r="E2449" t="s">
        <v>18</v>
      </c>
      <c r="F2449" s="2">
        <v>47</v>
      </c>
      <c r="G2449" t="s">
        <v>130</v>
      </c>
      <c r="H2449" t="s">
        <v>45</v>
      </c>
      <c r="I2449" t="s">
        <v>145</v>
      </c>
      <c r="J2449" t="s">
        <v>47</v>
      </c>
      <c r="K2449">
        <v>3.2</v>
      </c>
      <c r="L2449" t="s">
        <v>23</v>
      </c>
      <c r="M2449" t="s">
        <v>48</v>
      </c>
      <c r="N2449" t="s">
        <v>23</v>
      </c>
      <c r="O2449">
        <v>10</v>
      </c>
      <c r="P2449" t="s">
        <v>62</v>
      </c>
      <c r="Q2449" t="s">
        <v>89</v>
      </c>
      <c r="R2449" s="1">
        <v>0.1</v>
      </c>
      <c r="S2449">
        <f t="shared" si="152"/>
        <v>42.3</v>
      </c>
      <c r="T2449">
        <f>IFERROR(VLOOKUP(A2449,Table1[[Customer ID]:[Discount Amount]], 6, FALSE),"Not Found")</f>
        <v>47</v>
      </c>
      <c r="U2449" t="str">
        <f t="shared" si="153"/>
        <v>Venmo</v>
      </c>
      <c r="V2449" s="4" t="str">
        <f t="shared" si="154"/>
        <v>Normal</v>
      </c>
      <c r="W2449" s="4" t="str">
        <f t="shared" si="155"/>
        <v>Good</v>
      </c>
      <c r="X2449" s="4">
        <f>AVERAGE(Table1[Purchase Amount])</f>
        <v>129.48419400000012</v>
      </c>
    </row>
    <row r="2450" spans="1:24" ht="15" customHeight="1" x14ac:dyDescent="0.25">
      <c r="A2450">
        <v>2449</v>
      </c>
      <c r="B2450">
        <v>54</v>
      </c>
      <c r="C2450" t="s">
        <v>27</v>
      </c>
      <c r="D2450" t="s">
        <v>64</v>
      </c>
      <c r="E2450" t="s">
        <v>29</v>
      </c>
      <c r="F2450" s="2">
        <v>25</v>
      </c>
      <c r="G2450" t="s">
        <v>65</v>
      </c>
      <c r="H2450" t="s">
        <v>55</v>
      </c>
      <c r="I2450" t="s">
        <v>111</v>
      </c>
      <c r="J2450" t="s">
        <v>47</v>
      </c>
      <c r="K2450">
        <v>3</v>
      </c>
      <c r="L2450" t="s">
        <v>23</v>
      </c>
      <c r="M2450" t="s">
        <v>35</v>
      </c>
      <c r="N2450" t="s">
        <v>23</v>
      </c>
      <c r="O2450">
        <v>38</v>
      </c>
      <c r="P2450" t="s">
        <v>58</v>
      </c>
      <c r="Q2450" t="s">
        <v>68</v>
      </c>
      <c r="R2450" s="1">
        <v>0.1</v>
      </c>
      <c r="S2450">
        <f t="shared" si="152"/>
        <v>22.5</v>
      </c>
      <c r="T2450">
        <f>IFERROR(VLOOKUP(A2450,Table1[[Customer ID]:[Discount Amount]], 6, FALSE),"Not Found")</f>
        <v>25</v>
      </c>
      <c r="U2450" t="str">
        <f t="shared" si="153"/>
        <v>PayPal</v>
      </c>
      <c r="V2450" s="4" t="str">
        <f t="shared" si="154"/>
        <v>Normal</v>
      </c>
      <c r="W2450" s="4" t="str">
        <f t="shared" si="155"/>
        <v>Good</v>
      </c>
      <c r="X2450" s="4">
        <f>AVERAGE(Table1[Purchase Amount])</f>
        <v>129.48419400000012</v>
      </c>
    </row>
    <row r="2451" spans="1:24" ht="15" customHeight="1" x14ac:dyDescent="0.25">
      <c r="A2451">
        <v>2450</v>
      </c>
      <c r="B2451">
        <v>26</v>
      </c>
      <c r="C2451" t="s">
        <v>27</v>
      </c>
      <c r="D2451" t="s">
        <v>76</v>
      </c>
      <c r="E2451" t="s">
        <v>77</v>
      </c>
      <c r="F2451" s="2">
        <v>56</v>
      </c>
      <c r="G2451" t="s">
        <v>51</v>
      </c>
      <c r="H2451" t="s">
        <v>55</v>
      </c>
      <c r="I2451" t="s">
        <v>111</v>
      </c>
      <c r="J2451" t="s">
        <v>47</v>
      </c>
      <c r="K2451">
        <v>4.0999999999999996</v>
      </c>
      <c r="L2451" t="s">
        <v>23</v>
      </c>
      <c r="M2451" t="s">
        <v>61</v>
      </c>
      <c r="N2451" t="s">
        <v>23</v>
      </c>
      <c r="O2451">
        <v>31</v>
      </c>
      <c r="P2451" t="s">
        <v>62</v>
      </c>
      <c r="Q2451" t="s">
        <v>89</v>
      </c>
      <c r="R2451" s="1">
        <v>0.1</v>
      </c>
      <c r="S2451">
        <f t="shared" si="152"/>
        <v>50.4</v>
      </c>
      <c r="T2451">
        <f>IFERROR(VLOOKUP(A2451,Table1[[Customer ID]:[Discount Amount]], 6, FALSE),"Not Found")</f>
        <v>56</v>
      </c>
      <c r="U2451" t="str">
        <f t="shared" si="153"/>
        <v>Venmo</v>
      </c>
      <c r="V2451" s="4" t="str">
        <f t="shared" si="154"/>
        <v>Normal</v>
      </c>
      <c r="W2451" s="4" t="str">
        <f t="shared" si="155"/>
        <v>Good</v>
      </c>
      <c r="X2451" s="4">
        <f>AVERAGE(Table1[Purchase Amount])</f>
        <v>129.48419400000012</v>
      </c>
    </row>
    <row r="2452" spans="1:24" ht="15" customHeight="1" x14ac:dyDescent="0.25">
      <c r="A2452">
        <v>2451</v>
      </c>
      <c r="B2452">
        <v>68</v>
      </c>
      <c r="C2452" t="s">
        <v>27</v>
      </c>
      <c r="D2452" t="s">
        <v>17</v>
      </c>
      <c r="E2452" t="s">
        <v>18</v>
      </c>
      <c r="F2452" s="2">
        <v>76</v>
      </c>
      <c r="G2452" t="s">
        <v>134</v>
      </c>
      <c r="H2452" t="s">
        <v>31</v>
      </c>
      <c r="I2452" t="s">
        <v>87</v>
      </c>
      <c r="J2452" t="s">
        <v>47</v>
      </c>
      <c r="K2452">
        <v>4.5</v>
      </c>
      <c r="L2452" t="s">
        <v>23</v>
      </c>
      <c r="M2452" t="s">
        <v>24</v>
      </c>
      <c r="N2452" t="s">
        <v>23</v>
      </c>
      <c r="O2452">
        <v>7</v>
      </c>
      <c r="P2452" t="s">
        <v>62</v>
      </c>
      <c r="Q2452" t="s">
        <v>37</v>
      </c>
      <c r="R2452" s="1">
        <v>0.1</v>
      </c>
      <c r="S2452">
        <f t="shared" si="152"/>
        <v>68.400000000000006</v>
      </c>
      <c r="T2452">
        <f>IFERROR(VLOOKUP(A2452,Table1[[Customer ID]:[Discount Amount]], 6, FALSE),"Not Found")</f>
        <v>76</v>
      </c>
      <c r="U2452" t="str">
        <f t="shared" si="153"/>
        <v>Venmo</v>
      </c>
      <c r="V2452" s="4" t="str">
        <f t="shared" si="154"/>
        <v>Normal</v>
      </c>
      <c r="W2452" s="4" t="str">
        <f t="shared" si="155"/>
        <v>Good</v>
      </c>
      <c r="X2452" s="4">
        <f>AVERAGE(Table1[Purchase Amount])</f>
        <v>129.48419400000012</v>
      </c>
    </row>
    <row r="2453" spans="1:24" ht="15" customHeight="1" x14ac:dyDescent="0.25">
      <c r="A2453">
        <v>2452</v>
      </c>
      <c r="B2453">
        <v>41</v>
      </c>
      <c r="C2453" t="s">
        <v>27</v>
      </c>
      <c r="D2453" t="s">
        <v>105</v>
      </c>
      <c r="E2453" t="s">
        <v>18</v>
      </c>
      <c r="F2453" s="2">
        <v>60</v>
      </c>
      <c r="G2453" t="s">
        <v>142</v>
      </c>
      <c r="H2453" t="s">
        <v>31</v>
      </c>
      <c r="I2453" t="s">
        <v>66</v>
      </c>
      <c r="J2453" t="s">
        <v>47</v>
      </c>
      <c r="K2453">
        <v>3.4</v>
      </c>
      <c r="L2453" t="s">
        <v>23</v>
      </c>
      <c r="M2453" t="s">
        <v>48</v>
      </c>
      <c r="N2453" t="s">
        <v>23</v>
      </c>
      <c r="O2453">
        <v>27</v>
      </c>
      <c r="P2453" t="s">
        <v>62</v>
      </c>
      <c r="Q2453" t="s">
        <v>42</v>
      </c>
      <c r="R2453" s="1">
        <v>0.1</v>
      </c>
      <c r="S2453">
        <f t="shared" si="152"/>
        <v>54</v>
      </c>
      <c r="T2453">
        <f>IFERROR(VLOOKUP(A2453,Table1[[Customer ID]:[Discount Amount]], 6, FALSE),"Not Found")</f>
        <v>60</v>
      </c>
      <c r="U2453" t="str">
        <f t="shared" si="153"/>
        <v>Venmo</v>
      </c>
      <c r="V2453" s="4" t="str">
        <f t="shared" si="154"/>
        <v>Normal</v>
      </c>
      <c r="W2453" s="4" t="str">
        <f t="shared" si="155"/>
        <v>Good</v>
      </c>
      <c r="X2453" s="4">
        <f>AVERAGE(Table1[Purchase Amount])</f>
        <v>129.48419400000012</v>
      </c>
    </row>
    <row r="2454" spans="1:24" ht="15" customHeight="1" x14ac:dyDescent="0.25">
      <c r="A2454">
        <v>2453</v>
      </c>
      <c r="B2454">
        <v>68</v>
      </c>
      <c r="C2454" t="s">
        <v>27</v>
      </c>
      <c r="D2454" t="s">
        <v>38</v>
      </c>
      <c r="E2454" t="s">
        <v>18</v>
      </c>
      <c r="F2454" s="2">
        <v>67</v>
      </c>
      <c r="G2454" t="s">
        <v>101</v>
      </c>
      <c r="H2454" t="s">
        <v>45</v>
      </c>
      <c r="I2454" t="s">
        <v>66</v>
      </c>
      <c r="J2454" t="s">
        <v>22</v>
      </c>
      <c r="K2454">
        <v>4.0999999999999996</v>
      </c>
      <c r="L2454" t="s">
        <v>23</v>
      </c>
      <c r="M2454" t="s">
        <v>61</v>
      </c>
      <c r="N2454" t="s">
        <v>23</v>
      </c>
      <c r="O2454">
        <v>45</v>
      </c>
      <c r="P2454" t="s">
        <v>88</v>
      </c>
      <c r="Q2454" t="s">
        <v>63</v>
      </c>
      <c r="R2454" s="1">
        <v>0.1</v>
      </c>
      <c r="S2454">
        <f t="shared" si="152"/>
        <v>60.3</v>
      </c>
      <c r="T2454">
        <f>IFERROR(VLOOKUP(A2454,Table1[[Customer ID]:[Discount Amount]], 6, FALSE),"Not Found")</f>
        <v>67</v>
      </c>
      <c r="U2454" t="str">
        <f t="shared" si="153"/>
        <v>Bank Transfer</v>
      </c>
      <c r="V2454" s="4" t="str">
        <f t="shared" si="154"/>
        <v>Normal</v>
      </c>
      <c r="W2454" s="4" t="str">
        <f t="shared" si="155"/>
        <v>Good</v>
      </c>
      <c r="X2454" s="4">
        <f>AVERAGE(Table1[Purchase Amount])</f>
        <v>129.48419400000012</v>
      </c>
    </row>
    <row r="2455" spans="1:24" ht="15" customHeight="1" x14ac:dyDescent="0.25">
      <c r="A2455">
        <v>2454</v>
      </c>
      <c r="B2455">
        <v>21</v>
      </c>
      <c r="C2455" t="s">
        <v>27</v>
      </c>
      <c r="D2455" t="s">
        <v>127</v>
      </c>
      <c r="E2455" t="s">
        <v>18</v>
      </c>
      <c r="F2455" s="2">
        <v>95</v>
      </c>
      <c r="G2455" t="s">
        <v>141</v>
      </c>
      <c r="H2455" t="s">
        <v>20</v>
      </c>
      <c r="I2455" t="s">
        <v>128</v>
      </c>
      <c r="J2455" t="s">
        <v>33</v>
      </c>
      <c r="K2455">
        <v>4.5999999999999996</v>
      </c>
      <c r="L2455" t="s">
        <v>23</v>
      </c>
      <c r="M2455" t="s">
        <v>48</v>
      </c>
      <c r="N2455" t="s">
        <v>23</v>
      </c>
      <c r="O2455">
        <v>13</v>
      </c>
      <c r="P2455" t="s">
        <v>25</v>
      </c>
      <c r="Q2455" t="s">
        <v>49</v>
      </c>
      <c r="R2455" s="1">
        <v>0.1</v>
      </c>
      <c r="S2455">
        <f t="shared" si="152"/>
        <v>85.5</v>
      </c>
      <c r="T2455">
        <f>IFERROR(VLOOKUP(A2455,Table1[[Customer ID]:[Discount Amount]], 6, FALSE),"Not Found")</f>
        <v>95</v>
      </c>
      <c r="U2455" t="str">
        <f t="shared" si="153"/>
        <v>Cash</v>
      </c>
      <c r="V2455" s="4" t="str">
        <f t="shared" si="154"/>
        <v>Normal</v>
      </c>
      <c r="W2455" s="4" t="str">
        <f t="shared" si="155"/>
        <v>Good</v>
      </c>
      <c r="X2455" s="4">
        <f>AVERAGE(Table1[Purchase Amount])</f>
        <v>129.48419400000012</v>
      </c>
    </row>
    <row r="2456" spans="1:24" ht="15" customHeight="1" x14ac:dyDescent="0.25">
      <c r="A2456">
        <v>2455</v>
      </c>
      <c r="B2456">
        <v>32</v>
      </c>
      <c r="C2456" t="s">
        <v>27</v>
      </c>
      <c r="D2456" t="s">
        <v>43</v>
      </c>
      <c r="E2456" t="s">
        <v>29</v>
      </c>
      <c r="F2456" s="2">
        <v>72</v>
      </c>
      <c r="G2456" t="s">
        <v>148</v>
      </c>
      <c r="H2456" t="s">
        <v>31</v>
      </c>
      <c r="I2456" t="s">
        <v>87</v>
      </c>
      <c r="J2456" t="s">
        <v>22</v>
      </c>
      <c r="K2456">
        <v>4.5999999999999996</v>
      </c>
      <c r="L2456" t="s">
        <v>23</v>
      </c>
      <c r="M2456" t="s">
        <v>61</v>
      </c>
      <c r="N2456" t="s">
        <v>23</v>
      </c>
      <c r="O2456">
        <v>33</v>
      </c>
      <c r="P2456" t="s">
        <v>62</v>
      </c>
      <c r="Q2456" t="s">
        <v>49</v>
      </c>
      <c r="R2456" s="1">
        <v>0.1</v>
      </c>
      <c r="S2456">
        <f t="shared" si="152"/>
        <v>64.8</v>
      </c>
      <c r="T2456">
        <f>IFERROR(VLOOKUP(A2456,Table1[[Customer ID]:[Discount Amount]], 6, FALSE),"Not Found")</f>
        <v>72</v>
      </c>
      <c r="U2456" t="str">
        <f t="shared" si="153"/>
        <v>Venmo</v>
      </c>
      <c r="V2456" s="4" t="str">
        <f t="shared" si="154"/>
        <v>Normal</v>
      </c>
      <c r="W2456" s="4" t="str">
        <f t="shared" si="155"/>
        <v>Good</v>
      </c>
      <c r="X2456" s="4">
        <f>AVERAGE(Table1[Purchase Amount])</f>
        <v>129.48419400000012</v>
      </c>
    </row>
    <row r="2457" spans="1:24" ht="15" customHeight="1" x14ac:dyDescent="0.25">
      <c r="A2457">
        <v>2456</v>
      </c>
      <c r="B2457">
        <v>20</v>
      </c>
      <c r="C2457" t="s">
        <v>27</v>
      </c>
      <c r="D2457" t="s">
        <v>114</v>
      </c>
      <c r="E2457" t="s">
        <v>29</v>
      </c>
      <c r="F2457" s="2">
        <v>98</v>
      </c>
      <c r="G2457" t="s">
        <v>148</v>
      </c>
      <c r="H2457" t="s">
        <v>45</v>
      </c>
      <c r="I2457" t="s">
        <v>107</v>
      </c>
      <c r="J2457" t="s">
        <v>33</v>
      </c>
      <c r="K2457">
        <v>3.4</v>
      </c>
      <c r="L2457" t="s">
        <v>23</v>
      </c>
      <c r="M2457" t="s">
        <v>61</v>
      </c>
      <c r="N2457" t="s">
        <v>23</v>
      </c>
      <c r="O2457">
        <v>25</v>
      </c>
      <c r="P2457" t="s">
        <v>25</v>
      </c>
      <c r="Q2457" t="s">
        <v>63</v>
      </c>
      <c r="R2457" s="1">
        <v>0.1</v>
      </c>
      <c r="S2457">
        <f t="shared" si="152"/>
        <v>88.2</v>
      </c>
      <c r="T2457">
        <f>IFERROR(VLOOKUP(A2457,Table1[[Customer ID]:[Discount Amount]], 6, FALSE),"Not Found")</f>
        <v>98</v>
      </c>
      <c r="U2457" t="str">
        <f t="shared" si="153"/>
        <v>Cash</v>
      </c>
      <c r="V2457" s="4" t="str">
        <f t="shared" si="154"/>
        <v>Normal</v>
      </c>
      <c r="W2457" s="4" t="str">
        <f t="shared" si="155"/>
        <v>Good</v>
      </c>
      <c r="X2457" s="4">
        <f>AVERAGE(Table1[Purchase Amount])</f>
        <v>129.48419400000012</v>
      </c>
    </row>
    <row r="2458" spans="1:24" ht="15" customHeight="1" x14ac:dyDescent="0.25">
      <c r="A2458">
        <v>2457</v>
      </c>
      <c r="B2458">
        <v>59</v>
      </c>
      <c r="C2458" t="s">
        <v>27</v>
      </c>
      <c r="D2458" t="s">
        <v>109</v>
      </c>
      <c r="E2458" t="s">
        <v>18</v>
      </c>
      <c r="F2458" s="2">
        <v>83</v>
      </c>
      <c r="G2458" t="s">
        <v>137</v>
      </c>
      <c r="H2458" t="s">
        <v>31</v>
      </c>
      <c r="I2458" t="s">
        <v>93</v>
      </c>
      <c r="J2458" t="s">
        <v>22</v>
      </c>
      <c r="K2458">
        <v>3.3</v>
      </c>
      <c r="L2458" t="s">
        <v>23</v>
      </c>
      <c r="M2458" t="s">
        <v>41</v>
      </c>
      <c r="N2458" t="s">
        <v>23</v>
      </c>
      <c r="O2458">
        <v>5</v>
      </c>
      <c r="P2458" t="s">
        <v>58</v>
      </c>
      <c r="Q2458" t="s">
        <v>42</v>
      </c>
      <c r="R2458" s="1">
        <v>0.1</v>
      </c>
      <c r="S2458">
        <f t="shared" si="152"/>
        <v>74.7</v>
      </c>
      <c r="T2458">
        <f>IFERROR(VLOOKUP(A2458,Table1[[Customer ID]:[Discount Amount]], 6, FALSE),"Not Found")</f>
        <v>83</v>
      </c>
      <c r="U2458" t="str">
        <f t="shared" si="153"/>
        <v>PayPal</v>
      </c>
      <c r="V2458" s="4" t="str">
        <f t="shared" si="154"/>
        <v>Normal</v>
      </c>
      <c r="W2458" s="4" t="str">
        <f t="shared" si="155"/>
        <v>Good</v>
      </c>
      <c r="X2458" s="4">
        <f>AVERAGE(Table1[Purchase Amount])</f>
        <v>129.48419400000012</v>
      </c>
    </row>
    <row r="2459" spans="1:24" ht="15" customHeight="1" x14ac:dyDescent="0.25">
      <c r="A2459">
        <v>2458</v>
      </c>
      <c r="B2459">
        <v>53</v>
      </c>
      <c r="C2459" t="s">
        <v>27</v>
      </c>
      <c r="D2459" t="s">
        <v>69</v>
      </c>
      <c r="E2459" t="s">
        <v>29</v>
      </c>
      <c r="F2459" s="2">
        <v>37</v>
      </c>
      <c r="G2459" t="s">
        <v>143</v>
      </c>
      <c r="H2459" t="s">
        <v>31</v>
      </c>
      <c r="I2459" t="s">
        <v>125</v>
      </c>
      <c r="J2459" t="s">
        <v>47</v>
      </c>
      <c r="K2459">
        <v>3.6</v>
      </c>
      <c r="L2459" t="s">
        <v>23</v>
      </c>
      <c r="M2459" t="s">
        <v>41</v>
      </c>
      <c r="N2459" t="s">
        <v>23</v>
      </c>
      <c r="O2459">
        <v>23</v>
      </c>
      <c r="P2459" t="s">
        <v>25</v>
      </c>
      <c r="Q2459" t="s">
        <v>37</v>
      </c>
      <c r="R2459" s="1">
        <v>0.1</v>
      </c>
      <c r="S2459">
        <f t="shared" si="152"/>
        <v>33.299999999999997</v>
      </c>
      <c r="T2459">
        <f>IFERROR(VLOOKUP(A2459,Table1[[Customer ID]:[Discount Amount]], 6, FALSE),"Not Found")</f>
        <v>37</v>
      </c>
      <c r="U2459" t="str">
        <f t="shared" si="153"/>
        <v>Cash</v>
      </c>
      <c r="V2459" s="4" t="str">
        <f t="shared" si="154"/>
        <v>Normal</v>
      </c>
      <c r="W2459" s="4" t="str">
        <f t="shared" si="155"/>
        <v>Good</v>
      </c>
      <c r="X2459" s="4">
        <f>AVERAGE(Table1[Purchase Amount])</f>
        <v>129.48419400000012</v>
      </c>
    </row>
    <row r="2460" spans="1:24" ht="15" customHeight="1" x14ac:dyDescent="0.25">
      <c r="A2460">
        <v>2459</v>
      </c>
      <c r="B2460">
        <v>66</v>
      </c>
      <c r="C2460" t="s">
        <v>27</v>
      </c>
      <c r="D2460" t="s">
        <v>17</v>
      </c>
      <c r="E2460" t="s">
        <v>18</v>
      </c>
      <c r="F2460" s="2">
        <v>85</v>
      </c>
      <c r="G2460" t="s">
        <v>152</v>
      </c>
      <c r="H2460" t="s">
        <v>45</v>
      </c>
      <c r="I2460" t="s">
        <v>156</v>
      </c>
      <c r="J2460" t="s">
        <v>47</v>
      </c>
      <c r="K2460">
        <v>4.5999999999999996</v>
      </c>
      <c r="L2460" t="s">
        <v>23</v>
      </c>
      <c r="M2460" t="s">
        <v>35</v>
      </c>
      <c r="N2460" t="s">
        <v>23</v>
      </c>
      <c r="O2460">
        <v>17</v>
      </c>
      <c r="P2460" t="s">
        <v>88</v>
      </c>
      <c r="Q2460" t="s">
        <v>26</v>
      </c>
      <c r="R2460" s="1">
        <v>0.1</v>
      </c>
      <c r="S2460">
        <f t="shared" si="152"/>
        <v>76.5</v>
      </c>
      <c r="T2460">
        <f>IFERROR(VLOOKUP(A2460,Table1[[Customer ID]:[Discount Amount]], 6, FALSE),"Not Found")</f>
        <v>85</v>
      </c>
      <c r="U2460" t="str">
        <f t="shared" si="153"/>
        <v>Bank Transfer</v>
      </c>
      <c r="V2460" s="4" t="str">
        <f t="shared" si="154"/>
        <v>Normal</v>
      </c>
      <c r="W2460" s="4" t="str">
        <f t="shared" si="155"/>
        <v>Good</v>
      </c>
      <c r="X2460" s="4">
        <f>AVERAGE(Table1[Purchase Amount])</f>
        <v>129.48419400000012</v>
      </c>
    </row>
    <row r="2461" spans="1:24" ht="15" customHeight="1" x14ac:dyDescent="0.25">
      <c r="A2461">
        <v>2460</v>
      </c>
      <c r="B2461">
        <v>47</v>
      </c>
      <c r="C2461" t="s">
        <v>27</v>
      </c>
      <c r="D2461" t="s">
        <v>105</v>
      </c>
      <c r="E2461" t="s">
        <v>18</v>
      </c>
      <c r="F2461" s="2">
        <v>36</v>
      </c>
      <c r="G2461" t="s">
        <v>146</v>
      </c>
      <c r="H2461" t="s">
        <v>45</v>
      </c>
      <c r="I2461" t="s">
        <v>111</v>
      </c>
      <c r="J2461" t="s">
        <v>47</v>
      </c>
      <c r="K2461">
        <v>4.3</v>
      </c>
      <c r="L2461" t="s">
        <v>23</v>
      </c>
      <c r="M2461" t="s">
        <v>41</v>
      </c>
      <c r="N2461" t="s">
        <v>23</v>
      </c>
      <c r="O2461">
        <v>14</v>
      </c>
      <c r="P2461" t="s">
        <v>25</v>
      </c>
      <c r="Q2461" t="s">
        <v>26</v>
      </c>
      <c r="R2461" s="1">
        <v>0.1</v>
      </c>
      <c r="S2461">
        <f t="shared" si="152"/>
        <v>32.4</v>
      </c>
      <c r="T2461">
        <f>IFERROR(VLOOKUP(A2461,Table1[[Customer ID]:[Discount Amount]], 6, FALSE),"Not Found")</f>
        <v>36</v>
      </c>
      <c r="U2461" t="str">
        <f t="shared" si="153"/>
        <v>Cash</v>
      </c>
      <c r="V2461" s="4" t="str">
        <f t="shared" si="154"/>
        <v>Normal</v>
      </c>
      <c r="W2461" s="4" t="str">
        <f t="shared" si="155"/>
        <v>Good</v>
      </c>
      <c r="X2461" s="4">
        <f>AVERAGE(Table1[Purchase Amount])</f>
        <v>129.48419400000012</v>
      </c>
    </row>
    <row r="2462" spans="1:24" ht="15" customHeight="1" x14ac:dyDescent="0.25">
      <c r="A2462">
        <v>2461</v>
      </c>
      <c r="B2462">
        <v>58</v>
      </c>
      <c r="C2462" t="s">
        <v>27</v>
      </c>
      <c r="D2462" t="s">
        <v>109</v>
      </c>
      <c r="E2462" t="s">
        <v>18</v>
      </c>
      <c r="F2462" s="2">
        <v>36</v>
      </c>
      <c r="G2462" t="s">
        <v>94</v>
      </c>
      <c r="H2462" t="s">
        <v>55</v>
      </c>
      <c r="I2462" t="s">
        <v>107</v>
      </c>
      <c r="J2462" t="s">
        <v>22</v>
      </c>
      <c r="K2462">
        <v>4</v>
      </c>
      <c r="L2462" t="s">
        <v>23</v>
      </c>
      <c r="M2462" t="s">
        <v>48</v>
      </c>
      <c r="N2462" t="s">
        <v>23</v>
      </c>
      <c r="O2462">
        <v>28</v>
      </c>
      <c r="P2462" t="s">
        <v>53</v>
      </c>
      <c r="Q2462" t="s">
        <v>49</v>
      </c>
      <c r="R2462" s="1">
        <v>0.1</v>
      </c>
      <c r="S2462">
        <f t="shared" si="152"/>
        <v>32.4</v>
      </c>
      <c r="T2462">
        <f>IFERROR(VLOOKUP(A2462,Table1[[Customer ID]:[Discount Amount]], 6, FALSE),"Not Found")</f>
        <v>36</v>
      </c>
      <c r="U2462" t="str">
        <f t="shared" si="153"/>
        <v>Credit Card</v>
      </c>
      <c r="V2462" s="4" t="str">
        <f t="shared" si="154"/>
        <v>Normal</v>
      </c>
      <c r="W2462" s="4" t="str">
        <f t="shared" si="155"/>
        <v>Good</v>
      </c>
      <c r="X2462" s="4">
        <f>AVERAGE(Table1[Purchase Amount])</f>
        <v>129.48419400000012</v>
      </c>
    </row>
    <row r="2463" spans="1:24" ht="15" customHeight="1" x14ac:dyDescent="0.25">
      <c r="A2463">
        <v>2462</v>
      </c>
      <c r="B2463">
        <v>28</v>
      </c>
      <c r="C2463" t="s">
        <v>27</v>
      </c>
      <c r="D2463" t="s">
        <v>129</v>
      </c>
      <c r="E2463" t="s">
        <v>29</v>
      </c>
      <c r="F2463" s="2">
        <v>86</v>
      </c>
      <c r="G2463" t="s">
        <v>78</v>
      </c>
      <c r="H2463" t="s">
        <v>45</v>
      </c>
      <c r="I2463" t="s">
        <v>46</v>
      </c>
      <c r="J2463" t="s">
        <v>57</v>
      </c>
      <c r="K2463">
        <v>4.8</v>
      </c>
      <c r="L2463" t="s">
        <v>23</v>
      </c>
      <c r="M2463" t="s">
        <v>79</v>
      </c>
      <c r="N2463" t="s">
        <v>23</v>
      </c>
      <c r="O2463">
        <v>19</v>
      </c>
      <c r="P2463" t="s">
        <v>53</v>
      </c>
      <c r="Q2463" t="s">
        <v>26</v>
      </c>
      <c r="R2463" s="1">
        <v>0.1</v>
      </c>
      <c r="S2463">
        <f t="shared" si="152"/>
        <v>77.400000000000006</v>
      </c>
      <c r="T2463">
        <f>IFERROR(VLOOKUP(A2463,Table1[[Customer ID]:[Discount Amount]], 6, FALSE),"Not Found")</f>
        <v>86</v>
      </c>
      <c r="U2463" t="str">
        <f t="shared" si="153"/>
        <v>Credit Card</v>
      </c>
      <c r="V2463" s="4" t="str">
        <f t="shared" si="154"/>
        <v>Normal</v>
      </c>
      <c r="W2463" s="4" t="str">
        <f t="shared" si="155"/>
        <v>Good</v>
      </c>
      <c r="X2463" s="4">
        <f>AVERAGE(Table1[Purchase Amount])</f>
        <v>129.48419400000012</v>
      </c>
    </row>
    <row r="2464" spans="1:24" ht="15" customHeight="1" x14ac:dyDescent="0.25">
      <c r="A2464">
        <v>2463</v>
      </c>
      <c r="B2464">
        <v>68</v>
      </c>
      <c r="C2464" t="s">
        <v>27</v>
      </c>
      <c r="D2464" t="s">
        <v>99</v>
      </c>
      <c r="E2464" t="s">
        <v>18</v>
      </c>
      <c r="F2464" s="2">
        <v>99</v>
      </c>
      <c r="G2464" t="s">
        <v>146</v>
      </c>
      <c r="H2464" t="s">
        <v>20</v>
      </c>
      <c r="I2464" t="s">
        <v>108</v>
      </c>
      <c r="J2464" t="s">
        <v>33</v>
      </c>
      <c r="K2464">
        <v>4.3</v>
      </c>
      <c r="L2464" t="s">
        <v>23</v>
      </c>
      <c r="M2464" t="s">
        <v>24</v>
      </c>
      <c r="N2464" t="s">
        <v>23</v>
      </c>
      <c r="O2464">
        <v>31</v>
      </c>
      <c r="P2464" t="s">
        <v>88</v>
      </c>
      <c r="Q2464" t="s">
        <v>68</v>
      </c>
      <c r="R2464" s="1">
        <v>0.1</v>
      </c>
      <c r="S2464">
        <f t="shared" si="152"/>
        <v>89.1</v>
      </c>
      <c r="T2464">
        <f>IFERROR(VLOOKUP(A2464,Table1[[Customer ID]:[Discount Amount]], 6, FALSE),"Not Found")</f>
        <v>99</v>
      </c>
      <c r="U2464" t="str">
        <f t="shared" si="153"/>
        <v>Bank Transfer</v>
      </c>
      <c r="V2464" s="4" t="str">
        <f t="shared" si="154"/>
        <v>Normal</v>
      </c>
      <c r="W2464" s="4" t="str">
        <f t="shared" si="155"/>
        <v>Good</v>
      </c>
      <c r="X2464" s="4">
        <f>AVERAGE(Table1[Purchase Amount])</f>
        <v>129.48419400000012</v>
      </c>
    </row>
    <row r="2465" spans="1:24" ht="15" customHeight="1" x14ac:dyDescent="0.25">
      <c r="A2465">
        <v>2464</v>
      </c>
      <c r="B2465">
        <v>60</v>
      </c>
      <c r="C2465" t="s">
        <v>27</v>
      </c>
      <c r="D2465" t="s">
        <v>118</v>
      </c>
      <c r="E2465" t="s">
        <v>18</v>
      </c>
      <c r="F2465" s="2">
        <v>21</v>
      </c>
      <c r="G2465" t="s">
        <v>149</v>
      </c>
      <c r="H2465" t="s">
        <v>20</v>
      </c>
      <c r="I2465" t="s">
        <v>91</v>
      </c>
      <c r="J2465" t="s">
        <v>57</v>
      </c>
      <c r="K2465">
        <v>3.3</v>
      </c>
      <c r="L2465" t="s">
        <v>23</v>
      </c>
      <c r="M2465" t="s">
        <v>24</v>
      </c>
      <c r="N2465" t="s">
        <v>23</v>
      </c>
      <c r="O2465">
        <v>25</v>
      </c>
      <c r="P2465" t="s">
        <v>25</v>
      </c>
      <c r="Q2465" t="s">
        <v>68</v>
      </c>
      <c r="R2465" s="1">
        <v>0.1</v>
      </c>
      <c r="S2465">
        <f t="shared" si="152"/>
        <v>18.899999999999999</v>
      </c>
      <c r="T2465">
        <f>IFERROR(VLOOKUP(A2465,Table1[[Customer ID]:[Discount Amount]], 6, FALSE),"Not Found")</f>
        <v>21</v>
      </c>
      <c r="U2465" t="str">
        <f t="shared" si="153"/>
        <v>Cash</v>
      </c>
      <c r="V2465" s="4" t="str">
        <f t="shared" si="154"/>
        <v>Normal</v>
      </c>
      <c r="W2465" s="4" t="str">
        <f t="shared" si="155"/>
        <v>Good</v>
      </c>
      <c r="X2465" s="4">
        <f>AVERAGE(Table1[Purchase Amount])</f>
        <v>129.48419400000012</v>
      </c>
    </row>
    <row r="2466" spans="1:24" ht="15" customHeight="1" x14ac:dyDescent="0.25">
      <c r="A2466">
        <v>2465</v>
      </c>
      <c r="B2466">
        <v>47</v>
      </c>
      <c r="C2466" t="s">
        <v>27</v>
      </c>
      <c r="D2466" t="s">
        <v>96</v>
      </c>
      <c r="E2466" t="s">
        <v>77</v>
      </c>
      <c r="F2466" s="2">
        <v>84</v>
      </c>
      <c r="G2466" t="s">
        <v>135</v>
      </c>
      <c r="H2466" t="s">
        <v>45</v>
      </c>
      <c r="I2466" t="s">
        <v>147</v>
      </c>
      <c r="J2466" t="s">
        <v>22</v>
      </c>
      <c r="K2466">
        <v>2.8</v>
      </c>
      <c r="L2466" t="s">
        <v>23</v>
      </c>
      <c r="M2466" t="s">
        <v>61</v>
      </c>
      <c r="N2466" t="s">
        <v>23</v>
      </c>
      <c r="O2466">
        <v>4</v>
      </c>
      <c r="P2466" t="s">
        <v>25</v>
      </c>
      <c r="Q2466" t="s">
        <v>68</v>
      </c>
      <c r="R2466" s="1">
        <v>0.1</v>
      </c>
      <c r="S2466">
        <f t="shared" si="152"/>
        <v>75.599999999999994</v>
      </c>
      <c r="T2466">
        <f>IFERROR(VLOOKUP(A2466,Table1[[Customer ID]:[Discount Amount]], 6, FALSE),"Not Found")</f>
        <v>84</v>
      </c>
      <c r="U2466" t="str">
        <f t="shared" si="153"/>
        <v>Cash</v>
      </c>
      <c r="V2466" s="4" t="str">
        <f t="shared" si="154"/>
        <v>Normal</v>
      </c>
      <c r="W2466" s="4" t="str">
        <f t="shared" si="155"/>
        <v>Poor</v>
      </c>
      <c r="X2466" s="4">
        <f>AVERAGE(Table1[Purchase Amount])</f>
        <v>129.48419400000012</v>
      </c>
    </row>
    <row r="2467" spans="1:24" ht="15" customHeight="1" x14ac:dyDescent="0.25">
      <c r="A2467">
        <v>2466</v>
      </c>
      <c r="B2467">
        <v>18</v>
      </c>
      <c r="C2467" t="s">
        <v>27</v>
      </c>
      <c r="D2467" t="s">
        <v>121</v>
      </c>
      <c r="E2467" t="s">
        <v>98</v>
      </c>
      <c r="F2467" s="2">
        <v>63</v>
      </c>
      <c r="G2467" t="s">
        <v>152</v>
      </c>
      <c r="H2467" t="s">
        <v>31</v>
      </c>
      <c r="I2467" t="s">
        <v>60</v>
      </c>
      <c r="J2467" t="s">
        <v>33</v>
      </c>
      <c r="K2467">
        <v>4.4000000000000004</v>
      </c>
      <c r="L2467" t="s">
        <v>23</v>
      </c>
      <c r="M2467" t="s">
        <v>35</v>
      </c>
      <c r="N2467" t="s">
        <v>23</v>
      </c>
      <c r="O2467">
        <v>20</v>
      </c>
      <c r="P2467" t="s">
        <v>88</v>
      </c>
      <c r="Q2467" t="s">
        <v>26</v>
      </c>
      <c r="R2467" s="1">
        <v>0.1</v>
      </c>
      <c r="S2467">
        <f t="shared" si="152"/>
        <v>56.7</v>
      </c>
      <c r="T2467">
        <f>IFERROR(VLOOKUP(A2467,Table1[[Customer ID]:[Discount Amount]], 6, FALSE),"Not Found")</f>
        <v>63</v>
      </c>
      <c r="U2467" t="str">
        <f t="shared" si="153"/>
        <v>Bank Transfer</v>
      </c>
      <c r="V2467" s="4" t="str">
        <f t="shared" si="154"/>
        <v>Normal</v>
      </c>
      <c r="W2467" s="4" t="str">
        <f t="shared" si="155"/>
        <v>Good</v>
      </c>
      <c r="X2467" s="4">
        <f>AVERAGE(Table1[Purchase Amount])</f>
        <v>129.48419400000012</v>
      </c>
    </row>
    <row r="2468" spans="1:24" ht="15" customHeight="1" x14ac:dyDescent="0.25">
      <c r="A2468">
        <v>2467</v>
      </c>
      <c r="B2468">
        <v>32</v>
      </c>
      <c r="C2468" t="s">
        <v>27</v>
      </c>
      <c r="D2468" t="s">
        <v>54</v>
      </c>
      <c r="E2468" t="s">
        <v>18</v>
      </c>
      <c r="F2468" s="2">
        <v>84</v>
      </c>
      <c r="G2468" t="s">
        <v>130</v>
      </c>
      <c r="H2468" t="s">
        <v>55</v>
      </c>
      <c r="I2468" t="s">
        <v>136</v>
      </c>
      <c r="J2468" t="s">
        <v>57</v>
      </c>
      <c r="K2468">
        <v>3.7</v>
      </c>
      <c r="L2468" t="s">
        <v>23</v>
      </c>
      <c r="M2468" t="s">
        <v>61</v>
      </c>
      <c r="N2468" t="s">
        <v>23</v>
      </c>
      <c r="O2468">
        <v>37</v>
      </c>
      <c r="P2468" t="s">
        <v>25</v>
      </c>
      <c r="Q2468" t="s">
        <v>49</v>
      </c>
      <c r="R2468" s="1">
        <v>0.1</v>
      </c>
      <c r="S2468">
        <f t="shared" si="152"/>
        <v>75.599999999999994</v>
      </c>
      <c r="T2468">
        <f>IFERROR(VLOOKUP(A2468,Table1[[Customer ID]:[Discount Amount]], 6, FALSE),"Not Found")</f>
        <v>84</v>
      </c>
      <c r="U2468" t="str">
        <f t="shared" si="153"/>
        <v>Cash</v>
      </c>
      <c r="V2468" s="4" t="str">
        <f t="shared" si="154"/>
        <v>Normal</v>
      </c>
      <c r="W2468" s="4" t="str">
        <f t="shared" si="155"/>
        <v>Good</v>
      </c>
      <c r="X2468" s="4">
        <f>AVERAGE(Table1[Purchase Amount])</f>
        <v>129.48419400000012</v>
      </c>
    </row>
    <row r="2469" spans="1:24" ht="15" customHeight="1" x14ac:dyDescent="0.25">
      <c r="A2469">
        <v>2468</v>
      </c>
      <c r="B2469">
        <v>27</v>
      </c>
      <c r="C2469" t="s">
        <v>27</v>
      </c>
      <c r="D2469" t="s">
        <v>54</v>
      </c>
      <c r="E2469" t="s">
        <v>18</v>
      </c>
      <c r="F2469" s="2">
        <v>72</v>
      </c>
      <c r="G2469" t="s">
        <v>131</v>
      </c>
      <c r="H2469" t="s">
        <v>31</v>
      </c>
      <c r="I2469" t="s">
        <v>107</v>
      </c>
      <c r="J2469" t="s">
        <v>33</v>
      </c>
      <c r="K2469">
        <v>3.6</v>
      </c>
      <c r="L2469" t="s">
        <v>23</v>
      </c>
      <c r="M2469" t="s">
        <v>61</v>
      </c>
      <c r="N2469" t="s">
        <v>23</v>
      </c>
      <c r="O2469">
        <v>28</v>
      </c>
      <c r="P2469" t="s">
        <v>53</v>
      </c>
      <c r="Q2469" t="s">
        <v>49</v>
      </c>
      <c r="R2469" s="1">
        <v>0.1</v>
      </c>
      <c r="S2469">
        <f t="shared" si="152"/>
        <v>64.8</v>
      </c>
      <c r="T2469">
        <f>IFERROR(VLOOKUP(A2469,Table1[[Customer ID]:[Discount Amount]], 6, FALSE),"Not Found")</f>
        <v>72</v>
      </c>
      <c r="U2469" t="str">
        <f t="shared" si="153"/>
        <v>Credit Card</v>
      </c>
      <c r="V2469" s="4" t="str">
        <f t="shared" si="154"/>
        <v>Normal</v>
      </c>
      <c r="W2469" s="4" t="str">
        <f t="shared" si="155"/>
        <v>Good</v>
      </c>
      <c r="X2469" s="4">
        <f>AVERAGE(Table1[Purchase Amount])</f>
        <v>129.48419400000012</v>
      </c>
    </row>
    <row r="2470" spans="1:24" ht="15" customHeight="1" x14ac:dyDescent="0.25">
      <c r="A2470">
        <v>2469</v>
      </c>
      <c r="B2470">
        <v>65</v>
      </c>
      <c r="C2470" t="s">
        <v>27</v>
      </c>
      <c r="D2470" t="s">
        <v>122</v>
      </c>
      <c r="E2470" t="s">
        <v>18</v>
      </c>
      <c r="F2470" s="2">
        <v>21</v>
      </c>
      <c r="G2470" t="s">
        <v>115</v>
      </c>
      <c r="H2470" t="s">
        <v>45</v>
      </c>
      <c r="I2470" t="s">
        <v>128</v>
      </c>
      <c r="J2470" t="s">
        <v>22</v>
      </c>
      <c r="K2470">
        <v>3.7</v>
      </c>
      <c r="L2470" t="s">
        <v>23</v>
      </c>
      <c r="M2470" t="s">
        <v>41</v>
      </c>
      <c r="N2470" t="s">
        <v>23</v>
      </c>
      <c r="O2470">
        <v>6</v>
      </c>
      <c r="P2470" t="s">
        <v>62</v>
      </c>
      <c r="Q2470" t="s">
        <v>26</v>
      </c>
      <c r="R2470" s="1">
        <v>0.1</v>
      </c>
      <c r="S2470">
        <f t="shared" si="152"/>
        <v>18.899999999999999</v>
      </c>
      <c r="T2470">
        <f>IFERROR(VLOOKUP(A2470,Table1[[Customer ID]:[Discount Amount]], 6, FALSE),"Not Found")</f>
        <v>21</v>
      </c>
      <c r="U2470" t="str">
        <f t="shared" si="153"/>
        <v>Venmo</v>
      </c>
      <c r="V2470" s="4" t="str">
        <f t="shared" si="154"/>
        <v>Normal</v>
      </c>
      <c r="W2470" s="4" t="str">
        <f t="shared" si="155"/>
        <v>Good</v>
      </c>
      <c r="X2470" s="4">
        <f>AVERAGE(Table1[Purchase Amount])</f>
        <v>129.48419400000012</v>
      </c>
    </row>
    <row r="2471" spans="1:24" ht="15" customHeight="1" x14ac:dyDescent="0.25">
      <c r="A2471">
        <v>2470</v>
      </c>
      <c r="B2471">
        <v>68</v>
      </c>
      <c r="C2471" t="s">
        <v>27</v>
      </c>
      <c r="D2471" t="s">
        <v>121</v>
      </c>
      <c r="E2471" t="s">
        <v>98</v>
      </c>
      <c r="F2471" s="2">
        <v>92</v>
      </c>
      <c r="G2471" t="s">
        <v>106</v>
      </c>
      <c r="H2471" t="s">
        <v>31</v>
      </c>
      <c r="I2471" t="s">
        <v>52</v>
      </c>
      <c r="J2471" t="s">
        <v>47</v>
      </c>
      <c r="K2471">
        <v>5</v>
      </c>
      <c r="L2471" t="s">
        <v>23</v>
      </c>
      <c r="M2471" t="s">
        <v>24</v>
      </c>
      <c r="N2471" t="s">
        <v>23</v>
      </c>
      <c r="O2471">
        <v>27</v>
      </c>
      <c r="P2471" t="s">
        <v>58</v>
      </c>
      <c r="Q2471" t="s">
        <v>49</v>
      </c>
      <c r="R2471" s="1">
        <v>0.1</v>
      </c>
      <c r="S2471">
        <f t="shared" si="152"/>
        <v>82.8</v>
      </c>
      <c r="T2471">
        <f>IFERROR(VLOOKUP(A2471,Table1[[Customer ID]:[Discount Amount]], 6, FALSE),"Not Found")</f>
        <v>92</v>
      </c>
      <c r="U2471" t="str">
        <f t="shared" si="153"/>
        <v>PayPal</v>
      </c>
      <c r="V2471" s="4" t="str">
        <f t="shared" si="154"/>
        <v>Normal</v>
      </c>
      <c r="W2471" s="4" t="str">
        <f t="shared" si="155"/>
        <v>Good</v>
      </c>
      <c r="X2471" s="4">
        <f>AVERAGE(Table1[Purchase Amount])</f>
        <v>129.48419400000012</v>
      </c>
    </row>
    <row r="2472" spans="1:24" ht="15" customHeight="1" x14ac:dyDescent="0.25">
      <c r="A2472">
        <v>2471</v>
      </c>
      <c r="B2472">
        <v>55</v>
      </c>
      <c r="C2472" t="s">
        <v>27</v>
      </c>
      <c r="D2472" t="s">
        <v>118</v>
      </c>
      <c r="E2472" t="s">
        <v>18</v>
      </c>
      <c r="F2472" s="2">
        <v>72</v>
      </c>
      <c r="G2472" t="s">
        <v>150</v>
      </c>
      <c r="H2472" t="s">
        <v>20</v>
      </c>
      <c r="I2472" t="s">
        <v>136</v>
      </c>
      <c r="J2472" t="s">
        <v>47</v>
      </c>
      <c r="K2472">
        <v>2.7</v>
      </c>
      <c r="L2472" t="s">
        <v>23</v>
      </c>
      <c r="M2472" t="s">
        <v>79</v>
      </c>
      <c r="N2472" t="s">
        <v>23</v>
      </c>
      <c r="O2472">
        <v>29</v>
      </c>
      <c r="P2472" t="s">
        <v>53</v>
      </c>
      <c r="Q2472" t="s">
        <v>89</v>
      </c>
      <c r="R2472" s="1">
        <v>0.1</v>
      </c>
      <c r="S2472">
        <f t="shared" si="152"/>
        <v>64.8</v>
      </c>
      <c r="T2472">
        <f>IFERROR(VLOOKUP(A2472,Table1[[Customer ID]:[Discount Amount]], 6, FALSE),"Not Found")</f>
        <v>72</v>
      </c>
      <c r="U2472" t="str">
        <f t="shared" si="153"/>
        <v>Credit Card</v>
      </c>
      <c r="V2472" s="4" t="str">
        <f t="shared" si="154"/>
        <v>Normal</v>
      </c>
      <c r="W2472" s="4" t="str">
        <f t="shared" si="155"/>
        <v>Poor</v>
      </c>
      <c r="X2472" s="4">
        <f>AVERAGE(Table1[Purchase Amount])</f>
        <v>129.48419400000012</v>
      </c>
    </row>
    <row r="2473" spans="1:24" ht="15" customHeight="1" x14ac:dyDescent="0.25">
      <c r="A2473">
        <v>2472</v>
      </c>
      <c r="B2473">
        <v>30</v>
      </c>
      <c r="C2473" t="s">
        <v>27</v>
      </c>
      <c r="D2473" t="s">
        <v>121</v>
      </c>
      <c r="E2473" t="s">
        <v>98</v>
      </c>
      <c r="F2473" s="2">
        <v>83</v>
      </c>
      <c r="G2473" t="s">
        <v>142</v>
      </c>
      <c r="H2473" t="s">
        <v>31</v>
      </c>
      <c r="I2473" t="s">
        <v>85</v>
      </c>
      <c r="J2473" t="s">
        <v>33</v>
      </c>
      <c r="K2473">
        <v>4.3</v>
      </c>
      <c r="L2473" t="s">
        <v>23</v>
      </c>
      <c r="M2473" t="s">
        <v>48</v>
      </c>
      <c r="N2473" t="s">
        <v>23</v>
      </c>
      <c r="O2473">
        <v>1</v>
      </c>
      <c r="P2473" t="s">
        <v>25</v>
      </c>
      <c r="Q2473" t="s">
        <v>49</v>
      </c>
      <c r="R2473" s="1">
        <v>0.1</v>
      </c>
      <c r="S2473">
        <f t="shared" si="152"/>
        <v>74.7</v>
      </c>
      <c r="T2473">
        <f>IFERROR(VLOOKUP(A2473,Table1[[Customer ID]:[Discount Amount]], 6, FALSE),"Not Found")</f>
        <v>83</v>
      </c>
      <c r="U2473" t="str">
        <f t="shared" si="153"/>
        <v>Cash</v>
      </c>
      <c r="V2473" s="4" t="str">
        <f t="shared" si="154"/>
        <v>Normal</v>
      </c>
      <c r="W2473" s="4" t="str">
        <f t="shared" si="155"/>
        <v>Good</v>
      </c>
      <c r="X2473" s="4">
        <f>AVERAGE(Table1[Purchase Amount])</f>
        <v>129.48419400000012</v>
      </c>
    </row>
    <row r="2474" spans="1:24" ht="15" customHeight="1" x14ac:dyDescent="0.25">
      <c r="A2474">
        <v>2473</v>
      </c>
      <c r="B2474">
        <v>24</v>
      </c>
      <c r="C2474" t="s">
        <v>27</v>
      </c>
      <c r="D2474" t="s">
        <v>38</v>
      </c>
      <c r="E2474" t="s">
        <v>18</v>
      </c>
      <c r="F2474" s="2">
        <v>73</v>
      </c>
      <c r="G2474" t="s">
        <v>144</v>
      </c>
      <c r="H2474" t="s">
        <v>31</v>
      </c>
      <c r="I2474" t="s">
        <v>145</v>
      </c>
      <c r="J2474" t="s">
        <v>57</v>
      </c>
      <c r="K2474">
        <v>4.0999999999999996</v>
      </c>
      <c r="L2474" t="s">
        <v>23</v>
      </c>
      <c r="M2474" t="s">
        <v>24</v>
      </c>
      <c r="N2474" t="s">
        <v>23</v>
      </c>
      <c r="O2474">
        <v>31</v>
      </c>
      <c r="P2474" t="s">
        <v>53</v>
      </c>
      <c r="Q2474" t="s">
        <v>49</v>
      </c>
      <c r="R2474" s="1">
        <v>0.1</v>
      </c>
      <c r="S2474">
        <f t="shared" si="152"/>
        <v>65.7</v>
      </c>
      <c r="T2474">
        <f>IFERROR(VLOOKUP(A2474,Table1[[Customer ID]:[Discount Amount]], 6, FALSE),"Not Found")</f>
        <v>73</v>
      </c>
      <c r="U2474" t="str">
        <f t="shared" si="153"/>
        <v>Credit Card</v>
      </c>
      <c r="V2474" s="4" t="str">
        <f t="shared" si="154"/>
        <v>Normal</v>
      </c>
      <c r="W2474" s="4" t="str">
        <f t="shared" si="155"/>
        <v>Good</v>
      </c>
      <c r="X2474" s="4">
        <f>AVERAGE(Table1[Purchase Amount])</f>
        <v>129.48419400000012</v>
      </c>
    </row>
    <row r="2475" spans="1:24" ht="15" customHeight="1" x14ac:dyDescent="0.25">
      <c r="A2475">
        <v>2474</v>
      </c>
      <c r="B2475">
        <v>57</v>
      </c>
      <c r="C2475" t="s">
        <v>27</v>
      </c>
      <c r="D2475" t="s">
        <v>105</v>
      </c>
      <c r="E2475" t="s">
        <v>18</v>
      </c>
      <c r="F2475" s="2">
        <v>98</v>
      </c>
      <c r="G2475" t="s">
        <v>100</v>
      </c>
      <c r="H2475" t="s">
        <v>31</v>
      </c>
      <c r="I2475" t="s">
        <v>46</v>
      </c>
      <c r="J2475" t="s">
        <v>22</v>
      </c>
      <c r="K2475">
        <v>2.6</v>
      </c>
      <c r="L2475" t="s">
        <v>23</v>
      </c>
      <c r="M2475" t="s">
        <v>79</v>
      </c>
      <c r="N2475" t="s">
        <v>23</v>
      </c>
      <c r="O2475">
        <v>28</v>
      </c>
      <c r="P2475" t="s">
        <v>25</v>
      </c>
      <c r="Q2475" t="s">
        <v>37</v>
      </c>
      <c r="R2475" s="1">
        <v>0.1</v>
      </c>
      <c r="S2475">
        <f t="shared" si="152"/>
        <v>88.2</v>
      </c>
      <c r="T2475">
        <f>IFERROR(VLOOKUP(A2475,Table1[[Customer ID]:[Discount Amount]], 6, FALSE),"Not Found")</f>
        <v>98</v>
      </c>
      <c r="U2475" t="str">
        <f t="shared" si="153"/>
        <v>Cash</v>
      </c>
      <c r="V2475" s="4" t="str">
        <f t="shared" si="154"/>
        <v>Normal</v>
      </c>
      <c r="W2475" s="4" t="str">
        <f t="shared" si="155"/>
        <v>Poor</v>
      </c>
      <c r="X2475" s="4">
        <f>AVERAGE(Table1[Purchase Amount])</f>
        <v>129.48419400000012</v>
      </c>
    </row>
    <row r="2476" spans="1:24" ht="15" customHeight="1" x14ac:dyDescent="0.25">
      <c r="A2476">
        <v>2475</v>
      </c>
      <c r="B2476">
        <v>23</v>
      </c>
      <c r="C2476" t="s">
        <v>27</v>
      </c>
      <c r="D2476" t="s">
        <v>17</v>
      </c>
      <c r="E2476" t="s">
        <v>18</v>
      </c>
      <c r="F2476" s="2">
        <v>76</v>
      </c>
      <c r="G2476" t="s">
        <v>134</v>
      </c>
      <c r="H2476" t="s">
        <v>31</v>
      </c>
      <c r="I2476" t="s">
        <v>21</v>
      </c>
      <c r="J2476" t="s">
        <v>47</v>
      </c>
      <c r="K2476">
        <v>3.2</v>
      </c>
      <c r="L2476" t="s">
        <v>23</v>
      </c>
      <c r="M2476" t="s">
        <v>48</v>
      </c>
      <c r="N2476" t="s">
        <v>23</v>
      </c>
      <c r="O2476">
        <v>19</v>
      </c>
      <c r="P2476" t="s">
        <v>88</v>
      </c>
      <c r="Q2476" t="s">
        <v>37</v>
      </c>
      <c r="R2476" s="1">
        <v>0.1</v>
      </c>
      <c r="S2476">
        <f t="shared" si="152"/>
        <v>68.400000000000006</v>
      </c>
      <c r="T2476">
        <f>IFERROR(VLOOKUP(A2476,Table1[[Customer ID]:[Discount Amount]], 6, FALSE),"Not Found")</f>
        <v>76</v>
      </c>
      <c r="U2476" t="str">
        <f t="shared" si="153"/>
        <v>Bank Transfer</v>
      </c>
      <c r="V2476" s="4" t="str">
        <f t="shared" si="154"/>
        <v>Normal</v>
      </c>
      <c r="W2476" s="4" t="str">
        <f t="shared" si="155"/>
        <v>Good</v>
      </c>
      <c r="X2476" s="4">
        <f>AVERAGE(Table1[Purchase Amount])</f>
        <v>129.48419400000012</v>
      </c>
    </row>
    <row r="2477" spans="1:24" ht="15" customHeight="1" x14ac:dyDescent="0.25">
      <c r="A2477">
        <v>2476</v>
      </c>
      <c r="B2477">
        <v>69</v>
      </c>
      <c r="C2477" t="s">
        <v>27</v>
      </c>
      <c r="D2477" t="s">
        <v>157</v>
      </c>
      <c r="E2477" t="s">
        <v>18</v>
      </c>
      <c r="F2477" s="2">
        <v>43</v>
      </c>
      <c r="G2477" t="s">
        <v>19</v>
      </c>
      <c r="H2477" t="s">
        <v>55</v>
      </c>
      <c r="I2477" t="s">
        <v>107</v>
      </c>
      <c r="J2477" t="s">
        <v>57</v>
      </c>
      <c r="K2477">
        <v>3.5</v>
      </c>
      <c r="L2477" t="s">
        <v>23</v>
      </c>
      <c r="M2477" t="s">
        <v>79</v>
      </c>
      <c r="N2477" t="s">
        <v>23</v>
      </c>
      <c r="O2477">
        <v>36</v>
      </c>
      <c r="P2477" t="s">
        <v>62</v>
      </c>
      <c r="Q2477" t="s">
        <v>42</v>
      </c>
      <c r="R2477" s="1">
        <v>0.1</v>
      </c>
      <c r="S2477">
        <f t="shared" si="152"/>
        <v>38.700000000000003</v>
      </c>
      <c r="T2477">
        <f>IFERROR(VLOOKUP(A2477,Table1[[Customer ID]:[Discount Amount]], 6, FALSE),"Not Found")</f>
        <v>43</v>
      </c>
      <c r="U2477" t="str">
        <f t="shared" si="153"/>
        <v>Venmo</v>
      </c>
      <c r="V2477" s="4" t="str">
        <f t="shared" si="154"/>
        <v>Normal</v>
      </c>
      <c r="W2477" s="4" t="str">
        <f t="shared" si="155"/>
        <v>Good</v>
      </c>
      <c r="X2477" s="4">
        <f>AVERAGE(Table1[Purchase Amount])</f>
        <v>129.48419400000012</v>
      </c>
    </row>
    <row r="2478" spans="1:24" ht="15" customHeight="1" x14ac:dyDescent="0.25">
      <c r="A2478">
        <v>2477</v>
      </c>
      <c r="B2478">
        <v>60</v>
      </c>
      <c r="C2478" t="s">
        <v>27</v>
      </c>
      <c r="D2478" t="s">
        <v>64</v>
      </c>
      <c r="E2478" t="s">
        <v>29</v>
      </c>
      <c r="F2478" s="2">
        <v>60</v>
      </c>
      <c r="G2478" t="s">
        <v>92</v>
      </c>
      <c r="H2478" t="s">
        <v>31</v>
      </c>
      <c r="I2478" t="s">
        <v>156</v>
      </c>
      <c r="J2478" t="s">
        <v>57</v>
      </c>
      <c r="K2478">
        <v>3.7</v>
      </c>
      <c r="L2478" t="s">
        <v>23</v>
      </c>
      <c r="M2478" t="s">
        <v>79</v>
      </c>
      <c r="N2478" t="s">
        <v>23</v>
      </c>
      <c r="O2478">
        <v>28</v>
      </c>
      <c r="P2478" t="s">
        <v>25</v>
      </c>
      <c r="Q2478" t="s">
        <v>42</v>
      </c>
      <c r="R2478" s="1">
        <v>0.1</v>
      </c>
      <c r="S2478">
        <f t="shared" si="152"/>
        <v>54</v>
      </c>
      <c r="T2478">
        <f>IFERROR(VLOOKUP(A2478,Table1[[Customer ID]:[Discount Amount]], 6, FALSE),"Not Found")</f>
        <v>60</v>
      </c>
      <c r="U2478" t="str">
        <f t="shared" si="153"/>
        <v>Cash</v>
      </c>
      <c r="V2478" s="4" t="str">
        <f t="shared" si="154"/>
        <v>Normal</v>
      </c>
      <c r="W2478" s="4" t="str">
        <f t="shared" si="155"/>
        <v>Good</v>
      </c>
      <c r="X2478" s="4">
        <f>AVERAGE(Table1[Purchase Amount])</f>
        <v>129.48419400000012</v>
      </c>
    </row>
    <row r="2479" spans="1:24" ht="15" customHeight="1" x14ac:dyDescent="0.25">
      <c r="A2479">
        <v>2478</v>
      </c>
      <c r="B2479">
        <v>25</v>
      </c>
      <c r="C2479" t="s">
        <v>27</v>
      </c>
      <c r="D2479" t="s">
        <v>43</v>
      </c>
      <c r="E2479" t="s">
        <v>29</v>
      </c>
      <c r="F2479" s="2">
        <v>40</v>
      </c>
      <c r="G2479" t="s">
        <v>19</v>
      </c>
      <c r="H2479" t="s">
        <v>45</v>
      </c>
      <c r="I2479" t="s">
        <v>156</v>
      </c>
      <c r="J2479" t="s">
        <v>33</v>
      </c>
      <c r="K2479">
        <v>3.8</v>
      </c>
      <c r="L2479" t="s">
        <v>23</v>
      </c>
      <c r="M2479" t="s">
        <v>41</v>
      </c>
      <c r="N2479" t="s">
        <v>23</v>
      </c>
      <c r="O2479">
        <v>29</v>
      </c>
      <c r="P2479" t="s">
        <v>58</v>
      </c>
      <c r="Q2479" t="s">
        <v>26</v>
      </c>
      <c r="R2479" s="1">
        <v>0.1</v>
      </c>
      <c r="S2479">
        <f t="shared" si="152"/>
        <v>36</v>
      </c>
      <c r="T2479">
        <f>IFERROR(VLOOKUP(A2479,Table1[[Customer ID]:[Discount Amount]], 6, FALSE),"Not Found")</f>
        <v>40</v>
      </c>
      <c r="U2479" t="str">
        <f t="shared" si="153"/>
        <v>PayPal</v>
      </c>
      <c r="V2479" s="4" t="str">
        <f t="shared" si="154"/>
        <v>Normal</v>
      </c>
      <c r="W2479" s="4" t="str">
        <f t="shared" si="155"/>
        <v>Good</v>
      </c>
      <c r="X2479" s="4">
        <f>AVERAGE(Table1[Purchase Amount])</f>
        <v>129.48419400000012</v>
      </c>
    </row>
    <row r="2480" spans="1:24" ht="15" customHeight="1" x14ac:dyDescent="0.25">
      <c r="A2480">
        <v>2479</v>
      </c>
      <c r="B2480">
        <v>18</v>
      </c>
      <c r="C2480" t="s">
        <v>27</v>
      </c>
      <c r="D2480" t="s">
        <v>105</v>
      </c>
      <c r="E2480" t="s">
        <v>18</v>
      </c>
      <c r="F2480" s="2">
        <v>93</v>
      </c>
      <c r="G2480" t="s">
        <v>84</v>
      </c>
      <c r="H2480" t="s">
        <v>55</v>
      </c>
      <c r="I2480" t="s">
        <v>125</v>
      </c>
      <c r="J2480" t="s">
        <v>22</v>
      </c>
      <c r="K2480">
        <v>4.8</v>
      </c>
      <c r="L2480" t="s">
        <v>23</v>
      </c>
      <c r="M2480" t="s">
        <v>41</v>
      </c>
      <c r="N2480" t="s">
        <v>23</v>
      </c>
      <c r="O2480">
        <v>9</v>
      </c>
      <c r="P2480" t="s">
        <v>88</v>
      </c>
      <c r="Q2480" t="s">
        <v>63</v>
      </c>
      <c r="R2480" s="1">
        <v>0.1</v>
      </c>
      <c r="S2480">
        <f t="shared" si="152"/>
        <v>83.7</v>
      </c>
      <c r="T2480">
        <f>IFERROR(VLOOKUP(A2480,Table1[[Customer ID]:[Discount Amount]], 6, FALSE),"Not Found")</f>
        <v>93</v>
      </c>
      <c r="U2480" t="str">
        <f t="shared" si="153"/>
        <v>Bank Transfer</v>
      </c>
      <c r="V2480" s="4" t="str">
        <f t="shared" si="154"/>
        <v>Normal</v>
      </c>
      <c r="W2480" s="4" t="str">
        <f t="shared" si="155"/>
        <v>Good</v>
      </c>
      <c r="X2480" s="4">
        <f>AVERAGE(Table1[Purchase Amount])</f>
        <v>129.48419400000012</v>
      </c>
    </row>
    <row r="2481" spans="1:24" ht="15" customHeight="1" x14ac:dyDescent="0.25">
      <c r="A2481">
        <v>2480</v>
      </c>
      <c r="B2481">
        <v>37</v>
      </c>
      <c r="C2481" t="s">
        <v>27</v>
      </c>
      <c r="D2481" t="s">
        <v>157</v>
      </c>
      <c r="E2481" t="s">
        <v>18</v>
      </c>
      <c r="F2481" s="2">
        <v>98</v>
      </c>
      <c r="G2481" t="s">
        <v>124</v>
      </c>
      <c r="H2481" t="s">
        <v>55</v>
      </c>
      <c r="I2481" t="s">
        <v>21</v>
      </c>
      <c r="J2481" t="s">
        <v>47</v>
      </c>
      <c r="K2481">
        <v>4.2</v>
      </c>
      <c r="L2481" t="s">
        <v>23</v>
      </c>
      <c r="M2481" t="s">
        <v>24</v>
      </c>
      <c r="N2481" t="s">
        <v>23</v>
      </c>
      <c r="O2481">
        <v>26</v>
      </c>
      <c r="P2481" t="s">
        <v>53</v>
      </c>
      <c r="Q2481" t="s">
        <v>63</v>
      </c>
      <c r="R2481" s="1">
        <v>0.1</v>
      </c>
      <c r="S2481">
        <f t="shared" si="152"/>
        <v>88.2</v>
      </c>
      <c r="T2481">
        <f>IFERROR(VLOOKUP(A2481,Table1[[Customer ID]:[Discount Amount]], 6, FALSE),"Not Found")</f>
        <v>98</v>
      </c>
      <c r="U2481" t="str">
        <f t="shared" si="153"/>
        <v>Credit Card</v>
      </c>
      <c r="V2481" s="4" t="str">
        <f t="shared" si="154"/>
        <v>Normal</v>
      </c>
      <c r="W2481" s="4" t="str">
        <f t="shared" si="155"/>
        <v>Good</v>
      </c>
      <c r="X2481" s="4">
        <f>AVERAGE(Table1[Purchase Amount])</f>
        <v>129.48419400000012</v>
      </c>
    </row>
    <row r="2482" spans="1:24" ht="15" customHeight="1" x14ac:dyDescent="0.25">
      <c r="A2482">
        <v>2481</v>
      </c>
      <c r="B2482">
        <v>61</v>
      </c>
      <c r="C2482" t="s">
        <v>27</v>
      </c>
      <c r="D2482" t="s">
        <v>105</v>
      </c>
      <c r="E2482" t="s">
        <v>18</v>
      </c>
      <c r="F2482" s="2">
        <v>91</v>
      </c>
      <c r="G2482" t="s">
        <v>90</v>
      </c>
      <c r="H2482" t="s">
        <v>20</v>
      </c>
      <c r="I2482" t="s">
        <v>125</v>
      </c>
      <c r="J2482" t="s">
        <v>57</v>
      </c>
      <c r="K2482">
        <v>2.9</v>
      </c>
      <c r="L2482" t="s">
        <v>23</v>
      </c>
      <c r="M2482" t="s">
        <v>79</v>
      </c>
      <c r="N2482" t="s">
        <v>23</v>
      </c>
      <c r="O2482">
        <v>7</v>
      </c>
      <c r="P2482" t="s">
        <v>53</v>
      </c>
      <c r="Q2482" t="s">
        <v>89</v>
      </c>
      <c r="R2482" s="1">
        <v>0.1</v>
      </c>
      <c r="S2482">
        <f t="shared" si="152"/>
        <v>81.900000000000006</v>
      </c>
      <c r="T2482">
        <f>IFERROR(VLOOKUP(A2482,Table1[[Customer ID]:[Discount Amount]], 6, FALSE),"Not Found")</f>
        <v>91</v>
      </c>
      <c r="U2482" t="str">
        <f t="shared" si="153"/>
        <v>Credit Card</v>
      </c>
      <c r="V2482" s="4" t="str">
        <f t="shared" si="154"/>
        <v>Normal</v>
      </c>
      <c r="W2482" s="4" t="str">
        <f t="shared" si="155"/>
        <v>Poor</v>
      </c>
      <c r="X2482" s="4">
        <f>AVERAGE(Table1[Purchase Amount])</f>
        <v>129.48419400000012</v>
      </c>
    </row>
    <row r="2483" spans="1:24" ht="15" customHeight="1" x14ac:dyDescent="0.25">
      <c r="A2483">
        <v>2482</v>
      </c>
      <c r="B2483">
        <v>41</v>
      </c>
      <c r="C2483" t="s">
        <v>27</v>
      </c>
      <c r="D2483" t="s">
        <v>114</v>
      </c>
      <c r="E2483" t="s">
        <v>29</v>
      </c>
      <c r="F2483" s="2">
        <v>92</v>
      </c>
      <c r="G2483" t="s">
        <v>131</v>
      </c>
      <c r="H2483" t="s">
        <v>20</v>
      </c>
      <c r="I2483" t="s">
        <v>128</v>
      </c>
      <c r="J2483" t="s">
        <v>47</v>
      </c>
      <c r="K2483">
        <v>2.9</v>
      </c>
      <c r="L2483" t="s">
        <v>23</v>
      </c>
      <c r="M2483" t="s">
        <v>35</v>
      </c>
      <c r="N2483" t="s">
        <v>23</v>
      </c>
      <c r="O2483">
        <v>35</v>
      </c>
      <c r="P2483" t="s">
        <v>36</v>
      </c>
      <c r="Q2483" t="s">
        <v>26</v>
      </c>
      <c r="R2483" s="1">
        <v>0.1</v>
      </c>
      <c r="S2483">
        <f t="shared" si="152"/>
        <v>82.8</v>
      </c>
      <c r="T2483">
        <f>IFERROR(VLOOKUP(A2483,Table1[[Customer ID]:[Discount Amount]], 6, FALSE),"Not Found")</f>
        <v>92</v>
      </c>
      <c r="U2483" t="str">
        <f t="shared" si="153"/>
        <v>Debit Card</v>
      </c>
      <c r="V2483" s="4" t="str">
        <f t="shared" si="154"/>
        <v>Normal</v>
      </c>
      <c r="W2483" s="4" t="str">
        <f t="shared" si="155"/>
        <v>Poor</v>
      </c>
      <c r="X2483" s="4">
        <f>AVERAGE(Table1[Purchase Amount])</f>
        <v>129.48419400000012</v>
      </c>
    </row>
    <row r="2484" spans="1:24" ht="15" customHeight="1" x14ac:dyDescent="0.25">
      <c r="A2484">
        <v>2483</v>
      </c>
      <c r="B2484">
        <v>69</v>
      </c>
      <c r="C2484" t="s">
        <v>27</v>
      </c>
      <c r="D2484" t="s">
        <v>69</v>
      </c>
      <c r="E2484" t="s">
        <v>29</v>
      </c>
      <c r="F2484" s="2">
        <v>87</v>
      </c>
      <c r="G2484" t="s">
        <v>150</v>
      </c>
      <c r="H2484" t="s">
        <v>55</v>
      </c>
      <c r="I2484" t="s">
        <v>145</v>
      </c>
      <c r="J2484" t="s">
        <v>22</v>
      </c>
      <c r="K2484">
        <v>4.8</v>
      </c>
      <c r="L2484" t="s">
        <v>23</v>
      </c>
      <c r="M2484" t="s">
        <v>79</v>
      </c>
      <c r="N2484" t="s">
        <v>23</v>
      </c>
      <c r="O2484">
        <v>46</v>
      </c>
      <c r="P2484" t="s">
        <v>53</v>
      </c>
      <c r="Q2484" t="s">
        <v>63</v>
      </c>
      <c r="R2484" s="1">
        <v>0.1</v>
      </c>
      <c r="S2484">
        <f t="shared" si="152"/>
        <v>78.3</v>
      </c>
      <c r="T2484">
        <f>IFERROR(VLOOKUP(A2484,Table1[[Customer ID]:[Discount Amount]], 6, FALSE),"Not Found")</f>
        <v>87</v>
      </c>
      <c r="U2484" t="str">
        <f t="shared" si="153"/>
        <v>Credit Card</v>
      </c>
      <c r="V2484" s="4" t="str">
        <f t="shared" si="154"/>
        <v>Normal</v>
      </c>
      <c r="W2484" s="4" t="str">
        <f t="shared" si="155"/>
        <v>Good</v>
      </c>
      <c r="X2484" s="4">
        <f>AVERAGE(Table1[Purchase Amount])</f>
        <v>129.48419400000012</v>
      </c>
    </row>
    <row r="2485" spans="1:24" ht="15" customHeight="1" x14ac:dyDescent="0.25">
      <c r="A2485">
        <v>2484</v>
      </c>
      <c r="B2485">
        <v>32</v>
      </c>
      <c r="C2485" t="s">
        <v>27</v>
      </c>
      <c r="D2485" t="s">
        <v>122</v>
      </c>
      <c r="E2485" t="s">
        <v>18</v>
      </c>
      <c r="F2485" s="2">
        <v>96</v>
      </c>
      <c r="G2485" t="s">
        <v>150</v>
      </c>
      <c r="H2485" t="s">
        <v>55</v>
      </c>
      <c r="I2485" t="s">
        <v>147</v>
      </c>
      <c r="J2485" t="s">
        <v>47</v>
      </c>
      <c r="K2485">
        <v>2.9</v>
      </c>
      <c r="L2485" t="s">
        <v>23</v>
      </c>
      <c r="M2485" t="s">
        <v>24</v>
      </c>
      <c r="N2485" t="s">
        <v>23</v>
      </c>
      <c r="O2485">
        <v>8</v>
      </c>
      <c r="P2485" t="s">
        <v>36</v>
      </c>
      <c r="Q2485" t="s">
        <v>42</v>
      </c>
      <c r="R2485" s="1">
        <v>0.1</v>
      </c>
      <c r="S2485">
        <f t="shared" si="152"/>
        <v>86.4</v>
      </c>
      <c r="T2485">
        <f>IFERROR(VLOOKUP(A2485,Table1[[Customer ID]:[Discount Amount]], 6, FALSE),"Not Found")</f>
        <v>96</v>
      </c>
      <c r="U2485" t="str">
        <f t="shared" si="153"/>
        <v>Debit Card</v>
      </c>
      <c r="V2485" s="4" t="str">
        <f t="shared" si="154"/>
        <v>Normal</v>
      </c>
      <c r="W2485" s="4" t="str">
        <f t="shared" si="155"/>
        <v>Poor</v>
      </c>
      <c r="X2485" s="4">
        <f>AVERAGE(Table1[Purchase Amount])</f>
        <v>129.48419400000012</v>
      </c>
    </row>
    <row r="2486" spans="1:24" ht="15" customHeight="1" x14ac:dyDescent="0.25">
      <c r="A2486">
        <v>2485</v>
      </c>
      <c r="B2486">
        <v>60</v>
      </c>
      <c r="C2486" t="s">
        <v>27</v>
      </c>
      <c r="D2486" t="s">
        <v>83</v>
      </c>
      <c r="E2486" t="s">
        <v>18</v>
      </c>
      <c r="F2486" s="2">
        <v>97</v>
      </c>
      <c r="G2486" t="s">
        <v>132</v>
      </c>
      <c r="H2486" t="s">
        <v>31</v>
      </c>
      <c r="I2486" t="s">
        <v>93</v>
      </c>
      <c r="J2486" t="s">
        <v>57</v>
      </c>
      <c r="K2486">
        <v>4.8</v>
      </c>
      <c r="L2486" t="s">
        <v>23</v>
      </c>
      <c r="M2486" t="s">
        <v>41</v>
      </c>
      <c r="N2486" t="s">
        <v>23</v>
      </c>
      <c r="O2486">
        <v>50</v>
      </c>
      <c r="P2486" t="s">
        <v>25</v>
      </c>
      <c r="Q2486" t="s">
        <v>63</v>
      </c>
      <c r="R2486" s="1">
        <v>0.1</v>
      </c>
      <c r="S2486">
        <f t="shared" si="152"/>
        <v>87.3</v>
      </c>
      <c r="T2486">
        <f>IFERROR(VLOOKUP(A2486,Table1[[Customer ID]:[Discount Amount]], 6, FALSE),"Not Found")</f>
        <v>97</v>
      </c>
      <c r="U2486" t="str">
        <f t="shared" si="153"/>
        <v>Cash</v>
      </c>
      <c r="V2486" s="4" t="str">
        <f t="shared" si="154"/>
        <v>Normal</v>
      </c>
      <c r="W2486" s="4" t="str">
        <f t="shared" si="155"/>
        <v>Good</v>
      </c>
      <c r="X2486" s="4">
        <f>AVERAGE(Table1[Purchase Amount])</f>
        <v>129.48419400000012</v>
      </c>
    </row>
    <row r="2487" spans="1:24" ht="15" customHeight="1" x14ac:dyDescent="0.25">
      <c r="A2487">
        <v>2486</v>
      </c>
      <c r="B2487">
        <v>43</v>
      </c>
      <c r="C2487" t="s">
        <v>27</v>
      </c>
      <c r="D2487" t="s">
        <v>118</v>
      </c>
      <c r="E2487" t="s">
        <v>18</v>
      </c>
      <c r="F2487" s="2">
        <v>55</v>
      </c>
      <c r="G2487" t="s">
        <v>119</v>
      </c>
      <c r="H2487" t="s">
        <v>31</v>
      </c>
      <c r="I2487" t="s">
        <v>56</v>
      </c>
      <c r="J2487" t="s">
        <v>33</v>
      </c>
      <c r="K2487">
        <v>4.5999999999999996</v>
      </c>
      <c r="L2487" t="s">
        <v>23</v>
      </c>
      <c r="M2487" t="s">
        <v>41</v>
      </c>
      <c r="N2487" t="s">
        <v>23</v>
      </c>
      <c r="O2487">
        <v>37</v>
      </c>
      <c r="P2487" t="s">
        <v>88</v>
      </c>
      <c r="Q2487" t="s">
        <v>49</v>
      </c>
      <c r="R2487" s="1">
        <v>0.1</v>
      </c>
      <c r="S2487">
        <f t="shared" si="152"/>
        <v>49.5</v>
      </c>
      <c r="T2487">
        <f>IFERROR(VLOOKUP(A2487,Table1[[Customer ID]:[Discount Amount]], 6, FALSE),"Not Found")</f>
        <v>55</v>
      </c>
      <c r="U2487" t="str">
        <f t="shared" si="153"/>
        <v>Bank Transfer</v>
      </c>
      <c r="V2487" s="4" t="str">
        <f t="shared" si="154"/>
        <v>Normal</v>
      </c>
      <c r="W2487" s="4" t="str">
        <f t="shared" si="155"/>
        <v>Good</v>
      </c>
      <c r="X2487" s="4">
        <f>AVERAGE(Table1[Purchase Amount])</f>
        <v>129.48419400000012</v>
      </c>
    </row>
    <row r="2488" spans="1:24" ht="15" customHeight="1" x14ac:dyDescent="0.25">
      <c r="A2488">
        <v>2487</v>
      </c>
      <c r="B2488">
        <v>61</v>
      </c>
      <c r="C2488" t="s">
        <v>27</v>
      </c>
      <c r="D2488" t="s">
        <v>109</v>
      </c>
      <c r="E2488" t="s">
        <v>18</v>
      </c>
      <c r="F2488" s="2">
        <v>58</v>
      </c>
      <c r="G2488" t="s">
        <v>152</v>
      </c>
      <c r="H2488" t="s">
        <v>45</v>
      </c>
      <c r="I2488" t="s">
        <v>87</v>
      </c>
      <c r="J2488" t="s">
        <v>33</v>
      </c>
      <c r="K2488">
        <v>4.4000000000000004</v>
      </c>
      <c r="L2488" t="s">
        <v>23</v>
      </c>
      <c r="M2488" t="s">
        <v>48</v>
      </c>
      <c r="N2488" t="s">
        <v>23</v>
      </c>
      <c r="O2488">
        <v>6</v>
      </c>
      <c r="P2488" t="s">
        <v>53</v>
      </c>
      <c r="Q2488" t="s">
        <v>89</v>
      </c>
      <c r="R2488" s="1">
        <v>0.1</v>
      </c>
      <c r="S2488">
        <f t="shared" si="152"/>
        <v>52.2</v>
      </c>
      <c r="T2488">
        <f>IFERROR(VLOOKUP(A2488,Table1[[Customer ID]:[Discount Amount]], 6, FALSE),"Not Found")</f>
        <v>58</v>
      </c>
      <c r="U2488" t="str">
        <f t="shared" si="153"/>
        <v>Credit Card</v>
      </c>
      <c r="V2488" s="4" t="str">
        <f t="shared" si="154"/>
        <v>Normal</v>
      </c>
      <c r="W2488" s="4" t="str">
        <f t="shared" si="155"/>
        <v>Good</v>
      </c>
      <c r="X2488" s="4">
        <f>AVERAGE(Table1[Purchase Amount])</f>
        <v>129.48419400000012</v>
      </c>
    </row>
    <row r="2489" spans="1:24" ht="15" customHeight="1" x14ac:dyDescent="0.25">
      <c r="A2489">
        <v>2488</v>
      </c>
      <c r="B2489">
        <v>57</v>
      </c>
      <c r="C2489" t="s">
        <v>27</v>
      </c>
      <c r="D2489" t="s">
        <v>151</v>
      </c>
      <c r="E2489" t="s">
        <v>98</v>
      </c>
      <c r="F2489" s="2">
        <v>21</v>
      </c>
      <c r="G2489" t="s">
        <v>39</v>
      </c>
      <c r="H2489" t="s">
        <v>45</v>
      </c>
      <c r="I2489" t="s">
        <v>111</v>
      </c>
      <c r="J2489" t="s">
        <v>33</v>
      </c>
      <c r="K2489">
        <v>3</v>
      </c>
      <c r="L2489" t="s">
        <v>23</v>
      </c>
      <c r="M2489" t="s">
        <v>79</v>
      </c>
      <c r="N2489" t="s">
        <v>23</v>
      </c>
      <c r="O2489">
        <v>16</v>
      </c>
      <c r="P2489" t="s">
        <v>58</v>
      </c>
      <c r="Q2489" t="s">
        <v>68</v>
      </c>
      <c r="R2489" s="1">
        <v>0.1</v>
      </c>
      <c r="S2489">
        <f t="shared" si="152"/>
        <v>18.899999999999999</v>
      </c>
      <c r="T2489">
        <f>IFERROR(VLOOKUP(A2489,Table1[[Customer ID]:[Discount Amount]], 6, FALSE),"Not Found")</f>
        <v>21</v>
      </c>
      <c r="U2489" t="str">
        <f t="shared" si="153"/>
        <v>PayPal</v>
      </c>
      <c r="V2489" s="4" t="str">
        <f t="shared" si="154"/>
        <v>Normal</v>
      </c>
      <c r="W2489" s="4" t="str">
        <f t="shared" si="155"/>
        <v>Good</v>
      </c>
      <c r="X2489" s="4">
        <f>AVERAGE(Table1[Purchase Amount])</f>
        <v>129.48419400000012</v>
      </c>
    </row>
    <row r="2490" spans="1:24" ht="15" customHeight="1" x14ac:dyDescent="0.25">
      <c r="A2490">
        <v>2489</v>
      </c>
      <c r="B2490">
        <v>56</v>
      </c>
      <c r="C2490" t="s">
        <v>27</v>
      </c>
      <c r="D2490" t="s">
        <v>69</v>
      </c>
      <c r="E2490" t="s">
        <v>29</v>
      </c>
      <c r="F2490" s="2">
        <v>82</v>
      </c>
      <c r="G2490" t="s">
        <v>132</v>
      </c>
      <c r="H2490" t="s">
        <v>20</v>
      </c>
      <c r="I2490" t="s">
        <v>103</v>
      </c>
      <c r="J2490" t="s">
        <v>57</v>
      </c>
      <c r="K2490">
        <v>4.4000000000000004</v>
      </c>
      <c r="L2490" t="s">
        <v>23</v>
      </c>
      <c r="M2490" t="s">
        <v>61</v>
      </c>
      <c r="N2490" t="s">
        <v>23</v>
      </c>
      <c r="O2490">
        <v>30</v>
      </c>
      <c r="P2490" t="s">
        <v>58</v>
      </c>
      <c r="Q2490" t="s">
        <v>42</v>
      </c>
      <c r="R2490" s="1">
        <v>0.1</v>
      </c>
      <c r="S2490">
        <f t="shared" si="152"/>
        <v>73.8</v>
      </c>
      <c r="T2490">
        <f>IFERROR(VLOOKUP(A2490,Table1[[Customer ID]:[Discount Amount]], 6, FALSE),"Not Found")</f>
        <v>82</v>
      </c>
      <c r="U2490" t="str">
        <f t="shared" si="153"/>
        <v>PayPal</v>
      </c>
      <c r="V2490" s="4" t="str">
        <f t="shared" si="154"/>
        <v>Normal</v>
      </c>
      <c r="W2490" s="4" t="str">
        <f t="shared" si="155"/>
        <v>Good</v>
      </c>
      <c r="X2490" s="4">
        <f>AVERAGE(Table1[Purchase Amount])</f>
        <v>129.48419400000012</v>
      </c>
    </row>
    <row r="2491" spans="1:24" ht="15" customHeight="1" x14ac:dyDescent="0.25">
      <c r="A2491">
        <v>2490</v>
      </c>
      <c r="B2491">
        <v>66</v>
      </c>
      <c r="C2491" t="s">
        <v>27</v>
      </c>
      <c r="D2491" t="s">
        <v>76</v>
      </c>
      <c r="E2491" t="s">
        <v>77</v>
      </c>
      <c r="F2491" s="2">
        <v>34</v>
      </c>
      <c r="G2491" t="s">
        <v>130</v>
      </c>
      <c r="H2491" t="s">
        <v>31</v>
      </c>
      <c r="I2491" t="s">
        <v>93</v>
      </c>
      <c r="J2491" t="s">
        <v>22</v>
      </c>
      <c r="K2491">
        <v>3.9</v>
      </c>
      <c r="L2491" t="s">
        <v>23</v>
      </c>
      <c r="M2491" t="s">
        <v>61</v>
      </c>
      <c r="N2491" t="s">
        <v>23</v>
      </c>
      <c r="O2491">
        <v>50</v>
      </c>
      <c r="P2491" t="s">
        <v>62</v>
      </c>
      <c r="Q2491" t="s">
        <v>37</v>
      </c>
      <c r="R2491" s="1">
        <v>0.1</v>
      </c>
      <c r="S2491">
        <f t="shared" si="152"/>
        <v>30.6</v>
      </c>
      <c r="T2491">
        <f>IFERROR(VLOOKUP(A2491,Table1[[Customer ID]:[Discount Amount]], 6, FALSE),"Not Found")</f>
        <v>34</v>
      </c>
      <c r="U2491" t="str">
        <f t="shared" si="153"/>
        <v>Venmo</v>
      </c>
      <c r="V2491" s="4" t="str">
        <f t="shared" si="154"/>
        <v>Normal</v>
      </c>
      <c r="W2491" s="4" t="str">
        <f t="shared" si="155"/>
        <v>Good</v>
      </c>
      <c r="X2491" s="4">
        <f>AVERAGE(Table1[Purchase Amount])</f>
        <v>129.48419400000012</v>
      </c>
    </row>
    <row r="2492" spans="1:24" ht="15" customHeight="1" x14ac:dyDescent="0.25">
      <c r="A2492">
        <v>2491</v>
      </c>
      <c r="B2492">
        <v>52</v>
      </c>
      <c r="C2492" t="s">
        <v>27</v>
      </c>
      <c r="D2492" t="s">
        <v>118</v>
      </c>
      <c r="E2492" t="s">
        <v>18</v>
      </c>
      <c r="F2492" s="2">
        <v>78</v>
      </c>
      <c r="G2492" t="s">
        <v>39</v>
      </c>
      <c r="H2492" t="s">
        <v>31</v>
      </c>
      <c r="I2492" t="s">
        <v>85</v>
      </c>
      <c r="J2492" t="s">
        <v>33</v>
      </c>
      <c r="K2492">
        <v>4</v>
      </c>
      <c r="L2492" t="s">
        <v>23</v>
      </c>
      <c r="M2492" t="s">
        <v>35</v>
      </c>
      <c r="N2492" t="s">
        <v>23</v>
      </c>
      <c r="O2492">
        <v>5</v>
      </c>
      <c r="P2492" t="s">
        <v>25</v>
      </c>
      <c r="Q2492" t="s">
        <v>63</v>
      </c>
      <c r="R2492" s="1">
        <v>0.1</v>
      </c>
      <c r="S2492">
        <f t="shared" si="152"/>
        <v>70.2</v>
      </c>
      <c r="T2492">
        <f>IFERROR(VLOOKUP(A2492,Table1[[Customer ID]:[Discount Amount]], 6, FALSE),"Not Found")</f>
        <v>78</v>
      </c>
      <c r="U2492" t="str">
        <f t="shared" si="153"/>
        <v>Cash</v>
      </c>
      <c r="V2492" s="4" t="str">
        <f t="shared" si="154"/>
        <v>Normal</v>
      </c>
      <c r="W2492" s="4" t="str">
        <f t="shared" si="155"/>
        <v>Good</v>
      </c>
      <c r="X2492" s="4">
        <f>AVERAGE(Table1[Purchase Amount])</f>
        <v>129.48419400000012</v>
      </c>
    </row>
    <row r="2493" spans="1:24" ht="15" customHeight="1" x14ac:dyDescent="0.25">
      <c r="A2493">
        <v>2492</v>
      </c>
      <c r="B2493">
        <v>63</v>
      </c>
      <c r="C2493" t="s">
        <v>27</v>
      </c>
      <c r="D2493" t="s">
        <v>69</v>
      </c>
      <c r="E2493" t="s">
        <v>29</v>
      </c>
      <c r="F2493" s="2">
        <v>47</v>
      </c>
      <c r="G2493" t="s">
        <v>134</v>
      </c>
      <c r="H2493" t="s">
        <v>31</v>
      </c>
      <c r="I2493" t="s">
        <v>87</v>
      </c>
      <c r="J2493" t="s">
        <v>33</v>
      </c>
      <c r="K2493">
        <v>2.5</v>
      </c>
      <c r="L2493" t="s">
        <v>23</v>
      </c>
      <c r="M2493" t="s">
        <v>61</v>
      </c>
      <c r="N2493" t="s">
        <v>23</v>
      </c>
      <c r="O2493">
        <v>15</v>
      </c>
      <c r="P2493" t="s">
        <v>88</v>
      </c>
      <c r="Q2493" t="s">
        <v>42</v>
      </c>
      <c r="R2493" s="1">
        <v>0.1</v>
      </c>
      <c r="S2493">
        <f t="shared" si="152"/>
        <v>42.3</v>
      </c>
      <c r="T2493">
        <f>IFERROR(VLOOKUP(A2493,Table1[[Customer ID]:[Discount Amount]], 6, FALSE),"Not Found")</f>
        <v>47</v>
      </c>
      <c r="U2493" t="str">
        <f t="shared" si="153"/>
        <v>Bank Transfer</v>
      </c>
      <c r="V2493" s="4" t="str">
        <f t="shared" si="154"/>
        <v>Normal</v>
      </c>
      <c r="W2493" s="4" t="str">
        <f t="shared" si="155"/>
        <v>Poor</v>
      </c>
      <c r="X2493" s="4">
        <f>AVERAGE(Table1[Purchase Amount])</f>
        <v>129.48419400000012</v>
      </c>
    </row>
    <row r="2494" spans="1:24" ht="15" customHeight="1" x14ac:dyDescent="0.25">
      <c r="A2494">
        <v>2493</v>
      </c>
      <c r="B2494">
        <v>50</v>
      </c>
      <c r="C2494" t="s">
        <v>27</v>
      </c>
      <c r="D2494" t="s">
        <v>28</v>
      </c>
      <c r="E2494" t="s">
        <v>29</v>
      </c>
      <c r="F2494" s="2">
        <v>96</v>
      </c>
      <c r="G2494" t="s">
        <v>130</v>
      </c>
      <c r="H2494" t="s">
        <v>55</v>
      </c>
      <c r="I2494" t="s">
        <v>153</v>
      </c>
      <c r="J2494" t="s">
        <v>57</v>
      </c>
      <c r="K2494">
        <v>4.0999999999999996</v>
      </c>
      <c r="L2494" t="s">
        <v>23</v>
      </c>
      <c r="M2494" t="s">
        <v>79</v>
      </c>
      <c r="N2494" t="s">
        <v>23</v>
      </c>
      <c r="O2494">
        <v>34</v>
      </c>
      <c r="P2494" t="s">
        <v>88</v>
      </c>
      <c r="Q2494" t="s">
        <v>68</v>
      </c>
      <c r="R2494" s="1">
        <v>0.1</v>
      </c>
      <c r="S2494">
        <f t="shared" si="152"/>
        <v>86.4</v>
      </c>
      <c r="T2494">
        <f>IFERROR(VLOOKUP(A2494,Table1[[Customer ID]:[Discount Amount]], 6, FALSE),"Not Found")</f>
        <v>96</v>
      </c>
      <c r="U2494" t="str">
        <f t="shared" si="153"/>
        <v>Bank Transfer</v>
      </c>
      <c r="V2494" s="4" t="str">
        <f t="shared" si="154"/>
        <v>Normal</v>
      </c>
      <c r="W2494" s="4" t="str">
        <f t="shared" si="155"/>
        <v>Good</v>
      </c>
      <c r="X2494" s="4">
        <f>AVERAGE(Table1[Purchase Amount])</f>
        <v>129.48419400000012</v>
      </c>
    </row>
    <row r="2495" spans="1:24" ht="15" customHeight="1" x14ac:dyDescent="0.25">
      <c r="A2495">
        <v>2494</v>
      </c>
      <c r="B2495">
        <v>21</v>
      </c>
      <c r="C2495" t="s">
        <v>27</v>
      </c>
      <c r="D2495" t="s">
        <v>105</v>
      </c>
      <c r="E2495" t="s">
        <v>18</v>
      </c>
      <c r="F2495" s="2">
        <v>23</v>
      </c>
      <c r="G2495" t="s">
        <v>94</v>
      </c>
      <c r="H2495" t="s">
        <v>55</v>
      </c>
      <c r="I2495" t="s">
        <v>56</v>
      </c>
      <c r="J2495" t="s">
        <v>47</v>
      </c>
      <c r="K2495">
        <v>4.8</v>
      </c>
      <c r="L2495" t="s">
        <v>23</v>
      </c>
      <c r="M2495" t="s">
        <v>41</v>
      </c>
      <c r="N2495" t="s">
        <v>23</v>
      </c>
      <c r="O2495">
        <v>6</v>
      </c>
      <c r="P2495" t="s">
        <v>62</v>
      </c>
      <c r="Q2495" t="s">
        <v>63</v>
      </c>
      <c r="R2495" s="1">
        <v>0.1</v>
      </c>
      <c r="S2495">
        <f t="shared" si="152"/>
        <v>20.7</v>
      </c>
      <c r="T2495">
        <f>IFERROR(VLOOKUP(A2495,Table1[[Customer ID]:[Discount Amount]], 6, FALSE),"Not Found")</f>
        <v>23</v>
      </c>
      <c r="U2495" t="str">
        <f t="shared" si="153"/>
        <v>Venmo</v>
      </c>
      <c r="V2495" s="4" t="str">
        <f t="shared" si="154"/>
        <v>Normal</v>
      </c>
      <c r="W2495" s="4" t="str">
        <f t="shared" si="155"/>
        <v>Good</v>
      </c>
      <c r="X2495" s="4">
        <f>AVERAGE(Table1[Purchase Amount])</f>
        <v>129.48419400000012</v>
      </c>
    </row>
    <row r="2496" spans="1:24" ht="15" customHeight="1" x14ac:dyDescent="0.25">
      <c r="A2496">
        <v>2495</v>
      </c>
      <c r="B2496">
        <v>42</v>
      </c>
      <c r="C2496" t="s">
        <v>27</v>
      </c>
      <c r="D2496" t="s">
        <v>72</v>
      </c>
      <c r="E2496" t="s">
        <v>98</v>
      </c>
      <c r="F2496" s="2">
        <v>27</v>
      </c>
      <c r="G2496" t="s">
        <v>142</v>
      </c>
      <c r="H2496" t="s">
        <v>55</v>
      </c>
      <c r="I2496" t="s">
        <v>145</v>
      </c>
      <c r="J2496" t="s">
        <v>22</v>
      </c>
      <c r="K2496">
        <v>2.6</v>
      </c>
      <c r="L2496" t="s">
        <v>23</v>
      </c>
      <c r="M2496" t="s">
        <v>48</v>
      </c>
      <c r="N2496" t="s">
        <v>23</v>
      </c>
      <c r="O2496">
        <v>26</v>
      </c>
      <c r="P2496" t="s">
        <v>36</v>
      </c>
      <c r="Q2496" t="s">
        <v>49</v>
      </c>
      <c r="R2496" s="1">
        <v>0.1</v>
      </c>
      <c r="S2496">
        <f t="shared" si="152"/>
        <v>24.3</v>
      </c>
      <c r="T2496">
        <f>IFERROR(VLOOKUP(A2496,Table1[[Customer ID]:[Discount Amount]], 6, FALSE),"Not Found")</f>
        <v>27</v>
      </c>
      <c r="U2496" t="str">
        <f t="shared" si="153"/>
        <v>Debit Card</v>
      </c>
      <c r="V2496" s="4" t="str">
        <f t="shared" si="154"/>
        <v>Normal</v>
      </c>
      <c r="W2496" s="4" t="str">
        <f t="shared" si="155"/>
        <v>Poor</v>
      </c>
      <c r="X2496" s="4">
        <f>AVERAGE(Table1[Purchase Amount])</f>
        <v>129.48419400000012</v>
      </c>
    </row>
    <row r="2497" spans="1:24" ht="15" customHeight="1" x14ac:dyDescent="0.25">
      <c r="A2497">
        <v>2496</v>
      </c>
      <c r="B2497">
        <v>40</v>
      </c>
      <c r="C2497" t="s">
        <v>27</v>
      </c>
      <c r="D2497" t="s">
        <v>104</v>
      </c>
      <c r="E2497" t="s">
        <v>29</v>
      </c>
      <c r="F2497" s="2">
        <v>37</v>
      </c>
      <c r="G2497" t="s">
        <v>137</v>
      </c>
      <c r="H2497" t="s">
        <v>20</v>
      </c>
      <c r="I2497" t="s">
        <v>108</v>
      </c>
      <c r="J2497" t="s">
        <v>33</v>
      </c>
      <c r="K2497">
        <v>3.1</v>
      </c>
      <c r="L2497" t="s">
        <v>23</v>
      </c>
      <c r="M2497" t="s">
        <v>35</v>
      </c>
      <c r="N2497" t="s">
        <v>23</v>
      </c>
      <c r="O2497">
        <v>34</v>
      </c>
      <c r="P2497" t="s">
        <v>53</v>
      </c>
      <c r="Q2497" t="s">
        <v>63</v>
      </c>
      <c r="R2497" s="1">
        <v>0.1</v>
      </c>
      <c r="S2497">
        <f t="shared" si="152"/>
        <v>33.299999999999997</v>
      </c>
      <c r="T2497">
        <f>IFERROR(VLOOKUP(A2497,Table1[[Customer ID]:[Discount Amount]], 6, FALSE),"Not Found")</f>
        <v>37</v>
      </c>
      <c r="U2497" t="str">
        <f t="shared" si="153"/>
        <v>Credit Card</v>
      </c>
      <c r="V2497" s="4" t="str">
        <f t="shared" si="154"/>
        <v>Normal</v>
      </c>
      <c r="W2497" s="4" t="str">
        <f t="shared" si="155"/>
        <v>Good</v>
      </c>
      <c r="X2497" s="4">
        <f>AVERAGE(Table1[Purchase Amount])</f>
        <v>129.48419400000012</v>
      </c>
    </row>
    <row r="2498" spans="1:24" ht="15" customHeight="1" x14ac:dyDescent="0.25">
      <c r="A2498">
        <v>2497</v>
      </c>
      <c r="B2498">
        <v>67</v>
      </c>
      <c r="C2498" t="s">
        <v>27</v>
      </c>
      <c r="D2498" t="s">
        <v>129</v>
      </c>
      <c r="E2498" t="s">
        <v>29</v>
      </c>
      <c r="F2498" s="2">
        <v>79</v>
      </c>
      <c r="G2498" t="s">
        <v>44</v>
      </c>
      <c r="H2498" t="s">
        <v>55</v>
      </c>
      <c r="I2498" t="s">
        <v>52</v>
      </c>
      <c r="J2498" t="s">
        <v>57</v>
      </c>
      <c r="K2498">
        <v>3.2</v>
      </c>
      <c r="L2498" t="s">
        <v>23</v>
      </c>
      <c r="M2498" t="s">
        <v>48</v>
      </c>
      <c r="N2498" t="s">
        <v>23</v>
      </c>
      <c r="O2498">
        <v>37</v>
      </c>
      <c r="P2498" t="s">
        <v>53</v>
      </c>
      <c r="Q2498" t="s">
        <v>26</v>
      </c>
      <c r="R2498" s="1">
        <v>0.1</v>
      </c>
      <c r="S2498">
        <f t="shared" ref="S2498:S2561" si="156">F2498-(F2498*R2498)</f>
        <v>71.099999999999994</v>
      </c>
      <c r="T2498">
        <f>IFERROR(VLOOKUP(A2498,Table1[[Customer ID]:[Discount Amount]], 6, FALSE),"Not Found")</f>
        <v>79</v>
      </c>
      <c r="U2498" t="str">
        <f t="shared" ref="U2498:U2561" si="157">INDEX(P:P, MATCH(A2498, A:A, 0))</f>
        <v>Credit Card</v>
      </c>
      <c r="V2498" s="4" t="str">
        <f t="shared" ref="V2498:V2561" si="158">IF(AND(F2498&gt;1000,K2498&gt;=4),"Best Customer","Normal")</f>
        <v>Normal</v>
      </c>
      <c r="W2498" s="4" t="str">
        <f t="shared" ref="W2498:W2561" si="159">IF(K2498&gt;=3,"Good","Poor")</f>
        <v>Good</v>
      </c>
      <c r="X2498" s="4">
        <f>AVERAGE(Table1[Purchase Amount])</f>
        <v>129.48419400000012</v>
      </c>
    </row>
    <row r="2499" spans="1:24" ht="15" customHeight="1" x14ac:dyDescent="0.25">
      <c r="A2499">
        <v>2498</v>
      </c>
      <c r="B2499">
        <v>35</v>
      </c>
      <c r="C2499" t="s">
        <v>27</v>
      </c>
      <c r="D2499" t="s">
        <v>104</v>
      </c>
      <c r="E2499" t="s">
        <v>29</v>
      </c>
      <c r="F2499" s="2">
        <v>40</v>
      </c>
      <c r="G2499" t="s">
        <v>92</v>
      </c>
      <c r="H2499" t="s">
        <v>31</v>
      </c>
      <c r="I2499" t="s">
        <v>111</v>
      </c>
      <c r="J2499" t="s">
        <v>57</v>
      </c>
      <c r="K2499">
        <v>4.2</v>
      </c>
      <c r="L2499" t="s">
        <v>23</v>
      </c>
      <c r="M2499" t="s">
        <v>24</v>
      </c>
      <c r="N2499" t="s">
        <v>23</v>
      </c>
      <c r="O2499">
        <v>28</v>
      </c>
      <c r="P2499" t="s">
        <v>88</v>
      </c>
      <c r="Q2499" t="s">
        <v>49</v>
      </c>
      <c r="R2499" s="1">
        <v>0.1</v>
      </c>
      <c r="S2499">
        <f t="shared" si="156"/>
        <v>36</v>
      </c>
      <c r="T2499">
        <f>IFERROR(VLOOKUP(A2499,Table1[[Customer ID]:[Discount Amount]], 6, FALSE),"Not Found")</f>
        <v>40</v>
      </c>
      <c r="U2499" t="str">
        <f t="shared" si="157"/>
        <v>Bank Transfer</v>
      </c>
      <c r="V2499" s="4" t="str">
        <f t="shared" si="158"/>
        <v>Normal</v>
      </c>
      <c r="W2499" s="4" t="str">
        <f t="shared" si="159"/>
        <v>Good</v>
      </c>
      <c r="X2499" s="4">
        <f>AVERAGE(Table1[Purchase Amount])</f>
        <v>129.48419400000012</v>
      </c>
    </row>
    <row r="2500" spans="1:24" ht="15" customHeight="1" x14ac:dyDescent="0.25">
      <c r="A2500">
        <v>2499</v>
      </c>
      <c r="B2500">
        <v>18</v>
      </c>
      <c r="C2500" t="s">
        <v>27</v>
      </c>
      <c r="D2500" t="s">
        <v>76</v>
      </c>
      <c r="E2500" t="s">
        <v>77</v>
      </c>
      <c r="F2500" s="2">
        <v>39</v>
      </c>
      <c r="G2500" t="s">
        <v>97</v>
      </c>
      <c r="H2500" t="s">
        <v>55</v>
      </c>
      <c r="I2500" t="s">
        <v>93</v>
      </c>
      <c r="J2500" t="s">
        <v>47</v>
      </c>
      <c r="K2500">
        <v>2.6</v>
      </c>
      <c r="L2500" t="s">
        <v>23</v>
      </c>
      <c r="M2500" t="s">
        <v>79</v>
      </c>
      <c r="N2500" t="s">
        <v>23</v>
      </c>
      <c r="O2500">
        <v>38</v>
      </c>
      <c r="P2500" t="s">
        <v>25</v>
      </c>
      <c r="Q2500" t="s">
        <v>89</v>
      </c>
      <c r="R2500" s="1">
        <v>0.1</v>
      </c>
      <c r="S2500">
        <f t="shared" si="156"/>
        <v>35.1</v>
      </c>
      <c r="T2500">
        <f>IFERROR(VLOOKUP(A2500,Table1[[Customer ID]:[Discount Amount]], 6, FALSE),"Not Found")</f>
        <v>39</v>
      </c>
      <c r="U2500" t="str">
        <f t="shared" si="157"/>
        <v>Cash</v>
      </c>
      <c r="V2500" s="4" t="str">
        <f t="shared" si="158"/>
        <v>Normal</v>
      </c>
      <c r="W2500" s="4" t="str">
        <f t="shared" si="159"/>
        <v>Poor</v>
      </c>
      <c r="X2500" s="4">
        <f>AVERAGE(Table1[Purchase Amount])</f>
        <v>129.48419400000012</v>
      </c>
    </row>
    <row r="2501" spans="1:24" ht="15" customHeight="1" x14ac:dyDescent="0.25">
      <c r="A2501">
        <v>2500</v>
      </c>
      <c r="B2501">
        <v>52</v>
      </c>
      <c r="C2501" t="s">
        <v>27</v>
      </c>
      <c r="D2501" t="s">
        <v>83</v>
      </c>
      <c r="E2501" t="s">
        <v>18</v>
      </c>
      <c r="F2501" s="2">
        <v>73</v>
      </c>
      <c r="G2501" t="s">
        <v>119</v>
      </c>
      <c r="H2501" t="s">
        <v>45</v>
      </c>
      <c r="I2501" t="s">
        <v>136</v>
      </c>
      <c r="J2501" t="s">
        <v>57</v>
      </c>
      <c r="K2501">
        <v>3.1</v>
      </c>
      <c r="L2501" t="s">
        <v>23</v>
      </c>
      <c r="M2501" t="s">
        <v>79</v>
      </c>
      <c r="N2501" t="s">
        <v>23</v>
      </c>
      <c r="O2501">
        <v>2</v>
      </c>
      <c r="P2501" t="s">
        <v>25</v>
      </c>
      <c r="Q2501" t="s">
        <v>37</v>
      </c>
      <c r="R2501" s="1">
        <v>0.1</v>
      </c>
      <c r="S2501">
        <f t="shared" si="156"/>
        <v>65.7</v>
      </c>
      <c r="T2501">
        <f>IFERROR(VLOOKUP(A2501,Table1[[Customer ID]:[Discount Amount]], 6, FALSE),"Not Found")</f>
        <v>73</v>
      </c>
      <c r="U2501" t="str">
        <f t="shared" si="157"/>
        <v>Cash</v>
      </c>
      <c r="V2501" s="4" t="str">
        <f t="shared" si="158"/>
        <v>Normal</v>
      </c>
      <c r="W2501" s="4" t="str">
        <f t="shared" si="159"/>
        <v>Good</v>
      </c>
      <c r="X2501" s="4">
        <f>AVERAGE(Table1[Purchase Amount])</f>
        <v>129.48419400000012</v>
      </c>
    </row>
    <row r="2502" spans="1:24" ht="15" customHeight="1" x14ac:dyDescent="0.25">
      <c r="A2502">
        <v>2501</v>
      </c>
      <c r="B2502">
        <v>59</v>
      </c>
      <c r="C2502" t="s">
        <v>27</v>
      </c>
      <c r="D2502" t="s">
        <v>43</v>
      </c>
      <c r="E2502" t="s">
        <v>29</v>
      </c>
      <c r="F2502" s="2">
        <v>84</v>
      </c>
      <c r="G2502" t="s">
        <v>97</v>
      </c>
      <c r="H2502" t="s">
        <v>31</v>
      </c>
      <c r="I2502" t="s">
        <v>111</v>
      </c>
      <c r="J2502" t="s">
        <v>47</v>
      </c>
      <c r="K2502">
        <v>2.9</v>
      </c>
      <c r="L2502" t="s">
        <v>23</v>
      </c>
      <c r="M2502" t="s">
        <v>48</v>
      </c>
      <c r="N2502" t="s">
        <v>23</v>
      </c>
      <c r="O2502">
        <v>32</v>
      </c>
      <c r="P2502" t="s">
        <v>25</v>
      </c>
      <c r="Q2502" t="s">
        <v>68</v>
      </c>
      <c r="R2502" s="1">
        <v>0.1</v>
      </c>
      <c r="S2502">
        <f t="shared" si="156"/>
        <v>75.599999999999994</v>
      </c>
      <c r="T2502">
        <f>IFERROR(VLOOKUP(A2502,Table1[[Customer ID]:[Discount Amount]], 6, FALSE),"Not Found")</f>
        <v>84</v>
      </c>
      <c r="U2502" t="str">
        <f t="shared" si="157"/>
        <v>Cash</v>
      </c>
      <c r="V2502" s="4" t="str">
        <f t="shared" si="158"/>
        <v>Normal</v>
      </c>
      <c r="W2502" s="4" t="str">
        <f t="shared" si="159"/>
        <v>Poor</v>
      </c>
      <c r="X2502" s="4">
        <f>AVERAGE(Table1[Purchase Amount])</f>
        <v>129.48419400000012</v>
      </c>
    </row>
    <row r="2503" spans="1:24" ht="15" customHeight="1" x14ac:dyDescent="0.25">
      <c r="A2503">
        <v>2502</v>
      </c>
      <c r="B2503">
        <v>49</v>
      </c>
      <c r="C2503" t="s">
        <v>27</v>
      </c>
      <c r="D2503" t="s">
        <v>54</v>
      </c>
      <c r="E2503" t="s">
        <v>18</v>
      </c>
      <c r="F2503" s="2">
        <v>94</v>
      </c>
      <c r="G2503" t="s">
        <v>154</v>
      </c>
      <c r="H2503" t="s">
        <v>31</v>
      </c>
      <c r="I2503" t="s">
        <v>111</v>
      </c>
      <c r="J2503" t="s">
        <v>47</v>
      </c>
      <c r="K2503">
        <v>4.5999999999999996</v>
      </c>
      <c r="L2503" t="s">
        <v>23</v>
      </c>
      <c r="M2503" t="s">
        <v>35</v>
      </c>
      <c r="N2503" t="s">
        <v>23</v>
      </c>
      <c r="O2503">
        <v>30</v>
      </c>
      <c r="P2503" t="s">
        <v>62</v>
      </c>
      <c r="Q2503" t="s">
        <v>68</v>
      </c>
      <c r="R2503" s="1">
        <v>0.1</v>
      </c>
      <c r="S2503">
        <f t="shared" si="156"/>
        <v>84.6</v>
      </c>
      <c r="T2503">
        <f>IFERROR(VLOOKUP(A2503,Table1[[Customer ID]:[Discount Amount]], 6, FALSE),"Not Found")</f>
        <v>94</v>
      </c>
      <c r="U2503" t="str">
        <f t="shared" si="157"/>
        <v>Venmo</v>
      </c>
      <c r="V2503" s="4" t="str">
        <f t="shared" si="158"/>
        <v>Normal</v>
      </c>
      <c r="W2503" s="4" t="str">
        <f t="shared" si="159"/>
        <v>Good</v>
      </c>
      <c r="X2503" s="4">
        <f>AVERAGE(Table1[Purchase Amount])</f>
        <v>129.48419400000012</v>
      </c>
    </row>
    <row r="2504" spans="1:24" ht="15" customHeight="1" x14ac:dyDescent="0.25">
      <c r="A2504">
        <v>2503</v>
      </c>
      <c r="B2504">
        <v>46</v>
      </c>
      <c r="C2504" t="s">
        <v>27</v>
      </c>
      <c r="D2504" t="s">
        <v>122</v>
      </c>
      <c r="E2504" t="s">
        <v>18</v>
      </c>
      <c r="F2504" s="2">
        <v>47</v>
      </c>
      <c r="G2504" t="s">
        <v>161</v>
      </c>
      <c r="H2504" t="s">
        <v>45</v>
      </c>
      <c r="I2504" t="s">
        <v>136</v>
      </c>
      <c r="J2504" t="s">
        <v>33</v>
      </c>
      <c r="K2504">
        <v>4.0999999999999996</v>
      </c>
      <c r="L2504" t="s">
        <v>23</v>
      </c>
      <c r="M2504" t="s">
        <v>24</v>
      </c>
      <c r="N2504" t="s">
        <v>23</v>
      </c>
      <c r="O2504">
        <v>17</v>
      </c>
      <c r="P2504" t="s">
        <v>58</v>
      </c>
      <c r="Q2504" t="s">
        <v>63</v>
      </c>
      <c r="R2504" s="1">
        <v>0.1</v>
      </c>
      <c r="S2504">
        <f t="shared" si="156"/>
        <v>42.3</v>
      </c>
      <c r="T2504">
        <f>IFERROR(VLOOKUP(A2504,Table1[[Customer ID]:[Discount Amount]], 6, FALSE),"Not Found")</f>
        <v>47</v>
      </c>
      <c r="U2504" t="str">
        <f t="shared" si="157"/>
        <v>PayPal</v>
      </c>
      <c r="V2504" s="4" t="str">
        <f t="shared" si="158"/>
        <v>Normal</v>
      </c>
      <c r="W2504" s="4" t="str">
        <f t="shared" si="159"/>
        <v>Good</v>
      </c>
      <c r="X2504" s="4">
        <f>AVERAGE(Table1[Purchase Amount])</f>
        <v>129.48419400000012</v>
      </c>
    </row>
    <row r="2505" spans="1:24" ht="15" customHeight="1" x14ac:dyDescent="0.25">
      <c r="A2505">
        <v>2504</v>
      </c>
      <c r="B2505">
        <v>69</v>
      </c>
      <c r="C2505" t="s">
        <v>27</v>
      </c>
      <c r="D2505" t="s">
        <v>151</v>
      </c>
      <c r="E2505" t="s">
        <v>98</v>
      </c>
      <c r="F2505" s="2">
        <v>77</v>
      </c>
      <c r="G2505" t="s">
        <v>90</v>
      </c>
      <c r="H2505" t="s">
        <v>31</v>
      </c>
      <c r="I2505" t="s">
        <v>111</v>
      </c>
      <c r="J2505" t="s">
        <v>57</v>
      </c>
      <c r="K2505">
        <v>2.5</v>
      </c>
      <c r="L2505" t="s">
        <v>23</v>
      </c>
      <c r="M2505" t="s">
        <v>48</v>
      </c>
      <c r="N2505" t="s">
        <v>23</v>
      </c>
      <c r="O2505">
        <v>5</v>
      </c>
      <c r="P2505" t="s">
        <v>36</v>
      </c>
      <c r="Q2505" t="s">
        <v>68</v>
      </c>
      <c r="R2505" s="1">
        <v>0.1</v>
      </c>
      <c r="S2505">
        <f t="shared" si="156"/>
        <v>69.3</v>
      </c>
      <c r="T2505">
        <f>IFERROR(VLOOKUP(A2505,Table1[[Customer ID]:[Discount Amount]], 6, FALSE),"Not Found")</f>
        <v>77</v>
      </c>
      <c r="U2505" t="str">
        <f t="shared" si="157"/>
        <v>Debit Card</v>
      </c>
      <c r="V2505" s="4" t="str">
        <f t="shared" si="158"/>
        <v>Normal</v>
      </c>
      <c r="W2505" s="4" t="str">
        <f t="shared" si="159"/>
        <v>Poor</v>
      </c>
      <c r="X2505" s="4">
        <f>AVERAGE(Table1[Purchase Amount])</f>
        <v>129.48419400000012</v>
      </c>
    </row>
    <row r="2506" spans="1:24" ht="15" customHeight="1" x14ac:dyDescent="0.25">
      <c r="A2506">
        <v>2505</v>
      </c>
      <c r="B2506">
        <v>56</v>
      </c>
      <c r="C2506" t="s">
        <v>27</v>
      </c>
      <c r="D2506" t="s">
        <v>54</v>
      </c>
      <c r="E2506" t="s">
        <v>18</v>
      </c>
      <c r="F2506" s="2">
        <v>94</v>
      </c>
      <c r="G2506" t="s">
        <v>159</v>
      </c>
      <c r="H2506" t="s">
        <v>31</v>
      </c>
      <c r="I2506" t="s">
        <v>156</v>
      </c>
      <c r="J2506" t="s">
        <v>22</v>
      </c>
      <c r="K2506">
        <v>4</v>
      </c>
      <c r="L2506" t="s">
        <v>23</v>
      </c>
      <c r="M2506" t="s">
        <v>48</v>
      </c>
      <c r="N2506" t="s">
        <v>23</v>
      </c>
      <c r="O2506">
        <v>31</v>
      </c>
      <c r="P2506" t="s">
        <v>25</v>
      </c>
      <c r="Q2506" t="s">
        <v>68</v>
      </c>
      <c r="R2506" s="1">
        <v>0.1</v>
      </c>
      <c r="S2506">
        <f t="shared" si="156"/>
        <v>84.6</v>
      </c>
      <c r="T2506">
        <f>IFERROR(VLOOKUP(A2506,Table1[[Customer ID]:[Discount Amount]], 6, FALSE),"Not Found")</f>
        <v>94</v>
      </c>
      <c r="U2506" t="str">
        <f t="shared" si="157"/>
        <v>Cash</v>
      </c>
      <c r="V2506" s="4" t="str">
        <f t="shared" si="158"/>
        <v>Normal</v>
      </c>
      <c r="W2506" s="4" t="str">
        <f t="shared" si="159"/>
        <v>Good</v>
      </c>
      <c r="X2506" s="4">
        <f>AVERAGE(Table1[Purchase Amount])</f>
        <v>129.48419400000012</v>
      </c>
    </row>
    <row r="2507" spans="1:24" ht="15" customHeight="1" x14ac:dyDescent="0.25">
      <c r="A2507">
        <v>2506</v>
      </c>
      <c r="B2507">
        <v>27</v>
      </c>
      <c r="C2507" t="s">
        <v>27</v>
      </c>
      <c r="D2507" t="s">
        <v>69</v>
      </c>
      <c r="E2507" t="s">
        <v>29</v>
      </c>
      <c r="F2507" s="2">
        <v>75</v>
      </c>
      <c r="G2507" t="s">
        <v>44</v>
      </c>
      <c r="H2507" t="s">
        <v>31</v>
      </c>
      <c r="I2507" t="s">
        <v>128</v>
      </c>
      <c r="J2507" t="s">
        <v>57</v>
      </c>
      <c r="K2507">
        <v>3.5</v>
      </c>
      <c r="L2507" t="s">
        <v>23</v>
      </c>
      <c r="M2507" t="s">
        <v>61</v>
      </c>
      <c r="N2507" t="s">
        <v>23</v>
      </c>
      <c r="O2507">
        <v>43</v>
      </c>
      <c r="P2507" t="s">
        <v>58</v>
      </c>
      <c r="Q2507" t="s">
        <v>37</v>
      </c>
      <c r="R2507" s="1">
        <v>0.1</v>
      </c>
      <c r="S2507">
        <f t="shared" si="156"/>
        <v>67.5</v>
      </c>
      <c r="T2507">
        <f>IFERROR(VLOOKUP(A2507,Table1[[Customer ID]:[Discount Amount]], 6, FALSE),"Not Found")</f>
        <v>75</v>
      </c>
      <c r="U2507" t="str">
        <f t="shared" si="157"/>
        <v>PayPal</v>
      </c>
      <c r="V2507" s="4" t="str">
        <f t="shared" si="158"/>
        <v>Normal</v>
      </c>
      <c r="W2507" s="4" t="str">
        <f t="shared" si="159"/>
        <v>Good</v>
      </c>
      <c r="X2507" s="4">
        <f>AVERAGE(Table1[Purchase Amount])</f>
        <v>129.48419400000012</v>
      </c>
    </row>
    <row r="2508" spans="1:24" ht="15" customHeight="1" x14ac:dyDescent="0.25">
      <c r="A2508">
        <v>2507</v>
      </c>
      <c r="B2508">
        <v>57</v>
      </c>
      <c r="C2508" t="s">
        <v>27</v>
      </c>
      <c r="D2508" t="s">
        <v>157</v>
      </c>
      <c r="E2508" t="s">
        <v>18</v>
      </c>
      <c r="F2508" s="2">
        <v>82</v>
      </c>
      <c r="G2508" t="s">
        <v>101</v>
      </c>
      <c r="H2508" t="s">
        <v>20</v>
      </c>
      <c r="I2508" t="s">
        <v>108</v>
      </c>
      <c r="J2508" t="s">
        <v>33</v>
      </c>
      <c r="K2508">
        <v>4.4000000000000004</v>
      </c>
      <c r="L2508" t="s">
        <v>23</v>
      </c>
      <c r="M2508" t="s">
        <v>35</v>
      </c>
      <c r="N2508" t="s">
        <v>23</v>
      </c>
      <c r="O2508">
        <v>19</v>
      </c>
      <c r="P2508" t="s">
        <v>62</v>
      </c>
      <c r="Q2508" t="s">
        <v>49</v>
      </c>
      <c r="R2508" s="1">
        <v>0.1</v>
      </c>
      <c r="S2508">
        <f t="shared" si="156"/>
        <v>73.8</v>
      </c>
      <c r="T2508">
        <f>IFERROR(VLOOKUP(A2508,Table1[[Customer ID]:[Discount Amount]], 6, FALSE),"Not Found")</f>
        <v>82</v>
      </c>
      <c r="U2508" t="str">
        <f t="shared" si="157"/>
        <v>Venmo</v>
      </c>
      <c r="V2508" s="4" t="str">
        <f t="shared" si="158"/>
        <v>Normal</v>
      </c>
      <c r="W2508" s="4" t="str">
        <f t="shared" si="159"/>
        <v>Good</v>
      </c>
      <c r="X2508" s="4">
        <f>AVERAGE(Table1[Purchase Amount])</f>
        <v>129.48419400000012</v>
      </c>
    </row>
    <row r="2509" spans="1:24" ht="15" customHeight="1" x14ac:dyDescent="0.25">
      <c r="A2509">
        <v>2508</v>
      </c>
      <c r="B2509">
        <v>58</v>
      </c>
      <c r="C2509" t="s">
        <v>27</v>
      </c>
      <c r="D2509" t="s">
        <v>72</v>
      </c>
      <c r="E2509" t="s">
        <v>98</v>
      </c>
      <c r="F2509" s="2">
        <v>36</v>
      </c>
      <c r="G2509" t="s">
        <v>119</v>
      </c>
      <c r="H2509" t="s">
        <v>31</v>
      </c>
      <c r="I2509" t="s">
        <v>128</v>
      </c>
      <c r="J2509" t="s">
        <v>47</v>
      </c>
      <c r="K2509">
        <v>2.9</v>
      </c>
      <c r="L2509" t="s">
        <v>23</v>
      </c>
      <c r="M2509" t="s">
        <v>48</v>
      </c>
      <c r="N2509" t="s">
        <v>23</v>
      </c>
      <c r="O2509">
        <v>32</v>
      </c>
      <c r="P2509" t="s">
        <v>53</v>
      </c>
      <c r="Q2509" t="s">
        <v>63</v>
      </c>
      <c r="R2509" s="1">
        <v>0.1</v>
      </c>
      <c r="S2509">
        <f t="shared" si="156"/>
        <v>32.4</v>
      </c>
      <c r="T2509">
        <f>IFERROR(VLOOKUP(A2509,Table1[[Customer ID]:[Discount Amount]], 6, FALSE),"Not Found")</f>
        <v>36</v>
      </c>
      <c r="U2509" t="str">
        <f t="shared" si="157"/>
        <v>Credit Card</v>
      </c>
      <c r="V2509" s="4" t="str">
        <f t="shared" si="158"/>
        <v>Normal</v>
      </c>
      <c r="W2509" s="4" t="str">
        <f t="shared" si="159"/>
        <v>Poor</v>
      </c>
      <c r="X2509" s="4">
        <f>AVERAGE(Table1[Purchase Amount])</f>
        <v>129.48419400000012</v>
      </c>
    </row>
    <row r="2510" spans="1:24" ht="15" customHeight="1" x14ac:dyDescent="0.25">
      <c r="A2510">
        <v>2509</v>
      </c>
      <c r="B2510">
        <v>23</v>
      </c>
      <c r="C2510" t="s">
        <v>27</v>
      </c>
      <c r="D2510" t="s">
        <v>140</v>
      </c>
      <c r="E2510" t="s">
        <v>98</v>
      </c>
      <c r="F2510" s="2">
        <v>90</v>
      </c>
      <c r="G2510" t="s">
        <v>19</v>
      </c>
      <c r="H2510" t="s">
        <v>20</v>
      </c>
      <c r="I2510" t="s">
        <v>91</v>
      </c>
      <c r="J2510" t="s">
        <v>33</v>
      </c>
      <c r="K2510">
        <v>3.1</v>
      </c>
      <c r="L2510" t="s">
        <v>23</v>
      </c>
      <c r="M2510" t="s">
        <v>41</v>
      </c>
      <c r="N2510" t="s">
        <v>23</v>
      </c>
      <c r="O2510">
        <v>5</v>
      </c>
      <c r="P2510" t="s">
        <v>36</v>
      </c>
      <c r="Q2510" t="s">
        <v>68</v>
      </c>
      <c r="R2510" s="1">
        <v>0.1</v>
      </c>
      <c r="S2510">
        <f t="shared" si="156"/>
        <v>81</v>
      </c>
      <c r="T2510">
        <f>IFERROR(VLOOKUP(A2510,Table1[[Customer ID]:[Discount Amount]], 6, FALSE),"Not Found")</f>
        <v>90</v>
      </c>
      <c r="U2510" t="str">
        <f t="shared" si="157"/>
        <v>Debit Card</v>
      </c>
      <c r="V2510" s="4" t="str">
        <f t="shared" si="158"/>
        <v>Normal</v>
      </c>
      <c r="W2510" s="4" t="str">
        <f t="shared" si="159"/>
        <v>Good</v>
      </c>
      <c r="X2510" s="4">
        <f>AVERAGE(Table1[Purchase Amount])</f>
        <v>129.48419400000012</v>
      </c>
    </row>
    <row r="2511" spans="1:24" ht="15" customHeight="1" x14ac:dyDescent="0.25">
      <c r="A2511">
        <v>2510</v>
      </c>
      <c r="B2511">
        <v>19</v>
      </c>
      <c r="C2511" t="s">
        <v>27</v>
      </c>
      <c r="D2511" t="s">
        <v>105</v>
      </c>
      <c r="E2511" t="s">
        <v>18</v>
      </c>
      <c r="F2511" s="2">
        <v>48</v>
      </c>
      <c r="G2511" t="s">
        <v>155</v>
      </c>
      <c r="H2511" t="s">
        <v>31</v>
      </c>
      <c r="I2511" t="s">
        <v>40</v>
      </c>
      <c r="J2511" t="s">
        <v>33</v>
      </c>
      <c r="K2511">
        <v>4.4000000000000004</v>
      </c>
      <c r="L2511" t="s">
        <v>23</v>
      </c>
      <c r="M2511" t="s">
        <v>35</v>
      </c>
      <c r="N2511" t="s">
        <v>23</v>
      </c>
      <c r="O2511">
        <v>9</v>
      </c>
      <c r="P2511" t="s">
        <v>88</v>
      </c>
      <c r="Q2511" t="s">
        <v>37</v>
      </c>
      <c r="R2511" s="1">
        <v>0.1</v>
      </c>
      <c r="S2511">
        <f t="shared" si="156"/>
        <v>43.2</v>
      </c>
      <c r="T2511">
        <f>IFERROR(VLOOKUP(A2511,Table1[[Customer ID]:[Discount Amount]], 6, FALSE),"Not Found")</f>
        <v>48</v>
      </c>
      <c r="U2511" t="str">
        <f t="shared" si="157"/>
        <v>Bank Transfer</v>
      </c>
      <c r="V2511" s="4" t="str">
        <f t="shared" si="158"/>
        <v>Normal</v>
      </c>
      <c r="W2511" s="4" t="str">
        <f t="shared" si="159"/>
        <v>Good</v>
      </c>
      <c r="X2511" s="4">
        <f>AVERAGE(Table1[Purchase Amount])</f>
        <v>129.48419400000012</v>
      </c>
    </row>
    <row r="2512" spans="1:24" ht="15" customHeight="1" x14ac:dyDescent="0.25">
      <c r="A2512">
        <v>2511</v>
      </c>
      <c r="B2512">
        <v>40</v>
      </c>
      <c r="C2512" t="s">
        <v>27</v>
      </c>
      <c r="D2512" t="s">
        <v>96</v>
      </c>
      <c r="E2512" t="s">
        <v>77</v>
      </c>
      <c r="F2512" s="2">
        <v>42</v>
      </c>
      <c r="G2512" t="s">
        <v>130</v>
      </c>
      <c r="H2512" t="s">
        <v>45</v>
      </c>
      <c r="I2512" t="s">
        <v>66</v>
      </c>
      <c r="J2512" t="s">
        <v>22</v>
      </c>
      <c r="K2512">
        <v>4.4000000000000004</v>
      </c>
      <c r="L2512" t="s">
        <v>23</v>
      </c>
      <c r="M2512" t="s">
        <v>24</v>
      </c>
      <c r="N2512" t="s">
        <v>23</v>
      </c>
      <c r="O2512">
        <v>48</v>
      </c>
      <c r="P2512" t="s">
        <v>53</v>
      </c>
      <c r="Q2512" t="s">
        <v>26</v>
      </c>
      <c r="R2512" s="1">
        <v>0.1</v>
      </c>
      <c r="S2512">
        <f t="shared" si="156"/>
        <v>37.799999999999997</v>
      </c>
      <c r="T2512">
        <f>IFERROR(VLOOKUP(A2512,Table1[[Customer ID]:[Discount Amount]], 6, FALSE),"Not Found")</f>
        <v>42</v>
      </c>
      <c r="U2512" t="str">
        <f t="shared" si="157"/>
        <v>Credit Card</v>
      </c>
      <c r="V2512" s="4" t="str">
        <f t="shared" si="158"/>
        <v>Normal</v>
      </c>
      <c r="W2512" s="4" t="str">
        <f t="shared" si="159"/>
        <v>Good</v>
      </c>
      <c r="X2512" s="4">
        <f>AVERAGE(Table1[Purchase Amount])</f>
        <v>129.48419400000012</v>
      </c>
    </row>
    <row r="2513" spans="1:24" ht="15" customHeight="1" x14ac:dyDescent="0.25">
      <c r="A2513">
        <v>2512</v>
      </c>
      <c r="B2513">
        <v>54</v>
      </c>
      <c r="C2513" t="s">
        <v>27</v>
      </c>
      <c r="D2513" t="s">
        <v>104</v>
      </c>
      <c r="E2513" t="s">
        <v>29</v>
      </c>
      <c r="F2513" s="2">
        <v>33</v>
      </c>
      <c r="G2513" t="s">
        <v>161</v>
      </c>
      <c r="H2513" t="s">
        <v>31</v>
      </c>
      <c r="I2513" t="s">
        <v>128</v>
      </c>
      <c r="J2513" t="s">
        <v>57</v>
      </c>
      <c r="K2513">
        <v>2.7</v>
      </c>
      <c r="L2513" t="s">
        <v>23</v>
      </c>
      <c r="M2513" t="s">
        <v>48</v>
      </c>
      <c r="N2513" t="s">
        <v>23</v>
      </c>
      <c r="O2513">
        <v>1</v>
      </c>
      <c r="P2513" t="s">
        <v>58</v>
      </c>
      <c r="Q2513" t="s">
        <v>37</v>
      </c>
      <c r="R2513" s="1">
        <v>0.1</v>
      </c>
      <c r="S2513">
        <f t="shared" si="156"/>
        <v>29.7</v>
      </c>
      <c r="T2513">
        <f>IFERROR(VLOOKUP(A2513,Table1[[Customer ID]:[Discount Amount]], 6, FALSE),"Not Found")</f>
        <v>33</v>
      </c>
      <c r="U2513" t="str">
        <f t="shared" si="157"/>
        <v>PayPal</v>
      </c>
      <c r="V2513" s="4" t="str">
        <f t="shared" si="158"/>
        <v>Normal</v>
      </c>
      <c r="W2513" s="4" t="str">
        <f t="shared" si="159"/>
        <v>Poor</v>
      </c>
      <c r="X2513" s="4">
        <f>AVERAGE(Table1[Purchase Amount])</f>
        <v>129.48419400000012</v>
      </c>
    </row>
    <row r="2514" spans="1:24" ht="15" customHeight="1" x14ac:dyDescent="0.25">
      <c r="A2514">
        <v>2513</v>
      </c>
      <c r="B2514">
        <v>50</v>
      </c>
      <c r="C2514" t="s">
        <v>27</v>
      </c>
      <c r="D2514" t="s">
        <v>105</v>
      </c>
      <c r="E2514" t="s">
        <v>18</v>
      </c>
      <c r="F2514" s="2">
        <v>63</v>
      </c>
      <c r="G2514" t="s">
        <v>86</v>
      </c>
      <c r="H2514" t="s">
        <v>31</v>
      </c>
      <c r="I2514" t="s">
        <v>93</v>
      </c>
      <c r="J2514" t="s">
        <v>57</v>
      </c>
      <c r="K2514">
        <v>4.9000000000000004</v>
      </c>
      <c r="L2514" t="s">
        <v>23</v>
      </c>
      <c r="M2514" t="s">
        <v>35</v>
      </c>
      <c r="N2514" t="s">
        <v>23</v>
      </c>
      <c r="O2514">
        <v>20</v>
      </c>
      <c r="P2514" t="s">
        <v>53</v>
      </c>
      <c r="Q2514" t="s">
        <v>42</v>
      </c>
      <c r="R2514" s="1">
        <v>0.1</v>
      </c>
      <c r="S2514">
        <f t="shared" si="156"/>
        <v>56.7</v>
      </c>
      <c r="T2514">
        <f>IFERROR(VLOOKUP(A2514,Table1[[Customer ID]:[Discount Amount]], 6, FALSE),"Not Found")</f>
        <v>63</v>
      </c>
      <c r="U2514" t="str">
        <f t="shared" si="157"/>
        <v>Credit Card</v>
      </c>
      <c r="V2514" s="4" t="str">
        <f t="shared" si="158"/>
        <v>Normal</v>
      </c>
      <c r="W2514" s="4" t="str">
        <f t="shared" si="159"/>
        <v>Good</v>
      </c>
      <c r="X2514" s="4">
        <f>AVERAGE(Table1[Purchase Amount])</f>
        <v>129.48419400000012</v>
      </c>
    </row>
    <row r="2515" spans="1:24" ht="15" customHeight="1" x14ac:dyDescent="0.25">
      <c r="A2515">
        <v>2514</v>
      </c>
      <c r="B2515">
        <v>69</v>
      </c>
      <c r="C2515" t="s">
        <v>27</v>
      </c>
      <c r="D2515" t="s">
        <v>69</v>
      </c>
      <c r="E2515" t="s">
        <v>29</v>
      </c>
      <c r="F2515" s="2">
        <v>53</v>
      </c>
      <c r="G2515" t="s">
        <v>155</v>
      </c>
      <c r="H2515" t="s">
        <v>45</v>
      </c>
      <c r="I2515" t="s">
        <v>147</v>
      </c>
      <c r="J2515" t="s">
        <v>22</v>
      </c>
      <c r="K2515">
        <v>3.5</v>
      </c>
      <c r="L2515" t="s">
        <v>23</v>
      </c>
      <c r="M2515" t="s">
        <v>41</v>
      </c>
      <c r="N2515" t="s">
        <v>23</v>
      </c>
      <c r="O2515">
        <v>42</v>
      </c>
      <c r="P2515" t="s">
        <v>25</v>
      </c>
      <c r="Q2515" t="s">
        <v>49</v>
      </c>
      <c r="R2515" s="1">
        <v>0.1</v>
      </c>
      <c r="S2515">
        <f t="shared" si="156"/>
        <v>47.7</v>
      </c>
      <c r="T2515">
        <f>IFERROR(VLOOKUP(A2515,Table1[[Customer ID]:[Discount Amount]], 6, FALSE),"Not Found")</f>
        <v>53</v>
      </c>
      <c r="U2515" t="str">
        <f t="shared" si="157"/>
        <v>Cash</v>
      </c>
      <c r="V2515" s="4" t="str">
        <f t="shared" si="158"/>
        <v>Normal</v>
      </c>
      <c r="W2515" s="4" t="str">
        <f t="shared" si="159"/>
        <v>Good</v>
      </c>
      <c r="X2515" s="4">
        <f>AVERAGE(Table1[Purchase Amount])</f>
        <v>129.48419400000012</v>
      </c>
    </row>
    <row r="2516" spans="1:24" ht="15" customHeight="1" x14ac:dyDescent="0.25">
      <c r="A2516">
        <v>2515</v>
      </c>
      <c r="B2516">
        <v>42</v>
      </c>
      <c r="C2516" t="s">
        <v>27</v>
      </c>
      <c r="D2516" t="s">
        <v>64</v>
      </c>
      <c r="E2516" t="s">
        <v>29</v>
      </c>
      <c r="F2516" s="2">
        <v>37</v>
      </c>
      <c r="G2516" t="s">
        <v>148</v>
      </c>
      <c r="H2516" t="s">
        <v>45</v>
      </c>
      <c r="I2516" t="s">
        <v>147</v>
      </c>
      <c r="J2516" t="s">
        <v>33</v>
      </c>
      <c r="K2516">
        <v>4.8</v>
      </c>
      <c r="L2516" t="s">
        <v>23</v>
      </c>
      <c r="M2516" t="s">
        <v>35</v>
      </c>
      <c r="N2516" t="s">
        <v>23</v>
      </c>
      <c r="O2516">
        <v>45</v>
      </c>
      <c r="P2516" t="s">
        <v>58</v>
      </c>
      <c r="Q2516" t="s">
        <v>68</v>
      </c>
      <c r="R2516" s="1">
        <v>0.1</v>
      </c>
      <c r="S2516">
        <f t="shared" si="156"/>
        <v>33.299999999999997</v>
      </c>
      <c r="T2516">
        <f>IFERROR(VLOOKUP(A2516,Table1[[Customer ID]:[Discount Amount]], 6, FALSE),"Not Found")</f>
        <v>37</v>
      </c>
      <c r="U2516" t="str">
        <f t="shared" si="157"/>
        <v>PayPal</v>
      </c>
      <c r="V2516" s="4" t="str">
        <f t="shared" si="158"/>
        <v>Normal</v>
      </c>
      <c r="W2516" s="4" t="str">
        <f t="shared" si="159"/>
        <v>Good</v>
      </c>
      <c r="X2516" s="4">
        <f>AVERAGE(Table1[Purchase Amount])</f>
        <v>129.48419400000012</v>
      </c>
    </row>
    <row r="2517" spans="1:24" ht="15" customHeight="1" x14ac:dyDescent="0.25">
      <c r="A2517">
        <v>2516</v>
      </c>
      <c r="B2517">
        <v>37</v>
      </c>
      <c r="C2517" t="s">
        <v>27</v>
      </c>
      <c r="D2517" t="s">
        <v>118</v>
      </c>
      <c r="E2517" t="s">
        <v>18</v>
      </c>
      <c r="F2517" s="2">
        <v>92</v>
      </c>
      <c r="G2517" t="s">
        <v>124</v>
      </c>
      <c r="H2517" t="s">
        <v>31</v>
      </c>
      <c r="I2517" t="s">
        <v>87</v>
      </c>
      <c r="J2517" t="s">
        <v>57</v>
      </c>
      <c r="K2517">
        <v>4.2</v>
      </c>
      <c r="L2517" t="s">
        <v>23</v>
      </c>
      <c r="M2517" t="s">
        <v>41</v>
      </c>
      <c r="N2517" t="s">
        <v>23</v>
      </c>
      <c r="O2517">
        <v>41</v>
      </c>
      <c r="P2517" t="s">
        <v>25</v>
      </c>
      <c r="Q2517" t="s">
        <v>42</v>
      </c>
      <c r="R2517" s="1">
        <v>0.1</v>
      </c>
      <c r="S2517">
        <f t="shared" si="156"/>
        <v>82.8</v>
      </c>
      <c r="T2517">
        <f>IFERROR(VLOOKUP(A2517,Table1[[Customer ID]:[Discount Amount]], 6, FALSE),"Not Found")</f>
        <v>92</v>
      </c>
      <c r="U2517" t="str">
        <f t="shared" si="157"/>
        <v>Cash</v>
      </c>
      <c r="V2517" s="4" t="str">
        <f t="shared" si="158"/>
        <v>Normal</v>
      </c>
      <c r="W2517" s="4" t="str">
        <f t="shared" si="159"/>
        <v>Good</v>
      </c>
      <c r="X2517" s="4">
        <f>AVERAGE(Table1[Purchase Amount])</f>
        <v>129.48419400000012</v>
      </c>
    </row>
    <row r="2518" spans="1:24" ht="15" customHeight="1" x14ac:dyDescent="0.25">
      <c r="A2518">
        <v>2517</v>
      </c>
      <c r="B2518">
        <v>46</v>
      </c>
      <c r="C2518" t="s">
        <v>27</v>
      </c>
      <c r="D2518" t="s">
        <v>54</v>
      </c>
      <c r="E2518" t="s">
        <v>18</v>
      </c>
      <c r="F2518" s="2">
        <v>73</v>
      </c>
      <c r="G2518" t="s">
        <v>144</v>
      </c>
      <c r="H2518" t="s">
        <v>20</v>
      </c>
      <c r="I2518" t="s">
        <v>60</v>
      </c>
      <c r="J2518" t="s">
        <v>33</v>
      </c>
      <c r="K2518">
        <v>4.5999999999999996</v>
      </c>
      <c r="L2518" t="s">
        <v>23</v>
      </c>
      <c r="M2518" t="s">
        <v>24</v>
      </c>
      <c r="N2518" t="s">
        <v>23</v>
      </c>
      <c r="O2518">
        <v>36</v>
      </c>
      <c r="P2518" t="s">
        <v>36</v>
      </c>
      <c r="Q2518" t="s">
        <v>37</v>
      </c>
      <c r="R2518" s="1">
        <v>0.1</v>
      </c>
      <c r="S2518">
        <f t="shared" si="156"/>
        <v>65.7</v>
      </c>
      <c r="T2518">
        <f>IFERROR(VLOOKUP(A2518,Table1[[Customer ID]:[Discount Amount]], 6, FALSE),"Not Found")</f>
        <v>73</v>
      </c>
      <c r="U2518" t="str">
        <f t="shared" si="157"/>
        <v>Debit Card</v>
      </c>
      <c r="V2518" s="4" t="str">
        <f t="shared" si="158"/>
        <v>Normal</v>
      </c>
      <c r="W2518" s="4" t="str">
        <f t="shared" si="159"/>
        <v>Good</v>
      </c>
      <c r="X2518" s="4">
        <f>AVERAGE(Table1[Purchase Amount])</f>
        <v>129.48419400000012</v>
      </c>
    </row>
    <row r="2519" spans="1:24" ht="15" customHeight="1" x14ac:dyDescent="0.25">
      <c r="A2519">
        <v>2518</v>
      </c>
      <c r="B2519">
        <v>64</v>
      </c>
      <c r="C2519" t="s">
        <v>27</v>
      </c>
      <c r="D2519" t="s">
        <v>38</v>
      </c>
      <c r="E2519" t="s">
        <v>18</v>
      </c>
      <c r="F2519" s="2">
        <v>38</v>
      </c>
      <c r="G2519" t="s">
        <v>162</v>
      </c>
      <c r="H2519" t="s">
        <v>45</v>
      </c>
      <c r="I2519" t="s">
        <v>108</v>
      </c>
      <c r="J2519" t="s">
        <v>33</v>
      </c>
      <c r="K2519">
        <v>2.9</v>
      </c>
      <c r="L2519" t="s">
        <v>23</v>
      </c>
      <c r="M2519" t="s">
        <v>24</v>
      </c>
      <c r="N2519" t="s">
        <v>23</v>
      </c>
      <c r="O2519">
        <v>10</v>
      </c>
      <c r="P2519" t="s">
        <v>62</v>
      </c>
      <c r="Q2519" t="s">
        <v>49</v>
      </c>
      <c r="R2519" s="1">
        <v>0.1</v>
      </c>
      <c r="S2519">
        <f t="shared" si="156"/>
        <v>34.200000000000003</v>
      </c>
      <c r="T2519">
        <f>IFERROR(VLOOKUP(A2519,Table1[[Customer ID]:[Discount Amount]], 6, FALSE),"Not Found")</f>
        <v>38</v>
      </c>
      <c r="U2519" t="str">
        <f t="shared" si="157"/>
        <v>Venmo</v>
      </c>
      <c r="V2519" s="4" t="str">
        <f t="shared" si="158"/>
        <v>Normal</v>
      </c>
      <c r="W2519" s="4" t="str">
        <f t="shared" si="159"/>
        <v>Poor</v>
      </c>
      <c r="X2519" s="4">
        <f>AVERAGE(Table1[Purchase Amount])</f>
        <v>129.48419400000012</v>
      </c>
    </row>
    <row r="2520" spans="1:24" ht="15" customHeight="1" x14ac:dyDescent="0.25">
      <c r="A2520">
        <v>2519</v>
      </c>
      <c r="B2520">
        <v>20</v>
      </c>
      <c r="C2520" t="s">
        <v>27</v>
      </c>
      <c r="D2520" t="s">
        <v>151</v>
      </c>
      <c r="E2520" t="s">
        <v>98</v>
      </c>
      <c r="F2520" s="2">
        <v>51</v>
      </c>
      <c r="G2520" t="s">
        <v>94</v>
      </c>
      <c r="H2520" t="s">
        <v>20</v>
      </c>
      <c r="I2520" t="s">
        <v>74</v>
      </c>
      <c r="J2520" t="s">
        <v>47</v>
      </c>
      <c r="K2520">
        <v>4</v>
      </c>
      <c r="L2520" t="s">
        <v>23</v>
      </c>
      <c r="M2520" t="s">
        <v>48</v>
      </c>
      <c r="N2520" t="s">
        <v>23</v>
      </c>
      <c r="O2520">
        <v>31</v>
      </c>
      <c r="P2520" t="s">
        <v>62</v>
      </c>
      <c r="Q2520" t="s">
        <v>49</v>
      </c>
      <c r="R2520" s="1">
        <v>0.1</v>
      </c>
      <c r="S2520">
        <f t="shared" si="156"/>
        <v>45.9</v>
      </c>
      <c r="T2520">
        <f>IFERROR(VLOOKUP(A2520,Table1[[Customer ID]:[Discount Amount]], 6, FALSE),"Not Found")</f>
        <v>51</v>
      </c>
      <c r="U2520" t="str">
        <f t="shared" si="157"/>
        <v>Venmo</v>
      </c>
      <c r="V2520" s="4" t="str">
        <f t="shared" si="158"/>
        <v>Normal</v>
      </c>
      <c r="W2520" s="4" t="str">
        <f t="shared" si="159"/>
        <v>Good</v>
      </c>
      <c r="X2520" s="4">
        <f>AVERAGE(Table1[Purchase Amount])</f>
        <v>129.48419400000012</v>
      </c>
    </row>
    <row r="2521" spans="1:24" ht="15" customHeight="1" x14ac:dyDescent="0.25">
      <c r="A2521">
        <v>2520</v>
      </c>
      <c r="B2521">
        <v>40</v>
      </c>
      <c r="C2521" t="s">
        <v>27</v>
      </c>
      <c r="D2521" t="s">
        <v>96</v>
      </c>
      <c r="E2521" t="s">
        <v>77</v>
      </c>
      <c r="F2521" s="2">
        <v>90</v>
      </c>
      <c r="G2521" t="s">
        <v>113</v>
      </c>
      <c r="H2521" t="s">
        <v>45</v>
      </c>
      <c r="I2521" t="s">
        <v>87</v>
      </c>
      <c r="J2521" t="s">
        <v>33</v>
      </c>
      <c r="K2521">
        <v>4.9000000000000004</v>
      </c>
      <c r="L2521" t="s">
        <v>23</v>
      </c>
      <c r="M2521" t="s">
        <v>24</v>
      </c>
      <c r="N2521" t="s">
        <v>23</v>
      </c>
      <c r="O2521">
        <v>21</v>
      </c>
      <c r="P2521" t="s">
        <v>53</v>
      </c>
      <c r="Q2521" t="s">
        <v>37</v>
      </c>
      <c r="R2521" s="1">
        <v>0.1</v>
      </c>
      <c r="S2521">
        <f t="shared" si="156"/>
        <v>81</v>
      </c>
      <c r="T2521">
        <f>IFERROR(VLOOKUP(A2521,Table1[[Customer ID]:[Discount Amount]], 6, FALSE),"Not Found")</f>
        <v>90</v>
      </c>
      <c r="U2521" t="str">
        <f t="shared" si="157"/>
        <v>Credit Card</v>
      </c>
      <c r="V2521" s="4" t="str">
        <f t="shared" si="158"/>
        <v>Normal</v>
      </c>
      <c r="W2521" s="4" t="str">
        <f t="shared" si="159"/>
        <v>Good</v>
      </c>
      <c r="X2521" s="4">
        <f>AVERAGE(Table1[Purchase Amount])</f>
        <v>129.48419400000012</v>
      </c>
    </row>
    <row r="2522" spans="1:24" ht="15" customHeight="1" x14ac:dyDescent="0.25">
      <c r="A2522">
        <v>2521</v>
      </c>
      <c r="B2522">
        <v>64</v>
      </c>
      <c r="C2522" t="s">
        <v>27</v>
      </c>
      <c r="D2522" t="s">
        <v>96</v>
      </c>
      <c r="E2522" t="s">
        <v>77</v>
      </c>
      <c r="F2522" s="2">
        <v>56</v>
      </c>
      <c r="G2522" t="s">
        <v>44</v>
      </c>
      <c r="H2522" t="s">
        <v>45</v>
      </c>
      <c r="I2522" t="s">
        <v>87</v>
      </c>
      <c r="J2522" t="s">
        <v>57</v>
      </c>
      <c r="K2522">
        <v>3.1</v>
      </c>
      <c r="L2522" t="s">
        <v>23</v>
      </c>
      <c r="M2522" t="s">
        <v>79</v>
      </c>
      <c r="N2522" t="s">
        <v>23</v>
      </c>
      <c r="O2522">
        <v>16</v>
      </c>
      <c r="P2522" t="s">
        <v>25</v>
      </c>
      <c r="Q2522" t="s">
        <v>63</v>
      </c>
      <c r="R2522" s="1">
        <v>0.1</v>
      </c>
      <c r="S2522">
        <f t="shared" si="156"/>
        <v>50.4</v>
      </c>
      <c r="T2522">
        <f>IFERROR(VLOOKUP(A2522,Table1[[Customer ID]:[Discount Amount]], 6, FALSE),"Not Found")</f>
        <v>56</v>
      </c>
      <c r="U2522" t="str">
        <f t="shared" si="157"/>
        <v>Cash</v>
      </c>
      <c r="V2522" s="4" t="str">
        <f t="shared" si="158"/>
        <v>Normal</v>
      </c>
      <c r="W2522" s="4" t="str">
        <f t="shared" si="159"/>
        <v>Good</v>
      </c>
      <c r="X2522" s="4">
        <f>AVERAGE(Table1[Purchase Amount])</f>
        <v>129.48419400000012</v>
      </c>
    </row>
    <row r="2523" spans="1:24" ht="15" customHeight="1" x14ac:dyDescent="0.25">
      <c r="A2523">
        <v>2522</v>
      </c>
      <c r="B2523">
        <v>29</v>
      </c>
      <c r="C2523" t="s">
        <v>27</v>
      </c>
      <c r="D2523" t="s">
        <v>69</v>
      </c>
      <c r="E2523" t="s">
        <v>29</v>
      </c>
      <c r="F2523" s="2">
        <v>33</v>
      </c>
      <c r="G2523" t="s">
        <v>120</v>
      </c>
      <c r="H2523" t="s">
        <v>31</v>
      </c>
      <c r="I2523" t="s">
        <v>87</v>
      </c>
      <c r="J2523" t="s">
        <v>47</v>
      </c>
      <c r="K2523">
        <v>4.4000000000000004</v>
      </c>
      <c r="L2523" t="s">
        <v>23</v>
      </c>
      <c r="M2523" t="s">
        <v>24</v>
      </c>
      <c r="N2523" t="s">
        <v>23</v>
      </c>
      <c r="O2523">
        <v>18</v>
      </c>
      <c r="P2523" t="s">
        <v>58</v>
      </c>
      <c r="Q2523" t="s">
        <v>63</v>
      </c>
      <c r="R2523" s="1">
        <v>0.1</v>
      </c>
      <c r="S2523">
        <f t="shared" si="156"/>
        <v>29.7</v>
      </c>
      <c r="T2523">
        <f>IFERROR(VLOOKUP(A2523,Table1[[Customer ID]:[Discount Amount]], 6, FALSE),"Not Found")</f>
        <v>33</v>
      </c>
      <c r="U2523" t="str">
        <f t="shared" si="157"/>
        <v>PayPal</v>
      </c>
      <c r="V2523" s="4" t="str">
        <f t="shared" si="158"/>
        <v>Normal</v>
      </c>
      <c r="W2523" s="4" t="str">
        <f t="shared" si="159"/>
        <v>Good</v>
      </c>
      <c r="X2523" s="4">
        <f>AVERAGE(Table1[Purchase Amount])</f>
        <v>129.48419400000012</v>
      </c>
    </row>
    <row r="2524" spans="1:24" ht="15" customHeight="1" x14ac:dyDescent="0.25">
      <c r="A2524">
        <v>2523</v>
      </c>
      <c r="B2524">
        <v>20</v>
      </c>
      <c r="C2524" t="s">
        <v>27</v>
      </c>
      <c r="D2524" t="s">
        <v>114</v>
      </c>
      <c r="E2524" t="s">
        <v>29</v>
      </c>
      <c r="F2524" s="2">
        <v>53</v>
      </c>
      <c r="G2524" t="s">
        <v>97</v>
      </c>
      <c r="H2524" t="s">
        <v>55</v>
      </c>
      <c r="I2524" t="s">
        <v>21</v>
      </c>
      <c r="J2524" t="s">
        <v>22</v>
      </c>
      <c r="K2524">
        <v>2.5</v>
      </c>
      <c r="L2524" t="s">
        <v>23</v>
      </c>
      <c r="M2524" t="s">
        <v>41</v>
      </c>
      <c r="N2524" t="s">
        <v>23</v>
      </c>
      <c r="O2524">
        <v>20</v>
      </c>
      <c r="P2524" t="s">
        <v>36</v>
      </c>
      <c r="Q2524" t="s">
        <v>26</v>
      </c>
      <c r="R2524" s="1">
        <v>0.1</v>
      </c>
      <c r="S2524">
        <f t="shared" si="156"/>
        <v>47.7</v>
      </c>
      <c r="T2524">
        <f>IFERROR(VLOOKUP(A2524,Table1[[Customer ID]:[Discount Amount]], 6, FALSE),"Not Found")</f>
        <v>53</v>
      </c>
      <c r="U2524" t="str">
        <f t="shared" si="157"/>
        <v>Debit Card</v>
      </c>
      <c r="V2524" s="4" t="str">
        <f t="shared" si="158"/>
        <v>Normal</v>
      </c>
      <c r="W2524" s="4" t="str">
        <f t="shared" si="159"/>
        <v>Poor</v>
      </c>
      <c r="X2524" s="4">
        <f>AVERAGE(Table1[Purchase Amount])</f>
        <v>129.48419400000012</v>
      </c>
    </row>
    <row r="2525" spans="1:24" ht="15" customHeight="1" x14ac:dyDescent="0.25">
      <c r="A2525">
        <v>2524</v>
      </c>
      <c r="B2525">
        <v>43</v>
      </c>
      <c r="C2525" t="s">
        <v>27</v>
      </c>
      <c r="D2525" t="s">
        <v>69</v>
      </c>
      <c r="E2525" t="s">
        <v>29</v>
      </c>
      <c r="F2525" s="2">
        <v>24</v>
      </c>
      <c r="G2525" t="s">
        <v>131</v>
      </c>
      <c r="H2525" t="s">
        <v>55</v>
      </c>
      <c r="I2525" t="s">
        <v>128</v>
      </c>
      <c r="J2525" t="s">
        <v>33</v>
      </c>
      <c r="K2525">
        <v>3.4</v>
      </c>
      <c r="L2525" t="s">
        <v>23</v>
      </c>
      <c r="M2525" t="s">
        <v>61</v>
      </c>
      <c r="N2525" t="s">
        <v>23</v>
      </c>
      <c r="O2525">
        <v>21</v>
      </c>
      <c r="P2525" t="s">
        <v>88</v>
      </c>
      <c r="Q2525" t="s">
        <v>49</v>
      </c>
      <c r="R2525" s="1">
        <v>0.1</v>
      </c>
      <c r="S2525">
        <f t="shared" si="156"/>
        <v>21.6</v>
      </c>
      <c r="T2525">
        <f>IFERROR(VLOOKUP(A2525,Table1[[Customer ID]:[Discount Amount]], 6, FALSE),"Not Found")</f>
        <v>24</v>
      </c>
      <c r="U2525" t="str">
        <f t="shared" si="157"/>
        <v>Bank Transfer</v>
      </c>
      <c r="V2525" s="4" t="str">
        <f t="shared" si="158"/>
        <v>Normal</v>
      </c>
      <c r="W2525" s="4" t="str">
        <f t="shared" si="159"/>
        <v>Good</v>
      </c>
      <c r="X2525" s="4">
        <f>AVERAGE(Table1[Purchase Amount])</f>
        <v>129.48419400000012</v>
      </c>
    </row>
    <row r="2526" spans="1:24" ht="15" customHeight="1" x14ac:dyDescent="0.25">
      <c r="A2526">
        <v>2525</v>
      </c>
      <c r="B2526">
        <v>60</v>
      </c>
      <c r="C2526" t="s">
        <v>27</v>
      </c>
      <c r="D2526" t="s">
        <v>76</v>
      </c>
      <c r="E2526" t="s">
        <v>77</v>
      </c>
      <c r="F2526" s="2">
        <v>59</v>
      </c>
      <c r="G2526" t="s">
        <v>124</v>
      </c>
      <c r="H2526" t="s">
        <v>31</v>
      </c>
      <c r="I2526" t="s">
        <v>66</v>
      </c>
      <c r="J2526" t="s">
        <v>33</v>
      </c>
      <c r="K2526">
        <v>3.7</v>
      </c>
      <c r="L2526" t="s">
        <v>23</v>
      </c>
      <c r="M2526" t="s">
        <v>61</v>
      </c>
      <c r="N2526" t="s">
        <v>23</v>
      </c>
      <c r="O2526">
        <v>23</v>
      </c>
      <c r="P2526" t="s">
        <v>53</v>
      </c>
      <c r="Q2526" t="s">
        <v>37</v>
      </c>
      <c r="R2526" s="1">
        <v>0.1</v>
      </c>
      <c r="S2526">
        <f t="shared" si="156"/>
        <v>53.1</v>
      </c>
      <c r="T2526">
        <f>IFERROR(VLOOKUP(A2526,Table1[[Customer ID]:[Discount Amount]], 6, FALSE),"Not Found")</f>
        <v>59</v>
      </c>
      <c r="U2526" t="str">
        <f t="shared" si="157"/>
        <v>Credit Card</v>
      </c>
      <c r="V2526" s="4" t="str">
        <f t="shared" si="158"/>
        <v>Normal</v>
      </c>
      <c r="W2526" s="4" t="str">
        <f t="shared" si="159"/>
        <v>Good</v>
      </c>
      <c r="X2526" s="4">
        <f>AVERAGE(Table1[Purchase Amount])</f>
        <v>129.48419400000012</v>
      </c>
    </row>
    <row r="2527" spans="1:24" ht="15" customHeight="1" x14ac:dyDescent="0.25">
      <c r="A2527">
        <v>2526</v>
      </c>
      <c r="B2527">
        <v>39</v>
      </c>
      <c r="C2527" t="s">
        <v>27</v>
      </c>
      <c r="D2527" t="s">
        <v>127</v>
      </c>
      <c r="E2527" t="s">
        <v>18</v>
      </c>
      <c r="F2527" s="2">
        <v>72</v>
      </c>
      <c r="G2527" t="s">
        <v>70</v>
      </c>
      <c r="H2527" t="s">
        <v>31</v>
      </c>
      <c r="I2527" t="s">
        <v>66</v>
      </c>
      <c r="J2527" t="s">
        <v>22</v>
      </c>
      <c r="K2527">
        <v>4.2</v>
      </c>
      <c r="L2527" t="s">
        <v>23</v>
      </c>
      <c r="M2527" t="s">
        <v>24</v>
      </c>
      <c r="N2527" t="s">
        <v>23</v>
      </c>
      <c r="O2527">
        <v>20</v>
      </c>
      <c r="P2527" t="s">
        <v>58</v>
      </c>
      <c r="Q2527" t="s">
        <v>26</v>
      </c>
      <c r="R2527" s="1">
        <v>0.1</v>
      </c>
      <c r="S2527">
        <f t="shared" si="156"/>
        <v>64.8</v>
      </c>
      <c r="T2527">
        <f>IFERROR(VLOOKUP(A2527,Table1[[Customer ID]:[Discount Amount]], 6, FALSE),"Not Found")</f>
        <v>72</v>
      </c>
      <c r="U2527" t="str">
        <f t="shared" si="157"/>
        <v>PayPal</v>
      </c>
      <c r="V2527" s="4" t="str">
        <f t="shared" si="158"/>
        <v>Normal</v>
      </c>
      <c r="W2527" s="4" t="str">
        <f t="shared" si="159"/>
        <v>Good</v>
      </c>
      <c r="X2527" s="4">
        <f>AVERAGE(Table1[Purchase Amount])</f>
        <v>129.48419400000012</v>
      </c>
    </row>
    <row r="2528" spans="1:24" ht="15" customHeight="1" x14ac:dyDescent="0.25">
      <c r="A2528">
        <v>2527</v>
      </c>
      <c r="B2528">
        <v>47</v>
      </c>
      <c r="C2528" t="s">
        <v>27</v>
      </c>
      <c r="D2528" t="s">
        <v>54</v>
      </c>
      <c r="E2528" t="s">
        <v>18</v>
      </c>
      <c r="F2528" s="2">
        <v>28</v>
      </c>
      <c r="G2528" t="s">
        <v>159</v>
      </c>
      <c r="H2528" t="s">
        <v>55</v>
      </c>
      <c r="I2528" t="s">
        <v>145</v>
      </c>
      <c r="J2528" t="s">
        <v>33</v>
      </c>
      <c r="K2528">
        <v>3.4</v>
      </c>
      <c r="L2528" t="s">
        <v>23</v>
      </c>
      <c r="M2528" t="s">
        <v>61</v>
      </c>
      <c r="N2528" t="s">
        <v>23</v>
      </c>
      <c r="O2528">
        <v>30</v>
      </c>
      <c r="P2528" t="s">
        <v>58</v>
      </c>
      <c r="Q2528" t="s">
        <v>68</v>
      </c>
      <c r="R2528" s="1">
        <v>0.1</v>
      </c>
      <c r="S2528">
        <f t="shared" si="156"/>
        <v>25.2</v>
      </c>
      <c r="T2528">
        <f>IFERROR(VLOOKUP(A2528,Table1[[Customer ID]:[Discount Amount]], 6, FALSE),"Not Found")</f>
        <v>28</v>
      </c>
      <c r="U2528" t="str">
        <f t="shared" si="157"/>
        <v>PayPal</v>
      </c>
      <c r="V2528" s="4" t="str">
        <f t="shared" si="158"/>
        <v>Normal</v>
      </c>
      <c r="W2528" s="4" t="str">
        <f t="shared" si="159"/>
        <v>Good</v>
      </c>
      <c r="X2528" s="4">
        <f>AVERAGE(Table1[Purchase Amount])</f>
        <v>129.48419400000012</v>
      </c>
    </row>
    <row r="2529" spans="1:24" ht="15" customHeight="1" x14ac:dyDescent="0.25">
      <c r="A2529">
        <v>2528</v>
      </c>
      <c r="B2529">
        <v>19</v>
      </c>
      <c r="C2529" t="s">
        <v>27</v>
      </c>
      <c r="D2529" t="s">
        <v>99</v>
      </c>
      <c r="E2529" t="s">
        <v>18</v>
      </c>
      <c r="F2529" s="2">
        <v>36</v>
      </c>
      <c r="G2529" t="s">
        <v>44</v>
      </c>
      <c r="H2529" t="s">
        <v>31</v>
      </c>
      <c r="I2529" t="s">
        <v>133</v>
      </c>
      <c r="J2529" t="s">
        <v>47</v>
      </c>
      <c r="K2529">
        <v>3.6</v>
      </c>
      <c r="L2529" t="s">
        <v>23</v>
      </c>
      <c r="M2529" t="s">
        <v>61</v>
      </c>
      <c r="N2529" t="s">
        <v>23</v>
      </c>
      <c r="O2529">
        <v>33</v>
      </c>
      <c r="P2529" t="s">
        <v>88</v>
      </c>
      <c r="Q2529" t="s">
        <v>63</v>
      </c>
      <c r="R2529" s="1">
        <v>0.1</v>
      </c>
      <c r="S2529">
        <f t="shared" si="156"/>
        <v>32.4</v>
      </c>
      <c r="T2529">
        <f>IFERROR(VLOOKUP(A2529,Table1[[Customer ID]:[Discount Amount]], 6, FALSE),"Not Found")</f>
        <v>36</v>
      </c>
      <c r="U2529" t="str">
        <f t="shared" si="157"/>
        <v>Bank Transfer</v>
      </c>
      <c r="V2529" s="4" t="str">
        <f t="shared" si="158"/>
        <v>Normal</v>
      </c>
      <c r="W2529" s="4" t="str">
        <f t="shared" si="159"/>
        <v>Good</v>
      </c>
      <c r="X2529" s="4">
        <f>AVERAGE(Table1[Purchase Amount])</f>
        <v>129.48419400000012</v>
      </c>
    </row>
    <row r="2530" spans="1:24" ht="15" customHeight="1" x14ac:dyDescent="0.25">
      <c r="A2530">
        <v>2529</v>
      </c>
      <c r="B2530">
        <v>52</v>
      </c>
      <c r="C2530" t="s">
        <v>27</v>
      </c>
      <c r="D2530" t="s">
        <v>50</v>
      </c>
      <c r="E2530" t="s">
        <v>29</v>
      </c>
      <c r="F2530" s="2">
        <v>47</v>
      </c>
      <c r="G2530" t="s">
        <v>51</v>
      </c>
      <c r="H2530" t="s">
        <v>55</v>
      </c>
      <c r="I2530" t="s">
        <v>145</v>
      </c>
      <c r="J2530" t="s">
        <v>47</v>
      </c>
      <c r="K2530">
        <v>4.7</v>
      </c>
      <c r="L2530" t="s">
        <v>23</v>
      </c>
      <c r="M2530" t="s">
        <v>41</v>
      </c>
      <c r="N2530" t="s">
        <v>23</v>
      </c>
      <c r="O2530">
        <v>31</v>
      </c>
      <c r="P2530" t="s">
        <v>36</v>
      </c>
      <c r="Q2530" t="s">
        <v>42</v>
      </c>
      <c r="R2530" s="1">
        <v>0.1</v>
      </c>
      <c r="S2530">
        <f t="shared" si="156"/>
        <v>42.3</v>
      </c>
      <c r="T2530">
        <f>IFERROR(VLOOKUP(A2530,Table1[[Customer ID]:[Discount Amount]], 6, FALSE),"Not Found")</f>
        <v>47</v>
      </c>
      <c r="U2530" t="str">
        <f t="shared" si="157"/>
        <v>Debit Card</v>
      </c>
      <c r="V2530" s="4" t="str">
        <f t="shared" si="158"/>
        <v>Normal</v>
      </c>
      <c r="W2530" s="4" t="str">
        <f t="shared" si="159"/>
        <v>Good</v>
      </c>
      <c r="X2530" s="4">
        <f>AVERAGE(Table1[Purchase Amount])</f>
        <v>129.48419400000012</v>
      </c>
    </row>
    <row r="2531" spans="1:24" ht="15" customHeight="1" x14ac:dyDescent="0.25">
      <c r="A2531">
        <v>2530</v>
      </c>
      <c r="B2531">
        <v>34</v>
      </c>
      <c r="C2531" t="s">
        <v>27</v>
      </c>
      <c r="D2531" t="s">
        <v>43</v>
      </c>
      <c r="E2531" t="s">
        <v>29</v>
      </c>
      <c r="F2531" s="2">
        <v>62</v>
      </c>
      <c r="G2531" t="s">
        <v>65</v>
      </c>
      <c r="H2531" t="s">
        <v>31</v>
      </c>
      <c r="I2531" t="s">
        <v>87</v>
      </c>
      <c r="J2531" t="s">
        <v>33</v>
      </c>
      <c r="K2531">
        <v>4.7</v>
      </c>
      <c r="L2531" t="s">
        <v>23</v>
      </c>
      <c r="M2531" t="s">
        <v>79</v>
      </c>
      <c r="N2531" t="s">
        <v>23</v>
      </c>
      <c r="O2531">
        <v>48</v>
      </c>
      <c r="P2531" t="s">
        <v>88</v>
      </c>
      <c r="Q2531" t="s">
        <v>42</v>
      </c>
      <c r="R2531" s="1">
        <v>0.1</v>
      </c>
      <c r="S2531">
        <f t="shared" si="156"/>
        <v>55.8</v>
      </c>
      <c r="T2531">
        <f>IFERROR(VLOOKUP(A2531,Table1[[Customer ID]:[Discount Amount]], 6, FALSE),"Not Found")</f>
        <v>62</v>
      </c>
      <c r="U2531" t="str">
        <f t="shared" si="157"/>
        <v>Bank Transfer</v>
      </c>
      <c r="V2531" s="4" t="str">
        <f t="shared" si="158"/>
        <v>Normal</v>
      </c>
      <c r="W2531" s="4" t="str">
        <f t="shared" si="159"/>
        <v>Good</v>
      </c>
      <c r="X2531" s="4">
        <f>AVERAGE(Table1[Purchase Amount])</f>
        <v>129.48419400000012</v>
      </c>
    </row>
    <row r="2532" spans="1:24" ht="15" customHeight="1" x14ac:dyDescent="0.25">
      <c r="A2532">
        <v>2531</v>
      </c>
      <c r="B2532">
        <v>25</v>
      </c>
      <c r="C2532" t="s">
        <v>27</v>
      </c>
      <c r="D2532" t="s">
        <v>122</v>
      </c>
      <c r="E2532" t="s">
        <v>18</v>
      </c>
      <c r="F2532" s="2">
        <v>98</v>
      </c>
      <c r="G2532" t="s">
        <v>97</v>
      </c>
      <c r="H2532" t="s">
        <v>55</v>
      </c>
      <c r="I2532" t="s">
        <v>128</v>
      </c>
      <c r="J2532" t="s">
        <v>33</v>
      </c>
      <c r="K2532">
        <v>3.6</v>
      </c>
      <c r="L2532" t="s">
        <v>23</v>
      </c>
      <c r="M2532" t="s">
        <v>35</v>
      </c>
      <c r="N2532" t="s">
        <v>23</v>
      </c>
      <c r="O2532">
        <v>28</v>
      </c>
      <c r="P2532" t="s">
        <v>36</v>
      </c>
      <c r="Q2532" t="s">
        <v>26</v>
      </c>
      <c r="R2532" s="1">
        <v>0.1</v>
      </c>
      <c r="S2532">
        <f t="shared" si="156"/>
        <v>88.2</v>
      </c>
      <c r="T2532">
        <f>IFERROR(VLOOKUP(A2532,Table1[[Customer ID]:[Discount Amount]], 6, FALSE),"Not Found")</f>
        <v>98</v>
      </c>
      <c r="U2532" t="str">
        <f t="shared" si="157"/>
        <v>Debit Card</v>
      </c>
      <c r="V2532" s="4" t="str">
        <f t="shared" si="158"/>
        <v>Normal</v>
      </c>
      <c r="W2532" s="4" t="str">
        <f t="shared" si="159"/>
        <v>Good</v>
      </c>
      <c r="X2532" s="4">
        <f>AVERAGE(Table1[Purchase Amount])</f>
        <v>129.48419400000012</v>
      </c>
    </row>
    <row r="2533" spans="1:24" ht="15" customHeight="1" x14ac:dyDescent="0.25">
      <c r="A2533">
        <v>2532</v>
      </c>
      <c r="B2533">
        <v>43</v>
      </c>
      <c r="C2533" t="s">
        <v>27</v>
      </c>
      <c r="D2533" t="s">
        <v>121</v>
      </c>
      <c r="E2533" t="s">
        <v>98</v>
      </c>
      <c r="F2533" s="2">
        <v>28</v>
      </c>
      <c r="G2533" t="s">
        <v>152</v>
      </c>
      <c r="H2533" t="s">
        <v>31</v>
      </c>
      <c r="I2533" t="s">
        <v>111</v>
      </c>
      <c r="J2533" t="s">
        <v>57</v>
      </c>
      <c r="K2533">
        <v>4.5999999999999996</v>
      </c>
      <c r="L2533" t="s">
        <v>23</v>
      </c>
      <c r="M2533" t="s">
        <v>35</v>
      </c>
      <c r="N2533" t="s">
        <v>23</v>
      </c>
      <c r="O2533">
        <v>7</v>
      </c>
      <c r="P2533" t="s">
        <v>25</v>
      </c>
      <c r="Q2533" t="s">
        <v>63</v>
      </c>
      <c r="R2533" s="1">
        <v>0.1</v>
      </c>
      <c r="S2533">
        <f t="shared" si="156"/>
        <v>25.2</v>
      </c>
      <c r="T2533">
        <f>IFERROR(VLOOKUP(A2533,Table1[[Customer ID]:[Discount Amount]], 6, FALSE),"Not Found")</f>
        <v>28</v>
      </c>
      <c r="U2533" t="str">
        <f t="shared" si="157"/>
        <v>Cash</v>
      </c>
      <c r="V2533" s="4" t="str">
        <f t="shared" si="158"/>
        <v>Normal</v>
      </c>
      <c r="W2533" s="4" t="str">
        <f t="shared" si="159"/>
        <v>Good</v>
      </c>
      <c r="X2533" s="4">
        <f>AVERAGE(Table1[Purchase Amount])</f>
        <v>129.48419400000012</v>
      </c>
    </row>
    <row r="2534" spans="1:24" ht="15" customHeight="1" x14ac:dyDescent="0.25">
      <c r="A2534">
        <v>2533</v>
      </c>
      <c r="B2534">
        <v>55</v>
      </c>
      <c r="C2534" t="s">
        <v>27</v>
      </c>
      <c r="D2534" t="s">
        <v>105</v>
      </c>
      <c r="E2534" t="s">
        <v>18</v>
      </c>
      <c r="F2534" s="2">
        <v>86</v>
      </c>
      <c r="G2534" t="s">
        <v>137</v>
      </c>
      <c r="H2534" t="s">
        <v>55</v>
      </c>
      <c r="I2534" t="s">
        <v>103</v>
      </c>
      <c r="J2534" t="s">
        <v>57</v>
      </c>
      <c r="K2534">
        <v>2.6</v>
      </c>
      <c r="L2534" t="s">
        <v>23</v>
      </c>
      <c r="M2534" t="s">
        <v>79</v>
      </c>
      <c r="N2534" t="s">
        <v>23</v>
      </c>
      <c r="O2534">
        <v>4</v>
      </c>
      <c r="P2534" t="s">
        <v>36</v>
      </c>
      <c r="Q2534" t="s">
        <v>26</v>
      </c>
      <c r="R2534" s="1">
        <v>0.1</v>
      </c>
      <c r="S2534">
        <f t="shared" si="156"/>
        <v>77.400000000000006</v>
      </c>
      <c r="T2534">
        <f>IFERROR(VLOOKUP(A2534,Table1[[Customer ID]:[Discount Amount]], 6, FALSE),"Not Found")</f>
        <v>86</v>
      </c>
      <c r="U2534" t="str">
        <f t="shared" si="157"/>
        <v>Debit Card</v>
      </c>
      <c r="V2534" s="4" t="str">
        <f t="shared" si="158"/>
        <v>Normal</v>
      </c>
      <c r="W2534" s="4" t="str">
        <f t="shared" si="159"/>
        <v>Poor</v>
      </c>
      <c r="X2534" s="4">
        <f>AVERAGE(Table1[Purchase Amount])</f>
        <v>129.48419400000012</v>
      </c>
    </row>
    <row r="2535" spans="1:24" ht="15" customHeight="1" x14ac:dyDescent="0.25">
      <c r="A2535">
        <v>2534</v>
      </c>
      <c r="B2535">
        <v>66</v>
      </c>
      <c r="C2535" t="s">
        <v>27</v>
      </c>
      <c r="D2535" t="s">
        <v>50</v>
      </c>
      <c r="E2535" t="s">
        <v>29</v>
      </c>
      <c r="F2535" s="2">
        <v>46</v>
      </c>
      <c r="G2535" t="s">
        <v>78</v>
      </c>
      <c r="H2535" t="s">
        <v>55</v>
      </c>
      <c r="I2535" t="s">
        <v>74</v>
      </c>
      <c r="J2535" t="s">
        <v>57</v>
      </c>
      <c r="K2535">
        <v>3.1</v>
      </c>
      <c r="L2535" t="s">
        <v>23</v>
      </c>
      <c r="M2535" t="s">
        <v>24</v>
      </c>
      <c r="N2535" t="s">
        <v>23</v>
      </c>
      <c r="O2535">
        <v>49</v>
      </c>
      <c r="P2535" t="s">
        <v>25</v>
      </c>
      <c r="Q2535" t="s">
        <v>68</v>
      </c>
      <c r="R2535" s="1">
        <v>0.1</v>
      </c>
      <c r="S2535">
        <f t="shared" si="156"/>
        <v>41.4</v>
      </c>
      <c r="T2535">
        <f>IFERROR(VLOOKUP(A2535,Table1[[Customer ID]:[Discount Amount]], 6, FALSE),"Not Found")</f>
        <v>46</v>
      </c>
      <c r="U2535" t="str">
        <f t="shared" si="157"/>
        <v>Cash</v>
      </c>
      <c r="V2535" s="4" t="str">
        <f t="shared" si="158"/>
        <v>Normal</v>
      </c>
      <c r="W2535" s="4" t="str">
        <f t="shared" si="159"/>
        <v>Good</v>
      </c>
      <c r="X2535" s="4">
        <f>AVERAGE(Table1[Purchase Amount])</f>
        <v>129.48419400000012</v>
      </c>
    </row>
    <row r="2536" spans="1:24" ht="15" customHeight="1" x14ac:dyDescent="0.25">
      <c r="A2536">
        <v>2535</v>
      </c>
      <c r="B2536">
        <v>41</v>
      </c>
      <c r="C2536" t="s">
        <v>27</v>
      </c>
      <c r="D2536" t="s">
        <v>28</v>
      </c>
      <c r="E2536" t="s">
        <v>29</v>
      </c>
      <c r="F2536" s="2">
        <v>42</v>
      </c>
      <c r="G2536" t="s">
        <v>138</v>
      </c>
      <c r="H2536" t="s">
        <v>20</v>
      </c>
      <c r="I2536" t="s">
        <v>46</v>
      </c>
      <c r="J2536" t="s">
        <v>47</v>
      </c>
      <c r="K2536">
        <v>3.2</v>
      </c>
      <c r="L2536" t="s">
        <v>23</v>
      </c>
      <c r="M2536" t="s">
        <v>35</v>
      </c>
      <c r="N2536" t="s">
        <v>23</v>
      </c>
      <c r="O2536">
        <v>22</v>
      </c>
      <c r="P2536" t="s">
        <v>25</v>
      </c>
      <c r="Q2536" t="s">
        <v>26</v>
      </c>
      <c r="R2536" s="1">
        <v>0.1</v>
      </c>
      <c r="S2536">
        <f t="shared" si="156"/>
        <v>37.799999999999997</v>
      </c>
      <c r="T2536">
        <f>IFERROR(VLOOKUP(A2536,Table1[[Customer ID]:[Discount Amount]], 6, FALSE),"Not Found")</f>
        <v>42</v>
      </c>
      <c r="U2536" t="str">
        <f t="shared" si="157"/>
        <v>Cash</v>
      </c>
      <c r="V2536" s="4" t="str">
        <f t="shared" si="158"/>
        <v>Normal</v>
      </c>
      <c r="W2536" s="4" t="str">
        <f t="shared" si="159"/>
        <v>Good</v>
      </c>
      <c r="X2536" s="4">
        <f>AVERAGE(Table1[Purchase Amount])</f>
        <v>129.48419400000012</v>
      </c>
    </row>
    <row r="2537" spans="1:24" ht="15" customHeight="1" x14ac:dyDescent="0.25">
      <c r="A2537">
        <v>2536</v>
      </c>
      <c r="B2537">
        <v>47</v>
      </c>
      <c r="C2537" t="s">
        <v>27</v>
      </c>
      <c r="D2537" t="s">
        <v>76</v>
      </c>
      <c r="E2537" t="s">
        <v>77</v>
      </c>
      <c r="F2537" s="2">
        <v>80</v>
      </c>
      <c r="G2537" t="s">
        <v>84</v>
      </c>
      <c r="H2537" t="s">
        <v>55</v>
      </c>
      <c r="I2537" t="s">
        <v>66</v>
      </c>
      <c r="J2537" t="s">
        <v>22</v>
      </c>
      <c r="K2537">
        <v>3.9</v>
      </c>
      <c r="L2537" t="s">
        <v>23</v>
      </c>
      <c r="M2537" t="s">
        <v>61</v>
      </c>
      <c r="N2537" t="s">
        <v>23</v>
      </c>
      <c r="O2537">
        <v>39</v>
      </c>
      <c r="P2537" t="s">
        <v>88</v>
      </c>
      <c r="Q2537" t="s">
        <v>89</v>
      </c>
      <c r="R2537" s="1">
        <v>0.1</v>
      </c>
      <c r="S2537">
        <f t="shared" si="156"/>
        <v>72</v>
      </c>
      <c r="T2537">
        <f>IFERROR(VLOOKUP(A2537,Table1[[Customer ID]:[Discount Amount]], 6, FALSE),"Not Found")</f>
        <v>80</v>
      </c>
      <c r="U2537" t="str">
        <f t="shared" si="157"/>
        <v>Bank Transfer</v>
      </c>
      <c r="V2537" s="4" t="str">
        <f t="shared" si="158"/>
        <v>Normal</v>
      </c>
      <c r="W2537" s="4" t="str">
        <f t="shared" si="159"/>
        <v>Good</v>
      </c>
      <c r="X2537" s="4">
        <f>AVERAGE(Table1[Purchase Amount])</f>
        <v>129.48419400000012</v>
      </c>
    </row>
    <row r="2538" spans="1:24" ht="15" customHeight="1" x14ac:dyDescent="0.25">
      <c r="A2538">
        <v>2537</v>
      </c>
      <c r="B2538">
        <v>51</v>
      </c>
      <c r="C2538" t="s">
        <v>27</v>
      </c>
      <c r="D2538" t="s">
        <v>114</v>
      </c>
      <c r="E2538" t="s">
        <v>29</v>
      </c>
      <c r="F2538" s="2">
        <v>39</v>
      </c>
      <c r="G2538" t="s">
        <v>142</v>
      </c>
      <c r="H2538" t="s">
        <v>45</v>
      </c>
      <c r="I2538" t="s">
        <v>85</v>
      </c>
      <c r="J2538" t="s">
        <v>33</v>
      </c>
      <c r="K2538">
        <v>4.9000000000000004</v>
      </c>
      <c r="L2538" t="s">
        <v>23</v>
      </c>
      <c r="M2538" t="s">
        <v>61</v>
      </c>
      <c r="N2538" t="s">
        <v>23</v>
      </c>
      <c r="O2538">
        <v>45</v>
      </c>
      <c r="P2538" t="s">
        <v>58</v>
      </c>
      <c r="Q2538" t="s">
        <v>63</v>
      </c>
      <c r="R2538" s="1">
        <v>0.1</v>
      </c>
      <c r="S2538">
        <f t="shared" si="156"/>
        <v>35.1</v>
      </c>
      <c r="T2538">
        <f>IFERROR(VLOOKUP(A2538,Table1[[Customer ID]:[Discount Amount]], 6, FALSE),"Not Found")</f>
        <v>39</v>
      </c>
      <c r="U2538" t="str">
        <f t="shared" si="157"/>
        <v>PayPal</v>
      </c>
      <c r="V2538" s="4" t="str">
        <f t="shared" si="158"/>
        <v>Normal</v>
      </c>
      <c r="W2538" s="4" t="str">
        <f t="shared" si="159"/>
        <v>Good</v>
      </c>
      <c r="X2538" s="4">
        <f>AVERAGE(Table1[Purchase Amount])</f>
        <v>129.48419400000012</v>
      </c>
    </row>
    <row r="2539" spans="1:24" ht="15" customHeight="1" x14ac:dyDescent="0.25">
      <c r="A2539">
        <v>2538</v>
      </c>
      <c r="B2539">
        <v>44</v>
      </c>
      <c r="C2539" t="s">
        <v>27</v>
      </c>
      <c r="D2539" t="s">
        <v>76</v>
      </c>
      <c r="E2539" t="s">
        <v>77</v>
      </c>
      <c r="F2539" s="2">
        <v>49</v>
      </c>
      <c r="G2539" t="s">
        <v>94</v>
      </c>
      <c r="H2539" t="s">
        <v>31</v>
      </c>
      <c r="I2539" t="s">
        <v>66</v>
      </c>
      <c r="J2539" t="s">
        <v>57</v>
      </c>
      <c r="K2539">
        <v>4.0999999999999996</v>
      </c>
      <c r="L2539" t="s">
        <v>23</v>
      </c>
      <c r="M2539" t="s">
        <v>41</v>
      </c>
      <c r="N2539" t="s">
        <v>23</v>
      </c>
      <c r="O2539">
        <v>30</v>
      </c>
      <c r="P2539" t="s">
        <v>58</v>
      </c>
      <c r="Q2539" t="s">
        <v>89</v>
      </c>
      <c r="R2539" s="1">
        <v>0.1</v>
      </c>
      <c r="S2539">
        <f t="shared" si="156"/>
        <v>44.1</v>
      </c>
      <c r="T2539">
        <f>IFERROR(VLOOKUP(A2539,Table1[[Customer ID]:[Discount Amount]], 6, FALSE),"Not Found")</f>
        <v>49</v>
      </c>
      <c r="U2539" t="str">
        <f t="shared" si="157"/>
        <v>PayPal</v>
      </c>
      <c r="V2539" s="4" t="str">
        <f t="shared" si="158"/>
        <v>Normal</v>
      </c>
      <c r="W2539" s="4" t="str">
        <f t="shared" si="159"/>
        <v>Good</v>
      </c>
      <c r="X2539" s="4">
        <f>AVERAGE(Table1[Purchase Amount])</f>
        <v>129.48419400000012</v>
      </c>
    </row>
    <row r="2540" spans="1:24" ht="15" customHeight="1" x14ac:dyDescent="0.25">
      <c r="A2540">
        <v>2539</v>
      </c>
      <c r="B2540">
        <v>18</v>
      </c>
      <c r="C2540" t="s">
        <v>27</v>
      </c>
      <c r="D2540" t="s">
        <v>129</v>
      </c>
      <c r="E2540" t="s">
        <v>29</v>
      </c>
      <c r="F2540" s="2">
        <v>32</v>
      </c>
      <c r="G2540" t="s">
        <v>131</v>
      </c>
      <c r="H2540" t="s">
        <v>31</v>
      </c>
      <c r="I2540" t="s">
        <v>153</v>
      </c>
      <c r="J2540" t="s">
        <v>57</v>
      </c>
      <c r="K2540">
        <v>4.2</v>
      </c>
      <c r="L2540" t="s">
        <v>23</v>
      </c>
      <c r="M2540" t="s">
        <v>79</v>
      </c>
      <c r="N2540" t="s">
        <v>23</v>
      </c>
      <c r="O2540">
        <v>33</v>
      </c>
      <c r="P2540" t="s">
        <v>53</v>
      </c>
      <c r="Q2540" t="s">
        <v>68</v>
      </c>
      <c r="R2540" s="1">
        <v>0.1</v>
      </c>
      <c r="S2540">
        <f t="shared" si="156"/>
        <v>28.8</v>
      </c>
      <c r="T2540">
        <f>IFERROR(VLOOKUP(A2540,Table1[[Customer ID]:[Discount Amount]], 6, FALSE),"Not Found")</f>
        <v>32</v>
      </c>
      <c r="U2540" t="str">
        <f t="shared" si="157"/>
        <v>Credit Card</v>
      </c>
      <c r="V2540" s="4" t="str">
        <f t="shared" si="158"/>
        <v>Normal</v>
      </c>
      <c r="W2540" s="4" t="str">
        <f t="shared" si="159"/>
        <v>Good</v>
      </c>
      <c r="X2540" s="4">
        <f>AVERAGE(Table1[Purchase Amount])</f>
        <v>129.48419400000012</v>
      </c>
    </row>
    <row r="2541" spans="1:24" ht="15" customHeight="1" x14ac:dyDescent="0.25">
      <c r="A2541">
        <v>2540</v>
      </c>
      <c r="B2541">
        <v>33</v>
      </c>
      <c r="C2541" t="s">
        <v>27</v>
      </c>
      <c r="D2541" t="s">
        <v>121</v>
      </c>
      <c r="E2541" t="s">
        <v>98</v>
      </c>
      <c r="F2541" s="2">
        <v>73</v>
      </c>
      <c r="G2541" t="s">
        <v>97</v>
      </c>
      <c r="H2541" t="s">
        <v>31</v>
      </c>
      <c r="I2541" t="s">
        <v>66</v>
      </c>
      <c r="J2541" t="s">
        <v>47</v>
      </c>
      <c r="K2541">
        <v>4.0999999999999996</v>
      </c>
      <c r="L2541" t="s">
        <v>23</v>
      </c>
      <c r="M2541" t="s">
        <v>79</v>
      </c>
      <c r="N2541" t="s">
        <v>23</v>
      </c>
      <c r="O2541">
        <v>24</v>
      </c>
      <c r="P2541" t="s">
        <v>25</v>
      </c>
      <c r="Q2541" t="s">
        <v>68</v>
      </c>
      <c r="R2541" s="1">
        <v>0.1</v>
      </c>
      <c r="S2541">
        <f t="shared" si="156"/>
        <v>65.7</v>
      </c>
      <c r="T2541">
        <f>IFERROR(VLOOKUP(A2541,Table1[[Customer ID]:[Discount Amount]], 6, FALSE),"Not Found")</f>
        <v>73</v>
      </c>
      <c r="U2541" t="str">
        <f t="shared" si="157"/>
        <v>Cash</v>
      </c>
      <c r="V2541" s="4" t="str">
        <f t="shared" si="158"/>
        <v>Normal</v>
      </c>
      <c r="W2541" s="4" t="str">
        <f t="shared" si="159"/>
        <v>Good</v>
      </c>
      <c r="X2541" s="4">
        <f>AVERAGE(Table1[Purchase Amount])</f>
        <v>129.48419400000012</v>
      </c>
    </row>
    <row r="2542" spans="1:24" ht="15" customHeight="1" x14ac:dyDescent="0.25">
      <c r="A2542">
        <v>2541</v>
      </c>
      <c r="B2542">
        <v>24</v>
      </c>
      <c r="C2542" t="s">
        <v>27</v>
      </c>
      <c r="D2542" t="s">
        <v>114</v>
      </c>
      <c r="E2542" t="s">
        <v>29</v>
      </c>
      <c r="F2542" s="2">
        <v>42</v>
      </c>
      <c r="G2542" t="s">
        <v>131</v>
      </c>
      <c r="H2542" t="s">
        <v>31</v>
      </c>
      <c r="I2542" t="s">
        <v>103</v>
      </c>
      <c r="J2542" t="s">
        <v>57</v>
      </c>
      <c r="K2542">
        <v>3.9</v>
      </c>
      <c r="L2542" t="s">
        <v>23</v>
      </c>
      <c r="M2542" t="s">
        <v>35</v>
      </c>
      <c r="N2542" t="s">
        <v>23</v>
      </c>
      <c r="O2542">
        <v>11</v>
      </c>
      <c r="P2542" t="s">
        <v>36</v>
      </c>
      <c r="Q2542" t="s">
        <v>37</v>
      </c>
      <c r="R2542" s="1">
        <v>0.1</v>
      </c>
      <c r="S2542">
        <f t="shared" si="156"/>
        <v>37.799999999999997</v>
      </c>
      <c r="T2542">
        <f>IFERROR(VLOOKUP(A2542,Table1[[Customer ID]:[Discount Amount]], 6, FALSE),"Not Found")</f>
        <v>42</v>
      </c>
      <c r="U2542" t="str">
        <f t="shared" si="157"/>
        <v>Debit Card</v>
      </c>
      <c r="V2542" s="4" t="str">
        <f t="shared" si="158"/>
        <v>Normal</v>
      </c>
      <c r="W2542" s="4" t="str">
        <f t="shared" si="159"/>
        <v>Good</v>
      </c>
      <c r="X2542" s="4">
        <f>AVERAGE(Table1[Purchase Amount])</f>
        <v>129.48419400000012</v>
      </c>
    </row>
    <row r="2543" spans="1:24" ht="15" customHeight="1" x14ac:dyDescent="0.25">
      <c r="A2543">
        <v>2542</v>
      </c>
      <c r="B2543">
        <v>33</v>
      </c>
      <c r="C2543" t="s">
        <v>27</v>
      </c>
      <c r="D2543" t="s">
        <v>129</v>
      </c>
      <c r="E2543" t="s">
        <v>29</v>
      </c>
      <c r="F2543" s="2">
        <v>58</v>
      </c>
      <c r="G2543" t="s">
        <v>155</v>
      </c>
      <c r="H2543" t="s">
        <v>31</v>
      </c>
      <c r="I2543" t="s">
        <v>153</v>
      </c>
      <c r="J2543" t="s">
        <v>33</v>
      </c>
      <c r="K2543">
        <v>2.7</v>
      </c>
      <c r="L2543" t="s">
        <v>23</v>
      </c>
      <c r="M2543" t="s">
        <v>79</v>
      </c>
      <c r="N2543" t="s">
        <v>23</v>
      </c>
      <c r="O2543">
        <v>13</v>
      </c>
      <c r="P2543" t="s">
        <v>62</v>
      </c>
      <c r="Q2543" t="s">
        <v>63</v>
      </c>
      <c r="R2543" s="1">
        <v>0.1</v>
      </c>
      <c r="S2543">
        <f t="shared" si="156"/>
        <v>52.2</v>
      </c>
      <c r="T2543">
        <f>IFERROR(VLOOKUP(A2543,Table1[[Customer ID]:[Discount Amount]], 6, FALSE),"Not Found")</f>
        <v>58</v>
      </c>
      <c r="U2543" t="str">
        <f t="shared" si="157"/>
        <v>Venmo</v>
      </c>
      <c r="V2543" s="4" t="str">
        <f t="shared" si="158"/>
        <v>Normal</v>
      </c>
      <c r="W2543" s="4" t="str">
        <f t="shared" si="159"/>
        <v>Poor</v>
      </c>
      <c r="X2543" s="4">
        <f>AVERAGE(Table1[Purchase Amount])</f>
        <v>129.48419400000012</v>
      </c>
    </row>
    <row r="2544" spans="1:24" ht="15" customHeight="1" x14ac:dyDescent="0.25">
      <c r="A2544">
        <v>2543</v>
      </c>
      <c r="B2544">
        <v>61</v>
      </c>
      <c r="C2544" t="s">
        <v>27</v>
      </c>
      <c r="D2544" t="s">
        <v>50</v>
      </c>
      <c r="E2544" t="s">
        <v>29</v>
      </c>
      <c r="F2544" s="2">
        <v>22</v>
      </c>
      <c r="G2544" t="s">
        <v>100</v>
      </c>
      <c r="H2544" t="s">
        <v>31</v>
      </c>
      <c r="I2544" t="s">
        <v>32</v>
      </c>
      <c r="J2544" t="s">
        <v>22</v>
      </c>
      <c r="K2544">
        <v>3.7</v>
      </c>
      <c r="L2544" t="s">
        <v>23</v>
      </c>
      <c r="M2544" t="s">
        <v>61</v>
      </c>
      <c r="N2544" t="s">
        <v>23</v>
      </c>
      <c r="O2544">
        <v>27</v>
      </c>
      <c r="P2544" t="s">
        <v>58</v>
      </c>
      <c r="Q2544" t="s">
        <v>49</v>
      </c>
      <c r="R2544" s="1">
        <v>0.1</v>
      </c>
      <c r="S2544">
        <f t="shared" si="156"/>
        <v>19.8</v>
      </c>
      <c r="T2544">
        <f>IFERROR(VLOOKUP(A2544,Table1[[Customer ID]:[Discount Amount]], 6, FALSE),"Not Found")</f>
        <v>22</v>
      </c>
      <c r="U2544" t="str">
        <f t="shared" si="157"/>
        <v>PayPal</v>
      </c>
      <c r="V2544" s="4" t="str">
        <f t="shared" si="158"/>
        <v>Normal</v>
      </c>
      <c r="W2544" s="4" t="str">
        <f t="shared" si="159"/>
        <v>Good</v>
      </c>
      <c r="X2544" s="4">
        <f>AVERAGE(Table1[Purchase Amount])</f>
        <v>129.48419400000012</v>
      </c>
    </row>
    <row r="2545" spans="1:24" ht="15" customHeight="1" x14ac:dyDescent="0.25">
      <c r="A2545">
        <v>2544</v>
      </c>
      <c r="B2545">
        <v>27</v>
      </c>
      <c r="C2545" t="s">
        <v>27</v>
      </c>
      <c r="D2545" t="s">
        <v>129</v>
      </c>
      <c r="E2545" t="s">
        <v>29</v>
      </c>
      <c r="F2545" s="2">
        <v>56</v>
      </c>
      <c r="G2545" t="s">
        <v>154</v>
      </c>
      <c r="H2545" t="s">
        <v>45</v>
      </c>
      <c r="I2545" t="s">
        <v>145</v>
      </c>
      <c r="J2545" t="s">
        <v>33</v>
      </c>
      <c r="K2545">
        <v>2.7</v>
      </c>
      <c r="L2545" t="s">
        <v>23</v>
      </c>
      <c r="M2545" t="s">
        <v>79</v>
      </c>
      <c r="N2545" t="s">
        <v>23</v>
      </c>
      <c r="O2545">
        <v>30</v>
      </c>
      <c r="P2545" t="s">
        <v>58</v>
      </c>
      <c r="Q2545" t="s">
        <v>68</v>
      </c>
      <c r="R2545" s="1">
        <v>0.1</v>
      </c>
      <c r="S2545">
        <f t="shared" si="156"/>
        <v>50.4</v>
      </c>
      <c r="T2545">
        <f>IFERROR(VLOOKUP(A2545,Table1[[Customer ID]:[Discount Amount]], 6, FALSE),"Not Found")</f>
        <v>56</v>
      </c>
      <c r="U2545" t="str">
        <f t="shared" si="157"/>
        <v>PayPal</v>
      </c>
      <c r="V2545" s="4" t="str">
        <f t="shared" si="158"/>
        <v>Normal</v>
      </c>
      <c r="W2545" s="4" t="str">
        <f t="shared" si="159"/>
        <v>Poor</v>
      </c>
      <c r="X2545" s="4">
        <f>AVERAGE(Table1[Purchase Amount])</f>
        <v>129.48419400000012</v>
      </c>
    </row>
    <row r="2546" spans="1:24" ht="15" customHeight="1" x14ac:dyDescent="0.25">
      <c r="A2546">
        <v>2545</v>
      </c>
      <c r="B2546">
        <v>46</v>
      </c>
      <c r="C2546" t="s">
        <v>27</v>
      </c>
      <c r="D2546" t="s">
        <v>99</v>
      </c>
      <c r="E2546" t="s">
        <v>18</v>
      </c>
      <c r="F2546" s="2">
        <v>70</v>
      </c>
      <c r="G2546" t="s">
        <v>143</v>
      </c>
      <c r="H2546" t="s">
        <v>31</v>
      </c>
      <c r="I2546" t="s">
        <v>46</v>
      </c>
      <c r="J2546" t="s">
        <v>33</v>
      </c>
      <c r="K2546">
        <v>2.5</v>
      </c>
      <c r="L2546" t="s">
        <v>23</v>
      </c>
      <c r="M2546" t="s">
        <v>79</v>
      </c>
      <c r="N2546" t="s">
        <v>23</v>
      </c>
      <c r="O2546">
        <v>39</v>
      </c>
      <c r="P2546" t="s">
        <v>62</v>
      </c>
      <c r="Q2546" t="s">
        <v>37</v>
      </c>
      <c r="R2546" s="1">
        <v>0.1</v>
      </c>
      <c r="S2546">
        <f t="shared" si="156"/>
        <v>63</v>
      </c>
      <c r="T2546">
        <f>IFERROR(VLOOKUP(A2546,Table1[[Customer ID]:[Discount Amount]], 6, FALSE),"Not Found")</f>
        <v>70</v>
      </c>
      <c r="U2546" t="str">
        <f t="shared" si="157"/>
        <v>Venmo</v>
      </c>
      <c r="V2546" s="4" t="str">
        <f t="shared" si="158"/>
        <v>Normal</v>
      </c>
      <c r="W2546" s="4" t="str">
        <f t="shared" si="159"/>
        <v>Poor</v>
      </c>
      <c r="X2546" s="4">
        <f>AVERAGE(Table1[Purchase Amount])</f>
        <v>129.48419400000012</v>
      </c>
    </row>
    <row r="2547" spans="1:24" ht="15" customHeight="1" x14ac:dyDescent="0.25">
      <c r="A2547">
        <v>2546</v>
      </c>
      <c r="B2547">
        <v>38</v>
      </c>
      <c r="C2547" t="s">
        <v>27</v>
      </c>
      <c r="D2547" t="s">
        <v>72</v>
      </c>
      <c r="E2547" t="s">
        <v>98</v>
      </c>
      <c r="F2547" s="2">
        <v>50</v>
      </c>
      <c r="G2547" t="s">
        <v>152</v>
      </c>
      <c r="H2547" t="s">
        <v>45</v>
      </c>
      <c r="I2547" t="s">
        <v>21</v>
      </c>
      <c r="J2547" t="s">
        <v>33</v>
      </c>
      <c r="K2547">
        <v>3.9</v>
      </c>
      <c r="L2547" t="s">
        <v>23</v>
      </c>
      <c r="M2547" t="s">
        <v>35</v>
      </c>
      <c r="N2547" t="s">
        <v>23</v>
      </c>
      <c r="O2547">
        <v>10</v>
      </c>
      <c r="P2547" t="s">
        <v>36</v>
      </c>
      <c r="Q2547" t="s">
        <v>49</v>
      </c>
      <c r="R2547" s="1">
        <v>0.1</v>
      </c>
      <c r="S2547">
        <f t="shared" si="156"/>
        <v>45</v>
      </c>
      <c r="T2547">
        <f>IFERROR(VLOOKUP(A2547,Table1[[Customer ID]:[Discount Amount]], 6, FALSE),"Not Found")</f>
        <v>50</v>
      </c>
      <c r="U2547" t="str">
        <f t="shared" si="157"/>
        <v>Debit Card</v>
      </c>
      <c r="V2547" s="4" t="str">
        <f t="shared" si="158"/>
        <v>Normal</v>
      </c>
      <c r="W2547" s="4" t="str">
        <f t="shared" si="159"/>
        <v>Good</v>
      </c>
      <c r="X2547" s="4">
        <f>AVERAGE(Table1[Purchase Amount])</f>
        <v>129.48419400000012</v>
      </c>
    </row>
    <row r="2548" spans="1:24" ht="15" customHeight="1" x14ac:dyDescent="0.25">
      <c r="A2548">
        <v>2547</v>
      </c>
      <c r="B2548">
        <v>63</v>
      </c>
      <c r="C2548" t="s">
        <v>27</v>
      </c>
      <c r="D2548" t="s">
        <v>151</v>
      </c>
      <c r="E2548" t="s">
        <v>98</v>
      </c>
      <c r="F2548" s="2">
        <v>21</v>
      </c>
      <c r="G2548" t="s">
        <v>152</v>
      </c>
      <c r="H2548" t="s">
        <v>45</v>
      </c>
      <c r="I2548" t="s">
        <v>85</v>
      </c>
      <c r="J2548" t="s">
        <v>57</v>
      </c>
      <c r="K2548">
        <v>3</v>
      </c>
      <c r="L2548" t="s">
        <v>23</v>
      </c>
      <c r="M2548" t="s">
        <v>61</v>
      </c>
      <c r="N2548" t="s">
        <v>23</v>
      </c>
      <c r="O2548">
        <v>4</v>
      </c>
      <c r="P2548" t="s">
        <v>53</v>
      </c>
      <c r="Q2548" t="s">
        <v>37</v>
      </c>
      <c r="R2548" s="1">
        <v>0.1</v>
      </c>
      <c r="S2548">
        <f t="shared" si="156"/>
        <v>18.899999999999999</v>
      </c>
      <c r="T2548">
        <f>IFERROR(VLOOKUP(A2548,Table1[[Customer ID]:[Discount Amount]], 6, FALSE),"Not Found")</f>
        <v>21</v>
      </c>
      <c r="U2548" t="str">
        <f t="shared" si="157"/>
        <v>Credit Card</v>
      </c>
      <c r="V2548" s="4" t="str">
        <f t="shared" si="158"/>
        <v>Normal</v>
      </c>
      <c r="W2548" s="4" t="str">
        <f t="shared" si="159"/>
        <v>Good</v>
      </c>
      <c r="X2548" s="4">
        <f>AVERAGE(Table1[Purchase Amount])</f>
        <v>129.48419400000012</v>
      </c>
    </row>
    <row r="2549" spans="1:24" ht="15" customHeight="1" x14ac:dyDescent="0.25">
      <c r="A2549">
        <v>2548</v>
      </c>
      <c r="B2549">
        <v>47</v>
      </c>
      <c r="C2549" t="s">
        <v>27</v>
      </c>
      <c r="D2549" t="s">
        <v>96</v>
      </c>
      <c r="E2549" t="s">
        <v>77</v>
      </c>
      <c r="F2549" s="2">
        <v>97</v>
      </c>
      <c r="G2549" t="s">
        <v>149</v>
      </c>
      <c r="H2549" t="s">
        <v>31</v>
      </c>
      <c r="I2549" t="s">
        <v>56</v>
      </c>
      <c r="J2549" t="s">
        <v>57</v>
      </c>
      <c r="K2549">
        <v>3.2</v>
      </c>
      <c r="L2549" t="s">
        <v>23</v>
      </c>
      <c r="M2549" t="s">
        <v>41</v>
      </c>
      <c r="N2549" t="s">
        <v>23</v>
      </c>
      <c r="O2549">
        <v>16</v>
      </c>
      <c r="P2549" t="s">
        <v>25</v>
      </c>
      <c r="Q2549" t="s">
        <v>26</v>
      </c>
      <c r="R2549" s="1">
        <v>0.1</v>
      </c>
      <c r="S2549">
        <f t="shared" si="156"/>
        <v>87.3</v>
      </c>
      <c r="T2549">
        <f>IFERROR(VLOOKUP(A2549,Table1[[Customer ID]:[Discount Amount]], 6, FALSE),"Not Found")</f>
        <v>97</v>
      </c>
      <c r="U2549" t="str">
        <f t="shared" si="157"/>
        <v>Cash</v>
      </c>
      <c r="V2549" s="4" t="str">
        <f t="shared" si="158"/>
        <v>Normal</v>
      </c>
      <c r="W2549" s="4" t="str">
        <f t="shared" si="159"/>
        <v>Good</v>
      </c>
      <c r="X2549" s="4">
        <f>AVERAGE(Table1[Purchase Amount])</f>
        <v>129.48419400000012</v>
      </c>
    </row>
    <row r="2550" spans="1:24" ht="15" customHeight="1" x14ac:dyDescent="0.25">
      <c r="A2550">
        <v>2549</v>
      </c>
      <c r="B2550">
        <v>42</v>
      </c>
      <c r="C2550" t="s">
        <v>27</v>
      </c>
      <c r="D2550" t="s">
        <v>104</v>
      </c>
      <c r="E2550" t="s">
        <v>29</v>
      </c>
      <c r="F2550" s="2">
        <v>63</v>
      </c>
      <c r="G2550" t="s">
        <v>152</v>
      </c>
      <c r="H2550" t="s">
        <v>45</v>
      </c>
      <c r="I2550" t="s">
        <v>136</v>
      </c>
      <c r="J2550" t="s">
        <v>22</v>
      </c>
      <c r="K2550">
        <v>3.8</v>
      </c>
      <c r="L2550" t="s">
        <v>23</v>
      </c>
      <c r="M2550" t="s">
        <v>24</v>
      </c>
      <c r="N2550" t="s">
        <v>23</v>
      </c>
      <c r="O2550">
        <v>34</v>
      </c>
      <c r="P2550" t="s">
        <v>53</v>
      </c>
      <c r="Q2550" t="s">
        <v>42</v>
      </c>
      <c r="R2550" s="1">
        <v>0.1</v>
      </c>
      <c r="S2550">
        <f t="shared" si="156"/>
        <v>56.7</v>
      </c>
      <c r="T2550">
        <f>IFERROR(VLOOKUP(A2550,Table1[[Customer ID]:[Discount Amount]], 6, FALSE),"Not Found")</f>
        <v>63</v>
      </c>
      <c r="U2550" t="str">
        <f t="shared" si="157"/>
        <v>Credit Card</v>
      </c>
      <c r="V2550" s="4" t="str">
        <f t="shared" si="158"/>
        <v>Normal</v>
      </c>
      <c r="W2550" s="4" t="str">
        <f t="shared" si="159"/>
        <v>Good</v>
      </c>
      <c r="X2550" s="4">
        <f>AVERAGE(Table1[Purchase Amount])</f>
        <v>129.48419400000012</v>
      </c>
    </row>
    <row r="2551" spans="1:24" ht="15" customHeight="1" x14ac:dyDescent="0.25">
      <c r="A2551">
        <v>2550</v>
      </c>
      <c r="B2551">
        <v>41</v>
      </c>
      <c r="C2551" t="s">
        <v>27</v>
      </c>
      <c r="D2551" t="s">
        <v>96</v>
      </c>
      <c r="E2551" t="s">
        <v>77</v>
      </c>
      <c r="F2551" s="2">
        <v>60</v>
      </c>
      <c r="G2551" t="s">
        <v>138</v>
      </c>
      <c r="H2551" t="s">
        <v>31</v>
      </c>
      <c r="I2551" t="s">
        <v>46</v>
      </c>
      <c r="J2551" t="s">
        <v>47</v>
      </c>
      <c r="K2551">
        <v>2.7</v>
      </c>
      <c r="L2551" t="s">
        <v>23</v>
      </c>
      <c r="M2551" t="s">
        <v>24</v>
      </c>
      <c r="N2551" t="s">
        <v>23</v>
      </c>
      <c r="O2551">
        <v>11</v>
      </c>
      <c r="P2551" t="s">
        <v>36</v>
      </c>
      <c r="Q2551" t="s">
        <v>63</v>
      </c>
      <c r="R2551" s="1">
        <v>0.1</v>
      </c>
      <c r="S2551">
        <f t="shared" si="156"/>
        <v>54</v>
      </c>
      <c r="T2551">
        <f>IFERROR(VLOOKUP(A2551,Table1[[Customer ID]:[Discount Amount]], 6, FALSE),"Not Found")</f>
        <v>60</v>
      </c>
      <c r="U2551" t="str">
        <f t="shared" si="157"/>
        <v>Debit Card</v>
      </c>
      <c r="V2551" s="4" t="str">
        <f t="shared" si="158"/>
        <v>Normal</v>
      </c>
      <c r="W2551" s="4" t="str">
        <f t="shared" si="159"/>
        <v>Poor</v>
      </c>
      <c r="X2551" s="4">
        <f>AVERAGE(Table1[Purchase Amount])</f>
        <v>129.48419400000012</v>
      </c>
    </row>
    <row r="2552" spans="1:24" ht="15" customHeight="1" x14ac:dyDescent="0.25">
      <c r="A2552">
        <v>2551</v>
      </c>
      <c r="B2552">
        <v>53</v>
      </c>
      <c r="C2552" t="s">
        <v>27</v>
      </c>
      <c r="D2552" t="s">
        <v>151</v>
      </c>
      <c r="E2552" t="s">
        <v>98</v>
      </c>
      <c r="F2552" s="2">
        <v>52</v>
      </c>
      <c r="G2552" t="s">
        <v>132</v>
      </c>
      <c r="H2552" t="s">
        <v>20</v>
      </c>
      <c r="I2552" t="s">
        <v>145</v>
      </c>
      <c r="J2552" t="s">
        <v>47</v>
      </c>
      <c r="K2552">
        <v>3</v>
      </c>
      <c r="L2552" t="s">
        <v>23</v>
      </c>
      <c r="M2552" t="s">
        <v>48</v>
      </c>
      <c r="N2552" t="s">
        <v>23</v>
      </c>
      <c r="O2552">
        <v>30</v>
      </c>
      <c r="P2552" t="s">
        <v>36</v>
      </c>
      <c r="Q2552" t="s">
        <v>89</v>
      </c>
      <c r="R2552" s="1">
        <v>0.1</v>
      </c>
      <c r="S2552">
        <f t="shared" si="156"/>
        <v>46.8</v>
      </c>
      <c r="T2552">
        <f>IFERROR(VLOOKUP(A2552,Table1[[Customer ID]:[Discount Amount]], 6, FALSE),"Not Found")</f>
        <v>52</v>
      </c>
      <c r="U2552" t="str">
        <f t="shared" si="157"/>
        <v>Debit Card</v>
      </c>
      <c r="V2552" s="4" t="str">
        <f t="shared" si="158"/>
        <v>Normal</v>
      </c>
      <c r="W2552" s="4" t="str">
        <f t="shared" si="159"/>
        <v>Good</v>
      </c>
      <c r="X2552" s="4">
        <f>AVERAGE(Table1[Purchase Amount])</f>
        <v>129.48419400000012</v>
      </c>
    </row>
    <row r="2553" spans="1:24" ht="15" customHeight="1" x14ac:dyDescent="0.25">
      <c r="A2553">
        <v>2552</v>
      </c>
      <c r="B2553">
        <v>29</v>
      </c>
      <c r="C2553" t="s">
        <v>27</v>
      </c>
      <c r="D2553" t="s">
        <v>72</v>
      </c>
      <c r="E2553" t="s">
        <v>98</v>
      </c>
      <c r="F2553" s="2">
        <v>32</v>
      </c>
      <c r="G2553" t="s">
        <v>120</v>
      </c>
      <c r="H2553" t="s">
        <v>31</v>
      </c>
      <c r="I2553" t="s">
        <v>125</v>
      </c>
      <c r="J2553" t="s">
        <v>22</v>
      </c>
      <c r="K2553">
        <v>4.0999999999999996</v>
      </c>
      <c r="L2553" t="s">
        <v>23</v>
      </c>
      <c r="M2553" t="s">
        <v>79</v>
      </c>
      <c r="N2553" t="s">
        <v>23</v>
      </c>
      <c r="O2553">
        <v>40</v>
      </c>
      <c r="P2553" t="s">
        <v>36</v>
      </c>
      <c r="Q2553" t="s">
        <v>49</v>
      </c>
      <c r="R2553" s="1">
        <v>0.1</v>
      </c>
      <c r="S2553">
        <f t="shared" si="156"/>
        <v>28.8</v>
      </c>
      <c r="T2553">
        <f>IFERROR(VLOOKUP(A2553,Table1[[Customer ID]:[Discount Amount]], 6, FALSE),"Not Found")</f>
        <v>32</v>
      </c>
      <c r="U2553" t="str">
        <f t="shared" si="157"/>
        <v>Debit Card</v>
      </c>
      <c r="V2553" s="4" t="str">
        <f t="shared" si="158"/>
        <v>Normal</v>
      </c>
      <c r="W2553" s="4" t="str">
        <f t="shared" si="159"/>
        <v>Good</v>
      </c>
      <c r="X2553" s="4">
        <f>AVERAGE(Table1[Purchase Amount])</f>
        <v>129.48419400000012</v>
      </c>
    </row>
    <row r="2554" spans="1:24" ht="15" customHeight="1" x14ac:dyDescent="0.25">
      <c r="A2554">
        <v>2553</v>
      </c>
      <c r="B2554">
        <v>61</v>
      </c>
      <c r="C2554" t="s">
        <v>27</v>
      </c>
      <c r="D2554" t="s">
        <v>114</v>
      </c>
      <c r="E2554" t="s">
        <v>29</v>
      </c>
      <c r="F2554" s="2">
        <v>48</v>
      </c>
      <c r="G2554" t="s">
        <v>106</v>
      </c>
      <c r="H2554" t="s">
        <v>20</v>
      </c>
      <c r="I2554" t="s">
        <v>66</v>
      </c>
      <c r="J2554" t="s">
        <v>33</v>
      </c>
      <c r="K2554">
        <v>3.2</v>
      </c>
      <c r="L2554" t="s">
        <v>23</v>
      </c>
      <c r="M2554" t="s">
        <v>41</v>
      </c>
      <c r="N2554" t="s">
        <v>23</v>
      </c>
      <c r="O2554">
        <v>13</v>
      </c>
      <c r="P2554" t="s">
        <v>53</v>
      </c>
      <c r="Q2554" t="s">
        <v>49</v>
      </c>
      <c r="R2554" s="1">
        <v>0.1</v>
      </c>
      <c r="S2554">
        <f t="shared" si="156"/>
        <v>43.2</v>
      </c>
      <c r="T2554">
        <f>IFERROR(VLOOKUP(A2554,Table1[[Customer ID]:[Discount Amount]], 6, FALSE),"Not Found")</f>
        <v>48</v>
      </c>
      <c r="U2554" t="str">
        <f t="shared" si="157"/>
        <v>Credit Card</v>
      </c>
      <c r="V2554" s="4" t="str">
        <f t="shared" si="158"/>
        <v>Normal</v>
      </c>
      <c r="W2554" s="4" t="str">
        <f t="shared" si="159"/>
        <v>Good</v>
      </c>
      <c r="X2554" s="4">
        <f>AVERAGE(Table1[Purchase Amount])</f>
        <v>129.48419400000012</v>
      </c>
    </row>
    <row r="2555" spans="1:24" ht="15" customHeight="1" x14ac:dyDescent="0.25">
      <c r="A2555">
        <v>2554</v>
      </c>
      <c r="B2555">
        <v>69</v>
      </c>
      <c r="C2555" t="s">
        <v>27</v>
      </c>
      <c r="D2555" t="s">
        <v>50</v>
      </c>
      <c r="E2555" t="s">
        <v>29</v>
      </c>
      <c r="F2555" s="2">
        <v>25</v>
      </c>
      <c r="G2555" t="s">
        <v>84</v>
      </c>
      <c r="H2555" t="s">
        <v>31</v>
      </c>
      <c r="I2555" t="s">
        <v>125</v>
      </c>
      <c r="J2555" t="s">
        <v>57</v>
      </c>
      <c r="K2555">
        <v>4.5</v>
      </c>
      <c r="L2555" t="s">
        <v>23</v>
      </c>
      <c r="M2555" t="s">
        <v>48</v>
      </c>
      <c r="N2555" t="s">
        <v>23</v>
      </c>
      <c r="O2555">
        <v>28</v>
      </c>
      <c r="P2555" t="s">
        <v>62</v>
      </c>
      <c r="Q2555" t="s">
        <v>63</v>
      </c>
      <c r="R2555" s="1">
        <v>0.1</v>
      </c>
      <c r="S2555">
        <f t="shared" si="156"/>
        <v>22.5</v>
      </c>
      <c r="T2555">
        <f>IFERROR(VLOOKUP(A2555,Table1[[Customer ID]:[Discount Amount]], 6, FALSE),"Not Found")</f>
        <v>25</v>
      </c>
      <c r="U2555" t="str">
        <f t="shared" si="157"/>
        <v>Venmo</v>
      </c>
      <c r="V2555" s="4" t="str">
        <f t="shared" si="158"/>
        <v>Normal</v>
      </c>
      <c r="W2555" s="4" t="str">
        <f t="shared" si="159"/>
        <v>Good</v>
      </c>
      <c r="X2555" s="4">
        <f>AVERAGE(Table1[Purchase Amount])</f>
        <v>129.48419400000012</v>
      </c>
    </row>
    <row r="2556" spans="1:24" ht="15" customHeight="1" x14ac:dyDescent="0.25">
      <c r="A2556">
        <v>2555</v>
      </c>
      <c r="B2556">
        <v>51</v>
      </c>
      <c r="C2556" t="s">
        <v>27</v>
      </c>
      <c r="D2556" t="s">
        <v>50</v>
      </c>
      <c r="E2556" t="s">
        <v>29</v>
      </c>
      <c r="F2556" s="2">
        <v>68</v>
      </c>
      <c r="G2556" t="s">
        <v>124</v>
      </c>
      <c r="H2556" t="s">
        <v>31</v>
      </c>
      <c r="I2556" t="s">
        <v>85</v>
      </c>
      <c r="J2556" t="s">
        <v>57</v>
      </c>
      <c r="K2556">
        <v>4.3</v>
      </c>
      <c r="L2556" t="s">
        <v>23</v>
      </c>
      <c r="M2556" t="s">
        <v>48</v>
      </c>
      <c r="N2556" t="s">
        <v>23</v>
      </c>
      <c r="O2556">
        <v>49</v>
      </c>
      <c r="P2556" t="s">
        <v>36</v>
      </c>
      <c r="Q2556" t="s">
        <v>68</v>
      </c>
      <c r="R2556" s="1">
        <v>0.1</v>
      </c>
      <c r="S2556">
        <f t="shared" si="156"/>
        <v>61.2</v>
      </c>
      <c r="T2556">
        <f>IFERROR(VLOOKUP(A2556,Table1[[Customer ID]:[Discount Amount]], 6, FALSE),"Not Found")</f>
        <v>68</v>
      </c>
      <c r="U2556" t="str">
        <f t="shared" si="157"/>
        <v>Debit Card</v>
      </c>
      <c r="V2556" s="4" t="str">
        <f t="shared" si="158"/>
        <v>Normal</v>
      </c>
      <c r="W2556" s="4" t="str">
        <f t="shared" si="159"/>
        <v>Good</v>
      </c>
      <c r="X2556" s="4">
        <f>AVERAGE(Table1[Purchase Amount])</f>
        <v>129.48419400000012</v>
      </c>
    </row>
    <row r="2557" spans="1:24" ht="15" customHeight="1" x14ac:dyDescent="0.25">
      <c r="A2557">
        <v>2556</v>
      </c>
      <c r="B2557">
        <v>24</v>
      </c>
      <c r="C2557" t="s">
        <v>27</v>
      </c>
      <c r="D2557" t="s">
        <v>99</v>
      </c>
      <c r="E2557" t="s">
        <v>18</v>
      </c>
      <c r="F2557" s="2">
        <v>74</v>
      </c>
      <c r="G2557" t="s">
        <v>161</v>
      </c>
      <c r="H2557" t="s">
        <v>31</v>
      </c>
      <c r="I2557" t="s">
        <v>85</v>
      </c>
      <c r="J2557" t="s">
        <v>47</v>
      </c>
      <c r="K2557">
        <v>3.5</v>
      </c>
      <c r="L2557" t="s">
        <v>23</v>
      </c>
      <c r="M2557" t="s">
        <v>24</v>
      </c>
      <c r="N2557" t="s">
        <v>23</v>
      </c>
      <c r="O2557">
        <v>23</v>
      </c>
      <c r="P2557" t="s">
        <v>53</v>
      </c>
      <c r="Q2557" t="s">
        <v>26</v>
      </c>
      <c r="R2557" s="1">
        <v>0.1</v>
      </c>
      <c r="S2557">
        <f t="shared" si="156"/>
        <v>66.599999999999994</v>
      </c>
      <c r="T2557">
        <f>IFERROR(VLOOKUP(A2557,Table1[[Customer ID]:[Discount Amount]], 6, FALSE),"Not Found")</f>
        <v>74</v>
      </c>
      <c r="U2557" t="str">
        <f t="shared" si="157"/>
        <v>Credit Card</v>
      </c>
      <c r="V2557" s="4" t="str">
        <f t="shared" si="158"/>
        <v>Normal</v>
      </c>
      <c r="W2557" s="4" t="str">
        <f t="shared" si="159"/>
        <v>Good</v>
      </c>
      <c r="X2557" s="4">
        <f>AVERAGE(Table1[Purchase Amount])</f>
        <v>129.48419400000012</v>
      </c>
    </row>
    <row r="2558" spans="1:24" ht="15" customHeight="1" x14ac:dyDescent="0.25">
      <c r="A2558">
        <v>2557</v>
      </c>
      <c r="B2558">
        <v>24</v>
      </c>
      <c r="C2558" t="s">
        <v>27</v>
      </c>
      <c r="D2558" t="s">
        <v>17</v>
      </c>
      <c r="E2558" t="s">
        <v>18</v>
      </c>
      <c r="F2558" s="2">
        <v>88</v>
      </c>
      <c r="G2558" t="s">
        <v>39</v>
      </c>
      <c r="H2558" t="s">
        <v>20</v>
      </c>
      <c r="I2558" t="s">
        <v>87</v>
      </c>
      <c r="J2558" t="s">
        <v>47</v>
      </c>
      <c r="K2558">
        <v>3.1</v>
      </c>
      <c r="L2558" t="s">
        <v>23</v>
      </c>
      <c r="M2558" t="s">
        <v>24</v>
      </c>
      <c r="N2558" t="s">
        <v>23</v>
      </c>
      <c r="O2558">
        <v>4</v>
      </c>
      <c r="P2558" t="s">
        <v>88</v>
      </c>
      <c r="Q2558" t="s">
        <v>37</v>
      </c>
      <c r="R2558" s="1">
        <v>0.1</v>
      </c>
      <c r="S2558">
        <f t="shared" si="156"/>
        <v>79.2</v>
      </c>
      <c r="T2558">
        <f>IFERROR(VLOOKUP(A2558,Table1[[Customer ID]:[Discount Amount]], 6, FALSE),"Not Found")</f>
        <v>88</v>
      </c>
      <c r="U2558" t="str">
        <f t="shared" si="157"/>
        <v>Bank Transfer</v>
      </c>
      <c r="V2558" s="4" t="str">
        <f t="shared" si="158"/>
        <v>Normal</v>
      </c>
      <c r="W2558" s="4" t="str">
        <f t="shared" si="159"/>
        <v>Good</v>
      </c>
      <c r="X2558" s="4">
        <f>AVERAGE(Table1[Purchase Amount])</f>
        <v>129.48419400000012</v>
      </c>
    </row>
    <row r="2559" spans="1:24" ht="15" customHeight="1" x14ac:dyDescent="0.25">
      <c r="A2559">
        <v>2558</v>
      </c>
      <c r="B2559">
        <v>70</v>
      </c>
      <c r="C2559" t="s">
        <v>27</v>
      </c>
      <c r="D2559" t="s">
        <v>54</v>
      </c>
      <c r="E2559" t="s">
        <v>18</v>
      </c>
      <c r="F2559" s="2">
        <v>23</v>
      </c>
      <c r="G2559" t="s">
        <v>142</v>
      </c>
      <c r="H2559" t="s">
        <v>45</v>
      </c>
      <c r="I2559" t="s">
        <v>128</v>
      </c>
      <c r="J2559" t="s">
        <v>33</v>
      </c>
      <c r="K2559">
        <v>3.9</v>
      </c>
      <c r="L2559" t="s">
        <v>23</v>
      </c>
      <c r="M2559" t="s">
        <v>24</v>
      </c>
      <c r="N2559" t="s">
        <v>23</v>
      </c>
      <c r="O2559">
        <v>17</v>
      </c>
      <c r="P2559" t="s">
        <v>58</v>
      </c>
      <c r="Q2559" t="s">
        <v>89</v>
      </c>
      <c r="R2559" s="1">
        <v>0.1</v>
      </c>
      <c r="S2559">
        <f t="shared" si="156"/>
        <v>20.7</v>
      </c>
      <c r="T2559">
        <f>IFERROR(VLOOKUP(A2559,Table1[[Customer ID]:[Discount Amount]], 6, FALSE),"Not Found")</f>
        <v>23</v>
      </c>
      <c r="U2559" t="str">
        <f t="shared" si="157"/>
        <v>PayPal</v>
      </c>
      <c r="V2559" s="4" t="str">
        <f t="shared" si="158"/>
        <v>Normal</v>
      </c>
      <c r="W2559" s="4" t="str">
        <f t="shared" si="159"/>
        <v>Good</v>
      </c>
      <c r="X2559" s="4">
        <f>AVERAGE(Table1[Purchase Amount])</f>
        <v>129.48419400000012</v>
      </c>
    </row>
    <row r="2560" spans="1:24" ht="15" customHeight="1" x14ac:dyDescent="0.25">
      <c r="A2560">
        <v>2559</v>
      </c>
      <c r="B2560">
        <v>49</v>
      </c>
      <c r="C2560" t="s">
        <v>27</v>
      </c>
      <c r="D2560" t="s">
        <v>83</v>
      </c>
      <c r="E2560" t="s">
        <v>18</v>
      </c>
      <c r="F2560" s="2">
        <v>32</v>
      </c>
      <c r="G2560" t="s">
        <v>19</v>
      </c>
      <c r="H2560" t="s">
        <v>31</v>
      </c>
      <c r="I2560" t="s">
        <v>153</v>
      </c>
      <c r="J2560" t="s">
        <v>47</v>
      </c>
      <c r="K2560">
        <v>2.7</v>
      </c>
      <c r="L2560" t="s">
        <v>23</v>
      </c>
      <c r="M2560" t="s">
        <v>61</v>
      </c>
      <c r="N2560" t="s">
        <v>23</v>
      </c>
      <c r="O2560">
        <v>24</v>
      </c>
      <c r="P2560" t="s">
        <v>58</v>
      </c>
      <c r="Q2560" t="s">
        <v>89</v>
      </c>
      <c r="R2560" s="1">
        <v>0.1</v>
      </c>
      <c r="S2560">
        <f t="shared" si="156"/>
        <v>28.8</v>
      </c>
      <c r="T2560">
        <f>IFERROR(VLOOKUP(A2560,Table1[[Customer ID]:[Discount Amount]], 6, FALSE),"Not Found")</f>
        <v>32</v>
      </c>
      <c r="U2560" t="str">
        <f t="shared" si="157"/>
        <v>PayPal</v>
      </c>
      <c r="V2560" s="4" t="str">
        <f t="shared" si="158"/>
        <v>Normal</v>
      </c>
      <c r="W2560" s="4" t="str">
        <f t="shared" si="159"/>
        <v>Poor</v>
      </c>
      <c r="X2560" s="4">
        <f>AVERAGE(Table1[Purchase Amount])</f>
        <v>129.48419400000012</v>
      </c>
    </row>
    <row r="2561" spans="1:24" ht="15" customHeight="1" x14ac:dyDescent="0.25">
      <c r="A2561">
        <v>2560</v>
      </c>
      <c r="B2561">
        <v>48</v>
      </c>
      <c r="C2561" t="s">
        <v>27</v>
      </c>
      <c r="D2561" t="s">
        <v>114</v>
      </c>
      <c r="E2561" t="s">
        <v>29</v>
      </c>
      <c r="F2561" s="2">
        <v>71</v>
      </c>
      <c r="G2561" t="s">
        <v>149</v>
      </c>
      <c r="H2561" t="s">
        <v>55</v>
      </c>
      <c r="I2561" t="s">
        <v>93</v>
      </c>
      <c r="J2561" t="s">
        <v>22</v>
      </c>
      <c r="K2561">
        <v>4</v>
      </c>
      <c r="L2561" t="s">
        <v>23</v>
      </c>
      <c r="M2561" t="s">
        <v>35</v>
      </c>
      <c r="N2561" t="s">
        <v>23</v>
      </c>
      <c r="O2561">
        <v>21</v>
      </c>
      <c r="P2561" t="s">
        <v>36</v>
      </c>
      <c r="Q2561" t="s">
        <v>63</v>
      </c>
      <c r="R2561" s="1">
        <v>0.1</v>
      </c>
      <c r="S2561">
        <f t="shared" si="156"/>
        <v>63.9</v>
      </c>
      <c r="T2561">
        <f>IFERROR(VLOOKUP(A2561,Table1[[Customer ID]:[Discount Amount]], 6, FALSE),"Not Found")</f>
        <v>71</v>
      </c>
      <c r="U2561" t="str">
        <f t="shared" si="157"/>
        <v>Debit Card</v>
      </c>
      <c r="V2561" s="4" t="str">
        <f t="shared" si="158"/>
        <v>Normal</v>
      </c>
      <c r="W2561" s="4" t="str">
        <f t="shared" si="159"/>
        <v>Good</v>
      </c>
      <c r="X2561" s="4">
        <f>AVERAGE(Table1[Purchase Amount])</f>
        <v>129.48419400000012</v>
      </c>
    </row>
    <row r="2562" spans="1:24" ht="15" customHeight="1" x14ac:dyDescent="0.25">
      <c r="A2562">
        <v>2561</v>
      </c>
      <c r="B2562">
        <v>58</v>
      </c>
      <c r="C2562" t="s">
        <v>27</v>
      </c>
      <c r="D2562" t="s">
        <v>151</v>
      </c>
      <c r="E2562" t="s">
        <v>98</v>
      </c>
      <c r="F2562" s="2">
        <v>62</v>
      </c>
      <c r="G2562" t="s">
        <v>19</v>
      </c>
      <c r="H2562" t="s">
        <v>31</v>
      </c>
      <c r="I2562" t="s">
        <v>111</v>
      </c>
      <c r="J2562" t="s">
        <v>33</v>
      </c>
      <c r="K2562">
        <v>2.7</v>
      </c>
      <c r="L2562" t="s">
        <v>23</v>
      </c>
      <c r="M2562" t="s">
        <v>79</v>
      </c>
      <c r="N2562" t="s">
        <v>23</v>
      </c>
      <c r="O2562">
        <v>17</v>
      </c>
      <c r="P2562" t="s">
        <v>36</v>
      </c>
      <c r="Q2562" t="s">
        <v>68</v>
      </c>
      <c r="R2562" s="1">
        <v>0.1</v>
      </c>
      <c r="S2562">
        <f t="shared" ref="S2562:S2625" si="160">F2562-(F2562*R2562)</f>
        <v>55.8</v>
      </c>
      <c r="T2562">
        <f>IFERROR(VLOOKUP(A2562,Table1[[Customer ID]:[Discount Amount]], 6, FALSE),"Not Found")</f>
        <v>62</v>
      </c>
      <c r="U2562" t="str">
        <f t="shared" ref="U2562:U2625" si="161">INDEX(P:P, MATCH(A2562, A:A, 0))</f>
        <v>Debit Card</v>
      </c>
      <c r="V2562" s="4" t="str">
        <f t="shared" ref="V2562:V2625" si="162">IF(AND(F2562&gt;1000,K2562&gt;=4),"Best Customer","Normal")</f>
        <v>Normal</v>
      </c>
      <c r="W2562" s="4" t="str">
        <f t="shared" ref="W2562:W2625" si="163">IF(K2562&gt;=3,"Good","Poor")</f>
        <v>Poor</v>
      </c>
      <c r="X2562" s="4">
        <f>AVERAGE(Table1[Purchase Amount])</f>
        <v>129.48419400000012</v>
      </c>
    </row>
    <row r="2563" spans="1:24" ht="15" customHeight="1" x14ac:dyDescent="0.25">
      <c r="A2563">
        <v>2562</v>
      </c>
      <c r="B2563">
        <v>32</v>
      </c>
      <c r="C2563" t="s">
        <v>27</v>
      </c>
      <c r="D2563" t="s">
        <v>83</v>
      </c>
      <c r="E2563" t="s">
        <v>18</v>
      </c>
      <c r="F2563" s="2">
        <v>20</v>
      </c>
      <c r="G2563" t="s">
        <v>101</v>
      </c>
      <c r="H2563" t="s">
        <v>45</v>
      </c>
      <c r="I2563" t="s">
        <v>87</v>
      </c>
      <c r="J2563" t="s">
        <v>33</v>
      </c>
      <c r="K2563">
        <v>2.7</v>
      </c>
      <c r="L2563" t="s">
        <v>23</v>
      </c>
      <c r="M2563" t="s">
        <v>35</v>
      </c>
      <c r="N2563" t="s">
        <v>23</v>
      </c>
      <c r="O2563">
        <v>22</v>
      </c>
      <c r="P2563" t="s">
        <v>36</v>
      </c>
      <c r="Q2563" t="s">
        <v>37</v>
      </c>
      <c r="R2563" s="1">
        <v>0.1</v>
      </c>
      <c r="S2563">
        <f t="shared" si="160"/>
        <v>18</v>
      </c>
      <c r="T2563">
        <f>IFERROR(VLOOKUP(A2563,Table1[[Customer ID]:[Discount Amount]], 6, FALSE),"Not Found")</f>
        <v>20</v>
      </c>
      <c r="U2563" t="str">
        <f t="shared" si="161"/>
        <v>Debit Card</v>
      </c>
      <c r="V2563" s="4" t="str">
        <f t="shared" si="162"/>
        <v>Normal</v>
      </c>
      <c r="W2563" s="4" t="str">
        <f t="shared" si="163"/>
        <v>Poor</v>
      </c>
      <c r="X2563" s="4">
        <f>AVERAGE(Table1[Purchase Amount])</f>
        <v>129.48419400000012</v>
      </c>
    </row>
    <row r="2564" spans="1:24" ht="15" customHeight="1" x14ac:dyDescent="0.25">
      <c r="A2564">
        <v>2563</v>
      </c>
      <c r="B2564">
        <v>57</v>
      </c>
      <c r="C2564" t="s">
        <v>27</v>
      </c>
      <c r="D2564" t="s">
        <v>54</v>
      </c>
      <c r="E2564" t="s">
        <v>18</v>
      </c>
      <c r="F2564" s="2">
        <v>62</v>
      </c>
      <c r="G2564" t="s">
        <v>150</v>
      </c>
      <c r="H2564" t="s">
        <v>20</v>
      </c>
      <c r="I2564" t="s">
        <v>52</v>
      </c>
      <c r="J2564" t="s">
        <v>33</v>
      </c>
      <c r="K2564">
        <v>4.7</v>
      </c>
      <c r="L2564" t="s">
        <v>23</v>
      </c>
      <c r="M2564" t="s">
        <v>24</v>
      </c>
      <c r="N2564" t="s">
        <v>23</v>
      </c>
      <c r="O2564">
        <v>27</v>
      </c>
      <c r="P2564" t="s">
        <v>25</v>
      </c>
      <c r="Q2564" t="s">
        <v>89</v>
      </c>
      <c r="R2564" s="1">
        <v>0.1</v>
      </c>
      <c r="S2564">
        <f t="shared" si="160"/>
        <v>55.8</v>
      </c>
      <c r="T2564">
        <f>IFERROR(VLOOKUP(A2564,Table1[[Customer ID]:[Discount Amount]], 6, FALSE),"Not Found")</f>
        <v>62</v>
      </c>
      <c r="U2564" t="str">
        <f t="shared" si="161"/>
        <v>Cash</v>
      </c>
      <c r="V2564" s="4" t="str">
        <f t="shared" si="162"/>
        <v>Normal</v>
      </c>
      <c r="W2564" s="4" t="str">
        <f t="shared" si="163"/>
        <v>Good</v>
      </c>
      <c r="X2564" s="4">
        <f>AVERAGE(Table1[Purchase Amount])</f>
        <v>129.48419400000012</v>
      </c>
    </row>
    <row r="2565" spans="1:24" ht="15" customHeight="1" x14ac:dyDescent="0.25">
      <c r="A2565">
        <v>2564</v>
      </c>
      <c r="B2565">
        <v>69</v>
      </c>
      <c r="C2565" t="s">
        <v>27</v>
      </c>
      <c r="D2565" t="s">
        <v>104</v>
      </c>
      <c r="E2565" t="s">
        <v>29</v>
      </c>
      <c r="F2565" s="2">
        <v>81</v>
      </c>
      <c r="G2565" t="s">
        <v>97</v>
      </c>
      <c r="H2565" t="s">
        <v>20</v>
      </c>
      <c r="I2565" t="s">
        <v>85</v>
      </c>
      <c r="J2565" t="s">
        <v>22</v>
      </c>
      <c r="K2565">
        <v>4.5</v>
      </c>
      <c r="L2565" t="s">
        <v>23</v>
      </c>
      <c r="M2565" t="s">
        <v>24</v>
      </c>
      <c r="N2565" t="s">
        <v>23</v>
      </c>
      <c r="O2565">
        <v>1</v>
      </c>
      <c r="P2565" t="s">
        <v>62</v>
      </c>
      <c r="Q2565" t="s">
        <v>63</v>
      </c>
      <c r="R2565" s="1">
        <v>0.1</v>
      </c>
      <c r="S2565">
        <f t="shared" si="160"/>
        <v>72.900000000000006</v>
      </c>
      <c r="T2565">
        <f>IFERROR(VLOOKUP(A2565,Table1[[Customer ID]:[Discount Amount]], 6, FALSE),"Not Found")</f>
        <v>81</v>
      </c>
      <c r="U2565" t="str">
        <f t="shared" si="161"/>
        <v>Venmo</v>
      </c>
      <c r="V2565" s="4" t="str">
        <f t="shared" si="162"/>
        <v>Normal</v>
      </c>
      <c r="W2565" s="4" t="str">
        <f t="shared" si="163"/>
        <v>Good</v>
      </c>
      <c r="X2565" s="4">
        <f>AVERAGE(Table1[Purchase Amount])</f>
        <v>129.48419400000012</v>
      </c>
    </row>
    <row r="2566" spans="1:24" ht="15" customHeight="1" x14ac:dyDescent="0.25">
      <c r="A2566">
        <v>2565</v>
      </c>
      <c r="B2566">
        <v>42</v>
      </c>
      <c r="C2566" t="s">
        <v>27</v>
      </c>
      <c r="D2566" t="s">
        <v>129</v>
      </c>
      <c r="E2566" t="s">
        <v>29</v>
      </c>
      <c r="F2566" s="2">
        <v>90</v>
      </c>
      <c r="G2566" t="s">
        <v>70</v>
      </c>
      <c r="H2566" t="s">
        <v>45</v>
      </c>
      <c r="I2566" t="s">
        <v>91</v>
      </c>
      <c r="J2566" t="s">
        <v>22</v>
      </c>
      <c r="K2566">
        <v>3</v>
      </c>
      <c r="L2566" t="s">
        <v>23</v>
      </c>
      <c r="M2566" t="s">
        <v>41</v>
      </c>
      <c r="N2566" t="s">
        <v>23</v>
      </c>
      <c r="O2566">
        <v>27</v>
      </c>
      <c r="P2566" t="s">
        <v>88</v>
      </c>
      <c r="Q2566" t="s">
        <v>26</v>
      </c>
      <c r="R2566" s="1">
        <v>0.1</v>
      </c>
      <c r="S2566">
        <f t="shared" si="160"/>
        <v>81</v>
      </c>
      <c r="T2566">
        <f>IFERROR(VLOOKUP(A2566,Table1[[Customer ID]:[Discount Amount]], 6, FALSE),"Not Found")</f>
        <v>90</v>
      </c>
      <c r="U2566" t="str">
        <f t="shared" si="161"/>
        <v>Bank Transfer</v>
      </c>
      <c r="V2566" s="4" t="str">
        <f t="shared" si="162"/>
        <v>Normal</v>
      </c>
      <c r="W2566" s="4" t="str">
        <f t="shared" si="163"/>
        <v>Good</v>
      </c>
      <c r="X2566" s="4">
        <f>AVERAGE(Table1[Purchase Amount])</f>
        <v>129.48419400000012</v>
      </c>
    </row>
    <row r="2567" spans="1:24" ht="15" customHeight="1" x14ac:dyDescent="0.25">
      <c r="A2567">
        <v>2566</v>
      </c>
      <c r="B2567">
        <v>30</v>
      </c>
      <c r="C2567" t="s">
        <v>27</v>
      </c>
      <c r="D2567" t="s">
        <v>105</v>
      </c>
      <c r="E2567" t="s">
        <v>18</v>
      </c>
      <c r="F2567" s="2">
        <v>43</v>
      </c>
      <c r="G2567" t="s">
        <v>84</v>
      </c>
      <c r="H2567" t="s">
        <v>55</v>
      </c>
      <c r="I2567" t="s">
        <v>91</v>
      </c>
      <c r="J2567" t="s">
        <v>47</v>
      </c>
      <c r="K2567">
        <v>3.6</v>
      </c>
      <c r="L2567" t="s">
        <v>23</v>
      </c>
      <c r="M2567" t="s">
        <v>48</v>
      </c>
      <c r="N2567" t="s">
        <v>23</v>
      </c>
      <c r="O2567">
        <v>8</v>
      </c>
      <c r="P2567" t="s">
        <v>62</v>
      </c>
      <c r="Q2567" t="s">
        <v>37</v>
      </c>
      <c r="R2567" s="1">
        <v>0.1</v>
      </c>
      <c r="S2567">
        <f t="shared" si="160"/>
        <v>38.700000000000003</v>
      </c>
      <c r="T2567">
        <f>IFERROR(VLOOKUP(A2567,Table1[[Customer ID]:[Discount Amount]], 6, FALSE),"Not Found")</f>
        <v>43</v>
      </c>
      <c r="U2567" t="str">
        <f t="shared" si="161"/>
        <v>Venmo</v>
      </c>
      <c r="V2567" s="4" t="str">
        <f t="shared" si="162"/>
        <v>Normal</v>
      </c>
      <c r="W2567" s="4" t="str">
        <f t="shared" si="163"/>
        <v>Good</v>
      </c>
      <c r="X2567" s="4">
        <f>AVERAGE(Table1[Purchase Amount])</f>
        <v>129.48419400000012</v>
      </c>
    </row>
    <row r="2568" spans="1:24" ht="15" customHeight="1" x14ac:dyDescent="0.25">
      <c r="A2568">
        <v>2567</v>
      </c>
      <c r="B2568">
        <v>35</v>
      </c>
      <c r="C2568" t="s">
        <v>27</v>
      </c>
      <c r="D2568" t="s">
        <v>69</v>
      </c>
      <c r="E2568" t="s">
        <v>29</v>
      </c>
      <c r="F2568" s="2">
        <v>38</v>
      </c>
      <c r="G2568" t="s">
        <v>146</v>
      </c>
      <c r="H2568" t="s">
        <v>55</v>
      </c>
      <c r="I2568" t="s">
        <v>52</v>
      </c>
      <c r="J2568" t="s">
        <v>47</v>
      </c>
      <c r="K2568">
        <v>3.3</v>
      </c>
      <c r="L2568" t="s">
        <v>23</v>
      </c>
      <c r="M2568" t="s">
        <v>24</v>
      </c>
      <c r="N2568" t="s">
        <v>23</v>
      </c>
      <c r="O2568">
        <v>43</v>
      </c>
      <c r="P2568" t="s">
        <v>58</v>
      </c>
      <c r="Q2568" t="s">
        <v>37</v>
      </c>
      <c r="R2568" s="1">
        <v>0.1</v>
      </c>
      <c r="S2568">
        <f t="shared" si="160"/>
        <v>34.200000000000003</v>
      </c>
      <c r="T2568">
        <f>IFERROR(VLOOKUP(A2568,Table1[[Customer ID]:[Discount Amount]], 6, FALSE),"Not Found")</f>
        <v>38</v>
      </c>
      <c r="U2568" t="str">
        <f t="shared" si="161"/>
        <v>PayPal</v>
      </c>
      <c r="V2568" s="4" t="str">
        <f t="shared" si="162"/>
        <v>Normal</v>
      </c>
      <c r="W2568" s="4" t="str">
        <f t="shared" si="163"/>
        <v>Good</v>
      </c>
      <c r="X2568" s="4">
        <f>AVERAGE(Table1[Purchase Amount])</f>
        <v>129.48419400000012</v>
      </c>
    </row>
    <row r="2569" spans="1:24" ht="15" customHeight="1" x14ac:dyDescent="0.25">
      <c r="A2569">
        <v>2568</v>
      </c>
      <c r="B2569">
        <v>19</v>
      </c>
      <c r="C2569" t="s">
        <v>27</v>
      </c>
      <c r="D2569" t="s">
        <v>28</v>
      </c>
      <c r="E2569" t="s">
        <v>29</v>
      </c>
      <c r="F2569" s="2">
        <v>25</v>
      </c>
      <c r="G2569" t="s">
        <v>113</v>
      </c>
      <c r="H2569" t="s">
        <v>20</v>
      </c>
      <c r="I2569" t="s">
        <v>133</v>
      </c>
      <c r="J2569" t="s">
        <v>33</v>
      </c>
      <c r="K2569">
        <v>4.3</v>
      </c>
      <c r="L2569" t="s">
        <v>23</v>
      </c>
      <c r="M2569" t="s">
        <v>48</v>
      </c>
      <c r="N2569" t="s">
        <v>23</v>
      </c>
      <c r="O2569">
        <v>24</v>
      </c>
      <c r="P2569" t="s">
        <v>25</v>
      </c>
      <c r="Q2569" t="s">
        <v>89</v>
      </c>
      <c r="R2569" s="1">
        <v>0.1</v>
      </c>
      <c r="S2569">
        <f t="shared" si="160"/>
        <v>22.5</v>
      </c>
      <c r="T2569">
        <f>IFERROR(VLOOKUP(A2569,Table1[[Customer ID]:[Discount Amount]], 6, FALSE),"Not Found")</f>
        <v>25</v>
      </c>
      <c r="U2569" t="str">
        <f t="shared" si="161"/>
        <v>Cash</v>
      </c>
      <c r="V2569" s="4" t="str">
        <f t="shared" si="162"/>
        <v>Normal</v>
      </c>
      <c r="W2569" s="4" t="str">
        <f t="shared" si="163"/>
        <v>Good</v>
      </c>
      <c r="X2569" s="4">
        <f>AVERAGE(Table1[Purchase Amount])</f>
        <v>129.48419400000012</v>
      </c>
    </row>
    <row r="2570" spans="1:24" ht="15" customHeight="1" x14ac:dyDescent="0.25">
      <c r="A2570">
        <v>2569</v>
      </c>
      <c r="B2570">
        <v>52</v>
      </c>
      <c r="C2570" t="s">
        <v>27</v>
      </c>
      <c r="D2570" t="s">
        <v>17</v>
      </c>
      <c r="E2570" t="s">
        <v>18</v>
      </c>
      <c r="F2570" s="2">
        <v>98</v>
      </c>
      <c r="G2570" t="s">
        <v>152</v>
      </c>
      <c r="H2570" t="s">
        <v>20</v>
      </c>
      <c r="I2570" t="s">
        <v>93</v>
      </c>
      <c r="J2570" t="s">
        <v>22</v>
      </c>
      <c r="K2570">
        <v>4.3</v>
      </c>
      <c r="L2570" t="s">
        <v>23</v>
      </c>
      <c r="M2570" t="s">
        <v>61</v>
      </c>
      <c r="N2570" t="s">
        <v>23</v>
      </c>
      <c r="O2570">
        <v>29</v>
      </c>
      <c r="P2570" t="s">
        <v>58</v>
      </c>
      <c r="Q2570" t="s">
        <v>89</v>
      </c>
      <c r="R2570" s="1">
        <v>0.1</v>
      </c>
      <c r="S2570">
        <f t="shared" si="160"/>
        <v>88.2</v>
      </c>
      <c r="T2570">
        <f>IFERROR(VLOOKUP(A2570,Table1[[Customer ID]:[Discount Amount]], 6, FALSE),"Not Found")</f>
        <v>98</v>
      </c>
      <c r="U2570" t="str">
        <f t="shared" si="161"/>
        <v>PayPal</v>
      </c>
      <c r="V2570" s="4" t="str">
        <f t="shared" si="162"/>
        <v>Normal</v>
      </c>
      <c r="W2570" s="4" t="str">
        <f t="shared" si="163"/>
        <v>Good</v>
      </c>
      <c r="X2570" s="4">
        <f>AVERAGE(Table1[Purchase Amount])</f>
        <v>129.48419400000012</v>
      </c>
    </row>
    <row r="2571" spans="1:24" ht="15" customHeight="1" x14ac:dyDescent="0.25">
      <c r="A2571">
        <v>2570</v>
      </c>
      <c r="B2571">
        <v>42</v>
      </c>
      <c r="C2571" t="s">
        <v>27</v>
      </c>
      <c r="D2571" t="s">
        <v>157</v>
      </c>
      <c r="E2571" t="s">
        <v>18</v>
      </c>
      <c r="F2571" s="2">
        <v>75</v>
      </c>
      <c r="G2571" t="s">
        <v>101</v>
      </c>
      <c r="H2571" t="s">
        <v>31</v>
      </c>
      <c r="I2571" t="s">
        <v>103</v>
      </c>
      <c r="J2571" t="s">
        <v>33</v>
      </c>
      <c r="K2571">
        <v>4.8</v>
      </c>
      <c r="L2571" t="s">
        <v>23</v>
      </c>
      <c r="M2571" t="s">
        <v>35</v>
      </c>
      <c r="N2571" t="s">
        <v>23</v>
      </c>
      <c r="O2571">
        <v>10</v>
      </c>
      <c r="P2571" t="s">
        <v>88</v>
      </c>
      <c r="Q2571" t="s">
        <v>68</v>
      </c>
      <c r="R2571" s="1">
        <v>0.1</v>
      </c>
      <c r="S2571">
        <f t="shared" si="160"/>
        <v>67.5</v>
      </c>
      <c r="T2571">
        <f>IFERROR(VLOOKUP(A2571,Table1[[Customer ID]:[Discount Amount]], 6, FALSE),"Not Found")</f>
        <v>75</v>
      </c>
      <c r="U2571" t="str">
        <f t="shared" si="161"/>
        <v>Bank Transfer</v>
      </c>
      <c r="V2571" s="4" t="str">
        <f t="shared" si="162"/>
        <v>Normal</v>
      </c>
      <c r="W2571" s="4" t="str">
        <f t="shared" si="163"/>
        <v>Good</v>
      </c>
      <c r="X2571" s="4">
        <f>AVERAGE(Table1[Purchase Amount])</f>
        <v>129.48419400000012</v>
      </c>
    </row>
    <row r="2572" spans="1:24" ht="15" customHeight="1" x14ac:dyDescent="0.25">
      <c r="A2572">
        <v>2571</v>
      </c>
      <c r="B2572">
        <v>36</v>
      </c>
      <c r="C2572" t="s">
        <v>27</v>
      </c>
      <c r="D2572" t="s">
        <v>140</v>
      </c>
      <c r="E2572" t="s">
        <v>98</v>
      </c>
      <c r="F2572" s="2">
        <v>27</v>
      </c>
      <c r="G2572" t="s">
        <v>110</v>
      </c>
      <c r="H2572" t="s">
        <v>20</v>
      </c>
      <c r="I2572" t="s">
        <v>21</v>
      </c>
      <c r="J2572" t="s">
        <v>33</v>
      </c>
      <c r="K2572">
        <v>4</v>
      </c>
      <c r="L2572" t="s">
        <v>23</v>
      </c>
      <c r="M2572" t="s">
        <v>48</v>
      </c>
      <c r="N2572" t="s">
        <v>23</v>
      </c>
      <c r="O2572">
        <v>12</v>
      </c>
      <c r="P2572" t="s">
        <v>58</v>
      </c>
      <c r="Q2572" t="s">
        <v>89</v>
      </c>
      <c r="R2572" s="1">
        <v>0.1</v>
      </c>
      <c r="S2572">
        <f t="shared" si="160"/>
        <v>24.3</v>
      </c>
      <c r="T2572">
        <f>IFERROR(VLOOKUP(A2572,Table1[[Customer ID]:[Discount Amount]], 6, FALSE),"Not Found")</f>
        <v>27</v>
      </c>
      <c r="U2572" t="str">
        <f t="shared" si="161"/>
        <v>PayPal</v>
      </c>
      <c r="V2572" s="4" t="str">
        <f t="shared" si="162"/>
        <v>Normal</v>
      </c>
      <c r="W2572" s="4" t="str">
        <f t="shared" si="163"/>
        <v>Good</v>
      </c>
      <c r="X2572" s="4">
        <f>AVERAGE(Table1[Purchase Amount])</f>
        <v>129.48419400000012</v>
      </c>
    </row>
    <row r="2573" spans="1:24" ht="15" customHeight="1" x14ac:dyDescent="0.25">
      <c r="A2573">
        <v>2572</v>
      </c>
      <c r="B2573">
        <v>45</v>
      </c>
      <c r="C2573" t="s">
        <v>27</v>
      </c>
      <c r="D2573" t="s">
        <v>28</v>
      </c>
      <c r="E2573" t="s">
        <v>29</v>
      </c>
      <c r="F2573" s="2">
        <v>27</v>
      </c>
      <c r="G2573" t="s">
        <v>149</v>
      </c>
      <c r="H2573" t="s">
        <v>45</v>
      </c>
      <c r="I2573" t="s">
        <v>40</v>
      </c>
      <c r="J2573" t="s">
        <v>22</v>
      </c>
      <c r="K2573">
        <v>3.5</v>
      </c>
      <c r="L2573" t="s">
        <v>23</v>
      </c>
      <c r="M2573" t="s">
        <v>24</v>
      </c>
      <c r="N2573" t="s">
        <v>23</v>
      </c>
      <c r="O2573">
        <v>48</v>
      </c>
      <c r="P2573" t="s">
        <v>25</v>
      </c>
      <c r="Q2573" t="s">
        <v>89</v>
      </c>
      <c r="R2573" s="1">
        <v>0.1</v>
      </c>
      <c r="S2573">
        <f t="shared" si="160"/>
        <v>24.3</v>
      </c>
      <c r="T2573">
        <f>IFERROR(VLOOKUP(A2573,Table1[[Customer ID]:[Discount Amount]], 6, FALSE),"Not Found")</f>
        <v>27</v>
      </c>
      <c r="U2573" t="str">
        <f t="shared" si="161"/>
        <v>Cash</v>
      </c>
      <c r="V2573" s="4" t="str">
        <f t="shared" si="162"/>
        <v>Normal</v>
      </c>
      <c r="W2573" s="4" t="str">
        <f t="shared" si="163"/>
        <v>Good</v>
      </c>
      <c r="X2573" s="4">
        <f>AVERAGE(Table1[Purchase Amount])</f>
        <v>129.48419400000012</v>
      </c>
    </row>
    <row r="2574" spans="1:24" ht="15" customHeight="1" x14ac:dyDescent="0.25">
      <c r="A2574">
        <v>2573</v>
      </c>
      <c r="B2574">
        <v>54</v>
      </c>
      <c r="C2574" t="s">
        <v>27</v>
      </c>
      <c r="D2574" t="s">
        <v>118</v>
      </c>
      <c r="E2574" t="s">
        <v>18</v>
      </c>
      <c r="F2574" s="2">
        <v>42</v>
      </c>
      <c r="G2574" t="s">
        <v>155</v>
      </c>
      <c r="H2574" t="s">
        <v>31</v>
      </c>
      <c r="I2574" t="s">
        <v>153</v>
      </c>
      <c r="J2574" t="s">
        <v>47</v>
      </c>
      <c r="K2574">
        <v>3.9</v>
      </c>
      <c r="L2574" t="s">
        <v>23</v>
      </c>
      <c r="M2574" t="s">
        <v>79</v>
      </c>
      <c r="N2574" t="s">
        <v>23</v>
      </c>
      <c r="O2574">
        <v>40</v>
      </c>
      <c r="P2574" t="s">
        <v>88</v>
      </c>
      <c r="Q2574" t="s">
        <v>37</v>
      </c>
      <c r="R2574" s="1">
        <v>0.1</v>
      </c>
      <c r="S2574">
        <f t="shared" si="160"/>
        <v>37.799999999999997</v>
      </c>
      <c r="T2574">
        <f>IFERROR(VLOOKUP(A2574,Table1[[Customer ID]:[Discount Amount]], 6, FALSE),"Not Found")</f>
        <v>42</v>
      </c>
      <c r="U2574" t="str">
        <f t="shared" si="161"/>
        <v>Bank Transfer</v>
      </c>
      <c r="V2574" s="4" t="str">
        <f t="shared" si="162"/>
        <v>Normal</v>
      </c>
      <c r="W2574" s="4" t="str">
        <f t="shared" si="163"/>
        <v>Good</v>
      </c>
      <c r="X2574" s="4">
        <f>AVERAGE(Table1[Purchase Amount])</f>
        <v>129.48419400000012</v>
      </c>
    </row>
    <row r="2575" spans="1:24" ht="15" customHeight="1" x14ac:dyDescent="0.25">
      <c r="A2575">
        <v>2574</v>
      </c>
      <c r="B2575">
        <v>54</v>
      </c>
      <c r="C2575" t="s">
        <v>27</v>
      </c>
      <c r="D2575" t="s">
        <v>17</v>
      </c>
      <c r="E2575" t="s">
        <v>18</v>
      </c>
      <c r="F2575" s="2">
        <v>90</v>
      </c>
      <c r="G2575" t="s">
        <v>110</v>
      </c>
      <c r="H2575" t="s">
        <v>31</v>
      </c>
      <c r="I2575" t="s">
        <v>46</v>
      </c>
      <c r="J2575" t="s">
        <v>57</v>
      </c>
      <c r="K2575">
        <v>4.4000000000000004</v>
      </c>
      <c r="L2575" t="s">
        <v>23</v>
      </c>
      <c r="M2575" t="s">
        <v>48</v>
      </c>
      <c r="N2575" t="s">
        <v>23</v>
      </c>
      <c r="O2575">
        <v>1</v>
      </c>
      <c r="P2575" t="s">
        <v>88</v>
      </c>
      <c r="Q2575" t="s">
        <v>49</v>
      </c>
      <c r="R2575" s="1">
        <v>0.1</v>
      </c>
      <c r="S2575">
        <f t="shared" si="160"/>
        <v>81</v>
      </c>
      <c r="T2575">
        <f>IFERROR(VLOOKUP(A2575,Table1[[Customer ID]:[Discount Amount]], 6, FALSE),"Not Found")</f>
        <v>90</v>
      </c>
      <c r="U2575" t="str">
        <f t="shared" si="161"/>
        <v>Bank Transfer</v>
      </c>
      <c r="V2575" s="4" t="str">
        <f t="shared" si="162"/>
        <v>Normal</v>
      </c>
      <c r="W2575" s="4" t="str">
        <f t="shared" si="163"/>
        <v>Good</v>
      </c>
      <c r="X2575" s="4">
        <f>AVERAGE(Table1[Purchase Amount])</f>
        <v>129.48419400000012</v>
      </c>
    </row>
    <row r="2576" spans="1:24" ht="15" customHeight="1" x14ac:dyDescent="0.25">
      <c r="A2576">
        <v>2575</v>
      </c>
      <c r="B2576">
        <v>27</v>
      </c>
      <c r="C2576" t="s">
        <v>27</v>
      </c>
      <c r="D2576" t="s">
        <v>64</v>
      </c>
      <c r="E2576" t="s">
        <v>29</v>
      </c>
      <c r="F2576" s="2">
        <v>63</v>
      </c>
      <c r="G2576" t="s">
        <v>67</v>
      </c>
      <c r="H2576" t="s">
        <v>31</v>
      </c>
      <c r="I2576" t="s">
        <v>60</v>
      </c>
      <c r="J2576" t="s">
        <v>57</v>
      </c>
      <c r="K2576">
        <v>4.5999999999999996</v>
      </c>
      <c r="L2576" t="s">
        <v>23</v>
      </c>
      <c r="M2576" t="s">
        <v>41</v>
      </c>
      <c r="N2576" t="s">
        <v>23</v>
      </c>
      <c r="O2576">
        <v>26</v>
      </c>
      <c r="P2576" t="s">
        <v>53</v>
      </c>
      <c r="Q2576" t="s">
        <v>89</v>
      </c>
      <c r="R2576" s="1">
        <v>0.1</v>
      </c>
      <c r="S2576">
        <f t="shared" si="160"/>
        <v>56.7</v>
      </c>
      <c r="T2576">
        <f>IFERROR(VLOOKUP(A2576,Table1[[Customer ID]:[Discount Amount]], 6, FALSE),"Not Found")</f>
        <v>63</v>
      </c>
      <c r="U2576" t="str">
        <f t="shared" si="161"/>
        <v>Credit Card</v>
      </c>
      <c r="V2576" s="4" t="str">
        <f t="shared" si="162"/>
        <v>Normal</v>
      </c>
      <c r="W2576" s="4" t="str">
        <f t="shared" si="163"/>
        <v>Good</v>
      </c>
      <c r="X2576" s="4">
        <f>AVERAGE(Table1[Purchase Amount])</f>
        <v>129.48419400000012</v>
      </c>
    </row>
    <row r="2577" spans="1:24" ht="15" customHeight="1" x14ac:dyDescent="0.25">
      <c r="A2577">
        <v>2576</v>
      </c>
      <c r="B2577">
        <v>53</v>
      </c>
      <c r="C2577" t="s">
        <v>27</v>
      </c>
      <c r="D2577" t="s">
        <v>54</v>
      </c>
      <c r="E2577" t="s">
        <v>18</v>
      </c>
      <c r="F2577" s="2">
        <v>96</v>
      </c>
      <c r="G2577" t="s">
        <v>120</v>
      </c>
      <c r="H2577" t="s">
        <v>31</v>
      </c>
      <c r="I2577" t="s">
        <v>153</v>
      </c>
      <c r="J2577" t="s">
        <v>47</v>
      </c>
      <c r="K2577">
        <v>4</v>
      </c>
      <c r="L2577" t="s">
        <v>23</v>
      </c>
      <c r="M2577" t="s">
        <v>61</v>
      </c>
      <c r="N2577" t="s">
        <v>23</v>
      </c>
      <c r="O2577">
        <v>9</v>
      </c>
      <c r="P2577" t="s">
        <v>58</v>
      </c>
      <c r="Q2577" t="s">
        <v>49</v>
      </c>
      <c r="R2577" s="1">
        <v>0.1</v>
      </c>
      <c r="S2577">
        <f t="shared" si="160"/>
        <v>86.4</v>
      </c>
      <c r="T2577">
        <f>IFERROR(VLOOKUP(A2577,Table1[[Customer ID]:[Discount Amount]], 6, FALSE),"Not Found")</f>
        <v>96</v>
      </c>
      <c r="U2577" t="str">
        <f t="shared" si="161"/>
        <v>PayPal</v>
      </c>
      <c r="V2577" s="4" t="str">
        <f t="shared" si="162"/>
        <v>Normal</v>
      </c>
      <c r="W2577" s="4" t="str">
        <f t="shared" si="163"/>
        <v>Good</v>
      </c>
      <c r="X2577" s="4">
        <f>AVERAGE(Table1[Purchase Amount])</f>
        <v>129.48419400000012</v>
      </c>
    </row>
    <row r="2578" spans="1:24" ht="15" customHeight="1" x14ac:dyDescent="0.25">
      <c r="A2578">
        <v>2577</v>
      </c>
      <c r="B2578">
        <v>20</v>
      </c>
      <c r="C2578" t="s">
        <v>27</v>
      </c>
      <c r="D2578" t="s">
        <v>83</v>
      </c>
      <c r="E2578" t="s">
        <v>18</v>
      </c>
      <c r="F2578" s="2">
        <v>40</v>
      </c>
      <c r="G2578" t="s">
        <v>132</v>
      </c>
      <c r="H2578" t="s">
        <v>31</v>
      </c>
      <c r="I2578" t="s">
        <v>153</v>
      </c>
      <c r="J2578" t="s">
        <v>22</v>
      </c>
      <c r="K2578">
        <v>4.2</v>
      </c>
      <c r="L2578" t="s">
        <v>23</v>
      </c>
      <c r="M2578" t="s">
        <v>35</v>
      </c>
      <c r="N2578" t="s">
        <v>23</v>
      </c>
      <c r="O2578">
        <v>19</v>
      </c>
      <c r="P2578" t="s">
        <v>36</v>
      </c>
      <c r="Q2578" t="s">
        <v>37</v>
      </c>
      <c r="R2578" s="1">
        <v>0.1</v>
      </c>
      <c r="S2578">
        <f t="shared" si="160"/>
        <v>36</v>
      </c>
      <c r="T2578">
        <f>IFERROR(VLOOKUP(A2578,Table1[[Customer ID]:[Discount Amount]], 6, FALSE),"Not Found")</f>
        <v>40</v>
      </c>
      <c r="U2578" t="str">
        <f t="shared" si="161"/>
        <v>Debit Card</v>
      </c>
      <c r="V2578" s="4" t="str">
        <f t="shared" si="162"/>
        <v>Normal</v>
      </c>
      <c r="W2578" s="4" t="str">
        <f t="shared" si="163"/>
        <v>Good</v>
      </c>
      <c r="X2578" s="4">
        <f>AVERAGE(Table1[Purchase Amount])</f>
        <v>129.48419400000012</v>
      </c>
    </row>
    <row r="2579" spans="1:24" ht="15" customHeight="1" x14ac:dyDescent="0.25">
      <c r="A2579">
        <v>2578</v>
      </c>
      <c r="B2579">
        <v>52</v>
      </c>
      <c r="C2579" t="s">
        <v>27</v>
      </c>
      <c r="D2579" t="s">
        <v>105</v>
      </c>
      <c r="E2579" t="s">
        <v>18</v>
      </c>
      <c r="F2579" s="2">
        <v>39</v>
      </c>
      <c r="G2579" t="s">
        <v>120</v>
      </c>
      <c r="H2579" t="s">
        <v>45</v>
      </c>
      <c r="I2579" t="s">
        <v>40</v>
      </c>
      <c r="J2579" t="s">
        <v>47</v>
      </c>
      <c r="K2579">
        <v>4.5</v>
      </c>
      <c r="L2579" t="s">
        <v>23</v>
      </c>
      <c r="M2579" t="s">
        <v>79</v>
      </c>
      <c r="N2579" t="s">
        <v>23</v>
      </c>
      <c r="O2579">
        <v>37</v>
      </c>
      <c r="P2579" t="s">
        <v>88</v>
      </c>
      <c r="Q2579" t="s">
        <v>42</v>
      </c>
      <c r="R2579" s="1">
        <v>0.1</v>
      </c>
      <c r="S2579">
        <f t="shared" si="160"/>
        <v>35.1</v>
      </c>
      <c r="T2579">
        <f>IFERROR(VLOOKUP(A2579,Table1[[Customer ID]:[Discount Amount]], 6, FALSE),"Not Found")</f>
        <v>39</v>
      </c>
      <c r="U2579" t="str">
        <f t="shared" si="161"/>
        <v>Bank Transfer</v>
      </c>
      <c r="V2579" s="4" t="str">
        <f t="shared" si="162"/>
        <v>Normal</v>
      </c>
      <c r="W2579" s="4" t="str">
        <f t="shared" si="163"/>
        <v>Good</v>
      </c>
      <c r="X2579" s="4">
        <f>AVERAGE(Table1[Purchase Amount])</f>
        <v>129.48419400000012</v>
      </c>
    </row>
    <row r="2580" spans="1:24" ht="15" customHeight="1" x14ac:dyDescent="0.25">
      <c r="A2580">
        <v>2579</v>
      </c>
      <c r="B2580">
        <v>54</v>
      </c>
      <c r="C2580" t="s">
        <v>27</v>
      </c>
      <c r="D2580" t="s">
        <v>28</v>
      </c>
      <c r="E2580" t="s">
        <v>29</v>
      </c>
      <c r="F2580" s="2">
        <v>48</v>
      </c>
      <c r="G2580" t="s">
        <v>84</v>
      </c>
      <c r="H2580" t="s">
        <v>31</v>
      </c>
      <c r="I2580" t="s">
        <v>66</v>
      </c>
      <c r="J2580" t="s">
        <v>47</v>
      </c>
      <c r="K2580">
        <v>3.9</v>
      </c>
      <c r="L2580" t="s">
        <v>23</v>
      </c>
      <c r="M2580" t="s">
        <v>35</v>
      </c>
      <c r="N2580" t="s">
        <v>23</v>
      </c>
      <c r="O2580">
        <v>3</v>
      </c>
      <c r="P2580" t="s">
        <v>25</v>
      </c>
      <c r="Q2580" t="s">
        <v>37</v>
      </c>
      <c r="R2580" s="1">
        <v>0.1</v>
      </c>
      <c r="S2580">
        <f t="shared" si="160"/>
        <v>43.2</v>
      </c>
      <c r="T2580">
        <f>IFERROR(VLOOKUP(A2580,Table1[[Customer ID]:[Discount Amount]], 6, FALSE),"Not Found")</f>
        <v>48</v>
      </c>
      <c r="U2580" t="str">
        <f t="shared" si="161"/>
        <v>Cash</v>
      </c>
      <c r="V2580" s="4" t="str">
        <f t="shared" si="162"/>
        <v>Normal</v>
      </c>
      <c r="W2580" s="4" t="str">
        <f t="shared" si="163"/>
        <v>Good</v>
      </c>
      <c r="X2580" s="4">
        <f>AVERAGE(Table1[Purchase Amount])</f>
        <v>129.48419400000012</v>
      </c>
    </row>
    <row r="2581" spans="1:24" ht="15" customHeight="1" x14ac:dyDescent="0.25">
      <c r="A2581">
        <v>2580</v>
      </c>
      <c r="B2581">
        <v>65</v>
      </c>
      <c r="C2581" t="s">
        <v>27</v>
      </c>
      <c r="D2581" t="s">
        <v>118</v>
      </c>
      <c r="E2581" t="s">
        <v>18</v>
      </c>
      <c r="F2581" s="2">
        <v>20</v>
      </c>
      <c r="G2581" t="s">
        <v>120</v>
      </c>
      <c r="H2581" t="s">
        <v>31</v>
      </c>
      <c r="I2581" t="s">
        <v>66</v>
      </c>
      <c r="J2581" t="s">
        <v>57</v>
      </c>
      <c r="K2581">
        <v>3.7</v>
      </c>
      <c r="L2581" t="s">
        <v>23</v>
      </c>
      <c r="M2581" t="s">
        <v>61</v>
      </c>
      <c r="N2581" t="s">
        <v>23</v>
      </c>
      <c r="O2581">
        <v>40</v>
      </c>
      <c r="P2581" t="s">
        <v>62</v>
      </c>
      <c r="Q2581" t="s">
        <v>26</v>
      </c>
      <c r="R2581" s="1">
        <v>0.1</v>
      </c>
      <c r="S2581">
        <f t="shared" si="160"/>
        <v>18</v>
      </c>
      <c r="T2581">
        <f>IFERROR(VLOOKUP(A2581,Table1[[Customer ID]:[Discount Amount]], 6, FALSE),"Not Found")</f>
        <v>20</v>
      </c>
      <c r="U2581" t="str">
        <f t="shared" si="161"/>
        <v>Venmo</v>
      </c>
      <c r="V2581" s="4" t="str">
        <f t="shared" si="162"/>
        <v>Normal</v>
      </c>
      <c r="W2581" s="4" t="str">
        <f t="shared" si="163"/>
        <v>Good</v>
      </c>
      <c r="X2581" s="4">
        <f>AVERAGE(Table1[Purchase Amount])</f>
        <v>129.48419400000012</v>
      </c>
    </row>
    <row r="2582" spans="1:24" ht="15" customHeight="1" x14ac:dyDescent="0.25">
      <c r="A2582">
        <v>2581</v>
      </c>
      <c r="B2582">
        <v>43</v>
      </c>
      <c r="C2582" t="s">
        <v>27</v>
      </c>
      <c r="D2582" t="s">
        <v>109</v>
      </c>
      <c r="E2582" t="s">
        <v>18</v>
      </c>
      <c r="F2582" s="2">
        <v>29</v>
      </c>
      <c r="G2582" t="s">
        <v>97</v>
      </c>
      <c r="H2582" t="s">
        <v>55</v>
      </c>
      <c r="I2582" t="s">
        <v>156</v>
      </c>
      <c r="J2582" t="s">
        <v>57</v>
      </c>
      <c r="K2582">
        <v>3.6</v>
      </c>
      <c r="L2582" t="s">
        <v>23</v>
      </c>
      <c r="M2582" t="s">
        <v>48</v>
      </c>
      <c r="N2582" t="s">
        <v>23</v>
      </c>
      <c r="O2582">
        <v>13</v>
      </c>
      <c r="P2582" t="s">
        <v>88</v>
      </c>
      <c r="Q2582" t="s">
        <v>37</v>
      </c>
      <c r="R2582" s="1">
        <v>0.1</v>
      </c>
      <c r="S2582">
        <f t="shared" si="160"/>
        <v>26.1</v>
      </c>
      <c r="T2582">
        <f>IFERROR(VLOOKUP(A2582,Table1[[Customer ID]:[Discount Amount]], 6, FALSE),"Not Found")</f>
        <v>29</v>
      </c>
      <c r="U2582" t="str">
        <f t="shared" si="161"/>
        <v>Bank Transfer</v>
      </c>
      <c r="V2582" s="4" t="str">
        <f t="shared" si="162"/>
        <v>Normal</v>
      </c>
      <c r="W2582" s="4" t="str">
        <f t="shared" si="163"/>
        <v>Good</v>
      </c>
      <c r="X2582" s="4">
        <f>AVERAGE(Table1[Purchase Amount])</f>
        <v>129.48419400000012</v>
      </c>
    </row>
    <row r="2583" spans="1:24" ht="15" customHeight="1" x14ac:dyDescent="0.25">
      <c r="A2583">
        <v>2582</v>
      </c>
      <c r="B2583">
        <v>57</v>
      </c>
      <c r="C2583" t="s">
        <v>27</v>
      </c>
      <c r="D2583" t="s">
        <v>157</v>
      </c>
      <c r="E2583" t="s">
        <v>18</v>
      </c>
      <c r="F2583" s="2">
        <v>81</v>
      </c>
      <c r="G2583" t="s">
        <v>162</v>
      </c>
      <c r="H2583" t="s">
        <v>31</v>
      </c>
      <c r="I2583" t="s">
        <v>133</v>
      </c>
      <c r="J2583" t="s">
        <v>22</v>
      </c>
      <c r="K2583">
        <v>4.7</v>
      </c>
      <c r="L2583" t="s">
        <v>23</v>
      </c>
      <c r="M2583" t="s">
        <v>61</v>
      </c>
      <c r="N2583" t="s">
        <v>23</v>
      </c>
      <c r="O2583">
        <v>48</v>
      </c>
      <c r="P2583" t="s">
        <v>53</v>
      </c>
      <c r="Q2583" t="s">
        <v>42</v>
      </c>
      <c r="R2583" s="1">
        <v>0.1</v>
      </c>
      <c r="S2583">
        <f t="shared" si="160"/>
        <v>72.900000000000006</v>
      </c>
      <c r="T2583">
        <f>IFERROR(VLOOKUP(A2583,Table1[[Customer ID]:[Discount Amount]], 6, FALSE),"Not Found")</f>
        <v>81</v>
      </c>
      <c r="U2583" t="str">
        <f t="shared" si="161"/>
        <v>Credit Card</v>
      </c>
      <c r="V2583" s="4" t="str">
        <f t="shared" si="162"/>
        <v>Normal</v>
      </c>
      <c r="W2583" s="4" t="str">
        <f t="shared" si="163"/>
        <v>Good</v>
      </c>
      <c r="X2583" s="4">
        <f>AVERAGE(Table1[Purchase Amount])</f>
        <v>129.48419400000012</v>
      </c>
    </row>
    <row r="2584" spans="1:24" ht="15" customHeight="1" x14ac:dyDescent="0.25">
      <c r="A2584">
        <v>2583</v>
      </c>
      <c r="B2584">
        <v>19</v>
      </c>
      <c r="C2584" t="s">
        <v>27</v>
      </c>
      <c r="D2584" t="s">
        <v>157</v>
      </c>
      <c r="E2584" t="s">
        <v>18</v>
      </c>
      <c r="F2584" s="2">
        <v>98</v>
      </c>
      <c r="G2584" t="s">
        <v>130</v>
      </c>
      <c r="H2584" t="s">
        <v>55</v>
      </c>
      <c r="I2584" t="s">
        <v>91</v>
      </c>
      <c r="J2584" t="s">
        <v>47</v>
      </c>
      <c r="K2584">
        <v>3.6</v>
      </c>
      <c r="L2584" t="s">
        <v>23</v>
      </c>
      <c r="M2584" t="s">
        <v>41</v>
      </c>
      <c r="N2584" t="s">
        <v>23</v>
      </c>
      <c r="O2584">
        <v>4</v>
      </c>
      <c r="P2584" t="s">
        <v>62</v>
      </c>
      <c r="Q2584" t="s">
        <v>63</v>
      </c>
      <c r="R2584" s="1">
        <v>0.1</v>
      </c>
      <c r="S2584">
        <f t="shared" si="160"/>
        <v>88.2</v>
      </c>
      <c r="T2584">
        <f>IFERROR(VLOOKUP(A2584,Table1[[Customer ID]:[Discount Amount]], 6, FALSE),"Not Found")</f>
        <v>98</v>
      </c>
      <c r="U2584" t="str">
        <f t="shared" si="161"/>
        <v>Venmo</v>
      </c>
      <c r="V2584" s="4" t="str">
        <f t="shared" si="162"/>
        <v>Normal</v>
      </c>
      <c r="W2584" s="4" t="str">
        <f t="shared" si="163"/>
        <v>Good</v>
      </c>
      <c r="X2584" s="4">
        <f>AVERAGE(Table1[Purchase Amount])</f>
        <v>129.48419400000012</v>
      </c>
    </row>
    <row r="2585" spans="1:24" ht="15" customHeight="1" x14ac:dyDescent="0.25">
      <c r="A2585">
        <v>2584</v>
      </c>
      <c r="B2585">
        <v>69</v>
      </c>
      <c r="C2585" t="s">
        <v>27</v>
      </c>
      <c r="D2585" t="s">
        <v>109</v>
      </c>
      <c r="E2585" t="s">
        <v>18</v>
      </c>
      <c r="F2585" s="2">
        <v>93</v>
      </c>
      <c r="G2585" t="s">
        <v>142</v>
      </c>
      <c r="H2585" t="s">
        <v>31</v>
      </c>
      <c r="I2585" t="s">
        <v>107</v>
      </c>
      <c r="J2585" t="s">
        <v>47</v>
      </c>
      <c r="K2585">
        <v>2.5</v>
      </c>
      <c r="L2585" t="s">
        <v>23</v>
      </c>
      <c r="M2585" t="s">
        <v>79</v>
      </c>
      <c r="N2585" t="s">
        <v>23</v>
      </c>
      <c r="O2585">
        <v>9</v>
      </c>
      <c r="P2585" t="s">
        <v>25</v>
      </c>
      <c r="Q2585" t="s">
        <v>26</v>
      </c>
      <c r="R2585" s="1">
        <v>0.1</v>
      </c>
      <c r="S2585">
        <f t="shared" si="160"/>
        <v>83.7</v>
      </c>
      <c r="T2585">
        <f>IFERROR(VLOOKUP(A2585,Table1[[Customer ID]:[Discount Amount]], 6, FALSE),"Not Found")</f>
        <v>93</v>
      </c>
      <c r="U2585" t="str">
        <f t="shared" si="161"/>
        <v>Cash</v>
      </c>
      <c r="V2585" s="4" t="str">
        <f t="shared" si="162"/>
        <v>Normal</v>
      </c>
      <c r="W2585" s="4" t="str">
        <f t="shared" si="163"/>
        <v>Poor</v>
      </c>
      <c r="X2585" s="4">
        <f>AVERAGE(Table1[Purchase Amount])</f>
        <v>129.48419400000012</v>
      </c>
    </row>
    <row r="2586" spans="1:24" ht="15" customHeight="1" x14ac:dyDescent="0.25">
      <c r="A2586">
        <v>2585</v>
      </c>
      <c r="B2586">
        <v>26</v>
      </c>
      <c r="C2586" t="s">
        <v>27</v>
      </c>
      <c r="D2586" t="s">
        <v>105</v>
      </c>
      <c r="E2586" t="s">
        <v>18</v>
      </c>
      <c r="F2586" s="2">
        <v>30</v>
      </c>
      <c r="G2586" t="s">
        <v>67</v>
      </c>
      <c r="H2586" t="s">
        <v>45</v>
      </c>
      <c r="I2586" t="s">
        <v>74</v>
      </c>
      <c r="J2586" t="s">
        <v>57</v>
      </c>
      <c r="K2586">
        <v>2.9</v>
      </c>
      <c r="L2586" t="s">
        <v>23</v>
      </c>
      <c r="M2586" t="s">
        <v>48</v>
      </c>
      <c r="N2586" t="s">
        <v>23</v>
      </c>
      <c r="O2586">
        <v>26</v>
      </c>
      <c r="P2586" t="s">
        <v>88</v>
      </c>
      <c r="Q2586" t="s">
        <v>68</v>
      </c>
      <c r="R2586" s="1">
        <v>0.1</v>
      </c>
      <c r="S2586">
        <f t="shared" si="160"/>
        <v>27</v>
      </c>
      <c r="T2586">
        <f>IFERROR(VLOOKUP(A2586,Table1[[Customer ID]:[Discount Amount]], 6, FALSE),"Not Found")</f>
        <v>30</v>
      </c>
      <c r="U2586" t="str">
        <f t="shared" si="161"/>
        <v>Bank Transfer</v>
      </c>
      <c r="V2586" s="4" t="str">
        <f t="shared" si="162"/>
        <v>Normal</v>
      </c>
      <c r="W2586" s="4" t="str">
        <f t="shared" si="163"/>
        <v>Poor</v>
      </c>
      <c r="X2586" s="4">
        <f>AVERAGE(Table1[Purchase Amount])</f>
        <v>129.48419400000012</v>
      </c>
    </row>
    <row r="2587" spans="1:24" ht="15" customHeight="1" x14ac:dyDescent="0.25">
      <c r="A2587">
        <v>2586</v>
      </c>
      <c r="B2587">
        <v>57</v>
      </c>
      <c r="C2587" t="s">
        <v>27</v>
      </c>
      <c r="D2587" t="s">
        <v>28</v>
      </c>
      <c r="E2587" t="s">
        <v>29</v>
      </c>
      <c r="F2587" s="2">
        <v>37</v>
      </c>
      <c r="G2587" t="s">
        <v>59</v>
      </c>
      <c r="H2587" t="s">
        <v>45</v>
      </c>
      <c r="I2587" t="s">
        <v>125</v>
      </c>
      <c r="J2587" t="s">
        <v>47</v>
      </c>
      <c r="K2587">
        <v>4.4000000000000004</v>
      </c>
      <c r="L2587" t="s">
        <v>23</v>
      </c>
      <c r="M2587" t="s">
        <v>35</v>
      </c>
      <c r="N2587" t="s">
        <v>23</v>
      </c>
      <c r="O2587">
        <v>19</v>
      </c>
      <c r="P2587" t="s">
        <v>36</v>
      </c>
      <c r="Q2587" t="s">
        <v>26</v>
      </c>
      <c r="R2587" s="1">
        <v>0.1</v>
      </c>
      <c r="S2587">
        <f t="shared" si="160"/>
        <v>33.299999999999997</v>
      </c>
      <c r="T2587">
        <f>IFERROR(VLOOKUP(A2587,Table1[[Customer ID]:[Discount Amount]], 6, FALSE),"Not Found")</f>
        <v>37</v>
      </c>
      <c r="U2587" t="str">
        <f t="shared" si="161"/>
        <v>Debit Card</v>
      </c>
      <c r="V2587" s="4" t="str">
        <f t="shared" si="162"/>
        <v>Normal</v>
      </c>
      <c r="W2587" s="4" t="str">
        <f t="shared" si="163"/>
        <v>Good</v>
      </c>
      <c r="X2587" s="4">
        <f>AVERAGE(Table1[Purchase Amount])</f>
        <v>129.48419400000012</v>
      </c>
    </row>
    <row r="2588" spans="1:24" ht="15" customHeight="1" x14ac:dyDescent="0.25">
      <c r="A2588">
        <v>2587</v>
      </c>
      <c r="B2588">
        <v>20</v>
      </c>
      <c r="C2588" t="s">
        <v>27</v>
      </c>
      <c r="D2588" t="s">
        <v>76</v>
      </c>
      <c r="E2588" t="s">
        <v>77</v>
      </c>
      <c r="F2588" s="2">
        <v>28</v>
      </c>
      <c r="G2588" t="s">
        <v>94</v>
      </c>
      <c r="H2588" t="s">
        <v>45</v>
      </c>
      <c r="I2588" t="s">
        <v>52</v>
      </c>
      <c r="J2588" t="s">
        <v>22</v>
      </c>
      <c r="K2588">
        <v>4.5999999999999996</v>
      </c>
      <c r="L2588" t="s">
        <v>23</v>
      </c>
      <c r="M2588" t="s">
        <v>61</v>
      </c>
      <c r="N2588" t="s">
        <v>23</v>
      </c>
      <c r="O2588">
        <v>1</v>
      </c>
      <c r="P2588" t="s">
        <v>53</v>
      </c>
      <c r="Q2588" t="s">
        <v>63</v>
      </c>
      <c r="R2588" s="1">
        <v>0.1</v>
      </c>
      <c r="S2588">
        <f t="shared" si="160"/>
        <v>25.2</v>
      </c>
      <c r="T2588">
        <f>IFERROR(VLOOKUP(A2588,Table1[[Customer ID]:[Discount Amount]], 6, FALSE),"Not Found")</f>
        <v>28</v>
      </c>
      <c r="U2588" t="str">
        <f t="shared" si="161"/>
        <v>Credit Card</v>
      </c>
      <c r="V2588" s="4" t="str">
        <f t="shared" si="162"/>
        <v>Normal</v>
      </c>
      <c r="W2588" s="4" t="str">
        <f t="shared" si="163"/>
        <v>Good</v>
      </c>
      <c r="X2588" s="4">
        <f>AVERAGE(Table1[Purchase Amount])</f>
        <v>129.48419400000012</v>
      </c>
    </row>
    <row r="2589" spans="1:24" ht="15" customHeight="1" x14ac:dyDescent="0.25">
      <c r="A2589">
        <v>2588</v>
      </c>
      <c r="B2589">
        <v>55</v>
      </c>
      <c r="C2589" t="s">
        <v>27</v>
      </c>
      <c r="D2589" t="s">
        <v>129</v>
      </c>
      <c r="E2589" t="s">
        <v>29</v>
      </c>
      <c r="F2589" s="2">
        <v>29</v>
      </c>
      <c r="G2589" t="s">
        <v>115</v>
      </c>
      <c r="H2589" t="s">
        <v>31</v>
      </c>
      <c r="I2589" t="s">
        <v>66</v>
      </c>
      <c r="J2589" t="s">
        <v>22</v>
      </c>
      <c r="K2589">
        <v>3.7</v>
      </c>
      <c r="L2589" t="s">
        <v>23</v>
      </c>
      <c r="M2589" t="s">
        <v>61</v>
      </c>
      <c r="N2589" t="s">
        <v>23</v>
      </c>
      <c r="O2589">
        <v>29</v>
      </c>
      <c r="P2589" t="s">
        <v>58</v>
      </c>
      <c r="Q2589" t="s">
        <v>63</v>
      </c>
      <c r="R2589" s="1">
        <v>0.1</v>
      </c>
      <c r="S2589">
        <f t="shared" si="160"/>
        <v>26.1</v>
      </c>
      <c r="T2589">
        <f>IFERROR(VLOOKUP(A2589,Table1[[Customer ID]:[Discount Amount]], 6, FALSE),"Not Found")</f>
        <v>29</v>
      </c>
      <c r="U2589" t="str">
        <f t="shared" si="161"/>
        <v>PayPal</v>
      </c>
      <c r="V2589" s="4" t="str">
        <f t="shared" si="162"/>
        <v>Normal</v>
      </c>
      <c r="W2589" s="4" t="str">
        <f t="shared" si="163"/>
        <v>Good</v>
      </c>
      <c r="X2589" s="4">
        <f>AVERAGE(Table1[Purchase Amount])</f>
        <v>129.48419400000012</v>
      </c>
    </row>
    <row r="2590" spans="1:24" ht="15" customHeight="1" x14ac:dyDescent="0.25">
      <c r="A2590">
        <v>2589</v>
      </c>
      <c r="B2590">
        <v>44</v>
      </c>
      <c r="C2590" t="s">
        <v>27</v>
      </c>
      <c r="D2590" t="s">
        <v>104</v>
      </c>
      <c r="E2590" t="s">
        <v>29</v>
      </c>
      <c r="F2590" s="2">
        <v>49</v>
      </c>
      <c r="G2590" t="s">
        <v>143</v>
      </c>
      <c r="H2590" t="s">
        <v>31</v>
      </c>
      <c r="I2590" t="s">
        <v>145</v>
      </c>
      <c r="J2590" t="s">
        <v>57</v>
      </c>
      <c r="K2590">
        <v>3.2</v>
      </c>
      <c r="L2590" t="s">
        <v>23</v>
      </c>
      <c r="M2590" t="s">
        <v>35</v>
      </c>
      <c r="N2590" t="s">
        <v>23</v>
      </c>
      <c r="O2590">
        <v>38</v>
      </c>
      <c r="P2590" t="s">
        <v>62</v>
      </c>
      <c r="Q2590" t="s">
        <v>68</v>
      </c>
      <c r="R2590" s="1">
        <v>0.1</v>
      </c>
      <c r="S2590">
        <f t="shared" si="160"/>
        <v>44.1</v>
      </c>
      <c r="T2590">
        <f>IFERROR(VLOOKUP(A2590,Table1[[Customer ID]:[Discount Amount]], 6, FALSE),"Not Found")</f>
        <v>49</v>
      </c>
      <c r="U2590" t="str">
        <f t="shared" si="161"/>
        <v>Venmo</v>
      </c>
      <c r="V2590" s="4" t="str">
        <f t="shared" si="162"/>
        <v>Normal</v>
      </c>
      <c r="W2590" s="4" t="str">
        <f t="shared" si="163"/>
        <v>Good</v>
      </c>
      <c r="X2590" s="4">
        <f>AVERAGE(Table1[Purchase Amount])</f>
        <v>129.48419400000012</v>
      </c>
    </row>
    <row r="2591" spans="1:24" ht="15" customHeight="1" x14ac:dyDescent="0.25">
      <c r="A2591">
        <v>2590</v>
      </c>
      <c r="B2591">
        <v>52</v>
      </c>
      <c r="C2591" t="s">
        <v>27</v>
      </c>
      <c r="D2591" t="s">
        <v>99</v>
      </c>
      <c r="E2591" t="s">
        <v>18</v>
      </c>
      <c r="F2591" s="2">
        <v>53</v>
      </c>
      <c r="G2591" t="s">
        <v>86</v>
      </c>
      <c r="H2591" t="s">
        <v>31</v>
      </c>
      <c r="I2591" t="s">
        <v>153</v>
      </c>
      <c r="J2591" t="s">
        <v>22</v>
      </c>
      <c r="K2591">
        <v>4.9000000000000004</v>
      </c>
      <c r="L2591" t="s">
        <v>23</v>
      </c>
      <c r="M2591" t="s">
        <v>41</v>
      </c>
      <c r="N2591" t="s">
        <v>23</v>
      </c>
      <c r="O2591">
        <v>31</v>
      </c>
      <c r="P2591" t="s">
        <v>58</v>
      </c>
      <c r="Q2591" t="s">
        <v>49</v>
      </c>
      <c r="R2591" s="1">
        <v>0.1</v>
      </c>
      <c r="S2591">
        <f t="shared" si="160"/>
        <v>47.7</v>
      </c>
      <c r="T2591">
        <f>IFERROR(VLOOKUP(A2591,Table1[[Customer ID]:[Discount Amount]], 6, FALSE),"Not Found")</f>
        <v>53</v>
      </c>
      <c r="U2591" t="str">
        <f t="shared" si="161"/>
        <v>PayPal</v>
      </c>
      <c r="V2591" s="4" t="str">
        <f t="shared" si="162"/>
        <v>Normal</v>
      </c>
      <c r="W2591" s="4" t="str">
        <f t="shared" si="163"/>
        <v>Good</v>
      </c>
      <c r="X2591" s="4">
        <f>AVERAGE(Table1[Purchase Amount])</f>
        <v>129.48419400000012</v>
      </c>
    </row>
    <row r="2592" spans="1:24" ht="15" customHeight="1" x14ac:dyDescent="0.25">
      <c r="A2592">
        <v>2591</v>
      </c>
      <c r="B2592">
        <v>57</v>
      </c>
      <c r="C2592" t="s">
        <v>27</v>
      </c>
      <c r="D2592" t="s">
        <v>43</v>
      </c>
      <c r="E2592" t="s">
        <v>29</v>
      </c>
      <c r="F2592" s="2">
        <v>66</v>
      </c>
      <c r="G2592" t="s">
        <v>19</v>
      </c>
      <c r="H2592" t="s">
        <v>31</v>
      </c>
      <c r="I2592" t="s">
        <v>156</v>
      </c>
      <c r="J2592" t="s">
        <v>57</v>
      </c>
      <c r="K2592">
        <v>5</v>
      </c>
      <c r="L2592" t="s">
        <v>23</v>
      </c>
      <c r="M2592" t="s">
        <v>35</v>
      </c>
      <c r="N2592" t="s">
        <v>23</v>
      </c>
      <c r="O2592">
        <v>35</v>
      </c>
      <c r="P2592" t="s">
        <v>62</v>
      </c>
      <c r="Q2592" t="s">
        <v>49</v>
      </c>
      <c r="R2592" s="1">
        <v>0.1</v>
      </c>
      <c r="S2592">
        <f t="shared" si="160"/>
        <v>59.4</v>
      </c>
      <c r="T2592">
        <f>IFERROR(VLOOKUP(A2592,Table1[[Customer ID]:[Discount Amount]], 6, FALSE),"Not Found")</f>
        <v>66</v>
      </c>
      <c r="U2592" t="str">
        <f t="shared" si="161"/>
        <v>Venmo</v>
      </c>
      <c r="V2592" s="4" t="str">
        <f t="shared" si="162"/>
        <v>Normal</v>
      </c>
      <c r="W2592" s="4" t="str">
        <f t="shared" si="163"/>
        <v>Good</v>
      </c>
      <c r="X2592" s="4">
        <f>AVERAGE(Table1[Purchase Amount])</f>
        <v>129.48419400000012</v>
      </c>
    </row>
    <row r="2593" spans="1:24" ht="15" customHeight="1" x14ac:dyDescent="0.25">
      <c r="A2593">
        <v>2592</v>
      </c>
      <c r="B2593">
        <v>40</v>
      </c>
      <c r="C2593" t="s">
        <v>27</v>
      </c>
      <c r="D2593" t="s">
        <v>96</v>
      </c>
      <c r="E2593" t="s">
        <v>77</v>
      </c>
      <c r="F2593" s="2">
        <v>61</v>
      </c>
      <c r="G2593" t="s">
        <v>110</v>
      </c>
      <c r="H2593" t="s">
        <v>55</v>
      </c>
      <c r="I2593" t="s">
        <v>21</v>
      </c>
      <c r="J2593" t="s">
        <v>33</v>
      </c>
      <c r="K2593">
        <v>3.3</v>
      </c>
      <c r="L2593" t="s">
        <v>23</v>
      </c>
      <c r="M2593" t="s">
        <v>61</v>
      </c>
      <c r="N2593" t="s">
        <v>23</v>
      </c>
      <c r="O2593">
        <v>40</v>
      </c>
      <c r="P2593" t="s">
        <v>25</v>
      </c>
      <c r="Q2593" t="s">
        <v>37</v>
      </c>
      <c r="R2593" s="1">
        <v>0.1</v>
      </c>
      <c r="S2593">
        <f t="shared" si="160"/>
        <v>54.9</v>
      </c>
      <c r="T2593">
        <f>IFERROR(VLOOKUP(A2593,Table1[[Customer ID]:[Discount Amount]], 6, FALSE),"Not Found")</f>
        <v>61</v>
      </c>
      <c r="U2593" t="str">
        <f t="shared" si="161"/>
        <v>Cash</v>
      </c>
      <c r="V2593" s="4" t="str">
        <f t="shared" si="162"/>
        <v>Normal</v>
      </c>
      <c r="W2593" s="4" t="str">
        <f t="shared" si="163"/>
        <v>Good</v>
      </c>
      <c r="X2593" s="4">
        <f>AVERAGE(Table1[Purchase Amount])</f>
        <v>129.48419400000012</v>
      </c>
    </row>
    <row r="2594" spans="1:24" ht="15" customHeight="1" x14ac:dyDescent="0.25">
      <c r="A2594">
        <v>2593</v>
      </c>
      <c r="B2594">
        <v>23</v>
      </c>
      <c r="C2594" t="s">
        <v>27</v>
      </c>
      <c r="D2594" t="s">
        <v>54</v>
      </c>
      <c r="E2594" t="s">
        <v>18</v>
      </c>
      <c r="F2594" s="2">
        <v>23</v>
      </c>
      <c r="G2594" t="s">
        <v>141</v>
      </c>
      <c r="H2594" t="s">
        <v>20</v>
      </c>
      <c r="I2594" t="s">
        <v>145</v>
      </c>
      <c r="J2594" t="s">
        <v>57</v>
      </c>
      <c r="K2594">
        <v>4.4000000000000004</v>
      </c>
      <c r="L2594" t="s">
        <v>23</v>
      </c>
      <c r="M2594" t="s">
        <v>48</v>
      </c>
      <c r="N2594" t="s">
        <v>23</v>
      </c>
      <c r="O2594">
        <v>13</v>
      </c>
      <c r="P2594" t="s">
        <v>62</v>
      </c>
      <c r="Q2594" t="s">
        <v>37</v>
      </c>
      <c r="R2594" s="1">
        <v>0.1</v>
      </c>
      <c r="S2594">
        <f t="shared" si="160"/>
        <v>20.7</v>
      </c>
      <c r="T2594">
        <f>IFERROR(VLOOKUP(A2594,Table1[[Customer ID]:[Discount Amount]], 6, FALSE),"Not Found")</f>
        <v>23</v>
      </c>
      <c r="U2594" t="str">
        <f t="shared" si="161"/>
        <v>Venmo</v>
      </c>
      <c r="V2594" s="4" t="str">
        <f t="shared" si="162"/>
        <v>Normal</v>
      </c>
      <c r="W2594" s="4" t="str">
        <f t="shared" si="163"/>
        <v>Good</v>
      </c>
      <c r="X2594" s="4">
        <f>AVERAGE(Table1[Purchase Amount])</f>
        <v>129.48419400000012</v>
      </c>
    </row>
    <row r="2595" spans="1:24" ht="15" customHeight="1" x14ac:dyDescent="0.25">
      <c r="A2595">
        <v>2594</v>
      </c>
      <c r="B2595">
        <v>36</v>
      </c>
      <c r="C2595" t="s">
        <v>27</v>
      </c>
      <c r="D2595" t="s">
        <v>99</v>
      </c>
      <c r="E2595" t="s">
        <v>18</v>
      </c>
      <c r="F2595" s="2">
        <v>36</v>
      </c>
      <c r="G2595" t="s">
        <v>92</v>
      </c>
      <c r="H2595" t="s">
        <v>55</v>
      </c>
      <c r="I2595" t="s">
        <v>91</v>
      </c>
      <c r="J2595" t="s">
        <v>47</v>
      </c>
      <c r="K2595">
        <v>4.7</v>
      </c>
      <c r="L2595" t="s">
        <v>23</v>
      </c>
      <c r="M2595" t="s">
        <v>48</v>
      </c>
      <c r="N2595" t="s">
        <v>23</v>
      </c>
      <c r="O2595">
        <v>9</v>
      </c>
      <c r="P2595" t="s">
        <v>88</v>
      </c>
      <c r="Q2595" t="s">
        <v>63</v>
      </c>
      <c r="R2595" s="1">
        <v>0.1</v>
      </c>
      <c r="S2595">
        <f t="shared" si="160"/>
        <v>32.4</v>
      </c>
      <c r="T2595">
        <f>IFERROR(VLOOKUP(A2595,Table1[[Customer ID]:[Discount Amount]], 6, FALSE),"Not Found")</f>
        <v>36</v>
      </c>
      <c r="U2595" t="str">
        <f t="shared" si="161"/>
        <v>Bank Transfer</v>
      </c>
      <c r="V2595" s="4" t="str">
        <f t="shared" si="162"/>
        <v>Normal</v>
      </c>
      <c r="W2595" s="4" t="str">
        <f t="shared" si="163"/>
        <v>Good</v>
      </c>
      <c r="X2595" s="4">
        <f>AVERAGE(Table1[Purchase Amount])</f>
        <v>129.48419400000012</v>
      </c>
    </row>
    <row r="2596" spans="1:24" ht="15" customHeight="1" x14ac:dyDescent="0.25">
      <c r="A2596">
        <v>2595</v>
      </c>
      <c r="B2596">
        <v>59</v>
      </c>
      <c r="C2596" t="s">
        <v>27</v>
      </c>
      <c r="D2596" t="s">
        <v>122</v>
      </c>
      <c r="E2596" t="s">
        <v>18</v>
      </c>
      <c r="F2596" s="2">
        <v>81</v>
      </c>
      <c r="G2596" t="s">
        <v>39</v>
      </c>
      <c r="H2596" t="s">
        <v>45</v>
      </c>
      <c r="I2596" t="s">
        <v>91</v>
      </c>
      <c r="J2596" t="s">
        <v>47</v>
      </c>
      <c r="K2596">
        <v>3.6</v>
      </c>
      <c r="L2596" t="s">
        <v>23</v>
      </c>
      <c r="M2596" t="s">
        <v>35</v>
      </c>
      <c r="N2596" t="s">
        <v>23</v>
      </c>
      <c r="O2596">
        <v>25</v>
      </c>
      <c r="P2596" t="s">
        <v>25</v>
      </c>
      <c r="Q2596" t="s">
        <v>63</v>
      </c>
      <c r="R2596" s="1">
        <v>0.1</v>
      </c>
      <c r="S2596">
        <f t="shared" si="160"/>
        <v>72.900000000000006</v>
      </c>
      <c r="T2596">
        <f>IFERROR(VLOOKUP(A2596,Table1[[Customer ID]:[Discount Amount]], 6, FALSE),"Not Found")</f>
        <v>81</v>
      </c>
      <c r="U2596" t="str">
        <f t="shared" si="161"/>
        <v>Cash</v>
      </c>
      <c r="V2596" s="4" t="str">
        <f t="shared" si="162"/>
        <v>Normal</v>
      </c>
      <c r="W2596" s="4" t="str">
        <f t="shared" si="163"/>
        <v>Good</v>
      </c>
      <c r="X2596" s="4">
        <f>AVERAGE(Table1[Purchase Amount])</f>
        <v>129.48419400000012</v>
      </c>
    </row>
    <row r="2597" spans="1:24" ht="15" customHeight="1" x14ac:dyDescent="0.25">
      <c r="A2597">
        <v>2596</v>
      </c>
      <c r="B2597">
        <v>29</v>
      </c>
      <c r="C2597" t="s">
        <v>27</v>
      </c>
      <c r="D2597" t="s">
        <v>118</v>
      </c>
      <c r="E2597" t="s">
        <v>18</v>
      </c>
      <c r="F2597" s="2">
        <v>56</v>
      </c>
      <c r="G2597" t="s">
        <v>141</v>
      </c>
      <c r="H2597" t="s">
        <v>20</v>
      </c>
      <c r="I2597" t="s">
        <v>125</v>
      </c>
      <c r="J2597" t="s">
        <v>57</v>
      </c>
      <c r="K2597">
        <v>3.2</v>
      </c>
      <c r="L2597" t="s">
        <v>23</v>
      </c>
      <c r="M2597" t="s">
        <v>35</v>
      </c>
      <c r="N2597" t="s">
        <v>23</v>
      </c>
      <c r="O2597">
        <v>3</v>
      </c>
      <c r="P2597" t="s">
        <v>88</v>
      </c>
      <c r="Q2597" t="s">
        <v>68</v>
      </c>
      <c r="R2597" s="1">
        <v>0.1</v>
      </c>
      <c r="S2597">
        <f t="shared" si="160"/>
        <v>50.4</v>
      </c>
      <c r="T2597">
        <f>IFERROR(VLOOKUP(A2597,Table1[[Customer ID]:[Discount Amount]], 6, FALSE),"Not Found")</f>
        <v>56</v>
      </c>
      <c r="U2597" t="str">
        <f t="shared" si="161"/>
        <v>Bank Transfer</v>
      </c>
      <c r="V2597" s="4" t="str">
        <f t="shared" si="162"/>
        <v>Normal</v>
      </c>
      <c r="W2597" s="4" t="str">
        <f t="shared" si="163"/>
        <v>Good</v>
      </c>
      <c r="X2597" s="4">
        <f>AVERAGE(Table1[Purchase Amount])</f>
        <v>129.48419400000012</v>
      </c>
    </row>
    <row r="2598" spans="1:24" ht="15" customHeight="1" x14ac:dyDescent="0.25">
      <c r="A2598">
        <v>2597</v>
      </c>
      <c r="B2598">
        <v>63</v>
      </c>
      <c r="C2598" t="s">
        <v>27</v>
      </c>
      <c r="D2598" t="s">
        <v>38</v>
      </c>
      <c r="E2598" t="s">
        <v>18</v>
      </c>
      <c r="F2598" s="2">
        <v>78</v>
      </c>
      <c r="G2598" t="s">
        <v>119</v>
      </c>
      <c r="H2598" t="s">
        <v>45</v>
      </c>
      <c r="I2598" t="s">
        <v>40</v>
      </c>
      <c r="J2598" t="s">
        <v>33</v>
      </c>
      <c r="K2598">
        <v>3</v>
      </c>
      <c r="L2598" t="s">
        <v>23</v>
      </c>
      <c r="M2598" t="s">
        <v>79</v>
      </c>
      <c r="N2598" t="s">
        <v>23</v>
      </c>
      <c r="O2598">
        <v>35</v>
      </c>
      <c r="P2598" t="s">
        <v>53</v>
      </c>
      <c r="Q2598" t="s">
        <v>42</v>
      </c>
      <c r="R2598" s="1">
        <v>0.1</v>
      </c>
      <c r="S2598">
        <f t="shared" si="160"/>
        <v>70.2</v>
      </c>
      <c r="T2598">
        <f>IFERROR(VLOOKUP(A2598,Table1[[Customer ID]:[Discount Amount]], 6, FALSE),"Not Found")</f>
        <v>78</v>
      </c>
      <c r="U2598" t="str">
        <f t="shared" si="161"/>
        <v>Credit Card</v>
      </c>
      <c r="V2598" s="4" t="str">
        <f t="shared" si="162"/>
        <v>Normal</v>
      </c>
      <c r="W2598" s="4" t="str">
        <f t="shared" si="163"/>
        <v>Good</v>
      </c>
      <c r="X2598" s="4">
        <f>AVERAGE(Table1[Purchase Amount])</f>
        <v>129.48419400000012</v>
      </c>
    </row>
    <row r="2599" spans="1:24" ht="15" customHeight="1" x14ac:dyDescent="0.25">
      <c r="A2599">
        <v>2598</v>
      </c>
      <c r="B2599">
        <v>60</v>
      </c>
      <c r="C2599" t="s">
        <v>27</v>
      </c>
      <c r="D2599" t="s">
        <v>50</v>
      </c>
      <c r="E2599" t="s">
        <v>29</v>
      </c>
      <c r="F2599" s="2">
        <v>25</v>
      </c>
      <c r="G2599" t="s">
        <v>51</v>
      </c>
      <c r="H2599" t="s">
        <v>20</v>
      </c>
      <c r="I2599" t="s">
        <v>147</v>
      </c>
      <c r="J2599" t="s">
        <v>57</v>
      </c>
      <c r="K2599">
        <v>4.4000000000000004</v>
      </c>
      <c r="L2599" t="s">
        <v>23</v>
      </c>
      <c r="M2599" t="s">
        <v>48</v>
      </c>
      <c r="N2599" t="s">
        <v>23</v>
      </c>
      <c r="O2599">
        <v>13</v>
      </c>
      <c r="P2599" t="s">
        <v>62</v>
      </c>
      <c r="Q2599" t="s">
        <v>68</v>
      </c>
      <c r="R2599" s="1">
        <v>0.1</v>
      </c>
      <c r="S2599">
        <f t="shared" si="160"/>
        <v>22.5</v>
      </c>
      <c r="T2599">
        <f>IFERROR(VLOOKUP(A2599,Table1[[Customer ID]:[Discount Amount]], 6, FALSE),"Not Found")</f>
        <v>25</v>
      </c>
      <c r="U2599" t="str">
        <f t="shared" si="161"/>
        <v>Venmo</v>
      </c>
      <c r="V2599" s="4" t="str">
        <f t="shared" si="162"/>
        <v>Normal</v>
      </c>
      <c r="W2599" s="4" t="str">
        <f t="shared" si="163"/>
        <v>Good</v>
      </c>
      <c r="X2599" s="4">
        <f>AVERAGE(Table1[Purchase Amount])</f>
        <v>129.48419400000012</v>
      </c>
    </row>
    <row r="2600" spans="1:24" ht="15" customHeight="1" x14ac:dyDescent="0.25">
      <c r="A2600">
        <v>2599</v>
      </c>
      <c r="B2600">
        <v>64</v>
      </c>
      <c r="C2600" t="s">
        <v>27</v>
      </c>
      <c r="D2600" t="s">
        <v>104</v>
      </c>
      <c r="E2600" t="s">
        <v>29</v>
      </c>
      <c r="F2600" s="2">
        <v>86</v>
      </c>
      <c r="G2600" t="s">
        <v>158</v>
      </c>
      <c r="H2600" t="s">
        <v>20</v>
      </c>
      <c r="I2600" t="s">
        <v>21</v>
      </c>
      <c r="J2600" t="s">
        <v>47</v>
      </c>
      <c r="K2600">
        <v>3.3</v>
      </c>
      <c r="L2600" t="s">
        <v>23</v>
      </c>
      <c r="M2600" t="s">
        <v>61</v>
      </c>
      <c r="N2600" t="s">
        <v>23</v>
      </c>
      <c r="O2600">
        <v>31</v>
      </c>
      <c r="P2600" t="s">
        <v>36</v>
      </c>
      <c r="Q2600" t="s">
        <v>49</v>
      </c>
      <c r="R2600" s="1">
        <v>0.1</v>
      </c>
      <c r="S2600">
        <f t="shared" si="160"/>
        <v>77.400000000000006</v>
      </c>
      <c r="T2600">
        <f>IFERROR(VLOOKUP(A2600,Table1[[Customer ID]:[Discount Amount]], 6, FALSE),"Not Found")</f>
        <v>86</v>
      </c>
      <c r="U2600" t="str">
        <f t="shared" si="161"/>
        <v>Debit Card</v>
      </c>
      <c r="V2600" s="4" t="str">
        <f t="shared" si="162"/>
        <v>Normal</v>
      </c>
      <c r="W2600" s="4" t="str">
        <f t="shared" si="163"/>
        <v>Good</v>
      </c>
      <c r="X2600" s="4">
        <f>AVERAGE(Table1[Purchase Amount])</f>
        <v>129.48419400000012</v>
      </c>
    </row>
    <row r="2601" spans="1:24" ht="15" customHeight="1" x14ac:dyDescent="0.25">
      <c r="A2601">
        <v>2600</v>
      </c>
      <c r="B2601">
        <v>63</v>
      </c>
      <c r="C2601" t="s">
        <v>27</v>
      </c>
      <c r="D2601" t="s">
        <v>50</v>
      </c>
      <c r="E2601" t="s">
        <v>29</v>
      </c>
      <c r="F2601" s="2">
        <v>99</v>
      </c>
      <c r="G2601" t="s">
        <v>84</v>
      </c>
      <c r="H2601" t="s">
        <v>31</v>
      </c>
      <c r="I2601" t="s">
        <v>133</v>
      </c>
      <c r="J2601" t="s">
        <v>22</v>
      </c>
      <c r="K2601">
        <v>3.4</v>
      </c>
      <c r="L2601" t="s">
        <v>23</v>
      </c>
      <c r="M2601" t="s">
        <v>61</v>
      </c>
      <c r="N2601" t="s">
        <v>23</v>
      </c>
      <c r="O2601">
        <v>48</v>
      </c>
      <c r="P2601" t="s">
        <v>53</v>
      </c>
      <c r="Q2601" t="s">
        <v>42</v>
      </c>
      <c r="R2601" s="1">
        <v>0.1</v>
      </c>
      <c r="S2601">
        <f t="shared" si="160"/>
        <v>89.1</v>
      </c>
      <c r="T2601">
        <f>IFERROR(VLOOKUP(A2601,Table1[[Customer ID]:[Discount Amount]], 6, FALSE),"Not Found")</f>
        <v>99</v>
      </c>
      <c r="U2601" t="str">
        <f t="shared" si="161"/>
        <v>Credit Card</v>
      </c>
      <c r="V2601" s="4" t="str">
        <f t="shared" si="162"/>
        <v>Normal</v>
      </c>
      <c r="W2601" s="4" t="str">
        <f t="shared" si="163"/>
        <v>Good</v>
      </c>
      <c r="X2601" s="4">
        <f>AVERAGE(Table1[Purchase Amount])</f>
        <v>129.48419400000012</v>
      </c>
    </row>
    <row r="2602" spans="1:24" ht="15" customHeight="1" x14ac:dyDescent="0.25">
      <c r="A2602">
        <v>2601</v>
      </c>
      <c r="B2602">
        <v>21</v>
      </c>
      <c r="C2602" t="s">
        <v>27</v>
      </c>
      <c r="D2602" t="s">
        <v>114</v>
      </c>
      <c r="E2602" t="s">
        <v>29</v>
      </c>
      <c r="F2602" s="2">
        <v>83</v>
      </c>
      <c r="G2602" t="s">
        <v>101</v>
      </c>
      <c r="H2602" t="s">
        <v>31</v>
      </c>
      <c r="I2602" t="s">
        <v>85</v>
      </c>
      <c r="J2602" t="s">
        <v>47</v>
      </c>
      <c r="K2602">
        <v>3.9</v>
      </c>
      <c r="L2602" t="s">
        <v>23</v>
      </c>
      <c r="M2602" t="s">
        <v>61</v>
      </c>
      <c r="N2602" t="s">
        <v>23</v>
      </c>
      <c r="O2602">
        <v>6</v>
      </c>
      <c r="P2602" t="s">
        <v>88</v>
      </c>
      <c r="Q2602" t="s">
        <v>68</v>
      </c>
      <c r="R2602" s="1">
        <v>0.1</v>
      </c>
      <c r="S2602">
        <f t="shared" si="160"/>
        <v>74.7</v>
      </c>
      <c r="T2602">
        <f>IFERROR(VLOOKUP(A2602,Table1[[Customer ID]:[Discount Amount]], 6, FALSE),"Not Found")</f>
        <v>83</v>
      </c>
      <c r="U2602" t="str">
        <f t="shared" si="161"/>
        <v>Bank Transfer</v>
      </c>
      <c r="V2602" s="4" t="str">
        <f t="shared" si="162"/>
        <v>Normal</v>
      </c>
      <c r="W2602" s="4" t="str">
        <f t="shared" si="163"/>
        <v>Good</v>
      </c>
      <c r="X2602" s="4">
        <f>AVERAGE(Table1[Purchase Amount])</f>
        <v>129.48419400000012</v>
      </c>
    </row>
    <row r="2603" spans="1:24" ht="15" customHeight="1" x14ac:dyDescent="0.25">
      <c r="A2603">
        <v>2602</v>
      </c>
      <c r="B2603">
        <v>61</v>
      </c>
      <c r="C2603" t="s">
        <v>27</v>
      </c>
      <c r="D2603" t="s">
        <v>157</v>
      </c>
      <c r="E2603" t="s">
        <v>18</v>
      </c>
      <c r="F2603" s="2">
        <v>33</v>
      </c>
      <c r="G2603" t="s">
        <v>149</v>
      </c>
      <c r="H2603" t="s">
        <v>45</v>
      </c>
      <c r="I2603" t="s">
        <v>108</v>
      </c>
      <c r="J2603" t="s">
        <v>22</v>
      </c>
      <c r="K2603">
        <v>2.9</v>
      </c>
      <c r="L2603" t="s">
        <v>23</v>
      </c>
      <c r="M2603" t="s">
        <v>48</v>
      </c>
      <c r="N2603" t="s">
        <v>23</v>
      </c>
      <c r="O2603">
        <v>43</v>
      </c>
      <c r="P2603" t="s">
        <v>25</v>
      </c>
      <c r="Q2603" t="s">
        <v>42</v>
      </c>
      <c r="R2603" s="1">
        <v>0.1</v>
      </c>
      <c r="S2603">
        <f t="shared" si="160"/>
        <v>29.7</v>
      </c>
      <c r="T2603">
        <f>IFERROR(VLOOKUP(A2603,Table1[[Customer ID]:[Discount Amount]], 6, FALSE),"Not Found")</f>
        <v>33</v>
      </c>
      <c r="U2603" t="str">
        <f t="shared" si="161"/>
        <v>Cash</v>
      </c>
      <c r="V2603" s="4" t="str">
        <f t="shared" si="162"/>
        <v>Normal</v>
      </c>
      <c r="W2603" s="4" t="str">
        <f t="shared" si="163"/>
        <v>Poor</v>
      </c>
      <c r="X2603" s="4">
        <f>AVERAGE(Table1[Purchase Amount])</f>
        <v>129.48419400000012</v>
      </c>
    </row>
    <row r="2604" spans="1:24" ht="15" customHeight="1" x14ac:dyDescent="0.25">
      <c r="A2604">
        <v>2603</v>
      </c>
      <c r="B2604">
        <v>65</v>
      </c>
      <c r="C2604" t="s">
        <v>27</v>
      </c>
      <c r="D2604" t="s">
        <v>76</v>
      </c>
      <c r="E2604" t="s">
        <v>77</v>
      </c>
      <c r="F2604" s="2">
        <v>44</v>
      </c>
      <c r="G2604" t="s">
        <v>30</v>
      </c>
      <c r="H2604" t="s">
        <v>31</v>
      </c>
      <c r="I2604" t="s">
        <v>40</v>
      </c>
      <c r="J2604" t="s">
        <v>47</v>
      </c>
      <c r="K2604">
        <v>2.9</v>
      </c>
      <c r="L2604" t="s">
        <v>23</v>
      </c>
      <c r="M2604" t="s">
        <v>35</v>
      </c>
      <c r="N2604" t="s">
        <v>23</v>
      </c>
      <c r="O2604">
        <v>1</v>
      </c>
      <c r="P2604" t="s">
        <v>62</v>
      </c>
      <c r="Q2604" t="s">
        <v>37</v>
      </c>
      <c r="R2604" s="1">
        <v>0.1</v>
      </c>
      <c r="S2604">
        <f t="shared" si="160"/>
        <v>39.6</v>
      </c>
      <c r="T2604">
        <f>IFERROR(VLOOKUP(A2604,Table1[[Customer ID]:[Discount Amount]], 6, FALSE),"Not Found")</f>
        <v>44</v>
      </c>
      <c r="U2604" t="str">
        <f t="shared" si="161"/>
        <v>Venmo</v>
      </c>
      <c r="V2604" s="4" t="str">
        <f t="shared" si="162"/>
        <v>Normal</v>
      </c>
      <c r="W2604" s="4" t="str">
        <f t="shared" si="163"/>
        <v>Poor</v>
      </c>
      <c r="X2604" s="4">
        <f>AVERAGE(Table1[Purchase Amount])</f>
        <v>129.48419400000012</v>
      </c>
    </row>
    <row r="2605" spans="1:24" ht="15" customHeight="1" x14ac:dyDescent="0.25">
      <c r="A2605">
        <v>2604</v>
      </c>
      <c r="B2605">
        <v>69</v>
      </c>
      <c r="C2605" t="s">
        <v>27</v>
      </c>
      <c r="D2605" t="s">
        <v>157</v>
      </c>
      <c r="E2605" t="s">
        <v>18</v>
      </c>
      <c r="F2605" s="2">
        <v>58</v>
      </c>
      <c r="G2605" t="s">
        <v>155</v>
      </c>
      <c r="H2605" t="s">
        <v>31</v>
      </c>
      <c r="I2605" t="s">
        <v>147</v>
      </c>
      <c r="J2605" t="s">
        <v>33</v>
      </c>
      <c r="K2605">
        <v>2.7</v>
      </c>
      <c r="L2605" t="s">
        <v>23</v>
      </c>
      <c r="M2605" t="s">
        <v>41</v>
      </c>
      <c r="N2605" t="s">
        <v>23</v>
      </c>
      <c r="O2605">
        <v>8</v>
      </c>
      <c r="P2605" t="s">
        <v>25</v>
      </c>
      <c r="Q2605" t="s">
        <v>49</v>
      </c>
      <c r="R2605" s="1">
        <v>0.1</v>
      </c>
      <c r="S2605">
        <f t="shared" si="160"/>
        <v>52.2</v>
      </c>
      <c r="T2605">
        <f>IFERROR(VLOOKUP(A2605,Table1[[Customer ID]:[Discount Amount]], 6, FALSE),"Not Found")</f>
        <v>58</v>
      </c>
      <c r="U2605" t="str">
        <f t="shared" si="161"/>
        <v>Cash</v>
      </c>
      <c r="V2605" s="4" t="str">
        <f t="shared" si="162"/>
        <v>Normal</v>
      </c>
      <c r="W2605" s="4" t="str">
        <f t="shared" si="163"/>
        <v>Poor</v>
      </c>
      <c r="X2605" s="4">
        <f>AVERAGE(Table1[Purchase Amount])</f>
        <v>129.48419400000012</v>
      </c>
    </row>
    <row r="2606" spans="1:24" ht="15" customHeight="1" x14ac:dyDescent="0.25">
      <c r="A2606">
        <v>2605</v>
      </c>
      <c r="B2606">
        <v>47</v>
      </c>
      <c r="C2606" t="s">
        <v>27</v>
      </c>
      <c r="D2606" t="s">
        <v>127</v>
      </c>
      <c r="E2606" t="s">
        <v>18</v>
      </c>
      <c r="F2606" s="2">
        <v>54</v>
      </c>
      <c r="G2606" t="s">
        <v>92</v>
      </c>
      <c r="H2606" t="s">
        <v>31</v>
      </c>
      <c r="I2606" t="s">
        <v>56</v>
      </c>
      <c r="J2606" t="s">
        <v>33</v>
      </c>
      <c r="K2606">
        <v>3.4</v>
      </c>
      <c r="L2606" t="s">
        <v>23</v>
      </c>
      <c r="M2606" t="s">
        <v>48</v>
      </c>
      <c r="N2606" t="s">
        <v>23</v>
      </c>
      <c r="O2606">
        <v>6</v>
      </c>
      <c r="P2606" t="s">
        <v>36</v>
      </c>
      <c r="Q2606" t="s">
        <v>26</v>
      </c>
      <c r="R2606" s="1">
        <v>0.1</v>
      </c>
      <c r="S2606">
        <f t="shared" si="160"/>
        <v>48.6</v>
      </c>
      <c r="T2606">
        <f>IFERROR(VLOOKUP(A2606,Table1[[Customer ID]:[Discount Amount]], 6, FALSE),"Not Found")</f>
        <v>54</v>
      </c>
      <c r="U2606" t="str">
        <f t="shared" si="161"/>
        <v>Debit Card</v>
      </c>
      <c r="V2606" s="4" t="str">
        <f t="shared" si="162"/>
        <v>Normal</v>
      </c>
      <c r="W2606" s="4" t="str">
        <f t="shared" si="163"/>
        <v>Good</v>
      </c>
      <c r="X2606" s="4">
        <f>AVERAGE(Table1[Purchase Amount])</f>
        <v>129.48419400000012</v>
      </c>
    </row>
    <row r="2607" spans="1:24" ht="15" customHeight="1" x14ac:dyDescent="0.25">
      <c r="A2607">
        <v>2606</v>
      </c>
      <c r="B2607">
        <v>41</v>
      </c>
      <c r="C2607" t="s">
        <v>27</v>
      </c>
      <c r="D2607" t="s">
        <v>83</v>
      </c>
      <c r="E2607" t="s">
        <v>18</v>
      </c>
      <c r="F2607" s="2">
        <v>93</v>
      </c>
      <c r="G2607" t="s">
        <v>158</v>
      </c>
      <c r="H2607" t="s">
        <v>31</v>
      </c>
      <c r="I2607" t="s">
        <v>32</v>
      </c>
      <c r="J2607" t="s">
        <v>33</v>
      </c>
      <c r="K2607">
        <v>3.7</v>
      </c>
      <c r="L2607" t="s">
        <v>23</v>
      </c>
      <c r="M2607" t="s">
        <v>41</v>
      </c>
      <c r="N2607" t="s">
        <v>23</v>
      </c>
      <c r="O2607">
        <v>32</v>
      </c>
      <c r="P2607" t="s">
        <v>62</v>
      </c>
      <c r="Q2607" t="s">
        <v>89</v>
      </c>
      <c r="R2607" s="1">
        <v>0.1</v>
      </c>
      <c r="S2607">
        <f t="shared" si="160"/>
        <v>83.7</v>
      </c>
      <c r="T2607">
        <f>IFERROR(VLOOKUP(A2607,Table1[[Customer ID]:[Discount Amount]], 6, FALSE),"Not Found")</f>
        <v>93</v>
      </c>
      <c r="U2607" t="str">
        <f t="shared" si="161"/>
        <v>Venmo</v>
      </c>
      <c r="V2607" s="4" t="str">
        <f t="shared" si="162"/>
        <v>Normal</v>
      </c>
      <c r="W2607" s="4" t="str">
        <f t="shared" si="163"/>
        <v>Good</v>
      </c>
      <c r="X2607" s="4">
        <f>AVERAGE(Table1[Purchase Amount])</f>
        <v>129.48419400000012</v>
      </c>
    </row>
    <row r="2608" spans="1:24" ht="15" customHeight="1" x14ac:dyDescent="0.25">
      <c r="A2608">
        <v>2607</v>
      </c>
      <c r="B2608">
        <v>68</v>
      </c>
      <c r="C2608" t="s">
        <v>27</v>
      </c>
      <c r="D2608" t="s">
        <v>72</v>
      </c>
      <c r="E2608" t="s">
        <v>98</v>
      </c>
      <c r="F2608" s="2">
        <v>98</v>
      </c>
      <c r="G2608" t="s">
        <v>158</v>
      </c>
      <c r="H2608" t="s">
        <v>45</v>
      </c>
      <c r="I2608" t="s">
        <v>156</v>
      </c>
      <c r="J2608" t="s">
        <v>33</v>
      </c>
      <c r="K2608">
        <v>4.7</v>
      </c>
      <c r="L2608" t="s">
        <v>23</v>
      </c>
      <c r="M2608" t="s">
        <v>24</v>
      </c>
      <c r="N2608" t="s">
        <v>23</v>
      </c>
      <c r="O2608">
        <v>46</v>
      </c>
      <c r="P2608" t="s">
        <v>88</v>
      </c>
      <c r="Q2608" t="s">
        <v>68</v>
      </c>
      <c r="R2608" s="1">
        <v>0.1</v>
      </c>
      <c r="S2608">
        <f t="shared" si="160"/>
        <v>88.2</v>
      </c>
      <c r="T2608">
        <f>IFERROR(VLOOKUP(A2608,Table1[[Customer ID]:[Discount Amount]], 6, FALSE),"Not Found")</f>
        <v>98</v>
      </c>
      <c r="U2608" t="str">
        <f t="shared" si="161"/>
        <v>Bank Transfer</v>
      </c>
      <c r="V2608" s="4" t="str">
        <f t="shared" si="162"/>
        <v>Normal</v>
      </c>
      <c r="W2608" s="4" t="str">
        <f t="shared" si="163"/>
        <v>Good</v>
      </c>
      <c r="X2608" s="4">
        <f>AVERAGE(Table1[Purchase Amount])</f>
        <v>129.48419400000012</v>
      </c>
    </row>
    <row r="2609" spans="1:24" ht="15" customHeight="1" x14ac:dyDescent="0.25">
      <c r="A2609">
        <v>2608</v>
      </c>
      <c r="B2609">
        <v>41</v>
      </c>
      <c r="C2609" t="s">
        <v>27</v>
      </c>
      <c r="D2609" t="s">
        <v>72</v>
      </c>
      <c r="E2609" t="s">
        <v>98</v>
      </c>
      <c r="F2609" s="2">
        <v>36</v>
      </c>
      <c r="G2609" t="s">
        <v>142</v>
      </c>
      <c r="H2609" t="s">
        <v>20</v>
      </c>
      <c r="I2609" t="s">
        <v>147</v>
      </c>
      <c r="J2609" t="s">
        <v>33</v>
      </c>
      <c r="K2609">
        <v>3.1</v>
      </c>
      <c r="L2609" t="s">
        <v>23</v>
      </c>
      <c r="M2609" t="s">
        <v>61</v>
      </c>
      <c r="N2609" t="s">
        <v>23</v>
      </c>
      <c r="O2609">
        <v>38</v>
      </c>
      <c r="P2609" t="s">
        <v>58</v>
      </c>
      <c r="Q2609" t="s">
        <v>63</v>
      </c>
      <c r="R2609" s="1">
        <v>0.1</v>
      </c>
      <c r="S2609">
        <f t="shared" si="160"/>
        <v>32.4</v>
      </c>
      <c r="T2609">
        <f>IFERROR(VLOOKUP(A2609,Table1[[Customer ID]:[Discount Amount]], 6, FALSE),"Not Found")</f>
        <v>36</v>
      </c>
      <c r="U2609" t="str">
        <f t="shared" si="161"/>
        <v>PayPal</v>
      </c>
      <c r="V2609" s="4" t="str">
        <f t="shared" si="162"/>
        <v>Normal</v>
      </c>
      <c r="W2609" s="4" t="str">
        <f t="shared" si="163"/>
        <v>Good</v>
      </c>
      <c r="X2609" s="4">
        <f>AVERAGE(Table1[Purchase Amount])</f>
        <v>129.48419400000012</v>
      </c>
    </row>
    <row r="2610" spans="1:24" ht="15" customHeight="1" x14ac:dyDescent="0.25">
      <c r="A2610">
        <v>2609</v>
      </c>
      <c r="B2610">
        <v>42</v>
      </c>
      <c r="C2610" t="s">
        <v>27</v>
      </c>
      <c r="D2610" t="s">
        <v>96</v>
      </c>
      <c r="E2610" t="s">
        <v>77</v>
      </c>
      <c r="F2610" s="2">
        <v>68</v>
      </c>
      <c r="G2610" t="s">
        <v>149</v>
      </c>
      <c r="H2610" t="s">
        <v>45</v>
      </c>
      <c r="I2610" t="s">
        <v>108</v>
      </c>
      <c r="J2610" t="s">
        <v>47</v>
      </c>
      <c r="K2610">
        <v>4.2</v>
      </c>
      <c r="L2610" t="s">
        <v>23</v>
      </c>
      <c r="M2610" t="s">
        <v>41</v>
      </c>
      <c r="N2610" t="s">
        <v>23</v>
      </c>
      <c r="O2610">
        <v>48</v>
      </c>
      <c r="P2610" t="s">
        <v>53</v>
      </c>
      <c r="Q2610" t="s">
        <v>89</v>
      </c>
      <c r="R2610" s="1">
        <v>0.1</v>
      </c>
      <c r="S2610">
        <f t="shared" si="160"/>
        <v>61.2</v>
      </c>
      <c r="T2610">
        <f>IFERROR(VLOOKUP(A2610,Table1[[Customer ID]:[Discount Amount]], 6, FALSE),"Not Found")</f>
        <v>68</v>
      </c>
      <c r="U2610" t="str">
        <f t="shared" si="161"/>
        <v>Credit Card</v>
      </c>
      <c r="V2610" s="4" t="str">
        <f t="shared" si="162"/>
        <v>Normal</v>
      </c>
      <c r="W2610" s="4" t="str">
        <f t="shared" si="163"/>
        <v>Good</v>
      </c>
      <c r="X2610" s="4">
        <f>AVERAGE(Table1[Purchase Amount])</f>
        <v>129.48419400000012</v>
      </c>
    </row>
    <row r="2611" spans="1:24" ht="15" customHeight="1" x14ac:dyDescent="0.25">
      <c r="A2611">
        <v>2610</v>
      </c>
      <c r="B2611">
        <v>66</v>
      </c>
      <c r="C2611" t="s">
        <v>27</v>
      </c>
      <c r="D2611" t="s">
        <v>104</v>
      </c>
      <c r="E2611" t="s">
        <v>29</v>
      </c>
      <c r="F2611" s="2">
        <v>95</v>
      </c>
      <c r="G2611" t="s">
        <v>100</v>
      </c>
      <c r="H2611" t="s">
        <v>31</v>
      </c>
      <c r="I2611" t="s">
        <v>40</v>
      </c>
      <c r="J2611" t="s">
        <v>57</v>
      </c>
      <c r="K2611">
        <v>3</v>
      </c>
      <c r="L2611" t="s">
        <v>23</v>
      </c>
      <c r="M2611" t="s">
        <v>48</v>
      </c>
      <c r="N2611" t="s">
        <v>23</v>
      </c>
      <c r="O2611">
        <v>18</v>
      </c>
      <c r="P2611" t="s">
        <v>36</v>
      </c>
      <c r="Q2611" t="s">
        <v>68</v>
      </c>
      <c r="R2611" s="1">
        <v>0.1</v>
      </c>
      <c r="S2611">
        <f t="shared" si="160"/>
        <v>85.5</v>
      </c>
      <c r="T2611">
        <f>IFERROR(VLOOKUP(A2611,Table1[[Customer ID]:[Discount Amount]], 6, FALSE),"Not Found")</f>
        <v>95</v>
      </c>
      <c r="U2611" t="str">
        <f t="shared" si="161"/>
        <v>Debit Card</v>
      </c>
      <c r="V2611" s="4" t="str">
        <f t="shared" si="162"/>
        <v>Normal</v>
      </c>
      <c r="W2611" s="4" t="str">
        <f t="shared" si="163"/>
        <v>Good</v>
      </c>
      <c r="X2611" s="4">
        <f>AVERAGE(Table1[Purchase Amount])</f>
        <v>129.48419400000012</v>
      </c>
    </row>
    <row r="2612" spans="1:24" ht="15" customHeight="1" x14ac:dyDescent="0.25">
      <c r="A2612">
        <v>2611</v>
      </c>
      <c r="B2612">
        <v>66</v>
      </c>
      <c r="C2612" t="s">
        <v>27</v>
      </c>
      <c r="D2612" t="s">
        <v>109</v>
      </c>
      <c r="E2612" t="s">
        <v>18</v>
      </c>
      <c r="F2612" s="2">
        <v>93</v>
      </c>
      <c r="G2612" t="s">
        <v>154</v>
      </c>
      <c r="H2612" t="s">
        <v>31</v>
      </c>
      <c r="I2612" t="s">
        <v>111</v>
      </c>
      <c r="J2612" t="s">
        <v>33</v>
      </c>
      <c r="K2612">
        <v>3.1</v>
      </c>
      <c r="L2612" t="s">
        <v>23</v>
      </c>
      <c r="M2612" t="s">
        <v>61</v>
      </c>
      <c r="N2612" t="s">
        <v>23</v>
      </c>
      <c r="O2612">
        <v>25</v>
      </c>
      <c r="P2612" t="s">
        <v>25</v>
      </c>
      <c r="Q2612" t="s">
        <v>37</v>
      </c>
      <c r="R2612" s="1">
        <v>0.1</v>
      </c>
      <c r="S2612">
        <f t="shared" si="160"/>
        <v>83.7</v>
      </c>
      <c r="T2612">
        <f>IFERROR(VLOOKUP(A2612,Table1[[Customer ID]:[Discount Amount]], 6, FALSE),"Not Found")</f>
        <v>93</v>
      </c>
      <c r="U2612" t="str">
        <f t="shared" si="161"/>
        <v>Cash</v>
      </c>
      <c r="V2612" s="4" t="str">
        <f t="shared" si="162"/>
        <v>Normal</v>
      </c>
      <c r="W2612" s="4" t="str">
        <f t="shared" si="163"/>
        <v>Good</v>
      </c>
      <c r="X2612" s="4">
        <f>AVERAGE(Table1[Purchase Amount])</f>
        <v>129.48419400000012</v>
      </c>
    </row>
    <row r="2613" spans="1:24" ht="15" customHeight="1" x14ac:dyDescent="0.25">
      <c r="A2613">
        <v>2612</v>
      </c>
      <c r="B2613">
        <v>33</v>
      </c>
      <c r="C2613" t="s">
        <v>27</v>
      </c>
      <c r="D2613" t="s">
        <v>96</v>
      </c>
      <c r="E2613" t="s">
        <v>77</v>
      </c>
      <c r="F2613" s="2">
        <v>99</v>
      </c>
      <c r="G2613" t="s">
        <v>113</v>
      </c>
      <c r="H2613" t="s">
        <v>45</v>
      </c>
      <c r="I2613" t="s">
        <v>125</v>
      </c>
      <c r="J2613" t="s">
        <v>47</v>
      </c>
      <c r="K2613">
        <v>4.2</v>
      </c>
      <c r="L2613" t="s">
        <v>23</v>
      </c>
      <c r="M2613" t="s">
        <v>41</v>
      </c>
      <c r="N2613" t="s">
        <v>23</v>
      </c>
      <c r="O2613">
        <v>4</v>
      </c>
      <c r="P2613" t="s">
        <v>25</v>
      </c>
      <c r="Q2613" t="s">
        <v>89</v>
      </c>
      <c r="R2613" s="1">
        <v>0.1</v>
      </c>
      <c r="S2613">
        <f t="shared" si="160"/>
        <v>89.1</v>
      </c>
      <c r="T2613">
        <f>IFERROR(VLOOKUP(A2613,Table1[[Customer ID]:[Discount Amount]], 6, FALSE),"Not Found")</f>
        <v>99</v>
      </c>
      <c r="U2613" t="str">
        <f t="shared" si="161"/>
        <v>Cash</v>
      </c>
      <c r="V2613" s="4" t="str">
        <f t="shared" si="162"/>
        <v>Normal</v>
      </c>
      <c r="W2613" s="4" t="str">
        <f t="shared" si="163"/>
        <v>Good</v>
      </c>
      <c r="X2613" s="4">
        <f>AVERAGE(Table1[Purchase Amount])</f>
        <v>129.48419400000012</v>
      </c>
    </row>
    <row r="2614" spans="1:24" ht="15" customHeight="1" x14ac:dyDescent="0.25">
      <c r="A2614">
        <v>2613</v>
      </c>
      <c r="B2614">
        <v>55</v>
      </c>
      <c r="C2614" t="s">
        <v>27</v>
      </c>
      <c r="D2614" t="s">
        <v>28</v>
      </c>
      <c r="E2614" t="s">
        <v>29</v>
      </c>
      <c r="F2614" s="2">
        <v>22</v>
      </c>
      <c r="G2614" t="s">
        <v>119</v>
      </c>
      <c r="H2614" t="s">
        <v>31</v>
      </c>
      <c r="I2614" t="s">
        <v>156</v>
      </c>
      <c r="J2614" t="s">
        <v>22</v>
      </c>
      <c r="K2614">
        <v>3.8</v>
      </c>
      <c r="L2614" t="s">
        <v>23</v>
      </c>
      <c r="M2614" t="s">
        <v>79</v>
      </c>
      <c r="N2614" t="s">
        <v>23</v>
      </c>
      <c r="O2614">
        <v>27</v>
      </c>
      <c r="P2614" t="s">
        <v>62</v>
      </c>
      <c r="Q2614" t="s">
        <v>37</v>
      </c>
      <c r="R2614" s="1">
        <v>0.1</v>
      </c>
      <c r="S2614">
        <f t="shared" si="160"/>
        <v>19.8</v>
      </c>
      <c r="T2614">
        <f>IFERROR(VLOOKUP(A2614,Table1[[Customer ID]:[Discount Amount]], 6, FALSE),"Not Found")</f>
        <v>22</v>
      </c>
      <c r="U2614" t="str">
        <f t="shared" si="161"/>
        <v>Venmo</v>
      </c>
      <c r="V2614" s="4" t="str">
        <f t="shared" si="162"/>
        <v>Normal</v>
      </c>
      <c r="W2614" s="4" t="str">
        <f t="shared" si="163"/>
        <v>Good</v>
      </c>
      <c r="X2614" s="4">
        <f>AVERAGE(Table1[Purchase Amount])</f>
        <v>129.48419400000012</v>
      </c>
    </row>
    <row r="2615" spans="1:24" ht="15" customHeight="1" x14ac:dyDescent="0.25">
      <c r="A2615">
        <v>2614</v>
      </c>
      <c r="B2615">
        <v>58</v>
      </c>
      <c r="C2615" t="s">
        <v>27</v>
      </c>
      <c r="D2615" t="s">
        <v>43</v>
      </c>
      <c r="E2615" t="s">
        <v>29</v>
      </c>
      <c r="F2615" s="2">
        <v>88</v>
      </c>
      <c r="G2615" t="s">
        <v>130</v>
      </c>
      <c r="H2615" t="s">
        <v>31</v>
      </c>
      <c r="I2615" t="s">
        <v>133</v>
      </c>
      <c r="J2615" t="s">
        <v>47</v>
      </c>
      <c r="K2615">
        <v>2.9</v>
      </c>
      <c r="L2615" t="s">
        <v>23</v>
      </c>
      <c r="M2615" t="s">
        <v>61</v>
      </c>
      <c r="N2615" t="s">
        <v>23</v>
      </c>
      <c r="O2615">
        <v>14</v>
      </c>
      <c r="P2615" t="s">
        <v>88</v>
      </c>
      <c r="Q2615" t="s">
        <v>42</v>
      </c>
      <c r="R2615" s="1">
        <v>0.1</v>
      </c>
      <c r="S2615">
        <f t="shared" si="160"/>
        <v>79.2</v>
      </c>
      <c r="T2615">
        <f>IFERROR(VLOOKUP(A2615,Table1[[Customer ID]:[Discount Amount]], 6, FALSE),"Not Found")</f>
        <v>88</v>
      </c>
      <c r="U2615" t="str">
        <f t="shared" si="161"/>
        <v>Bank Transfer</v>
      </c>
      <c r="V2615" s="4" t="str">
        <f t="shared" si="162"/>
        <v>Normal</v>
      </c>
      <c r="W2615" s="4" t="str">
        <f t="shared" si="163"/>
        <v>Poor</v>
      </c>
      <c r="X2615" s="4">
        <f>AVERAGE(Table1[Purchase Amount])</f>
        <v>129.48419400000012</v>
      </c>
    </row>
    <row r="2616" spans="1:24" ht="15" customHeight="1" x14ac:dyDescent="0.25">
      <c r="A2616">
        <v>2615</v>
      </c>
      <c r="B2616">
        <v>18</v>
      </c>
      <c r="C2616" t="s">
        <v>27</v>
      </c>
      <c r="D2616" t="s">
        <v>96</v>
      </c>
      <c r="E2616" t="s">
        <v>77</v>
      </c>
      <c r="F2616" s="2">
        <v>65</v>
      </c>
      <c r="G2616" t="s">
        <v>86</v>
      </c>
      <c r="H2616" t="s">
        <v>31</v>
      </c>
      <c r="I2616" t="s">
        <v>156</v>
      </c>
      <c r="J2616" t="s">
        <v>33</v>
      </c>
      <c r="K2616">
        <v>4.2</v>
      </c>
      <c r="L2616" t="s">
        <v>23</v>
      </c>
      <c r="M2616" t="s">
        <v>61</v>
      </c>
      <c r="N2616" t="s">
        <v>23</v>
      </c>
      <c r="O2616">
        <v>36</v>
      </c>
      <c r="P2616" t="s">
        <v>88</v>
      </c>
      <c r="Q2616" t="s">
        <v>89</v>
      </c>
      <c r="R2616" s="1">
        <v>0.1</v>
      </c>
      <c r="S2616">
        <f t="shared" si="160"/>
        <v>58.5</v>
      </c>
      <c r="T2616">
        <f>IFERROR(VLOOKUP(A2616,Table1[[Customer ID]:[Discount Amount]], 6, FALSE),"Not Found")</f>
        <v>65</v>
      </c>
      <c r="U2616" t="str">
        <f t="shared" si="161"/>
        <v>Bank Transfer</v>
      </c>
      <c r="V2616" s="4" t="str">
        <f t="shared" si="162"/>
        <v>Normal</v>
      </c>
      <c r="W2616" s="4" t="str">
        <f t="shared" si="163"/>
        <v>Good</v>
      </c>
      <c r="X2616" s="4">
        <f>AVERAGE(Table1[Purchase Amount])</f>
        <v>129.48419400000012</v>
      </c>
    </row>
    <row r="2617" spans="1:24" ht="15" customHeight="1" x14ac:dyDescent="0.25">
      <c r="A2617">
        <v>2616</v>
      </c>
      <c r="B2617">
        <v>49</v>
      </c>
      <c r="C2617" t="s">
        <v>27</v>
      </c>
      <c r="D2617" t="s">
        <v>17</v>
      </c>
      <c r="E2617" t="s">
        <v>18</v>
      </c>
      <c r="F2617" s="2">
        <v>62</v>
      </c>
      <c r="G2617" t="s">
        <v>150</v>
      </c>
      <c r="H2617" t="s">
        <v>31</v>
      </c>
      <c r="I2617" t="s">
        <v>125</v>
      </c>
      <c r="J2617" t="s">
        <v>47</v>
      </c>
      <c r="K2617">
        <v>3.1</v>
      </c>
      <c r="L2617" t="s">
        <v>23</v>
      </c>
      <c r="M2617" t="s">
        <v>41</v>
      </c>
      <c r="N2617" t="s">
        <v>23</v>
      </c>
      <c r="O2617">
        <v>6</v>
      </c>
      <c r="P2617" t="s">
        <v>36</v>
      </c>
      <c r="Q2617" t="s">
        <v>37</v>
      </c>
      <c r="R2617" s="1">
        <v>0.1</v>
      </c>
      <c r="S2617">
        <f t="shared" si="160"/>
        <v>55.8</v>
      </c>
      <c r="T2617">
        <f>IFERROR(VLOOKUP(A2617,Table1[[Customer ID]:[Discount Amount]], 6, FALSE),"Not Found")</f>
        <v>62</v>
      </c>
      <c r="U2617" t="str">
        <f t="shared" si="161"/>
        <v>Debit Card</v>
      </c>
      <c r="V2617" s="4" t="str">
        <f t="shared" si="162"/>
        <v>Normal</v>
      </c>
      <c r="W2617" s="4" t="str">
        <f t="shared" si="163"/>
        <v>Good</v>
      </c>
      <c r="X2617" s="4">
        <f>AVERAGE(Table1[Purchase Amount])</f>
        <v>129.48419400000012</v>
      </c>
    </row>
    <row r="2618" spans="1:24" ht="15" customHeight="1" x14ac:dyDescent="0.25">
      <c r="A2618">
        <v>2617</v>
      </c>
      <c r="B2618">
        <v>61</v>
      </c>
      <c r="C2618" t="s">
        <v>27</v>
      </c>
      <c r="D2618" t="s">
        <v>121</v>
      </c>
      <c r="E2618" t="s">
        <v>98</v>
      </c>
      <c r="F2618" s="2">
        <v>55</v>
      </c>
      <c r="G2618" t="s">
        <v>160</v>
      </c>
      <c r="H2618" t="s">
        <v>20</v>
      </c>
      <c r="I2618" t="s">
        <v>66</v>
      </c>
      <c r="J2618" t="s">
        <v>33</v>
      </c>
      <c r="K2618">
        <v>3.6</v>
      </c>
      <c r="L2618" t="s">
        <v>23</v>
      </c>
      <c r="M2618" t="s">
        <v>61</v>
      </c>
      <c r="N2618" t="s">
        <v>23</v>
      </c>
      <c r="O2618">
        <v>46</v>
      </c>
      <c r="P2618" t="s">
        <v>25</v>
      </c>
      <c r="Q2618" t="s">
        <v>49</v>
      </c>
      <c r="R2618" s="1">
        <v>0.1</v>
      </c>
      <c r="S2618">
        <f t="shared" si="160"/>
        <v>49.5</v>
      </c>
      <c r="T2618">
        <f>IFERROR(VLOOKUP(A2618,Table1[[Customer ID]:[Discount Amount]], 6, FALSE),"Not Found")</f>
        <v>55</v>
      </c>
      <c r="U2618" t="str">
        <f t="shared" si="161"/>
        <v>Cash</v>
      </c>
      <c r="V2618" s="4" t="str">
        <f t="shared" si="162"/>
        <v>Normal</v>
      </c>
      <c r="W2618" s="4" t="str">
        <f t="shared" si="163"/>
        <v>Good</v>
      </c>
      <c r="X2618" s="4">
        <f>AVERAGE(Table1[Purchase Amount])</f>
        <v>129.48419400000012</v>
      </c>
    </row>
    <row r="2619" spans="1:24" ht="15" customHeight="1" x14ac:dyDescent="0.25">
      <c r="A2619">
        <v>2618</v>
      </c>
      <c r="B2619">
        <v>31</v>
      </c>
      <c r="C2619" t="s">
        <v>27</v>
      </c>
      <c r="D2619" t="s">
        <v>54</v>
      </c>
      <c r="E2619" t="s">
        <v>18</v>
      </c>
      <c r="F2619" s="2">
        <v>97</v>
      </c>
      <c r="G2619" t="s">
        <v>161</v>
      </c>
      <c r="H2619" t="s">
        <v>55</v>
      </c>
      <c r="I2619" t="s">
        <v>125</v>
      </c>
      <c r="J2619" t="s">
        <v>33</v>
      </c>
      <c r="K2619">
        <v>4.8</v>
      </c>
      <c r="L2619" t="s">
        <v>23</v>
      </c>
      <c r="M2619" t="s">
        <v>24</v>
      </c>
      <c r="N2619" t="s">
        <v>23</v>
      </c>
      <c r="O2619">
        <v>29</v>
      </c>
      <c r="P2619" t="s">
        <v>88</v>
      </c>
      <c r="Q2619" t="s">
        <v>49</v>
      </c>
      <c r="R2619" s="1">
        <v>0.1</v>
      </c>
      <c r="S2619">
        <f t="shared" si="160"/>
        <v>87.3</v>
      </c>
      <c r="T2619">
        <f>IFERROR(VLOOKUP(A2619,Table1[[Customer ID]:[Discount Amount]], 6, FALSE),"Not Found")</f>
        <v>97</v>
      </c>
      <c r="U2619" t="str">
        <f t="shared" si="161"/>
        <v>Bank Transfer</v>
      </c>
      <c r="V2619" s="4" t="str">
        <f t="shared" si="162"/>
        <v>Normal</v>
      </c>
      <c r="W2619" s="4" t="str">
        <f t="shared" si="163"/>
        <v>Good</v>
      </c>
      <c r="X2619" s="4">
        <f>AVERAGE(Table1[Purchase Amount])</f>
        <v>129.48419400000012</v>
      </c>
    </row>
    <row r="2620" spans="1:24" ht="15" customHeight="1" x14ac:dyDescent="0.25">
      <c r="A2620">
        <v>2619</v>
      </c>
      <c r="B2620">
        <v>70</v>
      </c>
      <c r="C2620" t="s">
        <v>27</v>
      </c>
      <c r="D2620" t="s">
        <v>69</v>
      </c>
      <c r="E2620" t="s">
        <v>29</v>
      </c>
      <c r="F2620" s="2">
        <v>77</v>
      </c>
      <c r="G2620" t="s">
        <v>119</v>
      </c>
      <c r="H2620" t="s">
        <v>45</v>
      </c>
      <c r="I2620" t="s">
        <v>60</v>
      </c>
      <c r="J2620" t="s">
        <v>47</v>
      </c>
      <c r="K2620">
        <v>4.0999999999999996</v>
      </c>
      <c r="L2620" t="s">
        <v>23</v>
      </c>
      <c r="M2620" t="s">
        <v>61</v>
      </c>
      <c r="N2620" t="s">
        <v>23</v>
      </c>
      <c r="O2620">
        <v>12</v>
      </c>
      <c r="P2620" t="s">
        <v>62</v>
      </c>
      <c r="Q2620" t="s">
        <v>42</v>
      </c>
      <c r="R2620" s="1">
        <v>0.1</v>
      </c>
      <c r="S2620">
        <f t="shared" si="160"/>
        <v>69.3</v>
      </c>
      <c r="T2620">
        <f>IFERROR(VLOOKUP(A2620,Table1[[Customer ID]:[Discount Amount]], 6, FALSE),"Not Found")</f>
        <v>77</v>
      </c>
      <c r="U2620" t="str">
        <f t="shared" si="161"/>
        <v>Venmo</v>
      </c>
      <c r="V2620" s="4" t="str">
        <f t="shared" si="162"/>
        <v>Normal</v>
      </c>
      <c r="W2620" s="4" t="str">
        <f t="shared" si="163"/>
        <v>Good</v>
      </c>
      <c r="X2620" s="4">
        <f>AVERAGE(Table1[Purchase Amount])</f>
        <v>129.48419400000012</v>
      </c>
    </row>
    <row r="2621" spans="1:24" ht="15" customHeight="1" x14ac:dyDescent="0.25">
      <c r="A2621">
        <v>2620</v>
      </c>
      <c r="B2621">
        <v>68</v>
      </c>
      <c r="C2621" t="s">
        <v>27</v>
      </c>
      <c r="D2621" t="s">
        <v>99</v>
      </c>
      <c r="E2621" t="s">
        <v>18</v>
      </c>
      <c r="F2621" s="2">
        <v>40</v>
      </c>
      <c r="G2621" t="s">
        <v>115</v>
      </c>
      <c r="H2621" t="s">
        <v>45</v>
      </c>
      <c r="I2621" t="s">
        <v>91</v>
      </c>
      <c r="J2621" t="s">
        <v>22</v>
      </c>
      <c r="K2621">
        <v>3.9</v>
      </c>
      <c r="L2621" t="s">
        <v>23</v>
      </c>
      <c r="M2621" t="s">
        <v>35</v>
      </c>
      <c r="N2621" t="s">
        <v>23</v>
      </c>
      <c r="O2621">
        <v>47</v>
      </c>
      <c r="P2621" t="s">
        <v>53</v>
      </c>
      <c r="Q2621" t="s">
        <v>26</v>
      </c>
      <c r="R2621" s="1">
        <v>0.1</v>
      </c>
      <c r="S2621">
        <f t="shared" si="160"/>
        <v>36</v>
      </c>
      <c r="T2621">
        <f>IFERROR(VLOOKUP(A2621,Table1[[Customer ID]:[Discount Amount]], 6, FALSE),"Not Found")</f>
        <v>40</v>
      </c>
      <c r="U2621" t="str">
        <f t="shared" si="161"/>
        <v>Credit Card</v>
      </c>
      <c r="V2621" s="4" t="str">
        <f t="shared" si="162"/>
        <v>Normal</v>
      </c>
      <c r="W2621" s="4" t="str">
        <f t="shared" si="163"/>
        <v>Good</v>
      </c>
      <c r="X2621" s="4">
        <f>AVERAGE(Table1[Purchase Amount])</f>
        <v>129.48419400000012</v>
      </c>
    </row>
    <row r="2622" spans="1:24" ht="15" customHeight="1" x14ac:dyDescent="0.25">
      <c r="A2622">
        <v>2621</v>
      </c>
      <c r="B2622">
        <v>27</v>
      </c>
      <c r="C2622" t="s">
        <v>27</v>
      </c>
      <c r="D2622" t="s">
        <v>118</v>
      </c>
      <c r="E2622" t="s">
        <v>18</v>
      </c>
      <c r="F2622" s="2">
        <v>23</v>
      </c>
      <c r="G2622" t="s">
        <v>90</v>
      </c>
      <c r="H2622" t="s">
        <v>55</v>
      </c>
      <c r="I2622" t="s">
        <v>107</v>
      </c>
      <c r="J2622" t="s">
        <v>22</v>
      </c>
      <c r="K2622">
        <v>3</v>
      </c>
      <c r="L2622" t="s">
        <v>23</v>
      </c>
      <c r="M2622" t="s">
        <v>24</v>
      </c>
      <c r="N2622" t="s">
        <v>23</v>
      </c>
      <c r="O2622">
        <v>28</v>
      </c>
      <c r="P2622" t="s">
        <v>36</v>
      </c>
      <c r="Q2622" t="s">
        <v>49</v>
      </c>
      <c r="R2622" s="1">
        <v>0.1</v>
      </c>
      <c r="S2622">
        <f t="shared" si="160"/>
        <v>20.7</v>
      </c>
      <c r="T2622">
        <f>IFERROR(VLOOKUP(A2622,Table1[[Customer ID]:[Discount Amount]], 6, FALSE),"Not Found")</f>
        <v>23</v>
      </c>
      <c r="U2622" t="str">
        <f t="shared" si="161"/>
        <v>Debit Card</v>
      </c>
      <c r="V2622" s="4" t="str">
        <f t="shared" si="162"/>
        <v>Normal</v>
      </c>
      <c r="W2622" s="4" t="str">
        <f t="shared" si="163"/>
        <v>Good</v>
      </c>
      <c r="X2622" s="4">
        <f>AVERAGE(Table1[Purchase Amount])</f>
        <v>129.48419400000012</v>
      </c>
    </row>
    <row r="2623" spans="1:24" ht="15" customHeight="1" x14ac:dyDescent="0.25">
      <c r="A2623">
        <v>2622</v>
      </c>
      <c r="B2623">
        <v>48</v>
      </c>
      <c r="C2623" t="s">
        <v>27</v>
      </c>
      <c r="D2623" t="s">
        <v>72</v>
      </c>
      <c r="E2623" t="s">
        <v>98</v>
      </c>
      <c r="F2623" s="2">
        <v>46</v>
      </c>
      <c r="G2623" t="s">
        <v>94</v>
      </c>
      <c r="H2623" t="s">
        <v>31</v>
      </c>
      <c r="I2623" t="s">
        <v>56</v>
      </c>
      <c r="J2623" t="s">
        <v>22</v>
      </c>
      <c r="K2623">
        <v>3</v>
      </c>
      <c r="L2623" t="s">
        <v>23</v>
      </c>
      <c r="M2623" t="s">
        <v>61</v>
      </c>
      <c r="N2623" t="s">
        <v>23</v>
      </c>
      <c r="O2623">
        <v>21</v>
      </c>
      <c r="P2623" t="s">
        <v>88</v>
      </c>
      <c r="Q2623" t="s">
        <v>49</v>
      </c>
      <c r="R2623" s="1">
        <v>0.1</v>
      </c>
      <c r="S2623">
        <f t="shared" si="160"/>
        <v>41.4</v>
      </c>
      <c r="T2623">
        <f>IFERROR(VLOOKUP(A2623,Table1[[Customer ID]:[Discount Amount]], 6, FALSE),"Not Found")</f>
        <v>46</v>
      </c>
      <c r="U2623" t="str">
        <f t="shared" si="161"/>
        <v>Bank Transfer</v>
      </c>
      <c r="V2623" s="4" t="str">
        <f t="shared" si="162"/>
        <v>Normal</v>
      </c>
      <c r="W2623" s="4" t="str">
        <f t="shared" si="163"/>
        <v>Good</v>
      </c>
      <c r="X2623" s="4">
        <f>AVERAGE(Table1[Purchase Amount])</f>
        <v>129.48419400000012</v>
      </c>
    </row>
    <row r="2624" spans="1:24" ht="15" customHeight="1" x14ac:dyDescent="0.25">
      <c r="A2624">
        <v>2623</v>
      </c>
      <c r="B2624">
        <v>63</v>
      </c>
      <c r="C2624" t="s">
        <v>27</v>
      </c>
      <c r="D2624" t="s">
        <v>104</v>
      </c>
      <c r="E2624" t="s">
        <v>29</v>
      </c>
      <c r="F2624" s="2">
        <v>75</v>
      </c>
      <c r="G2624" t="s">
        <v>132</v>
      </c>
      <c r="H2624" t="s">
        <v>31</v>
      </c>
      <c r="I2624" t="s">
        <v>52</v>
      </c>
      <c r="J2624" t="s">
        <v>33</v>
      </c>
      <c r="K2624">
        <v>4.9000000000000004</v>
      </c>
      <c r="L2624" t="s">
        <v>23</v>
      </c>
      <c r="M2624" t="s">
        <v>41</v>
      </c>
      <c r="N2624" t="s">
        <v>23</v>
      </c>
      <c r="O2624">
        <v>15</v>
      </c>
      <c r="P2624" t="s">
        <v>53</v>
      </c>
      <c r="Q2624" t="s">
        <v>49</v>
      </c>
      <c r="R2624" s="1">
        <v>0.1</v>
      </c>
      <c r="S2624">
        <f t="shared" si="160"/>
        <v>67.5</v>
      </c>
      <c r="T2624">
        <f>IFERROR(VLOOKUP(A2624,Table1[[Customer ID]:[Discount Amount]], 6, FALSE),"Not Found")</f>
        <v>75</v>
      </c>
      <c r="U2624" t="str">
        <f t="shared" si="161"/>
        <v>Credit Card</v>
      </c>
      <c r="V2624" s="4" t="str">
        <f t="shared" si="162"/>
        <v>Normal</v>
      </c>
      <c r="W2624" s="4" t="str">
        <f t="shared" si="163"/>
        <v>Good</v>
      </c>
      <c r="X2624" s="4">
        <f>AVERAGE(Table1[Purchase Amount])</f>
        <v>129.48419400000012</v>
      </c>
    </row>
    <row r="2625" spans="1:24" ht="15" customHeight="1" x14ac:dyDescent="0.25">
      <c r="A2625">
        <v>2624</v>
      </c>
      <c r="B2625">
        <v>49</v>
      </c>
      <c r="C2625" t="s">
        <v>27</v>
      </c>
      <c r="D2625" t="s">
        <v>72</v>
      </c>
      <c r="E2625" t="s">
        <v>98</v>
      </c>
      <c r="F2625" s="2">
        <v>76</v>
      </c>
      <c r="G2625" t="s">
        <v>97</v>
      </c>
      <c r="H2625" t="s">
        <v>31</v>
      </c>
      <c r="I2625" t="s">
        <v>133</v>
      </c>
      <c r="J2625" t="s">
        <v>47</v>
      </c>
      <c r="K2625">
        <v>4.8</v>
      </c>
      <c r="L2625" t="s">
        <v>23</v>
      </c>
      <c r="M2625" t="s">
        <v>79</v>
      </c>
      <c r="N2625" t="s">
        <v>23</v>
      </c>
      <c r="O2625">
        <v>38</v>
      </c>
      <c r="P2625" t="s">
        <v>25</v>
      </c>
      <c r="Q2625" t="s">
        <v>49</v>
      </c>
      <c r="R2625" s="1">
        <v>0.1</v>
      </c>
      <c r="S2625">
        <f t="shared" si="160"/>
        <v>68.400000000000006</v>
      </c>
      <c r="T2625">
        <f>IFERROR(VLOOKUP(A2625,Table1[[Customer ID]:[Discount Amount]], 6, FALSE),"Not Found")</f>
        <v>76</v>
      </c>
      <c r="U2625" t="str">
        <f t="shared" si="161"/>
        <v>Cash</v>
      </c>
      <c r="V2625" s="4" t="str">
        <f t="shared" si="162"/>
        <v>Normal</v>
      </c>
      <c r="W2625" s="4" t="str">
        <f t="shared" si="163"/>
        <v>Good</v>
      </c>
      <c r="X2625" s="4">
        <f>AVERAGE(Table1[Purchase Amount])</f>
        <v>129.48419400000012</v>
      </c>
    </row>
    <row r="2626" spans="1:24" ht="15" customHeight="1" x14ac:dyDescent="0.25">
      <c r="A2626">
        <v>2625</v>
      </c>
      <c r="B2626">
        <v>19</v>
      </c>
      <c r="C2626" t="s">
        <v>27</v>
      </c>
      <c r="D2626" t="s">
        <v>157</v>
      </c>
      <c r="E2626" t="s">
        <v>18</v>
      </c>
      <c r="F2626" s="2">
        <v>59</v>
      </c>
      <c r="G2626" t="s">
        <v>130</v>
      </c>
      <c r="H2626" t="s">
        <v>31</v>
      </c>
      <c r="I2626" t="s">
        <v>91</v>
      </c>
      <c r="J2626" t="s">
        <v>57</v>
      </c>
      <c r="K2626">
        <v>3.3</v>
      </c>
      <c r="L2626" t="s">
        <v>23</v>
      </c>
      <c r="M2626" t="s">
        <v>24</v>
      </c>
      <c r="N2626" t="s">
        <v>23</v>
      </c>
      <c r="O2626">
        <v>19</v>
      </c>
      <c r="P2626" t="s">
        <v>53</v>
      </c>
      <c r="Q2626" t="s">
        <v>49</v>
      </c>
      <c r="R2626" s="1">
        <v>0.1</v>
      </c>
      <c r="S2626">
        <f t="shared" ref="S2626:S2689" si="164">F2626-(F2626*R2626)</f>
        <v>53.1</v>
      </c>
      <c r="T2626">
        <f>IFERROR(VLOOKUP(A2626,Table1[[Customer ID]:[Discount Amount]], 6, FALSE),"Not Found")</f>
        <v>59</v>
      </c>
      <c r="U2626" t="str">
        <f t="shared" ref="U2626:U2689" si="165">INDEX(P:P, MATCH(A2626, A:A, 0))</f>
        <v>Credit Card</v>
      </c>
      <c r="V2626" s="4" t="str">
        <f t="shared" ref="V2626:V2689" si="166">IF(AND(F2626&gt;1000,K2626&gt;=4),"Best Customer","Normal")</f>
        <v>Normal</v>
      </c>
      <c r="W2626" s="4" t="str">
        <f t="shared" ref="W2626:W2689" si="167">IF(K2626&gt;=3,"Good","Poor")</f>
        <v>Good</v>
      </c>
      <c r="X2626" s="4">
        <f>AVERAGE(Table1[Purchase Amount])</f>
        <v>129.48419400000012</v>
      </c>
    </row>
    <row r="2627" spans="1:24" ht="15" customHeight="1" x14ac:dyDescent="0.25">
      <c r="A2627">
        <v>2626</v>
      </c>
      <c r="B2627">
        <v>30</v>
      </c>
      <c r="C2627" t="s">
        <v>27</v>
      </c>
      <c r="D2627" t="s">
        <v>122</v>
      </c>
      <c r="E2627" t="s">
        <v>18</v>
      </c>
      <c r="F2627" s="2">
        <v>51</v>
      </c>
      <c r="G2627" t="s">
        <v>92</v>
      </c>
      <c r="H2627" t="s">
        <v>45</v>
      </c>
      <c r="I2627" t="s">
        <v>128</v>
      </c>
      <c r="J2627" t="s">
        <v>57</v>
      </c>
      <c r="K2627">
        <v>2.7</v>
      </c>
      <c r="L2627" t="s">
        <v>23</v>
      </c>
      <c r="M2627" t="s">
        <v>24</v>
      </c>
      <c r="N2627" t="s">
        <v>23</v>
      </c>
      <c r="O2627">
        <v>31</v>
      </c>
      <c r="P2627" t="s">
        <v>53</v>
      </c>
      <c r="Q2627" t="s">
        <v>26</v>
      </c>
      <c r="R2627" s="1">
        <v>0.1</v>
      </c>
      <c r="S2627">
        <f t="shared" si="164"/>
        <v>45.9</v>
      </c>
      <c r="T2627">
        <f>IFERROR(VLOOKUP(A2627,Table1[[Customer ID]:[Discount Amount]], 6, FALSE),"Not Found")</f>
        <v>51</v>
      </c>
      <c r="U2627" t="str">
        <f t="shared" si="165"/>
        <v>Credit Card</v>
      </c>
      <c r="V2627" s="4" t="str">
        <f t="shared" si="166"/>
        <v>Normal</v>
      </c>
      <c r="W2627" s="4" t="str">
        <f t="shared" si="167"/>
        <v>Poor</v>
      </c>
      <c r="X2627" s="4">
        <f>AVERAGE(Table1[Purchase Amount])</f>
        <v>129.48419400000012</v>
      </c>
    </row>
    <row r="2628" spans="1:24" ht="15" customHeight="1" x14ac:dyDescent="0.25">
      <c r="A2628">
        <v>2627</v>
      </c>
      <c r="B2628">
        <v>50</v>
      </c>
      <c r="C2628" t="s">
        <v>27</v>
      </c>
      <c r="D2628" t="s">
        <v>96</v>
      </c>
      <c r="E2628" t="s">
        <v>77</v>
      </c>
      <c r="F2628" s="2">
        <v>46</v>
      </c>
      <c r="G2628" t="s">
        <v>159</v>
      </c>
      <c r="H2628" t="s">
        <v>20</v>
      </c>
      <c r="I2628" t="s">
        <v>153</v>
      </c>
      <c r="J2628" t="s">
        <v>47</v>
      </c>
      <c r="K2628">
        <v>4.2</v>
      </c>
      <c r="L2628" t="s">
        <v>23</v>
      </c>
      <c r="M2628" t="s">
        <v>61</v>
      </c>
      <c r="N2628" t="s">
        <v>23</v>
      </c>
      <c r="O2628">
        <v>30</v>
      </c>
      <c r="P2628" t="s">
        <v>53</v>
      </c>
      <c r="Q2628" t="s">
        <v>63</v>
      </c>
      <c r="R2628" s="1">
        <v>0.1</v>
      </c>
      <c r="S2628">
        <f t="shared" si="164"/>
        <v>41.4</v>
      </c>
      <c r="T2628">
        <f>IFERROR(VLOOKUP(A2628,Table1[[Customer ID]:[Discount Amount]], 6, FALSE),"Not Found")</f>
        <v>46</v>
      </c>
      <c r="U2628" t="str">
        <f t="shared" si="165"/>
        <v>Credit Card</v>
      </c>
      <c r="V2628" s="4" t="str">
        <f t="shared" si="166"/>
        <v>Normal</v>
      </c>
      <c r="W2628" s="4" t="str">
        <f t="shared" si="167"/>
        <v>Good</v>
      </c>
      <c r="X2628" s="4">
        <f>AVERAGE(Table1[Purchase Amount])</f>
        <v>129.48419400000012</v>
      </c>
    </row>
    <row r="2629" spans="1:24" ht="15" customHeight="1" x14ac:dyDescent="0.25">
      <c r="A2629">
        <v>2628</v>
      </c>
      <c r="B2629">
        <v>66</v>
      </c>
      <c r="C2629" t="s">
        <v>27</v>
      </c>
      <c r="D2629" t="s">
        <v>38</v>
      </c>
      <c r="E2629" t="s">
        <v>18</v>
      </c>
      <c r="F2629" s="2">
        <v>26</v>
      </c>
      <c r="G2629" t="s">
        <v>146</v>
      </c>
      <c r="H2629" t="s">
        <v>45</v>
      </c>
      <c r="I2629" t="s">
        <v>153</v>
      </c>
      <c r="J2629" t="s">
        <v>47</v>
      </c>
      <c r="K2629">
        <v>3.6</v>
      </c>
      <c r="L2629" t="s">
        <v>23</v>
      </c>
      <c r="M2629" t="s">
        <v>79</v>
      </c>
      <c r="N2629" t="s">
        <v>23</v>
      </c>
      <c r="O2629">
        <v>40</v>
      </c>
      <c r="P2629" t="s">
        <v>88</v>
      </c>
      <c r="Q2629" t="s">
        <v>37</v>
      </c>
      <c r="R2629" s="1">
        <v>0.1</v>
      </c>
      <c r="S2629">
        <f t="shared" si="164"/>
        <v>23.4</v>
      </c>
      <c r="T2629">
        <f>IFERROR(VLOOKUP(A2629,Table1[[Customer ID]:[Discount Amount]], 6, FALSE),"Not Found")</f>
        <v>26</v>
      </c>
      <c r="U2629" t="str">
        <f t="shared" si="165"/>
        <v>Bank Transfer</v>
      </c>
      <c r="V2629" s="4" t="str">
        <f t="shared" si="166"/>
        <v>Normal</v>
      </c>
      <c r="W2629" s="4" t="str">
        <f t="shared" si="167"/>
        <v>Good</v>
      </c>
      <c r="X2629" s="4">
        <f>AVERAGE(Table1[Purchase Amount])</f>
        <v>129.48419400000012</v>
      </c>
    </row>
    <row r="2630" spans="1:24" ht="15" customHeight="1" x14ac:dyDescent="0.25">
      <c r="A2630">
        <v>2629</v>
      </c>
      <c r="B2630">
        <v>25</v>
      </c>
      <c r="C2630" t="s">
        <v>27</v>
      </c>
      <c r="D2630" t="s">
        <v>83</v>
      </c>
      <c r="E2630" t="s">
        <v>18</v>
      </c>
      <c r="F2630" s="2">
        <v>51</v>
      </c>
      <c r="G2630" t="s">
        <v>162</v>
      </c>
      <c r="H2630" t="s">
        <v>31</v>
      </c>
      <c r="I2630" t="s">
        <v>153</v>
      </c>
      <c r="J2630" t="s">
        <v>57</v>
      </c>
      <c r="K2630">
        <v>3.8</v>
      </c>
      <c r="L2630" t="s">
        <v>23</v>
      </c>
      <c r="M2630" t="s">
        <v>79</v>
      </c>
      <c r="N2630" t="s">
        <v>23</v>
      </c>
      <c r="O2630">
        <v>42</v>
      </c>
      <c r="P2630" t="s">
        <v>53</v>
      </c>
      <c r="Q2630" t="s">
        <v>68</v>
      </c>
      <c r="R2630" s="1">
        <v>0.1</v>
      </c>
      <c r="S2630">
        <f t="shared" si="164"/>
        <v>45.9</v>
      </c>
      <c r="T2630">
        <f>IFERROR(VLOOKUP(A2630,Table1[[Customer ID]:[Discount Amount]], 6, FALSE),"Not Found")</f>
        <v>51</v>
      </c>
      <c r="U2630" t="str">
        <f t="shared" si="165"/>
        <v>Credit Card</v>
      </c>
      <c r="V2630" s="4" t="str">
        <f t="shared" si="166"/>
        <v>Normal</v>
      </c>
      <c r="W2630" s="4" t="str">
        <f t="shared" si="167"/>
        <v>Good</v>
      </c>
      <c r="X2630" s="4">
        <f>AVERAGE(Table1[Purchase Amount])</f>
        <v>129.48419400000012</v>
      </c>
    </row>
    <row r="2631" spans="1:24" ht="15" customHeight="1" x14ac:dyDescent="0.25">
      <c r="A2631">
        <v>2630</v>
      </c>
      <c r="B2631">
        <v>61</v>
      </c>
      <c r="C2631" t="s">
        <v>27</v>
      </c>
      <c r="D2631" t="s">
        <v>129</v>
      </c>
      <c r="E2631" t="s">
        <v>29</v>
      </c>
      <c r="F2631" s="2">
        <v>44</v>
      </c>
      <c r="G2631" t="s">
        <v>132</v>
      </c>
      <c r="H2631" t="s">
        <v>31</v>
      </c>
      <c r="I2631" t="s">
        <v>145</v>
      </c>
      <c r="J2631" t="s">
        <v>22</v>
      </c>
      <c r="K2631">
        <v>3.8</v>
      </c>
      <c r="L2631" t="s">
        <v>23</v>
      </c>
      <c r="M2631" t="s">
        <v>35</v>
      </c>
      <c r="N2631" t="s">
        <v>23</v>
      </c>
      <c r="O2631">
        <v>25</v>
      </c>
      <c r="P2631" t="s">
        <v>62</v>
      </c>
      <c r="Q2631" t="s">
        <v>49</v>
      </c>
      <c r="R2631" s="1">
        <v>0.1</v>
      </c>
      <c r="S2631">
        <f t="shared" si="164"/>
        <v>39.6</v>
      </c>
      <c r="T2631">
        <f>IFERROR(VLOOKUP(A2631,Table1[[Customer ID]:[Discount Amount]], 6, FALSE),"Not Found")</f>
        <v>44</v>
      </c>
      <c r="U2631" t="str">
        <f t="shared" si="165"/>
        <v>Venmo</v>
      </c>
      <c r="V2631" s="4" t="str">
        <f t="shared" si="166"/>
        <v>Normal</v>
      </c>
      <c r="W2631" s="4" t="str">
        <f t="shared" si="167"/>
        <v>Good</v>
      </c>
      <c r="X2631" s="4">
        <f>AVERAGE(Table1[Purchase Amount])</f>
        <v>129.48419400000012</v>
      </c>
    </row>
    <row r="2632" spans="1:24" ht="15" customHeight="1" x14ac:dyDescent="0.25">
      <c r="A2632">
        <v>2631</v>
      </c>
      <c r="B2632">
        <v>29</v>
      </c>
      <c r="C2632" t="s">
        <v>27</v>
      </c>
      <c r="D2632" t="s">
        <v>122</v>
      </c>
      <c r="E2632" t="s">
        <v>18</v>
      </c>
      <c r="F2632" s="2">
        <v>82</v>
      </c>
      <c r="G2632" t="s">
        <v>94</v>
      </c>
      <c r="H2632" t="s">
        <v>55</v>
      </c>
      <c r="I2632" t="s">
        <v>136</v>
      </c>
      <c r="J2632" t="s">
        <v>33</v>
      </c>
      <c r="K2632">
        <v>4.2</v>
      </c>
      <c r="L2632" t="s">
        <v>23</v>
      </c>
      <c r="M2632" t="s">
        <v>35</v>
      </c>
      <c r="N2632" t="s">
        <v>23</v>
      </c>
      <c r="O2632">
        <v>20</v>
      </c>
      <c r="P2632" t="s">
        <v>25</v>
      </c>
      <c r="Q2632" t="s">
        <v>37</v>
      </c>
      <c r="R2632" s="1">
        <v>0.1</v>
      </c>
      <c r="S2632">
        <f t="shared" si="164"/>
        <v>73.8</v>
      </c>
      <c r="T2632">
        <f>IFERROR(VLOOKUP(A2632,Table1[[Customer ID]:[Discount Amount]], 6, FALSE),"Not Found")</f>
        <v>82</v>
      </c>
      <c r="U2632" t="str">
        <f t="shared" si="165"/>
        <v>Cash</v>
      </c>
      <c r="V2632" s="4" t="str">
        <f t="shared" si="166"/>
        <v>Normal</v>
      </c>
      <c r="W2632" s="4" t="str">
        <f t="shared" si="167"/>
        <v>Good</v>
      </c>
      <c r="X2632" s="4">
        <f>AVERAGE(Table1[Purchase Amount])</f>
        <v>129.48419400000012</v>
      </c>
    </row>
    <row r="2633" spans="1:24" ht="15" customHeight="1" x14ac:dyDescent="0.25">
      <c r="A2633">
        <v>2632</v>
      </c>
      <c r="B2633">
        <v>53</v>
      </c>
      <c r="C2633" t="s">
        <v>27</v>
      </c>
      <c r="D2633" t="s">
        <v>122</v>
      </c>
      <c r="E2633" t="s">
        <v>18</v>
      </c>
      <c r="F2633" s="2">
        <v>44</v>
      </c>
      <c r="G2633" t="s">
        <v>115</v>
      </c>
      <c r="H2633" t="s">
        <v>55</v>
      </c>
      <c r="I2633" t="s">
        <v>111</v>
      </c>
      <c r="J2633" t="s">
        <v>57</v>
      </c>
      <c r="K2633">
        <v>2.7</v>
      </c>
      <c r="L2633" t="s">
        <v>23</v>
      </c>
      <c r="M2633" t="s">
        <v>61</v>
      </c>
      <c r="N2633" t="s">
        <v>23</v>
      </c>
      <c r="O2633">
        <v>3</v>
      </c>
      <c r="P2633" t="s">
        <v>25</v>
      </c>
      <c r="Q2633" t="s">
        <v>26</v>
      </c>
      <c r="R2633" s="1">
        <v>0.1</v>
      </c>
      <c r="S2633">
        <f t="shared" si="164"/>
        <v>39.6</v>
      </c>
      <c r="T2633">
        <f>IFERROR(VLOOKUP(A2633,Table1[[Customer ID]:[Discount Amount]], 6, FALSE),"Not Found")</f>
        <v>44</v>
      </c>
      <c r="U2633" t="str">
        <f t="shared" si="165"/>
        <v>Cash</v>
      </c>
      <c r="V2633" s="4" t="str">
        <f t="shared" si="166"/>
        <v>Normal</v>
      </c>
      <c r="W2633" s="4" t="str">
        <f t="shared" si="167"/>
        <v>Poor</v>
      </c>
      <c r="X2633" s="4">
        <f>AVERAGE(Table1[Purchase Amount])</f>
        <v>129.48419400000012</v>
      </c>
    </row>
    <row r="2634" spans="1:24" ht="15" customHeight="1" x14ac:dyDescent="0.25">
      <c r="A2634">
        <v>2633</v>
      </c>
      <c r="B2634">
        <v>24</v>
      </c>
      <c r="C2634" t="s">
        <v>27</v>
      </c>
      <c r="D2634" t="s">
        <v>129</v>
      </c>
      <c r="E2634" t="s">
        <v>29</v>
      </c>
      <c r="F2634" s="2">
        <v>27</v>
      </c>
      <c r="G2634" t="s">
        <v>148</v>
      </c>
      <c r="H2634" t="s">
        <v>31</v>
      </c>
      <c r="I2634" t="s">
        <v>40</v>
      </c>
      <c r="J2634" t="s">
        <v>47</v>
      </c>
      <c r="K2634">
        <v>5</v>
      </c>
      <c r="L2634" t="s">
        <v>23</v>
      </c>
      <c r="M2634" t="s">
        <v>79</v>
      </c>
      <c r="N2634" t="s">
        <v>23</v>
      </c>
      <c r="O2634">
        <v>14</v>
      </c>
      <c r="P2634" t="s">
        <v>25</v>
      </c>
      <c r="Q2634" t="s">
        <v>49</v>
      </c>
      <c r="R2634" s="1">
        <v>0.1</v>
      </c>
      <c r="S2634">
        <f t="shared" si="164"/>
        <v>24.3</v>
      </c>
      <c r="T2634">
        <f>IFERROR(VLOOKUP(A2634,Table1[[Customer ID]:[Discount Amount]], 6, FALSE),"Not Found")</f>
        <v>27</v>
      </c>
      <c r="U2634" t="str">
        <f t="shared" si="165"/>
        <v>Cash</v>
      </c>
      <c r="V2634" s="4" t="str">
        <f t="shared" si="166"/>
        <v>Normal</v>
      </c>
      <c r="W2634" s="4" t="str">
        <f t="shared" si="167"/>
        <v>Good</v>
      </c>
      <c r="X2634" s="4">
        <f>AVERAGE(Table1[Purchase Amount])</f>
        <v>129.48419400000012</v>
      </c>
    </row>
    <row r="2635" spans="1:24" ht="15" customHeight="1" x14ac:dyDescent="0.25">
      <c r="A2635">
        <v>2634</v>
      </c>
      <c r="B2635">
        <v>51</v>
      </c>
      <c r="C2635" t="s">
        <v>27</v>
      </c>
      <c r="D2635" t="s">
        <v>28</v>
      </c>
      <c r="E2635" t="s">
        <v>29</v>
      </c>
      <c r="F2635" s="2">
        <v>90</v>
      </c>
      <c r="G2635" t="s">
        <v>148</v>
      </c>
      <c r="H2635" t="s">
        <v>31</v>
      </c>
      <c r="I2635" t="s">
        <v>66</v>
      </c>
      <c r="J2635" t="s">
        <v>47</v>
      </c>
      <c r="K2635">
        <v>4.7</v>
      </c>
      <c r="L2635" t="s">
        <v>23</v>
      </c>
      <c r="M2635" t="s">
        <v>79</v>
      </c>
      <c r="N2635" t="s">
        <v>23</v>
      </c>
      <c r="O2635">
        <v>32</v>
      </c>
      <c r="P2635" t="s">
        <v>53</v>
      </c>
      <c r="Q2635" t="s">
        <v>89</v>
      </c>
      <c r="R2635" s="1">
        <v>0.1</v>
      </c>
      <c r="S2635">
        <f t="shared" si="164"/>
        <v>81</v>
      </c>
      <c r="T2635">
        <f>IFERROR(VLOOKUP(A2635,Table1[[Customer ID]:[Discount Amount]], 6, FALSE),"Not Found")</f>
        <v>90</v>
      </c>
      <c r="U2635" t="str">
        <f t="shared" si="165"/>
        <v>Credit Card</v>
      </c>
      <c r="V2635" s="4" t="str">
        <f t="shared" si="166"/>
        <v>Normal</v>
      </c>
      <c r="W2635" s="4" t="str">
        <f t="shared" si="167"/>
        <v>Good</v>
      </c>
      <c r="X2635" s="4">
        <f>AVERAGE(Table1[Purchase Amount])</f>
        <v>129.48419400000012</v>
      </c>
    </row>
    <row r="2636" spans="1:24" ht="15" customHeight="1" x14ac:dyDescent="0.25">
      <c r="A2636">
        <v>2635</v>
      </c>
      <c r="B2636">
        <v>26</v>
      </c>
      <c r="C2636" t="s">
        <v>27</v>
      </c>
      <c r="D2636" t="s">
        <v>121</v>
      </c>
      <c r="E2636" t="s">
        <v>98</v>
      </c>
      <c r="F2636" s="2">
        <v>58</v>
      </c>
      <c r="G2636" t="s">
        <v>134</v>
      </c>
      <c r="H2636" t="s">
        <v>55</v>
      </c>
      <c r="I2636" t="s">
        <v>40</v>
      </c>
      <c r="J2636" t="s">
        <v>57</v>
      </c>
      <c r="K2636">
        <v>3.2</v>
      </c>
      <c r="L2636" t="s">
        <v>23</v>
      </c>
      <c r="M2636" t="s">
        <v>48</v>
      </c>
      <c r="N2636" t="s">
        <v>23</v>
      </c>
      <c r="O2636">
        <v>20</v>
      </c>
      <c r="P2636" t="s">
        <v>58</v>
      </c>
      <c r="Q2636" t="s">
        <v>63</v>
      </c>
      <c r="R2636" s="1">
        <v>0.1</v>
      </c>
      <c r="S2636">
        <f t="shared" si="164"/>
        <v>52.2</v>
      </c>
      <c r="T2636">
        <f>IFERROR(VLOOKUP(A2636,Table1[[Customer ID]:[Discount Amount]], 6, FALSE),"Not Found")</f>
        <v>58</v>
      </c>
      <c r="U2636" t="str">
        <f t="shared" si="165"/>
        <v>PayPal</v>
      </c>
      <c r="V2636" s="4" t="str">
        <f t="shared" si="166"/>
        <v>Normal</v>
      </c>
      <c r="W2636" s="4" t="str">
        <f t="shared" si="167"/>
        <v>Good</v>
      </c>
      <c r="X2636" s="4">
        <f>AVERAGE(Table1[Purchase Amount])</f>
        <v>129.48419400000012</v>
      </c>
    </row>
    <row r="2637" spans="1:24" ht="15" customHeight="1" x14ac:dyDescent="0.25">
      <c r="A2637">
        <v>2636</v>
      </c>
      <c r="B2637">
        <v>59</v>
      </c>
      <c r="C2637" t="s">
        <v>27</v>
      </c>
      <c r="D2637" t="s">
        <v>83</v>
      </c>
      <c r="E2637" t="s">
        <v>18</v>
      </c>
      <c r="F2637" s="2">
        <v>80</v>
      </c>
      <c r="G2637" t="s">
        <v>92</v>
      </c>
      <c r="H2637" t="s">
        <v>20</v>
      </c>
      <c r="I2637" t="s">
        <v>145</v>
      </c>
      <c r="J2637" t="s">
        <v>33</v>
      </c>
      <c r="K2637">
        <v>2.9</v>
      </c>
      <c r="L2637" t="s">
        <v>23</v>
      </c>
      <c r="M2637" t="s">
        <v>41</v>
      </c>
      <c r="N2637" t="s">
        <v>23</v>
      </c>
      <c r="O2637">
        <v>34</v>
      </c>
      <c r="P2637" t="s">
        <v>58</v>
      </c>
      <c r="Q2637" t="s">
        <v>89</v>
      </c>
      <c r="R2637" s="1">
        <v>0.1</v>
      </c>
      <c r="S2637">
        <f t="shared" si="164"/>
        <v>72</v>
      </c>
      <c r="T2637">
        <f>IFERROR(VLOOKUP(A2637,Table1[[Customer ID]:[Discount Amount]], 6, FALSE),"Not Found")</f>
        <v>80</v>
      </c>
      <c r="U2637" t="str">
        <f t="shared" si="165"/>
        <v>PayPal</v>
      </c>
      <c r="V2637" s="4" t="str">
        <f t="shared" si="166"/>
        <v>Normal</v>
      </c>
      <c r="W2637" s="4" t="str">
        <f t="shared" si="167"/>
        <v>Poor</v>
      </c>
      <c r="X2637" s="4">
        <f>AVERAGE(Table1[Purchase Amount])</f>
        <v>129.48419400000012</v>
      </c>
    </row>
    <row r="2638" spans="1:24" ht="15" customHeight="1" x14ac:dyDescent="0.25">
      <c r="A2638">
        <v>2637</v>
      </c>
      <c r="B2638">
        <v>41</v>
      </c>
      <c r="C2638" t="s">
        <v>27</v>
      </c>
      <c r="D2638" t="s">
        <v>96</v>
      </c>
      <c r="E2638" t="s">
        <v>77</v>
      </c>
      <c r="F2638" s="2">
        <v>40</v>
      </c>
      <c r="G2638" t="s">
        <v>144</v>
      </c>
      <c r="H2638" t="s">
        <v>55</v>
      </c>
      <c r="I2638" t="s">
        <v>87</v>
      </c>
      <c r="J2638" t="s">
        <v>22</v>
      </c>
      <c r="K2638">
        <v>4.2</v>
      </c>
      <c r="L2638" t="s">
        <v>23</v>
      </c>
      <c r="M2638" t="s">
        <v>48</v>
      </c>
      <c r="N2638" t="s">
        <v>23</v>
      </c>
      <c r="O2638">
        <v>6</v>
      </c>
      <c r="P2638" t="s">
        <v>62</v>
      </c>
      <c r="Q2638" t="s">
        <v>49</v>
      </c>
      <c r="R2638" s="1">
        <v>0.1</v>
      </c>
      <c r="S2638">
        <f t="shared" si="164"/>
        <v>36</v>
      </c>
      <c r="T2638">
        <f>IFERROR(VLOOKUP(A2638,Table1[[Customer ID]:[Discount Amount]], 6, FALSE),"Not Found")</f>
        <v>40</v>
      </c>
      <c r="U2638" t="str">
        <f t="shared" si="165"/>
        <v>Venmo</v>
      </c>
      <c r="V2638" s="4" t="str">
        <f t="shared" si="166"/>
        <v>Normal</v>
      </c>
      <c r="W2638" s="4" t="str">
        <f t="shared" si="167"/>
        <v>Good</v>
      </c>
      <c r="X2638" s="4">
        <f>AVERAGE(Table1[Purchase Amount])</f>
        <v>129.48419400000012</v>
      </c>
    </row>
    <row r="2639" spans="1:24" ht="15" customHeight="1" x14ac:dyDescent="0.25">
      <c r="A2639">
        <v>2638</v>
      </c>
      <c r="B2639">
        <v>20</v>
      </c>
      <c r="C2639" t="s">
        <v>27</v>
      </c>
      <c r="D2639" t="s">
        <v>99</v>
      </c>
      <c r="E2639" t="s">
        <v>18</v>
      </c>
      <c r="F2639" s="2">
        <v>23</v>
      </c>
      <c r="G2639" t="s">
        <v>51</v>
      </c>
      <c r="H2639" t="s">
        <v>31</v>
      </c>
      <c r="I2639" t="s">
        <v>87</v>
      </c>
      <c r="J2639" t="s">
        <v>33</v>
      </c>
      <c r="K2639">
        <v>3.7</v>
      </c>
      <c r="L2639" t="s">
        <v>23</v>
      </c>
      <c r="M2639" t="s">
        <v>48</v>
      </c>
      <c r="N2639" t="s">
        <v>23</v>
      </c>
      <c r="O2639">
        <v>2</v>
      </c>
      <c r="P2639" t="s">
        <v>58</v>
      </c>
      <c r="Q2639" t="s">
        <v>49</v>
      </c>
      <c r="R2639" s="1">
        <v>0.1</v>
      </c>
      <c r="S2639">
        <f t="shared" si="164"/>
        <v>20.7</v>
      </c>
      <c r="T2639">
        <f>IFERROR(VLOOKUP(A2639,Table1[[Customer ID]:[Discount Amount]], 6, FALSE),"Not Found")</f>
        <v>23</v>
      </c>
      <c r="U2639" t="str">
        <f t="shared" si="165"/>
        <v>PayPal</v>
      </c>
      <c r="V2639" s="4" t="str">
        <f t="shared" si="166"/>
        <v>Normal</v>
      </c>
      <c r="W2639" s="4" t="str">
        <f t="shared" si="167"/>
        <v>Good</v>
      </c>
      <c r="X2639" s="4">
        <f>AVERAGE(Table1[Purchase Amount])</f>
        <v>129.48419400000012</v>
      </c>
    </row>
    <row r="2640" spans="1:24" ht="15" customHeight="1" x14ac:dyDescent="0.25">
      <c r="A2640">
        <v>2639</v>
      </c>
      <c r="B2640">
        <v>22</v>
      </c>
      <c r="C2640" t="s">
        <v>27</v>
      </c>
      <c r="D2640" t="s">
        <v>38</v>
      </c>
      <c r="E2640" t="s">
        <v>18</v>
      </c>
      <c r="F2640" s="2">
        <v>34</v>
      </c>
      <c r="G2640" t="s">
        <v>135</v>
      </c>
      <c r="H2640" t="s">
        <v>55</v>
      </c>
      <c r="I2640" t="s">
        <v>40</v>
      </c>
      <c r="J2640" t="s">
        <v>33</v>
      </c>
      <c r="K2640">
        <v>4.2</v>
      </c>
      <c r="L2640" t="s">
        <v>23</v>
      </c>
      <c r="M2640" t="s">
        <v>48</v>
      </c>
      <c r="N2640" t="s">
        <v>23</v>
      </c>
      <c r="O2640">
        <v>35</v>
      </c>
      <c r="P2640" t="s">
        <v>53</v>
      </c>
      <c r="Q2640" t="s">
        <v>49</v>
      </c>
      <c r="R2640" s="1">
        <v>0.1</v>
      </c>
      <c r="S2640">
        <f t="shared" si="164"/>
        <v>30.6</v>
      </c>
      <c r="T2640">
        <f>IFERROR(VLOOKUP(A2640,Table1[[Customer ID]:[Discount Amount]], 6, FALSE),"Not Found")</f>
        <v>34</v>
      </c>
      <c r="U2640" t="str">
        <f t="shared" si="165"/>
        <v>Credit Card</v>
      </c>
      <c r="V2640" s="4" t="str">
        <f t="shared" si="166"/>
        <v>Normal</v>
      </c>
      <c r="W2640" s="4" t="str">
        <f t="shared" si="167"/>
        <v>Good</v>
      </c>
      <c r="X2640" s="4">
        <f>AVERAGE(Table1[Purchase Amount])</f>
        <v>129.48419400000012</v>
      </c>
    </row>
    <row r="2641" spans="1:24" ht="15" customHeight="1" x14ac:dyDescent="0.25">
      <c r="A2641">
        <v>2640</v>
      </c>
      <c r="B2641">
        <v>18</v>
      </c>
      <c r="C2641" t="s">
        <v>27</v>
      </c>
      <c r="D2641" t="s">
        <v>118</v>
      </c>
      <c r="E2641" t="s">
        <v>18</v>
      </c>
      <c r="F2641" s="2">
        <v>35</v>
      </c>
      <c r="G2641" t="s">
        <v>132</v>
      </c>
      <c r="H2641" t="s">
        <v>20</v>
      </c>
      <c r="I2641" t="s">
        <v>136</v>
      </c>
      <c r="J2641" t="s">
        <v>22</v>
      </c>
      <c r="K2641">
        <v>2.6</v>
      </c>
      <c r="L2641" t="s">
        <v>23</v>
      </c>
      <c r="M2641" t="s">
        <v>35</v>
      </c>
      <c r="N2641" t="s">
        <v>23</v>
      </c>
      <c r="O2641">
        <v>33</v>
      </c>
      <c r="P2641" t="s">
        <v>36</v>
      </c>
      <c r="Q2641" t="s">
        <v>37</v>
      </c>
      <c r="R2641" s="1">
        <v>0.1</v>
      </c>
      <c r="S2641">
        <f t="shared" si="164"/>
        <v>31.5</v>
      </c>
      <c r="T2641">
        <f>IFERROR(VLOOKUP(A2641,Table1[[Customer ID]:[Discount Amount]], 6, FALSE),"Not Found")</f>
        <v>35</v>
      </c>
      <c r="U2641" t="str">
        <f t="shared" si="165"/>
        <v>Debit Card</v>
      </c>
      <c r="V2641" s="4" t="str">
        <f t="shared" si="166"/>
        <v>Normal</v>
      </c>
      <c r="W2641" s="4" t="str">
        <f t="shared" si="167"/>
        <v>Poor</v>
      </c>
      <c r="X2641" s="4">
        <f>AVERAGE(Table1[Purchase Amount])</f>
        <v>129.48419400000012</v>
      </c>
    </row>
    <row r="2642" spans="1:24" ht="15" customHeight="1" x14ac:dyDescent="0.25">
      <c r="A2642">
        <v>2641</v>
      </c>
      <c r="B2642">
        <v>30</v>
      </c>
      <c r="C2642" t="s">
        <v>27</v>
      </c>
      <c r="D2642" t="s">
        <v>122</v>
      </c>
      <c r="E2642" t="s">
        <v>18</v>
      </c>
      <c r="F2642" s="2">
        <v>75</v>
      </c>
      <c r="G2642" t="s">
        <v>102</v>
      </c>
      <c r="H2642" t="s">
        <v>45</v>
      </c>
      <c r="I2642" t="s">
        <v>21</v>
      </c>
      <c r="J2642" t="s">
        <v>57</v>
      </c>
      <c r="K2642">
        <v>4</v>
      </c>
      <c r="L2642" t="s">
        <v>23</v>
      </c>
      <c r="M2642" t="s">
        <v>48</v>
      </c>
      <c r="N2642" t="s">
        <v>23</v>
      </c>
      <c r="O2642">
        <v>45</v>
      </c>
      <c r="P2642" t="s">
        <v>62</v>
      </c>
      <c r="Q2642" t="s">
        <v>68</v>
      </c>
      <c r="R2642" s="1">
        <v>0.1</v>
      </c>
      <c r="S2642">
        <f t="shared" si="164"/>
        <v>67.5</v>
      </c>
      <c r="T2642">
        <f>IFERROR(VLOOKUP(A2642,Table1[[Customer ID]:[Discount Amount]], 6, FALSE),"Not Found")</f>
        <v>75</v>
      </c>
      <c r="U2642" t="str">
        <f t="shared" si="165"/>
        <v>Venmo</v>
      </c>
      <c r="V2642" s="4" t="str">
        <f t="shared" si="166"/>
        <v>Normal</v>
      </c>
      <c r="W2642" s="4" t="str">
        <f t="shared" si="167"/>
        <v>Good</v>
      </c>
      <c r="X2642" s="4">
        <f>AVERAGE(Table1[Purchase Amount])</f>
        <v>129.48419400000012</v>
      </c>
    </row>
    <row r="2643" spans="1:24" ht="15" customHeight="1" x14ac:dyDescent="0.25">
      <c r="A2643">
        <v>2642</v>
      </c>
      <c r="B2643">
        <v>25</v>
      </c>
      <c r="C2643" t="s">
        <v>27</v>
      </c>
      <c r="D2643" t="s">
        <v>28</v>
      </c>
      <c r="E2643" t="s">
        <v>29</v>
      </c>
      <c r="F2643" s="2">
        <v>60</v>
      </c>
      <c r="G2643" t="s">
        <v>84</v>
      </c>
      <c r="H2643" t="s">
        <v>20</v>
      </c>
      <c r="I2643" t="s">
        <v>21</v>
      </c>
      <c r="J2643" t="s">
        <v>22</v>
      </c>
      <c r="K2643">
        <v>2.7</v>
      </c>
      <c r="L2643" t="s">
        <v>23</v>
      </c>
      <c r="M2643" t="s">
        <v>79</v>
      </c>
      <c r="N2643" t="s">
        <v>23</v>
      </c>
      <c r="O2643">
        <v>20</v>
      </c>
      <c r="P2643" t="s">
        <v>88</v>
      </c>
      <c r="Q2643" t="s">
        <v>63</v>
      </c>
      <c r="R2643" s="1">
        <v>0.1</v>
      </c>
      <c r="S2643">
        <f t="shared" si="164"/>
        <v>54</v>
      </c>
      <c r="T2643">
        <f>IFERROR(VLOOKUP(A2643,Table1[[Customer ID]:[Discount Amount]], 6, FALSE),"Not Found")</f>
        <v>60</v>
      </c>
      <c r="U2643" t="str">
        <f t="shared" si="165"/>
        <v>Bank Transfer</v>
      </c>
      <c r="V2643" s="4" t="str">
        <f t="shared" si="166"/>
        <v>Normal</v>
      </c>
      <c r="W2643" s="4" t="str">
        <f t="shared" si="167"/>
        <v>Poor</v>
      </c>
      <c r="X2643" s="4">
        <f>AVERAGE(Table1[Purchase Amount])</f>
        <v>129.48419400000012</v>
      </c>
    </row>
    <row r="2644" spans="1:24" ht="15" customHeight="1" x14ac:dyDescent="0.25">
      <c r="A2644">
        <v>2643</v>
      </c>
      <c r="B2644">
        <v>39</v>
      </c>
      <c r="C2644" t="s">
        <v>27</v>
      </c>
      <c r="D2644" t="s">
        <v>114</v>
      </c>
      <c r="E2644" t="s">
        <v>29</v>
      </c>
      <c r="F2644" s="2">
        <v>87</v>
      </c>
      <c r="G2644" t="s">
        <v>141</v>
      </c>
      <c r="H2644" t="s">
        <v>45</v>
      </c>
      <c r="I2644" t="s">
        <v>145</v>
      </c>
      <c r="J2644" t="s">
        <v>57</v>
      </c>
      <c r="K2644">
        <v>4</v>
      </c>
      <c r="L2644" t="s">
        <v>23</v>
      </c>
      <c r="M2644" t="s">
        <v>48</v>
      </c>
      <c r="N2644" t="s">
        <v>23</v>
      </c>
      <c r="O2644">
        <v>48</v>
      </c>
      <c r="P2644" t="s">
        <v>88</v>
      </c>
      <c r="Q2644" t="s">
        <v>49</v>
      </c>
      <c r="R2644" s="1">
        <v>0.1</v>
      </c>
      <c r="S2644">
        <f t="shared" si="164"/>
        <v>78.3</v>
      </c>
      <c r="T2644">
        <f>IFERROR(VLOOKUP(A2644,Table1[[Customer ID]:[Discount Amount]], 6, FALSE),"Not Found")</f>
        <v>87</v>
      </c>
      <c r="U2644" t="str">
        <f t="shared" si="165"/>
        <v>Bank Transfer</v>
      </c>
      <c r="V2644" s="4" t="str">
        <f t="shared" si="166"/>
        <v>Normal</v>
      </c>
      <c r="W2644" s="4" t="str">
        <f t="shared" si="167"/>
        <v>Good</v>
      </c>
      <c r="X2644" s="4">
        <f>AVERAGE(Table1[Purchase Amount])</f>
        <v>129.48419400000012</v>
      </c>
    </row>
    <row r="2645" spans="1:24" ht="15" customHeight="1" x14ac:dyDescent="0.25">
      <c r="A2645">
        <v>2644</v>
      </c>
      <c r="B2645">
        <v>49</v>
      </c>
      <c r="C2645" t="s">
        <v>27</v>
      </c>
      <c r="D2645" t="s">
        <v>43</v>
      </c>
      <c r="E2645" t="s">
        <v>29</v>
      </c>
      <c r="F2645" s="2">
        <v>41</v>
      </c>
      <c r="G2645" t="s">
        <v>106</v>
      </c>
      <c r="H2645" t="s">
        <v>55</v>
      </c>
      <c r="I2645" t="s">
        <v>153</v>
      </c>
      <c r="J2645" t="s">
        <v>33</v>
      </c>
      <c r="K2645">
        <v>2.9</v>
      </c>
      <c r="L2645" t="s">
        <v>23</v>
      </c>
      <c r="M2645" t="s">
        <v>79</v>
      </c>
      <c r="N2645" t="s">
        <v>23</v>
      </c>
      <c r="O2645">
        <v>37</v>
      </c>
      <c r="P2645" t="s">
        <v>25</v>
      </c>
      <c r="Q2645" t="s">
        <v>42</v>
      </c>
      <c r="R2645" s="1">
        <v>0.1</v>
      </c>
      <c r="S2645">
        <f t="shared" si="164"/>
        <v>36.9</v>
      </c>
      <c r="T2645">
        <f>IFERROR(VLOOKUP(A2645,Table1[[Customer ID]:[Discount Amount]], 6, FALSE),"Not Found")</f>
        <v>41</v>
      </c>
      <c r="U2645" t="str">
        <f t="shared" si="165"/>
        <v>Cash</v>
      </c>
      <c r="V2645" s="4" t="str">
        <f t="shared" si="166"/>
        <v>Normal</v>
      </c>
      <c r="W2645" s="4" t="str">
        <f t="shared" si="167"/>
        <v>Poor</v>
      </c>
      <c r="X2645" s="4">
        <f>AVERAGE(Table1[Purchase Amount])</f>
        <v>129.48419400000012</v>
      </c>
    </row>
    <row r="2646" spans="1:24" ht="15" customHeight="1" x14ac:dyDescent="0.25">
      <c r="A2646">
        <v>2645</v>
      </c>
      <c r="B2646">
        <v>25</v>
      </c>
      <c r="C2646" t="s">
        <v>27</v>
      </c>
      <c r="D2646" t="s">
        <v>99</v>
      </c>
      <c r="E2646" t="s">
        <v>18</v>
      </c>
      <c r="F2646" s="2">
        <v>83</v>
      </c>
      <c r="G2646" t="s">
        <v>110</v>
      </c>
      <c r="H2646" t="s">
        <v>31</v>
      </c>
      <c r="I2646" t="s">
        <v>156</v>
      </c>
      <c r="J2646" t="s">
        <v>33</v>
      </c>
      <c r="K2646">
        <v>3.3</v>
      </c>
      <c r="L2646" t="s">
        <v>23</v>
      </c>
      <c r="M2646" t="s">
        <v>24</v>
      </c>
      <c r="N2646" t="s">
        <v>23</v>
      </c>
      <c r="O2646">
        <v>4</v>
      </c>
      <c r="P2646" t="s">
        <v>88</v>
      </c>
      <c r="Q2646" t="s">
        <v>63</v>
      </c>
      <c r="R2646" s="1">
        <v>0.1</v>
      </c>
      <c r="S2646">
        <f t="shared" si="164"/>
        <v>74.7</v>
      </c>
      <c r="T2646">
        <f>IFERROR(VLOOKUP(A2646,Table1[[Customer ID]:[Discount Amount]], 6, FALSE),"Not Found")</f>
        <v>83</v>
      </c>
      <c r="U2646" t="str">
        <f t="shared" si="165"/>
        <v>Bank Transfer</v>
      </c>
      <c r="V2646" s="4" t="str">
        <f t="shared" si="166"/>
        <v>Normal</v>
      </c>
      <c r="W2646" s="4" t="str">
        <f t="shared" si="167"/>
        <v>Good</v>
      </c>
      <c r="X2646" s="4">
        <f>AVERAGE(Table1[Purchase Amount])</f>
        <v>129.48419400000012</v>
      </c>
    </row>
    <row r="2647" spans="1:24" ht="15" customHeight="1" x14ac:dyDescent="0.25">
      <c r="A2647">
        <v>2646</v>
      </c>
      <c r="B2647">
        <v>23</v>
      </c>
      <c r="C2647" t="s">
        <v>27</v>
      </c>
      <c r="D2647" t="s">
        <v>129</v>
      </c>
      <c r="E2647" t="s">
        <v>29</v>
      </c>
      <c r="F2647" s="2">
        <v>81</v>
      </c>
      <c r="G2647" t="s">
        <v>119</v>
      </c>
      <c r="H2647" t="s">
        <v>45</v>
      </c>
      <c r="I2647" t="s">
        <v>21</v>
      </c>
      <c r="J2647" t="s">
        <v>33</v>
      </c>
      <c r="K2647">
        <v>4</v>
      </c>
      <c r="L2647" t="s">
        <v>23</v>
      </c>
      <c r="M2647" t="s">
        <v>48</v>
      </c>
      <c r="N2647" t="s">
        <v>23</v>
      </c>
      <c r="O2647">
        <v>24</v>
      </c>
      <c r="P2647" t="s">
        <v>88</v>
      </c>
      <c r="Q2647" t="s">
        <v>68</v>
      </c>
      <c r="R2647" s="1">
        <v>0.1</v>
      </c>
      <c r="S2647">
        <f t="shared" si="164"/>
        <v>72.900000000000006</v>
      </c>
      <c r="T2647">
        <f>IFERROR(VLOOKUP(A2647,Table1[[Customer ID]:[Discount Amount]], 6, FALSE),"Not Found")</f>
        <v>81</v>
      </c>
      <c r="U2647" t="str">
        <f t="shared" si="165"/>
        <v>Bank Transfer</v>
      </c>
      <c r="V2647" s="4" t="str">
        <f t="shared" si="166"/>
        <v>Normal</v>
      </c>
      <c r="W2647" s="4" t="str">
        <f t="shared" si="167"/>
        <v>Good</v>
      </c>
      <c r="X2647" s="4">
        <f>AVERAGE(Table1[Purchase Amount])</f>
        <v>129.48419400000012</v>
      </c>
    </row>
    <row r="2648" spans="1:24" ht="15" customHeight="1" x14ac:dyDescent="0.25">
      <c r="A2648">
        <v>2647</v>
      </c>
      <c r="B2648">
        <v>33</v>
      </c>
      <c r="C2648" t="s">
        <v>27</v>
      </c>
      <c r="D2648" t="s">
        <v>17</v>
      </c>
      <c r="E2648" t="s">
        <v>18</v>
      </c>
      <c r="F2648" s="2">
        <v>56</v>
      </c>
      <c r="G2648" t="s">
        <v>110</v>
      </c>
      <c r="H2648" t="s">
        <v>55</v>
      </c>
      <c r="I2648" t="s">
        <v>107</v>
      </c>
      <c r="J2648" t="s">
        <v>57</v>
      </c>
      <c r="K2648">
        <v>3.9</v>
      </c>
      <c r="L2648" t="s">
        <v>23</v>
      </c>
      <c r="M2648" t="s">
        <v>79</v>
      </c>
      <c r="N2648" t="s">
        <v>23</v>
      </c>
      <c r="O2648">
        <v>4</v>
      </c>
      <c r="P2648" t="s">
        <v>36</v>
      </c>
      <c r="Q2648" t="s">
        <v>63</v>
      </c>
      <c r="R2648" s="1">
        <v>0.1</v>
      </c>
      <c r="S2648">
        <f t="shared" si="164"/>
        <v>50.4</v>
      </c>
      <c r="T2648">
        <f>IFERROR(VLOOKUP(A2648,Table1[[Customer ID]:[Discount Amount]], 6, FALSE),"Not Found")</f>
        <v>56</v>
      </c>
      <c r="U2648" t="str">
        <f t="shared" si="165"/>
        <v>Debit Card</v>
      </c>
      <c r="V2648" s="4" t="str">
        <f t="shared" si="166"/>
        <v>Normal</v>
      </c>
      <c r="W2648" s="4" t="str">
        <f t="shared" si="167"/>
        <v>Good</v>
      </c>
      <c r="X2648" s="4">
        <f>AVERAGE(Table1[Purchase Amount])</f>
        <v>129.48419400000012</v>
      </c>
    </row>
    <row r="2649" spans="1:24" ht="15" customHeight="1" x14ac:dyDescent="0.25">
      <c r="A2649">
        <v>2648</v>
      </c>
      <c r="B2649">
        <v>60</v>
      </c>
      <c r="C2649" t="s">
        <v>27</v>
      </c>
      <c r="D2649" t="s">
        <v>72</v>
      </c>
      <c r="E2649" t="s">
        <v>98</v>
      </c>
      <c r="F2649" s="2">
        <v>58</v>
      </c>
      <c r="G2649" t="s">
        <v>30</v>
      </c>
      <c r="H2649" t="s">
        <v>31</v>
      </c>
      <c r="I2649" t="s">
        <v>46</v>
      </c>
      <c r="J2649" t="s">
        <v>57</v>
      </c>
      <c r="K2649">
        <v>3.3</v>
      </c>
      <c r="L2649" t="s">
        <v>23</v>
      </c>
      <c r="M2649" t="s">
        <v>41</v>
      </c>
      <c r="N2649" t="s">
        <v>23</v>
      </c>
      <c r="O2649">
        <v>25</v>
      </c>
      <c r="P2649" t="s">
        <v>36</v>
      </c>
      <c r="Q2649" t="s">
        <v>49</v>
      </c>
      <c r="R2649" s="1">
        <v>0.1</v>
      </c>
      <c r="S2649">
        <f t="shared" si="164"/>
        <v>52.2</v>
      </c>
      <c r="T2649">
        <f>IFERROR(VLOOKUP(A2649,Table1[[Customer ID]:[Discount Amount]], 6, FALSE),"Not Found")</f>
        <v>58</v>
      </c>
      <c r="U2649" t="str">
        <f t="shared" si="165"/>
        <v>Debit Card</v>
      </c>
      <c r="V2649" s="4" t="str">
        <f t="shared" si="166"/>
        <v>Normal</v>
      </c>
      <c r="W2649" s="4" t="str">
        <f t="shared" si="167"/>
        <v>Good</v>
      </c>
      <c r="X2649" s="4">
        <f>AVERAGE(Table1[Purchase Amount])</f>
        <v>129.48419400000012</v>
      </c>
    </row>
    <row r="2650" spans="1:24" ht="15" customHeight="1" x14ac:dyDescent="0.25">
      <c r="A2650">
        <v>2649</v>
      </c>
      <c r="B2650">
        <v>51</v>
      </c>
      <c r="C2650" t="s">
        <v>27</v>
      </c>
      <c r="D2650" t="s">
        <v>99</v>
      </c>
      <c r="E2650" t="s">
        <v>18</v>
      </c>
      <c r="F2650" s="2">
        <v>84</v>
      </c>
      <c r="G2650" t="s">
        <v>44</v>
      </c>
      <c r="H2650" t="s">
        <v>31</v>
      </c>
      <c r="I2650" t="s">
        <v>85</v>
      </c>
      <c r="J2650" t="s">
        <v>33</v>
      </c>
      <c r="K2650">
        <v>3.9</v>
      </c>
      <c r="L2650" t="s">
        <v>23</v>
      </c>
      <c r="M2650" t="s">
        <v>79</v>
      </c>
      <c r="N2650" t="s">
        <v>23</v>
      </c>
      <c r="O2650">
        <v>14</v>
      </c>
      <c r="P2650" t="s">
        <v>58</v>
      </c>
      <c r="Q2650" t="s">
        <v>68</v>
      </c>
      <c r="R2650" s="1">
        <v>0.1</v>
      </c>
      <c r="S2650">
        <f t="shared" si="164"/>
        <v>75.599999999999994</v>
      </c>
      <c r="T2650">
        <f>IFERROR(VLOOKUP(A2650,Table1[[Customer ID]:[Discount Amount]], 6, FALSE),"Not Found")</f>
        <v>84</v>
      </c>
      <c r="U2650" t="str">
        <f t="shared" si="165"/>
        <v>PayPal</v>
      </c>
      <c r="V2650" s="4" t="str">
        <f t="shared" si="166"/>
        <v>Normal</v>
      </c>
      <c r="W2650" s="4" t="str">
        <f t="shared" si="167"/>
        <v>Good</v>
      </c>
      <c r="X2650" s="4">
        <f>AVERAGE(Table1[Purchase Amount])</f>
        <v>129.48419400000012</v>
      </c>
    </row>
    <row r="2651" spans="1:24" ht="15" customHeight="1" x14ac:dyDescent="0.25">
      <c r="A2651">
        <v>2650</v>
      </c>
      <c r="B2651">
        <v>23</v>
      </c>
      <c r="C2651" t="s">
        <v>27</v>
      </c>
      <c r="D2651" t="s">
        <v>43</v>
      </c>
      <c r="E2651" t="s">
        <v>29</v>
      </c>
      <c r="F2651" s="2">
        <v>21</v>
      </c>
      <c r="G2651" t="s">
        <v>120</v>
      </c>
      <c r="H2651" t="s">
        <v>31</v>
      </c>
      <c r="I2651" t="s">
        <v>87</v>
      </c>
      <c r="J2651" t="s">
        <v>47</v>
      </c>
      <c r="K2651">
        <v>3.9</v>
      </c>
      <c r="L2651" t="s">
        <v>23</v>
      </c>
      <c r="M2651" t="s">
        <v>48</v>
      </c>
      <c r="N2651" t="s">
        <v>23</v>
      </c>
      <c r="O2651">
        <v>14</v>
      </c>
      <c r="P2651" t="s">
        <v>88</v>
      </c>
      <c r="Q2651" t="s">
        <v>89</v>
      </c>
      <c r="R2651" s="1">
        <v>0.1</v>
      </c>
      <c r="S2651">
        <f t="shared" si="164"/>
        <v>18.899999999999999</v>
      </c>
      <c r="T2651">
        <f>IFERROR(VLOOKUP(A2651,Table1[[Customer ID]:[Discount Amount]], 6, FALSE),"Not Found")</f>
        <v>21</v>
      </c>
      <c r="U2651" t="str">
        <f t="shared" si="165"/>
        <v>Bank Transfer</v>
      </c>
      <c r="V2651" s="4" t="str">
        <f t="shared" si="166"/>
        <v>Normal</v>
      </c>
      <c r="W2651" s="4" t="str">
        <f t="shared" si="167"/>
        <v>Good</v>
      </c>
      <c r="X2651" s="4">
        <f>AVERAGE(Table1[Purchase Amount])</f>
        <v>129.48419400000012</v>
      </c>
    </row>
    <row r="2652" spans="1:24" ht="15" customHeight="1" x14ac:dyDescent="0.25">
      <c r="A2652">
        <v>2651</v>
      </c>
      <c r="B2652">
        <v>20</v>
      </c>
      <c r="C2652" t="s">
        <v>27</v>
      </c>
      <c r="D2652" t="s">
        <v>105</v>
      </c>
      <c r="E2652" t="s">
        <v>18</v>
      </c>
      <c r="F2652" s="2">
        <v>35</v>
      </c>
      <c r="G2652" t="s">
        <v>123</v>
      </c>
      <c r="H2652" t="s">
        <v>45</v>
      </c>
      <c r="I2652" t="s">
        <v>125</v>
      </c>
      <c r="J2652" t="s">
        <v>57</v>
      </c>
      <c r="K2652">
        <v>4.2</v>
      </c>
      <c r="L2652" t="s">
        <v>23</v>
      </c>
      <c r="M2652" t="s">
        <v>24</v>
      </c>
      <c r="N2652" t="s">
        <v>23</v>
      </c>
      <c r="O2652">
        <v>46</v>
      </c>
      <c r="P2652" t="s">
        <v>53</v>
      </c>
      <c r="Q2652" t="s">
        <v>63</v>
      </c>
      <c r="R2652" s="1">
        <v>0.1</v>
      </c>
      <c r="S2652">
        <f t="shared" si="164"/>
        <v>31.5</v>
      </c>
      <c r="T2652">
        <f>IFERROR(VLOOKUP(A2652,Table1[[Customer ID]:[Discount Amount]], 6, FALSE),"Not Found")</f>
        <v>35</v>
      </c>
      <c r="U2652" t="str">
        <f t="shared" si="165"/>
        <v>Credit Card</v>
      </c>
      <c r="V2652" s="4" t="str">
        <f t="shared" si="166"/>
        <v>Normal</v>
      </c>
      <c r="W2652" s="4" t="str">
        <f t="shared" si="167"/>
        <v>Good</v>
      </c>
      <c r="X2652" s="4">
        <f>AVERAGE(Table1[Purchase Amount])</f>
        <v>129.48419400000012</v>
      </c>
    </row>
    <row r="2653" spans="1:24" ht="15" customHeight="1" x14ac:dyDescent="0.25">
      <c r="A2653">
        <v>2652</v>
      </c>
      <c r="B2653">
        <v>51</v>
      </c>
      <c r="C2653" t="s">
        <v>27</v>
      </c>
      <c r="D2653" t="s">
        <v>140</v>
      </c>
      <c r="E2653" t="s">
        <v>98</v>
      </c>
      <c r="F2653" s="2">
        <v>43</v>
      </c>
      <c r="G2653" t="s">
        <v>65</v>
      </c>
      <c r="H2653" t="s">
        <v>31</v>
      </c>
      <c r="I2653" t="s">
        <v>128</v>
      </c>
      <c r="J2653" t="s">
        <v>57</v>
      </c>
      <c r="K2653">
        <v>4.5999999999999996</v>
      </c>
      <c r="L2653" t="s">
        <v>23</v>
      </c>
      <c r="M2653" t="s">
        <v>48</v>
      </c>
      <c r="N2653" t="s">
        <v>23</v>
      </c>
      <c r="O2653">
        <v>27</v>
      </c>
      <c r="P2653" t="s">
        <v>58</v>
      </c>
      <c r="Q2653" t="s">
        <v>37</v>
      </c>
      <c r="R2653" s="1">
        <v>0.1</v>
      </c>
      <c r="S2653">
        <f t="shared" si="164"/>
        <v>38.700000000000003</v>
      </c>
      <c r="T2653">
        <f>IFERROR(VLOOKUP(A2653,Table1[[Customer ID]:[Discount Amount]], 6, FALSE),"Not Found")</f>
        <v>43</v>
      </c>
      <c r="U2653" t="str">
        <f t="shared" si="165"/>
        <v>PayPal</v>
      </c>
      <c r="V2653" s="4" t="str">
        <f t="shared" si="166"/>
        <v>Normal</v>
      </c>
      <c r="W2653" s="4" t="str">
        <f t="shared" si="167"/>
        <v>Good</v>
      </c>
      <c r="X2653" s="4">
        <f>AVERAGE(Table1[Purchase Amount])</f>
        <v>129.48419400000012</v>
      </c>
    </row>
    <row r="2654" spans="1:24" ht="15" customHeight="1" x14ac:dyDescent="0.25">
      <c r="A2654">
        <v>2653</v>
      </c>
      <c r="B2654">
        <v>23</v>
      </c>
      <c r="C2654" t="s">
        <v>16</v>
      </c>
      <c r="D2654" t="s">
        <v>54</v>
      </c>
      <c r="E2654" t="s">
        <v>18</v>
      </c>
      <c r="F2654" s="2">
        <v>20</v>
      </c>
      <c r="G2654" t="s">
        <v>106</v>
      </c>
      <c r="H2654" t="s">
        <v>45</v>
      </c>
      <c r="I2654" t="s">
        <v>128</v>
      </c>
      <c r="J2654" t="s">
        <v>57</v>
      </c>
      <c r="K2654">
        <v>3.3</v>
      </c>
      <c r="L2654" t="s">
        <v>23</v>
      </c>
      <c r="M2654" t="s">
        <v>41</v>
      </c>
      <c r="N2654" t="s">
        <v>23</v>
      </c>
      <c r="O2654">
        <v>46</v>
      </c>
      <c r="P2654" t="s">
        <v>53</v>
      </c>
      <c r="Q2654" t="s">
        <v>42</v>
      </c>
      <c r="R2654" s="1">
        <v>0.1</v>
      </c>
      <c r="S2654">
        <f t="shared" si="164"/>
        <v>18</v>
      </c>
      <c r="T2654">
        <f>IFERROR(VLOOKUP(A2654,Table1[[Customer ID]:[Discount Amount]], 6, FALSE),"Not Found")</f>
        <v>20</v>
      </c>
      <c r="U2654" t="str">
        <f t="shared" si="165"/>
        <v>Credit Card</v>
      </c>
      <c r="V2654" s="4" t="str">
        <f t="shared" si="166"/>
        <v>Normal</v>
      </c>
      <c r="W2654" s="4" t="str">
        <f t="shared" si="167"/>
        <v>Good</v>
      </c>
      <c r="X2654" s="4">
        <f>AVERAGE(Table1[Purchase Amount])</f>
        <v>129.48419400000012</v>
      </c>
    </row>
    <row r="2655" spans="1:24" ht="15" customHeight="1" x14ac:dyDescent="0.25">
      <c r="A2655">
        <v>2654</v>
      </c>
      <c r="B2655">
        <v>67</v>
      </c>
      <c r="C2655" t="s">
        <v>16</v>
      </c>
      <c r="D2655" t="s">
        <v>118</v>
      </c>
      <c r="E2655" t="s">
        <v>18</v>
      </c>
      <c r="F2655" s="2">
        <v>36</v>
      </c>
      <c r="G2655" t="s">
        <v>59</v>
      </c>
      <c r="H2655" t="s">
        <v>45</v>
      </c>
      <c r="I2655" t="s">
        <v>107</v>
      </c>
      <c r="J2655" t="s">
        <v>47</v>
      </c>
      <c r="K2655">
        <v>4.8</v>
      </c>
      <c r="L2655" t="s">
        <v>23</v>
      </c>
      <c r="M2655" t="s">
        <v>61</v>
      </c>
      <c r="N2655" t="s">
        <v>23</v>
      </c>
      <c r="O2655">
        <v>24</v>
      </c>
      <c r="P2655" t="s">
        <v>62</v>
      </c>
      <c r="Q2655" t="s">
        <v>63</v>
      </c>
      <c r="R2655" s="1">
        <v>0.1</v>
      </c>
      <c r="S2655">
        <f t="shared" si="164"/>
        <v>32.4</v>
      </c>
      <c r="T2655">
        <f>IFERROR(VLOOKUP(A2655,Table1[[Customer ID]:[Discount Amount]], 6, FALSE),"Not Found")</f>
        <v>36</v>
      </c>
      <c r="U2655" t="str">
        <f t="shared" si="165"/>
        <v>Venmo</v>
      </c>
      <c r="V2655" s="4" t="str">
        <f t="shared" si="166"/>
        <v>Normal</v>
      </c>
      <c r="W2655" s="4" t="str">
        <f t="shared" si="167"/>
        <v>Good</v>
      </c>
      <c r="X2655" s="4">
        <f>AVERAGE(Table1[Purchase Amount])</f>
        <v>129.48419400000012</v>
      </c>
    </row>
    <row r="2656" spans="1:24" ht="15" customHeight="1" x14ac:dyDescent="0.25">
      <c r="A2656">
        <v>2655</v>
      </c>
      <c r="B2656">
        <v>23</v>
      </c>
      <c r="C2656" t="s">
        <v>16</v>
      </c>
      <c r="D2656" t="s">
        <v>76</v>
      </c>
      <c r="E2656" t="s">
        <v>77</v>
      </c>
      <c r="F2656" s="2">
        <v>70</v>
      </c>
      <c r="G2656" t="s">
        <v>161</v>
      </c>
      <c r="H2656" t="s">
        <v>55</v>
      </c>
      <c r="I2656" t="s">
        <v>136</v>
      </c>
      <c r="J2656" t="s">
        <v>47</v>
      </c>
      <c r="K2656">
        <v>4.0999999999999996</v>
      </c>
      <c r="L2656" t="s">
        <v>23</v>
      </c>
      <c r="M2656" t="s">
        <v>79</v>
      </c>
      <c r="N2656" t="s">
        <v>23</v>
      </c>
      <c r="O2656">
        <v>4</v>
      </c>
      <c r="P2656" t="s">
        <v>58</v>
      </c>
      <c r="Q2656" t="s">
        <v>49</v>
      </c>
      <c r="R2656" s="1">
        <v>0.1</v>
      </c>
      <c r="S2656">
        <f t="shared" si="164"/>
        <v>63</v>
      </c>
      <c r="T2656">
        <f>IFERROR(VLOOKUP(A2656,Table1[[Customer ID]:[Discount Amount]], 6, FALSE),"Not Found")</f>
        <v>70</v>
      </c>
      <c r="U2656" t="str">
        <f t="shared" si="165"/>
        <v>PayPal</v>
      </c>
      <c r="V2656" s="4" t="str">
        <f t="shared" si="166"/>
        <v>Normal</v>
      </c>
      <c r="W2656" s="4" t="str">
        <f t="shared" si="167"/>
        <v>Good</v>
      </c>
      <c r="X2656" s="4">
        <f>AVERAGE(Table1[Purchase Amount])</f>
        <v>129.48419400000012</v>
      </c>
    </row>
    <row r="2657" spans="1:24" ht="15" customHeight="1" x14ac:dyDescent="0.25">
      <c r="A2657">
        <v>2656</v>
      </c>
      <c r="B2657">
        <v>26</v>
      </c>
      <c r="C2657" t="s">
        <v>16</v>
      </c>
      <c r="D2657" t="s">
        <v>28</v>
      </c>
      <c r="E2657" t="s">
        <v>29</v>
      </c>
      <c r="F2657" s="2">
        <v>83</v>
      </c>
      <c r="G2657" t="s">
        <v>162</v>
      </c>
      <c r="H2657" t="s">
        <v>31</v>
      </c>
      <c r="I2657" t="s">
        <v>85</v>
      </c>
      <c r="J2657" t="s">
        <v>57</v>
      </c>
      <c r="K2657">
        <v>3.4</v>
      </c>
      <c r="L2657" t="s">
        <v>23</v>
      </c>
      <c r="M2657" t="s">
        <v>24</v>
      </c>
      <c r="N2657" t="s">
        <v>23</v>
      </c>
      <c r="O2657">
        <v>2</v>
      </c>
      <c r="P2657" t="s">
        <v>53</v>
      </c>
      <c r="Q2657" t="s">
        <v>89</v>
      </c>
      <c r="R2657" s="1">
        <v>0.1</v>
      </c>
      <c r="S2657">
        <f t="shared" si="164"/>
        <v>74.7</v>
      </c>
      <c r="T2657">
        <f>IFERROR(VLOOKUP(A2657,Table1[[Customer ID]:[Discount Amount]], 6, FALSE),"Not Found")</f>
        <v>83</v>
      </c>
      <c r="U2657" t="str">
        <f t="shared" si="165"/>
        <v>Credit Card</v>
      </c>
      <c r="V2657" s="4" t="str">
        <f t="shared" si="166"/>
        <v>Normal</v>
      </c>
      <c r="W2657" s="4" t="str">
        <f t="shared" si="167"/>
        <v>Good</v>
      </c>
      <c r="X2657" s="4">
        <f>AVERAGE(Table1[Purchase Amount])</f>
        <v>129.48419400000012</v>
      </c>
    </row>
    <row r="2658" spans="1:24" ht="15" customHeight="1" x14ac:dyDescent="0.25">
      <c r="A2658">
        <v>2657</v>
      </c>
      <c r="B2658">
        <v>52</v>
      </c>
      <c r="C2658" t="s">
        <v>16</v>
      </c>
      <c r="D2658" t="s">
        <v>54</v>
      </c>
      <c r="E2658" t="s">
        <v>18</v>
      </c>
      <c r="F2658" s="2">
        <v>76</v>
      </c>
      <c r="G2658" t="s">
        <v>102</v>
      </c>
      <c r="H2658" t="s">
        <v>45</v>
      </c>
      <c r="I2658" t="s">
        <v>52</v>
      </c>
      <c r="J2658" t="s">
        <v>22</v>
      </c>
      <c r="K2658">
        <v>3.6</v>
      </c>
      <c r="L2658" t="s">
        <v>23</v>
      </c>
      <c r="M2658" t="s">
        <v>61</v>
      </c>
      <c r="N2658" t="s">
        <v>23</v>
      </c>
      <c r="O2658">
        <v>29</v>
      </c>
      <c r="P2658" t="s">
        <v>88</v>
      </c>
      <c r="Q2658" t="s">
        <v>89</v>
      </c>
      <c r="R2658" s="1">
        <v>0.1</v>
      </c>
      <c r="S2658">
        <f t="shared" si="164"/>
        <v>68.400000000000006</v>
      </c>
      <c r="T2658">
        <f>IFERROR(VLOOKUP(A2658,Table1[[Customer ID]:[Discount Amount]], 6, FALSE),"Not Found")</f>
        <v>76</v>
      </c>
      <c r="U2658" t="str">
        <f t="shared" si="165"/>
        <v>Bank Transfer</v>
      </c>
      <c r="V2658" s="4" t="str">
        <f t="shared" si="166"/>
        <v>Normal</v>
      </c>
      <c r="W2658" s="4" t="str">
        <f t="shared" si="167"/>
        <v>Good</v>
      </c>
      <c r="X2658" s="4">
        <f>AVERAGE(Table1[Purchase Amount])</f>
        <v>129.48419400000012</v>
      </c>
    </row>
    <row r="2659" spans="1:24" ht="15" customHeight="1" x14ac:dyDescent="0.25">
      <c r="A2659">
        <v>2658</v>
      </c>
      <c r="B2659">
        <v>52</v>
      </c>
      <c r="C2659" t="s">
        <v>16</v>
      </c>
      <c r="D2659" t="s">
        <v>157</v>
      </c>
      <c r="E2659" t="s">
        <v>18</v>
      </c>
      <c r="F2659" s="2">
        <v>81</v>
      </c>
      <c r="G2659" t="s">
        <v>152</v>
      </c>
      <c r="H2659" t="s">
        <v>31</v>
      </c>
      <c r="I2659" t="s">
        <v>136</v>
      </c>
      <c r="J2659" t="s">
        <v>57</v>
      </c>
      <c r="K2659">
        <v>2.7</v>
      </c>
      <c r="L2659" t="s">
        <v>23</v>
      </c>
      <c r="M2659" t="s">
        <v>61</v>
      </c>
      <c r="N2659" t="s">
        <v>23</v>
      </c>
      <c r="O2659">
        <v>7</v>
      </c>
      <c r="P2659" t="s">
        <v>53</v>
      </c>
      <c r="Q2659" t="s">
        <v>89</v>
      </c>
      <c r="R2659" s="1">
        <v>0.1</v>
      </c>
      <c r="S2659">
        <f t="shared" si="164"/>
        <v>72.900000000000006</v>
      </c>
      <c r="T2659">
        <f>IFERROR(VLOOKUP(A2659,Table1[[Customer ID]:[Discount Amount]], 6, FALSE),"Not Found")</f>
        <v>81</v>
      </c>
      <c r="U2659" t="str">
        <f t="shared" si="165"/>
        <v>Credit Card</v>
      </c>
      <c r="V2659" s="4" t="str">
        <f t="shared" si="166"/>
        <v>Normal</v>
      </c>
      <c r="W2659" s="4" t="str">
        <f t="shared" si="167"/>
        <v>Poor</v>
      </c>
      <c r="X2659" s="4">
        <f>AVERAGE(Table1[Purchase Amount])</f>
        <v>129.48419400000012</v>
      </c>
    </row>
    <row r="2660" spans="1:24" ht="15" customHeight="1" x14ac:dyDescent="0.25">
      <c r="A2660">
        <v>2659</v>
      </c>
      <c r="B2660">
        <v>52</v>
      </c>
      <c r="C2660" t="s">
        <v>16</v>
      </c>
      <c r="D2660" t="s">
        <v>69</v>
      </c>
      <c r="E2660" t="s">
        <v>29</v>
      </c>
      <c r="F2660" s="2">
        <v>47</v>
      </c>
      <c r="G2660" t="s">
        <v>90</v>
      </c>
      <c r="H2660" t="s">
        <v>20</v>
      </c>
      <c r="I2660" t="s">
        <v>91</v>
      </c>
      <c r="J2660" t="s">
        <v>57</v>
      </c>
      <c r="K2660">
        <v>3.2</v>
      </c>
      <c r="L2660" t="s">
        <v>23</v>
      </c>
      <c r="M2660" t="s">
        <v>79</v>
      </c>
      <c r="N2660" t="s">
        <v>23</v>
      </c>
      <c r="O2660">
        <v>39</v>
      </c>
      <c r="P2660" t="s">
        <v>58</v>
      </c>
      <c r="Q2660" t="s">
        <v>42</v>
      </c>
      <c r="R2660" s="1">
        <v>0.1</v>
      </c>
      <c r="S2660">
        <f t="shared" si="164"/>
        <v>42.3</v>
      </c>
      <c r="T2660">
        <f>IFERROR(VLOOKUP(A2660,Table1[[Customer ID]:[Discount Amount]], 6, FALSE),"Not Found")</f>
        <v>47</v>
      </c>
      <c r="U2660" t="str">
        <f t="shared" si="165"/>
        <v>PayPal</v>
      </c>
      <c r="V2660" s="4" t="str">
        <f t="shared" si="166"/>
        <v>Normal</v>
      </c>
      <c r="W2660" s="4" t="str">
        <f t="shared" si="167"/>
        <v>Good</v>
      </c>
      <c r="X2660" s="4">
        <f>AVERAGE(Table1[Purchase Amount])</f>
        <v>129.48419400000012</v>
      </c>
    </row>
    <row r="2661" spans="1:24" ht="15" customHeight="1" x14ac:dyDescent="0.25">
      <c r="A2661">
        <v>2660</v>
      </c>
      <c r="B2661">
        <v>35</v>
      </c>
      <c r="C2661" t="s">
        <v>16</v>
      </c>
      <c r="D2661" t="s">
        <v>151</v>
      </c>
      <c r="E2661" t="s">
        <v>98</v>
      </c>
      <c r="F2661" s="2">
        <v>35</v>
      </c>
      <c r="G2661" t="s">
        <v>124</v>
      </c>
      <c r="H2661" t="s">
        <v>45</v>
      </c>
      <c r="I2661" t="s">
        <v>85</v>
      </c>
      <c r="J2661" t="s">
        <v>57</v>
      </c>
      <c r="K2661">
        <v>4.4000000000000004</v>
      </c>
      <c r="L2661" t="s">
        <v>23</v>
      </c>
      <c r="M2661" t="s">
        <v>41</v>
      </c>
      <c r="N2661" t="s">
        <v>23</v>
      </c>
      <c r="O2661">
        <v>46</v>
      </c>
      <c r="P2661" t="s">
        <v>53</v>
      </c>
      <c r="Q2661" t="s">
        <v>89</v>
      </c>
      <c r="R2661" s="1">
        <v>0.1</v>
      </c>
      <c r="S2661">
        <f t="shared" si="164"/>
        <v>31.5</v>
      </c>
      <c r="T2661">
        <f>IFERROR(VLOOKUP(A2661,Table1[[Customer ID]:[Discount Amount]], 6, FALSE),"Not Found")</f>
        <v>35</v>
      </c>
      <c r="U2661" t="str">
        <f t="shared" si="165"/>
        <v>Credit Card</v>
      </c>
      <c r="V2661" s="4" t="str">
        <f t="shared" si="166"/>
        <v>Normal</v>
      </c>
      <c r="W2661" s="4" t="str">
        <f t="shared" si="167"/>
        <v>Good</v>
      </c>
      <c r="X2661" s="4">
        <f>AVERAGE(Table1[Purchase Amount])</f>
        <v>129.48419400000012</v>
      </c>
    </row>
    <row r="2662" spans="1:24" ht="15" customHeight="1" x14ac:dyDescent="0.25">
      <c r="A2662">
        <v>2661</v>
      </c>
      <c r="B2662">
        <v>24</v>
      </c>
      <c r="C2662" t="s">
        <v>16</v>
      </c>
      <c r="D2662" t="s">
        <v>99</v>
      </c>
      <c r="E2662" t="s">
        <v>18</v>
      </c>
      <c r="F2662" s="2">
        <v>85</v>
      </c>
      <c r="G2662" t="s">
        <v>30</v>
      </c>
      <c r="H2662" t="s">
        <v>45</v>
      </c>
      <c r="I2662" t="s">
        <v>52</v>
      </c>
      <c r="J2662" t="s">
        <v>33</v>
      </c>
      <c r="K2662">
        <v>4.9000000000000004</v>
      </c>
      <c r="L2662" t="s">
        <v>23</v>
      </c>
      <c r="M2662" t="s">
        <v>61</v>
      </c>
      <c r="N2662" t="s">
        <v>23</v>
      </c>
      <c r="O2662">
        <v>44</v>
      </c>
      <c r="P2662" t="s">
        <v>62</v>
      </c>
      <c r="Q2662" t="s">
        <v>49</v>
      </c>
      <c r="R2662" s="1">
        <v>0.1</v>
      </c>
      <c r="S2662">
        <f t="shared" si="164"/>
        <v>76.5</v>
      </c>
      <c r="T2662">
        <f>IFERROR(VLOOKUP(A2662,Table1[[Customer ID]:[Discount Amount]], 6, FALSE),"Not Found")</f>
        <v>85</v>
      </c>
      <c r="U2662" t="str">
        <f t="shared" si="165"/>
        <v>Venmo</v>
      </c>
      <c r="V2662" s="4" t="str">
        <f t="shared" si="166"/>
        <v>Normal</v>
      </c>
      <c r="W2662" s="4" t="str">
        <f t="shared" si="167"/>
        <v>Good</v>
      </c>
      <c r="X2662" s="4">
        <f>AVERAGE(Table1[Purchase Amount])</f>
        <v>129.48419400000012</v>
      </c>
    </row>
    <row r="2663" spans="1:24" ht="15" customHeight="1" x14ac:dyDescent="0.25">
      <c r="A2663">
        <v>2662</v>
      </c>
      <c r="B2663">
        <v>43</v>
      </c>
      <c r="C2663" t="s">
        <v>16</v>
      </c>
      <c r="D2663" t="s">
        <v>151</v>
      </c>
      <c r="E2663" t="s">
        <v>98</v>
      </c>
      <c r="F2663" s="2">
        <v>96</v>
      </c>
      <c r="G2663" t="s">
        <v>113</v>
      </c>
      <c r="H2663" t="s">
        <v>20</v>
      </c>
      <c r="I2663" t="s">
        <v>21</v>
      </c>
      <c r="J2663" t="s">
        <v>47</v>
      </c>
      <c r="K2663">
        <v>4.8</v>
      </c>
      <c r="L2663" t="s">
        <v>23</v>
      </c>
      <c r="M2663" t="s">
        <v>61</v>
      </c>
      <c r="N2663" t="s">
        <v>23</v>
      </c>
      <c r="O2663">
        <v>20</v>
      </c>
      <c r="P2663" t="s">
        <v>88</v>
      </c>
      <c r="Q2663" t="s">
        <v>49</v>
      </c>
      <c r="R2663" s="1">
        <v>0.1</v>
      </c>
      <c r="S2663">
        <f t="shared" si="164"/>
        <v>86.4</v>
      </c>
      <c r="T2663">
        <f>IFERROR(VLOOKUP(A2663,Table1[[Customer ID]:[Discount Amount]], 6, FALSE),"Not Found")</f>
        <v>96</v>
      </c>
      <c r="U2663" t="str">
        <f t="shared" si="165"/>
        <v>Bank Transfer</v>
      </c>
      <c r="V2663" s="4" t="str">
        <f t="shared" si="166"/>
        <v>Normal</v>
      </c>
      <c r="W2663" s="4" t="str">
        <f t="shared" si="167"/>
        <v>Good</v>
      </c>
      <c r="X2663" s="4">
        <f>AVERAGE(Table1[Purchase Amount])</f>
        <v>129.48419400000012</v>
      </c>
    </row>
    <row r="2664" spans="1:24" ht="15" customHeight="1" x14ac:dyDescent="0.25">
      <c r="A2664">
        <v>2663</v>
      </c>
      <c r="B2664">
        <v>25</v>
      </c>
      <c r="C2664" t="s">
        <v>16</v>
      </c>
      <c r="D2664" t="s">
        <v>122</v>
      </c>
      <c r="E2664" t="s">
        <v>18</v>
      </c>
      <c r="F2664" s="2">
        <v>98</v>
      </c>
      <c r="G2664" t="s">
        <v>137</v>
      </c>
      <c r="H2664" t="s">
        <v>31</v>
      </c>
      <c r="I2664" t="s">
        <v>128</v>
      </c>
      <c r="J2664" t="s">
        <v>57</v>
      </c>
      <c r="K2664">
        <v>2.8</v>
      </c>
      <c r="L2664" t="s">
        <v>23</v>
      </c>
      <c r="M2664" t="s">
        <v>41</v>
      </c>
      <c r="N2664" t="s">
        <v>23</v>
      </c>
      <c r="O2664">
        <v>44</v>
      </c>
      <c r="P2664" t="s">
        <v>58</v>
      </c>
      <c r="Q2664" t="s">
        <v>89</v>
      </c>
      <c r="R2664" s="1">
        <v>0.1</v>
      </c>
      <c r="S2664">
        <f t="shared" si="164"/>
        <v>88.2</v>
      </c>
      <c r="T2664">
        <f>IFERROR(VLOOKUP(A2664,Table1[[Customer ID]:[Discount Amount]], 6, FALSE),"Not Found")</f>
        <v>98</v>
      </c>
      <c r="U2664" t="str">
        <f t="shared" si="165"/>
        <v>PayPal</v>
      </c>
      <c r="V2664" s="4" t="str">
        <f t="shared" si="166"/>
        <v>Normal</v>
      </c>
      <c r="W2664" s="4" t="str">
        <f t="shared" si="167"/>
        <v>Poor</v>
      </c>
      <c r="X2664" s="4">
        <f>AVERAGE(Table1[Purchase Amount])</f>
        <v>129.48419400000012</v>
      </c>
    </row>
    <row r="2665" spans="1:24" ht="15" customHeight="1" x14ac:dyDescent="0.25">
      <c r="A2665">
        <v>2664</v>
      </c>
      <c r="B2665">
        <v>46</v>
      </c>
      <c r="C2665" t="s">
        <v>16</v>
      </c>
      <c r="D2665" t="s">
        <v>140</v>
      </c>
      <c r="E2665" t="s">
        <v>98</v>
      </c>
      <c r="F2665" s="2">
        <v>52</v>
      </c>
      <c r="G2665" t="s">
        <v>59</v>
      </c>
      <c r="H2665" t="s">
        <v>45</v>
      </c>
      <c r="I2665" t="s">
        <v>153</v>
      </c>
      <c r="J2665" t="s">
        <v>47</v>
      </c>
      <c r="K2665">
        <v>2.9</v>
      </c>
      <c r="L2665" t="s">
        <v>23</v>
      </c>
      <c r="M2665" t="s">
        <v>35</v>
      </c>
      <c r="N2665" t="s">
        <v>23</v>
      </c>
      <c r="O2665">
        <v>23</v>
      </c>
      <c r="P2665" t="s">
        <v>88</v>
      </c>
      <c r="Q2665" t="s">
        <v>49</v>
      </c>
      <c r="R2665" s="1">
        <v>0.1</v>
      </c>
      <c r="S2665">
        <f t="shared" si="164"/>
        <v>46.8</v>
      </c>
      <c r="T2665">
        <f>IFERROR(VLOOKUP(A2665,Table1[[Customer ID]:[Discount Amount]], 6, FALSE),"Not Found")</f>
        <v>52</v>
      </c>
      <c r="U2665" t="str">
        <f t="shared" si="165"/>
        <v>Bank Transfer</v>
      </c>
      <c r="V2665" s="4" t="str">
        <f t="shared" si="166"/>
        <v>Normal</v>
      </c>
      <c r="W2665" s="4" t="str">
        <f t="shared" si="167"/>
        <v>Poor</v>
      </c>
      <c r="X2665" s="4">
        <f>AVERAGE(Table1[Purchase Amount])</f>
        <v>129.48419400000012</v>
      </c>
    </row>
    <row r="2666" spans="1:24" ht="15" customHeight="1" x14ac:dyDescent="0.25">
      <c r="A2666">
        <v>2665</v>
      </c>
      <c r="B2666">
        <v>22</v>
      </c>
      <c r="C2666" t="s">
        <v>16</v>
      </c>
      <c r="D2666" t="s">
        <v>50</v>
      </c>
      <c r="E2666" t="s">
        <v>29</v>
      </c>
      <c r="F2666" s="2">
        <v>84</v>
      </c>
      <c r="G2666" t="s">
        <v>44</v>
      </c>
      <c r="H2666" t="s">
        <v>45</v>
      </c>
      <c r="I2666" t="s">
        <v>153</v>
      </c>
      <c r="J2666" t="s">
        <v>22</v>
      </c>
      <c r="K2666">
        <v>3.2</v>
      </c>
      <c r="L2666" t="s">
        <v>23</v>
      </c>
      <c r="M2666" t="s">
        <v>48</v>
      </c>
      <c r="N2666" t="s">
        <v>23</v>
      </c>
      <c r="O2666">
        <v>37</v>
      </c>
      <c r="P2666" t="s">
        <v>58</v>
      </c>
      <c r="Q2666" t="s">
        <v>26</v>
      </c>
      <c r="R2666" s="1">
        <v>0.1</v>
      </c>
      <c r="S2666">
        <f t="shared" si="164"/>
        <v>75.599999999999994</v>
      </c>
      <c r="T2666">
        <f>IFERROR(VLOOKUP(A2666,Table1[[Customer ID]:[Discount Amount]], 6, FALSE),"Not Found")</f>
        <v>84</v>
      </c>
      <c r="U2666" t="str">
        <f t="shared" si="165"/>
        <v>PayPal</v>
      </c>
      <c r="V2666" s="4" t="str">
        <f t="shared" si="166"/>
        <v>Normal</v>
      </c>
      <c r="W2666" s="4" t="str">
        <f t="shared" si="167"/>
        <v>Good</v>
      </c>
      <c r="X2666" s="4">
        <f>AVERAGE(Table1[Purchase Amount])</f>
        <v>129.48419400000012</v>
      </c>
    </row>
    <row r="2667" spans="1:24" ht="15" customHeight="1" x14ac:dyDescent="0.25">
      <c r="A2667">
        <v>2666</v>
      </c>
      <c r="B2667">
        <v>70</v>
      </c>
      <c r="C2667" t="s">
        <v>16</v>
      </c>
      <c r="D2667" t="s">
        <v>17</v>
      </c>
      <c r="E2667" t="s">
        <v>18</v>
      </c>
      <c r="F2667" s="2">
        <v>71</v>
      </c>
      <c r="G2667" t="s">
        <v>119</v>
      </c>
      <c r="H2667" t="s">
        <v>45</v>
      </c>
      <c r="I2667" t="s">
        <v>46</v>
      </c>
      <c r="J2667" t="s">
        <v>22</v>
      </c>
      <c r="K2667">
        <v>3.5</v>
      </c>
      <c r="L2667" t="s">
        <v>23</v>
      </c>
      <c r="M2667" t="s">
        <v>48</v>
      </c>
      <c r="N2667" t="s">
        <v>23</v>
      </c>
      <c r="O2667">
        <v>4</v>
      </c>
      <c r="P2667" t="s">
        <v>62</v>
      </c>
      <c r="Q2667" t="s">
        <v>26</v>
      </c>
      <c r="R2667" s="1">
        <v>0.1</v>
      </c>
      <c r="S2667">
        <f t="shared" si="164"/>
        <v>63.9</v>
      </c>
      <c r="T2667">
        <f>IFERROR(VLOOKUP(A2667,Table1[[Customer ID]:[Discount Amount]], 6, FALSE),"Not Found")</f>
        <v>71</v>
      </c>
      <c r="U2667" t="str">
        <f t="shared" si="165"/>
        <v>Venmo</v>
      </c>
      <c r="V2667" s="4" t="str">
        <f t="shared" si="166"/>
        <v>Normal</v>
      </c>
      <c r="W2667" s="4" t="str">
        <f t="shared" si="167"/>
        <v>Good</v>
      </c>
      <c r="X2667" s="4">
        <f>AVERAGE(Table1[Purchase Amount])</f>
        <v>129.48419400000012</v>
      </c>
    </row>
    <row r="2668" spans="1:24" ht="15" customHeight="1" x14ac:dyDescent="0.25">
      <c r="A2668">
        <v>2667</v>
      </c>
      <c r="B2668">
        <v>49</v>
      </c>
      <c r="C2668" t="s">
        <v>16</v>
      </c>
      <c r="D2668" t="s">
        <v>121</v>
      </c>
      <c r="E2668" t="s">
        <v>98</v>
      </c>
      <c r="F2668" s="2">
        <v>95</v>
      </c>
      <c r="G2668" t="s">
        <v>90</v>
      </c>
      <c r="H2668" t="s">
        <v>55</v>
      </c>
      <c r="I2668" t="s">
        <v>60</v>
      </c>
      <c r="J2668" t="s">
        <v>22</v>
      </c>
      <c r="K2668">
        <v>4.0999999999999996</v>
      </c>
      <c r="L2668" t="s">
        <v>23</v>
      </c>
      <c r="M2668" t="s">
        <v>48</v>
      </c>
      <c r="N2668" t="s">
        <v>23</v>
      </c>
      <c r="O2668">
        <v>14</v>
      </c>
      <c r="P2668" t="s">
        <v>62</v>
      </c>
      <c r="Q2668" t="s">
        <v>89</v>
      </c>
      <c r="R2668" s="1">
        <v>0.1</v>
      </c>
      <c r="S2668">
        <f t="shared" si="164"/>
        <v>85.5</v>
      </c>
      <c r="T2668">
        <f>IFERROR(VLOOKUP(A2668,Table1[[Customer ID]:[Discount Amount]], 6, FALSE),"Not Found")</f>
        <v>95</v>
      </c>
      <c r="U2668" t="str">
        <f t="shared" si="165"/>
        <v>Venmo</v>
      </c>
      <c r="V2668" s="4" t="str">
        <f t="shared" si="166"/>
        <v>Normal</v>
      </c>
      <c r="W2668" s="4" t="str">
        <f t="shared" si="167"/>
        <v>Good</v>
      </c>
      <c r="X2668" s="4">
        <f>AVERAGE(Table1[Purchase Amount])</f>
        <v>129.48419400000012</v>
      </c>
    </row>
    <row r="2669" spans="1:24" ht="15" customHeight="1" x14ac:dyDescent="0.25">
      <c r="A2669">
        <v>2668</v>
      </c>
      <c r="B2669">
        <v>48</v>
      </c>
      <c r="C2669" t="s">
        <v>16</v>
      </c>
      <c r="D2669" t="s">
        <v>151</v>
      </c>
      <c r="E2669" t="s">
        <v>98</v>
      </c>
      <c r="F2669" s="2">
        <v>47</v>
      </c>
      <c r="G2669" t="s">
        <v>106</v>
      </c>
      <c r="H2669" t="s">
        <v>31</v>
      </c>
      <c r="I2669" t="s">
        <v>108</v>
      </c>
      <c r="J2669" t="s">
        <v>57</v>
      </c>
      <c r="K2669">
        <v>4.0999999999999996</v>
      </c>
      <c r="L2669" t="s">
        <v>23</v>
      </c>
      <c r="M2669" t="s">
        <v>35</v>
      </c>
      <c r="N2669" t="s">
        <v>23</v>
      </c>
      <c r="O2669">
        <v>31</v>
      </c>
      <c r="P2669" t="s">
        <v>25</v>
      </c>
      <c r="Q2669" t="s">
        <v>89</v>
      </c>
      <c r="R2669" s="1">
        <v>0.1</v>
      </c>
      <c r="S2669">
        <f t="shared" si="164"/>
        <v>42.3</v>
      </c>
      <c r="T2669">
        <f>IFERROR(VLOOKUP(A2669,Table1[[Customer ID]:[Discount Amount]], 6, FALSE),"Not Found")</f>
        <v>47</v>
      </c>
      <c r="U2669" t="str">
        <f t="shared" si="165"/>
        <v>Cash</v>
      </c>
      <c r="V2669" s="4" t="str">
        <f t="shared" si="166"/>
        <v>Normal</v>
      </c>
      <c r="W2669" s="4" t="str">
        <f t="shared" si="167"/>
        <v>Good</v>
      </c>
      <c r="X2669" s="4">
        <f>AVERAGE(Table1[Purchase Amount])</f>
        <v>129.48419400000012</v>
      </c>
    </row>
    <row r="2670" spans="1:24" ht="15" customHeight="1" x14ac:dyDescent="0.25">
      <c r="A2670">
        <v>2669</v>
      </c>
      <c r="B2670">
        <v>59</v>
      </c>
      <c r="C2670" t="s">
        <v>16</v>
      </c>
      <c r="D2670" t="s">
        <v>76</v>
      </c>
      <c r="E2670" t="s">
        <v>77</v>
      </c>
      <c r="F2670" s="2">
        <v>75</v>
      </c>
      <c r="G2670" t="s">
        <v>152</v>
      </c>
      <c r="H2670" t="s">
        <v>31</v>
      </c>
      <c r="I2670" t="s">
        <v>40</v>
      </c>
      <c r="J2670" t="s">
        <v>57</v>
      </c>
      <c r="K2670">
        <v>4.8</v>
      </c>
      <c r="L2670" t="s">
        <v>23</v>
      </c>
      <c r="M2670" t="s">
        <v>79</v>
      </c>
      <c r="N2670" t="s">
        <v>23</v>
      </c>
      <c r="O2670">
        <v>9</v>
      </c>
      <c r="P2670" t="s">
        <v>58</v>
      </c>
      <c r="Q2670" t="s">
        <v>37</v>
      </c>
      <c r="R2670" s="1">
        <v>0.1</v>
      </c>
      <c r="S2670">
        <f t="shared" si="164"/>
        <v>67.5</v>
      </c>
      <c r="T2670">
        <f>IFERROR(VLOOKUP(A2670,Table1[[Customer ID]:[Discount Amount]], 6, FALSE),"Not Found")</f>
        <v>75</v>
      </c>
      <c r="U2670" t="str">
        <f t="shared" si="165"/>
        <v>PayPal</v>
      </c>
      <c r="V2670" s="4" t="str">
        <f t="shared" si="166"/>
        <v>Normal</v>
      </c>
      <c r="W2670" s="4" t="str">
        <f t="shared" si="167"/>
        <v>Good</v>
      </c>
      <c r="X2670" s="4">
        <f>AVERAGE(Table1[Purchase Amount])</f>
        <v>129.48419400000012</v>
      </c>
    </row>
    <row r="2671" spans="1:24" ht="15" customHeight="1" x14ac:dyDescent="0.25">
      <c r="A2671">
        <v>2670</v>
      </c>
      <c r="B2671">
        <v>39</v>
      </c>
      <c r="C2671" t="s">
        <v>16</v>
      </c>
      <c r="D2671" t="s">
        <v>114</v>
      </c>
      <c r="E2671" t="s">
        <v>29</v>
      </c>
      <c r="F2671" s="2">
        <v>28</v>
      </c>
      <c r="G2671" t="s">
        <v>44</v>
      </c>
      <c r="H2671" t="s">
        <v>45</v>
      </c>
      <c r="I2671" t="s">
        <v>147</v>
      </c>
      <c r="J2671" t="s">
        <v>33</v>
      </c>
      <c r="K2671">
        <v>2.8</v>
      </c>
      <c r="L2671" t="s">
        <v>23</v>
      </c>
      <c r="M2671" t="s">
        <v>35</v>
      </c>
      <c r="N2671" t="s">
        <v>23</v>
      </c>
      <c r="O2671">
        <v>31</v>
      </c>
      <c r="P2671" t="s">
        <v>53</v>
      </c>
      <c r="Q2671" t="s">
        <v>26</v>
      </c>
      <c r="R2671" s="1">
        <v>0.1</v>
      </c>
      <c r="S2671">
        <f t="shared" si="164"/>
        <v>25.2</v>
      </c>
      <c r="T2671">
        <f>IFERROR(VLOOKUP(A2671,Table1[[Customer ID]:[Discount Amount]], 6, FALSE),"Not Found")</f>
        <v>28</v>
      </c>
      <c r="U2671" t="str">
        <f t="shared" si="165"/>
        <v>Credit Card</v>
      </c>
      <c r="V2671" s="4" t="str">
        <f t="shared" si="166"/>
        <v>Normal</v>
      </c>
      <c r="W2671" s="4" t="str">
        <f t="shared" si="167"/>
        <v>Poor</v>
      </c>
      <c r="X2671" s="4">
        <f>AVERAGE(Table1[Purchase Amount])</f>
        <v>129.48419400000012</v>
      </c>
    </row>
    <row r="2672" spans="1:24" ht="15" customHeight="1" x14ac:dyDescent="0.25">
      <c r="A2672">
        <v>2671</v>
      </c>
      <c r="B2672">
        <v>30</v>
      </c>
      <c r="C2672" t="s">
        <v>16</v>
      </c>
      <c r="D2672" t="s">
        <v>28</v>
      </c>
      <c r="E2672" t="s">
        <v>29</v>
      </c>
      <c r="F2672" s="2">
        <v>44</v>
      </c>
      <c r="G2672" t="s">
        <v>78</v>
      </c>
      <c r="H2672" t="s">
        <v>31</v>
      </c>
      <c r="I2672" t="s">
        <v>52</v>
      </c>
      <c r="J2672" t="s">
        <v>47</v>
      </c>
      <c r="K2672">
        <v>4.7</v>
      </c>
      <c r="L2672" t="s">
        <v>23</v>
      </c>
      <c r="M2672" t="s">
        <v>61</v>
      </c>
      <c r="N2672" t="s">
        <v>23</v>
      </c>
      <c r="O2672">
        <v>26</v>
      </c>
      <c r="P2672" t="s">
        <v>88</v>
      </c>
      <c r="Q2672" t="s">
        <v>68</v>
      </c>
      <c r="R2672" s="1">
        <v>0.1</v>
      </c>
      <c r="S2672">
        <f t="shared" si="164"/>
        <v>39.6</v>
      </c>
      <c r="T2672">
        <f>IFERROR(VLOOKUP(A2672,Table1[[Customer ID]:[Discount Amount]], 6, FALSE),"Not Found")</f>
        <v>44</v>
      </c>
      <c r="U2672" t="str">
        <f t="shared" si="165"/>
        <v>Bank Transfer</v>
      </c>
      <c r="V2672" s="4" t="str">
        <f t="shared" si="166"/>
        <v>Normal</v>
      </c>
      <c r="W2672" s="4" t="str">
        <f t="shared" si="167"/>
        <v>Good</v>
      </c>
      <c r="X2672" s="4">
        <f>AVERAGE(Table1[Purchase Amount])</f>
        <v>129.48419400000012</v>
      </c>
    </row>
    <row r="2673" spans="1:24" ht="15" customHeight="1" x14ac:dyDescent="0.25">
      <c r="A2673">
        <v>2672</v>
      </c>
      <c r="B2673">
        <v>37</v>
      </c>
      <c r="C2673" t="s">
        <v>16</v>
      </c>
      <c r="D2673" t="s">
        <v>121</v>
      </c>
      <c r="E2673" t="s">
        <v>98</v>
      </c>
      <c r="F2673" s="2">
        <v>64</v>
      </c>
      <c r="G2673" t="s">
        <v>51</v>
      </c>
      <c r="H2673" t="s">
        <v>20</v>
      </c>
      <c r="I2673" t="s">
        <v>85</v>
      </c>
      <c r="J2673" t="s">
        <v>22</v>
      </c>
      <c r="K2673">
        <v>4.8</v>
      </c>
      <c r="L2673" t="s">
        <v>23</v>
      </c>
      <c r="M2673" t="s">
        <v>41</v>
      </c>
      <c r="N2673" t="s">
        <v>23</v>
      </c>
      <c r="O2673">
        <v>41</v>
      </c>
      <c r="P2673" t="s">
        <v>58</v>
      </c>
      <c r="Q2673" t="s">
        <v>63</v>
      </c>
      <c r="R2673" s="1">
        <v>0.1</v>
      </c>
      <c r="S2673">
        <f t="shared" si="164"/>
        <v>57.6</v>
      </c>
      <c r="T2673">
        <f>IFERROR(VLOOKUP(A2673,Table1[[Customer ID]:[Discount Amount]], 6, FALSE),"Not Found")</f>
        <v>64</v>
      </c>
      <c r="U2673" t="str">
        <f t="shared" si="165"/>
        <v>PayPal</v>
      </c>
      <c r="V2673" s="4" t="str">
        <f t="shared" si="166"/>
        <v>Normal</v>
      </c>
      <c r="W2673" s="4" t="str">
        <f t="shared" si="167"/>
        <v>Good</v>
      </c>
      <c r="X2673" s="4">
        <f>AVERAGE(Table1[Purchase Amount])</f>
        <v>129.48419400000012</v>
      </c>
    </row>
    <row r="2674" spans="1:24" ht="15" customHeight="1" x14ac:dyDescent="0.25">
      <c r="A2674">
        <v>2673</v>
      </c>
      <c r="B2674">
        <v>56</v>
      </c>
      <c r="C2674" t="s">
        <v>16</v>
      </c>
      <c r="D2674" t="s">
        <v>151</v>
      </c>
      <c r="E2674" t="s">
        <v>98</v>
      </c>
      <c r="F2674" s="2">
        <v>28</v>
      </c>
      <c r="G2674" t="s">
        <v>154</v>
      </c>
      <c r="H2674" t="s">
        <v>31</v>
      </c>
      <c r="I2674" t="s">
        <v>125</v>
      </c>
      <c r="J2674" t="s">
        <v>33</v>
      </c>
      <c r="K2674">
        <v>2.9</v>
      </c>
      <c r="L2674" t="s">
        <v>23</v>
      </c>
      <c r="M2674" t="s">
        <v>24</v>
      </c>
      <c r="N2674" t="s">
        <v>23</v>
      </c>
      <c r="O2674">
        <v>13</v>
      </c>
      <c r="P2674" t="s">
        <v>25</v>
      </c>
      <c r="Q2674" t="s">
        <v>49</v>
      </c>
      <c r="R2674" s="1">
        <v>0.1</v>
      </c>
      <c r="S2674">
        <f t="shared" si="164"/>
        <v>25.2</v>
      </c>
      <c r="T2674">
        <f>IFERROR(VLOOKUP(A2674,Table1[[Customer ID]:[Discount Amount]], 6, FALSE),"Not Found")</f>
        <v>28</v>
      </c>
      <c r="U2674" t="str">
        <f t="shared" si="165"/>
        <v>Cash</v>
      </c>
      <c r="V2674" s="4" t="str">
        <f t="shared" si="166"/>
        <v>Normal</v>
      </c>
      <c r="W2674" s="4" t="str">
        <f t="shared" si="167"/>
        <v>Poor</v>
      </c>
      <c r="X2674" s="4">
        <f>AVERAGE(Table1[Purchase Amount])</f>
        <v>129.48419400000012</v>
      </c>
    </row>
    <row r="2675" spans="1:24" ht="15" customHeight="1" x14ac:dyDescent="0.25">
      <c r="A2675">
        <v>2674</v>
      </c>
      <c r="B2675">
        <v>67</v>
      </c>
      <c r="C2675" t="s">
        <v>16</v>
      </c>
      <c r="D2675" t="s">
        <v>83</v>
      </c>
      <c r="E2675" t="s">
        <v>18</v>
      </c>
      <c r="F2675" s="2">
        <v>21</v>
      </c>
      <c r="G2675" t="s">
        <v>158</v>
      </c>
      <c r="H2675" t="s">
        <v>31</v>
      </c>
      <c r="I2675" t="s">
        <v>21</v>
      </c>
      <c r="J2675" t="s">
        <v>57</v>
      </c>
      <c r="K2675">
        <v>2.6</v>
      </c>
      <c r="L2675" t="s">
        <v>23</v>
      </c>
      <c r="M2675" t="s">
        <v>41</v>
      </c>
      <c r="N2675" t="s">
        <v>23</v>
      </c>
      <c r="O2675">
        <v>4</v>
      </c>
      <c r="P2675" t="s">
        <v>25</v>
      </c>
      <c r="Q2675" t="s">
        <v>42</v>
      </c>
      <c r="R2675" s="1">
        <v>0.1</v>
      </c>
      <c r="S2675">
        <f t="shared" si="164"/>
        <v>18.899999999999999</v>
      </c>
      <c r="T2675">
        <f>IFERROR(VLOOKUP(A2675,Table1[[Customer ID]:[Discount Amount]], 6, FALSE),"Not Found")</f>
        <v>21</v>
      </c>
      <c r="U2675" t="str">
        <f t="shared" si="165"/>
        <v>Cash</v>
      </c>
      <c r="V2675" s="4" t="str">
        <f t="shared" si="166"/>
        <v>Normal</v>
      </c>
      <c r="W2675" s="4" t="str">
        <f t="shared" si="167"/>
        <v>Poor</v>
      </c>
      <c r="X2675" s="4">
        <f>AVERAGE(Table1[Purchase Amount])</f>
        <v>129.48419400000012</v>
      </c>
    </row>
    <row r="2676" spans="1:24" ht="15" customHeight="1" x14ac:dyDescent="0.25">
      <c r="A2676">
        <v>2675</v>
      </c>
      <c r="B2676">
        <v>40</v>
      </c>
      <c r="C2676" t="s">
        <v>16</v>
      </c>
      <c r="D2676" t="s">
        <v>64</v>
      </c>
      <c r="E2676" t="s">
        <v>29</v>
      </c>
      <c r="F2676" s="2">
        <v>41</v>
      </c>
      <c r="G2676" t="s">
        <v>67</v>
      </c>
      <c r="H2676" t="s">
        <v>55</v>
      </c>
      <c r="I2676" t="s">
        <v>103</v>
      </c>
      <c r="J2676" t="s">
        <v>47</v>
      </c>
      <c r="K2676">
        <v>3.3</v>
      </c>
      <c r="L2676" t="s">
        <v>23</v>
      </c>
      <c r="M2676" t="s">
        <v>61</v>
      </c>
      <c r="N2676" t="s">
        <v>23</v>
      </c>
      <c r="O2676">
        <v>15</v>
      </c>
      <c r="P2676" t="s">
        <v>25</v>
      </c>
      <c r="Q2676" t="s">
        <v>63</v>
      </c>
      <c r="R2676" s="1">
        <v>0.1</v>
      </c>
      <c r="S2676">
        <f t="shared" si="164"/>
        <v>36.9</v>
      </c>
      <c r="T2676">
        <f>IFERROR(VLOOKUP(A2676,Table1[[Customer ID]:[Discount Amount]], 6, FALSE),"Not Found")</f>
        <v>41</v>
      </c>
      <c r="U2676" t="str">
        <f t="shared" si="165"/>
        <v>Cash</v>
      </c>
      <c r="V2676" s="4" t="str">
        <f t="shared" si="166"/>
        <v>Normal</v>
      </c>
      <c r="W2676" s="4" t="str">
        <f t="shared" si="167"/>
        <v>Good</v>
      </c>
      <c r="X2676" s="4">
        <f>AVERAGE(Table1[Purchase Amount])</f>
        <v>129.48419400000012</v>
      </c>
    </row>
    <row r="2677" spans="1:24" ht="15" customHeight="1" x14ac:dyDescent="0.25">
      <c r="A2677">
        <v>2676</v>
      </c>
      <c r="B2677">
        <v>24</v>
      </c>
      <c r="C2677" t="s">
        <v>16</v>
      </c>
      <c r="D2677" t="s">
        <v>54</v>
      </c>
      <c r="E2677" t="s">
        <v>18</v>
      </c>
      <c r="F2677" s="2">
        <v>38</v>
      </c>
      <c r="G2677" t="s">
        <v>138</v>
      </c>
      <c r="H2677" t="s">
        <v>31</v>
      </c>
      <c r="I2677" t="s">
        <v>145</v>
      </c>
      <c r="J2677" t="s">
        <v>22</v>
      </c>
      <c r="K2677">
        <v>3.4</v>
      </c>
      <c r="L2677" t="s">
        <v>23</v>
      </c>
      <c r="M2677" t="s">
        <v>35</v>
      </c>
      <c r="N2677" t="s">
        <v>23</v>
      </c>
      <c r="O2677">
        <v>38</v>
      </c>
      <c r="P2677" t="s">
        <v>25</v>
      </c>
      <c r="Q2677" t="s">
        <v>68</v>
      </c>
      <c r="R2677" s="1">
        <v>0.1</v>
      </c>
      <c r="S2677">
        <f t="shared" si="164"/>
        <v>34.200000000000003</v>
      </c>
      <c r="T2677">
        <f>IFERROR(VLOOKUP(A2677,Table1[[Customer ID]:[Discount Amount]], 6, FALSE),"Not Found")</f>
        <v>38</v>
      </c>
      <c r="U2677" t="str">
        <f t="shared" si="165"/>
        <v>Cash</v>
      </c>
      <c r="V2677" s="4" t="str">
        <f t="shared" si="166"/>
        <v>Normal</v>
      </c>
      <c r="W2677" s="4" t="str">
        <f t="shared" si="167"/>
        <v>Good</v>
      </c>
      <c r="X2677" s="4">
        <f>AVERAGE(Table1[Purchase Amount])</f>
        <v>129.48419400000012</v>
      </c>
    </row>
    <row r="2678" spans="1:24" ht="15" customHeight="1" x14ac:dyDescent="0.25">
      <c r="A2678">
        <v>2677</v>
      </c>
      <c r="B2678">
        <v>43</v>
      </c>
      <c r="C2678" t="s">
        <v>16</v>
      </c>
      <c r="D2678" t="s">
        <v>104</v>
      </c>
      <c r="E2678" t="s">
        <v>29</v>
      </c>
      <c r="F2678" s="2">
        <v>77</v>
      </c>
      <c r="G2678" t="s">
        <v>70</v>
      </c>
      <c r="H2678" t="s">
        <v>31</v>
      </c>
      <c r="I2678" t="s">
        <v>125</v>
      </c>
      <c r="J2678" t="s">
        <v>33</v>
      </c>
      <c r="K2678">
        <v>3.6</v>
      </c>
      <c r="L2678" t="s">
        <v>23</v>
      </c>
      <c r="M2678" t="s">
        <v>35</v>
      </c>
      <c r="N2678" t="s">
        <v>23</v>
      </c>
      <c r="O2678">
        <v>3</v>
      </c>
      <c r="P2678" t="s">
        <v>25</v>
      </c>
      <c r="Q2678" t="s">
        <v>89</v>
      </c>
      <c r="R2678" s="1">
        <v>0.1</v>
      </c>
      <c r="S2678">
        <f t="shared" si="164"/>
        <v>69.3</v>
      </c>
      <c r="T2678">
        <f>IFERROR(VLOOKUP(A2678,Table1[[Customer ID]:[Discount Amount]], 6, FALSE),"Not Found")</f>
        <v>77</v>
      </c>
      <c r="U2678" t="str">
        <f t="shared" si="165"/>
        <v>Cash</v>
      </c>
      <c r="V2678" s="4" t="str">
        <f t="shared" si="166"/>
        <v>Normal</v>
      </c>
      <c r="W2678" s="4" t="str">
        <f t="shared" si="167"/>
        <v>Good</v>
      </c>
      <c r="X2678" s="4">
        <f>AVERAGE(Table1[Purchase Amount])</f>
        <v>129.48419400000012</v>
      </c>
    </row>
    <row r="2679" spans="1:24" ht="15" customHeight="1" x14ac:dyDescent="0.25">
      <c r="A2679">
        <v>2678</v>
      </c>
      <c r="B2679">
        <v>45</v>
      </c>
      <c r="C2679" t="s">
        <v>16</v>
      </c>
      <c r="D2679" t="s">
        <v>54</v>
      </c>
      <c r="E2679" t="s">
        <v>18</v>
      </c>
      <c r="F2679" s="2">
        <v>43</v>
      </c>
      <c r="G2679" t="s">
        <v>115</v>
      </c>
      <c r="H2679" t="s">
        <v>45</v>
      </c>
      <c r="I2679" t="s">
        <v>21</v>
      </c>
      <c r="J2679" t="s">
        <v>33</v>
      </c>
      <c r="K2679">
        <v>3.8</v>
      </c>
      <c r="L2679" t="s">
        <v>23</v>
      </c>
      <c r="M2679" t="s">
        <v>79</v>
      </c>
      <c r="N2679" t="s">
        <v>23</v>
      </c>
      <c r="O2679">
        <v>6</v>
      </c>
      <c r="P2679" t="s">
        <v>58</v>
      </c>
      <c r="Q2679" t="s">
        <v>63</v>
      </c>
      <c r="R2679" s="1">
        <v>0.1</v>
      </c>
      <c r="S2679">
        <f t="shared" si="164"/>
        <v>38.700000000000003</v>
      </c>
      <c r="T2679">
        <f>IFERROR(VLOOKUP(A2679,Table1[[Customer ID]:[Discount Amount]], 6, FALSE),"Not Found")</f>
        <v>43</v>
      </c>
      <c r="U2679" t="str">
        <f t="shared" si="165"/>
        <v>PayPal</v>
      </c>
      <c r="V2679" s="4" t="str">
        <f t="shared" si="166"/>
        <v>Normal</v>
      </c>
      <c r="W2679" s="4" t="str">
        <f t="shared" si="167"/>
        <v>Good</v>
      </c>
      <c r="X2679" s="4">
        <f>AVERAGE(Table1[Purchase Amount])</f>
        <v>129.48419400000012</v>
      </c>
    </row>
    <row r="2680" spans="1:24" ht="15" customHeight="1" x14ac:dyDescent="0.25">
      <c r="A2680">
        <v>2679</v>
      </c>
      <c r="B2680">
        <v>33</v>
      </c>
      <c r="C2680" t="s">
        <v>16</v>
      </c>
      <c r="D2680" t="s">
        <v>114</v>
      </c>
      <c r="E2680" t="s">
        <v>29</v>
      </c>
      <c r="F2680" s="2">
        <v>91</v>
      </c>
      <c r="G2680" t="s">
        <v>39</v>
      </c>
      <c r="H2680" t="s">
        <v>31</v>
      </c>
      <c r="I2680" t="s">
        <v>87</v>
      </c>
      <c r="J2680" t="s">
        <v>33</v>
      </c>
      <c r="K2680">
        <v>3.4</v>
      </c>
      <c r="L2680" t="s">
        <v>23</v>
      </c>
      <c r="M2680" t="s">
        <v>41</v>
      </c>
      <c r="N2680" t="s">
        <v>23</v>
      </c>
      <c r="O2680">
        <v>34</v>
      </c>
      <c r="P2680" t="s">
        <v>53</v>
      </c>
      <c r="Q2680" t="s">
        <v>68</v>
      </c>
      <c r="R2680" s="1">
        <v>0.1</v>
      </c>
      <c r="S2680">
        <f t="shared" si="164"/>
        <v>81.900000000000006</v>
      </c>
      <c r="T2680">
        <f>IFERROR(VLOOKUP(A2680,Table1[[Customer ID]:[Discount Amount]], 6, FALSE),"Not Found")</f>
        <v>91</v>
      </c>
      <c r="U2680" t="str">
        <f t="shared" si="165"/>
        <v>Credit Card</v>
      </c>
      <c r="V2680" s="4" t="str">
        <f t="shared" si="166"/>
        <v>Normal</v>
      </c>
      <c r="W2680" s="4" t="str">
        <f t="shared" si="167"/>
        <v>Good</v>
      </c>
      <c r="X2680" s="4">
        <f>AVERAGE(Table1[Purchase Amount])</f>
        <v>129.48419400000012</v>
      </c>
    </row>
    <row r="2681" spans="1:24" ht="15" customHeight="1" x14ac:dyDescent="0.25">
      <c r="A2681">
        <v>2680</v>
      </c>
      <c r="B2681">
        <v>53</v>
      </c>
      <c r="C2681" t="s">
        <v>16</v>
      </c>
      <c r="D2681" t="s">
        <v>54</v>
      </c>
      <c r="E2681" t="s">
        <v>18</v>
      </c>
      <c r="F2681" s="2">
        <v>68</v>
      </c>
      <c r="G2681" t="s">
        <v>39</v>
      </c>
      <c r="H2681" t="s">
        <v>55</v>
      </c>
      <c r="I2681" t="s">
        <v>52</v>
      </c>
      <c r="J2681" t="s">
        <v>33</v>
      </c>
      <c r="K2681">
        <v>3.8</v>
      </c>
      <c r="L2681" t="s">
        <v>23</v>
      </c>
      <c r="M2681" t="s">
        <v>61</v>
      </c>
      <c r="N2681" t="s">
        <v>23</v>
      </c>
      <c r="O2681">
        <v>7</v>
      </c>
      <c r="P2681" t="s">
        <v>36</v>
      </c>
      <c r="Q2681" t="s">
        <v>37</v>
      </c>
      <c r="R2681" s="1">
        <v>0.1</v>
      </c>
      <c r="S2681">
        <f t="shared" si="164"/>
        <v>61.2</v>
      </c>
      <c r="T2681">
        <f>IFERROR(VLOOKUP(A2681,Table1[[Customer ID]:[Discount Amount]], 6, FALSE),"Not Found")</f>
        <v>68</v>
      </c>
      <c r="U2681" t="str">
        <f t="shared" si="165"/>
        <v>Debit Card</v>
      </c>
      <c r="V2681" s="4" t="str">
        <f t="shared" si="166"/>
        <v>Normal</v>
      </c>
      <c r="W2681" s="4" t="str">
        <f t="shared" si="167"/>
        <v>Good</v>
      </c>
      <c r="X2681" s="4">
        <f>AVERAGE(Table1[Purchase Amount])</f>
        <v>129.48419400000012</v>
      </c>
    </row>
    <row r="2682" spans="1:24" ht="15" customHeight="1" x14ac:dyDescent="0.25">
      <c r="A2682">
        <v>2681</v>
      </c>
      <c r="B2682">
        <v>44</v>
      </c>
      <c r="C2682" t="s">
        <v>16</v>
      </c>
      <c r="D2682" t="s">
        <v>105</v>
      </c>
      <c r="E2682" t="s">
        <v>18</v>
      </c>
      <c r="F2682" s="2">
        <v>37</v>
      </c>
      <c r="G2682" t="s">
        <v>137</v>
      </c>
      <c r="H2682" t="s">
        <v>45</v>
      </c>
      <c r="I2682" t="s">
        <v>91</v>
      </c>
      <c r="J2682" t="s">
        <v>47</v>
      </c>
      <c r="K2682">
        <v>3.3</v>
      </c>
      <c r="L2682" t="s">
        <v>23</v>
      </c>
      <c r="M2682" t="s">
        <v>79</v>
      </c>
      <c r="N2682" t="s">
        <v>23</v>
      </c>
      <c r="O2682">
        <v>21</v>
      </c>
      <c r="P2682" t="s">
        <v>62</v>
      </c>
      <c r="Q2682" t="s">
        <v>49</v>
      </c>
      <c r="R2682" s="1">
        <v>0.1</v>
      </c>
      <c r="S2682">
        <f t="shared" si="164"/>
        <v>33.299999999999997</v>
      </c>
      <c r="T2682">
        <f>IFERROR(VLOOKUP(A2682,Table1[[Customer ID]:[Discount Amount]], 6, FALSE),"Not Found")</f>
        <v>37</v>
      </c>
      <c r="U2682" t="str">
        <f t="shared" si="165"/>
        <v>Venmo</v>
      </c>
      <c r="V2682" s="4" t="str">
        <f t="shared" si="166"/>
        <v>Normal</v>
      </c>
      <c r="W2682" s="4" t="str">
        <f t="shared" si="167"/>
        <v>Good</v>
      </c>
      <c r="X2682" s="4">
        <f>AVERAGE(Table1[Purchase Amount])</f>
        <v>129.48419400000012</v>
      </c>
    </row>
    <row r="2683" spans="1:24" ht="15" customHeight="1" x14ac:dyDescent="0.25">
      <c r="A2683">
        <v>2682</v>
      </c>
      <c r="B2683">
        <v>23</v>
      </c>
      <c r="C2683" t="s">
        <v>16</v>
      </c>
      <c r="D2683" t="s">
        <v>72</v>
      </c>
      <c r="E2683" t="s">
        <v>98</v>
      </c>
      <c r="F2683" s="2">
        <v>23</v>
      </c>
      <c r="G2683" t="s">
        <v>97</v>
      </c>
      <c r="H2683" t="s">
        <v>45</v>
      </c>
      <c r="I2683" t="s">
        <v>21</v>
      </c>
      <c r="J2683" t="s">
        <v>57</v>
      </c>
      <c r="K2683">
        <v>4.8</v>
      </c>
      <c r="L2683" t="s">
        <v>23</v>
      </c>
      <c r="M2683" t="s">
        <v>24</v>
      </c>
      <c r="N2683" t="s">
        <v>23</v>
      </c>
      <c r="O2683">
        <v>17</v>
      </c>
      <c r="P2683" t="s">
        <v>36</v>
      </c>
      <c r="Q2683" t="s">
        <v>42</v>
      </c>
      <c r="R2683" s="1">
        <v>0.1</v>
      </c>
      <c r="S2683">
        <f t="shared" si="164"/>
        <v>20.7</v>
      </c>
      <c r="T2683">
        <f>IFERROR(VLOOKUP(A2683,Table1[[Customer ID]:[Discount Amount]], 6, FALSE),"Not Found")</f>
        <v>23</v>
      </c>
      <c r="U2683" t="str">
        <f t="shared" si="165"/>
        <v>Debit Card</v>
      </c>
      <c r="V2683" s="4" t="str">
        <f t="shared" si="166"/>
        <v>Normal</v>
      </c>
      <c r="W2683" s="4" t="str">
        <f t="shared" si="167"/>
        <v>Good</v>
      </c>
      <c r="X2683" s="4">
        <f>AVERAGE(Table1[Purchase Amount])</f>
        <v>129.48419400000012</v>
      </c>
    </row>
    <row r="2684" spans="1:24" ht="15" customHeight="1" x14ac:dyDescent="0.25">
      <c r="A2684">
        <v>2683</v>
      </c>
      <c r="B2684">
        <v>59</v>
      </c>
      <c r="C2684" t="s">
        <v>16</v>
      </c>
      <c r="D2684" t="s">
        <v>140</v>
      </c>
      <c r="E2684" t="s">
        <v>98</v>
      </c>
      <c r="F2684" s="2">
        <v>65</v>
      </c>
      <c r="G2684" t="s">
        <v>134</v>
      </c>
      <c r="H2684" t="s">
        <v>45</v>
      </c>
      <c r="I2684" t="s">
        <v>125</v>
      </c>
      <c r="J2684" t="s">
        <v>22</v>
      </c>
      <c r="K2684">
        <v>3.9</v>
      </c>
      <c r="L2684" t="s">
        <v>23</v>
      </c>
      <c r="M2684" t="s">
        <v>41</v>
      </c>
      <c r="N2684" t="s">
        <v>23</v>
      </c>
      <c r="O2684">
        <v>5</v>
      </c>
      <c r="P2684" t="s">
        <v>62</v>
      </c>
      <c r="Q2684" t="s">
        <v>63</v>
      </c>
      <c r="R2684" s="1">
        <v>0.1</v>
      </c>
      <c r="S2684">
        <f t="shared" si="164"/>
        <v>58.5</v>
      </c>
      <c r="T2684">
        <f>IFERROR(VLOOKUP(A2684,Table1[[Customer ID]:[Discount Amount]], 6, FALSE),"Not Found")</f>
        <v>65</v>
      </c>
      <c r="U2684" t="str">
        <f t="shared" si="165"/>
        <v>Venmo</v>
      </c>
      <c r="V2684" s="4" t="str">
        <f t="shared" si="166"/>
        <v>Normal</v>
      </c>
      <c r="W2684" s="4" t="str">
        <f t="shared" si="167"/>
        <v>Good</v>
      </c>
      <c r="X2684" s="4">
        <f>AVERAGE(Table1[Purchase Amount])</f>
        <v>129.48419400000012</v>
      </c>
    </row>
    <row r="2685" spans="1:24" ht="15" customHeight="1" x14ac:dyDescent="0.25">
      <c r="A2685">
        <v>2684</v>
      </c>
      <c r="B2685">
        <v>68</v>
      </c>
      <c r="C2685" t="s">
        <v>16</v>
      </c>
      <c r="D2685" t="s">
        <v>104</v>
      </c>
      <c r="E2685" t="s">
        <v>29</v>
      </c>
      <c r="F2685" s="2">
        <v>30</v>
      </c>
      <c r="G2685" t="s">
        <v>39</v>
      </c>
      <c r="H2685" t="s">
        <v>31</v>
      </c>
      <c r="I2685" t="s">
        <v>91</v>
      </c>
      <c r="J2685" t="s">
        <v>57</v>
      </c>
      <c r="K2685">
        <v>4.2</v>
      </c>
      <c r="L2685" t="s">
        <v>23</v>
      </c>
      <c r="M2685" t="s">
        <v>79</v>
      </c>
      <c r="N2685" t="s">
        <v>23</v>
      </c>
      <c r="O2685">
        <v>21</v>
      </c>
      <c r="P2685" t="s">
        <v>25</v>
      </c>
      <c r="Q2685" t="s">
        <v>89</v>
      </c>
      <c r="R2685" s="1">
        <v>0.1</v>
      </c>
      <c r="S2685">
        <f t="shared" si="164"/>
        <v>27</v>
      </c>
      <c r="T2685">
        <f>IFERROR(VLOOKUP(A2685,Table1[[Customer ID]:[Discount Amount]], 6, FALSE),"Not Found")</f>
        <v>30</v>
      </c>
      <c r="U2685" t="str">
        <f t="shared" si="165"/>
        <v>Cash</v>
      </c>
      <c r="V2685" s="4" t="str">
        <f t="shared" si="166"/>
        <v>Normal</v>
      </c>
      <c r="W2685" s="4" t="str">
        <f t="shared" si="167"/>
        <v>Good</v>
      </c>
      <c r="X2685" s="4">
        <f>AVERAGE(Table1[Purchase Amount])</f>
        <v>129.48419400000012</v>
      </c>
    </row>
    <row r="2686" spans="1:24" ht="15" customHeight="1" x14ac:dyDescent="0.25">
      <c r="A2686">
        <v>2685</v>
      </c>
      <c r="B2686">
        <v>46</v>
      </c>
      <c r="C2686" t="s">
        <v>16</v>
      </c>
      <c r="D2686" t="s">
        <v>157</v>
      </c>
      <c r="E2686" t="s">
        <v>18</v>
      </c>
      <c r="F2686" s="2">
        <v>45</v>
      </c>
      <c r="G2686" t="s">
        <v>155</v>
      </c>
      <c r="H2686" t="s">
        <v>31</v>
      </c>
      <c r="I2686" t="s">
        <v>85</v>
      </c>
      <c r="J2686" t="s">
        <v>57</v>
      </c>
      <c r="K2686">
        <v>4.7</v>
      </c>
      <c r="L2686" t="s">
        <v>23</v>
      </c>
      <c r="M2686" t="s">
        <v>35</v>
      </c>
      <c r="N2686" t="s">
        <v>23</v>
      </c>
      <c r="O2686">
        <v>42</v>
      </c>
      <c r="P2686" t="s">
        <v>53</v>
      </c>
      <c r="Q2686" t="s">
        <v>68</v>
      </c>
      <c r="R2686" s="1">
        <v>0.1</v>
      </c>
      <c r="S2686">
        <f t="shared" si="164"/>
        <v>40.5</v>
      </c>
      <c r="T2686">
        <f>IFERROR(VLOOKUP(A2686,Table1[[Customer ID]:[Discount Amount]], 6, FALSE),"Not Found")</f>
        <v>45</v>
      </c>
      <c r="U2686" t="str">
        <f t="shared" si="165"/>
        <v>Credit Card</v>
      </c>
      <c r="V2686" s="4" t="str">
        <f t="shared" si="166"/>
        <v>Normal</v>
      </c>
      <c r="W2686" s="4" t="str">
        <f t="shared" si="167"/>
        <v>Good</v>
      </c>
      <c r="X2686" s="4">
        <f>AVERAGE(Table1[Purchase Amount])</f>
        <v>129.48419400000012</v>
      </c>
    </row>
    <row r="2687" spans="1:24" ht="15" customHeight="1" x14ac:dyDescent="0.25">
      <c r="A2687">
        <v>2686</v>
      </c>
      <c r="B2687">
        <v>56</v>
      </c>
      <c r="C2687" t="s">
        <v>16</v>
      </c>
      <c r="D2687" t="s">
        <v>151</v>
      </c>
      <c r="E2687" t="s">
        <v>98</v>
      </c>
      <c r="F2687" s="2">
        <v>25</v>
      </c>
      <c r="G2687" t="s">
        <v>138</v>
      </c>
      <c r="H2687" t="s">
        <v>31</v>
      </c>
      <c r="I2687" t="s">
        <v>85</v>
      </c>
      <c r="J2687" t="s">
        <v>22</v>
      </c>
      <c r="K2687">
        <v>2.7</v>
      </c>
      <c r="L2687" t="s">
        <v>23</v>
      </c>
      <c r="M2687" t="s">
        <v>61</v>
      </c>
      <c r="N2687" t="s">
        <v>23</v>
      </c>
      <c r="O2687">
        <v>49</v>
      </c>
      <c r="P2687" t="s">
        <v>53</v>
      </c>
      <c r="Q2687" t="s">
        <v>37</v>
      </c>
      <c r="R2687" s="1">
        <v>0.1</v>
      </c>
      <c r="S2687">
        <f t="shared" si="164"/>
        <v>22.5</v>
      </c>
      <c r="T2687">
        <f>IFERROR(VLOOKUP(A2687,Table1[[Customer ID]:[Discount Amount]], 6, FALSE),"Not Found")</f>
        <v>25</v>
      </c>
      <c r="U2687" t="str">
        <f t="shared" si="165"/>
        <v>Credit Card</v>
      </c>
      <c r="V2687" s="4" t="str">
        <f t="shared" si="166"/>
        <v>Normal</v>
      </c>
      <c r="W2687" s="4" t="str">
        <f t="shared" si="167"/>
        <v>Poor</v>
      </c>
      <c r="X2687" s="4">
        <f>AVERAGE(Table1[Purchase Amount])</f>
        <v>129.48419400000012</v>
      </c>
    </row>
    <row r="2688" spans="1:24" ht="15" customHeight="1" x14ac:dyDescent="0.25">
      <c r="A2688">
        <v>2687</v>
      </c>
      <c r="B2688">
        <v>40</v>
      </c>
      <c r="C2688" t="s">
        <v>16</v>
      </c>
      <c r="D2688" t="s">
        <v>105</v>
      </c>
      <c r="E2688" t="s">
        <v>18</v>
      </c>
      <c r="F2688" s="2">
        <v>72</v>
      </c>
      <c r="G2688" t="s">
        <v>160</v>
      </c>
      <c r="H2688" t="s">
        <v>31</v>
      </c>
      <c r="I2688" t="s">
        <v>40</v>
      </c>
      <c r="J2688" t="s">
        <v>22</v>
      </c>
      <c r="K2688">
        <v>3.8</v>
      </c>
      <c r="L2688" t="s">
        <v>23</v>
      </c>
      <c r="M2688" t="s">
        <v>41</v>
      </c>
      <c r="N2688" t="s">
        <v>23</v>
      </c>
      <c r="O2688">
        <v>33</v>
      </c>
      <c r="P2688" t="s">
        <v>25</v>
      </c>
      <c r="Q2688" t="s">
        <v>89</v>
      </c>
      <c r="R2688" s="1">
        <v>0.1</v>
      </c>
      <c r="S2688">
        <f t="shared" si="164"/>
        <v>64.8</v>
      </c>
      <c r="T2688">
        <f>IFERROR(VLOOKUP(A2688,Table1[[Customer ID]:[Discount Amount]], 6, FALSE),"Not Found")</f>
        <v>72</v>
      </c>
      <c r="U2688" t="str">
        <f t="shared" si="165"/>
        <v>Cash</v>
      </c>
      <c r="V2688" s="4" t="str">
        <f t="shared" si="166"/>
        <v>Normal</v>
      </c>
      <c r="W2688" s="4" t="str">
        <f t="shared" si="167"/>
        <v>Good</v>
      </c>
      <c r="X2688" s="4">
        <f>AVERAGE(Table1[Purchase Amount])</f>
        <v>129.48419400000012</v>
      </c>
    </row>
    <row r="2689" spans="1:24" ht="15" customHeight="1" x14ac:dyDescent="0.25">
      <c r="A2689">
        <v>2688</v>
      </c>
      <c r="B2689">
        <v>61</v>
      </c>
      <c r="C2689" t="s">
        <v>16</v>
      </c>
      <c r="D2689" t="s">
        <v>157</v>
      </c>
      <c r="E2689" t="s">
        <v>18</v>
      </c>
      <c r="F2689" s="2">
        <v>75</v>
      </c>
      <c r="G2689" t="s">
        <v>143</v>
      </c>
      <c r="H2689" t="s">
        <v>31</v>
      </c>
      <c r="I2689" t="s">
        <v>32</v>
      </c>
      <c r="J2689" t="s">
        <v>47</v>
      </c>
      <c r="K2689">
        <v>3.6</v>
      </c>
      <c r="L2689" t="s">
        <v>23</v>
      </c>
      <c r="M2689" t="s">
        <v>41</v>
      </c>
      <c r="N2689" t="s">
        <v>23</v>
      </c>
      <c r="O2689">
        <v>12</v>
      </c>
      <c r="P2689" t="s">
        <v>36</v>
      </c>
      <c r="Q2689" t="s">
        <v>68</v>
      </c>
      <c r="R2689" s="1">
        <v>0.1</v>
      </c>
      <c r="S2689">
        <f t="shared" si="164"/>
        <v>67.5</v>
      </c>
      <c r="T2689">
        <f>IFERROR(VLOOKUP(A2689,Table1[[Customer ID]:[Discount Amount]], 6, FALSE),"Not Found")</f>
        <v>75</v>
      </c>
      <c r="U2689" t="str">
        <f t="shared" si="165"/>
        <v>Debit Card</v>
      </c>
      <c r="V2689" s="4" t="str">
        <f t="shared" si="166"/>
        <v>Normal</v>
      </c>
      <c r="W2689" s="4" t="str">
        <f t="shared" si="167"/>
        <v>Good</v>
      </c>
      <c r="X2689" s="4">
        <f>AVERAGE(Table1[Purchase Amount])</f>
        <v>129.48419400000012</v>
      </c>
    </row>
    <row r="2690" spans="1:24" ht="15" customHeight="1" x14ac:dyDescent="0.25">
      <c r="A2690">
        <v>2689</v>
      </c>
      <c r="B2690">
        <v>53</v>
      </c>
      <c r="C2690" t="s">
        <v>16</v>
      </c>
      <c r="D2690" t="s">
        <v>69</v>
      </c>
      <c r="E2690" t="s">
        <v>29</v>
      </c>
      <c r="F2690" s="2">
        <v>63</v>
      </c>
      <c r="G2690" t="s">
        <v>154</v>
      </c>
      <c r="H2690" t="s">
        <v>20</v>
      </c>
      <c r="I2690" t="s">
        <v>156</v>
      </c>
      <c r="J2690" t="s">
        <v>33</v>
      </c>
      <c r="K2690">
        <v>2.9</v>
      </c>
      <c r="L2690" t="s">
        <v>23</v>
      </c>
      <c r="M2690" t="s">
        <v>41</v>
      </c>
      <c r="N2690" t="s">
        <v>23</v>
      </c>
      <c r="O2690">
        <v>18</v>
      </c>
      <c r="P2690" t="s">
        <v>53</v>
      </c>
      <c r="Q2690" t="s">
        <v>63</v>
      </c>
      <c r="R2690" s="1">
        <v>0.1</v>
      </c>
      <c r="S2690">
        <f t="shared" ref="S2690:S2753" si="168">F2690-(F2690*R2690)</f>
        <v>56.7</v>
      </c>
      <c r="T2690">
        <f>IFERROR(VLOOKUP(A2690,Table1[[Customer ID]:[Discount Amount]], 6, FALSE),"Not Found")</f>
        <v>63</v>
      </c>
      <c r="U2690" t="str">
        <f t="shared" ref="U2690:U2753" si="169">INDEX(P:P, MATCH(A2690, A:A, 0))</f>
        <v>Credit Card</v>
      </c>
      <c r="V2690" s="4" t="str">
        <f t="shared" ref="V2690:V2753" si="170">IF(AND(F2690&gt;1000,K2690&gt;=4),"Best Customer","Normal")</f>
        <v>Normal</v>
      </c>
      <c r="W2690" s="4" t="str">
        <f t="shared" ref="W2690:W2753" si="171">IF(K2690&gt;=3,"Good","Poor")</f>
        <v>Poor</v>
      </c>
      <c r="X2690" s="4">
        <f>AVERAGE(Table1[Purchase Amount])</f>
        <v>129.48419400000012</v>
      </c>
    </row>
    <row r="2691" spans="1:24" ht="15" customHeight="1" x14ac:dyDescent="0.25">
      <c r="A2691">
        <v>2690</v>
      </c>
      <c r="B2691">
        <v>29</v>
      </c>
      <c r="C2691" t="s">
        <v>16</v>
      </c>
      <c r="D2691" t="s">
        <v>118</v>
      </c>
      <c r="E2691" t="s">
        <v>18</v>
      </c>
      <c r="F2691" s="2">
        <v>35</v>
      </c>
      <c r="G2691" t="s">
        <v>162</v>
      </c>
      <c r="H2691" t="s">
        <v>31</v>
      </c>
      <c r="I2691" t="s">
        <v>108</v>
      </c>
      <c r="J2691" t="s">
        <v>47</v>
      </c>
      <c r="K2691">
        <v>3.9</v>
      </c>
      <c r="L2691" t="s">
        <v>23</v>
      </c>
      <c r="M2691" t="s">
        <v>24</v>
      </c>
      <c r="N2691" t="s">
        <v>23</v>
      </c>
      <c r="O2691">
        <v>47</v>
      </c>
      <c r="P2691" t="s">
        <v>58</v>
      </c>
      <c r="Q2691" t="s">
        <v>37</v>
      </c>
      <c r="R2691" s="1">
        <v>0.1</v>
      </c>
      <c r="S2691">
        <f t="shared" si="168"/>
        <v>31.5</v>
      </c>
      <c r="T2691">
        <f>IFERROR(VLOOKUP(A2691,Table1[[Customer ID]:[Discount Amount]], 6, FALSE),"Not Found")</f>
        <v>35</v>
      </c>
      <c r="U2691" t="str">
        <f t="shared" si="169"/>
        <v>PayPal</v>
      </c>
      <c r="V2691" s="4" t="str">
        <f t="shared" si="170"/>
        <v>Normal</v>
      </c>
      <c r="W2691" s="4" t="str">
        <f t="shared" si="171"/>
        <v>Good</v>
      </c>
      <c r="X2691" s="4">
        <f>AVERAGE(Table1[Purchase Amount])</f>
        <v>129.48419400000012</v>
      </c>
    </row>
    <row r="2692" spans="1:24" ht="15" customHeight="1" x14ac:dyDescent="0.25">
      <c r="A2692">
        <v>2691</v>
      </c>
      <c r="B2692">
        <v>44</v>
      </c>
      <c r="C2692" t="s">
        <v>16</v>
      </c>
      <c r="D2692" t="s">
        <v>114</v>
      </c>
      <c r="E2692" t="s">
        <v>29</v>
      </c>
      <c r="F2692" s="2">
        <v>32</v>
      </c>
      <c r="G2692" t="s">
        <v>110</v>
      </c>
      <c r="H2692" t="s">
        <v>45</v>
      </c>
      <c r="I2692" t="s">
        <v>52</v>
      </c>
      <c r="J2692" t="s">
        <v>57</v>
      </c>
      <c r="K2692">
        <v>4.7</v>
      </c>
      <c r="L2692" t="s">
        <v>23</v>
      </c>
      <c r="M2692" t="s">
        <v>35</v>
      </c>
      <c r="N2692" t="s">
        <v>23</v>
      </c>
      <c r="O2692">
        <v>18</v>
      </c>
      <c r="P2692" t="s">
        <v>88</v>
      </c>
      <c r="Q2692" t="s">
        <v>26</v>
      </c>
      <c r="R2692" s="1">
        <v>0.1</v>
      </c>
      <c r="S2692">
        <f t="shared" si="168"/>
        <v>28.8</v>
      </c>
      <c r="T2692">
        <f>IFERROR(VLOOKUP(A2692,Table1[[Customer ID]:[Discount Amount]], 6, FALSE),"Not Found")</f>
        <v>32</v>
      </c>
      <c r="U2692" t="str">
        <f t="shared" si="169"/>
        <v>Bank Transfer</v>
      </c>
      <c r="V2692" s="4" t="str">
        <f t="shared" si="170"/>
        <v>Normal</v>
      </c>
      <c r="W2692" s="4" t="str">
        <f t="shared" si="171"/>
        <v>Good</v>
      </c>
      <c r="X2692" s="4">
        <f>AVERAGE(Table1[Purchase Amount])</f>
        <v>129.48419400000012</v>
      </c>
    </row>
    <row r="2693" spans="1:24" ht="15" customHeight="1" x14ac:dyDescent="0.25">
      <c r="A2693">
        <v>2692</v>
      </c>
      <c r="B2693">
        <v>43</v>
      </c>
      <c r="C2693" t="s">
        <v>16</v>
      </c>
      <c r="D2693" t="s">
        <v>99</v>
      </c>
      <c r="E2693" t="s">
        <v>18</v>
      </c>
      <c r="F2693" s="2">
        <v>25</v>
      </c>
      <c r="G2693" t="s">
        <v>137</v>
      </c>
      <c r="H2693" t="s">
        <v>45</v>
      </c>
      <c r="I2693" t="s">
        <v>74</v>
      </c>
      <c r="J2693" t="s">
        <v>22</v>
      </c>
      <c r="K2693">
        <v>3.3</v>
      </c>
      <c r="L2693" t="s">
        <v>23</v>
      </c>
      <c r="M2693" t="s">
        <v>41</v>
      </c>
      <c r="N2693" t="s">
        <v>23</v>
      </c>
      <c r="O2693">
        <v>48</v>
      </c>
      <c r="P2693" t="s">
        <v>25</v>
      </c>
      <c r="Q2693" t="s">
        <v>42</v>
      </c>
      <c r="R2693" s="1">
        <v>0.1</v>
      </c>
      <c r="S2693">
        <f t="shared" si="168"/>
        <v>22.5</v>
      </c>
      <c r="T2693">
        <f>IFERROR(VLOOKUP(A2693,Table1[[Customer ID]:[Discount Amount]], 6, FALSE),"Not Found")</f>
        <v>25</v>
      </c>
      <c r="U2693" t="str">
        <f t="shared" si="169"/>
        <v>Cash</v>
      </c>
      <c r="V2693" s="4" t="str">
        <f t="shared" si="170"/>
        <v>Normal</v>
      </c>
      <c r="W2693" s="4" t="str">
        <f t="shared" si="171"/>
        <v>Good</v>
      </c>
      <c r="X2693" s="4">
        <f>AVERAGE(Table1[Purchase Amount])</f>
        <v>129.48419400000012</v>
      </c>
    </row>
    <row r="2694" spans="1:24" ht="15" customHeight="1" x14ac:dyDescent="0.25">
      <c r="A2694">
        <v>2693</v>
      </c>
      <c r="B2694">
        <v>40</v>
      </c>
      <c r="C2694" t="s">
        <v>16</v>
      </c>
      <c r="D2694" t="s">
        <v>140</v>
      </c>
      <c r="E2694" t="s">
        <v>98</v>
      </c>
      <c r="F2694" s="2">
        <v>90</v>
      </c>
      <c r="G2694" t="s">
        <v>155</v>
      </c>
      <c r="H2694" t="s">
        <v>20</v>
      </c>
      <c r="I2694" t="s">
        <v>111</v>
      </c>
      <c r="J2694" t="s">
        <v>33</v>
      </c>
      <c r="K2694">
        <v>4.2</v>
      </c>
      <c r="L2694" t="s">
        <v>23</v>
      </c>
      <c r="M2694" t="s">
        <v>35</v>
      </c>
      <c r="N2694" t="s">
        <v>23</v>
      </c>
      <c r="O2694">
        <v>18</v>
      </c>
      <c r="P2694" t="s">
        <v>36</v>
      </c>
      <c r="Q2694" t="s">
        <v>63</v>
      </c>
      <c r="R2694" s="1">
        <v>0.1</v>
      </c>
      <c r="S2694">
        <f t="shared" si="168"/>
        <v>81</v>
      </c>
      <c r="T2694">
        <f>IFERROR(VLOOKUP(A2694,Table1[[Customer ID]:[Discount Amount]], 6, FALSE),"Not Found")</f>
        <v>90</v>
      </c>
      <c r="U2694" t="str">
        <f t="shared" si="169"/>
        <v>Debit Card</v>
      </c>
      <c r="V2694" s="4" t="str">
        <f t="shared" si="170"/>
        <v>Normal</v>
      </c>
      <c r="W2694" s="4" t="str">
        <f t="shared" si="171"/>
        <v>Good</v>
      </c>
      <c r="X2694" s="4">
        <f>AVERAGE(Table1[Purchase Amount])</f>
        <v>129.48419400000012</v>
      </c>
    </row>
    <row r="2695" spans="1:24" ht="15" customHeight="1" x14ac:dyDescent="0.25">
      <c r="A2695">
        <v>2694</v>
      </c>
      <c r="B2695">
        <v>55</v>
      </c>
      <c r="C2695" t="s">
        <v>16</v>
      </c>
      <c r="D2695" t="s">
        <v>151</v>
      </c>
      <c r="E2695" t="s">
        <v>98</v>
      </c>
      <c r="F2695" s="2">
        <v>70</v>
      </c>
      <c r="G2695" t="s">
        <v>135</v>
      </c>
      <c r="H2695" t="s">
        <v>45</v>
      </c>
      <c r="I2695" t="s">
        <v>107</v>
      </c>
      <c r="J2695" t="s">
        <v>57</v>
      </c>
      <c r="K2695">
        <v>2.6</v>
      </c>
      <c r="L2695" t="s">
        <v>23</v>
      </c>
      <c r="M2695" t="s">
        <v>24</v>
      </c>
      <c r="N2695" t="s">
        <v>23</v>
      </c>
      <c r="O2695">
        <v>46</v>
      </c>
      <c r="P2695" t="s">
        <v>25</v>
      </c>
      <c r="Q2695" t="s">
        <v>37</v>
      </c>
      <c r="R2695" s="1">
        <v>0.1</v>
      </c>
      <c r="S2695">
        <f t="shared" si="168"/>
        <v>63</v>
      </c>
      <c r="T2695">
        <f>IFERROR(VLOOKUP(A2695,Table1[[Customer ID]:[Discount Amount]], 6, FALSE),"Not Found")</f>
        <v>70</v>
      </c>
      <c r="U2695" t="str">
        <f t="shared" si="169"/>
        <v>Cash</v>
      </c>
      <c r="V2695" s="4" t="str">
        <f t="shared" si="170"/>
        <v>Normal</v>
      </c>
      <c r="W2695" s="4" t="str">
        <f t="shared" si="171"/>
        <v>Poor</v>
      </c>
      <c r="X2695" s="4">
        <f>AVERAGE(Table1[Purchase Amount])</f>
        <v>129.48419400000012</v>
      </c>
    </row>
    <row r="2696" spans="1:24" ht="15" customHeight="1" x14ac:dyDescent="0.25">
      <c r="A2696">
        <v>2695</v>
      </c>
      <c r="B2696">
        <v>66</v>
      </c>
      <c r="C2696" t="s">
        <v>16</v>
      </c>
      <c r="D2696" t="s">
        <v>28</v>
      </c>
      <c r="E2696" t="s">
        <v>29</v>
      </c>
      <c r="F2696" s="2">
        <v>27</v>
      </c>
      <c r="G2696" t="s">
        <v>119</v>
      </c>
      <c r="H2696" t="s">
        <v>31</v>
      </c>
      <c r="I2696" t="s">
        <v>21</v>
      </c>
      <c r="J2696" t="s">
        <v>33</v>
      </c>
      <c r="K2696">
        <v>4.9000000000000004</v>
      </c>
      <c r="L2696" t="s">
        <v>23</v>
      </c>
      <c r="M2696" t="s">
        <v>61</v>
      </c>
      <c r="N2696" t="s">
        <v>23</v>
      </c>
      <c r="O2696">
        <v>34</v>
      </c>
      <c r="P2696" t="s">
        <v>53</v>
      </c>
      <c r="Q2696" t="s">
        <v>63</v>
      </c>
      <c r="R2696" s="1">
        <v>0.1</v>
      </c>
      <c r="S2696">
        <f t="shared" si="168"/>
        <v>24.3</v>
      </c>
      <c r="T2696">
        <f>IFERROR(VLOOKUP(A2696,Table1[[Customer ID]:[Discount Amount]], 6, FALSE),"Not Found")</f>
        <v>27</v>
      </c>
      <c r="U2696" t="str">
        <f t="shared" si="169"/>
        <v>Credit Card</v>
      </c>
      <c r="V2696" s="4" t="str">
        <f t="shared" si="170"/>
        <v>Normal</v>
      </c>
      <c r="W2696" s="4" t="str">
        <f t="shared" si="171"/>
        <v>Good</v>
      </c>
      <c r="X2696" s="4">
        <f>AVERAGE(Table1[Purchase Amount])</f>
        <v>129.48419400000012</v>
      </c>
    </row>
    <row r="2697" spans="1:24" ht="15" customHeight="1" x14ac:dyDescent="0.25">
      <c r="A2697">
        <v>2696</v>
      </c>
      <c r="B2697">
        <v>50</v>
      </c>
      <c r="C2697" t="s">
        <v>16</v>
      </c>
      <c r="D2697" t="s">
        <v>64</v>
      </c>
      <c r="E2697" t="s">
        <v>29</v>
      </c>
      <c r="F2697" s="2">
        <v>92</v>
      </c>
      <c r="G2697" t="s">
        <v>65</v>
      </c>
      <c r="H2697" t="s">
        <v>31</v>
      </c>
      <c r="I2697" t="s">
        <v>108</v>
      </c>
      <c r="J2697" t="s">
        <v>47</v>
      </c>
      <c r="K2697">
        <v>3.6</v>
      </c>
      <c r="L2697" t="s">
        <v>23</v>
      </c>
      <c r="M2697" t="s">
        <v>24</v>
      </c>
      <c r="N2697" t="s">
        <v>23</v>
      </c>
      <c r="O2697">
        <v>10</v>
      </c>
      <c r="P2697" t="s">
        <v>58</v>
      </c>
      <c r="Q2697" t="s">
        <v>68</v>
      </c>
      <c r="R2697" s="1">
        <v>0.1</v>
      </c>
      <c r="S2697">
        <f t="shared" si="168"/>
        <v>82.8</v>
      </c>
      <c r="T2697">
        <f>IFERROR(VLOOKUP(A2697,Table1[[Customer ID]:[Discount Amount]], 6, FALSE),"Not Found")</f>
        <v>92</v>
      </c>
      <c r="U2697" t="str">
        <f t="shared" si="169"/>
        <v>PayPal</v>
      </c>
      <c r="V2697" s="4" t="str">
        <f t="shared" si="170"/>
        <v>Normal</v>
      </c>
      <c r="W2697" s="4" t="str">
        <f t="shared" si="171"/>
        <v>Good</v>
      </c>
      <c r="X2697" s="4">
        <f>AVERAGE(Table1[Purchase Amount])</f>
        <v>129.48419400000012</v>
      </c>
    </row>
    <row r="2698" spans="1:24" ht="15" customHeight="1" x14ac:dyDescent="0.25">
      <c r="A2698">
        <v>2697</v>
      </c>
      <c r="B2698">
        <v>57</v>
      </c>
      <c r="C2698" t="s">
        <v>16</v>
      </c>
      <c r="D2698" t="s">
        <v>76</v>
      </c>
      <c r="E2698" t="s">
        <v>77</v>
      </c>
      <c r="F2698" s="2">
        <v>20</v>
      </c>
      <c r="G2698" t="s">
        <v>130</v>
      </c>
      <c r="H2698" t="s">
        <v>31</v>
      </c>
      <c r="I2698" t="s">
        <v>32</v>
      </c>
      <c r="J2698" t="s">
        <v>33</v>
      </c>
      <c r="K2698">
        <v>4.7</v>
      </c>
      <c r="L2698" t="s">
        <v>23</v>
      </c>
      <c r="M2698" t="s">
        <v>35</v>
      </c>
      <c r="N2698" t="s">
        <v>23</v>
      </c>
      <c r="O2698">
        <v>12</v>
      </c>
      <c r="P2698" t="s">
        <v>36</v>
      </c>
      <c r="Q2698" t="s">
        <v>42</v>
      </c>
      <c r="R2698" s="1">
        <v>0.1</v>
      </c>
      <c r="S2698">
        <f t="shared" si="168"/>
        <v>18</v>
      </c>
      <c r="T2698">
        <f>IFERROR(VLOOKUP(A2698,Table1[[Customer ID]:[Discount Amount]], 6, FALSE),"Not Found")</f>
        <v>20</v>
      </c>
      <c r="U2698" t="str">
        <f t="shared" si="169"/>
        <v>Debit Card</v>
      </c>
      <c r="V2698" s="4" t="str">
        <f t="shared" si="170"/>
        <v>Normal</v>
      </c>
      <c r="W2698" s="4" t="str">
        <f t="shared" si="171"/>
        <v>Good</v>
      </c>
      <c r="X2698" s="4">
        <f>AVERAGE(Table1[Purchase Amount])</f>
        <v>129.48419400000012</v>
      </c>
    </row>
    <row r="2699" spans="1:24" ht="15" customHeight="1" x14ac:dyDescent="0.25">
      <c r="A2699">
        <v>2698</v>
      </c>
      <c r="B2699">
        <v>42</v>
      </c>
      <c r="C2699" t="s">
        <v>16</v>
      </c>
      <c r="D2699" t="s">
        <v>96</v>
      </c>
      <c r="E2699" t="s">
        <v>77</v>
      </c>
      <c r="F2699" s="2">
        <v>52</v>
      </c>
      <c r="G2699" t="s">
        <v>143</v>
      </c>
      <c r="H2699" t="s">
        <v>45</v>
      </c>
      <c r="I2699" t="s">
        <v>46</v>
      </c>
      <c r="J2699" t="s">
        <v>22</v>
      </c>
      <c r="K2699">
        <v>3.2</v>
      </c>
      <c r="L2699" t="s">
        <v>23</v>
      </c>
      <c r="M2699" t="s">
        <v>24</v>
      </c>
      <c r="N2699" t="s">
        <v>23</v>
      </c>
      <c r="O2699">
        <v>36</v>
      </c>
      <c r="P2699" t="s">
        <v>88</v>
      </c>
      <c r="Q2699" t="s">
        <v>37</v>
      </c>
      <c r="R2699" s="1">
        <v>0.1</v>
      </c>
      <c r="S2699">
        <f t="shared" si="168"/>
        <v>46.8</v>
      </c>
      <c r="T2699">
        <f>IFERROR(VLOOKUP(A2699,Table1[[Customer ID]:[Discount Amount]], 6, FALSE),"Not Found")</f>
        <v>52</v>
      </c>
      <c r="U2699" t="str">
        <f t="shared" si="169"/>
        <v>Bank Transfer</v>
      </c>
      <c r="V2699" s="4" t="str">
        <f t="shared" si="170"/>
        <v>Normal</v>
      </c>
      <c r="W2699" s="4" t="str">
        <f t="shared" si="171"/>
        <v>Good</v>
      </c>
      <c r="X2699" s="4">
        <f>AVERAGE(Table1[Purchase Amount])</f>
        <v>129.48419400000012</v>
      </c>
    </row>
    <row r="2700" spans="1:24" ht="15" customHeight="1" x14ac:dyDescent="0.25">
      <c r="A2700">
        <v>2699</v>
      </c>
      <c r="B2700">
        <v>55</v>
      </c>
      <c r="C2700" t="s">
        <v>16</v>
      </c>
      <c r="D2700" t="s">
        <v>83</v>
      </c>
      <c r="E2700" t="s">
        <v>18</v>
      </c>
      <c r="F2700" s="2">
        <v>57</v>
      </c>
      <c r="G2700" t="s">
        <v>138</v>
      </c>
      <c r="H2700" t="s">
        <v>31</v>
      </c>
      <c r="I2700" t="s">
        <v>87</v>
      </c>
      <c r="J2700" t="s">
        <v>57</v>
      </c>
      <c r="K2700">
        <v>3.6</v>
      </c>
      <c r="L2700" t="s">
        <v>23</v>
      </c>
      <c r="M2700" t="s">
        <v>48</v>
      </c>
      <c r="N2700" t="s">
        <v>23</v>
      </c>
      <c r="O2700">
        <v>34</v>
      </c>
      <c r="P2700" t="s">
        <v>62</v>
      </c>
      <c r="Q2700" t="s">
        <v>37</v>
      </c>
      <c r="R2700" s="1">
        <v>0.1</v>
      </c>
      <c r="S2700">
        <f t="shared" si="168"/>
        <v>51.3</v>
      </c>
      <c r="T2700">
        <f>IFERROR(VLOOKUP(A2700,Table1[[Customer ID]:[Discount Amount]], 6, FALSE),"Not Found")</f>
        <v>57</v>
      </c>
      <c r="U2700" t="str">
        <f t="shared" si="169"/>
        <v>Venmo</v>
      </c>
      <c r="V2700" s="4" t="str">
        <f t="shared" si="170"/>
        <v>Normal</v>
      </c>
      <c r="W2700" s="4" t="str">
        <f t="shared" si="171"/>
        <v>Good</v>
      </c>
      <c r="X2700" s="4">
        <f>AVERAGE(Table1[Purchase Amount])</f>
        <v>129.48419400000012</v>
      </c>
    </row>
    <row r="2701" spans="1:24" ht="15" customHeight="1" x14ac:dyDescent="0.25">
      <c r="A2701">
        <v>2700</v>
      </c>
      <c r="B2701">
        <v>25</v>
      </c>
      <c r="C2701" t="s">
        <v>16</v>
      </c>
      <c r="D2701" t="s">
        <v>151</v>
      </c>
      <c r="E2701" t="s">
        <v>98</v>
      </c>
      <c r="F2701" s="2">
        <v>96</v>
      </c>
      <c r="G2701" t="s">
        <v>144</v>
      </c>
      <c r="H2701" t="s">
        <v>31</v>
      </c>
      <c r="I2701" t="s">
        <v>111</v>
      </c>
      <c r="J2701" t="s">
        <v>47</v>
      </c>
      <c r="K2701">
        <v>3.6</v>
      </c>
      <c r="L2701" t="s">
        <v>23</v>
      </c>
      <c r="M2701" t="s">
        <v>41</v>
      </c>
      <c r="N2701" t="s">
        <v>23</v>
      </c>
      <c r="O2701">
        <v>49</v>
      </c>
      <c r="P2701" t="s">
        <v>36</v>
      </c>
      <c r="Q2701" t="s">
        <v>49</v>
      </c>
      <c r="R2701" s="1">
        <v>0.1</v>
      </c>
      <c r="S2701">
        <f t="shared" si="168"/>
        <v>86.4</v>
      </c>
      <c r="T2701">
        <f>IFERROR(VLOOKUP(A2701,Table1[[Customer ID]:[Discount Amount]], 6, FALSE),"Not Found")</f>
        <v>96</v>
      </c>
      <c r="U2701" t="str">
        <f t="shared" si="169"/>
        <v>Debit Card</v>
      </c>
      <c r="V2701" s="4" t="str">
        <f t="shared" si="170"/>
        <v>Normal</v>
      </c>
      <c r="W2701" s="4" t="str">
        <f t="shared" si="171"/>
        <v>Good</v>
      </c>
      <c r="X2701" s="4">
        <f>AVERAGE(Table1[Purchase Amount])</f>
        <v>129.48419400000012</v>
      </c>
    </row>
    <row r="2702" spans="1:24" ht="15" customHeight="1" x14ac:dyDescent="0.25">
      <c r="A2702">
        <v>2701</v>
      </c>
      <c r="B2702">
        <v>22</v>
      </c>
      <c r="C2702" t="s">
        <v>16</v>
      </c>
      <c r="D2702" t="s">
        <v>17</v>
      </c>
      <c r="E2702" t="s">
        <v>18</v>
      </c>
      <c r="F2702" s="2">
        <v>68</v>
      </c>
      <c r="G2702" t="s">
        <v>19</v>
      </c>
      <c r="H2702" t="s">
        <v>20</v>
      </c>
      <c r="I2702" t="s">
        <v>21</v>
      </c>
      <c r="J2702" t="s">
        <v>22</v>
      </c>
      <c r="K2702">
        <v>3.2</v>
      </c>
      <c r="L2702" t="s">
        <v>23</v>
      </c>
      <c r="M2702" t="s">
        <v>24</v>
      </c>
      <c r="N2702" t="s">
        <v>23</v>
      </c>
      <c r="O2702">
        <v>36</v>
      </c>
      <c r="P2702" t="s">
        <v>25</v>
      </c>
      <c r="Q2702" t="s">
        <v>26</v>
      </c>
      <c r="R2702" s="1">
        <v>0.1</v>
      </c>
      <c r="S2702">
        <f t="shared" si="168"/>
        <v>61.2</v>
      </c>
      <c r="T2702">
        <f>IFERROR(VLOOKUP(A2702,Table1[[Customer ID]:[Discount Amount]], 6, FALSE),"Not Found")</f>
        <v>68</v>
      </c>
      <c r="U2702" t="str">
        <f t="shared" si="169"/>
        <v>Cash</v>
      </c>
      <c r="V2702" s="4" t="str">
        <f t="shared" si="170"/>
        <v>Normal</v>
      </c>
      <c r="W2702" s="4" t="str">
        <f t="shared" si="171"/>
        <v>Good</v>
      </c>
      <c r="X2702" s="4">
        <f>AVERAGE(Table1[Purchase Amount])</f>
        <v>129.48419400000012</v>
      </c>
    </row>
    <row r="2703" spans="1:24" ht="15" customHeight="1" x14ac:dyDescent="0.25">
      <c r="A2703">
        <v>2702</v>
      </c>
      <c r="B2703">
        <v>49</v>
      </c>
      <c r="C2703" t="s">
        <v>16</v>
      </c>
      <c r="D2703" t="s">
        <v>127</v>
      </c>
      <c r="E2703" t="s">
        <v>18</v>
      </c>
      <c r="F2703" s="2">
        <v>30</v>
      </c>
      <c r="G2703" t="s">
        <v>161</v>
      </c>
      <c r="H2703" t="s">
        <v>45</v>
      </c>
      <c r="I2703" t="s">
        <v>153</v>
      </c>
      <c r="J2703" t="s">
        <v>57</v>
      </c>
      <c r="K2703">
        <v>2.8</v>
      </c>
      <c r="L2703" t="s">
        <v>23</v>
      </c>
      <c r="M2703" t="s">
        <v>48</v>
      </c>
      <c r="N2703" t="s">
        <v>23</v>
      </c>
      <c r="O2703">
        <v>18</v>
      </c>
      <c r="P2703" t="s">
        <v>88</v>
      </c>
      <c r="Q2703" t="s">
        <v>89</v>
      </c>
      <c r="R2703" s="1">
        <v>0.1</v>
      </c>
      <c r="S2703">
        <f t="shared" si="168"/>
        <v>27</v>
      </c>
      <c r="T2703">
        <f>IFERROR(VLOOKUP(A2703,Table1[[Customer ID]:[Discount Amount]], 6, FALSE),"Not Found")</f>
        <v>30</v>
      </c>
      <c r="U2703" t="str">
        <f t="shared" si="169"/>
        <v>Bank Transfer</v>
      </c>
      <c r="V2703" s="4" t="str">
        <f t="shared" si="170"/>
        <v>Normal</v>
      </c>
      <c r="W2703" s="4" t="str">
        <f t="shared" si="171"/>
        <v>Poor</v>
      </c>
      <c r="X2703" s="4">
        <f>AVERAGE(Table1[Purchase Amount])</f>
        <v>129.48419400000012</v>
      </c>
    </row>
    <row r="2704" spans="1:24" ht="15" customHeight="1" x14ac:dyDescent="0.25">
      <c r="A2704">
        <v>2703</v>
      </c>
      <c r="B2704">
        <v>70</v>
      </c>
      <c r="C2704" t="s">
        <v>16</v>
      </c>
      <c r="D2704" t="s">
        <v>72</v>
      </c>
      <c r="E2704" t="s">
        <v>98</v>
      </c>
      <c r="F2704" s="2">
        <v>37</v>
      </c>
      <c r="G2704" t="s">
        <v>152</v>
      </c>
      <c r="H2704" t="s">
        <v>45</v>
      </c>
      <c r="I2704" t="s">
        <v>85</v>
      </c>
      <c r="J2704" t="s">
        <v>47</v>
      </c>
      <c r="K2704">
        <v>4</v>
      </c>
      <c r="L2704" t="s">
        <v>23</v>
      </c>
      <c r="M2704" t="s">
        <v>79</v>
      </c>
      <c r="N2704" t="s">
        <v>23</v>
      </c>
      <c r="O2704">
        <v>39</v>
      </c>
      <c r="P2704" t="s">
        <v>36</v>
      </c>
      <c r="Q2704" t="s">
        <v>89</v>
      </c>
      <c r="R2704" s="1">
        <v>0.1</v>
      </c>
      <c r="S2704">
        <f t="shared" si="168"/>
        <v>33.299999999999997</v>
      </c>
      <c r="T2704">
        <f>IFERROR(VLOOKUP(A2704,Table1[[Customer ID]:[Discount Amount]], 6, FALSE),"Not Found")</f>
        <v>37</v>
      </c>
      <c r="U2704" t="str">
        <f t="shared" si="169"/>
        <v>Debit Card</v>
      </c>
      <c r="V2704" s="4" t="str">
        <f t="shared" si="170"/>
        <v>Normal</v>
      </c>
      <c r="W2704" s="4" t="str">
        <f t="shared" si="171"/>
        <v>Good</v>
      </c>
      <c r="X2704" s="4">
        <f>AVERAGE(Table1[Purchase Amount])</f>
        <v>129.48419400000012</v>
      </c>
    </row>
    <row r="2705" spans="1:24" ht="15" customHeight="1" x14ac:dyDescent="0.25">
      <c r="A2705">
        <v>2704</v>
      </c>
      <c r="B2705">
        <v>56</v>
      </c>
      <c r="C2705" t="s">
        <v>16</v>
      </c>
      <c r="D2705" t="s">
        <v>129</v>
      </c>
      <c r="E2705" t="s">
        <v>29</v>
      </c>
      <c r="F2705" s="2">
        <v>42</v>
      </c>
      <c r="G2705" t="s">
        <v>65</v>
      </c>
      <c r="H2705" t="s">
        <v>20</v>
      </c>
      <c r="I2705" t="s">
        <v>21</v>
      </c>
      <c r="J2705" t="s">
        <v>22</v>
      </c>
      <c r="K2705">
        <v>4.4000000000000004</v>
      </c>
      <c r="L2705" t="s">
        <v>23</v>
      </c>
      <c r="M2705" t="s">
        <v>35</v>
      </c>
      <c r="N2705" t="s">
        <v>23</v>
      </c>
      <c r="O2705">
        <v>34</v>
      </c>
      <c r="P2705" t="s">
        <v>58</v>
      </c>
      <c r="Q2705" t="s">
        <v>26</v>
      </c>
      <c r="R2705" s="1">
        <v>0.1</v>
      </c>
      <c r="S2705">
        <f t="shared" si="168"/>
        <v>37.799999999999997</v>
      </c>
      <c r="T2705">
        <f>IFERROR(VLOOKUP(A2705,Table1[[Customer ID]:[Discount Amount]], 6, FALSE),"Not Found")</f>
        <v>42</v>
      </c>
      <c r="U2705" t="str">
        <f t="shared" si="169"/>
        <v>PayPal</v>
      </c>
      <c r="V2705" s="4" t="str">
        <f t="shared" si="170"/>
        <v>Normal</v>
      </c>
      <c r="W2705" s="4" t="str">
        <f t="shared" si="171"/>
        <v>Good</v>
      </c>
      <c r="X2705" s="4">
        <f>AVERAGE(Table1[Purchase Amount])</f>
        <v>129.48419400000012</v>
      </c>
    </row>
    <row r="2706" spans="1:24" ht="15" customHeight="1" x14ac:dyDescent="0.25">
      <c r="A2706">
        <v>2705</v>
      </c>
      <c r="B2706">
        <v>52</v>
      </c>
      <c r="C2706" t="s">
        <v>16</v>
      </c>
      <c r="D2706" t="s">
        <v>157</v>
      </c>
      <c r="E2706" t="s">
        <v>18</v>
      </c>
      <c r="F2706" s="2">
        <v>54</v>
      </c>
      <c r="G2706" t="s">
        <v>65</v>
      </c>
      <c r="H2706" t="s">
        <v>45</v>
      </c>
      <c r="I2706" t="s">
        <v>56</v>
      </c>
      <c r="J2706" t="s">
        <v>33</v>
      </c>
      <c r="K2706">
        <v>3.4</v>
      </c>
      <c r="L2706" t="s">
        <v>23</v>
      </c>
      <c r="M2706" t="s">
        <v>79</v>
      </c>
      <c r="N2706" t="s">
        <v>23</v>
      </c>
      <c r="O2706">
        <v>35</v>
      </c>
      <c r="P2706" t="s">
        <v>36</v>
      </c>
      <c r="Q2706" t="s">
        <v>26</v>
      </c>
      <c r="R2706" s="1">
        <v>0.1</v>
      </c>
      <c r="S2706">
        <f t="shared" si="168"/>
        <v>48.6</v>
      </c>
      <c r="T2706">
        <f>IFERROR(VLOOKUP(A2706,Table1[[Customer ID]:[Discount Amount]], 6, FALSE),"Not Found")</f>
        <v>54</v>
      </c>
      <c r="U2706" t="str">
        <f t="shared" si="169"/>
        <v>Debit Card</v>
      </c>
      <c r="V2706" s="4" t="str">
        <f t="shared" si="170"/>
        <v>Normal</v>
      </c>
      <c r="W2706" s="4" t="str">
        <f t="shared" si="171"/>
        <v>Good</v>
      </c>
      <c r="X2706" s="4">
        <f>AVERAGE(Table1[Purchase Amount])</f>
        <v>129.48419400000012</v>
      </c>
    </row>
    <row r="2707" spans="1:24" ht="15" customHeight="1" x14ac:dyDescent="0.25">
      <c r="A2707">
        <v>2706</v>
      </c>
      <c r="B2707">
        <v>65</v>
      </c>
      <c r="C2707" t="s">
        <v>16</v>
      </c>
      <c r="D2707" t="s">
        <v>96</v>
      </c>
      <c r="E2707" t="s">
        <v>77</v>
      </c>
      <c r="F2707" s="2">
        <v>81</v>
      </c>
      <c r="G2707" t="s">
        <v>155</v>
      </c>
      <c r="H2707" t="s">
        <v>55</v>
      </c>
      <c r="I2707" t="s">
        <v>156</v>
      </c>
      <c r="J2707" t="s">
        <v>33</v>
      </c>
      <c r="K2707">
        <v>5</v>
      </c>
      <c r="L2707" t="s">
        <v>23</v>
      </c>
      <c r="M2707" t="s">
        <v>48</v>
      </c>
      <c r="N2707" t="s">
        <v>23</v>
      </c>
      <c r="O2707">
        <v>1</v>
      </c>
      <c r="P2707" t="s">
        <v>53</v>
      </c>
      <c r="Q2707" t="s">
        <v>68</v>
      </c>
      <c r="R2707" s="1">
        <v>0.1</v>
      </c>
      <c r="S2707">
        <f t="shared" si="168"/>
        <v>72.900000000000006</v>
      </c>
      <c r="T2707">
        <f>IFERROR(VLOOKUP(A2707,Table1[[Customer ID]:[Discount Amount]], 6, FALSE),"Not Found")</f>
        <v>81</v>
      </c>
      <c r="U2707" t="str">
        <f t="shared" si="169"/>
        <v>Credit Card</v>
      </c>
      <c r="V2707" s="4" t="str">
        <f t="shared" si="170"/>
        <v>Normal</v>
      </c>
      <c r="W2707" s="4" t="str">
        <f t="shared" si="171"/>
        <v>Good</v>
      </c>
      <c r="X2707" s="4">
        <f>AVERAGE(Table1[Purchase Amount])</f>
        <v>129.48419400000012</v>
      </c>
    </row>
    <row r="2708" spans="1:24" ht="15" customHeight="1" x14ac:dyDescent="0.25">
      <c r="A2708">
        <v>2707</v>
      </c>
      <c r="B2708">
        <v>24</v>
      </c>
      <c r="C2708" t="s">
        <v>16</v>
      </c>
      <c r="D2708" t="s">
        <v>72</v>
      </c>
      <c r="E2708" t="s">
        <v>98</v>
      </c>
      <c r="F2708" s="2">
        <v>40</v>
      </c>
      <c r="G2708" t="s">
        <v>51</v>
      </c>
      <c r="H2708" t="s">
        <v>55</v>
      </c>
      <c r="I2708" t="s">
        <v>74</v>
      </c>
      <c r="J2708" t="s">
        <v>33</v>
      </c>
      <c r="K2708">
        <v>3.1</v>
      </c>
      <c r="L2708" t="s">
        <v>23</v>
      </c>
      <c r="M2708" t="s">
        <v>61</v>
      </c>
      <c r="N2708" t="s">
        <v>23</v>
      </c>
      <c r="O2708">
        <v>48</v>
      </c>
      <c r="P2708" t="s">
        <v>36</v>
      </c>
      <c r="Q2708" t="s">
        <v>37</v>
      </c>
      <c r="R2708" s="1">
        <v>0.1</v>
      </c>
      <c r="S2708">
        <f t="shared" si="168"/>
        <v>36</v>
      </c>
      <c r="T2708">
        <f>IFERROR(VLOOKUP(A2708,Table1[[Customer ID]:[Discount Amount]], 6, FALSE),"Not Found")</f>
        <v>40</v>
      </c>
      <c r="U2708" t="str">
        <f t="shared" si="169"/>
        <v>Debit Card</v>
      </c>
      <c r="V2708" s="4" t="str">
        <f t="shared" si="170"/>
        <v>Normal</v>
      </c>
      <c r="W2708" s="4" t="str">
        <f t="shared" si="171"/>
        <v>Good</v>
      </c>
      <c r="X2708" s="4">
        <f>AVERAGE(Table1[Purchase Amount])</f>
        <v>129.48419400000012</v>
      </c>
    </row>
    <row r="2709" spans="1:24" ht="15" customHeight="1" x14ac:dyDescent="0.25">
      <c r="A2709">
        <v>2708</v>
      </c>
      <c r="B2709">
        <v>32</v>
      </c>
      <c r="C2709" t="s">
        <v>16</v>
      </c>
      <c r="D2709" t="s">
        <v>104</v>
      </c>
      <c r="E2709" t="s">
        <v>29</v>
      </c>
      <c r="F2709" s="2">
        <v>88</v>
      </c>
      <c r="G2709" t="s">
        <v>137</v>
      </c>
      <c r="H2709" t="s">
        <v>31</v>
      </c>
      <c r="I2709" t="s">
        <v>136</v>
      </c>
      <c r="J2709" t="s">
        <v>47</v>
      </c>
      <c r="K2709">
        <v>4.2</v>
      </c>
      <c r="L2709" t="s">
        <v>23</v>
      </c>
      <c r="M2709" t="s">
        <v>24</v>
      </c>
      <c r="N2709" t="s">
        <v>23</v>
      </c>
      <c r="O2709">
        <v>19</v>
      </c>
      <c r="P2709" t="s">
        <v>25</v>
      </c>
      <c r="Q2709" t="s">
        <v>26</v>
      </c>
      <c r="R2709" s="1">
        <v>0.1</v>
      </c>
      <c r="S2709">
        <f t="shared" si="168"/>
        <v>79.2</v>
      </c>
      <c r="T2709">
        <f>IFERROR(VLOOKUP(A2709,Table1[[Customer ID]:[Discount Amount]], 6, FALSE),"Not Found")</f>
        <v>88</v>
      </c>
      <c r="U2709" t="str">
        <f t="shared" si="169"/>
        <v>Cash</v>
      </c>
      <c r="V2709" s="4" t="str">
        <f t="shared" si="170"/>
        <v>Normal</v>
      </c>
      <c r="W2709" s="4" t="str">
        <f t="shared" si="171"/>
        <v>Good</v>
      </c>
      <c r="X2709" s="4">
        <f>AVERAGE(Table1[Purchase Amount])</f>
        <v>129.48419400000012</v>
      </c>
    </row>
    <row r="2710" spans="1:24" ht="15" customHeight="1" x14ac:dyDescent="0.25">
      <c r="A2710">
        <v>2709</v>
      </c>
      <c r="B2710">
        <v>57</v>
      </c>
      <c r="C2710" t="s">
        <v>16</v>
      </c>
      <c r="D2710" t="s">
        <v>157</v>
      </c>
      <c r="E2710" t="s">
        <v>18</v>
      </c>
      <c r="F2710" s="2">
        <v>94</v>
      </c>
      <c r="G2710" t="s">
        <v>51</v>
      </c>
      <c r="H2710" t="s">
        <v>31</v>
      </c>
      <c r="I2710" t="s">
        <v>147</v>
      </c>
      <c r="J2710" t="s">
        <v>57</v>
      </c>
      <c r="K2710">
        <v>3.3</v>
      </c>
      <c r="L2710" t="s">
        <v>23</v>
      </c>
      <c r="M2710" t="s">
        <v>48</v>
      </c>
      <c r="N2710" t="s">
        <v>23</v>
      </c>
      <c r="O2710">
        <v>44</v>
      </c>
      <c r="P2710" t="s">
        <v>36</v>
      </c>
      <c r="Q2710" t="s">
        <v>26</v>
      </c>
      <c r="R2710" s="1">
        <v>0.1</v>
      </c>
      <c r="S2710">
        <f t="shared" si="168"/>
        <v>84.6</v>
      </c>
      <c r="T2710">
        <f>IFERROR(VLOOKUP(A2710,Table1[[Customer ID]:[Discount Amount]], 6, FALSE),"Not Found")</f>
        <v>94</v>
      </c>
      <c r="U2710" t="str">
        <f t="shared" si="169"/>
        <v>Debit Card</v>
      </c>
      <c r="V2710" s="4" t="str">
        <f t="shared" si="170"/>
        <v>Normal</v>
      </c>
      <c r="W2710" s="4" t="str">
        <f t="shared" si="171"/>
        <v>Good</v>
      </c>
      <c r="X2710" s="4">
        <f>AVERAGE(Table1[Purchase Amount])</f>
        <v>129.48419400000012</v>
      </c>
    </row>
    <row r="2711" spans="1:24" ht="15" customHeight="1" x14ac:dyDescent="0.25">
      <c r="A2711">
        <v>2710</v>
      </c>
      <c r="B2711">
        <v>35</v>
      </c>
      <c r="C2711" t="s">
        <v>16</v>
      </c>
      <c r="D2711" t="s">
        <v>38</v>
      </c>
      <c r="E2711" t="s">
        <v>18</v>
      </c>
      <c r="F2711" s="2">
        <v>54</v>
      </c>
      <c r="G2711" t="s">
        <v>44</v>
      </c>
      <c r="H2711" t="s">
        <v>55</v>
      </c>
      <c r="I2711" t="s">
        <v>128</v>
      </c>
      <c r="J2711" t="s">
        <v>22</v>
      </c>
      <c r="K2711">
        <v>2.9</v>
      </c>
      <c r="L2711" t="s">
        <v>23</v>
      </c>
      <c r="M2711" t="s">
        <v>24</v>
      </c>
      <c r="N2711" t="s">
        <v>23</v>
      </c>
      <c r="O2711">
        <v>9</v>
      </c>
      <c r="P2711" t="s">
        <v>53</v>
      </c>
      <c r="Q2711" t="s">
        <v>68</v>
      </c>
      <c r="R2711" s="1">
        <v>0.1</v>
      </c>
      <c r="S2711">
        <f t="shared" si="168"/>
        <v>48.6</v>
      </c>
      <c r="T2711">
        <f>IFERROR(VLOOKUP(A2711,Table1[[Customer ID]:[Discount Amount]], 6, FALSE),"Not Found")</f>
        <v>54</v>
      </c>
      <c r="U2711" t="str">
        <f t="shared" si="169"/>
        <v>Credit Card</v>
      </c>
      <c r="V2711" s="4" t="str">
        <f t="shared" si="170"/>
        <v>Normal</v>
      </c>
      <c r="W2711" s="4" t="str">
        <f t="shared" si="171"/>
        <v>Poor</v>
      </c>
      <c r="X2711" s="4">
        <f>AVERAGE(Table1[Purchase Amount])</f>
        <v>129.48419400000012</v>
      </c>
    </row>
    <row r="2712" spans="1:24" ht="15" customHeight="1" x14ac:dyDescent="0.25">
      <c r="A2712">
        <v>2711</v>
      </c>
      <c r="B2712">
        <v>69</v>
      </c>
      <c r="C2712" t="s">
        <v>16</v>
      </c>
      <c r="D2712" t="s">
        <v>96</v>
      </c>
      <c r="E2712" t="s">
        <v>77</v>
      </c>
      <c r="F2712" s="2">
        <v>51</v>
      </c>
      <c r="G2712" t="s">
        <v>59</v>
      </c>
      <c r="H2712" t="s">
        <v>45</v>
      </c>
      <c r="I2712" t="s">
        <v>66</v>
      </c>
      <c r="J2712" t="s">
        <v>57</v>
      </c>
      <c r="K2712">
        <v>4.7</v>
      </c>
      <c r="L2712" t="s">
        <v>23</v>
      </c>
      <c r="M2712" t="s">
        <v>24</v>
      </c>
      <c r="N2712" t="s">
        <v>23</v>
      </c>
      <c r="O2712">
        <v>3</v>
      </c>
      <c r="P2712" t="s">
        <v>88</v>
      </c>
      <c r="Q2712" t="s">
        <v>89</v>
      </c>
      <c r="R2712" s="1">
        <v>0.1</v>
      </c>
      <c r="S2712">
        <f t="shared" si="168"/>
        <v>45.9</v>
      </c>
      <c r="T2712">
        <f>IFERROR(VLOOKUP(A2712,Table1[[Customer ID]:[Discount Amount]], 6, FALSE),"Not Found")</f>
        <v>51</v>
      </c>
      <c r="U2712" t="str">
        <f t="shared" si="169"/>
        <v>Bank Transfer</v>
      </c>
      <c r="V2712" s="4" t="str">
        <f t="shared" si="170"/>
        <v>Normal</v>
      </c>
      <c r="W2712" s="4" t="str">
        <f t="shared" si="171"/>
        <v>Good</v>
      </c>
      <c r="X2712" s="4">
        <f>AVERAGE(Table1[Purchase Amount])</f>
        <v>129.48419400000012</v>
      </c>
    </row>
    <row r="2713" spans="1:24" ht="15" customHeight="1" x14ac:dyDescent="0.25">
      <c r="A2713">
        <v>2712</v>
      </c>
      <c r="B2713">
        <v>30</v>
      </c>
      <c r="C2713" t="s">
        <v>16</v>
      </c>
      <c r="D2713" t="s">
        <v>28</v>
      </c>
      <c r="E2713" t="s">
        <v>29</v>
      </c>
      <c r="F2713" s="2">
        <v>22</v>
      </c>
      <c r="G2713" t="s">
        <v>137</v>
      </c>
      <c r="H2713" t="s">
        <v>45</v>
      </c>
      <c r="I2713" t="s">
        <v>46</v>
      </c>
      <c r="J2713" t="s">
        <v>33</v>
      </c>
      <c r="K2713">
        <v>4</v>
      </c>
      <c r="L2713" t="s">
        <v>23</v>
      </c>
      <c r="M2713" t="s">
        <v>24</v>
      </c>
      <c r="N2713" t="s">
        <v>23</v>
      </c>
      <c r="O2713">
        <v>50</v>
      </c>
      <c r="P2713" t="s">
        <v>62</v>
      </c>
      <c r="Q2713" t="s">
        <v>42</v>
      </c>
      <c r="R2713" s="1">
        <v>0.1</v>
      </c>
      <c r="S2713">
        <f t="shared" si="168"/>
        <v>19.8</v>
      </c>
      <c r="T2713">
        <f>IFERROR(VLOOKUP(A2713,Table1[[Customer ID]:[Discount Amount]], 6, FALSE),"Not Found")</f>
        <v>22</v>
      </c>
      <c r="U2713" t="str">
        <f t="shared" si="169"/>
        <v>Venmo</v>
      </c>
      <c r="V2713" s="4" t="str">
        <f t="shared" si="170"/>
        <v>Normal</v>
      </c>
      <c r="W2713" s="4" t="str">
        <f t="shared" si="171"/>
        <v>Good</v>
      </c>
      <c r="X2713" s="4">
        <f>AVERAGE(Table1[Purchase Amount])</f>
        <v>129.48419400000012</v>
      </c>
    </row>
    <row r="2714" spans="1:24" ht="15" customHeight="1" x14ac:dyDescent="0.25">
      <c r="A2714">
        <v>2713</v>
      </c>
      <c r="B2714">
        <v>37</v>
      </c>
      <c r="C2714" t="s">
        <v>16</v>
      </c>
      <c r="D2714" t="s">
        <v>96</v>
      </c>
      <c r="E2714" t="s">
        <v>77</v>
      </c>
      <c r="F2714" s="2">
        <v>95</v>
      </c>
      <c r="G2714" t="s">
        <v>86</v>
      </c>
      <c r="H2714" t="s">
        <v>45</v>
      </c>
      <c r="I2714" t="s">
        <v>60</v>
      </c>
      <c r="J2714" t="s">
        <v>47</v>
      </c>
      <c r="K2714">
        <v>4.5999999999999996</v>
      </c>
      <c r="L2714" t="s">
        <v>23</v>
      </c>
      <c r="M2714" t="s">
        <v>24</v>
      </c>
      <c r="N2714" t="s">
        <v>23</v>
      </c>
      <c r="O2714">
        <v>7</v>
      </c>
      <c r="P2714" t="s">
        <v>36</v>
      </c>
      <c r="Q2714" t="s">
        <v>37</v>
      </c>
      <c r="R2714" s="1">
        <v>0.1</v>
      </c>
      <c r="S2714">
        <f t="shared" si="168"/>
        <v>85.5</v>
      </c>
      <c r="T2714">
        <f>IFERROR(VLOOKUP(A2714,Table1[[Customer ID]:[Discount Amount]], 6, FALSE),"Not Found")</f>
        <v>95</v>
      </c>
      <c r="U2714" t="str">
        <f t="shared" si="169"/>
        <v>Debit Card</v>
      </c>
      <c r="V2714" s="4" t="str">
        <f t="shared" si="170"/>
        <v>Normal</v>
      </c>
      <c r="W2714" s="4" t="str">
        <f t="shared" si="171"/>
        <v>Good</v>
      </c>
      <c r="X2714" s="4">
        <f>AVERAGE(Table1[Purchase Amount])</f>
        <v>129.48419400000012</v>
      </c>
    </row>
    <row r="2715" spans="1:24" ht="15" customHeight="1" x14ac:dyDescent="0.25">
      <c r="A2715">
        <v>2714</v>
      </c>
      <c r="B2715">
        <v>19</v>
      </c>
      <c r="C2715" t="s">
        <v>16</v>
      </c>
      <c r="D2715" t="s">
        <v>76</v>
      </c>
      <c r="E2715" t="s">
        <v>77</v>
      </c>
      <c r="F2715" s="2">
        <v>57</v>
      </c>
      <c r="G2715" t="s">
        <v>149</v>
      </c>
      <c r="H2715" t="s">
        <v>31</v>
      </c>
      <c r="I2715" t="s">
        <v>87</v>
      </c>
      <c r="J2715" t="s">
        <v>47</v>
      </c>
      <c r="K2715">
        <v>3.8</v>
      </c>
      <c r="L2715" t="s">
        <v>23</v>
      </c>
      <c r="M2715" t="s">
        <v>41</v>
      </c>
      <c r="N2715" t="s">
        <v>23</v>
      </c>
      <c r="O2715">
        <v>20</v>
      </c>
      <c r="P2715" t="s">
        <v>36</v>
      </c>
      <c r="Q2715" t="s">
        <v>49</v>
      </c>
      <c r="R2715" s="1">
        <v>0.1</v>
      </c>
      <c r="S2715">
        <f t="shared" si="168"/>
        <v>51.3</v>
      </c>
      <c r="T2715">
        <f>IFERROR(VLOOKUP(A2715,Table1[[Customer ID]:[Discount Amount]], 6, FALSE),"Not Found")</f>
        <v>57</v>
      </c>
      <c r="U2715" t="str">
        <f t="shared" si="169"/>
        <v>Debit Card</v>
      </c>
      <c r="V2715" s="4" t="str">
        <f t="shared" si="170"/>
        <v>Normal</v>
      </c>
      <c r="W2715" s="4" t="str">
        <f t="shared" si="171"/>
        <v>Good</v>
      </c>
      <c r="X2715" s="4">
        <f>AVERAGE(Table1[Purchase Amount])</f>
        <v>129.48419400000012</v>
      </c>
    </row>
    <row r="2716" spans="1:24" ht="15" customHeight="1" x14ac:dyDescent="0.25">
      <c r="A2716">
        <v>2715</v>
      </c>
      <c r="B2716">
        <v>53</v>
      </c>
      <c r="C2716" t="s">
        <v>16</v>
      </c>
      <c r="D2716" t="s">
        <v>127</v>
      </c>
      <c r="E2716" t="s">
        <v>18</v>
      </c>
      <c r="F2716" s="2">
        <v>45</v>
      </c>
      <c r="G2716" t="s">
        <v>141</v>
      </c>
      <c r="H2716" t="s">
        <v>55</v>
      </c>
      <c r="I2716" t="s">
        <v>21</v>
      </c>
      <c r="J2716" t="s">
        <v>22</v>
      </c>
      <c r="K2716">
        <v>3.6</v>
      </c>
      <c r="L2716" t="s">
        <v>23</v>
      </c>
      <c r="M2716" t="s">
        <v>48</v>
      </c>
      <c r="N2716" t="s">
        <v>23</v>
      </c>
      <c r="O2716">
        <v>16</v>
      </c>
      <c r="P2716" t="s">
        <v>53</v>
      </c>
      <c r="Q2716" t="s">
        <v>68</v>
      </c>
      <c r="R2716" s="1">
        <v>0.1</v>
      </c>
      <c r="S2716">
        <f t="shared" si="168"/>
        <v>40.5</v>
      </c>
      <c r="T2716">
        <f>IFERROR(VLOOKUP(A2716,Table1[[Customer ID]:[Discount Amount]], 6, FALSE),"Not Found")</f>
        <v>45</v>
      </c>
      <c r="U2716" t="str">
        <f t="shared" si="169"/>
        <v>Credit Card</v>
      </c>
      <c r="V2716" s="4" t="str">
        <f t="shared" si="170"/>
        <v>Normal</v>
      </c>
      <c r="W2716" s="4" t="str">
        <f t="shared" si="171"/>
        <v>Good</v>
      </c>
      <c r="X2716" s="4">
        <f>AVERAGE(Table1[Purchase Amount])</f>
        <v>129.48419400000012</v>
      </c>
    </row>
    <row r="2717" spans="1:24" ht="15" customHeight="1" x14ac:dyDescent="0.25">
      <c r="A2717">
        <v>2716</v>
      </c>
      <c r="B2717">
        <v>25</v>
      </c>
      <c r="C2717" t="s">
        <v>16</v>
      </c>
      <c r="D2717" t="s">
        <v>140</v>
      </c>
      <c r="E2717" t="s">
        <v>98</v>
      </c>
      <c r="F2717" s="2">
        <v>92</v>
      </c>
      <c r="G2717" t="s">
        <v>149</v>
      </c>
      <c r="H2717" t="s">
        <v>20</v>
      </c>
      <c r="I2717" t="s">
        <v>136</v>
      </c>
      <c r="J2717" t="s">
        <v>22</v>
      </c>
      <c r="K2717">
        <v>4.0999999999999996</v>
      </c>
      <c r="L2717" t="s">
        <v>23</v>
      </c>
      <c r="M2717" t="s">
        <v>61</v>
      </c>
      <c r="N2717" t="s">
        <v>23</v>
      </c>
      <c r="O2717">
        <v>29</v>
      </c>
      <c r="P2717" t="s">
        <v>58</v>
      </c>
      <c r="Q2717" t="s">
        <v>89</v>
      </c>
      <c r="R2717" s="1">
        <v>0.1</v>
      </c>
      <c r="S2717">
        <f t="shared" si="168"/>
        <v>82.8</v>
      </c>
      <c r="T2717">
        <f>IFERROR(VLOOKUP(A2717,Table1[[Customer ID]:[Discount Amount]], 6, FALSE),"Not Found")</f>
        <v>92</v>
      </c>
      <c r="U2717" t="str">
        <f t="shared" si="169"/>
        <v>PayPal</v>
      </c>
      <c r="V2717" s="4" t="str">
        <f t="shared" si="170"/>
        <v>Normal</v>
      </c>
      <c r="W2717" s="4" t="str">
        <f t="shared" si="171"/>
        <v>Good</v>
      </c>
      <c r="X2717" s="4">
        <f>AVERAGE(Table1[Purchase Amount])</f>
        <v>129.48419400000012</v>
      </c>
    </row>
    <row r="2718" spans="1:24" ht="15" customHeight="1" x14ac:dyDescent="0.25">
      <c r="A2718">
        <v>2717</v>
      </c>
      <c r="B2718">
        <v>47</v>
      </c>
      <c r="C2718" t="s">
        <v>16</v>
      </c>
      <c r="D2718" t="s">
        <v>72</v>
      </c>
      <c r="E2718" t="s">
        <v>98</v>
      </c>
      <c r="F2718" s="2">
        <v>40</v>
      </c>
      <c r="G2718" t="s">
        <v>92</v>
      </c>
      <c r="H2718" t="s">
        <v>45</v>
      </c>
      <c r="I2718" t="s">
        <v>40</v>
      </c>
      <c r="J2718" t="s">
        <v>33</v>
      </c>
      <c r="K2718">
        <v>2.7</v>
      </c>
      <c r="L2718" t="s">
        <v>23</v>
      </c>
      <c r="M2718" t="s">
        <v>48</v>
      </c>
      <c r="N2718" t="s">
        <v>23</v>
      </c>
      <c r="O2718">
        <v>21</v>
      </c>
      <c r="P2718" t="s">
        <v>36</v>
      </c>
      <c r="Q2718" t="s">
        <v>26</v>
      </c>
      <c r="R2718" s="1">
        <v>0.1</v>
      </c>
      <c r="S2718">
        <f t="shared" si="168"/>
        <v>36</v>
      </c>
      <c r="T2718">
        <f>IFERROR(VLOOKUP(A2718,Table1[[Customer ID]:[Discount Amount]], 6, FALSE),"Not Found")</f>
        <v>40</v>
      </c>
      <c r="U2718" t="str">
        <f t="shared" si="169"/>
        <v>Debit Card</v>
      </c>
      <c r="V2718" s="4" t="str">
        <f t="shared" si="170"/>
        <v>Normal</v>
      </c>
      <c r="W2718" s="4" t="str">
        <f t="shared" si="171"/>
        <v>Poor</v>
      </c>
      <c r="X2718" s="4">
        <f>AVERAGE(Table1[Purchase Amount])</f>
        <v>129.48419400000012</v>
      </c>
    </row>
    <row r="2719" spans="1:24" ht="15" customHeight="1" x14ac:dyDescent="0.25">
      <c r="A2719">
        <v>2718</v>
      </c>
      <c r="B2719">
        <v>18</v>
      </c>
      <c r="C2719" t="s">
        <v>16</v>
      </c>
      <c r="D2719" t="s">
        <v>28</v>
      </c>
      <c r="E2719" t="s">
        <v>29</v>
      </c>
      <c r="F2719" s="2">
        <v>62</v>
      </c>
      <c r="G2719" t="s">
        <v>137</v>
      </c>
      <c r="H2719" t="s">
        <v>20</v>
      </c>
      <c r="I2719" t="s">
        <v>56</v>
      </c>
      <c r="J2719" t="s">
        <v>22</v>
      </c>
      <c r="K2719">
        <v>4.3</v>
      </c>
      <c r="L2719" t="s">
        <v>23</v>
      </c>
      <c r="M2719" t="s">
        <v>35</v>
      </c>
      <c r="N2719" t="s">
        <v>23</v>
      </c>
      <c r="O2719">
        <v>19</v>
      </c>
      <c r="P2719" t="s">
        <v>53</v>
      </c>
      <c r="Q2719" t="s">
        <v>63</v>
      </c>
      <c r="R2719" s="1">
        <v>0.1</v>
      </c>
      <c r="S2719">
        <f t="shared" si="168"/>
        <v>55.8</v>
      </c>
      <c r="T2719">
        <f>IFERROR(VLOOKUP(A2719,Table1[[Customer ID]:[Discount Amount]], 6, FALSE),"Not Found")</f>
        <v>62</v>
      </c>
      <c r="U2719" t="str">
        <f t="shared" si="169"/>
        <v>Credit Card</v>
      </c>
      <c r="V2719" s="4" t="str">
        <f t="shared" si="170"/>
        <v>Normal</v>
      </c>
      <c r="W2719" s="4" t="str">
        <f t="shared" si="171"/>
        <v>Good</v>
      </c>
      <c r="X2719" s="4">
        <f>AVERAGE(Table1[Purchase Amount])</f>
        <v>129.48419400000012</v>
      </c>
    </row>
    <row r="2720" spans="1:24" ht="15" customHeight="1" x14ac:dyDescent="0.25">
      <c r="A2720">
        <v>2719</v>
      </c>
      <c r="B2720">
        <v>22</v>
      </c>
      <c r="C2720" t="s">
        <v>16</v>
      </c>
      <c r="D2720" t="s">
        <v>54</v>
      </c>
      <c r="E2720" t="s">
        <v>18</v>
      </c>
      <c r="F2720" s="2">
        <v>90</v>
      </c>
      <c r="G2720" t="s">
        <v>138</v>
      </c>
      <c r="H2720" t="s">
        <v>31</v>
      </c>
      <c r="I2720" t="s">
        <v>145</v>
      </c>
      <c r="J2720" t="s">
        <v>22</v>
      </c>
      <c r="K2720">
        <v>4.9000000000000004</v>
      </c>
      <c r="L2720" t="s">
        <v>23</v>
      </c>
      <c r="M2720" t="s">
        <v>79</v>
      </c>
      <c r="N2720" t="s">
        <v>23</v>
      </c>
      <c r="O2720">
        <v>10</v>
      </c>
      <c r="P2720" t="s">
        <v>62</v>
      </c>
      <c r="Q2720" t="s">
        <v>68</v>
      </c>
      <c r="R2720" s="1">
        <v>0.1</v>
      </c>
      <c r="S2720">
        <f t="shared" si="168"/>
        <v>81</v>
      </c>
      <c r="T2720">
        <f>IFERROR(VLOOKUP(A2720,Table1[[Customer ID]:[Discount Amount]], 6, FALSE),"Not Found")</f>
        <v>90</v>
      </c>
      <c r="U2720" t="str">
        <f t="shared" si="169"/>
        <v>Venmo</v>
      </c>
      <c r="V2720" s="4" t="str">
        <f t="shared" si="170"/>
        <v>Normal</v>
      </c>
      <c r="W2720" s="4" t="str">
        <f t="shared" si="171"/>
        <v>Good</v>
      </c>
      <c r="X2720" s="4">
        <f>AVERAGE(Table1[Purchase Amount])</f>
        <v>129.48419400000012</v>
      </c>
    </row>
    <row r="2721" spans="1:24" ht="15" customHeight="1" x14ac:dyDescent="0.25">
      <c r="A2721">
        <v>2720</v>
      </c>
      <c r="B2721">
        <v>69</v>
      </c>
      <c r="C2721" t="s">
        <v>16</v>
      </c>
      <c r="D2721" t="s">
        <v>83</v>
      </c>
      <c r="E2721" t="s">
        <v>18</v>
      </c>
      <c r="F2721" s="2">
        <v>82</v>
      </c>
      <c r="G2721" t="s">
        <v>119</v>
      </c>
      <c r="H2721" t="s">
        <v>55</v>
      </c>
      <c r="I2721" t="s">
        <v>145</v>
      </c>
      <c r="J2721" t="s">
        <v>47</v>
      </c>
      <c r="K2721">
        <v>4.2</v>
      </c>
      <c r="L2721" t="s">
        <v>23</v>
      </c>
      <c r="M2721" t="s">
        <v>35</v>
      </c>
      <c r="N2721" t="s">
        <v>23</v>
      </c>
      <c r="O2721">
        <v>4</v>
      </c>
      <c r="P2721" t="s">
        <v>88</v>
      </c>
      <c r="Q2721" t="s">
        <v>42</v>
      </c>
      <c r="R2721" s="1">
        <v>0.1</v>
      </c>
      <c r="S2721">
        <f t="shared" si="168"/>
        <v>73.8</v>
      </c>
      <c r="T2721">
        <f>IFERROR(VLOOKUP(A2721,Table1[[Customer ID]:[Discount Amount]], 6, FALSE),"Not Found")</f>
        <v>82</v>
      </c>
      <c r="U2721" t="str">
        <f t="shared" si="169"/>
        <v>Bank Transfer</v>
      </c>
      <c r="V2721" s="4" t="str">
        <f t="shared" si="170"/>
        <v>Normal</v>
      </c>
      <c r="W2721" s="4" t="str">
        <f t="shared" si="171"/>
        <v>Good</v>
      </c>
      <c r="X2721" s="4">
        <f>AVERAGE(Table1[Purchase Amount])</f>
        <v>129.48419400000012</v>
      </c>
    </row>
    <row r="2722" spans="1:24" ht="15" customHeight="1" x14ac:dyDescent="0.25">
      <c r="A2722">
        <v>2721</v>
      </c>
      <c r="B2722">
        <v>55</v>
      </c>
      <c r="C2722" t="s">
        <v>16</v>
      </c>
      <c r="D2722" t="s">
        <v>129</v>
      </c>
      <c r="E2722" t="s">
        <v>29</v>
      </c>
      <c r="F2722" s="2">
        <v>52</v>
      </c>
      <c r="G2722" t="s">
        <v>106</v>
      </c>
      <c r="H2722" t="s">
        <v>31</v>
      </c>
      <c r="I2722" t="s">
        <v>145</v>
      </c>
      <c r="J2722" t="s">
        <v>33</v>
      </c>
      <c r="K2722">
        <v>2.8</v>
      </c>
      <c r="L2722" t="s">
        <v>23</v>
      </c>
      <c r="M2722" t="s">
        <v>48</v>
      </c>
      <c r="N2722" t="s">
        <v>23</v>
      </c>
      <c r="O2722">
        <v>45</v>
      </c>
      <c r="P2722" t="s">
        <v>88</v>
      </c>
      <c r="Q2722" t="s">
        <v>37</v>
      </c>
      <c r="R2722" s="1">
        <v>0.1</v>
      </c>
      <c r="S2722">
        <f t="shared" si="168"/>
        <v>46.8</v>
      </c>
      <c r="T2722">
        <f>IFERROR(VLOOKUP(A2722,Table1[[Customer ID]:[Discount Amount]], 6, FALSE),"Not Found")</f>
        <v>52</v>
      </c>
      <c r="U2722" t="str">
        <f t="shared" si="169"/>
        <v>Bank Transfer</v>
      </c>
      <c r="V2722" s="4" t="str">
        <f t="shared" si="170"/>
        <v>Normal</v>
      </c>
      <c r="W2722" s="4" t="str">
        <f t="shared" si="171"/>
        <v>Poor</v>
      </c>
      <c r="X2722" s="4">
        <f>AVERAGE(Table1[Purchase Amount])</f>
        <v>129.48419400000012</v>
      </c>
    </row>
    <row r="2723" spans="1:24" ht="15" customHeight="1" x14ac:dyDescent="0.25">
      <c r="A2723">
        <v>2722</v>
      </c>
      <c r="B2723">
        <v>19</v>
      </c>
      <c r="C2723" t="s">
        <v>16</v>
      </c>
      <c r="D2723" t="s">
        <v>121</v>
      </c>
      <c r="E2723" t="s">
        <v>98</v>
      </c>
      <c r="F2723" s="2">
        <v>70</v>
      </c>
      <c r="G2723" t="s">
        <v>120</v>
      </c>
      <c r="H2723" t="s">
        <v>55</v>
      </c>
      <c r="I2723" t="s">
        <v>147</v>
      </c>
      <c r="J2723" t="s">
        <v>33</v>
      </c>
      <c r="K2723">
        <v>4.9000000000000004</v>
      </c>
      <c r="L2723" t="s">
        <v>23</v>
      </c>
      <c r="M2723" t="s">
        <v>35</v>
      </c>
      <c r="N2723" t="s">
        <v>23</v>
      </c>
      <c r="O2723">
        <v>17</v>
      </c>
      <c r="P2723" t="s">
        <v>58</v>
      </c>
      <c r="Q2723" t="s">
        <v>89</v>
      </c>
      <c r="R2723" s="1">
        <v>0.1</v>
      </c>
      <c r="S2723">
        <f t="shared" si="168"/>
        <v>63</v>
      </c>
      <c r="T2723">
        <f>IFERROR(VLOOKUP(A2723,Table1[[Customer ID]:[Discount Amount]], 6, FALSE),"Not Found")</f>
        <v>70</v>
      </c>
      <c r="U2723" t="str">
        <f t="shared" si="169"/>
        <v>PayPal</v>
      </c>
      <c r="V2723" s="4" t="str">
        <f t="shared" si="170"/>
        <v>Normal</v>
      </c>
      <c r="W2723" s="4" t="str">
        <f t="shared" si="171"/>
        <v>Good</v>
      </c>
      <c r="X2723" s="4">
        <f>AVERAGE(Table1[Purchase Amount])</f>
        <v>129.48419400000012</v>
      </c>
    </row>
    <row r="2724" spans="1:24" ht="15" customHeight="1" x14ac:dyDescent="0.25">
      <c r="A2724">
        <v>2723</v>
      </c>
      <c r="B2724">
        <v>23</v>
      </c>
      <c r="C2724" t="s">
        <v>16</v>
      </c>
      <c r="D2724" t="s">
        <v>64</v>
      </c>
      <c r="E2724" t="s">
        <v>29</v>
      </c>
      <c r="F2724" s="2">
        <v>83</v>
      </c>
      <c r="G2724" t="s">
        <v>94</v>
      </c>
      <c r="H2724" t="s">
        <v>31</v>
      </c>
      <c r="I2724" t="s">
        <v>93</v>
      </c>
      <c r="J2724" t="s">
        <v>33</v>
      </c>
      <c r="K2724">
        <v>2.8</v>
      </c>
      <c r="L2724" t="s">
        <v>23</v>
      </c>
      <c r="M2724" t="s">
        <v>41</v>
      </c>
      <c r="N2724" t="s">
        <v>23</v>
      </c>
      <c r="O2724">
        <v>22</v>
      </c>
      <c r="P2724" t="s">
        <v>58</v>
      </c>
      <c r="Q2724" t="s">
        <v>89</v>
      </c>
      <c r="R2724" s="1">
        <v>0.1</v>
      </c>
      <c r="S2724">
        <f t="shared" si="168"/>
        <v>74.7</v>
      </c>
      <c r="T2724">
        <f>IFERROR(VLOOKUP(A2724,Table1[[Customer ID]:[Discount Amount]], 6, FALSE),"Not Found")</f>
        <v>83</v>
      </c>
      <c r="U2724" t="str">
        <f t="shared" si="169"/>
        <v>PayPal</v>
      </c>
      <c r="V2724" s="4" t="str">
        <f t="shared" si="170"/>
        <v>Normal</v>
      </c>
      <c r="W2724" s="4" t="str">
        <f t="shared" si="171"/>
        <v>Poor</v>
      </c>
      <c r="X2724" s="4">
        <f>AVERAGE(Table1[Purchase Amount])</f>
        <v>129.48419400000012</v>
      </c>
    </row>
    <row r="2725" spans="1:24" ht="15" customHeight="1" x14ac:dyDescent="0.25">
      <c r="A2725">
        <v>2724</v>
      </c>
      <c r="B2725">
        <v>54</v>
      </c>
      <c r="C2725" t="s">
        <v>16</v>
      </c>
      <c r="D2725" t="s">
        <v>72</v>
      </c>
      <c r="E2725" t="s">
        <v>98</v>
      </c>
      <c r="F2725" s="2">
        <v>49</v>
      </c>
      <c r="G2725" t="s">
        <v>152</v>
      </c>
      <c r="H2725" t="s">
        <v>20</v>
      </c>
      <c r="I2725" t="s">
        <v>60</v>
      </c>
      <c r="J2725" t="s">
        <v>57</v>
      </c>
      <c r="K2725">
        <v>2.9</v>
      </c>
      <c r="L2725" t="s">
        <v>23</v>
      </c>
      <c r="M2725" t="s">
        <v>48</v>
      </c>
      <c r="N2725" t="s">
        <v>23</v>
      </c>
      <c r="O2725">
        <v>3</v>
      </c>
      <c r="P2725" t="s">
        <v>58</v>
      </c>
      <c r="Q2725" t="s">
        <v>63</v>
      </c>
      <c r="R2725" s="1">
        <v>0.1</v>
      </c>
      <c r="S2725">
        <f t="shared" si="168"/>
        <v>44.1</v>
      </c>
      <c r="T2725">
        <f>IFERROR(VLOOKUP(A2725,Table1[[Customer ID]:[Discount Amount]], 6, FALSE),"Not Found")</f>
        <v>49</v>
      </c>
      <c r="U2725" t="str">
        <f t="shared" si="169"/>
        <v>PayPal</v>
      </c>
      <c r="V2725" s="4" t="str">
        <f t="shared" si="170"/>
        <v>Normal</v>
      </c>
      <c r="W2725" s="4" t="str">
        <f t="shared" si="171"/>
        <v>Poor</v>
      </c>
      <c r="X2725" s="4">
        <f>AVERAGE(Table1[Purchase Amount])</f>
        <v>129.48419400000012</v>
      </c>
    </row>
    <row r="2726" spans="1:24" ht="15" customHeight="1" x14ac:dyDescent="0.25">
      <c r="A2726">
        <v>2725</v>
      </c>
      <c r="B2726">
        <v>52</v>
      </c>
      <c r="C2726" t="s">
        <v>16</v>
      </c>
      <c r="D2726" t="s">
        <v>140</v>
      </c>
      <c r="E2726" t="s">
        <v>98</v>
      </c>
      <c r="F2726" s="2">
        <v>91</v>
      </c>
      <c r="G2726" t="s">
        <v>146</v>
      </c>
      <c r="H2726" t="s">
        <v>31</v>
      </c>
      <c r="I2726" t="s">
        <v>60</v>
      </c>
      <c r="J2726" t="s">
        <v>33</v>
      </c>
      <c r="K2726">
        <v>2.5</v>
      </c>
      <c r="L2726" t="s">
        <v>23</v>
      </c>
      <c r="M2726" t="s">
        <v>79</v>
      </c>
      <c r="N2726" t="s">
        <v>23</v>
      </c>
      <c r="O2726">
        <v>11</v>
      </c>
      <c r="P2726" t="s">
        <v>36</v>
      </c>
      <c r="Q2726" t="s">
        <v>89</v>
      </c>
      <c r="R2726" s="1">
        <v>0.1</v>
      </c>
      <c r="S2726">
        <f t="shared" si="168"/>
        <v>81.900000000000006</v>
      </c>
      <c r="T2726">
        <f>IFERROR(VLOOKUP(A2726,Table1[[Customer ID]:[Discount Amount]], 6, FALSE),"Not Found")</f>
        <v>91</v>
      </c>
      <c r="U2726" t="str">
        <f t="shared" si="169"/>
        <v>Debit Card</v>
      </c>
      <c r="V2726" s="4" t="str">
        <f t="shared" si="170"/>
        <v>Normal</v>
      </c>
      <c r="W2726" s="4" t="str">
        <f t="shared" si="171"/>
        <v>Poor</v>
      </c>
      <c r="X2726" s="4">
        <f>AVERAGE(Table1[Purchase Amount])</f>
        <v>129.48419400000012</v>
      </c>
    </row>
    <row r="2727" spans="1:24" ht="15" customHeight="1" x14ac:dyDescent="0.25">
      <c r="A2727">
        <v>2726</v>
      </c>
      <c r="B2727">
        <v>64</v>
      </c>
      <c r="C2727" t="s">
        <v>16</v>
      </c>
      <c r="D2727" t="s">
        <v>104</v>
      </c>
      <c r="E2727" t="s">
        <v>29</v>
      </c>
      <c r="F2727" s="2">
        <v>99</v>
      </c>
      <c r="G2727" t="s">
        <v>149</v>
      </c>
      <c r="H2727" t="s">
        <v>55</v>
      </c>
      <c r="I2727" t="s">
        <v>111</v>
      </c>
      <c r="J2727" t="s">
        <v>57</v>
      </c>
      <c r="K2727">
        <v>2.7</v>
      </c>
      <c r="L2727" t="s">
        <v>23</v>
      </c>
      <c r="M2727" t="s">
        <v>35</v>
      </c>
      <c r="N2727" t="s">
        <v>23</v>
      </c>
      <c r="O2727">
        <v>4</v>
      </c>
      <c r="P2727" t="s">
        <v>36</v>
      </c>
      <c r="Q2727" t="s">
        <v>49</v>
      </c>
      <c r="R2727" s="1">
        <v>0.1</v>
      </c>
      <c r="S2727">
        <f t="shared" si="168"/>
        <v>89.1</v>
      </c>
      <c r="T2727">
        <f>IFERROR(VLOOKUP(A2727,Table1[[Customer ID]:[Discount Amount]], 6, FALSE),"Not Found")</f>
        <v>99</v>
      </c>
      <c r="U2727" t="str">
        <f t="shared" si="169"/>
        <v>Debit Card</v>
      </c>
      <c r="V2727" s="4" t="str">
        <f t="shared" si="170"/>
        <v>Normal</v>
      </c>
      <c r="W2727" s="4" t="str">
        <f t="shared" si="171"/>
        <v>Poor</v>
      </c>
      <c r="X2727" s="4">
        <f>AVERAGE(Table1[Purchase Amount])</f>
        <v>129.48419400000012</v>
      </c>
    </row>
    <row r="2728" spans="1:24" ht="15" customHeight="1" x14ac:dyDescent="0.25">
      <c r="A2728">
        <v>2727</v>
      </c>
      <c r="B2728">
        <v>33</v>
      </c>
      <c r="C2728" t="s">
        <v>16</v>
      </c>
      <c r="D2728" t="s">
        <v>114</v>
      </c>
      <c r="E2728" t="s">
        <v>29</v>
      </c>
      <c r="F2728" s="2">
        <v>92</v>
      </c>
      <c r="G2728" t="s">
        <v>113</v>
      </c>
      <c r="H2728" t="s">
        <v>45</v>
      </c>
      <c r="I2728" t="s">
        <v>74</v>
      </c>
      <c r="J2728" t="s">
        <v>22</v>
      </c>
      <c r="K2728">
        <v>3.3</v>
      </c>
      <c r="L2728" t="s">
        <v>23</v>
      </c>
      <c r="M2728" t="s">
        <v>35</v>
      </c>
      <c r="N2728" t="s">
        <v>23</v>
      </c>
      <c r="O2728">
        <v>11</v>
      </c>
      <c r="P2728" t="s">
        <v>58</v>
      </c>
      <c r="Q2728" t="s">
        <v>68</v>
      </c>
      <c r="R2728" s="1">
        <v>0.1</v>
      </c>
      <c r="S2728">
        <f t="shared" si="168"/>
        <v>82.8</v>
      </c>
      <c r="T2728">
        <f>IFERROR(VLOOKUP(A2728,Table1[[Customer ID]:[Discount Amount]], 6, FALSE),"Not Found")</f>
        <v>92</v>
      </c>
      <c r="U2728" t="str">
        <f t="shared" si="169"/>
        <v>PayPal</v>
      </c>
      <c r="V2728" s="4" t="str">
        <f t="shared" si="170"/>
        <v>Normal</v>
      </c>
      <c r="W2728" s="4" t="str">
        <f t="shared" si="171"/>
        <v>Good</v>
      </c>
      <c r="X2728" s="4">
        <f>AVERAGE(Table1[Purchase Amount])</f>
        <v>129.48419400000012</v>
      </c>
    </row>
    <row r="2729" spans="1:24" ht="15" customHeight="1" x14ac:dyDescent="0.25">
      <c r="A2729">
        <v>2728</v>
      </c>
      <c r="B2729">
        <v>40</v>
      </c>
      <c r="C2729" t="s">
        <v>16</v>
      </c>
      <c r="D2729" t="s">
        <v>38</v>
      </c>
      <c r="E2729" t="s">
        <v>18</v>
      </c>
      <c r="F2729" s="2">
        <v>87</v>
      </c>
      <c r="G2729" t="s">
        <v>92</v>
      </c>
      <c r="H2729" t="s">
        <v>45</v>
      </c>
      <c r="I2729" t="s">
        <v>103</v>
      </c>
      <c r="J2729" t="s">
        <v>22</v>
      </c>
      <c r="K2729">
        <v>3.7</v>
      </c>
      <c r="L2729" t="s">
        <v>23</v>
      </c>
      <c r="M2729" t="s">
        <v>41</v>
      </c>
      <c r="N2729" t="s">
        <v>23</v>
      </c>
      <c r="O2729">
        <v>47</v>
      </c>
      <c r="P2729" t="s">
        <v>53</v>
      </c>
      <c r="Q2729" t="s">
        <v>89</v>
      </c>
      <c r="R2729" s="1">
        <v>0.1</v>
      </c>
      <c r="S2729">
        <f t="shared" si="168"/>
        <v>78.3</v>
      </c>
      <c r="T2729">
        <f>IFERROR(VLOOKUP(A2729,Table1[[Customer ID]:[Discount Amount]], 6, FALSE),"Not Found")</f>
        <v>87</v>
      </c>
      <c r="U2729" t="str">
        <f t="shared" si="169"/>
        <v>Credit Card</v>
      </c>
      <c r="V2729" s="4" t="str">
        <f t="shared" si="170"/>
        <v>Normal</v>
      </c>
      <c r="W2729" s="4" t="str">
        <f t="shared" si="171"/>
        <v>Good</v>
      </c>
      <c r="X2729" s="4">
        <f>AVERAGE(Table1[Purchase Amount])</f>
        <v>129.48419400000012</v>
      </c>
    </row>
    <row r="2730" spans="1:24" ht="15" customHeight="1" x14ac:dyDescent="0.25">
      <c r="A2730">
        <v>2729</v>
      </c>
      <c r="B2730">
        <v>26</v>
      </c>
      <c r="C2730" t="s">
        <v>16</v>
      </c>
      <c r="D2730" t="s">
        <v>122</v>
      </c>
      <c r="E2730" t="s">
        <v>18</v>
      </c>
      <c r="F2730" s="2">
        <v>28</v>
      </c>
      <c r="G2730" t="s">
        <v>67</v>
      </c>
      <c r="H2730" t="s">
        <v>31</v>
      </c>
      <c r="I2730" t="s">
        <v>136</v>
      </c>
      <c r="J2730" t="s">
        <v>22</v>
      </c>
      <c r="K2730">
        <v>4</v>
      </c>
      <c r="L2730" t="s">
        <v>23</v>
      </c>
      <c r="M2730" t="s">
        <v>61</v>
      </c>
      <c r="N2730" t="s">
        <v>23</v>
      </c>
      <c r="O2730">
        <v>17</v>
      </c>
      <c r="P2730" t="s">
        <v>36</v>
      </c>
      <c r="Q2730" t="s">
        <v>26</v>
      </c>
      <c r="R2730" s="1">
        <v>0.1</v>
      </c>
      <c r="S2730">
        <f t="shared" si="168"/>
        <v>25.2</v>
      </c>
      <c r="T2730">
        <f>IFERROR(VLOOKUP(A2730,Table1[[Customer ID]:[Discount Amount]], 6, FALSE),"Not Found")</f>
        <v>28</v>
      </c>
      <c r="U2730" t="str">
        <f t="shared" si="169"/>
        <v>Debit Card</v>
      </c>
      <c r="V2730" s="4" t="str">
        <f t="shared" si="170"/>
        <v>Normal</v>
      </c>
      <c r="W2730" s="4" t="str">
        <f t="shared" si="171"/>
        <v>Good</v>
      </c>
      <c r="X2730" s="4">
        <f>AVERAGE(Table1[Purchase Amount])</f>
        <v>129.48419400000012</v>
      </c>
    </row>
    <row r="2731" spans="1:24" ht="15" customHeight="1" x14ac:dyDescent="0.25">
      <c r="A2731">
        <v>2730</v>
      </c>
      <c r="B2731">
        <v>31</v>
      </c>
      <c r="C2731" t="s">
        <v>16</v>
      </c>
      <c r="D2731" t="s">
        <v>43</v>
      </c>
      <c r="E2731" t="s">
        <v>29</v>
      </c>
      <c r="F2731" s="2">
        <v>71</v>
      </c>
      <c r="G2731" t="s">
        <v>39</v>
      </c>
      <c r="H2731" t="s">
        <v>55</v>
      </c>
      <c r="I2731" t="s">
        <v>111</v>
      </c>
      <c r="J2731" t="s">
        <v>57</v>
      </c>
      <c r="K2731">
        <v>4.0999999999999996</v>
      </c>
      <c r="L2731" t="s">
        <v>23</v>
      </c>
      <c r="M2731" t="s">
        <v>35</v>
      </c>
      <c r="N2731" t="s">
        <v>23</v>
      </c>
      <c r="O2731">
        <v>32</v>
      </c>
      <c r="P2731" t="s">
        <v>53</v>
      </c>
      <c r="Q2731" t="s">
        <v>42</v>
      </c>
      <c r="R2731" s="1">
        <v>0.1</v>
      </c>
      <c r="S2731">
        <f t="shared" si="168"/>
        <v>63.9</v>
      </c>
      <c r="T2731">
        <f>IFERROR(VLOOKUP(A2731,Table1[[Customer ID]:[Discount Amount]], 6, FALSE),"Not Found")</f>
        <v>71</v>
      </c>
      <c r="U2731" t="str">
        <f t="shared" si="169"/>
        <v>Credit Card</v>
      </c>
      <c r="V2731" s="4" t="str">
        <f t="shared" si="170"/>
        <v>Normal</v>
      </c>
      <c r="W2731" s="4" t="str">
        <f t="shared" si="171"/>
        <v>Good</v>
      </c>
      <c r="X2731" s="4">
        <f>AVERAGE(Table1[Purchase Amount])</f>
        <v>129.48419400000012</v>
      </c>
    </row>
    <row r="2732" spans="1:24" ht="15" customHeight="1" x14ac:dyDescent="0.25">
      <c r="A2732">
        <v>2731</v>
      </c>
      <c r="B2732">
        <v>23</v>
      </c>
      <c r="C2732" t="s">
        <v>16</v>
      </c>
      <c r="D2732" t="s">
        <v>43</v>
      </c>
      <c r="E2732" t="s">
        <v>29</v>
      </c>
      <c r="F2732" s="2">
        <v>32</v>
      </c>
      <c r="G2732" t="s">
        <v>59</v>
      </c>
      <c r="H2732" t="s">
        <v>31</v>
      </c>
      <c r="I2732" t="s">
        <v>147</v>
      </c>
      <c r="J2732" t="s">
        <v>22</v>
      </c>
      <c r="K2732">
        <v>4.0999999999999996</v>
      </c>
      <c r="L2732" t="s">
        <v>23</v>
      </c>
      <c r="M2732" t="s">
        <v>48</v>
      </c>
      <c r="N2732" t="s">
        <v>23</v>
      </c>
      <c r="O2732">
        <v>37</v>
      </c>
      <c r="P2732" t="s">
        <v>88</v>
      </c>
      <c r="Q2732" t="s">
        <v>49</v>
      </c>
      <c r="R2732" s="1">
        <v>0.1</v>
      </c>
      <c r="S2732">
        <f t="shared" si="168"/>
        <v>28.8</v>
      </c>
      <c r="T2732">
        <f>IFERROR(VLOOKUP(A2732,Table1[[Customer ID]:[Discount Amount]], 6, FALSE),"Not Found")</f>
        <v>32</v>
      </c>
      <c r="U2732" t="str">
        <f t="shared" si="169"/>
        <v>Bank Transfer</v>
      </c>
      <c r="V2732" s="4" t="str">
        <f t="shared" si="170"/>
        <v>Normal</v>
      </c>
      <c r="W2732" s="4" t="str">
        <f t="shared" si="171"/>
        <v>Good</v>
      </c>
      <c r="X2732" s="4">
        <f>AVERAGE(Table1[Purchase Amount])</f>
        <v>129.48419400000012</v>
      </c>
    </row>
    <row r="2733" spans="1:24" ht="15" customHeight="1" x14ac:dyDescent="0.25">
      <c r="A2733">
        <v>2732</v>
      </c>
      <c r="B2733">
        <v>52</v>
      </c>
      <c r="C2733" t="s">
        <v>16</v>
      </c>
      <c r="D2733" t="s">
        <v>69</v>
      </c>
      <c r="E2733" t="s">
        <v>29</v>
      </c>
      <c r="F2733" s="2">
        <v>33</v>
      </c>
      <c r="G2733" t="s">
        <v>59</v>
      </c>
      <c r="H2733" t="s">
        <v>31</v>
      </c>
      <c r="I2733" t="s">
        <v>46</v>
      </c>
      <c r="J2733" t="s">
        <v>57</v>
      </c>
      <c r="K2733">
        <v>2.5</v>
      </c>
      <c r="L2733" t="s">
        <v>23</v>
      </c>
      <c r="M2733" t="s">
        <v>41</v>
      </c>
      <c r="N2733" t="s">
        <v>23</v>
      </c>
      <c r="O2733">
        <v>44</v>
      </c>
      <c r="P2733" t="s">
        <v>88</v>
      </c>
      <c r="Q2733" t="s">
        <v>37</v>
      </c>
      <c r="R2733" s="1">
        <v>0.1</v>
      </c>
      <c r="S2733">
        <f t="shared" si="168"/>
        <v>29.7</v>
      </c>
      <c r="T2733">
        <f>IFERROR(VLOOKUP(A2733,Table1[[Customer ID]:[Discount Amount]], 6, FALSE),"Not Found")</f>
        <v>33</v>
      </c>
      <c r="U2733" t="str">
        <f t="shared" si="169"/>
        <v>Bank Transfer</v>
      </c>
      <c r="V2733" s="4" t="str">
        <f t="shared" si="170"/>
        <v>Normal</v>
      </c>
      <c r="W2733" s="4" t="str">
        <f t="shared" si="171"/>
        <v>Poor</v>
      </c>
      <c r="X2733" s="4">
        <f>AVERAGE(Table1[Purchase Amount])</f>
        <v>129.48419400000012</v>
      </c>
    </row>
    <row r="2734" spans="1:24" ht="15" customHeight="1" x14ac:dyDescent="0.25">
      <c r="A2734">
        <v>2733</v>
      </c>
      <c r="B2734">
        <v>21</v>
      </c>
      <c r="C2734" t="s">
        <v>16</v>
      </c>
      <c r="D2734" t="s">
        <v>105</v>
      </c>
      <c r="E2734" t="s">
        <v>18</v>
      </c>
      <c r="F2734" s="2">
        <v>75</v>
      </c>
      <c r="G2734" t="s">
        <v>143</v>
      </c>
      <c r="H2734" t="s">
        <v>45</v>
      </c>
      <c r="I2734" t="s">
        <v>108</v>
      </c>
      <c r="J2734" t="s">
        <v>22</v>
      </c>
      <c r="K2734">
        <v>4.2</v>
      </c>
      <c r="L2734" t="s">
        <v>23</v>
      </c>
      <c r="M2734" t="s">
        <v>48</v>
      </c>
      <c r="N2734" t="s">
        <v>23</v>
      </c>
      <c r="O2734">
        <v>27</v>
      </c>
      <c r="P2734" t="s">
        <v>36</v>
      </c>
      <c r="Q2734" t="s">
        <v>63</v>
      </c>
      <c r="R2734" s="1">
        <v>0.1</v>
      </c>
      <c r="S2734">
        <f t="shared" si="168"/>
        <v>67.5</v>
      </c>
      <c r="T2734">
        <f>IFERROR(VLOOKUP(A2734,Table1[[Customer ID]:[Discount Amount]], 6, FALSE),"Not Found")</f>
        <v>75</v>
      </c>
      <c r="U2734" t="str">
        <f t="shared" si="169"/>
        <v>Debit Card</v>
      </c>
      <c r="V2734" s="4" t="str">
        <f t="shared" si="170"/>
        <v>Normal</v>
      </c>
      <c r="W2734" s="4" t="str">
        <f t="shared" si="171"/>
        <v>Good</v>
      </c>
      <c r="X2734" s="4">
        <f>AVERAGE(Table1[Purchase Amount])</f>
        <v>129.48419400000012</v>
      </c>
    </row>
    <row r="2735" spans="1:24" ht="15" customHeight="1" x14ac:dyDescent="0.25">
      <c r="A2735">
        <v>2734</v>
      </c>
      <c r="B2735">
        <v>31</v>
      </c>
      <c r="C2735" t="s">
        <v>16</v>
      </c>
      <c r="D2735" t="s">
        <v>104</v>
      </c>
      <c r="E2735" t="s">
        <v>29</v>
      </c>
      <c r="F2735" s="2">
        <v>83</v>
      </c>
      <c r="G2735" t="s">
        <v>134</v>
      </c>
      <c r="H2735" t="s">
        <v>31</v>
      </c>
      <c r="I2735" t="s">
        <v>87</v>
      </c>
      <c r="J2735" t="s">
        <v>57</v>
      </c>
      <c r="K2735">
        <v>4.7</v>
      </c>
      <c r="L2735" t="s">
        <v>23</v>
      </c>
      <c r="M2735" t="s">
        <v>61</v>
      </c>
      <c r="N2735" t="s">
        <v>23</v>
      </c>
      <c r="O2735">
        <v>46</v>
      </c>
      <c r="P2735" t="s">
        <v>58</v>
      </c>
      <c r="Q2735" t="s">
        <v>49</v>
      </c>
      <c r="R2735" s="1">
        <v>0.1</v>
      </c>
      <c r="S2735">
        <f t="shared" si="168"/>
        <v>74.7</v>
      </c>
      <c r="T2735">
        <f>IFERROR(VLOOKUP(A2735,Table1[[Customer ID]:[Discount Amount]], 6, FALSE),"Not Found")</f>
        <v>83</v>
      </c>
      <c r="U2735" t="str">
        <f t="shared" si="169"/>
        <v>PayPal</v>
      </c>
      <c r="V2735" s="4" t="str">
        <f t="shared" si="170"/>
        <v>Normal</v>
      </c>
      <c r="W2735" s="4" t="str">
        <f t="shared" si="171"/>
        <v>Good</v>
      </c>
      <c r="X2735" s="4">
        <f>AVERAGE(Table1[Purchase Amount])</f>
        <v>129.48419400000012</v>
      </c>
    </row>
    <row r="2736" spans="1:24" ht="15" customHeight="1" x14ac:dyDescent="0.25">
      <c r="A2736">
        <v>2735</v>
      </c>
      <c r="B2736">
        <v>63</v>
      </c>
      <c r="C2736" t="s">
        <v>16</v>
      </c>
      <c r="D2736" t="s">
        <v>109</v>
      </c>
      <c r="E2736" t="s">
        <v>18</v>
      </c>
      <c r="F2736" s="2">
        <v>93</v>
      </c>
      <c r="G2736" t="s">
        <v>101</v>
      </c>
      <c r="H2736" t="s">
        <v>20</v>
      </c>
      <c r="I2736" t="s">
        <v>52</v>
      </c>
      <c r="J2736" t="s">
        <v>57</v>
      </c>
      <c r="K2736">
        <v>2.7</v>
      </c>
      <c r="L2736" t="s">
        <v>23</v>
      </c>
      <c r="M2736" t="s">
        <v>41</v>
      </c>
      <c r="N2736" t="s">
        <v>23</v>
      </c>
      <c r="O2736">
        <v>13</v>
      </c>
      <c r="P2736" t="s">
        <v>25</v>
      </c>
      <c r="Q2736" t="s">
        <v>68</v>
      </c>
      <c r="R2736" s="1">
        <v>0.1</v>
      </c>
      <c r="S2736">
        <f t="shared" si="168"/>
        <v>83.7</v>
      </c>
      <c r="T2736">
        <f>IFERROR(VLOOKUP(A2736,Table1[[Customer ID]:[Discount Amount]], 6, FALSE),"Not Found")</f>
        <v>93</v>
      </c>
      <c r="U2736" t="str">
        <f t="shared" si="169"/>
        <v>Cash</v>
      </c>
      <c r="V2736" s="4" t="str">
        <f t="shared" si="170"/>
        <v>Normal</v>
      </c>
      <c r="W2736" s="4" t="str">
        <f t="shared" si="171"/>
        <v>Poor</v>
      </c>
      <c r="X2736" s="4">
        <f>AVERAGE(Table1[Purchase Amount])</f>
        <v>129.48419400000012</v>
      </c>
    </row>
    <row r="2737" spans="1:24" ht="15" customHeight="1" x14ac:dyDescent="0.25">
      <c r="A2737">
        <v>2736</v>
      </c>
      <c r="B2737">
        <v>46</v>
      </c>
      <c r="C2737" t="s">
        <v>16</v>
      </c>
      <c r="D2737" t="s">
        <v>122</v>
      </c>
      <c r="E2737" t="s">
        <v>18</v>
      </c>
      <c r="F2737" s="2">
        <v>29</v>
      </c>
      <c r="G2737" t="s">
        <v>19</v>
      </c>
      <c r="H2737" t="s">
        <v>31</v>
      </c>
      <c r="I2737" t="s">
        <v>52</v>
      </c>
      <c r="J2737" t="s">
        <v>33</v>
      </c>
      <c r="K2737">
        <v>3</v>
      </c>
      <c r="L2737" t="s">
        <v>23</v>
      </c>
      <c r="M2737" t="s">
        <v>61</v>
      </c>
      <c r="N2737" t="s">
        <v>23</v>
      </c>
      <c r="O2737">
        <v>2</v>
      </c>
      <c r="P2737" t="s">
        <v>58</v>
      </c>
      <c r="Q2737" t="s">
        <v>68</v>
      </c>
      <c r="R2737" s="1">
        <v>0.1</v>
      </c>
      <c r="S2737">
        <f t="shared" si="168"/>
        <v>26.1</v>
      </c>
      <c r="T2737">
        <f>IFERROR(VLOOKUP(A2737,Table1[[Customer ID]:[Discount Amount]], 6, FALSE),"Not Found")</f>
        <v>29</v>
      </c>
      <c r="U2737" t="str">
        <f t="shared" si="169"/>
        <v>PayPal</v>
      </c>
      <c r="V2737" s="4" t="str">
        <f t="shared" si="170"/>
        <v>Normal</v>
      </c>
      <c r="W2737" s="4" t="str">
        <f t="shared" si="171"/>
        <v>Good</v>
      </c>
      <c r="X2737" s="4">
        <f>AVERAGE(Table1[Purchase Amount])</f>
        <v>129.48419400000012</v>
      </c>
    </row>
    <row r="2738" spans="1:24" ht="15" customHeight="1" x14ac:dyDescent="0.25">
      <c r="A2738">
        <v>2737</v>
      </c>
      <c r="B2738">
        <v>44</v>
      </c>
      <c r="C2738" t="s">
        <v>16</v>
      </c>
      <c r="D2738" t="s">
        <v>83</v>
      </c>
      <c r="E2738" t="s">
        <v>18</v>
      </c>
      <c r="F2738" s="2">
        <v>25</v>
      </c>
      <c r="G2738" t="s">
        <v>39</v>
      </c>
      <c r="H2738" t="s">
        <v>31</v>
      </c>
      <c r="I2738" t="s">
        <v>136</v>
      </c>
      <c r="J2738" t="s">
        <v>33</v>
      </c>
      <c r="K2738">
        <v>4.8</v>
      </c>
      <c r="L2738" t="s">
        <v>23</v>
      </c>
      <c r="M2738" t="s">
        <v>48</v>
      </c>
      <c r="N2738" t="s">
        <v>23</v>
      </c>
      <c r="O2738">
        <v>45</v>
      </c>
      <c r="P2738" t="s">
        <v>53</v>
      </c>
      <c r="Q2738" t="s">
        <v>49</v>
      </c>
      <c r="R2738" s="1">
        <v>0.1</v>
      </c>
      <c r="S2738">
        <f t="shared" si="168"/>
        <v>22.5</v>
      </c>
      <c r="T2738">
        <f>IFERROR(VLOOKUP(A2738,Table1[[Customer ID]:[Discount Amount]], 6, FALSE),"Not Found")</f>
        <v>25</v>
      </c>
      <c r="U2738" t="str">
        <f t="shared" si="169"/>
        <v>Credit Card</v>
      </c>
      <c r="V2738" s="4" t="str">
        <f t="shared" si="170"/>
        <v>Normal</v>
      </c>
      <c r="W2738" s="4" t="str">
        <f t="shared" si="171"/>
        <v>Good</v>
      </c>
      <c r="X2738" s="4">
        <f>AVERAGE(Table1[Purchase Amount])</f>
        <v>129.48419400000012</v>
      </c>
    </row>
    <row r="2739" spans="1:24" ht="15" customHeight="1" x14ac:dyDescent="0.25">
      <c r="A2739">
        <v>2738</v>
      </c>
      <c r="B2739">
        <v>57</v>
      </c>
      <c r="C2739" t="s">
        <v>16</v>
      </c>
      <c r="D2739" t="s">
        <v>50</v>
      </c>
      <c r="E2739" t="s">
        <v>29</v>
      </c>
      <c r="F2739" s="2">
        <v>76</v>
      </c>
      <c r="G2739" t="s">
        <v>134</v>
      </c>
      <c r="H2739" t="s">
        <v>55</v>
      </c>
      <c r="I2739" t="s">
        <v>91</v>
      </c>
      <c r="J2739" t="s">
        <v>33</v>
      </c>
      <c r="K2739">
        <v>4.4000000000000004</v>
      </c>
      <c r="L2739" t="s">
        <v>23</v>
      </c>
      <c r="M2739" t="s">
        <v>35</v>
      </c>
      <c r="N2739" t="s">
        <v>23</v>
      </c>
      <c r="O2739">
        <v>35</v>
      </c>
      <c r="P2739" t="s">
        <v>25</v>
      </c>
      <c r="Q2739" t="s">
        <v>63</v>
      </c>
      <c r="R2739" s="1">
        <v>0.1</v>
      </c>
      <c r="S2739">
        <f t="shared" si="168"/>
        <v>68.400000000000006</v>
      </c>
      <c r="T2739">
        <f>IFERROR(VLOOKUP(A2739,Table1[[Customer ID]:[Discount Amount]], 6, FALSE),"Not Found")</f>
        <v>76</v>
      </c>
      <c r="U2739" t="str">
        <f t="shared" si="169"/>
        <v>Cash</v>
      </c>
      <c r="V2739" s="4" t="str">
        <f t="shared" si="170"/>
        <v>Normal</v>
      </c>
      <c r="W2739" s="4" t="str">
        <f t="shared" si="171"/>
        <v>Good</v>
      </c>
      <c r="X2739" s="4">
        <f>AVERAGE(Table1[Purchase Amount])</f>
        <v>129.48419400000012</v>
      </c>
    </row>
    <row r="2740" spans="1:24" ht="15" customHeight="1" x14ac:dyDescent="0.25">
      <c r="A2740">
        <v>2739</v>
      </c>
      <c r="B2740">
        <v>50</v>
      </c>
      <c r="C2740" t="s">
        <v>16</v>
      </c>
      <c r="D2740" t="s">
        <v>140</v>
      </c>
      <c r="E2740" t="s">
        <v>98</v>
      </c>
      <c r="F2740" s="2">
        <v>81</v>
      </c>
      <c r="G2740" t="s">
        <v>90</v>
      </c>
      <c r="H2740" t="s">
        <v>31</v>
      </c>
      <c r="I2740" t="s">
        <v>103</v>
      </c>
      <c r="J2740" t="s">
        <v>57</v>
      </c>
      <c r="K2740">
        <v>4.3</v>
      </c>
      <c r="L2740" t="s">
        <v>23</v>
      </c>
      <c r="M2740" t="s">
        <v>41</v>
      </c>
      <c r="N2740" t="s">
        <v>23</v>
      </c>
      <c r="O2740">
        <v>39</v>
      </c>
      <c r="P2740" t="s">
        <v>62</v>
      </c>
      <c r="Q2740" t="s">
        <v>63</v>
      </c>
      <c r="R2740" s="1">
        <v>0.1</v>
      </c>
      <c r="S2740">
        <f t="shared" si="168"/>
        <v>72.900000000000006</v>
      </c>
      <c r="T2740">
        <f>IFERROR(VLOOKUP(A2740,Table1[[Customer ID]:[Discount Amount]], 6, FALSE),"Not Found")</f>
        <v>81</v>
      </c>
      <c r="U2740" t="str">
        <f t="shared" si="169"/>
        <v>Venmo</v>
      </c>
      <c r="V2740" s="4" t="str">
        <f t="shared" si="170"/>
        <v>Normal</v>
      </c>
      <c r="W2740" s="4" t="str">
        <f t="shared" si="171"/>
        <v>Good</v>
      </c>
      <c r="X2740" s="4">
        <f>AVERAGE(Table1[Purchase Amount])</f>
        <v>129.48419400000012</v>
      </c>
    </row>
    <row r="2741" spans="1:24" ht="15" customHeight="1" x14ac:dyDescent="0.25">
      <c r="A2741">
        <v>2740</v>
      </c>
      <c r="B2741">
        <v>33</v>
      </c>
      <c r="C2741" t="s">
        <v>16</v>
      </c>
      <c r="D2741" t="s">
        <v>38</v>
      </c>
      <c r="E2741" t="s">
        <v>18</v>
      </c>
      <c r="F2741" s="2">
        <v>80</v>
      </c>
      <c r="G2741" t="s">
        <v>148</v>
      </c>
      <c r="H2741" t="s">
        <v>20</v>
      </c>
      <c r="I2741" t="s">
        <v>74</v>
      </c>
      <c r="J2741" t="s">
        <v>22</v>
      </c>
      <c r="K2741">
        <v>2.5</v>
      </c>
      <c r="L2741" t="s">
        <v>23</v>
      </c>
      <c r="M2741" t="s">
        <v>48</v>
      </c>
      <c r="N2741" t="s">
        <v>23</v>
      </c>
      <c r="O2741">
        <v>39</v>
      </c>
      <c r="P2741" t="s">
        <v>53</v>
      </c>
      <c r="Q2741" t="s">
        <v>63</v>
      </c>
      <c r="R2741" s="1">
        <v>0.1</v>
      </c>
      <c r="S2741">
        <f t="shared" si="168"/>
        <v>72</v>
      </c>
      <c r="T2741">
        <f>IFERROR(VLOOKUP(A2741,Table1[[Customer ID]:[Discount Amount]], 6, FALSE),"Not Found")</f>
        <v>80</v>
      </c>
      <c r="U2741" t="str">
        <f t="shared" si="169"/>
        <v>Credit Card</v>
      </c>
      <c r="V2741" s="4" t="str">
        <f t="shared" si="170"/>
        <v>Normal</v>
      </c>
      <c r="W2741" s="4" t="str">
        <f t="shared" si="171"/>
        <v>Poor</v>
      </c>
      <c r="X2741" s="4">
        <f>AVERAGE(Table1[Purchase Amount])</f>
        <v>129.48419400000012</v>
      </c>
    </row>
    <row r="2742" spans="1:24" ht="15" customHeight="1" x14ac:dyDescent="0.25">
      <c r="A2742">
        <v>2741</v>
      </c>
      <c r="B2742">
        <v>19</v>
      </c>
      <c r="C2742" t="s">
        <v>16</v>
      </c>
      <c r="D2742" t="s">
        <v>28</v>
      </c>
      <c r="E2742" t="s">
        <v>29</v>
      </c>
      <c r="F2742" s="2">
        <v>70</v>
      </c>
      <c r="G2742" t="s">
        <v>78</v>
      </c>
      <c r="H2742" t="s">
        <v>31</v>
      </c>
      <c r="I2742" t="s">
        <v>107</v>
      </c>
      <c r="J2742" t="s">
        <v>57</v>
      </c>
      <c r="K2742">
        <v>4.9000000000000004</v>
      </c>
      <c r="L2742" t="s">
        <v>23</v>
      </c>
      <c r="M2742" t="s">
        <v>35</v>
      </c>
      <c r="N2742" t="s">
        <v>23</v>
      </c>
      <c r="O2742">
        <v>34</v>
      </c>
      <c r="P2742" t="s">
        <v>88</v>
      </c>
      <c r="Q2742" t="s">
        <v>89</v>
      </c>
      <c r="R2742" s="1">
        <v>0.1</v>
      </c>
      <c r="S2742">
        <f t="shared" si="168"/>
        <v>63</v>
      </c>
      <c r="T2742">
        <f>IFERROR(VLOOKUP(A2742,Table1[[Customer ID]:[Discount Amount]], 6, FALSE),"Not Found")</f>
        <v>70</v>
      </c>
      <c r="U2742" t="str">
        <f t="shared" si="169"/>
        <v>Bank Transfer</v>
      </c>
      <c r="V2742" s="4" t="str">
        <f t="shared" si="170"/>
        <v>Normal</v>
      </c>
      <c r="W2742" s="4" t="str">
        <f t="shared" si="171"/>
        <v>Good</v>
      </c>
      <c r="X2742" s="4">
        <f>AVERAGE(Table1[Purchase Amount])</f>
        <v>129.48419400000012</v>
      </c>
    </row>
    <row r="2743" spans="1:24" ht="15" customHeight="1" x14ac:dyDescent="0.25">
      <c r="A2743">
        <v>2742</v>
      </c>
      <c r="B2743">
        <v>68</v>
      </c>
      <c r="C2743" t="s">
        <v>16</v>
      </c>
      <c r="D2743" t="s">
        <v>157</v>
      </c>
      <c r="E2743" t="s">
        <v>18</v>
      </c>
      <c r="F2743" s="2">
        <v>81</v>
      </c>
      <c r="G2743" t="s">
        <v>94</v>
      </c>
      <c r="H2743" t="s">
        <v>45</v>
      </c>
      <c r="I2743" t="s">
        <v>52</v>
      </c>
      <c r="J2743" t="s">
        <v>47</v>
      </c>
      <c r="K2743">
        <v>4.9000000000000004</v>
      </c>
      <c r="L2743" t="s">
        <v>23</v>
      </c>
      <c r="M2743" t="s">
        <v>41</v>
      </c>
      <c r="N2743" t="s">
        <v>23</v>
      </c>
      <c r="O2743">
        <v>41</v>
      </c>
      <c r="P2743" t="s">
        <v>62</v>
      </c>
      <c r="Q2743" t="s">
        <v>42</v>
      </c>
      <c r="R2743" s="1">
        <v>0.1</v>
      </c>
      <c r="S2743">
        <f t="shared" si="168"/>
        <v>72.900000000000006</v>
      </c>
      <c r="T2743">
        <f>IFERROR(VLOOKUP(A2743,Table1[[Customer ID]:[Discount Amount]], 6, FALSE),"Not Found")</f>
        <v>81</v>
      </c>
      <c r="U2743" t="str">
        <f t="shared" si="169"/>
        <v>Venmo</v>
      </c>
      <c r="V2743" s="4" t="str">
        <f t="shared" si="170"/>
        <v>Normal</v>
      </c>
      <c r="W2743" s="4" t="str">
        <f t="shared" si="171"/>
        <v>Good</v>
      </c>
      <c r="X2743" s="4">
        <f>AVERAGE(Table1[Purchase Amount])</f>
        <v>129.48419400000012</v>
      </c>
    </row>
    <row r="2744" spans="1:24" ht="15" customHeight="1" x14ac:dyDescent="0.25">
      <c r="A2744">
        <v>2743</v>
      </c>
      <c r="B2744">
        <v>27</v>
      </c>
      <c r="C2744" t="s">
        <v>16</v>
      </c>
      <c r="D2744" t="s">
        <v>72</v>
      </c>
      <c r="E2744" t="s">
        <v>98</v>
      </c>
      <c r="F2744" s="2">
        <v>86</v>
      </c>
      <c r="G2744" t="s">
        <v>152</v>
      </c>
      <c r="H2744" t="s">
        <v>31</v>
      </c>
      <c r="I2744" t="s">
        <v>40</v>
      </c>
      <c r="J2744" t="s">
        <v>33</v>
      </c>
      <c r="K2744">
        <v>3.9</v>
      </c>
      <c r="L2744" t="s">
        <v>23</v>
      </c>
      <c r="M2744" t="s">
        <v>35</v>
      </c>
      <c r="N2744" t="s">
        <v>23</v>
      </c>
      <c r="O2744">
        <v>47</v>
      </c>
      <c r="P2744" t="s">
        <v>36</v>
      </c>
      <c r="Q2744" t="s">
        <v>49</v>
      </c>
      <c r="R2744" s="1">
        <v>0.1</v>
      </c>
      <c r="S2744">
        <f t="shared" si="168"/>
        <v>77.400000000000006</v>
      </c>
      <c r="T2744">
        <f>IFERROR(VLOOKUP(A2744,Table1[[Customer ID]:[Discount Amount]], 6, FALSE),"Not Found")</f>
        <v>86</v>
      </c>
      <c r="U2744" t="str">
        <f t="shared" si="169"/>
        <v>Debit Card</v>
      </c>
      <c r="V2744" s="4" t="str">
        <f t="shared" si="170"/>
        <v>Normal</v>
      </c>
      <c r="W2744" s="4" t="str">
        <f t="shared" si="171"/>
        <v>Good</v>
      </c>
      <c r="X2744" s="4">
        <f>AVERAGE(Table1[Purchase Amount])</f>
        <v>129.48419400000012</v>
      </c>
    </row>
    <row r="2745" spans="1:24" ht="15" customHeight="1" x14ac:dyDescent="0.25">
      <c r="A2745">
        <v>2744</v>
      </c>
      <c r="B2745">
        <v>61</v>
      </c>
      <c r="C2745" t="s">
        <v>16</v>
      </c>
      <c r="D2745" t="s">
        <v>114</v>
      </c>
      <c r="E2745" t="s">
        <v>29</v>
      </c>
      <c r="F2745" s="2">
        <v>94</v>
      </c>
      <c r="G2745" t="s">
        <v>131</v>
      </c>
      <c r="H2745" t="s">
        <v>55</v>
      </c>
      <c r="I2745" t="s">
        <v>56</v>
      </c>
      <c r="J2745" t="s">
        <v>47</v>
      </c>
      <c r="K2745">
        <v>4.0999999999999996</v>
      </c>
      <c r="L2745" t="s">
        <v>23</v>
      </c>
      <c r="M2745" t="s">
        <v>41</v>
      </c>
      <c r="N2745" t="s">
        <v>23</v>
      </c>
      <c r="O2745">
        <v>17</v>
      </c>
      <c r="P2745" t="s">
        <v>62</v>
      </c>
      <c r="Q2745" t="s">
        <v>37</v>
      </c>
      <c r="R2745" s="1">
        <v>0.1</v>
      </c>
      <c r="S2745">
        <f t="shared" si="168"/>
        <v>84.6</v>
      </c>
      <c r="T2745">
        <f>IFERROR(VLOOKUP(A2745,Table1[[Customer ID]:[Discount Amount]], 6, FALSE),"Not Found")</f>
        <v>94</v>
      </c>
      <c r="U2745" t="str">
        <f t="shared" si="169"/>
        <v>Venmo</v>
      </c>
      <c r="V2745" s="4" t="str">
        <f t="shared" si="170"/>
        <v>Normal</v>
      </c>
      <c r="W2745" s="4" t="str">
        <f t="shared" si="171"/>
        <v>Good</v>
      </c>
      <c r="X2745" s="4">
        <f>AVERAGE(Table1[Purchase Amount])</f>
        <v>129.48419400000012</v>
      </c>
    </row>
    <row r="2746" spans="1:24" ht="15" customHeight="1" x14ac:dyDescent="0.25">
      <c r="A2746">
        <v>2745</v>
      </c>
      <c r="B2746">
        <v>38</v>
      </c>
      <c r="C2746" t="s">
        <v>16</v>
      </c>
      <c r="D2746" t="s">
        <v>38</v>
      </c>
      <c r="E2746" t="s">
        <v>18</v>
      </c>
      <c r="F2746" s="2">
        <v>66</v>
      </c>
      <c r="G2746" t="s">
        <v>162</v>
      </c>
      <c r="H2746" t="s">
        <v>31</v>
      </c>
      <c r="I2746" t="s">
        <v>153</v>
      </c>
      <c r="J2746" t="s">
        <v>22</v>
      </c>
      <c r="K2746">
        <v>3.3</v>
      </c>
      <c r="L2746" t="s">
        <v>23</v>
      </c>
      <c r="M2746" t="s">
        <v>48</v>
      </c>
      <c r="N2746" t="s">
        <v>23</v>
      </c>
      <c r="O2746">
        <v>40</v>
      </c>
      <c r="P2746" t="s">
        <v>53</v>
      </c>
      <c r="Q2746" t="s">
        <v>42</v>
      </c>
      <c r="R2746" s="1">
        <v>0.1</v>
      </c>
      <c r="S2746">
        <f t="shared" si="168"/>
        <v>59.4</v>
      </c>
      <c r="T2746">
        <f>IFERROR(VLOOKUP(A2746,Table1[[Customer ID]:[Discount Amount]], 6, FALSE),"Not Found")</f>
        <v>66</v>
      </c>
      <c r="U2746" t="str">
        <f t="shared" si="169"/>
        <v>Credit Card</v>
      </c>
      <c r="V2746" s="4" t="str">
        <f t="shared" si="170"/>
        <v>Normal</v>
      </c>
      <c r="W2746" s="4" t="str">
        <f t="shared" si="171"/>
        <v>Good</v>
      </c>
      <c r="X2746" s="4">
        <f>AVERAGE(Table1[Purchase Amount])</f>
        <v>129.48419400000012</v>
      </c>
    </row>
    <row r="2747" spans="1:24" ht="15" customHeight="1" x14ac:dyDescent="0.25">
      <c r="A2747">
        <v>2746</v>
      </c>
      <c r="B2747">
        <v>28</v>
      </c>
      <c r="C2747" t="s">
        <v>16</v>
      </c>
      <c r="D2747" t="s">
        <v>151</v>
      </c>
      <c r="E2747" t="s">
        <v>98</v>
      </c>
      <c r="F2747" s="2">
        <v>98</v>
      </c>
      <c r="G2747" t="s">
        <v>113</v>
      </c>
      <c r="H2747" t="s">
        <v>31</v>
      </c>
      <c r="I2747" t="s">
        <v>87</v>
      </c>
      <c r="J2747" t="s">
        <v>57</v>
      </c>
      <c r="K2747">
        <v>4.0999999999999996</v>
      </c>
      <c r="L2747" t="s">
        <v>23</v>
      </c>
      <c r="M2747" t="s">
        <v>24</v>
      </c>
      <c r="N2747" t="s">
        <v>23</v>
      </c>
      <c r="O2747">
        <v>44</v>
      </c>
      <c r="P2747" t="s">
        <v>58</v>
      </c>
      <c r="Q2747" t="s">
        <v>68</v>
      </c>
      <c r="R2747" s="1">
        <v>0.1</v>
      </c>
      <c r="S2747">
        <f t="shared" si="168"/>
        <v>88.2</v>
      </c>
      <c r="T2747">
        <f>IFERROR(VLOOKUP(A2747,Table1[[Customer ID]:[Discount Amount]], 6, FALSE),"Not Found")</f>
        <v>98</v>
      </c>
      <c r="U2747" t="str">
        <f t="shared" si="169"/>
        <v>PayPal</v>
      </c>
      <c r="V2747" s="4" t="str">
        <f t="shared" si="170"/>
        <v>Normal</v>
      </c>
      <c r="W2747" s="4" t="str">
        <f t="shared" si="171"/>
        <v>Good</v>
      </c>
      <c r="X2747" s="4">
        <f>AVERAGE(Table1[Purchase Amount])</f>
        <v>129.48419400000012</v>
      </c>
    </row>
    <row r="2748" spans="1:24" ht="15" customHeight="1" x14ac:dyDescent="0.25">
      <c r="A2748">
        <v>2747</v>
      </c>
      <c r="B2748">
        <v>39</v>
      </c>
      <c r="C2748" t="s">
        <v>16</v>
      </c>
      <c r="D2748" t="s">
        <v>83</v>
      </c>
      <c r="E2748" t="s">
        <v>18</v>
      </c>
      <c r="F2748" s="2">
        <v>25</v>
      </c>
      <c r="G2748" t="s">
        <v>90</v>
      </c>
      <c r="H2748" t="s">
        <v>31</v>
      </c>
      <c r="I2748" t="s">
        <v>108</v>
      </c>
      <c r="J2748" t="s">
        <v>47</v>
      </c>
      <c r="K2748">
        <v>3.7</v>
      </c>
      <c r="L2748" t="s">
        <v>23</v>
      </c>
      <c r="M2748" t="s">
        <v>24</v>
      </c>
      <c r="N2748" t="s">
        <v>23</v>
      </c>
      <c r="O2748">
        <v>21</v>
      </c>
      <c r="P2748" t="s">
        <v>58</v>
      </c>
      <c r="Q2748" t="s">
        <v>63</v>
      </c>
      <c r="R2748" s="1">
        <v>0.1</v>
      </c>
      <c r="S2748">
        <f t="shared" si="168"/>
        <v>22.5</v>
      </c>
      <c r="T2748">
        <f>IFERROR(VLOOKUP(A2748,Table1[[Customer ID]:[Discount Amount]], 6, FALSE),"Not Found")</f>
        <v>25</v>
      </c>
      <c r="U2748" t="str">
        <f t="shared" si="169"/>
        <v>PayPal</v>
      </c>
      <c r="V2748" s="4" t="str">
        <f t="shared" si="170"/>
        <v>Normal</v>
      </c>
      <c r="W2748" s="4" t="str">
        <f t="shared" si="171"/>
        <v>Good</v>
      </c>
      <c r="X2748" s="4">
        <f>AVERAGE(Table1[Purchase Amount])</f>
        <v>129.48419400000012</v>
      </c>
    </row>
    <row r="2749" spans="1:24" ht="15" customHeight="1" x14ac:dyDescent="0.25">
      <c r="A2749">
        <v>2748</v>
      </c>
      <c r="B2749">
        <v>18</v>
      </c>
      <c r="C2749" t="s">
        <v>16</v>
      </c>
      <c r="D2749" t="s">
        <v>109</v>
      </c>
      <c r="E2749" t="s">
        <v>18</v>
      </c>
      <c r="F2749" s="2">
        <v>62</v>
      </c>
      <c r="G2749" t="s">
        <v>154</v>
      </c>
      <c r="H2749" t="s">
        <v>31</v>
      </c>
      <c r="I2749" t="s">
        <v>147</v>
      </c>
      <c r="J2749" t="s">
        <v>22</v>
      </c>
      <c r="K2749">
        <v>3.1</v>
      </c>
      <c r="L2749" t="s">
        <v>23</v>
      </c>
      <c r="M2749" t="s">
        <v>35</v>
      </c>
      <c r="N2749" t="s">
        <v>23</v>
      </c>
      <c r="O2749">
        <v>21</v>
      </c>
      <c r="P2749" t="s">
        <v>53</v>
      </c>
      <c r="Q2749" t="s">
        <v>63</v>
      </c>
      <c r="R2749" s="1">
        <v>0.1</v>
      </c>
      <c r="S2749">
        <f t="shared" si="168"/>
        <v>55.8</v>
      </c>
      <c r="T2749">
        <f>IFERROR(VLOOKUP(A2749,Table1[[Customer ID]:[Discount Amount]], 6, FALSE),"Not Found")</f>
        <v>62</v>
      </c>
      <c r="U2749" t="str">
        <f t="shared" si="169"/>
        <v>Credit Card</v>
      </c>
      <c r="V2749" s="4" t="str">
        <f t="shared" si="170"/>
        <v>Normal</v>
      </c>
      <c r="W2749" s="4" t="str">
        <f t="shared" si="171"/>
        <v>Good</v>
      </c>
      <c r="X2749" s="4">
        <f>AVERAGE(Table1[Purchase Amount])</f>
        <v>129.48419400000012</v>
      </c>
    </row>
    <row r="2750" spans="1:24" ht="15" customHeight="1" x14ac:dyDescent="0.25">
      <c r="A2750">
        <v>2749</v>
      </c>
      <c r="B2750">
        <v>24</v>
      </c>
      <c r="C2750" t="s">
        <v>16</v>
      </c>
      <c r="D2750" t="s">
        <v>96</v>
      </c>
      <c r="E2750" t="s">
        <v>77</v>
      </c>
      <c r="F2750" s="2">
        <v>98</v>
      </c>
      <c r="G2750" t="s">
        <v>138</v>
      </c>
      <c r="H2750" t="s">
        <v>45</v>
      </c>
      <c r="I2750" t="s">
        <v>156</v>
      </c>
      <c r="J2750" t="s">
        <v>33</v>
      </c>
      <c r="K2750">
        <v>3</v>
      </c>
      <c r="L2750" t="s">
        <v>23</v>
      </c>
      <c r="M2750" t="s">
        <v>35</v>
      </c>
      <c r="N2750" t="s">
        <v>23</v>
      </c>
      <c r="O2750">
        <v>16</v>
      </c>
      <c r="P2750" t="s">
        <v>62</v>
      </c>
      <c r="Q2750" t="s">
        <v>49</v>
      </c>
      <c r="R2750" s="1">
        <v>0.1</v>
      </c>
      <c r="S2750">
        <f t="shared" si="168"/>
        <v>88.2</v>
      </c>
      <c r="T2750">
        <f>IFERROR(VLOOKUP(A2750,Table1[[Customer ID]:[Discount Amount]], 6, FALSE),"Not Found")</f>
        <v>98</v>
      </c>
      <c r="U2750" t="str">
        <f t="shared" si="169"/>
        <v>Venmo</v>
      </c>
      <c r="V2750" s="4" t="str">
        <f t="shared" si="170"/>
        <v>Normal</v>
      </c>
      <c r="W2750" s="4" t="str">
        <f t="shared" si="171"/>
        <v>Good</v>
      </c>
      <c r="X2750" s="4">
        <f>AVERAGE(Table1[Purchase Amount])</f>
        <v>129.48419400000012</v>
      </c>
    </row>
    <row r="2751" spans="1:24" ht="15" customHeight="1" x14ac:dyDescent="0.25">
      <c r="A2751">
        <v>2750</v>
      </c>
      <c r="B2751">
        <v>64</v>
      </c>
      <c r="C2751" t="s">
        <v>16</v>
      </c>
      <c r="D2751" t="s">
        <v>96</v>
      </c>
      <c r="E2751" t="s">
        <v>77</v>
      </c>
      <c r="F2751" s="2">
        <v>53</v>
      </c>
      <c r="G2751" t="s">
        <v>84</v>
      </c>
      <c r="H2751" t="s">
        <v>31</v>
      </c>
      <c r="I2751" t="s">
        <v>128</v>
      </c>
      <c r="J2751" t="s">
        <v>33</v>
      </c>
      <c r="K2751">
        <v>3.4</v>
      </c>
      <c r="L2751" t="s">
        <v>23</v>
      </c>
      <c r="M2751" t="s">
        <v>24</v>
      </c>
      <c r="N2751" t="s">
        <v>23</v>
      </c>
      <c r="O2751">
        <v>15</v>
      </c>
      <c r="P2751" t="s">
        <v>88</v>
      </c>
      <c r="Q2751" t="s">
        <v>49</v>
      </c>
      <c r="R2751" s="1">
        <v>0.1</v>
      </c>
      <c r="S2751">
        <f t="shared" si="168"/>
        <v>47.7</v>
      </c>
      <c r="T2751">
        <f>IFERROR(VLOOKUP(A2751,Table1[[Customer ID]:[Discount Amount]], 6, FALSE),"Not Found")</f>
        <v>53</v>
      </c>
      <c r="U2751" t="str">
        <f t="shared" si="169"/>
        <v>Bank Transfer</v>
      </c>
      <c r="V2751" s="4" t="str">
        <f t="shared" si="170"/>
        <v>Normal</v>
      </c>
      <c r="W2751" s="4" t="str">
        <f t="shared" si="171"/>
        <v>Good</v>
      </c>
      <c r="X2751" s="4">
        <f>AVERAGE(Table1[Purchase Amount])</f>
        <v>129.48419400000012</v>
      </c>
    </row>
    <row r="2752" spans="1:24" ht="15" customHeight="1" x14ac:dyDescent="0.25">
      <c r="A2752">
        <v>2751</v>
      </c>
      <c r="B2752">
        <v>51</v>
      </c>
      <c r="C2752" t="s">
        <v>16</v>
      </c>
      <c r="D2752" t="s">
        <v>121</v>
      </c>
      <c r="E2752" t="s">
        <v>98</v>
      </c>
      <c r="F2752" s="2">
        <v>66</v>
      </c>
      <c r="G2752" t="s">
        <v>148</v>
      </c>
      <c r="H2752" t="s">
        <v>45</v>
      </c>
      <c r="I2752" t="s">
        <v>136</v>
      </c>
      <c r="J2752" t="s">
        <v>33</v>
      </c>
      <c r="K2752">
        <v>2.7</v>
      </c>
      <c r="L2752" t="s">
        <v>23</v>
      </c>
      <c r="M2752" t="s">
        <v>41</v>
      </c>
      <c r="N2752" t="s">
        <v>23</v>
      </c>
      <c r="O2752">
        <v>26</v>
      </c>
      <c r="P2752" t="s">
        <v>58</v>
      </c>
      <c r="Q2752" t="s">
        <v>63</v>
      </c>
      <c r="R2752" s="1">
        <v>0.1</v>
      </c>
      <c r="S2752">
        <f t="shared" si="168"/>
        <v>59.4</v>
      </c>
      <c r="T2752">
        <f>IFERROR(VLOOKUP(A2752,Table1[[Customer ID]:[Discount Amount]], 6, FALSE),"Not Found")</f>
        <v>66</v>
      </c>
      <c r="U2752" t="str">
        <f t="shared" si="169"/>
        <v>PayPal</v>
      </c>
      <c r="V2752" s="4" t="str">
        <f t="shared" si="170"/>
        <v>Normal</v>
      </c>
      <c r="W2752" s="4" t="str">
        <f t="shared" si="171"/>
        <v>Poor</v>
      </c>
      <c r="X2752" s="4">
        <f>AVERAGE(Table1[Purchase Amount])</f>
        <v>129.48419400000012</v>
      </c>
    </row>
    <row r="2753" spans="1:24" ht="15" customHeight="1" x14ac:dyDescent="0.25">
      <c r="A2753">
        <v>2752</v>
      </c>
      <c r="B2753">
        <v>27</v>
      </c>
      <c r="C2753" t="s">
        <v>16</v>
      </c>
      <c r="D2753" t="s">
        <v>157</v>
      </c>
      <c r="E2753" t="s">
        <v>18</v>
      </c>
      <c r="F2753" s="2">
        <v>52</v>
      </c>
      <c r="G2753" t="s">
        <v>120</v>
      </c>
      <c r="H2753" t="s">
        <v>55</v>
      </c>
      <c r="I2753" t="s">
        <v>91</v>
      </c>
      <c r="J2753" t="s">
        <v>47</v>
      </c>
      <c r="K2753">
        <v>3.1</v>
      </c>
      <c r="L2753" t="s">
        <v>23</v>
      </c>
      <c r="M2753" t="s">
        <v>35</v>
      </c>
      <c r="N2753" t="s">
        <v>23</v>
      </c>
      <c r="O2753">
        <v>50</v>
      </c>
      <c r="P2753" t="s">
        <v>62</v>
      </c>
      <c r="Q2753" t="s">
        <v>42</v>
      </c>
      <c r="R2753" s="1">
        <v>0.1</v>
      </c>
      <c r="S2753">
        <f t="shared" si="168"/>
        <v>46.8</v>
      </c>
      <c r="T2753">
        <f>IFERROR(VLOOKUP(A2753,Table1[[Customer ID]:[Discount Amount]], 6, FALSE),"Not Found")</f>
        <v>52</v>
      </c>
      <c r="U2753" t="str">
        <f t="shared" si="169"/>
        <v>Venmo</v>
      </c>
      <c r="V2753" s="4" t="str">
        <f t="shared" si="170"/>
        <v>Normal</v>
      </c>
      <c r="W2753" s="4" t="str">
        <f t="shared" si="171"/>
        <v>Good</v>
      </c>
      <c r="X2753" s="4">
        <f>AVERAGE(Table1[Purchase Amount])</f>
        <v>129.48419400000012</v>
      </c>
    </row>
    <row r="2754" spans="1:24" ht="15" customHeight="1" x14ac:dyDescent="0.25">
      <c r="A2754">
        <v>2753</v>
      </c>
      <c r="B2754">
        <v>48</v>
      </c>
      <c r="C2754" t="s">
        <v>16</v>
      </c>
      <c r="D2754" t="s">
        <v>127</v>
      </c>
      <c r="E2754" t="s">
        <v>18</v>
      </c>
      <c r="F2754" s="2">
        <v>64</v>
      </c>
      <c r="G2754" t="s">
        <v>92</v>
      </c>
      <c r="H2754" t="s">
        <v>55</v>
      </c>
      <c r="I2754" t="s">
        <v>145</v>
      </c>
      <c r="J2754" t="s">
        <v>22</v>
      </c>
      <c r="K2754">
        <v>4</v>
      </c>
      <c r="L2754" t="s">
        <v>23</v>
      </c>
      <c r="M2754" t="s">
        <v>35</v>
      </c>
      <c r="N2754" t="s">
        <v>23</v>
      </c>
      <c r="O2754">
        <v>30</v>
      </c>
      <c r="P2754" t="s">
        <v>62</v>
      </c>
      <c r="Q2754" t="s">
        <v>68</v>
      </c>
      <c r="R2754" s="1">
        <v>0.1</v>
      </c>
      <c r="S2754">
        <f t="shared" ref="S2754:S2817" si="172">F2754-(F2754*R2754)</f>
        <v>57.6</v>
      </c>
      <c r="T2754">
        <f>IFERROR(VLOOKUP(A2754,Table1[[Customer ID]:[Discount Amount]], 6, FALSE),"Not Found")</f>
        <v>64</v>
      </c>
      <c r="U2754" t="str">
        <f t="shared" ref="U2754:U2817" si="173">INDEX(P:P, MATCH(A2754, A:A, 0))</f>
        <v>Venmo</v>
      </c>
      <c r="V2754" s="4" t="str">
        <f t="shared" ref="V2754:V2817" si="174">IF(AND(F2754&gt;1000,K2754&gt;=4),"Best Customer","Normal")</f>
        <v>Normal</v>
      </c>
      <c r="W2754" s="4" t="str">
        <f t="shared" ref="W2754:W2817" si="175">IF(K2754&gt;=3,"Good","Poor")</f>
        <v>Good</v>
      </c>
      <c r="X2754" s="4">
        <f>AVERAGE(Table1[Purchase Amount])</f>
        <v>129.48419400000012</v>
      </c>
    </row>
    <row r="2755" spans="1:24" ht="15" customHeight="1" x14ac:dyDescent="0.25">
      <c r="A2755">
        <v>2754</v>
      </c>
      <c r="B2755">
        <v>69</v>
      </c>
      <c r="C2755" t="s">
        <v>16</v>
      </c>
      <c r="D2755" t="s">
        <v>43</v>
      </c>
      <c r="E2755" t="s">
        <v>29</v>
      </c>
      <c r="F2755" s="2">
        <v>59</v>
      </c>
      <c r="G2755" t="s">
        <v>159</v>
      </c>
      <c r="H2755" t="s">
        <v>31</v>
      </c>
      <c r="I2755" t="s">
        <v>56</v>
      </c>
      <c r="J2755" t="s">
        <v>33</v>
      </c>
      <c r="K2755">
        <v>3.6</v>
      </c>
      <c r="L2755" t="s">
        <v>23</v>
      </c>
      <c r="M2755" t="s">
        <v>79</v>
      </c>
      <c r="N2755" t="s">
        <v>23</v>
      </c>
      <c r="O2755">
        <v>48</v>
      </c>
      <c r="P2755" t="s">
        <v>58</v>
      </c>
      <c r="Q2755" t="s">
        <v>37</v>
      </c>
      <c r="R2755" s="1">
        <v>0.1</v>
      </c>
      <c r="S2755">
        <f t="shared" si="172"/>
        <v>53.1</v>
      </c>
      <c r="T2755">
        <f>IFERROR(VLOOKUP(A2755,Table1[[Customer ID]:[Discount Amount]], 6, FALSE),"Not Found")</f>
        <v>59</v>
      </c>
      <c r="U2755" t="str">
        <f t="shared" si="173"/>
        <v>PayPal</v>
      </c>
      <c r="V2755" s="4" t="str">
        <f t="shared" si="174"/>
        <v>Normal</v>
      </c>
      <c r="W2755" s="4" t="str">
        <f t="shared" si="175"/>
        <v>Good</v>
      </c>
      <c r="X2755" s="4">
        <f>AVERAGE(Table1[Purchase Amount])</f>
        <v>129.48419400000012</v>
      </c>
    </row>
    <row r="2756" spans="1:24" ht="15" customHeight="1" x14ac:dyDescent="0.25">
      <c r="A2756">
        <v>2755</v>
      </c>
      <c r="B2756">
        <v>59</v>
      </c>
      <c r="C2756" t="s">
        <v>16</v>
      </c>
      <c r="D2756" t="s">
        <v>28</v>
      </c>
      <c r="E2756" t="s">
        <v>29</v>
      </c>
      <c r="F2756" s="2">
        <v>61</v>
      </c>
      <c r="G2756" t="s">
        <v>131</v>
      </c>
      <c r="H2756" t="s">
        <v>45</v>
      </c>
      <c r="I2756" t="s">
        <v>133</v>
      </c>
      <c r="J2756" t="s">
        <v>57</v>
      </c>
      <c r="K2756">
        <v>3.6</v>
      </c>
      <c r="L2756" t="s">
        <v>23</v>
      </c>
      <c r="M2756" t="s">
        <v>35</v>
      </c>
      <c r="N2756" t="s">
        <v>23</v>
      </c>
      <c r="O2756">
        <v>21</v>
      </c>
      <c r="P2756" t="s">
        <v>62</v>
      </c>
      <c r="Q2756" t="s">
        <v>68</v>
      </c>
      <c r="R2756" s="1">
        <v>0.1</v>
      </c>
      <c r="S2756">
        <f t="shared" si="172"/>
        <v>54.9</v>
      </c>
      <c r="T2756">
        <f>IFERROR(VLOOKUP(A2756,Table1[[Customer ID]:[Discount Amount]], 6, FALSE),"Not Found")</f>
        <v>61</v>
      </c>
      <c r="U2756" t="str">
        <f t="shared" si="173"/>
        <v>Venmo</v>
      </c>
      <c r="V2756" s="4" t="str">
        <f t="shared" si="174"/>
        <v>Normal</v>
      </c>
      <c r="W2756" s="4" t="str">
        <f t="shared" si="175"/>
        <v>Good</v>
      </c>
      <c r="X2756" s="4">
        <f>AVERAGE(Table1[Purchase Amount])</f>
        <v>129.48419400000012</v>
      </c>
    </row>
    <row r="2757" spans="1:24" ht="15" customHeight="1" x14ac:dyDescent="0.25">
      <c r="A2757">
        <v>2756</v>
      </c>
      <c r="B2757">
        <v>59</v>
      </c>
      <c r="C2757" t="s">
        <v>16</v>
      </c>
      <c r="D2757" t="s">
        <v>114</v>
      </c>
      <c r="E2757" t="s">
        <v>29</v>
      </c>
      <c r="F2757" s="2">
        <v>97</v>
      </c>
      <c r="G2757" t="s">
        <v>158</v>
      </c>
      <c r="H2757" t="s">
        <v>31</v>
      </c>
      <c r="I2757" t="s">
        <v>91</v>
      </c>
      <c r="J2757" t="s">
        <v>22</v>
      </c>
      <c r="K2757">
        <v>3.3</v>
      </c>
      <c r="L2757" t="s">
        <v>23</v>
      </c>
      <c r="M2757" t="s">
        <v>48</v>
      </c>
      <c r="N2757" t="s">
        <v>23</v>
      </c>
      <c r="O2757">
        <v>18</v>
      </c>
      <c r="P2757" t="s">
        <v>53</v>
      </c>
      <c r="Q2757" t="s">
        <v>49</v>
      </c>
      <c r="R2757" s="1">
        <v>0.1</v>
      </c>
      <c r="S2757">
        <f t="shared" si="172"/>
        <v>87.3</v>
      </c>
      <c r="T2757">
        <f>IFERROR(VLOOKUP(A2757,Table1[[Customer ID]:[Discount Amount]], 6, FALSE),"Not Found")</f>
        <v>97</v>
      </c>
      <c r="U2757" t="str">
        <f t="shared" si="173"/>
        <v>Credit Card</v>
      </c>
      <c r="V2757" s="4" t="str">
        <f t="shared" si="174"/>
        <v>Normal</v>
      </c>
      <c r="W2757" s="4" t="str">
        <f t="shared" si="175"/>
        <v>Good</v>
      </c>
      <c r="X2757" s="4">
        <f>AVERAGE(Table1[Purchase Amount])</f>
        <v>129.48419400000012</v>
      </c>
    </row>
    <row r="2758" spans="1:24" ht="15" customHeight="1" x14ac:dyDescent="0.25">
      <c r="A2758">
        <v>2757</v>
      </c>
      <c r="B2758">
        <v>42</v>
      </c>
      <c r="C2758" t="s">
        <v>16</v>
      </c>
      <c r="D2758" t="s">
        <v>64</v>
      </c>
      <c r="E2758" t="s">
        <v>29</v>
      </c>
      <c r="F2758" s="2">
        <v>23</v>
      </c>
      <c r="G2758" t="s">
        <v>120</v>
      </c>
      <c r="H2758" t="s">
        <v>45</v>
      </c>
      <c r="I2758" t="s">
        <v>111</v>
      </c>
      <c r="J2758" t="s">
        <v>22</v>
      </c>
      <c r="K2758">
        <v>4.0999999999999996</v>
      </c>
      <c r="L2758" t="s">
        <v>23</v>
      </c>
      <c r="M2758" t="s">
        <v>35</v>
      </c>
      <c r="N2758" t="s">
        <v>23</v>
      </c>
      <c r="O2758">
        <v>41</v>
      </c>
      <c r="P2758" t="s">
        <v>58</v>
      </c>
      <c r="Q2758" t="s">
        <v>42</v>
      </c>
      <c r="R2758" s="1">
        <v>0.1</v>
      </c>
      <c r="S2758">
        <f t="shared" si="172"/>
        <v>20.7</v>
      </c>
      <c r="T2758">
        <f>IFERROR(VLOOKUP(A2758,Table1[[Customer ID]:[Discount Amount]], 6, FALSE),"Not Found")</f>
        <v>23</v>
      </c>
      <c r="U2758" t="str">
        <f t="shared" si="173"/>
        <v>PayPal</v>
      </c>
      <c r="V2758" s="4" t="str">
        <f t="shared" si="174"/>
        <v>Normal</v>
      </c>
      <c r="W2758" s="4" t="str">
        <f t="shared" si="175"/>
        <v>Good</v>
      </c>
      <c r="X2758" s="4">
        <f>AVERAGE(Table1[Purchase Amount])</f>
        <v>129.48419400000012</v>
      </c>
    </row>
    <row r="2759" spans="1:24" ht="15" customHeight="1" x14ac:dyDescent="0.25">
      <c r="A2759">
        <v>2758</v>
      </c>
      <c r="B2759">
        <v>39</v>
      </c>
      <c r="C2759" t="s">
        <v>16</v>
      </c>
      <c r="D2759" t="s">
        <v>64</v>
      </c>
      <c r="E2759" t="s">
        <v>29</v>
      </c>
      <c r="F2759" s="2">
        <v>98</v>
      </c>
      <c r="G2759" t="s">
        <v>143</v>
      </c>
      <c r="H2759" t="s">
        <v>20</v>
      </c>
      <c r="I2759" t="s">
        <v>60</v>
      </c>
      <c r="J2759" t="s">
        <v>47</v>
      </c>
      <c r="K2759">
        <v>4.3</v>
      </c>
      <c r="L2759" t="s">
        <v>23</v>
      </c>
      <c r="M2759" t="s">
        <v>79</v>
      </c>
      <c r="N2759" t="s">
        <v>23</v>
      </c>
      <c r="O2759">
        <v>11</v>
      </c>
      <c r="P2759" t="s">
        <v>62</v>
      </c>
      <c r="Q2759" t="s">
        <v>42</v>
      </c>
      <c r="R2759" s="1">
        <v>0.1</v>
      </c>
      <c r="S2759">
        <f t="shared" si="172"/>
        <v>88.2</v>
      </c>
      <c r="T2759">
        <f>IFERROR(VLOOKUP(A2759,Table1[[Customer ID]:[Discount Amount]], 6, FALSE),"Not Found")</f>
        <v>98</v>
      </c>
      <c r="U2759" t="str">
        <f t="shared" si="173"/>
        <v>Venmo</v>
      </c>
      <c r="V2759" s="4" t="str">
        <f t="shared" si="174"/>
        <v>Normal</v>
      </c>
      <c r="W2759" s="4" t="str">
        <f t="shared" si="175"/>
        <v>Good</v>
      </c>
      <c r="X2759" s="4">
        <f>AVERAGE(Table1[Purchase Amount])</f>
        <v>129.48419400000012</v>
      </c>
    </row>
    <row r="2760" spans="1:24" ht="15" customHeight="1" x14ac:dyDescent="0.25">
      <c r="A2760">
        <v>2759</v>
      </c>
      <c r="B2760">
        <v>32</v>
      </c>
      <c r="C2760" t="s">
        <v>16</v>
      </c>
      <c r="D2760" t="s">
        <v>118</v>
      </c>
      <c r="E2760" t="s">
        <v>18</v>
      </c>
      <c r="F2760" s="2">
        <v>98</v>
      </c>
      <c r="G2760" t="s">
        <v>44</v>
      </c>
      <c r="H2760" t="s">
        <v>31</v>
      </c>
      <c r="I2760" t="s">
        <v>66</v>
      </c>
      <c r="J2760" t="s">
        <v>57</v>
      </c>
      <c r="K2760">
        <v>3.2</v>
      </c>
      <c r="L2760" t="s">
        <v>23</v>
      </c>
      <c r="M2760" t="s">
        <v>24</v>
      </c>
      <c r="N2760" t="s">
        <v>23</v>
      </c>
      <c r="O2760">
        <v>8</v>
      </c>
      <c r="P2760" t="s">
        <v>88</v>
      </c>
      <c r="Q2760" t="s">
        <v>68</v>
      </c>
      <c r="R2760" s="1">
        <v>0.1</v>
      </c>
      <c r="S2760">
        <f t="shared" si="172"/>
        <v>88.2</v>
      </c>
      <c r="T2760">
        <f>IFERROR(VLOOKUP(A2760,Table1[[Customer ID]:[Discount Amount]], 6, FALSE),"Not Found")</f>
        <v>98</v>
      </c>
      <c r="U2760" t="str">
        <f t="shared" si="173"/>
        <v>Bank Transfer</v>
      </c>
      <c r="V2760" s="4" t="str">
        <f t="shared" si="174"/>
        <v>Normal</v>
      </c>
      <c r="W2760" s="4" t="str">
        <f t="shared" si="175"/>
        <v>Good</v>
      </c>
      <c r="X2760" s="4">
        <f>AVERAGE(Table1[Purchase Amount])</f>
        <v>129.48419400000012</v>
      </c>
    </row>
    <row r="2761" spans="1:24" ht="15" customHeight="1" x14ac:dyDescent="0.25">
      <c r="A2761">
        <v>2760</v>
      </c>
      <c r="B2761">
        <v>68</v>
      </c>
      <c r="C2761" t="s">
        <v>16</v>
      </c>
      <c r="D2761" t="s">
        <v>72</v>
      </c>
      <c r="E2761" t="s">
        <v>98</v>
      </c>
      <c r="F2761" s="2">
        <v>59</v>
      </c>
      <c r="G2761" t="s">
        <v>155</v>
      </c>
      <c r="H2761" t="s">
        <v>31</v>
      </c>
      <c r="I2761" t="s">
        <v>156</v>
      </c>
      <c r="J2761" t="s">
        <v>57</v>
      </c>
      <c r="K2761">
        <v>3.9</v>
      </c>
      <c r="L2761" t="s">
        <v>23</v>
      </c>
      <c r="M2761" t="s">
        <v>35</v>
      </c>
      <c r="N2761" t="s">
        <v>23</v>
      </c>
      <c r="O2761">
        <v>42</v>
      </c>
      <c r="P2761" t="s">
        <v>25</v>
      </c>
      <c r="Q2761" t="s">
        <v>63</v>
      </c>
      <c r="R2761" s="1">
        <v>0.1</v>
      </c>
      <c r="S2761">
        <f t="shared" si="172"/>
        <v>53.1</v>
      </c>
      <c r="T2761">
        <f>IFERROR(VLOOKUP(A2761,Table1[[Customer ID]:[Discount Amount]], 6, FALSE),"Not Found")</f>
        <v>59</v>
      </c>
      <c r="U2761" t="str">
        <f t="shared" si="173"/>
        <v>Cash</v>
      </c>
      <c r="V2761" s="4" t="str">
        <f t="shared" si="174"/>
        <v>Normal</v>
      </c>
      <c r="W2761" s="4" t="str">
        <f t="shared" si="175"/>
        <v>Good</v>
      </c>
      <c r="X2761" s="4">
        <f>AVERAGE(Table1[Purchase Amount])</f>
        <v>129.48419400000012</v>
      </c>
    </row>
    <row r="2762" spans="1:24" ht="15" customHeight="1" x14ac:dyDescent="0.25">
      <c r="A2762">
        <v>2761</v>
      </c>
      <c r="B2762">
        <v>41</v>
      </c>
      <c r="C2762" t="s">
        <v>16</v>
      </c>
      <c r="D2762" t="s">
        <v>122</v>
      </c>
      <c r="E2762" t="s">
        <v>18</v>
      </c>
      <c r="F2762" s="2">
        <v>82</v>
      </c>
      <c r="G2762" t="s">
        <v>148</v>
      </c>
      <c r="H2762" t="s">
        <v>55</v>
      </c>
      <c r="I2762" t="s">
        <v>111</v>
      </c>
      <c r="J2762" t="s">
        <v>47</v>
      </c>
      <c r="K2762">
        <v>5</v>
      </c>
      <c r="L2762" t="s">
        <v>23</v>
      </c>
      <c r="M2762" t="s">
        <v>79</v>
      </c>
      <c r="N2762" t="s">
        <v>23</v>
      </c>
      <c r="O2762">
        <v>41</v>
      </c>
      <c r="P2762" t="s">
        <v>53</v>
      </c>
      <c r="Q2762" t="s">
        <v>68</v>
      </c>
      <c r="R2762" s="1">
        <v>0.1</v>
      </c>
      <c r="S2762">
        <f t="shared" si="172"/>
        <v>73.8</v>
      </c>
      <c r="T2762">
        <f>IFERROR(VLOOKUP(A2762,Table1[[Customer ID]:[Discount Amount]], 6, FALSE),"Not Found")</f>
        <v>82</v>
      </c>
      <c r="U2762" t="str">
        <f t="shared" si="173"/>
        <v>Credit Card</v>
      </c>
      <c r="V2762" s="4" t="str">
        <f t="shared" si="174"/>
        <v>Normal</v>
      </c>
      <c r="W2762" s="4" t="str">
        <f t="shared" si="175"/>
        <v>Good</v>
      </c>
      <c r="X2762" s="4">
        <f>AVERAGE(Table1[Purchase Amount])</f>
        <v>129.48419400000012</v>
      </c>
    </row>
    <row r="2763" spans="1:24" ht="15" customHeight="1" x14ac:dyDescent="0.25">
      <c r="A2763">
        <v>2762</v>
      </c>
      <c r="B2763">
        <v>31</v>
      </c>
      <c r="C2763" t="s">
        <v>16</v>
      </c>
      <c r="D2763" t="s">
        <v>140</v>
      </c>
      <c r="E2763" t="s">
        <v>98</v>
      </c>
      <c r="F2763" s="2">
        <v>82</v>
      </c>
      <c r="G2763" t="s">
        <v>113</v>
      </c>
      <c r="H2763" t="s">
        <v>31</v>
      </c>
      <c r="I2763" t="s">
        <v>66</v>
      </c>
      <c r="J2763" t="s">
        <v>47</v>
      </c>
      <c r="K2763">
        <v>3.4</v>
      </c>
      <c r="L2763" t="s">
        <v>23</v>
      </c>
      <c r="M2763" t="s">
        <v>79</v>
      </c>
      <c r="N2763" t="s">
        <v>23</v>
      </c>
      <c r="O2763">
        <v>3</v>
      </c>
      <c r="P2763" t="s">
        <v>53</v>
      </c>
      <c r="Q2763" t="s">
        <v>63</v>
      </c>
      <c r="R2763" s="1">
        <v>0.1</v>
      </c>
      <c r="S2763">
        <f t="shared" si="172"/>
        <v>73.8</v>
      </c>
      <c r="T2763">
        <f>IFERROR(VLOOKUP(A2763,Table1[[Customer ID]:[Discount Amount]], 6, FALSE),"Not Found")</f>
        <v>82</v>
      </c>
      <c r="U2763" t="str">
        <f t="shared" si="173"/>
        <v>Credit Card</v>
      </c>
      <c r="V2763" s="4" t="str">
        <f t="shared" si="174"/>
        <v>Normal</v>
      </c>
      <c r="W2763" s="4" t="str">
        <f t="shared" si="175"/>
        <v>Good</v>
      </c>
      <c r="X2763" s="4">
        <f>AVERAGE(Table1[Purchase Amount])</f>
        <v>129.48419400000012</v>
      </c>
    </row>
    <row r="2764" spans="1:24" ht="15" customHeight="1" x14ac:dyDescent="0.25">
      <c r="A2764">
        <v>2763</v>
      </c>
      <c r="B2764">
        <v>58</v>
      </c>
      <c r="C2764" t="s">
        <v>16</v>
      </c>
      <c r="D2764" t="s">
        <v>17</v>
      </c>
      <c r="E2764" t="s">
        <v>18</v>
      </c>
      <c r="F2764" s="2">
        <v>41</v>
      </c>
      <c r="G2764" t="s">
        <v>160</v>
      </c>
      <c r="H2764" t="s">
        <v>31</v>
      </c>
      <c r="I2764" t="s">
        <v>103</v>
      </c>
      <c r="J2764" t="s">
        <v>47</v>
      </c>
      <c r="K2764">
        <v>3.8</v>
      </c>
      <c r="L2764" t="s">
        <v>23</v>
      </c>
      <c r="M2764" t="s">
        <v>48</v>
      </c>
      <c r="N2764" t="s">
        <v>23</v>
      </c>
      <c r="O2764">
        <v>10</v>
      </c>
      <c r="P2764" t="s">
        <v>36</v>
      </c>
      <c r="Q2764" t="s">
        <v>63</v>
      </c>
      <c r="R2764" s="1">
        <v>0.1</v>
      </c>
      <c r="S2764">
        <f t="shared" si="172"/>
        <v>36.9</v>
      </c>
      <c r="T2764">
        <f>IFERROR(VLOOKUP(A2764,Table1[[Customer ID]:[Discount Amount]], 6, FALSE),"Not Found")</f>
        <v>41</v>
      </c>
      <c r="U2764" t="str">
        <f t="shared" si="173"/>
        <v>Debit Card</v>
      </c>
      <c r="V2764" s="4" t="str">
        <f t="shared" si="174"/>
        <v>Normal</v>
      </c>
      <c r="W2764" s="4" t="str">
        <f t="shared" si="175"/>
        <v>Good</v>
      </c>
      <c r="X2764" s="4">
        <f>AVERAGE(Table1[Purchase Amount])</f>
        <v>129.48419400000012</v>
      </c>
    </row>
    <row r="2765" spans="1:24" ht="15" customHeight="1" x14ac:dyDescent="0.25">
      <c r="A2765">
        <v>2764</v>
      </c>
      <c r="B2765">
        <v>28</v>
      </c>
      <c r="C2765" t="s">
        <v>16</v>
      </c>
      <c r="D2765" t="s">
        <v>69</v>
      </c>
      <c r="E2765" t="s">
        <v>29</v>
      </c>
      <c r="F2765" s="2">
        <v>52</v>
      </c>
      <c r="G2765" t="s">
        <v>154</v>
      </c>
      <c r="H2765" t="s">
        <v>31</v>
      </c>
      <c r="I2765" t="s">
        <v>93</v>
      </c>
      <c r="J2765" t="s">
        <v>47</v>
      </c>
      <c r="K2765">
        <v>2.9</v>
      </c>
      <c r="L2765" t="s">
        <v>23</v>
      </c>
      <c r="M2765" t="s">
        <v>41</v>
      </c>
      <c r="N2765" t="s">
        <v>23</v>
      </c>
      <c r="O2765">
        <v>35</v>
      </c>
      <c r="P2765" t="s">
        <v>62</v>
      </c>
      <c r="Q2765" t="s">
        <v>37</v>
      </c>
      <c r="R2765" s="1">
        <v>0.1</v>
      </c>
      <c r="S2765">
        <f t="shared" si="172"/>
        <v>46.8</v>
      </c>
      <c r="T2765">
        <f>IFERROR(VLOOKUP(A2765,Table1[[Customer ID]:[Discount Amount]], 6, FALSE),"Not Found")</f>
        <v>52</v>
      </c>
      <c r="U2765" t="str">
        <f t="shared" si="173"/>
        <v>Venmo</v>
      </c>
      <c r="V2765" s="4" t="str">
        <f t="shared" si="174"/>
        <v>Normal</v>
      </c>
      <c r="W2765" s="4" t="str">
        <f t="shared" si="175"/>
        <v>Poor</v>
      </c>
      <c r="X2765" s="4">
        <f>AVERAGE(Table1[Purchase Amount])</f>
        <v>129.48419400000012</v>
      </c>
    </row>
    <row r="2766" spans="1:24" ht="15" customHeight="1" x14ac:dyDescent="0.25">
      <c r="A2766">
        <v>2765</v>
      </c>
      <c r="B2766">
        <v>63</v>
      </c>
      <c r="C2766" t="s">
        <v>16</v>
      </c>
      <c r="D2766" t="s">
        <v>127</v>
      </c>
      <c r="E2766" t="s">
        <v>18</v>
      </c>
      <c r="F2766" s="2">
        <v>41</v>
      </c>
      <c r="G2766" t="s">
        <v>150</v>
      </c>
      <c r="H2766" t="s">
        <v>20</v>
      </c>
      <c r="I2766" t="s">
        <v>32</v>
      </c>
      <c r="J2766" t="s">
        <v>33</v>
      </c>
      <c r="K2766">
        <v>2.6</v>
      </c>
      <c r="L2766" t="s">
        <v>23</v>
      </c>
      <c r="M2766" t="s">
        <v>79</v>
      </c>
      <c r="N2766" t="s">
        <v>23</v>
      </c>
      <c r="O2766">
        <v>2</v>
      </c>
      <c r="P2766" t="s">
        <v>36</v>
      </c>
      <c r="Q2766" t="s">
        <v>26</v>
      </c>
      <c r="R2766" s="1">
        <v>0.1</v>
      </c>
      <c r="S2766">
        <f t="shared" si="172"/>
        <v>36.9</v>
      </c>
      <c r="T2766">
        <f>IFERROR(VLOOKUP(A2766,Table1[[Customer ID]:[Discount Amount]], 6, FALSE),"Not Found")</f>
        <v>41</v>
      </c>
      <c r="U2766" t="str">
        <f t="shared" si="173"/>
        <v>Debit Card</v>
      </c>
      <c r="V2766" s="4" t="str">
        <f t="shared" si="174"/>
        <v>Normal</v>
      </c>
      <c r="W2766" s="4" t="str">
        <f t="shared" si="175"/>
        <v>Poor</v>
      </c>
      <c r="X2766" s="4">
        <f>AVERAGE(Table1[Purchase Amount])</f>
        <v>129.48419400000012</v>
      </c>
    </row>
    <row r="2767" spans="1:24" ht="15" customHeight="1" x14ac:dyDescent="0.25">
      <c r="A2767">
        <v>2766</v>
      </c>
      <c r="B2767">
        <v>64</v>
      </c>
      <c r="C2767" t="s">
        <v>16</v>
      </c>
      <c r="D2767" t="s">
        <v>43</v>
      </c>
      <c r="E2767" t="s">
        <v>29</v>
      </c>
      <c r="F2767" s="2">
        <v>70</v>
      </c>
      <c r="G2767" t="s">
        <v>92</v>
      </c>
      <c r="H2767" t="s">
        <v>31</v>
      </c>
      <c r="I2767" t="s">
        <v>66</v>
      </c>
      <c r="J2767" t="s">
        <v>57</v>
      </c>
      <c r="K2767">
        <v>4.3</v>
      </c>
      <c r="L2767" t="s">
        <v>23</v>
      </c>
      <c r="M2767" t="s">
        <v>41</v>
      </c>
      <c r="N2767" t="s">
        <v>23</v>
      </c>
      <c r="O2767">
        <v>24</v>
      </c>
      <c r="P2767" t="s">
        <v>53</v>
      </c>
      <c r="Q2767" t="s">
        <v>37</v>
      </c>
      <c r="R2767" s="1">
        <v>0.1</v>
      </c>
      <c r="S2767">
        <f t="shared" si="172"/>
        <v>63</v>
      </c>
      <c r="T2767">
        <f>IFERROR(VLOOKUP(A2767,Table1[[Customer ID]:[Discount Amount]], 6, FALSE),"Not Found")</f>
        <v>70</v>
      </c>
      <c r="U2767" t="str">
        <f t="shared" si="173"/>
        <v>Credit Card</v>
      </c>
      <c r="V2767" s="4" t="str">
        <f t="shared" si="174"/>
        <v>Normal</v>
      </c>
      <c r="W2767" s="4" t="str">
        <f t="shared" si="175"/>
        <v>Good</v>
      </c>
      <c r="X2767" s="4">
        <f>AVERAGE(Table1[Purchase Amount])</f>
        <v>129.48419400000012</v>
      </c>
    </row>
    <row r="2768" spans="1:24" ht="15" customHeight="1" x14ac:dyDescent="0.25">
      <c r="A2768">
        <v>2767</v>
      </c>
      <c r="B2768">
        <v>66</v>
      </c>
      <c r="C2768" t="s">
        <v>16</v>
      </c>
      <c r="D2768" t="s">
        <v>157</v>
      </c>
      <c r="E2768" t="s">
        <v>18</v>
      </c>
      <c r="F2768" s="2">
        <v>91</v>
      </c>
      <c r="G2768" t="s">
        <v>65</v>
      </c>
      <c r="H2768" t="s">
        <v>31</v>
      </c>
      <c r="I2768" t="s">
        <v>128</v>
      </c>
      <c r="J2768" t="s">
        <v>22</v>
      </c>
      <c r="K2768">
        <v>2.8</v>
      </c>
      <c r="L2768" t="s">
        <v>23</v>
      </c>
      <c r="M2768" t="s">
        <v>24</v>
      </c>
      <c r="N2768" t="s">
        <v>23</v>
      </c>
      <c r="O2768">
        <v>47</v>
      </c>
      <c r="P2768" t="s">
        <v>53</v>
      </c>
      <c r="Q2768" t="s">
        <v>42</v>
      </c>
      <c r="R2768" s="1">
        <v>0.1</v>
      </c>
      <c r="S2768">
        <f t="shared" si="172"/>
        <v>81.900000000000006</v>
      </c>
      <c r="T2768">
        <f>IFERROR(VLOOKUP(A2768,Table1[[Customer ID]:[Discount Amount]], 6, FALSE),"Not Found")</f>
        <v>91</v>
      </c>
      <c r="U2768" t="str">
        <f t="shared" si="173"/>
        <v>Credit Card</v>
      </c>
      <c r="V2768" s="4" t="str">
        <f t="shared" si="174"/>
        <v>Normal</v>
      </c>
      <c r="W2768" s="4" t="str">
        <f t="shared" si="175"/>
        <v>Poor</v>
      </c>
      <c r="X2768" s="4">
        <f>AVERAGE(Table1[Purchase Amount])</f>
        <v>129.48419400000012</v>
      </c>
    </row>
    <row r="2769" spans="1:24" ht="15" customHeight="1" x14ac:dyDescent="0.25">
      <c r="A2769">
        <v>2768</v>
      </c>
      <c r="B2769">
        <v>31</v>
      </c>
      <c r="C2769" t="s">
        <v>16</v>
      </c>
      <c r="D2769" t="s">
        <v>157</v>
      </c>
      <c r="E2769" t="s">
        <v>18</v>
      </c>
      <c r="F2769" s="2">
        <v>95</v>
      </c>
      <c r="G2769" t="s">
        <v>141</v>
      </c>
      <c r="H2769" t="s">
        <v>31</v>
      </c>
      <c r="I2769" t="s">
        <v>93</v>
      </c>
      <c r="J2769" t="s">
        <v>33</v>
      </c>
      <c r="K2769">
        <v>4.5</v>
      </c>
      <c r="L2769" t="s">
        <v>23</v>
      </c>
      <c r="M2769" t="s">
        <v>35</v>
      </c>
      <c r="N2769" t="s">
        <v>23</v>
      </c>
      <c r="O2769">
        <v>31</v>
      </c>
      <c r="P2769" t="s">
        <v>25</v>
      </c>
      <c r="Q2769" t="s">
        <v>42</v>
      </c>
      <c r="R2769" s="1">
        <v>0.1</v>
      </c>
      <c r="S2769">
        <f t="shared" si="172"/>
        <v>85.5</v>
      </c>
      <c r="T2769">
        <f>IFERROR(VLOOKUP(A2769,Table1[[Customer ID]:[Discount Amount]], 6, FALSE),"Not Found")</f>
        <v>95</v>
      </c>
      <c r="U2769" t="str">
        <f t="shared" si="173"/>
        <v>Cash</v>
      </c>
      <c r="V2769" s="4" t="str">
        <f t="shared" si="174"/>
        <v>Normal</v>
      </c>
      <c r="W2769" s="4" t="str">
        <f t="shared" si="175"/>
        <v>Good</v>
      </c>
      <c r="X2769" s="4">
        <f>AVERAGE(Table1[Purchase Amount])</f>
        <v>129.48419400000012</v>
      </c>
    </row>
    <row r="2770" spans="1:24" ht="15" customHeight="1" x14ac:dyDescent="0.25">
      <c r="A2770">
        <v>2769</v>
      </c>
      <c r="B2770">
        <v>55</v>
      </c>
      <c r="C2770" t="s">
        <v>16</v>
      </c>
      <c r="D2770" t="s">
        <v>118</v>
      </c>
      <c r="E2770" t="s">
        <v>18</v>
      </c>
      <c r="F2770" s="2">
        <v>25</v>
      </c>
      <c r="G2770" t="s">
        <v>124</v>
      </c>
      <c r="H2770" t="s">
        <v>31</v>
      </c>
      <c r="I2770" t="s">
        <v>56</v>
      </c>
      <c r="J2770" t="s">
        <v>33</v>
      </c>
      <c r="K2770">
        <v>3.8</v>
      </c>
      <c r="L2770" t="s">
        <v>23</v>
      </c>
      <c r="M2770" t="s">
        <v>41</v>
      </c>
      <c r="N2770" t="s">
        <v>23</v>
      </c>
      <c r="O2770">
        <v>28</v>
      </c>
      <c r="P2770" t="s">
        <v>58</v>
      </c>
      <c r="Q2770" t="s">
        <v>68</v>
      </c>
      <c r="R2770" s="1">
        <v>0.1</v>
      </c>
      <c r="S2770">
        <f t="shared" si="172"/>
        <v>22.5</v>
      </c>
      <c r="T2770">
        <f>IFERROR(VLOOKUP(A2770,Table1[[Customer ID]:[Discount Amount]], 6, FALSE),"Not Found")</f>
        <v>25</v>
      </c>
      <c r="U2770" t="str">
        <f t="shared" si="173"/>
        <v>PayPal</v>
      </c>
      <c r="V2770" s="4" t="str">
        <f t="shared" si="174"/>
        <v>Normal</v>
      </c>
      <c r="W2770" s="4" t="str">
        <f t="shared" si="175"/>
        <v>Good</v>
      </c>
      <c r="X2770" s="4">
        <f>AVERAGE(Table1[Purchase Amount])</f>
        <v>129.48419400000012</v>
      </c>
    </row>
    <row r="2771" spans="1:24" ht="15" customHeight="1" x14ac:dyDescent="0.25">
      <c r="A2771">
        <v>2770</v>
      </c>
      <c r="B2771">
        <v>32</v>
      </c>
      <c r="C2771" t="s">
        <v>16</v>
      </c>
      <c r="D2771" t="s">
        <v>38</v>
      </c>
      <c r="E2771" t="s">
        <v>18</v>
      </c>
      <c r="F2771" s="2">
        <v>89</v>
      </c>
      <c r="G2771" t="s">
        <v>142</v>
      </c>
      <c r="H2771" t="s">
        <v>45</v>
      </c>
      <c r="I2771" t="s">
        <v>107</v>
      </c>
      <c r="J2771" t="s">
        <v>47</v>
      </c>
      <c r="K2771">
        <v>3</v>
      </c>
      <c r="L2771" t="s">
        <v>23</v>
      </c>
      <c r="M2771" t="s">
        <v>24</v>
      </c>
      <c r="N2771" t="s">
        <v>23</v>
      </c>
      <c r="O2771">
        <v>13</v>
      </c>
      <c r="P2771" t="s">
        <v>25</v>
      </c>
      <c r="Q2771" t="s">
        <v>26</v>
      </c>
      <c r="R2771" s="1">
        <v>0.1</v>
      </c>
      <c r="S2771">
        <f t="shared" si="172"/>
        <v>80.099999999999994</v>
      </c>
      <c r="T2771">
        <f>IFERROR(VLOOKUP(A2771,Table1[[Customer ID]:[Discount Amount]], 6, FALSE),"Not Found")</f>
        <v>89</v>
      </c>
      <c r="U2771" t="str">
        <f t="shared" si="173"/>
        <v>Cash</v>
      </c>
      <c r="V2771" s="4" t="str">
        <f t="shared" si="174"/>
        <v>Normal</v>
      </c>
      <c r="W2771" s="4" t="str">
        <f t="shared" si="175"/>
        <v>Good</v>
      </c>
      <c r="X2771" s="4">
        <f>AVERAGE(Table1[Purchase Amount])</f>
        <v>129.48419400000012</v>
      </c>
    </row>
    <row r="2772" spans="1:24" ht="15" customHeight="1" x14ac:dyDescent="0.25">
      <c r="A2772">
        <v>2771</v>
      </c>
      <c r="B2772">
        <v>50</v>
      </c>
      <c r="C2772" t="s">
        <v>16</v>
      </c>
      <c r="D2772" t="s">
        <v>151</v>
      </c>
      <c r="E2772" t="s">
        <v>98</v>
      </c>
      <c r="F2772" s="2">
        <v>44</v>
      </c>
      <c r="G2772" t="s">
        <v>137</v>
      </c>
      <c r="H2772" t="s">
        <v>55</v>
      </c>
      <c r="I2772" t="s">
        <v>74</v>
      </c>
      <c r="J2772" t="s">
        <v>47</v>
      </c>
      <c r="K2772">
        <v>3.3</v>
      </c>
      <c r="L2772" t="s">
        <v>23</v>
      </c>
      <c r="M2772" t="s">
        <v>61</v>
      </c>
      <c r="N2772" t="s">
        <v>23</v>
      </c>
      <c r="O2772">
        <v>22</v>
      </c>
      <c r="P2772" t="s">
        <v>88</v>
      </c>
      <c r="Q2772" t="s">
        <v>37</v>
      </c>
      <c r="R2772" s="1">
        <v>0.1</v>
      </c>
      <c r="S2772">
        <f t="shared" si="172"/>
        <v>39.6</v>
      </c>
      <c r="T2772">
        <f>IFERROR(VLOOKUP(A2772,Table1[[Customer ID]:[Discount Amount]], 6, FALSE),"Not Found")</f>
        <v>44</v>
      </c>
      <c r="U2772" t="str">
        <f t="shared" si="173"/>
        <v>Bank Transfer</v>
      </c>
      <c r="V2772" s="4" t="str">
        <f t="shared" si="174"/>
        <v>Normal</v>
      </c>
      <c r="W2772" s="4" t="str">
        <f t="shared" si="175"/>
        <v>Good</v>
      </c>
      <c r="X2772" s="4">
        <f>AVERAGE(Table1[Purchase Amount])</f>
        <v>129.48419400000012</v>
      </c>
    </row>
    <row r="2773" spans="1:24" ht="15" customHeight="1" x14ac:dyDescent="0.25">
      <c r="A2773">
        <v>2772</v>
      </c>
      <c r="B2773">
        <v>58</v>
      </c>
      <c r="C2773" t="s">
        <v>16</v>
      </c>
      <c r="D2773" t="s">
        <v>96</v>
      </c>
      <c r="E2773" t="s">
        <v>77</v>
      </c>
      <c r="F2773" s="2">
        <v>52</v>
      </c>
      <c r="G2773" t="s">
        <v>106</v>
      </c>
      <c r="H2773" t="s">
        <v>55</v>
      </c>
      <c r="I2773" t="s">
        <v>56</v>
      </c>
      <c r="J2773" t="s">
        <v>57</v>
      </c>
      <c r="K2773">
        <v>3.1</v>
      </c>
      <c r="L2773" t="s">
        <v>23</v>
      </c>
      <c r="M2773" t="s">
        <v>41</v>
      </c>
      <c r="N2773" t="s">
        <v>23</v>
      </c>
      <c r="O2773">
        <v>12</v>
      </c>
      <c r="P2773" t="s">
        <v>88</v>
      </c>
      <c r="Q2773" t="s">
        <v>89</v>
      </c>
      <c r="R2773" s="1">
        <v>0.1</v>
      </c>
      <c r="S2773">
        <f t="shared" si="172"/>
        <v>46.8</v>
      </c>
      <c r="T2773">
        <f>IFERROR(VLOOKUP(A2773,Table1[[Customer ID]:[Discount Amount]], 6, FALSE),"Not Found")</f>
        <v>52</v>
      </c>
      <c r="U2773" t="str">
        <f t="shared" si="173"/>
        <v>Bank Transfer</v>
      </c>
      <c r="V2773" s="4" t="str">
        <f t="shared" si="174"/>
        <v>Normal</v>
      </c>
      <c r="W2773" s="4" t="str">
        <f t="shared" si="175"/>
        <v>Good</v>
      </c>
      <c r="X2773" s="4">
        <f>AVERAGE(Table1[Purchase Amount])</f>
        <v>129.48419400000012</v>
      </c>
    </row>
    <row r="2774" spans="1:24" ht="15" customHeight="1" x14ac:dyDescent="0.25">
      <c r="A2774">
        <v>2773</v>
      </c>
      <c r="B2774">
        <v>18</v>
      </c>
      <c r="C2774" t="s">
        <v>16</v>
      </c>
      <c r="D2774" t="s">
        <v>104</v>
      </c>
      <c r="E2774" t="s">
        <v>29</v>
      </c>
      <c r="F2774" s="2">
        <v>94</v>
      </c>
      <c r="G2774" t="s">
        <v>78</v>
      </c>
      <c r="H2774" t="s">
        <v>45</v>
      </c>
      <c r="I2774" t="s">
        <v>74</v>
      </c>
      <c r="J2774" t="s">
        <v>33</v>
      </c>
      <c r="K2774">
        <v>3.5</v>
      </c>
      <c r="L2774" t="s">
        <v>23</v>
      </c>
      <c r="M2774" t="s">
        <v>48</v>
      </c>
      <c r="N2774" t="s">
        <v>23</v>
      </c>
      <c r="O2774">
        <v>10</v>
      </c>
      <c r="P2774" t="s">
        <v>88</v>
      </c>
      <c r="Q2774" t="s">
        <v>63</v>
      </c>
      <c r="R2774" s="1">
        <v>0.1</v>
      </c>
      <c r="S2774">
        <f t="shared" si="172"/>
        <v>84.6</v>
      </c>
      <c r="T2774">
        <f>IFERROR(VLOOKUP(A2774,Table1[[Customer ID]:[Discount Amount]], 6, FALSE),"Not Found")</f>
        <v>94</v>
      </c>
      <c r="U2774" t="str">
        <f t="shared" si="173"/>
        <v>Bank Transfer</v>
      </c>
      <c r="V2774" s="4" t="str">
        <f t="shared" si="174"/>
        <v>Normal</v>
      </c>
      <c r="W2774" s="4" t="str">
        <f t="shared" si="175"/>
        <v>Good</v>
      </c>
      <c r="X2774" s="4">
        <f>AVERAGE(Table1[Purchase Amount])</f>
        <v>129.48419400000012</v>
      </c>
    </row>
    <row r="2775" spans="1:24" ht="15" customHeight="1" x14ac:dyDescent="0.25">
      <c r="A2775">
        <v>2774</v>
      </c>
      <c r="B2775">
        <v>39</v>
      </c>
      <c r="C2775" t="s">
        <v>16</v>
      </c>
      <c r="D2775" t="s">
        <v>99</v>
      </c>
      <c r="E2775" t="s">
        <v>18</v>
      </c>
      <c r="F2775" s="2">
        <v>98</v>
      </c>
      <c r="G2775" t="s">
        <v>150</v>
      </c>
      <c r="H2775" t="s">
        <v>55</v>
      </c>
      <c r="I2775" t="s">
        <v>125</v>
      </c>
      <c r="J2775" t="s">
        <v>33</v>
      </c>
      <c r="K2775">
        <v>4.5999999999999996</v>
      </c>
      <c r="L2775" t="s">
        <v>23</v>
      </c>
      <c r="M2775" t="s">
        <v>61</v>
      </c>
      <c r="N2775" t="s">
        <v>23</v>
      </c>
      <c r="O2775">
        <v>45</v>
      </c>
      <c r="P2775" t="s">
        <v>88</v>
      </c>
      <c r="Q2775" t="s">
        <v>37</v>
      </c>
      <c r="R2775" s="1">
        <v>0.1</v>
      </c>
      <c r="S2775">
        <f t="shared" si="172"/>
        <v>88.2</v>
      </c>
      <c r="T2775">
        <f>IFERROR(VLOOKUP(A2775,Table1[[Customer ID]:[Discount Amount]], 6, FALSE),"Not Found")</f>
        <v>98</v>
      </c>
      <c r="U2775" t="str">
        <f t="shared" si="173"/>
        <v>Bank Transfer</v>
      </c>
      <c r="V2775" s="4" t="str">
        <f t="shared" si="174"/>
        <v>Normal</v>
      </c>
      <c r="W2775" s="4" t="str">
        <f t="shared" si="175"/>
        <v>Good</v>
      </c>
      <c r="X2775" s="4">
        <f>AVERAGE(Table1[Purchase Amount])</f>
        <v>129.48419400000012</v>
      </c>
    </row>
    <row r="2776" spans="1:24" ht="15" customHeight="1" x14ac:dyDescent="0.25">
      <c r="A2776">
        <v>2775</v>
      </c>
      <c r="B2776">
        <v>56</v>
      </c>
      <c r="C2776" t="s">
        <v>16</v>
      </c>
      <c r="D2776" t="s">
        <v>151</v>
      </c>
      <c r="E2776" t="s">
        <v>98</v>
      </c>
      <c r="F2776" s="2">
        <v>40</v>
      </c>
      <c r="G2776" t="s">
        <v>142</v>
      </c>
      <c r="H2776" t="s">
        <v>45</v>
      </c>
      <c r="I2776" t="s">
        <v>52</v>
      </c>
      <c r="J2776" t="s">
        <v>47</v>
      </c>
      <c r="K2776">
        <v>4.0999999999999996</v>
      </c>
      <c r="L2776" t="s">
        <v>23</v>
      </c>
      <c r="M2776" t="s">
        <v>24</v>
      </c>
      <c r="N2776" t="s">
        <v>23</v>
      </c>
      <c r="O2776">
        <v>42</v>
      </c>
      <c r="P2776" t="s">
        <v>53</v>
      </c>
      <c r="Q2776" t="s">
        <v>37</v>
      </c>
      <c r="R2776" s="1">
        <v>0.1</v>
      </c>
      <c r="S2776">
        <f t="shared" si="172"/>
        <v>36</v>
      </c>
      <c r="T2776">
        <f>IFERROR(VLOOKUP(A2776,Table1[[Customer ID]:[Discount Amount]], 6, FALSE),"Not Found")</f>
        <v>40</v>
      </c>
      <c r="U2776" t="str">
        <f t="shared" si="173"/>
        <v>Credit Card</v>
      </c>
      <c r="V2776" s="4" t="str">
        <f t="shared" si="174"/>
        <v>Normal</v>
      </c>
      <c r="W2776" s="4" t="str">
        <f t="shared" si="175"/>
        <v>Good</v>
      </c>
      <c r="X2776" s="4">
        <f>AVERAGE(Table1[Purchase Amount])</f>
        <v>129.48419400000012</v>
      </c>
    </row>
    <row r="2777" spans="1:24" ht="15" customHeight="1" x14ac:dyDescent="0.25">
      <c r="A2777">
        <v>2776</v>
      </c>
      <c r="B2777">
        <v>37</v>
      </c>
      <c r="C2777" t="s">
        <v>16</v>
      </c>
      <c r="D2777" t="s">
        <v>105</v>
      </c>
      <c r="E2777" t="s">
        <v>18</v>
      </c>
      <c r="F2777" s="2">
        <v>25</v>
      </c>
      <c r="G2777" t="s">
        <v>39</v>
      </c>
      <c r="H2777" t="s">
        <v>45</v>
      </c>
      <c r="I2777" t="s">
        <v>46</v>
      </c>
      <c r="J2777" t="s">
        <v>47</v>
      </c>
      <c r="K2777">
        <v>3.6</v>
      </c>
      <c r="L2777" t="s">
        <v>23</v>
      </c>
      <c r="M2777" t="s">
        <v>35</v>
      </c>
      <c r="N2777" t="s">
        <v>23</v>
      </c>
      <c r="O2777">
        <v>16</v>
      </c>
      <c r="P2777" t="s">
        <v>36</v>
      </c>
      <c r="Q2777" t="s">
        <v>26</v>
      </c>
      <c r="R2777" s="1">
        <v>0.1</v>
      </c>
      <c r="S2777">
        <f t="shared" si="172"/>
        <v>22.5</v>
      </c>
      <c r="T2777">
        <f>IFERROR(VLOOKUP(A2777,Table1[[Customer ID]:[Discount Amount]], 6, FALSE),"Not Found")</f>
        <v>25</v>
      </c>
      <c r="U2777" t="str">
        <f t="shared" si="173"/>
        <v>Debit Card</v>
      </c>
      <c r="V2777" s="4" t="str">
        <f t="shared" si="174"/>
        <v>Normal</v>
      </c>
      <c r="W2777" s="4" t="str">
        <f t="shared" si="175"/>
        <v>Good</v>
      </c>
      <c r="X2777" s="4">
        <f>AVERAGE(Table1[Purchase Amount])</f>
        <v>129.48419400000012</v>
      </c>
    </row>
    <row r="2778" spans="1:24" ht="15" customHeight="1" x14ac:dyDescent="0.25">
      <c r="A2778">
        <v>2777</v>
      </c>
      <c r="B2778">
        <v>46</v>
      </c>
      <c r="C2778" t="s">
        <v>16</v>
      </c>
      <c r="D2778" t="s">
        <v>129</v>
      </c>
      <c r="E2778" t="s">
        <v>29</v>
      </c>
      <c r="F2778" s="2">
        <v>62</v>
      </c>
      <c r="G2778" t="s">
        <v>162</v>
      </c>
      <c r="H2778" t="s">
        <v>45</v>
      </c>
      <c r="I2778" t="s">
        <v>93</v>
      </c>
      <c r="J2778" t="s">
        <v>47</v>
      </c>
      <c r="K2778">
        <v>2.9</v>
      </c>
      <c r="L2778" t="s">
        <v>23</v>
      </c>
      <c r="M2778" t="s">
        <v>35</v>
      </c>
      <c r="N2778" t="s">
        <v>23</v>
      </c>
      <c r="O2778">
        <v>6</v>
      </c>
      <c r="P2778" t="s">
        <v>88</v>
      </c>
      <c r="Q2778" t="s">
        <v>49</v>
      </c>
      <c r="R2778" s="1">
        <v>0.1</v>
      </c>
      <c r="S2778">
        <f t="shared" si="172"/>
        <v>55.8</v>
      </c>
      <c r="T2778">
        <f>IFERROR(VLOOKUP(A2778,Table1[[Customer ID]:[Discount Amount]], 6, FALSE),"Not Found")</f>
        <v>62</v>
      </c>
      <c r="U2778" t="str">
        <f t="shared" si="173"/>
        <v>Bank Transfer</v>
      </c>
      <c r="V2778" s="4" t="str">
        <f t="shared" si="174"/>
        <v>Normal</v>
      </c>
      <c r="W2778" s="4" t="str">
        <f t="shared" si="175"/>
        <v>Poor</v>
      </c>
      <c r="X2778" s="4">
        <f>AVERAGE(Table1[Purchase Amount])</f>
        <v>129.48419400000012</v>
      </c>
    </row>
    <row r="2779" spans="1:24" ht="15" customHeight="1" x14ac:dyDescent="0.25">
      <c r="A2779">
        <v>2778</v>
      </c>
      <c r="B2779">
        <v>52</v>
      </c>
      <c r="C2779" t="s">
        <v>16</v>
      </c>
      <c r="D2779" t="s">
        <v>118</v>
      </c>
      <c r="E2779" t="s">
        <v>18</v>
      </c>
      <c r="F2779" s="2">
        <v>24</v>
      </c>
      <c r="G2779" t="s">
        <v>161</v>
      </c>
      <c r="H2779" t="s">
        <v>31</v>
      </c>
      <c r="I2779" t="s">
        <v>87</v>
      </c>
      <c r="J2779" t="s">
        <v>47</v>
      </c>
      <c r="K2779">
        <v>4.8</v>
      </c>
      <c r="L2779" t="s">
        <v>23</v>
      </c>
      <c r="M2779" t="s">
        <v>24</v>
      </c>
      <c r="N2779" t="s">
        <v>23</v>
      </c>
      <c r="O2779">
        <v>28</v>
      </c>
      <c r="P2779" t="s">
        <v>53</v>
      </c>
      <c r="Q2779" t="s">
        <v>63</v>
      </c>
      <c r="R2779" s="1">
        <v>0.1</v>
      </c>
      <c r="S2779">
        <f t="shared" si="172"/>
        <v>21.6</v>
      </c>
      <c r="T2779">
        <f>IFERROR(VLOOKUP(A2779,Table1[[Customer ID]:[Discount Amount]], 6, FALSE),"Not Found")</f>
        <v>24</v>
      </c>
      <c r="U2779" t="str">
        <f t="shared" si="173"/>
        <v>Credit Card</v>
      </c>
      <c r="V2779" s="4" t="str">
        <f t="shared" si="174"/>
        <v>Normal</v>
      </c>
      <c r="W2779" s="4" t="str">
        <f t="shared" si="175"/>
        <v>Good</v>
      </c>
      <c r="X2779" s="4">
        <f>AVERAGE(Table1[Purchase Amount])</f>
        <v>129.48419400000012</v>
      </c>
    </row>
    <row r="2780" spans="1:24" ht="15" customHeight="1" x14ac:dyDescent="0.25">
      <c r="A2780">
        <v>2779</v>
      </c>
      <c r="B2780">
        <v>70</v>
      </c>
      <c r="C2780" t="s">
        <v>16</v>
      </c>
      <c r="D2780" t="s">
        <v>114</v>
      </c>
      <c r="E2780" t="s">
        <v>29</v>
      </c>
      <c r="F2780" s="2">
        <v>57</v>
      </c>
      <c r="G2780" t="s">
        <v>78</v>
      </c>
      <c r="H2780" t="s">
        <v>45</v>
      </c>
      <c r="I2780" t="s">
        <v>52</v>
      </c>
      <c r="J2780" t="s">
        <v>33</v>
      </c>
      <c r="K2780">
        <v>3.2</v>
      </c>
      <c r="L2780" t="s">
        <v>23</v>
      </c>
      <c r="M2780" t="s">
        <v>24</v>
      </c>
      <c r="N2780" t="s">
        <v>23</v>
      </c>
      <c r="O2780">
        <v>24</v>
      </c>
      <c r="P2780" t="s">
        <v>53</v>
      </c>
      <c r="Q2780" t="s">
        <v>68</v>
      </c>
      <c r="R2780" s="1">
        <v>0.1</v>
      </c>
      <c r="S2780">
        <f t="shared" si="172"/>
        <v>51.3</v>
      </c>
      <c r="T2780">
        <f>IFERROR(VLOOKUP(A2780,Table1[[Customer ID]:[Discount Amount]], 6, FALSE),"Not Found")</f>
        <v>57</v>
      </c>
      <c r="U2780" t="str">
        <f t="shared" si="173"/>
        <v>Credit Card</v>
      </c>
      <c r="V2780" s="4" t="str">
        <f t="shared" si="174"/>
        <v>Normal</v>
      </c>
      <c r="W2780" s="4" t="str">
        <f t="shared" si="175"/>
        <v>Good</v>
      </c>
      <c r="X2780" s="4">
        <f>AVERAGE(Table1[Purchase Amount])</f>
        <v>129.48419400000012</v>
      </c>
    </row>
    <row r="2781" spans="1:24" ht="15" customHeight="1" x14ac:dyDescent="0.25">
      <c r="A2781">
        <v>2780</v>
      </c>
      <c r="B2781">
        <v>61</v>
      </c>
      <c r="C2781" t="s">
        <v>16</v>
      </c>
      <c r="D2781" t="s">
        <v>28</v>
      </c>
      <c r="E2781" t="s">
        <v>29</v>
      </c>
      <c r="F2781" s="2">
        <v>66</v>
      </c>
      <c r="G2781" t="s">
        <v>39</v>
      </c>
      <c r="H2781" t="s">
        <v>45</v>
      </c>
      <c r="I2781" t="s">
        <v>74</v>
      </c>
      <c r="J2781" t="s">
        <v>22</v>
      </c>
      <c r="K2781">
        <v>4.3</v>
      </c>
      <c r="L2781" t="s">
        <v>23</v>
      </c>
      <c r="M2781" t="s">
        <v>61</v>
      </c>
      <c r="N2781" t="s">
        <v>23</v>
      </c>
      <c r="O2781">
        <v>14</v>
      </c>
      <c r="P2781" t="s">
        <v>53</v>
      </c>
      <c r="Q2781" t="s">
        <v>89</v>
      </c>
      <c r="R2781" s="1">
        <v>0.1</v>
      </c>
      <c r="S2781">
        <f t="shared" si="172"/>
        <v>59.4</v>
      </c>
      <c r="T2781">
        <f>IFERROR(VLOOKUP(A2781,Table1[[Customer ID]:[Discount Amount]], 6, FALSE),"Not Found")</f>
        <v>66</v>
      </c>
      <c r="U2781" t="str">
        <f t="shared" si="173"/>
        <v>Credit Card</v>
      </c>
      <c r="V2781" s="4" t="str">
        <f t="shared" si="174"/>
        <v>Normal</v>
      </c>
      <c r="W2781" s="4" t="str">
        <f t="shared" si="175"/>
        <v>Good</v>
      </c>
      <c r="X2781" s="4">
        <f>AVERAGE(Table1[Purchase Amount])</f>
        <v>129.48419400000012</v>
      </c>
    </row>
    <row r="2782" spans="1:24" ht="15" customHeight="1" x14ac:dyDescent="0.25">
      <c r="A2782">
        <v>2781</v>
      </c>
      <c r="B2782">
        <v>33</v>
      </c>
      <c r="C2782" t="s">
        <v>16</v>
      </c>
      <c r="D2782" t="s">
        <v>151</v>
      </c>
      <c r="E2782" t="s">
        <v>98</v>
      </c>
      <c r="F2782" s="2">
        <v>70</v>
      </c>
      <c r="G2782" t="s">
        <v>90</v>
      </c>
      <c r="H2782" t="s">
        <v>31</v>
      </c>
      <c r="I2782" t="s">
        <v>103</v>
      </c>
      <c r="J2782" t="s">
        <v>22</v>
      </c>
      <c r="K2782">
        <v>4.0999999999999996</v>
      </c>
      <c r="L2782" t="s">
        <v>23</v>
      </c>
      <c r="M2782" t="s">
        <v>79</v>
      </c>
      <c r="N2782" t="s">
        <v>23</v>
      </c>
      <c r="O2782">
        <v>29</v>
      </c>
      <c r="P2782" t="s">
        <v>58</v>
      </c>
      <c r="Q2782" t="s">
        <v>89</v>
      </c>
      <c r="R2782" s="1">
        <v>0.1</v>
      </c>
      <c r="S2782">
        <f t="shared" si="172"/>
        <v>63</v>
      </c>
      <c r="T2782">
        <f>IFERROR(VLOOKUP(A2782,Table1[[Customer ID]:[Discount Amount]], 6, FALSE),"Not Found")</f>
        <v>70</v>
      </c>
      <c r="U2782" t="str">
        <f t="shared" si="173"/>
        <v>PayPal</v>
      </c>
      <c r="V2782" s="4" t="str">
        <f t="shared" si="174"/>
        <v>Normal</v>
      </c>
      <c r="W2782" s="4" t="str">
        <f t="shared" si="175"/>
        <v>Good</v>
      </c>
      <c r="X2782" s="4">
        <f>AVERAGE(Table1[Purchase Amount])</f>
        <v>129.48419400000012</v>
      </c>
    </row>
    <row r="2783" spans="1:24" ht="15" customHeight="1" x14ac:dyDescent="0.25">
      <c r="A2783">
        <v>2782</v>
      </c>
      <c r="B2783">
        <v>65</v>
      </c>
      <c r="C2783" t="s">
        <v>16</v>
      </c>
      <c r="D2783" t="s">
        <v>121</v>
      </c>
      <c r="E2783" t="s">
        <v>98</v>
      </c>
      <c r="F2783" s="2">
        <v>39</v>
      </c>
      <c r="G2783" t="s">
        <v>149</v>
      </c>
      <c r="H2783" t="s">
        <v>31</v>
      </c>
      <c r="I2783" t="s">
        <v>74</v>
      </c>
      <c r="J2783" t="s">
        <v>33</v>
      </c>
      <c r="K2783">
        <v>4.5999999999999996</v>
      </c>
      <c r="L2783" t="s">
        <v>23</v>
      </c>
      <c r="M2783" t="s">
        <v>24</v>
      </c>
      <c r="N2783" t="s">
        <v>23</v>
      </c>
      <c r="O2783">
        <v>33</v>
      </c>
      <c r="P2783" t="s">
        <v>58</v>
      </c>
      <c r="Q2783" t="s">
        <v>26</v>
      </c>
      <c r="R2783" s="1">
        <v>0.1</v>
      </c>
      <c r="S2783">
        <f t="shared" si="172"/>
        <v>35.1</v>
      </c>
      <c r="T2783">
        <f>IFERROR(VLOOKUP(A2783,Table1[[Customer ID]:[Discount Amount]], 6, FALSE),"Not Found")</f>
        <v>39</v>
      </c>
      <c r="U2783" t="str">
        <f t="shared" si="173"/>
        <v>PayPal</v>
      </c>
      <c r="V2783" s="4" t="str">
        <f t="shared" si="174"/>
        <v>Normal</v>
      </c>
      <c r="W2783" s="4" t="str">
        <f t="shared" si="175"/>
        <v>Good</v>
      </c>
      <c r="X2783" s="4">
        <f>AVERAGE(Table1[Purchase Amount])</f>
        <v>129.48419400000012</v>
      </c>
    </row>
    <row r="2784" spans="1:24" ht="15" customHeight="1" x14ac:dyDescent="0.25">
      <c r="A2784">
        <v>2783</v>
      </c>
      <c r="B2784">
        <v>41</v>
      </c>
      <c r="C2784" t="s">
        <v>16</v>
      </c>
      <c r="D2784" t="s">
        <v>43</v>
      </c>
      <c r="E2784" t="s">
        <v>29</v>
      </c>
      <c r="F2784" s="2">
        <v>34</v>
      </c>
      <c r="G2784" t="s">
        <v>161</v>
      </c>
      <c r="H2784" t="s">
        <v>55</v>
      </c>
      <c r="I2784" t="s">
        <v>128</v>
      </c>
      <c r="J2784" t="s">
        <v>33</v>
      </c>
      <c r="K2784">
        <v>3.8</v>
      </c>
      <c r="L2784" t="s">
        <v>23</v>
      </c>
      <c r="M2784" t="s">
        <v>35</v>
      </c>
      <c r="N2784" t="s">
        <v>23</v>
      </c>
      <c r="O2784">
        <v>30</v>
      </c>
      <c r="P2784" t="s">
        <v>58</v>
      </c>
      <c r="Q2784" t="s">
        <v>49</v>
      </c>
      <c r="R2784" s="1">
        <v>0.1</v>
      </c>
      <c r="S2784">
        <f t="shared" si="172"/>
        <v>30.6</v>
      </c>
      <c r="T2784">
        <f>IFERROR(VLOOKUP(A2784,Table1[[Customer ID]:[Discount Amount]], 6, FALSE),"Not Found")</f>
        <v>34</v>
      </c>
      <c r="U2784" t="str">
        <f t="shared" si="173"/>
        <v>PayPal</v>
      </c>
      <c r="V2784" s="4" t="str">
        <f t="shared" si="174"/>
        <v>Normal</v>
      </c>
      <c r="W2784" s="4" t="str">
        <f t="shared" si="175"/>
        <v>Good</v>
      </c>
      <c r="X2784" s="4">
        <f>AVERAGE(Table1[Purchase Amount])</f>
        <v>129.48419400000012</v>
      </c>
    </row>
    <row r="2785" spans="1:24" ht="15" customHeight="1" x14ac:dyDescent="0.25">
      <c r="A2785">
        <v>2784</v>
      </c>
      <c r="B2785">
        <v>19</v>
      </c>
      <c r="C2785" t="s">
        <v>16</v>
      </c>
      <c r="D2785" t="s">
        <v>122</v>
      </c>
      <c r="E2785" t="s">
        <v>18</v>
      </c>
      <c r="F2785" s="2">
        <v>38</v>
      </c>
      <c r="G2785" t="s">
        <v>138</v>
      </c>
      <c r="H2785" t="s">
        <v>31</v>
      </c>
      <c r="I2785" t="s">
        <v>153</v>
      </c>
      <c r="J2785" t="s">
        <v>33</v>
      </c>
      <c r="K2785">
        <v>4.5</v>
      </c>
      <c r="L2785" t="s">
        <v>23</v>
      </c>
      <c r="M2785" t="s">
        <v>79</v>
      </c>
      <c r="N2785" t="s">
        <v>23</v>
      </c>
      <c r="O2785">
        <v>26</v>
      </c>
      <c r="P2785" t="s">
        <v>53</v>
      </c>
      <c r="Q2785" t="s">
        <v>37</v>
      </c>
      <c r="R2785" s="1">
        <v>0.1</v>
      </c>
      <c r="S2785">
        <f t="shared" si="172"/>
        <v>34.200000000000003</v>
      </c>
      <c r="T2785">
        <f>IFERROR(VLOOKUP(A2785,Table1[[Customer ID]:[Discount Amount]], 6, FALSE),"Not Found")</f>
        <v>38</v>
      </c>
      <c r="U2785" t="str">
        <f t="shared" si="173"/>
        <v>Credit Card</v>
      </c>
      <c r="V2785" s="4" t="str">
        <f t="shared" si="174"/>
        <v>Normal</v>
      </c>
      <c r="W2785" s="4" t="str">
        <f t="shared" si="175"/>
        <v>Good</v>
      </c>
      <c r="X2785" s="4">
        <f>AVERAGE(Table1[Purchase Amount])</f>
        <v>129.48419400000012</v>
      </c>
    </row>
    <row r="2786" spans="1:24" ht="15" customHeight="1" x14ac:dyDescent="0.25">
      <c r="A2786">
        <v>2785</v>
      </c>
      <c r="B2786">
        <v>33</v>
      </c>
      <c r="C2786" t="s">
        <v>16</v>
      </c>
      <c r="D2786" t="s">
        <v>122</v>
      </c>
      <c r="E2786" t="s">
        <v>18</v>
      </c>
      <c r="F2786" s="2">
        <v>70</v>
      </c>
      <c r="G2786" t="s">
        <v>161</v>
      </c>
      <c r="H2786" t="s">
        <v>31</v>
      </c>
      <c r="I2786" t="s">
        <v>40</v>
      </c>
      <c r="J2786" t="s">
        <v>22</v>
      </c>
      <c r="K2786">
        <v>3.1</v>
      </c>
      <c r="L2786" t="s">
        <v>23</v>
      </c>
      <c r="M2786" t="s">
        <v>61</v>
      </c>
      <c r="N2786" t="s">
        <v>23</v>
      </c>
      <c r="O2786">
        <v>12</v>
      </c>
      <c r="P2786" t="s">
        <v>58</v>
      </c>
      <c r="Q2786" t="s">
        <v>63</v>
      </c>
      <c r="R2786" s="1">
        <v>0.1</v>
      </c>
      <c r="S2786">
        <f t="shared" si="172"/>
        <v>63</v>
      </c>
      <c r="T2786">
        <f>IFERROR(VLOOKUP(A2786,Table1[[Customer ID]:[Discount Amount]], 6, FALSE),"Not Found")</f>
        <v>70</v>
      </c>
      <c r="U2786" t="str">
        <f t="shared" si="173"/>
        <v>PayPal</v>
      </c>
      <c r="V2786" s="4" t="str">
        <f t="shared" si="174"/>
        <v>Normal</v>
      </c>
      <c r="W2786" s="4" t="str">
        <f t="shared" si="175"/>
        <v>Good</v>
      </c>
      <c r="X2786" s="4">
        <f>AVERAGE(Table1[Purchase Amount])</f>
        <v>129.48419400000012</v>
      </c>
    </row>
    <row r="2787" spans="1:24" ht="15" customHeight="1" x14ac:dyDescent="0.25">
      <c r="A2787">
        <v>2786</v>
      </c>
      <c r="B2787">
        <v>53</v>
      </c>
      <c r="C2787" t="s">
        <v>16</v>
      </c>
      <c r="D2787" t="s">
        <v>118</v>
      </c>
      <c r="E2787" t="s">
        <v>18</v>
      </c>
      <c r="F2787" s="2">
        <v>80</v>
      </c>
      <c r="G2787" t="s">
        <v>119</v>
      </c>
      <c r="H2787" t="s">
        <v>55</v>
      </c>
      <c r="I2787" t="s">
        <v>93</v>
      </c>
      <c r="J2787" t="s">
        <v>57</v>
      </c>
      <c r="K2787">
        <v>2.9</v>
      </c>
      <c r="L2787" t="s">
        <v>23</v>
      </c>
      <c r="M2787" t="s">
        <v>79</v>
      </c>
      <c r="N2787" t="s">
        <v>23</v>
      </c>
      <c r="O2787">
        <v>13</v>
      </c>
      <c r="P2787" t="s">
        <v>88</v>
      </c>
      <c r="Q2787" t="s">
        <v>42</v>
      </c>
      <c r="R2787" s="1">
        <v>0.1</v>
      </c>
      <c r="S2787">
        <f t="shared" si="172"/>
        <v>72</v>
      </c>
      <c r="T2787">
        <f>IFERROR(VLOOKUP(A2787,Table1[[Customer ID]:[Discount Amount]], 6, FALSE),"Not Found")</f>
        <v>80</v>
      </c>
      <c r="U2787" t="str">
        <f t="shared" si="173"/>
        <v>Bank Transfer</v>
      </c>
      <c r="V2787" s="4" t="str">
        <f t="shared" si="174"/>
        <v>Normal</v>
      </c>
      <c r="W2787" s="4" t="str">
        <f t="shared" si="175"/>
        <v>Poor</v>
      </c>
      <c r="X2787" s="4">
        <f>AVERAGE(Table1[Purchase Amount])</f>
        <v>129.48419400000012</v>
      </c>
    </row>
    <row r="2788" spans="1:24" ht="15" customHeight="1" x14ac:dyDescent="0.25">
      <c r="A2788">
        <v>2787</v>
      </c>
      <c r="B2788">
        <v>54</v>
      </c>
      <c r="C2788" t="s">
        <v>16</v>
      </c>
      <c r="D2788" t="s">
        <v>69</v>
      </c>
      <c r="E2788" t="s">
        <v>29</v>
      </c>
      <c r="F2788" s="2">
        <v>51</v>
      </c>
      <c r="G2788" t="s">
        <v>92</v>
      </c>
      <c r="H2788" t="s">
        <v>31</v>
      </c>
      <c r="I2788" t="s">
        <v>111</v>
      </c>
      <c r="J2788" t="s">
        <v>33</v>
      </c>
      <c r="K2788">
        <v>3.8</v>
      </c>
      <c r="L2788" t="s">
        <v>23</v>
      </c>
      <c r="M2788" t="s">
        <v>79</v>
      </c>
      <c r="N2788" t="s">
        <v>23</v>
      </c>
      <c r="O2788">
        <v>41</v>
      </c>
      <c r="P2788" t="s">
        <v>36</v>
      </c>
      <c r="Q2788" t="s">
        <v>63</v>
      </c>
      <c r="R2788" s="1">
        <v>0.1</v>
      </c>
      <c r="S2788">
        <f t="shared" si="172"/>
        <v>45.9</v>
      </c>
      <c r="T2788">
        <f>IFERROR(VLOOKUP(A2788,Table1[[Customer ID]:[Discount Amount]], 6, FALSE),"Not Found")</f>
        <v>51</v>
      </c>
      <c r="U2788" t="str">
        <f t="shared" si="173"/>
        <v>Debit Card</v>
      </c>
      <c r="V2788" s="4" t="str">
        <f t="shared" si="174"/>
        <v>Normal</v>
      </c>
      <c r="W2788" s="4" t="str">
        <f t="shared" si="175"/>
        <v>Good</v>
      </c>
      <c r="X2788" s="4">
        <f>AVERAGE(Table1[Purchase Amount])</f>
        <v>129.48419400000012</v>
      </c>
    </row>
    <row r="2789" spans="1:24" ht="15" customHeight="1" x14ac:dyDescent="0.25">
      <c r="A2789">
        <v>2788</v>
      </c>
      <c r="B2789">
        <v>36</v>
      </c>
      <c r="C2789" t="s">
        <v>16</v>
      </c>
      <c r="D2789" t="s">
        <v>151</v>
      </c>
      <c r="E2789" t="s">
        <v>98</v>
      </c>
      <c r="F2789" s="2">
        <v>79</v>
      </c>
      <c r="G2789" t="s">
        <v>154</v>
      </c>
      <c r="H2789" t="s">
        <v>20</v>
      </c>
      <c r="I2789" t="s">
        <v>136</v>
      </c>
      <c r="J2789" t="s">
        <v>33</v>
      </c>
      <c r="K2789">
        <v>4.0999999999999996</v>
      </c>
      <c r="L2789" t="s">
        <v>23</v>
      </c>
      <c r="M2789" t="s">
        <v>79</v>
      </c>
      <c r="N2789" t="s">
        <v>23</v>
      </c>
      <c r="O2789">
        <v>4</v>
      </c>
      <c r="P2789" t="s">
        <v>62</v>
      </c>
      <c r="Q2789" t="s">
        <v>89</v>
      </c>
      <c r="R2789" s="1">
        <v>0.1</v>
      </c>
      <c r="S2789">
        <f t="shared" si="172"/>
        <v>71.099999999999994</v>
      </c>
      <c r="T2789">
        <f>IFERROR(VLOOKUP(A2789,Table1[[Customer ID]:[Discount Amount]], 6, FALSE),"Not Found")</f>
        <v>79</v>
      </c>
      <c r="U2789" t="str">
        <f t="shared" si="173"/>
        <v>Venmo</v>
      </c>
      <c r="V2789" s="4" t="str">
        <f t="shared" si="174"/>
        <v>Normal</v>
      </c>
      <c r="W2789" s="4" t="str">
        <f t="shared" si="175"/>
        <v>Good</v>
      </c>
      <c r="X2789" s="4">
        <f>AVERAGE(Table1[Purchase Amount])</f>
        <v>129.48419400000012</v>
      </c>
    </row>
    <row r="2790" spans="1:24" ht="15" customHeight="1" x14ac:dyDescent="0.25">
      <c r="A2790">
        <v>2789</v>
      </c>
      <c r="B2790">
        <v>56</v>
      </c>
      <c r="C2790" t="s">
        <v>16</v>
      </c>
      <c r="D2790" t="s">
        <v>151</v>
      </c>
      <c r="E2790" t="s">
        <v>98</v>
      </c>
      <c r="F2790" s="2">
        <v>92</v>
      </c>
      <c r="G2790" t="s">
        <v>159</v>
      </c>
      <c r="H2790" t="s">
        <v>31</v>
      </c>
      <c r="I2790" t="s">
        <v>21</v>
      </c>
      <c r="J2790" t="s">
        <v>57</v>
      </c>
      <c r="K2790">
        <v>3.1</v>
      </c>
      <c r="L2790" t="s">
        <v>23</v>
      </c>
      <c r="M2790" t="s">
        <v>35</v>
      </c>
      <c r="N2790" t="s">
        <v>23</v>
      </c>
      <c r="O2790">
        <v>2</v>
      </c>
      <c r="P2790" t="s">
        <v>53</v>
      </c>
      <c r="Q2790" t="s">
        <v>49</v>
      </c>
      <c r="R2790" s="1">
        <v>0.1</v>
      </c>
      <c r="S2790">
        <f t="shared" si="172"/>
        <v>82.8</v>
      </c>
      <c r="T2790">
        <f>IFERROR(VLOOKUP(A2790,Table1[[Customer ID]:[Discount Amount]], 6, FALSE),"Not Found")</f>
        <v>92</v>
      </c>
      <c r="U2790" t="str">
        <f t="shared" si="173"/>
        <v>Credit Card</v>
      </c>
      <c r="V2790" s="4" t="str">
        <f t="shared" si="174"/>
        <v>Normal</v>
      </c>
      <c r="W2790" s="4" t="str">
        <f t="shared" si="175"/>
        <v>Good</v>
      </c>
      <c r="X2790" s="4">
        <f>AVERAGE(Table1[Purchase Amount])</f>
        <v>129.48419400000012</v>
      </c>
    </row>
    <row r="2791" spans="1:24" ht="15" customHeight="1" x14ac:dyDescent="0.25">
      <c r="A2791">
        <v>2790</v>
      </c>
      <c r="B2791">
        <v>28</v>
      </c>
      <c r="C2791" t="s">
        <v>16</v>
      </c>
      <c r="D2791" t="s">
        <v>127</v>
      </c>
      <c r="E2791" t="s">
        <v>18</v>
      </c>
      <c r="F2791" s="2">
        <v>85</v>
      </c>
      <c r="G2791" t="s">
        <v>134</v>
      </c>
      <c r="H2791" t="s">
        <v>45</v>
      </c>
      <c r="I2791" t="s">
        <v>108</v>
      </c>
      <c r="J2791" t="s">
        <v>47</v>
      </c>
      <c r="K2791">
        <v>5</v>
      </c>
      <c r="L2791" t="s">
        <v>23</v>
      </c>
      <c r="M2791" t="s">
        <v>61</v>
      </c>
      <c r="N2791" t="s">
        <v>23</v>
      </c>
      <c r="O2791">
        <v>28</v>
      </c>
      <c r="P2791" t="s">
        <v>53</v>
      </c>
      <c r="Q2791" t="s">
        <v>68</v>
      </c>
      <c r="R2791" s="1">
        <v>0.1</v>
      </c>
      <c r="S2791">
        <f t="shared" si="172"/>
        <v>76.5</v>
      </c>
      <c r="T2791">
        <f>IFERROR(VLOOKUP(A2791,Table1[[Customer ID]:[Discount Amount]], 6, FALSE),"Not Found")</f>
        <v>85</v>
      </c>
      <c r="U2791" t="str">
        <f t="shared" si="173"/>
        <v>Credit Card</v>
      </c>
      <c r="V2791" s="4" t="str">
        <f t="shared" si="174"/>
        <v>Normal</v>
      </c>
      <c r="W2791" s="4" t="str">
        <f t="shared" si="175"/>
        <v>Good</v>
      </c>
      <c r="X2791" s="4">
        <f>AVERAGE(Table1[Purchase Amount])</f>
        <v>129.48419400000012</v>
      </c>
    </row>
    <row r="2792" spans="1:24" ht="15" customHeight="1" x14ac:dyDescent="0.25">
      <c r="A2792">
        <v>2791</v>
      </c>
      <c r="B2792">
        <v>34</v>
      </c>
      <c r="C2792" t="s">
        <v>16</v>
      </c>
      <c r="D2792" t="s">
        <v>105</v>
      </c>
      <c r="E2792" t="s">
        <v>18</v>
      </c>
      <c r="F2792" s="2">
        <v>63</v>
      </c>
      <c r="G2792" t="s">
        <v>94</v>
      </c>
      <c r="H2792" t="s">
        <v>31</v>
      </c>
      <c r="I2792" t="s">
        <v>40</v>
      </c>
      <c r="J2792" t="s">
        <v>33</v>
      </c>
      <c r="K2792">
        <v>4.5</v>
      </c>
      <c r="L2792" t="s">
        <v>23</v>
      </c>
      <c r="M2792" t="s">
        <v>35</v>
      </c>
      <c r="N2792" t="s">
        <v>23</v>
      </c>
      <c r="O2792">
        <v>24</v>
      </c>
      <c r="P2792" t="s">
        <v>36</v>
      </c>
      <c r="Q2792" t="s">
        <v>49</v>
      </c>
      <c r="R2792" s="1">
        <v>0.1</v>
      </c>
      <c r="S2792">
        <f t="shared" si="172"/>
        <v>56.7</v>
      </c>
      <c r="T2792">
        <f>IFERROR(VLOOKUP(A2792,Table1[[Customer ID]:[Discount Amount]], 6, FALSE),"Not Found")</f>
        <v>63</v>
      </c>
      <c r="U2792" t="str">
        <f t="shared" si="173"/>
        <v>Debit Card</v>
      </c>
      <c r="V2792" s="4" t="str">
        <f t="shared" si="174"/>
        <v>Normal</v>
      </c>
      <c r="W2792" s="4" t="str">
        <f t="shared" si="175"/>
        <v>Good</v>
      </c>
      <c r="X2792" s="4">
        <f>AVERAGE(Table1[Purchase Amount])</f>
        <v>129.48419400000012</v>
      </c>
    </row>
    <row r="2793" spans="1:24" ht="15" customHeight="1" x14ac:dyDescent="0.25">
      <c r="A2793">
        <v>2792</v>
      </c>
      <c r="B2793">
        <v>43</v>
      </c>
      <c r="C2793" t="s">
        <v>16</v>
      </c>
      <c r="D2793" t="s">
        <v>43</v>
      </c>
      <c r="E2793" t="s">
        <v>29</v>
      </c>
      <c r="F2793" s="2">
        <v>60</v>
      </c>
      <c r="G2793" t="s">
        <v>141</v>
      </c>
      <c r="H2793" t="s">
        <v>31</v>
      </c>
      <c r="I2793" t="s">
        <v>52</v>
      </c>
      <c r="J2793" t="s">
        <v>47</v>
      </c>
      <c r="K2793">
        <v>2.8</v>
      </c>
      <c r="L2793" t="s">
        <v>23</v>
      </c>
      <c r="M2793" t="s">
        <v>61</v>
      </c>
      <c r="N2793" t="s">
        <v>23</v>
      </c>
      <c r="O2793">
        <v>14</v>
      </c>
      <c r="P2793" t="s">
        <v>62</v>
      </c>
      <c r="Q2793" t="s">
        <v>89</v>
      </c>
      <c r="R2793" s="1">
        <v>0.1</v>
      </c>
      <c r="S2793">
        <f t="shared" si="172"/>
        <v>54</v>
      </c>
      <c r="T2793">
        <f>IFERROR(VLOOKUP(A2793,Table1[[Customer ID]:[Discount Amount]], 6, FALSE),"Not Found")</f>
        <v>60</v>
      </c>
      <c r="U2793" t="str">
        <f t="shared" si="173"/>
        <v>Venmo</v>
      </c>
      <c r="V2793" s="4" t="str">
        <f t="shared" si="174"/>
        <v>Normal</v>
      </c>
      <c r="W2793" s="4" t="str">
        <f t="shared" si="175"/>
        <v>Poor</v>
      </c>
      <c r="X2793" s="4">
        <f>AVERAGE(Table1[Purchase Amount])</f>
        <v>129.48419400000012</v>
      </c>
    </row>
    <row r="2794" spans="1:24" ht="15" customHeight="1" x14ac:dyDescent="0.25">
      <c r="A2794">
        <v>2793</v>
      </c>
      <c r="B2794">
        <v>54</v>
      </c>
      <c r="C2794" t="s">
        <v>16</v>
      </c>
      <c r="D2794" t="s">
        <v>54</v>
      </c>
      <c r="E2794" t="s">
        <v>18</v>
      </c>
      <c r="F2794" s="2">
        <v>44</v>
      </c>
      <c r="G2794" t="s">
        <v>70</v>
      </c>
      <c r="H2794" t="s">
        <v>45</v>
      </c>
      <c r="I2794" t="s">
        <v>111</v>
      </c>
      <c r="J2794" t="s">
        <v>22</v>
      </c>
      <c r="K2794">
        <v>3.2</v>
      </c>
      <c r="L2794" t="s">
        <v>23</v>
      </c>
      <c r="M2794" t="s">
        <v>61</v>
      </c>
      <c r="N2794" t="s">
        <v>23</v>
      </c>
      <c r="O2794">
        <v>11</v>
      </c>
      <c r="P2794" t="s">
        <v>53</v>
      </c>
      <c r="Q2794" t="s">
        <v>26</v>
      </c>
      <c r="R2794" s="1">
        <v>0.1</v>
      </c>
      <c r="S2794">
        <f t="shared" si="172"/>
        <v>39.6</v>
      </c>
      <c r="T2794">
        <f>IFERROR(VLOOKUP(A2794,Table1[[Customer ID]:[Discount Amount]], 6, FALSE),"Not Found")</f>
        <v>44</v>
      </c>
      <c r="U2794" t="str">
        <f t="shared" si="173"/>
        <v>Credit Card</v>
      </c>
      <c r="V2794" s="4" t="str">
        <f t="shared" si="174"/>
        <v>Normal</v>
      </c>
      <c r="W2794" s="4" t="str">
        <f t="shared" si="175"/>
        <v>Good</v>
      </c>
      <c r="X2794" s="4">
        <f>AVERAGE(Table1[Purchase Amount])</f>
        <v>129.48419400000012</v>
      </c>
    </row>
    <row r="2795" spans="1:24" ht="15" customHeight="1" x14ac:dyDescent="0.25">
      <c r="A2795">
        <v>2794</v>
      </c>
      <c r="B2795">
        <v>37</v>
      </c>
      <c r="C2795" t="s">
        <v>16</v>
      </c>
      <c r="D2795" t="s">
        <v>151</v>
      </c>
      <c r="E2795" t="s">
        <v>98</v>
      </c>
      <c r="F2795" s="2">
        <v>57</v>
      </c>
      <c r="G2795" t="s">
        <v>97</v>
      </c>
      <c r="H2795" t="s">
        <v>31</v>
      </c>
      <c r="I2795" t="s">
        <v>153</v>
      </c>
      <c r="J2795" t="s">
        <v>33</v>
      </c>
      <c r="K2795">
        <v>3.1</v>
      </c>
      <c r="L2795" t="s">
        <v>23</v>
      </c>
      <c r="M2795" t="s">
        <v>24</v>
      </c>
      <c r="N2795" t="s">
        <v>23</v>
      </c>
      <c r="O2795">
        <v>27</v>
      </c>
      <c r="P2795" t="s">
        <v>36</v>
      </c>
      <c r="Q2795" t="s">
        <v>68</v>
      </c>
      <c r="R2795" s="1">
        <v>0.1</v>
      </c>
      <c r="S2795">
        <f t="shared" si="172"/>
        <v>51.3</v>
      </c>
      <c r="T2795">
        <f>IFERROR(VLOOKUP(A2795,Table1[[Customer ID]:[Discount Amount]], 6, FALSE),"Not Found")</f>
        <v>57</v>
      </c>
      <c r="U2795" t="str">
        <f t="shared" si="173"/>
        <v>Debit Card</v>
      </c>
      <c r="V2795" s="4" t="str">
        <f t="shared" si="174"/>
        <v>Normal</v>
      </c>
      <c r="W2795" s="4" t="str">
        <f t="shared" si="175"/>
        <v>Good</v>
      </c>
      <c r="X2795" s="4">
        <f>AVERAGE(Table1[Purchase Amount])</f>
        <v>129.48419400000012</v>
      </c>
    </row>
    <row r="2796" spans="1:24" ht="15" customHeight="1" x14ac:dyDescent="0.25">
      <c r="A2796">
        <v>2795</v>
      </c>
      <c r="B2796">
        <v>33</v>
      </c>
      <c r="C2796" t="s">
        <v>16</v>
      </c>
      <c r="D2796" t="s">
        <v>96</v>
      </c>
      <c r="E2796" t="s">
        <v>77</v>
      </c>
      <c r="F2796" s="2">
        <v>24</v>
      </c>
      <c r="G2796" t="s">
        <v>101</v>
      </c>
      <c r="H2796" t="s">
        <v>31</v>
      </c>
      <c r="I2796" t="s">
        <v>133</v>
      </c>
      <c r="J2796" t="s">
        <v>47</v>
      </c>
      <c r="K2796">
        <v>3.3</v>
      </c>
      <c r="L2796" t="s">
        <v>23</v>
      </c>
      <c r="M2796" t="s">
        <v>24</v>
      </c>
      <c r="N2796" t="s">
        <v>23</v>
      </c>
      <c r="O2796">
        <v>7</v>
      </c>
      <c r="P2796" t="s">
        <v>25</v>
      </c>
      <c r="Q2796" t="s">
        <v>89</v>
      </c>
      <c r="R2796" s="1">
        <v>0.1</v>
      </c>
      <c r="S2796">
        <f t="shared" si="172"/>
        <v>21.6</v>
      </c>
      <c r="T2796">
        <f>IFERROR(VLOOKUP(A2796,Table1[[Customer ID]:[Discount Amount]], 6, FALSE),"Not Found")</f>
        <v>24</v>
      </c>
      <c r="U2796" t="str">
        <f t="shared" si="173"/>
        <v>Cash</v>
      </c>
      <c r="V2796" s="4" t="str">
        <f t="shared" si="174"/>
        <v>Normal</v>
      </c>
      <c r="W2796" s="4" t="str">
        <f t="shared" si="175"/>
        <v>Good</v>
      </c>
      <c r="X2796" s="4">
        <f>AVERAGE(Table1[Purchase Amount])</f>
        <v>129.48419400000012</v>
      </c>
    </row>
    <row r="2797" spans="1:24" ht="15" customHeight="1" x14ac:dyDescent="0.25">
      <c r="A2797">
        <v>2796</v>
      </c>
      <c r="B2797">
        <v>33</v>
      </c>
      <c r="C2797" t="s">
        <v>16</v>
      </c>
      <c r="D2797" t="s">
        <v>129</v>
      </c>
      <c r="E2797" t="s">
        <v>29</v>
      </c>
      <c r="F2797" s="2">
        <v>35</v>
      </c>
      <c r="G2797" t="s">
        <v>137</v>
      </c>
      <c r="H2797" t="s">
        <v>31</v>
      </c>
      <c r="I2797" t="s">
        <v>87</v>
      </c>
      <c r="J2797" t="s">
        <v>22</v>
      </c>
      <c r="K2797">
        <v>3.4</v>
      </c>
      <c r="L2797" t="s">
        <v>23</v>
      </c>
      <c r="M2797" t="s">
        <v>48</v>
      </c>
      <c r="N2797" t="s">
        <v>23</v>
      </c>
      <c r="O2797">
        <v>49</v>
      </c>
      <c r="P2797" t="s">
        <v>58</v>
      </c>
      <c r="Q2797" t="s">
        <v>49</v>
      </c>
      <c r="R2797" s="1">
        <v>0.1</v>
      </c>
      <c r="S2797">
        <f t="shared" si="172"/>
        <v>31.5</v>
      </c>
      <c r="T2797">
        <f>IFERROR(VLOOKUP(A2797,Table1[[Customer ID]:[Discount Amount]], 6, FALSE),"Not Found")</f>
        <v>35</v>
      </c>
      <c r="U2797" t="str">
        <f t="shared" si="173"/>
        <v>PayPal</v>
      </c>
      <c r="V2797" s="4" t="str">
        <f t="shared" si="174"/>
        <v>Normal</v>
      </c>
      <c r="W2797" s="4" t="str">
        <f t="shared" si="175"/>
        <v>Good</v>
      </c>
      <c r="X2797" s="4">
        <f>AVERAGE(Table1[Purchase Amount])</f>
        <v>129.48419400000012</v>
      </c>
    </row>
    <row r="2798" spans="1:24" ht="15" customHeight="1" x14ac:dyDescent="0.25">
      <c r="A2798">
        <v>2797</v>
      </c>
      <c r="B2798">
        <v>55</v>
      </c>
      <c r="C2798" t="s">
        <v>16</v>
      </c>
      <c r="D2798" t="s">
        <v>96</v>
      </c>
      <c r="E2798" t="s">
        <v>77</v>
      </c>
      <c r="F2798" s="2">
        <v>73</v>
      </c>
      <c r="G2798" t="s">
        <v>142</v>
      </c>
      <c r="H2798" t="s">
        <v>31</v>
      </c>
      <c r="I2798" t="s">
        <v>46</v>
      </c>
      <c r="J2798" t="s">
        <v>22</v>
      </c>
      <c r="K2798">
        <v>3.8</v>
      </c>
      <c r="L2798" t="s">
        <v>23</v>
      </c>
      <c r="M2798" t="s">
        <v>48</v>
      </c>
      <c r="N2798" t="s">
        <v>23</v>
      </c>
      <c r="O2798">
        <v>21</v>
      </c>
      <c r="P2798" t="s">
        <v>25</v>
      </c>
      <c r="Q2798" t="s">
        <v>49</v>
      </c>
      <c r="R2798" s="1">
        <v>0.1</v>
      </c>
      <c r="S2798">
        <f t="shared" si="172"/>
        <v>65.7</v>
      </c>
      <c r="T2798">
        <f>IFERROR(VLOOKUP(A2798,Table1[[Customer ID]:[Discount Amount]], 6, FALSE),"Not Found")</f>
        <v>73</v>
      </c>
      <c r="U2798" t="str">
        <f t="shared" si="173"/>
        <v>Cash</v>
      </c>
      <c r="V2798" s="4" t="str">
        <f t="shared" si="174"/>
        <v>Normal</v>
      </c>
      <c r="W2798" s="4" t="str">
        <f t="shared" si="175"/>
        <v>Good</v>
      </c>
      <c r="X2798" s="4">
        <f>AVERAGE(Table1[Purchase Amount])</f>
        <v>129.48419400000012</v>
      </c>
    </row>
    <row r="2799" spans="1:24" ht="15" customHeight="1" x14ac:dyDescent="0.25">
      <c r="A2799">
        <v>2798</v>
      </c>
      <c r="B2799">
        <v>63</v>
      </c>
      <c r="C2799" t="s">
        <v>16</v>
      </c>
      <c r="D2799" t="s">
        <v>50</v>
      </c>
      <c r="E2799" t="s">
        <v>29</v>
      </c>
      <c r="F2799" s="2">
        <v>42</v>
      </c>
      <c r="G2799" t="s">
        <v>142</v>
      </c>
      <c r="H2799" t="s">
        <v>31</v>
      </c>
      <c r="I2799" t="s">
        <v>93</v>
      </c>
      <c r="J2799" t="s">
        <v>22</v>
      </c>
      <c r="K2799">
        <v>3.5</v>
      </c>
      <c r="L2799" t="s">
        <v>23</v>
      </c>
      <c r="M2799" t="s">
        <v>61</v>
      </c>
      <c r="N2799" t="s">
        <v>23</v>
      </c>
      <c r="O2799">
        <v>10</v>
      </c>
      <c r="P2799" t="s">
        <v>62</v>
      </c>
      <c r="Q2799" t="s">
        <v>63</v>
      </c>
      <c r="R2799" s="1">
        <v>0.1</v>
      </c>
      <c r="S2799">
        <f t="shared" si="172"/>
        <v>37.799999999999997</v>
      </c>
      <c r="T2799">
        <f>IFERROR(VLOOKUP(A2799,Table1[[Customer ID]:[Discount Amount]], 6, FALSE),"Not Found")</f>
        <v>42</v>
      </c>
      <c r="U2799" t="str">
        <f t="shared" si="173"/>
        <v>Venmo</v>
      </c>
      <c r="V2799" s="4" t="str">
        <f t="shared" si="174"/>
        <v>Normal</v>
      </c>
      <c r="W2799" s="4" t="str">
        <f t="shared" si="175"/>
        <v>Good</v>
      </c>
      <c r="X2799" s="4">
        <f>AVERAGE(Table1[Purchase Amount])</f>
        <v>129.48419400000012</v>
      </c>
    </row>
    <row r="2800" spans="1:24" ht="15" customHeight="1" x14ac:dyDescent="0.25">
      <c r="A2800">
        <v>2799</v>
      </c>
      <c r="B2800">
        <v>52</v>
      </c>
      <c r="C2800" t="s">
        <v>16</v>
      </c>
      <c r="D2800" t="s">
        <v>83</v>
      </c>
      <c r="E2800" t="s">
        <v>18</v>
      </c>
      <c r="F2800" s="2">
        <v>20</v>
      </c>
      <c r="G2800" t="s">
        <v>159</v>
      </c>
      <c r="H2800" t="s">
        <v>20</v>
      </c>
      <c r="I2800" t="s">
        <v>46</v>
      </c>
      <c r="J2800" t="s">
        <v>22</v>
      </c>
      <c r="K2800">
        <v>4.8</v>
      </c>
      <c r="L2800" t="s">
        <v>23</v>
      </c>
      <c r="M2800" t="s">
        <v>48</v>
      </c>
      <c r="N2800" t="s">
        <v>23</v>
      </c>
      <c r="O2800">
        <v>37</v>
      </c>
      <c r="P2800" t="s">
        <v>58</v>
      </c>
      <c r="Q2800" t="s">
        <v>26</v>
      </c>
      <c r="R2800" s="1">
        <v>0.1</v>
      </c>
      <c r="S2800">
        <f t="shared" si="172"/>
        <v>18</v>
      </c>
      <c r="T2800">
        <f>IFERROR(VLOOKUP(A2800,Table1[[Customer ID]:[Discount Amount]], 6, FALSE),"Not Found")</f>
        <v>20</v>
      </c>
      <c r="U2800" t="str">
        <f t="shared" si="173"/>
        <v>PayPal</v>
      </c>
      <c r="V2800" s="4" t="str">
        <f t="shared" si="174"/>
        <v>Normal</v>
      </c>
      <c r="W2800" s="4" t="str">
        <f t="shared" si="175"/>
        <v>Good</v>
      </c>
      <c r="X2800" s="4">
        <f>AVERAGE(Table1[Purchase Amount])</f>
        <v>129.48419400000012</v>
      </c>
    </row>
    <row r="2801" spans="1:24" ht="15" customHeight="1" x14ac:dyDescent="0.25">
      <c r="A2801">
        <v>2800</v>
      </c>
      <c r="B2801">
        <v>23</v>
      </c>
      <c r="C2801" t="s">
        <v>16</v>
      </c>
      <c r="D2801" t="s">
        <v>17</v>
      </c>
      <c r="E2801" t="s">
        <v>18</v>
      </c>
      <c r="F2801" s="2">
        <v>89</v>
      </c>
      <c r="G2801" t="s">
        <v>94</v>
      </c>
      <c r="H2801" t="s">
        <v>45</v>
      </c>
      <c r="I2801" t="s">
        <v>136</v>
      </c>
      <c r="J2801" t="s">
        <v>33</v>
      </c>
      <c r="K2801">
        <v>3.9</v>
      </c>
      <c r="L2801" t="s">
        <v>23</v>
      </c>
      <c r="M2801" t="s">
        <v>35</v>
      </c>
      <c r="N2801" t="s">
        <v>23</v>
      </c>
      <c r="O2801">
        <v>9</v>
      </c>
      <c r="P2801" t="s">
        <v>88</v>
      </c>
      <c r="Q2801" t="s">
        <v>63</v>
      </c>
      <c r="R2801" s="1">
        <v>0.1</v>
      </c>
      <c r="S2801">
        <f t="shared" si="172"/>
        <v>80.099999999999994</v>
      </c>
      <c r="T2801">
        <f>IFERROR(VLOOKUP(A2801,Table1[[Customer ID]:[Discount Amount]], 6, FALSE),"Not Found")</f>
        <v>89</v>
      </c>
      <c r="U2801" t="str">
        <f t="shared" si="173"/>
        <v>Bank Transfer</v>
      </c>
      <c r="V2801" s="4" t="str">
        <f t="shared" si="174"/>
        <v>Normal</v>
      </c>
      <c r="W2801" s="4" t="str">
        <f t="shared" si="175"/>
        <v>Good</v>
      </c>
      <c r="X2801" s="4">
        <f>AVERAGE(Table1[Purchase Amount])</f>
        <v>129.48419400000012</v>
      </c>
    </row>
    <row r="2802" spans="1:24" ht="15" customHeight="1" x14ac:dyDescent="0.25">
      <c r="A2802">
        <v>2801</v>
      </c>
      <c r="B2802">
        <v>70</v>
      </c>
      <c r="C2802" t="s">
        <v>16</v>
      </c>
      <c r="D2802" t="s">
        <v>38</v>
      </c>
      <c r="E2802" t="s">
        <v>18</v>
      </c>
      <c r="F2802" s="2">
        <v>76</v>
      </c>
      <c r="G2802" t="s">
        <v>100</v>
      </c>
      <c r="H2802" t="s">
        <v>45</v>
      </c>
      <c r="I2802" t="s">
        <v>111</v>
      </c>
      <c r="J2802" t="s">
        <v>47</v>
      </c>
      <c r="K2802">
        <v>3.4</v>
      </c>
      <c r="L2802" t="s">
        <v>23</v>
      </c>
      <c r="M2802" t="s">
        <v>35</v>
      </c>
      <c r="N2802" t="s">
        <v>23</v>
      </c>
      <c r="O2802">
        <v>14</v>
      </c>
      <c r="P2802" t="s">
        <v>25</v>
      </c>
      <c r="Q2802" t="s">
        <v>68</v>
      </c>
      <c r="R2802" s="1">
        <v>0.1</v>
      </c>
      <c r="S2802">
        <f t="shared" si="172"/>
        <v>68.400000000000006</v>
      </c>
      <c r="T2802">
        <f>IFERROR(VLOOKUP(A2802,Table1[[Customer ID]:[Discount Amount]], 6, FALSE),"Not Found")</f>
        <v>76</v>
      </c>
      <c r="U2802" t="str">
        <f t="shared" si="173"/>
        <v>Cash</v>
      </c>
      <c r="V2802" s="4" t="str">
        <f t="shared" si="174"/>
        <v>Normal</v>
      </c>
      <c r="W2802" s="4" t="str">
        <f t="shared" si="175"/>
        <v>Good</v>
      </c>
      <c r="X2802" s="4">
        <f>AVERAGE(Table1[Purchase Amount])</f>
        <v>129.48419400000012</v>
      </c>
    </row>
    <row r="2803" spans="1:24" ht="15" customHeight="1" x14ac:dyDescent="0.25">
      <c r="A2803">
        <v>2802</v>
      </c>
      <c r="B2803">
        <v>64</v>
      </c>
      <c r="C2803" t="s">
        <v>16</v>
      </c>
      <c r="D2803" t="s">
        <v>38</v>
      </c>
      <c r="E2803" t="s">
        <v>18</v>
      </c>
      <c r="F2803" s="2">
        <v>56</v>
      </c>
      <c r="G2803" t="s">
        <v>110</v>
      </c>
      <c r="H2803" t="s">
        <v>31</v>
      </c>
      <c r="I2803" t="s">
        <v>91</v>
      </c>
      <c r="J2803" t="s">
        <v>22</v>
      </c>
      <c r="K2803">
        <v>2.6</v>
      </c>
      <c r="L2803" t="s">
        <v>23</v>
      </c>
      <c r="M2803" t="s">
        <v>61</v>
      </c>
      <c r="N2803" t="s">
        <v>23</v>
      </c>
      <c r="O2803">
        <v>30</v>
      </c>
      <c r="P2803" t="s">
        <v>58</v>
      </c>
      <c r="Q2803" t="s">
        <v>49</v>
      </c>
      <c r="R2803" s="1">
        <v>0.1</v>
      </c>
      <c r="S2803">
        <f t="shared" si="172"/>
        <v>50.4</v>
      </c>
      <c r="T2803">
        <f>IFERROR(VLOOKUP(A2803,Table1[[Customer ID]:[Discount Amount]], 6, FALSE),"Not Found")</f>
        <v>56</v>
      </c>
      <c r="U2803" t="str">
        <f t="shared" si="173"/>
        <v>PayPal</v>
      </c>
      <c r="V2803" s="4" t="str">
        <f t="shared" si="174"/>
        <v>Normal</v>
      </c>
      <c r="W2803" s="4" t="str">
        <f t="shared" si="175"/>
        <v>Poor</v>
      </c>
      <c r="X2803" s="4">
        <f>AVERAGE(Table1[Purchase Amount])</f>
        <v>129.48419400000012</v>
      </c>
    </row>
    <row r="2804" spans="1:24" ht="15" customHeight="1" x14ac:dyDescent="0.25">
      <c r="A2804">
        <v>2803</v>
      </c>
      <c r="B2804">
        <v>22</v>
      </c>
      <c r="C2804" t="s">
        <v>16</v>
      </c>
      <c r="D2804" t="s">
        <v>76</v>
      </c>
      <c r="E2804" t="s">
        <v>77</v>
      </c>
      <c r="F2804" s="2">
        <v>100</v>
      </c>
      <c r="G2804" t="s">
        <v>135</v>
      </c>
      <c r="H2804" t="s">
        <v>45</v>
      </c>
      <c r="I2804" t="s">
        <v>46</v>
      </c>
      <c r="J2804" t="s">
        <v>47</v>
      </c>
      <c r="K2804">
        <v>3.1</v>
      </c>
      <c r="L2804" t="s">
        <v>23</v>
      </c>
      <c r="M2804" t="s">
        <v>48</v>
      </c>
      <c r="N2804" t="s">
        <v>23</v>
      </c>
      <c r="O2804">
        <v>42</v>
      </c>
      <c r="P2804" t="s">
        <v>53</v>
      </c>
      <c r="Q2804" t="s">
        <v>89</v>
      </c>
      <c r="R2804" s="1">
        <v>0.1</v>
      </c>
      <c r="S2804">
        <f t="shared" si="172"/>
        <v>90</v>
      </c>
      <c r="T2804">
        <f>IFERROR(VLOOKUP(A2804,Table1[[Customer ID]:[Discount Amount]], 6, FALSE),"Not Found")</f>
        <v>100</v>
      </c>
      <c r="U2804" t="str">
        <f t="shared" si="173"/>
        <v>Credit Card</v>
      </c>
      <c r="V2804" s="4" t="str">
        <f t="shared" si="174"/>
        <v>Normal</v>
      </c>
      <c r="W2804" s="4" t="str">
        <f t="shared" si="175"/>
        <v>Good</v>
      </c>
      <c r="X2804" s="4">
        <f>AVERAGE(Table1[Purchase Amount])</f>
        <v>129.48419400000012</v>
      </c>
    </row>
    <row r="2805" spans="1:24" ht="15" customHeight="1" x14ac:dyDescent="0.25">
      <c r="A2805">
        <v>2804</v>
      </c>
      <c r="B2805">
        <v>46</v>
      </c>
      <c r="C2805" t="s">
        <v>16</v>
      </c>
      <c r="D2805" t="s">
        <v>17</v>
      </c>
      <c r="E2805" t="s">
        <v>18</v>
      </c>
      <c r="F2805" s="2">
        <v>44</v>
      </c>
      <c r="G2805" t="s">
        <v>161</v>
      </c>
      <c r="H2805" t="s">
        <v>31</v>
      </c>
      <c r="I2805" t="s">
        <v>111</v>
      </c>
      <c r="J2805" t="s">
        <v>22</v>
      </c>
      <c r="K2805">
        <v>3.3</v>
      </c>
      <c r="L2805" t="s">
        <v>23</v>
      </c>
      <c r="M2805" t="s">
        <v>35</v>
      </c>
      <c r="N2805" t="s">
        <v>23</v>
      </c>
      <c r="O2805">
        <v>31</v>
      </c>
      <c r="P2805" t="s">
        <v>88</v>
      </c>
      <c r="Q2805" t="s">
        <v>42</v>
      </c>
      <c r="R2805" s="1">
        <v>0.1</v>
      </c>
      <c r="S2805">
        <f t="shared" si="172"/>
        <v>39.6</v>
      </c>
      <c r="T2805">
        <f>IFERROR(VLOOKUP(A2805,Table1[[Customer ID]:[Discount Amount]], 6, FALSE),"Not Found")</f>
        <v>44</v>
      </c>
      <c r="U2805" t="str">
        <f t="shared" si="173"/>
        <v>Bank Transfer</v>
      </c>
      <c r="V2805" s="4" t="str">
        <f t="shared" si="174"/>
        <v>Normal</v>
      </c>
      <c r="W2805" s="4" t="str">
        <f t="shared" si="175"/>
        <v>Good</v>
      </c>
      <c r="X2805" s="4">
        <f>AVERAGE(Table1[Purchase Amount])</f>
        <v>129.48419400000012</v>
      </c>
    </row>
    <row r="2806" spans="1:24" ht="15" customHeight="1" x14ac:dyDescent="0.25">
      <c r="A2806">
        <v>2805</v>
      </c>
      <c r="B2806">
        <v>65</v>
      </c>
      <c r="C2806" t="s">
        <v>16</v>
      </c>
      <c r="D2806" t="s">
        <v>83</v>
      </c>
      <c r="E2806" t="s">
        <v>18</v>
      </c>
      <c r="F2806" s="2">
        <v>76</v>
      </c>
      <c r="G2806" t="s">
        <v>30</v>
      </c>
      <c r="H2806" t="s">
        <v>31</v>
      </c>
      <c r="I2806" t="s">
        <v>128</v>
      </c>
      <c r="J2806" t="s">
        <v>33</v>
      </c>
      <c r="K2806">
        <v>2.8</v>
      </c>
      <c r="L2806" t="s">
        <v>23</v>
      </c>
      <c r="M2806" t="s">
        <v>24</v>
      </c>
      <c r="N2806" t="s">
        <v>23</v>
      </c>
      <c r="O2806">
        <v>48</v>
      </c>
      <c r="P2806" t="s">
        <v>88</v>
      </c>
      <c r="Q2806" t="s">
        <v>63</v>
      </c>
      <c r="R2806" s="1">
        <v>0.1</v>
      </c>
      <c r="S2806">
        <f t="shared" si="172"/>
        <v>68.400000000000006</v>
      </c>
      <c r="T2806">
        <f>IFERROR(VLOOKUP(A2806,Table1[[Customer ID]:[Discount Amount]], 6, FALSE),"Not Found")</f>
        <v>76</v>
      </c>
      <c r="U2806" t="str">
        <f t="shared" si="173"/>
        <v>Bank Transfer</v>
      </c>
      <c r="V2806" s="4" t="str">
        <f t="shared" si="174"/>
        <v>Normal</v>
      </c>
      <c r="W2806" s="4" t="str">
        <f t="shared" si="175"/>
        <v>Poor</v>
      </c>
      <c r="X2806" s="4">
        <f>AVERAGE(Table1[Purchase Amount])</f>
        <v>129.48419400000012</v>
      </c>
    </row>
    <row r="2807" spans="1:24" ht="15" customHeight="1" x14ac:dyDescent="0.25">
      <c r="A2807">
        <v>2806</v>
      </c>
      <c r="B2807">
        <v>18</v>
      </c>
      <c r="C2807" t="s">
        <v>16</v>
      </c>
      <c r="D2807" t="s">
        <v>28</v>
      </c>
      <c r="E2807" t="s">
        <v>29</v>
      </c>
      <c r="F2807" s="2">
        <v>97</v>
      </c>
      <c r="G2807" t="s">
        <v>158</v>
      </c>
      <c r="H2807" t="s">
        <v>55</v>
      </c>
      <c r="I2807" t="s">
        <v>40</v>
      </c>
      <c r="J2807" t="s">
        <v>47</v>
      </c>
      <c r="K2807">
        <v>4.3</v>
      </c>
      <c r="L2807" t="s">
        <v>23</v>
      </c>
      <c r="M2807" t="s">
        <v>24</v>
      </c>
      <c r="N2807" t="s">
        <v>23</v>
      </c>
      <c r="O2807">
        <v>48</v>
      </c>
      <c r="P2807" t="s">
        <v>25</v>
      </c>
      <c r="Q2807" t="s">
        <v>37</v>
      </c>
      <c r="R2807" s="1">
        <v>0.1</v>
      </c>
      <c r="S2807">
        <f t="shared" si="172"/>
        <v>87.3</v>
      </c>
      <c r="T2807">
        <f>IFERROR(VLOOKUP(A2807,Table1[[Customer ID]:[Discount Amount]], 6, FALSE),"Not Found")</f>
        <v>97</v>
      </c>
      <c r="U2807" t="str">
        <f t="shared" si="173"/>
        <v>Cash</v>
      </c>
      <c r="V2807" s="4" t="str">
        <f t="shared" si="174"/>
        <v>Normal</v>
      </c>
      <c r="W2807" s="4" t="str">
        <f t="shared" si="175"/>
        <v>Good</v>
      </c>
      <c r="X2807" s="4">
        <f>AVERAGE(Table1[Purchase Amount])</f>
        <v>129.48419400000012</v>
      </c>
    </row>
    <row r="2808" spans="1:24" ht="15" customHeight="1" x14ac:dyDescent="0.25">
      <c r="A2808">
        <v>2807</v>
      </c>
      <c r="B2808">
        <v>45</v>
      </c>
      <c r="C2808" t="s">
        <v>16</v>
      </c>
      <c r="D2808" t="s">
        <v>118</v>
      </c>
      <c r="E2808" t="s">
        <v>18</v>
      </c>
      <c r="F2808" s="2">
        <v>39</v>
      </c>
      <c r="G2808" t="s">
        <v>30</v>
      </c>
      <c r="H2808" t="s">
        <v>45</v>
      </c>
      <c r="I2808" t="s">
        <v>66</v>
      </c>
      <c r="J2808" t="s">
        <v>33</v>
      </c>
      <c r="K2808">
        <v>2.7</v>
      </c>
      <c r="L2808" t="s">
        <v>23</v>
      </c>
      <c r="M2808" t="s">
        <v>24</v>
      </c>
      <c r="N2808" t="s">
        <v>23</v>
      </c>
      <c r="O2808">
        <v>50</v>
      </c>
      <c r="P2808" t="s">
        <v>53</v>
      </c>
      <c r="Q2808" t="s">
        <v>49</v>
      </c>
      <c r="R2808" s="1">
        <v>0.1</v>
      </c>
      <c r="S2808">
        <f t="shared" si="172"/>
        <v>35.1</v>
      </c>
      <c r="T2808">
        <f>IFERROR(VLOOKUP(A2808,Table1[[Customer ID]:[Discount Amount]], 6, FALSE),"Not Found")</f>
        <v>39</v>
      </c>
      <c r="U2808" t="str">
        <f t="shared" si="173"/>
        <v>Credit Card</v>
      </c>
      <c r="V2808" s="4" t="str">
        <f t="shared" si="174"/>
        <v>Normal</v>
      </c>
      <c r="W2808" s="4" t="str">
        <f t="shared" si="175"/>
        <v>Poor</v>
      </c>
      <c r="X2808" s="4">
        <f>AVERAGE(Table1[Purchase Amount])</f>
        <v>129.48419400000012</v>
      </c>
    </row>
    <row r="2809" spans="1:24" ht="15" customHeight="1" x14ac:dyDescent="0.25">
      <c r="A2809">
        <v>2808</v>
      </c>
      <c r="B2809">
        <v>56</v>
      </c>
      <c r="C2809" t="s">
        <v>16</v>
      </c>
      <c r="D2809" t="s">
        <v>83</v>
      </c>
      <c r="E2809" t="s">
        <v>18</v>
      </c>
      <c r="F2809" s="2">
        <v>100</v>
      </c>
      <c r="G2809" t="s">
        <v>106</v>
      </c>
      <c r="H2809" t="s">
        <v>31</v>
      </c>
      <c r="I2809" t="s">
        <v>103</v>
      </c>
      <c r="J2809" t="s">
        <v>33</v>
      </c>
      <c r="K2809">
        <v>4.4000000000000004</v>
      </c>
      <c r="L2809" t="s">
        <v>23</v>
      </c>
      <c r="M2809" t="s">
        <v>41</v>
      </c>
      <c r="N2809" t="s">
        <v>23</v>
      </c>
      <c r="O2809">
        <v>10</v>
      </c>
      <c r="P2809" t="s">
        <v>36</v>
      </c>
      <c r="Q2809" t="s">
        <v>89</v>
      </c>
      <c r="R2809" s="1">
        <v>0.1</v>
      </c>
      <c r="S2809">
        <f t="shared" si="172"/>
        <v>90</v>
      </c>
      <c r="T2809">
        <f>IFERROR(VLOOKUP(A2809,Table1[[Customer ID]:[Discount Amount]], 6, FALSE),"Not Found")</f>
        <v>100</v>
      </c>
      <c r="U2809" t="str">
        <f t="shared" si="173"/>
        <v>Debit Card</v>
      </c>
      <c r="V2809" s="4" t="str">
        <f t="shared" si="174"/>
        <v>Normal</v>
      </c>
      <c r="W2809" s="4" t="str">
        <f t="shared" si="175"/>
        <v>Good</v>
      </c>
      <c r="X2809" s="4">
        <f>AVERAGE(Table1[Purchase Amount])</f>
        <v>129.48419400000012</v>
      </c>
    </row>
    <row r="2810" spans="1:24" ht="15" customHeight="1" x14ac:dyDescent="0.25">
      <c r="A2810">
        <v>2809</v>
      </c>
      <c r="B2810">
        <v>49</v>
      </c>
      <c r="C2810" t="s">
        <v>16</v>
      </c>
      <c r="D2810" t="s">
        <v>122</v>
      </c>
      <c r="E2810" t="s">
        <v>18</v>
      </c>
      <c r="F2810" s="2">
        <v>62</v>
      </c>
      <c r="G2810" t="s">
        <v>65</v>
      </c>
      <c r="H2810" t="s">
        <v>31</v>
      </c>
      <c r="I2810" t="s">
        <v>56</v>
      </c>
      <c r="J2810" t="s">
        <v>33</v>
      </c>
      <c r="K2810">
        <v>3.9</v>
      </c>
      <c r="L2810" t="s">
        <v>23</v>
      </c>
      <c r="M2810" t="s">
        <v>35</v>
      </c>
      <c r="N2810" t="s">
        <v>23</v>
      </c>
      <c r="O2810">
        <v>45</v>
      </c>
      <c r="P2810" t="s">
        <v>58</v>
      </c>
      <c r="Q2810" t="s">
        <v>63</v>
      </c>
      <c r="R2810" s="1">
        <v>0.1</v>
      </c>
      <c r="S2810">
        <f t="shared" si="172"/>
        <v>55.8</v>
      </c>
      <c r="T2810">
        <f>IFERROR(VLOOKUP(A2810,Table1[[Customer ID]:[Discount Amount]], 6, FALSE),"Not Found")</f>
        <v>62</v>
      </c>
      <c r="U2810" t="str">
        <f t="shared" si="173"/>
        <v>PayPal</v>
      </c>
      <c r="V2810" s="4" t="str">
        <f t="shared" si="174"/>
        <v>Normal</v>
      </c>
      <c r="W2810" s="4" t="str">
        <f t="shared" si="175"/>
        <v>Good</v>
      </c>
      <c r="X2810" s="4">
        <f>AVERAGE(Table1[Purchase Amount])</f>
        <v>129.48419400000012</v>
      </c>
    </row>
    <row r="2811" spans="1:24" ht="15" customHeight="1" x14ac:dyDescent="0.25">
      <c r="A2811">
        <v>2810</v>
      </c>
      <c r="B2811">
        <v>66</v>
      </c>
      <c r="C2811" t="s">
        <v>16</v>
      </c>
      <c r="D2811" t="s">
        <v>54</v>
      </c>
      <c r="E2811" t="s">
        <v>18</v>
      </c>
      <c r="F2811" s="2">
        <v>98</v>
      </c>
      <c r="G2811" t="s">
        <v>100</v>
      </c>
      <c r="H2811" t="s">
        <v>20</v>
      </c>
      <c r="I2811" t="s">
        <v>147</v>
      </c>
      <c r="J2811" t="s">
        <v>57</v>
      </c>
      <c r="K2811">
        <v>3</v>
      </c>
      <c r="L2811" t="s">
        <v>23</v>
      </c>
      <c r="M2811" t="s">
        <v>24</v>
      </c>
      <c r="N2811" t="s">
        <v>23</v>
      </c>
      <c r="O2811">
        <v>27</v>
      </c>
      <c r="P2811" t="s">
        <v>36</v>
      </c>
      <c r="Q2811" t="s">
        <v>37</v>
      </c>
      <c r="R2811" s="1">
        <v>0.1</v>
      </c>
      <c r="S2811">
        <f t="shared" si="172"/>
        <v>88.2</v>
      </c>
      <c r="T2811">
        <f>IFERROR(VLOOKUP(A2811,Table1[[Customer ID]:[Discount Amount]], 6, FALSE),"Not Found")</f>
        <v>98</v>
      </c>
      <c r="U2811" t="str">
        <f t="shared" si="173"/>
        <v>Debit Card</v>
      </c>
      <c r="V2811" s="4" t="str">
        <f t="shared" si="174"/>
        <v>Normal</v>
      </c>
      <c r="W2811" s="4" t="str">
        <f t="shared" si="175"/>
        <v>Good</v>
      </c>
      <c r="X2811" s="4">
        <f>AVERAGE(Table1[Purchase Amount])</f>
        <v>129.48419400000012</v>
      </c>
    </row>
    <row r="2812" spans="1:24" ht="15" customHeight="1" x14ac:dyDescent="0.25">
      <c r="A2812">
        <v>2811</v>
      </c>
      <c r="B2812">
        <v>27</v>
      </c>
      <c r="C2812" t="s">
        <v>16</v>
      </c>
      <c r="D2812" t="s">
        <v>109</v>
      </c>
      <c r="E2812" t="s">
        <v>18</v>
      </c>
      <c r="F2812" s="2">
        <v>31</v>
      </c>
      <c r="G2812" t="s">
        <v>150</v>
      </c>
      <c r="H2812" t="s">
        <v>31</v>
      </c>
      <c r="I2812" t="s">
        <v>66</v>
      </c>
      <c r="J2812" t="s">
        <v>57</v>
      </c>
      <c r="K2812">
        <v>4</v>
      </c>
      <c r="L2812" t="s">
        <v>23</v>
      </c>
      <c r="M2812" t="s">
        <v>24</v>
      </c>
      <c r="N2812" t="s">
        <v>23</v>
      </c>
      <c r="O2812">
        <v>10</v>
      </c>
      <c r="P2812" t="s">
        <v>36</v>
      </c>
      <c r="Q2812" t="s">
        <v>89</v>
      </c>
      <c r="R2812" s="1">
        <v>0.1</v>
      </c>
      <c r="S2812">
        <f t="shared" si="172"/>
        <v>27.9</v>
      </c>
      <c r="T2812">
        <f>IFERROR(VLOOKUP(A2812,Table1[[Customer ID]:[Discount Amount]], 6, FALSE),"Not Found")</f>
        <v>31</v>
      </c>
      <c r="U2812" t="str">
        <f t="shared" si="173"/>
        <v>Debit Card</v>
      </c>
      <c r="V2812" s="4" t="str">
        <f t="shared" si="174"/>
        <v>Normal</v>
      </c>
      <c r="W2812" s="4" t="str">
        <f t="shared" si="175"/>
        <v>Good</v>
      </c>
      <c r="X2812" s="4">
        <f>AVERAGE(Table1[Purchase Amount])</f>
        <v>129.48419400000012</v>
      </c>
    </row>
    <row r="2813" spans="1:24" ht="15" customHeight="1" x14ac:dyDescent="0.25">
      <c r="A2813">
        <v>2812</v>
      </c>
      <c r="B2813">
        <v>69</v>
      </c>
      <c r="C2813" t="s">
        <v>16</v>
      </c>
      <c r="D2813" t="s">
        <v>96</v>
      </c>
      <c r="E2813" t="s">
        <v>77</v>
      </c>
      <c r="F2813" s="2">
        <v>89</v>
      </c>
      <c r="G2813" t="s">
        <v>90</v>
      </c>
      <c r="H2813" t="s">
        <v>31</v>
      </c>
      <c r="I2813" t="s">
        <v>74</v>
      </c>
      <c r="J2813" t="s">
        <v>47</v>
      </c>
      <c r="K2813">
        <v>3.7</v>
      </c>
      <c r="L2813" t="s">
        <v>23</v>
      </c>
      <c r="M2813" t="s">
        <v>48</v>
      </c>
      <c r="N2813" t="s">
        <v>23</v>
      </c>
      <c r="O2813">
        <v>19</v>
      </c>
      <c r="P2813" t="s">
        <v>53</v>
      </c>
      <c r="Q2813" t="s">
        <v>37</v>
      </c>
      <c r="R2813" s="1">
        <v>0.1</v>
      </c>
      <c r="S2813">
        <f t="shared" si="172"/>
        <v>80.099999999999994</v>
      </c>
      <c r="T2813">
        <f>IFERROR(VLOOKUP(A2813,Table1[[Customer ID]:[Discount Amount]], 6, FALSE),"Not Found")</f>
        <v>89</v>
      </c>
      <c r="U2813" t="str">
        <f t="shared" si="173"/>
        <v>Credit Card</v>
      </c>
      <c r="V2813" s="4" t="str">
        <f t="shared" si="174"/>
        <v>Normal</v>
      </c>
      <c r="W2813" s="4" t="str">
        <f t="shared" si="175"/>
        <v>Good</v>
      </c>
      <c r="X2813" s="4">
        <f>AVERAGE(Table1[Purchase Amount])</f>
        <v>129.48419400000012</v>
      </c>
    </row>
    <row r="2814" spans="1:24" ht="15" customHeight="1" x14ac:dyDescent="0.25">
      <c r="A2814">
        <v>2813</v>
      </c>
      <c r="B2814">
        <v>66</v>
      </c>
      <c r="C2814" t="s">
        <v>16</v>
      </c>
      <c r="D2814" t="s">
        <v>83</v>
      </c>
      <c r="E2814" t="s">
        <v>18</v>
      </c>
      <c r="F2814" s="2">
        <v>91</v>
      </c>
      <c r="G2814" t="s">
        <v>86</v>
      </c>
      <c r="H2814" t="s">
        <v>20</v>
      </c>
      <c r="I2814" t="s">
        <v>87</v>
      </c>
      <c r="J2814" t="s">
        <v>47</v>
      </c>
      <c r="K2814">
        <v>3.8</v>
      </c>
      <c r="L2814" t="s">
        <v>23</v>
      </c>
      <c r="M2814" t="s">
        <v>48</v>
      </c>
      <c r="N2814" t="s">
        <v>23</v>
      </c>
      <c r="O2814">
        <v>1</v>
      </c>
      <c r="P2814" t="s">
        <v>53</v>
      </c>
      <c r="Q2814" t="s">
        <v>63</v>
      </c>
      <c r="R2814" s="1">
        <v>0.1</v>
      </c>
      <c r="S2814">
        <f t="shared" si="172"/>
        <v>81.900000000000006</v>
      </c>
      <c r="T2814">
        <f>IFERROR(VLOOKUP(A2814,Table1[[Customer ID]:[Discount Amount]], 6, FALSE),"Not Found")</f>
        <v>91</v>
      </c>
      <c r="U2814" t="str">
        <f t="shared" si="173"/>
        <v>Credit Card</v>
      </c>
      <c r="V2814" s="4" t="str">
        <f t="shared" si="174"/>
        <v>Normal</v>
      </c>
      <c r="W2814" s="4" t="str">
        <f t="shared" si="175"/>
        <v>Good</v>
      </c>
      <c r="X2814" s="4">
        <f>AVERAGE(Table1[Purchase Amount])</f>
        <v>129.48419400000012</v>
      </c>
    </row>
    <row r="2815" spans="1:24" ht="15" customHeight="1" x14ac:dyDescent="0.25">
      <c r="A2815">
        <v>2814</v>
      </c>
      <c r="B2815">
        <v>45</v>
      </c>
      <c r="C2815" t="s">
        <v>16</v>
      </c>
      <c r="D2815" t="s">
        <v>38</v>
      </c>
      <c r="E2815" t="s">
        <v>18</v>
      </c>
      <c r="F2815" s="2">
        <v>50</v>
      </c>
      <c r="G2815" t="s">
        <v>84</v>
      </c>
      <c r="H2815" t="s">
        <v>55</v>
      </c>
      <c r="I2815" t="s">
        <v>125</v>
      </c>
      <c r="J2815" t="s">
        <v>57</v>
      </c>
      <c r="K2815">
        <v>3.3</v>
      </c>
      <c r="L2815" t="s">
        <v>23</v>
      </c>
      <c r="M2815" t="s">
        <v>41</v>
      </c>
      <c r="N2815" t="s">
        <v>23</v>
      </c>
      <c r="O2815">
        <v>39</v>
      </c>
      <c r="P2815" t="s">
        <v>36</v>
      </c>
      <c r="Q2815" t="s">
        <v>37</v>
      </c>
      <c r="R2815" s="1">
        <v>0.1</v>
      </c>
      <c r="S2815">
        <f t="shared" si="172"/>
        <v>45</v>
      </c>
      <c r="T2815">
        <f>IFERROR(VLOOKUP(A2815,Table1[[Customer ID]:[Discount Amount]], 6, FALSE),"Not Found")</f>
        <v>50</v>
      </c>
      <c r="U2815" t="str">
        <f t="shared" si="173"/>
        <v>Debit Card</v>
      </c>
      <c r="V2815" s="4" t="str">
        <f t="shared" si="174"/>
        <v>Normal</v>
      </c>
      <c r="W2815" s="4" t="str">
        <f t="shared" si="175"/>
        <v>Good</v>
      </c>
      <c r="X2815" s="4">
        <f>AVERAGE(Table1[Purchase Amount])</f>
        <v>129.48419400000012</v>
      </c>
    </row>
    <row r="2816" spans="1:24" ht="15" customHeight="1" x14ac:dyDescent="0.25">
      <c r="A2816">
        <v>2815</v>
      </c>
      <c r="B2816">
        <v>31</v>
      </c>
      <c r="C2816" t="s">
        <v>16</v>
      </c>
      <c r="D2816" t="s">
        <v>17</v>
      </c>
      <c r="E2816" t="s">
        <v>18</v>
      </c>
      <c r="F2816" s="2">
        <v>32</v>
      </c>
      <c r="G2816" t="s">
        <v>120</v>
      </c>
      <c r="H2816" t="s">
        <v>45</v>
      </c>
      <c r="I2816" t="s">
        <v>133</v>
      </c>
      <c r="J2816" t="s">
        <v>22</v>
      </c>
      <c r="K2816">
        <v>3.6</v>
      </c>
      <c r="L2816" t="s">
        <v>23</v>
      </c>
      <c r="M2816" t="s">
        <v>24</v>
      </c>
      <c r="N2816" t="s">
        <v>23</v>
      </c>
      <c r="O2816">
        <v>14</v>
      </c>
      <c r="P2816" t="s">
        <v>88</v>
      </c>
      <c r="Q2816" t="s">
        <v>42</v>
      </c>
      <c r="R2816" s="1">
        <v>0.1</v>
      </c>
      <c r="S2816">
        <f t="shared" si="172"/>
        <v>28.8</v>
      </c>
      <c r="T2816">
        <f>IFERROR(VLOOKUP(A2816,Table1[[Customer ID]:[Discount Amount]], 6, FALSE),"Not Found")</f>
        <v>32</v>
      </c>
      <c r="U2816" t="str">
        <f t="shared" si="173"/>
        <v>Bank Transfer</v>
      </c>
      <c r="V2816" s="4" t="str">
        <f t="shared" si="174"/>
        <v>Normal</v>
      </c>
      <c r="W2816" s="4" t="str">
        <f t="shared" si="175"/>
        <v>Good</v>
      </c>
      <c r="X2816" s="4">
        <f>AVERAGE(Table1[Purchase Amount])</f>
        <v>129.48419400000012</v>
      </c>
    </row>
    <row r="2817" spans="1:24" ht="15" customHeight="1" x14ac:dyDescent="0.25">
      <c r="A2817">
        <v>2816</v>
      </c>
      <c r="B2817">
        <v>33</v>
      </c>
      <c r="C2817" t="s">
        <v>16</v>
      </c>
      <c r="D2817" t="s">
        <v>118</v>
      </c>
      <c r="E2817" t="s">
        <v>18</v>
      </c>
      <c r="F2817" s="2">
        <v>67</v>
      </c>
      <c r="G2817" t="s">
        <v>161</v>
      </c>
      <c r="H2817" t="s">
        <v>45</v>
      </c>
      <c r="I2817" t="s">
        <v>40</v>
      </c>
      <c r="J2817" t="s">
        <v>47</v>
      </c>
      <c r="K2817">
        <v>3.9</v>
      </c>
      <c r="L2817" t="s">
        <v>23</v>
      </c>
      <c r="M2817" t="s">
        <v>35</v>
      </c>
      <c r="N2817" t="s">
        <v>23</v>
      </c>
      <c r="O2817">
        <v>40</v>
      </c>
      <c r="P2817" t="s">
        <v>62</v>
      </c>
      <c r="Q2817" t="s">
        <v>63</v>
      </c>
      <c r="R2817" s="1">
        <v>0.1</v>
      </c>
      <c r="S2817">
        <f t="shared" si="172"/>
        <v>60.3</v>
      </c>
      <c r="T2817">
        <f>IFERROR(VLOOKUP(A2817,Table1[[Customer ID]:[Discount Amount]], 6, FALSE),"Not Found")</f>
        <v>67</v>
      </c>
      <c r="U2817" t="str">
        <f t="shared" si="173"/>
        <v>Venmo</v>
      </c>
      <c r="V2817" s="4" t="str">
        <f t="shared" si="174"/>
        <v>Normal</v>
      </c>
      <c r="W2817" s="4" t="str">
        <f t="shared" si="175"/>
        <v>Good</v>
      </c>
      <c r="X2817" s="4">
        <f>AVERAGE(Table1[Purchase Amount])</f>
        <v>129.48419400000012</v>
      </c>
    </row>
    <row r="2818" spans="1:24" ht="15" customHeight="1" x14ac:dyDescent="0.25">
      <c r="A2818">
        <v>2817</v>
      </c>
      <c r="B2818">
        <v>43</v>
      </c>
      <c r="C2818" t="s">
        <v>16</v>
      </c>
      <c r="D2818" t="s">
        <v>122</v>
      </c>
      <c r="E2818" t="s">
        <v>18</v>
      </c>
      <c r="F2818" s="2">
        <v>28</v>
      </c>
      <c r="G2818" t="s">
        <v>106</v>
      </c>
      <c r="H2818" t="s">
        <v>31</v>
      </c>
      <c r="I2818" t="s">
        <v>40</v>
      </c>
      <c r="J2818" t="s">
        <v>33</v>
      </c>
      <c r="K2818">
        <v>3.5</v>
      </c>
      <c r="L2818" t="s">
        <v>23</v>
      </c>
      <c r="M2818" t="s">
        <v>35</v>
      </c>
      <c r="N2818" t="s">
        <v>23</v>
      </c>
      <c r="O2818">
        <v>45</v>
      </c>
      <c r="P2818" t="s">
        <v>62</v>
      </c>
      <c r="Q2818" t="s">
        <v>26</v>
      </c>
      <c r="R2818" s="1">
        <v>0.1</v>
      </c>
      <c r="S2818">
        <f t="shared" ref="S2818:S2881" si="176">F2818-(F2818*R2818)</f>
        <v>25.2</v>
      </c>
      <c r="T2818">
        <f>IFERROR(VLOOKUP(A2818,Table1[[Customer ID]:[Discount Amount]], 6, FALSE),"Not Found")</f>
        <v>28</v>
      </c>
      <c r="U2818" t="str">
        <f t="shared" ref="U2818:U2881" si="177">INDEX(P:P, MATCH(A2818, A:A, 0))</f>
        <v>Venmo</v>
      </c>
      <c r="V2818" s="4" t="str">
        <f t="shared" ref="V2818:V2881" si="178">IF(AND(F2818&gt;1000,K2818&gt;=4),"Best Customer","Normal")</f>
        <v>Normal</v>
      </c>
      <c r="W2818" s="4" t="str">
        <f t="shared" ref="W2818:W2881" si="179">IF(K2818&gt;=3,"Good","Poor")</f>
        <v>Good</v>
      </c>
      <c r="X2818" s="4">
        <f>AVERAGE(Table1[Purchase Amount])</f>
        <v>129.48419400000012</v>
      </c>
    </row>
    <row r="2819" spans="1:24" ht="15" customHeight="1" x14ac:dyDescent="0.25">
      <c r="A2819">
        <v>2818</v>
      </c>
      <c r="B2819">
        <v>25</v>
      </c>
      <c r="C2819" t="s">
        <v>16</v>
      </c>
      <c r="D2819" t="s">
        <v>104</v>
      </c>
      <c r="E2819" t="s">
        <v>29</v>
      </c>
      <c r="F2819" s="2">
        <v>65</v>
      </c>
      <c r="G2819" t="s">
        <v>30</v>
      </c>
      <c r="H2819" t="s">
        <v>20</v>
      </c>
      <c r="I2819" t="s">
        <v>52</v>
      </c>
      <c r="J2819" t="s">
        <v>22</v>
      </c>
      <c r="K2819">
        <v>3.4</v>
      </c>
      <c r="L2819" t="s">
        <v>23</v>
      </c>
      <c r="M2819" t="s">
        <v>24</v>
      </c>
      <c r="N2819" t="s">
        <v>23</v>
      </c>
      <c r="O2819">
        <v>6</v>
      </c>
      <c r="P2819" t="s">
        <v>62</v>
      </c>
      <c r="Q2819" t="s">
        <v>26</v>
      </c>
      <c r="R2819" s="1">
        <v>0.1</v>
      </c>
      <c r="S2819">
        <f t="shared" si="176"/>
        <v>58.5</v>
      </c>
      <c r="T2819">
        <f>IFERROR(VLOOKUP(A2819,Table1[[Customer ID]:[Discount Amount]], 6, FALSE),"Not Found")</f>
        <v>65</v>
      </c>
      <c r="U2819" t="str">
        <f t="shared" si="177"/>
        <v>Venmo</v>
      </c>
      <c r="V2819" s="4" t="str">
        <f t="shared" si="178"/>
        <v>Normal</v>
      </c>
      <c r="W2819" s="4" t="str">
        <f t="shared" si="179"/>
        <v>Good</v>
      </c>
      <c r="X2819" s="4">
        <f>AVERAGE(Table1[Purchase Amount])</f>
        <v>129.48419400000012</v>
      </c>
    </row>
    <row r="2820" spans="1:24" ht="15" customHeight="1" x14ac:dyDescent="0.25">
      <c r="A2820">
        <v>2819</v>
      </c>
      <c r="B2820">
        <v>46</v>
      </c>
      <c r="C2820" t="s">
        <v>16</v>
      </c>
      <c r="D2820" t="s">
        <v>54</v>
      </c>
      <c r="E2820" t="s">
        <v>18</v>
      </c>
      <c r="F2820" s="2">
        <v>73</v>
      </c>
      <c r="G2820" t="s">
        <v>19</v>
      </c>
      <c r="H2820" t="s">
        <v>31</v>
      </c>
      <c r="I2820" t="s">
        <v>156</v>
      </c>
      <c r="J2820" t="s">
        <v>47</v>
      </c>
      <c r="K2820">
        <v>4.7</v>
      </c>
      <c r="L2820" t="s">
        <v>23</v>
      </c>
      <c r="M2820" t="s">
        <v>79</v>
      </c>
      <c r="N2820" t="s">
        <v>23</v>
      </c>
      <c r="O2820">
        <v>12</v>
      </c>
      <c r="P2820" t="s">
        <v>36</v>
      </c>
      <c r="Q2820" t="s">
        <v>49</v>
      </c>
      <c r="R2820" s="1">
        <v>0.1</v>
      </c>
      <c r="S2820">
        <f t="shared" si="176"/>
        <v>65.7</v>
      </c>
      <c r="T2820">
        <f>IFERROR(VLOOKUP(A2820,Table1[[Customer ID]:[Discount Amount]], 6, FALSE),"Not Found")</f>
        <v>73</v>
      </c>
      <c r="U2820" t="str">
        <f t="shared" si="177"/>
        <v>Debit Card</v>
      </c>
      <c r="V2820" s="4" t="str">
        <f t="shared" si="178"/>
        <v>Normal</v>
      </c>
      <c r="W2820" s="4" t="str">
        <f t="shared" si="179"/>
        <v>Good</v>
      </c>
      <c r="X2820" s="4">
        <f>AVERAGE(Table1[Purchase Amount])</f>
        <v>129.48419400000012</v>
      </c>
    </row>
    <row r="2821" spans="1:24" ht="15" customHeight="1" x14ac:dyDescent="0.25">
      <c r="A2821">
        <v>2820</v>
      </c>
      <c r="B2821">
        <v>67</v>
      </c>
      <c r="C2821" t="s">
        <v>16</v>
      </c>
      <c r="D2821" t="s">
        <v>38</v>
      </c>
      <c r="E2821" t="s">
        <v>18</v>
      </c>
      <c r="F2821" s="2">
        <v>27</v>
      </c>
      <c r="G2821" t="s">
        <v>160</v>
      </c>
      <c r="H2821" t="s">
        <v>45</v>
      </c>
      <c r="I2821" t="s">
        <v>107</v>
      </c>
      <c r="J2821" t="s">
        <v>33</v>
      </c>
      <c r="K2821">
        <v>3</v>
      </c>
      <c r="L2821" t="s">
        <v>23</v>
      </c>
      <c r="M2821" t="s">
        <v>35</v>
      </c>
      <c r="N2821" t="s">
        <v>23</v>
      </c>
      <c r="O2821">
        <v>19</v>
      </c>
      <c r="P2821" t="s">
        <v>25</v>
      </c>
      <c r="Q2821" t="s">
        <v>42</v>
      </c>
      <c r="R2821" s="1">
        <v>0.1</v>
      </c>
      <c r="S2821">
        <f t="shared" si="176"/>
        <v>24.3</v>
      </c>
      <c r="T2821">
        <f>IFERROR(VLOOKUP(A2821,Table1[[Customer ID]:[Discount Amount]], 6, FALSE),"Not Found")</f>
        <v>27</v>
      </c>
      <c r="U2821" t="str">
        <f t="shared" si="177"/>
        <v>Cash</v>
      </c>
      <c r="V2821" s="4" t="str">
        <f t="shared" si="178"/>
        <v>Normal</v>
      </c>
      <c r="W2821" s="4" t="str">
        <f t="shared" si="179"/>
        <v>Good</v>
      </c>
      <c r="X2821" s="4">
        <f>AVERAGE(Table1[Purchase Amount])</f>
        <v>129.48419400000012</v>
      </c>
    </row>
    <row r="2822" spans="1:24" ht="15" customHeight="1" x14ac:dyDescent="0.25">
      <c r="A2822">
        <v>2821</v>
      </c>
      <c r="B2822">
        <v>26</v>
      </c>
      <c r="C2822" t="s">
        <v>16</v>
      </c>
      <c r="D2822" t="s">
        <v>104</v>
      </c>
      <c r="E2822" t="s">
        <v>29</v>
      </c>
      <c r="F2822" s="2">
        <v>89</v>
      </c>
      <c r="G2822" t="s">
        <v>84</v>
      </c>
      <c r="H2822" t="s">
        <v>45</v>
      </c>
      <c r="I2822" t="s">
        <v>52</v>
      </c>
      <c r="J2822" t="s">
        <v>57</v>
      </c>
      <c r="K2822">
        <v>3.9</v>
      </c>
      <c r="L2822" t="s">
        <v>23</v>
      </c>
      <c r="M2822" t="s">
        <v>35</v>
      </c>
      <c r="N2822" t="s">
        <v>23</v>
      </c>
      <c r="O2822">
        <v>5</v>
      </c>
      <c r="P2822" t="s">
        <v>25</v>
      </c>
      <c r="Q2822" t="s">
        <v>68</v>
      </c>
      <c r="R2822" s="1">
        <v>0.1</v>
      </c>
      <c r="S2822">
        <f t="shared" si="176"/>
        <v>80.099999999999994</v>
      </c>
      <c r="T2822">
        <f>IFERROR(VLOOKUP(A2822,Table1[[Customer ID]:[Discount Amount]], 6, FALSE),"Not Found")</f>
        <v>89</v>
      </c>
      <c r="U2822" t="str">
        <f t="shared" si="177"/>
        <v>Cash</v>
      </c>
      <c r="V2822" s="4" t="str">
        <f t="shared" si="178"/>
        <v>Normal</v>
      </c>
      <c r="W2822" s="4" t="str">
        <f t="shared" si="179"/>
        <v>Good</v>
      </c>
      <c r="X2822" s="4">
        <f>AVERAGE(Table1[Purchase Amount])</f>
        <v>129.48419400000012</v>
      </c>
    </row>
    <row r="2823" spans="1:24" ht="15" customHeight="1" x14ac:dyDescent="0.25">
      <c r="A2823">
        <v>2822</v>
      </c>
      <c r="B2823">
        <v>35</v>
      </c>
      <c r="C2823" t="s">
        <v>16</v>
      </c>
      <c r="D2823" t="s">
        <v>72</v>
      </c>
      <c r="E2823" t="s">
        <v>98</v>
      </c>
      <c r="F2823" s="2">
        <v>72</v>
      </c>
      <c r="G2823" t="s">
        <v>160</v>
      </c>
      <c r="H2823" t="s">
        <v>45</v>
      </c>
      <c r="I2823" t="s">
        <v>21</v>
      </c>
      <c r="J2823" t="s">
        <v>57</v>
      </c>
      <c r="K2823">
        <v>4.5</v>
      </c>
      <c r="L2823" t="s">
        <v>23</v>
      </c>
      <c r="M2823" t="s">
        <v>24</v>
      </c>
      <c r="N2823" t="s">
        <v>23</v>
      </c>
      <c r="O2823">
        <v>37</v>
      </c>
      <c r="P2823" t="s">
        <v>62</v>
      </c>
      <c r="Q2823" t="s">
        <v>42</v>
      </c>
      <c r="R2823" s="1">
        <v>0.1</v>
      </c>
      <c r="S2823">
        <f t="shared" si="176"/>
        <v>64.8</v>
      </c>
      <c r="T2823">
        <f>IFERROR(VLOOKUP(A2823,Table1[[Customer ID]:[Discount Amount]], 6, FALSE),"Not Found")</f>
        <v>72</v>
      </c>
      <c r="U2823" t="str">
        <f t="shared" si="177"/>
        <v>Venmo</v>
      </c>
      <c r="V2823" s="4" t="str">
        <f t="shared" si="178"/>
        <v>Normal</v>
      </c>
      <c r="W2823" s="4" t="str">
        <f t="shared" si="179"/>
        <v>Good</v>
      </c>
      <c r="X2823" s="4">
        <f>AVERAGE(Table1[Purchase Amount])</f>
        <v>129.48419400000012</v>
      </c>
    </row>
    <row r="2824" spans="1:24" ht="15" customHeight="1" x14ac:dyDescent="0.25">
      <c r="A2824">
        <v>2823</v>
      </c>
      <c r="B2824">
        <v>61</v>
      </c>
      <c r="C2824" t="s">
        <v>16</v>
      </c>
      <c r="D2824" t="s">
        <v>122</v>
      </c>
      <c r="E2824" t="s">
        <v>18</v>
      </c>
      <c r="F2824" s="2">
        <v>37</v>
      </c>
      <c r="G2824" t="s">
        <v>131</v>
      </c>
      <c r="H2824" t="s">
        <v>55</v>
      </c>
      <c r="I2824" t="s">
        <v>60</v>
      </c>
      <c r="J2824" t="s">
        <v>47</v>
      </c>
      <c r="K2824">
        <v>4.0999999999999996</v>
      </c>
      <c r="L2824" t="s">
        <v>23</v>
      </c>
      <c r="M2824" t="s">
        <v>24</v>
      </c>
      <c r="N2824" t="s">
        <v>23</v>
      </c>
      <c r="O2824">
        <v>33</v>
      </c>
      <c r="P2824" t="s">
        <v>58</v>
      </c>
      <c r="Q2824" t="s">
        <v>37</v>
      </c>
      <c r="R2824" s="1">
        <v>0.1</v>
      </c>
      <c r="S2824">
        <f t="shared" si="176"/>
        <v>33.299999999999997</v>
      </c>
      <c r="T2824">
        <f>IFERROR(VLOOKUP(A2824,Table1[[Customer ID]:[Discount Amount]], 6, FALSE),"Not Found")</f>
        <v>37</v>
      </c>
      <c r="U2824" t="str">
        <f t="shared" si="177"/>
        <v>PayPal</v>
      </c>
      <c r="V2824" s="4" t="str">
        <f t="shared" si="178"/>
        <v>Normal</v>
      </c>
      <c r="W2824" s="4" t="str">
        <f t="shared" si="179"/>
        <v>Good</v>
      </c>
      <c r="X2824" s="4">
        <f>AVERAGE(Table1[Purchase Amount])</f>
        <v>129.48419400000012</v>
      </c>
    </row>
    <row r="2825" spans="1:24" ht="15" customHeight="1" x14ac:dyDescent="0.25">
      <c r="A2825">
        <v>2824</v>
      </c>
      <c r="B2825">
        <v>26</v>
      </c>
      <c r="C2825" t="s">
        <v>16</v>
      </c>
      <c r="D2825" t="s">
        <v>157</v>
      </c>
      <c r="E2825" t="s">
        <v>18</v>
      </c>
      <c r="F2825" s="2">
        <v>63</v>
      </c>
      <c r="G2825" t="s">
        <v>144</v>
      </c>
      <c r="H2825" t="s">
        <v>31</v>
      </c>
      <c r="I2825" t="s">
        <v>21</v>
      </c>
      <c r="J2825" t="s">
        <v>57</v>
      </c>
      <c r="K2825">
        <v>4.5</v>
      </c>
      <c r="L2825" t="s">
        <v>23</v>
      </c>
      <c r="M2825" t="s">
        <v>24</v>
      </c>
      <c r="N2825" t="s">
        <v>23</v>
      </c>
      <c r="O2825">
        <v>47</v>
      </c>
      <c r="P2825" t="s">
        <v>36</v>
      </c>
      <c r="Q2825" t="s">
        <v>68</v>
      </c>
      <c r="R2825" s="1">
        <v>0.1</v>
      </c>
      <c r="S2825">
        <f t="shared" si="176"/>
        <v>56.7</v>
      </c>
      <c r="T2825">
        <f>IFERROR(VLOOKUP(A2825,Table1[[Customer ID]:[Discount Amount]], 6, FALSE),"Not Found")</f>
        <v>63</v>
      </c>
      <c r="U2825" t="str">
        <f t="shared" si="177"/>
        <v>Debit Card</v>
      </c>
      <c r="V2825" s="4" t="str">
        <f t="shared" si="178"/>
        <v>Normal</v>
      </c>
      <c r="W2825" s="4" t="str">
        <f t="shared" si="179"/>
        <v>Good</v>
      </c>
      <c r="X2825" s="4">
        <f>AVERAGE(Table1[Purchase Amount])</f>
        <v>129.48419400000012</v>
      </c>
    </row>
    <row r="2826" spans="1:24" ht="15" customHeight="1" x14ac:dyDescent="0.25">
      <c r="A2826">
        <v>2825</v>
      </c>
      <c r="B2826">
        <v>39</v>
      </c>
      <c r="C2826" t="s">
        <v>16</v>
      </c>
      <c r="D2826" t="s">
        <v>64</v>
      </c>
      <c r="E2826" t="s">
        <v>29</v>
      </c>
      <c r="F2826" s="2">
        <v>90</v>
      </c>
      <c r="G2826" t="s">
        <v>144</v>
      </c>
      <c r="H2826" t="s">
        <v>31</v>
      </c>
      <c r="I2826" t="s">
        <v>66</v>
      </c>
      <c r="J2826" t="s">
        <v>47</v>
      </c>
      <c r="K2826">
        <v>4</v>
      </c>
      <c r="L2826" t="s">
        <v>23</v>
      </c>
      <c r="M2826" t="s">
        <v>35</v>
      </c>
      <c r="N2826" t="s">
        <v>23</v>
      </c>
      <c r="O2826">
        <v>49</v>
      </c>
      <c r="P2826" t="s">
        <v>36</v>
      </c>
      <c r="Q2826" t="s">
        <v>37</v>
      </c>
      <c r="R2826" s="1">
        <v>0.1</v>
      </c>
      <c r="S2826">
        <f t="shared" si="176"/>
        <v>81</v>
      </c>
      <c r="T2826">
        <f>IFERROR(VLOOKUP(A2826,Table1[[Customer ID]:[Discount Amount]], 6, FALSE),"Not Found")</f>
        <v>90</v>
      </c>
      <c r="U2826" t="str">
        <f t="shared" si="177"/>
        <v>Debit Card</v>
      </c>
      <c r="V2826" s="4" t="str">
        <f t="shared" si="178"/>
        <v>Normal</v>
      </c>
      <c r="W2826" s="4" t="str">
        <f t="shared" si="179"/>
        <v>Good</v>
      </c>
      <c r="X2826" s="4">
        <f>AVERAGE(Table1[Purchase Amount])</f>
        <v>129.48419400000012</v>
      </c>
    </row>
    <row r="2827" spans="1:24" ht="15" customHeight="1" x14ac:dyDescent="0.25">
      <c r="A2827">
        <v>2826</v>
      </c>
      <c r="B2827">
        <v>69</v>
      </c>
      <c r="C2827" t="s">
        <v>16</v>
      </c>
      <c r="D2827" t="s">
        <v>69</v>
      </c>
      <c r="E2827" t="s">
        <v>29</v>
      </c>
      <c r="F2827" s="2">
        <v>62</v>
      </c>
      <c r="G2827" t="s">
        <v>134</v>
      </c>
      <c r="H2827" t="s">
        <v>31</v>
      </c>
      <c r="I2827" t="s">
        <v>52</v>
      </c>
      <c r="J2827" t="s">
        <v>22</v>
      </c>
      <c r="K2827">
        <v>4.3</v>
      </c>
      <c r="L2827" t="s">
        <v>23</v>
      </c>
      <c r="M2827" t="s">
        <v>41</v>
      </c>
      <c r="N2827" t="s">
        <v>23</v>
      </c>
      <c r="O2827">
        <v>28</v>
      </c>
      <c r="P2827" t="s">
        <v>88</v>
      </c>
      <c r="Q2827" t="s">
        <v>49</v>
      </c>
      <c r="R2827" s="1">
        <v>0.1</v>
      </c>
      <c r="S2827">
        <f t="shared" si="176"/>
        <v>55.8</v>
      </c>
      <c r="T2827">
        <f>IFERROR(VLOOKUP(A2827,Table1[[Customer ID]:[Discount Amount]], 6, FALSE),"Not Found")</f>
        <v>62</v>
      </c>
      <c r="U2827" t="str">
        <f t="shared" si="177"/>
        <v>Bank Transfer</v>
      </c>
      <c r="V2827" s="4" t="str">
        <f t="shared" si="178"/>
        <v>Normal</v>
      </c>
      <c r="W2827" s="4" t="str">
        <f t="shared" si="179"/>
        <v>Good</v>
      </c>
      <c r="X2827" s="4">
        <f>AVERAGE(Table1[Purchase Amount])</f>
        <v>129.48419400000012</v>
      </c>
    </row>
    <row r="2828" spans="1:24" ht="15" customHeight="1" x14ac:dyDescent="0.25">
      <c r="A2828">
        <v>2827</v>
      </c>
      <c r="B2828">
        <v>32</v>
      </c>
      <c r="C2828" t="s">
        <v>16</v>
      </c>
      <c r="D2828" t="s">
        <v>69</v>
      </c>
      <c r="E2828" t="s">
        <v>29</v>
      </c>
      <c r="F2828" s="2">
        <v>43</v>
      </c>
      <c r="G2828" t="s">
        <v>67</v>
      </c>
      <c r="H2828" t="s">
        <v>45</v>
      </c>
      <c r="I2828" t="s">
        <v>60</v>
      </c>
      <c r="J2828" t="s">
        <v>47</v>
      </c>
      <c r="K2828">
        <v>3.6</v>
      </c>
      <c r="L2828" t="s">
        <v>23</v>
      </c>
      <c r="M2828" t="s">
        <v>61</v>
      </c>
      <c r="N2828" t="s">
        <v>23</v>
      </c>
      <c r="O2828">
        <v>23</v>
      </c>
      <c r="P2828" t="s">
        <v>62</v>
      </c>
      <c r="Q2828" t="s">
        <v>49</v>
      </c>
      <c r="R2828" s="1">
        <v>0.1</v>
      </c>
      <c r="S2828">
        <f t="shared" si="176"/>
        <v>38.700000000000003</v>
      </c>
      <c r="T2828">
        <f>IFERROR(VLOOKUP(A2828,Table1[[Customer ID]:[Discount Amount]], 6, FALSE),"Not Found")</f>
        <v>43</v>
      </c>
      <c r="U2828" t="str">
        <f t="shared" si="177"/>
        <v>Venmo</v>
      </c>
      <c r="V2828" s="4" t="str">
        <f t="shared" si="178"/>
        <v>Normal</v>
      </c>
      <c r="W2828" s="4" t="str">
        <f t="shared" si="179"/>
        <v>Good</v>
      </c>
      <c r="X2828" s="4">
        <f>AVERAGE(Table1[Purchase Amount])</f>
        <v>129.48419400000012</v>
      </c>
    </row>
    <row r="2829" spans="1:24" ht="15" customHeight="1" x14ac:dyDescent="0.25">
      <c r="A2829">
        <v>2828</v>
      </c>
      <c r="B2829">
        <v>20</v>
      </c>
      <c r="C2829" t="s">
        <v>16</v>
      </c>
      <c r="D2829" t="s">
        <v>118</v>
      </c>
      <c r="E2829" t="s">
        <v>18</v>
      </c>
      <c r="F2829" s="2">
        <v>96</v>
      </c>
      <c r="G2829" t="s">
        <v>59</v>
      </c>
      <c r="H2829" t="s">
        <v>31</v>
      </c>
      <c r="I2829" t="s">
        <v>87</v>
      </c>
      <c r="J2829" t="s">
        <v>47</v>
      </c>
      <c r="K2829">
        <v>3.1</v>
      </c>
      <c r="L2829" t="s">
        <v>23</v>
      </c>
      <c r="M2829" t="s">
        <v>79</v>
      </c>
      <c r="N2829" t="s">
        <v>23</v>
      </c>
      <c r="O2829">
        <v>11</v>
      </c>
      <c r="P2829" t="s">
        <v>88</v>
      </c>
      <c r="Q2829" t="s">
        <v>68</v>
      </c>
      <c r="R2829" s="1">
        <v>0.1</v>
      </c>
      <c r="S2829">
        <f t="shared" si="176"/>
        <v>86.4</v>
      </c>
      <c r="T2829">
        <f>IFERROR(VLOOKUP(A2829,Table1[[Customer ID]:[Discount Amount]], 6, FALSE),"Not Found")</f>
        <v>96</v>
      </c>
      <c r="U2829" t="str">
        <f t="shared" si="177"/>
        <v>Bank Transfer</v>
      </c>
      <c r="V2829" s="4" t="str">
        <f t="shared" si="178"/>
        <v>Normal</v>
      </c>
      <c r="W2829" s="4" t="str">
        <f t="shared" si="179"/>
        <v>Good</v>
      </c>
      <c r="X2829" s="4">
        <f>AVERAGE(Table1[Purchase Amount])</f>
        <v>129.48419400000012</v>
      </c>
    </row>
    <row r="2830" spans="1:24" ht="15" customHeight="1" x14ac:dyDescent="0.25">
      <c r="A2830">
        <v>2829</v>
      </c>
      <c r="B2830">
        <v>25</v>
      </c>
      <c r="C2830" t="s">
        <v>16</v>
      </c>
      <c r="D2830" t="s">
        <v>129</v>
      </c>
      <c r="E2830" t="s">
        <v>29</v>
      </c>
      <c r="F2830" s="2">
        <v>83</v>
      </c>
      <c r="G2830" t="s">
        <v>65</v>
      </c>
      <c r="H2830" t="s">
        <v>45</v>
      </c>
      <c r="I2830" t="s">
        <v>107</v>
      </c>
      <c r="J2830" t="s">
        <v>47</v>
      </c>
      <c r="K2830">
        <v>2.6</v>
      </c>
      <c r="L2830" t="s">
        <v>23</v>
      </c>
      <c r="M2830" t="s">
        <v>24</v>
      </c>
      <c r="N2830" t="s">
        <v>23</v>
      </c>
      <c r="O2830">
        <v>33</v>
      </c>
      <c r="P2830" t="s">
        <v>58</v>
      </c>
      <c r="Q2830" t="s">
        <v>37</v>
      </c>
      <c r="R2830" s="1">
        <v>0.1</v>
      </c>
      <c r="S2830">
        <f t="shared" si="176"/>
        <v>74.7</v>
      </c>
      <c r="T2830">
        <f>IFERROR(VLOOKUP(A2830,Table1[[Customer ID]:[Discount Amount]], 6, FALSE),"Not Found")</f>
        <v>83</v>
      </c>
      <c r="U2830" t="str">
        <f t="shared" si="177"/>
        <v>PayPal</v>
      </c>
      <c r="V2830" s="4" t="str">
        <f t="shared" si="178"/>
        <v>Normal</v>
      </c>
      <c r="W2830" s="4" t="str">
        <f t="shared" si="179"/>
        <v>Poor</v>
      </c>
      <c r="X2830" s="4">
        <f>AVERAGE(Table1[Purchase Amount])</f>
        <v>129.48419400000012</v>
      </c>
    </row>
    <row r="2831" spans="1:24" ht="15" customHeight="1" x14ac:dyDescent="0.25">
      <c r="A2831">
        <v>2830</v>
      </c>
      <c r="B2831">
        <v>56</v>
      </c>
      <c r="C2831" t="s">
        <v>16</v>
      </c>
      <c r="D2831" t="s">
        <v>50</v>
      </c>
      <c r="E2831" t="s">
        <v>29</v>
      </c>
      <c r="F2831" s="2">
        <v>67</v>
      </c>
      <c r="G2831" t="s">
        <v>150</v>
      </c>
      <c r="H2831" t="s">
        <v>20</v>
      </c>
      <c r="I2831" t="s">
        <v>147</v>
      </c>
      <c r="J2831" t="s">
        <v>47</v>
      </c>
      <c r="K2831">
        <v>3.4</v>
      </c>
      <c r="L2831" t="s">
        <v>23</v>
      </c>
      <c r="M2831" t="s">
        <v>79</v>
      </c>
      <c r="N2831" t="s">
        <v>23</v>
      </c>
      <c r="O2831">
        <v>47</v>
      </c>
      <c r="P2831" t="s">
        <v>25</v>
      </c>
      <c r="Q2831" t="s">
        <v>26</v>
      </c>
      <c r="R2831" s="1">
        <v>0.1</v>
      </c>
      <c r="S2831">
        <f t="shared" si="176"/>
        <v>60.3</v>
      </c>
      <c r="T2831">
        <f>IFERROR(VLOOKUP(A2831,Table1[[Customer ID]:[Discount Amount]], 6, FALSE),"Not Found")</f>
        <v>67</v>
      </c>
      <c r="U2831" t="str">
        <f t="shared" si="177"/>
        <v>Cash</v>
      </c>
      <c r="V2831" s="4" t="str">
        <f t="shared" si="178"/>
        <v>Normal</v>
      </c>
      <c r="W2831" s="4" t="str">
        <f t="shared" si="179"/>
        <v>Good</v>
      </c>
      <c r="X2831" s="4">
        <f>AVERAGE(Table1[Purchase Amount])</f>
        <v>129.48419400000012</v>
      </c>
    </row>
    <row r="2832" spans="1:24" ht="15" customHeight="1" x14ac:dyDescent="0.25">
      <c r="A2832">
        <v>2831</v>
      </c>
      <c r="B2832">
        <v>63</v>
      </c>
      <c r="C2832" t="s">
        <v>16</v>
      </c>
      <c r="D2832" t="s">
        <v>122</v>
      </c>
      <c r="E2832" t="s">
        <v>18</v>
      </c>
      <c r="F2832" s="2">
        <v>90</v>
      </c>
      <c r="G2832" t="s">
        <v>123</v>
      </c>
      <c r="H2832" t="s">
        <v>45</v>
      </c>
      <c r="I2832" t="s">
        <v>128</v>
      </c>
      <c r="J2832" t="s">
        <v>33</v>
      </c>
      <c r="K2832">
        <v>2.9</v>
      </c>
      <c r="L2832" t="s">
        <v>23</v>
      </c>
      <c r="M2832" t="s">
        <v>48</v>
      </c>
      <c r="N2832" t="s">
        <v>23</v>
      </c>
      <c r="O2832">
        <v>13</v>
      </c>
      <c r="P2832" t="s">
        <v>62</v>
      </c>
      <c r="Q2832" t="s">
        <v>63</v>
      </c>
      <c r="R2832" s="1">
        <v>0.1</v>
      </c>
      <c r="S2832">
        <f t="shared" si="176"/>
        <v>81</v>
      </c>
      <c r="T2832">
        <f>IFERROR(VLOOKUP(A2832,Table1[[Customer ID]:[Discount Amount]], 6, FALSE),"Not Found")</f>
        <v>90</v>
      </c>
      <c r="U2832" t="str">
        <f t="shared" si="177"/>
        <v>Venmo</v>
      </c>
      <c r="V2832" s="4" t="str">
        <f t="shared" si="178"/>
        <v>Normal</v>
      </c>
      <c r="W2832" s="4" t="str">
        <f t="shared" si="179"/>
        <v>Poor</v>
      </c>
      <c r="X2832" s="4">
        <f>AVERAGE(Table1[Purchase Amount])</f>
        <v>129.48419400000012</v>
      </c>
    </row>
    <row r="2833" spans="1:24" ht="15" customHeight="1" x14ac:dyDescent="0.25">
      <c r="A2833">
        <v>2832</v>
      </c>
      <c r="B2833">
        <v>34</v>
      </c>
      <c r="C2833" t="s">
        <v>16</v>
      </c>
      <c r="D2833" t="s">
        <v>83</v>
      </c>
      <c r="E2833" t="s">
        <v>18</v>
      </c>
      <c r="F2833" s="2">
        <v>53</v>
      </c>
      <c r="G2833" t="s">
        <v>138</v>
      </c>
      <c r="H2833" t="s">
        <v>45</v>
      </c>
      <c r="I2833" t="s">
        <v>136</v>
      </c>
      <c r="J2833" t="s">
        <v>22</v>
      </c>
      <c r="K2833">
        <v>5</v>
      </c>
      <c r="L2833" t="s">
        <v>23</v>
      </c>
      <c r="M2833" t="s">
        <v>61</v>
      </c>
      <c r="N2833" t="s">
        <v>23</v>
      </c>
      <c r="O2833">
        <v>4</v>
      </c>
      <c r="P2833" t="s">
        <v>53</v>
      </c>
      <c r="Q2833" t="s">
        <v>26</v>
      </c>
      <c r="R2833" s="1">
        <v>0.1</v>
      </c>
      <c r="S2833">
        <f t="shared" si="176"/>
        <v>47.7</v>
      </c>
      <c r="T2833">
        <f>IFERROR(VLOOKUP(A2833,Table1[[Customer ID]:[Discount Amount]], 6, FALSE),"Not Found")</f>
        <v>53</v>
      </c>
      <c r="U2833" t="str">
        <f t="shared" si="177"/>
        <v>Credit Card</v>
      </c>
      <c r="V2833" s="4" t="str">
        <f t="shared" si="178"/>
        <v>Normal</v>
      </c>
      <c r="W2833" s="4" t="str">
        <f t="shared" si="179"/>
        <v>Good</v>
      </c>
      <c r="X2833" s="4">
        <f>AVERAGE(Table1[Purchase Amount])</f>
        <v>129.48419400000012</v>
      </c>
    </row>
    <row r="2834" spans="1:24" ht="15" customHeight="1" x14ac:dyDescent="0.25">
      <c r="A2834">
        <v>2833</v>
      </c>
      <c r="B2834">
        <v>29</v>
      </c>
      <c r="C2834" t="s">
        <v>16</v>
      </c>
      <c r="D2834" t="s">
        <v>129</v>
      </c>
      <c r="E2834" t="s">
        <v>29</v>
      </c>
      <c r="F2834" s="2">
        <v>37</v>
      </c>
      <c r="G2834" t="s">
        <v>106</v>
      </c>
      <c r="H2834" t="s">
        <v>31</v>
      </c>
      <c r="I2834" t="s">
        <v>87</v>
      </c>
      <c r="J2834" t="s">
        <v>57</v>
      </c>
      <c r="K2834">
        <v>4.5999999999999996</v>
      </c>
      <c r="L2834" t="s">
        <v>23</v>
      </c>
      <c r="M2834" t="s">
        <v>24</v>
      </c>
      <c r="N2834" t="s">
        <v>23</v>
      </c>
      <c r="O2834">
        <v>40</v>
      </c>
      <c r="P2834" t="s">
        <v>58</v>
      </c>
      <c r="Q2834" t="s">
        <v>37</v>
      </c>
      <c r="R2834" s="1">
        <v>0.1</v>
      </c>
      <c r="S2834">
        <f t="shared" si="176"/>
        <v>33.299999999999997</v>
      </c>
      <c r="T2834">
        <f>IFERROR(VLOOKUP(A2834,Table1[[Customer ID]:[Discount Amount]], 6, FALSE),"Not Found")</f>
        <v>37</v>
      </c>
      <c r="U2834" t="str">
        <f t="shared" si="177"/>
        <v>PayPal</v>
      </c>
      <c r="V2834" s="4" t="str">
        <f t="shared" si="178"/>
        <v>Normal</v>
      </c>
      <c r="W2834" s="4" t="str">
        <f t="shared" si="179"/>
        <v>Good</v>
      </c>
      <c r="X2834" s="4">
        <f>AVERAGE(Table1[Purchase Amount])</f>
        <v>129.48419400000012</v>
      </c>
    </row>
    <row r="2835" spans="1:24" ht="15" customHeight="1" x14ac:dyDescent="0.25">
      <c r="A2835">
        <v>2834</v>
      </c>
      <c r="B2835">
        <v>43</v>
      </c>
      <c r="C2835" t="s">
        <v>16</v>
      </c>
      <c r="D2835" t="s">
        <v>109</v>
      </c>
      <c r="E2835" t="s">
        <v>18</v>
      </c>
      <c r="F2835" s="2">
        <v>56</v>
      </c>
      <c r="G2835" t="s">
        <v>100</v>
      </c>
      <c r="H2835" t="s">
        <v>31</v>
      </c>
      <c r="I2835" t="s">
        <v>147</v>
      </c>
      <c r="J2835" t="s">
        <v>47</v>
      </c>
      <c r="K2835">
        <v>3.3</v>
      </c>
      <c r="L2835" t="s">
        <v>23</v>
      </c>
      <c r="M2835" t="s">
        <v>35</v>
      </c>
      <c r="N2835" t="s">
        <v>23</v>
      </c>
      <c r="O2835">
        <v>19</v>
      </c>
      <c r="P2835" t="s">
        <v>25</v>
      </c>
      <c r="Q2835" t="s">
        <v>42</v>
      </c>
      <c r="R2835" s="1">
        <v>0.1</v>
      </c>
      <c r="S2835">
        <f t="shared" si="176"/>
        <v>50.4</v>
      </c>
      <c r="T2835">
        <f>IFERROR(VLOOKUP(A2835,Table1[[Customer ID]:[Discount Amount]], 6, FALSE),"Not Found")</f>
        <v>56</v>
      </c>
      <c r="U2835" t="str">
        <f t="shared" si="177"/>
        <v>Cash</v>
      </c>
      <c r="V2835" s="4" t="str">
        <f t="shared" si="178"/>
        <v>Normal</v>
      </c>
      <c r="W2835" s="4" t="str">
        <f t="shared" si="179"/>
        <v>Good</v>
      </c>
      <c r="X2835" s="4">
        <f>AVERAGE(Table1[Purchase Amount])</f>
        <v>129.48419400000012</v>
      </c>
    </row>
    <row r="2836" spans="1:24" ht="15" customHeight="1" x14ac:dyDescent="0.25">
      <c r="A2836">
        <v>2835</v>
      </c>
      <c r="B2836">
        <v>39</v>
      </c>
      <c r="C2836" t="s">
        <v>16</v>
      </c>
      <c r="D2836" t="s">
        <v>96</v>
      </c>
      <c r="E2836" t="s">
        <v>77</v>
      </c>
      <c r="F2836" s="2">
        <v>43</v>
      </c>
      <c r="G2836" t="s">
        <v>152</v>
      </c>
      <c r="H2836" t="s">
        <v>31</v>
      </c>
      <c r="I2836" t="s">
        <v>91</v>
      </c>
      <c r="J2836" t="s">
        <v>47</v>
      </c>
      <c r="K2836">
        <v>2.9</v>
      </c>
      <c r="L2836" t="s">
        <v>23</v>
      </c>
      <c r="M2836" t="s">
        <v>41</v>
      </c>
      <c r="N2836" t="s">
        <v>23</v>
      </c>
      <c r="O2836">
        <v>17</v>
      </c>
      <c r="P2836" t="s">
        <v>53</v>
      </c>
      <c r="Q2836" t="s">
        <v>26</v>
      </c>
      <c r="R2836" s="1">
        <v>0.1</v>
      </c>
      <c r="S2836">
        <f t="shared" si="176"/>
        <v>38.700000000000003</v>
      </c>
      <c r="T2836">
        <f>IFERROR(VLOOKUP(A2836,Table1[[Customer ID]:[Discount Amount]], 6, FALSE),"Not Found")</f>
        <v>43</v>
      </c>
      <c r="U2836" t="str">
        <f t="shared" si="177"/>
        <v>Credit Card</v>
      </c>
      <c r="V2836" s="4" t="str">
        <f t="shared" si="178"/>
        <v>Normal</v>
      </c>
      <c r="W2836" s="4" t="str">
        <f t="shared" si="179"/>
        <v>Poor</v>
      </c>
      <c r="X2836" s="4">
        <f>AVERAGE(Table1[Purchase Amount])</f>
        <v>129.48419400000012</v>
      </c>
    </row>
    <row r="2837" spans="1:24" ht="15" customHeight="1" x14ac:dyDescent="0.25">
      <c r="A2837">
        <v>2836</v>
      </c>
      <c r="B2837">
        <v>33</v>
      </c>
      <c r="C2837" t="s">
        <v>16</v>
      </c>
      <c r="D2837" t="s">
        <v>17</v>
      </c>
      <c r="E2837" t="s">
        <v>18</v>
      </c>
      <c r="F2837" s="2">
        <v>84</v>
      </c>
      <c r="G2837" t="s">
        <v>84</v>
      </c>
      <c r="H2837" t="s">
        <v>55</v>
      </c>
      <c r="I2837" t="s">
        <v>136</v>
      </c>
      <c r="J2837" t="s">
        <v>22</v>
      </c>
      <c r="K2837">
        <v>4.9000000000000004</v>
      </c>
      <c r="L2837" t="s">
        <v>23</v>
      </c>
      <c r="M2837" t="s">
        <v>35</v>
      </c>
      <c r="N2837" t="s">
        <v>23</v>
      </c>
      <c r="O2837">
        <v>7</v>
      </c>
      <c r="P2837" t="s">
        <v>62</v>
      </c>
      <c r="Q2837" t="s">
        <v>49</v>
      </c>
      <c r="R2837" s="1">
        <v>0.1</v>
      </c>
      <c r="S2837">
        <f t="shared" si="176"/>
        <v>75.599999999999994</v>
      </c>
      <c r="T2837">
        <f>IFERROR(VLOOKUP(A2837,Table1[[Customer ID]:[Discount Amount]], 6, FALSE),"Not Found")</f>
        <v>84</v>
      </c>
      <c r="U2837" t="str">
        <f t="shared" si="177"/>
        <v>Venmo</v>
      </c>
      <c r="V2837" s="4" t="str">
        <f t="shared" si="178"/>
        <v>Normal</v>
      </c>
      <c r="W2837" s="4" t="str">
        <f t="shared" si="179"/>
        <v>Good</v>
      </c>
      <c r="X2837" s="4">
        <f>AVERAGE(Table1[Purchase Amount])</f>
        <v>129.48419400000012</v>
      </c>
    </row>
    <row r="2838" spans="1:24" ht="15" customHeight="1" x14ac:dyDescent="0.25">
      <c r="A2838">
        <v>2837</v>
      </c>
      <c r="B2838">
        <v>51</v>
      </c>
      <c r="C2838" t="s">
        <v>16</v>
      </c>
      <c r="D2838" t="s">
        <v>99</v>
      </c>
      <c r="E2838" t="s">
        <v>18</v>
      </c>
      <c r="F2838" s="2">
        <v>50</v>
      </c>
      <c r="G2838" t="s">
        <v>162</v>
      </c>
      <c r="H2838" t="s">
        <v>31</v>
      </c>
      <c r="I2838" t="s">
        <v>103</v>
      </c>
      <c r="J2838" t="s">
        <v>22</v>
      </c>
      <c r="K2838">
        <v>5</v>
      </c>
      <c r="L2838" t="s">
        <v>23</v>
      </c>
      <c r="M2838" t="s">
        <v>41</v>
      </c>
      <c r="N2838" t="s">
        <v>23</v>
      </c>
      <c r="O2838">
        <v>21</v>
      </c>
      <c r="P2838" t="s">
        <v>25</v>
      </c>
      <c r="Q2838" t="s">
        <v>68</v>
      </c>
      <c r="R2838" s="1">
        <v>0.1</v>
      </c>
      <c r="S2838">
        <f t="shared" si="176"/>
        <v>45</v>
      </c>
      <c r="T2838">
        <f>IFERROR(VLOOKUP(A2838,Table1[[Customer ID]:[Discount Amount]], 6, FALSE),"Not Found")</f>
        <v>50</v>
      </c>
      <c r="U2838" t="str">
        <f t="shared" si="177"/>
        <v>Cash</v>
      </c>
      <c r="V2838" s="4" t="str">
        <f t="shared" si="178"/>
        <v>Normal</v>
      </c>
      <c r="W2838" s="4" t="str">
        <f t="shared" si="179"/>
        <v>Good</v>
      </c>
      <c r="X2838" s="4">
        <f>AVERAGE(Table1[Purchase Amount])</f>
        <v>129.48419400000012</v>
      </c>
    </row>
    <row r="2839" spans="1:24" ht="15" customHeight="1" x14ac:dyDescent="0.25">
      <c r="A2839">
        <v>2838</v>
      </c>
      <c r="B2839">
        <v>65</v>
      </c>
      <c r="C2839" t="s">
        <v>16</v>
      </c>
      <c r="D2839" t="s">
        <v>72</v>
      </c>
      <c r="E2839" t="s">
        <v>98</v>
      </c>
      <c r="F2839" s="2">
        <v>88</v>
      </c>
      <c r="G2839" t="s">
        <v>51</v>
      </c>
      <c r="H2839" t="s">
        <v>31</v>
      </c>
      <c r="I2839" t="s">
        <v>60</v>
      </c>
      <c r="J2839" t="s">
        <v>57</v>
      </c>
      <c r="K2839">
        <v>4.5</v>
      </c>
      <c r="L2839" t="s">
        <v>23</v>
      </c>
      <c r="M2839" t="s">
        <v>61</v>
      </c>
      <c r="N2839" t="s">
        <v>23</v>
      </c>
      <c r="O2839">
        <v>44</v>
      </c>
      <c r="P2839" t="s">
        <v>58</v>
      </c>
      <c r="Q2839" t="s">
        <v>26</v>
      </c>
      <c r="R2839" s="1">
        <v>0.1</v>
      </c>
      <c r="S2839">
        <f t="shared" si="176"/>
        <v>79.2</v>
      </c>
      <c r="T2839">
        <f>IFERROR(VLOOKUP(A2839,Table1[[Customer ID]:[Discount Amount]], 6, FALSE),"Not Found")</f>
        <v>88</v>
      </c>
      <c r="U2839" t="str">
        <f t="shared" si="177"/>
        <v>PayPal</v>
      </c>
      <c r="V2839" s="4" t="str">
        <f t="shared" si="178"/>
        <v>Normal</v>
      </c>
      <c r="W2839" s="4" t="str">
        <f t="shared" si="179"/>
        <v>Good</v>
      </c>
      <c r="X2839" s="4">
        <f>AVERAGE(Table1[Purchase Amount])</f>
        <v>129.48419400000012</v>
      </c>
    </row>
    <row r="2840" spans="1:24" ht="15" customHeight="1" x14ac:dyDescent="0.25">
      <c r="A2840">
        <v>2839</v>
      </c>
      <c r="B2840">
        <v>51</v>
      </c>
      <c r="C2840" t="s">
        <v>16</v>
      </c>
      <c r="D2840" t="s">
        <v>96</v>
      </c>
      <c r="E2840" t="s">
        <v>77</v>
      </c>
      <c r="F2840" s="2">
        <v>50</v>
      </c>
      <c r="G2840" t="s">
        <v>94</v>
      </c>
      <c r="H2840" t="s">
        <v>31</v>
      </c>
      <c r="I2840" t="s">
        <v>74</v>
      </c>
      <c r="J2840" t="s">
        <v>47</v>
      </c>
      <c r="K2840">
        <v>3.7</v>
      </c>
      <c r="L2840" t="s">
        <v>23</v>
      </c>
      <c r="M2840" t="s">
        <v>35</v>
      </c>
      <c r="N2840" t="s">
        <v>23</v>
      </c>
      <c r="O2840">
        <v>2</v>
      </c>
      <c r="P2840" t="s">
        <v>88</v>
      </c>
      <c r="Q2840" t="s">
        <v>26</v>
      </c>
      <c r="R2840" s="1">
        <v>0.1</v>
      </c>
      <c r="S2840">
        <f t="shared" si="176"/>
        <v>45</v>
      </c>
      <c r="T2840">
        <f>IFERROR(VLOOKUP(A2840,Table1[[Customer ID]:[Discount Amount]], 6, FALSE),"Not Found")</f>
        <v>50</v>
      </c>
      <c r="U2840" t="str">
        <f t="shared" si="177"/>
        <v>Bank Transfer</v>
      </c>
      <c r="V2840" s="4" t="str">
        <f t="shared" si="178"/>
        <v>Normal</v>
      </c>
      <c r="W2840" s="4" t="str">
        <f t="shared" si="179"/>
        <v>Good</v>
      </c>
      <c r="X2840" s="4">
        <f>AVERAGE(Table1[Purchase Amount])</f>
        <v>129.48419400000012</v>
      </c>
    </row>
    <row r="2841" spans="1:24" ht="15" customHeight="1" x14ac:dyDescent="0.25">
      <c r="A2841">
        <v>2840</v>
      </c>
      <c r="B2841">
        <v>70</v>
      </c>
      <c r="C2841" t="s">
        <v>16</v>
      </c>
      <c r="D2841" t="s">
        <v>129</v>
      </c>
      <c r="E2841" t="s">
        <v>29</v>
      </c>
      <c r="F2841" s="2">
        <v>80</v>
      </c>
      <c r="G2841" t="s">
        <v>130</v>
      </c>
      <c r="H2841" t="s">
        <v>45</v>
      </c>
      <c r="I2841" t="s">
        <v>147</v>
      </c>
      <c r="J2841" t="s">
        <v>57</v>
      </c>
      <c r="K2841">
        <v>2.8</v>
      </c>
      <c r="L2841" t="s">
        <v>23</v>
      </c>
      <c r="M2841" t="s">
        <v>48</v>
      </c>
      <c r="N2841" t="s">
        <v>23</v>
      </c>
      <c r="O2841">
        <v>30</v>
      </c>
      <c r="P2841" t="s">
        <v>88</v>
      </c>
      <c r="Q2841" t="s">
        <v>42</v>
      </c>
      <c r="R2841" s="1">
        <v>0.1</v>
      </c>
      <c r="S2841">
        <f t="shared" si="176"/>
        <v>72</v>
      </c>
      <c r="T2841">
        <f>IFERROR(VLOOKUP(A2841,Table1[[Customer ID]:[Discount Amount]], 6, FALSE),"Not Found")</f>
        <v>80</v>
      </c>
      <c r="U2841" t="str">
        <f t="shared" si="177"/>
        <v>Bank Transfer</v>
      </c>
      <c r="V2841" s="4" t="str">
        <f t="shared" si="178"/>
        <v>Normal</v>
      </c>
      <c r="W2841" s="4" t="str">
        <f t="shared" si="179"/>
        <v>Poor</v>
      </c>
      <c r="X2841" s="4">
        <f>AVERAGE(Table1[Purchase Amount])</f>
        <v>129.48419400000012</v>
      </c>
    </row>
    <row r="2842" spans="1:24" ht="15" customHeight="1" x14ac:dyDescent="0.25">
      <c r="A2842">
        <v>2841</v>
      </c>
      <c r="B2842">
        <v>40</v>
      </c>
      <c r="C2842" t="s">
        <v>16</v>
      </c>
      <c r="D2842" t="s">
        <v>17</v>
      </c>
      <c r="E2842" t="s">
        <v>18</v>
      </c>
      <c r="F2842" s="2">
        <v>47</v>
      </c>
      <c r="G2842" t="s">
        <v>154</v>
      </c>
      <c r="H2842" t="s">
        <v>45</v>
      </c>
      <c r="I2842" t="s">
        <v>136</v>
      </c>
      <c r="J2842" t="s">
        <v>33</v>
      </c>
      <c r="K2842">
        <v>3.5</v>
      </c>
      <c r="L2842" t="s">
        <v>23</v>
      </c>
      <c r="M2842" t="s">
        <v>48</v>
      </c>
      <c r="N2842" t="s">
        <v>23</v>
      </c>
      <c r="O2842">
        <v>41</v>
      </c>
      <c r="P2842" t="s">
        <v>25</v>
      </c>
      <c r="Q2842" t="s">
        <v>49</v>
      </c>
      <c r="R2842" s="1">
        <v>0.1</v>
      </c>
      <c r="S2842">
        <f t="shared" si="176"/>
        <v>42.3</v>
      </c>
      <c r="T2842">
        <f>IFERROR(VLOOKUP(A2842,Table1[[Customer ID]:[Discount Amount]], 6, FALSE),"Not Found")</f>
        <v>47</v>
      </c>
      <c r="U2842" t="str">
        <f t="shared" si="177"/>
        <v>Cash</v>
      </c>
      <c r="V2842" s="4" t="str">
        <f t="shared" si="178"/>
        <v>Normal</v>
      </c>
      <c r="W2842" s="4" t="str">
        <f t="shared" si="179"/>
        <v>Good</v>
      </c>
      <c r="X2842" s="4">
        <f>AVERAGE(Table1[Purchase Amount])</f>
        <v>129.48419400000012</v>
      </c>
    </row>
    <row r="2843" spans="1:24" ht="15" customHeight="1" x14ac:dyDescent="0.25">
      <c r="A2843">
        <v>2842</v>
      </c>
      <c r="B2843">
        <v>19</v>
      </c>
      <c r="C2843" t="s">
        <v>16</v>
      </c>
      <c r="D2843" t="s">
        <v>157</v>
      </c>
      <c r="E2843" t="s">
        <v>18</v>
      </c>
      <c r="F2843" s="2">
        <v>33</v>
      </c>
      <c r="G2843" t="s">
        <v>90</v>
      </c>
      <c r="H2843" t="s">
        <v>20</v>
      </c>
      <c r="I2843" t="s">
        <v>87</v>
      </c>
      <c r="J2843" t="s">
        <v>22</v>
      </c>
      <c r="K2843">
        <v>3</v>
      </c>
      <c r="L2843" t="s">
        <v>23</v>
      </c>
      <c r="M2843" t="s">
        <v>41</v>
      </c>
      <c r="N2843" t="s">
        <v>23</v>
      </c>
      <c r="O2843">
        <v>31</v>
      </c>
      <c r="P2843" t="s">
        <v>25</v>
      </c>
      <c r="Q2843" t="s">
        <v>26</v>
      </c>
      <c r="R2843" s="1">
        <v>0.1</v>
      </c>
      <c r="S2843">
        <f t="shared" si="176"/>
        <v>29.7</v>
      </c>
      <c r="T2843">
        <f>IFERROR(VLOOKUP(A2843,Table1[[Customer ID]:[Discount Amount]], 6, FALSE),"Not Found")</f>
        <v>33</v>
      </c>
      <c r="U2843" t="str">
        <f t="shared" si="177"/>
        <v>Cash</v>
      </c>
      <c r="V2843" s="4" t="str">
        <f t="shared" si="178"/>
        <v>Normal</v>
      </c>
      <c r="W2843" s="4" t="str">
        <f t="shared" si="179"/>
        <v>Good</v>
      </c>
      <c r="X2843" s="4">
        <f>AVERAGE(Table1[Purchase Amount])</f>
        <v>129.48419400000012</v>
      </c>
    </row>
    <row r="2844" spans="1:24" ht="15" customHeight="1" x14ac:dyDescent="0.25">
      <c r="A2844">
        <v>2843</v>
      </c>
      <c r="B2844">
        <v>28</v>
      </c>
      <c r="C2844" t="s">
        <v>16</v>
      </c>
      <c r="D2844" t="s">
        <v>76</v>
      </c>
      <c r="E2844" t="s">
        <v>77</v>
      </c>
      <c r="F2844" s="2">
        <v>100</v>
      </c>
      <c r="G2844" t="s">
        <v>150</v>
      </c>
      <c r="H2844" t="s">
        <v>45</v>
      </c>
      <c r="I2844" t="s">
        <v>93</v>
      </c>
      <c r="J2844" t="s">
        <v>47</v>
      </c>
      <c r="K2844">
        <v>4.3</v>
      </c>
      <c r="L2844" t="s">
        <v>23</v>
      </c>
      <c r="M2844" t="s">
        <v>24</v>
      </c>
      <c r="N2844" t="s">
        <v>23</v>
      </c>
      <c r="O2844">
        <v>48</v>
      </c>
      <c r="P2844" t="s">
        <v>36</v>
      </c>
      <c r="Q2844" t="s">
        <v>37</v>
      </c>
      <c r="R2844" s="1">
        <v>0.1</v>
      </c>
      <c r="S2844">
        <f t="shared" si="176"/>
        <v>90</v>
      </c>
      <c r="T2844">
        <f>IFERROR(VLOOKUP(A2844,Table1[[Customer ID]:[Discount Amount]], 6, FALSE),"Not Found")</f>
        <v>100</v>
      </c>
      <c r="U2844" t="str">
        <f t="shared" si="177"/>
        <v>Debit Card</v>
      </c>
      <c r="V2844" s="4" t="str">
        <f t="shared" si="178"/>
        <v>Normal</v>
      </c>
      <c r="W2844" s="4" t="str">
        <f t="shared" si="179"/>
        <v>Good</v>
      </c>
      <c r="X2844" s="4">
        <f>AVERAGE(Table1[Purchase Amount])</f>
        <v>129.48419400000012</v>
      </c>
    </row>
    <row r="2845" spans="1:24" ht="15" customHeight="1" x14ac:dyDescent="0.25">
      <c r="A2845">
        <v>2844</v>
      </c>
      <c r="B2845">
        <v>51</v>
      </c>
      <c r="C2845" t="s">
        <v>16</v>
      </c>
      <c r="D2845" t="s">
        <v>127</v>
      </c>
      <c r="E2845" t="s">
        <v>18</v>
      </c>
      <c r="F2845" s="2">
        <v>26</v>
      </c>
      <c r="G2845" t="s">
        <v>90</v>
      </c>
      <c r="H2845" t="s">
        <v>31</v>
      </c>
      <c r="I2845" t="s">
        <v>32</v>
      </c>
      <c r="J2845" t="s">
        <v>57</v>
      </c>
      <c r="K2845">
        <v>3.6</v>
      </c>
      <c r="L2845" t="s">
        <v>23</v>
      </c>
      <c r="M2845" t="s">
        <v>48</v>
      </c>
      <c r="N2845" t="s">
        <v>23</v>
      </c>
      <c r="O2845">
        <v>41</v>
      </c>
      <c r="P2845" t="s">
        <v>62</v>
      </c>
      <c r="Q2845" t="s">
        <v>26</v>
      </c>
      <c r="R2845" s="1">
        <v>0.1</v>
      </c>
      <c r="S2845">
        <f t="shared" si="176"/>
        <v>23.4</v>
      </c>
      <c r="T2845">
        <f>IFERROR(VLOOKUP(A2845,Table1[[Customer ID]:[Discount Amount]], 6, FALSE),"Not Found")</f>
        <v>26</v>
      </c>
      <c r="U2845" t="str">
        <f t="shared" si="177"/>
        <v>Venmo</v>
      </c>
      <c r="V2845" s="4" t="str">
        <f t="shared" si="178"/>
        <v>Normal</v>
      </c>
      <c r="W2845" s="4" t="str">
        <f t="shared" si="179"/>
        <v>Good</v>
      </c>
      <c r="X2845" s="4">
        <f>AVERAGE(Table1[Purchase Amount])</f>
        <v>129.48419400000012</v>
      </c>
    </row>
    <row r="2846" spans="1:24" ht="15" customHeight="1" x14ac:dyDescent="0.25">
      <c r="A2846">
        <v>2845</v>
      </c>
      <c r="B2846">
        <v>32</v>
      </c>
      <c r="C2846" t="s">
        <v>16</v>
      </c>
      <c r="D2846" t="s">
        <v>64</v>
      </c>
      <c r="E2846" t="s">
        <v>29</v>
      </c>
      <c r="F2846" s="2">
        <v>79</v>
      </c>
      <c r="G2846" t="s">
        <v>110</v>
      </c>
      <c r="H2846" t="s">
        <v>31</v>
      </c>
      <c r="I2846" t="s">
        <v>91</v>
      </c>
      <c r="J2846" t="s">
        <v>57</v>
      </c>
      <c r="K2846">
        <v>4.4000000000000004</v>
      </c>
      <c r="L2846" t="s">
        <v>23</v>
      </c>
      <c r="M2846" t="s">
        <v>24</v>
      </c>
      <c r="N2846" t="s">
        <v>23</v>
      </c>
      <c r="O2846">
        <v>42</v>
      </c>
      <c r="P2846" t="s">
        <v>62</v>
      </c>
      <c r="Q2846" t="s">
        <v>49</v>
      </c>
      <c r="R2846" s="1">
        <v>0.1</v>
      </c>
      <c r="S2846">
        <f t="shared" si="176"/>
        <v>71.099999999999994</v>
      </c>
      <c r="T2846">
        <f>IFERROR(VLOOKUP(A2846,Table1[[Customer ID]:[Discount Amount]], 6, FALSE),"Not Found")</f>
        <v>79</v>
      </c>
      <c r="U2846" t="str">
        <f t="shared" si="177"/>
        <v>Venmo</v>
      </c>
      <c r="V2846" s="4" t="str">
        <f t="shared" si="178"/>
        <v>Normal</v>
      </c>
      <c r="W2846" s="4" t="str">
        <f t="shared" si="179"/>
        <v>Good</v>
      </c>
      <c r="X2846" s="4">
        <f>AVERAGE(Table1[Purchase Amount])</f>
        <v>129.48419400000012</v>
      </c>
    </row>
    <row r="2847" spans="1:24" ht="15" customHeight="1" x14ac:dyDescent="0.25">
      <c r="A2847">
        <v>2846</v>
      </c>
      <c r="B2847">
        <v>26</v>
      </c>
      <c r="C2847" t="s">
        <v>16</v>
      </c>
      <c r="D2847" t="s">
        <v>104</v>
      </c>
      <c r="E2847" t="s">
        <v>29</v>
      </c>
      <c r="F2847" s="2">
        <v>77</v>
      </c>
      <c r="G2847" t="s">
        <v>130</v>
      </c>
      <c r="H2847" t="s">
        <v>45</v>
      </c>
      <c r="I2847" t="s">
        <v>107</v>
      </c>
      <c r="J2847" t="s">
        <v>57</v>
      </c>
      <c r="K2847">
        <v>4.0999999999999996</v>
      </c>
      <c r="L2847" t="s">
        <v>23</v>
      </c>
      <c r="M2847" t="s">
        <v>61</v>
      </c>
      <c r="N2847" t="s">
        <v>23</v>
      </c>
      <c r="O2847">
        <v>39</v>
      </c>
      <c r="P2847" t="s">
        <v>36</v>
      </c>
      <c r="Q2847" t="s">
        <v>63</v>
      </c>
      <c r="R2847" s="1">
        <v>0.1</v>
      </c>
      <c r="S2847">
        <f t="shared" si="176"/>
        <v>69.3</v>
      </c>
      <c r="T2847">
        <f>IFERROR(VLOOKUP(A2847,Table1[[Customer ID]:[Discount Amount]], 6, FALSE),"Not Found")</f>
        <v>77</v>
      </c>
      <c r="U2847" t="str">
        <f t="shared" si="177"/>
        <v>Debit Card</v>
      </c>
      <c r="V2847" s="4" t="str">
        <f t="shared" si="178"/>
        <v>Normal</v>
      </c>
      <c r="W2847" s="4" t="str">
        <f t="shared" si="179"/>
        <v>Good</v>
      </c>
      <c r="X2847" s="4">
        <f>AVERAGE(Table1[Purchase Amount])</f>
        <v>129.48419400000012</v>
      </c>
    </row>
    <row r="2848" spans="1:24" ht="15" customHeight="1" x14ac:dyDescent="0.25">
      <c r="A2848">
        <v>2847</v>
      </c>
      <c r="B2848">
        <v>50</v>
      </c>
      <c r="C2848" t="s">
        <v>16</v>
      </c>
      <c r="D2848" t="s">
        <v>105</v>
      </c>
      <c r="E2848" t="s">
        <v>18</v>
      </c>
      <c r="F2848" s="2">
        <v>36</v>
      </c>
      <c r="G2848" t="s">
        <v>142</v>
      </c>
      <c r="H2848" t="s">
        <v>20</v>
      </c>
      <c r="I2848" t="s">
        <v>40</v>
      </c>
      <c r="J2848" t="s">
        <v>47</v>
      </c>
      <c r="K2848">
        <v>2.8</v>
      </c>
      <c r="L2848" t="s">
        <v>23</v>
      </c>
      <c r="M2848" t="s">
        <v>79</v>
      </c>
      <c r="N2848" t="s">
        <v>23</v>
      </c>
      <c r="O2848">
        <v>15</v>
      </c>
      <c r="P2848" t="s">
        <v>58</v>
      </c>
      <c r="Q2848" t="s">
        <v>68</v>
      </c>
      <c r="R2848" s="1">
        <v>0.1</v>
      </c>
      <c r="S2848">
        <f t="shared" si="176"/>
        <v>32.4</v>
      </c>
      <c r="T2848">
        <f>IFERROR(VLOOKUP(A2848,Table1[[Customer ID]:[Discount Amount]], 6, FALSE),"Not Found")</f>
        <v>36</v>
      </c>
      <c r="U2848" t="str">
        <f t="shared" si="177"/>
        <v>PayPal</v>
      </c>
      <c r="V2848" s="4" t="str">
        <f t="shared" si="178"/>
        <v>Normal</v>
      </c>
      <c r="W2848" s="4" t="str">
        <f t="shared" si="179"/>
        <v>Poor</v>
      </c>
      <c r="X2848" s="4">
        <f>AVERAGE(Table1[Purchase Amount])</f>
        <v>129.48419400000012</v>
      </c>
    </row>
    <row r="2849" spans="1:24" ht="15" customHeight="1" x14ac:dyDescent="0.25">
      <c r="A2849">
        <v>2848</v>
      </c>
      <c r="B2849">
        <v>68</v>
      </c>
      <c r="C2849" t="s">
        <v>16</v>
      </c>
      <c r="D2849" t="s">
        <v>50</v>
      </c>
      <c r="E2849" t="s">
        <v>29</v>
      </c>
      <c r="F2849" s="2">
        <v>21</v>
      </c>
      <c r="G2849" t="s">
        <v>115</v>
      </c>
      <c r="H2849" t="s">
        <v>45</v>
      </c>
      <c r="I2849" t="s">
        <v>103</v>
      </c>
      <c r="J2849" t="s">
        <v>22</v>
      </c>
      <c r="K2849">
        <v>2.8</v>
      </c>
      <c r="L2849" t="s">
        <v>23</v>
      </c>
      <c r="M2849" t="s">
        <v>35</v>
      </c>
      <c r="N2849" t="s">
        <v>23</v>
      </c>
      <c r="O2849">
        <v>3</v>
      </c>
      <c r="P2849" t="s">
        <v>58</v>
      </c>
      <c r="Q2849" t="s">
        <v>63</v>
      </c>
      <c r="R2849" s="1">
        <v>0.1</v>
      </c>
      <c r="S2849">
        <f t="shared" si="176"/>
        <v>18.899999999999999</v>
      </c>
      <c r="T2849">
        <f>IFERROR(VLOOKUP(A2849,Table1[[Customer ID]:[Discount Amount]], 6, FALSE),"Not Found")</f>
        <v>21</v>
      </c>
      <c r="U2849" t="str">
        <f t="shared" si="177"/>
        <v>PayPal</v>
      </c>
      <c r="V2849" s="4" t="str">
        <f t="shared" si="178"/>
        <v>Normal</v>
      </c>
      <c r="W2849" s="4" t="str">
        <f t="shared" si="179"/>
        <v>Poor</v>
      </c>
      <c r="X2849" s="4">
        <f>AVERAGE(Table1[Purchase Amount])</f>
        <v>129.48419400000012</v>
      </c>
    </row>
    <row r="2850" spans="1:24" ht="15" customHeight="1" x14ac:dyDescent="0.25">
      <c r="A2850">
        <v>2849</v>
      </c>
      <c r="B2850">
        <v>33</v>
      </c>
      <c r="C2850" t="s">
        <v>16</v>
      </c>
      <c r="D2850" t="s">
        <v>151</v>
      </c>
      <c r="E2850" t="s">
        <v>98</v>
      </c>
      <c r="F2850" s="2">
        <v>72</v>
      </c>
      <c r="G2850" t="s">
        <v>59</v>
      </c>
      <c r="H2850" t="s">
        <v>45</v>
      </c>
      <c r="I2850" t="s">
        <v>85</v>
      </c>
      <c r="J2850" t="s">
        <v>47</v>
      </c>
      <c r="K2850">
        <v>4.9000000000000004</v>
      </c>
      <c r="L2850" t="s">
        <v>23</v>
      </c>
      <c r="M2850" t="s">
        <v>48</v>
      </c>
      <c r="N2850" t="s">
        <v>23</v>
      </c>
      <c r="O2850">
        <v>28</v>
      </c>
      <c r="P2850" t="s">
        <v>88</v>
      </c>
      <c r="Q2850" t="s">
        <v>37</v>
      </c>
      <c r="R2850" s="1">
        <v>0.1</v>
      </c>
      <c r="S2850">
        <f t="shared" si="176"/>
        <v>64.8</v>
      </c>
      <c r="T2850">
        <f>IFERROR(VLOOKUP(A2850,Table1[[Customer ID]:[Discount Amount]], 6, FALSE),"Not Found")</f>
        <v>72</v>
      </c>
      <c r="U2850" t="str">
        <f t="shared" si="177"/>
        <v>Bank Transfer</v>
      </c>
      <c r="V2850" s="4" t="str">
        <f t="shared" si="178"/>
        <v>Normal</v>
      </c>
      <c r="W2850" s="4" t="str">
        <f t="shared" si="179"/>
        <v>Good</v>
      </c>
      <c r="X2850" s="4">
        <f>AVERAGE(Table1[Purchase Amount])</f>
        <v>129.48419400000012</v>
      </c>
    </row>
    <row r="2851" spans="1:24" ht="15" customHeight="1" x14ac:dyDescent="0.25">
      <c r="A2851">
        <v>2850</v>
      </c>
      <c r="B2851">
        <v>56</v>
      </c>
      <c r="C2851" t="s">
        <v>16</v>
      </c>
      <c r="D2851" t="s">
        <v>76</v>
      </c>
      <c r="E2851" t="s">
        <v>77</v>
      </c>
      <c r="F2851" s="2">
        <v>25</v>
      </c>
      <c r="G2851" t="s">
        <v>132</v>
      </c>
      <c r="H2851" t="s">
        <v>31</v>
      </c>
      <c r="I2851" t="s">
        <v>133</v>
      </c>
      <c r="J2851" t="s">
        <v>33</v>
      </c>
      <c r="K2851">
        <v>4.0999999999999996</v>
      </c>
      <c r="L2851" t="s">
        <v>23</v>
      </c>
      <c r="M2851" t="s">
        <v>61</v>
      </c>
      <c r="N2851" t="s">
        <v>23</v>
      </c>
      <c r="O2851">
        <v>27</v>
      </c>
      <c r="P2851" t="s">
        <v>58</v>
      </c>
      <c r="Q2851" t="s">
        <v>68</v>
      </c>
      <c r="R2851" s="1">
        <v>0.1</v>
      </c>
      <c r="S2851">
        <f t="shared" si="176"/>
        <v>22.5</v>
      </c>
      <c r="T2851">
        <f>IFERROR(VLOOKUP(A2851,Table1[[Customer ID]:[Discount Amount]], 6, FALSE),"Not Found")</f>
        <v>25</v>
      </c>
      <c r="U2851" t="str">
        <f t="shared" si="177"/>
        <v>PayPal</v>
      </c>
      <c r="V2851" s="4" t="str">
        <f t="shared" si="178"/>
        <v>Normal</v>
      </c>
      <c r="W2851" s="4" t="str">
        <f t="shared" si="179"/>
        <v>Good</v>
      </c>
      <c r="X2851" s="4">
        <f>AVERAGE(Table1[Purchase Amount])</f>
        <v>129.48419400000012</v>
      </c>
    </row>
    <row r="2852" spans="1:24" ht="15" customHeight="1" x14ac:dyDescent="0.25">
      <c r="A2852">
        <v>2851</v>
      </c>
      <c r="B2852">
        <v>57</v>
      </c>
      <c r="C2852" t="s">
        <v>16</v>
      </c>
      <c r="D2852" t="s">
        <v>127</v>
      </c>
      <c r="E2852" t="s">
        <v>18</v>
      </c>
      <c r="F2852" s="2">
        <v>79</v>
      </c>
      <c r="G2852" t="s">
        <v>137</v>
      </c>
      <c r="H2852" t="s">
        <v>31</v>
      </c>
      <c r="I2852" t="s">
        <v>153</v>
      </c>
      <c r="J2852" t="s">
        <v>33</v>
      </c>
      <c r="K2852">
        <v>3</v>
      </c>
      <c r="L2852" t="s">
        <v>23</v>
      </c>
      <c r="M2852" t="s">
        <v>48</v>
      </c>
      <c r="N2852" t="s">
        <v>23</v>
      </c>
      <c r="O2852">
        <v>36</v>
      </c>
      <c r="P2852" t="s">
        <v>36</v>
      </c>
      <c r="Q2852" t="s">
        <v>49</v>
      </c>
      <c r="R2852" s="1">
        <v>0.1</v>
      </c>
      <c r="S2852">
        <f t="shared" si="176"/>
        <v>71.099999999999994</v>
      </c>
      <c r="T2852">
        <f>IFERROR(VLOOKUP(A2852,Table1[[Customer ID]:[Discount Amount]], 6, FALSE),"Not Found")</f>
        <v>79</v>
      </c>
      <c r="U2852" t="str">
        <f t="shared" si="177"/>
        <v>Debit Card</v>
      </c>
      <c r="V2852" s="4" t="str">
        <f t="shared" si="178"/>
        <v>Normal</v>
      </c>
      <c r="W2852" s="4" t="str">
        <f t="shared" si="179"/>
        <v>Good</v>
      </c>
      <c r="X2852" s="4">
        <f>AVERAGE(Table1[Purchase Amount])</f>
        <v>129.48419400000012</v>
      </c>
    </row>
    <row r="2853" spans="1:24" ht="15" customHeight="1" x14ac:dyDescent="0.25">
      <c r="A2853">
        <v>2852</v>
      </c>
      <c r="B2853">
        <v>58</v>
      </c>
      <c r="C2853" t="s">
        <v>16</v>
      </c>
      <c r="D2853" t="s">
        <v>118</v>
      </c>
      <c r="E2853" t="s">
        <v>18</v>
      </c>
      <c r="F2853" s="2">
        <v>73</v>
      </c>
      <c r="G2853" t="s">
        <v>158</v>
      </c>
      <c r="H2853" t="s">
        <v>45</v>
      </c>
      <c r="I2853" t="s">
        <v>147</v>
      </c>
      <c r="J2853" t="s">
        <v>57</v>
      </c>
      <c r="K2853">
        <v>3</v>
      </c>
      <c r="L2853" t="s">
        <v>23</v>
      </c>
      <c r="M2853" t="s">
        <v>48</v>
      </c>
      <c r="N2853" t="s">
        <v>23</v>
      </c>
      <c r="O2853">
        <v>42</v>
      </c>
      <c r="P2853" t="s">
        <v>36</v>
      </c>
      <c r="Q2853" t="s">
        <v>42</v>
      </c>
      <c r="R2853" s="1">
        <v>0.1</v>
      </c>
      <c r="S2853">
        <f t="shared" si="176"/>
        <v>65.7</v>
      </c>
      <c r="T2853">
        <f>IFERROR(VLOOKUP(A2853,Table1[[Customer ID]:[Discount Amount]], 6, FALSE),"Not Found")</f>
        <v>73</v>
      </c>
      <c r="U2853" t="str">
        <f t="shared" si="177"/>
        <v>Debit Card</v>
      </c>
      <c r="V2853" s="4" t="str">
        <f t="shared" si="178"/>
        <v>Normal</v>
      </c>
      <c r="W2853" s="4" t="str">
        <f t="shared" si="179"/>
        <v>Good</v>
      </c>
      <c r="X2853" s="4">
        <f>AVERAGE(Table1[Purchase Amount])</f>
        <v>129.48419400000012</v>
      </c>
    </row>
    <row r="2854" spans="1:24" ht="15" customHeight="1" x14ac:dyDescent="0.25">
      <c r="A2854">
        <v>2853</v>
      </c>
      <c r="B2854">
        <v>40</v>
      </c>
      <c r="C2854" t="s">
        <v>16</v>
      </c>
      <c r="D2854" t="s">
        <v>114</v>
      </c>
      <c r="E2854" t="s">
        <v>29</v>
      </c>
      <c r="F2854" s="2">
        <v>71</v>
      </c>
      <c r="G2854" t="s">
        <v>101</v>
      </c>
      <c r="H2854" t="s">
        <v>31</v>
      </c>
      <c r="I2854" t="s">
        <v>87</v>
      </c>
      <c r="J2854" t="s">
        <v>33</v>
      </c>
      <c r="K2854">
        <v>3</v>
      </c>
      <c r="L2854" t="s">
        <v>23</v>
      </c>
      <c r="M2854" t="s">
        <v>48</v>
      </c>
      <c r="N2854" t="s">
        <v>23</v>
      </c>
      <c r="O2854">
        <v>30</v>
      </c>
      <c r="P2854" t="s">
        <v>62</v>
      </c>
      <c r="Q2854" t="s">
        <v>26</v>
      </c>
      <c r="R2854" s="1">
        <v>0.1</v>
      </c>
      <c r="S2854">
        <f t="shared" si="176"/>
        <v>63.9</v>
      </c>
      <c r="T2854">
        <f>IFERROR(VLOOKUP(A2854,Table1[[Customer ID]:[Discount Amount]], 6, FALSE),"Not Found")</f>
        <v>71</v>
      </c>
      <c r="U2854" t="str">
        <f t="shared" si="177"/>
        <v>Venmo</v>
      </c>
      <c r="V2854" s="4" t="str">
        <f t="shared" si="178"/>
        <v>Normal</v>
      </c>
      <c r="W2854" s="4" t="str">
        <f t="shared" si="179"/>
        <v>Good</v>
      </c>
      <c r="X2854" s="4">
        <f>AVERAGE(Table1[Purchase Amount])</f>
        <v>129.48419400000012</v>
      </c>
    </row>
    <row r="2855" spans="1:24" ht="15" customHeight="1" x14ac:dyDescent="0.25">
      <c r="A2855">
        <v>2854</v>
      </c>
      <c r="B2855">
        <v>37</v>
      </c>
      <c r="C2855" t="s">
        <v>16</v>
      </c>
      <c r="D2855" t="s">
        <v>64</v>
      </c>
      <c r="E2855" t="s">
        <v>29</v>
      </c>
      <c r="F2855" s="2">
        <v>48</v>
      </c>
      <c r="G2855" t="s">
        <v>78</v>
      </c>
      <c r="H2855" t="s">
        <v>31</v>
      </c>
      <c r="I2855" t="s">
        <v>87</v>
      </c>
      <c r="J2855" t="s">
        <v>22</v>
      </c>
      <c r="K2855">
        <v>3.2</v>
      </c>
      <c r="L2855" t="s">
        <v>23</v>
      </c>
      <c r="M2855" t="s">
        <v>79</v>
      </c>
      <c r="N2855" t="s">
        <v>23</v>
      </c>
      <c r="O2855">
        <v>9</v>
      </c>
      <c r="P2855" t="s">
        <v>58</v>
      </c>
      <c r="Q2855" t="s">
        <v>26</v>
      </c>
      <c r="R2855" s="1">
        <v>0.1</v>
      </c>
      <c r="S2855">
        <f t="shared" si="176"/>
        <v>43.2</v>
      </c>
      <c r="T2855">
        <f>IFERROR(VLOOKUP(A2855,Table1[[Customer ID]:[Discount Amount]], 6, FALSE),"Not Found")</f>
        <v>48</v>
      </c>
      <c r="U2855" t="str">
        <f t="shared" si="177"/>
        <v>PayPal</v>
      </c>
      <c r="V2855" s="4" t="str">
        <f t="shared" si="178"/>
        <v>Normal</v>
      </c>
      <c r="W2855" s="4" t="str">
        <f t="shared" si="179"/>
        <v>Good</v>
      </c>
      <c r="X2855" s="4">
        <f>AVERAGE(Table1[Purchase Amount])</f>
        <v>129.48419400000012</v>
      </c>
    </row>
    <row r="2856" spans="1:24" ht="15" customHeight="1" x14ac:dyDescent="0.25">
      <c r="A2856">
        <v>2855</v>
      </c>
      <c r="B2856">
        <v>36</v>
      </c>
      <c r="C2856" t="s">
        <v>16</v>
      </c>
      <c r="D2856" t="s">
        <v>121</v>
      </c>
      <c r="E2856" t="s">
        <v>98</v>
      </c>
      <c r="F2856" s="2">
        <v>28</v>
      </c>
      <c r="G2856" t="s">
        <v>143</v>
      </c>
      <c r="H2856" t="s">
        <v>31</v>
      </c>
      <c r="I2856" t="s">
        <v>56</v>
      </c>
      <c r="J2856" t="s">
        <v>47</v>
      </c>
      <c r="K2856">
        <v>2.7</v>
      </c>
      <c r="L2856" t="s">
        <v>23</v>
      </c>
      <c r="M2856" t="s">
        <v>48</v>
      </c>
      <c r="N2856" t="s">
        <v>23</v>
      </c>
      <c r="O2856">
        <v>25</v>
      </c>
      <c r="P2856" t="s">
        <v>62</v>
      </c>
      <c r="Q2856" t="s">
        <v>42</v>
      </c>
      <c r="R2856" s="1">
        <v>0.1</v>
      </c>
      <c r="S2856">
        <f t="shared" si="176"/>
        <v>25.2</v>
      </c>
      <c r="T2856">
        <f>IFERROR(VLOOKUP(A2856,Table1[[Customer ID]:[Discount Amount]], 6, FALSE),"Not Found")</f>
        <v>28</v>
      </c>
      <c r="U2856" t="str">
        <f t="shared" si="177"/>
        <v>Venmo</v>
      </c>
      <c r="V2856" s="4" t="str">
        <f t="shared" si="178"/>
        <v>Normal</v>
      </c>
      <c r="W2856" s="4" t="str">
        <f t="shared" si="179"/>
        <v>Poor</v>
      </c>
      <c r="X2856" s="4">
        <f>AVERAGE(Table1[Purchase Amount])</f>
        <v>129.48419400000012</v>
      </c>
    </row>
    <row r="2857" spans="1:24" ht="15" customHeight="1" x14ac:dyDescent="0.25">
      <c r="A2857">
        <v>2856</v>
      </c>
      <c r="B2857">
        <v>29</v>
      </c>
      <c r="C2857" t="s">
        <v>16</v>
      </c>
      <c r="D2857" t="s">
        <v>151</v>
      </c>
      <c r="E2857" t="s">
        <v>98</v>
      </c>
      <c r="F2857" s="2">
        <v>95</v>
      </c>
      <c r="G2857" t="s">
        <v>149</v>
      </c>
      <c r="H2857" t="s">
        <v>55</v>
      </c>
      <c r="I2857" t="s">
        <v>125</v>
      </c>
      <c r="J2857" t="s">
        <v>22</v>
      </c>
      <c r="K2857">
        <v>3.8</v>
      </c>
      <c r="L2857" t="s">
        <v>23</v>
      </c>
      <c r="M2857" t="s">
        <v>41</v>
      </c>
      <c r="N2857" t="s">
        <v>23</v>
      </c>
      <c r="O2857">
        <v>33</v>
      </c>
      <c r="P2857" t="s">
        <v>58</v>
      </c>
      <c r="Q2857" t="s">
        <v>37</v>
      </c>
      <c r="R2857" s="1">
        <v>0.1</v>
      </c>
      <c r="S2857">
        <f t="shared" si="176"/>
        <v>85.5</v>
      </c>
      <c r="T2857">
        <f>IFERROR(VLOOKUP(A2857,Table1[[Customer ID]:[Discount Amount]], 6, FALSE),"Not Found")</f>
        <v>95</v>
      </c>
      <c r="U2857" t="str">
        <f t="shared" si="177"/>
        <v>PayPal</v>
      </c>
      <c r="V2857" s="4" t="str">
        <f t="shared" si="178"/>
        <v>Normal</v>
      </c>
      <c r="W2857" s="4" t="str">
        <f t="shared" si="179"/>
        <v>Good</v>
      </c>
      <c r="X2857" s="4">
        <f>AVERAGE(Table1[Purchase Amount])</f>
        <v>129.48419400000012</v>
      </c>
    </row>
    <row r="2858" spans="1:24" ht="15" customHeight="1" x14ac:dyDescent="0.25">
      <c r="A2858">
        <v>2857</v>
      </c>
      <c r="B2858">
        <v>65</v>
      </c>
      <c r="C2858" t="s">
        <v>16</v>
      </c>
      <c r="D2858" t="s">
        <v>96</v>
      </c>
      <c r="E2858" t="s">
        <v>77</v>
      </c>
      <c r="F2858" s="2">
        <v>48</v>
      </c>
      <c r="G2858" t="s">
        <v>141</v>
      </c>
      <c r="H2858" t="s">
        <v>31</v>
      </c>
      <c r="I2858" t="s">
        <v>91</v>
      </c>
      <c r="J2858" t="s">
        <v>22</v>
      </c>
      <c r="K2858">
        <v>3.5</v>
      </c>
      <c r="L2858" t="s">
        <v>23</v>
      </c>
      <c r="M2858" t="s">
        <v>41</v>
      </c>
      <c r="N2858" t="s">
        <v>23</v>
      </c>
      <c r="O2858">
        <v>31</v>
      </c>
      <c r="P2858" t="s">
        <v>53</v>
      </c>
      <c r="Q2858" t="s">
        <v>42</v>
      </c>
      <c r="R2858" s="1">
        <v>0.1</v>
      </c>
      <c r="S2858">
        <f t="shared" si="176"/>
        <v>43.2</v>
      </c>
      <c r="T2858">
        <f>IFERROR(VLOOKUP(A2858,Table1[[Customer ID]:[Discount Amount]], 6, FALSE),"Not Found")</f>
        <v>48</v>
      </c>
      <c r="U2858" t="str">
        <f t="shared" si="177"/>
        <v>Credit Card</v>
      </c>
      <c r="V2858" s="4" t="str">
        <f t="shared" si="178"/>
        <v>Normal</v>
      </c>
      <c r="W2858" s="4" t="str">
        <f t="shared" si="179"/>
        <v>Good</v>
      </c>
      <c r="X2858" s="4">
        <f>AVERAGE(Table1[Purchase Amount])</f>
        <v>129.48419400000012</v>
      </c>
    </row>
    <row r="2859" spans="1:24" ht="15" customHeight="1" x14ac:dyDescent="0.25">
      <c r="A2859">
        <v>2858</v>
      </c>
      <c r="B2859">
        <v>44</v>
      </c>
      <c r="C2859" t="s">
        <v>16</v>
      </c>
      <c r="D2859" t="s">
        <v>157</v>
      </c>
      <c r="E2859" t="s">
        <v>18</v>
      </c>
      <c r="F2859" s="2">
        <v>93</v>
      </c>
      <c r="G2859" t="s">
        <v>144</v>
      </c>
      <c r="H2859" t="s">
        <v>55</v>
      </c>
      <c r="I2859" t="s">
        <v>125</v>
      </c>
      <c r="J2859" t="s">
        <v>33</v>
      </c>
      <c r="K2859">
        <v>3.8</v>
      </c>
      <c r="L2859" t="s">
        <v>23</v>
      </c>
      <c r="M2859" t="s">
        <v>79</v>
      </c>
      <c r="N2859" t="s">
        <v>23</v>
      </c>
      <c r="O2859">
        <v>35</v>
      </c>
      <c r="P2859" t="s">
        <v>36</v>
      </c>
      <c r="Q2859" t="s">
        <v>42</v>
      </c>
      <c r="R2859" s="1">
        <v>0.1</v>
      </c>
      <c r="S2859">
        <f t="shared" si="176"/>
        <v>83.7</v>
      </c>
      <c r="T2859">
        <f>IFERROR(VLOOKUP(A2859,Table1[[Customer ID]:[Discount Amount]], 6, FALSE),"Not Found")</f>
        <v>93</v>
      </c>
      <c r="U2859" t="str">
        <f t="shared" si="177"/>
        <v>Debit Card</v>
      </c>
      <c r="V2859" s="4" t="str">
        <f t="shared" si="178"/>
        <v>Normal</v>
      </c>
      <c r="W2859" s="4" t="str">
        <f t="shared" si="179"/>
        <v>Good</v>
      </c>
      <c r="X2859" s="4">
        <f>AVERAGE(Table1[Purchase Amount])</f>
        <v>129.48419400000012</v>
      </c>
    </row>
    <row r="2860" spans="1:24" ht="15" customHeight="1" x14ac:dyDescent="0.25">
      <c r="A2860">
        <v>2859</v>
      </c>
      <c r="B2860">
        <v>34</v>
      </c>
      <c r="C2860" t="s">
        <v>16</v>
      </c>
      <c r="D2860" t="s">
        <v>109</v>
      </c>
      <c r="E2860" t="s">
        <v>18</v>
      </c>
      <c r="F2860" s="2">
        <v>87</v>
      </c>
      <c r="G2860" t="s">
        <v>106</v>
      </c>
      <c r="H2860" t="s">
        <v>45</v>
      </c>
      <c r="I2860" t="s">
        <v>147</v>
      </c>
      <c r="J2860" t="s">
        <v>57</v>
      </c>
      <c r="K2860">
        <v>3.8</v>
      </c>
      <c r="L2860" t="s">
        <v>23</v>
      </c>
      <c r="M2860" t="s">
        <v>41</v>
      </c>
      <c r="N2860" t="s">
        <v>23</v>
      </c>
      <c r="O2860">
        <v>46</v>
      </c>
      <c r="P2860" t="s">
        <v>88</v>
      </c>
      <c r="Q2860" t="s">
        <v>42</v>
      </c>
      <c r="R2860" s="1">
        <v>0.1</v>
      </c>
      <c r="S2860">
        <f t="shared" si="176"/>
        <v>78.3</v>
      </c>
      <c r="T2860">
        <f>IFERROR(VLOOKUP(A2860,Table1[[Customer ID]:[Discount Amount]], 6, FALSE),"Not Found")</f>
        <v>87</v>
      </c>
      <c r="U2860" t="str">
        <f t="shared" si="177"/>
        <v>Bank Transfer</v>
      </c>
      <c r="V2860" s="4" t="str">
        <f t="shared" si="178"/>
        <v>Normal</v>
      </c>
      <c r="W2860" s="4" t="str">
        <f t="shared" si="179"/>
        <v>Good</v>
      </c>
      <c r="X2860" s="4">
        <f>AVERAGE(Table1[Purchase Amount])</f>
        <v>129.48419400000012</v>
      </c>
    </row>
    <row r="2861" spans="1:24" ht="15" customHeight="1" x14ac:dyDescent="0.25">
      <c r="A2861">
        <v>2860</v>
      </c>
      <c r="B2861">
        <v>31</v>
      </c>
      <c r="C2861" t="s">
        <v>16</v>
      </c>
      <c r="D2861" t="s">
        <v>54</v>
      </c>
      <c r="E2861" t="s">
        <v>18</v>
      </c>
      <c r="F2861" s="2">
        <v>32</v>
      </c>
      <c r="G2861" t="s">
        <v>144</v>
      </c>
      <c r="H2861" t="s">
        <v>45</v>
      </c>
      <c r="I2861" t="s">
        <v>52</v>
      </c>
      <c r="J2861" t="s">
        <v>47</v>
      </c>
      <c r="K2861">
        <v>3.4</v>
      </c>
      <c r="L2861" t="s">
        <v>23</v>
      </c>
      <c r="M2861" t="s">
        <v>61</v>
      </c>
      <c r="N2861" t="s">
        <v>23</v>
      </c>
      <c r="O2861">
        <v>29</v>
      </c>
      <c r="P2861" t="s">
        <v>88</v>
      </c>
      <c r="Q2861" t="s">
        <v>49</v>
      </c>
      <c r="R2861" s="1">
        <v>0.1</v>
      </c>
      <c r="S2861">
        <f t="shared" si="176"/>
        <v>28.8</v>
      </c>
      <c r="T2861">
        <f>IFERROR(VLOOKUP(A2861,Table1[[Customer ID]:[Discount Amount]], 6, FALSE),"Not Found")</f>
        <v>32</v>
      </c>
      <c r="U2861" t="str">
        <f t="shared" si="177"/>
        <v>Bank Transfer</v>
      </c>
      <c r="V2861" s="4" t="str">
        <f t="shared" si="178"/>
        <v>Normal</v>
      </c>
      <c r="W2861" s="4" t="str">
        <f t="shared" si="179"/>
        <v>Good</v>
      </c>
      <c r="X2861" s="4">
        <f>AVERAGE(Table1[Purchase Amount])</f>
        <v>129.48419400000012</v>
      </c>
    </row>
    <row r="2862" spans="1:24" ht="15" customHeight="1" x14ac:dyDescent="0.25">
      <c r="A2862">
        <v>2861</v>
      </c>
      <c r="B2862">
        <v>28</v>
      </c>
      <c r="C2862" t="s">
        <v>16</v>
      </c>
      <c r="D2862" t="s">
        <v>38</v>
      </c>
      <c r="E2862" t="s">
        <v>18</v>
      </c>
      <c r="F2862" s="2">
        <v>38</v>
      </c>
      <c r="G2862" t="s">
        <v>159</v>
      </c>
      <c r="H2862" t="s">
        <v>31</v>
      </c>
      <c r="I2862" t="s">
        <v>133</v>
      </c>
      <c r="J2862" t="s">
        <v>33</v>
      </c>
      <c r="K2862">
        <v>2.9</v>
      </c>
      <c r="L2862" t="s">
        <v>23</v>
      </c>
      <c r="M2862" t="s">
        <v>79</v>
      </c>
      <c r="N2862" t="s">
        <v>23</v>
      </c>
      <c r="O2862">
        <v>49</v>
      </c>
      <c r="P2862" t="s">
        <v>88</v>
      </c>
      <c r="Q2862" t="s">
        <v>26</v>
      </c>
      <c r="R2862" s="1">
        <v>0.1</v>
      </c>
      <c r="S2862">
        <f t="shared" si="176"/>
        <v>34.200000000000003</v>
      </c>
      <c r="T2862">
        <f>IFERROR(VLOOKUP(A2862,Table1[[Customer ID]:[Discount Amount]], 6, FALSE),"Not Found")</f>
        <v>38</v>
      </c>
      <c r="U2862" t="str">
        <f t="shared" si="177"/>
        <v>Bank Transfer</v>
      </c>
      <c r="V2862" s="4" t="str">
        <f t="shared" si="178"/>
        <v>Normal</v>
      </c>
      <c r="W2862" s="4" t="str">
        <f t="shared" si="179"/>
        <v>Poor</v>
      </c>
      <c r="X2862" s="4">
        <f>AVERAGE(Table1[Purchase Amount])</f>
        <v>129.48419400000012</v>
      </c>
    </row>
    <row r="2863" spans="1:24" ht="15" customHeight="1" x14ac:dyDescent="0.25">
      <c r="A2863">
        <v>2862</v>
      </c>
      <c r="B2863">
        <v>66</v>
      </c>
      <c r="C2863" t="s">
        <v>16</v>
      </c>
      <c r="D2863" t="s">
        <v>76</v>
      </c>
      <c r="E2863" t="s">
        <v>77</v>
      </c>
      <c r="F2863" s="2">
        <v>54</v>
      </c>
      <c r="G2863" t="s">
        <v>106</v>
      </c>
      <c r="H2863" t="s">
        <v>31</v>
      </c>
      <c r="I2863" t="s">
        <v>147</v>
      </c>
      <c r="J2863" t="s">
        <v>47</v>
      </c>
      <c r="K2863">
        <v>3.4</v>
      </c>
      <c r="L2863" t="s">
        <v>23</v>
      </c>
      <c r="M2863" t="s">
        <v>35</v>
      </c>
      <c r="N2863" t="s">
        <v>23</v>
      </c>
      <c r="O2863">
        <v>27</v>
      </c>
      <c r="P2863" t="s">
        <v>53</v>
      </c>
      <c r="Q2863" t="s">
        <v>42</v>
      </c>
      <c r="R2863" s="1">
        <v>0.1</v>
      </c>
      <c r="S2863">
        <f t="shared" si="176"/>
        <v>48.6</v>
      </c>
      <c r="T2863">
        <f>IFERROR(VLOOKUP(A2863,Table1[[Customer ID]:[Discount Amount]], 6, FALSE),"Not Found")</f>
        <v>54</v>
      </c>
      <c r="U2863" t="str">
        <f t="shared" si="177"/>
        <v>Credit Card</v>
      </c>
      <c r="V2863" s="4" t="str">
        <f t="shared" si="178"/>
        <v>Normal</v>
      </c>
      <c r="W2863" s="4" t="str">
        <f t="shared" si="179"/>
        <v>Good</v>
      </c>
      <c r="X2863" s="4">
        <f>AVERAGE(Table1[Purchase Amount])</f>
        <v>129.48419400000012</v>
      </c>
    </row>
    <row r="2864" spans="1:24" ht="15" customHeight="1" x14ac:dyDescent="0.25">
      <c r="A2864">
        <v>2863</v>
      </c>
      <c r="B2864">
        <v>68</v>
      </c>
      <c r="C2864" t="s">
        <v>16</v>
      </c>
      <c r="D2864" t="s">
        <v>76</v>
      </c>
      <c r="E2864" t="s">
        <v>77</v>
      </c>
      <c r="F2864" s="2">
        <v>75</v>
      </c>
      <c r="G2864" t="s">
        <v>135</v>
      </c>
      <c r="H2864" t="s">
        <v>55</v>
      </c>
      <c r="I2864" t="s">
        <v>111</v>
      </c>
      <c r="J2864" t="s">
        <v>57</v>
      </c>
      <c r="K2864">
        <v>4.7</v>
      </c>
      <c r="L2864" t="s">
        <v>23</v>
      </c>
      <c r="M2864" t="s">
        <v>48</v>
      </c>
      <c r="N2864" t="s">
        <v>23</v>
      </c>
      <c r="O2864">
        <v>5</v>
      </c>
      <c r="P2864" t="s">
        <v>88</v>
      </c>
      <c r="Q2864" t="s">
        <v>63</v>
      </c>
      <c r="R2864" s="1">
        <v>0.1</v>
      </c>
      <c r="S2864">
        <f t="shared" si="176"/>
        <v>67.5</v>
      </c>
      <c r="T2864">
        <f>IFERROR(VLOOKUP(A2864,Table1[[Customer ID]:[Discount Amount]], 6, FALSE),"Not Found")</f>
        <v>75</v>
      </c>
      <c r="U2864" t="str">
        <f t="shared" si="177"/>
        <v>Bank Transfer</v>
      </c>
      <c r="V2864" s="4" t="str">
        <f t="shared" si="178"/>
        <v>Normal</v>
      </c>
      <c r="W2864" s="4" t="str">
        <f t="shared" si="179"/>
        <v>Good</v>
      </c>
      <c r="X2864" s="4">
        <f>AVERAGE(Table1[Purchase Amount])</f>
        <v>129.48419400000012</v>
      </c>
    </row>
    <row r="2865" spans="1:24" ht="15" customHeight="1" x14ac:dyDescent="0.25">
      <c r="A2865">
        <v>2864</v>
      </c>
      <c r="B2865">
        <v>37</v>
      </c>
      <c r="C2865" t="s">
        <v>16</v>
      </c>
      <c r="D2865" t="s">
        <v>17</v>
      </c>
      <c r="E2865" t="s">
        <v>18</v>
      </c>
      <c r="F2865" s="2">
        <v>56</v>
      </c>
      <c r="G2865" t="s">
        <v>115</v>
      </c>
      <c r="H2865" t="s">
        <v>31</v>
      </c>
      <c r="I2865" t="s">
        <v>52</v>
      </c>
      <c r="J2865" t="s">
        <v>47</v>
      </c>
      <c r="K2865">
        <v>3.9</v>
      </c>
      <c r="L2865" t="s">
        <v>23</v>
      </c>
      <c r="M2865" t="s">
        <v>41</v>
      </c>
      <c r="N2865" t="s">
        <v>23</v>
      </c>
      <c r="O2865">
        <v>18</v>
      </c>
      <c r="P2865" t="s">
        <v>62</v>
      </c>
      <c r="Q2865" t="s">
        <v>42</v>
      </c>
      <c r="R2865" s="1">
        <v>0.1</v>
      </c>
      <c r="S2865">
        <f t="shared" si="176"/>
        <v>50.4</v>
      </c>
      <c r="T2865">
        <f>IFERROR(VLOOKUP(A2865,Table1[[Customer ID]:[Discount Amount]], 6, FALSE),"Not Found")</f>
        <v>56</v>
      </c>
      <c r="U2865" t="str">
        <f t="shared" si="177"/>
        <v>Venmo</v>
      </c>
      <c r="V2865" s="4" t="str">
        <f t="shared" si="178"/>
        <v>Normal</v>
      </c>
      <c r="W2865" s="4" t="str">
        <f t="shared" si="179"/>
        <v>Good</v>
      </c>
      <c r="X2865" s="4">
        <f>AVERAGE(Table1[Purchase Amount])</f>
        <v>129.48419400000012</v>
      </c>
    </row>
    <row r="2866" spans="1:24" ht="15" customHeight="1" x14ac:dyDescent="0.25">
      <c r="A2866">
        <v>2865</v>
      </c>
      <c r="B2866">
        <v>58</v>
      </c>
      <c r="C2866" t="s">
        <v>16</v>
      </c>
      <c r="D2866" t="s">
        <v>127</v>
      </c>
      <c r="E2866" t="s">
        <v>18</v>
      </c>
      <c r="F2866" s="2">
        <v>43</v>
      </c>
      <c r="G2866" t="s">
        <v>44</v>
      </c>
      <c r="H2866" t="s">
        <v>55</v>
      </c>
      <c r="I2866" t="s">
        <v>125</v>
      </c>
      <c r="J2866" t="s">
        <v>47</v>
      </c>
      <c r="K2866">
        <v>3.6</v>
      </c>
      <c r="L2866" t="s">
        <v>23</v>
      </c>
      <c r="M2866" t="s">
        <v>48</v>
      </c>
      <c r="N2866" t="s">
        <v>23</v>
      </c>
      <c r="O2866">
        <v>31</v>
      </c>
      <c r="P2866" t="s">
        <v>62</v>
      </c>
      <c r="Q2866" t="s">
        <v>26</v>
      </c>
      <c r="R2866" s="1">
        <v>0.1</v>
      </c>
      <c r="S2866">
        <f t="shared" si="176"/>
        <v>38.700000000000003</v>
      </c>
      <c r="T2866">
        <f>IFERROR(VLOOKUP(A2866,Table1[[Customer ID]:[Discount Amount]], 6, FALSE),"Not Found")</f>
        <v>43</v>
      </c>
      <c r="U2866" t="str">
        <f t="shared" si="177"/>
        <v>Venmo</v>
      </c>
      <c r="V2866" s="4" t="str">
        <f t="shared" si="178"/>
        <v>Normal</v>
      </c>
      <c r="W2866" s="4" t="str">
        <f t="shared" si="179"/>
        <v>Good</v>
      </c>
      <c r="X2866" s="4">
        <f>AVERAGE(Table1[Purchase Amount])</f>
        <v>129.48419400000012</v>
      </c>
    </row>
    <row r="2867" spans="1:24" ht="15" customHeight="1" x14ac:dyDescent="0.25">
      <c r="A2867">
        <v>2866</v>
      </c>
      <c r="B2867">
        <v>28</v>
      </c>
      <c r="C2867" t="s">
        <v>16</v>
      </c>
      <c r="D2867" t="s">
        <v>122</v>
      </c>
      <c r="E2867" t="s">
        <v>18</v>
      </c>
      <c r="F2867" s="2">
        <v>97</v>
      </c>
      <c r="G2867" t="s">
        <v>19</v>
      </c>
      <c r="H2867" t="s">
        <v>31</v>
      </c>
      <c r="I2867" t="s">
        <v>153</v>
      </c>
      <c r="J2867" t="s">
        <v>47</v>
      </c>
      <c r="K2867">
        <v>3.7</v>
      </c>
      <c r="L2867" t="s">
        <v>23</v>
      </c>
      <c r="M2867" t="s">
        <v>35</v>
      </c>
      <c r="N2867" t="s">
        <v>23</v>
      </c>
      <c r="O2867">
        <v>27</v>
      </c>
      <c r="P2867" t="s">
        <v>25</v>
      </c>
      <c r="Q2867" t="s">
        <v>89</v>
      </c>
      <c r="R2867" s="1">
        <v>0.1</v>
      </c>
      <c r="S2867">
        <f t="shared" si="176"/>
        <v>87.3</v>
      </c>
      <c r="T2867">
        <f>IFERROR(VLOOKUP(A2867,Table1[[Customer ID]:[Discount Amount]], 6, FALSE),"Not Found")</f>
        <v>97</v>
      </c>
      <c r="U2867" t="str">
        <f t="shared" si="177"/>
        <v>Cash</v>
      </c>
      <c r="V2867" s="4" t="str">
        <f t="shared" si="178"/>
        <v>Normal</v>
      </c>
      <c r="W2867" s="4" t="str">
        <f t="shared" si="179"/>
        <v>Good</v>
      </c>
      <c r="X2867" s="4">
        <f>AVERAGE(Table1[Purchase Amount])</f>
        <v>129.48419400000012</v>
      </c>
    </row>
    <row r="2868" spans="1:24" ht="15" customHeight="1" x14ac:dyDescent="0.25">
      <c r="A2868">
        <v>2867</v>
      </c>
      <c r="B2868">
        <v>54</v>
      </c>
      <c r="C2868" t="s">
        <v>16</v>
      </c>
      <c r="D2868" t="s">
        <v>118</v>
      </c>
      <c r="E2868" t="s">
        <v>18</v>
      </c>
      <c r="F2868" s="2">
        <v>75</v>
      </c>
      <c r="G2868" t="s">
        <v>115</v>
      </c>
      <c r="H2868" t="s">
        <v>55</v>
      </c>
      <c r="I2868" t="s">
        <v>111</v>
      </c>
      <c r="J2868" t="s">
        <v>57</v>
      </c>
      <c r="K2868">
        <v>3.1</v>
      </c>
      <c r="L2868" t="s">
        <v>23</v>
      </c>
      <c r="M2868" t="s">
        <v>35</v>
      </c>
      <c r="N2868" t="s">
        <v>23</v>
      </c>
      <c r="O2868">
        <v>19</v>
      </c>
      <c r="P2868" t="s">
        <v>25</v>
      </c>
      <c r="Q2868" t="s">
        <v>49</v>
      </c>
      <c r="R2868" s="1">
        <v>0.1</v>
      </c>
      <c r="S2868">
        <f t="shared" si="176"/>
        <v>67.5</v>
      </c>
      <c r="T2868">
        <f>IFERROR(VLOOKUP(A2868,Table1[[Customer ID]:[Discount Amount]], 6, FALSE),"Not Found")</f>
        <v>75</v>
      </c>
      <c r="U2868" t="str">
        <f t="shared" si="177"/>
        <v>Cash</v>
      </c>
      <c r="V2868" s="4" t="str">
        <f t="shared" si="178"/>
        <v>Normal</v>
      </c>
      <c r="W2868" s="4" t="str">
        <f t="shared" si="179"/>
        <v>Good</v>
      </c>
      <c r="X2868" s="4">
        <f>AVERAGE(Table1[Purchase Amount])</f>
        <v>129.48419400000012</v>
      </c>
    </row>
    <row r="2869" spans="1:24" ht="15" customHeight="1" x14ac:dyDescent="0.25">
      <c r="A2869">
        <v>2868</v>
      </c>
      <c r="B2869">
        <v>21</v>
      </c>
      <c r="C2869" t="s">
        <v>16</v>
      </c>
      <c r="D2869" t="s">
        <v>140</v>
      </c>
      <c r="E2869" t="s">
        <v>98</v>
      </c>
      <c r="F2869" s="2">
        <v>55</v>
      </c>
      <c r="G2869" t="s">
        <v>92</v>
      </c>
      <c r="H2869" t="s">
        <v>45</v>
      </c>
      <c r="I2869" t="s">
        <v>32</v>
      </c>
      <c r="J2869" t="s">
        <v>57</v>
      </c>
      <c r="K2869">
        <v>4.9000000000000004</v>
      </c>
      <c r="L2869" t="s">
        <v>23</v>
      </c>
      <c r="M2869" t="s">
        <v>79</v>
      </c>
      <c r="N2869" t="s">
        <v>23</v>
      </c>
      <c r="O2869">
        <v>33</v>
      </c>
      <c r="P2869" t="s">
        <v>25</v>
      </c>
      <c r="Q2869" t="s">
        <v>89</v>
      </c>
      <c r="R2869" s="1">
        <v>0.1</v>
      </c>
      <c r="S2869">
        <f t="shared" si="176"/>
        <v>49.5</v>
      </c>
      <c r="T2869">
        <f>IFERROR(VLOOKUP(A2869,Table1[[Customer ID]:[Discount Amount]], 6, FALSE),"Not Found")</f>
        <v>55</v>
      </c>
      <c r="U2869" t="str">
        <f t="shared" si="177"/>
        <v>Cash</v>
      </c>
      <c r="V2869" s="4" t="str">
        <f t="shared" si="178"/>
        <v>Normal</v>
      </c>
      <c r="W2869" s="4" t="str">
        <f t="shared" si="179"/>
        <v>Good</v>
      </c>
      <c r="X2869" s="4">
        <f>AVERAGE(Table1[Purchase Amount])</f>
        <v>129.48419400000012</v>
      </c>
    </row>
    <row r="2870" spans="1:24" ht="15" customHeight="1" x14ac:dyDescent="0.25">
      <c r="A2870">
        <v>2869</v>
      </c>
      <c r="B2870">
        <v>45</v>
      </c>
      <c r="C2870" t="s">
        <v>16</v>
      </c>
      <c r="D2870" t="s">
        <v>104</v>
      </c>
      <c r="E2870" t="s">
        <v>29</v>
      </c>
      <c r="F2870" s="2">
        <v>49</v>
      </c>
      <c r="G2870" t="s">
        <v>92</v>
      </c>
      <c r="H2870" t="s">
        <v>31</v>
      </c>
      <c r="I2870" t="s">
        <v>40</v>
      </c>
      <c r="J2870" t="s">
        <v>22</v>
      </c>
      <c r="K2870">
        <v>2.6</v>
      </c>
      <c r="L2870" t="s">
        <v>23</v>
      </c>
      <c r="M2870" t="s">
        <v>79</v>
      </c>
      <c r="N2870" t="s">
        <v>23</v>
      </c>
      <c r="O2870">
        <v>42</v>
      </c>
      <c r="P2870" t="s">
        <v>58</v>
      </c>
      <c r="Q2870" t="s">
        <v>63</v>
      </c>
      <c r="R2870" s="1">
        <v>0.1</v>
      </c>
      <c r="S2870">
        <f t="shared" si="176"/>
        <v>44.1</v>
      </c>
      <c r="T2870">
        <f>IFERROR(VLOOKUP(A2870,Table1[[Customer ID]:[Discount Amount]], 6, FALSE),"Not Found")</f>
        <v>49</v>
      </c>
      <c r="U2870" t="str">
        <f t="shared" si="177"/>
        <v>PayPal</v>
      </c>
      <c r="V2870" s="4" t="str">
        <f t="shared" si="178"/>
        <v>Normal</v>
      </c>
      <c r="W2870" s="4" t="str">
        <f t="shared" si="179"/>
        <v>Poor</v>
      </c>
      <c r="X2870" s="4">
        <f>AVERAGE(Table1[Purchase Amount])</f>
        <v>129.48419400000012</v>
      </c>
    </row>
    <row r="2871" spans="1:24" ht="15" customHeight="1" x14ac:dyDescent="0.25">
      <c r="A2871">
        <v>2870</v>
      </c>
      <c r="B2871">
        <v>57</v>
      </c>
      <c r="C2871" t="s">
        <v>16</v>
      </c>
      <c r="D2871" t="s">
        <v>105</v>
      </c>
      <c r="E2871" t="s">
        <v>18</v>
      </c>
      <c r="F2871" s="2">
        <v>58</v>
      </c>
      <c r="G2871" t="s">
        <v>160</v>
      </c>
      <c r="H2871" t="s">
        <v>31</v>
      </c>
      <c r="I2871" t="s">
        <v>32</v>
      </c>
      <c r="J2871" t="s">
        <v>57</v>
      </c>
      <c r="K2871">
        <v>4.2</v>
      </c>
      <c r="L2871" t="s">
        <v>23</v>
      </c>
      <c r="M2871" t="s">
        <v>24</v>
      </c>
      <c r="N2871" t="s">
        <v>23</v>
      </c>
      <c r="O2871">
        <v>16</v>
      </c>
      <c r="P2871" t="s">
        <v>88</v>
      </c>
      <c r="Q2871" t="s">
        <v>26</v>
      </c>
      <c r="R2871" s="1">
        <v>0.1</v>
      </c>
      <c r="S2871">
        <f t="shared" si="176"/>
        <v>52.2</v>
      </c>
      <c r="T2871">
        <f>IFERROR(VLOOKUP(A2871,Table1[[Customer ID]:[Discount Amount]], 6, FALSE),"Not Found")</f>
        <v>58</v>
      </c>
      <c r="U2871" t="str">
        <f t="shared" si="177"/>
        <v>Bank Transfer</v>
      </c>
      <c r="V2871" s="4" t="str">
        <f t="shared" si="178"/>
        <v>Normal</v>
      </c>
      <c r="W2871" s="4" t="str">
        <f t="shared" si="179"/>
        <v>Good</v>
      </c>
      <c r="X2871" s="4">
        <f>AVERAGE(Table1[Purchase Amount])</f>
        <v>129.48419400000012</v>
      </c>
    </row>
    <row r="2872" spans="1:24" ht="15" customHeight="1" x14ac:dyDescent="0.25">
      <c r="A2872">
        <v>2871</v>
      </c>
      <c r="B2872">
        <v>47</v>
      </c>
      <c r="C2872" t="s">
        <v>16</v>
      </c>
      <c r="D2872" t="s">
        <v>50</v>
      </c>
      <c r="E2872" t="s">
        <v>29</v>
      </c>
      <c r="F2872" s="2">
        <v>34</v>
      </c>
      <c r="G2872" t="s">
        <v>86</v>
      </c>
      <c r="H2872" t="s">
        <v>31</v>
      </c>
      <c r="I2872" t="s">
        <v>74</v>
      </c>
      <c r="J2872" t="s">
        <v>22</v>
      </c>
      <c r="K2872">
        <v>4.8</v>
      </c>
      <c r="L2872" t="s">
        <v>23</v>
      </c>
      <c r="M2872" t="s">
        <v>35</v>
      </c>
      <c r="N2872" t="s">
        <v>23</v>
      </c>
      <c r="O2872">
        <v>49</v>
      </c>
      <c r="P2872" t="s">
        <v>36</v>
      </c>
      <c r="Q2872" t="s">
        <v>63</v>
      </c>
      <c r="R2872" s="1">
        <v>0.1</v>
      </c>
      <c r="S2872">
        <f t="shared" si="176"/>
        <v>30.6</v>
      </c>
      <c r="T2872">
        <f>IFERROR(VLOOKUP(A2872,Table1[[Customer ID]:[Discount Amount]], 6, FALSE),"Not Found")</f>
        <v>34</v>
      </c>
      <c r="U2872" t="str">
        <f t="shared" si="177"/>
        <v>Debit Card</v>
      </c>
      <c r="V2872" s="4" t="str">
        <f t="shared" si="178"/>
        <v>Normal</v>
      </c>
      <c r="W2872" s="4" t="str">
        <f t="shared" si="179"/>
        <v>Good</v>
      </c>
      <c r="X2872" s="4">
        <f>AVERAGE(Table1[Purchase Amount])</f>
        <v>129.48419400000012</v>
      </c>
    </row>
    <row r="2873" spans="1:24" ht="15" customHeight="1" x14ac:dyDescent="0.25">
      <c r="A2873">
        <v>2872</v>
      </c>
      <c r="B2873">
        <v>46</v>
      </c>
      <c r="C2873" t="s">
        <v>16</v>
      </c>
      <c r="D2873" t="s">
        <v>54</v>
      </c>
      <c r="E2873" t="s">
        <v>18</v>
      </c>
      <c r="F2873" s="2">
        <v>43</v>
      </c>
      <c r="G2873" t="s">
        <v>161</v>
      </c>
      <c r="H2873" t="s">
        <v>55</v>
      </c>
      <c r="I2873" t="s">
        <v>40</v>
      </c>
      <c r="J2873" t="s">
        <v>57</v>
      </c>
      <c r="K2873">
        <v>2.7</v>
      </c>
      <c r="L2873" t="s">
        <v>23</v>
      </c>
      <c r="M2873" t="s">
        <v>41</v>
      </c>
      <c r="N2873" t="s">
        <v>23</v>
      </c>
      <c r="O2873">
        <v>40</v>
      </c>
      <c r="P2873" t="s">
        <v>62</v>
      </c>
      <c r="Q2873" t="s">
        <v>68</v>
      </c>
      <c r="R2873" s="1">
        <v>0.1</v>
      </c>
      <c r="S2873">
        <f t="shared" si="176"/>
        <v>38.700000000000003</v>
      </c>
      <c r="T2873">
        <f>IFERROR(VLOOKUP(A2873,Table1[[Customer ID]:[Discount Amount]], 6, FALSE),"Not Found")</f>
        <v>43</v>
      </c>
      <c r="U2873" t="str">
        <f t="shared" si="177"/>
        <v>Venmo</v>
      </c>
      <c r="V2873" s="4" t="str">
        <f t="shared" si="178"/>
        <v>Normal</v>
      </c>
      <c r="W2873" s="4" t="str">
        <f t="shared" si="179"/>
        <v>Poor</v>
      </c>
      <c r="X2873" s="4">
        <f>AVERAGE(Table1[Purchase Amount])</f>
        <v>129.48419400000012</v>
      </c>
    </row>
    <row r="2874" spans="1:24" ht="15" customHeight="1" x14ac:dyDescent="0.25">
      <c r="A2874">
        <v>2873</v>
      </c>
      <c r="B2874">
        <v>63</v>
      </c>
      <c r="C2874" t="s">
        <v>16</v>
      </c>
      <c r="D2874" t="s">
        <v>50</v>
      </c>
      <c r="E2874" t="s">
        <v>29</v>
      </c>
      <c r="F2874" s="2">
        <v>48</v>
      </c>
      <c r="G2874" t="s">
        <v>115</v>
      </c>
      <c r="H2874" t="s">
        <v>45</v>
      </c>
      <c r="I2874" t="s">
        <v>21</v>
      </c>
      <c r="J2874" t="s">
        <v>47</v>
      </c>
      <c r="K2874">
        <v>2.6</v>
      </c>
      <c r="L2874" t="s">
        <v>23</v>
      </c>
      <c r="M2874" t="s">
        <v>79</v>
      </c>
      <c r="N2874" t="s">
        <v>23</v>
      </c>
      <c r="O2874">
        <v>5</v>
      </c>
      <c r="P2874" t="s">
        <v>25</v>
      </c>
      <c r="Q2874" t="s">
        <v>49</v>
      </c>
      <c r="R2874" s="1">
        <v>0.1</v>
      </c>
      <c r="S2874">
        <f t="shared" si="176"/>
        <v>43.2</v>
      </c>
      <c r="T2874">
        <f>IFERROR(VLOOKUP(A2874,Table1[[Customer ID]:[Discount Amount]], 6, FALSE),"Not Found")</f>
        <v>48</v>
      </c>
      <c r="U2874" t="str">
        <f t="shared" si="177"/>
        <v>Cash</v>
      </c>
      <c r="V2874" s="4" t="str">
        <f t="shared" si="178"/>
        <v>Normal</v>
      </c>
      <c r="W2874" s="4" t="str">
        <f t="shared" si="179"/>
        <v>Poor</v>
      </c>
      <c r="X2874" s="4">
        <f>AVERAGE(Table1[Purchase Amount])</f>
        <v>129.48419400000012</v>
      </c>
    </row>
    <row r="2875" spans="1:24" ht="15" customHeight="1" x14ac:dyDescent="0.25">
      <c r="A2875">
        <v>2874</v>
      </c>
      <c r="B2875">
        <v>44</v>
      </c>
      <c r="C2875" t="s">
        <v>16</v>
      </c>
      <c r="D2875" t="s">
        <v>127</v>
      </c>
      <c r="E2875" t="s">
        <v>18</v>
      </c>
      <c r="F2875" s="2">
        <v>40</v>
      </c>
      <c r="G2875" t="s">
        <v>39</v>
      </c>
      <c r="H2875" t="s">
        <v>31</v>
      </c>
      <c r="I2875" t="s">
        <v>147</v>
      </c>
      <c r="J2875" t="s">
        <v>33</v>
      </c>
      <c r="K2875">
        <v>2.6</v>
      </c>
      <c r="L2875" t="s">
        <v>23</v>
      </c>
      <c r="M2875" t="s">
        <v>35</v>
      </c>
      <c r="N2875" t="s">
        <v>23</v>
      </c>
      <c r="O2875">
        <v>8</v>
      </c>
      <c r="P2875" t="s">
        <v>88</v>
      </c>
      <c r="Q2875" t="s">
        <v>42</v>
      </c>
      <c r="R2875" s="1">
        <v>0.1</v>
      </c>
      <c r="S2875">
        <f t="shared" si="176"/>
        <v>36</v>
      </c>
      <c r="T2875">
        <f>IFERROR(VLOOKUP(A2875,Table1[[Customer ID]:[Discount Amount]], 6, FALSE),"Not Found")</f>
        <v>40</v>
      </c>
      <c r="U2875" t="str">
        <f t="shared" si="177"/>
        <v>Bank Transfer</v>
      </c>
      <c r="V2875" s="4" t="str">
        <f t="shared" si="178"/>
        <v>Normal</v>
      </c>
      <c r="W2875" s="4" t="str">
        <f t="shared" si="179"/>
        <v>Poor</v>
      </c>
      <c r="X2875" s="4">
        <f>AVERAGE(Table1[Purchase Amount])</f>
        <v>129.48419400000012</v>
      </c>
    </row>
    <row r="2876" spans="1:24" ht="15" customHeight="1" x14ac:dyDescent="0.25">
      <c r="A2876">
        <v>2875</v>
      </c>
      <c r="B2876">
        <v>36</v>
      </c>
      <c r="C2876" t="s">
        <v>16</v>
      </c>
      <c r="D2876" t="s">
        <v>38</v>
      </c>
      <c r="E2876" t="s">
        <v>18</v>
      </c>
      <c r="F2876" s="2">
        <v>29</v>
      </c>
      <c r="G2876" t="s">
        <v>92</v>
      </c>
      <c r="H2876" t="s">
        <v>45</v>
      </c>
      <c r="I2876" t="s">
        <v>153</v>
      </c>
      <c r="J2876" t="s">
        <v>57</v>
      </c>
      <c r="K2876">
        <v>3.1</v>
      </c>
      <c r="L2876" t="s">
        <v>23</v>
      </c>
      <c r="M2876" t="s">
        <v>24</v>
      </c>
      <c r="N2876" t="s">
        <v>23</v>
      </c>
      <c r="O2876">
        <v>2</v>
      </c>
      <c r="P2876" t="s">
        <v>36</v>
      </c>
      <c r="Q2876" t="s">
        <v>49</v>
      </c>
      <c r="R2876" s="1">
        <v>0.1</v>
      </c>
      <c r="S2876">
        <f t="shared" si="176"/>
        <v>26.1</v>
      </c>
      <c r="T2876">
        <f>IFERROR(VLOOKUP(A2876,Table1[[Customer ID]:[Discount Amount]], 6, FALSE),"Not Found")</f>
        <v>29</v>
      </c>
      <c r="U2876" t="str">
        <f t="shared" si="177"/>
        <v>Debit Card</v>
      </c>
      <c r="V2876" s="4" t="str">
        <f t="shared" si="178"/>
        <v>Normal</v>
      </c>
      <c r="W2876" s="4" t="str">
        <f t="shared" si="179"/>
        <v>Good</v>
      </c>
      <c r="X2876" s="4">
        <f>AVERAGE(Table1[Purchase Amount])</f>
        <v>129.48419400000012</v>
      </c>
    </row>
    <row r="2877" spans="1:24" ht="15" customHeight="1" x14ac:dyDescent="0.25">
      <c r="A2877">
        <v>2876</v>
      </c>
      <c r="B2877">
        <v>24</v>
      </c>
      <c r="C2877" t="s">
        <v>16</v>
      </c>
      <c r="D2877" t="s">
        <v>99</v>
      </c>
      <c r="E2877" t="s">
        <v>18</v>
      </c>
      <c r="F2877" s="2">
        <v>81</v>
      </c>
      <c r="G2877" t="s">
        <v>70</v>
      </c>
      <c r="H2877" t="s">
        <v>31</v>
      </c>
      <c r="I2877" t="s">
        <v>136</v>
      </c>
      <c r="J2877" t="s">
        <v>47</v>
      </c>
      <c r="K2877">
        <v>2.6</v>
      </c>
      <c r="L2877" t="s">
        <v>23</v>
      </c>
      <c r="M2877" t="s">
        <v>35</v>
      </c>
      <c r="N2877" t="s">
        <v>23</v>
      </c>
      <c r="O2877">
        <v>14</v>
      </c>
      <c r="P2877" t="s">
        <v>36</v>
      </c>
      <c r="Q2877" t="s">
        <v>26</v>
      </c>
      <c r="R2877" s="1">
        <v>0.1</v>
      </c>
      <c r="S2877">
        <f t="shared" si="176"/>
        <v>72.900000000000006</v>
      </c>
      <c r="T2877">
        <f>IFERROR(VLOOKUP(A2877,Table1[[Customer ID]:[Discount Amount]], 6, FALSE),"Not Found")</f>
        <v>81</v>
      </c>
      <c r="U2877" t="str">
        <f t="shared" si="177"/>
        <v>Debit Card</v>
      </c>
      <c r="V2877" s="4" t="str">
        <f t="shared" si="178"/>
        <v>Normal</v>
      </c>
      <c r="W2877" s="4" t="str">
        <f t="shared" si="179"/>
        <v>Poor</v>
      </c>
      <c r="X2877" s="4">
        <f>AVERAGE(Table1[Purchase Amount])</f>
        <v>129.48419400000012</v>
      </c>
    </row>
    <row r="2878" spans="1:24" ht="15" customHeight="1" x14ac:dyDescent="0.25">
      <c r="A2878">
        <v>2877</v>
      </c>
      <c r="B2878">
        <v>65</v>
      </c>
      <c r="C2878" t="s">
        <v>16</v>
      </c>
      <c r="D2878" t="s">
        <v>83</v>
      </c>
      <c r="E2878" t="s">
        <v>18</v>
      </c>
      <c r="F2878" s="2">
        <v>84</v>
      </c>
      <c r="G2878" t="s">
        <v>110</v>
      </c>
      <c r="H2878" t="s">
        <v>31</v>
      </c>
      <c r="I2878" t="s">
        <v>103</v>
      </c>
      <c r="J2878" t="s">
        <v>33</v>
      </c>
      <c r="K2878">
        <v>3.4</v>
      </c>
      <c r="L2878" t="s">
        <v>23</v>
      </c>
      <c r="M2878" t="s">
        <v>41</v>
      </c>
      <c r="N2878" t="s">
        <v>23</v>
      </c>
      <c r="O2878">
        <v>5</v>
      </c>
      <c r="P2878" t="s">
        <v>88</v>
      </c>
      <c r="Q2878" t="s">
        <v>89</v>
      </c>
      <c r="R2878" s="1">
        <v>0.1</v>
      </c>
      <c r="S2878">
        <f t="shared" si="176"/>
        <v>75.599999999999994</v>
      </c>
      <c r="T2878">
        <f>IFERROR(VLOOKUP(A2878,Table1[[Customer ID]:[Discount Amount]], 6, FALSE),"Not Found")</f>
        <v>84</v>
      </c>
      <c r="U2878" t="str">
        <f t="shared" si="177"/>
        <v>Bank Transfer</v>
      </c>
      <c r="V2878" s="4" t="str">
        <f t="shared" si="178"/>
        <v>Normal</v>
      </c>
      <c r="W2878" s="4" t="str">
        <f t="shared" si="179"/>
        <v>Good</v>
      </c>
      <c r="X2878" s="4">
        <f>AVERAGE(Table1[Purchase Amount])</f>
        <v>129.48419400000012</v>
      </c>
    </row>
    <row r="2879" spans="1:24" ht="15" customHeight="1" x14ac:dyDescent="0.25">
      <c r="A2879">
        <v>2878</v>
      </c>
      <c r="B2879">
        <v>32</v>
      </c>
      <c r="C2879" t="s">
        <v>16</v>
      </c>
      <c r="D2879" t="s">
        <v>105</v>
      </c>
      <c r="E2879" t="s">
        <v>18</v>
      </c>
      <c r="F2879" s="2">
        <v>46</v>
      </c>
      <c r="G2879" t="s">
        <v>131</v>
      </c>
      <c r="H2879" t="s">
        <v>31</v>
      </c>
      <c r="I2879" t="s">
        <v>153</v>
      </c>
      <c r="J2879" t="s">
        <v>57</v>
      </c>
      <c r="K2879">
        <v>3.6</v>
      </c>
      <c r="L2879" t="s">
        <v>23</v>
      </c>
      <c r="M2879" t="s">
        <v>24</v>
      </c>
      <c r="N2879" t="s">
        <v>23</v>
      </c>
      <c r="O2879">
        <v>34</v>
      </c>
      <c r="P2879" t="s">
        <v>62</v>
      </c>
      <c r="Q2879" t="s">
        <v>42</v>
      </c>
      <c r="R2879" s="1">
        <v>0.1</v>
      </c>
      <c r="S2879">
        <f t="shared" si="176"/>
        <v>41.4</v>
      </c>
      <c r="T2879">
        <f>IFERROR(VLOOKUP(A2879,Table1[[Customer ID]:[Discount Amount]], 6, FALSE),"Not Found")</f>
        <v>46</v>
      </c>
      <c r="U2879" t="str">
        <f t="shared" si="177"/>
        <v>Venmo</v>
      </c>
      <c r="V2879" s="4" t="str">
        <f t="shared" si="178"/>
        <v>Normal</v>
      </c>
      <c r="W2879" s="4" t="str">
        <f t="shared" si="179"/>
        <v>Good</v>
      </c>
      <c r="X2879" s="4">
        <f>AVERAGE(Table1[Purchase Amount])</f>
        <v>129.48419400000012</v>
      </c>
    </row>
    <row r="2880" spans="1:24" ht="15" customHeight="1" x14ac:dyDescent="0.25">
      <c r="A2880">
        <v>2879</v>
      </c>
      <c r="B2880">
        <v>63</v>
      </c>
      <c r="C2880" t="s">
        <v>16</v>
      </c>
      <c r="D2880" t="s">
        <v>157</v>
      </c>
      <c r="E2880" t="s">
        <v>18</v>
      </c>
      <c r="F2880" s="2">
        <v>86</v>
      </c>
      <c r="G2880" t="s">
        <v>19</v>
      </c>
      <c r="H2880" t="s">
        <v>45</v>
      </c>
      <c r="I2880" t="s">
        <v>156</v>
      </c>
      <c r="J2880" t="s">
        <v>57</v>
      </c>
      <c r="K2880">
        <v>4.3</v>
      </c>
      <c r="L2880" t="s">
        <v>23</v>
      </c>
      <c r="M2880" t="s">
        <v>79</v>
      </c>
      <c r="N2880" t="s">
        <v>23</v>
      </c>
      <c r="O2880">
        <v>13</v>
      </c>
      <c r="P2880" t="s">
        <v>88</v>
      </c>
      <c r="Q2880" t="s">
        <v>49</v>
      </c>
      <c r="R2880" s="1">
        <v>0.1</v>
      </c>
      <c r="S2880">
        <f t="shared" si="176"/>
        <v>77.400000000000006</v>
      </c>
      <c r="T2880">
        <f>IFERROR(VLOOKUP(A2880,Table1[[Customer ID]:[Discount Amount]], 6, FALSE),"Not Found")</f>
        <v>86</v>
      </c>
      <c r="U2880" t="str">
        <f t="shared" si="177"/>
        <v>Bank Transfer</v>
      </c>
      <c r="V2880" s="4" t="str">
        <f t="shared" si="178"/>
        <v>Normal</v>
      </c>
      <c r="W2880" s="4" t="str">
        <f t="shared" si="179"/>
        <v>Good</v>
      </c>
      <c r="X2880" s="4">
        <f>AVERAGE(Table1[Purchase Amount])</f>
        <v>129.48419400000012</v>
      </c>
    </row>
    <row r="2881" spans="1:24" ht="15" customHeight="1" x14ac:dyDescent="0.25">
      <c r="A2881">
        <v>2880</v>
      </c>
      <c r="B2881">
        <v>62</v>
      </c>
      <c r="C2881" t="s">
        <v>16</v>
      </c>
      <c r="D2881" t="s">
        <v>118</v>
      </c>
      <c r="E2881" t="s">
        <v>18</v>
      </c>
      <c r="F2881" s="2">
        <v>57</v>
      </c>
      <c r="G2881" t="s">
        <v>86</v>
      </c>
      <c r="H2881" t="s">
        <v>20</v>
      </c>
      <c r="I2881" t="s">
        <v>156</v>
      </c>
      <c r="J2881" t="s">
        <v>22</v>
      </c>
      <c r="K2881">
        <v>4.9000000000000004</v>
      </c>
      <c r="L2881" t="s">
        <v>23</v>
      </c>
      <c r="M2881" t="s">
        <v>35</v>
      </c>
      <c r="N2881" t="s">
        <v>23</v>
      </c>
      <c r="O2881">
        <v>31</v>
      </c>
      <c r="P2881" t="s">
        <v>62</v>
      </c>
      <c r="Q2881" t="s">
        <v>49</v>
      </c>
      <c r="R2881" s="1">
        <v>0.1</v>
      </c>
      <c r="S2881">
        <f t="shared" si="176"/>
        <v>51.3</v>
      </c>
      <c r="T2881">
        <f>IFERROR(VLOOKUP(A2881,Table1[[Customer ID]:[Discount Amount]], 6, FALSE),"Not Found")</f>
        <v>57</v>
      </c>
      <c r="U2881" t="str">
        <f t="shared" si="177"/>
        <v>Venmo</v>
      </c>
      <c r="V2881" s="4" t="str">
        <f t="shared" si="178"/>
        <v>Normal</v>
      </c>
      <c r="W2881" s="4" t="str">
        <f t="shared" si="179"/>
        <v>Good</v>
      </c>
      <c r="X2881" s="4">
        <f>AVERAGE(Table1[Purchase Amount])</f>
        <v>129.48419400000012</v>
      </c>
    </row>
    <row r="2882" spans="1:24" ht="15" customHeight="1" x14ac:dyDescent="0.25">
      <c r="A2882">
        <v>2881</v>
      </c>
      <c r="B2882">
        <v>19</v>
      </c>
      <c r="C2882" t="s">
        <v>16</v>
      </c>
      <c r="D2882" t="s">
        <v>122</v>
      </c>
      <c r="E2882" t="s">
        <v>18</v>
      </c>
      <c r="F2882" s="2">
        <v>61</v>
      </c>
      <c r="G2882" t="s">
        <v>67</v>
      </c>
      <c r="H2882" t="s">
        <v>45</v>
      </c>
      <c r="I2882" t="s">
        <v>56</v>
      </c>
      <c r="J2882" t="s">
        <v>22</v>
      </c>
      <c r="K2882">
        <v>4.8</v>
      </c>
      <c r="L2882" t="s">
        <v>23</v>
      </c>
      <c r="M2882" t="s">
        <v>48</v>
      </c>
      <c r="N2882" t="s">
        <v>23</v>
      </c>
      <c r="O2882">
        <v>43</v>
      </c>
      <c r="P2882" t="s">
        <v>58</v>
      </c>
      <c r="Q2882" t="s">
        <v>37</v>
      </c>
      <c r="R2882" s="1">
        <v>0.1</v>
      </c>
      <c r="S2882">
        <f t="shared" ref="S2882:S2945" si="180">F2882-(F2882*R2882)</f>
        <v>54.9</v>
      </c>
      <c r="T2882">
        <f>IFERROR(VLOOKUP(A2882,Table1[[Customer ID]:[Discount Amount]], 6, FALSE),"Not Found")</f>
        <v>61</v>
      </c>
      <c r="U2882" t="str">
        <f t="shared" ref="U2882:U2945" si="181">INDEX(P:P, MATCH(A2882, A:A, 0))</f>
        <v>PayPal</v>
      </c>
      <c r="V2882" s="4" t="str">
        <f t="shared" ref="V2882:V2945" si="182">IF(AND(F2882&gt;1000,K2882&gt;=4),"Best Customer","Normal")</f>
        <v>Normal</v>
      </c>
      <c r="W2882" s="4" t="str">
        <f t="shared" ref="W2882:W2945" si="183">IF(K2882&gt;=3,"Good","Poor")</f>
        <v>Good</v>
      </c>
      <c r="X2882" s="4">
        <f>AVERAGE(Table1[Purchase Amount])</f>
        <v>129.48419400000012</v>
      </c>
    </row>
    <row r="2883" spans="1:24" ht="15" customHeight="1" x14ac:dyDescent="0.25">
      <c r="A2883">
        <v>2882</v>
      </c>
      <c r="B2883">
        <v>38</v>
      </c>
      <c r="C2883" t="s">
        <v>16</v>
      </c>
      <c r="D2883" t="s">
        <v>104</v>
      </c>
      <c r="E2883" t="s">
        <v>29</v>
      </c>
      <c r="F2883" s="2">
        <v>90</v>
      </c>
      <c r="G2883" t="s">
        <v>152</v>
      </c>
      <c r="H2883" t="s">
        <v>31</v>
      </c>
      <c r="I2883" t="s">
        <v>128</v>
      </c>
      <c r="J2883" t="s">
        <v>22</v>
      </c>
      <c r="K2883">
        <v>4.2</v>
      </c>
      <c r="L2883" t="s">
        <v>23</v>
      </c>
      <c r="M2883" t="s">
        <v>35</v>
      </c>
      <c r="N2883" t="s">
        <v>23</v>
      </c>
      <c r="O2883">
        <v>6</v>
      </c>
      <c r="P2883" t="s">
        <v>88</v>
      </c>
      <c r="Q2883" t="s">
        <v>49</v>
      </c>
      <c r="R2883" s="1">
        <v>0.1</v>
      </c>
      <c r="S2883">
        <f t="shared" si="180"/>
        <v>81</v>
      </c>
      <c r="T2883">
        <f>IFERROR(VLOOKUP(A2883,Table1[[Customer ID]:[Discount Amount]], 6, FALSE),"Not Found")</f>
        <v>90</v>
      </c>
      <c r="U2883" t="str">
        <f t="shared" si="181"/>
        <v>Bank Transfer</v>
      </c>
      <c r="V2883" s="4" t="str">
        <f t="shared" si="182"/>
        <v>Normal</v>
      </c>
      <c r="W2883" s="4" t="str">
        <f t="shared" si="183"/>
        <v>Good</v>
      </c>
      <c r="X2883" s="4">
        <f>AVERAGE(Table1[Purchase Amount])</f>
        <v>129.48419400000012</v>
      </c>
    </row>
    <row r="2884" spans="1:24" ht="15" customHeight="1" x14ac:dyDescent="0.25">
      <c r="A2884">
        <v>2883</v>
      </c>
      <c r="B2884">
        <v>59</v>
      </c>
      <c r="C2884" t="s">
        <v>16</v>
      </c>
      <c r="D2884" t="s">
        <v>118</v>
      </c>
      <c r="E2884" t="s">
        <v>18</v>
      </c>
      <c r="F2884" s="2">
        <v>51</v>
      </c>
      <c r="G2884" t="s">
        <v>142</v>
      </c>
      <c r="H2884" t="s">
        <v>45</v>
      </c>
      <c r="I2884" t="s">
        <v>133</v>
      </c>
      <c r="J2884" t="s">
        <v>22</v>
      </c>
      <c r="K2884">
        <v>2.6</v>
      </c>
      <c r="L2884" t="s">
        <v>23</v>
      </c>
      <c r="M2884" t="s">
        <v>48</v>
      </c>
      <c r="N2884" t="s">
        <v>23</v>
      </c>
      <c r="O2884">
        <v>23</v>
      </c>
      <c r="P2884" t="s">
        <v>53</v>
      </c>
      <c r="Q2884" t="s">
        <v>68</v>
      </c>
      <c r="R2884" s="1">
        <v>0.1</v>
      </c>
      <c r="S2884">
        <f t="shared" si="180"/>
        <v>45.9</v>
      </c>
      <c r="T2884">
        <f>IFERROR(VLOOKUP(A2884,Table1[[Customer ID]:[Discount Amount]], 6, FALSE),"Not Found")</f>
        <v>51</v>
      </c>
      <c r="U2884" t="str">
        <f t="shared" si="181"/>
        <v>Credit Card</v>
      </c>
      <c r="V2884" s="4" t="str">
        <f t="shared" si="182"/>
        <v>Normal</v>
      </c>
      <c r="W2884" s="4" t="str">
        <f t="shared" si="183"/>
        <v>Poor</v>
      </c>
      <c r="X2884" s="4">
        <f>AVERAGE(Table1[Purchase Amount])</f>
        <v>129.48419400000012</v>
      </c>
    </row>
    <row r="2885" spans="1:24" ht="15" customHeight="1" x14ac:dyDescent="0.25">
      <c r="A2885">
        <v>2884</v>
      </c>
      <c r="B2885">
        <v>22</v>
      </c>
      <c r="C2885" t="s">
        <v>16</v>
      </c>
      <c r="D2885" t="s">
        <v>105</v>
      </c>
      <c r="E2885" t="s">
        <v>18</v>
      </c>
      <c r="F2885" s="2">
        <v>48</v>
      </c>
      <c r="G2885" t="s">
        <v>159</v>
      </c>
      <c r="H2885" t="s">
        <v>20</v>
      </c>
      <c r="I2885" t="s">
        <v>153</v>
      </c>
      <c r="J2885" t="s">
        <v>33</v>
      </c>
      <c r="K2885">
        <v>3.2</v>
      </c>
      <c r="L2885" t="s">
        <v>23</v>
      </c>
      <c r="M2885" t="s">
        <v>24</v>
      </c>
      <c r="N2885" t="s">
        <v>23</v>
      </c>
      <c r="O2885">
        <v>10</v>
      </c>
      <c r="P2885" t="s">
        <v>58</v>
      </c>
      <c r="Q2885" t="s">
        <v>26</v>
      </c>
      <c r="R2885" s="1">
        <v>0.1</v>
      </c>
      <c r="S2885">
        <f t="shared" si="180"/>
        <v>43.2</v>
      </c>
      <c r="T2885">
        <f>IFERROR(VLOOKUP(A2885,Table1[[Customer ID]:[Discount Amount]], 6, FALSE),"Not Found")</f>
        <v>48</v>
      </c>
      <c r="U2885" t="str">
        <f t="shared" si="181"/>
        <v>PayPal</v>
      </c>
      <c r="V2885" s="4" t="str">
        <f t="shared" si="182"/>
        <v>Normal</v>
      </c>
      <c r="W2885" s="4" t="str">
        <f t="shared" si="183"/>
        <v>Good</v>
      </c>
      <c r="X2885" s="4">
        <f>AVERAGE(Table1[Purchase Amount])</f>
        <v>129.48419400000012</v>
      </c>
    </row>
    <row r="2886" spans="1:24" ht="15" customHeight="1" x14ac:dyDescent="0.25">
      <c r="A2886">
        <v>2885</v>
      </c>
      <c r="B2886">
        <v>55</v>
      </c>
      <c r="C2886" t="s">
        <v>16</v>
      </c>
      <c r="D2886" t="s">
        <v>151</v>
      </c>
      <c r="E2886" t="s">
        <v>98</v>
      </c>
      <c r="F2886" s="2">
        <v>50</v>
      </c>
      <c r="G2886" t="s">
        <v>100</v>
      </c>
      <c r="H2886" t="s">
        <v>31</v>
      </c>
      <c r="I2886" t="s">
        <v>66</v>
      </c>
      <c r="J2886" t="s">
        <v>57</v>
      </c>
      <c r="K2886">
        <v>3.4</v>
      </c>
      <c r="L2886" t="s">
        <v>23</v>
      </c>
      <c r="M2886" t="s">
        <v>41</v>
      </c>
      <c r="N2886" t="s">
        <v>23</v>
      </c>
      <c r="O2886">
        <v>47</v>
      </c>
      <c r="P2886" t="s">
        <v>53</v>
      </c>
      <c r="Q2886" t="s">
        <v>63</v>
      </c>
      <c r="R2886" s="1">
        <v>0.1</v>
      </c>
      <c r="S2886">
        <f t="shared" si="180"/>
        <v>45</v>
      </c>
      <c r="T2886">
        <f>IFERROR(VLOOKUP(A2886,Table1[[Customer ID]:[Discount Amount]], 6, FALSE),"Not Found")</f>
        <v>50</v>
      </c>
      <c r="U2886" t="str">
        <f t="shared" si="181"/>
        <v>Credit Card</v>
      </c>
      <c r="V2886" s="4" t="str">
        <f t="shared" si="182"/>
        <v>Normal</v>
      </c>
      <c r="W2886" s="4" t="str">
        <f t="shared" si="183"/>
        <v>Good</v>
      </c>
      <c r="X2886" s="4">
        <f>AVERAGE(Table1[Purchase Amount])</f>
        <v>129.48419400000012</v>
      </c>
    </row>
    <row r="2887" spans="1:24" ht="15" customHeight="1" x14ac:dyDescent="0.25">
      <c r="A2887">
        <v>2886</v>
      </c>
      <c r="B2887">
        <v>29</v>
      </c>
      <c r="C2887" t="s">
        <v>16</v>
      </c>
      <c r="D2887" t="s">
        <v>104</v>
      </c>
      <c r="E2887" t="s">
        <v>29</v>
      </c>
      <c r="F2887" s="2">
        <v>82</v>
      </c>
      <c r="G2887" t="s">
        <v>158</v>
      </c>
      <c r="H2887" t="s">
        <v>31</v>
      </c>
      <c r="I2887" t="s">
        <v>52</v>
      </c>
      <c r="J2887" t="s">
        <v>57</v>
      </c>
      <c r="K2887">
        <v>3.5</v>
      </c>
      <c r="L2887" t="s">
        <v>23</v>
      </c>
      <c r="M2887" t="s">
        <v>79</v>
      </c>
      <c r="N2887" t="s">
        <v>23</v>
      </c>
      <c r="O2887">
        <v>14</v>
      </c>
      <c r="P2887" t="s">
        <v>53</v>
      </c>
      <c r="Q2887" t="s">
        <v>68</v>
      </c>
      <c r="R2887" s="1">
        <v>0.1</v>
      </c>
      <c r="S2887">
        <f t="shared" si="180"/>
        <v>73.8</v>
      </c>
      <c r="T2887">
        <f>IFERROR(VLOOKUP(A2887,Table1[[Customer ID]:[Discount Amount]], 6, FALSE),"Not Found")</f>
        <v>82</v>
      </c>
      <c r="U2887" t="str">
        <f t="shared" si="181"/>
        <v>Credit Card</v>
      </c>
      <c r="V2887" s="4" t="str">
        <f t="shared" si="182"/>
        <v>Normal</v>
      </c>
      <c r="W2887" s="4" t="str">
        <f t="shared" si="183"/>
        <v>Good</v>
      </c>
      <c r="X2887" s="4">
        <f>AVERAGE(Table1[Purchase Amount])</f>
        <v>129.48419400000012</v>
      </c>
    </row>
    <row r="2888" spans="1:24" ht="15" customHeight="1" x14ac:dyDescent="0.25">
      <c r="A2888">
        <v>2887</v>
      </c>
      <c r="B2888">
        <v>42</v>
      </c>
      <c r="C2888" t="s">
        <v>16</v>
      </c>
      <c r="D2888" t="s">
        <v>64</v>
      </c>
      <c r="E2888" t="s">
        <v>29</v>
      </c>
      <c r="F2888" s="2">
        <v>33</v>
      </c>
      <c r="G2888" t="s">
        <v>144</v>
      </c>
      <c r="H2888" t="s">
        <v>45</v>
      </c>
      <c r="I2888" t="s">
        <v>74</v>
      </c>
      <c r="J2888" t="s">
        <v>33</v>
      </c>
      <c r="K2888">
        <v>4.2</v>
      </c>
      <c r="L2888" t="s">
        <v>23</v>
      </c>
      <c r="M2888" t="s">
        <v>35</v>
      </c>
      <c r="N2888" t="s">
        <v>23</v>
      </c>
      <c r="O2888">
        <v>29</v>
      </c>
      <c r="P2888" t="s">
        <v>58</v>
      </c>
      <c r="Q2888" t="s">
        <v>26</v>
      </c>
      <c r="R2888" s="1">
        <v>0.1</v>
      </c>
      <c r="S2888">
        <f t="shared" si="180"/>
        <v>29.7</v>
      </c>
      <c r="T2888">
        <f>IFERROR(VLOOKUP(A2888,Table1[[Customer ID]:[Discount Amount]], 6, FALSE),"Not Found")</f>
        <v>33</v>
      </c>
      <c r="U2888" t="str">
        <f t="shared" si="181"/>
        <v>PayPal</v>
      </c>
      <c r="V2888" s="4" t="str">
        <f t="shared" si="182"/>
        <v>Normal</v>
      </c>
      <c r="W2888" s="4" t="str">
        <f t="shared" si="183"/>
        <v>Good</v>
      </c>
      <c r="X2888" s="4">
        <f>AVERAGE(Table1[Purchase Amount])</f>
        <v>129.48419400000012</v>
      </c>
    </row>
    <row r="2889" spans="1:24" ht="15" customHeight="1" x14ac:dyDescent="0.25">
      <c r="A2889">
        <v>2888</v>
      </c>
      <c r="B2889">
        <v>23</v>
      </c>
      <c r="C2889" t="s">
        <v>16</v>
      </c>
      <c r="D2889" t="s">
        <v>121</v>
      </c>
      <c r="E2889" t="s">
        <v>98</v>
      </c>
      <c r="F2889" s="2">
        <v>28</v>
      </c>
      <c r="G2889" t="s">
        <v>70</v>
      </c>
      <c r="H2889" t="s">
        <v>45</v>
      </c>
      <c r="I2889" t="s">
        <v>74</v>
      </c>
      <c r="J2889" t="s">
        <v>22</v>
      </c>
      <c r="K2889">
        <v>2.8</v>
      </c>
      <c r="L2889" t="s">
        <v>23</v>
      </c>
      <c r="M2889" t="s">
        <v>61</v>
      </c>
      <c r="N2889" t="s">
        <v>23</v>
      </c>
      <c r="O2889">
        <v>12</v>
      </c>
      <c r="P2889" t="s">
        <v>25</v>
      </c>
      <c r="Q2889" t="s">
        <v>68</v>
      </c>
      <c r="R2889" s="1">
        <v>0.1</v>
      </c>
      <c r="S2889">
        <f t="shared" si="180"/>
        <v>25.2</v>
      </c>
      <c r="T2889">
        <f>IFERROR(VLOOKUP(A2889,Table1[[Customer ID]:[Discount Amount]], 6, FALSE),"Not Found")</f>
        <v>28</v>
      </c>
      <c r="U2889" t="str">
        <f t="shared" si="181"/>
        <v>Cash</v>
      </c>
      <c r="V2889" s="4" t="str">
        <f t="shared" si="182"/>
        <v>Normal</v>
      </c>
      <c r="W2889" s="4" t="str">
        <f t="shared" si="183"/>
        <v>Poor</v>
      </c>
      <c r="X2889" s="4">
        <f>AVERAGE(Table1[Purchase Amount])</f>
        <v>129.48419400000012</v>
      </c>
    </row>
    <row r="2890" spans="1:24" ht="15" customHeight="1" x14ac:dyDescent="0.25">
      <c r="A2890">
        <v>2889</v>
      </c>
      <c r="B2890">
        <v>70</v>
      </c>
      <c r="C2890" t="s">
        <v>16</v>
      </c>
      <c r="D2890" t="s">
        <v>83</v>
      </c>
      <c r="E2890" t="s">
        <v>18</v>
      </c>
      <c r="F2890" s="2">
        <v>42</v>
      </c>
      <c r="G2890" t="s">
        <v>59</v>
      </c>
      <c r="H2890" t="s">
        <v>45</v>
      </c>
      <c r="I2890" t="s">
        <v>93</v>
      </c>
      <c r="J2890" t="s">
        <v>33</v>
      </c>
      <c r="K2890">
        <v>5</v>
      </c>
      <c r="L2890" t="s">
        <v>23</v>
      </c>
      <c r="M2890" t="s">
        <v>41</v>
      </c>
      <c r="N2890" t="s">
        <v>23</v>
      </c>
      <c r="O2890">
        <v>25</v>
      </c>
      <c r="P2890" t="s">
        <v>36</v>
      </c>
      <c r="Q2890" t="s">
        <v>37</v>
      </c>
      <c r="R2890" s="1">
        <v>0.1</v>
      </c>
      <c r="S2890">
        <f t="shared" si="180"/>
        <v>37.799999999999997</v>
      </c>
      <c r="T2890">
        <f>IFERROR(VLOOKUP(A2890,Table1[[Customer ID]:[Discount Amount]], 6, FALSE),"Not Found")</f>
        <v>42</v>
      </c>
      <c r="U2890" t="str">
        <f t="shared" si="181"/>
        <v>Debit Card</v>
      </c>
      <c r="V2890" s="4" t="str">
        <f t="shared" si="182"/>
        <v>Normal</v>
      </c>
      <c r="W2890" s="4" t="str">
        <f t="shared" si="183"/>
        <v>Good</v>
      </c>
      <c r="X2890" s="4">
        <f>AVERAGE(Table1[Purchase Amount])</f>
        <v>129.48419400000012</v>
      </c>
    </row>
    <row r="2891" spans="1:24" ht="15" customHeight="1" x14ac:dyDescent="0.25">
      <c r="A2891">
        <v>2890</v>
      </c>
      <c r="B2891">
        <v>64</v>
      </c>
      <c r="C2891" t="s">
        <v>16</v>
      </c>
      <c r="D2891" t="s">
        <v>28</v>
      </c>
      <c r="E2891" t="s">
        <v>29</v>
      </c>
      <c r="F2891" s="2">
        <v>43</v>
      </c>
      <c r="G2891" t="s">
        <v>120</v>
      </c>
      <c r="H2891" t="s">
        <v>31</v>
      </c>
      <c r="I2891" t="s">
        <v>103</v>
      </c>
      <c r="J2891" t="s">
        <v>47</v>
      </c>
      <c r="K2891">
        <v>3.3</v>
      </c>
      <c r="L2891" t="s">
        <v>23</v>
      </c>
      <c r="M2891" t="s">
        <v>48</v>
      </c>
      <c r="N2891" t="s">
        <v>23</v>
      </c>
      <c r="O2891">
        <v>21</v>
      </c>
      <c r="P2891" t="s">
        <v>62</v>
      </c>
      <c r="Q2891" t="s">
        <v>49</v>
      </c>
      <c r="R2891" s="1">
        <v>0.1</v>
      </c>
      <c r="S2891">
        <f t="shared" si="180"/>
        <v>38.700000000000003</v>
      </c>
      <c r="T2891">
        <f>IFERROR(VLOOKUP(A2891,Table1[[Customer ID]:[Discount Amount]], 6, FALSE),"Not Found")</f>
        <v>43</v>
      </c>
      <c r="U2891" t="str">
        <f t="shared" si="181"/>
        <v>Venmo</v>
      </c>
      <c r="V2891" s="4" t="str">
        <f t="shared" si="182"/>
        <v>Normal</v>
      </c>
      <c r="W2891" s="4" t="str">
        <f t="shared" si="183"/>
        <v>Good</v>
      </c>
      <c r="X2891" s="4">
        <f>AVERAGE(Table1[Purchase Amount])</f>
        <v>129.48419400000012</v>
      </c>
    </row>
    <row r="2892" spans="1:24" ht="15" customHeight="1" x14ac:dyDescent="0.25">
      <c r="A2892">
        <v>2891</v>
      </c>
      <c r="B2892">
        <v>39</v>
      </c>
      <c r="C2892" t="s">
        <v>16</v>
      </c>
      <c r="D2892" t="s">
        <v>109</v>
      </c>
      <c r="E2892" t="s">
        <v>18</v>
      </c>
      <c r="F2892" s="2">
        <v>55</v>
      </c>
      <c r="G2892" t="s">
        <v>86</v>
      </c>
      <c r="H2892" t="s">
        <v>31</v>
      </c>
      <c r="I2892" t="s">
        <v>111</v>
      </c>
      <c r="J2892" t="s">
        <v>22</v>
      </c>
      <c r="K2892">
        <v>3.7</v>
      </c>
      <c r="L2892" t="s">
        <v>23</v>
      </c>
      <c r="M2892" t="s">
        <v>35</v>
      </c>
      <c r="N2892" t="s">
        <v>23</v>
      </c>
      <c r="O2892">
        <v>23</v>
      </c>
      <c r="P2892" t="s">
        <v>53</v>
      </c>
      <c r="Q2892" t="s">
        <v>42</v>
      </c>
      <c r="R2892" s="1">
        <v>0.1</v>
      </c>
      <c r="S2892">
        <f t="shared" si="180"/>
        <v>49.5</v>
      </c>
      <c r="T2892">
        <f>IFERROR(VLOOKUP(A2892,Table1[[Customer ID]:[Discount Amount]], 6, FALSE),"Not Found")</f>
        <v>55</v>
      </c>
      <c r="U2892" t="str">
        <f t="shared" si="181"/>
        <v>Credit Card</v>
      </c>
      <c r="V2892" s="4" t="str">
        <f t="shared" si="182"/>
        <v>Normal</v>
      </c>
      <c r="W2892" s="4" t="str">
        <f t="shared" si="183"/>
        <v>Good</v>
      </c>
      <c r="X2892" s="4">
        <f>AVERAGE(Table1[Purchase Amount])</f>
        <v>129.48419400000012</v>
      </c>
    </row>
    <row r="2893" spans="1:24" ht="15" customHeight="1" x14ac:dyDescent="0.25">
      <c r="A2893">
        <v>2892</v>
      </c>
      <c r="B2893">
        <v>47</v>
      </c>
      <c r="C2893" t="s">
        <v>16</v>
      </c>
      <c r="D2893" t="s">
        <v>17</v>
      </c>
      <c r="E2893" t="s">
        <v>18</v>
      </c>
      <c r="F2893" s="2">
        <v>73</v>
      </c>
      <c r="G2893" t="s">
        <v>90</v>
      </c>
      <c r="H2893" t="s">
        <v>20</v>
      </c>
      <c r="I2893" t="s">
        <v>40</v>
      </c>
      <c r="J2893" t="s">
        <v>22</v>
      </c>
      <c r="K2893">
        <v>2.5</v>
      </c>
      <c r="L2893" t="s">
        <v>23</v>
      </c>
      <c r="M2893" t="s">
        <v>35</v>
      </c>
      <c r="N2893" t="s">
        <v>23</v>
      </c>
      <c r="O2893">
        <v>10</v>
      </c>
      <c r="P2893" t="s">
        <v>58</v>
      </c>
      <c r="Q2893" t="s">
        <v>42</v>
      </c>
      <c r="R2893" s="1">
        <v>0.1</v>
      </c>
      <c r="S2893">
        <f t="shared" si="180"/>
        <v>65.7</v>
      </c>
      <c r="T2893">
        <f>IFERROR(VLOOKUP(A2893,Table1[[Customer ID]:[Discount Amount]], 6, FALSE),"Not Found")</f>
        <v>73</v>
      </c>
      <c r="U2893" t="str">
        <f t="shared" si="181"/>
        <v>PayPal</v>
      </c>
      <c r="V2893" s="4" t="str">
        <f t="shared" si="182"/>
        <v>Normal</v>
      </c>
      <c r="W2893" s="4" t="str">
        <f t="shared" si="183"/>
        <v>Poor</v>
      </c>
      <c r="X2893" s="4">
        <f>AVERAGE(Table1[Purchase Amount])</f>
        <v>129.48419400000012</v>
      </c>
    </row>
    <row r="2894" spans="1:24" ht="15" customHeight="1" x14ac:dyDescent="0.25">
      <c r="A2894">
        <v>2893</v>
      </c>
      <c r="B2894">
        <v>22</v>
      </c>
      <c r="C2894" t="s">
        <v>16</v>
      </c>
      <c r="D2894" t="s">
        <v>157</v>
      </c>
      <c r="E2894" t="s">
        <v>18</v>
      </c>
      <c r="F2894" s="2">
        <v>39</v>
      </c>
      <c r="G2894" t="s">
        <v>158</v>
      </c>
      <c r="H2894" t="s">
        <v>31</v>
      </c>
      <c r="I2894" t="s">
        <v>147</v>
      </c>
      <c r="J2894" t="s">
        <v>33</v>
      </c>
      <c r="K2894">
        <v>3.2</v>
      </c>
      <c r="L2894" t="s">
        <v>23</v>
      </c>
      <c r="M2894" t="s">
        <v>24</v>
      </c>
      <c r="N2894" t="s">
        <v>23</v>
      </c>
      <c r="O2894">
        <v>47</v>
      </c>
      <c r="P2894" t="s">
        <v>53</v>
      </c>
      <c r="Q2894" t="s">
        <v>42</v>
      </c>
      <c r="R2894" s="1">
        <v>0.1</v>
      </c>
      <c r="S2894">
        <f t="shared" si="180"/>
        <v>35.1</v>
      </c>
      <c r="T2894">
        <f>IFERROR(VLOOKUP(A2894,Table1[[Customer ID]:[Discount Amount]], 6, FALSE),"Not Found")</f>
        <v>39</v>
      </c>
      <c r="U2894" t="str">
        <f t="shared" si="181"/>
        <v>Credit Card</v>
      </c>
      <c r="V2894" s="4" t="str">
        <f t="shared" si="182"/>
        <v>Normal</v>
      </c>
      <c r="W2894" s="4" t="str">
        <f t="shared" si="183"/>
        <v>Good</v>
      </c>
      <c r="X2894" s="4">
        <f>AVERAGE(Table1[Purchase Amount])</f>
        <v>129.48419400000012</v>
      </c>
    </row>
    <row r="2895" spans="1:24" ht="15" customHeight="1" x14ac:dyDescent="0.25">
      <c r="A2895">
        <v>2894</v>
      </c>
      <c r="B2895">
        <v>69</v>
      </c>
      <c r="C2895" t="s">
        <v>16</v>
      </c>
      <c r="D2895" t="s">
        <v>114</v>
      </c>
      <c r="E2895" t="s">
        <v>29</v>
      </c>
      <c r="F2895" s="2">
        <v>20</v>
      </c>
      <c r="G2895" t="s">
        <v>70</v>
      </c>
      <c r="H2895" t="s">
        <v>55</v>
      </c>
      <c r="I2895" t="s">
        <v>108</v>
      </c>
      <c r="J2895" t="s">
        <v>33</v>
      </c>
      <c r="K2895">
        <v>3.1</v>
      </c>
      <c r="L2895" t="s">
        <v>23</v>
      </c>
      <c r="M2895" t="s">
        <v>35</v>
      </c>
      <c r="N2895" t="s">
        <v>23</v>
      </c>
      <c r="O2895">
        <v>44</v>
      </c>
      <c r="P2895" t="s">
        <v>36</v>
      </c>
      <c r="Q2895" t="s">
        <v>63</v>
      </c>
      <c r="R2895" s="1">
        <v>0.1</v>
      </c>
      <c r="S2895">
        <f t="shared" si="180"/>
        <v>18</v>
      </c>
      <c r="T2895">
        <f>IFERROR(VLOOKUP(A2895,Table1[[Customer ID]:[Discount Amount]], 6, FALSE),"Not Found")</f>
        <v>20</v>
      </c>
      <c r="U2895" t="str">
        <f t="shared" si="181"/>
        <v>Debit Card</v>
      </c>
      <c r="V2895" s="4" t="str">
        <f t="shared" si="182"/>
        <v>Normal</v>
      </c>
      <c r="W2895" s="4" t="str">
        <f t="shared" si="183"/>
        <v>Good</v>
      </c>
      <c r="X2895" s="4">
        <f>AVERAGE(Table1[Purchase Amount])</f>
        <v>129.48419400000012</v>
      </c>
    </row>
    <row r="2896" spans="1:24" ht="15" customHeight="1" x14ac:dyDescent="0.25">
      <c r="A2896">
        <v>2895</v>
      </c>
      <c r="B2896">
        <v>35</v>
      </c>
      <c r="C2896" t="s">
        <v>16</v>
      </c>
      <c r="D2896" t="s">
        <v>50</v>
      </c>
      <c r="E2896" t="s">
        <v>29</v>
      </c>
      <c r="F2896" s="2">
        <v>32</v>
      </c>
      <c r="G2896" t="s">
        <v>70</v>
      </c>
      <c r="H2896" t="s">
        <v>55</v>
      </c>
      <c r="I2896" t="s">
        <v>60</v>
      </c>
      <c r="J2896" t="s">
        <v>33</v>
      </c>
      <c r="K2896">
        <v>3.5</v>
      </c>
      <c r="L2896" t="s">
        <v>23</v>
      </c>
      <c r="M2896" t="s">
        <v>24</v>
      </c>
      <c r="N2896" t="s">
        <v>23</v>
      </c>
      <c r="O2896">
        <v>41</v>
      </c>
      <c r="P2896" t="s">
        <v>62</v>
      </c>
      <c r="Q2896" t="s">
        <v>49</v>
      </c>
      <c r="R2896" s="1">
        <v>0.1</v>
      </c>
      <c r="S2896">
        <f t="shared" si="180"/>
        <v>28.8</v>
      </c>
      <c r="T2896">
        <f>IFERROR(VLOOKUP(A2896,Table1[[Customer ID]:[Discount Amount]], 6, FALSE),"Not Found")</f>
        <v>32</v>
      </c>
      <c r="U2896" t="str">
        <f t="shared" si="181"/>
        <v>Venmo</v>
      </c>
      <c r="V2896" s="4" t="str">
        <f t="shared" si="182"/>
        <v>Normal</v>
      </c>
      <c r="W2896" s="4" t="str">
        <f t="shared" si="183"/>
        <v>Good</v>
      </c>
      <c r="X2896" s="4">
        <f>AVERAGE(Table1[Purchase Amount])</f>
        <v>129.48419400000012</v>
      </c>
    </row>
    <row r="2897" spans="1:24" ht="15" customHeight="1" x14ac:dyDescent="0.25">
      <c r="A2897">
        <v>2896</v>
      </c>
      <c r="B2897">
        <v>56</v>
      </c>
      <c r="C2897" t="s">
        <v>16</v>
      </c>
      <c r="D2897" t="s">
        <v>83</v>
      </c>
      <c r="E2897" t="s">
        <v>18</v>
      </c>
      <c r="F2897" s="2">
        <v>86</v>
      </c>
      <c r="G2897" t="s">
        <v>39</v>
      </c>
      <c r="H2897" t="s">
        <v>45</v>
      </c>
      <c r="I2897" t="s">
        <v>93</v>
      </c>
      <c r="J2897" t="s">
        <v>57</v>
      </c>
      <c r="K2897">
        <v>4.5999999999999996</v>
      </c>
      <c r="L2897" t="s">
        <v>23</v>
      </c>
      <c r="M2897" t="s">
        <v>24</v>
      </c>
      <c r="N2897" t="s">
        <v>23</v>
      </c>
      <c r="O2897">
        <v>29</v>
      </c>
      <c r="P2897" t="s">
        <v>88</v>
      </c>
      <c r="Q2897" t="s">
        <v>42</v>
      </c>
      <c r="R2897" s="1">
        <v>0.1</v>
      </c>
      <c r="S2897">
        <f t="shared" si="180"/>
        <v>77.400000000000006</v>
      </c>
      <c r="T2897">
        <f>IFERROR(VLOOKUP(A2897,Table1[[Customer ID]:[Discount Amount]], 6, FALSE),"Not Found")</f>
        <v>86</v>
      </c>
      <c r="U2897" t="str">
        <f t="shared" si="181"/>
        <v>Bank Transfer</v>
      </c>
      <c r="V2897" s="4" t="str">
        <f t="shared" si="182"/>
        <v>Normal</v>
      </c>
      <c r="W2897" s="4" t="str">
        <f t="shared" si="183"/>
        <v>Good</v>
      </c>
      <c r="X2897" s="4">
        <f>AVERAGE(Table1[Purchase Amount])</f>
        <v>129.48419400000012</v>
      </c>
    </row>
    <row r="2898" spans="1:24" ht="15" customHeight="1" x14ac:dyDescent="0.25">
      <c r="A2898">
        <v>2897</v>
      </c>
      <c r="B2898">
        <v>30</v>
      </c>
      <c r="C2898" t="s">
        <v>16</v>
      </c>
      <c r="D2898" t="s">
        <v>118</v>
      </c>
      <c r="E2898" t="s">
        <v>18</v>
      </c>
      <c r="F2898" s="2">
        <v>91</v>
      </c>
      <c r="G2898" t="s">
        <v>143</v>
      </c>
      <c r="H2898" t="s">
        <v>31</v>
      </c>
      <c r="I2898" t="s">
        <v>153</v>
      </c>
      <c r="J2898" t="s">
        <v>57</v>
      </c>
      <c r="K2898">
        <v>3.3</v>
      </c>
      <c r="L2898" t="s">
        <v>23</v>
      </c>
      <c r="M2898" t="s">
        <v>35</v>
      </c>
      <c r="N2898" t="s">
        <v>23</v>
      </c>
      <c r="O2898">
        <v>2</v>
      </c>
      <c r="P2898" t="s">
        <v>62</v>
      </c>
      <c r="Q2898" t="s">
        <v>63</v>
      </c>
      <c r="R2898" s="1">
        <v>0.1</v>
      </c>
      <c r="S2898">
        <f t="shared" si="180"/>
        <v>81.900000000000006</v>
      </c>
      <c r="T2898">
        <f>IFERROR(VLOOKUP(A2898,Table1[[Customer ID]:[Discount Amount]], 6, FALSE),"Not Found")</f>
        <v>91</v>
      </c>
      <c r="U2898" t="str">
        <f t="shared" si="181"/>
        <v>Venmo</v>
      </c>
      <c r="V2898" s="4" t="str">
        <f t="shared" si="182"/>
        <v>Normal</v>
      </c>
      <c r="W2898" s="4" t="str">
        <f t="shared" si="183"/>
        <v>Good</v>
      </c>
      <c r="X2898" s="4">
        <f>AVERAGE(Table1[Purchase Amount])</f>
        <v>129.48419400000012</v>
      </c>
    </row>
    <row r="2899" spans="1:24" ht="15" customHeight="1" x14ac:dyDescent="0.25">
      <c r="A2899">
        <v>2898</v>
      </c>
      <c r="B2899">
        <v>43</v>
      </c>
      <c r="C2899" t="s">
        <v>16</v>
      </c>
      <c r="D2899" t="s">
        <v>96</v>
      </c>
      <c r="E2899" t="s">
        <v>77</v>
      </c>
      <c r="F2899" s="2">
        <v>59</v>
      </c>
      <c r="G2899" t="s">
        <v>39</v>
      </c>
      <c r="H2899" t="s">
        <v>45</v>
      </c>
      <c r="I2899" t="s">
        <v>111</v>
      </c>
      <c r="J2899" t="s">
        <v>47</v>
      </c>
      <c r="K2899">
        <v>2.5</v>
      </c>
      <c r="L2899" t="s">
        <v>23</v>
      </c>
      <c r="M2899" t="s">
        <v>35</v>
      </c>
      <c r="N2899" t="s">
        <v>23</v>
      </c>
      <c r="O2899">
        <v>2</v>
      </c>
      <c r="P2899" t="s">
        <v>25</v>
      </c>
      <c r="Q2899" t="s">
        <v>89</v>
      </c>
      <c r="R2899" s="1">
        <v>0.1</v>
      </c>
      <c r="S2899">
        <f t="shared" si="180"/>
        <v>53.1</v>
      </c>
      <c r="T2899">
        <f>IFERROR(VLOOKUP(A2899,Table1[[Customer ID]:[Discount Amount]], 6, FALSE),"Not Found")</f>
        <v>59</v>
      </c>
      <c r="U2899" t="str">
        <f t="shared" si="181"/>
        <v>Cash</v>
      </c>
      <c r="V2899" s="4" t="str">
        <f t="shared" si="182"/>
        <v>Normal</v>
      </c>
      <c r="W2899" s="4" t="str">
        <f t="shared" si="183"/>
        <v>Poor</v>
      </c>
      <c r="X2899" s="4">
        <f>AVERAGE(Table1[Purchase Amount])</f>
        <v>129.48419400000012</v>
      </c>
    </row>
    <row r="2900" spans="1:24" ht="15" customHeight="1" x14ac:dyDescent="0.25">
      <c r="A2900">
        <v>2899</v>
      </c>
      <c r="B2900">
        <v>23</v>
      </c>
      <c r="C2900" t="s">
        <v>16</v>
      </c>
      <c r="D2900" t="s">
        <v>140</v>
      </c>
      <c r="E2900" t="s">
        <v>98</v>
      </c>
      <c r="F2900" s="2">
        <v>33</v>
      </c>
      <c r="G2900" t="s">
        <v>131</v>
      </c>
      <c r="H2900" t="s">
        <v>20</v>
      </c>
      <c r="I2900" t="s">
        <v>145</v>
      </c>
      <c r="J2900" t="s">
        <v>57</v>
      </c>
      <c r="K2900">
        <v>4.5999999999999996</v>
      </c>
      <c r="L2900" t="s">
        <v>23</v>
      </c>
      <c r="M2900" t="s">
        <v>61</v>
      </c>
      <c r="N2900" t="s">
        <v>23</v>
      </c>
      <c r="O2900">
        <v>29</v>
      </c>
      <c r="P2900" t="s">
        <v>53</v>
      </c>
      <c r="Q2900" t="s">
        <v>49</v>
      </c>
      <c r="R2900" s="1">
        <v>0.1</v>
      </c>
      <c r="S2900">
        <f t="shared" si="180"/>
        <v>29.7</v>
      </c>
      <c r="T2900">
        <f>IFERROR(VLOOKUP(A2900,Table1[[Customer ID]:[Discount Amount]], 6, FALSE),"Not Found")</f>
        <v>33</v>
      </c>
      <c r="U2900" t="str">
        <f t="shared" si="181"/>
        <v>Credit Card</v>
      </c>
      <c r="V2900" s="4" t="str">
        <f t="shared" si="182"/>
        <v>Normal</v>
      </c>
      <c r="W2900" s="4" t="str">
        <f t="shared" si="183"/>
        <v>Good</v>
      </c>
      <c r="X2900" s="4">
        <f>AVERAGE(Table1[Purchase Amount])</f>
        <v>129.48419400000012</v>
      </c>
    </row>
    <row r="2901" spans="1:24" ht="15" customHeight="1" x14ac:dyDescent="0.25">
      <c r="A2901">
        <v>2900</v>
      </c>
      <c r="B2901">
        <v>50</v>
      </c>
      <c r="C2901" t="s">
        <v>16</v>
      </c>
      <c r="D2901" t="s">
        <v>151</v>
      </c>
      <c r="E2901" t="s">
        <v>98</v>
      </c>
      <c r="F2901" s="2">
        <v>64</v>
      </c>
      <c r="G2901" t="s">
        <v>137</v>
      </c>
      <c r="H2901" t="s">
        <v>31</v>
      </c>
      <c r="I2901" t="s">
        <v>133</v>
      </c>
      <c r="J2901" t="s">
        <v>33</v>
      </c>
      <c r="K2901">
        <v>4.2</v>
      </c>
      <c r="L2901" t="s">
        <v>23</v>
      </c>
      <c r="M2901" t="s">
        <v>41</v>
      </c>
      <c r="N2901" t="s">
        <v>23</v>
      </c>
      <c r="O2901">
        <v>22</v>
      </c>
      <c r="P2901" t="s">
        <v>88</v>
      </c>
      <c r="Q2901" t="s">
        <v>89</v>
      </c>
      <c r="R2901" s="1">
        <v>0.1</v>
      </c>
      <c r="S2901">
        <f t="shared" si="180"/>
        <v>57.6</v>
      </c>
      <c r="T2901">
        <f>IFERROR(VLOOKUP(A2901,Table1[[Customer ID]:[Discount Amount]], 6, FALSE),"Not Found")</f>
        <v>64</v>
      </c>
      <c r="U2901" t="str">
        <f t="shared" si="181"/>
        <v>Bank Transfer</v>
      </c>
      <c r="V2901" s="4" t="str">
        <f t="shared" si="182"/>
        <v>Normal</v>
      </c>
      <c r="W2901" s="4" t="str">
        <f t="shared" si="183"/>
        <v>Good</v>
      </c>
      <c r="X2901" s="4">
        <f>AVERAGE(Table1[Purchase Amount])</f>
        <v>129.48419400000012</v>
      </c>
    </row>
    <row r="2902" spans="1:24" ht="15" customHeight="1" x14ac:dyDescent="0.25">
      <c r="A2902">
        <v>2901</v>
      </c>
      <c r="B2902">
        <v>41</v>
      </c>
      <c r="C2902" t="s">
        <v>16</v>
      </c>
      <c r="D2902" t="s">
        <v>118</v>
      </c>
      <c r="E2902" t="s">
        <v>18</v>
      </c>
      <c r="F2902" s="2">
        <v>67</v>
      </c>
      <c r="G2902" t="s">
        <v>106</v>
      </c>
      <c r="H2902" t="s">
        <v>20</v>
      </c>
      <c r="I2902" t="s">
        <v>111</v>
      </c>
      <c r="J2902" t="s">
        <v>22</v>
      </c>
      <c r="K2902">
        <v>4</v>
      </c>
      <c r="L2902" t="s">
        <v>23</v>
      </c>
      <c r="M2902" t="s">
        <v>24</v>
      </c>
      <c r="N2902" t="s">
        <v>23</v>
      </c>
      <c r="O2902">
        <v>23</v>
      </c>
      <c r="P2902" t="s">
        <v>25</v>
      </c>
      <c r="Q2902" t="s">
        <v>68</v>
      </c>
      <c r="R2902" s="1">
        <v>0.1</v>
      </c>
      <c r="S2902">
        <f t="shared" si="180"/>
        <v>60.3</v>
      </c>
      <c r="T2902">
        <f>IFERROR(VLOOKUP(A2902,Table1[[Customer ID]:[Discount Amount]], 6, FALSE),"Not Found")</f>
        <v>67</v>
      </c>
      <c r="U2902" t="str">
        <f t="shared" si="181"/>
        <v>Cash</v>
      </c>
      <c r="V2902" s="4" t="str">
        <f t="shared" si="182"/>
        <v>Normal</v>
      </c>
      <c r="W2902" s="4" t="str">
        <f t="shared" si="183"/>
        <v>Good</v>
      </c>
      <c r="X2902" s="4">
        <f>AVERAGE(Table1[Purchase Amount])</f>
        <v>129.48419400000012</v>
      </c>
    </row>
    <row r="2903" spans="1:24" ht="15" customHeight="1" x14ac:dyDescent="0.25">
      <c r="A2903">
        <v>2902</v>
      </c>
      <c r="B2903">
        <v>41</v>
      </c>
      <c r="C2903" t="s">
        <v>16</v>
      </c>
      <c r="D2903" t="s">
        <v>118</v>
      </c>
      <c r="E2903" t="s">
        <v>18</v>
      </c>
      <c r="F2903" s="2">
        <v>43</v>
      </c>
      <c r="G2903" t="s">
        <v>51</v>
      </c>
      <c r="H2903" t="s">
        <v>45</v>
      </c>
      <c r="I2903" t="s">
        <v>21</v>
      </c>
      <c r="J2903" t="s">
        <v>22</v>
      </c>
      <c r="K2903">
        <v>2.6</v>
      </c>
      <c r="L2903" t="s">
        <v>23</v>
      </c>
      <c r="M2903" t="s">
        <v>35</v>
      </c>
      <c r="N2903" t="s">
        <v>23</v>
      </c>
      <c r="O2903">
        <v>46</v>
      </c>
      <c r="P2903" t="s">
        <v>53</v>
      </c>
      <c r="Q2903" t="s">
        <v>37</v>
      </c>
      <c r="R2903" s="1">
        <v>0.1</v>
      </c>
      <c r="S2903">
        <f t="shared" si="180"/>
        <v>38.700000000000003</v>
      </c>
      <c r="T2903">
        <f>IFERROR(VLOOKUP(A2903,Table1[[Customer ID]:[Discount Amount]], 6, FALSE),"Not Found")</f>
        <v>43</v>
      </c>
      <c r="U2903" t="str">
        <f t="shared" si="181"/>
        <v>Credit Card</v>
      </c>
      <c r="V2903" s="4" t="str">
        <f t="shared" si="182"/>
        <v>Normal</v>
      </c>
      <c r="W2903" s="4" t="str">
        <f t="shared" si="183"/>
        <v>Poor</v>
      </c>
      <c r="X2903" s="4">
        <f>AVERAGE(Table1[Purchase Amount])</f>
        <v>129.48419400000012</v>
      </c>
    </row>
    <row r="2904" spans="1:24" ht="15" customHeight="1" x14ac:dyDescent="0.25">
      <c r="A2904">
        <v>2903</v>
      </c>
      <c r="B2904">
        <v>27</v>
      </c>
      <c r="C2904" t="s">
        <v>16</v>
      </c>
      <c r="D2904" t="s">
        <v>151</v>
      </c>
      <c r="E2904" t="s">
        <v>98</v>
      </c>
      <c r="F2904" s="2">
        <v>32</v>
      </c>
      <c r="G2904" t="s">
        <v>134</v>
      </c>
      <c r="H2904" t="s">
        <v>55</v>
      </c>
      <c r="I2904" t="s">
        <v>108</v>
      </c>
      <c r="J2904" t="s">
        <v>33</v>
      </c>
      <c r="K2904">
        <v>4.5999999999999996</v>
      </c>
      <c r="L2904" t="s">
        <v>23</v>
      </c>
      <c r="M2904" t="s">
        <v>24</v>
      </c>
      <c r="N2904" t="s">
        <v>23</v>
      </c>
      <c r="O2904">
        <v>19</v>
      </c>
      <c r="P2904" t="s">
        <v>58</v>
      </c>
      <c r="Q2904" t="s">
        <v>68</v>
      </c>
      <c r="R2904" s="1">
        <v>0.1</v>
      </c>
      <c r="S2904">
        <f t="shared" si="180"/>
        <v>28.8</v>
      </c>
      <c r="T2904">
        <f>IFERROR(VLOOKUP(A2904,Table1[[Customer ID]:[Discount Amount]], 6, FALSE),"Not Found")</f>
        <v>32</v>
      </c>
      <c r="U2904" t="str">
        <f t="shared" si="181"/>
        <v>PayPal</v>
      </c>
      <c r="V2904" s="4" t="str">
        <f t="shared" si="182"/>
        <v>Normal</v>
      </c>
      <c r="W2904" s="4" t="str">
        <f t="shared" si="183"/>
        <v>Good</v>
      </c>
      <c r="X2904" s="4">
        <f>AVERAGE(Table1[Purchase Amount])</f>
        <v>129.48419400000012</v>
      </c>
    </row>
    <row r="2905" spans="1:24" ht="15" customHeight="1" x14ac:dyDescent="0.25">
      <c r="A2905">
        <v>2904</v>
      </c>
      <c r="B2905">
        <v>38</v>
      </c>
      <c r="C2905" t="s">
        <v>16</v>
      </c>
      <c r="D2905" t="s">
        <v>129</v>
      </c>
      <c r="E2905" t="s">
        <v>29</v>
      </c>
      <c r="F2905" s="2">
        <v>39</v>
      </c>
      <c r="G2905" t="s">
        <v>143</v>
      </c>
      <c r="H2905" t="s">
        <v>55</v>
      </c>
      <c r="I2905" t="s">
        <v>147</v>
      </c>
      <c r="J2905" t="s">
        <v>33</v>
      </c>
      <c r="K2905">
        <v>3.5</v>
      </c>
      <c r="L2905" t="s">
        <v>23</v>
      </c>
      <c r="M2905" t="s">
        <v>41</v>
      </c>
      <c r="N2905" t="s">
        <v>23</v>
      </c>
      <c r="O2905">
        <v>24</v>
      </c>
      <c r="P2905" t="s">
        <v>53</v>
      </c>
      <c r="Q2905" t="s">
        <v>63</v>
      </c>
      <c r="R2905" s="1">
        <v>0.1</v>
      </c>
      <c r="S2905">
        <f t="shared" si="180"/>
        <v>35.1</v>
      </c>
      <c r="T2905">
        <f>IFERROR(VLOOKUP(A2905,Table1[[Customer ID]:[Discount Amount]], 6, FALSE),"Not Found")</f>
        <v>39</v>
      </c>
      <c r="U2905" t="str">
        <f t="shared" si="181"/>
        <v>Credit Card</v>
      </c>
      <c r="V2905" s="4" t="str">
        <f t="shared" si="182"/>
        <v>Normal</v>
      </c>
      <c r="W2905" s="4" t="str">
        <f t="shared" si="183"/>
        <v>Good</v>
      </c>
      <c r="X2905" s="4">
        <f>AVERAGE(Table1[Purchase Amount])</f>
        <v>129.48419400000012</v>
      </c>
    </row>
    <row r="2906" spans="1:24" ht="15" customHeight="1" x14ac:dyDescent="0.25">
      <c r="A2906">
        <v>2905</v>
      </c>
      <c r="B2906">
        <v>41</v>
      </c>
      <c r="C2906" t="s">
        <v>16</v>
      </c>
      <c r="D2906" t="s">
        <v>121</v>
      </c>
      <c r="E2906" t="s">
        <v>98</v>
      </c>
      <c r="F2906" s="2">
        <v>41</v>
      </c>
      <c r="G2906" t="s">
        <v>141</v>
      </c>
      <c r="H2906" t="s">
        <v>31</v>
      </c>
      <c r="I2906" t="s">
        <v>85</v>
      </c>
      <c r="J2906" t="s">
        <v>33</v>
      </c>
      <c r="K2906">
        <v>4</v>
      </c>
      <c r="L2906" t="s">
        <v>23</v>
      </c>
      <c r="M2906" t="s">
        <v>41</v>
      </c>
      <c r="N2906" t="s">
        <v>23</v>
      </c>
      <c r="O2906">
        <v>43</v>
      </c>
      <c r="P2906" t="s">
        <v>62</v>
      </c>
      <c r="Q2906" t="s">
        <v>42</v>
      </c>
      <c r="R2906" s="1">
        <v>0.1</v>
      </c>
      <c r="S2906">
        <f t="shared" si="180"/>
        <v>36.9</v>
      </c>
      <c r="T2906">
        <f>IFERROR(VLOOKUP(A2906,Table1[[Customer ID]:[Discount Amount]], 6, FALSE),"Not Found")</f>
        <v>41</v>
      </c>
      <c r="U2906" t="str">
        <f t="shared" si="181"/>
        <v>Venmo</v>
      </c>
      <c r="V2906" s="4" t="str">
        <f t="shared" si="182"/>
        <v>Normal</v>
      </c>
      <c r="W2906" s="4" t="str">
        <f t="shared" si="183"/>
        <v>Good</v>
      </c>
      <c r="X2906" s="4">
        <f>AVERAGE(Table1[Purchase Amount])</f>
        <v>129.48419400000012</v>
      </c>
    </row>
    <row r="2907" spans="1:24" ht="15" customHeight="1" x14ac:dyDescent="0.25">
      <c r="A2907">
        <v>2906</v>
      </c>
      <c r="B2907">
        <v>58</v>
      </c>
      <c r="C2907" t="s">
        <v>16</v>
      </c>
      <c r="D2907" t="s">
        <v>28</v>
      </c>
      <c r="E2907" t="s">
        <v>29</v>
      </c>
      <c r="F2907" s="2">
        <v>53</v>
      </c>
      <c r="G2907" t="s">
        <v>101</v>
      </c>
      <c r="H2907" t="s">
        <v>45</v>
      </c>
      <c r="I2907" t="s">
        <v>40</v>
      </c>
      <c r="J2907" t="s">
        <v>22</v>
      </c>
      <c r="K2907">
        <v>4.8</v>
      </c>
      <c r="L2907" t="s">
        <v>23</v>
      </c>
      <c r="M2907" t="s">
        <v>24</v>
      </c>
      <c r="N2907" t="s">
        <v>23</v>
      </c>
      <c r="O2907">
        <v>14</v>
      </c>
      <c r="P2907" t="s">
        <v>36</v>
      </c>
      <c r="Q2907" t="s">
        <v>89</v>
      </c>
      <c r="R2907" s="1">
        <v>0.1</v>
      </c>
      <c r="S2907">
        <f t="shared" si="180"/>
        <v>47.7</v>
      </c>
      <c r="T2907">
        <f>IFERROR(VLOOKUP(A2907,Table1[[Customer ID]:[Discount Amount]], 6, FALSE),"Not Found")</f>
        <v>53</v>
      </c>
      <c r="U2907" t="str">
        <f t="shared" si="181"/>
        <v>Debit Card</v>
      </c>
      <c r="V2907" s="4" t="str">
        <f t="shared" si="182"/>
        <v>Normal</v>
      </c>
      <c r="W2907" s="4" t="str">
        <f t="shared" si="183"/>
        <v>Good</v>
      </c>
      <c r="X2907" s="4">
        <f>AVERAGE(Table1[Purchase Amount])</f>
        <v>129.48419400000012</v>
      </c>
    </row>
    <row r="2908" spans="1:24" ht="15" customHeight="1" x14ac:dyDescent="0.25">
      <c r="A2908">
        <v>2907</v>
      </c>
      <c r="B2908">
        <v>58</v>
      </c>
      <c r="C2908" t="s">
        <v>16</v>
      </c>
      <c r="D2908" t="s">
        <v>76</v>
      </c>
      <c r="E2908" t="s">
        <v>77</v>
      </c>
      <c r="F2908" s="2">
        <v>27</v>
      </c>
      <c r="G2908" t="s">
        <v>138</v>
      </c>
      <c r="H2908" t="s">
        <v>31</v>
      </c>
      <c r="I2908" t="s">
        <v>91</v>
      </c>
      <c r="J2908" t="s">
        <v>33</v>
      </c>
      <c r="K2908">
        <v>3.9</v>
      </c>
      <c r="L2908" t="s">
        <v>23</v>
      </c>
      <c r="M2908" t="s">
        <v>24</v>
      </c>
      <c r="N2908" t="s">
        <v>23</v>
      </c>
      <c r="O2908">
        <v>7</v>
      </c>
      <c r="P2908" t="s">
        <v>62</v>
      </c>
      <c r="Q2908" t="s">
        <v>49</v>
      </c>
      <c r="R2908" s="1">
        <v>0.1</v>
      </c>
      <c r="S2908">
        <f t="shared" si="180"/>
        <v>24.3</v>
      </c>
      <c r="T2908">
        <f>IFERROR(VLOOKUP(A2908,Table1[[Customer ID]:[Discount Amount]], 6, FALSE),"Not Found")</f>
        <v>27</v>
      </c>
      <c r="U2908" t="str">
        <f t="shared" si="181"/>
        <v>Venmo</v>
      </c>
      <c r="V2908" s="4" t="str">
        <f t="shared" si="182"/>
        <v>Normal</v>
      </c>
      <c r="W2908" s="4" t="str">
        <f t="shared" si="183"/>
        <v>Good</v>
      </c>
      <c r="X2908" s="4">
        <f>AVERAGE(Table1[Purchase Amount])</f>
        <v>129.48419400000012</v>
      </c>
    </row>
    <row r="2909" spans="1:24" ht="15" customHeight="1" x14ac:dyDescent="0.25">
      <c r="A2909">
        <v>2908</v>
      </c>
      <c r="B2909">
        <v>19</v>
      </c>
      <c r="C2909" t="s">
        <v>16</v>
      </c>
      <c r="D2909" t="s">
        <v>28</v>
      </c>
      <c r="E2909" t="s">
        <v>29</v>
      </c>
      <c r="F2909" s="2">
        <v>82</v>
      </c>
      <c r="G2909" t="s">
        <v>106</v>
      </c>
      <c r="H2909" t="s">
        <v>20</v>
      </c>
      <c r="I2909" t="s">
        <v>107</v>
      </c>
      <c r="J2909" t="s">
        <v>57</v>
      </c>
      <c r="K2909">
        <v>3.7</v>
      </c>
      <c r="L2909" t="s">
        <v>23</v>
      </c>
      <c r="M2909" t="s">
        <v>79</v>
      </c>
      <c r="N2909" t="s">
        <v>23</v>
      </c>
      <c r="O2909">
        <v>50</v>
      </c>
      <c r="P2909" t="s">
        <v>58</v>
      </c>
      <c r="Q2909" t="s">
        <v>68</v>
      </c>
      <c r="R2909" s="1">
        <v>0.1</v>
      </c>
      <c r="S2909">
        <f t="shared" si="180"/>
        <v>73.8</v>
      </c>
      <c r="T2909">
        <f>IFERROR(VLOOKUP(A2909,Table1[[Customer ID]:[Discount Amount]], 6, FALSE),"Not Found")</f>
        <v>82</v>
      </c>
      <c r="U2909" t="str">
        <f t="shared" si="181"/>
        <v>PayPal</v>
      </c>
      <c r="V2909" s="4" t="str">
        <f t="shared" si="182"/>
        <v>Normal</v>
      </c>
      <c r="W2909" s="4" t="str">
        <f t="shared" si="183"/>
        <v>Good</v>
      </c>
      <c r="X2909" s="4">
        <f>AVERAGE(Table1[Purchase Amount])</f>
        <v>129.48419400000012</v>
      </c>
    </row>
    <row r="2910" spans="1:24" ht="15" customHeight="1" x14ac:dyDescent="0.25">
      <c r="A2910">
        <v>2909</v>
      </c>
      <c r="B2910">
        <v>43</v>
      </c>
      <c r="C2910" t="s">
        <v>16</v>
      </c>
      <c r="D2910" t="s">
        <v>118</v>
      </c>
      <c r="E2910" t="s">
        <v>18</v>
      </c>
      <c r="F2910" s="2">
        <v>87</v>
      </c>
      <c r="G2910" t="s">
        <v>152</v>
      </c>
      <c r="H2910" t="s">
        <v>31</v>
      </c>
      <c r="I2910" t="s">
        <v>56</v>
      </c>
      <c r="J2910" t="s">
        <v>22</v>
      </c>
      <c r="K2910">
        <v>3.1</v>
      </c>
      <c r="L2910" t="s">
        <v>23</v>
      </c>
      <c r="M2910" t="s">
        <v>48</v>
      </c>
      <c r="N2910" t="s">
        <v>23</v>
      </c>
      <c r="O2910">
        <v>15</v>
      </c>
      <c r="P2910" t="s">
        <v>36</v>
      </c>
      <c r="Q2910" t="s">
        <v>63</v>
      </c>
      <c r="R2910" s="1">
        <v>0.1</v>
      </c>
      <c r="S2910">
        <f t="shared" si="180"/>
        <v>78.3</v>
      </c>
      <c r="T2910">
        <f>IFERROR(VLOOKUP(A2910,Table1[[Customer ID]:[Discount Amount]], 6, FALSE),"Not Found")</f>
        <v>87</v>
      </c>
      <c r="U2910" t="str">
        <f t="shared" si="181"/>
        <v>Debit Card</v>
      </c>
      <c r="V2910" s="4" t="str">
        <f t="shared" si="182"/>
        <v>Normal</v>
      </c>
      <c r="W2910" s="4" t="str">
        <f t="shared" si="183"/>
        <v>Good</v>
      </c>
      <c r="X2910" s="4">
        <f>AVERAGE(Table1[Purchase Amount])</f>
        <v>129.48419400000012</v>
      </c>
    </row>
    <row r="2911" spans="1:24" ht="15" customHeight="1" x14ac:dyDescent="0.25">
      <c r="A2911">
        <v>2910</v>
      </c>
      <c r="B2911">
        <v>27</v>
      </c>
      <c r="C2911" t="s">
        <v>16</v>
      </c>
      <c r="D2911" t="s">
        <v>104</v>
      </c>
      <c r="E2911" t="s">
        <v>29</v>
      </c>
      <c r="F2911" s="2">
        <v>78</v>
      </c>
      <c r="G2911" t="s">
        <v>119</v>
      </c>
      <c r="H2911" t="s">
        <v>31</v>
      </c>
      <c r="I2911" t="s">
        <v>91</v>
      </c>
      <c r="J2911" t="s">
        <v>22</v>
      </c>
      <c r="K2911">
        <v>3</v>
      </c>
      <c r="L2911" t="s">
        <v>23</v>
      </c>
      <c r="M2911" t="s">
        <v>79</v>
      </c>
      <c r="N2911" t="s">
        <v>23</v>
      </c>
      <c r="O2911">
        <v>40</v>
      </c>
      <c r="P2911" t="s">
        <v>53</v>
      </c>
      <c r="Q2911" t="s">
        <v>63</v>
      </c>
      <c r="R2911" s="1">
        <v>0.1</v>
      </c>
      <c r="S2911">
        <f t="shared" si="180"/>
        <v>70.2</v>
      </c>
      <c r="T2911">
        <f>IFERROR(VLOOKUP(A2911,Table1[[Customer ID]:[Discount Amount]], 6, FALSE),"Not Found")</f>
        <v>78</v>
      </c>
      <c r="U2911" t="str">
        <f t="shared" si="181"/>
        <v>Credit Card</v>
      </c>
      <c r="V2911" s="4" t="str">
        <f t="shared" si="182"/>
        <v>Normal</v>
      </c>
      <c r="W2911" s="4" t="str">
        <f t="shared" si="183"/>
        <v>Good</v>
      </c>
      <c r="X2911" s="4">
        <f>AVERAGE(Table1[Purchase Amount])</f>
        <v>129.48419400000012</v>
      </c>
    </row>
    <row r="2912" spans="1:24" ht="15" customHeight="1" x14ac:dyDescent="0.25">
      <c r="A2912">
        <v>2911</v>
      </c>
      <c r="B2912">
        <v>32</v>
      </c>
      <c r="C2912" t="s">
        <v>16</v>
      </c>
      <c r="D2912" t="s">
        <v>114</v>
      </c>
      <c r="E2912" t="s">
        <v>29</v>
      </c>
      <c r="F2912" s="2">
        <v>32</v>
      </c>
      <c r="G2912" t="s">
        <v>149</v>
      </c>
      <c r="H2912" t="s">
        <v>31</v>
      </c>
      <c r="I2912" t="s">
        <v>74</v>
      </c>
      <c r="J2912" t="s">
        <v>57</v>
      </c>
      <c r="K2912">
        <v>2.9</v>
      </c>
      <c r="L2912" t="s">
        <v>23</v>
      </c>
      <c r="M2912" t="s">
        <v>48</v>
      </c>
      <c r="N2912" t="s">
        <v>23</v>
      </c>
      <c r="O2912">
        <v>41</v>
      </c>
      <c r="P2912" t="s">
        <v>53</v>
      </c>
      <c r="Q2912" t="s">
        <v>42</v>
      </c>
      <c r="R2912" s="1">
        <v>0.1</v>
      </c>
      <c r="S2912">
        <f t="shared" si="180"/>
        <v>28.8</v>
      </c>
      <c r="T2912">
        <f>IFERROR(VLOOKUP(A2912,Table1[[Customer ID]:[Discount Amount]], 6, FALSE),"Not Found")</f>
        <v>32</v>
      </c>
      <c r="U2912" t="str">
        <f t="shared" si="181"/>
        <v>Credit Card</v>
      </c>
      <c r="V2912" s="4" t="str">
        <f t="shared" si="182"/>
        <v>Normal</v>
      </c>
      <c r="W2912" s="4" t="str">
        <f t="shared" si="183"/>
        <v>Poor</v>
      </c>
      <c r="X2912" s="4">
        <f>AVERAGE(Table1[Purchase Amount])</f>
        <v>129.48419400000012</v>
      </c>
    </row>
    <row r="2913" spans="1:24" ht="15" customHeight="1" x14ac:dyDescent="0.25">
      <c r="A2913">
        <v>2912</v>
      </c>
      <c r="B2913">
        <v>28</v>
      </c>
      <c r="C2913" t="s">
        <v>16</v>
      </c>
      <c r="D2913" t="s">
        <v>105</v>
      </c>
      <c r="E2913" t="s">
        <v>18</v>
      </c>
      <c r="F2913" s="2">
        <v>38</v>
      </c>
      <c r="G2913" t="s">
        <v>90</v>
      </c>
      <c r="H2913" t="s">
        <v>20</v>
      </c>
      <c r="I2913" t="s">
        <v>108</v>
      </c>
      <c r="J2913" t="s">
        <v>47</v>
      </c>
      <c r="K2913">
        <v>2.9</v>
      </c>
      <c r="L2913" t="s">
        <v>23</v>
      </c>
      <c r="M2913" t="s">
        <v>79</v>
      </c>
      <c r="N2913" t="s">
        <v>23</v>
      </c>
      <c r="O2913">
        <v>34</v>
      </c>
      <c r="P2913" t="s">
        <v>62</v>
      </c>
      <c r="Q2913" t="s">
        <v>37</v>
      </c>
      <c r="R2913" s="1">
        <v>0.1</v>
      </c>
      <c r="S2913">
        <f t="shared" si="180"/>
        <v>34.200000000000003</v>
      </c>
      <c r="T2913">
        <f>IFERROR(VLOOKUP(A2913,Table1[[Customer ID]:[Discount Amount]], 6, FALSE),"Not Found")</f>
        <v>38</v>
      </c>
      <c r="U2913" t="str">
        <f t="shared" si="181"/>
        <v>Venmo</v>
      </c>
      <c r="V2913" s="4" t="str">
        <f t="shared" si="182"/>
        <v>Normal</v>
      </c>
      <c r="W2913" s="4" t="str">
        <f t="shared" si="183"/>
        <v>Poor</v>
      </c>
      <c r="X2913" s="4">
        <f>AVERAGE(Table1[Purchase Amount])</f>
        <v>129.48419400000012</v>
      </c>
    </row>
    <row r="2914" spans="1:24" ht="15" customHeight="1" x14ac:dyDescent="0.25">
      <c r="A2914">
        <v>2913</v>
      </c>
      <c r="B2914">
        <v>48</v>
      </c>
      <c r="C2914" t="s">
        <v>16</v>
      </c>
      <c r="D2914" t="s">
        <v>72</v>
      </c>
      <c r="E2914" t="s">
        <v>98</v>
      </c>
      <c r="F2914" s="2">
        <v>37</v>
      </c>
      <c r="G2914" t="s">
        <v>123</v>
      </c>
      <c r="H2914" t="s">
        <v>31</v>
      </c>
      <c r="I2914" t="s">
        <v>52</v>
      </c>
      <c r="J2914" t="s">
        <v>22</v>
      </c>
      <c r="K2914">
        <v>4</v>
      </c>
      <c r="L2914" t="s">
        <v>23</v>
      </c>
      <c r="M2914" t="s">
        <v>24</v>
      </c>
      <c r="N2914" t="s">
        <v>23</v>
      </c>
      <c r="O2914">
        <v>27</v>
      </c>
      <c r="P2914" t="s">
        <v>25</v>
      </c>
      <c r="Q2914" t="s">
        <v>68</v>
      </c>
      <c r="R2914" s="1">
        <v>0.1</v>
      </c>
      <c r="S2914">
        <f t="shared" si="180"/>
        <v>33.299999999999997</v>
      </c>
      <c r="T2914">
        <f>IFERROR(VLOOKUP(A2914,Table1[[Customer ID]:[Discount Amount]], 6, FALSE),"Not Found")</f>
        <v>37</v>
      </c>
      <c r="U2914" t="str">
        <f t="shared" si="181"/>
        <v>Cash</v>
      </c>
      <c r="V2914" s="4" t="str">
        <f t="shared" si="182"/>
        <v>Normal</v>
      </c>
      <c r="W2914" s="4" t="str">
        <f t="shared" si="183"/>
        <v>Good</v>
      </c>
      <c r="X2914" s="4">
        <f>AVERAGE(Table1[Purchase Amount])</f>
        <v>129.48419400000012</v>
      </c>
    </row>
    <row r="2915" spans="1:24" ht="15" customHeight="1" x14ac:dyDescent="0.25">
      <c r="A2915">
        <v>2914</v>
      </c>
      <c r="B2915">
        <v>43</v>
      </c>
      <c r="C2915" t="s">
        <v>16</v>
      </c>
      <c r="D2915" t="s">
        <v>76</v>
      </c>
      <c r="E2915" t="s">
        <v>77</v>
      </c>
      <c r="F2915" s="2">
        <v>83</v>
      </c>
      <c r="G2915" t="s">
        <v>162</v>
      </c>
      <c r="H2915" t="s">
        <v>45</v>
      </c>
      <c r="I2915" t="s">
        <v>128</v>
      </c>
      <c r="J2915" t="s">
        <v>22</v>
      </c>
      <c r="K2915">
        <v>3.5</v>
      </c>
      <c r="L2915" t="s">
        <v>23</v>
      </c>
      <c r="M2915" t="s">
        <v>61</v>
      </c>
      <c r="N2915" t="s">
        <v>23</v>
      </c>
      <c r="O2915">
        <v>12</v>
      </c>
      <c r="P2915" t="s">
        <v>25</v>
      </c>
      <c r="Q2915" t="s">
        <v>63</v>
      </c>
      <c r="R2915" s="1">
        <v>0.1</v>
      </c>
      <c r="S2915">
        <f t="shared" si="180"/>
        <v>74.7</v>
      </c>
      <c r="T2915">
        <f>IFERROR(VLOOKUP(A2915,Table1[[Customer ID]:[Discount Amount]], 6, FALSE),"Not Found")</f>
        <v>83</v>
      </c>
      <c r="U2915" t="str">
        <f t="shared" si="181"/>
        <v>Cash</v>
      </c>
      <c r="V2915" s="4" t="str">
        <f t="shared" si="182"/>
        <v>Normal</v>
      </c>
      <c r="W2915" s="4" t="str">
        <f t="shared" si="183"/>
        <v>Good</v>
      </c>
      <c r="X2915" s="4">
        <f>AVERAGE(Table1[Purchase Amount])</f>
        <v>129.48419400000012</v>
      </c>
    </row>
    <row r="2916" spans="1:24" ht="15" customHeight="1" x14ac:dyDescent="0.25">
      <c r="A2916">
        <v>2915</v>
      </c>
      <c r="B2916">
        <v>45</v>
      </c>
      <c r="C2916" t="s">
        <v>16</v>
      </c>
      <c r="D2916" t="s">
        <v>127</v>
      </c>
      <c r="E2916" t="s">
        <v>18</v>
      </c>
      <c r="F2916" s="2">
        <v>72</v>
      </c>
      <c r="G2916" t="s">
        <v>78</v>
      </c>
      <c r="H2916" t="s">
        <v>31</v>
      </c>
      <c r="I2916" t="s">
        <v>52</v>
      </c>
      <c r="J2916" t="s">
        <v>47</v>
      </c>
      <c r="K2916">
        <v>3.8</v>
      </c>
      <c r="L2916" t="s">
        <v>23</v>
      </c>
      <c r="M2916" t="s">
        <v>61</v>
      </c>
      <c r="N2916" t="s">
        <v>23</v>
      </c>
      <c r="O2916">
        <v>1</v>
      </c>
      <c r="P2916" t="s">
        <v>36</v>
      </c>
      <c r="Q2916" t="s">
        <v>68</v>
      </c>
      <c r="R2916" s="1">
        <v>0.1</v>
      </c>
      <c r="S2916">
        <f t="shared" si="180"/>
        <v>64.8</v>
      </c>
      <c r="T2916">
        <f>IFERROR(VLOOKUP(A2916,Table1[[Customer ID]:[Discount Amount]], 6, FALSE),"Not Found")</f>
        <v>72</v>
      </c>
      <c r="U2916" t="str">
        <f t="shared" si="181"/>
        <v>Debit Card</v>
      </c>
      <c r="V2916" s="4" t="str">
        <f t="shared" si="182"/>
        <v>Normal</v>
      </c>
      <c r="W2916" s="4" t="str">
        <f t="shared" si="183"/>
        <v>Good</v>
      </c>
      <c r="X2916" s="4">
        <f>AVERAGE(Table1[Purchase Amount])</f>
        <v>129.48419400000012</v>
      </c>
    </row>
    <row r="2917" spans="1:24" ht="15" customHeight="1" x14ac:dyDescent="0.25">
      <c r="A2917">
        <v>2916</v>
      </c>
      <c r="B2917">
        <v>26</v>
      </c>
      <c r="C2917" t="s">
        <v>16</v>
      </c>
      <c r="D2917" t="s">
        <v>38</v>
      </c>
      <c r="E2917" t="s">
        <v>18</v>
      </c>
      <c r="F2917" s="2">
        <v>30</v>
      </c>
      <c r="G2917" t="s">
        <v>123</v>
      </c>
      <c r="H2917" t="s">
        <v>31</v>
      </c>
      <c r="I2917" t="s">
        <v>128</v>
      </c>
      <c r="J2917" t="s">
        <v>47</v>
      </c>
      <c r="K2917">
        <v>4.5</v>
      </c>
      <c r="L2917" t="s">
        <v>23</v>
      </c>
      <c r="M2917" t="s">
        <v>61</v>
      </c>
      <c r="N2917" t="s">
        <v>23</v>
      </c>
      <c r="O2917">
        <v>39</v>
      </c>
      <c r="P2917" t="s">
        <v>36</v>
      </c>
      <c r="Q2917" t="s">
        <v>68</v>
      </c>
      <c r="R2917" s="1">
        <v>0.1</v>
      </c>
      <c r="S2917">
        <f t="shared" si="180"/>
        <v>27</v>
      </c>
      <c r="T2917">
        <f>IFERROR(VLOOKUP(A2917,Table1[[Customer ID]:[Discount Amount]], 6, FALSE),"Not Found")</f>
        <v>30</v>
      </c>
      <c r="U2917" t="str">
        <f t="shared" si="181"/>
        <v>Debit Card</v>
      </c>
      <c r="V2917" s="4" t="str">
        <f t="shared" si="182"/>
        <v>Normal</v>
      </c>
      <c r="W2917" s="4" t="str">
        <f t="shared" si="183"/>
        <v>Good</v>
      </c>
      <c r="X2917" s="4">
        <f>AVERAGE(Table1[Purchase Amount])</f>
        <v>129.48419400000012</v>
      </c>
    </row>
    <row r="2918" spans="1:24" ht="15" customHeight="1" x14ac:dyDescent="0.25">
      <c r="A2918">
        <v>2917</v>
      </c>
      <c r="B2918">
        <v>62</v>
      </c>
      <c r="C2918" t="s">
        <v>16</v>
      </c>
      <c r="D2918" t="s">
        <v>54</v>
      </c>
      <c r="E2918" t="s">
        <v>18</v>
      </c>
      <c r="F2918" s="2">
        <v>66</v>
      </c>
      <c r="G2918" t="s">
        <v>142</v>
      </c>
      <c r="H2918" t="s">
        <v>31</v>
      </c>
      <c r="I2918" t="s">
        <v>93</v>
      </c>
      <c r="J2918" t="s">
        <v>22</v>
      </c>
      <c r="K2918">
        <v>2.7</v>
      </c>
      <c r="L2918" t="s">
        <v>23</v>
      </c>
      <c r="M2918" t="s">
        <v>61</v>
      </c>
      <c r="N2918" t="s">
        <v>23</v>
      </c>
      <c r="O2918">
        <v>13</v>
      </c>
      <c r="P2918" t="s">
        <v>53</v>
      </c>
      <c r="Q2918" t="s">
        <v>68</v>
      </c>
      <c r="R2918" s="1">
        <v>0.1</v>
      </c>
      <c r="S2918">
        <f t="shared" si="180"/>
        <v>59.4</v>
      </c>
      <c r="T2918">
        <f>IFERROR(VLOOKUP(A2918,Table1[[Customer ID]:[Discount Amount]], 6, FALSE),"Not Found")</f>
        <v>66</v>
      </c>
      <c r="U2918" t="str">
        <f t="shared" si="181"/>
        <v>Credit Card</v>
      </c>
      <c r="V2918" s="4" t="str">
        <f t="shared" si="182"/>
        <v>Normal</v>
      </c>
      <c r="W2918" s="4" t="str">
        <f t="shared" si="183"/>
        <v>Poor</v>
      </c>
      <c r="X2918" s="4">
        <f>AVERAGE(Table1[Purchase Amount])</f>
        <v>129.48419400000012</v>
      </c>
    </row>
    <row r="2919" spans="1:24" ht="15" customHeight="1" x14ac:dyDescent="0.25">
      <c r="A2919">
        <v>2918</v>
      </c>
      <c r="B2919">
        <v>58</v>
      </c>
      <c r="C2919" t="s">
        <v>16</v>
      </c>
      <c r="D2919" t="s">
        <v>38</v>
      </c>
      <c r="E2919" t="s">
        <v>18</v>
      </c>
      <c r="F2919" s="2">
        <v>45</v>
      </c>
      <c r="G2919" t="s">
        <v>92</v>
      </c>
      <c r="H2919" t="s">
        <v>20</v>
      </c>
      <c r="I2919" t="s">
        <v>32</v>
      </c>
      <c r="J2919" t="s">
        <v>22</v>
      </c>
      <c r="K2919">
        <v>2.9</v>
      </c>
      <c r="L2919" t="s">
        <v>23</v>
      </c>
      <c r="M2919" t="s">
        <v>48</v>
      </c>
      <c r="N2919" t="s">
        <v>23</v>
      </c>
      <c r="O2919">
        <v>50</v>
      </c>
      <c r="P2919" t="s">
        <v>62</v>
      </c>
      <c r="Q2919" t="s">
        <v>49</v>
      </c>
      <c r="R2919" s="1">
        <v>0.1</v>
      </c>
      <c r="S2919">
        <f t="shared" si="180"/>
        <v>40.5</v>
      </c>
      <c r="T2919">
        <f>IFERROR(VLOOKUP(A2919,Table1[[Customer ID]:[Discount Amount]], 6, FALSE),"Not Found")</f>
        <v>45</v>
      </c>
      <c r="U2919" t="str">
        <f t="shared" si="181"/>
        <v>Venmo</v>
      </c>
      <c r="V2919" s="4" t="str">
        <f t="shared" si="182"/>
        <v>Normal</v>
      </c>
      <c r="W2919" s="4" t="str">
        <f t="shared" si="183"/>
        <v>Poor</v>
      </c>
      <c r="X2919" s="4">
        <f>AVERAGE(Table1[Purchase Amount])</f>
        <v>129.48419400000012</v>
      </c>
    </row>
    <row r="2920" spans="1:24" ht="15" customHeight="1" x14ac:dyDescent="0.25">
      <c r="A2920">
        <v>2919</v>
      </c>
      <c r="B2920">
        <v>19</v>
      </c>
      <c r="C2920" t="s">
        <v>16</v>
      </c>
      <c r="D2920" t="s">
        <v>28</v>
      </c>
      <c r="E2920" t="s">
        <v>29</v>
      </c>
      <c r="F2920" s="2">
        <v>73</v>
      </c>
      <c r="G2920" t="s">
        <v>101</v>
      </c>
      <c r="H2920" t="s">
        <v>55</v>
      </c>
      <c r="I2920" t="s">
        <v>40</v>
      </c>
      <c r="J2920" t="s">
        <v>47</v>
      </c>
      <c r="K2920">
        <v>4.9000000000000004</v>
      </c>
      <c r="L2920" t="s">
        <v>23</v>
      </c>
      <c r="M2920" t="s">
        <v>35</v>
      </c>
      <c r="N2920" t="s">
        <v>23</v>
      </c>
      <c r="O2920">
        <v>36</v>
      </c>
      <c r="P2920" t="s">
        <v>25</v>
      </c>
      <c r="Q2920" t="s">
        <v>26</v>
      </c>
      <c r="R2920" s="1">
        <v>0.1</v>
      </c>
      <c r="S2920">
        <f t="shared" si="180"/>
        <v>65.7</v>
      </c>
      <c r="T2920">
        <f>IFERROR(VLOOKUP(A2920,Table1[[Customer ID]:[Discount Amount]], 6, FALSE),"Not Found")</f>
        <v>73</v>
      </c>
      <c r="U2920" t="str">
        <f t="shared" si="181"/>
        <v>Cash</v>
      </c>
      <c r="V2920" s="4" t="str">
        <f t="shared" si="182"/>
        <v>Normal</v>
      </c>
      <c r="W2920" s="4" t="str">
        <f t="shared" si="183"/>
        <v>Good</v>
      </c>
      <c r="X2920" s="4">
        <f>AVERAGE(Table1[Purchase Amount])</f>
        <v>129.48419400000012</v>
      </c>
    </row>
    <row r="2921" spans="1:24" ht="15" customHeight="1" x14ac:dyDescent="0.25">
      <c r="A2921">
        <v>2920</v>
      </c>
      <c r="B2921">
        <v>64</v>
      </c>
      <c r="C2921" t="s">
        <v>16</v>
      </c>
      <c r="D2921" t="s">
        <v>72</v>
      </c>
      <c r="E2921" t="s">
        <v>98</v>
      </c>
      <c r="F2921" s="2">
        <v>67</v>
      </c>
      <c r="G2921" t="s">
        <v>120</v>
      </c>
      <c r="H2921" t="s">
        <v>45</v>
      </c>
      <c r="I2921" t="s">
        <v>103</v>
      </c>
      <c r="J2921" t="s">
        <v>22</v>
      </c>
      <c r="K2921">
        <v>3.8</v>
      </c>
      <c r="L2921" t="s">
        <v>23</v>
      </c>
      <c r="M2921" t="s">
        <v>24</v>
      </c>
      <c r="N2921" t="s">
        <v>23</v>
      </c>
      <c r="O2921">
        <v>31</v>
      </c>
      <c r="P2921" t="s">
        <v>36</v>
      </c>
      <c r="Q2921" t="s">
        <v>42</v>
      </c>
      <c r="R2921" s="1">
        <v>0.1</v>
      </c>
      <c r="S2921">
        <f t="shared" si="180"/>
        <v>60.3</v>
      </c>
      <c r="T2921">
        <f>IFERROR(VLOOKUP(A2921,Table1[[Customer ID]:[Discount Amount]], 6, FALSE),"Not Found")</f>
        <v>67</v>
      </c>
      <c r="U2921" t="str">
        <f t="shared" si="181"/>
        <v>Debit Card</v>
      </c>
      <c r="V2921" s="4" t="str">
        <f t="shared" si="182"/>
        <v>Normal</v>
      </c>
      <c r="W2921" s="4" t="str">
        <f t="shared" si="183"/>
        <v>Good</v>
      </c>
      <c r="X2921" s="4">
        <f>AVERAGE(Table1[Purchase Amount])</f>
        <v>129.48419400000012</v>
      </c>
    </row>
    <row r="2922" spans="1:24" ht="15" customHeight="1" x14ac:dyDescent="0.25">
      <c r="A2922">
        <v>2921</v>
      </c>
      <c r="B2922">
        <v>33</v>
      </c>
      <c r="C2922" t="s">
        <v>16</v>
      </c>
      <c r="D2922" t="s">
        <v>28</v>
      </c>
      <c r="E2922" t="s">
        <v>29</v>
      </c>
      <c r="F2922" s="2">
        <v>72</v>
      </c>
      <c r="G2922" t="s">
        <v>152</v>
      </c>
      <c r="H2922" t="s">
        <v>20</v>
      </c>
      <c r="I2922" t="s">
        <v>60</v>
      </c>
      <c r="J2922" t="s">
        <v>33</v>
      </c>
      <c r="K2922">
        <v>4.9000000000000004</v>
      </c>
      <c r="L2922" t="s">
        <v>23</v>
      </c>
      <c r="M2922" t="s">
        <v>35</v>
      </c>
      <c r="N2922" t="s">
        <v>23</v>
      </c>
      <c r="O2922">
        <v>3</v>
      </c>
      <c r="P2922" t="s">
        <v>36</v>
      </c>
      <c r="Q2922" t="s">
        <v>68</v>
      </c>
      <c r="R2922" s="1">
        <v>0.1</v>
      </c>
      <c r="S2922">
        <f t="shared" si="180"/>
        <v>64.8</v>
      </c>
      <c r="T2922">
        <f>IFERROR(VLOOKUP(A2922,Table1[[Customer ID]:[Discount Amount]], 6, FALSE),"Not Found")</f>
        <v>72</v>
      </c>
      <c r="U2922" t="str">
        <f t="shared" si="181"/>
        <v>Debit Card</v>
      </c>
      <c r="V2922" s="4" t="str">
        <f t="shared" si="182"/>
        <v>Normal</v>
      </c>
      <c r="W2922" s="4" t="str">
        <f t="shared" si="183"/>
        <v>Good</v>
      </c>
      <c r="X2922" s="4">
        <f>AVERAGE(Table1[Purchase Amount])</f>
        <v>129.48419400000012</v>
      </c>
    </row>
    <row r="2923" spans="1:24" ht="15" customHeight="1" x14ac:dyDescent="0.25">
      <c r="A2923">
        <v>2922</v>
      </c>
      <c r="B2923">
        <v>20</v>
      </c>
      <c r="C2923" t="s">
        <v>16</v>
      </c>
      <c r="D2923" t="s">
        <v>69</v>
      </c>
      <c r="E2923" t="s">
        <v>29</v>
      </c>
      <c r="F2923" s="2">
        <v>24</v>
      </c>
      <c r="G2923" t="s">
        <v>59</v>
      </c>
      <c r="H2923" t="s">
        <v>31</v>
      </c>
      <c r="I2923" t="s">
        <v>128</v>
      </c>
      <c r="J2923" t="s">
        <v>47</v>
      </c>
      <c r="K2923">
        <v>4.5999999999999996</v>
      </c>
      <c r="L2923" t="s">
        <v>23</v>
      </c>
      <c r="M2923" t="s">
        <v>24</v>
      </c>
      <c r="N2923" t="s">
        <v>23</v>
      </c>
      <c r="O2923">
        <v>11</v>
      </c>
      <c r="P2923" t="s">
        <v>25</v>
      </c>
      <c r="Q2923" t="s">
        <v>89</v>
      </c>
      <c r="R2923" s="1">
        <v>0.1</v>
      </c>
      <c r="S2923">
        <f t="shared" si="180"/>
        <v>21.6</v>
      </c>
      <c r="T2923">
        <f>IFERROR(VLOOKUP(A2923,Table1[[Customer ID]:[Discount Amount]], 6, FALSE),"Not Found")</f>
        <v>24</v>
      </c>
      <c r="U2923" t="str">
        <f t="shared" si="181"/>
        <v>Cash</v>
      </c>
      <c r="V2923" s="4" t="str">
        <f t="shared" si="182"/>
        <v>Normal</v>
      </c>
      <c r="W2923" s="4" t="str">
        <f t="shared" si="183"/>
        <v>Good</v>
      </c>
      <c r="X2923" s="4">
        <f>AVERAGE(Table1[Purchase Amount])</f>
        <v>129.48419400000012</v>
      </c>
    </row>
    <row r="2924" spans="1:24" ht="15" customHeight="1" x14ac:dyDescent="0.25">
      <c r="A2924">
        <v>2923</v>
      </c>
      <c r="B2924">
        <v>45</v>
      </c>
      <c r="C2924" t="s">
        <v>16</v>
      </c>
      <c r="D2924" t="s">
        <v>28</v>
      </c>
      <c r="E2924" t="s">
        <v>29</v>
      </c>
      <c r="F2924" s="2">
        <v>68</v>
      </c>
      <c r="G2924" t="s">
        <v>70</v>
      </c>
      <c r="H2924" t="s">
        <v>45</v>
      </c>
      <c r="I2924" t="s">
        <v>56</v>
      </c>
      <c r="J2924" t="s">
        <v>22</v>
      </c>
      <c r="K2924">
        <v>3.5</v>
      </c>
      <c r="L2924" t="s">
        <v>23</v>
      </c>
      <c r="M2924" t="s">
        <v>61</v>
      </c>
      <c r="N2924" t="s">
        <v>23</v>
      </c>
      <c r="O2924">
        <v>16</v>
      </c>
      <c r="P2924" t="s">
        <v>58</v>
      </c>
      <c r="Q2924" t="s">
        <v>37</v>
      </c>
      <c r="R2924" s="1">
        <v>0.1</v>
      </c>
      <c r="S2924">
        <f t="shared" si="180"/>
        <v>61.2</v>
      </c>
      <c r="T2924">
        <f>IFERROR(VLOOKUP(A2924,Table1[[Customer ID]:[Discount Amount]], 6, FALSE),"Not Found")</f>
        <v>68</v>
      </c>
      <c r="U2924" t="str">
        <f t="shared" si="181"/>
        <v>PayPal</v>
      </c>
      <c r="V2924" s="4" t="str">
        <f t="shared" si="182"/>
        <v>Normal</v>
      </c>
      <c r="W2924" s="4" t="str">
        <f t="shared" si="183"/>
        <v>Good</v>
      </c>
      <c r="X2924" s="4">
        <f>AVERAGE(Table1[Purchase Amount])</f>
        <v>129.48419400000012</v>
      </c>
    </row>
    <row r="2925" spans="1:24" ht="15" customHeight="1" x14ac:dyDescent="0.25">
      <c r="A2925">
        <v>2924</v>
      </c>
      <c r="B2925">
        <v>28</v>
      </c>
      <c r="C2925" t="s">
        <v>16</v>
      </c>
      <c r="D2925" t="s">
        <v>38</v>
      </c>
      <c r="E2925" t="s">
        <v>18</v>
      </c>
      <c r="F2925" s="2">
        <v>70</v>
      </c>
      <c r="G2925" t="s">
        <v>78</v>
      </c>
      <c r="H2925" t="s">
        <v>31</v>
      </c>
      <c r="I2925" t="s">
        <v>87</v>
      </c>
      <c r="J2925" t="s">
        <v>33</v>
      </c>
      <c r="K2925">
        <v>4.2</v>
      </c>
      <c r="L2925" t="s">
        <v>23</v>
      </c>
      <c r="M2925" t="s">
        <v>41</v>
      </c>
      <c r="N2925" t="s">
        <v>23</v>
      </c>
      <c r="O2925">
        <v>12</v>
      </c>
      <c r="P2925" t="s">
        <v>25</v>
      </c>
      <c r="Q2925" t="s">
        <v>37</v>
      </c>
      <c r="R2925" s="1">
        <v>0.1</v>
      </c>
      <c r="S2925">
        <f t="shared" si="180"/>
        <v>63</v>
      </c>
      <c r="T2925">
        <f>IFERROR(VLOOKUP(A2925,Table1[[Customer ID]:[Discount Amount]], 6, FALSE),"Not Found")</f>
        <v>70</v>
      </c>
      <c r="U2925" t="str">
        <f t="shared" si="181"/>
        <v>Cash</v>
      </c>
      <c r="V2925" s="4" t="str">
        <f t="shared" si="182"/>
        <v>Normal</v>
      </c>
      <c r="W2925" s="4" t="str">
        <f t="shared" si="183"/>
        <v>Good</v>
      </c>
      <c r="X2925" s="4">
        <f>AVERAGE(Table1[Purchase Amount])</f>
        <v>129.48419400000012</v>
      </c>
    </row>
    <row r="2926" spans="1:24" ht="15" customHeight="1" x14ac:dyDescent="0.25">
      <c r="A2926">
        <v>2925</v>
      </c>
      <c r="B2926">
        <v>47</v>
      </c>
      <c r="C2926" t="s">
        <v>16</v>
      </c>
      <c r="D2926" t="s">
        <v>38</v>
      </c>
      <c r="E2926" t="s">
        <v>18</v>
      </c>
      <c r="F2926" s="2">
        <v>64</v>
      </c>
      <c r="G2926" t="s">
        <v>159</v>
      </c>
      <c r="H2926" t="s">
        <v>45</v>
      </c>
      <c r="I2926" t="s">
        <v>91</v>
      </c>
      <c r="J2926" t="s">
        <v>22</v>
      </c>
      <c r="K2926">
        <v>3.7</v>
      </c>
      <c r="L2926" t="s">
        <v>23</v>
      </c>
      <c r="M2926" t="s">
        <v>35</v>
      </c>
      <c r="N2926" t="s">
        <v>23</v>
      </c>
      <c r="O2926">
        <v>37</v>
      </c>
      <c r="P2926" t="s">
        <v>36</v>
      </c>
      <c r="Q2926" t="s">
        <v>63</v>
      </c>
      <c r="R2926" s="1">
        <v>0.1</v>
      </c>
      <c r="S2926">
        <f t="shared" si="180"/>
        <v>57.6</v>
      </c>
      <c r="T2926">
        <f>IFERROR(VLOOKUP(A2926,Table1[[Customer ID]:[Discount Amount]], 6, FALSE),"Not Found")</f>
        <v>64</v>
      </c>
      <c r="U2926" t="str">
        <f t="shared" si="181"/>
        <v>Debit Card</v>
      </c>
      <c r="V2926" s="4" t="str">
        <f t="shared" si="182"/>
        <v>Normal</v>
      </c>
      <c r="W2926" s="4" t="str">
        <f t="shared" si="183"/>
        <v>Good</v>
      </c>
      <c r="X2926" s="4">
        <f>AVERAGE(Table1[Purchase Amount])</f>
        <v>129.48419400000012</v>
      </c>
    </row>
    <row r="2927" spans="1:24" ht="15" customHeight="1" x14ac:dyDescent="0.25">
      <c r="A2927">
        <v>2926</v>
      </c>
      <c r="B2927">
        <v>54</v>
      </c>
      <c r="C2927" t="s">
        <v>16</v>
      </c>
      <c r="D2927" t="s">
        <v>127</v>
      </c>
      <c r="E2927" t="s">
        <v>18</v>
      </c>
      <c r="F2927" s="2">
        <v>91</v>
      </c>
      <c r="G2927" t="s">
        <v>44</v>
      </c>
      <c r="H2927" t="s">
        <v>31</v>
      </c>
      <c r="I2927" t="s">
        <v>125</v>
      </c>
      <c r="J2927" t="s">
        <v>33</v>
      </c>
      <c r="K2927">
        <v>2.8</v>
      </c>
      <c r="L2927" t="s">
        <v>23</v>
      </c>
      <c r="M2927" t="s">
        <v>48</v>
      </c>
      <c r="N2927" t="s">
        <v>23</v>
      </c>
      <c r="O2927">
        <v>43</v>
      </c>
      <c r="P2927" t="s">
        <v>53</v>
      </c>
      <c r="Q2927" t="s">
        <v>63</v>
      </c>
      <c r="R2927" s="1">
        <v>0.1</v>
      </c>
      <c r="S2927">
        <f t="shared" si="180"/>
        <v>81.900000000000006</v>
      </c>
      <c r="T2927">
        <f>IFERROR(VLOOKUP(A2927,Table1[[Customer ID]:[Discount Amount]], 6, FALSE),"Not Found")</f>
        <v>91</v>
      </c>
      <c r="U2927" t="str">
        <f t="shared" si="181"/>
        <v>Credit Card</v>
      </c>
      <c r="V2927" s="4" t="str">
        <f t="shared" si="182"/>
        <v>Normal</v>
      </c>
      <c r="W2927" s="4" t="str">
        <f t="shared" si="183"/>
        <v>Poor</v>
      </c>
      <c r="X2927" s="4">
        <f>AVERAGE(Table1[Purchase Amount])</f>
        <v>129.48419400000012</v>
      </c>
    </row>
    <row r="2928" spans="1:24" ht="15" customHeight="1" x14ac:dyDescent="0.25">
      <c r="A2928">
        <v>2927</v>
      </c>
      <c r="B2928">
        <v>64</v>
      </c>
      <c r="C2928" t="s">
        <v>16</v>
      </c>
      <c r="D2928" t="s">
        <v>69</v>
      </c>
      <c r="E2928" t="s">
        <v>29</v>
      </c>
      <c r="F2928" s="2">
        <v>82</v>
      </c>
      <c r="G2928" t="s">
        <v>106</v>
      </c>
      <c r="H2928" t="s">
        <v>31</v>
      </c>
      <c r="I2928" t="s">
        <v>85</v>
      </c>
      <c r="J2928" t="s">
        <v>22</v>
      </c>
      <c r="K2928">
        <v>4.8</v>
      </c>
      <c r="L2928" t="s">
        <v>23</v>
      </c>
      <c r="M2928" t="s">
        <v>41</v>
      </c>
      <c r="N2928" t="s">
        <v>23</v>
      </c>
      <c r="O2928">
        <v>9</v>
      </c>
      <c r="P2928" t="s">
        <v>25</v>
      </c>
      <c r="Q2928" t="s">
        <v>26</v>
      </c>
      <c r="R2928" s="1">
        <v>0.1</v>
      </c>
      <c r="S2928">
        <f t="shared" si="180"/>
        <v>73.8</v>
      </c>
      <c r="T2928">
        <f>IFERROR(VLOOKUP(A2928,Table1[[Customer ID]:[Discount Amount]], 6, FALSE),"Not Found")</f>
        <v>82</v>
      </c>
      <c r="U2928" t="str">
        <f t="shared" si="181"/>
        <v>Cash</v>
      </c>
      <c r="V2928" s="4" t="str">
        <f t="shared" si="182"/>
        <v>Normal</v>
      </c>
      <c r="W2928" s="4" t="str">
        <f t="shared" si="183"/>
        <v>Good</v>
      </c>
      <c r="X2928" s="4">
        <f>AVERAGE(Table1[Purchase Amount])</f>
        <v>129.48419400000012</v>
      </c>
    </row>
    <row r="2929" spans="1:24" ht="15" customHeight="1" x14ac:dyDescent="0.25">
      <c r="A2929">
        <v>2928</v>
      </c>
      <c r="B2929">
        <v>45</v>
      </c>
      <c r="C2929" t="s">
        <v>16</v>
      </c>
      <c r="D2929" t="s">
        <v>38</v>
      </c>
      <c r="E2929" t="s">
        <v>18</v>
      </c>
      <c r="F2929" s="2">
        <v>24</v>
      </c>
      <c r="G2929" t="s">
        <v>146</v>
      </c>
      <c r="H2929" t="s">
        <v>31</v>
      </c>
      <c r="I2929" t="s">
        <v>40</v>
      </c>
      <c r="J2929" t="s">
        <v>57</v>
      </c>
      <c r="K2929">
        <v>2.7</v>
      </c>
      <c r="L2929" t="s">
        <v>23</v>
      </c>
      <c r="M2929" t="s">
        <v>61</v>
      </c>
      <c r="N2929" t="s">
        <v>23</v>
      </c>
      <c r="O2929">
        <v>15</v>
      </c>
      <c r="P2929" t="s">
        <v>62</v>
      </c>
      <c r="Q2929" t="s">
        <v>68</v>
      </c>
      <c r="R2929" s="1">
        <v>0.1</v>
      </c>
      <c r="S2929">
        <f t="shared" si="180"/>
        <v>21.6</v>
      </c>
      <c r="T2929">
        <f>IFERROR(VLOOKUP(A2929,Table1[[Customer ID]:[Discount Amount]], 6, FALSE),"Not Found")</f>
        <v>24</v>
      </c>
      <c r="U2929" t="str">
        <f t="shared" si="181"/>
        <v>Venmo</v>
      </c>
      <c r="V2929" s="4" t="str">
        <f t="shared" si="182"/>
        <v>Normal</v>
      </c>
      <c r="W2929" s="4" t="str">
        <f t="shared" si="183"/>
        <v>Poor</v>
      </c>
      <c r="X2929" s="4">
        <f>AVERAGE(Table1[Purchase Amount])</f>
        <v>129.48419400000012</v>
      </c>
    </row>
    <row r="2930" spans="1:24" ht="15" customHeight="1" x14ac:dyDescent="0.25">
      <c r="A2930">
        <v>2929</v>
      </c>
      <c r="B2930">
        <v>40</v>
      </c>
      <c r="C2930" t="s">
        <v>16</v>
      </c>
      <c r="D2930" t="s">
        <v>50</v>
      </c>
      <c r="E2930" t="s">
        <v>29</v>
      </c>
      <c r="F2930" s="2">
        <v>80</v>
      </c>
      <c r="G2930" t="s">
        <v>51</v>
      </c>
      <c r="H2930" t="s">
        <v>45</v>
      </c>
      <c r="I2930" t="s">
        <v>52</v>
      </c>
      <c r="J2930" t="s">
        <v>33</v>
      </c>
      <c r="K2930">
        <v>3.6</v>
      </c>
      <c r="L2930" t="s">
        <v>23</v>
      </c>
      <c r="M2930" t="s">
        <v>48</v>
      </c>
      <c r="N2930" t="s">
        <v>23</v>
      </c>
      <c r="O2930">
        <v>17</v>
      </c>
      <c r="P2930" t="s">
        <v>53</v>
      </c>
      <c r="Q2930" t="s">
        <v>26</v>
      </c>
      <c r="R2930" s="1">
        <v>0.1</v>
      </c>
      <c r="S2930">
        <f t="shared" si="180"/>
        <v>72</v>
      </c>
      <c r="T2930">
        <f>IFERROR(VLOOKUP(A2930,Table1[[Customer ID]:[Discount Amount]], 6, FALSE),"Not Found")</f>
        <v>80</v>
      </c>
      <c r="U2930" t="str">
        <f t="shared" si="181"/>
        <v>Credit Card</v>
      </c>
      <c r="V2930" s="4" t="str">
        <f t="shared" si="182"/>
        <v>Normal</v>
      </c>
      <c r="W2930" s="4" t="str">
        <f t="shared" si="183"/>
        <v>Good</v>
      </c>
      <c r="X2930" s="4">
        <f>AVERAGE(Table1[Purchase Amount])</f>
        <v>129.48419400000012</v>
      </c>
    </row>
    <row r="2931" spans="1:24" ht="15" customHeight="1" x14ac:dyDescent="0.25">
      <c r="A2931">
        <v>2930</v>
      </c>
      <c r="B2931">
        <v>31</v>
      </c>
      <c r="C2931" t="s">
        <v>16</v>
      </c>
      <c r="D2931" t="s">
        <v>105</v>
      </c>
      <c r="E2931" t="s">
        <v>18</v>
      </c>
      <c r="F2931" s="2">
        <v>53</v>
      </c>
      <c r="G2931" t="s">
        <v>94</v>
      </c>
      <c r="H2931" t="s">
        <v>20</v>
      </c>
      <c r="I2931" t="s">
        <v>32</v>
      </c>
      <c r="J2931" t="s">
        <v>22</v>
      </c>
      <c r="K2931">
        <v>4.5</v>
      </c>
      <c r="L2931" t="s">
        <v>23</v>
      </c>
      <c r="M2931" t="s">
        <v>79</v>
      </c>
      <c r="N2931" t="s">
        <v>23</v>
      </c>
      <c r="O2931">
        <v>42</v>
      </c>
      <c r="P2931" t="s">
        <v>62</v>
      </c>
      <c r="Q2931" t="s">
        <v>89</v>
      </c>
      <c r="R2931" s="1">
        <v>0.1</v>
      </c>
      <c r="S2931">
        <f t="shared" si="180"/>
        <v>47.7</v>
      </c>
      <c r="T2931">
        <f>IFERROR(VLOOKUP(A2931,Table1[[Customer ID]:[Discount Amount]], 6, FALSE),"Not Found")</f>
        <v>53</v>
      </c>
      <c r="U2931" t="str">
        <f t="shared" si="181"/>
        <v>Venmo</v>
      </c>
      <c r="V2931" s="4" t="str">
        <f t="shared" si="182"/>
        <v>Normal</v>
      </c>
      <c r="W2931" s="4" t="str">
        <f t="shared" si="183"/>
        <v>Good</v>
      </c>
      <c r="X2931" s="4">
        <f>AVERAGE(Table1[Purchase Amount])</f>
        <v>129.48419400000012</v>
      </c>
    </row>
    <row r="2932" spans="1:24" ht="15" customHeight="1" x14ac:dyDescent="0.25">
      <c r="A2932">
        <v>2931</v>
      </c>
      <c r="B2932">
        <v>38</v>
      </c>
      <c r="C2932" t="s">
        <v>16</v>
      </c>
      <c r="D2932" t="s">
        <v>17</v>
      </c>
      <c r="E2932" t="s">
        <v>18</v>
      </c>
      <c r="F2932" s="2">
        <v>50</v>
      </c>
      <c r="G2932" t="s">
        <v>149</v>
      </c>
      <c r="H2932" t="s">
        <v>31</v>
      </c>
      <c r="I2932" t="s">
        <v>108</v>
      </c>
      <c r="J2932" t="s">
        <v>33</v>
      </c>
      <c r="K2932">
        <v>4</v>
      </c>
      <c r="L2932" t="s">
        <v>23</v>
      </c>
      <c r="M2932" t="s">
        <v>35</v>
      </c>
      <c r="N2932" t="s">
        <v>23</v>
      </c>
      <c r="O2932">
        <v>14</v>
      </c>
      <c r="P2932" t="s">
        <v>62</v>
      </c>
      <c r="Q2932" t="s">
        <v>42</v>
      </c>
      <c r="R2932" s="1">
        <v>0.1</v>
      </c>
      <c r="S2932">
        <f t="shared" si="180"/>
        <v>45</v>
      </c>
      <c r="T2932">
        <f>IFERROR(VLOOKUP(A2932,Table1[[Customer ID]:[Discount Amount]], 6, FALSE),"Not Found")</f>
        <v>50</v>
      </c>
      <c r="U2932" t="str">
        <f t="shared" si="181"/>
        <v>Venmo</v>
      </c>
      <c r="V2932" s="4" t="str">
        <f t="shared" si="182"/>
        <v>Normal</v>
      </c>
      <c r="W2932" s="4" t="str">
        <f t="shared" si="183"/>
        <v>Good</v>
      </c>
      <c r="X2932" s="4">
        <f>AVERAGE(Table1[Purchase Amount])</f>
        <v>129.48419400000012</v>
      </c>
    </row>
    <row r="2933" spans="1:24" ht="15" customHeight="1" x14ac:dyDescent="0.25">
      <c r="A2933">
        <v>2932</v>
      </c>
      <c r="B2933">
        <v>36</v>
      </c>
      <c r="C2933" t="s">
        <v>16</v>
      </c>
      <c r="D2933" t="s">
        <v>50</v>
      </c>
      <c r="E2933" t="s">
        <v>29</v>
      </c>
      <c r="F2933" s="2">
        <v>31</v>
      </c>
      <c r="G2933" t="s">
        <v>51</v>
      </c>
      <c r="H2933" t="s">
        <v>31</v>
      </c>
      <c r="I2933" t="s">
        <v>87</v>
      </c>
      <c r="J2933" t="s">
        <v>47</v>
      </c>
      <c r="K2933">
        <v>4.5</v>
      </c>
      <c r="L2933" t="s">
        <v>23</v>
      </c>
      <c r="M2933" t="s">
        <v>41</v>
      </c>
      <c r="N2933" t="s">
        <v>23</v>
      </c>
      <c r="O2933">
        <v>49</v>
      </c>
      <c r="P2933" t="s">
        <v>53</v>
      </c>
      <c r="Q2933" t="s">
        <v>68</v>
      </c>
      <c r="R2933" s="1">
        <v>0.1</v>
      </c>
      <c r="S2933">
        <f t="shared" si="180"/>
        <v>27.9</v>
      </c>
      <c r="T2933">
        <f>IFERROR(VLOOKUP(A2933,Table1[[Customer ID]:[Discount Amount]], 6, FALSE),"Not Found")</f>
        <v>31</v>
      </c>
      <c r="U2933" t="str">
        <f t="shared" si="181"/>
        <v>Credit Card</v>
      </c>
      <c r="V2933" s="4" t="str">
        <f t="shared" si="182"/>
        <v>Normal</v>
      </c>
      <c r="W2933" s="4" t="str">
        <f t="shared" si="183"/>
        <v>Good</v>
      </c>
      <c r="X2933" s="4">
        <f>AVERAGE(Table1[Purchase Amount])</f>
        <v>129.48419400000012</v>
      </c>
    </row>
    <row r="2934" spans="1:24" ht="15" customHeight="1" x14ac:dyDescent="0.25">
      <c r="A2934">
        <v>2933</v>
      </c>
      <c r="B2934">
        <v>65</v>
      </c>
      <c r="C2934" t="s">
        <v>16</v>
      </c>
      <c r="D2934" t="s">
        <v>104</v>
      </c>
      <c r="E2934" t="s">
        <v>29</v>
      </c>
      <c r="F2934" s="2">
        <v>88</v>
      </c>
      <c r="G2934" t="s">
        <v>148</v>
      </c>
      <c r="H2934" t="s">
        <v>45</v>
      </c>
      <c r="I2934" t="s">
        <v>40</v>
      </c>
      <c r="J2934" t="s">
        <v>33</v>
      </c>
      <c r="K2934">
        <v>3.9</v>
      </c>
      <c r="L2934" t="s">
        <v>23</v>
      </c>
      <c r="M2934" t="s">
        <v>61</v>
      </c>
      <c r="N2934" t="s">
        <v>23</v>
      </c>
      <c r="O2934">
        <v>3</v>
      </c>
      <c r="P2934" t="s">
        <v>58</v>
      </c>
      <c r="Q2934" t="s">
        <v>37</v>
      </c>
      <c r="R2934" s="1">
        <v>0.1</v>
      </c>
      <c r="S2934">
        <f t="shared" si="180"/>
        <v>79.2</v>
      </c>
      <c r="T2934">
        <f>IFERROR(VLOOKUP(A2934,Table1[[Customer ID]:[Discount Amount]], 6, FALSE),"Not Found")</f>
        <v>88</v>
      </c>
      <c r="U2934" t="str">
        <f t="shared" si="181"/>
        <v>PayPal</v>
      </c>
      <c r="V2934" s="4" t="str">
        <f t="shared" si="182"/>
        <v>Normal</v>
      </c>
      <c r="W2934" s="4" t="str">
        <f t="shared" si="183"/>
        <v>Good</v>
      </c>
      <c r="X2934" s="4">
        <f>AVERAGE(Table1[Purchase Amount])</f>
        <v>129.48419400000012</v>
      </c>
    </row>
    <row r="2935" spans="1:24" ht="15" customHeight="1" x14ac:dyDescent="0.25">
      <c r="A2935">
        <v>2934</v>
      </c>
      <c r="B2935">
        <v>27</v>
      </c>
      <c r="C2935" t="s">
        <v>16</v>
      </c>
      <c r="D2935" t="s">
        <v>64</v>
      </c>
      <c r="E2935" t="s">
        <v>29</v>
      </c>
      <c r="F2935" s="2">
        <v>52</v>
      </c>
      <c r="G2935" t="s">
        <v>44</v>
      </c>
      <c r="H2935" t="s">
        <v>31</v>
      </c>
      <c r="I2935" t="s">
        <v>60</v>
      </c>
      <c r="J2935" t="s">
        <v>57</v>
      </c>
      <c r="K2935">
        <v>3.8</v>
      </c>
      <c r="L2935" t="s">
        <v>23</v>
      </c>
      <c r="M2935" t="s">
        <v>24</v>
      </c>
      <c r="N2935" t="s">
        <v>23</v>
      </c>
      <c r="O2935">
        <v>28</v>
      </c>
      <c r="P2935" t="s">
        <v>62</v>
      </c>
      <c r="Q2935" t="s">
        <v>42</v>
      </c>
      <c r="R2935" s="1">
        <v>0.1</v>
      </c>
      <c r="S2935">
        <f t="shared" si="180"/>
        <v>46.8</v>
      </c>
      <c r="T2935">
        <f>IFERROR(VLOOKUP(A2935,Table1[[Customer ID]:[Discount Amount]], 6, FALSE),"Not Found")</f>
        <v>52</v>
      </c>
      <c r="U2935" t="str">
        <f t="shared" si="181"/>
        <v>Venmo</v>
      </c>
      <c r="V2935" s="4" t="str">
        <f t="shared" si="182"/>
        <v>Normal</v>
      </c>
      <c r="W2935" s="4" t="str">
        <f t="shared" si="183"/>
        <v>Good</v>
      </c>
      <c r="X2935" s="4">
        <f>AVERAGE(Table1[Purchase Amount])</f>
        <v>129.48419400000012</v>
      </c>
    </row>
    <row r="2936" spans="1:24" ht="15" customHeight="1" x14ac:dyDescent="0.25">
      <c r="A2936">
        <v>2935</v>
      </c>
      <c r="B2936">
        <v>38</v>
      </c>
      <c r="C2936" t="s">
        <v>16</v>
      </c>
      <c r="D2936" t="s">
        <v>43</v>
      </c>
      <c r="E2936" t="s">
        <v>29</v>
      </c>
      <c r="F2936" s="2">
        <v>22</v>
      </c>
      <c r="G2936" t="s">
        <v>161</v>
      </c>
      <c r="H2936" t="s">
        <v>31</v>
      </c>
      <c r="I2936" t="s">
        <v>108</v>
      </c>
      <c r="J2936" t="s">
        <v>47</v>
      </c>
      <c r="K2936">
        <v>4.7</v>
      </c>
      <c r="L2936" t="s">
        <v>23</v>
      </c>
      <c r="M2936" t="s">
        <v>79</v>
      </c>
      <c r="N2936" t="s">
        <v>23</v>
      </c>
      <c r="O2936">
        <v>41</v>
      </c>
      <c r="P2936" t="s">
        <v>88</v>
      </c>
      <c r="Q2936" t="s">
        <v>37</v>
      </c>
      <c r="R2936" s="1">
        <v>0.1</v>
      </c>
      <c r="S2936">
        <f t="shared" si="180"/>
        <v>19.8</v>
      </c>
      <c r="T2936">
        <f>IFERROR(VLOOKUP(A2936,Table1[[Customer ID]:[Discount Amount]], 6, FALSE),"Not Found")</f>
        <v>22</v>
      </c>
      <c r="U2936" t="str">
        <f t="shared" si="181"/>
        <v>Bank Transfer</v>
      </c>
      <c r="V2936" s="4" t="str">
        <f t="shared" si="182"/>
        <v>Normal</v>
      </c>
      <c r="W2936" s="4" t="str">
        <f t="shared" si="183"/>
        <v>Good</v>
      </c>
      <c r="X2936" s="4">
        <f>AVERAGE(Table1[Purchase Amount])</f>
        <v>129.48419400000012</v>
      </c>
    </row>
    <row r="2937" spans="1:24" ht="15" customHeight="1" x14ac:dyDescent="0.25">
      <c r="A2937">
        <v>2936</v>
      </c>
      <c r="B2937">
        <v>58</v>
      </c>
      <c r="C2937" t="s">
        <v>16</v>
      </c>
      <c r="D2937" t="s">
        <v>140</v>
      </c>
      <c r="E2937" t="s">
        <v>98</v>
      </c>
      <c r="F2937" s="2">
        <v>27</v>
      </c>
      <c r="G2937" t="s">
        <v>134</v>
      </c>
      <c r="H2937" t="s">
        <v>20</v>
      </c>
      <c r="I2937" t="s">
        <v>85</v>
      </c>
      <c r="J2937" t="s">
        <v>33</v>
      </c>
      <c r="K2937">
        <v>4.5999999999999996</v>
      </c>
      <c r="L2937" t="s">
        <v>23</v>
      </c>
      <c r="M2937" t="s">
        <v>24</v>
      </c>
      <c r="N2937" t="s">
        <v>23</v>
      </c>
      <c r="O2937">
        <v>11</v>
      </c>
      <c r="P2937" t="s">
        <v>62</v>
      </c>
      <c r="Q2937" t="s">
        <v>26</v>
      </c>
      <c r="R2937" s="1">
        <v>0.1</v>
      </c>
      <c r="S2937">
        <f t="shared" si="180"/>
        <v>24.3</v>
      </c>
      <c r="T2937">
        <f>IFERROR(VLOOKUP(A2937,Table1[[Customer ID]:[Discount Amount]], 6, FALSE),"Not Found")</f>
        <v>27</v>
      </c>
      <c r="U2937" t="str">
        <f t="shared" si="181"/>
        <v>Venmo</v>
      </c>
      <c r="V2937" s="4" t="str">
        <f t="shared" si="182"/>
        <v>Normal</v>
      </c>
      <c r="W2937" s="4" t="str">
        <f t="shared" si="183"/>
        <v>Good</v>
      </c>
      <c r="X2937" s="4">
        <f>AVERAGE(Table1[Purchase Amount])</f>
        <v>129.48419400000012</v>
      </c>
    </row>
    <row r="2938" spans="1:24" ht="15" customHeight="1" x14ac:dyDescent="0.25">
      <c r="A2938">
        <v>2937</v>
      </c>
      <c r="B2938">
        <v>31</v>
      </c>
      <c r="C2938" t="s">
        <v>16</v>
      </c>
      <c r="D2938" t="s">
        <v>122</v>
      </c>
      <c r="E2938" t="s">
        <v>18</v>
      </c>
      <c r="F2938" s="2">
        <v>34</v>
      </c>
      <c r="G2938" t="s">
        <v>155</v>
      </c>
      <c r="H2938" t="s">
        <v>31</v>
      </c>
      <c r="I2938" t="s">
        <v>32</v>
      </c>
      <c r="J2938" t="s">
        <v>33</v>
      </c>
      <c r="K2938">
        <v>3.6</v>
      </c>
      <c r="L2938" t="s">
        <v>23</v>
      </c>
      <c r="M2938" t="s">
        <v>61</v>
      </c>
      <c r="N2938" t="s">
        <v>23</v>
      </c>
      <c r="O2938">
        <v>46</v>
      </c>
      <c r="P2938" t="s">
        <v>58</v>
      </c>
      <c r="Q2938" t="s">
        <v>26</v>
      </c>
      <c r="R2938" s="1">
        <v>0.1</v>
      </c>
      <c r="S2938">
        <f t="shared" si="180"/>
        <v>30.6</v>
      </c>
      <c r="T2938">
        <f>IFERROR(VLOOKUP(A2938,Table1[[Customer ID]:[Discount Amount]], 6, FALSE),"Not Found")</f>
        <v>34</v>
      </c>
      <c r="U2938" t="str">
        <f t="shared" si="181"/>
        <v>PayPal</v>
      </c>
      <c r="V2938" s="4" t="str">
        <f t="shared" si="182"/>
        <v>Normal</v>
      </c>
      <c r="W2938" s="4" t="str">
        <f t="shared" si="183"/>
        <v>Good</v>
      </c>
      <c r="X2938" s="4">
        <f>AVERAGE(Table1[Purchase Amount])</f>
        <v>129.48419400000012</v>
      </c>
    </row>
    <row r="2939" spans="1:24" ht="15" customHeight="1" x14ac:dyDescent="0.25">
      <c r="A2939">
        <v>2938</v>
      </c>
      <c r="B2939">
        <v>28</v>
      </c>
      <c r="C2939" t="s">
        <v>16</v>
      </c>
      <c r="D2939" t="s">
        <v>69</v>
      </c>
      <c r="E2939" t="s">
        <v>29</v>
      </c>
      <c r="F2939" s="2">
        <v>39</v>
      </c>
      <c r="G2939" t="s">
        <v>154</v>
      </c>
      <c r="H2939" t="s">
        <v>31</v>
      </c>
      <c r="I2939" t="s">
        <v>32</v>
      </c>
      <c r="J2939" t="s">
        <v>33</v>
      </c>
      <c r="K2939">
        <v>4.3</v>
      </c>
      <c r="L2939" t="s">
        <v>23</v>
      </c>
      <c r="M2939" t="s">
        <v>41</v>
      </c>
      <c r="N2939" t="s">
        <v>23</v>
      </c>
      <c r="O2939">
        <v>15</v>
      </c>
      <c r="P2939" t="s">
        <v>53</v>
      </c>
      <c r="Q2939" t="s">
        <v>26</v>
      </c>
      <c r="R2939" s="1">
        <v>0.1</v>
      </c>
      <c r="S2939">
        <f t="shared" si="180"/>
        <v>35.1</v>
      </c>
      <c r="T2939">
        <f>IFERROR(VLOOKUP(A2939,Table1[[Customer ID]:[Discount Amount]], 6, FALSE),"Not Found")</f>
        <v>39</v>
      </c>
      <c r="U2939" t="str">
        <f t="shared" si="181"/>
        <v>Credit Card</v>
      </c>
      <c r="V2939" s="4" t="str">
        <f t="shared" si="182"/>
        <v>Normal</v>
      </c>
      <c r="W2939" s="4" t="str">
        <f t="shared" si="183"/>
        <v>Good</v>
      </c>
      <c r="X2939" s="4">
        <f>AVERAGE(Table1[Purchase Amount])</f>
        <v>129.48419400000012</v>
      </c>
    </row>
    <row r="2940" spans="1:24" ht="15" customHeight="1" x14ac:dyDescent="0.25">
      <c r="A2940">
        <v>2939</v>
      </c>
      <c r="B2940">
        <v>28</v>
      </c>
      <c r="C2940" t="s">
        <v>16</v>
      </c>
      <c r="D2940" t="s">
        <v>28</v>
      </c>
      <c r="E2940" t="s">
        <v>29</v>
      </c>
      <c r="F2940" s="2">
        <v>53</v>
      </c>
      <c r="G2940" t="s">
        <v>94</v>
      </c>
      <c r="H2940" t="s">
        <v>31</v>
      </c>
      <c r="I2940" t="s">
        <v>111</v>
      </c>
      <c r="J2940" t="s">
        <v>47</v>
      </c>
      <c r="K2940">
        <v>3</v>
      </c>
      <c r="L2940" t="s">
        <v>23</v>
      </c>
      <c r="M2940" t="s">
        <v>24</v>
      </c>
      <c r="N2940" t="s">
        <v>23</v>
      </c>
      <c r="O2940">
        <v>15</v>
      </c>
      <c r="P2940" t="s">
        <v>25</v>
      </c>
      <c r="Q2940" t="s">
        <v>42</v>
      </c>
      <c r="R2940" s="1">
        <v>0.1</v>
      </c>
      <c r="S2940">
        <f t="shared" si="180"/>
        <v>47.7</v>
      </c>
      <c r="T2940">
        <f>IFERROR(VLOOKUP(A2940,Table1[[Customer ID]:[Discount Amount]], 6, FALSE),"Not Found")</f>
        <v>53</v>
      </c>
      <c r="U2940" t="str">
        <f t="shared" si="181"/>
        <v>Cash</v>
      </c>
      <c r="V2940" s="4" t="str">
        <f t="shared" si="182"/>
        <v>Normal</v>
      </c>
      <c r="W2940" s="4" t="str">
        <f t="shared" si="183"/>
        <v>Good</v>
      </c>
      <c r="X2940" s="4">
        <f>AVERAGE(Table1[Purchase Amount])</f>
        <v>129.48419400000012</v>
      </c>
    </row>
    <row r="2941" spans="1:24" ht="15" customHeight="1" x14ac:dyDescent="0.25">
      <c r="A2941">
        <v>2940</v>
      </c>
      <c r="B2941">
        <v>32</v>
      </c>
      <c r="C2941" t="s">
        <v>16</v>
      </c>
      <c r="D2941" t="s">
        <v>127</v>
      </c>
      <c r="E2941" t="s">
        <v>18</v>
      </c>
      <c r="F2941" s="2">
        <v>46</v>
      </c>
      <c r="G2941" t="s">
        <v>70</v>
      </c>
      <c r="H2941" t="s">
        <v>31</v>
      </c>
      <c r="I2941" t="s">
        <v>56</v>
      </c>
      <c r="J2941" t="s">
        <v>22</v>
      </c>
      <c r="K2941">
        <v>4.3</v>
      </c>
      <c r="L2941" t="s">
        <v>23</v>
      </c>
      <c r="M2941" t="s">
        <v>61</v>
      </c>
      <c r="N2941" t="s">
        <v>23</v>
      </c>
      <c r="O2941">
        <v>34</v>
      </c>
      <c r="P2941" t="s">
        <v>62</v>
      </c>
      <c r="Q2941" t="s">
        <v>26</v>
      </c>
      <c r="R2941" s="1">
        <v>0.1</v>
      </c>
      <c r="S2941">
        <f t="shared" si="180"/>
        <v>41.4</v>
      </c>
      <c r="T2941">
        <f>IFERROR(VLOOKUP(A2941,Table1[[Customer ID]:[Discount Amount]], 6, FALSE),"Not Found")</f>
        <v>46</v>
      </c>
      <c r="U2941" t="str">
        <f t="shared" si="181"/>
        <v>Venmo</v>
      </c>
      <c r="V2941" s="4" t="str">
        <f t="shared" si="182"/>
        <v>Normal</v>
      </c>
      <c r="W2941" s="4" t="str">
        <f t="shared" si="183"/>
        <v>Good</v>
      </c>
      <c r="X2941" s="4">
        <f>AVERAGE(Table1[Purchase Amount])</f>
        <v>129.48419400000012</v>
      </c>
    </row>
    <row r="2942" spans="1:24" ht="15" customHeight="1" x14ac:dyDescent="0.25">
      <c r="A2942">
        <v>2941</v>
      </c>
      <c r="B2942">
        <v>61</v>
      </c>
      <c r="C2942" t="s">
        <v>16</v>
      </c>
      <c r="D2942" t="s">
        <v>69</v>
      </c>
      <c r="E2942" t="s">
        <v>29</v>
      </c>
      <c r="F2942" s="2">
        <v>85</v>
      </c>
      <c r="G2942" t="s">
        <v>97</v>
      </c>
      <c r="H2942" t="s">
        <v>45</v>
      </c>
      <c r="I2942" t="s">
        <v>56</v>
      </c>
      <c r="J2942" t="s">
        <v>57</v>
      </c>
      <c r="K2942">
        <v>4.8</v>
      </c>
      <c r="L2942" t="s">
        <v>23</v>
      </c>
      <c r="M2942" t="s">
        <v>79</v>
      </c>
      <c r="N2942" t="s">
        <v>23</v>
      </c>
      <c r="O2942">
        <v>13</v>
      </c>
      <c r="P2942" t="s">
        <v>25</v>
      </c>
      <c r="Q2942" t="s">
        <v>42</v>
      </c>
      <c r="R2942" s="1">
        <v>0.1</v>
      </c>
      <c r="S2942">
        <f t="shared" si="180"/>
        <v>76.5</v>
      </c>
      <c r="T2942">
        <f>IFERROR(VLOOKUP(A2942,Table1[[Customer ID]:[Discount Amount]], 6, FALSE),"Not Found")</f>
        <v>85</v>
      </c>
      <c r="U2942" t="str">
        <f t="shared" si="181"/>
        <v>Cash</v>
      </c>
      <c r="V2942" s="4" t="str">
        <f t="shared" si="182"/>
        <v>Normal</v>
      </c>
      <c r="W2942" s="4" t="str">
        <f t="shared" si="183"/>
        <v>Good</v>
      </c>
      <c r="X2942" s="4">
        <f>AVERAGE(Table1[Purchase Amount])</f>
        <v>129.48419400000012</v>
      </c>
    </row>
    <row r="2943" spans="1:24" ht="15" customHeight="1" x14ac:dyDescent="0.25">
      <c r="A2943">
        <v>2942</v>
      </c>
      <c r="B2943">
        <v>38</v>
      </c>
      <c r="C2943" t="s">
        <v>16</v>
      </c>
      <c r="D2943" t="s">
        <v>122</v>
      </c>
      <c r="E2943" t="s">
        <v>18</v>
      </c>
      <c r="F2943" s="2">
        <v>86</v>
      </c>
      <c r="G2943" t="s">
        <v>78</v>
      </c>
      <c r="H2943" t="s">
        <v>45</v>
      </c>
      <c r="I2943" t="s">
        <v>66</v>
      </c>
      <c r="J2943" t="s">
        <v>33</v>
      </c>
      <c r="K2943">
        <v>3.7</v>
      </c>
      <c r="L2943" t="s">
        <v>23</v>
      </c>
      <c r="M2943" t="s">
        <v>35</v>
      </c>
      <c r="N2943" t="s">
        <v>23</v>
      </c>
      <c r="O2943">
        <v>27</v>
      </c>
      <c r="P2943" t="s">
        <v>58</v>
      </c>
      <c r="Q2943" t="s">
        <v>42</v>
      </c>
      <c r="R2943" s="1">
        <v>0.1</v>
      </c>
      <c r="S2943">
        <f t="shared" si="180"/>
        <v>77.400000000000006</v>
      </c>
      <c r="T2943">
        <f>IFERROR(VLOOKUP(A2943,Table1[[Customer ID]:[Discount Amount]], 6, FALSE),"Not Found")</f>
        <v>86</v>
      </c>
      <c r="U2943" t="str">
        <f t="shared" si="181"/>
        <v>PayPal</v>
      </c>
      <c r="V2943" s="4" t="str">
        <f t="shared" si="182"/>
        <v>Normal</v>
      </c>
      <c r="W2943" s="4" t="str">
        <f t="shared" si="183"/>
        <v>Good</v>
      </c>
      <c r="X2943" s="4">
        <f>AVERAGE(Table1[Purchase Amount])</f>
        <v>129.48419400000012</v>
      </c>
    </row>
    <row r="2944" spans="1:24" ht="15" customHeight="1" x14ac:dyDescent="0.25">
      <c r="A2944">
        <v>2943</v>
      </c>
      <c r="B2944">
        <v>54</v>
      </c>
      <c r="C2944" t="s">
        <v>16</v>
      </c>
      <c r="D2944" t="s">
        <v>105</v>
      </c>
      <c r="E2944" t="s">
        <v>18</v>
      </c>
      <c r="F2944" s="2">
        <v>63</v>
      </c>
      <c r="G2944" t="s">
        <v>135</v>
      </c>
      <c r="H2944" t="s">
        <v>31</v>
      </c>
      <c r="I2944" t="s">
        <v>60</v>
      </c>
      <c r="J2944" t="s">
        <v>57</v>
      </c>
      <c r="K2944">
        <v>2.6</v>
      </c>
      <c r="L2944" t="s">
        <v>23</v>
      </c>
      <c r="M2944" t="s">
        <v>35</v>
      </c>
      <c r="N2944" t="s">
        <v>23</v>
      </c>
      <c r="O2944">
        <v>37</v>
      </c>
      <c r="P2944" t="s">
        <v>88</v>
      </c>
      <c r="Q2944" t="s">
        <v>26</v>
      </c>
      <c r="R2944" s="1">
        <v>0.1</v>
      </c>
      <c r="S2944">
        <f t="shared" si="180"/>
        <v>56.7</v>
      </c>
      <c r="T2944">
        <f>IFERROR(VLOOKUP(A2944,Table1[[Customer ID]:[Discount Amount]], 6, FALSE),"Not Found")</f>
        <v>63</v>
      </c>
      <c r="U2944" t="str">
        <f t="shared" si="181"/>
        <v>Bank Transfer</v>
      </c>
      <c r="V2944" s="4" t="str">
        <f t="shared" si="182"/>
        <v>Normal</v>
      </c>
      <c r="W2944" s="4" t="str">
        <f t="shared" si="183"/>
        <v>Poor</v>
      </c>
      <c r="X2944" s="4">
        <f>AVERAGE(Table1[Purchase Amount])</f>
        <v>129.48419400000012</v>
      </c>
    </row>
    <row r="2945" spans="1:24" ht="15" customHeight="1" x14ac:dyDescent="0.25">
      <c r="A2945">
        <v>2944</v>
      </c>
      <c r="B2945">
        <v>29</v>
      </c>
      <c r="C2945" t="s">
        <v>16</v>
      </c>
      <c r="D2945" t="s">
        <v>38</v>
      </c>
      <c r="E2945" t="s">
        <v>18</v>
      </c>
      <c r="F2945" s="2">
        <v>44</v>
      </c>
      <c r="G2945" t="s">
        <v>138</v>
      </c>
      <c r="H2945" t="s">
        <v>31</v>
      </c>
      <c r="I2945" t="s">
        <v>108</v>
      </c>
      <c r="J2945" t="s">
        <v>33</v>
      </c>
      <c r="K2945">
        <v>3.4</v>
      </c>
      <c r="L2945" t="s">
        <v>23</v>
      </c>
      <c r="M2945" t="s">
        <v>24</v>
      </c>
      <c r="N2945" t="s">
        <v>23</v>
      </c>
      <c r="O2945">
        <v>37</v>
      </c>
      <c r="P2945" t="s">
        <v>53</v>
      </c>
      <c r="Q2945" t="s">
        <v>42</v>
      </c>
      <c r="R2945" s="1">
        <v>0.1</v>
      </c>
      <c r="S2945">
        <f t="shared" si="180"/>
        <v>39.6</v>
      </c>
      <c r="T2945">
        <f>IFERROR(VLOOKUP(A2945,Table1[[Customer ID]:[Discount Amount]], 6, FALSE),"Not Found")</f>
        <v>44</v>
      </c>
      <c r="U2945" t="str">
        <f t="shared" si="181"/>
        <v>Credit Card</v>
      </c>
      <c r="V2945" s="4" t="str">
        <f t="shared" si="182"/>
        <v>Normal</v>
      </c>
      <c r="W2945" s="4" t="str">
        <f t="shared" si="183"/>
        <v>Good</v>
      </c>
      <c r="X2945" s="4">
        <f>AVERAGE(Table1[Purchase Amount])</f>
        <v>129.48419400000012</v>
      </c>
    </row>
    <row r="2946" spans="1:24" ht="15" customHeight="1" x14ac:dyDescent="0.25">
      <c r="A2946">
        <v>2945</v>
      </c>
      <c r="B2946">
        <v>50</v>
      </c>
      <c r="C2946" t="s">
        <v>16</v>
      </c>
      <c r="D2946" t="s">
        <v>140</v>
      </c>
      <c r="E2946" t="s">
        <v>98</v>
      </c>
      <c r="F2946" s="2">
        <v>95</v>
      </c>
      <c r="G2946" t="s">
        <v>101</v>
      </c>
      <c r="H2946" t="s">
        <v>20</v>
      </c>
      <c r="I2946" t="s">
        <v>128</v>
      </c>
      <c r="J2946" t="s">
        <v>57</v>
      </c>
      <c r="K2946">
        <v>3.9</v>
      </c>
      <c r="L2946" t="s">
        <v>23</v>
      </c>
      <c r="M2946" t="s">
        <v>35</v>
      </c>
      <c r="N2946" t="s">
        <v>23</v>
      </c>
      <c r="O2946">
        <v>4</v>
      </c>
      <c r="P2946" t="s">
        <v>62</v>
      </c>
      <c r="Q2946" t="s">
        <v>63</v>
      </c>
      <c r="R2946" s="1">
        <v>0.1</v>
      </c>
      <c r="S2946">
        <f t="shared" ref="S2946:S3009" si="184">F2946-(F2946*R2946)</f>
        <v>85.5</v>
      </c>
      <c r="T2946">
        <f>IFERROR(VLOOKUP(A2946,Table1[[Customer ID]:[Discount Amount]], 6, FALSE),"Not Found")</f>
        <v>95</v>
      </c>
      <c r="U2946" t="str">
        <f t="shared" ref="U2946:U3009" si="185">INDEX(P:P, MATCH(A2946, A:A, 0))</f>
        <v>Venmo</v>
      </c>
      <c r="V2946" s="4" t="str">
        <f t="shared" ref="V2946:V3009" si="186">IF(AND(F2946&gt;1000,K2946&gt;=4),"Best Customer","Normal")</f>
        <v>Normal</v>
      </c>
      <c r="W2946" s="4" t="str">
        <f t="shared" ref="W2946:W3009" si="187">IF(K2946&gt;=3,"Good","Poor")</f>
        <v>Good</v>
      </c>
      <c r="X2946" s="4">
        <f>AVERAGE(Table1[Purchase Amount])</f>
        <v>129.48419400000012</v>
      </c>
    </row>
    <row r="2947" spans="1:24" ht="15" customHeight="1" x14ac:dyDescent="0.25">
      <c r="A2947">
        <v>2946</v>
      </c>
      <c r="B2947">
        <v>32</v>
      </c>
      <c r="C2947" t="s">
        <v>16</v>
      </c>
      <c r="D2947" t="s">
        <v>114</v>
      </c>
      <c r="E2947" t="s">
        <v>29</v>
      </c>
      <c r="F2947" s="2">
        <v>49</v>
      </c>
      <c r="G2947" t="s">
        <v>143</v>
      </c>
      <c r="H2947" t="s">
        <v>31</v>
      </c>
      <c r="I2947" t="s">
        <v>103</v>
      </c>
      <c r="J2947" t="s">
        <v>57</v>
      </c>
      <c r="K2947">
        <v>4.8</v>
      </c>
      <c r="L2947" t="s">
        <v>23</v>
      </c>
      <c r="M2947" t="s">
        <v>35</v>
      </c>
      <c r="N2947" t="s">
        <v>23</v>
      </c>
      <c r="O2947">
        <v>1</v>
      </c>
      <c r="P2947" t="s">
        <v>53</v>
      </c>
      <c r="Q2947" t="s">
        <v>63</v>
      </c>
      <c r="R2947" s="1">
        <v>0.1</v>
      </c>
      <c r="S2947">
        <f t="shared" si="184"/>
        <v>44.1</v>
      </c>
      <c r="T2947">
        <f>IFERROR(VLOOKUP(A2947,Table1[[Customer ID]:[Discount Amount]], 6, FALSE),"Not Found")</f>
        <v>49</v>
      </c>
      <c r="U2947" t="str">
        <f t="shared" si="185"/>
        <v>Credit Card</v>
      </c>
      <c r="V2947" s="4" t="str">
        <f t="shared" si="186"/>
        <v>Normal</v>
      </c>
      <c r="W2947" s="4" t="str">
        <f t="shared" si="187"/>
        <v>Good</v>
      </c>
      <c r="X2947" s="4">
        <f>AVERAGE(Table1[Purchase Amount])</f>
        <v>129.48419400000012</v>
      </c>
    </row>
    <row r="2948" spans="1:24" ht="15" customHeight="1" x14ac:dyDescent="0.25">
      <c r="A2948">
        <v>2947</v>
      </c>
      <c r="B2948">
        <v>38</v>
      </c>
      <c r="C2948" t="s">
        <v>16</v>
      </c>
      <c r="D2948" t="s">
        <v>99</v>
      </c>
      <c r="E2948" t="s">
        <v>18</v>
      </c>
      <c r="F2948" s="2">
        <v>77</v>
      </c>
      <c r="G2948" t="s">
        <v>135</v>
      </c>
      <c r="H2948" t="s">
        <v>45</v>
      </c>
      <c r="I2948" t="s">
        <v>66</v>
      </c>
      <c r="J2948" t="s">
        <v>33</v>
      </c>
      <c r="K2948">
        <v>2.8</v>
      </c>
      <c r="L2948" t="s">
        <v>23</v>
      </c>
      <c r="M2948" t="s">
        <v>35</v>
      </c>
      <c r="N2948" t="s">
        <v>23</v>
      </c>
      <c r="O2948">
        <v>29</v>
      </c>
      <c r="P2948" t="s">
        <v>88</v>
      </c>
      <c r="Q2948" t="s">
        <v>37</v>
      </c>
      <c r="R2948" s="1">
        <v>0.1</v>
      </c>
      <c r="S2948">
        <f t="shared" si="184"/>
        <v>69.3</v>
      </c>
      <c r="T2948">
        <f>IFERROR(VLOOKUP(A2948,Table1[[Customer ID]:[Discount Amount]], 6, FALSE),"Not Found")</f>
        <v>77</v>
      </c>
      <c r="U2948" t="str">
        <f t="shared" si="185"/>
        <v>Bank Transfer</v>
      </c>
      <c r="V2948" s="4" t="str">
        <f t="shared" si="186"/>
        <v>Normal</v>
      </c>
      <c r="W2948" s="4" t="str">
        <f t="shared" si="187"/>
        <v>Poor</v>
      </c>
      <c r="X2948" s="4">
        <f>AVERAGE(Table1[Purchase Amount])</f>
        <v>129.48419400000012</v>
      </c>
    </row>
    <row r="2949" spans="1:24" ht="15" customHeight="1" x14ac:dyDescent="0.25">
      <c r="A2949">
        <v>2948</v>
      </c>
      <c r="B2949">
        <v>52</v>
      </c>
      <c r="C2949" t="s">
        <v>16</v>
      </c>
      <c r="D2949" t="s">
        <v>50</v>
      </c>
      <c r="E2949" t="s">
        <v>29</v>
      </c>
      <c r="F2949" s="2">
        <v>63</v>
      </c>
      <c r="G2949" t="s">
        <v>137</v>
      </c>
      <c r="H2949" t="s">
        <v>45</v>
      </c>
      <c r="I2949" t="s">
        <v>145</v>
      </c>
      <c r="J2949" t="s">
        <v>33</v>
      </c>
      <c r="K2949">
        <v>4.4000000000000004</v>
      </c>
      <c r="L2949" t="s">
        <v>23</v>
      </c>
      <c r="M2949" t="s">
        <v>24</v>
      </c>
      <c r="N2949" t="s">
        <v>23</v>
      </c>
      <c r="O2949">
        <v>50</v>
      </c>
      <c r="P2949" t="s">
        <v>62</v>
      </c>
      <c r="Q2949" t="s">
        <v>49</v>
      </c>
      <c r="R2949" s="1">
        <v>0.1</v>
      </c>
      <c r="S2949">
        <f t="shared" si="184"/>
        <v>56.7</v>
      </c>
      <c r="T2949">
        <f>IFERROR(VLOOKUP(A2949,Table1[[Customer ID]:[Discount Amount]], 6, FALSE),"Not Found")</f>
        <v>63</v>
      </c>
      <c r="U2949" t="str">
        <f t="shared" si="185"/>
        <v>Venmo</v>
      </c>
      <c r="V2949" s="4" t="str">
        <f t="shared" si="186"/>
        <v>Normal</v>
      </c>
      <c r="W2949" s="4" t="str">
        <f t="shared" si="187"/>
        <v>Good</v>
      </c>
      <c r="X2949" s="4">
        <f>AVERAGE(Table1[Purchase Amount])</f>
        <v>129.48419400000012</v>
      </c>
    </row>
    <row r="2950" spans="1:24" ht="15" customHeight="1" x14ac:dyDescent="0.25">
      <c r="A2950">
        <v>2949</v>
      </c>
      <c r="B2950">
        <v>61</v>
      </c>
      <c r="C2950" t="s">
        <v>16</v>
      </c>
      <c r="D2950" t="s">
        <v>99</v>
      </c>
      <c r="E2950" t="s">
        <v>18</v>
      </c>
      <c r="F2950" s="2">
        <v>83</v>
      </c>
      <c r="G2950" t="s">
        <v>84</v>
      </c>
      <c r="H2950" t="s">
        <v>31</v>
      </c>
      <c r="I2950" t="s">
        <v>111</v>
      </c>
      <c r="J2950" t="s">
        <v>22</v>
      </c>
      <c r="K2950">
        <v>3.1</v>
      </c>
      <c r="L2950" t="s">
        <v>23</v>
      </c>
      <c r="M2950" t="s">
        <v>24</v>
      </c>
      <c r="N2950" t="s">
        <v>23</v>
      </c>
      <c r="O2950">
        <v>38</v>
      </c>
      <c r="P2950" t="s">
        <v>36</v>
      </c>
      <c r="Q2950" t="s">
        <v>68</v>
      </c>
      <c r="R2950" s="1">
        <v>0.1</v>
      </c>
      <c r="S2950">
        <f t="shared" si="184"/>
        <v>74.7</v>
      </c>
      <c r="T2950">
        <f>IFERROR(VLOOKUP(A2950,Table1[[Customer ID]:[Discount Amount]], 6, FALSE),"Not Found")</f>
        <v>83</v>
      </c>
      <c r="U2950" t="str">
        <f t="shared" si="185"/>
        <v>Debit Card</v>
      </c>
      <c r="V2950" s="4" t="str">
        <f t="shared" si="186"/>
        <v>Normal</v>
      </c>
      <c r="W2950" s="4" t="str">
        <f t="shared" si="187"/>
        <v>Good</v>
      </c>
      <c r="X2950" s="4">
        <f>AVERAGE(Table1[Purchase Amount])</f>
        <v>129.48419400000012</v>
      </c>
    </row>
    <row r="2951" spans="1:24" ht="15" customHeight="1" x14ac:dyDescent="0.25">
      <c r="A2951">
        <v>2950</v>
      </c>
      <c r="B2951">
        <v>25</v>
      </c>
      <c r="C2951" t="s">
        <v>16</v>
      </c>
      <c r="D2951" t="s">
        <v>50</v>
      </c>
      <c r="E2951" t="s">
        <v>29</v>
      </c>
      <c r="F2951" s="2">
        <v>93</v>
      </c>
      <c r="G2951" t="s">
        <v>141</v>
      </c>
      <c r="H2951" t="s">
        <v>31</v>
      </c>
      <c r="I2951" t="s">
        <v>145</v>
      </c>
      <c r="J2951" t="s">
        <v>33</v>
      </c>
      <c r="K2951">
        <v>3.8</v>
      </c>
      <c r="L2951" t="s">
        <v>23</v>
      </c>
      <c r="M2951" t="s">
        <v>48</v>
      </c>
      <c r="N2951" t="s">
        <v>23</v>
      </c>
      <c r="O2951">
        <v>15</v>
      </c>
      <c r="P2951" t="s">
        <v>58</v>
      </c>
      <c r="Q2951" t="s">
        <v>49</v>
      </c>
      <c r="R2951" s="1">
        <v>0.1</v>
      </c>
      <c r="S2951">
        <f t="shared" si="184"/>
        <v>83.7</v>
      </c>
      <c r="T2951">
        <f>IFERROR(VLOOKUP(A2951,Table1[[Customer ID]:[Discount Amount]], 6, FALSE),"Not Found")</f>
        <v>93</v>
      </c>
      <c r="U2951" t="str">
        <f t="shared" si="185"/>
        <v>PayPal</v>
      </c>
      <c r="V2951" s="4" t="str">
        <f t="shared" si="186"/>
        <v>Normal</v>
      </c>
      <c r="W2951" s="4" t="str">
        <f t="shared" si="187"/>
        <v>Good</v>
      </c>
      <c r="X2951" s="4">
        <f>AVERAGE(Table1[Purchase Amount])</f>
        <v>129.48419400000012</v>
      </c>
    </row>
    <row r="2952" spans="1:24" ht="15" customHeight="1" x14ac:dyDescent="0.25">
      <c r="A2952">
        <v>2951</v>
      </c>
      <c r="B2952">
        <v>22</v>
      </c>
      <c r="C2952" t="s">
        <v>16</v>
      </c>
      <c r="D2952" t="s">
        <v>109</v>
      </c>
      <c r="E2952" t="s">
        <v>18</v>
      </c>
      <c r="F2952" s="2">
        <v>91</v>
      </c>
      <c r="G2952" t="s">
        <v>141</v>
      </c>
      <c r="H2952" t="s">
        <v>55</v>
      </c>
      <c r="I2952" t="s">
        <v>125</v>
      </c>
      <c r="J2952" t="s">
        <v>22</v>
      </c>
      <c r="K2952">
        <v>4.0999999999999996</v>
      </c>
      <c r="L2952" t="s">
        <v>23</v>
      </c>
      <c r="M2952" t="s">
        <v>41</v>
      </c>
      <c r="N2952" t="s">
        <v>23</v>
      </c>
      <c r="O2952">
        <v>44</v>
      </c>
      <c r="P2952" t="s">
        <v>36</v>
      </c>
      <c r="Q2952" t="s">
        <v>63</v>
      </c>
      <c r="R2952" s="1">
        <v>0.1</v>
      </c>
      <c r="S2952">
        <f t="shared" si="184"/>
        <v>81.900000000000006</v>
      </c>
      <c r="T2952">
        <f>IFERROR(VLOOKUP(A2952,Table1[[Customer ID]:[Discount Amount]], 6, FALSE),"Not Found")</f>
        <v>91</v>
      </c>
      <c r="U2952" t="str">
        <f t="shared" si="185"/>
        <v>Debit Card</v>
      </c>
      <c r="V2952" s="4" t="str">
        <f t="shared" si="186"/>
        <v>Normal</v>
      </c>
      <c r="W2952" s="4" t="str">
        <f t="shared" si="187"/>
        <v>Good</v>
      </c>
      <c r="X2952" s="4">
        <f>AVERAGE(Table1[Purchase Amount])</f>
        <v>129.48419400000012</v>
      </c>
    </row>
    <row r="2953" spans="1:24" ht="15" customHeight="1" x14ac:dyDescent="0.25">
      <c r="A2953">
        <v>2952</v>
      </c>
      <c r="B2953">
        <v>47</v>
      </c>
      <c r="C2953" t="s">
        <v>16</v>
      </c>
      <c r="D2953" t="s">
        <v>129</v>
      </c>
      <c r="E2953" t="s">
        <v>29</v>
      </c>
      <c r="F2953" s="2">
        <v>99</v>
      </c>
      <c r="G2953" t="s">
        <v>100</v>
      </c>
      <c r="H2953" t="s">
        <v>45</v>
      </c>
      <c r="I2953" t="s">
        <v>125</v>
      </c>
      <c r="J2953" t="s">
        <v>47</v>
      </c>
      <c r="K2953">
        <v>4.5999999999999996</v>
      </c>
      <c r="L2953" t="s">
        <v>23</v>
      </c>
      <c r="M2953" t="s">
        <v>35</v>
      </c>
      <c r="N2953" t="s">
        <v>23</v>
      </c>
      <c r="O2953">
        <v>14</v>
      </c>
      <c r="P2953" t="s">
        <v>25</v>
      </c>
      <c r="Q2953" t="s">
        <v>26</v>
      </c>
      <c r="R2953" s="1">
        <v>0.1</v>
      </c>
      <c r="S2953">
        <f t="shared" si="184"/>
        <v>89.1</v>
      </c>
      <c r="T2953">
        <f>IFERROR(VLOOKUP(A2953,Table1[[Customer ID]:[Discount Amount]], 6, FALSE),"Not Found")</f>
        <v>99</v>
      </c>
      <c r="U2953" t="str">
        <f t="shared" si="185"/>
        <v>Cash</v>
      </c>
      <c r="V2953" s="4" t="str">
        <f t="shared" si="186"/>
        <v>Normal</v>
      </c>
      <c r="W2953" s="4" t="str">
        <f t="shared" si="187"/>
        <v>Good</v>
      </c>
      <c r="X2953" s="4">
        <f>AVERAGE(Table1[Purchase Amount])</f>
        <v>129.48419400000012</v>
      </c>
    </row>
    <row r="2954" spans="1:24" ht="15" customHeight="1" x14ac:dyDescent="0.25">
      <c r="A2954">
        <v>2953</v>
      </c>
      <c r="B2954">
        <v>50</v>
      </c>
      <c r="C2954" t="s">
        <v>16</v>
      </c>
      <c r="D2954" t="s">
        <v>114</v>
      </c>
      <c r="E2954" t="s">
        <v>29</v>
      </c>
      <c r="F2954" s="2">
        <v>24</v>
      </c>
      <c r="G2954" t="s">
        <v>51</v>
      </c>
      <c r="H2954" t="s">
        <v>31</v>
      </c>
      <c r="I2954" t="s">
        <v>145</v>
      </c>
      <c r="J2954" t="s">
        <v>33</v>
      </c>
      <c r="K2954">
        <v>4.9000000000000004</v>
      </c>
      <c r="L2954" t="s">
        <v>23</v>
      </c>
      <c r="M2954" t="s">
        <v>79</v>
      </c>
      <c r="N2954" t="s">
        <v>23</v>
      </c>
      <c r="O2954">
        <v>5</v>
      </c>
      <c r="P2954" t="s">
        <v>36</v>
      </c>
      <c r="Q2954" t="s">
        <v>42</v>
      </c>
      <c r="R2954" s="1">
        <v>0.1</v>
      </c>
      <c r="S2954">
        <f t="shared" si="184"/>
        <v>21.6</v>
      </c>
      <c r="T2954">
        <f>IFERROR(VLOOKUP(A2954,Table1[[Customer ID]:[Discount Amount]], 6, FALSE),"Not Found")</f>
        <v>24</v>
      </c>
      <c r="U2954" t="str">
        <f t="shared" si="185"/>
        <v>Debit Card</v>
      </c>
      <c r="V2954" s="4" t="str">
        <f t="shared" si="186"/>
        <v>Normal</v>
      </c>
      <c r="W2954" s="4" t="str">
        <f t="shared" si="187"/>
        <v>Good</v>
      </c>
      <c r="X2954" s="4">
        <f>AVERAGE(Table1[Purchase Amount])</f>
        <v>129.48419400000012</v>
      </c>
    </row>
    <row r="2955" spans="1:24" ht="15" customHeight="1" x14ac:dyDescent="0.25">
      <c r="A2955">
        <v>2954</v>
      </c>
      <c r="B2955">
        <v>45</v>
      </c>
      <c r="C2955" t="s">
        <v>16</v>
      </c>
      <c r="D2955" t="s">
        <v>157</v>
      </c>
      <c r="E2955" t="s">
        <v>18</v>
      </c>
      <c r="F2955" s="2">
        <v>82</v>
      </c>
      <c r="G2955" t="s">
        <v>106</v>
      </c>
      <c r="H2955" t="s">
        <v>31</v>
      </c>
      <c r="I2955" t="s">
        <v>153</v>
      </c>
      <c r="J2955" t="s">
        <v>57</v>
      </c>
      <c r="K2955">
        <v>4.8</v>
      </c>
      <c r="L2955" t="s">
        <v>23</v>
      </c>
      <c r="M2955" t="s">
        <v>79</v>
      </c>
      <c r="N2955" t="s">
        <v>23</v>
      </c>
      <c r="O2955">
        <v>11</v>
      </c>
      <c r="P2955" t="s">
        <v>53</v>
      </c>
      <c r="Q2955" t="s">
        <v>49</v>
      </c>
      <c r="R2955" s="1">
        <v>0.1</v>
      </c>
      <c r="S2955">
        <f t="shared" si="184"/>
        <v>73.8</v>
      </c>
      <c r="T2955">
        <f>IFERROR(VLOOKUP(A2955,Table1[[Customer ID]:[Discount Amount]], 6, FALSE),"Not Found")</f>
        <v>82</v>
      </c>
      <c r="U2955" t="str">
        <f t="shared" si="185"/>
        <v>Credit Card</v>
      </c>
      <c r="V2955" s="4" t="str">
        <f t="shared" si="186"/>
        <v>Normal</v>
      </c>
      <c r="W2955" s="4" t="str">
        <f t="shared" si="187"/>
        <v>Good</v>
      </c>
      <c r="X2955" s="4">
        <f>AVERAGE(Table1[Purchase Amount])</f>
        <v>129.48419400000012</v>
      </c>
    </row>
    <row r="2956" spans="1:24" ht="15" customHeight="1" x14ac:dyDescent="0.25">
      <c r="A2956">
        <v>2955</v>
      </c>
      <c r="B2956">
        <v>33</v>
      </c>
      <c r="C2956" t="s">
        <v>16</v>
      </c>
      <c r="D2956" t="s">
        <v>17</v>
      </c>
      <c r="E2956" t="s">
        <v>18</v>
      </c>
      <c r="F2956" s="2">
        <v>28</v>
      </c>
      <c r="G2956" t="s">
        <v>130</v>
      </c>
      <c r="H2956" t="s">
        <v>31</v>
      </c>
      <c r="I2956" t="s">
        <v>91</v>
      </c>
      <c r="J2956" t="s">
        <v>22</v>
      </c>
      <c r="K2956">
        <v>3.9</v>
      </c>
      <c r="L2956" t="s">
        <v>23</v>
      </c>
      <c r="M2956" t="s">
        <v>61</v>
      </c>
      <c r="N2956" t="s">
        <v>23</v>
      </c>
      <c r="O2956">
        <v>15</v>
      </c>
      <c r="P2956" t="s">
        <v>53</v>
      </c>
      <c r="Q2956" t="s">
        <v>49</v>
      </c>
      <c r="R2956" s="1">
        <v>0.1</v>
      </c>
      <c r="S2956">
        <f t="shared" si="184"/>
        <v>25.2</v>
      </c>
      <c r="T2956">
        <f>IFERROR(VLOOKUP(A2956,Table1[[Customer ID]:[Discount Amount]], 6, FALSE),"Not Found")</f>
        <v>28</v>
      </c>
      <c r="U2956" t="str">
        <f t="shared" si="185"/>
        <v>Credit Card</v>
      </c>
      <c r="V2956" s="4" t="str">
        <f t="shared" si="186"/>
        <v>Normal</v>
      </c>
      <c r="W2956" s="4" t="str">
        <f t="shared" si="187"/>
        <v>Good</v>
      </c>
      <c r="X2956" s="4">
        <f>AVERAGE(Table1[Purchase Amount])</f>
        <v>129.48419400000012</v>
      </c>
    </row>
    <row r="2957" spans="1:24" ht="15" customHeight="1" x14ac:dyDescent="0.25">
      <c r="A2957">
        <v>2956</v>
      </c>
      <c r="B2957">
        <v>42</v>
      </c>
      <c r="C2957" t="s">
        <v>16</v>
      </c>
      <c r="D2957" t="s">
        <v>151</v>
      </c>
      <c r="E2957" t="s">
        <v>98</v>
      </c>
      <c r="F2957" s="2">
        <v>67</v>
      </c>
      <c r="G2957" t="s">
        <v>84</v>
      </c>
      <c r="H2957" t="s">
        <v>31</v>
      </c>
      <c r="I2957" t="s">
        <v>153</v>
      </c>
      <c r="J2957" t="s">
        <v>22</v>
      </c>
      <c r="K2957">
        <v>2.6</v>
      </c>
      <c r="L2957" t="s">
        <v>23</v>
      </c>
      <c r="M2957" t="s">
        <v>35</v>
      </c>
      <c r="N2957" t="s">
        <v>23</v>
      </c>
      <c r="O2957">
        <v>46</v>
      </c>
      <c r="P2957" t="s">
        <v>53</v>
      </c>
      <c r="Q2957" t="s">
        <v>49</v>
      </c>
      <c r="R2957" s="1">
        <v>0.1</v>
      </c>
      <c r="S2957">
        <f t="shared" si="184"/>
        <v>60.3</v>
      </c>
      <c r="T2957">
        <f>IFERROR(VLOOKUP(A2957,Table1[[Customer ID]:[Discount Amount]], 6, FALSE),"Not Found")</f>
        <v>67</v>
      </c>
      <c r="U2957" t="str">
        <f t="shared" si="185"/>
        <v>Credit Card</v>
      </c>
      <c r="V2957" s="4" t="str">
        <f t="shared" si="186"/>
        <v>Normal</v>
      </c>
      <c r="W2957" s="4" t="str">
        <f t="shared" si="187"/>
        <v>Poor</v>
      </c>
      <c r="X2957" s="4">
        <f>AVERAGE(Table1[Purchase Amount])</f>
        <v>129.48419400000012</v>
      </c>
    </row>
    <row r="2958" spans="1:24" ht="15" customHeight="1" x14ac:dyDescent="0.25">
      <c r="A2958">
        <v>2957</v>
      </c>
      <c r="B2958">
        <v>52</v>
      </c>
      <c r="C2958" t="s">
        <v>16</v>
      </c>
      <c r="D2958" t="s">
        <v>157</v>
      </c>
      <c r="E2958" t="s">
        <v>18</v>
      </c>
      <c r="F2958" s="2">
        <v>88</v>
      </c>
      <c r="G2958" t="s">
        <v>39</v>
      </c>
      <c r="H2958" t="s">
        <v>31</v>
      </c>
      <c r="I2958" t="s">
        <v>21</v>
      </c>
      <c r="J2958" t="s">
        <v>47</v>
      </c>
      <c r="K2958">
        <v>3.7</v>
      </c>
      <c r="L2958" t="s">
        <v>23</v>
      </c>
      <c r="M2958" t="s">
        <v>24</v>
      </c>
      <c r="N2958" t="s">
        <v>23</v>
      </c>
      <c r="O2958">
        <v>30</v>
      </c>
      <c r="P2958" t="s">
        <v>62</v>
      </c>
      <c r="Q2958" t="s">
        <v>42</v>
      </c>
      <c r="R2958" s="1">
        <v>0.1</v>
      </c>
      <c r="S2958">
        <f t="shared" si="184"/>
        <v>79.2</v>
      </c>
      <c r="T2958">
        <f>IFERROR(VLOOKUP(A2958,Table1[[Customer ID]:[Discount Amount]], 6, FALSE),"Not Found")</f>
        <v>88</v>
      </c>
      <c r="U2958" t="str">
        <f t="shared" si="185"/>
        <v>Venmo</v>
      </c>
      <c r="V2958" s="4" t="str">
        <f t="shared" si="186"/>
        <v>Normal</v>
      </c>
      <c r="W2958" s="4" t="str">
        <f t="shared" si="187"/>
        <v>Good</v>
      </c>
      <c r="X2958" s="4">
        <f>AVERAGE(Table1[Purchase Amount])</f>
        <v>129.48419400000012</v>
      </c>
    </row>
    <row r="2959" spans="1:24" ht="15" customHeight="1" x14ac:dyDescent="0.25">
      <c r="A2959">
        <v>2958</v>
      </c>
      <c r="B2959">
        <v>69</v>
      </c>
      <c r="C2959" t="s">
        <v>16</v>
      </c>
      <c r="D2959" t="s">
        <v>50</v>
      </c>
      <c r="E2959" t="s">
        <v>29</v>
      </c>
      <c r="F2959" s="2">
        <v>70</v>
      </c>
      <c r="G2959" t="s">
        <v>130</v>
      </c>
      <c r="H2959" t="s">
        <v>55</v>
      </c>
      <c r="I2959" t="s">
        <v>85</v>
      </c>
      <c r="J2959" t="s">
        <v>47</v>
      </c>
      <c r="K2959">
        <v>4.7</v>
      </c>
      <c r="L2959" t="s">
        <v>23</v>
      </c>
      <c r="M2959" t="s">
        <v>24</v>
      </c>
      <c r="N2959" t="s">
        <v>23</v>
      </c>
      <c r="O2959">
        <v>2</v>
      </c>
      <c r="P2959" t="s">
        <v>25</v>
      </c>
      <c r="Q2959" t="s">
        <v>49</v>
      </c>
      <c r="R2959" s="1">
        <v>0.1</v>
      </c>
      <c r="S2959">
        <f t="shared" si="184"/>
        <v>63</v>
      </c>
      <c r="T2959">
        <f>IFERROR(VLOOKUP(A2959,Table1[[Customer ID]:[Discount Amount]], 6, FALSE),"Not Found")</f>
        <v>70</v>
      </c>
      <c r="U2959" t="str">
        <f t="shared" si="185"/>
        <v>Cash</v>
      </c>
      <c r="V2959" s="4" t="str">
        <f t="shared" si="186"/>
        <v>Normal</v>
      </c>
      <c r="W2959" s="4" t="str">
        <f t="shared" si="187"/>
        <v>Good</v>
      </c>
      <c r="X2959" s="4">
        <f>AVERAGE(Table1[Purchase Amount])</f>
        <v>129.48419400000012</v>
      </c>
    </row>
    <row r="2960" spans="1:24" ht="15" customHeight="1" x14ac:dyDescent="0.25">
      <c r="A2960">
        <v>2959</v>
      </c>
      <c r="B2960">
        <v>55</v>
      </c>
      <c r="C2960" t="s">
        <v>16</v>
      </c>
      <c r="D2960" t="s">
        <v>122</v>
      </c>
      <c r="E2960" t="s">
        <v>18</v>
      </c>
      <c r="F2960" s="2">
        <v>100</v>
      </c>
      <c r="G2960" t="s">
        <v>90</v>
      </c>
      <c r="H2960" t="s">
        <v>31</v>
      </c>
      <c r="I2960" t="s">
        <v>40</v>
      </c>
      <c r="J2960" t="s">
        <v>57</v>
      </c>
      <c r="K2960">
        <v>4.5</v>
      </c>
      <c r="L2960" t="s">
        <v>23</v>
      </c>
      <c r="M2960" t="s">
        <v>24</v>
      </c>
      <c r="N2960" t="s">
        <v>23</v>
      </c>
      <c r="O2960">
        <v>28</v>
      </c>
      <c r="P2960" t="s">
        <v>58</v>
      </c>
      <c r="Q2960" t="s">
        <v>42</v>
      </c>
      <c r="R2960" s="1">
        <v>0.1</v>
      </c>
      <c r="S2960">
        <f t="shared" si="184"/>
        <v>90</v>
      </c>
      <c r="T2960">
        <f>IFERROR(VLOOKUP(A2960,Table1[[Customer ID]:[Discount Amount]], 6, FALSE),"Not Found")</f>
        <v>100</v>
      </c>
      <c r="U2960" t="str">
        <f t="shared" si="185"/>
        <v>PayPal</v>
      </c>
      <c r="V2960" s="4" t="str">
        <f t="shared" si="186"/>
        <v>Normal</v>
      </c>
      <c r="W2960" s="4" t="str">
        <f t="shared" si="187"/>
        <v>Good</v>
      </c>
      <c r="X2960" s="4">
        <f>AVERAGE(Table1[Purchase Amount])</f>
        <v>129.48419400000012</v>
      </c>
    </row>
    <row r="2961" spans="1:24" ht="15" customHeight="1" x14ac:dyDescent="0.25">
      <c r="A2961">
        <v>2960</v>
      </c>
      <c r="B2961">
        <v>38</v>
      </c>
      <c r="C2961" t="s">
        <v>16</v>
      </c>
      <c r="D2961" t="s">
        <v>69</v>
      </c>
      <c r="E2961" t="s">
        <v>29</v>
      </c>
      <c r="F2961" s="2">
        <v>28</v>
      </c>
      <c r="G2961" t="s">
        <v>152</v>
      </c>
      <c r="H2961" t="s">
        <v>45</v>
      </c>
      <c r="I2961" t="s">
        <v>125</v>
      </c>
      <c r="J2961" t="s">
        <v>57</v>
      </c>
      <c r="K2961">
        <v>4.7</v>
      </c>
      <c r="L2961" t="s">
        <v>23</v>
      </c>
      <c r="M2961" t="s">
        <v>35</v>
      </c>
      <c r="N2961" t="s">
        <v>23</v>
      </c>
      <c r="O2961">
        <v>9</v>
      </c>
      <c r="P2961" t="s">
        <v>58</v>
      </c>
      <c r="Q2961" t="s">
        <v>37</v>
      </c>
      <c r="R2961" s="1">
        <v>0.1</v>
      </c>
      <c r="S2961">
        <f t="shared" si="184"/>
        <v>25.2</v>
      </c>
      <c r="T2961">
        <f>IFERROR(VLOOKUP(A2961,Table1[[Customer ID]:[Discount Amount]], 6, FALSE),"Not Found")</f>
        <v>28</v>
      </c>
      <c r="U2961" t="str">
        <f t="shared" si="185"/>
        <v>PayPal</v>
      </c>
      <c r="V2961" s="4" t="str">
        <f t="shared" si="186"/>
        <v>Normal</v>
      </c>
      <c r="W2961" s="4" t="str">
        <f t="shared" si="187"/>
        <v>Good</v>
      </c>
      <c r="X2961" s="4">
        <f>AVERAGE(Table1[Purchase Amount])</f>
        <v>129.48419400000012</v>
      </c>
    </row>
    <row r="2962" spans="1:24" ht="15" customHeight="1" x14ac:dyDescent="0.25">
      <c r="A2962">
        <v>2961</v>
      </c>
      <c r="B2962">
        <v>57</v>
      </c>
      <c r="C2962" t="s">
        <v>16</v>
      </c>
      <c r="D2962" t="s">
        <v>76</v>
      </c>
      <c r="E2962" t="s">
        <v>77</v>
      </c>
      <c r="F2962" s="2">
        <v>48</v>
      </c>
      <c r="G2962" t="s">
        <v>102</v>
      </c>
      <c r="H2962" t="s">
        <v>55</v>
      </c>
      <c r="I2962" t="s">
        <v>21</v>
      </c>
      <c r="J2962" t="s">
        <v>33</v>
      </c>
      <c r="K2962">
        <v>3.6</v>
      </c>
      <c r="L2962" t="s">
        <v>23</v>
      </c>
      <c r="M2962" t="s">
        <v>24</v>
      </c>
      <c r="N2962" t="s">
        <v>23</v>
      </c>
      <c r="O2962">
        <v>47</v>
      </c>
      <c r="P2962" t="s">
        <v>53</v>
      </c>
      <c r="Q2962" t="s">
        <v>26</v>
      </c>
      <c r="R2962" s="1">
        <v>0.1</v>
      </c>
      <c r="S2962">
        <f t="shared" si="184"/>
        <v>43.2</v>
      </c>
      <c r="T2962">
        <f>IFERROR(VLOOKUP(A2962,Table1[[Customer ID]:[Discount Amount]], 6, FALSE),"Not Found")</f>
        <v>48</v>
      </c>
      <c r="U2962" t="str">
        <f t="shared" si="185"/>
        <v>Credit Card</v>
      </c>
      <c r="V2962" s="4" t="str">
        <f t="shared" si="186"/>
        <v>Normal</v>
      </c>
      <c r="W2962" s="4" t="str">
        <f t="shared" si="187"/>
        <v>Good</v>
      </c>
      <c r="X2962" s="4">
        <f>AVERAGE(Table1[Purchase Amount])</f>
        <v>129.48419400000012</v>
      </c>
    </row>
    <row r="2963" spans="1:24" ht="15" customHeight="1" x14ac:dyDescent="0.25">
      <c r="A2963">
        <v>2962</v>
      </c>
      <c r="B2963">
        <v>33</v>
      </c>
      <c r="C2963" t="s">
        <v>16</v>
      </c>
      <c r="D2963" t="s">
        <v>83</v>
      </c>
      <c r="E2963" t="s">
        <v>18</v>
      </c>
      <c r="F2963" s="2">
        <v>43</v>
      </c>
      <c r="G2963" t="s">
        <v>132</v>
      </c>
      <c r="H2963" t="s">
        <v>55</v>
      </c>
      <c r="I2963" t="s">
        <v>133</v>
      </c>
      <c r="J2963" t="s">
        <v>47</v>
      </c>
      <c r="K2963">
        <v>2.8</v>
      </c>
      <c r="L2963" t="s">
        <v>23</v>
      </c>
      <c r="M2963" t="s">
        <v>35</v>
      </c>
      <c r="N2963" t="s">
        <v>23</v>
      </c>
      <c r="O2963">
        <v>21</v>
      </c>
      <c r="P2963" t="s">
        <v>36</v>
      </c>
      <c r="Q2963" t="s">
        <v>68</v>
      </c>
      <c r="R2963" s="1">
        <v>0.1</v>
      </c>
      <c r="S2963">
        <f t="shared" si="184"/>
        <v>38.700000000000003</v>
      </c>
      <c r="T2963">
        <f>IFERROR(VLOOKUP(A2963,Table1[[Customer ID]:[Discount Amount]], 6, FALSE),"Not Found")</f>
        <v>43</v>
      </c>
      <c r="U2963" t="str">
        <f t="shared" si="185"/>
        <v>Debit Card</v>
      </c>
      <c r="V2963" s="4" t="str">
        <f t="shared" si="186"/>
        <v>Normal</v>
      </c>
      <c r="W2963" s="4" t="str">
        <f t="shared" si="187"/>
        <v>Poor</v>
      </c>
      <c r="X2963" s="4">
        <f>AVERAGE(Table1[Purchase Amount])</f>
        <v>129.48419400000012</v>
      </c>
    </row>
    <row r="2964" spans="1:24" ht="15" customHeight="1" x14ac:dyDescent="0.25">
      <c r="A2964">
        <v>2963</v>
      </c>
      <c r="B2964">
        <v>57</v>
      </c>
      <c r="C2964" t="s">
        <v>16</v>
      </c>
      <c r="D2964" t="s">
        <v>99</v>
      </c>
      <c r="E2964" t="s">
        <v>18</v>
      </c>
      <c r="F2964" s="2">
        <v>40</v>
      </c>
      <c r="G2964" t="s">
        <v>19</v>
      </c>
      <c r="H2964" t="s">
        <v>45</v>
      </c>
      <c r="I2964" t="s">
        <v>136</v>
      </c>
      <c r="J2964" t="s">
        <v>47</v>
      </c>
      <c r="K2964">
        <v>4</v>
      </c>
      <c r="L2964" t="s">
        <v>23</v>
      </c>
      <c r="M2964" t="s">
        <v>61</v>
      </c>
      <c r="N2964" t="s">
        <v>23</v>
      </c>
      <c r="O2964">
        <v>42</v>
      </c>
      <c r="P2964" t="s">
        <v>53</v>
      </c>
      <c r="Q2964" t="s">
        <v>63</v>
      </c>
      <c r="R2964" s="1">
        <v>0.1</v>
      </c>
      <c r="S2964">
        <f t="shared" si="184"/>
        <v>36</v>
      </c>
      <c r="T2964">
        <f>IFERROR(VLOOKUP(A2964,Table1[[Customer ID]:[Discount Amount]], 6, FALSE),"Not Found")</f>
        <v>40</v>
      </c>
      <c r="U2964" t="str">
        <f t="shared" si="185"/>
        <v>Credit Card</v>
      </c>
      <c r="V2964" s="4" t="str">
        <f t="shared" si="186"/>
        <v>Normal</v>
      </c>
      <c r="W2964" s="4" t="str">
        <f t="shared" si="187"/>
        <v>Good</v>
      </c>
      <c r="X2964" s="4">
        <f>AVERAGE(Table1[Purchase Amount])</f>
        <v>129.48419400000012</v>
      </c>
    </row>
    <row r="2965" spans="1:24" ht="15" customHeight="1" x14ac:dyDescent="0.25">
      <c r="A2965">
        <v>2964</v>
      </c>
      <c r="B2965">
        <v>52</v>
      </c>
      <c r="C2965" t="s">
        <v>16</v>
      </c>
      <c r="D2965" t="s">
        <v>151</v>
      </c>
      <c r="E2965" t="s">
        <v>98</v>
      </c>
      <c r="F2965" s="2">
        <v>97</v>
      </c>
      <c r="G2965" t="s">
        <v>94</v>
      </c>
      <c r="H2965" t="s">
        <v>31</v>
      </c>
      <c r="I2965" t="s">
        <v>60</v>
      </c>
      <c r="J2965" t="s">
        <v>33</v>
      </c>
      <c r="K2965">
        <v>3.6</v>
      </c>
      <c r="L2965" t="s">
        <v>23</v>
      </c>
      <c r="M2965" t="s">
        <v>35</v>
      </c>
      <c r="N2965" t="s">
        <v>23</v>
      </c>
      <c r="O2965">
        <v>28</v>
      </c>
      <c r="P2965" t="s">
        <v>53</v>
      </c>
      <c r="Q2965" t="s">
        <v>26</v>
      </c>
      <c r="R2965" s="1">
        <v>0.1</v>
      </c>
      <c r="S2965">
        <f t="shared" si="184"/>
        <v>87.3</v>
      </c>
      <c r="T2965">
        <f>IFERROR(VLOOKUP(A2965,Table1[[Customer ID]:[Discount Amount]], 6, FALSE),"Not Found")</f>
        <v>97</v>
      </c>
      <c r="U2965" t="str">
        <f t="shared" si="185"/>
        <v>Credit Card</v>
      </c>
      <c r="V2965" s="4" t="str">
        <f t="shared" si="186"/>
        <v>Normal</v>
      </c>
      <c r="W2965" s="4" t="str">
        <f t="shared" si="187"/>
        <v>Good</v>
      </c>
      <c r="X2965" s="4">
        <f>AVERAGE(Table1[Purchase Amount])</f>
        <v>129.48419400000012</v>
      </c>
    </row>
    <row r="2966" spans="1:24" ht="15" customHeight="1" x14ac:dyDescent="0.25">
      <c r="A2966">
        <v>2965</v>
      </c>
      <c r="B2966">
        <v>44</v>
      </c>
      <c r="C2966" t="s">
        <v>16</v>
      </c>
      <c r="D2966" t="s">
        <v>76</v>
      </c>
      <c r="E2966" t="s">
        <v>77</v>
      </c>
      <c r="F2966" s="2">
        <v>25</v>
      </c>
      <c r="G2966" t="s">
        <v>90</v>
      </c>
      <c r="H2966" t="s">
        <v>55</v>
      </c>
      <c r="I2966" t="s">
        <v>32</v>
      </c>
      <c r="J2966" t="s">
        <v>47</v>
      </c>
      <c r="K2966">
        <v>3.8</v>
      </c>
      <c r="L2966" t="s">
        <v>23</v>
      </c>
      <c r="M2966" t="s">
        <v>41</v>
      </c>
      <c r="N2966" t="s">
        <v>23</v>
      </c>
      <c r="O2966">
        <v>13</v>
      </c>
      <c r="P2966" t="s">
        <v>62</v>
      </c>
      <c r="Q2966" t="s">
        <v>89</v>
      </c>
      <c r="R2966" s="1">
        <v>0.1</v>
      </c>
      <c r="S2966">
        <f t="shared" si="184"/>
        <v>22.5</v>
      </c>
      <c r="T2966">
        <f>IFERROR(VLOOKUP(A2966,Table1[[Customer ID]:[Discount Amount]], 6, FALSE),"Not Found")</f>
        <v>25</v>
      </c>
      <c r="U2966" t="str">
        <f t="shared" si="185"/>
        <v>Venmo</v>
      </c>
      <c r="V2966" s="4" t="str">
        <f t="shared" si="186"/>
        <v>Normal</v>
      </c>
      <c r="W2966" s="4" t="str">
        <f t="shared" si="187"/>
        <v>Good</v>
      </c>
      <c r="X2966" s="4">
        <f>AVERAGE(Table1[Purchase Amount])</f>
        <v>129.48419400000012</v>
      </c>
    </row>
    <row r="2967" spans="1:24" ht="15" customHeight="1" x14ac:dyDescent="0.25">
      <c r="A2967">
        <v>2966</v>
      </c>
      <c r="B2967">
        <v>48</v>
      </c>
      <c r="C2967" t="s">
        <v>16</v>
      </c>
      <c r="D2967" t="s">
        <v>129</v>
      </c>
      <c r="E2967" t="s">
        <v>29</v>
      </c>
      <c r="F2967" s="2">
        <v>45</v>
      </c>
      <c r="G2967" t="s">
        <v>143</v>
      </c>
      <c r="H2967" t="s">
        <v>31</v>
      </c>
      <c r="I2967" t="s">
        <v>74</v>
      </c>
      <c r="J2967" t="s">
        <v>57</v>
      </c>
      <c r="K2967">
        <v>4.4000000000000004</v>
      </c>
      <c r="L2967" t="s">
        <v>23</v>
      </c>
      <c r="M2967" t="s">
        <v>24</v>
      </c>
      <c r="N2967" t="s">
        <v>23</v>
      </c>
      <c r="O2967">
        <v>25</v>
      </c>
      <c r="P2967" t="s">
        <v>58</v>
      </c>
      <c r="Q2967" t="s">
        <v>89</v>
      </c>
      <c r="R2967" s="1">
        <v>0.1</v>
      </c>
      <c r="S2967">
        <f t="shared" si="184"/>
        <v>40.5</v>
      </c>
      <c r="T2967">
        <f>IFERROR(VLOOKUP(A2967,Table1[[Customer ID]:[Discount Amount]], 6, FALSE),"Not Found")</f>
        <v>45</v>
      </c>
      <c r="U2967" t="str">
        <f t="shared" si="185"/>
        <v>PayPal</v>
      </c>
      <c r="V2967" s="4" t="str">
        <f t="shared" si="186"/>
        <v>Normal</v>
      </c>
      <c r="W2967" s="4" t="str">
        <f t="shared" si="187"/>
        <v>Good</v>
      </c>
      <c r="X2967" s="4">
        <f>AVERAGE(Table1[Purchase Amount])</f>
        <v>129.48419400000012</v>
      </c>
    </row>
    <row r="2968" spans="1:24" ht="15" customHeight="1" x14ac:dyDescent="0.25">
      <c r="A2968">
        <v>2967</v>
      </c>
      <c r="B2968">
        <v>52</v>
      </c>
      <c r="C2968" t="s">
        <v>16</v>
      </c>
      <c r="D2968" t="s">
        <v>151</v>
      </c>
      <c r="E2968" t="s">
        <v>98</v>
      </c>
      <c r="F2968" s="2">
        <v>49</v>
      </c>
      <c r="G2968" t="s">
        <v>142</v>
      </c>
      <c r="H2968" t="s">
        <v>45</v>
      </c>
      <c r="I2968" t="s">
        <v>108</v>
      </c>
      <c r="J2968" t="s">
        <v>47</v>
      </c>
      <c r="K2968">
        <v>2.8</v>
      </c>
      <c r="L2968" t="s">
        <v>23</v>
      </c>
      <c r="M2968" t="s">
        <v>48</v>
      </c>
      <c r="N2968" t="s">
        <v>23</v>
      </c>
      <c r="O2968">
        <v>38</v>
      </c>
      <c r="P2968" t="s">
        <v>36</v>
      </c>
      <c r="Q2968" t="s">
        <v>63</v>
      </c>
      <c r="R2968" s="1">
        <v>0.1</v>
      </c>
      <c r="S2968">
        <f t="shared" si="184"/>
        <v>44.1</v>
      </c>
      <c r="T2968">
        <f>IFERROR(VLOOKUP(A2968,Table1[[Customer ID]:[Discount Amount]], 6, FALSE),"Not Found")</f>
        <v>49</v>
      </c>
      <c r="U2968" t="str">
        <f t="shared" si="185"/>
        <v>Debit Card</v>
      </c>
      <c r="V2968" s="4" t="str">
        <f t="shared" si="186"/>
        <v>Normal</v>
      </c>
      <c r="W2968" s="4" t="str">
        <f t="shared" si="187"/>
        <v>Poor</v>
      </c>
      <c r="X2968" s="4">
        <f>AVERAGE(Table1[Purchase Amount])</f>
        <v>129.48419400000012</v>
      </c>
    </row>
    <row r="2969" spans="1:24" ht="15" customHeight="1" x14ac:dyDescent="0.25">
      <c r="A2969">
        <v>2968</v>
      </c>
      <c r="B2969">
        <v>34</v>
      </c>
      <c r="C2969" t="s">
        <v>16</v>
      </c>
      <c r="D2969" t="s">
        <v>140</v>
      </c>
      <c r="E2969" t="s">
        <v>98</v>
      </c>
      <c r="F2969" s="2">
        <v>36</v>
      </c>
      <c r="G2969" t="s">
        <v>102</v>
      </c>
      <c r="H2969" t="s">
        <v>45</v>
      </c>
      <c r="I2969" t="s">
        <v>153</v>
      </c>
      <c r="J2969" t="s">
        <v>57</v>
      </c>
      <c r="K2969">
        <v>3.4</v>
      </c>
      <c r="L2969" t="s">
        <v>23</v>
      </c>
      <c r="M2969" t="s">
        <v>35</v>
      </c>
      <c r="N2969" t="s">
        <v>23</v>
      </c>
      <c r="O2969">
        <v>40</v>
      </c>
      <c r="P2969" t="s">
        <v>62</v>
      </c>
      <c r="Q2969" t="s">
        <v>49</v>
      </c>
      <c r="R2969" s="1">
        <v>0.1</v>
      </c>
      <c r="S2969">
        <f t="shared" si="184"/>
        <v>32.4</v>
      </c>
      <c r="T2969">
        <f>IFERROR(VLOOKUP(A2969,Table1[[Customer ID]:[Discount Amount]], 6, FALSE),"Not Found")</f>
        <v>36</v>
      </c>
      <c r="U2969" t="str">
        <f t="shared" si="185"/>
        <v>Venmo</v>
      </c>
      <c r="V2969" s="4" t="str">
        <f t="shared" si="186"/>
        <v>Normal</v>
      </c>
      <c r="W2969" s="4" t="str">
        <f t="shared" si="187"/>
        <v>Good</v>
      </c>
      <c r="X2969" s="4">
        <f>AVERAGE(Table1[Purchase Amount])</f>
        <v>129.48419400000012</v>
      </c>
    </row>
    <row r="2970" spans="1:24" ht="15" customHeight="1" x14ac:dyDescent="0.25">
      <c r="A2970">
        <v>2969</v>
      </c>
      <c r="B2970">
        <v>26</v>
      </c>
      <c r="C2970" t="s">
        <v>16</v>
      </c>
      <c r="D2970" t="s">
        <v>127</v>
      </c>
      <c r="E2970" t="s">
        <v>18</v>
      </c>
      <c r="F2970" s="2">
        <v>48</v>
      </c>
      <c r="G2970" t="s">
        <v>30</v>
      </c>
      <c r="H2970" t="s">
        <v>55</v>
      </c>
      <c r="I2970" t="s">
        <v>85</v>
      </c>
      <c r="J2970" t="s">
        <v>47</v>
      </c>
      <c r="K2970">
        <v>4.9000000000000004</v>
      </c>
      <c r="L2970" t="s">
        <v>23</v>
      </c>
      <c r="M2970" t="s">
        <v>61</v>
      </c>
      <c r="N2970" t="s">
        <v>23</v>
      </c>
      <c r="O2970">
        <v>25</v>
      </c>
      <c r="P2970" t="s">
        <v>25</v>
      </c>
      <c r="Q2970" t="s">
        <v>63</v>
      </c>
      <c r="R2970" s="1">
        <v>0.1</v>
      </c>
      <c r="S2970">
        <f t="shared" si="184"/>
        <v>43.2</v>
      </c>
      <c r="T2970">
        <f>IFERROR(VLOOKUP(A2970,Table1[[Customer ID]:[Discount Amount]], 6, FALSE),"Not Found")</f>
        <v>48</v>
      </c>
      <c r="U2970" t="str">
        <f t="shared" si="185"/>
        <v>Cash</v>
      </c>
      <c r="V2970" s="4" t="str">
        <f t="shared" si="186"/>
        <v>Normal</v>
      </c>
      <c r="W2970" s="4" t="str">
        <f t="shared" si="187"/>
        <v>Good</v>
      </c>
      <c r="X2970" s="4">
        <f>AVERAGE(Table1[Purchase Amount])</f>
        <v>129.48419400000012</v>
      </c>
    </row>
    <row r="2971" spans="1:24" ht="15" customHeight="1" x14ac:dyDescent="0.25">
      <c r="A2971">
        <v>2970</v>
      </c>
      <c r="B2971">
        <v>36</v>
      </c>
      <c r="C2971" t="s">
        <v>16</v>
      </c>
      <c r="D2971" t="s">
        <v>114</v>
      </c>
      <c r="E2971" t="s">
        <v>29</v>
      </c>
      <c r="F2971" s="2">
        <v>62</v>
      </c>
      <c r="G2971" t="s">
        <v>84</v>
      </c>
      <c r="H2971" t="s">
        <v>55</v>
      </c>
      <c r="I2971" t="s">
        <v>74</v>
      </c>
      <c r="J2971" t="s">
        <v>47</v>
      </c>
      <c r="K2971">
        <v>4.3</v>
      </c>
      <c r="L2971" t="s">
        <v>23</v>
      </c>
      <c r="M2971" t="s">
        <v>79</v>
      </c>
      <c r="N2971" t="s">
        <v>23</v>
      </c>
      <c r="O2971">
        <v>20</v>
      </c>
      <c r="P2971" t="s">
        <v>25</v>
      </c>
      <c r="Q2971" t="s">
        <v>63</v>
      </c>
      <c r="R2971" s="1">
        <v>0.1</v>
      </c>
      <c r="S2971">
        <f t="shared" si="184"/>
        <v>55.8</v>
      </c>
      <c r="T2971">
        <f>IFERROR(VLOOKUP(A2971,Table1[[Customer ID]:[Discount Amount]], 6, FALSE),"Not Found")</f>
        <v>62</v>
      </c>
      <c r="U2971" t="str">
        <f t="shared" si="185"/>
        <v>Cash</v>
      </c>
      <c r="V2971" s="4" t="str">
        <f t="shared" si="186"/>
        <v>Normal</v>
      </c>
      <c r="W2971" s="4" t="str">
        <f t="shared" si="187"/>
        <v>Good</v>
      </c>
      <c r="X2971" s="4">
        <f>AVERAGE(Table1[Purchase Amount])</f>
        <v>129.48419400000012</v>
      </c>
    </row>
    <row r="2972" spans="1:24" ht="15" customHeight="1" x14ac:dyDescent="0.25">
      <c r="A2972">
        <v>2971</v>
      </c>
      <c r="B2972">
        <v>24</v>
      </c>
      <c r="C2972" t="s">
        <v>16</v>
      </c>
      <c r="D2972" t="s">
        <v>50</v>
      </c>
      <c r="E2972" t="s">
        <v>29</v>
      </c>
      <c r="F2972" s="2">
        <v>74</v>
      </c>
      <c r="G2972" t="s">
        <v>124</v>
      </c>
      <c r="H2972" t="s">
        <v>31</v>
      </c>
      <c r="I2972" t="s">
        <v>32</v>
      </c>
      <c r="J2972" t="s">
        <v>22</v>
      </c>
      <c r="K2972">
        <v>3.4</v>
      </c>
      <c r="L2972" t="s">
        <v>23</v>
      </c>
      <c r="M2972" t="s">
        <v>35</v>
      </c>
      <c r="N2972" t="s">
        <v>23</v>
      </c>
      <c r="O2972">
        <v>44</v>
      </c>
      <c r="P2972" t="s">
        <v>53</v>
      </c>
      <c r="Q2972" t="s">
        <v>68</v>
      </c>
      <c r="R2972" s="1">
        <v>0.1</v>
      </c>
      <c r="S2972">
        <f t="shared" si="184"/>
        <v>66.599999999999994</v>
      </c>
      <c r="T2972">
        <f>IFERROR(VLOOKUP(A2972,Table1[[Customer ID]:[Discount Amount]], 6, FALSE),"Not Found")</f>
        <v>74</v>
      </c>
      <c r="U2972" t="str">
        <f t="shared" si="185"/>
        <v>Credit Card</v>
      </c>
      <c r="V2972" s="4" t="str">
        <f t="shared" si="186"/>
        <v>Normal</v>
      </c>
      <c r="W2972" s="4" t="str">
        <f t="shared" si="187"/>
        <v>Good</v>
      </c>
      <c r="X2972" s="4">
        <f>AVERAGE(Table1[Purchase Amount])</f>
        <v>129.48419400000012</v>
      </c>
    </row>
    <row r="2973" spans="1:24" ht="15" customHeight="1" x14ac:dyDescent="0.25">
      <c r="A2973">
        <v>2972</v>
      </c>
      <c r="B2973">
        <v>30</v>
      </c>
      <c r="C2973" t="s">
        <v>16</v>
      </c>
      <c r="D2973" t="s">
        <v>69</v>
      </c>
      <c r="E2973" t="s">
        <v>29</v>
      </c>
      <c r="F2973" s="2">
        <v>100</v>
      </c>
      <c r="G2973" t="s">
        <v>144</v>
      </c>
      <c r="H2973" t="s">
        <v>45</v>
      </c>
      <c r="I2973" t="s">
        <v>52</v>
      </c>
      <c r="J2973" t="s">
        <v>47</v>
      </c>
      <c r="K2973">
        <v>3.9</v>
      </c>
      <c r="L2973" t="s">
        <v>23</v>
      </c>
      <c r="M2973" t="s">
        <v>79</v>
      </c>
      <c r="N2973" t="s">
        <v>23</v>
      </c>
      <c r="O2973">
        <v>9</v>
      </c>
      <c r="P2973" t="s">
        <v>58</v>
      </c>
      <c r="Q2973" t="s">
        <v>63</v>
      </c>
      <c r="R2973" s="1">
        <v>0.1</v>
      </c>
      <c r="S2973">
        <f t="shared" si="184"/>
        <v>90</v>
      </c>
      <c r="T2973">
        <f>IFERROR(VLOOKUP(A2973,Table1[[Customer ID]:[Discount Amount]], 6, FALSE),"Not Found")</f>
        <v>100</v>
      </c>
      <c r="U2973" t="str">
        <f t="shared" si="185"/>
        <v>PayPal</v>
      </c>
      <c r="V2973" s="4" t="str">
        <f t="shared" si="186"/>
        <v>Normal</v>
      </c>
      <c r="W2973" s="4" t="str">
        <f t="shared" si="187"/>
        <v>Good</v>
      </c>
      <c r="X2973" s="4">
        <f>AVERAGE(Table1[Purchase Amount])</f>
        <v>129.48419400000012</v>
      </c>
    </row>
    <row r="2974" spans="1:24" ht="15" customHeight="1" x14ac:dyDescent="0.25">
      <c r="A2974">
        <v>2973</v>
      </c>
      <c r="B2974">
        <v>31</v>
      </c>
      <c r="C2974" t="s">
        <v>16</v>
      </c>
      <c r="D2974" t="s">
        <v>96</v>
      </c>
      <c r="E2974" t="s">
        <v>77</v>
      </c>
      <c r="F2974" s="2">
        <v>39</v>
      </c>
      <c r="G2974" t="s">
        <v>101</v>
      </c>
      <c r="H2974" t="s">
        <v>55</v>
      </c>
      <c r="I2974" t="s">
        <v>91</v>
      </c>
      <c r="J2974" t="s">
        <v>47</v>
      </c>
      <c r="K2974">
        <v>4.2</v>
      </c>
      <c r="L2974" t="s">
        <v>23</v>
      </c>
      <c r="M2974" t="s">
        <v>35</v>
      </c>
      <c r="N2974" t="s">
        <v>23</v>
      </c>
      <c r="O2974">
        <v>11</v>
      </c>
      <c r="P2974" t="s">
        <v>62</v>
      </c>
      <c r="Q2974" t="s">
        <v>63</v>
      </c>
      <c r="R2974" s="1">
        <v>0.1</v>
      </c>
      <c r="S2974">
        <f t="shared" si="184"/>
        <v>35.1</v>
      </c>
      <c r="T2974">
        <f>IFERROR(VLOOKUP(A2974,Table1[[Customer ID]:[Discount Amount]], 6, FALSE),"Not Found")</f>
        <v>39</v>
      </c>
      <c r="U2974" t="str">
        <f t="shared" si="185"/>
        <v>Venmo</v>
      </c>
      <c r="V2974" s="4" t="str">
        <f t="shared" si="186"/>
        <v>Normal</v>
      </c>
      <c r="W2974" s="4" t="str">
        <f t="shared" si="187"/>
        <v>Good</v>
      </c>
      <c r="X2974" s="4">
        <f>AVERAGE(Table1[Purchase Amount])</f>
        <v>129.48419400000012</v>
      </c>
    </row>
    <row r="2975" spans="1:24" ht="15" customHeight="1" x14ac:dyDescent="0.25">
      <c r="A2975">
        <v>2974</v>
      </c>
      <c r="B2975">
        <v>25</v>
      </c>
      <c r="C2975" t="s">
        <v>16</v>
      </c>
      <c r="D2975" t="s">
        <v>151</v>
      </c>
      <c r="E2975" t="s">
        <v>98</v>
      </c>
      <c r="F2975" s="2">
        <v>65</v>
      </c>
      <c r="G2975" t="s">
        <v>102</v>
      </c>
      <c r="H2975" t="s">
        <v>31</v>
      </c>
      <c r="I2975" t="s">
        <v>74</v>
      </c>
      <c r="J2975" t="s">
        <v>57</v>
      </c>
      <c r="K2975">
        <v>2.7</v>
      </c>
      <c r="L2975" t="s">
        <v>23</v>
      </c>
      <c r="M2975" t="s">
        <v>48</v>
      </c>
      <c r="N2975" t="s">
        <v>23</v>
      </c>
      <c r="O2975">
        <v>3</v>
      </c>
      <c r="P2975" t="s">
        <v>88</v>
      </c>
      <c r="Q2975" t="s">
        <v>89</v>
      </c>
      <c r="R2975" s="1">
        <v>0.1</v>
      </c>
      <c r="S2975">
        <f t="shared" si="184"/>
        <v>58.5</v>
      </c>
      <c r="T2975">
        <f>IFERROR(VLOOKUP(A2975,Table1[[Customer ID]:[Discount Amount]], 6, FALSE),"Not Found")</f>
        <v>65</v>
      </c>
      <c r="U2975" t="str">
        <f t="shared" si="185"/>
        <v>Bank Transfer</v>
      </c>
      <c r="V2975" s="4" t="str">
        <f t="shared" si="186"/>
        <v>Normal</v>
      </c>
      <c r="W2975" s="4" t="str">
        <f t="shared" si="187"/>
        <v>Poor</v>
      </c>
      <c r="X2975" s="4">
        <f>AVERAGE(Table1[Purchase Amount])</f>
        <v>129.48419400000012</v>
      </c>
    </row>
    <row r="2976" spans="1:24" ht="15" customHeight="1" x14ac:dyDescent="0.25">
      <c r="A2976">
        <v>2975</v>
      </c>
      <c r="B2976">
        <v>57</v>
      </c>
      <c r="C2976" t="s">
        <v>16</v>
      </c>
      <c r="D2976" t="s">
        <v>140</v>
      </c>
      <c r="E2976" t="s">
        <v>98</v>
      </c>
      <c r="F2976" s="2">
        <v>99</v>
      </c>
      <c r="G2976" t="s">
        <v>65</v>
      </c>
      <c r="H2976" t="s">
        <v>20</v>
      </c>
      <c r="I2976" t="s">
        <v>145</v>
      </c>
      <c r="J2976" t="s">
        <v>57</v>
      </c>
      <c r="K2976">
        <v>4.0999999999999996</v>
      </c>
      <c r="L2976" t="s">
        <v>23</v>
      </c>
      <c r="M2976" t="s">
        <v>48</v>
      </c>
      <c r="N2976" t="s">
        <v>23</v>
      </c>
      <c r="O2976">
        <v>34</v>
      </c>
      <c r="P2976" t="s">
        <v>53</v>
      </c>
      <c r="Q2976" t="s">
        <v>26</v>
      </c>
      <c r="R2976" s="1">
        <v>0.1</v>
      </c>
      <c r="S2976">
        <f t="shared" si="184"/>
        <v>89.1</v>
      </c>
      <c r="T2976">
        <f>IFERROR(VLOOKUP(A2976,Table1[[Customer ID]:[Discount Amount]], 6, FALSE),"Not Found")</f>
        <v>99</v>
      </c>
      <c r="U2976" t="str">
        <f t="shared" si="185"/>
        <v>Credit Card</v>
      </c>
      <c r="V2976" s="4" t="str">
        <f t="shared" si="186"/>
        <v>Normal</v>
      </c>
      <c r="W2976" s="4" t="str">
        <f t="shared" si="187"/>
        <v>Good</v>
      </c>
      <c r="X2976" s="4">
        <f>AVERAGE(Table1[Purchase Amount])</f>
        <v>129.48419400000012</v>
      </c>
    </row>
    <row r="2977" spans="1:24" ht="15" customHeight="1" x14ac:dyDescent="0.25">
      <c r="A2977">
        <v>2976</v>
      </c>
      <c r="B2977">
        <v>61</v>
      </c>
      <c r="C2977" t="s">
        <v>16</v>
      </c>
      <c r="D2977" t="s">
        <v>129</v>
      </c>
      <c r="E2977" t="s">
        <v>29</v>
      </c>
      <c r="F2977" s="2">
        <v>68</v>
      </c>
      <c r="G2977" t="s">
        <v>160</v>
      </c>
      <c r="H2977" t="s">
        <v>20</v>
      </c>
      <c r="I2977" t="s">
        <v>107</v>
      </c>
      <c r="J2977" t="s">
        <v>22</v>
      </c>
      <c r="K2977">
        <v>4.5</v>
      </c>
      <c r="L2977" t="s">
        <v>23</v>
      </c>
      <c r="M2977" t="s">
        <v>41</v>
      </c>
      <c r="N2977" t="s">
        <v>23</v>
      </c>
      <c r="O2977">
        <v>48</v>
      </c>
      <c r="P2977" t="s">
        <v>25</v>
      </c>
      <c r="Q2977" t="s">
        <v>63</v>
      </c>
      <c r="R2977" s="1">
        <v>0.1</v>
      </c>
      <c r="S2977">
        <f t="shared" si="184"/>
        <v>61.2</v>
      </c>
      <c r="T2977">
        <f>IFERROR(VLOOKUP(A2977,Table1[[Customer ID]:[Discount Amount]], 6, FALSE),"Not Found")</f>
        <v>68</v>
      </c>
      <c r="U2977" t="str">
        <f t="shared" si="185"/>
        <v>Cash</v>
      </c>
      <c r="V2977" s="4" t="str">
        <f t="shared" si="186"/>
        <v>Normal</v>
      </c>
      <c r="W2977" s="4" t="str">
        <f t="shared" si="187"/>
        <v>Good</v>
      </c>
      <c r="X2977" s="4">
        <f>AVERAGE(Table1[Purchase Amount])</f>
        <v>129.48419400000012</v>
      </c>
    </row>
    <row r="2978" spans="1:24" ht="15" customHeight="1" x14ac:dyDescent="0.25">
      <c r="A2978">
        <v>2977</v>
      </c>
      <c r="B2978">
        <v>30</v>
      </c>
      <c r="C2978" t="s">
        <v>16</v>
      </c>
      <c r="D2978" t="s">
        <v>76</v>
      </c>
      <c r="E2978" t="s">
        <v>77</v>
      </c>
      <c r="F2978" s="2">
        <v>97</v>
      </c>
      <c r="G2978" t="s">
        <v>137</v>
      </c>
      <c r="H2978" t="s">
        <v>31</v>
      </c>
      <c r="I2978" t="s">
        <v>153</v>
      </c>
      <c r="J2978" t="s">
        <v>57</v>
      </c>
      <c r="K2978">
        <v>2.8</v>
      </c>
      <c r="L2978" t="s">
        <v>23</v>
      </c>
      <c r="M2978" t="s">
        <v>61</v>
      </c>
      <c r="N2978" t="s">
        <v>23</v>
      </c>
      <c r="O2978">
        <v>28</v>
      </c>
      <c r="P2978" t="s">
        <v>25</v>
      </c>
      <c r="Q2978" t="s">
        <v>89</v>
      </c>
      <c r="R2978" s="1">
        <v>0.1</v>
      </c>
      <c r="S2978">
        <f t="shared" si="184"/>
        <v>87.3</v>
      </c>
      <c r="T2978">
        <f>IFERROR(VLOOKUP(A2978,Table1[[Customer ID]:[Discount Amount]], 6, FALSE),"Not Found")</f>
        <v>97</v>
      </c>
      <c r="U2978" t="str">
        <f t="shared" si="185"/>
        <v>Cash</v>
      </c>
      <c r="V2978" s="4" t="str">
        <f t="shared" si="186"/>
        <v>Normal</v>
      </c>
      <c r="W2978" s="4" t="str">
        <f t="shared" si="187"/>
        <v>Poor</v>
      </c>
      <c r="X2978" s="4">
        <f>AVERAGE(Table1[Purchase Amount])</f>
        <v>129.48419400000012</v>
      </c>
    </row>
    <row r="2979" spans="1:24" ht="15" customHeight="1" x14ac:dyDescent="0.25">
      <c r="A2979">
        <v>2978</v>
      </c>
      <c r="B2979">
        <v>38</v>
      </c>
      <c r="C2979" t="s">
        <v>16</v>
      </c>
      <c r="D2979" t="s">
        <v>54</v>
      </c>
      <c r="E2979" t="s">
        <v>18</v>
      </c>
      <c r="F2979" s="2">
        <v>47</v>
      </c>
      <c r="G2979" t="s">
        <v>155</v>
      </c>
      <c r="H2979" t="s">
        <v>45</v>
      </c>
      <c r="I2979" t="s">
        <v>133</v>
      </c>
      <c r="J2979" t="s">
        <v>22</v>
      </c>
      <c r="K2979">
        <v>3.4</v>
      </c>
      <c r="L2979" t="s">
        <v>23</v>
      </c>
      <c r="M2979" t="s">
        <v>24</v>
      </c>
      <c r="N2979" t="s">
        <v>23</v>
      </c>
      <c r="O2979">
        <v>20</v>
      </c>
      <c r="P2979" t="s">
        <v>62</v>
      </c>
      <c r="Q2979" t="s">
        <v>49</v>
      </c>
      <c r="R2979" s="1">
        <v>0.1</v>
      </c>
      <c r="S2979">
        <f t="shared" si="184"/>
        <v>42.3</v>
      </c>
      <c r="T2979">
        <f>IFERROR(VLOOKUP(A2979,Table1[[Customer ID]:[Discount Amount]], 6, FALSE),"Not Found")</f>
        <v>47</v>
      </c>
      <c r="U2979" t="str">
        <f t="shared" si="185"/>
        <v>Venmo</v>
      </c>
      <c r="V2979" s="4" t="str">
        <f t="shared" si="186"/>
        <v>Normal</v>
      </c>
      <c r="W2979" s="4" t="str">
        <f t="shared" si="187"/>
        <v>Good</v>
      </c>
      <c r="X2979" s="4">
        <f>AVERAGE(Table1[Purchase Amount])</f>
        <v>129.48419400000012</v>
      </c>
    </row>
    <row r="2980" spans="1:24" ht="15" customHeight="1" x14ac:dyDescent="0.25">
      <c r="A2980">
        <v>2979</v>
      </c>
      <c r="B2980">
        <v>53</v>
      </c>
      <c r="C2980" t="s">
        <v>16</v>
      </c>
      <c r="D2980" t="s">
        <v>54</v>
      </c>
      <c r="E2980" t="s">
        <v>18</v>
      </c>
      <c r="F2980" s="2">
        <v>56</v>
      </c>
      <c r="G2980" t="s">
        <v>161</v>
      </c>
      <c r="H2980" t="s">
        <v>55</v>
      </c>
      <c r="I2980" t="s">
        <v>128</v>
      </c>
      <c r="J2980" t="s">
        <v>33</v>
      </c>
      <c r="K2980">
        <v>3.9</v>
      </c>
      <c r="L2980" t="s">
        <v>23</v>
      </c>
      <c r="M2980" t="s">
        <v>35</v>
      </c>
      <c r="N2980" t="s">
        <v>23</v>
      </c>
      <c r="O2980">
        <v>49</v>
      </c>
      <c r="P2980" t="s">
        <v>88</v>
      </c>
      <c r="Q2980" t="s">
        <v>89</v>
      </c>
      <c r="R2980" s="1">
        <v>0.1</v>
      </c>
      <c r="S2980">
        <f t="shared" si="184"/>
        <v>50.4</v>
      </c>
      <c r="T2980">
        <f>IFERROR(VLOOKUP(A2980,Table1[[Customer ID]:[Discount Amount]], 6, FALSE),"Not Found")</f>
        <v>56</v>
      </c>
      <c r="U2980" t="str">
        <f t="shared" si="185"/>
        <v>Bank Transfer</v>
      </c>
      <c r="V2980" s="4" t="str">
        <f t="shared" si="186"/>
        <v>Normal</v>
      </c>
      <c r="W2980" s="4" t="str">
        <f t="shared" si="187"/>
        <v>Good</v>
      </c>
      <c r="X2980" s="4">
        <f>AVERAGE(Table1[Purchase Amount])</f>
        <v>129.48419400000012</v>
      </c>
    </row>
    <row r="2981" spans="1:24" ht="15" customHeight="1" x14ac:dyDescent="0.25">
      <c r="A2981">
        <v>2980</v>
      </c>
      <c r="B2981">
        <v>31</v>
      </c>
      <c r="C2981" t="s">
        <v>16</v>
      </c>
      <c r="D2981" t="s">
        <v>109</v>
      </c>
      <c r="E2981" t="s">
        <v>18</v>
      </c>
      <c r="F2981" s="2">
        <v>91</v>
      </c>
      <c r="G2981" t="s">
        <v>119</v>
      </c>
      <c r="H2981" t="s">
        <v>45</v>
      </c>
      <c r="I2981" t="s">
        <v>21</v>
      </c>
      <c r="J2981" t="s">
        <v>47</v>
      </c>
      <c r="K2981">
        <v>2.6</v>
      </c>
      <c r="L2981" t="s">
        <v>23</v>
      </c>
      <c r="M2981" t="s">
        <v>79</v>
      </c>
      <c r="N2981" t="s">
        <v>23</v>
      </c>
      <c r="O2981">
        <v>14</v>
      </c>
      <c r="P2981" t="s">
        <v>58</v>
      </c>
      <c r="Q2981" t="s">
        <v>26</v>
      </c>
      <c r="R2981" s="1">
        <v>0.1</v>
      </c>
      <c r="S2981">
        <f t="shared" si="184"/>
        <v>81.900000000000006</v>
      </c>
      <c r="T2981">
        <f>IFERROR(VLOOKUP(A2981,Table1[[Customer ID]:[Discount Amount]], 6, FALSE),"Not Found")</f>
        <v>91</v>
      </c>
      <c r="U2981" t="str">
        <f t="shared" si="185"/>
        <v>PayPal</v>
      </c>
      <c r="V2981" s="4" t="str">
        <f t="shared" si="186"/>
        <v>Normal</v>
      </c>
      <c r="W2981" s="4" t="str">
        <f t="shared" si="187"/>
        <v>Poor</v>
      </c>
      <c r="X2981" s="4">
        <f>AVERAGE(Table1[Purchase Amount])</f>
        <v>129.48419400000012</v>
      </c>
    </row>
    <row r="2982" spans="1:24" ht="15" customHeight="1" x14ac:dyDescent="0.25">
      <c r="A2982">
        <v>2981</v>
      </c>
      <c r="B2982">
        <v>70</v>
      </c>
      <c r="C2982" t="s">
        <v>16</v>
      </c>
      <c r="D2982" t="s">
        <v>43</v>
      </c>
      <c r="E2982" t="s">
        <v>29</v>
      </c>
      <c r="F2982" s="2">
        <v>93</v>
      </c>
      <c r="G2982" t="s">
        <v>131</v>
      </c>
      <c r="H2982" t="s">
        <v>45</v>
      </c>
      <c r="I2982" t="s">
        <v>147</v>
      </c>
      <c r="J2982" t="s">
        <v>47</v>
      </c>
      <c r="K2982">
        <v>4.4000000000000004</v>
      </c>
      <c r="L2982" t="s">
        <v>23</v>
      </c>
      <c r="M2982" t="s">
        <v>41</v>
      </c>
      <c r="N2982" t="s">
        <v>23</v>
      </c>
      <c r="O2982">
        <v>9</v>
      </c>
      <c r="P2982" t="s">
        <v>88</v>
      </c>
      <c r="Q2982" t="s">
        <v>42</v>
      </c>
      <c r="R2982" s="1">
        <v>0.1</v>
      </c>
      <c r="S2982">
        <f t="shared" si="184"/>
        <v>83.7</v>
      </c>
      <c r="T2982">
        <f>IFERROR(VLOOKUP(A2982,Table1[[Customer ID]:[Discount Amount]], 6, FALSE),"Not Found")</f>
        <v>93</v>
      </c>
      <c r="U2982" t="str">
        <f t="shared" si="185"/>
        <v>Bank Transfer</v>
      </c>
      <c r="V2982" s="4" t="str">
        <f t="shared" si="186"/>
        <v>Normal</v>
      </c>
      <c r="W2982" s="4" t="str">
        <f t="shared" si="187"/>
        <v>Good</v>
      </c>
      <c r="X2982" s="4">
        <f>AVERAGE(Table1[Purchase Amount])</f>
        <v>129.48419400000012</v>
      </c>
    </row>
    <row r="2983" spans="1:24" ht="15" customHeight="1" x14ac:dyDescent="0.25">
      <c r="A2983">
        <v>2982</v>
      </c>
      <c r="B2983">
        <v>21</v>
      </c>
      <c r="C2983" t="s">
        <v>16</v>
      </c>
      <c r="D2983" t="s">
        <v>99</v>
      </c>
      <c r="E2983" t="s">
        <v>18</v>
      </c>
      <c r="F2983" s="2">
        <v>36</v>
      </c>
      <c r="G2983" t="s">
        <v>143</v>
      </c>
      <c r="H2983" t="s">
        <v>45</v>
      </c>
      <c r="I2983" t="s">
        <v>136</v>
      </c>
      <c r="J2983" t="s">
        <v>22</v>
      </c>
      <c r="K2983">
        <v>4.9000000000000004</v>
      </c>
      <c r="L2983" t="s">
        <v>23</v>
      </c>
      <c r="M2983" t="s">
        <v>24</v>
      </c>
      <c r="N2983" t="s">
        <v>23</v>
      </c>
      <c r="O2983">
        <v>37</v>
      </c>
      <c r="P2983" t="s">
        <v>62</v>
      </c>
      <c r="Q2983" t="s">
        <v>49</v>
      </c>
      <c r="R2983" s="1">
        <v>0.1</v>
      </c>
      <c r="S2983">
        <f t="shared" si="184"/>
        <v>32.4</v>
      </c>
      <c r="T2983">
        <f>IFERROR(VLOOKUP(A2983,Table1[[Customer ID]:[Discount Amount]], 6, FALSE),"Not Found")</f>
        <v>36</v>
      </c>
      <c r="U2983" t="str">
        <f t="shared" si="185"/>
        <v>Venmo</v>
      </c>
      <c r="V2983" s="4" t="str">
        <f t="shared" si="186"/>
        <v>Normal</v>
      </c>
      <c r="W2983" s="4" t="str">
        <f t="shared" si="187"/>
        <v>Good</v>
      </c>
      <c r="X2983" s="4">
        <f>AVERAGE(Table1[Purchase Amount])</f>
        <v>129.48419400000012</v>
      </c>
    </row>
    <row r="2984" spans="1:24" ht="15" customHeight="1" x14ac:dyDescent="0.25">
      <c r="A2984">
        <v>2983</v>
      </c>
      <c r="B2984">
        <v>33</v>
      </c>
      <c r="C2984" t="s">
        <v>16</v>
      </c>
      <c r="D2984" t="s">
        <v>157</v>
      </c>
      <c r="E2984" t="s">
        <v>18</v>
      </c>
      <c r="F2984" s="2">
        <v>45</v>
      </c>
      <c r="G2984" t="s">
        <v>59</v>
      </c>
      <c r="H2984" t="s">
        <v>31</v>
      </c>
      <c r="I2984" t="s">
        <v>108</v>
      </c>
      <c r="J2984" t="s">
        <v>57</v>
      </c>
      <c r="K2984">
        <v>3.6</v>
      </c>
      <c r="L2984" t="s">
        <v>23</v>
      </c>
      <c r="M2984" t="s">
        <v>48</v>
      </c>
      <c r="N2984" t="s">
        <v>23</v>
      </c>
      <c r="O2984">
        <v>4</v>
      </c>
      <c r="P2984" t="s">
        <v>53</v>
      </c>
      <c r="Q2984" t="s">
        <v>26</v>
      </c>
      <c r="R2984" s="1">
        <v>0.1</v>
      </c>
      <c r="S2984">
        <f t="shared" si="184"/>
        <v>40.5</v>
      </c>
      <c r="T2984">
        <f>IFERROR(VLOOKUP(A2984,Table1[[Customer ID]:[Discount Amount]], 6, FALSE),"Not Found")</f>
        <v>45</v>
      </c>
      <c r="U2984" t="str">
        <f t="shared" si="185"/>
        <v>Credit Card</v>
      </c>
      <c r="V2984" s="4" t="str">
        <f t="shared" si="186"/>
        <v>Normal</v>
      </c>
      <c r="W2984" s="4" t="str">
        <f t="shared" si="187"/>
        <v>Good</v>
      </c>
      <c r="X2984" s="4">
        <f>AVERAGE(Table1[Purchase Amount])</f>
        <v>129.48419400000012</v>
      </c>
    </row>
    <row r="2985" spans="1:24" ht="15" customHeight="1" x14ac:dyDescent="0.25">
      <c r="A2985">
        <v>2984</v>
      </c>
      <c r="B2985">
        <v>60</v>
      </c>
      <c r="C2985" t="s">
        <v>16</v>
      </c>
      <c r="D2985" t="s">
        <v>99</v>
      </c>
      <c r="E2985" t="s">
        <v>18</v>
      </c>
      <c r="F2985" s="2">
        <v>44</v>
      </c>
      <c r="G2985" t="s">
        <v>154</v>
      </c>
      <c r="H2985" t="s">
        <v>31</v>
      </c>
      <c r="I2985" t="s">
        <v>103</v>
      </c>
      <c r="J2985" t="s">
        <v>22</v>
      </c>
      <c r="K2985">
        <v>2.8</v>
      </c>
      <c r="L2985" t="s">
        <v>23</v>
      </c>
      <c r="M2985" t="s">
        <v>41</v>
      </c>
      <c r="N2985" t="s">
        <v>23</v>
      </c>
      <c r="O2985">
        <v>1</v>
      </c>
      <c r="P2985" t="s">
        <v>53</v>
      </c>
      <c r="Q2985" t="s">
        <v>37</v>
      </c>
      <c r="R2985" s="1">
        <v>0.1</v>
      </c>
      <c r="S2985">
        <f t="shared" si="184"/>
        <v>39.6</v>
      </c>
      <c r="T2985">
        <f>IFERROR(VLOOKUP(A2985,Table1[[Customer ID]:[Discount Amount]], 6, FALSE),"Not Found")</f>
        <v>44</v>
      </c>
      <c r="U2985" t="str">
        <f t="shared" si="185"/>
        <v>Credit Card</v>
      </c>
      <c r="V2985" s="4" t="str">
        <f t="shared" si="186"/>
        <v>Normal</v>
      </c>
      <c r="W2985" s="4" t="str">
        <f t="shared" si="187"/>
        <v>Poor</v>
      </c>
      <c r="X2985" s="4">
        <f>AVERAGE(Table1[Purchase Amount])</f>
        <v>129.48419400000012</v>
      </c>
    </row>
    <row r="2986" spans="1:24" ht="15" customHeight="1" x14ac:dyDescent="0.25">
      <c r="A2986">
        <v>2985</v>
      </c>
      <c r="B2986">
        <v>45</v>
      </c>
      <c r="C2986" t="s">
        <v>16</v>
      </c>
      <c r="D2986" t="s">
        <v>43</v>
      </c>
      <c r="E2986" t="s">
        <v>29</v>
      </c>
      <c r="F2986" s="2">
        <v>32</v>
      </c>
      <c r="G2986" t="s">
        <v>152</v>
      </c>
      <c r="H2986" t="s">
        <v>45</v>
      </c>
      <c r="I2986" t="s">
        <v>46</v>
      </c>
      <c r="J2986" t="s">
        <v>33</v>
      </c>
      <c r="K2986">
        <v>4.3</v>
      </c>
      <c r="L2986" t="s">
        <v>23</v>
      </c>
      <c r="M2986" t="s">
        <v>41</v>
      </c>
      <c r="N2986" t="s">
        <v>23</v>
      </c>
      <c r="O2986">
        <v>36</v>
      </c>
      <c r="P2986" t="s">
        <v>36</v>
      </c>
      <c r="Q2986" t="s">
        <v>68</v>
      </c>
      <c r="R2986" s="1">
        <v>0.1</v>
      </c>
      <c r="S2986">
        <f t="shared" si="184"/>
        <v>28.8</v>
      </c>
      <c r="T2986">
        <f>IFERROR(VLOOKUP(A2986,Table1[[Customer ID]:[Discount Amount]], 6, FALSE),"Not Found")</f>
        <v>32</v>
      </c>
      <c r="U2986" t="str">
        <f t="shared" si="185"/>
        <v>Debit Card</v>
      </c>
      <c r="V2986" s="4" t="str">
        <f t="shared" si="186"/>
        <v>Normal</v>
      </c>
      <c r="W2986" s="4" t="str">
        <f t="shared" si="187"/>
        <v>Good</v>
      </c>
      <c r="X2986" s="4">
        <f>AVERAGE(Table1[Purchase Amount])</f>
        <v>129.48419400000012</v>
      </c>
    </row>
    <row r="2987" spans="1:24" ht="15" customHeight="1" x14ac:dyDescent="0.25">
      <c r="A2987">
        <v>2986</v>
      </c>
      <c r="B2987">
        <v>46</v>
      </c>
      <c r="C2987" t="s">
        <v>16</v>
      </c>
      <c r="D2987" t="s">
        <v>114</v>
      </c>
      <c r="E2987" t="s">
        <v>29</v>
      </c>
      <c r="F2987" s="2">
        <v>36</v>
      </c>
      <c r="G2987" t="s">
        <v>135</v>
      </c>
      <c r="H2987" t="s">
        <v>55</v>
      </c>
      <c r="I2987" t="s">
        <v>147</v>
      </c>
      <c r="J2987" t="s">
        <v>57</v>
      </c>
      <c r="K2987">
        <v>3</v>
      </c>
      <c r="L2987" t="s">
        <v>23</v>
      </c>
      <c r="M2987" t="s">
        <v>61</v>
      </c>
      <c r="N2987" t="s">
        <v>23</v>
      </c>
      <c r="O2987">
        <v>21</v>
      </c>
      <c r="P2987" t="s">
        <v>25</v>
      </c>
      <c r="Q2987" t="s">
        <v>68</v>
      </c>
      <c r="R2987" s="1">
        <v>0.1</v>
      </c>
      <c r="S2987">
        <f t="shared" si="184"/>
        <v>32.4</v>
      </c>
      <c r="T2987">
        <f>IFERROR(VLOOKUP(A2987,Table1[[Customer ID]:[Discount Amount]], 6, FALSE),"Not Found")</f>
        <v>36</v>
      </c>
      <c r="U2987" t="str">
        <f t="shared" si="185"/>
        <v>Cash</v>
      </c>
      <c r="V2987" s="4" t="str">
        <f t="shared" si="186"/>
        <v>Normal</v>
      </c>
      <c r="W2987" s="4" t="str">
        <f t="shared" si="187"/>
        <v>Good</v>
      </c>
      <c r="X2987" s="4">
        <f>AVERAGE(Table1[Purchase Amount])</f>
        <v>129.48419400000012</v>
      </c>
    </row>
    <row r="2988" spans="1:24" ht="15" customHeight="1" x14ac:dyDescent="0.25">
      <c r="A2988">
        <v>2987</v>
      </c>
      <c r="B2988">
        <v>62</v>
      </c>
      <c r="C2988" t="s">
        <v>16</v>
      </c>
      <c r="D2988" t="s">
        <v>114</v>
      </c>
      <c r="E2988" t="s">
        <v>29</v>
      </c>
      <c r="F2988" s="2">
        <v>85</v>
      </c>
      <c r="G2988" t="s">
        <v>150</v>
      </c>
      <c r="H2988" t="s">
        <v>55</v>
      </c>
      <c r="I2988" t="s">
        <v>153</v>
      </c>
      <c r="J2988" t="s">
        <v>57</v>
      </c>
      <c r="K2988">
        <v>3.3</v>
      </c>
      <c r="L2988" t="s">
        <v>23</v>
      </c>
      <c r="M2988" t="s">
        <v>41</v>
      </c>
      <c r="N2988" t="s">
        <v>23</v>
      </c>
      <c r="O2988">
        <v>16</v>
      </c>
      <c r="P2988" t="s">
        <v>53</v>
      </c>
      <c r="Q2988" t="s">
        <v>42</v>
      </c>
      <c r="R2988" s="1">
        <v>0.1</v>
      </c>
      <c r="S2988">
        <f t="shared" si="184"/>
        <v>76.5</v>
      </c>
      <c r="T2988">
        <f>IFERROR(VLOOKUP(A2988,Table1[[Customer ID]:[Discount Amount]], 6, FALSE),"Not Found")</f>
        <v>85</v>
      </c>
      <c r="U2988" t="str">
        <f t="shared" si="185"/>
        <v>Credit Card</v>
      </c>
      <c r="V2988" s="4" t="str">
        <f t="shared" si="186"/>
        <v>Normal</v>
      </c>
      <c r="W2988" s="4" t="str">
        <f t="shared" si="187"/>
        <v>Good</v>
      </c>
      <c r="X2988" s="4">
        <f>AVERAGE(Table1[Purchase Amount])</f>
        <v>129.48419400000012</v>
      </c>
    </row>
    <row r="2989" spans="1:24" ht="15" customHeight="1" x14ac:dyDescent="0.25">
      <c r="A2989">
        <v>2988</v>
      </c>
      <c r="B2989">
        <v>63</v>
      </c>
      <c r="C2989" t="s">
        <v>16</v>
      </c>
      <c r="D2989" t="s">
        <v>122</v>
      </c>
      <c r="E2989" t="s">
        <v>18</v>
      </c>
      <c r="F2989" s="2">
        <v>36</v>
      </c>
      <c r="G2989" t="s">
        <v>119</v>
      </c>
      <c r="H2989" t="s">
        <v>45</v>
      </c>
      <c r="I2989" t="s">
        <v>40</v>
      </c>
      <c r="J2989" t="s">
        <v>22</v>
      </c>
      <c r="K2989">
        <v>2.5</v>
      </c>
      <c r="L2989" t="s">
        <v>23</v>
      </c>
      <c r="M2989" t="s">
        <v>48</v>
      </c>
      <c r="N2989" t="s">
        <v>23</v>
      </c>
      <c r="O2989">
        <v>42</v>
      </c>
      <c r="P2989" t="s">
        <v>25</v>
      </c>
      <c r="Q2989" t="s">
        <v>42</v>
      </c>
      <c r="R2989" s="1">
        <v>0.1</v>
      </c>
      <c r="S2989">
        <f t="shared" si="184"/>
        <v>32.4</v>
      </c>
      <c r="T2989">
        <f>IFERROR(VLOOKUP(A2989,Table1[[Customer ID]:[Discount Amount]], 6, FALSE),"Not Found")</f>
        <v>36</v>
      </c>
      <c r="U2989" t="str">
        <f t="shared" si="185"/>
        <v>Cash</v>
      </c>
      <c r="V2989" s="4" t="str">
        <f t="shared" si="186"/>
        <v>Normal</v>
      </c>
      <c r="W2989" s="4" t="str">
        <f t="shared" si="187"/>
        <v>Poor</v>
      </c>
      <c r="X2989" s="4">
        <f>AVERAGE(Table1[Purchase Amount])</f>
        <v>129.48419400000012</v>
      </c>
    </row>
    <row r="2990" spans="1:24" ht="15" customHeight="1" x14ac:dyDescent="0.25">
      <c r="A2990">
        <v>2989</v>
      </c>
      <c r="B2990">
        <v>69</v>
      </c>
      <c r="C2990" t="s">
        <v>16</v>
      </c>
      <c r="D2990" t="s">
        <v>105</v>
      </c>
      <c r="E2990" t="s">
        <v>18</v>
      </c>
      <c r="F2990" s="2">
        <v>55</v>
      </c>
      <c r="G2990" t="s">
        <v>158</v>
      </c>
      <c r="H2990" t="s">
        <v>55</v>
      </c>
      <c r="I2990" t="s">
        <v>136</v>
      </c>
      <c r="J2990" t="s">
        <v>33</v>
      </c>
      <c r="K2990">
        <v>5</v>
      </c>
      <c r="L2990" t="s">
        <v>23</v>
      </c>
      <c r="M2990" t="s">
        <v>41</v>
      </c>
      <c r="N2990" t="s">
        <v>23</v>
      </c>
      <c r="O2990">
        <v>31</v>
      </c>
      <c r="P2990" t="s">
        <v>36</v>
      </c>
      <c r="Q2990" t="s">
        <v>42</v>
      </c>
      <c r="R2990" s="1">
        <v>0.1</v>
      </c>
      <c r="S2990">
        <f t="shared" si="184"/>
        <v>49.5</v>
      </c>
      <c r="T2990">
        <f>IFERROR(VLOOKUP(A2990,Table1[[Customer ID]:[Discount Amount]], 6, FALSE),"Not Found")</f>
        <v>55</v>
      </c>
      <c r="U2990" t="str">
        <f t="shared" si="185"/>
        <v>Debit Card</v>
      </c>
      <c r="V2990" s="4" t="str">
        <f t="shared" si="186"/>
        <v>Normal</v>
      </c>
      <c r="W2990" s="4" t="str">
        <f t="shared" si="187"/>
        <v>Good</v>
      </c>
      <c r="X2990" s="4">
        <f>AVERAGE(Table1[Purchase Amount])</f>
        <v>129.48419400000012</v>
      </c>
    </row>
    <row r="2991" spans="1:24" ht="15" customHeight="1" x14ac:dyDescent="0.25">
      <c r="A2991">
        <v>2990</v>
      </c>
      <c r="B2991">
        <v>46</v>
      </c>
      <c r="C2991" t="s">
        <v>16</v>
      </c>
      <c r="D2991" t="s">
        <v>114</v>
      </c>
      <c r="E2991" t="s">
        <v>29</v>
      </c>
      <c r="F2991" s="2">
        <v>20</v>
      </c>
      <c r="G2991" t="s">
        <v>159</v>
      </c>
      <c r="H2991" t="s">
        <v>20</v>
      </c>
      <c r="I2991" t="s">
        <v>147</v>
      </c>
      <c r="J2991" t="s">
        <v>57</v>
      </c>
      <c r="K2991">
        <v>4.3</v>
      </c>
      <c r="L2991" t="s">
        <v>23</v>
      </c>
      <c r="M2991" t="s">
        <v>41</v>
      </c>
      <c r="N2991" t="s">
        <v>23</v>
      </c>
      <c r="O2991">
        <v>6</v>
      </c>
      <c r="P2991" t="s">
        <v>53</v>
      </c>
      <c r="Q2991" t="s">
        <v>26</v>
      </c>
      <c r="R2991" s="1">
        <v>0.1</v>
      </c>
      <c r="S2991">
        <f t="shared" si="184"/>
        <v>18</v>
      </c>
      <c r="T2991">
        <f>IFERROR(VLOOKUP(A2991,Table1[[Customer ID]:[Discount Amount]], 6, FALSE),"Not Found")</f>
        <v>20</v>
      </c>
      <c r="U2991" t="str">
        <f t="shared" si="185"/>
        <v>Credit Card</v>
      </c>
      <c r="V2991" s="4" t="str">
        <f t="shared" si="186"/>
        <v>Normal</v>
      </c>
      <c r="W2991" s="4" t="str">
        <f t="shared" si="187"/>
        <v>Good</v>
      </c>
      <c r="X2991" s="4">
        <f>AVERAGE(Table1[Purchase Amount])</f>
        <v>129.48419400000012</v>
      </c>
    </row>
    <row r="2992" spans="1:24" ht="15" customHeight="1" x14ac:dyDescent="0.25">
      <c r="A2992">
        <v>2991</v>
      </c>
      <c r="B2992">
        <v>69</v>
      </c>
      <c r="C2992" t="s">
        <v>16</v>
      </c>
      <c r="D2992" t="s">
        <v>38</v>
      </c>
      <c r="E2992" t="s">
        <v>18</v>
      </c>
      <c r="F2992" s="2">
        <v>91</v>
      </c>
      <c r="G2992" t="s">
        <v>44</v>
      </c>
      <c r="H2992" t="s">
        <v>31</v>
      </c>
      <c r="I2992" t="s">
        <v>147</v>
      </c>
      <c r="J2992" t="s">
        <v>47</v>
      </c>
      <c r="K2992">
        <v>4.2</v>
      </c>
      <c r="L2992" t="s">
        <v>23</v>
      </c>
      <c r="M2992" t="s">
        <v>35</v>
      </c>
      <c r="N2992" t="s">
        <v>23</v>
      </c>
      <c r="O2992">
        <v>24</v>
      </c>
      <c r="P2992" t="s">
        <v>62</v>
      </c>
      <c r="Q2992" t="s">
        <v>42</v>
      </c>
      <c r="R2992" s="1">
        <v>0.1</v>
      </c>
      <c r="S2992">
        <f t="shared" si="184"/>
        <v>81.900000000000006</v>
      </c>
      <c r="T2992">
        <f>IFERROR(VLOOKUP(A2992,Table1[[Customer ID]:[Discount Amount]], 6, FALSE),"Not Found")</f>
        <v>91</v>
      </c>
      <c r="U2992" t="str">
        <f t="shared" si="185"/>
        <v>Venmo</v>
      </c>
      <c r="V2992" s="4" t="str">
        <f t="shared" si="186"/>
        <v>Normal</v>
      </c>
      <c r="W2992" s="4" t="str">
        <f t="shared" si="187"/>
        <v>Good</v>
      </c>
      <c r="X2992" s="4">
        <f>AVERAGE(Table1[Purchase Amount])</f>
        <v>129.48419400000012</v>
      </c>
    </row>
    <row r="2993" spans="1:24" ht="15" customHeight="1" x14ac:dyDescent="0.25">
      <c r="A2993">
        <v>2992</v>
      </c>
      <c r="B2993">
        <v>66</v>
      </c>
      <c r="C2993" t="s">
        <v>16</v>
      </c>
      <c r="D2993" t="s">
        <v>157</v>
      </c>
      <c r="E2993" t="s">
        <v>18</v>
      </c>
      <c r="F2993" s="2">
        <v>71</v>
      </c>
      <c r="G2993" t="s">
        <v>144</v>
      </c>
      <c r="H2993" t="s">
        <v>45</v>
      </c>
      <c r="I2993" t="s">
        <v>93</v>
      </c>
      <c r="J2993" t="s">
        <v>57</v>
      </c>
      <c r="K2993">
        <v>3.9</v>
      </c>
      <c r="L2993" t="s">
        <v>23</v>
      </c>
      <c r="M2993" t="s">
        <v>24</v>
      </c>
      <c r="N2993" t="s">
        <v>23</v>
      </c>
      <c r="O2993">
        <v>7</v>
      </c>
      <c r="P2993" t="s">
        <v>58</v>
      </c>
      <c r="Q2993" t="s">
        <v>68</v>
      </c>
      <c r="R2993" s="1">
        <v>0.1</v>
      </c>
      <c r="S2993">
        <f t="shared" si="184"/>
        <v>63.9</v>
      </c>
      <c r="T2993">
        <f>IFERROR(VLOOKUP(A2993,Table1[[Customer ID]:[Discount Amount]], 6, FALSE),"Not Found")</f>
        <v>71</v>
      </c>
      <c r="U2993" t="str">
        <f t="shared" si="185"/>
        <v>PayPal</v>
      </c>
      <c r="V2993" s="4" t="str">
        <f t="shared" si="186"/>
        <v>Normal</v>
      </c>
      <c r="W2993" s="4" t="str">
        <f t="shared" si="187"/>
        <v>Good</v>
      </c>
      <c r="X2993" s="4">
        <f>AVERAGE(Table1[Purchase Amount])</f>
        <v>129.48419400000012</v>
      </c>
    </row>
    <row r="2994" spans="1:24" ht="15" customHeight="1" x14ac:dyDescent="0.25">
      <c r="A2994">
        <v>2993</v>
      </c>
      <c r="B2994">
        <v>41</v>
      </c>
      <c r="C2994" t="s">
        <v>16</v>
      </c>
      <c r="D2994" t="s">
        <v>105</v>
      </c>
      <c r="E2994" t="s">
        <v>18</v>
      </c>
      <c r="F2994" s="2">
        <v>64</v>
      </c>
      <c r="G2994" t="s">
        <v>86</v>
      </c>
      <c r="H2994" t="s">
        <v>31</v>
      </c>
      <c r="I2994" t="s">
        <v>103</v>
      </c>
      <c r="J2994" t="s">
        <v>33</v>
      </c>
      <c r="K2994">
        <v>3.9</v>
      </c>
      <c r="L2994" t="s">
        <v>23</v>
      </c>
      <c r="M2994" t="s">
        <v>48</v>
      </c>
      <c r="N2994" t="s">
        <v>23</v>
      </c>
      <c r="O2994">
        <v>25</v>
      </c>
      <c r="P2994" t="s">
        <v>62</v>
      </c>
      <c r="Q2994" t="s">
        <v>26</v>
      </c>
      <c r="R2994" s="1">
        <v>0.1</v>
      </c>
      <c r="S2994">
        <f t="shared" si="184"/>
        <v>57.6</v>
      </c>
      <c r="T2994">
        <f>IFERROR(VLOOKUP(A2994,Table1[[Customer ID]:[Discount Amount]], 6, FALSE),"Not Found")</f>
        <v>64</v>
      </c>
      <c r="U2994" t="str">
        <f t="shared" si="185"/>
        <v>Venmo</v>
      </c>
      <c r="V2994" s="4" t="str">
        <f t="shared" si="186"/>
        <v>Normal</v>
      </c>
      <c r="W2994" s="4" t="str">
        <f t="shared" si="187"/>
        <v>Good</v>
      </c>
      <c r="X2994" s="4">
        <f>AVERAGE(Table1[Purchase Amount])</f>
        <v>129.48419400000012</v>
      </c>
    </row>
    <row r="2995" spans="1:24" ht="15" customHeight="1" x14ac:dyDescent="0.25">
      <c r="A2995">
        <v>2994</v>
      </c>
      <c r="B2995">
        <v>32</v>
      </c>
      <c r="C2995" t="s">
        <v>16</v>
      </c>
      <c r="D2995" t="s">
        <v>96</v>
      </c>
      <c r="E2995" t="s">
        <v>77</v>
      </c>
      <c r="F2995" s="2">
        <v>21</v>
      </c>
      <c r="G2995" t="s">
        <v>124</v>
      </c>
      <c r="H2995" t="s">
        <v>45</v>
      </c>
      <c r="I2995" t="s">
        <v>91</v>
      </c>
      <c r="J2995" t="s">
        <v>33</v>
      </c>
      <c r="K2995">
        <v>4.2</v>
      </c>
      <c r="L2995" t="s">
        <v>23</v>
      </c>
      <c r="M2995" t="s">
        <v>35</v>
      </c>
      <c r="N2995" t="s">
        <v>23</v>
      </c>
      <c r="O2995">
        <v>18</v>
      </c>
      <c r="P2995" t="s">
        <v>25</v>
      </c>
      <c r="Q2995" t="s">
        <v>68</v>
      </c>
      <c r="R2995" s="1">
        <v>0.1</v>
      </c>
      <c r="S2995">
        <f t="shared" si="184"/>
        <v>18.899999999999999</v>
      </c>
      <c r="T2995">
        <f>IFERROR(VLOOKUP(A2995,Table1[[Customer ID]:[Discount Amount]], 6, FALSE),"Not Found")</f>
        <v>21</v>
      </c>
      <c r="U2995" t="str">
        <f t="shared" si="185"/>
        <v>Cash</v>
      </c>
      <c r="V2995" s="4" t="str">
        <f t="shared" si="186"/>
        <v>Normal</v>
      </c>
      <c r="W2995" s="4" t="str">
        <f t="shared" si="187"/>
        <v>Good</v>
      </c>
      <c r="X2995" s="4">
        <f>AVERAGE(Table1[Purchase Amount])</f>
        <v>129.48419400000012</v>
      </c>
    </row>
    <row r="2996" spans="1:24" ht="15" customHeight="1" x14ac:dyDescent="0.25">
      <c r="A2996">
        <v>2995</v>
      </c>
      <c r="B2996">
        <v>69</v>
      </c>
      <c r="C2996" t="s">
        <v>16</v>
      </c>
      <c r="D2996" t="s">
        <v>127</v>
      </c>
      <c r="E2996" t="s">
        <v>18</v>
      </c>
      <c r="F2996" s="2">
        <v>100</v>
      </c>
      <c r="G2996" t="s">
        <v>158</v>
      </c>
      <c r="H2996" t="s">
        <v>55</v>
      </c>
      <c r="I2996" t="s">
        <v>32</v>
      </c>
      <c r="J2996" t="s">
        <v>22</v>
      </c>
      <c r="K2996">
        <v>3.5</v>
      </c>
      <c r="L2996" t="s">
        <v>23</v>
      </c>
      <c r="M2996" t="s">
        <v>48</v>
      </c>
      <c r="N2996" t="s">
        <v>23</v>
      </c>
      <c r="O2996">
        <v>14</v>
      </c>
      <c r="P2996" t="s">
        <v>88</v>
      </c>
      <c r="Q2996" t="s">
        <v>37</v>
      </c>
      <c r="R2996" s="1">
        <v>0.1</v>
      </c>
      <c r="S2996">
        <f t="shared" si="184"/>
        <v>90</v>
      </c>
      <c r="T2996">
        <f>IFERROR(VLOOKUP(A2996,Table1[[Customer ID]:[Discount Amount]], 6, FALSE),"Not Found")</f>
        <v>100</v>
      </c>
      <c r="U2996" t="str">
        <f t="shared" si="185"/>
        <v>Bank Transfer</v>
      </c>
      <c r="V2996" s="4" t="str">
        <f t="shared" si="186"/>
        <v>Normal</v>
      </c>
      <c r="W2996" s="4" t="str">
        <f t="shared" si="187"/>
        <v>Good</v>
      </c>
      <c r="X2996" s="4">
        <f>AVERAGE(Table1[Purchase Amount])</f>
        <v>129.48419400000012</v>
      </c>
    </row>
    <row r="2997" spans="1:24" ht="15" customHeight="1" x14ac:dyDescent="0.25">
      <c r="A2997">
        <v>2996</v>
      </c>
      <c r="B2997">
        <v>29</v>
      </c>
      <c r="C2997" t="s">
        <v>16</v>
      </c>
      <c r="D2997" t="s">
        <v>109</v>
      </c>
      <c r="E2997" t="s">
        <v>18</v>
      </c>
      <c r="F2997" s="2">
        <v>96</v>
      </c>
      <c r="G2997" t="s">
        <v>138</v>
      </c>
      <c r="H2997" t="s">
        <v>31</v>
      </c>
      <c r="I2997" t="s">
        <v>108</v>
      </c>
      <c r="J2997" t="s">
        <v>57</v>
      </c>
      <c r="K2997">
        <v>2.5</v>
      </c>
      <c r="L2997" t="s">
        <v>23</v>
      </c>
      <c r="M2997" t="s">
        <v>24</v>
      </c>
      <c r="N2997" t="s">
        <v>23</v>
      </c>
      <c r="O2997">
        <v>42</v>
      </c>
      <c r="P2997" t="s">
        <v>36</v>
      </c>
      <c r="Q2997" t="s">
        <v>68</v>
      </c>
      <c r="R2997" s="1">
        <v>0.1</v>
      </c>
      <c r="S2997">
        <f t="shared" si="184"/>
        <v>86.4</v>
      </c>
      <c r="T2997">
        <f>IFERROR(VLOOKUP(A2997,Table1[[Customer ID]:[Discount Amount]], 6, FALSE),"Not Found")</f>
        <v>96</v>
      </c>
      <c r="U2997" t="str">
        <f t="shared" si="185"/>
        <v>Debit Card</v>
      </c>
      <c r="V2997" s="4" t="str">
        <f t="shared" si="186"/>
        <v>Normal</v>
      </c>
      <c r="W2997" s="4" t="str">
        <f t="shared" si="187"/>
        <v>Poor</v>
      </c>
      <c r="X2997" s="4">
        <f>AVERAGE(Table1[Purchase Amount])</f>
        <v>129.48419400000012</v>
      </c>
    </row>
    <row r="2998" spans="1:24" ht="15" customHeight="1" x14ac:dyDescent="0.25">
      <c r="A2998">
        <v>2997</v>
      </c>
      <c r="B2998">
        <v>70</v>
      </c>
      <c r="C2998" t="s">
        <v>16</v>
      </c>
      <c r="D2998" t="s">
        <v>50</v>
      </c>
      <c r="E2998" t="s">
        <v>29</v>
      </c>
      <c r="F2998" s="2">
        <v>91</v>
      </c>
      <c r="G2998" t="s">
        <v>144</v>
      </c>
      <c r="H2998" t="s">
        <v>31</v>
      </c>
      <c r="I2998" t="s">
        <v>32</v>
      </c>
      <c r="J2998" t="s">
        <v>33</v>
      </c>
      <c r="K2998">
        <v>2.9</v>
      </c>
      <c r="L2998" t="s">
        <v>23</v>
      </c>
      <c r="M2998" t="s">
        <v>61</v>
      </c>
      <c r="N2998" t="s">
        <v>23</v>
      </c>
      <c r="O2998">
        <v>6</v>
      </c>
      <c r="P2998" t="s">
        <v>62</v>
      </c>
      <c r="Q2998" t="s">
        <v>63</v>
      </c>
      <c r="R2998" s="1">
        <v>0.1</v>
      </c>
      <c r="S2998">
        <f t="shared" si="184"/>
        <v>81.900000000000006</v>
      </c>
      <c r="T2998">
        <f>IFERROR(VLOOKUP(A2998,Table1[[Customer ID]:[Discount Amount]], 6, FALSE),"Not Found")</f>
        <v>91</v>
      </c>
      <c r="U2998" t="str">
        <f t="shared" si="185"/>
        <v>Venmo</v>
      </c>
      <c r="V2998" s="4" t="str">
        <f t="shared" si="186"/>
        <v>Normal</v>
      </c>
      <c r="W2998" s="4" t="str">
        <f t="shared" si="187"/>
        <v>Poor</v>
      </c>
      <c r="X2998" s="4">
        <f>AVERAGE(Table1[Purchase Amount])</f>
        <v>129.48419400000012</v>
      </c>
    </row>
    <row r="2999" spans="1:24" ht="15" customHeight="1" x14ac:dyDescent="0.25">
      <c r="A2999">
        <v>2998</v>
      </c>
      <c r="B2999">
        <v>41</v>
      </c>
      <c r="C2999" t="s">
        <v>16</v>
      </c>
      <c r="D2999" t="s">
        <v>127</v>
      </c>
      <c r="E2999" t="s">
        <v>18</v>
      </c>
      <c r="F2999" s="2">
        <v>40</v>
      </c>
      <c r="G2999" t="s">
        <v>161</v>
      </c>
      <c r="H2999" t="s">
        <v>55</v>
      </c>
      <c r="I2999" t="s">
        <v>52</v>
      </c>
      <c r="J2999" t="s">
        <v>33</v>
      </c>
      <c r="K2999">
        <v>2.7</v>
      </c>
      <c r="L2999" t="s">
        <v>23</v>
      </c>
      <c r="M2999" t="s">
        <v>79</v>
      </c>
      <c r="N2999" t="s">
        <v>23</v>
      </c>
      <c r="O2999">
        <v>14</v>
      </c>
      <c r="P2999" t="s">
        <v>62</v>
      </c>
      <c r="Q2999" t="s">
        <v>63</v>
      </c>
      <c r="R2999" s="1">
        <v>0.1</v>
      </c>
      <c r="S2999">
        <f t="shared" si="184"/>
        <v>36</v>
      </c>
      <c r="T2999">
        <f>IFERROR(VLOOKUP(A2999,Table1[[Customer ID]:[Discount Amount]], 6, FALSE),"Not Found")</f>
        <v>40</v>
      </c>
      <c r="U2999" t="str">
        <f t="shared" si="185"/>
        <v>Venmo</v>
      </c>
      <c r="V2999" s="4" t="str">
        <f t="shared" si="186"/>
        <v>Normal</v>
      </c>
      <c r="W2999" s="4" t="str">
        <f t="shared" si="187"/>
        <v>Poor</v>
      </c>
      <c r="X2999" s="4">
        <f>AVERAGE(Table1[Purchase Amount])</f>
        <v>129.48419400000012</v>
      </c>
    </row>
    <row r="3000" spans="1:24" ht="15" customHeight="1" x14ac:dyDescent="0.25">
      <c r="A3000">
        <v>2999</v>
      </c>
      <c r="B3000">
        <v>31</v>
      </c>
      <c r="C3000" t="s">
        <v>16</v>
      </c>
      <c r="D3000" t="s">
        <v>83</v>
      </c>
      <c r="E3000" t="s">
        <v>18</v>
      </c>
      <c r="F3000" s="2">
        <v>53</v>
      </c>
      <c r="G3000" t="s">
        <v>148</v>
      </c>
      <c r="H3000" t="s">
        <v>31</v>
      </c>
      <c r="I3000" t="s">
        <v>46</v>
      </c>
      <c r="J3000" t="s">
        <v>57</v>
      </c>
      <c r="K3000">
        <v>4.7</v>
      </c>
      <c r="L3000" t="s">
        <v>23</v>
      </c>
      <c r="M3000" t="s">
        <v>61</v>
      </c>
      <c r="N3000" t="s">
        <v>23</v>
      </c>
      <c r="O3000">
        <v>30</v>
      </c>
      <c r="P3000" t="s">
        <v>36</v>
      </c>
      <c r="Q3000" t="s">
        <v>37</v>
      </c>
      <c r="R3000" s="1">
        <v>0.1</v>
      </c>
      <c r="S3000">
        <f t="shared" si="184"/>
        <v>47.7</v>
      </c>
      <c r="T3000">
        <f>IFERROR(VLOOKUP(A3000,Table1[[Customer ID]:[Discount Amount]], 6, FALSE),"Not Found")</f>
        <v>53</v>
      </c>
      <c r="U3000" t="str">
        <f t="shared" si="185"/>
        <v>Debit Card</v>
      </c>
      <c r="V3000" s="4" t="str">
        <f t="shared" si="186"/>
        <v>Normal</v>
      </c>
      <c r="W3000" s="4" t="str">
        <f t="shared" si="187"/>
        <v>Good</v>
      </c>
      <c r="X3000" s="4">
        <f>AVERAGE(Table1[Purchase Amount])</f>
        <v>129.48419400000012</v>
      </c>
    </row>
    <row r="3001" spans="1:24" ht="15" customHeight="1" x14ac:dyDescent="0.25">
      <c r="A3001">
        <v>3000</v>
      </c>
      <c r="B3001">
        <v>31</v>
      </c>
      <c r="C3001" t="s">
        <v>16</v>
      </c>
      <c r="D3001" t="s">
        <v>28</v>
      </c>
      <c r="E3001" t="s">
        <v>29</v>
      </c>
      <c r="F3001" s="2">
        <v>48</v>
      </c>
      <c r="G3001" t="s">
        <v>132</v>
      </c>
      <c r="H3001" t="s">
        <v>55</v>
      </c>
      <c r="I3001" t="s">
        <v>103</v>
      </c>
      <c r="J3001" t="s">
        <v>22</v>
      </c>
      <c r="K3001">
        <v>3.8</v>
      </c>
      <c r="L3001" t="s">
        <v>23</v>
      </c>
      <c r="M3001" t="s">
        <v>24</v>
      </c>
      <c r="N3001" t="s">
        <v>23</v>
      </c>
      <c r="O3001">
        <v>10</v>
      </c>
      <c r="P3001" t="s">
        <v>25</v>
      </c>
      <c r="Q3001" t="s">
        <v>42</v>
      </c>
      <c r="R3001" s="1">
        <v>0.1</v>
      </c>
      <c r="S3001">
        <f t="shared" si="184"/>
        <v>43.2</v>
      </c>
      <c r="T3001">
        <f>IFERROR(VLOOKUP(A3001,Table1[[Customer ID]:[Discount Amount]], 6, FALSE),"Not Found")</f>
        <v>48</v>
      </c>
      <c r="U3001" t="str">
        <f t="shared" si="185"/>
        <v>Cash</v>
      </c>
      <c r="V3001" s="4" t="str">
        <f t="shared" si="186"/>
        <v>Normal</v>
      </c>
      <c r="W3001" s="4" t="str">
        <f t="shared" si="187"/>
        <v>Good</v>
      </c>
      <c r="X3001" s="4">
        <f>AVERAGE(Table1[Purchase Amount])</f>
        <v>129.48419400000012</v>
      </c>
    </row>
    <row r="3002" spans="1:24" ht="15" customHeight="1" x14ac:dyDescent="0.25">
      <c r="A3002">
        <v>3001</v>
      </c>
      <c r="B3002">
        <v>57</v>
      </c>
      <c r="C3002" t="s">
        <v>16</v>
      </c>
      <c r="D3002" t="s">
        <v>121</v>
      </c>
      <c r="E3002" t="s">
        <v>98</v>
      </c>
      <c r="F3002" s="2">
        <v>70</v>
      </c>
      <c r="G3002" t="s">
        <v>90</v>
      </c>
      <c r="H3002" t="s">
        <v>31</v>
      </c>
      <c r="I3002" t="s">
        <v>107</v>
      </c>
      <c r="J3002" t="s">
        <v>22</v>
      </c>
      <c r="K3002">
        <v>3.7</v>
      </c>
      <c r="L3002" t="s">
        <v>23</v>
      </c>
      <c r="M3002" t="s">
        <v>61</v>
      </c>
      <c r="N3002" t="s">
        <v>23</v>
      </c>
      <c r="O3002">
        <v>7</v>
      </c>
      <c r="P3002" t="s">
        <v>58</v>
      </c>
      <c r="Q3002" t="s">
        <v>26</v>
      </c>
      <c r="R3002" s="1">
        <v>0.1</v>
      </c>
      <c r="S3002">
        <f t="shared" si="184"/>
        <v>63</v>
      </c>
      <c r="T3002">
        <f>IFERROR(VLOOKUP(A3002,Table1[[Customer ID]:[Discount Amount]], 6, FALSE),"Not Found")</f>
        <v>70</v>
      </c>
      <c r="U3002" t="str">
        <f t="shared" si="185"/>
        <v>PayPal</v>
      </c>
      <c r="V3002" s="4" t="str">
        <f t="shared" si="186"/>
        <v>Normal</v>
      </c>
      <c r="W3002" s="4" t="str">
        <f t="shared" si="187"/>
        <v>Good</v>
      </c>
      <c r="X3002" s="4">
        <f>AVERAGE(Table1[Purchase Amount])</f>
        <v>129.48419400000012</v>
      </c>
    </row>
    <row r="3003" spans="1:24" ht="15" customHeight="1" x14ac:dyDescent="0.25">
      <c r="A3003">
        <v>3002</v>
      </c>
      <c r="B3003">
        <v>29</v>
      </c>
      <c r="C3003" t="s">
        <v>16</v>
      </c>
      <c r="D3003" t="s">
        <v>76</v>
      </c>
      <c r="E3003" t="s">
        <v>77</v>
      </c>
      <c r="F3003" s="2">
        <v>29</v>
      </c>
      <c r="G3003" t="s">
        <v>39</v>
      </c>
      <c r="H3003" t="s">
        <v>45</v>
      </c>
      <c r="I3003" t="s">
        <v>103</v>
      </c>
      <c r="J3003" t="s">
        <v>57</v>
      </c>
      <c r="K3003">
        <v>4.7</v>
      </c>
      <c r="L3003" t="s">
        <v>23</v>
      </c>
      <c r="M3003" t="s">
        <v>61</v>
      </c>
      <c r="N3003" t="s">
        <v>23</v>
      </c>
      <c r="O3003">
        <v>28</v>
      </c>
      <c r="P3003" t="s">
        <v>53</v>
      </c>
      <c r="Q3003" t="s">
        <v>37</v>
      </c>
      <c r="R3003" s="1">
        <v>0.1</v>
      </c>
      <c r="S3003">
        <f t="shared" si="184"/>
        <v>26.1</v>
      </c>
      <c r="T3003">
        <f>IFERROR(VLOOKUP(A3003,Table1[[Customer ID]:[Discount Amount]], 6, FALSE),"Not Found")</f>
        <v>29</v>
      </c>
      <c r="U3003" t="str">
        <f t="shared" si="185"/>
        <v>Credit Card</v>
      </c>
      <c r="V3003" s="4" t="str">
        <f t="shared" si="186"/>
        <v>Normal</v>
      </c>
      <c r="W3003" s="4" t="str">
        <f t="shared" si="187"/>
        <v>Good</v>
      </c>
      <c r="X3003" s="4">
        <f>AVERAGE(Table1[Purchase Amount])</f>
        <v>129.48419400000012</v>
      </c>
    </row>
    <row r="3004" spans="1:24" ht="15" customHeight="1" x14ac:dyDescent="0.25">
      <c r="A3004">
        <v>3003</v>
      </c>
      <c r="B3004">
        <v>70</v>
      </c>
      <c r="C3004" t="s">
        <v>16</v>
      </c>
      <c r="D3004" t="s">
        <v>114</v>
      </c>
      <c r="E3004" t="s">
        <v>29</v>
      </c>
      <c r="F3004" s="2">
        <v>29</v>
      </c>
      <c r="G3004" t="s">
        <v>119</v>
      </c>
      <c r="H3004" t="s">
        <v>31</v>
      </c>
      <c r="I3004" t="s">
        <v>125</v>
      </c>
      <c r="J3004" t="s">
        <v>47</v>
      </c>
      <c r="K3004">
        <v>3.6</v>
      </c>
      <c r="L3004" t="s">
        <v>23</v>
      </c>
      <c r="M3004" t="s">
        <v>79</v>
      </c>
      <c r="N3004" t="s">
        <v>23</v>
      </c>
      <c r="O3004">
        <v>19</v>
      </c>
      <c r="P3004" t="s">
        <v>88</v>
      </c>
      <c r="Q3004" t="s">
        <v>37</v>
      </c>
      <c r="R3004" s="1">
        <v>0.1</v>
      </c>
      <c r="S3004">
        <f t="shared" si="184"/>
        <v>26.1</v>
      </c>
      <c r="T3004">
        <f>IFERROR(VLOOKUP(A3004,Table1[[Customer ID]:[Discount Amount]], 6, FALSE),"Not Found")</f>
        <v>29</v>
      </c>
      <c r="U3004" t="str">
        <f t="shared" si="185"/>
        <v>Bank Transfer</v>
      </c>
      <c r="V3004" s="4" t="str">
        <f t="shared" si="186"/>
        <v>Normal</v>
      </c>
      <c r="W3004" s="4" t="str">
        <f t="shared" si="187"/>
        <v>Good</v>
      </c>
      <c r="X3004" s="4">
        <f>AVERAGE(Table1[Purchase Amount])</f>
        <v>129.48419400000012</v>
      </c>
    </row>
    <row r="3005" spans="1:24" ht="15" customHeight="1" x14ac:dyDescent="0.25">
      <c r="A3005">
        <v>3004</v>
      </c>
      <c r="B3005">
        <v>51</v>
      </c>
      <c r="C3005" t="s">
        <v>16</v>
      </c>
      <c r="D3005" t="s">
        <v>118</v>
      </c>
      <c r="E3005" t="s">
        <v>18</v>
      </c>
      <c r="F3005" s="2">
        <v>53</v>
      </c>
      <c r="G3005" t="s">
        <v>123</v>
      </c>
      <c r="H3005" t="s">
        <v>31</v>
      </c>
      <c r="I3005" t="s">
        <v>60</v>
      </c>
      <c r="J3005" t="s">
        <v>47</v>
      </c>
      <c r="K3005">
        <v>2.8</v>
      </c>
      <c r="L3005" t="s">
        <v>23</v>
      </c>
      <c r="M3005" t="s">
        <v>61</v>
      </c>
      <c r="N3005" t="s">
        <v>23</v>
      </c>
      <c r="O3005">
        <v>13</v>
      </c>
      <c r="P3005" t="s">
        <v>53</v>
      </c>
      <c r="Q3005" t="s">
        <v>63</v>
      </c>
      <c r="R3005" s="1">
        <v>0.1</v>
      </c>
      <c r="S3005">
        <f t="shared" si="184"/>
        <v>47.7</v>
      </c>
      <c r="T3005">
        <f>IFERROR(VLOOKUP(A3005,Table1[[Customer ID]:[Discount Amount]], 6, FALSE),"Not Found")</f>
        <v>53</v>
      </c>
      <c r="U3005" t="str">
        <f t="shared" si="185"/>
        <v>Credit Card</v>
      </c>
      <c r="V3005" s="4" t="str">
        <f t="shared" si="186"/>
        <v>Normal</v>
      </c>
      <c r="W3005" s="4" t="str">
        <f t="shared" si="187"/>
        <v>Poor</v>
      </c>
      <c r="X3005" s="4">
        <f>AVERAGE(Table1[Purchase Amount])</f>
        <v>129.48419400000012</v>
      </c>
    </row>
    <row r="3006" spans="1:24" ht="15" customHeight="1" x14ac:dyDescent="0.25">
      <c r="A3006">
        <v>3005</v>
      </c>
      <c r="B3006">
        <v>45</v>
      </c>
      <c r="C3006" t="s">
        <v>16</v>
      </c>
      <c r="D3006" t="s">
        <v>122</v>
      </c>
      <c r="E3006" t="s">
        <v>18</v>
      </c>
      <c r="F3006" s="2">
        <v>79</v>
      </c>
      <c r="G3006" t="s">
        <v>150</v>
      </c>
      <c r="H3006" t="s">
        <v>31</v>
      </c>
      <c r="I3006" t="s">
        <v>107</v>
      </c>
      <c r="J3006" t="s">
        <v>22</v>
      </c>
      <c r="K3006">
        <v>3.7</v>
      </c>
      <c r="L3006" t="s">
        <v>23</v>
      </c>
      <c r="M3006" t="s">
        <v>48</v>
      </c>
      <c r="N3006" t="s">
        <v>23</v>
      </c>
      <c r="O3006">
        <v>23</v>
      </c>
      <c r="P3006" t="s">
        <v>62</v>
      </c>
      <c r="Q3006" t="s">
        <v>89</v>
      </c>
      <c r="R3006" s="1">
        <v>0.1</v>
      </c>
      <c r="S3006">
        <f t="shared" si="184"/>
        <v>71.099999999999994</v>
      </c>
      <c r="T3006">
        <f>IFERROR(VLOOKUP(A3006,Table1[[Customer ID]:[Discount Amount]], 6, FALSE),"Not Found")</f>
        <v>79</v>
      </c>
      <c r="U3006" t="str">
        <f t="shared" si="185"/>
        <v>Venmo</v>
      </c>
      <c r="V3006" s="4" t="str">
        <f t="shared" si="186"/>
        <v>Normal</v>
      </c>
      <c r="W3006" s="4" t="str">
        <f t="shared" si="187"/>
        <v>Good</v>
      </c>
      <c r="X3006" s="4">
        <f>AVERAGE(Table1[Purchase Amount])</f>
        <v>129.48419400000012</v>
      </c>
    </row>
    <row r="3007" spans="1:24" ht="15" customHeight="1" x14ac:dyDescent="0.25">
      <c r="A3007">
        <v>3006</v>
      </c>
      <c r="B3007">
        <v>18</v>
      </c>
      <c r="C3007" t="s">
        <v>16</v>
      </c>
      <c r="D3007" t="s">
        <v>54</v>
      </c>
      <c r="E3007" t="s">
        <v>18</v>
      </c>
      <c r="F3007" s="2">
        <v>65</v>
      </c>
      <c r="G3007" t="s">
        <v>148</v>
      </c>
      <c r="H3007" t="s">
        <v>20</v>
      </c>
      <c r="I3007" t="s">
        <v>60</v>
      </c>
      <c r="J3007" t="s">
        <v>33</v>
      </c>
      <c r="K3007">
        <v>3.5</v>
      </c>
      <c r="L3007" t="s">
        <v>23</v>
      </c>
      <c r="M3007" t="s">
        <v>61</v>
      </c>
      <c r="N3007" t="s">
        <v>23</v>
      </c>
      <c r="O3007">
        <v>5</v>
      </c>
      <c r="P3007" t="s">
        <v>62</v>
      </c>
      <c r="Q3007" t="s">
        <v>26</v>
      </c>
      <c r="R3007" s="1">
        <v>0.1</v>
      </c>
      <c r="S3007">
        <f t="shared" si="184"/>
        <v>58.5</v>
      </c>
      <c r="T3007">
        <f>IFERROR(VLOOKUP(A3007,Table1[[Customer ID]:[Discount Amount]], 6, FALSE),"Not Found")</f>
        <v>65</v>
      </c>
      <c r="U3007" t="str">
        <f t="shared" si="185"/>
        <v>Venmo</v>
      </c>
      <c r="V3007" s="4" t="str">
        <f t="shared" si="186"/>
        <v>Normal</v>
      </c>
      <c r="W3007" s="4" t="str">
        <f t="shared" si="187"/>
        <v>Good</v>
      </c>
      <c r="X3007" s="4">
        <f>AVERAGE(Table1[Purchase Amount])</f>
        <v>129.48419400000012</v>
      </c>
    </row>
    <row r="3008" spans="1:24" ht="15" customHeight="1" x14ac:dyDescent="0.25">
      <c r="A3008">
        <v>3007</v>
      </c>
      <c r="B3008">
        <v>37</v>
      </c>
      <c r="C3008" t="s">
        <v>16</v>
      </c>
      <c r="D3008" t="s">
        <v>157</v>
      </c>
      <c r="E3008" t="s">
        <v>18</v>
      </c>
      <c r="F3008" s="2">
        <v>99</v>
      </c>
      <c r="G3008" t="s">
        <v>144</v>
      </c>
      <c r="H3008" t="s">
        <v>31</v>
      </c>
      <c r="I3008" t="s">
        <v>21</v>
      </c>
      <c r="J3008" t="s">
        <v>57</v>
      </c>
      <c r="K3008">
        <v>3.7</v>
      </c>
      <c r="L3008" t="s">
        <v>23</v>
      </c>
      <c r="M3008" t="s">
        <v>48</v>
      </c>
      <c r="N3008" t="s">
        <v>23</v>
      </c>
      <c r="O3008">
        <v>17</v>
      </c>
      <c r="P3008" t="s">
        <v>62</v>
      </c>
      <c r="Q3008" t="s">
        <v>68</v>
      </c>
      <c r="R3008" s="1">
        <v>0.1</v>
      </c>
      <c r="S3008">
        <f t="shared" si="184"/>
        <v>89.1</v>
      </c>
      <c r="T3008">
        <f>IFERROR(VLOOKUP(A3008,Table1[[Customer ID]:[Discount Amount]], 6, FALSE),"Not Found")</f>
        <v>99</v>
      </c>
      <c r="U3008" t="str">
        <f t="shared" si="185"/>
        <v>Venmo</v>
      </c>
      <c r="V3008" s="4" t="str">
        <f t="shared" si="186"/>
        <v>Normal</v>
      </c>
      <c r="W3008" s="4" t="str">
        <f t="shared" si="187"/>
        <v>Good</v>
      </c>
      <c r="X3008" s="4">
        <f>AVERAGE(Table1[Purchase Amount])</f>
        <v>129.48419400000012</v>
      </c>
    </row>
    <row r="3009" spans="1:24" ht="15" customHeight="1" x14ac:dyDescent="0.25">
      <c r="A3009">
        <v>3008</v>
      </c>
      <c r="B3009">
        <v>23</v>
      </c>
      <c r="C3009" t="s">
        <v>16</v>
      </c>
      <c r="D3009" t="s">
        <v>28</v>
      </c>
      <c r="E3009" t="s">
        <v>29</v>
      </c>
      <c r="F3009" s="2">
        <v>60</v>
      </c>
      <c r="G3009" t="s">
        <v>101</v>
      </c>
      <c r="H3009" t="s">
        <v>45</v>
      </c>
      <c r="I3009" t="s">
        <v>107</v>
      </c>
      <c r="J3009" t="s">
        <v>22</v>
      </c>
      <c r="K3009">
        <v>3</v>
      </c>
      <c r="L3009" t="s">
        <v>23</v>
      </c>
      <c r="M3009" t="s">
        <v>79</v>
      </c>
      <c r="N3009" t="s">
        <v>23</v>
      </c>
      <c r="O3009">
        <v>31</v>
      </c>
      <c r="P3009" t="s">
        <v>62</v>
      </c>
      <c r="Q3009" t="s">
        <v>26</v>
      </c>
      <c r="R3009" s="1">
        <v>0.1</v>
      </c>
      <c r="S3009">
        <f t="shared" si="184"/>
        <v>54</v>
      </c>
      <c r="T3009">
        <f>IFERROR(VLOOKUP(A3009,Table1[[Customer ID]:[Discount Amount]], 6, FALSE),"Not Found")</f>
        <v>60</v>
      </c>
      <c r="U3009" t="str">
        <f t="shared" si="185"/>
        <v>Venmo</v>
      </c>
      <c r="V3009" s="4" t="str">
        <f t="shared" si="186"/>
        <v>Normal</v>
      </c>
      <c r="W3009" s="4" t="str">
        <f t="shared" si="187"/>
        <v>Good</v>
      </c>
      <c r="X3009" s="4">
        <f>AVERAGE(Table1[Purchase Amount])</f>
        <v>129.48419400000012</v>
      </c>
    </row>
    <row r="3010" spans="1:24" ht="15" customHeight="1" x14ac:dyDescent="0.25">
      <c r="A3010">
        <v>3009</v>
      </c>
      <c r="B3010">
        <v>39</v>
      </c>
      <c r="C3010" t="s">
        <v>16</v>
      </c>
      <c r="D3010" t="s">
        <v>72</v>
      </c>
      <c r="E3010" t="s">
        <v>98</v>
      </c>
      <c r="F3010" s="2">
        <v>86</v>
      </c>
      <c r="G3010" t="s">
        <v>110</v>
      </c>
      <c r="H3010" t="s">
        <v>31</v>
      </c>
      <c r="I3010" t="s">
        <v>133</v>
      </c>
      <c r="J3010" t="s">
        <v>22</v>
      </c>
      <c r="K3010">
        <v>4.9000000000000004</v>
      </c>
      <c r="L3010" t="s">
        <v>23</v>
      </c>
      <c r="M3010" t="s">
        <v>35</v>
      </c>
      <c r="N3010" t="s">
        <v>23</v>
      </c>
      <c r="O3010">
        <v>19</v>
      </c>
      <c r="P3010" t="s">
        <v>58</v>
      </c>
      <c r="Q3010" t="s">
        <v>26</v>
      </c>
      <c r="R3010" s="1">
        <v>0.1</v>
      </c>
      <c r="S3010">
        <f t="shared" ref="S3010:S3073" si="188">F3010-(F3010*R3010)</f>
        <v>77.400000000000006</v>
      </c>
      <c r="T3010">
        <f>IFERROR(VLOOKUP(A3010,Table1[[Customer ID]:[Discount Amount]], 6, FALSE),"Not Found")</f>
        <v>86</v>
      </c>
      <c r="U3010" t="str">
        <f t="shared" ref="U3010:U3073" si="189">INDEX(P:P, MATCH(A3010, A:A, 0))</f>
        <v>PayPal</v>
      </c>
      <c r="V3010" s="4" t="str">
        <f t="shared" ref="V3010:V3073" si="190">IF(AND(F3010&gt;1000,K3010&gt;=4),"Best Customer","Normal")</f>
        <v>Normal</v>
      </c>
      <c r="W3010" s="4" t="str">
        <f t="shared" ref="W3010:W3073" si="191">IF(K3010&gt;=3,"Good","Poor")</f>
        <v>Good</v>
      </c>
      <c r="X3010" s="4">
        <f>AVERAGE(Table1[Purchase Amount])</f>
        <v>129.48419400000012</v>
      </c>
    </row>
    <row r="3011" spans="1:24" ht="15" customHeight="1" x14ac:dyDescent="0.25">
      <c r="A3011">
        <v>3010</v>
      </c>
      <c r="B3011">
        <v>62</v>
      </c>
      <c r="C3011" t="s">
        <v>16</v>
      </c>
      <c r="D3011" t="s">
        <v>114</v>
      </c>
      <c r="E3011" t="s">
        <v>29</v>
      </c>
      <c r="F3011" s="2">
        <v>73</v>
      </c>
      <c r="G3011" t="s">
        <v>119</v>
      </c>
      <c r="H3011" t="s">
        <v>31</v>
      </c>
      <c r="I3011" t="s">
        <v>153</v>
      </c>
      <c r="J3011" t="s">
        <v>22</v>
      </c>
      <c r="K3011">
        <v>4.5999999999999996</v>
      </c>
      <c r="L3011" t="s">
        <v>23</v>
      </c>
      <c r="M3011" t="s">
        <v>35</v>
      </c>
      <c r="N3011" t="s">
        <v>23</v>
      </c>
      <c r="O3011">
        <v>8</v>
      </c>
      <c r="P3011" t="s">
        <v>62</v>
      </c>
      <c r="Q3011" t="s">
        <v>89</v>
      </c>
      <c r="R3011" s="1">
        <v>0.1</v>
      </c>
      <c r="S3011">
        <f t="shared" si="188"/>
        <v>65.7</v>
      </c>
      <c r="T3011">
        <f>IFERROR(VLOOKUP(A3011,Table1[[Customer ID]:[Discount Amount]], 6, FALSE),"Not Found")</f>
        <v>73</v>
      </c>
      <c r="U3011" t="str">
        <f t="shared" si="189"/>
        <v>Venmo</v>
      </c>
      <c r="V3011" s="4" t="str">
        <f t="shared" si="190"/>
        <v>Normal</v>
      </c>
      <c r="W3011" s="4" t="str">
        <f t="shared" si="191"/>
        <v>Good</v>
      </c>
      <c r="X3011" s="4">
        <f>AVERAGE(Table1[Purchase Amount])</f>
        <v>129.48419400000012</v>
      </c>
    </row>
    <row r="3012" spans="1:24" ht="15" customHeight="1" x14ac:dyDescent="0.25">
      <c r="A3012">
        <v>3011</v>
      </c>
      <c r="B3012">
        <v>70</v>
      </c>
      <c r="C3012" t="s">
        <v>16</v>
      </c>
      <c r="D3012" t="s">
        <v>114</v>
      </c>
      <c r="E3012" t="s">
        <v>29</v>
      </c>
      <c r="F3012" s="2">
        <v>45</v>
      </c>
      <c r="G3012" t="s">
        <v>90</v>
      </c>
      <c r="H3012" t="s">
        <v>31</v>
      </c>
      <c r="I3012" t="s">
        <v>111</v>
      </c>
      <c r="J3012" t="s">
        <v>22</v>
      </c>
      <c r="K3012">
        <v>3.3</v>
      </c>
      <c r="L3012" t="s">
        <v>23</v>
      </c>
      <c r="M3012" t="s">
        <v>35</v>
      </c>
      <c r="N3012" t="s">
        <v>23</v>
      </c>
      <c r="O3012">
        <v>15</v>
      </c>
      <c r="P3012" t="s">
        <v>53</v>
      </c>
      <c r="Q3012" t="s">
        <v>49</v>
      </c>
      <c r="R3012" s="1">
        <v>0.1</v>
      </c>
      <c r="S3012">
        <f t="shared" si="188"/>
        <v>40.5</v>
      </c>
      <c r="T3012">
        <f>IFERROR(VLOOKUP(A3012,Table1[[Customer ID]:[Discount Amount]], 6, FALSE),"Not Found")</f>
        <v>45</v>
      </c>
      <c r="U3012" t="str">
        <f t="shared" si="189"/>
        <v>Credit Card</v>
      </c>
      <c r="V3012" s="4" t="str">
        <f t="shared" si="190"/>
        <v>Normal</v>
      </c>
      <c r="W3012" s="4" t="str">
        <f t="shared" si="191"/>
        <v>Good</v>
      </c>
      <c r="X3012" s="4">
        <f>AVERAGE(Table1[Purchase Amount])</f>
        <v>129.48419400000012</v>
      </c>
    </row>
    <row r="3013" spans="1:24" ht="15" customHeight="1" x14ac:dyDescent="0.25">
      <c r="A3013">
        <v>3012</v>
      </c>
      <c r="B3013">
        <v>20</v>
      </c>
      <c r="C3013" t="s">
        <v>16</v>
      </c>
      <c r="D3013" t="s">
        <v>114</v>
      </c>
      <c r="E3013" t="s">
        <v>29</v>
      </c>
      <c r="F3013" s="2">
        <v>70</v>
      </c>
      <c r="G3013" t="s">
        <v>158</v>
      </c>
      <c r="H3013" t="s">
        <v>55</v>
      </c>
      <c r="I3013" t="s">
        <v>60</v>
      </c>
      <c r="J3013" t="s">
        <v>57</v>
      </c>
      <c r="K3013">
        <v>3</v>
      </c>
      <c r="L3013" t="s">
        <v>23</v>
      </c>
      <c r="M3013" t="s">
        <v>79</v>
      </c>
      <c r="N3013" t="s">
        <v>23</v>
      </c>
      <c r="O3013">
        <v>18</v>
      </c>
      <c r="P3013" t="s">
        <v>53</v>
      </c>
      <c r="Q3013" t="s">
        <v>63</v>
      </c>
      <c r="R3013" s="1">
        <v>0.1</v>
      </c>
      <c r="S3013">
        <f t="shared" si="188"/>
        <v>63</v>
      </c>
      <c r="T3013">
        <f>IFERROR(VLOOKUP(A3013,Table1[[Customer ID]:[Discount Amount]], 6, FALSE),"Not Found")</f>
        <v>70</v>
      </c>
      <c r="U3013" t="str">
        <f t="shared" si="189"/>
        <v>Credit Card</v>
      </c>
      <c r="V3013" s="4" t="str">
        <f t="shared" si="190"/>
        <v>Normal</v>
      </c>
      <c r="W3013" s="4" t="str">
        <f t="shared" si="191"/>
        <v>Good</v>
      </c>
      <c r="X3013" s="4">
        <f>AVERAGE(Table1[Purchase Amount])</f>
        <v>129.48419400000012</v>
      </c>
    </row>
    <row r="3014" spans="1:24" ht="15" customHeight="1" x14ac:dyDescent="0.25">
      <c r="A3014">
        <v>3013</v>
      </c>
      <c r="B3014">
        <v>42</v>
      </c>
      <c r="C3014" t="s">
        <v>16</v>
      </c>
      <c r="D3014" t="s">
        <v>114</v>
      </c>
      <c r="E3014" t="s">
        <v>29</v>
      </c>
      <c r="F3014" s="2">
        <v>65</v>
      </c>
      <c r="G3014" t="s">
        <v>161</v>
      </c>
      <c r="H3014" t="s">
        <v>31</v>
      </c>
      <c r="I3014" t="s">
        <v>147</v>
      </c>
      <c r="J3014" t="s">
        <v>47</v>
      </c>
      <c r="K3014">
        <v>3.5</v>
      </c>
      <c r="L3014" t="s">
        <v>23</v>
      </c>
      <c r="M3014" t="s">
        <v>24</v>
      </c>
      <c r="N3014" t="s">
        <v>23</v>
      </c>
      <c r="O3014">
        <v>16</v>
      </c>
      <c r="P3014" t="s">
        <v>58</v>
      </c>
      <c r="Q3014" t="s">
        <v>49</v>
      </c>
      <c r="R3014" s="1">
        <v>0.1</v>
      </c>
      <c r="S3014">
        <f t="shared" si="188"/>
        <v>58.5</v>
      </c>
      <c r="T3014">
        <f>IFERROR(VLOOKUP(A3014,Table1[[Customer ID]:[Discount Amount]], 6, FALSE),"Not Found")</f>
        <v>65</v>
      </c>
      <c r="U3014" t="str">
        <f t="shared" si="189"/>
        <v>PayPal</v>
      </c>
      <c r="V3014" s="4" t="str">
        <f t="shared" si="190"/>
        <v>Normal</v>
      </c>
      <c r="W3014" s="4" t="str">
        <f t="shared" si="191"/>
        <v>Good</v>
      </c>
      <c r="X3014" s="4">
        <f>AVERAGE(Table1[Purchase Amount])</f>
        <v>129.48419400000012</v>
      </c>
    </row>
    <row r="3015" spans="1:24" ht="15" customHeight="1" x14ac:dyDescent="0.25">
      <c r="A3015">
        <v>3014</v>
      </c>
      <c r="B3015">
        <v>41</v>
      </c>
      <c r="C3015" t="s">
        <v>16</v>
      </c>
      <c r="D3015" t="s">
        <v>122</v>
      </c>
      <c r="E3015" t="s">
        <v>18</v>
      </c>
      <c r="F3015" s="2">
        <v>55</v>
      </c>
      <c r="G3015" t="s">
        <v>150</v>
      </c>
      <c r="H3015" t="s">
        <v>45</v>
      </c>
      <c r="I3015" t="s">
        <v>145</v>
      </c>
      <c r="J3015" t="s">
        <v>57</v>
      </c>
      <c r="K3015">
        <v>4.2</v>
      </c>
      <c r="L3015" t="s">
        <v>23</v>
      </c>
      <c r="M3015" t="s">
        <v>48</v>
      </c>
      <c r="N3015" t="s">
        <v>23</v>
      </c>
      <c r="O3015">
        <v>13</v>
      </c>
      <c r="P3015" t="s">
        <v>25</v>
      </c>
      <c r="Q3015" t="s">
        <v>42</v>
      </c>
      <c r="R3015" s="1">
        <v>0.1</v>
      </c>
      <c r="S3015">
        <f t="shared" si="188"/>
        <v>49.5</v>
      </c>
      <c r="T3015">
        <f>IFERROR(VLOOKUP(A3015,Table1[[Customer ID]:[Discount Amount]], 6, FALSE),"Not Found")</f>
        <v>55</v>
      </c>
      <c r="U3015" t="str">
        <f t="shared" si="189"/>
        <v>Cash</v>
      </c>
      <c r="V3015" s="4" t="str">
        <f t="shared" si="190"/>
        <v>Normal</v>
      </c>
      <c r="W3015" s="4" t="str">
        <f t="shared" si="191"/>
        <v>Good</v>
      </c>
      <c r="X3015" s="4">
        <f>AVERAGE(Table1[Purchase Amount])</f>
        <v>129.48419400000012</v>
      </c>
    </row>
    <row r="3016" spans="1:24" ht="15" customHeight="1" x14ac:dyDescent="0.25">
      <c r="A3016">
        <v>3015</v>
      </c>
      <c r="B3016">
        <v>24</v>
      </c>
      <c r="C3016" t="s">
        <v>16</v>
      </c>
      <c r="D3016" t="s">
        <v>17</v>
      </c>
      <c r="E3016" t="s">
        <v>18</v>
      </c>
      <c r="F3016" s="2">
        <v>65</v>
      </c>
      <c r="G3016" t="s">
        <v>144</v>
      </c>
      <c r="H3016" t="s">
        <v>31</v>
      </c>
      <c r="I3016" t="s">
        <v>125</v>
      </c>
      <c r="J3016" t="s">
        <v>33</v>
      </c>
      <c r="K3016">
        <v>4.5</v>
      </c>
      <c r="L3016" t="s">
        <v>23</v>
      </c>
      <c r="M3016" t="s">
        <v>61</v>
      </c>
      <c r="N3016" t="s">
        <v>23</v>
      </c>
      <c r="O3016">
        <v>38</v>
      </c>
      <c r="P3016" t="s">
        <v>58</v>
      </c>
      <c r="Q3016" t="s">
        <v>63</v>
      </c>
      <c r="R3016" s="1">
        <v>0.1</v>
      </c>
      <c r="S3016">
        <f t="shared" si="188"/>
        <v>58.5</v>
      </c>
      <c r="T3016">
        <f>IFERROR(VLOOKUP(A3016,Table1[[Customer ID]:[Discount Amount]], 6, FALSE),"Not Found")</f>
        <v>65</v>
      </c>
      <c r="U3016" t="str">
        <f t="shared" si="189"/>
        <v>PayPal</v>
      </c>
      <c r="V3016" s="4" t="str">
        <f t="shared" si="190"/>
        <v>Normal</v>
      </c>
      <c r="W3016" s="4" t="str">
        <f t="shared" si="191"/>
        <v>Good</v>
      </c>
      <c r="X3016" s="4">
        <f>AVERAGE(Table1[Purchase Amount])</f>
        <v>129.48419400000012</v>
      </c>
    </row>
    <row r="3017" spans="1:24" ht="15" customHeight="1" x14ac:dyDescent="0.25">
      <c r="A3017">
        <v>3016</v>
      </c>
      <c r="B3017">
        <v>37</v>
      </c>
      <c r="C3017" t="s">
        <v>16</v>
      </c>
      <c r="D3017" t="s">
        <v>129</v>
      </c>
      <c r="E3017" t="s">
        <v>29</v>
      </c>
      <c r="F3017" s="2">
        <v>21</v>
      </c>
      <c r="G3017" t="s">
        <v>162</v>
      </c>
      <c r="H3017" t="s">
        <v>20</v>
      </c>
      <c r="I3017" t="s">
        <v>107</v>
      </c>
      <c r="J3017" t="s">
        <v>33</v>
      </c>
      <c r="K3017">
        <v>2.8</v>
      </c>
      <c r="L3017" t="s">
        <v>23</v>
      </c>
      <c r="M3017" t="s">
        <v>61</v>
      </c>
      <c r="N3017" t="s">
        <v>23</v>
      </c>
      <c r="O3017">
        <v>27</v>
      </c>
      <c r="P3017" t="s">
        <v>88</v>
      </c>
      <c r="Q3017" t="s">
        <v>68</v>
      </c>
      <c r="R3017" s="1">
        <v>0.1</v>
      </c>
      <c r="S3017">
        <f t="shared" si="188"/>
        <v>18.899999999999999</v>
      </c>
      <c r="T3017">
        <f>IFERROR(VLOOKUP(A3017,Table1[[Customer ID]:[Discount Amount]], 6, FALSE),"Not Found")</f>
        <v>21</v>
      </c>
      <c r="U3017" t="str">
        <f t="shared" si="189"/>
        <v>Bank Transfer</v>
      </c>
      <c r="V3017" s="4" t="str">
        <f t="shared" si="190"/>
        <v>Normal</v>
      </c>
      <c r="W3017" s="4" t="str">
        <f t="shared" si="191"/>
        <v>Poor</v>
      </c>
      <c r="X3017" s="4">
        <f>AVERAGE(Table1[Purchase Amount])</f>
        <v>129.48419400000012</v>
      </c>
    </row>
    <row r="3018" spans="1:24" ht="15" customHeight="1" x14ac:dyDescent="0.25">
      <c r="A3018">
        <v>3017</v>
      </c>
      <c r="B3018">
        <v>30</v>
      </c>
      <c r="C3018" t="s">
        <v>16</v>
      </c>
      <c r="D3018" t="s">
        <v>118</v>
      </c>
      <c r="E3018" t="s">
        <v>18</v>
      </c>
      <c r="F3018" s="2">
        <v>26</v>
      </c>
      <c r="G3018" t="s">
        <v>102</v>
      </c>
      <c r="H3018" t="s">
        <v>45</v>
      </c>
      <c r="I3018" t="s">
        <v>107</v>
      </c>
      <c r="J3018" t="s">
        <v>57</v>
      </c>
      <c r="K3018">
        <v>4.9000000000000004</v>
      </c>
      <c r="L3018" t="s">
        <v>23</v>
      </c>
      <c r="M3018" t="s">
        <v>48</v>
      </c>
      <c r="N3018" t="s">
        <v>23</v>
      </c>
      <c r="O3018">
        <v>31</v>
      </c>
      <c r="P3018" t="s">
        <v>88</v>
      </c>
      <c r="Q3018" t="s">
        <v>37</v>
      </c>
      <c r="R3018" s="1">
        <v>0.1</v>
      </c>
      <c r="S3018">
        <f t="shared" si="188"/>
        <v>23.4</v>
      </c>
      <c r="T3018">
        <f>IFERROR(VLOOKUP(A3018,Table1[[Customer ID]:[Discount Amount]], 6, FALSE),"Not Found")</f>
        <v>26</v>
      </c>
      <c r="U3018" t="str">
        <f t="shared" si="189"/>
        <v>Bank Transfer</v>
      </c>
      <c r="V3018" s="4" t="str">
        <f t="shared" si="190"/>
        <v>Normal</v>
      </c>
      <c r="W3018" s="4" t="str">
        <f t="shared" si="191"/>
        <v>Good</v>
      </c>
      <c r="X3018" s="4">
        <f>AVERAGE(Table1[Purchase Amount])</f>
        <v>129.48419400000012</v>
      </c>
    </row>
    <row r="3019" spans="1:24" ht="15" customHeight="1" x14ac:dyDescent="0.25">
      <c r="A3019">
        <v>3018</v>
      </c>
      <c r="B3019">
        <v>58</v>
      </c>
      <c r="C3019" t="s">
        <v>16</v>
      </c>
      <c r="D3019" t="s">
        <v>28</v>
      </c>
      <c r="E3019" t="s">
        <v>29</v>
      </c>
      <c r="F3019" s="2">
        <v>71</v>
      </c>
      <c r="G3019" t="s">
        <v>59</v>
      </c>
      <c r="H3019" t="s">
        <v>55</v>
      </c>
      <c r="I3019" t="s">
        <v>66</v>
      </c>
      <c r="J3019" t="s">
        <v>57</v>
      </c>
      <c r="K3019">
        <v>3.3</v>
      </c>
      <c r="L3019" t="s">
        <v>23</v>
      </c>
      <c r="M3019" t="s">
        <v>79</v>
      </c>
      <c r="N3019" t="s">
        <v>23</v>
      </c>
      <c r="O3019">
        <v>24</v>
      </c>
      <c r="P3019" t="s">
        <v>25</v>
      </c>
      <c r="Q3019" t="s">
        <v>68</v>
      </c>
      <c r="R3019" s="1">
        <v>0.1</v>
      </c>
      <c r="S3019">
        <f t="shared" si="188"/>
        <v>63.9</v>
      </c>
      <c r="T3019">
        <f>IFERROR(VLOOKUP(A3019,Table1[[Customer ID]:[Discount Amount]], 6, FALSE),"Not Found")</f>
        <v>71</v>
      </c>
      <c r="U3019" t="str">
        <f t="shared" si="189"/>
        <v>Cash</v>
      </c>
      <c r="V3019" s="4" t="str">
        <f t="shared" si="190"/>
        <v>Normal</v>
      </c>
      <c r="W3019" s="4" t="str">
        <f t="shared" si="191"/>
        <v>Good</v>
      </c>
      <c r="X3019" s="4">
        <f>AVERAGE(Table1[Purchase Amount])</f>
        <v>129.48419400000012</v>
      </c>
    </row>
    <row r="3020" spans="1:24" ht="15" customHeight="1" x14ac:dyDescent="0.25">
      <c r="A3020">
        <v>3019</v>
      </c>
      <c r="B3020">
        <v>43</v>
      </c>
      <c r="C3020" t="s">
        <v>16</v>
      </c>
      <c r="D3020" t="s">
        <v>151</v>
      </c>
      <c r="E3020" t="s">
        <v>98</v>
      </c>
      <c r="F3020" s="2">
        <v>41</v>
      </c>
      <c r="G3020" t="s">
        <v>152</v>
      </c>
      <c r="H3020" t="s">
        <v>31</v>
      </c>
      <c r="I3020" t="s">
        <v>93</v>
      </c>
      <c r="J3020" t="s">
        <v>57</v>
      </c>
      <c r="K3020">
        <v>3</v>
      </c>
      <c r="L3020" t="s">
        <v>23</v>
      </c>
      <c r="M3020" t="s">
        <v>35</v>
      </c>
      <c r="N3020" t="s">
        <v>23</v>
      </c>
      <c r="O3020">
        <v>21</v>
      </c>
      <c r="P3020" t="s">
        <v>36</v>
      </c>
      <c r="Q3020" t="s">
        <v>68</v>
      </c>
      <c r="R3020" s="1">
        <v>0.1</v>
      </c>
      <c r="S3020">
        <f t="shared" si="188"/>
        <v>36.9</v>
      </c>
      <c r="T3020">
        <f>IFERROR(VLOOKUP(A3020,Table1[[Customer ID]:[Discount Amount]], 6, FALSE),"Not Found")</f>
        <v>41</v>
      </c>
      <c r="U3020" t="str">
        <f t="shared" si="189"/>
        <v>Debit Card</v>
      </c>
      <c r="V3020" s="4" t="str">
        <f t="shared" si="190"/>
        <v>Normal</v>
      </c>
      <c r="W3020" s="4" t="str">
        <f t="shared" si="191"/>
        <v>Good</v>
      </c>
      <c r="X3020" s="4">
        <f>AVERAGE(Table1[Purchase Amount])</f>
        <v>129.48419400000012</v>
      </c>
    </row>
    <row r="3021" spans="1:24" ht="15" customHeight="1" x14ac:dyDescent="0.25">
      <c r="A3021">
        <v>3020</v>
      </c>
      <c r="B3021">
        <v>19</v>
      </c>
      <c r="C3021" t="s">
        <v>16</v>
      </c>
      <c r="D3021" t="s">
        <v>96</v>
      </c>
      <c r="E3021" t="s">
        <v>77</v>
      </c>
      <c r="F3021" s="2">
        <v>44</v>
      </c>
      <c r="G3021" t="s">
        <v>144</v>
      </c>
      <c r="H3021" t="s">
        <v>31</v>
      </c>
      <c r="I3021" t="s">
        <v>52</v>
      </c>
      <c r="J3021" t="s">
        <v>22</v>
      </c>
      <c r="K3021">
        <v>3.9</v>
      </c>
      <c r="L3021" t="s">
        <v>23</v>
      </c>
      <c r="M3021" t="s">
        <v>41</v>
      </c>
      <c r="N3021" t="s">
        <v>23</v>
      </c>
      <c r="O3021">
        <v>15</v>
      </c>
      <c r="P3021" t="s">
        <v>58</v>
      </c>
      <c r="Q3021" t="s">
        <v>49</v>
      </c>
      <c r="R3021" s="1">
        <v>0.1</v>
      </c>
      <c r="S3021">
        <f t="shared" si="188"/>
        <v>39.6</v>
      </c>
      <c r="T3021">
        <f>IFERROR(VLOOKUP(A3021,Table1[[Customer ID]:[Discount Amount]], 6, FALSE),"Not Found")</f>
        <v>44</v>
      </c>
      <c r="U3021" t="str">
        <f t="shared" si="189"/>
        <v>PayPal</v>
      </c>
      <c r="V3021" s="4" t="str">
        <f t="shared" si="190"/>
        <v>Normal</v>
      </c>
      <c r="W3021" s="4" t="str">
        <f t="shared" si="191"/>
        <v>Good</v>
      </c>
      <c r="X3021" s="4">
        <f>AVERAGE(Table1[Purchase Amount])</f>
        <v>129.48419400000012</v>
      </c>
    </row>
    <row r="3022" spans="1:24" ht="15" customHeight="1" x14ac:dyDescent="0.25">
      <c r="A3022">
        <v>3021</v>
      </c>
      <c r="B3022">
        <v>23</v>
      </c>
      <c r="C3022" t="s">
        <v>16</v>
      </c>
      <c r="D3022" t="s">
        <v>109</v>
      </c>
      <c r="E3022" t="s">
        <v>18</v>
      </c>
      <c r="F3022" s="2">
        <v>81</v>
      </c>
      <c r="G3022" t="s">
        <v>100</v>
      </c>
      <c r="H3022" t="s">
        <v>55</v>
      </c>
      <c r="I3022" t="s">
        <v>103</v>
      </c>
      <c r="J3022" t="s">
        <v>47</v>
      </c>
      <c r="K3022">
        <v>2.8</v>
      </c>
      <c r="L3022" t="s">
        <v>23</v>
      </c>
      <c r="M3022" t="s">
        <v>48</v>
      </c>
      <c r="N3022" t="s">
        <v>23</v>
      </c>
      <c r="O3022">
        <v>48</v>
      </c>
      <c r="P3022" t="s">
        <v>62</v>
      </c>
      <c r="Q3022" t="s">
        <v>63</v>
      </c>
      <c r="R3022" s="1">
        <v>0.1</v>
      </c>
      <c r="S3022">
        <f t="shared" si="188"/>
        <v>72.900000000000006</v>
      </c>
      <c r="T3022">
        <f>IFERROR(VLOOKUP(A3022,Table1[[Customer ID]:[Discount Amount]], 6, FALSE),"Not Found")</f>
        <v>81</v>
      </c>
      <c r="U3022" t="str">
        <f t="shared" si="189"/>
        <v>Venmo</v>
      </c>
      <c r="V3022" s="4" t="str">
        <f t="shared" si="190"/>
        <v>Normal</v>
      </c>
      <c r="W3022" s="4" t="str">
        <f t="shared" si="191"/>
        <v>Poor</v>
      </c>
      <c r="X3022" s="4">
        <f>AVERAGE(Table1[Purchase Amount])</f>
        <v>129.48419400000012</v>
      </c>
    </row>
    <row r="3023" spans="1:24" ht="15" customHeight="1" x14ac:dyDescent="0.25">
      <c r="A3023">
        <v>3022</v>
      </c>
      <c r="B3023">
        <v>65</v>
      </c>
      <c r="C3023" t="s">
        <v>16</v>
      </c>
      <c r="D3023" t="s">
        <v>28</v>
      </c>
      <c r="E3023" t="s">
        <v>29</v>
      </c>
      <c r="F3023" s="2">
        <v>77</v>
      </c>
      <c r="G3023" t="s">
        <v>78</v>
      </c>
      <c r="H3023" t="s">
        <v>55</v>
      </c>
      <c r="I3023" t="s">
        <v>74</v>
      </c>
      <c r="J3023" t="s">
        <v>57</v>
      </c>
      <c r="K3023">
        <v>4.5</v>
      </c>
      <c r="L3023" t="s">
        <v>23</v>
      </c>
      <c r="M3023" t="s">
        <v>41</v>
      </c>
      <c r="N3023" t="s">
        <v>23</v>
      </c>
      <c r="O3023">
        <v>47</v>
      </c>
      <c r="P3023" t="s">
        <v>25</v>
      </c>
      <c r="Q3023" t="s">
        <v>37</v>
      </c>
      <c r="R3023" s="1">
        <v>0.1</v>
      </c>
      <c r="S3023">
        <f t="shared" si="188"/>
        <v>69.3</v>
      </c>
      <c r="T3023">
        <f>IFERROR(VLOOKUP(A3023,Table1[[Customer ID]:[Discount Amount]], 6, FALSE),"Not Found")</f>
        <v>77</v>
      </c>
      <c r="U3023" t="str">
        <f t="shared" si="189"/>
        <v>Cash</v>
      </c>
      <c r="V3023" s="4" t="str">
        <f t="shared" si="190"/>
        <v>Normal</v>
      </c>
      <c r="W3023" s="4" t="str">
        <f t="shared" si="191"/>
        <v>Good</v>
      </c>
      <c r="X3023" s="4">
        <f>AVERAGE(Table1[Purchase Amount])</f>
        <v>129.48419400000012</v>
      </c>
    </row>
    <row r="3024" spans="1:24" ht="15" customHeight="1" x14ac:dyDescent="0.25">
      <c r="A3024">
        <v>3023</v>
      </c>
      <c r="B3024">
        <v>58</v>
      </c>
      <c r="C3024" t="s">
        <v>16</v>
      </c>
      <c r="D3024" t="s">
        <v>121</v>
      </c>
      <c r="E3024" t="s">
        <v>98</v>
      </c>
      <c r="F3024" s="2">
        <v>26</v>
      </c>
      <c r="G3024" t="s">
        <v>160</v>
      </c>
      <c r="H3024" t="s">
        <v>31</v>
      </c>
      <c r="I3024" t="s">
        <v>107</v>
      </c>
      <c r="J3024" t="s">
        <v>47</v>
      </c>
      <c r="K3024">
        <v>4</v>
      </c>
      <c r="L3024" t="s">
        <v>23</v>
      </c>
      <c r="M3024" t="s">
        <v>35</v>
      </c>
      <c r="N3024" t="s">
        <v>23</v>
      </c>
      <c r="O3024">
        <v>23</v>
      </c>
      <c r="P3024" t="s">
        <v>58</v>
      </c>
      <c r="Q3024" t="s">
        <v>26</v>
      </c>
      <c r="R3024" s="1">
        <v>0.1</v>
      </c>
      <c r="S3024">
        <f t="shared" si="188"/>
        <v>23.4</v>
      </c>
      <c r="T3024">
        <f>IFERROR(VLOOKUP(A3024,Table1[[Customer ID]:[Discount Amount]], 6, FALSE),"Not Found")</f>
        <v>26</v>
      </c>
      <c r="U3024" t="str">
        <f t="shared" si="189"/>
        <v>PayPal</v>
      </c>
      <c r="V3024" s="4" t="str">
        <f t="shared" si="190"/>
        <v>Normal</v>
      </c>
      <c r="W3024" s="4" t="str">
        <f t="shared" si="191"/>
        <v>Good</v>
      </c>
      <c r="X3024" s="4">
        <f>AVERAGE(Table1[Purchase Amount])</f>
        <v>129.48419400000012</v>
      </c>
    </row>
    <row r="3025" spans="1:24" ht="15" customHeight="1" x14ac:dyDescent="0.25">
      <c r="A3025">
        <v>3024</v>
      </c>
      <c r="B3025">
        <v>50</v>
      </c>
      <c r="C3025" t="s">
        <v>16</v>
      </c>
      <c r="D3025" t="s">
        <v>104</v>
      </c>
      <c r="E3025" t="s">
        <v>29</v>
      </c>
      <c r="F3025" s="2">
        <v>31</v>
      </c>
      <c r="G3025" t="s">
        <v>102</v>
      </c>
      <c r="H3025" t="s">
        <v>31</v>
      </c>
      <c r="I3025" t="s">
        <v>60</v>
      </c>
      <c r="J3025" t="s">
        <v>57</v>
      </c>
      <c r="K3025">
        <v>2.9</v>
      </c>
      <c r="L3025" t="s">
        <v>23</v>
      </c>
      <c r="M3025" t="s">
        <v>61</v>
      </c>
      <c r="N3025" t="s">
        <v>23</v>
      </c>
      <c r="O3025">
        <v>4</v>
      </c>
      <c r="P3025" t="s">
        <v>58</v>
      </c>
      <c r="Q3025" t="s">
        <v>37</v>
      </c>
      <c r="R3025" s="1">
        <v>0.1</v>
      </c>
      <c r="S3025">
        <f t="shared" si="188"/>
        <v>27.9</v>
      </c>
      <c r="T3025">
        <f>IFERROR(VLOOKUP(A3025,Table1[[Customer ID]:[Discount Amount]], 6, FALSE),"Not Found")</f>
        <v>31</v>
      </c>
      <c r="U3025" t="str">
        <f t="shared" si="189"/>
        <v>PayPal</v>
      </c>
      <c r="V3025" s="4" t="str">
        <f t="shared" si="190"/>
        <v>Normal</v>
      </c>
      <c r="W3025" s="4" t="str">
        <f t="shared" si="191"/>
        <v>Poor</v>
      </c>
      <c r="X3025" s="4">
        <f>AVERAGE(Table1[Purchase Amount])</f>
        <v>129.48419400000012</v>
      </c>
    </row>
    <row r="3026" spans="1:24" ht="15" customHeight="1" x14ac:dyDescent="0.25">
      <c r="A3026">
        <v>3025</v>
      </c>
      <c r="B3026">
        <v>67</v>
      </c>
      <c r="C3026" t="s">
        <v>16</v>
      </c>
      <c r="D3026" t="s">
        <v>118</v>
      </c>
      <c r="E3026" t="s">
        <v>18</v>
      </c>
      <c r="F3026" s="2">
        <v>82</v>
      </c>
      <c r="G3026" t="s">
        <v>161</v>
      </c>
      <c r="H3026" t="s">
        <v>55</v>
      </c>
      <c r="I3026" t="s">
        <v>32</v>
      </c>
      <c r="J3026" t="s">
        <v>33</v>
      </c>
      <c r="K3026">
        <v>4</v>
      </c>
      <c r="L3026" t="s">
        <v>23</v>
      </c>
      <c r="M3026" t="s">
        <v>35</v>
      </c>
      <c r="N3026" t="s">
        <v>23</v>
      </c>
      <c r="O3026">
        <v>47</v>
      </c>
      <c r="P3026" t="s">
        <v>53</v>
      </c>
      <c r="Q3026" t="s">
        <v>63</v>
      </c>
      <c r="R3026" s="1">
        <v>0.1</v>
      </c>
      <c r="S3026">
        <f t="shared" si="188"/>
        <v>73.8</v>
      </c>
      <c r="T3026">
        <f>IFERROR(VLOOKUP(A3026,Table1[[Customer ID]:[Discount Amount]], 6, FALSE),"Not Found")</f>
        <v>82</v>
      </c>
      <c r="U3026" t="str">
        <f t="shared" si="189"/>
        <v>Credit Card</v>
      </c>
      <c r="V3026" s="4" t="str">
        <f t="shared" si="190"/>
        <v>Normal</v>
      </c>
      <c r="W3026" s="4" t="str">
        <f t="shared" si="191"/>
        <v>Good</v>
      </c>
      <c r="X3026" s="4">
        <f>AVERAGE(Table1[Purchase Amount])</f>
        <v>129.48419400000012</v>
      </c>
    </row>
    <row r="3027" spans="1:24" ht="15" customHeight="1" x14ac:dyDescent="0.25">
      <c r="A3027">
        <v>3026</v>
      </c>
      <c r="B3027">
        <v>40</v>
      </c>
      <c r="C3027" t="s">
        <v>16</v>
      </c>
      <c r="D3027" t="s">
        <v>72</v>
      </c>
      <c r="E3027" t="s">
        <v>98</v>
      </c>
      <c r="F3027" s="2">
        <v>60</v>
      </c>
      <c r="G3027" t="s">
        <v>39</v>
      </c>
      <c r="H3027" t="s">
        <v>20</v>
      </c>
      <c r="I3027" t="s">
        <v>93</v>
      </c>
      <c r="J3027" t="s">
        <v>57</v>
      </c>
      <c r="K3027">
        <v>3.4</v>
      </c>
      <c r="L3027" t="s">
        <v>23</v>
      </c>
      <c r="M3027" t="s">
        <v>48</v>
      </c>
      <c r="N3027" t="s">
        <v>23</v>
      </c>
      <c r="O3027">
        <v>7</v>
      </c>
      <c r="P3027" t="s">
        <v>58</v>
      </c>
      <c r="Q3027" t="s">
        <v>42</v>
      </c>
      <c r="R3027" s="1">
        <v>0.1</v>
      </c>
      <c r="S3027">
        <f t="shared" si="188"/>
        <v>54</v>
      </c>
      <c r="T3027">
        <f>IFERROR(VLOOKUP(A3027,Table1[[Customer ID]:[Discount Amount]], 6, FALSE),"Not Found")</f>
        <v>60</v>
      </c>
      <c r="U3027" t="str">
        <f t="shared" si="189"/>
        <v>PayPal</v>
      </c>
      <c r="V3027" s="4" t="str">
        <f t="shared" si="190"/>
        <v>Normal</v>
      </c>
      <c r="W3027" s="4" t="str">
        <f t="shared" si="191"/>
        <v>Good</v>
      </c>
      <c r="X3027" s="4">
        <f>AVERAGE(Table1[Purchase Amount])</f>
        <v>129.48419400000012</v>
      </c>
    </row>
    <row r="3028" spans="1:24" ht="15" customHeight="1" x14ac:dyDescent="0.25">
      <c r="A3028">
        <v>3027</v>
      </c>
      <c r="B3028">
        <v>55</v>
      </c>
      <c r="C3028" t="s">
        <v>16</v>
      </c>
      <c r="D3028" t="s">
        <v>38</v>
      </c>
      <c r="E3028" t="s">
        <v>18</v>
      </c>
      <c r="F3028" s="2">
        <v>70</v>
      </c>
      <c r="G3028" t="s">
        <v>65</v>
      </c>
      <c r="H3028" t="s">
        <v>45</v>
      </c>
      <c r="I3028" t="s">
        <v>87</v>
      </c>
      <c r="J3028" t="s">
        <v>47</v>
      </c>
      <c r="K3028">
        <v>2.5</v>
      </c>
      <c r="L3028" t="s">
        <v>23</v>
      </c>
      <c r="M3028" t="s">
        <v>35</v>
      </c>
      <c r="N3028" t="s">
        <v>23</v>
      </c>
      <c r="O3028">
        <v>6</v>
      </c>
      <c r="P3028" t="s">
        <v>53</v>
      </c>
      <c r="Q3028" t="s">
        <v>49</v>
      </c>
      <c r="R3028" s="1">
        <v>0.1</v>
      </c>
      <c r="S3028">
        <f t="shared" si="188"/>
        <v>63</v>
      </c>
      <c r="T3028">
        <f>IFERROR(VLOOKUP(A3028,Table1[[Customer ID]:[Discount Amount]], 6, FALSE),"Not Found")</f>
        <v>70</v>
      </c>
      <c r="U3028" t="str">
        <f t="shared" si="189"/>
        <v>Credit Card</v>
      </c>
      <c r="V3028" s="4" t="str">
        <f t="shared" si="190"/>
        <v>Normal</v>
      </c>
      <c r="W3028" s="4" t="str">
        <f t="shared" si="191"/>
        <v>Poor</v>
      </c>
      <c r="X3028" s="4">
        <f>AVERAGE(Table1[Purchase Amount])</f>
        <v>129.48419400000012</v>
      </c>
    </row>
    <row r="3029" spans="1:24" ht="15" customHeight="1" x14ac:dyDescent="0.25">
      <c r="A3029">
        <v>3028</v>
      </c>
      <c r="B3029">
        <v>52</v>
      </c>
      <c r="C3029" t="s">
        <v>16</v>
      </c>
      <c r="D3029" t="s">
        <v>83</v>
      </c>
      <c r="E3029" t="s">
        <v>18</v>
      </c>
      <c r="F3029" s="2">
        <v>26</v>
      </c>
      <c r="G3029" t="s">
        <v>154</v>
      </c>
      <c r="H3029" t="s">
        <v>20</v>
      </c>
      <c r="I3029" t="s">
        <v>145</v>
      </c>
      <c r="J3029" t="s">
        <v>22</v>
      </c>
      <c r="K3029">
        <v>2.8</v>
      </c>
      <c r="L3029" t="s">
        <v>23</v>
      </c>
      <c r="M3029" t="s">
        <v>41</v>
      </c>
      <c r="N3029" t="s">
        <v>23</v>
      </c>
      <c r="O3029">
        <v>47</v>
      </c>
      <c r="P3029" t="s">
        <v>53</v>
      </c>
      <c r="Q3029" t="s">
        <v>37</v>
      </c>
      <c r="R3029" s="1">
        <v>0.1</v>
      </c>
      <c r="S3029">
        <f t="shared" si="188"/>
        <v>23.4</v>
      </c>
      <c r="T3029">
        <f>IFERROR(VLOOKUP(A3029,Table1[[Customer ID]:[Discount Amount]], 6, FALSE),"Not Found")</f>
        <v>26</v>
      </c>
      <c r="U3029" t="str">
        <f t="shared" si="189"/>
        <v>Credit Card</v>
      </c>
      <c r="V3029" s="4" t="str">
        <f t="shared" si="190"/>
        <v>Normal</v>
      </c>
      <c r="W3029" s="4" t="str">
        <f t="shared" si="191"/>
        <v>Poor</v>
      </c>
      <c r="X3029" s="4">
        <f>AVERAGE(Table1[Purchase Amount])</f>
        <v>129.48419400000012</v>
      </c>
    </row>
    <row r="3030" spans="1:24" ht="15" customHeight="1" x14ac:dyDescent="0.25">
      <c r="A3030">
        <v>3029</v>
      </c>
      <c r="B3030">
        <v>62</v>
      </c>
      <c r="C3030" t="s">
        <v>16</v>
      </c>
      <c r="D3030" t="s">
        <v>157</v>
      </c>
      <c r="E3030" t="s">
        <v>18</v>
      </c>
      <c r="F3030" s="2">
        <v>100</v>
      </c>
      <c r="G3030" t="s">
        <v>19</v>
      </c>
      <c r="H3030" t="s">
        <v>45</v>
      </c>
      <c r="I3030" t="s">
        <v>103</v>
      </c>
      <c r="J3030" t="s">
        <v>57</v>
      </c>
      <c r="K3030">
        <v>3</v>
      </c>
      <c r="L3030" t="s">
        <v>23</v>
      </c>
      <c r="M3030" t="s">
        <v>35</v>
      </c>
      <c r="N3030" t="s">
        <v>23</v>
      </c>
      <c r="O3030">
        <v>7</v>
      </c>
      <c r="P3030" t="s">
        <v>58</v>
      </c>
      <c r="Q3030" t="s">
        <v>63</v>
      </c>
      <c r="R3030" s="1">
        <v>0.1</v>
      </c>
      <c r="S3030">
        <f t="shared" si="188"/>
        <v>90</v>
      </c>
      <c r="T3030">
        <f>IFERROR(VLOOKUP(A3030,Table1[[Customer ID]:[Discount Amount]], 6, FALSE),"Not Found")</f>
        <v>100</v>
      </c>
      <c r="U3030" t="str">
        <f t="shared" si="189"/>
        <v>PayPal</v>
      </c>
      <c r="V3030" s="4" t="str">
        <f t="shared" si="190"/>
        <v>Normal</v>
      </c>
      <c r="W3030" s="4" t="str">
        <f t="shared" si="191"/>
        <v>Good</v>
      </c>
      <c r="X3030" s="4">
        <f>AVERAGE(Table1[Purchase Amount])</f>
        <v>129.48419400000012</v>
      </c>
    </row>
    <row r="3031" spans="1:24" ht="15" customHeight="1" x14ac:dyDescent="0.25">
      <c r="A3031">
        <v>3030</v>
      </c>
      <c r="B3031">
        <v>64</v>
      </c>
      <c r="C3031" t="s">
        <v>16</v>
      </c>
      <c r="D3031" t="s">
        <v>157</v>
      </c>
      <c r="E3031" t="s">
        <v>18</v>
      </c>
      <c r="F3031" s="2">
        <v>82</v>
      </c>
      <c r="G3031" t="s">
        <v>160</v>
      </c>
      <c r="H3031" t="s">
        <v>31</v>
      </c>
      <c r="I3031" t="s">
        <v>133</v>
      </c>
      <c r="J3031" t="s">
        <v>57</v>
      </c>
      <c r="K3031">
        <v>3.1</v>
      </c>
      <c r="L3031" t="s">
        <v>23</v>
      </c>
      <c r="M3031" t="s">
        <v>35</v>
      </c>
      <c r="N3031" t="s">
        <v>23</v>
      </c>
      <c r="O3031">
        <v>1</v>
      </c>
      <c r="P3031" t="s">
        <v>36</v>
      </c>
      <c r="Q3031" t="s">
        <v>37</v>
      </c>
      <c r="R3031" s="1">
        <v>0.1</v>
      </c>
      <c r="S3031">
        <f t="shared" si="188"/>
        <v>73.8</v>
      </c>
      <c r="T3031">
        <f>IFERROR(VLOOKUP(A3031,Table1[[Customer ID]:[Discount Amount]], 6, FALSE),"Not Found")</f>
        <v>82</v>
      </c>
      <c r="U3031" t="str">
        <f t="shared" si="189"/>
        <v>Debit Card</v>
      </c>
      <c r="V3031" s="4" t="str">
        <f t="shared" si="190"/>
        <v>Normal</v>
      </c>
      <c r="W3031" s="4" t="str">
        <f t="shared" si="191"/>
        <v>Good</v>
      </c>
      <c r="X3031" s="4">
        <f>AVERAGE(Table1[Purchase Amount])</f>
        <v>129.48419400000012</v>
      </c>
    </row>
    <row r="3032" spans="1:24" ht="15" customHeight="1" x14ac:dyDescent="0.25">
      <c r="A3032">
        <v>3031</v>
      </c>
      <c r="B3032">
        <v>43</v>
      </c>
      <c r="C3032" t="s">
        <v>16</v>
      </c>
      <c r="D3032" t="s">
        <v>140</v>
      </c>
      <c r="E3032" t="s">
        <v>98</v>
      </c>
      <c r="F3032" s="2">
        <v>24</v>
      </c>
      <c r="G3032" t="s">
        <v>106</v>
      </c>
      <c r="H3032" t="s">
        <v>20</v>
      </c>
      <c r="I3032" t="s">
        <v>66</v>
      </c>
      <c r="J3032" t="s">
        <v>33</v>
      </c>
      <c r="K3032">
        <v>2.6</v>
      </c>
      <c r="L3032" t="s">
        <v>23</v>
      </c>
      <c r="M3032" t="s">
        <v>41</v>
      </c>
      <c r="N3032" t="s">
        <v>23</v>
      </c>
      <c r="O3032">
        <v>23</v>
      </c>
      <c r="P3032" t="s">
        <v>53</v>
      </c>
      <c r="Q3032" t="s">
        <v>26</v>
      </c>
      <c r="R3032" s="1">
        <v>0.1</v>
      </c>
      <c r="S3032">
        <f t="shared" si="188"/>
        <v>21.6</v>
      </c>
      <c r="T3032">
        <f>IFERROR(VLOOKUP(A3032,Table1[[Customer ID]:[Discount Amount]], 6, FALSE),"Not Found")</f>
        <v>24</v>
      </c>
      <c r="U3032" t="str">
        <f t="shared" si="189"/>
        <v>Credit Card</v>
      </c>
      <c r="V3032" s="4" t="str">
        <f t="shared" si="190"/>
        <v>Normal</v>
      </c>
      <c r="W3032" s="4" t="str">
        <f t="shared" si="191"/>
        <v>Poor</v>
      </c>
      <c r="X3032" s="4">
        <f>AVERAGE(Table1[Purchase Amount])</f>
        <v>129.48419400000012</v>
      </c>
    </row>
    <row r="3033" spans="1:24" ht="15" customHeight="1" x14ac:dyDescent="0.25">
      <c r="A3033">
        <v>3032</v>
      </c>
      <c r="B3033">
        <v>61</v>
      </c>
      <c r="C3033" t="s">
        <v>16</v>
      </c>
      <c r="D3033" t="s">
        <v>118</v>
      </c>
      <c r="E3033" t="s">
        <v>18</v>
      </c>
      <c r="F3033" s="2">
        <v>74</v>
      </c>
      <c r="G3033" t="s">
        <v>161</v>
      </c>
      <c r="H3033" t="s">
        <v>45</v>
      </c>
      <c r="I3033" t="s">
        <v>147</v>
      </c>
      <c r="J3033" t="s">
        <v>57</v>
      </c>
      <c r="K3033">
        <v>4.9000000000000004</v>
      </c>
      <c r="L3033" t="s">
        <v>23</v>
      </c>
      <c r="M3033" t="s">
        <v>41</v>
      </c>
      <c r="N3033" t="s">
        <v>23</v>
      </c>
      <c r="O3033">
        <v>30</v>
      </c>
      <c r="P3033" t="s">
        <v>53</v>
      </c>
      <c r="Q3033" t="s">
        <v>42</v>
      </c>
      <c r="R3033" s="1">
        <v>0.1</v>
      </c>
      <c r="S3033">
        <f t="shared" si="188"/>
        <v>66.599999999999994</v>
      </c>
      <c r="T3033">
        <f>IFERROR(VLOOKUP(A3033,Table1[[Customer ID]:[Discount Amount]], 6, FALSE),"Not Found")</f>
        <v>74</v>
      </c>
      <c r="U3033" t="str">
        <f t="shared" si="189"/>
        <v>Credit Card</v>
      </c>
      <c r="V3033" s="4" t="str">
        <f t="shared" si="190"/>
        <v>Normal</v>
      </c>
      <c r="W3033" s="4" t="str">
        <f t="shared" si="191"/>
        <v>Good</v>
      </c>
      <c r="X3033" s="4">
        <f>AVERAGE(Table1[Purchase Amount])</f>
        <v>129.48419400000012</v>
      </c>
    </row>
    <row r="3034" spans="1:24" ht="15" customHeight="1" x14ac:dyDescent="0.25">
      <c r="A3034">
        <v>3033</v>
      </c>
      <c r="B3034">
        <v>26</v>
      </c>
      <c r="C3034" t="s">
        <v>16</v>
      </c>
      <c r="D3034" t="s">
        <v>104</v>
      </c>
      <c r="E3034" t="s">
        <v>29</v>
      </c>
      <c r="F3034" s="2">
        <v>58</v>
      </c>
      <c r="G3034" t="s">
        <v>19</v>
      </c>
      <c r="H3034" t="s">
        <v>20</v>
      </c>
      <c r="I3034" t="s">
        <v>93</v>
      </c>
      <c r="J3034" t="s">
        <v>57</v>
      </c>
      <c r="K3034">
        <v>3.5</v>
      </c>
      <c r="L3034" t="s">
        <v>23</v>
      </c>
      <c r="M3034" t="s">
        <v>79</v>
      </c>
      <c r="N3034" t="s">
        <v>23</v>
      </c>
      <c r="O3034">
        <v>24</v>
      </c>
      <c r="P3034" t="s">
        <v>53</v>
      </c>
      <c r="Q3034" t="s">
        <v>37</v>
      </c>
      <c r="R3034" s="1">
        <v>0.1</v>
      </c>
      <c r="S3034">
        <f t="shared" si="188"/>
        <v>52.2</v>
      </c>
      <c r="T3034">
        <f>IFERROR(VLOOKUP(A3034,Table1[[Customer ID]:[Discount Amount]], 6, FALSE),"Not Found")</f>
        <v>58</v>
      </c>
      <c r="U3034" t="str">
        <f t="shared" si="189"/>
        <v>Credit Card</v>
      </c>
      <c r="V3034" s="4" t="str">
        <f t="shared" si="190"/>
        <v>Normal</v>
      </c>
      <c r="W3034" s="4" t="str">
        <f t="shared" si="191"/>
        <v>Good</v>
      </c>
      <c r="X3034" s="4">
        <f>AVERAGE(Table1[Purchase Amount])</f>
        <v>129.48419400000012</v>
      </c>
    </row>
    <row r="3035" spans="1:24" ht="15" customHeight="1" x14ac:dyDescent="0.25">
      <c r="A3035">
        <v>3034</v>
      </c>
      <c r="B3035">
        <v>22</v>
      </c>
      <c r="C3035" t="s">
        <v>16</v>
      </c>
      <c r="D3035" t="s">
        <v>127</v>
      </c>
      <c r="E3035" t="s">
        <v>18</v>
      </c>
      <c r="F3035" s="2">
        <v>56</v>
      </c>
      <c r="G3035" t="s">
        <v>51</v>
      </c>
      <c r="H3035" t="s">
        <v>45</v>
      </c>
      <c r="I3035" t="s">
        <v>108</v>
      </c>
      <c r="J3035" t="s">
        <v>33</v>
      </c>
      <c r="K3035">
        <v>2.6</v>
      </c>
      <c r="L3035" t="s">
        <v>23</v>
      </c>
      <c r="M3035" t="s">
        <v>48</v>
      </c>
      <c r="N3035" t="s">
        <v>23</v>
      </c>
      <c r="O3035">
        <v>9</v>
      </c>
      <c r="P3035" t="s">
        <v>58</v>
      </c>
      <c r="Q3035" t="s">
        <v>26</v>
      </c>
      <c r="R3035" s="1">
        <v>0.1</v>
      </c>
      <c r="S3035">
        <f t="shared" si="188"/>
        <v>50.4</v>
      </c>
      <c r="T3035">
        <f>IFERROR(VLOOKUP(A3035,Table1[[Customer ID]:[Discount Amount]], 6, FALSE),"Not Found")</f>
        <v>56</v>
      </c>
      <c r="U3035" t="str">
        <f t="shared" si="189"/>
        <v>PayPal</v>
      </c>
      <c r="V3035" s="4" t="str">
        <f t="shared" si="190"/>
        <v>Normal</v>
      </c>
      <c r="W3035" s="4" t="str">
        <f t="shared" si="191"/>
        <v>Poor</v>
      </c>
      <c r="X3035" s="4">
        <f>AVERAGE(Table1[Purchase Amount])</f>
        <v>129.48419400000012</v>
      </c>
    </row>
    <row r="3036" spans="1:24" ht="15" customHeight="1" x14ac:dyDescent="0.25">
      <c r="A3036">
        <v>3035</v>
      </c>
      <c r="B3036">
        <v>51</v>
      </c>
      <c r="C3036" t="s">
        <v>16</v>
      </c>
      <c r="D3036" t="s">
        <v>151</v>
      </c>
      <c r="E3036" t="s">
        <v>98</v>
      </c>
      <c r="F3036" s="2">
        <v>37</v>
      </c>
      <c r="G3036" t="s">
        <v>144</v>
      </c>
      <c r="H3036" t="s">
        <v>45</v>
      </c>
      <c r="I3036" t="s">
        <v>145</v>
      </c>
      <c r="J3036" t="s">
        <v>33</v>
      </c>
      <c r="K3036">
        <v>3.5</v>
      </c>
      <c r="L3036" t="s">
        <v>23</v>
      </c>
      <c r="M3036" t="s">
        <v>41</v>
      </c>
      <c r="N3036" t="s">
        <v>23</v>
      </c>
      <c r="O3036">
        <v>25</v>
      </c>
      <c r="P3036" t="s">
        <v>53</v>
      </c>
      <c r="Q3036" t="s">
        <v>37</v>
      </c>
      <c r="R3036" s="1">
        <v>0.1</v>
      </c>
      <c r="S3036">
        <f t="shared" si="188"/>
        <v>33.299999999999997</v>
      </c>
      <c r="T3036">
        <f>IFERROR(VLOOKUP(A3036,Table1[[Customer ID]:[Discount Amount]], 6, FALSE),"Not Found")</f>
        <v>37</v>
      </c>
      <c r="U3036" t="str">
        <f t="shared" si="189"/>
        <v>Credit Card</v>
      </c>
      <c r="V3036" s="4" t="str">
        <f t="shared" si="190"/>
        <v>Normal</v>
      </c>
      <c r="W3036" s="4" t="str">
        <f t="shared" si="191"/>
        <v>Good</v>
      </c>
      <c r="X3036" s="4">
        <f>AVERAGE(Table1[Purchase Amount])</f>
        <v>129.48419400000012</v>
      </c>
    </row>
    <row r="3037" spans="1:24" ht="15" customHeight="1" x14ac:dyDescent="0.25">
      <c r="A3037">
        <v>3036</v>
      </c>
      <c r="B3037">
        <v>69</v>
      </c>
      <c r="C3037" t="s">
        <v>16</v>
      </c>
      <c r="D3037" t="s">
        <v>69</v>
      </c>
      <c r="E3037" t="s">
        <v>29</v>
      </c>
      <c r="F3037" s="2">
        <v>64</v>
      </c>
      <c r="G3037" t="s">
        <v>70</v>
      </c>
      <c r="H3037" t="s">
        <v>31</v>
      </c>
      <c r="I3037" t="s">
        <v>133</v>
      </c>
      <c r="J3037" t="s">
        <v>33</v>
      </c>
      <c r="K3037">
        <v>4.5</v>
      </c>
      <c r="L3037" t="s">
        <v>23</v>
      </c>
      <c r="M3037" t="s">
        <v>35</v>
      </c>
      <c r="N3037" t="s">
        <v>23</v>
      </c>
      <c r="O3037">
        <v>18</v>
      </c>
      <c r="P3037" t="s">
        <v>25</v>
      </c>
      <c r="Q3037" t="s">
        <v>68</v>
      </c>
      <c r="R3037" s="1">
        <v>0.1</v>
      </c>
      <c r="S3037">
        <f t="shared" si="188"/>
        <v>57.6</v>
      </c>
      <c r="T3037">
        <f>IFERROR(VLOOKUP(A3037,Table1[[Customer ID]:[Discount Amount]], 6, FALSE),"Not Found")</f>
        <v>64</v>
      </c>
      <c r="U3037" t="str">
        <f t="shared" si="189"/>
        <v>Cash</v>
      </c>
      <c r="V3037" s="4" t="str">
        <f t="shared" si="190"/>
        <v>Normal</v>
      </c>
      <c r="W3037" s="4" t="str">
        <f t="shared" si="191"/>
        <v>Good</v>
      </c>
      <c r="X3037" s="4">
        <f>AVERAGE(Table1[Purchase Amount])</f>
        <v>129.48419400000012</v>
      </c>
    </row>
    <row r="3038" spans="1:24" ht="15" customHeight="1" x14ac:dyDescent="0.25">
      <c r="A3038">
        <v>3037</v>
      </c>
      <c r="B3038">
        <v>50</v>
      </c>
      <c r="C3038" t="s">
        <v>16</v>
      </c>
      <c r="D3038" t="s">
        <v>83</v>
      </c>
      <c r="E3038" t="s">
        <v>18</v>
      </c>
      <c r="F3038" s="2">
        <v>58</v>
      </c>
      <c r="G3038" t="s">
        <v>84</v>
      </c>
      <c r="H3038" t="s">
        <v>55</v>
      </c>
      <c r="I3038" t="s">
        <v>111</v>
      </c>
      <c r="J3038" t="s">
        <v>33</v>
      </c>
      <c r="K3038">
        <v>4.3</v>
      </c>
      <c r="L3038" t="s">
        <v>23</v>
      </c>
      <c r="M3038" t="s">
        <v>79</v>
      </c>
      <c r="N3038" t="s">
        <v>23</v>
      </c>
      <c r="O3038">
        <v>7</v>
      </c>
      <c r="P3038" t="s">
        <v>62</v>
      </c>
      <c r="Q3038" t="s">
        <v>89</v>
      </c>
      <c r="R3038" s="1">
        <v>0.1</v>
      </c>
      <c r="S3038">
        <f t="shared" si="188"/>
        <v>52.2</v>
      </c>
      <c r="T3038">
        <f>IFERROR(VLOOKUP(A3038,Table1[[Customer ID]:[Discount Amount]], 6, FALSE),"Not Found")</f>
        <v>58</v>
      </c>
      <c r="U3038" t="str">
        <f t="shared" si="189"/>
        <v>Venmo</v>
      </c>
      <c r="V3038" s="4" t="str">
        <f t="shared" si="190"/>
        <v>Normal</v>
      </c>
      <c r="W3038" s="4" t="str">
        <f t="shared" si="191"/>
        <v>Good</v>
      </c>
      <c r="X3038" s="4">
        <f>AVERAGE(Table1[Purchase Amount])</f>
        <v>129.48419400000012</v>
      </c>
    </row>
    <row r="3039" spans="1:24" ht="15" customHeight="1" x14ac:dyDescent="0.25">
      <c r="A3039">
        <v>3038</v>
      </c>
      <c r="B3039">
        <v>51</v>
      </c>
      <c r="C3039" t="s">
        <v>16</v>
      </c>
      <c r="D3039" t="s">
        <v>114</v>
      </c>
      <c r="E3039" t="s">
        <v>29</v>
      </c>
      <c r="F3039" s="2">
        <v>44</v>
      </c>
      <c r="G3039" t="s">
        <v>141</v>
      </c>
      <c r="H3039" t="s">
        <v>45</v>
      </c>
      <c r="I3039" t="s">
        <v>103</v>
      </c>
      <c r="J3039" t="s">
        <v>57</v>
      </c>
      <c r="K3039">
        <v>4.8</v>
      </c>
      <c r="L3039" t="s">
        <v>23</v>
      </c>
      <c r="M3039" t="s">
        <v>79</v>
      </c>
      <c r="N3039" t="s">
        <v>23</v>
      </c>
      <c r="O3039">
        <v>2</v>
      </c>
      <c r="P3039" t="s">
        <v>25</v>
      </c>
      <c r="Q3039" t="s">
        <v>49</v>
      </c>
      <c r="R3039" s="1">
        <v>0.1</v>
      </c>
      <c r="S3039">
        <f t="shared" si="188"/>
        <v>39.6</v>
      </c>
      <c r="T3039">
        <f>IFERROR(VLOOKUP(A3039,Table1[[Customer ID]:[Discount Amount]], 6, FALSE),"Not Found")</f>
        <v>44</v>
      </c>
      <c r="U3039" t="str">
        <f t="shared" si="189"/>
        <v>Cash</v>
      </c>
      <c r="V3039" s="4" t="str">
        <f t="shared" si="190"/>
        <v>Normal</v>
      </c>
      <c r="W3039" s="4" t="str">
        <f t="shared" si="191"/>
        <v>Good</v>
      </c>
      <c r="X3039" s="4">
        <f>AVERAGE(Table1[Purchase Amount])</f>
        <v>129.48419400000012</v>
      </c>
    </row>
    <row r="3040" spans="1:24" ht="15" customHeight="1" x14ac:dyDescent="0.25">
      <c r="A3040">
        <v>3039</v>
      </c>
      <c r="B3040">
        <v>56</v>
      </c>
      <c r="C3040" t="s">
        <v>16</v>
      </c>
      <c r="D3040" t="s">
        <v>50</v>
      </c>
      <c r="E3040" t="s">
        <v>29</v>
      </c>
      <c r="F3040" s="2">
        <v>39</v>
      </c>
      <c r="G3040" t="s">
        <v>160</v>
      </c>
      <c r="H3040" t="s">
        <v>31</v>
      </c>
      <c r="I3040" t="s">
        <v>60</v>
      </c>
      <c r="J3040" t="s">
        <v>57</v>
      </c>
      <c r="K3040">
        <v>4.2</v>
      </c>
      <c r="L3040" t="s">
        <v>23</v>
      </c>
      <c r="M3040" t="s">
        <v>35</v>
      </c>
      <c r="N3040" t="s">
        <v>23</v>
      </c>
      <c r="O3040">
        <v>36</v>
      </c>
      <c r="P3040" t="s">
        <v>36</v>
      </c>
      <c r="Q3040" t="s">
        <v>49</v>
      </c>
      <c r="R3040" s="1">
        <v>0.1</v>
      </c>
      <c r="S3040">
        <f t="shared" si="188"/>
        <v>35.1</v>
      </c>
      <c r="T3040">
        <f>IFERROR(VLOOKUP(A3040,Table1[[Customer ID]:[Discount Amount]], 6, FALSE),"Not Found")</f>
        <v>39</v>
      </c>
      <c r="U3040" t="str">
        <f t="shared" si="189"/>
        <v>Debit Card</v>
      </c>
      <c r="V3040" s="4" t="str">
        <f t="shared" si="190"/>
        <v>Normal</v>
      </c>
      <c r="W3040" s="4" t="str">
        <f t="shared" si="191"/>
        <v>Good</v>
      </c>
      <c r="X3040" s="4">
        <f>AVERAGE(Table1[Purchase Amount])</f>
        <v>129.48419400000012</v>
      </c>
    </row>
    <row r="3041" spans="1:24" ht="15" customHeight="1" x14ac:dyDescent="0.25">
      <c r="A3041">
        <v>3040</v>
      </c>
      <c r="B3041">
        <v>59</v>
      </c>
      <c r="C3041" t="s">
        <v>16</v>
      </c>
      <c r="D3041" t="s">
        <v>118</v>
      </c>
      <c r="E3041" t="s">
        <v>18</v>
      </c>
      <c r="F3041" s="2">
        <v>48</v>
      </c>
      <c r="G3041" t="s">
        <v>51</v>
      </c>
      <c r="H3041" t="s">
        <v>45</v>
      </c>
      <c r="I3041" t="s">
        <v>74</v>
      </c>
      <c r="J3041" t="s">
        <v>33</v>
      </c>
      <c r="K3041">
        <v>3.2</v>
      </c>
      <c r="L3041" t="s">
        <v>23</v>
      </c>
      <c r="M3041" t="s">
        <v>79</v>
      </c>
      <c r="N3041" t="s">
        <v>23</v>
      </c>
      <c r="O3041">
        <v>31</v>
      </c>
      <c r="P3041" t="s">
        <v>58</v>
      </c>
      <c r="Q3041" t="s">
        <v>68</v>
      </c>
      <c r="R3041" s="1">
        <v>0.1</v>
      </c>
      <c r="S3041">
        <f t="shared" si="188"/>
        <v>43.2</v>
      </c>
      <c r="T3041">
        <f>IFERROR(VLOOKUP(A3041,Table1[[Customer ID]:[Discount Amount]], 6, FALSE),"Not Found")</f>
        <v>48</v>
      </c>
      <c r="U3041" t="str">
        <f t="shared" si="189"/>
        <v>PayPal</v>
      </c>
      <c r="V3041" s="4" t="str">
        <f t="shared" si="190"/>
        <v>Normal</v>
      </c>
      <c r="W3041" s="4" t="str">
        <f t="shared" si="191"/>
        <v>Good</v>
      </c>
      <c r="X3041" s="4">
        <f>AVERAGE(Table1[Purchase Amount])</f>
        <v>129.48419400000012</v>
      </c>
    </row>
    <row r="3042" spans="1:24" ht="15" customHeight="1" x14ac:dyDescent="0.25">
      <c r="A3042">
        <v>3041</v>
      </c>
      <c r="B3042">
        <v>18</v>
      </c>
      <c r="C3042" t="s">
        <v>16</v>
      </c>
      <c r="D3042" t="s">
        <v>69</v>
      </c>
      <c r="E3042" t="s">
        <v>29</v>
      </c>
      <c r="F3042" s="2">
        <v>32</v>
      </c>
      <c r="G3042" t="s">
        <v>137</v>
      </c>
      <c r="H3042" t="s">
        <v>31</v>
      </c>
      <c r="I3042" t="s">
        <v>133</v>
      </c>
      <c r="J3042" t="s">
        <v>47</v>
      </c>
      <c r="K3042">
        <v>4.0999999999999996</v>
      </c>
      <c r="L3042" t="s">
        <v>23</v>
      </c>
      <c r="M3042" t="s">
        <v>61</v>
      </c>
      <c r="N3042" t="s">
        <v>23</v>
      </c>
      <c r="O3042">
        <v>10</v>
      </c>
      <c r="P3042" t="s">
        <v>25</v>
      </c>
      <c r="Q3042" t="s">
        <v>89</v>
      </c>
      <c r="R3042" s="1">
        <v>0.1</v>
      </c>
      <c r="S3042">
        <f t="shared" si="188"/>
        <v>28.8</v>
      </c>
      <c r="T3042">
        <f>IFERROR(VLOOKUP(A3042,Table1[[Customer ID]:[Discount Amount]], 6, FALSE),"Not Found")</f>
        <v>32</v>
      </c>
      <c r="U3042" t="str">
        <f t="shared" si="189"/>
        <v>Cash</v>
      </c>
      <c r="V3042" s="4" t="str">
        <f t="shared" si="190"/>
        <v>Normal</v>
      </c>
      <c r="W3042" s="4" t="str">
        <f t="shared" si="191"/>
        <v>Good</v>
      </c>
      <c r="X3042" s="4">
        <f>AVERAGE(Table1[Purchase Amount])</f>
        <v>129.48419400000012</v>
      </c>
    </row>
    <row r="3043" spans="1:24" ht="15" customHeight="1" x14ac:dyDescent="0.25">
      <c r="A3043">
        <v>3042</v>
      </c>
      <c r="B3043">
        <v>48</v>
      </c>
      <c r="C3043" t="s">
        <v>16</v>
      </c>
      <c r="D3043" t="s">
        <v>69</v>
      </c>
      <c r="E3043" t="s">
        <v>29</v>
      </c>
      <c r="F3043" s="2">
        <v>79</v>
      </c>
      <c r="G3043" t="s">
        <v>159</v>
      </c>
      <c r="H3043" t="s">
        <v>31</v>
      </c>
      <c r="I3043" t="s">
        <v>108</v>
      </c>
      <c r="J3043" t="s">
        <v>22</v>
      </c>
      <c r="K3043">
        <v>4</v>
      </c>
      <c r="L3043" t="s">
        <v>23</v>
      </c>
      <c r="M3043" t="s">
        <v>61</v>
      </c>
      <c r="N3043" t="s">
        <v>23</v>
      </c>
      <c r="O3043">
        <v>27</v>
      </c>
      <c r="P3043" t="s">
        <v>58</v>
      </c>
      <c r="Q3043" t="s">
        <v>42</v>
      </c>
      <c r="R3043" s="1">
        <v>0.1</v>
      </c>
      <c r="S3043">
        <f t="shared" si="188"/>
        <v>71.099999999999994</v>
      </c>
      <c r="T3043">
        <f>IFERROR(VLOOKUP(A3043,Table1[[Customer ID]:[Discount Amount]], 6, FALSE),"Not Found")</f>
        <v>79</v>
      </c>
      <c r="U3043" t="str">
        <f t="shared" si="189"/>
        <v>PayPal</v>
      </c>
      <c r="V3043" s="4" t="str">
        <f t="shared" si="190"/>
        <v>Normal</v>
      </c>
      <c r="W3043" s="4" t="str">
        <f t="shared" si="191"/>
        <v>Good</v>
      </c>
      <c r="X3043" s="4">
        <f>AVERAGE(Table1[Purchase Amount])</f>
        <v>129.48419400000012</v>
      </c>
    </row>
    <row r="3044" spans="1:24" ht="15" customHeight="1" x14ac:dyDescent="0.25">
      <c r="A3044">
        <v>3043</v>
      </c>
      <c r="B3044">
        <v>53</v>
      </c>
      <c r="C3044" t="s">
        <v>16</v>
      </c>
      <c r="D3044" t="s">
        <v>76</v>
      </c>
      <c r="E3044" t="s">
        <v>77</v>
      </c>
      <c r="F3044" s="2">
        <v>27</v>
      </c>
      <c r="G3044" t="s">
        <v>130</v>
      </c>
      <c r="H3044" t="s">
        <v>45</v>
      </c>
      <c r="I3044" t="s">
        <v>156</v>
      </c>
      <c r="J3044" t="s">
        <v>22</v>
      </c>
      <c r="K3044">
        <v>2.9</v>
      </c>
      <c r="L3044" t="s">
        <v>23</v>
      </c>
      <c r="M3044" t="s">
        <v>79</v>
      </c>
      <c r="N3044" t="s">
        <v>23</v>
      </c>
      <c r="O3044">
        <v>14</v>
      </c>
      <c r="P3044" t="s">
        <v>58</v>
      </c>
      <c r="Q3044" t="s">
        <v>63</v>
      </c>
      <c r="R3044" s="1">
        <v>0.1</v>
      </c>
      <c r="S3044">
        <f t="shared" si="188"/>
        <v>24.3</v>
      </c>
      <c r="T3044">
        <f>IFERROR(VLOOKUP(A3044,Table1[[Customer ID]:[Discount Amount]], 6, FALSE),"Not Found")</f>
        <v>27</v>
      </c>
      <c r="U3044" t="str">
        <f t="shared" si="189"/>
        <v>PayPal</v>
      </c>
      <c r="V3044" s="4" t="str">
        <f t="shared" si="190"/>
        <v>Normal</v>
      </c>
      <c r="W3044" s="4" t="str">
        <f t="shared" si="191"/>
        <v>Poor</v>
      </c>
      <c r="X3044" s="4">
        <f>AVERAGE(Table1[Purchase Amount])</f>
        <v>129.48419400000012</v>
      </c>
    </row>
    <row r="3045" spans="1:24" ht="15" customHeight="1" x14ac:dyDescent="0.25">
      <c r="A3045">
        <v>3044</v>
      </c>
      <c r="B3045">
        <v>45</v>
      </c>
      <c r="C3045" t="s">
        <v>16</v>
      </c>
      <c r="D3045" t="s">
        <v>114</v>
      </c>
      <c r="E3045" t="s">
        <v>29</v>
      </c>
      <c r="F3045" s="2">
        <v>98</v>
      </c>
      <c r="G3045" t="s">
        <v>44</v>
      </c>
      <c r="H3045" t="s">
        <v>55</v>
      </c>
      <c r="I3045" t="s">
        <v>145</v>
      </c>
      <c r="J3045" t="s">
        <v>47</v>
      </c>
      <c r="K3045">
        <v>2.6</v>
      </c>
      <c r="L3045" t="s">
        <v>23</v>
      </c>
      <c r="M3045" t="s">
        <v>48</v>
      </c>
      <c r="N3045" t="s">
        <v>23</v>
      </c>
      <c r="O3045">
        <v>17</v>
      </c>
      <c r="P3045" t="s">
        <v>53</v>
      </c>
      <c r="Q3045" t="s">
        <v>42</v>
      </c>
      <c r="R3045" s="1">
        <v>0.1</v>
      </c>
      <c r="S3045">
        <f t="shared" si="188"/>
        <v>88.2</v>
      </c>
      <c r="T3045">
        <f>IFERROR(VLOOKUP(A3045,Table1[[Customer ID]:[Discount Amount]], 6, FALSE),"Not Found")</f>
        <v>98</v>
      </c>
      <c r="U3045" t="str">
        <f t="shared" si="189"/>
        <v>Credit Card</v>
      </c>
      <c r="V3045" s="4" t="str">
        <f t="shared" si="190"/>
        <v>Normal</v>
      </c>
      <c r="W3045" s="4" t="str">
        <f t="shared" si="191"/>
        <v>Poor</v>
      </c>
      <c r="X3045" s="4">
        <f>AVERAGE(Table1[Purchase Amount])</f>
        <v>129.48419400000012</v>
      </c>
    </row>
    <row r="3046" spans="1:24" ht="15" customHeight="1" x14ac:dyDescent="0.25">
      <c r="A3046">
        <v>3045</v>
      </c>
      <c r="B3046">
        <v>21</v>
      </c>
      <c r="C3046" t="s">
        <v>16</v>
      </c>
      <c r="D3046" t="s">
        <v>151</v>
      </c>
      <c r="E3046" t="s">
        <v>98</v>
      </c>
      <c r="F3046" s="2">
        <v>67</v>
      </c>
      <c r="G3046" t="s">
        <v>134</v>
      </c>
      <c r="H3046" t="s">
        <v>31</v>
      </c>
      <c r="I3046" t="s">
        <v>87</v>
      </c>
      <c r="J3046" t="s">
        <v>22</v>
      </c>
      <c r="K3046">
        <v>2.7</v>
      </c>
      <c r="L3046" t="s">
        <v>23</v>
      </c>
      <c r="M3046" t="s">
        <v>35</v>
      </c>
      <c r="N3046" t="s">
        <v>23</v>
      </c>
      <c r="O3046">
        <v>10</v>
      </c>
      <c r="P3046" t="s">
        <v>88</v>
      </c>
      <c r="Q3046" t="s">
        <v>37</v>
      </c>
      <c r="R3046" s="1">
        <v>0.1</v>
      </c>
      <c r="S3046">
        <f t="shared" si="188"/>
        <v>60.3</v>
      </c>
      <c r="T3046">
        <f>IFERROR(VLOOKUP(A3046,Table1[[Customer ID]:[Discount Amount]], 6, FALSE),"Not Found")</f>
        <v>67</v>
      </c>
      <c r="U3046" t="str">
        <f t="shared" si="189"/>
        <v>Bank Transfer</v>
      </c>
      <c r="V3046" s="4" t="str">
        <f t="shared" si="190"/>
        <v>Normal</v>
      </c>
      <c r="W3046" s="4" t="str">
        <f t="shared" si="191"/>
        <v>Poor</v>
      </c>
      <c r="X3046" s="4">
        <f>AVERAGE(Table1[Purchase Amount])</f>
        <v>129.48419400000012</v>
      </c>
    </row>
    <row r="3047" spans="1:24" ht="15" customHeight="1" x14ac:dyDescent="0.25">
      <c r="A3047">
        <v>3046</v>
      </c>
      <c r="B3047">
        <v>42</v>
      </c>
      <c r="C3047" t="s">
        <v>16</v>
      </c>
      <c r="D3047" t="s">
        <v>105</v>
      </c>
      <c r="E3047" t="s">
        <v>18</v>
      </c>
      <c r="F3047" s="2">
        <v>37</v>
      </c>
      <c r="G3047" t="s">
        <v>67</v>
      </c>
      <c r="H3047" t="s">
        <v>45</v>
      </c>
      <c r="I3047" t="s">
        <v>40</v>
      </c>
      <c r="J3047" t="s">
        <v>22</v>
      </c>
      <c r="K3047">
        <v>4.5999999999999996</v>
      </c>
      <c r="L3047" t="s">
        <v>23</v>
      </c>
      <c r="M3047" t="s">
        <v>41</v>
      </c>
      <c r="N3047" t="s">
        <v>23</v>
      </c>
      <c r="O3047">
        <v>4</v>
      </c>
      <c r="P3047" t="s">
        <v>58</v>
      </c>
      <c r="Q3047" t="s">
        <v>68</v>
      </c>
      <c r="R3047" s="1">
        <v>0.1</v>
      </c>
      <c r="S3047">
        <f t="shared" si="188"/>
        <v>33.299999999999997</v>
      </c>
      <c r="T3047">
        <f>IFERROR(VLOOKUP(A3047,Table1[[Customer ID]:[Discount Amount]], 6, FALSE),"Not Found")</f>
        <v>37</v>
      </c>
      <c r="U3047" t="str">
        <f t="shared" si="189"/>
        <v>PayPal</v>
      </c>
      <c r="V3047" s="4" t="str">
        <f t="shared" si="190"/>
        <v>Normal</v>
      </c>
      <c r="W3047" s="4" t="str">
        <f t="shared" si="191"/>
        <v>Good</v>
      </c>
      <c r="X3047" s="4">
        <f>AVERAGE(Table1[Purchase Amount])</f>
        <v>129.48419400000012</v>
      </c>
    </row>
    <row r="3048" spans="1:24" ht="15" customHeight="1" x14ac:dyDescent="0.25">
      <c r="A3048">
        <v>3047</v>
      </c>
      <c r="B3048">
        <v>60</v>
      </c>
      <c r="C3048" t="s">
        <v>16</v>
      </c>
      <c r="D3048" t="s">
        <v>72</v>
      </c>
      <c r="E3048" t="s">
        <v>98</v>
      </c>
      <c r="F3048" s="2">
        <v>49</v>
      </c>
      <c r="G3048" t="s">
        <v>78</v>
      </c>
      <c r="H3048" t="s">
        <v>31</v>
      </c>
      <c r="I3048" t="s">
        <v>32</v>
      </c>
      <c r="J3048" t="s">
        <v>33</v>
      </c>
      <c r="K3048">
        <v>3.2</v>
      </c>
      <c r="L3048" t="s">
        <v>23</v>
      </c>
      <c r="M3048" t="s">
        <v>48</v>
      </c>
      <c r="N3048" t="s">
        <v>23</v>
      </c>
      <c r="O3048">
        <v>25</v>
      </c>
      <c r="P3048" t="s">
        <v>25</v>
      </c>
      <c r="Q3048" t="s">
        <v>63</v>
      </c>
      <c r="R3048" s="1">
        <v>0.1</v>
      </c>
      <c r="S3048">
        <f t="shared" si="188"/>
        <v>44.1</v>
      </c>
      <c r="T3048">
        <f>IFERROR(VLOOKUP(A3048,Table1[[Customer ID]:[Discount Amount]], 6, FALSE),"Not Found")</f>
        <v>49</v>
      </c>
      <c r="U3048" t="str">
        <f t="shared" si="189"/>
        <v>Cash</v>
      </c>
      <c r="V3048" s="4" t="str">
        <f t="shared" si="190"/>
        <v>Normal</v>
      </c>
      <c r="W3048" s="4" t="str">
        <f t="shared" si="191"/>
        <v>Good</v>
      </c>
      <c r="X3048" s="4">
        <f>AVERAGE(Table1[Purchase Amount])</f>
        <v>129.48419400000012</v>
      </c>
    </row>
    <row r="3049" spans="1:24" ht="15" customHeight="1" x14ac:dyDescent="0.25">
      <c r="A3049">
        <v>3048</v>
      </c>
      <c r="B3049">
        <v>21</v>
      </c>
      <c r="C3049" t="s">
        <v>16</v>
      </c>
      <c r="D3049" t="s">
        <v>140</v>
      </c>
      <c r="E3049" t="s">
        <v>98</v>
      </c>
      <c r="F3049" s="2">
        <v>74</v>
      </c>
      <c r="G3049" t="s">
        <v>84</v>
      </c>
      <c r="H3049" t="s">
        <v>31</v>
      </c>
      <c r="I3049" t="s">
        <v>111</v>
      </c>
      <c r="J3049" t="s">
        <v>47</v>
      </c>
      <c r="K3049">
        <v>4.0999999999999996</v>
      </c>
      <c r="L3049" t="s">
        <v>23</v>
      </c>
      <c r="M3049" t="s">
        <v>41</v>
      </c>
      <c r="N3049" t="s">
        <v>23</v>
      </c>
      <c r="O3049">
        <v>3</v>
      </c>
      <c r="P3049" t="s">
        <v>58</v>
      </c>
      <c r="Q3049" t="s">
        <v>68</v>
      </c>
      <c r="R3049" s="1">
        <v>0.1</v>
      </c>
      <c r="S3049">
        <f t="shared" si="188"/>
        <v>66.599999999999994</v>
      </c>
      <c r="T3049">
        <f>IFERROR(VLOOKUP(A3049,Table1[[Customer ID]:[Discount Amount]], 6, FALSE),"Not Found")</f>
        <v>74</v>
      </c>
      <c r="U3049" t="str">
        <f t="shared" si="189"/>
        <v>PayPal</v>
      </c>
      <c r="V3049" s="4" t="str">
        <f t="shared" si="190"/>
        <v>Normal</v>
      </c>
      <c r="W3049" s="4" t="str">
        <f t="shared" si="191"/>
        <v>Good</v>
      </c>
      <c r="X3049" s="4">
        <f>AVERAGE(Table1[Purchase Amount])</f>
        <v>129.48419400000012</v>
      </c>
    </row>
    <row r="3050" spans="1:24" ht="15" customHeight="1" x14ac:dyDescent="0.25">
      <c r="A3050">
        <v>3049</v>
      </c>
      <c r="B3050">
        <v>69</v>
      </c>
      <c r="C3050" t="s">
        <v>16</v>
      </c>
      <c r="D3050" t="s">
        <v>50</v>
      </c>
      <c r="E3050" t="s">
        <v>29</v>
      </c>
      <c r="F3050" s="2">
        <v>93</v>
      </c>
      <c r="G3050" t="s">
        <v>92</v>
      </c>
      <c r="H3050" t="s">
        <v>31</v>
      </c>
      <c r="I3050" t="s">
        <v>21</v>
      </c>
      <c r="J3050" t="s">
        <v>57</v>
      </c>
      <c r="K3050">
        <v>3.9</v>
      </c>
      <c r="L3050" t="s">
        <v>23</v>
      </c>
      <c r="M3050" t="s">
        <v>24</v>
      </c>
      <c r="N3050" t="s">
        <v>23</v>
      </c>
      <c r="O3050">
        <v>47</v>
      </c>
      <c r="P3050" t="s">
        <v>62</v>
      </c>
      <c r="Q3050" t="s">
        <v>89</v>
      </c>
      <c r="R3050" s="1">
        <v>0.1</v>
      </c>
      <c r="S3050">
        <f t="shared" si="188"/>
        <v>83.7</v>
      </c>
      <c r="T3050">
        <f>IFERROR(VLOOKUP(A3050,Table1[[Customer ID]:[Discount Amount]], 6, FALSE),"Not Found")</f>
        <v>93</v>
      </c>
      <c r="U3050" t="str">
        <f t="shared" si="189"/>
        <v>Venmo</v>
      </c>
      <c r="V3050" s="4" t="str">
        <f t="shared" si="190"/>
        <v>Normal</v>
      </c>
      <c r="W3050" s="4" t="str">
        <f t="shared" si="191"/>
        <v>Good</v>
      </c>
      <c r="X3050" s="4">
        <f>AVERAGE(Table1[Purchase Amount])</f>
        <v>129.48419400000012</v>
      </c>
    </row>
    <row r="3051" spans="1:24" ht="15" customHeight="1" x14ac:dyDescent="0.25">
      <c r="A3051">
        <v>3050</v>
      </c>
      <c r="B3051">
        <v>40</v>
      </c>
      <c r="C3051" t="s">
        <v>16</v>
      </c>
      <c r="D3051" t="s">
        <v>69</v>
      </c>
      <c r="E3051" t="s">
        <v>29</v>
      </c>
      <c r="F3051" s="2">
        <v>60</v>
      </c>
      <c r="G3051" t="s">
        <v>144</v>
      </c>
      <c r="H3051" t="s">
        <v>45</v>
      </c>
      <c r="I3051" t="s">
        <v>46</v>
      </c>
      <c r="J3051" t="s">
        <v>57</v>
      </c>
      <c r="K3051">
        <v>3</v>
      </c>
      <c r="L3051" t="s">
        <v>23</v>
      </c>
      <c r="M3051" t="s">
        <v>79</v>
      </c>
      <c r="N3051" t="s">
        <v>23</v>
      </c>
      <c r="O3051">
        <v>41</v>
      </c>
      <c r="P3051" t="s">
        <v>88</v>
      </c>
      <c r="Q3051" t="s">
        <v>68</v>
      </c>
      <c r="R3051" s="1">
        <v>0.1</v>
      </c>
      <c r="S3051">
        <f t="shared" si="188"/>
        <v>54</v>
      </c>
      <c r="T3051">
        <f>IFERROR(VLOOKUP(A3051,Table1[[Customer ID]:[Discount Amount]], 6, FALSE),"Not Found")</f>
        <v>60</v>
      </c>
      <c r="U3051" t="str">
        <f t="shared" si="189"/>
        <v>Bank Transfer</v>
      </c>
      <c r="V3051" s="4" t="str">
        <f t="shared" si="190"/>
        <v>Normal</v>
      </c>
      <c r="W3051" s="4" t="str">
        <f t="shared" si="191"/>
        <v>Good</v>
      </c>
      <c r="X3051" s="4">
        <f>AVERAGE(Table1[Purchase Amount])</f>
        <v>129.48419400000012</v>
      </c>
    </row>
    <row r="3052" spans="1:24" ht="15" customHeight="1" x14ac:dyDescent="0.25">
      <c r="A3052">
        <v>3051</v>
      </c>
      <c r="B3052">
        <v>31</v>
      </c>
      <c r="C3052" t="s">
        <v>16</v>
      </c>
      <c r="D3052" t="s">
        <v>76</v>
      </c>
      <c r="E3052" t="s">
        <v>77</v>
      </c>
      <c r="F3052" s="2">
        <v>76</v>
      </c>
      <c r="G3052" t="s">
        <v>70</v>
      </c>
      <c r="H3052" t="s">
        <v>55</v>
      </c>
      <c r="I3052" t="s">
        <v>93</v>
      </c>
      <c r="J3052" t="s">
        <v>33</v>
      </c>
      <c r="K3052">
        <v>3.6</v>
      </c>
      <c r="L3052" t="s">
        <v>23</v>
      </c>
      <c r="M3052" t="s">
        <v>24</v>
      </c>
      <c r="N3052" t="s">
        <v>23</v>
      </c>
      <c r="O3052">
        <v>28</v>
      </c>
      <c r="P3052" t="s">
        <v>62</v>
      </c>
      <c r="Q3052" t="s">
        <v>63</v>
      </c>
      <c r="R3052" s="1">
        <v>0.1</v>
      </c>
      <c r="S3052">
        <f t="shared" si="188"/>
        <v>68.400000000000006</v>
      </c>
      <c r="T3052">
        <f>IFERROR(VLOOKUP(A3052,Table1[[Customer ID]:[Discount Amount]], 6, FALSE),"Not Found")</f>
        <v>76</v>
      </c>
      <c r="U3052" t="str">
        <f t="shared" si="189"/>
        <v>Venmo</v>
      </c>
      <c r="V3052" s="4" t="str">
        <f t="shared" si="190"/>
        <v>Normal</v>
      </c>
      <c r="W3052" s="4" t="str">
        <f t="shared" si="191"/>
        <v>Good</v>
      </c>
      <c r="X3052" s="4">
        <f>AVERAGE(Table1[Purchase Amount])</f>
        <v>129.48419400000012</v>
      </c>
    </row>
    <row r="3053" spans="1:24" ht="15" customHeight="1" x14ac:dyDescent="0.25">
      <c r="A3053">
        <v>3052</v>
      </c>
      <c r="B3053">
        <v>44</v>
      </c>
      <c r="C3053" t="s">
        <v>16</v>
      </c>
      <c r="D3053" t="s">
        <v>28</v>
      </c>
      <c r="E3053" t="s">
        <v>29</v>
      </c>
      <c r="F3053" s="2">
        <v>64</v>
      </c>
      <c r="G3053" t="s">
        <v>162</v>
      </c>
      <c r="H3053" t="s">
        <v>45</v>
      </c>
      <c r="I3053" t="s">
        <v>133</v>
      </c>
      <c r="J3053" t="s">
        <v>57</v>
      </c>
      <c r="K3053">
        <v>4.5999999999999996</v>
      </c>
      <c r="L3053" t="s">
        <v>23</v>
      </c>
      <c r="M3053" t="s">
        <v>61</v>
      </c>
      <c r="N3053" t="s">
        <v>23</v>
      </c>
      <c r="O3053">
        <v>49</v>
      </c>
      <c r="P3053" t="s">
        <v>36</v>
      </c>
      <c r="Q3053" t="s">
        <v>63</v>
      </c>
      <c r="R3053" s="1">
        <v>0.1</v>
      </c>
      <c r="S3053">
        <f t="shared" si="188"/>
        <v>57.6</v>
      </c>
      <c r="T3053">
        <f>IFERROR(VLOOKUP(A3053,Table1[[Customer ID]:[Discount Amount]], 6, FALSE),"Not Found")</f>
        <v>64</v>
      </c>
      <c r="U3053" t="str">
        <f t="shared" si="189"/>
        <v>Debit Card</v>
      </c>
      <c r="V3053" s="4" t="str">
        <f t="shared" si="190"/>
        <v>Normal</v>
      </c>
      <c r="W3053" s="4" t="str">
        <f t="shared" si="191"/>
        <v>Good</v>
      </c>
      <c r="X3053" s="4">
        <f>AVERAGE(Table1[Purchase Amount])</f>
        <v>129.48419400000012</v>
      </c>
    </row>
    <row r="3054" spans="1:24" ht="15" customHeight="1" x14ac:dyDescent="0.25">
      <c r="A3054">
        <v>3053</v>
      </c>
      <c r="B3054">
        <v>48</v>
      </c>
      <c r="C3054" t="s">
        <v>16</v>
      </c>
      <c r="D3054" t="s">
        <v>72</v>
      </c>
      <c r="E3054" t="s">
        <v>98</v>
      </c>
      <c r="F3054" s="2">
        <v>38</v>
      </c>
      <c r="G3054" t="s">
        <v>94</v>
      </c>
      <c r="H3054" t="s">
        <v>20</v>
      </c>
      <c r="I3054" t="s">
        <v>21</v>
      </c>
      <c r="J3054" t="s">
        <v>33</v>
      </c>
      <c r="K3054">
        <v>4.5</v>
      </c>
      <c r="L3054" t="s">
        <v>23</v>
      </c>
      <c r="M3054" t="s">
        <v>48</v>
      </c>
      <c r="N3054" t="s">
        <v>23</v>
      </c>
      <c r="O3054">
        <v>7</v>
      </c>
      <c r="P3054" t="s">
        <v>88</v>
      </c>
      <c r="Q3054" t="s">
        <v>89</v>
      </c>
      <c r="R3054" s="1">
        <v>0.1</v>
      </c>
      <c r="S3054">
        <f t="shared" si="188"/>
        <v>34.200000000000003</v>
      </c>
      <c r="T3054">
        <f>IFERROR(VLOOKUP(A3054,Table1[[Customer ID]:[Discount Amount]], 6, FALSE),"Not Found")</f>
        <v>38</v>
      </c>
      <c r="U3054" t="str">
        <f t="shared" si="189"/>
        <v>Bank Transfer</v>
      </c>
      <c r="V3054" s="4" t="str">
        <f t="shared" si="190"/>
        <v>Normal</v>
      </c>
      <c r="W3054" s="4" t="str">
        <f t="shared" si="191"/>
        <v>Good</v>
      </c>
      <c r="X3054" s="4">
        <f>AVERAGE(Table1[Purchase Amount])</f>
        <v>129.48419400000012</v>
      </c>
    </row>
    <row r="3055" spans="1:24" ht="15" customHeight="1" x14ac:dyDescent="0.25">
      <c r="A3055">
        <v>3054</v>
      </c>
      <c r="B3055">
        <v>32</v>
      </c>
      <c r="C3055" t="s">
        <v>16</v>
      </c>
      <c r="D3055" t="s">
        <v>72</v>
      </c>
      <c r="E3055" t="s">
        <v>98</v>
      </c>
      <c r="F3055" s="2">
        <v>91</v>
      </c>
      <c r="G3055" t="s">
        <v>94</v>
      </c>
      <c r="H3055" t="s">
        <v>45</v>
      </c>
      <c r="I3055" t="s">
        <v>60</v>
      </c>
      <c r="J3055" t="s">
        <v>22</v>
      </c>
      <c r="K3055">
        <v>3.2</v>
      </c>
      <c r="L3055" t="s">
        <v>23</v>
      </c>
      <c r="M3055" t="s">
        <v>79</v>
      </c>
      <c r="N3055" t="s">
        <v>23</v>
      </c>
      <c r="O3055">
        <v>22</v>
      </c>
      <c r="P3055" t="s">
        <v>88</v>
      </c>
      <c r="Q3055" t="s">
        <v>42</v>
      </c>
      <c r="R3055" s="1">
        <v>0.1</v>
      </c>
      <c r="S3055">
        <f t="shared" si="188"/>
        <v>81.900000000000006</v>
      </c>
      <c r="T3055">
        <f>IFERROR(VLOOKUP(A3055,Table1[[Customer ID]:[Discount Amount]], 6, FALSE),"Not Found")</f>
        <v>91</v>
      </c>
      <c r="U3055" t="str">
        <f t="shared" si="189"/>
        <v>Bank Transfer</v>
      </c>
      <c r="V3055" s="4" t="str">
        <f t="shared" si="190"/>
        <v>Normal</v>
      </c>
      <c r="W3055" s="4" t="str">
        <f t="shared" si="191"/>
        <v>Good</v>
      </c>
      <c r="X3055" s="4">
        <f>AVERAGE(Table1[Purchase Amount])</f>
        <v>129.48419400000012</v>
      </c>
    </row>
    <row r="3056" spans="1:24" ht="15" customHeight="1" x14ac:dyDescent="0.25">
      <c r="A3056">
        <v>3055</v>
      </c>
      <c r="B3056">
        <v>42</v>
      </c>
      <c r="C3056" t="s">
        <v>16</v>
      </c>
      <c r="D3056" t="s">
        <v>151</v>
      </c>
      <c r="E3056" t="s">
        <v>98</v>
      </c>
      <c r="F3056" s="2">
        <v>70</v>
      </c>
      <c r="G3056" t="s">
        <v>132</v>
      </c>
      <c r="H3056" t="s">
        <v>55</v>
      </c>
      <c r="I3056" t="s">
        <v>87</v>
      </c>
      <c r="J3056" t="s">
        <v>57</v>
      </c>
      <c r="K3056">
        <v>4.9000000000000004</v>
      </c>
      <c r="L3056" t="s">
        <v>23</v>
      </c>
      <c r="M3056" t="s">
        <v>41</v>
      </c>
      <c r="N3056" t="s">
        <v>23</v>
      </c>
      <c r="O3056">
        <v>34</v>
      </c>
      <c r="P3056" t="s">
        <v>62</v>
      </c>
      <c r="Q3056" t="s">
        <v>42</v>
      </c>
      <c r="R3056" s="1">
        <v>0.1</v>
      </c>
      <c r="S3056">
        <f t="shared" si="188"/>
        <v>63</v>
      </c>
      <c r="T3056">
        <f>IFERROR(VLOOKUP(A3056,Table1[[Customer ID]:[Discount Amount]], 6, FALSE),"Not Found")</f>
        <v>70</v>
      </c>
      <c r="U3056" t="str">
        <f t="shared" si="189"/>
        <v>Venmo</v>
      </c>
      <c r="V3056" s="4" t="str">
        <f t="shared" si="190"/>
        <v>Normal</v>
      </c>
      <c r="W3056" s="4" t="str">
        <f t="shared" si="191"/>
        <v>Good</v>
      </c>
      <c r="X3056" s="4">
        <f>AVERAGE(Table1[Purchase Amount])</f>
        <v>129.48419400000012</v>
      </c>
    </row>
    <row r="3057" spans="1:24" ht="15" customHeight="1" x14ac:dyDescent="0.25">
      <c r="A3057">
        <v>3056</v>
      </c>
      <c r="B3057">
        <v>27</v>
      </c>
      <c r="C3057" t="s">
        <v>16</v>
      </c>
      <c r="D3057" t="s">
        <v>121</v>
      </c>
      <c r="E3057" t="s">
        <v>98</v>
      </c>
      <c r="F3057" s="2">
        <v>22</v>
      </c>
      <c r="G3057" t="s">
        <v>124</v>
      </c>
      <c r="H3057" t="s">
        <v>31</v>
      </c>
      <c r="I3057" t="s">
        <v>111</v>
      </c>
      <c r="J3057" t="s">
        <v>47</v>
      </c>
      <c r="K3057">
        <v>5</v>
      </c>
      <c r="L3057" t="s">
        <v>23</v>
      </c>
      <c r="M3057" t="s">
        <v>24</v>
      </c>
      <c r="N3057" t="s">
        <v>23</v>
      </c>
      <c r="O3057">
        <v>5</v>
      </c>
      <c r="P3057" t="s">
        <v>36</v>
      </c>
      <c r="Q3057" t="s">
        <v>68</v>
      </c>
      <c r="R3057" s="1">
        <v>0.1</v>
      </c>
      <c r="S3057">
        <f t="shared" si="188"/>
        <v>19.8</v>
      </c>
      <c r="T3057">
        <f>IFERROR(VLOOKUP(A3057,Table1[[Customer ID]:[Discount Amount]], 6, FALSE),"Not Found")</f>
        <v>22</v>
      </c>
      <c r="U3057" t="str">
        <f t="shared" si="189"/>
        <v>Debit Card</v>
      </c>
      <c r="V3057" s="4" t="str">
        <f t="shared" si="190"/>
        <v>Normal</v>
      </c>
      <c r="W3057" s="4" t="str">
        <f t="shared" si="191"/>
        <v>Good</v>
      </c>
      <c r="X3057" s="4">
        <f>AVERAGE(Table1[Purchase Amount])</f>
        <v>129.48419400000012</v>
      </c>
    </row>
    <row r="3058" spans="1:24" ht="15" customHeight="1" x14ac:dyDescent="0.25">
      <c r="A3058">
        <v>3057</v>
      </c>
      <c r="B3058">
        <v>69</v>
      </c>
      <c r="C3058" t="s">
        <v>16</v>
      </c>
      <c r="D3058" t="s">
        <v>43</v>
      </c>
      <c r="E3058" t="s">
        <v>29</v>
      </c>
      <c r="F3058" s="2">
        <v>59</v>
      </c>
      <c r="G3058" t="s">
        <v>131</v>
      </c>
      <c r="H3058" t="s">
        <v>31</v>
      </c>
      <c r="I3058" t="s">
        <v>56</v>
      </c>
      <c r="J3058" t="s">
        <v>33</v>
      </c>
      <c r="K3058">
        <v>3.8</v>
      </c>
      <c r="L3058" t="s">
        <v>23</v>
      </c>
      <c r="M3058" t="s">
        <v>24</v>
      </c>
      <c r="N3058" t="s">
        <v>23</v>
      </c>
      <c r="O3058">
        <v>15</v>
      </c>
      <c r="P3058" t="s">
        <v>25</v>
      </c>
      <c r="Q3058" t="s">
        <v>68</v>
      </c>
      <c r="R3058" s="1">
        <v>0.1</v>
      </c>
      <c r="S3058">
        <f t="shared" si="188"/>
        <v>53.1</v>
      </c>
      <c r="T3058">
        <f>IFERROR(VLOOKUP(A3058,Table1[[Customer ID]:[Discount Amount]], 6, FALSE),"Not Found")</f>
        <v>59</v>
      </c>
      <c r="U3058" t="str">
        <f t="shared" si="189"/>
        <v>Cash</v>
      </c>
      <c r="V3058" s="4" t="str">
        <f t="shared" si="190"/>
        <v>Normal</v>
      </c>
      <c r="W3058" s="4" t="str">
        <f t="shared" si="191"/>
        <v>Good</v>
      </c>
      <c r="X3058" s="4">
        <f>AVERAGE(Table1[Purchase Amount])</f>
        <v>129.48419400000012</v>
      </c>
    </row>
    <row r="3059" spans="1:24" ht="15" customHeight="1" x14ac:dyDescent="0.25">
      <c r="A3059">
        <v>3058</v>
      </c>
      <c r="B3059">
        <v>67</v>
      </c>
      <c r="C3059" t="s">
        <v>16</v>
      </c>
      <c r="D3059" t="s">
        <v>104</v>
      </c>
      <c r="E3059" t="s">
        <v>29</v>
      </c>
      <c r="F3059" s="2">
        <v>22</v>
      </c>
      <c r="G3059" t="s">
        <v>134</v>
      </c>
      <c r="H3059" t="s">
        <v>31</v>
      </c>
      <c r="I3059" t="s">
        <v>74</v>
      </c>
      <c r="J3059" t="s">
        <v>33</v>
      </c>
      <c r="K3059">
        <v>3.4</v>
      </c>
      <c r="L3059" t="s">
        <v>23</v>
      </c>
      <c r="M3059" t="s">
        <v>79</v>
      </c>
      <c r="N3059" t="s">
        <v>23</v>
      </c>
      <c r="O3059">
        <v>26</v>
      </c>
      <c r="P3059" t="s">
        <v>88</v>
      </c>
      <c r="Q3059" t="s">
        <v>26</v>
      </c>
      <c r="R3059" s="1">
        <v>0.1</v>
      </c>
      <c r="S3059">
        <f t="shared" si="188"/>
        <v>19.8</v>
      </c>
      <c r="T3059">
        <f>IFERROR(VLOOKUP(A3059,Table1[[Customer ID]:[Discount Amount]], 6, FALSE),"Not Found")</f>
        <v>22</v>
      </c>
      <c r="U3059" t="str">
        <f t="shared" si="189"/>
        <v>Bank Transfer</v>
      </c>
      <c r="V3059" s="4" t="str">
        <f t="shared" si="190"/>
        <v>Normal</v>
      </c>
      <c r="W3059" s="4" t="str">
        <f t="shared" si="191"/>
        <v>Good</v>
      </c>
      <c r="X3059" s="4">
        <f>AVERAGE(Table1[Purchase Amount])</f>
        <v>129.48419400000012</v>
      </c>
    </row>
    <row r="3060" spans="1:24" ht="15" customHeight="1" x14ac:dyDescent="0.25">
      <c r="A3060">
        <v>3059</v>
      </c>
      <c r="B3060">
        <v>41</v>
      </c>
      <c r="C3060" t="s">
        <v>16</v>
      </c>
      <c r="D3060" t="s">
        <v>69</v>
      </c>
      <c r="E3060" t="s">
        <v>29</v>
      </c>
      <c r="F3060" s="2">
        <v>74</v>
      </c>
      <c r="G3060" t="s">
        <v>154</v>
      </c>
      <c r="H3060" t="s">
        <v>55</v>
      </c>
      <c r="I3060" t="s">
        <v>108</v>
      </c>
      <c r="J3060" t="s">
        <v>22</v>
      </c>
      <c r="K3060">
        <v>3.8</v>
      </c>
      <c r="L3060" t="s">
        <v>23</v>
      </c>
      <c r="M3060" t="s">
        <v>48</v>
      </c>
      <c r="N3060" t="s">
        <v>23</v>
      </c>
      <c r="O3060">
        <v>3</v>
      </c>
      <c r="P3060" t="s">
        <v>88</v>
      </c>
      <c r="Q3060" t="s">
        <v>89</v>
      </c>
      <c r="R3060" s="1">
        <v>0.1</v>
      </c>
      <c r="S3060">
        <f t="shared" si="188"/>
        <v>66.599999999999994</v>
      </c>
      <c r="T3060">
        <f>IFERROR(VLOOKUP(A3060,Table1[[Customer ID]:[Discount Amount]], 6, FALSE),"Not Found")</f>
        <v>74</v>
      </c>
      <c r="U3060" t="str">
        <f t="shared" si="189"/>
        <v>Bank Transfer</v>
      </c>
      <c r="V3060" s="4" t="str">
        <f t="shared" si="190"/>
        <v>Normal</v>
      </c>
      <c r="W3060" s="4" t="str">
        <f t="shared" si="191"/>
        <v>Good</v>
      </c>
      <c r="X3060" s="4">
        <f>AVERAGE(Table1[Purchase Amount])</f>
        <v>129.48419400000012</v>
      </c>
    </row>
    <row r="3061" spans="1:24" ht="15" customHeight="1" x14ac:dyDescent="0.25">
      <c r="A3061">
        <v>3060</v>
      </c>
      <c r="B3061">
        <v>46</v>
      </c>
      <c r="C3061" t="s">
        <v>16</v>
      </c>
      <c r="D3061" t="s">
        <v>127</v>
      </c>
      <c r="E3061" t="s">
        <v>18</v>
      </c>
      <c r="F3061" s="2">
        <v>71</v>
      </c>
      <c r="G3061" t="s">
        <v>70</v>
      </c>
      <c r="H3061" t="s">
        <v>45</v>
      </c>
      <c r="I3061" t="s">
        <v>125</v>
      </c>
      <c r="J3061" t="s">
        <v>33</v>
      </c>
      <c r="K3061">
        <v>3.2</v>
      </c>
      <c r="L3061" t="s">
        <v>23</v>
      </c>
      <c r="M3061" t="s">
        <v>61</v>
      </c>
      <c r="N3061" t="s">
        <v>23</v>
      </c>
      <c r="O3061">
        <v>42</v>
      </c>
      <c r="P3061" t="s">
        <v>53</v>
      </c>
      <c r="Q3061" t="s">
        <v>37</v>
      </c>
      <c r="R3061" s="1">
        <v>0.1</v>
      </c>
      <c r="S3061">
        <f t="shared" si="188"/>
        <v>63.9</v>
      </c>
      <c r="T3061">
        <f>IFERROR(VLOOKUP(A3061,Table1[[Customer ID]:[Discount Amount]], 6, FALSE),"Not Found")</f>
        <v>71</v>
      </c>
      <c r="U3061" t="str">
        <f t="shared" si="189"/>
        <v>Credit Card</v>
      </c>
      <c r="V3061" s="4" t="str">
        <f t="shared" si="190"/>
        <v>Normal</v>
      </c>
      <c r="W3061" s="4" t="str">
        <f t="shared" si="191"/>
        <v>Good</v>
      </c>
      <c r="X3061" s="4">
        <f>AVERAGE(Table1[Purchase Amount])</f>
        <v>129.48419400000012</v>
      </c>
    </row>
    <row r="3062" spans="1:24" ht="15" customHeight="1" x14ac:dyDescent="0.25">
      <c r="A3062">
        <v>3061</v>
      </c>
      <c r="B3062">
        <v>47</v>
      </c>
      <c r="C3062" t="s">
        <v>16</v>
      </c>
      <c r="D3062" t="s">
        <v>76</v>
      </c>
      <c r="E3062" t="s">
        <v>77</v>
      </c>
      <c r="F3062" s="2">
        <v>80</v>
      </c>
      <c r="G3062" t="s">
        <v>19</v>
      </c>
      <c r="H3062" t="s">
        <v>55</v>
      </c>
      <c r="I3062" t="s">
        <v>103</v>
      </c>
      <c r="J3062" t="s">
        <v>57</v>
      </c>
      <c r="K3062">
        <v>4.7</v>
      </c>
      <c r="L3062" t="s">
        <v>23</v>
      </c>
      <c r="M3062" t="s">
        <v>48</v>
      </c>
      <c r="N3062" t="s">
        <v>23</v>
      </c>
      <c r="O3062">
        <v>1</v>
      </c>
      <c r="P3062" t="s">
        <v>62</v>
      </c>
      <c r="Q3062" t="s">
        <v>42</v>
      </c>
      <c r="R3062" s="1">
        <v>0.1</v>
      </c>
      <c r="S3062">
        <f t="shared" si="188"/>
        <v>72</v>
      </c>
      <c r="T3062">
        <f>IFERROR(VLOOKUP(A3062,Table1[[Customer ID]:[Discount Amount]], 6, FALSE),"Not Found")</f>
        <v>80</v>
      </c>
      <c r="U3062" t="str">
        <f t="shared" si="189"/>
        <v>Venmo</v>
      </c>
      <c r="V3062" s="4" t="str">
        <f t="shared" si="190"/>
        <v>Normal</v>
      </c>
      <c r="W3062" s="4" t="str">
        <f t="shared" si="191"/>
        <v>Good</v>
      </c>
      <c r="X3062" s="4">
        <f>AVERAGE(Table1[Purchase Amount])</f>
        <v>129.48419400000012</v>
      </c>
    </row>
    <row r="3063" spans="1:24" ht="15" customHeight="1" x14ac:dyDescent="0.25">
      <c r="A3063">
        <v>3062</v>
      </c>
      <c r="B3063">
        <v>33</v>
      </c>
      <c r="C3063" t="s">
        <v>16</v>
      </c>
      <c r="D3063" t="s">
        <v>17</v>
      </c>
      <c r="E3063" t="s">
        <v>18</v>
      </c>
      <c r="F3063" s="2">
        <v>59</v>
      </c>
      <c r="G3063" t="s">
        <v>130</v>
      </c>
      <c r="H3063" t="s">
        <v>45</v>
      </c>
      <c r="I3063" t="s">
        <v>21</v>
      </c>
      <c r="J3063" t="s">
        <v>47</v>
      </c>
      <c r="K3063">
        <v>4.5</v>
      </c>
      <c r="L3063" t="s">
        <v>23</v>
      </c>
      <c r="M3063" t="s">
        <v>61</v>
      </c>
      <c r="N3063" t="s">
        <v>23</v>
      </c>
      <c r="O3063">
        <v>20</v>
      </c>
      <c r="P3063" t="s">
        <v>58</v>
      </c>
      <c r="Q3063" t="s">
        <v>63</v>
      </c>
      <c r="R3063" s="1">
        <v>0.1</v>
      </c>
      <c r="S3063">
        <f t="shared" si="188"/>
        <v>53.1</v>
      </c>
      <c r="T3063">
        <f>IFERROR(VLOOKUP(A3063,Table1[[Customer ID]:[Discount Amount]], 6, FALSE),"Not Found")</f>
        <v>59</v>
      </c>
      <c r="U3063" t="str">
        <f t="shared" si="189"/>
        <v>PayPal</v>
      </c>
      <c r="V3063" s="4" t="str">
        <f t="shared" si="190"/>
        <v>Normal</v>
      </c>
      <c r="W3063" s="4" t="str">
        <f t="shared" si="191"/>
        <v>Good</v>
      </c>
      <c r="X3063" s="4">
        <f>AVERAGE(Table1[Purchase Amount])</f>
        <v>129.48419400000012</v>
      </c>
    </row>
    <row r="3064" spans="1:24" ht="15" customHeight="1" x14ac:dyDescent="0.25">
      <c r="A3064">
        <v>3063</v>
      </c>
      <c r="B3064">
        <v>51</v>
      </c>
      <c r="C3064" t="s">
        <v>16</v>
      </c>
      <c r="D3064" t="s">
        <v>104</v>
      </c>
      <c r="E3064" t="s">
        <v>29</v>
      </c>
      <c r="F3064" s="2">
        <v>96</v>
      </c>
      <c r="G3064" t="s">
        <v>19</v>
      </c>
      <c r="H3064" t="s">
        <v>45</v>
      </c>
      <c r="I3064" t="s">
        <v>93</v>
      </c>
      <c r="J3064" t="s">
        <v>47</v>
      </c>
      <c r="K3064">
        <v>3.3</v>
      </c>
      <c r="L3064" t="s">
        <v>23</v>
      </c>
      <c r="M3064" t="s">
        <v>24</v>
      </c>
      <c r="N3064" t="s">
        <v>23</v>
      </c>
      <c r="O3064">
        <v>39</v>
      </c>
      <c r="P3064" t="s">
        <v>58</v>
      </c>
      <c r="Q3064" t="s">
        <v>42</v>
      </c>
      <c r="R3064" s="1">
        <v>0.1</v>
      </c>
      <c r="S3064">
        <f t="shared" si="188"/>
        <v>86.4</v>
      </c>
      <c r="T3064">
        <f>IFERROR(VLOOKUP(A3064,Table1[[Customer ID]:[Discount Amount]], 6, FALSE),"Not Found")</f>
        <v>96</v>
      </c>
      <c r="U3064" t="str">
        <f t="shared" si="189"/>
        <v>PayPal</v>
      </c>
      <c r="V3064" s="4" t="str">
        <f t="shared" si="190"/>
        <v>Normal</v>
      </c>
      <c r="W3064" s="4" t="str">
        <f t="shared" si="191"/>
        <v>Good</v>
      </c>
      <c r="X3064" s="4">
        <f>AVERAGE(Table1[Purchase Amount])</f>
        <v>129.48419400000012</v>
      </c>
    </row>
    <row r="3065" spans="1:24" ht="15" customHeight="1" x14ac:dyDescent="0.25">
      <c r="A3065">
        <v>3064</v>
      </c>
      <c r="B3065">
        <v>26</v>
      </c>
      <c r="C3065" t="s">
        <v>16</v>
      </c>
      <c r="D3065" t="s">
        <v>28</v>
      </c>
      <c r="E3065" t="s">
        <v>29</v>
      </c>
      <c r="F3065" s="2">
        <v>43</v>
      </c>
      <c r="G3065" t="s">
        <v>115</v>
      </c>
      <c r="H3065" t="s">
        <v>45</v>
      </c>
      <c r="I3065" t="s">
        <v>60</v>
      </c>
      <c r="J3065" t="s">
        <v>22</v>
      </c>
      <c r="K3065">
        <v>3.9</v>
      </c>
      <c r="L3065" t="s">
        <v>23</v>
      </c>
      <c r="M3065" t="s">
        <v>48</v>
      </c>
      <c r="N3065" t="s">
        <v>23</v>
      </c>
      <c r="O3065">
        <v>24</v>
      </c>
      <c r="P3065" t="s">
        <v>53</v>
      </c>
      <c r="Q3065" t="s">
        <v>89</v>
      </c>
      <c r="R3065" s="1">
        <v>0.1</v>
      </c>
      <c r="S3065">
        <f t="shared" si="188"/>
        <v>38.700000000000003</v>
      </c>
      <c r="T3065">
        <f>IFERROR(VLOOKUP(A3065,Table1[[Customer ID]:[Discount Amount]], 6, FALSE),"Not Found")</f>
        <v>43</v>
      </c>
      <c r="U3065" t="str">
        <f t="shared" si="189"/>
        <v>Credit Card</v>
      </c>
      <c r="V3065" s="4" t="str">
        <f t="shared" si="190"/>
        <v>Normal</v>
      </c>
      <c r="W3065" s="4" t="str">
        <f t="shared" si="191"/>
        <v>Good</v>
      </c>
      <c r="X3065" s="4">
        <f>AVERAGE(Table1[Purchase Amount])</f>
        <v>129.48419400000012</v>
      </c>
    </row>
    <row r="3066" spans="1:24" ht="15" customHeight="1" x14ac:dyDescent="0.25">
      <c r="A3066">
        <v>3065</v>
      </c>
      <c r="B3066">
        <v>22</v>
      </c>
      <c r="C3066" t="s">
        <v>16</v>
      </c>
      <c r="D3066" t="s">
        <v>114</v>
      </c>
      <c r="E3066" t="s">
        <v>29</v>
      </c>
      <c r="F3066" s="2">
        <v>76</v>
      </c>
      <c r="G3066" t="s">
        <v>161</v>
      </c>
      <c r="H3066" t="s">
        <v>55</v>
      </c>
      <c r="I3066" t="s">
        <v>128</v>
      </c>
      <c r="J3066" t="s">
        <v>22</v>
      </c>
      <c r="K3066">
        <v>3.6</v>
      </c>
      <c r="L3066" t="s">
        <v>23</v>
      </c>
      <c r="M3066" t="s">
        <v>61</v>
      </c>
      <c r="N3066" t="s">
        <v>23</v>
      </c>
      <c r="O3066">
        <v>49</v>
      </c>
      <c r="P3066" t="s">
        <v>88</v>
      </c>
      <c r="Q3066" t="s">
        <v>37</v>
      </c>
      <c r="R3066" s="1">
        <v>0.1</v>
      </c>
      <c r="S3066">
        <f t="shared" si="188"/>
        <v>68.400000000000006</v>
      </c>
      <c r="T3066">
        <f>IFERROR(VLOOKUP(A3066,Table1[[Customer ID]:[Discount Amount]], 6, FALSE),"Not Found")</f>
        <v>76</v>
      </c>
      <c r="U3066" t="str">
        <f t="shared" si="189"/>
        <v>Bank Transfer</v>
      </c>
      <c r="V3066" s="4" t="str">
        <f t="shared" si="190"/>
        <v>Normal</v>
      </c>
      <c r="W3066" s="4" t="str">
        <f t="shared" si="191"/>
        <v>Good</v>
      </c>
      <c r="X3066" s="4">
        <f>AVERAGE(Table1[Purchase Amount])</f>
        <v>129.48419400000012</v>
      </c>
    </row>
    <row r="3067" spans="1:24" ht="15" customHeight="1" x14ac:dyDescent="0.25">
      <c r="A3067">
        <v>3066</v>
      </c>
      <c r="B3067">
        <v>49</v>
      </c>
      <c r="C3067" t="s">
        <v>16</v>
      </c>
      <c r="D3067" t="s">
        <v>96</v>
      </c>
      <c r="E3067" t="s">
        <v>77</v>
      </c>
      <c r="F3067" s="2">
        <v>59</v>
      </c>
      <c r="G3067" t="s">
        <v>86</v>
      </c>
      <c r="H3067" t="s">
        <v>31</v>
      </c>
      <c r="I3067" t="s">
        <v>56</v>
      </c>
      <c r="J3067" t="s">
        <v>47</v>
      </c>
      <c r="K3067">
        <v>2.8</v>
      </c>
      <c r="L3067" t="s">
        <v>23</v>
      </c>
      <c r="M3067" t="s">
        <v>48</v>
      </c>
      <c r="N3067" t="s">
        <v>23</v>
      </c>
      <c r="O3067">
        <v>7</v>
      </c>
      <c r="P3067" t="s">
        <v>62</v>
      </c>
      <c r="Q3067" t="s">
        <v>68</v>
      </c>
      <c r="R3067" s="1">
        <v>0.1</v>
      </c>
      <c r="S3067">
        <f t="shared" si="188"/>
        <v>53.1</v>
      </c>
      <c r="T3067">
        <f>IFERROR(VLOOKUP(A3067,Table1[[Customer ID]:[Discount Amount]], 6, FALSE),"Not Found")</f>
        <v>59</v>
      </c>
      <c r="U3067" t="str">
        <f t="shared" si="189"/>
        <v>Venmo</v>
      </c>
      <c r="V3067" s="4" t="str">
        <f t="shared" si="190"/>
        <v>Normal</v>
      </c>
      <c r="W3067" s="4" t="str">
        <f t="shared" si="191"/>
        <v>Poor</v>
      </c>
      <c r="X3067" s="4">
        <f>AVERAGE(Table1[Purchase Amount])</f>
        <v>129.48419400000012</v>
      </c>
    </row>
    <row r="3068" spans="1:24" ht="15" customHeight="1" x14ac:dyDescent="0.25">
      <c r="A3068">
        <v>3067</v>
      </c>
      <c r="B3068">
        <v>58</v>
      </c>
      <c r="C3068" t="s">
        <v>16</v>
      </c>
      <c r="D3068" t="s">
        <v>122</v>
      </c>
      <c r="E3068" t="s">
        <v>18</v>
      </c>
      <c r="F3068" s="2">
        <v>48</v>
      </c>
      <c r="G3068" t="s">
        <v>113</v>
      </c>
      <c r="H3068" t="s">
        <v>45</v>
      </c>
      <c r="I3068" t="s">
        <v>147</v>
      </c>
      <c r="J3068" t="s">
        <v>57</v>
      </c>
      <c r="K3068">
        <v>4.3</v>
      </c>
      <c r="L3068" t="s">
        <v>23</v>
      </c>
      <c r="M3068" t="s">
        <v>35</v>
      </c>
      <c r="N3068" t="s">
        <v>23</v>
      </c>
      <c r="O3068">
        <v>13</v>
      </c>
      <c r="P3068" t="s">
        <v>62</v>
      </c>
      <c r="Q3068" t="s">
        <v>63</v>
      </c>
      <c r="R3068" s="1">
        <v>0.1</v>
      </c>
      <c r="S3068">
        <f t="shared" si="188"/>
        <v>43.2</v>
      </c>
      <c r="T3068">
        <f>IFERROR(VLOOKUP(A3068,Table1[[Customer ID]:[Discount Amount]], 6, FALSE),"Not Found")</f>
        <v>48</v>
      </c>
      <c r="U3068" t="str">
        <f t="shared" si="189"/>
        <v>Venmo</v>
      </c>
      <c r="V3068" s="4" t="str">
        <f t="shared" si="190"/>
        <v>Normal</v>
      </c>
      <c r="W3068" s="4" t="str">
        <f t="shared" si="191"/>
        <v>Good</v>
      </c>
      <c r="X3068" s="4">
        <f>AVERAGE(Table1[Purchase Amount])</f>
        <v>129.48419400000012</v>
      </c>
    </row>
    <row r="3069" spans="1:24" ht="15" customHeight="1" x14ac:dyDescent="0.25">
      <c r="A3069">
        <v>3068</v>
      </c>
      <c r="B3069">
        <v>70</v>
      </c>
      <c r="C3069" t="s">
        <v>16</v>
      </c>
      <c r="D3069" t="s">
        <v>114</v>
      </c>
      <c r="E3069" t="s">
        <v>29</v>
      </c>
      <c r="F3069" s="2">
        <v>22</v>
      </c>
      <c r="G3069" t="s">
        <v>146</v>
      </c>
      <c r="H3069" t="s">
        <v>55</v>
      </c>
      <c r="I3069" t="s">
        <v>85</v>
      </c>
      <c r="J3069" t="s">
        <v>33</v>
      </c>
      <c r="K3069">
        <v>3.5</v>
      </c>
      <c r="L3069" t="s">
        <v>23</v>
      </c>
      <c r="M3069" t="s">
        <v>35</v>
      </c>
      <c r="N3069" t="s">
        <v>23</v>
      </c>
      <c r="O3069">
        <v>2</v>
      </c>
      <c r="P3069" t="s">
        <v>25</v>
      </c>
      <c r="Q3069" t="s">
        <v>26</v>
      </c>
      <c r="R3069" s="1">
        <v>0.1</v>
      </c>
      <c r="S3069">
        <f t="shared" si="188"/>
        <v>19.8</v>
      </c>
      <c r="T3069">
        <f>IFERROR(VLOOKUP(A3069,Table1[[Customer ID]:[Discount Amount]], 6, FALSE),"Not Found")</f>
        <v>22</v>
      </c>
      <c r="U3069" t="str">
        <f t="shared" si="189"/>
        <v>Cash</v>
      </c>
      <c r="V3069" s="4" t="str">
        <f t="shared" si="190"/>
        <v>Normal</v>
      </c>
      <c r="W3069" s="4" t="str">
        <f t="shared" si="191"/>
        <v>Good</v>
      </c>
      <c r="X3069" s="4">
        <f>AVERAGE(Table1[Purchase Amount])</f>
        <v>129.48419400000012</v>
      </c>
    </row>
    <row r="3070" spans="1:24" ht="15" customHeight="1" x14ac:dyDescent="0.25">
      <c r="A3070">
        <v>3069</v>
      </c>
      <c r="B3070">
        <v>32</v>
      </c>
      <c r="C3070" t="s">
        <v>16</v>
      </c>
      <c r="D3070" t="s">
        <v>151</v>
      </c>
      <c r="E3070" t="s">
        <v>98</v>
      </c>
      <c r="F3070" s="2">
        <v>40</v>
      </c>
      <c r="G3070" t="s">
        <v>19</v>
      </c>
      <c r="H3070" t="s">
        <v>31</v>
      </c>
      <c r="I3070" t="s">
        <v>91</v>
      </c>
      <c r="J3070" t="s">
        <v>22</v>
      </c>
      <c r="K3070">
        <v>4.2</v>
      </c>
      <c r="L3070" t="s">
        <v>23</v>
      </c>
      <c r="M3070" t="s">
        <v>61</v>
      </c>
      <c r="N3070" t="s">
        <v>23</v>
      </c>
      <c r="O3070">
        <v>4</v>
      </c>
      <c r="P3070" t="s">
        <v>36</v>
      </c>
      <c r="Q3070" t="s">
        <v>26</v>
      </c>
      <c r="R3070" s="1">
        <v>0.1</v>
      </c>
      <c r="S3070">
        <f t="shared" si="188"/>
        <v>36</v>
      </c>
      <c r="T3070">
        <f>IFERROR(VLOOKUP(A3070,Table1[[Customer ID]:[Discount Amount]], 6, FALSE),"Not Found")</f>
        <v>40</v>
      </c>
      <c r="U3070" t="str">
        <f t="shared" si="189"/>
        <v>Debit Card</v>
      </c>
      <c r="V3070" s="4" t="str">
        <f t="shared" si="190"/>
        <v>Normal</v>
      </c>
      <c r="W3070" s="4" t="str">
        <f t="shared" si="191"/>
        <v>Good</v>
      </c>
      <c r="X3070" s="4">
        <f>AVERAGE(Table1[Purchase Amount])</f>
        <v>129.48419400000012</v>
      </c>
    </row>
    <row r="3071" spans="1:24" ht="15" customHeight="1" x14ac:dyDescent="0.25">
      <c r="A3071">
        <v>3070</v>
      </c>
      <c r="B3071">
        <v>62</v>
      </c>
      <c r="C3071" t="s">
        <v>16</v>
      </c>
      <c r="D3071" t="s">
        <v>109</v>
      </c>
      <c r="E3071" t="s">
        <v>18</v>
      </c>
      <c r="F3071" s="2">
        <v>73</v>
      </c>
      <c r="G3071" t="s">
        <v>143</v>
      </c>
      <c r="H3071" t="s">
        <v>45</v>
      </c>
      <c r="I3071" t="s">
        <v>87</v>
      </c>
      <c r="J3071" t="s">
        <v>33</v>
      </c>
      <c r="K3071">
        <v>4.5999999999999996</v>
      </c>
      <c r="L3071" t="s">
        <v>23</v>
      </c>
      <c r="M3071" t="s">
        <v>61</v>
      </c>
      <c r="N3071" t="s">
        <v>23</v>
      </c>
      <c r="O3071">
        <v>17</v>
      </c>
      <c r="P3071" t="s">
        <v>36</v>
      </c>
      <c r="Q3071" t="s">
        <v>37</v>
      </c>
      <c r="R3071" s="1">
        <v>0.1</v>
      </c>
      <c r="S3071">
        <f t="shared" si="188"/>
        <v>65.7</v>
      </c>
      <c r="T3071">
        <f>IFERROR(VLOOKUP(A3071,Table1[[Customer ID]:[Discount Amount]], 6, FALSE),"Not Found")</f>
        <v>73</v>
      </c>
      <c r="U3071" t="str">
        <f t="shared" si="189"/>
        <v>Debit Card</v>
      </c>
      <c r="V3071" s="4" t="str">
        <f t="shared" si="190"/>
        <v>Normal</v>
      </c>
      <c r="W3071" s="4" t="str">
        <f t="shared" si="191"/>
        <v>Good</v>
      </c>
      <c r="X3071" s="4">
        <f>AVERAGE(Table1[Purchase Amount])</f>
        <v>129.48419400000012</v>
      </c>
    </row>
    <row r="3072" spans="1:24" ht="15" customHeight="1" x14ac:dyDescent="0.25">
      <c r="A3072">
        <v>3071</v>
      </c>
      <c r="B3072">
        <v>52</v>
      </c>
      <c r="C3072" t="s">
        <v>16</v>
      </c>
      <c r="D3072" t="s">
        <v>72</v>
      </c>
      <c r="E3072" t="s">
        <v>98</v>
      </c>
      <c r="F3072" s="2">
        <v>26</v>
      </c>
      <c r="G3072" t="s">
        <v>51</v>
      </c>
      <c r="H3072" t="s">
        <v>20</v>
      </c>
      <c r="I3072" t="s">
        <v>46</v>
      </c>
      <c r="J3072" t="s">
        <v>47</v>
      </c>
      <c r="K3072">
        <v>2.6</v>
      </c>
      <c r="L3072" t="s">
        <v>23</v>
      </c>
      <c r="M3072" t="s">
        <v>35</v>
      </c>
      <c r="N3072" t="s">
        <v>23</v>
      </c>
      <c r="O3072">
        <v>43</v>
      </c>
      <c r="P3072" t="s">
        <v>58</v>
      </c>
      <c r="Q3072" t="s">
        <v>68</v>
      </c>
      <c r="R3072" s="1">
        <v>0.1</v>
      </c>
      <c r="S3072">
        <f t="shared" si="188"/>
        <v>23.4</v>
      </c>
      <c r="T3072">
        <f>IFERROR(VLOOKUP(A3072,Table1[[Customer ID]:[Discount Amount]], 6, FALSE),"Not Found")</f>
        <v>26</v>
      </c>
      <c r="U3072" t="str">
        <f t="shared" si="189"/>
        <v>PayPal</v>
      </c>
      <c r="V3072" s="4" t="str">
        <f t="shared" si="190"/>
        <v>Normal</v>
      </c>
      <c r="W3072" s="4" t="str">
        <f t="shared" si="191"/>
        <v>Poor</v>
      </c>
      <c r="X3072" s="4">
        <f>AVERAGE(Table1[Purchase Amount])</f>
        <v>129.48419400000012</v>
      </c>
    </row>
    <row r="3073" spans="1:24" ht="15" customHeight="1" x14ac:dyDescent="0.25">
      <c r="A3073">
        <v>3072</v>
      </c>
      <c r="B3073">
        <v>23</v>
      </c>
      <c r="C3073" t="s">
        <v>16</v>
      </c>
      <c r="D3073" t="s">
        <v>127</v>
      </c>
      <c r="E3073" t="s">
        <v>18</v>
      </c>
      <c r="F3073" s="2">
        <v>41</v>
      </c>
      <c r="G3073" t="s">
        <v>132</v>
      </c>
      <c r="H3073" t="s">
        <v>45</v>
      </c>
      <c r="I3073" t="s">
        <v>156</v>
      </c>
      <c r="J3073" t="s">
        <v>33</v>
      </c>
      <c r="K3073">
        <v>3.4</v>
      </c>
      <c r="L3073" t="s">
        <v>23</v>
      </c>
      <c r="M3073" t="s">
        <v>79</v>
      </c>
      <c r="N3073" t="s">
        <v>23</v>
      </c>
      <c r="O3073">
        <v>6</v>
      </c>
      <c r="P3073" t="s">
        <v>58</v>
      </c>
      <c r="Q3073" t="s">
        <v>42</v>
      </c>
      <c r="R3073" s="1">
        <v>0.1</v>
      </c>
      <c r="S3073">
        <f t="shared" si="188"/>
        <v>36.9</v>
      </c>
      <c r="T3073">
        <f>IFERROR(VLOOKUP(A3073,Table1[[Customer ID]:[Discount Amount]], 6, FALSE),"Not Found")</f>
        <v>41</v>
      </c>
      <c r="U3073" t="str">
        <f t="shared" si="189"/>
        <v>PayPal</v>
      </c>
      <c r="V3073" s="4" t="str">
        <f t="shared" si="190"/>
        <v>Normal</v>
      </c>
      <c r="W3073" s="4" t="str">
        <f t="shared" si="191"/>
        <v>Good</v>
      </c>
      <c r="X3073" s="4">
        <f>AVERAGE(Table1[Purchase Amount])</f>
        <v>129.48419400000012</v>
      </c>
    </row>
    <row r="3074" spans="1:24" ht="15" customHeight="1" x14ac:dyDescent="0.25">
      <c r="A3074">
        <v>3073</v>
      </c>
      <c r="B3074">
        <v>26</v>
      </c>
      <c r="C3074" t="s">
        <v>16</v>
      </c>
      <c r="D3074" t="s">
        <v>50</v>
      </c>
      <c r="E3074" t="s">
        <v>29</v>
      </c>
      <c r="F3074" s="2">
        <v>98</v>
      </c>
      <c r="G3074" t="s">
        <v>101</v>
      </c>
      <c r="H3074" t="s">
        <v>45</v>
      </c>
      <c r="I3074" t="s">
        <v>145</v>
      </c>
      <c r="J3074" t="s">
        <v>33</v>
      </c>
      <c r="K3074">
        <v>3.1</v>
      </c>
      <c r="L3074" t="s">
        <v>23</v>
      </c>
      <c r="M3074" t="s">
        <v>24</v>
      </c>
      <c r="N3074" t="s">
        <v>23</v>
      </c>
      <c r="O3074">
        <v>46</v>
      </c>
      <c r="P3074" t="s">
        <v>58</v>
      </c>
      <c r="Q3074" t="s">
        <v>37</v>
      </c>
      <c r="R3074" s="1">
        <v>0.1</v>
      </c>
      <c r="S3074">
        <f t="shared" ref="S3074:S3137" si="192">F3074-(F3074*R3074)</f>
        <v>88.2</v>
      </c>
      <c r="T3074">
        <f>IFERROR(VLOOKUP(A3074,Table1[[Customer ID]:[Discount Amount]], 6, FALSE),"Not Found")</f>
        <v>98</v>
      </c>
      <c r="U3074" t="str">
        <f t="shared" ref="U3074:U3137" si="193">INDEX(P:P, MATCH(A3074, A:A, 0))</f>
        <v>PayPal</v>
      </c>
      <c r="V3074" s="4" t="str">
        <f t="shared" ref="V3074:V3137" si="194">IF(AND(F3074&gt;1000,K3074&gt;=4),"Best Customer","Normal")</f>
        <v>Normal</v>
      </c>
      <c r="W3074" s="4" t="str">
        <f t="shared" ref="W3074:W3137" si="195">IF(K3074&gt;=3,"Good","Poor")</f>
        <v>Good</v>
      </c>
      <c r="X3074" s="4">
        <f>AVERAGE(Table1[Purchase Amount])</f>
        <v>129.48419400000012</v>
      </c>
    </row>
    <row r="3075" spans="1:24" ht="15" customHeight="1" x14ac:dyDescent="0.25">
      <c r="A3075">
        <v>3074</v>
      </c>
      <c r="B3075">
        <v>58</v>
      </c>
      <c r="C3075" t="s">
        <v>16</v>
      </c>
      <c r="D3075" t="s">
        <v>38</v>
      </c>
      <c r="E3075" t="s">
        <v>18</v>
      </c>
      <c r="F3075" s="2">
        <v>63</v>
      </c>
      <c r="G3075" t="s">
        <v>123</v>
      </c>
      <c r="H3075" t="s">
        <v>45</v>
      </c>
      <c r="I3075" t="s">
        <v>32</v>
      </c>
      <c r="J3075" t="s">
        <v>22</v>
      </c>
      <c r="K3075">
        <v>3.6</v>
      </c>
      <c r="L3075" t="s">
        <v>23</v>
      </c>
      <c r="M3075" t="s">
        <v>35</v>
      </c>
      <c r="N3075" t="s">
        <v>23</v>
      </c>
      <c r="O3075">
        <v>7</v>
      </c>
      <c r="P3075" t="s">
        <v>36</v>
      </c>
      <c r="Q3075" t="s">
        <v>68</v>
      </c>
      <c r="R3075" s="1">
        <v>0.1</v>
      </c>
      <c r="S3075">
        <f t="shared" si="192"/>
        <v>56.7</v>
      </c>
      <c r="T3075">
        <f>IFERROR(VLOOKUP(A3075,Table1[[Customer ID]:[Discount Amount]], 6, FALSE),"Not Found")</f>
        <v>63</v>
      </c>
      <c r="U3075" t="str">
        <f t="shared" si="193"/>
        <v>Debit Card</v>
      </c>
      <c r="V3075" s="4" t="str">
        <f t="shared" si="194"/>
        <v>Normal</v>
      </c>
      <c r="W3075" s="4" t="str">
        <f t="shared" si="195"/>
        <v>Good</v>
      </c>
      <c r="X3075" s="4">
        <f>AVERAGE(Table1[Purchase Amount])</f>
        <v>129.48419400000012</v>
      </c>
    </row>
    <row r="3076" spans="1:24" ht="15" customHeight="1" x14ac:dyDescent="0.25">
      <c r="A3076">
        <v>3075</v>
      </c>
      <c r="B3076">
        <v>26</v>
      </c>
      <c r="C3076" t="s">
        <v>16</v>
      </c>
      <c r="D3076" t="s">
        <v>151</v>
      </c>
      <c r="E3076" t="s">
        <v>98</v>
      </c>
      <c r="F3076" s="2">
        <v>55</v>
      </c>
      <c r="G3076" t="s">
        <v>97</v>
      </c>
      <c r="H3076" t="s">
        <v>45</v>
      </c>
      <c r="I3076" t="s">
        <v>125</v>
      </c>
      <c r="J3076" t="s">
        <v>22</v>
      </c>
      <c r="K3076">
        <v>4.2</v>
      </c>
      <c r="L3076" t="s">
        <v>23</v>
      </c>
      <c r="M3076" t="s">
        <v>79</v>
      </c>
      <c r="N3076" t="s">
        <v>23</v>
      </c>
      <c r="O3076">
        <v>34</v>
      </c>
      <c r="P3076" t="s">
        <v>36</v>
      </c>
      <c r="Q3076" t="s">
        <v>89</v>
      </c>
      <c r="R3076" s="1">
        <v>0.1</v>
      </c>
      <c r="S3076">
        <f t="shared" si="192"/>
        <v>49.5</v>
      </c>
      <c r="T3076">
        <f>IFERROR(VLOOKUP(A3076,Table1[[Customer ID]:[Discount Amount]], 6, FALSE),"Not Found")</f>
        <v>55</v>
      </c>
      <c r="U3076" t="str">
        <f t="shared" si="193"/>
        <v>Debit Card</v>
      </c>
      <c r="V3076" s="4" t="str">
        <f t="shared" si="194"/>
        <v>Normal</v>
      </c>
      <c r="W3076" s="4" t="str">
        <f t="shared" si="195"/>
        <v>Good</v>
      </c>
      <c r="X3076" s="4">
        <f>AVERAGE(Table1[Purchase Amount])</f>
        <v>129.48419400000012</v>
      </c>
    </row>
    <row r="3077" spans="1:24" ht="15" customHeight="1" x14ac:dyDescent="0.25">
      <c r="A3077">
        <v>3076</v>
      </c>
      <c r="B3077">
        <v>54</v>
      </c>
      <c r="C3077" t="s">
        <v>16</v>
      </c>
      <c r="D3077" t="s">
        <v>54</v>
      </c>
      <c r="E3077" t="s">
        <v>18</v>
      </c>
      <c r="F3077" s="2">
        <v>90</v>
      </c>
      <c r="G3077" t="s">
        <v>144</v>
      </c>
      <c r="H3077" t="s">
        <v>20</v>
      </c>
      <c r="I3077" t="s">
        <v>56</v>
      </c>
      <c r="J3077" t="s">
        <v>22</v>
      </c>
      <c r="K3077">
        <v>3.6</v>
      </c>
      <c r="L3077" t="s">
        <v>23</v>
      </c>
      <c r="M3077" t="s">
        <v>24</v>
      </c>
      <c r="N3077" t="s">
        <v>23</v>
      </c>
      <c r="O3077">
        <v>21</v>
      </c>
      <c r="P3077" t="s">
        <v>58</v>
      </c>
      <c r="Q3077" t="s">
        <v>63</v>
      </c>
      <c r="R3077" s="1">
        <v>0.1</v>
      </c>
      <c r="S3077">
        <f t="shared" si="192"/>
        <v>81</v>
      </c>
      <c r="T3077">
        <f>IFERROR(VLOOKUP(A3077,Table1[[Customer ID]:[Discount Amount]], 6, FALSE),"Not Found")</f>
        <v>90</v>
      </c>
      <c r="U3077" t="str">
        <f t="shared" si="193"/>
        <v>PayPal</v>
      </c>
      <c r="V3077" s="4" t="str">
        <f t="shared" si="194"/>
        <v>Normal</v>
      </c>
      <c r="W3077" s="4" t="str">
        <f t="shared" si="195"/>
        <v>Good</v>
      </c>
      <c r="X3077" s="4">
        <f>AVERAGE(Table1[Purchase Amount])</f>
        <v>129.48419400000012</v>
      </c>
    </row>
    <row r="3078" spans="1:24" ht="15" customHeight="1" x14ac:dyDescent="0.25">
      <c r="A3078">
        <v>3077</v>
      </c>
      <c r="B3078">
        <v>66</v>
      </c>
      <c r="C3078" t="s">
        <v>16</v>
      </c>
      <c r="D3078" t="s">
        <v>69</v>
      </c>
      <c r="E3078" t="s">
        <v>29</v>
      </c>
      <c r="F3078" s="2">
        <v>46</v>
      </c>
      <c r="G3078" t="s">
        <v>132</v>
      </c>
      <c r="H3078" t="s">
        <v>31</v>
      </c>
      <c r="I3078" t="s">
        <v>74</v>
      </c>
      <c r="J3078" t="s">
        <v>57</v>
      </c>
      <c r="K3078">
        <v>3.6</v>
      </c>
      <c r="L3078" t="s">
        <v>23</v>
      </c>
      <c r="M3078" t="s">
        <v>61</v>
      </c>
      <c r="N3078" t="s">
        <v>23</v>
      </c>
      <c r="O3078">
        <v>13</v>
      </c>
      <c r="P3078" t="s">
        <v>62</v>
      </c>
      <c r="Q3078" t="s">
        <v>68</v>
      </c>
      <c r="R3078" s="1">
        <v>0.1</v>
      </c>
      <c r="S3078">
        <f t="shared" si="192"/>
        <v>41.4</v>
      </c>
      <c r="T3078">
        <f>IFERROR(VLOOKUP(A3078,Table1[[Customer ID]:[Discount Amount]], 6, FALSE),"Not Found")</f>
        <v>46</v>
      </c>
      <c r="U3078" t="str">
        <f t="shared" si="193"/>
        <v>Venmo</v>
      </c>
      <c r="V3078" s="4" t="str">
        <f t="shared" si="194"/>
        <v>Normal</v>
      </c>
      <c r="W3078" s="4" t="str">
        <f t="shared" si="195"/>
        <v>Good</v>
      </c>
      <c r="X3078" s="4">
        <f>AVERAGE(Table1[Purchase Amount])</f>
        <v>129.48419400000012</v>
      </c>
    </row>
    <row r="3079" spans="1:24" ht="15" customHeight="1" x14ac:dyDescent="0.25">
      <c r="A3079">
        <v>3078</v>
      </c>
      <c r="B3079">
        <v>60</v>
      </c>
      <c r="C3079" t="s">
        <v>16</v>
      </c>
      <c r="D3079" t="s">
        <v>127</v>
      </c>
      <c r="E3079" t="s">
        <v>18</v>
      </c>
      <c r="F3079" s="2">
        <v>88</v>
      </c>
      <c r="G3079" t="s">
        <v>44</v>
      </c>
      <c r="H3079" t="s">
        <v>55</v>
      </c>
      <c r="I3079" t="s">
        <v>46</v>
      </c>
      <c r="J3079" t="s">
        <v>33</v>
      </c>
      <c r="K3079">
        <v>3</v>
      </c>
      <c r="L3079" t="s">
        <v>23</v>
      </c>
      <c r="M3079" t="s">
        <v>48</v>
      </c>
      <c r="N3079" t="s">
        <v>23</v>
      </c>
      <c r="O3079">
        <v>33</v>
      </c>
      <c r="P3079" t="s">
        <v>36</v>
      </c>
      <c r="Q3079" t="s">
        <v>68</v>
      </c>
      <c r="R3079" s="1">
        <v>0.1</v>
      </c>
      <c r="S3079">
        <f t="shared" si="192"/>
        <v>79.2</v>
      </c>
      <c r="T3079">
        <f>IFERROR(VLOOKUP(A3079,Table1[[Customer ID]:[Discount Amount]], 6, FALSE),"Not Found")</f>
        <v>88</v>
      </c>
      <c r="U3079" t="str">
        <f t="shared" si="193"/>
        <v>Debit Card</v>
      </c>
      <c r="V3079" s="4" t="str">
        <f t="shared" si="194"/>
        <v>Normal</v>
      </c>
      <c r="W3079" s="4" t="str">
        <f t="shared" si="195"/>
        <v>Good</v>
      </c>
      <c r="X3079" s="4">
        <f>AVERAGE(Table1[Purchase Amount])</f>
        <v>129.48419400000012</v>
      </c>
    </row>
    <row r="3080" spans="1:24" ht="15" customHeight="1" x14ac:dyDescent="0.25">
      <c r="A3080">
        <v>3079</v>
      </c>
      <c r="B3080">
        <v>32</v>
      </c>
      <c r="C3080" t="s">
        <v>16</v>
      </c>
      <c r="D3080" t="s">
        <v>114</v>
      </c>
      <c r="E3080" t="s">
        <v>29</v>
      </c>
      <c r="F3080" s="2">
        <v>95</v>
      </c>
      <c r="G3080" t="s">
        <v>148</v>
      </c>
      <c r="H3080" t="s">
        <v>31</v>
      </c>
      <c r="I3080" t="s">
        <v>74</v>
      </c>
      <c r="J3080" t="s">
        <v>33</v>
      </c>
      <c r="K3080">
        <v>2.5</v>
      </c>
      <c r="L3080" t="s">
        <v>23</v>
      </c>
      <c r="M3080" t="s">
        <v>41</v>
      </c>
      <c r="N3080" t="s">
        <v>23</v>
      </c>
      <c r="O3080">
        <v>24</v>
      </c>
      <c r="P3080" t="s">
        <v>88</v>
      </c>
      <c r="Q3080" t="s">
        <v>68</v>
      </c>
      <c r="R3080" s="1">
        <v>0.1</v>
      </c>
      <c r="S3080">
        <f t="shared" si="192"/>
        <v>85.5</v>
      </c>
      <c r="T3080">
        <f>IFERROR(VLOOKUP(A3080,Table1[[Customer ID]:[Discount Amount]], 6, FALSE),"Not Found")</f>
        <v>95</v>
      </c>
      <c r="U3080" t="str">
        <f t="shared" si="193"/>
        <v>Bank Transfer</v>
      </c>
      <c r="V3080" s="4" t="str">
        <f t="shared" si="194"/>
        <v>Normal</v>
      </c>
      <c r="W3080" s="4" t="str">
        <f t="shared" si="195"/>
        <v>Poor</v>
      </c>
      <c r="X3080" s="4">
        <f>AVERAGE(Table1[Purchase Amount])</f>
        <v>129.48419400000012</v>
      </c>
    </row>
    <row r="3081" spans="1:24" ht="15" customHeight="1" x14ac:dyDescent="0.25">
      <c r="A3081">
        <v>3080</v>
      </c>
      <c r="B3081">
        <v>48</v>
      </c>
      <c r="C3081" t="s">
        <v>16</v>
      </c>
      <c r="D3081" t="s">
        <v>114</v>
      </c>
      <c r="E3081" t="s">
        <v>29</v>
      </c>
      <c r="F3081" s="2">
        <v>31</v>
      </c>
      <c r="G3081" t="s">
        <v>162</v>
      </c>
      <c r="H3081" t="s">
        <v>31</v>
      </c>
      <c r="I3081" t="s">
        <v>125</v>
      </c>
      <c r="J3081" t="s">
        <v>47</v>
      </c>
      <c r="K3081">
        <v>4</v>
      </c>
      <c r="L3081" t="s">
        <v>23</v>
      </c>
      <c r="M3081" t="s">
        <v>48</v>
      </c>
      <c r="N3081" t="s">
        <v>23</v>
      </c>
      <c r="O3081">
        <v>4</v>
      </c>
      <c r="P3081" t="s">
        <v>88</v>
      </c>
      <c r="Q3081" t="s">
        <v>49</v>
      </c>
      <c r="R3081" s="1">
        <v>0.1</v>
      </c>
      <c r="S3081">
        <f t="shared" si="192"/>
        <v>27.9</v>
      </c>
      <c r="T3081">
        <f>IFERROR(VLOOKUP(A3081,Table1[[Customer ID]:[Discount Amount]], 6, FALSE),"Not Found")</f>
        <v>31</v>
      </c>
      <c r="U3081" t="str">
        <f t="shared" si="193"/>
        <v>Bank Transfer</v>
      </c>
      <c r="V3081" s="4" t="str">
        <f t="shared" si="194"/>
        <v>Normal</v>
      </c>
      <c r="W3081" s="4" t="str">
        <f t="shared" si="195"/>
        <v>Good</v>
      </c>
      <c r="X3081" s="4">
        <f>AVERAGE(Table1[Purchase Amount])</f>
        <v>129.48419400000012</v>
      </c>
    </row>
    <row r="3082" spans="1:24" ht="15" customHeight="1" x14ac:dyDescent="0.25">
      <c r="A3082">
        <v>3081</v>
      </c>
      <c r="B3082">
        <v>69</v>
      </c>
      <c r="C3082" t="s">
        <v>16</v>
      </c>
      <c r="D3082" t="s">
        <v>83</v>
      </c>
      <c r="E3082" t="s">
        <v>18</v>
      </c>
      <c r="F3082" s="2">
        <v>42</v>
      </c>
      <c r="G3082" t="s">
        <v>92</v>
      </c>
      <c r="H3082" t="s">
        <v>45</v>
      </c>
      <c r="I3082" t="s">
        <v>52</v>
      </c>
      <c r="J3082" t="s">
        <v>33</v>
      </c>
      <c r="K3082">
        <v>4.0999999999999996</v>
      </c>
      <c r="L3082" t="s">
        <v>23</v>
      </c>
      <c r="M3082" t="s">
        <v>79</v>
      </c>
      <c r="N3082" t="s">
        <v>23</v>
      </c>
      <c r="O3082">
        <v>5</v>
      </c>
      <c r="P3082" t="s">
        <v>25</v>
      </c>
      <c r="Q3082" t="s">
        <v>68</v>
      </c>
      <c r="R3082" s="1">
        <v>0.1</v>
      </c>
      <c r="S3082">
        <f t="shared" si="192"/>
        <v>37.799999999999997</v>
      </c>
      <c r="T3082">
        <f>IFERROR(VLOOKUP(A3082,Table1[[Customer ID]:[Discount Amount]], 6, FALSE),"Not Found")</f>
        <v>42</v>
      </c>
      <c r="U3082" t="str">
        <f t="shared" si="193"/>
        <v>Cash</v>
      </c>
      <c r="V3082" s="4" t="str">
        <f t="shared" si="194"/>
        <v>Normal</v>
      </c>
      <c r="W3082" s="4" t="str">
        <f t="shared" si="195"/>
        <v>Good</v>
      </c>
      <c r="X3082" s="4">
        <f>AVERAGE(Table1[Purchase Amount])</f>
        <v>129.48419400000012</v>
      </c>
    </row>
    <row r="3083" spans="1:24" ht="15" customHeight="1" x14ac:dyDescent="0.25">
      <c r="A3083">
        <v>3082</v>
      </c>
      <c r="B3083">
        <v>64</v>
      </c>
      <c r="C3083" t="s">
        <v>16</v>
      </c>
      <c r="D3083" t="s">
        <v>140</v>
      </c>
      <c r="E3083" t="s">
        <v>98</v>
      </c>
      <c r="F3083" s="2">
        <v>44</v>
      </c>
      <c r="G3083" t="s">
        <v>84</v>
      </c>
      <c r="H3083" t="s">
        <v>45</v>
      </c>
      <c r="I3083" t="s">
        <v>136</v>
      </c>
      <c r="J3083" t="s">
        <v>22</v>
      </c>
      <c r="K3083">
        <v>4.9000000000000004</v>
      </c>
      <c r="L3083" t="s">
        <v>23</v>
      </c>
      <c r="M3083" t="s">
        <v>79</v>
      </c>
      <c r="N3083" t="s">
        <v>23</v>
      </c>
      <c r="O3083">
        <v>11</v>
      </c>
      <c r="P3083" t="s">
        <v>53</v>
      </c>
      <c r="Q3083" t="s">
        <v>26</v>
      </c>
      <c r="R3083" s="1">
        <v>0.1</v>
      </c>
      <c r="S3083">
        <f t="shared" si="192"/>
        <v>39.6</v>
      </c>
      <c r="T3083">
        <f>IFERROR(VLOOKUP(A3083,Table1[[Customer ID]:[Discount Amount]], 6, FALSE),"Not Found")</f>
        <v>44</v>
      </c>
      <c r="U3083" t="str">
        <f t="shared" si="193"/>
        <v>Credit Card</v>
      </c>
      <c r="V3083" s="4" t="str">
        <f t="shared" si="194"/>
        <v>Normal</v>
      </c>
      <c r="W3083" s="4" t="str">
        <f t="shared" si="195"/>
        <v>Good</v>
      </c>
      <c r="X3083" s="4">
        <f>AVERAGE(Table1[Purchase Amount])</f>
        <v>129.48419400000012</v>
      </c>
    </row>
    <row r="3084" spans="1:24" ht="15" customHeight="1" x14ac:dyDescent="0.25">
      <c r="A3084">
        <v>3083</v>
      </c>
      <c r="B3084">
        <v>56</v>
      </c>
      <c r="C3084" t="s">
        <v>16</v>
      </c>
      <c r="D3084" t="s">
        <v>17</v>
      </c>
      <c r="E3084" t="s">
        <v>18</v>
      </c>
      <c r="F3084" s="2">
        <v>99</v>
      </c>
      <c r="G3084" t="s">
        <v>144</v>
      </c>
      <c r="H3084" t="s">
        <v>31</v>
      </c>
      <c r="I3084" t="s">
        <v>125</v>
      </c>
      <c r="J3084" t="s">
        <v>33</v>
      </c>
      <c r="K3084">
        <v>4</v>
      </c>
      <c r="L3084" t="s">
        <v>23</v>
      </c>
      <c r="M3084" t="s">
        <v>79</v>
      </c>
      <c r="N3084" t="s">
        <v>23</v>
      </c>
      <c r="O3084">
        <v>20</v>
      </c>
      <c r="P3084" t="s">
        <v>88</v>
      </c>
      <c r="Q3084" t="s">
        <v>49</v>
      </c>
      <c r="R3084" s="1">
        <v>0.1</v>
      </c>
      <c r="S3084">
        <f t="shared" si="192"/>
        <v>89.1</v>
      </c>
      <c r="T3084">
        <f>IFERROR(VLOOKUP(A3084,Table1[[Customer ID]:[Discount Amount]], 6, FALSE),"Not Found")</f>
        <v>99</v>
      </c>
      <c r="U3084" t="str">
        <f t="shared" si="193"/>
        <v>Bank Transfer</v>
      </c>
      <c r="V3084" s="4" t="str">
        <f t="shared" si="194"/>
        <v>Normal</v>
      </c>
      <c r="W3084" s="4" t="str">
        <f t="shared" si="195"/>
        <v>Good</v>
      </c>
      <c r="X3084" s="4">
        <f>AVERAGE(Table1[Purchase Amount])</f>
        <v>129.48419400000012</v>
      </c>
    </row>
    <row r="3085" spans="1:24" ht="15" customHeight="1" x14ac:dyDescent="0.25">
      <c r="A3085">
        <v>3084</v>
      </c>
      <c r="B3085">
        <v>22</v>
      </c>
      <c r="C3085" t="s">
        <v>16</v>
      </c>
      <c r="D3085" t="s">
        <v>99</v>
      </c>
      <c r="E3085" t="s">
        <v>18</v>
      </c>
      <c r="F3085" s="2">
        <v>20</v>
      </c>
      <c r="G3085" t="s">
        <v>44</v>
      </c>
      <c r="H3085" t="s">
        <v>55</v>
      </c>
      <c r="I3085" t="s">
        <v>66</v>
      </c>
      <c r="J3085" t="s">
        <v>57</v>
      </c>
      <c r="K3085">
        <v>3.5</v>
      </c>
      <c r="L3085" t="s">
        <v>23</v>
      </c>
      <c r="M3085" t="s">
        <v>48</v>
      </c>
      <c r="N3085" t="s">
        <v>23</v>
      </c>
      <c r="O3085">
        <v>28</v>
      </c>
      <c r="P3085" t="s">
        <v>58</v>
      </c>
      <c r="Q3085" t="s">
        <v>37</v>
      </c>
      <c r="R3085" s="1">
        <v>0.1</v>
      </c>
      <c r="S3085">
        <f t="shared" si="192"/>
        <v>18</v>
      </c>
      <c r="T3085">
        <f>IFERROR(VLOOKUP(A3085,Table1[[Customer ID]:[Discount Amount]], 6, FALSE),"Not Found")</f>
        <v>20</v>
      </c>
      <c r="U3085" t="str">
        <f t="shared" si="193"/>
        <v>PayPal</v>
      </c>
      <c r="V3085" s="4" t="str">
        <f t="shared" si="194"/>
        <v>Normal</v>
      </c>
      <c r="W3085" s="4" t="str">
        <f t="shared" si="195"/>
        <v>Good</v>
      </c>
      <c r="X3085" s="4">
        <f>AVERAGE(Table1[Purchase Amount])</f>
        <v>129.48419400000012</v>
      </c>
    </row>
    <row r="3086" spans="1:24" ht="15" customHeight="1" x14ac:dyDescent="0.25">
      <c r="A3086">
        <v>3085</v>
      </c>
      <c r="B3086">
        <v>46</v>
      </c>
      <c r="C3086" t="s">
        <v>16</v>
      </c>
      <c r="D3086" t="s">
        <v>129</v>
      </c>
      <c r="E3086" t="s">
        <v>29</v>
      </c>
      <c r="F3086" s="2">
        <v>37</v>
      </c>
      <c r="G3086" t="s">
        <v>161</v>
      </c>
      <c r="H3086" t="s">
        <v>55</v>
      </c>
      <c r="I3086" t="s">
        <v>91</v>
      </c>
      <c r="J3086" t="s">
        <v>33</v>
      </c>
      <c r="K3086">
        <v>3.2</v>
      </c>
      <c r="L3086" t="s">
        <v>23</v>
      </c>
      <c r="M3086" t="s">
        <v>48</v>
      </c>
      <c r="N3086" t="s">
        <v>23</v>
      </c>
      <c r="O3086">
        <v>43</v>
      </c>
      <c r="P3086" t="s">
        <v>58</v>
      </c>
      <c r="Q3086" t="s">
        <v>42</v>
      </c>
      <c r="R3086" s="1">
        <v>0.1</v>
      </c>
      <c r="S3086">
        <f t="shared" si="192"/>
        <v>33.299999999999997</v>
      </c>
      <c r="T3086">
        <f>IFERROR(VLOOKUP(A3086,Table1[[Customer ID]:[Discount Amount]], 6, FALSE),"Not Found")</f>
        <v>37</v>
      </c>
      <c r="U3086" t="str">
        <f t="shared" si="193"/>
        <v>PayPal</v>
      </c>
      <c r="V3086" s="4" t="str">
        <f t="shared" si="194"/>
        <v>Normal</v>
      </c>
      <c r="W3086" s="4" t="str">
        <f t="shared" si="195"/>
        <v>Good</v>
      </c>
      <c r="X3086" s="4">
        <f>AVERAGE(Table1[Purchase Amount])</f>
        <v>129.48419400000012</v>
      </c>
    </row>
    <row r="3087" spans="1:24" ht="15" customHeight="1" x14ac:dyDescent="0.25">
      <c r="A3087">
        <v>3086</v>
      </c>
      <c r="B3087">
        <v>24</v>
      </c>
      <c r="C3087" t="s">
        <v>16</v>
      </c>
      <c r="D3087" t="s">
        <v>127</v>
      </c>
      <c r="E3087" t="s">
        <v>18</v>
      </c>
      <c r="F3087" s="2">
        <v>50</v>
      </c>
      <c r="G3087" t="s">
        <v>158</v>
      </c>
      <c r="H3087" t="s">
        <v>45</v>
      </c>
      <c r="I3087" t="s">
        <v>85</v>
      </c>
      <c r="J3087" t="s">
        <v>22</v>
      </c>
      <c r="K3087">
        <v>2.8</v>
      </c>
      <c r="L3087" t="s">
        <v>23</v>
      </c>
      <c r="M3087" t="s">
        <v>48</v>
      </c>
      <c r="N3087" t="s">
        <v>23</v>
      </c>
      <c r="O3087">
        <v>10</v>
      </c>
      <c r="P3087" t="s">
        <v>62</v>
      </c>
      <c r="Q3087" t="s">
        <v>63</v>
      </c>
      <c r="R3087" s="1">
        <v>0.1</v>
      </c>
      <c r="S3087">
        <f t="shared" si="192"/>
        <v>45</v>
      </c>
      <c r="T3087">
        <f>IFERROR(VLOOKUP(A3087,Table1[[Customer ID]:[Discount Amount]], 6, FALSE),"Not Found")</f>
        <v>50</v>
      </c>
      <c r="U3087" t="str">
        <f t="shared" si="193"/>
        <v>Venmo</v>
      </c>
      <c r="V3087" s="4" t="str">
        <f t="shared" si="194"/>
        <v>Normal</v>
      </c>
      <c r="W3087" s="4" t="str">
        <f t="shared" si="195"/>
        <v>Poor</v>
      </c>
      <c r="X3087" s="4">
        <f>AVERAGE(Table1[Purchase Amount])</f>
        <v>129.48419400000012</v>
      </c>
    </row>
    <row r="3088" spans="1:24" ht="15" customHeight="1" x14ac:dyDescent="0.25">
      <c r="A3088">
        <v>3087</v>
      </c>
      <c r="B3088">
        <v>47</v>
      </c>
      <c r="C3088" t="s">
        <v>16</v>
      </c>
      <c r="D3088" t="s">
        <v>69</v>
      </c>
      <c r="E3088" t="s">
        <v>29</v>
      </c>
      <c r="F3088" s="2">
        <v>73</v>
      </c>
      <c r="G3088" t="s">
        <v>144</v>
      </c>
      <c r="H3088" t="s">
        <v>31</v>
      </c>
      <c r="I3088" t="s">
        <v>107</v>
      </c>
      <c r="J3088" t="s">
        <v>57</v>
      </c>
      <c r="K3088">
        <v>3.5</v>
      </c>
      <c r="L3088" t="s">
        <v>23</v>
      </c>
      <c r="M3088" t="s">
        <v>79</v>
      </c>
      <c r="N3088" t="s">
        <v>23</v>
      </c>
      <c r="O3088">
        <v>26</v>
      </c>
      <c r="P3088" t="s">
        <v>62</v>
      </c>
      <c r="Q3088" t="s">
        <v>63</v>
      </c>
      <c r="R3088" s="1">
        <v>0.1</v>
      </c>
      <c r="S3088">
        <f t="shared" si="192"/>
        <v>65.7</v>
      </c>
      <c r="T3088">
        <f>IFERROR(VLOOKUP(A3088,Table1[[Customer ID]:[Discount Amount]], 6, FALSE),"Not Found")</f>
        <v>73</v>
      </c>
      <c r="U3088" t="str">
        <f t="shared" si="193"/>
        <v>Venmo</v>
      </c>
      <c r="V3088" s="4" t="str">
        <f t="shared" si="194"/>
        <v>Normal</v>
      </c>
      <c r="W3088" s="4" t="str">
        <f t="shared" si="195"/>
        <v>Good</v>
      </c>
      <c r="X3088" s="4">
        <f>AVERAGE(Table1[Purchase Amount])</f>
        <v>129.48419400000012</v>
      </c>
    </row>
    <row r="3089" spans="1:24" ht="15" customHeight="1" x14ac:dyDescent="0.25">
      <c r="A3089">
        <v>3088</v>
      </c>
      <c r="B3089">
        <v>62</v>
      </c>
      <c r="C3089" t="s">
        <v>16</v>
      </c>
      <c r="D3089" t="s">
        <v>38</v>
      </c>
      <c r="E3089" t="s">
        <v>18</v>
      </c>
      <c r="F3089" s="2">
        <v>84</v>
      </c>
      <c r="G3089" t="s">
        <v>134</v>
      </c>
      <c r="H3089" t="s">
        <v>31</v>
      </c>
      <c r="I3089" t="s">
        <v>103</v>
      </c>
      <c r="J3089" t="s">
        <v>33</v>
      </c>
      <c r="K3089">
        <v>3.1</v>
      </c>
      <c r="L3089" t="s">
        <v>23</v>
      </c>
      <c r="M3089" t="s">
        <v>35</v>
      </c>
      <c r="N3089" t="s">
        <v>23</v>
      </c>
      <c r="O3089">
        <v>29</v>
      </c>
      <c r="P3089" t="s">
        <v>88</v>
      </c>
      <c r="Q3089" t="s">
        <v>42</v>
      </c>
      <c r="R3089" s="1">
        <v>0.1</v>
      </c>
      <c r="S3089">
        <f t="shared" si="192"/>
        <v>75.599999999999994</v>
      </c>
      <c r="T3089">
        <f>IFERROR(VLOOKUP(A3089,Table1[[Customer ID]:[Discount Amount]], 6, FALSE),"Not Found")</f>
        <v>84</v>
      </c>
      <c r="U3089" t="str">
        <f t="shared" si="193"/>
        <v>Bank Transfer</v>
      </c>
      <c r="V3089" s="4" t="str">
        <f t="shared" si="194"/>
        <v>Normal</v>
      </c>
      <c r="W3089" s="4" t="str">
        <f t="shared" si="195"/>
        <v>Good</v>
      </c>
      <c r="X3089" s="4">
        <f>AVERAGE(Table1[Purchase Amount])</f>
        <v>129.48419400000012</v>
      </c>
    </row>
    <row r="3090" spans="1:24" ht="15" customHeight="1" x14ac:dyDescent="0.25">
      <c r="A3090">
        <v>3089</v>
      </c>
      <c r="B3090">
        <v>34</v>
      </c>
      <c r="C3090" t="s">
        <v>16</v>
      </c>
      <c r="D3090" t="s">
        <v>157</v>
      </c>
      <c r="E3090" t="s">
        <v>18</v>
      </c>
      <c r="F3090" s="2">
        <v>64</v>
      </c>
      <c r="G3090" t="s">
        <v>100</v>
      </c>
      <c r="H3090" t="s">
        <v>31</v>
      </c>
      <c r="I3090" t="s">
        <v>147</v>
      </c>
      <c r="J3090" t="s">
        <v>33</v>
      </c>
      <c r="K3090">
        <v>3.3</v>
      </c>
      <c r="L3090" t="s">
        <v>23</v>
      </c>
      <c r="M3090" t="s">
        <v>48</v>
      </c>
      <c r="N3090" t="s">
        <v>23</v>
      </c>
      <c r="O3090">
        <v>35</v>
      </c>
      <c r="P3090" t="s">
        <v>88</v>
      </c>
      <c r="Q3090" t="s">
        <v>37</v>
      </c>
      <c r="R3090" s="1">
        <v>0.1</v>
      </c>
      <c r="S3090">
        <f t="shared" si="192"/>
        <v>57.6</v>
      </c>
      <c r="T3090">
        <f>IFERROR(VLOOKUP(A3090,Table1[[Customer ID]:[Discount Amount]], 6, FALSE),"Not Found")</f>
        <v>64</v>
      </c>
      <c r="U3090" t="str">
        <f t="shared" si="193"/>
        <v>Bank Transfer</v>
      </c>
      <c r="V3090" s="4" t="str">
        <f t="shared" si="194"/>
        <v>Normal</v>
      </c>
      <c r="W3090" s="4" t="str">
        <f t="shared" si="195"/>
        <v>Good</v>
      </c>
      <c r="X3090" s="4">
        <f>AVERAGE(Table1[Purchase Amount])</f>
        <v>129.48419400000012</v>
      </c>
    </row>
    <row r="3091" spans="1:24" ht="15" customHeight="1" x14ac:dyDescent="0.25">
      <c r="A3091">
        <v>3090</v>
      </c>
      <c r="B3091">
        <v>50</v>
      </c>
      <c r="C3091" t="s">
        <v>16</v>
      </c>
      <c r="D3091" t="s">
        <v>121</v>
      </c>
      <c r="E3091" t="s">
        <v>98</v>
      </c>
      <c r="F3091" s="2">
        <v>21</v>
      </c>
      <c r="G3091" t="s">
        <v>134</v>
      </c>
      <c r="H3091" t="s">
        <v>45</v>
      </c>
      <c r="I3091" t="s">
        <v>74</v>
      </c>
      <c r="J3091" t="s">
        <v>47</v>
      </c>
      <c r="K3091">
        <v>4.5999999999999996</v>
      </c>
      <c r="L3091" t="s">
        <v>23</v>
      </c>
      <c r="M3091" t="s">
        <v>35</v>
      </c>
      <c r="N3091" t="s">
        <v>23</v>
      </c>
      <c r="O3091">
        <v>23</v>
      </c>
      <c r="P3091" t="s">
        <v>25</v>
      </c>
      <c r="Q3091" t="s">
        <v>68</v>
      </c>
      <c r="R3091" s="1">
        <v>0.1</v>
      </c>
      <c r="S3091">
        <f t="shared" si="192"/>
        <v>18.899999999999999</v>
      </c>
      <c r="T3091">
        <f>IFERROR(VLOOKUP(A3091,Table1[[Customer ID]:[Discount Amount]], 6, FALSE),"Not Found")</f>
        <v>21</v>
      </c>
      <c r="U3091" t="str">
        <f t="shared" si="193"/>
        <v>Cash</v>
      </c>
      <c r="V3091" s="4" t="str">
        <f t="shared" si="194"/>
        <v>Normal</v>
      </c>
      <c r="W3091" s="4" t="str">
        <f t="shared" si="195"/>
        <v>Good</v>
      </c>
      <c r="X3091" s="4">
        <f>AVERAGE(Table1[Purchase Amount])</f>
        <v>129.48419400000012</v>
      </c>
    </row>
    <row r="3092" spans="1:24" ht="15" customHeight="1" x14ac:dyDescent="0.25">
      <c r="A3092">
        <v>3091</v>
      </c>
      <c r="B3092">
        <v>29</v>
      </c>
      <c r="C3092" t="s">
        <v>16</v>
      </c>
      <c r="D3092" t="s">
        <v>38</v>
      </c>
      <c r="E3092" t="s">
        <v>18</v>
      </c>
      <c r="F3092" s="2">
        <v>36</v>
      </c>
      <c r="G3092" t="s">
        <v>152</v>
      </c>
      <c r="H3092" t="s">
        <v>31</v>
      </c>
      <c r="I3092" t="s">
        <v>145</v>
      </c>
      <c r="J3092" t="s">
        <v>57</v>
      </c>
      <c r="K3092">
        <v>4.9000000000000004</v>
      </c>
      <c r="L3092" t="s">
        <v>23</v>
      </c>
      <c r="M3092" t="s">
        <v>48</v>
      </c>
      <c r="N3092" t="s">
        <v>23</v>
      </c>
      <c r="O3092">
        <v>15</v>
      </c>
      <c r="P3092" t="s">
        <v>88</v>
      </c>
      <c r="Q3092" t="s">
        <v>37</v>
      </c>
      <c r="R3092" s="1">
        <v>0.1</v>
      </c>
      <c r="S3092">
        <f t="shared" si="192"/>
        <v>32.4</v>
      </c>
      <c r="T3092">
        <f>IFERROR(VLOOKUP(A3092,Table1[[Customer ID]:[Discount Amount]], 6, FALSE),"Not Found")</f>
        <v>36</v>
      </c>
      <c r="U3092" t="str">
        <f t="shared" si="193"/>
        <v>Bank Transfer</v>
      </c>
      <c r="V3092" s="4" t="str">
        <f t="shared" si="194"/>
        <v>Normal</v>
      </c>
      <c r="W3092" s="4" t="str">
        <f t="shared" si="195"/>
        <v>Good</v>
      </c>
      <c r="X3092" s="4">
        <f>AVERAGE(Table1[Purchase Amount])</f>
        <v>129.48419400000012</v>
      </c>
    </row>
    <row r="3093" spans="1:24" ht="15" customHeight="1" x14ac:dyDescent="0.25">
      <c r="A3093">
        <v>3092</v>
      </c>
      <c r="B3093">
        <v>68</v>
      </c>
      <c r="C3093" t="s">
        <v>16</v>
      </c>
      <c r="D3093" t="s">
        <v>157</v>
      </c>
      <c r="E3093" t="s">
        <v>18</v>
      </c>
      <c r="F3093" s="2">
        <v>81</v>
      </c>
      <c r="G3093" t="s">
        <v>158</v>
      </c>
      <c r="H3093" t="s">
        <v>45</v>
      </c>
      <c r="I3093" t="s">
        <v>108</v>
      </c>
      <c r="J3093" t="s">
        <v>22</v>
      </c>
      <c r="K3093">
        <v>3.4</v>
      </c>
      <c r="L3093" t="s">
        <v>23</v>
      </c>
      <c r="M3093" t="s">
        <v>41</v>
      </c>
      <c r="N3093" t="s">
        <v>23</v>
      </c>
      <c r="O3093">
        <v>46</v>
      </c>
      <c r="P3093" t="s">
        <v>53</v>
      </c>
      <c r="Q3093" t="s">
        <v>49</v>
      </c>
      <c r="R3093" s="1">
        <v>0.1</v>
      </c>
      <c r="S3093">
        <f t="shared" si="192"/>
        <v>72.900000000000006</v>
      </c>
      <c r="T3093">
        <f>IFERROR(VLOOKUP(A3093,Table1[[Customer ID]:[Discount Amount]], 6, FALSE),"Not Found")</f>
        <v>81</v>
      </c>
      <c r="U3093" t="str">
        <f t="shared" si="193"/>
        <v>Credit Card</v>
      </c>
      <c r="V3093" s="4" t="str">
        <f t="shared" si="194"/>
        <v>Normal</v>
      </c>
      <c r="W3093" s="4" t="str">
        <f t="shared" si="195"/>
        <v>Good</v>
      </c>
      <c r="X3093" s="4">
        <f>AVERAGE(Table1[Purchase Amount])</f>
        <v>129.48419400000012</v>
      </c>
    </row>
    <row r="3094" spans="1:24" ht="15" customHeight="1" x14ac:dyDescent="0.25">
      <c r="A3094">
        <v>3093</v>
      </c>
      <c r="B3094">
        <v>52</v>
      </c>
      <c r="C3094" t="s">
        <v>16</v>
      </c>
      <c r="D3094" t="s">
        <v>28</v>
      </c>
      <c r="E3094" t="s">
        <v>29</v>
      </c>
      <c r="F3094" s="2">
        <v>54</v>
      </c>
      <c r="G3094" t="s">
        <v>144</v>
      </c>
      <c r="H3094" t="s">
        <v>45</v>
      </c>
      <c r="I3094" t="s">
        <v>153</v>
      </c>
      <c r="J3094" t="s">
        <v>47</v>
      </c>
      <c r="K3094">
        <v>3.5</v>
      </c>
      <c r="L3094" t="s">
        <v>23</v>
      </c>
      <c r="M3094" t="s">
        <v>79</v>
      </c>
      <c r="N3094" t="s">
        <v>23</v>
      </c>
      <c r="O3094">
        <v>14</v>
      </c>
      <c r="P3094" t="s">
        <v>88</v>
      </c>
      <c r="Q3094" t="s">
        <v>68</v>
      </c>
      <c r="R3094" s="1">
        <v>0.1</v>
      </c>
      <c r="S3094">
        <f t="shared" si="192"/>
        <v>48.6</v>
      </c>
      <c r="T3094">
        <f>IFERROR(VLOOKUP(A3094,Table1[[Customer ID]:[Discount Amount]], 6, FALSE),"Not Found")</f>
        <v>54</v>
      </c>
      <c r="U3094" t="str">
        <f t="shared" si="193"/>
        <v>Bank Transfer</v>
      </c>
      <c r="V3094" s="4" t="str">
        <f t="shared" si="194"/>
        <v>Normal</v>
      </c>
      <c r="W3094" s="4" t="str">
        <f t="shared" si="195"/>
        <v>Good</v>
      </c>
      <c r="X3094" s="4">
        <f>AVERAGE(Table1[Purchase Amount])</f>
        <v>129.48419400000012</v>
      </c>
    </row>
    <row r="3095" spans="1:24" ht="15" customHeight="1" x14ac:dyDescent="0.25">
      <c r="A3095">
        <v>3094</v>
      </c>
      <c r="B3095">
        <v>29</v>
      </c>
      <c r="C3095" t="s">
        <v>16</v>
      </c>
      <c r="D3095" t="s">
        <v>105</v>
      </c>
      <c r="E3095" t="s">
        <v>18</v>
      </c>
      <c r="F3095" s="2">
        <v>63</v>
      </c>
      <c r="G3095" t="s">
        <v>78</v>
      </c>
      <c r="H3095" t="s">
        <v>45</v>
      </c>
      <c r="I3095" t="s">
        <v>46</v>
      </c>
      <c r="J3095" t="s">
        <v>57</v>
      </c>
      <c r="K3095">
        <v>4.8</v>
      </c>
      <c r="L3095" t="s">
        <v>23</v>
      </c>
      <c r="M3095" t="s">
        <v>48</v>
      </c>
      <c r="N3095" t="s">
        <v>23</v>
      </c>
      <c r="O3095">
        <v>17</v>
      </c>
      <c r="P3095" t="s">
        <v>25</v>
      </c>
      <c r="Q3095" t="s">
        <v>63</v>
      </c>
      <c r="R3095" s="1">
        <v>0.1</v>
      </c>
      <c r="S3095">
        <f t="shared" si="192"/>
        <v>56.7</v>
      </c>
      <c r="T3095">
        <f>IFERROR(VLOOKUP(A3095,Table1[[Customer ID]:[Discount Amount]], 6, FALSE),"Not Found")</f>
        <v>63</v>
      </c>
      <c r="U3095" t="str">
        <f t="shared" si="193"/>
        <v>Cash</v>
      </c>
      <c r="V3095" s="4" t="str">
        <f t="shared" si="194"/>
        <v>Normal</v>
      </c>
      <c r="W3095" s="4" t="str">
        <f t="shared" si="195"/>
        <v>Good</v>
      </c>
      <c r="X3095" s="4">
        <f>AVERAGE(Table1[Purchase Amount])</f>
        <v>129.48419400000012</v>
      </c>
    </row>
    <row r="3096" spans="1:24" ht="15" customHeight="1" x14ac:dyDescent="0.25">
      <c r="A3096">
        <v>3095</v>
      </c>
      <c r="B3096">
        <v>22</v>
      </c>
      <c r="C3096" t="s">
        <v>16</v>
      </c>
      <c r="D3096" t="s">
        <v>121</v>
      </c>
      <c r="E3096" t="s">
        <v>98</v>
      </c>
      <c r="F3096" s="2">
        <v>59</v>
      </c>
      <c r="G3096" t="s">
        <v>160</v>
      </c>
      <c r="H3096" t="s">
        <v>31</v>
      </c>
      <c r="I3096" t="s">
        <v>85</v>
      </c>
      <c r="J3096" t="s">
        <v>57</v>
      </c>
      <c r="K3096">
        <v>2.7</v>
      </c>
      <c r="L3096" t="s">
        <v>23</v>
      </c>
      <c r="M3096" t="s">
        <v>48</v>
      </c>
      <c r="N3096" t="s">
        <v>23</v>
      </c>
      <c r="O3096">
        <v>9</v>
      </c>
      <c r="P3096" t="s">
        <v>25</v>
      </c>
      <c r="Q3096" t="s">
        <v>26</v>
      </c>
      <c r="R3096" s="1">
        <v>0.1</v>
      </c>
      <c r="S3096">
        <f t="shared" si="192"/>
        <v>53.1</v>
      </c>
      <c r="T3096">
        <f>IFERROR(VLOOKUP(A3096,Table1[[Customer ID]:[Discount Amount]], 6, FALSE),"Not Found")</f>
        <v>59</v>
      </c>
      <c r="U3096" t="str">
        <f t="shared" si="193"/>
        <v>Cash</v>
      </c>
      <c r="V3096" s="4" t="str">
        <f t="shared" si="194"/>
        <v>Normal</v>
      </c>
      <c r="W3096" s="4" t="str">
        <f t="shared" si="195"/>
        <v>Poor</v>
      </c>
      <c r="X3096" s="4">
        <f>AVERAGE(Table1[Purchase Amount])</f>
        <v>129.48419400000012</v>
      </c>
    </row>
    <row r="3097" spans="1:24" ht="15" customHeight="1" x14ac:dyDescent="0.25">
      <c r="A3097">
        <v>3096</v>
      </c>
      <c r="B3097">
        <v>62</v>
      </c>
      <c r="C3097" t="s">
        <v>16</v>
      </c>
      <c r="D3097" t="s">
        <v>64</v>
      </c>
      <c r="E3097" t="s">
        <v>29</v>
      </c>
      <c r="F3097" s="2">
        <v>53</v>
      </c>
      <c r="G3097" t="s">
        <v>120</v>
      </c>
      <c r="H3097" t="s">
        <v>55</v>
      </c>
      <c r="I3097" t="s">
        <v>56</v>
      </c>
      <c r="J3097" t="s">
        <v>47</v>
      </c>
      <c r="K3097">
        <v>3.4</v>
      </c>
      <c r="L3097" t="s">
        <v>23</v>
      </c>
      <c r="M3097" t="s">
        <v>24</v>
      </c>
      <c r="N3097" t="s">
        <v>23</v>
      </c>
      <c r="O3097">
        <v>13</v>
      </c>
      <c r="P3097" t="s">
        <v>62</v>
      </c>
      <c r="Q3097" t="s">
        <v>89</v>
      </c>
      <c r="R3097" s="1">
        <v>0.1</v>
      </c>
      <c r="S3097">
        <f t="shared" si="192"/>
        <v>47.7</v>
      </c>
      <c r="T3097">
        <f>IFERROR(VLOOKUP(A3097,Table1[[Customer ID]:[Discount Amount]], 6, FALSE),"Not Found")</f>
        <v>53</v>
      </c>
      <c r="U3097" t="str">
        <f t="shared" si="193"/>
        <v>Venmo</v>
      </c>
      <c r="V3097" s="4" t="str">
        <f t="shared" si="194"/>
        <v>Normal</v>
      </c>
      <c r="W3097" s="4" t="str">
        <f t="shared" si="195"/>
        <v>Good</v>
      </c>
      <c r="X3097" s="4">
        <f>AVERAGE(Table1[Purchase Amount])</f>
        <v>129.48419400000012</v>
      </c>
    </row>
    <row r="3098" spans="1:24" ht="15" customHeight="1" x14ac:dyDescent="0.25">
      <c r="A3098">
        <v>3097</v>
      </c>
      <c r="B3098">
        <v>69</v>
      </c>
      <c r="C3098" t="s">
        <v>16</v>
      </c>
      <c r="D3098" t="s">
        <v>38</v>
      </c>
      <c r="E3098" t="s">
        <v>18</v>
      </c>
      <c r="F3098" s="2">
        <v>63</v>
      </c>
      <c r="G3098" t="s">
        <v>124</v>
      </c>
      <c r="H3098" t="s">
        <v>45</v>
      </c>
      <c r="I3098" t="s">
        <v>32</v>
      </c>
      <c r="J3098" t="s">
        <v>22</v>
      </c>
      <c r="K3098">
        <v>3.5</v>
      </c>
      <c r="L3098" t="s">
        <v>23</v>
      </c>
      <c r="M3098" t="s">
        <v>79</v>
      </c>
      <c r="N3098" t="s">
        <v>23</v>
      </c>
      <c r="O3098">
        <v>20</v>
      </c>
      <c r="P3098" t="s">
        <v>88</v>
      </c>
      <c r="Q3098" t="s">
        <v>42</v>
      </c>
      <c r="R3098" s="1">
        <v>0.1</v>
      </c>
      <c r="S3098">
        <f t="shared" si="192"/>
        <v>56.7</v>
      </c>
      <c r="T3098">
        <f>IFERROR(VLOOKUP(A3098,Table1[[Customer ID]:[Discount Amount]], 6, FALSE),"Not Found")</f>
        <v>63</v>
      </c>
      <c r="U3098" t="str">
        <f t="shared" si="193"/>
        <v>Bank Transfer</v>
      </c>
      <c r="V3098" s="4" t="str">
        <f t="shared" si="194"/>
        <v>Normal</v>
      </c>
      <c r="W3098" s="4" t="str">
        <f t="shared" si="195"/>
        <v>Good</v>
      </c>
      <c r="X3098" s="4">
        <f>AVERAGE(Table1[Purchase Amount])</f>
        <v>129.48419400000012</v>
      </c>
    </row>
    <row r="3099" spans="1:24" ht="15" customHeight="1" x14ac:dyDescent="0.25">
      <c r="A3099">
        <v>3098</v>
      </c>
      <c r="B3099">
        <v>48</v>
      </c>
      <c r="C3099" t="s">
        <v>16</v>
      </c>
      <c r="D3099" t="s">
        <v>72</v>
      </c>
      <c r="E3099" t="s">
        <v>98</v>
      </c>
      <c r="F3099" s="2">
        <v>33</v>
      </c>
      <c r="G3099" t="s">
        <v>143</v>
      </c>
      <c r="H3099" t="s">
        <v>31</v>
      </c>
      <c r="I3099" t="s">
        <v>153</v>
      </c>
      <c r="J3099" t="s">
        <v>47</v>
      </c>
      <c r="K3099">
        <v>3.7</v>
      </c>
      <c r="L3099" t="s">
        <v>23</v>
      </c>
      <c r="M3099" t="s">
        <v>35</v>
      </c>
      <c r="N3099" t="s">
        <v>23</v>
      </c>
      <c r="O3099">
        <v>39</v>
      </c>
      <c r="P3099" t="s">
        <v>88</v>
      </c>
      <c r="Q3099" t="s">
        <v>37</v>
      </c>
      <c r="R3099" s="1">
        <v>0.1</v>
      </c>
      <c r="S3099">
        <f t="shared" si="192"/>
        <v>29.7</v>
      </c>
      <c r="T3099">
        <f>IFERROR(VLOOKUP(A3099,Table1[[Customer ID]:[Discount Amount]], 6, FALSE),"Not Found")</f>
        <v>33</v>
      </c>
      <c r="U3099" t="str">
        <f t="shared" si="193"/>
        <v>Bank Transfer</v>
      </c>
      <c r="V3099" s="4" t="str">
        <f t="shared" si="194"/>
        <v>Normal</v>
      </c>
      <c r="W3099" s="4" t="str">
        <f t="shared" si="195"/>
        <v>Good</v>
      </c>
      <c r="X3099" s="4">
        <f>AVERAGE(Table1[Purchase Amount])</f>
        <v>129.48419400000012</v>
      </c>
    </row>
    <row r="3100" spans="1:24" ht="15" customHeight="1" x14ac:dyDescent="0.25">
      <c r="A3100">
        <v>3099</v>
      </c>
      <c r="B3100">
        <v>66</v>
      </c>
      <c r="C3100" t="s">
        <v>16</v>
      </c>
      <c r="D3100" t="s">
        <v>99</v>
      </c>
      <c r="E3100" t="s">
        <v>18</v>
      </c>
      <c r="F3100" s="2">
        <v>64</v>
      </c>
      <c r="G3100" t="s">
        <v>110</v>
      </c>
      <c r="H3100" t="s">
        <v>45</v>
      </c>
      <c r="I3100" t="s">
        <v>128</v>
      </c>
      <c r="J3100" t="s">
        <v>57</v>
      </c>
      <c r="K3100">
        <v>3.3</v>
      </c>
      <c r="L3100" t="s">
        <v>23</v>
      </c>
      <c r="M3100" t="s">
        <v>79</v>
      </c>
      <c r="N3100" t="s">
        <v>23</v>
      </c>
      <c r="O3100">
        <v>50</v>
      </c>
      <c r="P3100" t="s">
        <v>88</v>
      </c>
      <c r="Q3100" t="s">
        <v>37</v>
      </c>
      <c r="R3100" s="1">
        <v>0.1</v>
      </c>
      <c r="S3100">
        <f t="shared" si="192"/>
        <v>57.6</v>
      </c>
      <c r="T3100">
        <f>IFERROR(VLOOKUP(A3100,Table1[[Customer ID]:[Discount Amount]], 6, FALSE),"Not Found")</f>
        <v>64</v>
      </c>
      <c r="U3100" t="str">
        <f t="shared" si="193"/>
        <v>Bank Transfer</v>
      </c>
      <c r="V3100" s="4" t="str">
        <f t="shared" si="194"/>
        <v>Normal</v>
      </c>
      <c r="W3100" s="4" t="str">
        <f t="shared" si="195"/>
        <v>Good</v>
      </c>
      <c r="X3100" s="4">
        <f>AVERAGE(Table1[Purchase Amount])</f>
        <v>129.48419400000012</v>
      </c>
    </row>
    <row r="3101" spans="1:24" ht="15" customHeight="1" x14ac:dyDescent="0.25">
      <c r="A3101">
        <v>3100</v>
      </c>
      <c r="B3101">
        <v>42</v>
      </c>
      <c r="C3101" t="s">
        <v>16</v>
      </c>
      <c r="D3101" t="s">
        <v>38</v>
      </c>
      <c r="E3101" t="s">
        <v>18</v>
      </c>
      <c r="F3101" s="2">
        <v>98</v>
      </c>
      <c r="G3101" t="s">
        <v>113</v>
      </c>
      <c r="H3101" t="s">
        <v>55</v>
      </c>
      <c r="I3101" t="s">
        <v>125</v>
      </c>
      <c r="J3101" t="s">
        <v>47</v>
      </c>
      <c r="K3101">
        <v>2.9</v>
      </c>
      <c r="L3101" t="s">
        <v>23</v>
      </c>
      <c r="M3101" t="s">
        <v>35</v>
      </c>
      <c r="N3101" t="s">
        <v>23</v>
      </c>
      <c r="O3101">
        <v>21</v>
      </c>
      <c r="P3101" t="s">
        <v>88</v>
      </c>
      <c r="Q3101" t="s">
        <v>68</v>
      </c>
      <c r="R3101" s="1">
        <v>0.1</v>
      </c>
      <c r="S3101">
        <f t="shared" si="192"/>
        <v>88.2</v>
      </c>
      <c r="T3101">
        <f>IFERROR(VLOOKUP(A3101,Table1[[Customer ID]:[Discount Amount]], 6, FALSE),"Not Found")</f>
        <v>98</v>
      </c>
      <c r="U3101" t="str">
        <f t="shared" si="193"/>
        <v>Bank Transfer</v>
      </c>
      <c r="V3101" s="4" t="str">
        <f t="shared" si="194"/>
        <v>Normal</v>
      </c>
      <c r="W3101" s="4" t="str">
        <f t="shared" si="195"/>
        <v>Poor</v>
      </c>
      <c r="X3101" s="4">
        <f>AVERAGE(Table1[Purchase Amount])</f>
        <v>129.48419400000012</v>
      </c>
    </row>
    <row r="3102" spans="1:24" ht="15" customHeight="1" x14ac:dyDescent="0.25">
      <c r="A3102">
        <v>3101</v>
      </c>
      <c r="B3102">
        <v>50</v>
      </c>
      <c r="C3102" t="s">
        <v>16</v>
      </c>
      <c r="D3102" t="s">
        <v>64</v>
      </c>
      <c r="E3102" t="s">
        <v>29</v>
      </c>
      <c r="F3102" s="2">
        <v>85</v>
      </c>
      <c r="G3102" t="s">
        <v>84</v>
      </c>
      <c r="H3102" t="s">
        <v>45</v>
      </c>
      <c r="I3102" t="s">
        <v>66</v>
      </c>
      <c r="J3102" t="s">
        <v>22</v>
      </c>
      <c r="K3102">
        <v>3.9</v>
      </c>
      <c r="L3102" t="s">
        <v>23</v>
      </c>
      <c r="M3102" t="s">
        <v>61</v>
      </c>
      <c r="N3102" t="s">
        <v>23</v>
      </c>
      <c r="O3102">
        <v>3</v>
      </c>
      <c r="P3102" t="s">
        <v>88</v>
      </c>
      <c r="Q3102" t="s">
        <v>26</v>
      </c>
      <c r="R3102" s="1">
        <v>0.1</v>
      </c>
      <c r="S3102">
        <f t="shared" si="192"/>
        <v>76.5</v>
      </c>
      <c r="T3102">
        <f>IFERROR(VLOOKUP(A3102,Table1[[Customer ID]:[Discount Amount]], 6, FALSE),"Not Found")</f>
        <v>85</v>
      </c>
      <c r="U3102" t="str">
        <f t="shared" si="193"/>
        <v>Bank Transfer</v>
      </c>
      <c r="V3102" s="4" t="str">
        <f t="shared" si="194"/>
        <v>Normal</v>
      </c>
      <c r="W3102" s="4" t="str">
        <f t="shared" si="195"/>
        <v>Good</v>
      </c>
      <c r="X3102" s="4">
        <f>AVERAGE(Table1[Purchase Amount])</f>
        <v>129.48419400000012</v>
      </c>
    </row>
    <row r="3103" spans="1:24" ht="15" customHeight="1" x14ac:dyDescent="0.25">
      <c r="A3103">
        <v>3102</v>
      </c>
      <c r="B3103">
        <v>32</v>
      </c>
      <c r="C3103" t="s">
        <v>16</v>
      </c>
      <c r="D3103" t="s">
        <v>50</v>
      </c>
      <c r="E3103" t="s">
        <v>29</v>
      </c>
      <c r="F3103" s="2">
        <v>82</v>
      </c>
      <c r="G3103" t="s">
        <v>161</v>
      </c>
      <c r="H3103" t="s">
        <v>55</v>
      </c>
      <c r="I3103" t="s">
        <v>60</v>
      </c>
      <c r="J3103" t="s">
        <v>57</v>
      </c>
      <c r="K3103">
        <v>2.7</v>
      </c>
      <c r="L3103" t="s">
        <v>23</v>
      </c>
      <c r="M3103" t="s">
        <v>61</v>
      </c>
      <c r="N3103" t="s">
        <v>23</v>
      </c>
      <c r="O3103">
        <v>9</v>
      </c>
      <c r="P3103" t="s">
        <v>58</v>
      </c>
      <c r="Q3103" t="s">
        <v>89</v>
      </c>
      <c r="R3103" s="1">
        <v>0.1</v>
      </c>
      <c r="S3103">
        <f t="shared" si="192"/>
        <v>73.8</v>
      </c>
      <c r="T3103">
        <f>IFERROR(VLOOKUP(A3103,Table1[[Customer ID]:[Discount Amount]], 6, FALSE),"Not Found")</f>
        <v>82</v>
      </c>
      <c r="U3103" t="str">
        <f t="shared" si="193"/>
        <v>PayPal</v>
      </c>
      <c r="V3103" s="4" t="str">
        <f t="shared" si="194"/>
        <v>Normal</v>
      </c>
      <c r="W3103" s="4" t="str">
        <f t="shared" si="195"/>
        <v>Poor</v>
      </c>
      <c r="X3103" s="4">
        <f>AVERAGE(Table1[Purchase Amount])</f>
        <v>129.48419400000012</v>
      </c>
    </row>
    <row r="3104" spans="1:24" ht="15" customHeight="1" x14ac:dyDescent="0.25">
      <c r="A3104">
        <v>3103</v>
      </c>
      <c r="B3104">
        <v>51</v>
      </c>
      <c r="C3104" t="s">
        <v>16</v>
      </c>
      <c r="D3104" t="s">
        <v>96</v>
      </c>
      <c r="E3104" t="s">
        <v>77</v>
      </c>
      <c r="F3104" s="2">
        <v>85</v>
      </c>
      <c r="G3104" t="s">
        <v>130</v>
      </c>
      <c r="H3104" t="s">
        <v>31</v>
      </c>
      <c r="I3104" t="s">
        <v>93</v>
      </c>
      <c r="J3104" t="s">
        <v>57</v>
      </c>
      <c r="K3104">
        <v>4.3</v>
      </c>
      <c r="L3104" t="s">
        <v>23</v>
      </c>
      <c r="M3104" t="s">
        <v>24</v>
      </c>
      <c r="N3104" t="s">
        <v>23</v>
      </c>
      <c r="O3104">
        <v>29</v>
      </c>
      <c r="P3104" t="s">
        <v>25</v>
      </c>
      <c r="Q3104" t="s">
        <v>68</v>
      </c>
      <c r="R3104" s="1">
        <v>0.1</v>
      </c>
      <c r="S3104">
        <f t="shared" si="192"/>
        <v>76.5</v>
      </c>
      <c r="T3104">
        <f>IFERROR(VLOOKUP(A3104,Table1[[Customer ID]:[Discount Amount]], 6, FALSE),"Not Found")</f>
        <v>85</v>
      </c>
      <c r="U3104" t="str">
        <f t="shared" si="193"/>
        <v>Cash</v>
      </c>
      <c r="V3104" s="4" t="str">
        <f t="shared" si="194"/>
        <v>Normal</v>
      </c>
      <c r="W3104" s="4" t="str">
        <f t="shared" si="195"/>
        <v>Good</v>
      </c>
      <c r="X3104" s="4">
        <f>AVERAGE(Table1[Purchase Amount])</f>
        <v>129.48419400000012</v>
      </c>
    </row>
    <row r="3105" spans="1:24" ht="15" customHeight="1" x14ac:dyDescent="0.25">
      <c r="A3105">
        <v>3104</v>
      </c>
      <c r="B3105">
        <v>27</v>
      </c>
      <c r="C3105" t="s">
        <v>16</v>
      </c>
      <c r="D3105" t="s">
        <v>38</v>
      </c>
      <c r="E3105" t="s">
        <v>18</v>
      </c>
      <c r="F3105" s="2">
        <v>37</v>
      </c>
      <c r="G3105" t="s">
        <v>44</v>
      </c>
      <c r="H3105" t="s">
        <v>55</v>
      </c>
      <c r="I3105" t="s">
        <v>145</v>
      </c>
      <c r="J3105" t="s">
        <v>22</v>
      </c>
      <c r="K3105">
        <v>3</v>
      </c>
      <c r="L3105" t="s">
        <v>23</v>
      </c>
      <c r="M3105" t="s">
        <v>41</v>
      </c>
      <c r="N3105" t="s">
        <v>23</v>
      </c>
      <c r="O3105">
        <v>42</v>
      </c>
      <c r="P3105" t="s">
        <v>88</v>
      </c>
      <c r="Q3105" t="s">
        <v>26</v>
      </c>
      <c r="R3105" s="1">
        <v>0.1</v>
      </c>
      <c r="S3105">
        <f t="shared" si="192"/>
        <v>33.299999999999997</v>
      </c>
      <c r="T3105">
        <f>IFERROR(VLOOKUP(A3105,Table1[[Customer ID]:[Discount Amount]], 6, FALSE),"Not Found")</f>
        <v>37</v>
      </c>
      <c r="U3105" t="str">
        <f t="shared" si="193"/>
        <v>Bank Transfer</v>
      </c>
      <c r="V3105" s="4" t="str">
        <f t="shared" si="194"/>
        <v>Normal</v>
      </c>
      <c r="W3105" s="4" t="str">
        <f t="shared" si="195"/>
        <v>Good</v>
      </c>
      <c r="X3105" s="4">
        <f>AVERAGE(Table1[Purchase Amount])</f>
        <v>129.48419400000012</v>
      </c>
    </row>
    <row r="3106" spans="1:24" ht="15" customHeight="1" x14ac:dyDescent="0.25">
      <c r="A3106">
        <v>3105</v>
      </c>
      <c r="B3106">
        <v>43</v>
      </c>
      <c r="C3106" t="s">
        <v>16</v>
      </c>
      <c r="D3106" t="s">
        <v>99</v>
      </c>
      <c r="E3106" t="s">
        <v>18</v>
      </c>
      <c r="F3106" s="2">
        <v>56</v>
      </c>
      <c r="G3106" t="s">
        <v>160</v>
      </c>
      <c r="H3106" t="s">
        <v>55</v>
      </c>
      <c r="I3106" t="s">
        <v>156</v>
      </c>
      <c r="J3106" t="s">
        <v>57</v>
      </c>
      <c r="K3106">
        <v>5</v>
      </c>
      <c r="L3106" t="s">
        <v>23</v>
      </c>
      <c r="M3106" t="s">
        <v>41</v>
      </c>
      <c r="N3106" t="s">
        <v>23</v>
      </c>
      <c r="O3106">
        <v>41</v>
      </c>
      <c r="P3106" t="s">
        <v>36</v>
      </c>
      <c r="Q3106" t="s">
        <v>89</v>
      </c>
      <c r="R3106" s="1">
        <v>0.1</v>
      </c>
      <c r="S3106">
        <f t="shared" si="192"/>
        <v>50.4</v>
      </c>
      <c r="T3106">
        <f>IFERROR(VLOOKUP(A3106,Table1[[Customer ID]:[Discount Amount]], 6, FALSE),"Not Found")</f>
        <v>56</v>
      </c>
      <c r="U3106" t="str">
        <f t="shared" si="193"/>
        <v>Debit Card</v>
      </c>
      <c r="V3106" s="4" t="str">
        <f t="shared" si="194"/>
        <v>Normal</v>
      </c>
      <c r="W3106" s="4" t="str">
        <f t="shared" si="195"/>
        <v>Good</v>
      </c>
      <c r="X3106" s="4">
        <f>AVERAGE(Table1[Purchase Amount])</f>
        <v>129.48419400000012</v>
      </c>
    </row>
    <row r="3107" spans="1:24" ht="15" customHeight="1" x14ac:dyDescent="0.25">
      <c r="A3107">
        <v>3106</v>
      </c>
      <c r="B3107">
        <v>48</v>
      </c>
      <c r="C3107" t="s">
        <v>16</v>
      </c>
      <c r="D3107" t="s">
        <v>122</v>
      </c>
      <c r="E3107" t="s">
        <v>18</v>
      </c>
      <c r="F3107" s="2">
        <v>33</v>
      </c>
      <c r="G3107" t="s">
        <v>123</v>
      </c>
      <c r="H3107" t="s">
        <v>31</v>
      </c>
      <c r="I3107" t="s">
        <v>21</v>
      </c>
      <c r="J3107" t="s">
        <v>47</v>
      </c>
      <c r="K3107">
        <v>2.7</v>
      </c>
      <c r="L3107" t="s">
        <v>23</v>
      </c>
      <c r="M3107" t="s">
        <v>61</v>
      </c>
      <c r="N3107" t="s">
        <v>23</v>
      </c>
      <c r="O3107">
        <v>17</v>
      </c>
      <c r="P3107" t="s">
        <v>36</v>
      </c>
      <c r="Q3107" t="s">
        <v>42</v>
      </c>
      <c r="R3107" s="1">
        <v>0.1</v>
      </c>
      <c r="S3107">
        <f t="shared" si="192"/>
        <v>29.7</v>
      </c>
      <c r="T3107">
        <f>IFERROR(VLOOKUP(A3107,Table1[[Customer ID]:[Discount Amount]], 6, FALSE),"Not Found")</f>
        <v>33</v>
      </c>
      <c r="U3107" t="str">
        <f t="shared" si="193"/>
        <v>Debit Card</v>
      </c>
      <c r="V3107" s="4" t="str">
        <f t="shared" si="194"/>
        <v>Normal</v>
      </c>
      <c r="W3107" s="4" t="str">
        <f t="shared" si="195"/>
        <v>Poor</v>
      </c>
      <c r="X3107" s="4">
        <f>AVERAGE(Table1[Purchase Amount])</f>
        <v>129.48419400000012</v>
      </c>
    </row>
    <row r="3108" spans="1:24" ht="15" customHeight="1" x14ac:dyDescent="0.25">
      <c r="A3108">
        <v>3107</v>
      </c>
      <c r="B3108">
        <v>62</v>
      </c>
      <c r="C3108" t="s">
        <v>16</v>
      </c>
      <c r="D3108" t="s">
        <v>121</v>
      </c>
      <c r="E3108" t="s">
        <v>98</v>
      </c>
      <c r="F3108" s="2">
        <v>57</v>
      </c>
      <c r="G3108" t="s">
        <v>51</v>
      </c>
      <c r="H3108" t="s">
        <v>31</v>
      </c>
      <c r="I3108" t="s">
        <v>52</v>
      </c>
      <c r="J3108" t="s">
        <v>22</v>
      </c>
      <c r="K3108">
        <v>4.7</v>
      </c>
      <c r="L3108" t="s">
        <v>23</v>
      </c>
      <c r="M3108" t="s">
        <v>79</v>
      </c>
      <c r="N3108" t="s">
        <v>23</v>
      </c>
      <c r="O3108">
        <v>20</v>
      </c>
      <c r="P3108" t="s">
        <v>58</v>
      </c>
      <c r="Q3108" t="s">
        <v>49</v>
      </c>
      <c r="R3108" s="1">
        <v>0.1</v>
      </c>
      <c r="S3108">
        <f t="shared" si="192"/>
        <v>51.3</v>
      </c>
      <c r="T3108">
        <f>IFERROR(VLOOKUP(A3108,Table1[[Customer ID]:[Discount Amount]], 6, FALSE),"Not Found")</f>
        <v>57</v>
      </c>
      <c r="U3108" t="str">
        <f t="shared" si="193"/>
        <v>PayPal</v>
      </c>
      <c r="V3108" s="4" t="str">
        <f t="shared" si="194"/>
        <v>Normal</v>
      </c>
      <c r="W3108" s="4" t="str">
        <f t="shared" si="195"/>
        <v>Good</v>
      </c>
      <c r="X3108" s="4">
        <f>AVERAGE(Table1[Purchase Amount])</f>
        <v>129.48419400000012</v>
      </c>
    </row>
    <row r="3109" spans="1:24" ht="15" customHeight="1" x14ac:dyDescent="0.25">
      <c r="A3109">
        <v>3108</v>
      </c>
      <c r="B3109">
        <v>65</v>
      </c>
      <c r="C3109" t="s">
        <v>16</v>
      </c>
      <c r="D3109" t="s">
        <v>118</v>
      </c>
      <c r="E3109" t="s">
        <v>18</v>
      </c>
      <c r="F3109" s="2">
        <v>31</v>
      </c>
      <c r="G3109" t="s">
        <v>135</v>
      </c>
      <c r="H3109" t="s">
        <v>45</v>
      </c>
      <c r="I3109" t="s">
        <v>85</v>
      </c>
      <c r="J3109" t="s">
        <v>22</v>
      </c>
      <c r="K3109">
        <v>4.5999999999999996</v>
      </c>
      <c r="L3109" t="s">
        <v>23</v>
      </c>
      <c r="M3109" t="s">
        <v>24</v>
      </c>
      <c r="N3109" t="s">
        <v>23</v>
      </c>
      <c r="O3109">
        <v>18</v>
      </c>
      <c r="P3109" t="s">
        <v>53</v>
      </c>
      <c r="Q3109" t="s">
        <v>68</v>
      </c>
      <c r="R3109" s="1">
        <v>0.1</v>
      </c>
      <c r="S3109">
        <f t="shared" si="192"/>
        <v>27.9</v>
      </c>
      <c r="T3109">
        <f>IFERROR(VLOOKUP(A3109,Table1[[Customer ID]:[Discount Amount]], 6, FALSE),"Not Found")</f>
        <v>31</v>
      </c>
      <c r="U3109" t="str">
        <f t="shared" si="193"/>
        <v>Credit Card</v>
      </c>
      <c r="V3109" s="4" t="str">
        <f t="shared" si="194"/>
        <v>Normal</v>
      </c>
      <c r="W3109" s="4" t="str">
        <f t="shared" si="195"/>
        <v>Good</v>
      </c>
      <c r="X3109" s="4">
        <f>AVERAGE(Table1[Purchase Amount])</f>
        <v>129.48419400000012</v>
      </c>
    </row>
    <row r="3110" spans="1:24" ht="15" customHeight="1" x14ac:dyDescent="0.25">
      <c r="A3110">
        <v>3109</v>
      </c>
      <c r="B3110">
        <v>50</v>
      </c>
      <c r="C3110" t="s">
        <v>16</v>
      </c>
      <c r="D3110" t="s">
        <v>105</v>
      </c>
      <c r="E3110" t="s">
        <v>18</v>
      </c>
      <c r="F3110" s="2">
        <v>69</v>
      </c>
      <c r="G3110" t="s">
        <v>123</v>
      </c>
      <c r="H3110" t="s">
        <v>31</v>
      </c>
      <c r="I3110" t="s">
        <v>66</v>
      </c>
      <c r="J3110" t="s">
        <v>47</v>
      </c>
      <c r="K3110">
        <v>3.2</v>
      </c>
      <c r="L3110" t="s">
        <v>23</v>
      </c>
      <c r="M3110" t="s">
        <v>41</v>
      </c>
      <c r="N3110" t="s">
        <v>23</v>
      </c>
      <c r="O3110">
        <v>7</v>
      </c>
      <c r="P3110" t="s">
        <v>58</v>
      </c>
      <c r="Q3110" t="s">
        <v>42</v>
      </c>
      <c r="R3110" s="1">
        <v>0.1</v>
      </c>
      <c r="S3110">
        <f t="shared" si="192"/>
        <v>62.1</v>
      </c>
      <c r="T3110">
        <f>IFERROR(VLOOKUP(A3110,Table1[[Customer ID]:[Discount Amount]], 6, FALSE),"Not Found")</f>
        <v>69</v>
      </c>
      <c r="U3110" t="str">
        <f t="shared" si="193"/>
        <v>PayPal</v>
      </c>
      <c r="V3110" s="4" t="str">
        <f t="shared" si="194"/>
        <v>Normal</v>
      </c>
      <c r="W3110" s="4" t="str">
        <f t="shared" si="195"/>
        <v>Good</v>
      </c>
      <c r="X3110" s="4">
        <f>AVERAGE(Table1[Purchase Amount])</f>
        <v>129.48419400000012</v>
      </c>
    </row>
    <row r="3111" spans="1:24" ht="15" customHeight="1" x14ac:dyDescent="0.25">
      <c r="A3111">
        <v>3110</v>
      </c>
      <c r="B3111">
        <v>60</v>
      </c>
      <c r="C3111" t="s">
        <v>16</v>
      </c>
      <c r="D3111" t="s">
        <v>96</v>
      </c>
      <c r="E3111" t="s">
        <v>77</v>
      </c>
      <c r="F3111" s="2">
        <v>92</v>
      </c>
      <c r="G3111" t="s">
        <v>44</v>
      </c>
      <c r="H3111" t="s">
        <v>31</v>
      </c>
      <c r="I3111" t="s">
        <v>85</v>
      </c>
      <c r="J3111" t="s">
        <v>22</v>
      </c>
      <c r="K3111">
        <v>4.3</v>
      </c>
      <c r="L3111" t="s">
        <v>23</v>
      </c>
      <c r="M3111" t="s">
        <v>35</v>
      </c>
      <c r="N3111" t="s">
        <v>23</v>
      </c>
      <c r="O3111">
        <v>47</v>
      </c>
      <c r="P3111" t="s">
        <v>88</v>
      </c>
      <c r="Q3111" t="s">
        <v>89</v>
      </c>
      <c r="R3111" s="1">
        <v>0.1</v>
      </c>
      <c r="S3111">
        <f t="shared" si="192"/>
        <v>82.8</v>
      </c>
      <c r="T3111">
        <f>IFERROR(VLOOKUP(A3111,Table1[[Customer ID]:[Discount Amount]], 6, FALSE),"Not Found")</f>
        <v>92</v>
      </c>
      <c r="U3111" t="str">
        <f t="shared" si="193"/>
        <v>Bank Transfer</v>
      </c>
      <c r="V3111" s="4" t="str">
        <f t="shared" si="194"/>
        <v>Normal</v>
      </c>
      <c r="W3111" s="4" t="str">
        <f t="shared" si="195"/>
        <v>Good</v>
      </c>
      <c r="X3111" s="4">
        <f>AVERAGE(Table1[Purchase Amount])</f>
        <v>129.48419400000012</v>
      </c>
    </row>
    <row r="3112" spans="1:24" ht="15" customHeight="1" x14ac:dyDescent="0.25">
      <c r="A3112">
        <v>3111</v>
      </c>
      <c r="B3112">
        <v>19</v>
      </c>
      <c r="C3112" t="s">
        <v>16</v>
      </c>
      <c r="D3112" t="s">
        <v>69</v>
      </c>
      <c r="E3112" t="s">
        <v>29</v>
      </c>
      <c r="F3112" s="2">
        <v>46</v>
      </c>
      <c r="G3112" t="s">
        <v>152</v>
      </c>
      <c r="H3112" t="s">
        <v>45</v>
      </c>
      <c r="I3112" t="s">
        <v>107</v>
      </c>
      <c r="J3112" t="s">
        <v>47</v>
      </c>
      <c r="K3112">
        <v>4.5999999999999996</v>
      </c>
      <c r="L3112" t="s">
        <v>23</v>
      </c>
      <c r="M3112" t="s">
        <v>79</v>
      </c>
      <c r="N3112" t="s">
        <v>23</v>
      </c>
      <c r="O3112">
        <v>2</v>
      </c>
      <c r="P3112" t="s">
        <v>88</v>
      </c>
      <c r="Q3112" t="s">
        <v>68</v>
      </c>
      <c r="R3112" s="1">
        <v>0.1</v>
      </c>
      <c r="S3112">
        <f t="shared" si="192"/>
        <v>41.4</v>
      </c>
      <c r="T3112">
        <f>IFERROR(VLOOKUP(A3112,Table1[[Customer ID]:[Discount Amount]], 6, FALSE),"Not Found")</f>
        <v>46</v>
      </c>
      <c r="U3112" t="str">
        <f t="shared" si="193"/>
        <v>Bank Transfer</v>
      </c>
      <c r="V3112" s="4" t="str">
        <f t="shared" si="194"/>
        <v>Normal</v>
      </c>
      <c r="W3112" s="4" t="str">
        <f t="shared" si="195"/>
        <v>Good</v>
      </c>
      <c r="X3112" s="4">
        <f>AVERAGE(Table1[Purchase Amount])</f>
        <v>129.48419400000012</v>
      </c>
    </row>
    <row r="3113" spans="1:24" ht="15" customHeight="1" x14ac:dyDescent="0.25">
      <c r="A3113">
        <v>3112</v>
      </c>
      <c r="B3113">
        <v>21</v>
      </c>
      <c r="C3113" t="s">
        <v>16</v>
      </c>
      <c r="D3113" t="s">
        <v>114</v>
      </c>
      <c r="E3113" t="s">
        <v>29</v>
      </c>
      <c r="F3113" s="2">
        <v>81</v>
      </c>
      <c r="G3113" t="s">
        <v>124</v>
      </c>
      <c r="H3113" t="s">
        <v>20</v>
      </c>
      <c r="I3113" t="s">
        <v>91</v>
      </c>
      <c r="J3113" t="s">
        <v>33</v>
      </c>
      <c r="K3113">
        <v>4.9000000000000004</v>
      </c>
      <c r="L3113" t="s">
        <v>23</v>
      </c>
      <c r="M3113" t="s">
        <v>35</v>
      </c>
      <c r="N3113" t="s">
        <v>23</v>
      </c>
      <c r="O3113">
        <v>25</v>
      </c>
      <c r="P3113" t="s">
        <v>36</v>
      </c>
      <c r="Q3113" t="s">
        <v>37</v>
      </c>
      <c r="R3113" s="1">
        <v>0.1</v>
      </c>
      <c r="S3113">
        <f t="shared" si="192"/>
        <v>72.900000000000006</v>
      </c>
      <c r="T3113">
        <f>IFERROR(VLOOKUP(A3113,Table1[[Customer ID]:[Discount Amount]], 6, FALSE),"Not Found")</f>
        <v>81</v>
      </c>
      <c r="U3113" t="str">
        <f t="shared" si="193"/>
        <v>Debit Card</v>
      </c>
      <c r="V3113" s="4" t="str">
        <f t="shared" si="194"/>
        <v>Normal</v>
      </c>
      <c r="W3113" s="4" t="str">
        <f t="shared" si="195"/>
        <v>Good</v>
      </c>
      <c r="X3113" s="4">
        <f>AVERAGE(Table1[Purchase Amount])</f>
        <v>129.48419400000012</v>
      </c>
    </row>
    <row r="3114" spans="1:24" ht="15" customHeight="1" x14ac:dyDescent="0.25">
      <c r="A3114">
        <v>3113</v>
      </c>
      <c r="B3114">
        <v>19</v>
      </c>
      <c r="C3114" t="s">
        <v>16</v>
      </c>
      <c r="D3114" t="s">
        <v>118</v>
      </c>
      <c r="E3114" t="s">
        <v>18</v>
      </c>
      <c r="F3114" s="2">
        <v>97</v>
      </c>
      <c r="G3114" t="s">
        <v>152</v>
      </c>
      <c r="H3114" t="s">
        <v>55</v>
      </c>
      <c r="I3114" t="s">
        <v>93</v>
      </c>
      <c r="J3114" t="s">
        <v>47</v>
      </c>
      <c r="K3114">
        <v>3.8</v>
      </c>
      <c r="L3114" t="s">
        <v>23</v>
      </c>
      <c r="M3114" t="s">
        <v>61</v>
      </c>
      <c r="N3114" t="s">
        <v>23</v>
      </c>
      <c r="O3114">
        <v>26</v>
      </c>
      <c r="P3114" t="s">
        <v>62</v>
      </c>
      <c r="Q3114" t="s">
        <v>49</v>
      </c>
      <c r="R3114" s="1">
        <v>0.1</v>
      </c>
      <c r="S3114">
        <f t="shared" si="192"/>
        <v>87.3</v>
      </c>
      <c r="T3114">
        <f>IFERROR(VLOOKUP(A3114,Table1[[Customer ID]:[Discount Amount]], 6, FALSE),"Not Found")</f>
        <v>97</v>
      </c>
      <c r="U3114" t="str">
        <f t="shared" si="193"/>
        <v>Venmo</v>
      </c>
      <c r="V3114" s="4" t="str">
        <f t="shared" si="194"/>
        <v>Normal</v>
      </c>
      <c r="W3114" s="4" t="str">
        <f t="shared" si="195"/>
        <v>Good</v>
      </c>
      <c r="X3114" s="4">
        <f>AVERAGE(Table1[Purchase Amount])</f>
        <v>129.48419400000012</v>
      </c>
    </row>
    <row r="3115" spans="1:24" ht="15" customHeight="1" x14ac:dyDescent="0.25">
      <c r="A3115">
        <v>3114</v>
      </c>
      <c r="B3115">
        <v>46</v>
      </c>
      <c r="C3115" t="s">
        <v>16</v>
      </c>
      <c r="D3115" t="s">
        <v>38</v>
      </c>
      <c r="E3115" t="s">
        <v>18</v>
      </c>
      <c r="F3115" s="2">
        <v>93</v>
      </c>
      <c r="G3115" t="s">
        <v>137</v>
      </c>
      <c r="H3115" t="s">
        <v>45</v>
      </c>
      <c r="I3115" t="s">
        <v>93</v>
      </c>
      <c r="J3115" t="s">
        <v>57</v>
      </c>
      <c r="K3115">
        <v>2.6</v>
      </c>
      <c r="L3115" t="s">
        <v>23</v>
      </c>
      <c r="M3115" t="s">
        <v>61</v>
      </c>
      <c r="N3115" t="s">
        <v>23</v>
      </c>
      <c r="O3115">
        <v>2</v>
      </c>
      <c r="P3115" t="s">
        <v>36</v>
      </c>
      <c r="Q3115" t="s">
        <v>26</v>
      </c>
      <c r="R3115" s="1">
        <v>0.1</v>
      </c>
      <c r="S3115">
        <f t="shared" si="192"/>
        <v>83.7</v>
      </c>
      <c r="T3115">
        <f>IFERROR(VLOOKUP(A3115,Table1[[Customer ID]:[Discount Amount]], 6, FALSE),"Not Found")</f>
        <v>93</v>
      </c>
      <c r="U3115" t="str">
        <f t="shared" si="193"/>
        <v>Debit Card</v>
      </c>
      <c r="V3115" s="4" t="str">
        <f t="shared" si="194"/>
        <v>Normal</v>
      </c>
      <c r="W3115" s="4" t="str">
        <f t="shared" si="195"/>
        <v>Poor</v>
      </c>
      <c r="X3115" s="4">
        <f>AVERAGE(Table1[Purchase Amount])</f>
        <v>129.48419400000012</v>
      </c>
    </row>
    <row r="3116" spans="1:24" ht="15" customHeight="1" x14ac:dyDescent="0.25">
      <c r="A3116">
        <v>3115</v>
      </c>
      <c r="B3116">
        <v>21</v>
      </c>
      <c r="C3116" t="s">
        <v>16</v>
      </c>
      <c r="D3116" t="s">
        <v>69</v>
      </c>
      <c r="E3116" t="s">
        <v>29</v>
      </c>
      <c r="F3116" s="2">
        <v>56</v>
      </c>
      <c r="G3116" t="s">
        <v>100</v>
      </c>
      <c r="H3116" t="s">
        <v>31</v>
      </c>
      <c r="I3116" t="s">
        <v>21</v>
      </c>
      <c r="J3116" t="s">
        <v>33</v>
      </c>
      <c r="K3116">
        <v>4.7</v>
      </c>
      <c r="L3116" t="s">
        <v>23</v>
      </c>
      <c r="M3116" t="s">
        <v>48</v>
      </c>
      <c r="N3116" t="s">
        <v>23</v>
      </c>
      <c r="O3116">
        <v>45</v>
      </c>
      <c r="P3116" t="s">
        <v>62</v>
      </c>
      <c r="Q3116" t="s">
        <v>68</v>
      </c>
      <c r="R3116" s="1">
        <v>0.1</v>
      </c>
      <c r="S3116">
        <f t="shared" si="192"/>
        <v>50.4</v>
      </c>
      <c r="T3116">
        <f>IFERROR(VLOOKUP(A3116,Table1[[Customer ID]:[Discount Amount]], 6, FALSE),"Not Found")</f>
        <v>56</v>
      </c>
      <c r="U3116" t="str">
        <f t="shared" si="193"/>
        <v>Venmo</v>
      </c>
      <c r="V3116" s="4" t="str">
        <f t="shared" si="194"/>
        <v>Normal</v>
      </c>
      <c r="W3116" s="4" t="str">
        <f t="shared" si="195"/>
        <v>Good</v>
      </c>
      <c r="X3116" s="4">
        <f>AVERAGE(Table1[Purchase Amount])</f>
        <v>129.48419400000012</v>
      </c>
    </row>
    <row r="3117" spans="1:24" ht="15" customHeight="1" x14ac:dyDescent="0.25">
      <c r="A3117">
        <v>3116</v>
      </c>
      <c r="B3117">
        <v>26</v>
      </c>
      <c r="C3117" t="s">
        <v>16</v>
      </c>
      <c r="D3117" t="s">
        <v>129</v>
      </c>
      <c r="E3117" t="s">
        <v>29</v>
      </c>
      <c r="F3117" s="2">
        <v>53</v>
      </c>
      <c r="G3117" t="s">
        <v>130</v>
      </c>
      <c r="H3117" t="s">
        <v>31</v>
      </c>
      <c r="I3117" t="s">
        <v>103</v>
      </c>
      <c r="J3117" t="s">
        <v>47</v>
      </c>
      <c r="K3117">
        <v>4.0999999999999996</v>
      </c>
      <c r="L3117" t="s">
        <v>23</v>
      </c>
      <c r="M3117" t="s">
        <v>35</v>
      </c>
      <c r="N3117" t="s">
        <v>23</v>
      </c>
      <c r="O3117">
        <v>9</v>
      </c>
      <c r="P3117" t="s">
        <v>88</v>
      </c>
      <c r="Q3117" t="s">
        <v>68</v>
      </c>
      <c r="R3117" s="1">
        <v>0.1</v>
      </c>
      <c r="S3117">
        <f t="shared" si="192"/>
        <v>47.7</v>
      </c>
      <c r="T3117">
        <f>IFERROR(VLOOKUP(A3117,Table1[[Customer ID]:[Discount Amount]], 6, FALSE),"Not Found")</f>
        <v>53</v>
      </c>
      <c r="U3117" t="str">
        <f t="shared" si="193"/>
        <v>Bank Transfer</v>
      </c>
      <c r="V3117" s="4" t="str">
        <f t="shared" si="194"/>
        <v>Normal</v>
      </c>
      <c r="W3117" s="4" t="str">
        <f t="shared" si="195"/>
        <v>Good</v>
      </c>
      <c r="X3117" s="4">
        <f>AVERAGE(Table1[Purchase Amount])</f>
        <v>129.48419400000012</v>
      </c>
    </row>
    <row r="3118" spans="1:24" ht="15" customHeight="1" x14ac:dyDescent="0.25">
      <c r="A3118">
        <v>3117</v>
      </c>
      <c r="B3118">
        <v>50</v>
      </c>
      <c r="C3118" t="s">
        <v>16</v>
      </c>
      <c r="D3118" t="s">
        <v>76</v>
      </c>
      <c r="E3118" t="s">
        <v>77</v>
      </c>
      <c r="F3118" s="2">
        <v>66</v>
      </c>
      <c r="G3118" t="s">
        <v>39</v>
      </c>
      <c r="H3118" t="s">
        <v>45</v>
      </c>
      <c r="I3118" t="s">
        <v>85</v>
      </c>
      <c r="J3118" t="s">
        <v>33</v>
      </c>
      <c r="K3118">
        <v>3.7</v>
      </c>
      <c r="L3118" t="s">
        <v>23</v>
      </c>
      <c r="M3118" t="s">
        <v>48</v>
      </c>
      <c r="N3118" t="s">
        <v>23</v>
      </c>
      <c r="O3118">
        <v>1</v>
      </c>
      <c r="P3118" t="s">
        <v>62</v>
      </c>
      <c r="Q3118" t="s">
        <v>26</v>
      </c>
      <c r="R3118" s="1">
        <v>0.1</v>
      </c>
      <c r="S3118">
        <f t="shared" si="192"/>
        <v>59.4</v>
      </c>
      <c r="T3118">
        <f>IFERROR(VLOOKUP(A3118,Table1[[Customer ID]:[Discount Amount]], 6, FALSE),"Not Found")</f>
        <v>66</v>
      </c>
      <c r="U3118" t="str">
        <f t="shared" si="193"/>
        <v>Venmo</v>
      </c>
      <c r="V3118" s="4" t="str">
        <f t="shared" si="194"/>
        <v>Normal</v>
      </c>
      <c r="W3118" s="4" t="str">
        <f t="shared" si="195"/>
        <v>Good</v>
      </c>
      <c r="X3118" s="4">
        <f>AVERAGE(Table1[Purchase Amount])</f>
        <v>129.48419400000012</v>
      </c>
    </row>
    <row r="3119" spans="1:24" ht="15" customHeight="1" x14ac:dyDescent="0.25">
      <c r="A3119">
        <v>3118</v>
      </c>
      <c r="B3119">
        <v>43</v>
      </c>
      <c r="C3119" t="s">
        <v>16</v>
      </c>
      <c r="D3119" t="s">
        <v>83</v>
      </c>
      <c r="E3119" t="s">
        <v>18</v>
      </c>
      <c r="F3119" s="2">
        <v>50</v>
      </c>
      <c r="G3119" t="s">
        <v>67</v>
      </c>
      <c r="H3119" t="s">
        <v>31</v>
      </c>
      <c r="I3119" t="s">
        <v>21</v>
      </c>
      <c r="J3119" t="s">
        <v>47</v>
      </c>
      <c r="K3119">
        <v>3</v>
      </c>
      <c r="L3119" t="s">
        <v>23</v>
      </c>
      <c r="M3119" t="s">
        <v>35</v>
      </c>
      <c r="N3119" t="s">
        <v>23</v>
      </c>
      <c r="O3119">
        <v>4</v>
      </c>
      <c r="P3119" t="s">
        <v>58</v>
      </c>
      <c r="Q3119" t="s">
        <v>68</v>
      </c>
      <c r="R3119" s="1">
        <v>0.1</v>
      </c>
      <c r="S3119">
        <f t="shared" si="192"/>
        <v>45</v>
      </c>
      <c r="T3119">
        <f>IFERROR(VLOOKUP(A3119,Table1[[Customer ID]:[Discount Amount]], 6, FALSE),"Not Found")</f>
        <v>50</v>
      </c>
      <c r="U3119" t="str">
        <f t="shared" si="193"/>
        <v>PayPal</v>
      </c>
      <c r="V3119" s="4" t="str">
        <f t="shared" si="194"/>
        <v>Normal</v>
      </c>
      <c r="W3119" s="4" t="str">
        <f t="shared" si="195"/>
        <v>Good</v>
      </c>
      <c r="X3119" s="4">
        <f>AVERAGE(Table1[Purchase Amount])</f>
        <v>129.48419400000012</v>
      </c>
    </row>
    <row r="3120" spans="1:24" ht="15" customHeight="1" x14ac:dyDescent="0.25">
      <c r="A3120">
        <v>3119</v>
      </c>
      <c r="B3120">
        <v>61</v>
      </c>
      <c r="C3120" t="s">
        <v>16</v>
      </c>
      <c r="D3120" t="s">
        <v>54</v>
      </c>
      <c r="E3120" t="s">
        <v>18</v>
      </c>
      <c r="F3120" s="2">
        <v>97</v>
      </c>
      <c r="G3120" t="s">
        <v>138</v>
      </c>
      <c r="H3120" t="s">
        <v>45</v>
      </c>
      <c r="I3120" t="s">
        <v>74</v>
      </c>
      <c r="J3120" t="s">
        <v>57</v>
      </c>
      <c r="K3120">
        <v>4.7</v>
      </c>
      <c r="L3120" t="s">
        <v>23</v>
      </c>
      <c r="M3120" t="s">
        <v>24</v>
      </c>
      <c r="N3120" t="s">
        <v>23</v>
      </c>
      <c r="O3120">
        <v>31</v>
      </c>
      <c r="P3120" t="s">
        <v>36</v>
      </c>
      <c r="Q3120" t="s">
        <v>37</v>
      </c>
      <c r="R3120" s="1">
        <v>0.1</v>
      </c>
      <c r="S3120">
        <f t="shared" si="192"/>
        <v>87.3</v>
      </c>
      <c r="T3120">
        <f>IFERROR(VLOOKUP(A3120,Table1[[Customer ID]:[Discount Amount]], 6, FALSE),"Not Found")</f>
        <v>97</v>
      </c>
      <c r="U3120" t="str">
        <f t="shared" si="193"/>
        <v>Debit Card</v>
      </c>
      <c r="V3120" s="4" t="str">
        <f t="shared" si="194"/>
        <v>Normal</v>
      </c>
      <c r="W3120" s="4" t="str">
        <f t="shared" si="195"/>
        <v>Good</v>
      </c>
      <c r="X3120" s="4">
        <f>AVERAGE(Table1[Purchase Amount])</f>
        <v>129.48419400000012</v>
      </c>
    </row>
    <row r="3121" spans="1:24" ht="15" customHeight="1" x14ac:dyDescent="0.25">
      <c r="A3121">
        <v>3120</v>
      </c>
      <c r="B3121">
        <v>63</v>
      </c>
      <c r="C3121" t="s">
        <v>16</v>
      </c>
      <c r="D3121" t="s">
        <v>121</v>
      </c>
      <c r="E3121" t="s">
        <v>98</v>
      </c>
      <c r="F3121" s="2">
        <v>79</v>
      </c>
      <c r="G3121" t="s">
        <v>119</v>
      </c>
      <c r="H3121" t="s">
        <v>20</v>
      </c>
      <c r="I3121" t="s">
        <v>153</v>
      </c>
      <c r="J3121" t="s">
        <v>22</v>
      </c>
      <c r="K3121">
        <v>4.7</v>
      </c>
      <c r="L3121" t="s">
        <v>23</v>
      </c>
      <c r="M3121" t="s">
        <v>41</v>
      </c>
      <c r="N3121" t="s">
        <v>23</v>
      </c>
      <c r="O3121">
        <v>21</v>
      </c>
      <c r="P3121" t="s">
        <v>53</v>
      </c>
      <c r="Q3121" t="s">
        <v>63</v>
      </c>
      <c r="R3121" s="1">
        <v>0.1</v>
      </c>
      <c r="S3121">
        <f t="shared" si="192"/>
        <v>71.099999999999994</v>
      </c>
      <c r="T3121">
        <f>IFERROR(VLOOKUP(A3121,Table1[[Customer ID]:[Discount Amount]], 6, FALSE),"Not Found")</f>
        <v>79</v>
      </c>
      <c r="U3121" t="str">
        <f t="shared" si="193"/>
        <v>Credit Card</v>
      </c>
      <c r="V3121" s="4" t="str">
        <f t="shared" si="194"/>
        <v>Normal</v>
      </c>
      <c r="W3121" s="4" t="str">
        <f t="shared" si="195"/>
        <v>Good</v>
      </c>
      <c r="X3121" s="4">
        <f>AVERAGE(Table1[Purchase Amount])</f>
        <v>129.48419400000012</v>
      </c>
    </row>
    <row r="3122" spans="1:24" ht="15" customHeight="1" x14ac:dyDescent="0.25">
      <c r="A3122">
        <v>3121</v>
      </c>
      <c r="B3122">
        <v>46</v>
      </c>
      <c r="C3122" t="s">
        <v>16</v>
      </c>
      <c r="D3122" t="s">
        <v>38</v>
      </c>
      <c r="E3122" t="s">
        <v>18</v>
      </c>
      <c r="F3122" s="2">
        <v>76</v>
      </c>
      <c r="G3122" t="s">
        <v>119</v>
      </c>
      <c r="H3122" t="s">
        <v>31</v>
      </c>
      <c r="I3122" t="s">
        <v>87</v>
      </c>
      <c r="J3122" t="s">
        <v>47</v>
      </c>
      <c r="K3122">
        <v>4</v>
      </c>
      <c r="L3122" t="s">
        <v>23</v>
      </c>
      <c r="M3122" t="s">
        <v>48</v>
      </c>
      <c r="N3122" t="s">
        <v>23</v>
      </c>
      <c r="O3122">
        <v>32</v>
      </c>
      <c r="P3122" t="s">
        <v>36</v>
      </c>
      <c r="Q3122" t="s">
        <v>89</v>
      </c>
      <c r="R3122" s="1">
        <v>0.1</v>
      </c>
      <c r="S3122">
        <f t="shared" si="192"/>
        <v>68.400000000000006</v>
      </c>
      <c r="T3122">
        <f>IFERROR(VLOOKUP(A3122,Table1[[Customer ID]:[Discount Amount]], 6, FALSE),"Not Found")</f>
        <v>76</v>
      </c>
      <c r="U3122" t="str">
        <f t="shared" si="193"/>
        <v>Debit Card</v>
      </c>
      <c r="V3122" s="4" t="str">
        <f t="shared" si="194"/>
        <v>Normal</v>
      </c>
      <c r="W3122" s="4" t="str">
        <f t="shared" si="195"/>
        <v>Good</v>
      </c>
      <c r="X3122" s="4">
        <f>AVERAGE(Table1[Purchase Amount])</f>
        <v>129.48419400000012</v>
      </c>
    </row>
    <row r="3123" spans="1:24" ht="15" customHeight="1" x14ac:dyDescent="0.25">
      <c r="A3123">
        <v>3122</v>
      </c>
      <c r="B3123">
        <v>63</v>
      </c>
      <c r="C3123" t="s">
        <v>16</v>
      </c>
      <c r="D3123" t="s">
        <v>83</v>
      </c>
      <c r="E3123" t="s">
        <v>18</v>
      </c>
      <c r="F3123" s="2">
        <v>38</v>
      </c>
      <c r="G3123" t="s">
        <v>119</v>
      </c>
      <c r="H3123" t="s">
        <v>45</v>
      </c>
      <c r="I3123" t="s">
        <v>40</v>
      </c>
      <c r="J3123" t="s">
        <v>47</v>
      </c>
      <c r="K3123">
        <v>2.6</v>
      </c>
      <c r="L3123" t="s">
        <v>23</v>
      </c>
      <c r="M3123" t="s">
        <v>24</v>
      </c>
      <c r="N3123" t="s">
        <v>23</v>
      </c>
      <c r="O3123">
        <v>16</v>
      </c>
      <c r="P3123" t="s">
        <v>62</v>
      </c>
      <c r="Q3123" t="s">
        <v>26</v>
      </c>
      <c r="R3123" s="1">
        <v>0.1</v>
      </c>
      <c r="S3123">
        <f t="shared" si="192"/>
        <v>34.200000000000003</v>
      </c>
      <c r="T3123">
        <f>IFERROR(VLOOKUP(A3123,Table1[[Customer ID]:[Discount Amount]], 6, FALSE),"Not Found")</f>
        <v>38</v>
      </c>
      <c r="U3123" t="str">
        <f t="shared" si="193"/>
        <v>Venmo</v>
      </c>
      <c r="V3123" s="4" t="str">
        <f t="shared" si="194"/>
        <v>Normal</v>
      </c>
      <c r="W3123" s="4" t="str">
        <f t="shared" si="195"/>
        <v>Poor</v>
      </c>
      <c r="X3123" s="4">
        <f>AVERAGE(Table1[Purchase Amount])</f>
        <v>129.48419400000012</v>
      </c>
    </row>
    <row r="3124" spans="1:24" ht="15" customHeight="1" x14ac:dyDescent="0.25">
      <c r="A3124">
        <v>3123</v>
      </c>
      <c r="B3124">
        <v>23</v>
      </c>
      <c r="C3124" t="s">
        <v>16</v>
      </c>
      <c r="D3124" t="s">
        <v>105</v>
      </c>
      <c r="E3124" t="s">
        <v>18</v>
      </c>
      <c r="F3124" s="2">
        <v>45</v>
      </c>
      <c r="G3124" t="s">
        <v>160</v>
      </c>
      <c r="H3124" t="s">
        <v>31</v>
      </c>
      <c r="I3124" t="s">
        <v>136</v>
      </c>
      <c r="J3124" t="s">
        <v>47</v>
      </c>
      <c r="K3124">
        <v>3</v>
      </c>
      <c r="L3124" t="s">
        <v>23</v>
      </c>
      <c r="M3124" t="s">
        <v>61</v>
      </c>
      <c r="N3124" t="s">
        <v>23</v>
      </c>
      <c r="O3124">
        <v>34</v>
      </c>
      <c r="P3124" t="s">
        <v>53</v>
      </c>
      <c r="Q3124" t="s">
        <v>89</v>
      </c>
      <c r="R3124" s="1">
        <v>0.1</v>
      </c>
      <c r="S3124">
        <f t="shared" si="192"/>
        <v>40.5</v>
      </c>
      <c r="T3124">
        <f>IFERROR(VLOOKUP(A3124,Table1[[Customer ID]:[Discount Amount]], 6, FALSE),"Not Found")</f>
        <v>45</v>
      </c>
      <c r="U3124" t="str">
        <f t="shared" si="193"/>
        <v>Credit Card</v>
      </c>
      <c r="V3124" s="4" t="str">
        <f t="shared" si="194"/>
        <v>Normal</v>
      </c>
      <c r="W3124" s="4" t="str">
        <f t="shared" si="195"/>
        <v>Good</v>
      </c>
      <c r="X3124" s="4">
        <f>AVERAGE(Table1[Purchase Amount])</f>
        <v>129.48419400000012</v>
      </c>
    </row>
    <row r="3125" spans="1:24" ht="15" customHeight="1" x14ac:dyDescent="0.25">
      <c r="A3125">
        <v>3124</v>
      </c>
      <c r="B3125">
        <v>57</v>
      </c>
      <c r="C3125" t="s">
        <v>16</v>
      </c>
      <c r="D3125" t="s">
        <v>69</v>
      </c>
      <c r="E3125" t="s">
        <v>29</v>
      </c>
      <c r="F3125" s="2">
        <v>77</v>
      </c>
      <c r="G3125" t="s">
        <v>141</v>
      </c>
      <c r="H3125" t="s">
        <v>20</v>
      </c>
      <c r="I3125" t="s">
        <v>46</v>
      </c>
      <c r="J3125" t="s">
        <v>47</v>
      </c>
      <c r="K3125">
        <v>3.3</v>
      </c>
      <c r="L3125" t="s">
        <v>23</v>
      </c>
      <c r="M3125" t="s">
        <v>79</v>
      </c>
      <c r="N3125" t="s">
        <v>23</v>
      </c>
      <c r="O3125">
        <v>40</v>
      </c>
      <c r="P3125" t="s">
        <v>62</v>
      </c>
      <c r="Q3125" t="s">
        <v>68</v>
      </c>
      <c r="R3125" s="1">
        <v>0.1</v>
      </c>
      <c r="S3125">
        <f t="shared" si="192"/>
        <v>69.3</v>
      </c>
      <c r="T3125">
        <f>IFERROR(VLOOKUP(A3125,Table1[[Customer ID]:[Discount Amount]], 6, FALSE),"Not Found")</f>
        <v>77</v>
      </c>
      <c r="U3125" t="str">
        <f t="shared" si="193"/>
        <v>Venmo</v>
      </c>
      <c r="V3125" s="4" t="str">
        <f t="shared" si="194"/>
        <v>Normal</v>
      </c>
      <c r="W3125" s="4" t="str">
        <f t="shared" si="195"/>
        <v>Good</v>
      </c>
      <c r="X3125" s="4">
        <f>AVERAGE(Table1[Purchase Amount])</f>
        <v>129.48419400000012</v>
      </c>
    </row>
    <row r="3126" spans="1:24" ht="15" customHeight="1" x14ac:dyDescent="0.25">
      <c r="A3126">
        <v>3125</v>
      </c>
      <c r="B3126">
        <v>57</v>
      </c>
      <c r="C3126" t="s">
        <v>16</v>
      </c>
      <c r="D3126" t="s">
        <v>50</v>
      </c>
      <c r="E3126" t="s">
        <v>29</v>
      </c>
      <c r="F3126" s="2">
        <v>51</v>
      </c>
      <c r="G3126" t="s">
        <v>19</v>
      </c>
      <c r="H3126" t="s">
        <v>31</v>
      </c>
      <c r="I3126" t="s">
        <v>145</v>
      </c>
      <c r="J3126" t="s">
        <v>57</v>
      </c>
      <c r="K3126">
        <v>3.4</v>
      </c>
      <c r="L3126" t="s">
        <v>23</v>
      </c>
      <c r="M3126" t="s">
        <v>24</v>
      </c>
      <c r="N3126" t="s">
        <v>23</v>
      </c>
      <c r="O3126">
        <v>4</v>
      </c>
      <c r="P3126" t="s">
        <v>25</v>
      </c>
      <c r="Q3126" t="s">
        <v>63</v>
      </c>
      <c r="R3126" s="1">
        <v>0.1</v>
      </c>
      <c r="S3126">
        <f t="shared" si="192"/>
        <v>45.9</v>
      </c>
      <c r="T3126">
        <f>IFERROR(VLOOKUP(A3126,Table1[[Customer ID]:[Discount Amount]], 6, FALSE),"Not Found")</f>
        <v>51</v>
      </c>
      <c r="U3126" t="str">
        <f t="shared" si="193"/>
        <v>Cash</v>
      </c>
      <c r="V3126" s="4" t="str">
        <f t="shared" si="194"/>
        <v>Normal</v>
      </c>
      <c r="W3126" s="4" t="str">
        <f t="shared" si="195"/>
        <v>Good</v>
      </c>
      <c r="X3126" s="4">
        <f>AVERAGE(Table1[Purchase Amount])</f>
        <v>129.48419400000012</v>
      </c>
    </row>
    <row r="3127" spans="1:24" ht="15" customHeight="1" x14ac:dyDescent="0.25">
      <c r="A3127">
        <v>3126</v>
      </c>
      <c r="B3127">
        <v>33</v>
      </c>
      <c r="C3127" t="s">
        <v>16</v>
      </c>
      <c r="D3127" t="s">
        <v>76</v>
      </c>
      <c r="E3127" t="s">
        <v>77</v>
      </c>
      <c r="F3127" s="2">
        <v>26</v>
      </c>
      <c r="G3127" t="s">
        <v>123</v>
      </c>
      <c r="H3127" t="s">
        <v>45</v>
      </c>
      <c r="I3127" t="s">
        <v>107</v>
      </c>
      <c r="J3127" t="s">
        <v>33</v>
      </c>
      <c r="K3127">
        <v>4</v>
      </c>
      <c r="L3127" t="s">
        <v>23</v>
      </c>
      <c r="M3127" t="s">
        <v>24</v>
      </c>
      <c r="N3127" t="s">
        <v>23</v>
      </c>
      <c r="O3127">
        <v>3</v>
      </c>
      <c r="P3127" t="s">
        <v>25</v>
      </c>
      <c r="Q3127" t="s">
        <v>37</v>
      </c>
      <c r="R3127" s="1">
        <v>0.1</v>
      </c>
      <c r="S3127">
        <f t="shared" si="192"/>
        <v>23.4</v>
      </c>
      <c r="T3127">
        <f>IFERROR(VLOOKUP(A3127,Table1[[Customer ID]:[Discount Amount]], 6, FALSE),"Not Found")</f>
        <v>26</v>
      </c>
      <c r="U3127" t="str">
        <f t="shared" si="193"/>
        <v>Cash</v>
      </c>
      <c r="V3127" s="4" t="str">
        <f t="shared" si="194"/>
        <v>Normal</v>
      </c>
      <c r="W3127" s="4" t="str">
        <f t="shared" si="195"/>
        <v>Good</v>
      </c>
      <c r="X3127" s="4">
        <f>AVERAGE(Table1[Purchase Amount])</f>
        <v>129.48419400000012</v>
      </c>
    </row>
    <row r="3128" spans="1:24" ht="15" customHeight="1" x14ac:dyDescent="0.25">
      <c r="A3128">
        <v>3127</v>
      </c>
      <c r="B3128">
        <v>57</v>
      </c>
      <c r="C3128" t="s">
        <v>16</v>
      </c>
      <c r="D3128" t="s">
        <v>28</v>
      </c>
      <c r="E3128" t="s">
        <v>29</v>
      </c>
      <c r="F3128" s="2">
        <v>76</v>
      </c>
      <c r="G3128" t="s">
        <v>94</v>
      </c>
      <c r="H3128" t="s">
        <v>45</v>
      </c>
      <c r="I3128" t="s">
        <v>107</v>
      </c>
      <c r="J3128" t="s">
        <v>22</v>
      </c>
      <c r="K3128">
        <v>2.6</v>
      </c>
      <c r="L3128" t="s">
        <v>23</v>
      </c>
      <c r="M3128" t="s">
        <v>48</v>
      </c>
      <c r="N3128" t="s">
        <v>23</v>
      </c>
      <c r="O3128">
        <v>28</v>
      </c>
      <c r="P3128" t="s">
        <v>88</v>
      </c>
      <c r="Q3128" t="s">
        <v>68</v>
      </c>
      <c r="R3128" s="1">
        <v>0.1</v>
      </c>
      <c r="S3128">
        <f t="shared" si="192"/>
        <v>68.400000000000006</v>
      </c>
      <c r="T3128">
        <f>IFERROR(VLOOKUP(A3128,Table1[[Customer ID]:[Discount Amount]], 6, FALSE),"Not Found")</f>
        <v>76</v>
      </c>
      <c r="U3128" t="str">
        <f t="shared" si="193"/>
        <v>Bank Transfer</v>
      </c>
      <c r="V3128" s="4" t="str">
        <f t="shared" si="194"/>
        <v>Normal</v>
      </c>
      <c r="W3128" s="4" t="str">
        <f t="shared" si="195"/>
        <v>Poor</v>
      </c>
      <c r="X3128" s="4">
        <f>AVERAGE(Table1[Purchase Amount])</f>
        <v>129.48419400000012</v>
      </c>
    </row>
    <row r="3129" spans="1:24" ht="15" customHeight="1" x14ac:dyDescent="0.25">
      <c r="A3129">
        <v>3128</v>
      </c>
      <c r="B3129">
        <v>55</v>
      </c>
      <c r="C3129" t="s">
        <v>16</v>
      </c>
      <c r="D3129" t="s">
        <v>43</v>
      </c>
      <c r="E3129" t="s">
        <v>29</v>
      </c>
      <c r="F3129" s="2">
        <v>94</v>
      </c>
      <c r="G3129" t="s">
        <v>119</v>
      </c>
      <c r="H3129" t="s">
        <v>31</v>
      </c>
      <c r="I3129" t="s">
        <v>56</v>
      </c>
      <c r="J3129" t="s">
        <v>22</v>
      </c>
      <c r="K3129">
        <v>3.4</v>
      </c>
      <c r="L3129" t="s">
        <v>23</v>
      </c>
      <c r="M3129" t="s">
        <v>35</v>
      </c>
      <c r="N3129" t="s">
        <v>23</v>
      </c>
      <c r="O3129">
        <v>43</v>
      </c>
      <c r="P3129" t="s">
        <v>53</v>
      </c>
      <c r="Q3129" t="s">
        <v>63</v>
      </c>
      <c r="R3129" s="1">
        <v>0.1</v>
      </c>
      <c r="S3129">
        <f t="shared" si="192"/>
        <v>84.6</v>
      </c>
      <c r="T3129">
        <f>IFERROR(VLOOKUP(A3129,Table1[[Customer ID]:[Discount Amount]], 6, FALSE),"Not Found")</f>
        <v>94</v>
      </c>
      <c r="U3129" t="str">
        <f t="shared" si="193"/>
        <v>Credit Card</v>
      </c>
      <c r="V3129" s="4" t="str">
        <f t="shared" si="194"/>
        <v>Normal</v>
      </c>
      <c r="W3129" s="4" t="str">
        <f t="shared" si="195"/>
        <v>Good</v>
      </c>
      <c r="X3129" s="4">
        <f>AVERAGE(Table1[Purchase Amount])</f>
        <v>129.48419400000012</v>
      </c>
    </row>
    <row r="3130" spans="1:24" ht="15" customHeight="1" x14ac:dyDescent="0.25">
      <c r="A3130">
        <v>3129</v>
      </c>
      <c r="B3130">
        <v>65</v>
      </c>
      <c r="C3130" t="s">
        <v>16</v>
      </c>
      <c r="D3130" t="s">
        <v>96</v>
      </c>
      <c r="E3130" t="s">
        <v>77</v>
      </c>
      <c r="F3130" s="2">
        <v>32</v>
      </c>
      <c r="G3130" t="s">
        <v>100</v>
      </c>
      <c r="H3130" t="s">
        <v>55</v>
      </c>
      <c r="I3130" t="s">
        <v>91</v>
      </c>
      <c r="J3130" t="s">
        <v>47</v>
      </c>
      <c r="K3130">
        <v>4.4000000000000004</v>
      </c>
      <c r="L3130" t="s">
        <v>23</v>
      </c>
      <c r="M3130" t="s">
        <v>24</v>
      </c>
      <c r="N3130" t="s">
        <v>23</v>
      </c>
      <c r="O3130">
        <v>20</v>
      </c>
      <c r="P3130" t="s">
        <v>25</v>
      </c>
      <c r="Q3130" t="s">
        <v>49</v>
      </c>
      <c r="R3130" s="1">
        <v>0.1</v>
      </c>
      <c r="S3130">
        <f t="shared" si="192"/>
        <v>28.8</v>
      </c>
      <c r="T3130">
        <f>IFERROR(VLOOKUP(A3130,Table1[[Customer ID]:[Discount Amount]], 6, FALSE),"Not Found")</f>
        <v>32</v>
      </c>
      <c r="U3130" t="str">
        <f t="shared" si="193"/>
        <v>Cash</v>
      </c>
      <c r="V3130" s="4" t="str">
        <f t="shared" si="194"/>
        <v>Normal</v>
      </c>
      <c r="W3130" s="4" t="str">
        <f t="shared" si="195"/>
        <v>Good</v>
      </c>
      <c r="X3130" s="4">
        <f>AVERAGE(Table1[Purchase Amount])</f>
        <v>129.48419400000012</v>
      </c>
    </row>
    <row r="3131" spans="1:24" ht="15" customHeight="1" x14ac:dyDescent="0.25">
      <c r="A3131">
        <v>3130</v>
      </c>
      <c r="B3131">
        <v>60</v>
      </c>
      <c r="C3131" t="s">
        <v>16</v>
      </c>
      <c r="D3131" t="s">
        <v>121</v>
      </c>
      <c r="E3131" t="s">
        <v>98</v>
      </c>
      <c r="F3131" s="2">
        <v>20</v>
      </c>
      <c r="G3131" t="s">
        <v>106</v>
      </c>
      <c r="H3131" t="s">
        <v>55</v>
      </c>
      <c r="I3131" t="s">
        <v>128</v>
      </c>
      <c r="J3131" t="s">
        <v>57</v>
      </c>
      <c r="K3131">
        <v>4.7</v>
      </c>
      <c r="L3131" t="s">
        <v>23</v>
      </c>
      <c r="M3131" t="s">
        <v>61</v>
      </c>
      <c r="N3131" t="s">
        <v>23</v>
      </c>
      <c r="O3131">
        <v>40</v>
      </c>
      <c r="P3131" t="s">
        <v>62</v>
      </c>
      <c r="Q3131" t="s">
        <v>63</v>
      </c>
      <c r="R3131" s="1">
        <v>0.1</v>
      </c>
      <c r="S3131">
        <f t="shared" si="192"/>
        <v>18</v>
      </c>
      <c r="T3131">
        <f>IFERROR(VLOOKUP(A3131,Table1[[Customer ID]:[Discount Amount]], 6, FALSE),"Not Found")</f>
        <v>20</v>
      </c>
      <c r="U3131" t="str">
        <f t="shared" si="193"/>
        <v>Venmo</v>
      </c>
      <c r="V3131" s="4" t="str">
        <f t="shared" si="194"/>
        <v>Normal</v>
      </c>
      <c r="W3131" s="4" t="str">
        <f t="shared" si="195"/>
        <v>Good</v>
      </c>
      <c r="X3131" s="4">
        <f>AVERAGE(Table1[Purchase Amount])</f>
        <v>129.48419400000012</v>
      </c>
    </row>
    <row r="3132" spans="1:24" ht="15" customHeight="1" x14ac:dyDescent="0.25">
      <c r="A3132">
        <v>3131</v>
      </c>
      <c r="B3132">
        <v>52</v>
      </c>
      <c r="C3132" t="s">
        <v>16</v>
      </c>
      <c r="D3132" t="s">
        <v>99</v>
      </c>
      <c r="E3132" t="s">
        <v>18</v>
      </c>
      <c r="F3132" s="2">
        <v>20</v>
      </c>
      <c r="G3132" t="s">
        <v>84</v>
      </c>
      <c r="H3132" t="s">
        <v>31</v>
      </c>
      <c r="I3132" t="s">
        <v>52</v>
      </c>
      <c r="J3132" t="s">
        <v>57</v>
      </c>
      <c r="K3132">
        <v>4.5</v>
      </c>
      <c r="L3132" t="s">
        <v>23</v>
      </c>
      <c r="M3132" t="s">
        <v>48</v>
      </c>
      <c r="N3132" t="s">
        <v>23</v>
      </c>
      <c r="O3132">
        <v>34</v>
      </c>
      <c r="P3132" t="s">
        <v>62</v>
      </c>
      <c r="Q3132" t="s">
        <v>63</v>
      </c>
      <c r="R3132" s="1">
        <v>0.1</v>
      </c>
      <c r="S3132">
        <f t="shared" si="192"/>
        <v>18</v>
      </c>
      <c r="T3132">
        <f>IFERROR(VLOOKUP(A3132,Table1[[Customer ID]:[Discount Amount]], 6, FALSE),"Not Found")</f>
        <v>20</v>
      </c>
      <c r="U3132" t="str">
        <f t="shared" si="193"/>
        <v>Venmo</v>
      </c>
      <c r="V3132" s="4" t="str">
        <f t="shared" si="194"/>
        <v>Normal</v>
      </c>
      <c r="W3132" s="4" t="str">
        <f t="shared" si="195"/>
        <v>Good</v>
      </c>
      <c r="X3132" s="4">
        <f>AVERAGE(Table1[Purchase Amount])</f>
        <v>129.48419400000012</v>
      </c>
    </row>
    <row r="3133" spans="1:24" ht="15" customHeight="1" x14ac:dyDescent="0.25">
      <c r="A3133">
        <v>3132</v>
      </c>
      <c r="B3133">
        <v>34</v>
      </c>
      <c r="C3133" t="s">
        <v>16</v>
      </c>
      <c r="D3133" t="s">
        <v>96</v>
      </c>
      <c r="E3133" t="s">
        <v>77</v>
      </c>
      <c r="F3133" s="2">
        <v>59</v>
      </c>
      <c r="G3133" t="s">
        <v>86</v>
      </c>
      <c r="H3133" t="s">
        <v>31</v>
      </c>
      <c r="I3133" t="s">
        <v>145</v>
      </c>
      <c r="J3133" t="s">
        <v>47</v>
      </c>
      <c r="K3133">
        <v>2.9</v>
      </c>
      <c r="L3133" t="s">
        <v>23</v>
      </c>
      <c r="M3133" t="s">
        <v>48</v>
      </c>
      <c r="N3133" t="s">
        <v>23</v>
      </c>
      <c r="O3133">
        <v>11</v>
      </c>
      <c r="P3133" t="s">
        <v>88</v>
      </c>
      <c r="Q3133" t="s">
        <v>63</v>
      </c>
      <c r="R3133" s="1">
        <v>0.1</v>
      </c>
      <c r="S3133">
        <f t="shared" si="192"/>
        <v>53.1</v>
      </c>
      <c r="T3133">
        <f>IFERROR(VLOOKUP(A3133,Table1[[Customer ID]:[Discount Amount]], 6, FALSE),"Not Found")</f>
        <v>59</v>
      </c>
      <c r="U3133" t="str">
        <f t="shared" si="193"/>
        <v>Bank Transfer</v>
      </c>
      <c r="V3133" s="4" t="str">
        <f t="shared" si="194"/>
        <v>Normal</v>
      </c>
      <c r="W3133" s="4" t="str">
        <f t="shared" si="195"/>
        <v>Poor</v>
      </c>
      <c r="X3133" s="4">
        <f>AVERAGE(Table1[Purchase Amount])</f>
        <v>129.48419400000012</v>
      </c>
    </row>
    <row r="3134" spans="1:24" ht="15" customHeight="1" x14ac:dyDescent="0.25">
      <c r="A3134">
        <v>3133</v>
      </c>
      <c r="B3134">
        <v>33</v>
      </c>
      <c r="C3134" t="s">
        <v>16</v>
      </c>
      <c r="D3134" t="s">
        <v>127</v>
      </c>
      <c r="E3134" t="s">
        <v>18</v>
      </c>
      <c r="F3134" s="2">
        <v>97</v>
      </c>
      <c r="G3134" t="s">
        <v>113</v>
      </c>
      <c r="H3134" t="s">
        <v>31</v>
      </c>
      <c r="I3134" t="s">
        <v>52</v>
      </c>
      <c r="J3134" t="s">
        <v>57</v>
      </c>
      <c r="K3134">
        <v>4.2</v>
      </c>
      <c r="L3134" t="s">
        <v>23</v>
      </c>
      <c r="M3134" t="s">
        <v>61</v>
      </c>
      <c r="N3134" t="s">
        <v>23</v>
      </c>
      <c r="O3134">
        <v>26</v>
      </c>
      <c r="P3134" t="s">
        <v>25</v>
      </c>
      <c r="Q3134" t="s">
        <v>37</v>
      </c>
      <c r="R3134" s="1">
        <v>0.1</v>
      </c>
      <c r="S3134">
        <f t="shared" si="192"/>
        <v>87.3</v>
      </c>
      <c r="T3134">
        <f>IFERROR(VLOOKUP(A3134,Table1[[Customer ID]:[Discount Amount]], 6, FALSE),"Not Found")</f>
        <v>97</v>
      </c>
      <c r="U3134" t="str">
        <f t="shared" si="193"/>
        <v>Cash</v>
      </c>
      <c r="V3134" s="4" t="str">
        <f t="shared" si="194"/>
        <v>Normal</v>
      </c>
      <c r="W3134" s="4" t="str">
        <f t="shared" si="195"/>
        <v>Good</v>
      </c>
      <c r="X3134" s="4">
        <f>AVERAGE(Table1[Purchase Amount])</f>
        <v>129.48419400000012</v>
      </c>
    </row>
    <row r="3135" spans="1:24" ht="15" customHeight="1" x14ac:dyDescent="0.25">
      <c r="A3135">
        <v>3134</v>
      </c>
      <c r="B3135">
        <v>58</v>
      </c>
      <c r="C3135" t="s">
        <v>16</v>
      </c>
      <c r="D3135" t="s">
        <v>17</v>
      </c>
      <c r="E3135" t="s">
        <v>18</v>
      </c>
      <c r="F3135" s="2">
        <v>68</v>
      </c>
      <c r="G3135" t="s">
        <v>100</v>
      </c>
      <c r="H3135" t="s">
        <v>31</v>
      </c>
      <c r="I3135" t="s">
        <v>108</v>
      </c>
      <c r="J3135" t="s">
        <v>33</v>
      </c>
      <c r="K3135">
        <v>4.0999999999999996</v>
      </c>
      <c r="L3135" t="s">
        <v>23</v>
      </c>
      <c r="M3135" t="s">
        <v>79</v>
      </c>
      <c r="N3135" t="s">
        <v>23</v>
      </c>
      <c r="O3135">
        <v>29</v>
      </c>
      <c r="P3135" t="s">
        <v>25</v>
      </c>
      <c r="Q3135" t="s">
        <v>68</v>
      </c>
      <c r="R3135" s="1">
        <v>0.1</v>
      </c>
      <c r="S3135">
        <f t="shared" si="192"/>
        <v>61.2</v>
      </c>
      <c r="T3135">
        <f>IFERROR(VLOOKUP(A3135,Table1[[Customer ID]:[Discount Amount]], 6, FALSE),"Not Found")</f>
        <v>68</v>
      </c>
      <c r="U3135" t="str">
        <f t="shared" si="193"/>
        <v>Cash</v>
      </c>
      <c r="V3135" s="4" t="str">
        <f t="shared" si="194"/>
        <v>Normal</v>
      </c>
      <c r="W3135" s="4" t="str">
        <f t="shared" si="195"/>
        <v>Good</v>
      </c>
      <c r="X3135" s="4">
        <f>AVERAGE(Table1[Purchase Amount])</f>
        <v>129.48419400000012</v>
      </c>
    </row>
    <row r="3136" spans="1:24" ht="15" customHeight="1" x14ac:dyDescent="0.25">
      <c r="A3136">
        <v>3135</v>
      </c>
      <c r="B3136">
        <v>35</v>
      </c>
      <c r="C3136" t="s">
        <v>16</v>
      </c>
      <c r="D3136" t="s">
        <v>151</v>
      </c>
      <c r="E3136" t="s">
        <v>98</v>
      </c>
      <c r="F3136" s="2">
        <v>66</v>
      </c>
      <c r="G3136" t="s">
        <v>70</v>
      </c>
      <c r="H3136" t="s">
        <v>45</v>
      </c>
      <c r="I3136" t="s">
        <v>85</v>
      </c>
      <c r="J3136" t="s">
        <v>33</v>
      </c>
      <c r="K3136">
        <v>4.4000000000000004</v>
      </c>
      <c r="L3136" t="s">
        <v>23</v>
      </c>
      <c r="M3136" t="s">
        <v>48</v>
      </c>
      <c r="N3136" t="s">
        <v>23</v>
      </c>
      <c r="O3136">
        <v>47</v>
      </c>
      <c r="P3136" t="s">
        <v>88</v>
      </c>
      <c r="Q3136" t="s">
        <v>26</v>
      </c>
      <c r="R3136" s="1">
        <v>0.1</v>
      </c>
      <c r="S3136">
        <f t="shared" si="192"/>
        <v>59.4</v>
      </c>
      <c r="T3136">
        <f>IFERROR(VLOOKUP(A3136,Table1[[Customer ID]:[Discount Amount]], 6, FALSE),"Not Found")</f>
        <v>66</v>
      </c>
      <c r="U3136" t="str">
        <f t="shared" si="193"/>
        <v>Bank Transfer</v>
      </c>
      <c r="V3136" s="4" t="str">
        <f t="shared" si="194"/>
        <v>Normal</v>
      </c>
      <c r="W3136" s="4" t="str">
        <f t="shared" si="195"/>
        <v>Good</v>
      </c>
      <c r="X3136" s="4">
        <f>AVERAGE(Table1[Purchase Amount])</f>
        <v>129.48419400000012</v>
      </c>
    </row>
    <row r="3137" spans="1:24" ht="15" customHeight="1" x14ac:dyDescent="0.25">
      <c r="A3137">
        <v>3136</v>
      </c>
      <c r="B3137">
        <v>68</v>
      </c>
      <c r="C3137" t="s">
        <v>16</v>
      </c>
      <c r="D3137" t="s">
        <v>72</v>
      </c>
      <c r="E3137" t="s">
        <v>98</v>
      </c>
      <c r="F3137" s="2">
        <v>85</v>
      </c>
      <c r="G3137" t="s">
        <v>102</v>
      </c>
      <c r="H3137" t="s">
        <v>45</v>
      </c>
      <c r="I3137" t="s">
        <v>52</v>
      </c>
      <c r="J3137" t="s">
        <v>33</v>
      </c>
      <c r="K3137">
        <v>4.7</v>
      </c>
      <c r="L3137" t="s">
        <v>23</v>
      </c>
      <c r="M3137" t="s">
        <v>35</v>
      </c>
      <c r="N3137" t="s">
        <v>23</v>
      </c>
      <c r="O3137">
        <v>48</v>
      </c>
      <c r="P3137" t="s">
        <v>62</v>
      </c>
      <c r="Q3137" t="s">
        <v>89</v>
      </c>
      <c r="R3137" s="1">
        <v>0.1</v>
      </c>
      <c r="S3137">
        <f t="shared" si="192"/>
        <v>76.5</v>
      </c>
      <c r="T3137">
        <f>IFERROR(VLOOKUP(A3137,Table1[[Customer ID]:[Discount Amount]], 6, FALSE),"Not Found")</f>
        <v>85</v>
      </c>
      <c r="U3137" t="str">
        <f t="shared" si="193"/>
        <v>Venmo</v>
      </c>
      <c r="V3137" s="4" t="str">
        <f t="shared" si="194"/>
        <v>Normal</v>
      </c>
      <c r="W3137" s="4" t="str">
        <f t="shared" si="195"/>
        <v>Good</v>
      </c>
      <c r="X3137" s="4">
        <f>AVERAGE(Table1[Purchase Amount])</f>
        <v>129.48419400000012</v>
      </c>
    </row>
    <row r="3138" spans="1:24" ht="15" customHeight="1" x14ac:dyDescent="0.25">
      <c r="A3138">
        <v>3137</v>
      </c>
      <c r="B3138">
        <v>58</v>
      </c>
      <c r="C3138" t="s">
        <v>16</v>
      </c>
      <c r="D3138" t="s">
        <v>122</v>
      </c>
      <c r="E3138" t="s">
        <v>18</v>
      </c>
      <c r="F3138" s="2">
        <v>32</v>
      </c>
      <c r="G3138" t="s">
        <v>120</v>
      </c>
      <c r="H3138" t="s">
        <v>31</v>
      </c>
      <c r="I3138" t="s">
        <v>85</v>
      </c>
      <c r="J3138" t="s">
        <v>47</v>
      </c>
      <c r="K3138">
        <v>3.1</v>
      </c>
      <c r="L3138" t="s">
        <v>23</v>
      </c>
      <c r="M3138" t="s">
        <v>79</v>
      </c>
      <c r="N3138" t="s">
        <v>23</v>
      </c>
      <c r="O3138">
        <v>29</v>
      </c>
      <c r="P3138" t="s">
        <v>25</v>
      </c>
      <c r="Q3138" t="s">
        <v>68</v>
      </c>
      <c r="R3138" s="1">
        <v>0.1</v>
      </c>
      <c r="S3138">
        <f t="shared" ref="S3138:S3201" si="196">F3138-(F3138*R3138)</f>
        <v>28.8</v>
      </c>
      <c r="T3138">
        <f>IFERROR(VLOOKUP(A3138,Table1[[Customer ID]:[Discount Amount]], 6, FALSE),"Not Found")</f>
        <v>32</v>
      </c>
      <c r="U3138" t="str">
        <f t="shared" ref="U3138:U3201" si="197">INDEX(P:P, MATCH(A3138, A:A, 0))</f>
        <v>Cash</v>
      </c>
      <c r="V3138" s="4" t="str">
        <f t="shared" ref="V3138:V3201" si="198">IF(AND(F3138&gt;1000,K3138&gt;=4),"Best Customer","Normal")</f>
        <v>Normal</v>
      </c>
      <c r="W3138" s="4" t="str">
        <f t="shared" ref="W3138:W3201" si="199">IF(K3138&gt;=3,"Good","Poor")</f>
        <v>Good</v>
      </c>
      <c r="X3138" s="4">
        <f>AVERAGE(Table1[Purchase Amount])</f>
        <v>129.48419400000012</v>
      </c>
    </row>
    <row r="3139" spans="1:24" ht="15" customHeight="1" x14ac:dyDescent="0.25">
      <c r="A3139">
        <v>3138</v>
      </c>
      <c r="B3139">
        <v>34</v>
      </c>
      <c r="C3139" t="s">
        <v>16</v>
      </c>
      <c r="D3139" t="s">
        <v>76</v>
      </c>
      <c r="E3139" t="s">
        <v>77</v>
      </c>
      <c r="F3139" s="2">
        <v>44</v>
      </c>
      <c r="G3139" t="s">
        <v>119</v>
      </c>
      <c r="H3139" t="s">
        <v>31</v>
      </c>
      <c r="I3139" t="s">
        <v>156</v>
      </c>
      <c r="J3139" t="s">
        <v>33</v>
      </c>
      <c r="K3139">
        <v>2.7</v>
      </c>
      <c r="L3139" t="s">
        <v>23</v>
      </c>
      <c r="M3139" t="s">
        <v>41</v>
      </c>
      <c r="N3139" t="s">
        <v>23</v>
      </c>
      <c r="O3139">
        <v>14</v>
      </c>
      <c r="P3139" t="s">
        <v>88</v>
      </c>
      <c r="Q3139" t="s">
        <v>42</v>
      </c>
      <c r="R3139" s="1">
        <v>0.1</v>
      </c>
      <c r="S3139">
        <f t="shared" si="196"/>
        <v>39.6</v>
      </c>
      <c r="T3139">
        <f>IFERROR(VLOOKUP(A3139,Table1[[Customer ID]:[Discount Amount]], 6, FALSE),"Not Found")</f>
        <v>44</v>
      </c>
      <c r="U3139" t="str">
        <f t="shared" si="197"/>
        <v>Bank Transfer</v>
      </c>
      <c r="V3139" s="4" t="str">
        <f t="shared" si="198"/>
        <v>Normal</v>
      </c>
      <c r="W3139" s="4" t="str">
        <f t="shared" si="199"/>
        <v>Poor</v>
      </c>
      <c r="X3139" s="4">
        <f>AVERAGE(Table1[Purchase Amount])</f>
        <v>129.48419400000012</v>
      </c>
    </row>
    <row r="3140" spans="1:24" ht="15" customHeight="1" x14ac:dyDescent="0.25">
      <c r="A3140">
        <v>3139</v>
      </c>
      <c r="B3140">
        <v>47</v>
      </c>
      <c r="C3140" t="s">
        <v>16</v>
      </c>
      <c r="D3140" t="s">
        <v>118</v>
      </c>
      <c r="E3140" t="s">
        <v>18</v>
      </c>
      <c r="F3140" s="2">
        <v>95</v>
      </c>
      <c r="G3140" t="s">
        <v>70</v>
      </c>
      <c r="H3140" t="s">
        <v>45</v>
      </c>
      <c r="I3140" t="s">
        <v>85</v>
      </c>
      <c r="J3140" t="s">
        <v>47</v>
      </c>
      <c r="K3140">
        <v>4.5999999999999996</v>
      </c>
      <c r="L3140" t="s">
        <v>23</v>
      </c>
      <c r="M3140" t="s">
        <v>79</v>
      </c>
      <c r="N3140" t="s">
        <v>23</v>
      </c>
      <c r="O3140">
        <v>40</v>
      </c>
      <c r="P3140" t="s">
        <v>25</v>
      </c>
      <c r="Q3140" t="s">
        <v>63</v>
      </c>
      <c r="R3140" s="1">
        <v>0.1</v>
      </c>
      <c r="S3140">
        <f t="shared" si="196"/>
        <v>85.5</v>
      </c>
      <c r="T3140">
        <f>IFERROR(VLOOKUP(A3140,Table1[[Customer ID]:[Discount Amount]], 6, FALSE),"Not Found")</f>
        <v>95</v>
      </c>
      <c r="U3140" t="str">
        <f t="shared" si="197"/>
        <v>Cash</v>
      </c>
      <c r="V3140" s="4" t="str">
        <f t="shared" si="198"/>
        <v>Normal</v>
      </c>
      <c r="W3140" s="4" t="str">
        <f t="shared" si="199"/>
        <v>Good</v>
      </c>
      <c r="X3140" s="4">
        <f>AVERAGE(Table1[Purchase Amount])</f>
        <v>129.48419400000012</v>
      </c>
    </row>
    <row r="3141" spans="1:24" ht="15" customHeight="1" x14ac:dyDescent="0.25">
      <c r="A3141">
        <v>3140</v>
      </c>
      <c r="B3141">
        <v>35</v>
      </c>
      <c r="C3141" t="s">
        <v>16</v>
      </c>
      <c r="D3141" t="s">
        <v>28</v>
      </c>
      <c r="E3141" t="s">
        <v>29</v>
      </c>
      <c r="F3141" s="2">
        <v>85</v>
      </c>
      <c r="G3141" t="s">
        <v>160</v>
      </c>
      <c r="H3141" t="s">
        <v>31</v>
      </c>
      <c r="I3141" t="s">
        <v>21</v>
      </c>
      <c r="J3141" t="s">
        <v>22</v>
      </c>
      <c r="K3141">
        <v>4.4000000000000004</v>
      </c>
      <c r="L3141" t="s">
        <v>23</v>
      </c>
      <c r="M3141" t="s">
        <v>79</v>
      </c>
      <c r="N3141" t="s">
        <v>23</v>
      </c>
      <c r="O3141">
        <v>4</v>
      </c>
      <c r="P3141" t="s">
        <v>62</v>
      </c>
      <c r="Q3141" t="s">
        <v>26</v>
      </c>
      <c r="R3141" s="1">
        <v>0.1</v>
      </c>
      <c r="S3141">
        <f t="shared" si="196"/>
        <v>76.5</v>
      </c>
      <c r="T3141">
        <f>IFERROR(VLOOKUP(A3141,Table1[[Customer ID]:[Discount Amount]], 6, FALSE),"Not Found")</f>
        <v>85</v>
      </c>
      <c r="U3141" t="str">
        <f t="shared" si="197"/>
        <v>Venmo</v>
      </c>
      <c r="V3141" s="4" t="str">
        <f t="shared" si="198"/>
        <v>Normal</v>
      </c>
      <c r="W3141" s="4" t="str">
        <f t="shared" si="199"/>
        <v>Good</v>
      </c>
      <c r="X3141" s="4">
        <f>AVERAGE(Table1[Purchase Amount])</f>
        <v>129.48419400000012</v>
      </c>
    </row>
    <row r="3142" spans="1:24" ht="15" customHeight="1" x14ac:dyDescent="0.25">
      <c r="A3142">
        <v>3141</v>
      </c>
      <c r="B3142">
        <v>34</v>
      </c>
      <c r="C3142" t="s">
        <v>16</v>
      </c>
      <c r="D3142" t="s">
        <v>43</v>
      </c>
      <c r="E3142" t="s">
        <v>29</v>
      </c>
      <c r="F3142" s="2">
        <v>44</v>
      </c>
      <c r="G3142" t="s">
        <v>148</v>
      </c>
      <c r="H3142" t="s">
        <v>20</v>
      </c>
      <c r="I3142" t="s">
        <v>145</v>
      </c>
      <c r="J3142" t="s">
        <v>57</v>
      </c>
      <c r="K3142">
        <v>4.5999999999999996</v>
      </c>
      <c r="L3142" t="s">
        <v>23</v>
      </c>
      <c r="M3142" t="s">
        <v>35</v>
      </c>
      <c r="N3142" t="s">
        <v>23</v>
      </c>
      <c r="O3142">
        <v>37</v>
      </c>
      <c r="P3142" t="s">
        <v>88</v>
      </c>
      <c r="Q3142" t="s">
        <v>26</v>
      </c>
      <c r="R3142" s="1">
        <v>0.1</v>
      </c>
      <c r="S3142">
        <f t="shared" si="196"/>
        <v>39.6</v>
      </c>
      <c r="T3142">
        <f>IFERROR(VLOOKUP(A3142,Table1[[Customer ID]:[Discount Amount]], 6, FALSE),"Not Found")</f>
        <v>44</v>
      </c>
      <c r="U3142" t="str">
        <f t="shared" si="197"/>
        <v>Bank Transfer</v>
      </c>
      <c r="V3142" s="4" t="str">
        <f t="shared" si="198"/>
        <v>Normal</v>
      </c>
      <c r="W3142" s="4" t="str">
        <f t="shared" si="199"/>
        <v>Good</v>
      </c>
      <c r="X3142" s="4">
        <f>AVERAGE(Table1[Purchase Amount])</f>
        <v>129.48419400000012</v>
      </c>
    </row>
    <row r="3143" spans="1:24" ht="15" customHeight="1" x14ac:dyDescent="0.25">
      <c r="A3143">
        <v>3142</v>
      </c>
      <c r="B3143">
        <v>36</v>
      </c>
      <c r="C3143" t="s">
        <v>16</v>
      </c>
      <c r="D3143" t="s">
        <v>28</v>
      </c>
      <c r="E3143" t="s">
        <v>29</v>
      </c>
      <c r="F3143" s="2">
        <v>30</v>
      </c>
      <c r="G3143" t="s">
        <v>149</v>
      </c>
      <c r="H3143" t="s">
        <v>55</v>
      </c>
      <c r="I3143" t="s">
        <v>145</v>
      </c>
      <c r="J3143" t="s">
        <v>22</v>
      </c>
      <c r="K3143">
        <v>4.9000000000000004</v>
      </c>
      <c r="L3143" t="s">
        <v>23</v>
      </c>
      <c r="M3143" t="s">
        <v>61</v>
      </c>
      <c r="N3143" t="s">
        <v>23</v>
      </c>
      <c r="O3143">
        <v>47</v>
      </c>
      <c r="P3143" t="s">
        <v>53</v>
      </c>
      <c r="Q3143" t="s">
        <v>68</v>
      </c>
      <c r="R3143" s="1">
        <v>0.1</v>
      </c>
      <c r="S3143">
        <f t="shared" si="196"/>
        <v>27</v>
      </c>
      <c r="T3143">
        <f>IFERROR(VLOOKUP(A3143,Table1[[Customer ID]:[Discount Amount]], 6, FALSE),"Not Found")</f>
        <v>30</v>
      </c>
      <c r="U3143" t="str">
        <f t="shared" si="197"/>
        <v>Credit Card</v>
      </c>
      <c r="V3143" s="4" t="str">
        <f t="shared" si="198"/>
        <v>Normal</v>
      </c>
      <c r="W3143" s="4" t="str">
        <f t="shared" si="199"/>
        <v>Good</v>
      </c>
      <c r="X3143" s="4">
        <f>AVERAGE(Table1[Purchase Amount])</f>
        <v>129.48419400000012</v>
      </c>
    </row>
    <row r="3144" spans="1:24" ht="15" customHeight="1" x14ac:dyDescent="0.25">
      <c r="A3144">
        <v>3143</v>
      </c>
      <c r="B3144">
        <v>23</v>
      </c>
      <c r="C3144" t="s">
        <v>16</v>
      </c>
      <c r="D3144" t="s">
        <v>140</v>
      </c>
      <c r="E3144" t="s">
        <v>98</v>
      </c>
      <c r="F3144" s="2">
        <v>21</v>
      </c>
      <c r="G3144" t="s">
        <v>124</v>
      </c>
      <c r="H3144" t="s">
        <v>45</v>
      </c>
      <c r="I3144" t="s">
        <v>87</v>
      </c>
      <c r="J3144" t="s">
        <v>22</v>
      </c>
      <c r="K3144">
        <v>4</v>
      </c>
      <c r="L3144" t="s">
        <v>23</v>
      </c>
      <c r="M3144" t="s">
        <v>41</v>
      </c>
      <c r="N3144" t="s">
        <v>23</v>
      </c>
      <c r="O3144">
        <v>1</v>
      </c>
      <c r="P3144" t="s">
        <v>62</v>
      </c>
      <c r="Q3144" t="s">
        <v>37</v>
      </c>
      <c r="R3144" s="1">
        <v>0.1</v>
      </c>
      <c r="S3144">
        <f t="shared" si="196"/>
        <v>18.899999999999999</v>
      </c>
      <c r="T3144">
        <f>IFERROR(VLOOKUP(A3144,Table1[[Customer ID]:[Discount Amount]], 6, FALSE),"Not Found")</f>
        <v>21</v>
      </c>
      <c r="U3144" t="str">
        <f t="shared" si="197"/>
        <v>Venmo</v>
      </c>
      <c r="V3144" s="4" t="str">
        <f t="shared" si="198"/>
        <v>Normal</v>
      </c>
      <c r="W3144" s="4" t="str">
        <f t="shared" si="199"/>
        <v>Good</v>
      </c>
      <c r="X3144" s="4">
        <f>AVERAGE(Table1[Purchase Amount])</f>
        <v>129.48419400000012</v>
      </c>
    </row>
    <row r="3145" spans="1:24" ht="15" customHeight="1" x14ac:dyDescent="0.25">
      <c r="A3145">
        <v>3144</v>
      </c>
      <c r="B3145">
        <v>68</v>
      </c>
      <c r="C3145" t="s">
        <v>16</v>
      </c>
      <c r="D3145" t="s">
        <v>83</v>
      </c>
      <c r="E3145" t="s">
        <v>18</v>
      </c>
      <c r="F3145" s="2">
        <v>22</v>
      </c>
      <c r="G3145" t="s">
        <v>150</v>
      </c>
      <c r="H3145" t="s">
        <v>31</v>
      </c>
      <c r="I3145" t="s">
        <v>66</v>
      </c>
      <c r="J3145" t="s">
        <v>57</v>
      </c>
      <c r="K3145">
        <v>2.9</v>
      </c>
      <c r="L3145" t="s">
        <v>23</v>
      </c>
      <c r="M3145" t="s">
        <v>48</v>
      </c>
      <c r="N3145" t="s">
        <v>23</v>
      </c>
      <c r="O3145">
        <v>26</v>
      </c>
      <c r="P3145" t="s">
        <v>25</v>
      </c>
      <c r="Q3145" t="s">
        <v>37</v>
      </c>
      <c r="R3145" s="1">
        <v>0.1</v>
      </c>
      <c r="S3145">
        <f t="shared" si="196"/>
        <v>19.8</v>
      </c>
      <c r="T3145">
        <f>IFERROR(VLOOKUP(A3145,Table1[[Customer ID]:[Discount Amount]], 6, FALSE),"Not Found")</f>
        <v>22</v>
      </c>
      <c r="U3145" t="str">
        <f t="shared" si="197"/>
        <v>Cash</v>
      </c>
      <c r="V3145" s="4" t="str">
        <f t="shared" si="198"/>
        <v>Normal</v>
      </c>
      <c r="W3145" s="4" t="str">
        <f t="shared" si="199"/>
        <v>Poor</v>
      </c>
      <c r="X3145" s="4">
        <f>AVERAGE(Table1[Purchase Amount])</f>
        <v>129.48419400000012</v>
      </c>
    </row>
    <row r="3146" spans="1:24" ht="15" customHeight="1" x14ac:dyDescent="0.25">
      <c r="A3146">
        <v>3145</v>
      </c>
      <c r="B3146">
        <v>23</v>
      </c>
      <c r="C3146" t="s">
        <v>16</v>
      </c>
      <c r="D3146" t="s">
        <v>151</v>
      </c>
      <c r="E3146" t="s">
        <v>98</v>
      </c>
      <c r="F3146" s="2">
        <v>70</v>
      </c>
      <c r="G3146" t="s">
        <v>94</v>
      </c>
      <c r="H3146" t="s">
        <v>45</v>
      </c>
      <c r="I3146" t="s">
        <v>56</v>
      </c>
      <c r="J3146" t="s">
        <v>33</v>
      </c>
      <c r="K3146">
        <v>2.6</v>
      </c>
      <c r="L3146" t="s">
        <v>23</v>
      </c>
      <c r="M3146" t="s">
        <v>35</v>
      </c>
      <c r="N3146" t="s">
        <v>23</v>
      </c>
      <c r="O3146">
        <v>12</v>
      </c>
      <c r="P3146" t="s">
        <v>36</v>
      </c>
      <c r="Q3146" t="s">
        <v>37</v>
      </c>
      <c r="R3146" s="1">
        <v>0.1</v>
      </c>
      <c r="S3146">
        <f t="shared" si="196"/>
        <v>63</v>
      </c>
      <c r="T3146">
        <f>IFERROR(VLOOKUP(A3146,Table1[[Customer ID]:[Discount Amount]], 6, FALSE),"Not Found")</f>
        <v>70</v>
      </c>
      <c r="U3146" t="str">
        <f t="shared" si="197"/>
        <v>Debit Card</v>
      </c>
      <c r="V3146" s="4" t="str">
        <f t="shared" si="198"/>
        <v>Normal</v>
      </c>
      <c r="W3146" s="4" t="str">
        <f t="shared" si="199"/>
        <v>Poor</v>
      </c>
      <c r="X3146" s="4">
        <f>AVERAGE(Table1[Purchase Amount])</f>
        <v>129.48419400000012</v>
      </c>
    </row>
    <row r="3147" spans="1:24" ht="15" customHeight="1" x14ac:dyDescent="0.25">
      <c r="A3147">
        <v>3146</v>
      </c>
      <c r="B3147">
        <v>57</v>
      </c>
      <c r="C3147" t="s">
        <v>16</v>
      </c>
      <c r="D3147" t="s">
        <v>69</v>
      </c>
      <c r="E3147" t="s">
        <v>29</v>
      </c>
      <c r="F3147" s="2">
        <v>29</v>
      </c>
      <c r="G3147" t="s">
        <v>152</v>
      </c>
      <c r="H3147" t="s">
        <v>20</v>
      </c>
      <c r="I3147" t="s">
        <v>66</v>
      </c>
      <c r="J3147" t="s">
        <v>33</v>
      </c>
      <c r="K3147">
        <v>4.5999999999999996</v>
      </c>
      <c r="L3147" t="s">
        <v>23</v>
      </c>
      <c r="M3147" t="s">
        <v>24</v>
      </c>
      <c r="N3147" t="s">
        <v>23</v>
      </c>
      <c r="O3147">
        <v>16</v>
      </c>
      <c r="P3147" t="s">
        <v>58</v>
      </c>
      <c r="Q3147" t="s">
        <v>89</v>
      </c>
      <c r="R3147" s="1">
        <v>0.1</v>
      </c>
      <c r="S3147">
        <f t="shared" si="196"/>
        <v>26.1</v>
      </c>
      <c r="T3147">
        <f>IFERROR(VLOOKUP(A3147,Table1[[Customer ID]:[Discount Amount]], 6, FALSE),"Not Found")</f>
        <v>29</v>
      </c>
      <c r="U3147" t="str">
        <f t="shared" si="197"/>
        <v>PayPal</v>
      </c>
      <c r="V3147" s="4" t="str">
        <f t="shared" si="198"/>
        <v>Normal</v>
      </c>
      <c r="W3147" s="4" t="str">
        <f t="shared" si="199"/>
        <v>Good</v>
      </c>
      <c r="X3147" s="4">
        <f>AVERAGE(Table1[Purchase Amount])</f>
        <v>129.48419400000012</v>
      </c>
    </row>
    <row r="3148" spans="1:24" ht="15" customHeight="1" x14ac:dyDescent="0.25">
      <c r="A3148">
        <v>3147</v>
      </c>
      <c r="B3148">
        <v>21</v>
      </c>
      <c r="C3148" t="s">
        <v>16</v>
      </c>
      <c r="D3148" t="s">
        <v>38</v>
      </c>
      <c r="E3148" t="s">
        <v>18</v>
      </c>
      <c r="F3148" s="2">
        <v>83</v>
      </c>
      <c r="G3148" t="s">
        <v>138</v>
      </c>
      <c r="H3148" t="s">
        <v>55</v>
      </c>
      <c r="I3148" t="s">
        <v>52</v>
      </c>
      <c r="J3148" t="s">
        <v>22</v>
      </c>
      <c r="K3148">
        <v>4.9000000000000004</v>
      </c>
      <c r="L3148" t="s">
        <v>23</v>
      </c>
      <c r="M3148" t="s">
        <v>35</v>
      </c>
      <c r="N3148" t="s">
        <v>23</v>
      </c>
      <c r="O3148">
        <v>19</v>
      </c>
      <c r="P3148" t="s">
        <v>58</v>
      </c>
      <c r="Q3148" t="s">
        <v>49</v>
      </c>
      <c r="R3148" s="1">
        <v>0.1</v>
      </c>
      <c r="S3148">
        <f t="shared" si="196"/>
        <v>74.7</v>
      </c>
      <c r="T3148">
        <f>IFERROR(VLOOKUP(A3148,Table1[[Customer ID]:[Discount Amount]], 6, FALSE),"Not Found")</f>
        <v>83</v>
      </c>
      <c r="U3148" t="str">
        <f t="shared" si="197"/>
        <v>PayPal</v>
      </c>
      <c r="V3148" s="4" t="str">
        <f t="shared" si="198"/>
        <v>Normal</v>
      </c>
      <c r="W3148" s="4" t="str">
        <f t="shared" si="199"/>
        <v>Good</v>
      </c>
      <c r="X3148" s="4">
        <f>AVERAGE(Table1[Purchase Amount])</f>
        <v>129.48419400000012</v>
      </c>
    </row>
    <row r="3149" spans="1:24" ht="15" customHeight="1" x14ac:dyDescent="0.25">
      <c r="A3149">
        <v>3148</v>
      </c>
      <c r="B3149">
        <v>45</v>
      </c>
      <c r="C3149" t="s">
        <v>16</v>
      </c>
      <c r="D3149" t="s">
        <v>127</v>
      </c>
      <c r="E3149" t="s">
        <v>18</v>
      </c>
      <c r="F3149" s="2">
        <v>99</v>
      </c>
      <c r="G3149" t="s">
        <v>86</v>
      </c>
      <c r="H3149" t="s">
        <v>31</v>
      </c>
      <c r="I3149" t="s">
        <v>136</v>
      </c>
      <c r="J3149" t="s">
        <v>22</v>
      </c>
      <c r="K3149">
        <v>4.3</v>
      </c>
      <c r="L3149" t="s">
        <v>23</v>
      </c>
      <c r="M3149" t="s">
        <v>61</v>
      </c>
      <c r="N3149" t="s">
        <v>23</v>
      </c>
      <c r="O3149">
        <v>21</v>
      </c>
      <c r="P3149" t="s">
        <v>53</v>
      </c>
      <c r="Q3149" t="s">
        <v>26</v>
      </c>
      <c r="R3149" s="1">
        <v>0.1</v>
      </c>
      <c r="S3149">
        <f t="shared" si="196"/>
        <v>89.1</v>
      </c>
      <c r="T3149">
        <f>IFERROR(VLOOKUP(A3149,Table1[[Customer ID]:[Discount Amount]], 6, FALSE),"Not Found")</f>
        <v>99</v>
      </c>
      <c r="U3149" t="str">
        <f t="shared" si="197"/>
        <v>Credit Card</v>
      </c>
      <c r="V3149" s="4" t="str">
        <f t="shared" si="198"/>
        <v>Normal</v>
      </c>
      <c r="W3149" s="4" t="str">
        <f t="shared" si="199"/>
        <v>Good</v>
      </c>
      <c r="X3149" s="4">
        <f>AVERAGE(Table1[Purchase Amount])</f>
        <v>129.48419400000012</v>
      </c>
    </row>
    <row r="3150" spans="1:24" ht="15" customHeight="1" x14ac:dyDescent="0.25">
      <c r="A3150">
        <v>3149</v>
      </c>
      <c r="B3150">
        <v>37</v>
      </c>
      <c r="C3150" t="s">
        <v>16</v>
      </c>
      <c r="D3150" t="s">
        <v>54</v>
      </c>
      <c r="E3150" t="s">
        <v>18</v>
      </c>
      <c r="F3150" s="2">
        <v>35</v>
      </c>
      <c r="G3150" t="s">
        <v>154</v>
      </c>
      <c r="H3150" t="s">
        <v>45</v>
      </c>
      <c r="I3150" t="s">
        <v>66</v>
      </c>
      <c r="J3150" t="s">
        <v>47</v>
      </c>
      <c r="K3150">
        <v>4.3</v>
      </c>
      <c r="L3150" t="s">
        <v>23</v>
      </c>
      <c r="M3150" t="s">
        <v>35</v>
      </c>
      <c r="N3150" t="s">
        <v>23</v>
      </c>
      <c r="O3150">
        <v>15</v>
      </c>
      <c r="P3150" t="s">
        <v>62</v>
      </c>
      <c r="Q3150" t="s">
        <v>26</v>
      </c>
      <c r="R3150" s="1">
        <v>0.1</v>
      </c>
      <c r="S3150">
        <f t="shared" si="196"/>
        <v>31.5</v>
      </c>
      <c r="T3150">
        <f>IFERROR(VLOOKUP(A3150,Table1[[Customer ID]:[Discount Amount]], 6, FALSE),"Not Found")</f>
        <v>35</v>
      </c>
      <c r="U3150" t="str">
        <f t="shared" si="197"/>
        <v>Venmo</v>
      </c>
      <c r="V3150" s="4" t="str">
        <f t="shared" si="198"/>
        <v>Normal</v>
      </c>
      <c r="W3150" s="4" t="str">
        <f t="shared" si="199"/>
        <v>Good</v>
      </c>
      <c r="X3150" s="4">
        <f>AVERAGE(Table1[Purchase Amount])</f>
        <v>129.48419400000012</v>
      </c>
    </row>
    <row r="3151" spans="1:24" ht="15" customHeight="1" x14ac:dyDescent="0.25">
      <c r="A3151">
        <v>3150</v>
      </c>
      <c r="B3151">
        <v>18</v>
      </c>
      <c r="C3151" t="s">
        <v>16</v>
      </c>
      <c r="D3151" t="s">
        <v>114</v>
      </c>
      <c r="E3151" t="s">
        <v>29</v>
      </c>
      <c r="F3151" s="2">
        <v>40</v>
      </c>
      <c r="G3151" t="s">
        <v>134</v>
      </c>
      <c r="H3151" t="s">
        <v>31</v>
      </c>
      <c r="I3151" t="s">
        <v>107</v>
      </c>
      <c r="J3151" t="s">
        <v>22</v>
      </c>
      <c r="K3151">
        <v>4.5999999999999996</v>
      </c>
      <c r="L3151" t="s">
        <v>23</v>
      </c>
      <c r="M3151" t="s">
        <v>35</v>
      </c>
      <c r="N3151" t="s">
        <v>23</v>
      </c>
      <c r="O3151">
        <v>9</v>
      </c>
      <c r="P3151" t="s">
        <v>62</v>
      </c>
      <c r="Q3151" t="s">
        <v>49</v>
      </c>
      <c r="R3151" s="1">
        <v>0.1</v>
      </c>
      <c r="S3151">
        <f t="shared" si="196"/>
        <v>36</v>
      </c>
      <c r="T3151">
        <f>IFERROR(VLOOKUP(A3151,Table1[[Customer ID]:[Discount Amount]], 6, FALSE),"Not Found")</f>
        <v>40</v>
      </c>
      <c r="U3151" t="str">
        <f t="shared" si="197"/>
        <v>Venmo</v>
      </c>
      <c r="V3151" s="4" t="str">
        <f t="shared" si="198"/>
        <v>Normal</v>
      </c>
      <c r="W3151" s="4" t="str">
        <f t="shared" si="199"/>
        <v>Good</v>
      </c>
      <c r="X3151" s="4">
        <f>AVERAGE(Table1[Purchase Amount])</f>
        <v>129.48419400000012</v>
      </c>
    </row>
    <row r="3152" spans="1:24" ht="15" customHeight="1" x14ac:dyDescent="0.25">
      <c r="A3152">
        <v>3151</v>
      </c>
      <c r="B3152">
        <v>55</v>
      </c>
      <c r="C3152" t="s">
        <v>16</v>
      </c>
      <c r="D3152" t="s">
        <v>118</v>
      </c>
      <c r="E3152" t="s">
        <v>18</v>
      </c>
      <c r="F3152" s="2">
        <v>25</v>
      </c>
      <c r="G3152" t="s">
        <v>160</v>
      </c>
      <c r="H3152" t="s">
        <v>31</v>
      </c>
      <c r="I3152" t="s">
        <v>145</v>
      </c>
      <c r="J3152" t="s">
        <v>33</v>
      </c>
      <c r="K3152">
        <v>2.6</v>
      </c>
      <c r="L3152" t="s">
        <v>23</v>
      </c>
      <c r="M3152" t="s">
        <v>61</v>
      </c>
      <c r="N3152" t="s">
        <v>23</v>
      </c>
      <c r="O3152">
        <v>7</v>
      </c>
      <c r="P3152" t="s">
        <v>88</v>
      </c>
      <c r="Q3152" t="s">
        <v>68</v>
      </c>
      <c r="R3152" s="1">
        <v>0.1</v>
      </c>
      <c r="S3152">
        <f t="shared" si="196"/>
        <v>22.5</v>
      </c>
      <c r="T3152">
        <f>IFERROR(VLOOKUP(A3152,Table1[[Customer ID]:[Discount Amount]], 6, FALSE),"Not Found")</f>
        <v>25</v>
      </c>
      <c r="U3152" t="str">
        <f t="shared" si="197"/>
        <v>Bank Transfer</v>
      </c>
      <c r="V3152" s="4" t="str">
        <f t="shared" si="198"/>
        <v>Normal</v>
      </c>
      <c r="W3152" s="4" t="str">
        <f t="shared" si="199"/>
        <v>Poor</v>
      </c>
      <c r="X3152" s="4">
        <f>AVERAGE(Table1[Purchase Amount])</f>
        <v>129.48419400000012</v>
      </c>
    </row>
    <row r="3153" spans="1:24" ht="15" customHeight="1" x14ac:dyDescent="0.25">
      <c r="A3153">
        <v>3152</v>
      </c>
      <c r="B3153">
        <v>52</v>
      </c>
      <c r="C3153" t="s">
        <v>16</v>
      </c>
      <c r="D3153" t="s">
        <v>17</v>
      </c>
      <c r="E3153" t="s">
        <v>18</v>
      </c>
      <c r="F3153" s="2">
        <v>64</v>
      </c>
      <c r="G3153" t="s">
        <v>110</v>
      </c>
      <c r="H3153" t="s">
        <v>45</v>
      </c>
      <c r="I3153" t="s">
        <v>108</v>
      </c>
      <c r="J3153" t="s">
        <v>47</v>
      </c>
      <c r="K3153">
        <v>3.1</v>
      </c>
      <c r="L3153" t="s">
        <v>23</v>
      </c>
      <c r="M3153" t="s">
        <v>41</v>
      </c>
      <c r="N3153" t="s">
        <v>23</v>
      </c>
      <c r="O3153">
        <v>47</v>
      </c>
      <c r="P3153" t="s">
        <v>88</v>
      </c>
      <c r="Q3153" t="s">
        <v>37</v>
      </c>
      <c r="R3153" s="1">
        <v>0.1</v>
      </c>
      <c r="S3153">
        <f t="shared" si="196"/>
        <v>57.6</v>
      </c>
      <c r="T3153">
        <f>IFERROR(VLOOKUP(A3153,Table1[[Customer ID]:[Discount Amount]], 6, FALSE),"Not Found")</f>
        <v>64</v>
      </c>
      <c r="U3153" t="str">
        <f t="shared" si="197"/>
        <v>Bank Transfer</v>
      </c>
      <c r="V3153" s="4" t="str">
        <f t="shared" si="198"/>
        <v>Normal</v>
      </c>
      <c r="W3153" s="4" t="str">
        <f t="shared" si="199"/>
        <v>Good</v>
      </c>
      <c r="X3153" s="4">
        <f>AVERAGE(Table1[Purchase Amount])</f>
        <v>129.48419400000012</v>
      </c>
    </row>
    <row r="3154" spans="1:24" ht="15" customHeight="1" x14ac:dyDescent="0.25">
      <c r="A3154">
        <v>3153</v>
      </c>
      <c r="B3154">
        <v>49</v>
      </c>
      <c r="C3154" t="s">
        <v>16</v>
      </c>
      <c r="D3154" t="s">
        <v>114</v>
      </c>
      <c r="E3154" t="s">
        <v>29</v>
      </c>
      <c r="F3154" s="2">
        <v>90</v>
      </c>
      <c r="G3154" t="s">
        <v>134</v>
      </c>
      <c r="H3154" t="s">
        <v>31</v>
      </c>
      <c r="I3154" t="s">
        <v>46</v>
      </c>
      <c r="J3154" t="s">
        <v>47</v>
      </c>
      <c r="K3154">
        <v>3.1</v>
      </c>
      <c r="L3154" t="s">
        <v>23</v>
      </c>
      <c r="M3154" t="s">
        <v>48</v>
      </c>
      <c r="N3154" t="s">
        <v>23</v>
      </c>
      <c r="O3154">
        <v>17</v>
      </c>
      <c r="P3154" t="s">
        <v>58</v>
      </c>
      <c r="Q3154" t="s">
        <v>42</v>
      </c>
      <c r="R3154" s="1">
        <v>0.1</v>
      </c>
      <c r="S3154">
        <f t="shared" si="196"/>
        <v>81</v>
      </c>
      <c r="T3154">
        <f>IFERROR(VLOOKUP(A3154,Table1[[Customer ID]:[Discount Amount]], 6, FALSE),"Not Found")</f>
        <v>90</v>
      </c>
      <c r="U3154" t="str">
        <f t="shared" si="197"/>
        <v>PayPal</v>
      </c>
      <c r="V3154" s="4" t="str">
        <f t="shared" si="198"/>
        <v>Normal</v>
      </c>
      <c r="W3154" s="4" t="str">
        <f t="shared" si="199"/>
        <v>Good</v>
      </c>
      <c r="X3154" s="4">
        <f>AVERAGE(Table1[Purchase Amount])</f>
        <v>129.48419400000012</v>
      </c>
    </row>
    <row r="3155" spans="1:24" ht="15" customHeight="1" x14ac:dyDescent="0.25">
      <c r="A3155">
        <v>3154</v>
      </c>
      <c r="B3155">
        <v>56</v>
      </c>
      <c r="C3155" t="s">
        <v>16</v>
      </c>
      <c r="D3155" t="s">
        <v>105</v>
      </c>
      <c r="E3155" t="s">
        <v>18</v>
      </c>
      <c r="F3155" s="2">
        <v>88</v>
      </c>
      <c r="G3155" t="s">
        <v>51</v>
      </c>
      <c r="H3155" t="s">
        <v>45</v>
      </c>
      <c r="I3155" t="s">
        <v>46</v>
      </c>
      <c r="J3155" t="s">
        <v>47</v>
      </c>
      <c r="K3155">
        <v>3.1</v>
      </c>
      <c r="L3155" t="s">
        <v>23</v>
      </c>
      <c r="M3155" t="s">
        <v>79</v>
      </c>
      <c r="N3155" t="s">
        <v>23</v>
      </c>
      <c r="O3155">
        <v>46</v>
      </c>
      <c r="P3155" t="s">
        <v>62</v>
      </c>
      <c r="Q3155" t="s">
        <v>89</v>
      </c>
      <c r="R3155" s="1">
        <v>0.1</v>
      </c>
      <c r="S3155">
        <f t="shared" si="196"/>
        <v>79.2</v>
      </c>
      <c r="T3155">
        <f>IFERROR(VLOOKUP(A3155,Table1[[Customer ID]:[Discount Amount]], 6, FALSE),"Not Found")</f>
        <v>88</v>
      </c>
      <c r="U3155" t="str">
        <f t="shared" si="197"/>
        <v>Venmo</v>
      </c>
      <c r="V3155" s="4" t="str">
        <f t="shared" si="198"/>
        <v>Normal</v>
      </c>
      <c r="W3155" s="4" t="str">
        <f t="shared" si="199"/>
        <v>Good</v>
      </c>
      <c r="X3155" s="4">
        <f>AVERAGE(Table1[Purchase Amount])</f>
        <v>129.48419400000012</v>
      </c>
    </row>
    <row r="3156" spans="1:24" ht="15" customHeight="1" x14ac:dyDescent="0.25">
      <c r="A3156">
        <v>3155</v>
      </c>
      <c r="B3156">
        <v>27</v>
      </c>
      <c r="C3156" t="s">
        <v>16</v>
      </c>
      <c r="D3156" t="s">
        <v>114</v>
      </c>
      <c r="E3156" t="s">
        <v>29</v>
      </c>
      <c r="F3156" s="2">
        <v>55</v>
      </c>
      <c r="G3156" t="s">
        <v>115</v>
      </c>
      <c r="H3156" t="s">
        <v>31</v>
      </c>
      <c r="I3156" t="s">
        <v>133</v>
      </c>
      <c r="J3156" t="s">
        <v>22</v>
      </c>
      <c r="K3156">
        <v>4.4000000000000004</v>
      </c>
      <c r="L3156" t="s">
        <v>23</v>
      </c>
      <c r="M3156" t="s">
        <v>24</v>
      </c>
      <c r="N3156" t="s">
        <v>23</v>
      </c>
      <c r="O3156">
        <v>32</v>
      </c>
      <c r="P3156" t="s">
        <v>25</v>
      </c>
      <c r="Q3156" t="s">
        <v>37</v>
      </c>
      <c r="R3156" s="1">
        <v>0.1</v>
      </c>
      <c r="S3156">
        <f t="shared" si="196"/>
        <v>49.5</v>
      </c>
      <c r="T3156">
        <f>IFERROR(VLOOKUP(A3156,Table1[[Customer ID]:[Discount Amount]], 6, FALSE),"Not Found")</f>
        <v>55</v>
      </c>
      <c r="U3156" t="str">
        <f t="shared" si="197"/>
        <v>Cash</v>
      </c>
      <c r="V3156" s="4" t="str">
        <f t="shared" si="198"/>
        <v>Normal</v>
      </c>
      <c r="W3156" s="4" t="str">
        <f t="shared" si="199"/>
        <v>Good</v>
      </c>
      <c r="X3156" s="4">
        <f>AVERAGE(Table1[Purchase Amount])</f>
        <v>129.48419400000012</v>
      </c>
    </row>
    <row r="3157" spans="1:24" ht="15" customHeight="1" x14ac:dyDescent="0.25">
      <c r="A3157">
        <v>3156</v>
      </c>
      <c r="B3157">
        <v>22</v>
      </c>
      <c r="C3157" t="s">
        <v>16</v>
      </c>
      <c r="D3157" t="s">
        <v>69</v>
      </c>
      <c r="E3157" t="s">
        <v>29</v>
      </c>
      <c r="F3157" s="2">
        <v>90</v>
      </c>
      <c r="G3157" t="s">
        <v>39</v>
      </c>
      <c r="H3157" t="s">
        <v>31</v>
      </c>
      <c r="I3157" t="s">
        <v>60</v>
      </c>
      <c r="J3157" t="s">
        <v>47</v>
      </c>
      <c r="K3157">
        <v>4.3</v>
      </c>
      <c r="L3157" t="s">
        <v>23</v>
      </c>
      <c r="M3157" t="s">
        <v>35</v>
      </c>
      <c r="N3157" t="s">
        <v>23</v>
      </c>
      <c r="O3157">
        <v>34</v>
      </c>
      <c r="P3157" t="s">
        <v>25</v>
      </c>
      <c r="Q3157" t="s">
        <v>49</v>
      </c>
      <c r="R3157" s="1">
        <v>0.1</v>
      </c>
      <c r="S3157">
        <f t="shared" si="196"/>
        <v>81</v>
      </c>
      <c r="T3157">
        <f>IFERROR(VLOOKUP(A3157,Table1[[Customer ID]:[Discount Amount]], 6, FALSE),"Not Found")</f>
        <v>90</v>
      </c>
      <c r="U3157" t="str">
        <f t="shared" si="197"/>
        <v>Cash</v>
      </c>
      <c r="V3157" s="4" t="str">
        <f t="shared" si="198"/>
        <v>Normal</v>
      </c>
      <c r="W3157" s="4" t="str">
        <f t="shared" si="199"/>
        <v>Good</v>
      </c>
      <c r="X3157" s="4">
        <f>AVERAGE(Table1[Purchase Amount])</f>
        <v>129.48419400000012</v>
      </c>
    </row>
    <row r="3158" spans="1:24" ht="15" customHeight="1" x14ac:dyDescent="0.25">
      <c r="A3158">
        <v>3157</v>
      </c>
      <c r="B3158">
        <v>18</v>
      </c>
      <c r="C3158" t="s">
        <v>16</v>
      </c>
      <c r="D3158" t="s">
        <v>38</v>
      </c>
      <c r="E3158" t="s">
        <v>18</v>
      </c>
      <c r="F3158" s="2">
        <v>50</v>
      </c>
      <c r="G3158" t="s">
        <v>39</v>
      </c>
      <c r="H3158" t="s">
        <v>31</v>
      </c>
      <c r="I3158" t="s">
        <v>40</v>
      </c>
      <c r="J3158" t="s">
        <v>22</v>
      </c>
      <c r="K3158">
        <v>3.1</v>
      </c>
      <c r="L3158" t="s">
        <v>23</v>
      </c>
      <c r="M3158" t="s">
        <v>41</v>
      </c>
      <c r="N3158" t="s">
        <v>23</v>
      </c>
      <c r="O3158">
        <v>18</v>
      </c>
      <c r="P3158" t="s">
        <v>25</v>
      </c>
      <c r="Q3158" t="s">
        <v>42</v>
      </c>
      <c r="R3158" s="1">
        <v>0.1</v>
      </c>
      <c r="S3158">
        <f t="shared" si="196"/>
        <v>45</v>
      </c>
      <c r="T3158">
        <f>IFERROR(VLOOKUP(A3158,Table1[[Customer ID]:[Discount Amount]], 6, FALSE),"Not Found")</f>
        <v>50</v>
      </c>
      <c r="U3158" t="str">
        <f t="shared" si="197"/>
        <v>Cash</v>
      </c>
      <c r="V3158" s="4" t="str">
        <f t="shared" si="198"/>
        <v>Normal</v>
      </c>
      <c r="W3158" s="4" t="str">
        <f t="shared" si="199"/>
        <v>Good</v>
      </c>
      <c r="X3158" s="4">
        <f>AVERAGE(Table1[Purchase Amount])</f>
        <v>129.48419400000012</v>
      </c>
    </row>
    <row r="3159" spans="1:24" ht="15" customHeight="1" x14ac:dyDescent="0.25">
      <c r="A3159">
        <v>3158</v>
      </c>
      <c r="B3159">
        <v>21</v>
      </c>
      <c r="C3159" t="s">
        <v>16</v>
      </c>
      <c r="D3159" t="s">
        <v>114</v>
      </c>
      <c r="E3159" t="s">
        <v>29</v>
      </c>
      <c r="F3159" s="2">
        <v>34</v>
      </c>
      <c r="G3159" t="s">
        <v>94</v>
      </c>
      <c r="H3159" t="s">
        <v>45</v>
      </c>
      <c r="I3159" t="s">
        <v>46</v>
      </c>
      <c r="J3159" t="s">
        <v>47</v>
      </c>
      <c r="K3159">
        <v>3.1</v>
      </c>
      <c r="L3159" t="s">
        <v>23</v>
      </c>
      <c r="M3159" t="s">
        <v>48</v>
      </c>
      <c r="N3159" t="s">
        <v>23</v>
      </c>
      <c r="O3159">
        <v>5</v>
      </c>
      <c r="P3159" t="s">
        <v>36</v>
      </c>
      <c r="Q3159" t="s">
        <v>89</v>
      </c>
      <c r="R3159" s="1">
        <v>0.1</v>
      </c>
      <c r="S3159">
        <f t="shared" si="196"/>
        <v>30.6</v>
      </c>
      <c r="T3159">
        <f>IFERROR(VLOOKUP(A3159,Table1[[Customer ID]:[Discount Amount]], 6, FALSE),"Not Found")</f>
        <v>34</v>
      </c>
      <c r="U3159" t="str">
        <f t="shared" si="197"/>
        <v>Debit Card</v>
      </c>
      <c r="V3159" s="4" t="str">
        <f t="shared" si="198"/>
        <v>Normal</v>
      </c>
      <c r="W3159" s="4" t="str">
        <f t="shared" si="199"/>
        <v>Good</v>
      </c>
      <c r="X3159" s="4">
        <f>AVERAGE(Table1[Purchase Amount])</f>
        <v>129.48419400000012</v>
      </c>
    </row>
    <row r="3160" spans="1:24" ht="15" customHeight="1" x14ac:dyDescent="0.25">
      <c r="A3160">
        <v>3159</v>
      </c>
      <c r="B3160">
        <v>30</v>
      </c>
      <c r="C3160" t="s">
        <v>16</v>
      </c>
      <c r="D3160" t="s">
        <v>50</v>
      </c>
      <c r="E3160" t="s">
        <v>29</v>
      </c>
      <c r="F3160" s="2">
        <v>77</v>
      </c>
      <c r="G3160" t="s">
        <v>149</v>
      </c>
      <c r="H3160" t="s">
        <v>31</v>
      </c>
      <c r="I3160" t="s">
        <v>85</v>
      </c>
      <c r="J3160" t="s">
        <v>22</v>
      </c>
      <c r="K3160">
        <v>4.9000000000000004</v>
      </c>
      <c r="L3160" t="s">
        <v>23</v>
      </c>
      <c r="M3160" t="s">
        <v>41</v>
      </c>
      <c r="N3160" t="s">
        <v>23</v>
      </c>
      <c r="O3160">
        <v>44</v>
      </c>
      <c r="P3160" t="s">
        <v>53</v>
      </c>
      <c r="Q3160" t="s">
        <v>42</v>
      </c>
      <c r="R3160" s="1">
        <v>0.1</v>
      </c>
      <c r="S3160">
        <f t="shared" si="196"/>
        <v>69.3</v>
      </c>
      <c r="T3160">
        <f>IFERROR(VLOOKUP(A3160,Table1[[Customer ID]:[Discount Amount]], 6, FALSE),"Not Found")</f>
        <v>77</v>
      </c>
      <c r="U3160" t="str">
        <f t="shared" si="197"/>
        <v>Credit Card</v>
      </c>
      <c r="V3160" s="4" t="str">
        <f t="shared" si="198"/>
        <v>Normal</v>
      </c>
      <c r="W3160" s="4" t="str">
        <f t="shared" si="199"/>
        <v>Good</v>
      </c>
      <c r="X3160" s="4">
        <f>AVERAGE(Table1[Purchase Amount])</f>
        <v>129.48419400000012</v>
      </c>
    </row>
    <row r="3161" spans="1:24" ht="15" customHeight="1" x14ac:dyDescent="0.25">
      <c r="A3161">
        <v>3160</v>
      </c>
      <c r="B3161">
        <v>62</v>
      </c>
      <c r="C3161" t="s">
        <v>16</v>
      </c>
      <c r="D3161" t="s">
        <v>64</v>
      </c>
      <c r="E3161" t="s">
        <v>29</v>
      </c>
      <c r="F3161" s="2">
        <v>89</v>
      </c>
      <c r="G3161" t="s">
        <v>119</v>
      </c>
      <c r="H3161" t="s">
        <v>45</v>
      </c>
      <c r="I3161" t="s">
        <v>136</v>
      </c>
      <c r="J3161" t="s">
        <v>22</v>
      </c>
      <c r="K3161">
        <v>2.9</v>
      </c>
      <c r="L3161" t="s">
        <v>23</v>
      </c>
      <c r="M3161" t="s">
        <v>48</v>
      </c>
      <c r="N3161" t="s">
        <v>23</v>
      </c>
      <c r="O3161">
        <v>4</v>
      </c>
      <c r="P3161" t="s">
        <v>88</v>
      </c>
      <c r="Q3161" t="s">
        <v>37</v>
      </c>
      <c r="R3161" s="1">
        <v>0.1</v>
      </c>
      <c r="S3161">
        <f t="shared" si="196"/>
        <v>80.099999999999994</v>
      </c>
      <c r="T3161">
        <f>IFERROR(VLOOKUP(A3161,Table1[[Customer ID]:[Discount Amount]], 6, FALSE),"Not Found")</f>
        <v>89</v>
      </c>
      <c r="U3161" t="str">
        <f t="shared" si="197"/>
        <v>Bank Transfer</v>
      </c>
      <c r="V3161" s="4" t="str">
        <f t="shared" si="198"/>
        <v>Normal</v>
      </c>
      <c r="W3161" s="4" t="str">
        <f t="shared" si="199"/>
        <v>Poor</v>
      </c>
      <c r="X3161" s="4">
        <f>AVERAGE(Table1[Purchase Amount])</f>
        <v>129.48419400000012</v>
      </c>
    </row>
    <row r="3162" spans="1:24" ht="15" customHeight="1" x14ac:dyDescent="0.25">
      <c r="A3162">
        <v>3161</v>
      </c>
      <c r="B3162">
        <v>28</v>
      </c>
      <c r="C3162" t="s">
        <v>16</v>
      </c>
      <c r="D3162" t="s">
        <v>104</v>
      </c>
      <c r="E3162" t="s">
        <v>29</v>
      </c>
      <c r="F3162" s="2">
        <v>87</v>
      </c>
      <c r="G3162" t="s">
        <v>137</v>
      </c>
      <c r="H3162" t="s">
        <v>20</v>
      </c>
      <c r="I3162" t="s">
        <v>156</v>
      </c>
      <c r="J3162" t="s">
        <v>47</v>
      </c>
      <c r="K3162">
        <v>3.8</v>
      </c>
      <c r="L3162" t="s">
        <v>23</v>
      </c>
      <c r="M3162" t="s">
        <v>79</v>
      </c>
      <c r="N3162" t="s">
        <v>23</v>
      </c>
      <c r="O3162">
        <v>37</v>
      </c>
      <c r="P3162" t="s">
        <v>25</v>
      </c>
      <c r="Q3162" t="s">
        <v>89</v>
      </c>
      <c r="R3162" s="1">
        <v>0.1</v>
      </c>
      <c r="S3162">
        <f t="shared" si="196"/>
        <v>78.3</v>
      </c>
      <c r="T3162">
        <f>IFERROR(VLOOKUP(A3162,Table1[[Customer ID]:[Discount Amount]], 6, FALSE),"Not Found")</f>
        <v>87</v>
      </c>
      <c r="U3162" t="str">
        <f t="shared" si="197"/>
        <v>Cash</v>
      </c>
      <c r="V3162" s="4" t="str">
        <f t="shared" si="198"/>
        <v>Normal</v>
      </c>
      <c r="W3162" s="4" t="str">
        <f t="shared" si="199"/>
        <v>Good</v>
      </c>
      <c r="X3162" s="4">
        <f>AVERAGE(Table1[Purchase Amount])</f>
        <v>129.48419400000012</v>
      </c>
    </row>
    <row r="3163" spans="1:24" ht="15" customHeight="1" x14ac:dyDescent="0.25">
      <c r="A3163">
        <v>3162</v>
      </c>
      <c r="B3163">
        <v>66</v>
      </c>
      <c r="C3163" t="s">
        <v>16</v>
      </c>
      <c r="D3163" t="s">
        <v>157</v>
      </c>
      <c r="E3163" t="s">
        <v>18</v>
      </c>
      <c r="F3163" s="2">
        <v>77</v>
      </c>
      <c r="G3163" t="s">
        <v>97</v>
      </c>
      <c r="H3163" t="s">
        <v>55</v>
      </c>
      <c r="I3163" t="s">
        <v>103</v>
      </c>
      <c r="J3163" t="s">
        <v>22</v>
      </c>
      <c r="K3163">
        <v>4.2</v>
      </c>
      <c r="L3163" t="s">
        <v>23</v>
      </c>
      <c r="M3163" t="s">
        <v>41</v>
      </c>
      <c r="N3163" t="s">
        <v>23</v>
      </c>
      <c r="O3163">
        <v>43</v>
      </c>
      <c r="P3163" t="s">
        <v>25</v>
      </c>
      <c r="Q3163" t="s">
        <v>42</v>
      </c>
      <c r="R3163" s="1">
        <v>0.1</v>
      </c>
      <c r="S3163">
        <f t="shared" si="196"/>
        <v>69.3</v>
      </c>
      <c r="T3163">
        <f>IFERROR(VLOOKUP(A3163,Table1[[Customer ID]:[Discount Amount]], 6, FALSE),"Not Found")</f>
        <v>77</v>
      </c>
      <c r="U3163" t="str">
        <f t="shared" si="197"/>
        <v>Cash</v>
      </c>
      <c r="V3163" s="4" t="str">
        <f t="shared" si="198"/>
        <v>Normal</v>
      </c>
      <c r="W3163" s="4" t="str">
        <f t="shared" si="199"/>
        <v>Good</v>
      </c>
      <c r="X3163" s="4">
        <f>AVERAGE(Table1[Purchase Amount])</f>
        <v>129.48419400000012</v>
      </c>
    </row>
    <row r="3164" spans="1:24" ht="15" customHeight="1" x14ac:dyDescent="0.25">
      <c r="A3164">
        <v>3163</v>
      </c>
      <c r="B3164">
        <v>66</v>
      </c>
      <c r="C3164" t="s">
        <v>16</v>
      </c>
      <c r="D3164" t="s">
        <v>72</v>
      </c>
      <c r="E3164" t="s">
        <v>98</v>
      </c>
      <c r="F3164" s="2">
        <v>85</v>
      </c>
      <c r="G3164" t="s">
        <v>59</v>
      </c>
      <c r="H3164" t="s">
        <v>45</v>
      </c>
      <c r="I3164" t="s">
        <v>74</v>
      </c>
      <c r="J3164" t="s">
        <v>22</v>
      </c>
      <c r="K3164">
        <v>3.9</v>
      </c>
      <c r="L3164" t="s">
        <v>23</v>
      </c>
      <c r="M3164" t="s">
        <v>24</v>
      </c>
      <c r="N3164" t="s">
        <v>23</v>
      </c>
      <c r="O3164">
        <v>28</v>
      </c>
      <c r="P3164" t="s">
        <v>88</v>
      </c>
      <c r="Q3164" t="s">
        <v>37</v>
      </c>
      <c r="R3164" s="1">
        <v>0.1</v>
      </c>
      <c r="S3164">
        <f t="shared" si="196"/>
        <v>76.5</v>
      </c>
      <c r="T3164">
        <f>IFERROR(VLOOKUP(A3164,Table1[[Customer ID]:[Discount Amount]], 6, FALSE),"Not Found")</f>
        <v>85</v>
      </c>
      <c r="U3164" t="str">
        <f t="shared" si="197"/>
        <v>Bank Transfer</v>
      </c>
      <c r="V3164" s="4" t="str">
        <f t="shared" si="198"/>
        <v>Normal</v>
      </c>
      <c r="W3164" s="4" t="str">
        <f t="shared" si="199"/>
        <v>Good</v>
      </c>
      <c r="X3164" s="4">
        <f>AVERAGE(Table1[Purchase Amount])</f>
        <v>129.48419400000012</v>
      </c>
    </row>
    <row r="3165" spans="1:24" ht="15" customHeight="1" x14ac:dyDescent="0.25">
      <c r="A3165">
        <v>3164</v>
      </c>
      <c r="B3165">
        <v>49</v>
      </c>
      <c r="C3165" t="s">
        <v>16</v>
      </c>
      <c r="D3165" t="s">
        <v>99</v>
      </c>
      <c r="E3165" t="s">
        <v>18</v>
      </c>
      <c r="F3165" s="2">
        <v>66</v>
      </c>
      <c r="G3165" t="s">
        <v>137</v>
      </c>
      <c r="H3165" t="s">
        <v>20</v>
      </c>
      <c r="I3165" t="s">
        <v>156</v>
      </c>
      <c r="J3165" t="s">
        <v>57</v>
      </c>
      <c r="K3165">
        <v>2.8</v>
      </c>
      <c r="L3165" t="s">
        <v>23</v>
      </c>
      <c r="M3165" t="s">
        <v>61</v>
      </c>
      <c r="N3165" t="s">
        <v>23</v>
      </c>
      <c r="O3165">
        <v>36</v>
      </c>
      <c r="P3165" t="s">
        <v>25</v>
      </c>
      <c r="Q3165" t="s">
        <v>42</v>
      </c>
      <c r="R3165" s="1">
        <v>0.1</v>
      </c>
      <c r="S3165">
        <f t="shared" si="196"/>
        <v>59.4</v>
      </c>
      <c r="T3165">
        <f>IFERROR(VLOOKUP(A3165,Table1[[Customer ID]:[Discount Amount]], 6, FALSE),"Not Found")</f>
        <v>66</v>
      </c>
      <c r="U3165" t="str">
        <f t="shared" si="197"/>
        <v>Cash</v>
      </c>
      <c r="V3165" s="4" t="str">
        <f t="shared" si="198"/>
        <v>Normal</v>
      </c>
      <c r="W3165" s="4" t="str">
        <f t="shared" si="199"/>
        <v>Poor</v>
      </c>
      <c r="X3165" s="4">
        <f>AVERAGE(Table1[Purchase Amount])</f>
        <v>129.48419400000012</v>
      </c>
    </row>
    <row r="3166" spans="1:24" ht="15" customHeight="1" x14ac:dyDescent="0.25">
      <c r="A3166">
        <v>3165</v>
      </c>
      <c r="B3166">
        <v>40</v>
      </c>
      <c r="C3166" t="s">
        <v>16</v>
      </c>
      <c r="D3166" t="s">
        <v>157</v>
      </c>
      <c r="E3166" t="s">
        <v>18</v>
      </c>
      <c r="F3166" s="2">
        <v>32</v>
      </c>
      <c r="G3166" t="s">
        <v>150</v>
      </c>
      <c r="H3166" t="s">
        <v>45</v>
      </c>
      <c r="I3166" t="s">
        <v>153</v>
      </c>
      <c r="J3166" t="s">
        <v>22</v>
      </c>
      <c r="K3166">
        <v>2.6</v>
      </c>
      <c r="L3166" t="s">
        <v>23</v>
      </c>
      <c r="M3166" t="s">
        <v>24</v>
      </c>
      <c r="N3166" t="s">
        <v>23</v>
      </c>
      <c r="O3166">
        <v>16</v>
      </c>
      <c r="P3166" t="s">
        <v>53</v>
      </c>
      <c r="Q3166" t="s">
        <v>49</v>
      </c>
      <c r="R3166" s="1">
        <v>0.1</v>
      </c>
      <c r="S3166">
        <f t="shared" si="196"/>
        <v>28.8</v>
      </c>
      <c r="T3166">
        <f>IFERROR(VLOOKUP(A3166,Table1[[Customer ID]:[Discount Amount]], 6, FALSE),"Not Found")</f>
        <v>32</v>
      </c>
      <c r="U3166" t="str">
        <f t="shared" si="197"/>
        <v>Credit Card</v>
      </c>
      <c r="V3166" s="4" t="str">
        <f t="shared" si="198"/>
        <v>Normal</v>
      </c>
      <c r="W3166" s="4" t="str">
        <f t="shared" si="199"/>
        <v>Poor</v>
      </c>
      <c r="X3166" s="4">
        <f>AVERAGE(Table1[Purchase Amount])</f>
        <v>129.48419400000012</v>
      </c>
    </row>
    <row r="3167" spans="1:24" ht="15" customHeight="1" x14ac:dyDescent="0.25">
      <c r="A3167">
        <v>3166</v>
      </c>
      <c r="B3167">
        <v>49</v>
      </c>
      <c r="C3167" t="s">
        <v>16</v>
      </c>
      <c r="D3167" t="s">
        <v>96</v>
      </c>
      <c r="E3167" t="s">
        <v>77</v>
      </c>
      <c r="F3167" s="2">
        <v>92</v>
      </c>
      <c r="G3167" t="s">
        <v>135</v>
      </c>
      <c r="H3167" t="s">
        <v>31</v>
      </c>
      <c r="I3167" t="s">
        <v>107</v>
      </c>
      <c r="J3167" t="s">
        <v>33</v>
      </c>
      <c r="K3167">
        <v>3</v>
      </c>
      <c r="L3167" t="s">
        <v>23</v>
      </c>
      <c r="M3167" t="s">
        <v>48</v>
      </c>
      <c r="N3167" t="s">
        <v>23</v>
      </c>
      <c r="O3167">
        <v>38</v>
      </c>
      <c r="P3167" t="s">
        <v>88</v>
      </c>
      <c r="Q3167" t="s">
        <v>63</v>
      </c>
      <c r="R3167" s="1">
        <v>0.1</v>
      </c>
      <c r="S3167">
        <f t="shared" si="196"/>
        <v>82.8</v>
      </c>
      <c r="T3167">
        <f>IFERROR(VLOOKUP(A3167,Table1[[Customer ID]:[Discount Amount]], 6, FALSE),"Not Found")</f>
        <v>92</v>
      </c>
      <c r="U3167" t="str">
        <f t="shared" si="197"/>
        <v>Bank Transfer</v>
      </c>
      <c r="V3167" s="4" t="str">
        <f t="shared" si="198"/>
        <v>Normal</v>
      </c>
      <c r="W3167" s="4" t="str">
        <f t="shared" si="199"/>
        <v>Good</v>
      </c>
      <c r="X3167" s="4">
        <f>AVERAGE(Table1[Purchase Amount])</f>
        <v>129.48419400000012</v>
      </c>
    </row>
    <row r="3168" spans="1:24" ht="15" customHeight="1" x14ac:dyDescent="0.25">
      <c r="A3168">
        <v>3167</v>
      </c>
      <c r="B3168">
        <v>19</v>
      </c>
      <c r="C3168" t="s">
        <v>16</v>
      </c>
      <c r="D3168" t="s">
        <v>38</v>
      </c>
      <c r="E3168" t="s">
        <v>18</v>
      </c>
      <c r="F3168" s="2">
        <v>80</v>
      </c>
      <c r="G3168" t="s">
        <v>160</v>
      </c>
      <c r="H3168" t="s">
        <v>31</v>
      </c>
      <c r="I3168" t="s">
        <v>133</v>
      </c>
      <c r="J3168" t="s">
        <v>22</v>
      </c>
      <c r="K3168">
        <v>2.7</v>
      </c>
      <c r="L3168" t="s">
        <v>23</v>
      </c>
      <c r="M3168" t="s">
        <v>79</v>
      </c>
      <c r="N3168" t="s">
        <v>23</v>
      </c>
      <c r="O3168">
        <v>37</v>
      </c>
      <c r="P3168" t="s">
        <v>88</v>
      </c>
      <c r="Q3168" t="s">
        <v>89</v>
      </c>
      <c r="R3168" s="1">
        <v>0.1</v>
      </c>
      <c r="S3168">
        <f t="shared" si="196"/>
        <v>72</v>
      </c>
      <c r="T3168">
        <f>IFERROR(VLOOKUP(A3168,Table1[[Customer ID]:[Discount Amount]], 6, FALSE),"Not Found")</f>
        <v>80</v>
      </c>
      <c r="U3168" t="str">
        <f t="shared" si="197"/>
        <v>Bank Transfer</v>
      </c>
      <c r="V3168" s="4" t="str">
        <f t="shared" si="198"/>
        <v>Normal</v>
      </c>
      <c r="W3168" s="4" t="str">
        <f t="shared" si="199"/>
        <v>Poor</v>
      </c>
      <c r="X3168" s="4">
        <f>AVERAGE(Table1[Purchase Amount])</f>
        <v>129.48419400000012</v>
      </c>
    </row>
    <row r="3169" spans="1:24" ht="15" customHeight="1" x14ac:dyDescent="0.25">
      <c r="A3169">
        <v>3168</v>
      </c>
      <c r="B3169">
        <v>24</v>
      </c>
      <c r="C3169" t="s">
        <v>16</v>
      </c>
      <c r="D3169" t="s">
        <v>157</v>
      </c>
      <c r="E3169" t="s">
        <v>18</v>
      </c>
      <c r="F3169" s="2">
        <v>78</v>
      </c>
      <c r="G3169" t="s">
        <v>123</v>
      </c>
      <c r="H3169" t="s">
        <v>31</v>
      </c>
      <c r="I3169" t="s">
        <v>74</v>
      </c>
      <c r="J3169" t="s">
        <v>47</v>
      </c>
      <c r="K3169">
        <v>2.8</v>
      </c>
      <c r="L3169" t="s">
        <v>23</v>
      </c>
      <c r="M3169" t="s">
        <v>41</v>
      </c>
      <c r="N3169" t="s">
        <v>23</v>
      </c>
      <c r="O3169">
        <v>9</v>
      </c>
      <c r="P3169" t="s">
        <v>25</v>
      </c>
      <c r="Q3169" t="s">
        <v>68</v>
      </c>
      <c r="R3169" s="1">
        <v>0.1</v>
      </c>
      <c r="S3169">
        <f t="shared" si="196"/>
        <v>70.2</v>
      </c>
      <c r="T3169">
        <f>IFERROR(VLOOKUP(A3169,Table1[[Customer ID]:[Discount Amount]], 6, FALSE),"Not Found")</f>
        <v>78</v>
      </c>
      <c r="U3169" t="str">
        <f t="shared" si="197"/>
        <v>Cash</v>
      </c>
      <c r="V3169" s="4" t="str">
        <f t="shared" si="198"/>
        <v>Normal</v>
      </c>
      <c r="W3169" s="4" t="str">
        <f t="shared" si="199"/>
        <v>Poor</v>
      </c>
      <c r="X3169" s="4">
        <f>AVERAGE(Table1[Purchase Amount])</f>
        <v>129.48419400000012</v>
      </c>
    </row>
    <row r="3170" spans="1:24" ht="15" customHeight="1" x14ac:dyDescent="0.25">
      <c r="A3170">
        <v>3169</v>
      </c>
      <c r="B3170">
        <v>31</v>
      </c>
      <c r="C3170" t="s">
        <v>16</v>
      </c>
      <c r="D3170" t="s">
        <v>109</v>
      </c>
      <c r="E3170" t="s">
        <v>18</v>
      </c>
      <c r="F3170" s="2">
        <v>24</v>
      </c>
      <c r="G3170" t="s">
        <v>39</v>
      </c>
      <c r="H3170" t="s">
        <v>31</v>
      </c>
      <c r="I3170" t="s">
        <v>108</v>
      </c>
      <c r="J3170" t="s">
        <v>33</v>
      </c>
      <c r="K3170">
        <v>2.9</v>
      </c>
      <c r="L3170" t="s">
        <v>23</v>
      </c>
      <c r="M3170" t="s">
        <v>41</v>
      </c>
      <c r="N3170" t="s">
        <v>23</v>
      </c>
      <c r="O3170">
        <v>14</v>
      </c>
      <c r="P3170" t="s">
        <v>58</v>
      </c>
      <c r="Q3170" t="s">
        <v>89</v>
      </c>
      <c r="R3170" s="1">
        <v>0.1</v>
      </c>
      <c r="S3170">
        <f t="shared" si="196"/>
        <v>21.6</v>
      </c>
      <c r="T3170">
        <f>IFERROR(VLOOKUP(A3170,Table1[[Customer ID]:[Discount Amount]], 6, FALSE),"Not Found")</f>
        <v>24</v>
      </c>
      <c r="U3170" t="str">
        <f t="shared" si="197"/>
        <v>PayPal</v>
      </c>
      <c r="V3170" s="4" t="str">
        <f t="shared" si="198"/>
        <v>Normal</v>
      </c>
      <c r="W3170" s="4" t="str">
        <f t="shared" si="199"/>
        <v>Poor</v>
      </c>
      <c r="X3170" s="4">
        <f>AVERAGE(Table1[Purchase Amount])</f>
        <v>129.48419400000012</v>
      </c>
    </row>
    <row r="3171" spans="1:24" ht="15" customHeight="1" x14ac:dyDescent="0.25">
      <c r="A3171">
        <v>3170</v>
      </c>
      <c r="B3171">
        <v>35</v>
      </c>
      <c r="C3171" t="s">
        <v>16</v>
      </c>
      <c r="D3171" t="s">
        <v>17</v>
      </c>
      <c r="E3171" t="s">
        <v>18</v>
      </c>
      <c r="F3171" s="2">
        <v>59</v>
      </c>
      <c r="G3171" t="s">
        <v>160</v>
      </c>
      <c r="H3171" t="s">
        <v>31</v>
      </c>
      <c r="I3171" t="s">
        <v>32</v>
      </c>
      <c r="J3171" t="s">
        <v>47</v>
      </c>
      <c r="K3171">
        <v>3.8</v>
      </c>
      <c r="L3171" t="s">
        <v>23</v>
      </c>
      <c r="M3171" t="s">
        <v>35</v>
      </c>
      <c r="N3171" t="s">
        <v>23</v>
      </c>
      <c r="O3171">
        <v>3</v>
      </c>
      <c r="P3171" t="s">
        <v>62</v>
      </c>
      <c r="Q3171" t="s">
        <v>26</v>
      </c>
      <c r="R3171" s="1">
        <v>0.1</v>
      </c>
      <c r="S3171">
        <f t="shared" si="196"/>
        <v>53.1</v>
      </c>
      <c r="T3171">
        <f>IFERROR(VLOOKUP(A3171,Table1[[Customer ID]:[Discount Amount]], 6, FALSE),"Not Found")</f>
        <v>59</v>
      </c>
      <c r="U3171" t="str">
        <f t="shared" si="197"/>
        <v>Venmo</v>
      </c>
      <c r="V3171" s="4" t="str">
        <f t="shared" si="198"/>
        <v>Normal</v>
      </c>
      <c r="W3171" s="4" t="str">
        <f t="shared" si="199"/>
        <v>Good</v>
      </c>
      <c r="X3171" s="4">
        <f>AVERAGE(Table1[Purchase Amount])</f>
        <v>129.48419400000012</v>
      </c>
    </row>
    <row r="3172" spans="1:24" ht="15" customHeight="1" x14ac:dyDescent="0.25">
      <c r="A3172">
        <v>3171</v>
      </c>
      <c r="B3172">
        <v>65</v>
      </c>
      <c r="C3172" t="s">
        <v>16</v>
      </c>
      <c r="D3172" t="s">
        <v>28</v>
      </c>
      <c r="E3172" t="s">
        <v>29</v>
      </c>
      <c r="F3172" s="2">
        <v>41</v>
      </c>
      <c r="G3172" t="s">
        <v>159</v>
      </c>
      <c r="H3172" t="s">
        <v>20</v>
      </c>
      <c r="I3172" t="s">
        <v>103</v>
      </c>
      <c r="J3172" t="s">
        <v>33</v>
      </c>
      <c r="K3172">
        <v>4.4000000000000004</v>
      </c>
      <c r="L3172" t="s">
        <v>23</v>
      </c>
      <c r="M3172" t="s">
        <v>61</v>
      </c>
      <c r="N3172" t="s">
        <v>23</v>
      </c>
      <c r="O3172">
        <v>10</v>
      </c>
      <c r="P3172" t="s">
        <v>53</v>
      </c>
      <c r="Q3172" t="s">
        <v>89</v>
      </c>
      <c r="R3172" s="1">
        <v>0.1</v>
      </c>
      <c r="S3172">
        <f t="shared" si="196"/>
        <v>36.9</v>
      </c>
      <c r="T3172">
        <f>IFERROR(VLOOKUP(A3172,Table1[[Customer ID]:[Discount Amount]], 6, FALSE),"Not Found")</f>
        <v>41</v>
      </c>
      <c r="U3172" t="str">
        <f t="shared" si="197"/>
        <v>Credit Card</v>
      </c>
      <c r="V3172" s="4" t="str">
        <f t="shared" si="198"/>
        <v>Normal</v>
      </c>
      <c r="W3172" s="4" t="str">
        <f t="shared" si="199"/>
        <v>Good</v>
      </c>
      <c r="X3172" s="4">
        <f>AVERAGE(Table1[Purchase Amount])</f>
        <v>129.48419400000012</v>
      </c>
    </row>
    <row r="3173" spans="1:24" ht="15" customHeight="1" x14ac:dyDescent="0.25">
      <c r="A3173">
        <v>3172</v>
      </c>
      <c r="B3173">
        <v>68</v>
      </c>
      <c r="C3173" t="s">
        <v>16</v>
      </c>
      <c r="D3173" t="s">
        <v>50</v>
      </c>
      <c r="E3173" t="s">
        <v>29</v>
      </c>
      <c r="F3173" s="2">
        <v>26</v>
      </c>
      <c r="G3173" t="s">
        <v>65</v>
      </c>
      <c r="H3173" t="s">
        <v>31</v>
      </c>
      <c r="I3173" t="s">
        <v>125</v>
      </c>
      <c r="J3173" t="s">
        <v>33</v>
      </c>
      <c r="K3173">
        <v>3.1</v>
      </c>
      <c r="L3173" t="s">
        <v>23</v>
      </c>
      <c r="M3173" t="s">
        <v>61</v>
      </c>
      <c r="N3173" t="s">
        <v>23</v>
      </c>
      <c r="O3173">
        <v>26</v>
      </c>
      <c r="P3173" t="s">
        <v>88</v>
      </c>
      <c r="Q3173" t="s">
        <v>68</v>
      </c>
      <c r="R3173" s="1">
        <v>0.1</v>
      </c>
      <c r="S3173">
        <f t="shared" si="196"/>
        <v>23.4</v>
      </c>
      <c r="T3173">
        <f>IFERROR(VLOOKUP(A3173,Table1[[Customer ID]:[Discount Amount]], 6, FALSE),"Not Found")</f>
        <v>26</v>
      </c>
      <c r="U3173" t="str">
        <f t="shared" si="197"/>
        <v>Bank Transfer</v>
      </c>
      <c r="V3173" s="4" t="str">
        <f t="shared" si="198"/>
        <v>Normal</v>
      </c>
      <c r="W3173" s="4" t="str">
        <f t="shared" si="199"/>
        <v>Good</v>
      </c>
      <c r="X3173" s="4">
        <f>AVERAGE(Table1[Purchase Amount])</f>
        <v>129.48419400000012</v>
      </c>
    </row>
    <row r="3174" spans="1:24" ht="15" customHeight="1" x14ac:dyDescent="0.25">
      <c r="A3174">
        <v>3173</v>
      </c>
      <c r="B3174">
        <v>57</v>
      </c>
      <c r="C3174" t="s">
        <v>16</v>
      </c>
      <c r="D3174" t="s">
        <v>105</v>
      </c>
      <c r="E3174" t="s">
        <v>18</v>
      </c>
      <c r="F3174" s="2">
        <v>52</v>
      </c>
      <c r="G3174" t="s">
        <v>146</v>
      </c>
      <c r="H3174" t="s">
        <v>31</v>
      </c>
      <c r="I3174" t="s">
        <v>21</v>
      </c>
      <c r="J3174" t="s">
        <v>47</v>
      </c>
      <c r="K3174">
        <v>3.7</v>
      </c>
      <c r="L3174" t="s">
        <v>23</v>
      </c>
      <c r="M3174" t="s">
        <v>24</v>
      </c>
      <c r="N3174" t="s">
        <v>23</v>
      </c>
      <c r="O3174">
        <v>30</v>
      </c>
      <c r="P3174" t="s">
        <v>36</v>
      </c>
      <c r="Q3174" t="s">
        <v>68</v>
      </c>
      <c r="R3174" s="1">
        <v>0.1</v>
      </c>
      <c r="S3174">
        <f t="shared" si="196"/>
        <v>46.8</v>
      </c>
      <c r="T3174">
        <f>IFERROR(VLOOKUP(A3174,Table1[[Customer ID]:[Discount Amount]], 6, FALSE),"Not Found")</f>
        <v>52</v>
      </c>
      <c r="U3174" t="str">
        <f t="shared" si="197"/>
        <v>Debit Card</v>
      </c>
      <c r="V3174" s="4" t="str">
        <f t="shared" si="198"/>
        <v>Normal</v>
      </c>
      <c r="W3174" s="4" t="str">
        <f t="shared" si="199"/>
        <v>Good</v>
      </c>
      <c r="X3174" s="4">
        <f>AVERAGE(Table1[Purchase Amount])</f>
        <v>129.48419400000012</v>
      </c>
    </row>
    <row r="3175" spans="1:24" ht="15" customHeight="1" x14ac:dyDescent="0.25">
      <c r="A3175">
        <v>3174</v>
      </c>
      <c r="B3175">
        <v>69</v>
      </c>
      <c r="C3175" t="s">
        <v>16</v>
      </c>
      <c r="D3175" t="s">
        <v>122</v>
      </c>
      <c r="E3175" t="s">
        <v>18</v>
      </c>
      <c r="F3175" s="2">
        <v>46</v>
      </c>
      <c r="G3175" t="s">
        <v>155</v>
      </c>
      <c r="H3175" t="s">
        <v>45</v>
      </c>
      <c r="I3175" t="s">
        <v>147</v>
      </c>
      <c r="J3175" t="s">
        <v>57</v>
      </c>
      <c r="K3175">
        <v>4.9000000000000004</v>
      </c>
      <c r="L3175" t="s">
        <v>23</v>
      </c>
      <c r="M3175" t="s">
        <v>79</v>
      </c>
      <c r="N3175" t="s">
        <v>23</v>
      </c>
      <c r="O3175">
        <v>32</v>
      </c>
      <c r="P3175" t="s">
        <v>58</v>
      </c>
      <c r="Q3175" t="s">
        <v>89</v>
      </c>
      <c r="R3175" s="1">
        <v>0.1</v>
      </c>
      <c r="S3175">
        <f t="shared" si="196"/>
        <v>41.4</v>
      </c>
      <c r="T3175">
        <f>IFERROR(VLOOKUP(A3175,Table1[[Customer ID]:[Discount Amount]], 6, FALSE),"Not Found")</f>
        <v>46</v>
      </c>
      <c r="U3175" t="str">
        <f t="shared" si="197"/>
        <v>PayPal</v>
      </c>
      <c r="V3175" s="4" t="str">
        <f t="shared" si="198"/>
        <v>Normal</v>
      </c>
      <c r="W3175" s="4" t="str">
        <f t="shared" si="199"/>
        <v>Good</v>
      </c>
      <c r="X3175" s="4">
        <f>AVERAGE(Table1[Purchase Amount])</f>
        <v>129.48419400000012</v>
      </c>
    </row>
    <row r="3176" spans="1:24" ht="15" customHeight="1" x14ac:dyDescent="0.25">
      <c r="A3176">
        <v>3175</v>
      </c>
      <c r="B3176">
        <v>45</v>
      </c>
      <c r="C3176" t="s">
        <v>16</v>
      </c>
      <c r="D3176" t="s">
        <v>99</v>
      </c>
      <c r="E3176" t="s">
        <v>18</v>
      </c>
      <c r="F3176" s="2">
        <v>52</v>
      </c>
      <c r="G3176" t="s">
        <v>142</v>
      </c>
      <c r="H3176" t="s">
        <v>45</v>
      </c>
      <c r="I3176" t="s">
        <v>108</v>
      </c>
      <c r="J3176" t="s">
        <v>22</v>
      </c>
      <c r="K3176">
        <v>3.8</v>
      </c>
      <c r="L3176" t="s">
        <v>23</v>
      </c>
      <c r="M3176" t="s">
        <v>48</v>
      </c>
      <c r="N3176" t="s">
        <v>23</v>
      </c>
      <c r="O3176">
        <v>35</v>
      </c>
      <c r="P3176" t="s">
        <v>58</v>
      </c>
      <c r="Q3176" t="s">
        <v>42</v>
      </c>
      <c r="R3176" s="1">
        <v>0.1</v>
      </c>
      <c r="S3176">
        <f t="shared" si="196"/>
        <v>46.8</v>
      </c>
      <c r="T3176">
        <f>IFERROR(VLOOKUP(A3176,Table1[[Customer ID]:[Discount Amount]], 6, FALSE),"Not Found")</f>
        <v>52</v>
      </c>
      <c r="U3176" t="str">
        <f t="shared" si="197"/>
        <v>PayPal</v>
      </c>
      <c r="V3176" s="4" t="str">
        <f t="shared" si="198"/>
        <v>Normal</v>
      </c>
      <c r="W3176" s="4" t="str">
        <f t="shared" si="199"/>
        <v>Good</v>
      </c>
      <c r="X3176" s="4">
        <f>AVERAGE(Table1[Purchase Amount])</f>
        <v>129.48419400000012</v>
      </c>
    </row>
    <row r="3177" spans="1:24" ht="15" customHeight="1" x14ac:dyDescent="0.25">
      <c r="A3177">
        <v>3176</v>
      </c>
      <c r="B3177">
        <v>35</v>
      </c>
      <c r="C3177" t="s">
        <v>16</v>
      </c>
      <c r="D3177" t="s">
        <v>105</v>
      </c>
      <c r="E3177" t="s">
        <v>18</v>
      </c>
      <c r="F3177" s="2">
        <v>42</v>
      </c>
      <c r="G3177" t="s">
        <v>115</v>
      </c>
      <c r="H3177" t="s">
        <v>31</v>
      </c>
      <c r="I3177" t="s">
        <v>125</v>
      </c>
      <c r="J3177" t="s">
        <v>47</v>
      </c>
      <c r="K3177">
        <v>3.4</v>
      </c>
      <c r="L3177" t="s">
        <v>23</v>
      </c>
      <c r="M3177" t="s">
        <v>48</v>
      </c>
      <c r="N3177" t="s">
        <v>23</v>
      </c>
      <c r="O3177">
        <v>26</v>
      </c>
      <c r="P3177" t="s">
        <v>36</v>
      </c>
      <c r="Q3177" t="s">
        <v>63</v>
      </c>
      <c r="R3177" s="1">
        <v>0.1</v>
      </c>
      <c r="S3177">
        <f t="shared" si="196"/>
        <v>37.799999999999997</v>
      </c>
      <c r="T3177">
        <f>IFERROR(VLOOKUP(A3177,Table1[[Customer ID]:[Discount Amount]], 6, FALSE),"Not Found")</f>
        <v>42</v>
      </c>
      <c r="U3177" t="str">
        <f t="shared" si="197"/>
        <v>Debit Card</v>
      </c>
      <c r="V3177" s="4" t="str">
        <f t="shared" si="198"/>
        <v>Normal</v>
      </c>
      <c r="W3177" s="4" t="str">
        <f t="shared" si="199"/>
        <v>Good</v>
      </c>
      <c r="X3177" s="4">
        <f>AVERAGE(Table1[Purchase Amount])</f>
        <v>129.48419400000012</v>
      </c>
    </row>
    <row r="3178" spans="1:24" ht="15" customHeight="1" x14ac:dyDescent="0.25">
      <c r="A3178">
        <v>3177</v>
      </c>
      <c r="B3178">
        <v>36</v>
      </c>
      <c r="C3178" t="s">
        <v>16</v>
      </c>
      <c r="D3178" t="s">
        <v>121</v>
      </c>
      <c r="E3178" t="s">
        <v>98</v>
      </c>
      <c r="F3178" s="2">
        <v>37</v>
      </c>
      <c r="G3178" t="s">
        <v>100</v>
      </c>
      <c r="H3178" t="s">
        <v>20</v>
      </c>
      <c r="I3178" t="s">
        <v>156</v>
      </c>
      <c r="J3178" t="s">
        <v>33</v>
      </c>
      <c r="K3178">
        <v>4.5999999999999996</v>
      </c>
      <c r="L3178" t="s">
        <v>23</v>
      </c>
      <c r="M3178" t="s">
        <v>41</v>
      </c>
      <c r="N3178" t="s">
        <v>23</v>
      </c>
      <c r="O3178">
        <v>39</v>
      </c>
      <c r="P3178" t="s">
        <v>53</v>
      </c>
      <c r="Q3178" t="s">
        <v>42</v>
      </c>
      <c r="R3178" s="1">
        <v>0.1</v>
      </c>
      <c r="S3178">
        <f t="shared" si="196"/>
        <v>33.299999999999997</v>
      </c>
      <c r="T3178">
        <f>IFERROR(VLOOKUP(A3178,Table1[[Customer ID]:[Discount Amount]], 6, FALSE),"Not Found")</f>
        <v>37</v>
      </c>
      <c r="U3178" t="str">
        <f t="shared" si="197"/>
        <v>Credit Card</v>
      </c>
      <c r="V3178" s="4" t="str">
        <f t="shared" si="198"/>
        <v>Normal</v>
      </c>
      <c r="W3178" s="4" t="str">
        <f t="shared" si="199"/>
        <v>Good</v>
      </c>
      <c r="X3178" s="4">
        <f>AVERAGE(Table1[Purchase Amount])</f>
        <v>129.48419400000012</v>
      </c>
    </row>
    <row r="3179" spans="1:24" ht="15" customHeight="1" x14ac:dyDescent="0.25">
      <c r="A3179">
        <v>3178</v>
      </c>
      <c r="B3179">
        <v>55</v>
      </c>
      <c r="C3179" t="s">
        <v>16</v>
      </c>
      <c r="D3179" t="s">
        <v>114</v>
      </c>
      <c r="E3179" t="s">
        <v>29</v>
      </c>
      <c r="F3179" s="2">
        <v>52</v>
      </c>
      <c r="G3179" t="s">
        <v>146</v>
      </c>
      <c r="H3179" t="s">
        <v>45</v>
      </c>
      <c r="I3179" t="s">
        <v>56</v>
      </c>
      <c r="J3179" t="s">
        <v>47</v>
      </c>
      <c r="K3179">
        <v>3.2</v>
      </c>
      <c r="L3179" t="s">
        <v>23</v>
      </c>
      <c r="M3179" t="s">
        <v>24</v>
      </c>
      <c r="N3179" t="s">
        <v>23</v>
      </c>
      <c r="O3179">
        <v>31</v>
      </c>
      <c r="P3179" t="s">
        <v>53</v>
      </c>
      <c r="Q3179" t="s">
        <v>42</v>
      </c>
      <c r="R3179" s="1">
        <v>0.1</v>
      </c>
      <c r="S3179">
        <f t="shared" si="196"/>
        <v>46.8</v>
      </c>
      <c r="T3179">
        <f>IFERROR(VLOOKUP(A3179,Table1[[Customer ID]:[Discount Amount]], 6, FALSE),"Not Found")</f>
        <v>52</v>
      </c>
      <c r="U3179" t="str">
        <f t="shared" si="197"/>
        <v>Credit Card</v>
      </c>
      <c r="V3179" s="4" t="str">
        <f t="shared" si="198"/>
        <v>Normal</v>
      </c>
      <c r="W3179" s="4" t="str">
        <f t="shared" si="199"/>
        <v>Good</v>
      </c>
      <c r="X3179" s="4">
        <f>AVERAGE(Table1[Purchase Amount])</f>
        <v>129.48419400000012</v>
      </c>
    </row>
    <row r="3180" spans="1:24" ht="15" customHeight="1" x14ac:dyDescent="0.25">
      <c r="A3180">
        <v>3179</v>
      </c>
      <c r="B3180">
        <v>66</v>
      </c>
      <c r="C3180" t="s">
        <v>16</v>
      </c>
      <c r="D3180" t="s">
        <v>121</v>
      </c>
      <c r="E3180" t="s">
        <v>98</v>
      </c>
      <c r="F3180" s="2">
        <v>34</v>
      </c>
      <c r="G3180" t="s">
        <v>155</v>
      </c>
      <c r="H3180" t="s">
        <v>45</v>
      </c>
      <c r="I3180" t="s">
        <v>56</v>
      </c>
      <c r="J3180" t="s">
        <v>33</v>
      </c>
      <c r="K3180">
        <v>2.7</v>
      </c>
      <c r="L3180" t="s">
        <v>23</v>
      </c>
      <c r="M3180" t="s">
        <v>35</v>
      </c>
      <c r="N3180" t="s">
        <v>23</v>
      </c>
      <c r="O3180">
        <v>28</v>
      </c>
      <c r="P3180" t="s">
        <v>53</v>
      </c>
      <c r="Q3180" t="s">
        <v>49</v>
      </c>
      <c r="R3180" s="1">
        <v>0.1</v>
      </c>
      <c r="S3180">
        <f t="shared" si="196"/>
        <v>30.6</v>
      </c>
      <c r="T3180">
        <f>IFERROR(VLOOKUP(A3180,Table1[[Customer ID]:[Discount Amount]], 6, FALSE),"Not Found")</f>
        <v>34</v>
      </c>
      <c r="U3180" t="str">
        <f t="shared" si="197"/>
        <v>Credit Card</v>
      </c>
      <c r="V3180" s="4" t="str">
        <f t="shared" si="198"/>
        <v>Normal</v>
      </c>
      <c r="W3180" s="4" t="str">
        <f t="shared" si="199"/>
        <v>Poor</v>
      </c>
      <c r="X3180" s="4">
        <f>AVERAGE(Table1[Purchase Amount])</f>
        <v>129.48419400000012</v>
      </c>
    </row>
    <row r="3181" spans="1:24" ht="15" customHeight="1" x14ac:dyDescent="0.25">
      <c r="A3181">
        <v>3180</v>
      </c>
      <c r="B3181">
        <v>57</v>
      </c>
      <c r="C3181" t="s">
        <v>16</v>
      </c>
      <c r="D3181" t="s">
        <v>54</v>
      </c>
      <c r="E3181" t="s">
        <v>18</v>
      </c>
      <c r="F3181" s="2">
        <v>88</v>
      </c>
      <c r="G3181" t="s">
        <v>161</v>
      </c>
      <c r="H3181" t="s">
        <v>31</v>
      </c>
      <c r="I3181" t="s">
        <v>21</v>
      </c>
      <c r="J3181" t="s">
        <v>33</v>
      </c>
      <c r="K3181">
        <v>4.3</v>
      </c>
      <c r="L3181" t="s">
        <v>23</v>
      </c>
      <c r="M3181" t="s">
        <v>35</v>
      </c>
      <c r="N3181" t="s">
        <v>23</v>
      </c>
      <c r="O3181">
        <v>12</v>
      </c>
      <c r="P3181" t="s">
        <v>36</v>
      </c>
      <c r="Q3181" t="s">
        <v>68</v>
      </c>
      <c r="R3181" s="1">
        <v>0.1</v>
      </c>
      <c r="S3181">
        <f t="shared" si="196"/>
        <v>79.2</v>
      </c>
      <c r="T3181">
        <f>IFERROR(VLOOKUP(A3181,Table1[[Customer ID]:[Discount Amount]], 6, FALSE),"Not Found")</f>
        <v>88</v>
      </c>
      <c r="U3181" t="str">
        <f t="shared" si="197"/>
        <v>Debit Card</v>
      </c>
      <c r="V3181" s="4" t="str">
        <f t="shared" si="198"/>
        <v>Normal</v>
      </c>
      <c r="W3181" s="4" t="str">
        <f t="shared" si="199"/>
        <v>Good</v>
      </c>
      <c r="X3181" s="4">
        <f>AVERAGE(Table1[Purchase Amount])</f>
        <v>129.48419400000012</v>
      </c>
    </row>
    <row r="3182" spans="1:24" ht="15" customHeight="1" x14ac:dyDescent="0.25">
      <c r="A3182">
        <v>3181</v>
      </c>
      <c r="B3182">
        <v>18</v>
      </c>
      <c r="C3182" t="s">
        <v>16</v>
      </c>
      <c r="D3182" t="s">
        <v>69</v>
      </c>
      <c r="E3182" t="s">
        <v>29</v>
      </c>
      <c r="F3182" s="2">
        <v>88</v>
      </c>
      <c r="G3182" t="s">
        <v>39</v>
      </c>
      <c r="H3182" t="s">
        <v>45</v>
      </c>
      <c r="I3182" t="s">
        <v>156</v>
      </c>
      <c r="J3182" t="s">
        <v>47</v>
      </c>
      <c r="K3182">
        <v>3.8</v>
      </c>
      <c r="L3182" t="s">
        <v>23</v>
      </c>
      <c r="M3182" t="s">
        <v>24</v>
      </c>
      <c r="N3182" t="s">
        <v>23</v>
      </c>
      <c r="O3182">
        <v>46</v>
      </c>
      <c r="P3182" t="s">
        <v>58</v>
      </c>
      <c r="Q3182" t="s">
        <v>26</v>
      </c>
      <c r="R3182" s="1">
        <v>0.1</v>
      </c>
      <c r="S3182">
        <f t="shared" si="196"/>
        <v>79.2</v>
      </c>
      <c r="T3182">
        <f>IFERROR(VLOOKUP(A3182,Table1[[Customer ID]:[Discount Amount]], 6, FALSE),"Not Found")</f>
        <v>88</v>
      </c>
      <c r="U3182" t="str">
        <f t="shared" si="197"/>
        <v>PayPal</v>
      </c>
      <c r="V3182" s="4" t="str">
        <f t="shared" si="198"/>
        <v>Normal</v>
      </c>
      <c r="W3182" s="4" t="str">
        <f t="shared" si="199"/>
        <v>Good</v>
      </c>
      <c r="X3182" s="4">
        <f>AVERAGE(Table1[Purchase Amount])</f>
        <v>129.48419400000012</v>
      </c>
    </row>
    <row r="3183" spans="1:24" ht="15" customHeight="1" x14ac:dyDescent="0.25">
      <c r="A3183">
        <v>3182</v>
      </c>
      <c r="B3183">
        <v>31</v>
      </c>
      <c r="C3183" t="s">
        <v>16</v>
      </c>
      <c r="D3183" t="s">
        <v>96</v>
      </c>
      <c r="E3183" t="s">
        <v>77</v>
      </c>
      <c r="F3183" s="2">
        <v>51</v>
      </c>
      <c r="G3183" t="s">
        <v>39</v>
      </c>
      <c r="H3183" t="s">
        <v>31</v>
      </c>
      <c r="I3183" t="s">
        <v>103</v>
      </c>
      <c r="J3183" t="s">
        <v>57</v>
      </c>
      <c r="K3183">
        <v>4.4000000000000004</v>
      </c>
      <c r="L3183" t="s">
        <v>23</v>
      </c>
      <c r="M3183" t="s">
        <v>35</v>
      </c>
      <c r="N3183" t="s">
        <v>23</v>
      </c>
      <c r="O3183">
        <v>27</v>
      </c>
      <c r="P3183" t="s">
        <v>58</v>
      </c>
      <c r="Q3183" t="s">
        <v>63</v>
      </c>
      <c r="R3183" s="1">
        <v>0.1</v>
      </c>
      <c r="S3183">
        <f t="shared" si="196"/>
        <v>45.9</v>
      </c>
      <c r="T3183">
        <f>IFERROR(VLOOKUP(A3183,Table1[[Customer ID]:[Discount Amount]], 6, FALSE),"Not Found")</f>
        <v>51</v>
      </c>
      <c r="U3183" t="str">
        <f t="shared" si="197"/>
        <v>PayPal</v>
      </c>
      <c r="V3183" s="4" t="str">
        <f t="shared" si="198"/>
        <v>Normal</v>
      </c>
      <c r="W3183" s="4" t="str">
        <f t="shared" si="199"/>
        <v>Good</v>
      </c>
      <c r="X3183" s="4">
        <f>AVERAGE(Table1[Purchase Amount])</f>
        <v>129.48419400000012</v>
      </c>
    </row>
    <row r="3184" spans="1:24" ht="15" customHeight="1" x14ac:dyDescent="0.25">
      <c r="A3184">
        <v>3183</v>
      </c>
      <c r="B3184">
        <v>50</v>
      </c>
      <c r="C3184" t="s">
        <v>16</v>
      </c>
      <c r="D3184" t="s">
        <v>28</v>
      </c>
      <c r="E3184" t="s">
        <v>29</v>
      </c>
      <c r="F3184" s="2">
        <v>97</v>
      </c>
      <c r="G3184" t="s">
        <v>160</v>
      </c>
      <c r="H3184" t="s">
        <v>45</v>
      </c>
      <c r="I3184" t="s">
        <v>93</v>
      </c>
      <c r="J3184" t="s">
        <v>47</v>
      </c>
      <c r="K3184">
        <v>3.6</v>
      </c>
      <c r="L3184" t="s">
        <v>23</v>
      </c>
      <c r="M3184" t="s">
        <v>35</v>
      </c>
      <c r="N3184" t="s">
        <v>23</v>
      </c>
      <c r="O3184">
        <v>4</v>
      </c>
      <c r="P3184" t="s">
        <v>53</v>
      </c>
      <c r="Q3184" t="s">
        <v>49</v>
      </c>
      <c r="R3184" s="1">
        <v>0.1</v>
      </c>
      <c r="S3184">
        <f t="shared" si="196"/>
        <v>87.3</v>
      </c>
      <c r="T3184">
        <f>IFERROR(VLOOKUP(A3184,Table1[[Customer ID]:[Discount Amount]], 6, FALSE),"Not Found")</f>
        <v>97</v>
      </c>
      <c r="U3184" t="str">
        <f t="shared" si="197"/>
        <v>Credit Card</v>
      </c>
      <c r="V3184" s="4" t="str">
        <f t="shared" si="198"/>
        <v>Normal</v>
      </c>
      <c r="W3184" s="4" t="str">
        <f t="shared" si="199"/>
        <v>Good</v>
      </c>
      <c r="X3184" s="4">
        <f>AVERAGE(Table1[Purchase Amount])</f>
        <v>129.48419400000012</v>
      </c>
    </row>
    <row r="3185" spans="1:24" ht="15" customHeight="1" x14ac:dyDescent="0.25">
      <c r="A3185">
        <v>3184</v>
      </c>
      <c r="B3185">
        <v>50</v>
      </c>
      <c r="C3185" t="s">
        <v>16</v>
      </c>
      <c r="D3185" t="s">
        <v>140</v>
      </c>
      <c r="E3185" t="s">
        <v>98</v>
      </c>
      <c r="F3185" s="2">
        <v>56</v>
      </c>
      <c r="G3185" t="s">
        <v>149</v>
      </c>
      <c r="H3185" t="s">
        <v>31</v>
      </c>
      <c r="I3185" t="s">
        <v>93</v>
      </c>
      <c r="J3185" t="s">
        <v>22</v>
      </c>
      <c r="K3185">
        <v>3.5</v>
      </c>
      <c r="L3185" t="s">
        <v>23</v>
      </c>
      <c r="M3185" t="s">
        <v>24</v>
      </c>
      <c r="N3185" t="s">
        <v>23</v>
      </c>
      <c r="O3185">
        <v>14</v>
      </c>
      <c r="P3185" t="s">
        <v>25</v>
      </c>
      <c r="Q3185" t="s">
        <v>63</v>
      </c>
      <c r="R3185" s="1">
        <v>0.1</v>
      </c>
      <c r="S3185">
        <f t="shared" si="196"/>
        <v>50.4</v>
      </c>
      <c r="T3185">
        <f>IFERROR(VLOOKUP(A3185,Table1[[Customer ID]:[Discount Amount]], 6, FALSE),"Not Found")</f>
        <v>56</v>
      </c>
      <c r="U3185" t="str">
        <f t="shared" si="197"/>
        <v>Cash</v>
      </c>
      <c r="V3185" s="4" t="str">
        <f t="shared" si="198"/>
        <v>Normal</v>
      </c>
      <c r="W3185" s="4" t="str">
        <f t="shared" si="199"/>
        <v>Good</v>
      </c>
      <c r="X3185" s="4">
        <f>AVERAGE(Table1[Purchase Amount])</f>
        <v>129.48419400000012</v>
      </c>
    </row>
    <row r="3186" spans="1:24" ht="15" customHeight="1" x14ac:dyDescent="0.25">
      <c r="A3186">
        <v>3185</v>
      </c>
      <c r="B3186">
        <v>61</v>
      </c>
      <c r="C3186" t="s">
        <v>16</v>
      </c>
      <c r="D3186" t="s">
        <v>127</v>
      </c>
      <c r="E3186" t="s">
        <v>18</v>
      </c>
      <c r="F3186" s="2">
        <v>53</v>
      </c>
      <c r="G3186" t="s">
        <v>135</v>
      </c>
      <c r="H3186" t="s">
        <v>45</v>
      </c>
      <c r="I3186" t="s">
        <v>93</v>
      </c>
      <c r="J3186" t="s">
        <v>33</v>
      </c>
      <c r="K3186">
        <v>4.2</v>
      </c>
      <c r="L3186" t="s">
        <v>23</v>
      </c>
      <c r="M3186" t="s">
        <v>41</v>
      </c>
      <c r="N3186" t="s">
        <v>23</v>
      </c>
      <c r="O3186">
        <v>30</v>
      </c>
      <c r="P3186" t="s">
        <v>62</v>
      </c>
      <c r="Q3186" t="s">
        <v>37</v>
      </c>
      <c r="R3186" s="1">
        <v>0.1</v>
      </c>
      <c r="S3186">
        <f t="shared" si="196"/>
        <v>47.7</v>
      </c>
      <c r="T3186">
        <f>IFERROR(VLOOKUP(A3186,Table1[[Customer ID]:[Discount Amount]], 6, FALSE),"Not Found")</f>
        <v>53</v>
      </c>
      <c r="U3186" t="str">
        <f t="shared" si="197"/>
        <v>Venmo</v>
      </c>
      <c r="V3186" s="4" t="str">
        <f t="shared" si="198"/>
        <v>Normal</v>
      </c>
      <c r="W3186" s="4" t="str">
        <f t="shared" si="199"/>
        <v>Good</v>
      </c>
      <c r="X3186" s="4">
        <f>AVERAGE(Table1[Purchase Amount])</f>
        <v>129.48419400000012</v>
      </c>
    </row>
    <row r="3187" spans="1:24" ht="15" customHeight="1" x14ac:dyDescent="0.25">
      <c r="A3187">
        <v>3186</v>
      </c>
      <c r="B3187">
        <v>52</v>
      </c>
      <c r="C3187" t="s">
        <v>16</v>
      </c>
      <c r="D3187" t="s">
        <v>122</v>
      </c>
      <c r="E3187" t="s">
        <v>18</v>
      </c>
      <c r="F3187" s="2">
        <v>71</v>
      </c>
      <c r="G3187" t="s">
        <v>90</v>
      </c>
      <c r="H3187" t="s">
        <v>45</v>
      </c>
      <c r="I3187" t="s">
        <v>133</v>
      </c>
      <c r="J3187" t="s">
        <v>47</v>
      </c>
      <c r="K3187">
        <v>4.7</v>
      </c>
      <c r="L3187" t="s">
        <v>23</v>
      </c>
      <c r="M3187" t="s">
        <v>61</v>
      </c>
      <c r="N3187" t="s">
        <v>23</v>
      </c>
      <c r="O3187">
        <v>6</v>
      </c>
      <c r="P3187" t="s">
        <v>58</v>
      </c>
      <c r="Q3187" t="s">
        <v>49</v>
      </c>
      <c r="R3187" s="1">
        <v>0.1</v>
      </c>
      <c r="S3187">
        <f t="shared" si="196"/>
        <v>63.9</v>
      </c>
      <c r="T3187">
        <f>IFERROR(VLOOKUP(A3187,Table1[[Customer ID]:[Discount Amount]], 6, FALSE),"Not Found")</f>
        <v>71</v>
      </c>
      <c r="U3187" t="str">
        <f t="shared" si="197"/>
        <v>PayPal</v>
      </c>
      <c r="V3187" s="4" t="str">
        <f t="shared" si="198"/>
        <v>Normal</v>
      </c>
      <c r="W3187" s="4" t="str">
        <f t="shared" si="199"/>
        <v>Good</v>
      </c>
      <c r="X3187" s="4">
        <f>AVERAGE(Table1[Purchase Amount])</f>
        <v>129.48419400000012</v>
      </c>
    </row>
    <row r="3188" spans="1:24" ht="15" customHeight="1" x14ac:dyDescent="0.25">
      <c r="A3188">
        <v>3187</v>
      </c>
      <c r="B3188">
        <v>38</v>
      </c>
      <c r="C3188" t="s">
        <v>16</v>
      </c>
      <c r="D3188" t="s">
        <v>50</v>
      </c>
      <c r="E3188" t="s">
        <v>29</v>
      </c>
      <c r="F3188" s="2">
        <v>93</v>
      </c>
      <c r="G3188" t="s">
        <v>138</v>
      </c>
      <c r="H3188" t="s">
        <v>55</v>
      </c>
      <c r="I3188" t="s">
        <v>128</v>
      </c>
      <c r="J3188" t="s">
        <v>22</v>
      </c>
      <c r="K3188">
        <v>4.8</v>
      </c>
      <c r="L3188" t="s">
        <v>23</v>
      </c>
      <c r="M3188" t="s">
        <v>48</v>
      </c>
      <c r="N3188" t="s">
        <v>23</v>
      </c>
      <c r="O3188">
        <v>43</v>
      </c>
      <c r="P3188" t="s">
        <v>62</v>
      </c>
      <c r="Q3188" t="s">
        <v>49</v>
      </c>
      <c r="R3188" s="1">
        <v>0.1</v>
      </c>
      <c r="S3188">
        <f t="shared" si="196"/>
        <v>83.7</v>
      </c>
      <c r="T3188">
        <f>IFERROR(VLOOKUP(A3188,Table1[[Customer ID]:[Discount Amount]], 6, FALSE),"Not Found")</f>
        <v>93</v>
      </c>
      <c r="U3188" t="str">
        <f t="shared" si="197"/>
        <v>Venmo</v>
      </c>
      <c r="V3188" s="4" t="str">
        <f t="shared" si="198"/>
        <v>Normal</v>
      </c>
      <c r="W3188" s="4" t="str">
        <f t="shared" si="199"/>
        <v>Good</v>
      </c>
      <c r="X3188" s="4">
        <f>AVERAGE(Table1[Purchase Amount])</f>
        <v>129.48419400000012</v>
      </c>
    </row>
    <row r="3189" spans="1:24" ht="15" customHeight="1" x14ac:dyDescent="0.25">
      <c r="A3189">
        <v>3188</v>
      </c>
      <c r="B3189">
        <v>67</v>
      </c>
      <c r="C3189" t="s">
        <v>16</v>
      </c>
      <c r="D3189" t="s">
        <v>118</v>
      </c>
      <c r="E3189" t="s">
        <v>18</v>
      </c>
      <c r="F3189" s="2">
        <v>72</v>
      </c>
      <c r="G3189" t="s">
        <v>152</v>
      </c>
      <c r="H3189" t="s">
        <v>45</v>
      </c>
      <c r="I3189" t="s">
        <v>91</v>
      </c>
      <c r="J3189" t="s">
        <v>22</v>
      </c>
      <c r="K3189">
        <v>3.2</v>
      </c>
      <c r="L3189" t="s">
        <v>23</v>
      </c>
      <c r="M3189" t="s">
        <v>35</v>
      </c>
      <c r="N3189" t="s">
        <v>23</v>
      </c>
      <c r="O3189">
        <v>28</v>
      </c>
      <c r="P3189" t="s">
        <v>36</v>
      </c>
      <c r="Q3189" t="s">
        <v>26</v>
      </c>
      <c r="R3189" s="1">
        <v>0.1</v>
      </c>
      <c r="S3189">
        <f t="shared" si="196"/>
        <v>64.8</v>
      </c>
      <c r="T3189">
        <f>IFERROR(VLOOKUP(A3189,Table1[[Customer ID]:[Discount Amount]], 6, FALSE),"Not Found")</f>
        <v>72</v>
      </c>
      <c r="U3189" t="str">
        <f t="shared" si="197"/>
        <v>Debit Card</v>
      </c>
      <c r="V3189" s="4" t="str">
        <f t="shared" si="198"/>
        <v>Normal</v>
      </c>
      <c r="W3189" s="4" t="str">
        <f t="shared" si="199"/>
        <v>Good</v>
      </c>
      <c r="X3189" s="4">
        <f>AVERAGE(Table1[Purchase Amount])</f>
        <v>129.48419400000012</v>
      </c>
    </row>
    <row r="3190" spans="1:24" ht="15" customHeight="1" x14ac:dyDescent="0.25">
      <c r="A3190">
        <v>3189</v>
      </c>
      <c r="B3190">
        <v>42</v>
      </c>
      <c r="C3190" t="s">
        <v>16</v>
      </c>
      <c r="D3190" t="s">
        <v>118</v>
      </c>
      <c r="E3190" t="s">
        <v>18</v>
      </c>
      <c r="F3190" s="2">
        <v>59</v>
      </c>
      <c r="G3190" t="s">
        <v>84</v>
      </c>
      <c r="H3190" t="s">
        <v>31</v>
      </c>
      <c r="I3190" t="s">
        <v>107</v>
      </c>
      <c r="J3190" t="s">
        <v>22</v>
      </c>
      <c r="K3190">
        <v>3.5</v>
      </c>
      <c r="L3190" t="s">
        <v>23</v>
      </c>
      <c r="M3190" t="s">
        <v>24</v>
      </c>
      <c r="N3190" t="s">
        <v>23</v>
      </c>
      <c r="O3190">
        <v>39</v>
      </c>
      <c r="P3190" t="s">
        <v>88</v>
      </c>
      <c r="Q3190" t="s">
        <v>42</v>
      </c>
      <c r="R3190" s="1">
        <v>0.1</v>
      </c>
      <c r="S3190">
        <f t="shared" si="196"/>
        <v>53.1</v>
      </c>
      <c r="T3190">
        <f>IFERROR(VLOOKUP(A3190,Table1[[Customer ID]:[Discount Amount]], 6, FALSE),"Not Found")</f>
        <v>59</v>
      </c>
      <c r="U3190" t="str">
        <f t="shared" si="197"/>
        <v>Bank Transfer</v>
      </c>
      <c r="V3190" s="4" t="str">
        <f t="shared" si="198"/>
        <v>Normal</v>
      </c>
      <c r="W3190" s="4" t="str">
        <f t="shared" si="199"/>
        <v>Good</v>
      </c>
      <c r="X3190" s="4">
        <f>AVERAGE(Table1[Purchase Amount])</f>
        <v>129.48419400000012</v>
      </c>
    </row>
    <row r="3191" spans="1:24" ht="15" customHeight="1" x14ac:dyDescent="0.25">
      <c r="A3191">
        <v>3190</v>
      </c>
      <c r="B3191">
        <v>25</v>
      </c>
      <c r="C3191" t="s">
        <v>16</v>
      </c>
      <c r="D3191" t="s">
        <v>151</v>
      </c>
      <c r="E3191" t="s">
        <v>98</v>
      </c>
      <c r="F3191" s="2">
        <v>87</v>
      </c>
      <c r="G3191" t="s">
        <v>124</v>
      </c>
      <c r="H3191" t="s">
        <v>31</v>
      </c>
      <c r="I3191" t="s">
        <v>56</v>
      </c>
      <c r="J3191" t="s">
        <v>57</v>
      </c>
      <c r="K3191">
        <v>4.2</v>
      </c>
      <c r="L3191" t="s">
        <v>23</v>
      </c>
      <c r="M3191" t="s">
        <v>48</v>
      </c>
      <c r="N3191" t="s">
        <v>23</v>
      </c>
      <c r="O3191">
        <v>30</v>
      </c>
      <c r="P3191" t="s">
        <v>58</v>
      </c>
      <c r="Q3191" t="s">
        <v>68</v>
      </c>
      <c r="R3191" s="1">
        <v>0.1</v>
      </c>
      <c r="S3191">
        <f t="shared" si="196"/>
        <v>78.3</v>
      </c>
      <c r="T3191">
        <f>IFERROR(VLOOKUP(A3191,Table1[[Customer ID]:[Discount Amount]], 6, FALSE),"Not Found")</f>
        <v>87</v>
      </c>
      <c r="U3191" t="str">
        <f t="shared" si="197"/>
        <v>PayPal</v>
      </c>
      <c r="V3191" s="4" t="str">
        <f t="shared" si="198"/>
        <v>Normal</v>
      </c>
      <c r="W3191" s="4" t="str">
        <f t="shared" si="199"/>
        <v>Good</v>
      </c>
      <c r="X3191" s="4">
        <f>AVERAGE(Table1[Purchase Amount])</f>
        <v>129.48419400000012</v>
      </c>
    </row>
    <row r="3192" spans="1:24" ht="15" customHeight="1" x14ac:dyDescent="0.25">
      <c r="A3192">
        <v>3191</v>
      </c>
      <c r="B3192">
        <v>41</v>
      </c>
      <c r="C3192" t="s">
        <v>16</v>
      </c>
      <c r="D3192" t="s">
        <v>109</v>
      </c>
      <c r="E3192" t="s">
        <v>18</v>
      </c>
      <c r="F3192" s="2">
        <v>78</v>
      </c>
      <c r="G3192" t="s">
        <v>19</v>
      </c>
      <c r="H3192" t="s">
        <v>55</v>
      </c>
      <c r="I3192" t="s">
        <v>66</v>
      </c>
      <c r="J3192" t="s">
        <v>47</v>
      </c>
      <c r="K3192">
        <v>3.4</v>
      </c>
      <c r="L3192" t="s">
        <v>23</v>
      </c>
      <c r="M3192" t="s">
        <v>35</v>
      </c>
      <c r="N3192" t="s">
        <v>23</v>
      </c>
      <c r="O3192">
        <v>5</v>
      </c>
      <c r="P3192" t="s">
        <v>53</v>
      </c>
      <c r="Q3192" t="s">
        <v>89</v>
      </c>
      <c r="R3192" s="1">
        <v>0.1</v>
      </c>
      <c r="S3192">
        <f t="shared" si="196"/>
        <v>70.2</v>
      </c>
      <c r="T3192">
        <f>IFERROR(VLOOKUP(A3192,Table1[[Customer ID]:[Discount Amount]], 6, FALSE),"Not Found")</f>
        <v>78</v>
      </c>
      <c r="U3192" t="str">
        <f t="shared" si="197"/>
        <v>Credit Card</v>
      </c>
      <c r="V3192" s="4" t="str">
        <f t="shared" si="198"/>
        <v>Normal</v>
      </c>
      <c r="W3192" s="4" t="str">
        <f t="shared" si="199"/>
        <v>Good</v>
      </c>
      <c r="X3192" s="4">
        <f>AVERAGE(Table1[Purchase Amount])</f>
        <v>129.48419400000012</v>
      </c>
    </row>
    <row r="3193" spans="1:24" ht="15" customHeight="1" x14ac:dyDescent="0.25">
      <c r="A3193">
        <v>3192</v>
      </c>
      <c r="B3193">
        <v>62</v>
      </c>
      <c r="C3193" t="s">
        <v>16</v>
      </c>
      <c r="D3193" t="s">
        <v>83</v>
      </c>
      <c r="E3193" t="s">
        <v>18</v>
      </c>
      <c r="F3193" s="2">
        <v>68</v>
      </c>
      <c r="G3193" t="s">
        <v>149</v>
      </c>
      <c r="H3193" t="s">
        <v>20</v>
      </c>
      <c r="I3193" t="s">
        <v>125</v>
      </c>
      <c r="J3193" t="s">
        <v>22</v>
      </c>
      <c r="K3193">
        <v>4.7</v>
      </c>
      <c r="L3193" t="s">
        <v>23</v>
      </c>
      <c r="M3193" t="s">
        <v>48</v>
      </c>
      <c r="N3193" t="s">
        <v>23</v>
      </c>
      <c r="O3193">
        <v>42</v>
      </c>
      <c r="P3193" t="s">
        <v>53</v>
      </c>
      <c r="Q3193" t="s">
        <v>63</v>
      </c>
      <c r="R3193" s="1">
        <v>0.1</v>
      </c>
      <c r="S3193">
        <f t="shared" si="196"/>
        <v>61.2</v>
      </c>
      <c r="T3193">
        <f>IFERROR(VLOOKUP(A3193,Table1[[Customer ID]:[Discount Amount]], 6, FALSE),"Not Found")</f>
        <v>68</v>
      </c>
      <c r="U3193" t="str">
        <f t="shared" si="197"/>
        <v>Credit Card</v>
      </c>
      <c r="V3193" s="4" t="str">
        <f t="shared" si="198"/>
        <v>Normal</v>
      </c>
      <c r="W3193" s="4" t="str">
        <f t="shared" si="199"/>
        <v>Good</v>
      </c>
      <c r="X3193" s="4">
        <f>AVERAGE(Table1[Purchase Amount])</f>
        <v>129.48419400000012</v>
      </c>
    </row>
    <row r="3194" spans="1:24" ht="15" customHeight="1" x14ac:dyDescent="0.25">
      <c r="A3194">
        <v>3193</v>
      </c>
      <c r="B3194">
        <v>19</v>
      </c>
      <c r="C3194" t="s">
        <v>16</v>
      </c>
      <c r="D3194" t="s">
        <v>127</v>
      </c>
      <c r="E3194" t="s">
        <v>18</v>
      </c>
      <c r="F3194" s="2">
        <v>76</v>
      </c>
      <c r="G3194" t="s">
        <v>141</v>
      </c>
      <c r="H3194" t="s">
        <v>55</v>
      </c>
      <c r="I3194" t="s">
        <v>125</v>
      </c>
      <c r="J3194" t="s">
        <v>47</v>
      </c>
      <c r="K3194">
        <v>3</v>
      </c>
      <c r="L3194" t="s">
        <v>23</v>
      </c>
      <c r="M3194" t="s">
        <v>35</v>
      </c>
      <c r="N3194" t="s">
        <v>23</v>
      </c>
      <c r="O3194">
        <v>20</v>
      </c>
      <c r="P3194" t="s">
        <v>25</v>
      </c>
      <c r="Q3194" t="s">
        <v>89</v>
      </c>
      <c r="R3194" s="1">
        <v>0.1</v>
      </c>
      <c r="S3194">
        <f t="shared" si="196"/>
        <v>68.400000000000006</v>
      </c>
      <c r="T3194">
        <f>IFERROR(VLOOKUP(A3194,Table1[[Customer ID]:[Discount Amount]], 6, FALSE),"Not Found")</f>
        <v>76</v>
      </c>
      <c r="U3194" t="str">
        <f t="shared" si="197"/>
        <v>Cash</v>
      </c>
      <c r="V3194" s="4" t="str">
        <f t="shared" si="198"/>
        <v>Normal</v>
      </c>
      <c r="W3194" s="4" t="str">
        <f t="shared" si="199"/>
        <v>Good</v>
      </c>
      <c r="X3194" s="4">
        <f>AVERAGE(Table1[Purchase Amount])</f>
        <v>129.48419400000012</v>
      </c>
    </row>
    <row r="3195" spans="1:24" ht="15" customHeight="1" x14ac:dyDescent="0.25">
      <c r="A3195">
        <v>3194</v>
      </c>
      <c r="B3195">
        <v>63</v>
      </c>
      <c r="C3195" t="s">
        <v>16</v>
      </c>
      <c r="D3195" t="s">
        <v>43</v>
      </c>
      <c r="E3195" t="s">
        <v>29</v>
      </c>
      <c r="F3195" s="2">
        <v>99</v>
      </c>
      <c r="G3195" t="s">
        <v>138</v>
      </c>
      <c r="H3195" t="s">
        <v>45</v>
      </c>
      <c r="I3195" t="s">
        <v>147</v>
      </c>
      <c r="J3195" t="s">
        <v>22</v>
      </c>
      <c r="K3195">
        <v>4</v>
      </c>
      <c r="L3195" t="s">
        <v>23</v>
      </c>
      <c r="M3195" t="s">
        <v>61</v>
      </c>
      <c r="N3195" t="s">
        <v>23</v>
      </c>
      <c r="O3195">
        <v>35</v>
      </c>
      <c r="P3195" t="s">
        <v>53</v>
      </c>
      <c r="Q3195" t="s">
        <v>89</v>
      </c>
      <c r="R3195" s="1">
        <v>0.1</v>
      </c>
      <c r="S3195">
        <f t="shared" si="196"/>
        <v>89.1</v>
      </c>
      <c r="T3195">
        <f>IFERROR(VLOOKUP(A3195,Table1[[Customer ID]:[Discount Amount]], 6, FALSE),"Not Found")</f>
        <v>99</v>
      </c>
      <c r="U3195" t="str">
        <f t="shared" si="197"/>
        <v>Credit Card</v>
      </c>
      <c r="V3195" s="4" t="str">
        <f t="shared" si="198"/>
        <v>Normal</v>
      </c>
      <c r="W3195" s="4" t="str">
        <f t="shared" si="199"/>
        <v>Good</v>
      </c>
      <c r="X3195" s="4">
        <f>AVERAGE(Table1[Purchase Amount])</f>
        <v>129.48419400000012</v>
      </c>
    </row>
    <row r="3196" spans="1:24" ht="15" customHeight="1" x14ac:dyDescent="0.25">
      <c r="A3196">
        <v>3195</v>
      </c>
      <c r="B3196">
        <v>43</v>
      </c>
      <c r="C3196" t="s">
        <v>16</v>
      </c>
      <c r="D3196" t="s">
        <v>140</v>
      </c>
      <c r="E3196" t="s">
        <v>98</v>
      </c>
      <c r="F3196" s="2">
        <v>52</v>
      </c>
      <c r="G3196" t="s">
        <v>106</v>
      </c>
      <c r="H3196" t="s">
        <v>45</v>
      </c>
      <c r="I3196" t="s">
        <v>133</v>
      </c>
      <c r="J3196" t="s">
        <v>57</v>
      </c>
      <c r="K3196">
        <v>4.5999999999999996</v>
      </c>
      <c r="L3196" t="s">
        <v>23</v>
      </c>
      <c r="M3196" t="s">
        <v>24</v>
      </c>
      <c r="N3196" t="s">
        <v>23</v>
      </c>
      <c r="O3196">
        <v>10</v>
      </c>
      <c r="P3196" t="s">
        <v>53</v>
      </c>
      <c r="Q3196" t="s">
        <v>68</v>
      </c>
      <c r="R3196" s="1">
        <v>0.1</v>
      </c>
      <c r="S3196">
        <f t="shared" si="196"/>
        <v>46.8</v>
      </c>
      <c r="T3196">
        <f>IFERROR(VLOOKUP(A3196,Table1[[Customer ID]:[Discount Amount]], 6, FALSE),"Not Found")</f>
        <v>52</v>
      </c>
      <c r="U3196" t="str">
        <f t="shared" si="197"/>
        <v>Credit Card</v>
      </c>
      <c r="V3196" s="4" t="str">
        <f t="shared" si="198"/>
        <v>Normal</v>
      </c>
      <c r="W3196" s="4" t="str">
        <f t="shared" si="199"/>
        <v>Good</v>
      </c>
      <c r="X3196" s="4">
        <f>AVERAGE(Table1[Purchase Amount])</f>
        <v>129.48419400000012</v>
      </c>
    </row>
    <row r="3197" spans="1:24" ht="15" customHeight="1" x14ac:dyDescent="0.25">
      <c r="A3197">
        <v>3196</v>
      </c>
      <c r="B3197">
        <v>68</v>
      </c>
      <c r="C3197" t="s">
        <v>16</v>
      </c>
      <c r="D3197" t="s">
        <v>28</v>
      </c>
      <c r="E3197" t="s">
        <v>29</v>
      </c>
      <c r="F3197" s="2">
        <v>58</v>
      </c>
      <c r="G3197" t="s">
        <v>146</v>
      </c>
      <c r="H3197" t="s">
        <v>55</v>
      </c>
      <c r="I3197" t="s">
        <v>46</v>
      </c>
      <c r="J3197" t="s">
        <v>33</v>
      </c>
      <c r="K3197">
        <v>4.9000000000000004</v>
      </c>
      <c r="L3197" t="s">
        <v>23</v>
      </c>
      <c r="M3197" t="s">
        <v>79</v>
      </c>
      <c r="N3197" t="s">
        <v>23</v>
      </c>
      <c r="O3197">
        <v>36</v>
      </c>
      <c r="P3197" t="s">
        <v>53</v>
      </c>
      <c r="Q3197" t="s">
        <v>37</v>
      </c>
      <c r="R3197" s="1">
        <v>0.1</v>
      </c>
      <c r="S3197">
        <f t="shared" si="196"/>
        <v>52.2</v>
      </c>
      <c r="T3197">
        <f>IFERROR(VLOOKUP(A3197,Table1[[Customer ID]:[Discount Amount]], 6, FALSE),"Not Found")</f>
        <v>58</v>
      </c>
      <c r="U3197" t="str">
        <f t="shared" si="197"/>
        <v>Credit Card</v>
      </c>
      <c r="V3197" s="4" t="str">
        <f t="shared" si="198"/>
        <v>Normal</v>
      </c>
      <c r="W3197" s="4" t="str">
        <f t="shared" si="199"/>
        <v>Good</v>
      </c>
      <c r="X3197" s="4">
        <f>AVERAGE(Table1[Purchase Amount])</f>
        <v>129.48419400000012</v>
      </c>
    </row>
    <row r="3198" spans="1:24" ht="15" customHeight="1" x14ac:dyDescent="0.25">
      <c r="A3198">
        <v>3197</v>
      </c>
      <c r="B3198">
        <v>24</v>
      </c>
      <c r="C3198" t="s">
        <v>16</v>
      </c>
      <c r="D3198" t="s">
        <v>114</v>
      </c>
      <c r="E3198" t="s">
        <v>29</v>
      </c>
      <c r="F3198" s="2">
        <v>59</v>
      </c>
      <c r="G3198" t="s">
        <v>59</v>
      </c>
      <c r="H3198" t="s">
        <v>45</v>
      </c>
      <c r="I3198" t="s">
        <v>125</v>
      </c>
      <c r="J3198" t="s">
        <v>22</v>
      </c>
      <c r="K3198">
        <v>2.8</v>
      </c>
      <c r="L3198" t="s">
        <v>23</v>
      </c>
      <c r="M3198" t="s">
        <v>61</v>
      </c>
      <c r="N3198" t="s">
        <v>23</v>
      </c>
      <c r="O3198">
        <v>21</v>
      </c>
      <c r="P3198" t="s">
        <v>36</v>
      </c>
      <c r="Q3198" t="s">
        <v>89</v>
      </c>
      <c r="R3198" s="1">
        <v>0.1</v>
      </c>
      <c r="S3198">
        <f t="shared" si="196"/>
        <v>53.1</v>
      </c>
      <c r="T3198">
        <f>IFERROR(VLOOKUP(A3198,Table1[[Customer ID]:[Discount Amount]], 6, FALSE),"Not Found")</f>
        <v>59</v>
      </c>
      <c r="U3198" t="str">
        <f t="shared" si="197"/>
        <v>Debit Card</v>
      </c>
      <c r="V3198" s="4" t="str">
        <f t="shared" si="198"/>
        <v>Normal</v>
      </c>
      <c r="W3198" s="4" t="str">
        <f t="shared" si="199"/>
        <v>Poor</v>
      </c>
      <c r="X3198" s="4">
        <f>AVERAGE(Table1[Purchase Amount])</f>
        <v>129.48419400000012</v>
      </c>
    </row>
    <row r="3199" spans="1:24" ht="15" customHeight="1" x14ac:dyDescent="0.25">
      <c r="A3199">
        <v>3198</v>
      </c>
      <c r="B3199">
        <v>27</v>
      </c>
      <c r="C3199" t="s">
        <v>16</v>
      </c>
      <c r="D3199" t="s">
        <v>127</v>
      </c>
      <c r="E3199" t="s">
        <v>18</v>
      </c>
      <c r="F3199" s="2">
        <v>71</v>
      </c>
      <c r="G3199" t="s">
        <v>94</v>
      </c>
      <c r="H3199" t="s">
        <v>31</v>
      </c>
      <c r="I3199" t="s">
        <v>147</v>
      </c>
      <c r="J3199" t="s">
        <v>33</v>
      </c>
      <c r="K3199">
        <v>3.2</v>
      </c>
      <c r="L3199" t="s">
        <v>23</v>
      </c>
      <c r="M3199" t="s">
        <v>35</v>
      </c>
      <c r="N3199" t="s">
        <v>23</v>
      </c>
      <c r="O3199">
        <v>29</v>
      </c>
      <c r="P3199" t="s">
        <v>53</v>
      </c>
      <c r="Q3199" t="s">
        <v>63</v>
      </c>
      <c r="R3199" s="1">
        <v>0.1</v>
      </c>
      <c r="S3199">
        <f t="shared" si="196"/>
        <v>63.9</v>
      </c>
      <c r="T3199">
        <f>IFERROR(VLOOKUP(A3199,Table1[[Customer ID]:[Discount Amount]], 6, FALSE),"Not Found")</f>
        <v>71</v>
      </c>
      <c r="U3199" t="str">
        <f t="shared" si="197"/>
        <v>Credit Card</v>
      </c>
      <c r="V3199" s="4" t="str">
        <f t="shared" si="198"/>
        <v>Normal</v>
      </c>
      <c r="W3199" s="4" t="str">
        <f t="shared" si="199"/>
        <v>Good</v>
      </c>
      <c r="X3199" s="4">
        <f>AVERAGE(Table1[Purchase Amount])</f>
        <v>129.48419400000012</v>
      </c>
    </row>
    <row r="3200" spans="1:24" ht="15" customHeight="1" x14ac:dyDescent="0.25">
      <c r="A3200">
        <v>3199</v>
      </c>
      <c r="B3200">
        <v>61</v>
      </c>
      <c r="C3200" t="s">
        <v>16</v>
      </c>
      <c r="D3200" t="s">
        <v>43</v>
      </c>
      <c r="E3200" t="s">
        <v>29</v>
      </c>
      <c r="F3200" s="2">
        <v>94</v>
      </c>
      <c r="G3200" t="s">
        <v>78</v>
      </c>
      <c r="H3200" t="s">
        <v>45</v>
      </c>
      <c r="I3200" t="s">
        <v>145</v>
      </c>
      <c r="J3200" t="s">
        <v>22</v>
      </c>
      <c r="K3200">
        <v>2.8</v>
      </c>
      <c r="L3200" t="s">
        <v>23</v>
      </c>
      <c r="M3200" t="s">
        <v>35</v>
      </c>
      <c r="N3200" t="s">
        <v>23</v>
      </c>
      <c r="O3200">
        <v>39</v>
      </c>
      <c r="P3200" t="s">
        <v>36</v>
      </c>
      <c r="Q3200" t="s">
        <v>26</v>
      </c>
      <c r="R3200" s="1">
        <v>0.1</v>
      </c>
      <c r="S3200">
        <f t="shared" si="196"/>
        <v>84.6</v>
      </c>
      <c r="T3200">
        <f>IFERROR(VLOOKUP(A3200,Table1[[Customer ID]:[Discount Amount]], 6, FALSE),"Not Found")</f>
        <v>94</v>
      </c>
      <c r="U3200" t="str">
        <f t="shared" si="197"/>
        <v>Debit Card</v>
      </c>
      <c r="V3200" s="4" t="str">
        <f t="shared" si="198"/>
        <v>Normal</v>
      </c>
      <c r="W3200" s="4" t="str">
        <f t="shared" si="199"/>
        <v>Poor</v>
      </c>
      <c r="X3200" s="4">
        <f>AVERAGE(Table1[Purchase Amount])</f>
        <v>129.48419400000012</v>
      </c>
    </row>
    <row r="3201" spans="1:24" ht="15" customHeight="1" x14ac:dyDescent="0.25">
      <c r="A3201">
        <v>3200</v>
      </c>
      <c r="B3201">
        <v>59</v>
      </c>
      <c r="C3201" t="s">
        <v>16</v>
      </c>
      <c r="D3201" t="s">
        <v>69</v>
      </c>
      <c r="E3201" t="s">
        <v>29</v>
      </c>
      <c r="F3201" s="2">
        <v>40</v>
      </c>
      <c r="G3201" t="s">
        <v>94</v>
      </c>
      <c r="H3201" t="s">
        <v>20</v>
      </c>
      <c r="I3201" t="s">
        <v>136</v>
      </c>
      <c r="J3201" t="s">
        <v>22</v>
      </c>
      <c r="K3201">
        <v>4.2</v>
      </c>
      <c r="L3201" t="s">
        <v>23</v>
      </c>
      <c r="M3201" t="s">
        <v>61</v>
      </c>
      <c r="N3201" t="s">
        <v>23</v>
      </c>
      <c r="O3201">
        <v>16</v>
      </c>
      <c r="P3201" t="s">
        <v>58</v>
      </c>
      <c r="Q3201" t="s">
        <v>42</v>
      </c>
      <c r="R3201" s="1">
        <v>0.1</v>
      </c>
      <c r="S3201">
        <f t="shared" si="196"/>
        <v>36</v>
      </c>
      <c r="T3201">
        <f>IFERROR(VLOOKUP(A3201,Table1[[Customer ID]:[Discount Amount]], 6, FALSE),"Not Found")</f>
        <v>40</v>
      </c>
      <c r="U3201" t="str">
        <f t="shared" si="197"/>
        <v>PayPal</v>
      </c>
      <c r="V3201" s="4" t="str">
        <f t="shared" si="198"/>
        <v>Normal</v>
      </c>
      <c r="W3201" s="4" t="str">
        <f t="shared" si="199"/>
        <v>Good</v>
      </c>
      <c r="X3201" s="4">
        <f>AVERAGE(Table1[Purchase Amount])</f>
        <v>129.48419400000012</v>
      </c>
    </row>
    <row r="3202" spans="1:24" ht="15" customHeight="1" x14ac:dyDescent="0.25">
      <c r="A3202">
        <v>3201</v>
      </c>
      <c r="B3202">
        <v>67</v>
      </c>
      <c r="C3202" t="s">
        <v>16</v>
      </c>
      <c r="D3202" t="s">
        <v>105</v>
      </c>
      <c r="E3202" t="s">
        <v>18</v>
      </c>
      <c r="F3202" s="2">
        <v>24</v>
      </c>
      <c r="G3202" t="s">
        <v>146</v>
      </c>
      <c r="H3202" t="s">
        <v>45</v>
      </c>
      <c r="I3202" t="s">
        <v>40</v>
      </c>
      <c r="J3202" t="s">
        <v>33</v>
      </c>
      <c r="K3202">
        <v>4.8</v>
      </c>
      <c r="L3202" t="s">
        <v>23</v>
      </c>
      <c r="M3202" t="s">
        <v>35</v>
      </c>
      <c r="N3202" t="s">
        <v>23</v>
      </c>
      <c r="O3202">
        <v>32</v>
      </c>
      <c r="P3202" t="s">
        <v>53</v>
      </c>
      <c r="Q3202" t="s">
        <v>42</v>
      </c>
      <c r="R3202" s="1">
        <v>0.1</v>
      </c>
      <c r="S3202">
        <f t="shared" ref="S3202:S3265" si="200">F3202-(F3202*R3202)</f>
        <v>21.6</v>
      </c>
      <c r="T3202">
        <f>IFERROR(VLOOKUP(A3202,Table1[[Customer ID]:[Discount Amount]], 6, FALSE),"Not Found")</f>
        <v>24</v>
      </c>
      <c r="U3202" t="str">
        <f t="shared" ref="U3202:U3265" si="201">INDEX(P:P, MATCH(A3202, A:A, 0))</f>
        <v>Credit Card</v>
      </c>
      <c r="V3202" s="4" t="str">
        <f t="shared" ref="V3202:V3265" si="202">IF(AND(F3202&gt;1000,K3202&gt;=4),"Best Customer","Normal")</f>
        <v>Normal</v>
      </c>
      <c r="W3202" s="4" t="str">
        <f t="shared" ref="W3202:W3265" si="203">IF(K3202&gt;=3,"Good","Poor")</f>
        <v>Good</v>
      </c>
      <c r="X3202" s="4">
        <f>AVERAGE(Table1[Purchase Amount])</f>
        <v>129.48419400000012</v>
      </c>
    </row>
    <row r="3203" spans="1:24" ht="15" customHeight="1" x14ac:dyDescent="0.25">
      <c r="A3203">
        <v>3202</v>
      </c>
      <c r="B3203">
        <v>46</v>
      </c>
      <c r="C3203" t="s">
        <v>16</v>
      </c>
      <c r="D3203" t="s">
        <v>99</v>
      </c>
      <c r="E3203" t="s">
        <v>18</v>
      </c>
      <c r="F3203" s="2">
        <v>38</v>
      </c>
      <c r="G3203" t="s">
        <v>84</v>
      </c>
      <c r="H3203" t="s">
        <v>55</v>
      </c>
      <c r="I3203" t="s">
        <v>91</v>
      </c>
      <c r="J3203" t="s">
        <v>47</v>
      </c>
      <c r="K3203">
        <v>2.8</v>
      </c>
      <c r="L3203" t="s">
        <v>23</v>
      </c>
      <c r="M3203" t="s">
        <v>41</v>
      </c>
      <c r="N3203" t="s">
        <v>23</v>
      </c>
      <c r="O3203">
        <v>34</v>
      </c>
      <c r="P3203" t="s">
        <v>25</v>
      </c>
      <c r="Q3203" t="s">
        <v>42</v>
      </c>
      <c r="R3203" s="1">
        <v>0.1</v>
      </c>
      <c r="S3203">
        <f t="shared" si="200"/>
        <v>34.200000000000003</v>
      </c>
      <c r="T3203">
        <f>IFERROR(VLOOKUP(A3203,Table1[[Customer ID]:[Discount Amount]], 6, FALSE),"Not Found")</f>
        <v>38</v>
      </c>
      <c r="U3203" t="str">
        <f t="shared" si="201"/>
        <v>Cash</v>
      </c>
      <c r="V3203" s="4" t="str">
        <f t="shared" si="202"/>
        <v>Normal</v>
      </c>
      <c r="W3203" s="4" t="str">
        <f t="shared" si="203"/>
        <v>Poor</v>
      </c>
      <c r="X3203" s="4">
        <f>AVERAGE(Table1[Purchase Amount])</f>
        <v>129.48419400000012</v>
      </c>
    </row>
    <row r="3204" spans="1:24" ht="15" customHeight="1" x14ac:dyDescent="0.25">
      <c r="A3204">
        <v>3203</v>
      </c>
      <c r="B3204">
        <v>65</v>
      </c>
      <c r="C3204" t="s">
        <v>16</v>
      </c>
      <c r="D3204" t="s">
        <v>129</v>
      </c>
      <c r="E3204" t="s">
        <v>29</v>
      </c>
      <c r="F3204" s="2">
        <v>37</v>
      </c>
      <c r="G3204" t="s">
        <v>59</v>
      </c>
      <c r="H3204" t="s">
        <v>45</v>
      </c>
      <c r="I3204" t="s">
        <v>93</v>
      </c>
      <c r="J3204" t="s">
        <v>47</v>
      </c>
      <c r="K3204">
        <v>4.5</v>
      </c>
      <c r="L3204" t="s">
        <v>23</v>
      </c>
      <c r="M3204" t="s">
        <v>24</v>
      </c>
      <c r="N3204" t="s">
        <v>23</v>
      </c>
      <c r="O3204">
        <v>38</v>
      </c>
      <c r="P3204" t="s">
        <v>62</v>
      </c>
      <c r="Q3204" t="s">
        <v>49</v>
      </c>
      <c r="R3204" s="1">
        <v>0.1</v>
      </c>
      <c r="S3204">
        <f t="shared" si="200"/>
        <v>33.299999999999997</v>
      </c>
      <c r="T3204">
        <f>IFERROR(VLOOKUP(A3204,Table1[[Customer ID]:[Discount Amount]], 6, FALSE),"Not Found")</f>
        <v>37</v>
      </c>
      <c r="U3204" t="str">
        <f t="shared" si="201"/>
        <v>Venmo</v>
      </c>
      <c r="V3204" s="4" t="str">
        <f t="shared" si="202"/>
        <v>Normal</v>
      </c>
      <c r="W3204" s="4" t="str">
        <f t="shared" si="203"/>
        <v>Good</v>
      </c>
      <c r="X3204" s="4">
        <f>AVERAGE(Table1[Purchase Amount])</f>
        <v>129.48419400000012</v>
      </c>
    </row>
    <row r="3205" spans="1:24" ht="15" customHeight="1" x14ac:dyDescent="0.25">
      <c r="A3205">
        <v>3204</v>
      </c>
      <c r="B3205">
        <v>63</v>
      </c>
      <c r="C3205" t="s">
        <v>16</v>
      </c>
      <c r="D3205" t="s">
        <v>76</v>
      </c>
      <c r="E3205" t="s">
        <v>77</v>
      </c>
      <c r="F3205" s="2">
        <v>29</v>
      </c>
      <c r="G3205" t="s">
        <v>131</v>
      </c>
      <c r="H3205" t="s">
        <v>45</v>
      </c>
      <c r="I3205" t="s">
        <v>147</v>
      </c>
      <c r="J3205" t="s">
        <v>33</v>
      </c>
      <c r="K3205">
        <v>4.0999999999999996</v>
      </c>
      <c r="L3205" t="s">
        <v>23</v>
      </c>
      <c r="M3205" t="s">
        <v>61</v>
      </c>
      <c r="N3205" t="s">
        <v>23</v>
      </c>
      <c r="O3205">
        <v>14</v>
      </c>
      <c r="P3205" t="s">
        <v>62</v>
      </c>
      <c r="Q3205" t="s">
        <v>49</v>
      </c>
      <c r="R3205" s="1">
        <v>0.1</v>
      </c>
      <c r="S3205">
        <f t="shared" si="200"/>
        <v>26.1</v>
      </c>
      <c r="T3205">
        <f>IFERROR(VLOOKUP(A3205,Table1[[Customer ID]:[Discount Amount]], 6, FALSE),"Not Found")</f>
        <v>29</v>
      </c>
      <c r="U3205" t="str">
        <f t="shared" si="201"/>
        <v>Venmo</v>
      </c>
      <c r="V3205" s="4" t="str">
        <f t="shared" si="202"/>
        <v>Normal</v>
      </c>
      <c r="W3205" s="4" t="str">
        <f t="shared" si="203"/>
        <v>Good</v>
      </c>
      <c r="X3205" s="4">
        <f>AVERAGE(Table1[Purchase Amount])</f>
        <v>129.48419400000012</v>
      </c>
    </row>
    <row r="3206" spans="1:24" ht="15" customHeight="1" x14ac:dyDescent="0.25">
      <c r="A3206">
        <v>3205</v>
      </c>
      <c r="B3206">
        <v>57</v>
      </c>
      <c r="C3206" t="s">
        <v>16</v>
      </c>
      <c r="D3206" t="s">
        <v>96</v>
      </c>
      <c r="E3206" t="s">
        <v>77</v>
      </c>
      <c r="F3206" s="2">
        <v>92</v>
      </c>
      <c r="G3206" t="s">
        <v>110</v>
      </c>
      <c r="H3206" t="s">
        <v>20</v>
      </c>
      <c r="I3206" t="s">
        <v>107</v>
      </c>
      <c r="J3206" t="s">
        <v>47</v>
      </c>
      <c r="K3206">
        <v>4.3</v>
      </c>
      <c r="L3206" t="s">
        <v>23</v>
      </c>
      <c r="M3206" t="s">
        <v>35</v>
      </c>
      <c r="N3206" t="s">
        <v>23</v>
      </c>
      <c r="O3206">
        <v>23</v>
      </c>
      <c r="P3206" t="s">
        <v>36</v>
      </c>
      <c r="Q3206" t="s">
        <v>68</v>
      </c>
      <c r="R3206" s="1">
        <v>0.1</v>
      </c>
      <c r="S3206">
        <f t="shared" si="200"/>
        <v>82.8</v>
      </c>
      <c r="T3206">
        <f>IFERROR(VLOOKUP(A3206,Table1[[Customer ID]:[Discount Amount]], 6, FALSE),"Not Found")</f>
        <v>92</v>
      </c>
      <c r="U3206" t="str">
        <f t="shared" si="201"/>
        <v>Debit Card</v>
      </c>
      <c r="V3206" s="4" t="str">
        <f t="shared" si="202"/>
        <v>Normal</v>
      </c>
      <c r="W3206" s="4" t="str">
        <f t="shared" si="203"/>
        <v>Good</v>
      </c>
      <c r="X3206" s="4">
        <f>AVERAGE(Table1[Purchase Amount])</f>
        <v>129.48419400000012</v>
      </c>
    </row>
    <row r="3207" spans="1:24" ht="15" customHeight="1" x14ac:dyDescent="0.25">
      <c r="A3207">
        <v>3206</v>
      </c>
      <c r="B3207">
        <v>40</v>
      </c>
      <c r="C3207" t="s">
        <v>16</v>
      </c>
      <c r="D3207" t="s">
        <v>83</v>
      </c>
      <c r="E3207" t="s">
        <v>18</v>
      </c>
      <c r="F3207" s="2">
        <v>24</v>
      </c>
      <c r="G3207" t="s">
        <v>92</v>
      </c>
      <c r="H3207" t="s">
        <v>20</v>
      </c>
      <c r="I3207" t="s">
        <v>87</v>
      </c>
      <c r="J3207" t="s">
        <v>47</v>
      </c>
      <c r="K3207">
        <v>4.4000000000000004</v>
      </c>
      <c r="L3207" t="s">
        <v>23</v>
      </c>
      <c r="M3207" t="s">
        <v>41</v>
      </c>
      <c r="N3207" t="s">
        <v>23</v>
      </c>
      <c r="O3207">
        <v>50</v>
      </c>
      <c r="P3207" t="s">
        <v>88</v>
      </c>
      <c r="Q3207" t="s">
        <v>63</v>
      </c>
      <c r="R3207" s="1">
        <v>0.1</v>
      </c>
      <c r="S3207">
        <f t="shared" si="200"/>
        <v>21.6</v>
      </c>
      <c r="T3207">
        <f>IFERROR(VLOOKUP(A3207,Table1[[Customer ID]:[Discount Amount]], 6, FALSE),"Not Found")</f>
        <v>24</v>
      </c>
      <c r="U3207" t="str">
        <f t="shared" si="201"/>
        <v>Bank Transfer</v>
      </c>
      <c r="V3207" s="4" t="str">
        <f t="shared" si="202"/>
        <v>Normal</v>
      </c>
      <c r="W3207" s="4" t="str">
        <f t="shared" si="203"/>
        <v>Good</v>
      </c>
      <c r="X3207" s="4">
        <f>AVERAGE(Table1[Purchase Amount])</f>
        <v>129.48419400000012</v>
      </c>
    </row>
    <row r="3208" spans="1:24" ht="15" customHeight="1" x14ac:dyDescent="0.25">
      <c r="A3208">
        <v>3207</v>
      </c>
      <c r="B3208">
        <v>36</v>
      </c>
      <c r="C3208" t="s">
        <v>16</v>
      </c>
      <c r="D3208" t="s">
        <v>151</v>
      </c>
      <c r="E3208" t="s">
        <v>98</v>
      </c>
      <c r="F3208" s="2">
        <v>52</v>
      </c>
      <c r="G3208" t="s">
        <v>19</v>
      </c>
      <c r="H3208" t="s">
        <v>31</v>
      </c>
      <c r="I3208" t="s">
        <v>60</v>
      </c>
      <c r="J3208" t="s">
        <v>22</v>
      </c>
      <c r="K3208">
        <v>3</v>
      </c>
      <c r="L3208" t="s">
        <v>23</v>
      </c>
      <c r="M3208" t="s">
        <v>35</v>
      </c>
      <c r="N3208" t="s">
        <v>23</v>
      </c>
      <c r="O3208">
        <v>49</v>
      </c>
      <c r="P3208" t="s">
        <v>58</v>
      </c>
      <c r="Q3208" t="s">
        <v>42</v>
      </c>
      <c r="R3208" s="1">
        <v>0.1</v>
      </c>
      <c r="S3208">
        <f t="shared" si="200"/>
        <v>46.8</v>
      </c>
      <c r="T3208">
        <f>IFERROR(VLOOKUP(A3208,Table1[[Customer ID]:[Discount Amount]], 6, FALSE),"Not Found")</f>
        <v>52</v>
      </c>
      <c r="U3208" t="str">
        <f t="shared" si="201"/>
        <v>PayPal</v>
      </c>
      <c r="V3208" s="4" t="str">
        <f t="shared" si="202"/>
        <v>Normal</v>
      </c>
      <c r="W3208" s="4" t="str">
        <f t="shared" si="203"/>
        <v>Good</v>
      </c>
      <c r="X3208" s="4">
        <f>AVERAGE(Table1[Purchase Amount])</f>
        <v>129.48419400000012</v>
      </c>
    </row>
    <row r="3209" spans="1:24" ht="15" customHeight="1" x14ac:dyDescent="0.25">
      <c r="A3209">
        <v>3208</v>
      </c>
      <c r="B3209">
        <v>67</v>
      </c>
      <c r="C3209" t="s">
        <v>16</v>
      </c>
      <c r="D3209" t="s">
        <v>105</v>
      </c>
      <c r="E3209" t="s">
        <v>18</v>
      </c>
      <c r="F3209" s="2">
        <v>29</v>
      </c>
      <c r="G3209" t="s">
        <v>150</v>
      </c>
      <c r="H3209" t="s">
        <v>20</v>
      </c>
      <c r="I3209" t="s">
        <v>56</v>
      </c>
      <c r="J3209" t="s">
        <v>57</v>
      </c>
      <c r="K3209">
        <v>2.7</v>
      </c>
      <c r="L3209" t="s">
        <v>23</v>
      </c>
      <c r="M3209" t="s">
        <v>79</v>
      </c>
      <c r="N3209" t="s">
        <v>23</v>
      </c>
      <c r="O3209">
        <v>14</v>
      </c>
      <c r="P3209" t="s">
        <v>58</v>
      </c>
      <c r="Q3209" t="s">
        <v>49</v>
      </c>
      <c r="R3209" s="1">
        <v>0.1</v>
      </c>
      <c r="S3209">
        <f t="shared" si="200"/>
        <v>26.1</v>
      </c>
      <c r="T3209">
        <f>IFERROR(VLOOKUP(A3209,Table1[[Customer ID]:[Discount Amount]], 6, FALSE),"Not Found")</f>
        <v>29</v>
      </c>
      <c r="U3209" t="str">
        <f t="shared" si="201"/>
        <v>PayPal</v>
      </c>
      <c r="V3209" s="4" t="str">
        <f t="shared" si="202"/>
        <v>Normal</v>
      </c>
      <c r="W3209" s="4" t="str">
        <f t="shared" si="203"/>
        <v>Poor</v>
      </c>
      <c r="X3209" s="4">
        <f>AVERAGE(Table1[Purchase Amount])</f>
        <v>129.48419400000012</v>
      </c>
    </row>
    <row r="3210" spans="1:24" ht="15" customHeight="1" x14ac:dyDescent="0.25">
      <c r="A3210">
        <v>3209</v>
      </c>
      <c r="B3210">
        <v>61</v>
      </c>
      <c r="C3210" t="s">
        <v>16</v>
      </c>
      <c r="D3210" t="s">
        <v>50</v>
      </c>
      <c r="E3210" t="s">
        <v>29</v>
      </c>
      <c r="F3210" s="2">
        <v>30</v>
      </c>
      <c r="G3210" t="s">
        <v>102</v>
      </c>
      <c r="H3210" t="s">
        <v>45</v>
      </c>
      <c r="I3210" t="s">
        <v>91</v>
      </c>
      <c r="J3210" t="s">
        <v>22</v>
      </c>
      <c r="K3210">
        <v>3.3</v>
      </c>
      <c r="L3210" t="s">
        <v>23</v>
      </c>
      <c r="M3210" t="s">
        <v>41</v>
      </c>
      <c r="N3210" t="s">
        <v>23</v>
      </c>
      <c r="O3210">
        <v>42</v>
      </c>
      <c r="P3210" t="s">
        <v>58</v>
      </c>
      <c r="Q3210" t="s">
        <v>26</v>
      </c>
      <c r="R3210" s="1">
        <v>0.1</v>
      </c>
      <c r="S3210">
        <f t="shared" si="200"/>
        <v>27</v>
      </c>
      <c r="T3210">
        <f>IFERROR(VLOOKUP(A3210,Table1[[Customer ID]:[Discount Amount]], 6, FALSE),"Not Found")</f>
        <v>30</v>
      </c>
      <c r="U3210" t="str">
        <f t="shared" si="201"/>
        <v>PayPal</v>
      </c>
      <c r="V3210" s="4" t="str">
        <f t="shared" si="202"/>
        <v>Normal</v>
      </c>
      <c r="W3210" s="4" t="str">
        <f t="shared" si="203"/>
        <v>Good</v>
      </c>
      <c r="X3210" s="4">
        <f>AVERAGE(Table1[Purchase Amount])</f>
        <v>129.48419400000012</v>
      </c>
    </row>
    <row r="3211" spans="1:24" ht="15" customHeight="1" x14ac:dyDescent="0.25">
      <c r="A3211">
        <v>3210</v>
      </c>
      <c r="B3211">
        <v>64</v>
      </c>
      <c r="C3211" t="s">
        <v>16</v>
      </c>
      <c r="D3211" t="s">
        <v>72</v>
      </c>
      <c r="E3211" t="s">
        <v>98</v>
      </c>
      <c r="F3211" s="2">
        <v>31</v>
      </c>
      <c r="G3211" t="s">
        <v>100</v>
      </c>
      <c r="H3211" t="s">
        <v>45</v>
      </c>
      <c r="I3211" t="s">
        <v>145</v>
      </c>
      <c r="J3211" t="s">
        <v>47</v>
      </c>
      <c r="K3211">
        <v>4.3</v>
      </c>
      <c r="L3211" t="s">
        <v>23</v>
      </c>
      <c r="M3211" t="s">
        <v>24</v>
      </c>
      <c r="N3211" t="s">
        <v>23</v>
      </c>
      <c r="O3211">
        <v>39</v>
      </c>
      <c r="P3211" t="s">
        <v>36</v>
      </c>
      <c r="Q3211" t="s">
        <v>49</v>
      </c>
      <c r="R3211" s="1">
        <v>0.1</v>
      </c>
      <c r="S3211">
        <f t="shared" si="200"/>
        <v>27.9</v>
      </c>
      <c r="T3211">
        <f>IFERROR(VLOOKUP(A3211,Table1[[Customer ID]:[Discount Amount]], 6, FALSE),"Not Found")</f>
        <v>31</v>
      </c>
      <c r="U3211" t="str">
        <f t="shared" si="201"/>
        <v>Debit Card</v>
      </c>
      <c r="V3211" s="4" t="str">
        <f t="shared" si="202"/>
        <v>Normal</v>
      </c>
      <c r="W3211" s="4" t="str">
        <f t="shared" si="203"/>
        <v>Good</v>
      </c>
      <c r="X3211" s="4">
        <f>AVERAGE(Table1[Purchase Amount])</f>
        <v>129.48419400000012</v>
      </c>
    </row>
    <row r="3212" spans="1:24" ht="15" customHeight="1" x14ac:dyDescent="0.25">
      <c r="A3212">
        <v>3211</v>
      </c>
      <c r="B3212">
        <v>30</v>
      </c>
      <c r="C3212" t="s">
        <v>16</v>
      </c>
      <c r="D3212" t="s">
        <v>105</v>
      </c>
      <c r="E3212" t="s">
        <v>18</v>
      </c>
      <c r="F3212" s="2">
        <v>67</v>
      </c>
      <c r="G3212" t="s">
        <v>158</v>
      </c>
      <c r="H3212" t="s">
        <v>31</v>
      </c>
      <c r="I3212" t="s">
        <v>87</v>
      </c>
      <c r="J3212" t="s">
        <v>57</v>
      </c>
      <c r="K3212">
        <v>2.9</v>
      </c>
      <c r="L3212" t="s">
        <v>23</v>
      </c>
      <c r="M3212" t="s">
        <v>61</v>
      </c>
      <c r="N3212" t="s">
        <v>23</v>
      </c>
      <c r="O3212">
        <v>43</v>
      </c>
      <c r="P3212" t="s">
        <v>62</v>
      </c>
      <c r="Q3212" t="s">
        <v>68</v>
      </c>
      <c r="R3212" s="1">
        <v>0.1</v>
      </c>
      <c r="S3212">
        <f t="shared" si="200"/>
        <v>60.3</v>
      </c>
      <c r="T3212">
        <f>IFERROR(VLOOKUP(A3212,Table1[[Customer ID]:[Discount Amount]], 6, FALSE),"Not Found")</f>
        <v>67</v>
      </c>
      <c r="U3212" t="str">
        <f t="shared" si="201"/>
        <v>Venmo</v>
      </c>
      <c r="V3212" s="4" t="str">
        <f t="shared" si="202"/>
        <v>Normal</v>
      </c>
      <c r="W3212" s="4" t="str">
        <f t="shared" si="203"/>
        <v>Poor</v>
      </c>
      <c r="X3212" s="4">
        <f>AVERAGE(Table1[Purchase Amount])</f>
        <v>129.48419400000012</v>
      </c>
    </row>
    <row r="3213" spans="1:24" ht="15" customHeight="1" x14ac:dyDescent="0.25">
      <c r="A3213">
        <v>3212</v>
      </c>
      <c r="B3213">
        <v>53</v>
      </c>
      <c r="C3213" t="s">
        <v>16</v>
      </c>
      <c r="D3213" t="s">
        <v>99</v>
      </c>
      <c r="E3213" t="s">
        <v>18</v>
      </c>
      <c r="F3213" s="2">
        <v>65</v>
      </c>
      <c r="G3213" t="s">
        <v>159</v>
      </c>
      <c r="H3213" t="s">
        <v>45</v>
      </c>
      <c r="I3213" t="s">
        <v>156</v>
      </c>
      <c r="J3213" t="s">
        <v>22</v>
      </c>
      <c r="K3213">
        <v>4.9000000000000004</v>
      </c>
      <c r="L3213" t="s">
        <v>23</v>
      </c>
      <c r="M3213" t="s">
        <v>24</v>
      </c>
      <c r="N3213" t="s">
        <v>23</v>
      </c>
      <c r="O3213">
        <v>12</v>
      </c>
      <c r="P3213" t="s">
        <v>25</v>
      </c>
      <c r="Q3213" t="s">
        <v>42</v>
      </c>
      <c r="R3213" s="1">
        <v>0.1</v>
      </c>
      <c r="S3213">
        <f t="shared" si="200"/>
        <v>58.5</v>
      </c>
      <c r="T3213">
        <f>IFERROR(VLOOKUP(A3213,Table1[[Customer ID]:[Discount Amount]], 6, FALSE),"Not Found")</f>
        <v>65</v>
      </c>
      <c r="U3213" t="str">
        <f t="shared" si="201"/>
        <v>Cash</v>
      </c>
      <c r="V3213" s="4" t="str">
        <f t="shared" si="202"/>
        <v>Normal</v>
      </c>
      <c r="W3213" s="4" t="str">
        <f t="shared" si="203"/>
        <v>Good</v>
      </c>
      <c r="X3213" s="4">
        <f>AVERAGE(Table1[Purchase Amount])</f>
        <v>129.48419400000012</v>
      </c>
    </row>
    <row r="3214" spans="1:24" ht="15" customHeight="1" x14ac:dyDescent="0.25">
      <c r="A3214">
        <v>3213</v>
      </c>
      <c r="B3214">
        <v>27</v>
      </c>
      <c r="C3214" t="s">
        <v>16</v>
      </c>
      <c r="D3214" t="s">
        <v>140</v>
      </c>
      <c r="E3214" t="s">
        <v>98</v>
      </c>
      <c r="F3214" s="2">
        <v>22</v>
      </c>
      <c r="G3214" t="s">
        <v>162</v>
      </c>
      <c r="H3214" t="s">
        <v>31</v>
      </c>
      <c r="I3214" t="s">
        <v>91</v>
      </c>
      <c r="J3214" t="s">
        <v>22</v>
      </c>
      <c r="K3214">
        <v>3.6</v>
      </c>
      <c r="L3214" t="s">
        <v>23</v>
      </c>
      <c r="M3214" t="s">
        <v>41</v>
      </c>
      <c r="N3214" t="s">
        <v>23</v>
      </c>
      <c r="O3214">
        <v>21</v>
      </c>
      <c r="P3214" t="s">
        <v>36</v>
      </c>
      <c r="Q3214" t="s">
        <v>26</v>
      </c>
      <c r="R3214" s="1">
        <v>0.1</v>
      </c>
      <c r="S3214">
        <f t="shared" si="200"/>
        <v>19.8</v>
      </c>
      <c r="T3214">
        <f>IFERROR(VLOOKUP(A3214,Table1[[Customer ID]:[Discount Amount]], 6, FALSE),"Not Found")</f>
        <v>22</v>
      </c>
      <c r="U3214" t="str">
        <f t="shared" si="201"/>
        <v>Debit Card</v>
      </c>
      <c r="V3214" s="4" t="str">
        <f t="shared" si="202"/>
        <v>Normal</v>
      </c>
      <c r="W3214" s="4" t="str">
        <f t="shared" si="203"/>
        <v>Good</v>
      </c>
      <c r="X3214" s="4">
        <f>AVERAGE(Table1[Purchase Amount])</f>
        <v>129.48419400000012</v>
      </c>
    </row>
    <row r="3215" spans="1:24" ht="15" customHeight="1" x14ac:dyDescent="0.25">
      <c r="A3215">
        <v>3214</v>
      </c>
      <c r="B3215">
        <v>27</v>
      </c>
      <c r="C3215" t="s">
        <v>16</v>
      </c>
      <c r="D3215" t="s">
        <v>28</v>
      </c>
      <c r="E3215" t="s">
        <v>29</v>
      </c>
      <c r="F3215" s="2">
        <v>56</v>
      </c>
      <c r="G3215" t="s">
        <v>152</v>
      </c>
      <c r="H3215" t="s">
        <v>31</v>
      </c>
      <c r="I3215" t="s">
        <v>60</v>
      </c>
      <c r="J3215" t="s">
        <v>22</v>
      </c>
      <c r="K3215">
        <v>3.3</v>
      </c>
      <c r="L3215" t="s">
        <v>23</v>
      </c>
      <c r="M3215" t="s">
        <v>24</v>
      </c>
      <c r="N3215" t="s">
        <v>23</v>
      </c>
      <c r="O3215">
        <v>33</v>
      </c>
      <c r="P3215" t="s">
        <v>53</v>
      </c>
      <c r="Q3215" t="s">
        <v>42</v>
      </c>
      <c r="R3215" s="1">
        <v>0.1</v>
      </c>
      <c r="S3215">
        <f t="shared" si="200"/>
        <v>50.4</v>
      </c>
      <c r="T3215">
        <f>IFERROR(VLOOKUP(A3215,Table1[[Customer ID]:[Discount Amount]], 6, FALSE),"Not Found")</f>
        <v>56</v>
      </c>
      <c r="U3215" t="str">
        <f t="shared" si="201"/>
        <v>Credit Card</v>
      </c>
      <c r="V3215" s="4" t="str">
        <f t="shared" si="202"/>
        <v>Normal</v>
      </c>
      <c r="W3215" s="4" t="str">
        <f t="shared" si="203"/>
        <v>Good</v>
      </c>
      <c r="X3215" s="4">
        <f>AVERAGE(Table1[Purchase Amount])</f>
        <v>129.48419400000012</v>
      </c>
    </row>
    <row r="3216" spans="1:24" ht="15" customHeight="1" x14ac:dyDescent="0.25">
      <c r="A3216">
        <v>3215</v>
      </c>
      <c r="B3216">
        <v>53</v>
      </c>
      <c r="C3216" t="s">
        <v>16</v>
      </c>
      <c r="D3216" t="s">
        <v>122</v>
      </c>
      <c r="E3216" t="s">
        <v>18</v>
      </c>
      <c r="F3216" s="2">
        <v>78</v>
      </c>
      <c r="G3216" t="s">
        <v>155</v>
      </c>
      <c r="H3216" t="s">
        <v>31</v>
      </c>
      <c r="I3216" t="s">
        <v>52</v>
      </c>
      <c r="J3216" t="s">
        <v>33</v>
      </c>
      <c r="K3216">
        <v>3.1</v>
      </c>
      <c r="L3216" t="s">
        <v>23</v>
      </c>
      <c r="M3216" t="s">
        <v>35</v>
      </c>
      <c r="N3216" t="s">
        <v>23</v>
      </c>
      <c r="O3216">
        <v>6</v>
      </c>
      <c r="P3216" t="s">
        <v>36</v>
      </c>
      <c r="Q3216" t="s">
        <v>49</v>
      </c>
      <c r="R3216" s="1">
        <v>0.1</v>
      </c>
      <c r="S3216">
        <f t="shared" si="200"/>
        <v>70.2</v>
      </c>
      <c r="T3216">
        <f>IFERROR(VLOOKUP(A3216,Table1[[Customer ID]:[Discount Amount]], 6, FALSE),"Not Found")</f>
        <v>78</v>
      </c>
      <c r="U3216" t="str">
        <f t="shared" si="201"/>
        <v>Debit Card</v>
      </c>
      <c r="V3216" s="4" t="str">
        <f t="shared" si="202"/>
        <v>Normal</v>
      </c>
      <c r="W3216" s="4" t="str">
        <f t="shared" si="203"/>
        <v>Good</v>
      </c>
      <c r="X3216" s="4">
        <f>AVERAGE(Table1[Purchase Amount])</f>
        <v>129.48419400000012</v>
      </c>
    </row>
    <row r="3217" spans="1:24" ht="15" customHeight="1" x14ac:dyDescent="0.25">
      <c r="A3217">
        <v>3216</v>
      </c>
      <c r="B3217">
        <v>34</v>
      </c>
      <c r="C3217" t="s">
        <v>16</v>
      </c>
      <c r="D3217" t="s">
        <v>76</v>
      </c>
      <c r="E3217" t="s">
        <v>77</v>
      </c>
      <c r="F3217" s="2">
        <v>90</v>
      </c>
      <c r="G3217" t="s">
        <v>159</v>
      </c>
      <c r="H3217" t="s">
        <v>31</v>
      </c>
      <c r="I3217" t="s">
        <v>87</v>
      </c>
      <c r="J3217" t="s">
        <v>57</v>
      </c>
      <c r="K3217">
        <v>2.7</v>
      </c>
      <c r="L3217" t="s">
        <v>23</v>
      </c>
      <c r="M3217" t="s">
        <v>35</v>
      </c>
      <c r="N3217" t="s">
        <v>23</v>
      </c>
      <c r="O3217">
        <v>10</v>
      </c>
      <c r="P3217" t="s">
        <v>58</v>
      </c>
      <c r="Q3217" t="s">
        <v>63</v>
      </c>
      <c r="R3217" s="1">
        <v>0.1</v>
      </c>
      <c r="S3217">
        <f t="shared" si="200"/>
        <v>81</v>
      </c>
      <c r="T3217">
        <f>IFERROR(VLOOKUP(A3217,Table1[[Customer ID]:[Discount Amount]], 6, FALSE),"Not Found")</f>
        <v>90</v>
      </c>
      <c r="U3217" t="str">
        <f t="shared" si="201"/>
        <v>PayPal</v>
      </c>
      <c r="V3217" s="4" t="str">
        <f t="shared" si="202"/>
        <v>Normal</v>
      </c>
      <c r="W3217" s="4" t="str">
        <f t="shared" si="203"/>
        <v>Poor</v>
      </c>
      <c r="X3217" s="4">
        <f>AVERAGE(Table1[Purchase Amount])</f>
        <v>129.48419400000012</v>
      </c>
    </row>
    <row r="3218" spans="1:24" ht="15" customHeight="1" x14ac:dyDescent="0.25">
      <c r="A3218">
        <v>3217</v>
      </c>
      <c r="B3218">
        <v>39</v>
      </c>
      <c r="C3218" t="s">
        <v>16</v>
      </c>
      <c r="D3218" t="s">
        <v>83</v>
      </c>
      <c r="E3218" t="s">
        <v>18</v>
      </c>
      <c r="F3218" s="2">
        <v>85</v>
      </c>
      <c r="G3218" t="s">
        <v>44</v>
      </c>
      <c r="H3218" t="s">
        <v>55</v>
      </c>
      <c r="I3218" t="s">
        <v>21</v>
      </c>
      <c r="J3218" t="s">
        <v>22</v>
      </c>
      <c r="K3218">
        <v>3.4</v>
      </c>
      <c r="L3218" t="s">
        <v>23</v>
      </c>
      <c r="M3218" t="s">
        <v>79</v>
      </c>
      <c r="N3218" t="s">
        <v>23</v>
      </c>
      <c r="O3218">
        <v>18</v>
      </c>
      <c r="P3218" t="s">
        <v>25</v>
      </c>
      <c r="Q3218" t="s">
        <v>26</v>
      </c>
      <c r="R3218" s="1">
        <v>0.1</v>
      </c>
      <c r="S3218">
        <f t="shared" si="200"/>
        <v>76.5</v>
      </c>
      <c r="T3218">
        <f>IFERROR(VLOOKUP(A3218,Table1[[Customer ID]:[Discount Amount]], 6, FALSE),"Not Found")</f>
        <v>85</v>
      </c>
      <c r="U3218" t="str">
        <f t="shared" si="201"/>
        <v>Cash</v>
      </c>
      <c r="V3218" s="4" t="str">
        <f t="shared" si="202"/>
        <v>Normal</v>
      </c>
      <c r="W3218" s="4" t="str">
        <f t="shared" si="203"/>
        <v>Good</v>
      </c>
      <c r="X3218" s="4">
        <f>AVERAGE(Table1[Purchase Amount])</f>
        <v>129.48419400000012</v>
      </c>
    </row>
    <row r="3219" spans="1:24" ht="15" customHeight="1" x14ac:dyDescent="0.25">
      <c r="A3219">
        <v>3218</v>
      </c>
      <c r="B3219">
        <v>44</v>
      </c>
      <c r="C3219" t="s">
        <v>16</v>
      </c>
      <c r="D3219" t="s">
        <v>28</v>
      </c>
      <c r="E3219" t="s">
        <v>29</v>
      </c>
      <c r="F3219" s="2">
        <v>58</v>
      </c>
      <c r="G3219" t="s">
        <v>123</v>
      </c>
      <c r="H3219" t="s">
        <v>31</v>
      </c>
      <c r="I3219" t="s">
        <v>153</v>
      </c>
      <c r="J3219" t="s">
        <v>47</v>
      </c>
      <c r="K3219">
        <v>3.4</v>
      </c>
      <c r="L3219" t="s">
        <v>23</v>
      </c>
      <c r="M3219" t="s">
        <v>61</v>
      </c>
      <c r="N3219" t="s">
        <v>23</v>
      </c>
      <c r="O3219">
        <v>46</v>
      </c>
      <c r="P3219" t="s">
        <v>62</v>
      </c>
      <c r="Q3219" t="s">
        <v>26</v>
      </c>
      <c r="R3219" s="1">
        <v>0.1</v>
      </c>
      <c r="S3219">
        <f t="shared" si="200"/>
        <v>52.2</v>
      </c>
      <c r="T3219">
        <f>IFERROR(VLOOKUP(A3219,Table1[[Customer ID]:[Discount Amount]], 6, FALSE),"Not Found")</f>
        <v>58</v>
      </c>
      <c r="U3219" t="str">
        <f t="shared" si="201"/>
        <v>Venmo</v>
      </c>
      <c r="V3219" s="4" t="str">
        <f t="shared" si="202"/>
        <v>Normal</v>
      </c>
      <c r="W3219" s="4" t="str">
        <f t="shared" si="203"/>
        <v>Good</v>
      </c>
      <c r="X3219" s="4">
        <f>AVERAGE(Table1[Purchase Amount])</f>
        <v>129.48419400000012</v>
      </c>
    </row>
    <row r="3220" spans="1:24" ht="15" customHeight="1" x14ac:dyDescent="0.25">
      <c r="A3220">
        <v>3219</v>
      </c>
      <c r="B3220">
        <v>37</v>
      </c>
      <c r="C3220" t="s">
        <v>16</v>
      </c>
      <c r="D3220" t="s">
        <v>122</v>
      </c>
      <c r="E3220" t="s">
        <v>18</v>
      </c>
      <c r="F3220" s="2">
        <v>34</v>
      </c>
      <c r="G3220" t="s">
        <v>67</v>
      </c>
      <c r="H3220" t="s">
        <v>31</v>
      </c>
      <c r="I3220" t="s">
        <v>147</v>
      </c>
      <c r="J3220" t="s">
        <v>47</v>
      </c>
      <c r="K3220">
        <v>3.9</v>
      </c>
      <c r="L3220" t="s">
        <v>23</v>
      </c>
      <c r="M3220" t="s">
        <v>61</v>
      </c>
      <c r="N3220" t="s">
        <v>23</v>
      </c>
      <c r="O3220">
        <v>49</v>
      </c>
      <c r="P3220" t="s">
        <v>58</v>
      </c>
      <c r="Q3220" t="s">
        <v>42</v>
      </c>
      <c r="R3220" s="1">
        <v>0.1</v>
      </c>
      <c r="S3220">
        <f t="shared" si="200"/>
        <v>30.6</v>
      </c>
      <c r="T3220">
        <f>IFERROR(VLOOKUP(A3220,Table1[[Customer ID]:[Discount Amount]], 6, FALSE),"Not Found")</f>
        <v>34</v>
      </c>
      <c r="U3220" t="str">
        <f t="shared" si="201"/>
        <v>PayPal</v>
      </c>
      <c r="V3220" s="4" t="str">
        <f t="shared" si="202"/>
        <v>Normal</v>
      </c>
      <c r="W3220" s="4" t="str">
        <f t="shared" si="203"/>
        <v>Good</v>
      </c>
      <c r="X3220" s="4">
        <f>AVERAGE(Table1[Purchase Amount])</f>
        <v>129.48419400000012</v>
      </c>
    </row>
    <row r="3221" spans="1:24" ht="15" customHeight="1" x14ac:dyDescent="0.25">
      <c r="A3221">
        <v>3220</v>
      </c>
      <c r="B3221">
        <v>57</v>
      </c>
      <c r="C3221" t="s">
        <v>16</v>
      </c>
      <c r="D3221" t="s">
        <v>76</v>
      </c>
      <c r="E3221" t="s">
        <v>77</v>
      </c>
      <c r="F3221" s="2">
        <v>40</v>
      </c>
      <c r="G3221" t="s">
        <v>124</v>
      </c>
      <c r="H3221" t="s">
        <v>45</v>
      </c>
      <c r="I3221" t="s">
        <v>32</v>
      </c>
      <c r="J3221" t="s">
        <v>57</v>
      </c>
      <c r="K3221">
        <v>3.5</v>
      </c>
      <c r="L3221" t="s">
        <v>23</v>
      </c>
      <c r="M3221" t="s">
        <v>41</v>
      </c>
      <c r="N3221" t="s">
        <v>23</v>
      </c>
      <c r="O3221">
        <v>39</v>
      </c>
      <c r="P3221" t="s">
        <v>53</v>
      </c>
      <c r="Q3221" t="s">
        <v>26</v>
      </c>
      <c r="R3221" s="1">
        <v>0.1</v>
      </c>
      <c r="S3221">
        <f t="shared" si="200"/>
        <v>36</v>
      </c>
      <c r="T3221">
        <f>IFERROR(VLOOKUP(A3221,Table1[[Customer ID]:[Discount Amount]], 6, FALSE),"Not Found")</f>
        <v>40</v>
      </c>
      <c r="U3221" t="str">
        <f t="shared" si="201"/>
        <v>Credit Card</v>
      </c>
      <c r="V3221" s="4" t="str">
        <f t="shared" si="202"/>
        <v>Normal</v>
      </c>
      <c r="W3221" s="4" t="str">
        <f t="shared" si="203"/>
        <v>Good</v>
      </c>
      <c r="X3221" s="4">
        <f>AVERAGE(Table1[Purchase Amount])</f>
        <v>129.48419400000012</v>
      </c>
    </row>
    <row r="3222" spans="1:24" ht="15" customHeight="1" x14ac:dyDescent="0.25">
      <c r="A3222">
        <v>3221</v>
      </c>
      <c r="B3222">
        <v>38</v>
      </c>
      <c r="C3222" t="s">
        <v>16</v>
      </c>
      <c r="D3222" t="s">
        <v>69</v>
      </c>
      <c r="E3222" t="s">
        <v>29</v>
      </c>
      <c r="F3222" s="2">
        <v>29</v>
      </c>
      <c r="G3222" t="s">
        <v>86</v>
      </c>
      <c r="H3222" t="s">
        <v>31</v>
      </c>
      <c r="I3222" t="s">
        <v>74</v>
      </c>
      <c r="J3222" t="s">
        <v>47</v>
      </c>
      <c r="K3222">
        <v>4.0999999999999996</v>
      </c>
      <c r="L3222" t="s">
        <v>23</v>
      </c>
      <c r="M3222" t="s">
        <v>35</v>
      </c>
      <c r="N3222" t="s">
        <v>23</v>
      </c>
      <c r="O3222">
        <v>16</v>
      </c>
      <c r="P3222" t="s">
        <v>25</v>
      </c>
      <c r="Q3222" t="s">
        <v>42</v>
      </c>
      <c r="R3222" s="1">
        <v>0.1</v>
      </c>
      <c r="S3222">
        <f t="shared" si="200"/>
        <v>26.1</v>
      </c>
      <c r="T3222">
        <f>IFERROR(VLOOKUP(A3222,Table1[[Customer ID]:[Discount Amount]], 6, FALSE),"Not Found")</f>
        <v>29</v>
      </c>
      <c r="U3222" t="str">
        <f t="shared" si="201"/>
        <v>Cash</v>
      </c>
      <c r="V3222" s="4" t="str">
        <f t="shared" si="202"/>
        <v>Normal</v>
      </c>
      <c r="W3222" s="4" t="str">
        <f t="shared" si="203"/>
        <v>Good</v>
      </c>
      <c r="X3222" s="4">
        <f>AVERAGE(Table1[Purchase Amount])</f>
        <v>129.48419400000012</v>
      </c>
    </row>
    <row r="3223" spans="1:24" ht="15" customHeight="1" x14ac:dyDescent="0.25">
      <c r="A3223">
        <v>3222</v>
      </c>
      <c r="B3223">
        <v>21</v>
      </c>
      <c r="C3223" t="s">
        <v>16</v>
      </c>
      <c r="D3223" t="s">
        <v>17</v>
      </c>
      <c r="E3223" t="s">
        <v>18</v>
      </c>
      <c r="F3223" s="2">
        <v>76</v>
      </c>
      <c r="G3223" t="s">
        <v>132</v>
      </c>
      <c r="H3223" t="s">
        <v>31</v>
      </c>
      <c r="I3223" t="s">
        <v>52</v>
      </c>
      <c r="J3223" t="s">
        <v>22</v>
      </c>
      <c r="K3223">
        <v>3.2</v>
      </c>
      <c r="L3223" t="s">
        <v>23</v>
      </c>
      <c r="M3223" t="s">
        <v>24</v>
      </c>
      <c r="N3223" t="s">
        <v>23</v>
      </c>
      <c r="O3223">
        <v>28</v>
      </c>
      <c r="P3223" t="s">
        <v>25</v>
      </c>
      <c r="Q3223" t="s">
        <v>49</v>
      </c>
      <c r="R3223" s="1">
        <v>0.1</v>
      </c>
      <c r="S3223">
        <f t="shared" si="200"/>
        <v>68.400000000000006</v>
      </c>
      <c r="T3223">
        <f>IFERROR(VLOOKUP(A3223,Table1[[Customer ID]:[Discount Amount]], 6, FALSE),"Not Found")</f>
        <v>76</v>
      </c>
      <c r="U3223" t="str">
        <f t="shared" si="201"/>
        <v>Cash</v>
      </c>
      <c r="V3223" s="4" t="str">
        <f t="shared" si="202"/>
        <v>Normal</v>
      </c>
      <c r="W3223" s="4" t="str">
        <f t="shared" si="203"/>
        <v>Good</v>
      </c>
      <c r="X3223" s="4">
        <f>AVERAGE(Table1[Purchase Amount])</f>
        <v>129.48419400000012</v>
      </c>
    </row>
    <row r="3224" spans="1:24" ht="15" customHeight="1" x14ac:dyDescent="0.25">
      <c r="A3224">
        <v>3223</v>
      </c>
      <c r="B3224">
        <v>45</v>
      </c>
      <c r="C3224" t="s">
        <v>16</v>
      </c>
      <c r="D3224" t="s">
        <v>28</v>
      </c>
      <c r="E3224" t="s">
        <v>29</v>
      </c>
      <c r="F3224" s="2">
        <v>84</v>
      </c>
      <c r="G3224" t="s">
        <v>152</v>
      </c>
      <c r="H3224" t="s">
        <v>55</v>
      </c>
      <c r="I3224" t="s">
        <v>125</v>
      </c>
      <c r="J3224" t="s">
        <v>47</v>
      </c>
      <c r="K3224">
        <v>4.5999999999999996</v>
      </c>
      <c r="L3224" t="s">
        <v>23</v>
      </c>
      <c r="M3224" t="s">
        <v>48</v>
      </c>
      <c r="N3224" t="s">
        <v>23</v>
      </c>
      <c r="O3224">
        <v>22</v>
      </c>
      <c r="P3224" t="s">
        <v>58</v>
      </c>
      <c r="Q3224" t="s">
        <v>37</v>
      </c>
      <c r="R3224" s="1">
        <v>0.1</v>
      </c>
      <c r="S3224">
        <f t="shared" si="200"/>
        <v>75.599999999999994</v>
      </c>
      <c r="T3224">
        <f>IFERROR(VLOOKUP(A3224,Table1[[Customer ID]:[Discount Amount]], 6, FALSE),"Not Found")</f>
        <v>84</v>
      </c>
      <c r="U3224" t="str">
        <f t="shared" si="201"/>
        <v>PayPal</v>
      </c>
      <c r="V3224" s="4" t="str">
        <f t="shared" si="202"/>
        <v>Normal</v>
      </c>
      <c r="W3224" s="4" t="str">
        <f t="shared" si="203"/>
        <v>Good</v>
      </c>
      <c r="X3224" s="4">
        <f>AVERAGE(Table1[Purchase Amount])</f>
        <v>129.48419400000012</v>
      </c>
    </row>
    <row r="3225" spans="1:24" ht="15" customHeight="1" x14ac:dyDescent="0.25">
      <c r="A3225">
        <v>3224</v>
      </c>
      <c r="B3225">
        <v>68</v>
      </c>
      <c r="C3225" t="s">
        <v>16</v>
      </c>
      <c r="D3225" t="s">
        <v>38</v>
      </c>
      <c r="E3225" t="s">
        <v>18</v>
      </c>
      <c r="F3225" s="2">
        <v>65</v>
      </c>
      <c r="G3225" t="s">
        <v>39</v>
      </c>
      <c r="H3225" t="s">
        <v>55</v>
      </c>
      <c r="I3225" t="s">
        <v>85</v>
      </c>
      <c r="J3225" t="s">
        <v>33</v>
      </c>
      <c r="K3225">
        <v>3.9</v>
      </c>
      <c r="L3225" t="s">
        <v>23</v>
      </c>
      <c r="M3225" t="s">
        <v>24</v>
      </c>
      <c r="N3225" t="s">
        <v>23</v>
      </c>
      <c r="O3225">
        <v>36</v>
      </c>
      <c r="P3225" t="s">
        <v>62</v>
      </c>
      <c r="Q3225" t="s">
        <v>68</v>
      </c>
      <c r="R3225" s="1">
        <v>0.1</v>
      </c>
      <c r="S3225">
        <f t="shared" si="200"/>
        <v>58.5</v>
      </c>
      <c r="T3225">
        <f>IFERROR(VLOOKUP(A3225,Table1[[Customer ID]:[Discount Amount]], 6, FALSE),"Not Found")</f>
        <v>65</v>
      </c>
      <c r="U3225" t="str">
        <f t="shared" si="201"/>
        <v>Venmo</v>
      </c>
      <c r="V3225" s="4" t="str">
        <f t="shared" si="202"/>
        <v>Normal</v>
      </c>
      <c r="W3225" s="4" t="str">
        <f t="shared" si="203"/>
        <v>Good</v>
      </c>
      <c r="X3225" s="4">
        <f>AVERAGE(Table1[Purchase Amount])</f>
        <v>129.48419400000012</v>
      </c>
    </row>
    <row r="3226" spans="1:24" ht="15" customHeight="1" x14ac:dyDescent="0.25">
      <c r="A3226">
        <v>3225</v>
      </c>
      <c r="B3226">
        <v>37</v>
      </c>
      <c r="C3226" t="s">
        <v>16</v>
      </c>
      <c r="D3226" t="s">
        <v>83</v>
      </c>
      <c r="E3226" t="s">
        <v>18</v>
      </c>
      <c r="F3226" s="2">
        <v>80</v>
      </c>
      <c r="G3226" t="s">
        <v>143</v>
      </c>
      <c r="H3226" t="s">
        <v>45</v>
      </c>
      <c r="I3226" t="s">
        <v>91</v>
      </c>
      <c r="J3226" t="s">
        <v>22</v>
      </c>
      <c r="K3226">
        <v>2.7</v>
      </c>
      <c r="L3226" t="s">
        <v>23</v>
      </c>
      <c r="M3226" t="s">
        <v>35</v>
      </c>
      <c r="N3226" t="s">
        <v>23</v>
      </c>
      <c r="O3226">
        <v>18</v>
      </c>
      <c r="P3226" t="s">
        <v>58</v>
      </c>
      <c r="Q3226" t="s">
        <v>42</v>
      </c>
      <c r="R3226" s="1">
        <v>0.1</v>
      </c>
      <c r="S3226">
        <f t="shared" si="200"/>
        <v>72</v>
      </c>
      <c r="T3226">
        <f>IFERROR(VLOOKUP(A3226,Table1[[Customer ID]:[Discount Amount]], 6, FALSE),"Not Found")</f>
        <v>80</v>
      </c>
      <c r="U3226" t="str">
        <f t="shared" si="201"/>
        <v>PayPal</v>
      </c>
      <c r="V3226" s="4" t="str">
        <f t="shared" si="202"/>
        <v>Normal</v>
      </c>
      <c r="W3226" s="4" t="str">
        <f t="shared" si="203"/>
        <v>Poor</v>
      </c>
      <c r="X3226" s="4">
        <f>AVERAGE(Table1[Purchase Amount])</f>
        <v>129.48419400000012</v>
      </c>
    </row>
    <row r="3227" spans="1:24" ht="15" customHeight="1" x14ac:dyDescent="0.25">
      <c r="A3227">
        <v>3226</v>
      </c>
      <c r="B3227">
        <v>53</v>
      </c>
      <c r="C3227" t="s">
        <v>16</v>
      </c>
      <c r="D3227" t="s">
        <v>118</v>
      </c>
      <c r="E3227" t="s">
        <v>18</v>
      </c>
      <c r="F3227" s="2">
        <v>98</v>
      </c>
      <c r="G3227" t="s">
        <v>132</v>
      </c>
      <c r="H3227" t="s">
        <v>31</v>
      </c>
      <c r="I3227" t="s">
        <v>136</v>
      </c>
      <c r="J3227" t="s">
        <v>47</v>
      </c>
      <c r="K3227">
        <v>3</v>
      </c>
      <c r="L3227" t="s">
        <v>23</v>
      </c>
      <c r="M3227" t="s">
        <v>48</v>
      </c>
      <c r="N3227" t="s">
        <v>23</v>
      </c>
      <c r="O3227">
        <v>31</v>
      </c>
      <c r="P3227" t="s">
        <v>53</v>
      </c>
      <c r="Q3227" t="s">
        <v>26</v>
      </c>
      <c r="R3227" s="1">
        <v>0.1</v>
      </c>
      <c r="S3227">
        <f t="shared" si="200"/>
        <v>88.2</v>
      </c>
      <c r="T3227">
        <f>IFERROR(VLOOKUP(A3227,Table1[[Customer ID]:[Discount Amount]], 6, FALSE),"Not Found")</f>
        <v>98</v>
      </c>
      <c r="U3227" t="str">
        <f t="shared" si="201"/>
        <v>Credit Card</v>
      </c>
      <c r="V3227" s="4" t="str">
        <f t="shared" si="202"/>
        <v>Normal</v>
      </c>
      <c r="W3227" s="4" t="str">
        <f t="shared" si="203"/>
        <v>Good</v>
      </c>
      <c r="X3227" s="4">
        <f>AVERAGE(Table1[Purchase Amount])</f>
        <v>129.48419400000012</v>
      </c>
    </row>
    <row r="3228" spans="1:24" ht="15" customHeight="1" x14ac:dyDescent="0.25">
      <c r="A3228">
        <v>3227</v>
      </c>
      <c r="B3228">
        <v>57</v>
      </c>
      <c r="C3228" t="s">
        <v>16</v>
      </c>
      <c r="D3228" t="s">
        <v>140</v>
      </c>
      <c r="E3228" t="s">
        <v>98</v>
      </c>
      <c r="F3228" s="2">
        <v>71</v>
      </c>
      <c r="G3228" t="s">
        <v>120</v>
      </c>
      <c r="H3228" t="s">
        <v>20</v>
      </c>
      <c r="I3228" t="s">
        <v>56</v>
      </c>
      <c r="J3228" t="s">
        <v>33</v>
      </c>
      <c r="K3228">
        <v>3.3</v>
      </c>
      <c r="L3228" t="s">
        <v>23</v>
      </c>
      <c r="M3228" t="s">
        <v>79</v>
      </c>
      <c r="N3228" t="s">
        <v>23</v>
      </c>
      <c r="O3228">
        <v>38</v>
      </c>
      <c r="P3228" t="s">
        <v>88</v>
      </c>
      <c r="Q3228" t="s">
        <v>89</v>
      </c>
      <c r="R3228" s="1">
        <v>0.1</v>
      </c>
      <c r="S3228">
        <f t="shared" si="200"/>
        <v>63.9</v>
      </c>
      <c r="T3228">
        <f>IFERROR(VLOOKUP(A3228,Table1[[Customer ID]:[Discount Amount]], 6, FALSE),"Not Found")</f>
        <v>71</v>
      </c>
      <c r="U3228" t="str">
        <f t="shared" si="201"/>
        <v>Bank Transfer</v>
      </c>
      <c r="V3228" s="4" t="str">
        <f t="shared" si="202"/>
        <v>Normal</v>
      </c>
      <c r="W3228" s="4" t="str">
        <f t="shared" si="203"/>
        <v>Good</v>
      </c>
      <c r="X3228" s="4">
        <f>AVERAGE(Table1[Purchase Amount])</f>
        <v>129.48419400000012</v>
      </c>
    </row>
    <row r="3229" spans="1:24" ht="15" customHeight="1" x14ac:dyDescent="0.25">
      <c r="A3229">
        <v>3228</v>
      </c>
      <c r="B3229">
        <v>28</v>
      </c>
      <c r="C3229" t="s">
        <v>16</v>
      </c>
      <c r="D3229" t="s">
        <v>129</v>
      </c>
      <c r="E3229" t="s">
        <v>29</v>
      </c>
      <c r="F3229" s="2">
        <v>69</v>
      </c>
      <c r="G3229" t="s">
        <v>148</v>
      </c>
      <c r="H3229" t="s">
        <v>20</v>
      </c>
      <c r="I3229" t="s">
        <v>32</v>
      </c>
      <c r="J3229" t="s">
        <v>47</v>
      </c>
      <c r="K3229">
        <v>2.7</v>
      </c>
      <c r="L3229" t="s">
        <v>23</v>
      </c>
      <c r="M3229" t="s">
        <v>35</v>
      </c>
      <c r="N3229" t="s">
        <v>23</v>
      </c>
      <c r="O3229">
        <v>42</v>
      </c>
      <c r="P3229" t="s">
        <v>36</v>
      </c>
      <c r="Q3229" t="s">
        <v>37</v>
      </c>
      <c r="R3229" s="1">
        <v>0.1</v>
      </c>
      <c r="S3229">
        <f t="shared" si="200"/>
        <v>62.1</v>
      </c>
      <c r="T3229">
        <f>IFERROR(VLOOKUP(A3229,Table1[[Customer ID]:[Discount Amount]], 6, FALSE),"Not Found")</f>
        <v>69</v>
      </c>
      <c r="U3229" t="str">
        <f t="shared" si="201"/>
        <v>Debit Card</v>
      </c>
      <c r="V3229" s="4" t="str">
        <f t="shared" si="202"/>
        <v>Normal</v>
      </c>
      <c r="W3229" s="4" t="str">
        <f t="shared" si="203"/>
        <v>Poor</v>
      </c>
      <c r="X3229" s="4">
        <f>AVERAGE(Table1[Purchase Amount])</f>
        <v>129.48419400000012</v>
      </c>
    </row>
    <row r="3230" spans="1:24" ht="15" customHeight="1" x14ac:dyDescent="0.25">
      <c r="A3230">
        <v>3229</v>
      </c>
      <c r="B3230">
        <v>37</v>
      </c>
      <c r="C3230" t="s">
        <v>16</v>
      </c>
      <c r="D3230" t="s">
        <v>50</v>
      </c>
      <c r="E3230" t="s">
        <v>29</v>
      </c>
      <c r="F3230" s="2">
        <v>95</v>
      </c>
      <c r="G3230" t="s">
        <v>115</v>
      </c>
      <c r="H3230" t="s">
        <v>31</v>
      </c>
      <c r="I3230" t="s">
        <v>52</v>
      </c>
      <c r="J3230" t="s">
        <v>33</v>
      </c>
      <c r="K3230">
        <v>4.5999999999999996</v>
      </c>
      <c r="L3230" t="s">
        <v>23</v>
      </c>
      <c r="M3230" t="s">
        <v>41</v>
      </c>
      <c r="N3230" t="s">
        <v>23</v>
      </c>
      <c r="O3230">
        <v>27</v>
      </c>
      <c r="P3230" t="s">
        <v>58</v>
      </c>
      <c r="Q3230" t="s">
        <v>49</v>
      </c>
      <c r="R3230" s="1">
        <v>0.1</v>
      </c>
      <c r="S3230">
        <f t="shared" si="200"/>
        <v>85.5</v>
      </c>
      <c r="T3230">
        <f>IFERROR(VLOOKUP(A3230,Table1[[Customer ID]:[Discount Amount]], 6, FALSE),"Not Found")</f>
        <v>95</v>
      </c>
      <c r="U3230" t="str">
        <f t="shared" si="201"/>
        <v>PayPal</v>
      </c>
      <c r="V3230" s="4" t="str">
        <f t="shared" si="202"/>
        <v>Normal</v>
      </c>
      <c r="W3230" s="4" t="str">
        <f t="shared" si="203"/>
        <v>Good</v>
      </c>
      <c r="X3230" s="4">
        <f>AVERAGE(Table1[Purchase Amount])</f>
        <v>129.48419400000012</v>
      </c>
    </row>
    <row r="3231" spans="1:24" ht="15" customHeight="1" x14ac:dyDescent="0.25">
      <c r="A3231">
        <v>3230</v>
      </c>
      <c r="B3231">
        <v>54</v>
      </c>
      <c r="C3231" t="s">
        <v>16</v>
      </c>
      <c r="D3231" t="s">
        <v>99</v>
      </c>
      <c r="E3231" t="s">
        <v>18</v>
      </c>
      <c r="F3231" s="2">
        <v>67</v>
      </c>
      <c r="G3231" t="s">
        <v>115</v>
      </c>
      <c r="H3231" t="s">
        <v>31</v>
      </c>
      <c r="I3231" t="s">
        <v>147</v>
      </c>
      <c r="J3231" t="s">
        <v>47</v>
      </c>
      <c r="K3231">
        <v>2.7</v>
      </c>
      <c r="L3231" t="s">
        <v>23</v>
      </c>
      <c r="M3231" t="s">
        <v>61</v>
      </c>
      <c r="N3231" t="s">
        <v>23</v>
      </c>
      <c r="O3231">
        <v>24</v>
      </c>
      <c r="P3231" t="s">
        <v>25</v>
      </c>
      <c r="Q3231" t="s">
        <v>42</v>
      </c>
      <c r="R3231" s="1">
        <v>0.1</v>
      </c>
      <c r="S3231">
        <f t="shared" si="200"/>
        <v>60.3</v>
      </c>
      <c r="T3231">
        <f>IFERROR(VLOOKUP(A3231,Table1[[Customer ID]:[Discount Amount]], 6, FALSE),"Not Found")</f>
        <v>67</v>
      </c>
      <c r="U3231" t="str">
        <f t="shared" si="201"/>
        <v>Cash</v>
      </c>
      <c r="V3231" s="4" t="str">
        <f t="shared" si="202"/>
        <v>Normal</v>
      </c>
      <c r="W3231" s="4" t="str">
        <f t="shared" si="203"/>
        <v>Poor</v>
      </c>
      <c r="X3231" s="4">
        <f>AVERAGE(Table1[Purchase Amount])</f>
        <v>129.48419400000012</v>
      </c>
    </row>
    <row r="3232" spans="1:24" ht="15" customHeight="1" x14ac:dyDescent="0.25">
      <c r="A3232">
        <v>3231</v>
      </c>
      <c r="B3232">
        <v>49</v>
      </c>
      <c r="C3232" t="s">
        <v>16</v>
      </c>
      <c r="D3232" t="s">
        <v>140</v>
      </c>
      <c r="E3232" t="s">
        <v>98</v>
      </c>
      <c r="F3232" s="2">
        <v>49</v>
      </c>
      <c r="G3232" t="s">
        <v>124</v>
      </c>
      <c r="H3232" t="s">
        <v>31</v>
      </c>
      <c r="I3232" t="s">
        <v>21</v>
      </c>
      <c r="J3232" t="s">
        <v>57</v>
      </c>
      <c r="K3232">
        <v>2.5</v>
      </c>
      <c r="L3232" t="s">
        <v>23</v>
      </c>
      <c r="M3232" t="s">
        <v>79</v>
      </c>
      <c r="N3232" t="s">
        <v>23</v>
      </c>
      <c r="O3232">
        <v>38</v>
      </c>
      <c r="P3232" t="s">
        <v>36</v>
      </c>
      <c r="Q3232" t="s">
        <v>49</v>
      </c>
      <c r="R3232" s="1">
        <v>0.1</v>
      </c>
      <c r="S3232">
        <f t="shared" si="200"/>
        <v>44.1</v>
      </c>
      <c r="T3232">
        <f>IFERROR(VLOOKUP(A3232,Table1[[Customer ID]:[Discount Amount]], 6, FALSE),"Not Found")</f>
        <v>49</v>
      </c>
      <c r="U3232" t="str">
        <f t="shared" si="201"/>
        <v>Debit Card</v>
      </c>
      <c r="V3232" s="4" t="str">
        <f t="shared" si="202"/>
        <v>Normal</v>
      </c>
      <c r="W3232" s="4" t="str">
        <f t="shared" si="203"/>
        <v>Poor</v>
      </c>
      <c r="X3232" s="4">
        <f>AVERAGE(Table1[Purchase Amount])</f>
        <v>129.48419400000012</v>
      </c>
    </row>
    <row r="3233" spans="1:24" ht="15" customHeight="1" x14ac:dyDescent="0.25">
      <c r="A3233">
        <v>3232</v>
      </c>
      <c r="B3233">
        <v>62</v>
      </c>
      <c r="C3233" t="s">
        <v>16</v>
      </c>
      <c r="D3233" t="s">
        <v>72</v>
      </c>
      <c r="E3233" t="s">
        <v>98</v>
      </c>
      <c r="F3233" s="2">
        <v>97</v>
      </c>
      <c r="G3233" t="s">
        <v>158</v>
      </c>
      <c r="H3233" t="s">
        <v>31</v>
      </c>
      <c r="I3233" t="s">
        <v>125</v>
      </c>
      <c r="J3233" t="s">
        <v>22</v>
      </c>
      <c r="K3233">
        <v>4.4000000000000004</v>
      </c>
      <c r="L3233" t="s">
        <v>23</v>
      </c>
      <c r="M3233" t="s">
        <v>35</v>
      </c>
      <c r="N3233" t="s">
        <v>23</v>
      </c>
      <c r="O3233">
        <v>9</v>
      </c>
      <c r="P3233" t="s">
        <v>53</v>
      </c>
      <c r="Q3233" t="s">
        <v>49</v>
      </c>
      <c r="R3233" s="1">
        <v>0.1</v>
      </c>
      <c r="S3233">
        <f t="shared" si="200"/>
        <v>87.3</v>
      </c>
      <c r="T3233">
        <f>IFERROR(VLOOKUP(A3233,Table1[[Customer ID]:[Discount Amount]], 6, FALSE),"Not Found")</f>
        <v>97</v>
      </c>
      <c r="U3233" t="str">
        <f t="shared" si="201"/>
        <v>Credit Card</v>
      </c>
      <c r="V3233" s="4" t="str">
        <f t="shared" si="202"/>
        <v>Normal</v>
      </c>
      <c r="W3233" s="4" t="str">
        <f t="shared" si="203"/>
        <v>Good</v>
      </c>
      <c r="X3233" s="4">
        <f>AVERAGE(Table1[Purchase Amount])</f>
        <v>129.48419400000012</v>
      </c>
    </row>
    <row r="3234" spans="1:24" ht="15" customHeight="1" x14ac:dyDescent="0.25">
      <c r="A3234">
        <v>3233</v>
      </c>
      <c r="B3234">
        <v>45</v>
      </c>
      <c r="C3234" t="s">
        <v>16</v>
      </c>
      <c r="D3234" t="s">
        <v>17</v>
      </c>
      <c r="E3234" t="s">
        <v>18</v>
      </c>
      <c r="F3234" s="2">
        <v>34</v>
      </c>
      <c r="G3234" t="s">
        <v>97</v>
      </c>
      <c r="H3234" t="s">
        <v>31</v>
      </c>
      <c r="I3234" t="s">
        <v>32</v>
      </c>
      <c r="J3234" t="s">
        <v>33</v>
      </c>
      <c r="K3234">
        <v>4</v>
      </c>
      <c r="L3234" t="s">
        <v>23</v>
      </c>
      <c r="M3234" t="s">
        <v>79</v>
      </c>
      <c r="N3234" t="s">
        <v>23</v>
      </c>
      <c r="O3234">
        <v>19</v>
      </c>
      <c r="P3234" t="s">
        <v>88</v>
      </c>
      <c r="Q3234" t="s">
        <v>42</v>
      </c>
      <c r="R3234" s="1">
        <v>0.1</v>
      </c>
      <c r="S3234">
        <f t="shared" si="200"/>
        <v>30.6</v>
      </c>
      <c r="T3234">
        <f>IFERROR(VLOOKUP(A3234,Table1[[Customer ID]:[Discount Amount]], 6, FALSE),"Not Found")</f>
        <v>34</v>
      </c>
      <c r="U3234" t="str">
        <f t="shared" si="201"/>
        <v>Bank Transfer</v>
      </c>
      <c r="V3234" s="4" t="str">
        <f t="shared" si="202"/>
        <v>Normal</v>
      </c>
      <c r="W3234" s="4" t="str">
        <f t="shared" si="203"/>
        <v>Good</v>
      </c>
      <c r="X3234" s="4">
        <f>AVERAGE(Table1[Purchase Amount])</f>
        <v>129.48419400000012</v>
      </c>
    </row>
    <row r="3235" spans="1:24" ht="15" customHeight="1" x14ac:dyDescent="0.25">
      <c r="A3235">
        <v>3234</v>
      </c>
      <c r="B3235">
        <v>45</v>
      </c>
      <c r="C3235" t="s">
        <v>16</v>
      </c>
      <c r="D3235" t="s">
        <v>114</v>
      </c>
      <c r="E3235" t="s">
        <v>29</v>
      </c>
      <c r="F3235" s="2">
        <v>74</v>
      </c>
      <c r="G3235" t="s">
        <v>102</v>
      </c>
      <c r="H3235" t="s">
        <v>31</v>
      </c>
      <c r="I3235" t="s">
        <v>107</v>
      </c>
      <c r="J3235" t="s">
        <v>47</v>
      </c>
      <c r="K3235">
        <v>3.8</v>
      </c>
      <c r="L3235" t="s">
        <v>23</v>
      </c>
      <c r="M3235" t="s">
        <v>61</v>
      </c>
      <c r="N3235" t="s">
        <v>23</v>
      </c>
      <c r="O3235">
        <v>11</v>
      </c>
      <c r="P3235" t="s">
        <v>36</v>
      </c>
      <c r="Q3235" t="s">
        <v>68</v>
      </c>
      <c r="R3235" s="1">
        <v>0.1</v>
      </c>
      <c r="S3235">
        <f t="shared" si="200"/>
        <v>66.599999999999994</v>
      </c>
      <c r="T3235">
        <f>IFERROR(VLOOKUP(A3235,Table1[[Customer ID]:[Discount Amount]], 6, FALSE),"Not Found")</f>
        <v>74</v>
      </c>
      <c r="U3235" t="str">
        <f t="shared" si="201"/>
        <v>Debit Card</v>
      </c>
      <c r="V3235" s="4" t="str">
        <f t="shared" si="202"/>
        <v>Normal</v>
      </c>
      <c r="W3235" s="4" t="str">
        <f t="shared" si="203"/>
        <v>Good</v>
      </c>
      <c r="X3235" s="4">
        <f>AVERAGE(Table1[Purchase Amount])</f>
        <v>129.48419400000012</v>
      </c>
    </row>
    <row r="3236" spans="1:24" ht="15" customHeight="1" x14ac:dyDescent="0.25">
      <c r="A3236">
        <v>3235</v>
      </c>
      <c r="B3236">
        <v>49</v>
      </c>
      <c r="C3236" t="s">
        <v>16</v>
      </c>
      <c r="D3236" t="s">
        <v>50</v>
      </c>
      <c r="E3236" t="s">
        <v>29</v>
      </c>
      <c r="F3236" s="2">
        <v>96</v>
      </c>
      <c r="G3236" t="s">
        <v>155</v>
      </c>
      <c r="H3236" t="s">
        <v>31</v>
      </c>
      <c r="I3236" t="s">
        <v>40</v>
      </c>
      <c r="J3236" t="s">
        <v>22</v>
      </c>
      <c r="K3236">
        <v>2.5</v>
      </c>
      <c r="L3236" t="s">
        <v>23</v>
      </c>
      <c r="M3236" t="s">
        <v>41</v>
      </c>
      <c r="N3236" t="s">
        <v>23</v>
      </c>
      <c r="O3236">
        <v>16</v>
      </c>
      <c r="P3236" t="s">
        <v>36</v>
      </c>
      <c r="Q3236" t="s">
        <v>37</v>
      </c>
      <c r="R3236" s="1">
        <v>0.1</v>
      </c>
      <c r="S3236">
        <f t="shared" si="200"/>
        <v>86.4</v>
      </c>
      <c r="T3236">
        <f>IFERROR(VLOOKUP(A3236,Table1[[Customer ID]:[Discount Amount]], 6, FALSE),"Not Found")</f>
        <v>96</v>
      </c>
      <c r="U3236" t="str">
        <f t="shared" si="201"/>
        <v>Debit Card</v>
      </c>
      <c r="V3236" s="4" t="str">
        <f t="shared" si="202"/>
        <v>Normal</v>
      </c>
      <c r="W3236" s="4" t="str">
        <f t="shared" si="203"/>
        <v>Poor</v>
      </c>
      <c r="X3236" s="4">
        <f>AVERAGE(Table1[Purchase Amount])</f>
        <v>129.48419400000012</v>
      </c>
    </row>
    <row r="3237" spans="1:24" ht="15" customHeight="1" x14ac:dyDescent="0.25">
      <c r="A3237">
        <v>3236</v>
      </c>
      <c r="B3237">
        <v>27</v>
      </c>
      <c r="C3237" t="s">
        <v>16</v>
      </c>
      <c r="D3237" t="s">
        <v>114</v>
      </c>
      <c r="E3237" t="s">
        <v>29</v>
      </c>
      <c r="F3237" s="2">
        <v>68</v>
      </c>
      <c r="G3237" t="s">
        <v>124</v>
      </c>
      <c r="H3237" t="s">
        <v>31</v>
      </c>
      <c r="I3237" t="s">
        <v>93</v>
      </c>
      <c r="J3237" t="s">
        <v>57</v>
      </c>
      <c r="K3237">
        <v>4</v>
      </c>
      <c r="L3237" t="s">
        <v>23</v>
      </c>
      <c r="M3237" t="s">
        <v>35</v>
      </c>
      <c r="N3237" t="s">
        <v>23</v>
      </c>
      <c r="O3237">
        <v>18</v>
      </c>
      <c r="P3237" t="s">
        <v>62</v>
      </c>
      <c r="Q3237" t="s">
        <v>42</v>
      </c>
      <c r="R3237" s="1">
        <v>0.1</v>
      </c>
      <c r="S3237">
        <f t="shared" si="200"/>
        <v>61.2</v>
      </c>
      <c r="T3237">
        <f>IFERROR(VLOOKUP(A3237,Table1[[Customer ID]:[Discount Amount]], 6, FALSE),"Not Found")</f>
        <v>68</v>
      </c>
      <c r="U3237" t="str">
        <f t="shared" si="201"/>
        <v>Venmo</v>
      </c>
      <c r="V3237" s="4" t="str">
        <f t="shared" si="202"/>
        <v>Normal</v>
      </c>
      <c r="W3237" s="4" t="str">
        <f t="shared" si="203"/>
        <v>Good</v>
      </c>
      <c r="X3237" s="4">
        <f>AVERAGE(Table1[Purchase Amount])</f>
        <v>129.48419400000012</v>
      </c>
    </row>
    <row r="3238" spans="1:24" ht="15" customHeight="1" x14ac:dyDescent="0.25">
      <c r="A3238">
        <v>3237</v>
      </c>
      <c r="B3238">
        <v>63</v>
      </c>
      <c r="C3238" t="s">
        <v>16</v>
      </c>
      <c r="D3238" t="s">
        <v>114</v>
      </c>
      <c r="E3238" t="s">
        <v>29</v>
      </c>
      <c r="F3238" s="2">
        <v>84</v>
      </c>
      <c r="G3238" t="s">
        <v>30</v>
      </c>
      <c r="H3238" t="s">
        <v>45</v>
      </c>
      <c r="I3238" t="s">
        <v>21</v>
      </c>
      <c r="J3238" t="s">
        <v>47</v>
      </c>
      <c r="K3238">
        <v>4.0999999999999996</v>
      </c>
      <c r="L3238" t="s">
        <v>23</v>
      </c>
      <c r="M3238" t="s">
        <v>79</v>
      </c>
      <c r="N3238" t="s">
        <v>23</v>
      </c>
      <c r="O3238">
        <v>8</v>
      </c>
      <c r="P3238" t="s">
        <v>25</v>
      </c>
      <c r="Q3238" t="s">
        <v>42</v>
      </c>
      <c r="R3238" s="1">
        <v>0.1</v>
      </c>
      <c r="S3238">
        <f t="shared" si="200"/>
        <v>75.599999999999994</v>
      </c>
      <c r="T3238">
        <f>IFERROR(VLOOKUP(A3238,Table1[[Customer ID]:[Discount Amount]], 6, FALSE),"Not Found")</f>
        <v>84</v>
      </c>
      <c r="U3238" t="str">
        <f t="shared" si="201"/>
        <v>Cash</v>
      </c>
      <c r="V3238" s="4" t="str">
        <f t="shared" si="202"/>
        <v>Normal</v>
      </c>
      <c r="W3238" s="4" t="str">
        <f t="shared" si="203"/>
        <v>Good</v>
      </c>
      <c r="X3238" s="4">
        <f>AVERAGE(Table1[Purchase Amount])</f>
        <v>129.48419400000012</v>
      </c>
    </row>
    <row r="3239" spans="1:24" ht="15" customHeight="1" x14ac:dyDescent="0.25">
      <c r="A3239">
        <v>3238</v>
      </c>
      <c r="B3239">
        <v>61</v>
      </c>
      <c r="C3239" t="s">
        <v>16</v>
      </c>
      <c r="D3239" t="s">
        <v>17</v>
      </c>
      <c r="E3239" t="s">
        <v>18</v>
      </c>
      <c r="F3239" s="2">
        <v>57</v>
      </c>
      <c r="G3239" t="s">
        <v>84</v>
      </c>
      <c r="H3239" t="s">
        <v>31</v>
      </c>
      <c r="I3239" t="s">
        <v>85</v>
      </c>
      <c r="J3239" t="s">
        <v>57</v>
      </c>
      <c r="K3239">
        <v>2.8</v>
      </c>
      <c r="L3239" t="s">
        <v>23</v>
      </c>
      <c r="M3239" t="s">
        <v>61</v>
      </c>
      <c r="N3239" t="s">
        <v>23</v>
      </c>
      <c r="O3239">
        <v>4</v>
      </c>
      <c r="P3239" t="s">
        <v>25</v>
      </c>
      <c r="Q3239" t="s">
        <v>26</v>
      </c>
      <c r="R3239" s="1">
        <v>0.1</v>
      </c>
      <c r="S3239">
        <f t="shared" si="200"/>
        <v>51.3</v>
      </c>
      <c r="T3239">
        <f>IFERROR(VLOOKUP(A3239,Table1[[Customer ID]:[Discount Amount]], 6, FALSE),"Not Found")</f>
        <v>57</v>
      </c>
      <c r="U3239" t="str">
        <f t="shared" si="201"/>
        <v>Cash</v>
      </c>
      <c r="V3239" s="4" t="str">
        <f t="shared" si="202"/>
        <v>Normal</v>
      </c>
      <c r="W3239" s="4" t="str">
        <f t="shared" si="203"/>
        <v>Poor</v>
      </c>
      <c r="X3239" s="4">
        <f>AVERAGE(Table1[Purchase Amount])</f>
        <v>129.48419400000012</v>
      </c>
    </row>
    <row r="3240" spans="1:24" ht="15" customHeight="1" x14ac:dyDescent="0.25">
      <c r="A3240">
        <v>3239</v>
      </c>
      <c r="B3240">
        <v>25</v>
      </c>
      <c r="C3240" t="s">
        <v>16</v>
      </c>
      <c r="D3240" t="s">
        <v>140</v>
      </c>
      <c r="E3240" t="s">
        <v>98</v>
      </c>
      <c r="F3240" s="2">
        <v>84</v>
      </c>
      <c r="G3240" t="s">
        <v>162</v>
      </c>
      <c r="H3240" t="s">
        <v>20</v>
      </c>
      <c r="I3240" t="s">
        <v>147</v>
      </c>
      <c r="J3240" t="s">
        <v>47</v>
      </c>
      <c r="K3240">
        <v>3.4</v>
      </c>
      <c r="L3240" t="s">
        <v>23</v>
      </c>
      <c r="M3240" t="s">
        <v>41</v>
      </c>
      <c r="N3240" t="s">
        <v>23</v>
      </c>
      <c r="O3240">
        <v>37</v>
      </c>
      <c r="P3240" t="s">
        <v>25</v>
      </c>
      <c r="Q3240" t="s">
        <v>37</v>
      </c>
      <c r="R3240" s="1">
        <v>0.1</v>
      </c>
      <c r="S3240">
        <f t="shared" si="200"/>
        <v>75.599999999999994</v>
      </c>
      <c r="T3240">
        <f>IFERROR(VLOOKUP(A3240,Table1[[Customer ID]:[Discount Amount]], 6, FALSE),"Not Found")</f>
        <v>84</v>
      </c>
      <c r="U3240" t="str">
        <f t="shared" si="201"/>
        <v>Cash</v>
      </c>
      <c r="V3240" s="4" t="str">
        <f t="shared" si="202"/>
        <v>Normal</v>
      </c>
      <c r="W3240" s="4" t="str">
        <f t="shared" si="203"/>
        <v>Good</v>
      </c>
      <c r="X3240" s="4">
        <f>AVERAGE(Table1[Purchase Amount])</f>
        <v>129.48419400000012</v>
      </c>
    </row>
    <row r="3241" spans="1:24" ht="15" customHeight="1" x14ac:dyDescent="0.25">
      <c r="A3241">
        <v>3240</v>
      </c>
      <c r="B3241">
        <v>33</v>
      </c>
      <c r="C3241" t="s">
        <v>16</v>
      </c>
      <c r="D3241" t="s">
        <v>28</v>
      </c>
      <c r="E3241" t="s">
        <v>29</v>
      </c>
      <c r="F3241" s="2">
        <v>32</v>
      </c>
      <c r="G3241" t="s">
        <v>92</v>
      </c>
      <c r="H3241" t="s">
        <v>31</v>
      </c>
      <c r="I3241" t="s">
        <v>103</v>
      </c>
      <c r="J3241" t="s">
        <v>47</v>
      </c>
      <c r="K3241">
        <v>2.7</v>
      </c>
      <c r="L3241" t="s">
        <v>23</v>
      </c>
      <c r="M3241" t="s">
        <v>41</v>
      </c>
      <c r="N3241" t="s">
        <v>23</v>
      </c>
      <c r="O3241">
        <v>30</v>
      </c>
      <c r="P3241" t="s">
        <v>25</v>
      </c>
      <c r="Q3241" t="s">
        <v>42</v>
      </c>
      <c r="R3241" s="1">
        <v>0.1</v>
      </c>
      <c r="S3241">
        <f t="shared" si="200"/>
        <v>28.8</v>
      </c>
      <c r="T3241">
        <f>IFERROR(VLOOKUP(A3241,Table1[[Customer ID]:[Discount Amount]], 6, FALSE),"Not Found")</f>
        <v>32</v>
      </c>
      <c r="U3241" t="str">
        <f t="shared" si="201"/>
        <v>Cash</v>
      </c>
      <c r="V3241" s="4" t="str">
        <f t="shared" si="202"/>
        <v>Normal</v>
      </c>
      <c r="W3241" s="4" t="str">
        <f t="shared" si="203"/>
        <v>Poor</v>
      </c>
      <c r="X3241" s="4">
        <f>AVERAGE(Table1[Purchase Amount])</f>
        <v>129.48419400000012</v>
      </c>
    </row>
    <row r="3242" spans="1:24" ht="15" customHeight="1" x14ac:dyDescent="0.25">
      <c r="A3242">
        <v>3241</v>
      </c>
      <c r="B3242">
        <v>56</v>
      </c>
      <c r="C3242" t="s">
        <v>16</v>
      </c>
      <c r="D3242" t="s">
        <v>121</v>
      </c>
      <c r="E3242" t="s">
        <v>98</v>
      </c>
      <c r="F3242" s="2">
        <v>37</v>
      </c>
      <c r="G3242" t="s">
        <v>154</v>
      </c>
      <c r="H3242" t="s">
        <v>31</v>
      </c>
      <c r="I3242" t="s">
        <v>111</v>
      </c>
      <c r="J3242" t="s">
        <v>47</v>
      </c>
      <c r="K3242">
        <v>3.8</v>
      </c>
      <c r="L3242" t="s">
        <v>23</v>
      </c>
      <c r="M3242" t="s">
        <v>41</v>
      </c>
      <c r="N3242" t="s">
        <v>23</v>
      </c>
      <c r="O3242">
        <v>37</v>
      </c>
      <c r="P3242" t="s">
        <v>88</v>
      </c>
      <c r="Q3242" t="s">
        <v>42</v>
      </c>
      <c r="R3242" s="1">
        <v>0.1</v>
      </c>
      <c r="S3242">
        <f t="shared" si="200"/>
        <v>33.299999999999997</v>
      </c>
      <c r="T3242">
        <f>IFERROR(VLOOKUP(A3242,Table1[[Customer ID]:[Discount Amount]], 6, FALSE),"Not Found")</f>
        <v>37</v>
      </c>
      <c r="U3242" t="str">
        <f t="shared" si="201"/>
        <v>Bank Transfer</v>
      </c>
      <c r="V3242" s="4" t="str">
        <f t="shared" si="202"/>
        <v>Normal</v>
      </c>
      <c r="W3242" s="4" t="str">
        <f t="shared" si="203"/>
        <v>Good</v>
      </c>
      <c r="X3242" s="4">
        <f>AVERAGE(Table1[Purchase Amount])</f>
        <v>129.48419400000012</v>
      </c>
    </row>
    <row r="3243" spans="1:24" ht="15" customHeight="1" x14ac:dyDescent="0.25">
      <c r="A3243">
        <v>3242</v>
      </c>
      <c r="B3243">
        <v>50</v>
      </c>
      <c r="C3243" t="s">
        <v>16</v>
      </c>
      <c r="D3243" t="s">
        <v>69</v>
      </c>
      <c r="E3243" t="s">
        <v>29</v>
      </c>
      <c r="F3243" s="2">
        <v>58</v>
      </c>
      <c r="G3243" t="s">
        <v>115</v>
      </c>
      <c r="H3243" t="s">
        <v>31</v>
      </c>
      <c r="I3243" t="s">
        <v>107</v>
      </c>
      <c r="J3243" t="s">
        <v>57</v>
      </c>
      <c r="K3243">
        <v>4.4000000000000004</v>
      </c>
      <c r="L3243" t="s">
        <v>23</v>
      </c>
      <c r="M3243" t="s">
        <v>48</v>
      </c>
      <c r="N3243" t="s">
        <v>23</v>
      </c>
      <c r="O3243">
        <v>30</v>
      </c>
      <c r="P3243" t="s">
        <v>58</v>
      </c>
      <c r="Q3243" t="s">
        <v>37</v>
      </c>
      <c r="R3243" s="1">
        <v>0.1</v>
      </c>
      <c r="S3243">
        <f t="shared" si="200"/>
        <v>52.2</v>
      </c>
      <c r="T3243">
        <f>IFERROR(VLOOKUP(A3243,Table1[[Customer ID]:[Discount Amount]], 6, FALSE),"Not Found")</f>
        <v>58</v>
      </c>
      <c r="U3243" t="str">
        <f t="shared" si="201"/>
        <v>PayPal</v>
      </c>
      <c r="V3243" s="4" t="str">
        <f t="shared" si="202"/>
        <v>Normal</v>
      </c>
      <c r="W3243" s="4" t="str">
        <f t="shared" si="203"/>
        <v>Good</v>
      </c>
      <c r="X3243" s="4">
        <f>AVERAGE(Table1[Purchase Amount])</f>
        <v>129.48419400000012</v>
      </c>
    </row>
    <row r="3244" spans="1:24" ht="15" customHeight="1" x14ac:dyDescent="0.25">
      <c r="A3244">
        <v>3243</v>
      </c>
      <c r="B3244">
        <v>45</v>
      </c>
      <c r="C3244" t="s">
        <v>16</v>
      </c>
      <c r="D3244" t="s">
        <v>105</v>
      </c>
      <c r="E3244" t="s">
        <v>18</v>
      </c>
      <c r="F3244" s="2">
        <v>74</v>
      </c>
      <c r="G3244" t="s">
        <v>123</v>
      </c>
      <c r="H3244" t="s">
        <v>55</v>
      </c>
      <c r="I3244" t="s">
        <v>56</v>
      </c>
      <c r="J3244" t="s">
        <v>47</v>
      </c>
      <c r="K3244">
        <v>2.8</v>
      </c>
      <c r="L3244" t="s">
        <v>23</v>
      </c>
      <c r="M3244" t="s">
        <v>61</v>
      </c>
      <c r="N3244" t="s">
        <v>23</v>
      </c>
      <c r="O3244">
        <v>17</v>
      </c>
      <c r="P3244" t="s">
        <v>62</v>
      </c>
      <c r="Q3244" t="s">
        <v>26</v>
      </c>
      <c r="R3244" s="1">
        <v>0.1</v>
      </c>
      <c r="S3244">
        <f t="shared" si="200"/>
        <v>66.599999999999994</v>
      </c>
      <c r="T3244">
        <f>IFERROR(VLOOKUP(A3244,Table1[[Customer ID]:[Discount Amount]], 6, FALSE),"Not Found")</f>
        <v>74</v>
      </c>
      <c r="U3244" t="str">
        <f t="shared" si="201"/>
        <v>Venmo</v>
      </c>
      <c r="V3244" s="4" t="str">
        <f t="shared" si="202"/>
        <v>Normal</v>
      </c>
      <c r="W3244" s="4" t="str">
        <f t="shared" si="203"/>
        <v>Poor</v>
      </c>
      <c r="X3244" s="4">
        <f>AVERAGE(Table1[Purchase Amount])</f>
        <v>129.48419400000012</v>
      </c>
    </row>
    <row r="3245" spans="1:24" ht="15" customHeight="1" x14ac:dyDescent="0.25">
      <c r="A3245">
        <v>3244</v>
      </c>
      <c r="B3245">
        <v>45</v>
      </c>
      <c r="C3245" t="s">
        <v>16</v>
      </c>
      <c r="D3245" t="s">
        <v>83</v>
      </c>
      <c r="E3245" t="s">
        <v>18</v>
      </c>
      <c r="F3245" s="2">
        <v>99</v>
      </c>
      <c r="G3245" t="s">
        <v>161</v>
      </c>
      <c r="H3245" t="s">
        <v>45</v>
      </c>
      <c r="I3245" t="s">
        <v>40</v>
      </c>
      <c r="J3245" t="s">
        <v>57</v>
      </c>
      <c r="K3245">
        <v>5</v>
      </c>
      <c r="L3245" t="s">
        <v>23</v>
      </c>
      <c r="M3245" t="s">
        <v>48</v>
      </c>
      <c r="N3245" t="s">
        <v>23</v>
      </c>
      <c r="O3245">
        <v>11</v>
      </c>
      <c r="P3245" t="s">
        <v>88</v>
      </c>
      <c r="Q3245" t="s">
        <v>63</v>
      </c>
      <c r="R3245" s="1">
        <v>0.1</v>
      </c>
      <c r="S3245">
        <f t="shared" si="200"/>
        <v>89.1</v>
      </c>
      <c r="T3245">
        <f>IFERROR(VLOOKUP(A3245,Table1[[Customer ID]:[Discount Amount]], 6, FALSE),"Not Found")</f>
        <v>99</v>
      </c>
      <c r="U3245" t="str">
        <f t="shared" si="201"/>
        <v>Bank Transfer</v>
      </c>
      <c r="V3245" s="4" t="str">
        <f t="shared" si="202"/>
        <v>Normal</v>
      </c>
      <c r="W3245" s="4" t="str">
        <f t="shared" si="203"/>
        <v>Good</v>
      </c>
      <c r="X3245" s="4">
        <f>AVERAGE(Table1[Purchase Amount])</f>
        <v>129.48419400000012</v>
      </c>
    </row>
    <row r="3246" spans="1:24" ht="15" customHeight="1" x14ac:dyDescent="0.25">
      <c r="A3246">
        <v>3245</v>
      </c>
      <c r="B3246">
        <v>65</v>
      </c>
      <c r="C3246" t="s">
        <v>16</v>
      </c>
      <c r="D3246" t="s">
        <v>127</v>
      </c>
      <c r="E3246" t="s">
        <v>18</v>
      </c>
      <c r="F3246" s="2">
        <v>81</v>
      </c>
      <c r="G3246" t="s">
        <v>100</v>
      </c>
      <c r="H3246" t="s">
        <v>31</v>
      </c>
      <c r="I3246" t="s">
        <v>40</v>
      </c>
      <c r="J3246" t="s">
        <v>47</v>
      </c>
      <c r="K3246">
        <v>4.7</v>
      </c>
      <c r="L3246" t="s">
        <v>23</v>
      </c>
      <c r="M3246" t="s">
        <v>61</v>
      </c>
      <c r="N3246" t="s">
        <v>23</v>
      </c>
      <c r="O3246">
        <v>42</v>
      </c>
      <c r="P3246" t="s">
        <v>53</v>
      </c>
      <c r="Q3246" t="s">
        <v>49</v>
      </c>
      <c r="R3246" s="1">
        <v>0.1</v>
      </c>
      <c r="S3246">
        <f t="shared" si="200"/>
        <v>72.900000000000006</v>
      </c>
      <c r="T3246">
        <f>IFERROR(VLOOKUP(A3246,Table1[[Customer ID]:[Discount Amount]], 6, FALSE),"Not Found")</f>
        <v>81</v>
      </c>
      <c r="U3246" t="str">
        <f t="shared" si="201"/>
        <v>Credit Card</v>
      </c>
      <c r="V3246" s="4" t="str">
        <f t="shared" si="202"/>
        <v>Normal</v>
      </c>
      <c r="W3246" s="4" t="str">
        <f t="shared" si="203"/>
        <v>Good</v>
      </c>
      <c r="X3246" s="4">
        <f>AVERAGE(Table1[Purchase Amount])</f>
        <v>129.48419400000012</v>
      </c>
    </row>
    <row r="3247" spans="1:24" ht="15" customHeight="1" x14ac:dyDescent="0.25">
      <c r="A3247">
        <v>3246</v>
      </c>
      <c r="B3247">
        <v>63</v>
      </c>
      <c r="C3247" t="s">
        <v>16</v>
      </c>
      <c r="D3247" t="s">
        <v>99</v>
      </c>
      <c r="E3247" t="s">
        <v>18</v>
      </c>
      <c r="F3247" s="2">
        <v>76</v>
      </c>
      <c r="G3247" t="s">
        <v>124</v>
      </c>
      <c r="H3247" t="s">
        <v>31</v>
      </c>
      <c r="I3247" t="s">
        <v>66</v>
      </c>
      <c r="J3247" t="s">
        <v>47</v>
      </c>
      <c r="K3247">
        <v>3.2</v>
      </c>
      <c r="L3247" t="s">
        <v>23</v>
      </c>
      <c r="M3247" t="s">
        <v>79</v>
      </c>
      <c r="N3247" t="s">
        <v>23</v>
      </c>
      <c r="O3247">
        <v>20</v>
      </c>
      <c r="P3247" t="s">
        <v>25</v>
      </c>
      <c r="Q3247" t="s">
        <v>26</v>
      </c>
      <c r="R3247" s="1">
        <v>0.1</v>
      </c>
      <c r="S3247">
        <f t="shared" si="200"/>
        <v>68.400000000000006</v>
      </c>
      <c r="T3247">
        <f>IFERROR(VLOOKUP(A3247,Table1[[Customer ID]:[Discount Amount]], 6, FALSE),"Not Found")</f>
        <v>76</v>
      </c>
      <c r="U3247" t="str">
        <f t="shared" si="201"/>
        <v>Cash</v>
      </c>
      <c r="V3247" s="4" t="str">
        <f t="shared" si="202"/>
        <v>Normal</v>
      </c>
      <c r="W3247" s="4" t="str">
        <f t="shared" si="203"/>
        <v>Good</v>
      </c>
      <c r="X3247" s="4">
        <f>AVERAGE(Table1[Purchase Amount])</f>
        <v>129.48419400000012</v>
      </c>
    </row>
    <row r="3248" spans="1:24" ht="15" customHeight="1" x14ac:dyDescent="0.25">
      <c r="A3248">
        <v>3247</v>
      </c>
      <c r="B3248">
        <v>70</v>
      </c>
      <c r="C3248" t="s">
        <v>16</v>
      </c>
      <c r="D3248" t="s">
        <v>140</v>
      </c>
      <c r="E3248" t="s">
        <v>98</v>
      </c>
      <c r="F3248" s="2">
        <v>98</v>
      </c>
      <c r="G3248" t="s">
        <v>113</v>
      </c>
      <c r="H3248" t="s">
        <v>31</v>
      </c>
      <c r="I3248" t="s">
        <v>87</v>
      </c>
      <c r="J3248" t="s">
        <v>57</v>
      </c>
      <c r="K3248">
        <v>2.9</v>
      </c>
      <c r="L3248" t="s">
        <v>23</v>
      </c>
      <c r="M3248" t="s">
        <v>48</v>
      </c>
      <c r="N3248" t="s">
        <v>23</v>
      </c>
      <c r="O3248">
        <v>37</v>
      </c>
      <c r="P3248" t="s">
        <v>25</v>
      </c>
      <c r="Q3248" t="s">
        <v>42</v>
      </c>
      <c r="R3248" s="1">
        <v>0.1</v>
      </c>
      <c r="S3248">
        <f t="shared" si="200"/>
        <v>88.2</v>
      </c>
      <c r="T3248">
        <f>IFERROR(VLOOKUP(A3248,Table1[[Customer ID]:[Discount Amount]], 6, FALSE),"Not Found")</f>
        <v>98</v>
      </c>
      <c r="U3248" t="str">
        <f t="shared" si="201"/>
        <v>Cash</v>
      </c>
      <c r="V3248" s="4" t="str">
        <f t="shared" si="202"/>
        <v>Normal</v>
      </c>
      <c r="W3248" s="4" t="str">
        <f t="shared" si="203"/>
        <v>Poor</v>
      </c>
      <c r="X3248" s="4">
        <f>AVERAGE(Table1[Purchase Amount])</f>
        <v>129.48419400000012</v>
      </c>
    </row>
    <row r="3249" spans="1:24" ht="15" customHeight="1" x14ac:dyDescent="0.25">
      <c r="A3249">
        <v>3248</v>
      </c>
      <c r="B3249">
        <v>53</v>
      </c>
      <c r="C3249" t="s">
        <v>16</v>
      </c>
      <c r="D3249" t="s">
        <v>43</v>
      </c>
      <c r="E3249" t="s">
        <v>29</v>
      </c>
      <c r="F3249" s="2">
        <v>91</v>
      </c>
      <c r="G3249" t="s">
        <v>100</v>
      </c>
      <c r="H3249" t="s">
        <v>31</v>
      </c>
      <c r="I3249" t="s">
        <v>147</v>
      </c>
      <c r="J3249" t="s">
        <v>57</v>
      </c>
      <c r="K3249">
        <v>3.7</v>
      </c>
      <c r="L3249" t="s">
        <v>23</v>
      </c>
      <c r="M3249" t="s">
        <v>61</v>
      </c>
      <c r="N3249" t="s">
        <v>23</v>
      </c>
      <c r="O3249">
        <v>12</v>
      </c>
      <c r="P3249" t="s">
        <v>58</v>
      </c>
      <c r="Q3249" t="s">
        <v>89</v>
      </c>
      <c r="R3249" s="1">
        <v>0.1</v>
      </c>
      <c r="S3249">
        <f t="shared" si="200"/>
        <v>81.900000000000006</v>
      </c>
      <c r="T3249">
        <f>IFERROR(VLOOKUP(A3249,Table1[[Customer ID]:[Discount Amount]], 6, FALSE),"Not Found")</f>
        <v>91</v>
      </c>
      <c r="U3249" t="str">
        <f t="shared" si="201"/>
        <v>PayPal</v>
      </c>
      <c r="V3249" s="4" t="str">
        <f t="shared" si="202"/>
        <v>Normal</v>
      </c>
      <c r="W3249" s="4" t="str">
        <f t="shared" si="203"/>
        <v>Good</v>
      </c>
      <c r="X3249" s="4">
        <f>AVERAGE(Table1[Purchase Amount])</f>
        <v>129.48419400000012</v>
      </c>
    </row>
    <row r="3250" spans="1:24" ht="15" customHeight="1" x14ac:dyDescent="0.25">
      <c r="A3250">
        <v>3249</v>
      </c>
      <c r="B3250">
        <v>22</v>
      </c>
      <c r="C3250" t="s">
        <v>16</v>
      </c>
      <c r="D3250" t="s">
        <v>17</v>
      </c>
      <c r="E3250" t="s">
        <v>18</v>
      </c>
      <c r="F3250" s="2">
        <v>79</v>
      </c>
      <c r="G3250" t="s">
        <v>78</v>
      </c>
      <c r="H3250" t="s">
        <v>55</v>
      </c>
      <c r="I3250" t="s">
        <v>147</v>
      </c>
      <c r="J3250" t="s">
        <v>57</v>
      </c>
      <c r="K3250">
        <v>4.2</v>
      </c>
      <c r="L3250" t="s">
        <v>23</v>
      </c>
      <c r="M3250" t="s">
        <v>35</v>
      </c>
      <c r="N3250" t="s">
        <v>23</v>
      </c>
      <c r="O3250">
        <v>41</v>
      </c>
      <c r="P3250" t="s">
        <v>88</v>
      </c>
      <c r="Q3250" t="s">
        <v>37</v>
      </c>
      <c r="R3250" s="1">
        <v>0.1</v>
      </c>
      <c r="S3250">
        <f t="shared" si="200"/>
        <v>71.099999999999994</v>
      </c>
      <c r="T3250">
        <f>IFERROR(VLOOKUP(A3250,Table1[[Customer ID]:[Discount Amount]], 6, FALSE),"Not Found")</f>
        <v>79</v>
      </c>
      <c r="U3250" t="str">
        <f t="shared" si="201"/>
        <v>Bank Transfer</v>
      </c>
      <c r="V3250" s="4" t="str">
        <f t="shared" si="202"/>
        <v>Normal</v>
      </c>
      <c r="W3250" s="4" t="str">
        <f t="shared" si="203"/>
        <v>Good</v>
      </c>
      <c r="X3250" s="4">
        <f>AVERAGE(Table1[Purchase Amount])</f>
        <v>129.48419400000012</v>
      </c>
    </row>
    <row r="3251" spans="1:24" ht="15" customHeight="1" x14ac:dyDescent="0.25">
      <c r="A3251">
        <v>3250</v>
      </c>
      <c r="B3251">
        <v>26</v>
      </c>
      <c r="C3251" t="s">
        <v>16</v>
      </c>
      <c r="D3251" t="s">
        <v>104</v>
      </c>
      <c r="E3251" t="s">
        <v>29</v>
      </c>
      <c r="F3251" s="2">
        <v>83</v>
      </c>
      <c r="G3251" t="s">
        <v>138</v>
      </c>
      <c r="H3251" t="s">
        <v>31</v>
      </c>
      <c r="I3251" t="s">
        <v>136</v>
      </c>
      <c r="J3251" t="s">
        <v>57</v>
      </c>
      <c r="K3251">
        <v>3.4</v>
      </c>
      <c r="L3251" t="s">
        <v>23</v>
      </c>
      <c r="M3251" t="s">
        <v>61</v>
      </c>
      <c r="N3251" t="s">
        <v>23</v>
      </c>
      <c r="O3251">
        <v>32</v>
      </c>
      <c r="P3251" t="s">
        <v>53</v>
      </c>
      <c r="Q3251" t="s">
        <v>37</v>
      </c>
      <c r="R3251" s="1">
        <v>0.1</v>
      </c>
      <c r="S3251">
        <f t="shared" si="200"/>
        <v>74.7</v>
      </c>
      <c r="T3251">
        <f>IFERROR(VLOOKUP(A3251,Table1[[Customer ID]:[Discount Amount]], 6, FALSE),"Not Found")</f>
        <v>83</v>
      </c>
      <c r="U3251" t="str">
        <f t="shared" si="201"/>
        <v>Credit Card</v>
      </c>
      <c r="V3251" s="4" t="str">
        <f t="shared" si="202"/>
        <v>Normal</v>
      </c>
      <c r="W3251" s="4" t="str">
        <f t="shared" si="203"/>
        <v>Good</v>
      </c>
      <c r="X3251" s="4">
        <f>AVERAGE(Table1[Purchase Amount])</f>
        <v>129.48419400000012</v>
      </c>
    </row>
    <row r="3252" spans="1:24" ht="15" customHeight="1" x14ac:dyDescent="0.25">
      <c r="A3252">
        <v>3251</v>
      </c>
      <c r="B3252">
        <v>23</v>
      </c>
      <c r="C3252" t="s">
        <v>16</v>
      </c>
      <c r="D3252" t="s">
        <v>76</v>
      </c>
      <c r="E3252" t="s">
        <v>77</v>
      </c>
      <c r="F3252" s="2">
        <v>90</v>
      </c>
      <c r="G3252" t="s">
        <v>120</v>
      </c>
      <c r="H3252" t="s">
        <v>31</v>
      </c>
      <c r="I3252" t="s">
        <v>147</v>
      </c>
      <c r="J3252" t="s">
        <v>33</v>
      </c>
      <c r="K3252">
        <v>2.9</v>
      </c>
      <c r="L3252" t="s">
        <v>23</v>
      </c>
      <c r="M3252" t="s">
        <v>41</v>
      </c>
      <c r="N3252" t="s">
        <v>23</v>
      </c>
      <c r="O3252">
        <v>15</v>
      </c>
      <c r="P3252" t="s">
        <v>62</v>
      </c>
      <c r="Q3252" t="s">
        <v>26</v>
      </c>
      <c r="R3252" s="1">
        <v>0.1</v>
      </c>
      <c r="S3252">
        <f t="shared" si="200"/>
        <v>81</v>
      </c>
      <c r="T3252">
        <f>IFERROR(VLOOKUP(A3252,Table1[[Customer ID]:[Discount Amount]], 6, FALSE),"Not Found")</f>
        <v>90</v>
      </c>
      <c r="U3252" t="str">
        <f t="shared" si="201"/>
        <v>Venmo</v>
      </c>
      <c r="V3252" s="4" t="str">
        <f t="shared" si="202"/>
        <v>Normal</v>
      </c>
      <c r="W3252" s="4" t="str">
        <f t="shared" si="203"/>
        <v>Poor</v>
      </c>
      <c r="X3252" s="4">
        <f>AVERAGE(Table1[Purchase Amount])</f>
        <v>129.48419400000012</v>
      </c>
    </row>
    <row r="3253" spans="1:24" ht="15" customHeight="1" x14ac:dyDescent="0.25">
      <c r="A3253">
        <v>3252</v>
      </c>
      <c r="B3253">
        <v>25</v>
      </c>
      <c r="C3253" t="s">
        <v>16</v>
      </c>
      <c r="D3253" t="s">
        <v>76</v>
      </c>
      <c r="E3253" t="s">
        <v>77</v>
      </c>
      <c r="F3253" s="2">
        <v>20</v>
      </c>
      <c r="G3253" t="s">
        <v>158</v>
      </c>
      <c r="H3253" t="s">
        <v>31</v>
      </c>
      <c r="I3253" t="s">
        <v>133</v>
      </c>
      <c r="J3253" t="s">
        <v>22</v>
      </c>
      <c r="K3253">
        <v>3.7</v>
      </c>
      <c r="L3253" t="s">
        <v>23</v>
      </c>
      <c r="M3253" t="s">
        <v>24</v>
      </c>
      <c r="N3253" t="s">
        <v>23</v>
      </c>
      <c r="O3253">
        <v>39</v>
      </c>
      <c r="P3253" t="s">
        <v>62</v>
      </c>
      <c r="Q3253" t="s">
        <v>37</v>
      </c>
      <c r="R3253" s="1">
        <v>0.1</v>
      </c>
      <c r="S3253">
        <f t="shared" si="200"/>
        <v>18</v>
      </c>
      <c r="T3253">
        <f>IFERROR(VLOOKUP(A3253,Table1[[Customer ID]:[Discount Amount]], 6, FALSE),"Not Found")</f>
        <v>20</v>
      </c>
      <c r="U3253" t="str">
        <f t="shared" si="201"/>
        <v>Venmo</v>
      </c>
      <c r="V3253" s="4" t="str">
        <f t="shared" si="202"/>
        <v>Normal</v>
      </c>
      <c r="W3253" s="4" t="str">
        <f t="shared" si="203"/>
        <v>Good</v>
      </c>
      <c r="X3253" s="4">
        <f>AVERAGE(Table1[Purchase Amount])</f>
        <v>129.48419400000012</v>
      </c>
    </row>
    <row r="3254" spans="1:24" ht="15" customHeight="1" x14ac:dyDescent="0.25">
      <c r="A3254">
        <v>3253</v>
      </c>
      <c r="B3254">
        <v>69</v>
      </c>
      <c r="C3254" t="s">
        <v>16</v>
      </c>
      <c r="D3254" t="s">
        <v>121</v>
      </c>
      <c r="E3254" t="s">
        <v>98</v>
      </c>
      <c r="F3254" s="2">
        <v>21</v>
      </c>
      <c r="G3254" t="s">
        <v>39</v>
      </c>
      <c r="H3254" t="s">
        <v>45</v>
      </c>
      <c r="I3254" t="s">
        <v>60</v>
      </c>
      <c r="J3254" t="s">
        <v>33</v>
      </c>
      <c r="K3254">
        <v>2.7</v>
      </c>
      <c r="L3254" t="s">
        <v>23</v>
      </c>
      <c r="M3254" t="s">
        <v>48</v>
      </c>
      <c r="N3254" t="s">
        <v>23</v>
      </c>
      <c r="O3254">
        <v>48</v>
      </c>
      <c r="P3254" t="s">
        <v>53</v>
      </c>
      <c r="Q3254" t="s">
        <v>89</v>
      </c>
      <c r="R3254" s="1">
        <v>0.1</v>
      </c>
      <c r="S3254">
        <f t="shared" si="200"/>
        <v>18.899999999999999</v>
      </c>
      <c r="T3254">
        <f>IFERROR(VLOOKUP(A3254,Table1[[Customer ID]:[Discount Amount]], 6, FALSE),"Not Found")</f>
        <v>21</v>
      </c>
      <c r="U3254" t="str">
        <f t="shared" si="201"/>
        <v>Credit Card</v>
      </c>
      <c r="V3254" s="4" t="str">
        <f t="shared" si="202"/>
        <v>Normal</v>
      </c>
      <c r="W3254" s="4" t="str">
        <f t="shared" si="203"/>
        <v>Poor</v>
      </c>
      <c r="X3254" s="4">
        <f>AVERAGE(Table1[Purchase Amount])</f>
        <v>129.48419400000012</v>
      </c>
    </row>
    <row r="3255" spans="1:24" ht="15" customHeight="1" x14ac:dyDescent="0.25">
      <c r="A3255">
        <v>3254</v>
      </c>
      <c r="B3255">
        <v>36</v>
      </c>
      <c r="C3255" t="s">
        <v>16</v>
      </c>
      <c r="D3255" t="s">
        <v>104</v>
      </c>
      <c r="E3255" t="s">
        <v>29</v>
      </c>
      <c r="F3255" s="2">
        <v>60</v>
      </c>
      <c r="G3255" t="s">
        <v>137</v>
      </c>
      <c r="H3255" t="s">
        <v>31</v>
      </c>
      <c r="I3255" t="s">
        <v>60</v>
      </c>
      <c r="J3255" t="s">
        <v>47</v>
      </c>
      <c r="K3255">
        <v>3.2</v>
      </c>
      <c r="L3255" t="s">
        <v>23</v>
      </c>
      <c r="M3255" t="s">
        <v>41</v>
      </c>
      <c r="N3255" t="s">
        <v>23</v>
      </c>
      <c r="O3255">
        <v>8</v>
      </c>
      <c r="P3255" t="s">
        <v>62</v>
      </c>
      <c r="Q3255" t="s">
        <v>89</v>
      </c>
      <c r="R3255" s="1">
        <v>0.1</v>
      </c>
      <c r="S3255">
        <f t="shared" si="200"/>
        <v>54</v>
      </c>
      <c r="T3255">
        <f>IFERROR(VLOOKUP(A3255,Table1[[Customer ID]:[Discount Amount]], 6, FALSE),"Not Found")</f>
        <v>60</v>
      </c>
      <c r="U3255" t="str">
        <f t="shared" si="201"/>
        <v>Venmo</v>
      </c>
      <c r="V3255" s="4" t="str">
        <f t="shared" si="202"/>
        <v>Normal</v>
      </c>
      <c r="W3255" s="4" t="str">
        <f t="shared" si="203"/>
        <v>Good</v>
      </c>
      <c r="X3255" s="4">
        <f>AVERAGE(Table1[Purchase Amount])</f>
        <v>129.48419400000012</v>
      </c>
    </row>
    <row r="3256" spans="1:24" ht="15" customHeight="1" x14ac:dyDescent="0.25">
      <c r="A3256">
        <v>3255</v>
      </c>
      <c r="B3256">
        <v>21</v>
      </c>
      <c r="C3256" t="s">
        <v>16</v>
      </c>
      <c r="D3256" t="s">
        <v>127</v>
      </c>
      <c r="E3256" t="s">
        <v>18</v>
      </c>
      <c r="F3256" s="2">
        <v>31</v>
      </c>
      <c r="G3256" t="s">
        <v>102</v>
      </c>
      <c r="H3256" t="s">
        <v>55</v>
      </c>
      <c r="I3256" t="s">
        <v>87</v>
      </c>
      <c r="J3256" t="s">
        <v>22</v>
      </c>
      <c r="K3256">
        <v>4.9000000000000004</v>
      </c>
      <c r="L3256" t="s">
        <v>23</v>
      </c>
      <c r="M3256" t="s">
        <v>48</v>
      </c>
      <c r="N3256" t="s">
        <v>23</v>
      </c>
      <c r="O3256">
        <v>11</v>
      </c>
      <c r="P3256" t="s">
        <v>88</v>
      </c>
      <c r="Q3256" t="s">
        <v>63</v>
      </c>
      <c r="R3256" s="1">
        <v>0.1</v>
      </c>
      <c r="S3256">
        <f t="shared" si="200"/>
        <v>27.9</v>
      </c>
      <c r="T3256">
        <f>IFERROR(VLOOKUP(A3256,Table1[[Customer ID]:[Discount Amount]], 6, FALSE),"Not Found")</f>
        <v>31</v>
      </c>
      <c r="U3256" t="str">
        <f t="shared" si="201"/>
        <v>Bank Transfer</v>
      </c>
      <c r="V3256" s="4" t="str">
        <f t="shared" si="202"/>
        <v>Normal</v>
      </c>
      <c r="W3256" s="4" t="str">
        <f t="shared" si="203"/>
        <v>Good</v>
      </c>
      <c r="X3256" s="4">
        <f>AVERAGE(Table1[Purchase Amount])</f>
        <v>129.48419400000012</v>
      </c>
    </row>
    <row r="3257" spans="1:24" ht="15" customHeight="1" x14ac:dyDescent="0.25">
      <c r="A3257">
        <v>3256</v>
      </c>
      <c r="B3257">
        <v>57</v>
      </c>
      <c r="C3257" t="s">
        <v>16</v>
      </c>
      <c r="D3257" t="s">
        <v>54</v>
      </c>
      <c r="E3257" t="s">
        <v>18</v>
      </c>
      <c r="F3257" s="2">
        <v>40</v>
      </c>
      <c r="G3257" t="s">
        <v>131</v>
      </c>
      <c r="H3257" t="s">
        <v>31</v>
      </c>
      <c r="I3257" t="s">
        <v>40</v>
      </c>
      <c r="J3257" t="s">
        <v>47</v>
      </c>
      <c r="K3257">
        <v>2.8</v>
      </c>
      <c r="L3257" t="s">
        <v>23</v>
      </c>
      <c r="M3257" t="s">
        <v>79</v>
      </c>
      <c r="N3257" t="s">
        <v>23</v>
      </c>
      <c r="O3257">
        <v>36</v>
      </c>
      <c r="P3257" t="s">
        <v>88</v>
      </c>
      <c r="Q3257" t="s">
        <v>42</v>
      </c>
      <c r="R3257" s="1">
        <v>0.1</v>
      </c>
      <c r="S3257">
        <f t="shared" si="200"/>
        <v>36</v>
      </c>
      <c r="T3257">
        <f>IFERROR(VLOOKUP(A3257,Table1[[Customer ID]:[Discount Amount]], 6, FALSE),"Not Found")</f>
        <v>40</v>
      </c>
      <c r="U3257" t="str">
        <f t="shared" si="201"/>
        <v>Bank Transfer</v>
      </c>
      <c r="V3257" s="4" t="str">
        <f t="shared" si="202"/>
        <v>Normal</v>
      </c>
      <c r="W3257" s="4" t="str">
        <f t="shared" si="203"/>
        <v>Poor</v>
      </c>
      <c r="X3257" s="4">
        <f>AVERAGE(Table1[Purchase Amount])</f>
        <v>129.48419400000012</v>
      </c>
    </row>
    <row r="3258" spans="1:24" ht="15" customHeight="1" x14ac:dyDescent="0.25">
      <c r="A3258">
        <v>3257</v>
      </c>
      <c r="B3258">
        <v>60</v>
      </c>
      <c r="C3258" t="s">
        <v>16</v>
      </c>
      <c r="D3258" t="s">
        <v>28</v>
      </c>
      <c r="E3258" t="s">
        <v>29</v>
      </c>
      <c r="F3258" s="2">
        <v>26</v>
      </c>
      <c r="G3258" t="s">
        <v>59</v>
      </c>
      <c r="H3258" t="s">
        <v>45</v>
      </c>
      <c r="I3258" t="s">
        <v>147</v>
      </c>
      <c r="J3258" t="s">
        <v>22</v>
      </c>
      <c r="K3258">
        <v>4.7</v>
      </c>
      <c r="L3258" t="s">
        <v>23</v>
      </c>
      <c r="M3258" t="s">
        <v>35</v>
      </c>
      <c r="N3258" t="s">
        <v>23</v>
      </c>
      <c r="O3258">
        <v>50</v>
      </c>
      <c r="P3258" t="s">
        <v>62</v>
      </c>
      <c r="Q3258" t="s">
        <v>63</v>
      </c>
      <c r="R3258" s="1">
        <v>0.1</v>
      </c>
      <c r="S3258">
        <f t="shared" si="200"/>
        <v>23.4</v>
      </c>
      <c r="T3258">
        <f>IFERROR(VLOOKUP(A3258,Table1[[Customer ID]:[Discount Amount]], 6, FALSE),"Not Found")</f>
        <v>26</v>
      </c>
      <c r="U3258" t="str">
        <f t="shared" si="201"/>
        <v>Venmo</v>
      </c>
      <c r="V3258" s="4" t="str">
        <f t="shared" si="202"/>
        <v>Normal</v>
      </c>
      <c r="W3258" s="4" t="str">
        <f t="shared" si="203"/>
        <v>Good</v>
      </c>
      <c r="X3258" s="4">
        <f>AVERAGE(Table1[Purchase Amount])</f>
        <v>129.48419400000012</v>
      </c>
    </row>
    <row r="3259" spans="1:24" ht="15" customHeight="1" x14ac:dyDescent="0.25">
      <c r="A3259">
        <v>3258</v>
      </c>
      <c r="B3259">
        <v>44</v>
      </c>
      <c r="C3259" t="s">
        <v>16</v>
      </c>
      <c r="D3259" t="s">
        <v>38</v>
      </c>
      <c r="E3259" t="s">
        <v>18</v>
      </c>
      <c r="F3259" s="2">
        <v>98</v>
      </c>
      <c r="G3259" t="s">
        <v>120</v>
      </c>
      <c r="H3259" t="s">
        <v>31</v>
      </c>
      <c r="I3259" t="s">
        <v>60</v>
      </c>
      <c r="J3259" t="s">
        <v>47</v>
      </c>
      <c r="K3259">
        <v>3.3</v>
      </c>
      <c r="L3259" t="s">
        <v>23</v>
      </c>
      <c r="M3259" t="s">
        <v>61</v>
      </c>
      <c r="N3259" t="s">
        <v>23</v>
      </c>
      <c r="O3259">
        <v>39</v>
      </c>
      <c r="P3259" t="s">
        <v>62</v>
      </c>
      <c r="Q3259" t="s">
        <v>63</v>
      </c>
      <c r="R3259" s="1">
        <v>0.1</v>
      </c>
      <c r="S3259">
        <f t="shared" si="200"/>
        <v>88.2</v>
      </c>
      <c r="T3259">
        <f>IFERROR(VLOOKUP(A3259,Table1[[Customer ID]:[Discount Amount]], 6, FALSE),"Not Found")</f>
        <v>98</v>
      </c>
      <c r="U3259" t="str">
        <f t="shared" si="201"/>
        <v>Venmo</v>
      </c>
      <c r="V3259" s="4" t="str">
        <f t="shared" si="202"/>
        <v>Normal</v>
      </c>
      <c r="W3259" s="4" t="str">
        <f t="shared" si="203"/>
        <v>Good</v>
      </c>
      <c r="X3259" s="4">
        <f>AVERAGE(Table1[Purchase Amount])</f>
        <v>129.48419400000012</v>
      </c>
    </row>
    <row r="3260" spans="1:24" ht="15" customHeight="1" x14ac:dyDescent="0.25">
      <c r="A3260">
        <v>3259</v>
      </c>
      <c r="B3260">
        <v>31</v>
      </c>
      <c r="C3260" t="s">
        <v>16</v>
      </c>
      <c r="D3260" t="s">
        <v>72</v>
      </c>
      <c r="E3260" t="s">
        <v>98</v>
      </c>
      <c r="F3260" s="2">
        <v>51</v>
      </c>
      <c r="G3260" t="s">
        <v>131</v>
      </c>
      <c r="H3260" t="s">
        <v>31</v>
      </c>
      <c r="I3260" t="s">
        <v>87</v>
      </c>
      <c r="J3260" t="s">
        <v>33</v>
      </c>
      <c r="K3260">
        <v>4.3</v>
      </c>
      <c r="L3260" t="s">
        <v>23</v>
      </c>
      <c r="M3260" t="s">
        <v>61</v>
      </c>
      <c r="N3260" t="s">
        <v>23</v>
      </c>
      <c r="O3260">
        <v>11</v>
      </c>
      <c r="P3260" t="s">
        <v>53</v>
      </c>
      <c r="Q3260" t="s">
        <v>68</v>
      </c>
      <c r="R3260" s="1">
        <v>0.1</v>
      </c>
      <c r="S3260">
        <f t="shared" si="200"/>
        <v>45.9</v>
      </c>
      <c r="T3260">
        <f>IFERROR(VLOOKUP(A3260,Table1[[Customer ID]:[Discount Amount]], 6, FALSE),"Not Found")</f>
        <v>51</v>
      </c>
      <c r="U3260" t="str">
        <f t="shared" si="201"/>
        <v>Credit Card</v>
      </c>
      <c r="V3260" s="4" t="str">
        <f t="shared" si="202"/>
        <v>Normal</v>
      </c>
      <c r="W3260" s="4" t="str">
        <f t="shared" si="203"/>
        <v>Good</v>
      </c>
      <c r="X3260" s="4">
        <f>AVERAGE(Table1[Purchase Amount])</f>
        <v>129.48419400000012</v>
      </c>
    </row>
    <row r="3261" spans="1:24" ht="15" customHeight="1" x14ac:dyDescent="0.25">
      <c r="A3261">
        <v>3260</v>
      </c>
      <c r="B3261">
        <v>57</v>
      </c>
      <c r="C3261" t="s">
        <v>16</v>
      </c>
      <c r="D3261" t="s">
        <v>64</v>
      </c>
      <c r="E3261" t="s">
        <v>29</v>
      </c>
      <c r="F3261" s="2">
        <v>95</v>
      </c>
      <c r="G3261" t="s">
        <v>142</v>
      </c>
      <c r="H3261" t="s">
        <v>20</v>
      </c>
      <c r="I3261" t="s">
        <v>91</v>
      </c>
      <c r="J3261" t="s">
        <v>47</v>
      </c>
      <c r="K3261">
        <v>3.7</v>
      </c>
      <c r="L3261" t="s">
        <v>23</v>
      </c>
      <c r="M3261" t="s">
        <v>41</v>
      </c>
      <c r="N3261" t="s">
        <v>23</v>
      </c>
      <c r="O3261">
        <v>5</v>
      </c>
      <c r="P3261" t="s">
        <v>36</v>
      </c>
      <c r="Q3261" t="s">
        <v>63</v>
      </c>
      <c r="R3261" s="1">
        <v>0.1</v>
      </c>
      <c r="S3261">
        <f t="shared" si="200"/>
        <v>85.5</v>
      </c>
      <c r="T3261">
        <f>IFERROR(VLOOKUP(A3261,Table1[[Customer ID]:[Discount Amount]], 6, FALSE),"Not Found")</f>
        <v>95</v>
      </c>
      <c r="U3261" t="str">
        <f t="shared" si="201"/>
        <v>Debit Card</v>
      </c>
      <c r="V3261" s="4" t="str">
        <f t="shared" si="202"/>
        <v>Normal</v>
      </c>
      <c r="W3261" s="4" t="str">
        <f t="shared" si="203"/>
        <v>Good</v>
      </c>
      <c r="X3261" s="4">
        <f>AVERAGE(Table1[Purchase Amount])</f>
        <v>129.48419400000012</v>
      </c>
    </row>
    <row r="3262" spans="1:24" ht="15" customHeight="1" x14ac:dyDescent="0.25">
      <c r="A3262">
        <v>3261</v>
      </c>
      <c r="B3262">
        <v>39</v>
      </c>
      <c r="C3262" t="s">
        <v>16</v>
      </c>
      <c r="D3262" t="s">
        <v>129</v>
      </c>
      <c r="E3262" t="s">
        <v>29</v>
      </c>
      <c r="F3262" s="2">
        <v>36</v>
      </c>
      <c r="G3262" t="s">
        <v>59</v>
      </c>
      <c r="H3262" t="s">
        <v>31</v>
      </c>
      <c r="I3262" t="s">
        <v>111</v>
      </c>
      <c r="J3262" t="s">
        <v>57</v>
      </c>
      <c r="K3262">
        <v>4.5</v>
      </c>
      <c r="L3262" t="s">
        <v>23</v>
      </c>
      <c r="M3262" t="s">
        <v>41</v>
      </c>
      <c r="N3262" t="s">
        <v>23</v>
      </c>
      <c r="O3262">
        <v>7</v>
      </c>
      <c r="P3262" t="s">
        <v>53</v>
      </c>
      <c r="Q3262" t="s">
        <v>49</v>
      </c>
      <c r="R3262" s="1">
        <v>0.1</v>
      </c>
      <c r="S3262">
        <f t="shared" si="200"/>
        <v>32.4</v>
      </c>
      <c r="T3262">
        <f>IFERROR(VLOOKUP(A3262,Table1[[Customer ID]:[Discount Amount]], 6, FALSE),"Not Found")</f>
        <v>36</v>
      </c>
      <c r="U3262" t="str">
        <f t="shared" si="201"/>
        <v>Credit Card</v>
      </c>
      <c r="V3262" s="4" t="str">
        <f t="shared" si="202"/>
        <v>Normal</v>
      </c>
      <c r="W3262" s="4" t="str">
        <f t="shared" si="203"/>
        <v>Good</v>
      </c>
      <c r="X3262" s="4">
        <f>AVERAGE(Table1[Purchase Amount])</f>
        <v>129.48419400000012</v>
      </c>
    </row>
    <row r="3263" spans="1:24" ht="15" customHeight="1" x14ac:dyDescent="0.25">
      <c r="A3263">
        <v>3262</v>
      </c>
      <c r="B3263">
        <v>48</v>
      </c>
      <c r="C3263" t="s">
        <v>16</v>
      </c>
      <c r="D3263" t="s">
        <v>114</v>
      </c>
      <c r="E3263" t="s">
        <v>29</v>
      </c>
      <c r="F3263" s="2">
        <v>52</v>
      </c>
      <c r="G3263" t="s">
        <v>159</v>
      </c>
      <c r="H3263" t="s">
        <v>45</v>
      </c>
      <c r="I3263" t="s">
        <v>128</v>
      </c>
      <c r="J3263" t="s">
        <v>22</v>
      </c>
      <c r="K3263">
        <v>3.4</v>
      </c>
      <c r="L3263" t="s">
        <v>23</v>
      </c>
      <c r="M3263" t="s">
        <v>48</v>
      </c>
      <c r="N3263" t="s">
        <v>23</v>
      </c>
      <c r="O3263">
        <v>50</v>
      </c>
      <c r="P3263" t="s">
        <v>36</v>
      </c>
      <c r="Q3263" t="s">
        <v>26</v>
      </c>
      <c r="R3263" s="1">
        <v>0.1</v>
      </c>
      <c r="S3263">
        <f t="shared" si="200"/>
        <v>46.8</v>
      </c>
      <c r="T3263">
        <f>IFERROR(VLOOKUP(A3263,Table1[[Customer ID]:[Discount Amount]], 6, FALSE),"Not Found")</f>
        <v>52</v>
      </c>
      <c r="U3263" t="str">
        <f t="shared" si="201"/>
        <v>Debit Card</v>
      </c>
      <c r="V3263" s="4" t="str">
        <f t="shared" si="202"/>
        <v>Normal</v>
      </c>
      <c r="W3263" s="4" t="str">
        <f t="shared" si="203"/>
        <v>Good</v>
      </c>
      <c r="X3263" s="4">
        <f>AVERAGE(Table1[Purchase Amount])</f>
        <v>129.48419400000012</v>
      </c>
    </row>
    <row r="3264" spans="1:24" ht="15" customHeight="1" x14ac:dyDescent="0.25">
      <c r="A3264">
        <v>3263</v>
      </c>
      <c r="B3264">
        <v>42</v>
      </c>
      <c r="C3264" t="s">
        <v>16</v>
      </c>
      <c r="D3264" t="s">
        <v>17</v>
      </c>
      <c r="E3264" t="s">
        <v>18</v>
      </c>
      <c r="F3264" s="2">
        <v>35</v>
      </c>
      <c r="G3264" t="s">
        <v>102</v>
      </c>
      <c r="H3264" t="s">
        <v>31</v>
      </c>
      <c r="I3264" t="s">
        <v>111</v>
      </c>
      <c r="J3264" t="s">
        <v>33</v>
      </c>
      <c r="K3264">
        <v>2.7</v>
      </c>
      <c r="L3264" t="s">
        <v>23</v>
      </c>
      <c r="M3264" t="s">
        <v>24</v>
      </c>
      <c r="N3264" t="s">
        <v>23</v>
      </c>
      <c r="O3264">
        <v>21</v>
      </c>
      <c r="P3264" t="s">
        <v>25</v>
      </c>
      <c r="Q3264" t="s">
        <v>63</v>
      </c>
      <c r="R3264" s="1">
        <v>0.1</v>
      </c>
      <c r="S3264">
        <f t="shared" si="200"/>
        <v>31.5</v>
      </c>
      <c r="T3264">
        <f>IFERROR(VLOOKUP(A3264,Table1[[Customer ID]:[Discount Amount]], 6, FALSE),"Not Found")</f>
        <v>35</v>
      </c>
      <c r="U3264" t="str">
        <f t="shared" si="201"/>
        <v>Cash</v>
      </c>
      <c r="V3264" s="4" t="str">
        <f t="shared" si="202"/>
        <v>Normal</v>
      </c>
      <c r="W3264" s="4" t="str">
        <f t="shared" si="203"/>
        <v>Poor</v>
      </c>
      <c r="X3264" s="4">
        <f>AVERAGE(Table1[Purchase Amount])</f>
        <v>129.48419400000012</v>
      </c>
    </row>
    <row r="3265" spans="1:24" ht="15" customHeight="1" x14ac:dyDescent="0.25">
      <c r="A3265">
        <v>3264</v>
      </c>
      <c r="B3265">
        <v>56</v>
      </c>
      <c r="C3265" t="s">
        <v>16</v>
      </c>
      <c r="D3265" t="s">
        <v>54</v>
      </c>
      <c r="E3265" t="s">
        <v>18</v>
      </c>
      <c r="F3265" s="2">
        <v>68</v>
      </c>
      <c r="G3265" t="s">
        <v>84</v>
      </c>
      <c r="H3265" t="s">
        <v>55</v>
      </c>
      <c r="I3265" t="s">
        <v>40</v>
      </c>
      <c r="J3265" t="s">
        <v>47</v>
      </c>
      <c r="K3265">
        <v>4.4000000000000004</v>
      </c>
      <c r="L3265" t="s">
        <v>23</v>
      </c>
      <c r="M3265" t="s">
        <v>61</v>
      </c>
      <c r="N3265" t="s">
        <v>23</v>
      </c>
      <c r="O3265">
        <v>31</v>
      </c>
      <c r="P3265" t="s">
        <v>36</v>
      </c>
      <c r="Q3265" t="s">
        <v>89</v>
      </c>
      <c r="R3265" s="1">
        <v>0.1</v>
      </c>
      <c r="S3265">
        <f t="shared" si="200"/>
        <v>61.2</v>
      </c>
      <c r="T3265">
        <f>IFERROR(VLOOKUP(A3265,Table1[[Customer ID]:[Discount Amount]], 6, FALSE),"Not Found")</f>
        <v>68</v>
      </c>
      <c r="U3265" t="str">
        <f t="shared" si="201"/>
        <v>Debit Card</v>
      </c>
      <c r="V3265" s="4" t="str">
        <f t="shared" si="202"/>
        <v>Normal</v>
      </c>
      <c r="W3265" s="4" t="str">
        <f t="shared" si="203"/>
        <v>Good</v>
      </c>
      <c r="X3265" s="4">
        <f>AVERAGE(Table1[Purchase Amount])</f>
        <v>129.48419400000012</v>
      </c>
    </row>
    <row r="3266" spans="1:24" ht="15" customHeight="1" x14ac:dyDescent="0.25">
      <c r="A3266">
        <v>3265</v>
      </c>
      <c r="B3266">
        <v>28</v>
      </c>
      <c r="C3266" t="s">
        <v>16</v>
      </c>
      <c r="D3266" t="s">
        <v>99</v>
      </c>
      <c r="E3266" t="s">
        <v>18</v>
      </c>
      <c r="F3266" s="2">
        <v>50</v>
      </c>
      <c r="G3266" t="s">
        <v>94</v>
      </c>
      <c r="H3266" t="s">
        <v>55</v>
      </c>
      <c r="I3266" t="s">
        <v>103</v>
      </c>
      <c r="J3266" t="s">
        <v>22</v>
      </c>
      <c r="K3266">
        <v>4</v>
      </c>
      <c r="L3266" t="s">
        <v>23</v>
      </c>
      <c r="M3266" t="s">
        <v>61</v>
      </c>
      <c r="N3266" t="s">
        <v>23</v>
      </c>
      <c r="O3266">
        <v>39</v>
      </c>
      <c r="P3266" t="s">
        <v>25</v>
      </c>
      <c r="Q3266" t="s">
        <v>68</v>
      </c>
      <c r="R3266" s="1">
        <v>0.1</v>
      </c>
      <c r="S3266">
        <f t="shared" ref="S3266:S3329" si="204">F3266-(F3266*R3266)</f>
        <v>45</v>
      </c>
      <c r="T3266">
        <f>IFERROR(VLOOKUP(A3266,Table1[[Customer ID]:[Discount Amount]], 6, FALSE),"Not Found")</f>
        <v>50</v>
      </c>
      <c r="U3266" t="str">
        <f t="shared" ref="U3266:U3329" si="205">INDEX(P:P, MATCH(A3266, A:A, 0))</f>
        <v>Cash</v>
      </c>
      <c r="V3266" s="4" t="str">
        <f t="shared" ref="V3266:V3329" si="206">IF(AND(F3266&gt;1000,K3266&gt;=4),"Best Customer","Normal")</f>
        <v>Normal</v>
      </c>
      <c r="W3266" s="4" t="str">
        <f t="shared" ref="W3266:W3329" si="207">IF(K3266&gt;=3,"Good","Poor")</f>
        <v>Good</v>
      </c>
      <c r="X3266" s="4">
        <f>AVERAGE(Table1[Purchase Amount])</f>
        <v>129.48419400000012</v>
      </c>
    </row>
    <row r="3267" spans="1:24" ht="15" customHeight="1" x14ac:dyDescent="0.25">
      <c r="A3267">
        <v>3266</v>
      </c>
      <c r="B3267">
        <v>40</v>
      </c>
      <c r="C3267" t="s">
        <v>16</v>
      </c>
      <c r="D3267" t="s">
        <v>28</v>
      </c>
      <c r="E3267" t="s">
        <v>29</v>
      </c>
      <c r="F3267" s="2">
        <v>100</v>
      </c>
      <c r="G3267" t="s">
        <v>51</v>
      </c>
      <c r="H3267" t="s">
        <v>31</v>
      </c>
      <c r="I3267" t="s">
        <v>32</v>
      </c>
      <c r="J3267" t="s">
        <v>22</v>
      </c>
      <c r="K3267">
        <v>3.2</v>
      </c>
      <c r="L3267" t="s">
        <v>23</v>
      </c>
      <c r="M3267" t="s">
        <v>61</v>
      </c>
      <c r="N3267" t="s">
        <v>23</v>
      </c>
      <c r="O3267">
        <v>28</v>
      </c>
      <c r="P3267" t="s">
        <v>53</v>
      </c>
      <c r="Q3267" t="s">
        <v>89</v>
      </c>
      <c r="R3267" s="1">
        <v>0.1</v>
      </c>
      <c r="S3267">
        <f t="shared" si="204"/>
        <v>90</v>
      </c>
      <c r="T3267">
        <f>IFERROR(VLOOKUP(A3267,Table1[[Customer ID]:[Discount Amount]], 6, FALSE),"Not Found")</f>
        <v>100</v>
      </c>
      <c r="U3267" t="str">
        <f t="shared" si="205"/>
        <v>Credit Card</v>
      </c>
      <c r="V3267" s="4" t="str">
        <f t="shared" si="206"/>
        <v>Normal</v>
      </c>
      <c r="W3267" s="4" t="str">
        <f t="shared" si="207"/>
        <v>Good</v>
      </c>
      <c r="X3267" s="4">
        <f>AVERAGE(Table1[Purchase Amount])</f>
        <v>129.48419400000012</v>
      </c>
    </row>
    <row r="3268" spans="1:24" ht="15" customHeight="1" x14ac:dyDescent="0.25">
      <c r="A3268">
        <v>3267</v>
      </c>
      <c r="B3268">
        <v>49</v>
      </c>
      <c r="C3268" t="s">
        <v>16</v>
      </c>
      <c r="D3268" t="s">
        <v>76</v>
      </c>
      <c r="E3268" t="s">
        <v>77</v>
      </c>
      <c r="F3268" s="2">
        <v>74</v>
      </c>
      <c r="G3268" t="s">
        <v>51</v>
      </c>
      <c r="H3268" t="s">
        <v>55</v>
      </c>
      <c r="I3268" t="s">
        <v>85</v>
      </c>
      <c r="J3268" t="s">
        <v>22</v>
      </c>
      <c r="K3268">
        <v>4.2</v>
      </c>
      <c r="L3268" t="s">
        <v>23</v>
      </c>
      <c r="M3268" t="s">
        <v>79</v>
      </c>
      <c r="N3268" t="s">
        <v>23</v>
      </c>
      <c r="O3268">
        <v>33</v>
      </c>
      <c r="P3268" t="s">
        <v>88</v>
      </c>
      <c r="Q3268" t="s">
        <v>26</v>
      </c>
      <c r="R3268" s="1">
        <v>0.1</v>
      </c>
      <c r="S3268">
        <f t="shared" si="204"/>
        <v>66.599999999999994</v>
      </c>
      <c r="T3268">
        <f>IFERROR(VLOOKUP(A3268,Table1[[Customer ID]:[Discount Amount]], 6, FALSE),"Not Found")</f>
        <v>74</v>
      </c>
      <c r="U3268" t="str">
        <f t="shared" si="205"/>
        <v>Bank Transfer</v>
      </c>
      <c r="V3268" s="4" t="str">
        <f t="shared" si="206"/>
        <v>Normal</v>
      </c>
      <c r="W3268" s="4" t="str">
        <f t="shared" si="207"/>
        <v>Good</v>
      </c>
      <c r="X3268" s="4">
        <f>AVERAGE(Table1[Purchase Amount])</f>
        <v>129.48419400000012</v>
      </c>
    </row>
    <row r="3269" spans="1:24" ht="15" customHeight="1" x14ac:dyDescent="0.25">
      <c r="A3269">
        <v>3268</v>
      </c>
      <c r="B3269">
        <v>37</v>
      </c>
      <c r="C3269" t="s">
        <v>16</v>
      </c>
      <c r="D3269" t="s">
        <v>83</v>
      </c>
      <c r="E3269" t="s">
        <v>18</v>
      </c>
      <c r="F3269" s="2">
        <v>45</v>
      </c>
      <c r="G3269" t="s">
        <v>161</v>
      </c>
      <c r="H3269" t="s">
        <v>45</v>
      </c>
      <c r="I3269" t="s">
        <v>136</v>
      </c>
      <c r="J3269" t="s">
        <v>22</v>
      </c>
      <c r="K3269">
        <v>3</v>
      </c>
      <c r="L3269" t="s">
        <v>23</v>
      </c>
      <c r="M3269" t="s">
        <v>48</v>
      </c>
      <c r="N3269" t="s">
        <v>23</v>
      </c>
      <c r="O3269">
        <v>42</v>
      </c>
      <c r="P3269" t="s">
        <v>53</v>
      </c>
      <c r="Q3269" t="s">
        <v>37</v>
      </c>
      <c r="R3269" s="1">
        <v>0.1</v>
      </c>
      <c r="S3269">
        <f t="shared" si="204"/>
        <v>40.5</v>
      </c>
      <c r="T3269">
        <f>IFERROR(VLOOKUP(A3269,Table1[[Customer ID]:[Discount Amount]], 6, FALSE),"Not Found")</f>
        <v>45</v>
      </c>
      <c r="U3269" t="str">
        <f t="shared" si="205"/>
        <v>Credit Card</v>
      </c>
      <c r="V3269" s="4" t="str">
        <f t="shared" si="206"/>
        <v>Normal</v>
      </c>
      <c r="W3269" s="4" t="str">
        <f t="shared" si="207"/>
        <v>Good</v>
      </c>
      <c r="X3269" s="4">
        <f>AVERAGE(Table1[Purchase Amount])</f>
        <v>129.48419400000012</v>
      </c>
    </row>
    <row r="3270" spans="1:24" ht="15" customHeight="1" x14ac:dyDescent="0.25">
      <c r="A3270">
        <v>3269</v>
      </c>
      <c r="B3270">
        <v>22</v>
      </c>
      <c r="C3270" t="s">
        <v>16</v>
      </c>
      <c r="D3270" t="s">
        <v>157</v>
      </c>
      <c r="E3270" t="s">
        <v>18</v>
      </c>
      <c r="F3270" s="2">
        <v>97</v>
      </c>
      <c r="G3270" t="s">
        <v>100</v>
      </c>
      <c r="H3270" t="s">
        <v>31</v>
      </c>
      <c r="I3270" t="s">
        <v>128</v>
      </c>
      <c r="J3270" t="s">
        <v>47</v>
      </c>
      <c r="K3270">
        <v>2.8</v>
      </c>
      <c r="L3270" t="s">
        <v>23</v>
      </c>
      <c r="M3270" t="s">
        <v>35</v>
      </c>
      <c r="N3270" t="s">
        <v>23</v>
      </c>
      <c r="O3270">
        <v>5</v>
      </c>
      <c r="P3270" t="s">
        <v>88</v>
      </c>
      <c r="Q3270" t="s">
        <v>63</v>
      </c>
      <c r="R3270" s="1">
        <v>0.1</v>
      </c>
      <c r="S3270">
        <f t="shared" si="204"/>
        <v>87.3</v>
      </c>
      <c r="T3270">
        <f>IFERROR(VLOOKUP(A3270,Table1[[Customer ID]:[Discount Amount]], 6, FALSE),"Not Found")</f>
        <v>97</v>
      </c>
      <c r="U3270" t="str">
        <f t="shared" si="205"/>
        <v>Bank Transfer</v>
      </c>
      <c r="V3270" s="4" t="str">
        <f t="shared" si="206"/>
        <v>Normal</v>
      </c>
      <c r="W3270" s="4" t="str">
        <f t="shared" si="207"/>
        <v>Poor</v>
      </c>
      <c r="X3270" s="4">
        <f>AVERAGE(Table1[Purchase Amount])</f>
        <v>129.48419400000012</v>
      </c>
    </row>
    <row r="3271" spans="1:24" ht="15" customHeight="1" x14ac:dyDescent="0.25">
      <c r="A3271">
        <v>3270</v>
      </c>
      <c r="B3271">
        <v>27</v>
      </c>
      <c r="C3271" t="s">
        <v>16</v>
      </c>
      <c r="D3271" t="s">
        <v>118</v>
      </c>
      <c r="E3271" t="s">
        <v>18</v>
      </c>
      <c r="F3271" s="2">
        <v>60</v>
      </c>
      <c r="G3271" t="s">
        <v>90</v>
      </c>
      <c r="H3271" t="s">
        <v>31</v>
      </c>
      <c r="I3271" t="s">
        <v>74</v>
      </c>
      <c r="J3271" t="s">
        <v>22</v>
      </c>
      <c r="K3271">
        <v>4.9000000000000004</v>
      </c>
      <c r="L3271" t="s">
        <v>23</v>
      </c>
      <c r="M3271" t="s">
        <v>61</v>
      </c>
      <c r="N3271" t="s">
        <v>23</v>
      </c>
      <c r="O3271">
        <v>25</v>
      </c>
      <c r="P3271" t="s">
        <v>25</v>
      </c>
      <c r="Q3271" t="s">
        <v>42</v>
      </c>
      <c r="R3271" s="1">
        <v>0.1</v>
      </c>
      <c r="S3271">
        <f t="shared" si="204"/>
        <v>54</v>
      </c>
      <c r="T3271">
        <f>IFERROR(VLOOKUP(A3271,Table1[[Customer ID]:[Discount Amount]], 6, FALSE),"Not Found")</f>
        <v>60</v>
      </c>
      <c r="U3271" t="str">
        <f t="shared" si="205"/>
        <v>Cash</v>
      </c>
      <c r="V3271" s="4" t="str">
        <f t="shared" si="206"/>
        <v>Normal</v>
      </c>
      <c r="W3271" s="4" t="str">
        <f t="shared" si="207"/>
        <v>Good</v>
      </c>
      <c r="X3271" s="4">
        <f>AVERAGE(Table1[Purchase Amount])</f>
        <v>129.48419400000012</v>
      </c>
    </row>
    <row r="3272" spans="1:24" ht="15" customHeight="1" x14ac:dyDescent="0.25">
      <c r="A3272">
        <v>3271</v>
      </c>
      <c r="B3272">
        <v>59</v>
      </c>
      <c r="C3272" t="s">
        <v>16</v>
      </c>
      <c r="D3272" t="s">
        <v>105</v>
      </c>
      <c r="E3272" t="s">
        <v>18</v>
      </c>
      <c r="F3272" s="2">
        <v>25</v>
      </c>
      <c r="G3272" t="s">
        <v>44</v>
      </c>
      <c r="H3272" t="s">
        <v>31</v>
      </c>
      <c r="I3272" t="s">
        <v>91</v>
      </c>
      <c r="J3272" t="s">
        <v>22</v>
      </c>
      <c r="K3272">
        <v>4.7</v>
      </c>
      <c r="L3272" t="s">
        <v>23</v>
      </c>
      <c r="M3272" t="s">
        <v>61</v>
      </c>
      <c r="N3272" t="s">
        <v>23</v>
      </c>
      <c r="O3272">
        <v>48</v>
      </c>
      <c r="P3272" t="s">
        <v>58</v>
      </c>
      <c r="Q3272" t="s">
        <v>49</v>
      </c>
      <c r="R3272" s="1">
        <v>0.1</v>
      </c>
      <c r="S3272">
        <f t="shared" si="204"/>
        <v>22.5</v>
      </c>
      <c r="T3272">
        <f>IFERROR(VLOOKUP(A3272,Table1[[Customer ID]:[Discount Amount]], 6, FALSE),"Not Found")</f>
        <v>25</v>
      </c>
      <c r="U3272" t="str">
        <f t="shared" si="205"/>
        <v>PayPal</v>
      </c>
      <c r="V3272" s="4" t="str">
        <f t="shared" si="206"/>
        <v>Normal</v>
      </c>
      <c r="W3272" s="4" t="str">
        <f t="shared" si="207"/>
        <v>Good</v>
      </c>
      <c r="X3272" s="4">
        <f>AVERAGE(Table1[Purchase Amount])</f>
        <v>129.48419400000012</v>
      </c>
    </row>
    <row r="3273" spans="1:24" ht="15" customHeight="1" x14ac:dyDescent="0.25">
      <c r="A3273">
        <v>3272</v>
      </c>
      <c r="B3273">
        <v>35</v>
      </c>
      <c r="C3273" t="s">
        <v>16</v>
      </c>
      <c r="D3273" t="s">
        <v>105</v>
      </c>
      <c r="E3273" t="s">
        <v>18</v>
      </c>
      <c r="F3273" s="2">
        <v>55</v>
      </c>
      <c r="G3273" t="s">
        <v>158</v>
      </c>
      <c r="H3273" t="s">
        <v>20</v>
      </c>
      <c r="I3273" t="s">
        <v>87</v>
      </c>
      <c r="J3273" t="s">
        <v>33</v>
      </c>
      <c r="K3273">
        <v>4.4000000000000004</v>
      </c>
      <c r="L3273" t="s">
        <v>23</v>
      </c>
      <c r="M3273" t="s">
        <v>24</v>
      </c>
      <c r="N3273" t="s">
        <v>23</v>
      </c>
      <c r="O3273">
        <v>30</v>
      </c>
      <c r="P3273" t="s">
        <v>53</v>
      </c>
      <c r="Q3273" t="s">
        <v>26</v>
      </c>
      <c r="R3273" s="1">
        <v>0.1</v>
      </c>
      <c r="S3273">
        <f t="shared" si="204"/>
        <v>49.5</v>
      </c>
      <c r="T3273">
        <f>IFERROR(VLOOKUP(A3273,Table1[[Customer ID]:[Discount Amount]], 6, FALSE),"Not Found")</f>
        <v>55</v>
      </c>
      <c r="U3273" t="str">
        <f t="shared" si="205"/>
        <v>Credit Card</v>
      </c>
      <c r="V3273" s="4" t="str">
        <f t="shared" si="206"/>
        <v>Normal</v>
      </c>
      <c r="W3273" s="4" t="str">
        <f t="shared" si="207"/>
        <v>Good</v>
      </c>
      <c r="X3273" s="4">
        <f>AVERAGE(Table1[Purchase Amount])</f>
        <v>129.48419400000012</v>
      </c>
    </row>
    <row r="3274" spans="1:24" ht="15" customHeight="1" x14ac:dyDescent="0.25">
      <c r="A3274">
        <v>3273</v>
      </c>
      <c r="B3274">
        <v>58</v>
      </c>
      <c r="C3274" t="s">
        <v>16</v>
      </c>
      <c r="D3274" t="s">
        <v>72</v>
      </c>
      <c r="E3274" t="s">
        <v>98</v>
      </c>
      <c r="F3274" s="2">
        <v>99</v>
      </c>
      <c r="G3274" t="s">
        <v>152</v>
      </c>
      <c r="H3274" t="s">
        <v>31</v>
      </c>
      <c r="I3274" t="s">
        <v>107</v>
      </c>
      <c r="J3274" t="s">
        <v>22</v>
      </c>
      <c r="K3274">
        <v>3.1</v>
      </c>
      <c r="L3274" t="s">
        <v>23</v>
      </c>
      <c r="M3274" t="s">
        <v>79</v>
      </c>
      <c r="N3274" t="s">
        <v>23</v>
      </c>
      <c r="O3274">
        <v>34</v>
      </c>
      <c r="P3274" t="s">
        <v>58</v>
      </c>
      <c r="Q3274" t="s">
        <v>37</v>
      </c>
      <c r="R3274" s="1">
        <v>0.1</v>
      </c>
      <c r="S3274">
        <f t="shared" si="204"/>
        <v>89.1</v>
      </c>
      <c r="T3274">
        <f>IFERROR(VLOOKUP(A3274,Table1[[Customer ID]:[Discount Amount]], 6, FALSE),"Not Found")</f>
        <v>99</v>
      </c>
      <c r="U3274" t="str">
        <f t="shared" si="205"/>
        <v>PayPal</v>
      </c>
      <c r="V3274" s="4" t="str">
        <f t="shared" si="206"/>
        <v>Normal</v>
      </c>
      <c r="W3274" s="4" t="str">
        <f t="shared" si="207"/>
        <v>Good</v>
      </c>
      <c r="X3274" s="4">
        <f>AVERAGE(Table1[Purchase Amount])</f>
        <v>129.48419400000012</v>
      </c>
    </row>
    <row r="3275" spans="1:24" ht="15" customHeight="1" x14ac:dyDescent="0.25">
      <c r="A3275">
        <v>3274</v>
      </c>
      <c r="B3275">
        <v>58</v>
      </c>
      <c r="C3275" t="s">
        <v>16</v>
      </c>
      <c r="D3275" t="s">
        <v>114</v>
      </c>
      <c r="E3275" t="s">
        <v>29</v>
      </c>
      <c r="F3275" s="2">
        <v>45</v>
      </c>
      <c r="G3275" t="s">
        <v>158</v>
      </c>
      <c r="H3275" t="s">
        <v>55</v>
      </c>
      <c r="I3275" t="s">
        <v>108</v>
      </c>
      <c r="J3275" t="s">
        <v>57</v>
      </c>
      <c r="K3275">
        <v>2.6</v>
      </c>
      <c r="L3275" t="s">
        <v>23</v>
      </c>
      <c r="M3275" t="s">
        <v>35</v>
      </c>
      <c r="N3275" t="s">
        <v>23</v>
      </c>
      <c r="O3275">
        <v>34</v>
      </c>
      <c r="P3275" t="s">
        <v>58</v>
      </c>
      <c r="Q3275" t="s">
        <v>63</v>
      </c>
      <c r="R3275" s="1">
        <v>0.1</v>
      </c>
      <c r="S3275">
        <f t="shared" si="204"/>
        <v>40.5</v>
      </c>
      <c r="T3275">
        <f>IFERROR(VLOOKUP(A3275,Table1[[Customer ID]:[Discount Amount]], 6, FALSE),"Not Found")</f>
        <v>45</v>
      </c>
      <c r="U3275" t="str">
        <f t="shared" si="205"/>
        <v>PayPal</v>
      </c>
      <c r="V3275" s="4" t="str">
        <f t="shared" si="206"/>
        <v>Normal</v>
      </c>
      <c r="W3275" s="4" t="str">
        <f t="shared" si="207"/>
        <v>Poor</v>
      </c>
      <c r="X3275" s="4">
        <f>AVERAGE(Table1[Purchase Amount])</f>
        <v>129.48419400000012</v>
      </c>
    </row>
    <row r="3276" spans="1:24" ht="15" customHeight="1" x14ac:dyDescent="0.25">
      <c r="A3276">
        <v>3275</v>
      </c>
      <c r="B3276">
        <v>46</v>
      </c>
      <c r="C3276" t="s">
        <v>16</v>
      </c>
      <c r="D3276" t="s">
        <v>127</v>
      </c>
      <c r="E3276" t="s">
        <v>18</v>
      </c>
      <c r="F3276" s="2">
        <v>20</v>
      </c>
      <c r="G3276" t="s">
        <v>142</v>
      </c>
      <c r="H3276" t="s">
        <v>31</v>
      </c>
      <c r="I3276" t="s">
        <v>128</v>
      </c>
      <c r="J3276" t="s">
        <v>33</v>
      </c>
      <c r="K3276">
        <v>3.9</v>
      </c>
      <c r="L3276" t="s">
        <v>23</v>
      </c>
      <c r="M3276" t="s">
        <v>48</v>
      </c>
      <c r="N3276" t="s">
        <v>23</v>
      </c>
      <c r="O3276">
        <v>14</v>
      </c>
      <c r="P3276" t="s">
        <v>25</v>
      </c>
      <c r="Q3276" t="s">
        <v>89</v>
      </c>
      <c r="R3276" s="1">
        <v>0.1</v>
      </c>
      <c r="S3276">
        <f t="shared" si="204"/>
        <v>18</v>
      </c>
      <c r="T3276">
        <f>IFERROR(VLOOKUP(A3276,Table1[[Customer ID]:[Discount Amount]], 6, FALSE),"Not Found")</f>
        <v>20</v>
      </c>
      <c r="U3276" t="str">
        <f t="shared" si="205"/>
        <v>Cash</v>
      </c>
      <c r="V3276" s="4" t="str">
        <f t="shared" si="206"/>
        <v>Normal</v>
      </c>
      <c r="W3276" s="4" t="str">
        <f t="shared" si="207"/>
        <v>Good</v>
      </c>
      <c r="X3276" s="4">
        <f>AVERAGE(Table1[Purchase Amount])</f>
        <v>129.48419400000012</v>
      </c>
    </row>
    <row r="3277" spans="1:24" ht="15" customHeight="1" x14ac:dyDescent="0.25">
      <c r="A3277">
        <v>3276</v>
      </c>
      <c r="B3277">
        <v>43</v>
      </c>
      <c r="C3277" t="s">
        <v>16</v>
      </c>
      <c r="D3277" t="s">
        <v>99</v>
      </c>
      <c r="E3277" t="s">
        <v>18</v>
      </c>
      <c r="F3277" s="2">
        <v>88</v>
      </c>
      <c r="G3277" t="s">
        <v>51</v>
      </c>
      <c r="H3277" t="s">
        <v>20</v>
      </c>
      <c r="I3277" t="s">
        <v>93</v>
      </c>
      <c r="J3277" t="s">
        <v>57</v>
      </c>
      <c r="K3277">
        <v>2.6</v>
      </c>
      <c r="L3277" t="s">
        <v>23</v>
      </c>
      <c r="M3277" t="s">
        <v>41</v>
      </c>
      <c r="N3277" t="s">
        <v>23</v>
      </c>
      <c r="O3277">
        <v>2</v>
      </c>
      <c r="P3277" t="s">
        <v>36</v>
      </c>
      <c r="Q3277" t="s">
        <v>26</v>
      </c>
      <c r="R3277" s="1">
        <v>0.1</v>
      </c>
      <c r="S3277">
        <f t="shared" si="204"/>
        <v>79.2</v>
      </c>
      <c r="T3277">
        <f>IFERROR(VLOOKUP(A3277,Table1[[Customer ID]:[Discount Amount]], 6, FALSE),"Not Found")</f>
        <v>88</v>
      </c>
      <c r="U3277" t="str">
        <f t="shared" si="205"/>
        <v>Debit Card</v>
      </c>
      <c r="V3277" s="4" t="str">
        <f t="shared" si="206"/>
        <v>Normal</v>
      </c>
      <c r="W3277" s="4" t="str">
        <f t="shared" si="207"/>
        <v>Poor</v>
      </c>
      <c r="X3277" s="4">
        <f>AVERAGE(Table1[Purchase Amount])</f>
        <v>129.48419400000012</v>
      </c>
    </row>
    <row r="3278" spans="1:24" ht="15" customHeight="1" x14ac:dyDescent="0.25">
      <c r="A3278">
        <v>3277</v>
      </c>
      <c r="B3278">
        <v>39</v>
      </c>
      <c r="C3278" t="s">
        <v>16</v>
      </c>
      <c r="D3278" t="s">
        <v>129</v>
      </c>
      <c r="E3278" t="s">
        <v>29</v>
      </c>
      <c r="F3278" s="2">
        <v>99</v>
      </c>
      <c r="G3278" t="s">
        <v>130</v>
      </c>
      <c r="H3278" t="s">
        <v>31</v>
      </c>
      <c r="I3278" t="s">
        <v>32</v>
      </c>
      <c r="J3278" t="s">
        <v>57</v>
      </c>
      <c r="K3278">
        <v>4</v>
      </c>
      <c r="L3278" t="s">
        <v>23</v>
      </c>
      <c r="M3278" t="s">
        <v>48</v>
      </c>
      <c r="N3278" t="s">
        <v>23</v>
      </c>
      <c r="O3278">
        <v>41</v>
      </c>
      <c r="P3278" t="s">
        <v>58</v>
      </c>
      <c r="Q3278" t="s">
        <v>63</v>
      </c>
      <c r="R3278" s="1">
        <v>0.1</v>
      </c>
      <c r="S3278">
        <f t="shared" si="204"/>
        <v>89.1</v>
      </c>
      <c r="T3278">
        <f>IFERROR(VLOOKUP(A3278,Table1[[Customer ID]:[Discount Amount]], 6, FALSE),"Not Found")</f>
        <v>99</v>
      </c>
      <c r="U3278" t="str">
        <f t="shared" si="205"/>
        <v>PayPal</v>
      </c>
      <c r="V3278" s="4" t="str">
        <f t="shared" si="206"/>
        <v>Normal</v>
      </c>
      <c r="W3278" s="4" t="str">
        <f t="shared" si="207"/>
        <v>Good</v>
      </c>
      <c r="X3278" s="4">
        <f>AVERAGE(Table1[Purchase Amount])</f>
        <v>129.48419400000012</v>
      </c>
    </row>
    <row r="3279" spans="1:24" ht="15" customHeight="1" x14ac:dyDescent="0.25">
      <c r="A3279">
        <v>3278</v>
      </c>
      <c r="B3279">
        <v>59</v>
      </c>
      <c r="C3279" t="s">
        <v>16</v>
      </c>
      <c r="D3279" t="s">
        <v>122</v>
      </c>
      <c r="E3279" t="s">
        <v>18</v>
      </c>
      <c r="F3279" s="2">
        <v>86</v>
      </c>
      <c r="G3279" t="s">
        <v>152</v>
      </c>
      <c r="H3279" t="s">
        <v>31</v>
      </c>
      <c r="I3279" t="s">
        <v>74</v>
      </c>
      <c r="J3279" t="s">
        <v>33</v>
      </c>
      <c r="K3279">
        <v>4.9000000000000004</v>
      </c>
      <c r="L3279" t="s">
        <v>23</v>
      </c>
      <c r="M3279" t="s">
        <v>48</v>
      </c>
      <c r="N3279" t="s">
        <v>23</v>
      </c>
      <c r="O3279">
        <v>3</v>
      </c>
      <c r="P3279" t="s">
        <v>53</v>
      </c>
      <c r="Q3279" t="s">
        <v>42</v>
      </c>
      <c r="R3279" s="1">
        <v>0.1</v>
      </c>
      <c r="S3279">
        <f t="shared" si="204"/>
        <v>77.400000000000006</v>
      </c>
      <c r="T3279">
        <f>IFERROR(VLOOKUP(A3279,Table1[[Customer ID]:[Discount Amount]], 6, FALSE),"Not Found")</f>
        <v>86</v>
      </c>
      <c r="U3279" t="str">
        <f t="shared" si="205"/>
        <v>Credit Card</v>
      </c>
      <c r="V3279" s="4" t="str">
        <f t="shared" si="206"/>
        <v>Normal</v>
      </c>
      <c r="W3279" s="4" t="str">
        <f t="shared" si="207"/>
        <v>Good</v>
      </c>
      <c r="X3279" s="4">
        <f>AVERAGE(Table1[Purchase Amount])</f>
        <v>129.48419400000012</v>
      </c>
    </row>
    <row r="3280" spans="1:24" ht="15" customHeight="1" x14ac:dyDescent="0.25">
      <c r="A3280">
        <v>3279</v>
      </c>
      <c r="B3280">
        <v>59</v>
      </c>
      <c r="C3280" t="s">
        <v>16</v>
      </c>
      <c r="D3280" t="s">
        <v>157</v>
      </c>
      <c r="E3280" t="s">
        <v>18</v>
      </c>
      <c r="F3280" s="2">
        <v>70</v>
      </c>
      <c r="G3280" t="s">
        <v>39</v>
      </c>
      <c r="H3280" t="s">
        <v>31</v>
      </c>
      <c r="I3280" t="s">
        <v>40</v>
      </c>
      <c r="J3280" t="s">
        <v>57</v>
      </c>
      <c r="K3280">
        <v>3.3</v>
      </c>
      <c r="L3280" t="s">
        <v>23</v>
      </c>
      <c r="M3280" t="s">
        <v>41</v>
      </c>
      <c r="N3280" t="s">
        <v>23</v>
      </c>
      <c r="O3280">
        <v>18</v>
      </c>
      <c r="P3280" t="s">
        <v>88</v>
      </c>
      <c r="Q3280" t="s">
        <v>26</v>
      </c>
      <c r="R3280" s="1">
        <v>0.1</v>
      </c>
      <c r="S3280">
        <f t="shared" si="204"/>
        <v>63</v>
      </c>
      <c r="T3280">
        <f>IFERROR(VLOOKUP(A3280,Table1[[Customer ID]:[Discount Amount]], 6, FALSE),"Not Found")</f>
        <v>70</v>
      </c>
      <c r="U3280" t="str">
        <f t="shared" si="205"/>
        <v>Bank Transfer</v>
      </c>
      <c r="V3280" s="4" t="str">
        <f t="shared" si="206"/>
        <v>Normal</v>
      </c>
      <c r="W3280" s="4" t="str">
        <f t="shared" si="207"/>
        <v>Good</v>
      </c>
      <c r="X3280" s="4">
        <f>AVERAGE(Table1[Purchase Amount])</f>
        <v>129.48419400000012</v>
      </c>
    </row>
    <row r="3281" spans="1:24" ht="15" customHeight="1" x14ac:dyDescent="0.25">
      <c r="A3281">
        <v>3280</v>
      </c>
      <c r="B3281">
        <v>59</v>
      </c>
      <c r="C3281" t="s">
        <v>16</v>
      </c>
      <c r="D3281" t="s">
        <v>64</v>
      </c>
      <c r="E3281" t="s">
        <v>29</v>
      </c>
      <c r="F3281" s="2">
        <v>50</v>
      </c>
      <c r="G3281" t="s">
        <v>162</v>
      </c>
      <c r="H3281" t="s">
        <v>55</v>
      </c>
      <c r="I3281" t="s">
        <v>46</v>
      </c>
      <c r="J3281" t="s">
        <v>47</v>
      </c>
      <c r="K3281">
        <v>3</v>
      </c>
      <c r="L3281" t="s">
        <v>23</v>
      </c>
      <c r="M3281" t="s">
        <v>61</v>
      </c>
      <c r="N3281" t="s">
        <v>23</v>
      </c>
      <c r="O3281">
        <v>1</v>
      </c>
      <c r="P3281" t="s">
        <v>36</v>
      </c>
      <c r="Q3281" t="s">
        <v>89</v>
      </c>
      <c r="R3281" s="1">
        <v>0.1</v>
      </c>
      <c r="S3281">
        <f t="shared" si="204"/>
        <v>45</v>
      </c>
      <c r="T3281">
        <f>IFERROR(VLOOKUP(A3281,Table1[[Customer ID]:[Discount Amount]], 6, FALSE),"Not Found")</f>
        <v>50</v>
      </c>
      <c r="U3281" t="str">
        <f t="shared" si="205"/>
        <v>Debit Card</v>
      </c>
      <c r="V3281" s="4" t="str">
        <f t="shared" si="206"/>
        <v>Normal</v>
      </c>
      <c r="W3281" s="4" t="str">
        <f t="shared" si="207"/>
        <v>Good</v>
      </c>
      <c r="X3281" s="4">
        <f>AVERAGE(Table1[Purchase Amount])</f>
        <v>129.48419400000012</v>
      </c>
    </row>
    <row r="3282" spans="1:24" ht="15" customHeight="1" x14ac:dyDescent="0.25">
      <c r="A3282">
        <v>3281</v>
      </c>
      <c r="B3282">
        <v>45</v>
      </c>
      <c r="C3282" t="s">
        <v>16</v>
      </c>
      <c r="D3282" t="s">
        <v>69</v>
      </c>
      <c r="E3282" t="s">
        <v>29</v>
      </c>
      <c r="F3282" s="2">
        <v>57</v>
      </c>
      <c r="G3282" t="s">
        <v>101</v>
      </c>
      <c r="H3282" t="s">
        <v>45</v>
      </c>
      <c r="I3282" t="s">
        <v>46</v>
      </c>
      <c r="J3282" t="s">
        <v>22</v>
      </c>
      <c r="K3282">
        <v>2.7</v>
      </c>
      <c r="L3282" t="s">
        <v>23</v>
      </c>
      <c r="M3282" t="s">
        <v>79</v>
      </c>
      <c r="N3282" t="s">
        <v>23</v>
      </c>
      <c r="O3282">
        <v>5</v>
      </c>
      <c r="P3282" t="s">
        <v>58</v>
      </c>
      <c r="Q3282" t="s">
        <v>42</v>
      </c>
      <c r="R3282" s="1">
        <v>0.1</v>
      </c>
      <c r="S3282">
        <f t="shared" si="204"/>
        <v>51.3</v>
      </c>
      <c r="T3282">
        <f>IFERROR(VLOOKUP(A3282,Table1[[Customer ID]:[Discount Amount]], 6, FALSE),"Not Found")</f>
        <v>57</v>
      </c>
      <c r="U3282" t="str">
        <f t="shared" si="205"/>
        <v>PayPal</v>
      </c>
      <c r="V3282" s="4" t="str">
        <f t="shared" si="206"/>
        <v>Normal</v>
      </c>
      <c r="W3282" s="4" t="str">
        <f t="shared" si="207"/>
        <v>Poor</v>
      </c>
      <c r="X3282" s="4">
        <f>AVERAGE(Table1[Purchase Amount])</f>
        <v>129.48419400000012</v>
      </c>
    </row>
    <row r="3283" spans="1:24" ht="15" customHeight="1" x14ac:dyDescent="0.25">
      <c r="A3283">
        <v>3282</v>
      </c>
      <c r="B3283">
        <v>27</v>
      </c>
      <c r="C3283" t="s">
        <v>16</v>
      </c>
      <c r="D3283" t="s">
        <v>99</v>
      </c>
      <c r="E3283" t="s">
        <v>18</v>
      </c>
      <c r="F3283" s="2">
        <v>69</v>
      </c>
      <c r="G3283" t="s">
        <v>123</v>
      </c>
      <c r="H3283" t="s">
        <v>45</v>
      </c>
      <c r="I3283" t="s">
        <v>133</v>
      </c>
      <c r="J3283" t="s">
        <v>22</v>
      </c>
      <c r="K3283">
        <v>3.1</v>
      </c>
      <c r="L3283" t="s">
        <v>23</v>
      </c>
      <c r="M3283" t="s">
        <v>35</v>
      </c>
      <c r="N3283" t="s">
        <v>23</v>
      </c>
      <c r="O3283">
        <v>41</v>
      </c>
      <c r="P3283" t="s">
        <v>88</v>
      </c>
      <c r="Q3283" t="s">
        <v>49</v>
      </c>
      <c r="R3283" s="1">
        <v>0.1</v>
      </c>
      <c r="S3283">
        <f t="shared" si="204"/>
        <v>62.1</v>
      </c>
      <c r="T3283">
        <f>IFERROR(VLOOKUP(A3283,Table1[[Customer ID]:[Discount Amount]], 6, FALSE),"Not Found")</f>
        <v>69</v>
      </c>
      <c r="U3283" t="str">
        <f t="shared" si="205"/>
        <v>Bank Transfer</v>
      </c>
      <c r="V3283" s="4" t="str">
        <f t="shared" si="206"/>
        <v>Normal</v>
      </c>
      <c r="W3283" s="4" t="str">
        <f t="shared" si="207"/>
        <v>Good</v>
      </c>
      <c r="X3283" s="4">
        <f>AVERAGE(Table1[Purchase Amount])</f>
        <v>129.48419400000012</v>
      </c>
    </row>
    <row r="3284" spans="1:24" ht="15" customHeight="1" x14ac:dyDescent="0.25">
      <c r="A3284">
        <v>3283</v>
      </c>
      <c r="B3284">
        <v>24</v>
      </c>
      <c r="C3284" t="s">
        <v>16</v>
      </c>
      <c r="D3284" t="s">
        <v>17</v>
      </c>
      <c r="E3284" t="s">
        <v>18</v>
      </c>
      <c r="F3284" s="2">
        <v>94</v>
      </c>
      <c r="G3284" t="s">
        <v>19</v>
      </c>
      <c r="H3284" t="s">
        <v>31</v>
      </c>
      <c r="I3284" t="s">
        <v>46</v>
      </c>
      <c r="J3284" t="s">
        <v>47</v>
      </c>
      <c r="K3284">
        <v>4.8</v>
      </c>
      <c r="L3284" t="s">
        <v>23</v>
      </c>
      <c r="M3284" t="s">
        <v>79</v>
      </c>
      <c r="N3284" t="s">
        <v>23</v>
      </c>
      <c r="O3284">
        <v>5</v>
      </c>
      <c r="P3284" t="s">
        <v>53</v>
      </c>
      <c r="Q3284" t="s">
        <v>42</v>
      </c>
      <c r="R3284" s="1">
        <v>0.1</v>
      </c>
      <c r="S3284">
        <f t="shared" si="204"/>
        <v>84.6</v>
      </c>
      <c r="T3284">
        <f>IFERROR(VLOOKUP(A3284,Table1[[Customer ID]:[Discount Amount]], 6, FALSE),"Not Found")</f>
        <v>94</v>
      </c>
      <c r="U3284" t="str">
        <f t="shared" si="205"/>
        <v>Credit Card</v>
      </c>
      <c r="V3284" s="4" t="str">
        <f t="shared" si="206"/>
        <v>Normal</v>
      </c>
      <c r="W3284" s="4" t="str">
        <f t="shared" si="207"/>
        <v>Good</v>
      </c>
      <c r="X3284" s="4">
        <f>AVERAGE(Table1[Purchase Amount])</f>
        <v>129.48419400000012</v>
      </c>
    </row>
    <row r="3285" spans="1:24" ht="15" customHeight="1" x14ac:dyDescent="0.25">
      <c r="A3285">
        <v>3284</v>
      </c>
      <c r="B3285">
        <v>47</v>
      </c>
      <c r="C3285" t="s">
        <v>16</v>
      </c>
      <c r="D3285" t="s">
        <v>96</v>
      </c>
      <c r="E3285" t="s">
        <v>77</v>
      </c>
      <c r="F3285" s="2">
        <v>24</v>
      </c>
      <c r="G3285" t="s">
        <v>134</v>
      </c>
      <c r="H3285" t="s">
        <v>45</v>
      </c>
      <c r="I3285" t="s">
        <v>66</v>
      </c>
      <c r="J3285" t="s">
        <v>33</v>
      </c>
      <c r="K3285">
        <v>2.9</v>
      </c>
      <c r="L3285" t="s">
        <v>23</v>
      </c>
      <c r="M3285" t="s">
        <v>61</v>
      </c>
      <c r="N3285" t="s">
        <v>23</v>
      </c>
      <c r="O3285">
        <v>10</v>
      </c>
      <c r="P3285" t="s">
        <v>36</v>
      </c>
      <c r="Q3285" t="s">
        <v>63</v>
      </c>
      <c r="R3285" s="1">
        <v>0.1</v>
      </c>
      <c r="S3285">
        <f t="shared" si="204"/>
        <v>21.6</v>
      </c>
      <c r="T3285">
        <f>IFERROR(VLOOKUP(A3285,Table1[[Customer ID]:[Discount Amount]], 6, FALSE),"Not Found")</f>
        <v>24</v>
      </c>
      <c r="U3285" t="str">
        <f t="shared" si="205"/>
        <v>Debit Card</v>
      </c>
      <c r="V3285" s="4" t="str">
        <f t="shared" si="206"/>
        <v>Normal</v>
      </c>
      <c r="W3285" s="4" t="str">
        <f t="shared" si="207"/>
        <v>Poor</v>
      </c>
      <c r="X3285" s="4">
        <f>AVERAGE(Table1[Purchase Amount])</f>
        <v>129.48419400000012</v>
      </c>
    </row>
    <row r="3286" spans="1:24" ht="15" customHeight="1" x14ac:dyDescent="0.25">
      <c r="A3286">
        <v>3285</v>
      </c>
      <c r="B3286">
        <v>70</v>
      </c>
      <c r="C3286" t="s">
        <v>16</v>
      </c>
      <c r="D3286" t="s">
        <v>129</v>
      </c>
      <c r="E3286" t="s">
        <v>29</v>
      </c>
      <c r="F3286" s="2">
        <v>79</v>
      </c>
      <c r="G3286" t="s">
        <v>70</v>
      </c>
      <c r="H3286" t="s">
        <v>45</v>
      </c>
      <c r="I3286" t="s">
        <v>32</v>
      </c>
      <c r="J3286" t="s">
        <v>33</v>
      </c>
      <c r="K3286">
        <v>4.5</v>
      </c>
      <c r="L3286" t="s">
        <v>23</v>
      </c>
      <c r="M3286" t="s">
        <v>41</v>
      </c>
      <c r="N3286" t="s">
        <v>23</v>
      </c>
      <c r="O3286">
        <v>20</v>
      </c>
      <c r="P3286" t="s">
        <v>62</v>
      </c>
      <c r="Q3286" t="s">
        <v>49</v>
      </c>
      <c r="R3286" s="1">
        <v>0.1</v>
      </c>
      <c r="S3286">
        <f t="shared" si="204"/>
        <v>71.099999999999994</v>
      </c>
      <c r="T3286">
        <f>IFERROR(VLOOKUP(A3286,Table1[[Customer ID]:[Discount Amount]], 6, FALSE),"Not Found")</f>
        <v>79</v>
      </c>
      <c r="U3286" t="str">
        <f t="shared" si="205"/>
        <v>Venmo</v>
      </c>
      <c r="V3286" s="4" t="str">
        <f t="shared" si="206"/>
        <v>Normal</v>
      </c>
      <c r="W3286" s="4" t="str">
        <f t="shared" si="207"/>
        <v>Good</v>
      </c>
      <c r="X3286" s="4">
        <f>AVERAGE(Table1[Purchase Amount])</f>
        <v>129.48419400000012</v>
      </c>
    </row>
    <row r="3287" spans="1:24" ht="15" customHeight="1" x14ac:dyDescent="0.25">
      <c r="A3287">
        <v>3286</v>
      </c>
      <c r="B3287">
        <v>58</v>
      </c>
      <c r="C3287" t="s">
        <v>16</v>
      </c>
      <c r="D3287" t="s">
        <v>64</v>
      </c>
      <c r="E3287" t="s">
        <v>29</v>
      </c>
      <c r="F3287" s="2">
        <v>31</v>
      </c>
      <c r="G3287" t="s">
        <v>135</v>
      </c>
      <c r="H3287" t="s">
        <v>20</v>
      </c>
      <c r="I3287" t="s">
        <v>87</v>
      </c>
      <c r="J3287" t="s">
        <v>47</v>
      </c>
      <c r="K3287">
        <v>4.5999999999999996</v>
      </c>
      <c r="L3287" t="s">
        <v>23</v>
      </c>
      <c r="M3287" t="s">
        <v>35</v>
      </c>
      <c r="N3287" t="s">
        <v>23</v>
      </c>
      <c r="O3287">
        <v>11</v>
      </c>
      <c r="P3287" t="s">
        <v>25</v>
      </c>
      <c r="Q3287" t="s">
        <v>26</v>
      </c>
      <c r="R3287" s="1">
        <v>0.1</v>
      </c>
      <c r="S3287">
        <f t="shared" si="204"/>
        <v>27.9</v>
      </c>
      <c r="T3287">
        <f>IFERROR(VLOOKUP(A3287,Table1[[Customer ID]:[Discount Amount]], 6, FALSE),"Not Found")</f>
        <v>31</v>
      </c>
      <c r="U3287" t="str">
        <f t="shared" si="205"/>
        <v>Cash</v>
      </c>
      <c r="V3287" s="4" t="str">
        <f t="shared" si="206"/>
        <v>Normal</v>
      </c>
      <c r="W3287" s="4" t="str">
        <f t="shared" si="207"/>
        <v>Good</v>
      </c>
      <c r="X3287" s="4">
        <f>AVERAGE(Table1[Purchase Amount])</f>
        <v>129.48419400000012</v>
      </c>
    </row>
    <row r="3288" spans="1:24" ht="15" customHeight="1" x14ac:dyDescent="0.25">
      <c r="A3288">
        <v>3287</v>
      </c>
      <c r="B3288">
        <v>45</v>
      </c>
      <c r="C3288" t="s">
        <v>16</v>
      </c>
      <c r="D3288" t="s">
        <v>96</v>
      </c>
      <c r="E3288" t="s">
        <v>77</v>
      </c>
      <c r="F3288" s="2">
        <v>67</v>
      </c>
      <c r="G3288" t="s">
        <v>44</v>
      </c>
      <c r="H3288" t="s">
        <v>45</v>
      </c>
      <c r="I3288" t="s">
        <v>136</v>
      </c>
      <c r="J3288" t="s">
        <v>22</v>
      </c>
      <c r="K3288">
        <v>5</v>
      </c>
      <c r="L3288" t="s">
        <v>23</v>
      </c>
      <c r="M3288" t="s">
        <v>61</v>
      </c>
      <c r="N3288" t="s">
        <v>23</v>
      </c>
      <c r="O3288">
        <v>4</v>
      </c>
      <c r="P3288" t="s">
        <v>62</v>
      </c>
      <c r="Q3288" t="s">
        <v>89</v>
      </c>
      <c r="R3288" s="1">
        <v>0.1</v>
      </c>
      <c r="S3288">
        <f t="shared" si="204"/>
        <v>60.3</v>
      </c>
      <c r="T3288">
        <f>IFERROR(VLOOKUP(A3288,Table1[[Customer ID]:[Discount Amount]], 6, FALSE),"Not Found")</f>
        <v>67</v>
      </c>
      <c r="U3288" t="str">
        <f t="shared" si="205"/>
        <v>Venmo</v>
      </c>
      <c r="V3288" s="4" t="str">
        <f t="shared" si="206"/>
        <v>Normal</v>
      </c>
      <c r="W3288" s="4" t="str">
        <f t="shared" si="207"/>
        <v>Good</v>
      </c>
      <c r="X3288" s="4">
        <f>AVERAGE(Table1[Purchase Amount])</f>
        <v>129.48419400000012</v>
      </c>
    </row>
    <row r="3289" spans="1:24" ht="15" customHeight="1" x14ac:dyDescent="0.25">
      <c r="A3289">
        <v>3288</v>
      </c>
      <c r="B3289">
        <v>24</v>
      </c>
      <c r="C3289" t="s">
        <v>16</v>
      </c>
      <c r="D3289" t="s">
        <v>122</v>
      </c>
      <c r="E3289" t="s">
        <v>18</v>
      </c>
      <c r="F3289" s="2">
        <v>63</v>
      </c>
      <c r="G3289" t="s">
        <v>154</v>
      </c>
      <c r="H3289" t="s">
        <v>45</v>
      </c>
      <c r="I3289" t="s">
        <v>40</v>
      </c>
      <c r="J3289" t="s">
        <v>33</v>
      </c>
      <c r="K3289">
        <v>4.3</v>
      </c>
      <c r="L3289" t="s">
        <v>23</v>
      </c>
      <c r="M3289" t="s">
        <v>41</v>
      </c>
      <c r="N3289" t="s">
        <v>23</v>
      </c>
      <c r="O3289">
        <v>38</v>
      </c>
      <c r="P3289" t="s">
        <v>53</v>
      </c>
      <c r="Q3289" t="s">
        <v>26</v>
      </c>
      <c r="R3289" s="1">
        <v>0.1</v>
      </c>
      <c r="S3289">
        <f t="shared" si="204"/>
        <v>56.7</v>
      </c>
      <c r="T3289">
        <f>IFERROR(VLOOKUP(A3289,Table1[[Customer ID]:[Discount Amount]], 6, FALSE),"Not Found")</f>
        <v>63</v>
      </c>
      <c r="U3289" t="str">
        <f t="shared" si="205"/>
        <v>Credit Card</v>
      </c>
      <c r="V3289" s="4" t="str">
        <f t="shared" si="206"/>
        <v>Normal</v>
      </c>
      <c r="W3289" s="4" t="str">
        <f t="shared" si="207"/>
        <v>Good</v>
      </c>
      <c r="X3289" s="4">
        <f>AVERAGE(Table1[Purchase Amount])</f>
        <v>129.48419400000012</v>
      </c>
    </row>
    <row r="3290" spans="1:24" ht="15" customHeight="1" x14ac:dyDescent="0.25">
      <c r="A3290">
        <v>3289</v>
      </c>
      <c r="B3290">
        <v>67</v>
      </c>
      <c r="C3290" t="s">
        <v>16</v>
      </c>
      <c r="D3290" t="s">
        <v>69</v>
      </c>
      <c r="E3290" t="s">
        <v>29</v>
      </c>
      <c r="F3290" s="2">
        <v>61</v>
      </c>
      <c r="G3290" t="s">
        <v>30</v>
      </c>
      <c r="H3290" t="s">
        <v>20</v>
      </c>
      <c r="I3290" t="s">
        <v>32</v>
      </c>
      <c r="J3290" t="s">
        <v>33</v>
      </c>
      <c r="K3290">
        <v>4.9000000000000004</v>
      </c>
      <c r="L3290" t="s">
        <v>23</v>
      </c>
      <c r="M3290" t="s">
        <v>79</v>
      </c>
      <c r="N3290" t="s">
        <v>23</v>
      </c>
      <c r="O3290">
        <v>19</v>
      </c>
      <c r="P3290" t="s">
        <v>53</v>
      </c>
      <c r="Q3290" t="s">
        <v>68</v>
      </c>
      <c r="R3290" s="1">
        <v>0.1</v>
      </c>
      <c r="S3290">
        <f t="shared" si="204"/>
        <v>54.9</v>
      </c>
      <c r="T3290">
        <f>IFERROR(VLOOKUP(A3290,Table1[[Customer ID]:[Discount Amount]], 6, FALSE),"Not Found")</f>
        <v>61</v>
      </c>
      <c r="U3290" t="str">
        <f t="shared" si="205"/>
        <v>Credit Card</v>
      </c>
      <c r="V3290" s="4" t="str">
        <f t="shared" si="206"/>
        <v>Normal</v>
      </c>
      <c r="W3290" s="4" t="str">
        <f t="shared" si="207"/>
        <v>Good</v>
      </c>
      <c r="X3290" s="4">
        <f>AVERAGE(Table1[Purchase Amount])</f>
        <v>129.48419400000012</v>
      </c>
    </row>
    <row r="3291" spans="1:24" ht="15" customHeight="1" x14ac:dyDescent="0.25">
      <c r="A3291">
        <v>3290</v>
      </c>
      <c r="B3291">
        <v>31</v>
      </c>
      <c r="C3291" t="s">
        <v>16</v>
      </c>
      <c r="D3291" t="s">
        <v>104</v>
      </c>
      <c r="E3291" t="s">
        <v>29</v>
      </c>
      <c r="F3291" s="2">
        <v>50</v>
      </c>
      <c r="G3291" t="s">
        <v>39</v>
      </c>
      <c r="H3291" t="s">
        <v>31</v>
      </c>
      <c r="I3291" t="s">
        <v>125</v>
      </c>
      <c r="J3291" t="s">
        <v>57</v>
      </c>
      <c r="K3291">
        <v>4</v>
      </c>
      <c r="L3291" t="s">
        <v>23</v>
      </c>
      <c r="M3291" t="s">
        <v>41</v>
      </c>
      <c r="N3291" t="s">
        <v>23</v>
      </c>
      <c r="O3291">
        <v>16</v>
      </c>
      <c r="P3291" t="s">
        <v>62</v>
      </c>
      <c r="Q3291" t="s">
        <v>63</v>
      </c>
      <c r="R3291" s="1">
        <v>0.1</v>
      </c>
      <c r="S3291">
        <f t="shared" si="204"/>
        <v>45</v>
      </c>
      <c r="T3291">
        <f>IFERROR(VLOOKUP(A3291,Table1[[Customer ID]:[Discount Amount]], 6, FALSE),"Not Found")</f>
        <v>50</v>
      </c>
      <c r="U3291" t="str">
        <f t="shared" si="205"/>
        <v>Venmo</v>
      </c>
      <c r="V3291" s="4" t="str">
        <f t="shared" si="206"/>
        <v>Normal</v>
      </c>
      <c r="W3291" s="4" t="str">
        <f t="shared" si="207"/>
        <v>Good</v>
      </c>
      <c r="X3291" s="4">
        <f>AVERAGE(Table1[Purchase Amount])</f>
        <v>129.48419400000012</v>
      </c>
    </row>
    <row r="3292" spans="1:24" ht="15" customHeight="1" x14ac:dyDescent="0.25">
      <c r="A3292">
        <v>3291</v>
      </c>
      <c r="B3292">
        <v>52</v>
      </c>
      <c r="C3292" t="s">
        <v>16</v>
      </c>
      <c r="D3292" t="s">
        <v>76</v>
      </c>
      <c r="E3292" t="s">
        <v>77</v>
      </c>
      <c r="F3292" s="2">
        <v>82</v>
      </c>
      <c r="G3292" t="s">
        <v>86</v>
      </c>
      <c r="H3292" t="s">
        <v>45</v>
      </c>
      <c r="I3292" t="s">
        <v>40</v>
      </c>
      <c r="J3292" t="s">
        <v>33</v>
      </c>
      <c r="K3292">
        <v>3.1</v>
      </c>
      <c r="L3292" t="s">
        <v>23</v>
      </c>
      <c r="M3292" t="s">
        <v>35</v>
      </c>
      <c r="N3292" t="s">
        <v>23</v>
      </c>
      <c r="O3292">
        <v>2</v>
      </c>
      <c r="P3292" t="s">
        <v>58</v>
      </c>
      <c r="Q3292" t="s">
        <v>42</v>
      </c>
      <c r="R3292" s="1">
        <v>0.1</v>
      </c>
      <c r="S3292">
        <f t="shared" si="204"/>
        <v>73.8</v>
      </c>
      <c r="T3292">
        <f>IFERROR(VLOOKUP(A3292,Table1[[Customer ID]:[Discount Amount]], 6, FALSE),"Not Found")</f>
        <v>82</v>
      </c>
      <c r="U3292" t="str">
        <f t="shared" si="205"/>
        <v>PayPal</v>
      </c>
      <c r="V3292" s="4" t="str">
        <f t="shared" si="206"/>
        <v>Normal</v>
      </c>
      <c r="W3292" s="4" t="str">
        <f t="shared" si="207"/>
        <v>Good</v>
      </c>
      <c r="X3292" s="4">
        <f>AVERAGE(Table1[Purchase Amount])</f>
        <v>129.48419400000012</v>
      </c>
    </row>
    <row r="3293" spans="1:24" ht="15" customHeight="1" x14ac:dyDescent="0.25">
      <c r="A3293">
        <v>3292</v>
      </c>
      <c r="B3293">
        <v>29</v>
      </c>
      <c r="C3293" t="s">
        <v>16</v>
      </c>
      <c r="D3293" t="s">
        <v>114</v>
      </c>
      <c r="E3293" t="s">
        <v>29</v>
      </c>
      <c r="F3293" s="2">
        <v>51</v>
      </c>
      <c r="G3293" t="s">
        <v>110</v>
      </c>
      <c r="H3293" t="s">
        <v>45</v>
      </c>
      <c r="I3293" t="s">
        <v>21</v>
      </c>
      <c r="J3293" t="s">
        <v>47</v>
      </c>
      <c r="K3293">
        <v>2.6</v>
      </c>
      <c r="L3293" t="s">
        <v>23</v>
      </c>
      <c r="M3293" t="s">
        <v>41</v>
      </c>
      <c r="N3293" t="s">
        <v>23</v>
      </c>
      <c r="O3293">
        <v>11</v>
      </c>
      <c r="P3293" t="s">
        <v>25</v>
      </c>
      <c r="Q3293" t="s">
        <v>42</v>
      </c>
      <c r="R3293" s="1">
        <v>0.1</v>
      </c>
      <c r="S3293">
        <f t="shared" si="204"/>
        <v>45.9</v>
      </c>
      <c r="T3293">
        <f>IFERROR(VLOOKUP(A3293,Table1[[Customer ID]:[Discount Amount]], 6, FALSE),"Not Found")</f>
        <v>51</v>
      </c>
      <c r="U3293" t="str">
        <f t="shared" si="205"/>
        <v>Cash</v>
      </c>
      <c r="V3293" s="4" t="str">
        <f t="shared" si="206"/>
        <v>Normal</v>
      </c>
      <c r="W3293" s="4" t="str">
        <f t="shared" si="207"/>
        <v>Poor</v>
      </c>
      <c r="X3293" s="4">
        <f>AVERAGE(Table1[Purchase Amount])</f>
        <v>129.48419400000012</v>
      </c>
    </row>
    <row r="3294" spans="1:24" ht="15" customHeight="1" x14ac:dyDescent="0.25">
      <c r="A3294">
        <v>3293</v>
      </c>
      <c r="B3294">
        <v>62</v>
      </c>
      <c r="C3294" t="s">
        <v>16</v>
      </c>
      <c r="D3294" t="s">
        <v>69</v>
      </c>
      <c r="E3294" t="s">
        <v>29</v>
      </c>
      <c r="F3294" s="2">
        <v>23</v>
      </c>
      <c r="G3294" t="s">
        <v>146</v>
      </c>
      <c r="H3294" t="s">
        <v>45</v>
      </c>
      <c r="I3294" t="s">
        <v>85</v>
      </c>
      <c r="J3294" t="s">
        <v>33</v>
      </c>
      <c r="K3294">
        <v>4.9000000000000004</v>
      </c>
      <c r="L3294" t="s">
        <v>23</v>
      </c>
      <c r="M3294" t="s">
        <v>24</v>
      </c>
      <c r="N3294" t="s">
        <v>23</v>
      </c>
      <c r="O3294">
        <v>18</v>
      </c>
      <c r="P3294" t="s">
        <v>88</v>
      </c>
      <c r="Q3294" t="s">
        <v>89</v>
      </c>
      <c r="R3294" s="1">
        <v>0.1</v>
      </c>
      <c r="S3294">
        <f t="shared" si="204"/>
        <v>20.7</v>
      </c>
      <c r="T3294">
        <f>IFERROR(VLOOKUP(A3294,Table1[[Customer ID]:[Discount Amount]], 6, FALSE),"Not Found")</f>
        <v>23</v>
      </c>
      <c r="U3294" t="str">
        <f t="shared" si="205"/>
        <v>Bank Transfer</v>
      </c>
      <c r="V3294" s="4" t="str">
        <f t="shared" si="206"/>
        <v>Normal</v>
      </c>
      <c r="W3294" s="4" t="str">
        <f t="shared" si="207"/>
        <v>Good</v>
      </c>
      <c r="X3294" s="4">
        <f>AVERAGE(Table1[Purchase Amount])</f>
        <v>129.48419400000012</v>
      </c>
    </row>
    <row r="3295" spans="1:24" ht="15" customHeight="1" x14ac:dyDescent="0.25">
      <c r="A3295">
        <v>3294</v>
      </c>
      <c r="B3295">
        <v>19</v>
      </c>
      <c r="C3295" t="s">
        <v>16</v>
      </c>
      <c r="D3295" t="s">
        <v>76</v>
      </c>
      <c r="E3295" t="s">
        <v>77</v>
      </c>
      <c r="F3295" s="2">
        <v>91</v>
      </c>
      <c r="G3295" t="s">
        <v>154</v>
      </c>
      <c r="H3295" t="s">
        <v>31</v>
      </c>
      <c r="I3295" t="s">
        <v>133</v>
      </c>
      <c r="J3295" t="s">
        <v>33</v>
      </c>
      <c r="K3295">
        <v>3.5</v>
      </c>
      <c r="L3295" t="s">
        <v>23</v>
      </c>
      <c r="M3295" t="s">
        <v>41</v>
      </c>
      <c r="N3295" t="s">
        <v>23</v>
      </c>
      <c r="O3295">
        <v>47</v>
      </c>
      <c r="P3295" t="s">
        <v>53</v>
      </c>
      <c r="Q3295" t="s">
        <v>89</v>
      </c>
      <c r="R3295" s="1">
        <v>0.1</v>
      </c>
      <c r="S3295">
        <f t="shared" si="204"/>
        <v>81.900000000000006</v>
      </c>
      <c r="T3295">
        <f>IFERROR(VLOOKUP(A3295,Table1[[Customer ID]:[Discount Amount]], 6, FALSE),"Not Found")</f>
        <v>91</v>
      </c>
      <c r="U3295" t="str">
        <f t="shared" si="205"/>
        <v>Credit Card</v>
      </c>
      <c r="V3295" s="4" t="str">
        <f t="shared" si="206"/>
        <v>Normal</v>
      </c>
      <c r="W3295" s="4" t="str">
        <f t="shared" si="207"/>
        <v>Good</v>
      </c>
      <c r="X3295" s="4">
        <f>AVERAGE(Table1[Purchase Amount])</f>
        <v>129.48419400000012</v>
      </c>
    </row>
    <row r="3296" spans="1:24" ht="15" customHeight="1" x14ac:dyDescent="0.25">
      <c r="A3296">
        <v>3295</v>
      </c>
      <c r="B3296">
        <v>62</v>
      </c>
      <c r="C3296" t="s">
        <v>16</v>
      </c>
      <c r="D3296" t="s">
        <v>127</v>
      </c>
      <c r="E3296" t="s">
        <v>18</v>
      </c>
      <c r="F3296" s="2">
        <v>60</v>
      </c>
      <c r="G3296" t="s">
        <v>30</v>
      </c>
      <c r="H3296" t="s">
        <v>55</v>
      </c>
      <c r="I3296" t="s">
        <v>87</v>
      </c>
      <c r="J3296" t="s">
        <v>33</v>
      </c>
      <c r="K3296">
        <v>4.5</v>
      </c>
      <c r="L3296" t="s">
        <v>23</v>
      </c>
      <c r="M3296" t="s">
        <v>48</v>
      </c>
      <c r="N3296" t="s">
        <v>23</v>
      </c>
      <c r="O3296">
        <v>15</v>
      </c>
      <c r="P3296" t="s">
        <v>88</v>
      </c>
      <c r="Q3296" t="s">
        <v>68</v>
      </c>
      <c r="R3296" s="1">
        <v>0.1</v>
      </c>
      <c r="S3296">
        <f t="shared" si="204"/>
        <v>54</v>
      </c>
      <c r="T3296">
        <f>IFERROR(VLOOKUP(A3296,Table1[[Customer ID]:[Discount Amount]], 6, FALSE),"Not Found")</f>
        <v>60</v>
      </c>
      <c r="U3296" t="str">
        <f t="shared" si="205"/>
        <v>Bank Transfer</v>
      </c>
      <c r="V3296" s="4" t="str">
        <f t="shared" si="206"/>
        <v>Normal</v>
      </c>
      <c r="W3296" s="4" t="str">
        <f t="shared" si="207"/>
        <v>Good</v>
      </c>
      <c r="X3296" s="4">
        <f>AVERAGE(Table1[Purchase Amount])</f>
        <v>129.48419400000012</v>
      </c>
    </row>
    <row r="3297" spans="1:24" ht="15" customHeight="1" x14ac:dyDescent="0.25">
      <c r="A3297">
        <v>3296</v>
      </c>
      <c r="B3297">
        <v>70</v>
      </c>
      <c r="C3297" t="s">
        <v>16</v>
      </c>
      <c r="D3297" t="s">
        <v>118</v>
      </c>
      <c r="E3297" t="s">
        <v>18</v>
      </c>
      <c r="F3297" s="2">
        <v>34</v>
      </c>
      <c r="G3297" t="s">
        <v>154</v>
      </c>
      <c r="H3297" t="s">
        <v>55</v>
      </c>
      <c r="I3297" t="s">
        <v>107</v>
      </c>
      <c r="J3297" t="s">
        <v>57</v>
      </c>
      <c r="K3297">
        <v>2.8</v>
      </c>
      <c r="L3297" t="s">
        <v>23</v>
      </c>
      <c r="M3297" t="s">
        <v>79</v>
      </c>
      <c r="N3297" t="s">
        <v>23</v>
      </c>
      <c r="O3297">
        <v>15</v>
      </c>
      <c r="P3297" t="s">
        <v>25</v>
      </c>
      <c r="Q3297" t="s">
        <v>26</v>
      </c>
      <c r="R3297" s="1">
        <v>0.1</v>
      </c>
      <c r="S3297">
        <f t="shared" si="204"/>
        <v>30.6</v>
      </c>
      <c r="T3297">
        <f>IFERROR(VLOOKUP(A3297,Table1[[Customer ID]:[Discount Amount]], 6, FALSE),"Not Found")</f>
        <v>34</v>
      </c>
      <c r="U3297" t="str">
        <f t="shared" si="205"/>
        <v>Cash</v>
      </c>
      <c r="V3297" s="4" t="str">
        <f t="shared" si="206"/>
        <v>Normal</v>
      </c>
      <c r="W3297" s="4" t="str">
        <f t="shared" si="207"/>
        <v>Poor</v>
      </c>
      <c r="X3297" s="4">
        <f>AVERAGE(Table1[Purchase Amount])</f>
        <v>129.48419400000012</v>
      </c>
    </row>
    <row r="3298" spans="1:24" ht="15" customHeight="1" x14ac:dyDescent="0.25">
      <c r="A3298">
        <v>3297</v>
      </c>
      <c r="B3298">
        <v>20</v>
      </c>
      <c r="C3298" t="s">
        <v>16</v>
      </c>
      <c r="D3298" t="s">
        <v>118</v>
      </c>
      <c r="E3298" t="s">
        <v>18</v>
      </c>
      <c r="F3298" s="2">
        <v>23</v>
      </c>
      <c r="G3298" t="s">
        <v>148</v>
      </c>
      <c r="H3298" t="s">
        <v>31</v>
      </c>
      <c r="I3298" t="s">
        <v>93</v>
      </c>
      <c r="J3298" t="s">
        <v>33</v>
      </c>
      <c r="K3298">
        <v>4.2</v>
      </c>
      <c r="L3298" t="s">
        <v>23</v>
      </c>
      <c r="M3298" t="s">
        <v>79</v>
      </c>
      <c r="N3298" t="s">
        <v>23</v>
      </c>
      <c r="O3298">
        <v>47</v>
      </c>
      <c r="P3298" t="s">
        <v>62</v>
      </c>
      <c r="Q3298" t="s">
        <v>37</v>
      </c>
      <c r="R3298" s="1">
        <v>0.1</v>
      </c>
      <c r="S3298">
        <f t="shared" si="204"/>
        <v>20.7</v>
      </c>
      <c r="T3298">
        <f>IFERROR(VLOOKUP(A3298,Table1[[Customer ID]:[Discount Amount]], 6, FALSE),"Not Found")</f>
        <v>23</v>
      </c>
      <c r="U3298" t="str">
        <f t="shared" si="205"/>
        <v>Venmo</v>
      </c>
      <c r="V3298" s="4" t="str">
        <f t="shared" si="206"/>
        <v>Normal</v>
      </c>
      <c r="W3298" s="4" t="str">
        <f t="shared" si="207"/>
        <v>Good</v>
      </c>
      <c r="X3298" s="4">
        <f>AVERAGE(Table1[Purchase Amount])</f>
        <v>129.48419400000012</v>
      </c>
    </row>
    <row r="3299" spans="1:24" ht="15" customHeight="1" x14ac:dyDescent="0.25">
      <c r="A3299">
        <v>3298</v>
      </c>
      <c r="B3299">
        <v>67</v>
      </c>
      <c r="C3299" t="s">
        <v>16</v>
      </c>
      <c r="D3299" t="s">
        <v>114</v>
      </c>
      <c r="E3299" t="s">
        <v>29</v>
      </c>
      <c r="F3299" s="2">
        <v>82</v>
      </c>
      <c r="G3299" t="s">
        <v>154</v>
      </c>
      <c r="H3299" t="s">
        <v>31</v>
      </c>
      <c r="I3299" t="s">
        <v>111</v>
      </c>
      <c r="J3299" t="s">
        <v>47</v>
      </c>
      <c r="K3299">
        <v>4.0999999999999996</v>
      </c>
      <c r="L3299" t="s">
        <v>23</v>
      </c>
      <c r="M3299" t="s">
        <v>35</v>
      </c>
      <c r="N3299" t="s">
        <v>23</v>
      </c>
      <c r="O3299">
        <v>47</v>
      </c>
      <c r="P3299" t="s">
        <v>58</v>
      </c>
      <c r="Q3299" t="s">
        <v>42</v>
      </c>
      <c r="R3299" s="1">
        <v>0.1</v>
      </c>
      <c r="S3299">
        <f t="shared" si="204"/>
        <v>73.8</v>
      </c>
      <c r="T3299">
        <f>IFERROR(VLOOKUP(A3299,Table1[[Customer ID]:[Discount Amount]], 6, FALSE),"Not Found")</f>
        <v>82</v>
      </c>
      <c r="U3299" t="str">
        <f t="shared" si="205"/>
        <v>PayPal</v>
      </c>
      <c r="V3299" s="4" t="str">
        <f t="shared" si="206"/>
        <v>Normal</v>
      </c>
      <c r="W3299" s="4" t="str">
        <f t="shared" si="207"/>
        <v>Good</v>
      </c>
      <c r="X3299" s="4">
        <f>AVERAGE(Table1[Purchase Amount])</f>
        <v>129.48419400000012</v>
      </c>
    </row>
    <row r="3300" spans="1:24" ht="15" customHeight="1" x14ac:dyDescent="0.25">
      <c r="A3300">
        <v>3299</v>
      </c>
      <c r="B3300">
        <v>65</v>
      </c>
      <c r="C3300" t="s">
        <v>16</v>
      </c>
      <c r="D3300" t="s">
        <v>96</v>
      </c>
      <c r="E3300" t="s">
        <v>77</v>
      </c>
      <c r="F3300" s="2">
        <v>73</v>
      </c>
      <c r="G3300" t="s">
        <v>110</v>
      </c>
      <c r="H3300" t="s">
        <v>31</v>
      </c>
      <c r="I3300" t="s">
        <v>60</v>
      </c>
      <c r="J3300" t="s">
        <v>47</v>
      </c>
      <c r="K3300">
        <v>3.5</v>
      </c>
      <c r="L3300" t="s">
        <v>23</v>
      </c>
      <c r="M3300" t="s">
        <v>61</v>
      </c>
      <c r="N3300" t="s">
        <v>23</v>
      </c>
      <c r="O3300">
        <v>6</v>
      </c>
      <c r="P3300" t="s">
        <v>88</v>
      </c>
      <c r="Q3300" t="s">
        <v>63</v>
      </c>
      <c r="R3300" s="1">
        <v>0.1</v>
      </c>
      <c r="S3300">
        <f t="shared" si="204"/>
        <v>65.7</v>
      </c>
      <c r="T3300">
        <f>IFERROR(VLOOKUP(A3300,Table1[[Customer ID]:[Discount Amount]], 6, FALSE),"Not Found")</f>
        <v>73</v>
      </c>
      <c r="U3300" t="str">
        <f t="shared" si="205"/>
        <v>Bank Transfer</v>
      </c>
      <c r="V3300" s="4" t="str">
        <f t="shared" si="206"/>
        <v>Normal</v>
      </c>
      <c r="W3300" s="4" t="str">
        <f t="shared" si="207"/>
        <v>Good</v>
      </c>
      <c r="X3300" s="4">
        <f>AVERAGE(Table1[Purchase Amount])</f>
        <v>129.48419400000012</v>
      </c>
    </row>
    <row r="3301" spans="1:24" ht="15" customHeight="1" x14ac:dyDescent="0.25">
      <c r="A3301">
        <v>3300</v>
      </c>
      <c r="B3301">
        <v>45</v>
      </c>
      <c r="C3301" t="s">
        <v>16</v>
      </c>
      <c r="D3301" t="s">
        <v>54</v>
      </c>
      <c r="E3301" t="s">
        <v>18</v>
      </c>
      <c r="F3301" s="2">
        <v>32</v>
      </c>
      <c r="G3301" t="s">
        <v>130</v>
      </c>
      <c r="H3301" t="s">
        <v>45</v>
      </c>
      <c r="I3301" t="s">
        <v>147</v>
      </c>
      <c r="J3301" t="s">
        <v>33</v>
      </c>
      <c r="K3301">
        <v>4</v>
      </c>
      <c r="L3301" t="s">
        <v>23</v>
      </c>
      <c r="M3301" t="s">
        <v>41</v>
      </c>
      <c r="N3301" t="s">
        <v>23</v>
      </c>
      <c r="O3301">
        <v>18</v>
      </c>
      <c r="P3301" t="s">
        <v>62</v>
      </c>
      <c r="Q3301" t="s">
        <v>42</v>
      </c>
      <c r="R3301" s="1">
        <v>0.1</v>
      </c>
      <c r="S3301">
        <f t="shared" si="204"/>
        <v>28.8</v>
      </c>
      <c r="T3301">
        <f>IFERROR(VLOOKUP(A3301,Table1[[Customer ID]:[Discount Amount]], 6, FALSE),"Not Found")</f>
        <v>32</v>
      </c>
      <c r="U3301" t="str">
        <f t="shared" si="205"/>
        <v>Venmo</v>
      </c>
      <c r="V3301" s="4" t="str">
        <f t="shared" si="206"/>
        <v>Normal</v>
      </c>
      <c r="W3301" s="4" t="str">
        <f t="shared" si="207"/>
        <v>Good</v>
      </c>
      <c r="X3301" s="4">
        <f>AVERAGE(Table1[Purchase Amount])</f>
        <v>129.48419400000012</v>
      </c>
    </row>
    <row r="3302" spans="1:24" ht="15" customHeight="1" x14ac:dyDescent="0.25">
      <c r="A3302">
        <v>3301</v>
      </c>
      <c r="B3302">
        <v>26</v>
      </c>
      <c r="C3302" t="s">
        <v>16</v>
      </c>
      <c r="D3302" t="s">
        <v>64</v>
      </c>
      <c r="E3302" t="s">
        <v>29</v>
      </c>
      <c r="F3302" s="2">
        <v>80</v>
      </c>
      <c r="G3302" t="s">
        <v>142</v>
      </c>
      <c r="H3302" t="s">
        <v>31</v>
      </c>
      <c r="I3302" t="s">
        <v>103</v>
      </c>
      <c r="J3302" t="s">
        <v>33</v>
      </c>
      <c r="K3302">
        <v>4</v>
      </c>
      <c r="L3302" t="s">
        <v>23</v>
      </c>
      <c r="M3302" t="s">
        <v>61</v>
      </c>
      <c r="N3302" t="s">
        <v>23</v>
      </c>
      <c r="O3302">
        <v>40</v>
      </c>
      <c r="P3302" t="s">
        <v>88</v>
      </c>
      <c r="Q3302" t="s">
        <v>68</v>
      </c>
      <c r="R3302" s="1">
        <v>0.1</v>
      </c>
      <c r="S3302">
        <f t="shared" si="204"/>
        <v>72</v>
      </c>
      <c r="T3302">
        <f>IFERROR(VLOOKUP(A3302,Table1[[Customer ID]:[Discount Amount]], 6, FALSE),"Not Found")</f>
        <v>80</v>
      </c>
      <c r="U3302" t="str">
        <f t="shared" si="205"/>
        <v>Bank Transfer</v>
      </c>
      <c r="V3302" s="4" t="str">
        <f t="shared" si="206"/>
        <v>Normal</v>
      </c>
      <c r="W3302" s="4" t="str">
        <f t="shared" si="207"/>
        <v>Good</v>
      </c>
      <c r="X3302" s="4">
        <f>AVERAGE(Table1[Purchase Amount])</f>
        <v>129.48419400000012</v>
      </c>
    </row>
    <row r="3303" spans="1:24" ht="15" customHeight="1" x14ac:dyDescent="0.25">
      <c r="A3303">
        <v>3302</v>
      </c>
      <c r="B3303">
        <v>36</v>
      </c>
      <c r="C3303" t="s">
        <v>16</v>
      </c>
      <c r="D3303" t="s">
        <v>99</v>
      </c>
      <c r="E3303" t="s">
        <v>18</v>
      </c>
      <c r="F3303" s="2">
        <v>58</v>
      </c>
      <c r="G3303" t="s">
        <v>142</v>
      </c>
      <c r="H3303" t="s">
        <v>20</v>
      </c>
      <c r="I3303" t="s">
        <v>103</v>
      </c>
      <c r="J3303" t="s">
        <v>57</v>
      </c>
      <c r="K3303">
        <v>2.5</v>
      </c>
      <c r="L3303" t="s">
        <v>23</v>
      </c>
      <c r="M3303" t="s">
        <v>35</v>
      </c>
      <c r="N3303" t="s">
        <v>23</v>
      </c>
      <c r="O3303">
        <v>31</v>
      </c>
      <c r="P3303" t="s">
        <v>53</v>
      </c>
      <c r="Q3303" t="s">
        <v>89</v>
      </c>
      <c r="R3303" s="1">
        <v>0.1</v>
      </c>
      <c r="S3303">
        <f t="shared" si="204"/>
        <v>52.2</v>
      </c>
      <c r="T3303">
        <f>IFERROR(VLOOKUP(A3303,Table1[[Customer ID]:[Discount Amount]], 6, FALSE),"Not Found")</f>
        <v>58</v>
      </c>
      <c r="U3303" t="str">
        <f t="shared" si="205"/>
        <v>Credit Card</v>
      </c>
      <c r="V3303" s="4" t="str">
        <f t="shared" si="206"/>
        <v>Normal</v>
      </c>
      <c r="W3303" s="4" t="str">
        <f t="shared" si="207"/>
        <v>Poor</v>
      </c>
      <c r="X3303" s="4">
        <f>AVERAGE(Table1[Purchase Amount])</f>
        <v>129.48419400000012</v>
      </c>
    </row>
    <row r="3304" spans="1:24" ht="15" customHeight="1" x14ac:dyDescent="0.25">
      <c r="A3304">
        <v>3303</v>
      </c>
      <c r="B3304">
        <v>36</v>
      </c>
      <c r="C3304" t="s">
        <v>16</v>
      </c>
      <c r="D3304" t="s">
        <v>118</v>
      </c>
      <c r="E3304" t="s">
        <v>18</v>
      </c>
      <c r="F3304" s="2">
        <v>82</v>
      </c>
      <c r="G3304" t="s">
        <v>51</v>
      </c>
      <c r="H3304" t="s">
        <v>20</v>
      </c>
      <c r="I3304" t="s">
        <v>56</v>
      </c>
      <c r="J3304" t="s">
        <v>22</v>
      </c>
      <c r="K3304">
        <v>4.2</v>
      </c>
      <c r="L3304" t="s">
        <v>23</v>
      </c>
      <c r="M3304" t="s">
        <v>24</v>
      </c>
      <c r="N3304" t="s">
        <v>23</v>
      </c>
      <c r="O3304">
        <v>31</v>
      </c>
      <c r="P3304" t="s">
        <v>62</v>
      </c>
      <c r="Q3304" t="s">
        <v>68</v>
      </c>
      <c r="R3304" s="1">
        <v>0.1</v>
      </c>
      <c r="S3304">
        <f t="shared" si="204"/>
        <v>73.8</v>
      </c>
      <c r="T3304">
        <f>IFERROR(VLOOKUP(A3304,Table1[[Customer ID]:[Discount Amount]], 6, FALSE),"Not Found")</f>
        <v>82</v>
      </c>
      <c r="U3304" t="str">
        <f t="shared" si="205"/>
        <v>Venmo</v>
      </c>
      <c r="V3304" s="4" t="str">
        <f t="shared" si="206"/>
        <v>Normal</v>
      </c>
      <c r="W3304" s="4" t="str">
        <f t="shared" si="207"/>
        <v>Good</v>
      </c>
      <c r="X3304" s="4">
        <f>AVERAGE(Table1[Purchase Amount])</f>
        <v>129.48419400000012</v>
      </c>
    </row>
    <row r="3305" spans="1:24" ht="15" customHeight="1" x14ac:dyDescent="0.25">
      <c r="A3305">
        <v>3304</v>
      </c>
      <c r="B3305">
        <v>20</v>
      </c>
      <c r="C3305" t="s">
        <v>16</v>
      </c>
      <c r="D3305" t="s">
        <v>114</v>
      </c>
      <c r="E3305" t="s">
        <v>29</v>
      </c>
      <c r="F3305" s="2">
        <v>60</v>
      </c>
      <c r="G3305" t="s">
        <v>149</v>
      </c>
      <c r="H3305" t="s">
        <v>55</v>
      </c>
      <c r="I3305" t="s">
        <v>156</v>
      </c>
      <c r="J3305" t="s">
        <v>57</v>
      </c>
      <c r="K3305">
        <v>3.4</v>
      </c>
      <c r="L3305" t="s">
        <v>23</v>
      </c>
      <c r="M3305" t="s">
        <v>79</v>
      </c>
      <c r="N3305" t="s">
        <v>23</v>
      </c>
      <c r="O3305">
        <v>4</v>
      </c>
      <c r="P3305" t="s">
        <v>53</v>
      </c>
      <c r="Q3305" t="s">
        <v>89</v>
      </c>
      <c r="R3305" s="1">
        <v>0.1</v>
      </c>
      <c r="S3305">
        <f t="shared" si="204"/>
        <v>54</v>
      </c>
      <c r="T3305">
        <f>IFERROR(VLOOKUP(A3305,Table1[[Customer ID]:[Discount Amount]], 6, FALSE),"Not Found")</f>
        <v>60</v>
      </c>
      <c r="U3305" t="str">
        <f t="shared" si="205"/>
        <v>Credit Card</v>
      </c>
      <c r="V3305" s="4" t="str">
        <f t="shared" si="206"/>
        <v>Normal</v>
      </c>
      <c r="W3305" s="4" t="str">
        <f t="shared" si="207"/>
        <v>Good</v>
      </c>
      <c r="X3305" s="4">
        <f>AVERAGE(Table1[Purchase Amount])</f>
        <v>129.48419400000012</v>
      </c>
    </row>
    <row r="3306" spans="1:24" ht="15" customHeight="1" x14ac:dyDescent="0.25">
      <c r="A3306">
        <v>3305</v>
      </c>
      <c r="B3306">
        <v>30</v>
      </c>
      <c r="C3306" t="s">
        <v>16</v>
      </c>
      <c r="D3306" t="s">
        <v>69</v>
      </c>
      <c r="E3306" t="s">
        <v>29</v>
      </c>
      <c r="F3306" s="2">
        <v>79</v>
      </c>
      <c r="G3306" t="s">
        <v>149</v>
      </c>
      <c r="H3306" t="s">
        <v>20</v>
      </c>
      <c r="I3306" t="s">
        <v>108</v>
      </c>
      <c r="J3306" t="s">
        <v>47</v>
      </c>
      <c r="K3306">
        <v>4.8</v>
      </c>
      <c r="L3306" t="s">
        <v>23</v>
      </c>
      <c r="M3306" t="s">
        <v>79</v>
      </c>
      <c r="N3306" t="s">
        <v>23</v>
      </c>
      <c r="O3306">
        <v>36</v>
      </c>
      <c r="P3306" t="s">
        <v>88</v>
      </c>
      <c r="Q3306" t="s">
        <v>63</v>
      </c>
      <c r="R3306" s="1">
        <v>0.1</v>
      </c>
      <c r="S3306">
        <f t="shared" si="204"/>
        <v>71.099999999999994</v>
      </c>
      <c r="T3306">
        <f>IFERROR(VLOOKUP(A3306,Table1[[Customer ID]:[Discount Amount]], 6, FALSE),"Not Found")</f>
        <v>79</v>
      </c>
      <c r="U3306" t="str">
        <f t="shared" si="205"/>
        <v>Bank Transfer</v>
      </c>
      <c r="V3306" s="4" t="str">
        <f t="shared" si="206"/>
        <v>Normal</v>
      </c>
      <c r="W3306" s="4" t="str">
        <f t="shared" si="207"/>
        <v>Good</v>
      </c>
      <c r="X3306" s="4">
        <f>AVERAGE(Table1[Purchase Amount])</f>
        <v>129.48419400000012</v>
      </c>
    </row>
    <row r="3307" spans="1:24" ht="15" customHeight="1" x14ac:dyDescent="0.25">
      <c r="A3307">
        <v>3306</v>
      </c>
      <c r="B3307">
        <v>34</v>
      </c>
      <c r="C3307" t="s">
        <v>16</v>
      </c>
      <c r="D3307" t="s">
        <v>83</v>
      </c>
      <c r="E3307" t="s">
        <v>18</v>
      </c>
      <c r="F3307" s="2">
        <v>41</v>
      </c>
      <c r="G3307" t="s">
        <v>137</v>
      </c>
      <c r="H3307" t="s">
        <v>45</v>
      </c>
      <c r="I3307" t="s">
        <v>128</v>
      </c>
      <c r="J3307" t="s">
        <v>57</v>
      </c>
      <c r="K3307">
        <v>4.9000000000000004</v>
      </c>
      <c r="L3307" t="s">
        <v>23</v>
      </c>
      <c r="M3307" t="s">
        <v>24</v>
      </c>
      <c r="N3307" t="s">
        <v>23</v>
      </c>
      <c r="O3307">
        <v>31</v>
      </c>
      <c r="P3307" t="s">
        <v>58</v>
      </c>
      <c r="Q3307" t="s">
        <v>68</v>
      </c>
      <c r="R3307" s="1">
        <v>0.1</v>
      </c>
      <c r="S3307">
        <f t="shared" si="204"/>
        <v>36.9</v>
      </c>
      <c r="T3307">
        <f>IFERROR(VLOOKUP(A3307,Table1[[Customer ID]:[Discount Amount]], 6, FALSE),"Not Found")</f>
        <v>41</v>
      </c>
      <c r="U3307" t="str">
        <f t="shared" si="205"/>
        <v>PayPal</v>
      </c>
      <c r="V3307" s="4" t="str">
        <f t="shared" si="206"/>
        <v>Normal</v>
      </c>
      <c r="W3307" s="4" t="str">
        <f t="shared" si="207"/>
        <v>Good</v>
      </c>
      <c r="X3307" s="4">
        <f>AVERAGE(Table1[Purchase Amount])</f>
        <v>129.48419400000012</v>
      </c>
    </row>
    <row r="3308" spans="1:24" ht="15" customHeight="1" x14ac:dyDescent="0.25">
      <c r="A3308">
        <v>3307</v>
      </c>
      <c r="B3308">
        <v>63</v>
      </c>
      <c r="C3308" t="s">
        <v>16</v>
      </c>
      <c r="D3308" t="s">
        <v>96</v>
      </c>
      <c r="E3308" t="s">
        <v>77</v>
      </c>
      <c r="F3308" s="2">
        <v>39</v>
      </c>
      <c r="G3308" t="s">
        <v>92</v>
      </c>
      <c r="H3308" t="s">
        <v>45</v>
      </c>
      <c r="I3308" t="s">
        <v>108</v>
      </c>
      <c r="J3308" t="s">
        <v>57</v>
      </c>
      <c r="K3308">
        <v>3.6</v>
      </c>
      <c r="L3308" t="s">
        <v>23</v>
      </c>
      <c r="M3308" t="s">
        <v>48</v>
      </c>
      <c r="N3308" t="s">
        <v>23</v>
      </c>
      <c r="O3308">
        <v>6</v>
      </c>
      <c r="P3308" t="s">
        <v>62</v>
      </c>
      <c r="Q3308" t="s">
        <v>89</v>
      </c>
      <c r="R3308" s="1">
        <v>0.1</v>
      </c>
      <c r="S3308">
        <f t="shared" si="204"/>
        <v>35.1</v>
      </c>
      <c r="T3308">
        <f>IFERROR(VLOOKUP(A3308,Table1[[Customer ID]:[Discount Amount]], 6, FALSE),"Not Found")</f>
        <v>39</v>
      </c>
      <c r="U3308" t="str">
        <f t="shared" si="205"/>
        <v>Venmo</v>
      </c>
      <c r="V3308" s="4" t="str">
        <f t="shared" si="206"/>
        <v>Normal</v>
      </c>
      <c r="W3308" s="4" t="str">
        <f t="shared" si="207"/>
        <v>Good</v>
      </c>
      <c r="X3308" s="4">
        <f>AVERAGE(Table1[Purchase Amount])</f>
        <v>129.48419400000012</v>
      </c>
    </row>
    <row r="3309" spans="1:24" ht="15" customHeight="1" x14ac:dyDescent="0.25">
      <c r="A3309">
        <v>3308</v>
      </c>
      <c r="B3309">
        <v>18</v>
      </c>
      <c r="C3309" t="s">
        <v>16</v>
      </c>
      <c r="D3309" t="s">
        <v>129</v>
      </c>
      <c r="E3309" t="s">
        <v>29</v>
      </c>
      <c r="F3309" s="2">
        <v>36</v>
      </c>
      <c r="G3309" t="s">
        <v>78</v>
      </c>
      <c r="H3309" t="s">
        <v>55</v>
      </c>
      <c r="I3309" t="s">
        <v>93</v>
      </c>
      <c r="J3309" t="s">
        <v>22</v>
      </c>
      <c r="K3309">
        <v>4</v>
      </c>
      <c r="L3309" t="s">
        <v>23</v>
      </c>
      <c r="M3309" t="s">
        <v>48</v>
      </c>
      <c r="N3309" t="s">
        <v>23</v>
      </c>
      <c r="O3309">
        <v>1</v>
      </c>
      <c r="P3309" t="s">
        <v>25</v>
      </c>
      <c r="Q3309" t="s">
        <v>42</v>
      </c>
      <c r="R3309" s="1">
        <v>0.1</v>
      </c>
      <c r="S3309">
        <f t="shared" si="204"/>
        <v>32.4</v>
      </c>
      <c r="T3309">
        <f>IFERROR(VLOOKUP(A3309,Table1[[Customer ID]:[Discount Amount]], 6, FALSE),"Not Found")</f>
        <v>36</v>
      </c>
      <c r="U3309" t="str">
        <f t="shared" si="205"/>
        <v>Cash</v>
      </c>
      <c r="V3309" s="4" t="str">
        <f t="shared" si="206"/>
        <v>Normal</v>
      </c>
      <c r="W3309" s="4" t="str">
        <f t="shared" si="207"/>
        <v>Good</v>
      </c>
      <c r="X3309" s="4">
        <f>AVERAGE(Table1[Purchase Amount])</f>
        <v>129.48419400000012</v>
      </c>
    </row>
    <row r="3310" spans="1:24" ht="15" customHeight="1" x14ac:dyDescent="0.25">
      <c r="A3310">
        <v>3309</v>
      </c>
      <c r="B3310">
        <v>55</v>
      </c>
      <c r="C3310" t="s">
        <v>16</v>
      </c>
      <c r="D3310" t="s">
        <v>109</v>
      </c>
      <c r="E3310" t="s">
        <v>18</v>
      </c>
      <c r="F3310" s="2">
        <v>70</v>
      </c>
      <c r="G3310" t="s">
        <v>144</v>
      </c>
      <c r="H3310" t="s">
        <v>31</v>
      </c>
      <c r="I3310" t="s">
        <v>136</v>
      </c>
      <c r="J3310" t="s">
        <v>47</v>
      </c>
      <c r="K3310">
        <v>2.6</v>
      </c>
      <c r="L3310" t="s">
        <v>23</v>
      </c>
      <c r="M3310" t="s">
        <v>61</v>
      </c>
      <c r="N3310" t="s">
        <v>23</v>
      </c>
      <c r="O3310">
        <v>29</v>
      </c>
      <c r="P3310" t="s">
        <v>25</v>
      </c>
      <c r="Q3310" t="s">
        <v>42</v>
      </c>
      <c r="R3310" s="1">
        <v>0.1</v>
      </c>
      <c r="S3310">
        <f t="shared" si="204"/>
        <v>63</v>
      </c>
      <c r="T3310">
        <f>IFERROR(VLOOKUP(A3310,Table1[[Customer ID]:[Discount Amount]], 6, FALSE),"Not Found")</f>
        <v>70</v>
      </c>
      <c r="U3310" t="str">
        <f t="shared" si="205"/>
        <v>Cash</v>
      </c>
      <c r="V3310" s="4" t="str">
        <f t="shared" si="206"/>
        <v>Normal</v>
      </c>
      <c r="W3310" s="4" t="str">
        <f t="shared" si="207"/>
        <v>Poor</v>
      </c>
      <c r="X3310" s="4">
        <f>AVERAGE(Table1[Purchase Amount])</f>
        <v>129.48419400000012</v>
      </c>
    </row>
    <row r="3311" spans="1:24" ht="15" customHeight="1" x14ac:dyDescent="0.25">
      <c r="A3311">
        <v>3310</v>
      </c>
      <c r="B3311">
        <v>48</v>
      </c>
      <c r="C3311" t="s">
        <v>16</v>
      </c>
      <c r="D3311" t="s">
        <v>69</v>
      </c>
      <c r="E3311" t="s">
        <v>29</v>
      </c>
      <c r="F3311" s="2">
        <v>47</v>
      </c>
      <c r="G3311" t="s">
        <v>97</v>
      </c>
      <c r="H3311" t="s">
        <v>31</v>
      </c>
      <c r="I3311" t="s">
        <v>74</v>
      </c>
      <c r="J3311" t="s">
        <v>57</v>
      </c>
      <c r="K3311">
        <v>3.1</v>
      </c>
      <c r="L3311" t="s">
        <v>23</v>
      </c>
      <c r="M3311" t="s">
        <v>48</v>
      </c>
      <c r="N3311" t="s">
        <v>23</v>
      </c>
      <c r="O3311">
        <v>19</v>
      </c>
      <c r="P3311" t="s">
        <v>58</v>
      </c>
      <c r="Q3311" t="s">
        <v>42</v>
      </c>
      <c r="R3311" s="1">
        <v>0.1</v>
      </c>
      <c r="S3311">
        <f t="shared" si="204"/>
        <v>42.3</v>
      </c>
      <c r="T3311">
        <f>IFERROR(VLOOKUP(A3311,Table1[[Customer ID]:[Discount Amount]], 6, FALSE),"Not Found")</f>
        <v>47</v>
      </c>
      <c r="U3311" t="str">
        <f t="shared" si="205"/>
        <v>PayPal</v>
      </c>
      <c r="V3311" s="4" t="str">
        <f t="shared" si="206"/>
        <v>Normal</v>
      </c>
      <c r="W3311" s="4" t="str">
        <f t="shared" si="207"/>
        <v>Good</v>
      </c>
      <c r="X3311" s="4">
        <f>AVERAGE(Table1[Purchase Amount])</f>
        <v>129.48419400000012</v>
      </c>
    </row>
    <row r="3312" spans="1:24" ht="15" customHeight="1" x14ac:dyDescent="0.25">
      <c r="A3312">
        <v>3311</v>
      </c>
      <c r="B3312">
        <v>45</v>
      </c>
      <c r="C3312" t="s">
        <v>16</v>
      </c>
      <c r="D3312" t="s">
        <v>96</v>
      </c>
      <c r="E3312" t="s">
        <v>77</v>
      </c>
      <c r="F3312" s="2">
        <v>27</v>
      </c>
      <c r="G3312" t="s">
        <v>141</v>
      </c>
      <c r="H3312" t="s">
        <v>31</v>
      </c>
      <c r="I3312" t="s">
        <v>136</v>
      </c>
      <c r="J3312" t="s">
        <v>22</v>
      </c>
      <c r="K3312">
        <v>3.6</v>
      </c>
      <c r="L3312" t="s">
        <v>23</v>
      </c>
      <c r="M3312" t="s">
        <v>35</v>
      </c>
      <c r="N3312" t="s">
        <v>23</v>
      </c>
      <c r="O3312">
        <v>12</v>
      </c>
      <c r="P3312" t="s">
        <v>58</v>
      </c>
      <c r="Q3312" t="s">
        <v>89</v>
      </c>
      <c r="R3312" s="1">
        <v>0.1</v>
      </c>
      <c r="S3312">
        <f t="shared" si="204"/>
        <v>24.3</v>
      </c>
      <c r="T3312">
        <f>IFERROR(VLOOKUP(A3312,Table1[[Customer ID]:[Discount Amount]], 6, FALSE),"Not Found")</f>
        <v>27</v>
      </c>
      <c r="U3312" t="str">
        <f t="shared" si="205"/>
        <v>PayPal</v>
      </c>
      <c r="V3312" s="4" t="str">
        <f t="shared" si="206"/>
        <v>Normal</v>
      </c>
      <c r="W3312" s="4" t="str">
        <f t="shared" si="207"/>
        <v>Good</v>
      </c>
      <c r="X3312" s="4">
        <f>AVERAGE(Table1[Purchase Amount])</f>
        <v>129.48419400000012</v>
      </c>
    </row>
    <row r="3313" spans="1:24" ht="15" customHeight="1" x14ac:dyDescent="0.25">
      <c r="A3313">
        <v>3312</v>
      </c>
      <c r="B3313">
        <v>29</v>
      </c>
      <c r="C3313" t="s">
        <v>16</v>
      </c>
      <c r="D3313" t="s">
        <v>64</v>
      </c>
      <c r="E3313" t="s">
        <v>29</v>
      </c>
      <c r="F3313" s="2">
        <v>52</v>
      </c>
      <c r="G3313" t="s">
        <v>67</v>
      </c>
      <c r="H3313" t="s">
        <v>45</v>
      </c>
      <c r="I3313" t="s">
        <v>74</v>
      </c>
      <c r="J3313" t="s">
        <v>57</v>
      </c>
      <c r="K3313">
        <v>4</v>
      </c>
      <c r="L3313" t="s">
        <v>23</v>
      </c>
      <c r="M3313" t="s">
        <v>61</v>
      </c>
      <c r="N3313" t="s">
        <v>23</v>
      </c>
      <c r="O3313">
        <v>18</v>
      </c>
      <c r="P3313" t="s">
        <v>88</v>
      </c>
      <c r="Q3313" t="s">
        <v>49</v>
      </c>
      <c r="R3313" s="1">
        <v>0.1</v>
      </c>
      <c r="S3313">
        <f t="shared" si="204"/>
        <v>46.8</v>
      </c>
      <c r="T3313">
        <f>IFERROR(VLOOKUP(A3313,Table1[[Customer ID]:[Discount Amount]], 6, FALSE),"Not Found")</f>
        <v>52</v>
      </c>
      <c r="U3313" t="str">
        <f t="shared" si="205"/>
        <v>Bank Transfer</v>
      </c>
      <c r="V3313" s="4" t="str">
        <f t="shared" si="206"/>
        <v>Normal</v>
      </c>
      <c r="W3313" s="4" t="str">
        <f t="shared" si="207"/>
        <v>Good</v>
      </c>
      <c r="X3313" s="4">
        <f>AVERAGE(Table1[Purchase Amount])</f>
        <v>129.48419400000012</v>
      </c>
    </row>
    <row r="3314" spans="1:24" ht="15" customHeight="1" x14ac:dyDescent="0.25">
      <c r="A3314">
        <v>3313</v>
      </c>
      <c r="B3314">
        <v>55</v>
      </c>
      <c r="C3314" t="s">
        <v>16</v>
      </c>
      <c r="D3314" t="s">
        <v>140</v>
      </c>
      <c r="E3314" t="s">
        <v>98</v>
      </c>
      <c r="F3314" s="2">
        <v>75</v>
      </c>
      <c r="G3314" t="s">
        <v>119</v>
      </c>
      <c r="H3314" t="s">
        <v>45</v>
      </c>
      <c r="I3314" t="s">
        <v>40</v>
      </c>
      <c r="J3314" t="s">
        <v>57</v>
      </c>
      <c r="K3314">
        <v>3.9</v>
      </c>
      <c r="L3314" t="s">
        <v>23</v>
      </c>
      <c r="M3314" t="s">
        <v>79</v>
      </c>
      <c r="N3314" t="s">
        <v>23</v>
      </c>
      <c r="O3314">
        <v>45</v>
      </c>
      <c r="P3314" t="s">
        <v>25</v>
      </c>
      <c r="Q3314" t="s">
        <v>37</v>
      </c>
      <c r="R3314" s="1">
        <v>0.1</v>
      </c>
      <c r="S3314">
        <f t="shared" si="204"/>
        <v>67.5</v>
      </c>
      <c r="T3314">
        <f>IFERROR(VLOOKUP(A3314,Table1[[Customer ID]:[Discount Amount]], 6, FALSE),"Not Found")</f>
        <v>75</v>
      </c>
      <c r="U3314" t="str">
        <f t="shared" si="205"/>
        <v>Cash</v>
      </c>
      <c r="V3314" s="4" t="str">
        <f t="shared" si="206"/>
        <v>Normal</v>
      </c>
      <c r="W3314" s="4" t="str">
        <f t="shared" si="207"/>
        <v>Good</v>
      </c>
      <c r="X3314" s="4">
        <f>AVERAGE(Table1[Purchase Amount])</f>
        <v>129.48419400000012</v>
      </c>
    </row>
    <row r="3315" spans="1:24" ht="15" customHeight="1" x14ac:dyDescent="0.25">
      <c r="A3315">
        <v>3314</v>
      </c>
      <c r="B3315">
        <v>55</v>
      </c>
      <c r="C3315" t="s">
        <v>16</v>
      </c>
      <c r="D3315" t="s">
        <v>64</v>
      </c>
      <c r="E3315" t="s">
        <v>29</v>
      </c>
      <c r="F3315" s="2">
        <v>30</v>
      </c>
      <c r="G3315" t="s">
        <v>124</v>
      </c>
      <c r="H3315" t="s">
        <v>20</v>
      </c>
      <c r="I3315" t="s">
        <v>40</v>
      </c>
      <c r="J3315" t="s">
        <v>47</v>
      </c>
      <c r="K3315">
        <v>3.9</v>
      </c>
      <c r="L3315" t="s">
        <v>23</v>
      </c>
      <c r="M3315" t="s">
        <v>61</v>
      </c>
      <c r="N3315" t="s">
        <v>23</v>
      </c>
      <c r="O3315">
        <v>45</v>
      </c>
      <c r="P3315" t="s">
        <v>53</v>
      </c>
      <c r="Q3315" t="s">
        <v>42</v>
      </c>
      <c r="R3315" s="1">
        <v>0.1</v>
      </c>
      <c r="S3315">
        <f t="shared" si="204"/>
        <v>27</v>
      </c>
      <c r="T3315">
        <f>IFERROR(VLOOKUP(A3315,Table1[[Customer ID]:[Discount Amount]], 6, FALSE),"Not Found")</f>
        <v>30</v>
      </c>
      <c r="U3315" t="str">
        <f t="shared" si="205"/>
        <v>Credit Card</v>
      </c>
      <c r="V3315" s="4" t="str">
        <f t="shared" si="206"/>
        <v>Normal</v>
      </c>
      <c r="W3315" s="4" t="str">
        <f t="shared" si="207"/>
        <v>Good</v>
      </c>
      <c r="X3315" s="4">
        <f>AVERAGE(Table1[Purchase Amount])</f>
        <v>129.48419400000012</v>
      </c>
    </row>
    <row r="3316" spans="1:24" ht="15" customHeight="1" x14ac:dyDescent="0.25">
      <c r="A3316">
        <v>3315</v>
      </c>
      <c r="B3316">
        <v>55</v>
      </c>
      <c r="C3316" t="s">
        <v>16</v>
      </c>
      <c r="D3316" t="s">
        <v>105</v>
      </c>
      <c r="E3316" t="s">
        <v>18</v>
      </c>
      <c r="F3316" s="2">
        <v>94</v>
      </c>
      <c r="G3316" t="s">
        <v>124</v>
      </c>
      <c r="H3316" t="s">
        <v>31</v>
      </c>
      <c r="I3316" t="s">
        <v>111</v>
      </c>
      <c r="J3316" t="s">
        <v>33</v>
      </c>
      <c r="K3316">
        <v>3.3</v>
      </c>
      <c r="L3316" t="s">
        <v>23</v>
      </c>
      <c r="M3316" t="s">
        <v>24</v>
      </c>
      <c r="N3316" t="s">
        <v>23</v>
      </c>
      <c r="O3316">
        <v>8</v>
      </c>
      <c r="P3316" t="s">
        <v>53</v>
      </c>
      <c r="Q3316" t="s">
        <v>37</v>
      </c>
      <c r="R3316" s="1">
        <v>0.1</v>
      </c>
      <c r="S3316">
        <f t="shared" si="204"/>
        <v>84.6</v>
      </c>
      <c r="T3316">
        <f>IFERROR(VLOOKUP(A3316,Table1[[Customer ID]:[Discount Amount]], 6, FALSE),"Not Found")</f>
        <v>94</v>
      </c>
      <c r="U3316" t="str">
        <f t="shared" si="205"/>
        <v>Credit Card</v>
      </c>
      <c r="V3316" s="4" t="str">
        <f t="shared" si="206"/>
        <v>Normal</v>
      </c>
      <c r="W3316" s="4" t="str">
        <f t="shared" si="207"/>
        <v>Good</v>
      </c>
      <c r="X3316" s="4">
        <f>AVERAGE(Table1[Purchase Amount])</f>
        <v>129.48419400000012</v>
      </c>
    </row>
    <row r="3317" spans="1:24" ht="15" customHeight="1" x14ac:dyDescent="0.25">
      <c r="A3317">
        <v>3316</v>
      </c>
      <c r="B3317">
        <v>48</v>
      </c>
      <c r="C3317" t="s">
        <v>16</v>
      </c>
      <c r="D3317" t="s">
        <v>129</v>
      </c>
      <c r="E3317" t="s">
        <v>29</v>
      </c>
      <c r="F3317" s="2">
        <v>68</v>
      </c>
      <c r="G3317" t="s">
        <v>70</v>
      </c>
      <c r="H3317" t="s">
        <v>55</v>
      </c>
      <c r="I3317" t="s">
        <v>133</v>
      </c>
      <c r="J3317" t="s">
        <v>57</v>
      </c>
      <c r="K3317">
        <v>2.9</v>
      </c>
      <c r="L3317" t="s">
        <v>23</v>
      </c>
      <c r="M3317" t="s">
        <v>24</v>
      </c>
      <c r="N3317" t="s">
        <v>23</v>
      </c>
      <c r="O3317">
        <v>4</v>
      </c>
      <c r="P3317" t="s">
        <v>58</v>
      </c>
      <c r="Q3317" t="s">
        <v>63</v>
      </c>
      <c r="R3317" s="1">
        <v>0.1</v>
      </c>
      <c r="S3317">
        <f t="shared" si="204"/>
        <v>61.2</v>
      </c>
      <c r="T3317">
        <f>IFERROR(VLOOKUP(A3317,Table1[[Customer ID]:[Discount Amount]], 6, FALSE),"Not Found")</f>
        <v>68</v>
      </c>
      <c r="U3317" t="str">
        <f t="shared" si="205"/>
        <v>PayPal</v>
      </c>
      <c r="V3317" s="4" t="str">
        <f t="shared" si="206"/>
        <v>Normal</v>
      </c>
      <c r="W3317" s="4" t="str">
        <f t="shared" si="207"/>
        <v>Poor</v>
      </c>
      <c r="X3317" s="4">
        <f>AVERAGE(Table1[Purchase Amount])</f>
        <v>129.48419400000012</v>
      </c>
    </row>
    <row r="3318" spans="1:24" ht="15" customHeight="1" x14ac:dyDescent="0.25">
      <c r="A3318">
        <v>3317</v>
      </c>
      <c r="B3318">
        <v>42</v>
      </c>
      <c r="C3318" t="s">
        <v>16</v>
      </c>
      <c r="D3318" t="s">
        <v>105</v>
      </c>
      <c r="E3318" t="s">
        <v>18</v>
      </c>
      <c r="F3318" s="2">
        <v>45</v>
      </c>
      <c r="G3318" t="s">
        <v>110</v>
      </c>
      <c r="H3318" t="s">
        <v>31</v>
      </c>
      <c r="I3318" t="s">
        <v>21</v>
      </c>
      <c r="J3318" t="s">
        <v>57</v>
      </c>
      <c r="K3318">
        <v>3.1</v>
      </c>
      <c r="L3318" t="s">
        <v>23</v>
      </c>
      <c r="M3318" t="s">
        <v>35</v>
      </c>
      <c r="N3318" t="s">
        <v>23</v>
      </c>
      <c r="O3318">
        <v>5</v>
      </c>
      <c r="P3318" t="s">
        <v>36</v>
      </c>
      <c r="Q3318" t="s">
        <v>89</v>
      </c>
      <c r="R3318" s="1">
        <v>0.1</v>
      </c>
      <c r="S3318">
        <f t="shared" si="204"/>
        <v>40.5</v>
      </c>
      <c r="T3318">
        <f>IFERROR(VLOOKUP(A3318,Table1[[Customer ID]:[Discount Amount]], 6, FALSE),"Not Found")</f>
        <v>45</v>
      </c>
      <c r="U3318" t="str">
        <f t="shared" si="205"/>
        <v>Debit Card</v>
      </c>
      <c r="V3318" s="4" t="str">
        <f t="shared" si="206"/>
        <v>Normal</v>
      </c>
      <c r="W3318" s="4" t="str">
        <f t="shared" si="207"/>
        <v>Good</v>
      </c>
      <c r="X3318" s="4">
        <f>AVERAGE(Table1[Purchase Amount])</f>
        <v>129.48419400000012</v>
      </c>
    </row>
    <row r="3319" spans="1:24" ht="15" customHeight="1" x14ac:dyDescent="0.25">
      <c r="A3319">
        <v>3318</v>
      </c>
      <c r="B3319">
        <v>21</v>
      </c>
      <c r="C3319" t="s">
        <v>16</v>
      </c>
      <c r="D3319" t="s">
        <v>64</v>
      </c>
      <c r="E3319" t="s">
        <v>29</v>
      </c>
      <c r="F3319" s="2">
        <v>67</v>
      </c>
      <c r="G3319" t="s">
        <v>134</v>
      </c>
      <c r="H3319" t="s">
        <v>20</v>
      </c>
      <c r="I3319" t="s">
        <v>136</v>
      </c>
      <c r="J3319" t="s">
        <v>57</v>
      </c>
      <c r="K3319">
        <v>4.7</v>
      </c>
      <c r="L3319" t="s">
        <v>23</v>
      </c>
      <c r="M3319" t="s">
        <v>24</v>
      </c>
      <c r="N3319" t="s">
        <v>23</v>
      </c>
      <c r="O3319">
        <v>30</v>
      </c>
      <c r="P3319" t="s">
        <v>25</v>
      </c>
      <c r="Q3319" t="s">
        <v>37</v>
      </c>
      <c r="R3319" s="1">
        <v>0.1</v>
      </c>
      <c r="S3319">
        <f t="shared" si="204"/>
        <v>60.3</v>
      </c>
      <c r="T3319">
        <f>IFERROR(VLOOKUP(A3319,Table1[[Customer ID]:[Discount Amount]], 6, FALSE),"Not Found")</f>
        <v>67</v>
      </c>
      <c r="U3319" t="str">
        <f t="shared" si="205"/>
        <v>Cash</v>
      </c>
      <c r="V3319" s="4" t="str">
        <f t="shared" si="206"/>
        <v>Normal</v>
      </c>
      <c r="W3319" s="4" t="str">
        <f t="shared" si="207"/>
        <v>Good</v>
      </c>
      <c r="X3319" s="4">
        <f>AVERAGE(Table1[Purchase Amount])</f>
        <v>129.48419400000012</v>
      </c>
    </row>
    <row r="3320" spans="1:24" ht="15" customHeight="1" x14ac:dyDescent="0.25">
      <c r="A3320">
        <v>3319</v>
      </c>
      <c r="B3320">
        <v>45</v>
      </c>
      <c r="C3320" t="s">
        <v>16</v>
      </c>
      <c r="D3320" t="s">
        <v>96</v>
      </c>
      <c r="E3320" t="s">
        <v>77</v>
      </c>
      <c r="F3320" s="2">
        <v>46</v>
      </c>
      <c r="G3320" t="s">
        <v>86</v>
      </c>
      <c r="H3320" t="s">
        <v>31</v>
      </c>
      <c r="I3320" t="s">
        <v>21</v>
      </c>
      <c r="J3320" t="s">
        <v>57</v>
      </c>
      <c r="K3320">
        <v>3.9</v>
      </c>
      <c r="L3320" t="s">
        <v>23</v>
      </c>
      <c r="M3320" t="s">
        <v>35</v>
      </c>
      <c r="N3320" t="s">
        <v>23</v>
      </c>
      <c r="O3320">
        <v>15</v>
      </c>
      <c r="P3320" t="s">
        <v>58</v>
      </c>
      <c r="Q3320" t="s">
        <v>42</v>
      </c>
      <c r="R3320" s="1">
        <v>0.1</v>
      </c>
      <c r="S3320">
        <f t="shared" si="204"/>
        <v>41.4</v>
      </c>
      <c r="T3320">
        <f>IFERROR(VLOOKUP(A3320,Table1[[Customer ID]:[Discount Amount]], 6, FALSE),"Not Found")</f>
        <v>46</v>
      </c>
      <c r="U3320" t="str">
        <f t="shared" si="205"/>
        <v>PayPal</v>
      </c>
      <c r="V3320" s="4" t="str">
        <f t="shared" si="206"/>
        <v>Normal</v>
      </c>
      <c r="W3320" s="4" t="str">
        <f t="shared" si="207"/>
        <v>Good</v>
      </c>
      <c r="X3320" s="4">
        <f>AVERAGE(Table1[Purchase Amount])</f>
        <v>129.48419400000012</v>
      </c>
    </row>
    <row r="3321" spans="1:24" ht="15" customHeight="1" x14ac:dyDescent="0.25">
      <c r="A3321">
        <v>3320</v>
      </c>
      <c r="B3321">
        <v>23</v>
      </c>
      <c r="C3321" t="s">
        <v>16</v>
      </c>
      <c r="D3321" t="s">
        <v>54</v>
      </c>
      <c r="E3321" t="s">
        <v>18</v>
      </c>
      <c r="F3321" s="2">
        <v>31</v>
      </c>
      <c r="G3321" t="s">
        <v>86</v>
      </c>
      <c r="H3321" t="s">
        <v>31</v>
      </c>
      <c r="I3321" t="s">
        <v>91</v>
      </c>
      <c r="J3321" t="s">
        <v>57</v>
      </c>
      <c r="K3321">
        <v>4.3</v>
      </c>
      <c r="L3321" t="s">
        <v>23</v>
      </c>
      <c r="M3321" t="s">
        <v>79</v>
      </c>
      <c r="N3321" t="s">
        <v>23</v>
      </c>
      <c r="O3321">
        <v>17</v>
      </c>
      <c r="P3321" t="s">
        <v>53</v>
      </c>
      <c r="Q3321" t="s">
        <v>63</v>
      </c>
      <c r="R3321" s="1">
        <v>0.1</v>
      </c>
      <c r="S3321">
        <f t="shared" si="204"/>
        <v>27.9</v>
      </c>
      <c r="T3321">
        <f>IFERROR(VLOOKUP(A3321,Table1[[Customer ID]:[Discount Amount]], 6, FALSE),"Not Found")</f>
        <v>31</v>
      </c>
      <c r="U3321" t="str">
        <f t="shared" si="205"/>
        <v>Credit Card</v>
      </c>
      <c r="V3321" s="4" t="str">
        <f t="shared" si="206"/>
        <v>Normal</v>
      </c>
      <c r="W3321" s="4" t="str">
        <f t="shared" si="207"/>
        <v>Good</v>
      </c>
      <c r="X3321" s="4">
        <f>AVERAGE(Table1[Purchase Amount])</f>
        <v>129.48419400000012</v>
      </c>
    </row>
    <row r="3322" spans="1:24" ht="15" customHeight="1" x14ac:dyDescent="0.25">
      <c r="A3322">
        <v>3321</v>
      </c>
      <c r="B3322">
        <v>66</v>
      </c>
      <c r="C3322" t="s">
        <v>16</v>
      </c>
      <c r="D3322" t="s">
        <v>118</v>
      </c>
      <c r="E3322" t="s">
        <v>18</v>
      </c>
      <c r="F3322" s="2">
        <v>44</v>
      </c>
      <c r="G3322" t="s">
        <v>44</v>
      </c>
      <c r="H3322" t="s">
        <v>20</v>
      </c>
      <c r="I3322" t="s">
        <v>153</v>
      </c>
      <c r="J3322" t="s">
        <v>47</v>
      </c>
      <c r="K3322">
        <v>4.2</v>
      </c>
      <c r="L3322" t="s">
        <v>23</v>
      </c>
      <c r="M3322" t="s">
        <v>41</v>
      </c>
      <c r="N3322" t="s">
        <v>23</v>
      </c>
      <c r="O3322">
        <v>45</v>
      </c>
      <c r="P3322" t="s">
        <v>25</v>
      </c>
      <c r="Q3322" t="s">
        <v>63</v>
      </c>
      <c r="R3322" s="1">
        <v>0.1</v>
      </c>
      <c r="S3322">
        <f t="shared" si="204"/>
        <v>39.6</v>
      </c>
      <c r="T3322">
        <f>IFERROR(VLOOKUP(A3322,Table1[[Customer ID]:[Discount Amount]], 6, FALSE),"Not Found")</f>
        <v>44</v>
      </c>
      <c r="U3322" t="str">
        <f t="shared" si="205"/>
        <v>Cash</v>
      </c>
      <c r="V3322" s="4" t="str">
        <f t="shared" si="206"/>
        <v>Normal</v>
      </c>
      <c r="W3322" s="4" t="str">
        <f t="shared" si="207"/>
        <v>Good</v>
      </c>
      <c r="X3322" s="4">
        <f>AVERAGE(Table1[Purchase Amount])</f>
        <v>129.48419400000012</v>
      </c>
    </row>
    <row r="3323" spans="1:24" ht="15" customHeight="1" x14ac:dyDescent="0.25">
      <c r="A3323">
        <v>3322</v>
      </c>
      <c r="B3323">
        <v>32</v>
      </c>
      <c r="C3323" t="s">
        <v>16</v>
      </c>
      <c r="D3323" t="s">
        <v>76</v>
      </c>
      <c r="E3323" t="s">
        <v>77</v>
      </c>
      <c r="F3323" s="2">
        <v>100</v>
      </c>
      <c r="G3323" t="s">
        <v>94</v>
      </c>
      <c r="H3323" t="s">
        <v>55</v>
      </c>
      <c r="I3323" t="s">
        <v>103</v>
      </c>
      <c r="J3323" t="s">
        <v>22</v>
      </c>
      <c r="K3323">
        <v>4.3</v>
      </c>
      <c r="L3323" t="s">
        <v>23</v>
      </c>
      <c r="M3323" t="s">
        <v>79</v>
      </c>
      <c r="N3323" t="s">
        <v>23</v>
      </c>
      <c r="O3323">
        <v>3</v>
      </c>
      <c r="P3323" t="s">
        <v>62</v>
      </c>
      <c r="Q3323" t="s">
        <v>49</v>
      </c>
      <c r="R3323" s="1">
        <v>0.1</v>
      </c>
      <c r="S3323">
        <f t="shared" si="204"/>
        <v>90</v>
      </c>
      <c r="T3323">
        <f>IFERROR(VLOOKUP(A3323,Table1[[Customer ID]:[Discount Amount]], 6, FALSE),"Not Found")</f>
        <v>100</v>
      </c>
      <c r="U3323" t="str">
        <f t="shared" si="205"/>
        <v>Venmo</v>
      </c>
      <c r="V3323" s="4" t="str">
        <f t="shared" si="206"/>
        <v>Normal</v>
      </c>
      <c r="W3323" s="4" t="str">
        <f t="shared" si="207"/>
        <v>Good</v>
      </c>
      <c r="X3323" s="4">
        <f>AVERAGE(Table1[Purchase Amount])</f>
        <v>129.48419400000012</v>
      </c>
    </row>
    <row r="3324" spans="1:24" ht="15" customHeight="1" x14ac:dyDescent="0.25">
      <c r="A3324">
        <v>3323</v>
      </c>
      <c r="B3324">
        <v>52</v>
      </c>
      <c r="C3324" t="s">
        <v>16</v>
      </c>
      <c r="D3324" t="s">
        <v>127</v>
      </c>
      <c r="E3324" t="s">
        <v>18</v>
      </c>
      <c r="F3324" s="2">
        <v>92</v>
      </c>
      <c r="G3324" t="s">
        <v>102</v>
      </c>
      <c r="H3324" t="s">
        <v>20</v>
      </c>
      <c r="I3324" t="s">
        <v>108</v>
      </c>
      <c r="J3324" t="s">
        <v>22</v>
      </c>
      <c r="K3324">
        <v>4.5999999999999996</v>
      </c>
      <c r="L3324" t="s">
        <v>23</v>
      </c>
      <c r="M3324" t="s">
        <v>79</v>
      </c>
      <c r="N3324" t="s">
        <v>23</v>
      </c>
      <c r="O3324">
        <v>43</v>
      </c>
      <c r="P3324" t="s">
        <v>58</v>
      </c>
      <c r="Q3324" t="s">
        <v>26</v>
      </c>
      <c r="R3324" s="1">
        <v>0.1</v>
      </c>
      <c r="S3324">
        <f t="shared" si="204"/>
        <v>82.8</v>
      </c>
      <c r="T3324">
        <f>IFERROR(VLOOKUP(A3324,Table1[[Customer ID]:[Discount Amount]], 6, FALSE),"Not Found")</f>
        <v>92</v>
      </c>
      <c r="U3324" t="str">
        <f t="shared" si="205"/>
        <v>PayPal</v>
      </c>
      <c r="V3324" s="4" t="str">
        <f t="shared" si="206"/>
        <v>Normal</v>
      </c>
      <c r="W3324" s="4" t="str">
        <f t="shared" si="207"/>
        <v>Good</v>
      </c>
      <c r="X3324" s="4">
        <f>AVERAGE(Table1[Purchase Amount])</f>
        <v>129.48419400000012</v>
      </c>
    </row>
    <row r="3325" spans="1:24" ht="15" customHeight="1" x14ac:dyDescent="0.25">
      <c r="A3325">
        <v>3324</v>
      </c>
      <c r="B3325">
        <v>54</v>
      </c>
      <c r="C3325" t="s">
        <v>16</v>
      </c>
      <c r="D3325" t="s">
        <v>69</v>
      </c>
      <c r="E3325" t="s">
        <v>29</v>
      </c>
      <c r="F3325" s="2">
        <v>78</v>
      </c>
      <c r="G3325" t="s">
        <v>86</v>
      </c>
      <c r="H3325" t="s">
        <v>31</v>
      </c>
      <c r="I3325" t="s">
        <v>52</v>
      </c>
      <c r="J3325" t="s">
        <v>22</v>
      </c>
      <c r="K3325">
        <v>3.8</v>
      </c>
      <c r="L3325" t="s">
        <v>23</v>
      </c>
      <c r="M3325" t="s">
        <v>35</v>
      </c>
      <c r="N3325" t="s">
        <v>23</v>
      </c>
      <c r="O3325">
        <v>4</v>
      </c>
      <c r="P3325" t="s">
        <v>53</v>
      </c>
      <c r="Q3325" t="s">
        <v>42</v>
      </c>
      <c r="R3325" s="1">
        <v>0.1</v>
      </c>
      <c r="S3325">
        <f t="shared" si="204"/>
        <v>70.2</v>
      </c>
      <c r="T3325">
        <f>IFERROR(VLOOKUP(A3325,Table1[[Customer ID]:[Discount Amount]], 6, FALSE),"Not Found")</f>
        <v>78</v>
      </c>
      <c r="U3325" t="str">
        <f t="shared" si="205"/>
        <v>Credit Card</v>
      </c>
      <c r="V3325" s="4" t="str">
        <f t="shared" si="206"/>
        <v>Normal</v>
      </c>
      <c r="W3325" s="4" t="str">
        <f t="shared" si="207"/>
        <v>Good</v>
      </c>
      <c r="X3325" s="4">
        <f>AVERAGE(Table1[Purchase Amount])</f>
        <v>129.48419400000012</v>
      </c>
    </row>
    <row r="3326" spans="1:24" ht="15" customHeight="1" x14ac:dyDescent="0.25">
      <c r="A3326">
        <v>3325</v>
      </c>
      <c r="B3326">
        <v>37</v>
      </c>
      <c r="C3326" t="s">
        <v>16</v>
      </c>
      <c r="D3326" t="s">
        <v>17</v>
      </c>
      <c r="E3326" t="s">
        <v>18</v>
      </c>
      <c r="F3326" s="2">
        <v>32</v>
      </c>
      <c r="G3326" t="s">
        <v>146</v>
      </c>
      <c r="H3326" t="s">
        <v>55</v>
      </c>
      <c r="I3326" t="s">
        <v>46</v>
      </c>
      <c r="J3326" t="s">
        <v>47</v>
      </c>
      <c r="K3326">
        <v>3.3</v>
      </c>
      <c r="L3326" t="s">
        <v>23</v>
      </c>
      <c r="M3326" t="s">
        <v>24</v>
      </c>
      <c r="N3326" t="s">
        <v>23</v>
      </c>
      <c r="O3326">
        <v>41</v>
      </c>
      <c r="P3326" t="s">
        <v>62</v>
      </c>
      <c r="Q3326" t="s">
        <v>26</v>
      </c>
      <c r="R3326" s="1">
        <v>0.1</v>
      </c>
      <c r="S3326">
        <f t="shared" si="204"/>
        <v>28.8</v>
      </c>
      <c r="T3326">
        <f>IFERROR(VLOOKUP(A3326,Table1[[Customer ID]:[Discount Amount]], 6, FALSE),"Not Found")</f>
        <v>32</v>
      </c>
      <c r="U3326" t="str">
        <f t="shared" si="205"/>
        <v>Venmo</v>
      </c>
      <c r="V3326" s="4" t="str">
        <f t="shared" si="206"/>
        <v>Normal</v>
      </c>
      <c r="W3326" s="4" t="str">
        <f t="shared" si="207"/>
        <v>Good</v>
      </c>
      <c r="X3326" s="4">
        <f>AVERAGE(Table1[Purchase Amount])</f>
        <v>129.48419400000012</v>
      </c>
    </row>
    <row r="3327" spans="1:24" ht="15" customHeight="1" x14ac:dyDescent="0.25">
      <c r="A3327">
        <v>3326</v>
      </c>
      <c r="B3327">
        <v>29</v>
      </c>
      <c r="C3327" t="s">
        <v>16</v>
      </c>
      <c r="D3327" t="s">
        <v>121</v>
      </c>
      <c r="E3327" t="s">
        <v>98</v>
      </c>
      <c r="F3327" s="2">
        <v>97</v>
      </c>
      <c r="G3327" t="s">
        <v>148</v>
      </c>
      <c r="H3327" t="s">
        <v>31</v>
      </c>
      <c r="I3327" t="s">
        <v>125</v>
      </c>
      <c r="J3327" t="s">
        <v>47</v>
      </c>
      <c r="K3327">
        <v>3.7</v>
      </c>
      <c r="L3327" t="s">
        <v>23</v>
      </c>
      <c r="M3327" t="s">
        <v>41</v>
      </c>
      <c r="N3327" t="s">
        <v>23</v>
      </c>
      <c r="O3327">
        <v>16</v>
      </c>
      <c r="P3327" t="s">
        <v>62</v>
      </c>
      <c r="Q3327" t="s">
        <v>42</v>
      </c>
      <c r="R3327" s="1">
        <v>0.1</v>
      </c>
      <c r="S3327">
        <f t="shared" si="204"/>
        <v>87.3</v>
      </c>
      <c r="T3327">
        <f>IFERROR(VLOOKUP(A3327,Table1[[Customer ID]:[Discount Amount]], 6, FALSE),"Not Found")</f>
        <v>97</v>
      </c>
      <c r="U3327" t="str">
        <f t="shared" si="205"/>
        <v>Venmo</v>
      </c>
      <c r="V3327" s="4" t="str">
        <f t="shared" si="206"/>
        <v>Normal</v>
      </c>
      <c r="W3327" s="4" t="str">
        <f t="shared" si="207"/>
        <v>Good</v>
      </c>
      <c r="X3327" s="4">
        <f>AVERAGE(Table1[Purchase Amount])</f>
        <v>129.48419400000012</v>
      </c>
    </row>
    <row r="3328" spans="1:24" ht="15" customHeight="1" x14ac:dyDescent="0.25">
      <c r="A3328">
        <v>3327</v>
      </c>
      <c r="B3328">
        <v>47</v>
      </c>
      <c r="C3328" t="s">
        <v>16</v>
      </c>
      <c r="D3328" t="s">
        <v>43</v>
      </c>
      <c r="E3328" t="s">
        <v>29</v>
      </c>
      <c r="F3328" s="2">
        <v>95</v>
      </c>
      <c r="G3328" t="s">
        <v>86</v>
      </c>
      <c r="H3328" t="s">
        <v>31</v>
      </c>
      <c r="I3328" t="s">
        <v>87</v>
      </c>
      <c r="J3328" t="s">
        <v>57</v>
      </c>
      <c r="K3328">
        <v>4.3</v>
      </c>
      <c r="L3328" t="s">
        <v>23</v>
      </c>
      <c r="M3328" t="s">
        <v>24</v>
      </c>
      <c r="N3328" t="s">
        <v>23</v>
      </c>
      <c r="O3328">
        <v>10</v>
      </c>
      <c r="P3328" t="s">
        <v>36</v>
      </c>
      <c r="Q3328" t="s">
        <v>49</v>
      </c>
      <c r="R3328" s="1">
        <v>0.1</v>
      </c>
      <c r="S3328">
        <f t="shared" si="204"/>
        <v>85.5</v>
      </c>
      <c r="T3328">
        <f>IFERROR(VLOOKUP(A3328,Table1[[Customer ID]:[Discount Amount]], 6, FALSE),"Not Found")</f>
        <v>95</v>
      </c>
      <c r="U3328" t="str">
        <f t="shared" si="205"/>
        <v>Debit Card</v>
      </c>
      <c r="V3328" s="4" t="str">
        <f t="shared" si="206"/>
        <v>Normal</v>
      </c>
      <c r="W3328" s="4" t="str">
        <f t="shared" si="207"/>
        <v>Good</v>
      </c>
      <c r="X3328" s="4">
        <f>AVERAGE(Table1[Purchase Amount])</f>
        <v>129.48419400000012</v>
      </c>
    </row>
    <row r="3329" spans="1:24" ht="15" customHeight="1" x14ac:dyDescent="0.25">
      <c r="A3329">
        <v>3328</v>
      </c>
      <c r="B3329">
        <v>47</v>
      </c>
      <c r="C3329" t="s">
        <v>16</v>
      </c>
      <c r="D3329" t="s">
        <v>54</v>
      </c>
      <c r="E3329" t="s">
        <v>18</v>
      </c>
      <c r="F3329" s="2">
        <v>64</v>
      </c>
      <c r="G3329" t="s">
        <v>115</v>
      </c>
      <c r="H3329" t="s">
        <v>31</v>
      </c>
      <c r="I3329" t="s">
        <v>40</v>
      </c>
      <c r="J3329" t="s">
        <v>33</v>
      </c>
      <c r="K3329">
        <v>4.0999999999999996</v>
      </c>
      <c r="L3329" t="s">
        <v>23</v>
      </c>
      <c r="M3329" t="s">
        <v>61</v>
      </c>
      <c r="N3329" t="s">
        <v>23</v>
      </c>
      <c r="O3329">
        <v>2</v>
      </c>
      <c r="P3329" t="s">
        <v>36</v>
      </c>
      <c r="Q3329" t="s">
        <v>37</v>
      </c>
      <c r="R3329" s="1">
        <v>0.1</v>
      </c>
      <c r="S3329">
        <f t="shared" si="204"/>
        <v>57.6</v>
      </c>
      <c r="T3329">
        <f>IFERROR(VLOOKUP(A3329,Table1[[Customer ID]:[Discount Amount]], 6, FALSE),"Not Found")</f>
        <v>64</v>
      </c>
      <c r="U3329" t="str">
        <f t="shared" si="205"/>
        <v>Debit Card</v>
      </c>
      <c r="V3329" s="4" t="str">
        <f t="shared" si="206"/>
        <v>Normal</v>
      </c>
      <c r="W3329" s="4" t="str">
        <f t="shared" si="207"/>
        <v>Good</v>
      </c>
      <c r="X3329" s="4">
        <f>AVERAGE(Table1[Purchase Amount])</f>
        <v>129.48419400000012</v>
      </c>
    </row>
    <row r="3330" spans="1:24" ht="15" customHeight="1" x14ac:dyDescent="0.25">
      <c r="A3330">
        <v>3329</v>
      </c>
      <c r="B3330">
        <v>42</v>
      </c>
      <c r="C3330" t="s">
        <v>16</v>
      </c>
      <c r="D3330" t="s">
        <v>121</v>
      </c>
      <c r="E3330" t="s">
        <v>98</v>
      </c>
      <c r="F3330" s="2">
        <v>35</v>
      </c>
      <c r="G3330" t="s">
        <v>59</v>
      </c>
      <c r="H3330" t="s">
        <v>31</v>
      </c>
      <c r="I3330" t="s">
        <v>111</v>
      </c>
      <c r="J3330" t="s">
        <v>33</v>
      </c>
      <c r="K3330">
        <v>3.2</v>
      </c>
      <c r="L3330" t="s">
        <v>23</v>
      </c>
      <c r="M3330" t="s">
        <v>35</v>
      </c>
      <c r="N3330" t="s">
        <v>23</v>
      </c>
      <c r="O3330">
        <v>11</v>
      </c>
      <c r="P3330" t="s">
        <v>25</v>
      </c>
      <c r="Q3330" t="s">
        <v>68</v>
      </c>
      <c r="R3330" s="1">
        <v>0.1</v>
      </c>
      <c r="S3330">
        <f t="shared" ref="S3330:S3393" si="208">F3330-(F3330*R3330)</f>
        <v>31.5</v>
      </c>
      <c r="T3330">
        <f>IFERROR(VLOOKUP(A3330,Table1[[Customer ID]:[Discount Amount]], 6, FALSE),"Not Found")</f>
        <v>35</v>
      </c>
      <c r="U3330" t="str">
        <f t="shared" ref="U3330:U3393" si="209">INDEX(P:P, MATCH(A3330, A:A, 0))</f>
        <v>Cash</v>
      </c>
      <c r="V3330" s="4" t="str">
        <f t="shared" ref="V3330:V3393" si="210">IF(AND(F3330&gt;1000,K3330&gt;=4),"Best Customer","Normal")</f>
        <v>Normal</v>
      </c>
      <c r="W3330" s="4" t="str">
        <f t="shared" ref="W3330:W3393" si="211">IF(K3330&gt;=3,"Good","Poor")</f>
        <v>Good</v>
      </c>
      <c r="X3330" s="4">
        <f>AVERAGE(Table1[Purchase Amount])</f>
        <v>129.48419400000012</v>
      </c>
    </row>
    <row r="3331" spans="1:24" ht="15" customHeight="1" x14ac:dyDescent="0.25">
      <c r="A3331">
        <v>3330</v>
      </c>
      <c r="B3331">
        <v>34</v>
      </c>
      <c r="C3331" t="s">
        <v>16</v>
      </c>
      <c r="D3331" t="s">
        <v>104</v>
      </c>
      <c r="E3331" t="s">
        <v>29</v>
      </c>
      <c r="F3331" s="2">
        <v>54</v>
      </c>
      <c r="G3331" t="s">
        <v>131</v>
      </c>
      <c r="H3331" t="s">
        <v>31</v>
      </c>
      <c r="I3331" t="s">
        <v>85</v>
      </c>
      <c r="J3331" t="s">
        <v>22</v>
      </c>
      <c r="K3331">
        <v>3.8</v>
      </c>
      <c r="L3331" t="s">
        <v>23</v>
      </c>
      <c r="M3331" t="s">
        <v>61</v>
      </c>
      <c r="N3331" t="s">
        <v>23</v>
      </c>
      <c r="O3331">
        <v>1</v>
      </c>
      <c r="P3331" t="s">
        <v>36</v>
      </c>
      <c r="Q3331" t="s">
        <v>68</v>
      </c>
      <c r="R3331" s="1">
        <v>0.1</v>
      </c>
      <c r="S3331">
        <f t="shared" si="208"/>
        <v>48.6</v>
      </c>
      <c r="T3331">
        <f>IFERROR(VLOOKUP(A3331,Table1[[Customer ID]:[Discount Amount]], 6, FALSE),"Not Found")</f>
        <v>54</v>
      </c>
      <c r="U3331" t="str">
        <f t="shared" si="209"/>
        <v>Debit Card</v>
      </c>
      <c r="V3331" s="4" t="str">
        <f t="shared" si="210"/>
        <v>Normal</v>
      </c>
      <c r="W3331" s="4" t="str">
        <f t="shared" si="211"/>
        <v>Good</v>
      </c>
      <c r="X3331" s="4">
        <f>AVERAGE(Table1[Purchase Amount])</f>
        <v>129.48419400000012</v>
      </c>
    </row>
    <row r="3332" spans="1:24" ht="15" customHeight="1" x14ac:dyDescent="0.25">
      <c r="A3332">
        <v>3331</v>
      </c>
      <c r="B3332">
        <v>38</v>
      </c>
      <c r="C3332" t="s">
        <v>16</v>
      </c>
      <c r="D3332" t="s">
        <v>140</v>
      </c>
      <c r="E3332" t="s">
        <v>98</v>
      </c>
      <c r="F3332" s="2">
        <v>96</v>
      </c>
      <c r="G3332" t="s">
        <v>146</v>
      </c>
      <c r="H3332" t="s">
        <v>31</v>
      </c>
      <c r="I3332" t="s">
        <v>40</v>
      </c>
      <c r="J3332" t="s">
        <v>33</v>
      </c>
      <c r="K3332">
        <v>3.2</v>
      </c>
      <c r="L3332" t="s">
        <v>23</v>
      </c>
      <c r="M3332" t="s">
        <v>41</v>
      </c>
      <c r="N3332" t="s">
        <v>23</v>
      </c>
      <c r="O3332">
        <v>41</v>
      </c>
      <c r="P3332" t="s">
        <v>88</v>
      </c>
      <c r="Q3332" t="s">
        <v>37</v>
      </c>
      <c r="R3332" s="1">
        <v>0.1</v>
      </c>
      <c r="S3332">
        <f t="shared" si="208"/>
        <v>86.4</v>
      </c>
      <c r="T3332">
        <f>IFERROR(VLOOKUP(A3332,Table1[[Customer ID]:[Discount Amount]], 6, FALSE),"Not Found")</f>
        <v>96</v>
      </c>
      <c r="U3332" t="str">
        <f t="shared" si="209"/>
        <v>Bank Transfer</v>
      </c>
      <c r="V3332" s="4" t="str">
        <f t="shared" si="210"/>
        <v>Normal</v>
      </c>
      <c r="W3332" s="4" t="str">
        <f t="shared" si="211"/>
        <v>Good</v>
      </c>
      <c r="X3332" s="4">
        <f>AVERAGE(Table1[Purchase Amount])</f>
        <v>129.48419400000012</v>
      </c>
    </row>
    <row r="3333" spans="1:24" ht="15" customHeight="1" x14ac:dyDescent="0.25">
      <c r="A3333">
        <v>3332</v>
      </c>
      <c r="B3333">
        <v>55</v>
      </c>
      <c r="C3333" t="s">
        <v>16</v>
      </c>
      <c r="D3333" t="s">
        <v>28</v>
      </c>
      <c r="E3333" t="s">
        <v>29</v>
      </c>
      <c r="F3333" s="2">
        <v>58</v>
      </c>
      <c r="G3333" t="s">
        <v>19</v>
      </c>
      <c r="H3333" t="s">
        <v>31</v>
      </c>
      <c r="I3333" t="s">
        <v>136</v>
      </c>
      <c r="J3333" t="s">
        <v>57</v>
      </c>
      <c r="K3333">
        <v>3.5</v>
      </c>
      <c r="L3333" t="s">
        <v>23</v>
      </c>
      <c r="M3333" t="s">
        <v>35</v>
      </c>
      <c r="N3333" t="s">
        <v>23</v>
      </c>
      <c r="O3333">
        <v>39</v>
      </c>
      <c r="P3333" t="s">
        <v>58</v>
      </c>
      <c r="Q3333" t="s">
        <v>37</v>
      </c>
      <c r="R3333" s="1">
        <v>0.1</v>
      </c>
      <c r="S3333">
        <f t="shared" si="208"/>
        <v>52.2</v>
      </c>
      <c r="T3333">
        <f>IFERROR(VLOOKUP(A3333,Table1[[Customer ID]:[Discount Amount]], 6, FALSE),"Not Found")</f>
        <v>58</v>
      </c>
      <c r="U3333" t="str">
        <f t="shared" si="209"/>
        <v>PayPal</v>
      </c>
      <c r="V3333" s="4" t="str">
        <f t="shared" si="210"/>
        <v>Normal</v>
      </c>
      <c r="W3333" s="4" t="str">
        <f t="shared" si="211"/>
        <v>Good</v>
      </c>
      <c r="X3333" s="4">
        <f>AVERAGE(Table1[Purchase Amount])</f>
        <v>129.48419400000012</v>
      </c>
    </row>
    <row r="3334" spans="1:24" ht="15" customHeight="1" x14ac:dyDescent="0.25">
      <c r="A3334">
        <v>3333</v>
      </c>
      <c r="B3334">
        <v>27</v>
      </c>
      <c r="C3334" t="s">
        <v>16</v>
      </c>
      <c r="D3334" t="s">
        <v>17</v>
      </c>
      <c r="E3334" t="s">
        <v>18</v>
      </c>
      <c r="F3334" s="2">
        <v>23</v>
      </c>
      <c r="G3334" t="s">
        <v>155</v>
      </c>
      <c r="H3334" t="s">
        <v>31</v>
      </c>
      <c r="I3334" t="s">
        <v>153</v>
      </c>
      <c r="J3334" t="s">
        <v>57</v>
      </c>
      <c r="K3334">
        <v>3.1</v>
      </c>
      <c r="L3334" t="s">
        <v>23</v>
      </c>
      <c r="M3334" t="s">
        <v>41</v>
      </c>
      <c r="N3334" t="s">
        <v>23</v>
      </c>
      <c r="O3334">
        <v>1</v>
      </c>
      <c r="P3334" t="s">
        <v>58</v>
      </c>
      <c r="Q3334" t="s">
        <v>68</v>
      </c>
      <c r="R3334" s="1">
        <v>0.1</v>
      </c>
      <c r="S3334">
        <f t="shared" si="208"/>
        <v>20.7</v>
      </c>
      <c r="T3334">
        <f>IFERROR(VLOOKUP(A3334,Table1[[Customer ID]:[Discount Amount]], 6, FALSE),"Not Found")</f>
        <v>23</v>
      </c>
      <c r="U3334" t="str">
        <f t="shared" si="209"/>
        <v>PayPal</v>
      </c>
      <c r="V3334" s="4" t="str">
        <f t="shared" si="210"/>
        <v>Normal</v>
      </c>
      <c r="W3334" s="4" t="str">
        <f t="shared" si="211"/>
        <v>Good</v>
      </c>
      <c r="X3334" s="4">
        <f>AVERAGE(Table1[Purchase Amount])</f>
        <v>129.48419400000012</v>
      </c>
    </row>
    <row r="3335" spans="1:24" ht="15" customHeight="1" x14ac:dyDescent="0.25">
      <c r="A3335">
        <v>3334</v>
      </c>
      <c r="B3335">
        <v>55</v>
      </c>
      <c r="C3335" t="s">
        <v>16</v>
      </c>
      <c r="D3335" t="s">
        <v>109</v>
      </c>
      <c r="E3335" t="s">
        <v>18</v>
      </c>
      <c r="F3335" s="2">
        <v>35</v>
      </c>
      <c r="G3335" t="s">
        <v>120</v>
      </c>
      <c r="H3335" t="s">
        <v>31</v>
      </c>
      <c r="I3335" t="s">
        <v>111</v>
      </c>
      <c r="J3335" t="s">
        <v>33</v>
      </c>
      <c r="K3335">
        <v>4.2</v>
      </c>
      <c r="L3335" t="s">
        <v>23</v>
      </c>
      <c r="M3335" t="s">
        <v>61</v>
      </c>
      <c r="N3335" t="s">
        <v>23</v>
      </c>
      <c r="O3335">
        <v>3</v>
      </c>
      <c r="P3335" t="s">
        <v>58</v>
      </c>
      <c r="Q3335" t="s">
        <v>42</v>
      </c>
      <c r="R3335" s="1">
        <v>0.1</v>
      </c>
      <c r="S3335">
        <f t="shared" si="208"/>
        <v>31.5</v>
      </c>
      <c r="T3335">
        <f>IFERROR(VLOOKUP(A3335,Table1[[Customer ID]:[Discount Amount]], 6, FALSE),"Not Found")</f>
        <v>35</v>
      </c>
      <c r="U3335" t="str">
        <f t="shared" si="209"/>
        <v>PayPal</v>
      </c>
      <c r="V3335" s="4" t="str">
        <f t="shared" si="210"/>
        <v>Normal</v>
      </c>
      <c r="W3335" s="4" t="str">
        <f t="shared" si="211"/>
        <v>Good</v>
      </c>
      <c r="X3335" s="4">
        <f>AVERAGE(Table1[Purchase Amount])</f>
        <v>129.48419400000012</v>
      </c>
    </row>
    <row r="3336" spans="1:24" ht="15" customHeight="1" x14ac:dyDescent="0.25">
      <c r="A3336">
        <v>3335</v>
      </c>
      <c r="B3336">
        <v>66</v>
      </c>
      <c r="C3336" t="s">
        <v>16</v>
      </c>
      <c r="D3336" t="s">
        <v>38</v>
      </c>
      <c r="E3336" t="s">
        <v>18</v>
      </c>
      <c r="F3336" s="2">
        <v>23</v>
      </c>
      <c r="G3336" t="s">
        <v>19</v>
      </c>
      <c r="H3336" t="s">
        <v>31</v>
      </c>
      <c r="I3336" t="s">
        <v>56</v>
      </c>
      <c r="J3336" t="s">
        <v>57</v>
      </c>
      <c r="K3336">
        <v>3.4</v>
      </c>
      <c r="L3336" t="s">
        <v>23</v>
      </c>
      <c r="M3336" t="s">
        <v>35</v>
      </c>
      <c r="N3336" t="s">
        <v>23</v>
      </c>
      <c r="O3336">
        <v>21</v>
      </c>
      <c r="P3336" t="s">
        <v>53</v>
      </c>
      <c r="Q3336" t="s">
        <v>49</v>
      </c>
      <c r="R3336" s="1">
        <v>0.1</v>
      </c>
      <c r="S3336">
        <f t="shared" si="208"/>
        <v>20.7</v>
      </c>
      <c r="T3336">
        <f>IFERROR(VLOOKUP(A3336,Table1[[Customer ID]:[Discount Amount]], 6, FALSE),"Not Found")</f>
        <v>23</v>
      </c>
      <c r="U3336" t="str">
        <f t="shared" si="209"/>
        <v>Credit Card</v>
      </c>
      <c r="V3336" s="4" t="str">
        <f t="shared" si="210"/>
        <v>Normal</v>
      </c>
      <c r="W3336" s="4" t="str">
        <f t="shared" si="211"/>
        <v>Good</v>
      </c>
      <c r="X3336" s="4">
        <f>AVERAGE(Table1[Purchase Amount])</f>
        <v>129.48419400000012</v>
      </c>
    </row>
    <row r="3337" spans="1:24" ht="15" customHeight="1" x14ac:dyDescent="0.25">
      <c r="A3337">
        <v>3336</v>
      </c>
      <c r="B3337">
        <v>44</v>
      </c>
      <c r="C3337" t="s">
        <v>16</v>
      </c>
      <c r="D3337" t="s">
        <v>64</v>
      </c>
      <c r="E3337" t="s">
        <v>29</v>
      </c>
      <c r="F3337" s="2">
        <v>94</v>
      </c>
      <c r="G3337" t="s">
        <v>152</v>
      </c>
      <c r="H3337" t="s">
        <v>20</v>
      </c>
      <c r="I3337" t="s">
        <v>128</v>
      </c>
      <c r="J3337" t="s">
        <v>22</v>
      </c>
      <c r="K3337">
        <v>3.5</v>
      </c>
      <c r="L3337" t="s">
        <v>23</v>
      </c>
      <c r="M3337" t="s">
        <v>61</v>
      </c>
      <c r="N3337" t="s">
        <v>23</v>
      </c>
      <c r="O3337">
        <v>48</v>
      </c>
      <c r="P3337" t="s">
        <v>88</v>
      </c>
      <c r="Q3337" t="s">
        <v>37</v>
      </c>
      <c r="R3337" s="1">
        <v>0.1</v>
      </c>
      <c r="S3337">
        <f t="shared" si="208"/>
        <v>84.6</v>
      </c>
      <c r="T3337">
        <f>IFERROR(VLOOKUP(A3337,Table1[[Customer ID]:[Discount Amount]], 6, FALSE),"Not Found")</f>
        <v>94</v>
      </c>
      <c r="U3337" t="str">
        <f t="shared" si="209"/>
        <v>Bank Transfer</v>
      </c>
      <c r="V3337" s="4" t="str">
        <f t="shared" si="210"/>
        <v>Normal</v>
      </c>
      <c r="W3337" s="4" t="str">
        <f t="shared" si="211"/>
        <v>Good</v>
      </c>
      <c r="X3337" s="4">
        <f>AVERAGE(Table1[Purchase Amount])</f>
        <v>129.48419400000012</v>
      </c>
    </row>
    <row r="3338" spans="1:24" ht="15" customHeight="1" x14ac:dyDescent="0.25">
      <c r="A3338">
        <v>3337</v>
      </c>
      <c r="B3338">
        <v>39</v>
      </c>
      <c r="C3338" t="s">
        <v>16</v>
      </c>
      <c r="D3338" t="s">
        <v>118</v>
      </c>
      <c r="E3338" t="s">
        <v>18</v>
      </c>
      <c r="F3338" s="2">
        <v>45</v>
      </c>
      <c r="G3338" t="s">
        <v>39</v>
      </c>
      <c r="H3338" t="s">
        <v>31</v>
      </c>
      <c r="I3338" t="s">
        <v>60</v>
      </c>
      <c r="J3338" t="s">
        <v>47</v>
      </c>
      <c r="K3338">
        <v>4</v>
      </c>
      <c r="L3338" t="s">
        <v>23</v>
      </c>
      <c r="M3338" t="s">
        <v>35</v>
      </c>
      <c r="N3338" t="s">
        <v>23</v>
      </c>
      <c r="O3338">
        <v>24</v>
      </c>
      <c r="P3338" t="s">
        <v>36</v>
      </c>
      <c r="Q3338" t="s">
        <v>49</v>
      </c>
      <c r="R3338" s="1">
        <v>0.1</v>
      </c>
      <c r="S3338">
        <f t="shared" si="208"/>
        <v>40.5</v>
      </c>
      <c r="T3338">
        <f>IFERROR(VLOOKUP(A3338,Table1[[Customer ID]:[Discount Amount]], 6, FALSE),"Not Found")</f>
        <v>45</v>
      </c>
      <c r="U3338" t="str">
        <f t="shared" si="209"/>
        <v>Debit Card</v>
      </c>
      <c r="V3338" s="4" t="str">
        <f t="shared" si="210"/>
        <v>Normal</v>
      </c>
      <c r="W3338" s="4" t="str">
        <f t="shared" si="211"/>
        <v>Good</v>
      </c>
      <c r="X3338" s="4">
        <f>AVERAGE(Table1[Purchase Amount])</f>
        <v>129.48419400000012</v>
      </c>
    </row>
    <row r="3339" spans="1:24" ht="15" customHeight="1" x14ac:dyDescent="0.25">
      <c r="A3339">
        <v>3338</v>
      </c>
      <c r="B3339">
        <v>23</v>
      </c>
      <c r="C3339" t="s">
        <v>16</v>
      </c>
      <c r="D3339" t="s">
        <v>96</v>
      </c>
      <c r="E3339" t="s">
        <v>77</v>
      </c>
      <c r="F3339" s="2">
        <v>23</v>
      </c>
      <c r="G3339" t="s">
        <v>150</v>
      </c>
      <c r="H3339" t="s">
        <v>45</v>
      </c>
      <c r="I3339" t="s">
        <v>74</v>
      </c>
      <c r="J3339" t="s">
        <v>22</v>
      </c>
      <c r="K3339">
        <v>4.4000000000000004</v>
      </c>
      <c r="L3339" t="s">
        <v>23</v>
      </c>
      <c r="M3339" t="s">
        <v>41</v>
      </c>
      <c r="N3339" t="s">
        <v>23</v>
      </c>
      <c r="O3339">
        <v>45</v>
      </c>
      <c r="P3339" t="s">
        <v>88</v>
      </c>
      <c r="Q3339" t="s">
        <v>68</v>
      </c>
      <c r="R3339" s="1">
        <v>0.1</v>
      </c>
      <c r="S3339">
        <f t="shared" si="208"/>
        <v>20.7</v>
      </c>
      <c r="T3339">
        <f>IFERROR(VLOOKUP(A3339,Table1[[Customer ID]:[Discount Amount]], 6, FALSE),"Not Found")</f>
        <v>23</v>
      </c>
      <c r="U3339" t="str">
        <f t="shared" si="209"/>
        <v>Bank Transfer</v>
      </c>
      <c r="V3339" s="4" t="str">
        <f t="shared" si="210"/>
        <v>Normal</v>
      </c>
      <c r="W3339" s="4" t="str">
        <f t="shared" si="211"/>
        <v>Good</v>
      </c>
      <c r="X3339" s="4">
        <f>AVERAGE(Table1[Purchase Amount])</f>
        <v>129.48419400000012</v>
      </c>
    </row>
    <row r="3340" spans="1:24" ht="15" customHeight="1" x14ac:dyDescent="0.25">
      <c r="A3340">
        <v>3339</v>
      </c>
      <c r="B3340">
        <v>29</v>
      </c>
      <c r="C3340" t="s">
        <v>16</v>
      </c>
      <c r="D3340" t="s">
        <v>122</v>
      </c>
      <c r="E3340" t="s">
        <v>18</v>
      </c>
      <c r="F3340" s="2">
        <v>94</v>
      </c>
      <c r="G3340" t="s">
        <v>120</v>
      </c>
      <c r="H3340" t="s">
        <v>45</v>
      </c>
      <c r="I3340" t="s">
        <v>32</v>
      </c>
      <c r="J3340" t="s">
        <v>22</v>
      </c>
      <c r="K3340">
        <v>2.9</v>
      </c>
      <c r="L3340" t="s">
        <v>23</v>
      </c>
      <c r="M3340" t="s">
        <v>41</v>
      </c>
      <c r="N3340" t="s">
        <v>23</v>
      </c>
      <c r="O3340">
        <v>46</v>
      </c>
      <c r="P3340" t="s">
        <v>53</v>
      </c>
      <c r="Q3340" t="s">
        <v>42</v>
      </c>
      <c r="R3340" s="1">
        <v>0.1</v>
      </c>
      <c r="S3340">
        <f t="shared" si="208"/>
        <v>84.6</v>
      </c>
      <c r="T3340">
        <f>IFERROR(VLOOKUP(A3340,Table1[[Customer ID]:[Discount Amount]], 6, FALSE),"Not Found")</f>
        <v>94</v>
      </c>
      <c r="U3340" t="str">
        <f t="shared" si="209"/>
        <v>Credit Card</v>
      </c>
      <c r="V3340" s="4" t="str">
        <f t="shared" si="210"/>
        <v>Normal</v>
      </c>
      <c r="W3340" s="4" t="str">
        <f t="shared" si="211"/>
        <v>Poor</v>
      </c>
      <c r="X3340" s="4">
        <f>AVERAGE(Table1[Purchase Amount])</f>
        <v>129.48419400000012</v>
      </c>
    </row>
    <row r="3341" spans="1:24" ht="15" customHeight="1" x14ac:dyDescent="0.25">
      <c r="A3341">
        <v>3340</v>
      </c>
      <c r="B3341">
        <v>20</v>
      </c>
      <c r="C3341" t="s">
        <v>16</v>
      </c>
      <c r="D3341" t="s">
        <v>43</v>
      </c>
      <c r="E3341" t="s">
        <v>29</v>
      </c>
      <c r="F3341" s="2">
        <v>99</v>
      </c>
      <c r="G3341" t="s">
        <v>137</v>
      </c>
      <c r="H3341" t="s">
        <v>31</v>
      </c>
      <c r="I3341" t="s">
        <v>128</v>
      </c>
      <c r="J3341" t="s">
        <v>47</v>
      </c>
      <c r="K3341">
        <v>3.6</v>
      </c>
      <c r="L3341" t="s">
        <v>23</v>
      </c>
      <c r="M3341" t="s">
        <v>48</v>
      </c>
      <c r="N3341" t="s">
        <v>23</v>
      </c>
      <c r="O3341">
        <v>35</v>
      </c>
      <c r="P3341" t="s">
        <v>25</v>
      </c>
      <c r="Q3341" t="s">
        <v>89</v>
      </c>
      <c r="R3341" s="1">
        <v>0.1</v>
      </c>
      <c r="S3341">
        <f t="shared" si="208"/>
        <v>89.1</v>
      </c>
      <c r="T3341">
        <f>IFERROR(VLOOKUP(A3341,Table1[[Customer ID]:[Discount Amount]], 6, FALSE),"Not Found")</f>
        <v>99</v>
      </c>
      <c r="U3341" t="str">
        <f t="shared" si="209"/>
        <v>Cash</v>
      </c>
      <c r="V3341" s="4" t="str">
        <f t="shared" si="210"/>
        <v>Normal</v>
      </c>
      <c r="W3341" s="4" t="str">
        <f t="shared" si="211"/>
        <v>Good</v>
      </c>
      <c r="X3341" s="4">
        <f>AVERAGE(Table1[Purchase Amount])</f>
        <v>129.48419400000012</v>
      </c>
    </row>
    <row r="3342" spans="1:24" ht="15" customHeight="1" x14ac:dyDescent="0.25">
      <c r="A3342">
        <v>3341</v>
      </c>
      <c r="B3342">
        <v>42</v>
      </c>
      <c r="C3342" t="s">
        <v>16</v>
      </c>
      <c r="D3342" t="s">
        <v>17</v>
      </c>
      <c r="E3342" t="s">
        <v>18</v>
      </c>
      <c r="F3342" s="2">
        <v>36</v>
      </c>
      <c r="G3342" t="s">
        <v>138</v>
      </c>
      <c r="H3342" t="s">
        <v>20</v>
      </c>
      <c r="I3342" t="s">
        <v>125</v>
      </c>
      <c r="J3342" t="s">
        <v>47</v>
      </c>
      <c r="K3342">
        <v>4.4000000000000004</v>
      </c>
      <c r="L3342" t="s">
        <v>23</v>
      </c>
      <c r="M3342" t="s">
        <v>35</v>
      </c>
      <c r="N3342" t="s">
        <v>23</v>
      </c>
      <c r="O3342">
        <v>47</v>
      </c>
      <c r="P3342" t="s">
        <v>53</v>
      </c>
      <c r="Q3342" t="s">
        <v>89</v>
      </c>
      <c r="R3342" s="1">
        <v>0.1</v>
      </c>
      <c r="S3342">
        <f t="shared" si="208"/>
        <v>32.4</v>
      </c>
      <c r="T3342">
        <f>IFERROR(VLOOKUP(A3342,Table1[[Customer ID]:[Discount Amount]], 6, FALSE),"Not Found")</f>
        <v>36</v>
      </c>
      <c r="U3342" t="str">
        <f t="shared" si="209"/>
        <v>Credit Card</v>
      </c>
      <c r="V3342" s="4" t="str">
        <f t="shared" si="210"/>
        <v>Normal</v>
      </c>
      <c r="W3342" s="4" t="str">
        <f t="shared" si="211"/>
        <v>Good</v>
      </c>
      <c r="X3342" s="4">
        <f>AVERAGE(Table1[Purchase Amount])</f>
        <v>129.48419400000012</v>
      </c>
    </row>
    <row r="3343" spans="1:24" ht="15" customHeight="1" x14ac:dyDescent="0.25">
      <c r="A3343">
        <v>3342</v>
      </c>
      <c r="B3343">
        <v>55</v>
      </c>
      <c r="C3343" t="s">
        <v>16</v>
      </c>
      <c r="D3343" t="s">
        <v>96</v>
      </c>
      <c r="E3343" t="s">
        <v>77</v>
      </c>
      <c r="F3343" s="2">
        <v>50</v>
      </c>
      <c r="G3343" t="s">
        <v>115</v>
      </c>
      <c r="H3343" t="s">
        <v>20</v>
      </c>
      <c r="I3343" t="s">
        <v>21</v>
      </c>
      <c r="J3343" t="s">
        <v>57</v>
      </c>
      <c r="K3343">
        <v>4.5</v>
      </c>
      <c r="L3343" t="s">
        <v>23</v>
      </c>
      <c r="M3343" t="s">
        <v>24</v>
      </c>
      <c r="N3343" t="s">
        <v>23</v>
      </c>
      <c r="O3343">
        <v>35</v>
      </c>
      <c r="P3343" t="s">
        <v>53</v>
      </c>
      <c r="Q3343" t="s">
        <v>42</v>
      </c>
      <c r="R3343" s="1">
        <v>0.1</v>
      </c>
      <c r="S3343">
        <f t="shared" si="208"/>
        <v>45</v>
      </c>
      <c r="T3343">
        <f>IFERROR(VLOOKUP(A3343,Table1[[Customer ID]:[Discount Amount]], 6, FALSE),"Not Found")</f>
        <v>50</v>
      </c>
      <c r="U3343" t="str">
        <f t="shared" si="209"/>
        <v>Credit Card</v>
      </c>
      <c r="V3343" s="4" t="str">
        <f t="shared" si="210"/>
        <v>Normal</v>
      </c>
      <c r="W3343" s="4" t="str">
        <f t="shared" si="211"/>
        <v>Good</v>
      </c>
      <c r="X3343" s="4">
        <f>AVERAGE(Table1[Purchase Amount])</f>
        <v>129.48419400000012</v>
      </c>
    </row>
    <row r="3344" spans="1:24" ht="15" customHeight="1" x14ac:dyDescent="0.25">
      <c r="A3344">
        <v>3343</v>
      </c>
      <c r="B3344">
        <v>66</v>
      </c>
      <c r="C3344" t="s">
        <v>16</v>
      </c>
      <c r="D3344" t="s">
        <v>96</v>
      </c>
      <c r="E3344" t="s">
        <v>77</v>
      </c>
      <c r="F3344" s="2">
        <v>81</v>
      </c>
      <c r="G3344" t="s">
        <v>131</v>
      </c>
      <c r="H3344" t="s">
        <v>31</v>
      </c>
      <c r="I3344" t="s">
        <v>111</v>
      </c>
      <c r="J3344" t="s">
        <v>33</v>
      </c>
      <c r="K3344">
        <v>3.8</v>
      </c>
      <c r="L3344" t="s">
        <v>23</v>
      </c>
      <c r="M3344" t="s">
        <v>35</v>
      </c>
      <c r="N3344" t="s">
        <v>23</v>
      </c>
      <c r="O3344">
        <v>45</v>
      </c>
      <c r="P3344" t="s">
        <v>53</v>
      </c>
      <c r="Q3344" t="s">
        <v>26</v>
      </c>
      <c r="R3344" s="1">
        <v>0.1</v>
      </c>
      <c r="S3344">
        <f t="shared" si="208"/>
        <v>72.900000000000006</v>
      </c>
      <c r="T3344">
        <f>IFERROR(VLOOKUP(A3344,Table1[[Customer ID]:[Discount Amount]], 6, FALSE),"Not Found")</f>
        <v>81</v>
      </c>
      <c r="U3344" t="str">
        <f t="shared" si="209"/>
        <v>Credit Card</v>
      </c>
      <c r="V3344" s="4" t="str">
        <f t="shared" si="210"/>
        <v>Normal</v>
      </c>
      <c r="W3344" s="4" t="str">
        <f t="shared" si="211"/>
        <v>Good</v>
      </c>
      <c r="X3344" s="4">
        <f>AVERAGE(Table1[Purchase Amount])</f>
        <v>129.48419400000012</v>
      </c>
    </row>
    <row r="3345" spans="1:24" ht="15" customHeight="1" x14ac:dyDescent="0.25">
      <c r="A3345">
        <v>3344</v>
      </c>
      <c r="B3345">
        <v>24</v>
      </c>
      <c r="C3345" t="s">
        <v>16</v>
      </c>
      <c r="D3345" t="s">
        <v>54</v>
      </c>
      <c r="E3345" t="s">
        <v>18</v>
      </c>
      <c r="F3345" s="2">
        <v>31</v>
      </c>
      <c r="G3345" t="s">
        <v>70</v>
      </c>
      <c r="H3345" t="s">
        <v>20</v>
      </c>
      <c r="I3345" t="s">
        <v>93</v>
      </c>
      <c r="J3345" t="s">
        <v>22</v>
      </c>
      <c r="K3345">
        <v>3.6</v>
      </c>
      <c r="L3345" t="s">
        <v>23</v>
      </c>
      <c r="M3345" t="s">
        <v>41</v>
      </c>
      <c r="N3345" t="s">
        <v>23</v>
      </c>
      <c r="O3345">
        <v>6</v>
      </c>
      <c r="P3345" t="s">
        <v>25</v>
      </c>
      <c r="Q3345" t="s">
        <v>68</v>
      </c>
      <c r="R3345" s="1">
        <v>0.1</v>
      </c>
      <c r="S3345">
        <f t="shared" si="208"/>
        <v>27.9</v>
      </c>
      <c r="T3345">
        <f>IFERROR(VLOOKUP(A3345,Table1[[Customer ID]:[Discount Amount]], 6, FALSE),"Not Found")</f>
        <v>31</v>
      </c>
      <c r="U3345" t="str">
        <f t="shared" si="209"/>
        <v>Cash</v>
      </c>
      <c r="V3345" s="4" t="str">
        <f t="shared" si="210"/>
        <v>Normal</v>
      </c>
      <c r="W3345" s="4" t="str">
        <f t="shared" si="211"/>
        <v>Good</v>
      </c>
      <c r="X3345" s="4">
        <f>AVERAGE(Table1[Purchase Amount])</f>
        <v>129.48419400000012</v>
      </c>
    </row>
    <row r="3346" spans="1:24" ht="15" customHeight="1" x14ac:dyDescent="0.25">
      <c r="A3346">
        <v>3345</v>
      </c>
      <c r="B3346">
        <v>62</v>
      </c>
      <c r="C3346" t="s">
        <v>16</v>
      </c>
      <c r="D3346" t="s">
        <v>64</v>
      </c>
      <c r="E3346" t="s">
        <v>29</v>
      </c>
      <c r="F3346" s="2">
        <v>48</v>
      </c>
      <c r="G3346" t="s">
        <v>155</v>
      </c>
      <c r="H3346" t="s">
        <v>20</v>
      </c>
      <c r="I3346" t="s">
        <v>87</v>
      </c>
      <c r="J3346" t="s">
        <v>47</v>
      </c>
      <c r="K3346">
        <v>4.3</v>
      </c>
      <c r="L3346" t="s">
        <v>23</v>
      </c>
      <c r="M3346" t="s">
        <v>35</v>
      </c>
      <c r="N3346" t="s">
        <v>23</v>
      </c>
      <c r="O3346">
        <v>20</v>
      </c>
      <c r="P3346" t="s">
        <v>25</v>
      </c>
      <c r="Q3346" t="s">
        <v>49</v>
      </c>
      <c r="R3346" s="1">
        <v>0.1</v>
      </c>
      <c r="S3346">
        <f t="shared" si="208"/>
        <v>43.2</v>
      </c>
      <c r="T3346">
        <f>IFERROR(VLOOKUP(A3346,Table1[[Customer ID]:[Discount Amount]], 6, FALSE),"Not Found")</f>
        <v>48</v>
      </c>
      <c r="U3346" t="str">
        <f t="shared" si="209"/>
        <v>Cash</v>
      </c>
      <c r="V3346" s="4" t="str">
        <f t="shared" si="210"/>
        <v>Normal</v>
      </c>
      <c r="W3346" s="4" t="str">
        <f t="shared" si="211"/>
        <v>Good</v>
      </c>
      <c r="X3346" s="4">
        <f>AVERAGE(Table1[Purchase Amount])</f>
        <v>129.48419400000012</v>
      </c>
    </row>
    <row r="3347" spans="1:24" ht="15" customHeight="1" x14ac:dyDescent="0.25">
      <c r="A3347">
        <v>3346</v>
      </c>
      <c r="B3347">
        <v>28</v>
      </c>
      <c r="C3347" t="s">
        <v>16</v>
      </c>
      <c r="D3347" t="s">
        <v>69</v>
      </c>
      <c r="E3347" t="s">
        <v>29</v>
      </c>
      <c r="F3347" s="2">
        <v>91</v>
      </c>
      <c r="G3347" t="s">
        <v>67</v>
      </c>
      <c r="H3347" t="s">
        <v>31</v>
      </c>
      <c r="I3347" t="s">
        <v>156</v>
      </c>
      <c r="J3347" t="s">
        <v>57</v>
      </c>
      <c r="K3347">
        <v>4</v>
      </c>
      <c r="L3347" t="s">
        <v>23</v>
      </c>
      <c r="M3347" t="s">
        <v>41</v>
      </c>
      <c r="N3347" t="s">
        <v>23</v>
      </c>
      <c r="O3347">
        <v>3</v>
      </c>
      <c r="P3347" t="s">
        <v>62</v>
      </c>
      <c r="Q3347" t="s">
        <v>68</v>
      </c>
      <c r="R3347" s="1">
        <v>0.1</v>
      </c>
      <c r="S3347">
        <f t="shared" si="208"/>
        <v>81.900000000000006</v>
      </c>
      <c r="T3347">
        <f>IFERROR(VLOOKUP(A3347,Table1[[Customer ID]:[Discount Amount]], 6, FALSE),"Not Found")</f>
        <v>91</v>
      </c>
      <c r="U3347" t="str">
        <f t="shared" si="209"/>
        <v>Venmo</v>
      </c>
      <c r="V3347" s="4" t="str">
        <f t="shared" si="210"/>
        <v>Normal</v>
      </c>
      <c r="W3347" s="4" t="str">
        <f t="shared" si="211"/>
        <v>Good</v>
      </c>
      <c r="X3347" s="4">
        <f>AVERAGE(Table1[Purchase Amount])</f>
        <v>129.48419400000012</v>
      </c>
    </row>
    <row r="3348" spans="1:24" ht="15" customHeight="1" x14ac:dyDescent="0.25">
      <c r="A3348">
        <v>3347</v>
      </c>
      <c r="B3348">
        <v>30</v>
      </c>
      <c r="C3348" t="s">
        <v>16</v>
      </c>
      <c r="D3348" t="s">
        <v>109</v>
      </c>
      <c r="E3348" t="s">
        <v>18</v>
      </c>
      <c r="F3348" s="2">
        <v>99</v>
      </c>
      <c r="G3348" t="s">
        <v>142</v>
      </c>
      <c r="H3348" t="s">
        <v>31</v>
      </c>
      <c r="I3348" t="s">
        <v>40</v>
      </c>
      <c r="J3348" t="s">
        <v>57</v>
      </c>
      <c r="K3348">
        <v>3.4</v>
      </c>
      <c r="L3348" t="s">
        <v>23</v>
      </c>
      <c r="M3348" t="s">
        <v>61</v>
      </c>
      <c r="N3348" t="s">
        <v>23</v>
      </c>
      <c r="O3348">
        <v>30</v>
      </c>
      <c r="P3348" t="s">
        <v>62</v>
      </c>
      <c r="Q3348" t="s">
        <v>37</v>
      </c>
      <c r="R3348" s="1">
        <v>0.1</v>
      </c>
      <c r="S3348">
        <f t="shared" si="208"/>
        <v>89.1</v>
      </c>
      <c r="T3348">
        <f>IFERROR(VLOOKUP(A3348,Table1[[Customer ID]:[Discount Amount]], 6, FALSE),"Not Found")</f>
        <v>99</v>
      </c>
      <c r="U3348" t="str">
        <f t="shared" si="209"/>
        <v>Venmo</v>
      </c>
      <c r="V3348" s="4" t="str">
        <f t="shared" si="210"/>
        <v>Normal</v>
      </c>
      <c r="W3348" s="4" t="str">
        <f t="shared" si="211"/>
        <v>Good</v>
      </c>
      <c r="X3348" s="4">
        <f>AVERAGE(Table1[Purchase Amount])</f>
        <v>129.48419400000012</v>
      </c>
    </row>
    <row r="3349" spans="1:24" ht="15" customHeight="1" x14ac:dyDescent="0.25">
      <c r="A3349">
        <v>3348</v>
      </c>
      <c r="B3349">
        <v>22</v>
      </c>
      <c r="C3349" t="s">
        <v>16</v>
      </c>
      <c r="D3349" t="s">
        <v>72</v>
      </c>
      <c r="E3349" t="s">
        <v>98</v>
      </c>
      <c r="F3349" s="2">
        <v>70</v>
      </c>
      <c r="G3349" t="s">
        <v>141</v>
      </c>
      <c r="H3349" t="s">
        <v>20</v>
      </c>
      <c r="I3349" t="s">
        <v>128</v>
      </c>
      <c r="J3349" t="s">
        <v>57</v>
      </c>
      <c r="K3349">
        <v>4.4000000000000004</v>
      </c>
      <c r="L3349" t="s">
        <v>23</v>
      </c>
      <c r="M3349" t="s">
        <v>24</v>
      </c>
      <c r="N3349" t="s">
        <v>23</v>
      </c>
      <c r="O3349">
        <v>28</v>
      </c>
      <c r="P3349" t="s">
        <v>58</v>
      </c>
      <c r="Q3349" t="s">
        <v>68</v>
      </c>
      <c r="R3349" s="1">
        <v>0.1</v>
      </c>
      <c r="S3349">
        <f t="shared" si="208"/>
        <v>63</v>
      </c>
      <c r="T3349">
        <f>IFERROR(VLOOKUP(A3349,Table1[[Customer ID]:[Discount Amount]], 6, FALSE),"Not Found")</f>
        <v>70</v>
      </c>
      <c r="U3349" t="str">
        <f t="shared" si="209"/>
        <v>PayPal</v>
      </c>
      <c r="V3349" s="4" t="str">
        <f t="shared" si="210"/>
        <v>Normal</v>
      </c>
      <c r="W3349" s="4" t="str">
        <f t="shared" si="211"/>
        <v>Good</v>
      </c>
      <c r="X3349" s="4">
        <f>AVERAGE(Table1[Purchase Amount])</f>
        <v>129.48419400000012</v>
      </c>
    </row>
    <row r="3350" spans="1:24" ht="15" customHeight="1" x14ac:dyDescent="0.25">
      <c r="A3350">
        <v>3349</v>
      </c>
      <c r="B3350">
        <v>28</v>
      </c>
      <c r="C3350" t="s">
        <v>16</v>
      </c>
      <c r="D3350" t="s">
        <v>17</v>
      </c>
      <c r="E3350" t="s">
        <v>18</v>
      </c>
      <c r="F3350" s="2">
        <v>74</v>
      </c>
      <c r="G3350" t="s">
        <v>132</v>
      </c>
      <c r="H3350" t="s">
        <v>45</v>
      </c>
      <c r="I3350" t="s">
        <v>85</v>
      </c>
      <c r="J3350" t="s">
        <v>22</v>
      </c>
      <c r="K3350">
        <v>2.8</v>
      </c>
      <c r="L3350" t="s">
        <v>23</v>
      </c>
      <c r="M3350" t="s">
        <v>24</v>
      </c>
      <c r="N3350" t="s">
        <v>23</v>
      </c>
      <c r="O3350">
        <v>15</v>
      </c>
      <c r="P3350" t="s">
        <v>25</v>
      </c>
      <c r="Q3350" t="s">
        <v>63</v>
      </c>
      <c r="R3350" s="1">
        <v>0.1</v>
      </c>
      <c r="S3350">
        <f t="shared" si="208"/>
        <v>66.599999999999994</v>
      </c>
      <c r="T3350">
        <f>IFERROR(VLOOKUP(A3350,Table1[[Customer ID]:[Discount Amount]], 6, FALSE),"Not Found")</f>
        <v>74</v>
      </c>
      <c r="U3350" t="str">
        <f t="shared" si="209"/>
        <v>Cash</v>
      </c>
      <c r="V3350" s="4" t="str">
        <f t="shared" si="210"/>
        <v>Normal</v>
      </c>
      <c r="W3350" s="4" t="str">
        <f t="shared" si="211"/>
        <v>Poor</v>
      </c>
      <c r="X3350" s="4">
        <f>AVERAGE(Table1[Purchase Amount])</f>
        <v>129.48419400000012</v>
      </c>
    </row>
    <row r="3351" spans="1:24" ht="15" customHeight="1" x14ac:dyDescent="0.25">
      <c r="A3351">
        <v>3350</v>
      </c>
      <c r="B3351">
        <v>35</v>
      </c>
      <c r="C3351" t="s">
        <v>16</v>
      </c>
      <c r="D3351" t="s">
        <v>50</v>
      </c>
      <c r="E3351" t="s">
        <v>29</v>
      </c>
      <c r="F3351" s="2">
        <v>79</v>
      </c>
      <c r="G3351" t="s">
        <v>160</v>
      </c>
      <c r="H3351" t="s">
        <v>31</v>
      </c>
      <c r="I3351" t="s">
        <v>46</v>
      </c>
      <c r="J3351" t="s">
        <v>47</v>
      </c>
      <c r="K3351">
        <v>2.8</v>
      </c>
      <c r="L3351" t="s">
        <v>23</v>
      </c>
      <c r="M3351" t="s">
        <v>48</v>
      </c>
      <c r="N3351" t="s">
        <v>23</v>
      </c>
      <c r="O3351">
        <v>29</v>
      </c>
      <c r="P3351" t="s">
        <v>58</v>
      </c>
      <c r="Q3351" t="s">
        <v>37</v>
      </c>
      <c r="R3351" s="1">
        <v>0.1</v>
      </c>
      <c r="S3351">
        <f t="shared" si="208"/>
        <v>71.099999999999994</v>
      </c>
      <c r="T3351">
        <f>IFERROR(VLOOKUP(A3351,Table1[[Customer ID]:[Discount Amount]], 6, FALSE),"Not Found")</f>
        <v>79</v>
      </c>
      <c r="U3351" t="str">
        <f t="shared" si="209"/>
        <v>PayPal</v>
      </c>
      <c r="V3351" s="4" t="str">
        <f t="shared" si="210"/>
        <v>Normal</v>
      </c>
      <c r="W3351" s="4" t="str">
        <f t="shared" si="211"/>
        <v>Poor</v>
      </c>
      <c r="X3351" s="4">
        <f>AVERAGE(Table1[Purchase Amount])</f>
        <v>129.48419400000012</v>
      </c>
    </row>
    <row r="3352" spans="1:24" ht="15" customHeight="1" x14ac:dyDescent="0.25">
      <c r="A3352">
        <v>3351</v>
      </c>
      <c r="B3352">
        <v>45</v>
      </c>
      <c r="C3352" t="s">
        <v>16</v>
      </c>
      <c r="D3352" t="s">
        <v>69</v>
      </c>
      <c r="E3352" t="s">
        <v>29</v>
      </c>
      <c r="F3352" s="2">
        <v>33</v>
      </c>
      <c r="G3352" t="s">
        <v>149</v>
      </c>
      <c r="H3352" t="s">
        <v>55</v>
      </c>
      <c r="I3352" t="s">
        <v>21</v>
      </c>
      <c r="J3352" t="s">
        <v>47</v>
      </c>
      <c r="K3352">
        <v>4.9000000000000004</v>
      </c>
      <c r="L3352" t="s">
        <v>23</v>
      </c>
      <c r="M3352" t="s">
        <v>41</v>
      </c>
      <c r="N3352" t="s">
        <v>23</v>
      </c>
      <c r="O3352">
        <v>15</v>
      </c>
      <c r="P3352" t="s">
        <v>25</v>
      </c>
      <c r="Q3352" t="s">
        <v>68</v>
      </c>
      <c r="R3352" s="1">
        <v>0.1</v>
      </c>
      <c r="S3352">
        <f t="shared" si="208"/>
        <v>29.7</v>
      </c>
      <c r="T3352">
        <f>IFERROR(VLOOKUP(A3352,Table1[[Customer ID]:[Discount Amount]], 6, FALSE),"Not Found")</f>
        <v>33</v>
      </c>
      <c r="U3352" t="str">
        <f t="shared" si="209"/>
        <v>Cash</v>
      </c>
      <c r="V3352" s="4" t="str">
        <f t="shared" si="210"/>
        <v>Normal</v>
      </c>
      <c r="W3352" s="4" t="str">
        <f t="shared" si="211"/>
        <v>Good</v>
      </c>
      <c r="X3352" s="4">
        <f>AVERAGE(Table1[Purchase Amount])</f>
        <v>129.48419400000012</v>
      </c>
    </row>
    <row r="3353" spans="1:24" ht="15" customHeight="1" x14ac:dyDescent="0.25">
      <c r="A3353">
        <v>3352</v>
      </c>
      <c r="B3353">
        <v>43</v>
      </c>
      <c r="C3353" t="s">
        <v>16</v>
      </c>
      <c r="D3353" t="s">
        <v>38</v>
      </c>
      <c r="E3353" t="s">
        <v>18</v>
      </c>
      <c r="F3353" s="2">
        <v>49</v>
      </c>
      <c r="G3353" t="s">
        <v>132</v>
      </c>
      <c r="H3353" t="s">
        <v>45</v>
      </c>
      <c r="I3353" t="s">
        <v>128</v>
      </c>
      <c r="J3353" t="s">
        <v>33</v>
      </c>
      <c r="K3353">
        <v>4.2</v>
      </c>
      <c r="L3353" t="s">
        <v>23</v>
      </c>
      <c r="M3353" t="s">
        <v>41</v>
      </c>
      <c r="N3353" t="s">
        <v>23</v>
      </c>
      <c r="O3353">
        <v>18</v>
      </c>
      <c r="P3353" t="s">
        <v>88</v>
      </c>
      <c r="Q3353" t="s">
        <v>89</v>
      </c>
      <c r="R3353" s="1">
        <v>0.1</v>
      </c>
      <c r="S3353">
        <f t="shared" si="208"/>
        <v>44.1</v>
      </c>
      <c r="T3353">
        <f>IFERROR(VLOOKUP(A3353,Table1[[Customer ID]:[Discount Amount]], 6, FALSE),"Not Found")</f>
        <v>49</v>
      </c>
      <c r="U3353" t="str">
        <f t="shared" si="209"/>
        <v>Bank Transfer</v>
      </c>
      <c r="V3353" s="4" t="str">
        <f t="shared" si="210"/>
        <v>Normal</v>
      </c>
      <c r="W3353" s="4" t="str">
        <f t="shared" si="211"/>
        <v>Good</v>
      </c>
      <c r="X3353" s="4">
        <f>AVERAGE(Table1[Purchase Amount])</f>
        <v>129.48419400000012</v>
      </c>
    </row>
    <row r="3354" spans="1:24" ht="15" customHeight="1" x14ac:dyDescent="0.25">
      <c r="A3354">
        <v>3353</v>
      </c>
      <c r="B3354">
        <v>55</v>
      </c>
      <c r="C3354" t="s">
        <v>16</v>
      </c>
      <c r="D3354" t="s">
        <v>114</v>
      </c>
      <c r="E3354" t="s">
        <v>29</v>
      </c>
      <c r="F3354" s="2">
        <v>96</v>
      </c>
      <c r="G3354" t="s">
        <v>155</v>
      </c>
      <c r="H3354" t="s">
        <v>31</v>
      </c>
      <c r="I3354" t="s">
        <v>147</v>
      </c>
      <c r="J3354" t="s">
        <v>57</v>
      </c>
      <c r="K3354">
        <v>2.9</v>
      </c>
      <c r="L3354" t="s">
        <v>23</v>
      </c>
      <c r="M3354" t="s">
        <v>79</v>
      </c>
      <c r="N3354" t="s">
        <v>23</v>
      </c>
      <c r="O3354">
        <v>7</v>
      </c>
      <c r="P3354" t="s">
        <v>88</v>
      </c>
      <c r="Q3354" t="s">
        <v>68</v>
      </c>
      <c r="R3354" s="1">
        <v>0.1</v>
      </c>
      <c r="S3354">
        <f t="shared" si="208"/>
        <v>86.4</v>
      </c>
      <c r="T3354">
        <f>IFERROR(VLOOKUP(A3354,Table1[[Customer ID]:[Discount Amount]], 6, FALSE),"Not Found")</f>
        <v>96</v>
      </c>
      <c r="U3354" t="str">
        <f t="shared" si="209"/>
        <v>Bank Transfer</v>
      </c>
      <c r="V3354" s="4" t="str">
        <f t="shared" si="210"/>
        <v>Normal</v>
      </c>
      <c r="W3354" s="4" t="str">
        <f t="shared" si="211"/>
        <v>Poor</v>
      </c>
      <c r="X3354" s="4">
        <f>AVERAGE(Table1[Purchase Amount])</f>
        <v>129.48419400000012</v>
      </c>
    </row>
    <row r="3355" spans="1:24" ht="15" customHeight="1" x14ac:dyDescent="0.25">
      <c r="A3355">
        <v>3354</v>
      </c>
      <c r="B3355">
        <v>31</v>
      </c>
      <c r="C3355" t="s">
        <v>16</v>
      </c>
      <c r="D3355" t="s">
        <v>157</v>
      </c>
      <c r="E3355" t="s">
        <v>18</v>
      </c>
      <c r="F3355" s="2">
        <v>66</v>
      </c>
      <c r="G3355" t="s">
        <v>90</v>
      </c>
      <c r="H3355" t="s">
        <v>45</v>
      </c>
      <c r="I3355" t="s">
        <v>147</v>
      </c>
      <c r="J3355" t="s">
        <v>47</v>
      </c>
      <c r="K3355">
        <v>4.5999999999999996</v>
      </c>
      <c r="L3355" t="s">
        <v>23</v>
      </c>
      <c r="M3355" t="s">
        <v>35</v>
      </c>
      <c r="N3355" t="s">
        <v>23</v>
      </c>
      <c r="O3355">
        <v>19</v>
      </c>
      <c r="P3355" t="s">
        <v>53</v>
      </c>
      <c r="Q3355" t="s">
        <v>63</v>
      </c>
      <c r="R3355" s="1">
        <v>0.1</v>
      </c>
      <c r="S3355">
        <f t="shared" si="208"/>
        <v>59.4</v>
      </c>
      <c r="T3355">
        <f>IFERROR(VLOOKUP(A3355,Table1[[Customer ID]:[Discount Amount]], 6, FALSE),"Not Found")</f>
        <v>66</v>
      </c>
      <c r="U3355" t="str">
        <f t="shared" si="209"/>
        <v>Credit Card</v>
      </c>
      <c r="V3355" s="4" t="str">
        <f t="shared" si="210"/>
        <v>Normal</v>
      </c>
      <c r="W3355" s="4" t="str">
        <f t="shared" si="211"/>
        <v>Good</v>
      </c>
      <c r="X3355" s="4">
        <f>AVERAGE(Table1[Purchase Amount])</f>
        <v>129.48419400000012</v>
      </c>
    </row>
    <row r="3356" spans="1:24" ht="15" customHeight="1" x14ac:dyDescent="0.25">
      <c r="A3356">
        <v>3355</v>
      </c>
      <c r="B3356">
        <v>42</v>
      </c>
      <c r="C3356" t="s">
        <v>16</v>
      </c>
      <c r="D3356" t="s">
        <v>122</v>
      </c>
      <c r="E3356" t="s">
        <v>18</v>
      </c>
      <c r="F3356" s="2">
        <v>45</v>
      </c>
      <c r="G3356" t="s">
        <v>106</v>
      </c>
      <c r="H3356" t="s">
        <v>31</v>
      </c>
      <c r="I3356" t="s">
        <v>108</v>
      </c>
      <c r="J3356" t="s">
        <v>47</v>
      </c>
      <c r="K3356">
        <v>2.8</v>
      </c>
      <c r="L3356" t="s">
        <v>23</v>
      </c>
      <c r="M3356" t="s">
        <v>79</v>
      </c>
      <c r="N3356" t="s">
        <v>23</v>
      </c>
      <c r="O3356">
        <v>15</v>
      </c>
      <c r="P3356" t="s">
        <v>58</v>
      </c>
      <c r="Q3356" t="s">
        <v>26</v>
      </c>
      <c r="R3356" s="1">
        <v>0.1</v>
      </c>
      <c r="S3356">
        <f t="shared" si="208"/>
        <v>40.5</v>
      </c>
      <c r="T3356">
        <f>IFERROR(VLOOKUP(A3356,Table1[[Customer ID]:[Discount Amount]], 6, FALSE),"Not Found")</f>
        <v>45</v>
      </c>
      <c r="U3356" t="str">
        <f t="shared" si="209"/>
        <v>PayPal</v>
      </c>
      <c r="V3356" s="4" t="str">
        <f t="shared" si="210"/>
        <v>Normal</v>
      </c>
      <c r="W3356" s="4" t="str">
        <f t="shared" si="211"/>
        <v>Poor</v>
      </c>
      <c r="X3356" s="4">
        <f>AVERAGE(Table1[Purchase Amount])</f>
        <v>129.48419400000012</v>
      </c>
    </row>
    <row r="3357" spans="1:24" ht="15" customHeight="1" x14ac:dyDescent="0.25">
      <c r="A3357">
        <v>3356</v>
      </c>
      <c r="B3357">
        <v>40</v>
      </c>
      <c r="C3357" t="s">
        <v>16</v>
      </c>
      <c r="D3357" t="s">
        <v>118</v>
      </c>
      <c r="E3357" t="s">
        <v>18</v>
      </c>
      <c r="F3357" s="2">
        <v>28</v>
      </c>
      <c r="G3357" t="s">
        <v>143</v>
      </c>
      <c r="H3357" t="s">
        <v>31</v>
      </c>
      <c r="I3357" t="s">
        <v>145</v>
      </c>
      <c r="J3357" t="s">
        <v>33</v>
      </c>
      <c r="K3357">
        <v>2.6</v>
      </c>
      <c r="L3357" t="s">
        <v>23</v>
      </c>
      <c r="M3357" t="s">
        <v>48</v>
      </c>
      <c r="N3357" t="s">
        <v>23</v>
      </c>
      <c r="O3357">
        <v>3</v>
      </c>
      <c r="P3357" t="s">
        <v>88</v>
      </c>
      <c r="Q3357" t="s">
        <v>68</v>
      </c>
      <c r="R3357" s="1">
        <v>0.1</v>
      </c>
      <c r="S3357">
        <f t="shared" si="208"/>
        <v>25.2</v>
      </c>
      <c r="T3357">
        <f>IFERROR(VLOOKUP(A3357,Table1[[Customer ID]:[Discount Amount]], 6, FALSE),"Not Found")</f>
        <v>28</v>
      </c>
      <c r="U3357" t="str">
        <f t="shared" si="209"/>
        <v>Bank Transfer</v>
      </c>
      <c r="V3357" s="4" t="str">
        <f t="shared" si="210"/>
        <v>Normal</v>
      </c>
      <c r="W3357" s="4" t="str">
        <f t="shared" si="211"/>
        <v>Poor</v>
      </c>
      <c r="X3357" s="4">
        <f>AVERAGE(Table1[Purchase Amount])</f>
        <v>129.48419400000012</v>
      </c>
    </row>
    <row r="3358" spans="1:24" ht="15" customHeight="1" x14ac:dyDescent="0.25">
      <c r="A3358">
        <v>3357</v>
      </c>
      <c r="B3358">
        <v>39</v>
      </c>
      <c r="C3358" t="s">
        <v>16</v>
      </c>
      <c r="D3358" t="s">
        <v>109</v>
      </c>
      <c r="E3358" t="s">
        <v>18</v>
      </c>
      <c r="F3358" s="2">
        <v>48</v>
      </c>
      <c r="G3358" t="s">
        <v>65</v>
      </c>
      <c r="H3358" t="s">
        <v>31</v>
      </c>
      <c r="I3358" t="s">
        <v>153</v>
      </c>
      <c r="J3358" t="s">
        <v>57</v>
      </c>
      <c r="K3358">
        <v>3.5</v>
      </c>
      <c r="L3358" t="s">
        <v>23</v>
      </c>
      <c r="M3358" t="s">
        <v>48</v>
      </c>
      <c r="N3358" t="s">
        <v>23</v>
      </c>
      <c r="O3358">
        <v>13</v>
      </c>
      <c r="P3358" t="s">
        <v>58</v>
      </c>
      <c r="Q3358" t="s">
        <v>68</v>
      </c>
      <c r="R3358" s="1">
        <v>0.1</v>
      </c>
      <c r="S3358">
        <f t="shared" si="208"/>
        <v>43.2</v>
      </c>
      <c r="T3358">
        <f>IFERROR(VLOOKUP(A3358,Table1[[Customer ID]:[Discount Amount]], 6, FALSE),"Not Found")</f>
        <v>48</v>
      </c>
      <c r="U3358" t="str">
        <f t="shared" si="209"/>
        <v>PayPal</v>
      </c>
      <c r="V3358" s="4" t="str">
        <f t="shared" si="210"/>
        <v>Normal</v>
      </c>
      <c r="W3358" s="4" t="str">
        <f t="shared" si="211"/>
        <v>Good</v>
      </c>
      <c r="X3358" s="4">
        <f>AVERAGE(Table1[Purchase Amount])</f>
        <v>129.48419400000012</v>
      </c>
    </row>
    <row r="3359" spans="1:24" ht="15" customHeight="1" x14ac:dyDescent="0.25">
      <c r="A3359">
        <v>3358</v>
      </c>
      <c r="B3359">
        <v>41</v>
      </c>
      <c r="C3359" t="s">
        <v>16</v>
      </c>
      <c r="D3359" t="s">
        <v>83</v>
      </c>
      <c r="E3359" t="s">
        <v>18</v>
      </c>
      <c r="F3359" s="2">
        <v>67</v>
      </c>
      <c r="G3359" t="s">
        <v>100</v>
      </c>
      <c r="H3359" t="s">
        <v>31</v>
      </c>
      <c r="I3359" t="s">
        <v>136</v>
      </c>
      <c r="J3359" t="s">
        <v>22</v>
      </c>
      <c r="K3359">
        <v>3.5</v>
      </c>
      <c r="L3359" t="s">
        <v>23</v>
      </c>
      <c r="M3359" t="s">
        <v>35</v>
      </c>
      <c r="N3359" t="s">
        <v>23</v>
      </c>
      <c r="O3359">
        <v>37</v>
      </c>
      <c r="P3359" t="s">
        <v>53</v>
      </c>
      <c r="Q3359" t="s">
        <v>42</v>
      </c>
      <c r="R3359" s="1">
        <v>0.1</v>
      </c>
      <c r="S3359">
        <f t="shared" si="208"/>
        <v>60.3</v>
      </c>
      <c r="T3359">
        <f>IFERROR(VLOOKUP(A3359,Table1[[Customer ID]:[Discount Amount]], 6, FALSE),"Not Found")</f>
        <v>67</v>
      </c>
      <c r="U3359" t="str">
        <f t="shared" si="209"/>
        <v>Credit Card</v>
      </c>
      <c r="V3359" s="4" t="str">
        <f t="shared" si="210"/>
        <v>Normal</v>
      </c>
      <c r="W3359" s="4" t="str">
        <f t="shared" si="211"/>
        <v>Good</v>
      </c>
      <c r="X3359" s="4">
        <f>AVERAGE(Table1[Purchase Amount])</f>
        <v>129.48419400000012</v>
      </c>
    </row>
    <row r="3360" spans="1:24" ht="15" customHeight="1" x14ac:dyDescent="0.25">
      <c r="A3360">
        <v>3359</v>
      </c>
      <c r="B3360">
        <v>56</v>
      </c>
      <c r="C3360" t="s">
        <v>16</v>
      </c>
      <c r="D3360" t="s">
        <v>17</v>
      </c>
      <c r="E3360" t="s">
        <v>18</v>
      </c>
      <c r="F3360" s="2">
        <v>59</v>
      </c>
      <c r="G3360" t="s">
        <v>65</v>
      </c>
      <c r="H3360" t="s">
        <v>31</v>
      </c>
      <c r="I3360" t="s">
        <v>87</v>
      </c>
      <c r="J3360" t="s">
        <v>47</v>
      </c>
      <c r="K3360">
        <v>3.4</v>
      </c>
      <c r="L3360" t="s">
        <v>23</v>
      </c>
      <c r="M3360" t="s">
        <v>41</v>
      </c>
      <c r="N3360" t="s">
        <v>23</v>
      </c>
      <c r="O3360">
        <v>26</v>
      </c>
      <c r="P3360" t="s">
        <v>25</v>
      </c>
      <c r="Q3360" t="s">
        <v>49</v>
      </c>
      <c r="R3360" s="1">
        <v>0.1</v>
      </c>
      <c r="S3360">
        <f t="shared" si="208"/>
        <v>53.1</v>
      </c>
      <c r="T3360">
        <f>IFERROR(VLOOKUP(A3360,Table1[[Customer ID]:[Discount Amount]], 6, FALSE),"Not Found")</f>
        <v>59</v>
      </c>
      <c r="U3360" t="str">
        <f t="shared" si="209"/>
        <v>Cash</v>
      </c>
      <c r="V3360" s="4" t="str">
        <f t="shared" si="210"/>
        <v>Normal</v>
      </c>
      <c r="W3360" s="4" t="str">
        <f t="shared" si="211"/>
        <v>Good</v>
      </c>
      <c r="X3360" s="4">
        <f>AVERAGE(Table1[Purchase Amount])</f>
        <v>129.48419400000012</v>
      </c>
    </row>
    <row r="3361" spans="1:24" ht="15" customHeight="1" x14ac:dyDescent="0.25">
      <c r="A3361">
        <v>3360</v>
      </c>
      <c r="B3361">
        <v>43</v>
      </c>
      <c r="C3361" t="s">
        <v>16</v>
      </c>
      <c r="D3361" t="s">
        <v>28</v>
      </c>
      <c r="E3361" t="s">
        <v>29</v>
      </c>
      <c r="F3361" s="2">
        <v>74</v>
      </c>
      <c r="G3361" t="s">
        <v>132</v>
      </c>
      <c r="H3361" t="s">
        <v>45</v>
      </c>
      <c r="I3361" t="s">
        <v>46</v>
      </c>
      <c r="J3361" t="s">
        <v>47</v>
      </c>
      <c r="K3361">
        <v>3.9</v>
      </c>
      <c r="L3361" t="s">
        <v>23</v>
      </c>
      <c r="M3361" t="s">
        <v>79</v>
      </c>
      <c r="N3361" t="s">
        <v>23</v>
      </c>
      <c r="O3361">
        <v>29</v>
      </c>
      <c r="P3361" t="s">
        <v>36</v>
      </c>
      <c r="Q3361" t="s">
        <v>42</v>
      </c>
      <c r="R3361" s="1">
        <v>0.1</v>
      </c>
      <c r="S3361">
        <f t="shared" si="208"/>
        <v>66.599999999999994</v>
      </c>
      <c r="T3361">
        <f>IFERROR(VLOOKUP(A3361,Table1[[Customer ID]:[Discount Amount]], 6, FALSE),"Not Found")</f>
        <v>74</v>
      </c>
      <c r="U3361" t="str">
        <f t="shared" si="209"/>
        <v>Debit Card</v>
      </c>
      <c r="V3361" s="4" t="str">
        <f t="shared" si="210"/>
        <v>Normal</v>
      </c>
      <c r="W3361" s="4" t="str">
        <f t="shared" si="211"/>
        <v>Good</v>
      </c>
      <c r="X3361" s="4">
        <f>AVERAGE(Table1[Purchase Amount])</f>
        <v>129.48419400000012</v>
      </c>
    </row>
    <row r="3362" spans="1:24" ht="15" customHeight="1" x14ac:dyDescent="0.25">
      <c r="A3362">
        <v>3361</v>
      </c>
      <c r="B3362">
        <v>22</v>
      </c>
      <c r="C3362" t="s">
        <v>16</v>
      </c>
      <c r="D3362" t="s">
        <v>96</v>
      </c>
      <c r="E3362" t="s">
        <v>77</v>
      </c>
      <c r="F3362" s="2">
        <v>81</v>
      </c>
      <c r="G3362" t="s">
        <v>120</v>
      </c>
      <c r="H3362" t="s">
        <v>31</v>
      </c>
      <c r="I3362" t="s">
        <v>125</v>
      </c>
      <c r="J3362" t="s">
        <v>33</v>
      </c>
      <c r="K3362">
        <v>3.3</v>
      </c>
      <c r="L3362" t="s">
        <v>23</v>
      </c>
      <c r="M3362" t="s">
        <v>41</v>
      </c>
      <c r="N3362" t="s">
        <v>23</v>
      </c>
      <c r="O3362">
        <v>47</v>
      </c>
      <c r="P3362" t="s">
        <v>25</v>
      </c>
      <c r="Q3362" t="s">
        <v>63</v>
      </c>
      <c r="R3362" s="1">
        <v>0.1</v>
      </c>
      <c r="S3362">
        <f t="shared" si="208"/>
        <v>72.900000000000006</v>
      </c>
      <c r="T3362">
        <f>IFERROR(VLOOKUP(A3362,Table1[[Customer ID]:[Discount Amount]], 6, FALSE),"Not Found")</f>
        <v>81</v>
      </c>
      <c r="U3362" t="str">
        <f t="shared" si="209"/>
        <v>Cash</v>
      </c>
      <c r="V3362" s="4" t="str">
        <f t="shared" si="210"/>
        <v>Normal</v>
      </c>
      <c r="W3362" s="4" t="str">
        <f t="shared" si="211"/>
        <v>Good</v>
      </c>
      <c r="X3362" s="4">
        <f>AVERAGE(Table1[Purchase Amount])</f>
        <v>129.48419400000012</v>
      </c>
    </row>
    <row r="3363" spans="1:24" ht="15" customHeight="1" x14ac:dyDescent="0.25">
      <c r="A3363">
        <v>3362</v>
      </c>
      <c r="B3363">
        <v>47</v>
      </c>
      <c r="C3363" t="s">
        <v>16</v>
      </c>
      <c r="D3363" t="s">
        <v>72</v>
      </c>
      <c r="E3363" t="s">
        <v>98</v>
      </c>
      <c r="F3363" s="2">
        <v>26</v>
      </c>
      <c r="G3363" t="s">
        <v>67</v>
      </c>
      <c r="H3363" t="s">
        <v>31</v>
      </c>
      <c r="I3363" t="s">
        <v>153</v>
      </c>
      <c r="J3363" t="s">
        <v>33</v>
      </c>
      <c r="K3363">
        <v>4.0999999999999996</v>
      </c>
      <c r="L3363" t="s">
        <v>23</v>
      </c>
      <c r="M3363" t="s">
        <v>35</v>
      </c>
      <c r="N3363" t="s">
        <v>23</v>
      </c>
      <c r="O3363">
        <v>47</v>
      </c>
      <c r="P3363" t="s">
        <v>53</v>
      </c>
      <c r="Q3363" t="s">
        <v>68</v>
      </c>
      <c r="R3363" s="1">
        <v>0.1</v>
      </c>
      <c r="S3363">
        <f t="shared" si="208"/>
        <v>23.4</v>
      </c>
      <c r="T3363">
        <f>IFERROR(VLOOKUP(A3363,Table1[[Customer ID]:[Discount Amount]], 6, FALSE),"Not Found")</f>
        <v>26</v>
      </c>
      <c r="U3363" t="str">
        <f t="shared" si="209"/>
        <v>Credit Card</v>
      </c>
      <c r="V3363" s="4" t="str">
        <f t="shared" si="210"/>
        <v>Normal</v>
      </c>
      <c r="W3363" s="4" t="str">
        <f t="shared" si="211"/>
        <v>Good</v>
      </c>
      <c r="X3363" s="4">
        <f>AVERAGE(Table1[Purchase Amount])</f>
        <v>129.48419400000012</v>
      </c>
    </row>
    <row r="3364" spans="1:24" ht="15" customHeight="1" x14ac:dyDescent="0.25">
      <c r="A3364">
        <v>3363</v>
      </c>
      <c r="B3364">
        <v>50</v>
      </c>
      <c r="C3364" t="s">
        <v>16</v>
      </c>
      <c r="D3364" t="s">
        <v>69</v>
      </c>
      <c r="E3364" t="s">
        <v>29</v>
      </c>
      <c r="F3364" s="2">
        <v>61</v>
      </c>
      <c r="G3364" t="s">
        <v>65</v>
      </c>
      <c r="H3364" t="s">
        <v>31</v>
      </c>
      <c r="I3364" t="s">
        <v>85</v>
      </c>
      <c r="J3364" t="s">
        <v>57</v>
      </c>
      <c r="K3364">
        <v>3</v>
      </c>
      <c r="L3364" t="s">
        <v>23</v>
      </c>
      <c r="M3364" t="s">
        <v>79</v>
      </c>
      <c r="N3364" t="s">
        <v>23</v>
      </c>
      <c r="O3364">
        <v>48</v>
      </c>
      <c r="P3364" t="s">
        <v>62</v>
      </c>
      <c r="Q3364" t="s">
        <v>89</v>
      </c>
      <c r="R3364" s="1">
        <v>0.1</v>
      </c>
      <c r="S3364">
        <f t="shared" si="208"/>
        <v>54.9</v>
      </c>
      <c r="T3364">
        <f>IFERROR(VLOOKUP(A3364,Table1[[Customer ID]:[Discount Amount]], 6, FALSE),"Not Found")</f>
        <v>61</v>
      </c>
      <c r="U3364" t="str">
        <f t="shared" si="209"/>
        <v>Venmo</v>
      </c>
      <c r="V3364" s="4" t="str">
        <f t="shared" si="210"/>
        <v>Normal</v>
      </c>
      <c r="W3364" s="4" t="str">
        <f t="shared" si="211"/>
        <v>Good</v>
      </c>
      <c r="X3364" s="4">
        <f>AVERAGE(Table1[Purchase Amount])</f>
        <v>129.48419400000012</v>
      </c>
    </row>
    <row r="3365" spans="1:24" ht="15" customHeight="1" x14ac:dyDescent="0.25">
      <c r="A3365">
        <v>3364</v>
      </c>
      <c r="B3365">
        <v>58</v>
      </c>
      <c r="C3365" t="s">
        <v>16</v>
      </c>
      <c r="D3365" t="s">
        <v>127</v>
      </c>
      <c r="E3365" t="s">
        <v>18</v>
      </c>
      <c r="F3365" s="2">
        <v>23</v>
      </c>
      <c r="G3365" t="s">
        <v>19</v>
      </c>
      <c r="H3365" t="s">
        <v>31</v>
      </c>
      <c r="I3365" t="s">
        <v>156</v>
      </c>
      <c r="J3365" t="s">
        <v>22</v>
      </c>
      <c r="K3365">
        <v>3</v>
      </c>
      <c r="L3365" t="s">
        <v>23</v>
      </c>
      <c r="M3365" t="s">
        <v>79</v>
      </c>
      <c r="N3365" t="s">
        <v>23</v>
      </c>
      <c r="O3365">
        <v>46</v>
      </c>
      <c r="P3365" t="s">
        <v>88</v>
      </c>
      <c r="Q3365" t="s">
        <v>68</v>
      </c>
      <c r="R3365" s="1">
        <v>0.1</v>
      </c>
      <c r="S3365">
        <f t="shared" si="208"/>
        <v>20.7</v>
      </c>
      <c r="T3365">
        <f>IFERROR(VLOOKUP(A3365,Table1[[Customer ID]:[Discount Amount]], 6, FALSE),"Not Found")</f>
        <v>23</v>
      </c>
      <c r="U3365" t="str">
        <f t="shared" si="209"/>
        <v>Bank Transfer</v>
      </c>
      <c r="V3365" s="4" t="str">
        <f t="shared" si="210"/>
        <v>Normal</v>
      </c>
      <c r="W3365" s="4" t="str">
        <f t="shared" si="211"/>
        <v>Good</v>
      </c>
      <c r="X3365" s="4">
        <f>AVERAGE(Table1[Purchase Amount])</f>
        <v>129.48419400000012</v>
      </c>
    </row>
    <row r="3366" spans="1:24" ht="15" customHeight="1" x14ac:dyDescent="0.25">
      <c r="A3366">
        <v>3365</v>
      </c>
      <c r="B3366">
        <v>50</v>
      </c>
      <c r="C3366" t="s">
        <v>16</v>
      </c>
      <c r="D3366" t="s">
        <v>129</v>
      </c>
      <c r="E3366" t="s">
        <v>29</v>
      </c>
      <c r="F3366" s="2">
        <v>33</v>
      </c>
      <c r="G3366" t="s">
        <v>123</v>
      </c>
      <c r="H3366" t="s">
        <v>31</v>
      </c>
      <c r="I3366" t="s">
        <v>145</v>
      </c>
      <c r="J3366" t="s">
        <v>47</v>
      </c>
      <c r="K3366">
        <v>3.2</v>
      </c>
      <c r="L3366" t="s">
        <v>23</v>
      </c>
      <c r="M3366" t="s">
        <v>24</v>
      </c>
      <c r="N3366" t="s">
        <v>23</v>
      </c>
      <c r="O3366">
        <v>7</v>
      </c>
      <c r="P3366" t="s">
        <v>53</v>
      </c>
      <c r="Q3366" t="s">
        <v>42</v>
      </c>
      <c r="R3366" s="1">
        <v>0.1</v>
      </c>
      <c r="S3366">
        <f t="shared" si="208"/>
        <v>29.7</v>
      </c>
      <c r="T3366">
        <f>IFERROR(VLOOKUP(A3366,Table1[[Customer ID]:[Discount Amount]], 6, FALSE),"Not Found")</f>
        <v>33</v>
      </c>
      <c r="U3366" t="str">
        <f t="shared" si="209"/>
        <v>Credit Card</v>
      </c>
      <c r="V3366" s="4" t="str">
        <f t="shared" si="210"/>
        <v>Normal</v>
      </c>
      <c r="W3366" s="4" t="str">
        <f t="shared" si="211"/>
        <v>Good</v>
      </c>
      <c r="X3366" s="4">
        <f>AVERAGE(Table1[Purchase Amount])</f>
        <v>129.48419400000012</v>
      </c>
    </row>
    <row r="3367" spans="1:24" ht="15" customHeight="1" x14ac:dyDescent="0.25">
      <c r="A3367">
        <v>3366</v>
      </c>
      <c r="B3367">
        <v>43</v>
      </c>
      <c r="C3367" t="s">
        <v>16</v>
      </c>
      <c r="D3367" t="s">
        <v>122</v>
      </c>
      <c r="E3367" t="s">
        <v>18</v>
      </c>
      <c r="F3367" s="2">
        <v>58</v>
      </c>
      <c r="G3367" t="s">
        <v>65</v>
      </c>
      <c r="H3367" t="s">
        <v>45</v>
      </c>
      <c r="I3367" t="s">
        <v>147</v>
      </c>
      <c r="J3367" t="s">
        <v>47</v>
      </c>
      <c r="K3367">
        <v>3.9</v>
      </c>
      <c r="L3367" t="s">
        <v>23</v>
      </c>
      <c r="M3367" t="s">
        <v>61</v>
      </c>
      <c r="N3367" t="s">
        <v>23</v>
      </c>
      <c r="O3367">
        <v>45</v>
      </c>
      <c r="P3367" t="s">
        <v>53</v>
      </c>
      <c r="Q3367" t="s">
        <v>63</v>
      </c>
      <c r="R3367" s="1">
        <v>0.1</v>
      </c>
      <c r="S3367">
        <f t="shared" si="208"/>
        <v>52.2</v>
      </c>
      <c r="T3367">
        <f>IFERROR(VLOOKUP(A3367,Table1[[Customer ID]:[Discount Amount]], 6, FALSE),"Not Found")</f>
        <v>58</v>
      </c>
      <c r="U3367" t="str">
        <f t="shared" si="209"/>
        <v>Credit Card</v>
      </c>
      <c r="V3367" s="4" t="str">
        <f t="shared" si="210"/>
        <v>Normal</v>
      </c>
      <c r="W3367" s="4" t="str">
        <f t="shared" si="211"/>
        <v>Good</v>
      </c>
      <c r="X3367" s="4">
        <f>AVERAGE(Table1[Purchase Amount])</f>
        <v>129.48419400000012</v>
      </c>
    </row>
    <row r="3368" spans="1:24" ht="15" customHeight="1" x14ac:dyDescent="0.25">
      <c r="A3368">
        <v>3367</v>
      </c>
      <c r="B3368">
        <v>38</v>
      </c>
      <c r="C3368" t="s">
        <v>16</v>
      </c>
      <c r="D3368" t="s">
        <v>43</v>
      </c>
      <c r="E3368" t="s">
        <v>29</v>
      </c>
      <c r="F3368" s="2">
        <v>65</v>
      </c>
      <c r="G3368" t="s">
        <v>134</v>
      </c>
      <c r="H3368" t="s">
        <v>31</v>
      </c>
      <c r="I3368" t="s">
        <v>46</v>
      </c>
      <c r="J3368" t="s">
        <v>33</v>
      </c>
      <c r="K3368">
        <v>3.6</v>
      </c>
      <c r="L3368" t="s">
        <v>23</v>
      </c>
      <c r="M3368" t="s">
        <v>41</v>
      </c>
      <c r="N3368" t="s">
        <v>23</v>
      </c>
      <c r="O3368">
        <v>47</v>
      </c>
      <c r="P3368" t="s">
        <v>36</v>
      </c>
      <c r="Q3368" t="s">
        <v>37</v>
      </c>
      <c r="R3368" s="1">
        <v>0.1</v>
      </c>
      <c r="S3368">
        <f t="shared" si="208"/>
        <v>58.5</v>
      </c>
      <c r="T3368">
        <f>IFERROR(VLOOKUP(A3368,Table1[[Customer ID]:[Discount Amount]], 6, FALSE),"Not Found")</f>
        <v>65</v>
      </c>
      <c r="U3368" t="str">
        <f t="shared" si="209"/>
        <v>Debit Card</v>
      </c>
      <c r="V3368" s="4" t="str">
        <f t="shared" si="210"/>
        <v>Normal</v>
      </c>
      <c r="W3368" s="4" t="str">
        <f t="shared" si="211"/>
        <v>Good</v>
      </c>
      <c r="X3368" s="4">
        <f>AVERAGE(Table1[Purchase Amount])</f>
        <v>129.48419400000012</v>
      </c>
    </row>
    <row r="3369" spans="1:24" ht="15" customHeight="1" x14ac:dyDescent="0.25">
      <c r="A3369">
        <v>3368</v>
      </c>
      <c r="B3369">
        <v>44</v>
      </c>
      <c r="C3369" t="s">
        <v>16</v>
      </c>
      <c r="D3369" t="s">
        <v>17</v>
      </c>
      <c r="E3369" t="s">
        <v>18</v>
      </c>
      <c r="F3369" s="2">
        <v>48</v>
      </c>
      <c r="G3369" t="s">
        <v>65</v>
      </c>
      <c r="H3369" t="s">
        <v>31</v>
      </c>
      <c r="I3369" t="s">
        <v>74</v>
      </c>
      <c r="J3369" t="s">
        <v>57</v>
      </c>
      <c r="K3369">
        <v>3.1</v>
      </c>
      <c r="L3369" t="s">
        <v>23</v>
      </c>
      <c r="M3369" t="s">
        <v>48</v>
      </c>
      <c r="N3369" t="s">
        <v>23</v>
      </c>
      <c r="O3369">
        <v>6</v>
      </c>
      <c r="P3369" t="s">
        <v>62</v>
      </c>
      <c r="Q3369" t="s">
        <v>89</v>
      </c>
      <c r="R3369" s="1">
        <v>0.1</v>
      </c>
      <c r="S3369">
        <f t="shared" si="208"/>
        <v>43.2</v>
      </c>
      <c r="T3369">
        <f>IFERROR(VLOOKUP(A3369,Table1[[Customer ID]:[Discount Amount]], 6, FALSE),"Not Found")</f>
        <v>48</v>
      </c>
      <c r="U3369" t="str">
        <f t="shared" si="209"/>
        <v>Venmo</v>
      </c>
      <c r="V3369" s="4" t="str">
        <f t="shared" si="210"/>
        <v>Normal</v>
      </c>
      <c r="W3369" s="4" t="str">
        <f t="shared" si="211"/>
        <v>Good</v>
      </c>
      <c r="X3369" s="4">
        <f>AVERAGE(Table1[Purchase Amount])</f>
        <v>129.48419400000012</v>
      </c>
    </row>
    <row r="3370" spans="1:24" ht="15" customHeight="1" x14ac:dyDescent="0.25">
      <c r="A3370">
        <v>3369</v>
      </c>
      <c r="B3370">
        <v>30</v>
      </c>
      <c r="C3370" t="s">
        <v>16</v>
      </c>
      <c r="D3370" t="s">
        <v>121</v>
      </c>
      <c r="E3370" t="s">
        <v>98</v>
      </c>
      <c r="F3370" s="2">
        <v>25</v>
      </c>
      <c r="G3370" t="s">
        <v>137</v>
      </c>
      <c r="H3370" t="s">
        <v>31</v>
      </c>
      <c r="I3370" t="s">
        <v>74</v>
      </c>
      <c r="J3370" t="s">
        <v>33</v>
      </c>
      <c r="K3370">
        <v>4.8</v>
      </c>
      <c r="L3370" t="s">
        <v>23</v>
      </c>
      <c r="M3370" t="s">
        <v>61</v>
      </c>
      <c r="N3370" t="s">
        <v>23</v>
      </c>
      <c r="O3370">
        <v>29</v>
      </c>
      <c r="P3370" t="s">
        <v>88</v>
      </c>
      <c r="Q3370" t="s">
        <v>63</v>
      </c>
      <c r="R3370" s="1">
        <v>0.1</v>
      </c>
      <c r="S3370">
        <f t="shared" si="208"/>
        <v>22.5</v>
      </c>
      <c r="T3370">
        <f>IFERROR(VLOOKUP(A3370,Table1[[Customer ID]:[Discount Amount]], 6, FALSE),"Not Found")</f>
        <v>25</v>
      </c>
      <c r="U3370" t="str">
        <f t="shared" si="209"/>
        <v>Bank Transfer</v>
      </c>
      <c r="V3370" s="4" t="str">
        <f t="shared" si="210"/>
        <v>Normal</v>
      </c>
      <c r="W3370" s="4" t="str">
        <f t="shared" si="211"/>
        <v>Good</v>
      </c>
      <c r="X3370" s="4">
        <f>AVERAGE(Table1[Purchase Amount])</f>
        <v>129.48419400000012</v>
      </c>
    </row>
    <row r="3371" spans="1:24" ht="15" customHeight="1" x14ac:dyDescent="0.25">
      <c r="A3371">
        <v>3370</v>
      </c>
      <c r="B3371">
        <v>47</v>
      </c>
      <c r="C3371" t="s">
        <v>16</v>
      </c>
      <c r="D3371" t="s">
        <v>127</v>
      </c>
      <c r="E3371" t="s">
        <v>18</v>
      </c>
      <c r="F3371" s="2">
        <v>51</v>
      </c>
      <c r="G3371" t="s">
        <v>94</v>
      </c>
      <c r="H3371" t="s">
        <v>31</v>
      </c>
      <c r="I3371" t="s">
        <v>91</v>
      </c>
      <c r="J3371" t="s">
        <v>22</v>
      </c>
      <c r="K3371">
        <v>3.8</v>
      </c>
      <c r="L3371" t="s">
        <v>23</v>
      </c>
      <c r="M3371" t="s">
        <v>41</v>
      </c>
      <c r="N3371" t="s">
        <v>23</v>
      </c>
      <c r="O3371">
        <v>42</v>
      </c>
      <c r="P3371" t="s">
        <v>25</v>
      </c>
      <c r="Q3371" t="s">
        <v>42</v>
      </c>
      <c r="R3371" s="1">
        <v>0.1</v>
      </c>
      <c r="S3371">
        <f t="shared" si="208"/>
        <v>45.9</v>
      </c>
      <c r="T3371">
        <f>IFERROR(VLOOKUP(A3371,Table1[[Customer ID]:[Discount Amount]], 6, FALSE),"Not Found")</f>
        <v>51</v>
      </c>
      <c r="U3371" t="str">
        <f t="shared" si="209"/>
        <v>Cash</v>
      </c>
      <c r="V3371" s="4" t="str">
        <f t="shared" si="210"/>
        <v>Normal</v>
      </c>
      <c r="W3371" s="4" t="str">
        <f t="shared" si="211"/>
        <v>Good</v>
      </c>
      <c r="X3371" s="4">
        <f>AVERAGE(Table1[Purchase Amount])</f>
        <v>129.48419400000012</v>
      </c>
    </row>
    <row r="3372" spans="1:24" ht="15" customHeight="1" x14ac:dyDescent="0.25">
      <c r="A3372">
        <v>3371</v>
      </c>
      <c r="B3372">
        <v>30</v>
      </c>
      <c r="C3372" t="s">
        <v>16</v>
      </c>
      <c r="D3372" t="s">
        <v>114</v>
      </c>
      <c r="E3372" t="s">
        <v>29</v>
      </c>
      <c r="F3372" s="2">
        <v>31</v>
      </c>
      <c r="G3372" t="s">
        <v>44</v>
      </c>
      <c r="H3372" t="s">
        <v>31</v>
      </c>
      <c r="I3372" t="s">
        <v>103</v>
      </c>
      <c r="J3372" t="s">
        <v>57</v>
      </c>
      <c r="K3372">
        <v>2.8</v>
      </c>
      <c r="L3372" t="s">
        <v>23</v>
      </c>
      <c r="M3372" t="s">
        <v>48</v>
      </c>
      <c r="N3372" t="s">
        <v>23</v>
      </c>
      <c r="O3372">
        <v>46</v>
      </c>
      <c r="P3372" t="s">
        <v>25</v>
      </c>
      <c r="Q3372" t="s">
        <v>89</v>
      </c>
      <c r="R3372" s="1">
        <v>0.1</v>
      </c>
      <c r="S3372">
        <f t="shared" si="208"/>
        <v>27.9</v>
      </c>
      <c r="T3372">
        <f>IFERROR(VLOOKUP(A3372,Table1[[Customer ID]:[Discount Amount]], 6, FALSE),"Not Found")</f>
        <v>31</v>
      </c>
      <c r="U3372" t="str">
        <f t="shared" si="209"/>
        <v>Cash</v>
      </c>
      <c r="V3372" s="4" t="str">
        <f t="shared" si="210"/>
        <v>Normal</v>
      </c>
      <c r="W3372" s="4" t="str">
        <f t="shared" si="211"/>
        <v>Poor</v>
      </c>
      <c r="X3372" s="4">
        <f>AVERAGE(Table1[Purchase Amount])</f>
        <v>129.48419400000012</v>
      </c>
    </row>
    <row r="3373" spans="1:24" ht="15" customHeight="1" x14ac:dyDescent="0.25">
      <c r="A3373">
        <v>3372</v>
      </c>
      <c r="B3373">
        <v>49</v>
      </c>
      <c r="C3373" t="s">
        <v>16</v>
      </c>
      <c r="D3373" t="s">
        <v>83</v>
      </c>
      <c r="E3373" t="s">
        <v>18</v>
      </c>
      <c r="F3373" s="2">
        <v>99</v>
      </c>
      <c r="G3373" t="s">
        <v>92</v>
      </c>
      <c r="H3373" t="s">
        <v>55</v>
      </c>
      <c r="I3373" t="s">
        <v>156</v>
      </c>
      <c r="J3373" t="s">
        <v>22</v>
      </c>
      <c r="K3373">
        <v>4</v>
      </c>
      <c r="L3373" t="s">
        <v>23</v>
      </c>
      <c r="M3373" t="s">
        <v>79</v>
      </c>
      <c r="N3373" t="s">
        <v>23</v>
      </c>
      <c r="O3373">
        <v>28</v>
      </c>
      <c r="P3373" t="s">
        <v>58</v>
      </c>
      <c r="Q3373" t="s">
        <v>49</v>
      </c>
      <c r="R3373" s="1">
        <v>0.1</v>
      </c>
      <c r="S3373">
        <f t="shared" si="208"/>
        <v>89.1</v>
      </c>
      <c r="T3373">
        <f>IFERROR(VLOOKUP(A3373,Table1[[Customer ID]:[Discount Amount]], 6, FALSE),"Not Found")</f>
        <v>99</v>
      </c>
      <c r="U3373" t="str">
        <f t="shared" si="209"/>
        <v>PayPal</v>
      </c>
      <c r="V3373" s="4" t="str">
        <f t="shared" si="210"/>
        <v>Normal</v>
      </c>
      <c r="W3373" s="4" t="str">
        <f t="shared" si="211"/>
        <v>Good</v>
      </c>
      <c r="X3373" s="4">
        <f>AVERAGE(Table1[Purchase Amount])</f>
        <v>129.48419400000012</v>
      </c>
    </row>
    <row r="3374" spans="1:24" ht="15" customHeight="1" x14ac:dyDescent="0.25">
      <c r="A3374">
        <v>3373</v>
      </c>
      <c r="B3374">
        <v>56</v>
      </c>
      <c r="C3374" t="s">
        <v>16</v>
      </c>
      <c r="D3374" t="s">
        <v>105</v>
      </c>
      <c r="E3374" t="s">
        <v>18</v>
      </c>
      <c r="F3374" s="2">
        <v>25</v>
      </c>
      <c r="G3374" t="s">
        <v>78</v>
      </c>
      <c r="H3374" t="s">
        <v>31</v>
      </c>
      <c r="I3374" t="s">
        <v>125</v>
      </c>
      <c r="J3374" t="s">
        <v>22</v>
      </c>
      <c r="K3374">
        <v>4.5999999999999996</v>
      </c>
      <c r="L3374" t="s">
        <v>23</v>
      </c>
      <c r="M3374" t="s">
        <v>35</v>
      </c>
      <c r="N3374" t="s">
        <v>23</v>
      </c>
      <c r="O3374">
        <v>14</v>
      </c>
      <c r="P3374" t="s">
        <v>53</v>
      </c>
      <c r="Q3374" t="s">
        <v>63</v>
      </c>
      <c r="R3374" s="1">
        <v>0.1</v>
      </c>
      <c r="S3374">
        <f t="shared" si="208"/>
        <v>22.5</v>
      </c>
      <c r="T3374">
        <f>IFERROR(VLOOKUP(A3374,Table1[[Customer ID]:[Discount Amount]], 6, FALSE),"Not Found")</f>
        <v>25</v>
      </c>
      <c r="U3374" t="str">
        <f t="shared" si="209"/>
        <v>Credit Card</v>
      </c>
      <c r="V3374" s="4" t="str">
        <f t="shared" si="210"/>
        <v>Normal</v>
      </c>
      <c r="W3374" s="4" t="str">
        <f t="shared" si="211"/>
        <v>Good</v>
      </c>
      <c r="X3374" s="4">
        <f>AVERAGE(Table1[Purchase Amount])</f>
        <v>129.48419400000012</v>
      </c>
    </row>
    <row r="3375" spans="1:24" ht="15" customHeight="1" x14ac:dyDescent="0.25">
      <c r="A3375">
        <v>3374</v>
      </c>
      <c r="B3375">
        <v>70</v>
      </c>
      <c r="C3375" t="s">
        <v>16</v>
      </c>
      <c r="D3375" t="s">
        <v>121</v>
      </c>
      <c r="E3375" t="s">
        <v>98</v>
      </c>
      <c r="F3375" s="2">
        <v>52</v>
      </c>
      <c r="G3375" t="s">
        <v>120</v>
      </c>
      <c r="H3375" t="s">
        <v>31</v>
      </c>
      <c r="I3375" t="s">
        <v>66</v>
      </c>
      <c r="J3375" t="s">
        <v>33</v>
      </c>
      <c r="K3375">
        <v>3.5</v>
      </c>
      <c r="L3375" t="s">
        <v>23</v>
      </c>
      <c r="M3375" t="s">
        <v>48</v>
      </c>
      <c r="N3375" t="s">
        <v>23</v>
      </c>
      <c r="O3375">
        <v>12</v>
      </c>
      <c r="P3375" t="s">
        <v>36</v>
      </c>
      <c r="Q3375" t="s">
        <v>63</v>
      </c>
      <c r="R3375" s="1">
        <v>0.1</v>
      </c>
      <c r="S3375">
        <f t="shared" si="208"/>
        <v>46.8</v>
      </c>
      <c r="T3375">
        <f>IFERROR(VLOOKUP(A3375,Table1[[Customer ID]:[Discount Amount]], 6, FALSE),"Not Found")</f>
        <v>52</v>
      </c>
      <c r="U3375" t="str">
        <f t="shared" si="209"/>
        <v>Debit Card</v>
      </c>
      <c r="V3375" s="4" t="str">
        <f t="shared" si="210"/>
        <v>Normal</v>
      </c>
      <c r="W3375" s="4" t="str">
        <f t="shared" si="211"/>
        <v>Good</v>
      </c>
      <c r="X3375" s="4">
        <f>AVERAGE(Table1[Purchase Amount])</f>
        <v>129.48419400000012</v>
      </c>
    </row>
    <row r="3376" spans="1:24" ht="15" customHeight="1" x14ac:dyDescent="0.25">
      <c r="A3376">
        <v>3375</v>
      </c>
      <c r="B3376">
        <v>22</v>
      </c>
      <c r="C3376" t="s">
        <v>16</v>
      </c>
      <c r="D3376" t="s">
        <v>118</v>
      </c>
      <c r="E3376" t="s">
        <v>18</v>
      </c>
      <c r="F3376" s="2">
        <v>47</v>
      </c>
      <c r="G3376" t="s">
        <v>158</v>
      </c>
      <c r="H3376" t="s">
        <v>55</v>
      </c>
      <c r="I3376" t="s">
        <v>107</v>
      </c>
      <c r="J3376" t="s">
        <v>33</v>
      </c>
      <c r="K3376">
        <v>3.7</v>
      </c>
      <c r="L3376" t="s">
        <v>23</v>
      </c>
      <c r="M3376" t="s">
        <v>41</v>
      </c>
      <c r="N3376" t="s">
        <v>23</v>
      </c>
      <c r="O3376">
        <v>41</v>
      </c>
      <c r="P3376" t="s">
        <v>36</v>
      </c>
      <c r="Q3376" t="s">
        <v>49</v>
      </c>
      <c r="R3376" s="1">
        <v>0.1</v>
      </c>
      <c r="S3376">
        <f t="shared" si="208"/>
        <v>42.3</v>
      </c>
      <c r="T3376">
        <f>IFERROR(VLOOKUP(A3376,Table1[[Customer ID]:[Discount Amount]], 6, FALSE),"Not Found")</f>
        <v>47</v>
      </c>
      <c r="U3376" t="str">
        <f t="shared" si="209"/>
        <v>Debit Card</v>
      </c>
      <c r="V3376" s="4" t="str">
        <f t="shared" si="210"/>
        <v>Normal</v>
      </c>
      <c r="W3376" s="4" t="str">
        <f t="shared" si="211"/>
        <v>Good</v>
      </c>
      <c r="X3376" s="4">
        <f>AVERAGE(Table1[Purchase Amount])</f>
        <v>129.48419400000012</v>
      </c>
    </row>
    <row r="3377" spans="1:24" ht="15" customHeight="1" x14ac:dyDescent="0.25">
      <c r="A3377">
        <v>3376</v>
      </c>
      <c r="B3377">
        <v>51</v>
      </c>
      <c r="C3377" t="s">
        <v>16</v>
      </c>
      <c r="D3377" t="s">
        <v>151</v>
      </c>
      <c r="E3377" t="s">
        <v>98</v>
      </c>
      <c r="F3377" s="2">
        <v>98</v>
      </c>
      <c r="G3377" t="s">
        <v>115</v>
      </c>
      <c r="H3377" t="s">
        <v>20</v>
      </c>
      <c r="I3377" t="s">
        <v>52</v>
      </c>
      <c r="J3377" t="s">
        <v>47</v>
      </c>
      <c r="K3377">
        <v>4.9000000000000004</v>
      </c>
      <c r="L3377" t="s">
        <v>23</v>
      </c>
      <c r="M3377" t="s">
        <v>61</v>
      </c>
      <c r="N3377" t="s">
        <v>23</v>
      </c>
      <c r="O3377">
        <v>8</v>
      </c>
      <c r="P3377" t="s">
        <v>53</v>
      </c>
      <c r="Q3377" t="s">
        <v>49</v>
      </c>
      <c r="R3377" s="1">
        <v>0.1</v>
      </c>
      <c r="S3377">
        <f t="shared" si="208"/>
        <v>88.2</v>
      </c>
      <c r="T3377">
        <f>IFERROR(VLOOKUP(A3377,Table1[[Customer ID]:[Discount Amount]], 6, FALSE),"Not Found")</f>
        <v>98</v>
      </c>
      <c r="U3377" t="str">
        <f t="shared" si="209"/>
        <v>Credit Card</v>
      </c>
      <c r="V3377" s="4" t="str">
        <f t="shared" si="210"/>
        <v>Normal</v>
      </c>
      <c r="W3377" s="4" t="str">
        <f t="shared" si="211"/>
        <v>Good</v>
      </c>
      <c r="X3377" s="4">
        <f>AVERAGE(Table1[Purchase Amount])</f>
        <v>129.48419400000012</v>
      </c>
    </row>
    <row r="3378" spans="1:24" ht="15" customHeight="1" x14ac:dyDescent="0.25">
      <c r="A3378">
        <v>3377</v>
      </c>
      <c r="B3378">
        <v>22</v>
      </c>
      <c r="C3378" t="s">
        <v>16</v>
      </c>
      <c r="D3378" t="s">
        <v>64</v>
      </c>
      <c r="E3378" t="s">
        <v>29</v>
      </c>
      <c r="F3378" s="2">
        <v>46</v>
      </c>
      <c r="G3378" t="s">
        <v>90</v>
      </c>
      <c r="H3378" t="s">
        <v>31</v>
      </c>
      <c r="I3378" t="s">
        <v>93</v>
      </c>
      <c r="J3378" t="s">
        <v>22</v>
      </c>
      <c r="K3378">
        <v>4.0999999999999996</v>
      </c>
      <c r="L3378" t="s">
        <v>23</v>
      </c>
      <c r="M3378" t="s">
        <v>48</v>
      </c>
      <c r="N3378" t="s">
        <v>23</v>
      </c>
      <c r="O3378">
        <v>24</v>
      </c>
      <c r="P3378" t="s">
        <v>25</v>
      </c>
      <c r="Q3378" t="s">
        <v>37</v>
      </c>
      <c r="R3378" s="1">
        <v>0.1</v>
      </c>
      <c r="S3378">
        <f t="shared" si="208"/>
        <v>41.4</v>
      </c>
      <c r="T3378">
        <f>IFERROR(VLOOKUP(A3378,Table1[[Customer ID]:[Discount Amount]], 6, FALSE),"Not Found")</f>
        <v>46</v>
      </c>
      <c r="U3378" t="str">
        <f t="shared" si="209"/>
        <v>Cash</v>
      </c>
      <c r="V3378" s="4" t="str">
        <f t="shared" si="210"/>
        <v>Normal</v>
      </c>
      <c r="W3378" s="4" t="str">
        <f t="shared" si="211"/>
        <v>Good</v>
      </c>
      <c r="X3378" s="4">
        <f>AVERAGE(Table1[Purchase Amount])</f>
        <v>129.48419400000012</v>
      </c>
    </row>
    <row r="3379" spans="1:24" ht="15" customHeight="1" x14ac:dyDescent="0.25">
      <c r="A3379">
        <v>3378</v>
      </c>
      <c r="B3379">
        <v>37</v>
      </c>
      <c r="C3379" t="s">
        <v>16</v>
      </c>
      <c r="D3379" t="s">
        <v>38</v>
      </c>
      <c r="E3379" t="s">
        <v>18</v>
      </c>
      <c r="F3379" s="2">
        <v>32</v>
      </c>
      <c r="G3379" t="s">
        <v>70</v>
      </c>
      <c r="H3379" t="s">
        <v>31</v>
      </c>
      <c r="I3379" t="s">
        <v>52</v>
      </c>
      <c r="J3379" t="s">
        <v>22</v>
      </c>
      <c r="K3379">
        <v>4.5999999999999996</v>
      </c>
      <c r="L3379" t="s">
        <v>23</v>
      </c>
      <c r="M3379" t="s">
        <v>79</v>
      </c>
      <c r="N3379" t="s">
        <v>23</v>
      </c>
      <c r="O3379">
        <v>18</v>
      </c>
      <c r="P3379" t="s">
        <v>58</v>
      </c>
      <c r="Q3379" t="s">
        <v>89</v>
      </c>
      <c r="R3379" s="1">
        <v>0.1</v>
      </c>
      <c r="S3379">
        <f t="shared" si="208"/>
        <v>28.8</v>
      </c>
      <c r="T3379">
        <f>IFERROR(VLOOKUP(A3379,Table1[[Customer ID]:[Discount Amount]], 6, FALSE),"Not Found")</f>
        <v>32</v>
      </c>
      <c r="U3379" t="str">
        <f t="shared" si="209"/>
        <v>PayPal</v>
      </c>
      <c r="V3379" s="4" t="str">
        <f t="shared" si="210"/>
        <v>Normal</v>
      </c>
      <c r="W3379" s="4" t="str">
        <f t="shared" si="211"/>
        <v>Good</v>
      </c>
      <c r="X3379" s="4">
        <f>AVERAGE(Table1[Purchase Amount])</f>
        <v>129.48419400000012</v>
      </c>
    </row>
    <row r="3380" spans="1:24" ht="15" customHeight="1" x14ac:dyDescent="0.25">
      <c r="A3380">
        <v>3379</v>
      </c>
      <c r="B3380">
        <v>49</v>
      </c>
      <c r="C3380" t="s">
        <v>16</v>
      </c>
      <c r="D3380" t="s">
        <v>54</v>
      </c>
      <c r="E3380" t="s">
        <v>18</v>
      </c>
      <c r="F3380" s="2">
        <v>75</v>
      </c>
      <c r="G3380" t="s">
        <v>120</v>
      </c>
      <c r="H3380" t="s">
        <v>45</v>
      </c>
      <c r="I3380" t="s">
        <v>133</v>
      </c>
      <c r="J3380" t="s">
        <v>47</v>
      </c>
      <c r="K3380">
        <v>4.5</v>
      </c>
      <c r="L3380" t="s">
        <v>23</v>
      </c>
      <c r="M3380" t="s">
        <v>79</v>
      </c>
      <c r="N3380" t="s">
        <v>23</v>
      </c>
      <c r="O3380">
        <v>6</v>
      </c>
      <c r="P3380" t="s">
        <v>25</v>
      </c>
      <c r="Q3380" t="s">
        <v>37</v>
      </c>
      <c r="R3380" s="1">
        <v>0.1</v>
      </c>
      <c r="S3380">
        <f t="shared" si="208"/>
        <v>67.5</v>
      </c>
      <c r="T3380">
        <f>IFERROR(VLOOKUP(A3380,Table1[[Customer ID]:[Discount Amount]], 6, FALSE),"Not Found")</f>
        <v>75</v>
      </c>
      <c r="U3380" t="str">
        <f t="shared" si="209"/>
        <v>Cash</v>
      </c>
      <c r="V3380" s="4" t="str">
        <f t="shared" si="210"/>
        <v>Normal</v>
      </c>
      <c r="W3380" s="4" t="str">
        <f t="shared" si="211"/>
        <v>Good</v>
      </c>
      <c r="X3380" s="4">
        <f>AVERAGE(Table1[Purchase Amount])</f>
        <v>129.48419400000012</v>
      </c>
    </row>
    <row r="3381" spans="1:24" ht="15" customHeight="1" x14ac:dyDescent="0.25">
      <c r="A3381">
        <v>3380</v>
      </c>
      <c r="B3381">
        <v>61</v>
      </c>
      <c r="C3381" t="s">
        <v>16</v>
      </c>
      <c r="D3381" t="s">
        <v>69</v>
      </c>
      <c r="E3381" t="s">
        <v>29</v>
      </c>
      <c r="F3381" s="2">
        <v>51</v>
      </c>
      <c r="G3381" t="s">
        <v>65</v>
      </c>
      <c r="H3381" t="s">
        <v>45</v>
      </c>
      <c r="I3381" t="s">
        <v>156</v>
      </c>
      <c r="J3381" t="s">
        <v>57</v>
      </c>
      <c r="K3381">
        <v>5</v>
      </c>
      <c r="L3381" t="s">
        <v>23</v>
      </c>
      <c r="M3381" t="s">
        <v>48</v>
      </c>
      <c r="N3381" t="s">
        <v>23</v>
      </c>
      <c r="O3381">
        <v>40</v>
      </c>
      <c r="P3381" t="s">
        <v>25</v>
      </c>
      <c r="Q3381" t="s">
        <v>26</v>
      </c>
      <c r="R3381" s="1">
        <v>0.1</v>
      </c>
      <c r="S3381">
        <f t="shared" si="208"/>
        <v>45.9</v>
      </c>
      <c r="T3381">
        <f>IFERROR(VLOOKUP(A3381,Table1[[Customer ID]:[Discount Amount]], 6, FALSE),"Not Found")</f>
        <v>51</v>
      </c>
      <c r="U3381" t="str">
        <f t="shared" si="209"/>
        <v>Cash</v>
      </c>
      <c r="V3381" s="4" t="str">
        <f t="shared" si="210"/>
        <v>Normal</v>
      </c>
      <c r="W3381" s="4" t="str">
        <f t="shared" si="211"/>
        <v>Good</v>
      </c>
      <c r="X3381" s="4">
        <f>AVERAGE(Table1[Purchase Amount])</f>
        <v>129.48419400000012</v>
      </c>
    </row>
    <row r="3382" spans="1:24" ht="15" customHeight="1" x14ac:dyDescent="0.25">
      <c r="A3382">
        <v>3381</v>
      </c>
      <c r="B3382">
        <v>41</v>
      </c>
      <c r="C3382" t="s">
        <v>16</v>
      </c>
      <c r="D3382" t="s">
        <v>157</v>
      </c>
      <c r="E3382" t="s">
        <v>18</v>
      </c>
      <c r="F3382" s="2">
        <v>52</v>
      </c>
      <c r="G3382" t="s">
        <v>86</v>
      </c>
      <c r="H3382" t="s">
        <v>45</v>
      </c>
      <c r="I3382" t="s">
        <v>74</v>
      </c>
      <c r="J3382" t="s">
        <v>57</v>
      </c>
      <c r="K3382">
        <v>3.8</v>
      </c>
      <c r="L3382" t="s">
        <v>23</v>
      </c>
      <c r="M3382" t="s">
        <v>24</v>
      </c>
      <c r="N3382" t="s">
        <v>23</v>
      </c>
      <c r="O3382">
        <v>6</v>
      </c>
      <c r="P3382" t="s">
        <v>58</v>
      </c>
      <c r="Q3382" t="s">
        <v>63</v>
      </c>
      <c r="R3382" s="1">
        <v>0.1</v>
      </c>
      <c r="S3382">
        <f t="shared" si="208"/>
        <v>46.8</v>
      </c>
      <c r="T3382">
        <f>IFERROR(VLOOKUP(A3382,Table1[[Customer ID]:[Discount Amount]], 6, FALSE),"Not Found")</f>
        <v>52</v>
      </c>
      <c r="U3382" t="str">
        <f t="shared" si="209"/>
        <v>PayPal</v>
      </c>
      <c r="V3382" s="4" t="str">
        <f t="shared" si="210"/>
        <v>Normal</v>
      </c>
      <c r="W3382" s="4" t="str">
        <f t="shared" si="211"/>
        <v>Good</v>
      </c>
      <c r="X3382" s="4">
        <f>AVERAGE(Table1[Purchase Amount])</f>
        <v>129.48419400000012</v>
      </c>
    </row>
    <row r="3383" spans="1:24" ht="15" customHeight="1" x14ac:dyDescent="0.25">
      <c r="A3383">
        <v>3382</v>
      </c>
      <c r="B3383">
        <v>57</v>
      </c>
      <c r="C3383" t="s">
        <v>16</v>
      </c>
      <c r="D3383" t="s">
        <v>64</v>
      </c>
      <c r="E3383" t="s">
        <v>29</v>
      </c>
      <c r="F3383" s="2">
        <v>66</v>
      </c>
      <c r="G3383" t="s">
        <v>120</v>
      </c>
      <c r="H3383" t="s">
        <v>45</v>
      </c>
      <c r="I3383" t="s">
        <v>156</v>
      </c>
      <c r="J3383" t="s">
        <v>22</v>
      </c>
      <c r="K3383">
        <v>4.7</v>
      </c>
      <c r="L3383" t="s">
        <v>23</v>
      </c>
      <c r="M3383" t="s">
        <v>24</v>
      </c>
      <c r="N3383" t="s">
        <v>23</v>
      </c>
      <c r="O3383">
        <v>27</v>
      </c>
      <c r="P3383" t="s">
        <v>53</v>
      </c>
      <c r="Q3383" t="s">
        <v>37</v>
      </c>
      <c r="R3383" s="1">
        <v>0.1</v>
      </c>
      <c r="S3383">
        <f t="shared" si="208"/>
        <v>59.4</v>
      </c>
      <c r="T3383">
        <f>IFERROR(VLOOKUP(A3383,Table1[[Customer ID]:[Discount Amount]], 6, FALSE),"Not Found")</f>
        <v>66</v>
      </c>
      <c r="U3383" t="str">
        <f t="shared" si="209"/>
        <v>Credit Card</v>
      </c>
      <c r="V3383" s="4" t="str">
        <f t="shared" si="210"/>
        <v>Normal</v>
      </c>
      <c r="W3383" s="4" t="str">
        <f t="shared" si="211"/>
        <v>Good</v>
      </c>
      <c r="X3383" s="4">
        <f>AVERAGE(Table1[Purchase Amount])</f>
        <v>129.48419400000012</v>
      </c>
    </row>
    <row r="3384" spans="1:24" ht="15" customHeight="1" x14ac:dyDescent="0.25">
      <c r="A3384">
        <v>3383</v>
      </c>
      <c r="B3384">
        <v>34</v>
      </c>
      <c r="C3384" t="s">
        <v>16</v>
      </c>
      <c r="D3384" t="s">
        <v>127</v>
      </c>
      <c r="E3384" t="s">
        <v>18</v>
      </c>
      <c r="F3384" s="2">
        <v>35</v>
      </c>
      <c r="G3384" t="s">
        <v>137</v>
      </c>
      <c r="H3384" t="s">
        <v>31</v>
      </c>
      <c r="I3384" t="s">
        <v>125</v>
      </c>
      <c r="J3384" t="s">
        <v>33</v>
      </c>
      <c r="K3384">
        <v>2.8</v>
      </c>
      <c r="L3384" t="s">
        <v>23</v>
      </c>
      <c r="M3384" t="s">
        <v>61</v>
      </c>
      <c r="N3384" t="s">
        <v>23</v>
      </c>
      <c r="O3384">
        <v>2</v>
      </c>
      <c r="P3384" t="s">
        <v>88</v>
      </c>
      <c r="Q3384" t="s">
        <v>26</v>
      </c>
      <c r="R3384" s="1">
        <v>0.1</v>
      </c>
      <c r="S3384">
        <f t="shared" si="208"/>
        <v>31.5</v>
      </c>
      <c r="T3384">
        <f>IFERROR(VLOOKUP(A3384,Table1[[Customer ID]:[Discount Amount]], 6, FALSE),"Not Found")</f>
        <v>35</v>
      </c>
      <c r="U3384" t="str">
        <f t="shared" si="209"/>
        <v>Bank Transfer</v>
      </c>
      <c r="V3384" s="4" t="str">
        <f t="shared" si="210"/>
        <v>Normal</v>
      </c>
      <c r="W3384" s="4" t="str">
        <f t="shared" si="211"/>
        <v>Poor</v>
      </c>
      <c r="X3384" s="4">
        <f>AVERAGE(Table1[Purchase Amount])</f>
        <v>129.48419400000012</v>
      </c>
    </row>
    <row r="3385" spans="1:24" ht="15" customHeight="1" x14ac:dyDescent="0.25">
      <c r="A3385">
        <v>3384</v>
      </c>
      <c r="B3385">
        <v>27</v>
      </c>
      <c r="C3385" t="s">
        <v>16</v>
      </c>
      <c r="D3385" t="s">
        <v>76</v>
      </c>
      <c r="E3385" t="s">
        <v>77</v>
      </c>
      <c r="F3385" s="2">
        <v>43</v>
      </c>
      <c r="G3385" t="s">
        <v>143</v>
      </c>
      <c r="H3385" t="s">
        <v>31</v>
      </c>
      <c r="I3385" t="s">
        <v>136</v>
      </c>
      <c r="J3385" t="s">
        <v>47</v>
      </c>
      <c r="K3385">
        <v>2.6</v>
      </c>
      <c r="L3385" t="s">
        <v>23</v>
      </c>
      <c r="M3385" t="s">
        <v>79</v>
      </c>
      <c r="N3385" t="s">
        <v>23</v>
      </c>
      <c r="O3385">
        <v>39</v>
      </c>
      <c r="P3385" t="s">
        <v>62</v>
      </c>
      <c r="Q3385" t="s">
        <v>68</v>
      </c>
      <c r="R3385" s="1">
        <v>0.1</v>
      </c>
      <c r="S3385">
        <f t="shared" si="208"/>
        <v>38.700000000000003</v>
      </c>
      <c r="T3385">
        <f>IFERROR(VLOOKUP(A3385,Table1[[Customer ID]:[Discount Amount]], 6, FALSE),"Not Found")</f>
        <v>43</v>
      </c>
      <c r="U3385" t="str">
        <f t="shared" si="209"/>
        <v>Venmo</v>
      </c>
      <c r="V3385" s="4" t="str">
        <f t="shared" si="210"/>
        <v>Normal</v>
      </c>
      <c r="W3385" s="4" t="str">
        <f t="shared" si="211"/>
        <v>Poor</v>
      </c>
      <c r="X3385" s="4">
        <f>AVERAGE(Table1[Purchase Amount])</f>
        <v>129.48419400000012</v>
      </c>
    </row>
    <row r="3386" spans="1:24" ht="15" customHeight="1" x14ac:dyDescent="0.25">
      <c r="A3386">
        <v>3385</v>
      </c>
      <c r="B3386">
        <v>39</v>
      </c>
      <c r="C3386" t="s">
        <v>16</v>
      </c>
      <c r="D3386" t="s">
        <v>83</v>
      </c>
      <c r="E3386" t="s">
        <v>18</v>
      </c>
      <c r="F3386" s="2">
        <v>24</v>
      </c>
      <c r="G3386" t="s">
        <v>120</v>
      </c>
      <c r="H3386" t="s">
        <v>45</v>
      </c>
      <c r="I3386" t="s">
        <v>125</v>
      </c>
      <c r="J3386" t="s">
        <v>57</v>
      </c>
      <c r="K3386">
        <v>3.8</v>
      </c>
      <c r="L3386" t="s">
        <v>23</v>
      </c>
      <c r="M3386" t="s">
        <v>35</v>
      </c>
      <c r="N3386" t="s">
        <v>23</v>
      </c>
      <c r="O3386">
        <v>9</v>
      </c>
      <c r="P3386" t="s">
        <v>62</v>
      </c>
      <c r="Q3386" t="s">
        <v>37</v>
      </c>
      <c r="R3386" s="1">
        <v>0.1</v>
      </c>
      <c r="S3386">
        <f t="shared" si="208"/>
        <v>21.6</v>
      </c>
      <c r="T3386">
        <f>IFERROR(VLOOKUP(A3386,Table1[[Customer ID]:[Discount Amount]], 6, FALSE),"Not Found")</f>
        <v>24</v>
      </c>
      <c r="U3386" t="str">
        <f t="shared" si="209"/>
        <v>Venmo</v>
      </c>
      <c r="V3386" s="4" t="str">
        <f t="shared" si="210"/>
        <v>Normal</v>
      </c>
      <c r="W3386" s="4" t="str">
        <f t="shared" si="211"/>
        <v>Good</v>
      </c>
      <c r="X3386" s="4">
        <f>AVERAGE(Table1[Purchase Amount])</f>
        <v>129.48419400000012</v>
      </c>
    </row>
    <row r="3387" spans="1:24" ht="15" customHeight="1" x14ac:dyDescent="0.25">
      <c r="A3387">
        <v>3386</v>
      </c>
      <c r="B3387">
        <v>62</v>
      </c>
      <c r="C3387" t="s">
        <v>16</v>
      </c>
      <c r="D3387" t="s">
        <v>50</v>
      </c>
      <c r="E3387" t="s">
        <v>29</v>
      </c>
      <c r="F3387" s="2">
        <v>83</v>
      </c>
      <c r="G3387" t="s">
        <v>159</v>
      </c>
      <c r="H3387" t="s">
        <v>31</v>
      </c>
      <c r="I3387" t="s">
        <v>21</v>
      </c>
      <c r="J3387" t="s">
        <v>22</v>
      </c>
      <c r="K3387">
        <v>2.8</v>
      </c>
      <c r="L3387" t="s">
        <v>23</v>
      </c>
      <c r="M3387" t="s">
        <v>24</v>
      </c>
      <c r="N3387" t="s">
        <v>23</v>
      </c>
      <c r="O3387">
        <v>16</v>
      </c>
      <c r="P3387" t="s">
        <v>53</v>
      </c>
      <c r="Q3387" t="s">
        <v>63</v>
      </c>
      <c r="R3387" s="1">
        <v>0.1</v>
      </c>
      <c r="S3387">
        <f t="shared" si="208"/>
        <v>74.7</v>
      </c>
      <c r="T3387">
        <f>IFERROR(VLOOKUP(A3387,Table1[[Customer ID]:[Discount Amount]], 6, FALSE),"Not Found")</f>
        <v>83</v>
      </c>
      <c r="U3387" t="str">
        <f t="shared" si="209"/>
        <v>Credit Card</v>
      </c>
      <c r="V3387" s="4" t="str">
        <f t="shared" si="210"/>
        <v>Normal</v>
      </c>
      <c r="W3387" s="4" t="str">
        <f t="shared" si="211"/>
        <v>Poor</v>
      </c>
      <c r="X3387" s="4">
        <f>AVERAGE(Table1[Purchase Amount])</f>
        <v>129.48419400000012</v>
      </c>
    </row>
    <row r="3388" spans="1:24" ht="15" customHeight="1" x14ac:dyDescent="0.25">
      <c r="A3388">
        <v>3387</v>
      </c>
      <c r="B3388">
        <v>34</v>
      </c>
      <c r="C3388" t="s">
        <v>16</v>
      </c>
      <c r="D3388" t="s">
        <v>17</v>
      </c>
      <c r="E3388" t="s">
        <v>18</v>
      </c>
      <c r="F3388" s="2">
        <v>62</v>
      </c>
      <c r="G3388" t="s">
        <v>113</v>
      </c>
      <c r="H3388" t="s">
        <v>31</v>
      </c>
      <c r="I3388" t="s">
        <v>107</v>
      </c>
      <c r="J3388" t="s">
        <v>47</v>
      </c>
      <c r="K3388">
        <v>2.6</v>
      </c>
      <c r="L3388" t="s">
        <v>23</v>
      </c>
      <c r="M3388" t="s">
        <v>41</v>
      </c>
      <c r="N3388" t="s">
        <v>23</v>
      </c>
      <c r="O3388">
        <v>36</v>
      </c>
      <c r="P3388" t="s">
        <v>25</v>
      </c>
      <c r="Q3388" t="s">
        <v>37</v>
      </c>
      <c r="R3388" s="1">
        <v>0.1</v>
      </c>
      <c r="S3388">
        <f t="shared" si="208"/>
        <v>55.8</v>
      </c>
      <c r="T3388">
        <f>IFERROR(VLOOKUP(A3388,Table1[[Customer ID]:[Discount Amount]], 6, FALSE),"Not Found")</f>
        <v>62</v>
      </c>
      <c r="U3388" t="str">
        <f t="shared" si="209"/>
        <v>Cash</v>
      </c>
      <c r="V3388" s="4" t="str">
        <f t="shared" si="210"/>
        <v>Normal</v>
      </c>
      <c r="W3388" s="4" t="str">
        <f t="shared" si="211"/>
        <v>Poor</v>
      </c>
      <c r="X3388" s="4">
        <f>AVERAGE(Table1[Purchase Amount])</f>
        <v>129.48419400000012</v>
      </c>
    </row>
    <row r="3389" spans="1:24" ht="15" customHeight="1" x14ac:dyDescent="0.25">
      <c r="A3389">
        <v>3388</v>
      </c>
      <c r="B3389">
        <v>53</v>
      </c>
      <c r="C3389" t="s">
        <v>16</v>
      </c>
      <c r="D3389" t="s">
        <v>99</v>
      </c>
      <c r="E3389" t="s">
        <v>18</v>
      </c>
      <c r="F3389" s="2">
        <v>78</v>
      </c>
      <c r="G3389" t="s">
        <v>131</v>
      </c>
      <c r="H3389" t="s">
        <v>55</v>
      </c>
      <c r="I3389" t="s">
        <v>136</v>
      </c>
      <c r="J3389" t="s">
        <v>33</v>
      </c>
      <c r="K3389">
        <v>3.4</v>
      </c>
      <c r="L3389" t="s">
        <v>23</v>
      </c>
      <c r="M3389" t="s">
        <v>41</v>
      </c>
      <c r="N3389" t="s">
        <v>23</v>
      </c>
      <c r="O3389">
        <v>2</v>
      </c>
      <c r="P3389" t="s">
        <v>53</v>
      </c>
      <c r="Q3389" t="s">
        <v>68</v>
      </c>
      <c r="R3389" s="1">
        <v>0.1</v>
      </c>
      <c r="S3389">
        <f t="shared" si="208"/>
        <v>70.2</v>
      </c>
      <c r="T3389">
        <f>IFERROR(VLOOKUP(A3389,Table1[[Customer ID]:[Discount Amount]], 6, FALSE),"Not Found")</f>
        <v>78</v>
      </c>
      <c r="U3389" t="str">
        <f t="shared" si="209"/>
        <v>Credit Card</v>
      </c>
      <c r="V3389" s="4" t="str">
        <f t="shared" si="210"/>
        <v>Normal</v>
      </c>
      <c r="W3389" s="4" t="str">
        <f t="shared" si="211"/>
        <v>Good</v>
      </c>
      <c r="X3389" s="4">
        <f>AVERAGE(Table1[Purchase Amount])</f>
        <v>129.48419400000012</v>
      </c>
    </row>
    <row r="3390" spans="1:24" ht="15" customHeight="1" x14ac:dyDescent="0.25">
      <c r="A3390">
        <v>3389</v>
      </c>
      <c r="B3390">
        <v>35</v>
      </c>
      <c r="C3390" t="s">
        <v>16</v>
      </c>
      <c r="D3390" t="s">
        <v>127</v>
      </c>
      <c r="E3390" t="s">
        <v>18</v>
      </c>
      <c r="F3390" s="2">
        <v>61</v>
      </c>
      <c r="G3390" t="s">
        <v>130</v>
      </c>
      <c r="H3390" t="s">
        <v>31</v>
      </c>
      <c r="I3390" t="s">
        <v>128</v>
      </c>
      <c r="J3390" t="s">
        <v>33</v>
      </c>
      <c r="K3390">
        <v>4.5</v>
      </c>
      <c r="L3390" t="s">
        <v>23</v>
      </c>
      <c r="M3390" t="s">
        <v>48</v>
      </c>
      <c r="N3390" t="s">
        <v>23</v>
      </c>
      <c r="O3390">
        <v>21</v>
      </c>
      <c r="P3390" t="s">
        <v>53</v>
      </c>
      <c r="Q3390" t="s">
        <v>26</v>
      </c>
      <c r="R3390" s="1">
        <v>0.1</v>
      </c>
      <c r="S3390">
        <f t="shared" si="208"/>
        <v>54.9</v>
      </c>
      <c r="T3390">
        <f>IFERROR(VLOOKUP(A3390,Table1[[Customer ID]:[Discount Amount]], 6, FALSE),"Not Found")</f>
        <v>61</v>
      </c>
      <c r="U3390" t="str">
        <f t="shared" si="209"/>
        <v>Credit Card</v>
      </c>
      <c r="V3390" s="4" t="str">
        <f t="shared" si="210"/>
        <v>Normal</v>
      </c>
      <c r="W3390" s="4" t="str">
        <f t="shared" si="211"/>
        <v>Good</v>
      </c>
      <c r="X3390" s="4">
        <f>AVERAGE(Table1[Purchase Amount])</f>
        <v>129.48419400000012</v>
      </c>
    </row>
    <row r="3391" spans="1:24" ht="15" customHeight="1" x14ac:dyDescent="0.25">
      <c r="A3391">
        <v>3390</v>
      </c>
      <c r="B3391">
        <v>38</v>
      </c>
      <c r="C3391" t="s">
        <v>16</v>
      </c>
      <c r="D3391" t="s">
        <v>99</v>
      </c>
      <c r="E3391" t="s">
        <v>18</v>
      </c>
      <c r="F3391" s="2">
        <v>57</v>
      </c>
      <c r="G3391" t="s">
        <v>134</v>
      </c>
      <c r="H3391" t="s">
        <v>45</v>
      </c>
      <c r="I3391" t="s">
        <v>125</v>
      </c>
      <c r="J3391" t="s">
        <v>47</v>
      </c>
      <c r="K3391">
        <v>3.8</v>
      </c>
      <c r="L3391" t="s">
        <v>23</v>
      </c>
      <c r="M3391" t="s">
        <v>35</v>
      </c>
      <c r="N3391" t="s">
        <v>23</v>
      </c>
      <c r="O3391">
        <v>39</v>
      </c>
      <c r="P3391" t="s">
        <v>62</v>
      </c>
      <c r="Q3391" t="s">
        <v>49</v>
      </c>
      <c r="R3391" s="1">
        <v>0.1</v>
      </c>
      <c r="S3391">
        <f t="shared" si="208"/>
        <v>51.3</v>
      </c>
      <c r="T3391">
        <f>IFERROR(VLOOKUP(A3391,Table1[[Customer ID]:[Discount Amount]], 6, FALSE),"Not Found")</f>
        <v>57</v>
      </c>
      <c r="U3391" t="str">
        <f t="shared" si="209"/>
        <v>Venmo</v>
      </c>
      <c r="V3391" s="4" t="str">
        <f t="shared" si="210"/>
        <v>Normal</v>
      </c>
      <c r="W3391" s="4" t="str">
        <f t="shared" si="211"/>
        <v>Good</v>
      </c>
      <c r="X3391" s="4">
        <f>AVERAGE(Table1[Purchase Amount])</f>
        <v>129.48419400000012</v>
      </c>
    </row>
    <row r="3392" spans="1:24" ht="15" customHeight="1" x14ac:dyDescent="0.25">
      <c r="A3392">
        <v>3391</v>
      </c>
      <c r="B3392">
        <v>32</v>
      </c>
      <c r="C3392" t="s">
        <v>16</v>
      </c>
      <c r="D3392" t="s">
        <v>105</v>
      </c>
      <c r="E3392" t="s">
        <v>18</v>
      </c>
      <c r="F3392" s="2">
        <v>70</v>
      </c>
      <c r="G3392" t="s">
        <v>123</v>
      </c>
      <c r="H3392" t="s">
        <v>55</v>
      </c>
      <c r="I3392" t="s">
        <v>46</v>
      </c>
      <c r="J3392" t="s">
        <v>57</v>
      </c>
      <c r="K3392">
        <v>3</v>
      </c>
      <c r="L3392" t="s">
        <v>23</v>
      </c>
      <c r="M3392" t="s">
        <v>79</v>
      </c>
      <c r="N3392" t="s">
        <v>23</v>
      </c>
      <c r="O3392">
        <v>38</v>
      </c>
      <c r="P3392" t="s">
        <v>58</v>
      </c>
      <c r="Q3392" t="s">
        <v>49</v>
      </c>
      <c r="R3392" s="1">
        <v>0.1</v>
      </c>
      <c r="S3392">
        <f t="shared" si="208"/>
        <v>63</v>
      </c>
      <c r="T3392">
        <f>IFERROR(VLOOKUP(A3392,Table1[[Customer ID]:[Discount Amount]], 6, FALSE),"Not Found")</f>
        <v>70</v>
      </c>
      <c r="U3392" t="str">
        <f t="shared" si="209"/>
        <v>PayPal</v>
      </c>
      <c r="V3392" s="4" t="str">
        <f t="shared" si="210"/>
        <v>Normal</v>
      </c>
      <c r="W3392" s="4" t="str">
        <f t="shared" si="211"/>
        <v>Good</v>
      </c>
      <c r="X3392" s="4">
        <f>AVERAGE(Table1[Purchase Amount])</f>
        <v>129.48419400000012</v>
      </c>
    </row>
    <row r="3393" spans="1:24" ht="15" customHeight="1" x14ac:dyDescent="0.25">
      <c r="A3393">
        <v>3392</v>
      </c>
      <c r="B3393">
        <v>47</v>
      </c>
      <c r="C3393" t="s">
        <v>16</v>
      </c>
      <c r="D3393" t="s">
        <v>83</v>
      </c>
      <c r="E3393" t="s">
        <v>18</v>
      </c>
      <c r="F3393" s="2">
        <v>57</v>
      </c>
      <c r="G3393" t="s">
        <v>39</v>
      </c>
      <c r="H3393" t="s">
        <v>31</v>
      </c>
      <c r="I3393" t="s">
        <v>153</v>
      </c>
      <c r="J3393" t="s">
        <v>47</v>
      </c>
      <c r="K3393">
        <v>3.7</v>
      </c>
      <c r="L3393" t="s">
        <v>23</v>
      </c>
      <c r="M3393" t="s">
        <v>41</v>
      </c>
      <c r="N3393" t="s">
        <v>23</v>
      </c>
      <c r="O3393">
        <v>6</v>
      </c>
      <c r="P3393" t="s">
        <v>36</v>
      </c>
      <c r="Q3393" t="s">
        <v>63</v>
      </c>
      <c r="R3393" s="1">
        <v>0.1</v>
      </c>
      <c r="S3393">
        <f t="shared" si="208"/>
        <v>51.3</v>
      </c>
      <c r="T3393">
        <f>IFERROR(VLOOKUP(A3393,Table1[[Customer ID]:[Discount Amount]], 6, FALSE),"Not Found")</f>
        <v>57</v>
      </c>
      <c r="U3393" t="str">
        <f t="shared" si="209"/>
        <v>Debit Card</v>
      </c>
      <c r="V3393" s="4" t="str">
        <f t="shared" si="210"/>
        <v>Normal</v>
      </c>
      <c r="W3393" s="4" t="str">
        <f t="shared" si="211"/>
        <v>Good</v>
      </c>
      <c r="X3393" s="4">
        <f>AVERAGE(Table1[Purchase Amount])</f>
        <v>129.48419400000012</v>
      </c>
    </row>
    <row r="3394" spans="1:24" ht="15" customHeight="1" x14ac:dyDescent="0.25">
      <c r="A3394">
        <v>3393</v>
      </c>
      <c r="B3394">
        <v>53</v>
      </c>
      <c r="C3394" t="s">
        <v>16</v>
      </c>
      <c r="D3394" t="s">
        <v>129</v>
      </c>
      <c r="E3394" t="s">
        <v>29</v>
      </c>
      <c r="F3394" s="2">
        <v>74</v>
      </c>
      <c r="G3394" t="s">
        <v>131</v>
      </c>
      <c r="H3394" t="s">
        <v>20</v>
      </c>
      <c r="I3394" t="s">
        <v>74</v>
      </c>
      <c r="J3394" t="s">
        <v>22</v>
      </c>
      <c r="K3394">
        <v>4.4000000000000004</v>
      </c>
      <c r="L3394" t="s">
        <v>23</v>
      </c>
      <c r="M3394" t="s">
        <v>35</v>
      </c>
      <c r="N3394" t="s">
        <v>23</v>
      </c>
      <c r="O3394">
        <v>6</v>
      </c>
      <c r="P3394" t="s">
        <v>62</v>
      </c>
      <c r="Q3394" t="s">
        <v>68</v>
      </c>
      <c r="R3394" s="1">
        <v>0.1</v>
      </c>
      <c r="S3394">
        <f t="shared" ref="S3394:S3457" si="212">F3394-(F3394*R3394)</f>
        <v>66.599999999999994</v>
      </c>
      <c r="T3394">
        <f>IFERROR(VLOOKUP(A3394,Table1[[Customer ID]:[Discount Amount]], 6, FALSE),"Not Found")</f>
        <v>74</v>
      </c>
      <c r="U3394" t="str">
        <f t="shared" ref="U3394:U3457" si="213">INDEX(P:P, MATCH(A3394, A:A, 0))</f>
        <v>Venmo</v>
      </c>
      <c r="V3394" s="4" t="str">
        <f t="shared" ref="V3394:V3457" si="214">IF(AND(F3394&gt;1000,K3394&gt;=4),"Best Customer","Normal")</f>
        <v>Normal</v>
      </c>
      <c r="W3394" s="4" t="str">
        <f t="shared" ref="W3394:W3457" si="215">IF(K3394&gt;=3,"Good","Poor")</f>
        <v>Good</v>
      </c>
      <c r="X3394" s="4">
        <f>AVERAGE(Table1[Purchase Amount])</f>
        <v>129.48419400000012</v>
      </c>
    </row>
    <row r="3395" spans="1:24" ht="15" customHeight="1" x14ac:dyDescent="0.25">
      <c r="A3395">
        <v>3394</v>
      </c>
      <c r="B3395">
        <v>60</v>
      </c>
      <c r="C3395" t="s">
        <v>16</v>
      </c>
      <c r="D3395" t="s">
        <v>157</v>
      </c>
      <c r="E3395" t="s">
        <v>18</v>
      </c>
      <c r="F3395" s="2">
        <v>90</v>
      </c>
      <c r="G3395" t="s">
        <v>150</v>
      </c>
      <c r="H3395" t="s">
        <v>31</v>
      </c>
      <c r="I3395" t="s">
        <v>133</v>
      </c>
      <c r="J3395" t="s">
        <v>47</v>
      </c>
      <c r="K3395">
        <v>3.1</v>
      </c>
      <c r="L3395" t="s">
        <v>23</v>
      </c>
      <c r="M3395" t="s">
        <v>79</v>
      </c>
      <c r="N3395" t="s">
        <v>23</v>
      </c>
      <c r="O3395">
        <v>50</v>
      </c>
      <c r="P3395" t="s">
        <v>36</v>
      </c>
      <c r="Q3395" t="s">
        <v>42</v>
      </c>
      <c r="R3395" s="1">
        <v>0.1</v>
      </c>
      <c r="S3395">
        <f t="shared" si="212"/>
        <v>81</v>
      </c>
      <c r="T3395">
        <f>IFERROR(VLOOKUP(A3395,Table1[[Customer ID]:[Discount Amount]], 6, FALSE),"Not Found")</f>
        <v>90</v>
      </c>
      <c r="U3395" t="str">
        <f t="shared" si="213"/>
        <v>Debit Card</v>
      </c>
      <c r="V3395" s="4" t="str">
        <f t="shared" si="214"/>
        <v>Normal</v>
      </c>
      <c r="W3395" s="4" t="str">
        <f t="shared" si="215"/>
        <v>Good</v>
      </c>
      <c r="X3395" s="4">
        <f>AVERAGE(Table1[Purchase Amount])</f>
        <v>129.48419400000012</v>
      </c>
    </row>
    <row r="3396" spans="1:24" ht="15" customHeight="1" x14ac:dyDescent="0.25">
      <c r="A3396">
        <v>3395</v>
      </c>
      <c r="B3396">
        <v>31</v>
      </c>
      <c r="C3396" t="s">
        <v>16</v>
      </c>
      <c r="D3396" t="s">
        <v>121</v>
      </c>
      <c r="E3396" t="s">
        <v>98</v>
      </c>
      <c r="F3396" s="2">
        <v>98</v>
      </c>
      <c r="G3396" t="s">
        <v>84</v>
      </c>
      <c r="H3396" t="s">
        <v>55</v>
      </c>
      <c r="I3396" t="s">
        <v>52</v>
      </c>
      <c r="J3396" t="s">
        <v>33</v>
      </c>
      <c r="K3396">
        <v>4.2</v>
      </c>
      <c r="L3396" t="s">
        <v>23</v>
      </c>
      <c r="M3396" t="s">
        <v>48</v>
      </c>
      <c r="N3396" t="s">
        <v>23</v>
      </c>
      <c r="O3396">
        <v>9</v>
      </c>
      <c r="P3396" t="s">
        <v>58</v>
      </c>
      <c r="Q3396" t="s">
        <v>49</v>
      </c>
      <c r="R3396" s="1">
        <v>0.1</v>
      </c>
      <c r="S3396">
        <f t="shared" si="212"/>
        <v>88.2</v>
      </c>
      <c r="T3396">
        <f>IFERROR(VLOOKUP(A3396,Table1[[Customer ID]:[Discount Amount]], 6, FALSE),"Not Found")</f>
        <v>98</v>
      </c>
      <c r="U3396" t="str">
        <f t="shared" si="213"/>
        <v>PayPal</v>
      </c>
      <c r="V3396" s="4" t="str">
        <f t="shared" si="214"/>
        <v>Normal</v>
      </c>
      <c r="W3396" s="4" t="str">
        <f t="shared" si="215"/>
        <v>Good</v>
      </c>
      <c r="X3396" s="4">
        <f>AVERAGE(Table1[Purchase Amount])</f>
        <v>129.48419400000012</v>
      </c>
    </row>
    <row r="3397" spans="1:24" ht="15" customHeight="1" x14ac:dyDescent="0.25">
      <c r="A3397">
        <v>3396</v>
      </c>
      <c r="B3397">
        <v>44</v>
      </c>
      <c r="C3397" t="s">
        <v>16</v>
      </c>
      <c r="D3397" t="s">
        <v>157</v>
      </c>
      <c r="E3397" t="s">
        <v>18</v>
      </c>
      <c r="F3397" s="2">
        <v>43</v>
      </c>
      <c r="G3397" t="s">
        <v>92</v>
      </c>
      <c r="H3397" t="s">
        <v>31</v>
      </c>
      <c r="I3397" t="s">
        <v>153</v>
      </c>
      <c r="J3397" t="s">
        <v>22</v>
      </c>
      <c r="K3397">
        <v>3.1</v>
      </c>
      <c r="L3397" t="s">
        <v>23</v>
      </c>
      <c r="M3397" t="s">
        <v>35</v>
      </c>
      <c r="N3397" t="s">
        <v>23</v>
      </c>
      <c r="O3397">
        <v>15</v>
      </c>
      <c r="P3397" t="s">
        <v>36</v>
      </c>
      <c r="Q3397" t="s">
        <v>63</v>
      </c>
      <c r="R3397" s="1">
        <v>0.1</v>
      </c>
      <c r="S3397">
        <f t="shared" si="212"/>
        <v>38.700000000000003</v>
      </c>
      <c r="T3397">
        <f>IFERROR(VLOOKUP(A3397,Table1[[Customer ID]:[Discount Amount]], 6, FALSE),"Not Found")</f>
        <v>43</v>
      </c>
      <c r="U3397" t="str">
        <f t="shared" si="213"/>
        <v>Debit Card</v>
      </c>
      <c r="V3397" s="4" t="str">
        <f t="shared" si="214"/>
        <v>Normal</v>
      </c>
      <c r="W3397" s="4" t="str">
        <f t="shared" si="215"/>
        <v>Good</v>
      </c>
      <c r="X3397" s="4">
        <f>AVERAGE(Table1[Purchase Amount])</f>
        <v>129.48419400000012</v>
      </c>
    </row>
    <row r="3398" spans="1:24" ht="15" customHeight="1" x14ac:dyDescent="0.25">
      <c r="A3398">
        <v>3397</v>
      </c>
      <c r="B3398">
        <v>29</v>
      </c>
      <c r="C3398" t="s">
        <v>16</v>
      </c>
      <c r="D3398" t="s">
        <v>99</v>
      </c>
      <c r="E3398" t="s">
        <v>18</v>
      </c>
      <c r="F3398" s="2">
        <v>37</v>
      </c>
      <c r="G3398" t="s">
        <v>65</v>
      </c>
      <c r="H3398" t="s">
        <v>20</v>
      </c>
      <c r="I3398" t="s">
        <v>40</v>
      </c>
      <c r="J3398" t="s">
        <v>22</v>
      </c>
      <c r="K3398">
        <v>5</v>
      </c>
      <c r="L3398" t="s">
        <v>23</v>
      </c>
      <c r="M3398" t="s">
        <v>79</v>
      </c>
      <c r="N3398" t="s">
        <v>23</v>
      </c>
      <c r="O3398">
        <v>5</v>
      </c>
      <c r="P3398" t="s">
        <v>58</v>
      </c>
      <c r="Q3398" t="s">
        <v>37</v>
      </c>
      <c r="R3398" s="1">
        <v>0.1</v>
      </c>
      <c r="S3398">
        <f t="shared" si="212"/>
        <v>33.299999999999997</v>
      </c>
      <c r="T3398">
        <f>IFERROR(VLOOKUP(A3398,Table1[[Customer ID]:[Discount Amount]], 6, FALSE),"Not Found")</f>
        <v>37</v>
      </c>
      <c r="U3398" t="str">
        <f t="shared" si="213"/>
        <v>PayPal</v>
      </c>
      <c r="V3398" s="4" t="str">
        <f t="shared" si="214"/>
        <v>Normal</v>
      </c>
      <c r="W3398" s="4" t="str">
        <f t="shared" si="215"/>
        <v>Good</v>
      </c>
      <c r="X3398" s="4">
        <f>AVERAGE(Table1[Purchase Amount])</f>
        <v>129.48419400000012</v>
      </c>
    </row>
    <row r="3399" spans="1:24" ht="15" customHeight="1" x14ac:dyDescent="0.25">
      <c r="A3399">
        <v>3398</v>
      </c>
      <c r="B3399">
        <v>19</v>
      </c>
      <c r="C3399" t="s">
        <v>16</v>
      </c>
      <c r="D3399" t="s">
        <v>118</v>
      </c>
      <c r="E3399" t="s">
        <v>18</v>
      </c>
      <c r="F3399" s="2">
        <v>38</v>
      </c>
      <c r="G3399" t="s">
        <v>131</v>
      </c>
      <c r="H3399" t="s">
        <v>45</v>
      </c>
      <c r="I3399" t="s">
        <v>52</v>
      </c>
      <c r="J3399" t="s">
        <v>57</v>
      </c>
      <c r="K3399">
        <v>2.7</v>
      </c>
      <c r="L3399" t="s">
        <v>23</v>
      </c>
      <c r="M3399" t="s">
        <v>24</v>
      </c>
      <c r="N3399" t="s">
        <v>23</v>
      </c>
      <c r="O3399">
        <v>13</v>
      </c>
      <c r="P3399" t="s">
        <v>88</v>
      </c>
      <c r="Q3399" t="s">
        <v>68</v>
      </c>
      <c r="R3399" s="1">
        <v>0.1</v>
      </c>
      <c r="S3399">
        <f t="shared" si="212"/>
        <v>34.200000000000003</v>
      </c>
      <c r="T3399">
        <f>IFERROR(VLOOKUP(A3399,Table1[[Customer ID]:[Discount Amount]], 6, FALSE),"Not Found")</f>
        <v>38</v>
      </c>
      <c r="U3399" t="str">
        <f t="shared" si="213"/>
        <v>Bank Transfer</v>
      </c>
      <c r="V3399" s="4" t="str">
        <f t="shared" si="214"/>
        <v>Normal</v>
      </c>
      <c r="W3399" s="4" t="str">
        <f t="shared" si="215"/>
        <v>Poor</v>
      </c>
      <c r="X3399" s="4">
        <f>AVERAGE(Table1[Purchase Amount])</f>
        <v>129.48419400000012</v>
      </c>
    </row>
    <row r="3400" spans="1:24" ht="15" customHeight="1" x14ac:dyDescent="0.25">
      <c r="A3400">
        <v>3399</v>
      </c>
      <c r="B3400">
        <v>54</v>
      </c>
      <c r="C3400" t="s">
        <v>16</v>
      </c>
      <c r="D3400" t="s">
        <v>109</v>
      </c>
      <c r="E3400" t="s">
        <v>18</v>
      </c>
      <c r="F3400" s="2">
        <v>60</v>
      </c>
      <c r="G3400" t="s">
        <v>39</v>
      </c>
      <c r="H3400" t="s">
        <v>45</v>
      </c>
      <c r="I3400" t="s">
        <v>136</v>
      </c>
      <c r="J3400" t="s">
        <v>22</v>
      </c>
      <c r="K3400">
        <v>3.8</v>
      </c>
      <c r="L3400" t="s">
        <v>23</v>
      </c>
      <c r="M3400" t="s">
        <v>24</v>
      </c>
      <c r="N3400" t="s">
        <v>23</v>
      </c>
      <c r="O3400">
        <v>44</v>
      </c>
      <c r="P3400" t="s">
        <v>25</v>
      </c>
      <c r="Q3400" t="s">
        <v>89</v>
      </c>
      <c r="R3400" s="1">
        <v>0.1</v>
      </c>
      <c r="S3400">
        <f t="shared" si="212"/>
        <v>54</v>
      </c>
      <c r="T3400">
        <f>IFERROR(VLOOKUP(A3400,Table1[[Customer ID]:[Discount Amount]], 6, FALSE),"Not Found")</f>
        <v>60</v>
      </c>
      <c r="U3400" t="str">
        <f t="shared" si="213"/>
        <v>Cash</v>
      </c>
      <c r="V3400" s="4" t="str">
        <f t="shared" si="214"/>
        <v>Normal</v>
      </c>
      <c r="W3400" s="4" t="str">
        <f t="shared" si="215"/>
        <v>Good</v>
      </c>
      <c r="X3400" s="4">
        <f>AVERAGE(Table1[Purchase Amount])</f>
        <v>129.48419400000012</v>
      </c>
    </row>
    <row r="3401" spans="1:24" ht="15" customHeight="1" x14ac:dyDescent="0.25">
      <c r="A3401">
        <v>3400</v>
      </c>
      <c r="B3401">
        <v>40</v>
      </c>
      <c r="C3401" t="s">
        <v>16</v>
      </c>
      <c r="D3401" t="s">
        <v>99</v>
      </c>
      <c r="E3401" t="s">
        <v>18</v>
      </c>
      <c r="F3401" s="2">
        <v>55</v>
      </c>
      <c r="G3401" t="s">
        <v>39</v>
      </c>
      <c r="H3401" t="s">
        <v>20</v>
      </c>
      <c r="I3401" t="s">
        <v>52</v>
      </c>
      <c r="J3401" t="s">
        <v>22</v>
      </c>
      <c r="K3401">
        <v>3.3</v>
      </c>
      <c r="L3401" t="s">
        <v>23</v>
      </c>
      <c r="M3401" t="s">
        <v>24</v>
      </c>
      <c r="N3401" t="s">
        <v>23</v>
      </c>
      <c r="O3401">
        <v>36</v>
      </c>
      <c r="P3401" t="s">
        <v>36</v>
      </c>
      <c r="Q3401" t="s">
        <v>49</v>
      </c>
      <c r="R3401" s="1">
        <v>0.1</v>
      </c>
      <c r="S3401">
        <f t="shared" si="212"/>
        <v>49.5</v>
      </c>
      <c r="T3401">
        <f>IFERROR(VLOOKUP(A3401,Table1[[Customer ID]:[Discount Amount]], 6, FALSE),"Not Found")</f>
        <v>55</v>
      </c>
      <c r="U3401" t="str">
        <f t="shared" si="213"/>
        <v>Debit Card</v>
      </c>
      <c r="V3401" s="4" t="str">
        <f t="shared" si="214"/>
        <v>Normal</v>
      </c>
      <c r="W3401" s="4" t="str">
        <f t="shared" si="215"/>
        <v>Good</v>
      </c>
      <c r="X3401" s="4">
        <f>AVERAGE(Table1[Purchase Amount])</f>
        <v>129.48419400000012</v>
      </c>
    </row>
    <row r="3402" spans="1:24" ht="15" customHeight="1" x14ac:dyDescent="0.25">
      <c r="A3402">
        <v>3401</v>
      </c>
      <c r="B3402">
        <v>39</v>
      </c>
      <c r="C3402" t="s">
        <v>16</v>
      </c>
      <c r="D3402" t="s">
        <v>28</v>
      </c>
      <c r="E3402" t="s">
        <v>29</v>
      </c>
      <c r="F3402" s="2">
        <v>51</v>
      </c>
      <c r="G3402" t="s">
        <v>158</v>
      </c>
      <c r="H3402" t="s">
        <v>31</v>
      </c>
      <c r="I3402" t="s">
        <v>107</v>
      </c>
      <c r="J3402" t="s">
        <v>47</v>
      </c>
      <c r="K3402">
        <v>4.8</v>
      </c>
      <c r="L3402" t="s">
        <v>23</v>
      </c>
      <c r="M3402" t="s">
        <v>35</v>
      </c>
      <c r="N3402" t="s">
        <v>23</v>
      </c>
      <c r="O3402">
        <v>18</v>
      </c>
      <c r="P3402" t="s">
        <v>62</v>
      </c>
      <c r="Q3402" t="s">
        <v>89</v>
      </c>
      <c r="R3402" s="1">
        <v>0.1</v>
      </c>
      <c r="S3402">
        <f t="shared" si="212"/>
        <v>45.9</v>
      </c>
      <c r="T3402">
        <f>IFERROR(VLOOKUP(A3402,Table1[[Customer ID]:[Discount Amount]], 6, FALSE),"Not Found")</f>
        <v>51</v>
      </c>
      <c r="U3402" t="str">
        <f t="shared" si="213"/>
        <v>Venmo</v>
      </c>
      <c r="V3402" s="4" t="str">
        <f t="shared" si="214"/>
        <v>Normal</v>
      </c>
      <c r="W3402" s="4" t="str">
        <f t="shared" si="215"/>
        <v>Good</v>
      </c>
      <c r="X3402" s="4">
        <f>AVERAGE(Table1[Purchase Amount])</f>
        <v>129.48419400000012</v>
      </c>
    </row>
    <row r="3403" spans="1:24" ht="15" customHeight="1" x14ac:dyDescent="0.25">
      <c r="A3403">
        <v>3402</v>
      </c>
      <c r="B3403">
        <v>44</v>
      </c>
      <c r="C3403" t="s">
        <v>16</v>
      </c>
      <c r="D3403" t="s">
        <v>104</v>
      </c>
      <c r="E3403" t="s">
        <v>29</v>
      </c>
      <c r="F3403" s="2">
        <v>71</v>
      </c>
      <c r="G3403" t="s">
        <v>158</v>
      </c>
      <c r="H3403" t="s">
        <v>45</v>
      </c>
      <c r="I3403" t="s">
        <v>145</v>
      </c>
      <c r="J3403" t="s">
        <v>22</v>
      </c>
      <c r="K3403">
        <v>3.4</v>
      </c>
      <c r="L3403" t="s">
        <v>23</v>
      </c>
      <c r="M3403" t="s">
        <v>24</v>
      </c>
      <c r="N3403" t="s">
        <v>23</v>
      </c>
      <c r="O3403">
        <v>39</v>
      </c>
      <c r="P3403" t="s">
        <v>53</v>
      </c>
      <c r="Q3403" t="s">
        <v>26</v>
      </c>
      <c r="R3403" s="1">
        <v>0.1</v>
      </c>
      <c r="S3403">
        <f t="shared" si="212"/>
        <v>63.9</v>
      </c>
      <c r="T3403">
        <f>IFERROR(VLOOKUP(A3403,Table1[[Customer ID]:[Discount Amount]], 6, FALSE),"Not Found")</f>
        <v>71</v>
      </c>
      <c r="U3403" t="str">
        <f t="shared" si="213"/>
        <v>Credit Card</v>
      </c>
      <c r="V3403" s="4" t="str">
        <f t="shared" si="214"/>
        <v>Normal</v>
      </c>
      <c r="W3403" s="4" t="str">
        <f t="shared" si="215"/>
        <v>Good</v>
      </c>
      <c r="X3403" s="4">
        <f>AVERAGE(Table1[Purchase Amount])</f>
        <v>129.48419400000012</v>
      </c>
    </row>
    <row r="3404" spans="1:24" ht="15" customHeight="1" x14ac:dyDescent="0.25">
      <c r="A3404">
        <v>3403</v>
      </c>
      <c r="B3404">
        <v>22</v>
      </c>
      <c r="C3404" t="s">
        <v>16</v>
      </c>
      <c r="D3404" t="s">
        <v>83</v>
      </c>
      <c r="E3404" t="s">
        <v>18</v>
      </c>
      <c r="F3404" s="2">
        <v>61</v>
      </c>
      <c r="G3404" t="s">
        <v>119</v>
      </c>
      <c r="H3404" t="s">
        <v>31</v>
      </c>
      <c r="I3404" t="s">
        <v>40</v>
      </c>
      <c r="J3404" t="s">
        <v>33</v>
      </c>
      <c r="K3404">
        <v>4.4000000000000004</v>
      </c>
      <c r="L3404" t="s">
        <v>23</v>
      </c>
      <c r="M3404" t="s">
        <v>41</v>
      </c>
      <c r="N3404" t="s">
        <v>23</v>
      </c>
      <c r="O3404">
        <v>11</v>
      </c>
      <c r="P3404" t="s">
        <v>58</v>
      </c>
      <c r="Q3404" t="s">
        <v>63</v>
      </c>
      <c r="R3404" s="1">
        <v>0.1</v>
      </c>
      <c r="S3404">
        <f t="shared" si="212"/>
        <v>54.9</v>
      </c>
      <c r="T3404">
        <f>IFERROR(VLOOKUP(A3404,Table1[[Customer ID]:[Discount Amount]], 6, FALSE),"Not Found")</f>
        <v>61</v>
      </c>
      <c r="U3404" t="str">
        <f t="shared" si="213"/>
        <v>PayPal</v>
      </c>
      <c r="V3404" s="4" t="str">
        <f t="shared" si="214"/>
        <v>Normal</v>
      </c>
      <c r="W3404" s="4" t="str">
        <f t="shared" si="215"/>
        <v>Good</v>
      </c>
      <c r="X3404" s="4">
        <f>AVERAGE(Table1[Purchase Amount])</f>
        <v>129.48419400000012</v>
      </c>
    </row>
    <row r="3405" spans="1:24" ht="15" customHeight="1" x14ac:dyDescent="0.25">
      <c r="A3405">
        <v>3404</v>
      </c>
      <c r="B3405">
        <v>30</v>
      </c>
      <c r="C3405" t="s">
        <v>16</v>
      </c>
      <c r="D3405" t="s">
        <v>151</v>
      </c>
      <c r="E3405" t="s">
        <v>98</v>
      </c>
      <c r="F3405" s="2">
        <v>65</v>
      </c>
      <c r="G3405" t="s">
        <v>44</v>
      </c>
      <c r="H3405" t="s">
        <v>31</v>
      </c>
      <c r="I3405" t="s">
        <v>21</v>
      </c>
      <c r="J3405" t="s">
        <v>57</v>
      </c>
      <c r="K3405">
        <v>3.9</v>
      </c>
      <c r="L3405" t="s">
        <v>23</v>
      </c>
      <c r="M3405" t="s">
        <v>24</v>
      </c>
      <c r="N3405" t="s">
        <v>23</v>
      </c>
      <c r="O3405">
        <v>1</v>
      </c>
      <c r="P3405" t="s">
        <v>25</v>
      </c>
      <c r="Q3405" t="s">
        <v>68</v>
      </c>
      <c r="R3405" s="1">
        <v>0.1</v>
      </c>
      <c r="S3405">
        <f t="shared" si="212"/>
        <v>58.5</v>
      </c>
      <c r="T3405">
        <f>IFERROR(VLOOKUP(A3405,Table1[[Customer ID]:[Discount Amount]], 6, FALSE),"Not Found")</f>
        <v>65</v>
      </c>
      <c r="U3405" t="str">
        <f t="shared" si="213"/>
        <v>Cash</v>
      </c>
      <c r="V3405" s="4" t="str">
        <f t="shared" si="214"/>
        <v>Normal</v>
      </c>
      <c r="W3405" s="4" t="str">
        <f t="shared" si="215"/>
        <v>Good</v>
      </c>
      <c r="X3405" s="4">
        <f>AVERAGE(Table1[Purchase Amount])</f>
        <v>129.48419400000012</v>
      </c>
    </row>
    <row r="3406" spans="1:24" ht="15" customHeight="1" x14ac:dyDescent="0.25">
      <c r="A3406">
        <v>3405</v>
      </c>
      <c r="B3406">
        <v>69</v>
      </c>
      <c r="C3406" t="s">
        <v>16</v>
      </c>
      <c r="D3406" t="s">
        <v>43</v>
      </c>
      <c r="E3406" t="s">
        <v>29</v>
      </c>
      <c r="F3406" s="2">
        <v>34</v>
      </c>
      <c r="G3406" t="s">
        <v>30</v>
      </c>
      <c r="H3406" t="s">
        <v>45</v>
      </c>
      <c r="I3406" t="s">
        <v>21</v>
      </c>
      <c r="J3406" t="s">
        <v>47</v>
      </c>
      <c r="K3406">
        <v>3.9</v>
      </c>
      <c r="L3406" t="s">
        <v>23</v>
      </c>
      <c r="M3406" t="s">
        <v>41</v>
      </c>
      <c r="N3406" t="s">
        <v>23</v>
      </c>
      <c r="O3406">
        <v>34</v>
      </c>
      <c r="P3406" t="s">
        <v>53</v>
      </c>
      <c r="Q3406" t="s">
        <v>49</v>
      </c>
      <c r="R3406" s="1">
        <v>0.1</v>
      </c>
      <c r="S3406">
        <f t="shared" si="212"/>
        <v>30.6</v>
      </c>
      <c r="T3406">
        <f>IFERROR(VLOOKUP(A3406,Table1[[Customer ID]:[Discount Amount]], 6, FALSE),"Not Found")</f>
        <v>34</v>
      </c>
      <c r="U3406" t="str">
        <f t="shared" si="213"/>
        <v>Credit Card</v>
      </c>
      <c r="V3406" s="4" t="str">
        <f t="shared" si="214"/>
        <v>Normal</v>
      </c>
      <c r="W3406" s="4" t="str">
        <f t="shared" si="215"/>
        <v>Good</v>
      </c>
      <c r="X3406" s="4">
        <f>AVERAGE(Table1[Purchase Amount])</f>
        <v>129.48419400000012</v>
      </c>
    </row>
    <row r="3407" spans="1:24" ht="15" customHeight="1" x14ac:dyDescent="0.25">
      <c r="A3407">
        <v>3406</v>
      </c>
      <c r="B3407">
        <v>28</v>
      </c>
      <c r="C3407" t="s">
        <v>16</v>
      </c>
      <c r="D3407" t="s">
        <v>118</v>
      </c>
      <c r="E3407" t="s">
        <v>18</v>
      </c>
      <c r="F3407" s="2">
        <v>87</v>
      </c>
      <c r="G3407" t="s">
        <v>155</v>
      </c>
      <c r="H3407" t="s">
        <v>31</v>
      </c>
      <c r="I3407" t="s">
        <v>32</v>
      </c>
      <c r="J3407" t="s">
        <v>57</v>
      </c>
      <c r="K3407">
        <v>4.2</v>
      </c>
      <c r="L3407" t="s">
        <v>23</v>
      </c>
      <c r="M3407" t="s">
        <v>48</v>
      </c>
      <c r="N3407" t="s">
        <v>23</v>
      </c>
      <c r="O3407">
        <v>47</v>
      </c>
      <c r="P3407" t="s">
        <v>88</v>
      </c>
      <c r="Q3407" t="s">
        <v>68</v>
      </c>
      <c r="R3407" s="1">
        <v>0.1</v>
      </c>
      <c r="S3407">
        <f t="shared" si="212"/>
        <v>78.3</v>
      </c>
      <c r="T3407">
        <f>IFERROR(VLOOKUP(A3407,Table1[[Customer ID]:[Discount Amount]], 6, FALSE),"Not Found")</f>
        <v>87</v>
      </c>
      <c r="U3407" t="str">
        <f t="shared" si="213"/>
        <v>Bank Transfer</v>
      </c>
      <c r="V3407" s="4" t="str">
        <f t="shared" si="214"/>
        <v>Normal</v>
      </c>
      <c r="W3407" s="4" t="str">
        <f t="shared" si="215"/>
        <v>Good</v>
      </c>
      <c r="X3407" s="4">
        <f>AVERAGE(Table1[Purchase Amount])</f>
        <v>129.48419400000012</v>
      </c>
    </row>
    <row r="3408" spans="1:24" ht="15" customHeight="1" x14ac:dyDescent="0.25">
      <c r="A3408">
        <v>3407</v>
      </c>
      <c r="B3408">
        <v>57</v>
      </c>
      <c r="C3408" t="s">
        <v>16</v>
      </c>
      <c r="D3408" t="s">
        <v>127</v>
      </c>
      <c r="E3408" t="s">
        <v>18</v>
      </c>
      <c r="F3408" s="2">
        <v>79</v>
      </c>
      <c r="G3408" t="s">
        <v>137</v>
      </c>
      <c r="H3408" t="s">
        <v>31</v>
      </c>
      <c r="I3408" t="s">
        <v>46</v>
      </c>
      <c r="J3408" t="s">
        <v>33</v>
      </c>
      <c r="K3408">
        <v>4</v>
      </c>
      <c r="L3408" t="s">
        <v>23</v>
      </c>
      <c r="M3408" t="s">
        <v>48</v>
      </c>
      <c r="N3408" t="s">
        <v>23</v>
      </c>
      <c r="O3408">
        <v>24</v>
      </c>
      <c r="P3408" t="s">
        <v>62</v>
      </c>
      <c r="Q3408" t="s">
        <v>37</v>
      </c>
      <c r="R3408" s="1">
        <v>0.1</v>
      </c>
      <c r="S3408">
        <f t="shared" si="212"/>
        <v>71.099999999999994</v>
      </c>
      <c r="T3408">
        <f>IFERROR(VLOOKUP(A3408,Table1[[Customer ID]:[Discount Amount]], 6, FALSE),"Not Found")</f>
        <v>79</v>
      </c>
      <c r="U3408" t="str">
        <f t="shared" si="213"/>
        <v>Venmo</v>
      </c>
      <c r="V3408" s="4" t="str">
        <f t="shared" si="214"/>
        <v>Normal</v>
      </c>
      <c r="W3408" s="4" t="str">
        <f t="shared" si="215"/>
        <v>Good</v>
      </c>
      <c r="X3408" s="4">
        <f>AVERAGE(Table1[Purchase Amount])</f>
        <v>129.48419400000012</v>
      </c>
    </row>
    <row r="3409" spans="1:24" ht="15" customHeight="1" x14ac:dyDescent="0.25">
      <c r="A3409">
        <v>3408</v>
      </c>
      <c r="B3409">
        <v>46</v>
      </c>
      <c r="C3409" t="s">
        <v>16</v>
      </c>
      <c r="D3409" t="s">
        <v>157</v>
      </c>
      <c r="E3409" t="s">
        <v>18</v>
      </c>
      <c r="F3409" s="2">
        <v>46</v>
      </c>
      <c r="G3409" t="s">
        <v>51</v>
      </c>
      <c r="H3409" t="s">
        <v>55</v>
      </c>
      <c r="I3409" t="s">
        <v>66</v>
      </c>
      <c r="J3409" t="s">
        <v>33</v>
      </c>
      <c r="K3409">
        <v>2.6</v>
      </c>
      <c r="L3409" t="s">
        <v>23</v>
      </c>
      <c r="M3409" t="s">
        <v>48</v>
      </c>
      <c r="N3409" t="s">
        <v>23</v>
      </c>
      <c r="O3409">
        <v>20</v>
      </c>
      <c r="P3409" t="s">
        <v>25</v>
      </c>
      <c r="Q3409" t="s">
        <v>37</v>
      </c>
      <c r="R3409" s="1">
        <v>0.1</v>
      </c>
      <c r="S3409">
        <f t="shared" si="212"/>
        <v>41.4</v>
      </c>
      <c r="T3409">
        <f>IFERROR(VLOOKUP(A3409,Table1[[Customer ID]:[Discount Amount]], 6, FALSE),"Not Found")</f>
        <v>46</v>
      </c>
      <c r="U3409" t="str">
        <f t="shared" si="213"/>
        <v>Cash</v>
      </c>
      <c r="V3409" s="4" t="str">
        <f t="shared" si="214"/>
        <v>Normal</v>
      </c>
      <c r="W3409" s="4" t="str">
        <f t="shared" si="215"/>
        <v>Poor</v>
      </c>
      <c r="X3409" s="4">
        <f>AVERAGE(Table1[Purchase Amount])</f>
        <v>129.48419400000012</v>
      </c>
    </row>
    <row r="3410" spans="1:24" ht="15" customHeight="1" x14ac:dyDescent="0.25">
      <c r="A3410">
        <v>3409</v>
      </c>
      <c r="B3410">
        <v>48</v>
      </c>
      <c r="C3410" t="s">
        <v>16</v>
      </c>
      <c r="D3410" t="s">
        <v>105</v>
      </c>
      <c r="E3410" t="s">
        <v>18</v>
      </c>
      <c r="F3410" s="2">
        <v>72</v>
      </c>
      <c r="G3410" t="s">
        <v>39</v>
      </c>
      <c r="H3410" t="s">
        <v>45</v>
      </c>
      <c r="I3410" t="s">
        <v>66</v>
      </c>
      <c r="J3410" t="s">
        <v>57</v>
      </c>
      <c r="K3410">
        <v>4.4000000000000004</v>
      </c>
      <c r="L3410" t="s">
        <v>23</v>
      </c>
      <c r="M3410" t="s">
        <v>24</v>
      </c>
      <c r="N3410" t="s">
        <v>23</v>
      </c>
      <c r="O3410">
        <v>11</v>
      </c>
      <c r="P3410" t="s">
        <v>88</v>
      </c>
      <c r="Q3410" t="s">
        <v>49</v>
      </c>
      <c r="R3410" s="1">
        <v>0.1</v>
      </c>
      <c r="S3410">
        <f t="shared" si="212"/>
        <v>64.8</v>
      </c>
      <c r="T3410">
        <f>IFERROR(VLOOKUP(A3410,Table1[[Customer ID]:[Discount Amount]], 6, FALSE),"Not Found")</f>
        <v>72</v>
      </c>
      <c r="U3410" t="str">
        <f t="shared" si="213"/>
        <v>Bank Transfer</v>
      </c>
      <c r="V3410" s="4" t="str">
        <f t="shared" si="214"/>
        <v>Normal</v>
      </c>
      <c r="W3410" s="4" t="str">
        <f t="shared" si="215"/>
        <v>Good</v>
      </c>
      <c r="X3410" s="4">
        <f>AVERAGE(Table1[Purchase Amount])</f>
        <v>129.48419400000012</v>
      </c>
    </row>
    <row r="3411" spans="1:24" ht="15" customHeight="1" x14ac:dyDescent="0.25">
      <c r="A3411">
        <v>3410</v>
      </c>
      <c r="B3411">
        <v>24</v>
      </c>
      <c r="C3411" t="s">
        <v>16</v>
      </c>
      <c r="D3411" t="s">
        <v>38</v>
      </c>
      <c r="E3411" t="s">
        <v>18</v>
      </c>
      <c r="F3411" s="2">
        <v>93</v>
      </c>
      <c r="G3411" t="s">
        <v>120</v>
      </c>
      <c r="H3411" t="s">
        <v>31</v>
      </c>
      <c r="I3411" t="s">
        <v>147</v>
      </c>
      <c r="J3411" t="s">
        <v>57</v>
      </c>
      <c r="K3411">
        <v>3.2</v>
      </c>
      <c r="L3411" t="s">
        <v>23</v>
      </c>
      <c r="M3411" t="s">
        <v>79</v>
      </c>
      <c r="N3411" t="s">
        <v>23</v>
      </c>
      <c r="O3411">
        <v>3</v>
      </c>
      <c r="P3411" t="s">
        <v>53</v>
      </c>
      <c r="Q3411" t="s">
        <v>63</v>
      </c>
      <c r="R3411" s="1">
        <v>0.1</v>
      </c>
      <c r="S3411">
        <f t="shared" si="212"/>
        <v>83.7</v>
      </c>
      <c r="T3411">
        <f>IFERROR(VLOOKUP(A3411,Table1[[Customer ID]:[Discount Amount]], 6, FALSE),"Not Found")</f>
        <v>93</v>
      </c>
      <c r="U3411" t="str">
        <f t="shared" si="213"/>
        <v>Credit Card</v>
      </c>
      <c r="V3411" s="4" t="str">
        <f t="shared" si="214"/>
        <v>Normal</v>
      </c>
      <c r="W3411" s="4" t="str">
        <f t="shared" si="215"/>
        <v>Good</v>
      </c>
      <c r="X3411" s="4">
        <f>AVERAGE(Table1[Purchase Amount])</f>
        <v>129.48419400000012</v>
      </c>
    </row>
    <row r="3412" spans="1:24" ht="15" customHeight="1" x14ac:dyDescent="0.25">
      <c r="A3412">
        <v>3411</v>
      </c>
      <c r="B3412">
        <v>50</v>
      </c>
      <c r="C3412" t="s">
        <v>16</v>
      </c>
      <c r="D3412" t="s">
        <v>121</v>
      </c>
      <c r="E3412" t="s">
        <v>98</v>
      </c>
      <c r="F3412" s="2">
        <v>76</v>
      </c>
      <c r="G3412" t="s">
        <v>90</v>
      </c>
      <c r="H3412" t="s">
        <v>45</v>
      </c>
      <c r="I3412" t="s">
        <v>147</v>
      </c>
      <c r="J3412" t="s">
        <v>57</v>
      </c>
      <c r="K3412">
        <v>4.3</v>
      </c>
      <c r="L3412" t="s">
        <v>23</v>
      </c>
      <c r="M3412" t="s">
        <v>35</v>
      </c>
      <c r="N3412" t="s">
        <v>23</v>
      </c>
      <c r="O3412">
        <v>38</v>
      </c>
      <c r="P3412" t="s">
        <v>88</v>
      </c>
      <c r="Q3412" t="s">
        <v>68</v>
      </c>
      <c r="R3412" s="1">
        <v>0.1</v>
      </c>
      <c r="S3412">
        <f t="shared" si="212"/>
        <v>68.400000000000006</v>
      </c>
      <c r="T3412">
        <f>IFERROR(VLOOKUP(A3412,Table1[[Customer ID]:[Discount Amount]], 6, FALSE),"Not Found")</f>
        <v>76</v>
      </c>
      <c r="U3412" t="str">
        <f t="shared" si="213"/>
        <v>Bank Transfer</v>
      </c>
      <c r="V3412" s="4" t="str">
        <f t="shared" si="214"/>
        <v>Normal</v>
      </c>
      <c r="W3412" s="4" t="str">
        <f t="shared" si="215"/>
        <v>Good</v>
      </c>
      <c r="X3412" s="4">
        <f>AVERAGE(Table1[Purchase Amount])</f>
        <v>129.48419400000012</v>
      </c>
    </row>
    <row r="3413" spans="1:24" ht="15" customHeight="1" x14ac:dyDescent="0.25">
      <c r="A3413">
        <v>3412</v>
      </c>
      <c r="B3413">
        <v>29</v>
      </c>
      <c r="C3413" t="s">
        <v>16</v>
      </c>
      <c r="D3413" t="s">
        <v>72</v>
      </c>
      <c r="E3413" t="s">
        <v>98</v>
      </c>
      <c r="F3413" s="2">
        <v>56</v>
      </c>
      <c r="G3413" t="s">
        <v>101</v>
      </c>
      <c r="H3413" t="s">
        <v>45</v>
      </c>
      <c r="I3413" t="s">
        <v>85</v>
      </c>
      <c r="J3413" t="s">
        <v>22</v>
      </c>
      <c r="K3413">
        <v>4.9000000000000004</v>
      </c>
      <c r="L3413" t="s">
        <v>23</v>
      </c>
      <c r="M3413" t="s">
        <v>41</v>
      </c>
      <c r="N3413" t="s">
        <v>23</v>
      </c>
      <c r="O3413">
        <v>45</v>
      </c>
      <c r="P3413" t="s">
        <v>25</v>
      </c>
      <c r="Q3413" t="s">
        <v>26</v>
      </c>
      <c r="R3413" s="1">
        <v>0.1</v>
      </c>
      <c r="S3413">
        <f t="shared" si="212"/>
        <v>50.4</v>
      </c>
      <c r="T3413">
        <f>IFERROR(VLOOKUP(A3413,Table1[[Customer ID]:[Discount Amount]], 6, FALSE),"Not Found")</f>
        <v>56</v>
      </c>
      <c r="U3413" t="str">
        <f t="shared" si="213"/>
        <v>Cash</v>
      </c>
      <c r="V3413" s="4" t="str">
        <f t="shared" si="214"/>
        <v>Normal</v>
      </c>
      <c r="W3413" s="4" t="str">
        <f t="shared" si="215"/>
        <v>Good</v>
      </c>
      <c r="X3413" s="4">
        <f>AVERAGE(Table1[Purchase Amount])</f>
        <v>129.48419400000012</v>
      </c>
    </row>
    <row r="3414" spans="1:24" ht="15" customHeight="1" x14ac:dyDescent="0.25">
      <c r="A3414">
        <v>3413</v>
      </c>
      <c r="B3414">
        <v>61</v>
      </c>
      <c r="C3414" t="s">
        <v>16</v>
      </c>
      <c r="D3414" t="s">
        <v>121</v>
      </c>
      <c r="E3414" t="s">
        <v>98</v>
      </c>
      <c r="F3414" s="2">
        <v>83</v>
      </c>
      <c r="G3414" t="s">
        <v>102</v>
      </c>
      <c r="H3414" t="s">
        <v>31</v>
      </c>
      <c r="I3414" t="s">
        <v>87</v>
      </c>
      <c r="J3414" t="s">
        <v>47</v>
      </c>
      <c r="K3414">
        <v>3.8</v>
      </c>
      <c r="L3414" t="s">
        <v>23</v>
      </c>
      <c r="M3414" t="s">
        <v>48</v>
      </c>
      <c r="N3414" t="s">
        <v>23</v>
      </c>
      <c r="O3414">
        <v>31</v>
      </c>
      <c r="P3414" t="s">
        <v>62</v>
      </c>
      <c r="Q3414" t="s">
        <v>37</v>
      </c>
      <c r="R3414" s="1">
        <v>0.1</v>
      </c>
      <c r="S3414">
        <f t="shared" si="212"/>
        <v>74.7</v>
      </c>
      <c r="T3414">
        <f>IFERROR(VLOOKUP(A3414,Table1[[Customer ID]:[Discount Amount]], 6, FALSE),"Not Found")</f>
        <v>83</v>
      </c>
      <c r="U3414" t="str">
        <f t="shared" si="213"/>
        <v>Venmo</v>
      </c>
      <c r="V3414" s="4" t="str">
        <f t="shared" si="214"/>
        <v>Normal</v>
      </c>
      <c r="W3414" s="4" t="str">
        <f t="shared" si="215"/>
        <v>Good</v>
      </c>
      <c r="X3414" s="4">
        <f>AVERAGE(Table1[Purchase Amount])</f>
        <v>129.48419400000012</v>
      </c>
    </row>
    <row r="3415" spans="1:24" ht="15" customHeight="1" x14ac:dyDescent="0.25">
      <c r="A3415">
        <v>3414</v>
      </c>
      <c r="B3415">
        <v>34</v>
      </c>
      <c r="C3415" t="s">
        <v>16</v>
      </c>
      <c r="D3415" t="s">
        <v>43</v>
      </c>
      <c r="E3415" t="s">
        <v>29</v>
      </c>
      <c r="F3415" s="2">
        <v>90</v>
      </c>
      <c r="G3415" t="s">
        <v>143</v>
      </c>
      <c r="H3415" t="s">
        <v>20</v>
      </c>
      <c r="I3415" t="s">
        <v>40</v>
      </c>
      <c r="J3415" t="s">
        <v>22</v>
      </c>
      <c r="K3415">
        <v>2.5</v>
      </c>
      <c r="L3415" t="s">
        <v>23</v>
      </c>
      <c r="M3415" t="s">
        <v>61</v>
      </c>
      <c r="N3415" t="s">
        <v>23</v>
      </c>
      <c r="O3415">
        <v>16</v>
      </c>
      <c r="P3415" t="s">
        <v>58</v>
      </c>
      <c r="Q3415" t="s">
        <v>68</v>
      </c>
      <c r="R3415" s="1">
        <v>0.1</v>
      </c>
      <c r="S3415">
        <f t="shared" si="212"/>
        <v>81</v>
      </c>
      <c r="T3415">
        <f>IFERROR(VLOOKUP(A3415,Table1[[Customer ID]:[Discount Amount]], 6, FALSE),"Not Found")</f>
        <v>90</v>
      </c>
      <c r="U3415" t="str">
        <f t="shared" si="213"/>
        <v>PayPal</v>
      </c>
      <c r="V3415" s="4" t="str">
        <f t="shared" si="214"/>
        <v>Normal</v>
      </c>
      <c r="W3415" s="4" t="str">
        <f t="shared" si="215"/>
        <v>Poor</v>
      </c>
      <c r="X3415" s="4">
        <f>AVERAGE(Table1[Purchase Amount])</f>
        <v>129.48419400000012</v>
      </c>
    </row>
    <row r="3416" spans="1:24" ht="15" customHeight="1" x14ac:dyDescent="0.25">
      <c r="A3416">
        <v>3415</v>
      </c>
      <c r="B3416">
        <v>27</v>
      </c>
      <c r="C3416" t="s">
        <v>16</v>
      </c>
      <c r="D3416" t="s">
        <v>151</v>
      </c>
      <c r="E3416" t="s">
        <v>98</v>
      </c>
      <c r="F3416" s="2">
        <v>94</v>
      </c>
      <c r="G3416" t="s">
        <v>115</v>
      </c>
      <c r="H3416" t="s">
        <v>31</v>
      </c>
      <c r="I3416" t="s">
        <v>125</v>
      </c>
      <c r="J3416" t="s">
        <v>33</v>
      </c>
      <c r="K3416">
        <v>4.9000000000000004</v>
      </c>
      <c r="L3416" t="s">
        <v>23</v>
      </c>
      <c r="M3416" t="s">
        <v>79</v>
      </c>
      <c r="N3416" t="s">
        <v>23</v>
      </c>
      <c r="O3416">
        <v>3</v>
      </c>
      <c r="P3416" t="s">
        <v>88</v>
      </c>
      <c r="Q3416" t="s">
        <v>37</v>
      </c>
      <c r="R3416" s="1">
        <v>0.1</v>
      </c>
      <c r="S3416">
        <f t="shared" si="212"/>
        <v>84.6</v>
      </c>
      <c r="T3416">
        <f>IFERROR(VLOOKUP(A3416,Table1[[Customer ID]:[Discount Amount]], 6, FALSE),"Not Found")</f>
        <v>94</v>
      </c>
      <c r="U3416" t="str">
        <f t="shared" si="213"/>
        <v>Bank Transfer</v>
      </c>
      <c r="V3416" s="4" t="str">
        <f t="shared" si="214"/>
        <v>Normal</v>
      </c>
      <c r="W3416" s="4" t="str">
        <f t="shared" si="215"/>
        <v>Good</v>
      </c>
      <c r="X3416" s="4">
        <f>AVERAGE(Table1[Purchase Amount])</f>
        <v>129.48419400000012</v>
      </c>
    </row>
    <row r="3417" spans="1:24" ht="15" customHeight="1" x14ac:dyDescent="0.25">
      <c r="A3417">
        <v>3416</v>
      </c>
      <c r="B3417">
        <v>38</v>
      </c>
      <c r="C3417" t="s">
        <v>16</v>
      </c>
      <c r="D3417" t="s">
        <v>118</v>
      </c>
      <c r="E3417" t="s">
        <v>18</v>
      </c>
      <c r="F3417" s="2">
        <v>68</v>
      </c>
      <c r="G3417" t="s">
        <v>101</v>
      </c>
      <c r="H3417" t="s">
        <v>31</v>
      </c>
      <c r="I3417" t="s">
        <v>133</v>
      </c>
      <c r="J3417" t="s">
        <v>47</v>
      </c>
      <c r="K3417">
        <v>3</v>
      </c>
      <c r="L3417" t="s">
        <v>23</v>
      </c>
      <c r="M3417" t="s">
        <v>41</v>
      </c>
      <c r="N3417" t="s">
        <v>23</v>
      </c>
      <c r="O3417">
        <v>15</v>
      </c>
      <c r="P3417" t="s">
        <v>88</v>
      </c>
      <c r="Q3417" t="s">
        <v>49</v>
      </c>
      <c r="R3417" s="1">
        <v>0.1</v>
      </c>
      <c r="S3417">
        <f t="shared" si="212"/>
        <v>61.2</v>
      </c>
      <c r="T3417">
        <f>IFERROR(VLOOKUP(A3417,Table1[[Customer ID]:[Discount Amount]], 6, FALSE),"Not Found")</f>
        <v>68</v>
      </c>
      <c r="U3417" t="str">
        <f t="shared" si="213"/>
        <v>Bank Transfer</v>
      </c>
      <c r="V3417" s="4" t="str">
        <f t="shared" si="214"/>
        <v>Normal</v>
      </c>
      <c r="W3417" s="4" t="str">
        <f t="shared" si="215"/>
        <v>Good</v>
      </c>
      <c r="X3417" s="4">
        <f>AVERAGE(Table1[Purchase Amount])</f>
        <v>129.48419400000012</v>
      </c>
    </row>
    <row r="3418" spans="1:24" ht="15" customHeight="1" x14ac:dyDescent="0.25">
      <c r="A3418">
        <v>3417</v>
      </c>
      <c r="B3418">
        <v>25</v>
      </c>
      <c r="C3418" t="s">
        <v>16</v>
      </c>
      <c r="D3418" t="s">
        <v>121</v>
      </c>
      <c r="E3418" t="s">
        <v>98</v>
      </c>
      <c r="F3418" s="2">
        <v>53</v>
      </c>
      <c r="G3418" t="s">
        <v>51</v>
      </c>
      <c r="H3418" t="s">
        <v>31</v>
      </c>
      <c r="I3418" t="s">
        <v>66</v>
      </c>
      <c r="J3418" t="s">
        <v>33</v>
      </c>
      <c r="K3418">
        <v>3.2</v>
      </c>
      <c r="L3418" t="s">
        <v>23</v>
      </c>
      <c r="M3418" t="s">
        <v>48</v>
      </c>
      <c r="N3418" t="s">
        <v>23</v>
      </c>
      <c r="O3418">
        <v>11</v>
      </c>
      <c r="P3418" t="s">
        <v>88</v>
      </c>
      <c r="Q3418" t="s">
        <v>63</v>
      </c>
      <c r="R3418" s="1">
        <v>0.1</v>
      </c>
      <c r="S3418">
        <f t="shared" si="212"/>
        <v>47.7</v>
      </c>
      <c r="T3418">
        <f>IFERROR(VLOOKUP(A3418,Table1[[Customer ID]:[Discount Amount]], 6, FALSE),"Not Found")</f>
        <v>53</v>
      </c>
      <c r="U3418" t="str">
        <f t="shared" si="213"/>
        <v>Bank Transfer</v>
      </c>
      <c r="V3418" s="4" t="str">
        <f t="shared" si="214"/>
        <v>Normal</v>
      </c>
      <c r="W3418" s="4" t="str">
        <f t="shared" si="215"/>
        <v>Good</v>
      </c>
      <c r="X3418" s="4">
        <f>AVERAGE(Table1[Purchase Amount])</f>
        <v>129.48419400000012</v>
      </c>
    </row>
    <row r="3419" spans="1:24" ht="15" customHeight="1" x14ac:dyDescent="0.25">
      <c r="A3419">
        <v>3418</v>
      </c>
      <c r="B3419">
        <v>54</v>
      </c>
      <c r="C3419" t="s">
        <v>16</v>
      </c>
      <c r="D3419" t="s">
        <v>76</v>
      </c>
      <c r="E3419" t="s">
        <v>77</v>
      </c>
      <c r="F3419" s="2">
        <v>35</v>
      </c>
      <c r="G3419" t="s">
        <v>97</v>
      </c>
      <c r="H3419" t="s">
        <v>31</v>
      </c>
      <c r="I3419" t="s">
        <v>74</v>
      </c>
      <c r="J3419" t="s">
        <v>57</v>
      </c>
      <c r="K3419">
        <v>2.9</v>
      </c>
      <c r="L3419" t="s">
        <v>23</v>
      </c>
      <c r="M3419" t="s">
        <v>41</v>
      </c>
      <c r="N3419" t="s">
        <v>23</v>
      </c>
      <c r="O3419">
        <v>22</v>
      </c>
      <c r="P3419" t="s">
        <v>36</v>
      </c>
      <c r="Q3419" t="s">
        <v>89</v>
      </c>
      <c r="R3419" s="1">
        <v>0.1</v>
      </c>
      <c r="S3419">
        <f t="shared" si="212"/>
        <v>31.5</v>
      </c>
      <c r="T3419">
        <f>IFERROR(VLOOKUP(A3419,Table1[[Customer ID]:[Discount Amount]], 6, FALSE),"Not Found")</f>
        <v>35</v>
      </c>
      <c r="U3419" t="str">
        <f t="shared" si="213"/>
        <v>Debit Card</v>
      </c>
      <c r="V3419" s="4" t="str">
        <f t="shared" si="214"/>
        <v>Normal</v>
      </c>
      <c r="W3419" s="4" t="str">
        <f t="shared" si="215"/>
        <v>Poor</v>
      </c>
      <c r="X3419" s="4">
        <f>AVERAGE(Table1[Purchase Amount])</f>
        <v>129.48419400000012</v>
      </c>
    </row>
    <row r="3420" spans="1:24" ht="15" customHeight="1" x14ac:dyDescent="0.25">
      <c r="A3420">
        <v>3419</v>
      </c>
      <c r="B3420">
        <v>53</v>
      </c>
      <c r="C3420" t="s">
        <v>16</v>
      </c>
      <c r="D3420" t="s">
        <v>96</v>
      </c>
      <c r="E3420" t="s">
        <v>77</v>
      </c>
      <c r="F3420" s="2">
        <v>30</v>
      </c>
      <c r="G3420" t="s">
        <v>30</v>
      </c>
      <c r="H3420" t="s">
        <v>31</v>
      </c>
      <c r="I3420" t="s">
        <v>56</v>
      </c>
      <c r="J3420" t="s">
        <v>57</v>
      </c>
      <c r="K3420">
        <v>2.8</v>
      </c>
      <c r="L3420" t="s">
        <v>23</v>
      </c>
      <c r="M3420" t="s">
        <v>35</v>
      </c>
      <c r="N3420" t="s">
        <v>23</v>
      </c>
      <c r="O3420">
        <v>35</v>
      </c>
      <c r="P3420" t="s">
        <v>36</v>
      </c>
      <c r="Q3420" t="s">
        <v>49</v>
      </c>
      <c r="R3420" s="1">
        <v>0.1</v>
      </c>
      <c r="S3420">
        <f t="shared" si="212"/>
        <v>27</v>
      </c>
      <c r="T3420">
        <f>IFERROR(VLOOKUP(A3420,Table1[[Customer ID]:[Discount Amount]], 6, FALSE),"Not Found")</f>
        <v>30</v>
      </c>
      <c r="U3420" t="str">
        <f t="shared" si="213"/>
        <v>Debit Card</v>
      </c>
      <c r="V3420" s="4" t="str">
        <f t="shared" si="214"/>
        <v>Normal</v>
      </c>
      <c r="W3420" s="4" t="str">
        <f t="shared" si="215"/>
        <v>Poor</v>
      </c>
      <c r="X3420" s="4">
        <f>AVERAGE(Table1[Purchase Amount])</f>
        <v>129.48419400000012</v>
      </c>
    </row>
    <row r="3421" spans="1:24" ht="15" customHeight="1" x14ac:dyDescent="0.25">
      <c r="A3421">
        <v>3420</v>
      </c>
      <c r="B3421">
        <v>23</v>
      </c>
      <c r="C3421" t="s">
        <v>16</v>
      </c>
      <c r="D3421" t="s">
        <v>50</v>
      </c>
      <c r="E3421" t="s">
        <v>29</v>
      </c>
      <c r="F3421" s="2">
        <v>26</v>
      </c>
      <c r="G3421" t="s">
        <v>154</v>
      </c>
      <c r="H3421" t="s">
        <v>45</v>
      </c>
      <c r="I3421" t="s">
        <v>91</v>
      </c>
      <c r="J3421" t="s">
        <v>22</v>
      </c>
      <c r="K3421">
        <v>3.1</v>
      </c>
      <c r="L3421" t="s">
        <v>23</v>
      </c>
      <c r="M3421" t="s">
        <v>48</v>
      </c>
      <c r="N3421" t="s">
        <v>23</v>
      </c>
      <c r="O3421">
        <v>5</v>
      </c>
      <c r="P3421" t="s">
        <v>62</v>
      </c>
      <c r="Q3421" t="s">
        <v>68</v>
      </c>
      <c r="R3421" s="1">
        <v>0.1</v>
      </c>
      <c r="S3421">
        <f t="shared" si="212"/>
        <v>23.4</v>
      </c>
      <c r="T3421">
        <f>IFERROR(VLOOKUP(A3421,Table1[[Customer ID]:[Discount Amount]], 6, FALSE),"Not Found")</f>
        <v>26</v>
      </c>
      <c r="U3421" t="str">
        <f t="shared" si="213"/>
        <v>Venmo</v>
      </c>
      <c r="V3421" s="4" t="str">
        <f t="shared" si="214"/>
        <v>Normal</v>
      </c>
      <c r="W3421" s="4" t="str">
        <f t="shared" si="215"/>
        <v>Good</v>
      </c>
      <c r="X3421" s="4">
        <f>AVERAGE(Table1[Purchase Amount])</f>
        <v>129.48419400000012</v>
      </c>
    </row>
    <row r="3422" spans="1:24" ht="15" customHeight="1" x14ac:dyDescent="0.25">
      <c r="A3422">
        <v>3421</v>
      </c>
      <c r="B3422">
        <v>19</v>
      </c>
      <c r="C3422" t="s">
        <v>16</v>
      </c>
      <c r="D3422" t="s">
        <v>64</v>
      </c>
      <c r="E3422" t="s">
        <v>29</v>
      </c>
      <c r="F3422" s="2">
        <v>60</v>
      </c>
      <c r="G3422" t="s">
        <v>70</v>
      </c>
      <c r="H3422" t="s">
        <v>31</v>
      </c>
      <c r="I3422" t="s">
        <v>66</v>
      </c>
      <c r="J3422" t="s">
        <v>22</v>
      </c>
      <c r="K3422">
        <v>3.4</v>
      </c>
      <c r="L3422" t="s">
        <v>23</v>
      </c>
      <c r="M3422" t="s">
        <v>61</v>
      </c>
      <c r="N3422" t="s">
        <v>23</v>
      </c>
      <c r="O3422">
        <v>35</v>
      </c>
      <c r="P3422" t="s">
        <v>58</v>
      </c>
      <c r="Q3422" t="s">
        <v>68</v>
      </c>
      <c r="R3422" s="1">
        <v>0.1</v>
      </c>
      <c r="S3422">
        <f t="shared" si="212"/>
        <v>54</v>
      </c>
      <c r="T3422">
        <f>IFERROR(VLOOKUP(A3422,Table1[[Customer ID]:[Discount Amount]], 6, FALSE),"Not Found")</f>
        <v>60</v>
      </c>
      <c r="U3422" t="str">
        <f t="shared" si="213"/>
        <v>PayPal</v>
      </c>
      <c r="V3422" s="4" t="str">
        <f t="shared" si="214"/>
        <v>Normal</v>
      </c>
      <c r="W3422" s="4" t="str">
        <f t="shared" si="215"/>
        <v>Good</v>
      </c>
      <c r="X3422" s="4">
        <f>AVERAGE(Table1[Purchase Amount])</f>
        <v>129.48419400000012</v>
      </c>
    </row>
    <row r="3423" spans="1:24" ht="15" customHeight="1" x14ac:dyDescent="0.25">
      <c r="A3423">
        <v>3422</v>
      </c>
      <c r="B3423">
        <v>57</v>
      </c>
      <c r="C3423" t="s">
        <v>16</v>
      </c>
      <c r="D3423" t="s">
        <v>72</v>
      </c>
      <c r="E3423" t="s">
        <v>98</v>
      </c>
      <c r="F3423" s="2">
        <v>30</v>
      </c>
      <c r="G3423" t="s">
        <v>131</v>
      </c>
      <c r="H3423" t="s">
        <v>31</v>
      </c>
      <c r="I3423" t="s">
        <v>125</v>
      </c>
      <c r="J3423" t="s">
        <v>57</v>
      </c>
      <c r="K3423">
        <v>2.9</v>
      </c>
      <c r="L3423" t="s">
        <v>23</v>
      </c>
      <c r="M3423" t="s">
        <v>35</v>
      </c>
      <c r="N3423" t="s">
        <v>23</v>
      </c>
      <c r="O3423">
        <v>27</v>
      </c>
      <c r="P3423" t="s">
        <v>58</v>
      </c>
      <c r="Q3423" t="s">
        <v>26</v>
      </c>
      <c r="R3423" s="1">
        <v>0.1</v>
      </c>
      <c r="S3423">
        <f t="shared" si="212"/>
        <v>27</v>
      </c>
      <c r="T3423">
        <f>IFERROR(VLOOKUP(A3423,Table1[[Customer ID]:[Discount Amount]], 6, FALSE),"Not Found")</f>
        <v>30</v>
      </c>
      <c r="U3423" t="str">
        <f t="shared" si="213"/>
        <v>PayPal</v>
      </c>
      <c r="V3423" s="4" t="str">
        <f t="shared" si="214"/>
        <v>Normal</v>
      </c>
      <c r="W3423" s="4" t="str">
        <f t="shared" si="215"/>
        <v>Poor</v>
      </c>
      <c r="X3423" s="4">
        <f>AVERAGE(Table1[Purchase Amount])</f>
        <v>129.48419400000012</v>
      </c>
    </row>
    <row r="3424" spans="1:24" ht="15" customHeight="1" x14ac:dyDescent="0.25">
      <c r="A3424">
        <v>3423</v>
      </c>
      <c r="B3424">
        <v>19</v>
      </c>
      <c r="C3424" t="s">
        <v>16</v>
      </c>
      <c r="D3424" t="s">
        <v>76</v>
      </c>
      <c r="E3424" t="s">
        <v>77</v>
      </c>
      <c r="F3424" s="2">
        <v>91</v>
      </c>
      <c r="G3424" t="s">
        <v>101</v>
      </c>
      <c r="H3424" t="s">
        <v>45</v>
      </c>
      <c r="I3424" t="s">
        <v>56</v>
      </c>
      <c r="J3424" t="s">
        <v>22</v>
      </c>
      <c r="K3424">
        <v>3.2</v>
      </c>
      <c r="L3424" t="s">
        <v>23</v>
      </c>
      <c r="M3424" t="s">
        <v>79</v>
      </c>
      <c r="N3424" t="s">
        <v>23</v>
      </c>
      <c r="O3424">
        <v>9</v>
      </c>
      <c r="P3424" t="s">
        <v>62</v>
      </c>
      <c r="Q3424" t="s">
        <v>42</v>
      </c>
      <c r="R3424" s="1">
        <v>0.1</v>
      </c>
      <c r="S3424">
        <f t="shared" si="212"/>
        <v>81.900000000000006</v>
      </c>
      <c r="T3424">
        <f>IFERROR(VLOOKUP(A3424,Table1[[Customer ID]:[Discount Amount]], 6, FALSE),"Not Found")</f>
        <v>91</v>
      </c>
      <c r="U3424" t="str">
        <f t="shared" si="213"/>
        <v>Venmo</v>
      </c>
      <c r="V3424" s="4" t="str">
        <f t="shared" si="214"/>
        <v>Normal</v>
      </c>
      <c r="W3424" s="4" t="str">
        <f t="shared" si="215"/>
        <v>Good</v>
      </c>
      <c r="X3424" s="4">
        <f>AVERAGE(Table1[Purchase Amount])</f>
        <v>129.48419400000012</v>
      </c>
    </row>
    <row r="3425" spans="1:24" ht="15" customHeight="1" x14ac:dyDescent="0.25">
      <c r="A3425">
        <v>3424</v>
      </c>
      <c r="B3425">
        <v>33</v>
      </c>
      <c r="C3425" t="s">
        <v>16</v>
      </c>
      <c r="D3425" t="s">
        <v>151</v>
      </c>
      <c r="E3425" t="s">
        <v>98</v>
      </c>
      <c r="F3425" s="2">
        <v>71</v>
      </c>
      <c r="G3425" t="s">
        <v>97</v>
      </c>
      <c r="H3425" t="s">
        <v>31</v>
      </c>
      <c r="I3425" t="s">
        <v>60</v>
      </c>
      <c r="J3425" t="s">
        <v>33</v>
      </c>
      <c r="K3425">
        <v>3.8</v>
      </c>
      <c r="L3425" t="s">
        <v>23</v>
      </c>
      <c r="M3425" t="s">
        <v>79</v>
      </c>
      <c r="N3425" t="s">
        <v>23</v>
      </c>
      <c r="O3425">
        <v>21</v>
      </c>
      <c r="P3425" t="s">
        <v>58</v>
      </c>
      <c r="Q3425" t="s">
        <v>68</v>
      </c>
      <c r="R3425" s="1">
        <v>0.1</v>
      </c>
      <c r="S3425">
        <f t="shared" si="212"/>
        <v>63.9</v>
      </c>
      <c r="T3425">
        <f>IFERROR(VLOOKUP(A3425,Table1[[Customer ID]:[Discount Amount]], 6, FALSE),"Not Found")</f>
        <v>71</v>
      </c>
      <c r="U3425" t="str">
        <f t="shared" si="213"/>
        <v>PayPal</v>
      </c>
      <c r="V3425" s="4" t="str">
        <f t="shared" si="214"/>
        <v>Normal</v>
      </c>
      <c r="W3425" s="4" t="str">
        <f t="shared" si="215"/>
        <v>Good</v>
      </c>
      <c r="X3425" s="4">
        <f>AVERAGE(Table1[Purchase Amount])</f>
        <v>129.48419400000012</v>
      </c>
    </row>
    <row r="3426" spans="1:24" ht="15" customHeight="1" x14ac:dyDescent="0.25">
      <c r="A3426">
        <v>3425</v>
      </c>
      <c r="B3426">
        <v>33</v>
      </c>
      <c r="C3426" t="s">
        <v>16</v>
      </c>
      <c r="D3426" t="s">
        <v>129</v>
      </c>
      <c r="E3426" t="s">
        <v>29</v>
      </c>
      <c r="F3426" s="2">
        <v>64</v>
      </c>
      <c r="G3426" t="s">
        <v>67</v>
      </c>
      <c r="H3426" t="s">
        <v>45</v>
      </c>
      <c r="I3426" t="s">
        <v>93</v>
      </c>
      <c r="J3426" t="s">
        <v>57</v>
      </c>
      <c r="K3426">
        <v>3.6</v>
      </c>
      <c r="L3426" t="s">
        <v>23</v>
      </c>
      <c r="M3426" t="s">
        <v>41</v>
      </c>
      <c r="N3426" t="s">
        <v>23</v>
      </c>
      <c r="O3426">
        <v>23</v>
      </c>
      <c r="P3426" t="s">
        <v>53</v>
      </c>
      <c r="Q3426" t="s">
        <v>42</v>
      </c>
      <c r="R3426" s="1">
        <v>0.1</v>
      </c>
      <c r="S3426">
        <f t="shared" si="212"/>
        <v>57.6</v>
      </c>
      <c r="T3426">
        <f>IFERROR(VLOOKUP(A3426,Table1[[Customer ID]:[Discount Amount]], 6, FALSE),"Not Found")</f>
        <v>64</v>
      </c>
      <c r="U3426" t="str">
        <f t="shared" si="213"/>
        <v>Credit Card</v>
      </c>
      <c r="V3426" s="4" t="str">
        <f t="shared" si="214"/>
        <v>Normal</v>
      </c>
      <c r="W3426" s="4" t="str">
        <f t="shared" si="215"/>
        <v>Good</v>
      </c>
      <c r="X3426" s="4">
        <f>AVERAGE(Table1[Purchase Amount])</f>
        <v>129.48419400000012</v>
      </c>
    </row>
    <row r="3427" spans="1:24" ht="15" customHeight="1" x14ac:dyDescent="0.25">
      <c r="A3427">
        <v>3426</v>
      </c>
      <c r="B3427">
        <v>38</v>
      </c>
      <c r="C3427" t="s">
        <v>16</v>
      </c>
      <c r="D3427" t="s">
        <v>64</v>
      </c>
      <c r="E3427" t="s">
        <v>29</v>
      </c>
      <c r="F3427" s="2">
        <v>54</v>
      </c>
      <c r="G3427" t="s">
        <v>113</v>
      </c>
      <c r="H3427" t="s">
        <v>31</v>
      </c>
      <c r="I3427" t="s">
        <v>74</v>
      </c>
      <c r="J3427" t="s">
        <v>57</v>
      </c>
      <c r="K3427">
        <v>4.3</v>
      </c>
      <c r="L3427" t="s">
        <v>23</v>
      </c>
      <c r="M3427" t="s">
        <v>79</v>
      </c>
      <c r="N3427" t="s">
        <v>23</v>
      </c>
      <c r="O3427">
        <v>3</v>
      </c>
      <c r="P3427" t="s">
        <v>36</v>
      </c>
      <c r="Q3427" t="s">
        <v>68</v>
      </c>
      <c r="R3427" s="1">
        <v>0.1</v>
      </c>
      <c r="S3427">
        <f t="shared" si="212"/>
        <v>48.6</v>
      </c>
      <c r="T3427">
        <f>IFERROR(VLOOKUP(A3427,Table1[[Customer ID]:[Discount Amount]], 6, FALSE),"Not Found")</f>
        <v>54</v>
      </c>
      <c r="U3427" t="str">
        <f t="shared" si="213"/>
        <v>Debit Card</v>
      </c>
      <c r="V3427" s="4" t="str">
        <f t="shared" si="214"/>
        <v>Normal</v>
      </c>
      <c r="W3427" s="4" t="str">
        <f t="shared" si="215"/>
        <v>Good</v>
      </c>
      <c r="X3427" s="4">
        <f>AVERAGE(Table1[Purchase Amount])</f>
        <v>129.48419400000012</v>
      </c>
    </row>
    <row r="3428" spans="1:24" ht="15" customHeight="1" x14ac:dyDescent="0.25">
      <c r="A3428">
        <v>3427</v>
      </c>
      <c r="B3428">
        <v>47</v>
      </c>
      <c r="C3428" t="s">
        <v>16</v>
      </c>
      <c r="D3428" t="s">
        <v>105</v>
      </c>
      <c r="E3428" t="s">
        <v>18</v>
      </c>
      <c r="F3428" s="2">
        <v>35</v>
      </c>
      <c r="G3428" t="s">
        <v>123</v>
      </c>
      <c r="H3428" t="s">
        <v>20</v>
      </c>
      <c r="I3428" t="s">
        <v>87</v>
      </c>
      <c r="J3428" t="s">
        <v>47</v>
      </c>
      <c r="K3428">
        <v>4.8</v>
      </c>
      <c r="L3428" t="s">
        <v>23</v>
      </c>
      <c r="M3428" t="s">
        <v>41</v>
      </c>
      <c r="N3428" t="s">
        <v>23</v>
      </c>
      <c r="O3428">
        <v>31</v>
      </c>
      <c r="P3428" t="s">
        <v>53</v>
      </c>
      <c r="Q3428" t="s">
        <v>49</v>
      </c>
      <c r="R3428" s="1">
        <v>0.1</v>
      </c>
      <c r="S3428">
        <f t="shared" si="212"/>
        <v>31.5</v>
      </c>
      <c r="T3428">
        <f>IFERROR(VLOOKUP(A3428,Table1[[Customer ID]:[Discount Amount]], 6, FALSE),"Not Found")</f>
        <v>35</v>
      </c>
      <c r="U3428" t="str">
        <f t="shared" si="213"/>
        <v>Credit Card</v>
      </c>
      <c r="V3428" s="4" t="str">
        <f t="shared" si="214"/>
        <v>Normal</v>
      </c>
      <c r="W3428" s="4" t="str">
        <f t="shared" si="215"/>
        <v>Good</v>
      </c>
      <c r="X3428" s="4">
        <f>AVERAGE(Table1[Purchase Amount])</f>
        <v>129.48419400000012</v>
      </c>
    </row>
    <row r="3429" spans="1:24" ht="15" customHeight="1" x14ac:dyDescent="0.25">
      <c r="A3429">
        <v>3428</v>
      </c>
      <c r="B3429">
        <v>39</v>
      </c>
      <c r="C3429" t="s">
        <v>16</v>
      </c>
      <c r="D3429" t="s">
        <v>17</v>
      </c>
      <c r="E3429" t="s">
        <v>18</v>
      </c>
      <c r="F3429" s="2">
        <v>38</v>
      </c>
      <c r="G3429" t="s">
        <v>113</v>
      </c>
      <c r="H3429" t="s">
        <v>20</v>
      </c>
      <c r="I3429" t="s">
        <v>156</v>
      </c>
      <c r="J3429" t="s">
        <v>22</v>
      </c>
      <c r="K3429">
        <v>2.5</v>
      </c>
      <c r="L3429" t="s">
        <v>23</v>
      </c>
      <c r="M3429" t="s">
        <v>48</v>
      </c>
      <c r="N3429" t="s">
        <v>23</v>
      </c>
      <c r="O3429">
        <v>44</v>
      </c>
      <c r="P3429" t="s">
        <v>25</v>
      </c>
      <c r="Q3429" t="s">
        <v>49</v>
      </c>
      <c r="R3429" s="1">
        <v>0.1</v>
      </c>
      <c r="S3429">
        <f t="shared" si="212"/>
        <v>34.200000000000003</v>
      </c>
      <c r="T3429">
        <f>IFERROR(VLOOKUP(A3429,Table1[[Customer ID]:[Discount Amount]], 6, FALSE),"Not Found")</f>
        <v>38</v>
      </c>
      <c r="U3429" t="str">
        <f t="shared" si="213"/>
        <v>Cash</v>
      </c>
      <c r="V3429" s="4" t="str">
        <f t="shared" si="214"/>
        <v>Normal</v>
      </c>
      <c r="W3429" s="4" t="str">
        <f t="shared" si="215"/>
        <v>Poor</v>
      </c>
      <c r="X3429" s="4">
        <f>AVERAGE(Table1[Purchase Amount])</f>
        <v>129.48419400000012</v>
      </c>
    </row>
    <row r="3430" spans="1:24" ht="15" customHeight="1" x14ac:dyDescent="0.25">
      <c r="A3430">
        <v>3429</v>
      </c>
      <c r="B3430">
        <v>32</v>
      </c>
      <c r="C3430" t="s">
        <v>16</v>
      </c>
      <c r="D3430" t="s">
        <v>50</v>
      </c>
      <c r="E3430" t="s">
        <v>29</v>
      </c>
      <c r="F3430" s="2">
        <v>69</v>
      </c>
      <c r="G3430" t="s">
        <v>155</v>
      </c>
      <c r="H3430" t="s">
        <v>31</v>
      </c>
      <c r="I3430" t="s">
        <v>85</v>
      </c>
      <c r="J3430" t="s">
        <v>47</v>
      </c>
      <c r="K3430">
        <v>2.5</v>
      </c>
      <c r="L3430" t="s">
        <v>23</v>
      </c>
      <c r="M3430" t="s">
        <v>79</v>
      </c>
      <c r="N3430" t="s">
        <v>23</v>
      </c>
      <c r="O3430">
        <v>20</v>
      </c>
      <c r="P3430" t="s">
        <v>62</v>
      </c>
      <c r="Q3430" t="s">
        <v>42</v>
      </c>
      <c r="R3430" s="1">
        <v>0.1</v>
      </c>
      <c r="S3430">
        <f t="shared" si="212"/>
        <v>62.1</v>
      </c>
      <c r="T3430">
        <f>IFERROR(VLOOKUP(A3430,Table1[[Customer ID]:[Discount Amount]], 6, FALSE),"Not Found")</f>
        <v>69</v>
      </c>
      <c r="U3430" t="str">
        <f t="shared" si="213"/>
        <v>Venmo</v>
      </c>
      <c r="V3430" s="4" t="str">
        <f t="shared" si="214"/>
        <v>Normal</v>
      </c>
      <c r="W3430" s="4" t="str">
        <f t="shared" si="215"/>
        <v>Poor</v>
      </c>
      <c r="X3430" s="4">
        <f>AVERAGE(Table1[Purchase Amount])</f>
        <v>129.48419400000012</v>
      </c>
    </row>
    <row r="3431" spans="1:24" ht="15" customHeight="1" x14ac:dyDescent="0.25">
      <c r="A3431">
        <v>3430</v>
      </c>
      <c r="B3431">
        <v>27</v>
      </c>
      <c r="C3431" t="s">
        <v>16</v>
      </c>
      <c r="D3431" t="s">
        <v>122</v>
      </c>
      <c r="E3431" t="s">
        <v>18</v>
      </c>
      <c r="F3431" s="2">
        <v>96</v>
      </c>
      <c r="G3431" t="s">
        <v>148</v>
      </c>
      <c r="H3431" t="s">
        <v>55</v>
      </c>
      <c r="I3431" t="s">
        <v>66</v>
      </c>
      <c r="J3431" t="s">
        <v>22</v>
      </c>
      <c r="K3431">
        <v>4.5999999999999996</v>
      </c>
      <c r="L3431" t="s">
        <v>23</v>
      </c>
      <c r="M3431" t="s">
        <v>61</v>
      </c>
      <c r="N3431" t="s">
        <v>23</v>
      </c>
      <c r="O3431">
        <v>34</v>
      </c>
      <c r="P3431" t="s">
        <v>36</v>
      </c>
      <c r="Q3431" t="s">
        <v>26</v>
      </c>
      <c r="R3431" s="1">
        <v>0.1</v>
      </c>
      <c r="S3431">
        <f t="shared" si="212"/>
        <v>86.4</v>
      </c>
      <c r="T3431">
        <f>IFERROR(VLOOKUP(A3431,Table1[[Customer ID]:[Discount Amount]], 6, FALSE),"Not Found")</f>
        <v>96</v>
      </c>
      <c r="U3431" t="str">
        <f t="shared" si="213"/>
        <v>Debit Card</v>
      </c>
      <c r="V3431" s="4" t="str">
        <f t="shared" si="214"/>
        <v>Normal</v>
      </c>
      <c r="W3431" s="4" t="str">
        <f t="shared" si="215"/>
        <v>Good</v>
      </c>
      <c r="X3431" s="4">
        <f>AVERAGE(Table1[Purchase Amount])</f>
        <v>129.48419400000012</v>
      </c>
    </row>
    <row r="3432" spans="1:24" ht="15" customHeight="1" x14ac:dyDescent="0.25">
      <c r="A3432">
        <v>3431</v>
      </c>
      <c r="B3432">
        <v>67</v>
      </c>
      <c r="C3432" t="s">
        <v>16</v>
      </c>
      <c r="D3432" t="s">
        <v>105</v>
      </c>
      <c r="E3432" t="s">
        <v>18</v>
      </c>
      <c r="F3432" s="2">
        <v>73</v>
      </c>
      <c r="G3432" t="s">
        <v>39</v>
      </c>
      <c r="H3432" t="s">
        <v>31</v>
      </c>
      <c r="I3432" t="s">
        <v>107</v>
      </c>
      <c r="J3432" t="s">
        <v>22</v>
      </c>
      <c r="K3432">
        <v>4.2</v>
      </c>
      <c r="L3432" t="s">
        <v>23</v>
      </c>
      <c r="M3432" t="s">
        <v>79</v>
      </c>
      <c r="N3432" t="s">
        <v>23</v>
      </c>
      <c r="O3432">
        <v>17</v>
      </c>
      <c r="P3432" t="s">
        <v>88</v>
      </c>
      <c r="Q3432" t="s">
        <v>63</v>
      </c>
      <c r="R3432" s="1">
        <v>0.1</v>
      </c>
      <c r="S3432">
        <f t="shared" si="212"/>
        <v>65.7</v>
      </c>
      <c r="T3432">
        <f>IFERROR(VLOOKUP(A3432,Table1[[Customer ID]:[Discount Amount]], 6, FALSE),"Not Found")</f>
        <v>73</v>
      </c>
      <c r="U3432" t="str">
        <f t="shared" si="213"/>
        <v>Bank Transfer</v>
      </c>
      <c r="V3432" s="4" t="str">
        <f t="shared" si="214"/>
        <v>Normal</v>
      </c>
      <c r="W3432" s="4" t="str">
        <f t="shared" si="215"/>
        <v>Good</v>
      </c>
      <c r="X3432" s="4">
        <f>AVERAGE(Table1[Purchase Amount])</f>
        <v>129.48419400000012</v>
      </c>
    </row>
    <row r="3433" spans="1:24" ht="15" customHeight="1" x14ac:dyDescent="0.25">
      <c r="A3433">
        <v>3432</v>
      </c>
      <c r="B3433">
        <v>46</v>
      </c>
      <c r="C3433" t="s">
        <v>16</v>
      </c>
      <c r="D3433" t="s">
        <v>114</v>
      </c>
      <c r="E3433" t="s">
        <v>29</v>
      </c>
      <c r="F3433" s="2">
        <v>49</v>
      </c>
      <c r="G3433" t="s">
        <v>110</v>
      </c>
      <c r="H3433" t="s">
        <v>55</v>
      </c>
      <c r="I3433" t="s">
        <v>93</v>
      </c>
      <c r="J3433" t="s">
        <v>57</v>
      </c>
      <c r="K3433">
        <v>4.2</v>
      </c>
      <c r="L3433" t="s">
        <v>23</v>
      </c>
      <c r="M3433" t="s">
        <v>61</v>
      </c>
      <c r="N3433" t="s">
        <v>23</v>
      </c>
      <c r="O3433">
        <v>20</v>
      </c>
      <c r="P3433" t="s">
        <v>62</v>
      </c>
      <c r="Q3433" t="s">
        <v>49</v>
      </c>
      <c r="R3433" s="1">
        <v>0.1</v>
      </c>
      <c r="S3433">
        <f t="shared" si="212"/>
        <v>44.1</v>
      </c>
      <c r="T3433">
        <f>IFERROR(VLOOKUP(A3433,Table1[[Customer ID]:[Discount Amount]], 6, FALSE),"Not Found")</f>
        <v>49</v>
      </c>
      <c r="U3433" t="str">
        <f t="shared" si="213"/>
        <v>Venmo</v>
      </c>
      <c r="V3433" s="4" t="str">
        <f t="shared" si="214"/>
        <v>Normal</v>
      </c>
      <c r="W3433" s="4" t="str">
        <f t="shared" si="215"/>
        <v>Good</v>
      </c>
      <c r="X3433" s="4">
        <f>AVERAGE(Table1[Purchase Amount])</f>
        <v>129.48419400000012</v>
      </c>
    </row>
    <row r="3434" spans="1:24" ht="15" customHeight="1" x14ac:dyDescent="0.25">
      <c r="A3434">
        <v>3433</v>
      </c>
      <c r="B3434">
        <v>36</v>
      </c>
      <c r="C3434" t="s">
        <v>16</v>
      </c>
      <c r="D3434" t="s">
        <v>151</v>
      </c>
      <c r="E3434" t="s">
        <v>98</v>
      </c>
      <c r="F3434" s="2">
        <v>44</v>
      </c>
      <c r="G3434" t="s">
        <v>115</v>
      </c>
      <c r="H3434" t="s">
        <v>31</v>
      </c>
      <c r="I3434" t="s">
        <v>85</v>
      </c>
      <c r="J3434" t="s">
        <v>57</v>
      </c>
      <c r="K3434">
        <v>4.8</v>
      </c>
      <c r="L3434" t="s">
        <v>23</v>
      </c>
      <c r="M3434" t="s">
        <v>41</v>
      </c>
      <c r="N3434" t="s">
        <v>23</v>
      </c>
      <c r="O3434">
        <v>46</v>
      </c>
      <c r="P3434" t="s">
        <v>58</v>
      </c>
      <c r="Q3434" t="s">
        <v>63</v>
      </c>
      <c r="R3434" s="1">
        <v>0.1</v>
      </c>
      <c r="S3434">
        <f t="shared" si="212"/>
        <v>39.6</v>
      </c>
      <c r="T3434">
        <f>IFERROR(VLOOKUP(A3434,Table1[[Customer ID]:[Discount Amount]], 6, FALSE),"Not Found")</f>
        <v>44</v>
      </c>
      <c r="U3434" t="str">
        <f t="shared" si="213"/>
        <v>PayPal</v>
      </c>
      <c r="V3434" s="4" t="str">
        <f t="shared" si="214"/>
        <v>Normal</v>
      </c>
      <c r="W3434" s="4" t="str">
        <f t="shared" si="215"/>
        <v>Good</v>
      </c>
      <c r="X3434" s="4">
        <f>AVERAGE(Table1[Purchase Amount])</f>
        <v>129.48419400000012</v>
      </c>
    </row>
    <row r="3435" spans="1:24" ht="15" customHeight="1" x14ac:dyDescent="0.25">
      <c r="A3435">
        <v>3434</v>
      </c>
      <c r="B3435">
        <v>62</v>
      </c>
      <c r="C3435" t="s">
        <v>16</v>
      </c>
      <c r="D3435" t="s">
        <v>105</v>
      </c>
      <c r="E3435" t="s">
        <v>18</v>
      </c>
      <c r="F3435" s="2">
        <v>93</v>
      </c>
      <c r="G3435" t="s">
        <v>148</v>
      </c>
      <c r="H3435" t="s">
        <v>31</v>
      </c>
      <c r="I3435" t="s">
        <v>52</v>
      </c>
      <c r="J3435" t="s">
        <v>33</v>
      </c>
      <c r="K3435">
        <v>4.5</v>
      </c>
      <c r="L3435" t="s">
        <v>23</v>
      </c>
      <c r="M3435" t="s">
        <v>35</v>
      </c>
      <c r="N3435" t="s">
        <v>23</v>
      </c>
      <c r="O3435">
        <v>28</v>
      </c>
      <c r="P3435" t="s">
        <v>58</v>
      </c>
      <c r="Q3435" t="s">
        <v>49</v>
      </c>
      <c r="R3435" s="1">
        <v>0.1</v>
      </c>
      <c r="S3435">
        <f t="shared" si="212"/>
        <v>83.7</v>
      </c>
      <c r="T3435">
        <f>IFERROR(VLOOKUP(A3435,Table1[[Customer ID]:[Discount Amount]], 6, FALSE),"Not Found")</f>
        <v>93</v>
      </c>
      <c r="U3435" t="str">
        <f t="shared" si="213"/>
        <v>PayPal</v>
      </c>
      <c r="V3435" s="4" t="str">
        <f t="shared" si="214"/>
        <v>Normal</v>
      </c>
      <c r="W3435" s="4" t="str">
        <f t="shared" si="215"/>
        <v>Good</v>
      </c>
      <c r="X3435" s="4">
        <f>AVERAGE(Table1[Purchase Amount])</f>
        <v>129.48419400000012</v>
      </c>
    </row>
    <row r="3436" spans="1:24" ht="15" customHeight="1" x14ac:dyDescent="0.25">
      <c r="A3436">
        <v>3435</v>
      </c>
      <c r="B3436">
        <v>31</v>
      </c>
      <c r="C3436" t="s">
        <v>16</v>
      </c>
      <c r="D3436" t="s">
        <v>99</v>
      </c>
      <c r="E3436" t="s">
        <v>18</v>
      </c>
      <c r="F3436" s="2">
        <v>72</v>
      </c>
      <c r="G3436" t="s">
        <v>90</v>
      </c>
      <c r="H3436" t="s">
        <v>55</v>
      </c>
      <c r="I3436" t="s">
        <v>108</v>
      </c>
      <c r="J3436" t="s">
        <v>57</v>
      </c>
      <c r="K3436">
        <v>3.3</v>
      </c>
      <c r="L3436" t="s">
        <v>23</v>
      </c>
      <c r="M3436" t="s">
        <v>41</v>
      </c>
      <c r="N3436" t="s">
        <v>23</v>
      </c>
      <c r="O3436">
        <v>6</v>
      </c>
      <c r="P3436" t="s">
        <v>62</v>
      </c>
      <c r="Q3436" t="s">
        <v>89</v>
      </c>
      <c r="R3436" s="1">
        <v>0.1</v>
      </c>
      <c r="S3436">
        <f t="shared" si="212"/>
        <v>64.8</v>
      </c>
      <c r="T3436">
        <f>IFERROR(VLOOKUP(A3436,Table1[[Customer ID]:[Discount Amount]], 6, FALSE),"Not Found")</f>
        <v>72</v>
      </c>
      <c r="U3436" t="str">
        <f t="shared" si="213"/>
        <v>Venmo</v>
      </c>
      <c r="V3436" s="4" t="str">
        <f t="shared" si="214"/>
        <v>Normal</v>
      </c>
      <c r="W3436" s="4" t="str">
        <f t="shared" si="215"/>
        <v>Good</v>
      </c>
      <c r="X3436" s="4">
        <f>AVERAGE(Table1[Purchase Amount])</f>
        <v>129.48419400000012</v>
      </c>
    </row>
    <row r="3437" spans="1:24" ht="15" customHeight="1" x14ac:dyDescent="0.25">
      <c r="A3437">
        <v>3436</v>
      </c>
      <c r="B3437">
        <v>68</v>
      </c>
      <c r="C3437" t="s">
        <v>16</v>
      </c>
      <c r="D3437" t="s">
        <v>105</v>
      </c>
      <c r="E3437" t="s">
        <v>18</v>
      </c>
      <c r="F3437" s="2">
        <v>91</v>
      </c>
      <c r="G3437" t="s">
        <v>39</v>
      </c>
      <c r="H3437" t="s">
        <v>31</v>
      </c>
      <c r="I3437" t="s">
        <v>56</v>
      </c>
      <c r="J3437" t="s">
        <v>57</v>
      </c>
      <c r="K3437">
        <v>2.7</v>
      </c>
      <c r="L3437" t="s">
        <v>23</v>
      </c>
      <c r="M3437" t="s">
        <v>41</v>
      </c>
      <c r="N3437" t="s">
        <v>23</v>
      </c>
      <c r="O3437">
        <v>50</v>
      </c>
      <c r="P3437" t="s">
        <v>36</v>
      </c>
      <c r="Q3437" t="s">
        <v>68</v>
      </c>
      <c r="R3437" s="1">
        <v>0.1</v>
      </c>
      <c r="S3437">
        <f t="shared" si="212"/>
        <v>81.900000000000006</v>
      </c>
      <c r="T3437">
        <f>IFERROR(VLOOKUP(A3437,Table1[[Customer ID]:[Discount Amount]], 6, FALSE),"Not Found")</f>
        <v>91</v>
      </c>
      <c r="U3437" t="str">
        <f t="shared" si="213"/>
        <v>Debit Card</v>
      </c>
      <c r="V3437" s="4" t="str">
        <f t="shared" si="214"/>
        <v>Normal</v>
      </c>
      <c r="W3437" s="4" t="str">
        <f t="shared" si="215"/>
        <v>Poor</v>
      </c>
      <c r="X3437" s="4">
        <f>AVERAGE(Table1[Purchase Amount])</f>
        <v>129.48419400000012</v>
      </c>
    </row>
    <row r="3438" spans="1:24" ht="15" customHeight="1" x14ac:dyDescent="0.25">
      <c r="A3438">
        <v>3437</v>
      </c>
      <c r="B3438">
        <v>57</v>
      </c>
      <c r="C3438" t="s">
        <v>16</v>
      </c>
      <c r="D3438" t="s">
        <v>114</v>
      </c>
      <c r="E3438" t="s">
        <v>29</v>
      </c>
      <c r="F3438" s="2">
        <v>83</v>
      </c>
      <c r="G3438" t="s">
        <v>137</v>
      </c>
      <c r="H3438" t="s">
        <v>45</v>
      </c>
      <c r="I3438" t="s">
        <v>145</v>
      </c>
      <c r="J3438" t="s">
        <v>22</v>
      </c>
      <c r="K3438">
        <v>2.8</v>
      </c>
      <c r="L3438" t="s">
        <v>23</v>
      </c>
      <c r="M3438" t="s">
        <v>41</v>
      </c>
      <c r="N3438" t="s">
        <v>23</v>
      </c>
      <c r="O3438">
        <v>41</v>
      </c>
      <c r="P3438" t="s">
        <v>88</v>
      </c>
      <c r="Q3438" t="s">
        <v>42</v>
      </c>
      <c r="R3438" s="1">
        <v>0.1</v>
      </c>
      <c r="S3438">
        <f t="shared" si="212"/>
        <v>74.7</v>
      </c>
      <c r="T3438">
        <f>IFERROR(VLOOKUP(A3438,Table1[[Customer ID]:[Discount Amount]], 6, FALSE),"Not Found")</f>
        <v>83</v>
      </c>
      <c r="U3438" t="str">
        <f t="shared" si="213"/>
        <v>Bank Transfer</v>
      </c>
      <c r="V3438" s="4" t="str">
        <f t="shared" si="214"/>
        <v>Normal</v>
      </c>
      <c r="W3438" s="4" t="str">
        <f t="shared" si="215"/>
        <v>Poor</v>
      </c>
      <c r="X3438" s="4">
        <f>AVERAGE(Table1[Purchase Amount])</f>
        <v>129.48419400000012</v>
      </c>
    </row>
    <row r="3439" spans="1:24" ht="15" customHeight="1" x14ac:dyDescent="0.25">
      <c r="A3439">
        <v>3438</v>
      </c>
      <c r="B3439">
        <v>22</v>
      </c>
      <c r="C3439" t="s">
        <v>16</v>
      </c>
      <c r="D3439" t="s">
        <v>96</v>
      </c>
      <c r="E3439" t="s">
        <v>77</v>
      </c>
      <c r="F3439" s="2">
        <v>62</v>
      </c>
      <c r="G3439" t="s">
        <v>142</v>
      </c>
      <c r="H3439" t="s">
        <v>55</v>
      </c>
      <c r="I3439" t="s">
        <v>93</v>
      </c>
      <c r="J3439" t="s">
        <v>22</v>
      </c>
      <c r="K3439">
        <v>3.5</v>
      </c>
      <c r="L3439" t="s">
        <v>23</v>
      </c>
      <c r="M3439" t="s">
        <v>41</v>
      </c>
      <c r="N3439" t="s">
        <v>23</v>
      </c>
      <c r="O3439">
        <v>50</v>
      </c>
      <c r="P3439" t="s">
        <v>58</v>
      </c>
      <c r="Q3439" t="s">
        <v>49</v>
      </c>
      <c r="R3439" s="1">
        <v>0.1</v>
      </c>
      <c r="S3439">
        <f t="shared" si="212"/>
        <v>55.8</v>
      </c>
      <c r="T3439">
        <f>IFERROR(VLOOKUP(A3439,Table1[[Customer ID]:[Discount Amount]], 6, FALSE),"Not Found")</f>
        <v>62</v>
      </c>
      <c r="U3439" t="str">
        <f t="shared" si="213"/>
        <v>PayPal</v>
      </c>
      <c r="V3439" s="4" t="str">
        <f t="shared" si="214"/>
        <v>Normal</v>
      </c>
      <c r="W3439" s="4" t="str">
        <f t="shared" si="215"/>
        <v>Good</v>
      </c>
      <c r="X3439" s="4">
        <f>AVERAGE(Table1[Purchase Amount])</f>
        <v>129.48419400000012</v>
      </c>
    </row>
    <row r="3440" spans="1:24" ht="15" customHeight="1" x14ac:dyDescent="0.25">
      <c r="A3440">
        <v>3439</v>
      </c>
      <c r="B3440">
        <v>26</v>
      </c>
      <c r="C3440" t="s">
        <v>16</v>
      </c>
      <c r="D3440" t="s">
        <v>38</v>
      </c>
      <c r="E3440" t="s">
        <v>18</v>
      </c>
      <c r="F3440" s="2">
        <v>71</v>
      </c>
      <c r="G3440" t="s">
        <v>70</v>
      </c>
      <c r="H3440" t="s">
        <v>31</v>
      </c>
      <c r="I3440" t="s">
        <v>111</v>
      </c>
      <c r="J3440" t="s">
        <v>47</v>
      </c>
      <c r="K3440">
        <v>3</v>
      </c>
      <c r="L3440" t="s">
        <v>23</v>
      </c>
      <c r="M3440" t="s">
        <v>48</v>
      </c>
      <c r="N3440" t="s">
        <v>23</v>
      </c>
      <c r="O3440">
        <v>33</v>
      </c>
      <c r="P3440" t="s">
        <v>53</v>
      </c>
      <c r="Q3440" t="s">
        <v>42</v>
      </c>
      <c r="R3440" s="1">
        <v>0.1</v>
      </c>
      <c r="S3440">
        <f t="shared" si="212"/>
        <v>63.9</v>
      </c>
      <c r="T3440">
        <f>IFERROR(VLOOKUP(A3440,Table1[[Customer ID]:[Discount Amount]], 6, FALSE),"Not Found")</f>
        <v>71</v>
      </c>
      <c r="U3440" t="str">
        <f t="shared" si="213"/>
        <v>Credit Card</v>
      </c>
      <c r="V3440" s="4" t="str">
        <f t="shared" si="214"/>
        <v>Normal</v>
      </c>
      <c r="W3440" s="4" t="str">
        <f t="shared" si="215"/>
        <v>Good</v>
      </c>
      <c r="X3440" s="4">
        <f>AVERAGE(Table1[Purchase Amount])</f>
        <v>129.48419400000012</v>
      </c>
    </row>
    <row r="3441" spans="1:24" ht="15" customHeight="1" x14ac:dyDescent="0.25">
      <c r="A3441">
        <v>3440</v>
      </c>
      <c r="B3441">
        <v>43</v>
      </c>
      <c r="C3441" t="s">
        <v>16</v>
      </c>
      <c r="D3441" t="s">
        <v>43</v>
      </c>
      <c r="E3441" t="s">
        <v>29</v>
      </c>
      <c r="F3441" s="2">
        <v>93</v>
      </c>
      <c r="G3441" t="s">
        <v>161</v>
      </c>
      <c r="H3441" t="s">
        <v>31</v>
      </c>
      <c r="I3441" t="s">
        <v>85</v>
      </c>
      <c r="J3441" t="s">
        <v>57</v>
      </c>
      <c r="K3441">
        <v>4.5</v>
      </c>
      <c r="L3441" t="s">
        <v>23</v>
      </c>
      <c r="M3441" t="s">
        <v>61</v>
      </c>
      <c r="N3441" t="s">
        <v>23</v>
      </c>
      <c r="O3441">
        <v>25</v>
      </c>
      <c r="P3441" t="s">
        <v>62</v>
      </c>
      <c r="Q3441" t="s">
        <v>37</v>
      </c>
      <c r="R3441" s="1">
        <v>0.1</v>
      </c>
      <c r="S3441">
        <f t="shared" si="212"/>
        <v>83.7</v>
      </c>
      <c r="T3441">
        <f>IFERROR(VLOOKUP(A3441,Table1[[Customer ID]:[Discount Amount]], 6, FALSE),"Not Found")</f>
        <v>93</v>
      </c>
      <c r="U3441" t="str">
        <f t="shared" si="213"/>
        <v>Venmo</v>
      </c>
      <c r="V3441" s="4" t="str">
        <f t="shared" si="214"/>
        <v>Normal</v>
      </c>
      <c r="W3441" s="4" t="str">
        <f t="shared" si="215"/>
        <v>Good</v>
      </c>
      <c r="X3441" s="4">
        <f>AVERAGE(Table1[Purchase Amount])</f>
        <v>129.48419400000012</v>
      </c>
    </row>
    <row r="3442" spans="1:24" ht="15" customHeight="1" x14ac:dyDescent="0.25">
      <c r="A3442">
        <v>3441</v>
      </c>
      <c r="B3442">
        <v>45</v>
      </c>
      <c r="C3442" t="s">
        <v>16</v>
      </c>
      <c r="D3442" t="s">
        <v>69</v>
      </c>
      <c r="E3442" t="s">
        <v>29</v>
      </c>
      <c r="F3442" s="2">
        <v>63</v>
      </c>
      <c r="G3442" t="s">
        <v>106</v>
      </c>
      <c r="H3442" t="s">
        <v>45</v>
      </c>
      <c r="I3442" t="s">
        <v>87</v>
      </c>
      <c r="J3442" t="s">
        <v>47</v>
      </c>
      <c r="K3442">
        <v>4.3</v>
      </c>
      <c r="L3442" t="s">
        <v>23</v>
      </c>
      <c r="M3442" t="s">
        <v>41</v>
      </c>
      <c r="N3442" t="s">
        <v>23</v>
      </c>
      <c r="O3442">
        <v>2</v>
      </c>
      <c r="P3442" t="s">
        <v>58</v>
      </c>
      <c r="Q3442" t="s">
        <v>26</v>
      </c>
      <c r="R3442" s="1">
        <v>0.1</v>
      </c>
      <c r="S3442">
        <f t="shared" si="212"/>
        <v>56.7</v>
      </c>
      <c r="T3442">
        <f>IFERROR(VLOOKUP(A3442,Table1[[Customer ID]:[Discount Amount]], 6, FALSE),"Not Found")</f>
        <v>63</v>
      </c>
      <c r="U3442" t="str">
        <f t="shared" si="213"/>
        <v>PayPal</v>
      </c>
      <c r="V3442" s="4" t="str">
        <f t="shared" si="214"/>
        <v>Normal</v>
      </c>
      <c r="W3442" s="4" t="str">
        <f t="shared" si="215"/>
        <v>Good</v>
      </c>
      <c r="X3442" s="4">
        <f>AVERAGE(Table1[Purchase Amount])</f>
        <v>129.48419400000012</v>
      </c>
    </row>
    <row r="3443" spans="1:24" ht="15" customHeight="1" x14ac:dyDescent="0.25">
      <c r="A3443">
        <v>3442</v>
      </c>
      <c r="B3443">
        <v>64</v>
      </c>
      <c r="C3443" t="s">
        <v>16</v>
      </c>
      <c r="D3443" t="s">
        <v>127</v>
      </c>
      <c r="E3443" t="s">
        <v>18</v>
      </c>
      <c r="F3443" s="2">
        <v>96</v>
      </c>
      <c r="G3443" t="s">
        <v>65</v>
      </c>
      <c r="H3443" t="s">
        <v>20</v>
      </c>
      <c r="I3443" t="s">
        <v>103</v>
      </c>
      <c r="J3443" t="s">
        <v>47</v>
      </c>
      <c r="K3443">
        <v>4.0999999999999996</v>
      </c>
      <c r="L3443" t="s">
        <v>23</v>
      </c>
      <c r="M3443" t="s">
        <v>24</v>
      </c>
      <c r="N3443" t="s">
        <v>23</v>
      </c>
      <c r="O3443">
        <v>15</v>
      </c>
      <c r="P3443" t="s">
        <v>53</v>
      </c>
      <c r="Q3443" t="s">
        <v>49</v>
      </c>
      <c r="R3443" s="1">
        <v>0.1</v>
      </c>
      <c r="S3443">
        <f t="shared" si="212"/>
        <v>86.4</v>
      </c>
      <c r="T3443">
        <f>IFERROR(VLOOKUP(A3443,Table1[[Customer ID]:[Discount Amount]], 6, FALSE),"Not Found")</f>
        <v>96</v>
      </c>
      <c r="U3443" t="str">
        <f t="shared" si="213"/>
        <v>Credit Card</v>
      </c>
      <c r="V3443" s="4" t="str">
        <f t="shared" si="214"/>
        <v>Normal</v>
      </c>
      <c r="W3443" s="4" t="str">
        <f t="shared" si="215"/>
        <v>Good</v>
      </c>
      <c r="X3443" s="4">
        <f>AVERAGE(Table1[Purchase Amount])</f>
        <v>129.48419400000012</v>
      </c>
    </row>
    <row r="3444" spans="1:24" ht="15" customHeight="1" x14ac:dyDescent="0.25">
      <c r="A3444">
        <v>3443</v>
      </c>
      <c r="B3444">
        <v>28</v>
      </c>
      <c r="C3444" t="s">
        <v>16</v>
      </c>
      <c r="D3444" t="s">
        <v>122</v>
      </c>
      <c r="E3444" t="s">
        <v>18</v>
      </c>
      <c r="F3444" s="2">
        <v>78</v>
      </c>
      <c r="G3444" t="s">
        <v>113</v>
      </c>
      <c r="H3444" t="s">
        <v>31</v>
      </c>
      <c r="I3444" t="s">
        <v>111</v>
      </c>
      <c r="J3444" t="s">
        <v>33</v>
      </c>
      <c r="K3444">
        <v>4.3</v>
      </c>
      <c r="L3444" t="s">
        <v>23</v>
      </c>
      <c r="M3444" t="s">
        <v>79</v>
      </c>
      <c r="N3444" t="s">
        <v>23</v>
      </c>
      <c r="O3444">
        <v>12</v>
      </c>
      <c r="P3444" t="s">
        <v>58</v>
      </c>
      <c r="Q3444" t="s">
        <v>26</v>
      </c>
      <c r="R3444" s="1">
        <v>0.1</v>
      </c>
      <c r="S3444">
        <f t="shared" si="212"/>
        <v>70.2</v>
      </c>
      <c r="T3444">
        <f>IFERROR(VLOOKUP(A3444,Table1[[Customer ID]:[Discount Amount]], 6, FALSE),"Not Found")</f>
        <v>78</v>
      </c>
      <c r="U3444" t="str">
        <f t="shared" si="213"/>
        <v>PayPal</v>
      </c>
      <c r="V3444" s="4" t="str">
        <f t="shared" si="214"/>
        <v>Normal</v>
      </c>
      <c r="W3444" s="4" t="str">
        <f t="shared" si="215"/>
        <v>Good</v>
      </c>
      <c r="X3444" s="4">
        <f>AVERAGE(Table1[Purchase Amount])</f>
        <v>129.48419400000012</v>
      </c>
    </row>
    <row r="3445" spans="1:24" ht="15" customHeight="1" x14ac:dyDescent="0.25">
      <c r="A3445">
        <v>3444</v>
      </c>
      <c r="B3445">
        <v>47</v>
      </c>
      <c r="C3445" t="s">
        <v>16</v>
      </c>
      <c r="D3445" t="s">
        <v>157</v>
      </c>
      <c r="E3445" t="s">
        <v>18</v>
      </c>
      <c r="F3445" s="2">
        <v>24</v>
      </c>
      <c r="G3445" t="s">
        <v>65</v>
      </c>
      <c r="H3445" t="s">
        <v>45</v>
      </c>
      <c r="I3445" t="s">
        <v>153</v>
      </c>
      <c r="J3445" t="s">
        <v>57</v>
      </c>
      <c r="K3445">
        <v>5</v>
      </c>
      <c r="L3445" t="s">
        <v>23</v>
      </c>
      <c r="M3445" t="s">
        <v>35</v>
      </c>
      <c r="N3445" t="s">
        <v>23</v>
      </c>
      <c r="O3445">
        <v>28</v>
      </c>
      <c r="P3445" t="s">
        <v>25</v>
      </c>
      <c r="Q3445" t="s">
        <v>68</v>
      </c>
      <c r="R3445" s="1">
        <v>0.1</v>
      </c>
      <c r="S3445">
        <f t="shared" si="212"/>
        <v>21.6</v>
      </c>
      <c r="T3445">
        <f>IFERROR(VLOOKUP(A3445,Table1[[Customer ID]:[Discount Amount]], 6, FALSE),"Not Found")</f>
        <v>24</v>
      </c>
      <c r="U3445" t="str">
        <f t="shared" si="213"/>
        <v>Cash</v>
      </c>
      <c r="V3445" s="4" t="str">
        <f t="shared" si="214"/>
        <v>Normal</v>
      </c>
      <c r="W3445" s="4" t="str">
        <f t="shared" si="215"/>
        <v>Good</v>
      </c>
      <c r="X3445" s="4">
        <f>AVERAGE(Table1[Purchase Amount])</f>
        <v>129.48419400000012</v>
      </c>
    </row>
    <row r="3446" spans="1:24" ht="15" customHeight="1" x14ac:dyDescent="0.25">
      <c r="A3446">
        <v>3445</v>
      </c>
      <c r="B3446">
        <v>53</v>
      </c>
      <c r="C3446" t="s">
        <v>16</v>
      </c>
      <c r="D3446" t="s">
        <v>99</v>
      </c>
      <c r="E3446" t="s">
        <v>18</v>
      </c>
      <c r="F3446" s="2">
        <v>63</v>
      </c>
      <c r="G3446" t="s">
        <v>159</v>
      </c>
      <c r="H3446" t="s">
        <v>55</v>
      </c>
      <c r="I3446" t="s">
        <v>93</v>
      </c>
      <c r="J3446" t="s">
        <v>57</v>
      </c>
      <c r="K3446">
        <v>3.8</v>
      </c>
      <c r="L3446" t="s">
        <v>23</v>
      </c>
      <c r="M3446" t="s">
        <v>41</v>
      </c>
      <c r="N3446" t="s">
        <v>23</v>
      </c>
      <c r="O3446">
        <v>12</v>
      </c>
      <c r="P3446" t="s">
        <v>88</v>
      </c>
      <c r="Q3446" t="s">
        <v>68</v>
      </c>
      <c r="R3446" s="1">
        <v>0.1</v>
      </c>
      <c r="S3446">
        <f t="shared" si="212"/>
        <v>56.7</v>
      </c>
      <c r="T3446">
        <f>IFERROR(VLOOKUP(A3446,Table1[[Customer ID]:[Discount Amount]], 6, FALSE),"Not Found")</f>
        <v>63</v>
      </c>
      <c r="U3446" t="str">
        <f t="shared" si="213"/>
        <v>Bank Transfer</v>
      </c>
      <c r="V3446" s="4" t="str">
        <f t="shared" si="214"/>
        <v>Normal</v>
      </c>
      <c r="W3446" s="4" t="str">
        <f t="shared" si="215"/>
        <v>Good</v>
      </c>
      <c r="X3446" s="4">
        <f>AVERAGE(Table1[Purchase Amount])</f>
        <v>129.48419400000012</v>
      </c>
    </row>
    <row r="3447" spans="1:24" ht="15" customHeight="1" x14ac:dyDescent="0.25">
      <c r="A3447">
        <v>3446</v>
      </c>
      <c r="B3447">
        <v>42</v>
      </c>
      <c r="C3447" t="s">
        <v>16</v>
      </c>
      <c r="D3447" t="s">
        <v>64</v>
      </c>
      <c r="E3447" t="s">
        <v>29</v>
      </c>
      <c r="F3447" s="2">
        <v>58</v>
      </c>
      <c r="G3447" t="s">
        <v>67</v>
      </c>
      <c r="H3447" t="s">
        <v>31</v>
      </c>
      <c r="I3447" t="s">
        <v>87</v>
      </c>
      <c r="J3447" t="s">
        <v>47</v>
      </c>
      <c r="K3447">
        <v>4.9000000000000004</v>
      </c>
      <c r="L3447" t="s">
        <v>23</v>
      </c>
      <c r="M3447" t="s">
        <v>24</v>
      </c>
      <c r="N3447" t="s">
        <v>23</v>
      </c>
      <c r="O3447">
        <v>3</v>
      </c>
      <c r="P3447" t="s">
        <v>36</v>
      </c>
      <c r="Q3447" t="s">
        <v>49</v>
      </c>
      <c r="R3447" s="1">
        <v>0.1</v>
      </c>
      <c r="S3447">
        <f t="shared" si="212"/>
        <v>52.2</v>
      </c>
      <c r="T3447">
        <f>IFERROR(VLOOKUP(A3447,Table1[[Customer ID]:[Discount Amount]], 6, FALSE),"Not Found")</f>
        <v>58</v>
      </c>
      <c r="U3447" t="str">
        <f t="shared" si="213"/>
        <v>Debit Card</v>
      </c>
      <c r="V3447" s="4" t="str">
        <f t="shared" si="214"/>
        <v>Normal</v>
      </c>
      <c r="W3447" s="4" t="str">
        <f t="shared" si="215"/>
        <v>Good</v>
      </c>
      <c r="X3447" s="4">
        <f>AVERAGE(Table1[Purchase Amount])</f>
        <v>129.48419400000012</v>
      </c>
    </row>
    <row r="3448" spans="1:24" ht="15" customHeight="1" x14ac:dyDescent="0.25">
      <c r="A3448">
        <v>3447</v>
      </c>
      <c r="B3448">
        <v>51</v>
      </c>
      <c r="C3448" t="s">
        <v>16</v>
      </c>
      <c r="D3448" t="s">
        <v>151</v>
      </c>
      <c r="E3448" t="s">
        <v>98</v>
      </c>
      <c r="F3448" s="2">
        <v>55</v>
      </c>
      <c r="G3448" t="s">
        <v>119</v>
      </c>
      <c r="H3448" t="s">
        <v>55</v>
      </c>
      <c r="I3448" t="s">
        <v>66</v>
      </c>
      <c r="J3448" t="s">
        <v>33</v>
      </c>
      <c r="K3448">
        <v>5</v>
      </c>
      <c r="L3448" t="s">
        <v>23</v>
      </c>
      <c r="M3448" t="s">
        <v>41</v>
      </c>
      <c r="N3448" t="s">
        <v>23</v>
      </c>
      <c r="O3448">
        <v>20</v>
      </c>
      <c r="P3448" t="s">
        <v>25</v>
      </c>
      <c r="Q3448" t="s">
        <v>26</v>
      </c>
      <c r="R3448" s="1">
        <v>0.1</v>
      </c>
      <c r="S3448">
        <f t="shared" si="212"/>
        <v>49.5</v>
      </c>
      <c r="T3448">
        <f>IFERROR(VLOOKUP(A3448,Table1[[Customer ID]:[Discount Amount]], 6, FALSE),"Not Found")</f>
        <v>55</v>
      </c>
      <c r="U3448" t="str">
        <f t="shared" si="213"/>
        <v>Cash</v>
      </c>
      <c r="V3448" s="4" t="str">
        <f t="shared" si="214"/>
        <v>Normal</v>
      </c>
      <c r="W3448" s="4" t="str">
        <f t="shared" si="215"/>
        <v>Good</v>
      </c>
      <c r="X3448" s="4">
        <f>AVERAGE(Table1[Purchase Amount])</f>
        <v>129.48419400000012</v>
      </c>
    </row>
    <row r="3449" spans="1:24" ht="15" customHeight="1" x14ac:dyDescent="0.25">
      <c r="A3449">
        <v>3448</v>
      </c>
      <c r="B3449">
        <v>62</v>
      </c>
      <c r="C3449" t="s">
        <v>16</v>
      </c>
      <c r="D3449" t="s">
        <v>121</v>
      </c>
      <c r="E3449" t="s">
        <v>98</v>
      </c>
      <c r="F3449" s="2">
        <v>58</v>
      </c>
      <c r="G3449" t="s">
        <v>100</v>
      </c>
      <c r="H3449" t="s">
        <v>31</v>
      </c>
      <c r="I3449" t="s">
        <v>74</v>
      </c>
      <c r="J3449" t="s">
        <v>47</v>
      </c>
      <c r="K3449">
        <v>4.3</v>
      </c>
      <c r="L3449" t="s">
        <v>23</v>
      </c>
      <c r="M3449" t="s">
        <v>61</v>
      </c>
      <c r="N3449" t="s">
        <v>23</v>
      </c>
      <c r="O3449">
        <v>3</v>
      </c>
      <c r="P3449" t="s">
        <v>88</v>
      </c>
      <c r="Q3449" t="s">
        <v>68</v>
      </c>
      <c r="R3449" s="1">
        <v>0.1</v>
      </c>
      <c r="S3449">
        <f t="shared" si="212"/>
        <v>52.2</v>
      </c>
      <c r="T3449">
        <f>IFERROR(VLOOKUP(A3449,Table1[[Customer ID]:[Discount Amount]], 6, FALSE),"Not Found")</f>
        <v>58</v>
      </c>
      <c r="U3449" t="str">
        <f t="shared" si="213"/>
        <v>Bank Transfer</v>
      </c>
      <c r="V3449" s="4" t="str">
        <f t="shared" si="214"/>
        <v>Normal</v>
      </c>
      <c r="W3449" s="4" t="str">
        <f t="shared" si="215"/>
        <v>Good</v>
      </c>
      <c r="X3449" s="4">
        <f>AVERAGE(Table1[Purchase Amount])</f>
        <v>129.48419400000012</v>
      </c>
    </row>
    <row r="3450" spans="1:24" ht="15" customHeight="1" x14ac:dyDescent="0.25">
      <c r="A3450">
        <v>3449</v>
      </c>
      <c r="B3450">
        <v>18</v>
      </c>
      <c r="C3450" t="s">
        <v>16</v>
      </c>
      <c r="D3450" t="s">
        <v>76</v>
      </c>
      <c r="E3450" t="s">
        <v>77</v>
      </c>
      <c r="F3450" s="2">
        <v>28</v>
      </c>
      <c r="G3450" t="s">
        <v>70</v>
      </c>
      <c r="H3450" t="s">
        <v>55</v>
      </c>
      <c r="I3450" t="s">
        <v>52</v>
      </c>
      <c r="J3450" t="s">
        <v>22</v>
      </c>
      <c r="K3450">
        <v>4.0999999999999996</v>
      </c>
      <c r="L3450" t="s">
        <v>23</v>
      </c>
      <c r="M3450" t="s">
        <v>61</v>
      </c>
      <c r="N3450" t="s">
        <v>23</v>
      </c>
      <c r="O3450">
        <v>32</v>
      </c>
      <c r="P3450" t="s">
        <v>88</v>
      </c>
      <c r="Q3450" t="s">
        <v>89</v>
      </c>
      <c r="R3450" s="1">
        <v>0.1</v>
      </c>
      <c r="S3450">
        <f t="shared" si="212"/>
        <v>25.2</v>
      </c>
      <c r="T3450">
        <f>IFERROR(VLOOKUP(A3450,Table1[[Customer ID]:[Discount Amount]], 6, FALSE),"Not Found")</f>
        <v>28</v>
      </c>
      <c r="U3450" t="str">
        <f t="shared" si="213"/>
        <v>Bank Transfer</v>
      </c>
      <c r="V3450" s="4" t="str">
        <f t="shared" si="214"/>
        <v>Normal</v>
      </c>
      <c r="W3450" s="4" t="str">
        <f t="shared" si="215"/>
        <v>Good</v>
      </c>
      <c r="X3450" s="4">
        <f>AVERAGE(Table1[Purchase Amount])</f>
        <v>129.48419400000012</v>
      </c>
    </row>
    <row r="3451" spans="1:24" ht="15" customHeight="1" x14ac:dyDescent="0.25">
      <c r="A3451">
        <v>3450</v>
      </c>
      <c r="B3451">
        <v>48</v>
      </c>
      <c r="C3451" t="s">
        <v>16</v>
      </c>
      <c r="D3451" t="s">
        <v>118</v>
      </c>
      <c r="E3451" t="s">
        <v>18</v>
      </c>
      <c r="F3451" s="2">
        <v>37</v>
      </c>
      <c r="G3451" t="s">
        <v>124</v>
      </c>
      <c r="H3451" t="s">
        <v>31</v>
      </c>
      <c r="I3451" t="s">
        <v>60</v>
      </c>
      <c r="J3451" t="s">
        <v>33</v>
      </c>
      <c r="K3451">
        <v>4.5</v>
      </c>
      <c r="L3451" t="s">
        <v>23</v>
      </c>
      <c r="M3451" t="s">
        <v>24</v>
      </c>
      <c r="N3451" t="s">
        <v>23</v>
      </c>
      <c r="O3451">
        <v>35</v>
      </c>
      <c r="P3451" t="s">
        <v>25</v>
      </c>
      <c r="Q3451" t="s">
        <v>42</v>
      </c>
      <c r="R3451" s="1">
        <v>0.1</v>
      </c>
      <c r="S3451">
        <f t="shared" si="212"/>
        <v>33.299999999999997</v>
      </c>
      <c r="T3451">
        <f>IFERROR(VLOOKUP(A3451,Table1[[Customer ID]:[Discount Amount]], 6, FALSE),"Not Found")</f>
        <v>37</v>
      </c>
      <c r="U3451" t="str">
        <f t="shared" si="213"/>
        <v>Cash</v>
      </c>
      <c r="V3451" s="4" t="str">
        <f t="shared" si="214"/>
        <v>Normal</v>
      </c>
      <c r="W3451" s="4" t="str">
        <f t="shared" si="215"/>
        <v>Good</v>
      </c>
      <c r="X3451" s="4">
        <f>AVERAGE(Table1[Purchase Amount])</f>
        <v>129.48419400000012</v>
      </c>
    </row>
    <row r="3452" spans="1:24" ht="15" customHeight="1" x14ac:dyDescent="0.25">
      <c r="A3452">
        <v>3451</v>
      </c>
      <c r="B3452">
        <v>20</v>
      </c>
      <c r="C3452" t="s">
        <v>16</v>
      </c>
      <c r="D3452" t="s">
        <v>54</v>
      </c>
      <c r="E3452" t="s">
        <v>18</v>
      </c>
      <c r="F3452" s="2">
        <v>78</v>
      </c>
      <c r="G3452" t="s">
        <v>84</v>
      </c>
      <c r="H3452" t="s">
        <v>31</v>
      </c>
      <c r="I3452" t="s">
        <v>136</v>
      </c>
      <c r="J3452" t="s">
        <v>33</v>
      </c>
      <c r="K3452">
        <v>3.6</v>
      </c>
      <c r="L3452" t="s">
        <v>23</v>
      </c>
      <c r="M3452" t="s">
        <v>48</v>
      </c>
      <c r="N3452" t="s">
        <v>23</v>
      </c>
      <c r="O3452">
        <v>31</v>
      </c>
      <c r="P3452" t="s">
        <v>58</v>
      </c>
      <c r="Q3452" t="s">
        <v>42</v>
      </c>
      <c r="R3452" s="1">
        <v>0.1</v>
      </c>
      <c r="S3452">
        <f t="shared" si="212"/>
        <v>70.2</v>
      </c>
      <c r="T3452">
        <f>IFERROR(VLOOKUP(A3452,Table1[[Customer ID]:[Discount Amount]], 6, FALSE),"Not Found")</f>
        <v>78</v>
      </c>
      <c r="U3452" t="str">
        <f t="shared" si="213"/>
        <v>PayPal</v>
      </c>
      <c r="V3452" s="4" t="str">
        <f t="shared" si="214"/>
        <v>Normal</v>
      </c>
      <c r="W3452" s="4" t="str">
        <f t="shared" si="215"/>
        <v>Good</v>
      </c>
      <c r="X3452" s="4">
        <f>AVERAGE(Table1[Purchase Amount])</f>
        <v>129.48419400000012</v>
      </c>
    </row>
    <row r="3453" spans="1:24" ht="15" customHeight="1" x14ac:dyDescent="0.25">
      <c r="A3453">
        <v>3452</v>
      </c>
      <c r="B3453">
        <v>32</v>
      </c>
      <c r="C3453" t="s">
        <v>16</v>
      </c>
      <c r="D3453" t="s">
        <v>118</v>
      </c>
      <c r="E3453" t="s">
        <v>18</v>
      </c>
      <c r="F3453" s="2">
        <v>73</v>
      </c>
      <c r="G3453" t="s">
        <v>158</v>
      </c>
      <c r="H3453" t="s">
        <v>20</v>
      </c>
      <c r="I3453" t="s">
        <v>153</v>
      </c>
      <c r="J3453" t="s">
        <v>47</v>
      </c>
      <c r="K3453">
        <v>3</v>
      </c>
      <c r="L3453" t="s">
        <v>23</v>
      </c>
      <c r="M3453" t="s">
        <v>35</v>
      </c>
      <c r="N3453" t="s">
        <v>23</v>
      </c>
      <c r="O3453">
        <v>13</v>
      </c>
      <c r="P3453" t="s">
        <v>53</v>
      </c>
      <c r="Q3453" t="s">
        <v>49</v>
      </c>
      <c r="R3453" s="1">
        <v>0.1</v>
      </c>
      <c r="S3453">
        <f t="shared" si="212"/>
        <v>65.7</v>
      </c>
      <c r="T3453">
        <f>IFERROR(VLOOKUP(A3453,Table1[[Customer ID]:[Discount Amount]], 6, FALSE),"Not Found")</f>
        <v>73</v>
      </c>
      <c r="U3453" t="str">
        <f t="shared" si="213"/>
        <v>Credit Card</v>
      </c>
      <c r="V3453" s="4" t="str">
        <f t="shared" si="214"/>
        <v>Normal</v>
      </c>
      <c r="W3453" s="4" t="str">
        <f t="shared" si="215"/>
        <v>Good</v>
      </c>
      <c r="X3453" s="4">
        <f>AVERAGE(Table1[Purchase Amount])</f>
        <v>129.48419400000012</v>
      </c>
    </row>
    <row r="3454" spans="1:24" ht="15" customHeight="1" x14ac:dyDescent="0.25">
      <c r="A3454">
        <v>3453</v>
      </c>
      <c r="B3454">
        <v>26</v>
      </c>
      <c r="C3454" t="s">
        <v>16</v>
      </c>
      <c r="D3454" t="s">
        <v>96</v>
      </c>
      <c r="E3454" t="s">
        <v>77</v>
      </c>
      <c r="F3454" s="2">
        <v>20</v>
      </c>
      <c r="G3454" t="s">
        <v>142</v>
      </c>
      <c r="H3454" t="s">
        <v>31</v>
      </c>
      <c r="I3454" t="s">
        <v>91</v>
      </c>
      <c r="J3454" t="s">
        <v>33</v>
      </c>
      <c r="K3454">
        <v>3.7</v>
      </c>
      <c r="L3454" t="s">
        <v>23</v>
      </c>
      <c r="M3454" t="s">
        <v>79</v>
      </c>
      <c r="N3454" t="s">
        <v>23</v>
      </c>
      <c r="O3454">
        <v>3</v>
      </c>
      <c r="P3454" t="s">
        <v>62</v>
      </c>
      <c r="Q3454" t="s">
        <v>89</v>
      </c>
      <c r="R3454" s="1">
        <v>0.1</v>
      </c>
      <c r="S3454">
        <f t="shared" si="212"/>
        <v>18</v>
      </c>
      <c r="T3454">
        <f>IFERROR(VLOOKUP(A3454,Table1[[Customer ID]:[Discount Amount]], 6, FALSE),"Not Found")</f>
        <v>20</v>
      </c>
      <c r="U3454" t="str">
        <f t="shared" si="213"/>
        <v>Venmo</v>
      </c>
      <c r="V3454" s="4" t="str">
        <f t="shared" si="214"/>
        <v>Normal</v>
      </c>
      <c r="W3454" s="4" t="str">
        <f t="shared" si="215"/>
        <v>Good</v>
      </c>
      <c r="X3454" s="4">
        <f>AVERAGE(Table1[Purchase Amount])</f>
        <v>129.48419400000012</v>
      </c>
    </row>
    <row r="3455" spans="1:24" ht="15" customHeight="1" x14ac:dyDescent="0.25">
      <c r="A3455">
        <v>3454</v>
      </c>
      <c r="B3455">
        <v>31</v>
      </c>
      <c r="C3455" t="s">
        <v>16</v>
      </c>
      <c r="D3455" t="s">
        <v>38</v>
      </c>
      <c r="E3455" t="s">
        <v>18</v>
      </c>
      <c r="F3455" s="2">
        <v>60</v>
      </c>
      <c r="G3455" t="s">
        <v>51</v>
      </c>
      <c r="H3455" t="s">
        <v>45</v>
      </c>
      <c r="I3455" t="s">
        <v>136</v>
      </c>
      <c r="J3455" t="s">
        <v>22</v>
      </c>
      <c r="K3455">
        <v>4.3</v>
      </c>
      <c r="L3455" t="s">
        <v>23</v>
      </c>
      <c r="M3455" t="s">
        <v>24</v>
      </c>
      <c r="N3455" t="s">
        <v>23</v>
      </c>
      <c r="O3455">
        <v>48</v>
      </c>
      <c r="P3455" t="s">
        <v>62</v>
      </c>
      <c r="Q3455" t="s">
        <v>68</v>
      </c>
      <c r="R3455" s="1">
        <v>0.1</v>
      </c>
      <c r="S3455">
        <f t="shared" si="212"/>
        <v>54</v>
      </c>
      <c r="T3455">
        <f>IFERROR(VLOOKUP(A3455,Table1[[Customer ID]:[Discount Amount]], 6, FALSE),"Not Found")</f>
        <v>60</v>
      </c>
      <c r="U3455" t="str">
        <f t="shared" si="213"/>
        <v>Venmo</v>
      </c>
      <c r="V3455" s="4" t="str">
        <f t="shared" si="214"/>
        <v>Normal</v>
      </c>
      <c r="W3455" s="4" t="str">
        <f t="shared" si="215"/>
        <v>Good</v>
      </c>
      <c r="X3455" s="4">
        <f>AVERAGE(Table1[Purchase Amount])</f>
        <v>129.48419400000012</v>
      </c>
    </row>
    <row r="3456" spans="1:24" ht="15" customHeight="1" x14ac:dyDescent="0.25">
      <c r="A3456">
        <v>3455</v>
      </c>
      <c r="B3456">
        <v>55</v>
      </c>
      <c r="C3456" t="s">
        <v>16</v>
      </c>
      <c r="D3456" t="s">
        <v>69</v>
      </c>
      <c r="E3456" t="s">
        <v>29</v>
      </c>
      <c r="F3456" s="2">
        <v>71</v>
      </c>
      <c r="G3456" t="s">
        <v>119</v>
      </c>
      <c r="H3456" t="s">
        <v>55</v>
      </c>
      <c r="I3456" t="s">
        <v>107</v>
      </c>
      <c r="J3456" t="s">
        <v>47</v>
      </c>
      <c r="K3456">
        <v>4.5999999999999996</v>
      </c>
      <c r="L3456" t="s">
        <v>23</v>
      </c>
      <c r="M3456" t="s">
        <v>48</v>
      </c>
      <c r="N3456" t="s">
        <v>23</v>
      </c>
      <c r="O3456">
        <v>15</v>
      </c>
      <c r="P3456" t="s">
        <v>58</v>
      </c>
      <c r="Q3456" t="s">
        <v>68</v>
      </c>
      <c r="R3456" s="1">
        <v>0.1</v>
      </c>
      <c r="S3456">
        <f t="shared" si="212"/>
        <v>63.9</v>
      </c>
      <c r="T3456">
        <f>IFERROR(VLOOKUP(A3456,Table1[[Customer ID]:[Discount Amount]], 6, FALSE),"Not Found")</f>
        <v>71</v>
      </c>
      <c r="U3456" t="str">
        <f t="shared" si="213"/>
        <v>PayPal</v>
      </c>
      <c r="V3456" s="4" t="str">
        <f t="shared" si="214"/>
        <v>Normal</v>
      </c>
      <c r="W3456" s="4" t="str">
        <f t="shared" si="215"/>
        <v>Good</v>
      </c>
      <c r="X3456" s="4">
        <f>AVERAGE(Table1[Purchase Amount])</f>
        <v>129.48419400000012</v>
      </c>
    </row>
    <row r="3457" spans="1:24" ht="15" customHeight="1" x14ac:dyDescent="0.25">
      <c r="A3457">
        <v>3456</v>
      </c>
      <c r="B3457">
        <v>49</v>
      </c>
      <c r="C3457" t="s">
        <v>16</v>
      </c>
      <c r="D3457" t="s">
        <v>17</v>
      </c>
      <c r="E3457" t="s">
        <v>18</v>
      </c>
      <c r="F3457" s="2">
        <v>89</v>
      </c>
      <c r="G3457" t="s">
        <v>90</v>
      </c>
      <c r="H3457" t="s">
        <v>31</v>
      </c>
      <c r="I3457" t="s">
        <v>108</v>
      </c>
      <c r="J3457" t="s">
        <v>47</v>
      </c>
      <c r="K3457">
        <v>4.7</v>
      </c>
      <c r="L3457" t="s">
        <v>23</v>
      </c>
      <c r="M3457" t="s">
        <v>24</v>
      </c>
      <c r="N3457" t="s">
        <v>23</v>
      </c>
      <c r="O3457">
        <v>13</v>
      </c>
      <c r="P3457" t="s">
        <v>62</v>
      </c>
      <c r="Q3457" t="s">
        <v>49</v>
      </c>
      <c r="R3457" s="1">
        <v>0.1</v>
      </c>
      <c r="S3457">
        <f t="shared" si="212"/>
        <v>80.099999999999994</v>
      </c>
      <c r="T3457">
        <f>IFERROR(VLOOKUP(A3457,Table1[[Customer ID]:[Discount Amount]], 6, FALSE),"Not Found")</f>
        <v>89</v>
      </c>
      <c r="U3457" t="str">
        <f t="shared" si="213"/>
        <v>Venmo</v>
      </c>
      <c r="V3457" s="4" t="str">
        <f t="shared" si="214"/>
        <v>Normal</v>
      </c>
      <c r="W3457" s="4" t="str">
        <f t="shared" si="215"/>
        <v>Good</v>
      </c>
      <c r="X3457" s="4">
        <f>AVERAGE(Table1[Purchase Amount])</f>
        <v>129.48419400000012</v>
      </c>
    </row>
    <row r="3458" spans="1:24" ht="15" customHeight="1" x14ac:dyDescent="0.25">
      <c r="A3458">
        <v>3457</v>
      </c>
      <c r="B3458">
        <v>42</v>
      </c>
      <c r="C3458" t="s">
        <v>16</v>
      </c>
      <c r="D3458" t="s">
        <v>83</v>
      </c>
      <c r="E3458" t="s">
        <v>18</v>
      </c>
      <c r="F3458" s="2">
        <v>53</v>
      </c>
      <c r="G3458" t="s">
        <v>152</v>
      </c>
      <c r="H3458" t="s">
        <v>31</v>
      </c>
      <c r="I3458" t="s">
        <v>46</v>
      </c>
      <c r="J3458" t="s">
        <v>47</v>
      </c>
      <c r="K3458">
        <v>4.5999999999999996</v>
      </c>
      <c r="L3458" t="s">
        <v>23</v>
      </c>
      <c r="M3458" t="s">
        <v>61</v>
      </c>
      <c r="N3458" t="s">
        <v>23</v>
      </c>
      <c r="O3458">
        <v>21</v>
      </c>
      <c r="P3458" t="s">
        <v>62</v>
      </c>
      <c r="Q3458" t="s">
        <v>42</v>
      </c>
      <c r="R3458" s="1">
        <v>0.1</v>
      </c>
      <c r="S3458">
        <f t="shared" ref="S3458:S3521" si="216">F3458-(F3458*R3458)</f>
        <v>47.7</v>
      </c>
      <c r="T3458">
        <f>IFERROR(VLOOKUP(A3458,Table1[[Customer ID]:[Discount Amount]], 6, FALSE),"Not Found")</f>
        <v>53</v>
      </c>
      <c r="U3458" t="str">
        <f t="shared" ref="U3458:U3521" si="217">INDEX(P:P, MATCH(A3458, A:A, 0))</f>
        <v>Venmo</v>
      </c>
      <c r="V3458" s="4" t="str">
        <f t="shared" ref="V3458:V3521" si="218">IF(AND(F3458&gt;1000,K3458&gt;=4),"Best Customer","Normal")</f>
        <v>Normal</v>
      </c>
      <c r="W3458" s="4" t="str">
        <f t="shared" ref="W3458:W3521" si="219">IF(K3458&gt;=3,"Good","Poor")</f>
        <v>Good</v>
      </c>
      <c r="X3458" s="4">
        <f>AVERAGE(Table1[Purchase Amount])</f>
        <v>129.48419400000012</v>
      </c>
    </row>
    <row r="3459" spans="1:24" ht="15" customHeight="1" x14ac:dyDescent="0.25">
      <c r="A3459">
        <v>3458</v>
      </c>
      <c r="B3459">
        <v>64</v>
      </c>
      <c r="C3459" t="s">
        <v>16</v>
      </c>
      <c r="D3459" t="s">
        <v>50</v>
      </c>
      <c r="E3459" t="s">
        <v>29</v>
      </c>
      <c r="F3459" s="2">
        <v>87</v>
      </c>
      <c r="G3459" t="s">
        <v>106</v>
      </c>
      <c r="H3459" t="s">
        <v>31</v>
      </c>
      <c r="I3459" t="s">
        <v>85</v>
      </c>
      <c r="J3459" t="s">
        <v>57</v>
      </c>
      <c r="K3459">
        <v>3</v>
      </c>
      <c r="L3459" t="s">
        <v>23</v>
      </c>
      <c r="M3459" t="s">
        <v>61</v>
      </c>
      <c r="N3459" t="s">
        <v>23</v>
      </c>
      <c r="O3459">
        <v>29</v>
      </c>
      <c r="P3459" t="s">
        <v>25</v>
      </c>
      <c r="Q3459" t="s">
        <v>89</v>
      </c>
      <c r="R3459" s="1">
        <v>0.1</v>
      </c>
      <c r="S3459">
        <f t="shared" si="216"/>
        <v>78.3</v>
      </c>
      <c r="T3459">
        <f>IFERROR(VLOOKUP(A3459,Table1[[Customer ID]:[Discount Amount]], 6, FALSE),"Not Found")</f>
        <v>87</v>
      </c>
      <c r="U3459" t="str">
        <f t="shared" si="217"/>
        <v>Cash</v>
      </c>
      <c r="V3459" s="4" t="str">
        <f t="shared" si="218"/>
        <v>Normal</v>
      </c>
      <c r="W3459" s="4" t="str">
        <f t="shared" si="219"/>
        <v>Good</v>
      </c>
      <c r="X3459" s="4">
        <f>AVERAGE(Table1[Purchase Amount])</f>
        <v>129.48419400000012</v>
      </c>
    </row>
    <row r="3460" spans="1:24" ht="15" customHeight="1" x14ac:dyDescent="0.25">
      <c r="A3460">
        <v>3459</v>
      </c>
      <c r="B3460">
        <v>68</v>
      </c>
      <c r="C3460" t="s">
        <v>16</v>
      </c>
      <c r="D3460" t="s">
        <v>50</v>
      </c>
      <c r="E3460" t="s">
        <v>29</v>
      </c>
      <c r="F3460" s="2">
        <v>37</v>
      </c>
      <c r="G3460" t="s">
        <v>154</v>
      </c>
      <c r="H3460" t="s">
        <v>45</v>
      </c>
      <c r="I3460" t="s">
        <v>111</v>
      </c>
      <c r="J3460" t="s">
        <v>33</v>
      </c>
      <c r="K3460">
        <v>3.4</v>
      </c>
      <c r="L3460" t="s">
        <v>23</v>
      </c>
      <c r="M3460" t="s">
        <v>24</v>
      </c>
      <c r="N3460" t="s">
        <v>23</v>
      </c>
      <c r="O3460">
        <v>24</v>
      </c>
      <c r="P3460" t="s">
        <v>62</v>
      </c>
      <c r="Q3460" t="s">
        <v>37</v>
      </c>
      <c r="R3460" s="1">
        <v>0.1</v>
      </c>
      <c r="S3460">
        <f t="shared" si="216"/>
        <v>33.299999999999997</v>
      </c>
      <c r="T3460">
        <f>IFERROR(VLOOKUP(A3460,Table1[[Customer ID]:[Discount Amount]], 6, FALSE),"Not Found")</f>
        <v>37</v>
      </c>
      <c r="U3460" t="str">
        <f t="shared" si="217"/>
        <v>Venmo</v>
      </c>
      <c r="V3460" s="4" t="str">
        <f t="shared" si="218"/>
        <v>Normal</v>
      </c>
      <c r="W3460" s="4" t="str">
        <f t="shared" si="219"/>
        <v>Good</v>
      </c>
      <c r="X3460" s="4">
        <f>AVERAGE(Table1[Purchase Amount])</f>
        <v>129.48419400000012</v>
      </c>
    </row>
    <row r="3461" spans="1:24" ht="15" customHeight="1" x14ac:dyDescent="0.25">
      <c r="A3461">
        <v>3460</v>
      </c>
      <c r="B3461">
        <v>68</v>
      </c>
      <c r="C3461" t="s">
        <v>16</v>
      </c>
      <c r="D3461" t="s">
        <v>83</v>
      </c>
      <c r="E3461" t="s">
        <v>18</v>
      </c>
      <c r="F3461" s="2">
        <v>37</v>
      </c>
      <c r="G3461" t="s">
        <v>90</v>
      </c>
      <c r="H3461" t="s">
        <v>45</v>
      </c>
      <c r="I3461" t="s">
        <v>93</v>
      </c>
      <c r="J3461" t="s">
        <v>47</v>
      </c>
      <c r="K3461">
        <v>3.8</v>
      </c>
      <c r="L3461" t="s">
        <v>23</v>
      </c>
      <c r="M3461" t="s">
        <v>61</v>
      </c>
      <c r="N3461" t="s">
        <v>23</v>
      </c>
      <c r="O3461">
        <v>21</v>
      </c>
      <c r="P3461" t="s">
        <v>58</v>
      </c>
      <c r="Q3461" t="s">
        <v>49</v>
      </c>
      <c r="R3461" s="1">
        <v>0.1</v>
      </c>
      <c r="S3461">
        <f t="shared" si="216"/>
        <v>33.299999999999997</v>
      </c>
      <c r="T3461">
        <f>IFERROR(VLOOKUP(A3461,Table1[[Customer ID]:[Discount Amount]], 6, FALSE),"Not Found")</f>
        <v>37</v>
      </c>
      <c r="U3461" t="str">
        <f t="shared" si="217"/>
        <v>PayPal</v>
      </c>
      <c r="V3461" s="4" t="str">
        <f t="shared" si="218"/>
        <v>Normal</v>
      </c>
      <c r="W3461" s="4" t="str">
        <f t="shared" si="219"/>
        <v>Good</v>
      </c>
      <c r="X3461" s="4">
        <f>AVERAGE(Table1[Purchase Amount])</f>
        <v>129.48419400000012</v>
      </c>
    </row>
    <row r="3462" spans="1:24" ht="15" customHeight="1" x14ac:dyDescent="0.25">
      <c r="A3462">
        <v>3461</v>
      </c>
      <c r="B3462">
        <v>41</v>
      </c>
      <c r="C3462" t="s">
        <v>16</v>
      </c>
      <c r="D3462" t="s">
        <v>129</v>
      </c>
      <c r="E3462" t="s">
        <v>29</v>
      </c>
      <c r="F3462" s="2">
        <v>78</v>
      </c>
      <c r="G3462" t="s">
        <v>102</v>
      </c>
      <c r="H3462" t="s">
        <v>31</v>
      </c>
      <c r="I3462" t="s">
        <v>133</v>
      </c>
      <c r="J3462" t="s">
        <v>33</v>
      </c>
      <c r="K3462">
        <v>3.1</v>
      </c>
      <c r="L3462" t="s">
        <v>23</v>
      </c>
      <c r="M3462" t="s">
        <v>61</v>
      </c>
      <c r="N3462" t="s">
        <v>23</v>
      </c>
      <c r="O3462">
        <v>5</v>
      </c>
      <c r="P3462" t="s">
        <v>88</v>
      </c>
      <c r="Q3462" t="s">
        <v>68</v>
      </c>
      <c r="R3462" s="1">
        <v>0.1</v>
      </c>
      <c r="S3462">
        <f t="shared" si="216"/>
        <v>70.2</v>
      </c>
      <c r="T3462">
        <f>IFERROR(VLOOKUP(A3462,Table1[[Customer ID]:[Discount Amount]], 6, FALSE),"Not Found")</f>
        <v>78</v>
      </c>
      <c r="U3462" t="str">
        <f t="shared" si="217"/>
        <v>Bank Transfer</v>
      </c>
      <c r="V3462" s="4" t="str">
        <f t="shared" si="218"/>
        <v>Normal</v>
      </c>
      <c r="W3462" s="4" t="str">
        <f t="shared" si="219"/>
        <v>Good</v>
      </c>
      <c r="X3462" s="4">
        <f>AVERAGE(Table1[Purchase Amount])</f>
        <v>129.48419400000012</v>
      </c>
    </row>
    <row r="3463" spans="1:24" ht="15" customHeight="1" x14ac:dyDescent="0.25">
      <c r="A3463">
        <v>3462</v>
      </c>
      <c r="B3463">
        <v>51</v>
      </c>
      <c r="C3463" t="s">
        <v>16</v>
      </c>
      <c r="D3463" t="s">
        <v>72</v>
      </c>
      <c r="E3463" t="s">
        <v>98</v>
      </c>
      <c r="F3463" s="2">
        <v>23</v>
      </c>
      <c r="G3463" t="s">
        <v>162</v>
      </c>
      <c r="H3463" t="s">
        <v>55</v>
      </c>
      <c r="I3463" t="s">
        <v>125</v>
      </c>
      <c r="J3463" t="s">
        <v>33</v>
      </c>
      <c r="K3463">
        <v>4.4000000000000004</v>
      </c>
      <c r="L3463" t="s">
        <v>23</v>
      </c>
      <c r="M3463" t="s">
        <v>24</v>
      </c>
      <c r="N3463" t="s">
        <v>23</v>
      </c>
      <c r="O3463">
        <v>47</v>
      </c>
      <c r="P3463" t="s">
        <v>25</v>
      </c>
      <c r="Q3463" t="s">
        <v>37</v>
      </c>
      <c r="R3463" s="1">
        <v>0.1</v>
      </c>
      <c r="S3463">
        <f t="shared" si="216"/>
        <v>20.7</v>
      </c>
      <c r="T3463">
        <f>IFERROR(VLOOKUP(A3463,Table1[[Customer ID]:[Discount Amount]], 6, FALSE),"Not Found")</f>
        <v>23</v>
      </c>
      <c r="U3463" t="str">
        <f t="shared" si="217"/>
        <v>Cash</v>
      </c>
      <c r="V3463" s="4" t="str">
        <f t="shared" si="218"/>
        <v>Normal</v>
      </c>
      <c r="W3463" s="4" t="str">
        <f t="shared" si="219"/>
        <v>Good</v>
      </c>
      <c r="X3463" s="4">
        <f>AVERAGE(Table1[Purchase Amount])</f>
        <v>129.48419400000012</v>
      </c>
    </row>
    <row r="3464" spans="1:24" ht="15" customHeight="1" x14ac:dyDescent="0.25">
      <c r="A3464">
        <v>3463</v>
      </c>
      <c r="B3464">
        <v>44</v>
      </c>
      <c r="C3464" t="s">
        <v>16</v>
      </c>
      <c r="D3464" t="s">
        <v>109</v>
      </c>
      <c r="E3464" t="s">
        <v>18</v>
      </c>
      <c r="F3464" s="2">
        <v>73</v>
      </c>
      <c r="G3464" t="s">
        <v>113</v>
      </c>
      <c r="H3464" t="s">
        <v>45</v>
      </c>
      <c r="I3464" t="s">
        <v>21</v>
      </c>
      <c r="J3464" t="s">
        <v>33</v>
      </c>
      <c r="K3464">
        <v>4.5</v>
      </c>
      <c r="L3464" t="s">
        <v>23</v>
      </c>
      <c r="M3464" t="s">
        <v>24</v>
      </c>
      <c r="N3464" t="s">
        <v>23</v>
      </c>
      <c r="O3464">
        <v>34</v>
      </c>
      <c r="P3464" t="s">
        <v>53</v>
      </c>
      <c r="Q3464" t="s">
        <v>63</v>
      </c>
      <c r="R3464" s="1">
        <v>0.1</v>
      </c>
      <c r="S3464">
        <f t="shared" si="216"/>
        <v>65.7</v>
      </c>
      <c r="T3464">
        <f>IFERROR(VLOOKUP(A3464,Table1[[Customer ID]:[Discount Amount]], 6, FALSE),"Not Found")</f>
        <v>73</v>
      </c>
      <c r="U3464" t="str">
        <f t="shared" si="217"/>
        <v>Credit Card</v>
      </c>
      <c r="V3464" s="4" t="str">
        <f t="shared" si="218"/>
        <v>Normal</v>
      </c>
      <c r="W3464" s="4" t="str">
        <f t="shared" si="219"/>
        <v>Good</v>
      </c>
      <c r="X3464" s="4">
        <f>AVERAGE(Table1[Purchase Amount])</f>
        <v>129.48419400000012</v>
      </c>
    </row>
    <row r="3465" spans="1:24" ht="15" customHeight="1" x14ac:dyDescent="0.25">
      <c r="A3465">
        <v>3464</v>
      </c>
      <c r="B3465">
        <v>27</v>
      </c>
      <c r="C3465" t="s">
        <v>16</v>
      </c>
      <c r="D3465" t="s">
        <v>50</v>
      </c>
      <c r="E3465" t="s">
        <v>29</v>
      </c>
      <c r="F3465" s="2">
        <v>27</v>
      </c>
      <c r="G3465" t="s">
        <v>94</v>
      </c>
      <c r="H3465" t="s">
        <v>31</v>
      </c>
      <c r="I3465" t="s">
        <v>52</v>
      </c>
      <c r="J3465" t="s">
        <v>47</v>
      </c>
      <c r="K3465">
        <v>2.8</v>
      </c>
      <c r="L3465" t="s">
        <v>23</v>
      </c>
      <c r="M3465" t="s">
        <v>41</v>
      </c>
      <c r="N3465" t="s">
        <v>23</v>
      </c>
      <c r="O3465">
        <v>45</v>
      </c>
      <c r="P3465" t="s">
        <v>58</v>
      </c>
      <c r="Q3465" t="s">
        <v>89</v>
      </c>
      <c r="R3465" s="1">
        <v>0.1</v>
      </c>
      <c r="S3465">
        <f t="shared" si="216"/>
        <v>24.3</v>
      </c>
      <c r="T3465">
        <f>IFERROR(VLOOKUP(A3465,Table1[[Customer ID]:[Discount Amount]], 6, FALSE),"Not Found")</f>
        <v>27</v>
      </c>
      <c r="U3465" t="str">
        <f t="shared" si="217"/>
        <v>PayPal</v>
      </c>
      <c r="V3465" s="4" t="str">
        <f t="shared" si="218"/>
        <v>Normal</v>
      </c>
      <c r="W3465" s="4" t="str">
        <f t="shared" si="219"/>
        <v>Poor</v>
      </c>
      <c r="X3465" s="4">
        <f>AVERAGE(Table1[Purchase Amount])</f>
        <v>129.48419400000012</v>
      </c>
    </row>
    <row r="3466" spans="1:24" ht="15" customHeight="1" x14ac:dyDescent="0.25">
      <c r="A3466">
        <v>3465</v>
      </c>
      <c r="B3466">
        <v>36</v>
      </c>
      <c r="C3466" t="s">
        <v>16</v>
      </c>
      <c r="D3466" t="s">
        <v>76</v>
      </c>
      <c r="E3466" t="s">
        <v>77</v>
      </c>
      <c r="F3466" s="2">
        <v>59</v>
      </c>
      <c r="G3466" t="s">
        <v>144</v>
      </c>
      <c r="H3466" t="s">
        <v>55</v>
      </c>
      <c r="I3466" t="s">
        <v>145</v>
      </c>
      <c r="J3466" t="s">
        <v>22</v>
      </c>
      <c r="K3466">
        <v>2.7</v>
      </c>
      <c r="L3466" t="s">
        <v>23</v>
      </c>
      <c r="M3466" t="s">
        <v>79</v>
      </c>
      <c r="N3466" t="s">
        <v>23</v>
      </c>
      <c r="O3466">
        <v>12</v>
      </c>
      <c r="P3466" t="s">
        <v>58</v>
      </c>
      <c r="Q3466" t="s">
        <v>49</v>
      </c>
      <c r="R3466" s="1">
        <v>0.1</v>
      </c>
      <c r="S3466">
        <f t="shared" si="216"/>
        <v>53.1</v>
      </c>
      <c r="T3466">
        <f>IFERROR(VLOOKUP(A3466,Table1[[Customer ID]:[Discount Amount]], 6, FALSE),"Not Found")</f>
        <v>59</v>
      </c>
      <c r="U3466" t="str">
        <f t="shared" si="217"/>
        <v>PayPal</v>
      </c>
      <c r="V3466" s="4" t="str">
        <f t="shared" si="218"/>
        <v>Normal</v>
      </c>
      <c r="W3466" s="4" t="str">
        <f t="shared" si="219"/>
        <v>Poor</v>
      </c>
      <c r="X3466" s="4">
        <f>AVERAGE(Table1[Purchase Amount])</f>
        <v>129.48419400000012</v>
      </c>
    </row>
    <row r="3467" spans="1:24" ht="15" customHeight="1" x14ac:dyDescent="0.25">
      <c r="A3467">
        <v>3466</v>
      </c>
      <c r="B3467">
        <v>19</v>
      </c>
      <c r="C3467" t="s">
        <v>16</v>
      </c>
      <c r="D3467" t="s">
        <v>104</v>
      </c>
      <c r="E3467" t="s">
        <v>29</v>
      </c>
      <c r="F3467" s="2">
        <v>53</v>
      </c>
      <c r="G3467" t="s">
        <v>141</v>
      </c>
      <c r="H3467" t="s">
        <v>31</v>
      </c>
      <c r="I3467" t="s">
        <v>133</v>
      </c>
      <c r="J3467" t="s">
        <v>33</v>
      </c>
      <c r="K3467">
        <v>3.4</v>
      </c>
      <c r="L3467" t="s">
        <v>23</v>
      </c>
      <c r="M3467" t="s">
        <v>24</v>
      </c>
      <c r="N3467" t="s">
        <v>23</v>
      </c>
      <c r="O3467">
        <v>31</v>
      </c>
      <c r="P3467" t="s">
        <v>36</v>
      </c>
      <c r="Q3467" t="s">
        <v>26</v>
      </c>
      <c r="R3467" s="1">
        <v>0.1</v>
      </c>
      <c r="S3467">
        <f t="shared" si="216"/>
        <v>47.7</v>
      </c>
      <c r="T3467">
        <f>IFERROR(VLOOKUP(A3467,Table1[[Customer ID]:[Discount Amount]], 6, FALSE),"Not Found")</f>
        <v>53</v>
      </c>
      <c r="U3467" t="str">
        <f t="shared" si="217"/>
        <v>Debit Card</v>
      </c>
      <c r="V3467" s="4" t="str">
        <f t="shared" si="218"/>
        <v>Normal</v>
      </c>
      <c r="W3467" s="4" t="str">
        <f t="shared" si="219"/>
        <v>Good</v>
      </c>
      <c r="X3467" s="4">
        <f>AVERAGE(Table1[Purchase Amount])</f>
        <v>129.48419400000012</v>
      </c>
    </row>
    <row r="3468" spans="1:24" ht="15" customHeight="1" x14ac:dyDescent="0.25">
      <c r="A3468">
        <v>3467</v>
      </c>
      <c r="B3468">
        <v>49</v>
      </c>
      <c r="C3468" t="s">
        <v>16</v>
      </c>
      <c r="D3468" t="s">
        <v>105</v>
      </c>
      <c r="E3468" t="s">
        <v>18</v>
      </c>
      <c r="F3468" s="2">
        <v>42</v>
      </c>
      <c r="G3468" t="s">
        <v>106</v>
      </c>
      <c r="H3468" t="s">
        <v>55</v>
      </c>
      <c r="I3468" t="s">
        <v>66</v>
      </c>
      <c r="J3468" t="s">
        <v>57</v>
      </c>
      <c r="K3468">
        <v>4.5999999999999996</v>
      </c>
      <c r="L3468" t="s">
        <v>23</v>
      </c>
      <c r="M3468" t="s">
        <v>24</v>
      </c>
      <c r="N3468" t="s">
        <v>23</v>
      </c>
      <c r="O3468">
        <v>43</v>
      </c>
      <c r="P3468" t="s">
        <v>88</v>
      </c>
      <c r="Q3468" t="s">
        <v>49</v>
      </c>
      <c r="R3468" s="1">
        <v>0.1</v>
      </c>
      <c r="S3468">
        <f t="shared" si="216"/>
        <v>37.799999999999997</v>
      </c>
      <c r="T3468">
        <f>IFERROR(VLOOKUP(A3468,Table1[[Customer ID]:[Discount Amount]], 6, FALSE),"Not Found")</f>
        <v>42</v>
      </c>
      <c r="U3468" t="str">
        <f t="shared" si="217"/>
        <v>Bank Transfer</v>
      </c>
      <c r="V3468" s="4" t="str">
        <f t="shared" si="218"/>
        <v>Normal</v>
      </c>
      <c r="W3468" s="4" t="str">
        <f t="shared" si="219"/>
        <v>Good</v>
      </c>
      <c r="X3468" s="4">
        <f>AVERAGE(Table1[Purchase Amount])</f>
        <v>129.48419400000012</v>
      </c>
    </row>
    <row r="3469" spans="1:24" ht="15" customHeight="1" x14ac:dyDescent="0.25">
      <c r="A3469">
        <v>3468</v>
      </c>
      <c r="B3469">
        <v>18</v>
      </c>
      <c r="C3469" t="s">
        <v>16</v>
      </c>
      <c r="D3469" t="s">
        <v>129</v>
      </c>
      <c r="E3469" t="s">
        <v>29</v>
      </c>
      <c r="F3469" s="2">
        <v>45</v>
      </c>
      <c r="G3469" t="s">
        <v>152</v>
      </c>
      <c r="H3469" t="s">
        <v>31</v>
      </c>
      <c r="I3469" t="s">
        <v>103</v>
      </c>
      <c r="J3469" t="s">
        <v>47</v>
      </c>
      <c r="K3469">
        <v>5</v>
      </c>
      <c r="L3469" t="s">
        <v>23</v>
      </c>
      <c r="M3469" t="s">
        <v>79</v>
      </c>
      <c r="N3469" t="s">
        <v>23</v>
      </c>
      <c r="O3469">
        <v>5</v>
      </c>
      <c r="P3469" t="s">
        <v>53</v>
      </c>
      <c r="Q3469" t="s">
        <v>49</v>
      </c>
      <c r="R3469" s="1">
        <v>0.1</v>
      </c>
      <c r="S3469">
        <f t="shared" si="216"/>
        <v>40.5</v>
      </c>
      <c r="T3469">
        <f>IFERROR(VLOOKUP(A3469,Table1[[Customer ID]:[Discount Amount]], 6, FALSE),"Not Found")</f>
        <v>45</v>
      </c>
      <c r="U3469" t="str">
        <f t="shared" si="217"/>
        <v>Credit Card</v>
      </c>
      <c r="V3469" s="4" t="str">
        <f t="shared" si="218"/>
        <v>Normal</v>
      </c>
      <c r="W3469" s="4" t="str">
        <f t="shared" si="219"/>
        <v>Good</v>
      </c>
      <c r="X3469" s="4">
        <f>AVERAGE(Table1[Purchase Amount])</f>
        <v>129.48419400000012</v>
      </c>
    </row>
    <row r="3470" spans="1:24" ht="15" customHeight="1" x14ac:dyDescent="0.25">
      <c r="A3470">
        <v>3469</v>
      </c>
      <c r="B3470">
        <v>36</v>
      </c>
      <c r="C3470" t="s">
        <v>16</v>
      </c>
      <c r="D3470" t="s">
        <v>28</v>
      </c>
      <c r="E3470" t="s">
        <v>29</v>
      </c>
      <c r="F3470" s="2">
        <v>89</v>
      </c>
      <c r="G3470" t="s">
        <v>90</v>
      </c>
      <c r="H3470" t="s">
        <v>55</v>
      </c>
      <c r="I3470" t="s">
        <v>91</v>
      </c>
      <c r="J3470" t="s">
        <v>22</v>
      </c>
      <c r="K3470">
        <v>3.5</v>
      </c>
      <c r="L3470" t="s">
        <v>23</v>
      </c>
      <c r="M3470" t="s">
        <v>24</v>
      </c>
      <c r="N3470" t="s">
        <v>23</v>
      </c>
      <c r="O3470">
        <v>36</v>
      </c>
      <c r="P3470" t="s">
        <v>36</v>
      </c>
      <c r="Q3470" t="s">
        <v>37</v>
      </c>
      <c r="R3470" s="1">
        <v>0.1</v>
      </c>
      <c r="S3470">
        <f t="shared" si="216"/>
        <v>80.099999999999994</v>
      </c>
      <c r="T3470">
        <f>IFERROR(VLOOKUP(A3470,Table1[[Customer ID]:[Discount Amount]], 6, FALSE),"Not Found")</f>
        <v>89</v>
      </c>
      <c r="U3470" t="str">
        <f t="shared" si="217"/>
        <v>Debit Card</v>
      </c>
      <c r="V3470" s="4" t="str">
        <f t="shared" si="218"/>
        <v>Normal</v>
      </c>
      <c r="W3470" s="4" t="str">
        <f t="shared" si="219"/>
        <v>Good</v>
      </c>
      <c r="X3470" s="4">
        <f>AVERAGE(Table1[Purchase Amount])</f>
        <v>129.48419400000012</v>
      </c>
    </row>
    <row r="3471" spans="1:24" ht="15" customHeight="1" x14ac:dyDescent="0.25">
      <c r="A3471">
        <v>3470</v>
      </c>
      <c r="B3471">
        <v>36</v>
      </c>
      <c r="C3471" t="s">
        <v>16</v>
      </c>
      <c r="D3471" t="s">
        <v>105</v>
      </c>
      <c r="E3471" t="s">
        <v>18</v>
      </c>
      <c r="F3471" s="2">
        <v>85</v>
      </c>
      <c r="G3471" t="s">
        <v>86</v>
      </c>
      <c r="H3471" t="s">
        <v>45</v>
      </c>
      <c r="I3471" t="s">
        <v>87</v>
      </c>
      <c r="J3471" t="s">
        <v>47</v>
      </c>
      <c r="K3471">
        <v>3.3</v>
      </c>
      <c r="L3471" t="s">
        <v>23</v>
      </c>
      <c r="M3471" t="s">
        <v>48</v>
      </c>
      <c r="N3471" t="s">
        <v>23</v>
      </c>
      <c r="O3471">
        <v>12</v>
      </c>
      <c r="P3471" t="s">
        <v>25</v>
      </c>
      <c r="Q3471" t="s">
        <v>49</v>
      </c>
      <c r="R3471" s="1">
        <v>0.1</v>
      </c>
      <c r="S3471">
        <f t="shared" si="216"/>
        <v>76.5</v>
      </c>
      <c r="T3471">
        <f>IFERROR(VLOOKUP(A3471,Table1[[Customer ID]:[Discount Amount]], 6, FALSE),"Not Found")</f>
        <v>85</v>
      </c>
      <c r="U3471" t="str">
        <f t="shared" si="217"/>
        <v>Cash</v>
      </c>
      <c r="V3471" s="4" t="str">
        <f t="shared" si="218"/>
        <v>Normal</v>
      </c>
      <c r="W3471" s="4" t="str">
        <f t="shared" si="219"/>
        <v>Good</v>
      </c>
      <c r="X3471" s="4">
        <f>AVERAGE(Table1[Purchase Amount])</f>
        <v>129.48419400000012</v>
      </c>
    </row>
    <row r="3472" spans="1:24" ht="15" customHeight="1" x14ac:dyDescent="0.25">
      <c r="A3472">
        <v>3471</v>
      </c>
      <c r="B3472">
        <v>19</v>
      </c>
      <c r="C3472" t="s">
        <v>16</v>
      </c>
      <c r="D3472" t="s">
        <v>76</v>
      </c>
      <c r="E3472" t="s">
        <v>77</v>
      </c>
      <c r="F3472" s="2">
        <v>69</v>
      </c>
      <c r="G3472" t="s">
        <v>154</v>
      </c>
      <c r="H3472" t="s">
        <v>55</v>
      </c>
      <c r="I3472" t="s">
        <v>21</v>
      </c>
      <c r="J3472" t="s">
        <v>57</v>
      </c>
      <c r="K3472">
        <v>4.5</v>
      </c>
      <c r="L3472" t="s">
        <v>23</v>
      </c>
      <c r="M3472" t="s">
        <v>35</v>
      </c>
      <c r="N3472" t="s">
        <v>23</v>
      </c>
      <c r="O3472">
        <v>31</v>
      </c>
      <c r="P3472" t="s">
        <v>25</v>
      </c>
      <c r="Q3472" t="s">
        <v>68</v>
      </c>
      <c r="R3472" s="1">
        <v>0.1</v>
      </c>
      <c r="S3472">
        <f t="shared" si="216"/>
        <v>62.1</v>
      </c>
      <c r="T3472">
        <f>IFERROR(VLOOKUP(A3472,Table1[[Customer ID]:[Discount Amount]], 6, FALSE),"Not Found")</f>
        <v>69</v>
      </c>
      <c r="U3472" t="str">
        <f t="shared" si="217"/>
        <v>Cash</v>
      </c>
      <c r="V3472" s="4" t="str">
        <f t="shared" si="218"/>
        <v>Normal</v>
      </c>
      <c r="W3472" s="4" t="str">
        <f t="shared" si="219"/>
        <v>Good</v>
      </c>
      <c r="X3472" s="4">
        <f>AVERAGE(Table1[Purchase Amount])</f>
        <v>129.48419400000012</v>
      </c>
    </row>
    <row r="3473" spans="1:24" ht="15" customHeight="1" x14ac:dyDescent="0.25">
      <c r="A3473">
        <v>3472</v>
      </c>
      <c r="B3473">
        <v>43</v>
      </c>
      <c r="C3473" t="s">
        <v>16</v>
      </c>
      <c r="D3473" t="s">
        <v>121</v>
      </c>
      <c r="E3473" t="s">
        <v>98</v>
      </c>
      <c r="F3473" s="2">
        <v>66</v>
      </c>
      <c r="G3473" t="s">
        <v>134</v>
      </c>
      <c r="H3473" t="s">
        <v>55</v>
      </c>
      <c r="I3473" t="s">
        <v>74</v>
      </c>
      <c r="J3473" t="s">
        <v>33</v>
      </c>
      <c r="K3473">
        <v>3.1</v>
      </c>
      <c r="L3473" t="s">
        <v>23</v>
      </c>
      <c r="M3473" t="s">
        <v>48</v>
      </c>
      <c r="N3473" t="s">
        <v>23</v>
      </c>
      <c r="O3473">
        <v>31</v>
      </c>
      <c r="P3473" t="s">
        <v>25</v>
      </c>
      <c r="Q3473" t="s">
        <v>68</v>
      </c>
      <c r="R3473" s="1">
        <v>0.1</v>
      </c>
      <c r="S3473">
        <f t="shared" si="216"/>
        <v>59.4</v>
      </c>
      <c r="T3473">
        <f>IFERROR(VLOOKUP(A3473,Table1[[Customer ID]:[Discount Amount]], 6, FALSE),"Not Found")</f>
        <v>66</v>
      </c>
      <c r="U3473" t="str">
        <f t="shared" si="217"/>
        <v>Cash</v>
      </c>
      <c r="V3473" s="4" t="str">
        <f t="shared" si="218"/>
        <v>Normal</v>
      </c>
      <c r="W3473" s="4" t="str">
        <f t="shared" si="219"/>
        <v>Good</v>
      </c>
      <c r="X3473" s="4">
        <f>AVERAGE(Table1[Purchase Amount])</f>
        <v>129.48419400000012</v>
      </c>
    </row>
    <row r="3474" spans="1:24" ht="15" customHeight="1" x14ac:dyDescent="0.25">
      <c r="A3474">
        <v>3473</v>
      </c>
      <c r="B3474">
        <v>31</v>
      </c>
      <c r="C3474" t="s">
        <v>16</v>
      </c>
      <c r="D3474" t="s">
        <v>118</v>
      </c>
      <c r="E3474" t="s">
        <v>18</v>
      </c>
      <c r="F3474" s="2">
        <v>42</v>
      </c>
      <c r="G3474" t="s">
        <v>160</v>
      </c>
      <c r="H3474" t="s">
        <v>55</v>
      </c>
      <c r="I3474" t="s">
        <v>32</v>
      </c>
      <c r="J3474" t="s">
        <v>57</v>
      </c>
      <c r="K3474">
        <v>4</v>
      </c>
      <c r="L3474" t="s">
        <v>23</v>
      </c>
      <c r="M3474" t="s">
        <v>35</v>
      </c>
      <c r="N3474" t="s">
        <v>23</v>
      </c>
      <c r="O3474">
        <v>15</v>
      </c>
      <c r="P3474" t="s">
        <v>36</v>
      </c>
      <c r="Q3474" t="s">
        <v>26</v>
      </c>
      <c r="R3474" s="1">
        <v>0.1</v>
      </c>
      <c r="S3474">
        <f t="shared" si="216"/>
        <v>37.799999999999997</v>
      </c>
      <c r="T3474">
        <f>IFERROR(VLOOKUP(A3474,Table1[[Customer ID]:[Discount Amount]], 6, FALSE),"Not Found")</f>
        <v>42</v>
      </c>
      <c r="U3474" t="str">
        <f t="shared" si="217"/>
        <v>Debit Card</v>
      </c>
      <c r="V3474" s="4" t="str">
        <f t="shared" si="218"/>
        <v>Normal</v>
      </c>
      <c r="W3474" s="4" t="str">
        <f t="shared" si="219"/>
        <v>Good</v>
      </c>
      <c r="X3474" s="4">
        <f>AVERAGE(Table1[Purchase Amount])</f>
        <v>129.48419400000012</v>
      </c>
    </row>
    <row r="3475" spans="1:24" ht="15" customHeight="1" x14ac:dyDescent="0.25">
      <c r="A3475">
        <v>3474</v>
      </c>
      <c r="B3475">
        <v>63</v>
      </c>
      <c r="C3475" t="s">
        <v>16</v>
      </c>
      <c r="D3475" t="s">
        <v>157</v>
      </c>
      <c r="E3475" t="s">
        <v>18</v>
      </c>
      <c r="F3475" s="2">
        <v>40</v>
      </c>
      <c r="G3475" t="s">
        <v>124</v>
      </c>
      <c r="H3475" t="s">
        <v>31</v>
      </c>
      <c r="I3475" t="s">
        <v>128</v>
      </c>
      <c r="J3475" t="s">
        <v>33</v>
      </c>
      <c r="K3475">
        <v>2.5</v>
      </c>
      <c r="L3475" t="s">
        <v>23</v>
      </c>
      <c r="M3475" t="s">
        <v>61</v>
      </c>
      <c r="N3475" t="s">
        <v>23</v>
      </c>
      <c r="O3475">
        <v>11</v>
      </c>
      <c r="P3475" t="s">
        <v>25</v>
      </c>
      <c r="Q3475" t="s">
        <v>26</v>
      </c>
      <c r="R3475" s="1">
        <v>0.1</v>
      </c>
      <c r="S3475">
        <f t="shared" si="216"/>
        <v>36</v>
      </c>
      <c r="T3475">
        <f>IFERROR(VLOOKUP(A3475,Table1[[Customer ID]:[Discount Amount]], 6, FALSE),"Not Found")</f>
        <v>40</v>
      </c>
      <c r="U3475" t="str">
        <f t="shared" si="217"/>
        <v>Cash</v>
      </c>
      <c r="V3475" s="4" t="str">
        <f t="shared" si="218"/>
        <v>Normal</v>
      </c>
      <c r="W3475" s="4" t="str">
        <f t="shared" si="219"/>
        <v>Poor</v>
      </c>
      <c r="X3475" s="4">
        <f>AVERAGE(Table1[Purchase Amount])</f>
        <v>129.48419400000012</v>
      </c>
    </row>
    <row r="3476" spans="1:24" ht="15" customHeight="1" x14ac:dyDescent="0.25">
      <c r="A3476">
        <v>3475</v>
      </c>
      <c r="B3476">
        <v>41</v>
      </c>
      <c r="C3476" t="s">
        <v>16</v>
      </c>
      <c r="D3476" t="s">
        <v>99</v>
      </c>
      <c r="E3476" t="s">
        <v>18</v>
      </c>
      <c r="F3476" s="2">
        <v>82</v>
      </c>
      <c r="G3476" t="s">
        <v>94</v>
      </c>
      <c r="H3476" t="s">
        <v>31</v>
      </c>
      <c r="I3476" t="s">
        <v>128</v>
      </c>
      <c r="J3476" t="s">
        <v>22</v>
      </c>
      <c r="K3476">
        <v>4.4000000000000004</v>
      </c>
      <c r="L3476" t="s">
        <v>23</v>
      </c>
      <c r="M3476" t="s">
        <v>48</v>
      </c>
      <c r="N3476" t="s">
        <v>23</v>
      </c>
      <c r="O3476">
        <v>18</v>
      </c>
      <c r="P3476" t="s">
        <v>62</v>
      </c>
      <c r="Q3476" t="s">
        <v>42</v>
      </c>
      <c r="R3476" s="1">
        <v>0.1</v>
      </c>
      <c r="S3476">
        <f t="shared" si="216"/>
        <v>73.8</v>
      </c>
      <c r="T3476">
        <f>IFERROR(VLOOKUP(A3476,Table1[[Customer ID]:[Discount Amount]], 6, FALSE),"Not Found")</f>
        <v>82</v>
      </c>
      <c r="U3476" t="str">
        <f t="shared" si="217"/>
        <v>Venmo</v>
      </c>
      <c r="V3476" s="4" t="str">
        <f t="shared" si="218"/>
        <v>Normal</v>
      </c>
      <c r="W3476" s="4" t="str">
        <f t="shared" si="219"/>
        <v>Good</v>
      </c>
      <c r="X3476" s="4">
        <f>AVERAGE(Table1[Purchase Amount])</f>
        <v>129.48419400000012</v>
      </c>
    </row>
    <row r="3477" spans="1:24" ht="15" customHeight="1" x14ac:dyDescent="0.25">
      <c r="A3477">
        <v>3476</v>
      </c>
      <c r="B3477">
        <v>48</v>
      </c>
      <c r="C3477" t="s">
        <v>16</v>
      </c>
      <c r="D3477" t="s">
        <v>140</v>
      </c>
      <c r="E3477" t="s">
        <v>98</v>
      </c>
      <c r="F3477" s="2">
        <v>88</v>
      </c>
      <c r="G3477" t="s">
        <v>30</v>
      </c>
      <c r="H3477" t="s">
        <v>31</v>
      </c>
      <c r="I3477" t="s">
        <v>108</v>
      </c>
      <c r="J3477" t="s">
        <v>33</v>
      </c>
      <c r="K3477">
        <v>4.4000000000000004</v>
      </c>
      <c r="L3477" t="s">
        <v>23</v>
      </c>
      <c r="M3477" t="s">
        <v>61</v>
      </c>
      <c r="N3477" t="s">
        <v>23</v>
      </c>
      <c r="O3477">
        <v>9</v>
      </c>
      <c r="P3477" t="s">
        <v>25</v>
      </c>
      <c r="Q3477" t="s">
        <v>37</v>
      </c>
      <c r="R3477" s="1">
        <v>0.1</v>
      </c>
      <c r="S3477">
        <f t="shared" si="216"/>
        <v>79.2</v>
      </c>
      <c r="T3477">
        <f>IFERROR(VLOOKUP(A3477,Table1[[Customer ID]:[Discount Amount]], 6, FALSE),"Not Found")</f>
        <v>88</v>
      </c>
      <c r="U3477" t="str">
        <f t="shared" si="217"/>
        <v>Cash</v>
      </c>
      <c r="V3477" s="4" t="str">
        <f t="shared" si="218"/>
        <v>Normal</v>
      </c>
      <c r="W3477" s="4" t="str">
        <f t="shared" si="219"/>
        <v>Good</v>
      </c>
      <c r="X3477" s="4">
        <f>AVERAGE(Table1[Purchase Amount])</f>
        <v>129.48419400000012</v>
      </c>
    </row>
    <row r="3478" spans="1:24" ht="15" customHeight="1" x14ac:dyDescent="0.25">
      <c r="A3478">
        <v>3477</v>
      </c>
      <c r="B3478">
        <v>68</v>
      </c>
      <c r="C3478" t="s">
        <v>16</v>
      </c>
      <c r="D3478" t="s">
        <v>151</v>
      </c>
      <c r="E3478" t="s">
        <v>98</v>
      </c>
      <c r="F3478" s="2">
        <v>99</v>
      </c>
      <c r="G3478" t="s">
        <v>30</v>
      </c>
      <c r="H3478" t="s">
        <v>20</v>
      </c>
      <c r="I3478" t="s">
        <v>108</v>
      </c>
      <c r="J3478" t="s">
        <v>57</v>
      </c>
      <c r="K3478">
        <v>3.2</v>
      </c>
      <c r="L3478" t="s">
        <v>23</v>
      </c>
      <c r="M3478" t="s">
        <v>35</v>
      </c>
      <c r="N3478" t="s">
        <v>23</v>
      </c>
      <c r="O3478">
        <v>11</v>
      </c>
      <c r="P3478" t="s">
        <v>25</v>
      </c>
      <c r="Q3478" t="s">
        <v>26</v>
      </c>
      <c r="R3478" s="1">
        <v>0.1</v>
      </c>
      <c r="S3478">
        <f t="shared" si="216"/>
        <v>89.1</v>
      </c>
      <c r="T3478">
        <f>IFERROR(VLOOKUP(A3478,Table1[[Customer ID]:[Discount Amount]], 6, FALSE),"Not Found")</f>
        <v>99</v>
      </c>
      <c r="U3478" t="str">
        <f t="shared" si="217"/>
        <v>Cash</v>
      </c>
      <c r="V3478" s="4" t="str">
        <f t="shared" si="218"/>
        <v>Normal</v>
      </c>
      <c r="W3478" s="4" t="str">
        <f t="shared" si="219"/>
        <v>Good</v>
      </c>
      <c r="X3478" s="4">
        <f>AVERAGE(Table1[Purchase Amount])</f>
        <v>129.48419400000012</v>
      </c>
    </row>
    <row r="3479" spans="1:24" ht="15" customHeight="1" x14ac:dyDescent="0.25">
      <c r="A3479">
        <v>3478</v>
      </c>
      <c r="B3479">
        <v>53</v>
      </c>
      <c r="C3479" t="s">
        <v>16</v>
      </c>
      <c r="D3479" t="s">
        <v>69</v>
      </c>
      <c r="E3479" t="s">
        <v>29</v>
      </c>
      <c r="F3479" s="2">
        <v>85</v>
      </c>
      <c r="G3479" t="s">
        <v>70</v>
      </c>
      <c r="H3479" t="s">
        <v>55</v>
      </c>
      <c r="I3479" t="s">
        <v>147</v>
      </c>
      <c r="J3479" t="s">
        <v>33</v>
      </c>
      <c r="K3479">
        <v>3.8</v>
      </c>
      <c r="L3479" t="s">
        <v>23</v>
      </c>
      <c r="M3479" t="s">
        <v>48</v>
      </c>
      <c r="N3479" t="s">
        <v>23</v>
      </c>
      <c r="O3479">
        <v>38</v>
      </c>
      <c r="P3479" t="s">
        <v>36</v>
      </c>
      <c r="Q3479" t="s">
        <v>68</v>
      </c>
      <c r="R3479" s="1">
        <v>0.1</v>
      </c>
      <c r="S3479">
        <f t="shared" si="216"/>
        <v>76.5</v>
      </c>
      <c r="T3479">
        <f>IFERROR(VLOOKUP(A3479,Table1[[Customer ID]:[Discount Amount]], 6, FALSE),"Not Found")</f>
        <v>85</v>
      </c>
      <c r="U3479" t="str">
        <f t="shared" si="217"/>
        <v>Debit Card</v>
      </c>
      <c r="V3479" s="4" t="str">
        <f t="shared" si="218"/>
        <v>Normal</v>
      </c>
      <c r="W3479" s="4" t="str">
        <f t="shared" si="219"/>
        <v>Good</v>
      </c>
      <c r="X3479" s="4">
        <f>AVERAGE(Table1[Purchase Amount])</f>
        <v>129.48419400000012</v>
      </c>
    </row>
    <row r="3480" spans="1:24" ht="15" customHeight="1" x14ac:dyDescent="0.25">
      <c r="A3480">
        <v>3479</v>
      </c>
      <c r="B3480">
        <v>36</v>
      </c>
      <c r="C3480" t="s">
        <v>16</v>
      </c>
      <c r="D3480" t="s">
        <v>69</v>
      </c>
      <c r="E3480" t="s">
        <v>29</v>
      </c>
      <c r="F3480" s="2">
        <v>57</v>
      </c>
      <c r="G3480" t="s">
        <v>150</v>
      </c>
      <c r="H3480" t="s">
        <v>31</v>
      </c>
      <c r="I3480" t="s">
        <v>87</v>
      </c>
      <c r="J3480" t="s">
        <v>47</v>
      </c>
      <c r="K3480">
        <v>4.5999999999999996</v>
      </c>
      <c r="L3480" t="s">
        <v>23</v>
      </c>
      <c r="M3480" t="s">
        <v>48</v>
      </c>
      <c r="N3480" t="s">
        <v>23</v>
      </c>
      <c r="O3480">
        <v>42</v>
      </c>
      <c r="P3480" t="s">
        <v>58</v>
      </c>
      <c r="Q3480" t="s">
        <v>37</v>
      </c>
      <c r="R3480" s="1">
        <v>0.1</v>
      </c>
      <c r="S3480">
        <f t="shared" si="216"/>
        <v>51.3</v>
      </c>
      <c r="T3480">
        <f>IFERROR(VLOOKUP(A3480,Table1[[Customer ID]:[Discount Amount]], 6, FALSE),"Not Found")</f>
        <v>57</v>
      </c>
      <c r="U3480" t="str">
        <f t="shared" si="217"/>
        <v>PayPal</v>
      </c>
      <c r="V3480" s="4" t="str">
        <f t="shared" si="218"/>
        <v>Normal</v>
      </c>
      <c r="W3480" s="4" t="str">
        <f t="shared" si="219"/>
        <v>Good</v>
      </c>
      <c r="X3480" s="4">
        <f>AVERAGE(Table1[Purchase Amount])</f>
        <v>129.48419400000012</v>
      </c>
    </row>
    <row r="3481" spans="1:24" ht="15" customHeight="1" x14ac:dyDescent="0.25">
      <c r="A3481">
        <v>3480</v>
      </c>
      <c r="B3481">
        <v>46</v>
      </c>
      <c r="C3481" t="s">
        <v>16</v>
      </c>
      <c r="D3481" t="s">
        <v>127</v>
      </c>
      <c r="E3481" t="s">
        <v>18</v>
      </c>
      <c r="F3481" s="2">
        <v>56</v>
      </c>
      <c r="G3481" t="s">
        <v>101</v>
      </c>
      <c r="H3481" t="s">
        <v>55</v>
      </c>
      <c r="I3481" t="s">
        <v>108</v>
      </c>
      <c r="J3481" t="s">
        <v>57</v>
      </c>
      <c r="K3481">
        <v>4.9000000000000004</v>
      </c>
      <c r="L3481" t="s">
        <v>23</v>
      </c>
      <c r="M3481" t="s">
        <v>24</v>
      </c>
      <c r="N3481" t="s">
        <v>23</v>
      </c>
      <c r="O3481">
        <v>41</v>
      </c>
      <c r="P3481" t="s">
        <v>25</v>
      </c>
      <c r="Q3481" t="s">
        <v>42</v>
      </c>
      <c r="R3481" s="1">
        <v>0.1</v>
      </c>
      <c r="S3481">
        <f t="shared" si="216"/>
        <v>50.4</v>
      </c>
      <c r="T3481">
        <f>IFERROR(VLOOKUP(A3481,Table1[[Customer ID]:[Discount Amount]], 6, FALSE),"Not Found")</f>
        <v>56</v>
      </c>
      <c r="U3481" t="str">
        <f t="shared" si="217"/>
        <v>Cash</v>
      </c>
      <c r="V3481" s="4" t="str">
        <f t="shared" si="218"/>
        <v>Normal</v>
      </c>
      <c r="W3481" s="4" t="str">
        <f t="shared" si="219"/>
        <v>Good</v>
      </c>
      <c r="X3481" s="4">
        <f>AVERAGE(Table1[Purchase Amount])</f>
        <v>129.48419400000012</v>
      </c>
    </row>
    <row r="3482" spans="1:24" ht="15" customHeight="1" x14ac:dyDescent="0.25">
      <c r="A3482">
        <v>3481</v>
      </c>
      <c r="B3482">
        <v>21</v>
      </c>
      <c r="C3482" t="s">
        <v>16</v>
      </c>
      <c r="D3482" t="s">
        <v>121</v>
      </c>
      <c r="E3482" t="s">
        <v>98</v>
      </c>
      <c r="F3482" s="2">
        <v>79</v>
      </c>
      <c r="G3482" t="s">
        <v>132</v>
      </c>
      <c r="H3482" t="s">
        <v>45</v>
      </c>
      <c r="I3482" t="s">
        <v>145</v>
      </c>
      <c r="J3482" t="s">
        <v>22</v>
      </c>
      <c r="K3482">
        <v>3.5</v>
      </c>
      <c r="L3482" t="s">
        <v>23</v>
      </c>
      <c r="M3482" t="s">
        <v>35</v>
      </c>
      <c r="N3482" t="s">
        <v>23</v>
      </c>
      <c r="O3482">
        <v>45</v>
      </c>
      <c r="P3482" t="s">
        <v>58</v>
      </c>
      <c r="Q3482" t="s">
        <v>42</v>
      </c>
      <c r="R3482" s="1">
        <v>0.1</v>
      </c>
      <c r="S3482">
        <f t="shared" si="216"/>
        <v>71.099999999999994</v>
      </c>
      <c r="T3482">
        <f>IFERROR(VLOOKUP(A3482,Table1[[Customer ID]:[Discount Amount]], 6, FALSE),"Not Found")</f>
        <v>79</v>
      </c>
      <c r="U3482" t="str">
        <f t="shared" si="217"/>
        <v>PayPal</v>
      </c>
      <c r="V3482" s="4" t="str">
        <f t="shared" si="218"/>
        <v>Normal</v>
      </c>
      <c r="W3482" s="4" t="str">
        <f t="shared" si="219"/>
        <v>Good</v>
      </c>
      <c r="X3482" s="4">
        <f>AVERAGE(Table1[Purchase Amount])</f>
        <v>129.48419400000012</v>
      </c>
    </row>
    <row r="3483" spans="1:24" ht="15" customHeight="1" x14ac:dyDescent="0.25">
      <c r="A3483">
        <v>3482</v>
      </c>
      <c r="B3483">
        <v>52</v>
      </c>
      <c r="C3483" t="s">
        <v>16</v>
      </c>
      <c r="D3483" t="s">
        <v>105</v>
      </c>
      <c r="E3483" t="s">
        <v>18</v>
      </c>
      <c r="F3483" s="2">
        <v>67</v>
      </c>
      <c r="G3483" t="s">
        <v>90</v>
      </c>
      <c r="H3483" t="s">
        <v>55</v>
      </c>
      <c r="I3483" t="s">
        <v>125</v>
      </c>
      <c r="J3483" t="s">
        <v>57</v>
      </c>
      <c r="K3483">
        <v>3.4</v>
      </c>
      <c r="L3483" t="s">
        <v>23</v>
      </c>
      <c r="M3483" t="s">
        <v>48</v>
      </c>
      <c r="N3483" t="s">
        <v>23</v>
      </c>
      <c r="O3483">
        <v>41</v>
      </c>
      <c r="P3483" t="s">
        <v>36</v>
      </c>
      <c r="Q3483" t="s">
        <v>68</v>
      </c>
      <c r="R3483" s="1">
        <v>0.1</v>
      </c>
      <c r="S3483">
        <f t="shared" si="216"/>
        <v>60.3</v>
      </c>
      <c r="T3483">
        <f>IFERROR(VLOOKUP(A3483,Table1[[Customer ID]:[Discount Amount]], 6, FALSE),"Not Found")</f>
        <v>67</v>
      </c>
      <c r="U3483" t="str">
        <f t="shared" si="217"/>
        <v>Debit Card</v>
      </c>
      <c r="V3483" s="4" t="str">
        <f t="shared" si="218"/>
        <v>Normal</v>
      </c>
      <c r="W3483" s="4" t="str">
        <f t="shared" si="219"/>
        <v>Good</v>
      </c>
      <c r="X3483" s="4">
        <f>AVERAGE(Table1[Purchase Amount])</f>
        <v>129.48419400000012</v>
      </c>
    </row>
    <row r="3484" spans="1:24" ht="15" customHeight="1" x14ac:dyDescent="0.25">
      <c r="A3484">
        <v>3483</v>
      </c>
      <c r="B3484">
        <v>66</v>
      </c>
      <c r="C3484" t="s">
        <v>16</v>
      </c>
      <c r="D3484" t="s">
        <v>43</v>
      </c>
      <c r="E3484" t="s">
        <v>29</v>
      </c>
      <c r="F3484" s="2">
        <v>61</v>
      </c>
      <c r="G3484" t="s">
        <v>135</v>
      </c>
      <c r="H3484" t="s">
        <v>31</v>
      </c>
      <c r="I3484" t="s">
        <v>133</v>
      </c>
      <c r="J3484" t="s">
        <v>22</v>
      </c>
      <c r="K3484">
        <v>3.9</v>
      </c>
      <c r="L3484" t="s">
        <v>23</v>
      </c>
      <c r="M3484" t="s">
        <v>79</v>
      </c>
      <c r="N3484" t="s">
        <v>23</v>
      </c>
      <c r="O3484">
        <v>35</v>
      </c>
      <c r="P3484" t="s">
        <v>36</v>
      </c>
      <c r="Q3484" t="s">
        <v>26</v>
      </c>
      <c r="R3484" s="1">
        <v>0.1</v>
      </c>
      <c r="S3484">
        <f t="shared" si="216"/>
        <v>54.9</v>
      </c>
      <c r="T3484">
        <f>IFERROR(VLOOKUP(A3484,Table1[[Customer ID]:[Discount Amount]], 6, FALSE),"Not Found")</f>
        <v>61</v>
      </c>
      <c r="U3484" t="str">
        <f t="shared" si="217"/>
        <v>Debit Card</v>
      </c>
      <c r="V3484" s="4" t="str">
        <f t="shared" si="218"/>
        <v>Normal</v>
      </c>
      <c r="W3484" s="4" t="str">
        <f t="shared" si="219"/>
        <v>Good</v>
      </c>
      <c r="X3484" s="4">
        <f>AVERAGE(Table1[Purchase Amount])</f>
        <v>129.48419400000012</v>
      </c>
    </row>
    <row r="3485" spans="1:24" ht="15" customHeight="1" x14ac:dyDescent="0.25">
      <c r="A3485">
        <v>3484</v>
      </c>
      <c r="B3485">
        <v>19</v>
      </c>
      <c r="C3485" t="s">
        <v>16</v>
      </c>
      <c r="D3485" t="s">
        <v>83</v>
      </c>
      <c r="E3485" t="s">
        <v>18</v>
      </c>
      <c r="F3485" s="2">
        <v>37</v>
      </c>
      <c r="G3485" t="s">
        <v>152</v>
      </c>
      <c r="H3485" t="s">
        <v>45</v>
      </c>
      <c r="I3485" t="s">
        <v>32</v>
      </c>
      <c r="J3485" t="s">
        <v>22</v>
      </c>
      <c r="K3485">
        <v>3.9</v>
      </c>
      <c r="L3485" t="s">
        <v>23</v>
      </c>
      <c r="M3485" t="s">
        <v>61</v>
      </c>
      <c r="N3485" t="s">
        <v>23</v>
      </c>
      <c r="O3485">
        <v>21</v>
      </c>
      <c r="P3485" t="s">
        <v>53</v>
      </c>
      <c r="Q3485" t="s">
        <v>63</v>
      </c>
      <c r="R3485" s="1">
        <v>0.1</v>
      </c>
      <c r="S3485">
        <f t="shared" si="216"/>
        <v>33.299999999999997</v>
      </c>
      <c r="T3485">
        <f>IFERROR(VLOOKUP(A3485,Table1[[Customer ID]:[Discount Amount]], 6, FALSE),"Not Found")</f>
        <v>37</v>
      </c>
      <c r="U3485" t="str">
        <f t="shared" si="217"/>
        <v>Credit Card</v>
      </c>
      <c r="V3485" s="4" t="str">
        <f t="shared" si="218"/>
        <v>Normal</v>
      </c>
      <c r="W3485" s="4" t="str">
        <f t="shared" si="219"/>
        <v>Good</v>
      </c>
      <c r="X3485" s="4">
        <f>AVERAGE(Table1[Purchase Amount])</f>
        <v>129.48419400000012</v>
      </c>
    </row>
    <row r="3486" spans="1:24" ht="15" customHeight="1" x14ac:dyDescent="0.25">
      <c r="A3486">
        <v>3485</v>
      </c>
      <c r="B3486">
        <v>44</v>
      </c>
      <c r="C3486" t="s">
        <v>16</v>
      </c>
      <c r="D3486" t="s">
        <v>157</v>
      </c>
      <c r="E3486" t="s">
        <v>18</v>
      </c>
      <c r="F3486" s="2">
        <v>75</v>
      </c>
      <c r="G3486" t="s">
        <v>44</v>
      </c>
      <c r="H3486" t="s">
        <v>45</v>
      </c>
      <c r="I3486" t="s">
        <v>85</v>
      </c>
      <c r="J3486" t="s">
        <v>47</v>
      </c>
      <c r="K3486">
        <v>4.2</v>
      </c>
      <c r="L3486" t="s">
        <v>23</v>
      </c>
      <c r="M3486" t="s">
        <v>35</v>
      </c>
      <c r="N3486" t="s">
        <v>23</v>
      </c>
      <c r="O3486">
        <v>13</v>
      </c>
      <c r="P3486" t="s">
        <v>53</v>
      </c>
      <c r="Q3486" t="s">
        <v>68</v>
      </c>
      <c r="R3486" s="1">
        <v>0.1</v>
      </c>
      <c r="S3486">
        <f t="shared" si="216"/>
        <v>67.5</v>
      </c>
      <c r="T3486">
        <f>IFERROR(VLOOKUP(A3486,Table1[[Customer ID]:[Discount Amount]], 6, FALSE),"Not Found")</f>
        <v>75</v>
      </c>
      <c r="U3486" t="str">
        <f t="shared" si="217"/>
        <v>Credit Card</v>
      </c>
      <c r="V3486" s="4" t="str">
        <f t="shared" si="218"/>
        <v>Normal</v>
      </c>
      <c r="W3486" s="4" t="str">
        <f t="shared" si="219"/>
        <v>Good</v>
      </c>
      <c r="X3486" s="4">
        <f>AVERAGE(Table1[Purchase Amount])</f>
        <v>129.48419400000012</v>
      </c>
    </row>
    <row r="3487" spans="1:24" ht="15" customHeight="1" x14ac:dyDescent="0.25">
      <c r="A3487">
        <v>3486</v>
      </c>
      <c r="B3487">
        <v>50</v>
      </c>
      <c r="C3487" t="s">
        <v>16</v>
      </c>
      <c r="D3487" t="s">
        <v>38</v>
      </c>
      <c r="E3487" t="s">
        <v>18</v>
      </c>
      <c r="F3487" s="2">
        <v>21</v>
      </c>
      <c r="G3487" t="s">
        <v>97</v>
      </c>
      <c r="H3487" t="s">
        <v>20</v>
      </c>
      <c r="I3487" t="s">
        <v>60</v>
      </c>
      <c r="J3487" t="s">
        <v>22</v>
      </c>
      <c r="K3487">
        <v>3.4</v>
      </c>
      <c r="L3487" t="s">
        <v>23</v>
      </c>
      <c r="M3487" t="s">
        <v>24</v>
      </c>
      <c r="N3487" t="s">
        <v>23</v>
      </c>
      <c r="O3487">
        <v>23</v>
      </c>
      <c r="P3487" t="s">
        <v>36</v>
      </c>
      <c r="Q3487" t="s">
        <v>89</v>
      </c>
      <c r="R3487" s="1">
        <v>0.1</v>
      </c>
      <c r="S3487">
        <f t="shared" si="216"/>
        <v>18.899999999999999</v>
      </c>
      <c r="T3487">
        <f>IFERROR(VLOOKUP(A3487,Table1[[Customer ID]:[Discount Amount]], 6, FALSE),"Not Found")</f>
        <v>21</v>
      </c>
      <c r="U3487" t="str">
        <f t="shared" si="217"/>
        <v>Debit Card</v>
      </c>
      <c r="V3487" s="4" t="str">
        <f t="shared" si="218"/>
        <v>Normal</v>
      </c>
      <c r="W3487" s="4" t="str">
        <f t="shared" si="219"/>
        <v>Good</v>
      </c>
      <c r="X3487" s="4">
        <f>AVERAGE(Table1[Purchase Amount])</f>
        <v>129.48419400000012</v>
      </c>
    </row>
    <row r="3488" spans="1:24" ht="15" customHeight="1" x14ac:dyDescent="0.25">
      <c r="A3488">
        <v>3487</v>
      </c>
      <c r="B3488">
        <v>51</v>
      </c>
      <c r="C3488" t="s">
        <v>16</v>
      </c>
      <c r="D3488" t="s">
        <v>54</v>
      </c>
      <c r="E3488" t="s">
        <v>18</v>
      </c>
      <c r="F3488" s="2">
        <v>89</v>
      </c>
      <c r="G3488" t="s">
        <v>134</v>
      </c>
      <c r="H3488" t="s">
        <v>45</v>
      </c>
      <c r="I3488" t="s">
        <v>103</v>
      </c>
      <c r="J3488" t="s">
        <v>22</v>
      </c>
      <c r="K3488">
        <v>4.9000000000000004</v>
      </c>
      <c r="L3488" t="s">
        <v>23</v>
      </c>
      <c r="M3488" t="s">
        <v>24</v>
      </c>
      <c r="N3488" t="s">
        <v>23</v>
      </c>
      <c r="O3488">
        <v>6</v>
      </c>
      <c r="P3488" t="s">
        <v>58</v>
      </c>
      <c r="Q3488" t="s">
        <v>26</v>
      </c>
      <c r="R3488" s="1">
        <v>0.1</v>
      </c>
      <c r="S3488">
        <f t="shared" si="216"/>
        <v>80.099999999999994</v>
      </c>
      <c r="T3488">
        <f>IFERROR(VLOOKUP(A3488,Table1[[Customer ID]:[Discount Amount]], 6, FALSE),"Not Found")</f>
        <v>89</v>
      </c>
      <c r="U3488" t="str">
        <f t="shared" si="217"/>
        <v>PayPal</v>
      </c>
      <c r="V3488" s="4" t="str">
        <f t="shared" si="218"/>
        <v>Normal</v>
      </c>
      <c r="W3488" s="4" t="str">
        <f t="shared" si="219"/>
        <v>Good</v>
      </c>
      <c r="X3488" s="4">
        <f>AVERAGE(Table1[Purchase Amount])</f>
        <v>129.48419400000012</v>
      </c>
    </row>
    <row r="3489" spans="1:24" ht="15" customHeight="1" x14ac:dyDescent="0.25">
      <c r="A3489">
        <v>3488</v>
      </c>
      <c r="B3489">
        <v>25</v>
      </c>
      <c r="C3489" t="s">
        <v>16</v>
      </c>
      <c r="D3489" t="s">
        <v>121</v>
      </c>
      <c r="E3489" t="s">
        <v>98</v>
      </c>
      <c r="F3489" s="2">
        <v>24</v>
      </c>
      <c r="G3489" t="s">
        <v>154</v>
      </c>
      <c r="H3489" t="s">
        <v>45</v>
      </c>
      <c r="I3489" t="s">
        <v>56</v>
      </c>
      <c r="J3489" t="s">
        <v>47</v>
      </c>
      <c r="K3489">
        <v>2.9</v>
      </c>
      <c r="L3489" t="s">
        <v>23</v>
      </c>
      <c r="M3489" t="s">
        <v>48</v>
      </c>
      <c r="N3489" t="s">
        <v>23</v>
      </c>
      <c r="O3489">
        <v>39</v>
      </c>
      <c r="P3489" t="s">
        <v>88</v>
      </c>
      <c r="Q3489" t="s">
        <v>49</v>
      </c>
      <c r="R3489" s="1">
        <v>0.1</v>
      </c>
      <c r="S3489">
        <f t="shared" si="216"/>
        <v>21.6</v>
      </c>
      <c r="T3489">
        <f>IFERROR(VLOOKUP(A3489,Table1[[Customer ID]:[Discount Amount]], 6, FALSE),"Not Found")</f>
        <v>24</v>
      </c>
      <c r="U3489" t="str">
        <f t="shared" si="217"/>
        <v>Bank Transfer</v>
      </c>
      <c r="V3489" s="4" t="str">
        <f t="shared" si="218"/>
        <v>Normal</v>
      </c>
      <c r="W3489" s="4" t="str">
        <f t="shared" si="219"/>
        <v>Poor</v>
      </c>
      <c r="X3489" s="4">
        <f>AVERAGE(Table1[Purchase Amount])</f>
        <v>129.48419400000012</v>
      </c>
    </row>
    <row r="3490" spans="1:24" ht="15" customHeight="1" x14ac:dyDescent="0.25">
      <c r="A3490">
        <v>3489</v>
      </c>
      <c r="B3490">
        <v>62</v>
      </c>
      <c r="C3490" t="s">
        <v>16</v>
      </c>
      <c r="D3490" t="s">
        <v>127</v>
      </c>
      <c r="E3490" t="s">
        <v>18</v>
      </c>
      <c r="F3490" s="2">
        <v>27</v>
      </c>
      <c r="G3490" t="s">
        <v>143</v>
      </c>
      <c r="H3490" t="s">
        <v>20</v>
      </c>
      <c r="I3490" t="s">
        <v>147</v>
      </c>
      <c r="J3490" t="s">
        <v>33</v>
      </c>
      <c r="K3490">
        <v>4.9000000000000004</v>
      </c>
      <c r="L3490" t="s">
        <v>23</v>
      </c>
      <c r="M3490" t="s">
        <v>48</v>
      </c>
      <c r="N3490" t="s">
        <v>23</v>
      </c>
      <c r="O3490">
        <v>7</v>
      </c>
      <c r="P3490" t="s">
        <v>25</v>
      </c>
      <c r="Q3490" t="s">
        <v>37</v>
      </c>
      <c r="R3490" s="1">
        <v>0.1</v>
      </c>
      <c r="S3490">
        <f t="shared" si="216"/>
        <v>24.3</v>
      </c>
      <c r="T3490">
        <f>IFERROR(VLOOKUP(A3490,Table1[[Customer ID]:[Discount Amount]], 6, FALSE),"Not Found")</f>
        <v>27</v>
      </c>
      <c r="U3490" t="str">
        <f t="shared" si="217"/>
        <v>Cash</v>
      </c>
      <c r="V3490" s="4" t="str">
        <f t="shared" si="218"/>
        <v>Normal</v>
      </c>
      <c r="W3490" s="4" t="str">
        <f t="shared" si="219"/>
        <v>Good</v>
      </c>
      <c r="X3490" s="4">
        <f>AVERAGE(Table1[Purchase Amount])</f>
        <v>129.48419400000012</v>
      </c>
    </row>
    <row r="3491" spans="1:24" ht="15" customHeight="1" x14ac:dyDescent="0.25">
      <c r="A3491">
        <v>3490</v>
      </c>
      <c r="B3491">
        <v>48</v>
      </c>
      <c r="C3491" t="s">
        <v>16</v>
      </c>
      <c r="D3491" t="s">
        <v>157</v>
      </c>
      <c r="E3491" t="s">
        <v>18</v>
      </c>
      <c r="F3491" s="2">
        <v>26</v>
      </c>
      <c r="G3491" t="s">
        <v>161</v>
      </c>
      <c r="H3491" t="s">
        <v>45</v>
      </c>
      <c r="I3491" t="s">
        <v>40</v>
      </c>
      <c r="J3491" t="s">
        <v>57</v>
      </c>
      <c r="K3491">
        <v>4.5999999999999996</v>
      </c>
      <c r="L3491" t="s">
        <v>23</v>
      </c>
      <c r="M3491" t="s">
        <v>41</v>
      </c>
      <c r="N3491" t="s">
        <v>23</v>
      </c>
      <c r="O3491">
        <v>32</v>
      </c>
      <c r="P3491" t="s">
        <v>58</v>
      </c>
      <c r="Q3491" t="s">
        <v>63</v>
      </c>
      <c r="R3491" s="1">
        <v>0.1</v>
      </c>
      <c r="S3491">
        <f t="shared" si="216"/>
        <v>23.4</v>
      </c>
      <c r="T3491">
        <f>IFERROR(VLOOKUP(A3491,Table1[[Customer ID]:[Discount Amount]], 6, FALSE),"Not Found")</f>
        <v>26</v>
      </c>
      <c r="U3491" t="str">
        <f t="shared" si="217"/>
        <v>PayPal</v>
      </c>
      <c r="V3491" s="4" t="str">
        <f t="shared" si="218"/>
        <v>Normal</v>
      </c>
      <c r="W3491" s="4" t="str">
        <f t="shared" si="219"/>
        <v>Good</v>
      </c>
      <c r="X3491" s="4">
        <f>AVERAGE(Table1[Purchase Amount])</f>
        <v>129.48419400000012</v>
      </c>
    </row>
    <row r="3492" spans="1:24" ht="15" customHeight="1" x14ac:dyDescent="0.25">
      <c r="A3492">
        <v>3491</v>
      </c>
      <c r="B3492">
        <v>62</v>
      </c>
      <c r="C3492" t="s">
        <v>16</v>
      </c>
      <c r="D3492" t="s">
        <v>151</v>
      </c>
      <c r="E3492" t="s">
        <v>98</v>
      </c>
      <c r="F3492" s="2">
        <v>82</v>
      </c>
      <c r="G3492" t="s">
        <v>123</v>
      </c>
      <c r="H3492" t="s">
        <v>31</v>
      </c>
      <c r="I3492" t="s">
        <v>111</v>
      </c>
      <c r="J3492" t="s">
        <v>33</v>
      </c>
      <c r="K3492">
        <v>3.6</v>
      </c>
      <c r="L3492" t="s">
        <v>23</v>
      </c>
      <c r="M3492" t="s">
        <v>48</v>
      </c>
      <c r="N3492" t="s">
        <v>23</v>
      </c>
      <c r="O3492">
        <v>43</v>
      </c>
      <c r="P3492" t="s">
        <v>53</v>
      </c>
      <c r="Q3492" t="s">
        <v>37</v>
      </c>
      <c r="R3492" s="1">
        <v>0.1</v>
      </c>
      <c r="S3492">
        <f t="shared" si="216"/>
        <v>73.8</v>
      </c>
      <c r="T3492">
        <f>IFERROR(VLOOKUP(A3492,Table1[[Customer ID]:[Discount Amount]], 6, FALSE),"Not Found")</f>
        <v>82</v>
      </c>
      <c r="U3492" t="str">
        <f t="shared" si="217"/>
        <v>Credit Card</v>
      </c>
      <c r="V3492" s="4" t="str">
        <f t="shared" si="218"/>
        <v>Normal</v>
      </c>
      <c r="W3492" s="4" t="str">
        <f t="shared" si="219"/>
        <v>Good</v>
      </c>
      <c r="X3492" s="4">
        <f>AVERAGE(Table1[Purchase Amount])</f>
        <v>129.48419400000012</v>
      </c>
    </row>
    <row r="3493" spans="1:24" ht="15" customHeight="1" x14ac:dyDescent="0.25">
      <c r="A3493">
        <v>3492</v>
      </c>
      <c r="B3493">
        <v>22</v>
      </c>
      <c r="C3493" t="s">
        <v>16</v>
      </c>
      <c r="D3493" t="s">
        <v>99</v>
      </c>
      <c r="E3493" t="s">
        <v>18</v>
      </c>
      <c r="F3493" s="2">
        <v>28</v>
      </c>
      <c r="G3493" t="s">
        <v>94</v>
      </c>
      <c r="H3493" t="s">
        <v>31</v>
      </c>
      <c r="I3493" t="s">
        <v>108</v>
      </c>
      <c r="J3493" t="s">
        <v>22</v>
      </c>
      <c r="K3493">
        <v>4.3</v>
      </c>
      <c r="L3493" t="s">
        <v>23</v>
      </c>
      <c r="M3493" t="s">
        <v>61</v>
      </c>
      <c r="N3493" t="s">
        <v>23</v>
      </c>
      <c r="O3493">
        <v>15</v>
      </c>
      <c r="P3493" t="s">
        <v>25</v>
      </c>
      <c r="Q3493" t="s">
        <v>42</v>
      </c>
      <c r="R3493" s="1">
        <v>0.1</v>
      </c>
      <c r="S3493">
        <f t="shared" si="216"/>
        <v>25.2</v>
      </c>
      <c r="T3493">
        <f>IFERROR(VLOOKUP(A3493,Table1[[Customer ID]:[Discount Amount]], 6, FALSE),"Not Found")</f>
        <v>28</v>
      </c>
      <c r="U3493" t="str">
        <f t="shared" si="217"/>
        <v>Cash</v>
      </c>
      <c r="V3493" s="4" t="str">
        <f t="shared" si="218"/>
        <v>Normal</v>
      </c>
      <c r="W3493" s="4" t="str">
        <f t="shared" si="219"/>
        <v>Good</v>
      </c>
      <c r="X3493" s="4">
        <f>AVERAGE(Table1[Purchase Amount])</f>
        <v>129.48419400000012</v>
      </c>
    </row>
    <row r="3494" spans="1:24" ht="15" customHeight="1" x14ac:dyDescent="0.25">
      <c r="A3494">
        <v>3493</v>
      </c>
      <c r="B3494">
        <v>48</v>
      </c>
      <c r="C3494" t="s">
        <v>16</v>
      </c>
      <c r="D3494" t="s">
        <v>43</v>
      </c>
      <c r="E3494" t="s">
        <v>29</v>
      </c>
      <c r="F3494" s="2">
        <v>65</v>
      </c>
      <c r="G3494" t="s">
        <v>130</v>
      </c>
      <c r="H3494" t="s">
        <v>31</v>
      </c>
      <c r="I3494" t="s">
        <v>156</v>
      </c>
      <c r="J3494" t="s">
        <v>47</v>
      </c>
      <c r="K3494">
        <v>4.5999999999999996</v>
      </c>
      <c r="L3494" t="s">
        <v>23</v>
      </c>
      <c r="M3494" t="s">
        <v>24</v>
      </c>
      <c r="N3494" t="s">
        <v>23</v>
      </c>
      <c r="O3494">
        <v>48</v>
      </c>
      <c r="P3494" t="s">
        <v>88</v>
      </c>
      <c r="Q3494" t="s">
        <v>49</v>
      </c>
      <c r="R3494" s="1">
        <v>0.1</v>
      </c>
      <c r="S3494">
        <f t="shared" si="216"/>
        <v>58.5</v>
      </c>
      <c r="T3494">
        <f>IFERROR(VLOOKUP(A3494,Table1[[Customer ID]:[Discount Amount]], 6, FALSE),"Not Found")</f>
        <v>65</v>
      </c>
      <c r="U3494" t="str">
        <f t="shared" si="217"/>
        <v>Bank Transfer</v>
      </c>
      <c r="V3494" s="4" t="str">
        <f t="shared" si="218"/>
        <v>Normal</v>
      </c>
      <c r="W3494" s="4" t="str">
        <f t="shared" si="219"/>
        <v>Good</v>
      </c>
      <c r="X3494" s="4">
        <f>AVERAGE(Table1[Purchase Amount])</f>
        <v>129.48419400000012</v>
      </c>
    </row>
    <row r="3495" spans="1:24" ht="15" customHeight="1" x14ac:dyDescent="0.25">
      <c r="A3495">
        <v>3494</v>
      </c>
      <c r="B3495">
        <v>48</v>
      </c>
      <c r="C3495" t="s">
        <v>16</v>
      </c>
      <c r="D3495" t="s">
        <v>99</v>
      </c>
      <c r="E3495" t="s">
        <v>18</v>
      </c>
      <c r="F3495" s="2">
        <v>82</v>
      </c>
      <c r="G3495" t="s">
        <v>110</v>
      </c>
      <c r="H3495" t="s">
        <v>20</v>
      </c>
      <c r="I3495" t="s">
        <v>40</v>
      </c>
      <c r="J3495" t="s">
        <v>22</v>
      </c>
      <c r="K3495">
        <v>4.7</v>
      </c>
      <c r="L3495" t="s">
        <v>23</v>
      </c>
      <c r="M3495" t="s">
        <v>48</v>
      </c>
      <c r="N3495" t="s">
        <v>23</v>
      </c>
      <c r="O3495">
        <v>35</v>
      </c>
      <c r="P3495" t="s">
        <v>53</v>
      </c>
      <c r="Q3495" t="s">
        <v>26</v>
      </c>
      <c r="R3495" s="1">
        <v>0.1</v>
      </c>
      <c r="S3495">
        <f t="shared" si="216"/>
        <v>73.8</v>
      </c>
      <c r="T3495">
        <f>IFERROR(VLOOKUP(A3495,Table1[[Customer ID]:[Discount Amount]], 6, FALSE),"Not Found")</f>
        <v>82</v>
      </c>
      <c r="U3495" t="str">
        <f t="shared" si="217"/>
        <v>Credit Card</v>
      </c>
      <c r="V3495" s="4" t="str">
        <f t="shared" si="218"/>
        <v>Normal</v>
      </c>
      <c r="W3495" s="4" t="str">
        <f t="shared" si="219"/>
        <v>Good</v>
      </c>
      <c r="X3495" s="4">
        <f>AVERAGE(Table1[Purchase Amount])</f>
        <v>129.48419400000012</v>
      </c>
    </row>
    <row r="3496" spans="1:24" ht="15" customHeight="1" x14ac:dyDescent="0.25">
      <c r="A3496">
        <v>3495</v>
      </c>
      <c r="B3496">
        <v>62</v>
      </c>
      <c r="C3496" t="s">
        <v>16</v>
      </c>
      <c r="D3496" t="s">
        <v>129</v>
      </c>
      <c r="E3496" t="s">
        <v>29</v>
      </c>
      <c r="F3496" s="2">
        <v>38</v>
      </c>
      <c r="G3496" t="s">
        <v>155</v>
      </c>
      <c r="H3496" t="s">
        <v>31</v>
      </c>
      <c r="I3496" t="s">
        <v>153</v>
      </c>
      <c r="J3496" t="s">
        <v>22</v>
      </c>
      <c r="K3496">
        <v>3.5</v>
      </c>
      <c r="L3496" t="s">
        <v>23</v>
      </c>
      <c r="M3496" t="s">
        <v>35</v>
      </c>
      <c r="N3496" t="s">
        <v>23</v>
      </c>
      <c r="O3496">
        <v>41</v>
      </c>
      <c r="P3496" t="s">
        <v>58</v>
      </c>
      <c r="Q3496" t="s">
        <v>37</v>
      </c>
      <c r="R3496" s="1">
        <v>0.1</v>
      </c>
      <c r="S3496">
        <f t="shared" si="216"/>
        <v>34.200000000000003</v>
      </c>
      <c r="T3496">
        <f>IFERROR(VLOOKUP(A3496,Table1[[Customer ID]:[Discount Amount]], 6, FALSE),"Not Found")</f>
        <v>38</v>
      </c>
      <c r="U3496" t="str">
        <f t="shared" si="217"/>
        <v>PayPal</v>
      </c>
      <c r="V3496" s="4" t="str">
        <f t="shared" si="218"/>
        <v>Normal</v>
      </c>
      <c r="W3496" s="4" t="str">
        <f t="shared" si="219"/>
        <v>Good</v>
      </c>
      <c r="X3496" s="4">
        <f>AVERAGE(Table1[Purchase Amount])</f>
        <v>129.48419400000012</v>
      </c>
    </row>
    <row r="3497" spans="1:24" ht="15" customHeight="1" x14ac:dyDescent="0.25">
      <c r="A3497">
        <v>3496</v>
      </c>
      <c r="B3497">
        <v>24</v>
      </c>
      <c r="C3497" t="s">
        <v>16</v>
      </c>
      <c r="D3497" t="s">
        <v>54</v>
      </c>
      <c r="E3497" t="s">
        <v>18</v>
      </c>
      <c r="F3497" s="2">
        <v>33</v>
      </c>
      <c r="G3497" t="s">
        <v>160</v>
      </c>
      <c r="H3497" t="s">
        <v>20</v>
      </c>
      <c r="I3497" t="s">
        <v>85</v>
      </c>
      <c r="J3497" t="s">
        <v>33</v>
      </c>
      <c r="K3497">
        <v>2.8</v>
      </c>
      <c r="L3497" t="s">
        <v>23</v>
      </c>
      <c r="M3497" t="s">
        <v>35</v>
      </c>
      <c r="N3497" t="s">
        <v>23</v>
      </c>
      <c r="O3497">
        <v>14</v>
      </c>
      <c r="P3497" t="s">
        <v>25</v>
      </c>
      <c r="Q3497" t="s">
        <v>26</v>
      </c>
      <c r="R3497" s="1">
        <v>0.1</v>
      </c>
      <c r="S3497">
        <f t="shared" si="216"/>
        <v>29.7</v>
      </c>
      <c r="T3497">
        <f>IFERROR(VLOOKUP(A3497,Table1[[Customer ID]:[Discount Amount]], 6, FALSE),"Not Found")</f>
        <v>33</v>
      </c>
      <c r="U3497" t="str">
        <f t="shared" si="217"/>
        <v>Cash</v>
      </c>
      <c r="V3497" s="4" t="str">
        <f t="shared" si="218"/>
        <v>Normal</v>
      </c>
      <c r="W3497" s="4" t="str">
        <f t="shared" si="219"/>
        <v>Poor</v>
      </c>
      <c r="X3497" s="4">
        <f>AVERAGE(Table1[Purchase Amount])</f>
        <v>129.48419400000012</v>
      </c>
    </row>
    <row r="3498" spans="1:24" ht="15" customHeight="1" x14ac:dyDescent="0.25">
      <c r="A3498">
        <v>3497</v>
      </c>
      <c r="B3498">
        <v>39</v>
      </c>
      <c r="C3498" t="s">
        <v>16</v>
      </c>
      <c r="D3498" t="s">
        <v>72</v>
      </c>
      <c r="E3498" t="s">
        <v>98</v>
      </c>
      <c r="F3498" s="2">
        <v>38</v>
      </c>
      <c r="G3498" t="s">
        <v>161</v>
      </c>
      <c r="H3498" t="s">
        <v>31</v>
      </c>
      <c r="I3498" t="s">
        <v>136</v>
      </c>
      <c r="J3498" t="s">
        <v>57</v>
      </c>
      <c r="K3498">
        <v>4</v>
      </c>
      <c r="L3498" t="s">
        <v>23</v>
      </c>
      <c r="M3498" t="s">
        <v>35</v>
      </c>
      <c r="N3498" t="s">
        <v>23</v>
      </c>
      <c r="O3498">
        <v>22</v>
      </c>
      <c r="P3498" t="s">
        <v>58</v>
      </c>
      <c r="Q3498" t="s">
        <v>42</v>
      </c>
      <c r="R3498" s="1">
        <v>0.1</v>
      </c>
      <c r="S3498">
        <f t="shared" si="216"/>
        <v>34.200000000000003</v>
      </c>
      <c r="T3498">
        <f>IFERROR(VLOOKUP(A3498,Table1[[Customer ID]:[Discount Amount]], 6, FALSE),"Not Found")</f>
        <v>38</v>
      </c>
      <c r="U3498" t="str">
        <f t="shared" si="217"/>
        <v>PayPal</v>
      </c>
      <c r="V3498" s="4" t="str">
        <f t="shared" si="218"/>
        <v>Normal</v>
      </c>
      <c r="W3498" s="4" t="str">
        <f t="shared" si="219"/>
        <v>Good</v>
      </c>
      <c r="X3498" s="4">
        <f>AVERAGE(Table1[Purchase Amount])</f>
        <v>129.48419400000012</v>
      </c>
    </row>
    <row r="3499" spans="1:24" ht="15" customHeight="1" x14ac:dyDescent="0.25">
      <c r="A3499">
        <v>3498</v>
      </c>
      <c r="B3499">
        <v>35</v>
      </c>
      <c r="C3499" t="s">
        <v>16</v>
      </c>
      <c r="D3499" t="s">
        <v>69</v>
      </c>
      <c r="E3499" t="s">
        <v>29</v>
      </c>
      <c r="F3499" s="2">
        <v>48</v>
      </c>
      <c r="G3499" t="s">
        <v>92</v>
      </c>
      <c r="H3499" t="s">
        <v>31</v>
      </c>
      <c r="I3499" t="s">
        <v>46</v>
      </c>
      <c r="J3499" t="s">
        <v>33</v>
      </c>
      <c r="K3499">
        <v>4.3</v>
      </c>
      <c r="L3499" t="s">
        <v>23</v>
      </c>
      <c r="M3499" t="s">
        <v>48</v>
      </c>
      <c r="N3499" t="s">
        <v>23</v>
      </c>
      <c r="O3499">
        <v>16</v>
      </c>
      <c r="P3499" t="s">
        <v>62</v>
      </c>
      <c r="Q3499" t="s">
        <v>63</v>
      </c>
      <c r="R3499" s="1">
        <v>0.1</v>
      </c>
      <c r="S3499">
        <f t="shared" si="216"/>
        <v>43.2</v>
      </c>
      <c r="T3499">
        <f>IFERROR(VLOOKUP(A3499,Table1[[Customer ID]:[Discount Amount]], 6, FALSE),"Not Found")</f>
        <v>48</v>
      </c>
      <c r="U3499" t="str">
        <f t="shared" si="217"/>
        <v>Venmo</v>
      </c>
      <c r="V3499" s="4" t="str">
        <f t="shared" si="218"/>
        <v>Normal</v>
      </c>
      <c r="W3499" s="4" t="str">
        <f t="shared" si="219"/>
        <v>Good</v>
      </c>
      <c r="X3499" s="4">
        <f>AVERAGE(Table1[Purchase Amount])</f>
        <v>129.48419400000012</v>
      </c>
    </row>
    <row r="3500" spans="1:24" ht="15" customHeight="1" x14ac:dyDescent="0.25">
      <c r="A3500">
        <v>3499</v>
      </c>
      <c r="B3500">
        <v>47</v>
      </c>
      <c r="C3500" t="s">
        <v>16</v>
      </c>
      <c r="D3500" t="s">
        <v>121</v>
      </c>
      <c r="E3500" t="s">
        <v>98</v>
      </c>
      <c r="F3500" s="2">
        <v>35</v>
      </c>
      <c r="G3500" t="s">
        <v>70</v>
      </c>
      <c r="H3500" t="s">
        <v>31</v>
      </c>
      <c r="I3500" t="s">
        <v>107</v>
      </c>
      <c r="J3500" t="s">
        <v>57</v>
      </c>
      <c r="K3500">
        <v>3.8</v>
      </c>
      <c r="L3500" t="s">
        <v>23</v>
      </c>
      <c r="M3500" t="s">
        <v>24</v>
      </c>
      <c r="N3500" t="s">
        <v>23</v>
      </c>
      <c r="O3500">
        <v>2</v>
      </c>
      <c r="P3500" t="s">
        <v>88</v>
      </c>
      <c r="Q3500" t="s">
        <v>68</v>
      </c>
      <c r="R3500" s="1">
        <v>0.1</v>
      </c>
      <c r="S3500">
        <f t="shared" si="216"/>
        <v>31.5</v>
      </c>
      <c r="T3500">
        <f>IFERROR(VLOOKUP(A3500,Table1[[Customer ID]:[Discount Amount]], 6, FALSE),"Not Found")</f>
        <v>35</v>
      </c>
      <c r="U3500" t="str">
        <f t="shared" si="217"/>
        <v>Bank Transfer</v>
      </c>
      <c r="V3500" s="4" t="str">
        <f t="shared" si="218"/>
        <v>Normal</v>
      </c>
      <c r="W3500" s="4" t="str">
        <f t="shared" si="219"/>
        <v>Good</v>
      </c>
      <c r="X3500" s="4">
        <f>AVERAGE(Table1[Purchase Amount])</f>
        <v>129.48419400000012</v>
      </c>
    </row>
    <row r="3501" spans="1:24" ht="15" customHeight="1" x14ac:dyDescent="0.25">
      <c r="A3501">
        <v>3500</v>
      </c>
      <c r="B3501">
        <v>22</v>
      </c>
      <c r="C3501" t="s">
        <v>16</v>
      </c>
      <c r="D3501" t="s">
        <v>105</v>
      </c>
      <c r="E3501" t="s">
        <v>18</v>
      </c>
      <c r="F3501" s="2">
        <v>29</v>
      </c>
      <c r="G3501" t="s">
        <v>131</v>
      </c>
      <c r="H3501" t="s">
        <v>45</v>
      </c>
      <c r="I3501" t="s">
        <v>91</v>
      </c>
      <c r="J3501" t="s">
        <v>47</v>
      </c>
      <c r="K3501">
        <v>3</v>
      </c>
      <c r="L3501" t="s">
        <v>23</v>
      </c>
      <c r="M3501" t="s">
        <v>79</v>
      </c>
      <c r="N3501" t="s">
        <v>23</v>
      </c>
      <c r="O3501">
        <v>13</v>
      </c>
      <c r="P3501" t="s">
        <v>58</v>
      </c>
      <c r="Q3501" t="s">
        <v>63</v>
      </c>
      <c r="R3501" s="1">
        <v>0.1</v>
      </c>
      <c r="S3501">
        <f t="shared" si="216"/>
        <v>26.1</v>
      </c>
      <c r="T3501">
        <f>IFERROR(VLOOKUP(A3501,Table1[[Customer ID]:[Discount Amount]], 6, FALSE),"Not Found")</f>
        <v>29</v>
      </c>
      <c r="U3501" t="str">
        <f t="shared" si="217"/>
        <v>PayPal</v>
      </c>
      <c r="V3501" s="4" t="str">
        <f t="shared" si="218"/>
        <v>Normal</v>
      </c>
      <c r="W3501" s="4" t="str">
        <f t="shared" si="219"/>
        <v>Good</v>
      </c>
      <c r="X3501" s="4">
        <f>AVERAGE(Table1[Purchase Amount])</f>
        <v>129.48419400000012</v>
      </c>
    </row>
    <row r="3502" spans="1:24" ht="15" customHeight="1" x14ac:dyDescent="0.25">
      <c r="A3502">
        <v>3501</v>
      </c>
      <c r="B3502">
        <v>38</v>
      </c>
      <c r="C3502" t="s">
        <v>16</v>
      </c>
      <c r="D3502" t="s">
        <v>38</v>
      </c>
      <c r="E3502" t="s">
        <v>18</v>
      </c>
      <c r="F3502" s="2">
        <v>48</v>
      </c>
      <c r="G3502" t="s">
        <v>123</v>
      </c>
      <c r="H3502" t="s">
        <v>55</v>
      </c>
      <c r="I3502" t="s">
        <v>153</v>
      </c>
      <c r="J3502" t="s">
        <v>47</v>
      </c>
      <c r="K3502">
        <v>4.5999999999999996</v>
      </c>
      <c r="L3502" t="s">
        <v>23</v>
      </c>
      <c r="M3502" t="s">
        <v>79</v>
      </c>
      <c r="N3502" t="s">
        <v>23</v>
      </c>
      <c r="O3502">
        <v>38</v>
      </c>
      <c r="P3502" t="s">
        <v>36</v>
      </c>
      <c r="Q3502" t="s">
        <v>89</v>
      </c>
      <c r="R3502" s="1">
        <v>0.1</v>
      </c>
      <c r="S3502">
        <f t="shared" si="216"/>
        <v>43.2</v>
      </c>
      <c r="T3502">
        <f>IFERROR(VLOOKUP(A3502,Table1[[Customer ID]:[Discount Amount]], 6, FALSE),"Not Found")</f>
        <v>48</v>
      </c>
      <c r="U3502" t="str">
        <f t="shared" si="217"/>
        <v>Debit Card</v>
      </c>
      <c r="V3502" s="4" t="str">
        <f t="shared" si="218"/>
        <v>Normal</v>
      </c>
      <c r="W3502" s="4" t="str">
        <f t="shared" si="219"/>
        <v>Good</v>
      </c>
      <c r="X3502" s="4">
        <f>AVERAGE(Table1[Purchase Amount])</f>
        <v>129.48419400000012</v>
      </c>
    </row>
    <row r="3503" spans="1:24" ht="15" customHeight="1" x14ac:dyDescent="0.25">
      <c r="A3503">
        <v>3502</v>
      </c>
      <c r="B3503">
        <v>53</v>
      </c>
      <c r="C3503" t="s">
        <v>16</v>
      </c>
      <c r="D3503" t="s">
        <v>72</v>
      </c>
      <c r="E3503" t="s">
        <v>98</v>
      </c>
      <c r="F3503" s="2">
        <v>87</v>
      </c>
      <c r="G3503" t="s">
        <v>137</v>
      </c>
      <c r="H3503" t="s">
        <v>31</v>
      </c>
      <c r="I3503" t="s">
        <v>153</v>
      </c>
      <c r="J3503" t="s">
        <v>47</v>
      </c>
      <c r="K3503">
        <v>4.8</v>
      </c>
      <c r="L3503" t="s">
        <v>23</v>
      </c>
      <c r="M3503" t="s">
        <v>24</v>
      </c>
      <c r="N3503" t="s">
        <v>23</v>
      </c>
      <c r="O3503">
        <v>43</v>
      </c>
      <c r="P3503" t="s">
        <v>88</v>
      </c>
      <c r="Q3503" t="s">
        <v>26</v>
      </c>
      <c r="R3503" s="1">
        <v>0.1</v>
      </c>
      <c r="S3503">
        <f t="shared" si="216"/>
        <v>78.3</v>
      </c>
      <c r="T3503">
        <f>IFERROR(VLOOKUP(A3503,Table1[[Customer ID]:[Discount Amount]], 6, FALSE),"Not Found")</f>
        <v>87</v>
      </c>
      <c r="U3503" t="str">
        <f t="shared" si="217"/>
        <v>Bank Transfer</v>
      </c>
      <c r="V3503" s="4" t="str">
        <f t="shared" si="218"/>
        <v>Normal</v>
      </c>
      <c r="W3503" s="4" t="str">
        <f t="shared" si="219"/>
        <v>Good</v>
      </c>
      <c r="X3503" s="4">
        <f>AVERAGE(Table1[Purchase Amount])</f>
        <v>129.48419400000012</v>
      </c>
    </row>
    <row r="3504" spans="1:24" ht="15" customHeight="1" x14ac:dyDescent="0.25">
      <c r="A3504">
        <v>3503</v>
      </c>
      <c r="B3504">
        <v>31</v>
      </c>
      <c r="C3504" t="s">
        <v>16</v>
      </c>
      <c r="D3504" t="s">
        <v>104</v>
      </c>
      <c r="E3504" t="s">
        <v>29</v>
      </c>
      <c r="F3504" s="2">
        <v>62</v>
      </c>
      <c r="G3504" t="s">
        <v>97</v>
      </c>
      <c r="H3504" t="s">
        <v>31</v>
      </c>
      <c r="I3504" t="s">
        <v>93</v>
      </c>
      <c r="J3504" t="s">
        <v>47</v>
      </c>
      <c r="K3504">
        <v>4.7</v>
      </c>
      <c r="L3504" t="s">
        <v>23</v>
      </c>
      <c r="M3504" t="s">
        <v>79</v>
      </c>
      <c r="N3504" t="s">
        <v>23</v>
      </c>
      <c r="O3504">
        <v>26</v>
      </c>
      <c r="P3504" t="s">
        <v>88</v>
      </c>
      <c r="Q3504" t="s">
        <v>37</v>
      </c>
      <c r="R3504" s="1">
        <v>0.1</v>
      </c>
      <c r="S3504">
        <f t="shared" si="216"/>
        <v>55.8</v>
      </c>
      <c r="T3504">
        <f>IFERROR(VLOOKUP(A3504,Table1[[Customer ID]:[Discount Amount]], 6, FALSE),"Not Found")</f>
        <v>62</v>
      </c>
      <c r="U3504" t="str">
        <f t="shared" si="217"/>
        <v>Bank Transfer</v>
      </c>
      <c r="V3504" s="4" t="str">
        <f t="shared" si="218"/>
        <v>Normal</v>
      </c>
      <c r="W3504" s="4" t="str">
        <f t="shared" si="219"/>
        <v>Good</v>
      </c>
      <c r="X3504" s="4">
        <f>AVERAGE(Table1[Purchase Amount])</f>
        <v>129.48419400000012</v>
      </c>
    </row>
    <row r="3505" spans="1:24" ht="15" customHeight="1" x14ac:dyDescent="0.25">
      <c r="A3505">
        <v>3504</v>
      </c>
      <c r="B3505">
        <v>31</v>
      </c>
      <c r="C3505" t="s">
        <v>16</v>
      </c>
      <c r="D3505" t="s">
        <v>38</v>
      </c>
      <c r="E3505" t="s">
        <v>18</v>
      </c>
      <c r="F3505" s="2">
        <v>96</v>
      </c>
      <c r="G3505" t="s">
        <v>137</v>
      </c>
      <c r="H3505" t="s">
        <v>31</v>
      </c>
      <c r="I3505" t="s">
        <v>136</v>
      </c>
      <c r="J3505" t="s">
        <v>33</v>
      </c>
      <c r="K3505">
        <v>3.9</v>
      </c>
      <c r="L3505" t="s">
        <v>23</v>
      </c>
      <c r="M3505" t="s">
        <v>35</v>
      </c>
      <c r="N3505" t="s">
        <v>23</v>
      </c>
      <c r="O3505">
        <v>39</v>
      </c>
      <c r="P3505" t="s">
        <v>25</v>
      </c>
      <c r="Q3505" t="s">
        <v>26</v>
      </c>
      <c r="R3505" s="1">
        <v>0.1</v>
      </c>
      <c r="S3505">
        <f t="shared" si="216"/>
        <v>86.4</v>
      </c>
      <c r="T3505">
        <f>IFERROR(VLOOKUP(A3505,Table1[[Customer ID]:[Discount Amount]], 6, FALSE),"Not Found")</f>
        <v>96</v>
      </c>
      <c r="U3505" t="str">
        <f t="shared" si="217"/>
        <v>Cash</v>
      </c>
      <c r="V3505" s="4" t="str">
        <f t="shared" si="218"/>
        <v>Normal</v>
      </c>
      <c r="W3505" s="4" t="str">
        <f t="shared" si="219"/>
        <v>Good</v>
      </c>
      <c r="X3505" s="4">
        <f>AVERAGE(Table1[Purchase Amount])</f>
        <v>129.48419400000012</v>
      </c>
    </row>
    <row r="3506" spans="1:24" ht="15" customHeight="1" x14ac:dyDescent="0.25">
      <c r="A3506">
        <v>3505</v>
      </c>
      <c r="B3506">
        <v>65</v>
      </c>
      <c r="C3506" t="s">
        <v>16</v>
      </c>
      <c r="D3506" t="s">
        <v>69</v>
      </c>
      <c r="E3506" t="s">
        <v>29</v>
      </c>
      <c r="F3506" s="2">
        <v>41</v>
      </c>
      <c r="G3506" t="s">
        <v>135</v>
      </c>
      <c r="H3506" t="s">
        <v>55</v>
      </c>
      <c r="I3506" t="s">
        <v>111</v>
      </c>
      <c r="J3506" t="s">
        <v>47</v>
      </c>
      <c r="K3506">
        <v>4</v>
      </c>
      <c r="L3506" t="s">
        <v>23</v>
      </c>
      <c r="M3506" t="s">
        <v>79</v>
      </c>
      <c r="N3506" t="s">
        <v>23</v>
      </c>
      <c r="O3506">
        <v>50</v>
      </c>
      <c r="P3506" t="s">
        <v>62</v>
      </c>
      <c r="Q3506" t="s">
        <v>42</v>
      </c>
      <c r="R3506" s="1">
        <v>0.1</v>
      </c>
      <c r="S3506">
        <f t="shared" si="216"/>
        <v>36.9</v>
      </c>
      <c r="T3506">
        <f>IFERROR(VLOOKUP(A3506,Table1[[Customer ID]:[Discount Amount]], 6, FALSE),"Not Found")</f>
        <v>41</v>
      </c>
      <c r="U3506" t="str">
        <f t="shared" si="217"/>
        <v>Venmo</v>
      </c>
      <c r="V3506" s="4" t="str">
        <f t="shared" si="218"/>
        <v>Normal</v>
      </c>
      <c r="W3506" s="4" t="str">
        <f t="shared" si="219"/>
        <v>Good</v>
      </c>
      <c r="X3506" s="4">
        <f>AVERAGE(Table1[Purchase Amount])</f>
        <v>129.48419400000012</v>
      </c>
    </row>
    <row r="3507" spans="1:24" ht="15" customHeight="1" x14ac:dyDescent="0.25">
      <c r="A3507">
        <v>3506</v>
      </c>
      <c r="B3507">
        <v>48</v>
      </c>
      <c r="C3507" t="s">
        <v>16</v>
      </c>
      <c r="D3507" t="s">
        <v>50</v>
      </c>
      <c r="E3507" t="s">
        <v>29</v>
      </c>
      <c r="F3507" s="2">
        <v>42</v>
      </c>
      <c r="G3507" t="s">
        <v>102</v>
      </c>
      <c r="H3507" t="s">
        <v>45</v>
      </c>
      <c r="I3507" t="s">
        <v>46</v>
      </c>
      <c r="J3507" t="s">
        <v>22</v>
      </c>
      <c r="K3507">
        <v>3.7</v>
      </c>
      <c r="L3507" t="s">
        <v>23</v>
      </c>
      <c r="M3507" t="s">
        <v>41</v>
      </c>
      <c r="N3507" t="s">
        <v>23</v>
      </c>
      <c r="O3507">
        <v>40</v>
      </c>
      <c r="P3507" t="s">
        <v>88</v>
      </c>
      <c r="Q3507" t="s">
        <v>63</v>
      </c>
      <c r="R3507" s="1">
        <v>0.1</v>
      </c>
      <c r="S3507">
        <f t="shared" si="216"/>
        <v>37.799999999999997</v>
      </c>
      <c r="T3507">
        <f>IFERROR(VLOOKUP(A3507,Table1[[Customer ID]:[Discount Amount]], 6, FALSE),"Not Found")</f>
        <v>42</v>
      </c>
      <c r="U3507" t="str">
        <f t="shared" si="217"/>
        <v>Bank Transfer</v>
      </c>
      <c r="V3507" s="4" t="str">
        <f t="shared" si="218"/>
        <v>Normal</v>
      </c>
      <c r="W3507" s="4" t="str">
        <f t="shared" si="219"/>
        <v>Good</v>
      </c>
      <c r="X3507" s="4">
        <f>AVERAGE(Table1[Purchase Amount])</f>
        <v>129.48419400000012</v>
      </c>
    </row>
    <row r="3508" spans="1:24" ht="15" customHeight="1" x14ac:dyDescent="0.25">
      <c r="A3508">
        <v>3507</v>
      </c>
      <c r="B3508">
        <v>18</v>
      </c>
      <c r="C3508" t="s">
        <v>16</v>
      </c>
      <c r="D3508" t="s">
        <v>38</v>
      </c>
      <c r="E3508" t="s">
        <v>18</v>
      </c>
      <c r="F3508" s="2">
        <v>57</v>
      </c>
      <c r="G3508" t="s">
        <v>44</v>
      </c>
      <c r="H3508" t="s">
        <v>45</v>
      </c>
      <c r="I3508" t="s">
        <v>21</v>
      </c>
      <c r="J3508" t="s">
        <v>22</v>
      </c>
      <c r="K3508">
        <v>3.7</v>
      </c>
      <c r="L3508" t="s">
        <v>23</v>
      </c>
      <c r="M3508" t="s">
        <v>41</v>
      </c>
      <c r="N3508" t="s">
        <v>23</v>
      </c>
      <c r="O3508">
        <v>12</v>
      </c>
      <c r="P3508" t="s">
        <v>25</v>
      </c>
      <c r="Q3508" t="s">
        <v>89</v>
      </c>
      <c r="R3508" s="1">
        <v>0.1</v>
      </c>
      <c r="S3508">
        <f t="shared" si="216"/>
        <v>51.3</v>
      </c>
      <c r="T3508">
        <f>IFERROR(VLOOKUP(A3508,Table1[[Customer ID]:[Discount Amount]], 6, FALSE),"Not Found")</f>
        <v>57</v>
      </c>
      <c r="U3508" t="str">
        <f t="shared" si="217"/>
        <v>Cash</v>
      </c>
      <c r="V3508" s="4" t="str">
        <f t="shared" si="218"/>
        <v>Normal</v>
      </c>
      <c r="W3508" s="4" t="str">
        <f t="shared" si="219"/>
        <v>Good</v>
      </c>
      <c r="X3508" s="4">
        <f>AVERAGE(Table1[Purchase Amount])</f>
        <v>129.48419400000012</v>
      </c>
    </row>
    <row r="3509" spans="1:24" ht="15" customHeight="1" x14ac:dyDescent="0.25">
      <c r="A3509">
        <v>3508</v>
      </c>
      <c r="B3509">
        <v>46</v>
      </c>
      <c r="C3509" t="s">
        <v>16</v>
      </c>
      <c r="D3509" t="s">
        <v>69</v>
      </c>
      <c r="E3509" t="s">
        <v>29</v>
      </c>
      <c r="F3509" s="2">
        <v>65</v>
      </c>
      <c r="G3509" t="s">
        <v>92</v>
      </c>
      <c r="H3509" t="s">
        <v>55</v>
      </c>
      <c r="I3509" t="s">
        <v>66</v>
      </c>
      <c r="J3509" t="s">
        <v>33</v>
      </c>
      <c r="K3509">
        <v>4.2</v>
      </c>
      <c r="L3509" t="s">
        <v>23</v>
      </c>
      <c r="M3509" t="s">
        <v>48</v>
      </c>
      <c r="N3509" t="s">
        <v>23</v>
      </c>
      <c r="O3509">
        <v>33</v>
      </c>
      <c r="P3509" t="s">
        <v>53</v>
      </c>
      <c r="Q3509" t="s">
        <v>63</v>
      </c>
      <c r="R3509" s="1">
        <v>0.1</v>
      </c>
      <c r="S3509">
        <f t="shared" si="216"/>
        <v>58.5</v>
      </c>
      <c r="T3509">
        <f>IFERROR(VLOOKUP(A3509,Table1[[Customer ID]:[Discount Amount]], 6, FALSE),"Not Found")</f>
        <v>65</v>
      </c>
      <c r="U3509" t="str">
        <f t="shared" si="217"/>
        <v>Credit Card</v>
      </c>
      <c r="V3509" s="4" t="str">
        <f t="shared" si="218"/>
        <v>Normal</v>
      </c>
      <c r="W3509" s="4" t="str">
        <f t="shared" si="219"/>
        <v>Good</v>
      </c>
      <c r="X3509" s="4">
        <f>AVERAGE(Table1[Purchase Amount])</f>
        <v>129.48419400000012</v>
      </c>
    </row>
    <row r="3510" spans="1:24" ht="15" customHeight="1" x14ac:dyDescent="0.25">
      <c r="A3510">
        <v>3509</v>
      </c>
      <c r="B3510">
        <v>52</v>
      </c>
      <c r="C3510" t="s">
        <v>16</v>
      </c>
      <c r="D3510" t="s">
        <v>99</v>
      </c>
      <c r="E3510" t="s">
        <v>18</v>
      </c>
      <c r="F3510" s="2">
        <v>54</v>
      </c>
      <c r="G3510" t="s">
        <v>78</v>
      </c>
      <c r="H3510" t="s">
        <v>31</v>
      </c>
      <c r="I3510" t="s">
        <v>85</v>
      </c>
      <c r="J3510" t="s">
        <v>47</v>
      </c>
      <c r="K3510">
        <v>4.7</v>
      </c>
      <c r="L3510" t="s">
        <v>23</v>
      </c>
      <c r="M3510" t="s">
        <v>24</v>
      </c>
      <c r="N3510" t="s">
        <v>23</v>
      </c>
      <c r="O3510">
        <v>49</v>
      </c>
      <c r="P3510" t="s">
        <v>88</v>
      </c>
      <c r="Q3510" t="s">
        <v>26</v>
      </c>
      <c r="R3510" s="1">
        <v>0.1</v>
      </c>
      <c r="S3510">
        <f t="shared" si="216"/>
        <v>48.6</v>
      </c>
      <c r="T3510">
        <f>IFERROR(VLOOKUP(A3510,Table1[[Customer ID]:[Discount Amount]], 6, FALSE),"Not Found")</f>
        <v>54</v>
      </c>
      <c r="U3510" t="str">
        <f t="shared" si="217"/>
        <v>Bank Transfer</v>
      </c>
      <c r="V3510" s="4" t="str">
        <f t="shared" si="218"/>
        <v>Normal</v>
      </c>
      <c r="W3510" s="4" t="str">
        <f t="shared" si="219"/>
        <v>Good</v>
      </c>
      <c r="X3510" s="4">
        <f>AVERAGE(Table1[Purchase Amount])</f>
        <v>129.48419400000012</v>
      </c>
    </row>
    <row r="3511" spans="1:24" ht="15" customHeight="1" x14ac:dyDescent="0.25">
      <c r="A3511">
        <v>3510</v>
      </c>
      <c r="B3511">
        <v>50</v>
      </c>
      <c r="C3511" t="s">
        <v>16</v>
      </c>
      <c r="D3511" t="s">
        <v>17</v>
      </c>
      <c r="E3511" t="s">
        <v>18</v>
      </c>
      <c r="F3511" s="2">
        <v>22</v>
      </c>
      <c r="G3511" t="s">
        <v>90</v>
      </c>
      <c r="H3511" t="s">
        <v>45</v>
      </c>
      <c r="I3511" t="s">
        <v>60</v>
      </c>
      <c r="J3511" t="s">
        <v>22</v>
      </c>
      <c r="K3511">
        <v>4.3</v>
      </c>
      <c r="L3511" t="s">
        <v>23</v>
      </c>
      <c r="M3511" t="s">
        <v>79</v>
      </c>
      <c r="N3511" t="s">
        <v>23</v>
      </c>
      <c r="O3511">
        <v>43</v>
      </c>
      <c r="P3511" t="s">
        <v>62</v>
      </c>
      <c r="Q3511" t="s">
        <v>68</v>
      </c>
      <c r="R3511" s="1">
        <v>0.1</v>
      </c>
      <c r="S3511">
        <f t="shared" si="216"/>
        <v>19.8</v>
      </c>
      <c r="T3511">
        <f>IFERROR(VLOOKUP(A3511,Table1[[Customer ID]:[Discount Amount]], 6, FALSE),"Not Found")</f>
        <v>22</v>
      </c>
      <c r="U3511" t="str">
        <f t="shared" si="217"/>
        <v>Venmo</v>
      </c>
      <c r="V3511" s="4" t="str">
        <f t="shared" si="218"/>
        <v>Normal</v>
      </c>
      <c r="W3511" s="4" t="str">
        <f t="shared" si="219"/>
        <v>Good</v>
      </c>
      <c r="X3511" s="4">
        <f>AVERAGE(Table1[Purchase Amount])</f>
        <v>129.48419400000012</v>
      </c>
    </row>
    <row r="3512" spans="1:24" ht="15" customHeight="1" x14ac:dyDescent="0.25">
      <c r="A3512">
        <v>3511</v>
      </c>
      <c r="B3512">
        <v>49</v>
      </c>
      <c r="C3512" t="s">
        <v>16</v>
      </c>
      <c r="D3512" t="s">
        <v>140</v>
      </c>
      <c r="E3512" t="s">
        <v>98</v>
      </c>
      <c r="F3512" s="2">
        <v>96</v>
      </c>
      <c r="G3512" t="s">
        <v>78</v>
      </c>
      <c r="H3512" t="s">
        <v>55</v>
      </c>
      <c r="I3512" t="s">
        <v>108</v>
      </c>
      <c r="J3512" t="s">
        <v>47</v>
      </c>
      <c r="K3512">
        <v>4.9000000000000004</v>
      </c>
      <c r="L3512" t="s">
        <v>23</v>
      </c>
      <c r="M3512" t="s">
        <v>41</v>
      </c>
      <c r="N3512" t="s">
        <v>23</v>
      </c>
      <c r="O3512">
        <v>14</v>
      </c>
      <c r="P3512" t="s">
        <v>62</v>
      </c>
      <c r="Q3512" t="s">
        <v>42</v>
      </c>
      <c r="R3512" s="1">
        <v>0.1</v>
      </c>
      <c r="S3512">
        <f t="shared" si="216"/>
        <v>86.4</v>
      </c>
      <c r="T3512">
        <f>IFERROR(VLOOKUP(A3512,Table1[[Customer ID]:[Discount Amount]], 6, FALSE),"Not Found")</f>
        <v>96</v>
      </c>
      <c r="U3512" t="str">
        <f t="shared" si="217"/>
        <v>Venmo</v>
      </c>
      <c r="V3512" s="4" t="str">
        <f t="shared" si="218"/>
        <v>Normal</v>
      </c>
      <c r="W3512" s="4" t="str">
        <f t="shared" si="219"/>
        <v>Good</v>
      </c>
      <c r="X3512" s="4">
        <f>AVERAGE(Table1[Purchase Amount])</f>
        <v>129.48419400000012</v>
      </c>
    </row>
    <row r="3513" spans="1:24" ht="15" customHeight="1" x14ac:dyDescent="0.25">
      <c r="A3513">
        <v>3512</v>
      </c>
      <c r="B3513">
        <v>69</v>
      </c>
      <c r="C3513" t="s">
        <v>16</v>
      </c>
      <c r="D3513" t="s">
        <v>50</v>
      </c>
      <c r="E3513" t="s">
        <v>29</v>
      </c>
      <c r="F3513" s="2">
        <v>81</v>
      </c>
      <c r="G3513" t="s">
        <v>149</v>
      </c>
      <c r="H3513" t="s">
        <v>31</v>
      </c>
      <c r="I3513" t="s">
        <v>74</v>
      </c>
      <c r="J3513" t="s">
        <v>57</v>
      </c>
      <c r="K3513">
        <v>3.9</v>
      </c>
      <c r="L3513" t="s">
        <v>23</v>
      </c>
      <c r="M3513" t="s">
        <v>41</v>
      </c>
      <c r="N3513" t="s">
        <v>23</v>
      </c>
      <c r="O3513">
        <v>21</v>
      </c>
      <c r="P3513" t="s">
        <v>53</v>
      </c>
      <c r="Q3513" t="s">
        <v>63</v>
      </c>
      <c r="R3513" s="1">
        <v>0.1</v>
      </c>
      <c r="S3513">
        <f t="shared" si="216"/>
        <v>72.900000000000006</v>
      </c>
      <c r="T3513">
        <f>IFERROR(VLOOKUP(A3513,Table1[[Customer ID]:[Discount Amount]], 6, FALSE),"Not Found")</f>
        <v>81</v>
      </c>
      <c r="U3513" t="str">
        <f t="shared" si="217"/>
        <v>Credit Card</v>
      </c>
      <c r="V3513" s="4" t="str">
        <f t="shared" si="218"/>
        <v>Normal</v>
      </c>
      <c r="W3513" s="4" t="str">
        <f t="shared" si="219"/>
        <v>Good</v>
      </c>
      <c r="X3513" s="4">
        <f>AVERAGE(Table1[Purchase Amount])</f>
        <v>129.48419400000012</v>
      </c>
    </row>
    <row r="3514" spans="1:24" ht="15" customHeight="1" x14ac:dyDescent="0.25">
      <c r="A3514">
        <v>3513</v>
      </c>
      <c r="B3514">
        <v>36</v>
      </c>
      <c r="C3514" t="s">
        <v>16</v>
      </c>
      <c r="D3514" t="s">
        <v>38</v>
      </c>
      <c r="E3514" t="s">
        <v>18</v>
      </c>
      <c r="F3514" s="2">
        <v>46</v>
      </c>
      <c r="G3514" t="s">
        <v>70</v>
      </c>
      <c r="H3514" t="s">
        <v>31</v>
      </c>
      <c r="I3514" t="s">
        <v>32</v>
      </c>
      <c r="J3514" t="s">
        <v>47</v>
      </c>
      <c r="K3514">
        <v>3.4</v>
      </c>
      <c r="L3514" t="s">
        <v>23</v>
      </c>
      <c r="M3514" t="s">
        <v>35</v>
      </c>
      <c r="N3514" t="s">
        <v>23</v>
      </c>
      <c r="O3514">
        <v>31</v>
      </c>
      <c r="P3514" t="s">
        <v>36</v>
      </c>
      <c r="Q3514" t="s">
        <v>37</v>
      </c>
      <c r="R3514" s="1">
        <v>0.1</v>
      </c>
      <c r="S3514">
        <f t="shared" si="216"/>
        <v>41.4</v>
      </c>
      <c r="T3514">
        <f>IFERROR(VLOOKUP(A3514,Table1[[Customer ID]:[Discount Amount]], 6, FALSE),"Not Found")</f>
        <v>46</v>
      </c>
      <c r="U3514" t="str">
        <f t="shared" si="217"/>
        <v>Debit Card</v>
      </c>
      <c r="V3514" s="4" t="str">
        <f t="shared" si="218"/>
        <v>Normal</v>
      </c>
      <c r="W3514" s="4" t="str">
        <f t="shared" si="219"/>
        <v>Good</v>
      </c>
      <c r="X3514" s="4">
        <f>AVERAGE(Table1[Purchase Amount])</f>
        <v>129.48419400000012</v>
      </c>
    </row>
    <row r="3515" spans="1:24" ht="15" customHeight="1" x14ac:dyDescent="0.25">
      <c r="A3515">
        <v>3514</v>
      </c>
      <c r="B3515">
        <v>30</v>
      </c>
      <c r="C3515" t="s">
        <v>16</v>
      </c>
      <c r="D3515" t="s">
        <v>118</v>
      </c>
      <c r="E3515" t="s">
        <v>18</v>
      </c>
      <c r="F3515" s="2">
        <v>74</v>
      </c>
      <c r="G3515" t="s">
        <v>148</v>
      </c>
      <c r="H3515" t="s">
        <v>20</v>
      </c>
      <c r="I3515" t="s">
        <v>103</v>
      </c>
      <c r="J3515" t="s">
        <v>33</v>
      </c>
      <c r="K3515">
        <v>4.2</v>
      </c>
      <c r="L3515" t="s">
        <v>23</v>
      </c>
      <c r="M3515" t="s">
        <v>48</v>
      </c>
      <c r="N3515" t="s">
        <v>23</v>
      </c>
      <c r="O3515">
        <v>29</v>
      </c>
      <c r="P3515" t="s">
        <v>53</v>
      </c>
      <c r="Q3515" t="s">
        <v>89</v>
      </c>
      <c r="R3515" s="1">
        <v>0.1</v>
      </c>
      <c r="S3515">
        <f t="shared" si="216"/>
        <v>66.599999999999994</v>
      </c>
      <c r="T3515">
        <f>IFERROR(VLOOKUP(A3515,Table1[[Customer ID]:[Discount Amount]], 6, FALSE),"Not Found")</f>
        <v>74</v>
      </c>
      <c r="U3515" t="str">
        <f t="shared" si="217"/>
        <v>Credit Card</v>
      </c>
      <c r="V3515" s="4" t="str">
        <f t="shared" si="218"/>
        <v>Normal</v>
      </c>
      <c r="W3515" s="4" t="str">
        <f t="shared" si="219"/>
        <v>Good</v>
      </c>
      <c r="X3515" s="4">
        <f>AVERAGE(Table1[Purchase Amount])</f>
        <v>129.48419400000012</v>
      </c>
    </row>
    <row r="3516" spans="1:24" ht="15" customHeight="1" x14ac:dyDescent="0.25">
      <c r="A3516">
        <v>3515</v>
      </c>
      <c r="B3516">
        <v>25</v>
      </c>
      <c r="C3516" t="s">
        <v>16</v>
      </c>
      <c r="D3516" t="s">
        <v>140</v>
      </c>
      <c r="E3516" t="s">
        <v>98</v>
      </c>
      <c r="F3516" s="2">
        <v>50</v>
      </c>
      <c r="G3516" t="s">
        <v>160</v>
      </c>
      <c r="H3516" t="s">
        <v>20</v>
      </c>
      <c r="I3516" t="s">
        <v>85</v>
      </c>
      <c r="J3516" t="s">
        <v>22</v>
      </c>
      <c r="K3516">
        <v>4.7</v>
      </c>
      <c r="L3516" t="s">
        <v>23</v>
      </c>
      <c r="M3516" t="s">
        <v>61</v>
      </c>
      <c r="N3516" t="s">
        <v>23</v>
      </c>
      <c r="O3516">
        <v>32</v>
      </c>
      <c r="P3516" t="s">
        <v>25</v>
      </c>
      <c r="Q3516" t="s">
        <v>42</v>
      </c>
      <c r="R3516" s="1">
        <v>0.1</v>
      </c>
      <c r="S3516">
        <f t="shared" si="216"/>
        <v>45</v>
      </c>
      <c r="T3516">
        <f>IFERROR(VLOOKUP(A3516,Table1[[Customer ID]:[Discount Amount]], 6, FALSE),"Not Found")</f>
        <v>50</v>
      </c>
      <c r="U3516" t="str">
        <f t="shared" si="217"/>
        <v>Cash</v>
      </c>
      <c r="V3516" s="4" t="str">
        <f t="shared" si="218"/>
        <v>Normal</v>
      </c>
      <c r="W3516" s="4" t="str">
        <f t="shared" si="219"/>
        <v>Good</v>
      </c>
      <c r="X3516" s="4">
        <f>AVERAGE(Table1[Purchase Amount])</f>
        <v>129.48419400000012</v>
      </c>
    </row>
    <row r="3517" spans="1:24" ht="15" customHeight="1" x14ac:dyDescent="0.25">
      <c r="A3517">
        <v>3516</v>
      </c>
      <c r="B3517">
        <v>19</v>
      </c>
      <c r="C3517" t="s">
        <v>16</v>
      </c>
      <c r="D3517" t="s">
        <v>157</v>
      </c>
      <c r="E3517" t="s">
        <v>18</v>
      </c>
      <c r="F3517" s="2">
        <v>80</v>
      </c>
      <c r="G3517" t="s">
        <v>130</v>
      </c>
      <c r="H3517" t="s">
        <v>20</v>
      </c>
      <c r="I3517" t="s">
        <v>103</v>
      </c>
      <c r="J3517" t="s">
        <v>22</v>
      </c>
      <c r="K3517">
        <v>4</v>
      </c>
      <c r="L3517" t="s">
        <v>23</v>
      </c>
      <c r="M3517" t="s">
        <v>79</v>
      </c>
      <c r="N3517" t="s">
        <v>23</v>
      </c>
      <c r="O3517">
        <v>16</v>
      </c>
      <c r="P3517" t="s">
        <v>36</v>
      </c>
      <c r="Q3517" t="s">
        <v>68</v>
      </c>
      <c r="R3517" s="1">
        <v>0.1</v>
      </c>
      <c r="S3517">
        <f t="shared" si="216"/>
        <v>72</v>
      </c>
      <c r="T3517">
        <f>IFERROR(VLOOKUP(A3517,Table1[[Customer ID]:[Discount Amount]], 6, FALSE),"Not Found")</f>
        <v>80</v>
      </c>
      <c r="U3517" t="str">
        <f t="shared" si="217"/>
        <v>Debit Card</v>
      </c>
      <c r="V3517" s="4" t="str">
        <f t="shared" si="218"/>
        <v>Normal</v>
      </c>
      <c r="W3517" s="4" t="str">
        <f t="shared" si="219"/>
        <v>Good</v>
      </c>
      <c r="X3517" s="4">
        <f>AVERAGE(Table1[Purchase Amount])</f>
        <v>129.48419400000012</v>
      </c>
    </row>
    <row r="3518" spans="1:24" ht="15" customHeight="1" x14ac:dyDescent="0.25">
      <c r="A3518">
        <v>3517</v>
      </c>
      <c r="B3518">
        <v>34</v>
      </c>
      <c r="C3518" t="s">
        <v>16</v>
      </c>
      <c r="D3518" t="s">
        <v>151</v>
      </c>
      <c r="E3518" t="s">
        <v>98</v>
      </c>
      <c r="F3518" s="2">
        <v>56</v>
      </c>
      <c r="G3518" t="s">
        <v>30</v>
      </c>
      <c r="H3518" t="s">
        <v>55</v>
      </c>
      <c r="I3518" t="s">
        <v>32</v>
      </c>
      <c r="J3518" t="s">
        <v>57</v>
      </c>
      <c r="K3518">
        <v>4</v>
      </c>
      <c r="L3518" t="s">
        <v>23</v>
      </c>
      <c r="M3518" t="s">
        <v>35</v>
      </c>
      <c r="N3518" t="s">
        <v>23</v>
      </c>
      <c r="O3518">
        <v>38</v>
      </c>
      <c r="P3518" t="s">
        <v>58</v>
      </c>
      <c r="Q3518" t="s">
        <v>68</v>
      </c>
      <c r="R3518" s="1">
        <v>0.1</v>
      </c>
      <c r="S3518">
        <f t="shared" si="216"/>
        <v>50.4</v>
      </c>
      <c r="T3518">
        <f>IFERROR(VLOOKUP(A3518,Table1[[Customer ID]:[Discount Amount]], 6, FALSE),"Not Found")</f>
        <v>56</v>
      </c>
      <c r="U3518" t="str">
        <f t="shared" si="217"/>
        <v>PayPal</v>
      </c>
      <c r="V3518" s="4" t="str">
        <f t="shared" si="218"/>
        <v>Normal</v>
      </c>
      <c r="W3518" s="4" t="str">
        <f t="shared" si="219"/>
        <v>Good</v>
      </c>
      <c r="X3518" s="4">
        <f>AVERAGE(Table1[Purchase Amount])</f>
        <v>129.48419400000012</v>
      </c>
    </row>
    <row r="3519" spans="1:24" ht="15" customHeight="1" x14ac:dyDescent="0.25">
      <c r="A3519">
        <v>3518</v>
      </c>
      <c r="B3519">
        <v>29</v>
      </c>
      <c r="C3519" t="s">
        <v>16</v>
      </c>
      <c r="D3519" t="s">
        <v>122</v>
      </c>
      <c r="E3519" t="s">
        <v>18</v>
      </c>
      <c r="F3519" s="2">
        <v>69</v>
      </c>
      <c r="G3519" t="s">
        <v>65</v>
      </c>
      <c r="H3519" t="s">
        <v>31</v>
      </c>
      <c r="I3519" t="s">
        <v>108</v>
      </c>
      <c r="J3519" t="s">
        <v>22</v>
      </c>
      <c r="K3519">
        <v>3.1</v>
      </c>
      <c r="L3519" t="s">
        <v>23</v>
      </c>
      <c r="M3519" t="s">
        <v>79</v>
      </c>
      <c r="N3519" t="s">
        <v>23</v>
      </c>
      <c r="O3519">
        <v>34</v>
      </c>
      <c r="P3519" t="s">
        <v>36</v>
      </c>
      <c r="Q3519" t="s">
        <v>63</v>
      </c>
      <c r="R3519" s="1">
        <v>0.1</v>
      </c>
      <c r="S3519">
        <f t="shared" si="216"/>
        <v>62.1</v>
      </c>
      <c r="T3519">
        <f>IFERROR(VLOOKUP(A3519,Table1[[Customer ID]:[Discount Amount]], 6, FALSE),"Not Found")</f>
        <v>69</v>
      </c>
      <c r="U3519" t="str">
        <f t="shared" si="217"/>
        <v>Debit Card</v>
      </c>
      <c r="V3519" s="4" t="str">
        <f t="shared" si="218"/>
        <v>Normal</v>
      </c>
      <c r="W3519" s="4" t="str">
        <f t="shared" si="219"/>
        <v>Good</v>
      </c>
      <c r="X3519" s="4">
        <f>AVERAGE(Table1[Purchase Amount])</f>
        <v>129.48419400000012</v>
      </c>
    </row>
    <row r="3520" spans="1:24" ht="15" customHeight="1" x14ac:dyDescent="0.25">
      <c r="A3520">
        <v>3519</v>
      </c>
      <c r="B3520">
        <v>50</v>
      </c>
      <c r="C3520" t="s">
        <v>16</v>
      </c>
      <c r="D3520" t="s">
        <v>38</v>
      </c>
      <c r="E3520" t="s">
        <v>18</v>
      </c>
      <c r="F3520" s="2">
        <v>97</v>
      </c>
      <c r="G3520" t="s">
        <v>92</v>
      </c>
      <c r="H3520" t="s">
        <v>31</v>
      </c>
      <c r="I3520" t="s">
        <v>40</v>
      </c>
      <c r="J3520" t="s">
        <v>33</v>
      </c>
      <c r="K3520">
        <v>4.2</v>
      </c>
      <c r="L3520" t="s">
        <v>23</v>
      </c>
      <c r="M3520" t="s">
        <v>24</v>
      </c>
      <c r="N3520" t="s">
        <v>23</v>
      </c>
      <c r="O3520">
        <v>30</v>
      </c>
      <c r="P3520" t="s">
        <v>58</v>
      </c>
      <c r="Q3520" t="s">
        <v>37</v>
      </c>
      <c r="R3520" s="1">
        <v>0.1</v>
      </c>
      <c r="S3520">
        <f t="shared" si="216"/>
        <v>87.3</v>
      </c>
      <c r="T3520">
        <f>IFERROR(VLOOKUP(A3520,Table1[[Customer ID]:[Discount Amount]], 6, FALSE),"Not Found")</f>
        <v>97</v>
      </c>
      <c r="U3520" t="str">
        <f t="shared" si="217"/>
        <v>PayPal</v>
      </c>
      <c r="V3520" s="4" t="str">
        <f t="shared" si="218"/>
        <v>Normal</v>
      </c>
      <c r="W3520" s="4" t="str">
        <f t="shared" si="219"/>
        <v>Good</v>
      </c>
      <c r="X3520" s="4">
        <f>AVERAGE(Table1[Purchase Amount])</f>
        <v>129.48419400000012</v>
      </c>
    </row>
    <row r="3521" spans="1:24" ht="15" customHeight="1" x14ac:dyDescent="0.25">
      <c r="A3521">
        <v>3520</v>
      </c>
      <c r="B3521">
        <v>31</v>
      </c>
      <c r="C3521" t="s">
        <v>16</v>
      </c>
      <c r="D3521" t="s">
        <v>54</v>
      </c>
      <c r="E3521" t="s">
        <v>18</v>
      </c>
      <c r="F3521" s="2">
        <v>66</v>
      </c>
      <c r="G3521" t="s">
        <v>59</v>
      </c>
      <c r="H3521" t="s">
        <v>31</v>
      </c>
      <c r="I3521" t="s">
        <v>32</v>
      </c>
      <c r="J3521" t="s">
        <v>22</v>
      </c>
      <c r="K3521">
        <v>3.7</v>
      </c>
      <c r="L3521" t="s">
        <v>23</v>
      </c>
      <c r="M3521" t="s">
        <v>79</v>
      </c>
      <c r="N3521" t="s">
        <v>23</v>
      </c>
      <c r="O3521">
        <v>14</v>
      </c>
      <c r="P3521" t="s">
        <v>88</v>
      </c>
      <c r="Q3521" t="s">
        <v>89</v>
      </c>
      <c r="R3521" s="1">
        <v>0.1</v>
      </c>
      <c r="S3521">
        <f t="shared" si="216"/>
        <v>59.4</v>
      </c>
      <c r="T3521">
        <f>IFERROR(VLOOKUP(A3521,Table1[[Customer ID]:[Discount Amount]], 6, FALSE),"Not Found")</f>
        <v>66</v>
      </c>
      <c r="U3521" t="str">
        <f t="shared" si="217"/>
        <v>Bank Transfer</v>
      </c>
      <c r="V3521" s="4" t="str">
        <f t="shared" si="218"/>
        <v>Normal</v>
      </c>
      <c r="W3521" s="4" t="str">
        <f t="shared" si="219"/>
        <v>Good</v>
      </c>
      <c r="X3521" s="4">
        <f>AVERAGE(Table1[Purchase Amount])</f>
        <v>129.48419400000012</v>
      </c>
    </row>
    <row r="3522" spans="1:24" ht="15" customHeight="1" x14ac:dyDescent="0.25">
      <c r="A3522">
        <v>3521</v>
      </c>
      <c r="B3522">
        <v>41</v>
      </c>
      <c r="C3522" t="s">
        <v>16</v>
      </c>
      <c r="D3522" t="s">
        <v>64</v>
      </c>
      <c r="E3522" t="s">
        <v>29</v>
      </c>
      <c r="F3522" s="2">
        <v>70</v>
      </c>
      <c r="G3522" t="s">
        <v>160</v>
      </c>
      <c r="H3522" t="s">
        <v>55</v>
      </c>
      <c r="I3522" t="s">
        <v>60</v>
      </c>
      <c r="J3522" t="s">
        <v>33</v>
      </c>
      <c r="K3522">
        <v>3.1</v>
      </c>
      <c r="L3522" t="s">
        <v>23</v>
      </c>
      <c r="M3522" t="s">
        <v>61</v>
      </c>
      <c r="N3522" t="s">
        <v>23</v>
      </c>
      <c r="O3522">
        <v>33</v>
      </c>
      <c r="P3522" t="s">
        <v>88</v>
      </c>
      <c r="Q3522" t="s">
        <v>42</v>
      </c>
      <c r="R3522" s="1">
        <v>0.1</v>
      </c>
      <c r="S3522">
        <f t="shared" ref="S3522:S3585" si="220">F3522-(F3522*R3522)</f>
        <v>63</v>
      </c>
      <c r="T3522">
        <f>IFERROR(VLOOKUP(A3522,Table1[[Customer ID]:[Discount Amount]], 6, FALSE),"Not Found")</f>
        <v>70</v>
      </c>
      <c r="U3522" t="str">
        <f t="shared" ref="U3522:U3585" si="221">INDEX(P:P, MATCH(A3522, A:A, 0))</f>
        <v>Bank Transfer</v>
      </c>
      <c r="V3522" s="4" t="str">
        <f t="shared" ref="V3522:V3585" si="222">IF(AND(F3522&gt;1000,K3522&gt;=4),"Best Customer","Normal")</f>
        <v>Normal</v>
      </c>
      <c r="W3522" s="4" t="str">
        <f t="shared" ref="W3522:W3585" si="223">IF(K3522&gt;=3,"Good","Poor")</f>
        <v>Good</v>
      </c>
      <c r="X3522" s="4">
        <f>AVERAGE(Table1[Purchase Amount])</f>
        <v>129.48419400000012</v>
      </c>
    </row>
    <row r="3523" spans="1:24" ht="15" customHeight="1" x14ac:dyDescent="0.25">
      <c r="A3523">
        <v>3522</v>
      </c>
      <c r="B3523">
        <v>52</v>
      </c>
      <c r="C3523" t="s">
        <v>16</v>
      </c>
      <c r="D3523" t="s">
        <v>72</v>
      </c>
      <c r="E3523" t="s">
        <v>98</v>
      </c>
      <c r="F3523" s="2">
        <v>50</v>
      </c>
      <c r="G3523" t="s">
        <v>106</v>
      </c>
      <c r="H3523" t="s">
        <v>31</v>
      </c>
      <c r="I3523" t="s">
        <v>136</v>
      </c>
      <c r="J3523" t="s">
        <v>22</v>
      </c>
      <c r="K3523">
        <v>3.7</v>
      </c>
      <c r="L3523" t="s">
        <v>23</v>
      </c>
      <c r="M3523" t="s">
        <v>48</v>
      </c>
      <c r="N3523" t="s">
        <v>23</v>
      </c>
      <c r="O3523">
        <v>35</v>
      </c>
      <c r="P3523" t="s">
        <v>62</v>
      </c>
      <c r="Q3523" t="s">
        <v>26</v>
      </c>
      <c r="R3523" s="1">
        <v>0.1</v>
      </c>
      <c r="S3523">
        <f t="shared" si="220"/>
        <v>45</v>
      </c>
      <c r="T3523">
        <f>IFERROR(VLOOKUP(A3523,Table1[[Customer ID]:[Discount Amount]], 6, FALSE),"Not Found")</f>
        <v>50</v>
      </c>
      <c r="U3523" t="str">
        <f t="shared" si="221"/>
        <v>Venmo</v>
      </c>
      <c r="V3523" s="4" t="str">
        <f t="shared" si="222"/>
        <v>Normal</v>
      </c>
      <c r="W3523" s="4" t="str">
        <f t="shared" si="223"/>
        <v>Good</v>
      </c>
      <c r="X3523" s="4">
        <f>AVERAGE(Table1[Purchase Amount])</f>
        <v>129.48419400000012</v>
      </c>
    </row>
    <row r="3524" spans="1:24" ht="15" customHeight="1" x14ac:dyDescent="0.25">
      <c r="A3524">
        <v>3523</v>
      </c>
      <c r="B3524">
        <v>27</v>
      </c>
      <c r="C3524" t="s">
        <v>16</v>
      </c>
      <c r="D3524" t="s">
        <v>99</v>
      </c>
      <c r="E3524" t="s">
        <v>18</v>
      </c>
      <c r="F3524" s="2">
        <v>85</v>
      </c>
      <c r="G3524" t="s">
        <v>131</v>
      </c>
      <c r="H3524" t="s">
        <v>31</v>
      </c>
      <c r="I3524" t="s">
        <v>52</v>
      </c>
      <c r="J3524" t="s">
        <v>33</v>
      </c>
      <c r="K3524">
        <v>3.2</v>
      </c>
      <c r="L3524" t="s">
        <v>23</v>
      </c>
      <c r="M3524" t="s">
        <v>48</v>
      </c>
      <c r="N3524" t="s">
        <v>23</v>
      </c>
      <c r="O3524">
        <v>13</v>
      </c>
      <c r="P3524" t="s">
        <v>25</v>
      </c>
      <c r="Q3524" t="s">
        <v>37</v>
      </c>
      <c r="R3524" s="1">
        <v>0.1</v>
      </c>
      <c r="S3524">
        <f t="shared" si="220"/>
        <v>76.5</v>
      </c>
      <c r="T3524">
        <f>IFERROR(VLOOKUP(A3524,Table1[[Customer ID]:[Discount Amount]], 6, FALSE),"Not Found")</f>
        <v>85</v>
      </c>
      <c r="U3524" t="str">
        <f t="shared" si="221"/>
        <v>Cash</v>
      </c>
      <c r="V3524" s="4" t="str">
        <f t="shared" si="222"/>
        <v>Normal</v>
      </c>
      <c r="W3524" s="4" t="str">
        <f t="shared" si="223"/>
        <v>Good</v>
      </c>
      <c r="X3524" s="4">
        <f>AVERAGE(Table1[Purchase Amount])</f>
        <v>129.48419400000012</v>
      </c>
    </row>
    <row r="3525" spans="1:24" ht="15" customHeight="1" x14ac:dyDescent="0.25">
      <c r="A3525">
        <v>3524</v>
      </c>
      <c r="B3525">
        <v>49</v>
      </c>
      <c r="C3525" t="s">
        <v>16</v>
      </c>
      <c r="D3525" t="s">
        <v>104</v>
      </c>
      <c r="E3525" t="s">
        <v>29</v>
      </c>
      <c r="F3525" s="2">
        <v>59</v>
      </c>
      <c r="G3525" t="s">
        <v>158</v>
      </c>
      <c r="H3525" t="s">
        <v>31</v>
      </c>
      <c r="I3525" t="s">
        <v>128</v>
      </c>
      <c r="J3525" t="s">
        <v>57</v>
      </c>
      <c r="K3525">
        <v>2.8</v>
      </c>
      <c r="L3525" t="s">
        <v>23</v>
      </c>
      <c r="M3525" t="s">
        <v>24</v>
      </c>
      <c r="N3525" t="s">
        <v>23</v>
      </c>
      <c r="O3525">
        <v>30</v>
      </c>
      <c r="P3525" t="s">
        <v>25</v>
      </c>
      <c r="Q3525" t="s">
        <v>89</v>
      </c>
      <c r="R3525" s="1">
        <v>0.1</v>
      </c>
      <c r="S3525">
        <f t="shared" si="220"/>
        <v>53.1</v>
      </c>
      <c r="T3525">
        <f>IFERROR(VLOOKUP(A3525,Table1[[Customer ID]:[Discount Amount]], 6, FALSE),"Not Found")</f>
        <v>59</v>
      </c>
      <c r="U3525" t="str">
        <f t="shared" si="221"/>
        <v>Cash</v>
      </c>
      <c r="V3525" s="4" t="str">
        <f t="shared" si="222"/>
        <v>Normal</v>
      </c>
      <c r="W3525" s="4" t="str">
        <f t="shared" si="223"/>
        <v>Poor</v>
      </c>
      <c r="X3525" s="4">
        <f>AVERAGE(Table1[Purchase Amount])</f>
        <v>129.48419400000012</v>
      </c>
    </row>
    <row r="3526" spans="1:24" ht="15" customHeight="1" x14ac:dyDescent="0.25">
      <c r="A3526">
        <v>3525</v>
      </c>
      <c r="B3526">
        <v>69</v>
      </c>
      <c r="C3526" t="s">
        <v>16</v>
      </c>
      <c r="D3526" t="s">
        <v>99</v>
      </c>
      <c r="E3526" t="s">
        <v>18</v>
      </c>
      <c r="F3526" s="2">
        <v>74</v>
      </c>
      <c r="G3526" t="s">
        <v>113</v>
      </c>
      <c r="H3526" t="s">
        <v>45</v>
      </c>
      <c r="I3526" t="s">
        <v>153</v>
      </c>
      <c r="J3526" t="s">
        <v>57</v>
      </c>
      <c r="K3526">
        <v>2.9</v>
      </c>
      <c r="L3526" t="s">
        <v>23</v>
      </c>
      <c r="M3526" t="s">
        <v>35</v>
      </c>
      <c r="N3526" t="s">
        <v>23</v>
      </c>
      <c r="O3526">
        <v>30</v>
      </c>
      <c r="P3526" t="s">
        <v>53</v>
      </c>
      <c r="Q3526" t="s">
        <v>42</v>
      </c>
      <c r="R3526" s="1">
        <v>0.1</v>
      </c>
      <c r="S3526">
        <f t="shared" si="220"/>
        <v>66.599999999999994</v>
      </c>
      <c r="T3526">
        <f>IFERROR(VLOOKUP(A3526,Table1[[Customer ID]:[Discount Amount]], 6, FALSE),"Not Found")</f>
        <v>74</v>
      </c>
      <c r="U3526" t="str">
        <f t="shared" si="221"/>
        <v>Credit Card</v>
      </c>
      <c r="V3526" s="4" t="str">
        <f t="shared" si="222"/>
        <v>Normal</v>
      </c>
      <c r="W3526" s="4" t="str">
        <f t="shared" si="223"/>
        <v>Poor</v>
      </c>
      <c r="X3526" s="4">
        <f>AVERAGE(Table1[Purchase Amount])</f>
        <v>129.48419400000012</v>
      </c>
    </row>
    <row r="3527" spans="1:24" ht="15" customHeight="1" x14ac:dyDescent="0.25">
      <c r="A3527">
        <v>3526</v>
      </c>
      <c r="B3527">
        <v>45</v>
      </c>
      <c r="C3527" t="s">
        <v>16</v>
      </c>
      <c r="D3527" t="s">
        <v>28</v>
      </c>
      <c r="E3527" t="s">
        <v>29</v>
      </c>
      <c r="F3527" s="2">
        <v>38</v>
      </c>
      <c r="G3527" t="s">
        <v>162</v>
      </c>
      <c r="H3527" t="s">
        <v>45</v>
      </c>
      <c r="I3527" t="s">
        <v>21</v>
      </c>
      <c r="J3527" t="s">
        <v>22</v>
      </c>
      <c r="K3527">
        <v>3.5</v>
      </c>
      <c r="L3527" t="s">
        <v>23</v>
      </c>
      <c r="M3527" t="s">
        <v>24</v>
      </c>
      <c r="N3527" t="s">
        <v>23</v>
      </c>
      <c r="O3527">
        <v>47</v>
      </c>
      <c r="P3527" t="s">
        <v>88</v>
      </c>
      <c r="Q3527" t="s">
        <v>49</v>
      </c>
      <c r="R3527" s="1">
        <v>0.1</v>
      </c>
      <c r="S3527">
        <f t="shared" si="220"/>
        <v>34.200000000000003</v>
      </c>
      <c r="T3527">
        <f>IFERROR(VLOOKUP(A3527,Table1[[Customer ID]:[Discount Amount]], 6, FALSE),"Not Found")</f>
        <v>38</v>
      </c>
      <c r="U3527" t="str">
        <f t="shared" si="221"/>
        <v>Bank Transfer</v>
      </c>
      <c r="V3527" s="4" t="str">
        <f t="shared" si="222"/>
        <v>Normal</v>
      </c>
      <c r="W3527" s="4" t="str">
        <f t="shared" si="223"/>
        <v>Good</v>
      </c>
      <c r="X3527" s="4">
        <f>AVERAGE(Table1[Purchase Amount])</f>
        <v>129.48419400000012</v>
      </c>
    </row>
    <row r="3528" spans="1:24" ht="15" customHeight="1" x14ac:dyDescent="0.25">
      <c r="A3528">
        <v>3527</v>
      </c>
      <c r="B3528">
        <v>20</v>
      </c>
      <c r="C3528" t="s">
        <v>16</v>
      </c>
      <c r="D3528" t="s">
        <v>127</v>
      </c>
      <c r="E3528" t="s">
        <v>18</v>
      </c>
      <c r="F3528" s="2">
        <v>99</v>
      </c>
      <c r="G3528" t="s">
        <v>97</v>
      </c>
      <c r="H3528" t="s">
        <v>31</v>
      </c>
      <c r="I3528" t="s">
        <v>21</v>
      </c>
      <c r="J3528" t="s">
        <v>33</v>
      </c>
      <c r="K3528">
        <v>3.8</v>
      </c>
      <c r="L3528" t="s">
        <v>23</v>
      </c>
      <c r="M3528" t="s">
        <v>61</v>
      </c>
      <c r="N3528" t="s">
        <v>23</v>
      </c>
      <c r="O3528">
        <v>1</v>
      </c>
      <c r="P3528" t="s">
        <v>58</v>
      </c>
      <c r="Q3528" t="s">
        <v>63</v>
      </c>
      <c r="R3528" s="1">
        <v>0.1</v>
      </c>
      <c r="S3528">
        <f t="shared" si="220"/>
        <v>89.1</v>
      </c>
      <c r="T3528">
        <f>IFERROR(VLOOKUP(A3528,Table1[[Customer ID]:[Discount Amount]], 6, FALSE),"Not Found")</f>
        <v>99</v>
      </c>
      <c r="U3528" t="str">
        <f t="shared" si="221"/>
        <v>PayPal</v>
      </c>
      <c r="V3528" s="4" t="str">
        <f t="shared" si="222"/>
        <v>Normal</v>
      </c>
      <c r="W3528" s="4" t="str">
        <f t="shared" si="223"/>
        <v>Good</v>
      </c>
      <c r="X3528" s="4">
        <f>AVERAGE(Table1[Purchase Amount])</f>
        <v>129.48419400000012</v>
      </c>
    </row>
    <row r="3529" spans="1:24" ht="15" customHeight="1" x14ac:dyDescent="0.25">
      <c r="A3529">
        <v>3528</v>
      </c>
      <c r="B3529">
        <v>25</v>
      </c>
      <c r="C3529" t="s">
        <v>16</v>
      </c>
      <c r="D3529" t="s">
        <v>118</v>
      </c>
      <c r="E3529" t="s">
        <v>18</v>
      </c>
      <c r="F3529" s="2">
        <v>97</v>
      </c>
      <c r="G3529" t="s">
        <v>155</v>
      </c>
      <c r="H3529" t="s">
        <v>55</v>
      </c>
      <c r="I3529" t="s">
        <v>103</v>
      </c>
      <c r="J3529" t="s">
        <v>33</v>
      </c>
      <c r="K3529">
        <v>4.7</v>
      </c>
      <c r="L3529" t="s">
        <v>23</v>
      </c>
      <c r="M3529" t="s">
        <v>35</v>
      </c>
      <c r="N3529" t="s">
        <v>23</v>
      </c>
      <c r="O3529">
        <v>1</v>
      </c>
      <c r="P3529" t="s">
        <v>25</v>
      </c>
      <c r="Q3529" t="s">
        <v>26</v>
      </c>
      <c r="R3529" s="1">
        <v>0.1</v>
      </c>
      <c r="S3529">
        <f t="shared" si="220"/>
        <v>87.3</v>
      </c>
      <c r="T3529">
        <f>IFERROR(VLOOKUP(A3529,Table1[[Customer ID]:[Discount Amount]], 6, FALSE),"Not Found")</f>
        <v>97</v>
      </c>
      <c r="U3529" t="str">
        <f t="shared" si="221"/>
        <v>Cash</v>
      </c>
      <c r="V3529" s="4" t="str">
        <f t="shared" si="222"/>
        <v>Normal</v>
      </c>
      <c r="W3529" s="4" t="str">
        <f t="shared" si="223"/>
        <v>Good</v>
      </c>
      <c r="X3529" s="4">
        <f>AVERAGE(Table1[Purchase Amount])</f>
        <v>129.48419400000012</v>
      </c>
    </row>
    <row r="3530" spans="1:24" ht="15" customHeight="1" x14ac:dyDescent="0.25">
      <c r="A3530">
        <v>3529</v>
      </c>
      <c r="B3530">
        <v>38</v>
      </c>
      <c r="C3530" t="s">
        <v>16</v>
      </c>
      <c r="D3530" t="s">
        <v>129</v>
      </c>
      <c r="E3530" t="s">
        <v>29</v>
      </c>
      <c r="F3530" s="2">
        <v>67</v>
      </c>
      <c r="G3530" t="s">
        <v>94</v>
      </c>
      <c r="H3530" t="s">
        <v>45</v>
      </c>
      <c r="I3530" t="s">
        <v>85</v>
      </c>
      <c r="J3530" t="s">
        <v>57</v>
      </c>
      <c r="K3530">
        <v>4.5</v>
      </c>
      <c r="L3530" t="s">
        <v>23</v>
      </c>
      <c r="M3530" t="s">
        <v>35</v>
      </c>
      <c r="N3530" t="s">
        <v>23</v>
      </c>
      <c r="O3530">
        <v>33</v>
      </c>
      <c r="P3530" t="s">
        <v>58</v>
      </c>
      <c r="Q3530" t="s">
        <v>49</v>
      </c>
      <c r="R3530" s="1">
        <v>0.1</v>
      </c>
      <c r="S3530">
        <f t="shared" si="220"/>
        <v>60.3</v>
      </c>
      <c r="T3530">
        <f>IFERROR(VLOOKUP(A3530,Table1[[Customer ID]:[Discount Amount]], 6, FALSE),"Not Found")</f>
        <v>67</v>
      </c>
      <c r="U3530" t="str">
        <f t="shared" si="221"/>
        <v>PayPal</v>
      </c>
      <c r="V3530" s="4" t="str">
        <f t="shared" si="222"/>
        <v>Normal</v>
      </c>
      <c r="W3530" s="4" t="str">
        <f t="shared" si="223"/>
        <v>Good</v>
      </c>
      <c r="X3530" s="4">
        <f>AVERAGE(Table1[Purchase Amount])</f>
        <v>129.48419400000012</v>
      </c>
    </row>
    <row r="3531" spans="1:24" ht="15" customHeight="1" x14ac:dyDescent="0.25">
      <c r="A3531">
        <v>3530</v>
      </c>
      <c r="B3531">
        <v>55</v>
      </c>
      <c r="C3531" t="s">
        <v>16</v>
      </c>
      <c r="D3531" t="s">
        <v>17</v>
      </c>
      <c r="E3531" t="s">
        <v>18</v>
      </c>
      <c r="F3531" s="2">
        <v>20</v>
      </c>
      <c r="G3531" t="s">
        <v>39</v>
      </c>
      <c r="H3531" t="s">
        <v>55</v>
      </c>
      <c r="I3531" t="s">
        <v>125</v>
      </c>
      <c r="J3531" t="s">
        <v>22</v>
      </c>
      <c r="K3531">
        <v>3.9</v>
      </c>
      <c r="L3531" t="s">
        <v>23</v>
      </c>
      <c r="M3531" t="s">
        <v>79</v>
      </c>
      <c r="N3531" t="s">
        <v>23</v>
      </c>
      <c r="O3531">
        <v>43</v>
      </c>
      <c r="P3531" t="s">
        <v>88</v>
      </c>
      <c r="Q3531" t="s">
        <v>26</v>
      </c>
      <c r="R3531" s="1">
        <v>0.1</v>
      </c>
      <c r="S3531">
        <f t="shared" si="220"/>
        <v>18</v>
      </c>
      <c r="T3531">
        <f>IFERROR(VLOOKUP(A3531,Table1[[Customer ID]:[Discount Amount]], 6, FALSE),"Not Found")</f>
        <v>20</v>
      </c>
      <c r="U3531" t="str">
        <f t="shared" si="221"/>
        <v>Bank Transfer</v>
      </c>
      <c r="V3531" s="4" t="str">
        <f t="shared" si="222"/>
        <v>Normal</v>
      </c>
      <c r="W3531" s="4" t="str">
        <f t="shared" si="223"/>
        <v>Good</v>
      </c>
      <c r="X3531" s="4">
        <f>AVERAGE(Table1[Purchase Amount])</f>
        <v>129.48419400000012</v>
      </c>
    </row>
    <row r="3532" spans="1:24" ht="15" customHeight="1" x14ac:dyDescent="0.25">
      <c r="A3532">
        <v>3531</v>
      </c>
      <c r="B3532">
        <v>62</v>
      </c>
      <c r="C3532" t="s">
        <v>16</v>
      </c>
      <c r="D3532" t="s">
        <v>28</v>
      </c>
      <c r="E3532" t="s">
        <v>29</v>
      </c>
      <c r="F3532" s="2">
        <v>45</v>
      </c>
      <c r="G3532" t="s">
        <v>142</v>
      </c>
      <c r="H3532" t="s">
        <v>45</v>
      </c>
      <c r="I3532" t="s">
        <v>40</v>
      </c>
      <c r="J3532" t="s">
        <v>33</v>
      </c>
      <c r="K3532">
        <v>3.4</v>
      </c>
      <c r="L3532" t="s">
        <v>23</v>
      </c>
      <c r="M3532" t="s">
        <v>61</v>
      </c>
      <c r="N3532" t="s">
        <v>23</v>
      </c>
      <c r="O3532">
        <v>37</v>
      </c>
      <c r="P3532" t="s">
        <v>58</v>
      </c>
      <c r="Q3532" t="s">
        <v>26</v>
      </c>
      <c r="R3532" s="1">
        <v>0.1</v>
      </c>
      <c r="S3532">
        <f t="shared" si="220"/>
        <v>40.5</v>
      </c>
      <c r="T3532">
        <f>IFERROR(VLOOKUP(A3532,Table1[[Customer ID]:[Discount Amount]], 6, FALSE),"Not Found")</f>
        <v>45</v>
      </c>
      <c r="U3532" t="str">
        <f t="shared" si="221"/>
        <v>PayPal</v>
      </c>
      <c r="V3532" s="4" t="str">
        <f t="shared" si="222"/>
        <v>Normal</v>
      </c>
      <c r="W3532" s="4" t="str">
        <f t="shared" si="223"/>
        <v>Good</v>
      </c>
      <c r="X3532" s="4">
        <f>AVERAGE(Table1[Purchase Amount])</f>
        <v>129.48419400000012</v>
      </c>
    </row>
    <row r="3533" spans="1:24" ht="15" customHeight="1" x14ac:dyDescent="0.25">
      <c r="A3533">
        <v>3532</v>
      </c>
      <c r="B3533">
        <v>54</v>
      </c>
      <c r="C3533" t="s">
        <v>16</v>
      </c>
      <c r="D3533" t="s">
        <v>72</v>
      </c>
      <c r="E3533" t="s">
        <v>98</v>
      </c>
      <c r="F3533" s="2">
        <v>52</v>
      </c>
      <c r="G3533" t="s">
        <v>86</v>
      </c>
      <c r="H3533" t="s">
        <v>20</v>
      </c>
      <c r="I3533" t="s">
        <v>111</v>
      </c>
      <c r="J3533" t="s">
        <v>22</v>
      </c>
      <c r="K3533">
        <v>4.5999999999999996</v>
      </c>
      <c r="L3533" t="s">
        <v>23</v>
      </c>
      <c r="M3533" t="s">
        <v>41</v>
      </c>
      <c r="N3533" t="s">
        <v>23</v>
      </c>
      <c r="O3533">
        <v>23</v>
      </c>
      <c r="P3533" t="s">
        <v>25</v>
      </c>
      <c r="Q3533" t="s">
        <v>37</v>
      </c>
      <c r="R3533" s="1">
        <v>0.1</v>
      </c>
      <c r="S3533">
        <f t="shared" si="220"/>
        <v>46.8</v>
      </c>
      <c r="T3533">
        <f>IFERROR(VLOOKUP(A3533,Table1[[Customer ID]:[Discount Amount]], 6, FALSE),"Not Found")</f>
        <v>52</v>
      </c>
      <c r="U3533" t="str">
        <f t="shared" si="221"/>
        <v>Cash</v>
      </c>
      <c r="V3533" s="4" t="str">
        <f t="shared" si="222"/>
        <v>Normal</v>
      </c>
      <c r="W3533" s="4" t="str">
        <f t="shared" si="223"/>
        <v>Good</v>
      </c>
      <c r="X3533" s="4">
        <f>AVERAGE(Table1[Purchase Amount])</f>
        <v>129.48419400000012</v>
      </c>
    </row>
    <row r="3534" spans="1:24" ht="15" customHeight="1" x14ac:dyDescent="0.25">
      <c r="A3534">
        <v>3533</v>
      </c>
      <c r="B3534">
        <v>61</v>
      </c>
      <c r="C3534" t="s">
        <v>16</v>
      </c>
      <c r="D3534" t="s">
        <v>99</v>
      </c>
      <c r="E3534" t="s">
        <v>18</v>
      </c>
      <c r="F3534" s="2">
        <v>68</v>
      </c>
      <c r="G3534" t="s">
        <v>115</v>
      </c>
      <c r="H3534" t="s">
        <v>45</v>
      </c>
      <c r="I3534" t="s">
        <v>91</v>
      </c>
      <c r="J3534" t="s">
        <v>47</v>
      </c>
      <c r="K3534">
        <v>4.5999999999999996</v>
      </c>
      <c r="L3534" t="s">
        <v>23</v>
      </c>
      <c r="M3534" t="s">
        <v>24</v>
      </c>
      <c r="N3534" t="s">
        <v>23</v>
      </c>
      <c r="O3534">
        <v>12</v>
      </c>
      <c r="P3534" t="s">
        <v>53</v>
      </c>
      <c r="Q3534" t="s">
        <v>49</v>
      </c>
      <c r="R3534" s="1">
        <v>0.1</v>
      </c>
      <c r="S3534">
        <f t="shared" si="220"/>
        <v>61.2</v>
      </c>
      <c r="T3534">
        <f>IFERROR(VLOOKUP(A3534,Table1[[Customer ID]:[Discount Amount]], 6, FALSE),"Not Found")</f>
        <v>68</v>
      </c>
      <c r="U3534" t="str">
        <f t="shared" si="221"/>
        <v>Credit Card</v>
      </c>
      <c r="V3534" s="4" t="str">
        <f t="shared" si="222"/>
        <v>Normal</v>
      </c>
      <c r="W3534" s="4" t="str">
        <f t="shared" si="223"/>
        <v>Good</v>
      </c>
      <c r="X3534" s="4">
        <f>AVERAGE(Table1[Purchase Amount])</f>
        <v>129.48419400000012</v>
      </c>
    </row>
    <row r="3535" spans="1:24" ht="15" customHeight="1" x14ac:dyDescent="0.25">
      <c r="A3535">
        <v>3534</v>
      </c>
      <c r="B3535">
        <v>50</v>
      </c>
      <c r="C3535" t="s">
        <v>16</v>
      </c>
      <c r="D3535" t="s">
        <v>140</v>
      </c>
      <c r="E3535" t="s">
        <v>98</v>
      </c>
      <c r="F3535" s="2">
        <v>98</v>
      </c>
      <c r="G3535" t="s">
        <v>152</v>
      </c>
      <c r="H3535" t="s">
        <v>45</v>
      </c>
      <c r="I3535" t="s">
        <v>52</v>
      </c>
      <c r="J3535" t="s">
        <v>47</v>
      </c>
      <c r="K3535">
        <v>4.7</v>
      </c>
      <c r="L3535" t="s">
        <v>23</v>
      </c>
      <c r="M3535" t="s">
        <v>24</v>
      </c>
      <c r="N3535" t="s">
        <v>23</v>
      </c>
      <c r="O3535">
        <v>30</v>
      </c>
      <c r="P3535" t="s">
        <v>62</v>
      </c>
      <c r="Q3535" t="s">
        <v>89</v>
      </c>
      <c r="R3535" s="1">
        <v>0.1</v>
      </c>
      <c r="S3535">
        <f t="shared" si="220"/>
        <v>88.2</v>
      </c>
      <c r="T3535">
        <f>IFERROR(VLOOKUP(A3535,Table1[[Customer ID]:[Discount Amount]], 6, FALSE),"Not Found")</f>
        <v>98</v>
      </c>
      <c r="U3535" t="str">
        <f t="shared" si="221"/>
        <v>Venmo</v>
      </c>
      <c r="V3535" s="4" t="str">
        <f t="shared" si="222"/>
        <v>Normal</v>
      </c>
      <c r="W3535" s="4" t="str">
        <f t="shared" si="223"/>
        <v>Good</v>
      </c>
      <c r="X3535" s="4">
        <f>AVERAGE(Table1[Purchase Amount])</f>
        <v>129.48419400000012</v>
      </c>
    </row>
    <row r="3536" spans="1:24" ht="15" customHeight="1" x14ac:dyDescent="0.25">
      <c r="A3536">
        <v>3535</v>
      </c>
      <c r="B3536">
        <v>65</v>
      </c>
      <c r="C3536" t="s">
        <v>16</v>
      </c>
      <c r="D3536" t="s">
        <v>72</v>
      </c>
      <c r="E3536" t="s">
        <v>98</v>
      </c>
      <c r="F3536" s="2">
        <v>83</v>
      </c>
      <c r="G3536" t="s">
        <v>143</v>
      </c>
      <c r="H3536" t="s">
        <v>31</v>
      </c>
      <c r="I3536" t="s">
        <v>85</v>
      </c>
      <c r="J3536" t="s">
        <v>47</v>
      </c>
      <c r="K3536">
        <v>3.2</v>
      </c>
      <c r="L3536" t="s">
        <v>23</v>
      </c>
      <c r="M3536" t="s">
        <v>61</v>
      </c>
      <c r="N3536" t="s">
        <v>23</v>
      </c>
      <c r="O3536">
        <v>7</v>
      </c>
      <c r="P3536" t="s">
        <v>25</v>
      </c>
      <c r="Q3536" t="s">
        <v>26</v>
      </c>
      <c r="R3536" s="1">
        <v>0.1</v>
      </c>
      <c r="S3536">
        <f t="shared" si="220"/>
        <v>74.7</v>
      </c>
      <c r="T3536">
        <f>IFERROR(VLOOKUP(A3536,Table1[[Customer ID]:[Discount Amount]], 6, FALSE),"Not Found")</f>
        <v>83</v>
      </c>
      <c r="U3536" t="str">
        <f t="shared" si="221"/>
        <v>Cash</v>
      </c>
      <c r="V3536" s="4" t="str">
        <f t="shared" si="222"/>
        <v>Normal</v>
      </c>
      <c r="W3536" s="4" t="str">
        <f t="shared" si="223"/>
        <v>Good</v>
      </c>
      <c r="X3536" s="4">
        <f>AVERAGE(Table1[Purchase Amount])</f>
        <v>129.48419400000012</v>
      </c>
    </row>
    <row r="3537" spans="1:24" ht="15" customHeight="1" x14ac:dyDescent="0.25">
      <c r="A3537">
        <v>3536</v>
      </c>
      <c r="B3537">
        <v>68</v>
      </c>
      <c r="C3537" t="s">
        <v>16</v>
      </c>
      <c r="D3537" t="s">
        <v>54</v>
      </c>
      <c r="E3537" t="s">
        <v>18</v>
      </c>
      <c r="F3537" s="2">
        <v>51</v>
      </c>
      <c r="G3537" t="s">
        <v>149</v>
      </c>
      <c r="H3537" t="s">
        <v>31</v>
      </c>
      <c r="I3537" t="s">
        <v>46</v>
      </c>
      <c r="J3537" t="s">
        <v>57</v>
      </c>
      <c r="K3537">
        <v>5</v>
      </c>
      <c r="L3537" t="s">
        <v>23</v>
      </c>
      <c r="M3537" t="s">
        <v>61</v>
      </c>
      <c r="N3537" t="s">
        <v>23</v>
      </c>
      <c r="O3537">
        <v>20</v>
      </c>
      <c r="P3537" t="s">
        <v>36</v>
      </c>
      <c r="Q3537" t="s">
        <v>42</v>
      </c>
      <c r="R3537" s="1">
        <v>0.1</v>
      </c>
      <c r="S3537">
        <f t="shared" si="220"/>
        <v>45.9</v>
      </c>
      <c r="T3537">
        <f>IFERROR(VLOOKUP(A3537,Table1[[Customer ID]:[Discount Amount]], 6, FALSE),"Not Found")</f>
        <v>51</v>
      </c>
      <c r="U3537" t="str">
        <f t="shared" si="221"/>
        <v>Debit Card</v>
      </c>
      <c r="V3537" s="4" t="str">
        <f t="shared" si="222"/>
        <v>Normal</v>
      </c>
      <c r="W3537" s="4" t="str">
        <f t="shared" si="223"/>
        <v>Good</v>
      </c>
      <c r="X3537" s="4">
        <f>AVERAGE(Table1[Purchase Amount])</f>
        <v>129.48419400000012</v>
      </c>
    </row>
    <row r="3538" spans="1:24" ht="15" customHeight="1" x14ac:dyDescent="0.25">
      <c r="A3538">
        <v>3537</v>
      </c>
      <c r="B3538">
        <v>55</v>
      </c>
      <c r="C3538" t="s">
        <v>16</v>
      </c>
      <c r="D3538" t="s">
        <v>69</v>
      </c>
      <c r="E3538" t="s">
        <v>29</v>
      </c>
      <c r="F3538" s="2">
        <v>21</v>
      </c>
      <c r="G3538" t="s">
        <v>120</v>
      </c>
      <c r="H3538" t="s">
        <v>45</v>
      </c>
      <c r="I3538" t="s">
        <v>145</v>
      </c>
      <c r="J3538" t="s">
        <v>33</v>
      </c>
      <c r="K3538">
        <v>4.5</v>
      </c>
      <c r="L3538" t="s">
        <v>23</v>
      </c>
      <c r="M3538" t="s">
        <v>61</v>
      </c>
      <c r="N3538" t="s">
        <v>23</v>
      </c>
      <c r="O3538">
        <v>10</v>
      </c>
      <c r="P3538" t="s">
        <v>62</v>
      </c>
      <c r="Q3538" t="s">
        <v>42</v>
      </c>
      <c r="R3538" s="1">
        <v>0.1</v>
      </c>
      <c r="S3538">
        <f t="shared" si="220"/>
        <v>18.899999999999999</v>
      </c>
      <c r="T3538">
        <f>IFERROR(VLOOKUP(A3538,Table1[[Customer ID]:[Discount Amount]], 6, FALSE),"Not Found")</f>
        <v>21</v>
      </c>
      <c r="U3538" t="str">
        <f t="shared" si="221"/>
        <v>Venmo</v>
      </c>
      <c r="V3538" s="4" t="str">
        <f t="shared" si="222"/>
        <v>Normal</v>
      </c>
      <c r="W3538" s="4" t="str">
        <f t="shared" si="223"/>
        <v>Good</v>
      </c>
      <c r="X3538" s="4">
        <f>AVERAGE(Table1[Purchase Amount])</f>
        <v>129.48419400000012</v>
      </c>
    </row>
    <row r="3539" spans="1:24" ht="15" customHeight="1" x14ac:dyDescent="0.25">
      <c r="A3539">
        <v>3538</v>
      </c>
      <c r="B3539">
        <v>57</v>
      </c>
      <c r="C3539" t="s">
        <v>16</v>
      </c>
      <c r="D3539" t="s">
        <v>69</v>
      </c>
      <c r="E3539" t="s">
        <v>29</v>
      </c>
      <c r="F3539" s="2">
        <v>92</v>
      </c>
      <c r="G3539" t="s">
        <v>160</v>
      </c>
      <c r="H3539" t="s">
        <v>31</v>
      </c>
      <c r="I3539" t="s">
        <v>85</v>
      </c>
      <c r="J3539" t="s">
        <v>33</v>
      </c>
      <c r="K3539">
        <v>3.5</v>
      </c>
      <c r="L3539" t="s">
        <v>23</v>
      </c>
      <c r="M3539" t="s">
        <v>24</v>
      </c>
      <c r="N3539" t="s">
        <v>23</v>
      </c>
      <c r="O3539">
        <v>40</v>
      </c>
      <c r="P3539" t="s">
        <v>53</v>
      </c>
      <c r="Q3539" t="s">
        <v>63</v>
      </c>
      <c r="R3539" s="1">
        <v>0.1</v>
      </c>
      <c r="S3539">
        <f t="shared" si="220"/>
        <v>82.8</v>
      </c>
      <c r="T3539">
        <f>IFERROR(VLOOKUP(A3539,Table1[[Customer ID]:[Discount Amount]], 6, FALSE),"Not Found")</f>
        <v>92</v>
      </c>
      <c r="U3539" t="str">
        <f t="shared" si="221"/>
        <v>Credit Card</v>
      </c>
      <c r="V3539" s="4" t="str">
        <f t="shared" si="222"/>
        <v>Normal</v>
      </c>
      <c r="W3539" s="4" t="str">
        <f t="shared" si="223"/>
        <v>Good</v>
      </c>
      <c r="X3539" s="4">
        <f>AVERAGE(Table1[Purchase Amount])</f>
        <v>129.48419400000012</v>
      </c>
    </row>
    <row r="3540" spans="1:24" ht="15" customHeight="1" x14ac:dyDescent="0.25">
      <c r="A3540">
        <v>3539</v>
      </c>
      <c r="B3540">
        <v>56</v>
      </c>
      <c r="C3540" t="s">
        <v>16</v>
      </c>
      <c r="D3540" t="s">
        <v>72</v>
      </c>
      <c r="E3540" t="s">
        <v>98</v>
      </c>
      <c r="F3540" s="2">
        <v>63</v>
      </c>
      <c r="G3540" t="s">
        <v>141</v>
      </c>
      <c r="H3540" t="s">
        <v>55</v>
      </c>
      <c r="I3540" t="s">
        <v>32</v>
      </c>
      <c r="J3540" t="s">
        <v>33</v>
      </c>
      <c r="K3540">
        <v>4.5</v>
      </c>
      <c r="L3540" t="s">
        <v>23</v>
      </c>
      <c r="M3540" t="s">
        <v>48</v>
      </c>
      <c r="N3540" t="s">
        <v>23</v>
      </c>
      <c r="O3540">
        <v>21</v>
      </c>
      <c r="P3540" t="s">
        <v>62</v>
      </c>
      <c r="Q3540" t="s">
        <v>42</v>
      </c>
      <c r="R3540" s="1">
        <v>0.1</v>
      </c>
      <c r="S3540">
        <f t="shared" si="220"/>
        <v>56.7</v>
      </c>
      <c r="T3540">
        <f>IFERROR(VLOOKUP(A3540,Table1[[Customer ID]:[Discount Amount]], 6, FALSE),"Not Found")</f>
        <v>63</v>
      </c>
      <c r="U3540" t="str">
        <f t="shared" si="221"/>
        <v>Venmo</v>
      </c>
      <c r="V3540" s="4" t="str">
        <f t="shared" si="222"/>
        <v>Normal</v>
      </c>
      <c r="W3540" s="4" t="str">
        <f t="shared" si="223"/>
        <v>Good</v>
      </c>
      <c r="X3540" s="4">
        <f>AVERAGE(Table1[Purchase Amount])</f>
        <v>129.48419400000012</v>
      </c>
    </row>
    <row r="3541" spans="1:24" ht="15" customHeight="1" x14ac:dyDescent="0.25">
      <c r="A3541">
        <v>3540</v>
      </c>
      <c r="B3541">
        <v>29</v>
      </c>
      <c r="C3541" t="s">
        <v>16</v>
      </c>
      <c r="D3541" t="s">
        <v>50</v>
      </c>
      <c r="E3541" t="s">
        <v>29</v>
      </c>
      <c r="F3541" s="2">
        <v>56</v>
      </c>
      <c r="G3541" t="s">
        <v>101</v>
      </c>
      <c r="H3541" t="s">
        <v>55</v>
      </c>
      <c r="I3541" t="s">
        <v>93</v>
      </c>
      <c r="J3541" t="s">
        <v>33</v>
      </c>
      <c r="K3541">
        <v>3.2</v>
      </c>
      <c r="L3541" t="s">
        <v>23</v>
      </c>
      <c r="M3541" t="s">
        <v>61</v>
      </c>
      <c r="N3541" t="s">
        <v>23</v>
      </c>
      <c r="O3541">
        <v>17</v>
      </c>
      <c r="P3541" t="s">
        <v>53</v>
      </c>
      <c r="Q3541" t="s">
        <v>68</v>
      </c>
      <c r="R3541" s="1">
        <v>0.1</v>
      </c>
      <c r="S3541">
        <f t="shared" si="220"/>
        <v>50.4</v>
      </c>
      <c r="T3541">
        <f>IFERROR(VLOOKUP(A3541,Table1[[Customer ID]:[Discount Amount]], 6, FALSE),"Not Found")</f>
        <v>56</v>
      </c>
      <c r="U3541" t="str">
        <f t="shared" si="221"/>
        <v>Credit Card</v>
      </c>
      <c r="V3541" s="4" t="str">
        <f t="shared" si="222"/>
        <v>Normal</v>
      </c>
      <c r="W3541" s="4" t="str">
        <f t="shared" si="223"/>
        <v>Good</v>
      </c>
      <c r="X3541" s="4">
        <f>AVERAGE(Table1[Purchase Amount])</f>
        <v>129.48419400000012</v>
      </c>
    </row>
    <row r="3542" spans="1:24" ht="15" customHeight="1" x14ac:dyDescent="0.25">
      <c r="A3542">
        <v>3541</v>
      </c>
      <c r="B3542">
        <v>24</v>
      </c>
      <c r="C3542" t="s">
        <v>16</v>
      </c>
      <c r="D3542" t="s">
        <v>54</v>
      </c>
      <c r="E3542" t="s">
        <v>18</v>
      </c>
      <c r="F3542" s="2">
        <v>95</v>
      </c>
      <c r="G3542" t="s">
        <v>158</v>
      </c>
      <c r="H3542" t="s">
        <v>31</v>
      </c>
      <c r="I3542" t="s">
        <v>87</v>
      </c>
      <c r="J3542" t="s">
        <v>33</v>
      </c>
      <c r="K3542">
        <v>4.5999999999999996</v>
      </c>
      <c r="L3542" t="s">
        <v>23</v>
      </c>
      <c r="M3542" t="s">
        <v>35</v>
      </c>
      <c r="N3542" t="s">
        <v>23</v>
      </c>
      <c r="O3542">
        <v>5</v>
      </c>
      <c r="P3542" t="s">
        <v>88</v>
      </c>
      <c r="Q3542" t="s">
        <v>26</v>
      </c>
      <c r="R3542" s="1">
        <v>0.1</v>
      </c>
      <c r="S3542">
        <f t="shared" si="220"/>
        <v>85.5</v>
      </c>
      <c r="T3542">
        <f>IFERROR(VLOOKUP(A3542,Table1[[Customer ID]:[Discount Amount]], 6, FALSE),"Not Found")</f>
        <v>95</v>
      </c>
      <c r="U3542" t="str">
        <f t="shared" si="221"/>
        <v>Bank Transfer</v>
      </c>
      <c r="V3542" s="4" t="str">
        <f t="shared" si="222"/>
        <v>Normal</v>
      </c>
      <c r="W3542" s="4" t="str">
        <f t="shared" si="223"/>
        <v>Good</v>
      </c>
      <c r="X3542" s="4">
        <f>AVERAGE(Table1[Purchase Amount])</f>
        <v>129.48419400000012</v>
      </c>
    </row>
    <row r="3543" spans="1:24" ht="15" customHeight="1" x14ac:dyDescent="0.25">
      <c r="A3543">
        <v>3542</v>
      </c>
      <c r="B3543">
        <v>59</v>
      </c>
      <c r="C3543" t="s">
        <v>16</v>
      </c>
      <c r="D3543" t="s">
        <v>118</v>
      </c>
      <c r="E3543" t="s">
        <v>18</v>
      </c>
      <c r="F3543" s="2">
        <v>66</v>
      </c>
      <c r="G3543" t="s">
        <v>138</v>
      </c>
      <c r="H3543" t="s">
        <v>31</v>
      </c>
      <c r="I3543" t="s">
        <v>21</v>
      </c>
      <c r="J3543" t="s">
        <v>22</v>
      </c>
      <c r="K3543">
        <v>4</v>
      </c>
      <c r="L3543" t="s">
        <v>23</v>
      </c>
      <c r="M3543" t="s">
        <v>79</v>
      </c>
      <c r="N3543" t="s">
        <v>23</v>
      </c>
      <c r="O3543">
        <v>22</v>
      </c>
      <c r="P3543" t="s">
        <v>58</v>
      </c>
      <c r="Q3543" t="s">
        <v>49</v>
      </c>
      <c r="R3543" s="1">
        <v>0.1</v>
      </c>
      <c r="S3543">
        <f t="shared" si="220"/>
        <v>59.4</v>
      </c>
      <c r="T3543">
        <f>IFERROR(VLOOKUP(A3543,Table1[[Customer ID]:[Discount Amount]], 6, FALSE),"Not Found")</f>
        <v>66</v>
      </c>
      <c r="U3543" t="str">
        <f t="shared" si="221"/>
        <v>PayPal</v>
      </c>
      <c r="V3543" s="4" t="str">
        <f t="shared" si="222"/>
        <v>Normal</v>
      </c>
      <c r="W3543" s="4" t="str">
        <f t="shared" si="223"/>
        <v>Good</v>
      </c>
      <c r="X3543" s="4">
        <f>AVERAGE(Table1[Purchase Amount])</f>
        <v>129.48419400000012</v>
      </c>
    </row>
    <row r="3544" spans="1:24" ht="15" customHeight="1" x14ac:dyDescent="0.25">
      <c r="A3544">
        <v>3543</v>
      </c>
      <c r="B3544">
        <v>62</v>
      </c>
      <c r="C3544" t="s">
        <v>16</v>
      </c>
      <c r="D3544" t="s">
        <v>76</v>
      </c>
      <c r="E3544" t="s">
        <v>77</v>
      </c>
      <c r="F3544" s="2">
        <v>28</v>
      </c>
      <c r="G3544" t="s">
        <v>161</v>
      </c>
      <c r="H3544" t="s">
        <v>55</v>
      </c>
      <c r="I3544" t="s">
        <v>21</v>
      </c>
      <c r="J3544" t="s">
        <v>33</v>
      </c>
      <c r="K3544">
        <v>4.2</v>
      </c>
      <c r="L3544" t="s">
        <v>23</v>
      </c>
      <c r="M3544" t="s">
        <v>61</v>
      </c>
      <c r="N3544" t="s">
        <v>23</v>
      </c>
      <c r="O3544">
        <v>5</v>
      </c>
      <c r="P3544" t="s">
        <v>62</v>
      </c>
      <c r="Q3544" t="s">
        <v>26</v>
      </c>
      <c r="R3544" s="1">
        <v>0.1</v>
      </c>
      <c r="S3544">
        <f t="shared" si="220"/>
        <v>25.2</v>
      </c>
      <c r="T3544">
        <f>IFERROR(VLOOKUP(A3544,Table1[[Customer ID]:[Discount Amount]], 6, FALSE),"Not Found")</f>
        <v>28</v>
      </c>
      <c r="U3544" t="str">
        <f t="shared" si="221"/>
        <v>Venmo</v>
      </c>
      <c r="V3544" s="4" t="str">
        <f t="shared" si="222"/>
        <v>Normal</v>
      </c>
      <c r="W3544" s="4" t="str">
        <f t="shared" si="223"/>
        <v>Good</v>
      </c>
      <c r="X3544" s="4">
        <f>AVERAGE(Table1[Purchase Amount])</f>
        <v>129.48419400000012</v>
      </c>
    </row>
    <row r="3545" spans="1:24" ht="15" customHeight="1" x14ac:dyDescent="0.25">
      <c r="A3545">
        <v>3544</v>
      </c>
      <c r="B3545">
        <v>58</v>
      </c>
      <c r="C3545" t="s">
        <v>16</v>
      </c>
      <c r="D3545" t="s">
        <v>64</v>
      </c>
      <c r="E3545" t="s">
        <v>29</v>
      </c>
      <c r="F3545" s="2">
        <v>83</v>
      </c>
      <c r="G3545" t="s">
        <v>92</v>
      </c>
      <c r="H3545" t="s">
        <v>31</v>
      </c>
      <c r="I3545" t="s">
        <v>74</v>
      </c>
      <c r="J3545" t="s">
        <v>22</v>
      </c>
      <c r="K3545">
        <v>4.0999999999999996</v>
      </c>
      <c r="L3545" t="s">
        <v>23</v>
      </c>
      <c r="M3545" t="s">
        <v>24</v>
      </c>
      <c r="N3545" t="s">
        <v>23</v>
      </c>
      <c r="O3545">
        <v>18</v>
      </c>
      <c r="P3545" t="s">
        <v>58</v>
      </c>
      <c r="Q3545" t="s">
        <v>63</v>
      </c>
      <c r="R3545" s="1">
        <v>0.1</v>
      </c>
      <c r="S3545">
        <f t="shared" si="220"/>
        <v>74.7</v>
      </c>
      <c r="T3545">
        <f>IFERROR(VLOOKUP(A3545,Table1[[Customer ID]:[Discount Amount]], 6, FALSE),"Not Found")</f>
        <v>83</v>
      </c>
      <c r="U3545" t="str">
        <f t="shared" si="221"/>
        <v>PayPal</v>
      </c>
      <c r="V3545" s="4" t="str">
        <f t="shared" si="222"/>
        <v>Normal</v>
      </c>
      <c r="W3545" s="4" t="str">
        <f t="shared" si="223"/>
        <v>Good</v>
      </c>
      <c r="X3545" s="4">
        <f>AVERAGE(Table1[Purchase Amount])</f>
        <v>129.48419400000012</v>
      </c>
    </row>
    <row r="3546" spans="1:24" ht="15" customHeight="1" x14ac:dyDescent="0.25">
      <c r="A3546">
        <v>3545</v>
      </c>
      <c r="B3546">
        <v>64</v>
      </c>
      <c r="C3546" t="s">
        <v>16</v>
      </c>
      <c r="D3546" t="s">
        <v>105</v>
      </c>
      <c r="E3546" t="s">
        <v>18</v>
      </c>
      <c r="F3546" s="2">
        <v>55</v>
      </c>
      <c r="G3546" t="s">
        <v>59</v>
      </c>
      <c r="H3546" t="s">
        <v>20</v>
      </c>
      <c r="I3546" t="s">
        <v>103</v>
      </c>
      <c r="J3546" t="s">
        <v>47</v>
      </c>
      <c r="K3546">
        <v>3.6</v>
      </c>
      <c r="L3546" t="s">
        <v>23</v>
      </c>
      <c r="M3546" t="s">
        <v>41</v>
      </c>
      <c r="N3546" t="s">
        <v>23</v>
      </c>
      <c r="O3546">
        <v>42</v>
      </c>
      <c r="P3546" t="s">
        <v>25</v>
      </c>
      <c r="Q3546" t="s">
        <v>63</v>
      </c>
      <c r="R3546" s="1">
        <v>0.1</v>
      </c>
      <c r="S3546">
        <f t="shared" si="220"/>
        <v>49.5</v>
      </c>
      <c r="T3546">
        <f>IFERROR(VLOOKUP(A3546,Table1[[Customer ID]:[Discount Amount]], 6, FALSE),"Not Found")</f>
        <v>55</v>
      </c>
      <c r="U3546" t="str">
        <f t="shared" si="221"/>
        <v>Cash</v>
      </c>
      <c r="V3546" s="4" t="str">
        <f t="shared" si="222"/>
        <v>Normal</v>
      </c>
      <c r="W3546" s="4" t="str">
        <f t="shared" si="223"/>
        <v>Good</v>
      </c>
      <c r="X3546" s="4">
        <f>AVERAGE(Table1[Purchase Amount])</f>
        <v>129.48419400000012</v>
      </c>
    </row>
    <row r="3547" spans="1:24" ht="15" customHeight="1" x14ac:dyDescent="0.25">
      <c r="A3547">
        <v>3546</v>
      </c>
      <c r="B3547">
        <v>48</v>
      </c>
      <c r="C3547" t="s">
        <v>16</v>
      </c>
      <c r="D3547" t="s">
        <v>121</v>
      </c>
      <c r="E3547" t="s">
        <v>98</v>
      </c>
      <c r="F3547" s="2">
        <v>28</v>
      </c>
      <c r="G3547" t="s">
        <v>115</v>
      </c>
      <c r="H3547" t="s">
        <v>31</v>
      </c>
      <c r="I3547" t="s">
        <v>52</v>
      </c>
      <c r="J3547" t="s">
        <v>33</v>
      </c>
      <c r="K3547">
        <v>3.7</v>
      </c>
      <c r="L3547" t="s">
        <v>23</v>
      </c>
      <c r="M3547" t="s">
        <v>41</v>
      </c>
      <c r="N3547" t="s">
        <v>23</v>
      </c>
      <c r="O3547">
        <v>22</v>
      </c>
      <c r="P3547" t="s">
        <v>36</v>
      </c>
      <c r="Q3547" t="s">
        <v>49</v>
      </c>
      <c r="R3547" s="1">
        <v>0.1</v>
      </c>
      <c r="S3547">
        <f t="shared" si="220"/>
        <v>25.2</v>
      </c>
      <c r="T3547">
        <f>IFERROR(VLOOKUP(A3547,Table1[[Customer ID]:[Discount Amount]], 6, FALSE),"Not Found")</f>
        <v>28</v>
      </c>
      <c r="U3547" t="str">
        <f t="shared" si="221"/>
        <v>Debit Card</v>
      </c>
      <c r="V3547" s="4" t="str">
        <f t="shared" si="222"/>
        <v>Normal</v>
      </c>
      <c r="W3547" s="4" t="str">
        <f t="shared" si="223"/>
        <v>Good</v>
      </c>
      <c r="X3547" s="4">
        <f>AVERAGE(Table1[Purchase Amount])</f>
        <v>129.48419400000012</v>
      </c>
    </row>
    <row r="3548" spans="1:24" ht="15" customHeight="1" x14ac:dyDescent="0.25">
      <c r="A3548">
        <v>3547</v>
      </c>
      <c r="B3548">
        <v>60</v>
      </c>
      <c r="C3548" t="s">
        <v>16</v>
      </c>
      <c r="D3548" t="s">
        <v>129</v>
      </c>
      <c r="E3548" t="s">
        <v>29</v>
      </c>
      <c r="F3548" s="2">
        <v>79</v>
      </c>
      <c r="G3548" t="s">
        <v>124</v>
      </c>
      <c r="H3548" t="s">
        <v>31</v>
      </c>
      <c r="I3548" t="s">
        <v>111</v>
      </c>
      <c r="J3548" t="s">
        <v>57</v>
      </c>
      <c r="K3548">
        <v>3.6</v>
      </c>
      <c r="L3548" t="s">
        <v>23</v>
      </c>
      <c r="M3548" t="s">
        <v>35</v>
      </c>
      <c r="N3548" t="s">
        <v>23</v>
      </c>
      <c r="O3548">
        <v>37</v>
      </c>
      <c r="P3548" t="s">
        <v>88</v>
      </c>
      <c r="Q3548" t="s">
        <v>68</v>
      </c>
      <c r="R3548" s="1">
        <v>0.1</v>
      </c>
      <c r="S3548">
        <f t="shared" si="220"/>
        <v>71.099999999999994</v>
      </c>
      <c r="T3548">
        <f>IFERROR(VLOOKUP(A3548,Table1[[Customer ID]:[Discount Amount]], 6, FALSE),"Not Found")</f>
        <v>79</v>
      </c>
      <c r="U3548" t="str">
        <f t="shared" si="221"/>
        <v>Bank Transfer</v>
      </c>
      <c r="V3548" s="4" t="str">
        <f t="shared" si="222"/>
        <v>Normal</v>
      </c>
      <c r="W3548" s="4" t="str">
        <f t="shared" si="223"/>
        <v>Good</v>
      </c>
      <c r="X3548" s="4">
        <f>AVERAGE(Table1[Purchase Amount])</f>
        <v>129.48419400000012</v>
      </c>
    </row>
    <row r="3549" spans="1:24" ht="15" customHeight="1" x14ac:dyDescent="0.25">
      <c r="A3549">
        <v>3548</v>
      </c>
      <c r="B3549">
        <v>52</v>
      </c>
      <c r="C3549" t="s">
        <v>16</v>
      </c>
      <c r="D3549" t="s">
        <v>129</v>
      </c>
      <c r="E3549" t="s">
        <v>29</v>
      </c>
      <c r="F3549" s="2">
        <v>31</v>
      </c>
      <c r="G3549" t="s">
        <v>78</v>
      </c>
      <c r="H3549" t="s">
        <v>45</v>
      </c>
      <c r="I3549" t="s">
        <v>87</v>
      </c>
      <c r="J3549" t="s">
        <v>57</v>
      </c>
      <c r="K3549">
        <v>3.8</v>
      </c>
      <c r="L3549" t="s">
        <v>23</v>
      </c>
      <c r="M3549" t="s">
        <v>24</v>
      </c>
      <c r="N3549" t="s">
        <v>23</v>
      </c>
      <c r="O3549">
        <v>23</v>
      </c>
      <c r="P3549" t="s">
        <v>53</v>
      </c>
      <c r="Q3549" t="s">
        <v>49</v>
      </c>
      <c r="R3549" s="1">
        <v>0.1</v>
      </c>
      <c r="S3549">
        <f t="shared" si="220"/>
        <v>27.9</v>
      </c>
      <c r="T3549">
        <f>IFERROR(VLOOKUP(A3549,Table1[[Customer ID]:[Discount Amount]], 6, FALSE),"Not Found")</f>
        <v>31</v>
      </c>
      <c r="U3549" t="str">
        <f t="shared" si="221"/>
        <v>Credit Card</v>
      </c>
      <c r="V3549" s="4" t="str">
        <f t="shared" si="222"/>
        <v>Normal</v>
      </c>
      <c r="W3549" s="4" t="str">
        <f t="shared" si="223"/>
        <v>Good</v>
      </c>
      <c r="X3549" s="4">
        <f>AVERAGE(Table1[Purchase Amount])</f>
        <v>129.48419400000012</v>
      </c>
    </row>
    <row r="3550" spans="1:24" ht="15" customHeight="1" x14ac:dyDescent="0.25">
      <c r="A3550">
        <v>3549</v>
      </c>
      <c r="B3550">
        <v>63</v>
      </c>
      <c r="C3550" t="s">
        <v>16</v>
      </c>
      <c r="D3550" t="s">
        <v>118</v>
      </c>
      <c r="E3550" t="s">
        <v>18</v>
      </c>
      <c r="F3550" s="2">
        <v>37</v>
      </c>
      <c r="G3550" t="s">
        <v>144</v>
      </c>
      <c r="H3550" t="s">
        <v>31</v>
      </c>
      <c r="I3550" t="s">
        <v>46</v>
      </c>
      <c r="J3550" t="s">
        <v>47</v>
      </c>
      <c r="K3550">
        <v>3</v>
      </c>
      <c r="L3550" t="s">
        <v>23</v>
      </c>
      <c r="M3550" t="s">
        <v>24</v>
      </c>
      <c r="N3550" t="s">
        <v>23</v>
      </c>
      <c r="O3550">
        <v>47</v>
      </c>
      <c r="P3550" t="s">
        <v>36</v>
      </c>
      <c r="Q3550" t="s">
        <v>89</v>
      </c>
      <c r="R3550" s="1">
        <v>0.1</v>
      </c>
      <c r="S3550">
        <f t="shared" si="220"/>
        <v>33.299999999999997</v>
      </c>
      <c r="T3550">
        <f>IFERROR(VLOOKUP(A3550,Table1[[Customer ID]:[Discount Amount]], 6, FALSE),"Not Found")</f>
        <v>37</v>
      </c>
      <c r="U3550" t="str">
        <f t="shared" si="221"/>
        <v>Debit Card</v>
      </c>
      <c r="V3550" s="4" t="str">
        <f t="shared" si="222"/>
        <v>Normal</v>
      </c>
      <c r="W3550" s="4" t="str">
        <f t="shared" si="223"/>
        <v>Good</v>
      </c>
      <c r="X3550" s="4">
        <f>AVERAGE(Table1[Purchase Amount])</f>
        <v>129.48419400000012</v>
      </c>
    </row>
    <row r="3551" spans="1:24" ht="15" customHeight="1" x14ac:dyDescent="0.25">
      <c r="A3551">
        <v>3550</v>
      </c>
      <c r="B3551">
        <v>44</v>
      </c>
      <c r="C3551" t="s">
        <v>16</v>
      </c>
      <c r="D3551" t="s">
        <v>17</v>
      </c>
      <c r="E3551" t="s">
        <v>18</v>
      </c>
      <c r="F3551" s="2">
        <v>34</v>
      </c>
      <c r="G3551" t="s">
        <v>123</v>
      </c>
      <c r="H3551" t="s">
        <v>31</v>
      </c>
      <c r="I3551" t="s">
        <v>128</v>
      </c>
      <c r="J3551" t="s">
        <v>57</v>
      </c>
      <c r="K3551">
        <v>3.4</v>
      </c>
      <c r="L3551" t="s">
        <v>23</v>
      </c>
      <c r="M3551" t="s">
        <v>41</v>
      </c>
      <c r="N3551" t="s">
        <v>23</v>
      </c>
      <c r="O3551">
        <v>11</v>
      </c>
      <c r="P3551" t="s">
        <v>88</v>
      </c>
      <c r="Q3551" t="s">
        <v>89</v>
      </c>
      <c r="R3551" s="1">
        <v>0.1</v>
      </c>
      <c r="S3551">
        <f t="shared" si="220"/>
        <v>30.6</v>
      </c>
      <c r="T3551">
        <f>IFERROR(VLOOKUP(A3551,Table1[[Customer ID]:[Discount Amount]], 6, FALSE),"Not Found")</f>
        <v>34</v>
      </c>
      <c r="U3551" t="str">
        <f t="shared" si="221"/>
        <v>Bank Transfer</v>
      </c>
      <c r="V3551" s="4" t="str">
        <f t="shared" si="222"/>
        <v>Normal</v>
      </c>
      <c r="W3551" s="4" t="str">
        <f t="shared" si="223"/>
        <v>Good</v>
      </c>
      <c r="X3551" s="4">
        <f>AVERAGE(Table1[Purchase Amount])</f>
        <v>129.48419400000012</v>
      </c>
    </row>
    <row r="3552" spans="1:24" ht="15" customHeight="1" x14ac:dyDescent="0.25">
      <c r="A3552">
        <v>3551</v>
      </c>
      <c r="B3552">
        <v>63</v>
      </c>
      <c r="C3552" t="s">
        <v>16</v>
      </c>
      <c r="D3552" t="s">
        <v>72</v>
      </c>
      <c r="E3552" t="s">
        <v>98</v>
      </c>
      <c r="F3552" s="2">
        <v>74</v>
      </c>
      <c r="G3552" t="s">
        <v>154</v>
      </c>
      <c r="H3552" t="s">
        <v>55</v>
      </c>
      <c r="I3552" t="s">
        <v>108</v>
      </c>
      <c r="J3552" t="s">
        <v>22</v>
      </c>
      <c r="K3552">
        <v>4.8</v>
      </c>
      <c r="L3552" t="s">
        <v>23</v>
      </c>
      <c r="M3552" t="s">
        <v>24</v>
      </c>
      <c r="N3552" t="s">
        <v>23</v>
      </c>
      <c r="O3552">
        <v>32</v>
      </c>
      <c r="P3552" t="s">
        <v>25</v>
      </c>
      <c r="Q3552" t="s">
        <v>26</v>
      </c>
      <c r="R3552" s="1">
        <v>0.1</v>
      </c>
      <c r="S3552">
        <f t="shared" si="220"/>
        <v>66.599999999999994</v>
      </c>
      <c r="T3552">
        <f>IFERROR(VLOOKUP(A3552,Table1[[Customer ID]:[Discount Amount]], 6, FALSE),"Not Found")</f>
        <v>74</v>
      </c>
      <c r="U3552" t="str">
        <f t="shared" si="221"/>
        <v>Cash</v>
      </c>
      <c r="V3552" s="4" t="str">
        <f t="shared" si="222"/>
        <v>Normal</v>
      </c>
      <c r="W3552" s="4" t="str">
        <f t="shared" si="223"/>
        <v>Good</v>
      </c>
      <c r="X3552" s="4">
        <f>AVERAGE(Table1[Purchase Amount])</f>
        <v>129.48419400000012</v>
      </c>
    </row>
    <row r="3553" spans="1:24" ht="15" customHeight="1" x14ac:dyDescent="0.25">
      <c r="A3553">
        <v>3552</v>
      </c>
      <c r="B3553">
        <v>66</v>
      </c>
      <c r="C3553" t="s">
        <v>16</v>
      </c>
      <c r="D3553" t="s">
        <v>43</v>
      </c>
      <c r="E3553" t="s">
        <v>29</v>
      </c>
      <c r="F3553" s="2">
        <v>31</v>
      </c>
      <c r="G3553" t="s">
        <v>39</v>
      </c>
      <c r="H3553" t="s">
        <v>45</v>
      </c>
      <c r="I3553" t="s">
        <v>40</v>
      </c>
      <c r="J3553" t="s">
        <v>33</v>
      </c>
      <c r="K3553">
        <v>2.6</v>
      </c>
      <c r="L3553" t="s">
        <v>23</v>
      </c>
      <c r="M3553" t="s">
        <v>48</v>
      </c>
      <c r="N3553" t="s">
        <v>23</v>
      </c>
      <c r="O3553">
        <v>20</v>
      </c>
      <c r="P3553" t="s">
        <v>62</v>
      </c>
      <c r="Q3553" t="s">
        <v>26</v>
      </c>
      <c r="R3553" s="1">
        <v>0.1</v>
      </c>
      <c r="S3553">
        <f t="shared" si="220"/>
        <v>27.9</v>
      </c>
      <c r="T3553">
        <f>IFERROR(VLOOKUP(A3553,Table1[[Customer ID]:[Discount Amount]], 6, FALSE),"Not Found")</f>
        <v>31</v>
      </c>
      <c r="U3553" t="str">
        <f t="shared" si="221"/>
        <v>Venmo</v>
      </c>
      <c r="V3553" s="4" t="str">
        <f t="shared" si="222"/>
        <v>Normal</v>
      </c>
      <c r="W3553" s="4" t="str">
        <f t="shared" si="223"/>
        <v>Poor</v>
      </c>
      <c r="X3553" s="4">
        <f>AVERAGE(Table1[Purchase Amount])</f>
        <v>129.48419400000012</v>
      </c>
    </row>
    <row r="3554" spans="1:24" ht="15" customHeight="1" x14ac:dyDescent="0.25">
      <c r="A3554">
        <v>3553</v>
      </c>
      <c r="B3554">
        <v>22</v>
      </c>
      <c r="C3554" t="s">
        <v>16</v>
      </c>
      <c r="D3554" t="s">
        <v>28</v>
      </c>
      <c r="E3554" t="s">
        <v>29</v>
      </c>
      <c r="F3554" s="2">
        <v>66</v>
      </c>
      <c r="G3554" t="s">
        <v>70</v>
      </c>
      <c r="H3554" t="s">
        <v>31</v>
      </c>
      <c r="I3554" t="s">
        <v>74</v>
      </c>
      <c r="J3554" t="s">
        <v>22</v>
      </c>
      <c r="K3554">
        <v>2.9</v>
      </c>
      <c r="L3554" t="s">
        <v>23</v>
      </c>
      <c r="M3554" t="s">
        <v>79</v>
      </c>
      <c r="N3554" t="s">
        <v>23</v>
      </c>
      <c r="O3554">
        <v>3</v>
      </c>
      <c r="P3554" t="s">
        <v>58</v>
      </c>
      <c r="Q3554" t="s">
        <v>37</v>
      </c>
      <c r="R3554" s="1">
        <v>0.1</v>
      </c>
      <c r="S3554">
        <f t="shared" si="220"/>
        <v>59.4</v>
      </c>
      <c r="T3554">
        <f>IFERROR(VLOOKUP(A3554,Table1[[Customer ID]:[Discount Amount]], 6, FALSE),"Not Found")</f>
        <v>66</v>
      </c>
      <c r="U3554" t="str">
        <f t="shared" si="221"/>
        <v>PayPal</v>
      </c>
      <c r="V3554" s="4" t="str">
        <f t="shared" si="222"/>
        <v>Normal</v>
      </c>
      <c r="W3554" s="4" t="str">
        <f t="shared" si="223"/>
        <v>Poor</v>
      </c>
      <c r="X3554" s="4">
        <f>AVERAGE(Table1[Purchase Amount])</f>
        <v>129.48419400000012</v>
      </c>
    </row>
    <row r="3555" spans="1:24" ht="15" customHeight="1" x14ac:dyDescent="0.25">
      <c r="A3555">
        <v>3554</v>
      </c>
      <c r="B3555">
        <v>62</v>
      </c>
      <c r="C3555" t="s">
        <v>16</v>
      </c>
      <c r="D3555" t="s">
        <v>72</v>
      </c>
      <c r="E3555" t="s">
        <v>98</v>
      </c>
      <c r="F3555" s="2">
        <v>99</v>
      </c>
      <c r="G3555" t="s">
        <v>120</v>
      </c>
      <c r="H3555" t="s">
        <v>31</v>
      </c>
      <c r="I3555" t="s">
        <v>103</v>
      </c>
      <c r="J3555" t="s">
        <v>33</v>
      </c>
      <c r="K3555">
        <v>4.9000000000000004</v>
      </c>
      <c r="L3555" t="s">
        <v>23</v>
      </c>
      <c r="M3555" t="s">
        <v>35</v>
      </c>
      <c r="N3555" t="s">
        <v>23</v>
      </c>
      <c r="O3555">
        <v>32</v>
      </c>
      <c r="P3555" t="s">
        <v>88</v>
      </c>
      <c r="Q3555" t="s">
        <v>26</v>
      </c>
      <c r="R3555" s="1">
        <v>0.1</v>
      </c>
      <c r="S3555">
        <f t="shared" si="220"/>
        <v>89.1</v>
      </c>
      <c r="T3555">
        <f>IFERROR(VLOOKUP(A3555,Table1[[Customer ID]:[Discount Amount]], 6, FALSE),"Not Found")</f>
        <v>99</v>
      </c>
      <c r="U3555" t="str">
        <f t="shared" si="221"/>
        <v>Bank Transfer</v>
      </c>
      <c r="V3555" s="4" t="str">
        <f t="shared" si="222"/>
        <v>Normal</v>
      </c>
      <c r="W3555" s="4" t="str">
        <f t="shared" si="223"/>
        <v>Good</v>
      </c>
      <c r="X3555" s="4">
        <f>AVERAGE(Table1[Purchase Amount])</f>
        <v>129.48419400000012</v>
      </c>
    </row>
    <row r="3556" spans="1:24" ht="15" customHeight="1" x14ac:dyDescent="0.25">
      <c r="A3556">
        <v>3555</v>
      </c>
      <c r="B3556">
        <v>39</v>
      </c>
      <c r="C3556" t="s">
        <v>16</v>
      </c>
      <c r="D3556" t="s">
        <v>157</v>
      </c>
      <c r="E3556" t="s">
        <v>18</v>
      </c>
      <c r="F3556" s="2">
        <v>55</v>
      </c>
      <c r="G3556" t="s">
        <v>119</v>
      </c>
      <c r="H3556" t="s">
        <v>31</v>
      </c>
      <c r="I3556" t="s">
        <v>91</v>
      </c>
      <c r="J3556" t="s">
        <v>33</v>
      </c>
      <c r="K3556">
        <v>5</v>
      </c>
      <c r="L3556" t="s">
        <v>23</v>
      </c>
      <c r="M3556" t="s">
        <v>35</v>
      </c>
      <c r="N3556" t="s">
        <v>23</v>
      </c>
      <c r="O3556">
        <v>5</v>
      </c>
      <c r="P3556" t="s">
        <v>53</v>
      </c>
      <c r="Q3556" t="s">
        <v>89</v>
      </c>
      <c r="R3556" s="1">
        <v>0.1</v>
      </c>
      <c r="S3556">
        <f t="shared" si="220"/>
        <v>49.5</v>
      </c>
      <c r="T3556">
        <f>IFERROR(VLOOKUP(A3556,Table1[[Customer ID]:[Discount Amount]], 6, FALSE),"Not Found")</f>
        <v>55</v>
      </c>
      <c r="U3556" t="str">
        <f t="shared" si="221"/>
        <v>Credit Card</v>
      </c>
      <c r="V3556" s="4" t="str">
        <f t="shared" si="222"/>
        <v>Normal</v>
      </c>
      <c r="W3556" s="4" t="str">
        <f t="shared" si="223"/>
        <v>Good</v>
      </c>
      <c r="X3556" s="4">
        <f>AVERAGE(Table1[Purchase Amount])</f>
        <v>129.48419400000012</v>
      </c>
    </row>
    <row r="3557" spans="1:24" ht="15" customHeight="1" x14ac:dyDescent="0.25">
      <c r="A3557">
        <v>3556</v>
      </c>
      <c r="B3557">
        <v>25</v>
      </c>
      <c r="C3557" t="s">
        <v>16</v>
      </c>
      <c r="D3557" t="s">
        <v>118</v>
      </c>
      <c r="E3557" t="s">
        <v>18</v>
      </c>
      <c r="F3557" s="2">
        <v>23</v>
      </c>
      <c r="G3557" t="s">
        <v>143</v>
      </c>
      <c r="H3557" t="s">
        <v>45</v>
      </c>
      <c r="I3557" t="s">
        <v>153</v>
      </c>
      <c r="J3557" t="s">
        <v>33</v>
      </c>
      <c r="K3557">
        <v>4.5999999999999996</v>
      </c>
      <c r="L3557" t="s">
        <v>23</v>
      </c>
      <c r="M3557" t="s">
        <v>79</v>
      </c>
      <c r="N3557" t="s">
        <v>23</v>
      </c>
      <c r="O3557">
        <v>45</v>
      </c>
      <c r="P3557" t="s">
        <v>25</v>
      </c>
      <c r="Q3557" t="s">
        <v>37</v>
      </c>
      <c r="R3557" s="1">
        <v>0.1</v>
      </c>
      <c r="S3557">
        <f t="shared" si="220"/>
        <v>20.7</v>
      </c>
      <c r="T3557">
        <f>IFERROR(VLOOKUP(A3557,Table1[[Customer ID]:[Discount Amount]], 6, FALSE),"Not Found")</f>
        <v>23</v>
      </c>
      <c r="U3557" t="str">
        <f t="shared" si="221"/>
        <v>Cash</v>
      </c>
      <c r="V3557" s="4" t="str">
        <f t="shared" si="222"/>
        <v>Normal</v>
      </c>
      <c r="W3557" s="4" t="str">
        <f t="shared" si="223"/>
        <v>Good</v>
      </c>
      <c r="X3557" s="4">
        <f>AVERAGE(Table1[Purchase Amount])</f>
        <v>129.48419400000012</v>
      </c>
    </row>
    <row r="3558" spans="1:24" ht="15" customHeight="1" x14ac:dyDescent="0.25">
      <c r="A3558">
        <v>3557</v>
      </c>
      <c r="B3558">
        <v>70</v>
      </c>
      <c r="C3558" t="s">
        <v>16</v>
      </c>
      <c r="D3558" t="s">
        <v>127</v>
      </c>
      <c r="E3558" t="s">
        <v>18</v>
      </c>
      <c r="F3558" s="2">
        <v>88</v>
      </c>
      <c r="G3558" t="s">
        <v>150</v>
      </c>
      <c r="H3558" t="s">
        <v>31</v>
      </c>
      <c r="I3558" t="s">
        <v>60</v>
      </c>
      <c r="J3558" t="s">
        <v>47</v>
      </c>
      <c r="K3558">
        <v>4.2</v>
      </c>
      <c r="L3558" t="s">
        <v>23</v>
      </c>
      <c r="M3558" t="s">
        <v>61</v>
      </c>
      <c r="N3558" t="s">
        <v>23</v>
      </c>
      <c r="O3558">
        <v>43</v>
      </c>
      <c r="P3558" t="s">
        <v>25</v>
      </c>
      <c r="Q3558" t="s">
        <v>68</v>
      </c>
      <c r="R3558" s="1">
        <v>0.1</v>
      </c>
      <c r="S3558">
        <f t="shared" si="220"/>
        <v>79.2</v>
      </c>
      <c r="T3558">
        <f>IFERROR(VLOOKUP(A3558,Table1[[Customer ID]:[Discount Amount]], 6, FALSE),"Not Found")</f>
        <v>88</v>
      </c>
      <c r="U3558" t="str">
        <f t="shared" si="221"/>
        <v>Cash</v>
      </c>
      <c r="V3558" s="4" t="str">
        <f t="shared" si="222"/>
        <v>Normal</v>
      </c>
      <c r="W3558" s="4" t="str">
        <f t="shared" si="223"/>
        <v>Good</v>
      </c>
      <c r="X3558" s="4">
        <f>AVERAGE(Table1[Purchase Amount])</f>
        <v>129.48419400000012</v>
      </c>
    </row>
    <row r="3559" spans="1:24" ht="15" customHeight="1" x14ac:dyDescent="0.25">
      <c r="A3559">
        <v>3558</v>
      </c>
      <c r="B3559">
        <v>52</v>
      </c>
      <c r="C3559" t="s">
        <v>16</v>
      </c>
      <c r="D3559" t="s">
        <v>96</v>
      </c>
      <c r="E3559" t="s">
        <v>77</v>
      </c>
      <c r="F3559" s="2">
        <v>26</v>
      </c>
      <c r="G3559" t="s">
        <v>158</v>
      </c>
      <c r="H3559" t="s">
        <v>31</v>
      </c>
      <c r="I3559" t="s">
        <v>145</v>
      </c>
      <c r="J3559" t="s">
        <v>57</v>
      </c>
      <c r="K3559">
        <v>4.9000000000000004</v>
      </c>
      <c r="L3559" t="s">
        <v>23</v>
      </c>
      <c r="M3559" t="s">
        <v>79</v>
      </c>
      <c r="N3559" t="s">
        <v>23</v>
      </c>
      <c r="O3559">
        <v>1</v>
      </c>
      <c r="P3559" t="s">
        <v>58</v>
      </c>
      <c r="Q3559" t="s">
        <v>63</v>
      </c>
      <c r="R3559" s="1">
        <v>0.1</v>
      </c>
      <c r="S3559">
        <f t="shared" si="220"/>
        <v>23.4</v>
      </c>
      <c r="T3559">
        <f>IFERROR(VLOOKUP(A3559,Table1[[Customer ID]:[Discount Amount]], 6, FALSE),"Not Found")</f>
        <v>26</v>
      </c>
      <c r="U3559" t="str">
        <f t="shared" si="221"/>
        <v>PayPal</v>
      </c>
      <c r="V3559" s="4" t="str">
        <f t="shared" si="222"/>
        <v>Normal</v>
      </c>
      <c r="W3559" s="4" t="str">
        <f t="shared" si="223"/>
        <v>Good</v>
      </c>
      <c r="X3559" s="4">
        <f>AVERAGE(Table1[Purchase Amount])</f>
        <v>129.48419400000012</v>
      </c>
    </row>
    <row r="3560" spans="1:24" ht="15" customHeight="1" x14ac:dyDescent="0.25">
      <c r="A3560">
        <v>3559</v>
      </c>
      <c r="B3560">
        <v>68</v>
      </c>
      <c r="C3560" t="s">
        <v>16</v>
      </c>
      <c r="D3560" t="s">
        <v>104</v>
      </c>
      <c r="E3560" t="s">
        <v>29</v>
      </c>
      <c r="F3560" s="2">
        <v>94</v>
      </c>
      <c r="G3560" t="s">
        <v>148</v>
      </c>
      <c r="H3560" t="s">
        <v>45</v>
      </c>
      <c r="I3560" t="s">
        <v>87</v>
      </c>
      <c r="J3560" t="s">
        <v>57</v>
      </c>
      <c r="K3560">
        <v>4.8</v>
      </c>
      <c r="L3560" t="s">
        <v>23</v>
      </c>
      <c r="M3560" t="s">
        <v>24</v>
      </c>
      <c r="N3560" t="s">
        <v>23</v>
      </c>
      <c r="O3560">
        <v>9</v>
      </c>
      <c r="P3560" t="s">
        <v>62</v>
      </c>
      <c r="Q3560" t="s">
        <v>37</v>
      </c>
      <c r="R3560" s="1">
        <v>0.1</v>
      </c>
      <c r="S3560">
        <f t="shared" si="220"/>
        <v>84.6</v>
      </c>
      <c r="T3560">
        <f>IFERROR(VLOOKUP(A3560,Table1[[Customer ID]:[Discount Amount]], 6, FALSE),"Not Found")</f>
        <v>94</v>
      </c>
      <c r="U3560" t="str">
        <f t="shared" si="221"/>
        <v>Venmo</v>
      </c>
      <c r="V3560" s="4" t="str">
        <f t="shared" si="222"/>
        <v>Normal</v>
      </c>
      <c r="W3560" s="4" t="str">
        <f t="shared" si="223"/>
        <v>Good</v>
      </c>
      <c r="X3560" s="4">
        <f>AVERAGE(Table1[Purchase Amount])</f>
        <v>129.48419400000012</v>
      </c>
    </row>
    <row r="3561" spans="1:24" ht="15" customHeight="1" x14ac:dyDescent="0.25">
      <c r="A3561">
        <v>3560</v>
      </c>
      <c r="B3561">
        <v>18</v>
      </c>
      <c r="C3561" t="s">
        <v>16</v>
      </c>
      <c r="D3561" t="s">
        <v>54</v>
      </c>
      <c r="E3561" t="s">
        <v>18</v>
      </c>
      <c r="F3561" s="2">
        <v>25</v>
      </c>
      <c r="G3561" t="s">
        <v>144</v>
      </c>
      <c r="H3561" t="s">
        <v>31</v>
      </c>
      <c r="I3561" t="s">
        <v>56</v>
      </c>
      <c r="J3561" t="s">
        <v>47</v>
      </c>
      <c r="K3561">
        <v>3</v>
      </c>
      <c r="L3561" t="s">
        <v>23</v>
      </c>
      <c r="M3561" t="s">
        <v>79</v>
      </c>
      <c r="N3561" t="s">
        <v>23</v>
      </c>
      <c r="O3561">
        <v>13</v>
      </c>
      <c r="P3561" t="s">
        <v>62</v>
      </c>
      <c r="Q3561" t="s">
        <v>63</v>
      </c>
      <c r="R3561" s="1">
        <v>0.1</v>
      </c>
      <c r="S3561">
        <f t="shared" si="220"/>
        <v>22.5</v>
      </c>
      <c r="T3561">
        <f>IFERROR(VLOOKUP(A3561,Table1[[Customer ID]:[Discount Amount]], 6, FALSE),"Not Found")</f>
        <v>25</v>
      </c>
      <c r="U3561" t="str">
        <f t="shared" si="221"/>
        <v>Venmo</v>
      </c>
      <c r="V3561" s="4" t="str">
        <f t="shared" si="222"/>
        <v>Normal</v>
      </c>
      <c r="W3561" s="4" t="str">
        <f t="shared" si="223"/>
        <v>Good</v>
      </c>
      <c r="X3561" s="4">
        <f>AVERAGE(Table1[Purchase Amount])</f>
        <v>129.48419400000012</v>
      </c>
    </row>
    <row r="3562" spans="1:24" ht="15" customHeight="1" x14ac:dyDescent="0.25">
      <c r="A3562">
        <v>3561</v>
      </c>
      <c r="B3562">
        <v>18</v>
      </c>
      <c r="C3562" t="s">
        <v>16</v>
      </c>
      <c r="D3562" t="s">
        <v>105</v>
      </c>
      <c r="E3562" t="s">
        <v>18</v>
      </c>
      <c r="F3562" s="2">
        <v>96</v>
      </c>
      <c r="G3562" t="s">
        <v>124</v>
      </c>
      <c r="H3562" t="s">
        <v>20</v>
      </c>
      <c r="I3562" t="s">
        <v>111</v>
      </c>
      <c r="J3562" t="s">
        <v>47</v>
      </c>
      <c r="K3562">
        <v>3.5</v>
      </c>
      <c r="L3562" t="s">
        <v>23</v>
      </c>
      <c r="M3562" t="s">
        <v>61</v>
      </c>
      <c r="N3562" t="s">
        <v>23</v>
      </c>
      <c r="O3562">
        <v>5</v>
      </c>
      <c r="P3562" t="s">
        <v>53</v>
      </c>
      <c r="Q3562" t="s">
        <v>49</v>
      </c>
      <c r="R3562" s="1">
        <v>0.1</v>
      </c>
      <c r="S3562">
        <f t="shared" si="220"/>
        <v>86.4</v>
      </c>
      <c r="T3562">
        <f>IFERROR(VLOOKUP(A3562,Table1[[Customer ID]:[Discount Amount]], 6, FALSE),"Not Found")</f>
        <v>96</v>
      </c>
      <c r="U3562" t="str">
        <f t="shared" si="221"/>
        <v>Credit Card</v>
      </c>
      <c r="V3562" s="4" t="str">
        <f t="shared" si="222"/>
        <v>Normal</v>
      </c>
      <c r="W3562" s="4" t="str">
        <f t="shared" si="223"/>
        <v>Good</v>
      </c>
      <c r="X3562" s="4">
        <f>AVERAGE(Table1[Purchase Amount])</f>
        <v>129.48419400000012</v>
      </c>
    </row>
    <row r="3563" spans="1:24" ht="15" customHeight="1" x14ac:dyDescent="0.25">
      <c r="A3563">
        <v>3562</v>
      </c>
      <c r="B3563">
        <v>63</v>
      </c>
      <c r="C3563" t="s">
        <v>16</v>
      </c>
      <c r="D3563" t="s">
        <v>140</v>
      </c>
      <c r="E3563" t="s">
        <v>98</v>
      </c>
      <c r="F3563" s="2">
        <v>29</v>
      </c>
      <c r="G3563" t="s">
        <v>134</v>
      </c>
      <c r="H3563" t="s">
        <v>45</v>
      </c>
      <c r="I3563" t="s">
        <v>40</v>
      </c>
      <c r="J3563" t="s">
        <v>33</v>
      </c>
      <c r="K3563">
        <v>3.4</v>
      </c>
      <c r="L3563" t="s">
        <v>23</v>
      </c>
      <c r="M3563" t="s">
        <v>24</v>
      </c>
      <c r="N3563" t="s">
        <v>23</v>
      </c>
      <c r="O3563">
        <v>39</v>
      </c>
      <c r="P3563" t="s">
        <v>53</v>
      </c>
      <c r="Q3563" t="s">
        <v>89</v>
      </c>
      <c r="R3563" s="1">
        <v>0.1</v>
      </c>
      <c r="S3563">
        <f t="shared" si="220"/>
        <v>26.1</v>
      </c>
      <c r="T3563">
        <f>IFERROR(VLOOKUP(A3563,Table1[[Customer ID]:[Discount Amount]], 6, FALSE),"Not Found")</f>
        <v>29</v>
      </c>
      <c r="U3563" t="str">
        <f t="shared" si="221"/>
        <v>Credit Card</v>
      </c>
      <c r="V3563" s="4" t="str">
        <f t="shared" si="222"/>
        <v>Normal</v>
      </c>
      <c r="W3563" s="4" t="str">
        <f t="shared" si="223"/>
        <v>Good</v>
      </c>
      <c r="X3563" s="4">
        <f>AVERAGE(Table1[Purchase Amount])</f>
        <v>129.48419400000012</v>
      </c>
    </row>
    <row r="3564" spans="1:24" ht="15" customHeight="1" x14ac:dyDescent="0.25">
      <c r="A3564">
        <v>3563</v>
      </c>
      <c r="B3564">
        <v>47</v>
      </c>
      <c r="C3564" t="s">
        <v>16</v>
      </c>
      <c r="D3564" t="s">
        <v>140</v>
      </c>
      <c r="E3564" t="s">
        <v>98</v>
      </c>
      <c r="F3564" s="2">
        <v>36</v>
      </c>
      <c r="G3564" t="s">
        <v>106</v>
      </c>
      <c r="H3564" t="s">
        <v>31</v>
      </c>
      <c r="I3564" t="s">
        <v>128</v>
      </c>
      <c r="J3564" t="s">
        <v>22</v>
      </c>
      <c r="K3564">
        <v>3.4</v>
      </c>
      <c r="L3564" t="s">
        <v>23</v>
      </c>
      <c r="M3564" t="s">
        <v>35</v>
      </c>
      <c r="N3564" t="s">
        <v>23</v>
      </c>
      <c r="O3564">
        <v>7</v>
      </c>
      <c r="P3564" t="s">
        <v>88</v>
      </c>
      <c r="Q3564" t="s">
        <v>26</v>
      </c>
      <c r="R3564" s="1">
        <v>0.1</v>
      </c>
      <c r="S3564">
        <f t="shared" si="220"/>
        <v>32.4</v>
      </c>
      <c r="T3564">
        <f>IFERROR(VLOOKUP(A3564,Table1[[Customer ID]:[Discount Amount]], 6, FALSE),"Not Found")</f>
        <v>36</v>
      </c>
      <c r="U3564" t="str">
        <f t="shared" si="221"/>
        <v>Bank Transfer</v>
      </c>
      <c r="V3564" s="4" t="str">
        <f t="shared" si="222"/>
        <v>Normal</v>
      </c>
      <c r="W3564" s="4" t="str">
        <f t="shared" si="223"/>
        <v>Good</v>
      </c>
      <c r="X3564" s="4">
        <f>AVERAGE(Table1[Purchase Amount])</f>
        <v>129.48419400000012</v>
      </c>
    </row>
    <row r="3565" spans="1:24" ht="15" customHeight="1" x14ac:dyDescent="0.25">
      <c r="A3565">
        <v>3564</v>
      </c>
      <c r="B3565">
        <v>43</v>
      </c>
      <c r="C3565" t="s">
        <v>16</v>
      </c>
      <c r="D3565" t="s">
        <v>118</v>
      </c>
      <c r="E3565" t="s">
        <v>18</v>
      </c>
      <c r="F3565" s="2">
        <v>90</v>
      </c>
      <c r="G3565" t="s">
        <v>94</v>
      </c>
      <c r="H3565" t="s">
        <v>31</v>
      </c>
      <c r="I3565" t="s">
        <v>93</v>
      </c>
      <c r="J3565" t="s">
        <v>57</v>
      </c>
      <c r="K3565">
        <v>4.9000000000000004</v>
      </c>
      <c r="L3565" t="s">
        <v>23</v>
      </c>
      <c r="M3565" t="s">
        <v>24</v>
      </c>
      <c r="N3565" t="s">
        <v>23</v>
      </c>
      <c r="O3565">
        <v>8</v>
      </c>
      <c r="P3565" t="s">
        <v>53</v>
      </c>
      <c r="Q3565" t="s">
        <v>63</v>
      </c>
      <c r="R3565" s="1">
        <v>0.1</v>
      </c>
      <c r="S3565">
        <f t="shared" si="220"/>
        <v>81</v>
      </c>
      <c r="T3565">
        <f>IFERROR(VLOOKUP(A3565,Table1[[Customer ID]:[Discount Amount]], 6, FALSE),"Not Found")</f>
        <v>90</v>
      </c>
      <c r="U3565" t="str">
        <f t="shared" si="221"/>
        <v>Credit Card</v>
      </c>
      <c r="V3565" s="4" t="str">
        <f t="shared" si="222"/>
        <v>Normal</v>
      </c>
      <c r="W3565" s="4" t="str">
        <f t="shared" si="223"/>
        <v>Good</v>
      </c>
      <c r="X3565" s="4">
        <f>AVERAGE(Table1[Purchase Amount])</f>
        <v>129.48419400000012</v>
      </c>
    </row>
    <row r="3566" spans="1:24" ht="15" customHeight="1" x14ac:dyDescent="0.25">
      <c r="A3566">
        <v>3565</v>
      </c>
      <c r="B3566">
        <v>60</v>
      </c>
      <c r="C3566" t="s">
        <v>16</v>
      </c>
      <c r="D3566" t="s">
        <v>43</v>
      </c>
      <c r="E3566" t="s">
        <v>29</v>
      </c>
      <c r="F3566" s="2">
        <v>38</v>
      </c>
      <c r="G3566" t="s">
        <v>44</v>
      </c>
      <c r="H3566" t="s">
        <v>55</v>
      </c>
      <c r="I3566" t="s">
        <v>60</v>
      </c>
      <c r="J3566" t="s">
        <v>57</v>
      </c>
      <c r="K3566">
        <v>4.4000000000000004</v>
      </c>
      <c r="L3566" t="s">
        <v>23</v>
      </c>
      <c r="M3566" t="s">
        <v>35</v>
      </c>
      <c r="N3566" t="s">
        <v>23</v>
      </c>
      <c r="O3566">
        <v>40</v>
      </c>
      <c r="P3566" t="s">
        <v>62</v>
      </c>
      <c r="Q3566" t="s">
        <v>49</v>
      </c>
      <c r="R3566" s="1">
        <v>0.1</v>
      </c>
      <c r="S3566">
        <f t="shared" si="220"/>
        <v>34.200000000000003</v>
      </c>
      <c r="T3566">
        <f>IFERROR(VLOOKUP(A3566,Table1[[Customer ID]:[Discount Amount]], 6, FALSE),"Not Found")</f>
        <v>38</v>
      </c>
      <c r="U3566" t="str">
        <f t="shared" si="221"/>
        <v>Venmo</v>
      </c>
      <c r="V3566" s="4" t="str">
        <f t="shared" si="222"/>
        <v>Normal</v>
      </c>
      <c r="W3566" s="4" t="str">
        <f t="shared" si="223"/>
        <v>Good</v>
      </c>
      <c r="X3566" s="4">
        <f>AVERAGE(Table1[Purchase Amount])</f>
        <v>129.48419400000012</v>
      </c>
    </row>
    <row r="3567" spans="1:24" ht="15" customHeight="1" x14ac:dyDescent="0.25">
      <c r="A3567">
        <v>3566</v>
      </c>
      <c r="B3567">
        <v>49</v>
      </c>
      <c r="C3567" t="s">
        <v>16</v>
      </c>
      <c r="D3567" t="s">
        <v>69</v>
      </c>
      <c r="E3567" t="s">
        <v>29</v>
      </c>
      <c r="F3567" s="2">
        <v>52</v>
      </c>
      <c r="G3567" t="s">
        <v>78</v>
      </c>
      <c r="H3567" t="s">
        <v>55</v>
      </c>
      <c r="I3567" t="s">
        <v>85</v>
      </c>
      <c r="J3567" t="s">
        <v>33</v>
      </c>
      <c r="K3567">
        <v>4.2</v>
      </c>
      <c r="L3567" t="s">
        <v>23</v>
      </c>
      <c r="M3567" t="s">
        <v>48</v>
      </c>
      <c r="N3567" t="s">
        <v>23</v>
      </c>
      <c r="O3567">
        <v>35</v>
      </c>
      <c r="P3567" t="s">
        <v>58</v>
      </c>
      <c r="Q3567" t="s">
        <v>42</v>
      </c>
      <c r="R3567" s="1">
        <v>0.1</v>
      </c>
      <c r="S3567">
        <f t="shared" si="220"/>
        <v>46.8</v>
      </c>
      <c r="T3567">
        <f>IFERROR(VLOOKUP(A3567,Table1[[Customer ID]:[Discount Amount]], 6, FALSE),"Not Found")</f>
        <v>52</v>
      </c>
      <c r="U3567" t="str">
        <f t="shared" si="221"/>
        <v>PayPal</v>
      </c>
      <c r="V3567" s="4" t="str">
        <f t="shared" si="222"/>
        <v>Normal</v>
      </c>
      <c r="W3567" s="4" t="str">
        <f t="shared" si="223"/>
        <v>Good</v>
      </c>
      <c r="X3567" s="4">
        <f>AVERAGE(Table1[Purchase Amount])</f>
        <v>129.48419400000012</v>
      </c>
    </row>
    <row r="3568" spans="1:24" ht="15" customHeight="1" x14ac:dyDescent="0.25">
      <c r="A3568">
        <v>3567</v>
      </c>
      <c r="B3568">
        <v>28</v>
      </c>
      <c r="C3568" t="s">
        <v>16</v>
      </c>
      <c r="D3568" t="s">
        <v>109</v>
      </c>
      <c r="E3568" t="s">
        <v>18</v>
      </c>
      <c r="F3568" s="2">
        <v>88</v>
      </c>
      <c r="G3568" t="s">
        <v>148</v>
      </c>
      <c r="H3568" t="s">
        <v>55</v>
      </c>
      <c r="I3568" t="s">
        <v>108</v>
      </c>
      <c r="J3568" t="s">
        <v>33</v>
      </c>
      <c r="K3568">
        <v>3.1</v>
      </c>
      <c r="L3568" t="s">
        <v>23</v>
      </c>
      <c r="M3568" t="s">
        <v>79</v>
      </c>
      <c r="N3568" t="s">
        <v>23</v>
      </c>
      <c r="O3568">
        <v>14</v>
      </c>
      <c r="P3568" t="s">
        <v>62</v>
      </c>
      <c r="Q3568" t="s">
        <v>42</v>
      </c>
      <c r="R3568" s="1">
        <v>0.1</v>
      </c>
      <c r="S3568">
        <f t="shared" si="220"/>
        <v>79.2</v>
      </c>
      <c r="T3568">
        <f>IFERROR(VLOOKUP(A3568,Table1[[Customer ID]:[Discount Amount]], 6, FALSE),"Not Found")</f>
        <v>88</v>
      </c>
      <c r="U3568" t="str">
        <f t="shared" si="221"/>
        <v>Venmo</v>
      </c>
      <c r="V3568" s="4" t="str">
        <f t="shared" si="222"/>
        <v>Normal</v>
      </c>
      <c r="W3568" s="4" t="str">
        <f t="shared" si="223"/>
        <v>Good</v>
      </c>
      <c r="X3568" s="4">
        <f>AVERAGE(Table1[Purchase Amount])</f>
        <v>129.48419400000012</v>
      </c>
    </row>
    <row r="3569" spans="1:24" ht="15" customHeight="1" x14ac:dyDescent="0.25">
      <c r="A3569">
        <v>3568</v>
      </c>
      <c r="B3569">
        <v>32</v>
      </c>
      <c r="C3569" t="s">
        <v>16</v>
      </c>
      <c r="D3569" t="s">
        <v>129</v>
      </c>
      <c r="E3569" t="s">
        <v>29</v>
      </c>
      <c r="F3569" s="2">
        <v>56</v>
      </c>
      <c r="G3569" t="s">
        <v>110</v>
      </c>
      <c r="H3569" t="s">
        <v>55</v>
      </c>
      <c r="I3569" t="s">
        <v>153</v>
      </c>
      <c r="J3569" t="s">
        <v>57</v>
      </c>
      <c r="K3569">
        <v>4</v>
      </c>
      <c r="L3569" t="s">
        <v>23</v>
      </c>
      <c r="M3569" t="s">
        <v>79</v>
      </c>
      <c r="N3569" t="s">
        <v>23</v>
      </c>
      <c r="O3569">
        <v>26</v>
      </c>
      <c r="P3569" t="s">
        <v>53</v>
      </c>
      <c r="Q3569" t="s">
        <v>42</v>
      </c>
      <c r="R3569" s="1">
        <v>0.1</v>
      </c>
      <c r="S3569">
        <f t="shared" si="220"/>
        <v>50.4</v>
      </c>
      <c r="T3569">
        <f>IFERROR(VLOOKUP(A3569,Table1[[Customer ID]:[Discount Amount]], 6, FALSE),"Not Found")</f>
        <v>56</v>
      </c>
      <c r="U3569" t="str">
        <f t="shared" si="221"/>
        <v>Credit Card</v>
      </c>
      <c r="V3569" s="4" t="str">
        <f t="shared" si="222"/>
        <v>Normal</v>
      </c>
      <c r="W3569" s="4" t="str">
        <f t="shared" si="223"/>
        <v>Good</v>
      </c>
      <c r="X3569" s="4">
        <f>AVERAGE(Table1[Purchase Amount])</f>
        <v>129.48419400000012</v>
      </c>
    </row>
    <row r="3570" spans="1:24" ht="15" customHeight="1" x14ac:dyDescent="0.25">
      <c r="A3570">
        <v>3569</v>
      </c>
      <c r="B3570">
        <v>29</v>
      </c>
      <c r="C3570" t="s">
        <v>16</v>
      </c>
      <c r="D3570" t="s">
        <v>121</v>
      </c>
      <c r="E3570" t="s">
        <v>98</v>
      </c>
      <c r="F3570" s="2">
        <v>71</v>
      </c>
      <c r="G3570" t="s">
        <v>100</v>
      </c>
      <c r="H3570" t="s">
        <v>31</v>
      </c>
      <c r="I3570" t="s">
        <v>66</v>
      </c>
      <c r="J3570" t="s">
        <v>33</v>
      </c>
      <c r="K3570">
        <v>4.8</v>
      </c>
      <c r="L3570" t="s">
        <v>23</v>
      </c>
      <c r="M3570" t="s">
        <v>79</v>
      </c>
      <c r="N3570" t="s">
        <v>23</v>
      </c>
      <c r="O3570">
        <v>14</v>
      </c>
      <c r="P3570" t="s">
        <v>58</v>
      </c>
      <c r="Q3570" t="s">
        <v>37</v>
      </c>
      <c r="R3570" s="1">
        <v>0.1</v>
      </c>
      <c r="S3570">
        <f t="shared" si="220"/>
        <v>63.9</v>
      </c>
      <c r="T3570">
        <f>IFERROR(VLOOKUP(A3570,Table1[[Customer ID]:[Discount Amount]], 6, FALSE),"Not Found")</f>
        <v>71</v>
      </c>
      <c r="U3570" t="str">
        <f t="shared" si="221"/>
        <v>PayPal</v>
      </c>
      <c r="V3570" s="4" t="str">
        <f t="shared" si="222"/>
        <v>Normal</v>
      </c>
      <c r="W3570" s="4" t="str">
        <f t="shared" si="223"/>
        <v>Good</v>
      </c>
      <c r="X3570" s="4">
        <f>AVERAGE(Table1[Purchase Amount])</f>
        <v>129.48419400000012</v>
      </c>
    </row>
    <row r="3571" spans="1:24" ht="15" customHeight="1" x14ac:dyDescent="0.25">
      <c r="A3571">
        <v>3570</v>
      </c>
      <c r="B3571">
        <v>35</v>
      </c>
      <c r="C3571" t="s">
        <v>16</v>
      </c>
      <c r="D3571" t="s">
        <v>121</v>
      </c>
      <c r="E3571" t="s">
        <v>98</v>
      </c>
      <c r="F3571" s="2">
        <v>94</v>
      </c>
      <c r="G3571" t="s">
        <v>148</v>
      </c>
      <c r="H3571" t="s">
        <v>31</v>
      </c>
      <c r="I3571" t="s">
        <v>21</v>
      </c>
      <c r="J3571" t="s">
        <v>47</v>
      </c>
      <c r="K3571">
        <v>3.3</v>
      </c>
      <c r="L3571" t="s">
        <v>23</v>
      </c>
      <c r="M3571" t="s">
        <v>61</v>
      </c>
      <c r="N3571" t="s">
        <v>23</v>
      </c>
      <c r="O3571">
        <v>9</v>
      </c>
      <c r="P3571" t="s">
        <v>88</v>
      </c>
      <c r="Q3571" t="s">
        <v>89</v>
      </c>
      <c r="R3571" s="1">
        <v>0.1</v>
      </c>
      <c r="S3571">
        <f t="shared" si="220"/>
        <v>84.6</v>
      </c>
      <c r="T3571">
        <f>IFERROR(VLOOKUP(A3571,Table1[[Customer ID]:[Discount Amount]], 6, FALSE),"Not Found")</f>
        <v>94</v>
      </c>
      <c r="U3571" t="str">
        <f t="shared" si="221"/>
        <v>Bank Transfer</v>
      </c>
      <c r="V3571" s="4" t="str">
        <f t="shared" si="222"/>
        <v>Normal</v>
      </c>
      <c r="W3571" s="4" t="str">
        <f t="shared" si="223"/>
        <v>Good</v>
      </c>
      <c r="X3571" s="4">
        <f>AVERAGE(Table1[Purchase Amount])</f>
        <v>129.48419400000012</v>
      </c>
    </row>
    <row r="3572" spans="1:24" ht="15" customHeight="1" x14ac:dyDescent="0.25">
      <c r="A3572">
        <v>3571</v>
      </c>
      <c r="B3572">
        <v>23</v>
      </c>
      <c r="C3572" t="s">
        <v>16</v>
      </c>
      <c r="D3572" t="s">
        <v>157</v>
      </c>
      <c r="E3572" t="s">
        <v>18</v>
      </c>
      <c r="F3572" s="2">
        <v>97</v>
      </c>
      <c r="G3572" t="s">
        <v>119</v>
      </c>
      <c r="H3572" t="s">
        <v>20</v>
      </c>
      <c r="I3572" t="s">
        <v>147</v>
      </c>
      <c r="J3572" t="s">
        <v>22</v>
      </c>
      <c r="K3572">
        <v>4.7</v>
      </c>
      <c r="L3572" t="s">
        <v>23</v>
      </c>
      <c r="M3572" t="s">
        <v>24</v>
      </c>
      <c r="N3572" t="s">
        <v>23</v>
      </c>
      <c r="O3572">
        <v>32</v>
      </c>
      <c r="P3572" t="s">
        <v>36</v>
      </c>
      <c r="Q3572" t="s">
        <v>49</v>
      </c>
      <c r="R3572" s="1">
        <v>0.1</v>
      </c>
      <c r="S3572">
        <f t="shared" si="220"/>
        <v>87.3</v>
      </c>
      <c r="T3572">
        <f>IFERROR(VLOOKUP(A3572,Table1[[Customer ID]:[Discount Amount]], 6, FALSE),"Not Found")</f>
        <v>97</v>
      </c>
      <c r="U3572" t="str">
        <f t="shared" si="221"/>
        <v>Debit Card</v>
      </c>
      <c r="V3572" s="4" t="str">
        <f t="shared" si="222"/>
        <v>Normal</v>
      </c>
      <c r="W3572" s="4" t="str">
        <f t="shared" si="223"/>
        <v>Good</v>
      </c>
      <c r="X3572" s="4">
        <f>AVERAGE(Table1[Purchase Amount])</f>
        <v>129.48419400000012</v>
      </c>
    </row>
    <row r="3573" spans="1:24" ht="15" customHeight="1" x14ac:dyDescent="0.25">
      <c r="A3573">
        <v>3572</v>
      </c>
      <c r="B3573">
        <v>70</v>
      </c>
      <c r="C3573" t="s">
        <v>16</v>
      </c>
      <c r="D3573" t="s">
        <v>122</v>
      </c>
      <c r="E3573" t="s">
        <v>18</v>
      </c>
      <c r="F3573" s="2">
        <v>27</v>
      </c>
      <c r="G3573" t="s">
        <v>86</v>
      </c>
      <c r="H3573" t="s">
        <v>31</v>
      </c>
      <c r="I3573" t="s">
        <v>32</v>
      </c>
      <c r="J3573" t="s">
        <v>57</v>
      </c>
      <c r="K3573">
        <v>3.2</v>
      </c>
      <c r="L3573" t="s">
        <v>23</v>
      </c>
      <c r="M3573" t="s">
        <v>24</v>
      </c>
      <c r="N3573" t="s">
        <v>23</v>
      </c>
      <c r="O3573">
        <v>15</v>
      </c>
      <c r="P3573" t="s">
        <v>88</v>
      </c>
      <c r="Q3573" t="s">
        <v>63</v>
      </c>
      <c r="R3573" s="1">
        <v>0.1</v>
      </c>
      <c r="S3573">
        <f t="shared" si="220"/>
        <v>24.3</v>
      </c>
      <c r="T3573">
        <f>IFERROR(VLOOKUP(A3573,Table1[[Customer ID]:[Discount Amount]], 6, FALSE),"Not Found")</f>
        <v>27</v>
      </c>
      <c r="U3573" t="str">
        <f t="shared" si="221"/>
        <v>Bank Transfer</v>
      </c>
      <c r="V3573" s="4" t="str">
        <f t="shared" si="222"/>
        <v>Normal</v>
      </c>
      <c r="W3573" s="4" t="str">
        <f t="shared" si="223"/>
        <v>Good</v>
      </c>
      <c r="X3573" s="4">
        <f>AVERAGE(Table1[Purchase Amount])</f>
        <v>129.48419400000012</v>
      </c>
    </row>
    <row r="3574" spans="1:24" ht="15" customHeight="1" x14ac:dyDescent="0.25">
      <c r="A3574">
        <v>3573</v>
      </c>
      <c r="B3574">
        <v>23</v>
      </c>
      <c r="C3574" t="s">
        <v>16</v>
      </c>
      <c r="D3574" t="s">
        <v>54</v>
      </c>
      <c r="E3574" t="s">
        <v>18</v>
      </c>
      <c r="F3574" s="2">
        <v>28</v>
      </c>
      <c r="G3574" t="s">
        <v>159</v>
      </c>
      <c r="H3574" t="s">
        <v>31</v>
      </c>
      <c r="I3574" t="s">
        <v>40</v>
      </c>
      <c r="J3574" t="s">
        <v>33</v>
      </c>
      <c r="K3574">
        <v>5</v>
      </c>
      <c r="L3574" t="s">
        <v>23</v>
      </c>
      <c r="M3574" t="s">
        <v>24</v>
      </c>
      <c r="N3574" t="s">
        <v>23</v>
      </c>
      <c r="O3574">
        <v>25</v>
      </c>
      <c r="P3574" t="s">
        <v>53</v>
      </c>
      <c r="Q3574" t="s">
        <v>42</v>
      </c>
      <c r="R3574" s="1">
        <v>0.1</v>
      </c>
      <c r="S3574">
        <f t="shared" si="220"/>
        <v>25.2</v>
      </c>
      <c r="T3574">
        <f>IFERROR(VLOOKUP(A3574,Table1[[Customer ID]:[Discount Amount]], 6, FALSE),"Not Found")</f>
        <v>28</v>
      </c>
      <c r="U3574" t="str">
        <f t="shared" si="221"/>
        <v>Credit Card</v>
      </c>
      <c r="V3574" s="4" t="str">
        <f t="shared" si="222"/>
        <v>Normal</v>
      </c>
      <c r="W3574" s="4" t="str">
        <f t="shared" si="223"/>
        <v>Good</v>
      </c>
      <c r="X3574" s="4">
        <f>AVERAGE(Table1[Purchase Amount])</f>
        <v>129.48419400000012</v>
      </c>
    </row>
    <row r="3575" spans="1:24" ht="15" customHeight="1" x14ac:dyDescent="0.25">
      <c r="A3575">
        <v>3574</v>
      </c>
      <c r="B3575">
        <v>43</v>
      </c>
      <c r="C3575" t="s">
        <v>16</v>
      </c>
      <c r="D3575" t="s">
        <v>109</v>
      </c>
      <c r="E3575" t="s">
        <v>18</v>
      </c>
      <c r="F3575" s="2">
        <v>67</v>
      </c>
      <c r="G3575" t="s">
        <v>115</v>
      </c>
      <c r="H3575" t="s">
        <v>45</v>
      </c>
      <c r="I3575" t="s">
        <v>125</v>
      </c>
      <c r="J3575" t="s">
        <v>47</v>
      </c>
      <c r="K3575">
        <v>4.9000000000000004</v>
      </c>
      <c r="L3575" t="s">
        <v>23</v>
      </c>
      <c r="M3575" t="s">
        <v>35</v>
      </c>
      <c r="N3575" t="s">
        <v>23</v>
      </c>
      <c r="O3575">
        <v>27</v>
      </c>
      <c r="P3575" t="s">
        <v>58</v>
      </c>
      <c r="Q3575" t="s">
        <v>42</v>
      </c>
      <c r="R3575" s="1">
        <v>0.1</v>
      </c>
      <c r="S3575">
        <f t="shared" si="220"/>
        <v>60.3</v>
      </c>
      <c r="T3575">
        <f>IFERROR(VLOOKUP(A3575,Table1[[Customer ID]:[Discount Amount]], 6, FALSE),"Not Found")</f>
        <v>67</v>
      </c>
      <c r="U3575" t="str">
        <f t="shared" si="221"/>
        <v>PayPal</v>
      </c>
      <c r="V3575" s="4" t="str">
        <f t="shared" si="222"/>
        <v>Normal</v>
      </c>
      <c r="W3575" s="4" t="str">
        <f t="shared" si="223"/>
        <v>Good</v>
      </c>
      <c r="X3575" s="4">
        <f>AVERAGE(Table1[Purchase Amount])</f>
        <v>129.48419400000012</v>
      </c>
    </row>
    <row r="3576" spans="1:24" ht="15" customHeight="1" x14ac:dyDescent="0.25">
      <c r="A3576">
        <v>3575</v>
      </c>
      <c r="B3576">
        <v>29</v>
      </c>
      <c r="C3576" t="s">
        <v>16</v>
      </c>
      <c r="D3576" t="s">
        <v>105</v>
      </c>
      <c r="E3576" t="s">
        <v>18</v>
      </c>
      <c r="F3576" s="2">
        <v>70</v>
      </c>
      <c r="G3576" t="s">
        <v>101</v>
      </c>
      <c r="H3576" t="s">
        <v>31</v>
      </c>
      <c r="I3576" t="s">
        <v>128</v>
      </c>
      <c r="J3576" t="s">
        <v>47</v>
      </c>
      <c r="K3576">
        <v>4.9000000000000004</v>
      </c>
      <c r="L3576" t="s">
        <v>23</v>
      </c>
      <c r="M3576" t="s">
        <v>61</v>
      </c>
      <c r="N3576" t="s">
        <v>23</v>
      </c>
      <c r="O3576">
        <v>39</v>
      </c>
      <c r="P3576" t="s">
        <v>88</v>
      </c>
      <c r="Q3576" t="s">
        <v>37</v>
      </c>
      <c r="R3576" s="1">
        <v>0.1</v>
      </c>
      <c r="S3576">
        <f t="shared" si="220"/>
        <v>63</v>
      </c>
      <c r="T3576">
        <f>IFERROR(VLOOKUP(A3576,Table1[[Customer ID]:[Discount Amount]], 6, FALSE),"Not Found")</f>
        <v>70</v>
      </c>
      <c r="U3576" t="str">
        <f t="shared" si="221"/>
        <v>Bank Transfer</v>
      </c>
      <c r="V3576" s="4" t="str">
        <f t="shared" si="222"/>
        <v>Normal</v>
      </c>
      <c r="W3576" s="4" t="str">
        <f t="shared" si="223"/>
        <v>Good</v>
      </c>
      <c r="X3576" s="4">
        <f>AVERAGE(Table1[Purchase Amount])</f>
        <v>129.48419400000012</v>
      </c>
    </row>
    <row r="3577" spans="1:24" ht="15" customHeight="1" x14ac:dyDescent="0.25">
      <c r="A3577">
        <v>3576</v>
      </c>
      <c r="B3577">
        <v>61</v>
      </c>
      <c r="C3577" t="s">
        <v>16</v>
      </c>
      <c r="D3577" t="s">
        <v>76</v>
      </c>
      <c r="E3577" t="s">
        <v>77</v>
      </c>
      <c r="F3577" s="2">
        <v>95</v>
      </c>
      <c r="G3577" t="s">
        <v>70</v>
      </c>
      <c r="H3577" t="s">
        <v>31</v>
      </c>
      <c r="I3577" t="s">
        <v>111</v>
      </c>
      <c r="J3577" t="s">
        <v>47</v>
      </c>
      <c r="K3577">
        <v>3.7</v>
      </c>
      <c r="L3577" t="s">
        <v>23</v>
      </c>
      <c r="M3577" t="s">
        <v>61</v>
      </c>
      <c r="N3577" t="s">
        <v>23</v>
      </c>
      <c r="O3577">
        <v>49</v>
      </c>
      <c r="P3577" t="s">
        <v>62</v>
      </c>
      <c r="Q3577" t="s">
        <v>68</v>
      </c>
      <c r="R3577" s="1">
        <v>0.1</v>
      </c>
      <c r="S3577">
        <f t="shared" si="220"/>
        <v>85.5</v>
      </c>
      <c r="T3577">
        <f>IFERROR(VLOOKUP(A3577,Table1[[Customer ID]:[Discount Amount]], 6, FALSE),"Not Found")</f>
        <v>95</v>
      </c>
      <c r="U3577" t="str">
        <f t="shared" si="221"/>
        <v>Venmo</v>
      </c>
      <c r="V3577" s="4" t="str">
        <f t="shared" si="222"/>
        <v>Normal</v>
      </c>
      <c r="W3577" s="4" t="str">
        <f t="shared" si="223"/>
        <v>Good</v>
      </c>
      <c r="X3577" s="4">
        <f>AVERAGE(Table1[Purchase Amount])</f>
        <v>129.48419400000012</v>
      </c>
    </row>
    <row r="3578" spans="1:24" ht="15" customHeight="1" x14ac:dyDescent="0.25">
      <c r="A3578">
        <v>3577</v>
      </c>
      <c r="B3578">
        <v>29</v>
      </c>
      <c r="C3578" t="s">
        <v>16</v>
      </c>
      <c r="D3578" t="s">
        <v>151</v>
      </c>
      <c r="E3578" t="s">
        <v>98</v>
      </c>
      <c r="F3578" s="2">
        <v>24</v>
      </c>
      <c r="G3578" t="s">
        <v>94</v>
      </c>
      <c r="H3578" t="s">
        <v>45</v>
      </c>
      <c r="I3578" t="s">
        <v>52</v>
      </c>
      <c r="J3578" t="s">
        <v>33</v>
      </c>
      <c r="K3578">
        <v>3</v>
      </c>
      <c r="L3578" t="s">
        <v>23</v>
      </c>
      <c r="M3578" t="s">
        <v>61</v>
      </c>
      <c r="N3578" t="s">
        <v>23</v>
      </c>
      <c r="O3578">
        <v>12</v>
      </c>
      <c r="P3578" t="s">
        <v>62</v>
      </c>
      <c r="Q3578" t="s">
        <v>68</v>
      </c>
      <c r="R3578" s="1">
        <v>0.1</v>
      </c>
      <c r="S3578">
        <f t="shared" si="220"/>
        <v>21.6</v>
      </c>
      <c r="T3578">
        <f>IFERROR(VLOOKUP(A3578,Table1[[Customer ID]:[Discount Amount]], 6, FALSE),"Not Found")</f>
        <v>24</v>
      </c>
      <c r="U3578" t="str">
        <f t="shared" si="221"/>
        <v>Venmo</v>
      </c>
      <c r="V3578" s="4" t="str">
        <f t="shared" si="222"/>
        <v>Normal</v>
      </c>
      <c r="W3578" s="4" t="str">
        <f t="shared" si="223"/>
        <v>Good</v>
      </c>
      <c r="X3578" s="4">
        <f>AVERAGE(Table1[Purchase Amount])</f>
        <v>129.48419400000012</v>
      </c>
    </row>
    <row r="3579" spans="1:24" ht="15" customHeight="1" x14ac:dyDescent="0.25">
      <c r="A3579">
        <v>3578</v>
      </c>
      <c r="B3579">
        <v>66</v>
      </c>
      <c r="C3579" t="s">
        <v>16</v>
      </c>
      <c r="D3579" t="s">
        <v>114</v>
      </c>
      <c r="E3579" t="s">
        <v>29</v>
      </c>
      <c r="F3579" s="2">
        <v>35</v>
      </c>
      <c r="G3579" t="s">
        <v>146</v>
      </c>
      <c r="H3579" t="s">
        <v>55</v>
      </c>
      <c r="I3579" t="s">
        <v>52</v>
      </c>
      <c r="J3579" t="s">
        <v>22</v>
      </c>
      <c r="K3579">
        <v>2.6</v>
      </c>
      <c r="L3579" t="s">
        <v>23</v>
      </c>
      <c r="M3579" t="s">
        <v>24</v>
      </c>
      <c r="N3579" t="s">
        <v>23</v>
      </c>
      <c r="O3579">
        <v>13</v>
      </c>
      <c r="P3579" t="s">
        <v>88</v>
      </c>
      <c r="Q3579" t="s">
        <v>26</v>
      </c>
      <c r="R3579" s="1">
        <v>0.1</v>
      </c>
      <c r="S3579">
        <f t="shared" si="220"/>
        <v>31.5</v>
      </c>
      <c r="T3579">
        <f>IFERROR(VLOOKUP(A3579,Table1[[Customer ID]:[Discount Amount]], 6, FALSE),"Not Found")</f>
        <v>35</v>
      </c>
      <c r="U3579" t="str">
        <f t="shared" si="221"/>
        <v>Bank Transfer</v>
      </c>
      <c r="V3579" s="4" t="str">
        <f t="shared" si="222"/>
        <v>Normal</v>
      </c>
      <c r="W3579" s="4" t="str">
        <f t="shared" si="223"/>
        <v>Poor</v>
      </c>
      <c r="X3579" s="4">
        <f>AVERAGE(Table1[Purchase Amount])</f>
        <v>129.48419400000012</v>
      </c>
    </row>
    <row r="3580" spans="1:24" ht="15" customHeight="1" x14ac:dyDescent="0.25">
      <c r="A3580">
        <v>3579</v>
      </c>
      <c r="B3580">
        <v>46</v>
      </c>
      <c r="C3580" t="s">
        <v>16</v>
      </c>
      <c r="D3580" t="s">
        <v>72</v>
      </c>
      <c r="E3580" t="s">
        <v>98</v>
      </c>
      <c r="F3580" s="2">
        <v>22</v>
      </c>
      <c r="G3580" t="s">
        <v>160</v>
      </c>
      <c r="H3580" t="s">
        <v>45</v>
      </c>
      <c r="I3580" t="s">
        <v>21</v>
      </c>
      <c r="J3580" t="s">
        <v>22</v>
      </c>
      <c r="K3580">
        <v>2.6</v>
      </c>
      <c r="L3580" t="s">
        <v>23</v>
      </c>
      <c r="M3580" t="s">
        <v>24</v>
      </c>
      <c r="N3580" t="s">
        <v>23</v>
      </c>
      <c r="O3580">
        <v>22</v>
      </c>
      <c r="P3580" t="s">
        <v>88</v>
      </c>
      <c r="Q3580" t="s">
        <v>37</v>
      </c>
      <c r="R3580" s="1">
        <v>0.1</v>
      </c>
      <c r="S3580">
        <f t="shared" si="220"/>
        <v>19.8</v>
      </c>
      <c r="T3580">
        <f>IFERROR(VLOOKUP(A3580,Table1[[Customer ID]:[Discount Amount]], 6, FALSE),"Not Found")</f>
        <v>22</v>
      </c>
      <c r="U3580" t="str">
        <f t="shared" si="221"/>
        <v>Bank Transfer</v>
      </c>
      <c r="V3580" s="4" t="str">
        <f t="shared" si="222"/>
        <v>Normal</v>
      </c>
      <c r="W3580" s="4" t="str">
        <f t="shared" si="223"/>
        <v>Poor</v>
      </c>
      <c r="X3580" s="4">
        <f>AVERAGE(Table1[Purchase Amount])</f>
        <v>129.48419400000012</v>
      </c>
    </row>
    <row r="3581" spans="1:24" ht="15" customHeight="1" x14ac:dyDescent="0.25">
      <c r="A3581">
        <v>3580</v>
      </c>
      <c r="B3581">
        <v>34</v>
      </c>
      <c r="C3581" t="s">
        <v>16</v>
      </c>
      <c r="D3581" t="s">
        <v>129</v>
      </c>
      <c r="E3581" t="s">
        <v>29</v>
      </c>
      <c r="F3581" s="2">
        <v>66</v>
      </c>
      <c r="G3581" t="s">
        <v>150</v>
      </c>
      <c r="H3581" t="s">
        <v>45</v>
      </c>
      <c r="I3581" t="s">
        <v>21</v>
      </c>
      <c r="J3581" t="s">
        <v>47</v>
      </c>
      <c r="K3581">
        <v>4.8</v>
      </c>
      <c r="L3581" t="s">
        <v>23</v>
      </c>
      <c r="M3581" t="s">
        <v>24</v>
      </c>
      <c r="N3581" t="s">
        <v>23</v>
      </c>
      <c r="O3581">
        <v>19</v>
      </c>
      <c r="P3581" t="s">
        <v>53</v>
      </c>
      <c r="Q3581" t="s">
        <v>63</v>
      </c>
      <c r="R3581" s="1">
        <v>0.1</v>
      </c>
      <c r="S3581">
        <f t="shared" si="220"/>
        <v>59.4</v>
      </c>
      <c r="T3581">
        <f>IFERROR(VLOOKUP(A3581,Table1[[Customer ID]:[Discount Amount]], 6, FALSE),"Not Found")</f>
        <v>66</v>
      </c>
      <c r="U3581" t="str">
        <f t="shared" si="221"/>
        <v>Credit Card</v>
      </c>
      <c r="V3581" s="4" t="str">
        <f t="shared" si="222"/>
        <v>Normal</v>
      </c>
      <c r="W3581" s="4" t="str">
        <f t="shared" si="223"/>
        <v>Good</v>
      </c>
      <c r="X3581" s="4">
        <f>AVERAGE(Table1[Purchase Amount])</f>
        <v>129.48419400000012</v>
      </c>
    </row>
    <row r="3582" spans="1:24" ht="15" customHeight="1" x14ac:dyDescent="0.25">
      <c r="A3582">
        <v>3581</v>
      </c>
      <c r="B3582">
        <v>51</v>
      </c>
      <c r="C3582" t="s">
        <v>16</v>
      </c>
      <c r="D3582" t="s">
        <v>118</v>
      </c>
      <c r="E3582" t="s">
        <v>18</v>
      </c>
      <c r="F3582" s="2">
        <v>83</v>
      </c>
      <c r="G3582" t="s">
        <v>132</v>
      </c>
      <c r="H3582" t="s">
        <v>31</v>
      </c>
      <c r="I3582" t="s">
        <v>87</v>
      </c>
      <c r="J3582" t="s">
        <v>57</v>
      </c>
      <c r="K3582">
        <v>3.2</v>
      </c>
      <c r="L3582" t="s">
        <v>23</v>
      </c>
      <c r="M3582" t="s">
        <v>41</v>
      </c>
      <c r="N3582" t="s">
        <v>23</v>
      </c>
      <c r="O3582">
        <v>3</v>
      </c>
      <c r="P3582" t="s">
        <v>25</v>
      </c>
      <c r="Q3582" t="s">
        <v>68</v>
      </c>
      <c r="R3582" s="1">
        <v>0.1</v>
      </c>
      <c r="S3582">
        <f t="shared" si="220"/>
        <v>74.7</v>
      </c>
      <c r="T3582">
        <f>IFERROR(VLOOKUP(A3582,Table1[[Customer ID]:[Discount Amount]], 6, FALSE),"Not Found")</f>
        <v>83</v>
      </c>
      <c r="U3582" t="str">
        <f t="shared" si="221"/>
        <v>Cash</v>
      </c>
      <c r="V3582" s="4" t="str">
        <f t="shared" si="222"/>
        <v>Normal</v>
      </c>
      <c r="W3582" s="4" t="str">
        <f t="shared" si="223"/>
        <v>Good</v>
      </c>
      <c r="X3582" s="4">
        <f>AVERAGE(Table1[Purchase Amount])</f>
        <v>129.48419400000012</v>
      </c>
    </row>
    <row r="3583" spans="1:24" ht="15" customHeight="1" x14ac:dyDescent="0.25">
      <c r="A3583">
        <v>3582</v>
      </c>
      <c r="B3583">
        <v>26</v>
      </c>
      <c r="C3583" t="s">
        <v>16</v>
      </c>
      <c r="D3583" t="s">
        <v>157</v>
      </c>
      <c r="E3583" t="s">
        <v>18</v>
      </c>
      <c r="F3583" s="2">
        <v>95</v>
      </c>
      <c r="G3583" t="s">
        <v>160</v>
      </c>
      <c r="H3583" t="s">
        <v>31</v>
      </c>
      <c r="I3583" t="s">
        <v>108</v>
      </c>
      <c r="J3583" t="s">
        <v>47</v>
      </c>
      <c r="K3583">
        <v>4.9000000000000004</v>
      </c>
      <c r="L3583" t="s">
        <v>23</v>
      </c>
      <c r="M3583" t="s">
        <v>79</v>
      </c>
      <c r="N3583" t="s">
        <v>23</v>
      </c>
      <c r="O3583">
        <v>50</v>
      </c>
      <c r="P3583" t="s">
        <v>53</v>
      </c>
      <c r="Q3583" t="s">
        <v>26</v>
      </c>
      <c r="R3583" s="1">
        <v>0.1</v>
      </c>
      <c r="S3583">
        <f t="shared" si="220"/>
        <v>85.5</v>
      </c>
      <c r="T3583">
        <f>IFERROR(VLOOKUP(A3583,Table1[[Customer ID]:[Discount Amount]], 6, FALSE),"Not Found")</f>
        <v>95</v>
      </c>
      <c r="U3583" t="str">
        <f t="shared" si="221"/>
        <v>Credit Card</v>
      </c>
      <c r="V3583" s="4" t="str">
        <f t="shared" si="222"/>
        <v>Normal</v>
      </c>
      <c r="W3583" s="4" t="str">
        <f t="shared" si="223"/>
        <v>Good</v>
      </c>
      <c r="X3583" s="4">
        <f>AVERAGE(Table1[Purchase Amount])</f>
        <v>129.48419400000012</v>
      </c>
    </row>
    <row r="3584" spans="1:24" ht="15" customHeight="1" x14ac:dyDescent="0.25">
      <c r="A3584">
        <v>3583</v>
      </c>
      <c r="B3584">
        <v>23</v>
      </c>
      <c r="C3584" t="s">
        <v>16</v>
      </c>
      <c r="D3584" t="s">
        <v>54</v>
      </c>
      <c r="E3584" t="s">
        <v>18</v>
      </c>
      <c r="F3584" s="2">
        <v>41</v>
      </c>
      <c r="G3584" t="s">
        <v>19</v>
      </c>
      <c r="H3584" t="s">
        <v>55</v>
      </c>
      <c r="I3584" t="s">
        <v>56</v>
      </c>
      <c r="J3584" t="s">
        <v>57</v>
      </c>
      <c r="K3584">
        <v>3.4</v>
      </c>
      <c r="L3584" t="s">
        <v>23</v>
      </c>
      <c r="M3584" t="s">
        <v>41</v>
      </c>
      <c r="N3584" t="s">
        <v>23</v>
      </c>
      <c r="O3584">
        <v>15</v>
      </c>
      <c r="P3584" t="s">
        <v>58</v>
      </c>
      <c r="Q3584" t="s">
        <v>49</v>
      </c>
      <c r="R3584" s="1">
        <v>0.1</v>
      </c>
      <c r="S3584">
        <f t="shared" si="220"/>
        <v>36.9</v>
      </c>
      <c r="T3584">
        <f>IFERROR(VLOOKUP(A3584,Table1[[Customer ID]:[Discount Amount]], 6, FALSE),"Not Found")</f>
        <v>41</v>
      </c>
      <c r="U3584" t="str">
        <f t="shared" si="221"/>
        <v>PayPal</v>
      </c>
      <c r="V3584" s="4" t="str">
        <f t="shared" si="222"/>
        <v>Normal</v>
      </c>
      <c r="W3584" s="4" t="str">
        <f t="shared" si="223"/>
        <v>Good</v>
      </c>
      <c r="X3584" s="4">
        <f>AVERAGE(Table1[Purchase Amount])</f>
        <v>129.48419400000012</v>
      </c>
    </row>
    <row r="3585" spans="1:24" ht="15" customHeight="1" x14ac:dyDescent="0.25">
      <c r="A3585">
        <v>3584</v>
      </c>
      <c r="B3585">
        <v>52</v>
      </c>
      <c r="C3585" t="s">
        <v>16</v>
      </c>
      <c r="D3585" t="s">
        <v>118</v>
      </c>
      <c r="E3585" t="s">
        <v>18</v>
      </c>
      <c r="F3585" s="2">
        <v>77</v>
      </c>
      <c r="G3585" t="s">
        <v>150</v>
      </c>
      <c r="H3585" t="s">
        <v>45</v>
      </c>
      <c r="I3585" t="s">
        <v>60</v>
      </c>
      <c r="J3585" t="s">
        <v>57</v>
      </c>
      <c r="K3585">
        <v>2.7</v>
      </c>
      <c r="L3585" t="s">
        <v>23</v>
      </c>
      <c r="M3585" t="s">
        <v>48</v>
      </c>
      <c r="N3585" t="s">
        <v>23</v>
      </c>
      <c r="O3585">
        <v>44</v>
      </c>
      <c r="P3585" t="s">
        <v>53</v>
      </c>
      <c r="Q3585" t="s">
        <v>63</v>
      </c>
      <c r="R3585" s="1">
        <v>0.1</v>
      </c>
      <c r="S3585">
        <f t="shared" si="220"/>
        <v>69.3</v>
      </c>
      <c r="T3585">
        <f>IFERROR(VLOOKUP(A3585,Table1[[Customer ID]:[Discount Amount]], 6, FALSE),"Not Found")</f>
        <v>77</v>
      </c>
      <c r="U3585" t="str">
        <f t="shared" si="221"/>
        <v>Credit Card</v>
      </c>
      <c r="V3585" s="4" t="str">
        <f t="shared" si="222"/>
        <v>Normal</v>
      </c>
      <c r="W3585" s="4" t="str">
        <f t="shared" si="223"/>
        <v>Poor</v>
      </c>
      <c r="X3585" s="4">
        <f>AVERAGE(Table1[Purchase Amount])</f>
        <v>129.48419400000012</v>
      </c>
    </row>
    <row r="3586" spans="1:24" ht="15" customHeight="1" x14ac:dyDescent="0.25">
      <c r="A3586">
        <v>3585</v>
      </c>
      <c r="B3586">
        <v>39</v>
      </c>
      <c r="C3586" t="s">
        <v>16</v>
      </c>
      <c r="D3586" t="s">
        <v>140</v>
      </c>
      <c r="E3586" t="s">
        <v>98</v>
      </c>
      <c r="F3586" s="2">
        <v>52</v>
      </c>
      <c r="G3586" t="s">
        <v>67</v>
      </c>
      <c r="H3586" t="s">
        <v>45</v>
      </c>
      <c r="I3586" t="s">
        <v>91</v>
      </c>
      <c r="J3586" t="s">
        <v>47</v>
      </c>
      <c r="K3586">
        <v>4.8</v>
      </c>
      <c r="L3586" t="s">
        <v>23</v>
      </c>
      <c r="M3586" t="s">
        <v>61</v>
      </c>
      <c r="N3586" t="s">
        <v>23</v>
      </c>
      <c r="O3586">
        <v>48</v>
      </c>
      <c r="P3586" t="s">
        <v>36</v>
      </c>
      <c r="Q3586" t="s">
        <v>42</v>
      </c>
      <c r="R3586" s="1">
        <v>0.1</v>
      </c>
      <c r="S3586">
        <f t="shared" ref="S3586:S3649" si="224">F3586-(F3586*R3586)</f>
        <v>46.8</v>
      </c>
      <c r="T3586">
        <f>IFERROR(VLOOKUP(A3586,Table1[[Customer ID]:[Discount Amount]], 6, FALSE),"Not Found")</f>
        <v>52</v>
      </c>
      <c r="U3586" t="str">
        <f t="shared" ref="U3586:U3649" si="225">INDEX(P:P, MATCH(A3586, A:A, 0))</f>
        <v>Debit Card</v>
      </c>
      <c r="V3586" s="4" t="str">
        <f t="shared" ref="V3586:V3649" si="226">IF(AND(F3586&gt;1000,K3586&gt;=4),"Best Customer","Normal")</f>
        <v>Normal</v>
      </c>
      <c r="W3586" s="4" t="str">
        <f t="shared" ref="W3586:W3649" si="227">IF(K3586&gt;=3,"Good","Poor")</f>
        <v>Good</v>
      </c>
      <c r="X3586" s="4">
        <f>AVERAGE(Table1[Purchase Amount])</f>
        <v>129.48419400000012</v>
      </c>
    </row>
    <row r="3587" spans="1:24" ht="15" customHeight="1" x14ac:dyDescent="0.25">
      <c r="A3587">
        <v>3586</v>
      </c>
      <c r="B3587">
        <v>39</v>
      </c>
      <c r="C3587" t="s">
        <v>16</v>
      </c>
      <c r="D3587" t="s">
        <v>43</v>
      </c>
      <c r="E3587" t="s">
        <v>29</v>
      </c>
      <c r="F3587" s="2">
        <v>41</v>
      </c>
      <c r="G3587" t="s">
        <v>101</v>
      </c>
      <c r="H3587" t="s">
        <v>20</v>
      </c>
      <c r="I3587" t="s">
        <v>85</v>
      </c>
      <c r="J3587" t="s">
        <v>22</v>
      </c>
      <c r="K3587">
        <v>4.0999999999999996</v>
      </c>
      <c r="L3587" t="s">
        <v>23</v>
      </c>
      <c r="M3587" t="s">
        <v>24</v>
      </c>
      <c r="N3587" t="s">
        <v>23</v>
      </c>
      <c r="O3587">
        <v>4</v>
      </c>
      <c r="P3587" t="s">
        <v>62</v>
      </c>
      <c r="Q3587" t="s">
        <v>68</v>
      </c>
      <c r="R3587" s="1">
        <v>0.1</v>
      </c>
      <c r="S3587">
        <f t="shared" si="224"/>
        <v>36.9</v>
      </c>
      <c r="T3587">
        <f>IFERROR(VLOOKUP(A3587,Table1[[Customer ID]:[Discount Amount]], 6, FALSE),"Not Found")</f>
        <v>41</v>
      </c>
      <c r="U3587" t="str">
        <f t="shared" si="225"/>
        <v>Venmo</v>
      </c>
      <c r="V3587" s="4" t="str">
        <f t="shared" si="226"/>
        <v>Normal</v>
      </c>
      <c r="W3587" s="4" t="str">
        <f t="shared" si="227"/>
        <v>Good</v>
      </c>
      <c r="X3587" s="4">
        <f>AVERAGE(Table1[Purchase Amount])</f>
        <v>129.48419400000012</v>
      </c>
    </row>
    <row r="3588" spans="1:24" ht="15" customHeight="1" x14ac:dyDescent="0.25">
      <c r="A3588">
        <v>3587</v>
      </c>
      <c r="B3588">
        <v>33</v>
      </c>
      <c r="C3588" t="s">
        <v>16</v>
      </c>
      <c r="D3588" t="s">
        <v>83</v>
      </c>
      <c r="E3588" t="s">
        <v>18</v>
      </c>
      <c r="F3588" s="2">
        <v>28</v>
      </c>
      <c r="G3588" t="s">
        <v>161</v>
      </c>
      <c r="H3588" t="s">
        <v>31</v>
      </c>
      <c r="I3588" t="s">
        <v>52</v>
      </c>
      <c r="J3588" t="s">
        <v>22</v>
      </c>
      <c r="K3588">
        <v>4.5999999999999996</v>
      </c>
      <c r="L3588" t="s">
        <v>23</v>
      </c>
      <c r="M3588" t="s">
        <v>48</v>
      </c>
      <c r="N3588" t="s">
        <v>23</v>
      </c>
      <c r="O3588">
        <v>12</v>
      </c>
      <c r="P3588" t="s">
        <v>58</v>
      </c>
      <c r="Q3588" t="s">
        <v>68</v>
      </c>
      <c r="R3588" s="1">
        <v>0.1</v>
      </c>
      <c r="S3588">
        <f t="shared" si="224"/>
        <v>25.2</v>
      </c>
      <c r="T3588">
        <f>IFERROR(VLOOKUP(A3588,Table1[[Customer ID]:[Discount Amount]], 6, FALSE),"Not Found")</f>
        <v>28</v>
      </c>
      <c r="U3588" t="str">
        <f t="shared" si="225"/>
        <v>PayPal</v>
      </c>
      <c r="V3588" s="4" t="str">
        <f t="shared" si="226"/>
        <v>Normal</v>
      </c>
      <c r="W3588" s="4" t="str">
        <f t="shared" si="227"/>
        <v>Good</v>
      </c>
      <c r="X3588" s="4">
        <f>AVERAGE(Table1[Purchase Amount])</f>
        <v>129.48419400000012</v>
      </c>
    </row>
    <row r="3589" spans="1:24" ht="15" customHeight="1" x14ac:dyDescent="0.25">
      <c r="A3589">
        <v>3588</v>
      </c>
      <c r="B3589">
        <v>33</v>
      </c>
      <c r="C3589" t="s">
        <v>16</v>
      </c>
      <c r="D3589" t="s">
        <v>127</v>
      </c>
      <c r="E3589" t="s">
        <v>18</v>
      </c>
      <c r="F3589" s="2">
        <v>90</v>
      </c>
      <c r="G3589" t="s">
        <v>138</v>
      </c>
      <c r="H3589" t="s">
        <v>55</v>
      </c>
      <c r="I3589" t="s">
        <v>111</v>
      </c>
      <c r="J3589" t="s">
        <v>57</v>
      </c>
      <c r="K3589">
        <v>4.4000000000000004</v>
      </c>
      <c r="L3589" t="s">
        <v>23</v>
      </c>
      <c r="M3589" t="s">
        <v>24</v>
      </c>
      <c r="N3589" t="s">
        <v>23</v>
      </c>
      <c r="O3589">
        <v>33</v>
      </c>
      <c r="P3589" t="s">
        <v>36</v>
      </c>
      <c r="Q3589" t="s">
        <v>49</v>
      </c>
      <c r="R3589" s="1">
        <v>0.1</v>
      </c>
      <c r="S3589">
        <f t="shared" si="224"/>
        <v>81</v>
      </c>
      <c r="T3589">
        <f>IFERROR(VLOOKUP(A3589,Table1[[Customer ID]:[Discount Amount]], 6, FALSE),"Not Found")</f>
        <v>90</v>
      </c>
      <c r="U3589" t="str">
        <f t="shared" si="225"/>
        <v>Debit Card</v>
      </c>
      <c r="V3589" s="4" t="str">
        <f t="shared" si="226"/>
        <v>Normal</v>
      </c>
      <c r="W3589" s="4" t="str">
        <f t="shared" si="227"/>
        <v>Good</v>
      </c>
      <c r="X3589" s="4">
        <f>AVERAGE(Table1[Purchase Amount])</f>
        <v>129.48419400000012</v>
      </c>
    </row>
    <row r="3590" spans="1:24" ht="15" customHeight="1" x14ac:dyDescent="0.25">
      <c r="A3590">
        <v>3589</v>
      </c>
      <c r="B3590">
        <v>23</v>
      </c>
      <c r="C3590" t="s">
        <v>16</v>
      </c>
      <c r="D3590" t="s">
        <v>28</v>
      </c>
      <c r="E3590" t="s">
        <v>29</v>
      </c>
      <c r="F3590" s="2">
        <v>55</v>
      </c>
      <c r="G3590" t="s">
        <v>113</v>
      </c>
      <c r="H3590" t="s">
        <v>31</v>
      </c>
      <c r="I3590" t="s">
        <v>87</v>
      </c>
      <c r="J3590" t="s">
        <v>33</v>
      </c>
      <c r="K3590">
        <v>3.5</v>
      </c>
      <c r="L3590" t="s">
        <v>23</v>
      </c>
      <c r="M3590" t="s">
        <v>41</v>
      </c>
      <c r="N3590" t="s">
        <v>23</v>
      </c>
      <c r="O3590">
        <v>40</v>
      </c>
      <c r="P3590" t="s">
        <v>25</v>
      </c>
      <c r="Q3590" t="s">
        <v>49</v>
      </c>
      <c r="R3590" s="1">
        <v>0.1</v>
      </c>
      <c r="S3590">
        <f t="shared" si="224"/>
        <v>49.5</v>
      </c>
      <c r="T3590">
        <f>IFERROR(VLOOKUP(A3590,Table1[[Customer ID]:[Discount Amount]], 6, FALSE),"Not Found")</f>
        <v>55</v>
      </c>
      <c r="U3590" t="str">
        <f t="shared" si="225"/>
        <v>Cash</v>
      </c>
      <c r="V3590" s="4" t="str">
        <f t="shared" si="226"/>
        <v>Normal</v>
      </c>
      <c r="W3590" s="4" t="str">
        <f t="shared" si="227"/>
        <v>Good</v>
      </c>
      <c r="X3590" s="4">
        <f>AVERAGE(Table1[Purchase Amount])</f>
        <v>129.48419400000012</v>
      </c>
    </row>
    <row r="3591" spans="1:24" ht="15" customHeight="1" x14ac:dyDescent="0.25">
      <c r="A3591">
        <v>3590</v>
      </c>
      <c r="B3591">
        <v>31</v>
      </c>
      <c r="C3591" t="s">
        <v>16</v>
      </c>
      <c r="D3591" t="s">
        <v>114</v>
      </c>
      <c r="E3591" t="s">
        <v>29</v>
      </c>
      <c r="F3591" s="2">
        <v>73</v>
      </c>
      <c r="G3591" t="s">
        <v>132</v>
      </c>
      <c r="H3591" t="s">
        <v>31</v>
      </c>
      <c r="I3591" t="s">
        <v>74</v>
      </c>
      <c r="J3591" t="s">
        <v>33</v>
      </c>
      <c r="K3591">
        <v>4.8</v>
      </c>
      <c r="L3591" t="s">
        <v>23</v>
      </c>
      <c r="M3591" t="s">
        <v>79</v>
      </c>
      <c r="N3591" t="s">
        <v>23</v>
      </c>
      <c r="O3591">
        <v>38</v>
      </c>
      <c r="P3591" t="s">
        <v>25</v>
      </c>
      <c r="Q3591" t="s">
        <v>63</v>
      </c>
      <c r="R3591" s="1">
        <v>0.1</v>
      </c>
      <c r="S3591">
        <f t="shared" si="224"/>
        <v>65.7</v>
      </c>
      <c r="T3591">
        <f>IFERROR(VLOOKUP(A3591,Table1[[Customer ID]:[Discount Amount]], 6, FALSE),"Not Found")</f>
        <v>73</v>
      </c>
      <c r="U3591" t="str">
        <f t="shared" si="225"/>
        <v>Cash</v>
      </c>
      <c r="V3591" s="4" t="str">
        <f t="shared" si="226"/>
        <v>Normal</v>
      </c>
      <c r="W3591" s="4" t="str">
        <f t="shared" si="227"/>
        <v>Good</v>
      </c>
      <c r="X3591" s="4">
        <f>AVERAGE(Table1[Purchase Amount])</f>
        <v>129.48419400000012</v>
      </c>
    </row>
    <row r="3592" spans="1:24" ht="15" customHeight="1" x14ac:dyDescent="0.25">
      <c r="A3592">
        <v>3591</v>
      </c>
      <c r="B3592">
        <v>27</v>
      </c>
      <c r="C3592" t="s">
        <v>16</v>
      </c>
      <c r="D3592" t="s">
        <v>157</v>
      </c>
      <c r="E3592" t="s">
        <v>18</v>
      </c>
      <c r="F3592" s="2">
        <v>87</v>
      </c>
      <c r="G3592" t="s">
        <v>130</v>
      </c>
      <c r="H3592" t="s">
        <v>31</v>
      </c>
      <c r="I3592" t="s">
        <v>85</v>
      </c>
      <c r="J3592" t="s">
        <v>47</v>
      </c>
      <c r="K3592">
        <v>2.9</v>
      </c>
      <c r="L3592" t="s">
        <v>23</v>
      </c>
      <c r="M3592" t="s">
        <v>41</v>
      </c>
      <c r="N3592" t="s">
        <v>23</v>
      </c>
      <c r="O3592">
        <v>19</v>
      </c>
      <c r="P3592" t="s">
        <v>62</v>
      </c>
      <c r="Q3592" t="s">
        <v>63</v>
      </c>
      <c r="R3592" s="1">
        <v>0.1</v>
      </c>
      <c r="S3592">
        <f t="shared" si="224"/>
        <v>78.3</v>
      </c>
      <c r="T3592">
        <f>IFERROR(VLOOKUP(A3592,Table1[[Customer ID]:[Discount Amount]], 6, FALSE),"Not Found")</f>
        <v>87</v>
      </c>
      <c r="U3592" t="str">
        <f t="shared" si="225"/>
        <v>Venmo</v>
      </c>
      <c r="V3592" s="4" t="str">
        <f t="shared" si="226"/>
        <v>Normal</v>
      </c>
      <c r="W3592" s="4" t="str">
        <f t="shared" si="227"/>
        <v>Poor</v>
      </c>
      <c r="X3592" s="4">
        <f>AVERAGE(Table1[Purchase Amount])</f>
        <v>129.48419400000012</v>
      </c>
    </row>
    <row r="3593" spans="1:24" ht="15" customHeight="1" x14ac:dyDescent="0.25">
      <c r="A3593">
        <v>3592</v>
      </c>
      <c r="B3593">
        <v>48</v>
      </c>
      <c r="C3593" t="s">
        <v>16</v>
      </c>
      <c r="D3593" t="s">
        <v>96</v>
      </c>
      <c r="E3593" t="s">
        <v>77</v>
      </c>
      <c r="F3593" s="2">
        <v>89</v>
      </c>
      <c r="G3593" t="s">
        <v>130</v>
      </c>
      <c r="H3593" t="s">
        <v>31</v>
      </c>
      <c r="I3593" t="s">
        <v>133</v>
      </c>
      <c r="J3593" t="s">
        <v>22</v>
      </c>
      <c r="K3593">
        <v>3.2</v>
      </c>
      <c r="L3593" t="s">
        <v>23</v>
      </c>
      <c r="M3593" t="s">
        <v>41</v>
      </c>
      <c r="N3593" t="s">
        <v>23</v>
      </c>
      <c r="O3593">
        <v>38</v>
      </c>
      <c r="P3593" t="s">
        <v>88</v>
      </c>
      <c r="Q3593" t="s">
        <v>37</v>
      </c>
      <c r="R3593" s="1">
        <v>0.1</v>
      </c>
      <c r="S3593">
        <f t="shared" si="224"/>
        <v>80.099999999999994</v>
      </c>
      <c r="T3593">
        <f>IFERROR(VLOOKUP(A3593,Table1[[Customer ID]:[Discount Amount]], 6, FALSE),"Not Found")</f>
        <v>89</v>
      </c>
      <c r="U3593" t="str">
        <f t="shared" si="225"/>
        <v>Bank Transfer</v>
      </c>
      <c r="V3593" s="4" t="str">
        <f t="shared" si="226"/>
        <v>Normal</v>
      </c>
      <c r="W3593" s="4" t="str">
        <f t="shared" si="227"/>
        <v>Good</v>
      </c>
      <c r="X3593" s="4">
        <f>AVERAGE(Table1[Purchase Amount])</f>
        <v>129.48419400000012</v>
      </c>
    </row>
    <row r="3594" spans="1:24" ht="15" customHeight="1" x14ac:dyDescent="0.25">
      <c r="A3594">
        <v>3593</v>
      </c>
      <c r="B3594">
        <v>61</v>
      </c>
      <c r="C3594" t="s">
        <v>16</v>
      </c>
      <c r="D3594" t="s">
        <v>151</v>
      </c>
      <c r="E3594" t="s">
        <v>98</v>
      </c>
      <c r="F3594" s="2">
        <v>82</v>
      </c>
      <c r="G3594" t="s">
        <v>131</v>
      </c>
      <c r="H3594" t="s">
        <v>45</v>
      </c>
      <c r="I3594" t="s">
        <v>107</v>
      </c>
      <c r="J3594" t="s">
        <v>33</v>
      </c>
      <c r="K3594">
        <v>4.4000000000000004</v>
      </c>
      <c r="L3594" t="s">
        <v>23</v>
      </c>
      <c r="M3594" t="s">
        <v>41</v>
      </c>
      <c r="N3594" t="s">
        <v>23</v>
      </c>
      <c r="O3594">
        <v>18</v>
      </c>
      <c r="P3594" t="s">
        <v>62</v>
      </c>
      <c r="Q3594" t="s">
        <v>89</v>
      </c>
      <c r="R3594" s="1">
        <v>0.1</v>
      </c>
      <c r="S3594">
        <f t="shared" si="224"/>
        <v>73.8</v>
      </c>
      <c r="T3594">
        <f>IFERROR(VLOOKUP(A3594,Table1[[Customer ID]:[Discount Amount]], 6, FALSE),"Not Found")</f>
        <v>82</v>
      </c>
      <c r="U3594" t="str">
        <f t="shared" si="225"/>
        <v>Venmo</v>
      </c>
      <c r="V3594" s="4" t="str">
        <f t="shared" si="226"/>
        <v>Normal</v>
      </c>
      <c r="W3594" s="4" t="str">
        <f t="shared" si="227"/>
        <v>Good</v>
      </c>
      <c r="X3594" s="4">
        <f>AVERAGE(Table1[Purchase Amount])</f>
        <v>129.48419400000012</v>
      </c>
    </row>
    <row r="3595" spans="1:24" ht="15" customHeight="1" x14ac:dyDescent="0.25">
      <c r="A3595">
        <v>3594</v>
      </c>
      <c r="B3595">
        <v>63</v>
      </c>
      <c r="C3595" t="s">
        <v>16</v>
      </c>
      <c r="D3595" t="s">
        <v>121</v>
      </c>
      <c r="E3595" t="s">
        <v>98</v>
      </c>
      <c r="F3595" s="2">
        <v>80</v>
      </c>
      <c r="G3595" t="s">
        <v>162</v>
      </c>
      <c r="H3595" t="s">
        <v>31</v>
      </c>
      <c r="I3595" t="s">
        <v>40</v>
      </c>
      <c r="J3595" t="s">
        <v>33</v>
      </c>
      <c r="K3595">
        <v>4.5999999999999996</v>
      </c>
      <c r="L3595" t="s">
        <v>23</v>
      </c>
      <c r="M3595" t="s">
        <v>79</v>
      </c>
      <c r="N3595" t="s">
        <v>23</v>
      </c>
      <c r="O3595">
        <v>24</v>
      </c>
      <c r="P3595" t="s">
        <v>58</v>
      </c>
      <c r="Q3595" t="s">
        <v>42</v>
      </c>
      <c r="R3595" s="1">
        <v>0.1</v>
      </c>
      <c r="S3595">
        <f t="shared" si="224"/>
        <v>72</v>
      </c>
      <c r="T3595">
        <f>IFERROR(VLOOKUP(A3595,Table1[[Customer ID]:[Discount Amount]], 6, FALSE),"Not Found")</f>
        <v>80</v>
      </c>
      <c r="U3595" t="str">
        <f t="shared" si="225"/>
        <v>PayPal</v>
      </c>
      <c r="V3595" s="4" t="str">
        <f t="shared" si="226"/>
        <v>Normal</v>
      </c>
      <c r="W3595" s="4" t="str">
        <f t="shared" si="227"/>
        <v>Good</v>
      </c>
      <c r="X3595" s="4">
        <f>AVERAGE(Table1[Purchase Amount])</f>
        <v>129.48419400000012</v>
      </c>
    </row>
    <row r="3596" spans="1:24" ht="15" customHeight="1" x14ac:dyDescent="0.25">
      <c r="A3596">
        <v>3595</v>
      </c>
      <c r="B3596">
        <v>19</v>
      </c>
      <c r="C3596" t="s">
        <v>16</v>
      </c>
      <c r="D3596" t="s">
        <v>129</v>
      </c>
      <c r="E3596" t="s">
        <v>29</v>
      </c>
      <c r="F3596" s="2">
        <v>87</v>
      </c>
      <c r="G3596" t="s">
        <v>51</v>
      </c>
      <c r="H3596" t="s">
        <v>45</v>
      </c>
      <c r="I3596" t="s">
        <v>103</v>
      </c>
      <c r="J3596" t="s">
        <v>57</v>
      </c>
      <c r="K3596">
        <v>2.6</v>
      </c>
      <c r="L3596" t="s">
        <v>23</v>
      </c>
      <c r="M3596" t="s">
        <v>41</v>
      </c>
      <c r="N3596" t="s">
        <v>23</v>
      </c>
      <c r="O3596">
        <v>29</v>
      </c>
      <c r="P3596" t="s">
        <v>62</v>
      </c>
      <c r="Q3596" t="s">
        <v>37</v>
      </c>
      <c r="R3596" s="1">
        <v>0.1</v>
      </c>
      <c r="S3596">
        <f t="shared" si="224"/>
        <v>78.3</v>
      </c>
      <c r="T3596">
        <f>IFERROR(VLOOKUP(A3596,Table1[[Customer ID]:[Discount Amount]], 6, FALSE),"Not Found")</f>
        <v>87</v>
      </c>
      <c r="U3596" t="str">
        <f t="shared" si="225"/>
        <v>Venmo</v>
      </c>
      <c r="V3596" s="4" t="str">
        <f t="shared" si="226"/>
        <v>Normal</v>
      </c>
      <c r="W3596" s="4" t="str">
        <f t="shared" si="227"/>
        <v>Poor</v>
      </c>
      <c r="X3596" s="4">
        <f>AVERAGE(Table1[Purchase Amount])</f>
        <v>129.48419400000012</v>
      </c>
    </row>
    <row r="3597" spans="1:24" ht="15" customHeight="1" x14ac:dyDescent="0.25">
      <c r="A3597">
        <v>3596</v>
      </c>
      <c r="B3597">
        <v>21</v>
      </c>
      <c r="C3597" t="s">
        <v>16</v>
      </c>
      <c r="D3597" t="s">
        <v>118</v>
      </c>
      <c r="E3597" t="s">
        <v>18</v>
      </c>
      <c r="F3597" s="2">
        <v>41</v>
      </c>
      <c r="G3597" t="s">
        <v>130</v>
      </c>
      <c r="H3597" t="s">
        <v>31</v>
      </c>
      <c r="I3597" t="s">
        <v>111</v>
      </c>
      <c r="J3597" t="s">
        <v>33</v>
      </c>
      <c r="K3597">
        <v>3.1</v>
      </c>
      <c r="L3597" t="s">
        <v>23</v>
      </c>
      <c r="M3597" t="s">
        <v>48</v>
      </c>
      <c r="N3597" t="s">
        <v>23</v>
      </c>
      <c r="O3597">
        <v>14</v>
      </c>
      <c r="P3597" t="s">
        <v>58</v>
      </c>
      <c r="Q3597" t="s">
        <v>49</v>
      </c>
      <c r="R3597" s="1">
        <v>0.1</v>
      </c>
      <c r="S3597">
        <f t="shared" si="224"/>
        <v>36.9</v>
      </c>
      <c r="T3597">
        <f>IFERROR(VLOOKUP(A3597,Table1[[Customer ID]:[Discount Amount]], 6, FALSE),"Not Found")</f>
        <v>41</v>
      </c>
      <c r="U3597" t="str">
        <f t="shared" si="225"/>
        <v>PayPal</v>
      </c>
      <c r="V3597" s="4" t="str">
        <f t="shared" si="226"/>
        <v>Normal</v>
      </c>
      <c r="W3597" s="4" t="str">
        <f t="shared" si="227"/>
        <v>Good</v>
      </c>
      <c r="X3597" s="4">
        <f>AVERAGE(Table1[Purchase Amount])</f>
        <v>129.48419400000012</v>
      </c>
    </row>
    <row r="3598" spans="1:24" ht="15" customHeight="1" x14ac:dyDescent="0.25">
      <c r="A3598">
        <v>3597</v>
      </c>
      <c r="B3598">
        <v>28</v>
      </c>
      <c r="C3598" t="s">
        <v>16</v>
      </c>
      <c r="D3598" t="s">
        <v>83</v>
      </c>
      <c r="E3598" t="s">
        <v>18</v>
      </c>
      <c r="F3598" s="2">
        <v>83</v>
      </c>
      <c r="G3598" t="s">
        <v>30</v>
      </c>
      <c r="H3598" t="s">
        <v>31</v>
      </c>
      <c r="I3598" t="s">
        <v>103</v>
      </c>
      <c r="J3598" t="s">
        <v>33</v>
      </c>
      <c r="K3598">
        <v>4.3</v>
      </c>
      <c r="L3598" t="s">
        <v>23</v>
      </c>
      <c r="M3598" t="s">
        <v>24</v>
      </c>
      <c r="N3598" t="s">
        <v>23</v>
      </c>
      <c r="O3598">
        <v>44</v>
      </c>
      <c r="P3598" t="s">
        <v>25</v>
      </c>
      <c r="Q3598" t="s">
        <v>89</v>
      </c>
      <c r="R3598" s="1">
        <v>0.1</v>
      </c>
      <c r="S3598">
        <f t="shared" si="224"/>
        <v>74.7</v>
      </c>
      <c r="T3598">
        <f>IFERROR(VLOOKUP(A3598,Table1[[Customer ID]:[Discount Amount]], 6, FALSE),"Not Found")</f>
        <v>83</v>
      </c>
      <c r="U3598" t="str">
        <f t="shared" si="225"/>
        <v>Cash</v>
      </c>
      <c r="V3598" s="4" t="str">
        <f t="shared" si="226"/>
        <v>Normal</v>
      </c>
      <c r="W3598" s="4" t="str">
        <f t="shared" si="227"/>
        <v>Good</v>
      </c>
      <c r="X3598" s="4">
        <f>AVERAGE(Table1[Purchase Amount])</f>
        <v>129.48419400000012</v>
      </c>
    </row>
    <row r="3599" spans="1:24" ht="15" customHeight="1" x14ac:dyDescent="0.25">
      <c r="A3599">
        <v>3598</v>
      </c>
      <c r="B3599">
        <v>29</v>
      </c>
      <c r="C3599" t="s">
        <v>16</v>
      </c>
      <c r="D3599" t="s">
        <v>28</v>
      </c>
      <c r="E3599" t="s">
        <v>29</v>
      </c>
      <c r="F3599" s="2">
        <v>71</v>
      </c>
      <c r="G3599" t="s">
        <v>110</v>
      </c>
      <c r="H3599" t="s">
        <v>31</v>
      </c>
      <c r="I3599" t="s">
        <v>125</v>
      </c>
      <c r="J3599" t="s">
        <v>57</v>
      </c>
      <c r="K3599">
        <v>3.1</v>
      </c>
      <c r="L3599" t="s">
        <v>23</v>
      </c>
      <c r="M3599" t="s">
        <v>24</v>
      </c>
      <c r="N3599" t="s">
        <v>23</v>
      </c>
      <c r="O3599">
        <v>18</v>
      </c>
      <c r="P3599" t="s">
        <v>88</v>
      </c>
      <c r="Q3599" t="s">
        <v>37</v>
      </c>
      <c r="R3599" s="1">
        <v>0.1</v>
      </c>
      <c r="S3599">
        <f t="shared" si="224"/>
        <v>63.9</v>
      </c>
      <c r="T3599">
        <f>IFERROR(VLOOKUP(A3599,Table1[[Customer ID]:[Discount Amount]], 6, FALSE),"Not Found")</f>
        <v>71</v>
      </c>
      <c r="U3599" t="str">
        <f t="shared" si="225"/>
        <v>Bank Transfer</v>
      </c>
      <c r="V3599" s="4" t="str">
        <f t="shared" si="226"/>
        <v>Normal</v>
      </c>
      <c r="W3599" s="4" t="str">
        <f t="shared" si="227"/>
        <v>Good</v>
      </c>
      <c r="X3599" s="4">
        <f>AVERAGE(Table1[Purchase Amount])</f>
        <v>129.48419400000012</v>
      </c>
    </row>
    <row r="3600" spans="1:24" ht="15" customHeight="1" x14ac:dyDescent="0.25">
      <c r="A3600">
        <v>3599</v>
      </c>
      <c r="B3600">
        <v>23</v>
      </c>
      <c r="C3600" t="s">
        <v>16</v>
      </c>
      <c r="D3600" t="s">
        <v>83</v>
      </c>
      <c r="E3600" t="s">
        <v>18</v>
      </c>
      <c r="F3600" s="2">
        <v>76</v>
      </c>
      <c r="G3600" t="s">
        <v>115</v>
      </c>
      <c r="H3600" t="s">
        <v>20</v>
      </c>
      <c r="I3600" t="s">
        <v>66</v>
      </c>
      <c r="J3600" t="s">
        <v>33</v>
      </c>
      <c r="K3600">
        <v>4.5999999999999996</v>
      </c>
      <c r="L3600" t="s">
        <v>23</v>
      </c>
      <c r="M3600" t="s">
        <v>48</v>
      </c>
      <c r="N3600" t="s">
        <v>23</v>
      </c>
      <c r="O3600">
        <v>19</v>
      </c>
      <c r="P3600" t="s">
        <v>88</v>
      </c>
      <c r="Q3600" t="s">
        <v>68</v>
      </c>
      <c r="R3600" s="1">
        <v>0.1</v>
      </c>
      <c r="S3600">
        <f t="shared" si="224"/>
        <v>68.400000000000006</v>
      </c>
      <c r="T3600">
        <f>IFERROR(VLOOKUP(A3600,Table1[[Customer ID]:[Discount Amount]], 6, FALSE),"Not Found")</f>
        <v>76</v>
      </c>
      <c r="U3600" t="str">
        <f t="shared" si="225"/>
        <v>Bank Transfer</v>
      </c>
      <c r="V3600" s="4" t="str">
        <f t="shared" si="226"/>
        <v>Normal</v>
      </c>
      <c r="W3600" s="4" t="str">
        <f t="shared" si="227"/>
        <v>Good</v>
      </c>
      <c r="X3600" s="4">
        <f>AVERAGE(Table1[Purchase Amount])</f>
        <v>129.48419400000012</v>
      </c>
    </row>
    <row r="3601" spans="1:24" ht="15" customHeight="1" x14ac:dyDescent="0.25">
      <c r="A3601">
        <v>3600</v>
      </c>
      <c r="B3601">
        <v>37</v>
      </c>
      <c r="C3601" t="s">
        <v>16</v>
      </c>
      <c r="D3601" t="s">
        <v>129</v>
      </c>
      <c r="E3601" t="s">
        <v>29</v>
      </c>
      <c r="F3601" s="2">
        <v>34</v>
      </c>
      <c r="G3601" t="s">
        <v>124</v>
      </c>
      <c r="H3601" t="s">
        <v>55</v>
      </c>
      <c r="I3601" t="s">
        <v>145</v>
      </c>
      <c r="J3601" t="s">
        <v>33</v>
      </c>
      <c r="K3601">
        <v>4.5999999999999996</v>
      </c>
      <c r="L3601" t="s">
        <v>23</v>
      </c>
      <c r="M3601" t="s">
        <v>61</v>
      </c>
      <c r="N3601" t="s">
        <v>23</v>
      </c>
      <c r="O3601">
        <v>4</v>
      </c>
      <c r="P3601" t="s">
        <v>25</v>
      </c>
      <c r="Q3601" t="s">
        <v>26</v>
      </c>
      <c r="R3601" s="1">
        <v>0.1</v>
      </c>
      <c r="S3601">
        <f t="shared" si="224"/>
        <v>30.6</v>
      </c>
      <c r="T3601">
        <f>IFERROR(VLOOKUP(A3601,Table1[[Customer ID]:[Discount Amount]], 6, FALSE),"Not Found")</f>
        <v>34</v>
      </c>
      <c r="U3601" t="str">
        <f t="shared" si="225"/>
        <v>Cash</v>
      </c>
      <c r="V3601" s="4" t="str">
        <f t="shared" si="226"/>
        <v>Normal</v>
      </c>
      <c r="W3601" s="4" t="str">
        <f t="shared" si="227"/>
        <v>Good</v>
      </c>
      <c r="X3601" s="4">
        <f>AVERAGE(Table1[Purchase Amount])</f>
        <v>129.48419400000012</v>
      </c>
    </row>
    <row r="3602" spans="1:24" ht="15" customHeight="1" x14ac:dyDescent="0.25">
      <c r="A3602">
        <v>3601</v>
      </c>
      <c r="B3602">
        <v>67</v>
      </c>
      <c r="C3602" t="s">
        <v>16</v>
      </c>
      <c r="D3602" t="s">
        <v>157</v>
      </c>
      <c r="E3602" t="s">
        <v>18</v>
      </c>
      <c r="F3602" s="2">
        <v>81</v>
      </c>
      <c r="G3602" t="s">
        <v>30</v>
      </c>
      <c r="H3602" t="s">
        <v>20</v>
      </c>
      <c r="I3602" t="s">
        <v>21</v>
      </c>
      <c r="J3602" t="s">
        <v>33</v>
      </c>
      <c r="K3602">
        <v>2.7</v>
      </c>
      <c r="L3602" t="s">
        <v>23</v>
      </c>
      <c r="M3602" t="s">
        <v>35</v>
      </c>
      <c r="N3602" t="s">
        <v>23</v>
      </c>
      <c r="O3602">
        <v>25</v>
      </c>
      <c r="P3602" t="s">
        <v>25</v>
      </c>
      <c r="Q3602" t="s">
        <v>68</v>
      </c>
      <c r="R3602" s="1">
        <v>0.1</v>
      </c>
      <c r="S3602">
        <f t="shared" si="224"/>
        <v>72.900000000000006</v>
      </c>
      <c r="T3602">
        <f>IFERROR(VLOOKUP(A3602,Table1[[Customer ID]:[Discount Amount]], 6, FALSE),"Not Found")</f>
        <v>81</v>
      </c>
      <c r="U3602" t="str">
        <f t="shared" si="225"/>
        <v>Cash</v>
      </c>
      <c r="V3602" s="4" t="str">
        <f t="shared" si="226"/>
        <v>Normal</v>
      </c>
      <c r="W3602" s="4" t="str">
        <f t="shared" si="227"/>
        <v>Poor</v>
      </c>
      <c r="X3602" s="4">
        <f>AVERAGE(Table1[Purchase Amount])</f>
        <v>129.48419400000012</v>
      </c>
    </row>
    <row r="3603" spans="1:24" ht="15" customHeight="1" x14ac:dyDescent="0.25">
      <c r="A3603">
        <v>3602</v>
      </c>
      <c r="B3603">
        <v>34</v>
      </c>
      <c r="C3603" t="s">
        <v>16</v>
      </c>
      <c r="D3603" t="s">
        <v>17</v>
      </c>
      <c r="E3603" t="s">
        <v>18</v>
      </c>
      <c r="F3603" s="2">
        <v>47</v>
      </c>
      <c r="G3603" t="s">
        <v>134</v>
      </c>
      <c r="H3603" t="s">
        <v>31</v>
      </c>
      <c r="I3603" t="s">
        <v>91</v>
      </c>
      <c r="J3603" t="s">
        <v>57</v>
      </c>
      <c r="K3603">
        <v>3</v>
      </c>
      <c r="L3603" t="s">
        <v>23</v>
      </c>
      <c r="M3603" t="s">
        <v>79</v>
      </c>
      <c r="N3603" t="s">
        <v>23</v>
      </c>
      <c r="O3603">
        <v>3</v>
      </c>
      <c r="P3603" t="s">
        <v>58</v>
      </c>
      <c r="Q3603" t="s">
        <v>42</v>
      </c>
      <c r="R3603" s="1">
        <v>0.1</v>
      </c>
      <c r="S3603">
        <f t="shared" si="224"/>
        <v>42.3</v>
      </c>
      <c r="T3603">
        <f>IFERROR(VLOOKUP(A3603,Table1[[Customer ID]:[Discount Amount]], 6, FALSE),"Not Found")</f>
        <v>47</v>
      </c>
      <c r="U3603" t="str">
        <f t="shared" si="225"/>
        <v>PayPal</v>
      </c>
      <c r="V3603" s="4" t="str">
        <f t="shared" si="226"/>
        <v>Normal</v>
      </c>
      <c r="W3603" s="4" t="str">
        <f t="shared" si="227"/>
        <v>Good</v>
      </c>
      <c r="X3603" s="4">
        <f>AVERAGE(Table1[Purchase Amount])</f>
        <v>129.48419400000012</v>
      </c>
    </row>
    <row r="3604" spans="1:24" ht="15" customHeight="1" x14ac:dyDescent="0.25">
      <c r="A3604">
        <v>3603</v>
      </c>
      <c r="B3604">
        <v>58</v>
      </c>
      <c r="C3604" t="s">
        <v>16</v>
      </c>
      <c r="D3604" t="s">
        <v>122</v>
      </c>
      <c r="E3604" t="s">
        <v>18</v>
      </c>
      <c r="F3604" s="2">
        <v>36</v>
      </c>
      <c r="G3604" t="s">
        <v>162</v>
      </c>
      <c r="H3604" t="s">
        <v>55</v>
      </c>
      <c r="I3604" t="s">
        <v>87</v>
      </c>
      <c r="J3604" t="s">
        <v>57</v>
      </c>
      <c r="K3604">
        <v>3.3</v>
      </c>
      <c r="L3604" t="s">
        <v>23</v>
      </c>
      <c r="M3604" t="s">
        <v>48</v>
      </c>
      <c r="N3604" t="s">
        <v>23</v>
      </c>
      <c r="O3604">
        <v>40</v>
      </c>
      <c r="P3604" t="s">
        <v>36</v>
      </c>
      <c r="Q3604" t="s">
        <v>37</v>
      </c>
      <c r="R3604" s="1">
        <v>0.1</v>
      </c>
      <c r="S3604">
        <f t="shared" si="224"/>
        <v>32.4</v>
      </c>
      <c r="T3604">
        <f>IFERROR(VLOOKUP(A3604,Table1[[Customer ID]:[Discount Amount]], 6, FALSE),"Not Found")</f>
        <v>36</v>
      </c>
      <c r="U3604" t="str">
        <f t="shared" si="225"/>
        <v>Debit Card</v>
      </c>
      <c r="V3604" s="4" t="str">
        <f t="shared" si="226"/>
        <v>Normal</v>
      </c>
      <c r="W3604" s="4" t="str">
        <f t="shared" si="227"/>
        <v>Good</v>
      </c>
      <c r="X3604" s="4">
        <f>AVERAGE(Table1[Purchase Amount])</f>
        <v>129.48419400000012</v>
      </c>
    </row>
    <row r="3605" spans="1:24" ht="15" customHeight="1" x14ac:dyDescent="0.25">
      <c r="A3605">
        <v>3604</v>
      </c>
      <c r="B3605">
        <v>45</v>
      </c>
      <c r="C3605" t="s">
        <v>16</v>
      </c>
      <c r="D3605" t="s">
        <v>109</v>
      </c>
      <c r="E3605" t="s">
        <v>18</v>
      </c>
      <c r="F3605" s="2">
        <v>51</v>
      </c>
      <c r="G3605" t="s">
        <v>119</v>
      </c>
      <c r="H3605" t="s">
        <v>31</v>
      </c>
      <c r="I3605" t="s">
        <v>133</v>
      </c>
      <c r="J3605" t="s">
        <v>33</v>
      </c>
      <c r="K3605">
        <v>2.7</v>
      </c>
      <c r="L3605" t="s">
        <v>23</v>
      </c>
      <c r="M3605" t="s">
        <v>35</v>
      </c>
      <c r="N3605" t="s">
        <v>23</v>
      </c>
      <c r="O3605">
        <v>5</v>
      </c>
      <c r="P3605" t="s">
        <v>25</v>
      </c>
      <c r="Q3605" t="s">
        <v>26</v>
      </c>
      <c r="R3605" s="1">
        <v>0.1</v>
      </c>
      <c r="S3605">
        <f t="shared" si="224"/>
        <v>45.9</v>
      </c>
      <c r="T3605">
        <f>IFERROR(VLOOKUP(A3605,Table1[[Customer ID]:[Discount Amount]], 6, FALSE),"Not Found")</f>
        <v>51</v>
      </c>
      <c r="U3605" t="str">
        <f t="shared" si="225"/>
        <v>Cash</v>
      </c>
      <c r="V3605" s="4" t="str">
        <f t="shared" si="226"/>
        <v>Normal</v>
      </c>
      <c r="W3605" s="4" t="str">
        <f t="shared" si="227"/>
        <v>Poor</v>
      </c>
      <c r="X3605" s="4">
        <f>AVERAGE(Table1[Purchase Amount])</f>
        <v>129.48419400000012</v>
      </c>
    </row>
    <row r="3606" spans="1:24" ht="15" customHeight="1" x14ac:dyDescent="0.25">
      <c r="A3606">
        <v>3605</v>
      </c>
      <c r="B3606">
        <v>63</v>
      </c>
      <c r="C3606" t="s">
        <v>16</v>
      </c>
      <c r="D3606" t="s">
        <v>83</v>
      </c>
      <c r="E3606" t="s">
        <v>18</v>
      </c>
      <c r="F3606" s="2">
        <v>86</v>
      </c>
      <c r="G3606" t="s">
        <v>119</v>
      </c>
      <c r="H3606" t="s">
        <v>31</v>
      </c>
      <c r="I3606" t="s">
        <v>108</v>
      </c>
      <c r="J3606" t="s">
        <v>47</v>
      </c>
      <c r="K3606">
        <v>3.3</v>
      </c>
      <c r="L3606" t="s">
        <v>23</v>
      </c>
      <c r="M3606" t="s">
        <v>24</v>
      </c>
      <c r="N3606" t="s">
        <v>23</v>
      </c>
      <c r="O3606">
        <v>17</v>
      </c>
      <c r="P3606" t="s">
        <v>36</v>
      </c>
      <c r="Q3606" t="s">
        <v>49</v>
      </c>
      <c r="R3606" s="1">
        <v>0.1</v>
      </c>
      <c r="S3606">
        <f t="shared" si="224"/>
        <v>77.400000000000006</v>
      </c>
      <c r="T3606">
        <f>IFERROR(VLOOKUP(A3606,Table1[[Customer ID]:[Discount Amount]], 6, FALSE),"Not Found")</f>
        <v>86</v>
      </c>
      <c r="U3606" t="str">
        <f t="shared" si="225"/>
        <v>Debit Card</v>
      </c>
      <c r="V3606" s="4" t="str">
        <f t="shared" si="226"/>
        <v>Normal</v>
      </c>
      <c r="W3606" s="4" t="str">
        <f t="shared" si="227"/>
        <v>Good</v>
      </c>
      <c r="X3606" s="4">
        <f>AVERAGE(Table1[Purchase Amount])</f>
        <v>129.48419400000012</v>
      </c>
    </row>
    <row r="3607" spans="1:24" ht="15" customHeight="1" x14ac:dyDescent="0.25">
      <c r="A3607">
        <v>3606</v>
      </c>
      <c r="B3607">
        <v>68</v>
      </c>
      <c r="C3607" t="s">
        <v>16</v>
      </c>
      <c r="D3607" t="s">
        <v>109</v>
      </c>
      <c r="E3607" t="s">
        <v>18</v>
      </c>
      <c r="F3607" s="2">
        <v>41</v>
      </c>
      <c r="G3607" t="s">
        <v>51</v>
      </c>
      <c r="H3607" t="s">
        <v>31</v>
      </c>
      <c r="I3607" t="s">
        <v>133</v>
      </c>
      <c r="J3607" t="s">
        <v>47</v>
      </c>
      <c r="K3607">
        <v>4.3</v>
      </c>
      <c r="L3607" t="s">
        <v>23</v>
      </c>
      <c r="M3607" t="s">
        <v>48</v>
      </c>
      <c r="N3607" t="s">
        <v>23</v>
      </c>
      <c r="O3607">
        <v>36</v>
      </c>
      <c r="P3607" t="s">
        <v>88</v>
      </c>
      <c r="Q3607" t="s">
        <v>63</v>
      </c>
      <c r="R3607" s="1">
        <v>0.1</v>
      </c>
      <c r="S3607">
        <f t="shared" si="224"/>
        <v>36.9</v>
      </c>
      <c r="T3607">
        <f>IFERROR(VLOOKUP(A3607,Table1[[Customer ID]:[Discount Amount]], 6, FALSE),"Not Found")</f>
        <v>41</v>
      </c>
      <c r="U3607" t="str">
        <f t="shared" si="225"/>
        <v>Bank Transfer</v>
      </c>
      <c r="V3607" s="4" t="str">
        <f t="shared" si="226"/>
        <v>Normal</v>
      </c>
      <c r="W3607" s="4" t="str">
        <f t="shared" si="227"/>
        <v>Good</v>
      </c>
      <c r="X3607" s="4">
        <f>AVERAGE(Table1[Purchase Amount])</f>
        <v>129.48419400000012</v>
      </c>
    </row>
    <row r="3608" spans="1:24" ht="15" customHeight="1" x14ac:dyDescent="0.25">
      <c r="A3608">
        <v>3607</v>
      </c>
      <c r="B3608">
        <v>41</v>
      </c>
      <c r="C3608" t="s">
        <v>16</v>
      </c>
      <c r="D3608" t="s">
        <v>121</v>
      </c>
      <c r="E3608" t="s">
        <v>98</v>
      </c>
      <c r="F3608" s="2">
        <v>90</v>
      </c>
      <c r="G3608" t="s">
        <v>120</v>
      </c>
      <c r="H3608" t="s">
        <v>20</v>
      </c>
      <c r="I3608" t="s">
        <v>66</v>
      </c>
      <c r="J3608" t="s">
        <v>47</v>
      </c>
      <c r="K3608">
        <v>4.8</v>
      </c>
      <c r="L3608" t="s">
        <v>23</v>
      </c>
      <c r="M3608" t="s">
        <v>61</v>
      </c>
      <c r="N3608" t="s">
        <v>23</v>
      </c>
      <c r="O3608">
        <v>41</v>
      </c>
      <c r="P3608" t="s">
        <v>62</v>
      </c>
      <c r="Q3608" t="s">
        <v>49</v>
      </c>
      <c r="R3608" s="1">
        <v>0.1</v>
      </c>
      <c r="S3608">
        <f t="shared" si="224"/>
        <v>81</v>
      </c>
      <c r="T3608">
        <f>IFERROR(VLOOKUP(A3608,Table1[[Customer ID]:[Discount Amount]], 6, FALSE),"Not Found")</f>
        <v>90</v>
      </c>
      <c r="U3608" t="str">
        <f t="shared" si="225"/>
        <v>Venmo</v>
      </c>
      <c r="V3608" s="4" t="str">
        <f t="shared" si="226"/>
        <v>Normal</v>
      </c>
      <c r="W3608" s="4" t="str">
        <f t="shared" si="227"/>
        <v>Good</v>
      </c>
      <c r="X3608" s="4">
        <f>AVERAGE(Table1[Purchase Amount])</f>
        <v>129.48419400000012</v>
      </c>
    </row>
    <row r="3609" spans="1:24" ht="15" customHeight="1" x14ac:dyDescent="0.25">
      <c r="A3609">
        <v>3608</v>
      </c>
      <c r="B3609">
        <v>50</v>
      </c>
      <c r="C3609" t="s">
        <v>16</v>
      </c>
      <c r="D3609" t="s">
        <v>64</v>
      </c>
      <c r="E3609" t="s">
        <v>29</v>
      </c>
      <c r="F3609" s="2">
        <v>93</v>
      </c>
      <c r="G3609" t="s">
        <v>110</v>
      </c>
      <c r="H3609" t="s">
        <v>45</v>
      </c>
      <c r="I3609" t="s">
        <v>103</v>
      </c>
      <c r="J3609" t="s">
        <v>47</v>
      </c>
      <c r="K3609">
        <v>3.3</v>
      </c>
      <c r="L3609" t="s">
        <v>23</v>
      </c>
      <c r="M3609" t="s">
        <v>24</v>
      </c>
      <c r="N3609" t="s">
        <v>23</v>
      </c>
      <c r="O3609">
        <v>20</v>
      </c>
      <c r="P3609" t="s">
        <v>62</v>
      </c>
      <c r="Q3609" t="s">
        <v>68</v>
      </c>
      <c r="R3609" s="1">
        <v>0.1</v>
      </c>
      <c r="S3609">
        <f t="shared" si="224"/>
        <v>83.7</v>
      </c>
      <c r="T3609">
        <f>IFERROR(VLOOKUP(A3609,Table1[[Customer ID]:[Discount Amount]], 6, FALSE),"Not Found")</f>
        <v>93</v>
      </c>
      <c r="U3609" t="str">
        <f t="shared" si="225"/>
        <v>Venmo</v>
      </c>
      <c r="V3609" s="4" t="str">
        <f t="shared" si="226"/>
        <v>Normal</v>
      </c>
      <c r="W3609" s="4" t="str">
        <f t="shared" si="227"/>
        <v>Good</v>
      </c>
      <c r="X3609" s="4">
        <f>AVERAGE(Table1[Purchase Amount])</f>
        <v>129.48419400000012</v>
      </c>
    </row>
    <row r="3610" spans="1:24" ht="15" customHeight="1" x14ac:dyDescent="0.25">
      <c r="A3610">
        <v>3609</v>
      </c>
      <c r="B3610">
        <v>24</v>
      </c>
      <c r="C3610" t="s">
        <v>16</v>
      </c>
      <c r="D3610" t="s">
        <v>43</v>
      </c>
      <c r="E3610" t="s">
        <v>29</v>
      </c>
      <c r="F3610" s="2">
        <v>56</v>
      </c>
      <c r="G3610" t="s">
        <v>65</v>
      </c>
      <c r="H3610" t="s">
        <v>31</v>
      </c>
      <c r="I3610" t="s">
        <v>128</v>
      </c>
      <c r="J3610" t="s">
        <v>47</v>
      </c>
      <c r="K3610">
        <v>4.3</v>
      </c>
      <c r="L3610" t="s">
        <v>23</v>
      </c>
      <c r="M3610" t="s">
        <v>79</v>
      </c>
      <c r="N3610" t="s">
        <v>23</v>
      </c>
      <c r="O3610">
        <v>2</v>
      </c>
      <c r="P3610" t="s">
        <v>25</v>
      </c>
      <c r="Q3610" t="s">
        <v>63</v>
      </c>
      <c r="R3610" s="1">
        <v>0.1</v>
      </c>
      <c r="S3610">
        <f t="shared" si="224"/>
        <v>50.4</v>
      </c>
      <c r="T3610">
        <f>IFERROR(VLOOKUP(A3610,Table1[[Customer ID]:[Discount Amount]], 6, FALSE),"Not Found")</f>
        <v>56</v>
      </c>
      <c r="U3610" t="str">
        <f t="shared" si="225"/>
        <v>Cash</v>
      </c>
      <c r="V3610" s="4" t="str">
        <f t="shared" si="226"/>
        <v>Normal</v>
      </c>
      <c r="W3610" s="4" t="str">
        <f t="shared" si="227"/>
        <v>Good</v>
      </c>
      <c r="X3610" s="4">
        <f>AVERAGE(Table1[Purchase Amount])</f>
        <v>129.48419400000012</v>
      </c>
    </row>
    <row r="3611" spans="1:24" ht="15" customHeight="1" x14ac:dyDescent="0.25">
      <c r="A3611">
        <v>3610</v>
      </c>
      <c r="B3611">
        <v>21</v>
      </c>
      <c r="C3611" t="s">
        <v>16</v>
      </c>
      <c r="D3611" t="s">
        <v>105</v>
      </c>
      <c r="E3611" t="s">
        <v>18</v>
      </c>
      <c r="F3611" s="2">
        <v>39</v>
      </c>
      <c r="G3611" t="s">
        <v>110</v>
      </c>
      <c r="H3611" t="s">
        <v>31</v>
      </c>
      <c r="I3611" t="s">
        <v>128</v>
      </c>
      <c r="J3611" t="s">
        <v>57</v>
      </c>
      <c r="K3611">
        <v>3</v>
      </c>
      <c r="L3611" t="s">
        <v>23</v>
      </c>
      <c r="M3611" t="s">
        <v>41</v>
      </c>
      <c r="N3611" t="s">
        <v>23</v>
      </c>
      <c r="O3611">
        <v>31</v>
      </c>
      <c r="P3611" t="s">
        <v>36</v>
      </c>
      <c r="Q3611" t="s">
        <v>42</v>
      </c>
      <c r="R3611" s="1">
        <v>0.1</v>
      </c>
      <c r="S3611">
        <f t="shared" si="224"/>
        <v>35.1</v>
      </c>
      <c r="T3611">
        <f>IFERROR(VLOOKUP(A3611,Table1[[Customer ID]:[Discount Amount]], 6, FALSE),"Not Found")</f>
        <v>39</v>
      </c>
      <c r="U3611" t="str">
        <f t="shared" si="225"/>
        <v>Debit Card</v>
      </c>
      <c r="V3611" s="4" t="str">
        <f t="shared" si="226"/>
        <v>Normal</v>
      </c>
      <c r="W3611" s="4" t="str">
        <f t="shared" si="227"/>
        <v>Good</v>
      </c>
      <c r="X3611" s="4">
        <f>AVERAGE(Table1[Purchase Amount])</f>
        <v>129.48419400000012</v>
      </c>
    </row>
    <row r="3612" spans="1:24" ht="15" customHeight="1" x14ac:dyDescent="0.25">
      <c r="A3612">
        <v>3611</v>
      </c>
      <c r="B3612">
        <v>18</v>
      </c>
      <c r="C3612" t="s">
        <v>16</v>
      </c>
      <c r="D3612" t="s">
        <v>96</v>
      </c>
      <c r="E3612" t="s">
        <v>77</v>
      </c>
      <c r="F3612" s="2">
        <v>86</v>
      </c>
      <c r="G3612" t="s">
        <v>152</v>
      </c>
      <c r="H3612" t="s">
        <v>20</v>
      </c>
      <c r="I3612" t="s">
        <v>93</v>
      </c>
      <c r="J3612" t="s">
        <v>47</v>
      </c>
      <c r="K3612">
        <v>4.8</v>
      </c>
      <c r="L3612" t="s">
        <v>23</v>
      </c>
      <c r="M3612" t="s">
        <v>41</v>
      </c>
      <c r="N3612" t="s">
        <v>23</v>
      </c>
      <c r="O3612">
        <v>23</v>
      </c>
      <c r="P3612" t="s">
        <v>88</v>
      </c>
      <c r="Q3612" t="s">
        <v>89</v>
      </c>
      <c r="R3612" s="1">
        <v>0.1</v>
      </c>
      <c r="S3612">
        <f t="shared" si="224"/>
        <v>77.400000000000006</v>
      </c>
      <c r="T3612">
        <f>IFERROR(VLOOKUP(A3612,Table1[[Customer ID]:[Discount Amount]], 6, FALSE),"Not Found")</f>
        <v>86</v>
      </c>
      <c r="U3612" t="str">
        <f t="shared" si="225"/>
        <v>Bank Transfer</v>
      </c>
      <c r="V3612" s="4" t="str">
        <f t="shared" si="226"/>
        <v>Normal</v>
      </c>
      <c r="W3612" s="4" t="str">
        <f t="shared" si="227"/>
        <v>Good</v>
      </c>
      <c r="X3612" s="4">
        <f>AVERAGE(Table1[Purchase Amount])</f>
        <v>129.48419400000012</v>
      </c>
    </row>
    <row r="3613" spans="1:24" ht="15" customHeight="1" x14ac:dyDescent="0.25">
      <c r="A3613">
        <v>3612</v>
      </c>
      <c r="B3613">
        <v>63</v>
      </c>
      <c r="C3613" t="s">
        <v>16</v>
      </c>
      <c r="D3613" t="s">
        <v>17</v>
      </c>
      <c r="E3613" t="s">
        <v>18</v>
      </c>
      <c r="F3613" s="2">
        <v>82</v>
      </c>
      <c r="G3613" t="s">
        <v>155</v>
      </c>
      <c r="H3613" t="s">
        <v>31</v>
      </c>
      <c r="I3613" t="s">
        <v>153</v>
      </c>
      <c r="J3613" t="s">
        <v>33</v>
      </c>
      <c r="K3613">
        <v>2.9</v>
      </c>
      <c r="L3613" t="s">
        <v>23</v>
      </c>
      <c r="M3613" t="s">
        <v>24</v>
      </c>
      <c r="N3613" t="s">
        <v>23</v>
      </c>
      <c r="O3613">
        <v>30</v>
      </c>
      <c r="P3613" t="s">
        <v>53</v>
      </c>
      <c r="Q3613" t="s">
        <v>49</v>
      </c>
      <c r="R3613" s="1">
        <v>0.1</v>
      </c>
      <c r="S3613">
        <f t="shared" si="224"/>
        <v>73.8</v>
      </c>
      <c r="T3613">
        <f>IFERROR(VLOOKUP(A3613,Table1[[Customer ID]:[Discount Amount]], 6, FALSE),"Not Found")</f>
        <v>82</v>
      </c>
      <c r="U3613" t="str">
        <f t="shared" si="225"/>
        <v>Credit Card</v>
      </c>
      <c r="V3613" s="4" t="str">
        <f t="shared" si="226"/>
        <v>Normal</v>
      </c>
      <c r="W3613" s="4" t="str">
        <f t="shared" si="227"/>
        <v>Poor</v>
      </c>
      <c r="X3613" s="4">
        <f>AVERAGE(Table1[Purchase Amount])</f>
        <v>129.48419400000012</v>
      </c>
    </row>
    <row r="3614" spans="1:24" ht="15" customHeight="1" x14ac:dyDescent="0.25">
      <c r="A3614">
        <v>3613</v>
      </c>
      <c r="B3614">
        <v>47</v>
      </c>
      <c r="C3614" t="s">
        <v>16</v>
      </c>
      <c r="D3614" t="s">
        <v>121</v>
      </c>
      <c r="E3614" t="s">
        <v>98</v>
      </c>
      <c r="F3614" s="2">
        <v>29</v>
      </c>
      <c r="G3614" t="s">
        <v>113</v>
      </c>
      <c r="H3614" t="s">
        <v>31</v>
      </c>
      <c r="I3614" t="s">
        <v>147</v>
      </c>
      <c r="J3614" t="s">
        <v>57</v>
      </c>
      <c r="K3614">
        <v>3.6</v>
      </c>
      <c r="L3614" t="s">
        <v>23</v>
      </c>
      <c r="M3614" t="s">
        <v>24</v>
      </c>
      <c r="N3614" t="s">
        <v>23</v>
      </c>
      <c r="O3614">
        <v>26</v>
      </c>
      <c r="P3614" t="s">
        <v>25</v>
      </c>
      <c r="Q3614" t="s">
        <v>63</v>
      </c>
      <c r="R3614" s="1">
        <v>0.1</v>
      </c>
      <c r="S3614">
        <f t="shared" si="224"/>
        <v>26.1</v>
      </c>
      <c r="T3614">
        <f>IFERROR(VLOOKUP(A3614,Table1[[Customer ID]:[Discount Amount]], 6, FALSE),"Not Found")</f>
        <v>29</v>
      </c>
      <c r="U3614" t="str">
        <f t="shared" si="225"/>
        <v>Cash</v>
      </c>
      <c r="V3614" s="4" t="str">
        <f t="shared" si="226"/>
        <v>Normal</v>
      </c>
      <c r="W3614" s="4" t="str">
        <f t="shared" si="227"/>
        <v>Good</v>
      </c>
      <c r="X3614" s="4">
        <f>AVERAGE(Table1[Purchase Amount])</f>
        <v>129.48419400000012</v>
      </c>
    </row>
    <row r="3615" spans="1:24" ht="15" customHeight="1" x14ac:dyDescent="0.25">
      <c r="A3615">
        <v>3614</v>
      </c>
      <c r="B3615">
        <v>58</v>
      </c>
      <c r="C3615" t="s">
        <v>16</v>
      </c>
      <c r="D3615" t="s">
        <v>64</v>
      </c>
      <c r="E3615" t="s">
        <v>29</v>
      </c>
      <c r="F3615" s="2">
        <v>27</v>
      </c>
      <c r="G3615" t="s">
        <v>120</v>
      </c>
      <c r="H3615" t="s">
        <v>31</v>
      </c>
      <c r="I3615" t="s">
        <v>87</v>
      </c>
      <c r="J3615" t="s">
        <v>47</v>
      </c>
      <c r="K3615">
        <v>3.5</v>
      </c>
      <c r="L3615" t="s">
        <v>23</v>
      </c>
      <c r="M3615" t="s">
        <v>48</v>
      </c>
      <c r="N3615" t="s">
        <v>23</v>
      </c>
      <c r="O3615">
        <v>40</v>
      </c>
      <c r="P3615" t="s">
        <v>62</v>
      </c>
      <c r="Q3615" t="s">
        <v>49</v>
      </c>
      <c r="R3615" s="1">
        <v>0.1</v>
      </c>
      <c r="S3615">
        <f t="shared" si="224"/>
        <v>24.3</v>
      </c>
      <c r="T3615">
        <f>IFERROR(VLOOKUP(A3615,Table1[[Customer ID]:[Discount Amount]], 6, FALSE),"Not Found")</f>
        <v>27</v>
      </c>
      <c r="U3615" t="str">
        <f t="shared" si="225"/>
        <v>Venmo</v>
      </c>
      <c r="V3615" s="4" t="str">
        <f t="shared" si="226"/>
        <v>Normal</v>
      </c>
      <c r="W3615" s="4" t="str">
        <f t="shared" si="227"/>
        <v>Good</v>
      </c>
      <c r="X3615" s="4">
        <f>AVERAGE(Table1[Purchase Amount])</f>
        <v>129.48419400000012</v>
      </c>
    </row>
    <row r="3616" spans="1:24" ht="15" customHeight="1" x14ac:dyDescent="0.25">
      <c r="A3616">
        <v>3615</v>
      </c>
      <c r="B3616">
        <v>46</v>
      </c>
      <c r="C3616" t="s">
        <v>16</v>
      </c>
      <c r="D3616" t="s">
        <v>43</v>
      </c>
      <c r="E3616" t="s">
        <v>29</v>
      </c>
      <c r="F3616" s="2">
        <v>25</v>
      </c>
      <c r="G3616" t="s">
        <v>143</v>
      </c>
      <c r="H3616" t="s">
        <v>45</v>
      </c>
      <c r="I3616" t="s">
        <v>125</v>
      </c>
      <c r="J3616" t="s">
        <v>33</v>
      </c>
      <c r="K3616">
        <v>4.7</v>
      </c>
      <c r="L3616" t="s">
        <v>23</v>
      </c>
      <c r="M3616" t="s">
        <v>41</v>
      </c>
      <c r="N3616" t="s">
        <v>23</v>
      </c>
      <c r="O3616">
        <v>19</v>
      </c>
      <c r="P3616" t="s">
        <v>88</v>
      </c>
      <c r="Q3616" t="s">
        <v>49</v>
      </c>
      <c r="R3616" s="1">
        <v>0.1</v>
      </c>
      <c r="S3616">
        <f t="shared" si="224"/>
        <v>22.5</v>
      </c>
      <c r="T3616">
        <f>IFERROR(VLOOKUP(A3616,Table1[[Customer ID]:[Discount Amount]], 6, FALSE),"Not Found")</f>
        <v>25</v>
      </c>
      <c r="U3616" t="str">
        <f t="shared" si="225"/>
        <v>Bank Transfer</v>
      </c>
      <c r="V3616" s="4" t="str">
        <f t="shared" si="226"/>
        <v>Normal</v>
      </c>
      <c r="W3616" s="4" t="str">
        <f t="shared" si="227"/>
        <v>Good</v>
      </c>
      <c r="X3616" s="4">
        <f>AVERAGE(Table1[Purchase Amount])</f>
        <v>129.48419400000012</v>
      </c>
    </row>
    <row r="3617" spans="1:24" ht="15" customHeight="1" x14ac:dyDescent="0.25">
      <c r="A3617">
        <v>3616</v>
      </c>
      <c r="B3617">
        <v>35</v>
      </c>
      <c r="C3617" t="s">
        <v>16</v>
      </c>
      <c r="D3617" t="s">
        <v>157</v>
      </c>
      <c r="E3617" t="s">
        <v>18</v>
      </c>
      <c r="F3617" s="2">
        <v>31</v>
      </c>
      <c r="G3617" t="s">
        <v>19</v>
      </c>
      <c r="H3617" t="s">
        <v>31</v>
      </c>
      <c r="I3617" t="s">
        <v>133</v>
      </c>
      <c r="J3617" t="s">
        <v>22</v>
      </c>
      <c r="K3617">
        <v>4.4000000000000004</v>
      </c>
      <c r="L3617" t="s">
        <v>23</v>
      </c>
      <c r="M3617" t="s">
        <v>35</v>
      </c>
      <c r="N3617" t="s">
        <v>23</v>
      </c>
      <c r="O3617">
        <v>4</v>
      </c>
      <c r="P3617" t="s">
        <v>53</v>
      </c>
      <c r="Q3617" t="s">
        <v>42</v>
      </c>
      <c r="R3617" s="1">
        <v>0.1</v>
      </c>
      <c r="S3617">
        <f t="shared" si="224"/>
        <v>27.9</v>
      </c>
      <c r="T3617">
        <f>IFERROR(VLOOKUP(A3617,Table1[[Customer ID]:[Discount Amount]], 6, FALSE),"Not Found")</f>
        <v>31</v>
      </c>
      <c r="U3617" t="str">
        <f t="shared" si="225"/>
        <v>Credit Card</v>
      </c>
      <c r="V3617" s="4" t="str">
        <f t="shared" si="226"/>
        <v>Normal</v>
      </c>
      <c r="W3617" s="4" t="str">
        <f t="shared" si="227"/>
        <v>Good</v>
      </c>
      <c r="X3617" s="4">
        <f>AVERAGE(Table1[Purchase Amount])</f>
        <v>129.48419400000012</v>
      </c>
    </row>
    <row r="3618" spans="1:24" ht="15" customHeight="1" x14ac:dyDescent="0.25">
      <c r="A3618">
        <v>3617</v>
      </c>
      <c r="B3618">
        <v>42</v>
      </c>
      <c r="C3618" t="s">
        <v>16</v>
      </c>
      <c r="D3618" t="s">
        <v>83</v>
      </c>
      <c r="E3618" t="s">
        <v>18</v>
      </c>
      <c r="F3618" s="2">
        <v>23</v>
      </c>
      <c r="G3618" t="s">
        <v>59</v>
      </c>
      <c r="H3618" t="s">
        <v>45</v>
      </c>
      <c r="I3618" t="s">
        <v>66</v>
      </c>
      <c r="J3618" t="s">
        <v>22</v>
      </c>
      <c r="K3618">
        <v>3.3</v>
      </c>
      <c r="L3618" t="s">
        <v>23</v>
      </c>
      <c r="M3618" t="s">
        <v>48</v>
      </c>
      <c r="N3618" t="s">
        <v>23</v>
      </c>
      <c r="O3618">
        <v>33</v>
      </c>
      <c r="P3618" t="s">
        <v>36</v>
      </c>
      <c r="Q3618" t="s">
        <v>89</v>
      </c>
      <c r="R3618" s="1">
        <v>0.1</v>
      </c>
      <c r="S3618">
        <f t="shared" si="224"/>
        <v>20.7</v>
      </c>
      <c r="T3618">
        <f>IFERROR(VLOOKUP(A3618,Table1[[Customer ID]:[Discount Amount]], 6, FALSE),"Not Found")</f>
        <v>23</v>
      </c>
      <c r="U3618" t="str">
        <f t="shared" si="225"/>
        <v>Debit Card</v>
      </c>
      <c r="V3618" s="4" t="str">
        <f t="shared" si="226"/>
        <v>Normal</v>
      </c>
      <c r="W3618" s="4" t="str">
        <f t="shared" si="227"/>
        <v>Good</v>
      </c>
      <c r="X3618" s="4">
        <f>AVERAGE(Table1[Purchase Amount])</f>
        <v>129.48419400000012</v>
      </c>
    </row>
    <row r="3619" spans="1:24" ht="15" customHeight="1" x14ac:dyDescent="0.25">
      <c r="A3619">
        <v>3618</v>
      </c>
      <c r="B3619">
        <v>48</v>
      </c>
      <c r="C3619" t="s">
        <v>16</v>
      </c>
      <c r="D3619" t="s">
        <v>114</v>
      </c>
      <c r="E3619" t="s">
        <v>29</v>
      </c>
      <c r="F3619" s="2">
        <v>47</v>
      </c>
      <c r="G3619" t="s">
        <v>70</v>
      </c>
      <c r="H3619" t="s">
        <v>31</v>
      </c>
      <c r="I3619" t="s">
        <v>107</v>
      </c>
      <c r="J3619" t="s">
        <v>47</v>
      </c>
      <c r="K3619">
        <v>4.3</v>
      </c>
      <c r="L3619" t="s">
        <v>23</v>
      </c>
      <c r="M3619" t="s">
        <v>61</v>
      </c>
      <c r="N3619" t="s">
        <v>23</v>
      </c>
      <c r="O3619">
        <v>29</v>
      </c>
      <c r="P3619" t="s">
        <v>36</v>
      </c>
      <c r="Q3619" t="s">
        <v>42</v>
      </c>
      <c r="R3619" s="1">
        <v>0.1</v>
      </c>
      <c r="S3619">
        <f t="shared" si="224"/>
        <v>42.3</v>
      </c>
      <c r="T3619">
        <f>IFERROR(VLOOKUP(A3619,Table1[[Customer ID]:[Discount Amount]], 6, FALSE),"Not Found")</f>
        <v>47</v>
      </c>
      <c r="U3619" t="str">
        <f t="shared" si="225"/>
        <v>Debit Card</v>
      </c>
      <c r="V3619" s="4" t="str">
        <f t="shared" si="226"/>
        <v>Normal</v>
      </c>
      <c r="W3619" s="4" t="str">
        <f t="shared" si="227"/>
        <v>Good</v>
      </c>
      <c r="X3619" s="4">
        <f>AVERAGE(Table1[Purchase Amount])</f>
        <v>129.48419400000012</v>
      </c>
    </row>
    <row r="3620" spans="1:24" ht="15" customHeight="1" x14ac:dyDescent="0.25">
      <c r="A3620">
        <v>3619</v>
      </c>
      <c r="B3620">
        <v>28</v>
      </c>
      <c r="C3620" t="s">
        <v>16</v>
      </c>
      <c r="D3620" t="s">
        <v>43</v>
      </c>
      <c r="E3620" t="s">
        <v>29</v>
      </c>
      <c r="F3620" s="2">
        <v>67</v>
      </c>
      <c r="G3620" t="s">
        <v>158</v>
      </c>
      <c r="H3620" t="s">
        <v>31</v>
      </c>
      <c r="I3620" t="s">
        <v>125</v>
      </c>
      <c r="J3620" t="s">
        <v>47</v>
      </c>
      <c r="K3620">
        <v>4</v>
      </c>
      <c r="L3620" t="s">
        <v>23</v>
      </c>
      <c r="M3620" t="s">
        <v>41</v>
      </c>
      <c r="N3620" t="s">
        <v>23</v>
      </c>
      <c r="O3620">
        <v>47</v>
      </c>
      <c r="P3620" t="s">
        <v>58</v>
      </c>
      <c r="Q3620" t="s">
        <v>68</v>
      </c>
      <c r="R3620" s="1">
        <v>0.1</v>
      </c>
      <c r="S3620">
        <f t="shared" si="224"/>
        <v>60.3</v>
      </c>
      <c r="T3620">
        <f>IFERROR(VLOOKUP(A3620,Table1[[Customer ID]:[Discount Amount]], 6, FALSE),"Not Found")</f>
        <v>67</v>
      </c>
      <c r="U3620" t="str">
        <f t="shared" si="225"/>
        <v>PayPal</v>
      </c>
      <c r="V3620" s="4" t="str">
        <f t="shared" si="226"/>
        <v>Normal</v>
      </c>
      <c r="W3620" s="4" t="str">
        <f t="shared" si="227"/>
        <v>Good</v>
      </c>
      <c r="X3620" s="4">
        <f>AVERAGE(Table1[Purchase Amount])</f>
        <v>129.48419400000012</v>
      </c>
    </row>
    <row r="3621" spans="1:24" ht="15" customHeight="1" x14ac:dyDescent="0.25">
      <c r="A3621">
        <v>3620</v>
      </c>
      <c r="B3621">
        <v>44</v>
      </c>
      <c r="C3621" t="s">
        <v>16</v>
      </c>
      <c r="D3621" t="s">
        <v>129</v>
      </c>
      <c r="E3621" t="s">
        <v>29</v>
      </c>
      <c r="F3621" s="2">
        <v>75</v>
      </c>
      <c r="G3621" t="s">
        <v>134</v>
      </c>
      <c r="H3621" t="s">
        <v>55</v>
      </c>
      <c r="I3621" t="s">
        <v>87</v>
      </c>
      <c r="J3621" t="s">
        <v>22</v>
      </c>
      <c r="K3621">
        <v>4.9000000000000004</v>
      </c>
      <c r="L3621" t="s">
        <v>23</v>
      </c>
      <c r="M3621" t="s">
        <v>41</v>
      </c>
      <c r="N3621" t="s">
        <v>23</v>
      </c>
      <c r="O3621">
        <v>50</v>
      </c>
      <c r="P3621" t="s">
        <v>62</v>
      </c>
      <c r="Q3621" t="s">
        <v>26</v>
      </c>
      <c r="R3621" s="1">
        <v>0.1</v>
      </c>
      <c r="S3621">
        <f t="shared" si="224"/>
        <v>67.5</v>
      </c>
      <c r="T3621">
        <f>IFERROR(VLOOKUP(A3621,Table1[[Customer ID]:[Discount Amount]], 6, FALSE),"Not Found")</f>
        <v>75</v>
      </c>
      <c r="U3621" t="str">
        <f t="shared" si="225"/>
        <v>Venmo</v>
      </c>
      <c r="V3621" s="4" t="str">
        <f t="shared" si="226"/>
        <v>Normal</v>
      </c>
      <c r="W3621" s="4" t="str">
        <f t="shared" si="227"/>
        <v>Good</v>
      </c>
      <c r="X3621" s="4">
        <f>AVERAGE(Table1[Purchase Amount])</f>
        <v>129.48419400000012</v>
      </c>
    </row>
    <row r="3622" spans="1:24" ht="15" customHeight="1" x14ac:dyDescent="0.25">
      <c r="A3622">
        <v>3621</v>
      </c>
      <c r="B3622">
        <v>60</v>
      </c>
      <c r="C3622" t="s">
        <v>16</v>
      </c>
      <c r="D3622" t="s">
        <v>121</v>
      </c>
      <c r="E3622" t="s">
        <v>98</v>
      </c>
      <c r="F3622" s="2">
        <v>82</v>
      </c>
      <c r="G3622" t="s">
        <v>119</v>
      </c>
      <c r="H3622" t="s">
        <v>31</v>
      </c>
      <c r="I3622" t="s">
        <v>156</v>
      </c>
      <c r="J3622" t="s">
        <v>57</v>
      </c>
      <c r="K3622">
        <v>2.9</v>
      </c>
      <c r="L3622" t="s">
        <v>23</v>
      </c>
      <c r="M3622" t="s">
        <v>61</v>
      </c>
      <c r="N3622" t="s">
        <v>23</v>
      </c>
      <c r="O3622">
        <v>28</v>
      </c>
      <c r="P3622" t="s">
        <v>53</v>
      </c>
      <c r="Q3622" t="s">
        <v>89</v>
      </c>
      <c r="R3622" s="1">
        <v>0.1</v>
      </c>
      <c r="S3622">
        <f t="shared" si="224"/>
        <v>73.8</v>
      </c>
      <c r="T3622">
        <f>IFERROR(VLOOKUP(A3622,Table1[[Customer ID]:[Discount Amount]], 6, FALSE),"Not Found")</f>
        <v>82</v>
      </c>
      <c r="U3622" t="str">
        <f t="shared" si="225"/>
        <v>Credit Card</v>
      </c>
      <c r="V3622" s="4" t="str">
        <f t="shared" si="226"/>
        <v>Normal</v>
      </c>
      <c r="W3622" s="4" t="str">
        <f t="shared" si="227"/>
        <v>Poor</v>
      </c>
      <c r="X3622" s="4">
        <f>AVERAGE(Table1[Purchase Amount])</f>
        <v>129.48419400000012</v>
      </c>
    </row>
    <row r="3623" spans="1:24" ht="15" customHeight="1" x14ac:dyDescent="0.25">
      <c r="A3623">
        <v>3622</v>
      </c>
      <c r="B3623">
        <v>38</v>
      </c>
      <c r="C3623" t="s">
        <v>16</v>
      </c>
      <c r="D3623" t="s">
        <v>140</v>
      </c>
      <c r="E3623" t="s">
        <v>98</v>
      </c>
      <c r="F3623" s="2">
        <v>32</v>
      </c>
      <c r="G3623" t="s">
        <v>131</v>
      </c>
      <c r="H3623" t="s">
        <v>20</v>
      </c>
      <c r="I3623" t="s">
        <v>153</v>
      </c>
      <c r="J3623" t="s">
        <v>57</v>
      </c>
      <c r="K3623">
        <v>4</v>
      </c>
      <c r="L3623" t="s">
        <v>23</v>
      </c>
      <c r="M3623" t="s">
        <v>41</v>
      </c>
      <c r="N3623" t="s">
        <v>23</v>
      </c>
      <c r="O3623">
        <v>5</v>
      </c>
      <c r="P3623" t="s">
        <v>25</v>
      </c>
      <c r="Q3623" t="s">
        <v>89</v>
      </c>
      <c r="R3623" s="1">
        <v>0.1</v>
      </c>
      <c r="S3623">
        <f t="shared" si="224"/>
        <v>28.8</v>
      </c>
      <c r="T3623">
        <f>IFERROR(VLOOKUP(A3623,Table1[[Customer ID]:[Discount Amount]], 6, FALSE),"Not Found")</f>
        <v>32</v>
      </c>
      <c r="U3623" t="str">
        <f t="shared" si="225"/>
        <v>Cash</v>
      </c>
      <c r="V3623" s="4" t="str">
        <f t="shared" si="226"/>
        <v>Normal</v>
      </c>
      <c r="W3623" s="4" t="str">
        <f t="shared" si="227"/>
        <v>Good</v>
      </c>
      <c r="X3623" s="4">
        <f>AVERAGE(Table1[Purchase Amount])</f>
        <v>129.48419400000012</v>
      </c>
    </row>
    <row r="3624" spans="1:24" ht="15" customHeight="1" x14ac:dyDescent="0.25">
      <c r="A3624">
        <v>3623</v>
      </c>
      <c r="B3624">
        <v>46</v>
      </c>
      <c r="C3624" t="s">
        <v>16</v>
      </c>
      <c r="D3624" t="s">
        <v>157</v>
      </c>
      <c r="E3624" t="s">
        <v>18</v>
      </c>
      <c r="F3624" s="2">
        <v>41</v>
      </c>
      <c r="G3624" t="s">
        <v>59</v>
      </c>
      <c r="H3624" t="s">
        <v>31</v>
      </c>
      <c r="I3624" t="s">
        <v>66</v>
      </c>
      <c r="J3624" t="s">
        <v>47</v>
      </c>
      <c r="K3624">
        <v>4.3</v>
      </c>
      <c r="L3624" t="s">
        <v>23</v>
      </c>
      <c r="M3624" t="s">
        <v>48</v>
      </c>
      <c r="N3624" t="s">
        <v>23</v>
      </c>
      <c r="O3624">
        <v>12</v>
      </c>
      <c r="P3624" t="s">
        <v>53</v>
      </c>
      <c r="Q3624" t="s">
        <v>49</v>
      </c>
      <c r="R3624" s="1">
        <v>0.1</v>
      </c>
      <c r="S3624">
        <f t="shared" si="224"/>
        <v>36.9</v>
      </c>
      <c r="T3624">
        <f>IFERROR(VLOOKUP(A3624,Table1[[Customer ID]:[Discount Amount]], 6, FALSE),"Not Found")</f>
        <v>41</v>
      </c>
      <c r="U3624" t="str">
        <f t="shared" si="225"/>
        <v>Credit Card</v>
      </c>
      <c r="V3624" s="4" t="str">
        <f t="shared" si="226"/>
        <v>Normal</v>
      </c>
      <c r="W3624" s="4" t="str">
        <f t="shared" si="227"/>
        <v>Good</v>
      </c>
      <c r="X3624" s="4">
        <f>AVERAGE(Table1[Purchase Amount])</f>
        <v>129.48419400000012</v>
      </c>
    </row>
    <row r="3625" spans="1:24" ht="15" customHeight="1" x14ac:dyDescent="0.25">
      <c r="A3625">
        <v>3624</v>
      </c>
      <c r="B3625">
        <v>39</v>
      </c>
      <c r="C3625" t="s">
        <v>16</v>
      </c>
      <c r="D3625" t="s">
        <v>50</v>
      </c>
      <c r="E3625" t="s">
        <v>29</v>
      </c>
      <c r="F3625" s="2">
        <v>89</v>
      </c>
      <c r="G3625" t="s">
        <v>100</v>
      </c>
      <c r="H3625" t="s">
        <v>31</v>
      </c>
      <c r="I3625" t="s">
        <v>111</v>
      </c>
      <c r="J3625" t="s">
        <v>22</v>
      </c>
      <c r="K3625">
        <v>2.7</v>
      </c>
      <c r="L3625" t="s">
        <v>23</v>
      </c>
      <c r="M3625" t="s">
        <v>41</v>
      </c>
      <c r="N3625" t="s">
        <v>23</v>
      </c>
      <c r="O3625">
        <v>4</v>
      </c>
      <c r="P3625" t="s">
        <v>58</v>
      </c>
      <c r="Q3625" t="s">
        <v>26</v>
      </c>
      <c r="R3625" s="1">
        <v>0.1</v>
      </c>
      <c r="S3625">
        <f t="shared" si="224"/>
        <v>80.099999999999994</v>
      </c>
      <c r="T3625">
        <f>IFERROR(VLOOKUP(A3625,Table1[[Customer ID]:[Discount Amount]], 6, FALSE),"Not Found")</f>
        <v>89</v>
      </c>
      <c r="U3625" t="str">
        <f t="shared" si="225"/>
        <v>PayPal</v>
      </c>
      <c r="V3625" s="4" t="str">
        <f t="shared" si="226"/>
        <v>Normal</v>
      </c>
      <c r="W3625" s="4" t="str">
        <f t="shared" si="227"/>
        <v>Poor</v>
      </c>
      <c r="X3625" s="4">
        <f>AVERAGE(Table1[Purchase Amount])</f>
        <v>129.48419400000012</v>
      </c>
    </row>
    <row r="3626" spans="1:24" ht="15" customHeight="1" x14ac:dyDescent="0.25">
      <c r="A3626">
        <v>3625</v>
      </c>
      <c r="B3626">
        <v>22</v>
      </c>
      <c r="C3626" t="s">
        <v>16</v>
      </c>
      <c r="D3626" t="s">
        <v>64</v>
      </c>
      <c r="E3626" t="s">
        <v>29</v>
      </c>
      <c r="F3626" s="2">
        <v>82</v>
      </c>
      <c r="G3626" t="s">
        <v>152</v>
      </c>
      <c r="H3626" t="s">
        <v>20</v>
      </c>
      <c r="I3626" t="s">
        <v>145</v>
      </c>
      <c r="J3626" t="s">
        <v>47</v>
      </c>
      <c r="K3626">
        <v>5</v>
      </c>
      <c r="L3626" t="s">
        <v>23</v>
      </c>
      <c r="M3626" t="s">
        <v>48</v>
      </c>
      <c r="N3626" t="s">
        <v>23</v>
      </c>
      <c r="O3626">
        <v>22</v>
      </c>
      <c r="P3626" t="s">
        <v>88</v>
      </c>
      <c r="Q3626" t="s">
        <v>68</v>
      </c>
      <c r="R3626" s="1">
        <v>0.1</v>
      </c>
      <c r="S3626">
        <f t="shared" si="224"/>
        <v>73.8</v>
      </c>
      <c r="T3626">
        <f>IFERROR(VLOOKUP(A3626,Table1[[Customer ID]:[Discount Amount]], 6, FALSE),"Not Found")</f>
        <v>82</v>
      </c>
      <c r="U3626" t="str">
        <f t="shared" si="225"/>
        <v>Bank Transfer</v>
      </c>
      <c r="V3626" s="4" t="str">
        <f t="shared" si="226"/>
        <v>Normal</v>
      </c>
      <c r="W3626" s="4" t="str">
        <f t="shared" si="227"/>
        <v>Good</v>
      </c>
      <c r="X3626" s="4">
        <f>AVERAGE(Table1[Purchase Amount])</f>
        <v>129.48419400000012</v>
      </c>
    </row>
    <row r="3627" spans="1:24" ht="15" customHeight="1" x14ac:dyDescent="0.25">
      <c r="A3627">
        <v>3626</v>
      </c>
      <c r="B3627">
        <v>44</v>
      </c>
      <c r="C3627" t="s">
        <v>16</v>
      </c>
      <c r="D3627" t="s">
        <v>129</v>
      </c>
      <c r="E3627" t="s">
        <v>29</v>
      </c>
      <c r="F3627" s="2">
        <v>99</v>
      </c>
      <c r="G3627" t="s">
        <v>44</v>
      </c>
      <c r="H3627" t="s">
        <v>45</v>
      </c>
      <c r="I3627" t="s">
        <v>93</v>
      </c>
      <c r="J3627" t="s">
        <v>22</v>
      </c>
      <c r="K3627">
        <v>4.4000000000000004</v>
      </c>
      <c r="L3627" t="s">
        <v>23</v>
      </c>
      <c r="M3627" t="s">
        <v>61</v>
      </c>
      <c r="N3627" t="s">
        <v>23</v>
      </c>
      <c r="O3627">
        <v>32</v>
      </c>
      <c r="P3627" t="s">
        <v>58</v>
      </c>
      <c r="Q3627" t="s">
        <v>26</v>
      </c>
      <c r="R3627" s="1">
        <v>0.1</v>
      </c>
      <c r="S3627">
        <f t="shared" si="224"/>
        <v>89.1</v>
      </c>
      <c r="T3627">
        <f>IFERROR(VLOOKUP(A3627,Table1[[Customer ID]:[Discount Amount]], 6, FALSE),"Not Found")</f>
        <v>99</v>
      </c>
      <c r="U3627" t="str">
        <f t="shared" si="225"/>
        <v>PayPal</v>
      </c>
      <c r="V3627" s="4" t="str">
        <f t="shared" si="226"/>
        <v>Normal</v>
      </c>
      <c r="W3627" s="4" t="str">
        <f t="shared" si="227"/>
        <v>Good</v>
      </c>
      <c r="X3627" s="4">
        <f>AVERAGE(Table1[Purchase Amount])</f>
        <v>129.48419400000012</v>
      </c>
    </row>
    <row r="3628" spans="1:24" ht="15" customHeight="1" x14ac:dyDescent="0.25">
      <c r="A3628">
        <v>3627</v>
      </c>
      <c r="B3628">
        <v>69</v>
      </c>
      <c r="C3628" t="s">
        <v>16</v>
      </c>
      <c r="D3628" t="s">
        <v>118</v>
      </c>
      <c r="E3628" t="s">
        <v>18</v>
      </c>
      <c r="F3628" s="2">
        <v>98</v>
      </c>
      <c r="G3628" t="s">
        <v>149</v>
      </c>
      <c r="H3628" t="s">
        <v>45</v>
      </c>
      <c r="I3628" t="s">
        <v>147</v>
      </c>
      <c r="J3628" t="s">
        <v>47</v>
      </c>
      <c r="K3628">
        <v>3.5</v>
      </c>
      <c r="L3628" t="s">
        <v>23</v>
      </c>
      <c r="M3628" t="s">
        <v>61</v>
      </c>
      <c r="N3628" t="s">
        <v>23</v>
      </c>
      <c r="O3628">
        <v>32</v>
      </c>
      <c r="P3628" t="s">
        <v>62</v>
      </c>
      <c r="Q3628" t="s">
        <v>37</v>
      </c>
      <c r="R3628" s="1">
        <v>0.1</v>
      </c>
      <c r="S3628">
        <f t="shared" si="224"/>
        <v>88.2</v>
      </c>
      <c r="T3628">
        <f>IFERROR(VLOOKUP(A3628,Table1[[Customer ID]:[Discount Amount]], 6, FALSE),"Not Found")</f>
        <v>98</v>
      </c>
      <c r="U3628" t="str">
        <f t="shared" si="225"/>
        <v>Venmo</v>
      </c>
      <c r="V3628" s="4" t="str">
        <f t="shared" si="226"/>
        <v>Normal</v>
      </c>
      <c r="W3628" s="4" t="str">
        <f t="shared" si="227"/>
        <v>Good</v>
      </c>
      <c r="X3628" s="4">
        <f>AVERAGE(Table1[Purchase Amount])</f>
        <v>129.48419400000012</v>
      </c>
    </row>
    <row r="3629" spans="1:24" ht="15" customHeight="1" x14ac:dyDescent="0.25">
      <c r="A3629">
        <v>3628</v>
      </c>
      <c r="B3629">
        <v>39</v>
      </c>
      <c r="C3629" t="s">
        <v>16</v>
      </c>
      <c r="D3629" t="s">
        <v>114</v>
      </c>
      <c r="E3629" t="s">
        <v>29</v>
      </c>
      <c r="F3629" s="2">
        <v>54</v>
      </c>
      <c r="G3629" t="s">
        <v>143</v>
      </c>
      <c r="H3629" t="s">
        <v>31</v>
      </c>
      <c r="I3629" t="s">
        <v>153</v>
      </c>
      <c r="J3629" t="s">
        <v>22</v>
      </c>
      <c r="K3629">
        <v>3.3</v>
      </c>
      <c r="L3629" t="s">
        <v>23</v>
      </c>
      <c r="M3629" t="s">
        <v>79</v>
      </c>
      <c r="N3629" t="s">
        <v>23</v>
      </c>
      <c r="O3629">
        <v>48</v>
      </c>
      <c r="P3629" t="s">
        <v>25</v>
      </c>
      <c r="Q3629" t="s">
        <v>63</v>
      </c>
      <c r="R3629" s="1">
        <v>0.1</v>
      </c>
      <c r="S3629">
        <f t="shared" si="224"/>
        <v>48.6</v>
      </c>
      <c r="T3629">
        <f>IFERROR(VLOOKUP(A3629,Table1[[Customer ID]:[Discount Amount]], 6, FALSE),"Not Found")</f>
        <v>54</v>
      </c>
      <c r="U3629" t="str">
        <f t="shared" si="225"/>
        <v>Cash</v>
      </c>
      <c r="V3629" s="4" t="str">
        <f t="shared" si="226"/>
        <v>Normal</v>
      </c>
      <c r="W3629" s="4" t="str">
        <f t="shared" si="227"/>
        <v>Good</v>
      </c>
      <c r="X3629" s="4">
        <f>AVERAGE(Table1[Purchase Amount])</f>
        <v>129.48419400000012</v>
      </c>
    </row>
    <row r="3630" spans="1:24" ht="15" customHeight="1" x14ac:dyDescent="0.25">
      <c r="A3630">
        <v>3629</v>
      </c>
      <c r="B3630">
        <v>53</v>
      </c>
      <c r="C3630" t="s">
        <v>16</v>
      </c>
      <c r="D3630" t="s">
        <v>118</v>
      </c>
      <c r="E3630" t="s">
        <v>18</v>
      </c>
      <c r="F3630" s="2">
        <v>88</v>
      </c>
      <c r="G3630" t="s">
        <v>160</v>
      </c>
      <c r="H3630" t="s">
        <v>45</v>
      </c>
      <c r="I3630" t="s">
        <v>66</v>
      </c>
      <c r="J3630" t="s">
        <v>57</v>
      </c>
      <c r="K3630">
        <v>3.8</v>
      </c>
      <c r="L3630" t="s">
        <v>23</v>
      </c>
      <c r="M3630" t="s">
        <v>35</v>
      </c>
      <c r="N3630" t="s">
        <v>23</v>
      </c>
      <c r="O3630">
        <v>35</v>
      </c>
      <c r="P3630" t="s">
        <v>53</v>
      </c>
      <c r="Q3630" t="s">
        <v>42</v>
      </c>
      <c r="R3630" s="1">
        <v>0.1</v>
      </c>
      <c r="S3630">
        <f t="shared" si="224"/>
        <v>79.2</v>
      </c>
      <c r="T3630">
        <f>IFERROR(VLOOKUP(A3630,Table1[[Customer ID]:[Discount Amount]], 6, FALSE),"Not Found")</f>
        <v>88</v>
      </c>
      <c r="U3630" t="str">
        <f t="shared" si="225"/>
        <v>Credit Card</v>
      </c>
      <c r="V3630" s="4" t="str">
        <f t="shared" si="226"/>
        <v>Normal</v>
      </c>
      <c r="W3630" s="4" t="str">
        <f t="shared" si="227"/>
        <v>Good</v>
      </c>
      <c r="X3630" s="4">
        <f>AVERAGE(Table1[Purchase Amount])</f>
        <v>129.48419400000012</v>
      </c>
    </row>
    <row r="3631" spans="1:24" ht="15" customHeight="1" x14ac:dyDescent="0.25">
      <c r="A3631">
        <v>3630</v>
      </c>
      <c r="B3631">
        <v>52</v>
      </c>
      <c r="C3631" t="s">
        <v>16</v>
      </c>
      <c r="D3631" t="s">
        <v>17</v>
      </c>
      <c r="E3631" t="s">
        <v>18</v>
      </c>
      <c r="F3631" s="2">
        <v>43</v>
      </c>
      <c r="G3631" t="s">
        <v>124</v>
      </c>
      <c r="H3631" t="s">
        <v>45</v>
      </c>
      <c r="I3631" t="s">
        <v>107</v>
      </c>
      <c r="J3631" t="s">
        <v>57</v>
      </c>
      <c r="K3631">
        <v>4.5</v>
      </c>
      <c r="L3631" t="s">
        <v>23</v>
      </c>
      <c r="M3631" t="s">
        <v>24</v>
      </c>
      <c r="N3631" t="s">
        <v>23</v>
      </c>
      <c r="O3631">
        <v>44</v>
      </c>
      <c r="P3631" t="s">
        <v>36</v>
      </c>
      <c r="Q3631" t="s">
        <v>89</v>
      </c>
      <c r="R3631" s="1">
        <v>0.1</v>
      </c>
      <c r="S3631">
        <f t="shared" si="224"/>
        <v>38.700000000000003</v>
      </c>
      <c r="T3631">
        <f>IFERROR(VLOOKUP(A3631,Table1[[Customer ID]:[Discount Amount]], 6, FALSE),"Not Found")</f>
        <v>43</v>
      </c>
      <c r="U3631" t="str">
        <f t="shared" si="225"/>
        <v>Debit Card</v>
      </c>
      <c r="V3631" s="4" t="str">
        <f t="shared" si="226"/>
        <v>Normal</v>
      </c>
      <c r="W3631" s="4" t="str">
        <f t="shared" si="227"/>
        <v>Good</v>
      </c>
      <c r="X3631" s="4">
        <f>AVERAGE(Table1[Purchase Amount])</f>
        <v>129.48419400000012</v>
      </c>
    </row>
    <row r="3632" spans="1:24" ht="15" customHeight="1" x14ac:dyDescent="0.25">
      <c r="A3632">
        <v>3631</v>
      </c>
      <c r="B3632">
        <v>65</v>
      </c>
      <c r="C3632" t="s">
        <v>16</v>
      </c>
      <c r="D3632" t="s">
        <v>64</v>
      </c>
      <c r="E3632" t="s">
        <v>29</v>
      </c>
      <c r="F3632" s="2">
        <v>73</v>
      </c>
      <c r="G3632" t="s">
        <v>142</v>
      </c>
      <c r="H3632" t="s">
        <v>31</v>
      </c>
      <c r="I3632" t="s">
        <v>107</v>
      </c>
      <c r="J3632" t="s">
        <v>22</v>
      </c>
      <c r="K3632">
        <v>4.8</v>
      </c>
      <c r="L3632" t="s">
        <v>23</v>
      </c>
      <c r="M3632" t="s">
        <v>48</v>
      </c>
      <c r="N3632" t="s">
        <v>23</v>
      </c>
      <c r="O3632">
        <v>29</v>
      </c>
      <c r="P3632" t="s">
        <v>25</v>
      </c>
      <c r="Q3632" t="s">
        <v>26</v>
      </c>
      <c r="R3632" s="1">
        <v>0.1</v>
      </c>
      <c r="S3632">
        <f t="shared" si="224"/>
        <v>65.7</v>
      </c>
      <c r="T3632">
        <f>IFERROR(VLOOKUP(A3632,Table1[[Customer ID]:[Discount Amount]], 6, FALSE),"Not Found")</f>
        <v>73</v>
      </c>
      <c r="U3632" t="str">
        <f t="shared" si="225"/>
        <v>Cash</v>
      </c>
      <c r="V3632" s="4" t="str">
        <f t="shared" si="226"/>
        <v>Normal</v>
      </c>
      <c r="W3632" s="4" t="str">
        <f t="shared" si="227"/>
        <v>Good</v>
      </c>
      <c r="X3632" s="4">
        <f>AVERAGE(Table1[Purchase Amount])</f>
        <v>129.48419400000012</v>
      </c>
    </row>
    <row r="3633" spans="1:24" ht="15" customHeight="1" x14ac:dyDescent="0.25">
      <c r="A3633">
        <v>3632</v>
      </c>
      <c r="B3633">
        <v>48</v>
      </c>
      <c r="C3633" t="s">
        <v>16</v>
      </c>
      <c r="D3633" t="s">
        <v>64</v>
      </c>
      <c r="E3633" t="s">
        <v>29</v>
      </c>
      <c r="F3633" s="2">
        <v>50</v>
      </c>
      <c r="G3633" t="s">
        <v>131</v>
      </c>
      <c r="H3633" t="s">
        <v>31</v>
      </c>
      <c r="I3633" t="s">
        <v>145</v>
      </c>
      <c r="J3633" t="s">
        <v>47</v>
      </c>
      <c r="K3633">
        <v>2.9</v>
      </c>
      <c r="L3633" t="s">
        <v>23</v>
      </c>
      <c r="M3633" t="s">
        <v>48</v>
      </c>
      <c r="N3633" t="s">
        <v>23</v>
      </c>
      <c r="O3633">
        <v>26</v>
      </c>
      <c r="P3633" t="s">
        <v>53</v>
      </c>
      <c r="Q3633" t="s">
        <v>42</v>
      </c>
      <c r="R3633" s="1">
        <v>0.1</v>
      </c>
      <c r="S3633">
        <f t="shared" si="224"/>
        <v>45</v>
      </c>
      <c r="T3633">
        <f>IFERROR(VLOOKUP(A3633,Table1[[Customer ID]:[Discount Amount]], 6, FALSE),"Not Found")</f>
        <v>50</v>
      </c>
      <c r="U3633" t="str">
        <f t="shared" si="225"/>
        <v>Credit Card</v>
      </c>
      <c r="V3633" s="4" t="str">
        <f t="shared" si="226"/>
        <v>Normal</v>
      </c>
      <c r="W3633" s="4" t="str">
        <f t="shared" si="227"/>
        <v>Poor</v>
      </c>
      <c r="X3633" s="4">
        <f>AVERAGE(Table1[Purchase Amount])</f>
        <v>129.48419400000012</v>
      </c>
    </row>
    <row r="3634" spans="1:24" ht="15" customHeight="1" x14ac:dyDescent="0.25">
      <c r="A3634">
        <v>3633</v>
      </c>
      <c r="B3634">
        <v>27</v>
      </c>
      <c r="C3634" t="s">
        <v>16</v>
      </c>
      <c r="D3634" t="s">
        <v>140</v>
      </c>
      <c r="E3634" t="s">
        <v>98</v>
      </c>
      <c r="F3634" s="2">
        <v>73</v>
      </c>
      <c r="G3634" t="s">
        <v>144</v>
      </c>
      <c r="H3634" t="s">
        <v>45</v>
      </c>
      <c r="I3634" t="s">
        <v>93</v>
      </c>
      <c r="J3634" t="s">
        <v>33</v>
      </c>
      <c r="K3634">
        <v>3.2</v>
      </c>
      <c r="L3634" t="s">
        <v>23</v>
      </c>
      <c r="M3634" t="s">
        <v>61</v>
      </c>
      <c r="N3634" t="s">
        <v>23</v>
      </c>
      <c r="O3634">
        <v>3</v>
      </c>
      <c r="P3634" t="s">
        <v>36</v>
      </c>
      <c r="Q3634" t="s">
        <v>37</v>
      </c>
      <c r="R3634" s="1">
        <v>0.1</v>
      </c>
      <c r="S3634">
        <f t="shared" si="224"/>
        <v>65.7</v>
      </c>
      <c r="T3634">
        <f>IFERROR(VLOOKUP(A3634,Table1[[Customer ID]:[Discount Amount]], 6, FALSE),"Not Found")</f>
        <v>73</v>
      </c>
      <c r="U3634" t="str">
        <f t="shared" si="225"/>
        <v>Debit Card</v>
      </c>
      <c r="V3634" s="4" t="str">
        <f t="shared" si="226"/>
        <v>Normal</v>
      </c>
      <c r="W3634" s="4" t="str">
        <f t="shared" si="227"/>
        <v>Good</v>
      </c>
      <c r="X3634" s="4">
        <f>AVERAGE(Table1[Purchase Amount])</f>
        <v>129.48419400000012</v>
      </c>
    </row>
    <row r="3635" spans="1:24" ht="15" customHeight="1" x14ac:dyDescent="0.25">
      <c r="A3635">
        <v>3634</v>
      </c>
      <c r="B3635">
        <v>39</v>
      </c>
      <c r="C3635" t="s">
        <v>16</v>
      </c>
      <c r="D3635" t="s">
        <v>43</v>
      </c>
      <c r="E3635" t="s">
        <v>29</v>
      </c>
      <c r="F3635" s="2">
        <v>51</v>
      </c>
      <c r="G3635" t="s">
        <v>39</v>
      </c>
      <c r="H3635" t="s">
        <v>31</v>
      </c>
      <c r="I3635" t="s">
        <v>108</v>
      </c>
      <c r="J3635" t="s">
        <v>33</v>
      </c>
      <c r="K3635">
        <v>2.8</v>
      </c>
      <c r="L3635" t="s">
        <v>23</v>
      </c>
      <c r="M3635" t="s">
        <v>35</v>
      </c>
      <c r="N3635" t="s">
        <v>23</v>
      </c>
      <c r="O3635">
        <v>1</v>
      </c>
      <c r="P3635" t="s">
        <v>88</v>
      </c>
      <c r="Q3635" t="s">
        <v>68</v>
      </c>
      <c r="R3635" s="1">
        <v>0.1</v>
      </c>
      <c r="S3635">
        <f t="shared" si="224"/>
        <v>45.9</v>
      </c>
      <c r="T3635">
        <f>IFERROR(VLOOKUP(A3635,Table1[[Customer ID]:[Discount Amount]], 6, FALSE),"Not Found")</f>
        <v>51</v>
      </c>
      <c r="U3635" t="str">
        <f t="shared" si="225"/>
        <v>Bank Transfer</v>
      </c>
      <c r="V3635" s="4" t="str">
        <f t="shared" si="226"/>
        <v>Normal</v>
      </c>
      <c r="W3635" s="4" t="str">
        <f t="shared" si="227"/>
        <v>Poor</v>
      </c>
      <c r="X3635" s="4">
        <f>AVERAGE(Table1[Purchase Amount])</f>
        <v>129.48419400000012</v>
      </c>
    </row>
    <row r="3636" spans="1:24" ht="15" customHeight="1" x14ac:dyDescent="0.25">
      <c r="A3636">
        <v>3635</v>
      </c>
      <c r="B3636">
        <v>59</v>
      </c>
      <c r="C3636" t="s">
        <v>16</v>
      </c>
      <c r="D3636" t="s">
        <v>105</v>
      </c>
      <c r="E3636" t="s">
        <v>18</v>
      </c>
      <c r="F3636" s="2">
        <v>22</v>
      </c>
      <c r="G3636" t="s">
        <v>90</v>
      </c>
      <c r="H3636" t="s">
        <v>31</v>
      </c>
      <c r="I3636" t="s">
        <v>136</v>
      </c>
      <c r="J3636" t="s">
        <v>22</v>
      </c>
      <c r="K3636">
        <v>3.3</v>
      </c>
      <c r="L3636" t="s">
        <v>23</v>
      </c>
      <c r="M3636" t="s">
        <v>24</v>
      </c>
      <c r="N3636" t="s">
        <v>23</v>
      </c>
      <c r="O3636">
        <v>17</v>
      </c>
      <c r="P3636" t="s">
        <v>58</v>
      </c>
      <c r="Q3636" t="s">
        <v>49</v>
      </c>
      <c r="R3636" s="1">
        <v>0.1</v>
      </c>
      <c r="S3636">
        <f t="shared" si="224"/>
        <v>19.8</v>
      </c>
      <c r="T3636">
        <f>IFERROR(VLOOKUP(A3636,Table1[[Customer ID]:[Discount Amount]], 6, FALSE),"Not Found")</f>
        <v>22</v>
      </c>
      <c r="U3636" t="str">
        <f t="shared" si="225"/>
        <v>PayPal</v>
      </c>
      <c r="V3636" s="4" t="str">
        <f t="shared" si="226"/>
        <v>Normal</v>
      </c>
      <c r="W3636" s="4" t="str">
        <f t="shared" si="227"/>
        <v>Good</v>
      </c>
      <c r="X3636" s="4">
        <f>AVERAGE(Table1[Purchase Amount])</f>
        <v>129.48419400000012</v>
      </c>
    </row>
    <row r="3637" spans="1:24" ht="15" customHeight="1" x14ac:dyDescent="0.25">
      <c r="A3637">
        <v>3636</v>
      </c>
      <c r="B3637">
        <v>52</v>
      </c>
      <c r="C3637" t="s">
        <v>16</v>
      </c>
      <c r="D3637" t="s">
        <v>121</v>
      </c>
      <c r="E3637" t="s">
        <v>98</v>
      </c>
      <c r="F3637" s="2">
        <v>32</v>
      </c>
      <c r="G3637" t="s">
        <v>92</v>
      </c>
      <c r="H3637" t="s">
        <v>45</v>
      </c>
      <c r="I3637" t="s">
        <v>128</v>
      </c>
      <c r="J3637" t="s">
        <v>47</v>
      </c>
      <c r="K3637">
        <v>3.3</v>
      </c>
      <c r="L3637" t="s">
        <v>23</v>
      </c>
      <c r="M3637" t="s">
        <v>35</v>
      </c>
      <c r="N3637" t="s">
        <v>23</v>
      </c>
      <c r="O3637">
        <v>17</v>
      </c>
      <c r="P3637" t="s">
        <v>53</v>
      </c>
      <c r="Q3637" t="s">
        <v>89</v>
      </c>
      <c r="R3637" s="1">
        <v>0.1</v>
      </c>
      <c r="S3637">
        <f t="shared" si="224"/>
        <v>28.8</v>
      </c>
      <c r="T3637">
        <f>IFERROR(VLOOKUP(A3637,Table1[[Customer ID]:[Discount Amount]], 6, FALSE),"Not Found")</f>
        <v>32</v>
      </c>
      <c r="U3637" t="str">
        <f t="shared" si="225"/>
        <v>Credit Card</v>
      </c>
      <c r="V3637" s="4" t="str">
        <f t="shared" si="226"/>
        <v>Normal</v>
      </c>
      <c r="W3637" s="4" t="str">
        <f t="shared" si="227"/>
        <v>Good</v>
      </c>
      <c r="X3637" s="4">
        <f>AVERAGE(Table1[Purchase Amount])</f>
        <v>129.48419400000012</v>
      </c>
    </row>
    <row r="3638" spans="1:24" ht="15" customHeight="1" x14ac:dyDescent="0.25">
      <c r="A3638">
        <v>3637</v>
      </c>
      <c r="B3638">
        <v>50</v>
      </c>
      <c r="C3638" t="s">
        <v>16</v>
      </c>
      <c r="D3638" t="s">
        <v>121</v>
      </c>
      <c r="E3638" t="s">
        <v>98</v>
      </c>
      <c r="F3638" s="2">
        <v>38</v>
      </c>
      <c r="G3638" t="s">
        <v>19</v>
      </c>
      <c r="H3638" t="s">
        <v>45</v>
      </c>
      <c r="I3638" t="s">
        <v>107</v>
      </c>
      <c r="J3638" t="s">
        <v>57</v>
      </c>
      <c r="K3638">
        <v>4.2</v>
      </c>
      <c r="L3638" t="s">
        <v>23</v>
      </c>
      <c r="M3638" t="s">
        <v>41</v>
      </c>
      <c r="N3638" t="s">
        <v>23</v>
      </c>
      <c r="O3638">
        <v>36</v>
      </c>
      <c r="P3638" t="s">
        <v>25</v>
      </c>
      <c r="Q3638" t="s">
        <v>26</v>
      </c>
      <c r="R3638" s="1">
        <v>0.1</v>
      </c>
      <c r="S3638">
        <f t="shared" si="224"/>
        <v>34.200000000000003</v>
      </c>
      <c r="T3638">
        <f>IFERROR(VLOOKUP(A3638,Table1[[Customer ID]:[Discount Amount]], 6, FALSE),"Not Found")</f>
        <v>38</v>
      </c>
      <c r="U3638" t="str">
        <f t="shared" si="225"/>
        <v>Cash</v>
      </c>
      <c r="V3638" s="4" t="str">
        <f t="shared" si="226"/>
        <v>Normal</v>
      </c>
      <c r="W3638" s="4" t="str">
        <f t="shared" si="227"/>
        <v>Good</v>
      </c>
      <c r="X3638" s="4">
        <f>AVERAGE(Table1[Purchase Amount])</f>
        <v>129.48419400000012</v>
      </c>
    </row>
    <row r="3639" spans="1:24" ht="15" customHeight="1" x14ac:dyDescent="0.25">
      <c r="A3639">
        <v>3638</v>
      </c>
      <c r="B3639">
        <v>32</v>
      </c>
      <c r="C3639" t="s">
        <v>16</v>
      </c>
      <c r="D3639" t="s">
        <v>151</v>
      </c>
      <c r="E3639" t="s">
        <v>98</v>
      </c>
      <c r="F3639" s="2">
        <v>66</v>
      </c>
      <c r="G3639" t="s">
        <v>144</v>
      </c>
      <c r="H3639" t="s">
        <v>45</v>
      </c>
      <c r="I3639" t="s">
        <v>52</v>
      </c>
      <c r="J3639" t="s">
        <v>22</v>
      </c>
      <c r="K3639">
        <v>3.6</v>
      </c>
      <c r="L3639" t="s">
        <v>23</v>
      </c>
      <c r="M3639" t="s">
        <v>61</v>
      </c>
      <c r="N3639" t="s">
        <v>23</v>
      </c>
      <c r="O3639">
        <v>32</v>
      </c>
      <c r="P3639" t="s">
        <v>53</v>
      </c>
      <c r="Q3639" t="s">
        <v>89</v>
      </c>
      <c r="R3639" s="1">
        <v>0.1</v>
      </c>
      <c r="S3639">
        <f t="shared" si="224"/>
        <v>59.4</v>
      </c>
      <c r="T3639">
        <f>IFERROR(VLOOKUP(A3639,Table1[[Customer ID]:[Discount Amount]], 6, FALSE),"Not Found")</f>
        <v>66</v>
      </c>
      <c r="U3639" t="str">
        <f t="shared" si="225"/>
        <v>Credit Card</v>
      </c>
      <c r="V3639" s="4" t="str">
        <f t="shared" si="226"/>
        <v>Normal</v>
      </c>
      <c r="W3639" s="4" t="str">
        <f t="shared" si="227"/>
        <v>Good</v>
      </c>
      <c r="X3639" s="4">
        <f>AVERAGE(Table1[Purchase Amount])</f>
        <v>129.48419400000012</v>
      </c>
    </row>
    <row r="3640" spans="1:24" ht="15" customHeight="1" x14ac:dyDescent="0.25">
      <c r="A3640">
        <v>3639</v>
      </c>
      <c r="B3640">
        <v>40</v>
      </c>
      <c r="C3640" t="s">
        <v>16</v>
      </c>
      <c r="D3640" t="s">
        <v>104</v>
      </c>
      <c r="E3640" t="s">
        <v>29</v>
      </c>
      <c r="F3640" s="2">
        <v>20</v>
      </c>
      <c r="G3640" t="s">
        <v>124</v>
      </c>
      <c r="H3640" t="s">
        <v>31</v>
      </c>
      <c r="I3640" t="s">
        <v>21</v>
      </c>
      <c r="J3640" t="s">
        <v>33</v>
      </c>
      <c r="K3640">
        <v>4.5999999999999996</v>
      </c>
      <c r="L3640" t="s">
        <v>23</v>
      </c>
      <c r="M3640" t="s">
        <v>61</v>
      </c>
      <c r="N3640" t="s">
        <v>23</v>
      </c>
      <c r="O3640">
        <v>50</v>
      </c>
      <c r="P3640" t="s">
        <v>58</v>
      </c>
      <c r="Q3640" t="s">
        <v>68</v>
      </c>
      <c r="R3640" s="1">
        <v>0.1</v>
      </c>
      <c r="S3640">
        <f t="shared" si="224"/>
        <v>18</v>
      </c>
      <c r="T3640">
        <f>IFERROR(VLOOKUP(A3640,Table1[[Customer ID]:[Discount Amount]], 6, FALSE),"Not Found")</f>
        <v>20</v>
      </c>
      <c r="U3640" t="str">
        <f t="shared" si="225"/>
        <v>PayPal</v>
      </c>
      <c r="V3640" s="4" t="str">
        <f t="shared" si="226"/>
        <v>Normal</v>
      </c>
      <c r="W3640" s="4" t="str">
        <f t="shared" si="227"/>
        <v>Good</v>
      </c>
      <c r="X3640" s="4">
        <f>AVERAGE(Table1[Purchase Amount])</f>
        <v>129.48419400000012</v>
      </c>
    </row>
    <row r="3641" spans="1:24" ht="15" customHeight="1" x14ac:dyDescent="0.25">
      <c r="A3641">
        <v>3640</v>
      </c>
      <c r="B3641">
        <v>26</v>
      </c>
      <c r="C3641" t="s">
        <v>16</v>
      </c>
      <c r="D3641" t="s">
        <v>76</v>
      </c>
      <c r="E3641" t="s">
        <v>77</v>
      </c>
      <c r="F3641" s="2">
        <v>44</v>
      </c>
      <c r="G3641" t="s">
        <v>44</v>
      </c>
      <c r="H3641" t="s">
        <v>31</v>
      </c>
      <c r="I3641" t="s">
        <v>60</v>
      </c>
      <c r="J3641" t="s">
        <v>57</v>
      </c>
      <c r="K3641">
        <v>3.6</v>
      </c>
      <c r="L3641" t="s">
        <v>23</v>
      </c>
      <c r="M3641" t="s">
        <v>41</v>
      </c>
      <c r="N3641" t="s">
        <v>23</v>
      </c>
      <c r="O3641">
        <v>39</v>
      </c>
      <c r="P3641" t="s">
        <v>62</v>
      </c>
      <c r="Q3641" t="s">
        <v>49</v>
      </c>
      <c r="R3641" s="1">
        <v>0.1</v>
      </c>
      <c r="S3641">
        <f t="shared" si="224"/>
        <v>39.6</v>
      </c>
      <c r="T3641">
        <f>IFERROR(VLOOKUP(A3641,Table1[[Customer ID]:[Discount Amount]], 6, FALSE),"Not Found")</f>
        <v>44</v>
      </c>
      <c r="U3641" t="str">
        <f t="shared" si="225"/>
        <v>Venmo</v>
      </c>
      <c r="V3641" s="4" t="str">
        <f t="shared" si="226"/>
        <v>Normal</v>
      </c>
      <c r="W3641" s="4" t="str">
        <f t="shared" si="227"/>
        <v>Good</v>
      </c>
      <c r="X3641" s="4">
        <f>AVERAGE(Table1[Purchase Amount])</f>
        <v>129.48419400000012</v>
      </c>
    </row>
    <row r="3642" spans="1:24" ht="15" customHeight="1" x14ac:dyDescent="0.25">
      <c r="A3642">
        <v>3641</v>
      </c>
      <c r="B3642">
        <v>47</v>
      </c>
      <c r="C3642" t="s">
        <v>16</v>
      </c>
      <c r="D3642" t="s">
        <v>28</v>
      </c>
      <c r="E3642" t="s">
        <v>29</v>
      </c>
      <c r="F3642" s="2">
        <v>31</v>
      </c>
      <c r="G3642" t="s">
        <v>120</v>
      </c>
      <c r="H3642" t="s">
        <v>45</v>
      </c>
      <c r="I3642" t="s">
        <v>136</v>
      </c>
      <c r="J3642" t="s">
        <v>33</v>
      </c>
      <c r="K3642">
        <v>4</v>
      </c>
      <c r="L3642" t="s">
        <v>23</v>
      </c>
      <c r="M3642" t="s">
        <v>79</v>
      </c>
      <c r="N3642" t="s">
        <v>23</v>
      </c>
      <c r="O3642">
        <v>17</v>
      </c>
      <c r="P3642" t="s">
        <v>58</v>
      </c>
      <c r="Q3642" t="s">
        <v>42</v>
      </c>
      <c r="R3642" s="1">
        <v>0.1</v>
      </c>
      <c r="S3642">
        <f t="shared" si="224"/>
        <v>27.9</v>
      </c>
      <c r="T3642">
        <f>IFERROR(VLOOKUP(A3642,Table1[[Customer ID]:[Discount Amount]], 6, FALSE),"Not Found")</f>
        <v>31</v>
      </c>
      <c r="U3642" t="str">
        <f t="shared" si="225"/>
        <v>PayPal</v>
      </c>
      <c r="V3642" s="4" t="str">
        <f t="shared" si="226"/>
        <v>Normal</v>
      </c>
      <c r="W3642" s="4" t="str">
        <f t="shared" si="227"/>
        <v>Good</v>
      </c>
      <c r="X3642" s="4">
        <f>AVERAGE(Table1[Purchase Amount])</f>
        <v>129.48419400000012</v>
      </c>
    </row>
    <row r="3643" spans="1:24" ht="15" customHeight="1" x14ac:dyDescent="0.25">
      <c r="A3643">
        <v>3642</v>
      </c>
      <c r="B3643">
        <v>51</v>
      </c>
      <c r="C3643" t="s">
        <v>16</v>
      </c>
      <c r="D3643" t="s">
        <v>96</v>
      </c>
      <c r="E3643" t="s">
        <v>77</v>
      </c>
      <c r="F3643" s="2">
        <v>45</v>
      </c>
      <c r="G3643" t="s">
        <v>101</v>
      </c>
      <c r="H3643" t="s">
        <v>31</v>
      </c>
      <c r="I3643" t="s">
        <v>128</v>
      </c>
      <c r="J3643" t="s">
        <v>47</v>
      </c>
      <c r="K3643">
        <v>2.7</v>
      </c>
      <c r="L3643" t="s">
        <v>23</v>
      </c>
      <c r="M3643" t="s">
        <v>35</v>
      </c>
      <c r="N3643" t="s">
        <v>23</v>
      </c>
      <c r="O3643">
        <v>39</v>
      </c>
      <c r="P3643" t="s">
        <v>88</v>
      </c>
      <c r="Q3643" t="s">
        <v>63</v>
      </c>
      <c r="R3643" s="1">
        <v>0.1</v>
      </c>
      <c r="S3643">
        <f t="shared" si="224"/>
        <v>40.5</v>
      </c>
      <c r="T3643">
        <f>IFERROR(VLOOKUP(A3643,Table1[[Customer ID]:[Discount Amount]], 6, FALSE),"Not Found")</f>
        <v>45</v>
      </c>
      <c r="U3643" t="str">
        <f t="shared" si="225"/>
        <v>Bank Transfer</v>
      </c>
      <c r="V3643" s="4" t="str">
        <f t="shared" si="226"/>
        <v>Normal</v>
      </c>
      <c r="W3643" s="4" t="str">
        <f t="shared" si="227"/>
        <v>Poor</v>
      </c>
      <c r="X3643" s="4">
        <f>AVERAGE(Table1[Purchase Amount])</f>
        <v>129.48419400000012</v>
      </c>
    </row>
    <row r="3644" spans="1:24" ht="15" customHeight="1" x14ac:dyDescent="0.25">
      <c r="A3644">
        <v>3643</v>
      </c>
      <c r="B3644">
        <v>47</v>
      </c>
      <c r="C3644" t="s">
        <v>16</v>
      </c>
      <c r="D3644" t="s">
        <v>157</v>
      </c>
      <c r="E3644" t="s">
        <v>18</v>
      </c>
      <c r="F3644" s="2">
        <v>71</v>
      </c>
      <c r="G3644" t="s">
        <v>150</v>
      </c>
      <c r="H3644" t="s">
        <v>45</v>
      </c>
      <c r="I3644" t="s">
        <v>125</v>
      </c>
      <c r="J3644" t="s">
        <v>57</v>
      </c>
      <c r="K3644">
        <v>4.4000000000000004</v>
      </c>
      <c r="L3644" t="s">
        <v>23</v>
      </c>
      <c r="M3644" t="s">
        <v>48</v>
      </c>
      <c r="N3644" t="s">
        <v>23</v>
      </c>
      <c r="O3644">
        <v>5</v>
      </c>
      <c r="P3644" t="s">
        <v>58</v>
      </c>
      <c r="Q3644" t="s">
        <v>49</v>
      </c>
      <c r="R3644" s="1">
        <v>0.1</v>
      </c>
      <c r="S3644">
        <f t="shared" si="224"/>
        <v>63.9</v>
      </c>
      <c r="T3644">
        <f>IFERROR(VLOOKUP(A3644,Table1[[Customer ID]:[Discount Amount]], 6, FALSE),"Not Found")</f>
        <v>71</v>
      </c>
      <c r="U3644" t="str">
        <f t="shared" si="225"/>
        <v>PayPal</v>
      </c>
      <c r="V3644" s="4" t="str">
        <f t="shared" si="226"/>
        <v>Normal</v>
      </c>
      <c r="W3644" s="4" t="str">
        <f t="shared" si="227"/>
        <v>Good</v>
      </c>
      <c r="X3644" s="4">
        <f>AVERAGE(Table1[Purchase Amount])</f>
        <v>129.48419400000012</v>
      </c>
    </row>
    <row r="3645" spans="1:24" ht="15" customHeight="1" x14ac:dyDescent="0.25">
      <c r="A3645">
        <v>3644</v>
      </c>
      <c r="B3645">
        <v>53</v>
      </c>
      <c r="C3645" t="s">
        <v>16</v>
      </c>
      <c r="D3645" t="s">
        <v>129</v>
      </c>
      <c r="E3645" t="s">
        <v>29</v>
      </c>
      <c r="F3645" s="2">
        <v>96</v>
      </c>
      <c r="G3645" t="s">
        <v>65</v>
      </c>
      <c r="H3645" t="s">
        <v>20</v>
      </c>
      <c r="I3645" t="s">
        <v>87</v>
      </c>
      <c r="J3645" t="s">
        <v>47</v>
      </c>
      <c r="K3645">
        <v>3.2</v>
      </c>
      <c r="L3645" t="s">
        <v>23</v>
      </c>
      <c r="M3645" t="s">
        <v>24</v>
      </c>
      <c r="N3645" t="s">
        <v>23</v>
      </c>
      <c r="O3645">
        <v>47</v>
      </c>
      <c r="P3645" t="s">
        <v>36</v>
      </c>
      <c r="Q3645" t="s">
        <v>49</v>
      </c>
      <c r="R3645" s="1">
        <v>0.1</v>
      </c>
      <c r="S3645">
        <f t="shared" si="224"/>
        <v>86.4</v>
      </c>
      <c r="T3645">
        <f>IFERROR(VLOOKUP(A3645,Table1[[Customer ID]:[Discount Amount]], 6, FALSE),"Not Found")</f>
        <v>96</v>
      </c>
      <c r="U3645" t="str">
        <f t="shared" si="225"/>
        <v>Debit Card</v>
      </c>
      <c r="V3645" s="4" t="str">
        <f t="shared" si="226"/>
        <v>Normal</v>
      </c>
      <c r="W3645" s="4" t="str">
        <f t="shared" si="227"/>
        <v>Good</v>
      </c>
      <c r="X3645" s="4">
        <f>AVERAGE(Table1[Purchase Amount])</f>
        <v>129.48419400000012</v>
      </c>
    </row>
    <row r="3646" spans="1:24" ht="15" customHeight="1" x14ac:dyDescent="0.25">
      <c r="A3646">
        <v>3645</v>
      </c>
      <c r="B3646">
        <v>35</v>
      </c>
      <c r="C3646" t="s">
        <v>16</v>
      </c>
      <c r="D3646" t="s">
        <v>118</v>
      </c>
      <c r="E3646" t="s">
        <v>18</v>
      </c>
      <c r="F3646" s="2">
        <v>32</v>
      </c>
      <c r="G3646" t="s">
        <v>100</v>
      </c>
      <c r="H3646" t="s">
        <v>31</v>
      </c>
      <c r="I3646" t="s">
        <v>111</v>
      </c>
      <c r="J3646" t="s">
        <v>22</v>
      </c>
      <c r="K3646">
        <v>2.6</v>
      </c>
      <c r="L3646" t="s">
        <v>23</v>
      </c>
      <c r="M3646" t="s">
        <v>79</v>
      </c>
      <c r="N3646" t="s">
        <v>23</v>
      </c>
      <c r="O3646">
        <v>18</v>
      </c>
      <c r="P3646" t="s">
        <v>62</v>
      </c>
      <c r="Q3646" t="s">
        <v>26</v>
      </c>
      <c r="R3646" s="1">
        <v>0.1</v>
      </c>
      <c r="S3646">
        <f t="shared" si="224"/>
        <v>28.8</v>
      </c>
      <c r="T3646">
        <f>IFERROR(VLOOKUP(A3646,Table1[[Customer ID]:[Discount Amount]], 6, FALSE),"Not Found")</f>
        <v>32</v>
      </c>
      <c r="U3646" t="str">
        <f t="shared" si="225"/>
        <v>Venmo</v>
      </c>
      <c r="V3646" s="4" t="str">
        <f t="shared" si="226"/>
        <v>Normal</v>
      </c>
      <c r="W3646" s="4" t="str">
        <f t="shared" si="227"/>
        <v>Poor</v>
      </c>
      <c r="X3646" s="4">
        <f>AVERAGE(Table1[Purchase Amount])</f>
        <v>129.48419400000012</v>
      </c>
    </row>
    <row r="3647" spans="1:24" ht="15" customHeight="1" x14ac:dyDescent="0.25">
      <c r="A3647">
        <v>3646</v>
      </c>
      <c r="B3647">
        <v>38</v>
      </c>
      <c r="C3647" t="s">
        <v>16</v>
      </c>
      <c r="D3647" t="s">
        <v>104</v>
      </c>
      <c r="E3647" t="s">
        <v>29</v>
      </c>
      <c r="F3647" s="2">
        <v>90</v>
      </c>
      <c r="G3647" t="s">
        <v>92</v>
      </c>
      <c r="H3647" t="s">
        <v>45</v>
      </c>
      <c r="I3647" t="s">
        <v>153</v>
      </c>
      <c r="J3647" t="s">
        <v>57</v>
      </c>
      <c r="K3647">
        <v>3.4</v>
      </c>
      <c r="L3647" t="s">
        <v>23</v>
      </c>
      <c r="M3647" t="s">
        <v>35</v>
      </c>
      <c r="N3647" t="s">
        <v>23</v>
      </c>
      <c r="O3647">
        <v>31</v>
      </c>
      <c r="P3647" t="s">
        <v>53</v>
      </c>
      <c r="Q3647" t="s">
        <v>63</v>
      </c>
      <c r="R3647" s="1">
        <v>0.1</v>
      </c>
      <c r="S3647">
        <f t="shared" si="224"/>
        <v>81</v>
      </c>
      <c r="T3647">
        <f>IFERROR(VLOOKUP(A3647,Table1[[Customer ID]:[Discount Amount]], 6, FALSE),"Not Found")</f>
        <v>90</v>
      </c>
      <c r="U3647" t="str">
        <f t="shared" si="225"/>
        <v>Credit Card</v>
      </c>
      <c r="V3647" s="4" t="str">
        <f t="shared" si="226"/>
        <v>Normal</v>
      </c>
      <c r="W3647" s="4" t="str">
        <f t="shared" si="227"/>
        <v>Good</v>
      </c>
      <c r="X3647" s="4">
        <f>AVERAGE(Table1[Purchase Amount])</f>
        <v>129.48419400000012</v>
      </c>
    </row>
    <row r="3648" spans="1:24" ht="15" customHeight="1" x14ac:dyDescent="0.25">
      <c r="A3648">
        <v>3647</v>
      </c>
      <c r="B3648">
        <v>69</v>
      </c>
      <c r="C3648" t="s">
        <v>16</v>
      </c>
      <c r="D3648" t="s">
        <v>50</v>
      </c>
      <c r="E3648" t="s">
        <v>29</v>
      </c>
      <c r="F3648" s="2">
        <v>68</v>
      </c>
      <c r="G3648" t="s">
        <v>158</v>
      </c>
      <c r="H3648" t="s">
        <v>31</v>
      </c>
      <c r="I3648" t="s">
        <v>125</v>
      </c>
      <c r="J3648" t="s">
        <v>33</v>
      </c>
      <c r="K3648">
        <v>5</v>
      </c>
      <c r="L3648" t="s">
        <v>23</v>
      </c>
      <c r="M3648" t="s">
        <v>41</v>
      </c>
      <c r="N3648" t="s">
        <v>23</v>
      </c>
      <c r="O3648">
        <v>39</v>
      </c>
      <c r="P3648" t="s">
        <v>36</v>
      </c>
      <c r="Q3648" t="s">
        <v>89</v>
      </c>
      <c r="R3648" s="1">
        <v>0.1</v>
      </c>
      <c r="S3648">
        <f t="shared" si="224"/>
        <v>61.2</v>
      </c>
      <c r="T3648">
        <f>IFERROR(VLOOKUP(A3648,Table1[[Customer ID]:[Discount Amount]], 6, FALSE),"Not Found")</f>
        <v>68</v>
      </c>
      <c r="U3648" t="str">
        <f t="shared" si="225"/>
        <v>Debit Card</v>
      </c>
      <c r="V3648" s="4" t="str">
        <f t="shared" si="226"/>
        <v>Normal</v>
      </c>
      <c r="W3648" s="4" t="str">
        <f t="shared" si="227"/>
        <v>Good</v>
      </c>
      <c r="X3648" s="4">
        <f>AVERAGE(Table1[Purchase Amount])</f>
        <v>129.48419400000012</v>
      </c>
    </row>
    <row r="3649" spans="1:24" ht="15" customHeight="1" x14ac:dyDescent="0.25">
      <c r="A3649">
        <v>3648</v>
      </c>
      <c r="B3649">
        <v>47</v>
      </c>
      <c r="C3649" t="s">
        <v>16</v>
      </c>
      <c r="D3649" t="s">
        <v>54</v>
      </c>
      <c r="E3649" t="s">
        <v>18</v>
      </c>
      <c r="F3649" s="2">
        <v>45</v>
      </c>
      <c r="G3649" t="s">
        <v>124</v>
      </c>
      <c r="H3649" t="s">
        <v>31</v>
      </c>
      <c r="I3649" t="s">
        <v>85</v>
      </c>
      <c r="J3649" t="s">
        <v>22</v>
      </c>
      <c r="K3649">
        <v>2.9</v>
      </c>
      <c r="L3649" t="s">
        <v>23</v>
      </c>
      <c r="M3649" t="s">
        <v>48</v>
      </c>
      <c r="N3649" t="s">
        <v>23</v>
      </c>
      <c r="O3649">
        <v>12</v>
      </c>
      <c r="P3649" t="s">
        <v>88</v>
      </c>
      <c r="Q3649" t="s">
        <v>26</v>
      </c>
      <c r="R3649" s="1">
        <v>0.1</v>
      </c>
      <c r="S3649">
        <f t="shared" si="224"/>
        <v>40.5</v>
      </c>
      <c r="T3649">
        <f>IFERROR(VLOOKUP(A3649,Table1[[Customer ID]:[Discount Amount]], 6, FALSE),"Not Found")</f>
        <v>45</v>
      </c>
      <c r="U3649" t="str">
        <f t="shared" si="225"/>
        <v>Bank Transfer</v>
      </c>
      <c r="V3649" s="4" t="str">
        <f t="shared" si="226"/>
        <v>Normal</v>
      </c>
      <c r="W3649" s="4" t="str">
        <f t="shared" si="227"/>
        <v>Poor</v>
      </c>
      <c r="X3649" s="4">
        <f>AVERAGE(Table1[Purchase Amount])</f>
        <v>129.48419400000012</v>
      </c>
    </row>
    <row r="3650" spans="1:24" ht="15" customHeight="1" x14ac:dyDescent="0.25">
      <c r="A3650">
        <v>3649</v>
      </c>
      <c r="B3650">
        <v>31</v>
      </c>
      <c r="C3650" t="s">
        <v>16</v>
      </c>
      <c r="D3650" t="s">
        <v>122</v>
      </c>
      <c r="E3650" t="s">
        <v>18</v>
      </c>
      <c r="F3650" s="2">
        <v>67</v>
      </c>
      <c r="G3650" t="s">
        <v>101</v>
      </c>
      <c r="H3650" t="s">
        <v>31</v>
      </c>
      <c r="I3650" t="s">
        <v>32</v>
      </c>
      <c r="J3650" t="s">
        <v>22</v>
      </c>
      <c r="K3650">
        <v>5</v>
      </c>
      <c r="L3650" t="s">
        <v>23</v>
      </c>
      <c r="M3650" t="s">
        <v>35</v>
      </c>
      <c r="N3650" t="s">
        <v>23</v>
      </c>
      <c r="O3650">
        <v>45</v>
      </c>
      <c r="P3650" t="s">
        <v>25</v>
      </c>
      <c r="Q3650" t="s">
        <v>68</v>
      </c>
      <c r="R3650" s="1">
        <v>0.1</v>
      </c>
      <c r="S3650">
        <f t="shared" ref="S3650:S3713" si="228">F3650-(F3650*R3650)</f>
        <v>60.3</v>
      </c>
      <c r="T3650">
        <f>IFERROR(VLOOKUP(A3650,Table1[[Customer ID]:[Discount Amount]], 6, FALSE),"Not Found")</f>
        <v>67</v>
      </c>
      <c r="U3650" t="str">
        <f t="shared" ref="U3650:U3713" si="229">INDEX(P:P, MATCH(A3650, A:A, 0))</f>
        <v>Cash</v>
      </c>
      <c r="V3650" s="4" t="str">
        <f t="shared" ref="V3650:V3713" si="230">IF(AND(F3650&gt;1000,K3650&gt;=4),"Best Customer","Normal")</f>
        <v>Normal</v>
      </c>
      <c r="W3650" s="4" t="str">
        <f t="shared" ref="W3650:W3713" si="231">IF(K3650&gt;=3,"Good","Poor")</f>
        <v>Good</v>
      </c>
      <c r="X3650" s="4">
        <f>AVERAGE(Table1[Purchase Amount])</f>
        <v>129.48419400000012</v>
      </c>
    </row>
    <row r="3651" spans="1:24" ht="15" customHeight="1" x14ac:dyDescent="0.25">
      <c r="A3651">
        <v>3650</v>
      </c>
      <c r="B3651">
        <v>68</v>
      </c>
      <c r="C3651" t="s">
        <v>16</v>
      </c>
      <c r="D3651" t="s">
        <v>122</v>
      </c>
      <c r="E3651" t="s">
        <v>18</v>
      </c>
      <c r="F3651" s="2">
        <v>57</v>
      </c>
      <c r="G3651" t="s">
        <v>120</v>
      </c>
      <c r="H3651" t="s">
        <v>31</v>
      </c>
      <c r="I3651" t="s">
        <v>60</v>
      </c>
      <c r="J3651" t="s">
        <v>47</v>
      </c>
      <c r="K3651">
        <v>4.4000000000000004</v>
      </c>
      <c r="L3651" t="s">
        <v>23</v>
      </c>
      <c r="M3651" t="s">
        <v>24</v>
      </c>
      <c r="N3651" t="s">
        <v>23</v>
      </c>
      <c r="O3651">
        <v>33</v>
      </c>
      <c r="P3651" t="s">
        <v>53</v>
      </c>
      <c r="Q3651" t="s">
        <v>89</v>
      </c>
      <c r="R3651" s="1">
        <v>0.1</v>
      </c>
      <c r="S3651">
        <f t="shared" si="228"/>
        <v>51.3</v>
      </c>
      <c r="T3651">
        <f>IFERROR(VLOOKUP(A3651,Table1[[Customer ID]:[Discount Amount]], 6, FALSE),"Not Found")</f>
        <v>57</v>
      </c>
      <c r="U3651" t="str">
        <f t="shared" si="229"/>
        <v>Credit Card</v>
      </c>
      <c r="V3651" s="4" t="str">
        <f t="shared" si="230"/>
        <v>Normal</v>
      </c>
      <c r="W3651" s="4" t="str">
        <f t="shared" si="231"/>
        <v>Good</v>
      </c>
      <c r="X3651" s="4">
        <f>AVERAGE(Table1[Purchase Amount])</f>
        <v>129.48419400000012</v>
      </c>
    </row>
    <row r="3652" spans="1:24" ht="15" customHeight="1" x14ac:dyDescent="0.25">
      <c r="A3652">
        <v>3651</v>
      </c>
      <c r="B3652">
        <v>51</v>
      </c>
      <c r="C3652" t="s">
        <v>16</v>
      </c>
      <c r="D3652" t="s">
        <v>109</v>
      </c>
      <c r="E3652" t="s">
        <v>18</v>
      </c>
      <c r="F3652" s="2">
        <v>60</v>
      </c>
      <c r="G3652" t="s">
        <v>90</v>
      </c>
      <c r="H3652" t="s">
        <v>31</v>
      </c>
      <c r="I3652" t="s">
        <v>153</v>
      </c>
      <c r="J3652" t="s">
        <v>57</v>
      </c>
      <c r="K3652">
        <v>3.5</v>
      </c>
      <c r="L3652" t="s">
        <v>23</v>
      </c>
      <c r="M3652" t="s">
        <v>41</v>
      </c>
      <c r="N3652" t="s">
        <v>23</v>
      </c>
      <c r="O3652">
        <v>3</v>
      </c>
      <c r="P3652" t="s">
        <v>58</v>
      </c>
      <c r="Q3652" t="s">
        <v>49</v>
      </c>
      <c r="R3652" s="1">
        <v>0.1</v>
      </c>
      <c r="S3652">
        <f t="shared" si="228"/>
        <v>54</v>
      </c>
      <c r="T3652">
        <f>IFERROR(VLOOKUP(A3652,Table1[[Customer ID]:[Discount Amount]], 6, FALSE),"Not Found")</f>
        <v>60</v>
      </c>
      <c r="U3652" t="str">
        <f t="shared" si="229"/>
        <v>PayPal</v>
      </c>
      <c r="V3652" s="4" t="str">
        <f t="shared" si="230"/>
        <v>Normal</v>
      </c>
      <c r="W3652" s="4" t="str">
        <f t="shared" si="231"/>
        <v>Good</v>
      </c>
      <c r="X3652" s="4">
        <f>AVERAGE(Table1[Purchase Amount])</f>
        <v>129.48419400000012</v>
      </c>
    </row>
    <row r="3653" spans="1:24" ht="15" customHeight="1" x14ac:dyDescent="0.25">
      <c r="A3653">
        <v>3652</v>
      </c>
      <c r="B3653">
        <v>20</v>
      </c>
      <c r="C3653" t="s">
        <v>16</v>
      </c>
      <c r="D3653" t="s">
        <v>69</v>
      </c>
      <c r="E3653" t="s">
        <v>29</v>
      </c>
      <c r="F3653" s="2">
        <v>32</v>
      </c>
      <c r="G3653" t="s">
        <v>150</v>
      </c>
      <c r="H3653" t="s">
        <v>31</v>
      </c>
      <c r="I3653" t="s">
        <v>52</v>
      </c>
      <c r="J3653" t="s">
        <v>33</v>
      </c>
      <c r="K3653">
        <v>3.8</v>
      </c>
      <c r="L3653" t="s">
        <v>23</v>
      </c>
      <c r="M3653" t="s">
        <v>61</v>
      </c>
      <c r="N3653" t="s">
        <v>23</v>
      </c>
      <c r="O3653">
        <v>5</v>
      </c>
      <c r="P3653" t="s">
        <v>62</v>
      </c>
      <c r="Q3653" t="s">
        <v>63</v>
      </c>
      <c r="R3653" s="1">
        <v>0.1</v>
      </c>
      <c r="S3653">
        <f t="shared" si="228"/>
        <v>28.8</v>
      </c>
      <c r="T3653">
        <f>IFERROR(VLOOKUP(A3653,Table1[[Customer ID]:[Discount Amount]], 6, FALSE),"Not Found")</f>
        <v>32</v>
      </c>
      <c r="U3653" t="str">
        <f t="shared" si="229"/>
        <v>Venmo</v>
      </c>
      <c r="V3653" s="4" t="str">
        <f t="shared" si="230"/>
        <v>Normal</v>
      </c>
      <c r="W3653" s="4" t="str">
        <f t="shared" si="231"/>
        <v>Good</v>
      </c>
      <c r="X3653" s="4">
        <f>AVERAGE(Table1[Purchase Amount])</f>
        <v>129.48419400000012</v>
      </c>
    </row>
    <row r="3654" spans="1:24" ht="15" customHeight="1" x14ac:dyDescent="0.25">
      <c r="A3654">
        <v>3653</v>
      </c>
      <c r="B3654">
        <v>27</v>
      </c>
      <c r="C3654" t="s">
        <v>16</v>
      </c>
      <c r="D3654" t="s">
        <v>69</v>
      </c>
      <c r="E3654" t="s">
        <v>29</v>
      </c>
      <c r="F3654" s="2">
        <v>29</v>
      </c>
      <c r="G3654" t="s">
        <v>70</v>
      </c>
      <c r="H3654" t="s">
        <v>55</v>
      </c>
      <c r="I3654" t="s">
        <v>87</v>
      </c>
      <c r="J3654" t="s">
        <v>47</v>
      </c>
      <c r="K3654">
        <v>3.8</v>
      </c>
      <c r="L3654" t="s">
        <v>23</v>
      </c>
      <c r="M3654" t="s">
        <v>48</v>
      </c>
      <c r="N3654" t="s">
        <v>23</v>
      </c>
      <c r="O3654">
        <v>23</v>
      </c>
      <c r="P3654" t="s">
        <v>36</v>
      </c>
      <c r="Q3654" t="s">
        <v>42</v>
      </c>
      <c r="R3654" s="1">
        <v>0.1</v>
      </c>
      <c r="S3654">
        <f t="shared" si="228"/>
        <v>26.1</v>
      </c>
      <c r="T3654">
        <f>IFERROR(VLOOKUP(A3654,Table1[[Customer ID]:[Discount Amount]], 6, FALSE),"Not Found")</f>
        <v>29</v>
      </c>
      <c r="U3654" t="str">
        <f t="shared" si="229"/>
        <v>Debit Card</v>
      </c>
      <c r="V3654" s="4" t="str">
        <f t="shared" si="230"/>
        <v>Normal</v>
      </c>
      <c r="W3654" s="4" t="str">
        <f t="shared" si="231"/>
        <v>Good</v>
      </c>
      <c r="X3654" s="4">
        <f>AVERAGE(Table1[Purchase Amount])</f>
        <v>129.48419400000012</v>
      </c>
    </row>
    <row r="3655" spans="1:24" ht="15" customHeight="1" x14ac:dyDescent="0.25">
      <c r="A3655">
        <v>3654</v>
      </c>
      <c r="B3655">
        <v>67</v>
      </c>
      <c r="C3655" t="s">
        <v>16</v>
      </c>
      <c r="D3655" t="s">
        <v>76</v>
      </c>
      <c r="E3655" t="s">
        <v>77</v>
      </c>
      <c r="F3655" s="2">
        <v>20</v>
      </c>
      <c r="G3655" t="s">
        <v>120</v>
      </c>
      <c r="H3655" t="s">
        <v>31</v>
      </c>
      <c r="I3655" t="s">
        <v>74</v>
      </c>
      <c r="J3655" t="s">
        <v>33</v>
      </c>
      <c r="K3655">
        <v>3.9</v>
      </c>
      <c r="L3655" t="s">
        <v>23</v>
      </c>
      <c r="M3655" t="s">
        <v>79</v>
      </c>
      <c r="N3655" t="s">
        <v>23</v>
      </c>
      <c r="O3655">
        <v>39</v>
      </c>
      <c r="P3655" t="s">
        <v>53</v>
      </c>
      <c r="Q3655" t="s">
        <v>89</v>
      </c>
      <c r="R3655" s="1">
        <v>0.1</v>
      </c>
      <c r="S3655">
        <f t="shared" si="228"/>
        <v>18</v>
      </c>
      <c r="T3655">
        <f>IFERROR(VLOOKUP(A3655,Table1[[Customer ID]:[Discount Amount]], 6, FALSE),"Not Found")</f>
        <v>20</v>
      </c>
      <c r="U3655" t="str">
        <f t="shared" si="229"/>
        <v>Credit Card</v>
      </c>
      <c r="V3655" s="4" t="str">
        <f t="shared" si="230"/>
        <v>Normal</v>
      </c>
      <c r="W3655" s="4" t="str">
        <f t="shared" si="231"/>
        <v>Good</v>
      </c>
      <c r="X3655" s="4">
        <f>AVERAGE(Table1[Purchase Amount])</f>
        <v>129.48419400000012</v>
      </c>
    </row>
    <row r="3656" spans="1:24" ht="15" customHeight="1" x14ac:dyDescent="0.25">
      <c r="A3656">
        <v>3655</v>
      </c>
      <c r="B3656">
        <v>21</v>
      </c>
      <c r="C3656" t="s">
        <v>16</v>
      </c>
      <c r="D3656" t="s">
        <v>50</v>
      </c>
      <c r="E3656" t="s">
        <v>29</v>
      </c>
      <c r="F3656" s="2">
        <v>98</v>
      </c>
      <c r="G3656" t="s">
        <v>100</v>
      </c>
      <c r="H3656" t="s">
        <v>31</v>
      </c>
      <c r="I3656" t="s">
        <v>93</v>
      </c>
      <c r="J3656" t="s">
        <v>22</v>
      </c>
      <c r="K3656">
        <v>3.3</v>
      </c>
      <c r="L3656" t="s">
        <v>23</v>
      </c>
      <c r="M3656" t="s">
        <v>79</v>
      </c>
      <c r="N3656" t="s">
        <v>23</v>
      </c>
      <c r="O3656">
        <v>10</v>
      </c>
      <c r="P3656" t="s">
        <v>53</v>
      </c>
      <c r="Q3656" t="s">
        <v>49</v>
      </c>
      <c r="R3656" s="1">
        <v>0.1</v>
      </c>
      <c r="S3656">
        <f t="shared" si="228"/>
        <v>88.2</v>
      </c>
      <c r="T3656">
        <f>IFERROR(VLOOKUP(A3656,Table1[[Customer ID]:[Discount Amount]], 6, FALSE),"Not Found")</f>
        <v>98</v>
      </c>
      <c r="U3656" t="str">
        <f t="shared" si="229"/>
        <v>Credit Card</v>
      </c>
      <c r="V3656" s="4" t="str">
        <f t="shared" si="230"/>
        <v>Normal</v>
      </c>
      <c r="W3656" s="4" t="str">
        <f t="shared" si="231"/>
        <v>Good</v>
      </c>
      <c r="X3656" s="4">
        <f>AVERAGE(Table1[Purchase Amount])</f>
        <v>129.48419400000012</v>
      </c>
    </row>
    <row r="3657" spans="1:24" ht="15" customHeight="1" x14ac:dyDescent="0.25">
      <c r="A3657">
        <v>3656</v>
      </c>
      <c r="B3657">
        <v>20</v>
      </c>
      <c r="C3657" t="s">
        <v>16</v>
      </c>
      <c r="D3657" t="s">
        <v>127</v>
      </c>
      <c r="E3657" t="s">
        <v>18</v>
      </c>
      <c r="F3657" s="2">
        <v>27</v>
      </c>
      <c r="G3657" t="s">
        <v>162</v>
      </c>
      <c r="H3657" t="s">
        <v>31</v>
      </c>
      <c r="I3657" t="s">
        <v>52</v>
      </c>
      <c r="J3657" t="s">
        <v>47</v>
      </c>
      <c r="K3657">
        <v>2.9</v>
      </c>
      <c r="L3657" t="s">
        <v>23</v>
      </c>
      <c r="M3657" t="s">
        <v>79</v>
      </c>
      <c r="N3657" t="s">
        <v>23</v>
      </c>
      <c r="O3657">
        <v>4</v>
      </c>
      <c r="P3657" t="s">
        <v>53</v>
      </c>
      <c r="Q3657" t="s">
        <v>68</v>
      </c>
      <c r="R3657" s="1">
        <v>0.1</v>
      </c>
      <c r="S3657">
        <f t="shared" si="228"/>
        <v>24.3</v>
      </c>
      <c r="T3657">
        <f>IFERROR(VLOOKUP(A3657,Table1[[Customer ID]:[Discount Amount]], 6, FALSE),"Not Found")</f>
        <v>27</v>
      </c>
      <c r="U3657" t="str">
        <f t="shared" si="229"/>
        <v>Credit Card</v>
      </c>
      <c r="V3657" s="4" t="str">
        <f t="shared" si="230"/>
        <v>Normal</v>
      </c>
      <c r="W3657" s="4" t="str">
        <f t="shared" si="231"/>
        <v>Poor</v>
      </c>
      <c r="X3657" s="4">
        <f>AVERAGE(Table1[Purchase Amount])</f>
        <v>129.48419400000012</v>
      </c>
    </row>
    <row r="3658" spans="1:24" ht="15" customHeight="1" x14ac:dyDescent="0.25">
      <c r="A3658">
        <v>3657</v>
      </c>
      <c r="B3658">
        <v>35</v>
      </c>
      <c r="C3658" t="s">
        <v>16</v>
      </c>
      <c r="D3658" t="s">
        <v>96</v>
      </c>
      <c r="E3658" t="s">
        <v>77</v>
      </c>
      <c r="F3658" s="2">
        <v>67</v>
      </c>
      <c r="G3658" t="s">
        <v>86</v>
      </c>
      <c r="H3658" t="s">
        <v>20</v>
      </c>
      <c r="I3658" t="s">
        <v>128</v>
      </c>
      <c r="J3658" t="s">
        <v>33</v>
      </c>
      <c r="K3658">
        <v>3.7</v>
      </c>
      <c r="L3658" t="s">
        <v>23</v>
      </c>
      <c r="M3658" t="s">
        <v>41</v>
      </c>
      <c r="N3658" t="s">
        <v>23</v>
      </c>
      <c r="O3658">
        <v>18</v>
      </c>
      <c r="P3658" t="s">
        <v>53</v>
      </c>
      <c r="Q3658" t="s">
        <v>42</v>
      </c>
      <c r="R3658" s="1">
        <v>0.1</v>
      </c>
      <c r="S3658">
        <f t="shared" si="228"/>
        <v>60.3</v>
      </c>
      <c r="T3658">
        <f>IFERROR(VLOOKUP(A3658,Table1[[Customer ID]:[Discount Amount]], 6, FALSE),"Not Found")</f>
        <v>67</v>
      </c>
      <c r="U3658" t="str">
        <f t="shared" si="229"/>
        <v>Credit Card</v>
      </c>
      <c r="V3658" s="4" t="str">
        <f t="shared" si="230"/>
        <v>Normal</v>
      </c>
      <c r="W3658" s="4" t="str">
        <f t="shared" si="231"/>
        <v>Good</v>
      </c>
      <c r="X3658" s="4">
        <f>AVERAGE(Table1[Purchase Amount])</f>
        <v>129.48419400000012</v>
      </c>
    </row>
    <row r="3659" spans="1:24" ht="15" customHeight="1" x14ac:dyDescent="0.25">
      <c r="A3659">
        <v>3658</v>
      </c>
      <c r="B3659">
        <v>58</v>
      </c>
      <c r="C3659" t="s">
        <v>16</v>
      </c>
      <c r="D3659" t="s">
        <v>72</v>
      </c>
      <c r="E3659" t="s">
        <v>98</v>
      </c>
      <c r="F3659" s="2">
        <v>82</v>
      </c>
      <c r="G3659" t="s">
        <v>51</v>
      </c>
      <c r="H3659" t="s">
        <v>45</v>
      </c>
      <c r="I3659" t="s">
        <v>133</v>
      </c>
      <c r="J3659" t="s">
        <v>22</v>
      </c>
      <c r="K3659">
        <v>3.7</v>
      </c>
      <c r="L3659" t="s">
        <v>23</v>
      </c>
      <c r="M3659" t="s">
        <v>61</v>
      </c>
      <c r="N3659" t="s">
        <v>23</v>
      </c>
      <c r="O3659">
        <v>1</v>
      </c>
      <c r="P3659" t="s">
        <v>36</v>
      </c>
      <c r="Q3659" t="s">
        <v>63</v>
      </c>
      <c r="R3659" s="1">
        <v>0.1</v>
      </c>
      <c r="S3659">
        <f t="shared" si="228"/>
        <v>73.8</v>
      </c>
      <c r="T3659">
        <f>IFERROR(VLOOKUP(A3659,Table1[[Customer ID]:[Discount Amount]], 6, FALSE),"Not Found")</f>
        <v>82</v>
      </c>
      <c r="U3659" t="str">
        <f t="shared" si="229"/>
        <v>Debit Card</v>
      </c>
      <c r="V3659" s="4" t="str">
        <f t="shared" si="230"/>
        <v>Normal</v>
      </c>
      <c r="W3659" s="4" t="str">
        <f t="shared" si="231"/>
        <v>Good</v>
      </c>
      <c r="X3659" s="4">
        <f>AVERAGE(Table1[Purchase Amount])</f>
        <v>129.48419400000012</v>
      </c>
    </row>
    <row r="3660" spans="1:24" ht="15" customHeight="1" x14ac:dyDescent="0.25">
      <c r="A3660">
        <v>3659</v>
      </c>
      <c r="B3660">
        <v>28</v>
      </c>
      <c r="C3660" t="s">
        <v>16</v>
      </c>
      <c r="D3660" t="s">
        <v>17</v>
      </c>
      <c r="E3660" t="s">
        <v>18</v>
      </c>
      <c r="F3660" s="2">
        <v>72</v>
      </c>
      <c r="G3660" t="s">
        <v>149</v>
      </c>
      <c r="H3660" t="s">
        <v>31</v>
      </c>
      <c r="I3660" t="s">
        <v>87</v>
      </c>
      <c r="J3660" t="s">
        <v>47</v>
      </c>
      <c r="K3660">
        <v>4.5999999999999996</v>
      </c>
      <c r="L3660" t="s">
        <v>23</v>
      </c>
      <c r="M3660" t="s">
        <v>24</v>
      </c>
      <c r="N3660" t="s">
        <v>23</v>
      </c>
      <c r="O3660">
        <v>18</v>
      </c>
      <c r="P3660" t="s">
        <v>58</v>
      </c>
      <c r="Q3660" t="s">
        <v>89</v>
      </c>
      <c r="R3660" s="1">
        <v>0.1</v>
      </c>
      <c r="S3660">
        <f t="shared" si="228"/>
        <v>64.8</v>
      </c>
      <c r="T3660">
        <f>IFERROR(VLOOKUP(A3660,Table1[[Customer ID]:[Discount Amount]], 6, FALSE),"Not Found")</f>
        <v>72</v>
      </c>
      <c r="U3660" t="str">
        <f t="shared" si="229"/>
        <v>PayPal</v>
      </c>
      <c r="V3660" s="4" t="str">
        <f t="shared" si="230"/>
        <v>Normal</v>
      </c>
      <c r="W3660" s="4" t="str">
        <f t="shared" si="231"/>
        <v>Good</v>
      </c>
      <c r="X3660" s="4">
        <f>AVERAGE(Table1[Purchase Amount])</f>
        <v>129.48419400000012</v>
      </c>
    </row>
    <row r="3661" spans="1:24" ht="15" customHeight="1" x14ac:dyDescent="0.25">
      <c r="A3661">
        <v>3660</v>
      </c>
      <c r="B3661">
        <v>27</v>
      </c>
      <c r="C3661" t="s">
        <v>16</v>
      </c>
      <c r="D3661" t="s">
        <v>121</v>
      </c>
      <c r="E3661" t="s">
        <v>98</v>
      </c>
      <c r="F3661" s="2">
        <v>77</v>
      </c>
      <c r="G3661" t="s">
        <v>44</v>
      </c>
      <c r="H3661" t="s">
        <v>55</v>
      </c>
      <c r="I3661" t="s">
        <v>85</v>
      </c>
      <c r="J3661" t="s">
        <v>47</v>
      </c>
      <c r="K3661">
        <v>4.9000000000000004</v>
      </c>
      <c r="L3661" t="s">
        <v>23</v>
      </c>
      <c r="M3661" t="s">
        <v>48</v>
      </c>
      <c r="N3661" t="s">
        <v>23</v>
      </c>
      <c r="O3661">
        <v>46</v>
      </c>
      <c r="P3661" t="s">
        <v>88</v>
      </c>
      <c r="Q3661" t="s">
        <v>49</v>
      </c>
      <c r="R3661" s="1">
        <v>0.1</v>
      </c>
      <c r="S3661">
        <f t="shared" si="228"/>
        <v>69.3</v>
      </c>
      <c r="T3661">
        <f>IFERROR(VLOOKUP(A3661,Table1[[Customer ID]:[Discount Amount]], 6, FALSE),"Not Found")</f>
        <v>77</v>
      </c>
      <c r="U3661" t="str">
        <f t="shared" si="229"/>
        <v>Bank Transfer</v>
      </c>
      <c r="V3661" s="4" t="str">
        <f t="shared" si="230"/>
        <v>Normal</v>
      </c>
      <c r="W3661" s="4" t="str">
        <f t="shared" si="231"/>
        <v>Good</v>
      </c>
      <c r="X3661" s="4">
        <f>AVERAGE(Table1[Purchase Amount])</f>
        <v>129.48419400000012</v>
      </c>
    </row>
    <row r="3662" spans="1:24" ht="15" customHeight="1" x14ac:dyDescent="0.25">
      <c r="A3662">
        <v>3661</v>
      </c>
      <c r="B3662">
        <v>19</v>
      </c>
      <c r="C3662" t="s">
        <v>16</v>
      </c>
      <c r="D3662" t="s">
        <v>72</v>
      </c>
      <c r="E3662" t="s">
        <v>98</v>
      </c>
      <c r="F3662" s="2">
        <v>74</v>
      </c>
      <c r="G3662" t="s">
        <v>100</v>
      </c>
      <c r="H3662" t="s">
        <v>45</v>
      </c>
      <c r="I3662" t="s">
        <v>91</v>
      </c>
      <c r="J3662" t="s">
        <v>22</v>
      </c>
      <c r="K3662">
        <v>3.1</v>
      </c>
      <c r="L3662" t="s">
        <v>23</v>
      </c>
      <c r="M3662" t="s">
        <v>41</v>
      </c>
      <c r="N3662" t="s">
        <v>23</v>
      </c>
      <c r="O3662">
        <v>13</v>
      </c>
      <c r="P3662" t="s">
        <v>88</v>
      </c>
      <c r="Q3662" t="s">
        <v>89</v>
      </c>
      <c r="R3662" s="1">
        <v>0.1</v>
      </c>
      <c r="S3662">
        <f t="shared" si="228"/>
        <v>66.599999999999994</v>
      </c>
      <c r="T3662">
        <f>IFERROR(VLOOKUP(A3662,Table1[[Customer ID]:[Discount Amount]], 6, FALSE),"Not Found")</f>
        <v>74</v>
      </c>
      <c r="U3662" t="str">
        <f t="shared" si="229"/>
        <v>Bank Transfer</v>
      </c>
      <c r="V3662" s="4" t="str">
        <f t="shared" si="230"/>
        <v>Normal</v>
      </c>
      <c r="W3662" s="4" t="str">
        <f t="shared" si="231"/>
        <v>Good</v>
      </c>
      <c r="X3662" s="4">
        <f>AVERAGE(Table1[Purchase Amount])</f>
        <v>129.48419400000012</v>
      </c>
    </row>
    <row r="3663" spans="1:24" ht="15" customHeight="1" x14ac:dyDescent="0.25">
      <c r="A3663">
        <v>3662</v>
      </c>
      <c r="B3663">
        <v>63</v>
      </c>
      <c r="C3663" t="s">
        <v>16</v>
      </c>
      <c r="D3663" t="s">
        <v>121</v>
      </c>
      <c r="E3663" t="s">
        <v>98</v>
      </c>
      <c r="F3663" s="2">
        <v>39</v>
      </c>
      <c r="G3663" t="s">
        <v>124</v>
      </c>
      <c r="H3663" t="s">
        <v>55</v>
      </c>
      <c r="I3663" t="s">
        <v>32</v>
      </c>
      <c r="J3663" t="s">
        <v>22</v>
      </c>
      <c r="K3663">
        <v>3.5</v>
      </c>
      <c r="L3663" t="s">
        <v>23</v>
      </c>
      <c r="M3663" t="s">
        <v>79</v>
      </c>
      <c r="N3663" t="s">
        <v>23</v>
      </c>
      <c r="O3663">
        <v>5</v>
      </c>
      <c r="P3663" t="s">
        <v>53</v>
      </c>
      <c r="Q3663" t="s">
        <v>89</v>
      </c>
      <c r="R3663" s="1">
        <v>0.1</v>
      </c>
      <c r="S3663">
        <f t="shared" si="228"/>
        <v>35.1</v>
      </c>
      <c r="T3663">
        <f>IFERROR(VLOOKUP(A3663,Table1[[Customer ID]:[Discount Amount]], 6, FALSE),"Not Found")</f>
        <v>39</v>
      </c>
      <c r="U3663" t="str">
        <f t="shared" si="229"/>
        <v>Credit Card</v>
      </c>
      <c r="V3663" s="4" t="str">
        <f t="shared" si="230"/>
        <v>Normal</v>
      </c>
      <c r="W3663" s="4" t="str">
        <f t="shared" si="231"/>
        <v>Good</v>
      </c>
      <c r="X3663" s="4">
        <f>AVERAGE(Table1[Purchase Amount])</f>
        <v>129.48419400000012</v>
      </c>
    </row>
    <row r="3664" spans="1:24" ht="15" customHeight="1" x14ac:dyDescent="0.25">
      <c r="A3664">
        <v>3663</v>
      </c>
      <c r="B3664">
        <v>69</v>
      </c>
      <c r="C3664" t="s">
        <v>16</v>
      </c>
      <c r="D3664" t="s">
        <v>54</v>
      </c>
      <c r="E3664" t="s">
        <v>18</v>
      </c>
      <c r="F3664" s="2">
        <v>80</v>
      </c>
      <c r="G3664" t="s">
        <v>159</v>
      </c>
      <c r="H3664" t="s">
        <v>31</v>
      </c>
      <c r="I3664" t="s">
        <v>91</v>
      </c>
      <c r="J3664" t="s">
        <v>33</v>
      </c>
      <c r="K3664">
        <v>4.9000000000000004</v>
      </c>
      <c r="L3664" t="s">
        <v>23</v>
      </c>
      <c r="M3664" t="s">
        <v>79</v>
      </c>
      <c r="N3664" t="s">
        <v>23</v>
      </c>
      <c r="O3664">
        <v>11</v>
      </c>
      <c r="P3664" t="s">
        <v>36</v>
      </c>
      <c r="Q3664" t="s">
        <v>26</v>
      </c>
      <c r="R3664" s="1">
        <v>0.1</v>
      </c>
      <c r="S3664">
        <f t="shared" si="228"/>
        <v>72</v>
      </c>
      <c r="T3664">
        <f>IFERROR(VLOOKUP(A3664,Table1[[Customer ID]:[Discount Amount]], 6, FALSE),"Not Found")</f>
        <v>80</v>
      </c>
      <c r="U3664" t="str">
        <f t="shared" si="229"/>
        <v>Debit Card</v>
      </c>
      <c r="V3664" s="4" t="str">
        <f t="shared" si="230"/>
        <v>Normal</v>
      </c>
      <c r="W3664" s="4" t="str">
        <f t="shared" si="231"/>
        <v>Good</v>
      </c>
      <c r="X3664" s="4">
        <f>AVERAGE(Table1[Purchase Amount])</f>
        <v>129.48419400000012</v>
      </c>
    </row>
    <row r="3665" spans="1:24" ht="15" customHeight="1" x14ac:dyDescent="0.25">
      <c r="A3665">
        <v>3664</v>
      </c>
      <c r="B3665">
        <v>65</v>
      </c>
      <c r="C3665" t="s">
        <v>16</v>
      </c>
      <c r="D3665" t="s">
        <v>104</v>
      </c>
      <c r="E3665" t="s">
        <v>29</v>
      </c>
      <c r="F3665" s="2">
        <v>59</v>
      </c>
      <c r="G3665" t="s">
        <v>67</v>
      </c>
      <c r="H3665" t="s">
        <v>31</v>
      </c>
      <c r="I3665" t="s">
        <v>93</v>
      </c>
      <c r="J3665" t="s">
        <v>57</v>
      </c>
      <c r="K3665">
        <v>4.4000000000000004</v>
      </c>
      <c r="L3665" t="s">
        <v>23</v>
      </c>
      <c r="M3665" t="s">
        <v>61</v>
      </c>
      <c r="N3665" t="s">
        <v>23</v>
      </c>
      <c r="O3665">
        <v>49</v>
      </c>
      <c r="P3665" t="s">
        <v>53</v>
      </c>
      <c r="Q3665" t="s">
        <v>26</v>
      </c>
      <c r="R3665" s="1">
        <v>0.1</v>
      </c>
      <c r="S3665">
        <f t="shared" si="228"/>
        <v>53.1</v>
      </c>
      <c r="T3665">
        <f>IFERROR(VLOOKUP(A3665,Table1[[Customer ID]:[Discount Amount]], 6, FALSE),"Not Found")</f>
        <v>59</v>
      </c>
      <c r="U3665" t="str">
        <f t="shared" si="229"/>
        <v>Credit Card</v>
      </c>
      <c r="V3665" s="4" t="str">
        <f t="shared" si="230"/>
        <v>Normal</v>
      </c>
      <c r="W3665" s="4" t="str">
        <f t="shared" si="231"/>
        <v>Good</v>
      </c>
      <c r="X3665" s="4">
        <f>AVERAGE(Table1[Purchase Amount])</f>
        <v>129.48419400000012</v>
      </c>
    </row>
    <row r="3666" spans="1:24" ht="15" customHeight="1" x14ac:dyDescent="0.25">
      <c r="A3666">
        <v>3665</v>
      </c>
      <c r="B3666">
        <v>63</v>
      </c>
      <c r="C3666" t="s">
        <v>16</v>
      </c>
      <c r="D3666" t="s">
        <v>96</v>
      </c>
      <c r="E3666" t="s">
        <v>77</v>
      </c>
      <c r="F3666" s="2">
        <v>68</v>
      </c>
      <c r="G3666" t="s">
        <v>146</v>
      </c>
      <c r="H3666" t="s">
        <v>31</v>
      </c>
      <c r="I3666" t="s">
        <v>156</v>
      </c>
      <c r="J3666" t="s">
        <v>47</v>
      </c>
      <c r="K3666">
        <v>4.4000000000000004</v>
      </c>
      <c r="L3666" t="s">
        <v>23</v>
      </c>
      <c r="M3666" t="s">
        <v>48</v>
      </c>
      <c r="N3666" t="s">
        <v>23</v>
      </c>
      <c r="O3666">
        <v>1</v>
      </c>
      <c r="P3666" t="s">
        <v>36</v>
      </c>
      <c r="Q3666" t="s">
        <v>89</v>
      </c>
      <c r="R3666" s="1">
        <v>0.1</v>
      </c>
      <c r="S3666">
        <f t="shared" si="228"/>
        <v>61.2</v>
      </c>
      <c r="T3666">
        <f>IFERROR(VLOOKUP(A3666,Table1[[Customer ID]:[Discount Amount]], 6, FALSE),"Not Found")</f>
        <v>68</v>
      </c>
      <c r="U3666" t="str">
        <f t="shared" si="229"/>
        <v>Debit Card</v>
      </c>
      <c r="V3666" s="4" t="str">
        <f t="shared" si="230"/>
        <v>Normal</v>
      </c>
      <c r="W3666" s="4" t="str">
        <f t="shared" si="231"/>
        <v>Good</v>
      </c>
      <c r="X3666" s="4">
        <f>AVERAGE(Table1[Purchase Amount])</f>
        <v>129.48419400000012</v>
      </c>
    </row>
    <row r="3667" spans="1:24" ht="15" customHeight="1" x14ac:dyDescent="0.25">
      <c r="A3667">
        <v>3666</v>
      </c>
      <c r="B3667">
        <v>28</v>
      </c>
      <c r="C3667" t="s">
        <v>16</v>
      </c>
      <c r="D3667" t="s">
        <v>105</v>
      </c>
      <c r="E3667" t="s">
        <v>18</v>
      </c>
      <c r="F3667" s="2">
        <v>77</v>
      </c>
      <c r="G3667" t="s">
        <v>134</v>
      </c>
      <c r="H3667" t="s">
        <v>31</v>
      </c>
      <c r="I3667" t="s">
        <v>145</v>
      </c>
      <c r="J3667" t="s">
        <v>47</v>
      </c>
      <c r="K3667">
        <v>3.4</v>
      </c>
      <c r="L3667" t="s">
        <v>23</v>
      </c>
      <c r="M3667" t="s">
        <v>79</v>
      </c>
      <c r="N3667" t="s">
        <v>23</v>
      </c>
      <c r="O3667">
        <v>11</v>
      </c>
      <c r="P3667" t="s">
        <v>53</v>
      </c>
      <c r="Q3667" t="s">
        <v>37</v>
      </c>
      <c r="R3667" s="1">
        <v>0.1</v>
      </c>
      <c r="S3667">
        <f t="shared" si="228"/>
        <v>69.3</v>
      </c>
      <c r="T3667">
        <f>IFERROR(VLOOKUP(A3667,Table1[[Customer ID]:[Discount Amount]], 6, FALSE),"Not Found")</f>
        <v>77</v>
      </c>
      <c r="U3667" t="str">
        <f t="shared" si="229"/>
        <v>Credit Card</v>
      </c>
      <c r="V3667" s="4" t="str">
        <f t="shared" si="230"/>
        <v>Normal</v>
      </c>
      <c r="W3667" s="4" t="str">
        <f t="shared" si="231"/>
        <v>Good</v>
      </c>
      <c r="X3667" s="4">
        <f>AVERAGE(Table1[Purchase Amount])</f>
        <v>129.48419400000012</v>
      </c>
    </row>
    <row r="3668" spans="1:24" ht="15" customHeight="1" x14ac:dyDescent="0.25">
      <c r="A3668">
        <v>3667</v>
      </c>
      <c r="B3668">
        <v>67</v>
      </c>
      <c r="C3668" t="s">
        <v>16</v>
      </c>
      <c r="D3668" t="s">
        <v>50</v>
      </c>
      <c r="E3668" t="s">
        <v>29</v>
      </c>
      <c r="F3668" s="2">
        <v>50</v>
      </c>
      <c r="G3668" t="s">
        <v>51</v>
      </c>
      <c r="H3668" t="s">
        <v>31</v>
      </c>
      <c r="I3668" t="s">
        <v>21</v>
      </c>
      <c r="J3668" t="s">
        <v>22</v>
      </c>
      <c r="K3668">
        <v>3</v>
      </c>
      <c r="L3668" t="s">
        <v>23</v>
      </c>
      <c r="M3668" t="s">
        <v>41</v>
      </c>
      <c r="N3668" t="s">
        <v>23</v>
      </c>
      <c r="O3668">
        <v>47</v>
      </c>
      <c r="P3668" t="s">
        <v>25</v>
      </c>
      <c r="Q3668" t="s">
        <v>63</v>
      </c>
      <c r="R3668" s="1">
        <v>0.1</v>
      </c>
      <c r="S3668">
        <f t="shared" si="228"/>
        <v>45</v>
      </c>
      <c r="T3668">
        <f>IFERROR(VLOOKUP(A3668,Table1[[Customer ID]:[Discount Amount]], 6, FALSE),"Not Found")</f>
        <v>50</v>
      </c>
      <c r="U3668" t="str">
        <f t="shared" si="229"/>
        <v>Cash</v>
      </c>
      <c r="V3668" s="4" t="str">
        <f t="shared" si="230"/>
        <v>Normal</v>
      </c>
      <c r="W3668" s="4" t="str">
        <f t="shared" si="231"/>
        <v>Good</v>
      </c>
      <c r="X3668" s="4">
        <f>AVERAGE(Table1[Purchase Amount])</f>
        <v>129.48419400000012</v>
      </c>
    </row>
    <row r="3669" spans="1:24" ht="15" customHeight="1" x14ac:dyDescent="0.25">
      <c r="A3669">
        <v>3668</v>
      </c>
      <c r="B3669">
        <v>51</v>
      </c>
      <c r="C3669" t="s">
        <v>16</v>
      </c>
      <c r="D3669" t="s">
        <v>99</v>
      </c>
      <c r="E3669" t="s">
        <v>18</v>
      </c>
      <c r="F3669" s="2">
        <v>45</v>
      </c>
      <c r="G3669" t="s">
        <v>155</v>
      </c>
      <c r="H3669" t="s">
        <v>45</v>
      </c>
      <c r="I3669" t="s">
        <v>128</v>
      </c>
      <c r="J3669" t="s">
        <v>47</v>
      </c>
      <c r="K3669">
        <v>2.6</v>
      </c>
      <c r="L3669" t="s">
        <v>23</v>
      </c>
      <c r="M3669" t="s">
        <v>79</v>
      </c>
      <c r="N3669" t="s">
        <v>23</v>
      </c>
      <c r="O3669">
        <v>20</v>
      </c>
      <c r="P3669" t="s">
        <v>62</v>
      </c>
      <c r="Q3669" t="s">
        <v>42</v>
      </c>
      <c r="R3669" s="1">
        <v>0.1</v>
      </c>
      <c r="S3669">
        <f t="shared" si="228"/>
        <v>40.5</v>
      </c>
      <c r="T3669">
        <f>IFERROR(VLOOKUP(A3669,Table1[[Customer ID]:[Discount Amount]], 6, FALSE),"Not Found")</f>
        <v>45</v>
      </c>
      <c r="U3669" t="str">
        <f t="shared" si="229"/>
        <v>Venmo</v>
      </c>
      <c r="V3669" s="4" t="str">
        <f t="shared" si="230"/>
        <v>Normal</v>
      </c>
      <c r="W3669" s="4" t="str">
        <f t="shared" si="231"/>
        <v>Poor</v>
      </c>
      <c r="X3669" s="4">
        <f>AVERAGE(Table1[Purchase Amount])</f>
        <v>129.48419400000012</v>
      </c>
    </row>
    <row r="3670" spans="1:24" ht="15" customHeight="1" x14ac:dyDescent="0.25">
      <c r="A3670">
        <v>3669</v>
      </c>
      <c r="B3670">
        <v>59</v>
      </c>
      <c r="C3670" t="s">
        <v>16</v>
      </c>
      <c r="D3670" t="s">
        <v>118</v>
      </c>
      <c r="E3670" t="s">
        <v>18</v>
      </c>
      <c r="F3670" s="2">
        <v>71</v>
      </c>
      <c r="G3670" t="s">
        <v>113</v>
      </c>
      <c r="H3670" t="s">
        <v>20</v>
      </c>
      <c r="I3670" t="s">
        <v>87</v>
      </c>
      <c r="J3670" t="s">
        <v>57</v>
      </c>
      <c r="K3670">
        <v>3.2</v>
      </c>
      <c r="L3670" t="s">
        <v>23</v>
      </c>
      <c r="M3670" t="s">
        <v>48</v>
      </c>
      <c r="N3670" t="s">
        <v>23</v>
      </c>
      <c r="O3670">
        <v>18</v>
      </c>
      <c r="P3670" t="s">
        <v>62</v>
      </c>
      <c r="Q3670" t="s">
        <v>49</v>
      </c>
      <c r="R3670" s="1">
        <v>0.1</v>
      </c>
      <c r="S3670">
        <f t="shared" si="228"/>
        <v>63.9</v>
      </c>
      <c r="T3670">
        <f>IFERROR(VLOOKUP(A3670,Table1[[Customer ID]:[Discount Amount]], 6, FALSE),"Not Found")</f>
        <v>71</v>
      </c>
      <c r="U3670" t="str">
        <f t="shared" si="229"/>
        <v>Venmo</v>
      </c>
      <c r="V3670" s="4" t="str">
        <f t="shared" si="230"/>
        <v>Normal</v>
      </c>
      <c r="W3670" s="4" t="str">
        <f t="shared" si="231"/>
        <v>Good</v>
      </c>
      <c r="X3670" s="4">
        <f>AVERAGE(Table1[Purchase Amount])</f>
        <v>129.48419400000012</v>
      </c>
    </row>
    <row r="3671" spans="1:24" ht="15" customHeight="1" x14ac:dyDescent="0.25">
      <c r="A3671">
        <v>3670</v>
      </c>
      <c r="B3671">
        <v>25</v>
      </c>
      <c r="C3671" t="s">
        <v>16</v>
      </c>
      <c r="D3671" t="s">
        <v>105</v>
      </c>
      <c r="E3671" t="s">
        <v>18</v>
      </c>
      <c r="F3671" s="2">
        <v>52</v>
      </c>
      <c r="G3671" t="s">
        <v>155</v>
      </c>
      <c r="H3671" t="s">
        <v>55</v>
      </c>
      <c r="I3671" t="s">
        <v>153</v>
      </c>
      <c r="J3671" t="s">
        <v>47</v>
      </c>
      <c r="K3671">
        <v>4.5999999999999996</v>
      </c>
      <c r="L3671" t="s">
        <v>23</v>
      </c>
      <c r="M3671" t="s">
        <v>48</v>
      </c>
      <c r="N3671" t="s">
        <v>23</v>
      </c>
      <c r="O3671">
        <v>43</v>
      </c>
      <c r="P3671" t="s">
        <v>58</v>
      </c>
      <c r="Q3671" t="s">
        <v>37</v>
      </c>
      <c r="R3671" s="1">
        <v>0.1</v>
      </c>
      <c r="S3671">
        <f t="shared" si="228"/>
        <v>46.8</v>
      </c>
      <c r="T3671">
        <f>IFERROR(VLOOKUP(A3671,Table1[[Customer ID]:[Discount Amount]], 6, FALSE),"Not Found")</f>
        <v>52</v>
      </c>
      <c r="U3671" t="str">
        <f t="shared" si="229"/>
        <v>PayPal</v>
      </c>
      <c r="V3671" s="4" t="str">
        <f t="shared" si="230"/>
        <v>Normal</v>
      </c>
      <c r="W3671" s="4" t="str">
        <f t="shared" si="231"/>
        <v>Good</v>
      </c>
      <c r="X3671" s="4">
        <f>AVERAGE(Table1[Purchase Amount])</f>
        <v>129.48419400000012</v>
      </c>
    </row>
    <row r="3672" spans="1:24" ht="15" customHeight="1" x14ac:dyDescent="0.25">
      <c r="A3672">
        <v>3671</v>
      </c>
      <c r="B3672">
        <v>31</v>
      </c>
      <c r="C3672" t="s">
        <v>16</v>
      </c>
      <c r="D3672" t="s">
        <v>72</v>
      </c>
      <c r="E3672" t="s">
        <v>98</v>
      </c>
      <c r="F3672" s="2">
        <v>50</v>
      </c>
      <c r="G3672" t="s">
        <v>84</v>
      </c>
      <c r="H3672" t="s">
        <v>55</v>
      </c>
      <c r="I3672" t="s">
        <v>32</v>
      </c>
      <c r="J3672" t="s">
        <v>22</v>
      </c>
      <c r="K3672">
        <v>3.8</v>
      </c>
      <c r="L3672" t="s">
        <v>23</v>
      </c>
      <c r="M3672" t="s">
        <v>35</v>
      </c>
      <c r="N3672" t="s">
        <v>23</v>
      </c>
      <c r="O3672">
        <v>4</v>
      </c>
      <c r="P3672" t="s">
        <v>58</v>
      </c>
      <c r="Q3672" t="s">
        <v>63</v>
      </c>
      <c r="R3672" s="1">
        <v>0.1</v>
      </c>
      <c r="S3672">
        <f t="shared" si="228"/>
        <v>45</v>
      </c>
      <c r="T3672">
        <f>IFERROR(VLOOKUP(A3672,Table1[[Customer ID]:[Discount Amount]], 6, FALSE),"Not Found")</f>
        <v>50</v>
      </c>
      <c r="U3672" t="str">
        <f t="shared" si="229"/>
        <v>PayPal</v>
      </c>
      <c r="V3672" s="4" t="str">
        <f t="shared" si="230"/>
        <v>Normal</v>
      </c>
      <c r="W3672" s="4" t="str">
        <f t="shared" si="231"/>
        <v>Good</v>
      </c>
      <c r="X3672" s="4">
        <f>AVERAGE(Table1[Purchase Amount])</f>
        <v>129.48419400000012</v>
      </c>
    </row>
    <row r="3673" spans="1:24" ht="15" customHeight="1" x14ac:dyDescent="0.25">
      <c r="A3673">
        <v>3672</v>
      </c>
      <c r="B3673">
        <v>62</v>
      </c>
      <c r="C3673" t="s">
        <v>16</v>
      </c>
      <c r="D3673" t="s">
        <v>69</v>
      </c>
      <c r="E3673" t="s">
        <v>29</v>
      </c>
      <c r="F3673" s="2">
        <v>66</v>
      </c>
      <c r="G3673" t="s">
        <v>44</v>
      </c>
      <c r="H3673" t="s">
        <v>45</v>
      </c>
      <c r="I3673" t="s">
        <v>136</v>
      </c>
      <c r="J3673" t="s">
        <v>57</v>
      </c>
      <c r="K3673">
        <v>4.8</v>
      </c>
      <c r="L3673" t="s">
        <v>23</v>
      </c>
      <c r="M3673" t="s">
        <v>41</v>
      </c>
      <c r="N3673" t="s">
        <v>23</v>
      </c>
      <c r="O3673">
        <v>20</v>
      </c>
      <c r="P3673" t="s">
        <v>62</v>
      </c>
      <c r="Q3673" t="s">
        <v>37</v>
      </c>
      <c r="R3673" s="1">
        <v>0.1</v>
      </c>
      <c r="S3673">
        <f t="shared" si="228"/>
        <v>59.4</v>
      </c>
      <c r="T3673">
        <f>IFERROR(VLOOKUP(A3673,Table1[[Customer ID]:[Discount Amount]], 6, FALSE),"Not Found")</f>
        <v>66</v>
      </c>
      <c r="U3673" t="str">
        <f t="shared" si="229"/>
        <v>Venmo</v>
      </c>
      <c r="V3673" s="4" t="str">
        <f t="shared" si="230"/>
        <v>Normal</v>
      </c>
      <c r="W3673" s="4" t="str">
        <f t="shared" si="231"/>
        <v>Good</v>
      </c>
      <c r="X3673" s="4">
        <f>AVERAGE(Table1[Purchase Amount])</f>
        <v>129.48419400000012</v>
      </c>
    </row>
    <row r="3674" spans="1:24" ht="15" customHeight="1" x14ac:dyDescent="0.25">
      <c r="A3674">
        <v>3673</v>
      </c>
      <c r="B3674">
        <v>51</v>
      </c>
      <c r="C3674" t="s">
        <v>16</v>
      </c>
      <c r="D3674" t="s">
        <v>121</v>
      </c>
      <c r="E3674" t="s">
        <v>98</v>
      </c>
      <c r="F3674" s="2">
        <v>81</v>
      </c>
      <c r="G3674" t="s">
        <v>101</v>
      </c>
      <c r="H3674" t="s">
        <v>55</v>
      </c>
      <c r="I3674" t="s">
        <v>136</v>
      </c>
      <c r="J3674" t="s">
        <v>47</v>
      </c>
      <c r="K3674">
        <v>4.5</v>
      </c>
      <c r="L3674" t="s">
        <v>23</v>
      </c>
      <c r="M3674" t="s">
        <v>35</v>
      </c>
      <c r="N3674" t="s">
        <v>23</v>
      </c>
      <c r="O3674">
        <v>7</v>
      </c>
      <c r="P3674" t="s">
        <v>58</v>
      </c>
      <c r="Q3674" t="s">
        <v>42</v>
      </c>
      <c r="R3674" s="1">
        <v>0.1</v>
      </c>
      <c r="S3674">
        <f t="shared" si="228"/>
        <v>72.900000000000006</v>
      </c>
      <c r="T3674">
        <f>IFERROR(VLOOKUP(A3674,Table1[[Customer ID]:[Discount Amount]], 6, FALSE),"Not Found")</f>
        <v>81</v>
      </c>
      <c r="U3674" t="str">
        <f t="shared" si="229"/>
        <v>PayPal</v>
      </c>
      <c r="V3674" s="4" t="str">
        <f t="shared" si="230"/>
        <v>Normal</v>
      </c>
      <c r="W3674" s="4" t="str">
        <f t="shared" si="231"/>
        <v>Good</v>
      </c>
      <c r="X3674" s="4">
        <f>AVERAGE(Table1[Purchase Amount])</f>
        <v>129.48419400000012</v>
      </c>
    </row>
    <row r="3675" spans="1:24" ht="15" customHeight="1" x14ac:dyDescent="0.25">
      <c r="A3675">
        <v>3674</v>
      </c>
      <c r="B3675">
        <v>32</v>
      </c>
      <c r="C3675" t="s">
        <v>16</v>
      </c>
      <c r="D3675" t="s">
        <v>105</v>
      </c>
      <c r="E3675" t="s">
        <v>18</v>
      </c>
      <c r="F3675" s="2">
        <v>28</v>
      </c>
      <c r="G3675" t="s">
        <v>159</v>
      </c>
      <c r="H3675" t="s">
        <v>31</v>
      </c>
      <c r="I3675" t="s">
        <v>136</v>
      </c>
      <c r="J3675" t="s">
        <v>57</v>
      </c>
      <c r="K3675">
        <v>4.2</v>
      </c>
      <c r="L3675" t="s">
        <v>23</v>
      </c>
      <c r="M3675" t="s">
        <v>41</v>
      </c>
      <c r="N3675" t="s">
        <v>23</v>
      </c>
      <c r="O3675">
        <v>31</v>
      </c>
      <c r="P3675" t="s">
        <v>88</v>
      </c>
      <c r="Q3675" t="s">
        <v>89</v>
      </c>
      <c r="R3675" s="1">
        <v>0.1</v>
      </c>
      <c r="S3675">
        <f t="shared" si="228"/>
        <v>25.2</v>
      </c>
      <c r="T3675">
        <f>IFERROR(VLOOKUP(A3675,Table1[[Customer ID]:[Discount Amount]], 6, FALSE),"Not Found")</f>
        <v>28</v>
      </c>
      <c r="U3675" t="str">
        <f t="shared" si="229"/>
        <v>Bank Transfer</v>
      </c>
      <c r="V3675" s="4" t="str">
        <f t="shared" si="230"/>
        <v>Normal</v>
      </c>
      <c r="W3675" s="4" t="str">
        <f t="shared" si="231"/>
        <v>Good</v>
      </c>
      <c r="X3675" s="4">
        <f>AVERAGE(Table1[Purchase Amount])</f>
        <v>129.48419400000012</v>
      </c>
    </row>
    <row r="3676" spans="1:24" ht="15" customHeight="1" x14ac:dyDescent="0.25">
      <c r="A3676">
        <v>3675</v>
      </c>
      <c r="B3676">
        <v>35</v>
      </c>
      <c r="C3676" t="s">
        <v>16</v>
      </c>
      <c r="D3676" t="s">
        <v>69</v>
      </c>
      <c r="E3676" t="s">
        <v>29</v>
      </c>
      <c r="F3676" s="2">
        <v>65</v>
      </c>
      <c r="G3676" t="s">
        <v>155</v>
      </c>
      <c r="H3676" t="s">
        <v>31</v>
      </c>
      <c r="I3676" t="s">
        <v>74</v>
      </c>
      <c r="J3676" t="s">
        <v>22</v>
      </c>
      <c r="K3676">
        <v>2.7</v>
      </c>
      <c r="L3676" t="s">
        <v>23</v>
      </c>
      <c r="M3676" t="s">
        <v>41</v>
      </c>
      <c r="N3676" t="s">
        <v>23</v>
      </c>
      <c r="O3676">
        <v>41</v>
      </c>
      <c r="P3676" t="s">
        <v>62</v>
      </c>
      <c r="Q3676" t="s">
        <v>89</v>
      </c>
      <c r="R3676" s="1">
        <v>0.1</v>
      </c>
      <c r="S3676">
        <f t="shared" si="228"/>
        <v>58.5</v>
      </c>
      <c r="T3676">
        <f>IFERROR(VLOOKUP(A3676,Table1[[Customer ID]:[Discount Amount]], 6, FALSE),"Not Found")</f>
        <v>65</v>
      </c>
      <c r="U3676" t="str">
        <f t="shared" si="229"/>
        <v>Venmo</v>
      </c>
      <c r="V3676" s="4" t="str">
        <f t="shared" si="230"/>
        <v>Normal</v>
      </c>
      <c r="W3676" s="4" t="str">
        <f t="shared" si="231"/>
        <v>Poor</v>
      </c>
      <c r="X3676" s="4">
        <f>AVERAGE(Table1[Purchase Amount])</f>
        <v>129.48419400000012</v>
      </c>
    </row>
    <row r="3677" spans="1:24" ht="15" customHeight="1" x14ac:dyDescent="0.25">
      <c r="A3677">
        <v>3676</v>
      </c>
      <c r="B3677">
        <v>70</v>
      </c>
      <c r="C3677" t="s">
        <v>16</v>
      </c>
      <c r="D3677" t="s">
        <v>64</v>
      </c>
      <c r="E3677" t="s">
        <v>29</v>
      </c>
      <c r="F3677" s="2">
        <v>80</v>
      </c>
      <c r="G3677" t="s">
        <v>138</v>
      </c>
      <c r="H3677" t="s">
        <v>31</v>
      </c>
      <c r="I3677" t="s">
        <v>32</v>
      </c>
      <c r="J3677" t="s">
        <v>22</v>
      </c>
      <c r="K3677">
        <v>4.5</v>
      </c>
      <c r="L3677" t="s">
        <v>23</v>
      </c>
      <c r="M3677" t="s">
        <v>61</v>
      </c>
      <c r="N3677" t="s">
        <v>23</v>
      </c>
      <c r="O3677">
        <v>3</v>
      </c>
      <c r="P3677" t="s">
        <v>88</v>
      </c>
      <c r="Q3677" t="s">
        <v>42</v>
      </c>
      <c r="R3677" s="1">
        <v>0.1</v>
      </c>
      <c r="S3677">
        <f t="shared" si="228"/>
        <v>72</v>
      </c>
      <c r="T3677">
        <f>IFERROR(VLOOKUP(A3677,Table1[[Customer ID]:[Discount Amount]], 6, FALSE),"Not Found")</f>
        <v>80</v>
      </c>
      <c r="U3677" t="str">
        <f t="shared" si="229"/>
        <v>Bank Transfer</v>
      </c>
      <c r="V3677" s="4" t="str">
        <f t="shared" si="230"/>
        <v>Normal</v>
      </c>
      <c r="W3677" s="4" t="str">
        <f t="shared" si="231"/>
        <v>Good</v>
      </c>
      <c r="X3677" s="4">
        <f>AVERAGE(Table1[Purchase Amount])</f>
        <v>129.48419400000012</v>
      </c>
    </row>
    <row r="3678" spans="1:24" ht="15" customHeight="1" x14ac:dyDescent="0.25">
      <c r="A3678">
        <v>3677</v>
      </c>
      <c r="B3678">
        <v>19</v>
      </c>
      <c r="C3678" t="s">
        <v>16</v>
      </c>
      <c r="D3678" t="s">
        <v>50</v>
      </c>
      <c r="E3678" t="s">
        <v>29</v>
      </c>
      <c r="F3678" s="2">
        <v>94</v>
      </c>
      <c r="G3678" t="s">
        <v>59</v>
      </c>
      <c r="H3678" t="s">
        <v>55</v>
      </c>
      <c r="I3678" t="s">
        <v>147</v>
      </c>
      <c r="J3678" t="s">
        <v>33</v>
      </c>
      <c r="K3678">
        <v>4.9000000000000004</v>
      </c>
      <c r="L3678" t="s">
        <v>23</v>
      </c>
      <c r="M3678" t="s">
        <v>35</v>
      </c>
      <c r="N3678" t="s">
        <v>23</v>
      </c>
      <c r="O3678">
        <v>16</v>
      </c>
      <c r="P3678" t="s">
        <v>58</v>
      </c>
      <c r="Q3678" t="s">
        <v>42</v>
      </c>
      <c r="R3678" s="1">
        <v>0.1</v>
      </c>
      <c r="S3678">
        <f t="shared" si="228"/>
        <v>84.6</v>
      </c>
      <c r="T3678">
        <f>IFERROR(VLOOKUP(A3678,Table1[[Customer ID]:[Discount Amount]], 6, FALSE),"Not Found")</f>
        <v>94</v>
      </c>
      <c r="U3678" t="str">
        <f t="shared" si="229"/>
        <v>PayPal</v>
      </c>
      <c r="V3678" s="4" t="str">
        <f t="shared" si="230"/>
        <v>Normal</v>
      </c>
      <c r="W3678" s="4" t="str">
        <f t="shared" si="231"/>
        <v>Good</v>
      </c>
      <c r="X3678" s="4">
        <f>AVERAGE(Table1[Purchase Amount])</f>
        <v>129.48419400000012</v>
      </c>
    </row>
    <row r="3679" spans="1:24" ht="15" customHeight="1" x14ac:dyDescent="0.25">
      <c r="A3679">
        <v>3678</v>
      </c>
      <c r="B3679">
        <v>32</v>
      </c>
      <c r="C3679" t="s">
        <v>16</v>
      </c>
      <c r="D3679" t="s">
        <v>104</v>
      </c>
      <c r="E3679" t="s">
        <v>29</v>
      </c>
      <c r="F3679" s="2">
        <v>30</v>
      </c>
      <c r="G3679" t="s">
        <v>113</v>
      </c>
      <c r="H3679" t="s">
        <v>31</v>
      </c>
      <c r="I3679" t="s">
        <v>85</v>
      </c>
      <c r="J3679" t="s">
        <v>47</v>
      </c>
      <c r="K3679">
        <v>2.8</v>
      </c>
      <c r="L3679" t="s">
        <v>23</v>
      </c>
      <c r="M3679" t="s">
        <v>24</v>
      </c>
      <c r="N3679" t="s">
        <v>23</v>
      </c>
      <c r="O3679">
        <v>43</v>
      </c>
      <c r="P3679" t="s">
        <v>25</v>
      </c>
      <c r="Q3679" t="s">
        <v>49</v>
      </c>
      <c r="R3679" s="1">
        <v>0.1</v>
      </c>
      <c r="S3679">
        <f t="shared" si="228"/>
        <v>27</v>
      </c>
      <c r="T3679">
        <f>IFERROR(VLOOKUP(A3679,Table1[[Customer ID]:[Discount Amount]], 6, FALSE),"Not Found")</f>
        <v>30</v>
      </c>
      <c r="U3679" t="str">
        <f t="shared" si="229"/>
        <v>Cash</v>
      </c>
      <c r="V3679" s="4" t="str">
        <f t="shared" si="230"/>
        <v>Normal</v>
      </c>
      <c r="W3679" s="4" t="str">
        <f t="shared" si="231"/>
        <v>Poor</v>
      </c>
      <c r="X3679" s="4">
        <f>AVERAGE(Table1[Purchase Amount])</f>
        <v>129.48419400000012</v>
      </c>
    </row>
    <row r="3680" spans="1:24" ht="15" customHeight="1" x14ac:dyDescent="0.25">
      <c r="A3680">
        <v>3679</v>
      </c>
      <c r="B3680">
        <v>56</v>
      </c>
      <c r="C3680" t="s">
        <v>16</v>
      </c>
      <c r="D3680" t="s">
        <v>38</v>
      </c>
      <c r="E3680" t="s">
        <v>18</v>
      </c>
      <c r="F3680" s="2">
        <v>45</v>
      </c>
      <c r="G3680" t="s">
        <v>152</v>
      </c>
      <c r="H3680" t="s">
        <v>55</v>
      </c>
      <c r="I3680" t="s">
        <v>56</v>
      </c>
      <c r="J3680" t="s">
        <v>47</v>
      </c>
      <c r="K3680">
        <v>3.5</v>
      </c>
      <c r="L3680" t="s">
        <v>23</v>
      </c>
      <c r="M3680" t="s">
        <v>24</v>
      </c>
      <c r="N3680" t="s">
        <v>23</v>
      </c>
      <c r="O3680">
        <v>29</v>
      </c>
      <c r="P3680" t="s">
        <v>88</v>
      </c>
      <c r="Q3680" t="s">
        <v>89</v>
      </c>
      <c r="R3680" s="1">
        <v>0.1</v>
      </c>
      <c r="S3680">
        <f t="shared" si="228"/>
        <v>40.5</v>
      </c>
      <c r="T3680">
        <f>IFERROR(VLOOKUP(A3680,Table1[[Customer ID]:[Discount Amount]], 6, FALSE),"Not Found")</f>
        <v>45</v>
      </c>
      <c r="U3680" t="str">
        <f t="shared" si="229"/>
        <v>Bank Transfer</v>
      </c>
      <c r="V3680" s="4" t="str">
        <f t="shared" si="230"/>
        <v>Normal</v>
      </c>
      <c r="W3680" s="4" t="str">
        <f t="shared" si="231"/>
        <v>Good</v>
      </c>
      <c r="X3680" s="4">
        <f>AVERAGE(Table1[Purchase Amount])</f>
        <v>129.48419400000012</v>
      </c>
    </row>
    <row r="3681" spans="1:24" ht="15" customHeight="1" x14ac:dyDescent="0.25">
      <c r="A3681">
        <v>3680</v>
      </c>
      <c r="B3681">
        <v>53</v>
      </c>
      <c r="C3681" t="s">
        <v>16</v>
      </c>
      <c r="D3681" t="s">
        <v>76</v>
      </c>
      <c r="E3681" t="s">
        <v>77</v>
      </c>
      <c r="F3681" s="2">
        <v>91</v>
      </c>
      <c r="G3681" t="s">
        <v>161</v>
      </c>
      <c r="H3681" t="s">
        <v>31</v>
      </c>
      <c r="I3681" t="s">
        <v>111</v>
      </c>
      <c r="J3681" t="s">
        <v>57</v>
      </c>
      <c r="K3681">
        <v>2.5</v>
      </c>
      <c r="L3681" t="s">
        <v>23</v>
      </c>
      <c r="M3681" t="s">
        <v>48</v>
      </c>
      <c r="N3681" t="s">
        <v>23</v>
      </c>
      <c r="O3681">
        <v>5</v>
      </c>
      <c r="P3681" t="s">
        <v>25</v>
      </c>
      <c r="Q3681" t="s">
        <v>68</v>
      </c>
      <c r="R3681" s="1">
        <v>0.1</v>
      </c>
      <c r="S3681">
        <f t="shared" si="228"/>
        <v>81.900000000000006</v>
      </c>
      <c r="T3681">
        <f>IFERROR(VLOOKUP(A3681,Table1[[Customer ID]:[Discount Amount]], 6, FALSE),"Not Found")</f>
        <v>91</v>
      </c>
      <c r="U3681" t="str">
        <f t="shared" si="229"/>
        <v>Cash</v>
      </c>
      <c r="V3681" s="4" t="str">
        <f t="shared" si="230"/>
        <v>Normal</v>
      </c>
      <c r="W3681" s="4" t="str">
        <f t="shared" si="231"/>
        <v>Poor</v>
      </c>
      <c r="X3681" s="4">
        <f>AVERAGE(Table1[Purchase Amount])</f>
        <v>129.48419400000012</v>
      </c>
    </row>
    <row r="3682" spans="1:24" ht="15" customHeight="1" x14ac:dyDescent="0.25">
      <c r="A3682">
        <v>3681</v>
      </c>
      <c r="B3682">
        <v>22</v>
      </c>
      <c r="C3682" t="s">
        <v>16</v>
      </c>
      <c r="D3682" t="s">
        <v>28</v>
      </c>
      <c r="E3682" t="s">
        <v>29</v>
      </c>
      <c r="F3682" s="2">
        <v>36</v>
      </c>
      <c r="G3682" t="s">
        <v>141</v>
      </c>
      <c r="H3682" t="s">
        <v>55</v>
      </c>
      <c r="I3682" t="s">
        <v>74</v>
      </c>
      <c r="J3682" t="s">
        <v>22</v>
      </c>
      <c r="K3682">
        <v>2.9</v>
      </c>
      <c r="L3682" t="s">
        <v>23</v>
      </c>
      <c r="M3682" t="s">
        <v>24</v>
      </c>
      <c r="N3682" t="s">
        <v>23</v>
      </c>
      <c r="O3682">
        <v>30</v>
      </c>
      <c r="P3682" t="s">
        <v>36</v>
      </c>
      <c r="Q3682" t="s">
        <v>37</v>
      </c>
      <c r="R3682" s="1">
        <v>0.1</v>
      </c>
      <c r="S3682">
        <f t="shared" si="228"/>
        <v>32.4</v>
      </c>
      <c r="T3682">
        <f>IFERROR(VLOOKUP(A3682,Table1[[Customer ID]:[Discount Amount]], 6, FALSE),"Not Found")</f>
        <v>36</v>
      </c>
      <c r="U3682" t="str">
        <f t="shared" si="229"/>
        <v>Debit Card</v>
      </c>
      <c r="V3682" s="4" t="str">
        <f t="shared" si="230"/>
        <v>Normal</v>
      </c>
      <c r="W3682" s="4" t="str">
        <f t="shared" si="231"/>
        <v>Poor</v>
      </c>
      <c r="X3682" s="4">
        <f>AVERAGE(Table1[Purchase Amount])</f>
        <v>129.48419400000012</v>
      </c>
    </row>
    <row r="3683" spans="1:24" ht="15" customHeight="1" x14ac:dyDescent="0.25">
      <c r="A3683">
        <v>3682</v>
      </c>
      <c r="B3683">
        <v>26</v>
      </c>
      <c r="C3683" t="s">
        <v>16</v>
      </c>
      <c r="D3683" t="s">
        <v>43</v>
      </c>
      <c r="E3683" t="s">
        <v>29</v>
      </c>
      <c r="F3683" s="2">
        <v>73</v>
      </c>
      <c r="G3683" t="s">
        <v>115</v>
      </c>
      <c r="H3683" t="s">
        <v>20</v>
      </c>
      <c r="I3683" t="s">
        <v>87</v>
      </c>
      <c r="J3683" t="s">
        <v>47</v>
      </c>
      <c r="K3683">
        <v>4.2</v>
      </c>
      <c r="L3683" t="s">
        <v>23</v>
      </c>
      <c r="M3683" t="s">
        <v>79</v>
      </c>
      <c r="N3683" t="s">
        <v>23</v>
      </c>
      <c r="O3683">
        <v>33</v>
      </c>
      <c r="P3683" t="s">
        <v>36</v>
      </c>
      <c r="Q3683" t="s">
        <v>42</v>
      </c>
      <c r="R3683" s="1">
        <v>0.1</v>
      </c>
      <c r="S3683">
        <f t="shared" si="228"/>
        <v>65.7</v>
      </c>
      <c r="T3683">
        <f>IFERROR(VLOOKUP(A3683,Table1[[Customer ID]:[Discount Amount]], 6, FALSE),"Not Found")</f>
        <v>73</v>
      </c>
      <c r="U3683" t="str">
        <f t="shared" si="229"/>
        <v>Debit Card</v>
      </c>
      <c r="V3683" s="4" t="str">
        <f t="shared" si="230"/>
        <v>Normal</v>
      </c>
      <c r="W3683" s="4" t="str">
        <f t="shared" si="231"/>
        <v>Good</v>
      </c>
      <c r="X3683" s="4">
        <f>AVERAGE(Table1[Purchase Amount])</f>
        <v>129.48419400000012</v>
      </c>
    </row>
    <row r="3684" spans="1:24" ht="15" customHeight="1" x14ac:dyDescent="0.25">
      <c r="A3684">
        <v>3683</v>
      </c>
      <c r="B3684">
        <v>42</v>
      </c>
      <c r="C3684" t="s">
        <v>16</v>
      </c>
      <c r="D3684" t="s">
        <v>38</v>
      </c>
      <c r="E3684" t="s">
        <v>18</v>
      </c>
      <c r="F3684" s="2">
        <v>60</v>
      </c>
      <c r="G3684" t="s">
        <v>162</v>
      </c>
      <c r="H3684" t="s">
        <v>31</v>
      </c>
      <c r="I3684" t="s">
        <v>125</v>
      </c>
      <c r="J3684" t="s">
        <v>47</v>
      </c>
      <c r="K3684">
        <v>4.5999999999999996</v>
      </c>
      <c r="L3684" t="s">
        <v>23</v>
      </c>
      <c r="M3684" t="s">
        <v>48</v>
      </c>
      <c r="N3684" t="s">
        <v>23</v>
      </c>
      <c r="O3684">
        <v>46</v>
      </c>
      <c r="P3684" t="s">
        <v>62</v>
      </c>
      <c r="Q3684" t="s">
        <v>68</v>
      </c>
      <c r="R3684" s="1">
        <v>0.1</v>
      </c>
      <c r="S3684">
        <f t="shared" si="228"/>
        <v>54</v>
      </c>
      <c r="T3684">
        <f>IFERROR(VLOOKUP(A3684,Table1[[Customer ID]:[Discount Amount]], 6, FALSE),"Not Found")</f>
        <v>60</v>
      </c>
      <c r="U3684" t="str">
        <f t="shared" si="229"/>
        <v>Venmo</v>
      </c>
      <c r="V3684" s="4" t="str">
        <f t="shared" si="230"/>
        <v>Normal</v>
      </c>
      <c r="W3684" s="4" t="str">
        <f t="shared" si="231"/>
        <v>Good</v>
      </c>
      <c r="X3684" s="4">
        <f>AVERAGE(Table1[Purchase Amount])</f>
        <v>129.48419400000012</v>
      </c>
    </row>
    <row r="3685" spans="1:24" ht="15" customHeight="1" x14ac:dyDescent="0.25">
      <c r="A3685">
        <v>3684</v>
      </c>
      <c r="B3685">
        <v>30</v>
      </c>
      <c r="C3685" t="s">
        <v>16</v>
      </c>
      <c r="D3685" t="s">
        <v>105</v>
      </c>
      <c r="E3685" t="s">
        <v>18</v>
      </c>
      <c r="F3685" s="2">
        <v>77</v>
      </c>
      <c r="G3685" t="s">
        <v>149</v>
      </c>
      <c r="H3685" t="s">
        <v>31</v>
      </c>
      <c r="I3685" t="s">
        <v>66</v>
      </c>
      <c r="J3685" t="s">
        <v>22</v>
      </c>
      <c r="K3685">
        <v>3</v>
      </c>
      <c r="L3685" t="s">
        <v>23</v>
      </c>
      <c r="M3685" t="s">
        <v>35</v>
      </c>
      <c r="N3685" t="s">
        <v>23</v>
      </c>
      <c r="O3685">
        <v>17</v>
      </c>
      <c r="P3685" t="s">
        <v>62</v>
      </c>
      <c r="Q3685" t="s">
        <v>89</v>
      </c>
      <c r="R3685" s="1">
        <v>0.1</v>
      </c>
      <c r="S3685">
        <f t="shared" si="228"/>
        <v>69.3</v>
      </c>
      <c r="T3685">
        <f>IFERROR(VLOOKUP(A3685,Table1[[Customer ID]:[Discount Amount]], 6, FALSE),"Not Found")</f>
        <v>77</v>
      </c>
      <c r="U3685" t="str">
        <f t="shared" si="229"/>
        <v>Venmo</v>
      </c>
      <c r="V3685" s="4" t="str">
        <f t="shared" si="230"/>
        <v>Normal</v>
      </c>
      <c r="W3685" s="4" t="str">
        <f t="shared" si="231"/>
        <v>Good</v>
      </c>
      <c r="X3685" s="4">
        <f>AVERAGE(Table1[Purchase Amount])</f>
        <v>129.48419400000012</v>
      </c>
    </row>
    <row r="3686" spans="1:24" ht="15" customHeight="1" x14ac:dyDescent="0.25">
      <c r="A3686">
        <v>3685</v>
      </c>
      <c r="B3686">
        <v>29</v>
      </c>
      <c r="C3686" t="s">
        <v>16</v>
      </c>
      <c r="D3686" t="s">
        <v>122</v>
      </c>
      <c r="E3686" t="s">
        <v>18</v>
      </c>
      <c r="F3686" s="2">
        <v>86</v>
      </c>
      <c r="G3686" t="s">
        <v>78</v>
      </c>
      <c r="H3686" t="s">
        <v>45</v>
      </c>
      <c r="I3686" t="s">
        <v>103</v>
      </c>
      <c r="J3686" t="s">
        <v>33</v>
      </c>
      <c r="K3686">
        <v>4.4000000000000004</v>
      </c>
      <c r="L3686" t="s">
        <v>23</v>
      </c>
      <c r="M3686" t="s">
        <v>35</v>
      </c>
      <c r="N3686" t="s">
        <v>23</v>
      </c>
      <c r="O3686">
        <v>47</v>
      </c>
      <c r="P3686" t="s">
        <v>53</v>
      </c>
      <c r="Q3686" t="s">
        <v>68</v>
      </c>
      <c r="R3686" s="1">
        <v>0.1</v>
      </c>
      <c r="S3686">
        <f t="shared" si="228"/>
        <v>77.400000000000006</v>
      </c>
      <c r="T3686">
        <f>IFERROR(VLOOKUP(A3686,Table1[[Customer ID]:[Discount Amount]], 6, FALSE),"Not Found")</f>
        <v>86</v>
      </c>
      <c r="U3686" t="str">
        <f t="shared" si="229"/>
        <v>Credit Card</v>
      </c>
      <c r="V3686" s="4" t="str">
        <f t="shared" si="230"/>
        <v>Normal</v>
      </c>
      <c r="W3686" s="4" t="str">
        <f t="shared" si="231"/>
        <v>Good</v>
      </c>
      <c r="X3686" s="4">
        <f>AVERAGE(Table1[Purchase Amount])</f>
        <v>129.48419400000012</v>
      </c>
    </row>
    <row r="3687" spans="1:24" ht="15" customHeight="1" x14ac:dyDescent="0.25">
      <c r="A3687">
        <v>3686</v>
      </c>
      <c r="B3687">
        <v>47</v>
      </c>
      <c r="C3687" t="s">
        <v>16</v>
      </c>
      <c r="D3687" t="s">
        <v>54</v>
      </c>
      <c r="E3687" t="s">
        <v>18</v>
      </c>
      <c r="F3687" s="2">
        <v>42</v>
      </c>
      <c r="G3687" t="s">
        <v>65</v>
      </c>
      <c r="H3687" t="s">
        <v>45</v>
      </c>
      <c r="I3687" t="s">
        <v>46</v>
      </c>
      <c r="J3687" t="s">
        <v>57</v>
      </c>
      <c r="K3687">
        <v>2.6</v>
      </c>
      <c r="L3687" t="s">
        <v>23</v>
      </c>
      <c r="M3687" t="s">
        <v>24</v>
      </c>
      <c r="N3687" t="s">
        <v>23</v>
      </c>
      <c r="O3687">
        <v>17</v>
      </c>
      <c r="P3687" t="s">
        <v>25</v>
      </c>
      <c r="Q3687" t="s">
        <v>68</v>
      </c>
      <c r="R3687" s="1">
        <v>0.1</v>
      </c>
      <c r="S3687">
        <f t="shared" si="228"/>
        <v>37.799999999999997</v>
      </c>
      <c r="T3687">
        <f>IFERROR(VLOOKUP(A3687,Table1[[Customer ID]:[Discount Amount]], 6, FALSE),"Not Found")</f>
        <v>42</v>
      </c>
      <c r="U3687" t="str">
        <f t="shared" si="229"/>
        <v>Cash</v>
      </c>
      <c r="V3687" s="4" t="str">
        <f t="shared" si="230"/>
        <v>Normal</v>
      </c>
      <c r="W3687" s="4" t="str">
        <f t="shared" si="231"/>
        <v>Poor</v>
      </c>
      <c r="X3687" s="4">
        <f>AVERAGE(Table1[Purchase Amount])</f>
        <v>129.48419400000012</v>
      </c>
    </row>
    <row r="3688" spans="1:24" ht="15" customHeight="1" x14ac:dyDescent="0.25">
      <c r="A3688">
        <v>3687</v>
      </c>
      <c r="B3688">
        <v>59</v>
      </c>
      <c r="C3688" t="s">
        <v>16</v>
      </c>
      <c r="D3688" t="s">
        <v>121</v>
      </c>
      <c r="E3688" t="s">
        <v>98</v>
      </c>
      <c r="F3688" s="2">
        <v>70</v>
      </c>
      <c r="G3688" t="s">
        <v>119</v>
      </c>
      <c r="H3688" t="s">
        <v>31</v>
      </c>
      <c r="I3688" t="s">
        <v>103</v>
      </c>
      <c r="J3688" t="s">
        <v>33</v>
      </c>
      <c r="K3688">
        <v>4.8</v>
      </c>
      <c r="L3688" t="s">
        <v>23</v>
      </c>
      <c r="M3688" t="s">
        <v>35</v>
      </c>
      <c r="N3688" t="s">
        <v>23</v>
      </c>
      <c r="O3688">
        <v>17</v>
      </c>
      <c r="P3688" t="s">
        <v>25</v>
      </c>
      <c r="Q3688" t="s">
        <v>68</v>
      </c>
      <c r="R3688" s="1">
        <v>0.1</v>
      </c>
      <c r="S3688">
        <f t="shared" si="228"/>
        <v>63</v>
      </c>
      <c r="T3688">
        <f>IFERROR(VLOOKUP(A3688,Table1[[Customer ID]:[Discount Amount]], 6, FALSE),"Not Found")</f>
        <v>70</v>
      </c>
      <c r="U3688" t="str">
        <f t="shared" si="229"/>
        <v>Cash</v>
      </c>
      <c r="V3688" s="4" t="str">
        <f t="shared" si="230"/>
        <v>Normal</v>
      </c>
      <c r="W3688" s="4" t="str">
        <f t="shared" si="231"/>
        <v>Good</v>
      </c>
      <c r="X3688" s="4">
        <f>AVERAGE(Table1[Purchase Amount])</f>
        <v>129.48419400000012</v>
      </c>
    </row>
    <row r="3689" spans="1:24" ht="15" customHeight="1" x14ac:dyDescent="0.25">
      <c r="A3689">
        <v>3688</v>
      </c>
      <c r="B3689">
        <v>34</v>
      </c>
      <c r="C3689" t="s">
        <v>16</v>
      </c>
      <c r="D3689" t="s">
        <v>38</v>
      </c>
      <c r="E3689" t="s">
        <v>18</v>
      </c>
      <c r="F3689" s="2">
        <v>44</v>
      </c>
      <c r="G3689" t="s">
        <v>100</v>
      </c>
      <c r="H3689" t="s">
        <v>45</v>
      </c>
      <c r="I3689" t="s">
        <v>107</v>
      </c>
      <c r="J3689" t="s">
        <v>57</v>
      </c>
      <c r="K3689">
        <v>2.9</v>
      </c>
      <c r="L3689" t="s">
        <v>23</v>
      </c>
      <c r="M3689" t="s">
        <v>79</v>
      </c>
      <c r="N3689" t="s">
        <v>23</v>
      </c>
      <c r="O3689">
        <v>28</v>
      </c>
      <c r="P3689" t="s">
        <v>88</v>
      </c>
      <c r="Q3689" t="s">
        <v>63</v>
      </c>
      <c r="R3689" s="1">
        <v>0.1</v>
      </c>
      <c r="S3689">
        <f t="shared" si="228"/>
        <v>39.6</v>
      </c>
      <c r="T3689">
        <f>IFERROR(VLOOKUP(A3689,Table1[[Customer ID]:[Discount Amount]], 6, FALSE),"Not Found")</f>
        <v>44</v>
      </c>
      <c r="U3689" t="str">
        <f t="shared" si="229"/>
        <v>Bank Transfer</v>
      </c>
      <c r="V3689" s="4" t="str">
        <f t="shared" si="230"/>
        <v>Normal</v>
      </c>
      <c r="W3689" s="4" t="str">
        <f t="shared" si="231"/>
        <v>Poor</v>
      </c>
      <c r="X3689" s="4">
        <f>AVERAGE(Table1[Purchase Amount])</f>
        <v>129.48419400000012</v>
      </c>
    </row>
    <row r="3690" spans="1:24" ht="15" customHeight="1" x14ac:dyDescent="0.25">
      <c r="A3690">
        <v>3689</v>
      </c>
      <c r="B3690">
        <v>52</v>
      </c>
      <c r="C3690" t="s">
        <v>16</v>
      </c>
      <c r="D3690" t="s">
        <v>28</v>
      </c>
      <c r="E3690" t="s">
        <v>29</v>
      </c>
      <c r="F3690" s="2">
        <v>91</v>
      </c>
      <c r="G3690" t="s">
        <v>154</v>
      </c>
      <c r="H3690" t="s">
        <v>45</v>
      </c>
      <c r="I3690" t="s">
        <v>32</v>
      </c>
      <c r="J3690" t="s">
        <v>33</v>
      </c>
      <c r="K3690">
        <v>3</v>
      </c>
      <c r="L3690" t="s">
        <v>23</v>
      </c>
      <c r="M3690" t="s">
        <v>79</v>
      </c>
      <c r="N3690" t="s">
        <v>23</v>
      </c>
      <c r="O3690">
        <v>8</v>
      </c>
      <c r="P3690" t="s">
        <v>25</v>
      </c>
      <c r="Q3690" t="s">
        <v>42</v>
      </c>
      <c r="R3690" s="1">
        <v>0.1</v>
      </c>
      <c r="S3690">
        <f t="shared" si="228"/>
        <v>81.900000000000006</v>
      </c>
      <c r="T3690">
        <f>IFERROR(VLOOKUP(A3690,Table1[[Customer ID]:[Discount Amount]], 6, FALSE),"Not Found")</f>
        <v>91</v>
      </c>
      <c r="U3690" t="str">
        <f t="shared" si="229"/>
        <v>Cash</v>
      </c>
      <c r="V3690" s="4" t="str">
        <f t="shared" si="230"/>
        <v>Normal</v>
      </c>
      <c r="W3690" s="4" t="str">
        <f t="shared" si="231"/>
        <v>Good</v>
      </c>
      <c r="X3690" s="4">
        <f>AVERAGE(Table1[Purchase Amount])</f>
        <v>129.48419400000012</v>
      </c>
    </row>
    <row r="3691" spans="1:24" ht="15" customHeight="1" x14ac:dyDescent="0.25">
      <c r="A3691">
        <v>3690</v>
      </c>
      <c r="B3691">
        <v>47</v>
      </c>
      <c r="C3691" t="s">
        <v>16</v>
      </c>
      <c r="D3691" t="s">
        <v>50</v>
      </c>
      <c r="E3691" t="s">
        <v>29</v>
      </c>
      <c r="F3691" s="2">
        <v>30</v>
      </c>
      <c r="G3691" t="s">
        <v>30</v>
      </c>
      <c r="H3691" t="s">
        <v>45</v>
      </c>
      <c r="I3691" t="s">
        <v>46</v>
      </c>
      <c r="J3691" t="s">
        <v>47</v>
      </c>
      <c r="K3691">
        <v>4.5</v>
      </c>
      <c r="L3691" t="s">
        <v>23</v>
      </c>
      <c r="M3691" t="s">
        <v>24</v>
      </c>
      <c r="N3691" t="s">
        <v>23</v>
      </c>
      <c r="O3691">
        <v>8</v>
      </c>
      <c r="P3691" t="s">
        <v>88</v>
      </c>
      <c r="Q3691" t="s">
        <v>37</v>
      </c>
      <c r="R3691" s="1">
        <v>0.1</v>
      </c>
      <c r="S3691">
        <f t="shared" si="228"/>
        <v>27</v>
      </c>
      <c r="T3691">
        <f>IFERROR(VLOOKUP(A3691,Table1[[Customer ID]:[Discount Amount]], 6, FALSE),"Not Found")</f>
        <v>30</v>
      </c>
      <c r="U3691" t="str">
        <f t="shared" si="229"/>
        <v>Bank Transfer</v>
      </c>
      <c r="V3691" s="4" t="str">
        <f t="shared" si="230"/>
        <v>Normal</v>
      </c>
      <c r="W3691" s="4" t="str">
        <f t="shared" si="231"/>
        <v>Good</v>
      </c>
      <c r="X3691" s="4">
        <f>AVERAGE(Table1[Purchase Amount])</f>
        <v>129.48419400000012</v>
      </c>
    </row>
    <row r="3692" spans="1:24" ht="15" customHeight="1" x14ac:dyDescent="0.25">
      <c r="A3692">
        <v>3691</v>
      </c>
      <c r="B3692">
        <v>24</v>
      </c>
      <c r="C3692" t="s">
        <v>16</v>
      </c>
      <c r="D3692" t="s">
        <v>118</v>
      </c>
      <c r="E3692" t="s">
        <v>18</v>
      </c>
      <c r="F3692" s="2">
        <v>23</v>
      </c>
      <c r="G3692" t="s">
        <v>124</v>
      </c>
      <c r="H3692" t="s">
        <v>55</v>
      </c>
      <c r="I3692" t="s">
        <v>111</v>
      </c>
      <c r="J3692" t="s">
        <v>47</v>
      </c>
      <c r="K3692">
        <v>3.7</v>
      </c>
      <c r="L3692" t="s">
        <v>23</v>
      </c>
      <c r="M3692" t="s">
        <v>48</v>
      </c>
      <c r="N3692" t="s">
        <v>23</v>
      </c>
      <c r="O3692">
        <v>4</v>
      </c>
      <c r="P3692" t="s">
        <v>88</v>
      </c>
      <c r="Q3692" t="s">
        <v>68</v>
      </c>
      <c r="R3692" s="1">
        <v>0.1</v>
      </c>
      <c r="S3692">
        <f t="shared" si="228"/>
        <v>20.7</v>
      </c>
      <c r="T3692">
        <f>IFERROR(VLOOKUP(A3692,Table1[[Customer ID]:[Discount Amount]], 6, FALSE),"Not Found")</f>
        <v>23</v>
      </c>
      <c r="U3692" t="str">
        <f t="shared" si="229"/>
        <v>Bank Transfer</v>
      </c>
      <c r="V3692" s="4" t="str">
        <f t="shared" si="230"/>
        <v>Normal</v>
      </c>
      <c r="W3692" s="4" t="str">
        <f t="shared" si="231"/>
        <v>Good</v>
      </c>
      <c r="X3692" s="4">
        <f>AVERAGE(Table1[Purchase Amount])</f>
        <v>129.48419400000012</v>
      </c>
    </row>
    <row r="3693" spans="1:24" ht="15" customHeight="1" x14ac:dyDescent="0.25">
      <c r="A3693">
        <v>3692</v>
      </c>
      <c r="B3693">
        <v>63</v>
      </c>
      <c r="C3693" t="s">
        <v>16</v>
      </c>
      <c r="D3693" t="s">
        <v>121</v>
      </c>
      <c r="E3693" t="s">
        <v>98</v>
      </c>
      <c r="F3693" s="2">
        <v>21</v>
      </c>
      <c r="G3693" t="s">
        <v>113</v>
      </c>
      <c r="H3693" t="s">
        <v>20</v>
      </c>
      <c r="I3693" t="s">
        <v>108</v>
      </c>
      <c r="J3693" t="s">
        <v>57</v>
      </c>
      <c r="K3693">
        <v>4.8</v>
      </c>
      <c r="L3693" t="s">
        <v>23</v>
      </c>
      <c r="M3693" t="s">
        <v>79</v>
      </c>
      <c r="N3693" t="s">
        <v>23</v>
      </c>
      <c r="O3693">
        <v>24</v>
      </c>
      <c r="P3693" t="s">
        <v>58</v>
      </c>
      <c r="Q3693" t="s">
        <v>26</v>
      </c>
      <c r="R3693" s="1">
        <v>0.1</v>
      </c>
      <c r="S3693">
        <f t="shared" si="228"/>
        <v>18.899999999999999</v>
      </c>
      <c r="T3693">
        <f>IFERROR(VLOOKUP(A3693,Table1[[Customer ID]:[Discount Amount]], 6, FALSE),"Not Found")</f>
        <v>21</v>
      </c>
      <c r="U3693" t="str">
        <f t="shared" si="229"/>
        <v>PayPal</v>
      </c>
      <c r="V3693" s="4" t="str">
        <f t="shared" si="230"/>
        <v>Normal</v>
      </c>
      <c r="W3693" s="4" t="str">
        <f t="shared" si="231"/>
        <v>Good</v>
      </c>
      <c r="X3693" s="4">
        <f>AVERAGE(Table1[Purchase Amount])</f>
        <v>129.48419400000012</v>
      </c>
    </row>
    <row r="3694" spans="1:24" ht="15" customHeight="1" x14ac:dyDescent="0.25">
      <c r="A3694">
        <v>3693</v>
      </c>
      <c r="B3694">
        <v>59</v>
      </c>
      <c r="C3694" t="s">
        <v>16</v>
      </c>
      <c r="D3694" t="s">
        <v>76</v>
      </c>
      <c r="E3694" t="s">
        <v>77</v>
      </c>
      <c r="F3694" s="2">
        <v>34</v>
      </c>
      <c r="G3694" t="s">
        <v>51</v>
      </c>
      <c r="H3694" t="s">
        <v>45</v>
      </c>
      <c r="I3694" t="s">
        <v>156</v>
      </c>
      <c r="J3694" t="s">
        <v>33</v>
      </c>
      <c r="K3694">
        <v>4.8</v>
      </c>
      <c r="L3694" t="s">
        <v>23</v>
      </c>
      <c r="M3694" t="s">
        <v>35</v>
      </c>
      <c r="N3694" t="s">
        <v>23</v>
      </c>
      <c r="O3694">
        <v>29</v>
      </c>
      <c r="P3694" t="s">
        <v>25</v>
      </c>
      <c r="Q3694" t="s">
        <v>89</v>
      </c>
      <c r="R3694" s="1">
        <v>0.1</v>
      </c>
      <c r="S3694">
        <f t="shared" si="228"/>
        <v>30.6</v>
      </c>
      <c r="T3694">
        <f>IFERROR(VLOOKUP(A3694,Table1[[Customer ID]:[Discount Amount]], 6, FALSE),"Not Found")</f>
        <v>34</v>
      </c>
      <c r="U3694" t="str">
        <f t="shared" si="229"/>
        <v>Cash</v>
      </c>
      <c r="V3694" s="4" t="str">
        <f t="shared" si="230"/>
        <v>Normal</v>
      </c>
      <c r="W3694" s="4" t="str">
        <f t="shared" si="231"/>
        <v>Good</v>
      </c>
      <c r="X3694" s="4">
        <f>AVERAGE(Table1[Purchase Amount])</f>
        <v>129.48419400000012</v>
      </c>
    </row>
    <row r="3695" spans="1:24" ht="15" customHeight="1" x14ac:dyDescent="0.25">
      <c r="A3695">
        <v>3694</v>
      </c>
      <c r="B3695">
        <v>66</v>
      </c>
      <c r="C3695" t="s">
        <v>16</v>
      </c>
      <c r="D3695" t="s">
        <v>118</v>
      </c>
      <c r="E3695" t="s">
        <v>18</v>
      </c>
      <c r="F3695" s="2">
        <v>46</v>
      </c>
      <c r="G3695" t="s">
        <v>130</v>
      </c>
      <c r="H3695" t="s">
        <v>31</v>
      </c>
      <c r="I3695" t="s">
        <v>111</v>
      </c>
      <c r="J3695" t="s">
        <v>57</v>
      </c>
      <c r="K3695">
        <v>4.7</v>
      </c>
      <c r="L3695" t="s">
        <v>23</v>
      </c>
      <c r="M3695" t="s">
        <v>41</v>
      </c>
      <c r="N3695" t="s">
        <v>23</v>
      </c>
      <c r="O3695">
        <v>10</v>
      </c>
      <c r="P3695" t="s">
        <v>62</v>
      </c>
      <c r="Q3695" t="s">
        <v>26</v>
      </c>
      <c r="R3695" s="1">
        <v>0.1</v>
      </c>
      <c r="S3695">
        <f t="shared" si="228"/>
        <v>41.4</v>
      </c>
      <c r="T3695">
        <f>IFERROR(VLOOKUP(A3695,Table1[[Customer ID]:[Discount Amount]], 6, FALSE),"Not Found")</f>
        <v>46</v>
      </c>
      <c r="U3695" t="str">
        <f t="shared" si="229"/>
        <v>Venmo</v>
      </c>
      <c r="V3695" s="4" t="str">
        <f t="shared" si="230"/>
        <v>Normal</v>
      </c>
      <c r="W3695" s="4" t="str">
        <f t="shared" si="231"/>
        <v>Good</v>
      </c>
      <c r="X3695" s="4">
        <f>AVERAGE(Table1[Purchase Amount])</f>
        <v>129.48419400000012</v>
      </c>
    </row>
    <row r="3696" spans="1:24" ht="15" customHeight="1" x14ac:dyDescent="0.25">
      <c r="A3696">
        <v>3695</v>
      </c>
      <c r="B3696">
        <v>45</v>
      </c>
      <c r="C3696" t="s">
        <v>16</v>
      </c>
      <c r="D3696" t="s">
        <v>127</v>
      </c>
      <c r="E3696" t="s">
        <v>18</v>
      </c>
      <c r="F3696" s="2">
        <v>41</v>
      </c>
      <c r="G3696" t="s">
        <v>159</v>
      </c>
      <c r="H3696" t="s">
        <v>31</v>
      </c>
      <c r="I3696" t="s">
        <v>74</v>
      </c>
      <c r="J3696" t="s">
        <v>22</v>
      </c>
      <c r="K3696">
        <v>2.6</v>
      </c>
      <c r="L3696" t="s">
        <v>23</v>
      </c>
      <c r="M3696" t="s">
        <v>61</v>
      </c>
      <c r="N3696" t="s">
        <v>23</v>
      </c>
      <c r="O3696">
        <v>11</v>
      </c>
      <c r="P3696" t="s">
        <v>58</v>
      </c>
      <c r="Q3696" t="s">
        <v>68</v>
      </c>
      <c r="R3696" s="1">
        <v>0.1</v>
      </c>
      <c r="S3696">
        <f t="shared" si="228"/>
        <v>36.9</v>
      </c>
      <c r="T3696">
        <f>IFERROR(VLOOKUP(A3696,Table1[[Customer ID]:[Discount Amount]], 6, FALSE),"Not Found")</f>
        <v>41</v>
      </c>
      <c r="U3696" t="str">
        <f t="shared" si="229"/>
        <v>PayPal</v>
      </c>
      <c r="V3696" s="4" t="str">
        <f t="shared" si="230"/>
        <v>Normal</v>
      </c>
      <c r="W3696" s="4" t="str">
        <f t="shared" si="231"/>
        <v>Poor</v>
      </c>
      <c r="X3696" s="4">
        <f>AVERAGE(Table1[Purchase Amount])</f>
        <v>129.48419400000012</v>
      </c>
    </row>
    <row r="3697" spans="1:24" ht="15" customHeight="1" x14ac:dyDescent="0.25">
      <c r="A3697">
        <v>3696</v>
      </c>
      <c r="B3697">
        <v>38</v>
      </c>
      <c r="C3697" t="s">
        <v>16</v>
      </c>
      <c r="D3697" t="s">
        <v>122</v>
      </c>
      <c r="E3697" t="s">
        <v>18</v>
      </c>
      <c r="F3697" s="2">
        <v>33</v>
      </c>
      <c r="G3697" t="s">
        <v>67</v>
      </c>
      <c r="H3697" t="s">
        <v>31</v>
      </c>
      <c r="I3697" t="s">
        <v>32</v>
      </c>
      <c r="J3697" t="s">
        <v>47</v>
      </c>
      <c r="K3697">
        <v>4.5999999999999996</v>
      </c>
      <c r="L3697" t="s">
        <v>23</v>
      </c>
      <c r="M3697" t="s">
        <v>24</v>
      </c>
      <c r="N3697" t="s">
        <v>23</v>
      </c>
      <c r="O3697">
        <v>18</v>
      </c>
      <c r="P3697" t="s">
        <v>88</v>
      </c>
      <c r="Q3697" t="s">
        <v>89</v>
      </c>
      <c r="R3697" s="1">
        <v>0.1</v>
      </c>
      <c r="S3697">
        <f t="shared" si="228"/>
        <v>29.7</v>
      </c>
      <c r="T3697">
        <f>IFERROR(VLOOKUP(A3697,Table1[[Customer ID]:[Discount Amount]], 6, FALSE),"Not Found")</f>
        <v>33</v>
      </c>
      <c r="U3697" t="str">
        <f t="shared" si="229"/>
        <v>Bank Transfer</v>
      </c>
      <c r="V3697" s="4" t="str">
        <f t="shared" si="230"/>
        <v>Normal</v>
      </c>
      <c r="W3697" s="4" t="str">
        <f t="shared" si="231"/>
        <v>Good</v>
      </c>
      <c r="X3697" s="4">
        <f>AVERAGE(Table1[Purchase Amount])</f>
        <v>129.48419400000012</v>
      </c>
    </row>
    <row r="3698" spans="1:24" ht="15" customHeight="1" x14ac:dyDescent="0.25">
      <c r="A3698">
        <v>3697</v>
      </c>
      <c r="B3698">
        <v>63</v>
      </c>
      <c r="C3698" t="s">
        <v>16</v>
      </c>
      <c r="D3698" t="s">
        <v>118</v>
      </c>
      <c r="E3698" t="s">
        <v>18</v>
      </c>
      <c r="F3698" s="2">
        <v>48</v>
      </c>
      <c r="G3698" t="s">
        <v>115</v>
      </c>
      <c r="H3698" t="s">
        <v>45</v>
      </c>
      <c r="I3698" t="s">
        <v>156</v>
      </c>
      <c r="J3698" t="s">
        <v>47</v>
      </c>
      <c r="K3698">
        <v>3.4</v>
      </c>
      <c r="L3698" t="s">
        <v>23</v>
      </c>
      <c r="M3698" t="s">
        <v>79</v>
      </c>
      <c r="N3698" t="s">
        <v>23</v>
      </c>
      <c r="O3698">
        <v>26</v>
      </c>
      <c r="P3698" t="s">
        <v>88</v>
      </c>
      <c r="Q3698" t="s">
        <v>49</v>
      </c>
      <c r="R3698" s="1">
        <v>0.1</v>
      </c>
      <c r="S3698">
        <f t="shared" si="228"/>
        <v>43.2</v>
      </c>
      <c r="T3698">
        <f>IFERROR(VLOOKUP(A3698,Table1[[Customer ID]:[Discount Amount]], 6, FALSE),"Not Found")</f>
        <v>48</v>
      </c>
      <c r="U3698" t="str">
        <f t="shared" si="229"/>
        <v>Bank Transfer</v>
      </c>
      <c r="V3698" s="4" t="str">
        <f t="shared" si="230"/>
        <v>Normal</v>
      </c>
      <c r="W3698" s="4" t="str">
        <f t="shared" si="231"/>
        <v>Good</v>
      </c>
      <c r="X3698" s="4">
        <f>AVERAGE(Table1[Purchase Amount])</f>
        <v>129.48419400000012</v>
      </c>
    </row>
    <row r="3699" spans="1:24" ht="15" customHeight="1" x14ac:dyDescent="0.25">
      <c r="A3699">
        <v>3698</v>
      </c>
      <c r="B3699">
        <v>55</v>
      </c>
      <c r="C3699" t="s">
        <v>16</v>
      </c>
      <c r="D3699" t="s">
        <v>83</v>
      </c>
      <c r="E3699" t="s">
        <v>18</v>
      </c>
      <c r="F3699" s="2">
        <v>66</v>
      </c>
      <c r="G3699" t="s">
        <v>78</v>
      </c>
      <c r="H3699" t="s">
        <v>45</v>
      </c>
      <c r="I3699" t="s">
        <v>136</v>
      </c>
      <c r="J3699" t="s">
        <v>22</v>
      </c>
      <c r="K3699">
        <v>3</v>
      </c>
      <c r="L3699" t="s">
        <v>23</v>
      </c>
      <c r="M3699" t="s">
        <v>24</v>
      </c>
      <c r="N3699" t="s">
        <v>23</v>
      </c>
      <c r="O3699">
        <v>39</v>
      </c>
      <c r="P3699" t="s">
        <v>25</v>
      </c>
      <c r="Q3699" t="s">
        <v>26</v>
      </c>
      <c r="R3699" s="1">
        <v>0.1</v>
      </c>
      <c r="S3699">
        <f t="shared" si="228"/>
        <v>59.4</v>
      </c>
      <c r="T3699">
        <f>IFERROR(VLOOKUP(A3699,Table1[[Customer ID]:[Discount Amount]], 6, FALSE),"Not Found")</f>
        <v>66</v>
      </c>
      <c r="U3699" t="str">
        <f t="shared" si="229"/>
        <v>Cash</v>
      </c>
      <c r="V3699" s="4" t="str">
        <f t="shared" si="230"/>
        <v>Normal</v>
      </c>
      <c r="W3699" s="4" t="str">
        <f t="shared" si="231"/>
        <v>Good</v>
      </c>
      <c r="X3699" s="4">
        <f>AVERAGE(Table1[Purchase Amount])</f>
        <v>129.48419400000012</v>
      </c>
    </row>
    <row r="3700" spans="1:24" ht="15" customHeight="1" x14ac:dyDescent="0.25">
      <c r="A3700">
        <v>3699</v>
      </c>
      <c r="B3700">
        <v>25</v>
      </c>
      <c r="C3700" t="s">
        <v>16</v>
      </c>
      <c r="D3700" t="s">
        <v>122</v>
      </c>
      <c r="E3700" t="s">
        <v>18</v>
      </c>
      <c r="F3700" s="2">
        <v>54</v>
      </c>
      <c r="G3700" t="s">
        <v>19</v>
      </c>
      <c r="H3700" t="s">
        <v>20</v>
      </c>
      <c r="I3700" t="s">
        <v>125</v>
      </c>
      <c r="J3700" t="s">
        <v>33</v>
      </c>
      <c r="K3700">
        <v>4</v>
      </c>
      <c r="L3700" t="s">
        <v>23</v>
      </c>
      <c r="M3700" t="s">
        <v>41</v>
      </c>
      <c r="N3700" t="s">
        <v>23</v>
      </c>
      <c r="O3700">
        <v>4</v>
      </c>
      <c r="P3700" t="s">
        <v>62</v>
      </c>
      <c r="Q3700" t="s">
        <v>49</v>
      </c>
      <c r="R3700" s="1">
        <v>0.1</v>
      </c>
      <c r="S3700">
        <f t="shared" si="228"/>
        <v>48.6</v>
      </c>
      <c r="T3700">
        <f>IFERROR(VLOOKUP(A3700,Table1[[Customer ID]:[Discount Amount]], 6, FALSE),"Not Found")</f>
        <v>54</v>
      </c>
      <c r="U3700" t="str">
        <f t="shared" si="229"/>
        <v>Venmo</v>
      </c>
      <c r="V3700" s="4" t="str">
        <f t="shared" si="230"/>
        <v>Normal</v>
      </c>
      <c r="W3700" s="4" t="str">
        <f t="shared" si="231"/>
        <v>Good</v>
      </c>
      <c r="X3700" s="4">
        <f>AVERAGE(Table1[Purchase Amount])</f>
        <v>129.48419400000012</v>
      </c>
    </row>
    <row r="3701" spans="1:24" ht="15" customHeight="1" x14ac:dyDescent="0.25">
      <c r="A3701">
        <v>3700</v>
      </c>
      <c r="B3701">
        <v>51</v>
      </c>
      <c r="C3701" t="s">
        <v>16</v>
      </c>
      <c r="D3701" t="s">
        <v>104</v>
      </c>
      <c r="E3701" t="s">
        <v>29</v>
      </c>
      <c r="F3701" s="2">
        <v>55</v>
      </c>
      <c r="G3701" t="s">
        <v>142</v>
      </c>
      <c r="H3701" t="s">
        <v>31</v>
      </c>
      <c r="I3701" t="s">
        <v>21</v>
      </c>
      <c r="J3701" t="s">
        <v>47</v>
      </c>
      <c r="K3701">
        <v>2.6</v>
      </c>
      <c r="L3701" t="s">
        <v>23</v>
      </c>
      <c r="M3701" t="s">
        <v>48</v>
      </c>
      <c r="N3701" t="s">
        <v>23</v>
      </c>
      <c r="O3701">
        <v>24</v>
      </c>
      <c r="P3701" t="s">
        <v>88</v>
      </c>
      <c r="Q3701" t="s">
        <v>26</v>
      </c>
      <c r="R3701" s="1">
        <v>0.1</v>
      </c>
      <c r="S3701">
        <f t="shared" si="228"/>
        <v>49.5</v>
      </c>
      <c r="T3701">
        <f>IFERROR(VLOOKUP(A3701,Table1[[Customer ID]:[Discount Amount]], 6, FALSE),"Not Found")</f>
        <v>55</v>
      </c>
      <c r="U3701" t="str">
        <f t="shared" si="229"/>
        <v>Bank Transfer</v>
      </c>
      <c r="V3701" s="4" t="str">
        <f t="shared" si="230"/>
        <v>Normal</v>
      </c>
      <c r="W3701" s="4" t="str">
        <f t="shared" si="231"/>
        <v>Poor</v>
      </c>
      <c r="X3701" s="4">
        <f>AVERAGE(Table1[Purchase Amount])</f>
        <v>129.48419400000012</v>
      </c>
    </row>
    <row r="3702" spans="1:24" ht="15" customHeight="1" x14ac:dyDescent="0.25">
      <c r="A3702">
        <v>3701</v>
      </c>
      <c r="B3702">
        <v>28</v>
      </c>
      <c r="C3702" t="s">
        <v>16</v>
      </c>
      <c r="D3702" t="s">
        <v>69</v>
      </c>
      <c r="E3702" t="s">
        <v>29</v>
      </c>
      <c r="F3702" s="2">
        <v>84</v>
      </c>
      <c r="G3702" t="s">
        <v>86</v>
      </c>
      <c r="H3702" t="s">
        <v>20</v>
      </c>
      <c r="I3702" t="s">
        <v>103</v>
      </c>
      <c r="J3702" t="s">
        <v>57</v>
      </c>
      <c r="K3702">
        <v>3.4</v>
      </c>
      <c r="L3702" t="s">
        <v>23</v>
      </c>
      <c r="M3702" t="s">
        <v>48</v>
      </c>
      <c r="N3702" t="s">
        <v>23</v>
      </c>
      <c r="O3702">
        <v>2</v>
      </c>
      <c r="P3702" t="s">
        <v>88</v>
      </c>
      <c r="Q3702" t="s">
        <v>63</v>
      </c>
      <c r="R3702" s="1">
        <v>0.1</v>
      </c>
      <c r="S3702">
        <f t="shared" si="228"/>
        <v>75.599999999999994</v>
      </c>
      <c r="T3702">
        <f>IFERROR(VLOOKUP(A3702,Table1[[Customer ID]:[Discount Amount]], 6, FALSE),"Not Found")</f>
        <v>84</v>
      </c>
      <c r="U3702" t="str">
        <f t="shared" si="229"/>
        <v>Bank Transfer</v>
      </c>
      <c r="V3702" s="4" t="str">
        <f t="shared" si="230"/>
        <v>Normal</v>
      </c>
      <c r="W3702" s="4" t="str">
        <f t="shared" si="231"/>
        <v>Good</v>
      </c>
      <c r="X3702" s="4">
        <f>AVERAGE(Table1[Purchase Amount])</f>
        <v>129.48419400000012</v>
      </c>
    </row>
    <row r="3703" spans="1:24" ht="15" customHeight="1" x14ac:dyDescent="0.25">
      <c r="A3703">
        <v>3702</v>
      </c>
      <c r="B3703">
        <v>46</v>
      </c>
      <c r="C3703" t="s">
        <v>16</v>
      </c>
      <c r="D3703" t="s">
        <v>121</v>
      </c>
      <c r="E3703" t="s">
        <v>98</v>
      </c>
      <c r="F3703" s="2">
        <v>66</v>
      </c>
      <c r="G3703" t="s">
        <v>110</v>
      </c>
      <c r="H3703" t="s">
        <v>31</v>
      </c>
      <c r="I3703" t="s">
        <v>103</v>
      </c>
      <c r="J3703" t="s">
        <v>33</v>
      </c>
      <c r="K3703">
        <v>4.5</v>
      </c>
      <c r="L3703" t="s">
        <v>23</v>
      </c>
      <c r="M3703" t="s">
        <v>48</v>
      </c>
      <c r="N3703" t="s">
        <v>23</v>
      </c>
      <c r="O3703">
        <v>36</v>
      </c>
      <c r="P3703" t="s">
        <v>25</v>
      </c>
      <c r="Q3703" t="s">
        <v>49</v>
      </c>
      <c r="R3703" s="1">
        <v>0.1</v>
      </c>
      <c r="S3703">
        <f t="shared" si="228"/>
        <v>59.4</v>
      </c>
      <c r="T3703">
        <f>IFERROR(VLOOKUP(A3703,Table1[[Customer ID]:[Discount Amount]], 6, FALSE),"Not Found")</f>
        <v>66</v>
      </c>
      <c r="U3703" t="str">
        <f t="shared" si="229"/>
        <v>Cash</v>
      </c>
      <c r="V3703" s="4" t="str">
        <f t="shared" si="230"/>
        <v>Normal</v>
      </c>
      <c r="W3703" s="4" t="str">
        <f t="shared" si="231"/>
        <v>Good</v>
      </c>
      <c r="X3703" s="4">
        <f>AVERAGE(Table1[Purchase Amount])</f>
        <v>129.48419400000012</v>
      </c>
    </row>
    <row r="3704" spans="1:24" ht="15" customHeight="1" x14ac:dyDescent="0.25">
      <c r="A3704">
        <v>3703</v>
      </c>
      <c r="B3704">
        <v>58</v>
      </c>
      <c r="C3704" t="s">
        <v>16</v>
      </c>
      <c r="D3704" t="s">
        <v>72</v>
      </c>
      <c r="E3704" t="s">
        <v>98</v>
      </c>
      <c r="F3704" s="2">
        <v>65</v>
      </c>
      <c r="G3704" t="s">
        <v>30</v>
      </c>
      <c r="H3704" t="s">
        <v>31</v>
      </c>
      <c r="I3704" t="s">
        <v>91</v>
      </c>
      <c r="J3704" t="s">
        <v>33</v>
      </c>
      <c r="K3704">
        <v>2.7</v>
      </c>
      <c r="L3704" t="s">
        <v>23</v>
      </c>
      <c r="M3704" t="s">
        <v>48</v>
      </c>
      <c r="N3704" t="s">
        <v>23</v>
      </c>
      <c r="O3704">
        <v>36</v>
      </c>
      <c r="P3704" t="s">
        <v>62</v>
      </c>
      <c r="Q3704" t="s">
        <v>26</v>
      </c>
      <c r="R3704" s="1">
        <v>0.1</v>
      </c>
      <c r="S3704">
        <f t="shared" si="228"/>
        <v>58.5</v>
      </c>
      <c r="T3704">
        <f>IFERROR(VLOOKUP(A3704,Table1[[Customer ID]:[Discount Amount]], 6, FALSE),"Not Found")</f>
        <v>65</v>
      </c>
      <c r="U3704" t="str">
        <f t="shared" si="229"/>
        <v>Venmo</v>
      </c>
      <c r="V3704" s="4" t="str">
        <f t="shared" si="230"/>
        <v>Normal</v>
      </c>
      <c r="W3704" s="4" t="str">
        <f t="shared" si="231"/>
        <v>Poor</v>
      </c>
      <c r="X3704" s="4">
        <f>AVERAGE(Table1[Purchase Amount])</f>
        <v>129.48419400000012</v>
      </c>
    </row>
    <row r="3705" spans="1:24" ht="15" customHeight="1" x14ac:dyDescent="0.25">
      <c r="A3705">
        <v>3704</v>
      </c>
      <c r="B3705">
        <v>30</v>
      </c>
      <c r="C3705" t="s">
        <v>16</v>
      </c>
      <c r="D3705" t="s">
        <v>121</v>
      </c>
      <c r="E3705" t="s">
        <v>98</v>
      </c>
      <c r="F3705" s="2">
        <v>83</v>
      </c>
      <c r="G3705" t="s">
        <v>113</v>
      </c>
      <c r="H3705" t="s">
        <v>55</v>
      </c>
      <c r="I3705" t="s">
        <v>147</v>
      </c>
      <c r="J3705" t="s">
        <v>47</v>
      </c>
      <c r="K3705">
        <v>2.9</v>
      </c>
      <c r="L3705" t="s">
        <v>23</v>
      </c>
      <c r="M3705" t="s">
        <v>24</v>
      </c>
      <c r="N3705" t="s">
        <v>23</v>
      </c>
      <c r="O3705">
        <v>23</v>
      </c>
      <c r="P3705" t="s">
        <v>58</v>
      </c>
      <c r="Q3705" t="s">
        <v>63</v>
      </c>
      <c r="R3705" s="1">
        <v>0.1</v>
      </c>
      <c r="S3705">
        <f t="shared" si="228"/>
        <v>74.7</v>
      </c>
      <c r="T3705">
        <f>IFERROR(VLOOKUP(A3705,Table1[[Customer ID]:[Discount Amount]], 6, FALSE),"Not Found")</f>
        <v>83</v>
      </c>
      <c r="U3705" t="str">
        <f t="shared" si="229"/>
        <v>PayPal</v>
      </c>
      <c r="V3705" s="4" t="str">
        <f t="shared" si="230"/>
        <v>Normal</v>
      </c>
      <c r="W3705" s="4" t="str">
        <f t="shared" si="231"/>
        <v>Poor</v>
      </c>
      <c r="X3705" s="4">
        <f>AVERAGE(Table1[Purchase Amount])</f>
        <v>129.48419400000012</v>
      </c>
    </row>
    <row r="3706" spans="1:24" ht="15" customHeight="1" x14ac:dyDescent="0.25">
      <c r="A3706">
        <v>3705</v>
      </c>
      <c r="B3706">
        <v>68</v>
      </c>
      <c r="C3706" t="s">
        <v>16</v>
      </c>
      <c r="D3706" t="s">
        <v>28</v>
      </c>
      <c r="E3706" t="s">
        <v>29</v>
      </c>
      <c r="F3706" s="2">
        <v>61</v>
      </c>
      <c r="G3706" t="s">
        <v>146</v>
      </c>
      <c r="H3706" t="s">
        <v>45</v>
      </c>
      <c r="I3706" t="s">
        <v>40</v>
      </c>
      <c r="J3706" t="s">
        <v>22</v>
      </c>
      <c r="K3706">
        <v>4</v>
      </c>
      <c r="L3706" t="s">
        <v>23</v>
      </c>
      <c r="M3706" t="s">
        <v>48</v>
      </c>
      <c r="N3706" t="s">
        <v>23</v>
      </c>
      <c r="O3706">
        <v>36</v>
      </c>
      <c r="P3706" t="s">
        <v>53</v>
      </c>
      <c r="Q3706" t="s">
        <v>37</v>
      </c>
      <c r="R3706" s="1">
        <v>0.1</v>
      </c>
      <c r="S3706">
        <f t="shared" si="228"/>
        <v>54.9</v>
      </c>
      <c r="T3706">
        <f>IFERROR(VLOOKUP(A3706,Table1[[Customer ID]:[Discount Amount]], 6, FALSE),"Not Found")</f>
        <v>61</v>
      </c>
      <c r="U3706" t="str">
        <f t="shared" si="229"/>
        <v>Credit Card</v>
      </c>
      <c r="V3706" s="4" t="str">
        <f t="shared" si="230"/>
        <v>Normal</v>
      </c>
      <c r="W3706" s="4" t="str">
        <f t="shared" si="231"/>
        <v>Good</v>
      </c>
      <c r="X3706" s="4">
        <f>AVERAGE(Table1[Purchase Amount])</f>
        <v>129.48419400000012</v>
      </c>
    </row>
    <row r="3707" spans="1:24" ht="15" customHeight="1" x14ac:dyDescent="0.25">
      <c r="A3707">
        <v>3706</v>
      </c>
      <c r="B3707">
        <v>28</v>
      </c>
      <c r="C3707" t="s">
        <v>16</v>
      </c>
      <c r="D3707" t="s">
        <v>122</v>
      </c>
      <c r="E3707" t="s">
        <v>18</v>
      </c>
      <c r="F3707" s="2">
        <v>65</v>
      </c>
      <c r="G3707" t="s">
        <v>92</v>
      </c>
      <c r="H3707" t="s">
        <v>45</v>
      </c>
      <c r="I3707" t="s">
        <v>147</v>
      </c>
      <c r="J3707" t="s">
        <v>57</v>
      </c>
      <c r="K3707">
        <v>3.2</v>
      </c>
      <c r="L3707" t="s">
        <v>23</v>
      </c>
      <c r="M3707" t="s">
        <v>35</v>
      </c>
      <c r="N3707" t="s">
        <v>23</v>
      </c>
      <c r="O3707">
        <v>2</v>
      </c>
      <c r="P3707" t="s">
        <v>36</v>
      </c>
      <c r="Q3707" t="s">
        <v>49</v>
      </c>
      <c r="R3707" s="1">
        <v>0.1</v>
      </c>
      <c r="S3707">
        <f t="shared" si="228"/>
        <v>58.5</v>
      </c>
      <c r="T3707">
        <f>IFERROR(VLOOKUP(A3707,Table1[[Customer ID]:[Discount Amount]], 6, FALSE),"Not Found")</f>
        <v>65</v>
      </c>
      <c r="U3707" t="str">
        <f t="shared" si="229"/>
        <v>Debit Card</v>
      </c>
      <c r="V3707" s="4" t="str">
        <f t="shared" si="230"/>
        <v>Normal</v>
      </c>
      <c r="W3707" s="4" t="str">
        <f t="shared" si="231"/>
        <v>Good</v>
      </c>
      <c r="X3707" s="4">
        <f>AVERAGE(Table1[Purchase Amount])</f>
        <v>129.48419400000012</v>
      </c>
    </row>
    <row r="3708" spans="1:24" ht="15" customHeight="1" x14ac:dyDescent="0.25">
      <c r="A3708">
        <v>3707</v>
      </c>
      <c r="B3708">
        <v>26</v>
      </c>
      <c r="C3708" t="s">
        <v>16</v>
      </c>
      <c r="D3708" t="s">
        <v>121</v>
      </c>
      <c r="E3708" t="s">
        <v>98</v>
      </c>
      <c r="F3708" s="2">
        <v>55</v>
      </c>
      <c r="G3708" t="s">
        <v>124</v>
      </c>
      <c r="H3708" t="s">
        <v>31</v>
      </c>
      <c r="I3708" t="s">
        <v>93</v>
      </c>
      <c r="J3708" t="s">
        <v>33</v>
      </c>
      <c r="K3708">
        <v>4</v>
      </c>
      <c r="L3708" t="s">
        <v>23</v>
      </c>
      <c r="M3708" t="s">
        <v>48</v>
      </c>
      <c r="N3708" t="s">
        <v>23</v>
      </c>
      <c r="O3708">
        <v>17</v>
      </c>
      <c r="P3708" t="s">
        <v>25</v>
      </c>
      <c r="Q3708" t="s">
        <v>68</v>
      </c>
      <c r="R3708" s="1">
        <v>0.1</v>
      </c>
      <c r="S3708">
        <f t="shared" si="228"/>
        <v>49.5</v>
      </c>
      <c r="T3708">
        <f>IFERROR(VLOOKUP(A3708,Table1[[Customer ID]:[Discount Amount]], 6, FALSE),"Not Found")</f>
        <v>55</v>
      </c>
      <c r="U3708" t="str">
        <f t="shared" si="229"/>
        <v>Cash</v>
      </c>
      <c r="V3708" s="4" t="str">
        <f t="shared" si="230"/>
        <v>Normal</v>
      </c>
      <c r="W3708" s="4" t="str">
        <f t="shared" si="231"/>
        <v>Good</v>
      </c>
      <c r="X3708" s="4">
        <f>AVERAGE(Table1[Purchase Amount])</f>
        <v>129.48419400000012</v>
      </c>
    </row>
    <row r="3709" spans="1:24" ht="15" customHeight="1" x14ac:dyDescent="0.25">
      <c r="A3709">
        <v>3708</v>
      </c>
      <c r="B3709">
        <v>35</v>
      </c>
      <c r="C3709" t="s">
        <v>16</v>
      </c>
      <c r="D3709" t="s">
        <v>43</v>
      </c>
      <c r="E3709" t="s">
        <v>29</v>
      </c>
      <c r="F3709" s="2">
        <v>79</v>
      </c>
      <c r="G3709" t="s">
        <v>44</v>
      </c>
      <c r="H3709" t="s">
        <v>31</v>
      </c>
      <c r="I3709" t="s">
        <v>133</v>
      </c>
      <c r="J3709" t="s">
        <v>47</v>
      </c>
      <c r="K3709">
        <v>3.4</v>
      </c>
      <c r="L3709" t="s">
        <v>23</v>
      </c>
      <c r="M3709" t="s">
        <v>41</v>
      </c>
      <c r="N3709" t="s">
        <v>23</v>
      </c>
      <c r="O3709">
        <v>19</v>
      </c>
      <c r="P3709" t="s">
        <v>62</v>
      </c>
      <c r="Q3709" t="s">
        <v>26</v>
      </c>
      <c r="R3709" s="1">
        <v>0.1</v>
      </c>
      <c r="S3709">
        <f t="shared" si="228"/>
        <v>71.099999999999994</v>
      </c>
      <c r="T3709">
        <f>IFERROR(VLOOKUP(A3709,Table1[[Customer ID]:[Discount Amount]], 6, FALSE),"Not Found")</f>
        <v>79</v>
      </c>
      <c r="U3709" t="str">
        <f t="shared" si="229"/>
        <v>Venmo</v>
      </c>
      <c r="V3709" s="4" t="str">
        <f t="shared" si="230"/>
        <v>Normal</v>
      </c>
      <c r="W3709" s="4" t="str">
        <f t="shared" si="231"/>
        <v>Good</v>
      </c>
      <c r="X3709" s="4">
        <f>AVERAGE(Table1[Purchase Amount])</f>
        <v>129.48419400000012</v>
      </c>
    </row>
    <row r="3710" spans="1:24" ht="15" customHeight="1" x14ac:dyDescent="0.25">
      <c r="A3710">
        <v>3709</v>
      </c>
      <c r="B3710">
        <v>40</v>
      </c>
      <c r="C3710" t="s">
        <v>16</v>
      </c>
      <c r="D3710" t="s">
        <v>83</v>
      </c>
      <c r="E3710" t="s">
        <v>18</v>
      </c>
      <c r="F3710" s="2">
        <v>96</v>
      </c>
      <c r="G3710" t="s">
        <v>30</v>
      </c>
      <c r="H3710" t="s">
        <v>31</v>
      </c>
      <c r="I3710" t="s">
        <v>46</v>
      </c>
      <c r="J3710" t="s">
        <v>47</v>
      </c>
      <c r="K3710">
        <v>4.9000000000000004</v>
      </c>
      <c r="L3710" t="s">
        <v>23</v>
      </c>
      <c r="M3710" t="s">
        <v>61</v>
      </c>
      <c r="N3710" t="s">
        <v>23</v>
      </c>
      <c r="O3710">
        <v>41</v>
      </c>
      <c r="P3710" t="s">
        <v>58</v>
      </c>
      <c r="Q3710" t="s">
        <v>42</v>
      </c>
      <c r="R3710" s="1">
        <v>0.1</v>
      </c>
      <c r="S3710">
        <f t="shared" si="228"/>
        <v>86.4</v>
      </c>
      <c r="T3710">
        <f>IFERROR(VLOOKUP(A3710,Table1[[Customer ID]:[Discount Amount]], 6, FALSE),"Not Found")</f>
        <v>96</v>
      </c>
      <c r="U3710" t="str">
        <f t="shared" si="229"/>
        <v>PayPal</v>
      </c>
      <c r="V3710" s="4" t="str">
        <f t="shared" si="230"/>
        <v>Normal</v>
      </c>
      <c r="W3710" s="4" t="str">
        <f t="shared" si="231"/>
        <v>Good</v>
      </c>
      <c r="X3710" s="4">
        <f>AVERAGE(Table1[Purchase Amount])</f>
        <v>129.48419400000012</v>
      </c>
    </row>
    <row r="3711" spans="1:24" ht="15" customHeight="1" x14ac:dyDescent="0.25">
      <c r="A3711">
        <v>3710</v>
      </c>
      <c r="B3711">
        <v>31</v>
      </c>
      <c r="C3711" t="s">
        <v>16</v>
      </c>
      <c r="D3711" t="s">
        <v>105</v>
      </c>
      <c r="E3711" t="s">
        <v>18</v>
      </c>
      <c r="F3711" s="2">
        <v>43</v>
      </c>
      <c r="G3711" t="s">
        <v>144</v>
      </c>
      <c r="H3711" t="s">
        <v>31</v>
      </c>
      <c r="I3711" t="s">
        <v>153</v>
      </c>
      <c r="J3711" t="s">
        <v>47</v>
      </c>
      <c r="K3711">
        <v>3.6</v>
      </c>
      <c r="L3711" t="s">
        <v>23</v>
      </c>
      <c r="M3711" t="s">
        <v>35</v>
      </c>
      <c r="N3711" t="s">
        <v>23</v>
      </c>
      <c r="O3711">
        <v>27</v>
      </c>
      <c r="P3711" t="s">
        <v>58</v>
      </c>
      <c r="Q3711" t="s">
        <v>37</v>
      </c>
      <c r="R3711" s="1">
        <v>0.1</v>
      </c>
      <c r="S3711">
        <f t="shared" si="228"/>
        <v>38.700000000000003</v>
      </c>
      <c r="T3711">
        <f>IFERROR(VLOOKUP(A3711,Table1[[Customer ID]:[Discount Amount]], 6, FALSE),"Not Found")</f>
        <v>43</v>
      </c>
      <c r="U3711" t="str">
        <f t="shared" si="229"/>
        <v>PayPal</v>
      </c>
      <c r="V3711" s="4" t="str">
        <f t="shared" si="230"/>
        <v>Normal</v>
      </c>
      <c r="W3711" s="4" t="str">
        <f t="shared" si="231"/>
        <v>Good</v>
      </c>
      <c r="X3711" s="4">
        <f>AVERAGE(Table1[Purchase Amount])</f>
        <v>129.48419400000012</v>
      </c>
    </row>
    <row r="3712" spans="1:24" ht="15" customHeight="1" x14ac:dyDescent="0.25">
      <c r="A3712">
        <v>3711</v>
      </c>
      <c r="B3712">
        <v>60</v>
      </c>
      <c r="C3712" t="s">
        <v>16</v>
      </c>
      <c r="D3712" t="s">
        <v>50</v>
      </c>
      <c r="E3712" t="s">
        <v>29</v>
      </c>
      <c r="F3712" s="2">
        <v>40</v>
      </c>
      <c r="G3712" t="s">
        <v>135</v>
      </c>
      <c r="H3712" t="s">
        <v>31</v>
      </c>
      <c r="I3712" t="s">
        <v>52</v>
      </c>
      <c r="J3712" t="s">
        <v>57</v>
      </c>
      <c r="K3712">
        <v>3.6</v>
      </c>
      <c r="L3712" t="s">
        <v>23</v>
      </c>
      <c r="M3712" t="s">
        <v>41</v>
      </c>
      <c r="N3712" t="s">
        <v>23</v>
      </c>
      <c r="O3712">
        <v>32</v>
      </c>
      <c r="P3712" t="s">
        <v>88</v>
      </c>
      <c r="Q3712" t="s">
        <v>89</v>
      </c>
      <c r="R3712" s="1">
        <v>0.1</v>
      </c>
      <c r="S3712">
        <f t="shared" si="228"/>
        <v>36</v>
      </c>
      <c r="T3712">
        <f>IFERROR(VLOOKUP(A3712,Table1[[Customer ID]:[Discount Amount]], 6, FALSE),"Not Found")</f>
        <v>40</v>
      </c>
      <c r="U3712" t="str">
        <f t="shared" si="229"/>
        <v>Bank Transfer</v>
      </c>
      <c r="V3712" s="4" t="str">
        <f t="shared" si="230"/>
        <v>Normal</v>
      </c>
      <c r="W3712" s="4" t="str">
        <f t="shared" si="231"/>
        <v>Good</v>
      </c>
      <c r="X3712" s="4">
        <f>AVERAGE(Table1[Purchase Amount])</f>
        <v>129.48419400000012</v>
      </c>
    </row>
    <row r="3713" spans="1:24" ht="15" customHeight="1" x14ac:dyDescent="0.25">
      <c r="A3713">
        <v>3712</v>
      </c>
      <c r="B3713">
        <v>69</v>
      </c>
      <c r="C3713" t="s">
        <v>16</v>
      </c>
      <c r="D3713" t="s">
        <v>64</v>
      </c>
      <c r="E3713" t="s">
        <v>29</v>
      </c>
      <c r="F3713" s="2">
        <v>62</v>
      </c>
      <c r="G3713" t="s">
        <v>152</v>
      </c>
      <c r="H3713" t="s">
        <v>20</v>
      </c>
      <c r="I3713" t="s">
        <v>145</v>
      </c>
      <c r="J3713" t="s">
        <v>47</v>
      </c>
      <c r="K3713">
        <v>3.2</v>
      </c>
      <c r="L3713" t="s">
        <v>23</v>
      </c>
      <c r="M3713" t="s">
        <v>35</v>
      </c>
      <c r="N3713" t="s">
        <v>23</v>
      </c>
      <c r="O3713">
        <v>33</v>
      </c>
      <c r="P3713" t="s">
        <v>25</v>
      </c>
      <c r="Q3713" t="s">
        <v>49</v>
      </c>
      <c r="R3713" s="1">
        <v>0.1</v>
      </c>
      <c r="S3713">
        <f t="shared" si="228"/>
        <v>55.8</v>
      </c>
      <c r="T3713">
        <f>IFERROR(VLOOKUP(A3713,Table1[[Customer ID]:[Discount Amount]], 6, FALSE),"Not Found")</f>
        <v>62</v>
      </c>
      <c r="U3713" t="str">
        <f t="shared" si="229"/>
        <v>Cash</v>
      </c>
      <c r="V3713" s="4" t="str">
        <f t="shared" si="230"/>
        <v>Normal</v>
      </c>
      <c r="W3713" s="4" t="str">
        <f t="shared" si="231"/>
        <v>Good</v>
      </c>
      <c r="X3713" s="4">
        <f>AVERAGE(Table1[Purchase Amount])</f>
        <v>129.48419400000012</v>
      </c>
    </row>
    <row r="3714" spans="1:24" ht="15" customHeight="1" x14ac:dyDescent="0.25">
      <c r="A3714">
        <v>3713</v>
      </c>
      <c r="B3714">
        <v>51</v>
      </c>
      <c r="C3714" t="s">
        <v>16</v>
      </c>
      <c r="D3714" t="s">
        <v>118</v>
      </c>
      <c r="E3714" t="s">
        <v>18</v>
      </c>
      <c r="F3714" s="2">
        <v>72</v>
      </c>
      <c r="G3714" t="s">
        <v>123</v>
      </c>
      <c r="H3714" t="s">
        <v>31</v>
      </c>
      <c r="I3714" t="s">
        <v>156</v>
      </c>
      <c r="J3714" t="s">
        <v>33</v>
      </c>
      <c r="K3714">
        <v>3.7</v>
      </c>
      <c r="L3714" t="s">
        <v>23</v>
      </c>
      <c r="M3714" t="s">
        <v>41</v>
      </c>
      <c r="N3714" t="s">
        <v>23</v>
      </c>
      <c r="O3714">
        <v>24</v>
      </c>
      <c r="P3714" t="s">
        <v>58</v>
      </c>
      <c r="Q3714" t="s">
        <v>37</v>
      </c>
      <c r="R3714" s="1">
        <v>0.1</v>
      </c>
      <c r="S3714">
        <f t="shared" ref="S3714:S3777" si="232">F3714-(F3714*R3714)</f>
        <v>64.8</v>
      </c>
      <c r="T3714">
        <f>IFERROR(VLOOKUP(A3714,Table1[[Customer ID]:[Discount Amount]], 6, FALSE),"Not Found")</f>
        <v>72</v>
      </c>
      <c r="U3714" t="str">
        <f t="shared" ref="U3714:U3777" si="233">INDEX(P:P, MATCH(A3714, A:A, 0))</f>
        <v>PayPal</v>
      </c>
      <c r="V3714" s="4" t="str">
        <f t="shared" ref="V3714:V3777" si="234">IF(AND(F3714&gt;1000,K3714&gt;=4),"Best Customer","Normal")</f>
        <v>Normal</v>
      </c>
      <c r="W3714" s="4" t="str">
        <f t="shared" ref="W3714:W3777" si="235">IF(K3714&gt;=3,"Good","Poor")</f>
        <v>Good</v>
      </c>
      <c r="X3714" s="4">
        <f>AVERAGE(Table1[Purchase Amount])</f>
        <v>129.48419400000012</v>
      </c>
    </row>
    <row r="3715" spans="1:24" ht="15" customHeight="1" x14ac:dyDescent="0.25">
      <c r="A3715">
        <v>3714</v>
      </c>
      <c r="B3715">
        <v>49</v>
      </c>
      <c r="C3715" t="s">
        <v>16</v>
      </c>
      <c r="D3715" t="s">
        <v>72</v>
      </c>
      <c r="E3715" t="s">
        <v>98</v>
      </c>
      <c r="F3715" s="2">
        <v>87</v>
      </c>
      <c r="G3715" t="s">
        <v>150</v>
      </c>
      <c r="H3715" t="s">
        <v>31</v>
      </c>
      <c r="I3715" t="s">
        <v>145</v>
      </c>
      <c r="J3715" t="s">
        <v>33</v>
      </c>
      <c r="K3715">
        <v>2.6</v>
      </c>
      <c r="L3715" t="s">
        <v>23</v>
      </c>
      <c r="M3715" t="s">
        <v>61</v>
      </c>
      <c r="N3715" t="s">
        <v>23</v>
      </c>
      <c r="O3715">
        <v>31</v>
      </c>
      <c r="P3715" t="s">
        <v>36</v>
      </c>
      <c r="Q3715" t="s">
        <v>63</v>
      </c>
      <c r="R3715" s="1">
        <v>0.1</v>
      </c>
      <c r="S3715">
        <f t="shared" si="232"/>
        <v>78.3</v>
      </c>
      <c r="T3715">
        <f>IFERROR(VLOOKUP(A3715,Table1[[Customer ID]:[Discount Amount]], 6, FALSE),"Not Found")</f>
        <v>87</v>
      </c>
      <c r="U3715" t="str">
        <f t="shared" si="233"/>
        <v>Debit Card</v>
      </c>
      <c r="V3715" s="4" t="str">
        <f t="shared" si="234"/>
        <v>Normal</v>
      </c>
      <c r="W3715" s="4" t="str">
        <f t="shared" si="235"/>
        <v>Poor</v>
      </c>
      <c r="X3715" s="4">
        <f>AVERAGE(Table1[Purchase Amount])</f>
        <v>129.48419400000012</v>
      </c>
    </row>
    <row r="3716" spans="1:24" ht="15" customHeight="1" x14ac:dyDescent="0.25">
      <c r="A3716">
        <v>3715</v>
      </c>
      <c r="B3716">
        <v>18</v>
      </c>
      <c r="C3716" t="s">
        <v>16</v>
      </c>
      <c r="D3716" t="s">
        <v>64</v>
      </c>
      <c r="E3716" t="s">
        <v>29</v>
      </c>
      <c r="F3716" s="2">
        <v>31</v>
      </c>
      <c r="G3716" t="s">
        <v>101</v>
      </c>
      <c r="H3716" t="s">
        <v>55</v>
      </c>
      <c r="I3716" t="s">
        <v>145</v>
      </c>
      <c r="J3716" t="s">
        <v>22</v>
      </c>
      <c r="K3716">
        <v>3.9</v>
      </c>
      <c r="L3716" t="s">
        <v>23</v>
      </c>
      <c r="M3716" t="s">
        <v>61</v>
      </c>
      <c r="N3716" t="s">
        <v>23</v>
      </c>
      <c r="O3716">
        <v>35</v>
      </c>
      <c r="P3716" t="s">
        <v>53</v>
      </c>
      <c r="Q3716" t="s">
        <v>26</v>
      </c>
      <c r="R3716" s="1">
        <v>0.1</v>
      </c>
      <c r="S3716">
        <f t="shared" si="232"/>
        <v>27.9</v>
      </c>
      <c r="T3716">
        <f>IFERROR(VLOOKUP(A3716,Table1[[Customer ID]:[Discount Amount]], 6, FALSE),"Not Found")</f>
        <v>31</v>
      </c>
      <c r="U3716" t="str">
        <f t="shared" si="233"/>
        <v>Credit Card</v>
      </c>
      <c r="V3716" s="4" t="str">
        <f t="shared" si="234"/>
        <v>Normal</v>
      </c>
      <c r="W3716" s="4" t="str">
        <f t="shared" si="235"/>
        <v>Good</v>
      </c>
      <c r="X3716" s="4">
        <f>AVERAGE(Table1[Purchase Amount])</f>
        <v>129.48419400000012</v>
      </c>
    </row>
    <row r="3717" spans="1:24" ht="15" customHeight="1" x14ac:dyDescent="0.25">
      <c r="A3717">
        <v>3716</v>
      </c>
      <c r="B3717">
        <v>63</v>
      </c>
      <c r="C3717" t="s">
        <v>16</v>
      </c>
      <c r="D3717" t="s">
        <v>28</v>
      </c>
      <c r="E3717" t="s">
        <v>29</v>
      </c>
      <c r="F3717" s="2">
        <v>34</v>
      </c>
      <c r="G3717" t="s">
        <v>137</v>
      </c>
      <c r="H3717" t="s">
        <v>55</v>
      </c>
      <c r="I3717" t="s">
        <v>108</v>
      </c>
      <c r="J3717" t="s">
        <v>47</v>
      </c>
      <c r="K3717">
        <v>3.4</v>
      </c>
      <c r="L3717" t="s">
        <v>23</v>
      </c>
      <c r="M3717" t="s">
        <v>35</v>
      </c>
      <c r="N3717" t="s">
        <v>23</v>
      </c>
      <c r="O3717">
        <v>2</v>
      </c>
      <c r="P3717" t="s">
        <v>88</v>
      </c>
      <c r="Q3717" t="s">
        <v>42</v>
      </c>
      <c r="R3717" s="1">
        <v>0.1</v>
      </c>
      <c r="S3717">
        <f t="shared" si="232"/>
        <v>30.6</v>
      </c>
      <c r="T3717">
        <f>IFERROR(VLOOKUP(A3717,Table1[[Customer ID]:[Discount Amount]], 6, FALSE),"Not Found")</f>
        <v>34</v>
      </c>
      <c r="U3717" t="str">
        <f t="shared" si="233"/>
        <v>Bank Transfer</v>
      </c>
      <c r="V3717" s="4" t="str">
        <f t="shared" si="234"/>
        <v>Normal</v>
      </c>
      <c r="W3717" s="4" t="str">
        <f t="shared" si="235"/>
        <v>Good</v>
      </c>
      <c r="X3717" s="4">
        <f>AVERAGE(Table1[Purchase Amount])</f>
        <v>129.48419400000012</v>
      </c>
    </row>
    <row r="3718" spans="1:24" ht="15" customHeight="1" x14ac:dyDescent="0.25">
      <c r="A3718">
        <v>3717</v>
      </c>
      <c r="B3718">
        <v>57</v>
      </c>
      <c r="C3718" t="s">
        <v>16</v>
      </c>
      <c r="D3718" t="s">
        <v>38</v>
      </c>
      <c r="E3718" t="s">
        <v>18</v>
      </c>
      <c r="F3718" s="2">
        <v>53</v>
      </c>
      <c r="G3718" t="s">
        <v>84</v>
      </c>
      <c r="H3718" t="s">
        <v>31</v>
      </c>
      <c r="I3718" t="s">
        <v>103</v>
      </c>
      <c r="J3718" t="s">
        <v>47</v>
      </c>
      <c r="K3718">
        <v>3.4</v>
      </c>
      <c r="L3718" t="s">
        <v>23</v>
      </c>
      <c r="M3718" t="s">
        <v>79</v>
      </c>
      <c r="N3718" t="s">
        <v>23</v>
      </c>
      <c r="O3718">
        <v>42</v>
      </c>
      <c r="P3718" t="s">
        <v>36</v>
      </c>
      <c r="Q3718" t="s">
        <v>63</v>
      </c>
      <c r="R3718" s="1">
        <v>0.1</v>
      </c>
      <c r="S3718">
        <f t="shared" si="232"/>
        <v>47.7</v>
      </c>
      <c r="T3718">
        <f>IFERROR(VLOOKUP(A3718,Table1[[Customer ID]:[Discount Amount]], 6, FALSE),"Not Found")</f>
        <v>53</v>
      </c>
      <c r="U3718" t="str">
        <f t="shared" si="233"/>
        <v>Debit Card</v>
      </c>
      <c r="V3718" s="4" t="str">
        <f t="shared" si="234"/>
        <v>Normal</v>
      </c>
      <c r="W3718" s="4" t="str">
        <f t="shared" si="235"/>
        <v>Good</v>
      </c>
      <c r="X3718" s="4">
        <f>AVERAGE(Table1[Purchase Amount])</f>
        <v>129.48419400000012</v>
      </c>
    </row>
    <row r="3719" spans="1:24" ht="15" customHeight="1" x14ac:dyDescent="0.25">
      <c r="A3719">
        <v>3718</v>
      </c>
      <c r="B3719">
        <v>45</v>
      </c>
      <c r="C3719" t="s">
        <v>16</v>
      </c>
      <c r="D3719" t="s">
        <v>17</v>
      </c>
      <c r="E3719" t="s">
        <v>18</v>
      </c>
      <c r="F3719" s="2">
        <v>85</v>
      </c>
      <c r="G3719" t="s">
        <v>106</v>
      </c>
      <c r="H3719" t="s">
        <v>20</v>
      </c>
      <c r="I3719" t="s">
        <v>32</v>
      </c>
      <c r="J3719" t="s">
        <v>57</v>
      </c>
      <c r="K3719">
        <v>4.2</v>
      </c>
      <c r="L3719" t="s">
        <v>23</v>
      </c>
      <c r="M3719" t="s">
        <v>61</v>
      </c>
      <c r="N3719" t="s">
        <v>23</v>
      </c>
      <c r="O3719">
        <v>47</v>
      </c>
      <c r="P3719" t="s">
        <v>88</v>
      </c>
      <c r="Q3719" t="s">
        <v>63</v>
      </c>
      <c r="R3719" s="1">
        <v>0.1</v>
      </c>
      <c r="S3719">
        <f t="shared" si="232"/>
        <v>76.5</v>
      </c>
      <c r="T3719">
        <f>IFERROR(VLOOKUP(A3719,Table1[[Customer ID]:[Discount Amount]], 6, FALSE),"Not Found")</f>
        <v>85</v>
      </c>
      <c r="U3719" t="str">
        <f t="shared" si="233"/>
        <v>Bank Transfer</v>
      </c>
      <c r="V3719" s="4" t="str">
        <f t="shared" si="234"/>
        <v>Normal</v>
      </c>
      <c r="W3719" s="4" t="str">
        <f t="shared" si="235"/>
        <v>Good</v>
      </c>
      <c r="X3719" s="4">
        <f>AVERAGE(Table1[Purchase Amount])</f>
        <v>129.48419400000012</v>
      </c>
    </row>
    <row r="3720" spans="1:24" ht="15" customHeight="1" x14ac:dyDescent="0.25">
      <c r="A3720">
        <v>3719</v>
      </c>
      <c r="B3720">
        <v>36</v>
      </c>
      <c r="C3720" t="s">
        <v>16</v>
      </c>
      <c r="D3720" t="s">
        <v>99</v>
      </c>
      <c r="E3720" t="s">
        <v>18</v>
      </c>
      <c r="F3720" s="2">
        <v>50</v>
      </c>
      <c r="G3720" t="s">
        <v>65</v>
      </c>
      <c r="H3720" t="s">
        <v>45</v>
      </c>
      <c r="I3720" t="s">
        <v>156</v>
      </c>
      <c r="J3720" t="s">
        <v>47</v>
      </c>
      <c r="K3720">
        <v>2.9</v>
      </c>
      <c r="L3720" t="s">
        <v>23</v>
      </c>
      <c r="M3720" t="s">
        <v>24</v>
      </c>
      <c r="N3720" t="s">
        <v>23</v>
      </c>
      <c r="O3720">
        <v>44</v>
      </c>
      <c r="P3720" t="s">
        <v>88</v>
      </c>
      <c r="Q3720" t="s">
        <v>68</v>
      </c>
      <c r="R3720" s="1">
        <v>0.1</v>
      </c>
      <c r="S3720">
        <f t="shared" si="232"/>
        <v>45</v>
      </c>
      <c r="T3720">
        <f>IFERROR(VLOOKUP(A3720,Table1[[Customer ID]:[Discount Amount]], 6, FALSE),"Not Found")</f>
        <v>50</v>
      </c>
      <c r="U3720" t="str">
        <f t="shared" si="233"/>
        <v>Bank Transfer</v>
      </c>
      <c r="V3720" s="4" t="str">
        <f t="shared" si="234"/>
        <v>Normal</v>
      </c>
      <c r="W3720" s="4" t="str">
        <f t="shared" si="235"/>
        <v>Poor</v>
      </c>
      <c r="X3720" s="4">
        <f>AVERAGE(Table1[Purchase Amount])</f>
        <v>129.48419400000012</v>
      </c>
    </row>
    <row r="3721" spans="1:24" ht="15" customHeight="1" x14ac:dyDescent="0.25">
      <c r="A3721">
        <v>3720</v>
      </c>
      <c r="B3721">
        <v>20</v>
      </c>
      <c r="C3721" t="s">
        <v>16</v>
      </c>
      <c r="D3721" t="s">
        <v>99</v>
      </c>
      <c r="E3721" t="s">
        <v>18</v>
      </c>
      <c r="F3721" s="2">
        <v>91</v>
      </c>
      <c r="G3721" t="s">
        <v>78</v>
      </c>
      <c r="H3721" t="s">
        <v>31</v>
      </c>
      <c r="I3721" t="s">
        <v>46</v>
      </c>
      <c r="J3721" t="s">
        <v>57</v>
      </c>
      <c r="K3721">
        <v>4.0999999999999996</v>
      </c>
      <c r="L3721" t="s">
        <v>23</v>
      </c>
      <c r="M3721" t="s">
        <v>35</v>
      </c>
      <c r="N3721" t="s">
        <v>23</v>
      </c>
      <c r="O3721">
        <v>8</v>
      </c>
      <c r="P3721" t="s">
        <v>88</v>
      </c>
      <c r="Q3721" t="s">
        <v>63</v>
      </c>
      <c r="R3721" s="1">
        <v>0.1</v>
      </c>
      <c r="S3721">
        <f t="shared" si="232"/>
        <v>81.900000000000006</v>
      </c>
      <c r="T3721">
        <f>IFERROR(VLOOKUP(A3721,Table1[[Customer ID]:[Discount Amount]], 6, FALSE),"Not Found")</f>
        <v>91</v>
      </c>
      <c r="U3721" t="str">
        <f t="shared" si="233"/>
        <v>Bank Transfer</v>
      </c>
      <c r="V3721" s="4" t="str">
        <f t="shared" si="234"/>
        <v>Normal</v>
      </c>
      <c r="W3721" s="4" t="str">
        <f t="shared" si="235"/>
        <v>Good</v>
      </c>
      <c r="X3721" s="4">
        <f>AVERAGE(Table1[Purchase Amount])</f>
        <v>129.48419400000012</v>
      </c>
    </row>
    <row r="3722" spans="1:24" ht="15" customHeight="1" x14ac:dyDescent="0.25">
      <c r="A3722">
        <v>3721</v>
      </c>
      <c r="B3722">
        <v>21</v>
      </c>
      <c r="C3722" t="s">
        <v>16</v>
      </c>
      <c r="D3722" t="s">
        <v>64</v>
      </c>
      <c r="E3722" t="s">
        <v>29</v>
      </c>
      <c r="F3722" s="2">
        <v>56</v>
      </c>
      <c r="G3722" t="s">
        <v>30</v>
      </c>
      <c r="H3722" t="s">
        <v>31</v>
      </c>
      <c r="I3722" t="s">
        <v>145</v>
      </c>
      <c r="J3722" t="s">
        <v>47</v>
      </c>
      <c r="K3722">
        <v>3.6</v>
      </c>
      <c r="L3722" t="s">
        <v>23</v>
      </c>
      <c r="M3722" t="s">
        <v>35</v>
      </c>
      <c r="N3722" t="s">
        <v>23</v>
      </c>
      <c r="O3722">
        <v>13</v>
      </c>
      <c r="P3722" t="s">
        <v>53</v>
      </c>
      <c r="Q3722" t="s">
        <v>37</v>
      </c>
      <c r="R3722" s="1">
        <v>0.1</v>
      </c>
      <c r="S3722">
        <f t="shared" si="232"/>
        <v>50.4</v>
      </c>
      <c r="T3722">
        <f>IFERROR(VLOOKUP(A3722,Table1[[Customer ID]:[Discount Amount]], 6, FALSE),"Not Found")</f>
        <v>56</v>
      </c>
      <c r="U3722" t="str">
        <f t="shared" si="233"/>
        <v>Credit Card</v>
      </c>
      <c r="V3722" s="4" t="str">
        <f t="shared" si="234"/>
        <v>Normal</v>
      </c>
      <c r="W3722" s="4" t="str">
        <f t="shared" si="235"/>
        <v>Good</v>
      </c>
      <c r="X3722" s="4">
        <f>AVERAGE(Table1[Purchase Amount])</f>
        <v>129.48419400000012</v>
      </c>
    </row>
    <row r="3723" spans="1:24" ht="15" customHeight="1" x14ac:dyDescent="0.25">
      <c r="A3723">
        <v>3722</v>
      </c>
      <c r="B3723">
        <v>62</v>
      </c>
      <c r="C3723" t="s">
        <v>16</v>
      </c>
      <c r="D3723" t="s">
        <v>76</v>
      </c>
      <c r="E3723" t="s">
        <v>77</v>
      </c>
      <c r="F3723" s="2">
        <v>60</v>
      </c>
      <c r="G3723" t="s">
        <v>115</v>
      </c>
      <c r="H3723" t="s">
        <v>45</v>
      </c>
      <c r="I3723" t="s">
        <v>136</v>
      </c>
      <c r="J3723" t="s">
        <v>47</v>
      </c>
      <c r="K3723">
        <v>4</v>
      </c>
      <c r="L3723" t="s">
        <v>23</v>
      </c>
      <c r="M3723" t="s">
        <v>79</v>
      </c>
      <c r="N3723" t="s">
        <v>23</v>
      </c>
      <c r="O3723">
        <v>10</v>
      </c>
      <c r="P3723" t="s">
        <v>25</v>
      </c>
      <c r="Q3723" t="s">
        <v>49</v>
      </c>
      <c r="R3723" s="1">
        <v>0.1</v>
      </c>
      <c r="S3723">
        <f t="shared" si="232"/>
        <v>54</v>
      </c>
      <c r="T3723">
        <f>IFERROR(VLOOKUP(A3723,Table1[[Customer ID]:[Discount Amount]], 6, FALSE),"Not Found")</f>
        <v>60</v>
      </c>
      <c r="U3723" t="str">
        <f t="shared" si="233"/>
        <v>Cash</v>
      </c>
      <c r="V3723" s="4" t="str">
        <f t="shared" si="234"/>
        <v>Normal</v>
      </c>
      <c r="W3723" s="4" t="str">
        <f t="shared" si="235"/>
        <v>Good</v>
      </c>
      <c r="X3723" s="4">
        <f>AVERAGE(Table1[Purchase Amount])</f>
        <v>129.48419400000012</v>
      </c>
    </row>
    <row r="3724" spans="1:24" ht="15" customHeight="1" x14ac:dyDescent="0.25">
      <c r="A3724">
        <v>3723</v>
      </c>
      <c r="B3724">
        <v>23</v>
      </c>
      <c r="C3724" t="s">
        <v>16</v>
      </c>
      <c r="D3724" t="s">
        <v>96</v>
      </c>
      <c r="E3724" t="s">
        <v>77</v>
      </c>
      <c r="F3724" s="2">
        <v>34</v>
      </c>
      <c r="G3724" t="s">
        <v>70</v>
      </c>
      <c r="H3724" t="s">
        <v>20</v>
      </c>
      <c r="I3724" t="s">
        <v>52</v>
      </c>
      <c r="J3724" t="s">
        <v>47</v>
      </c>
      <c r="K3724">
        <v>4</v>
      </c>
      <c r="L3724" t="s">
        <v>23</v>
      </c>
      <c r="M3724" t="s">
        <v>24</v>
      </c>
      <c r="N3724" t="s">
        <v>23</v>
      </c>
      <c r="O3724">
        <v>1</v>
      </c>
      <c r="P3724" t="s">
        <v>53</v>
      </c>
      <c r="Q3724" t="s">
        <v>89</v>
      </c>
      <c r="R3724" s="1">
        <v>0.1</v>
      </c>
      <c r="S3724">
        <f t="shared" si="232"/>
        <v>30.6</v>
      </c>
      <c r="T3724">
        <f>IFERROR(VLOOKUP(A3724,Table1[[Customer ID]:[Discount Amount]], 6, FALSE),"Not Found")</f>
        <v>34</v>
      </c>
      <c r="U3724" t="str">
        <f t="shared" si="233"/>
        <v>Credit Card</v>
      </c>
      <c r="V3724" s="4" t="str">
        <f t="shared" si="234"/>
        <v>Normal</v>
      </c>
      <c r="W3724" s="4" t="str">
        <f t="shared" si="235"/>
        <v>Good</v>
      </c>
      <c r="X3724" s="4">
        <f>AVERAGE(Table1[Purchase Amount])</f>
        <v>129.48419400000012</v>
      </c>
    </row>
    <row r="3725" spans="1:24" ht="15" customHeight="1" x14ac:dyDescent="0.25">
      <c r="A3725">
        <v>3724</v>
      </c>
      <c r="B3725">
        <v>26</v>
      </c>
      <c r="C3725" t="s">
        <v>16</v>
      </c>
      <c r="D3725" t="s">
        <v>121</v>
      </c>
      <c r="E3725" t="s">
        <v>98</v>
      </c>
      <c r="F3725" s="2">
        <v>30</v>
      </c>
      <c r="G3725" t="s">
        <v>159</v>
      </c>
      <c r="H3725" t="s">
        <v>31</v>
      </c>
      <c r="I3725" t="s">
        <v>56</v>
      </c>
      <c r="J3725" t="s">
        <v>33</v>
      </c>
      <c r="K3725">
        <v>3.6</v>
      </c>
      <c r="L3725" t="s">
        <v>23</v>
      </c>
      <c r="M3725" t="s">
        <v>35</v>
      </c>
      <c r="N3725" t="s">
        <v>23</v>
      </c>
      <c r="O3725">
        <v>1</v>
      </c>
      <c r="P3725" t="s">
        <v>36</v>
      </c>
      <c r="Q3725" t="s">
        <v>42</v>
      </c>
      <c r="R3725" s="1">
        <v>0.1</v>
      </c>
      <c r="S3725">
        <f t="shared" si="232"/>
        <v>27</v>
      </c>
      <c r="T3725">
        <f>IFERROR(VLOOKUP(A3725,Table1[[Customer ID]:[Discount Amount]], 6, FALSE),"Not Found")</f>
        <v>30</v>
      </c>
      <c r="U3725" t="str">
        <f t="shared" si="233"/>
        <v>Debit Card</v>
      </c>
      <c r="V3725" s="4" t="str">
        <f t="shared" si="234"/>
        <v>Normal</v>
      </c>
      <c r="W3725" s="4" t="str">
        <f t="shared" si="235"/>
        <v>Good</v>
      </c>
      <c r="X3725" s="4">
        <f>AVERAGE(Table1[Purchase Amount])</f>
        <v>129.48419400000012</v>
      </c>
    </row>
    <row r="3726" spans="1:24" ht="15" customHeight="1" x14ac:dyDescent="0.25">
      <c r="A3726">
        <v>3725</v>
      </c>
      <c r="B3726">
        <v>30</v>
      </c>
      <c r="C3726" t="s">
        <v>16</v>
      </c>
      <c r="D3726" t="s">
        <v>43</v>
      </c>
      <c r="E3726" t="s">
        <v>29</v>
      </c>
      <c r="F3726" s="2">
        <v>71</v>
      </c>
      <c r="G3726" t="s">
        <v>92</v>
      </c>
      <c r="H3726" t="s">
        <v>45</v>
      </c>
      <c r="I3726" t="s">
        <v>93</v>
      </c>
      <c r="J3726" t="s">
        <v>22</v>
      </c>
      <c r="K3726">
        <v>3.1</v>
      </c>
      <c r="L3726" t="s">
        <v>23</v>
      </c>
      <c r="M3726" t="s">
        <v>61</v>
      </c>
      <c r="N3726" t="s">
        <v>23</v>
      </c>
      <c r="O3726">
        <v>18</v>
      </c>
      <c r="P3726" t="s">
        <v>88</v>
      </c>
      <c r="Q3726" t="s">
        <v>49</v>
      </c>
      <c r="R3726" s="1">
        <v>0.1</v>
      </c>
      <c r="S3726">
        <f t="shared" si="232"/>
        <v>63.9</v>
      </c>
      <c r="T3726">
        <f>IFERROR(VLOOKUP(A3726,Table1[[Customer ID]:[Discount Amount]], 6, FALSE),"Not Found")</f>
        <v>71</v>
      </c>
      <c r="U3726" t="str">
        <f t="shared" si="233"/>
        <v>Bank Transfer</v>
      </c>
      <c r="V3726" s="4" t="str">
        <f t="shared" si="234"/>
        <v>Normal</v>
      </c>
      <c r="W3726" s="4" t="str">
        <f t="shared" si="235"/>
        <v>Good</v>
      </c>
      <c r="X3726" s="4">
        <f>AVERAGE(Table1[Purchase Amount])</f>
        <v>129.48419400000012</v>
      </c>
    </row>
    <row r="3727" spans="1:24" ht="15" customHeight="1" x14ac:dyDescent="0.25">
      <c r="A3727">
        <v>3726</v>
      </c>
      <c r="B3727">
        <v>18</v>
      </c>
      <c r="C3727" t="s">
        <v>16</v>
      </c>
      <c r="D3727" t="s">
        <v>157</v>
      </c>
      <c r="E3727" t="s">
        <v>18</v>
      </c>
      <c r="F3727" s="2">
        <v>100</v>
      </c>
      <c r="G3727" t="s">
        <v>142</v>
      </c>
      <c r="H3727" t="s">
        <v>55</v>
      </c>
      <c r="I3727" t="s">
        <v>156</v>
      </c>
      <c r="J3727" t="s">
        <v>22</v>
      </c>
      <c r="K3727">
        <v>4.4000000000000004</v>
      </c>
      <c r="L3727" t="s">
        <v>23</v>
      </c>
      <c r="M3727" t="s">
        <v>79</v>
      </c>
      <c r="N3727" t="s">
        <v>23</v>
      </c>
      <c r="O3727">
        <v>2</v>
      </c>
      <c r="P3727" t="s">
        <v>58</v>
      </c>
      <c r="Q3727" t="s">
        <v>49</v>
      </c>
      <c r="R3727" s="1">
        <v>0.1</v>
      </c>
      <c r="S3727">
        <f t="shared" si="232"/>
        <v>90</v>
      </c>
      <c r="T3727">
        <f>IFERROR(VLOOKUP(A3727,Table1[[Customer ID]:[Discount Amount]], 6, FALSE),"Not Found")</f>
        <v>100</v>
      </c>
      <c r="U3727" t="str">
        <f t="shared" si="233"/>
        <v>PayPal</v>
      </c>
      <c r="V3727" s="4" t="str">
        <f t="shared" si="234"/>
        <v>Normal</v>
      </c>
      <c r="W3727" s="4" t="str">
        <f t="shared" si="235"/>
        <v>Good</v>
      </c>
      <c r="X3727" s="4">
        <f>AVERAGE(Table1[Purchase Amount])</f>
        <v>129.48419400000012</v>
      </c>
    </row>
    <row r="3728" spans="1:24" ht="15" customHeight="1" x14ac:dyDescent="0.25">
      <c r="A3728">
        <v>3727</v>
      </c>
      <c r="B3728">
        <v>47</v>
      </c>
      <c r="C3728" t="s">
        <v>16</v>
      </c>
      <c r="D3728" t="s">
        <v>114</v>
      </c>
      <c r="E3728" t="s">
        <v>29</v>
      </c>
      <c r="F3728" s="2">
        <v>85</v>
      </c>
      <c r="G3728" t="s">
        <v>161</v>
      </c>
      <c r="H3728" t="s">
        <v>20</v>
      </c>
      <c r="I3728" t="s">
        <v>108</v>
      </c>
      <c r="J3728" t="s">
        <v>47</v>
      </c>
      <c r="K3728">
        <v>4.3</v>
      </c>
      <c r="L3728" t="s">
        <v>23</v>
      </c>
      <c r="M3728" t="s">
        <v>79</v>
      </c>
      <c r="N3728" t="s">
        <v>23</v>
      </c>
      <c r="O3728">
        <v>36</v>
      </c>
      <c r="P3728" t="s">
        <v>36</v>
      </c>
      <c r="Q3728" t="s">
        <v>63</v>
      </c>
      <c r="R3728" s="1">
        <v>0.1</v>
      </c>
      <c r="S3728">
        <f t="shared" si="232"/>
        <v>76.5</v>
      </c>
      <c r="T3728">
        <f>IFERROR(VLOOKUP(A3728,Table1[[Customer ID]:[Discount Amount]], 6, FALSE),"Not Found")</f>
        <v>85</v>
      </c>
      <c r="U3728" t="str">
        <f t="shared" si="233"/>
        <v>Debit Card</v>
      </c>
      <c r="V3728" s="4" t="str">
        <f t="shared" si="234"/>
        <v>Normal</v>
      </c>
      <c r="W3728" s="4" t="str">
        <f t="shared" si="235"/>
        <v>Good</v>
      </c>
      <c r="X3728" s="4">
        <f>AVERAGE(Table1[Purchase Amount])</f>
        <v>129.48419400000012</v>
      </c>
    </row>
    <row r="3729" spans="1:24" ht="15" customHeight="1" x14ac:dyDescent="0.25">
      <c r="A3729">
        <v>3728</v>
      </c>
      <c r="B3729">
        <v>41</v>
      </c>
      <c r="C3729" t="s">
        <v>16</v>
      </c>
      <c r="D3729" t="s">
        <v>105</v>
      </c>
      <c r="E3729" t="s">
        <v>18</v>
      </c>
      <c r="F3729" s="2">
        <v>83</v>
      </c>
      <c r="G3729" t="s">
        <v>94</v>
      </c>
      <c r="H3729" t="s">
        <v>31</v>
      </c>
      <c r="I3729" t="s">
        <v>133</v>
      </c>
      <c r="J3729" t="s">
        <v>57</v>
      </c>
      <c r="K3729">
        <v>3.5</v>
      </c>
      <c r="L3729" t="s">
        <v>23</v>
      </c>
      <c r="M3729" t="s">
        <v>79</v>
      </c>
      <c r="N3729" t="s">
        <v>23</v>
      </c>
      <c r="O3729">
        <v>17</v>
      </c>
      <c r="P3729" t="s">
        <v>36</v>
      </c>
      <c r="Q3729" t="s">
        <v>68</v>
      </c>
      <c r="R3729" s="1">
        <v>0.1</v>
      </c>
      <c r="S3729">
        <f t="shared" si="232"/>
        <v>74.7</v>
      </c>
      <c r="T3729">
        <f>IFERROR(VLOOKUP(A3729,Table1[[Customer ID]:[Discount Amount]], 6, FALSE),"Not Found")</f>
        <v>83</v>
      </c>
      <c r="U3729" t="str">
        <f t="shared" si="233"/>
        <v>Debit Card</v>
      </c>
      <c r="V3729" s="4" t="str">
        <f t="shared" si="234"/>
        <v>Normal</v>
      </c>
      <c r="W3729" s="4" t="str">
        <f t="shared" si="235"/>
        <v>Good</v>
      </c>
      <c r="X3729" s="4">
        <f>AVERAGE(Table1[Purchase Amount])</f>
        <v>129.48419400000012</v>
      </c>
    </row>
    <row r="3730" spans="1:24" ht="15" customHeight="1" x14ac:dyDescent="0.25">
      <c r="A3730">
        <v>3729</v>
      </c>
      <c r="B3730">
        <v>62</v>
      </c>
      <c r="C3730" t="s">
        <v>16</v>
      </c>
      <c r="D3730" t="s">
        <v>96</v>
      </c>
      <c r="E3730" t="s">
        <v>77</v>
      </c>
      <c r="F3730" s="2">
        <v>31</v>
      </c>
      <c r="G3730" t="s">
        <v>84</v>
      </c>
      <c r="H3730" t="s">
        <v>45</v>
      </c>
      <c r="I3730" t="s">
        <v>46</v>
      </c>
      <c r="J3730" t="s">
        <v>22</v>
      </c>
      <c r="K3730">
        <v>3</v>
      </c>
      <c r="L3730" t="s">
        <v>23</v>
      </c>
      <c r="M3730" t="s">
        <v>24</v>
      </c>
      <c r="N3730" t="s">
        <v>23</v>
      </c>
      <c r="O3730">
        <v>1</v>
      </c>
      <c r="P3730" t="s">
        <v>36</v>
      </c>
      <c r="Q3730" t="s">
        <v>49</v>
      </c>
      <c r="R3730" s="1">
        <v>0.1</v>
      </c>
      <c r="S3730">
        <f t="shared" si="232"/>
        <v>27.9</v>
      </c>
      <c r="T3730">
        <f>IFERROR(VLOOKUP(A3730,Table1[[Customer ID]:[Discount Amount]], 6, FALSE),"Not Found")</f>
        <v>31</v>
      </c>
      <c r="U3730" t="str">
        <f t="shared" si="233"/>
        <v>Debit Card</v>
      </c>
      <c r="V3730" s="4" t="str">
        <f t="shared" si="234"/>
        <v>Normal</v>
      </c>
      <c r="W3730" s="4" t="str">
        <f t="shared" si="235"/>
        <v>Good</v>
      </c>
      <c r="X3730" s="4">
        <f>AVERAGE(Table1[Purchase Amount])</f>
        <v>129.48419400000012</v>
      </c>
    </row>
    <row r="3731" spans="1:24" ht="15" customHeight="1" x14ac:dyDescent="0.25">
      <c r="A3731">
        <v>3730</v>
      </c>
      <c r="B3731">
        <v>28</v>
      </c>
      <c r="C3731" t="s">
        <v>16</v>
      </c>
      <c r="D3731" t="s">
        <v>151</v>
      </c>
      <c r="E3731" t="s">
        <v>98</v>
      </c>
      <c r="F3731" s="2">
        <v>82</v>
      </c>
      <c r="G3731" t="s">
        <v>159</v>
      </c>
      <c r="H3731" t="s">
        <v>31</v>
      </c>
      <c r="I3731" t="s">
        <v>147</v>
      </c>
      <c r="J3731" t="s">
        <v>33</v>
      </c>
      <c r="K3731">
        <v>4.7</v>
      </c>
      <c r="L3731" t="s">
        <v>23</v>
      </c>
      <c r="M3731" t="s">
        <v>41</v>
      </c>
      <c r="N3731" t="s">
        <v>23</v>
      </c>
      <c r="O3731">
        <v>50</v>
      </c>
      <c r="P3731" t="s">
        <v>25</v>
      </c>
      <c r="Q3731" t="s">
        <v>37</v>
      </c>
      <c r="R3731" s="1">
        <v>0.1</v>
      </c>
      <c r="S3731">
        <f t="shared" si="232"/>
        <v>73.8</v>
      </c>
      <c r="T3731">
        <f>IFERROR(VLOOKUP(A3731,Table1[[Customer ID]:[Discount Amount]], 6, FALSE),"Not Found")</f>
        <v>82</v>
      </c>
      <c r="U3731" t="str">
        <f t="shared" si="233"/>
        <v>Cash</v>
      </c>
      <c r="V3731" s="4" t="str">
        <f t="shared" si="234"/>
        <v>Normal</v>
      </c>
      <c r="W3731" s="4" t="str">
        <f t="shared" si="235"/>
        <v>Good</v>
      </c>
      <c r="X3731" s="4">
        <f>AVERAGE(Table1[Purchase Amount])</f>
        <v>129.48419400000012</v>
      </c>
    </row>
    <row r="3732" spans="1:24" ht="15" customHeight="1" x14ac:dyDescent="0.25">
      <c r="A3732">
        <v>3731</v>
      </c>
      <c r="B3732">
        <v>46</v>
      </c>
      <c r="C3732" t="s">
        <v>16</v>
      </c>
      <c r="D3732" t="s">
        <v>38</v>
      </c>
      <c r="E3732" t="s">
        <v>18</v>
      </c>
      <c r="F3732" s="2">
        <v>79</v>
      </c>
      <c r="G3732" t="s">
        <v>67</v>
      </c>
      <c r="H3732" t="s">
        <v>31</v>
      </c>
      <c r="I3732" t="s">
        <v>147</v>
      </c>
      <c r="J3732" t="s">
        <v>57</v>
      </c>
      <c r="K3732">
        <v>2.5</v>
      </c>
      <c r="L3732" t="s">
        <v>23</v>
      </c>
      <c r="M3732" t="s">
        <v>41</v>
      </c>
      <c r="N3732" t="s">
        <v>23</v>
      </c>
      <c r="O3732">
        <v>3</v>
      </c>
      <c r="P3732" t="s">
        <v>53</v>
      </c>
      <c r="Q3732" t="s">
        <v>68</v>
      </c>
      <c r="R3732" s="1">
        <v>0.1</v>
      </c>
      <c r="S3732">
        <f t="shared" si="232"/>
        <v>71.099999999999994</v>
      </c>
      <c r="T3732">
        <f>IFERROR(VLOOKUP(A3732,Table1[[Customer ID]:[Discount Amount]], 6, FALSE),"Not Found")</f>
        <v>79</v>
      </c>
      <c r="U3732" t="str">
        <f t="shared" si="233"/>
        <v>Credit Card</v>
      </c>
      <c r="V3732" s="4" t="str">
        <f t="shared" si="234"/>
        <v>Normal</v>
      </c>
      <c r="W3732" s="4" t="str">
        <f t="shared" si="235"/>
        <v>Poor</v>
      </c>
      <c r="X3732" s="4">
        <f>AVERAGE(Table1[Purchase Amount])</f>
        <v>129.48419400000012</v>
      </c>
    </row>
    <row r="3733" spans="1:24" ht="15" customHeight="1" x14ac:dyDescent="0.25">
      <c r="A3733">
        <v>3732</v>
      </c>
      <c r="B3733">
        <v>54</v>
      </c>
      <c r="C3733" t="s">
        <v>16</v>
      </c>
      <c r="D3733" t="s">
        <v>64</v>
      </c>
      <c r="E3733" t="s">
        <v>29</v>
      </c>
      <c r="F3733" s="2">
        <v>62</v>
      </c>
      <c r="G3733" t="s">
        <v>154</v>
      </c>
      <c r="H3733" t="s">
        <v>31</v>
      </c>
      <c r="I3733" t="s">
        <v>107</v>
      </c>
      <c r="J3733" t="s">
        <v>33</v>
      </c>
      <c r="K3733">
        <v>3.1</v>
      </c>
      <c r="L3733" t="s">
        <v>23</v>
      </c>
      <c r="M3733" t="s">
        <v>41</v>
      </c>
      <c r="N3733" t="s">
        <v>23</v>
      </c>
      <c r="O3733">
        <v>45</v>
      </c>
      <c r="P3733" t="s">
        <v>58</v>
      </c>
      <c r="Q3733" t="s">
        <v>37</v>
      </c>
      <c r="R3733" s="1">
        <v>0.1</v>
      </c>
      <c r="S3733">
        <f t="shared" si="232"/>
        <v>55.8</v>
      </c>
      <c r="T3733">
        <f>IFERROR(VLOOKUP(A3733,Table1[[Customer ID]:[Discount Amount]], 6, FALSE),"Not Found")</f>
        <v>62</v>
      </c>
      <c r="U3733" t="str">
        <f t="shared" si="233"/>
        <v>PayPal</v>
      </c>
      <c r="V3733" s="4" t="str">
        <f t="shared" si="234"/>
        <v>Normal</v>
      </c>
      <c r="W3733" s="4" t="str">
        <f t="shared" si="235"/>
        <v>Good</v>
      </c>
      <c r="X3733" s="4">
        <f>AVERAGE(Table1[Purchase Amount])</f>
        <v>129.48419400000012</v>
      </c>
    </row>
    <row r="3734" spans="1:24" ht="15" customHeight="1" x14ac:dyDescent="0.25">
      <c r="A3734">
        <v>3733</v>
      </c>
      <c r="B3734">
        <v>36</v>
      </c>
      <c r="C3734" t="s">
        <v>16</v>
      </c>
      <c r="D3734" t="s">
        <v>72</v>
      </c>
      <c r="E3734" t="s">
        <v>98</v>
      </c>
      <c r="F3734" s="2">
        <v>92</v>
      </c>
      <c r="G3734" t="s">
        <v>102</v>
      </c>
      <c r="H3734" t="s">
        <v>45</v>
      </c>
      <c r="I3734" t="s">
        <v>136</v>
      </c>
      <c r="J3734" t="s">
        <v>33</v>
      </c>
      <c r="K3734">
        <v>3.3</v>
      </c>
      <c r="L3734" t="s">
        <v>23</v>
      </c>
      <c r="M3734" t="s">
        <v>35</v>
      </c>
      <c r="N3734" t="s">
        <v>23</v>
      </c>
      <c r="O3734">
        <v>28</v>
      </c>
      <c r="P3734" t="s">
        <v>58</v>
      </c>
      <c r="Q3734" t="s">
        <v>49</v>
      </c>
      <c r="R3734" s="1">
        <v>0.1</v>
      </c>
      <c r="S3734">
        <f t="shared" si="232"/>
        <v>82.8</v>
      </c>
      <c r="T3734">
        <f>IFERROR(VLOOKUP(A3734,Table1[[Customer ID]:[Discount Amount]], 6, FALSE),"Not Found")</f>
        <v>92</v>
      </c>
      <c r="U3734" t="str">
        <f t="shared" si="233"/>
        <v>PayPal</v>
      </c>
      <c r="V3734" s="4" t="str">
        <f t="shared" si="234"/>
        <v>Normal</v>
      </c>
      <c r="W3734" s="4" t="str">
        <f t="shared" si="235"/>
        <v>Good</v>
      </c>
      <c r="X3734" s="4">
        <f>AVERAGE(Table1[Purchase Amount])</f>
        <v>129.48419400000012</v>
      </c>
    </row>
    <row r="3735" spans="1:24" ht="15" customHeight="1" x14ac:dyDescent="0.25">
      <c r="A3735">
        <v>3734</v>
      </c>
      <c r="B3735">
        <v>25</v>
      </c>
      <c r="C3735" t="s">
        <v>16</v>
      </c>
      <c r="D3735" t="s">
        <v>105</v>
      </c>
      <c r="E3735" t="s">
        <v>18</v>
      </c>
      <c r="F3735" s="2">
        <v>58</v>
      </c>
      <c r="G3735" t="s">
        <v>44</v>
      </c>
      <c r="H3735" t="s">
        <v>31</v>
      </c>
      <c r="I3735" t="s">
        <v>125</v>
      </c>
      <c r="J3735" t="s">
        <v>47</v>
      </c>
      <c r="K3735">
        <v>4.7</v>
      </c>
      <c r="L3735" t="s">
        <v>23</v>
      </c>
      <c r="M3735" t="s">
        <v>79</v>
      </c>
      <c r="N3735" t="s">
        <v>23</v>
      </c>
      <c r="O3735">
        <v>6</v>
      </c>
      <c r="P3735" t="s">
        <v>36</v>
      </c>
      <c r="Q3735" t="s">
        <v>63</v>
      </c>
      <c r="R3735" s="1">
        <v>0.1</v>
      </c>
      <c r="S3735">
        <f t="shared" si="232"/>
        <v>52.2</v>
      </c>
      <c r="T3735">
        <f>IFERROR(VLOOKUP(A3735,Table1[[Customer ID]:[Discount Amount]], 6, FALSE),"Not Found")</f>
        <v>58</v>
      </c>
      <c r="U3735" t="str">
        <f t="shared" si="233"/>
        <v>Debit Card</v>
      </c>
      <c r="V3735" s="4" t="str">
        <f t="shared" si="234"/>
        <v>Normal</v>
      </c>
      <c r="W3735" s="4" t="str">
        <f t="shared" si="235"/>
        <v>Good</v>
      </c>
      <c r="X3735" s="4">
        <f>AVERAGE(Table1[Purchase Amount])</f>
        <v>129.48419400000012</v>
      </c>
    </row>
    <row r="3736" spans="1:24" ht="15" customHeight="1" x14ac:dyDescent="0.25">
      <c r="A3736">
        <v>3735</v>
      </c>
      <c r="B3736">
        <v>38</v>
      </c>
      <c r="C3736" t="s">
        <v>16</v>
      </c>
      <c r="D3736" t="s">
        <v>83</v>
      </c>
      <c r="E3736" t="s">
        <v>18</v>
      </c>
      <c r="F3736" s="2">
        <v>88</v>
      </c>
      <c r="G3736" t="s">
        <v>19</v>
      </c>
      <c r="H3736" t="s">
        <v>31</v>
      </c>
      <c r="I3736" t="s">
        <v>56</v>
      </c>
      <c r="J3736" t="s">
        <v>33</v>
      </c>
      <c r="K3736">
        <v>3.4</v>
      </c>
      <c r="L3736" t="s">
        <v>23</v>
      </c>
      <c r="M3736" t="s">
        <v>79</v>
      </c>
      <c r="N3736" t="s">
        <v>23</v>
      </c>
      <c r="O3736">
        <v>33</v>
      </c>
      <c r="P3736" t="s">
        <v>36</v>
      </c>
      <c r="Q3736" t="s">
        <v>63</v>
      </c>
      <c r="R3736" s="1">
        <v>0.1</v>
      </c>
      <c r="S3736">
        <f t="shared" si="232"/>
        <v>79.2</v>
      </c>
      <c r="T3736">
        <f>IFERROR(VLOOKUP(A3736,Table1[[Customer ID]:[Discount Amount]], 6, FALSE),"Not Found")</f>
        <v>88</v>
      </c>
      <c r="U3736" t="str">
        <f t="shared" si="233"/>
        <v>Debit Card</v>
      </c>
      <c r="V3736" s="4" t="str">
        <f t="shared" si="234"/>
        <v>Normal</v>
      </c>
      <c r="W3736" s="4" t="str">
        <f t="shared" si="235"/>
        <v>Good</v>
      </c>
      <c r="X3736" s="4">
        <f>AVERAGE(Table1[Purchase Amount])</f>
        <v>129.48419400000012</v>
      </c>
    </row>
    <row r="3737" spans="1:24" ht="15" customHeight="1" x14ac:dyDescent="0.25">
      <c r="A3737">
        <v>3736</v>
      </c>
      <c r="B3737">
        <v>38</v>
      </c>
      <c r="C3737" t="s">
        <v>16</v>
      </c>
      <c r="D3737" t="s">
        <v>121</v>
      </c>
      <c r="E3737" t="s">
        <v>98</v>
      </c>
      <c r="F3737" s="2">
        <v>44</v>
      </c>
      <c r="G3737" t="s">
        <v>97</v>
      </c>
      <c r="H3737" t="s">
        <v>45</v>
      </c>
      <c r="I3737" t="s">
        <v>108</v>
      </c>
      <c r="J3737" t="s">
        <v>33</v>
      </c>
      <c r="K3737">
        <v>3.1</v>
      </c>
      <c r="L3737" t="s">
        <v>23</v>
      </c>
      <c r="M3737" t="s">
        <v>41</v>
      </c>
      <c r="N3737" t="s">
        <v>23</v>
      </c>
      <c r="O3737">
        <v>29</v>
      </c>
      <c r="P3737" t="s">
        <v>58</v>
      </c>
      <c r="Q3737" t="s">
        <v>49</v>
      </c>
      <c r="R3737" s="1">
        <v>0.1</v>
      </c>
      <c r="S3737">
        <f t="shared" si="232"/>
        <v>39.6</v>
      </c>
      <c r="T3737">
        <f>IFERROR(VLOOKUP(A3737,Table1[[Customer ID]:[Discount Amount]], 6, FALSE),"Not Found")</f>
        <v>44</v>
      </c>
      <c r="U3737" t="str">
        <f t="shared" si="233"/>
        <v>PayPal</v>
      </c>
      <c r="V3737" s="4" t="str">
        <f t="shared" si="234"/>
        <v>Normal</v>
      </c>
      <c r="W3737" s="4" t="str">
        <f t="shared" si="235"/>
        <v>Good</v>
      </c>
      <c r="X3737" s="4">
        <f>AVERAGE(Table1[Purchase Amount])</f>
        <v>129.48419400000012</v>
      </c>
    </row>
    <row r="3738" spans="1:24" ht="15" customHeight="1" x14ac:dyDescent="0.25">
      <c r="A3738">
        <v>3737</v>
      </c>
      <c r="B3738">
        <v>42</v>
      </c>
      <c r="C3738" t="s">
        <v>16</v>
      </c>
      <c r="D3738" t="s">
        <v>109</v>
      </c>
      <c r="E3738" t="s">
        <v>18</v>
      </c>
      <c r="F3738" s="2">
        <v>56</v>
      </c>
      <c r="G3738" t="s">
        <v>161</v>
      </c>
      <c r="H3738" t="s">
        <v>31</v>
      </c>
      <c r="I3738" t="s">
        <v>46</v>
      </c>
      <c r="J3738" t="s">
        <v>33</v>
      </c>
      <c r="K3738">
        <v>4.5999999999999996</v>
      </c>
      <c r="L3738" t="s">
        <v>23</v>
      </c>
      <c r="M3738" t="s">
        <v>48</v>
      </c>
      <c r="N3738" t="s">
        <v>23</v>
      </c>
      <c r="O3738">
        <v>2</v>
      </c>
      <c r="P3738" t="s">
        <v>58</v>
      </c>
      <c r="Q3738" t="s">
        <v>63</v>
      </c>
      <c r="R3738" s="1">
        <v>0.1</v>
      </c>
      <c r="S3738">
        <f t="shared" si="232"/>
        <v>50.4</v>
      </c>
      <c r="T3738">
        <f>IFERROR(VLOOKUP(A3738,Table1[[Customer ID]:[Discount Amount]], 6, FALSE),"Not Found")</f>
        <v>56</v>
      </c>
      <c r="U3738" t="str">
        <f t="shared" si="233"/>
        <v>PayPal</v>
      </c>
      <c r="V3738" s="4" t="str">
        <f t="shared" si="234"/>
        <v>Normal</v>
      </c>
      <c r="W3738" s="4" t="str">
        <f t="shared" si="235"/>
        <v>Good</v>
      </c>
      <c r="X3738" s="4">
        <f>AVERAGE(Table1[Purchase Amount])</f>
        <v>129.48419400000012</v>
      </c>
    </row>
    <row r="3739" spans="1:24" ht="15" customHeight="1" x14ac:dyDescent="0.25">
      <c r="A3739">
        <v>3738</v>
      </c>
      <c r="B3739">
        <v>19</v>
      </c>
      <c r="C3739" t="s">
        <v>16</v>
      </c>
      <c r="D3739" t="s">
        <v>50</v>
      </c>
      <c r="E3739" t="s">
        <v>29</v>
      </c>
      <c r="F3739" s="2">
        <v>23</v>
      </c>
      <c r="G3739" t="s">
        <v>70</v>
      </c>
      <c r="H3739" t="s">
        <v>55</v>
      </c>
      <c r="I3739" t="s">
        <v>125</v>
      </c>
      <c r="J3739" t="s">
        <v>22</v>
      </c>
      <c r="K3739">
        <v>4.9000000000000004</v>
      </c>
      <c r="L3739" t="s">
        <v>23</v>
      </c>
      <c r="M3739" t="s">
        <v>35</v>
      </c>
      <c r="N3739" t="s">
        <v>23</v>
      </c>
      <c r="O3739">
        <v>43</v>
      </c>
      <c r="P3739" t="s">
        <v>58</v>
      </c>
      <c r="Q3739" t="s">
        <v>68</v>
      </c>
      <c r="R3739" s="1">
        <v>0.1</v>
      </c>
      <c r="S3739">
        <f t="shared" si="232"/>
        <v>20.7</v>
      </c>
      <c r="T3739">
        <f>IFERROR(VLOOKUP(A3739,Table1[[Customer ID]:[Discount Amount]], 6, FALSE),"Not Found")</f>
        <v>23</v>
      </c>
      <c r="U3739" t="str">
        <f t="shared" si="233"/>
        <v>PayPal</v>
      </c>
      <c r="V3739" s="4" t="str">
        <f t="shared" si="234"/>
        <v>Normal</v>
      </c>
      <c r="W3739" s="4" t="str">
        <f t="shared" si="235"/>
        <v>Good</v>
      </c>
      <c r="X3739" s="4">
        <f>AVERAGE(Table1[Purchase Amount])</f>
        <v>129.48419400000012</v>
      </c>
    </row>
    <row r="3740" spans="1:24" ht="15" customHeight="1" x14ac:dyDescent="0.25">
      <c r="A3740">
        <v>3739</v>
      </c>
      <c r="B3740">
        <v>34</v>
      </c>
      <c r="C3740" t="s">
        <v>16</v>
      </c>
      <c r="D3740" t="s">
        <v>54</v>
      </c>
      <c r="E3740" t="s">
        <v>18</v>
      </c>
      <c r="F3740" s="2">
        <v>45</v>
      </c>
      <c r="G3740" t="s">
        <v>143</v>
      </c>
      <c r="H3740" t="s">
        <v>31</v>
      </c>
      <c r="I3740" t="s">
        <v>60</v>
      </c>
      <c r="J3740" t="s">
        <v>33</v>
      </c>
      <c r="K3740">
        <v>2.7</v>
      </c>
      <c r="L3740" t="s">
        <v>23</v>
      </c>
      <c r="M3740" t="s">
        <v>35</v>
      </c>
      <c r="N3740" t="s">
        <v>23</v>
      </c>
      <c r="O3740">
        <v>48</v>
      </c>
      <c r="P3740" t="s">
        <v>25</v>
      </c>
      <c r="Q3740" t="s">
        <v>89</v>
      </c>
      <c r="R3740" s="1">
        <v>0.1</v>
      </c>
      <c r="S3740">
        <f t="shared" si="232"/>
        <v>40.5</v>
      </c>
      <c r="T3740">
        <f>IFERROR(VLOOKUP(A3740,Table1[[Customer ID]:[Discount Amount]], 6, FALSE),"Not Found")</f>
        <v>45</v>
      </c>
      <c r="U3740" t="str">
        <f t="shared" si="233"/>
        <v>Cash</v>
      </c>
      <c r="V3740" s="4" t="str">
        <f t="shared" si="234"/>
        <v>Normal</v>
      </c>
      <c r="W3740" s="4" t="str">
        <f t="shared" si="235"/>
        <v>Poor</v>
      </c>
      <c r="X3740" s="4">
        <f>AVERAGE(Table1[Purchase Amount])</f>
        <v>129.48419400000012</v>
      </c>
    </row>
    <row r="3741" spans="1:24" ht="15" customHeight="1" x14ac:dyDescent="0.25">
      <c r="A3741">
        <v>3740</v>
      </c>
      <c r="B3741">
        <v>38</v>
      </c>
      <c r="C3741" t="s">
        <v>16</v>
      </c>
      <c r="D3741" t="s">
        <v>28</v>
      </c>
      <c r="E3741" t="s">
        <v>29</v>
      </c>
      <c r="F3741" s="2">
        <v>31</v>
      </c>
      <c r="G3741" t="s">
        <v>161</v>
      </c>
      <c r="H3741" t="s">
        <v>31</v>
      </c>
      <c r="I3741" t="s">
        <v>21</v>
      </c>
      <c r="J3741" t="s">
        <v>47</v>
      </c>
      <c r="K3741">
        <v>4.2</v>
      </c>
      <c r="L3741" t="s">
        <v>23</v>
      </c>
      <c r="M3741" t="s">
        <v>35</v>
      </c>
      <c r="N3741" t="s">
        <v>23</v>
      </c>
      <c r="O3741">
        <v>43</v>
      </c>
      <c r="P3741" t="s">
        <v>53</v>
      </c>
      <c r="Q3741" t="s">
        <v>26</v>
      </c>
      <c r="R3741" s="1">
        <v>0.1</v>
      </c>
      <c r="S3741">
        <f t="shared" si="232"/>
        <v>27.9</v>
      </c>
      <c r="T3741">
        <f>IFERROR(VLOOKUP(A3741,Table1[[Customer ID]:[Discount Amount]], 6, FALSE),"Not Found")</f>
        <v>31</v>
      </c>
      <c r="U3741" t="str">
        <f t="shared" si="233"/>
        <v>Credit Card</v>
      </c>
      <c r="V3741" s="4" t="str">
        <f t="shared" si="234"/>
        <v>Normal</v>
      </c>
      <c r="W3741" s="4" t="str">
        <f t="shared" si="235"/>
        <v>Good</v>
      </c>
      <c r="X3741" s="4">
        <f>AVERAGE(Table1[Purchase Amount])</f>
        <v>129.48419400000012</v>
      </c>
    </row>
    <row r="3742" spans="1:24" ht="15" customHeight="1" x14ac:dyDescent="0.25">
      <c r="A3742">
        <v>3741</v>
      </c>
      <c r="B3742">
        <v>42</v>
      </c>
      <c r="C3742" t="s">
        <v>16</v>
      </c>
      <c r="D3742" t="s">
        <v>99</v>
      </c>
      <c r="E3742" t="s">
        <v>18</v>
      </c>
      <c r="F3742" s="2">
        <v>96</v>
      </c>
      <c r="G3742" t="s">
        <v>138</v>
      </c>
      <c r="H3742" t="s">
        <v>31</v>
      </c>
      <c r="I3742" t="s">
        <v>153</v>
      </c>
      <c r="J3742" t="s">
        <v>57</v>
      </c>
      <c r="K3742">
        <v>2.6</v>
      </c>
      <c r="L3742" t="s">
        <v>23</v>
      </c>
      <c r="M3742" t="s">
        <v>48</v>
      </c>
      <c r="N3742" t="s">
        <v>23</v>
      </c>
      <c r="O3742">
        <v>26</v>
      </c>
      <c r="P3742" t="s">
        <v>36</v>
      </c>
      <c r="Q3742" t="s">
        <v>68</v>
      </c>
      <c r="R3742" s="1">
        <v>0.1</v>
      </c>
      <c r="S3742">
        <f t="shared" si="232"/>
        <v>86.4</v>
      </c>
      <c r="T3742">
        <f>IFERROR(VLOOKUP(A3742,Table1[[Customer ID]:[Discount Amount]], 6, FALSE),"Not Found")</f>
        <v>96</v>
      </c>
      <c r="U3742" t="str">
        <f t="shared" si="233"/>
        <v>Debit Card</v>
      </c>
      <c r="V3742" s="4" t="str">
        <f t="shared" si="234"/>
        <v>Normal</v>
      </c>
      <c r="W3742" s="4" t="str">
        <f t="shared" si="235"/>
        <v>Poor</v>
      </c>
      <c r="X3742" s="4">
        <f>AVERAGE(Table1[Purchase Amount])</f>
        <v>129.48419400000012</v>
      </c>
    </row>
    <row r="3743" spans="1:24" ht="15" customHeight="1" x14ac:dyDescent="0.25">
      <c r="A3743">
        <v>3742</v>
      </c>
      <c r="B3743">
        <v>58</v>
      </c>
      <c r="C3743" t="s">
        <v>16</v>
      </c>
      <c r="D3743" t="s">
        <v>38</v>
      </c>
      <c r="E3743" t="s">
        <v>18</v>
      </c>
      <c r="F3743" s="2">
        <v>96</v>
      </c>
      <c r="G3743" t="s">
        <v>150</v>
      </c>
      <c r="H3743" t="s">
        <v>31</v>
      </c>
      <c r="I3743" t="s">
        <v>66</v>
      </c>
      <c r="J3743" t="s">
        <v>33</v>
      </c>
      <c r="K3743">
        <v>3.2</v>
      </c>
      <c r="L3743" t="s">
        <v>23</v>
      </c>
      <c r="M3743" t="s">
        <v>41</v>
      </c>
      <c r="N3743" t="s">
        <v>23</v>
      </c>
      <c r="O3743">
        <v>26</v>
      </c>
      <c r="P3743" t="s">
        <v>36</v>
      </c>
      <c r="Q3743" t="s">
        <v>68</v>
      </c>
      <c r="R3743" s="1">
        <v>0.1</v>
      </c>
      <c r="S3743">
        <f t="shared" si="232"/>
        <v>86.4</v>
      </c>
      <c r="T3743">
        <f>IFERROR(VLOOKUP(A3743,Table1[[Customer ID]:[Discount Amount]], 6, FALSE),"Not Found")</f>
        <v>96</v>
      </c>
      <c r="U3743" t="str">
        <f t="shared" si="233"/>
        <v>Debit Card</v>
      </c>
      <c r="V3743" s="4" t="str">
        <f t="shared" si="234"/>
        <v>Normal</v>
      </c>
      <c r="W3743" s="4" t="str">
        <f t="shared" si="235"/>
        <v>Good</v>
      </c>
      <c r="X3743" s="4">
        <f>AVERAGE(Table1[Purchase Amount])</f>
        <v>129.48419400000012</v>
      </c>
    </row>
    <row r="3744" spans="1:24" ht="15" customHeight="1" x14ac:dyDescent="0.25">
      <c r="A3744">
        <v>3743</v>
      </c>
      <c r="B3744">
        <v>56</v>
      </c>
      <c r="C3744" t="s">
        <v>16</v>
      </c>
      <c r="D3744" t="s">
        <v>38</v>
      </c>
      <c r="E3744" t="s">
        <v>18</v>
      </c>
      <c r="F3744" s="2">
        <v>80</v>
      </c>
      <c r="G3744" t="s">
        <v>106</v>
      </c>
      <c r="H3744" t="s">
        <v>31</v>
      </c>
      <c r="I3744" t="s">
        <v>85</v>
      </c>
      <c r="J3744" t="s">
        <v>47</v>
      </c>
      <c r="K3744">
        <v>4.4000000000000004</v>
      </c>
      <c r="L3744" t="s">
        <v>23</v>
      </c>
      <c r="M3744" t="s">
        <v>24</v>
      </c>
      <c r="N3744" t="s">
        <v>23</v>
      </c>
      <c r="O3744">
        <v>50</v>
      </c>
      <c r="P3744" t="s">
        <v>53</v>
      </c>
      <c r="Q3744" t="s">
        <v>68</v>
      </c>
      <c r="R3744" s="1">
        <v>0.1</v>
      </c>
      <c r="S3744">
        <f t="shared" si="232"/>
        <v>72</v>
      </c>
      <c r="T3744">
        <f>IFERROR(VLOOKUP(A3744,Table1[[Customer ID]:[Discount Amount]], 6, FALSE),"Not Found")</f>
        <v>80</v>
      </c>
      <c r="U3744" t="str">
        <f t="shared" si="233"/>
        <v>Credit Card</v>
      </c>
      <c r="V3744" s="4" t="str">
        <f t="shared" si="234"/>
        <v>Normal</v>
      </c>
      <c r="W3744" s="4" t="str">
        <f t="shared" si="235"/>
        <v>Good</v>
      </c>
      <c r="X3744" s="4">
        <f>AVERAGE(Table1[Purchase Amount])</f>
        <v>129.48419400000012</v>
      </c>
    </row>
    <row r="3745" spans="1:24" ht="15" customHeight="1" x14ac:dyDescent="0.25">
      <c r="A3745">
        <v>3744</v>
      </c>
      <c r="B3745">
        <v>62</v>
      </c>
      <c r="C3745" t="s">
        <v>16</v>
      </c>
      <c r="D3745" t="s">
        <v>99</v>
      </c>
      <c r="E3745" t="s">
        <v>18</v>
      </c>
      <c r="F3745" s="2">
        <v>28</v>
      </c>
      <c r="G3745" t="s">
        <v>161</v>
      </c>
      <c r="H3745" t="s">
        <v>45</v>
      </c>
      <c r="I3745" t="s">
        <v>128</v>
      </c>
      <c r="J3745" t="s">
        <v>47</v>
      </c>
      <c r="K3745">
        <v>3.6</v>
      </c>
      <c r="L3745" t="s">
        <v>23</v>
      </c>
      <c r="M3745" t="s">
        <v>35</v>
      </c>
      <c r="N3745" t="s">
        <v>23</v>
      </c>
      <c r="O3745">
        <v>36</v>
      </c>
      <c r="P3745" t="s">
        <v>36</v>
      </c>
      <c r="Q3745" t="s">
        <v>37</v>
      </c>
      <c r="R3745" s="1">
        <v>0.1</v>
      </c>
      <c r="S3745">
        <f t="shared" si="232"/>
        <v>25.2</v>
      </c>
      <c r="T3745">
        <f>IFERROR(VLOOKUP(A3745,Table1[[Customer ID]:[Discount Amount]], 6, FALSE),"Not Found")</f>
        <v>28</v>
      </c>
      <c r="U3745" t="str">
        <f t="shared" si="233"/>
        <v>Debit Card</v>
      </c>
      <c r="V3745" s="4" t="str">
        <f t="shared" si="234"/>
        <v>Normal</v>
      </c>
      <c r="W3745" s="4" t="str">
        <f t="shared" si="235"/>
        <v>Good</v>
      </c>
      <c r="X3745" s="4">
        <f>AVERAGE(Table1[Purchase Amount])</f>
        <v>129.48419400000012</v>
      </c>
    </row>
    <row r="3746" spans="1:24" ht="15" customHeight="1" x14ac:dyDescent="0.25">
      <c r="A3746">
        <v>3745</v>
      </c>
      <c r="B3746">
        <v>24</v>
      </c>
      <c r="C3746" t="s">
        <v>16</v>
      </c>
      <c r="D3746" t="s">
        <v>83</v>
      </c>
      <c r="E3746" t="s">
        <v>18</v>
      </c>
      <c r="F3746" s="2">
        <v>51</v>
      </c>
      <c r="G3746" t="s">
        <v>131</v>
      </c>
      <c r="H3746" t="s">
        <v>31</v>
      </c>
      <c r="I3746" t="s">
        <v>85</v>
      </c>
      <c r="J3746" t="s">
        <v>57</v>
      </c>
      <c r="K3746">
        <v>2.7</v>
      </c>
      <c r="L3746" t="s">
        <v>23</v>
      </c>
      <c r="M3746" t="s">
        <v>79</v>
      </c>
      <c r="N3746" t="s">
        <v>23</v>
      </c>
      <c r="O3746">
        <v>26</v>
      </c>
      <c r="P3746" t="s">
        <v>88</v>
      </c>
      <c r="Q3746" t="s">
        <v>89</v>
      </c>
      <c r="R3746" s="1">
        <v>0.1</v>
      </c>
      <c r="S3746">
        <f t="shared" si="232"/>
        <v>45.9</v>
      </c>
      <c r="T3746">
        <f>IFERROR(VLOOKUP(A3746,Table1[[Customer ID]:[Discount Amount]], 6, FALSE),"Not Found")</f>
        <v>51</v>
      </c>
      <c r="U3746" t="str">
        <f t="shared" si="233"/>
        <v>Bank Transfer</v>
      </c>
      <c r="V3746" s="4" t="str">
        <f t="shared" si="234"/>
        <v>Normal</v>
      </c>
      <c r="W3746" s="4" t="str">
        <f t="shared" si="235"/>
        <v>Poor</v>
      </c>
      <c r="X3746" s="4">
        <f>AVERAGE(Table1[Purchase Amount])</f>
        <v>129.48419400000012</v>
      </c>
    </row>
    <row r="3747" spans="1:24" ht="15" customHeight="1" x14ac:dyDescent="0.25">
      <c r="A3747">
        <v>3746</v>
      </c>
      <c r="B3747">
        <v>60</v>
      </c>
      <c r="C3747" t="s">
        <v>16</v>
      </c>
      <c r="D3747" t="s">
        <v>105</v>
      </c>
      <c r="E3747" t="s">
        <v>18</v>
      </c>
      <c r="F3747" s="2">
        <v>41</v>
      </c>
      <c r="G3747" t="s">
        <v>155</v>
      </c>
      <c r="H3747" t="s">
        <v>45</v>
      </c>
      <c r="I3747" t="s">
        <v>133</v>
      </c>
      <c r="J3747" t="s">
        <v>33</v>
      </c>
      <c r="K3747">
        <v>4.3</v>
      </c>
      <c r="L3747" t="s">
        <v>23</v>
      </c>
      <c r="M3747" t="s">
        <v>61</v>
      </c>
      <c r="N3747" t="s">
        <v>23</v>
      </c>
      <c r="O3747">
        <v>2</v>
      </c>
      <c r="P3747" t="s">
        <v>36</v>
      </c>
      <c r="Q3747" t="s">
        <v>42</v>
      </c>
      <c r="R3747" s="1">
        <v>0.1</v>
      </c>
      <c r="S3747">
        <f t="shared" si="232"/>
        <v>36.9</v>
      </c>
      <c r="T3747">
        <f>IFERROR(VLOOKUP(A3747,Table1[[Customer ID]:[Discount Amount]], 6, FALSE),"Not Found")</f>
        <v>41</v>
      </c>
      <c r="U3747" t="str">
        <f t="shared" si="233"/>
        <v>Debit Card</v>
      </c>
      <c r="V3747" s="4" t="str">
        <f t="shared" si="234"/>
        <v>Normal</v>
      </c>
      <c r="W3747" s="4" t="str">
        <f t="shared" si="235"/>
        <v>Good</v>
      </c>
      <c r="X3747" s="4">
        <f>AVERAGE(Table1[Purchase Amount])</f>
        <v>129.48419400000012</v>
      </c>
    </row>
    <row r="3748" spans="1:24" ht="15" customHeight="1" x14ac:dyDescent="0.25">
      <c r="A3748">
        <v>3747</v>
      </c>
      <c r="B3748">
        <v>53</v>
      </c>
      <c r="C3748" t="s">
        <v>16</v>
      </c>
      <c r="D3748" t="s">
        <v>76</v>
      </c>
      <c r="E3748" t="s">
        <v>77</v>
      </c>
      <c r="F3748" s="2">
        <v>99</v>
      </c>
      <c r="G3748" t="s">
        <v>161</v>
      </c>
      <c r="H3748" t="s">
        <v>20</v>
      </c>
      <c r="I3748" t="s">
        <v>128</v>
      </c>
      <c r="J3748" t="s">
        <v>57</v>
      </c>
      <c r="K3748">
        <v>2.6</v>
      </c>
      <c r="L3748" t="s">
        <v>23</v>
      </c>
      <c r="M3748" t="s">
        <v>79</v>
      </c>
      <c r="N3748" t="s">
        <v>23</v>
      </c>
      <c r="O3748">
        <v>49</v>
      </c>
      <c r="P3748" t="s">
        <v>58</v>
      </c>
      <c r="Q3748" t="s">
        <v>42</v>
      </c>
      <c r="R3748" s="1">
        <v>0.1</v>
      </c>
      <c r="S3748">
        <f t="shared" si="232"/>
        <v>89.1</v>
      </c>
      <c r="T3748">
        <f>IFERROR(VLOOKUP(A3748,Table1[[Customer ID]:[Discount Amount]], 6, FALSE),"Not Found")</f>
        <v>99</v>
      </c>
      <c r="U3748" t="str">
        <f t="shared" si="233"/>
        <v>PayPal</v>
      </c>
      <c r="V3748" s="4" t="str">
        <f t="shared" si="234"/>
        <v>Normal</v>
      </c>
      <c r="W3748" s="4" t="str">
        <f t="shared" si="235"/>
        <v>Poor</v>
      </c>
      <c r="X3748" s="4">
        <f>AVERAGE(Table1[Purchase Amount])</f>
        <v>129.48419400000012</v>
      </c>
    </row>
    <row r="3749" spans="1:24" ht="15" customHeight="1" x14ac:dyDescent="0.25">
      <c r="A3749">
        <v>3748</v>
      </c>
      <c r="B3749">
        <v>26</v>
      </c>
      <c r="C3749" t="s">
        <v>16</v>
      </c>
      <c r="D3749" t="s">
        <v>127</v>
      </c>
      <c r="E3749" t="s">
        <v>18</v>
      </c>
      <c r="F3749" s="2">
        <v>53</v>
      </c>
      <c r="G3749" t="s">
        <v>159</v>
      </c>
      <c r="H3749" t="s">
        <v>45</v>
      </c>
      <c r="I3749" t="s">
        <v>21</v>
      </c>
      <c r="J3749" t="s">
        <v>33</v>
      </c>
      <c r="K3749">
        <v>4.3</v>
      </c>
      <c r="L3749" t="s">
        <v>23</v>
      </c>
      <c r="M3749" t="s">
        <v>48</v>
      </c>
      <c r="N3749" t="s">
        <v>23</v>
      </c>
      <c r="O3749">
        <v>32</v>
      </c>
      <c r="P3749" t="s">
        <v>88</v>
      </c>
      <c r="Q3749" t="s">
        <v>68</v>
      </c>
      <c r="R3749" s="1">
        <v>0.1</v>
      </c>
      <c r="S3749">
        <f t="shared" si="232"/>
        <v>47.7</v>
      </c>
      <c r="T3749">
        <f>IFERROR(VLOOKUP(A3749,Table1[[Customer ID]:[Discount Amount]], 6, FALSE),"Not Found")</f>
        <v>53</v>
      </c>
      <c r="U3749" t="str">
        <f t="shared" si="233"/>
        <v>Bank Transfer</v>
      </c>
      <c r="V3749" s="4" t="str">
        <f t="shared" si="234"/>
        <v>Normal</v>
      </c>
      <c r="W3749" s="4" t="str">
        <f t="shared" si="235"/>
        <v>Good</v>
      </c>
      <c r="X3749" s="4">
        <f>AVERAGE(Table1[Purchase Amount])</f>
        <v>129.48419400000012</v>
      </c>
    </row>
    <row r="3750" spans="1:24" ht="15" customHeight="1" x14ac:dyDescent="0.25">
      <c r="A3750">
        <v>3749</v>
      </c>
      <c r="B3750">
        <v>34</v>
      </c>
      <c r="C3750" t="s">
        <v>16</v>
      </c>
      <c r="D3750" t="s">
        <v>104</v>
      </c>
      <c r="E3750" t="s">
        <v>29</v>
      </c>
      <c r="F3750" s="2">
        <v>25</v>
      </c>
      <c r="G3750" t="s">
        <v>143</v>
      </c>
      <c r="H3750" t="s">
        <v>31</v>
      </c>
      <c r="I3750" t="s">
        <v>111</v>
      </c>
      <c r="J3750" t="s">
        <v>47</v>
      </c>
      <c r="K3750">
        <v>3.9</v>
      </c>
      <c r="L3750" t="s">
        <v>23</v>
      </c>
      <c r="M3750" t="s">
        <v>41</v>
      </c>
      <c r="N3750" t="s">
        <v>23</v>
      </c>
      <c r="O3750">
        <v>3</v>
      </c>
      <c r="P3750" t="s">
        <v>62</v>
      </c>
      <c r="Q3750" t="s">
        <v>49</v>
      </c>
      <c r="R3750" s="1">
        <v>0.1</v>
      </c>
      <c r="S3750">
        <f t="shared" si="232"/>
        <v>22.5</v>
      </c>
      <c r="T3750">
        <f>IFERROR(VLOOKUP(A3750,Table1[[Customer ID]:[Discount Amount]], 6, FALSE),"Not Found")</f>
        <v>25</v>
      </c>
      <c r="U3750" t="str">
        <f t="shared" si="233"/>
        <v>Venmo</v>
      </c>
      <c r="V3750" s="4" t="str">
        <f t="shared" si="234"/>
        <v>Normal</v>
      </c>
      <c r="W3750" s="4" t="str">
        <f t="shared" si="235"/>
        <v>Good</v>
      </c>
      <c r="X3750" s="4">
        <f>AVERAGE(Table1[Purchase Amount])</f>
        <v>129.48419400000012</v>
      </c>
    </row>
    <row r="3751" spans="1:24" ht="15" customHeight="1" x14ac:dyDescent="0.25">
      <c r="A3751">
        <v>3750</v>
      </c>
      <c r="B3751">
        <v>24</v>
      </c>
      <c r="C3751" t="s">
        <v>16</v>
      </c>
      <c r="D3751" t="s">
        <v>118</v>
      </c>
      <c r="E3751" t="s">
        <v>18</v>
      </c>
      <c r="F3751" s="2">
        <v>95</v>
      </c>
      <c r="G3751" t="s">
        <v>148</v>
      </c>
      <c r="H3751" t="s">
        <v>45</v>
      </c>
      <c r="I3751" t="s">
        <v>52</v>
      </c>
      <c r="J3751" t="s">
        <v>22</v>
      </c>
      <c r="K3751">
        <v>2.9</v>
      </c>
      <c r="L3751" t="s">
        <v>23</v>
      </c>
      <c r="M3751" t="s">
        <v>41</v>
      </c>
      <c r="N3751" t="s">
        <v>23</v>
      </c>
      <c r="O3751">
        <v>38</v>
      </c>
      <c r="P3751" t="s">
        <v>62</v>
      </c>
      <c r="Q3751" t="s">
        <v>63</v>
      </c>
      <c r="R3751" s="1">
        <v>0.1</v>
      </c>
      <c r="S3751">
        <f t="shared" si="232"/>
        <v>85.5</v>
      </c>
      <c r="T3751">
        <f>IFERROR(VLOOKUP(A3751,Table1[[Customer ID]:[Discount Amount]], 6, FALSE),"Not Found")</f>
        <v>95</v>
      </c>
      <c r="U3751" t="str">
        <f t="shared" si="233"/>
        <v>Venmo</v>
      </c>
      <c r="V3751" s="4" t="str">
        <f t="shared" si="234"/>
        <v>Normal</v>
      </c>
      <c r="W3751" s="4" t="str">
        <f t="shared" si="235"/>
        <v>Poor</v>
      </c>
      <c r="X3751" s="4">
        <f>AVERAGE(Table1[Purchase Amount])</f>
        <v>129.48419400000012</v>
      </c>
    </row>
    <row r="3752" spans="1:24" ht="15" customHeight="1" x14ac:dyDescent="0.25">
      <c r="A3752">
        <v>3751</v>
      </c>
      <c r="B3752">
        <v>42</v>
      </c>
      <c r="C3752" t="s">
        <v>16</v>
      </c>
      <c r="D3752" t="s">
        <v>83</v>
      </c>
      <c r="E3752" t="s">
        <v>18</v>
      </c>
      <c r="F3752" s="2">
        <v>88</v>
      </c>
      <c r="G3752" t="s">
        <v>150</v>
      </c>
      <c r="H3752" t="s">
        <v>31</v>
      </c>
      <c r="I3752" t="s">
        <v>133</v>
      </c>
      <c r="J3752" t="s">
        <v>47</v>
      </c>
      <c r="K3752">
        <v>3.1</v>
      </c>
      <c r="L3752" t="s">
        <v>23</v>
      </c>
      <c r="M3752" t="s">
        <v>35</v>
      </c>
      <c r="N3752" t="s">
        <v>23</v>
      </c>
      <c r="O3752">
        <v>5</v>
      </c>
      <c r="P3752" t="s">
        <v>58</v>
      </c>
      <c r="Q3752" t="s">
        <v>42</v>
      </c>
      <c r="R3752" s="1">
        <v>0.1</v>
      </c>
      <c r="S3752">
        <f t="shared" si="232"/>
        <v>79.2</v>
      </c>
      <c r="T3752">
        <f>IFERROR(VLOOKUP(A3752,Table1[[Customer ID]:[Discount Amount]], 6, FALSE),"Not Found")</f>
        <v>88</v>
      </c>
      <c r="U3752" t="str">
        <f t="shared" si="233"/>
        <v>PayPal</v>
      </c>
      <c r="V3752" s="4" t="str">
        <f t="shared" si="234"/>
        <v>Normal</v>
      </c>
      <c r="W3752" s="4" t="str">
        <f t="shared" si="235"/>
        <v>Good</v>
      </c>
      <c r="X3752" s="4">
        <f>AVERAGE(Table1[Purchase Amount])</f>
        <v>129.48419400000012</v>
      </c>
    </row>
    <row r="3753" spans="1:24" ht="15" customHeight="1" x14ac:dyDescent="0.25">
      <c r="A3753">
        <v>3752</v>
      </c>
      <c r="B3753">
        <v>36</v>
      </c>
      <c r="C3753" t="s">
        <v>16</v>
      </c>
      <c r="D3753" t="s">
        <v>50</v>
      </c>
      <c r="E3753" t="s">
        <v>29</v>
      </c>
      <c r="F3753" s="2">
        <v>97</v>
      </c>
      <c r="G3753" t="s">
        <v>51</v>
      </c>
      <c r="H3753" t="s">
        <v>55</v>
      </c>
      <c r="I3753" t="s">
        <v>153</v>
      </c>
      <c r="J3753" t="s">
        <v>47</v>
      </c>
      <c r="K3753">
        <v>4.2</v>
      </c>
      <c r="L3753" t="s">
        <v>23</v>
      </c>
      <c r="M3753" t="s">
        <v>35</v>
      </c>
      <c r="N3753" t="s">
        <v>23</v>
      </c>
      <c r="O3753">
        <v>8</v>
      </c>
      <c r="P3753" t="s">
        <v>53</v>
      </c>
      <c r="Q3753" t="s">
        <v>63</v>
      </c>
      <c r="R3753" s="1">
        <v>0.1</v>
      </c>
      <c r="S3753">
        <f t="shared" si="232"/>
        <v>87.3</v>
      </c>
      <c r="T3753">
        <f>IFERROR(VLOOKUP(A3753,Table1[[Customer ID]:[Discount Amount]], 6, FALSE),"Not Found")</f>
        <v>97</v>
      </c>
      <c r="U3753" t="str">
        <f t="shared" si="233"/>
        <v>Credit Card</v>
      </c>
      <c r="V3753" s="4" t="str">
        <f t="shared" si="234"/>
        <v>Normal</v>
      </c>
      <c r="W3753" s="4" t="str">
        <f t="shared" si="235"/>
        <v>Good</v>
      </c>
      <c r="X3753" s="4">
        <f>AVERAGE(Table1[Purchase Amount])</f>
        <v>129.48419400000012</v>
      </c>
    </row>
    <row r="3754" spans="1:24" ht="15" customHeight="1" x14ac:dyDescent="0.25">
      <c r="A3754">
        <v>3753</v>
      </c>
      <c r="B3754">
        <v>24</v>
      </c>
      <c r="C3754" t="s">
        <v>16</v>
      </c>
      <c r="D3754" t="s">
        <v>76</v>
      </c>
      <c r="E3754" t="s">
        <v>77</v>
      </c>
      <c r="F3754" s="2">
        <v>81</v>
      </c>
      <c r="G3754" t="s">
        <v>155</v>
      </c>
      <c r="H3754" t="s">
        <v>45</v>
      </c>
      <c r="I3754" t="s">
        <v>136</v>
      </c>
      <c r="J3754" t="s">
        <v>22</v>
      </c>
      <c r="K3754">
        <v>4.0999999999999996</v>
      </c>
      <c r="L3754" t="s">
        <v>23</v>
      </c>
      <c r="M3754" t="s">
        <v>41</v>
      </c>
      <c r="N3754" t="s">
        <v>23</v>
      </c>
      <c r="O3754">
        <v>43</v>
      </c>
      <c r="P3754" t="s">
        <v>62</v>
      </c>
      <c r="Q3754" t="s">
        <v>26</v>
      </c>
      <c r="R3754" s="1">
        <v>0.1</v>
      </c>
      <c r="S3754">
        <f t="shared" si="232"/>
        <v>72.900000000000006</v>
      </c>
      <c r="T3754">
        <f>IFERROR(VLOOKUP(A3754,Table1[[Customer ID]:[Discount Amount]], 6, FALSE),"Not Found")</f>
        <v>81</v>
      </c>
      <c r="U3754" t="str">
        <f t="shared" si="233"/>
        <v>Venmo</v>
      </c>
      <c r="V3754" s="4" t="str">
        <f t="shared" si="234"/>
        <v>Normal</v>
      </c>
      <c r="W3754" s="4" t="str">
        <f t="shared" si="235"/>
        <v>Good</v>
      </c>
      <c r="X3754" s="4">
        <f>AVERAGE(Table1[Purchase Amount])</f>
        <v>129.48419400000012</v>
      </c>
    </row>
    <row r="3755" spans="1:24" ht="15" customHeight="1" x14ac:dyDescent="0.25">
      <c r="A3755">
        <v>3754</v>
      </c>
      <c r="B3755">
        <v>39</v>
      </c>
      <c r="C3755" t="s">
        <v>16</v>
      </c>
      <c r="D3755" t="s">
        <v>28</v>
      </c>
      <c r="E3755" t="s">
        <v>29</v>
      </c>
      <c r="F3755" s="2">
        <v>26</v>
      </c>
      <c r="G3755" t="s">
        <v>119</v>
      </c>
      <c r="H3755" t="s">
        <v>55</v>
      </c>
      <c r="I3755" t="s">
        <v>156</v>
      </c>
      <c r="J3755" t="s">
        <v>22</v>
      </c>
      <c r="K3755">
        <v>4.2</v>
      </c>
      <c r="L3755" t="s">
        <v>23</v>
      </c>
      <c r="M3755" t="s">
        <v>79</v>
      </c>
      <c r="N3755" t="s">
        <v>23</v>
      </c>
      <c r="O3755">
        <v>22</v>
      </c>
      <c r="P3755" t="s">
        <v>88</v>
      </c>
      <c r="Q3755" t="s">
        <v>89</v>
      </c>
      <c r="R3755" s="1">
        <v>0.1</v>
      </c>
      <c r="S3755">
        <f t="shared" si="232"/>
        <v>23.4</v>
      </c>
      <c r="T3755">
        <f>IFERROR(VLOOKUP(A3755,Table1[[Customer ID]:[Discount Amount]], 6, FALSE),"Not Found")</f>
        <v>26</v>
      </c>
      <c r="U3755" t="str">
        <f t="shared" si="233"/>
        <v>Bank Transfer</v>
      </c>
      <c r="V3755" s="4" t="str">
        <f t="shared" si="234"/>
        <v>Normal</v>
      </c>
      <c r="W3755" s="4" t="str">
        <f t="shared" si="235"/>
        <v>Good</v>
      </c>
      <c r="X3755" s="4">
        <f>AVERAGE(Table1[Purchase Amount])</f>
        <v>129.48419400000012</v>
      </c>
    </row>
    <row r="3756" spans="1:24" ht="15" customHeight="1" x14ac:dyDescent="0.25">
      <c r="A3756">
        <v>3755</v>
      </c>
      <c r="B3756">
        <v>46</v>
      </c>
      <c r="C3756" t="s">
        <v>16</v>
      </c>
      <c r="D3756" t="s">
        <v>72</v>
      </c>
      <c r="E3756" t="s">
        <v>98</v>
      </c>
      <c r="F3756" s="2">
        <v>41</v>
      </c>
      <c r="G3756" t="s">
        <v>137</v>
      </c>
      <c r="H3756" t="s">
        <v>31</v>
      </c>
      <c r="I3756" t="s">
        <v>156</v>
      </c>
      <c r="J3756" t="s">
        <v>57</v>
      </c>
      <c r="K3756">
        <v>4.4000000000000004</v>
      </c>
      <c r="L3756" t="s">
        <v>23</v>
      </c>
      <c r="M3756" t="s">
        <v>61</v>
      </c>
      <c r="N3756" t="s">
        <v>23</v>
      </c>
      <c r="O3756">
        <v>10</v>
      </c>
      <c r="P3756" t="s">
        <v>25</v>
      </c>
      <c r="Q3756" t="s">
        <v>63</v>
      </c>
      <c r="R3756" s="1">
        <v>0.1</v>
      </c>
      <c r="S3756">
        <f t="shared" si="232"/>
        <v>36.9</v>
      </c>
      <c r="T3756">
        <f>IFERROR(VLOOKUP(A3756,Table1[[Customer ID]:[Discount Amount]], 6, FALSE),"Not Found")</f>
        <v>41</v>
      </c>
      <c r="U3756" t="str">
        <f t="shared" si="233"/>
        <v>Cash</v>
      </c>
      <c r="V3756" s="4" t="str">
        <f t="shared" si="234"/>
        <v>Normal</v>
      </c>
      <c r="W3756" s="4" t="str">
        <f t="shared" si="235"/>
        <v>Good</v>
      </c>
      <c r="X3756" s="4">
        <f>AVERAGE(Table1[Purchase Amount])</f>
        <v>129.48419400000012</v>
      </c>
    </row>
    <row r="3757" spans="1:24" ht="15" customHeight="1" x14ac:dyDescent="0.25">
      <c r="A3757">
        <v>3756</v>
      </c>
      <c r="B3757">
        <v>64</v>
      </c>
      <c r="C3757" t="s">
        <v>16</v>
      </c>
      <c r="D3757" t="s">
        <v>122</v>
      </c>
      <c r="E3757" t="s">
        <v>18</v>
      </c>
      <c r="F3757" s="2">
        <v>93</v>
      </c>
      <c r="G3757" t="s">
        <v>78</v>
      </c>
      <c r="H3757" t="s">
        <v>31</v>
      </c>
      <c r="I3757" t="s">
        <v>145</v>
      </c>
      <c r="J3757" t="s">
        <v>47</v>
      </c>
      <c r="K3757">
        <v>3.4</v>
      </c>
      <c r="L3757" t="s">
        <v>23</v>
      </c>
      <c r="M3757" t="s">
        <v>35</v>
      </c>
      <c r="N3757" t="s">
        <v>23</v>
      </c>
      <c r="O3757">
        <v>26</v>
      </c>
      <c r="P3757" t="s">
        <v>53</v>
      </c>
      <c r="Q3757" t="s">
        <v>42</v>
      </c>
      <c r="R3757" s="1">
        <v>0.1</v>
      </c>
      <c r="S3757">
        <f t="shared" si="232"/>
        <v>83.7</v>
      </c>
      <c r="T3757">
        <f>IFERROR(VLOOKUP(A3757,Table1[[Customer ID]:[Discount Amount]], 6, FALSE),"Not Found")</f>
        <v>93</v>
      </c>
      <c r="U3757" t="str">
        <f t="shared" si="233"/>
        <v>Credit Card</v>
      </c>
      <c r="V3757" s="4" t="str">
        <f t="shared" si="234"/>
        <v>Normal</v>
      </c>
      <c r="W3757" s="4" t="str">
        <f t="shared" si="235"/>
        <v>Good</v>
      </c>
      <c r="X3757" s="4">
        <f>AVERAGE(Table1[Purchase Amount])</f>
        <v>129.48419400000012</v>
      </c>
    </row>
    <row r="3758" spans="1:24" ht="15" customHeight="1" x14ac:dyDescent="0.25">
      <c r="A3758">
        <v>3757</v>
      </c>
      <c r="B3758">
        <v>64</v>
      </c>
      <c r="C3758" t="s">
        <v>16</v>
      </c>
      <c r="D3758" t="s">
        <v>122</v>
      </c>
      <c r="E3758" t="s">
        <v>18</v>
      </c>
      <c r="F3758" s="2">
        <v>69</v>
      </c>
      <c r="G3758" t="s">
        <v>30</v>
      </c>
      <c r="H3758" t="s">
        <v>45</v>
      </c>
      <c r="I3758" t="s">
        <v>147</v>
      </c>
      <c r="J3758" t="s">
        <v>33</v>
      </c>
      <c r="K3758">
        <v>4.8</v>
      </c>
      <c r="L3758" t="s">
        <v>23</v>
      </c>
      <c r="M3758" t="s">
        <v>61</v>
      </c>
      <c r="N3758" t="s">
        <v>23</v>
      </c>
      <c r="O3758">
        <v>42</v>
      </c>
      <c r="P3758" t="s">
        <v>36</v>
      </c>
      <c r="Q3758" t="s">
        <v>68</v>
      </c>
      <c r="R3758" s="1">
        <v>0.1</v>
      </c>
      <c r="S3758">
        <f t="shared" si="232"/>
        <v>62.1</v>
      </c>
      <c r="T3758">
        <f>IFERROR(VLOOKUP(A3758,Table1[[Customer ID]:[Discount Amount]], 6, FALSE),"Not Found")</f>
        <v>69</v>
      </c>
      <c r="U3758" t="str">
        <f t="shared" si="233"/>
        <v>Debit Card</v>
      </c>
      <c r="V3758" s="4" t="str">
        <f t="shared" si="234"/>
        <v>Normal</v>
      </c>
      <c r="W3758" s="4" t="str">
        <f t="shared" si="235"/>
        <v>Good</v>
      </c>
      <c r="X3758" s="4">
        <f>AVERAGE(Table1[Purchase Amount])</f>
        <v>129.48419400000012</v>
      </c>
    </row>
    <row r="3759" spans="1:24" ht="15" customHeight="1" x14ac:dyDescent="0.25">
      <c r="A3759">
        <v>3758</v>
      </c>
      <c r="B3759">
        <v>61</v>
      </c>
      <c r="C3759" t="s">
        <v>16</v>
      </c>
      <c r="D3759" t="s">
        <v>122</v>
      </c>
      <c r="E3759" t="s">
        <v>18</v>
      </c>
      <c r="F3759" s="2">
        <v>44</v>
      </c>
      <c r="G3759" t="s">
        <v>19</v>
      </c>
      <c r="H3759" t="s">
        <v>45</v>
      </c>
      <c r="I3759" t="s">
        <v>46</v>
      </c>
      <c r="J3759" t="s">
        <v>47</v>
      </c>
      <c r="K3759">
        <v>4.5</v>
      </c>
      <c r="L3759" t="s">
        <v>23</v>
      </c>
      <c r="M3759" t="s">
        <v>41</v>
      </c>
      <c r="N3759" t="s">
        <v>23</v>
      </c>
      <c r="O3759">
        <v>33</v>
      </c>
      <c r="P3759" t="s">
        <v>25</v>
      </c>
      <c r="Q3759" t="s">
        <v>26</v>
      </c>
      <c r="R3759" s="1">
        <v>0.1</v>
      </c>
      <c r="S3759">
        <f t="shared" si="232"/>
        <v>39.6</v>
      </c>
      <c r="T3759">
        <f>IFERROR(VLOOKUP(A3759,Table1[[Customer ID]:[Discount Amount]], 6, FALSE),"Not Found")</f>
        <v>44</v>
      </c>
      <c r="U3759" t="str">
        <f t="shared" si="233"/>
        <v>Cash</v>
      </c>
      <c r="V3759" s="4" t="str">
        <f t="shared" si="234"/>
        <v>Normal</v>
      </c>
      <c r="W3759" s="4" t="str">
        <f t="shared" si="235"/>
        <v>Good</v>
      </c>
      <c r="X3759" s="4">
        <f>AVERAGE(Table1[Purchase Amount])</f>
        <v>129.48419400000012</v>
      </c>
    </row>
    <row r="3760" spans="1:24" ht="15" customHeight="1" x14ac:dyDescent="0.25">
      <c r="A3760">
        <v>3759</v>
      </c>
      <c r="B3760">
        <v>61</v>
      </c>
      <c r="C3760" t="s">
        <v>16</v>
      </c>
      <c r="D3760" t="s">
        <v>121</v>
      </c>
      <c r="E3760" t="s">
        <v>98</v>
      </c>
      <c r="F3760" s="2">
        <v>54</v>
      </c>
      <c r="G3760" t="s">
        <v>102</v>
      </c>
      <c r="H3760" t="s">
        <v>55</v>
      </c>
      <c r="I3760" t="s">
        <v>40</v>
      </c>
      <c r="J3760" t="s">
        <v>33</v>
      </c>
      <c r="K3760">
        <v>2.7</v>
      </c>
      <c r="L3760" t="s">
        <v>23</v>
      </c>
      <c r="M3760" t="s">
        <v>48</v>
      </c>
      <c r="N3760" t="s">
        <v>23</v>
      </c>
      <c r="O3760">
        <v>23</v>
      </c>
      <c r="P3760" t="s">
        <v>88</v>
      </c>
      <c r="Q3760" t="s">
        <v>37</v>
      </c>
      <c r="R3760" s="1">
        <v>0.1</v>
      </c>
      <c r="S3760">
        <f t="shared" si="232"/>
        <v>48.6</v>
      </c>
      <c r="T3760">
        <f>IFERROR(VLOOKUP(A3760,Table1[[Customer ID]:[Discount Amount]], 6, FALSE),"Not Found")</f>
        <v>54</v>
      </c>
      <c r="U3760" t="str">
        <f t="shared" si="233"/>
        <v>Bank Transfer</v>
      </c>
      <c r="V3760" s="4" t="str">
        <f t="shared" si="234"/>
        <v>Normal</v>
      </c>
      <c r="W3760" s="4" t="str">
        <f t="shared" si="235"/>
        <v>Poor</v>
      </c>
      <c r="X3760" s="4">
        <f>AVERAGE(Table1[Purchase Amount])</f>
        <v>129.48419400000012</v>
      </c>
    </row>
    <row r="3761" spans="1:24" ht="15" customHeight="1" x14ac:dyDescent="0.25">
      <c r="A3761">
        <v>3760</v>
      </c>
      <c r="B3761">
        <v>44</v>
      </c>
      <c r="C3761" t="s">
        <v>16</v>
      </c>
      <c r="D3761" t="s">
        <v>140</v>
      </c>
      <c r="E3761" t="s">
        <v>98</v>
      </c>
      <c r="F3761" s="2">
        <v>61</v>
      </c>
      <c r="G3761" t="s">
        <v>146</v>
      </c>
      <c r="H3761" t="s">
        <v>31</v>
      </c>
      <c r="I3761" t="s">
        <v>136</v>
      </c>
      <c r="J3761" t="s">
        <v>33</v>
      </c>
      <c r="K3761">
        <v>3.5</v>
      </c>
      <c r="L3761" t="s">
        <v>23</v>
      </c>
      <c r="M3761" t="s">
        <v>48</v>
      </c>
      <c r="N3761" t="s">
        <v>23</v>
      </c>
      <c r="O3761">
        <v>30</v>
      </c>
      <c r="P3761" t="s">
        <v>62</v>
      </c>
      <c r="Q3761" t="s">
        <v>37</v>
      </c>
      <c r="R3761" s="1">
        <v>0.1</v>
      </c>
      <c r="S3761">
        <f t="shared" si="232"/>
        <v>54.9</v>
      </c>
      <c r="T3761">
        <f>IFERROR(VLOOKUP(A3761,Table1[[Customer ID]:[Discount Amount]], 6, FALSE),"Not Found")</f>
        <v>61</v>
      </c>
      <c r="U3761" t="str">
        <f t="shared" si="233"/>
        <v>Venmo</v>
      </c>
      <c r="V3761" s="4" t="str">
        <f t="shared" si="234"/>
        <v>Normal</v>
      </c>
      <c r="W3761" s="4" t="str">
        <f t="shared" si="235"/>
        <v>Good</v>
      </c>
      <c r="X3761" s="4">
        <f>AVERAGE(Table1[Purchase Amount])</f>
        <v>129.48419400000012</v>
      </c>
    </row>
    <row r="3762" spans="1:24" ht="15" customHeight="1" x14ac:dyDescent="0.25">
      <c r="A3762">
        <v>3761</v>
      </c>
      <c r="B3762">
        <v>65</v>
      </c>
      <c r="C3762" t="s">
        <v>16</v>
      </c>
      <c r="D3762" t="s">
        <v>105</v>
      </c>
      <c r="E3762" t="s">
        <v>18</v>
      </c>
      <c r="F3762" s="2">
        <v>80</v>
      </c>
      <c r="G3762" t="s">
        <v>115</v>
      </c>
      <c r="H3762" t="s">
        <v>31</v>
      </c>
      <c r="I3762" t="s">
        <v>145</v>
      </c>
      <c r="J3762" t="s">
        <v>47</v>
      </c>
      <c r="K3762">
        <v>3.1</v>
      </c>
      <c r="L3762" t="s">
        <v>23</v>
      </c>
      <c r="M3762" t="s">
        <v>79</v>
      </c>
      <c r="N3762" t="s">
        <v>23</v>
      </c>
      <c r="O3762">
        <v>36</v>
      </c>
      <c r="P3762" t="s">
        <v>58</v>
      </c>
      <c r="Q3762" t="s">
        <v>26</v>
      </c>
      <c r="R3762" s="1">
        <v>0.1</v>
      </c>
      <c r="S3762">
        <f t="shared" si="232"/>
        <v>72</v>
      </c>
      <c r="T3762">
        <f>IFERROR(VLOOKUP(A3762,Table1[[Customer ID]:[Discount Amount]], 6, FALSE),"Not Found")</f>
        <v>80</v>
      </c>
      <c r="U3762" t="str">
        <f t="shared" si="233"/>
        <v>PayPal</v>
      </c>
      <c r="V3762" s="4" t="str">
        <f t="shared" si="234"/>
        <v>Normal</v>
      </c>
      <c r="W3762" s="4" t="str">
        <f t="shared" si="235"/>
        <v>Good</v>
      </c>
      <c r="X3762" s="4">
        <f>AVERAGE(Table1[Purchase Amount])</f>
        <v>129.48419400000012</v>
      </c>
    </row>
    <row r="3763" spans="1:24" ht="15" customHeight="1" x14ac:dyDescent="0.25">
      <c r="A3763">
        <v>3762</v>
      </c>
      <c r="B3763">
        <v>60</v>
      </c>
      <c r="C3763" t="s">
        <v>16</v>
      </c>
      <c r="D3763" t="s">
        <v>104</v>
      </c>
      <c r="E3763" t="s">
        <v>29</v>
      </c>
      <c r="F3763" s="2">
        <v>30</v>
      </c>
      <c r="G3763" t="s">
        <v>158</v>
      </c>
      <c r="H3763" t="s">
        <v>31</v>
      </c>
      <c r="I3763" t="s">
        <v>93</v>
      </c>
      <c r="J3763" t="s">
        <v>57</v>
      </c>
      <c r="K3763">
        <v>2.8</v>
      </c>
      <c r="L3763" t="s">
        <v>23</v>
      </c>
      <c r="M3763" t="s">
        <v>79</v>
      </c>
      <c r="N3763" t="s">
        <v>23</v>
      </c>
      <c r="O3763">
        <v>3</v>
      </c>
      <c r="P3763" t="s">
        <v>62</v>
      </c>
      <c r="Q3763" t="s">
        <v>63</v>
      </c>
      <c r="R3763" s="1">
        <v>0.1</v>
      </c>
      <c r="S3763">
        <f t="shared" si="232"/>
        <v>27</v>
      </c>
      <c r="T3763">
        <f>IFERROR(VLOOKUP(A3763,Table1[[Customer ID]:[Discount Amount]], 6, FALSE),"Not Found")</f>
        <v>30</v>
      </c>
      <c r="U3763" t="str">
        <f t="shared" si="233"/>
        <v>Venmo</v>
      </c>
      <c r="V3763" s="4" t="str">
        <f t="shared" si="234"/>
        <v>Normal</v>
      </c>
      <c r="W3763" s="4" t="str">
        <f t="shared" si="235"/>
        <v>Poor</v>
      </c>
      <c r="X3763" s="4">
        <f>AVERAGE(Table1[Purchase Amount])</f>
        <v>129.48419400000012</v>
      </c>
    </row>
    <row r="3764" spans="1:24" ht="15" customHeight="1" x14ac:dyDescent="0.25">
      <c r="A3764">
        <v>3763</v>
      </c>
      <c r="B3764">
        <v>65</v>
      </c>
      <c r="C3764" t="s">
        <v>16</v>
      </c>
      <c r="D3764" t="s">
        <v>54</v>
      </c>
      <c r="E3764" t="s">
        <v>18</v>
      </c>
      <c r="F3764" s="2">
        <v>94</v>
      </c>
      <c r="G3764" t="s">
        <v>101</v>
      </c>
      <c r="H3764" t="s">
        <v>45</v>
      </c>
      <c r="I3764" t="s">
        <v>93</v>
      </c>
      <c r="J3764" t="s">
        <v>47</v>
      </c>
      <c r="K3764">
        <v>2.9</v>
      </c>
      <c r="L3764" t="s">
        <v>23</v>
      </c>
      <c r="M3764" t="s">
        <v>48</v>
      </c>
      <c r="N3764" t="s">
        <v>23</v>
      </c>
      <c r="O3764">
        <v>13</v>
      </c>
      <c r="P3764" t="s">
        <v>58</v>
      </c>
      <c r="Q3764" t="s">
        <v>49</v>
      </c>
      <c r="R3764" s="1">
        <v>0.1</v>
      </c>
      <c r="S3764">
        <f t="shared" si="232"/>
        <v>84.6</v>
      </c>
      <c r="T3764">
        <f>IFERROR(VLOOKUP(A3764,Table1[[Customer ID]:[Discount Amount]], 6, FALSE),"Not Found")</f>
        <v>94</v>
      </c>
      <c r="U3764" t="str">
        <f t="shared" si="233"/>
        <v>PayPal</v>
      </c>
      <c r="V3764" s="4" t="str">
        <f t="shared" si="234"/>
        <v>Normal</v>
      </c>
      <c r="W3764" s="4" t="str">
        <f t="shared" si="235"/>
        <v>Poor</v>
      </c>
      <c r="X3764" s="4">
        <f>AVERAGE(Table1[Purchase Amount])</f>
        <v>129.48419400000012</v>
      </c>
    </row>
    <row r="3765" spans="1:24" ht="15" customHeight="1" x14ac:dyDescent="0.25">
      <c r="A3765">
        <v>3764</v>
      </c>
      <c r="B3765">
        <v>27</v>
      </c>
      <c r="C3765" t="s">
        <v>16</v>
      </c>
      <c r="D3765" t="s">
        <v>38</v>
      </c>
      <c r="E3765" t="s">
        <v>18</v>
      </c>
      <c r="F3765" s="2">
        <v>24</v>
      </c>
      <c r="G3765" t="s">
        <v>142</v>
      </c>
      <c r="H3765" t="s">
        <v>20</v>
      </c>
      <c r="I3765" t="s">
        <v>46</v>
      </c>
      <c r="J3765" t="s">
        <v>22</v>
      </c>
      <c r="K3765">
        <v>4.5</v>
      </c>
      <c r="L3765" t="s">
        <v>23</v>
      </c>
      <c r="M3765" t="s">
        <v>24</v>
      </c>
      <c r="N3765" t="s">
        <v>23</v>
      </c>
      <c r="O3765">
        <v>38</v>
      </c>
      <c r="P3765" t="s">
        <v>25</v>
      </c>
      <c r="Q3765" t="s">
        <v>63</v>
      </c>
      <c r="R3765" s="1">
        <v>0.1</v>
      </c>
      <c r="S3765">
        <f t="shared" si="232"/>
        <v>21.6</v>
      </c>
      <c r="T3765">
        <f>IFERROR(VLOOKUP(A3765,Table1[[Customer ID]:[Discount Amount]], 6, FALSE),"Not Found")</f>
        <v>24</v>
      </c>
      <c r="U3765" t="str">
        <f t="shared" si="233"/>
        <v>Cash</v>
      </c>
      <c r="V3765" s="4" t="str">
        <f t="shared" si="234"/>
        <v>Normal</v>
      </c>
      <c r="W3765" s="4" t="str">
        <f t="shared" si="235"/>
        <v>Good</v>
      </c>
      <c r="X3765" s="4">
        <f>AVERAGE(Table1[Purchase Amount])</f>
        <v>129.48419400000012</v>
      </c>
    </row>
    <row r="3766" spans="1:24" ht="15" customHeight="1" x14ac:dyDescent="0.25">
      <c r="A3766">
        <v>3765</v>
      </c>
      <c r="B3766">
        <v>36</v>
      </c>
      <c r="C3766" t="s">
        <v>16</v>
      </c>
      <c r="D3766" t="s">
        <v>105</v>
      </c>
      <c r="E3766" t="s">
        <v>18</v>
      </c>
      <c r="F3766" s="2">
        <v>21</v>
      </c>
      <c r="G3766" t="s">
        <v>130</v>
      </c>
      <c r="H3766" t="s">
        <v>31</v>
      </c>
      <c r="I3766" t="s">
        <v>125</v>
      </c>
      <c r="J3766" t="s">
        <v>47</v>
      </c>
      <c r="K3766">
        <v>3.5</v>
      </c>
      <c r="L3766" t="s">
        <v>23</v>
      </c>
      <c r="M3766" t="s">
        <v>79</v>
      </c>
      <c r="N3766" t="s">
        <v>23</v>
      </c>
      <c r="O3766">
        <v>19</v>
      </c>
      <c r="P3766" t="s">
        <v>62</v>
      </c>
      <c r="Q3766" t="s">
        <v>42</v>
      </c>
      <c r="R3766" s="1">
        <v>0.1</v>
      </c>
      <c r="S3766">
        <f t="shared" si="232"/>
        <v>18.899999999999999</v>
      </c>
      <c r="T3766">
        <f>IFERROR(VLOOKUP(A3766,Table1[[Customer ID]:[Discount Amount]], 6, FALSE),"Not Found")</f>
        <v>21</v>
      </c>
      <c r="U3766" t="str">
        <f t="shared" si="233"/>
        <v>Venmo</v>
      </c>
      <c r="V3766" s="4" t="str">
        <f t="shared" si="234"/>
        <v>Normal</v>
      </c>
      <c r="W3766" s="4" t="str">
        <f t="shared" si="235"/>
        <v>Good</v>
      </c>
      <c r="X3766" s="4">
        <f>AVERAGE(Table1[Purchase Amount])</f>
        <v>129.48419400000012</v>
      </c>
    </row>
    <row r="3767" spans="1:24" ht="15" customHeight="1" x14ac:dyDescent="0.25">
      <c r="A3767">
        <v>3766</v>
      </c>
      <c r="B3767">
        <v>22</v>
      </c>
      <c r="C3767" t="s">
        <v>16</v>
      </c>
      <c r="D3767" t="s">
        <v>50</v>
      </c>
      <c r="E3767" t="s">
        <v>29</v>
      </c>
      <c r="F3767" s="2">
        <v>52</v>
      </c>
      <c r="G3767" t="s">
        <v>146</v>
      </c>
      <c r="H3767" t="s">
        <v>31</v>
      </c>
      <c r="I3767" t="s">
        <v>93</v>
      </c>
      <c r="J3767" t="s">
        <v>57</v>
      </c>
      <c r="K3767">
        <v>4.3</v>
      </c>
      <c r="L3767" t="s">
        <v>23</v>
      </c>
      <c r="M3767" t="s">
        <v>24</v>
      </c>
      <c r="N3767" t="s">
        <v>23</v>
      </c>
      <c r="O3767">
        <v>14</v>
      </c>
      <c r="P3767" t="s">
        <v>88</v>
      </c>
      <c r="Q3767" t="s">
        <v>68</v>
      </c>
      <c r="R3767" s="1">
        <v>0.1</v>
      </c>
      <c r="S3767">
        <f t="shared" si="232"/>
        <v>46.8</v>
      </c>
      <c r="T3767">
        <f>IFERROR(VLOOKUP(A3767,Table1[[Customer ID]:[Discount Amount]], 6, FALSE),"Not Found")</f>
        <v>52</v>
      </c>
      <c r="U3767" t="str">
        <f t="shared" si="233"/>
        <v>Bank Transfer</v>
      </c>
      <c r="V3767" s="4" t="str">
        <f t="shared" si="234"/>
        <v>Normal</v>
      </c>
      <c r="W3767" s="4" t="str">
        <f t="shared" si="235"/>
        <v>Good</v>
      </c>
      <c r="X3767" s="4">
        <f>AVERAGE(Table1[Purchase Amount])</f>
        <v>129.48419400000012</v>
      </c>
    </row>
    <row r="3768" spans="1:24" ht="15" customHeight="1" x14ac:dyDescent="0.25">
      <c r="A3768">
        <v>3767</v>
      </c>
      <c r="B3768">
        <v>62</v>
      </c>
      <c r="C3768" t="s">
        <v>16</v>
      </c>
      <c r="D3768" t="s">
        <v>69</v>
      </c>
      <c r="E3768" t="s">
        <v>29</v>
      </c>
      <c r="F3768" s="2">
        <v>59</v>
      </c>
      <c r="G3768" t="s">
        <v>152</v>
      </c>
      <c r="H3768" t="s">
        <v>31</v>
      </c>
      <c r="I3768" t="s">
        <v>40</v>
      </c>
      <c r="J3768" t="s">
        <v>47</v>
      </c>
      <c r="K3768">
        <v>4.9000000000000004</v>
      </c>
      <c r="L3768" t="s">
        <v>23</v>
      </c>
      <c r="M3768" t="s">
        <v>79</v>
      </c>
      <c r="N3768" t="s">
        <v>23</v>
      </c>
      <c r="O3768">
        <v>43</v>
      </c>
      <c r="P3768" t="s">
        <v>36</v>
      </c>
      <c r="Q3768" t="s">
        <v>49</v>
      </c>
      <c r="R3768" s="1">
        <v>0.1</v>
      </c>
      <c r="S3768">
        <f t="shared" si="232"/>
        <v>53.1</v>
      </c>
      <c r="T3768">
        <f>IFERROR(VLOOKUP(A3768,Table1[[Customer ID]:[Discount Amount]], 6, FALSE),"Not Found")</f>
        <v>59</v>
      </c>
      <c r="U3768" t="str">
        <f t="shared" si="233"/>
        <v>Debit Card</v>
      </c>
      <c r="V3768" s="4" t="str">
        <f t="shared" si="234"/>
        <v>Normal</v>
      </c>
      <c r="W3768" s="4" t="str">
        <f t="shared" si="235"/>
        <v>Good</v>
      </c>
      <c r="X3768" s="4">
        <f>AVERAGE(Table1[Purchase Amount])</f>
        <v>129.48419400000012</v>
      </c>
    </row>
    <row r="3769" spans="1:24" ht="15" customHeight="1" x14ac:dyDescent="0.25">
      <c r="A3769">
        <v>3768</v>
      </c>
      <c r="B3769">
        <v>59</v>
      </c>
      <c r="C3769" t="s">
        <v>16</v>
      </c>
      <c r="D3769" t="s">
        <v>54</v>
      </c>
      <c r="E3769" t="s">
        <v>18</v>
      </c>
      <c r="F3769" s="2">
        <v>51</v>
      </c>
      <c r="G3769" t="s">
        <v>101</v>
      </c>
      <c r="H3769" t="s">
        <v>20</v>
      </c>
      <c r="I3769" t="s">
        <v>40</v>
      </c>
      <c r="J3769" t="s">
        <v>57</v>
      </c>
      <c r="K3769">
        <v>3.1</v>
      </c>
      <c r="L3769" t="s">
        <v>23</v>
      </c>
      <c r="M3769" t="s">
        <v>35</v>
      </c>
      <c r="N3769" t="s">
        <v>23</v>
      </c>
      <c r="O3769">
        <v>10</v>
      </c>
      <c r="P3769" t="s">
        <v>88</v>
      </c>
      <c r="Q3769" t="s">
        <v>89</v>
      </c>
      <c r="R3769" s="1">
        <v>0.1</v>
      </c>
      <c r="S3769">
        <f t="shared" si="232"/>
        <v>45.9</v>
      </c>
      <c r="T3769">
        <f>IFERROR(VLOOKUP(A3769,Table1[[Customer ID]:[Discount Amount]], 6, FALSE),"Not Found")</f>
        <v>51</v>
      </c>
      <c r="U3769" t="str">
        <f t="shared" si="233"/>
        <v>Bank Transfer</v>
      </c>
      <c r="V3769" s="4" t="str">
        <f t="shared" si="234"/>
        <v>Normal</v>
      </c>
      <c r="W3769" s="4" t="str">
        <f t="shared" si="235"/>
        <v>Good</v>
      </c>
      <c r="X3769" s="4">
        <f>AVERAGE(Table1[Purchase Amount])</f>
        <v>129.48419400000012</v>
      </c>
    </row>
    <row r="3770" spans="1:24" ht="15" customHeight="1" x14ac:dyDescent="0.25">
      <c r="A3770">
        <v>3769</v>
      </c>
      <c r="B3770">
        <v>50</v>
      </c>
      <c r="C3770" t="s">
        <v>16</v>
      </c>
      <c r="D3770" t="s">
        <v>127</v>
      </c>
      <c r="E3770" t="s">
        <v>18</v>
      </c>
      <c r="F3770" s="2">
        <v>35</v>
      </c>
      <c r="G3770" t="s">
        <v>84</v>
      </c>
      <c r="H3770" t="s">
        <v>31</v>
      </c>
      <c r="I3770" t="s">
        <v>52</v>
      </c>
      <c r="J3770" t="s">
        <v>22</v>
      </c>
      <c r="K3770">
        <v>4</v>
      </c>
      <c r="L3770" t="s">
        <v>23</v>
      </c>
      <c r="M3770" t="s">
        <v>35</v>
      </c>
      <c r="N3770" t="s">
        <v>23</v>
      </c>
      <c r="O3770">
        <v>34</v>
      </c>
      <c r="P3770" t="s">
        <v>88</v>
      </c>
      <c r="Q3770" t="s">
        <v>37</v>
      </c>
      <c r="R3770" s="1">
        <v>0.1</v>
      </c>
      <c r="S3770">
        <f t="shared" si="232"/>
        <v>31.5</v>
      </c>
      <c r="T3770">
        <f>IFERROR(VLOOKUP(A3770,Table1[[Customer ID]:[Discount Amount]], 6, FALSE),"Not Found")</f>
        <v>35</v>
      </c>
      <c r="U3770" t="str">
        <f t="shared" si="233"/>
        <v>Bank Transfer</v>
      </c>
      <c r="V3770" s="4" t="str">
        <f t="shared" si="234"/>
        <v>Normal</v>
      </c>
      <c r="W3770" s="4" t="str">
        <f t="shared" si="235"/>
        <v>Good</v>
      </c>
      <c r="X3770" s="4">
        <f>AVERAGE(Table1[Purchase Amount])</f>
        <v>129.48419400000012</v>
      </c>
    </row>
    <row r="3771" spans="1:24" ht="15" customHeight="1" x14ac:dyDescent="0.25">
      <c r="A3771">
        <v>3770</v>
      </c>
      <c r="B3771">
        <v>51</v>
      </c>
      <c r="C3771" t="s">
        <v>16</v>
      </c>
      <c r="D3771" t="s">
        <v>43</v>
      </c>
      <c r="E3771" t="s">
        <v>29</v>
      </c>
      <c r="F3771" s="2">
        <v>87</v>
      </c>
      <c r="G3771" t="s">
        <v>150</v>
      </c>
      <c r="H3771" t="s">
        <v>45</v>
      </c>
      <c r="I3771" t="s">
        <v>93</v>
      </c>
      <c r="J3771" t="s">
        <v>57</v>
      </c>
      <c r="K3771">
        <v>3.6</v>
      </c>
      <c r="L3771" t="s">
        <v>23</v>
      </c>
      <c r="M3771" t="s">
        <v>24</v>
      </c>
      <c r="N3771" t="s">
        <v>23</v>
      </c>
      <c r="O3771">
        <v>31</v>
      </c>
      <c r="P3771" t="s">
        <v>62</v>
      </c>
      <c r="Q3771" t="s">
        <v>49</v>
      </c>
      <c r="R3771" s="1">
        <v>0.1</v>
      </c>
      <c r="S3771">
        <f t="shared" si="232"/>
        <v>78.3</v>
      </c>
      <c r="T3771">
        <f>IFERROR(VLOOKUP(A3771,Table1[[Customer ID]:[Discount Amount]], 6, FALSE),"Not Found")</f>
        <v>87</v>
      </c>
      <c r="U3771" t="str">
        <f t="shared" si="233"/>
        <v>Venmo</v>
      </c>
      <c r="V3771" s="4" t="str">
        <f t="shared" si="234"/>
        <v>Normal</v>
      </c>
      <c r="W3771" s="4" t="str">
        <f t="shared" si="235"/>
        <v>Good</v>
      </c>
      <c r="X3771" s="4">
        <f>AVERAGE(Table1[Purchase Amount])</f>
        <v>129.48419400000012</v>
      </c>
    </row>
    <row r="3772" spans="1:24" ht="15" customHeight="1" x14ac:dyDescent="0.25">
      <c r="A3772">
        <v>3771</v>
      </c>
      <c r="B3772">
        <v>23</v>
      </c>
      <c r="C3772" t="s">
        <v>16</v>
      </c>
      <c r="D3772" t="s">
        <v>99</v>
      </c>
      <c r="E3772" t="s">
        <v>18</v>
      </c>
      <c r="F3772" s="2">
        <v>42</v>
      </c>
      <c r="G3772" t="s">
        <v>39</v>
      </c>
      <c r="H3772" t="s">
        <v>45</v>
      </c>
      <c r="I3772" t="s">
        <v>40</v>
      </c>
      <c r="J3772" t="s">
        <v>57</v>
      </c>
      <c r="K3772">
        <v>4</v>
      </c>
      <c r="L3772" t="s">
        <v>23</v>
      </c>
      <c r="M3772" t="s">
        <v>48</v>
      </c>
      <c r="N3772" t="s">
        <v>23</v>
      </c>
      <c r="O3772">
        <v>34</v>
      </c>
      <c r="P3772" t="s">
        <v>88</v>
      </c>
      <c r="Q3772" t="s">
        <v>26</v>
      </c>
      <c r="R3772" s="1">
        <v>0.1</v>
      </c>
      <c r="S3772">
        <f t="shared" si="232"/>
        <v>37.799999999999997</v>
      </c>
      <c r="T3772">
        <f>IFERROR(VLOOKUP(A3772,Table1[[Customer ID]:[Discount Amount]], 6, FALSE),"Not Found")</f>
        <v>42</v>
      </c>
      <c r="U3772" t="str">
        <f t="shared" si="233"/>
        <v>Bank Transfer</v>
      </c>
      <c r="V3772" s="4" t="str">
        <f t="shared" si="234"/>
        <v>Normal</v>
      </c>
      <c r="W3772" s="4" t="str">
        <f t="shared" si="235"/>
        <v>Good</v>
      </c>
      <c r="X3772" s="4">
        <f>AVERAGE(Table1[Purchase Amount])</f>
        <v>129.48419400000012</v>
      </c>
    </row>
    <row r="3773" spans="1:24" ht="15" customHeight="1" x14ac:dyDescent="0.25">
      <c r="A3773">
        <v>3772</v>
      </c>
      <c r="B3773">
        <v>21</v>
      </c>
      <c r="C3773" t="s">
        <v>16</v>
      </c>
      <c r="D3773" t="s">
        <v>17</v>
      </c>
      <c r="E3773" t="s">
        <v>18</v>
      </c>
      <c r="F3773" s="2">
        <v>86</v>
      </c>
      <c r="G3773" t="s">
        <v>142</v>
      </c>
      <c r="H3773" t="s">
        <v>31</v>
      </c>
      <c r="I3773" t="s">
        <v>46</v>
      </c>
      <c r="J3773" t="s">
        <v>22</v>
      </c>
      <c r="K3773">
        <v>2.6</v>
      </c>
      <c r="L3773" t="s">
        <v>23</v>
      </c>
      <c r="M3773" t="s">
        <v>61</v>
      </c>
      <c r="N3773" t="s">
        <v>23</v>
      </c>
      <c r="O3773">
        <v>28</v>
      </c>
      <c r="P3773" t="s">
        <v>62</v>
      </c>
      <c r="Q3773" t="s">
        <v>68</v>
      </c>
      <c r="R3773" s="1">
        <v>0.1</v>
      </c>
      <c r="S3773">
        <f t="shared" si="232"/>
        <v>77.400000000000006</v>
      </c>
      <c r="T3773">
        <f>IFERROR(VLOOKUP(A3773,Table1[[Customer ID]:[Discount Amount]], 6, FALSE),"Not Found")</f>
        <v>86</v>
      </c>
      <c r="U3773" t="str">
        <f t="shared" si="233"/>
        <v>Venmo</v>
      </c>
      <c r="V3773" s="4" t="str">
        <f t="shared" si="234"/>
        <v>Normal</v>
      </c>
      <c r="W3773" s="4" t="str">
        <f t="shared" si="235"/>
        <v>Poor</v>
      </c>
      <c r="X3773" s="4">
        <f>AVERAGE(Table1[Purchase Amount])</f>
        <v>129.48419400000012</v>
      </c>
    </row>
    <row r="3774" spans="1:24" ht="15" customHeight="1" x14ac:dyDescent="0.25">
      <c r="A3774">
        <v>3773</v>
      </c>
      <c r="B3774">
        <v>44</v>
      </c>
      <c r="C3774" t="s">
        <v>16</v>
      </c>
      <c r="D3774" t="s">
        <v>99</v>
      </c>
      <c r="E3774" t="s">
        <v>18</v>
      </c>
      <c r="F3774" s="2">
        <v>26</v>
      </c>
      <c r="G3774" t="s">
        <v>132</v>
      </c>
      <c r="H3774" t="s">
        <v>45</v>
      </c>
      <c r="I3774" t="s">
        <v>52</v>
      </c>
      <c r="J3774" t="s">
        <v>47</v>
      </c>
      <c r="K3774">
        <v>3.1</v>
      </c>
      <c r="L3774" t="s">
        <v>23</v>
      </c>
      <c r="M3774" t="s">
        <v>79</v>
      </c>
      <c r="N3774" t="s">
        <v>23</v>
      </c>
      <c r="O3774">
        <v>35</v>
      </c>
      <c r="P3774" t="s">
        <v>25</v>
      </c>
      <c r="Q3774" t="s">
        <v>49</v>
      </c>
      <c r="R3774" s="1">
        <v>0.1</v>
      </c>
      <c r="S3774">
        <f t="shared" si="232"/>
        <v>23.4</v>
      </c>
      <c r="T3774">
        <f>IFERROR(VLOOKUP(A3774,Table1[[Customer ID]:[Discount Amount]], 6, FALSE),"Not Found")</f>
        <v>26</v>
      </c>
      <c r="U3774" t="str">
        <f t="shared" si="233"/>
        <v>Cash</v>
      </c>
      <c r="V3774" s="4" t="str">
        <f t="shared" si="234"/>
        <v>Normal</v>
      </c>
      <c r="W3774" s="4" t="str">
        <f t="shared" si="235"/>
        <v>Good</v>
      </c>
      <c r="X3774" s="4">
        <f>AVERAGE(Table1[Purchase Amount])</f>
        <v>129.48419400000012</v>
      </c>
    </row>
    <row r="3775" spans="1:24" ht="15" customHeight="1" x14ac:dyDescent="0.25">
      <c r="A3775">
        <v>3774</v>
      </c>
      <c r="B3775">
        <v>25</v>
      </c>
      <c r="C3775" t="s">
        <v>16</v>
      </c>
      <c r="D3775" t="s">
        <v>127</v>
      </c>
      <c r="E3775" t="s">
        <v>18</v>
      </c>
      <c r="F3775" s="2">
        <v>60</v>
      </c>
      <c r="G3775" t="s">
        <v>59</v>
      </c>
      <c r="H3775" t="s">
        <v>31</v>
      </c>
      <c r="I3775" t="s">
        <v>111</v>
      </c>
      <c r="J3775" t="s">
        <v>57</v>
      </c>
      <c r="K3775">
        <v>3.5</v>
      </c>
      <c r="L3775" t="s">
        <v>23</v>
      </c>
      <c r="M3775" t="s">
        <v>48</v>
      </c>
      <c r="N3775" t="s">
        <v>23</v>
      </c>
      <c r="O3775">
        <v>41</v>
      </c>
      <c r="P3775" t="s">
        <v>25</v>
      </c>
      <c r="Q3775" t="s">
        <v>37</v>
      </c>
      <c r="R3775" s="1">
        <v>0.1</v>
      </c>
      <c r="S3775">
        <f t="shared" si="232"/>
        <v>54</v>
      </c>
      <c r="T3775">
        <f>IFERROR(VLOOKUP(A3775,Table1[[Customer ID]:[Discount Amount]], 6, FALSE),"Not Found")</f>
        <v>60</v>
      </c>
      <c r="U3775" t="str">
        <f t="shared" si="233"/>
        <v>Cash</v>
      </c>
      <c r="V3775" s="4" t="str">
        <f t="shared" si="234"/>
        <v>Normal</v>
      </c>
      <c r="W3775" s="4" t="str">
        <f t="shared" si="235"/>
        <v>Good</v>
      </c>
      <c r="X3775" s="4">
        <f>AVERAGE(Table1[Purchase Amount])</f>
        <v>129.48419400000012</v>
      </c>
    </row>
    <row r="3776" spans="1:24" ht="15" customHeight="1" x14ac:dyDescent="0.25">
      <c r="A3776">
        <v>3775</v>
      </c>
      <c r="B3776">
        <v>57</v>
      </c>
      <c r="C3776" t="s">
        <v>16</v>
      </c>
      <c r="D3776" t="s">
        <v>43</v>
      </c>
      <c r="E3776" t="s">
        <v>29</v>
      </c>
      <c r="F3776" s="2">
        <v>83</v>
      </c>
      <c r="G3776" t="s">
        <v>148</v>
      </c>
      <c r="H3776" t="s">
        <v>55</v>
      </c>
      <c r="I3776" t="s">
        <v>128</v>
      </c>
      <c r="J3776" t="s">
        <v>22</v>
      </c>
      <c r="K3776">
        <v>3.9</v>
      </c>
      <c r="L3776" t="s">
        <v>23</v>
      </c>
      <c r="M3776" t="s">
        <v>24</v>
      </c>
      <c r="N3776" t="s">
        <v>23</v>
      </c>
      <c r="O3776">
        <v>48</v>
      </c>
      <c r="P3776" t="s">
        <v>58</v>
      </c>
      <c r="Q3776" t="s">
        <v>89</v>
      </c>
      <c r="R3776" s="1">
        <v>0.1</v>
      </c>
      <c r="S3776">
        <f t="shared" si="232"/>
        <v>74.7</v>
      </c>
      <c r="T3776">
        <f>IFERROR(VLOOKUP(A3776,Table1[[Customer ID]:[Discount Amount]], 6, FALSE),"Not Found")</f>
        <v>83</v>
      </c>
      <c r="U3776" t="str">
        <f t="shared" si="233"/>
        <v>PayPal</v>
      </c>
      <c r="V3776" s="4" t="str">
        <f t="shared" si="234"/>
        <v>Normal</v>
      </c>
      <c r="W3776" s="4" t="str">
        <f t="shared" si="235"/>
        <v>Good</v>
      </c>
      <c r="X3776" s="4">
        <f>AVERAGE(Table1[Purchase Amount])</f>
        <v>129.48419400000012</v>
      </c>
    </row>
    <row r="3777" spans="1:24" ht="15" customHeight="1" x14ac:dyDescent="0.25">
      <c r="A3777">
        <v>3776</v>
      </c>
      <c r="B3777">
        <v>41</v>
      </c>
      <c r="C3777" t="s">
        <v>16</v>
      </c>
      <c r="D3777" t="s">
        <v>114</v>
      </c>
      <c r="E3777" t="s">
        <v>29</v>
      </c>
      <c r="F3777" s="2">
        <v>63</v>
      </c>
      <c r="G3777" t="s">
        <v>130</v>
      </c>
      <c r="H3777" t="s">
        <v>55</v>
      </c>
      <c r="I3777" t="s">
        <v>136</v>
      </c>
      <c r="J3777" t="s">
        <v>33</v>
      </c>
      <c r="K3777">
        <v>2.7</v>
      </c>
      <c r="L3777" t="s">
        <v>23</v>
      </c>
      <c r="M3777" t="s">
        <v>41</v>
      </c>
      <c r="N3777" t="s">
        <v>23</v>
      </c>
      <c r="O3777">
        <v>45</v>
      </c>
      <c r="P3777" t="s">
        <v>25</v>
      </c>
      <c r="Q3777" t="s">
        <v>37</v>
      </c>
      <c r="R3777" s="1">
        <v>0.1</v>
      </c>
      <c r="S3777">
        <f t="shared" si="232"/>
        <v>56.7</v>
      </c>
      <c r="T3777">
        <f>IFERROR(VLOOKUP(A3777,Table1[[Customer ID]:[Discount Amount]], 6, FALSE),"Not Found")</f>
        <v>63</v>
      </c>
      <c r="U3777" t="str">
        <f t="shared" si="233"/>
        <v>Cash</v>
      </c>
      <c r="V3777" s="4" t="str">
        <f t="shared" si="234"/>
        <v>Normal</v>
      </c>
      <c r="W3777" s="4" t="str">
        <f t="shared" si="235"/>
        <v>Poor</v>
      </c>
      <c r="X3777" s="4">
        <f>AVERAGE(Table1[Purchase Amount])</f>
        <v>129.48419400000012</v>
      </c>
    </row>
    <row r="3778" spans="1:24" ht="15" customHeight="1" x14ac:dyDescent="0.25">
      <c r="A3778">
        <v>3777</v>
      </c>
      <c r="B3778">
        <v>19</v>
      </c>
      <c r="C3778" t="s">
        <v>16</v>
      </c>
      <c r="D3778" t="s">
        <v>140</v>
      </c>
      <c r="E3778" t="s">
        <v>98</v>
      </c>
      <c r="F3778" s="2">
        <v>25</v>
      </c>
      <c r="G3778" t="s">
        <v>148</v>
      </c>
      <c r="H3778" t="s">
        <v>45</v>
      </c>
      <c r="I3778" t="s">
        <v>21</v>
      </c>
      <c r="J3778" t="s">
        <v>33</v>
      </c>
      <c r="K3778">
        <v>4.0999999999999996</v>
      </c>
      <c r="L3778" t="s">
        <v>23</v>
      </c>
      <c r="M3778" t="s">
        <v>24</v>
      </c>
      <c r="N3778" t="s">
        <v>23</v>
      </c>
      <c r="O3778">
        <v>10</v>
      </c>
      <c r="P3778" t="s">
        <v>53</v>
      </c>
      <c r="Q3778" t="s">
        <v>89</v>
      </c>
      <c r="R3778" s="1">
        <v>0.1</v>
      </c>
      <c r="S3778">
        <f t="shared" ref="S3778:S3841" si="236">F3778-(F3778*R3778)</f>
        <v>22.5</v>
      </c>
      <c r="T3778">
        <f>IFERROR(VLOOKUP(A3778,Table1[[Customer ID]:[Discount Amount]], 6, FALSE),"Not Found")</f>
        <v>25</v>
      </c>
      <c r="U3778" t="str">
        <f t="shared" ref="U3778:U3841" si="237">INDEX(P:P, MATCH(A3778, A:A, 0))</f>
        <v>Credit Card</v>
      </c>
      <c r="V3778" s="4" t="str">
        <f t="shared" ref="V3778:V3841" si="238">IF(AND(F3778&gt;1000,K3778&gt;=4),"Best Customer","Normal")</f>
        <v>Normal</v>
      </c>
      <c r="W3778" s="4" t="str">
        <f t="shared" ref="W3778:W3841" si="239">IF(K3778&gt;=3,"Good","Poor")</f>
        <v>Good</v>
      </c>
      <c r="X3778" s="4">
        <f>AVERAGE(Table1[Purchase Amount])</f>
        <v>129.48419400000012</v>
      </c>
    </row>
    <row r="3779" spans="1:24" ht="15" customHeight="1" x14ac:dyDescent="0.25">
      <c r="A3779">
        <v>3778</v>
      </c>
      <c r="B3779">
        <v>43</v>
      </c>
      <c r="C3779" t="s">
        <v>16</v>
      </c>
      <c r="D3779" t="s">
        <v>54</v>
      </c>
      <c r="E3779" t="s">
        <v>18</v>
      </c>
      <c r="F3779" s="2">
        <v>65</v>
      </c>
      <c r="G3779" t="s">
        <v>144</v>
      </c>
      <c r="H3779" t="s">
        <v>31</v>
      </c>
      <c r="I3779" t="s">
        <v>125</v>
      </c>
      <c r="J3779" t="s">
        <v>47</v>
      </c>
      <c r="K3779">
        <v>4.3</v>
      </c>
      <c r="L3779" t="s">
        <v>23</v>
      </c>
      <c r="M3779" t="s">
        <v>61</v>
      </c>
      <c r="N3779" t="s">
        <v>23</v>
      </c>
      <c r="O3779">
        <v>9</v>
      </c>
      <c r="P3779" t="s">
        <v>25</v>
      </c>
      <c r="Q3779" t="s">
        <v>26</v>
      </c>
      <c r="R3779" s="1">
        <v>0.1</v>
      </c>
      <c r="S3779">
        <f t="shared" si="236"/>
        <v>58.5</v>
      </c>
      <c r="T3779">
        <f>IFERROR(VLOOKUP(A3779,Table1[[Customer ID]:[Discount Amount]], 6, FALSE),"Not Found")</f>
        <v>65</v>
      </c>
      <c r="U3779" t="str">
        <f t="shared" si="237"/>
        <v>Cash</v>
      </c>
      <c r="V3779" s="4" t="str">
        <f t="shared" si="238"/>
        <v>Normal</v>
      </c>
      <c r="W3779" s="4" t="str">
        <f t="shared" si="239"/>
        <v>Good</v>
      </c>
      <c r="X3779" s="4">
        <f>AVERAGE(Table1[Purchase Amount])</f>
        <v>129.48419400000012</v>
      </c>
    </row>
    <row r="3780" spans="1:24" ht="15" customHeight="1" x14ac:dyDescent="0.25">
      <c r="A3780">
        <v>3779</v>
      </c>
      <c r="B3780">
        <v>25</v>
      </c>
      <c r="C3780" t="s">
        <v>16</v>
      </c>
      <c r="D3780" t="s">
        <v>140</v>
      </c>
      <c r="E3780" t="s">
        <v>98</v>
      </c>
      <c r="F3780" s="2">
        <v>60</v>
      </c>
      <c r="G3780" t="s">
        <v>130</v>
      </c>
      <c r="H3780" t="s">
        <v>31</v>
      </c>
      <c r="I3780" t="s">
        <v>128</v>
      </c>
      <c r="J3780" t="s">
        <v>47</v>
      </c>
      <c r="K3780">
        <v>2.9</v>
      </c>
      <c r="L3780" t="s">
        <v>23</v>
      </c>
      <c r="M3780" t="s">
        <v>35</v>
      </c>
      <c r="N3780" t="s">
        <v>23</v>
      </c>
      <c r="O3780">
        <v>30</v>
      </c>
      <c r="P3780" t="s">
        <v>36</v>
      </c>
      <c r="Q3780" t="s">
        <v>49</v>
      </c>
      <c r="R3780" s="1">
        <v>0.1</v>
      </c>
      <c r="S3780">
        <f t="shared" si="236"/>
        <v>54</v>
      </c>
      <c r="T3780">
        <f>IFERROR(VLOOKUP(A3780,Table1[[Customer ID]:[Discount Amount]], 6, FALSE),"Not Found")</f>
        <v>60</v>
      </c>
      <c r="U3780" t="str">
        <f t="shared" si="237"/>
        <v>Debit Card</v>
      </c>
      <c r="V3780" s="4" t="str">
        <f t="shared" si="238"/>
        <v>Normal</v>
      </c>
      <c r="W3780" s="4" t="str">
        <f t="shared" si="239"/>
        <v>Poor</v>
      </c>
      <c r="X3780" s="4">
        <f>AVERAGE(Table1[Purchase Amount])</f>
        <v>129.48419400000012</v>
      </c>
    </row>
    <row r="3781" spans="1:24" ht="15" customHeight="1" x14ac:dyDescent="0.25">
      <c r="A3781">
        <v>3780</v>
      </c>
      <c r="B3781">
        <v>60</v>
      </c>
      <c r="C3781" t="s">
        <v>16</v>
      </c>
      <c r="D3781" t="s">
        <v>109</v>
      </c>
      <c r="E3781" t="s">
        <v>18</v>
      </c>
      <c r="F3781" s="2">
        <v>75</v>
      </c>
      <c r="G3781" t="s">
        <v>19</v>
      </c>
      <c r="H3781" t="s">
        <v>20</v>
      </c>
      <c r="I3781" t="s">
        <v>107</v>
      </c>
      <c r="J3781" t="s">
        <v>33</v>
      </c>
      <c r="K3781">
        <v>4</v>
      </c>
      <c r="L3781" t="s">
        <v>23</v>
      </c>
      <c r="M3781" t="s">
        <v>61</v>
      </c>
      <c r="N3781" t="s">
        <v>23</v>
      </c>
      <c r="O3781">
        <v>45</v>
      </c>
      <c r="P3781" t="s">
        <v>58</v>
      </c>
      <c r="Q3781" t="s">
        <v>49</v>
      </c>
      <c r="R3781" s="1">
        <v>0.1</v>
      </c>
      <c r="S3781">
        <f t="shared" si="236"/>
        <v>67.5</v>
      </c>
      <c r="T3781">
        <f>IFERROR(VLOOKUP(A3781,Table1[[Customer ID]:[Discount Amount]], 6, FALSE),"Not Found")</f>
        <v>75</v>
      </c>
      <c r="U3781" t="str">
        <f t="shared" si="237"/>
        <v>PayPal</v>
      </c>
      <c r="V3781" s="4" t="str">
        <f t="shared" si="238"/>
        <v>Normal</v>
      </c>
      <c r="W3781" s="4" t="str">
        <f t="shared" si="239"/>
        <v>Good</v>
      </c>
      <c r="X3781" s="4">
        <f>AVERAGE(Table1[Purchase Amount])</f>
        <v>129.48419400000012</v>
      </c>
    </row>
    <row r="3782" spans="1:24" ht="15" customHeight="1" x14ac:dyDescent="0.25">
      <c r="A3782">
        <v>3781</v>
      </c>
      <c r="B3782">
        <v>54</v>
      </c>
      <c r="C3782" t="s">
        <v>16</v>
      </c>
      <c r="D3782" t="s">
        <v>140</v>
      </c>
      <c r="E3782" t="s">
        <v>98</v>
      </c>
      <c r="F3782" s="2">
        <v>57</v>
      </c>
      <c r="G3782" t="s">
        <v>149</v>
      </c>
      <c r="H3782" t="s">
        <v>45</v>
      </c>
      <c r="I3782" t="s">
        <v>52</v>
      </c>
      <c r="J3782" t="s">
        <v>47</v>
      </c>
      <c r="K3782">
        <v>4.0999999999999996</v>
      </c>
      <c r="L3782" t="s">
        <v>23</v>
      </c>
      <c r="M3782" t="s">
        <v>35</v>
      </c>
      <c r="N3782" t="s">
        <v>23</v>
      </c>
      <c r="O3782">
        <v>41</v>
      </c>
      <c r="P3782" t="s">
        <v>62</v>
      </c>
      <c r="Q3782" t="s">
        <v>37</v>
      </c>
      <c r="R3782" s="1">
        <v>0.1</v>
      </c>
      <c r="S3782">
        <f t="shared" si="236"/>
        <v>51.3</v>
      </c>
      <c r="T3782">
        <f>IFERROR(VLOOKUP(A3782,Table1[[Customer ID]:[Discount Amount]], 6, FALSE),"Not Found")</f>
        <v>57</v>
      </c>
      <c r="U3782" t="str">
        <f t="shared" si="237"/>
        <v>Venmo</v>
      </c>
      <c r="V3782" s="4" t="str">
        <f t="shared" si="238"/>
        <v>Normal</v>
      </c>
      <c r="W3782" s="4" t="str">
        <f t="shared" si="239"/>
        <v>Good</v>
      </c>
      <c r="X3782" s="4">
        <f>AVERAGE(Table1[Purchase Amount])</f>
        <v>129.48419400000012</v>
      </c>
    </row>
    <row r="3783" spans="1:24" ht="15" customHeight="1" x14ac:dyDescent="0.25">
      <c r="A3783">
        <v>3782</v>
      </c>
      <c r="B3783">
        <v>52</v>
      </c>
      <c r="C3783" t="s">
        <v>16</v>
      </c>
      <c r="D3783" t="s">
        <v>151</v>
      </c>
      <c r="E3783" t="s">
        <v>98</v>
      </c>
      <c r="F3783" s="2">
        <v>99</v>
      </c>
      <c r="G3783" t="s">
        <v>65</v>
      </c>
      <c r="H3783" t="s">
        <v>31</v>
      </c>
      <c r="I3783" t="s">
        <v>136</v>
      </c>
      <c r="J3783" t="s">
        <v>22</v>
      </c>
      <c r="K3783">
        <v>3.7</v>
      </c>
      <c r="L3783" t="s">
        <v>23</v>
      </c>
      <c r="M3783" t="s">
        <v>24</v>
      </c>
      <c r="N3783" t="s">
        <v>23</v>
      </c>
      <c r="O3783">
        <v>40</v>
      </c>
      <c r="P3783" t="s">
        <v>58</v>
      </c>
      <c r="Q3783" t="s">
        <v>89</v>
      </c>
      <c r="R3783" s="1">
        <v>0.1</v>
      </c>
      <c r="S3783">
        <f t="shared" si="236"/>
        <v>89.1</v>
      </c>
      <c r="T3783">
        <f>IFERROR(VLOOKUP(A3783,Table1[[Customer ID]:[Discount Amount]], 6, FALSE),"Not Found")</f>
        <v>99</v>
      </c>
      <c r="U3783" t="str">
        <f t="shared" si="237"/>
        <v>PayPal</v>
      </c>
      <c r="V3783" s="4" t="str">
        <f t="shared" si="238"/>
        <v>Normal</v>
      </c>
      <c r="W3783" s="4" t="str">
        <f t="shared" si="239"/>
        <v>Good</v>
      </c>
      <c r="X3783" s="4">
        <f>AVERAGE(Table1[Purchase Amount])</f>
        <v>129.48419400000012</v>
      </c>
    </row>
    <row r="3784" spans="1:24" ht="15" customHeight="1" x14ac:dyDescent="0.25">
      <c r="A3784">
        <v>3783</v>
      </c>
      <c r="B3784">
        <v>40</v>
      </c>
      <c r="C3784" t="s">
        <v>16</v>
      </c>
      <c r="D3784" t="s">
        <v>96</v>
      </c>
      <c r="E3784" t="s">
        <v>77</v>
      </c>
      <c r="F3784" s="2">
        <v>45</v>
      </c>
      <c r="G3784" t="s">
        <v>51</v>
      </c>
      <c r="H3784" t="s">
        <v>45</v>
      </c>
      <c r="I3784" t="s">
        <v>108</v>
      </c>
      <c r="J3784" t="s">
        <v>33</v>
      </c>
      <c r="K3784">
        <v>2.8</v>
      </c>
      <c r="L3784" t="s">
        <v>23</v>
      </c>
      <c r="M3784" t="s">
        <v>35</v>
      </c>
      <c r="N3784" t="s">
        <v>23</v>
      </c>
      <c r="O3784">
        <v>42</v>
      </c>
      <c r="P3784" t="s">
        <v>58</v>
      </c>
      <c r="Q3784" t="s">
        <v>89</v>
      </c>
      <c r="R3784" s="1">
        <v>0.1</v>
      </c>
      <c r="S3784">
        <f t="shared" si="236"/>
        <v>40.5</v>
      </c>
      <c r="T3784">
        <f>IFERROR(VLOOKUP(A3784,Table1[[Customer ID]:[Discount Amount]], 6, FALSE),"Not Found")</f>
        <v>45</v>
      </c>
      <c r="U3784" t="str">
        <f t="shared" si="237"/>
        <v>PayPal</v>
      </c>
      <c r="V3784" s="4" t="str">
        <f t="shared" si="238"/>
        <v>Normal</v>
      </c>
      <c r="W3784" s="4" t="str">
        <f t="shared" si="239"/>
        <v>Poor</v>
      </c>
      <c r="X3784" s="4">
        <f>AVERAGE(Table1[Purchase Amount])</f>
        <v>129.48419400000012</v>
      </c>
    </row>
    <row r="3785" spans="1:24" ht="15" customHeight="1" x14ac:dyDescent="0.25">
      <c r="A3785">
        <v>3784</v>
      </c>
      <c r="B3785">
        <v>39</v>
      </c>
      <c r="C3785" t="s">
        <v>16</v>
      </c>
      <c r="D3785" t="s">
        <v>43</v>
      </c>
      <c r="E3785" t="s">
        <v>29</v>
      </c>
      <c r="F3785" s="2">
        <v>66</v>
      </c>
      <c r="G3785" t="s">
        <v>94</v>
      </c>
      <c r="H3785" t="s">
        <v>20</v>
      </c>
      <c r="I3785" t="s">
        <v>108</v>
      </c>
      <c r="J3785" t="s">
        <v>57</v>
      </c>
      <c r="K3785">
        <v>3.2</v>
      </c>
      <c r="L3785" t="s">
        <v>23</v>
      </c>
      <c r="M3785" t="s">
        <v>35</v>
      </c>
      <c r="N3785" t="s">
        <v>23</v>
      </c>
      <c r="O3785">
        <v>17</v>
      </c>
      <c r="P3785" t="s">
        <v>36</v>
      </c>
      <c r="Q3785" t="s">
        <v>89</v>
      </c>
      <c r="R3785" s="1">
        <v>0.1</v>
      </c>
      <c r="S3785">
        <f t="shared" si="236"/>
        <v>59.4</v>
      </c>
      <c r="T3785">
        <f>IFERROR(VLOOKUP(A3785,Table1[[Customer ID]:[Discount Amount]], 6, FALSE),"Not Found")</f>
        <v>66</v>
      </c>
      <c r="U3785" t="str">
        <f t="shared" si="237"/>
        <v>Debit Card</v>
      </c>
      <c r="V3785" s="4" t="str">
        <f t="shared" si="238"/>
        <v>Normal</v>
      </c>
      <c r="W3785" s="4" t="str">
        <f t="shared" si="239"/>
        <v>Good</v>
      </c>
      <c r="X3785" s="4">
        <f>AVERAGE(Table1[Purchase Amount])</f>
        <v>129.48419400000012</v>
      </c>
    </row>
    <row r="3786" spans="1:24" ht="15" customHeight="1" x14ac:dyDescent="0.25">
      <c r="A3786">
        <v>3785</v>
      </c>
      <c r="B3786">
        <v>54</v>
      </c>
      <c r="C3786" t="s">
        <v>16</v>
      </c>
      <c r="D3786" t="s">
        <v>105</v>
      </c>
      <c r="E3786" t="s">
        <v>18</v>
      </c>
      <c r="F3786" s="2">
        <v>53</v>
      </c>
      <c r="G3786" t="s">
        <v>138</v>
      </c>
      <c r="H3786" t="s">
        <v>31</v>
      </c>
      <c r="I3786" t="s">
        <v>111</v>
      </c>
      <c r="J3786" t="s">
        <v>22</v>
      </c>
      <c r="K3786">
        <v>4.5</v>
      </c>
      <c r="L3786" t="s">
        <v>23</v>
      </c>
      <c r="M3786" t="s">
        <v>79</v>
      </c>
      <c r="N3786" t="s">
        <v>23</v>
      </c>
      <c r="O3786">
        <v>4</v>
      </c>
      <c r="P3786" t="s">
        <v>62</v>
      </c>
      <c r="Q3786" t="s">
        <v>49</v>
      </c>
      <c r="R3786" s="1">
        <v>0.1</v>
      </c>
      <c r="S3786">
        <f t="shared" si="236"/>
        <v>47.7</v>
      </c>
      <c r="T3786">
        <f>IFERROR(VLOOKUP(A3786,Table1[[Customer ID]:[Discount Amount]], 6, FALSE),"Not Found")</f>
        <v>53</v>
      </c>
      <c r="U3786" t="str">
        <f t="shared" si="237"/>
        <v>Venmo</v>
      </c>
      <c r="V3786" s="4" t="str">
        <f t="shared" si="238"/>
        <v>Normal</v>
      </c>
      <c r="W3786" s="4" t="str">
        <f t="shared" si="239"/>
        <v>Good</v>
      </c>
      <c r="X3786" s="4">
        <f>AVERAGE(Table1[Purchase Amount])</f>
        <v>129.48419400000012</v>
      </c>
    </row>
    <row r="3787" spans="1:24" ht="15" customHeight="1" x14ac:dyDescent="0.25">
      <c r="A3787">
        <v>3786</v>
      </c>
      <c r="B3787">
        <v>64</v>
      </c>
      <c r="C3787" t="s">
        <v>16</v>
      </c>
      <c r="D3787" t="s">
        <v>109</v>
      </c>
      <c r="E3787" t="s">
        <v>18</v>
      </c>
      <c r="F3787" s="2">
        <v>94</v>
      </c>
      <c r="G3787" t="s">
        <v>132</v>
      </c>
      <c r="H3787" t="s">
        <v>45</v>
      </c>
      <c r="I3787" t="s">
        <v>107</v>
      </c>
      <c r="J3787" t="s">
        <v>22</v>
      </c>
      <c r="K3787">
        <v>3.8</v>
      </c>
      <c r="L3787" t="s">
        <v>23</v>
      </c>
      <c r="M3787" t="s">
        <v>24</v>
      </c>
      <c r="N3787" t="s">
        <v>23</v>
      </c>
      <c r="O3787">
        <v>6</v>
      </c>
      <c r="P3787" t="s">
        <v>25</v>
      </c>
      <c r="Q3787" t="s">
        <v>42</v>
      </c>
      <c r="R3787" s="1">
        <v>0.1</v>
      </c>
      <c r="S3787">
        <f t="shared" si="236"/>
        <v>84.6</v>
      </c>
      <c r="T3787">
        <f>IFERROR(VLOOKUP(A3787,Table1[[Customer ID]:[Discount Amount]], 6, FALSE),"Not Found")</f>
        <v>94</v>
      </c>
      <c r="U3787" t="str">
        <f t="shared" si="237"/>
        <v>Cash</v>
      </c>
      <c r="V3787" s="4" t="str">
        <f t="shared" si="238"/>
        <v>Normal</v>
      </c>
      <c r="W3787" s="4" t="str">
        <f t="shared" si="239"/>
        <v>Good</v>
      </c>
      <c r="X3787" s="4">
        <f>AVERAGE(Table1[Purchase Amount])</f>
        <v>129.48419400000012</v>
      </c>
    </row>
    <row r="3788" spans="1:24" ht="15" customHeight="1" x14ac:dyDescent="0.25">
      <c r="A3788">
        <v>3787</v>
      </c>
      <c r="B3788">
        <v>31</v>
      </c>
      <c r="C3788" t="s">
        <v>16</v>
      </c>
      <c r="D3788" t="s">
        <v>151</v>
      </c>
      <c r="E3788" t="s">
        <v>98</v>
      </c>
      <c r="F3788" s="2">
        <v>47</v>
      </c>
      <c r="G3788" t="s">
        <v>65</v>
      </c>
      <c r="H3788" t="s">
        <v>45</v>
      </c>
      <c r="I3788" t="s">
        <v>52</v>
      </c>
      <c r="J3788" t="s">
        <v>47</v>
      </c>
      <c r="K3788">
        <v>3.6</v>
      </c>
      <c r="L3788" t="s">
        <v>23</v>
      </c>
      <c r="M3788" t="s">
        <v>41</v>
      </c>
      <c r="N3788" t="s">
        <v>23</v>
      </c>
      <c r="O3788">
        <v>22</v>
      </c>
      <c r="P3788" t="s">
        <v>62</v>
      </c>
      <c r="Q3788" t="s">
        <v>26</v>
      </c>
      <c r="R3788" s="1">
        <v>0.1</v>
      </c>
      <c r="S3788">
        <f t="shared" si="236"/>
        <v>42.3</v>
      </c>
      <c r="T3788">
        <f>IFERROR(VLOOKUP(A3788,Table1[[Customer ID]:[Discount Amount]], 6, FALSE),"Not Found")</f>
        <v>47</v>
      </c>
      <c r="U3788" t="str">
        <f t="shared" si="237"/>
        <v>Venmo</v>
      </c>
      <c r="V3788" s="4" t="str">
        <f t="shared" si="238"/>
        <v>Normal</v>
      </c>
      <c r="W3788" s="4" t="str">
        <f t="shared" si="239"/>
        <v>Good</v>
      </c>
      <c r="X3788" s="4">
        <f>AVERAGE(Table1[Purchase Amount])</f>
        <v>129.48419400000012</v>
      </c>
    </row>
    <row r="3789" spans="1:24" ht="15" customHeight="1" x14ac:dyDescent="0.25">
      <c r="A3789">
        <v>3788</v>
      </c>
      <c r="B3789">
        <v>37</v>
      </c>
      <c r="C3789" t="s">
        <v>16</v>
      </c>
      <c r="D3789" t="s">
        <v>118</v>
      </c>
      <c r="E3789" t="s">
        <v>18</v>
      </c>
      <c r="F3789" s="2">
        <v>80</v>
      </c>
      <c r="G3789" t="s">
        <v>101</v>
      </c>
      <c r="H3789" t="s">
        <v>31</v>
      </c>
      <c r="I3789" t="s">
        <v>136</v>
      </c>
      <c r="J3789" t="s">
        <v>47</v>
      </c>
      <c r="K3789">
        <v>3.6</v>
      </c>
      <c r="L3789" t="s">
        <v>23</v>
      </c>
      <c r="M3789" t="s">
        <v>41</v>
      </c>
      <c r="N3789" t="s">
        <v>23</v>
      </c>
      <c r="O3789">
        <v>46</v>
      </c>
      <c r="P3789" t="s">
        <v>58</v>
      </c>
      <c r="Q3789" t="s">
        <v>63</v>
      </c>
      <c r="R3789" s="1">
        <v>0.1</v>
      </c>
      <c r="S3789">
        <f t="shared" si="236"/>
        <v>72</v>
      </c>
      <c r="T3789">
        <f>IFERROR(VLOOKUP(A3789,Table1[[Customer ID]:[Discount Amount]], 6, FALSE),"Not Found")</f>
        <v>80</v>
      </c>
      <c r="U3789" t="str">
        <f t="shared" si="237"/>
        <v>PayPal</v>
      </c>
      <c r="V3789" s="4" t="str">
        <f t="shared" si="238"/>
        <v>Normal</v>
      </c>
      <c r="W3789" s="4" t="str">
        <f t="shared" si="239"/>
        <v>Good</v>
      </c>
      <c r="X3789" s="4">
        <f>AVERAGE(Table1[Purchase Amount])</f>
        <v>129.48419400000012</v>
      </c>
    </row>
    <row r="3790" spans="1:24" ht="15" customHeight="1" x14ac:dyDescent="0.25">
      <c r="A3790">
        <v>3789</v>
      </c>
      <c r="B3790">
        <v>43</v>
      </c>
      <c r="C3790" t="s">
        <v>16</v>
      </c>
      <c r="D3790" t="s">
        <v>64</v>
      </c>
      <c r="E3790" t="s">
        <v>29</v>
      </c>
      <c r="F3790" s="2">
        <v>65</v>
      </c>
      <c r="G3790" t="s">
        <v>124</v>
      </c>
      <c r="H3790" t="s">
        <v>20</v>
      </c>
      <c r="I3790" t="s">
        <v>147</v>
      </c>
      <c r="J3790" t="s">
        <v>33</v>
      </c>
      <c r="K3790">
        <v>3.2</v>
      </c>
      <c r="L3790" t="s">
        <v>23</v>
      </c>
      <c r="M3790" t="s">
        <v>79</v>
      </c>
      <c r="N3790" t="s">
        <v>23</v>
      </c>
      <c r="O3790">
        <v>27</v>
      </c>
      <c r="P3790" t="s">
        <v>36</v>
      </c>
      <c r="Q3790" t="s">
        <v>42</v>
      </c>
      <c r="R3790" s="1">
        <v>0.1</v>
      </c>
      <c r="S3790">
        <f t="shared" si="236"/>
        <v>58.5</v>
      </c>
      <c r="T3790">
        <f>IFERROR(VLOOKUP(A3790,Table1[[Customer ID]:[Discount Amount]], 6, FALSE),"Not Found")</f>
        <v>65</v>
      </c>
      <c r="U3790" t="str">
        <f t="shared" si="237"/>
        <v>Debit Card</v>
      </c>
      <c r="V3790" s="4" t="str">
        <f t="shared" si="238"/>
        <v>Normal</v>
      </c>
      <c r="W3790" s="4" t="str">
        <f t="shared" si="239"/>
        <v>Good</v>
      </c>
      <c r="X3790" s="4">
        <f>AVERAGE(Table1[Purchase Amount])</f>
        <v>129.48419400000012</v>
      </c>
    </row>
    <row r="3791" spans="1:24" ht="15" customHeight="1" x14ac:dyDescent="0.25">
      <c r="A3791">
        <v>3790</v>
      </c>
      <c r="B3791">
        <v>56</v>
      </c>
      <c r="C3791" t="s">
        <v>16</v>
      </c>
      <c r="D3791" t="s">
        <v>38</v>
      </c>
      <c r="E3791" t="s">
        <v>18</v>
      </c>
      <c r="F3791" s="2">
        <v>75</v>
      </c>
      <c r="G3791" t="s">
        <v>86</v>
      </c>
      <c r="H3791" t="s">
        <v>31</v>
      </c>
      <c r="I3791" t="s">
        <v>87</v>
      </c>
      <c r="J3791" t="s">
        <v>57</v>
      </c>
      <c r="K3791">
        <v>3.8</v>
      </c>
      <c r="L3791" t="s">
        <v>23</v>
      </c>
      <c r="M3791" t="s">
        <v>61</v>
      </c>
      <c r="N3791" t="s">
        <v>23</v>
      </c>
      <c r="O3791">
        <v>18</v>
      </c>
      <c r="P3791" t="s">
        <v>88</v>
      </c>
      <c r="Q3791" t="s">
        <v>63</v>
      </c>
      <c r="R3791" s="1">
        <v>0.1</v>
      </c>
      <c r="S3791">
        <f t="shared" si="236"/>
        <v>67.5</v>
      </c>
      <c r="T3791">
        <f>IFERROR(VLOOKUP(A3791,Table1[[Customer ID]:[Discount Amount]], 6, FALSE),"Not Found")</f>
        <v>75</v>
      </c>
      <c r="U3791" t="str">
        <f t="shared" si="237"/>
        <v>Bank Transfer</v>
      </c>
      <c r="V3791" s="4" t="str">
        <f t="shared" si="238"/>
        <v>Normal</v>
      </c>
      <c r="W3791" s="4" t="str">
        <f t="shared" si="239"/>
        <v>Good</v>
      </c>
      <c r="X3791" s="4">
        <f>AVERAGE(Table1[Purchase Amount])</f>
        <v>129.48419400000012</v>
      </c>
    </row>
    <row r="3792" spans="1:24" ht="15" customHeight="1" x14ac:dyDescent="0.25">
      <c r="A3792">
        <v>3791</v>
      </c>
      <c r="B3792">
        <v>27</v>
      </c>
      <c r="C3792" t="s">
        <v>16</v>
      </c>
      <c r="D3792" t="s">
        <v>69</v>
      </c>
      <c r="E3792" t="s">
        <v>29</v>
      </c>
      <c r="F3792" s="2">
        <v>45</v>
      </c>
      <c r="G3792" t="s">
        <v>148</v>
      </c>
      <c r="H3792" t="s">
        <v>20</v>
      </c>
      <c r="I3792" t="s">
        <v>56</v>
      </c>
      <c r="J3792" t="s">
        <v>57</v>
      </c>
      <c r="K3792">
        <v>4.4000000000000004</v>
      </c>
      <c r="L3792" t="s">
        <v>23</v>
      </c>
      <c r="M3792" t="s">
        <v>24</v>
      </c>
      <c r="N3792" t="s">
        <v>23</v>
      </c>
      <c r="O3792">
        <v>31</v>
      </c>
      <c r="P3792" t="s">
        <v>53</v>
      </c>
      <c r="Q3792" t="s">
        <v>26</v>
      </c>
      <c r="R3792" s="1">
        <v>0.1</v>
      </c>
      <c r="S3792">
        <f t="shared" si="236"/>
        <v>40.5</v>
      </c>
      <c r="T3792">
        <f>IFERROR(VLOOKUP(A3792,Table1[[Customer ID]:[Discount Amount]], 6, FALSE),"Not Found")</f>
        <v>45</v>
      </c>
      <c r="U3792" t="str">
        <f t="shared" si="237"/>
        <v>Credit Card</v>
      </c>
      <c r="V3792" s="4" t="str">
        <f t="shared" si="238"/>
        <v>Normal</v>
      </c>
      <c r="W3792" s="4" t="str">
        <f t="shared" si="239"/>
        <v>Good</v>
      </c>
      <c r="X3792" s="4">
        <f>AVERAGE(Table1[Purchase Amount])</f>
        <v>129.48419400000012</v>
      </c>
    </row>
    <row r="3793" spans="1:24" ht="15" customHeight="1" x14ac:dyDescent="0.25">
      <c r="A3793">
        <v>3792</v>
      </c>
      <c r="B3793">
        <v>40</v>
      </c>
      <c r="C3793" t="s">
        <v>16</v>
      </c>
      <c r="D3793" t="s">
        <v>28</v>
      </c>
      <c r="E3793" t="s">
        <v>29</v>
      </c>
      <c r="F3793" s="2">
        <v>51</v>
      </c>
      <c r="G3793" t="s">
        <v>152</v>
      </c>
      <c r="H3793" t="s">
        <v>31</v>
      </c>
      <c r="I3793" t="s">
        <v>85</v>
      </c>
      <c r="J3793" t="s">
        <v>33</v>
      </c>
      <c r="K3793">
        <v>3.7</v>
      </c>
      <c r="L3793" t="s">
        <v>23</v>
      </c>
      <c r="M3793" t="s">
        <v>48</v>
      </c>
      <c r="N3793" t="s">
        <v>23</v>
      </c>
      <c r="O3793">
        <v>1</v>
      </c>
      <c r="P3793" t="s">
        <v>62</v>
      </c>
      <c r="Q3793" t="s">
        <v>26</v>
      </c>
      <c r="R3793" s="1">
        <v>0.1</v>
      </c>
      <c r="S3793">
        <f t="shared" si="236"/>
        <v>45.9</v>
      </c>
      <c r="T3793">
        <f>IFERROR(VLOOKUP(A3793,Table1[[Customer ID]:[Discount Amount]], 6, FALSE),"Not Found")</f>
        <v>51</v>
      </c>
      <c r="U3793" t="str">
        <f t="shared" si="237"/>
        <v>Venmo</v>
      </c>
      <c r="V3793" s="4" t="str">
        <f t="shared" si="238"/>
        <v>Normal</v>
      </c>
      <c r="W3793" s="4" t="str">
        <f t="shared" si="239"/>
        <v>Good</v>
      </c>
      <c r="X3793" s="4">
        <f>AVERAGE(Table1[Purchase Amount])</f>
        <v>129.48419400000012</v>
      </c>
    </row>
    <row r="3794" spans="1:24" ht="15" customHeight="1" x14ac:dyDescent="0.25">
      <c r="A3794">
        <v>3793</v>
      </c>
      <c r="B3794">
        <v>43</v>
      </c>
      <c r="C3794" t="s">
        <v>16</v>
      </c>
      <c r="D3794" t="s">
        <v>129</v>
      </c>
      <c r="E3794" t="s">
        <v>29</v>
      </c>
      <c r="F3794" s="2">
        <v>58</v>
      </c>
      <c r="G3794" t="s">
        <v>97</v>
      </c>
      <c r="H3794" t="s">
        <v>55</v>
      </c>
      <c r="I3794" t="s">
        <v>156</v>
      </c>
      <c r="J3794" t="s">
        <v>57</v>
      </c>
      <c r="K3794">
        <v>2.6</v>
      </c>
      <c r="L3794" t="s">
        <v>23</v>
      </c>
      <c r="M3794" t="s">
        <v>61</v>
      </c>
      <c r="N3794" t="s">
        <v>23</v>
      </c>
      <c r="O3794">
        <v>2</v>
      </c>
      <c r="P3794" t="s">
        <v>58</v>
      </c>
      <c r="Q3794" t="s">
        <v>89</v>
      </c>
      <c r="R3794" s="1">
        <v>0.1</v>
      </c>
      <c r="S3794">
        <f t="shared" si="236"/>
        <v>52.2</v>
      </c>
      <c r="T3794">
        <f>IFERROR(VLOOKUP(A3794,Table1[[Customer ID]:[Discount Amount]], 6, FALSE),"Not Found")</f>
        <v>58</v>
      </c>
      <c r="U3794" t="str">
        <f t="shared" si="237"/>
        <v>PayPal</v>
      </c>
      <c r="V3794" s="4" t="str">
        <f t="shared" si="238"/>
        <v>Normal</v>
      </c>
      <c r="W3794" s="4" t="str">
        <f t="shared" si="239"/>
        <v>Poor</v>
      </c>
      <c r="X3794" s="4">
        <f>AVERAGE(Table1[Purchase Amount])</f>
        <v>129.48419400000012</v>
      </c>
    </row>
    <row r="3795" spans="1:24" ht="15" customHeight="1" x14ac:dyDescent="0.25">
      <c r="A3795">
        <v>3794</v>
      </c>
      <c r="B3795">
        <v>62</v>
      </c>
      <c r="C3795" t="s">
        <v>16</v>
      </c>
      <c r="D3795" t="s">
        <v>28</v>
      </c>
      <c r="E3795" t="s">
        <v>29</v>
      </c>
      <c r="F3795" s="2">
        <v>20</v>
      </c>
      <c r="G3795" t="s">
        <v>143</v>
      </c>
      <c r="H3795" t="s">
        <v>31</v>
      </c>
      <c r="I3795" t="s">
        <v>136</v>
      </c>
      <c r="J3795" t="s">
        <v>47</v>
      </c>
      <c r="K3795">
        <v>4</v>
      </c>
      <c r="L3795" t="s">
        <v>23</v>
      </c>
      <c r="M3795" t="s">
        <v>24</v>
      </c>
      <c r="N3795" t="s">
        <v>23</v>
      </c>
      <c r="O3795">
        <v>46</v>
      </c>
      <c r="P3795" t="s">
        <v>88</v>
      </c>
      <c r="Q3795" t="s">
        <v>49</v>
      </c>
      <c r="R3795" s="1">
        <v>0.1</v>
      </c>
      <c r="S3795">
        <f t="shared" si="236"/>
        <v>18</v>
      </c>
      <c r="T3795">
        <f>IFERROR(VLOOKUP(A3795,Table1[[Customer ID]:[Discount Amount]], 6, FALSE),"Not Found")</f>
        <v>20</v>
      </c>
      <c r="U3795" t="str">
        <f t="shared" si="237"/>
        <v>Bank Transfer</v>
      </c>
      <c r="V3795" s="4" t="str">
        <f t="shared" si="238"/>
        <v>Normal</v>
      </c>
      <c r="W3795" s="4" t="str">
        <f t="shared" si="239"/>
        <v>Good</v>
      </c>
      <c r="X3795" s="4">
        <f>AVERAGE(Table1[Purchase Amount])</f>
        <v>129.48419400000012</v>
      </c>
    </row>
    <row r="3796" spans="1:24" ht="15" customHeight="1" x14ac:dyDescent="0.25">
      <c r="A3796">
        <v>3795</v>
      </c>
      <c r="B3796">
        <v>44</v>
      </c>
      <c r="C3796" t="s">
        <v>16</v>
      </c>
      <c r="D3796" t="s">
        <v>129</v>
      </c>
      <c r="E3796" t="s">
        <v>29</v>
      </c>
      <c r="F3796" s="2">
        <v>82</v>
      </c>
      <c r="G3796" t="s">
        <v>130</v>
      </c>
      <c r="H3796" t="s">
        <v>31</v>
      </c>
      <c r="I3796" t="s">
        <v>111</v>
      </c>
      <c r="J3796" t="s">
        <v>57</v>
      </c>
      <c r="K3796">
        <v>3.6</v>
      </c>
      <c r="L3796" t="s">
        <v>23</v>
      </c>
      <c r="M3796" t="s">
        <v>41</v>
      </c>
      <c r="N3796" t="s">
        <v>23</v>
      </c>
      <c r="O3796">
        <v>27</v>
      </c>
      <c r="P3796" t="s">
        <v>62</v>
      </c>
      <c r="Q3796" t="s">
        <v>26</v>
      </c>
      <c r="R3796" s="1">
        <v>0.1</v>
      </c>
      <c r="S3796">
        <f t="shared" si="236"/>
        <v>73.8</v>
      </c>
      <c r="T3796">
        <f>IFERROR(VLOOKUP(A3796,Table1[[Customer ID]:[Discount Amount]], 6, FALSE),"Not Found")</f>
        <v>82</v>
      </c>
      <c r="U3796" t="str">
        <f t="shared" si="237"/>
        <v>Venmo</v>
      </c>
      <c r="V3796" s="4" t="str">
        <f t="shared" si="238"/>
        <v>Normal</v>
      </c>
      <c r="W3796" s="4" t="str">
        <f t="shared" si="239"/>
        <v>Good</v>
      </c>
      <c r="X3796" s="4">
        <f>AVERAGE(Table1[Purchase Amount])</f>
        <v>129.48419400000012</v>
      </c>
    </row>
    <row r="3797" spans="1:24" ht="15" customHeight="1" x14ac:dyDescent="0.25">
      <c r="A3797">
        <v>3796</v>
      </c>
      <c r="B3797">
        <v>45</v>
      </c>
      <c r="C3797" t="s">
        <v>16</v>
      </c>
      <c r="D3797" t="s">
        <v>43</v>
      </c>
      <c r="E3797" t="s">
        <v>29</v>
      </c>
      <c r="F3797" s="2">
        <v>92</v>
      </c>
      <c r="G3797" t="s">
        <v>100</v>
      </c>
      <c r="H3797" t="s">
        <v>31</v>
      </c>
      <c r="I3797" t="s">
        <v>103</v>
      </c>
      <c r="J3797" t="s">
        <v>33</v>
      </c>
      <c r="K3797">
        <v>2.5</v>
      </c>
      <c r="L3797" t="s">
        <v>23</v>
      </c>
      <c r="M3797" t="s">
        <v>61</v>
      </c>
      <c r="N3797" t="s">
        <v>23</v>
      </c>
      <c r="O3797">
        <v>3</v>
      </c>
      <c r="P3797" t="s">
        <v>25</v>
      </c>
      <c r="Q3797" t="s">
        <v>26</v>
      </c>
      <c r="R3797" s="1">
        <v>0.1</v>
      </c>
      <c r="S3797">
        <f t="shared" si="236"/>
        <v>82.8</v>
      </c>
      <c r="T3797">
        <f>IFERROR(VLOOKUP(A3797,Table1[[Customer ID]:[Discount Amount]], 6, FALSE),"Not Found")</f>
        <v>92</v>
      </c>
      <c r="U3797" t="str">
        <f t="shared" si="237"/>
        <v>Cash</v>
      </c>
      <c r="V3797" s="4" t="str">
        <f t="shared" si="238"/>
        <v>Normal</v>
      </c>
      <c r="W3797" s="4" t="str">
        <f t="shared" si="239"/>
        <v>Poor</v>
      </c>
      <c r="X3797" s="4">
        <f>AVERAGE(Table1[Purchase Amount])</f>
        <v>129.48419400000012</v>
      </c>
    </row>
    <row r="3798" spans="1:24" ht="15" customHeight="1" x14ac:dyDescent="0.25">
      <c r="A3798">
        <v>3797</v>
      </c>
      <c r="B3798">
        <v>40</v>
      </c>
      <c r="C3798" t="s">
        <v>16</v>
      </c>
      <c r="D3798" t="s">
        <v>54</v>
      </c>
      <c r="E3798" t="s">
        <v>18</v>
      </c>
      <c r="F3798" s="2">
        <v>81</v>
      </c>
      <c r="G3798" t="s">
        <v>144</v>
      </c>
      <c r="H3798" t="s">
        <v>31</v>
      </c>
      <c r="I3798" t="s">
        <v>107</v>
      </c>
      <c r="J3798" t="s">
        <v>47</v>
      </c>
      <c r="K3798">
        <v>3.2</v>
      </c>
      <c r="L3798" t="s">
        <v>23</v>
      </c>
      <c r="M3798" t="s">
        <v>35</v>
      </c>
      <c r="N3798" t="s">
        <v>23</v>
      </c>
      <c r="O3798">
        <v>47</v>
      </c>
      <c r="P3798" t="s">
        <v>88</v>
      </c>
      <c r="Q3798" t="s">
        <v>37</v>
      </c>
      <c r="R3798" s="1">
        <v>0.1</v>
      </c>
      <c r="S3798">
        <f t="shared" si="236"/>
        <v>72.900000000000006</v>
      </c>
      <c r="T3798">
        <f>IFERROR(VLOOKUP(A3798,Table1[[Customer ID]:[Discount Amount]], 6, FALSE),"Not Found")</f>
        <v>81</v>
      </c>
      <c r="U3798" t="str">
        <f t="shared" si="237"/>
        <v>Bank Transfer</v>
      </c>
      <c r="V3798" s="4" t="str">
        <f t="shared" si="238"/>
        <v>Normal</v>
      </c>
      <c r="W3798" s="4" t="str">
        <f t="shared" si="239"/>
        <v>Good</v>
      </c>
      <c r="X3798" s="4">
        <f>AVERAGE(Table1[Purchase Amount])</f>
        <v>129.48419400000012</v>
      </c>
    </row>
    <row r="3799" spans="1:24" ht="15" customHeight="1" x14ac:dyDescent="0.25">
      <c r="A3799">
        <v>3798</v>
      </c>
      <c r="B3799">
        <v>68</v>
      </c>
      <c r="C3799" t="s">
        <v>16</v>
      </c>
      <c r="D3799" t="s">
        <v>28</v>
      </c>
      <c r="E3799" t="s">
        <v>29</v>
      </c>
      <c r="F3799" s="2">
        <v>44</v>
      </c>
      <c r="G3799" t="s">
        <v>19</v>
      </c>
      <c r="H3799" t="s">
        <v>31</v>
      </c>
      <c r="I3799" t="s">
        <v>85</v>
      </c>
      <c r="J3799" t="s">
        <v>57</v>
      </c>
      <c r="K3799">
        <v>2.5</v>
      </c>
      <c r="L3799" t="s">
        <v>23</v>
      </c>
      <c r="M3799" t="s">
        <v>79</v>
      </c>
      <c r="N3799" t="s">
        <v>23</v>
      </c>
      <c r="O3799">
        <v>20</v>
      </c>
      <c r="P3799" t="s">
        <v>25</v>
      </c>
      <c r="Q3799" t="s">
        <v>37</v>
      </c>
      <c r="R3799" s="1">
        <v>0.1</v>
      </c>
      <c r="S3799">
        <f t="shared" si="236"/>
        <v>39.6</v>
      </c>
      <c r="T3799">
        <f>IFERROR(VLOOKUP(A3799,Table1[[Customer ID]:[Discount Amount]], 6, FALSE),"Not Found")</f>
        <v>44</v>
      </c>
      <c r="U3799" t="str">
        <f t="shared" si="237"/>
        <v>Cash</v>
      </c>
      <c r="V3799" s="4" t="str">
        <f t="shared" si="238"/>
        <v>Normal</v>
      </c>
      <c r="W3799" s="4" t="str">
        <f t="shared" si="239"/>
        <v>Poor</v>
      </c>
      <c r="X3799" s="4">
        <f>AVERAGE(Table1[Purchase Amount])</f>
        <v>129.48419400000012</v>
      </c>
    </row>
    <row r="3800" spans="1:24" ht="15" customHeight="1" x14ac:dyDescent="0.25">
      <c r="A3800">
        <v>3799</v>
      </c>
      <c r="B3800">
        <v>63</v>
      </c>
      <c r="C3800" t="s">
        <v>16</v>
      </c>
      <c r="D3800" t="s">
        <v>50</v>
      </c>
      <c r="E3800" t="s">
        <v>29</v>
      </c>
      <c r="F3800" s="2">
        <v>72</v>
      </c>
      <c r="G3800" t="s">
        <v>159</v>
      </c>
      <c r="H3800" t="s">
        <v>55</v>
      </c>
      <c r="I3800" t="s">
        <v>60</v>
      </c>
      <c r="J3800" t="s">
        <v>22</v>
      </c>
      <c r="K3800">
        <v>3.2</v>
      </c>
      <c r="L3800" t="s">
        <v>23</v>
      </c>
      <c r="M3800" t="s">
        <v>79</v>
      </c>
      <c r="N3800" t="s">
        <v>23</v>
      </c>
      <c r="O3800">
        <v>23</v>
      </c>
      <c r="P3800" t="s">
        <v>53</v>
      </c>
      <c r="Q3800" t="s">
        <v>49</v>
      </c>
      <c r="R3800" s="1">
        <v>0.1</v>
      </c>
      <c r="S3800">
        <f t="shared" si="236"/>
        <v>64.8</v>
      </c>
      <c r="T3800">
        <f>IFERROR(VLOOKUP(A3800,Table1[[Customer ID]:[Discount Amount]], 6, FALSE),"Not Found")</f>
        <v>72</v>
      </c>
      <c r="U3800" t="str">
        <f t="shared" si="237"/>
        <v>Credit Card</v>
      </c>
      <c r="V3800" s="4" t="str">
        <f t="shared" si="238"/>
        <v>Normal</v>
      </c>
      <c r="W3800" s="4" t="str">
        <f t="shared" si="239"/>
        <v>Good</v>
      </c>
      <c r="X3800" s="4">
        <f>AVERAGE(Table1[Purchase Amount])</f>
        <v>129.48419400000012</v>
      </c>
    </row>
    <row r="3801" spans="1:24" ht="15" customHeight="1" x14ac:dyDescent="0.25">
      <c r="A3801">
        <v>3800</v>
      </c>
      <c r="B3801">
        <v>60</v>
      </c>
      <c r="C3801" t="s">
        <v>16</v>
      </c>
      <c r="D3801" t="s">
        <v>96</v>
      </c>
      <c r="E3801" t="s">
        <v>77</v>
      </c>
      <c r="F3801" s="2">
        <v>26</v>
      </c>
      <c r="G3801" t="s">
        <v>142</v>
      </c>
      <c r="H3801" t="s">
        <v>45</v>
      </c>
      <c r="I3801" t="s">
        <v>111</v>
      </c>
      <c r="J3801" t="s">
        <v>22</v>
      </c>
      <c r="K3801">
        <v>2.6</v>
      </c>
      <c r="L3801" t="s">
        <v>23</v>
      </c>
      <c r="M3801" t="s">
        <v>48</v>
      </c>
      <c r="N3801" t="s">
        <v>23</v>
      </c>
      <c r="O3801">
        <v>13</v>
      </c>
      <c r="P3801" t="s">
        <v>53</v>
      </c>
      <c r="Q3801" t="s">
        <v>42</v>
      </c>
      <c r="R3801" s="1">
        <v>0.1</v>
      </c>
      <c r="S3801">
        <f t="shared" si="236"/>
        <v>23.4</v>
      </c>
      <c r="T3801">
        <f>IFERROR(VLOOKUP(A3801,Table1[[Customer ID]:[Discount Amount]], 6, FALSE),"Not Found")</f>
        <v>26</v>
      </c>
      <c r="U3801" t="str">
        <f t="shared" si="237"/>
        <v>Credit Card</v>
      </c>
      <c r="V3801" s="4" t="str">
        <f t="shared" si="238"/>
        <v>Normal</v>
      </c>
      <c r="W3801" s="4" t="str">
        <f t="shared" si="239"/>
        <v>Poor</v>
      </c>
      <c r="X3801" s="4">
        <f>AVERAGE(Table1[Purchase Amount])</f>
        <v>129.48419400000012</v>
      </c>
    </row>
    <row r="3802" spans="1:24" ht="15" customHeight="1" x14ac:dyDescent="0.25">
      <c r="A3802">
        <v>3801</v>
      </c>
      <c r="B3802">
        <v>19</v>
      </c>
      <c r="C3802" t="s">
        <v>16</v>
      </c>
      <c r="D3802" t="s">
        <v>127</v>
      </c>
      <c r="E3802" t="s">
        <v>18</v>
      </c>
      <c r="F3802" s="2">
        <v>26</v>
      </c>
      <c r="G3802" t="s">
        <v>84</v>
      </c>
      <c r="H3802" t="s">
        <v>31</v>
      </c>
      <c r="I3802" t="s">
        <v>156</v>
      </c>
      <c r="J3802" t="s">
        <v>47</v>
      </c>
      <c r="K3802">
        <v>4.8</v>
      </c>
      <c r="L3802" t="s">
        <v>23</v>
      </c>
      <c r="M3802" t="s">
        <v>79</v>
      </c>
      <c r="N3802" t="s">
        <v>23</v>
      </c>
      <c r="O3802">
        <v>12</v>
      </c>
      <c r="P3802" t="s">
        <v>62</v>
      </c>
      <c r="Q3802" t="s">
        <v>68</v>
      </c>
      <c r="R3802" s="1">
        <v>0.1</v>
      </c>
      <c r="S3802">
        <f t="shared" si="236"/>
        <v>23.4</v>
      </c>
      <c r="T3802">
        <f>IFERROR(VLOOKUP(A3802,Table1[[Customer ID]:[Discount Amount]], 6, FALSE),"Not Found")</f>
        <v>26</v>
      </c>
      <c r="U3802" t="str">
        <f t="shared" si="237"/>
        <v>Venmo</v>
      </c>
      <c r="V3802" s="4" t="str">
        <f t="shared" si="238"/>
        <v>Normal</v>
      </c>
      <c r="W3802" s="4" t="str">
        <f t="shared" si="239"/>
        <v>Good</v>
      </c>
      <c r="X3802" s="4">
        <f>AVERAGE(Table1[Purchase Amount])</f>
        <v>129.48419400000012</v>
      </c>
    </row>
    <row r="3803" spans="1:24" ht="15" customHeight="1" x14ac:dyDescent="0.25">
      <c r="A3803">
        <v>3802</v>
      </c>
      <c r="B3803">
        <v>26</v>
      </c>
      <c r="C3803" t="s">
        <v>16</v>
      </c>
      <c r="D3803" t="s">
        <v>118</v>
      </c>
      <c r="E3803" t="s">
        <v>18</v>
      </c>
      <c r="F3803" s="2">
        <v>84</v>
      </c>
      <c r="G3803" t="s">
        <v>70</v>
      </c>
      <c r="H3803" t="s">
        <v>31</v>
      </c>
      <c r="I3803" t="s">
        <v>145</v>
      </c>
      <c r="J3803" t="s">
        <v>33</v>
      </c>
      <c r="K3803">
        <v>5</v>
      </c>
      <c r="L3803" t="s">
        <v>23</v>
      </c>
      <c r="M3803" t="s">
        <v>48</v>
      </c>
      <c r="N3803" t="s">
        <v>23</v>
      </c>
      <c r="O3803">
        <v>36</v>
      </c>
      <c r="P3803" t="s">
        <v>58</v>
      </c>
      <c r="Q3803" t="s">
        <v>89</v>
      </c>
      <c r="R3803" s="1">
        <v>0.1</v>
      </c>
      <c r="S3803">
        <f t="shared" si="236"/>
        <v>75.599999999999994</v>
      </c>
      <c r="T3803">
        <f>IFERROR(VLOOKUP(A3803,Table1[[Customer ID]:[Discount Amount]], 6, FALSE),"Not Found")</f>
        <v>84</v>
      </c>
      <c r="U3803" t="str">
        <f t="shared" si="237"/>
        <v>PayPal</v>
      </c>
      <c r="V3803" s="4" t="str">
        <f t="shared" si="238"/>
        <v>Normal</v>
      </c>
      <c r="W3803" s="4" t="str">
        <f t="shared" si="239"/>
        <v>Good</v>
      </c>
      <c r="X3803" s="4">
        <f>AVERAGE(Table1[Purchase Amount])</f>
        <v>129.48419400000012</v>
      </c>
    </row>
    <row r="3804" spans="1:24" ht="15" customHeight="1" x14ac:dyDescent="0.25">
      <c r="A3804">
        <v>3803</v>
      </c>
      <c r="B3804">
        <v>70</v>
      </c>
      <c r="C3804" t="s">
        <v>16</v>
      </c>
      <c r="D3804" t="s">
        <v>129</v>
      </c>
      <c r="E3804" t="s">
        <v>29</v>
      </c>
      <c r="F3804" s="2">
        <v>72</v>
      </c>
      <c r="G3804" t="s">
        <v>44</v>
      </c>
      <c r="H3804" t="s">
        <v>55</v>
      </c>
      <c r="I3804" t="s">
        <v>156</v>
      </c>
      <c r="J3804" t="s">
        <v>33</v>
      </c>
      <c r="K3804">
        <v>3.2</v>
      </c>
      <c r="L3804" t="s">
        <v>23</v>
      </c>
      <c r="M3804" t="s">
        <v>41</v>
      </c>
      <c r="N3804" t="s">
        <v>23</v>
      </c>
      <c r="O3804">
        <v>1</v>
      </c>
      <c r="P3804" t="s">
        <v>88</v>
      </c>
      <c r="Q3804" t="s">
        <v>42</v>
      </c>
      <c r="R3804" s="1">
        <v>0.1</v>
      </c>
      <c r="S3804">
        <f t="shared" si="236"/>
        <v>64.8</v>
      </c>
      <c r="T3804">
        <f>IFERROR(VLOOKUP(A3804,Table1[[Customer ID]:[Discount Amount]], 6, FALSE),"Not Found")</f>
        <v>72</v>
      </c>
      <c r="U3804" t="str">
        <f t="shared" si="237"/>
        <v>Bank Transfer</v>
      </c>
      <c r="V3804" s="4" t="str">
        <f t="shared" si="238"/>
        <v>Normal</v>
      </c>
      <c r="W3804" s="4" t="str">
        <f t="shared" si="239"/>
        <v>Good</v>
      </c>
      <c r="X3804" s="4">
        <f>AVERAGE(Table1[Purchase Amount])</f>
        <v>129.48419400000012</v>
      </c>
    </row>
    <row r="3805" spans="1:24" ht="15" customHeight="1" x14ac:dyDescent="0.25">
      <c r="A3805">
        <v>3804</v>
      </c>
      <c r="B3805">
        <v>48</v>
      </c>
      <c r="C3805" t="s">
        <v>16</v>
      </c>
      <c r="D3805" t="s">
        <v>69</v>
      </c>
      <c r="E3805" t="s">
        <v>29</v>
      </c>
      <c r="F3805" s="2">
        <v>55</v>
      </c>
      <c r="G3805" t="s">
        <v>115</v>
      </c>
      <c r="H3805" t="s">
        <v>31</v>
      </c>
      <c r="I3805" t="s">
        <v>111</v>
      </c>
      <c r="J3805" t="s">
        <v>33</v>
      </c>
      <c r="K3805">
        <v>3.6</v>
      </c>
      <c r="L3805" t="s">
        <v>23</v>
      </c>
      <c r="M3805" t="s">
        <v>24</v>
      </c>
      <c r="N3805" t="s">
        <v>23</v>
      </c>
      <c r="O3805">
        <v>14</v>
      </c>
      <c r="P3805" t="s">
        <v>36</v>
      </c>
      <c r="Q3805" t="s">
        <v>26</v>
      </c>
      <c r="R3805" s="1">
        <v>0.1</v>
      </c>
      <c r="S3805">
        <f t="shared" si="236"/>
        <v>49.5</v>
      </c>
      <c r="T3805">
        <f>IFERROR(VLOOKUP(A3805,Table1[[Customer ID]:[Discount Amount]], 6, FALSE),"Not Found")</f>
        <v>55</v>
      </c>
      <c r="U3805" t="str">
        <f t="shared" si="237"/>
        <v>Debit Card</v>
      </c>
      <c r="V3805" s="4" t="str">
        <f t="shared" si="238"/>
        <v>Normal</v>
      </c>
      <c r="W3805" s="4" t="str">
        <f t="shared" si="239"/>
        <v>Good</v>
      </c>
      <c r="X3805" s="4">
        <f>AVERAGE(Table1[Purchase Amount])</f>
        <v>129.48419400000012</v>
      </c>
    </row>
    <row r="3806" spans="1:24" ht="15" customHeight="1" x14ac:dyDescent="0.25">
      <c r="A3806">
        <v>3805</v>
      </c>
      <c r="B3806">
        <v>37</v>
      </c>
      <c r="C3806" t="s">
        <v>16</v>
      </c>
      <c r="D3806" t="s">
        <v>64</v>
      </c>
      <c r="E3806" t="s">
        <v>29</v>
      </c>
      <c r="F3806" s="2">
        <v>77</v>
      </c>
      <c r="G3806" t="s">
        <v>67</v>
      </c>
      <c r="H3806" t="s">
        <v>31</v>
      </c>
      <c r="I3806" t="s">
        <v>21</v>
      </c>
      <c r="J3806" t="s">
        <v>47</v>
      </c>
      <c r="K3806">
        <v>2.7</v>
      </c>
      <c r="L3806" t="s">
        <v>23</v>
      </c>
      <c r="M3806" t="s">
        <v>41</v>
      </c>
      <c r="N3806" t="s">
        <v>23</v>
      </c>
      <c r="O3806">
        <v>45</v>
      </c>
      <c r="P3806" t="s">
        <v>25</v>
      </c>
      <c r="Q3806" t="s">
        <v>49</v>
      </c>
      <c r="R3806" s="1">
        <v>0.1</v>
      </c>
      <c r="S3806">
        <f t="shared" si="236"/>
        <v>69.3</v>
      </c>
      <c r="T3806">
        <f>IFERROR(VLOOKUP(A3806,Table1[[Customer ID]:[Discount Amount]], 6, FALSE),"Not Found")</f>
        <v>77</v>
      </c>
      <c r="U3806" t="str">
        <f t="shared" si="237"/>
        <v>Cash</v>
      </c>
      <c r="V3806" s="4" t="str">
        <f t="shared" si="238"/>
        <v>Normal</v>
      </c>
      <c r="W3806" s="4" t="str">
        <f t="shared" si="239"/>
        <v>Poor</v>
      </c>
      <c r="X3806" s="4">
        <f>AVERAGE(Table1[Purchase Amount])</f>
        <v>129.48419400000012</v>
      </c>
    </row>
    <row r="3807" spans="1:24" ht="15" customHeight="1" x14ac:dyDescent="0.25">
      <c r="A3807">
        <v>3806</v>
      </c>
      <c r="B3807">
        <v>48</v>
      </c>
      <c r="C3807" t="s">
        <v>16</v>
      </c>
      <c r="D3807" t="s">
        <v>129</v>
      </c>
      <c r="E3807" t="s">
        <v>29</v>
      </c>
      <c r="F3807" s="2">
        <v>57</v>
      </c>
      <c r="G3807" t="s">
        <v>131</v>
      </c>
      <c r="H3807" t="s">
        <v>31</v>
      </c>
      <c r="I3807" t="s">
        <v>93</v>
      </c>
      <c r="J3807" t="s">
        <v>47</v>
      </c>
      <c r="K3807">
        <v>3.1</v>
      </c>
      <c r="L3807" t="s">
        <v>23</v>
      </c>
      <c r="M3807" t="s">
        <v>24</v>
      </c>
      <c r="N3807" t="s">
        <v>23</v>
      </c>
      <c r="O3807">
        <v>31</v>
      </c>
      <c r="P3807" t="s">
        <v>53</v>
      </c>
      <c r="Q3807" t="s">
        <v>37</v>
      </c>
      <c r="R3807" s="1">
        <v>0.1</v>
      </c>
      <c r="S3807">
        <f t="shared" si="236"/>
        <v>51.3</v>
      </c>
      <c r="T3807">
        <f>IFERROR(VLOOKUP(A3807,Table1[[Customer ID]:[Discount Amount]], 6, FALSE),"Not Found")</f>
        <v>57</v>
      </c>
      <c r="U3807" t="str">
        <f t="shared" si="237"/>
        <v>Credit Card</v>
      </c>
      <c r="V3807" s="4" t="str">
        <f t="shared" si="238"/>
        <v>Normal</v>
      </c>
      <c r="W3807" s="4" t="str">
        <f t="shared" si="239"/>
        <v>Good</v>
      </c>
      <c r="X3807" s="4">
        <f>AVERAGE(Table1[Purchase Amount])</f>
        <v>129.48419400000012</v>
      </c>
    </row>
    <row r="3808" spans="1:24" ht="15" customHeight="1" x14ac:dyDescent="0.25">
      <c r="A3808">
        <v>3807</v>
      </c>
      <c r="B3808">
        <v>18</v>
      </c>
      <c r="C3808" t="s">
        <v>16</v>
      </c>
      <c r="D3808" t="s">
        <v>151</v>
      </c>
      <c r="E3808" t="s">
        <v>98</v>
      </c>
      <c r="F3808" s="2">
        <v>71</v>
      </c>
      <c r="G3808" t="s">
        <v>146</v>
      </c>
      <c r="H3808" t="s">
        <v>31</v>
      </c>
      <c r="I3808" t="s">
        <v>147</v>
      </c>
      <c r="J3808" t="s">
        <v>33</v>
      </c>
      <c r="K3808">
        <v>3</v>
      </c>
      <c r="L3808" t="s">
        <v>23</v>
      </c>
      <c r="M3808" t="s">
        <v>24</v>
      </c>
      <c r="N3808" t="s">
        <v>23</v>
      </c>
      <c r="O3808">
        <v>41</v>
      </c>
      <c r="P3808" t="s">
        <v>58</v>
      </c>
      <c r="Q3808" t="s">
        <v>26</v>
      </c>
      <c r="R3808" s="1">
        <v>0.1</v>
      </c>
      <c r="S3808">
        <f t="shared" si="236"/>
        <v>63.9</v>
      </c>
      <c r="T3808">
        <f>IFERROR(VLOOKUP(A3808,Table1[[Customer ID]:[Discount Amount]], 6, FALSE),"Not Found")</f>
        <v>71</v>
      </c>
      <c r="U3808" t="str">
        <f t="shared" si="237"/>
        <v>PayPal</v>
      </c>
      <c r="V3808" s="4" t="str">
        <f t="shared" si="238"/>
        <v>Normal</v>
      </c>
      <c r="W3808" s="4" t="str">
        <f t="shared" si="239"/>
        <v>Good</v>
      </c>
      <c r="X3808" s="4">
        <f>AVERAGE(Table1[Purchase Amount])</f>
        <v>129.48419400000012</v>
      </c>
    </row>
    <row r="3809" spans="1:24" ht="15" customHeight="1" x14ac:dyDescent="0.25">
      <c r="A3809">
        <v>3808</v>
      </c>
      <c r="B3809">
        <v>38</v>
      </c>
      <c r="C3809" t="s">
        <v>16</v>
      </c>
      <c r="D3809" t="s">
        <v>118</v>
      </c>
      <c r="E3809" t="s">
        <v>18</v>
      </c>
      <c r="F3809" s="2">
        <v>39</v>
      </c>
      <c r="G3809" t="s">
        <v>113</v>
      </c>
      <c r="H3809" t="s">
        <v>45</v>
      </c>
      <c r="I3809" t="s">
        <v>145</v>
      </c>
      <c r="J3809" t="s">
        <v>33</v>
      </c>
      <c r="K3809">
        <v>2.9</v>
      </c>
      <c r="L3809" t="s">
        <v>23</v>
      </c>
      <c r="M3809" t="s">
        <v>79</v>
      </c>
      <c r="N3809" t="s">
        <v>23</v>
      </c>
      <c r="O3809">
        <v>36</v>
      </c>
      <c r="P3809" t="s">
        <v>58</v>
      </c>
      <c r="Q3809" t="s">
        <v>49</v>
      </c>
      <c r="R3809" s="1">
        <v>0.1</v>
      </c>
      <c r="S3809">
        <f t="shared" si="236"/>
        <v>35.1</v>
      </c>
      <c r="T3809">
        <f>IFERROR(VLOOKUP(A3809,Table1[[Customer ID]:[Discount Amount]], 6, FALSE),"Not Found")</f>
        <v>39</v>
      </c>
      <c r="U3809" t="str">
        <f t="shared" si="237"/>
        <v>PayPal</v>
      </c>
      <c r="V3809" s="4" t="str">
        <f t="shared" si="238"/>
        <v>Normal</v>
      </c>
      <c r="W3809" s="4" t="str">
        <f t="shared" si="239"/>
        <v>Poor</v>
      </c>
      <c r="X3809" s="4">
        <f>AVERAGE(Table1[Purchase Amount])</f>
        <v>129.48419400000012</v>
      </c>
    </row>
    <row r="3810" spans="1:24" ht="15" customHeight="1" x14ac:dyDescent="0.25">
      <c r="A3810">
        <v>3809</v>
      </c>
      <c r="B3810">
        <v>33</v>
      </c>
      <c r="C3810" t="s">
        <v>16</v>
      </c>
      <c r="D3810" t="s">
        <v>105</v>
      </c>
      <c r="E3810" t="s">
        <v>18</v>
      </c>
      <c r="F3810" s="2">
        <v>28</v>
      </c>
      <c r="G3810" t="s">
        <v>155</v>
      </c>
      <c r="H3810" t="s">
        <v>31</v>
      </c>
      <c r="I3810" t="s">
        <v>136</v>
      </c>
      <c r="J3810" t="s">
        <v>22</v>
      </c>
      <c r="K3810">
        <v>4.7</v>
      </c>
      <c r="L3810" t="s">
        <v>23</v>
      </c>
      <c r="M3810" t="s">
        <v>61</v>
      </c>
      <c r="N3810" t="s">
        <v>23</v>
      </c>
      <c r="O3810">
        <v>6</v>
      </c>
      <c r="P3810" t="s">
        <v>36</v>
      </c>
      <c r="Q3810" t="s">
        <v>68</v>
      </c>
      <c r="R3810" s="1">
        <v>0.1</v>
      </c>
      <c r="S3810">
        <f t="shared" si="236"/>
        <v>25.2</v>
      </c>
      <c r="T3810">
        <f>IFERROR(VLOOKUP(A3810,Table1[[Customer ID]:[Discount Amount]], 6, FALSE),"Not Found")</f>
        <v>28</v>
      </c>
      <c r="U3810" t="str">
        <f t="shared" si="237"/>
        <v>Debit Card</v>
      </c>
      <c r="V3810" s="4" t="str">
        <f t="shared" si="238"/>
        <v>Normal</v>
      </c>
      <c r="W3810" s="4" t="str">
        <f t="shared" si="239"/>
        <v>Good</v>
      </c>
      <c r="X3810" s="4">
        <f>AVERAGE(Table1[Purchase Amount])</f>
        <v>129.48419400000012</v>
      </c>
    </row>
    <row r="3811" spans="1:24" ht="15" customHeight="1" x14ac:dyDescent="0.25">
      <c r="A3811">
        <v>3810</v>
      </c>
      <c r="B3811">
        <v>57</v>
      </c>
      <c r="C3811" t="s">
        <v>16</v>
      </c>
      <c r="D3811" t="s">
        <v>72</v>
      </c>
      <c r="E3811" t="s">
        <v>98</v>
      </c>
      <c r="F3811" s="2">
        <v>33</v>
      </c>
      <c r="G3811" t="s">
        <v>101</v>
      </c>
      <c r="H3811" t="s">
        <v>55</v>
      </c>
      <c r="I3811" t="s">
        <v>125</v>
      </c>
      <c r="J3811" t="s">
        <v>22</v>
      </c>
      <c r="K3811">
        <v>3.7</v>
      </c>
      <c r="L3811" t="s">
        <v>23</v>
      </c>
      <c r="M3811" t="s">
        <v>24</v>
      </c>
      <c r="N3811" t="s">
        <v>23</v>
      </c>
      <c r="O3811">
        <v>28</v>
      </c>
      <c r="P3811" t="s">
        <v>53</v>
      </c>
      <c r="Q3811" t="s">
        <v>49</v>
      </c>
      <c r="R3811" s="1">
        <v>0.1</v>
      </c>
      <c r="S3811">
        <f t="shared" si="236"/>
        <v>29.7</v>
      </c>
      <c r="T3811">
        <f>IFERROR(VLOOKUP(A3811,Table1[[Customer ID]:[Discount Amount]], 6, FALSE),"Not Found")</f>
        <v>33</v>
      </c>
      <c r="U3811" t="str">
        <f t="shared" si="237"/>
        <v>Credit Card</v>
      </c>
      <c r="V3811" s="4" t="str">
        <f t="shared" si="238"/>
        <v>Normal</v>
      </c>
      <c r="W3811" s="4" t="str">
        <f t="shared" si="239"/>
        <v>Good</v>
      </c>
      <c r="X3811" s="4">
        <f>AVERAGE(Table1[Purchase Amount])</f>
        <v>129.48419400000012</v>
      </c>
    </row>
    <row r="3812" spans="1:24" ht="15" customHeight="1" x14ac:dyDescent="0.25">
      <c r="A3812">
        <v>3811</v>
      </c>
      <c r="B3812">
        <v>46</v>
      </c>
      <c r="C3812" t="s">
        <v>16</v>
      </c>
      <c r="D3812" t="s">
        <v>122</v>
      </c>
      <c r="E3812" t="s">
        <v>18</v>
      </c>
      <c r="F3812" s="2">
        <v>79</v>
      </c>
      <c r="G3812" t="s">
        <v>59</v>
      </c>
      <c r="H3812" t="s">
        <v>45</v>
      </c>
      <c r="I3812" t="s">
        <v>145</v>
      </c>
      <c r="J3812" t="s">
        <v>47</v>
      </c>
      <c r="K3812">
        <v>3.9</v>
      </c>
      <c r="L3812" t="s">
        <v>23</v>
      </c>
      <c r="M3812" t="s">
        <v>35</v>
      </c>
      <c r="N3812" t="s">
        <v>23</v>
      </c>
      <c r="O3812">
        <v>29</v>
      </c>
      <c r="P3812" t="s">
        <v>62</v>
      </c>
      <c r="Q3812" t="s">
        <v>42</v>
      </c>
      <c r="R3812" s="1">
        <v>0.1</v>
      </c>
      <c r="S3812">
        <f t="shared" si="236"/>
        <v>71.099999999999994</v>
      </c>
      <c r="T3812">
        <f>IFERROR(VLOOKUP(A3812,Table1[[Customer ID]:[Discount Amount]], 6, FALSE),"Not Found")</f>
        <v>79</v>
      </c>
      <c r="U3812" t="str">
        <f t="shared" si="237"/>
        <v>Venmo</v>
      </c>
      <c r="V3812" s="4" t="str">
        <f t="shared" si="238"/>
        <v>Normal</v>
      </c>
      <c r="W3812" s="4" t="str">
        <f t="shared" si="239"/>
        <v>Good</v>
      </c>
      <c r="X3812" s="4">
        <f>AVERAGE(Table1[Purchase Amount])</f>
        <v>129.48419400000012</v>
      </c>
    </row>
    <row r="3813" spans="1:24" ht="15" customHeight="1" x14ac:dyDescent="0.25">
      <c r="A3813">
        <v>3812</v>
      </c>
      <c r="B3813">
        <v>46</v>
      </c>
      <c r="C3813" t="s">
        <v>16</v>
      </c>
      <c r="D3813" t="s">
        <v>114</v>
      </c>
      <c r="E3813" t="s">
        <v>29</v>
      </c>
      <c r="F3813" s="2">
        <v>30</v>
      </c>
      <c r="G3813" t="s">
        <v>161</v>
      </c>
      <c r="H3813" t="s">
        <v>31</v>
      </c>
      <c r="I3813" t="s">
        <v>125</v>
      </c>
      <c r="J3813" t="s">
        <v>22</v>
      </c>
      <c r="K3813">
        <v>4</v>
      </c>
      <c r="L3813" t="s">
        <v>23</v>
      </c>
      <c r="M3813" t="s">
        <v>24</v>
      </c>
      <c r="N3813" t="s">
        <v>23</v>
      </c>
      <c r="O3813">
        <v>14</v>
      </c>
      <c r="P3813" t="s">
        <v>25</v>
      </c>
      <c r="Q3813" t="s">
        <v>42</v>
      </c>
      <c r="R3813" s="1">
        <v>0.1</v>
      </c>
      <c r="S3813">
        <f t="shared" si="236"/>
        <v>27</v>
      </c>
      <c r="T3813">
        <f>IFERROR(VLOOKUP(A3813,Table1[[Customer ID]:[Discount Amount]], 6, FALSE),"Not Found")</f>
        <v>30</v>
      </c>
      <c r="U3813" t="str">
        <f t="shared" si="237"/>
        <v>Cash</v>
      </c>
      <c r="V3813" s="4" t="str">
        <f t="shared" si="238"/>
        <v>Normal</v>
      </c>
      <c r="W3813" s="4" t="str">
        <f t="shared" si="239"/>
        <v>Good</v>
      </c>
      <c r="X3813" s="4">
        <f>AVERAGE(Table1[Purchase Amount])</f>
        <v>129.48419400000012</v>
      </c>
    </row>
    <row r="3814" spans="1:24" ht="15" customHeight="1" x14ac:dyDescent="0.25">
      <c r="A3814">
        <v>3813</v>
      </c>
      <c r="B3814">
        <v>50</v>
      </c>
      <c r="C3814" t="s">
        <v>16</v>
      </c>
      <c r="D3814" t="s">
        <v>122</v>
      </c>
      <c r="E3814" t="s">
        <v>18</v>
      </c>
      <c r="F3814" s="2">
        <v>75</v>
      </c>
      <c r="G3814" t="s">
        <v>113</v>
      </c>
      <c r="H3814" t="s">
        <v>31</v>
      </c>
      <c r="I3814" t="s">
        <v>136</v>
      </c>
      <c r="J3814" t="s">
        <v>33</v>
      </c>
      <c r="K3814">
        <v>2.8</v>
      </c>
      <c r="L3814" t="s">
        <v>23</v>
      </c>
      <c r="M3814" t="s">
        <v>79</v>
      </c>
      <c r="N3814" t="s">
        <v>23</v>
      </c>
      <c r="O3814">
        <v>7</v>
      </c>
      <c r="P3814" t="s">
        <v>88</v>
      </c>
      <c r="Q3814" t="s">
        <v>63</v>
      </c>
      <c r="R3814" s="1">
        <v>0.1</v>
      </c>
      <c r="S3814">
        <f t="shared" si="236"/>
        <v>67.5</v>
      </c>
      <c r="T3814">
        <f>IFERROR(VLOOKUP(A3814,Table1[[Customer ID]:[Discount Amount]], 6, FALSE),"Not Found")</f>
        <v>75</v>
      </c>
      <c r="U3814" t="str">
        <f t="shared" si="237"/>
        <v>Bank Transfer</v>
      </c>
      <c r="V3814" s="4" t="str">
        <f t="shared" si="238"/>
        <v>Normal</v>
      </c>
      <c r="W3814" s="4" t="str">
        <f t="shared" si="239"/>
        <v>Poor</v>
      </c>
      <c r="X3814" s="4">
        <f>AVERAGE(Table1[Purchase Amount])</f>
        <v>129.48419400000012</v>
      </c>
    </row>
    <row r="3815" spans="1:24" ht="15" customHeight="1" x14ac:dyDescent="0.25">
      <c r="A3815">
        <v>3814</v>
      </c>
      <c r="B3815">
        <v>61</v>
      </c>
      <c r="C3815" t="s">
        <v>16</v>
      </c>
      <c r="D3815" t="s">
        <v>99</v>
      </c>
      <c r="E3815" t="s">
        <v>18</v>
      </c>
      <c r="F3815" s="2">
        <v>89</v>
      </c>
      <c r="G3815" t="s">
        <v>160</v>
      </c>
      <c r="H3815" t="s">
        <v>31</v>
      </c>
      <c r="I3815" t="s">
        <v>108</v>
      </c>
      <c r="J3815" t="s">
        <v>57</v>
      </c>
      <c r="K3815">
        <v>4.0999999999999996</v>
      </c>
      <c r="L3815" t="s">
        <v>23</v>
      </c>
      <c r="M3815" t="s">
        <v>61</v>
      </c>
      <c r="N3815" t="s">
        <v>23</v>
      </c>
      <c r="O3815">
        <v>31</v>
      </c>
      <c r="P3815" t="s">
        <v>62</v>
      </c>
      <c r="Q3815" t="s">
        <v>68</v>
      </c>
      <c r="R3815" s="1">
        <v>0.1</v>
      </c>
      <c r="S3815">
        <f t="shared" si="236"/>
        <v>80.099999999999994</v>
      </c>
      <c r="T3815">
        <f>IFERROR(VLOOKUP(A3815,Table1[[Customer ID]:[Discount Amount]], 6, FALSE),"Not Found")</f>
        <v>89</v>
      </c>
      <c r="U3815" t="str">
        <f t="shared" si="237"/>
        <v>Venmo</v>
      </c>
      <c r="V3815" s="4" t="str">
        <f t="shared" si="238"/>
        <v>Normal</v>
      </c>
      <c r="W3815" s="4" t="str">
        <f t="shared" si="239"/>
        <v>Good</v>
      </c>
      <c r="X3815" s="4">
        <f>AVERAGE(Table1[Purchase Amount])</f>
        <v>129.48419400000012</v>
      </c>
    </row>
    <row r="3816" spans="1:24" ht="15" customHeight="1" x14ac:dyDescent="0.25">
      <c r="A3816">
        <v>3815</v>
      </c>
      <c r="B3816">
        <v>45</v>
      </c>
      <c r="C3816" t="s">
        <v>16</v>
      </c>
      <c r="D3816" t="s">
        <v>157</v>
      </c>
      <c r="E3816" t="s">
        <v>18</v>
      </c>
      <c r="F3816" s="2">
        <v>95</v>
      </c>
      <c r="G3816" t="s">
        <v>113</v>
      </c>
      <c r="H3816" t="s">
        <v>31</v>
      </c>
      <c r="I3816" t="s">
        <v>108</v>
      </c>
      <c r="J3816" t="s">
        <v>22</v>
      </c>
      <c r="K3816">
        <v>4.2</v>
      </c>
      <c r="L3816" t="s">
        <v>23</v>
      </c>
      <c r="M3816" t="s">
        <v>35</v>
      </c>
      <c r="N3816" t="s">
        <v>23</v>
      </c>
      <c r="O3816">
        <v>26</v>
      </c>
      <c r="P3816" t="s">
        <v>88</v>
      </c>
      <c r="Q3816" t="s">
        <v>63</v>
      </c>
      <c r="R3816" s="1">
        <v>0.1</v>
      </c>
      <c r="S3816">
        <f t="shared" si="236"/>
        <v>85.5</v>
      </c>
      <c r="T3816">
        <f>IFERROR(VLOOKUP(A3816,Table1[[Customer ID]:[Discount Amount]], 6, FALSE),"Not Found")</f>
        <v>95</v>
      </c>
      <c r="U3816" t="str">
        <f t="shared" si="237"/>
        <v>Bank Transfer</v>
      </c>
      <c r="V3816" s="4" t="str">
        <f t="shared" si="238"/>
        <v>Normal</v>
      </c>
      <c r="W3816" s="4" t="str">
        <f t="shared" si="239"/>
        <v>Good</v>
      </c>
      <c r="X3816" s="4">
        <f>AVERAGE(Table1[Purchase Amount])</f>
        <v>129.48419400000012</v>
      </c>
    </row>
    <row r="3817" spans="1:24" ht="15" customHeight="1" x14ac:dyDescent="0.25">
      <c r="A3817">
        <v>3816</v>
      </c>
      <c r="B3817">
        <v>32</v>
      </c>
      <c r="C3817" t="s">
        <v>16</v>
      </c>
      <c r="D3817" t="s">
        <v>64</v>
      </c>
      <c r="E3817" t="s">
        <v>29</v>
      </c>
      <c r="F3817" s="2">
        <v>44</v>
      </c>
      <c r="G3817" t="s">
        <v>94</v>
      </c>
      <c r="H3817" t="s">
        <v>31</v>
      </c>
      <c r="I3817" t="s">
        <v>60</v>
      </c>
      <c r="J3817" t="s">
        <v>47</v>
      </c>
      <c r="K3817">
        <v>4.3</v>
      </c>
      <c r="L3817" t="s">
        <v>23</v>
      </c>
      <c r="M3817" t="s">
        <v>61</v>
      </c>
      <c r="N3817" t="s">
        <v>23</v>
      </c>
      <c r="O3817">
        <v>12</v>
      </c>
      <c r="P3817" t="s">
        <v>62</v>
      </c>
      <c r="Q3817" t="s">
        <v>89</v>
      </c>
      <c r="R3817" s="1">
        <v>0.1</v>
      </c>
      <c r="S3817">
        <f t="shared" si="236"/>
        <v>39.6</v>
      </c>
      <c r="T3817">
        <f>IFERROR(VLOOKUP(A3817,Table1[[Customer ID]:[Discount Amount]], 6, FALSE),"Not Found")</f>
        <v>44</v>
      </c>
      <c r="U3817" t="str">
        <f t="shared" si="237"/>
        <v>Venmo</v>
      </c>
      <c r="V3817" s="4" t="str">
        <f t="shared" si="238"/>
        <v>Normal</v>
      </c>
      <c r="W3817" s="4" t="str">
        <f t="shared" si="239"/>
        <v>Good</v>
      </c>
      <c r="X3817" s="4">
        <f>AVERAGE(Table1[Purchase Amount])</f>
        <v>129.48419400000012</v>
      </c>
    </row>
    <row r="3818" spans="1:24" ht="15" customHeight="1" x14ac:dyDescent="0.25">
      <c r="A3818">
        <v>3817</v>
      </c>
      <c r="B3818">
        <v>29</v>
      </c>
      <c r="C3818" t="s">
        <v>16</v>
      </c>
      <c r="D3818" t="s">
        <v>76</v>
      </c>
      <c r="E3818" t="s">
        <v>77</v>
      </c>
      <c r="F3818" s="2">
        <v>86</v>
      </c>
      <c r="G3818" t="s">
        <v>106</v>
      </c>
      <c r="H3818" t="s">
        <v>55</v>
      </c>
      <c r="I3818" t="s">
        <v>153</v>
      </c>
      <c r="J3818" t="s">
        <v>57</v>
      </c>
      <c r="K3818">
        <v>4.3</v>
      </c>
      <c r="L3818" t="s">
        <v>23</v>
      </c>
      <c r="M3818" t="s">
        <v>48</v>
      </c>
      <c r="N3818" t="s">
        <v>23</v>
      </c>
      <c r="O3818">
        <v>45</v>
      </c>
      <c r="P3818" t="s">
        <v>53</v>
      </c>
      <c r="Q3818" t="s">
        <v>89</v>
      </c>
      <c r="R3818" s="1">
        <v>0.1</v>
      </c>
      <c r="S3818">
        <f t="shared" si="236"/>
        <v>77.400000000000006</v>
      </c>
      <c r="T3818">
        <f>IFERROR(VLOOKUP(A3818,Table1[[Customer ID]:[Discount Amount]], 6, FALSE),"Not Found")</f>
        <v>86</v>
      </c>
      <c r="U3818" t="str">
        <f t="shared" si="237"/>
        <v>Credit Card</v>
      </c>
      <c r="V3818" s="4" t="str">
        <f t="shared" si="238"/>
        <v>Normal</v>
      </c>
      <c r="W3818" s="4" t="str">
        <f t="shared" si="239"/>
        <v>Good</v>
      </c>
      <c r="X3818" s="4">
        <f>AVERAGE(Table1[Purchase Amount])</f>
        <v>129.48419400000012</v>
      </c>
    </row>
    <row r="3819" spans="1:24" ht="15" customHeight="1" x14ac:dyDescent="0.25">
      <c r="A3819">
        <v>3818</v>
      </c>
      <c r="B3819">
        <v>66</v>
      </c>
      <c r="C3819" t="s">
        <v>16</v>
      </c>
      <c r="D3819" t="s">
        <v>129</v>
      </c>
      <c r="E3819" t="s">
        <v>29</v>
      </c>
      <c r="F3819" s="2">
        <v>91</v>
      </c>
      <c r="G3819" t="s">
        <v>146</v>
      </c>
      <c r="H3819" t="s">
        <v>31</v>
      </c>
      <c r="I3819" t="s">
        <v>87</v>
      </c>
      <c r="J3819" t="s">
        <v>47</v>
      </c>
      <c r="K3819">
        <v>2.6</v>
      </c>
      <c r="L3819" t="s">
        <v>23</v>
      </c>
      <c r="M3819" t="s">
        <v>61</v>
      </c>
      <c r="N3819" t="s">
        <v>23</v>
      </c>
      <c r="O3819">
        <v>40</v>
      </c>
      <c r="P3819" t="s">
        <v>58</v>
      </c>
      <c r="Q3819" t="s">
        <v>49</v>
      </c>
      <c r="R3819" s="1">
        <v>0.1</v>
      </c>
      <c r="S3819">
        <f t="shared" si="236"/>
        <v>81.900000000000006</v>
      </c>
      <c r="T3819">
        <f>IFERROR(VLOOKUP(A3819,Table1[[Customer ID]:[Discount Amount]], 6, FALSE),"Not Found")</f>
        <v>91</v>
      </c>
      <c r="U3819" t="str">
        <f t="shared" si="237"/>
        <v>PayPal</v>
      </c>
      <c r="V3819" s="4" t="str">
        <f t="shared" si="238"/>
        <v>Normal</v>
      </c>
      <c r="W3819" s="4" t="str">
        <f t="shared" si="239"/>
        <v>Poor</v>
      </c>
      <c r="X3819" s="4">
        <f>AVERAGE(Table1[Purchase Amount])</f>
        <v>129.48419400000012</v>
      </c>
    </row>
    <row r="3820" spans="1:24" ht="15" customHeight="1" x14ac:dyDescent="0.25">
      <c r="A3820">
        <v>3819</v>
      </c>
      <c r="B3820">
        <v>70</v>
      </c>
      <c r="C3820" t="s">
        <v>16</v>
      </c>
      <c r="D3820" t="s">
        <v>140</v>
      </c>
      <c r="E3820" t="s">
        <v>98</v>
      </c>
      <c r="F3820" s="2">
        <v>41</v>
      </c>
      <c r="G3820" t="s">
        <v>123</v>
      </c>
      <c r="H3820" t="s">
        <v>20</v>
      </c>
      <c r="I3820" t="s">
        <v>91</v>
      </c>
      <c r="J3820" t="s">
        <v>22</v>
      </c>
      <c r="K3820">
        <v>3.8</v>
      </c>
      <c r="L3820" t="s">
        <v>23</v>
      </c>
      <c r="M3820" t="s">
        <v>35</v>
      </c>
      <c r="N3820" t="s">
        <v>23</v>
      </c>
      <c r="O3820">
        <v>42</v>
      </c>
      <c r="P3820" t="s">
        <v>25</v>
      </c>
      <c r="Q3820" t="s">
        <v>42</v>
      </c>
      <c r="R3820" s="1">
        <v>0.1</v>
      </c>
      <c r="S3820">
        <f t="shared" si="236"/>
        <v>36.9</v>
      </c>
      <c r="T3820">
        <f>IFERROR(VLOOKUP(A3820,Table1[[Customer ID]:[Discount Amount]], 6, FALSE),"Not Found")</f>
        <v>41</v>
      </c>
      <c r="U3820" t="str">
        <f t="shared" si="237"/>
        <v>Cash</v>
      </c>
      <c r="V3820" s="4" t="str">
        <f t="shared" si="238"/>
        <v>Normal</v>
      </c>
      <c r="W3820" s="4" t="str">
        <f t="shared" si="239"/>
        <v>Good</v>
      </c>
      <c r="X3820" s="4">
        <f>AVERAGE(Table1[Purchase Amount])</f>
        <v>129.48419400000012</v>
      </c>
    </row>
    <row r="3821" spans="1:24" ht="15" customHeight="1" x14ac:dyDescent="0.25">
      <c r="A3821">
        <v>3820</v>
      </c>
      <c r="B3821">
        <v>36</v>
      </c>
      <c r="C3821" t="s">
        <v>16</v>
      </c>
      <c r="D3821" t="s">
        <v>99</v>
      </c>
      <c r="E3821" t="s">
        <v>18</v>
      </c>
      <c r="F3821" s="2">
        <v>99</v>
      </c>
      <c r="G3821" t="s">
        <v>100</v>
      </c>
      <c r="H3821" t="s">
        <v>55</v>
      </c>
      <c r="I3821" t="s">
        <v>133</v>
      </c>
      <c r="J3821" t="s">
        <v>33</v>
      </c>
      <c r="K3821">
        <v>2.9</v>
      </c>
      <c r="L3821" t="s">
        <v>23</v>
      </c>
      <c r="M3821" t="s">
        <v>61</v>
      </c>
      <c r="N3821" t="s">
        <v>23</v>
      </c>
      <c r="O3821">
        <v>45</v>
      </c>
      <c r="P3821" t="s">
        <v>25</v>
      </c>
      <c r="Q3821" t="s">
        <v>37</v>
      </c>
      <c r="R3821" s="1">
        <v>0.1</v>
      </c>
      <c r="S3821">
        <f t="shared" si="236"/>
        <v>89.1</v>
      </c>
      <c r="T3821">
        <f>IFERROR(VLOOKUP(A3821,Table1[[Customer ID]:[Discount Amount]], 6, FALSE),"Not Found")</f>
        <v>99</v>
      </c>
      <c r="U3821" t="str">
        <f t="shared" si="237"/>
        <v>Cash</v>
      </c>
      <c r="V3821" s="4" t="str">
        <f t="shared" si="238"/>
        <v>Normal</v>
      </c>
      <c r="W3821" s="4" t="str">
        <f t="shared" si="239"/>
        <v>Poor</v>
      </c>
      <c r="X3821" s="4">
        <f>AVERAGE(Table1[Purchase Amount])</f>
        <v>129.48419400000012</v>
      </c>
    </row>
    <row r="3822" spans="1:24" ht="15" customHeight="1" x14ac:dyDescent="0.25">
      <c r="A3822">
        <v>3821</v>
      </c>
      <c r="B3822">
        <v>34</v>
      </c>
      <c r="C3822" t="s">
        <v>16</v>
      </c>
      <c r="D3822" t="s">
        <v>114</v>
      </c>
      <c r="E3822" t="s">
        <v>29</v>
      </c>
      <c r="F3822" s="2">
        <v>65</v>
      </c>
      <c r="G3822" t="s">
        <v>132</v>
      </c>
      <c r="H3822" t="s">
        <v>31</v>
      </c>
      <c r="I3822" t="s">
        <v>66</v>
      </c>
      <c r="J3822" t="s">
        <v>22</v>
      </c>
      <c r="K3822">
        <v>5</v>
      </c>
      <c r="L3822" t="s">
        <v>23</v>
      </c>
      <c r="M3822" t="s">
        <v>24</v>
      </c>
      <c r="N3822" t="s">
        <v>23</v>
      </c>
      <c r="O3822">
        <v>34</v>
      </c>
      <c r="P3822" t="s">
        <v>36</v>
      </c>
      <c r="Q3822" t="s">
        <v>37</v>
      </c>
      <c r="R3822" s="1">
        <v>0.1</v>
      </c>
      <c r="S3822">
        <f t="shared" si="236"/>
        <v>58.5</v>
      </c>
      <c r="T3822">
        <f>IFERROR(VLOOKUP(A3822,Table1[[Customer ID]:[Discount Amount]], 6, FALSE),"Not Found")</f>
        <v>65</v>
      </c>
      <c r="U3822" t="str">
        <f t="shared" si="237"/>
        <v>Debit Card</v>
      </c>
      <c r="V3822" s="4" t="str">
        <f t="shared" si="238"/>
        <v>Normal</v>
      </c>
      <c r="W3822" s="4" t="str">
        <f t="shared" si="239"/>
        <v>Good</v>
      </c>
      <c r="X3822" s="4">
        <f>AVERAGE(Table1[Purchase Amount])</f>
        <v>129.48419400000012</v>
      </c>
    </row>
    <row r="3823" spans="1:24" ht="15" customHeight="1" x14ac:dyDescent="0.25">
      <c r="A3823">
        <v>3822</v>
      </c>
      <c r="B3823">
        <v>20</v>
      </c>
      <c r="C3823" t="s">
        <v>16</v>
      </c>
      <c r="D3823" t="s">
        <v>140</v>
      </c>
      <c r="E3823" t="s">
        <v>98</v>
      </c>
      <c r="F3823" s="2">
        <v>48</v>
      </c>
      <c r="G3823" t="s">
        <v>123</v>
      </c>
      <c r="H3823" t="s">
        <v>31</v>
      </c>
      <c r="I3823" t="s">
        <v>133</v>
      </c>
      <c r="J3823" t="s">
        <v>57</v>
      </c>
      <c r="K3823">
        <v>4.5999999999999996</v>
      </c>
      <c r="L3823" t="s">
        <v>23</v>
      </c>
      <c r="M3823" t="s">
        <v>35</v>
      </c>
      <c r="N3823" t="s">
        <v>23</v>
      </c>
      <c r="O3823">
        <v>34</v>
      </c>
      <c r="P3823" t="s">
        <v>53</v>
      </c>
      <c r="Q3823" t="s">
        <v>63</v>
      </c>
      <c r="R3823" s="1">
        <v>0.1</v>
      </c>
      <c r="S3823">
        <f t="shared" si="236"/>
        <v>43.2</v>
      </c>
      <c r="T3823">
        <f>IFERROR(VLOOKUP(A3823,Table1[[Customer ID]:[Discount Amount]], 6, FALSE),"Not Found")</f>
        <v>48</v>
      </c>
      <c r="U3823" t="str">
        <f t="shared" si="237"/>
        <v>Credit Card</v>
      </c>
      <c r="V3823" s="4" t="str">
        <f t="shared" si="238"/>
        <v>Normal</v>
      </c>
      <c r="W3823" s="4" t="str">
        <f t="shared" si="239"/>
        <v>Good</v>
      </c>
      <c r="X3823" s="4">
        <f>AVERAGE(Table1[Purchase Amount])</f>
        <v>129.48419400000012</v>
      </c>
    </row>
    <row r="3824" spans="1:24" ht="15" customHeight="1" x14ac:dyDescent="0.25">
      <c r="A3824">
        <v>3823</v>
      </c>
      <c r="B3824">
        <v>70</v>
      </c>
      <c r="C3824" t="s">
        <v>16</v>
      </c>
      <c r="D3824" t="s">
        <v>64</v>
      </c>
      <c r="E3824" t="s">
        <v>29</v>
      </c>
      <c r="F3824" s="2">
        <v>41</v>
      </c>
      <c r="G3824" t="s">
        <v>124</v>
      </c>
      <c r="H3824" t="s">
        <v>55</v>
      </c>
      <c r="I3824" t="s">
        <v>133</v>
      </c>
      <c r="J3824" t="s">
        <v>33</v>
      </c>
      <c r="K3824">
        <v>3.2</v>
      </c>
      <c r="L3824" t="s">
        <v>23</v>
      </c>
      <c r="M3824" t="s">
        <v>35</v>
      </c>
      <c r="N3824" t="s">
        <v>23</v>
      </c>
      <c r="O3824">
        <v>17</v>
      </c>
      <c r="P3824" t="s">
        <v>58</v>
      </c>
      <c r="Q3824" t="s">
        <v>63</v>
      </c>
      <c r="R3824" s="1">
        <v>0.1</v>
      </c>
      <c r="S3824">
        <f t="shared" si="236"/>
        <v>36.9</v>
      </c>
      <c r="T3824">
        <f>IFERROR(VLOOKUP(A3824,Table1[[Customer ID]:[Discount Amount]], 6, FALSE),"Not Found")</f>
        <v>41</v>
      </c>
      <c r="U3824" t="str">
        <f t="shared" si="237"/>
        <v>PayPal</v>
      </c>
      <c r="V3824" s="4" t="str">
        <f t="shared" si="238"/>
        <v>Normal</v>
      </c>
      <c r="W3824" s="4" t="str">
        <f t="shared" si="239"/>
        <v>Good</v>
      </c>
      <c r="X3824" s="4">
        <f>AVERAGE(Table1[Purchase Amount])</f>
        <v>129.48419400000012</v>
      </c>
    </row>
    <row r="3825" spans="1:24" ht="15" customHeight="1" x14ac:dyDescent="0.25">
      <c r="A3825">
        <v>3824</v>
      </c>
      <c r="B3825">
        <v>50</v>
      </c>
      <c r="C3825" t="s">
        <v>16</v>
      </c>
      <c r="D3825" t="s">
        <v>38</v>
      </c>
      <c r="E3825" t="s">
        <v>18</v>
      </c>
      <c r="F3825" s="2">
        <v>42</v>
      </c>
      <c r="G3825" t="s">
        <v>19</v>
      </c>
      <c r="H3825" t="s">
        <v>31</v>
      </c>
      <c r="I3825" t="s">
        <v>133</v>
      </c>
      <c r="J3825" t="s">
        <v>57</v>
      </c>
      <c r="K3825">
        <v>3</v>
      </c>
      <c r="L3825" t="s">
        <v>23</v>
      </c>
      <c r="M3825" t="s">
        <v>24</v>
      </c>
      <c r="N3825" t="s">
        <v>23</v>
      </c>
      <c r="O3825">
        <v>27</v>
      </c>
      <c r="P3825" t="s">
        <v>88</v>
      </c>
      <c r="Q3825" t="s">
        <v>26</v>
      </c>
      <c r="R3825" s="1">
        <v>0.1</v>
      </c>
      <c r="S3825">
        <f t="shared" si="236"/>
        <v>37.799999999999997</v>
      </c>
      <c r="T3825">
        <f>IFERROR(VLOOKUP(A3825,Table1[[Customer ID]:[Discount Amount]], 6, FALSE),"Not Found")</f>
        <v>42</v>
      </c>
      <c r="U3825" t="str">
        <f t="shared" si="237"/>
        <v>Bank Transfer</v>
      </c>
      <c r="V3825" s="4" t="str">
        <f t="shared" si="238"/>
        <v>Normal</v>
      </c>
      <c r="W3825" s="4" t="str">
        <f t="shared" si="239"/>
        <v>Good</v>
      </c>
      <c r="X3825" s="4">
        <f>AVERAGE(Table1[Purchase Amount])</f>
        <v>129.48419400000012</v>
      </c>
    </row>
    <row r="3826" spans="1:24" ht="15" customHeight="1" x14ac:dyDescent="0.25">
      <c r="A3826">
        <v>3825</v>
      </c>
      <c r="B3826">
        <v>54</v>
      </c>
      <c r="C3826" t="s">
        <v>16</v>
      </c>
      <c r="D3826" t="s">
        <v>54</v>
      </c>
      <c r="E3826" t="s">
        <v>18</v>
      </c>
      <c r="F3826" s="2">
        <v>26</v>
      </c>
      <c r="G3826" t="s">
        <v>160</v>
      </c>
      <c r="H3826" t="s">
        <v>31</v>
      </c>
      <c r="I3826" t="s">
        <v>21</v>
      </c>
      <c r="J3826" t="s">
        <v>57</v>
      </c>
      <c r="K3826">
        <v>4</v>
      </c>
      <c r="L3826" t="s">
        <v>23</v>
      </c>
      <c r="M3826" t="s">
        <v>35</v>
      </c>
      <c r="N3826" t="s">
        <v>23</v>
      </c>
      <c r="O3826">
        <v>31</v>
      </c>
      <c r="P3826" t="s">
        <v>53</v>
      </c>
      <c r="Q3826" t="s">
        <v>37</v>
      </c>
      <c r="R3826" s="1">
        <v>0.1</v>
      </c>
      <c r="S3826">
        <f t="shared" si="236"/>
        <v>23.4</v>
      </c>
      <c r="T3826">
        <f>IFERROR(VLOOKUP(A3826,Table1[[Customer ID]:[Discount Amount]], 6, FALSE),"Not Found")</f>
        <v>26</v>
      </c>
      <c r="U3826" t="str">
        <f t="shared" si="237"/>
        <v>Credit Card</v>
      </c>
      <c r="V3826" s="4" t="str">
        <f t="shared" si="238"/>
        <v>Normal</v>
      </c>
      <c r="W3826" s="4" t="str">
        <f t="shared" si="239"/>
        <v>Good</v>
      </c>
      <c r="X3826" s="4">
        <f>AVERAGE(Table1[Purchase Amount])</f>
        <v>129.48419400000012</v>
      </c>
    </row>
    <row r="3827" spans="1:24" ht="15" customHeight="1" x14ac:dyDescent="0.25">
      <c r="A3827">
        <v>3826</v>
      </c>
      <c r="B3827">
        <v>49</v>
      </c>
      <c r="C3827" t="s">
        <v>16</v>
      </c>
      <c r="D3827" t="s">
        <v>54</v>
      </c>
      <c r="E3827" t="s">
        <v>18</v>
      </c>
      <c r="F3827" s="2">
        <v>35</v>
      </c>
      <c r="G3827" t="s">
        <v>135</v>
      </c>
      <c r="H3827" t="s">
        <v>45</v>
      </c>
      <c r="I3827" t="s">
        <v>93</v>
      </c>
      <c r="J3827" t="s">
        <v>47</v>
      </c>
      <c r="K3827">
        <v>4.0999999999999996</v>
      </c>
      <c r="L3827" t="s">
        <v>23</v>
      </c>
      <c r="M3827" t="s">
        <v>61</v>
      </c>
      <c r="N3827" t="s">
        <v>23</v>
      </c>
      <c r="O3827">
        <v>47</v>
      </c>
      <c r="P3827" t="s">
        <v>36</v>
      </c>
      <c r="Q3827" t="s">
        <v>89</v>
      </c>
      <c r="R3827" s="1">
        <v>0.1</v>
      </c>
      <c r="S3827">
        <f t="shared" si="236"/>
        <v>31.5</v>
      </c>
      <c r="T3827">
        <f>IFERROR(VLOOKUP(A3827,Table1[[Customer ID]:[Discount Amount]], 6, FALSE),"Not Found")</f>
        <v>35</v>
      </c>
      <c r="U3827" t="str">
        <f t="shared" si="237"/>
        <v>Debit Card</v>
      </c>
      <c r="V3827" s="4" t="str">
        <f t="shared" si="238"/>
        <v>Normal</v>
      </c>
      <c r="W3827" s="4" t="str">
        <f t="shared" si="239"/>
        <v>Good</v>
      </c>
      <c r="X3827" s="4">
        <f>AVERAGE(Table1[Purchase Amount])</f>
        <v>129.48419400000012</v>
      </c>
    </row>
    <row r="3828" spans="1:24" ht="15" customHeight="1" x14ac:dyDescent="0.25">
      <c r="A3828">
        <v>3827</v>
      </c>
      <c r="B3828">
        <v>50</v>
      </c>
      <c r="C3828" t="s">
        <v>16</v>
      </c>
      <c r="D3828" t="s">
        <v>96</v>
      </c>
      <c r="E3828" t="s">
        <v>77</v>
      </c>
      <c r="F3828" s="2">
        <v>31</v>
      </c>
      <c r="G3828" t="s">
        <v>39</v>
      </c>
      <c r="H3828" t="s">
        <v>31</v>
      </c>
      <c r="I3828" t="s">
        <v>85</v>
      </c>
      <c r="J3828" t="s">
        <v>57</v>
      </c>
      <c r="K3828">
        <v>4</v>
      </c>
      <c r="L3828" t="s">
        <v>23</v>
      </c>
      <c r="M3828" t="s">
        <v>61</v>
      </c>
      <c r="N3828" t="s">
        <v>23</v>
      </c>
      <c r="O3828">
        <v>25</v>
      </c>
      <c r="P3828" t="s">
        <v>88</v>
      </c>
      <c r="Q3828" t="s">
        <v>49</v>
      </c>
      <c r="R3828" s="1">
        <v>0.1</v>
      </c>
      <c r="S3828">
        <f t="shared" si="236"/>
        <v>27.9</v>
      </c>
      <c r="T3828">
        <f>IFERROR(VLOOKUP(A3828,Table1[[Customer ID]:[Discount Amount]], 6, FALSE),"Not Found")</f>
        <v>31</v>
      </c>
      <c r="U3828" t="str">
        <f t="shared" si="237"/>
        <v>Bank Transfer</v>
      </c>
      <c r="V3828" s="4" t="str">
        <f t="shared" si="238"/>
        <v>Normal</v>
      </c>
      <c r="W3828" s="4" t="str">
        <f t="shared" si="239"/>
        <v>Good</v>
      </c>
      <c r="X3828" s="4">
        <f>AVERAGE(Table1[Purchase Amount])</f>
        <v>129.48419400000012</v>
      </c>
    </row>
    <row r="3829" spans="1:24" ht="15" customHeight="1" x14ac:dyDescent="0.25">
      <c r="A3829">
        <v>3828</v>
      </c>
      <c r="B3829">
        <v>62</v>
      </c>
      <c r="C3829" t="s">
        <v>16</v>
      </c>
      <c r="D3829" t="s">
        <v>50</v>
      </c>
      <c r="E3829" t="s">
        <v>29</v>
      </c>
      <c r="F3829" s="2">
        <v>73</v>
      </c>
      <c r="G3829" t="s">
        <v>39</v>
      </c>
      <c r="H3829" t="s">
        <v>31</v>
      </c>
      <c r="I3829" t="s">
        <v>46</v>
      </c>
      <c r="J3829" t="s">
        <v>57</v>
      </c>
      <c r="K3829">
        <v>4.0999999999999996</v>
      </c>
      <c r="L3829" t="s">
        <v>23</v>
      </c>
      <c r="M3829" t="s">
        <v>24</v>
      </c>
      <c r="N3829" t="s">
        <v>23</v>
      </c>
      <c r="O3829">
        <v>47</v>
      </c>
      <c r="P3829" t="s">
        <v>25</v>
      </c>
      <c r="Q3829" t="s">
        <v>89</v>
      </c>
      <c r="R3829" s="1">
        <v>0.1</v>
      </c>
      <c r="S3829">
        <f t="shared" si="236"/>
        <v>65.7</v>
      </c>
      <c r="T3829">
        <f>IFERROR(VLOOKUP(A3829,Table1[[Customer ID]:[Discount Amount]], 6, FALSE),"Not Found")</f>
        <v>73</v>
      </c>
      <c r="U3829" t="str">
        <f t="shared" si="237"/>
        <v>Cash</v>
      </c>
      <c r="V3829" s="4" t="str">
        <f t="shared" si="238"/>
        <v>Normal</v>
      </c>
      <c r="W3829" s="4" t="str">
        <f t="shared" si="239"/>
        <v>Good</v>
      </c>
      <c r="X3829" s="4">
        <f>AVERAGE(Table1[Purchase Amount])</f>
        <v>129.48419400000012</v>
      </c>
    </row>
    <row r="3830" spans="1:24" ht="15" customHeight="1" x14ac:dyDescent="0.25">
      <c r="A3830">
        <v>3829</v>
      </c>
      <c r="B3830">
        <v>42</v>
      </c>
      <c r="C3830" t="s">
        <v>16</v>
      </c>
      <c r="D3830" t="s">
        <v>118</v>
      </c>
      <c r="E3830" t="s">
        <v>18</v>
      </c>
      <c r="F3830" s="2">
        <v>82</v>
      </c>
      <c r="G3830" t="s">
        <v>149</v>
      </c>
      <c r="H3830" t="s">
        <v>31</v>
      </c>
      <c r="I3830" t="s">
        <v>103</v>
      </c>
      <c r="J3830" t="s">
        <v>33</v>
      </c>
      <c r="K3830">
        <v>3.4</v>
      </c>
      <c r="L3830" t="s">
        <v>23</v>
      </c>
      <c r="M3830" t="s">
        <v>35</v>
      </c>
      <c r="N3830" t="s">
        <v>23</v>
      </c>
      <c r="O3830">
        <v>8</v>
      </c>
      <c r="P3830" t="s">
        <v>25</v>
      </c>
      <c r="Q3830" t="s">
        <v>26</v>
      </c>
      <c r="R3830" s="1">
        <v>0.1</v>
      </c>
      <c r="S3830">
        <f t="shared" si="236"/>
        <v>73.8</v>
      </c>
      <c r="T3830">
        <f>IFERROR(VLOOKUP(A3830,Table1[[Customer ID]:[Discount Amount]], 6, FALSE),"Not Found")</f>
        <v>82</v>
      </c>
      <c r="U3830" t="str">
        <f t="shared" si="237"/>
        <v>Cash</v>
      </c>
      <c r="V3830" s="4" t="str">
        <f t="shared" si="238"/>
        <v>Normal</v>
      </c>
      <c r="W3830" s="4" t="str">
        <f t="shared" si="239"/>
        <v>Good</v>
      </c>
      <c r="X3830" s="4">
        <f>AVERAGE(Table1[Purchase Amount])</f>
        <v>129.48419400000012</v>
      </c>
    </row>
    <row r="3831" spans="1:24" ht="15" customHeight="1" x14ac:dyDescent="0.25">
      <c r="A3831">
        <v>3830</v>
      </c>
      <c r="B3831">
        <v>69</v>
      </c>
      <c r="C3831" t="s">
        <v>16</v>
      </c>
      <c r="D3831" t="s">
        <v>99</v>
      </c>
      <c r="E3831" t="s">
        <v>18</v>
      </c>
      <c r="F3831" s="2">
        <v>32</v>
      </c>
      <c r="G3831" t="s">
        <v>155</v>
      </c>
      <c r="H3831" t="s">
        <v>31</v>
      </c>
      <c r="I3831" t="s">
        <v>91</v>
      </c>
      <c r="J3831" t="s">
        <v>33</v>
      </c>
      <c r="K3831">
        <v>2.9</v>
      </c>
      <c r="L3831" t="s">
        <v>23</v>
      </c>
      <c r="M3831" t="s">
        <v>35</v>
      </c>
      <c r="N3831" t="s">
        <v>23</v>
      </c>
      <c r="O3831">
        <v>32</v>
      </c>
      <c r="P3831" t="s">
        <v>36</v>
      </c>
      <c r="Q3831" t="s">
        <v>89</v>
      </c>
      <c r="R3831" s="1">
        <v>0.1</v>
      </c>
      <c r="S3831">
        <f t="shared" si="236"/>
        <v>28.8</v>
      </c>
      <c r="T3831">
        <f>IFERROR(VLOOKUP(A3831,Table1[[Customer ID]:[Discount Amount]], 6, FALSE),"Not Found")</f>
        <v>32</v>
      </c>
      <c r="U3831" t="str">
        <f t="shared" si="237"/>
        <v>Debit Card</v>
      </c>
      <c r="V3831" s="4" t="str">
        <f t="shared" si="238"/>
        <v>Normal</v>
      </c>
      <c r="W3831" s="4" t="str">
        <f t="shared" si="239"/>
        <v>Poor</v>
      </c>
      <c r="X3831" s="4">
        <f>AVERAGE(Table1[Purchase Amount])</f>
        <v>129.48419400000012</v>
      </c>
    </row>
    <row r="3832" spans="1:24" ht="15" customHeight="1" x14ac:dyDescent="0.25">
      <c r="A3832">
        <v>3831</v>
      </c>
      <c r="B3832">
        <v>22</v>
      </c>
      <c r="C3832" t="s">
        <v>16</v>
      </c>
      <c r="D3832" t="s">
        <v>64</v>
      </c>
      <c r="E3832" t="s">
        <v>29</v>
      </c>
      <c r="F3832" s="2">
        <v>27</v>
      </c>
      <c r="G3832" t="s">
        <v>78</v>
      </c>
      <c r="H3832" t="s">
        <v>31</v>
      </c>
      <c r="I3832" t="s">
        <v>91</v>
      </c>
      <c r="J3832" t="s">
        <v>57</v>
      </c>
      <c r="K3832">
        <v>3</v>
      </c>
      <c r="L3832" t="s">
        <v>23</v>
      </c>
      <c r="M3832" t="s">
        <v>41</v>
      </c>
      <c r="N3832" t="s">
        <v>23</v>
      </c>
      <c r="O3832">
        <v>33</v>
      </c>
      <c r="P3832" t="s">
        <v>88</v>
      </c>
      <c r="Q3832" t="s">
        <v>63</v>
      </c>
      <c r="R3832" s="1">
        <v>0.1</v>
      </c>
      <c r="S3832">
        <f t="shared" si="236"/>
        <v>24.3</v>
      </c>
      <c r="T3832">
        <f>IFERROR(VLOOKUP(A3832,Table1[[Customer ID]:[Discount Amount]], 6, FALSE),"Not Found")</f>
        <v>27</v>
      </c>
      <c r="U3832" t="str">
        <f t="shared" si="237"/>
        <v>Bank Transfer</v>
      </c>
      <c r="V3832" s="4" t="str">
        <f t="shared" si="238"/>
        <v>Normal</v>
      </c>
      <c r="W3832" s="4" t="str">
        <f t="shared" si="239"/>
        <v>Good</v>
      </c>
      <c r="X3832" s="4">
        <f>AVERAGE(Table1[Purchase Amount])</f>
        <v>129.48419400000012</v>
      </c>
    </row>
    <row r="3833" spans="1:24" ht="15" customHeight="1" x14ac:dyDescent="0.25">
      <c r="A3833">
        <v>3832</v>
      </c>
      <c r="B3833">
        <v>36</v>
      </c>
      <c r="C3833" t="s">
        <v>16</v>
      </c>
      <c r="D3833" t="s">
        <v>104</v>
      </c>
      <c r="E3833" t="s">
        <v>29</v>
      </c>
      <c r="F3833" s="2">
        <v>86</v>
      </c>
      <c r="G3833" t="s">
        <v>158</v>
      </c>
      <c r="H3833" t="s">
        <v>45</v>
      </c>
      <c r="I3833" t="s">
        <v>153</v>
      </c>
      <c r="J3833" t="s">
        <v>33</v>
      </c>
      <c r="K3833">
        <v>4</v>
      </c>
      <c r="L3833" t="s">
        <v>23</v>
      </c>
      <c r="M3833" t="s">
        <v>79</v>
      </c>
      <c r="N3833" t="s">
        <v>23</v>
      </c>
      <c r="O3833">
        <v>16</v>
      </c>
      <c r="P3833" t="s">
        <v>36</v>
      </c>
      <c r="Q3833" t="s">
        <v>63</v>
      </c>
      <c r="R3833" s="1">
        <v>0.1</v>
      </c>
      <c r="S3833">
        <f t="shared" si="236"/>
        <v>77.400000000000006</v>
      </c>
      <c r="T3833">
        <f>IFERROR(VLOOKUP(A3833,Table1[[Customer ID]:[Discount Amount]], 6, FALSE),"Not Found")</f>
        <v>86</v>
      </c>
      <c r="U3833" t="str">
        <f t="shared" si="237"/>
        <v>Debit Card</v>
      </c>
      <c r="V3833" s="4" t="str">
        <f t="shared" si="238"/>
        <v>Normal</v>
      </c>
      <c r="W3833" s="4" t="str">
        <f t="shared" si="239"/>
        <v>Good</v>
      </c>
      <c r="X3833" s="4">
        <f>AVERAGE(Table1[Purchase Amount])</f>
        <v>129.48419400000012</v>
      </c>
    </row>
    <row r="3834" spans="1:24" ht="15" customHeight="1" x14ac:dyDescent="0.25">
      <c r="A3834">
        <v>3833</v>
      </c>
      <c r="B3834">
        <v>64</v>
      </c>
      <c r="C3834" t="s">
        <v>16</v>
      </c>
      <c r="D3834" t="s">
        <v>151</v>
      </c>
      <c r="E3834" t="s">
        <v>98</v>
      </c>
      <c r="F3834" s="2">
        <v>38</v>
      </c>
      <c r="G3834" t="s">
        <v>124</v>
      </c>
      <c r="H3834" t="s">
        <v>20</v>
      </c>
      <c r="I3834" t="s">
        <v>66</v>
      </c>
      <c r="J3834" t="s">
        <v>22</v>
      </c>
      <c r="K3834">
        <v>4.8</v>
      </c>
      <c r="L3834" t="s">
        <v>23</v>
      </c>
      <c r="M3834" t="s">
        <v>41</v>
      </c>
      <c r="N3834" t="s">
        <v>23</v>
      </c>
      <c r="O3834">
        <v>27</v>
      </c>
      <c r="P3834" t="s">
        <v>25</v>
      </c>
      <c r="Q3834" t="s">
        <v>26</v>
      </c>
      <c r="R3834" s="1">
        <v>0.1</v>
      </c>
      <c r="S3834">
        <f t="shared" si="236"/>
        <v>34.200000000000003</v>
      </c>
      <c r="T3834">
        <f>IFERROR(VLOOKUP(A3834,Table1[[Customer ID]:[Discount Amount]], 6, FALSE),"Not Found")</f>
        <v>38</v>
      </c>
      <c r="U3834" t="str">
        <f t="shared" si="237"/>
        <v>Cash</v>
      </c>
      <c r="V3834" s="4" t="str">
        <f t="shared" si="238"/>
        <v>Normal</v>
      </c>
      <c r="W3834" s="4" t="str">
        <f t="shared" si="239"/>
        <v>Good</v>
      </c>
      <c r="X3834" s="4">
        <f>AVERAGE(Table1[Purchase Amount])</f>
        <v>129.48419400000012</v>
      </c>
    </row>
    <row r="3835" spans="1:24" ht="15" customHeight="1" x14ac:dyDescent="0.25">
      <c r="A3835">
        <v>3834</v>
      </c>
      <c r="B3835">
        <v>44</v>
      </c>
      <c r="C3835" t="s">
        <v>16</v>
      </c>
      <c r="D3835" t="s">
        <v>96</v>
      </c>
      <c r="E3835" t="s">
        <v>77</v>
      </c>
      <c r="F3835" s="2">
        <v>93</v>
      </c>
      <c r="G3835" t="s">
        <v>150</v>
      </c>
      <c r="H3835" t="s">
        <v>45</v>
      </c>
      <c r="I3835" t="s">
        <v>85</v>
      </c>
      <c r="J3835" t="s">
        <v>57</v>
      </c>
      <c r="K3835">
        <v>4.5999999999999996</v>
      </c>
      <c r="L3835" t="s">
        <v>23</v>
      </c>
      <c r="M3835" t="s">
        <v>35</v>
      </c>
      <c r="N3835" t="s">
        <v>23</v>
      </c>
      <c r="O3835">
        <v>17</v>
      </c>
      <c r="P3835" t="s">
        <v>58</v>
      </c>
      <c r="Q3835" t="s">
        <v>63</v>
      </c>
      <c r="R3835" s="1">
        <v>0.1</v>
      </c>
      <c r="S3835">
        <f t="shared" si="236"/>
        <v>83.7</v>
      </c>
      <c r="T3835">
        <f>IFERROR(VLOOKUP(A3835,Table1[[Customer ID]:[Discount Amount]], 6, FALSE),"Not Found")</f>
        <v>93</v>
      </c>
      <c r="U3835" t="str">
        <f t="shared" si="237"/>
        <v>PayPal</v>
      </c>
      <c r="V3835" s="4" t="str">
        <f t="shared" si="238"/>
        <v>Normal</v>
      </c>
      <c r="W3835" s="4" t="str">
        <f t="shared" si="239"/>
        <v>Good</v>
      </c>
      <c r="X3835" s="4">
        <f>AVERAGE(Table1[Purchase Amount])</f>
        <v>129.48419400000012</v>
      </c>
    </row>
    <row r="3836" spans="1:24" ht="15" customHeight="1" x14ac:dyDescent="0.25">
      <c r="A3836">
        <v>3835</v>
      </c>
      <c r="B3836">
        <v>43</v>
      </c>
      <c r="C3836" t="s">
        <v>16</v>
      </c>
      <c r="D3836" t="s">
        <v>83</v>
      </c>
      <c r="E3836" t="s">
        <v>18</v>
      </c>
      <c r="F3836" s="2">
        <v>59</v>
      </c>
      <c r="G3836" t="s">
        <v>65</v>
      </c>
      <c r="H3836" t="s">
        <v>31</v>
      </c>
      <c r="I3836" t="s">
        <v>87</v>
      </c>
      <c r="J3836" t="s">
        <v>22</v>
      </c>
      <c r="K3836">
        <v>4.0999999999999996</v>
      </c>
      <c r="L3836" t="s">
        <v>23</v>
      </c>
      <c r="M3836" t="s">
        <v>41</v>
      </c>
      <c r="N3836" t="s">
        <v>23</v>
      </c>
      <c r="O3836">
        <v>17</v>
      </c>
      <c r="P3836" t="s">
        <v>25</v>
      </c>
      <c r="Q3836" t="s">
        <v>37</v>
      </c>
      <c r="R3836" s="1">
        <v>0.1</v>
      </c>
      <c r="S3836">
        <f t="shared" si="236"/>
        <v>53.1</v>
      </c>
      <c r="T3836">
        <f>IFERROR(VLOOKUP(A3836,Table1[[Customer ID]:[Discount Amount]], 6, FALSE),"Not Found")</f>
        <v>59</v>
      </c>
      <c r="U3836" t="str">
        <f t="shared" si="237"/>
        <v>Cash</v>
      </c>
      <c r="V3836" s="4" t="str">
        <f t="shared" si="238"/>
        <v>Normal</v>
      </c>
      <c r="W3836" s="4" t="str">
        <f t="shared" si="239"/>
        <v>Good</v>
      </c>
      <c r="X3836" s="4">
        <f>AVERAGE(Table1[Purchase Amount])</f>
        <v>129.48419400000012</v>
      </c>
    </row>
    <row r="3837" spans="1:24" ht="15" customHeight="1" x14ac:dyDescent="0.25">
      <c r="A3837">
        <v>3836</v>
      </c>
      <c r="B3837">
        <v>58</v>
      </c>
      <c r="C3837" t="s">
        <v>16</v>
      </c>
      <c r="D3837" t="s">
        <v>121</v>
      </c>
      <c r="E3837" t="s">
        <v>98</v>
      </c>
      <c r="F3837" s="2">
        <v>58</v>
      </c>
      <c r="G3837" t="s">
        <v>78</v>
      </c>
      <c r="H3837" t="s">
        <v>45</v>
      </c>
      <c r="I3837" t="s">
        <v>153</v>
      </c>
      <c r="J3837" t="s">
        <v>22</v>
      </c>
      <c r="K3837">
        <v>2.6</v>
      </c>
      <c r="L3837" t="s">
        <v>23</v>
      </c>
      <c r="M3837" t="s">
        <v>61</v>
      </c>
      <c r="N3837" t="s">
        <v>23</v>
      </c>
      <c r="O3837">
        <v>28</v>
      </c>
      <c r="P3837" t="s">
        <v>58</v>
      </c>
      <c r="Q3837" t="s">
        <v>68</v>
      </c>
      <c r="R3837" s="1">
        <v>0.1</v>
      </c>
      <c r="S3837">
        <f t="shared" si="236"/>
        <v>52.2</v>
      </c>
      <c r="T3837">
        <f>IFERROR(VLOOKUP(A3837,Table1[[Customer ID]:[Discount Amount]], 6, FALSE),"Not Found")</f>
        <v>58</v>
      </c>
      <c r="U3837" t="str">
        <f t="shared" si="237"/>
        <v>PayPal</v>
      </c>
      <c r="V3837" s="4" t="str">
        <f t="shared" si="238"/>
        <v>Normal</v>
      </c>
      <c r="W3837" s="4" t="str">
        <f t="shared" si="239"/>
        <v>Poor</v>
      </c>
      <c r="X3837" s="4">
        <f>AVERAGE(Table1[Purchase Amount])</f>
        <v>129.48419400000012</v>
      </c>
    </row>
    <row r="3838" spans="1:24" ht="15" customHeight="1" x14ac:dyDescent="0.25">
      <c r="A3838">
        <v>3837</v>
      </c>
      <c r="B3838">
        <v>62</v>
      </c>
      <c r="C3838" t="s">
        <v>16</v>
      </c>
      <c r="D3838" t="s">
        <v>122</v>
      </c>
      <c r="E3838" t="s">
        <v>18</v>
      </c>
      <c r="F3838" s="2">
        <v>84</v>
      </c>
      <c r="G3838" t="s">
        <v>148</v>
      </c>
      <c r="H3838" t="s">
        <v>31</v>
      </c>
      <c r="I3838" t="s">
        <v>111</v>
      </c>
      <c r="J3838" t="s">
        <v>33</v>
      </c>
      <c r="K3838">
        <v>2.5</v>
      </c>
      <c r="L3838" t="s">
        <v>23</v>
      </c>
      <c r="M3838" t="s">
        <v>35</v>
      </c>
      <c r="N3838" t="s">
        <v>23</v>
      </c>
      <c r="O3838">
        <v>38</v>
      </c>
      <c r="P3838" t="s">
        <v>58</v>
      </c>
      <c r="Q3838" t="s">
        <v>89</v>
      </c>
      <c r="R3838" s="1">
        <v>0.1</v>
      </c>
      <c r="S3838">
        <f t="shared" si="236"/>
        <v>75.599999999999994</v>
      </c>
      <c r="T3838">
        <f>IFERROR(VLOOKUP(A3838,Table1[[Customer ID]:[Discount Amount]], 6, FALSE),"Not Found")</f>
        <v>84</v>
      </c>
      <c r="U3838" t="str">
        <f t="shared" si="237"/>
        <v>PayPal</v>
      </c>
      <c r="V3838" s="4" t="str">
        <f t="shared" si="238"/>
        <v>Normal</v>
      </c>
      <c r="W3838" s="4" t="str">
        <f t="shared" si="239"/>
        <v>Poor</v>
      </c>
      <c r="X3838" s="4">
        <f>AVERAGE(Table1[Purchase Amount])</f>
        <v>129.48419400000012</v>
      </c>
    </row>
    <row r="3839" spans="1:24" ht="15" customHeight="1" x14ac:dyDescent="0.25">
      <c r="A3839">
        <v>3838</v>
      </c>
      <c r="B3839">
        <v>45</v>
      </c>
      <c r="C3839" t="s">
        <v>16</v>
      </c>
      <c r="D3839" t="s">
        <v>83</v>
      </c>
      <c r="E3839" t="s">
        <v>18</v>
      </c>
      <c r="F3839" s="2">
        <v>100</v>
      </c>
      <c r="G3839" t="s">
        <v>110</v>
      </c>
      <c r="H3839" t="s">
        <v>31</v>
      </c>
      <c r="I3839" t="s">
        <v>93</v>
      </c>
      <c r="J3839" t="s">
        <v>33</v>
      </c>
      <c r="K3839">
        <v>4.8</v>
      </c>
      <c r="L3839" t="s">
        <v>23</v>
      </c>
      <c r="M3839" t="s">
        <v>35</v>
      </c>
      <c r="N3839" t="s">
        <v>23</v>
      </c>
      <c r="O3839">
        <v>33</v>
      </c>
      <c r="P3839" t="s">
        <v>88</v>
      </c>
      <c r="Q3839" t="s">
        <v>89</v>
      </c>
      <c r="R3839" s="1">
        <v>0.1</v>
      </c>
      <c r="S3839">
        <f t="shared" si="236"/>
        <v>90</v>
      </c>
      <c r="T3839">
        <f>IFERROR(VLOOKUP(A3839,Table1[[Customer ID]:[Discount Amount]], 6, FALSE),"Not Found")</f>
        <v>100</v>
      </c>
      <c r="U3839" t="str">
        <f t="shared" si="237"/>
        <v>Bank Transfer</v>
      </c>
      <c r="V3839" s="4" t="str">
        <f t="shared" si="238"/>
        <v>Normal</v>
      </c>
      <c r="W3839" s="4" t="str">
        <f t="shared" si="239"/>
        <v>Good</v>
      </c>
      <c r="X3839" s="4">
        <f>AVERAGE(Table1[Purchase Amount])</f>
        <v>129.48419400000012</v>
      </c>
    </row>
    <row r="3840" spans="1:24" ht="15" customHeight="1" x14ac:dyDescent="0.25">
      <c r="A3840">
        <v>3839</v>
      </c>
      <c r="B3840">
        <v>47</v>
      </c>
      <c r="C3840" t="s">
        <v>16</v>
      </c>
      <c r="D3840" t="s">
        <v>157</v>
      </c>
      <c r="E3840" t="s">
        <v>18</v>
      </c>
      <c r="F3840" s="2">
        <v>25</v>
      </c>
      <c r="G3840" t="s">
        <v>159</v>
      </c>
      <c r="H3840" t="s">
        <v>45</v>
      </c>
      <c r="I3840" t="s">
        <v>93</v>
      </c>
      <c r="J3840" t="s">
        <v>57</v>
      </c>
      <c r="K3840">
        <v>4.2</v>
      </c>
      <c r="L3840" t="s">
        <v>23</v>
      </c>
      <c r="M3840" t="s">
        <v>61</v>
      </c>
      <c r="N3840" t="s">
        <v>23</v>
      </c>
      <c r="O3840">
        <v>24</v>
      </c>
      <c r="P3840" t="s">
        <v>62</v>
      </c>
      <c r="Q3840" t="s">
        <v>63</v>
      </c>
      <c r="R3840" s="1">
        <v>0.1</v>
      </c>
      <c r="S3840">
        <f t="shared" si="236"/>
        <v>22.5</v>
      </c>
      <c r="T3840">
        <f>IFERROR(VLOOKUP(A3840,Table1[[Customer ID]:[Discount Amount]], 6, FALSE),"Not Found")</f>
        <v>25</v>
      </c>
      <c r="U3840" t="str">
        <f t="shared" si="237"/>
        <v>Venmo</v>
      </c>
      <c r="V3840" s="4" t="str">
        <f t="shared" si="238"/>
        <v>Normal</v>
      </c>
      <c r="W3840" s="4" t="str">
        <f t="shared" si="239"/>
        <v>Good</v>
      </c>
      <c r="X3840" s="4">
        <f>AVERAGE(Table1[Purchase Amount])</f>
        <v>129.48419400000012</v>
      </c>
    </row>
    <row r="3841" spans="1:24" ht="15" customHeight="1" x14ac:dyDescent="0.25">
      <c r="A3841">
        <v>3840</v>
      </c>
      <c r="B3841">
        <v>66</v>
      </c>
      <c r="C3841" t="s">
        <v>16</v>
      </c>
      <c r="D3841" t="s">
        <v>121</v>
      </c>
      <c r="E3841" t="s">
        <v>98</v>
      </c>
      <c r="F3841" s="2">
        <v>29</v>
      </c>
      <c r="G3841" t="s">
        <v>115</v>
      </c>
      <c r="H3841" t="s">
        <v>31</v>
      </c>
      <c r="I3841" t="s">
        <v>145</v>
      </c>
      <c r="J3841" t="s">
        <v>33</v>
      </c>
      <c r="K3841">
        <v>3.9</v>
      </c>
      <c r="L3841" t="s">
        <v>23</v>
      </c>
      <c r="M3841" t="s">
        <v>35</v>
      </c>
      <c r="N3841" t="s">
        <v>23</v>
      </c>
      <c r="O3841">
        <v>14</v>
      </c>
      <c r="P3841" t="s">
        <v>62</v>
      </c>
      <c r="Q3841" t="s">
        <v>37</v>
      </c>
      <c r="R3841" s="1">
        <v>0.1</v>
      </c>
      <c r="S3841">
        <f t="shared" si="236"/>
        <v>26.1</v>
      </c>
      <c r="T3841">
        <f>IFERROR(VLOOKUP(A3841,Table1[[Customer ID]:[Discount Amount]], 6, FALSE),"Not Found")</f>
        <v>29</v>
      </c>
      <c r="U3841" t="str">
        <f t="shared" si="237"/>
        <v>Venmo</v>
      </c>
      <c r="V3841" s="4" t="str">
        <f t="shared" si="238"/>
        <v>Normal</v>
      </c>
      <c r="W3841" s="4" t="str">
        <f t="shared" si="239"/>
        <v>Good</v>
      </c>
      <c r="X3841" s="4">
        <f>AVERAGE(Table1[Purchase Amount])</f>
        <v>129.48419400000012</v>
      </c>
    </row>
    <row r="3842" spans="1:24" ht="15" customHeight="1" x14ac:dyDescent="0.25">
      <c r="A3842">
        <v>3841</v>
      </c>
      <c r="B3842">
        <v>30</v>
      </c>
      <c r="C3842" t="s">
        <v>16</v>
      </c>
      <c r="D3842" t="s">
        <v>109</v>
      </c>
      <c r="E3842" t="s">
        <v>18</v>
      </c>
      <c r="F3842" s="2">
        <v>42</v>
      </c>
      <c r="G3842" t="s">
        <v>161</v>
      </c>
      <c r="H3842" t="s">
        <v>31</v>
      </c>
      <c r="I3842" t="s">
        <v>156</v>
      </c>
      <c r="J3842" t="s">
        <v>33</v>
      </c>
      <c r="K3842">
        <v>3.7</v>
      </c>
      <c r="L3842" t="s">
        <v>23</v>
      </c>
      <c r="M3842" t="s">
        <v>61</v>
      </c>
      <c r="N3842" t="s">
        <v>23</v>
      </c>
      <c r="O3842">
        <v>5</v>
      </c>
      <c r="P3842" t="s">
        <v>62</v>
      </c>
      <c r="Q3842" t="s">
        <v>89</v>
      </c>
      <c r="R3842" s="1">
        <v>0.1</v>
      </c>
      <c r="S3842">
        <f t="shared" ref="S3842:S3905" si="240">F3842-(F3842*R3842)</f>
        <v>37.799999999999997</v>
      </c>
      <c r="T3842">
        <f>IFERROR(VLOOKUP(A3842,Table1[[Customer ID]:[Discount Amount]], 6, FALSE),"Not Found")</f>
        <v>42</v>
      </c>
      <c r="U3842" t="str">
        <f t="shared" ref="U3842:U3905" si="241">INDEX(P:P, MATCH(A3842, A:A, 0))</f>
        <v>Venmo</v>
      </c>
      <c r="V3842" s="4" t="str">
        <f t="shared" ref="V3842:V3905" si="242">IF(AND(F3842&gt;1000,K3842&gt;=4),"Best Customer","Normal")</f>
        <v>Normal</v>
      </c>
      <c r="W3842" s="4" t="str">
        <f t="shared" ref="W3842:W3905" si="243">IF(K3842&gt;=3,"Good","Poor")</f>
        <v>Good</v>
      </c>
      <c r="X3842" s="4">
        <f>AVERAGE(Table1[Purchase Amount])</f>
        <v>129.48419400000012</v>
      </c>
    </row>
    <row r="3843" spans="1:24" ht="15" customHeight="1" x14ac:dyDescent="0.25">
      <c r="A3843">
        <v>3842</v>
      </c>
      <c r="B3843">
        <v>68</v>
      </c>
      <c r="C3843" t="s">
        <v>16</v>
      </c>
      <c r="D3843" t="s">
        <v>109</v>
      </c>
      <c r="E3843" t="s">
        <v>18</v>
      </c>
      <c r="F3843" s="2">
        <v>57</v>
      </c>
      <c r="G3843" t="s">
        <v>149</v>
      </c>
      <c r="H3843" t="s">
        <v>45</v>
      </c>
      <c r="I3843" t="s">
        <v>136</v>
      </c>
      <c r="J3843" t="s">
        <v>47</v>
      </c>
      <c r="K3843">
        <v>4.2</v>
      </c>
      <c r="L3843" t="s">
        <v>23</v>
      </c>
      <c r="M3843" t="s">
        <v>41</v>
      </c>
      <c r="N3843" t="s">
        <v>23</v>
      </c>
      <c r="O3843">
        <v>8</v>
      </c>
      <c r="P3843" t="s">
        <v>88</v>
      </c>
      <c r="Q3843" t="s">
        <v>42</v>
      </c>
      <c r="R3843" s="1">
        <v>0.1</v>
      </c>
      <c r="S3843">
        <f t="shared" si="240"/>
        <v>51.3</v>
      </c>
      <c r="T3843">
        <f>IFERROR(VLOOKUP(A3843,Table1[[Customer ID]:[Discount Amount]], 6, FALSE),"Not Found")</f>
        <v>57</v>
      </c>
      <c r="U3843" t="str">
        <f t="shared" si="241"/>
        <v>Bank Transfer</v>
      </c>
      <c r="V3843" s="4" t="str">
        <f t="shared" si="242"/>
        <v>Normal</v>
      </c>
      <c r="W3843" s="4" t="str">
        <f t="shared" si="243"/>
        <v>Good</v>
      </c>
      <c r="X3843" s="4">
        <f>AVERAGE(Table1[Purchase Amount])</f>
        <v>129.48419400000012</v>
      </c>
    </row>
    <row r="3844" spans="1:24" ht="15" customHeight="1" x14ac:dyDescent="0.25">
      <c r="A3844">
        <v>3843</v>
      </c>
      <c r="B3844">
        <v>35</v>
      </c>
      <c r="C3844" t="s">
        <v>16</v>
      </c>
      <c r="D3844" t="s">
        <v>96</v>
      </c>
      <c r="E3844" t="s">
        <v>77</v>
      </c>
      <c r="F3844" s="2">
        <v>84</v>
      </c>
      <c r="G3844" t="s">
        <v>92</v>
      </c>
      <c r="H3844" t="s">
        <v>45</v>
      </c>
      <c r="I3844" t="s">
        <v>107</v>
      </c>
      <c r="J3844" t="s">
        <v>22</v>
      </c>
      <c r="K3844">
        <v>4.2</v>
      </c>
      <c r="L3844" t="s">
        <v>23</v>
      </c>
      <c r="M3844" t="s">
        <v>79</v>
      </c>
      <c r="N3844" t="s">
        <v>23</v>
      </c>
      <c r="O3844">
        <v>42</v>
      </c>
      <c r="P3844" t="s">
        <v>36</v>
      </c>
      <c r="Q3844" t="s">
        <v>42</v>
      </c>
      <c r="R3844" s="1">
        <v>0.1</v>
      </c>
      <c r="S3844">
        <f t="shared" si="240"/>
        <v>75.599999999999994</v>
      </c>
      <c r="T3844">
        <f>IFERROR(VLOOKUP(A3844,Table1[[Customer ID]:[Discount Amount]], 6, FALSE),"Not Found")</f>
        <v>84</v>
      </c>
      <c r="U3844" t="str">
        <f t="shared" si="241"/>
        <v>Debit Card</v>
      </c>
      <c r="V3844" s="4" t="str">
        <f t="shared" si="242"/>
        <v>Normal</v>
      </c>
      <c r="W3844" s="4" t="str">
        <f t="shared" si="243"/>
        <v>Good</v>
      </c>
      <c r="X3844" s="4">
        <f>AVERAGE(Table1[Purchase Amount])</f>
        <v>129.48419400000012</v>
      </c>
    </row>
    <row r="3845" spans="1:24" ht="15" customHeight="1" x14ac:dyDescent="0.25">
      <c r="A3845">
        <v>3844</v>
      </c>
      <c r="B3845">
        <v>64</v>
      </c>
      <c r="C3845" t="s">
        <v>16</v>
      </c>
      <c r="D3845" t="s">
        <v>64</v>
      </c>
      <c r="E3845" t="s">
        <v>29</v>
      </c>
      <c r="F3845" s="2">
        <v>71</v>
      </c>
      <c r="G3845" t="s">
        <v>160</v>
      </c>
      <c r="H3845" t="s">
        <v>45</v>
      </c>
      <c r="I3845" t="s">
        <v>153</v>
      </c>
      <c r="J3845" t="s">
        <v>22</v>
      </c>
      <c r="K3845">
        <v>4</v>
      </c>
      <c r="L3845" t="s">
        <v>23</v>
      </c>
      <c r="M3845" t="s">
        <v>35</v>
      </c>
      <c r="N3845" t="s">
        <v>23</v>
      </c>
      <c r="O3845">
        <v>48</v>
      </c>
      <c r="P3845" t="s">
        <v>62</v>
      </c>
      <c r="Q3845" t="s">
        <v>63</v>
      </c>
      <c r="R3845" s="1">
        <v>0.1</v>
      </c>
      <c r="S3845">
        <f t="shared" si="240"/>
        <v>63.9</v>
      </c>
      <c r="T3845">
        <f>IFERROR(VLOOKUP(A3845,Table1[[Customer ID]:[Discount Amount]], 6, FALSE),"Not Found")</f>
        <v>71</v>
      </c>
      <c r="U3845" t="str">
        <f t="shared" si="241"/>
        <v>Venmo</v>
      </c>
      <c r="V3845" s="4" t="str">
        <f t="shared" si="242"/>
        <v>Normal</v>
      </c>
      <c r="W3845" s="4" t="str">
        <f t="shared" si="243"/>
        <v>Good</v>
      </c>
      <c r="X3845" s="4">
        <f>AVERAGE(Table1[Purchase Amount])</f>
        <v>129.48419400000012</v>
      </c>
    </row>
    <row r="3846" spans="1:24" ht="15" customHeight="1" x14ac:dyDescent="0.25">
      <c r="A3846">
        <v>3845</v>
      </c>
      <c r="B3846">
        <v>30</v>
      </c>
      <c r="C3846" t="s">
        <v>16</v>
      </c>
      <c r="D3846" t="s">
        <v>54</v>
      </c>
      <c r="E3846" t="s">
        <v>18</v>
      </c>
      <c r="F3846" s="2">
        <v>87</v>
      </c>
      <c r="G3846" t="s">
        <v>39</v>
      </c>
      <c r="H3846" t="s">
        <v>55</v>
      </c>
      <c r="I3846" t="s">
        <v>128</v>
      </c>
      <c r="J3846" t="s">
        <v>47</v>
      </c>
      <c r="K3846">
        <v>5</v>
      </c>
      <c r="L3846" t="s">
        <v>23</v>
      </c>
      <c r="M3846" t="s">
        <v>79</v>
      </c>
      <c r="N3846" t="s">
        <v>23</v>
      </c>
      <c r="O3846">
        <v>40</v>
      </c>
      <c r="P3846" t="s">
        <v>62</v>
      </c>
      <c r="Q3846" t="s">
        <v>37</v>
      </c>
      <c r="R3846" s="1">
        <v>0.1</v>
      </c>
      <c r="S3846">
        <f t="shared" si="240"/>
        <v>78.3</v>
      </c>
      <c r="T3846">
        <f>IFERROR(VLOOKUP(A3846,Table1[[Customer ID]:[Discount Amount]], 6, FALSE),"Not Found")</f>
        <v>87</v>
      </c>
      <c r="U3846" t="str">
        <f t="shared" si="241"/>
        <v>Venmo</v>
      </c>
      <c r="V3846" s="4" t="str">
        <f t="shared" si="242"/>
        <v>Normal</v>
      </c>
      <c r="W3846" s="4" t="str">
        <f t="shared" si="243"/>
        <v>Good</v>
      </c>
      <c r="X3846" s="4">
        <f>AVERAGE(Table1[Purchase Amount])</f>
        <v>129.48419400000012</v>
      </c>
    </row>
    <row r="3847" spans="1:24" ht="15" customHeight="1" x14ac:dyDescent="0.25">
      <c r="A3847">
        <v>3846</v>
      </c>
      <c r="B3847">
        <v>58</v>
      </c>
      <c r="C3847" t="s">
        <v>16</v>
      </c>
      <c r="D3847" t="s">
        <v>127</v>
      </c>
      <c r="E3847" t="s">
        <v>18</v>
      </c>
      <c r="F3847" s="2">
        <v>52</v>
      </c>
      <c r="G3847" t="s">
        <v>19</v>
      </c>
      <c r="H3847" t="s">
        <v>31</v>
      </c>
      <c r="I3847" t="s">
        <v>93</v>
      </c>
      <c r="J3847" t="s">
        <v>22</v>
      </c>
      <c r="K3847">
        <v>4.9000000000000004</v>
      </c>
      <c r="L3847" t="s">
        <v>23</v>
      </c>
      <c r="M3847" t="s">
        <v>24</v>
      </c>
      <c r="N3847" t="s">
        <v>23</v>
      </c>
      <c r="O3847">
        <v>46</v>
      </c>
      <c r="P3847" t="s">
        <v>62</v>
      </c>
      <c r="Q3847" t="s">
        <v>49</v>
      </c>
      <c r="R3847" s="1">
        <v>0.1</v>
      </c>
      <c r="S3847">
        <f t="shared" si="240"/>
        <v>46.8</v>
      </c>
      <c r="T3847">
        <f>IFERROR(VLOOKUP(A3847,Table1[[Customer ID]:[Discount Amount]], 6, FALSE),"Not Found")</f>
        <v>52</v>
      </c>
      <c r="U3847" t="str">
        <f t="shared" si="241"/>
        <v>Venmo</v>
      </c>
      <c r="V3847" s="4" t="str">
        <f t="shared" si="242"/>
        <v>Normal</v>
      </c>
      <c r="W3847" s="4" t="str">
        <f t="shared" si="243"/>
        <v>Good</v>
      </c>
      <c r="X3847" s="4">
        <f>AVERAGE(Table1[Purchase Amount])</f>
        <v>129.48419400000012</v>
      </c>
    </row>
    <row r="3848" spans="1:24" ht="15" customHeight="1" x14ac:dyDescent="0.25">
      <c r="A3848">
        <v>3847</v>
      </c>
      <c r="B3848">
        <v>57</v>
      </c>
      <c r="C3848" t="s">
        <v>16</v>
      </c>
      <c r="D3848" t="s">
        <v>118</v>
      </c>
      <c r="E3848" t="s">
        <v>18</v>
      </c>
      <c r="F3848" s="2">
        <v>58</v>
      </c>
      <c r="G3848" t="s">
        <v>78</v>
      </c>
      <c r="H3848" t="s">
        <v>45</v>
      </c>
      <c r="I3848" t="s">
        <v>108</v>
      </c>
      <c r="J3848" t="s">
        <v>57</v>
      </c>
      <c r="K3848">
        <v>4</v>
      </c>
      <c r="L3848" t="s">
        <v>23</v>
      </c>
      <c r="M3848" t="s">
        <v>61</v>
      </c>
      <c r="N3848" t="s">
        <v>23</v>
      </c>
      <c r="O3848">
        <v>40</v>
      </c>
      <c r="P3848" t="s">
        <v>58</v>
      </c>
      <c r="Q3848" t="s">
        <v>63</v>
      </c>
      <c r="R3848" s="1">
        <v>0.1</v>
      </c>
      <c r="S3848">
        <f t="shared" si="240"/>
        <v>52.2</v>
      </c>
      <c r="T3848">
        <f>IFERROR(VLOOKUP(A3848,Table1[[Customer ID]:[Discount Amount]], 6, FALSE),"Not Found")</f>
        <v>58</v>
      </c>
      <c r="U3848" t="str">
        <f t="shared" si="241"/>
        <v>PayPal</v>
      </c>
      <c r="V3848" s="4" t="str">
        <f t="shared" si="242"/>
        <v>Normal</v>
      </c>
      <c r="W3848" s="4" t="str">
        <f t="shared" si="243"/>
        <v>Good</v>
      </c>
      <c r="X3848" s="4">
        <f>AVERAGE(Table1[Purchase Amount])</f>
        <v>129.48419400000012</v>
      </c>
    </row>
    <row r="3849" spans="1:24" ht="15" customHeight="1" x14ac:dyDescent="0.25">
      <c r="A3849">
        <v>3848</v>
      </c>
      <c r="B3849">
        <v>60</v>
      </c>
      <c r="C3849" t="s">
        <v>16</v>
      </c>
      <c r="D3849" t="s">
        <v>127</v>
      </c>
      <c r="E3849" t="s">
        <v>18</v>
      </c>
      <c r="F3849" s="2">
        <v>34</v>
      </c>
      <c r="G3849" t="s">
        <v>143</v>
      </c>
      <c r="H3849" t="s">
        <v>55</v>
      </c>
      <c r="I3849" t="s">
        <v>74</v>
      </c>
      <c r="J3849" t="s">
        <v>47</v>
      </c>
      <c r="K3849">
        <v>3.2</v>
      </c>
      <c r="L3849" t="s">
        <v>23</v>
      </c>
      <c r="M3849" t="s">
        <v>41</v>
      </c>
      <c r="N3849" t="s">
        <v>23</v>
      </c>
      <c r="O3849">
        <v>31</v>
      </c>
      <c r="P3849" t="s">
        <v>58</v>
      </c>
      <c r="Q3849" t="s">
        <v>89</v>
      </c>
      <c r="R3849" s="1">
        <v>0.1</v>
      </c>
      <c r="S3849">
        <f t="shared" si="240"/>
        <v>30.6</v>
      </c>
      <c r="T3849">
        <f>IFERROR(VLOOKUP(A3849,Table1[[Customer ID]:[Discount Amount]], 6, FALSE),"Not Found")</f>
        <v>34</v>
      </c>
      <c r="U3849" t="str">
        <f t="shared" si="241"/>
        <v>PayPal</v>
      </c>
      <c r="V3849" s="4" t="str">
        <f t="shared" si="242"/>
        <v>Normal</v>
      </c>
      <c r="W3849" s="4" t="str">
        <f t="shared" si="243"/>
        <v>Good</v>
      </c>
      <c r="X3849" s="4">
        <f>AVERAGE(Table1[Purchase Amount])</f>
        <v>129.48419400000012</v>
      </c>
    </row>
    <row r="3850" spans="1:24" ht="15" customHeight="1" x14ac:dyDescent="0.25">
      <c r="A3850">
        <v>3849</v>
      </c>
      <c r="B3850">
        <v>22</v>
      </c>
      <c r="C3850" t="s">
        <v>16</v>
      </c>
      <c r="D3850" t="s">
        <v>50</v>
      </c>
      <c r="E3850" t="s">
        <v>29</v>
      </c>
      <c r="F3850" s="2">
        <v>60</v>
      </c>
      <c r="G3850" t="s">
        <v>132</v>
      </c>
      <c r="H3850" t="s">
        <v>31</v>
      </c>
      <c r="I3850" t="s">
        <v>87</v>
      </c>
      <c r="J3850" t="s">
        <v>22</v>
      </c>
      <c r="K3850">
        <v>3</v>
      </c>
      <c r="L3850" t="s">
        <v>23</v>
      </c>
      <c r="M3850" t="s">
        <v>79</v>
      </c>
      <c r="N3850" t="s">
        <v>23</v>
      </c>
      <c r="O3850">
        <v>39</v>
      </c>
      <c r="P3850" t="s">
        <v>25</v>
      </c>
      <c r="Q3850" t="s">
        <v>63</v>
      </c>
      <c r="R3850" s="1">
        <v>0.1</v>
      </c>
      <c r="S3850">
        <f t="shared" si="240"/>
        <v>54</v>
      </c>
      <c r="T3850">
        <f>IFERROR(VLOOKUP(A3850,Table1[[Customer ID]:[Discount Amount]], 6, FALSE),"Not Found")</f>
        <v>60</v>
      </c>
      <c r="U3850" t="str">
        <f t="shared" si="241"/>
        <v>Cash</v>
      </c>
      <c r="V3850" s="4" t="str">
        <f t="shared" si="242"/>
        <v>Normal</v>
      </c>
      <c r="W3850" s="4" t="str">
        <f t="shared" si="243"/>
        <v>Good</v>
      </c>
      <c r="X3850" s="4">
        <f>AVERAGE(Table1[Purchase Amount])</f>
        <v>129.48419400000012</v>
      </c>
    </row>
    <row r="3851" spans="1:24" ht="15" customHeight="1" x14ac:dyDescent="0.25">
      <c r="A3851">
        <v>3850</v>
      </c>
      <c r="B3851">
        <v>46</v>
      </c>
      <c r="C3851" t="s">
        <v>16</v>
      </c>
      <c r="D3851" t="s">
        <v>83</v>
      </c>
      <c r="E3851" t="s">
        <v>18</v>
      </c>
      <c r="F3851" s="2">
        <v>68</v>
      </c>
      <c r="G3851" t="s">
        <v>67</v>
      </c>
      <c r="H3851" t="s">
        <v>55</v>
      </c>
      <c r="I3851" t="s">
        <v>128</v>
      </c>
      <c r="J3851" t="s">
        <v>22</v>
      </c>
      <c r="K3851">
        <v>2.6</v>
      </c>
      <c r="L3851" t="s">
        <v>23</v>
      </c>
      <c r="M3851" t="s">
        <v>61</v>
      </c>
      <c r="N3851" t="s">
        <v>23</v>
      </c>
      <c r="O3851">
        <v>36</v>
      </c>
      <c r="P3851" t="s">
        <v>58</v>
      </c>
      <c r="Q3851" t="s">
        <v>89</v>
      </c>
      <c r="R3851" s="1">
        <v>0.1</v>
      </c>
      <c r="S3851">
        <f t="shared" si="240"/>
        <v>61.2</v>
      </c>
      <c r="T3851">
        <f>IFERROR(VLOOKUP(A3851,Table1[[Customer ID]:[Discount Amount]], 6, FALSE),"Not Found")</f>
        <v>68</v>
      </c>
      <c r="U3851" t="str">
        <f t="shared" si="241"/>
        <v>PayPal</v>
      </c>
      <c r="V3851" s="4" t="str">
        <f t="shared" si="242"/>
        <v>Normal</v>
      </c>
      <c r="W3851" s="4" t="str">
        <f t="shared" si="243"/>
        <v>Poor</v>
      </c>
      <c r="X3851" s="4">
        <f>AVERAGE(Table1[Purchase Amount])</f>
        <v>129.48419400000012</v>
      </c>
    </row>
    <row r="3852" spans="1:24" ht="15" customHeight="1" x14ac:dyDescent="0.25">
      <c r="A3852">
        <v>3851</v>
      </c>
      <c r="B3852">
        <v>27</v>
      </c>
      <c r="C3852" t="s">
        <v>16</v>
      </c>
      <c r="D3852" t="s">
        <v>50</v>
      </c>
      <c r="E3852" t="s">
        <v>29</v>
      </c>
      <c r="F3852" s="2">
        <v>74</v>
      </c>
      <c r="G3852" t="s">
        <v>149</v>
      </c>
      <c r="H3852" t="s">
        <v>45</v>
      </c>
      <c r="I3852" t="s">
        <v>91</v>
      </c>
      <c r="J3852" t="s">
        <v>57</v>
      </c>
      <c r="K3852">
        <v>4.4000000000000004</v>
      </c>
      <c r="L3852" t="s">
        <v>23</v>
      </c>
      <c r="M3852" t="s">
        <v>41</v>
      </c>
      <c r="N3852" t="s">
        <v>23</v>
      </c>
      <c r="O3852">
        <v>25</v>
      </c>
      <c r="P3852" t="s">
        <v>36</v>
      </c>
      <c r="Q3852" t="s">
        <v>63</v>
      </c>
      <c r="R3852" s="1">
        <v>0.1</v>
      </c>
      <c r="S3852">
        <f t="shared" si="240"/>
        <v>66.599999999999994</v>
      </c>
      <c r="T3852">
        <f>IFERROR(VLOOKUP(A3852,Table1[[Customer ID]:[Discount Amount]], 6, FALSE),"Not Found")</f>
        <v>74</v>
      </c>
      <c r="U3852" t="str">
        <f t="shared" si="241"/>
        <v>Debit Card</v>
      </c>
      <c r="V3852" s="4" t="str">
        <f t="shared" si="242"/>
        <v>Normal</v>
      </c>
      <c r="W3852" s="4" t="str">
        <f t="shared" si="243"/>
        <v>Good</v>
      </c>
      <c r="X3852" s="4">
        <f>AVERAGE(Table1[Purchase Amount])</f>
        <v>129.48419400000012</v>
      </c>
    </row>
    <row r="3853" spans="1:24" ht="15" customHeight="1" x14ac:dyDescent="0.25">
      <c r="A3853">
        <v>3852</v>
      </c>
      <c r="B3853">
        <v>50</v>
      </c>
      <c r="C3853" t="s">
        <v>16</v>
      </c>
      <c r="D3853" t="s">
        <v>129</v>
      </c>
      <c r="E3853" t="s">
        <v>29</v>
      </c>
      <c r="F3853" s="2">
        <v>83</v>
      </c>
      <c r="G3853" t="s">
        <v>39</v>
      </c>
      <c r="H3853" t="s">
        <v>31</v>
      </c>
      <c r="I3853" t="s">
        <v>136</v>
      </c>
      <c r="J3853" t="s">
        <v>57</v>
      </c>
      <c r="K3853">
        <v>3.9</v>
      </c>
      <c r="L3853" t="s">
        <v>23</v>
      </c>
      <c r="M3853" t="s">
        <v>35</v>
      </c>
      <c r="N3853" t="s">
        <v>23</v>
      </c>
      <c r="O3853">
        <v>24</v>
      </c>
      <c r="P3853" t="s">
        <v>36</v>
      </c>
      <c r="Q3853" t="s">
        <v>49</v>
      </c>
      <c r="R3853" s="1">
        <v>0.1</v>
      </c>
      <c r="S3853">
        <f t="shared" si="240"/>
        <v>74.7</v>
      </c>
      <c r="T3853">
        <f>IFERROR(VLOOKUP(A3853,Table1[[Customer ID]:[Discount Amount]], 6, FALSE),"Not Found")</f>
        <v>83</v>
      </c>
      <c r="U3853" t="str">
        <f t="shared" si="241"/>
        <v>Debit Card</v>
      </c>
      <c r="V3853" s="4" t="str">
        <f t="shared" si="242"/>
        <v>Normal</v>
      </c>
      <c r="W3853" s="4" t="str">
        <f t="shared" si="243"/>
        <v>Good</v>
      </c>
      <c r="X3853" s="4">
        <f>AVERAGE(Table1[Purchase Amount])</f>
        <v>129.48419400000012</v>
      </c>
    </row>
    <row r="3854" spans="1:24" ht="15" customHeight="1" x14ac:dyDescent="0.25">
      <c r="A3854">
        <v>3853</v>
      </c>
      <c r="B3854">
        <v>65</v>
      </c>
      <c r="C3854" t="s">
        <v>16</v>
      </c>
      <c r="D3854" t="s">
        <v>64</v>
      </c>
      <c r="E3854" t="s">
        <v>29</v>
      </c>
      <c r="F3854" s="2">
        <v>79</v>
      </c>
      <c r="G3854" t="s">
        <v>149</v>
      </c>
      <c r="H3854" t="s">
        <v>31</v>
      </c>
      <c r="I3854" t="s">
        <v>145</v>
      </c>
      <c r="J3854" t="s">
        <v>47</v>
      </c>
      <c r="K3854">
        <v>4</v>
      </c>
      <c r="L3854" t="s">
        <v>23</v>
      </c>
      <c r="M3854" t="s">
        <v>41</v>
      </c>
      <c r="N3854" t="s">
        <v>23</v>
      </c>
      <c r="O3854">
        <v>19</v>
      </c>
      <c r="P3854" t="s">
        <v>58</v>
      </c>
      <c r="Q3854" t="s">
        <v>26</v>
      </c>
      <c r="R3854" s="1">
        <v>0.1</v>
      </c>
      <c r="S3854">
        <f t="shared" si="240"/>
        <v>71.099999999999994</v>
      </c>
      <c r="T3854">
        <f>IFERROR(VLOOKUP(A3854,Table1[[Customer ID]:[Discount Amount]], 6, FALSE),"Not Found")</f>
        <v>79</v>
      </c>
      <c r="U3854" t="str">
        <f t="shared" si="241"/>
        <v>PayPal</v>
      </c>
      <c r="V3854" s="4" t="str">
        <f t="shared" si="242"/>
        <v>Normal</v>
      </c>
      <c r="W3854" s="4" t="str">
        <f t="shared" si="243"/>
        <v>Good</v>
      </c>
      <c r="X3854" s="4">
        <f>AVERAGE(Table1[Purchase Amount])</f>
        <v>129.48419400000012</v>
      </c>
    </row>
    <row r="3855" spans="1:24" ht="15" customHeight="1" x14ac:dyDescent="0.25">
      <c r="A3855">
        <v>3854</v>
      </c>
      <c r="B3855">
        <v>61</v>
      </c>
      <c r="C3855" t="s">
        <v>16</v>
      </c>
      <c r="D3855" t="s">
        <v>28</v>
      </c>
      <c r="E3855" t="s">
        <v>29</v>
      </c>
      <c r="F3855" s="2">
        <v>76</v>
      </c>
      <c r="G3855" t="s">
        <v>65</v>
      </c>
      <c r="H3855" t="s">
        <v>31</v>
      </c>
      <c r="I3855" t="s">
        <v>107</v>
      </c>
      <c r="J3855" t="s">
        <v>47</v>
      </c>
      <c r="K3855">
        <v>4</v>
      </c>
      <c r="L3855" t="s">
        <v>23</v>
      </c>
      <c r="M3855" t="s">
        <v>48</v>
      </c>
      <c r="N3855" t="s">
        <v>23</v>
      </c>
      <c r="O3855">
        <v>49</v>
      </c>
      <c r="P3855" t="s">
        <v>36</v>
      </c>
      <c r="Q3855" t="s">
        <v>68</v>
      </c>
      <c r="R3855" s="1">
        <v>0.1</v>
      </c>
      <c r="S3855">
        <f t="shared" si="240"/>
        <v>68.400000000000006</v>
      </c>
      <c r="T3855">
        <f>IFERROR(VLOOKUP(A3855,Table1[[Customer ID]:[Discount Amount]], 6, FALSE),"Not Found")</f>
        <v>76</v>
      </c>
      <c r="U3855" t="str">
        <f t="shared" si="241"/>
        <v>Debit Card</v>
      </c>
      <c r="V3855" s="4" t="str">
        <f t="shared" si="242"/>
        <v>Normal</v>
      </c>
      <c r="W3855" s="4" t="str">
        <f t="shared" si="243"/>
        <v>Good</v>
      </c>
      <c r="X3855" s="4">
        <f>AVERAGE(Table1[Purchase Amount])</f>
        <v>129.48419400000012</v>
      </c>
    </row>
    <row r="3856" spans="1:24" ht="15" customHeight="1" x14ac:dyDescent="0.25">
      <c r="A3856">
        <v>3855</v>
      </c>
      <c r="B3856">
        <v>57</v>
      </c>
      <c r="C3856" t="s">
        <v>16</v>
      </c>
      <c r="D3856" t="s">
        <v>17</v>
      </c>
      <c r="E3856" t="s">
        <v>18</v>
      </c>
      <c r="F3856" s="2">
        <v>20</v>
      </c>
      <c r="G3856" t="s">
        <v>67</v>
      </c>
      <c r="H3856" t="s">
        <v>31</v>
      </c>
      <c r="I3856" t="s">
        <v>40</v>
      </c>
      <c r="J3856" t="s">
        <v>33</v>
      </c>
      <c r="K3856">
        <v>4.2</v>
      </c>
      <c r="L3856" t="s">
        <v>23</v>
      </c>
      <c r="M3856" t="s">
        <v>35</v>
      </c>
      <c r="N3856" t="s">
        <v>23</v>
      </c>
      <c r="O3856">
        <v>4</v>
      </c>
      <c r="P3856" t="s">
        <v>62</v>
      </c>
      <c r="Q3856" t="s">
        <v>49</v>
      </c>
      <c r="R3856" s="1">
        <v>0.1</v>
      </c>
      <c r="S3856">
        <f t="shared" si="240"/>
        <v>18</v>
      </c>
      <c r="T3856">
        <f>IFERROR(VLOOKUP(A3856,Table1[[Customer ID]:[Discount Amount]], 6, FALSE),"Not Found")</f>
        <v>20</v>
      </c>
      <c r="U3856" t="str">
        <f t="shared" si="241"/>
        <v>Venmo</v>
      </c>
      <c r="V3856" s="4" t="str">
        <f t="shared" si="242"/>
        <v>Normal</v>
      </c>
      <c r="W3856" s="4" t="str">
        <f t="shared" si="243"/>
        <v>Good</v>
      </c>
      <c r="X3856" s="4">
        <f>AVERAGE(Table1[Purchase Amount])</f>
        <v>129.48419400000012</v>
      </c>
    </row>
    <row r="3857" spans="1:24" ht="15" customHeight="1" x14ac:dyDescent="0.25">
      <c r="A3857">
        <v>3856</v>
      </c>
      <c r="B3857">
        <v>40</v>
      </c>
      <c r="C3857" t="s">
        <v>16</v>
      </c>
      <c r="D3857" t="s">
        <v>38</v>
      </c>
      <c r="E3857" t="s">
        <v>18</v>
      </c>
      <c r="F3857" s="2">
        <v>61</v>
      </c>
      <c r="G3857" t="s">
        <v>44</v>
      </c>
      <c r="H3857" t="s">
        <v>20</v>
      </c>
      <c r="I3857" t="s">
        <v>107</v>
      </c>
      <c r="J3857" t="s">
        <v>57</v>
      </c>
      <c r="K3857">
        <v>4.4000000000000004</v>
      </c>
      <c r="L3857" t="s">
        <v>23</v>
      </c>
      <c r="M3857" t="s">
        <v>79</v>
      </c>
      <c r="N3857" t="s">
        <v>23</v>
      </c>
      <c r="O3857">
        <v>36</v>
      </c>
      <c r="P3857" t="s">
        <v>25</v>
      </c>
      <c r="Q3857" t="s">
        <v>37</v>
      </c>
      <c r="R3857" s="1">
        <v>0.1</v>
      </c>
      <c r="S3857">
        <f t="shared" si="240"/>
        <v>54.9</v>
      </c>
      <c r="T3857">
        <f>IFERROR(VLOOKUP(A3857,Table1[[Customer ID]:[Discount Amount]], 6, FALSE),"Not Found")</f>
        <v>61</v>
      </c>
      <c r="U3857" t="str">
        <f t="shared" si="241"/>
        <v>Cash</v>
      </c>
      <c r="V3857" s="4" t="str">
        <f t="shared" si="242"/>
        <v>Normal</v>
      </c>
      <c r="W3857" s="4" t="str">
        <f t="shared" si="243"/>
        <v>Good</v>
      </c>
      <c r="X3857" s="4">
        <f>AVERAGE(Table1[Purchase Amount])</f>
        <v>129.48419400000012</v>
      </c>
    </row>
    <row r="3858" spans="1:24" ht="15" customHeight="1" x14ac:dyDescent="0.25">
      <c r="A3858">
        <v>3857</v>
      </c>
      <c r="B3858">
        <v>39</v>
      </c>
      <c r="C3858" t="s">
        <v>16</v>
      </c>
      <c r="D3858" t="s">
        <v>121</v>
      </c>
      <c r="E3858" t="s">
        <v>98</v>
      </c>
      <c r="F3858" s="2">
        <v>78</v>
      </c>
      <c r="G3858" t="s">
        <v>138</v>
      </c>
      <c r="H3858" t="s">
        <v>55</v>
      </c>
      <c r="I3858" t="s">
        <v>60</v>
      </c>
      <c r="J3858" t="s">
        <v>57</v>
      </c>
      <c r="K3858">
        <v>2.5</v>
      </c>
      <c r="L3858" t="s">
        <v>23</v>
      </c>
      <c r="M3858" t="s">
        <v>35</v>
      </c>
      <c r="N3858" t="s">
        <v>23</v>
      </c>
      <c r="O3858">
        <v>8</v>
      </c>
      <c r="P3858" t="s">
        <v>36</v>
      </c>
      <c r="Q3858" t="s">
        <v>37</v>
      </c>
      <c r="R3858" s="1">
        <v>0.1</v>
      </c>
      <c r="S3858">
        <f t="shared" si="240"/>
        <v>70.2</v>
      </c>
      <c r="T3858">
        <f>IFERROR(VLOOKUP(A3858,Table1[[Customer ID]:[Discount Amount]], 6, FALSE),"Not Found")</f>
        <v>78</v>
      </c>
      <c r="U3858" t="str">
        <f t="shared" si="241"/>
        <v>Debit Card</v>
      </c>
      <c r="V3858" s="4" t="str">
        <f t="shared" si="242"/>
        <v>Normal</v>
      </c>
      <c r="W3858" s="4" t="str">
        <f t="shared" si="243"/>
        <v>Poor</v>
      </c>
      <c r="X3858" s="4">
        <f>AVERAGE(Table1[Purchase Amount])</f>
        <v>129.48419400000012</v>
      </c>
    </row>
    <row r="3859" spans="1:24" ht="15" customHeight="1" x14ac:dyDescent="0.25">
      <c r="A3859">
        <v>3858</v>
      </c>
      <c r="B3859">
        <v>42</v>
      </c>
      <c r="C3859" t="s">
        <v>16</v>
      </c>
      <c r="D3859" t="s">
        <v>64</v>
      </c>
      <c r="E3859" t="s">
        <v>29</v>
      </c>
      <c r="F3859" s="2">
        <v>21</v>
      </c>
      <c r="G3859" t="s">
        <v>152</v>
      </c>
      <c r="H3859" t="s">
        <v>55</v>
      </c>
      <c r="I3859" t="s">
        <v>52</v>
      </c>
      <c r="J3859" t="s">
        <v>57</v>
      </c>
      <c r="K3859">
        <v>3.1</v>
      </c>
      <c r="L3859" t="s">
        <v>23</v>
      </c>
      <c r="M3859" t="s">
        <v>48</v>
      </c>
      <c r="N3859" t="s">
        <v>23</v>
      </c>
      <c r="O3859">
        <v>29</v>
      </c>
      <c r="P3859" t="s">
        <v>53</v>
      </c>
      <c r="Q3859" t="s">
        <v>63</v>
      </c>
      <c r="R3859" s="1">
        <v>0.1</v>
      </c>
      <c r="S3859">
        <f t="shared" si="240"/>
        <v>18.899999999999999</v>
      </c>
      <c r="T3859">
        <f>IFERROR(VLOOKUP(A3859,Table1[[Customer ID]:[Discount Amount]], 6, FALSE),"Not Found")</f>
        <v>21</v>
      </c>
      <c r="U3859" t="str">
        <f t="shared" si="241"/>
        <v>Credit Card</v>
      </c>
      <c r="V3859" s="4" t="str">
        <f t="shared" si="242"/>
        <v>Normal</v>
      </c>
      <c r="W3859" s="4" t="str">
        <f t="shared" si="243"/>
        <v>Good</v>
      </c>
      <c r="X3859" s="4">
        <f>AVERAGE(Table1[Purchase Amount])</f>
        <v>129.48419400000012</v>
      </c>
    </row>
    <row r="3860" spans="1:24" ht="15" customHeight="1" x14ac:dyDescent="0.25">
      <c r="A3860">
        <v>3859</v>
      </c>
      <c r="B3860">
        <v>30</v>
      </c>
      <c r="C3860" t="s">
        <v>16</v>
      </c>
      <c r="D3860" t="s">
        <v>17</v>
      </c>
      <c r="E3860" t="s">
        <v>18</v>
      </c>
      <c r="F3860" s="2">
        <v>77</v>
      </c>
      <c r="G3860" t="s">
        <v>146</v>
      </c>
      <c r="H3860" t="s">
        <v>31</v>
      </c>
      <c r="I3860" t="s">
        <v>21</v>
      </c>
      <c r="J3860" t="s">
        <v>22</v>
      </c>
      <c r="K3860">
        <v>3.5</v>
      </c>
      <c r="L3860" t="s">
        <v>23</v>
      </c>
      <c r="M3860" t="s">
        <v>48</v>
      </c>
      <c r="N3860" t="s">
        <v>23</v>
      </c>
      <c r="O3860">
        <v>26</v>
      </c>
      <c r="P3860" t="s">
        <v>53</v>
      </c>
      <c r="Q3860" t="s">
        <v>37</v>
      </c>
      <c r="R3860" s="1">
        <v>0.1</v>
      </c>
      <c r="S3860">
        <f t="shared" si="240"/>
        <v>69.3</v>
      </c>
      <c r="T3860">
        <f>IFERROR(VLOOKUP(A3860,Table1[[Customer ID]:[Discount Amount]], 6, FALSE),"Not Found")</f>
        <v>77</v>
      </c>
      <c r="U3860" t="str">
        <f t="shared" si="241"/>
        <v>Credit Card</v>
      </c>
      <c r="V3860" s="4" t="str">
        <f t="shared" si="242"/>
        <v>Normal</v>
      </c>
      <c r="W3860" s="4" t="str">
        <f t="shared" si="243"/>
        <v>Good</v>
      </c>
      <c r="X3860" s="4">
        <f>AVERAGE(Table1[Purchase Amount])</f>
        <v>129.48419400000012</v>
      </c>
    </row>
    <row r="3861" spans="1:24" ht="15" customHeight="1" x14ac:dyDescent="0.25">
      <c r="A3861">
        <v>3860</v>
      </c>
      <c r="B3861">
        <v>65</v>
      </c>
      <c r="C3861" t="s">
        <v>16</v>
      </c>
      <c r="D3861" t="s">
        <v>54</v>
      </c>
      <c r="E3861" t="s">
        <v>18</v>
      </c>
      <c r="F3861" s="2">
        <v>88</v>
      </c>
      <c r="G3861" t="s">
        <v>149</v>
      </c>
      <c r="H3861" t="s">
        <v>55</v>
      </c>
      <c r="I3861" t="s">
        <v>74</v>
      </c>
      <c r="J3861" t="s">
        <v>47</v>
      </c>
      <c r="K3861">
        <v>3</v>
      </c>
      <c r="L3861" t="s">
        <v>23</v>
      </c>
      <c r="M3861" t="s">
        <v>41</v>
      </c>
      <c r="N3861" t="s">
        <v>23</v>
      </c>
      <c r="O3861">
        <v>47</v>
      </c>
      <c r="P3861" t="s">
        <v>88</v>
      </c>
      <c r="Q3861" t="s">
        <v>68</v>
      </c>
      <c r="R3861" s="1">
        <v>0.1</v>
      </c>
      <c r="S3861">
        <f t="shared" si="240"/>
        <v>79.2</v>
      </c>
      <c r="T3861">
        <f>IFERROR(VLOOKUP(A3861,Table1[[Customer ID]:[Discount Amount]], 6, FALSE),"Not Found")</f>
        <v>88</v>
      </c>
      <c r="U3861" t="str">
        <f t="shared" si="241"/>
        <v>Bank Transfer</v>
      </c>
      <c r="V3861" s="4" t="str">
        <f t="shared" si="242"/>
        <v>Normal</v>
      </c>
      <c r="W3861" s="4" t="str">
        <f t="shared" si="243"/>
        <v>Good</v>
      </c>
      <c r="X3861" s="4">
        <f>AVERAGE(Table1[Purchase Amount])</f>
        <v>129.48419400000012</v>
      </c>
    </row>
    <row r="3862" spans="1:24" ht="15" customHeight="1" x14ac:dyDescent="0.25">
      <c r="A3862">
        <v>3861</v>
      </c>
      <c r="B3862">
        <v>57</v>
      </c>
      <c r="C3862" t="s">
        <v>16</v>
      </c>
      <c r="D3862" t="s">
        <v>28</v>
      </c>
      <c r="E3862" t="s">
        <v>29</v>
      </c>
      <c r="F3862" s="2">
        <v>64</v>
      </c>
      <c r="G3862" t="s">
        <v>78</v>
      </c>
      <c r="H3862" t="s">
        <v>31</v>
      </c>
      <c r="I3862" t="s">
        <v>156</v>
      </c>
      <c r="J3862" t="s">
        <v>57</v>
      </c>
      <c r="K3862">
        <v>4.4000000000000004</v>
      </c>
      <c r="L3862" t="s">
        <v>23</v>
      </c>
      <c r="M3862" t="s">
        <v>79</v>
      </c>
      <c r="N3862" t="s">
        <v>23</v>
      </c>
      <c r="O3862">
        <v>44</v>
      </c>
      <c r="P3862" t="s">
        <v>25</v>
      </c>
      <c r="Q3862" t="s">
        <v>49</v>
      </c>
      <c r="R3862" s="1">
        <v>0.1</v>
      </c>
      <c r="S3862">
        <f t="shared" si="240"/>
        <v>57.6</v>
      </c>
      <c r="T3862">
        <f>IFERROR(VLOOKUP(A3862,Table1[[Customer ID]:[Discount Amount]], 6, FALSE),"Not Found")</f>
        <v>64</v>
      </c>
      <c r="U3862" t="str">
        <f t="shared" si="241"/>
        <v>Cash</v>
      </c>
      <c r="V3862" s="4" t="str">
        <f t="shared" si="242"/>
        <v>Normal</v>
      </c>
      <c r="W3862" s="4" t="str">
        <f t="shared" si="243"/>
        <v>Good</v>
      </c>
      <c r="X3862" s="4">
        <f>AVERAGE(Table1[Purchase Amount])</f>
        <v>129.48419400000012</v>
      </c>
    </row>
    <row r="3863" spans="1:24" ht="15" customHeight="1" x14ac:dyDescent="0.25">
      <c r="A3863">
        <v>3862</v>
      </c>
      <c r="B3863">
        <v>64</v>
      </c>
      <c r="C3863" t="s">
        <v>16</v>
      </c>
      <c r="D3863" t="s">
        <v>96</v>
      </c>
      <c r="E3863" t="s">
        <v>77</v>
      </c>
      <c r="F3863" s="2">
        <v>57</v>
      </c>
      <c r="G3863" t="s">
        <v>162</v>
      </c>
      <c r="H3863" t="s">
        <v>31</v>
      </c>
      <c r="I3863" t="s">
        <v>52</v>
      </c>
      <c r="J3863" t="s">
        <v>33</v>
      </c>
      <c r="K3863">
        <v>4.9000000000000004</v>
      </c>
      <c r="L3863" t="s">
        <v>23</v>
      </c>
      <c r="M3863" t="s">
        <v>24</v>
      </c>
      <c r="N3863" t="s">
        <v>23</v>
      </c>
      <c r="O3863">
        <v>49</v>
      </c>
      <c r="P3863" t="s">
        <v>53</v>
      </c>
      <c r="Q3863" t="s">
        <v>42</v>
      </c>
      <c r="R3863" s="1">
        <v>0.1</v>
      </c>
      <c r="S3863">
        <f t="shared" si="240"/>
        <v>51.3</v>
      </c>
      <c r="T3863">
        <f>IFERROR(VLOOKUP(A3863,Table1[[Customer ID]:[Discount Amount]], 6, FALSE),"Not Found")</f>
        <v>57</v>
      </c>
      <c r="U3863" t="str">
        <f t="shared" si="241"/>
        <v>Credit Card</v>
      </c>
      <c r="V3863" s="4" t="str">
        <f t="shared" si="242"/>
        <v>Normal</v>
      </c>
      <c r="W3863" s="4" t="str">
        <f t="shared" si="243"/>
        <v>Good</v>
      </c>
      <c r="X3863" s="4">
        <f>AVERAGE(Table1[Purchase Amount])</f>
        <v>129.48419400000012</v>
      </c>
    </row>
    <row r="3864" spans="1:24" ht="15" customHeight="1" x14ac:dyDescent="0.25">
      <c r="A3864">
        <v>3863</v>
      </c>
      <c r="B3864">
        <v>56</v>
      </c>
      <c r="C3864" t="s">
        <v>16</v>
      </c>
      <c r="D3864" t="s">
        <v>38</v>
      </c>
      <c r="E3864" t="s">
        <v>18</v>
      </c>
      <c r="F3864" s="2">
        <v>49</v>
      </c>
      <c r="G3864" t="s">
        <v>161</v>
      </c>
      <c r="H3864" t="s">
        <v>45</v>
      </c>
      <c r="I3864" t="s">
        <v>156</v>
      </c>
      <c r="J3864" t="s">
        <v>22</v>
      </c>
      <c r="K3864">
        <v>2.8</v>
      </c>
      <c r="L3864" t="s">
        <v>23</v>
      </c>
      <c r="M3864" t="s">
        <v>79</v>
      </c>
      <c r="N3864" t="s">
        <v>23</v>
      </c>
      <c r="O3864">
        <v>9</v>
      </c>
      <c r="P3864" t="s">
        <v>62</v>
      </c>
      <c r="Q3864" t="s">
        <v>42</v>
      </c>
      <c r="R3864" s="1">
        <v>0.1</v>
      </c>
      <c r="S3864">
        <f t="shared" si="240"/>
        <v>44.1</v>
      </c>
      <c r="T3864">
        <f>IFERROR(VLOOKUP(A3864,Table1[[Customer ID]:[Discount Amount]], 6, FALSE),"Not Found")</f>
        <v>49</v>
      </c>
      <c r="U3864" t="str">
        <f t="shared" si="241"/>
        <v>Venmo</v>
      </c>
      <c r="V3864" s="4" t="str">
        <f t="shared" si="242"/>
        <v>Normal</v>
      </c>
      <c r="W3864" s="4" t="str">
        <f t="shared" si="243"/>
        <v>Poor</v>
      </c>
      <c r="X3864" s="4">
        <f>AVERAGE(Table1[Purchase Amount])</f>
        <v>129.48419400000012</v>
      </c>
    </row>
    <row r="3865" spans="1:24" ht="15" customHeight="1" x14ac:dyDescent="0.25">
      <c r="A3865">
        <v>3864</v>
      </c>
      <c r="B3865">
        <v>40</v>
      </c>
      <c r="C3865" t="s">
        <v>16</v>
      </c>
      <c r="D3865" t="s">
        <v>129</v>
      </c>
      <c r="E3865" t="s">
        <v>29</v>
      </c>
      <c r="F3865" s="2">
        <v>35</v>
      </c>
      <c r="G3865" t="s">
        <v>132</v>
      </c>
      <c r="H3865" t="s">
        <v>31</v>
      </c>
      <c r="I3865" t="s">
        <v>108</v>
      </c>
      <c r="J3865" t="s">
        <v>57</v>
      </c>
      <c r="K3865">
        <v>3.3</v>
      </c>
      <c r="L3865" t="s">
        <v>23</v>
      </c>
      <c r="M3865" t="s">
        <v>35</v>
      </c>
      <c r="N3865" t="s">
        <v>23</v>
      </c>
      <c r="O3865">
        <v>28</v>
      </c>
      <c r="P3865" t="s">
        <v>25</v>
      </c>
      <c r="Q3865" t="s">
        <v>89</v>
      </c>
      <c r="R3865" s="1">
        <v>0.1</v>
      </c>
      <c r="S3865">
        <f t="shared" si="240"/>
        <v>31.5</v>
      </c>
      <c r="T3865">
        <f>IFERROR(VLOOKUP(A3865,Table1[[Customer ID]:[Discount Amount]], 6, FALSE),"Not Found")</f>
        <v>35</v>
      </c>
      <c r="U3865" t="str">
        <f t="shared" si="241"/>
        <v>Cash</v>
      </c>
      <c r="V3865" s="4" t="str">
        <f t="shared" si="242"/>
        <v>Normal</v>
      </c>
      <c r="W3865" s="4" t="str">
        <f t="shared" si="243"/>
        <v>Good</v>
      </c>
      <c r="X3865" s="4">
        <f>AVERAGE(Table1[Purchase Amount])</f>
        <v>129.48419400000012</v>
      </c>
    </row>
    <row r="3866" spans="1:24" ht="15" customHeight="1" x14ac:dyDescent="0.25">
      <c r="A3866">
        <v>3865</v>
      </c>
      <c r="B3866">
        <v>55</v>
      </c>
      <c r="C3866" t="s">
        <v>16</v>
      </c>
      <c r="D3866" t="s">
        <v>17</v>
      </c>
      <c r="E3866" t="s">
        <v>18</v>
      </c>
      <c r="F3866" s="2">
        <v>99</v>
      </c>
      <c r="G3866" t="s">
        <v>162</v>
      </c>
      <c r="H3866" t="s">
        <v>55</v>
      </c>
      <c r="I3866" t="s">
        <v>74</v>
      </c>
      <c r="J3866" t="s">
        <v>22</v>
      </c>
      <c r="K3866">
        <v>4.9000000000000004</v>
      </c>
      <c r="L3866" t="s">
        <v>23</v>
      </c>
      <c r="M3866" t="s">
        <v>61</v>
      </c>
      <c r="N3866" t="s">
        <v>23</v>
      </c>
      <c r="O3866">
        <v>1</v>
      </c>
      <c r="P3866" t="s">
        <v>36</v>
      </c>
      <c r="Q3866" t="s">
        <v>89</v>
      </c>
      <c r="R3866" s="1">
        <v>0.1</v>
      </c>
      <c r="S3866">
        <f t="shared" si="240"/>
        <v>89.1</v>
      </c>
      <c r="T3866">
        <f>IFERROR(VLOOKUP(A3866,Table1[[Customer ID]:[Discount Amount]], 6, FALSE),"Not Found")</f>
        <v>99</v>
      </c>
      <c r="U3866" t="str">
        <f t="shared" si="241"/>
        <v>Debit Card</v>
      </c>
      <c r="V3866" s="4" t="str">
        <f t="shared" si="242"/>
        <v>Normal</v>
      </c>
      <c r="W3866" s="4" t="str">
        <f t="shared" si="243"/>
        <v>Good</v>
      </c>
      <c r="X3866" s="4">
        <f>AVERAGE(Table1[Purchase Amount])</f>
        <v>129.48419400000012</v>
      </c>
    </row>
    <row r="3867" spans="1:24" ht="15" customHeight="1" x14ac:dyDescent="0.25">
      <c r="A3867">
        <v>3866</v>
      </c>
      <c r="B3867">
        <v>25</v>
      </c>
      <c r="C3867" t="s">
        <v>16</v>
      </c>
      <c r="D3867" t="s">
        <v>54</v>
      </c>
      <c r="E3867" t="s">
        <v>18</v>
      </c>
      <c r="F3867" s="2">
        <v>42</v>
      </c>
      <c r="G3867" t="s">
        <v>137</v>
      </c>
      <c r="H3867" t="s">
        <v>31</v>
      </c>
      <c r="I3867" t="s">
        <v>21</v>
      </c>
      <c r="J3867" t="s">
        <v>33</v>
      </c>
      <c r="K3867">
        <v>4.2</v>
      </c>
      <c r="L3867" t="s">
        <v>23</v>
      </c>
      <c r="M3867" t="s">
        <v>48</v>
      </c>
      <c r="N3867" t="s">
        <v>23</v>
      </c>
      <c r="O3867">
        <v>28</v>
      </c>
      <c r="P3867" t="s">
        <v>25</v>
      </c>
      <c r="Q3867" t="s">
        <v>63</v>
      </c>
      <c r="R3867" s="1">
        <v>0.1</v>
      </c>
      <c r="S3867">
        <f t="shared" si="240"/>
        <v>37.799999999999997</v>
      </c>
      <c r="T3867">
        <f>IFERROR(VLOOKUP(A3867,Table1[[Customer ID]:[Discount Amount]], 6, FALSE),"Not Found")</f>
        <v>42</v>
      </c>
      <c r="U3867" t="str">
        <f t="shared" si="241"/>
        <v>Cash</v>
      </c>
      <c r="V3867" s="4" t="str">
        <f t="shared" si="242"/>
        <v>Normal</v>
      </c>
      <c r="W3867" s="4" t="str">
        <f t="shared" si="243"/>
        <v>Good</v>
      </c>
      <c r="X3867" s="4">
        <f>AVERAGE(Table1[Purchase Amount])</f>
        <v>129.48419400000012</v>
      </c>
    </row>
    <row r="3868" spans="1:24" ht="15" customHeight="1" x14ac:dyDescent="0.25">
      <c r="A3868">
        <v>3867</v>
      </c>
      <c r="B3868">
        <v>58</v>
      </c>
      <c r="C3868" t="s">
        <v>16</v>
      </c>
      <c r="D3868" t="s">
        <v>64</v>
      </c>
      <c r="E3868" t="s">
        <v>29</v>
      </c>
      <c r="F3868" s="2">
        <v>32</v>
      </c>
      <c r="G3868" t="s">
        <v>148</v>
      </c>
      <c r="H3868" t="s">
        <v>31</v>
      </c>
      <c r="I3868" t="s">
        <v>56</v>
      </c>
      <c r="J3868" t="s">
        <v>22</v>
      </c>
      <c r="K3868">
        <v>3.3</v>
      </c>
      <c r="L3868" t="s">
        <v>23</v>
      </c>
      <c r="M3868" t="s">
        <v>41</v>
      </c>
      <c r="N3868" t="s">
        <v>23</v>
      </c>
      <c r="O3868">
        <v>33</v>
      </c>
      <c r="P3868" t="s">
        <v>53</v>
      </c>
      <c r="Q3868" t="s">
        <v>89</v>
      </c>
      <c r="R3868" s="1">
        <v>0.1</v>
      </c>
      <c r="S3868">
        <f t="shared" si="240"/>
        <v>28.8</v>
      </c>
      <c r="T3868">
        <f>IFERROR(VLOOKUP(A3868,Table1[[Customer ID]:[Discount Amount]], 6, FALSE),"Not Found")</f>
        <v>32</v>
      </c>
      <c r="U3868" t="str">
        <f t="shared" si="241"/>
        <v>Credit Card</v>
      </c>
      <c r="V3868" s="4" t="str">
        <f t="shared" si="242"/>
        <v>Normal</v>
      </c>
      <c r="W3868" s="4" t="str">
        <f t="shared" si="243"/>
        <v>Good</v>
      </c>
      <c r="X3868" s="4">
        <f>AVERAGE(Table1[Purchase Amount])</f>
        <v>129.48419400000012</v>
      </c>
    </row>
    <row r="3869" spans="1:24" ht="15" customHeight="1" x14ac:dyDescent="0.25">
      <c r="A3869">
        <v>3868</v>
      </c>
      <c r="B3869">
        <v>46</v>
      </c>
      <c r="C3869" t="s">
        <v>16</v>
      </c>
      <c r="D3869" t="s">
        <v>96</v>
      </c>
      <c r="E3869" t="s">
        <v>77</v>
      </c>
      <c r="F3869" s="2">
        <v>21</v>
      </c>
      <c r="G3869" t="s">
        <v>106</v>
      </c>
      <c r="H3869" t="s">
        <v>45</v>
      </c>
      <c r="I3869" t="s">
        <v>107</v>
      </c>
      <c r="J3869" t="s">
        <v>57</v>
      </c>
      <c r="K3869">
        <v>2.7</v>
      </c>
      <c r="L3869" t="s">
        <v>23</v>
      </c>
      <c r="M3869" t="s">
        <v>24</v>
      </c>
      <c r="N3869" t="s">
        <v>23</v>
      </c>
      <c r="O3869">
        <v>28</v>
      </c>
      <c r="P3869" t="s">
        <v>53</v>
      </c>
      <c r="Q3869" t="s">
        <v>42</v>
      </c>
      <c r="R3869" s="1">
        <v>0.1</v>
      </c>
      <c r="S3869">
        <f t="shared" si="240"/>
        <v>18.899999999999999</v>
      </c>
      <c r="T3869">
        <f>IFERROR(VLOOKUP(A3869,Table1[[Customer ID]:[Discount Amount]], 6, FALSE),"Not Found")</f>
        <v>21</v>
      </c>
      <c r="U3869" t="str">
        <f t="shared" si="241"/>
        <v>Credit Card</v>
      </c>
      <c r="V3869" s="4" t="str">
        <f t="shared" si="242"/>
        <v>Normal</v>
      </c>
      <c r="W3869" s="4" t="str">
        <f t="shared" si="243"/>
        <v>Poor</v>
      </c>
      <c r="X3869" s="4">
        <f>AVERAGE(Table1[Purchase Amount])</f>
        <v>129.48419400000012</v>
      </c>
    </row>
    <row r="3870" spans="1:24" ht="15" customHeight="1" x14ac:dyDescent="0.25">
      <c r="A3870">
        <v>3869</v>
      </c>
      <c r="B3870">
        <v>18</v>
      </c>
      <c r="C3870" t="s">
        <v>16</v>
      </c>
      <c r="D3870" t="s">
        <v>157</v>
      </c>
      <c r="E3870" t="s">
        <v>18</v>
      </c>
      <c r="F3870" s="2">
        <v>29</v>
      </c>
      <c r="G3870" t="s">
        <v>106</v>
      </c>
      <c r="H3870" t="s">
        <v>20</v>
      </c>
      <c r="I3870" t="s">
        <v>87</v>
      </c>
      <c r="J3870" t="s">
        <v>22</v>
      </c>
      <c r="K3870">
        <v>3.3</v>
      </c>
      <c r="L3870" t="s">
        <v>23</v>
      </c>
      <c r="M3870" t="s">
        <v>41</v>
      </c>
      <c r="N3870" t="s">
        <v>23</v>
      </c>
      <c r="O3870">
        <v>9</v>
      </c>
      <c r="P3870" t="s">
        <v>25</v>
      </c>
      <c r="Q3870" t="s">
        <v>49</v>
      </c>
      <c r="R3870" s="1">
        <v>0.1</v>
      </c>
      <c r="S3870">
        <f t="shared" si="240"/>
        <v>26.1</v>
      </c>
      <c r="T3870">
        <f>IFERROR(VLOOKUP(A3870,Table1[[Customer ID]:[Discount Amount]], 6, FALSE),"Not Found")</f>
        <v>29</v>
      </c>
      <c r="U3870" t="str">
        <f t="shared" si="241"/>
        <v>Cash</v>
      </c>
      <c r="V3870" s="4" t="str">
        <f t="shared" si="242"/>
        <v>Normal</v>
      </c>
      <c r="W3870" s="4" t="str">
        <f t="shared" si="243"/>
        <v>Good</v>
      </c>
      <c r="X3870" s="4">
        <f>AVERAGE(Table1[Purchase Amount])</f>
        <v>129.48419400000012</v>
      </c>
    </row>
    <row r="3871" spans="1:24" ht="15" customHeight="1" x14ac:dyDescent="0.25">
      <c r="A3871">
        <v>3870</v>
      </c>
      <c r="B3871">
        <v>26</v>
      </c>
      <c r="C3871" t="s">
        <v>16</v>
      </c>
      <c r="D3871" t="s">
        <v>76</v>
      </c>
      <c r="E3871" t="s">
        <v>77</v>
      </c>
      <c r="F3871" s="2">
        <v>64</v>
      </c>
      <c r="G3871" t="s">
        <v>150</v>
      </c>
      <c r="H3871" t="s">
        <v>45</v>
      </c>
      <c r="I3871" t="s">
        <v>128</v>
      </c>
      <c r="J3871" t="s">
        <v>33</v>
      </c>
      <c r="K3871">
        <v>3.8</v>
      </c>
      <c r="L3871" t="s">
        <v>23</v>
      </c>
      <c r="M3871" t="s">
        <v>35</v>
      </c>
      <c r="N3871" t="s">
        <v>23</v>
      </c>
      <c r="O3871">
        <v>28</v>
      </c>
      <c r="P3871" t="s">
        <v>88</v>
      </c>
      <c r="Q3871" t="s">
        <v>49</v>
      </c>
      <c r="R3871" s="1">
        <v>0.1</v>
      </c>
      <c r="S3871">
        <f t="shared" si="240"/>
        <v>57.6</v>
      </c>
      <c r="T3871">
        <f>IFERROR(VLOOKUP(A3871,Table1[[Customer ID]:[Discount Amount]], 6, FALSE),"Not Found")</f>
        <v>64</v>
      </c>
      <c r="U3871" t="str">
        <f t="shared" si="241"/>
        <v>Bank Transfer</v>
      </c>
      <c r="V3871" s="4" t="str">
        <f t="shared" si="242"/>
        <v>Normal</v>
      </c>
      <c r="W3871" s="4" t="str">
        <f t="shared" si="243"/>
        <v>Good</v>
      </c>
      <c r="X3871" s="4">
        <f>AVERAGE(Table1[Purchase Amount])</f>
        <v>129.48419400000012</v>
      </c>
    </row>
    <row r="3872" spans="1:24" ht="15" customHeight="1" x14ac:dyDescent="0.25">
      <c r="A3872">
        <v>3871</v>
      </c>
      <c r="B3872">
        <v>61</v>
      </c>
      <c r="C3872" t="s">
        <v>16</v>
      </c>
      <c r="D3872" t="s">
        <v>121</v>
      </c>
      <c r="E3872" t="s">
        <v>98</v>
      </c>
      <c r="F3872" s="2">
        <v>46</v>
      </c>
      <c r="G3872" t="s">
        <v>90</v>
      </c>
      <c r="H3872" t="s">
        <v>45</v>
      </c>
      <c r="I3872" t="s">
        <v>107</v>
      </c>
      <c r="J3872" t="s">
        <v>47</v>
      </c>
      <c r="K3872">
        <v>3.2</v>
      </c>
      <c r="L3872" t="s">
        <v>23</v>
      </c>
      <c r="M3872" t="s">
        <v>79</v>
      </c>
      <c r="N3872" t="s">
        <v>23</v>
      </c>
      <c r="O3872">
        <v>19</v>
      </c>
      <c r="P3872" t="s">
        <v>25</v>
      </c>
      <c r="Q3872" t="s">
        <v>63</v>
      </c>
      <c r="R3872" s="1">
        <v>0.1</v>
      </c>
      <c r="S3872">
        <f t="shared" si="240"/>
        <v>41.4</v>
      </c>
      <c r="T3872">
        <f>IFERROR(VLOOKUP(A3872,Table1[[Customer ID]:[Discount Amount]], 6, FALSE),"Not Found")</f>
        <v>46</v>
      </c>
      <c r="U3872" t="str">
        <f t="shared" si="241"/>
        <v>Cash</v>
      </c>
      <c r="V3872" s="4" t="str">
        <f t="shared" si="242"/>
        <v>Normal</v>
      </c>
      <c r="W3872" s="4" t="str">
        <f t="shared" si="243"/>
        <v>Good</v>
      </c>
      <c r="X3872" s="4">
        <f>AVERAGE(Table1[Purchase Amount])</f>
        <v>129.48419400000012</v>
      </c>
    </row>
    <row r="3873" spans="1:24" ht="15" customHeight="1" x14ac:dyDescent="0.25">
      <c r="A3873">
        <v>3872</v>
      </c>
      <c r="B3873">
        <v>55</v>
      </c>
      <c r="C3873" t="s">
        <v>16</v>
      </c>
      <c r="D3873" t="s">
        <v>17</v>
      </c>
      <c r="E3873" t="s">
        <v>18</v>
      </c>
      <c r="F3873" s="2">
        <v>97</v>
      </c>
      <c r="G3873" t="s">
        <v>120</v>
      </c>
      <c r="H3873" t="s">
        <v>31</v>
      </c>
      <c r="I3873" t="s">
        <v>40</v>
      </c>
      <c r="J3873" t="s">
        <v>47</v>
      </c>
      <c r="K3873">
        <v>4.0999999999999996</v>
      </c>
      <c r="L3873" t="s">
        <v>23</v>
      </c>
      <c r="M3873" t="s">
        <v>41</v>
      </c>
      <c r="N3873" t="s">
        <v>23</v>
      </c>
      <c r="O3873">
        <v>20</v>
      </c>
      <c r="P3873" t="s">
        <v>88</v>
      </c>
      <c r="Q3873" t="s">
        <v>63</v>
      </c>
      <c r="R3873" s="1">
        <v>0.1</v>
      </c>
      <c r="S3873">
        <f t="shared" si="240"/>
        <v>87.3</v>
      </c>
      <c r="T3873">
        <f>IFERROR(VLOOKUP(A3873,Table1[[Customer ID]:[Discount Amount]], 6, FALSE),"Not Found")</f>
        <v>97</v>
      </c>
      <c r="U3873" t="str">
        <f t="shared" si="241"/>
        <v>Bank Transfer</v>
      </c>
      <c r="V3873" s="4" t="str">
        <f t="shared" si="242"/>
        <v>Normal</v>
      </c>
      <c r="W3873" s="4" t="str">
        <f t="shared" si="243"/>
        <v>Good</v>
      </c>
      <c r="X3873" s="4">
        <f>AVERAGE(Table1[Purchase Amount])</f>
        <v>129.48419400000012</v>
      </c>
    </row>
    <row r="3874" spans="1:24" ht="15" customHeight="1" x14ac:dyDescent="0.25">
      <c r="A3874">
        <v>3873</v>
      </c>
      <c r="B3874">
        <v>41</v>
      </c>
      <c r="C3874" t="s">
        <v>16</v>
      </c>
      <c r="D3874" t="s">
        <v>96</v>
      </c>
      <c r="E3874" t="s">
        <v>77</v>
      </c>
      <c r="F3874" s="2">
        <v>94</v>
      </c>
      <c r="G3874" t="s">
        <v>132</v>
      </c>
      <c r="H3874" t="s">
        <v>31</v>
      </c>
      <c r="I3874" t="s">
        <v>93</v>
      </c>
      <c r="J3874" t="s">
        <v>33</v>
      </c>
      <c r="K3874">
        <v>4.3</v>
      </c>
      <c r="L3874" t="s">
        <v>23</v>
      </c>
      <c r="M3874" t="s">
        <v>24</v>
      </c>
      <c r="N3874" t="s">
        <v>23</v>
      </c>
      <c r="O3874">
        <v>3</v>
      </c>
      <c r="P3874" t="s">
        <v>25</v>
      </c>
      <c r="Q3874" t="s">
        <v>42</v>
      </c>
      <c r="R3874" s="1">
        <v>0.1</v>
      </c>
      <c r="S3874">
        <f t="shared" si="240"/>
        <v>84.6</v>
      </c>
      <c r="T3874">
        <f>IFERROR(VLOOKUP(A3874,Table1[[Customer ID]:[Discount Amount]], 6, FALSE),"Not Found")</f>
        <v>94</v>
      </c>
      <c r="U3874" t="str">
        <f t="shared" si="241"/>
        <v>Cash</v>
      </c>
      <c r="V3874" s="4" t="str">
        <f t="shared" si="242"/>
        <v>Normal</v>
      </c>
      <c r="W3874" s="4" t="str">
        <f t="shared" si="243"/>
        <v>Good</v>
      </c>
      <c r="X3874" s="4">
        <f>AVERAGE(Table1[Purchase Amount])</f>
        <v>129.48419400000012</v>
      </c>
    </row>
    <row r="3875" spans="1:24" ht="15" customHeight="1" x14ac:dyDescent="0.25">
      <c r="A3875">
        <v>3874</v>
      </c>
      <c r="B3875">
        <v>42</v>
      </c>
      <c r="C3875" t="s">
        <v>16</v>
      </c>
      <c r="D3875" t="s">
        <v>121</v>
      </c>
      <c r="E3875" t="s">
        <v>98</v>
      </c>
      <c r="F3875" s="2">
        <v>43</v>
      </c>
      <c r="G3875" t="s">
        <v>119</v>
      </c>
      <c r="H3875" t="s">
        <v>45</v>
      </c>
      <c r="I3875" t="s">
        <v>153</v>
      </c>
      <c r="J3875" t="s">
        <v>57</v>
      </c>
      <c r="K3875">
        <v>4</v>
      </c>
      <c r="L3875" t="s">
        <v>23</v>
      </c>
      <c r="M3875" t="s">
        <v>24</v>
      </c>
      <c r="N3875" t="s">
        <v>23</v>
      </c>
      <c r="O3875">
        <v>22</v>
      </c>
      <c r="P3875" t="s">
        <v>53</v>
      </c>
      <c r="Q3875" t="s">
        <v>26</v>
      </c>
      <c r="R3875" s="1">
        <v>0.1</v>
      </c>
      <c r="S3875">
        <f t="shared" si="240"/>
        <v>38.700000000000003</v>
      </c>
      <c r="T3875">
        <f>IFERROR(VLOOKUP(A3875,Table1[[Customer ID]:[Discount Amount]], 6, FALSE),"Not Found")</f>
        <v>43</v>
      </c>
      <c r="U3875" t="str">
        <f t="shared" si="241"/>
        <v>Credit Card</v>
      </c>
      <c r="V3875" s="4" t="str">
        <f t="shared" si="242"/>
        <v>Normal</v>
      </c>
      <c r="W3875" s="4" t="str">
        <f t="shared" si="243"/>
        <v>Good</v>
      </c>
      <c r="X3875" s="4">
        <f>AVERAGE(Table1[Purchase Amount])</f>
        <v>129.48419400000012</v>
      </c>
    </row>
    <row r="3876" spans="1:24" ht="15" customHeight="1" x14ac:dyDescent="0.25">
      <c r="A3876">
        <v>3875</v>
      </c>
      <c r="B3876">
        <v>70</v>
      </c>
      <c r="C3876" t="s">
        <v>16</v>
      </c>
      <c r="D3876" t="s">
        <v>127</v>
      </c>
      <c r="E3876" t="s">
        <v>18</v>
      </c>
      <c r="F3876" s="2">
        <v>54</v>
      </c>
      <c r="G3876" t="s">
        <v>158</v>
      </c>
      <c r="H3876" t="s">
        <v>20</v>
      </c>
      <c r="I3876" t="s">
        <v>56</v>
      </c>
      <c r="J3876" t="s">
        <v>57</v>
      </c>
      <c r="K3876">
        <v>3.9</v>
      </c>
      <c r="L3876" t="s">
        <v>23</v>
      </c>
      <c r="M3876" t="s">
        <v>41</v>
      </c>
      <c r="N3876" t="s">
        <v>23</v>
      </c>
      <c r="O3876">
        <v>33</v>
      </c>
      <c r="P3876" t="s">
        <v>53</v>
      </c>
      <c r="Q3876" t="s">
        <v>68</v>
      </c>
      <c r="R3876" s="1">
        <v>0.1</v>
      </c>
      <c r="S3876">
        <f t="shared" si="240"/>
        <v>48.6</v>
      </c>
      <c r="T3876">
        <f>IFERROR(VLOOKUP(A3876,Table1[[Customer ID]:[Discount Amount]], 6, FALSE),"Not Found")</f>
        <v>54</v>
      </c>
      <c r="U3876" t="str">
        <f t="shared" si="241"/>
        <v>Credit Card</v>
      </c>
      <c r="V3876" s="4" t="str">
        <f t="shared" si="242"/>
        <v>Normal</v>
      </c>
      <c r="W3876" s="4" t="str">
        <f t="shared" si="243"/>
        <v>Good</v>
      </c>
      <c r="X3876" s="4">
        <f>AVERAGE(Table1[Purchase Amount])</f>
        <v>129.48419400000012</v>
      </c>
    </row>
    <row r="3877" spans="1:24" ht="15" customHeight="1" x14ac:dyDescent="0.25">
      <c r="A3877">
        <v>3876</v>
      </c>
      <c r="B3877">
        <v>63</v>
      </c>
      <c r="C3877" t="s">
        <v>16</v>
      </c>
      <c r="D3877" t="s">
        <v>64</v>
      </c>
      <c r="E3877" t="s">
        <v>29</v>
      </c>
      <c r="F3877" s="2">
        <v>51</v>
      </c>
      <c r="G3877" t="s">
        <v>132</v>
      </c>
      <c r="H3877" t="s">
        <v>31</v>
      </c>
      <c r="I3877" t="s">
        <v>136</v>
      </c>
      <c r="J3877" t="s">
        <v>22</v>
      </c>
      <c r="K3877">
        <v>3.3</v>
      </c>
      <c r="L3877" t="s">
        <v>23</v>
      </c>
      <c r="M3877" t="s">
        <v>41</v>
      </c>
      <c r="N3877" t="s">
        <v>23</v>
      </c>
      <c r="O3877">
        <v>21</v>
      </c>
      <c r="P3877" t="s">
        <v>53</v>
      </c>
      <c r="Q3877" t="s">
        <v>49</v>
      </c>
      <c r="R3877" s="1">
        <v>0.1</v>
      </c>
      <c r="S3877">
        <f t="shared" si="240"/>
        <v>45.9</v>
      </c>
      <c r="T3877">
        <f>IFERROR(VLOOKUP(A3877,Table1[[Customer ID]:[Discount Amount]], 6, FALSE),"Not Found")</f>
        <v>51</v>
      </c>
      <c r="U3877" t="str">
        <f t="shared" si="241"/>
        <v>Credit Card</v>
      </c>
      <c r="V3877" s="4" t="str">
        <f t="shared" si="242"/>
        <v>Normal</v>
      </c>
      <c r="W3877" s="4" t="str">
        <f t="shared" si="243"/>
        <v>Good</v>
      </c>
      <c r="X3877" s="4">
        <f>AVERAGE(Table1[Purchase Amount])</f>
        <v>129.48419400000012</v>
      </c>
    </row>
    <row r="3878" spans="1:24" ht="15" customHeight="1" x14ac:dyDescent="0.25">
      <c r="A3878">
        <v>3877</v>
      </c>
      <c r="B3878">
        <v>60</v>
      </c>
      <c r="C3878" t="s">
        <v>16</v>
      </c>
      <c r="D3878" t="s">
        <v>72</v>
      </c>
      <c r="E3878" t="s">
        <v>98</v>
      </c>
      <c r="F3878" s="2">
        <v>85</v>
      </c>
      <c r="G3878" t="s">
        <v>59</v>
      </c>
      <c r="H3878" t="s">
        <v>55</v>
      </c>
      <c r="I3878" t="s">
        <v>128</v>
      </c>
      <c r="J3878" t="s">
        <v>47</v>
      </c>
      <c r="K3878">
        <v>2.6</v>
      </c>
      <c r="L3878" t="s">
        <v>23</v>
      </c>
      <c r="M3878" t="s">
        <v>41</v>
      </c>
      <c r="N3878" t="s">
        <v>23</v>
      </c>
      <c r="O3878">
        <v>7</v>
      </c>
      <c r="P3878" t="s">
        <v>25</v>
      </c>
      <c r="Q3878" t="s">
        <v>49</v>
      </c>
      <c r="R3878" s="1">
        <v>0.1</v>
      </c>
      <c r="S3878">
        <f t="shared" si="240"/>
        <v>76.5</v>
      </c>
      <c r="T3878">
        <f>IFERROR(VLOOKUP(A3878,Table1[[Customer ID]:[Discount Amount]], 6, FALSE),"Not Found")</f>
        <v>85</v>
      </c>
      <c r="U3878" t="str">
        <f t="shared" si="241"/>
        <v>Cash</v>
      </c>
      <c r="V3878" s="4" t="str">
        <f t="shared" si="242"/>
        <v>Normal</v>
      </c>
      <c r="W3878" s="4" t="str">
        <f t="shared" si="243"/>
        <v>Poor</v>
      </c>
      <c r="X3878" s="4">
        <f>AVERAGE(Table1[Purchase Amount])</f>
        <v>129.48419400000012</v>
      </c>
    </row>
    <row r="3879" spans="1:24" ht="15" customHeight="1" x14ac:dyDescent="0.25">
      <c r="A3879">
        <v>3878</v>
      </c>
      <c r="B3879">
        <v>28</v>
      </c>
      <c r="C3879" t="s">
        <v>16</v>
      </c>
      <c r="D3879" t="s">
        <v>83</v>
      </c>
      <c r="E3879" t="s">
        <v>18</v>
      </c>
      <c r="F3879" s="2">
        <v>96</v>
      </c>
      <c r="G3879" t="s">
        <v>158</v>
      </c>
      <c r="H3879" t="s">
        <v>31</v>
      </c>
      <c r="I3879" t="s">
        <v>21</v>
      </c>
      <c r="J3879" t="s">
        <v>33</v>
      </c>
      <c r="K3879">
        <v>4.2</v>
      </c>
      <c r="L3879" t="s">
        <v>23</v>
      </c>
      <c r="M3879" t="s">
        <v>79</v>
      </c>
      <c r="N3879" t="s">
        <v>23</v>
      </c>
      <c r="O3879">
        <v>46</v>
      </c>
      <c r="P3879" t="s">
        <v>36</v>
      </c>
      <c r="Q3879" t="s">
        <v>42</v>
      </c>
      <c r="R3879" s="1">
        <v>0.1</v>
      </c>
      <c r="S3879">
        <f t="shared" si="240"/>
        <v>86.4</v>
      </c>
      <c r="T3879">
        <f>IFERROR(VLOOKUP(A3879,Table1[[Customer ID]:[Discount Amount]], 6, FALSE),"Not Found")</f>
        <v>96</v>
      </c>
      <c r="U3879" t="str">
        <f t="shared" si="241"/>
        <v>Debit Card</v>
      </c>
      <c r="V3879" s="4" t="str">
        <f t="shared" si="242"/>
        <v>Normal</v>
      </c>
      <c r="W3879" s="4" t="str">
        <f t="shared" si="243"/>
        <v>Good</v>
      </c>
      <c r="X3879" s="4">
        <f>AVERAGE(Table1[Purchase Amount])</f>
        <v>129.48419400000012</v>
      </c>
    </row>
    <row r="3880" spans="1:24" ht="15" customHeight="1" x14ac:dyDescent="0.25">
      <c r="A3880">
        <v>3879</v>
      </c>
      <c r="B3880">
        <v>60</v>
      </c>
      <c r="C3880" t="s">
        <v>16</v>
      </c>
      <c r="D3880" t="s">
        <v>64</v>
      </c>
      <c r="E3880" t="s">
        <v>29</v>
      </c>
      <c r="F3880" s="2">
        <v>42</v>
      </c>
      <c r="G3880" t="s">
        <v>30</v>
      </c>
      <c r="H3880" t="s">
        <v>31</v>
      </c>
      <c r="I3880" t="s">
        <v>136</v>
      </c>
      <c r="J3880" t="s">
        <v>57</v>
      </c>
      <c r="K3880">
        <v>3.4</v>
      </c>
      <c r="L3880" t="s">
        <v>23</v>
      </c>
      <c r="M3880" t="s">
        <v>41</v>
      </c>
      <c r="N3880" t="s">
        <v>23</v>
      </c>
      <c r="O3880">
        <v>24</v>
      </c>
      <c r="P3880" t="s">
        <v>53</v>
      </c>
      <c r="Q3880" t="s">
        <v>49</v>
      </c>
      <c r="R3880" s="1">
        <v>0.1</v>
      </c>
      <c r="S3880">
        <f t="shared" si="240"/>
        <v>37.799999999999997</v>
      </c>
      <c r="T3880">
        <f>IFERROR(VLOOKUP(A3880,Table1[[Customer ID]:[Discount Amount]], 6, FALSE),"Not Found")</f>
        <v>42</v>
      </c>
      <c r="U3880" t="str">
        <f t="shared" si="241"/>
        <v>Credit Card</v>
      </c>
      <c r="V3880" s="4" t="str">
        <f t="shared" si="242"/>
        <v>Normal</v>
      </c>
      <c r="W3880" s="4" t="str">
        <f t="shared" si="243"/>
        <v>Good</v>
      </c>
      <c r="X3880" s="4">
        <f>AVERAGE(Table1[Purchase Amount])</f>
        <v>129.48419400000012</v>
      </c>
    </row>
    <row r="3881" spans="1:24" ht="15" customHeight="1" x14ac:dyDescent="0.25">
      <c r="A3881">
        <v>3880</v>
      </c>
      <c r="B3881">
        <v>26</v>
      </c>
      <c r="C3881" t="s">
        <v>16</v>
      </c>
      <c r="D3881" t="s">
        <v>122</v>
      </c>
      <c r="E3881" t="s">
        <v>18</v>
      </c>
      <c r="F3881" s="2">
        <v>63</v>
      </c>
      <c r="G3881" t="s">
        <v>67</v>
      </c>
      <c r="H3881" t="s">
        <v>45</v>
      </c>
      <c r="I3881" t="s">
        <v>125</v>
      </c>
      <c r="J3881" t="s">
        <v>22</v>
      </c>
      <c r="K3881">
        <v>4.0999999999999996</v>
      </c>
      <c r="L3881" t="s">
        <v>23</v>
      </c>
      <c r="M3881" t="s">
        <v>35</v>
      </c>
      <c r="N3881" t="s">
        <v>23</v>
      </c>
      <c r="O3881">
        <v>6</v>
      </c>
      <c r="P3881" t="s">
        <v>36</v>
      </c>
      <c r="Q3881" t="s">
        <v>37</v>
      </c>
      <c r="R3881" s="1">
        <v>0.1</v>
      </c>
      <c r="S3881">
        <f t="shared" si="240"/>
        <v>56.7</v>
      </c>
      <c r="T3881">
        <f>IFERROR(VLOOKUP(A3881,Table1[[Customer ID]:[Discount Amount]], 6, FALSE),"Not Found")</f>
        <v>63</v>
      </c>
      <c r="U3881" t="str">
        <f t="shared" si="241"/>
        <v>Debit Card</v>
      </c>
      <c r="V3881" s="4" t="str">
        <f t="shared" si="242"/>
        <v>Normal</v>
      </c>
      <c r="W3881" s="4" t="str">
        <f t="shared" si="243"/>
        <v>Good</v>
      </c>
      <c r="X3881" s="4">
        <f>AVERAGE(Table1[Purchase Amount])</f>
        <v>129.48419400000012</v>
      </c>
    </row>
    <row r="3882" spans="1:24" ht="15" customHeight="1" x14ac:dyDescent="0.25">
      <c r="A3882">
        <v>3881</v>
      </c>
      <c r="B3882">
        <v>42</v>
      </c>
      <c r="C3882" t="s">
        <v>16</v>
      </c>
      <c r="D3882" t="s">
        <v>38</v>
      </c>
      <c r="E3882" t="s">
        <v>18</v>
      </c>
      <c r="F3882" s="2">
        <v>20</v>
      </c>
      <c r="G3882" t="s">
        <v>97</v>
      </c>
      <c r="H3882" t="s">
        <v>31</v>
      </c>
      <c r="I3882" t="s">
        <v>46</v>
      </c>
      <c r="J3882" t="s">
        <v>22</v>
      </c>
      <c r="K3882">
        <v>3.9</v>
      </c>
      <c r="L3882" t="s">
        <v>23</v>
      </c>
      <c r="M3882" t="s">
        <v>35</v>
      </c>
      <c r="N3882" t="s">
        <v>23</v>
      </c>
      <c r="O3882">
        <v>40</v>
      </c>
      <c r="P3882" t="s">
        <v>58</v>
      </c>
      <c r="Q3882" t="s">
        <v>42</v>
      </c>
      <c r="R3882" s="1">
        <v>0.1</v>
      </c>
      <c r="S3882">
        <f t="shared" si="240"/>
        <v>18</v>
      </c>
      <c r="T3882">
        <f>IFERROR(VLOOKUP(A3882,Table1[[Customer ID]:[Discount Amount]], 6, FALSE),"Not Found")</f>
        <v>20</v>
      </c>
      <c r="U3882" t="str">
        <f t="shared" si="241"/>
        <v>PayPal</v>
      </c>
      <c r="V3882" s="4" t="str">
        <f t="shared" si="242"/>
        <v>Normal</v>
      </c>
      <c r="W3882" s="4" t="str">
        <f t="shared" si="243"/>
        <v>Good</v>
      </c>
      <c r="X3882" s="4">
        <f>AVERAGE(Table1[Purchase Amount])</f>
        <v>129.48419400000012</v>
      </c>
    </row>
    <row r="3883" spans="1:24" ht="15" customHeight="1" x14ac:dyDescent="0.25">
      <c r="A3883">
        <v>3882</v>
      </c>
      <c r="B3883">
        <v>56</v>
      </c>
      <c r="C3883" t="s">
        <v>16</v>
      </c>
      <c r="D3883" t="s">
        <v>129</v>
      </c>
      <c r="E3883" t="s">
        <v>29</v>
      </c>
      <c r="F3883" s="2">
        <v>25</v>
      </c>
      <c r="G3883" t="s">
        <v>160</v>
      </c>
      <c r="H3883" t="s">
        <v>45</v>
      </c>
      <c r="I3883" t="s">
        <v>153</v>
      </c>
      <c r="J3883" t="s">
        <v>33</v>
      </c>
      <c r="K3883">
        <v>2.8</v>
      </c>
      <c r="L3883" t="s">
        <v>23</v>
      </c>
      <c r="M3883" t="s">
        <v>41</v>
      </c>
      <c r="N3883" t="s">
        <v>23</v>
      </c>
      <c r="O3883">
        <v>17</v>
      </c>
      <c r="P3883" t="s">
        <v>36</v>
      </c>
      <c r="Q3883" t="s">
        <v>26</v>
      </c>
      <c r="R3883" s="1">
        <v>0.1</v>
      </c>
      <c r="S3883">
        <f t="shared" si="240"/>
        <v>22.5</v>
      </c>
      <c r="T3883">
        <f>IFERROR(VLOOKUP(A3883,Table1[[Customer ID]:[Discount Amount]], 6, FALSE),"Not Found")</f>
        <v>25</v>
      </c>
      <c r="U3883" t="str">
        <f t="shared" si="241"/>
        <v>Debit Card</v>
      </c>
      <c r="V3883" s="4" t="str">
        <f t="shared" si="242"/>
        <v>Normal</v>
      </c>
      <c r="W3883" s="4" t="str">
        <f t="shared" si="243"/>
        <v>Poor</v>
      </c>
      <c r="X3883" s="4">
        <f>AVERAGE(Table1[Purchase Amount])</f>
        <v>129.48419400000012</v>
      </c>
    </row>
    <row r="3884" spans="1:24" ht="15" customHeight="1" x14ac:dyDescent="0.25">
      <c r="A3884">
        <v>3883</v>
      </c>
      <c r="B3884">
        <v>35</v>
      </c>
      <c r="C3884" t="s">
        <v>16</v>
      </c>
      <c r="D3884" t="s">
        <v>99</v>
      </c>
      <c r="E3884" t="s">
        <v>18</v>
      </c>
      <c r="F3884" s="2">
        <v>95</v>
      </c>
      <c r="G3884" t="s">
        <v>86</v>
      </c>
      <c r="H3884" t="s">
        <v>45</v>
      </c>
      <c r="I3884" t="s">
        <v>74</v>
      </c>
      <c r="J3884" t="s">
        <v>47</v>
      </c>
      <c r="K3884">
        <v>2.6</v>
      </c>
      <c r="L3884" t="s">
        <v>23</v>
      </c>
      <c r="M3884" t="s">
        <v>35</v>
      </c>
      <c r="N3884" t="s">
        <v>23</v>
      </c>
      <c r="O3884">
        <v>24</v>
      </c>
      <c r="P3884" t="s">
        <v>25</v>
      </c>
      <c r="Q3884" t="s">
        <v>89</v>
      </c>
      <c r="R3884" s="1">
        <v>0.1</v>
      </c>
      <c r="S3884">
        <f t="shared" si="240"/>
        <v>85.5</v>
      </c>
      <c r="T3884">
        <f>IFERROR(VLOOKUP(A3884,Table1[[Customer ID]:[Discount Amount]], 6, FALSE),"Not Found")</f>
        <v>95</v>
      </c>
      <c r="U3884" t="str">
        <f t="shared" si="241"/>
        <v>Cash</v>
      </c>
      <c r="V3884" s="4" t="str">
        <f t="shared" si="242"/>
        <v>Normal</v>
      </c>
      <c r="W3884" s="4" t="str">
        <f t="shared" si="243"/>
        <v>Poor</v>
      </c>
      <c r="X3884" s="4">
        <f>AVERAGE(Table1[Purchase Amount])</f>
        <v>129.48419400000012</v>
      </c>
    </row>
    <row r="3885" spans="1:24" ht="15" customHeight="1" x14ac:dyDescent="0.25">
      <c r="A3885">
        <v>3884</v>
      </c>
      <c r="B3885">
        <v>34</v>
      </c>
      <c r="C3885" t="s">
        <v>16</v>
      </c>
      <c r="D3885" t="s">
        <v>64</v>
      </c>
      <c r="E3885" t="s">
        <v>29</v>
      </c>
      <c r="F3885" s="2">
        <v>38</v>
      </c>
      <c r="G3885" t="s">
        <v>86</v>
      </c>
      <c r="H3885" t="s">
        <v>20</v>
      </c>
      <c r="I3885" t="s">
        <v>66</v>
      </c>
      <c r="J3885" t="s">
        <v>47</v>
      </c>
      <c r="K3885">
        <v>4</v>
      </c>
      <c r="L3885" t="s">
        <v>23</v>
      </c>
      <c r="M3885" t="s">
        <v>79</v>
      </c>
      <c r="N3885" t="s">
        <v>23</v>
      </c>
      <c r="O3885">
        <v>22</v>
      </c>
      <c r="P3885" t="s">
        <v>25</v>
      </c>
      <c r="Q3885" t="s">
        <v>89</v>
      </c>
      <c r="R3885" s="1">
        <v>0.1</v>
      </c>
      <c r="S3885">
        <f t="shared" si="240"/>
        <v>34.200000000000003</v>
      </c>
      <c r="T3885">
        <f>IFERROR(VLOOKUP(A3885,Table1[[Customer ID]:[Discount Amount]], 6, FALSE),"Not Found")</f>
        <v>38</v>
      </c>
      <c r="U3885" t="str">
        <f t="shared" si="241"/>
        <v>Cash</v>
      </c>
      <c r="V3885" s="4" t="str">
        <f t="shared" si="242"/>
        <v>Normal</v>
      </c>
      <c r="W3885" s="4" t="str">
        <f t="shared" si="243"/>
        <v>Good</v>
      </c>
      <c r="X3885" s="4">
        <f>AVERAGE(Table1[Purchase Amount])</f>
        <v>129.48419400000012</v>
      </c>
    </row>
    <row r="3886" spans="1:24" ht="15" customHeight="1" x14ac:dyDescent="0.25">
      <c r="A3886">
        <v>3885</v>
      </c>
      <c r="B3886">
        <v>47</v>
      </c>
      <c r="C3886" t="s">
        <v>16</v>
      </c>
      <c r="D3886" t="s">
        <v>121</v>
      </c>
      <c r="E3886" t="s">
        <v>98</v>
      </c>
      <c r="F3886" s="2">
        <v>29</v>
      </c>
      <c r="G3886" t="s">
        <v>106</v>
      </c>
      <c r="H3886" t="s">
        <v>31</v>
      </c>
      <c r="I3886" t="s">
        <v>60</v>
      </c>
      <c r="J3886" t="s">
        <v>47</v>
      </c>
      <c r="K3886">
        <v>4.9000000000000004</v>
      </c>
      <c r="L3886" t="s">
        <v>23</v>
      </c>
      <c r="M3886" t="s">
        <v>61</v>
      </c>
      <c r="N3886" t="s">
        <v>23</v>
      </c>
      <c r="O3886">
        <v>3</v>
      </c>
      <c r="P3886" t="s">
        <v>58</v>
      </c>
      <c r="Q3886" t="s">
        <v>26</v>
      </c>
      <c r="R3886" s="1">
        <v>0.1</v>
      </c>
      <c r="S3886">
        <f t="shared" si="240"/>
        <v>26.1</v>
      </c>
      <c r="T3886">
        <f>IFERROR(VLOOKUP(A3886,Table1[[Customer ID]:[Discount Amount]], 6, FALSE),"Not Found")</f>
        <v>29</v>
      </c>
      <c r="U3886" t="str">
        <f t="shared" si="241"/>
        <v>PayPal</v>
      </c>
      <c r="V3886" s="4" t="str">
        <f t="shared" si="242"/>
        <v>Normal</v>
      </c>
      <c r="W3886" s="4" t="str">
        <f t="shared" si="243"/>
        <v>Good</v>
      </c>
      <c r="X3886" s="4">
        <f>AVERAGE(Table1[Purchase Amount])</f>
        <v>129.48419400000012</v>
      </c>
    </row>
    <row r="3887" spans="1:24" ht="15" customHeight="1" x14ac:dyDescent="0.25">
      <c r="A3887">
        <v>3886</v>
      </c>
      <c r="B3887">
        <v>49</v>
      </c>
      <c r="C3887" t="s">
        <v>16</v>
      </c>
      <c r="D3887" t="s">
        <v>105</v>
      </c>
      <c r="E3887" t="s">
        <v>18</v>
      </c>
      <c r="F3887" s="2">
        <v>64</v>
      </c>
      <c r="G3887" t="s">
        <v>110</v>
      </c>
      <c r="H3887" t="s">
        <v>45</v>
      </c>
      <c r="I3887" t="s">
        <v>66</v>
      </c>
      <c r="J3887" t="s">
        <v>22</v>
      </c>
      <c r="K3887">
        <v>3.2</v>
      </c>
      <c r="L3887" t="s">
        <v>23</v>
      </c>
      <c r="M3887" t="s">
        <v>35</v>
      </c>
      <c r="N3887" t="s">
        <v>23</v>
      </c>
      <c r="O3887">
        <v>39</v>
      </c>
      <c r="P3887" t="s">
        <v>25</v>
      </c>
      <c r="Q3887" t="s">
        <v>37</v>
      </c>
      <c r="R3887" s="1">
        <v>0.1</v>
      </c>
      <c r="S3887">
        <f t="shared" si="240"/>
        <v>57.6</v>
      </c>
      <c r="T3887">
        <f>IFERROR(VLOOKUP(A3887,Table1[[Customer ID]:[Discount Amount]], 6, FALSE),"Not Found")</f>
        <v>64</v>
      </c>
      <c r="U3887" t="str">
        <f t="shared" si="241"/>
        <v>Cash</v>
      </c>
      <c r="V3887" s="4" t="str">
        <f t="shared" si="242"/>
        <v>Normal</v>
      </c>
      <c r="W3887" s="4" t="str">
        <f t="shared" si="243"/>
        <v>Good</v>
      </c>
      <c r="X3887" s="4">
        <f>AVERAGE(Table1[Purchase Amount])</f>
        <v>129.48419400000012</v>
      </c>
    </row>
    <row r="3888" spans="1:24" ht="15" customHeight="1" x14ac:dyDescent="0.25">
      <c r="A3888">
        <v>3887</v>
      </c>
      <c r="B3888">
        <v>37</v>
      </c>
      <c r="C3888" t="s">
        <v>16</v>
      </c>
      <c r="D3888" t="s">
        <v>50</v>
      </c>
      <c r="E3888" t="s">
        <v>29</v>
      </c>
      <c r="F3888" s="2">
        <v>92</v>
      </c>
      <c r="G3888" t="s">
        <v>141</v>
      </c>
      <c r="H3888" t="s">
        <v>55</v>
      </c>
      <c r="I3888" t="s">
        <v>60</v>
      </c>
      <c r="J3888" t="s">
        <v>57</v>
      </c>
      <c r="K3888">
        <v>3.9</v>
      </c>
      <c r="L3888" t="s">
        <v>23</v>
      </c>
      <c r="M3888" t="s">
        <v>61</v>
      </c>
      <c r="N3888" t="s">
        <v>23</v>
      </c>
      <c r="O3888">
        <v>40</v>
      </c>
      <c r="P3888" t="s">
        <v>36</v>
      </c>
      <c r="Q3888" t="s">
        <v>37</v>
      </c>
      <c r="R3888" s="1">
        <v>0.1</v>
      </c>
      <c r="S3888">
        <f t="shared" si="240"/>
        <v>82.8</v>
      </c>
      <c r="T3888">
        <f>IFERROR(VLOOKUP(A3888,Table1[[Customer ID]:[Discount Amount]], 6, FALSE),"Not Found")</f>
        <v>92</v>
      </c>
      <c r="U3888" t="str">
        <f t="shared" si="241"/>
        <v>Debit Card</v>
      </c>
      <c r="V3888" s="4" t="str">
        <f t="shared" si="242"/>
        <v>Normal</v>
      </c>
      <c r="W3888" s="4" t="str">
        <f t="shared" si="243"/>
        <v>Good</v>
      </c>
      <c r="X3888" s="4">
        <f>AVERAGE(Table1[Purchase Amount])</f>
        <v>129.48419400000012</v>
      </c>
    </row>
    <row r="3889" spans="1:24" ht="15" customHeight="1" x14ac:dyDescent="0.25">
      <c r="A3889">
        <v>3888</v>
      </c>
      <c r="B3889">
        <v>40</v>
      </c>
      <c r="C3889" t="s">
        <v>16</v>
      </c>
      <c r="D3889" t="s">
        <v>38</v>
      </c>
      <c r="E3889" t="s">
        <v>18</v>
      </c>
      <c r="F3889" s="2">
        <v>34</v>
      </c>
      <c r="G3889" t="s">
        <v>124</v>
      </c>
      <c r="H3889" t="s">
        <v>31</v>
      </c>
      <c r="I3889" t="s">
        <v>103</v>
      </c>
      <c r="J3889" t="s">
        <v>33</v>
      </c>
      <c r="K3889">
        <v>2.7</v>
      </c>
      <c r="L3889" t="s">
        <v>23</v>
      </c>
      <c r="M3889" t="s">
        <v>61</v>
      </c>
      <c r="N3889" t="s">
        <v>23</v>
      </c>
      <c r="O3889">
        <v>1</v>
      </c>
      <c r="P3889" t="s">
        <v>53</v>
      </c>
      <c r="Q3889" t="s">
        <v>37</v>
      </c>
      <c r="R3889" s="1">
        <v>0.1</v>
      </c>
      <c r="S3889">
        <f t="shared" si="240"/>
        <v>30.6</v>
      </c>
      <c r="T3889">
        <f>IFERROR(VLOOKUP(A3889,Table1[[Customer ID]:[Discount Amount]], 6, FALSE),"Not Found")</f>
        <v>34</v>
      </c>
      <c r="U3889" t="str">
        <f t="shared" si="241"/>
        <v>Credit Card</v>
      </c>
      <c r="V3889" s="4" t="str">
        <f t="shared" si="242"/>
        <v>Normal</v>
      </c>
      <c r="W3889" s="4" t="str">
        <f t="shared" si="243"/>
        <v>Poor</v>
      </c>
      <c r="X3889" s="4">
        <f>AVERAGE(Table1[Purchase Amount])</f>
        <v>129.48419400000012</v>
      </c>
    </row>
    <row r="3890" spans="1:24" ht="15" customHeight="1" x14ac:dyDescent="0.25">
      <c r="A3890">
        <v>3889</v>
      </c>
      <c r="B3890">
        <v>45</v>
      </c>
      <c r="C3890" t="s">
        <v>16</v>
      </c>
      <c r="D3890" t="s">
        <v>140</v>
      </c>
      <c r="E3890" t="s">
        <v>98</v>
      </c>
      <c r="F3890" s="2">
        <v>69</v>
      </c>
      <c r="G3890" t="s">
        <v>138</v>
      </c>
      <c r="H3890" t="s">
        <v>31</v>
      </c>
      <c r="I3890" t="s">
        <v>111</v>
      </c>
      <c r="J3890" t="s">
        <v>33</v>
      </c>
      <c r="K3890">
        <v>3.4</v>
      </c>
      <c r="L3890" t="s">
        <v>23</v>
      </c>
      <c r="M3890" t="s">
        <v>24</v>
      </c>
      <c r="N3890" t="s">
        <v>23</v>
      </c>
      <c r="O3890">
        <v>14</v>
      </c>
      <c r="P3890" t="s">
        <v>62</v>
      </c>
      <c r="Q3890" t="s">
        <v>68</v>
      </c>
      <c r="R3890" s="1">
        <v>0.1</v>
      </c>
      <c r="S3890">
        <f t="shared" si="240"/>
        <v>62.1</v>
      </c>
      <c r="T3890">
        <f>IFERROR(VLOOKUP(A3890,Table1[[Customer ID]:[Discount Amount]], 6, FALSE),"Not Found")</f>
        <v>69</v>
      </c>
      <c r="U3890" t="str">
        <f t="shared" si="241"/>
        <v>Venmo</v>
      </c>
      <c r="V3890" s="4" t="str">
        <f t="shared" si="242"/>
        <v>Normal</v>
      </c>
      <c r="W3890" s="4" t="str">
        <f t="shared" si="243"/>
        <v>Good</v>
      </c>
      <c r="X3890" s="4">
        <f>AVERAGE(Table1[Purchase Amount])</f>
        <v>129.48419400000012</v>
      </c>
    </row>
    <row r="3891" spans="1:24" ht="15" customHeight="1" x14ac:dyDescent="0.25">
      <c r="A3891">
        <v>3890</v>
      </c>
      <c r="B3891">
        <v>57</v>
      </c>
      <c r="C3891" t="s">
        <v>16</v>
      </c>
      <c r="D3891" t="s">
        <v>157</v>
      </c>
      <c r="E3891" t="s">
        <v>18</v>
      </c>
      <c r="F3891" s="2">
        <v>65</v>
      </c>
      <c r="G3891" t="s">
        <v>148</v>
      </c>
      <c r="H3891" t="s">
        <v>55</v>
      </c>
      <c r="I3891" t="s">
        <v>52</v>
      </c>
      <c r="J3891" t="s">
        <v>33</v>
      </c>
      <c r="K3891">
        <v>3.5</v>
      </c>
      <c r="L3891" t="s">
        <v>23</v>
      </c>
      <c r="M3891" t="s">
        <v>61</v>
      </c>
      <c r="N3891" t="s">
        <v>23</v>
      </c>
      <c r="O3891">
        <v>49</v>
      </c>
      <c r="P3891" t="s">
        <v>88</v>
      </c>
      <c r="Q3891" t="s">
        <v>49</v>
      </c>
      <c r="R3891" s="1">
        <v>0.1</v>
      </c>
      <c r="S3891">
        <f t="shared" si="240"/>
        <v>58.5</v>
      </c>
      <c r="T3891">
        <f>IFERROR(VLOOKUP(A3891,Table1[[Customer ID]:[Discount Amount]], 6, FALSE),"Not Found")</f>
        <v>65</v>
      </c>
      <c r="U3891" t="str">
        <f t="shared" si="241"/>
        <v>Bank Transfer</v>
      </c>
      <c r="V3891" s="4" t="str">
        <f t="shared" si="242"/>
        <v>Normal</v>
      </c>
      <c r="W3891" s="4" t="str">
        <f t="shared" si="243"/>
        <v>Good</v>
      </c>
      <c r="X3891" s="4">
        <f>AVERAGE(Table1[Purchase Amount])</f>
        <v>129.48419400000012</v>
      </c>
    </row>
    <row r="3892" spans="1:24" ht="15" customHeight="1" x14ac:dyDescent="0.25">
      <c r="A3892">
        <v>3891</v>
      </c>
      <c r="B3892">
        <v>35</v>
      </c>
      <c r="C3892" t="s">
        <v>16</v>
      </c>
      <c r="D3892" t="s">
        <v>38</v>
      </c>
      <c r="E3892" t="s">
        <v>18</v>
      </c>
      <c r="F3892" s="2">
        <v>81</v>
      </c>
      <c r="G3892" t="s">
        <v>137</v>
      </c>
      <c r="H3892" t="s">
        <v>20</v>
      </c>
      <c r="I3892" t="s">
        <v>93</v>
      </c>
      <c r="J3892" t="s">
        <v>22</v>
      </c>
      <c r="K3892">
        <v>2.6</v>
      </c>
      <c r="L3892" t="s">
        <v>23</v>
      </c>
      <c r="M3892" t="s">
        <v>24</v>
      </c>
      <c r="N3892" t="s">
        <v>23</v>
      </c>
      <c r="O3892">
        <v>33</v>
      </c>
      <c r="P3892" t="s">
        <v>36</v>
      </c>
      <c r="Q3892" t="s">
        <v>49</v>
      </c>
      <c r="R3892" s="1">
        <v>0.1</v>
      </c>
      <c r="S3892">
        <f t="shared" si="240"/>
        <v>72.900000000000006</v>
      </c>
      <c r="T3892">
        <f>IFERROR(VLOOKUP(A3892,Table1[[Customer ID]:[Discount Amount]], 6, FALSE),"Not Found")</f>
        <v>81</v>
      </c>
      <c r="U3892" t="str">
        <f t="shared" si="241"/>
        <v>Debit Card</v>
      </c>
      <c r="V3892" s="4" t="str">
        <f t="shared" si="242"/>
        <v>Normal</v>
      </c>
      <c r="W3892" s="4" t="str">
        <f t="shared" si="243"/>
        <v>Poor</v>
      </c>
      <c r="X3892" s="4">
        <f>AVERAGE(Table1[Purchase Amount])</f>
        <v>129.48419400000012</v>
      </c>
    </row>
    <row r="3893" spans="1:24" ht="15" customHeight="1" x14ac:dyDescent="0.25">
      <c r="A3893">
        <v>3892</v>
      </c>
      <c r="B3893">
        <v>36</v>
      </c>
      <c r="C3893" t="s">
        <v>16</v>
      </c>
      <c r="D3893" t="s">
        <v>157</v>
      </c>
      <c r="E3893" t="s">
        <v>18</v>
      </c>
      <c r="F3893" s="2">
        <v>30</v>
      </c>
      <c r="G3893" t="s">
        <v>92</v>
      </c>
      <c r="H3893" t="s">
        <v>45</v>
      </c>
      <c r="I3893" t="s">
        <v>145</v>
      </c>
      <c r="J3893" t="s">
        <v>22</v>
      </c>
      <c r="K3893">
        <v>4.7</v>
      </c>
      <c r="L3893" t="s">
        <v>23</v>
      </c>
      <c r="M3893" t="s">
        <v>35</v>
      </c>
      <c r="N3893" t="s">
        <v>23</v>
      </c>
      <c r="O3893">
        <v>6</v>
      </c>
      <c r="P3893" t="s">
        <v>88</v>
      </c>
      <c r="Q3893" t="s">
        <v>37</v>
      </c>
      <c r="R3893" s="1">
        <v>0.1</v>
      </c>
      <c r="S3893">
        <f t="shared" si="240"/>
        <v>27</v>
      </c>
      <c r="T3893">
        <f>IFERROR(VLOOKUP(A3893,Table1[[Customer ID]:[Discount Amount]], 6, FALSE),"Not Found")</f>
        <v>30</v>
      </c>
      <c r="U3893" t="str">
        <f t="shared" si="241"/>
        <v>Bank Transfer</v>
      </c>
      <c r="V3893" s="4" t="str">
        <f t="shared" si="242"/>
        <v>Normal</v>
      </c>
      <c r="W3893" s="4" t="str">
        <f t="shared" si="243"/>
        <v>Good</v>
      </c>
      <c r="X3893" s="4">
        <f>AVERAGE(Table1[Purchase Amount])</f>
        <v>129.48419400000012</v>
      </c>
    </row>
    <row r="3894" spans="1:24" ht="15" customHeight="1" x14ac:dyDescent="0.25">
      <c r="A3894">
        <v>3893</v>
      </c>
      <c r="B3894">
        <v>35</v>
      </c>
      <c r="C3894" t="s">
        <v>16</v>
      </c>
      <c r="D3894" t="s">
        <v>50</v>
      </c>
      <c r="E3894" t="s">
        <v>29</v>
      </c>
      <c r="F3894" s="2">
        <v>86</v>
      </c>
      <c r="G3894" t="s">
        <v>113</v>
      </c>
      <c r="H3894" t="s">
        <v>45</v>
      </c>
      <c r="I3894" t="s">
        <v>91</v>
      </c>
      <c r="J3894" t="s">
        <v>57</v>
      </c>
      <c r="K3894">
        <v>3.5</v>
      </c>
      <c r="L3894" t="s">
        <v>23</v>
      </c>
      <c r="M3894" t="s">
        <v>24</v>
      </c>
      <c r="N3894" t="s">
        <v>23</v>
      </c>
      <c r="O3894">
        <v>5</v>
      </c>
      <c r="P3894" t="s">
        <v>58</v>
      </c>
      <c r="Q3894" t="s">
        <v>89</v>
      </c>
      <c r="R3894" s="1">
        <v>0.1</v>
      </c>
      <c r="S3894">
        <f t="shared" si="240"/>
        <v>77.400000000000006</v>
      </c>
      <c r="T3894">
        <f>IFERROR(VLOOKUP(A3894,Table1[[Customer ID]:[Discount Amount]], 6, FALSE),"Not Found")</f>
        <v>86</v>
      </c>
      <c r="U3894" t="str">
        <f t="shared" si="241"/>
        <v>PayPal</v>
      </c>
      <c r="V3894" s="4" t="str">
        <f t="shared" si="242"/>
        <v>Normal</v>
      </c>
      <c r="W3894" s="4" t="str">
        <f t="shared" si="243"/>
        <v>Good</v>
      </c>
      <c r="X3894" s="4">
        <f>AVERAGE(Table1[Purchase Amount])</f>
        <v>129.48419400000012</v>
      </c>
    </row>
    <row r="3895" spans="1:24" ht="15" customHeight="1" x14ac:dyDescent="0.25">
      <c r="A3895">
        <v>3894</v>
      </c>
      <c r="B3895">
        <v>21</v>
      </c>
      <c r="C3895" t="s">
        <v>16</v>
      </c>
      <c r="D3895" t="s">
        <v>64</v>
      </c>
      <c r="E3895" t="s">
        <v>29</v>
      </c>
      <c r="F3895" s="2">
        <v>64</v>
      </c>
      <c r="G3895" t="s">
        <v>97</v>
      </c>
      <c r="H3895" t="s">
        <v>45</v>
      </c>
      <c r="I3895" t="s">
        <v>32</v>
      </c>
      <c r="J3895" t="s">
        <v>47</v>
      </c>
      <c r="K3895">
        <v>3.3</v>
      </c>
      <c r="L3895" t="s">
        <v>23</v>
      </c>
      <c r="M3895" t="s">
        <v>48</v>
      </c>
      <c r="N3895" t="s">
        <v>23</v>
      </c>
      <c r="O3895">
        <v>29</v>
      </c>
      <c r="P3895" t="s">
        <v>88</v>
      </c>
      <c r="Q3895" t="s">
        <v>68</v>
      </c>
      <c r="R3895" s="1">
        <v>0.1</v>
      </c>
      <c r="S3895">
        <f t="shared" si="240"/>
        <v>57.6</v>
      </c>
      <c r="T3895">
        <f>IFERROR(VLOOKUP(A3895,Table1[[Customer ID]:[Discount Amount]], 6, FALSE),"Not Found")</f>
        <v>64</v>
      </c>
      <c r="U3895" t="str">
        <f t="shared" si="241"/>
        <v>Bank Transfer</v>
      </c>
      <c r="V3895" s="4" t="str">
        <f t="shared" si="242"/>
        <v>Normal</v>
      </c>
      <c r="W3895" s="4" t="str">
        <f t="shared" si="243"/>
        <v>Good</v>
      </c>
      <c r="X3895" s="4">
        <f>AVERAGE(Table1[Purchase Amount])</f>
        <v>129.48419400000012</v>
      </c>
    </row>
    <row r="3896" spans="1:24" ht="15" customHeight="1" x14ac:dyDescent="0.25">
      <c r="A3896">
        <v>3895</v>
      </c>
      <c r="B3896">
        <v>66</v>
      </c>
      <c r="C3896" t="s">
        <v>16</v>
      </c>
      <c r="D3896" t="s">
        <v>122</v>
      </c>
      <c r="E3896" t="s">
        <v>18</v>
      </c>
      <c r="F3896" s="2">
        <v>78</v>
      </c>
      <c r="G3896" t="s">
        <v>115</v>
      </c>
      <c r="H3896" t="s">
        <v>45</v>
      </c>
      <c r="I3896" t="s">
        <v>32</v>
      </c>
      <c r="J3896" t="s">
        <v>33</v>
      </c>
      <c r="K3896">
        <v>3.9</v>
      </c>
      <c r="L3896" t="s">
        <v>23</v>
      </c>
      <c r="M3896" t="s">
        <v>41</v>
      </c>
      <c r="N3896" t="s">
        <v>23</v>
      </c>
      <c r="O3896">
        <v>44</v>
      </c>
      <c r="P3896" t="s">
        <v>53</v>
      </c>
      <c r="Q3896" t="s">
        <v>63</v>
      </c>
      <c r="R3896" s="1">
        <v>0.1</v>
      </c>
      <c r="S3896">
        <f t="shared" si="240"/>
        <v>70.2</v>
      </c>
      <c r="T3896">
        <f>IFERROR(VLOOKUP(A3896,Table1[[Customer ID]:[Discount Amount]], 6, FALSE),"Not Found")</f>
        <v>78</v>
      </c>
      <c r="U3896" t="str">
        <f t="shared" si="241"/>
        <v>Credit Card</v>
      </c>
      <c r="V3896" s="4" t="str">
        <f t="shared" si="242"/>
        <v>Normal</v>
      </c>
      <c r="W3896" s="4" t="str">
        <f t="shared" si="243"/>
        <v>Good</v>
      </c>
      <c r="X3896" s="4">
        <f>AVERAGE(Table1[Purchase Amount])</f>
        <v>129.48419400000012</v>
      </c>
    </row>
    <row r="3897" spans="1:24" ht="15" customHeight="1" x14ac:dyDescent="0.25">
      <c r="A3897">
        <v>3896</v>
      </c>
      <c r="B3897">
        <v>40</v>
      </c>
      <c r="C3897" t="s">
        <v>16</v>
      </c>
      <c r="D3897" t="s">
        <v>83</v>
      </c>
      <c r="E3897" t="s">
        <v>18</v>
      </c>
      <c r="F3897" s="2">
        <v>28</v>
      </c>
      <c r="G3897" t="s">
        <v>138</v>
      </c>
      <c r="H3897" t="s">
        <v>45</v>
      </c>
      <c r="I3897" t="s">
        <v>156</v>
      </c>
      <c r="J3897" t="s">
        <v>57</v>
      </c>
      <c r="K3897">
        <v>4.2</v>
      </c>
      <c r="L3897" t="s">
        <v>23</v>
      </c>
      <c r="M3897" t="s">
        <v>41</v>
      </c>
      <c r="N3897" t="s">
        <v>23</v>
      </c>
      <c r="O3897">
        <v>32</v>
      </c>
      <c r="P3897" t="s">
        <v>62</v>
      </c>
      <c r="Q3897" t="s">
        <v>26</v>
      </c>
      <c r="R3897" s="1">
        <v>0.1</v>
      </c>
      <c r="S3897">
        <f t="shared" si="240"/>
        <v>25.2</v>
      </c>
      <c r="T3897">
        <f>IFERROR(VLOOKUP(A3897,Table1[[Customer ID]:[Discount Amount]], 6, FALSE),"Not Found")</f>
        <v>28</v>
      </c>
      <c r="U3897" t="str">
        <f t="shared" si="241"/>
        <v>Venmo</v>
      </c>
      <c r="V3897" s="4" t="str">
        <f t="shared" si="242"/>
        <v>Normal</v>
      </c>
      <c r="W3897" s="4" t="str">
        <f t="shared" si="243"/>
        <v>Good</v>
      </c>
      <c r="X3897" s="4">
        <f>AVERAGE(Table1[Purchase Amount])</f>
        <v>129.48419400000012</v>
      </c>
    </row>
    <row r="3898" spans="1:24" ht="15" customHeight="1" x14ac:dyDescent="0.25">
      <c r="A3898">
        <v>3897</v>
      </c>
      <c r="B3898">
        <v>52</v>
      </c>
      <c r="C3898" t="s">
        <v>16</v>
      </c>
      <c r="D3898" t="s">
        <v>104</v>
      </c>
      <c r="E3898" t="s">
        <v>29</v>
      </c>
      <c r="F3898" s="2">
        <v>49</v>
      </c>
      <c r="G3898" t="s">
        <v>141</v>
      </c>
      <c r="H3898" t="s">
        <v>45</v>
      </c>
      <c r="I3898" t="s">
        <v>32</v>
      </c>
      <c r="J3898" t="s">
        <v>33</v>
      </c>
      <c r="K3898">
        <v>4.5</v>
      </c>
      <c r="L3898" t="s">
        <v>23</v>
      </c>
      <c r="M3898" t="s">
        <v>48</v>
      </c>
      <c r="N3898" t="s">
        <v>23</v>
      </c>
      <c r="O3898">
        <v>41</v>
      </c>
      <c r="P3898" t="s">
        <v>88</v>
      </c>
      <c r="Q3898" t="s">
        <v>68</v>
      </c>
      <c r="R3898" s="1">
        <v>0.1</v>
      </c>
      <c r="S3898">
        <f t="shared" si="240"/>
        <v>44.1</v>
      </c>
      <c r="T3898">
        <f>IFERROR(VLOOKUP(A3898,Table1[[Customer ID]:[Discount Amount]], 6, FALSE),"Not Found")</f>
        <v>49</v>
      </c>
      <c r="U3898" t="str">
        <f t="shared" si="241"/>
        <v>Bank Transfer</v>
      </c>
      <c r="V3898" s="4" t="str">
        <f t="shared" si="242"/>
        <v>Normal</v>
      </c>
      <c r="W3898" s="4" t="str">
        <f t="shared" si="243"/>
        <v>Good</v>
      </c>
      <c r="X3898" s="4">
        <f>AVERAGE(Table1[Purchase Amount])</f>
        <v>129.48419400000012</v>
      </c>
    </row>
    <row r="3899" spans="1:24" ht="15" customHeight="1" x14ac:dyDescent="0.25">
      <c r="A3899">
        <v>3898</v>
      </c>
      <c r="B3899">
        <v>46</v>
      </c>
      <c r="C3899" t="s">
        <v>16</v>
      </c>
      <c r="D3899" t="s">
        <v>114</v>
      </c>
      <c r="E3899" t="s">
        <v>29</v>
      </c>
      <c r="F3899" s="2">
        <v>33</v>
      </c>
      <c r="G3899" t="s">
        <v>131</v>
      </c>
      <c r="H3899" t="s">
        <v>45</v>
      </c>
      <c r="I3899" t="s">
        <v>93</v>
      </c>
      <c r="J3899" t="s">
        <v>33</v>
      </c>
      <c r="K3899">
        <v>2.9</v>
      </c>
      <c r="L3899" t="s">
        <v>23</v>
      </c>
      <c r="M3899" t="s">
        <v>24</v>
      </c>
      <c r="N3899" t="s">
        <v>23</v>
      </c>
      <c r="O3899">
        <v>24</v>
      </c>
      <c r="P3899" t="s">
        <v>62</v>
      </c>
      <c r="Q3899" t="s">
        <v>37</v>
      </c>
      <c r="R3899" s="1">
        <v>0.1</v>
      </c>
      <c r="S3899">
        <f t="shared" si="240"/>
        <v>29.7</v>
      </c>
      <c r="T3899">
        <f>IFERROR(VLOOKUP(A3899,Table1[[Customer ID]:[Discount Amount]], 6, FALSE),"Not Found")</f>
        <v>33</v>
      </c>
      <c r="U3899" t="str">
        <f t="shared" si="241"/>
        <v>Venmo</v>
      </c>
      <c r="V3899" s="4" t="str">
        <f t="shared" si="242"/>
        <v>Normal</v>
      </c>
      <c r="W3899" s="4" t="str">
        <f t="shared" si="243"/>
        <v>Poor</v>
      </c>
      <c r="X3899" s="4">
        <f>AVERAGE(Table1[Purchase Amount])</f>
        <v>129.48419400000012</v>
      </c>
    </row>
    <row r="3900" spans="1:24" ht="15" customHeight="1" x14ac:dyDescent="0.25">
      <c r="A3900">
        <v>3899</v>
      </c>
      <c r="B3900">
        <v>44</v>
      </c>
      <c r="C3900" t="s">
        <v>16</v>
      </c>
      <c r="D3900" t="s">
        <v>72</v>
      </c>
      <c r="E3900" t="s">
        <v>98</v>
      </c>
      <c r="F3900" s="2">
        <v>77</v>
      </c>
      <c r="G3900" t="s">
        <v>120</v>
      </c>
      <c r="H3900" t="s">
        <v>55</v>
      </c>
      <c r="I3900" t="s">
        <v>60</v>
      </c>
      <c r="J3900" t="s">
        <v>57</v>
      </c>
      <c r="K3900">
        <v>3.8</v>
      </c>
      <c r="L3900" t="s">
        <v>23</v>
      </c>
      <c r="M3900" t="s">
        <v>61</v>
      </c>
      <c r="N3900" t="s">
        <v>23</v>
      </c>
      <c r="O3900">
        <v>24</v>
      </c>
      <c r="P3900" t="s">
        <v>62</v>
      </c>
      <c r="Q3900" t="s">
        <v>26</v>
      </c>
      <c r="R3900" s="1">
        <v>0.1</v>
      </c>
      <c r="S3900">
        <f t="shared" si="240"/>
        <v>69.3</v>
      </c>
      <c r="T3900">
        <f>IFERROR(VLOOKUP(A3900,Table1[[Customer ID]:[Discount Amount]], 6, FALSE),"Not Found")</f>
        <v>77</v>
      </c>
      <c r="U3900" t="str">
        <f t="shared" si="241"/>
        <v>Venmo</v>
      </c>
      <c r="V3900" s="4" t="str">
        <f t="shared" si="242"/>
        <v>Normal</v>
      </c>
      <c r="W3900" s="4" t="str">
        <f t="shared" si="243"/>
        <v>Good</v>
      </c>
      <c r="X3900" s="4">
        <f>AVERAGE(Table1[Purchase Amount])</f>
        <v>129.48419400000012</v>
      </c>
    </row>
    <row r="3901" spans="1:24" ht="15" customHeight="1" x14ac:dyDescent="0.25">
      <c r="A3901">
        <v>3900</v>
      </c>
      <c r="B3901">
        <v>52</v>
      </c>
      <c r="C3901" t="s">
        <v>16</v>
      </c>
      <c r="D3901" t="s">
        <v>69</v>
      </c>
      <c r="E3901" t="s">
        <v>29</v>
      </c>
      <c r="F3901" s="2">
        <v>81</v>
      </c>
      <c r="G3901" t="s">
        <v>19</v>
      </c>
      <c r="H3901" t="s">
        <v>31</v>
      </c>
      <c r="I3901" t="s">
        <v>56</v>
      </c>
      <c r="J3901" t="s">
        <v>33</v>
      </c>
      <c r="K3901">
        <v>3.1</v>
      </c>
      <c r="L3901" t="s">
        <v>23</v>
      </c>
      <c r="M3901" t="s">
        <v>48</v>
      </c>
      <c r="N3901" t="s">
        <v>23</v>
      </c>
      <c r="O3901">
        <v>33</v>
      </c>
      <c r="P3901" t="s">
        <v>62</v>
      </c>
      <c r="Q3901" t="s">
        <v>37</v>
      </c>
      <c r="R3901" s="1">
        <v>0.1</v>
      </c>
      <c r="S3901">
        <f t="shared" si="240"/>
        <v>72.900000000000006</v>
      </c>
      <c r="T3901">
        <f>IFERROR(VLOOKUP(A3901,Table1[[Customer ID]:[Discount Amount]], 6, FALSE),"Not Found")</f>
        <v>81</v>
      </c>
      <c r="U3901" t="str">
        <f t="shared" si="241"/>
        <v>Venmo</v>
      </c>
      <c r="V3901" s="4" t="str">
        <f t="shared" si="242"/>
        <v>Normal</v>
      </c>
      <c r="W3901" s="4" t="str">
        <f t="shared" si="243"/>
        <v>Good</v>
      </c>
      <c r="X3901" s="4">
        <f>AVERAGE(Table1[Purchase Amount])</f>
        <v>129.48419400000012</v>
      </c>
    </row>
    <row r="3902" spans="1:24" ht="15" customHeight="1" x14ac:dyDescent="0.25">
      <c r="A3902">
        <v>4000</v>
      </c>
      <c r="B3902">
        <v>33</v>
      </c>
      <c r="C3902" t="s">
        <v>71</v>
      </c>
      <c r="D3902" t="s">
        <v>117</v>
      </c>
      <c r="E3902" t="s">
        <v>81</v>
      </c>
      <c r="F3902" s="2">
        <v>0</v>
      </c>
      <c r="G3902" t="s">
        <v>73</v>
      </c>
      <c r="H3902" t="s">
        <v>31</v>
      </c>
      <c r="I3902" t="s">
        <v>46</v>
      </c>
      <c r="J3902" t="s">
        <v>33</v>
      </c>
      <c r="K3902">
        <v>5</v>
      </c>
      <c r="L3902" t="s">
        <v>34</v>
      </c>
      <c r="M3902" t="s">
        <v>61</v>
      </c>
      <c r="N3902" t="s">
        <v>34</v>
      </c>
      <c r="O3902">
        <v>47</v>
      </c>
      <c r="P3902" t="s">
        <v>58</v>
      </c>
      <c r="Q3902" t="s">
        <v>37</v>
      </c>
      <c r="R3902" s="1">
        <v>0.1</v>
      </c>
      <c r="S3902">
        <f t="shared" si="240"/>
        <v>0</v>
      </c>
      <c r="T3902">
        <f>IFERROR(VLOOKUP(A3902,Table1[[Customer ID]:[Discount Amount]], 6, FALSE),"Not Found")</f>
        <v>0</v>
      </c>
      <c r="U3902" t="str">
        <f t="shared" si="241"/>
        <v>PayPal</v>
      </c>
      <c r="V3902" s="4" t="str">
        <f t="shared" si="242"/>
        <v>Normal</v>
      </c>
      <c r="W3902" s="4" t="str">
        <f t="shared" si="243"/>
        <v>Good</v>
      </c>
      <c r="X3902" s="4">
        <f>AVERAGE(Table1[Purchase Amount])</f>
        <v>129.48419400000012</v>
      </c>
    </row>
    <row r="3903" spans="1:24" ht="15" customHeight="1" x14ac:dyDescent="0.25">
      <c r="A3903">
        <v>4001</v>
      </c>
      <c r="B3903">
        <v>28</v>
      </c>
      <c r="C3903" t="s">
        <v>71</v>
      </c>
      <c r="D3903" t="s">
        <v>72</v>
      </c>
      <c r="E3903" t="s">
        <v>81</v>
      </c>
      <c r="F3903" s="2">
        <v>484.3</v>
      </c>
      <c r="G3903" t="s">
        <v>82</v>
      </c>
      <c r="H3903" t="s">
        <v>31</v>
      </c>
      <c r="I3903" t="s">
        <v>93</v>
      </c>
      <c r="J3903" t="s">
        <v>33</v>
      </c>
      <c r="K3903">
        <v>1</v>
      </c>
      <c r="L3903" t="s">
        <v>23</v>
      </c>
      <c r="M3903" t="s">
        <v>24</v>
      </c>
      <c r="N3903" t="s">
        <v>34</v>
      </c>
      <c r="O3903">
        <v>0</v>
      </c>
      <c r="P3903" t="s">
        <v>58</v>
      </c>
      <c r="Q3903" t="s">
        <v>42</v>
      </c>
      <c r="R3903" s="1">
        <v>0.1</v>
      </c>
      <c r="S3903">
        <f t="shared" si="240"/>
        <v>435.87</v>
      </c>
      <c r="T3903">
        <f>IFERROR(VLOOKUP(A3903,Table1[[Customer ID]:[Discount Amount]], 6, FALSE),"Not Found")</f>
        <v>484.3</v>
      </c>
      <c r="U3903" t="str">
        <f t="shared" si="241"/>
        <v>PayPal</v>
      </c>
      <c r="V3903" s="4" t="str">
        <f t="shared" si="242"/>
        <v>Normal</v>
      </c>
      <c r="W3903" s="4" t="str">
        <f t="shared" si="243"/>
        <v>Poor</v>
      </c>
      <c r="X3903" s="4">
        <f>AVERAGE(Table1[Purchase Amount])</f>
        <v>129.48419400000012</v>
      </c>
    </row>
    <row r="3904" spans="1:24" ht="15" customHeight="1" x14ac:dyDescent="0.25">
      <c r="A3904">
        <v>4002</v>
      </c>
      <c r="B3904">
        <v>63</v>
      </c>
      <c r="C3904" t="s">
        <v>16</v>
      </c>
      <c r="D3904" t="s">
        <v>95</v>
      </c>
      <c r="E3904" t="s">
        <v>29</v>
      </c>
      <c r="F3904" s="2">
        <v>856.97</v>
      </c>
      <c r="G3904" t="s">
        <v>82</v>
      </c>
      <c r="H3904" t="s">
        <v>31</v>
      </c>
      <c r="I3904" t="s">
        <v>74</v>
      </c>
      <c r="J3904" t="s">
        <v>57</v>
      </c>
      <c r="K3904">
        <v>2</v>
      </c>
      <c r="L3904" t="s">
        <v>34</v>
      </c>
      <c r="M3904" t="s">
        <v>24</v>
      </c>
      <c r="N3904" t="s">
        <v>34</v>
      </c>
      <c r="O3904">
        <v>28</v>
      </c>
      <c r="P3904" t="s">
        <v>53</v>
      </c>
      <c r="Q3904" t="s">
        <v>37</v>
      </c>
      <c r="R3904" s="1">
        <v>0.1</v>
      </c>
      <c r="S3904">
        <f t="shared" si="240"/>
        <v>771.27300000000002</v>
      </c>
      <c r="T3904">
        <f>IFERROR(VLOOKUP(A3904,Table1[[Customer ID]:[Discount Amount]], 6, FALSE),"Not Found")</f>
        <v>856.97</v>
      </c>
      <c r="U3904" t="str">
        <f t="shared" si="241"/>
        <v>Credit Card</v>
      </c>
      <c r="V3904" s="4" t="str">
        <f t="shared" si="242"/>
        <v>Normal</v>
      </c>
      <c r="W3904" s="4" t="str">
        <f t="shared" si="243"/>
        <v>Poor</v>
      </c>
      <c r="X3904" s="4">
        <f>AVERAGE(Table1[Purchase Amount])</f>
        <v>129.48419400000012</v>
      </c>
    </row>
    <row r="3905" spans="1:24" ht="15" customHeight="1" x14ac:dyDescent="0.25">
      <c r="A3905">
        <v>4003</v>
      </c>
      <c r="B3905">
        <v>69</v>
      </c>
      <c r="C3905" t="s">
        <v>71</v>
      </c>
      <c r="D3905" t="s">
        <v>72</v>
      </c>
      <c r="E3905" t="s">
        <v>81</v>
      </c>
      <c r="F3905" s="2">
        <v>1426.64</v>
      </c>
      <c r="G3905" t="s">
        <v>139</v>
      </c>
      <c r="H3905" t="s">
        <v>31</v>
      </c>
      <c r="I3905" t="s">
        <v>40</v>
      </c>
      <c r="J3905" t="s">
        <v>75</v>
      </c>
      <c r="K3905">
        <v>3</v>
      </c>
      <c r="L3905" t="s">
        <v>34</v>
      </c>
      <c r="M3905" t="s">
        <v>24</v>
      </c>
      <c r="N3905" t="s">
        <v>34</v>
      </c>
      <c r="O3905">
        <v>19</v>
      </c>
      <c r="P3905" t="s">
        <v>25</v>
      </c>
      <c r="Q3905" t="s">
        <v>42</v>
      </c>
      <c r="R3905" s="1">
        <v>0.1</v>
      </c>
      <c r="S3905">
        <f t="shared" si="240"/>
        <v>1283.9760000000001</v>
      </c>
      <c r="T3905">
        <f>IFERROR(VLOOKUP(A3905,Table1[[Customer ID]:[Discount Amount]], 6, FALSE),"Not Found")</f>
        <v>1426.64</v>
      </c>
      <c r="U3905" t="str">
        <f t="shared" si="241"/>
        <v>Cash</v>
      </c>
      <c r="V3905" s="4" t="str">
        <f t="shared" si="242"/>
        <v>Normal</v>
      </c>
      <c r="W3905" s="4" t="str">
        <f t="shared" si="243"/>
        <v>Good</v>
      </c>
      <c r="X3905" s="4">
        <f>AVERAGE(Table1[Purchase Amount])</f>
        <v>129.48419400000012</v>
      </c>
    </row>
    <row r="3906" spans="1:24" ht="15" customHeight="1" x14ac:dyDescent="0.25">
      <c r="A3906">
        <v>4004</v>
      </c>
      <c r="B3906">
        <v>22</v>
      </c>
      <c r="C3906" t="s">
        <v>16</v>
      </c>
      <c r="D3906" t="s">
        <v>117</v>
      </c>
      <c r="E3906" t="s">
        <v>18</v>
      </c>
      <c r="F3906" s="2">
        <v>0</v>
      </c>
      <c r="G3906" t="s">
        <v>126</v>
      </c>
      <c r="H3906" t="s">
        <v>20</v>
      </c>
      <c r="I3906" t="s">
        <v>40</v>
      </c>
      <c r="J3906" t="s">
        <v>33</v>
      </c>
      <c r="K3906">
        <v>5</v>
      </c>
      <c r="L3906" t="s">
        <v>34</v>
      </c>
      <c r="M3906" t="s">
        <v>24</v>
      </c>
      <c r="N3906" t="s">
        <v>23</v>
      </c>
      <c r="O3906">
        <v>0</v>
      </c>
      <c r="P3906" t="s">
        <v>36</v>
      </c>
      <c r="Q3906" t="s">
        <v>42</v>
      </c>
      <c r="R3906" s="1">
        <v>0.1</v>
      </c>
      <c r="S3906">
        <f t="shared" ref="S3906:S3969" si="244">F3906-(F3906*R3906)</f>
        <v>0</v>
      </c>
      <c r="T3906">
        <f>IFERROR(VLOOKUP(A3906,Table1[[Customer ID]:[Discount Amount]], 6, FALSE),"Not Found")</f>
        <v>0</v>
      </c>
      <c r="U3906" t="str">
        <f t="shared" ref="U3906:U3969" si="245">INDEX(P:P, MATCH(A3906, A:A, 0))</f>
        <v>Debit Card</v>
      </c>
      <c r="V3906" s="4" t="str">
        <f t="shared" ref="V3906:V3969" si="246">IF(AND(F3906&gt;1000,K3906&gt;=4),"Best Customer","Normal")</f>
        <v>Normal</v>
      </c>
      <c r="W3906" s="4" t="str">
        <f t="shared" ref="W3906:W3969" si="247">IF(K3906&gt;=3,"Good","Poor")</f>
        <v>Good</v>
      </c>
      <c r="X3906" s="4">
        <f>AVERAGE(Table1[Purchase Amount])</f>
        <v>129.48419400000012</v>
      </c>
    </row>
    <row r="3907" spans="1:24" ht="15" customHeight="1" x14ac:dyDescent="0.25">
      <c r="A3907">
        <v>4005</v>
      </c>
      <c r="B3907">
        <v>39</v>
      </c>
      <c r="C3907" t="s">
        <v>71</v>
      </c>
      <c r="D3907" t="s">
        <v>116</v>
      </c>
      <c r="E3907" t="s">
        <v>18</v>
      </c>
      <c r="F3907" s="2">
        <v>0</v>
      </c>
      <c r="G3907" t="s">
        <v>73</v>
      </c>
      <c r="H3907" t="s">
        <v>20</v>
      </c>
      <c r="I3907" t="s">
        <v>74</v>
      </c>
      <c r="J3907" t="s">
        <v>22</v>
      </c>
      <c r="K3907">
        <v>1</v>
      </c>
      <c r="L3907" t="s">
        <v>23</v>
      </c>
      <c r="M3907" t="s">
        <v>61</v>
      </c>
      <c r="N3907" t="s">
        <v>34</v>
      </c>
      <c r="O3907">
        <v>37</v>
      </c>
      <c r="P3907" t="s">
        <v>36</v>
      </c>
      <c r="Q3907" t="s">
        <v>26</v>
      </c>
      <c r="R3907" s="1">
        <v>0.1</v>
      </c>
      <c r="S3907">
        <f t="shared" si="244"/>
        <v>0</v>
      </c>
      <c r="T3907">
        <f>IFERROR(VLOOKUP(A3907,Table1[[Customer ID]:[Discount Amount]], 6, FALSE),"Not Found")</f>
        <v>0</v>
      </c>
      <c r="U3907" t="str">
        <f t="shared" si="245"/>
        <v>Debit Card</v>
      </c>
      <c r="V3907" s="4" t="str">
        <f t="shared" si="246"/>
        <v>Normal</v>
      </c>
      <c r="W3907" s="4" t="str">
        <f t="shared" si="247"/>
        <v>Poor</v>
      </c>
      <c r="X3907" s="4">
        <f>AVERAGE(Table1[Purchase Amount])</f>
        <v>129.48419400000012</v>
      </c>
    </row>
    <row r="3908" spans="1:24" ht="15" customHeight="1" x14ac:dyDescent="0.25">
      <c r="A3908">
        <v>4006</v>
      </c>
      <c r="B3908">
        <v>28</v>
      </c>
      <c r="C3908" t="s">
        <v>71</v>
      </c>
      <c r="D3908" t="s">
        <v>38</v>
      </c>
      <c r="E3908" t="s">
        <v>18</v>
      </c>
      <c r="F3908" s="2">
        <v>1091.01</v>
      </c>
      <c r="G3908" t="s">
        <v>139</v>
      </c>
      <c r="H3908" t="s">
        <v>55</v>
      </c>
      <c r="I3908" t="s">
        <v>93</v>
      </c>
      <c r="J3908" t="s">
        <v>33</v>
      </c>
      <c r="K3908">
        <v>1</v>
      </c>
      <c r="L3908" t="s">
        <v>23</v>
      </c>
      <c r="M3908" t="s">
        <v>24</v>
      </c>
      <c r="N3908" t="s">
        <v>34</v>
      </c>
      <c r="O3908">
        <v>15</v>
      </c>
      <c r="P3908" t="s">
        <v>25</v>
      </c>
      <c r="Q3908" t="s">
        <v>42</v>
      </c>
      <c r="R3908" s="1">
        <v>0.1</v>
      </c>
      <c r="S3908">
        <f t="shared" si="244"/>
        <v>981.90899999999999</v>
      </c>
      <c r="T3908">
        <f>IFERROR(VLOOKUP(A3908,Table1[[Customer ID]:[Discount Amount]], 6, FALSE),"Not Found")</f>
        <v>1091.01</v>
      </c>
      <c r="U3908" t="str">
        <f t="shared" si="245"/>
        <v>Cash</v>
      </c>
      <c r="V3908" s="4" t="str">
        <f t="shared" si="246"/>
        <v>Normal</v>
      </c>
      <c r="W3908" s="4" t="str">
        <f t="shared" si="247"/>
        <v>Poor</v>
      </c>
      <c r="X3908" s="4">
        <f>AVERAGE(Table1[Purchase Amount])</f>
        <v>129.48419400000012</v>
      </c>
    </row>
    <row r="3909" spans="1:24" ht="15" customHeight="1" x14ac:dyDescent="0.25">
      <c r="A3909">
        <v>4007</v>
      </c>
      <c r="B3909">
        <v>33</v>
      </c>
      <c r="C3909" t="s">
        <v>27</v>
      </c>
      <c r="D3909" t="s">
        <v>112</v>
      </c>
      <c r="E3909" t="s">
        <v>18</v>
      </c>
      <c r="F3909" s="2">
        <v>0</v>
      </c>
      <c r="G3909" t="s">
        <v>101</v>
      </c>
      <c r="H3909" t="s">
        <v>55</v>
      </c>
      <c r="I3909" t="s">
        <v>74</v>
      </c>
      <c r="J3909" t="s">
        <v>33</v>
      </c>
      <c r="K3909">
        <v>1</v>
      </c>
      <c r="L3909" t="s">
        <v>23</v>
      </c>
      <c r="M3909" t="s">
        <v>24</v>
      </c>
      <c r="N3909" t="s">
        <v>34</v>
      </c>
      <c r="O3909">
        <v>0</v>
      </c>
      <c r="P3909" t="s">
        <v>58</v>
      </c>
      <c r="Q3909" t="s">
        <v>42</v>
      </c>
      <c r="R3909" s="1">
        <v>0.1</v>
      </c>
      <c r="S3909">
        <f t="shared" si="244"/>
        <v>0</v>
      </c>
      <c r="T3909">
        <f>IFERROR(VLOOKUP(A3909,Table1[[Customer ID]:[Discount Amount]], 6, FALSE),"Not Found")</f>
        <v>0</v>
      </c>
      <c r="U3909" t="str">
        <f t="shared" si="245"/>
        <v>PayPal</v>
      </c>
      <c r="V3909" s="4" t="str">
        <f t="shared" si="246"/>
        <v>Normal</v>
      </c>
      <c r="W3909" s="4" t="str">
        <f t="shared" si="247"/>
        <v>Poor</v>
      </c>
      <c r="X3909" s="4">
        <f>AVERAGE(Table1[Purchase Amount])</f>
        <v>129.48419400000012</v>
      </c>
    </row>
    <row r="3910" spans="1:24" ht="15" customHeight="1" x14ac:dyDescent="0.25">
      <c r="A3910">
        <v>4008</v>
      </c>
      <c r="B3910">
        <v>33</v>
      </c>
      <c r="C3910" t="s">
        <v>71</v>
      </c>
      <c r="D3910" t="s">
        <v>116</v>
      </c>
      <c r="E3910" t="s">
        <v>18</v>
      </c>
      <c r="F3910" s="2">
        <v>0</v>
      </c>
      <c r="G3910" t="s">
        <v>101</v>
      </c>
      <c r="H3910" t="s">
        <v>20</v>
      </c>
      <c r="I3910" t="s">
        <v>40</v>
      </c>
      <c r="J3910" t="s">
        <v>75</v>
      </c>
      <c r="K3910">
        <v>4</v>
      </c>
      <c r="L3910" t="s">
        <v>23</v>
      </c>
      <c r="M3910" t="s">
        <v>61</v>
      </c>
      <c r="N3910" t="s">
        <v>23</v>
      </c>
      <c r="O3910">
        <v>41</v>
      </c>
      <c r="P3910" t="s">
        <v>58</v>
      </c>
      <c r="Q3910" t="s">
        <v>26</v>
      </c>
      <c r="R3910" s="1">
        <v>0.1</v>
      </c>
      <c r="S3910">
        <f t="shared" si="244"/>
        <v>0</v>
      </c>
      <c r="T3910">
        <f>IFERROR(VLOOKUP(A3910,Table1[[Customer ID]:[Discount Amount]], 6, FALSE),"Not Found")</f>
        <v>0</v>
      </c>
      <c r="U3910" t="str">
        <f t="shared" si="245"/>
        <v>PayPal</v>
      </c>
      <c r="V3910" s="4" t="str">
        <f t="shared" si="246"/>
        <v>Normal</v>
      </c>
      <c r="W3910" s="4" t="str">
        <f t="shared" si="247"/>
        <v>Good</v>
      </c>
      <c r="X3910" s="4">
        <f>AVERAGE(Table1[Purchase Amount])</f>
        <v>129.48419400000012</v>
      </c>
    </row>
    <row r="3911" spans="1:24" ht="15" customHeight="1" x14ac:dyDescent="0.25">
      <c r="A3911">
        <v>4009</v>
      </c>
      <c r="B3911">
        <v>36</v>
      </c>
      <c r="C3911" t="s">
        <v>27</v>
      </c>
      <c r="D3911" t="s">
        <v>38</v>
      </c>
      <c r="E3911" t="s">
        <v>18</v>
      </c>
      <c r="F3911" s="2">
        <v>547.16999999999996</v>
      </c>
      <c r="G3911" t="s">
        <v>73</v>
      </c>
      <c r="H3911" t="s">
        <v>45</v>
      </c>
      <c r="I3911" t="s">
        <v>46</v>
      </c>
      <c r="J3911" t="s">
        <v>22</v>
      </c>
      <c r="K3911">
        <v>1</v>
      </c>
      <c r="L3911" t="s">
        <v>34</v>
      </c>
      <c r="M3911" t="s">
        <v>61</v>
      </c>
      <c r="N3911" t="s">
        <v>34</v>
      </c>
      <c r="O3911">
        <v>0</v>
      </c>
      <c r="P3911" t="s">
        <v>58</v>
      </c>
      <c r="Q3911" t="s">
        <v>42</v>
      </c>
      <c r="R3911" s="1">
        <v>0.1</v>
      </c>
      <c r="S3911">
        <f t="shared" si="244"/>
        <v>492.45299999999997</v>
      </c>
      <c r="T3911">
        <f>IFERROR(VLOOKUP(A3911,Table1[[Customer ID]:[Discount Amount]], 6, FALSE),"Not Found")</f>
        <v>547.16999999999996</v>
      </c>
      <c r="U3911" t="str">
        <f t="shared" si="245"/>
        <v>PayPal</v>
      </c>
      <c r="V3911" s="4" t="str">
        <f t="shared" si="246"/>
        <v>Normal</v>
      </c>
      <c r="W3911" s="4" t="str">
        <f t="shared" si="247"/>
        <v>Poor</v>
      </c>
      <c r="X3911" s="4">
        <f>AVERAGE(Table1[Purchase Amount])</f>
        <v>129.48419400000012</v>
      </c>
    </row>
    <row r="3912" spans="1:24" ht="15" customHeight="1" x14ac:dyDescent="0.25">
      <c r="A3912">
        <v>4010</v>
      </c>
      <c r="B3912">
        <v>49</v>
      </c>
      <c r="C3912" t="s">
        <v>16</v>
      </c>
      <c r="D3912" t="s">
        <v>38</v>
      </c>
      <c r="E3912" t="s">
        <v>29</v>
      </c>
      <c r="F3912" s="2">
        <v>371.9</v>
      </c>
      <c r="G3912" t="s">
        <v>101</v>
      </c>
      <c r="H3912" t="s">
        <v>55</v>
      </c>
      <c r="I3912" t="s">
        <v>32</v>
      </c>
      <c r="J3912" t="s">
        <v>75</v>
      </c>
      <c r="K3912">
        <v>1</v>
      </c>
      <c r="L3912" t="s">
        <v>23</v>
      </c>
      <c r="M3912" t="s">
        <v>61</v>
      </c>
      <c r="N3912" t="s">
        <v>23</v>
      </c>
      <c r="O3912">
        <v>7</v>
      </c>
      <c r="P3912" t="s">
        <v>53</v>
      </c>
      <c r="Q3912" t="s">
        <v>37</v>
      </c>
      <c r="R3912" s="1">
        <v>0.1</v>
      </c>
      <c r="S3912">
        <f t="shared" si="244"/>
        <v>334.71</v>
      </c>
      <c r="T3912">
        <f>IFERROR(VLOOKUP(A3912,Table1[[Customer ID]:[Discount Amount]], 6, FALSE),"Not Found")</f>
        <v>371.9</v>
      </c>
      <c r="U3912" t="str">
        <f t="shared" si="245"/>
        <v>Credit Card</v>
      </c>
      <c r="V3912" s="4" t="str">
        <f t="shared" si="246"/>
        <v>Normal</v>
      </c>
      <c r="W3912" s="4" t="str">
        <f t="shared" si="247"/>
        <v>Poor</v>
      </c>
      <c r="X3912" s="4">
        <f>AVERAGE(Table1[Purchase Amount])</f>
        <v>129.48419400000012</v>
      </c>
    </row>
    <row r="3913" spans="1:24" ht="15" customHeight="1" x14ac:dyDescent="0.25">
      <c r="A3913">
        <v>4011</v>
      </c>
      <c r="B3913">
        <v>50</v>
      </c>
      <c r="C3913" t="s">
        <v>16</v>
      </c>
      <c r="D3913" t="s">
        <v>117</v>
      </c>
      <c r="E3913" t="s">
        <v>18</v>
      </c>
      <c r="F3913" s="2">
        <v>0</v>
      </c>
      <c r="G3913" t="s">
        <v>82</v>
      </c>
      <c r="H3913" t="s">
        <v>55</v>
      </c>
      <c r="I3913" t="s">
        <v>74</v>
      </c>
      <c r="J3913" t="s">
        <v>22</v>
      </c>
      <c r="K3913">
        <v>3</v>
      </c>
      <c r="L3913" t="s">
        <v>23</v>
      </c>
      <c r="M3913" t="s">
        <v>24</v>
      </c>
      <c r="N3913" t="s">
        <v>34</v>
      </c>
      <c r="O3913">
        <v>0</v>
      </c>
      <c r="P3913" t="s">
        <v>36</v>
      </c>
      <c r="Q3913" t="s">
        <v>37</v>
      </c>
      <c r="R3913" s="1">
        <v>0.1</v>
      </c>
      <c r="S3913">
        <f t="shared" si="244"/>
        <v>0</v>
      </c>
      <c r="T3913">
        <f>IFERROR(VLOOKUP(A3913,Table1[[Customer ID]:[Discount Amount]], 6, FALSE),"Not Found")</f>
        <v>0</v>
      </c>
      <c r="U3913" t="str">
        <f t="shared" si="245"/>
        <v>Debit Card</v>
      </c>
      <c r="V3913" s="4" t="str">
        <f t="shared" si="246"/>
        <v>Normal</v>
      </c>
      <c r="W3913" s="4" t="str">
        <f t="shared" si="247"/>
        <v>Good</v>
      </c>
      <c r="X3913" s="4">
        <f>AVERAGE(Table1[Purchase Amount])</f>
        <v>129.48419400000012</v>
      </c>
    </row>
    <row r="3914" spans="1:24" ht="15" customHeight="1" x14ac:dyDescent="0.25">
      <c r="A3914">
        <v>4012</v>
      </c>
      <c r="B3914">
        <v>32</v>
      </c>
      <c r="C3914" t="s">
        <v>71</v>
      </c>
      <c r="D3914" t="s">
        <v>95</v>
      </c>
      <c r="E3914" t="s">
        <v>18</v>
      </c>
      <c r="F3914" s="2">
        <v>199.98</v>
      </c>
      <c r="G3914" t="s">
        <v>73</v>
      </c>
      <c r="H3914" t="s">
        <v>45</v>
      </c>
      <c r="I3914" t="s">
        <v>74</v>
      </c>
      <c r="J3914" t="s">
        <v>22</v>
      </c>
      <c r="K3914">
        <v>1</v>
      </c>
      <c r="L3914" t="s">
        <v>23</v>
      </c>
      <c r="M3914" t="s">
        <v>24</v>
      </c>
      <c r="N3914" t="s">
        <v>23</v>
      </c>
      <c r="O3914">
        <v>5</v>
      </c>
      <c r="P3914" t="s">
        <v>58</v>
      </c>
      <c r="Q3914" t="s">
        <v>42</v>
      </c>
      <c r="R3914" s="1">
        <v>0.1</v>
      </c>
      <c r="S3914">
        <f t="shared" si="244"/>
        <v>179.982</v>
      </c>
      <c r="T3914">
        <f>IFERROR(VLOOKUP(A3914,Table1[[Customer ID]:[Discount Amount]], 6, FALSE),"Not Found")</f>
        <v>199.98</v>
      </c>
      <c r="U3914" t="str">
        <f t="shared" si="245"/>
        <v>PayPal</v>
      </c>
      <c r="V3914" s="4" t="str">
        <f t="shared" si="246"/>
        <v>Normal</v>
      </c>
      <c r="W3914" s="4" t="str">
        <f t="shared" si="247"/>
        <v>Poor</v>
      </c>
      <c r="X3914" s="4">
        <f>AVERAGE(Table1[Purchase Amount])</f>
        <v>129.48419400000012</v>
      </c>
    </row>
    <row r="3915" spans="1:24" ht="15" customHeight="1" x14ac:dyDescent="0.25">
      <c r="A3915">
        <v>4013</v>
      </c>
      <c r="B3915">
        <v>60</v>
      </c>
      <c r="C3915" t="s">
        <v>16</v>
      </c>
      <c r="D3915" t="s">
        <v>116</v>
      </c>
      <c r="E3915" t="s">
        <v>29</v>
      </c>
      <c r="F3915" s="2">
        <v>0</v>
      </c>
      <c r="G3915" t="s">
        <v>73</v>
      </c>
      <c r="H3915" t="s">
        <v>45</v>
      </c>
      <c r="I3915" t="s">
        <v>40</v>
      </c>
      <c r="J3915" t="s">
        <v>75</v>
      </c>
      <c r="K3915">
        <v>2</v>
      </c>
      <c r="L3915" t="s">
        <v>23</v>
      </c>
      <c r="M3915" t="s">
        <v>61</v>
      </c>
      <c r="N3915" t="s">
        <v>23</v>
      </c>
      <c r="O3915">
        <v>12</v>
      </c>
      <c r="P3915" t="s">
        <v>25</v>
      </c>
      <c r="Q3915" t="s">
        <v>37</v>
      </c>
      <c r="R3915" s="1">
        <v>0.1</v>
      </c>
      <c r="S3915">
        <f t="shared" si="244"/>
        <v>0</v>
      </c>
      <c r="T3915">
        <f>IFERROR(VLOOKUP(A3915,Table1[[Customer ID]:[Discount Amount]], 6, FALSE),"Not Found")</f>
        <v>0</v>
      </c>
      <c r="U3915" t="str">
        <f t="shared" si="245"/>
        <v>Cash</v>
      </c>
      <c r="V3915" s="4" t="str">
        <f t="shared" si="246"/>
        <v>Normal</v>
      </c>
      <c r="W3915" s="4" t="str">
        <f t="shared" si="247"/>
        <v>Poor</v>
      </c>
      <c r="X3915" s="4">
        <f>AVERAGE(Table1[Purchase Amount])</f>
        <v>129.48419400000012</v>
      </c>
    </row>
    <row r="3916" spans="1:24" ht="15" customHeight="1" x14ac:dyDescent="0.25">
      <c r="A3916">
        <v>4014</v>
      </c>
      <c r="B3916">
        <v>21</v>
      </c>
      <c r="C3916" t="s">
        <v>16</v>
      </c>
      <c r="D3916" t="s">
        <v>116</v>
      </c>
      <c r="E3916" t="s">
        <v>18</v>
      </c>
      <c r="F3916" s="2">
        <v>1336.18</v>
      </c>
      <c r="G3916" t="s">
        <v>73</v>
      </c>
      <c r="H3916" t="s">
        <v>45</v>
      </c>
      <c r="I3916" t="s">
        <v>74</v>
      </c>
      <c r="J3916" t="s">
        <v>33</v>
      </c>
      <c r="K3916">
        <v>1</v>
      </c>
      <c r="L3916" t="s">
        <v>34</v>
      </c>
      <c r="M3916" t="s">
        <v>24</v>
      </c>
      <c r="N3916" t="s">
        <v>34</v>
      </c>
      <c r="O3916">
        <v>0</v>
      </c>
      <c r="P3916" t="s">
        <v>53</v>
      </c>
      <c r="Q3916" t="s">
        <v>42</v>
      </c>
      <c r="R3916" s="1">
        <v>0.1</v>
      </c>
      <c r="S3916">
        <f t="shared" si="244"/>
        <v>1202.5620000000001</v>
      </c>
      <c r="T3916">
        <f>IFERROR(VLOOKUP(A3916,Table1[[Customer ID]:[Discount Amount]], 6, FALSE),"Not Found")</f>
        <v>1336.18</v>
      </c>
      <c r="U3916" t="str">
        <f t="shared" si="245"/>
        <v>Credit Card</v>
      </c>
      <c r="V3916" s="4" t="str">
        <f t="shared" si="246"/>
        <v>Normal</v>
      </c>
      <c r="W3916" s="4" t="str">
        <f t="shared" si="247"/>
        <v>Poor</v>
      </c>
      <c r="X3916" s="4">
        <f>AVERAGE(Table1[Purchase Amount])</f>
        <v>129.48419400000012</v>
      </c>
    </row>
    <row r="3917" spans="1:24" ht="15" customHeight="1" x14ac:dyDescent="0.25">
      <c r="A3917">
        <v>4015</v>
      </c>
      <c r="B3917">
        <v>34</v>
      </c>
      <c r="C3917" t="s">
        <v>71</v>
      </c>
      <c r="D3917" t="s">
        <v>112</v>
      </c>
      <c r="E3917" t="s">
        <v>81</v>
      </c>
      <c r="F3917" s="2">
        <v>409.98</v>
      </c>
      <c r="G3917" t="s">
        <v>139</v>
      </c>
      <c r="H3917" t="s">
        <v>31</v>
      </c>
      <c r="I3917" t="s">
        <v>74</v>
      </c>
      <c r="J3917" t="s">
        <v>57</v>
      </c>
      <c r="K3917">
        <v>1</v>
      </c>
      <c r="L3917" t="s">
        <v>34</v>
      </c>
      <c r="M3917" t="s">
        <v>24</v>
      </c>
      <c r="N3917" t="s">
        <v>34</v>
      </c>
      <c r="O3917">
        <v>0</v>
      </c>
      <c r="P3917" t="s">
        <v>58</v>
      </c>
      <c r="Q3917" t="s">
        <v>42</v>
      </c>
      <c r="R3917" s="1">
        <v>0.1</v>
      </c>
      <c r="S3917">
        <f t="shared" si="244"/>
        <v>368.98200000000003</v>
      </c>
      <c r="T3917">
        <f>IFERROR(VLOOKUP(A3917,Table1[[Customer ID]:[Discount Amount]], 6, FALSE),"Not Found")</f>
        <v>409.98</v>
      </c>
      <c r="U3917" t="str">
        <f t="shared" si="245"/>
        <v>PayPal</v>
      </c>
      <c r="V3917" s="4" t="str">
        <f t="shared" si="246"/>
        <v>Normal</v>
      </c>
      <c r="W3917" s="4" t="str">
        <f t="shared" si="247"/>
        <v>Poor</v>
      </c>
      <c r="X3917" s="4">
        <f>AVERAGE(Table1[Purchase Amount])</f>
        <v>129.48419400000012</v>
      </c>
    </row>
    <row r="3918" spans="1:24" ht="15" customHeight="1" x14ac:dyDescent="0.25">
      <c r="A3918">
        <v>4016</v>
      </c>
      <c r="B3918">
        <v>19</v>
      </c>
      <c r="C3918" t="s">
        <v>27</v>
      </c>
      <c r="D3918" t="s">
        <v>116</v>
      </c>
      <c r="E3918" t="s">
        <v>18</v>
      </c>
      <c r="F3918" s="2">
        <v>0</v>
      </c>
      <c r="G3918" t="s">
        <v>126</v>
      </c>
      <c r="H3918" t="s">
        <v>31</v>
      </c>
      <c r="I3918" t="s">
        <v>40</v>
      </c>
      <c r="J3918" t="s">
        <v>57</v>
      </c>
      <c r="K3918">
        <v>1</v>
      </c>
      <c r="L3918" t="s">
        <v>23</v>
      </c>
      <c r="M3918" t="s">
        <v>61</v>
      </c>
      <c r="N3918" t="s">
        <v>34</v>
      </c>
      <c r="O3918">
        <v>33</v>
      </c>
      <c r="P3918" t="s">
        <v>25</v>
      </c>
      <c r="Q3918" t="s">
        <v>26</v>
      </c>
      <c r="R3918" s="1">
        <v>0.1</v>
      </c>
      <c r="S3918">
        <f t="shared" si="244"/>
        <v>0</v>
      </c>
      <c r="T3918">
        <f>IFERROR(VLOOKUP(A3918,Table1[[Customer ID]:[Discount Amount]], 6, FALSE),"Not Found")</f>
        <v>0</v>
      </c>
      <c r="U3918" t="str">
        <f t="shared" si="245"/>
        <v>Cash</v>
      </c>
      <c r="V3918" s="4" t="str">
        <f t="shared" si="246"/>
        <v>Normal</v>
      </c>
      <c r="W3918" s="4" t="str">
        <f t="shared" si="247"/>
        <v>Poor</v>
      </c>
      <c r="X3918" s="4">
        <f>AVERAGE(Table1[Purchase Amount])</f>
        <v>129.48419400000012</v>
      </c>
    </row>
    <row r="3919" spans="1:24" ht="15" customHeight="1" x14ac:dyDescent="0.25">
      <c r="A3919">
        <v>4017</v>
      </c>
      <c r="B3919">
        <v>58</v>
      </c>
      <c r="C3919" t="s">
        <v>27</v>
      </c>
      <c r="D3919" t="s">
        <v>80</v>
      </c>
      <c r="E3919" t="s">
        <v>81</v>
      </c>
      <c r="F3919" s="2">
        <v>690.65</v>
      </c>
      <c r="G3919" t="s">
        <v>73</v>
      </c>
      <c r="H3919" t="s">
        <v>31</v>
      </c>
      <c r="I3919" t="s">
        <v>93</v>
      </c>
      <c r="J3919" t="s">
        <v>75</v>
      </c>
      <c r="K3919">
        <v>1</v>
      </c>
      <c r="L3919" t="s">
        <v>23</v>
      </c>
      <c r="M3919" t="s">
        <v>24</v>
      </c>
      <c r="N3919" t="s">
        <v>23</v>
      </c>
      <c r="O3919">
        <v>0</v>
      </c>
      <c r="P3919" t="s">
        <v>36</v>
      </c>
      <c r="Q3919" t="s">
        <v>42</v>
      </c>
      <c r="R3919" s="1">
        <v>0.1</v>
      </c>
      <c r="S3919">
        <f t="shared" si="244"/>
        <v>621.58500000000004</v>
      </c>
      <c r="T3919">
        <f>IFERROR(VLOOKUP(A3919,Table1[[Customer ID]:[Discount Amount]], 6, FALSE),"Not Found")</f>
        <v>690.65</v>
      </c>
      <c r="U3919" t="str">
        <f t="shared" si="245"/>
        <v>Debit Card</v>
      </c>
      <c r="V3919" s="4" t="str">
        <f t="shared" si="246"/>
        <v>Normal</v>
      </c>
      <c r="W3919" s="4" t="str">
        <f t="shared" si="247"/>
        <v>Poor</v>
      </c>
      <c r="X3919" s="4">
        <f>AVERAGE(Table1[Purchase Amount])</f>
        <v>129.48419400000012</v>
      </c>
    </row>
    <row r="3920" spans="1:24" ht="15" customHeight="1" x14ac:dyDescent="0.25">
      <c r="A3920">
        <v>4018</v>
      </c>
      <c r="B3920">
        <v>36</v>
      </c>
      <c r="C3920" t="s">
        <v>27</v>
      </c>
      <c r="D3920" t="s">
        <v>95</v>
      </c>
      <c r="E3920" t="s">
        <v>18</v>
      </c>
      <c r="F3920" s="2">
        <v>0</v>
      </c>
      <c r="G3920" t="s">
        <v>82</v>
      </c>
      <c r="H3920" t="s">
        <v>45</v>
      </c>
      <c r="I3920" t="s">
        <v>93</v>
      </c>
      <c r="J3920" t="s">
        <v>22</v>
      </c>
      <c r="K3920">
        <v>5</v>
      </c>
      <c r="L3920" t="s">
        <v>34</v>
      </c>
      <c r="M3920" t="s">
        <v>61</v>
      </c>
      <c r="N3920" t="s">
        <v>34</v>
      </c>
      <c r="O3920">
        <v>0</v>
      </c>
      <c r="P3920" t="s">
        <v>25</v>
      </c>
      <c r="Q3920" t="s">
        <v>26</v>
      </c>
      <c r="R3920" s="1">
        <v>0.1</v>
      </c>
      <c r="S3920">
        <f t="shared" si="244"/>
        <v>0</v>
      </c>
      <c r="T3920">
        <f>IFERROR(VLOOKUP(A3920,Table1[[Customer ID]:[Discount Amount]], 6, FALSE),"Not Found")</f>
        <v>0</v>
      </c>
      <c r="U3920" t="str">
        <f t="shared" si="245"/>
        <v>Cash</v>
      </c>
      <c r="V3920" s="4" t="str">
        <f t="shared" si="246"/>
        <v>Normal</v>
      </c>
      <c r="W3920" s="4" t="str">
        <f t="shared" si="247"/>
        <v>Good</v>
      </c>
      <c r="X3920" s="4">
        <f>AVERAGE(Table1[Purchase Amount])</f>
        <v>129.48419400000012</v>
      </c>
    </row>
    <row r="3921" spans="1:24" ht="15" customHeight="1" x14ac:dyDescent="0.25">
      <c r="A3921">
        <v>4019</v>
      </c>
      <c r="B3921">
        <v>28</v>
      </c>
      <c r="C3921" t="s">
        <v>27</v>
      </c>
      <c r="D3921" t="s">
        <v>80</v>
      </c>
      <c r="E3921" t="s">
        <v>18</v>
      </c>
      <c r="F3921" s="2">
        <v>864.47</v>
      </c>
      <c r="G3921" t="s">
        <v>101</v>
      </c>
      <c r="H3921" t="s">
        <v>20</v>
      </c>
      <c r="I3921" t="s">
        <v>93</v>
      </c>
      <c r="J3921" t="s">
        <v>22</v>
      </c>
      <c r="K3921">
        <v>1</v>
      </c>
      <c r="L3921" t="s">
        <v>34</v>
      </c>
      <c r="M3921" t="s">
        <v>24</v>
      </c>
      <c r="N3921" t="s">
        <v>34</v>
      </c>
      <c r="O3921">
        <v>7</v>
      </c>
      <c r="P3921" t="s">
        <v>36</v>
      </c>
      <c r="Q3921" t="s">
        <v>42</v>
      </c>
      <c r="R3921" s="1">
        <v>0.1</v>
      </c>
      <c r="S3921">
        <f t="shared" si="244"/>
        <v>778.02300000000002</v>
      </c>
      <c r="T3921">
        <f>IFERROR(VLOOKUP(A3921,Table1[[Customer ID]:[Discount Amount]], 6, FALSE),"Not Found")</f>
        <v>864.47</v>
      </c>
      <c r="U3921" t="str">
        <f t="shared" si="245"/>
        <v>Debit Card</v>
      </c>
      <c r="V3921" s="4" t="str">
        <f t="shared" si="246"/>
        <v>Normal</v>
      </c>
      <c r="W3921" s="4" t="str">
        <f t="shared" si="247"/>
        <v>Poor</v>
      </c>
      <c r="X3921" s="4">
        <f>AVERAGE(Table1[Purchase Amount])</f>
        <v>129.48419400000012</v>
      </c>
    </row>
    <row r="3922" spans="1:24" ht="15" customHeight="1" x14ac:dyDescent="0.25">
      <c r="A3922">
        <v>4020</v>
      </c>
      <c r="B3922">
        <v>60</v>
      </c>
      <c r="C3922" t="s">
        <v>16</v>
      </c>
      <c r="D3922" t="s">
        <v>95</v>
      </c>
      <c r="E3922" t="s">
        <v>29</v>
      </c>
      <c r="F3922" s="2">
        <v>1247.31</v>
      </c>
      <c r="G3922" t="s">
        <v>126</v>
      </c>
      <c r="H3922" t="s">
        <v>55</v>
      </c>
      <c r="I3922" t="s">
        <v>32</v>
      </c>
      <c r="J3922" t="s">
        <v>22</v>
      </c>
      <c r="K3922">
        <v>1</v>
      </c>
      <c r="L3922" t="s">
        <v>23</v>
      </c>
      <c r="M3922" t="s">
        <v>61</v>
      </c>
      <c r="N3922" t="s">
        <v>34</v>
      </c>
      <c r="O3922">
        <v>20</v>
      </c>
      <c r="P3922" t="s">
        <v>58</v>
      </c>
      <c r="Q3922" t="s">
        <v>37</v>
      </c>
      <c r="R3922" s="1">
        <v>0.1</v>
      </c>
      <c r="S3922">
        <f t="shared" si="244"/>
        <v>1122.579</v>
      </c>
      <c r="T3922">
        <f>IFERROR(VLOOKUP(A3922,Table1[[Customer ID]:[Discount Amount]], 6, FALSE),"Not Found")</f>
        <v>1247.31</v>
      </c>
      <c r="U3922" t="str">
        <f t="shared" si="245"/>
        <v>PayPal</v>
      </c>
      <c r="V3922" s="4" t="str">
        <f t="shared" si="246"/>
        <v>Normal</v>
      </c>
      <c r="W3922" s="4" t="str">
        <f t="shared" si="247"/>
        <v>Poor</v>
      </c>
      <c r="X3922" s="4">
        <f>AVERAGE(Table1[Purchase Amount])</f>
        <v>129.48419400000012</v>
      </c>
    </row>
    <row r="3923" spans="1:24" ht="15" customHeight="1" x14ac:dyDescent="0.25">
      <c r="A3923">
        <v>4021</v>
      </c>
      <c r="B3923">
        <v>32</v>
      </c>
      <c r="C3923" t="s">
        <v>16</v>
      </c>
      <c r="D3923" t="s">
        <v>72</v>
      </c>
      <c r="E3923" t="s">
        <v>29</v>
      </c>
      <c r="F3923" s="2">
        <v>0</v>
      </c>
      <c r="G3923" t="s">
        <v>126</v>
      </c>
      <c r="H3923" t="s">
        <v>55</v>
      </c>
      <c r="I3923" t="s">
        <v>40</v>
      </c>
      <c r="J3923" t="s">
        <v>22</v>
      </c>
      <c r="K3923">
        <v>4</v>
      </c>
      <c r="L3923" t="s">
        <v>34</v>
      </c>
      <c r="M3923" t="s">
        <v>24</v>
      </c>
      <c r="N3923" t="s">
        <v>23</v>
      </c>
      <c r="O3923">
        <v>0</v>
      </c>
      <c r="P3923" t="s">
        <v>53</v>
      </c>
      <c r="Q3923" t="s">
        <v>37</v>
      </c>
      <c r="R3923" s="1">
        <v>0.1</v>
      </c>
      <c r="S3923">
        <f t="shared" si="244"/>
        <v>0</v>
      </c>
      <c r="T3923">
        <f>IFERROR(VLOOKUP(A3923,Table1[[Customer ID]:[Discount Amount]], 6, FALSE),"Not Found")</f>
        <v>0</v>
      </c>
      <c r="U3923" t="str">
        <f t="shared" si="245"/>
        <v>Credit Card</v>
      </c>
      <c r="V3923" s="4" t="str">
        <f t="shared" si="246"/>
        <v>Normal</v>
      </c>
      <c r="W3923" s="4" t="str">
        <f t="shared" si="247"/>
        <v>Good</v>
      </c>
      <c r="X3923" s="4">
        <f>AVERAGE(Table1[Purchase Amount])</f>
        <v>129.48419400000012</v>
      </c>
    </row>
    <row r="3924" spans="1:24" ht="15" customHeight="1" x14ac:dyDescent="0.25">
      <c r="A3924">
        <v>4022</v>
      </c>
      <c r="B3924">
        <v>39</v>
      </c>
      <c r="C3924" t="s">
        <v>16</v>
      </c>
      <c r="D3924" t="s">
        <v>80</v>
      </c>
      <c r="E3924" t="s">
        <v>81</v>
      </c>
      <c r="F3924" s="2">
        <v>0</v>
      </c>
      <c r="G3924" t="s">
        <v>73</v>
      </c>
      <c r="H3924" t="s">
        <v>31</v>
      </c>
      <c r="I3924" t="s">
        <v>93</v>
      </c>
      <c r="J3924" t="s">
        <v>57</v>
      </c>
      <c r="K3924">
        <v>4</v>
      </c>
      <c r="L3924" t="s">
        <v>23</v>
      </c>
      <c r="M3924" t="s">
        <v>61</v>
      </c>
      <c r="N3924" t="s">
        <v>34</v>
      </c>
      <c r="O3924">
        <v>34</v>
      </c>
      <c r="P3924" t="s">
        <v>36</v>
      </c>
      <c r="Q3924" t="s">
        <v>26</v>
      </c>
      <c r="R3924" s="1">
        <v>0.1</v>
      </c>
      <c r="S3924">
        <f t="shared" si="244"/>
        <v>0</v>
      </c>
      <c r="T3924">
        <f>IFERROR(VLOOKUP(A3924,Table1[[Customer ID]:[Discount Amount]], 6, FALSE),"Not Found")</f>
        <v>0</v>
      </c>
      <c r="U3924" t="str">
        <f t="shared" si="245"/>
        <v>Debit Card</v>
      </c>
      <c r="V3924" s="4" t="str">
        <f t="shared" si="246"/>
        <v>Normal</v>
      </c>
      <c r="W3924" s="4" t="str">
        <f t="shared" si="247"/>
        <v>Good</v>
      </c>
      <c r="X3924" s="4">
        <f>AVERAGE(Table1[Purchase Amount])</f>
        <v>129.48419400000012</v>
      </c>
    </row>
    <row r="3925" spans="1:24" ht="15" customHeight="1" x14ac:dyDescent="0.25">
      <c r="A3925">
        <v>4023</v>
      </c>
      <c r="B3925">
        <v>55</v>
      </c>
      <c r="C3925" t="s">
        <v>71</v>
      </c>
      <c r="D3925" t="s">
        <v>112</v>
      </c>
      <c r="E3925" t="s">
        <v>81</v>
      </c>
      <c r="F3925" s="2">
        <v>0</v>
      </c>
      <c r="G3925" t="s">
        <v>73</v>
      </c>
      <c r="H3925" t="s">
        <v>31</v>
      </c>
      <c r="I3925" t="s">
        <v>32</v>
      </c>
      <c r="J3925" t="s">
        <v>33</v>
      </c>
      <c r="K3925">
        <v>3</v>
      </c>
      <c r="L3925" t="s">
        <v>34</v>
      </c>
      <c r="M3925" t="s">
        <v>61</v>
      </c>
      <c r="N3925" t="s">
        <v>23</v>
      </c>
      <c r="O3925">
        <v>0</v>
      </c>
      <c r="P3925" t="s">
        <v>36</v>
      </c>
      <c r="Q3925" t="s">
        <v>26</v>
      </c>
      <c r="R3925" s="1">
        <v>0.1</v>
      </c>
      <c r="S3925">
        <f t="shared" si="244"/>
        <v>0</v>
      </c>
      <c r="T3925">
        <f>IFERROR(VLOOKUP(A3925,Table1[[Customer ID]:[Discount Amount]], 6, FALSE),"Not Found")</f>
        <v>0</v>
      </c>
      <c r="U3925" t="str">
        <f t="shared" si="245"/>
        <v>Debit Card</v>
      </c>
      <c r="V3925" s="4" t="str">
        <f t="shared" si="246"/>
        <v>Normal</v>
      </c>
      <c r="W3925" s="4" t="str">
        <f t="shared" si="247"/>
        <v>Good</v>
      </c>
      <c r="X3925" s="4">
        <f>AVERAGE(Table1[Purchase Amount])</f>
        <v>129.48419400000012</v>
      </c>
    </row>
    <row r="3926" spans="1:24" ht="15" customHeight="1" x14ac:dyDescent="0.25">
      <c r="A3926">
        <v>4024</v>
      </c>
      <c r="B3926">
        <v>55</v>
      </c>
      <c r="C3926" t="s">
        <v>16</v>
      </c>
      <c r="D3926" t="s">
        <v>116</v>
      </c>
      <c r="E3926" t="s">
        <v>29</v>
      </c>
      <c r="F3926" s="2">
        <v>0</v>
      </c>
      <c r="G3926" t="s">
        <v>139</v>
      </c>
      <c r="H3926" t="s">
        <v>55</v>
      </c>
      <c r="I3926" t="s">
        <v>93</v>
      </c>
      <c r="J3926" t="s">
        <v>75</v>
      </c>
      <c r="K3926">
        <v>1</v>
      </c>
      <c r="L3926" t="s">
        <v>23</v>
      </c>
      <c r="M3926" t="s">
        <v>61</v>
      </c>
      <c r="N3926" t="s">
        <v>23</v>
      </c>
      <c r="O3926">
        <v>0</v>
      </c>
      <c r="P3926" t="s">
        <v>58</v>
      </c>
      <c r="Q3926" t="s">
        <v>37</v>
      </c>
      <c r="R3926" s="1">
        <v>0.1</v>
      </c>
      <c r="S3926">
        <f t="shared" si="244"/>
        <v>0</v>
      </c>
      <c r="T3926">
        <f>IFERROR(VLOOKUP(A3926,Table1[[Customer ID]:[Discount Amount]], 6, FALSE),"Not Found")</f>
        <v>0</v>
      </c>
      <c r="U3926" t="str">
        <f t="shared" si="245"/>
        <v>PayPal</v>
      </c>
      <c r="V3926" s="4" t="str">
        <f t="shared" si="246"/>
        <v>Normal</v>
      </c>
      <c r="W3926" s="4" t="str">
        <f t="shared" si="247"/>
        <v>Poor</v>
      </c>
      <c r="X3926" s="4">
        <f>AVERAGE(Table1[Purchase Amount])</f>
        <v>129.48419400000012</v>
      </c>
    </row>
    <row r="3927" spans="1:24" ht="15" customHeight="1" x14ac:dyDescent="0.25">
      <c r="A3927">
        <v>4025</v>
      </c>
      <c r="B3927">
        <v>68</v>
      </c>
      <c r="C3927" t="s">
        <v>16</v>
      </c>
      <c r="D3927" t="s">
        <v>117</v>
      </c>
      <c r="E3927" t="s">
        <v>18</v>
      </c>
      <c r="F3927" s="2">
        <v>0</v>
      </c>
      <c r="G3927" t="s">
        <v>73</v>
      </c>
      <c r="H3927" t="s">
        <v>20</v>
      </c>
      <c r="I3927" t="s">
        <v>46</v>
      </c>
      <c r="J3927" t="s">
        <v>57</v>
      </c>
      <c r="K3927">
        <v>1</v>
      </c>
      <c r="L3927" t="s">
        <v>23</v>
      </c>
      <c r="M3927" t="s">
        <v>61</v>
      </c>
      <c r="N3927" t="s">
        <v>34</v>
      </c>
      <c r="O3927">
        <v>33</v>
      </c>
      <c r="P3927" t="s">
        <v>36</v>
      </c>
      <c r="Q3927" t="s">
        <v>37</v>
      </c>
      <c r="R3927" s="1">
        <v>0.1</v>
      </c>
      <c r="S3927">
        <f t="shared" si="244"/>
        <v>0</v>
      </c>
      <c r="T3927">
        <f>IFERROR(VLOOKUP(A3927,Table1[[Customer ID]:[Discount Amount]], 6, FALSE),"Not Found")</f>
        <v>0</v>
      </c>
      <c r="U3927" t="str">
        <f t="shared" si="245"/>
        <v>Debit Card</v>
      </c>
      <c r="V3927" s="4" t="str">
        <f t="shared" si="246"/>
        <v>Normal</v>
      </c>
      <c r="W3927" s="4" t="str">
        <f t="shared" si="247"/>
        <v>Poor</v>
      </c>
      <c r="X3927" s="4">
        <f>AVERAGE(Table1[Purchase Amount])</f>
        <v>129.48419400000012</v>
      </c>
    </row>
    <row r="3928" spans="1:24" ht="15" customHeight="1" x14ac:dyDescent="0.25">
      <c r="A3928">
        <v>4026</v>
      </c>
      <c r="B3928">
        <v>58</v>
      </c>
      <c r="C3928" t="s">
        <v>71</v>
      </c>
      <c r="D3928" t="s">
        <v>112</v>
      </c>
      <c r="E3928" t="s">
        <v>81</v>
      </c>
      <c r="F3928" s="2">
        <v>0</v>
      </c>
      <c r="G3928" t="s">
        <v>126</v>
      </c>
      <c r="H3928" t="s">
        <v>31</v>
      </c>
      <c r="I3928" t="s">
        <v>32</v>
      </c>
      <c r="J3928" t="s">
        <v>33</v>
      </c>
      <c r="K3928">
        <v>1</v>
      </c>
      <c r="L3928" t="s">
        <v>23</v>
      </c>
      <c r="M3928" t="s">
        <v>61</v>
      </c>
      <c r="N3928" t="s">
        <v>23</v>
      </c>
      <c r="O3928">
        <v>0</v>
      </c>
      <c r="P3928" t="s">
        <v>36</v>
      </c>
      <c r="Q3928" t="s">
        <v>26</v>
      </c>
      <c r="R3928" s="1">
        <v>0.1</v>
      </c>
      <c r="S3928">
        <f t="shared" si="244"/>
        <v>0</v>
      </c>
      <c r="T3928">
        <f>IFERROR(VLOOKUP(A3928,Table1[[Customer ID]:[Discount Amount]], 6, FALSE),"Not Found")</f>
        <v>0</v>
      </c>
      <c r="U3928" t="str">
        <f t="shared" si="245"/>
        <v>Debit Card</v>
      </c>
      <c r="V3928" s="4" t="str">
        <f t="shared" si="246"/>
        <v>Normal</v>
      </c>
      <c r="W3928" s="4" t="str">
        <f t="shared" si="247"/>
        <v>Poor</v>
      </c>
      <c r="X3928" s="4">
        <f>AVERAGE(Table1[Purchase Amount])</f>
        <v>129.48419400000012</v>
      </c>
    </row>
    <row r="3929" spans="1:24" ht="15" customHeight="1" x14ac:dyDescent="0.25">
      <c r="A3929">
        <v>4027</v>
      </c>
      <c r="B3929">
        <v>68</v>
      </c>
      <c r="C3929" t="s">
        <v>71</v>
      </c>
      <c r="D3929" t="s">
        <v>80</v>
      </c>
      <c r="E3929" t="s">
        <v>18</v>
      </c>
      <c r="F3929" s="2">
        <v>1416.19</v>
      </c>
      <c r="G3929" t="s">
        <v>82</v>
      </c>
      <c r="H3929" t="s">
        <v>20</v>
      </c>
      <c r="I3929" t="s">
        <v>74</v>
      </c>
      <c r="J3929" t="s">
        <v>57</v>
      </c>
      <c r="K3929">
        <v>5</v>
      </c>
      <c r="L3929" t="s">
        <v>23</v>
      </c>
      <c r="M3929" t="s">
        <v>61</v>
      </c>
      <c r="N3929" t="s">
        <v>23</v>
      </c>
      <c r="O3929">
        <v>34</v>
      </c>
      <c r="P3929" t="s">
        <v>36</v>
      </c>
      <c r="Q3929" t="s">
        <v>26</v>
      </c>
      <c r="R3929" s="1">
        <v>0.1</v>
      </c>
      <c r="S3929">
        <f t="shared" si="244"/>
        <v>1274.5710000000001</v>
      </c>
      <c r="T3929">
        <f>IFERROR(VLOOKUP(A3929,Table1[[Customer ID]:[Discount Amount]], 6, FALSE),"Not Found")</f>
        <v>1416.19</v>
      </c>
      <c r="U3929" t="str">
        <f t="shared" si="245"/>
        <v>Debit Card</v>
      </c>
      <c r="V3929" s="4" t="str">
        <f t="shared" si="246"/>
        <v>Best Customer</v>
      </c>
      <c r="W3929" s="4" t="str">
        <f t="shared" si="247"/>
        <v>Good</v>
      </c>
      <c r="X3929" s="4">
        <f>AVERAGE(Table1[Purchase Amount])</f>
        <v>129.48419400000012</v>
      </c>
    </row>
    <row r="3930" spans="1:24" ht="15" customHeight="1" x14ac:dyDescent="0.25">
      <c r="A3930">
        <v>4028</v>
      </c>
      <c r="B3930">
        <v>23</v>
      </c>
      <c r="C3930" t="s">
        <v>71</v>
      </c>
      <c r="D3930" t="s">
        <v>117</v>
      </c>
      <c r="E3930" t="s">
        <v>81</v>
      </c>
      <c r="F3930" s="2">
        <v>0</v>
      </c>
      <c r="G3930" t="s">
        <v>82</v>
      </c>
      <c r="H3930" t="s">
        <v>31</v>
      </c>
      <c r="I3930" t="s">
        <v>40</v>
      </c>
      <c r="J3930" t="s">
        <v>57</v>
      </c>
      <c r="K3930">
        <v>1</v>
      </c>
      <c r="L3930" t="s">
        <v>34</v>
      </c>
      <c r="M3930" t="s">
        <v>61</v>
      </c>
      <c r="N3930" t="s">
        <v>34</v>
      </c>
      <c r="O3930">
        <v>0</v>
      </c>
      <c r="P3930" t="s">
        <v>53</v>
      </c>
      <c r="Q3930" t="s">
        <v>37</v>
      </c>
      <c r="R3930" s="1">
        <v>0.1</v>
      </c>
      <c r="S3930">
        <f t="shared" si="244"/>
        <v>0</v>
      </c>
      <c r="T3930">
        <f>IFERROR(VLOOKUP(A3930,Table1[[Customer ID]:[Discount Amount]], 6, FALSE),"Not Found")</f>
        <v>0</v>
      </c>
      <c r="U3930" t="str">
        <f t="shared" si="245"/>
        <v>Credit Card</v>
      </c>
      <c r="V3930" s="4" t="str">
        <f t="shared" si="246"/>
        <v>Normal</v>
      </c>
      <c r="W3930" s="4" t="str">
        <f t="shared" si="247"/>
        <v>Poor</v>
      </c>
      <c r="X3930" s="4">
        <f>AVERAGE(Table1[Purchase Amount])</f>
        <v>129.48419400000012</v>
      </c>
    </row>
    <row r="3931" spans="1:24" ht="15" customHeight="1" x14ac:dyDescent="0.25">
      <c r="A3931">
        <v>4029</v>
      </c>
      <c r="B3931">
        <v>37</v>
      </c>
      <c r="C3931" t="s">
        <v>16</v>
      </c>
      <c r="D3931" t="s">
        <v>95</v>
      </c>
      <c r="E3931" t="s">
        <v>29</v>
      </c>
      <c r="F3931" s="2">
        <v>0</v>
      </c>
      <c r="G3931" t="s">
        <v>73</v>
      </c>
      <c r="H3931" t="s">
        <v>31</v>
      </c>
      <c r="I3931" t="s">
        <v>74</v>
      </c>
      <c r="J3931" t="s">
        <v>33</v>
      </c>
      <c r="K3931">
        <v>1</v>
      </c>
      <c r="L3931" t="s">
        <v>23</v>
      </c>
      <c r="M3931" t="s">
        <v>24</v>
      </c>
      <c r="N3931" t="s">
        <v>23</v>
      </c>
      <c r="O3931">
        <v>0</v>
      </c>
      <c r="P3931" t="s">
        <v>53</v>
      </c>
      <c r="Q3931" t="s">
        <v>42</v>
      </c>
      <c r="R3931" s="1">
        <v>0.1</v>
      </c>
      <c r="S3931">
        <f t="shared" si="244"/>
        <v>0</v>
      </c>
      <c r="T3931">
        <f>IFERROR(VLOOKUP(A3931,Table1[[Customer ID]:[Discount Amount]], 6, FALSE),"Not Found")</f>
        <v>0</v>
      </c>
      <c r="U3931" t="str">
        <f t="shared" si="245"/>
        <v>Credit Card</v>
      </c>
      <c r="V3931" s="4" t="str">
        <f t="shared" si="246"/>
        <v>Normal</v>
      </c>
      <c r="W3931" s="4" t="str">
        <f t="shared" si="247"/>
        <v>Poor</v>
      </c>
      <c r="X3931" s="4">
        <f>AVERAGE(Table1[Purchase Amount])</f>
        <v>129.48419400000012</v>
      </c>
    </row>
    <row r="3932" spans="1:24" ht="15" customHeight="1" x14ac:dyDescent="0.25">
      <c r="A3932">
        <v>4030</v>
      </c>
      <c r="B3932">
        <v>41</v>
      </c>
      <c r="C3932" t="s">
        <v>27</v>
      </c>
      <c r="D3932" t="s">
        <v>112</v>
      </c>
      <c r="E3932" t="s">
        <v>29</v>
      </c>
      <c r="F3932" s="2">
        <v>0</v>
      </c>
      <c r="G3932" t="s">
        <v>73</v>
      </c>
      <c r="H3932" t="s">
        <v>45</v>
      </c>
      <c r="I3932" t="s">
        <v>74</v>
      </c>
      <c r="J3932" t="s">
        <v>22</v>
      </c>
      <c r="K3932">
        <v>3</v>
      </c>
      <c r="L3932" t="s">
        <v>34</v>
      </c>
      <c r="M3932" t="s">
        <v>61</v>
      </c>
      <c r="N3932" t="s">
        <v>34</v>
      </c>
      <c r="O3932">
        <v>34</v>
      </c>
      <c r="P3932" t="s">
        <v>25</v>
      </c>
      <c r="Q3932" t="s">
        <v>37</v>
      </c>
      <c r="R3932" s="1">
        <v>0.1</v>
      </c>
      <c r="S3932">
        <f t="shared" si="244"/>
        <v>0</v>
      </c>
      <c r="T3932">
        <f>IFERROR(VLOOKUP(A3932,Table1[[Customer ID]:[Discount Amount]], 6, FALSE),"Not Found")</f>
        <v>0</v>
      </c>
      <c r="U3932" t="str">
        <f t="shared" si="245"/>
        <v>Cash</v>
      </c>
      <c r="V3932" s="4" t="str">
        <f t="shared" si="246"/>
        <v>Normal</v>
      </c>
      <c r="W3932" s="4" t="str">
        <f t="shared" si="247"/>
        <v>Good</v>
      </c>
      <c r="X3932" s="4">
        <f>AVERAGE(Table1[Purchase Amount])</f>
        <v>129.48419400000012</v>
      </c>
    </row>
    <row r="3933" spans="1:24" ht="15" customHeight="1" x14ac:dyDescent="0.25">
      <c r="A3933">
        <v>4031</v>
      </c>
      <c r="B3933">
        <v>44</v>
      </c>
      <c r="C3933" t="s">
        <v>71</v>
      </c>
      <c r="D3933" t="s">
        <v>72</v>
      </c>
      <c r="E3933" t="s">
        <v>18</v>
      </c>
      <c r="F3933" s="2">
        <v>0</v>
      </c>
      <c r="G3933" t="s">
        <v>101</v>
      </c>
      <c r="H3933" t="s">
        <v>45</v>
      </c>
      <c r="I3933" t="s">
        <v>32</v>
      </c>
      <c r="J3933" t="s">
        <v>33</v>
      </c>
      <c r="K3933">
        <v>5</v>
      </c>
      <c r="L3933" t="s">
        <v>34</v>
      </c>
      <c r="M3933" t="s">
        <v>61</v>
      </c>
      <c r="N3933" t="s">
        <v>23</v>
      </c>
      <c r="O3933">
        <v>0</v>
      </c>
      <c r="P3933" t="s">
        <v>53</v>
      </c>
      <c r="Q3933" t="s">
        <v>42</v>
      </c>
      <c r="R3933" s="1">
        <v>0.1</v>
      </c>
      <c r="S3933">
        <f t="shared" si="244"/>
        <v>0</v>
      </c>
      <c r="T3933">
        <f>IFERROR(VLOOKUP(A3933,Table1[[Customer ID]:[Discount Amount]], 6, FALSE),"Not Found")</f>
        <v>0</v>
      </c>
      <c r="U3933" t="str">
        <f t="shared" si="245"/>
        <v>Credit Card</v>
      </c>
      <c r="V3933" s="4" t="str">
        <f t="shared" si="246"/>
        <v>Normal</v>
      </c>
      <c r="W3933" s="4" t="str">
        <f t="shared" si="247"/>
        <v>Good</v>
      </c>
      <c r="X3933" s="4">
        <f>AVERAGE(Table1[Purchase Amount])</f>
        <v>129.48419400000012</v>
      </c>
    </row>
    <row r="3934" spans="1:24" ht="15" customHeight="1" x14ac:dyDescent="0.25">
      <c r="A3934">
        <v>4032</v>
      </c>
      <c r="B3934">
        <v>23</v>
      </c>
      <c r="C3934" t="s">
        <v>16</v>
      </c>
      <c r="D3934" t="s">
        <v>38</v>
      </c>
      <c r="E3934" t="s">
        <v>18</v>
      </c>
      <c r="F3934" s="2">
        <v>213.14</v>
      </c>
      <c r="G3934" t="s">
        <v>73</v>
      </c>
      <c r="H3934" t="s">
        <v>45</v>
      </c>
      <c r="I3934" t="s">
        <v>32</v>
      </c>
      <c r="J3934" t="s">
        <v>22</v>
      </c>
      <c r="K3934">
        <v>1</v>
      </c>
      <c r="L3934" t="s">
        <v>34</v>
      </c>
      <c r="M3934" t="s">
        <v>61</v>
      </c>
      <c r="N3934" t="s">
        <v>34</v>
      </c>
      <c r="O3934">
        <v>0</v>
      </c>
      <c r="P3934" t="s">
        <v>53</v>
      </c>
      <c r="Q3934" t="s">
        <v>42</v>
      </c>
      <c r="R3934" s="1">
        <v>0.1</v>
      </c>
      <c r="S3934">
        <f t="shared" si="244"/>
        <v>191.82599999999999</v>
      </c>
      <c r="T3934">
        <f>IFERROR(VLOOKUP(A3934,Table1[[Customer ID]:[Discount Amount]], 6, FALSE),"Not Found")</f>
        <v>213.14</v>
      </c>
      <c r="U3934" t="str">
        <f t="shared" si="245"/>
        <v>Credit Card</v>
      </c>
      <c r="V3934" s="4" t="str">
        <f t="shared" si="246"/>
        <v>Normal</v>
      </c>
      <c r="W3934" s="4" t="str">
        <f t="shared" si="247"/>
        <v>Poor</v>
      </c>
      <c r="X3934" s="4">
        <f>AVERAGE(Table1[Purchase Amount])</f>
        <v>129.48419400000012</v>
      </c>
    </row>
    <row r="3935" spans="1:24" ht="15" customHeight="1" x14ac:dyDescent="0.25">
      <c r="A3935">
        <v>4033</v>
      </c>
      <c r="B3935">
        <v>66</v>
      </c>
      <c r="C3935" t="s">
        <v>16</v>
      </c>
      <c r="D3935" t="s">
        <v>80</v>
      </c>
      <c r="E3935" t="s">
        <v>81</v>
      </c>
      <c r="F3935" s="2">
        <v>0</v>
      </c>
      <c r="G3935" t="s">
        <v>101</v>
      </c>
      <c r="H3935" t="s">
        <v>31</v>
      </c>
      <c r="I3935" t="s">
        <v>32</v>
      </c>
      <c r="J3935" t="s">
        <v>57</v>
      </c>
      <c r="K3935">
        <v>1</v>
      </c>
      <c r="L3935" t="s">
        <v>23</v>
      </c>
      <c r="M3935" t="s">
        <v>61</v>
      </c>
      <c r="N3935" t="s">
        <v>23</v>
      </c>
      <c r="O3935">
        <v>0</v>
      </c>
      <c r="P3935" t="s">
        <v>36</v>
      </c>
      <c r="Q3935" t="s">
        <v>26</v>
      </c>
      <c r="R3935" s="1">
        <v>0.1</v>
      </c>
      <c r="S3935">
        <f t="shared" si="244"/>
        <v>0</v>
      </c>
      <c r="T3935">
        <f>IFERROR(VLOOKUP(A3935,Table1[[Customer ID]:[Discount Amount]], 6, FALSE),"Not Found")</f>
        <v>0</v>
      </c>
      <c r="U3935" t="str">
        <f t="shared" si="245"/>
        <v>Debit Card</v>
      </c>
      <c r="V3935" s="4" t="str">
        <f t="shared" si="246"/>
        <v>Normal</v>
      </c>
      <c r="W3935" s="4" t="str">
        <f t="shared" si="247"/>
        <v>Poor</v>
      </c>
      <c r="X3935" s="4">
        <f>AVERAGE(Table1[Purchase Amount])</f>
        <v>129.48419400000012</v>
      </c>
    </row>
    <row r="3936" spans="1:24" ht="15" customHeight="1" x14ac:dyDescent="0.25">
      <c r="A3936">
        <v>4034</v>
      </c>
      <c r="B3936">
        <v>39</v>
      </c>
      <c r="C3936" t="s">
        <v>27</v>
      </c>
      <c r="D3936" t="s">
        <v>95</v>
      </c>
      <c r="E3936" t="s">
        <v>29</v>
      </c>
      <c r="F3936" s="2">
        <v>849.1</v>
      </c>
      <c r="G3936" t="s">
        <v>126</v>
      </c>
      <c r="H3936" t="s">
        <v>31</v>
      </c>
      <c r="I3936" t="s">
        <v>46</v>
      </c>
      <c r="J3936" t="s">
        <v>33</v>
      </c>
      <c r="K3936">
        <v>1</v>
      </c>
      <c r="L3936" t="s">
        <v>34</v>
      </c>
      <c r="M3936" t="s">
        <v>24</v>
      </c>
      <c r="N3936" t="s">
        <v>23</v>
      </c>
      <c r="O3936">
        <v>22</v>
      </c>
      <c r="P3936" t="s">
        <v>53</v>
      </c>
      <c r="Q3936" t="s">
        <v>42</v>
      </c>
      <c r="R3936" s="1">
        <v>0.1</v>
      </c>
      <c r="S3936">
        <f t="shared" si="244"/>
        <v>764.19</v>
      </c>
      <c r="T3936">
        <f>IFERROR(VLOOKUP(A3936,Table1[[Customer ID]:[Discount Amount]], 6, FALSE),"Not Found")</f>
        <v>849.1</v>
      </c>
      <c r="U3936" t="str">
        <f t="shared" si="245"/>
        <v>Credit Card</v>
      </c>
      <c r="V3936" s="4" t="str">
        <f t="shared" si="246"/>
        <v>Normal</v>
      </c>
      <c r="W3936" s="4" t="str">
        <f t="shared" si="247"/>
        <v>Poor</v>
      </c>
      <c r="X3936" s="4">
        <f>AVERAGE(Table1[Purchase Amount])</f>
        <v>129.48419400000012</v>
      </c>
    </row>
    <row r="3937" spans="1:24" ht="15" customHeight="1" x14ac:dyDescent="0.25">
      <c r="A3937">
        <v>4035</v>
      </c>
      <c r="B3937">
        <v>67</v>
      </c>
      <c r="C3937" t="s">
        <v>27</v>
      </c>
      <c r="D3937" t="s">
        <v>80</v>
      </c>
      <c r="E3937" t="s">
        <v>29</v>
      </c>
      <c r="F3937" s="2">
        <v>163.69</v>
      </c>
      <c r="G3937" t="s">
        <v>126</v>
      </c>
      <c r="H3937" t="s">
        <v>31</v>
      </c>
      <c r="I3937" t="s">
        <v>46</v>
      </c>
      <c r="J3937" t="s">
        <v>57</v>
      </c>
      <c r="K3937">
        <v>1</v>
      </c>
      <c r="L3937" t="s">
        <v>34</v>
      </c>
      <c r="M3937" t="s">
        <v>24</v>
      </c>
      <c r="N3937" t="s">
        <v>23</v>
      </c>
      <c r="O3937">
        <v>0</v>
      </c>
      <c r="P3937" t="s">
        <v>25</v>
      </c>
      <c r="Q3937" t="s">
        <v>42</v>
      </c>
      <c r="R3937" s="1">
        <v>0.1</v>
      </c>
      <c r="S3937">
        <f t="shared" si="244"/>
        <v>147.321</v>
      </c>
      <c r="T3937">
        <f>IFERROR(VLOOKUP(A3937,Table1[[Customer ID]:[Discount Amount]], 6, FALSE),"Not Found")</f>
        <v>163.69</v>
      </c>
      <c r="U3937" t="str">
        <f t="shared" si="245"/>
        <v>Cash</v>
      </c>
      <c r="V3937" s="4" t="str">
        <f t="shared" si="246"/>
        <v>Normal</v>
      </c>
      <c r="W3937" s="4" t="str">
        <f t="shared" si="247"/>
        <v>Poor</v>
      </c>
      <c r="X3937" s="4">
        <f>AVERAGE(Table1[Purchase Amount])</f>
        <v>129.48419400000012</v>
      </c>
    </row>
    <row r="3938" spans="1:24" ht="15" customHeight="1" x14ac:dyDescent="0.25">
      <c r="A3938">
        <v>4036</v>
      </c>
      <c r="B3938">
        <v>41</v>
      </c>
      <c r="C3938" t="s">
        <v>27</v>
      </c>
      <c r="D3938" t="s">
        <v>112</v>
      </c>
      <c r="E3938" t="s">
        <v>29</v>
      </c>
      <c r="F3938" s="2">
        <v>0</v>
      </c>
      <c r="G3938" t="s">
        <v>73</v>
      </c>
      <c r="H3938" t="s">
        <v>31</v>
      </c>
      <c r="I3938" t="s">
        <v>40</v>
      </c>
      <c r="J3938" t="s">
        <v>57</v>
      </c>
      <c r="K3938">
        <v>5</v>
      </c>
      <c r="L3938" t="s">
        <v>23</v>
      </c>
      <c r="M3938" t="s">
        <v>24</v>
      </c>
      <c r="N3938" t="s">
        <v>23</v>
      </c>
      <c r="O3938">
        <v>48</v>
      </c>
      <c r="P3938" t="s">
        <v>25</v>
      </c>
      <c r="Q3938" t="s">
        <v>37</v>
      </c>
      <c r="R3938" s="1">
        <v>0.1</v>
      </c>
      <c r="S3938">
        <f t="shared" si="244"/>
        <v>0</v>
      </c>
      <c r="T3938">
        <f>IFERROR(VLOOKUP(A3938,Table1[[Customer ID]:[Discount Amount]], 6, FALSE),"Not Found")</f>
        <v>0</v>
      </c>
      <c r="U3938" t="str">
        <f t="shared" si="245"/>
        <v>Cash</v>
      </c>
      <c r="V3938" s="4" t="str">
        <f t="shared" si="246"/>
        <v>Normal</v>
      </c>
      <c r="W3938" s="4" t="str">
        <f t="shared" si="247"/>
        <v>Good</v>
      </c>
      <c r="X3938" s="4">
        <f>AVERAGE(Table1[Purchase Amount])</f>
        <v>129.48419400000012</v>
      </c>
    </row>
    <row r="3939" spans="1:24" ht="15" customHeight="1" x14ac:dyDescent="0.25">
      <c r="A3939">
        <v>4037</v>
      </c>
      <c r="B3939">
        <v>23</v>
      </c>
      <c r="C3939" t="s">
        <v>16</v>
      </c>
      <c r="D3939" t="s">
        <v>80</v>
      </c>
      <c r="E3939" t="s">
        <v>81</v>
      </c>
      <c r="F3939" s="2">
        <v>109.58</v>
      </c>
      <c r="G3939" t="s">
        <v>126</v>
      </c>
      <c r="H3939" t="s">
        <v>31</v>
      </c>
      <c r="I3939" t="s">
        <v>40</v>
      </c>
      <c r="J3939" t="s">
        <v>57</v>
      </c>
      <c r="K3939">
        <v>1</v>
      </c>
      <c r="L3939" t="s">
        <v>34</v>
      </c>
      <c r="M3939" t="s">
        <v>24</v>
      </c>
      <c r="N3939" t="s">
        <v>23</v>
      </c>
      <c r="O3939">
        <v>0</v>
      </c>
      <c r="P3939" t="s">
        <v>58</v>
      </c>
      <c r="Q3939" t="s">
        <v>26</v>
      </c>
      <c r="R3939" s="1">
        <v>0.1</v>
      </c>
      <c r="S3939">
        <f t="shared" si="244"/>
        <v>98.622</v>
      </c>
      <c r="T3939">
        <f>IFERROR(VLOOKUP(A3939,Table1[[Customer ID]:[Discount Amount]], 6, FALSE),"Not Found")</f>
        <v>109.58</v>
      </c>
      <c r="U3939" t="str">
        <f t="shared" si="245"/>
        <v>PayPal</v>
      </c>
      <c r="V3939" s="4" t="str">
        <f t="shared" si="246"/>
        <v>Normal</v>
      </c>
      <c r="W3939" s="4" t="str">
        <f t="shared" si="247"/>
        <v>Poor</v>
      </c>
      <c r="X3939" s="4">
        <f>AVERAGE(Table1[Purchase Amount])</f>
        <v>129.48419400000012</v>
      </c>
    </row>
    <row r="3940" spans="1:24" ht="15" customHeight="1" x14ac:dyDescent="0.25">
      <c r="A3940">
        <v>4038</v>
      </c>
      <c r="B3940">
        <v>45</v>
      </c>
      <c r="C3940" t="s">
        <v>16</v>
      </c>
      <c r="D3940" t="s">
        <v>116</v>
      </c>
      <c r="E3940" t="s">
        <v>29</v>
      </c>
      <c r="F3940" s="2">
        <v>0</v>
      </c>
      <c r="G3940" t="s">
        <v>139</v>
      </c>
      <c r="H3940" t="s">
        <v>45</v>
      </c>
      <c r="I3940" t="s">
        <v>40</v>
      </c>
      <c r="J3940" t="s">
        <v>75</v>
      </c>
      <c r="K3940">
        <v>1</v>
      </c>
      <c r="L3940" t="s">
        <v>23</v>
      </c>
      <c r="M3940" t="s">
        <v>61</v>
      </c>
      <c r="N3940" t="s">
        <v>23</v>
      </c>
      <c r="O3940">
        <v>14</v>
      </c>
      <c r="P3940" t="s">
        <v>58</v>
      </c>
      <c r="Q3940" t="s">
        <v>42</v>
      </c>
      <c r="R3940" s="1">
        <v>0.1</v>
      </c>
      <c r="S3940">
        <f t="shared" si="244"/>
        <v>0</v>
      </c>
      <c r="T3940">
        <f>IFERROR(VLOOKUP(A3940,Table1[[Customer ID]:[Discount Amount]], 6, FALSE),"Not Found")</f>
        <v>0</v>
      </c>
      <c r="U3940" t="str">
        <f t="shared" si="245"/>
        <v>PayPal</v>
      </c>
      <c r="V3940" s="4" t="str">
        <f t="shared" si="246"/>
        <v>Normal</v>
      </c>
      <c r="W3940" s="4" t="str">
        <f t="shared" si="247"/>
        <v>Poor</v>
      </c>
      <c r="X3940" s="4">
        <f>AVERAGE(Table1[Purchase Amount])</f>
        <v>129.48419400000012</v>
      </c>
    </row>
    <row r="3941" spans="1:24" ht="15" customHeight="1" x14ac:dyDescent="0.25">
      <c r="A3941">
        <v>4039</v>
      </c>
      <c r="B3941">
        <v>35</v>
      </c>
      <c r="C3941" t="s">
        <v>16</v>
      </c>
      <c r="D3941" t="s">
        <v>116</v>
      </c>
      <c r="E3941" t="s">
        <v>81</v>
      </c>
      <c r="F3941" s="2">
        <v>0</v>
      </c>
      <c r="G3941" t="s">
        <v>82</v>
      </c>
      <c r="H3941" t="s">
        <v>31</v>
      </c>
      <c r="I3941" t="s">
        <v>93</v>
      </c>
      <c r="J3941" t="s">
        <v>33</v>
      </c>
      <c r="K3941">
        <v>3</v>
      </c>
      <c r="L3941" t="s">
        <v>34</v>
      </c>
      <c r="M3941" t="s">
        <v>61</v>
      </c>
      <c r="N3941" t="s">
        <v>34</v>
      </c>
      <c r="O3941">
        <v>24</v>
      </c>
      <c r="P3941" t="s">
        <v>25</v>
      </c>
      <c r="Q3941" t="s">
        <v>42</v>
      </c>
      <c r="R3941" s="1">
        <v>0.1</v>
      </c>
      <c r="S3941">
        <f t="shared" si="244"/>
        <v>0</v>
      </c>
      <c r="T3941">
        <f>IFERROR(VLOOKUP(A3941,Table1[[Customer ID]:[Discount Amount]], 6, FALSE),"Not Found")</f>
        <v>0</v>
      </c>
      <c r="U3941" t="str">
        <f t="shared" si="245"/>
        <v>Cash</v>
      </c>
      <c r="V3941" s="4" t="str">
        <f t="shared" si="246"/>
        <v>Normal</v>
      </c>
      <c r="W3941" s="4" t="str">
        <f t="shared" si="247"/>
        <v>Good</v>
      </c>
      <c r="X3941" s="4">
        <f>AVERAGE(Table1[Purchase Amount])</f>
        <v>129.48419400000012</v>
      </c>
    </row>
    <row r="3942" spans="1:24" ht="15" customHeight="1" x14ac:dyDescent="0.25">
      <c r="A3942">
        <v>4040</v>
      </c>
      <c r="B3942">
        <v>43</v>
      </c>
      <c r="C3942" t="s">
        <v>27</v>
      </c>
      <c r="D3942" t="s">
        <v>117</v>
      </c>
      <c r="E3942" t="s">
        <v>29</v>
      </c>
      <c r="F3942" s="2">
        <v>0</v>
      </c>
      <c r="G3942" t="s">
        <v>139</v>
      </c>
      <c r="H3942" t="s">
        <v>55</v>
      </c>
      <c r="I3942" t="s">
        <v>32</v>
      </c>
      <c r="J3942" t="s">
        <v>57</v>
      </c>
      <c r="K3942">
        <v>1</v>
      </c>
      <c r="L3942" t="s">
        <v>23</v>
      </c>
      <c r="M3942" t="s">
        <v>61</v>
      </c>
      <c r="N3942" t="s">
        <v>23</v>
      </c>
      <c r="O3942">
        <v>0</v>
      </c>
      <c r="P3942" t="s">
        <v>36</v>
      </c>
      <c r="Q3942" t="s">
        <v>26</v>
      </c>
      <c r="R3942" s="1">
        <v>0.1</v>
      </c>
      <c r="S3942">
        <f t="shared" si="244"/>
        <v>0</v>
      </c>
      <c r="T3942">
        <f>IFERROR(VLOOKUP(A3942,Table1[[Customer ID]:[Discount Amount]], 6, FALSE),"Not Found")</f>
        <v>0</v>
      </c>
      <c r="U3942" t="str">
        <f t="shared" si="245"/>
        <v>Debit Card</v>
      </c>
      <c r="V3942" s="4" t="str">
        <f t="shared" si="246"/>
        <v>Normal</v>
      </c>
      <c r="W3942" s="4" t="str">
        <f t="shared" si="247"/>
        <v>Poor</v>
      </c>
      <c r="X3942" s="4">
        <f>AVERAGE(Table1[Purchase Amount])</f>
        <v>129.48419400000012</v>
      </c>
    </row>
    <row r="3943" spans="1:24" ht="15" customHeight="1" x14ac:dyDescent="0.25">
      <c r="A3943">
        <v>4041</v>
      </c>
      <c r="B3943">
        <v>66</v>
      </c>
      <c r="C3943" t="s">
        <v>27</v>
      </c>
      <c r="D3943" t="s">
        <v>80</v>
      </c>
      <c r="E3943" t="s">
        <v>29</v>
      </c>
      <c r="F3943" s="2">
        <v>0</v>
      </c>
      <c r="G3943" t="s">
        <v>73</v>
      </c>
      <c r="H3943" t="s">
        <v>31</v>
      </c>
      <c r="I3943" t="s">
        <v>46</v>
      </c>
      <c r="J3943" t="s">
        <v>75</v>
      </c>
      <c r="K3943">
        <v>3</v>
      </c>
      <c r="L3943" t="s">
        <v>23</v>
      </c>
      <c r="M3943" t="s">
        <v>24</v>
      </c>
      <c r="N3943" t="s">
        <v>23</v>
      </c>
      <c r="O3943">
        <v>0</v>
      </c>
      <c r="P3943" t="s">
        <v>58</v>
      </c>
      <c r="Q3943" t="s">
        <v>42</v>
      </c>
      <c r="R3943" s="1">
        <v>0.1</v>
      </c>
      <c r="S3943">
        <f t="shared" si="244"/>
        <v>0</v>
      </c>
      <c r="T3943">
        <f>IFERROR(VLOOKUP(A3943,Table1[[Customer ID]:[Discount Amount]], 6, FALSE),"Not Found")</f>
        <v>0</v>
      </c>
      <c r="U3943" t="str">
        <f t="shared" si="245"/>
        <v>PayPal</v>
      </c>
      <c r="V3943" s="4" t="str">
        <f t="shared" si="246"/>
        <v>Normal</v>
      </c>
      <c r="W3943" s="4" t="str">
        <f t="shared" si="247"/>
        <v>Good</v>
      </c>
      <c r="X3943" s="4">
        <f>AVERAGE(Table1[Purchase Amount])</f>
        <v>129.48419400000012</v>
      </c>
    </row>
    <row r="3944" spans="1:24" ht="15" customHeight="1" x14ac:dyDescent="0.25">
      <c r="A3944">
        <v>4042</v>
      </c>
      <c r="B3944">
        <v>21</v>
      </c>
      <c r="C3944" t="s">
        <v>71</v>
      </c>
      <c r="D3944" t="s">
        <v>117</v>
      </c>
      <c r="E3944" t="s">
        <v>29</v>
      </c>
      <c r="F3944" s="2">
        <v>1006.01</v>
      </c>
      <c r="G3944" t="s">
        <v>82</v>
      </c>
      <c r="H3944" t="s">
        <v>55</v>
      </c>
      <c r="I3944" t="s">
        <v>93</v>
      </c>
      <c r="J3944" t="s">
        <v>22</v>
      </c>
      <c r="K3944">
        <v>1</v>
      </c>
      <c r="L3944" t="s">
        <v>23</v>
      </c>
      <c r="M3944" t="s">
        <v>24</v>
      </c>
      <c r="N3944" t="s">
        <v>34</v>
      </c>
      <c r="O3944">
        <v>50</v>
      </c>
      <c r="P3944" t="s">
        <v>36</v>
      </c>
      <c r="Q3944" t="s">
        <v>42</v>
      </c>
      <c r="R3944" s="1">
        <v>0.1</v>
      </c>
      <c r="S3944">
        <f t="shared" si="244"/>
        <v>905.40899999999999</v>
      </c>
      <c r="T3944">
        <f>IFERROR(VLOOKUP(A3944,Table1[[Customer ID]:[Discount Amount]], 6, FALSE),"Not Found")</f>
        <v>1006.01</v>
      </c>
      <c r="U3944" t="str">
        <f t="shared" si="245"/>
        <v>Debit Card</v>
      </c>
      <c r="V3944" s="4" t="str">
        <f t="shared" si="246"/>
        <v>Normal</v>
      </c>
      <c r="W3944" s="4" t="str">
        <f t="shared" si="247"/>
        <v>Poor</v>
      </c>
      <c r="X3944" s="4">
        <f>AVERAGE(Table1[Purchase Amount])</f>
        <v>129.48419400000012</v>
      </c>
    </row>
    <row r="3945" spans="1:24" ht="15" customHeight="1" x14ac:dyDescent="0.25">
      <c r="A3945">
        <v>4043</v>
      </c>
      <c r="B3945">
        <v>65</v>
      </c>
      <c r="C3945" t="s">
        <v>27</v>
      </c>
      <c r="D3945" t="s">
        <v>95</v>
      </c>
      <c r="E3945" t="s">
        <v>81</v>
      </c>
      <c r="F3945" s="2">
        <v>196.43</v>
      </c>
      <c r="G3945" t="s">
        <v>82</v>
      </c>
      <c r="H3945" t="s">
        <v>31</v>
      </c>
      <c r="I3945" t="s">
        <v>74</v>
      </c>
      <c r="J3945" t="s">
        <v>57</v>
      </c>
      <c r="K3945">
        <v>1</v>
      </c>
      <c r="L3945" t="s">
        <v>23</v>
      </c>
      <c r="M3945" t="s">
        <v>24</v>
      </c>
      <c r="N3945" t="s">
        <v>34</v>
      </c>
      <c r="O3945">
        <v>0</v>
      </c>
      <c r="P3945" t="s">
        <v>36</v>
      </c>
      <c r="Q3945" t="s">
        <v>37</v>
      </c>
      <c r="R3945" s="1">
        <v>0.1</v>
      </c>
      <c r="S3945">
        <f t="shared" si="244"/>
        <v>176.78700000000001</v>
      </c>
      <c r="T3945">
        <f>IFERROR(VLOOKUP(A3945,Table1[[Customer ID]:[Discount Amount]], 6, FALSE),"Not Found")</f>
        <v>196.43</v>
      </c>
      <c r="U3945" t="str">
        <f t="shared" si="245"/>
        <v>Debit Card</v>
      </c>
      <c r="V3945" s="4" t="str">
        <f t="shared" si="246"/>
        <v>Normal</v>
      </c>
      <c r="W3945" s="4" t="str">
        <f t="shared" si="247"/>
        <v>Poor</v>
      </c>
      <c r="X3945" s="4">
        <f>AVERAGE(Table1[Purchase Amount])</f>
        <v>129.48419400000012</v>
      </c>
    </row>
    <row r="3946" spans="1:24" ht="15" customHeight="1" x14ac:dyDescent="0.25">
      <c r="A3946">
        <v>4044</v>
      </c>
      <c r="B3946">
        <v>40</v>
      </c>
      <c r="C3946" t="s">
        <v>71</v>
      </c>
      <c r="D3946" t="s">
        <v>117</v>
      </c>
      <c r="E3946" t="s">
        <v>18</v>
      </c>
      <c r="F3946" s="2">
        <v>0</v>
      </c>
      <c r="G3946" t="s">
        <v>73</v>
      </c>
      <c r="H3946" t="s">
        <v>20</v>
      </c>
      <c r="I3946" t="s">
        <v>32</v>
      </c>
      <c r="J3946" t="s">
        <v>57</v>
      </c>
      <c r="K3946">
        <v>1</v>
      </c>
      <c r="L3946" t="s">
        <v>23</v>
      </c>
      <c r="M3946" t="s">
        <v>24</v>
      </c>
      <c r="N3946" t="s">
        <v>34</v>
      </c>
      <c r="O3946">
        <v>0</v>
      </c>
      <c r="P3946" t="s">
        <v>25</v>
      </c>
      <c r="Q3946" t="s">
        <v>37</v>
      </c>
      <c r="R3946" s="1">
        <v>0.1</v>
      </c>
      <c r="S3946">
        <f t="shared" si="244"/>
        <v>0</v>
      </c>
      <c r="T3946">
        <f>IFERROR(VLOOKUP(A3946,Table1[[Customer ID]:[Discount Amount]], 6, FALSE),"Not Found")</f>
        <v>0</v>
      </c>
      <c r="U3946" t="str">
        <f t="shared" si="245"/>
        <v>Cash</v>
      </c>
      <c r="V3946" s="4" t="str">
        <f t="shared" si="246"/>
        <v>Normal</v>
      </c>
      <c r="W3946" s="4" t="str">
        <f t="shared" si="247"/>
        <v>Poor</v>
      </c>
      <c r="X3946" s="4">
        <f>AVERAGE(Table1[Purchase Amount])</f>
        <v>129.48419400000012</v>
      </c>
    </row>
    <row r="3947" spans="1:24" ht="15" customHeight="1" x14ac:dyDescent="0.25">
      <c r="A3947">
        <v>4045</v>
      </c>
      <c r="B3947">
        <v>52</v>
      </c>
      <c r="C3947" t="s">
        <v>16</v>
      </c>
      <c r="D3947" t="s">
        <v>72</v>
      </c>
      <c r="E3947" t="s">
        <v>29</v>
      </c>
      <c r="F3947" s="2">
        <v>1421.74</v>
      </c>
      <c r="G3947" t="s">
        <v>126</v>
      </c>
      <c r="H3947" t="s">
        <v>45</v>
      </c>
      <c r="I3947" t="s">
        <v>32</v>
      </c>
      <c r="J3947" t="s">
        <v>75</v>
      </c>
      <c r="K3947">
        <v>1</v>
      </c>
      <c r="L3947" t="s">
        <v>23</v>
      </c>
      <c r="M3947" t="s">
        <v>24</v>
      </c>
      <c r="N3947" t="s">
        <v>34</v>
      </c>
      <c r="O3947">
        <v>0</v>
      </c>
      <c r="P3947" t="s">
        <v>25</v>
      </c>
      <c r="Q3947" t="s">
        <v>26</v>
      </c>
      <c r="R3947" s="1">
        <v>0.1</v>
      </c>
      <c r="S3947">
        <f t="shared" si="244"/>
        <v>1279.566</v>
      </c>
      <c r="T3947">
        <f>IFERROR(VLOOKUP(A3947,Table1[[Customer ID]:[Discount Amount]], 6, FALSE),"Not Found")</f>
        <v>1421.74</v>
      </c>
      <c r="U3947" t="str">
        <f t="shared" si="245"/>
        <v>Cash</v>
      </c>
      <c r="V3947" s="4" t="str">
        <f t="shared" si="246"/>
        <v>Normal</v>
      </c>
      <c r="W3947" s="4" t="str">
        <f t="shared" si="247"/>
        <v>Poor</v>
      </c>
      <c r="X3947" s="4">
        <f>AVERAGE(Table1[Purchase Amount])</f>
        <v>129.48419400000012</v>
      </c>
    </row>
    <row r="3948" spans="1:24" ht="15" customHeight="1" x14ac:dyDescent="0.25">
      <c r="A3948">
        <v>4046</v>
      </c>
      <c r="B3948">
        <v>57</v>
      </c>
      <c r="C3948" t="s">
        <v>16</v>
      </c>
      <c r="D3948" t="s">
        <v>95</v>
      </c>
      <c r="E3948" t="s">
        <v>18</v>
      </c>
      <c r="F3948" s="2">
        <v>216.55</v>
      </c>
      <c r="G3948" t="s">
        <v>73</v>
      </c>
      <c r="H3948" t="s">
        <v>20</v>
      </c>
      <c r="I3948" t="s">
        <v>40</v>
      </c>
      <c r="J3948" t="s">
        <v>22</v>
      </c>
      <c r="K3948">
        <v>4</v>
      </c>
      <c r="L3948" t="s">
        <v>34</v>
      </c>
      <c r="M3948" t="s">
        <v>61</v>
      </c>
      <c r="N3948" t="s">
        <v>34</v>
      </c>
      <c r="O3948">
        <v>21</v>
      </c>
      <c r="P3948" t="s">
        <v>36</v>
      </c>
      <c r="Q3948" t="s">
        <v>26</v>
      </c>
      <c r="R3948" s="1">
        <v>0.1</v>
      </c>
      <c r="S3948">
        <f t="shared" si="244"/>
        <v>194.89500000000001</v>
      </c>
      <c r="T3948">
        <f>IFERROR(VLOOKUP(A3948,Table1[[Customer ID]:[Discount Amount]], 6, FALSE),"Not Found")</f>
        <v>216.55</v>
      </c>
      <c r="U3948" t="str">
        <f t="shared" si="245"/>
        <v>Debit Card</v>
      </c>
      <c r="V3948" s="4" t="str">
        <f t="shared" si="246"/>
        <v>Normal</v>
      </c>
      <c r="W3948" s="4" t="str">
        <f t="shared" si="247"/>
        <v>Good</v>
      </c>
      <c r="X3948" s="4">
        <f>AVERAGE(Table1[Purchase Amount])</f>
        <v>129.48419400000012</v>
      </c>
    </row>
    <row r="3949" spans="1:24" ht="15" customHeight="1" x14ac:dyDescent="0.25">
      <c r="A3949">
        <v>4047</v>
      </c>
      <c r="B3949">
        <v>49</v>
      </c>
      <c r="C3949" t="s">
        <v>27</v>
      </c>
      <c r="D3949" t="s">
        <v>116</v>
      </c>
      <c r="E3949" t="s">
        <v>81</v>
      </c>
      <c r="F3949" s="2">
        <v>0</v>
      </c>
      <c r="G3949" t="s">
        <v>73</v>
      </c>
      <c r="H3949" t="s">
        <v>31</v>
      </c>
      <c r="I3949" t="s">
        <v>32</v>
      </c>
      <c r="J3949" t="s">
        <v>57</v>
      </c>
      <c r="K3949">
        <v>5</v>
      </c>
      <c r="L3949" t="s">
        <v>34</v>
      </c>
      <c r="M3949" t="s">
        <v>24</v>
      </c>
      <c r="N3949" t="s">
        <v>23</v>
      </c>
      <c r="O3949">
        <v>0</v>
      </c>
      <c r="P3949" t="s">
        <v>25</v>
      </c>
      <c r="Q3949" t="s">
        <v>26</v>
      </c>
      <c r="R3949" s="1">
        <v>0.1</v>
      </c>
      <c r="S3949">
        <f t="shared" si="244"/>
        <v>0</v>
      </c>
      <c r="T3949">
        <f>IFERROR(VLOOKUP(A3949,Table1[[Customer ID]:[Discount Amount]], 6, FALSE),"Not Found")</f>
        <v>0</v>
      </c>
      <c r="U3949" t="str">
        <f t="shared" si="245"/>
        <v>Cash</v>
      </c>
      <c r="V3949" s="4" t="str">
        <f t="shared" si="246"/>
        <v>Normal</v>
      </c>
      <c r="W3949" s="4" t="str">
        <f t="shared" si="247"/>
        <v>Good</v>
      </c>
      <c r="X3949" s="4">
        <f>AVERAGE(Table1[Purchase Amount])</f>
        <v>129.48419400000012</v>
      </c>
    </row>
    <row r="3950" spans="1:24" ht="15" customHeight="1" x14ac:dyDescent="0.25">
      <c r="A3950">
        <v>4048</v>
      </c>
      <c r="B3950">
        <v>30</v>
      </c>
      <c r="C3950" t="s">
        <v>71</v>
      </c>
      <c r="D3950" t="s">
        <v>95</v>
      </c>
      <c r="E3950" t="s">
        <v>81</v>
      </c>
      <c r="F3950" s="2">
        <v>0</v>
      </c>
      <c r="G3950" t="s">
        <v>82</v>
      </c>
      <c r="H3950" t="s">
        <v>31</v>
      </c>
      <c r="I3950" t="s">
        <v>93</v>
      </c>
      <c r="J3950" t="s">
        <v>57</v>
      </c>
      <c r="K3950">
        <v>1</v>
      </c>
      <c r="L3950" t="s">
        <v>23</v>
      </c>
      <c r="M3950" t="s">
        <v>24</v>
      </c>
      <c r="N3950" t="s">
        <v>34</v>
      </c>
      <c r="O3950">
        <v>6</v>
      </c>
      <c r="P3950" t="s">
        <v>58</v>
      </c>
      <c r="Q3950" t="s">
        <v>37</v>
      </c>
      <c r="R3950" s="1">
        <v>0.1</v>
      </c>
      <c r="S3950">
        <f t="shared" si="244"/>
        <v>0</v>
      </c>
      <c r="T3950">
        <f>IFERROR(VLOOKUP(A3950,Table1[[Customer ID]:[Discount Amount]], 6, FALSE),"Not Found")</f>
        <v>0</v>
      </c>
      <c r="U3950" t="str">
        <f t="shared" si="245"/>
        <v>PayPal</v>
      </c>
      <c r="V3950" s="4" t="str">
        <f t="shared" si="246"/>
        <v>Normal</v>
      </c>
      <c r="W3950" s="4" t="str">
        <f t="shared" si="247"/>
        <v>Poor</v>
      </c>
      <c r="X3950" s="4">
        <f>AVERAGE(Table1[Purchase Amount])</f>
        <v>129.48419400000012</v>
      </c>
    </row>
    <row r="3951" spans="1:24" ht="15" customHeight="1" x14ac:dyDescent="0.25">
      <c r="A3951">
        <v>4049</v>
      </c>
      <c r="B3951">
        <v>35</v>
      </c>
      <c r="C3951" t="s">
        <v>16</v>
      </c>
      <c r="D3951" t="s">
        <v>117</v>
      </c>
      <c r="E3951" t="s">
        <v>29</v>
      </c>
      <c r="F3951" s="2">
        <v>288.11</v>
      </c>
      <c r="G3951" t="s">
        <v>139</v>
      </c>
      <c r="H3951" t="s">
        <v>31</v>
      </c>
      <c r="I3951" t="s">
        <v>40</v>
      </c>
      <c r="J3951" t="s">
        <v>33</v>
      </c>
      <c r="K3951">
        <v>1</v>
      </c>
      <c r="L3951" t="s">
        <v>23</v>
      </c>
      <c r="M3951" t="s">
        <v>61</v>
      </c>
      <c r="N3951" t="s">
        <v>23</v>
      </c>
      <c r="O3951">
        <v>1</v>
      </c>
      <c r="P3951" t="s">
        <v>58</v>
      </c>
      <c r="Q3951" t="s">
        <v>37</v>
      </c>
      <c r="R3951" s="1">
        <v>0.1</v>
      </c>
      <c r="S3951">
        <f t="shared" si="244"/>
        <v>259.29900000000004</v>
      </c>
      <c r="T3951">
        <f>IFERROR(VLOOKUP(A3951,Table1[[Customer ID]:[Discount Amount]], 6, FALSE),"Not Found")</f>
        <v>288.11</v>
      </c>
      <c r="U3951" t="str">
        <f t="shared" si="245"/>
        <v>PayPal</v>
      </c>
      <c r="V3951" s="4" t="str">
        <f t="shared" si="246"/>
        <v>Normal</v>
      </c>
      <c r="W3951" s="4" t="str">
        <f t="shared" si="247"/>
        <v>Poor</v>
      </c>
      <c r="X3951" s="4">
        <f>AVERAGE(Table1[Purchase Amount])</f>
        <v>129.48419400000012</v>
      </c>
    </row>
    <row r="3952" spans="1:24" ht="15" customHeight="1" x14ac:dyDescent="0.25">
      <c r="A3952">
        <v>4050</v>
      </c>
      <c r="B3952">
        <v>47</v>
      </c>
      <c r="C3952" t="s">
        <v>71</v>
      </c>
      <c r="D3952" t="s">
        <v>117</v>
      </c>
      <c r="E3952" t="s">
        <v>81</v>
      </c>
      <c r="F3952" s="2">
        <v>1409.36</v>
      </c>
      <c r="G3952" t="s">
        <v>82</v>
      </c>
      <c r="H3952" t="s">
        <v>31</v>
      </c>
      <c r="I3952" t="s">
        <v>74</v>
      </c>
      <c r="J3952" t="s">
        <v>57</v>
      </c>
      <c r="K3952">
        <v>4</v>
      </c>
      <c r="L3952" t="s">
        <v>23</v>
      </c>
      <c r="M3952" t="s">
        <v>24</v>
      </c>
      <c r="N3952" t="s">
        <v>34</v>
      </c>
      <c r="O3952">
        <v>0</v>
      </c>
      <c r="P3952" t="s">
        <v>53</v>
      </c>
      <c r="Q3952" t="s">
        <v>37</v>
      </c>
      <c r="R3952" s="1">
        <v>0.1</v>
      </c>
      <c r="S3952">
        <f t="shared" si="244"/>
        <v>1268.424</v>
      </c>
      <c r="T3952">
        <f>IFERROR(VLOOKUP(A3952,Table1[[Customer ID]:[Discount Amount]], 6, FALSE),"Not Found")</f>
        <v>1409.36</v>
      </c>
      <c r="U3952" t="str">
        <f t="shared" si="245"/>
        <v>Credit Card</v>
      </c>
      <c r="V3952" s="4" t="str">
        <f t="shared" si="246"/>
        <v>Best Customer</v>
      </c>
      <c r="W3952" s="4" t="str">
        <f t="shared" si="247"/>
        <v>Good</v>
      </c>
      <c r="X3952" s="4">
        <f>AVERAGE(Table1[Purchase Amount])</f>
        <v>129.48419400000012</v>
      </c>
    </row>
    <row r="3953" spans="1:24" ht="15" customHeight="1" x14ac:dyDescent="0.25">
      <c r="A3953">
        <v>4051</v>
      </c>
      <c r="B3953">
        <v>65</v>
      </c>
      <c r="C3953" t="s">
        <v>27</v>
      </c>
      <c r="D3953" t="s">
        <v>116</v>
      </c>
      <c r="E3953" t="s">
        <v>18</v>
      </c>
      <c r="F3953" s="2">
        <v>0</v>
      </c>
      <c r="G3953" t="s">
        <v>82</v>
      </c>
      <c r="H3953" t="s">
        <v>31</v>
      </c>
      <c r="I3953" t="s">
        <v>74</v>
      </c>
      <c r="J3953" t="s">
        <v>75</v>
      </c>
      <c r="K3953">
        <v>1</v>
      </c>
      <c r="L3953" t="s">
        <v>23</v>
      </c>
      <c r="M3953" t="s">
        <v>61</v>
      </c>
      <c r="N3953" t="s">
        <v>23</v>
      </c>
      <c r="O3953">
        <v>49</v>
      </c>
      <c r="P3953" t="s">
        <v>25</v>
      </c>
      <c r="Q3953" t="s">
        <v>42</v>
      </c>
      <c r="R3953" s="1">
        <v>0.1</v>
      </c>
      <c r="S3953">
        <f t="shared" si="244"/>
        <v>0</v>
      </c>
      <c r="T3953">
        <f>IFERROR(VLOOKUP(A3953,Table1[[Customer ID]:[Discount Amount]], 6, FALSE),"Not Found")</f>
        <v>0</v>
      </c>
      <c r="U3953" t="str">
        <f t="shared" si="245"/>
        <v>Cash</v>
      </c>
      <c r="V3953" s="4" t="str">
        <f t="shared" si="246"/>
        <v>Normal</v>
      </c>
      <c r="W3953" s="4" t="str">
        <f t="shared" si="247"/>
        <v>Poor</v>
      </c>
      <c r="X3953" s="4">
        <f>AVERAGE(Table1[Purchase Amount])</f>
        <v>129.48419400000012</v>
      </c>
    </row>
    <row r="3954" spans="1:24" ht="15" customHeight="1" x14ac:dyDescent="0.25">
      <c r="A3954">
        <v>4052</v>
      </c>
      <c r="B3954">
        <v>47</v>
      </c>
      <c r="C3954" t="s">
        <v>16</v>
      </c>
      <c r="D3954" t="s">
        <v>95</v>
      </c>
      <c r="E3954" t="s">
        <v>81</v>
      </c>
      <c r="F3954" s="2">
        <v>0</v>
      </c>
      <c r="G3954" t="s">
        <v>101</v>
      </c>
      <c r="H3954" t="s">
        <v>31</v>
      </c>
      <c r="I3954" t="s">
        <v>32</v>
      </c>
      <c r="J3954" t="s">
        <v>22</v>
      </c>
      <c r="K3954">
        <v>2</v>
      </c>
      <c r="L3954" t="s">
        <v>34</v>
      </c>
      <c r="M3954" t="s">
        <v>24</v>
      </c>
      <c r="N3954" t="s">
        <v>34</v>
      </c>
      <c r="O3954">
        <v>0</v>
      </c>
      <c r="P3954" t="s">
        <v>36</v>
      </c>
      <c r="Q3954" t="s">
        <v>42</v>
      </c>
      <c r="R3954" s="1">
        <v>0.1</v>
      </c>
      <c r="S3954">
        <f t="shared" si="244"/>
        <v>0</v>
      </c>
      <c r="T3954">
        <f>IFERROR(VLOOKUP(A3954,Table1[[Customer ID]:[Discount Amount]], 6, FALSE),"Not Found")</f>
        <v>0</v>
      </c>
      <c r="U3954" t="str">
        <f t="shared" si="245"/>
        <v>Debit Card</v>
      </c>
      <c r="V3954" s="4" t="str">
        <f t="shared" si="246"/>
        <v>Normal</v>
      </c>
      <c r="W3954" s="4" t="str">
        <f t="shared" si="247"/>
        <v>Poor</v>
      </c>
      <c r="X3954" s="4">
        <f>AVERAGE(Table1[Purchase Amount])</f>
        <v>129.48419400000012</v>
      </c>
    </row>
    <row r="3955" spans="1:24" ht="15" customHeight="1" x14ac:dyDescent="0.25">
      <c r="A3955">
        <v>4053</v>
      </c>
      <c r="B3955">
        <v>54</v>
      </c>
      <c r="C3955" t="s">
        <v>16</v>
      </c>
      <c r="D3955" t="s">
        <v>72</v>
      </c>
      <c r="E3955" t="s">
        <v>81</v>
      </c>
      <c r="F3955" s="2">
        <v>370.41</v>
      </c>
      <c r="G3955" t="s">
        <v>139</v>
      </c>
      <c r="H3955" t="s">
        <v>31</v>
      </c>
      <c r="I3955" t="s">
        <v>74</v>
      </c>
      <c r="J3955" t="s">
        <v>57</v>
      </c>
      <c r="K3955">
        <v>1</v>
      </c>
      <c r="L3955" t="s">
        <v>34</v>
      </c>
      <c r="M3955" t="s">
        <v>24</v>
      </c>
      <c r="N3955" t="s">
        <v>23</v>
      </c>
      <c r="O3955">
        <v>9</v>
      </c>
      <c r="P3955" t="s">
        <v>36</v>
      </c>
      <c r="Q3955" t="s">
        <v>26</v>
      </c>
      <c r="R3955" s="1">
        <v>0.1</v>
      </c>
      <c r="S3955">
        <f t="shared" si="244"/>
        <v>333.36900000000003</v>
      </c>
      <c r="T3955">
        <f>IFERROR(VLOOKUP(A3955,Table1[[Customer ID]:[Discount Amount]], 6, FALSE),"Not Found")</f>
        <v>370.41</v>
      </c>
      <c r="U3955" t="str">
        <f t="shared" si="245"/>
        <v>Debit Card</v>
      </c>
      <c r="V3955" s="4" t="str">
        <f t="shared" si="246"/>
        <v>Normal</v>
      </c>
      <c r="W3955" s="4" t="str">
        <f t="shared" si="247"/>
        <v>Poor</v>
      </c>
      <c r="X3955" s="4">
        <f>AVERAGE(Table1[Purchase Amount])</f>
        <v>129.48419400000012</v>
      </c>
    </row>
    <row r="3956" spans="1:24" ht="15" customHeight="1" x14ac:dyDescent="0.25">
      <c r="A3956">
        <v>4054</v>
      </c>
      <c r="B3956">
        <v>63</v>
      </c>
      <c r="C3956" t="s">
        <v>16</v>
      </c>
      <c r="D3956" t="s">
        <v>80</v>
      </c>
      <c r="E3956" t="s">
        <v>18</v>
      </c>
      <c r="F3956" s="2">
        <v>0</v>
      </c>
      <c r="G3956" t="s">
        <v>73</v>
      </c>
      <c r="H3956" t="s">
        <v>55</v>
      </c>
      <c r="I3956" t="s">
        <v>46</v>
      </c>
      <c r="J3956" t="s">
        <v>33</v>
      </c>
      <c r="K3956">
        <v>4</v>
      </c>
      <c r="L3956" t="s">
        <v>34</v>
      </c>
      <c r="M3956" t="s">
        <v>24</v>
      </c>
      <c r="N3956" t="s">
        <v>34</v>
      </c>
      <c r="O3956">
        <v>0</v>
      </c>
      <c r="P3956" t="s">
        <v>58</v>
      </c>
      <c r="Q3956" t="s">
        <v>42</v>
      </c>
      <c r="R3956" s="1">
        <v>0.1</v>
      </c>
      <c r="S3956">
        <f t="shared" si="244"/>
        <v>0</v>
      </c>
      <c r="T3956">
        <f>IFERROR(VLOOKUP(A3956,Table1[[Customer ID]:[Discount Amount]], 6, FALSE),"Not Found")</f>
        <v>0</v>
      </c>
      <c r="U3956" t="str">
        <f t="shared" si="245"/>
        <v>PayPal</v>
      </c>
      <c r="V3956" s="4" t="str">
        <f t="shared" si="246"/>
        <v>Normal</v>
      </c>
      <c r="W3956" s="4" t="str">
        <f t="shared" si="247"/>
        <v>Good</v>
      </c>
      <c r="X3956" s="4">
        <f>AVERAGE(Table1[Purchase Amount])</f>
        <v>129.48419400000012</v>
      </c>
    </row>
    <row r="3957" spans="1:24" ht="15" customHeight="1" x14ac:dyDescent="0.25">
      <c r="A3957">
        <v>4055</v>
      </c>
      <c r="B3957">
        <v>21</v>
      </c>
      <c r="C3957" t="s">
        <v>71</v>
      </c>
      <c r="D3957" t="s">
        <v>117</v>
      </c>
      <c r="E3957" t="s">
        <v>29</v>
      </c>
      <c r="F3957" s="2">
        <v>1493.56</v>
      </c>
      <c r="G3957" t="s">
        <v>101</v>
      </c>
      <c r="H3957" t="s">
        <v>55</v>
      </c>
      <c r="I3957" t="s">
        <v>93</v>
      </c>
      <c r="J3957" t="s">
        <v>75</v>
      </c>
      <c r="K3957">
        <v>1</v>
      </c>
      <c r="L3957" t="s">
        <v>23</v>
      </c>
      <c r="M3957" t="s">
        <v>61</v>
      </c>
      <c r="N3957" t="s">
        <v>34</v>
      </c>
      <c r="O3957">
        <v>9</v>
      </c>
      <c r="P3957" t="s">
        <v>53</v>
      </c>
      <c r="Q3957" t="s">
        <v>37</v>
      </c>
      <c r="R3957" s="1">
        <v>0.1</v>
      </c>
      <c r="S3957">
        <f t="shared" si="244"/>
        <v>1344.204</v>
      </c>
      <c r="T3957">
        <f>IFERROR(VLOOKUP(A3957,Table1[[Customer ID]:[Discount Amount]], 6, FALSE),"Not Found")</f>
        <v>1493.56</v>
      </c>
      <c r="U3957" t="str">
        <f t="shared" si="245"/>
        <v>Credit Card</v>
      </c>
      <c r="V3957" s="4" t="str">
        <f t="shared" si="246"/>
        <v>Normal</v>
      </c>
      <c r="W3957" s="4" t="str">
        <f t="shared" si="247"/>
        <v>Poor</v>
      </c>
      <c r="X3957" s="4">
        <f>AVERAGE(Table1[Purchase Amount])</f>
        <v>129.48419400000012</v>
      </c>
    </row>
    <row r="3958" spans="1:24" ht="15" customHeight="1" x14ac:dyDescent="0.25">
      <c r="A3958">
        <v>4056</v>
      </c>
      <c r="B3958">
        <v>39</v>
      </c>
      <c r="C3958" t="s">
        <v>71</v>
      </c>
      <c r="D3958" t="s">
        <v>38</v>
      </c>
      <c r="E3958" t="s">
        <v>81</v>
      </c>
      <c r="F3958" s="2">
        <v>0</v>
      </c>
      <c r="G3958" t="s">
        <v>101</v>
      </c>
      <c r="H3958" t="s">
        <v>31</v>
      </c>
      <c r="I3958" t="s">
        <v>93</v>
      </c>
      <c r="J3958" t="s">
        <v>22</v>
      </c>
      <c r="K3958">
        <v>1</v>
      </c>
      <c r="L3958" t="s">
        <v>34</v>
      </c>
      <c r="M3958" t="s">
        <v>61</v>
      </c>
      <c r="N3958" t="s">
        <v>34</v>
      </c>
      <c r="O3958">
        <v>0</v>
      </c>
      <c r="P3958" t="s">
        <v>25</v>
      </c>
      <c r="Q3958" t="s">
        <v>37</v>
      </c>
      <c r="R3958" s="1">
        <v>0.1</v>
      </c>
      <c r="S3958">
        <f t="shared" si="244"/>
        <v>0</v>
      </c>
      <c r="T3958">
        <f>IFERROR(VLOOKUP(A3958,Table1[[Customer ID]:[Discount Amount]], 6, FALSE),"Not Found")</f>
        <v>0</v>
      </c>
      <c r="U3958" t="str">
        <f t="shared" si="245"/>
        <v>Cash</v>
      </c>
      <c r="V3958" s="4" t="str">
        <f t="shared" si="246"/>
        <v>Normal</v>
      </c>
      <c r="W3958" s="4" t="str">
        <f t="shared" si="247"/>
        <v>Poor</v>
      </c>
      <c r="X3958" s="4">
        <f>AVERAGE(Table1[Purchase Amount])</f>
        <v>129.48419400000012</v>
      </c>
    </row>
    <row r="3959" spans="1:24" ht="15" customHeight="1" x14ac:dyDescent="0.25">
      <c r="A3959">
        <v>4057</v>
      </c>
      <c r="B3959">
        <v>41</v>
      </c>
      <c r="C3959" t="s">
        <v>16</v>
      </c>
      <c r="D3959" t="s">
        <v>72</v>
      </c>
      <c r="E3959" t="s">
        <v>81</v>
      </c>
      <c r="F3959" s="2">
        <v>0</v>
      </c>
      <c r="G3959" t="s">
        <v>82</v>
      </c>
      <c r="H3959" t="s">
        <v>31</v>
      </c>
      <c r="I3959" t="s">
        <v>40</v>
      </c>
      <c r="J3959" t="s">
        <v>22</v>
      </c>
      <c r="K3959">
        <v>1</v>
      </c>
      <c r="L3959" t="s">
        <v>23</v>
      </c>
      <c r="M3959" t="s">
        <v>24</v>
      </c>
      <c r="N3959" t="s">
        <v>34</v>
      </c>
      <c r="O3959">
        <v>10</v>
      </c>
      <c r="P3959" t="s">
        <v>53</v>
      </c>
      <c r="Q3959" t="s">
        <v>37</v>
      </c>
      <c r="R3959" s="1">
        <v>0.1</v>
      </c>
      <c r="S3959">
        <f t="shared" si="244"/>
        <v>0</v>
      </c>
      <c r="T3959">
        <f>IFERROR(VLOOKUP(A3959,Table1[[Customer ID]:[Discount Amount]], 6, FALSE),"Not Found")</f>
        <v>0</v>
      </c>
      <c r="U3959" t="str">
        <f t="shared" si="245"/>
        <v>Credit Card</v>
      </c>
      <c r="V3959" s="4" t="str">
        <f t="shared" si="246"/>
        <v>Normal</v>
      </c>
      <c r="W3959" s="4" t="str">
        <f t="shared" si="247"/>
        <v>Poor</v>
      </c>
      <c r="X3959" s="4">
        <f>AVERAGE(Table1[Purchase Amount])</f>
        <v>129.48419400000012</v>
      </c>
    </row>
    <row r="3960" spans="1:24" ht="15" customHeight="1" x14ac:dyDescent="0.25">
      <c r="A3960">
        <v>4058</v>
      </c>
      <c r="B3960">
        <v>45</v>
      </c>
      <c r="C3960" t="s">
        <v>16</v>
      </c>
      <c r="D3960" t="s">
        <v>72</v>
      </c>
      <c r="E3960" t="s">
        <v>29</v>
      </c>
      <c r="F3960" s="2">
        <v>0</v>
      </c>
      <c r="G3960" t="s">
        <v>139</v>
      </c>
      <c r="H3960" t="s">
        <v>45</v>
      </c>
      <c r="I3960" t="s">
        <v>46</v>
      </c>
      <c r="J3960" t="s">
        <v>22</v>
      </c>
      <c r="K3960">
        <v>1</v>
      </c>
      <c r="L3960" t="s">
        <v>34</v>
      </c>
      <c r="M3960" t="s">
        <v>24</v>
      </c>
      <c r="N3960" t="s">
        <v>23</v>
      </c>
      <c r="O3960">
        <v>35</v>
      </c>
      <c r="P3960" t="s">
        <v>53</v>
      </c>
      <c r="Q3960" t="s">
        <v>37</v>
      </c>
      <c r="R3960" s="1">
        <v>0.1</v>
      </c>
      <c r="S3960">
        <f t="shared" si="244"/>
        <v>0</v>
      </c>
      <c r="T3960">
        <f>IFERROR(VLOOKUP(A3960,Table1[[Customer ID]:[Discount Amount]], 6, FALSE),"Not Found")</f>
        <v>0</v>
      </c>
      <c r="U3960" t="str">
        <f t="shared" si="245"/>
        <v>Credit Card</v>
      </c>
      <c r="V3960" s="4" t="str">
        <f t="shared" si="246"/>
        <v>Normal</v>
      </c>
      <c r="W3960" s="4" t="str">
        <f t="shared" si="247"/>
        <v>Poor</v>
      </c>
      <c r="X3960" s="4">
        <f>AVERAGE(Table1[Purchase Amount])</f>
        <v>129.48419400000012</v>
      </c>
    </row>
    <row r="3961" spans="1:24" ht="15" customHeight="1" x14ac:dyDescent="0.25">
      <c r="A3961">
        <v>4059</v>
      </c>
      <c r="B3961">
        <v>27</v>
      </c>
      <c r="C3961" t="s">
        <v>27</v>
      </c>
      <c r="D3961" t="s">
        <v>112</v>
      </c>
      <c r="E3961" t="s">
        <v>81</v>
      </c>
      <c r="F3961" s="2">
        <v>0</v>
      </c>
      <c r="G3961" t="s">
        <v>139</v>
      </c>
      <c r="H3961" t="s">
        <v>31</v>
      </c>
      <c r="I3961" t="s">
        <v>32</v>
      </c>
      <c r="J3961" t="s">
        <v>75</v>
      </c>
      <c r="K3961">
        <v>1</v>
      </c>
      <c r="L3961" t="s">
        <v>34</v>
      </c>
      <c r="M3961" t="s">
        <v>24</v>
      </c>
      <c r="N3961" t="s">
        <v>34</v>
      </c>
      <c r="O3961">
        <v>36</v>
      </c>
      <c r="P3961" t="s">
        <v>58</v>
      </c>
      <c r="Q3961" t="s">
        <v>37</v>
      </c>
      <c r="R3961" s="1">
        <v>0.1</v>
      </c>
      <c r="S3961">
        <f t="shared" si="244"/>
        <v>0</v>
      </c>
      <c r="T3961">
        <f>IFERROR(VLOOKUP(A3961,Table1[[Customer ID]:[Discount Amount]], 6, FALSE),"Not Found")</f>
        <v>0</v>
      </c>
      <c r="U3961" t="str">
        <f t="shared" si="245"/>
        <v>PayPal</v>
      </c>
      <c r="V3961" s="4" t="str">
        <f t="shared" si="246"/>
        <v>Normal</v>
      </c>
      <c r="W3961" s="4" t="str">
        <f t="shared" si="247"/>
        <v>Poor</v>
      </c>
      <c r="X3961" s="4">
        <f>AVERAGE(Table1[Purchase Amount])</f>
        <v>129.48419400000012</v>
      </c>
    </row>
    <row r="3962" spans="1:24" ht="15" customHeight="1" x14ac:dyDescent="0.25">
      <c r="A3962">
        <v>4060</v>
      </c>
      <c r="B3962">
        <v>25</v>
      </c>
      <c r="C3962" t="s">
        <v>16</v>
      </c>
      <c r="D3962" t="s">
        <v>112</v>
      </c>
      <c r="E3962" t="s">
        <v>81</v>
      </c>
      <c r="F3962" s="2">
        <v>0</v>
      </c>
      <c r="G3962" t="s">
        <v>126</v>
      </c>
      <c r="H3962" t="s">
        <v>31</v>
      </c>
      <c r="I3962" t="s">
        <v>32</v>
      </c>
      <c r="J3962" t="s">
        <v>75</v>
      </c>
      <c r="K3962">
        <v>1</v>
      </c>
      <c r="L3962" t="s">
        <v>23</v>
      </c>
      <c r="M3962" t="s">
        <v>24</v>
      </c>
      <c r="N3962" t="s">
        <v>23</v>
      </c>
      <c r="O3962">
        <v>0</v>
      </c>
      <c r="P3962" t="s">
        <v>53</v>
      </c>
      <c r="Q3962" t="s">
        <v>37</v>
      </c>
      <c r="R3962" s="1">
        <v>0.1</v>
      </c>
      <c r="S3962">
        <f t="shared" si="244"/>
        <v>0</v>
      </c>
      <c r="T3962">
        <f>IFERROR(VLOOKUP(A3962,Table1[[Customer ID]:[Discount Amount]], 6, FALSE),"Not Found")</f>
        <v>0</v>
      </c>
      <c r="U3962" t="str">
        <f t="shared" si="245"/>
        <v>Credit Card</v>
      </c>
      <c r="V3962" s="4" t="str">
        <f t="shared" si="246"/>
        <v>Normal</v>
      </c>
      <c r="W3962" s="4" t="str">
        <f t="shared" si="247"/>
        <v>Poor</v>
      </c>
      <c r="X3962" s="4">
        <f>AVERAGE(Table1[Purchase Amount])</f>
        <v>129.48419400000012</v>
      </c>
    </row>
    <row r="3963" spans="1:24" ht="15" customHeight="1" x14ac:dyDescent="0.25">
      <c r="A3963">
        <v>4061</v>
      </c>
      <c r="B3963">
        <v>29</v>
      </c>
      <c r="C3963" t="s">
        <v>27</v>
      </c>
      <c r="D3963" t="s">
        <v>116</v>
      </c>
      <c r="E3963" t="s">
        <v>29</v>
      </c>
      <c r="F3963" s="2">
        <v>1036.05</v>
      </c>
      <c r="G3963" t="s">
        <v>101</v>
      </c>
      <c r="H3963" t="s">
        <v>55</v>
      </c>
      <c r="I3963" t="s">
        <v>74</v>
      </c>
      <c r="J3963" t="s">
        <v>75</v>
      </c>
      <c r="K3963">
        <v>2</v>
      </c>
      <c r="L3963" t="s">
        <v>23</v>
      </c>
      <c r="M3963" t="s">
        <v>61</v>
      </c>
      <c r="N3963" t="s">
        <v>34</v>
      </c>
      <c r="O3963">
        <v>30</v>
      </c>
      <c r="P3963" t="s">
        <v>53</v>
      </c>
      <c r="Q3963" t="s">
        <v>42</v>
      </c>
      <c r="R3963" s="1">
        <v>0.1</v>
      </c>
      <c r="S3963">
        <f t="shared" si="244"/>
        <v>932.44499999999994</v>
      </c>
      <c r="T3963">
        <f>IFERROR(VLOOKUP(A3963,Table1[[Customer ID]:[Discount Amount]], 6, FALSE),"Not Found")</f>
        <v>1036.05</v>
      </c>
      <c r="U3963" t="str">
        <f t="shared" si="245"/>
        <v>Credit Card</v>
      </c>
      <c r="V3963" s="4" t="str">
        <f t="shared" si="246"/>
        <v>Normal</v>
      </c>
      <c r="W3963" s="4" t="str">
        <f t="shared" si="247"/>
        <v>Poor</v>
      </c>
      <c r="X3963" s="4">
        <f>AVERAGE(Table1[Purchase Amount])</f>
        <v>129.48419400000012</v>
      </c>
    </row>
    <row r="3964" spans="1:24" ht="15" customHeight="1" x14ac:dyDescent="0.25">
      <c r="A3964">
        <v>4062</v>
      </c>
      <c r="B3964">
        <v>20</v>
      </c>
      <c r="C3964" t="s">
        <v>71</v>
      </c>
      <c r="D3964" t="s">
        <v>117</v>
      </c>
      <c r="E3964" t="s">
        <v>81</v>
      </c>
      <c r="F3964" s="2">
        <v>0</v>
      </c>
      <c r="G3964" t="s">
        <v>73</v>
      </c>
      <c r="H3964" t="s">
        <v>31</v>
      </c>
      <c r="I3964" t="s">
        <v>46</v>
      </c>
      <c r="J3964" t="s">
        <v>22</v>
      </c>
      <c r="K3964">
        <v>1</v>
      </c>
      <c r="L3964" t="s">
        <v>34</v>
      </c>
      <c r="M3964" t="s">
        <v>61</v>
      </c>
      <c r="N3964" t="s">
        <v>34</v>
      </c>
      <c r="O3964">
        <v>0</v>
      </c>
      <c r="P3964" t="s">
        <v>58</v>
      </c>
      <c r="Q3964" t="s">
        <v>37</v>
      </c>
      <c r="R3964" s="1">
        <v>0.1</v>
      </c>
      <c r="S3964">
        <f t="shared" si="244"/>
        <v>0</v>
      </c>
      <c r="T3964">
        <f>IFERROR(VLOOKUP(A3964,Table1[[Customer ID]:[Discount Amount]], 6, FALSE),"Not Found")</f>
        <v>0</v>
      </c>
      <c r="U3964" t="str">
        <f t="shared" si="245"/>
        <v>PayPal</v>
      </c>
      <c r="V3964" s="4" t="str">
        <f t="shared" si="246"/>
        <v>Normal</v>
      </c>
      <c r="W3964" s="4" t="str">
        <f t="shared" si="247"/>
        <v>Poor</v>
      </c>
      <c r="X3964" s="4">
        <f>AVERAGE(Table1[Purchase Amount])</f>
        <v>129.48419400000012</v>
      </c>
    </row>
    <row r="3965" spans="1:24" ht="15" customHeight="1" x14ac:dyDescent="0.25">
      <c r="A3965">
        <v>4063</v>
      </c>
      <c r="B3965">
        <v>54</v>
      </c>
      <c r="C3965" t="s">
        <v>16</v>
      </c>
      <c r="D3965" t="s">
        <v>95</v>
      </c>
      <c r="E3965" t="s">
        <v>29</v>
      </c>
      <c r="F3965" s="2">
        <v>134.5</v>
      </c>
      <c r="G3965" t="s">
        <v>139</v>
      </c>
      <c r="H3965" t="s">
        <v>55</v>
      </c>
      <c r="I3965" t="s">
        <v>46</v>
      </c>
      <c r="J3965" t="s">
        <v>75</v>
      </c>
      <c r="K3965">
        <v>1</v>
      </c>
      <c r="L3965" t="s">
        <v>23</v>
      </c>
      <c r="M3965" t="s">
        <v>61</v>
      </c>
      <c r="N3965" t="s">
        <v>34</v>
      </c>
      <c r="O3965">
        <v>0</v>
      </c>
      <c r="P3965" t="s">
        <v>36</v>
      </c>
      <c r="Q3965" t="s">
        <v>37</v>
      </c>
      <c r="R3965" s="1">
        <v>0.1</v>
      </c>
      <c r="S3965">
        <f t="shared" si="244"/>
        <v>121.05</v>
      </c>
      <c r="T3965">
        <f>IFERROR(VLOOKUP(A3965,Table1[[Customer ID]:[Discount Amount]], 6, FALSE),"Not Found")</f>
        <v>134.5</v>
      </c>
      <c r="U3965" t="str">
        <f t="shared" si="245"/>
        <v>Debit Card</v>
      </c>
      <c r="V3965" s="4" t="str">
        <f t="shared" si="246"/>
        <v>Normal</v>
      </c>
      <c r="W3965" s="4" t="str">
        <f t="shared" si="247"/>
        <v>Poor</v>
      </c>
      <c r="X3965" s="4">
        <f>AVERAGE(Table1[Purchase Amount])</f>
        <v>129.48419400000012</v>
      </c>
    </row>
    <row r="3966" spans="1:24" ht="15" customHeight="1" x14ac:dyDescent="0.25">
      <c r="A3966">
        <v>4064</v>
      </c>
      <c r="B3966">
        <v>64</v>
      </c>
      <c r="C3966" t="s">
        <v>16</v>
      </c>
      <c r="D3966" t="s">
        <v>72</v>
      </c>
      <c r="E3966" t="s">
        <v>29</v>
      </c>
      <c r="F3966" s="2">
        <v>196.05</v>
      </c>
      <c r="G3966" t="s">
        <v>101</v>
      </c>
      <c r="H3966" t="s">
        <v>55</v>
      </c>
      <c r="I3966" t="s">
        <v>93</v>
      </c>
      <c r="J3966" t="s">
        <v>22</v>
      </c>
      <c r="K3966">
        <v>1</v>
      </c>
      <c r="L3966" t="s">
        <v>34</v>
      </c>
      <c r="M3966" t="s">
        <v>61</v>
      </c>
      <c r="N3966" t="s">
        <v>34</v>
      </c>
      <c r="O3966">
        <v>13</v>
      </c>
      <c r="P3966" t="s">
        <v>25</v>
      </c>
      <c r="Q3966" t="s">
        <v>42</v>
      </c>
      <c r="R3966" s="1">
        <v>0.1</v>
      </c>
      <c r="S3966">
        <f t="shared" si="244"/>
        <v>176.44499999999999</v>
      </c>
      <c r="T3966">
        <f>IFERROR(VLOOKUP(A3966,Table1[[Customer ID]:[Discount Amount]], 6, FALSE),"Not Found")</f>
        <v>196.05</v>
      </c>
      <c r="U3966" t="str">
        <f t="shared" si="245"/>
        <v>Cash</v>
      </c>
      <c r="V3966" s="4" t="str">
        <f t="shared" si="246"/>
        <v>Normal</v>
      </c>
      <c r="W3966" s="4" t="str">
        <f t="shared" si="247"/>
        <v>Poor</v>
      </c>
      <c r="X3966" s="4">
        <f>AVERAGE(Table1[Purchase Amount])</f>
        <v>129.48419400000012</v>
      </c>
    </row>
    <row r="3967" spans="1:24" ht="15" customHeight="1" x14ac:dyDescent="0.25">
      <c r="A3967">
        <v>4065</v>
      </c>
      <c r="B3967">
        <v>23</v>
      </c>
      <c r="C3967" t="s">
        <v>27</v>
      </c>
      <c r="D3967" t="s">
        <v>95</v>
      </c>
      <c r="E3967" t="s">
        <v>29</v>
      </c>
      <c r="F3967" s="2">
        <v>0</v>
      </c>
      <c r="G3967" t="s">
        <v>73</v>
      </c>
      <c r="H3967" t="s">
        <v>45</v>
      </c>
      <c r="I3967" t="s">
        <v>74</v>
      </c>
      <c r="J3967" t="s">
        <v>75</v>
      </c>
      <c r="K3967">
        <v>1</v>
      </c>
      <c r="L3967" t="s">
        <v>34</v>
      </c>
      <c r="M3967" t="s">
        <v>24</v>
      </c>
      <c r="N3967" t="s">
        <v>34</v>
      </c>
      <c r="O3967">
        <v>0</v>
      </c>
      <c r="P3967" t="s">
        <v>36</v>
      </c>
      <c r="Q3967" t="s">
        <v>37</v>
      </c>
      <c r="R3967" s="1">
        <v>0.1</v>
      </c>
      <c r="S3967">
        <f t="shared" si="244"/>
        <v>0</v>
      </c>
      <c r="T3967">
        <f>IFERROR(VLOOKUP(A3967,Table1[[Customer ID]:[Discount Amount]], 6, FALSE),"Not Found")</f>
        <v>0</v>
      </c>
      <c r="U3967" t="str">
        <f t="shared" si="245"/>
        <v>Debit Card</v>
      </c>
      <c r="V3967" s="4" t="str">
        <f t="shared" si="246"/>
        <v>Normal</v>
      </c>
      <c r="W3967" s="4" t="str">
        <f t="shared" si="247"/>
        <v>Poor</v>
      </c>
      <c r="X3967" s="4">
        <f>AVERAGE(Table1[Purchase Amount])</f>
        <v>129.48419400000012</v>
      </c>
    </row>
    <row r="3968" spans="1:24" ht="15" customHeight="1" x14ac:dyDescent="0.25">
      <c r="A3968">
        <v>4066</v>
      </c>
      <c r="B3968">
        <v>42</v>
      </c>
      <c r="C3968" t="s">
        <v>71</v>
      </c>
      <c r="D3968" t="s">
        <v>72</v>
      </c>
      <c r="E3968" t="s">
        <v>29</v>
      </c>
      <c r="F3968" s="2">
        <v>0</v>
      </c>
      <c r="G3968" t="s">
        <v>73</v>
      </c>
      <c r="H3968" t="s">
        <v>55</v>
      </c>
      <c r="I3968" t="s">
        <v>46</v>
      </c>
      <c r="J3968" t="s">
        <v>57</v>
      </c>
      <c r="K3968">
        <v>2</v>
      </c>
      <c r="L3968" t="s">
        <v>23</v>
      </c>
      <c r="M3968" t="s">
        <v>24</v>
      </c>
      <c r="N3968" t="s">
        <v>34</v>
      </c>
      <c r="O3968">
        <v>19</v>
      </c>
      <c r="P3968" t="s">
        <v>53</v>
      </c>
      <c r="Q3968" t="s">
        <v>42</v>
      </c>
      <c r="R3968" s="1">
        <v>0.1</v>
      </c>
      <c r="S3968">
        <f t="shared" si="244"/>
        <v>0</v>
      </c>
      <c r="T3968">
        <f>IFERROR(VLOOKUP(A3968,Table1[[Customer ID]:[Discount Amount]], 6, FALSE),"Not Found")</f>
        <v>0</v>
      </c>
      <c r="U3968" t="str">
        <f t="shared" si="245"/>
        <v>Credit Card</v>
      </c>
      <c r="V3968" s="4" t="str">
        <f t="shared" si="246"/>
        <v>Normal</v>
      </c>
      <c r="W3968" s="4" t="str">
        <f t="shared" si="247"/>
        <v>Poor</v>
      </c>
      <c r="X3968" s="4">
        <f>AVERAGE(Table1[Purchase Amount])</f>
        <v>129.48419400000012</v>
      </c>
    </row>
    <row r="3969" spans="1:24" ht="15" customHeight="1" x14ac:dyDescent="0.25">
      <c r="A3969">
        <v>4067</v>
      </c>
      <c r="B3969">
        <v>28</v>
      </c>
      <c r="C3969" t="s">
        <v>71</v>
      </c>
      <c r="D3969" t="s">
        <v>117</v>
      </c>
      <c r="E3969" t="s">
        <v>18</v>
      </c>
      <c r="F3969" s="2">
        <v>1028.71</v>
      </c>
      <c r="G3969" t="s">
        <v>82</v>
      </c>
      <c r="H3969" t="s">
        <v>55</v>
      </c>
      <c r="I3969" t="s">
        <v>93</v>
      </c>
      <c r="J3969" t="s">
        <v>57</v>
      </c>
      <c r="K3969">
        <v>1</v>
      </c>
      <c r="L3969" t="s">
        <v>23</v>
      </c>
      <c r="M3969" t="s">
        <v>24</v>
      </c>
      <c r="N3969" t="s">
        <v>34</v>
      </c>
      <c r="O3969">
        <v>36</v>
      </c>
      <c r="P3969" t="s">
        <v>36</v>
      </c>
      <c r="Q3969" t="s">
        <v>42</v>
      </c>
      <c r="R3969" s="1">
        <v>0.1</v>
      </c>
      <c r="S3969">
        <f t="shared" si="244"/>
        <v>925.83900000000006</v>
      </c>
      <c r="T3969">
        <f>IFERROR(VLOOKUP(A3969,Table1[[Customer ID]:[Discount Amount]], 6, FALSE),"Not Found")</f>
        <v>1028.71</v>
      </c>
      <c r="U3969" t="str">
        <f t="shared" si="245"/>
        <v>Debit Card</v>
      </c>
      <c r="V3969" s="4" t="str">
        <f t="shared" si="246"/>
        <v>Normal</v>
      </c>
      <c r="W3969" s="4" t="str">
        <f t="shared" si="247"/>
        <v>Poor</v>
      </c>
      <c r="X3969" s="4">
        <f>AVERAGE(Table1[Purchase Amount])</f>
        <v>129.48419400000012</v>
      </c>
    </row>
    <row r="3970" spans="1:24" ht="15" customHeight="1" x14ac:dyDescent="0.25">
      <c r="A3970">
        <v>4068</v>
      </c>
      <c r="B3970">
        <v>42</v>
      </c>
      <c r="C3970" t="s">
        <v>27</v>
      </c>
      <c r="D3970" t="s">
        <v>38</v>
      </c>
      <c r="E3970" t="s">
        <v>81</v>
      </c>
      <c r="F3970" s="2">
        <v>357.92</v>
      </c>
      <c r="G3970" t="s">
        <v>73</v>
      </c>
      <c r="H3970" t="s">
        <v>31</v>
      </c>
      <c r="I3970" t="s">
        <v>93</v>
      </c>
      <c r="J3970" t="s">
        <v>22</v>
      </c>
      <c r="K3970">
        <v>1</v>
      </c>
      <c r="L3970" t="s">
        <v>23</v>
      </c>
      <c r="M3970" t="s">
        <v>24</v>
      </c>
      <c r="N3970" t="s">
        <v>34</v>
      </c>
      <c r="O3970">
        <v>0</v>
      </c>
      <c r="P3970" t="s">
        <v>25</v>
      </c>
      <c r="Q3970" t="s">
        <v>42</v>
      </c>
      <c r="R3970" s="1">
        <v>0.1</v>
      </c>
      <c r="S3970">
        <f t="shared" ref="S3970:S4033" si="248">F3970-(F3970*R3970)</f>
        <v>322.12800000000004</v>
      </c>
      <c r="T3970">
        <f>IFERROR(VLOOKUP(A3970,Table1[[Customer ID]:[Discount Amount]], 6, FALSE),"Not Found")</f>
        <v>357.92</v>
      </c>
      <c r="U3970" t="str">
        <f t="shared" ref="U3970:U4033" si="249">INDEX(P:P, MATCH(A3970, A:A, 0))</f>
        <v>Cash</v>
      </c>
      <c r="V3970" s="4" t="str">
        <f t="shared" ref="V3970:V4033" si="250">IF(AND(F3970&gt;1000,K3970&gt;=4),"Best Customer","Normal")</f>
        <v>Normal</v>
      </c>
      <c r="W3970" s="4" t="str">
        <f t="shared" ref="W3970:W4033" si="251">IF(K3970&gt;=3,"Good","Poor")</f>
        <v>Poor</v>
      </c>
      <c r="X3970" s="4">
        <f>AVERAGE(Table1[Purchase Amount])</f>
        <v>129.48419400000012</v>
      </c>
    </row>
    <row r="3971" spans="1:24" ht="15" customHeight="1" x14ac:dyDescent="0.25">
      <c r="A3971">
        <v>4069</v>
      </c>
      <c r="B3971">
        <v>68</v>
      </c>
      <c r="C3971" t="s">
        <v>71</v>
      </c>
      <c r="D3971" t="s">
        <v>38</v>
      </c>
      <c r="E3971" t="s">
        <v>18</v>
      </c>
      <c r="F3971" s="2">
        <v>0</v>
      </c>
      <c r="G3971" t="s">
        <v>82</v>
      </c>
      <c r="H3971" t="s">
        <v>20</v>
      </c>
      <c r="I3971" t="s">
        <v>40</v>
      </c>
      <c r="J3971" t="s">
        <v>57</v>
      </c>
      <c r="K3971">
        <v>1</v>
      </c>
      <c r="L3971" t="s">
        <v>23</v>
      </c>
      <c r="M3971" t="s">
        <v>61</v>
      </c>
      <c r="N3971" t="s">
        <v>23</v>
      </c>
      <c r="O3971">
        <v>40</v>
      </c>
      <c r="P3971" t="s">
        <v>36</v>
      </c>
      <c r="Q3971" t="s">
        <v>37</v>
      </c>
      <c r="R3971" s="1">
        <v>0.1</v>
      </c>
      <c r="S3971">
        <f t="shared" si="248"/>
        <v>0</v>
      </c>
      <c r="T3971">
        <f>IFERROR(VLOOKUP(A3971,Table1[[Customer ID]:[Discount Amount]], 6, FALSE),"Not Found")</f>
        <v>0</v>
      </c>
      <c r="U3971" t="str">
        <f t="shared" si="249"/>
        <v>Debit Card</v>
      </c>
      <c r="V3971" s="4" t="str">
        <f t="shared" si="250"/>
        <v>Normal</v>
      </c>
      <c r="W3971" s="4" t="str">
        <f t="shared" si="251"/>
        <v>Poor</v>
      </c>
      <c r="X3971" s="4">
        <f>AVERAGE(Table1[Purchase Amount])</f>
        <v>129.48419400000012</v>
      </c>
    </row>
    <row r="3972" spans="1:24" ht="15" customHeight="1" x14ac:dyDescent="0.25">
      <c r="A3972">
        <v>4070</v>
      </c>
      <c r="B3972">
        <v>58</v>
      </c>
      <c r="C3972" t="s">
        <v>16</v>
      </c>
      <c r="D3972" t="s">
        <v>116</v>
      </c>
      <c r="E3972" t="s">
        <v>81</v>
      </c>
      <c r="F3972" s="2">
        <v>939.3</v>
      </c>
      <c r="G3972" t="s">
        <v>82</v>
      </c>
      <c r="H3972" t="s">
        <v>31</v>
      </c>
      <c r="I3972" t="s">
        <v>93</v>
      </c>
      <c r="J3972" t="s">
        <v>33</v>
      </c>
      <c r="K3972">
        <v>1</v>
      </c>
      <c r="L3972" t="s">
        <v>23</v>
      </c>
      <c r="M3972" t="s">
        <v>61</v>
      </c>
      <c r="N3972" t="s">
        <v>23</v>
      </c>
      <c r="O3972">
        <v>0</v>
      </c>
      <c r="P3972" t="s">
        <v>36</v>
      </c>
      <c r="Q3972" t="s">
        <v>26</v>
      </c>
      <c r="R3972" s="1">
        <v>0.1</v>
      </c>
      <c r="S3972">
        <f t="shared" si="248"/>
        <v>845.36999999999989</v>
      </c>
      <c r="T3972">
        <f>IFERROR(VLOOKUP(A3972,Table1[[Customer ID]:[Discount Amount]], 6, FALSE),"Not Found")</f>
        <v>939.3</v>
      </c>
      <c r="U3972" t="str">
        <f t="shared" si="249"/>
        <v>Debit Card</v>
      </c>
      <c r="V3972" s="4" t="str">
        <f t="shared" si="250"/>
        <v>Normal</v>
      </c>
      <c r="W3972" s="4" t="str">
        <f t="shared" si="251"/>
        <v>Poor</v>
      </c>
      <c r="X3972" s="4">
        <f>AVERAGE(Table1[Purchase Amount])</f>
        <v>129.48419400000012</v>
      </c>
    </row>
    <row r="3973" spans="1:24" ht="15" customHeight="1" x14ac:dyDescent="0.25">
      <c r="A3973">
        <v>4071</v>
      </c>
      <c r="B3973">
        <v>54</v>
      </c>
      <c r="C3973" t="s">
        <v>27</v>
      </c>
      <c r="D3973" t="s">
        <v>72</v>
      </c>
      <c r="E3973" t="s">
        <v>18</v>
      </c>
      <c r="F3973" s="2">
        <v>1357.03</v>
      </c>
      <c r="G3973" t="s">
        <v>73</v>
      </c>
      <c r="H3973" t="s">
        <v>20</v>
      </c>
      <c r="I3973" t="s">
        <v>40</v>
      </c>
      <c r="J3973" t="s">
        <v>22</v>
      </c>
      <c r="K3973">
        <v>1</v>
      </c>
      <c r="L3973" t="s">
        <v>34</v>
      </c>
      <c r="M3973" t="s">
        <v>24</v>
      </c>
      <c r="N3973" t="s">
        <v>23</v>
      </c>
      <c r="O3973">
        <v>0</v>
      </c>
      <c r="P3973" t="s">
        <v>36</v>
      </c>
      <c r="Q3973" t="s">
        <v>37</v>
      </c>
      <c r="R3973" s="1">
        <v>0.1</v>
      </c>
      <c r="S3973">
        <f t="shared" si="248"/>
        <v>1221.327</v>
      </c>
      <c r="T3973">
        <f>IFERROR(VLOOKUP(A3973,Table1[[Customer ID]:[Discount Amount]], 6, FALSE),"Not Found")</f>
        <v>1357.03</v>
      </c>
      <c r="U3973" t="str">
        <f t="shared" si="249"/>
        <v>Debit Card</v>
      </c>
      <c r="V3973" s="4" t="str">
        <f t="shared" si="250"/>
        <v>Normal</v>
      </c>
      <c r="W3973" s="4" t="str">
        <f t="shared" si="251"/>
        <v>Poor</v>
      </c>
      <c r="X3973" s="4">
        <f>AVERAGE(Table1[Purchase Amount])</f>
        <v>129.48419400000012</v>
      </c>
    </row>
    <row r="3974" spans="1:24" ht="15" customHeight="1" x14ac:dyDescent="0.25">
      <c r="A3974">
        <v>4072</v>
      </c>
      <c r="B3974">
        <v>63</v>
      </c>
      <c r="C3974" t="s">
        <v>27</v>
      </c>
      <c r="D3974" t="s">
        <v>72</v>
      </c>
      <c r="E3974" t="s">
        <v>18</v>
      </c>
      <c r="F3974" s="2">
        <v>0</v>
      </c>
      <c r="G3974" t="s">
        <v>82</v>
      </c>
      <c r="H3974" t="s">
        <v>55</v>
      </c>
      <c r="I3974" t="s">
        <v>46</v>
      </c>
      <c r="J3974" t="s">
        <v>75</v>
      </c>
      <c r="K3974">
        <v>1</v>
      </c>
      <c r="L3974" t="s">
        <v>23</v>
      </c>
      <c r="M3974" t="s">
        <v>24</v>
      </c>
      <c r="N3974" t="s">
        <v>34</v>
      </c>
      <c r="O3974">
        <v>0</v>
      </c>
      <c r="P3974" t="s">
        <v>53</v>
      </c>
      <c r="Q3974" t="s">
        <v>37</v>
      </c>
      <c r="R3974" s="1">
        <v>0.1</v>
      </c>
      <c r="S3974">
        <f t="shared" si="248"/>
        <v>0</v>
      </c>
      <c r="T3974">
        <f>IFERROR(VLOOKUP(A3974,Table1[[Customer ID]:[Discount Amount]], 6, FALSE),"Not Found")</f>
        <v>0</v>
      </c>
      <c r="U3974" t="str">
        <f t="shared" si="249"/>
        <v>Credit Card</v>
      </c>
      <c r="V3974" s="4" t="str">
        <f t="shared" si="250"/>
        <v>Normal</v>
      </c>
      <c r="W3974" s="4" t="str">
        <f t="shared" si="251"/>
        <v>Poor</v>
      </c>
      <c r="X3974" s="4">
        <f>AVERAGE(Table1[Purchase Amount])</f>
        <v>129.48419400000012</v>
      </c>
    </row>
    <row r="3975" spans="1:24" ht="15" customHeight="1" x14ac:dyDescent="0.25">
      <c r="A3975">
        <v>4073</v>
      </c>
      <c r="B3975">
        <v>47</v>
      </c>
      <c r="C3975" t="s">
        <v>27</v>
      </c>
      <c r="D3975" t="s">
        <v>116</v>
      </c>
      <c r="E3975" t="s">
        <v>18</v>
      </c>
      <c r="F3975" s="2">
        <v>0</v>
      </c>
      <c r="G3975" t="s">
        <v>82</v>
      </c>
      <c r="H3975" t="s">
        <v>45</v>
      </c>
      <c r="I3975" t="s">
        <v>40</v>
      </c>
      <c r="J3975" t="s">
        <v>22</v>
      </c>
      <c r="K3975">
        <v>4</v>
      </c>
      <c r="L3975" t="s">
        <v>34</v>
      </c>
      <c r="M3975" t="s">
        <v>61</v>
      </c>
      <c r="N3975" t="s">
        <v>23</v>
      </c>
      <c r="O3975">
        <v>0</v>
      </c>
      <c r="P3975" t="s">
        <v>25</v>
      </c>
      <c r="Q3975" t="s">
        <v>26</v>
      </c>
      <c r="R3975" s="1">
        <v>0.1</v>
      </c>
      <c r="S3975">
        <f t="shared" si="248"/>
        <v>0</v>
      </c>
      <c r="T3975">
        <f>IFERROR(VLOOKUP(A3975,Table1[[Customer ID]:[Discount Amount]], 6, FALSE),"Not Found")</f>
        <v>0</v>
      </c>
      <c r="U3975" t="str">
        <f t="shared" si="249"/>
        <v>Cash</v>
      </c>
      <c r="V3975" s="4" t="str">
        <f t="shared" si="250"/>
        <v>Normal</v>
      </c>
      <c r="W3975" s="4" t="str">
        <f t="shared" si="251"/>
        <v>Good</v>
      </c>
      <c r="X3975" s="4">
        <f>AVERAGE(Table1[Purchase Amount])</f>
        <v>129.48419400000012</v>
      </c>
    </row>
    <row r="3976" spans="1:24" ht="15" customHeight="1" x14ac:dyDescent="0.25">
      <c r="A3976">
        <v>4074</v>
      </c>
      <c r="B3976">
        <v>61</v>
      </c>
      <c r="C3976" t="s">
        <v>16</v>
      </c>
      <c r="D3976" t="s">
        <v>112</v>
      </c>
      <c r="E3976" t="s">
        <v>81</v>
      </c>
      <c r="F3976" s="2">
        <v>316.20999999999998</v>
      </c>
      <c r="G3976" t="s">
        <v>82</v>
      </c>
      <c r="H3976" t="s">
        <v>31</v>
      </c>
      <c r="I3976" t="s">
        <v>46</v>
      </c>
      <c r="J3976" t="s">
        <v>22</v>
      </c>
      <c r="K3976">
        <v>1</v>
      </c>
      <c r="L3976" t="s">
        <v>34</v>
      </c>
      <c r="M3976" t="s">
        <v>61</v>
      </c>
      <c r="N3976" t="s">
        <v>23</v>
      </c>
      <c r="O3976">
        <v>15</v>
      </c>
      <c r="P3976" t="s">
        <v>36</v>
      </c>
      <c r="Q3976" t="s">
        <v>42</v>
      </c>
      <c r="R3976" s="1">
        <v>0.1</v>
      </c>
      <c r="S3976">
        <f t="shared" si="248"/>
        <v>284.589</v>
      </c>
      <c r="T3976">
        <f>IFERROR(VLOOKUP(A3976,Table1[[Customer ID]:[Discount Amount]], 6, FALSE),"Not Found")</f>
        <v>316.20999999999998</v>
      </c>
      <c r="U3976" t="str">
        <f t="shared" si="249"/>
        <v>Debit Card</v>
      </c>
      <c r="V3976" s="4" t="str">
        <f t="shared" si="250"/>
        <v>Normal</v>
      </c>
      <c r="W3976" s="4" t="str">
        <f t="shared" si="251"/>
        <v>Poor</v>
      </c>
      <c r="X3976" s="4">
        <f>AVERAGE(Table1[Purchase Amount])</f>
        <v>129.48419400000012</v>
      </c>
    </row>
    <row r="3977" spans="1:24" ht="15" customHeight="1" x14ac:dyDescent="0.25">
      <c r="A3977">
        <v>4075</v>
      </c>
      <c r="B3977">
        <v>63</v>
      </c>
      <c r="C3977" t="s">
        <v>27</v>
      </c>
      <c r="D3977" t="s">
        <v>38</v>
      </c>
      <c r="E3977" t="s">
        <v>81</v>
      </c>
      <c r="F3977" s="2">
        <v>0</v>
      </c>
      <c r="G3977" t="s">
        <v>126</v>
      </c>
      <c r="H3977" t="s">
        <v>31</v>
      </c>
      <c r="I3977" t="s">
        <v>74</v>
      </c>
      <c r="J3977" t="s">
        <v>33</v>
      </c>
      <c r="K3977">
        <v>1</v>
      </c>
      <c r="L3977" t="s">
        <v>23</v>
      </c>
      <c r="M3977" t="s">
        <v>61</v>
      </c>
      <c r="N3977" t="s">
        <v>34</v>
      </c>
      <c r="O3977">
        <v>30</v>
      </c>
      <c r="P3977" t="s">
        <v>25</v>
      </c>
      <c r="Q3977" t="s">
        <v>37</v>
      </c>
      <c r="R3977" s="1">
        <v>0.1</v>
      </c>
      <c r="S3977">
        <f t="shared" si="248"/>
        <v>0</v>
      </c>
      <c r="T3977">
        <f>IFERROR(VLOOKUP(A3977,Table1[[Customer ID]:[Discount Amount]], 6, FALSE),"Not Found")</f>
        <v>0</v>
      </c>
      <c r="U3977" t="str">
        <f t="shared" si="249"/>
        <v>Cash</v>
      </c>
      <c r="V3977" s="4" t="str">
        <f t="shared" si="250"/>
        <v>Normal</v>
      </c>
      <c r="W3977" s="4" t="str">
        <f t="shared" si="251"/>
        <v>Poor</v>
      </c>
      <c r="X3977" s="4">
        <f>AVERAGE(Table1[Purchase Amount])</f>
        <v>129.48419400000012</v>
      </c>
    </row>
    <row r="3978" spans="1:24" ht="15" customHeight="1" x14ac:dyDescent="0.25">
      <c r="A3978">
        <v>4076</v>
      </c>
      <c r="B3978">
        <v>57</v>
      </c>
      <c r="C3978" t="s">
        <v>71</v>
      </c>
      <c r="D3978" t="s">
        <v>116</v>
      </c>
      <c r="E3978" t="s">
        <v>18</v>
      </c>
      <c r="F3978" s="2">
        <v>0</v>
      </c>
      <c r="G3978" t="s">
        <v>73</v>
      </c>
      <c r="H3978" t="s">
        <v>31</v>
      </c>
      <c r="I3978" t="s">
        <v>32</v>
      </c>
      <c r="J3978" t="s">
        <v>57</v>
      </c>
      <c r="K3978">
        <v>2</v>
      </c>
      <c r="L3978" t="s">
        <v>23</v>
      </c>
      <c r="M3978" t="s">
        <v>61</v>
      </c>
      <c r="N3978" t="s">
        <v>23</v>
      </c>
      <c r="O3978">
        <v>38</v>
      </c>
      <c r="P3978" t="s">
        <v>53</v>
      </c>
      <c r="Q3978" t="s">
        <v>26</v>
      </c>
      <c r="R3978" s="1">
        <v>0.1</v>
      </c>
      <c r="S3978">
        <f t="shared" si="248"/>
        <v>0</v>
      </c>
      <c r="T3978">
        <f>IFERROR(VLOOKUP(A3978,Table1[[Customer ID]:[Discount Amount]], 6, FALSE),"Not Found")</f>
        <v>0</v>
      </c>
      <c r="U3978" t="str">
        <f t="shared" si="249"/>
        <v>Credit Card</v>
      </c>
      <c r="V3978" s="4" t="str">
        <f t="shared" si="250"/>
        <v>Normal</v>
      </c>
      <c r="W3978" s="4" t="str">
        <f t="shared" si="251"/>
        <v>Poor</v>
      </c>
      <c r="X3978" s="4">
        <f>AVERAGE(Table1[Purchase Amount])</f>
        <v>129.48419400000012</v>
      </c>
    </row>
    <row r="3979" spans="1:24" ht="15" customHeight="1" x14ac:dyDescent="0.25">
      <c r="A3979">
        <v>4077</v>
      </c>
      <c r="B3979">
        <v>33</v>
      </c>
      <c r="C3979" t="s">
        <v>27</v>
      </c>
      <c r="D3979" t="s">
        <v>72</v>
      </c>
      <c r="E3979" t="s">
        <v>18</v>
      </c>
      <c r="F3979" s="2">
        <v>0</v>
      </c>
      <c r="G3979" t="s">
        <v>101</v>
      </c>
      <c r="H3979" t="s">
        <v>45</v>
      </c>
      <c r="I3979" t="s">
        <v>93</v>
      </c>
      <c r="J3979" t="s">
        <v>33</v>
      </c>
      <c r="K3979">
        <v>1</v>
      </c>
      <c r="L3979" t="s">
        <v>23</v>
      </c>
      <c r="M3979" t="s">
        <v>24</v>
      </c>
      <c r="N3979" t="s">
        <v>34</v>
      </c>
      <c r="O3979">
        <v>40</v>
      </c>
      <c r="P3979" t="s">
        <v>36</v>
      </c>
      <c r="Q3979" t="s">
        <v>26</v>
      </c>
      <c r="R3979" s="1">
        <v>0.1</v>
      </c>
      <c r="S3979">
        <f t="shared" si="248"/>
        <v>0</v>
      </c>
      <c r="T3979">
        <f>IFERROR(VLOOKUP(A3979,Table1[[Customer ID]:[Discount Amount]], 6, FALSE),"Not Found")</f>
        <v>0</v>
      </c>
      <c r="U3979" t="str">
        <f t="shared" si="249"/>
        <v>Debit Card</v>
      </c>
      <c r="V3979" s="4" t="str">
        <f t="shared" si="250"/>
        <v>Normal</v>
      </c>
      <c r="W3979" s="4" t="str">
        <f t="shared" si="251"/>
        <v>Poor</v>
      </c>
      <c r="X3979" s="4">
        <f>AVERAGE(Table1[Purchase Amount])</f>
        <v>129.48419400000012</v>
      </c>
    </row>
    <row r="3980" spans="1:24" ht="15" customHeight="1" x14ac:dyDescent="0.25">
      <c r="A3980">
        <v>4078</v>
      </c>
      <c r="B3980">
        <v>46</v>
      </c>
      <c r="C3980" t="s">
        <v>71</v>
      </c>
      <c r="D3980" t="s">
        <v>80</v>
      </c>
      <c r="E3980" t="s">
        <v>18</v>
      </c>
      <c r="F3980" s="2">
        <v>581.66</v>
      </c>
      <c r="G3980" t="s">
        <v>82</v>
      </c>
      <c r="H3980" t="s">
        <v>55</v>
      </c>
      <c r="I3980" t="s">
        <v>40</v>
      </c>
      <c r="J3980" t="s">
        <v>57</v>
      </c>
      <c r="K3980">
        <v>1</v>
      </c>
      <c r="L3980" t="s">
        <v>23</v>
      </c>
      <c r="M3980" t="s">
        <v>24</v>
      </c>
      <c r="N3980" t="s">
        <v>34</v>
      </c>
      <c r="O3980">
        <v>0</v>
      </c>
      <c r="P3980" t="s">
        <v>58</v>
      </c>
      <c r="Q3980" t="s">
        <v>37</v>
      </c>
      <c r="R3980" s="1">
        <v>0.1</v>
      </c>
      <c r="S3980">
        <f t="shared" si="248"/>
        <v>523.49399999999991</v>
      </c>
      <c r="T3980">
        <f>IFERROR(VLOOKUP(A3980,Table1[[Customer ID]:[Discount Amount]], 6, FALSE),"Not Found")</f>
        <v>581.66</v>
      </c>
      <c r="U3980" t="str">
        <f t="shared" si="249"/>
        <v>PayPal</v>
      </c>
      <c r="V3980" s="4" t="str">
        <f t="shared" si="250"/>
        <v>Normal</v>
      </c>
      <c r="W3980" s="4" t="str">
        <f t="shared" si="251"/>
        <v>Poor</v>
      </c>
      <c r="X3980" s="4">
        <f>AVERAGE(Table1[Purchase Amount])</f>
        <v>129.48419400000012</v>
      </c>
    </row>
    <row r="3981" spans="1:24" ht="15" customHeight="1" x14ac:dyDescent="0.25">
      <c r="A3981">
        <v>4079</v>
      </c>
      <c r="B3981">
        <v>28</v>
      </c>
      <c r="C3981" t="s">
        <v>27</v>
      </c>
      <c r="D3981" t="s">
        <v>72</v>
      </c>
      <c r="E3981" t="s">
        <v>81</v>
      </c>
      <c r="F3981" s="2">
        <v>1438.53</v>
      </c>
      <c r="G3981" t="s">
        <v>139</v>
      </c>
      <c r="H3981" t="s">
        <v>31</v>
      </c>
      <c r="I3981" t="s">
        <v>32</v>
      </c>
      <c r="J3981" t="s">
        <v>33</v>
      </c>
      <c r="K3981">
        <v>1</v>
      </c>
      <c r="L3981" t="s">
        <v>34</v>
      </c>
      <c r="M3981" t="s">
        <v>24</v>
      </c>
      <c r="N3981" t="s">
        <v>34</v>
      </c>
      <c r="O3981">
        <v>15</v>
      </c>
      <c r="P3981" t="s">
        <v>25</v>
      </c>
      <c r="Q3981" t="s">
        <v>42</v>
      </c>
      <c r="R3981" s="1">
        <v>0.1</v>
      </c>
      <c r="S3981">
        <f t="shared" si="248"/>
        <v>1294.6769999999999</v>
      </c>
      <c r="T3981">
        <f>IFERROR(VLOOKUP(A3981,Table1[[Customer ID]:[Discount Amount]], 6, FALSE),"Not Found")</f>
        <v>1438.53</v>
      </c>
      <c r="U3981" t="str">
        <f t="shared" si="249"/>
        <v>Cash</v>
      </c>
      <c r="V3981" s="4" t="str">
        <f t="shared" si="250"/>
        <v>Normal</v>
      </c>
      <c r="W3981" s="4" t="str">
        <f t="shared" si="251"/>
        <v>Poor</v>
      </c>
      <c r="X3981" s="4">
        <f>AVERAGE(Table1[Purchase Amount])</f>
        <v>129.48419400000012</v>
      </c>
    </row>
    <row r="3982" spans="1:24" ht="15" customHeight="1" x14ac:dyDescent="0.25">
      <c r="A3982">
        <v>4080</v>
      </c>
      <c r="B3982">
        <v>28</v>
      </c>
      <c r="C3982" t="s">
        <v>16</v>
      </c>
      <c r="D3982" t="s">
        <v>112</v>
      </c>
      <c r="E3982" t="s">
        <v>81</v>
      </c>
      <c r="F3982" s="2">
        <v>551.22</v>
      </c>
      <c r="G3982" t="s">
        <v>82</v>
      </c>
      <c r="H3982" t="s">
        <v>31</v>
      </c>
      <c r="I3982" t="s">
        <v>74</v>
      </c>
      <c r="J3982" t="s">
        <v>22</v>
      </c>
      <c r="K3982">
        <v>1</v>
      </c>
      <c r="L3982" t="s">
        <v>34</v>
      </c>
      <c r="M3982" t="s">
        <v>24</v>
      </c>
      <c r="N3982" t="s">
        <v>34</v>
      </c>
      <c r="O3982">
        <v>32</v>
      </c>
      <c r="P3982" t="s">
        <v>25</v>
      </c>
      <c r="Q3982" t="s">
        <v>42</v>
      </c>
      <c r="R3982" s="1">
        <v>0.1</v>
      </c>
      <c r="S3982">
        <f t="shared" si="248"/>
        <v>496.09800000000001</v>
      </c>
      <c r="T3982">
        <f>IFERROR(VLOOKUP(A3982,Table1[[Customer ID]:[Discount Amount]], 6, FALSE),"Not Found")</f>
        <v>551.22</v>
      </c>
      <c r="U3982" t="str">
        <f t="shared" si="249"/>
        <v>Cash</v>
      </c>
      <c r="V3982" s="4" t="str">
        <f t="shared" si="250"/>
        <v>Normal</v>
      </c>
      <c r="W3982" s="4" t="str">
        <f t="shared" si="251"/>
        <v>Poor</v>
      </c>
      <c r="X3982" s="4">
        <f>AVERAGE(Table1[Purchase Amount])</f>
        <v>129.48419400000012</v>
      </c>
    </row>
    <row r="3983" spans="1:24" ht="15" customHeight="1" x14ac:dyDescent="0.25">
      <c r="A3983">
        <v>4081</v>
      </c>
      <c r="B3983">
        <v>62</v>
      </c>
      <c r="C3983" t="s">
        <v>16</v>
      </c>
      <c r="D3983" t="s">
        <v>80</v>
      </c>
      <c r="E3983" t="s">
        <v>81</v>
      </c>
      <c r="F3983" s="2">
        <v>0</v>
      </c>
      <c r="G3983" t="s">
        <v>101</v>
      </c>
      <c r="H3983" t="s">
        <v>31</v>
      </c>
      <c r="I3983" t="s">
        <v>32</v>
      </c>
      <c r="J3983" t="s">
        <v>33</v>
      </c>
      <c r="K3983">
        <v>5</v>
      </c>
      <c r="L3983" t="s">
        <v>23</v>
      </c>
      <c r="M3983" t="s">
        <v>61</v>
      </c>
      <c r="N3983" t="s">
        <v>23</v>
      </c>
      <c r="O3983">
        <v>0</v>
      </c>
      <c r="P3983" t="s">
        <v>36</v>
      </c>
      <c r="Q3983" t="s">
        <v>37</v>
      </c>
      <c r="R3983" s="1">
        <v>0.1</v>
      </c>
      <c r="S3983">
        <f t="shared" si="248"/>
        <v>0</v>
      </c>
      <c r="T3983">
        <f>IFERROR(VLOOKUP(A3983,Table1[[Customer ID]:[Discount Amount]], 6, FALSE),"Not Found")</f>
        <v>0</v>
      </c>
      <c r="U3983" t="str">
        <f t="shared" si="249"/>
        <v>Debit Card</v>
      </c>
      <c r="V3983" s="4" t="str">
        <f t="shared" si="250"/>
        <v>Normal</v>
      </c>
      <c r="W3983" s="4" t="str">
        <f t="shared" si="251"/>
        <v>Good</v>
      </c>
      <c r="X3983" s="4">
        <f>AVERAGE(Table1[Purchase Amount])</f>
        <v>129.48419400000012</v>
      </c>
    </row>
    <row r="3984" spans="1:24" ht="15" customHeight="1" x14ac:dyDescent="0.25">
      <c r="A3984">
        <v>4082</v>
      </c>
      <c r="B3984">
        <v>18</v>
      </c>
      <c r="C3984" t="s">
        <v>27</v>
      </c>
      <c r="D3984" t="s">
        <v>38</v>
      </c>
      <c r="E3984" t="s">
        <v>29</v>
      </c>
      <c r="F3984" s="2">
        <v>61.43</v>
      </c>
      <c r="G3984" t="s">
        <v>82</v>
      </c>
      <c r="H3984" t="s">
        <v>31</v>
      </c>
      <c r="I3984" t="s">
        <v>40</v>
      </c>
      <c r="J3984" t="s">
        <v>22</v>
      </c>
      <c r="K3984">
        <v>1</v>
      </c>
      <c r="L3984" t="s">
        <v>34</v>
      </c>
      <c r="M3984" t="s">
        <v>61</v>
      </c>
      <c r="N3984" t="s">
        <v>34</v>
      </c>
      <c r="O3984">
        <v>10</v>
      </c>
      <c r="P3984" t="s">
        <v>53</v>
      </c>
      <c r="Q3984" t="s">
        <v>26</v>
      </c>
      <c r="R3984" s="1">
        <v>0.1</v>
      </c>
      <c r="S3984">
        <f t="shared" si="248"/>
        <v>55.286999999999999</v>
      </c>
      <c r="T3984">
        <f>IFERROR(VLOOKUP(A3984,Table1[[Customer ID]:[Discount Amount]], 6, FALSE),"Not Found")</f>
        <v>61.43</v>
      </c>
      <c r="U3984" t="str">
        <f t="shared" si="249"/>
        <v>Credit Card</v>
      </c>
      <c r="V3984" s="4" t="str">
        <f t="shared" si="250"/>
        <v>Normal</v>
      </c>
      <c r="W3984" s="4" t="str">
        <f t="shared" si="251"/>
        <v>Poor</v>
      </c>
      <c r="X3984" s="4">
        <f>AVERAGE(Table1[Purchase Amount])</f>
        <v>129.48419400000012</v>
      </c>
    </row>
    <row r="3985" spans="1:24" ht="15" customHeight="1" x14ac:dyDescent="0.25">
      <c r="A3985">
        <v>4083</v>
      </c>
      <c r="B3985">
        <v>31</v>
      </c>
      <c r="C3985" t="s">
        <v>71</v>
      </c>
      <c r="D3985" t="s">
        <v>80</v>
      </c>
      <c r="E3985" t="s">
        <v>29</v>
      </c>
      <c r="F3985" s="2">
        <v>0</v>
      </c>
      <c r="G3985" t="s">
        <v>101</v>
      </c>
      <c r="H3985" t="s">
        <v>55</v>
      </c>
      <c r="I3985" t="s">
        <v>74</v>
      </c>
      <c r="J3985" t="s">
        <v>22</v>
      </c>
      <c r="K3985">
        <v>1</v>
      </c>
      <c r="L3985" t="s">
        <v>34</v>
      </c>
      <c r="M3985" t="s">
        <v>61</v>
      </c>
      <c r="N3985" t="s">
        <v>23</v>
      </c>
      <c r="O3985">
        <v>23</v>
      </c>
      <c r="P3985" t="s">
        <v>58</v>
      </c>
      <c r="Q3985" t="s">
        <v>37</v>
      </c>
      <c r="R3985" s="1">
        <v>0.1</v>
      </c>
      <c r="S3985">
        <f t="shared" si="248"/>
        <v>0</v>
      </c>
      <c r="T3985">
        <f>IFERROR(VLOOKUP(A3985,Table1[[Customer ID]:[Discount Amount]], 6, FALSE),"Not Found")</f>
        <v>0</v>
      </c>
      <c r="U3985" t="str">
        <f t="shared" si="249"/>
        <v>PayPal</v>
      </c>
      <c r="V3985" s="4" t="str">
        <f t="shared" si="250"/>
        <v>Normal</v>
      </c>
      <c r="W3985" s="4" t="str">
        <f t="shared" si="251"/>
        <v>Poor</v>
      </c>
      <c r="X3985" s="4">
        <f>AVERAGE(Table1[Purchase Amount])</f>
        <v>129.48419400000012</v>
      </c>
    </row>
    <row r="3986" spans="1:24" ht="15" customHeight="1" x14ac:dyDescent="0.25">
      <c r="A3986">
        <v>4084</v>
      </c>
      <c r="B3986">
        <v>60</v>
      </c>
      <c r="C3986" t="s">
        <v>71</v>
      </c>
      <c r="D3986" t="s">
        <v>117</v>
      </c>
      <c r="E3986" t="s">
        <v>18</v>
      </c>
      <c r="F3986" s="2">
        <v>1100.8</v>
      </c>
      <c r="G3986" t="s">
        <v>139</v>
      </c>
      <c r="H3986" t="s">
        <v>20</v>
      </c>
      <c r="I3986" t="s">
        <v>74</v>
      </c>
      <c r="J3986" t="s">
        <v>75</v>
      </c>
      <c r="K3986">
        <v>3</v>
      </c>
      <c r="L3986" t="s">
        <v>34</v>
      </c>
      <c r="M3986" t="s">
        <v>24</v>
      </c>
      <c r="N3986" t="s">
        <v>23</v>
      </c>
      <c r="O3986">
        <v>0</v>
      </c>
      <c r="P3986" t="s">
        <v>25</v>
      </c>
      <c r="Q3986" t="s">
        <v>37</v>
      </c>
      <c r="R3986" s="1">
        <v>0.1</v>
      </c>
      <c r="S3986">
        <f t="shared" si="248"/>
        <v>990.71999999999991</v>
      </c>
      <c r="T3986">
        <f>IFERROR(VLOOKUP(A3986,Table1[[Customer ID]:[Discount Amount]], 6, FALSE),"Not Found")</f>
        <v>1100.8</v>
      </c>
      <c r="U3986" t="str">
        <f t="shared" si="249"/>
        <v>Cash</v>
      </c>
      <c r="V3986" s="4" t="str">
        <f t="shared" si="250"/>
        <v>Normal</v>
      </c>
      <c r="W3986" s="4" t="str">
        <f t="shared" si="251"/>
        <v>Good</v>
      </c>
      <c r="X3986" s="4">
        <f>AVERAGE(Table1[Purchase Amount])</f>
        <v>129.48419400000012</v>
      </c>
    </row>
    <row r="3987" spans="1:24" ht="15" customHeight="1" x14ac:dyDescent="0.25">
      <c r="A3987">
        <v>4085</v>
      </c>
      <c r="B3987">
        <v>67</v>
      </c>
      <c r="C3987" t="s">
        <v>16</v>
      </c>
      <c r="D3987" t="s">
        <v>72</v>
      </c>
      <c r="E3987" t="s">
        <v>81</v>
      </c>
      <c r="F3987" s="2">
        <v>70.87</v>
      </c>
      <c r="G3987" t="s">
        <v>139</v>
      </c>
      <c r="H3987" t="s">
        <v>31</v>
      </c>
      <c r="I3987" t="s">
        <v>93</v>
      </c>
      <c r="J3987" t="s">
        <v>75</v>
      </c>
      <c r="K3987">
        <v>2</v>
      </c>
      <c r="L3987" t="s">
        <v>23</v>
      </c>
      <c r="M3987" t="s">
        <v>24</v>
      </c>
      <c r="N3987" t="s">
        <v>23</v>
      </c>
      <c r="O3987">
        <v>0</v>
      </c>
      <c r="P3987" t="s">
        <v>53</v>
      </c>
      <c r="Q3987" t="s">
        <v>26</v>
      </c>
      <c r="R3987" s="1">
        <v>0.1</v>
      </c>
      <c r="S3987">
        <f t="shared" si="248"/>
        <v>63.783000000000001</v>
      </c>
      <c r="T3987">
        <f>IFERROR(VLOOKUP(A3987,Table1[[Customer ID]:[Discount Amount]], 6, FALSE),"Not Found")</f>
        <v>70.87</v>
      </c>
      <c r="U3987" t="str">
        <f t="shared" si="249"/>
        <v>Credit Card</v>
      </c>
      <c r="V3987" s="4" t="str">
        <f t="shared" si="250"/>
        <v>Normal</v>
      </c>
      <c r="W3987" s="4" t="str">
        <f t="shared" si="251"/>
        <v>Poor</v>
      </c>
      <c r="X3987" s="4">
        <f>AVERAGE(Table1[Purchase Amount])</f>
        <v>129.48419400000012</v>
      </c>
    </row>
    <row r="3988" spans="1:24" ht="15" customHeight="1" x14ac:dyDescent="0.25">
      <c r="A3988">
        <v>4086</v>
      </c>
      <c r="B3988">
        <v>28</v>
      </c>
      <c r="C3988" t="s">
        <v>27</v>
      </c>
      <c r="D3988" t="s">
        <v>72</v>
      </c>
      <c r="E3988" t="s">
        <v>81</v>
      </c>
      <c r="F3988" s="2">
        <v>0</v>
      </c>
      <c r="G3988" t="s">
        <v>126</v>
      </c>
      <c r="H3988" t="s">
        <v>31</v>
      </c>
      <c r="I3988" t="s">
        <v>46</v>
      </c>
      <c r="J3988" t="s">
        <v>22</v>
      </c>
      <c r="K3988">
        <v>4</v>
      </c>
      <c r="L3988" t="s">
        <v>34</v>
      </c>
      <c r="M3988" t="s">
        <v>61</v>
      </c>
      <c r="N3988" t="s">
        <v>34</v>
      </c>
      <c r="O3988">
        <v>0</v>
      </c>
      <c r="P3988" t="s">
        <v>58</v>
      </c>
      <c r="Q3988" t="s">
        <v>37</v>
      </c>
      <c r="R3988" s="1">
        <v>0.1</v>
      </c>
      <c r="S3988">
        <f t="shared" si="248"/>
        <v>0</v>
      </c>
      <c r="T3988">
        <f>IFERROR(VLOOKUP(A3988,Table1[[Customer ID]:[Discount Amount]], 6, FALSE),"Not Found")</f>
        <v>0</v>
      </c>
      <c r="U3988" t="str">
        <f t="shared" si="249"/>
        <v>PayPal</v>
      </c>
      <c r="V3988" s="4" t="str">
        <f t="shared" si="250"/>
        <v>Normal</v>
      </c>
      <c r="W3988" s="4" t="str">
        <f t="shared" si="251"/>
        <v>Good</v>
      </c>
      <c r="X3988" s="4">
        <f>AVERAGE(Table1[Purchase Amount])</f>
        <v>129.48419400000012</v>
      </c>
    </row>
    <row r="3989" spans="1:24" ht="15" customHeight="1" x14ac:dyDescent="0.25">
      <c r="A3989">
        <v>4087</v>
      </c>
      <c r="B3989">
        <v>22</v>
      </c>
      <c r="C3989" t="s">
        <v>16</v>
      </c>
      <c r="D3989" t="s">
        <v>112</v>
      </c>
      <c r="E3989" t="s">
        <v>29</v>
      </c>
      <c r="F3989" s="2">
        <v>0</v>
      </c>
      <c r="G3989" t="s">
        <v>101</v>
      </c>
      <c r="H3989" t="s">
        <v>31</v>
      </c>
      <c r="I3989" t="s">
        <v>93</v>
      </c>
      <c r="J3989" t="s">
        <v>57</v>
      </c>
      <c r="K3989">
        <v>2</v>
      </c>
      <c r="L3989" t="s">
        <v>23</v>
      </c>
      <c r="M3989" t="s">
        <v>24</v>
      </c>
      <c r="N3989" t="s">
        <v>23</v>
      </c>
      <c r="O3989">
        <v>12</v>
      </c>
      <c r="P3989" t="s">
        <v>53</v>
      </c>
      <c r="Q3989" t="s">
        <v>26</v>
      </c>
      <c r="R3989" s="1">
        <v>0.1</v>
      </c>
      <c r="S3989">
        <f t="shared" si="248"/>
        <v>0</v>
      </c>
      <c r="T3989">
        <f>IFERROR(VLOOKUP(A3989,Table1[[Customer ID]:[Discount Amount]], 6, FALSE),"Not Found")</f>
        <v>0</v>
      </c>
      <c r="U3989" t="str">
        <f t="shared" si="249"/>
        <v>Credit Card</v>
      </c>
      <c r="V3989" s="4" t="str">
        <f t="shared" si="250"/>
        <v>Normal</v>
      </c>
      <c r="W3989" s="4" t="str">
        <f t="shared" si="251"/>
        <v>Poor</v>
      </c>
      <c r="X3989" s="4">
        <f>AVERAGE(Table1[Purchase Amount])</f>
        <v>129.48419400000012</v>
      </c>
    </row>
    <row r="3990" spans="1:24" ht="15" customHeight="1" x14ac:dyDescent="0.25">
      <c r="A3990">
        <v>4088</v>
      </c>
      <c r="B3990">
        <v>49</v>
      </c>
      <c r="C3990" t="s">
        <v>16</v>
      </c>
      <c r="D3990" t="s">
        <v>80</v>
      </c>
      <c r="E3990" t="s">
        <v>81</v>
      </c>
      <c r="F3990" s="2">
        <v>0</v>
      </c>
      <c r="G3990" t="s">
        <v>139</v>
      </c>
      <c r="H3990" t="s">
        <v>31</v>
      </c>
      <c r="I3990" t="s">
        <v>74</v>
      </c>
      <c r="J3990" t="s">
        <v>33</v>
      </c>
      <c r="K3990">
        <v>1</v>
      </c>
      <c r="L3990" t="s">
        <v>23</v>
      </c>
      <c r="M3990" t="s">
        <v>61</v>
      </c>
      <c r="N3990" t="s">
        <v>23</v>
      </c>
      <c r="O3990">
        <v>37</v>
      </c>
      <c r="P3990" t="s">
        <v>36</v>
      </c>
      <c r="Q3990" t="s">
        <v>26</v>
      </c>
      <c r="R3990" s="1">
        <v>0.1</v>
      </c>
      <c r="S3990">
        <f t="shared" si="248"/>
        <v>0</v>
      </c>
      <c r="T3990">
        <f>IFERROR(VLOOKUP(A3990,Table1[[Customer ID]:[Discount Amount]], 6, FALSE),"Not Found")</f>
        <v>0</v>
      </c>
      <c r="U3990" t="str">
        <f t="shared" si="249"/>
        <v>Debit Card</v>
      </c>
      <c r="V3990" s="4" t="str">
        <f t="shared" si="250"/>
        <v>Normal</v>
      </c>
      <c r="W3990" s="4" t="str">
        <f t="shared" si="251"/>
        <v>Poor</v>
      </c>
      <c r="X3990" s="4">
        <f>AVERAGE(Table1[Purchase Amount])</f>
        <v>129.48419400000012</v>
      </c>
    </row>
    <row r="3991" spans="1:24" ht="15" customHeight="1" x14ac:dyDescent="0.25">
      <c r="A3991">
        <v>4089</v>
      </c>
      <c r="B3991">
        <v>32</v>
      </c>
      <c r="C3991" t="s">
        <v>27</v>
      </c>
      <c r="D3991" t="s">
        <v>38</v>
      </c>
      <c r="E3991" t="s">
        <v>29</v>
      </c>
      <c r="F3991" s="2">
        <v>191.75</v>
      </c>
      <c r="G3991" t="s">
        <v>139</v>
      </c>
      <c r="H3991" t="s">
        <v>55</v>
      </c>
      <c r="I3991" t="s">
        <v>74</v>
      </c>
      <c r="J3991" t="s">
        <v>33</v>
      </c>
      <c r="K3991">
        <v>1</v>
      </c>
      <c r="L3991" t="s">
        <v>23</v>
      </c>
      <c r="M3991" t="s">
        <v>24</v>
      </c>
      <c r="N3991" t="s">
        <v>34</v>
      </c>
      <c r="O3991">
        <v>25</v>
      </c>
      <c r="P3991" t="s">
        <v>36</v>
      </c>
      <c r="Q3991" t="s">
        <v>26</v>
      </c>
      <c r="R3991" s="1">
        <v>0.1</v>
      </c>
      <c r="S3991">
        <f t="shared" si="248"/>
        <v>172.57499999999999</v>
      </c>
      <c r="T3991">
        <f>IFERROR(VLOOKUP(A3991,Table1[[Customer ID]:[Discount Amount]], 6, FALSE),"Not Found")</f>
        <v>191.75</v>
      </c>
      <c r="U3991" t="str">
        <f t="shared" si="249"/>
        <v>Debit Card</v>
      </c>
      <c r="V3991" s="4" t="str">
        <f t="shared" si="250"/>
        <v>Normal</v>
      </c>
      <c r="W3991" s="4" t="str">
        <f t="shared" si="251"/>
        <v>Poor</v>
      </c>
      <c r="X3991" s="4">
        <f>AVERAGE(Table1[Purchase Amount])</f>
        <v>129.48419400000012</v>
      </c>
    </row>
    <row r="3992" spans="1:24" ht="15" customHeight="1" x14ac:dyDescent="0.25">
      <c r="A3992">
        <v>4090</v>
      </c>
      <c r="B3992">
        <v>54</v>
      </c>
      <c r="C3992" t="s">
        <v>16</v>
      </c>
      <c r="D3992" t="s">
        <v>72</v>
      </c>
      <c r="E3992" t="s">
        <v>18</v>
      </c>
      <c r="F3992" s="2">
        <v>0</v>
      </c>
      <c r="G3992" t="s">
        <v>73</v>
      </c>
      <c r="H3992" t="s">
        <v>20</v>
      </c>
      <c r="I3992" t="s">
        <v>40</v>
      </c>
      <c r="J3992" t="s">
        <v>57</v>
      </c>
      <c r="K3992">
        <v>1</v>
      </c>
      <c r="L3992" t="s">
        <v>34</v>
      </c>
      <c r="M3992" t="s">
        <v>24</v>
      </c>
      <c r="N3992" t="s">
        <v>34</v>
      </c>
      <c r="O3992">
        <v>0</v>
      </c>
      <c r="P3992" t="s">
        <v>53</v>
      </c>
      <c r="Q3992" t="s">
        <v>42</v>
      </c>
      <c r="R3992" s="1">
        <v>0.1</v>
      </c>
      <c r="S3992">
        <f t="shared" si="248"/>
        <v>0</v>
      </c>
      <c r="T3992">
        <f>IFERROR(VLOOKUP(A3992,Table1[[Customer ID]:[Discount Amount]], 6, FALSE),"Not Found")</f>
        <v>0</v>
      </c>
      <c r="U3992" t="str">
        <f t="shared" si="249"/>
        <v>Credit Card</v>
      </c>
      <c r="V3992" s="4" t="str">
        <f t="shared" si="250"/>
        <v>Normal</v>
      </c>
      <c r="W3992" s="4" t="str">
        <f t="shared" si="251"/>
        <v>Poor</v>
      </c>
      <c r="X3992" s="4">
        <f>AVERAGE(Table1[Purchase Amount])</f>
        <v>129.48419400000012</v>
      </c>
    </row>
    <row r="3993" spans="1:24" ht="15" customHeight="1" x14ac:dyDescent="0.25">
      <c r="A3993">
        <v>4091</v>
      </c>
      <c r="B3993">
        <v>44</v>
      </c>
      <c r="C3993" t="s">
        <v>71</v>
      </c>
      <c r="D3993" t="s">
        <v>112</v>
      </c>
      <c r="E3993" t="s">
        <v>18</v>
      </c>
      <c r="F3993" s="2">
        <v>517.70000000000005</v>
      </c>
      <c r="G3993" t="s">
        <v>126</v>
      </c>
      <c r="H3993" t="s">
        <v>55</v>
      </c>
      <c r="I3993" t="s">
        <v>46</v>
      </c>
      <c r="J3993" t="s">
        <v>33</v>
      </c>
      <c r="K3993">
        <v>1</v>
      </c>
      <c r="L3993" t="s">
        <v>34</v>
      </c>
      <c r="M3993" t="s">
        <v>24</v>
      </c>
      <c r="N3993" t="s">
        <v>23</v>
      </c>
      <c r="O3993">
        <v>0</v>
      </c>
      <c r="P3993" t="s">
        <v>53</v>
      </c>
      <c r="Q3993" t="s">
        <v>37</v>
      </c>
      <c r="R3993" s="1">
        <v>0.1</v>
      </c>
      <c r="S3993">
        <f t="shared" si="248"/>
        <v>465.93000000000006</v>
      </c>
      <c r="T3993">
        <f>IFERROR(VLOOKUP(A3993,Table1[[Customer ID]:[Discount Amount]], 6, FALSE),"Not Found")</f>
        <v>517.70000000000005</v>
      </c>
      <c r="U3993" t="str">
        <f t="shared" si="249"/>
        <v>Credit Card</v>
      </c>
      <c r="V3993" s="4" t="str">
        <f t="shared" si="250"/>
        <v>Normal</v>
      </c>
      <c r="W3993" s="4" t="str">
        <f t="shared" si="251"/>
        <v>Poor</v>
      </c>
      <c r="X3993" s="4">
        <f>AVERAGE(Table1[Purchase Amount])</f>
        <v>129.48419400000012</v>
      </c>
    </row>
    <row r="3994" spans="1:24" ht="15" customHeight="1" x14ac:dyDescent="0.25">
      <c r="A3994">
        <v>4092</v>
      </c>
      <c r="B3994">
        <v>55</v>
      </c>
      <c r="C3994" t="s">
        <v>71</v>
      </c>
      <c r="D3994" t="s">
        <v>112</v>
      </c>
      <c r="E3994" t="s">
        <v>29</v>
      </c>
      <c r="F3994" s="2">
        <v>0</v>
      </c>
      <c r="G3994" t="s">
        <v>73</v>
      </c>
      <c r="H3994" t="s">
        <v>55</v>
      </c>
      <c r="I3994" t="s">
        <v>46</v>
      </c>
      <c r="J3994" t="s">
        <v>75</v>
      </c>
      <c r="K3994">
        <v>4</v>
      </c>
      <c r="L3994" t="s">
        <v>23</v>
      </c>
      <c r="M3994" t="s">
        <v>61</v>
      </c>
      <c r="N3994" t="s">
        <v>34</v>
      </c>
      <c r="O3994">
        <v>33</v>
      </c>
      <c r="P3994" t="s">
        <v>36</v>
      </c>
      <c r="Q3994" t="s">
        <v>42</v>
      </c>
      <c r="R3994" s="1">
        <v>0.1</v>
      </c>
      <c r="S3994">
        <f t="shared" si="248"/>
        <v>0</v>
      </c>
      <c r="T3994">
        <f>IFERROR(VLOOKUP(A3994,Table1[[Customer ID]:[Discount Amount]], 6, FALSE),"Not Found")</f>
        <v>0</v>
      </c>
      <c r="U3994" t="str">
        <f t="shared" si="249"/>
        <v>Debit Card</v>
      </c>
      <c r="V3994" s="4" t="str">
        <f t="shared" si="250"/>
        <v>Normal</v>
      </c>
      <c r="W3994" s="4" t="str">
        <f t="shared" si="251"/>
        <v>Good</v>
      </c>
      <c r="X3994" s="4">
        <f>AVERAGE(Table1[Purchase Amount])</f>
        <v>129.48419400000012</v>
      </c>
    </row>
    <row r="3995" spans="1:24" ht="15" customHeight="1" x14ac:dyDescent="0.25">
      <c r="A3995">
        <v>4093</v>
      </c>
      <c r="B3995">
        <v>64</v>
      </c>
      <c r="C3995" t="s">
        <v>16</v>
      </c>
      <c r="D3995" t="s">
        <v>80</v>
      </c>
      <c r="E3995" t="s">
        <v>18</v>
      </c>
      <c r="F3995" s="2">
        <v>0</v>
      </c>
      <c r="G3995" t="s">
        <v>82</v>
      </c>
      <c r="H3995" t="s">
        <v>20</v>
      </c>
      <c r="I3995" t="s">
        <v>46</v>
      </c>
      <c r="J3995" t="s">
        <v>33</v>
      </c>
      <c r="K3995">
        <v>2</v>
      </c>
      <c r="L3995" t="s">
        <v>34</v>
      </c>
      <c r="M3995" t="s">
        <v>24</v>
      </c>
      <c r="N3995" t="s">
        <v>23</v>
      </c>
      <c r="O3995">
        <v>0</v>
      </c>
      <c r="P3995" t="s">
        <v>58</v>
      </c>
      <c r="Q3995" t="s">
        <v>37</v>
      </c>
      <c r="R3995" s="1">
        <v>0.1</v>
      </c>
      <c r="S3995">
        <f t="shared" si="248"/>
        <v>0</v>
      </c>
      <c r="T3995">
        <f>IFERROR(VLOOKUP(A3995,Table1[[Customer ID]:[Discount Amount]], 6, FALSE),"Not Found")</f>
        <v>0</v>
      </c>
      <c r="U3995" t="str">
        <f t="shared" si="249"/>
        <v>PayPal</v>
      </c>
      <c r="V3995" s="4" t="str">
        <f t="shared" si="250"/>
        <v>Normal</v>
      </c>
      <c r="W3995" s="4" t="str">
        <f t="shared" si="251"/>
        <v>Poor</v>
      </c>
      <c r="X3995" s="4">
        <f>AVERAGE(Table1[Purchase Amount])</f>
        <v>129.48419400000012</v>
      </c>
    </row>
    <row r="3996" spans="1:24" ht="15" customHeight="1" x14ac:dyDescent="0.25">
      <c r="A3996">
        <v>4094</v>
      </c>
      <c r="B3996">
        <v>36</v>
      </c>
      <c r="C3996" t="s">
        <v>16</v>
      </c>
      <c r="D3996" t="s">
        <v>116</v>
      </c>
      <c r="E3996" t="s">
        <v>81</v>
      </c>
      <c r="F3996" s="2">
        <v>630.4</v>
      </c>
      <c r="G3996" t="s">
        <v>126</v>
      </c>
      <c r="H3996" t="s">
        <v>31</v>
      </c>
      <c r="I3996" t="s">
        <v>32</v>
      </c>
      <c r="J3996" t="s">
        <v>33</v>
      </c>
      <c r="K3996">
        <v>5</v>
      </c>
      <c r="L3996" t="s">
        <v>23</v>
      </c>
      <c r="M3996" t="s">
        <v>61</v>
      </c>
      <c r="N3996" t="s">
        <v>23</v>
      </c>
      <c r="O3996">
        <v>34</v>
      </c>
      <c r="P3996" t="s">
        <v>58</v>
      </c>
      <c r="Q3996" t="s">
        <v>26</v>
      </c>
      <c r="R3996" s="1">
        <v>0.1</v>
      </c>
      <c r="S3996">
        <f t="shared" si="248"/>
        <v>567.36</v>
      </c>
      <c r="T3996">
        <f>IFERROR(VLOOKUP(A3996,Table1[[Customer ID]:[Discount Amount]], 6, FALSE),"Not Found")</f>
        <v>630.4</v>
      </c>
      <c r="U3996" t="str">
        <f t="shared" si="249"/>
        <v>PayPal</v>
      </c>
      <c r="V3996" s="4" t="str">
        <f t="shared" si="250"/>
        <v>Normal</v>
      </c>
      <c r="W3996" s="4" t="str">
        <f t="shared" si="251"/>
        <v>Good</v>
      </c>
      <c r="X3996" s="4">
        <f>AVERAGE(Table1[Purchase Amount])</f>
        <v>129.48419400000012</v>
      </c>
    </row>
    <row r="3997" spans="1:24" ht="15" customHeight="1" x14ac:dyDescent="0.25">
      <c r="A3997">
        <v>4095</v>
      </c>
      <c r="B3997">
        <v>65</v>
      </c>
      <c r="C3997" t="s">
        <v>27</v>
      </c>
      <c r="D3997" t="s">
        <v>80</v>
      </c>
      <c r="E3997" t="s">
        <v>29</v>
      </c>
      <c r="F3997" s="2">
        <v>0</v>
      </c>
      <c r="G3997" t="s">
        <v>101</v>
      </c>
      <c r="H3997" t="s">
        <v>31</v>
      </c>
      <c r="I3997" t="s">
        <v>40</v>
      </c>
      <c r="J3997" t="s">
        <v>22</v>
      </c>
      <c r="K3997">
        <v>1</v>
      </c>
      <c r="L3997" t="s">
        <v>23</v>
      </c>
      <c r="M3997" t="s">
        <v>61</v>
      </c>
      <c r="N3997" t="s">
        <v>34</v>
      </c>
      <c r="O3997">
        <v>0</v>
      </c>
      <c r="P3997" t="s">
        <v>58</v>
      </c>
      <c r="Q3997" t="s">
        <v>26</v>
      </c>
      <c r="R3997" s="1">
        <v>0.1</v>
      </c>
      <c r="S3997">
        <f t="shared" si="248"/>
        <v>0</v>
      </c>
      <c r="T3997">
        <f>IFERROR(VLOOKUP(A3997,Table1[[Customer ID]:[Discount Amount]], 6, FALSE),"Not Found")</f>
        <v>0</v>
      </c>
      <c r="U3997" t="str">
        <f t="shared" si="249"/>
        <v>PayPal</v>
      </c>
      <c r="V3997" s="4" t="str">
        <f t="shared" si="250"/>
        <v>Normal</v>
      </c>
      <c r="W3997" s="4" t="str">
        <f t="shared" si="251"/>
        <v>Poor</v>
      </c>
      <c r="X3997" s="4">
        <f>AVERAGE(Table1[Purchase Amount])</f>
        <v>129.48419400000012</v>
      </c>
    </row>
    <row r="3998" spans="1:24" ht="15" customHeight="1" x14ac:dyDescent="0.25">
      <c r="A3998">
        <v>4096</v>
      </c>
      <c r="B3998">
        <v>66</v>
      </c>
      <c r="C3998" t="s">
        <v>27</v>
      </c>
      <c r="D3998" t="s">
        <v>72</v>
      </c>
      <c r="E3998" t="s">
        <v>81</v>
      </c>
      <c r="F3998" s="2">
        <v>756.85</v>
      </c>
      <c r="G3998" t="s">
        <v>139</v>
      </c>
      <c r="H3998" t="s">
        <v>31</v>
      </c>
      <c r="I3998" t="s">
        <v>40</v>
      </c>
      <c r="J3998" t="s">
        <v>75</v>
      </c>
      <c r="K3998">
        <v>1</v>
      </c>
      <c r="L3998" t="s">
        <v>34</v>
      </c>
      <c r="M3998" t="s">
        <v>24</v>
      </c>
      <c r="N3998" t="s">
        <v>34</v>
      </c>
      <c r="O3998">
        <v>40</v>
      </c>
      <c r="P3998" t="s">
        <v>25</v>
      </c>
      <c r="Q3998" t="s">
        <v>26</v>
      </c>
      <c r="R3998" s="1">
        <v>0.1</v>
      </c>
      <c r="S3998">
        <f t="shared" si="248"/>
        <v>681.16499999999996</v>
      </c>
      <c r="T3998">
        <f>IFERROR(VLOOKUP(A3998,Table1[[Customer ID]:[Discount Amount]], 6, FALSE),"Not Found")</f>
        <v>756.85</v>
      </c>
      <c r="U3998" t="str">
        <f t="shared" si="249"/>
        <v>Cash</v>
      </c>
      <c r="V3998" s="4" t="str">
        <f t="shared" si="250"/>
        <v>Normal</v>
      </c>
      <c r="W3998" s="4" t="str">
        <f t="shared" si="251"/>
        <v>Poor</v>
      </c>
      <c r="X3998" s="4">
        <f>AVERAGE(Table1[Purchase Amount])</f>
        <v>129.48419400000012</v>
      </c>
    </row>
    <row r="3999" spans="1:24" ht="15" customHeight="1" x14ac:dyDescent="0.25">
      <c r="A3999">
        <v>4097</v>
      </c>
      <c r="B3999">
        <v>29</v>
      </c>
      <c r="C3999" t="s">
        <v>16</v>
      </c>
      <c r="D3999" t="s">
        <v>80</v>
      </c>
      <c r="E3999" t="s">
        <v>29</v>
      </c>
      <c r="F3999" s="2">
        <v>0</v>
      </c>
      <c r="G3999" t="s">
        <v>82</v>
      </c>
      <c r="H3999" t="s">
        <v>55</v>
      </c>
      <c r="I3999" t="s">
        <v>40</v>
      </c>
      <c r="J3999" t="s">
        <v>57</v>
      </c>
      <c r="K3999">
        <v>3</v>
      </c>
      <c r="L3999" t="s">
        <v>34</v>
      </c>
      <c r="M3999" t="s">
        <v>61</v>
      </c>
      <c r="N3999" t="s">
        <v>34</v>
      </c>
      <c r="O3999">
        <v>18</v>
      </c>
      <c r="P3999" t="s">
        <v>36</v>
      </c>
      <c r="Q3999" t="s">
        <v>42</v>
      </c>
      <c r="R3999" s="1">
        <v>0.1</v>
      </c>
      <c r="S3999">
        <f t="shared" si="248"/>
        <v>0</v>
      </c>
      <c r="T3999">
        <f>IFERROR(VLOOKUP(A3999,Table1[[Customer ID]:[Discount Amount]], 6, FALSE),"Not Found")</f>
        <v>0</v>
      </c>
      <c r="U3999" t="str">
        <f t="shared" si="249"/>
        <v>Debit Card</v>
      </c>
      <c r="V3999" s="4" t="str">
        <f t="shared" si="250"/>
        <v>Normal</v>
      </c>
      <c r="W3999" s="4" t="str">
        <f t="shared" si="251"/>
        <v>Good</v>
      </c>
      <c r="X3999" s="4">
        <f>AVERAGE(Table1[Purchase Amount])</f>
        <v>129.48419400000012</v>
      </c>
    </row>
    <row r="4000" spans="1:24" ht="15" customHeight="1" x14ac:dyDescent="0.25">
      <c r="A4000">
        <v>4098</v>
      </c>
      <c r="B4000">
        <v>60</v>
      </c>
      <c r="C4000" t="s">
        <v>27</v>
      </c>
      <c r="D4000" t="s">
        <v>72</v>
      </c>
      <c r="E4000" t="s">
        <v>81</v>
      </c>
      <c r="F4000" s="2">
        <v>575.16</v>
      </c>
      <c r="G4000" t="s">
        <v>73</v>
      </c>
      <c r="H4000" t="s">
        <v>31</v>
      </c>
      <c r="I4000" t="s">
        <v>40</v>
      </c>
      <c r="J4000" t="s">
        <v>33</v>
      </c>
      <c r="K4000">
        <v>1</v>
      </c>
      <c r="L4000" t="s">
        <v>23</v>
      </c>
      <c r="M4000" t="s">
        <v>24</v>
      </c>
      <c r="N4000" t="s">
        <v>23</v>
      </c>
      <c r="O4000">
        <v>0</v>
      </c>
      <c r="P4000" t="s">
        <v>36</v>
      </c>
      <c r="Q4000" t="s">
        <v>37</v>
      </c>
      <c r="R4000" s="1">
        <v>0.1</v>
      </c>
      <c r="S4000">
        <f t="shared" si="248"/>
        <v>517.64400000000001</v>
      </c>
      <c r="T4000">
        <f>IFERROR(VLOOKUP(A4000,Table1[[Customer ID]:[Discount Amount]], 6, FALSE),"Not Found")</f>
        <v>575.16</v>
      </c>
      <c r="U4000" t="str">
        <f t="shared" si="249"/>
        <v>Debit Card</v>
      </c>
      <c r="V4000" s="4" t="str">
        <f t="shared" si="250"/>
        <v>Normal</v>
      </c>
      <c r="W4000" s="4" t="str">
        <f t="shared" si="251"/>
        <v>Poor</v>
      </c>
      <c r="X4000" s="4">
        <f>AVERAGE(Table1[Purchase Amount])</f>
        <v>129.48419400000012</v>
      </c>
    </row>
    <row r="4001" spans="1:24" ht="15" customHeight="1" x14ac:dyDescent="0.25">
      <c r="A4001">
        <v>4099</v>
      </c>
      <c r="B4001">
        <v>66</v>
      </c>
      <c r="C4001" t="s">
        <v>71</v>
      </c>
      <c r="D4001" t="s">
        <v>112</v>
      </c>
      <c r="E4001" t="s">
        <v>18</v>
      </c>
      <c r="F4001" s="2">
        <v>843.15</v>
      </c>
      <c r="G4001" t="s">
        <v>82</v>
      </c>
      <c r="H4001" t="s">
        <v>55</v>
      </c>
      <c r="I4001" t="s">
        <v>40</v>
      </c>
      <c r="J4001" t="s">
        <v>33</v>
      </c>
      <c r="K4001">
        <v>5</v>
      </c>
      <c r="L4001" t="s">
        <v>23</v>
      </c>
      <c r="M4001" t="s">
        <v>24</v>
      </c>
      <c r="N4001" t="s">
        <v>34</v>
      </c>
      <c r="O4001">
        <v>8</v>
      </c>
      <c r="P4001" t="s">
        <v>58</v>
      </c>
      <c r="Q4001" t="s">
        <v>26</v>
      </c>
      <c r="R4001" s="1">
        <v>0.1</v>
      </c>
      <c r="S4001">
        <f t="shared" si="248"/>
        <v>758.83500000000004</v>
      </c>
      <c r="T4001">
        <f>IFERROR(VLOOKUP(A4001,Table1[[Customer ID]:[Discount Amount]], 6, FALSE),"Not Found")</f>
        <v>843.15</v>
      </c>
      <c r="U4001" t="str">
        <f t="shared" si="249"/>
        <v>PayPal</v>
      </c>
      <c r="V4001" s="4" t="str">
        <f t="shared" si="250"/>
        <v>Normal</v>
      </c>
      <c r="W4001" s="4" t="str">
        <f t="shared" si="251"/>
        <v>Good</v>
      </c>
      <c r="X4001" s="4">
        <f>AVERAGE(Table1[Purchase Amount])</f>
        <v>129.48419400000012</v>
      </c>
    </row>
    <row r="4002" spans="1:24" ht="15" customHeight="1" x14ac:dyDescent="0.25">
      <c r="A4002">
        <v>4100</v>
      </c>
      <c r="B4002">
        <v>52</v>
      </c>
      <c r="C4002" t="s">
        <v>71</v>
      </c>
      <c r="D4002" t="s">
        <v>72</v>
      </c>
      <c r="E4002" t="s">
        <v>81</v>
      </c>
      <c r="F4002" s="2">
        <v>1095.73</v>
      </c>
      <c r="G4002" t="s">
        <v>101</v>
      </c>
      <c r="H4002" t="s">
        <v>31</v>
      </c>
      <c r="I4002" t="s">
        <v>93</v>
      </c>
      <c r="J4002" t="s">
        <v>75</v>
      </c>
      <c r="K4002">
        <v>5</v>
      </c>
      <c r="L4002" t="s">
        <v>23</v>
      </c>
      <c r="M4002" t="s">
        <v>61</v>
      </c>
      <c r="N4002" t="s">
        <v>34</v>
      </c>
      <c r="O4002">
        <v>16</v>
      </c>
      <c r="P4002" t="s">
        <v>25</v>
      </c>
      <c r="Q4002" t="s">
        <v>37</v>
      </c>
      <c r="R4002" s="1">
        <v>0.1</v>
      </c>
      <c r="S4002">
        <f t="shared" si="248"/>
        <v>986.15700000000004</v>
      </c>
      <c r="T4002">
        <f>IFERROR(VLOOKUP(A4002,Table1[[Customer ID]:[Discount Amount]], 6, FALSE),"Not Found")</f>
        <v>1095.73</v>
      </c>
      <c r="U4002" t="str">
        <f t="shared" si="249"/>
        <v>Cash</v>
      </c>
      <c r="V4002" s="4" t="str">
        <f t="shared" si="250"/>
        <v>Best Customer</v>
      </c>
      <c r="W4002" s="4" t="str">
        <f t="shared" si="251"/>
        <v>Good</v>
      </c>
      <c r="X4002" s="4">
        <f>AVERAGE(Table1[Purchase Amount])</f>
        <v>129.48419400000012</v>
      </c>
    </row>
    <row r="4003" spans="1:24" ht="15" customHeight="1" x14ac:dyDescent="0.25">
      <c r="A4003">
        <v>4101</v>
      </c>
      <c r="B4003">
        <v>22</v>
      </c>
      <c r="C4003" t="s">
        <v>27</v>
      </c>
      <c r="D4003" t="s">
        <v>112</v>
      </c>
      <c r="E4003" t="s">
        <v>18</v>
      </c>
      <c r="F4003" s="2">
        <v>125.59</v>
      </c>
      <c r="G4003" t="s">
        <v>126</v>
      </c>
      <c r="H4003" t="s">
        <v>20</v>
      </c>
      <c r="I4003" t="s">
        <v>74</v>
      </c>
      <c r="J4003" t="s">
        <v>33</v>
      </c>
      <c r="K4003">
        <v>1</v>
      </c>
      <c r="L4003" t="s">
        <v>34</v>
      </c>
      <c r="M4003" t="s">
        <v>24</v>
      </c>
      <c r="N4003" t="s">
        <v>34</v>
      </c>
      <c r="O4003">
        <v>0</v>
      </c>
      <c r="P4003" t="s">
        <v>25</v>
      </c>
      <c r="Q4003" t="s">
        <v>26</v>
      </c>
      <c r="R4003" s="1">
        <v>0.1</v>
      </c>
      <c r="S4003">
        <f t="shared" si="248"/>
        <v>113.03100000000001</v>
      </c>
      <c r="T4003">
        <f>IFERROR(VLOOKUP(A4003,Table1[[Customer ID]:[Discount Amount]], 6, FALSE),"Not Found")</f>
        <v>125.59</v>
      </c>
      <c r="U4003" t="str">
        <f t="shared" si="249"/>
        <v>Cash</v>
      </c>
      <c r="V4003" s="4" t="str">
        <f t="shared" si="250"/>
        <v>Normal</v>
      </c>
      <c r="W4003" s="4" t="str">
        <f t="shared" si="251"/>
        <v>Poor</v>
      </c>
      <c r="X4003" s="4">
        <f>AVERAGE(Table1[Purchase Amount])</f>
        <v>129.48419400000012</v>
      </c>
    </row>
    <row r="4004" spans="1:24" ht="15" customHeight="1" x14ac:dyDescent="0.25">
      <c r="A4004">
        <v>4102</v>
      </c>
      <c r="B4004">
        <v>32</v>
      </c>
      <c r="C4004" t="s">
        <v>27</v>
      </c>
      <c r="D4004" t="s">
        <v>80</v>
      </c>
      <c r="E4004" t="s">
        <v>81</v>
      </c>
      <c r="F4004" s="2">
        <v>129.57</v>
      </c>
      <c r="G4004" t="s">
        <v>82</v>
      </c>
      <c r="H4004" t="s">
        <v>31</v>
      </c>
      <c r="I4004" t="s">
        <v>93</v>
      </c>
      <c r="J4004" t="s">
        <v>57</v>
      </c>
      <c r="K4004">
        <v>3</v>
      </c>
      <c r="L4004" t="s">
        <v>23</v>
      </c>
      <c r="M4004" t="s">
        <v>24</v>
      </c>
      <c r="N4004" t="s">
        <v>34</v>
      </c>
      <c r="O4004">
        <v>2</v>
      </c>
      <c r="P4004" t="s">
        <v>36</v>
      </c>
      <c r="Q4004" t="s">
        <v>37</v>
      </c>
      <c r="R4004" s="1">
        <v>0.1</v>
      </c>
      <c r="S4004">
        <f t="shared" si="248"/>
        <v>116.613</v>
      </c>
      <c r="T4004">
        <f>IFERROR(VLOOKUP(A4004,Table1[[Customer ID]:[Discount Amount]], 6, FALSE),"Not Found")</f>
        <v>129.57</v>
      </c>
      <c r="U4004" t="str">
        <f t="shared" si="249"/>
        <v>Debit Card</v>
      </c>
      <c r="V4004" s="4" t="str">
        <f t="shared" si="250"/>
        <v>Normal</v>
      </c>
      <c r="W4004" s="4" t="str">
        <f t="shared" si="251"/>
        <v>Good</v>
      </c>
      <c r="X4004" s="4">
        <f>AVERAGE(Table1[Purchase Amount])</f>
        <v>129.48419400000012</v>
      </c>
    </row>
    <row r="4005" spans="1:24" ht="15" customHeight="1" x14ac:dyDescent="0.25">
      <c r="A4005">
        <v>4103</v>
      </c>
      <c r="B4005">
        <v>63</v>
      </c>
      <c r="C4005" t="s">
        <v>16</v>
      </c>
      <c r="D4005" t="s">
        <v>112</v>
      </c>
      <c r="E4005" t="s">
        <v>81</v>
      </c>
      <c r="F4005" s="2">
        <v>1264.71</v>
      </c>
      <c r="G4005" t="s">
        <v>139</v>
      </c>
      <c r="H4005" t="s">
        <v>31</v>
      </c>
      <c r="I4005" t="s">
        <v>93</v>
      </c>
      <c r="J4005" t="s">
        <v>57</v>
      </c>
      <c r="K4005">
        <v>1</v>
      </c>
      <c r="L4005" t="s">
        <v>34</v>
      </c>
      <c r="M4005" t="s">
        <v>24</v>
      </c>
      <c r="N4005" t="s">
        <v>34</v>
      </c>
      <c r="O4005">
        <v>0</v>
      </c>
      <c r="P4005" t="s">
        <v>53</v>
      </c>
      <c r="Q4005" t="s">
        <v>37</v>
      </c>
      <c r="R4005" s="1">
        <v>0.1</v>
      </c>
      <c r="S4005">
        <f t="shared" si="248"/>
        <v>1138.239</v>
      </c>
      <c r="T4005">
        <f>IFERROR(VLOOKUP(A4005,Table1[[Customer ID]:[Discount Amount]], 6, FALSE),"Not Found")</f>
        <v>1264.71</v>
      </c>
      <c r="U4005" t="str">
        <f t="shared" si="249"/>
        <v>Credit Card</v>
      </c>
      <c r="V4005" s="4" t="str">
        <f t="shared" si="250"/>
        <v>Normal</v>
      </c>
      <c r="W4005" s="4" t="str">
        <f t="shared" si="251"/>
        <v>Poor</v>
      </c>
      <c r="X4005" s="4">
        <f>AVERAGE(Table1[Purchase Amount])</f>
        <v>129.48419400000012</v>
      </c>
    </row>
    <row r="4006" spans="1:24" ht="15" customHeight="1" x14ac:dyDescent="0.25">
      <c r="A4006">
        <v>4104</v>
      </c>
      <c r="B4006">
        <v>55</v>
      </c>
      <c r="C4006" t="s">
        <v>71</v>
      </c>
      <c r="D4006" t="s">
        <v>116</v>
      </c>
      <c r="E4006" t="s">
        <v>29</v>
      </c>
      <c r="F4006" s="2">
        <v>0</v>
      </c>
      <c r="G4006" t="s">
        <v>73</v>
      </c>
      <c r="H4006" t="s">
        <v>55</v>
      </c>
      <c r="I4006" t="s">
        <v>46</v>
      </c>
      <c r="J4006" t="s">
        <v>57</v>
      </c>
      <c r="K4006">
        <v>1</v>
      </c>
      <c r="L4006" t="s">
        <v>23</v>
      </c>
      <c r="M4006" t="s">
        <v>24</v>
      </c>
      <c r="N4006" t="s">
        <v>23</v>
      </c>
      <c r="O4006">
        <v>0</v>
      </c>
      <c r="P4006" t="s">
        <v>36</v>
      </c>
      <c r="Q4006" t="s">
        <v>42</v>
      </c>
      <c r="R4006" s="1">
        <v>0.1</v>
      </c>
      <c r="S4006">
        <f t="shared" si="248"/>
        <v>0</v>
      </c>
      <c r="T4006">
        <f>IFERROR(VLOOKUP(A4006,Table1[[Customer ID]:[Discount Amount]], 6, FALSE),"Not Found")</f>
        <v>0</v>
      </c>
      <c r="U4006" t="str">
        <f t="shared" si="249"/>
        <v>Debit Card</v>
      </c>
      <c r="V4006" s="4" t="str">
        <f t="shared" si="250"/>
        <v>Normal</v>
      </c>
      <c r="W4006" s="4" t="str">
        <f t="shared" si="251"/>
        <v>Poor</v>
      </c>
      <c r="X4006" s="4">
        <f>AVERAGE(Table1[Purchase Amount])</f>
        <v>129.48419400000012</v>
      </c>
    </row>
    <row r="4007" spans="1:24" ht="15" customHeight="1" x14ac:dyDescent="0.25">
      <c r="A4007">
        <v>4105</v>
      </c>
      <c r="B4007">
        <v>44</v>
      </c>
      <c r="C4007" t="s">
        <v>27</v>
      </c>
      <c r="D4007" t="s">
        <v>38</v>
      </c>
      <c r="E4007" t="s">
        <v>29</v>
      </c>
      <c r="F4007" s="2">
        <v>580.6</v>
      </c>
      <c r="G4007" t="s">
        <v>126</v>
      </c>
      <c r="H4007" t="s">
        <v>45</v>
      </c>
      <c r="I4007" t="s">
        <v>93</v>
      </c>
      <c r="J4007" t="s">
        <v>33</v>
      </c>
      <c r="K4007">
        <v>1</v>
      </c>
      <c r="L4007" t="s">
        <v>34</v>
      </c>
      <c r="M4007" t="s">
        <v>61</v>
      </c>
      <c r="N4007" t="s">
        <v>34</v>
      </c>
      <c r="O4007">
        <v>0</v>
      </c>
      <c r="P4007" t="s">
        <v>58</v>
      </c>
      <c r="Q4007" t="s">
        <v>26</v>
      </c>
      <c r="R4007" s="1">
        <v>0.1</v>
      </c>
      <c r="S4007">
        <f t="shared" si="248"/>
        <v>522.54</v>
      </c>
      <c r="T4007">
        <f>IFERROR(VLOOKUP(A4007,Table1[[Customer ID]:[Discount Amount]], 6, FALSE),"Not Found")</f>
        <v>580.6</v>
      </c>
      <c r="U4007" t="str">
        <f t="shared" si="249"/>
        <v>PayPal</v>
      </c>
      <c r="V4007" s="4" t="str">
        <f t="shared" si="250"/>
        <v>Normal</v>
      </c>
      <c r="W4007" s="4" t="str">
        <f t="shared" si="251"/>
        <v>Poor</v>
      </c>
      <c r="X4007" s="4">
        <f>AVERAGE(Table1[Purchase Amount])</f>
        <v>129.48419400000012</v>
      </c>
    </row>
    <row r="4008" spans="1:24" ht="15" customHeight="1" x14ac:dyDescent="0.25">
      <c r="A4008">
        <v>4106</v>
      </c>
      <c r="B4008">
        <v>40</v>
      </c>
      <c r="C4008" t="s">
        <v>71</v>
      </c>
      <c r="D4008" t="s">
        <v>112</v>
      </c>
      <c r="E4008" t="s">
        <v>29</v>
      </c>
      <c r="F4008" s="2">
        <v>0</v>
      </c>
      <c r="G4008" t="s">
        <v>73</v>
      </c>
      <c r="H4008" t="s">
        <v>31</v>
      </c>
      <c r="I4008" t="s">
        <v>93</v>
      </c>
      <c r="J4008" t="s">
        <v>75</v>
      </c>
      <c r="K4008">
        <v>2</v>
      </c>
      <c r="L4008" t="s">
        <v>23</v>
      </c>
      <c r="M4008" t="s">
        <v>61</v>
      </c>
      <c r="N4008" t="s">
        <v>34</v>
      </c>
      <c r="O4008">
        <v>16</v>
      </c>
      <c r="P4008" t="s">
        <v>58</v>
      </c>
      <c r="Q4008" t="s">
        <v>26</v>
      </c>
      <c r="R4008" s="1">
        <v>0.1</v>
      </c>
      <c r="S4008">
        <f t="shared" si="248"/>
        <v>0</v>
      </c>
      <c r="T4008">
        <f>IFERROR(VLOOKUP(A4008,Table1[[Customer ID]:[Discount Amount]], 6, FALSE),"Not Found")</f>
        <v>0</v>
      </c>
      <c r="U4008" t="str">
        <f t="shared" si="249"/>
        <v>PayPal</v>
      </c>
      <c r="V4008" s="4" t="str">
        <f t="shared" si="250"/>
        <v>Normal</v>
      </c>
      <c r="W4008" s="4" t="str">
        <f t="shared" si="251"/>
        <v>Poor</v>
      </c>
      <c r="X4008" s="4">
        <f>AVERAGE(Table1[Purchase Amount])</f>
        <v>129.48419400000012</v>
      </c>
    </row>
    <row r="4009" spans="1:24" ht="15" customHeight="1" x14ac:dyDescent="0.25">
      <c r="A4009">
        <v>4107</v>
      </c>
      <c r="B4009">
        <v>48</v>
      </c>
      <c r="C4009" t="s">
        <v>27</v>
      </c>
      <c r="D4009" t="s">
        <v>112</v>
      </c>
      <c r="E4009" t="s">
        <v>81</v>
      </c>
      <c r="F4009" s="2">
        <v>236.32</v>
      </c>
      <c r="G4009" t="s">
        <v>126</v>
      </c>
      <c r="H4009" t="s">
        <v>31</v>
      </c>
      <c r="I4009" t="s">
        <v>46</v>
      </c>
      <c r="J4009" t="s">
        <v>33</v>
      </c>
      <c r="K4009">
        <v>1</v>
      </c>
      <c r="L4009" t="s">
        <v>34</v>
      </c>
      <c r="M4009" t="s">
        <v>61</v>
      </c>
      <c r="N4009" t="s">
        <v>23</v>
      </c>
      <c r="O4009">
        <v>0</v>
      </c>
      <c r="P4009" t="s">
        <v>36</v>
      </c>
      <c r="Q4009" t="s">
        <v>42</v>
      </c>
      <c r="R4009" s="1">
        <v>0.1</v>
      </c>
      <c r="S4009">
        <f t="shared" si="248"/>
        <v>212.68799999999999</v>
      </c>
      <c r="T4009">
        <f>IFERROR(VLOOKUP(A4009,Table1[[Customer ID]:[Discount Amount]], 6, FALSE),"Not Found")</f>
        <v>236.32</v>
      </c>
      <c r="U4009" t="str">
        <f t="shared" si="249"/>
        <v>Debit Card</v>
      </c>
      <c r="V4009" s="4" t="str">
        <f t="shared" si="250"/>
        <v>Normal</v>
      </c>
      <c r="W4009" s="4" t="str">
        <f t="shared" si="251"/>
        <v>Poor</v>
      </c>
      <c r="X4009" s="4">
        <f>AVERAGE(Table1[Purchase Amount])</f>
        <v>129.48419400000012</v>
      </c>
    </row>
    <row r="4010" spans="1:24" ht="15" customHeight="1" x14ac:dyDescent="0.25">
      <c r="A4010">
        <v>4108</v>
      </c>
      <c r="B4010">
        <v>21</v>
      </c>
      <c r="C4010" t="s">
        <v>27</v>
      </c>
      <c r="D4010" t="s">
        <v>95</v>
      </c>
      <c r="E4010" t="s">
        <v>18</v>
      </c>
      <c r="F4010" s="2">
        <v>1410.28</v>
      </c>
      <c r="G4010" t="s">
        <v>139</v>
      </c>
      <c r="H4010" t="s">
        <v>31</v>
      </c>
      <c r="I4010" t="s">
        <v>32</v>
      </c>
      <c r="J4010" t="s">
        <v>33</v>
      </c>
      <c r="K4010">
        <v>1</v>
      </c>
      <c r="L4010" t="s">
        <v>23</v>
      </c>
      <c r="M4010" t="s">
        <v>61</v>
      </c>
      <c r="N4010" t="s">
        <v>34</v>
      </c>
      <c r="O4010">
        <v>0</v>
      </c>
      <c r="P4010" t="s">
        <v>53</v>
      </c>
      <c r="Q4010" t="s">
        <v>37</v>
      </c>
      <c r="R4010" s="1">
        <v>0.1</v>
      </c>
      <c r="S4010">
        <f t="shared" si="248"/>
        <v>1269.252</v>
      </c>
      <c r="T4010">
        <f>IFERROR(VLOOKUP(A4010,Table1[[Customer ID]:[Discount Amount]], 6, FALSE),"Not Found")</f>
        <v>1410.28</v>
      </c>
      <c r="U4010" t="str">
        <f t="shared" si="249"/>
        <v>Credit Card</v>
      </c>
      <c r="V4010" s="4" t="str">
        <f t="shared" si="250"/>
        <v>Normal</v>
      </c>
      <c r="W4010" s="4" t="str">
        <f t="shared" si="251"/>
        <v>Poor</v>
      </c>
      <c r="X4010" s="4">
        <f>AVERAGE(Table1[Purchase Amount])</f>
        <v>129.48419400000012</v>
      </c>
    </row>
    <row r="4011" spans="1:24" ht="15" customHeight="1" x14ac:dyDescent="0.25">
      <c r="A4011">
        <v>4109</v>
      </c>
      <c r="B4011">
        <v>64</v>
      </c>
      <c r="C4011" t="s">
        <v>16</v>
      </c>
      <c r="D4011" t="s">
        <v>112</v>
      </c>
      <c r="E4011" t="s">
        <v>81</v>
      </c>
      <c r="F4011" s="2">
        <v>0</v>
      </c>
      <c r="G4011" t="s">
        <v>101</v>
      </c>
      <c r="H4011" t="s">
        <v>31</v>
      </c>
      <c r="I4011" t="s">
        <v>32</v>
      </c>
      <c r="J4011" t="s">
        <v>22</v>
      </c>
      <c r="K4011">
        <v>1</v>
      </c>
      <c r="L4011" t="s">
        <v>23</v>
      </c>
      <c r="M4011" t="s">
        <v>61</v>
      </c>
      <c r="N4011" t="s">
        <v>34</v>
      </c>
      <c r="O4011">
        <v>0</v>
      </c>
      <c r="P4011" t="s">
        <v>36</v>
      </c>
      <c r="Q4011" t="s">
        <v>42</v>
      </c>
      <c r="R4011" s="1">
        <v>0.1</v>
      </c>
      <c r="S4011">
        <f t="shared" si="248"/>
        <v>0</v>
      </c>
      <c r="T4011">
        <f>IFERROR(VLOOKUP(A4011,Table1[[Customer ID]:[Discount Amount]], 6, FALSE),"Not Found")</f>
        <v>0</v>
      </c>
      <c r="U4011" t="str">
        <f t="shared" si="249"/>
        <v>Debit Card</v>
      </c>
      <c r="V4011" s="4" t="str">
        <f t="shared" si="250"/>
        <v>Normal</v>
      </c>
      <c r="W4011" s="4" t="str">
        <f t="shared" si="251"/>
        <v>Poor</v>
      </c>
      <c r="X4011" s="4">
        <f>AVERAGE(Table1[Purchase Amount])</f>
        <v>129.48419400000012</v>
      </c>
    </row>
    <row r="4012" spans="1:24" ht="15" customHeight="1" x14ac:dyDescent="0.25">
      <c r="A4012">
        <v>4110</v>
      </c>
      <c r="B4012">
        <v>27</v>
      </c>
      <c r="C4012" t="s">
        <v>71</v>
      </c>
      <c r="D4012" t="s">
        <v>112</v>
      </c>
      <c r="E4012" t="s">
        <v>81</v>
      </c>
      <c r="F4012" s="2">
        <v>0</v>
      </c>
      <c r="G4012" t="s">
        <v>82</v>
      </c>
      <c r="H4012" t="s">
        <v>31</v>
      </c>
      <c r="I4012" t="s">
        <v>32</v>
      </c>
      <c r="J4012" t="s">
        <v>33</v>
      </c>
      <c r="K4012">
        <v>1</v>
      </c>
      <c r="L4012" t="s">
        <v>23</v>
      </c>
      <c r="M4012" t="s">
        <v>24</v>
      </c>
      <c r="N4012" t="s">
        <v>23</v>
      </c>
      <c r="O4012">
        <v>0</v>
      </c>
      <c r="P4012" t="s">
        <v>36</v>
      </c>
      <c r="Q4012" t="s">
        <v>42</v>
      </c>
      <c r="R4012" s="1">
        <v>0.1</v>
      </c>
      <c r="S4012">
        <f t="shared" si="248"/>
        <v>0</v>
      </c>
      <c r="T4012">
        <f>IFERROR(VLOOKUP(A4012,Table1[[Customer ID]:[Discount Amount]], 6, FALSE),"Not Found")</f>
        <v>0</v>
      </c>
      <c r="U4012" t="str">
        <f t="shared" si="249"/>
        <v>Debit Card</v>
      </c>
      <c r="V4012" s="4" t="str">
        <f t="shared" si="250"/>
        <v>Normal</v>
      </c>
      <c r="W4012" s="4" t="str">
        <f t="shared" si="251"/>
        <v>Poor</v>
      </c>
      <c r="X4012" s="4">
        <f>AVERAGE(Table1[Purchase Amount])</f>
        <v>129.48419400000012</v>
      </c>
    </row>
    <row r="4013" spans="1:24" ht="15" customHeight="1" x14ac:dyDescent="0.25">
      <c r="A4013">
        <v>4111</v>
      </c>
      <c r="B4013">
        <v>49</v>
      </c>
      <c r="C4013" t="s">
        <v>27</v>
      </c>
      <c r="D4013" t="s">
        <v>95</v>
      </c>
      <c r="E4013" t="s">
        <v>18</v>
      </c>
      <c r="F4013" s="2">
        <v>0</v>
      </c>
      <c r="G4013" t="s">
        <v>126</v>
      </c>
      <c r="H4013" t="s">
        <v>31</v>
      </c>
      <c r="I4013" t="s">
        <v>40</v>
      </c>
      <c r="J4013" t="s">
        <v>57</v>
      </c>
      <c r="K4013">
        <v>1</v>
      </c>
      <c r="L4013" t="s">
        <v>23</v>
      </c>
      <c r="M4013" t="s">
        <v>61</v>
      </c>
      <c r="N4013" t="s">
        <v>23</v>
      </c>
      <c r="O4013">
        <v>0</v>
      </c>
      <c r="P4013" t="s">
        <v>58</v>
      </c>
      <c r="Q4013" t="s">
        <v>26</v>
      </c>
      <c r="R4013" s="1">
        <v>0.1</v>
      </c>
      <c r="S4013">
        <f t="shared" si="248"/>
        <v>0</v>
      </c>
      <c r="T4013">
        <f>IFERROR(VLOOKUP(A4013,Table1[[Customer ID]:[Discount Amount]], 6, FALSE),"Not Found")</f>
        <v>0</v>
      </c>
      <c r="U4013" t="str">
        <f t="shared" si="249"/>
        <v>PayPal</v>
      </c>
      <c r="V4013" s="4" t="str">
        <f t="shared" si="250"/>
        <v>Normal</v>
      </c>
      <c r="W4013" s="4" t="str">
        <f t="shared" si="251"/>
        <v>Poor</v>
      </c>
      <c r="X4013" s="4">
        <f>AVERAGE(Table1[Purchase Amount])</f>
        <v>129.48419400000012</v>
      </c>
    </row>
    <row r="4014" spans="1:24" ht="15" customHeight="1" x14ac:dyDescent="0.25">
      <c r="A4014">
        <v>4112</v>
      </c>
      <c r="B4014">
        <v>51</v>
      </c>
      <c r="C4014" t="s">
        <v>16</v>
      </c>
      <c r="D4014" t="s">
        <v>117</v>
      </c>
      <c r="E4014" t="s">
        <v>81</v>
      </c>
      <c r="F4014" s="2">
        <v>1232</v>
      </c>
      <c r="G4014" t="s">
        <v>73</v>
      </c>
      <c r="H4014" t="s">
        <v>31</v>
      </c>
      <c r="I4014" t="s">
        <v>74</v>
      </c>
      <c r="J4014" t="s">
        <v>22</v>
      </c>
      <c r="K4014">
        <v>1</v>
      </c>
      <c r="L4014" t="s">
        <v>34</v>
      </c>
      <c r="M4014" t="s">
        <v>61</v>
      </c>
      <c r="N4014" t="s">
        <v>23</v>
      </c>
      <c r="O4014">
        <v>0</v>
      </c>
      <c r="P4014" t="s">
        <v>36</v>
      </c>
      <c r="Q4014" t="s">
        <v>42</v>
      </c>
      <c r="R4014" s="1">
        <v>0.1</v>
      </c>
      <c r="S4014">
        <f t="shared" si="248"/>
        <v>1108.8</v>
      </c>
      <c r="T4014">
        <f>IFERROR(VLOOKUP(A4014,Table1[[Customer ID]:[Discount Amount]], 6, FALSE),"Not Found")</f>
        <v>1232</v>
      </c>
      <c r="U4014" t="str">
        <f t="shared" si="249"/>
        <v>Debit Card</v>
      </c>
      <c r="V4014" s="4" t="str">
        <f t="shared" si="250"/>
        <v>Normal</v>
      </c>
      <c r="W4014" s="4" t="str">
        <f t="shared" si="251"/>
        <v>Poor</v>
      </c>
      <c r="X4014" s="4">
        <f>AVERAGE(Table1[Purchase Amount])</f>
        <v>129.48419400000012</v>
      </c>
    </row>
    <row r="4015" spans="1:24" ht="15" customHeight="1" x14ac:dyDescent="0.25">
      <c r="A4015">
        <v>4113</v>
      </c>
      <c r="B4015">
        <v>60</v>
      </c>
      <c r="C4015" t="s">
        <v>27</v>
      </c>
      <c r="D4015" t="s">
        <v>72</v>
      </c>
      <c r="E4015" t="s">
        <v>18</v>
      </c>
      <c r="F4015" s="2">
        <v>1448.13</v>
      </c>
      <c r="G4015" t="s">
        <v>73</v>
      </c>
      <c r="H4015" t="s">
        <v>55</v>
      </c>
      <c r="I4015" t="s">
        <v>74</v>
      </c>
      <c r="J4015" t="s">
        <v>75</v>
      </c>
      <c r="K4015">
        <v>5</v>
      </c>
      <c r="L4015" t="s">
        <v>23</v>
      </c>
      <c r="M4015" t="s">
        <v>24</v>
      </c>
      <c r="N4015" t="s">
        <v>23</v>
      </c>
      <c r="O4015">
        <v>0</v>
      </c>
      <c r="P4015" t="s">
        <v>25</v>
      </c>
      <c r="Q4015" t="s">
        <v>42</v>
      </c>
      <c r="R4015" s="1">
        <v>0.1</v>
      </c>
      <c r="S4015">
        <f t="shared" si="248"/>
        <v>1303.317</v>
      </c>
      <c r="T4015">
        <f>IFERROR(VLOOKUP(A4015,Table1[[Customer ID]:[Discount Amount]], 6, FALSE),"Not Found")</f>
        <v>1448.13</v>
      </c>
      <c r="U4015" t="str">
        <f t="shared" si="249"/>
        <v>Cash</v>
      </c>
      <c r="V4015" s="4" t="str">
        <f t="shared" si="250"/>
        <v>Best Customer</v>
      </c>
      <c r="W4015" s="4" t="str">
        <f t="shared" si="251"/>
        <v>Good</v>
      </c>
      <c r="X4015" s="4">
        <f>AVERAGE(Table1[Purchase Amount])</f>
        <v>129.48419400000012</v>
      </c>
    </row>
    <row r="4016" spans="1:24" ht="15" customHeight="1" x14ac:dyDescent="0.25">
      <c r="A4016">
        <v>4114</v>
      </c>
      <c r="B4016">
        <v>58</v>
      </c>
      <c r="C4016" t="s">
        <v>71</v>
      </c>
      <c r="D4016" t="s">
        <v>72</v>
      </c>
      <c r="E4016" t="s">
        <v>29</v>
      </c>
      <c r="F4016" s="2">
        <v>1264.53</v>
      </c>
      <c r="G4016" t="s">
        <v>82</v>
      </c>
      <c r="H4016" t="s">
        <v>55</v>
      </c>
      <c r="I4016" t="s">
        <v>46</v>
      </c>
      <c r="J4016" t="s">
        <v>22</v>
      </c>
      <c r="K4016">
        <v>1</v>
      </c>
      <c r="L4016" t="s">
        <v>34</v>
      </c>
      <c r="M4016" t="s">
        <v>24</v>
      </c>
      <c r="N4016" t="s">
        <v>34</v>
      </c>
      <c r="O4016">
        <v>0</v>
      </c>
      <c r="P4016" t="s">
        <v>25</v>
      </c>
      <c r="Q4016" t="s">
        <v>37</v>
      </c>
      <c r="R4016" s="1">
        <v>0.1</v>
      </c>
      <c r="S4016">
        <f t="shared" si="248"/>
        <v>1138.077</v>
      </c>
      <c r="T4016">
        <f>IFERROR(VLOOKUP(A4016,Table1[[Customer ID]:[Discount Amount]], 6, FALSE),"Not Found")</f>
        <v>1264.53</v>
      </c>
      <c r="U4016" t="str">
        <f t="shared" si="249"/>
        <v>Cash</v>
      </c>
      <c r="V4016" s="4" t="str">
        <f t="shared" si="250"/>
        <v>Normal</v>
      </c>
      <c r="W4016" s="4" t="str">
        <f t="shared" si="251"/>
        <v>Poor</v>
      </c>
      <c r="X4016" s="4">
        <f>AVERAGE(Table1[Purchase Amount])</f>
        <v>129.48419400000012</v>
      </c>
    </row>
    <row r="4017" spans="1:24" ht="15" customHeight="1" x14ac:dyDescent="0.25">
      <c r="A4017">
        <v>4115</v>
      </c>
      <c r="B4017">
        <v>69</v>
      </c>
      <c r="C4017" t="s">
        <v>71</v>
      </c>
      <c r="D4017" t="s">
        <v>38</v>
      </c>
      <c r="E4017" t="s">
        <v>18</v>
      </c>
      <c r="F4017" s="2">
        <v>0</v>
      </c>
      <c r="G4017" t="s">
        <v>82</v>
      </c>
      <c r="H4017" t="s">
        <v>31</v>
      </c>
      <c r="I4017" t="s">
        <v>46</v>
      </c>
      <c r="J4017" t="s">
        <v>22</v>
      </c>
      <c r="K4017">
        <v>3</v>
      </c>
      <c r="L4017" t="s">
        <v>23</v>
      </c>
      <c r="M4017" t="s">
        <v>61</v>
      </c>
      <c r="N4017" t="s">
        <v>23</v>
      </c>
      <c r="O4017">
        <v>5</v>
      </c>
      <c r="P4017" t="s">
        <v>53</v>
      </c>
      <c r="Q4017" t="s">
        <v>26</v>
      </c>
      <c r="R4017" s="1">
        <v>0.1</v>
      </c>
      <c r="S4017">
        <f t="shared" si="248"/>
        <v>0</v>
      </c>
      <c r="T4017">
        <f>IFERROR(VLOOKUP(A4017,Table1[[Customer ID]:[Discount Amount]], 6, FALSE),"Not Found")</f>
        <v>0</v>
      </c>
      <c r="U4017" t="str">
        <f t="shared" si="249"/>
        <v>Credit Card</v>
      </c>
      <c r="V4017" s="4" t="str">
        <f t="shared" si="250"/>
        <v>Normal</v>
      </c>
      <c r="W4017" s="4" t="str">
        <f t="shared" si="251"/>
        <v>Good</v>
      </c>
      <c r="X4017" s="4">
        <f>AVERAGE(Table1[Purchase Amount])</f>
        <v>129.48419400000012</v>
      </c>
    </row>
    <row r="4018" spans="1:24" ht="15" customHeight="1" x14ac:dyDescent="0.25">
      <c r="A4018">
        <v>4116</v>
      </c>
      <c r="B4018">
        <v>52</v>
      </c>
      <c r="C4018" t="s">
        <v>27</v>
      </c>
      <c r="D4018" t="s">
        <v>112</v>
      </c>
      <c r="E4018" t="s">
        <v>29</v>
      </c>
      <c r="F4018" s="2">
        <v>0</v>
      </c>
      <c r="G4018" t="s">
        <v>82</v>
      </c>
      <c r="H4018" t="s">
        <v>45</v>
      </c>
      <c r="I4018" t="s">
        <v>40</v>
      </c>
      <c r="J4018" t="s">
        <v>22</v>
      </c>
      <c r="K4018">
        <v>4</v>
      </c>
      <c r="L4018" t="s">
        <v>34</v>
      </c>
      <c r="M4018" t="s">
        <v>24</v>
      </c>
      <c r="N4018" t="s">
        <v>23</v>
      </c>
      <c r="O4018">
        <v>0</v>
      </c>
      <c r="P4018" t="s">
        <v>53</v>
      </c>
      <c r="Q4018" t="s">
        <v>37</v>
      </c>
      <c r="R4018" s="1">
        <v>0.1</v>
      </c>
      <c r="S4018">
        <f t="shared" si="248"/>
        <v>0</v>
      </c>
      <c r="T4018">
        <f>IFERROR(VLOOKUP(A4018,Table1[[Customer ID]:[Discount Amount]], 6, FALSE),"Not Found")</f>
        <v>0</v>
      </c>
      <c r="U4018" t="str">
        <f t="shared" si="249"/>
        <v>Credit Card</v>
      </c>
      <c r="V4018" s="4" t="str">
        <f t="shared" si="250"/>
        <v>Normal</v>
      </c>
      <c r="W4018" s="4" t="str">
        <f t="shared" si="251"/>
        <v>Good</v>
      </c>
      <c r="X4018" s="4">
        <f>AVERAGE(Table1[Purchase Amount])</f>
        <v>129.48419400000012</v>
      </c>
    </row>
    <row r="4019" spans="1:24" ht="15" customHeight="1" x14ac:dyDescent="0.25">
      <c r="A4019">
        <v>4117</v>
      </c>
      <c r="B4019">
        <v>34</v>
      </c>
      <c r="C4019" t="s">
        <v>71</v>
      </c>
      <c r="D4019" t="s">
        <v>80</v>
      </c>
      <c r="E4019" t="s">
        <v>18</v>
      </c>
      <c r="F4019" s="2">
        <v>117.29</v>
      </c>
      <c r="G4019" t="s">
        <v>82</v>
      </c>
      <c r="H4019" t="s">
        <v>45</v>
      </c>
      <c r="I4019" t="s">
        <v>40</v>
      </c>
      <c r="J4019" t="s">
        <v>33</v>
      </c>
      <c r="K4019">
        <v>1</v>
      </c>
      <c r="L4019" t="s">
        <v>34</v>
      </c>
      <c r="M4019" t="s">
        <v>24</v>
      </c>
      <c r="N4019" t="s">
        <v>23</v>
      </c>
      <c r="O4019">
        <v>0</v>
      </c>
      <c r="P4019" t="s">
        <v>25</v>
      </c>
      <c r="Q4019" t="s">
        <v>26</v>
      </c>
      <c r="R4019" s="1">
        <v>0.1</v>
      </c>
      <c r="S4019">
        <f t="shared" si="248"/>
        <v>105.56100000000001</v>
      </c>
      <c r="T4019">
        <f>IFERROR(VLOOKUP(A4019,Table1[[Customer ID]:[Discount Amount]], 6, FALSE),"Not Found")</f>
        <v>117.29</v>
      </c>
      <c r="U4019" t="str">
        <f t="shared" si="249"/>
        <v>Cash</v>
      </c>
      <c r="V4019" s="4" t="str">
        <f t="shared" si="250"/>
        <v>Normal</v>
      </c>
      <c r="W4019" s="4" t="str">
        <f t="shared" si="251"/>
        <v>Poor</v>
      </c>
      <c r="X4019" s="4">
        <f>AVERAGE(Table1[Purchase Amount])</f>
        <v>129.48419400000012</v>
      </c>
    </row>
    <row r="4020" spans="1:24" ht="15" customHeight="1" x14ac:dyDescent="0.25">
      <c r="A4020">
        <v>4118</v>
      </c>
      <c r="B4020">
        <v>18</v>
      </c>
      <c r="C4020" t="s">
        <v>71</v>
      </c>
      <c r="D4020" t="s">
        <v>38</v>
      </c>
      <c r="E4020" t="s">
        <v>29</v>
      </c>
      <c r="F4020" s="2">
        <v>0</v>
      </c>
      <c r="G4020" t="s">
        <v>73</v>
      </c>
      <c r="H4020" t="s">
        <v>55</v>
      </c>
      <c r="I4020" t="s">
        <v>40</v>
      </c>
      <c r="J4020" t="s">
        <v>57</v>
      </c>
      <c r="K4020">
        <v>3</v>
      </c>
      <c r="L4020" t="s">
        <v>34</v>
      </c>
      <c r="M4020" t="s">
        <v>24</v>
      </c>
      <c r="N4020" t="s">
        <v>23</v>
      </c>
      <c r="O4020">
        <v>0</v>
      </c>
      <c r="P4020" t="s">
        <v>36</v>
      </c>
      <c r="Q4020" t="s">
        <v>37</v>
      </c>
      <c r="R4020" s="1">
        <v>0.1</v>
      </c>
      <c r="S4020">
        <f t="shared" si="248"/>
        <v>0</v>
      </c>
      <c r="T4020">
        <f>IFERROR(VLOOKUP(A4020,Table1[[Customer ID]:[Discount Amount]], 6, FALSE),"Not Found")</f>
        <v>0</v>
      </c>
      <c r="U4020" t="str">
        <f t="shared" si="249"/>
        <v>Debit Card</v>
      </c>
      <c r="V4020" s="4" t="str">
        <f t="shared" si="250"/>
        <v>Normal</v>
      </c>
      <c r="W4020" s="4" t="str">
        <f t="shared" si="251"/>
        <v>Good</v>
      </c>
      <c r="X4020" s="4">
        <f>AVERAGE(Table1[Purchase Amount])</f>
        <v>129.48419400000012</v>
      </c>
    </row>
    <row r="4021" spans="1:24" ht="15" customHeight="1" x14ac:dyDescent="0.25">
      <c r="A4021">
        <v>4119</v>
      </c>
      <c r="B4021">
        <v>57</v>
      </c>
      <c r="C4021" t="s">
        <v>27</v>
      </c>
      <c r="D4021" t="s">
        <v>72</v>
      </c>
      <c r="E4021" t="s">
        <v>18</v>
      </c>
      <c r="F4021" s="2">
        <v>586.22</v>
      </c>
      <c r="G4021" t="s">
        <v>139</v>
      </c>
      <c r="H4021" t="s">
        <v>55</v>
      </c>
      <c r="I4021" t="s">
        <v>32</v>
      </c>
      <c r="J4021" t="s">
        <v>22</v>
      </c>
      <c r="K4021">
        <v>1</v>
      </c>
      <c r="L4021" t="s">
        <v>23</v>
      </c>
      <c r="M4021" t="s">
        <v>24</v>
      </c>
      <c r="N4021" t="s">
        <v>23</v>
      </c>
      <c r="O4021">
        <v>46</v>
      </c>
      <c r="P4021" t="s">
        <v>36</v>
      </c>
      <c r="Q4021" t="s">
        <v>37</v>
      </c>
      <c r="R4021" s="1">
        <v>0.1</v>
      </c>
      <c r="S4021">
        <f t="shared" si="248"/>
        <v>527.59800000000007</v>
      </c>
      <c r="T4021">
        <f>IFERROR(VLOOKUP(A4021,Table1[[Customer ID]:[Discount Amount]], 6, FALSE),"Not Found")</f>
        <v>586.22</v>
      </c>
      <c r="U4021" t="str">
        <f t="shared" si="249"/>
        <v>Debit Card</v>
      </c>
      <c r="V4021" s="4" t="str">
        <f t="shared" si="250"/>
        <v>Normal</v>
      </c>
      <c r="W4021" s="4" t="str">
        <f t="shared" si="251"/>
        <v>Poor</v>
      </c>
      <c r="X4021" s="4">
        <f>AVERAGE(Table1[Purchase Amount])</f>
        <v>129.48419400000012</v>
      </c>
    </row>
    <row r="4022" spans="1:24" ht="15" customHeight="1" x14ac:dyDescent="0.25">
      <c r="A4022">
        <v>4120</v>
      </c>
      <c r="B4022">
        <v>65</v>
      </c>
      <c r="C4022" t="s">
        <v>71</v>
      </c>
      <c r="D4022" t="s">
        <v>112</v>
      </c>
      <c r="E4022" t="s">
        <v>18</v>
      </c>
      <c r="F4022" s="2">
        <v>0</v>
      </c>
      <c r="G4022" t="s">
        <v>139</v>
      </c>
      <c r="H4022" t="s">
        <v>55</v>
      </c>
      <c r="I4022" t="s">
        <v>93</v>
      </c>
      <c r="J4022" t="s">
        <v>22</v>
      </c>
      <c r="K4022">
        <v>1</v>
      </c>
      <c r="L4022" t="s">
        <v>34</v>
      </c>
      <c r="M4022" t="s">
        <v>24</v>
      </c>
      <c r="N4022" t="s">
        <v>23</v>
      </c>
      <c r="O4022">
        <v>0</v>
      </c>
      <c r="P4022" t="s">
        <v>36</v>
      </c>
      <c r="Q4022" t="s">
        <v>42</v>
      </c>
      <c r="R4022" s="1">
        <v>0.1</v>
      </c>
      <c r="S4022">
        <f t="shared" si="248"/>
        <v>0</v>
      </c>
      <c r="T4022">
        <f>IFERROR(VLOOKUP(A4022,Table1[[Customer ID]:[Discount Amount]], 6, FALSE),"Not Found")</f>
        <v>0</v>
      </c>
      <c r="U4022" t="str">
        <f t="shared" si="249"/>
        <v>Debit Card</v>
      </c>
      <c r="V4022" s="4" t="str">
        <f t="shared" si="250"/>
        <v>Normal</v>
      </c>
      <c r="W4022" s="4" t="str">
        <f t="shared" si="251"/>
        <v>Poor</v>
      </c>
      <c r="X4022" s="4">
        <f>AVERAGE(Table1[Purchase Amount])</f>
        <v>129.48419400000012</v>
      </c>
    </row>
    <row r="4023" spans="1:24" ht="15" customHeight="1" x14ac:dyDescent="0.25">
      <c r="A4023">
        <v>4121</v>
      </c>
      <c r="B4023">
        <v>38</v>
      </c>
      <c r="C4023" t="s">
        <v>71</v>
      </c>
      <c r="D4023" t="s">
        <v>117</v>
      </c>
      <c r="E4023" t="s">
        <v>29</v>
      </c>
      <c r="F4023" s="2">
        <v>917.62</v>
      </c>
      <c r="G4023" t="s">
        <v>126</v>
      </c>
      <c r="H4023" t="s">
        <v>45</v>
      </c>
      <c r="I4023" t="s">
        <v>32</v>
      </c>
      <c r="J4023" t="s">
        <v>57</v>
      </c>
      <c r="K4023">
        <v>4</v>
      </c>
      <c r="L4023" t="s">
        <v>34</v>
      </c>
      <c r="M4023" t="s">
        <v>24</v>
      </c>
      <c r="N4023" t="s">
        <v>34</v>
      </c>
      <c r="O4023">
        <v>0</v>
      </c>
      <c r="P4023" t="s">
        <v>25</v>
      </c>
      <c r="Q4023" t="s">
        <v>42</v>
      </c>
      <c r="R4023" s="1">
        <v>0.1</v>
      </c>
      <c r="S4023">
        <f t="shared" si="248"/>
        <v>825.85799999999995</v>
      </c>
      <c r="T4023">
        <f>IFERROR(VLOOKUP(A4023,Table1[[Customer ID]:[Discount Amount]], 6, FALSE),"Not Found")</f>
        <v>917.62</v>
      </c>
      <c r="U4023" t="str">
        <f t="shared" si="249"/>
        <v>Cash</v>
      </c>
      <c r="V4023" s="4" t="str">
        <f t="shared" si="250"/>
        <v>Normal</v>
      </c>
      <c r="W4023" s="4" t="str">
        <f t="shared" si="251"/>
        <v>Good</v>
      </c>
      <c r="X4023" s="4">
        <f>AVERAGE(Table1[Purchase Amount])</f>
        <v>129.48419400000012</v>
      </c>
    </row>
    <row r="4024" spans="1:24" ht="15" customHeight="1" x14ac:dyDescent="0.25">
      <c r="A4024">
        <v>4122</v>
      </c>
      <c r="B4024">
        <v>44</v>
      </c>
      <c r="C4024" t="s">
        <v>71</v>
      </c>
      <c r="D4024" t="s">
        <v>80</v>
      </c>
      <c r="E4024" t="s">
        <v>29</v>
      </c>
      <c r="F4024" s="2">
        <v>307.64</v>
      </c>
      <c r="G4024" t="s">
        <v>73</v>
      </c>
      <c r="H4024" t="s">
        <v>55</v>
      </c>
      <c r="I4024" t="s">
        <v>74</v>
      </c>
      <c r="J4024" t="s">
        <v>22</v>
      </c>
      <c r="K4024">
        <v>1</v>
      </c>
      <c r="L4024" t="s">
        <v>34</v>
      </c>
      <c r="M4024" t="s">
        <v>61</v>
      </c>
      <c r="N4024" t="s">
        <v>23</v>
      </c>
      <c r="O4024">
        <v>32</v>
      </c>
      <c r="P4024" t="s">
        <v>58</v>
      </c>
      <c r="Q4024" t="s">
        <v>42</v>
      </c>
      <c r="R4024" s="1">
        <v>0.1</v>
      </c>
      <c r="S4024">
        <f t="shared" si="248"/>
        <v>276.87599999999998</v>
      </c>
      <c r="T4024">
        <f>IFERROR(VLOOKUP(A4024,Table1[[Customer ID]:[Discount Amount]], 6, FALSE),"Not Found")</f>
        <v>307.64</v>
      </c>
      <c r="U4024" t="str">
        <f t="shared" si="249"/>
        <v>PayPal</v>
      </c>
      <c r="V4024" s="4" t="str">
        <f t="shared" si="250"/>
        <v>Normal</v>
      </c>
      <c r="W4024" s="4" t="str">
        <f t="shared" si="251"/>
        <v>Poor</v>
      </c>
      <c r="X4024" s="4">
        <f>AVERAGE(Table1[Purchase Amount])</f>
        <v>129.48419400000012</v>
      </c>
    </row>
    <row r="4025" spans="1:24" ht="15" customHeight="1" x14ac:dyDescent="0.25">
      <c r="A4025">
        <v>4123</v>
      </c>
      <c r="B4025">
        <v>26</v>
      </c>
      <c r="C4025" t="s">
        <v>16</v>
      </c>
      <c r="D4025" t="s">
        <v>38</v>
      </c>
      <c r="E4025" t="s">
        <v>18</v>
      </c>
      <c r="F4025" s="2">
        <v>1131.2</v>
      </c>
      <c r="G4025" t="s">
        <v>101</v>
      </c>
      <c r="H4025" t="s">
        <v>20</v>
      </c>
      <c r="I4025" t="s">
        <v>32</v>
      </c>
      <c r="J4025" t="s">
        <v>57</v>
      </c>
      <c r="K4025">
        <v>2</v>
      </c>
      <c r="L4025" t="s">
        <v>23</v>
      </c>
      <c r="M4025" t="s">
        <v>24</v>
      </c>
      <c r="N4025" t="s">
        <v>34</v>
      </c>
      <c r="O4025">
        <v>0</v>
      </c>
      <c r="P4025" t="s">
        <v>53</v>
      </c>
      <c r="Q4025" t="s">
        <v>37</v>
      </c>
      <c r="R4025" s="1">
        <v>0.1</v>
      </c>
      <c r="S4025">
        <f t="shared" si="248"/>
        <v>1018.08</v>
      </c>
      <c r="T4025">
        <f>IFERROR(VLOOKUP(A4025,Table1[[Customer ID]:[Discount Amount]], 6, FALSE),"Not Found")</f>
        <v>1131.2</v>
      </c>
      <c r="U4025" t="str">
        <f t="shared" si="249"/>
        <v>Credit Card</v>
      </c>
      <c r="V4025" s="4" t="str">
        <f t="shared" si="250"/>
        <v>Normal</v>
      </c>
      <c r="W4025" s="4" t="str">
        <f t="shared" si="251"/>
        <v>Poor</v>
      </c>
      <c r="X4025" s="4">
        <f>AVERAGE(Table1[Purchase Amount])</f>
        <v>129.48419400000012</v>
      </c>
    </row>
    <row r="4026" spans="1:24" ht="15" customHeight="1" x14ac:dyDescent="0.25">
      <c r="A4026">
        <v>4124</v>
      </c>
      <c r="B4026">
        <v>46</v>
      </c>
      <c r="C4026" t="s">
        <v>71</v>
      </c>
      <c r="D4026" t="s">
        <v>38</v>
      </c>
      <c r="E4026" t="s">
        <v>81</v>
      </c>
      <c r="F4026" s="2">
        <v>0</v>
      </c>
      <c r="G4026" t="s">
        <v>126</v>
      </c>
      <c r="H4026" t="s">
        <v>31</v>
      </c>
      <c r="I4026" t="s">
        <v>46</v>
      </c>
      <c r="J4026" t="s">
        <v>22</v>
      </c>
      <c r="K4026">
        <v>1</v>
      </c>
      <c r="L4026" t="s">
        <v>23</v>
      </c>
      <c r="M4026" t="s">
        <v>61</v>
      </c>
      <c r="N4026" t="s">
        <v>34</v>
      </c>
      <c r="O4026">
        <v>0</v>
      </c>
      <c r="P4026" t="s">
        <v>53</v>
      </c>
      <c r="Q4026" t="s">
        <v>42</v>
      </c>
      <c r="R4026" s="1">
        <v>0.1</v>
      </c>
      <c r="S4026">
        <f t="shared" si="248"/>
        <v>0</v>
      </c>
      <c r="T4026">
        <f>IFERROR(VLOOKUP(A4026,Table1[[Customer ID]:[Discount Amount]], 6, FALSE),"Not Found")</f>
        <v>0</v>
      </c>
      <c r="U4026" t="str">
        <f t="shared" si="249"/>
        <v>Credit Card</v>
      </c>
      <c r="V4026" s="4" t="str">
        <f t="shared" si="250"/>
        <v>Normal</v>
      </c>
      <c r="W4026" s="4" t="str">
        <f t="shared" si="251"/>
        <v>Poor</v>
      </c>
      <c r="X4026" s="4">
        <f>AVERAGE(Table1[Purchase Amount])</f>
        <v>129.48419400000012</v>
      </c>
    </row>
    <row r="4027" spans="1:24" ht="15" customHeight="1" x14ac:dyDescent="0.25">
      <c r="A4027">
        <v>4125</v>
      </c>
      <c r="B4027">
        <v>20</v>
      </c>
      <c r="C4027" t="s">
        <v>71</v>
      </c>
      <c r="D4027" t="s">
        <v>117</v>
      </c>
      <c r="E4027" t="s">
        <v>81</v>
      </c>
      <c r="F4027" s="2">
        <v>543.92999999999995</v>
      </c>
      <c r="G4027" t="s">
        <v>73</v>
      </c>
      <c r="H4027" t="s">
        <v>31</v>
      </c>
      <c r="I4027" t="s">
        <v>40</v>
      </c>
      <c r="J4027" t="s">
        <v>57</v>
      </c>
      <c r="K4027">
        <v>5</v>
      </c>
      <c r="L4027" t="s">
        <v>23</v>
      </c>
      <c r="M4027" t="s">
        <v>61</v>
      </c>
      <c r="N4027" t="s">
        <v>23</v>
      </c>
      <c r="O4027">
        <v>37</v>
      </c>
      <c r="P4027" t="s">
        <v>25</v>
      </c>
      <c r="Q4027" t="s">
        <v>26</v>
      </c>
      <c r="R4027" s="1">
        <v>0.1</v>
      </c>
      <c r="S4027">
        <f t="shared" si="248"/>
        <v>489.53699999999992</v>
      </c>
      <c r="T4027">
        <f>IFERROR(VLOOKUP(A4027,Table1[[Customer ID]:[Discount Amount]], 6, FALSE),"Not Found")</f>
        <v>543.92999999999995</v>
      </c>
      <c r="U4027" t="str">
        <f t="shared" si="249"/>
        <v>Cash</v>
      </c>
      <c r="V4027" s="4" t="str">
        <f t="shared" si="250"/>
        <v>Normal</v>
      </c>
      <c r="W4027" s="4" t="str">
        <f t="shared" si="251"/>
        <v>Good</v>
      </c>
      <c r="X4027" s="4">
        <f>AVERAGE(Table1[Purchase Amount])</f>
        <v>129.48419400000012</v>
      </c>
    </row>
    <row r="4028" spans="1:24" ht="15" customHeight="1" x14ac:dyDescent="0.25">
      <c r="A4028">
        <v>4126</v>
      </c>
      <c r="B4028">
        <v>49</v>
      </c>
      <c r="C4028" t="s">
        <v>16</v>
      </c>
      <c r="D4028" t="s">
        <v>72</v>
      </c>
      <c r="E4028" t="s">
        <v>18</v>
      </c>
      <c r="F4028" s="2">
        <v>0</v>
      </c>
      <c r="G4028" t="s">
        <v>101</v>
      </c>
      <c r="H4028" t="s">
        <v>20</v>
      </c>
      <c r="I4028" t="s">
        <v>46</v>
      </c>
      <c r="J4028" t="s">
        <v>22</v>
      </c>
      <c r="K4028">
        <v>1</v>
      </c>
      <c r="L4028" t="s">
        <v>34</v>
      </c>
      <c r="M4028" t="s">
        <v>61</v>
      </c>
      <c r="N4028" t="s">
        <v>34</v>
      </c>
      <c r="O4028">
        <v>0</v>
      </c>
      <c r="P4028" t="s">
        <v>58</v>
      </c>
      <c r="Q4028" t="s">
        <v>42</v>
      </c>
      <c r="R4028" s="1">
        <v>0.1</v>
      </c>
      <c r="S4028">
        <f t="shared" si="248"/>
        <v>0</v>
      </c>
      <c r="T4028">
        <f>IFERROR(VLOOKUP(A4028,Table1[[Customer ID]:[Discount Amount]], 6, FALSE),"Not Found")</f>
        <v>0</v>
      </c>
      <c r="U4028" t="str">
        <f t="shared" si="249"/>
        <v>PayPal</v>
      </c>
      <c r="V4028" s="4" t="str">
        <f t="shared" si="250"/>
        <v>Normal</v>
      </c>
      <c r="W4028" s="4" t="str">
        <f t="shared" si="251"/>
        <v>Poor</v>
      </c>
      <c r="X4028" s="4">
        <f>AVERAGE(Table1[Purchase Amount])</f>
        <v>129.48419400000012</v>
      </c>
    </row>
    <row r="4029" spans="1:24" ht="15" customHeight="1" x14ac:dyDescent="0.25">
      <c r="A4029">
        <v>4127</v>
      </c>
      <c r="B4029">
        <v>38</v>
      </c>
      <c r="C4029" t="s">
        <v>71</v>
      </c>
      <c r="D4029" t="s">
        <v>117</v>
      </c>
      <c r="E4029" t="s">
        <v>81</v>
      </c>
      <c r="F4029" s="2">
        <v>1132.97</v>
      </c>
      <c r="G4029" t="s">
        <v>139</v>
      </c>
      <c r="H4029" t="s">
        <v>31</v>
      </c>
      <c r="I4029" t="s">
        <v>74</v>
      </c>
      <c r="J4029" t="s">
        <v>33</v>
      </c>
      <c r="K4029">
        <v>3</v>
      </c>
      <c r="L4029" t="s">
        <v>23</v>
      </c>
      <c r="M4029" t="s">
        <v>61</v>
      </c>
      <c r="N4029" t="s">
        <v>23</v>
      </c>
      <c r="O4029">
        <v>10</v>
      </c>
      <c r="P4029" t="s">
        <v>36</v>
      </c>
      <c r="Q4029" t="s">
        <v>42</v>
      </c>
      <c r="R4029" s="1">
        <v>0.1</v>
      </c>
      <c r="S4029">
        <f t="shared" si="248"/>
        <v>1019.673</v>
      </c>
      <c r="T4029">
        <f>IFERROR(VLOOKUP(A4029,Table1[[Customer ID]:[Discount Amount]], 6, FALSE),"Not Found")</f>
        <v>1132.97</v>
      </c>
      <c r="U4029" t="str">
        <f t="shared" si="249"/>
        <v>Debit Card</v>
      </c>
      <c r="V4029" s="4" t="str">
        <f t="shared" si="250"/>
        <v>Normal</v>
      </c>
      <c r="W4029" s="4" t="str">
        <f t="shared" si="251"/>
        <v>Good</v>
      </c>
      <c r="X4029" s="4">
        <f>AVERAGE(Table1[Purchase Amount])</f>
        <v>129.48419400000012</v>
      </c>
    </row>
    <row r="4030" spans="1:24" ht="15" customHeight="1" x14ac:dyDescent="0.25">
      <c r="A4030">
        <v>4128</v>
      </c>
      <c r="B4030">
        <v>41</v>
      </c>
      <c r="C4030" t="s">
        <v>16</v>
      </c>
      <c r="D4030" t="s">
        <v>72</v>
      </c>
      <c r="E4030" t="s">
        <v>81</v>
      </c>
      <c r="F4030" s="2">
        <v>0</v>
      </c>
      <c r="G4030" t="s">
        <v>126</v>
      </c>
      <c r="H4030" t="s">
        <v>31</v>
      </c>
      <c r="I4030" t="s">
        <v>46</v>
      </c>
      <c r="J4030" t="s">
        <v>75</v>
      </c>
      <c r="K4030">
        <v>1</v>
      </c>
      <c r="L4030" t="s">
        <v>23</v>
      </c>
      <c r="M4030" t="s">
        <v>61</v>
      </c>
      <c r="N4030" t="s">
        <v>23</v>
      </c>
      <c r="O4030">
        <v>0</v>
      </c>
      <c r="P4030" t="s">
        <v>53</v>
      </c>
      <c r="Q4030" t="s">
        <v>42</v>
      </c>
      <c r="R4030" s="1">
        <v>0.1</v>
      </c>
      <c r="S4030">
        <f t="shared" si="248"/>
        <v>0</v>
      </c>
      <c r="T4030">
        <f>IFERROR(VLOOKUP(A4030,Table1[[Customer ID]:[Discount Amount]], 6, FALSE),"Not Found")</f>
        <v>0</v>
      </c>
      <c r="U4030" t="str">
        <f t="shared" si="249"/>
        <v>Credit Card</v>
      </c>
      <c r="V4030" s="4" t="str">
        <f t="shared" si="250"/>
        <v>Normal</v>
      </c>
      <c r="W4030" s="4" t="str">
        <f t="shared" si="251"/>
        <v>Poor</v>
      </c>
      <c r="X4030" s="4">
        <f>AVERAGE(Table1[Purchase Amount])</f>
        <v>129.48419400000012</v>
      </c>
    </row>
    <row r="4031" spans="1:24" ht="15" customHeight="1" x14ac:dyDescent="0.25">
      <c r="A4031">
        <v>4129</v>
      </c>
      <c r="B4031">
        <v>40</v>
      </c>
      <c r="C4031" t="s">
        <v>71</v>
      </c>
      <c r="D4031" t="s">
        <v>95</v>
      </c>
      <c r="E4031" t="s">
        <v>81</v>
      </c>
      <c r="F4031" s="2">
        <v>70.06</v>
      </c>
      <c r="G4031" t="s">
        <v>139</v>
      </c>
      <c r="H4031" t="s">
        <v>31</v>
      </c>
      <c r="I4031" t="s">
        <v>40</v>
      </c>
      <c r="J4031" t="s">
        <v>22</v>
      </c>
      <c r="K4031">
        <v>1</v>
      </c>
      <c r="L4031" t="s">
        <v>23</v>
      </c>
      <c r="M4031" t="s">
        <v>24</v>
      </c>
      <c r="N4031" t="s">
        <v>23</v>
      </c>
      <c r="O4031">
        <v>0</v>
      </c>
      <c r="P4031" t="s">
        <v>25</v>
      </c>
      <c r="Q4031" t="s">
        <v>37</v>
      </c>
      <c r="R4031" s="1">
        <v>0.1</v>
      </c>
      <c r="S4031">
        <f t="shared" si="248"/>
        <v>63.054000000000002</v>
      </c>
      <c r="T4031">
        <f>IFERROR(VLOOKUP(A4031,Table1[[Customer ID]:[Discount Amount]], 6, FALSE),"Not Found")</f>
        <v>70.06</v>
      </c>
      <c r="U4031" t="str">
        <f t="shared" si="249"/>
        <v>Cash</v>
      </c>
      <c r="V4031" s="4" t="str">
        <f t="shared" si="250"/>
        <v>Normal</v>
      </c>
      <c r="W4031" s="4" t="str">
        <f t="shared" si="251"/>
        <v>Poor</v>
      </c>
      <c r="X4031" s="4">
        <f>AVERAGE(Table1[Purchase Amount])</f>
        <v>129.48419400000012</v>
      </c>
    </row>
    <row r="4032" spans="1:24" ht="15" customHeight="1" x14ac:dyDescent="0.25">
      <c r="A4032">
        <v>4130</v>
      </c>
      <c r="B4032">
        <v>52</v>
      </c>
      <c r="C4032" t="s">
        <v>71</v>
      </c>
      <c r="D4032" t="s">
        <v>95</v>
      </c>
      <c r="E4032" t="s">
        <v>29</v>
      </c>
      <c r="F4032" s="2">
        <v>43.99</v>
      </c>
      <c r="G4032" t="s">
        <v>126</v>
      </c>
      <c r="H4032" t="s">
        <v>31</v>
      </c>
      <c r="I4032" t="s">
        <v>46</v>
      </c>
      <c r="J4032" t="s">
        <v>75</v>
      </c>
      <c r="K4032">
        <v>1</v>
      </c>
      <c r="L4032" t="s">
        <v>23</v>
      </c>
      <c r="M4032" t="s">
        <v>61</v>
      </c>
      <c r="N4032" t="s">
        <v>34</v>
      </c>
      <c r="O4032">
        <v>1</v>
      </c>
      <c r="P4032" t="s">
        <v>36</v>
      </c>
      <c r="Q4032" t="s">
        <v>37</v>
      </c>
      <c r="R4032" s="1">
        <v>0.1</v>
      </c>
      <c r="S4032">
        <f t="shared" si="248"/>
        <v>39.591000000000001</v>
      </c>
      <c r="T4032">
        <f>IFERROR(VLOOKUP(A4032,Table1[[Customer ID]:[Discount Amount]], 6, FALSE),"Not Found")</f>
        <v>43.99</v>
      </c>
      <c r="U4032" t="str">
        <f t="shared" si="249"/>
        <v>Debit Card</v>
      </c>
      <c r="V4032" s="4" t="str">
        <f t="shared" si="250"/>
        <v>Normal</v>
      </c>
      <c r="W4032" s="4" t="str">
        <f t="shared" si="251"/>
        <v>Poor</v>
      </c>
      <c r="X4032" s="4">
        <f>AVERAGE(Table1[Purchase Amount])</f>
        <v>129.48419400000012</v>
      </c>
    </row>
    <row r="4033" spans="1:24" ht="15" customHeight="1" x14ac:dyDescent="0.25">
      <c r="A4033">
        <v>4131</v>
      </c>
      <c r="B4033">
        <v>44</v>
      </c>
      <c r="C4033" t="s">
        <v>27</v>
      </c>
      <c r="D4033" t="s">
        <v>95</v>
      </c>
      <c r="E4033" t="s">
        <v>81</v>
      </c>
      <c r="F4033" s="2">
        <v>418.13</v>
      </c>
      <c r="G4033" t="s">
        <v>82</v>
      </c>
      <c r="H4033" t="s">
        <v>31</v>
      </c>
      <c r="I4033" t="s">
        <v>46</v>
      </c>
      <c r="J4033" t="s">
        <v>33</v>
      </c>
      <c r="K4033">
        <v>4</v>
      </c>
      <c r="L4033" t="s">
        <v>23</v>
      </c>
      <c r="M4033" t="s">
        <v>24</v>
      </c>
      <c r="N4033" t="s">
        <v>34</v>
      </c>
      <c r="O4033">
        <v>0</v>
      </c>
      <c r="P4033" t="s">
        <v>53</v>
      </c>
      <c r="Q4033" t="s">
        <v>26</v>
      </c>
      <c r="R4033" s="1">
        <v>0.1</v>
      </c>
      <c r="S4033">
        <f t="shared" si="248"/>
        <v>376.31700000000001</v>
      </c>
      <c r="T4033">
        <f>IFERROR(VLOOKUP(A4033,Table1[[Customer ID]:[Discount Amount]], 6, FALSE),"Not Found")</f>
        <v>418.13</v>
      </c>
      <c r="U4033" t="str">
        <f t="shared" si="249"/>
        <v>Credit Card</v>
      </c>
      <c r="V4033" s="4" t="str">
        <f t="shared" si="250"/>
        <v>Normal</v>
      </c>
      <c r="W4033" s="4" t="str">
        <f t="shared" si="251"/>
        <v>Good</v>
      </c>
      <c r="X4033" s="4">
        <f>AVERAGE(Table1[Purchase Amount])</f>
        <v>129.48419400000012</v>
      </c>
    </row>
    <row r="4034" spans="1:24" ht="15" customHeight="1" x14ac:dyDescent="0.25">
      <c r="A4034">
        <v>4132</v>
      </c>
      <c r="B4034">
        <v>62</v>
      </c>
      <c r="C4034" t="s">
        <v>27</v>
      </c>
      <c r="D4034" t="s">
        <v>116</v>
      </c>
      <c r="E4034" t="s">
        <v>81</v>
      </c>
      <c r="F4034" s="2">
        <v>33.92</v>
      </c>
      <c r="G4034" t="s">
        <v>82</v>
      </c>
      <c r="H4034" t="s">
        <v>31</v>
      </c>
      <c r="I4034" t="s">
        <v>93</v>
      </c>
      <c r="J4034" t="s">
        <v>75</v>
      </c>
      <c r="K4034">
        <v>1</v>
      </c>
      <c r="L4034" t="s">
        <v>23</v>
      </c>
      <c r="M4034" t="s">
        <v>61</v>
      </c>
      <c r="N4034" t="s">
        <v>34</v>
      </c>
      <c r="O4034">
        <v>0</v>
      </c>
      <c r="P4034" t="s">
        <v>58</v>
      </c>
      <c r="Q4034" t="s">
        <v>26</v>
      </c>
      <c r="R4034" s="1">
        <v>0.1</v>
      </c>
      <c r="S4034">
        <f t="shared" ref="S4034:S4097" si="252">F4034-(F4034*R4034)</f>
        <v>30.528000000000002</v>
      </c>
      <c r="T4034">
        <f>IFERROR(VLOOKUP(A4034,Table1[[Customer ID]:[Discount Amount]], 6, FALSE),"Not Found")</f>
        <v>33.92</v>
      </c>
      <c r="U4034" t="str">
        <f t="shared" ref="U4034:U4097" si="253">INDEX(P:P, MATCH(A4034, A:A, 0))</f>
        <v>PayPal</v>
      </c>
      <c r="V4034" s="4" t="str">
        <f t="shared" ref="V4034:V4097" si="254">IF(AND(F4034&gt;1000,K4034&gt;=4),"Best Customer","Normal")</f>
        <v>Normal</v>
      </c>
      <c r="W4034" s="4" t="str">
        <f t="shared" ref="W4034:W4097" si="255">IF(K4034&gt;=3,"Good","Poor")</f>
        <v>Poor</v>
      </c>
      <c r="X4034" s="4">
        <f>AVERAGE(Table1[Purchase Amount])</f>
        <v>129.48419400000012</v>
      </c>
    </row>
    <row r="4035" spans="1:24" ht="15" customHeight="1" x14ac:dyDescent="0.25">
      <c r="A4035">
        <v>4133</v>
      </c>
      <c r="B4035">
        <v>54</v>
      </c>
      <c r="C4035" t="s">
        <v>71</v>
      </c>
      <c r="D4035" t="s">
        <v>72</v>
      </c>
      <c r="E4035" t="s">
        <v>29</v>
      </c>
      <c r="F4035" s="2">
        <v>0</v>
      </c>
      <c r="G4035" t="s">
        <v>82</v>
      </c>
      <c r="H4035" t="s">
        <v>55</v>
      </c>
      <c r="I4035" t="s">
        <v>46</v>
      </c>
      <c r="J4035" t="s">
        <v>33</v>
      </c>
      <c r="K4035">
        <v>2</v>
      </c>
      <c r="L4035" t="s">
        <v>34</v>
      </c>
      <c r="M4035" t="s">
        <v>24</v>
      </c>
      <c r="N4035" t="s">
        <v>34</v>
      </c>
      <c r="O4035">
        <v>0</v>
      </c>
      <c r="P4035" t="s">
        <v>36</v>
      </c>
      <c r="Q4035" t="s">
        <v>42</v>
      </c>
      <c r="R4035" s="1">
        <v>0.1</v>
      </c>
      <c r="S4035">
        <f t="shared" si="252"/>
        <v>0</v>
      </c>
      <c r="T4035">
        <f>IFERROR(VLOOKUP(A4035,Table1[[Customer ID]:[Discount Amount]], 6, FALSE),"Not Found")</f>
        <v>0</v>
      </c>
      <c r="U4035" t="str">
        <f t="shared" si="253"/>
        <v>Debit Card</v>
      </c>
      <c r="V4035" s="4" t="str">
        <f t="shared" si="254"/>
        <v>Normal</v>
      </c>
      <c r="W4035" s="4" t="str">
        <f t="shared" si="255"/>
        <v>Poor</v>
      </c>
      <c r="X4035" s="4">
        <f>AVERAGE(Table1[Purchase Amount])</f>
        <v>129.48419400000012</v>
      </c>
    </row>
    <row r="4036" spans="1:24" ht="15" customHeight="1" x14ac:dyDescent="0.25">
      <c r="A4036">
        <v>4134</v>
      </c>
      <c r="B4036">
        <v>39</v>
      </c>
      <c r="C4036" t="s">
        <v>16</v>
      </c>
      <c r="D4036" t="s">
        <v>72</v>
      </c>
      <c r="E4036" t="s">
        <v>29</v>
      </c>
      <c r="F4036" s="2">
        <v>0</v>
      </c>
      <c r="G4036" t="s">
        <v>82</v>
      </c>
      <c r="H4036" t="s">
        <v>45</v>
      </c>
      <c r="I4036" t="s">
        <v>40</v>
      </c>
      <c r="J4036" t="s">
        <v>33</v>
      </c>
      <c r="K4036">
        <v>1</v>
      </c>
      <c r="L4036" t="s">
        <v>23</v>
      </c>
      <c r="M4036" t="s">
        <v>24</v>
      </c>
      <c r="N4036" t="s">
        <v>34</v>
      </c>
      <c r="O4036">
        <v>0</v>
      </c>
      <c r="P4036" t="s">
        <v>58</v>
      </c>
      <c r="Q4036" t="s">
        <v>26</v>
      </c>
      <c r="R4036" s="1">
        <v>0.1</v>
      </c>
      <c r="S4036">
        <f t="shared" si="252"/>
        <v>0</v>
      </c>
      <c r="T4036">
        <f>IFERROR(VLOOKUP(A4036,Table1[[Customer ID]:[Discount Amount]], 6, FALSE),"Not Found")</f>
        <v>0</v>
      </c>
      <c r="U4036" t="str">
        <f t="shared" si="253"/>
        <v>PayPal</v>
      </c>
      <c r="V4036" s="4" t="str">
        <f t="shared" si="254"/>
        <v>Normal</v>
      </c>
      <c r="W4036" s="4" t="str">
        <f t="shared" si="255"/>
        <v>Poor</v>
      </c>
      <c r="X4036" s="4">
        <f>AVERAGE(Table1[Purchase Amount])</f>
        <v>129.48419400000012</v>
      </c>
    </row>
    <row r="4037" spans="1:24" ht="15" customHeight="1" x14ac:dyDescent="0.25">
      <c r="A4037">
        <v>4135</v>
      </c>
      <c r="B4037">
        <v>32</v>
      </c>
      <c r="C4037" t="s">
        <v>27</v>
      </c>
      <c r="D4037" t="s">
        <v>95</v>
      </c>
      <c r="E4037" t="s">
        <v>18</v>
      </c>
      <c r="F4037" s="2">
        <v>0</v>
      </c>
      <c r="G4037" t="s">
        <v>126</v>
      </c>
      <c r="H4037" t="s">
        <v>20</v>
      </c>
      <c r="I4037" t="s">
        <v>46</v>
      </c>
      <c r="J4037" t="s">
        <v>22</v>
      </c>
      <c r="K4037">
        <v>5</v>
      </c>
      <c r="L4037" t="s">
        <v>23</v>
      </c>
      <c r="M4037" t="s">
        <v>24</v>
      </c>
      <c r="N4037" t="s">
        <v>34</v>
      </c>
      <c r="O4037">
        <v>41</v>
      </c>
      <c r="P4037" t="s">
        <v>53</v>
      </c>
      <c r="Q4037" t="s">
        <v>26</v>
      </c>
      <c r="R4037" s="1">
        <v>0.1</v>
      </c>
      <c r="S4037">
        <f t="shared" si="252"/>
        <v>0</v>
      </c>
      <c r="T4037">
        <f>IFERROR(VLOOKUP(A4037,Table1[[Customer ID]:[Discount Amount]], 6, FALSE),"Not Found")</f>
        <v>0</v>
      </c>
      <c r="U4037" t="str">
        <f t="shared" si="253"/>
        <v>Credit Card</v>
      </c>
      <c r="V4037" s="4" t="str">
        <f t="shared" si="254"/>
        <v>Normal</v>
      </c>
      <c r="W4037" s="4" t="str">
        <f t="shared" si="255"/>
        <v>Good</v>
      </c>
      <c r="X4037" s="4">
        <f>AVERAGE(Table1[Purchase Amount])</f>
        <v>129.48419400000012</v>
      </c>
    </row>
    <row r="4038" spans="1:24" ht="15" customHeight="1" x14ac:dyDescent="0.25">
      <c r="A4038">
        <v>4136</v>
      </c>
      <c r="B4038">
        <v>70</v>
      </c>
      <c r="C4038" t="s">
        <v>71</v>
      </c>
      <c r="D4038" t="s">
        <v>117</v>
      </c>
      <c r="E4038" t="s">
        <v>81</v>
      </c>
      <c r="F4038" s="2">
        <v>0</v>
      </c>
      <c r="G4038" t="s">
        <v>101</v>
      </c>
      <c r="H4038" t="s">
        <v>31</v>
      </c>
      <c r="I4038" t="s">
        <v>46</v>
      </c>
      <c r="J4038" t="s">
        <v>57</v>
      </c>
      <c r="K4038">
        <v>1</v>
      </c>
      <c r="L4038" t="s">
        <v>34</v>
      </c>
      <c r="M4038" t="s">
        <v>61</v>
      </c>
      <c r="N4038" t="s">
        <v>23</v>
      </c>
      <c r="O4038">
        <v>0</v>
      </c>
      <c r="P4038" t="s">
        <v>36</v>
      </c>
      <c r="Q4038" t="s">
        <v>42</v>
      </c>
      <c r="R4038" s="1">
        <v>0.1</v>
      </c>
      <c r="S4038">
        <f t="shared" si="252"/>
        <v>0</v>
      </c>
      <c r="T4038">
        <f>IFERROR(VLOOKUP(A4038,Table1[[Customer ID]:[Discount Amount]], 6, FALSE),"Not Found")</f>
        <v>0</v>
      </c>
      <c r="U4038" t="str">
        <f t="shared" si="253"/>
        <v>Debit Card</v>
      </c>
      <c r="V4038" s="4" t="str">
        <f t="shared" si="254"/>
        <v>Normal</v>
      </c>
      <c r="W4038" s="4" t="str">
        <f t="shared" si="255"/>
        <v>Poor</v>
      </c>
      <c r="X4038" s="4">
        <f>AVERAGE(Table1[Purchase Amount])</f>
        <v>129.48419400000012</v>
      </c>
    </row>
    <row r="4039" spans="1:24" ht="15" customHeight="1" x14ac:dyDescent="0.25">
      <c r="A4039">
        <v>4137</v>
      </c>
      <c r="B4039">
        <v>50</v>
      </c>
      <c r="C4039" t="s">
        <v>71</v>
      </c>
      <c r="D4039" t="s">
        <v>95</v>
      </c>
      <c r="E4039" t="s">
        <v>29</v>
      </c>
      <c r="F4039" s="2">
        <v>0</v>
      </c>
      <c r="G4039" t="s">
        <v>82</v>
      </c>
      <c r="H4039" t="s">
        <v>45</v>
      </c>
      <c r="I4039" t="s">
        <v>74</v>
      </c>
      <c r="J4039" t="s">
        <v>75</v>
      </c>
      <c r="K4039">
        <v>2</v>
      </c>
      <c r="L4039" t="s">
        <v>34</v>
      </c>
      <c r="M4039" t="s">
        <v>61</v>
      </c>
      <c r="N4039" t="s">
        <v>23</v>
      </c>
      <c r="O4039">
        <v>0</v>
      </c>
      <c r="P4039" t="s">
        <v>58</v>
      </c>
      <c r="Q4039" t="s">
        <v>26</v>
      </c>
      <c r="R4039" s="1">
        <v>0.1</v>
      </c>
      <c r="S4039">
        <f t="shared" si="252"/>
        <v>0</v>
      </c>
      <c r="T4039">
        <f>IFERROR(VLOOKUP(A4039,Table1[[Customer ID]:[Discount Amount]], 6, FALSE),"Not Found")</f>
        <v>0</v>
      </c>
      <c r="U4039" t="str">
        <f t="shared" si="253"/>
        <v>PayPal</v>
      </c>
      <c r="V4039" s="4" t="str">
        <f t="shared" si="254"/>
        <v>Normal</v>
      </c>
      <c r="W4039" s="4" t="str">
        <f t="shared" si="255"/>
        <v>Poor</v>
      </c>
      <c r="X4039" s="4">
        <f>AVERAGE(Table1[Purchase Amount])</f>
        <v>129.48419400000012</v>
      </c>
    </row>
    <row r="4040" spans="1:24" ht="15" customHeight="1" x14ac:dyDescent="0.25">
      <c r="A4040">
        <v>4138</v>
      </c>
      <c r="B4040">
        <v>40</v>
      </c>
      <c r="C4040" t="s">
        <v>16</v>
      </c>
      <c r="D4040" t="s">
        <v>38</v>
      </c>
      <c r="E4040" t="s">
        <v>81</v>
      </c>
      <c r="F4040" s="2">
        <v>780.59</v>
      </c>
      <c r="G4040" t="s">
        <v>82</v>
      </c>
      <c r="H4040" t="s">
        <v>31</v>
      </c>
      <c r="I4040" t="s">
        <v>74</v>
      </c>
      <c r="J4040" t="s">
        <v>75</v>
      </c>
      <c r="K4040">
        <v>1</v>
      </c>
      <c r="L4040" t="s">
        <v>23</v>
      </c>
      <c r="M4040" t="s">
        <v>24</v>
      </c>
      <c r="N4040" t="s">
        <v>23</v>
      </c>
      <c r="O4040">
        <v>0</v>
      </c>
      <c r="P4040" t="s">
        <v>58</v>
      </c>
      <c r="Q4040" t="s">
        <v>26</v>
      </c>
      <c r="R4040" s="1">
        <v>0.1</v>
      </c>
      <c r="S4040">
        <f t="shared" si="252"/>
        <v>702.53100000000006</v>
      </c>
      <c r="T4040">
        <f>IFERROR(VLOOKUP(A4040,Table1[[Customer ID]:[Discount Amount]], 6, FALSE),"Not Found")</f>
        <v>780.59</v>
      </c>
      <c r="U4040" t="str">
        <f t="shared" si="253"/>
        <v>PayPal</v>
      </c>
      <c r="V4040" s="4" t="str">
        <f t="shared" si="254"/>
        <v>Normal</v>
      </c>
      <c r="W4040" s="4" t="str">
        <f t="shared" si="255"/>
        <v>Poor</v>
      </c>
      <c r="X4040" s="4">
        <f>AVERAGE(Table1[Purchase Amount])</f>
        <v>129.48419400000012</v>
      </c>
    </row>
    <row r="4041" spans="1:24" ht="15" customHeight="1" x14ac:dyDescent="0.25">
      <c r="A4041">
        <v>4139</v>
      </c>
      <c r="B4041">
        <v>55</v>
      </c>
      <c r="C4041" t="s">
        <v>27</v>
      </c>
      <c r="D4041" t="s">
        <v>117</v>
      </c>
      <c r="E4041" t="s">
        <v>18</v>
      </c>
      <c r="F4041" s="2">
        <v>0</v>
      </c>
      <c r="G4041" t="s">
        <v>126</v>
      </c>
      <c r="H4041" t="s">
        <v>45</v>
      </c>
      <c r="I4041" t="s">
        <v>40</v>
      </c>
      <c r="J4041" t="s">
        <v>33</v>
      </c>
      <c r="K4041">
        <v>1</v>
      </c>
      <c r="L4041" t="s">
        <v>23</v>
      </c>
      <c r="M4041" t="s">
        <v>24</v>
      </c>
      <c r="N4041" t="s">
        <v>34</v>
      </c>
      <c r="O4041">
        <v>0</v>
      </c>
      <c r="P4041" t="s">
        <v>53</v>
      </c>
      <c r="Q4041" t="s">
        <v>26</v>
      </c>
      <c r="R4041" s="1">
        <v>0.1</v>
      </c>
      <c r="S4041">
        <f t="shared" si="252"/>
        <v>0</v>
      </c>
      <c r="T4041">
        <f>IFERROR(VLOOKUP(A4041,Table1[[Customer ID]:[Discount Amount]], 6, FALSE),"Not Found")</f>
        <v>0</v>
      </c>
      <c r="U4041" t="str">
        <f t="shared" si="253"/>
        <v>Credit Card</v>
      </c>
      <c r="V4041" s="4" t="str">
        <f t="shared" si="254"/>
        <v>Normal</v>
      </c>
      <c r="W4041" s="4" t="str">
        <f t="shared" si="255"/>
        <v>Poor</v>
      </c>
      <c r="X4041" s="4">
        <f>AVERAGE(Table1[Purchase Amount])</f>
        <v>129.48419400000012</v>
      </c>
    </row>
    <row r="4042" spans="1:24" ht="15" customHeight="1" x14ac:dyDescent="0.25">
      <c r="A4042">
        <v>4140</v>
      </c>
      <c r="B4042">
        <v>70</v>
      </c>
      <c r="C4042" t="s">
        <v>16</v>
      </c>
      <c r="D4042" t="s">
        <v>117</v>
      </c>
      <c r="E4042" t="s">
        <v>81</v>
      </c>
      <c r="F4042" s="2">
        <v>1281.96</v>
      </c>
      <c r="G4042" t="s">
        <v>101</v>
      </c>
      <c r="H4042" t="s">
        <v>31</v>
      </c>
      <c r="I4042" t="s">
        <v>32</v>
      </c>
      <c r="J4042" t="s">
        <v>33</v>
      </c>
      <c r="K4042">
        <v>1</v>
      </c>
      <c r="L4042" t="s">
        <v>23</v>
      </c>
      <c r="M4042" t="s">
        <v>61</v>
      </c>
      <c r="N4042" t="s">
        <v>23</v>
      </c>
      <c r="O4042">
        <v>0</v>
      </c>
      <c r="P4042" t="s">
        <v>25</v>
      </c>
      <c r="Q4042" t="s">
        <v>26</v>
      </c>
      <c r="R4042" s="1">
        <v>0.1</v>
      </c>
      <c r="S4042">
        <f t="shared" si="252"/>
        <v>1153.7640000000001</v>
      </c>
      <c r="T4042">
        <f>IFERROR(VLOOKUP(A4042,Table1[[Customer ID]:[Discount Amount]], 6, FALSE),"Not Found")</f>
        <v>1281.96</v>
      </c>
      <c r="U4042" t="str">
        <f t="shared" si="253"/>
        <v>Cash</v>
      </c>
      <c r="V4042" s="4" t="str">
        <f t="shared" si="254"/>
        <v>Normal</v>
      </c>
      <c r="W4042" s="4" t="str">
        <f t="shared" si="255"/>
        <v>Poor</v>
      </c>
      <c r="X4042" s="4">
        <f>AVERAGE(Table1[Purchase Amount])</f>
        <v>129.48419400000012</v>
      </c>
    </row>
    <row r="4043" spans="1:24" ht="15" customHeight="1" x14ac:dyDescent="0.25">
      <c r="A4043">
        <v>4141</v>
      </c>
      <c r="B4043">
        <v>58</v>
      </c>
      <c r="C4043" t="s">
        <v>71</v>
      </c>
      <c r="D4043" t="s">
        <v>117</v>
      </c>
      <c r="E4043" t="s">
        <v>81</v>
      </c>
      <c r="F4043" s="2">
        <v>1290.5</v>
      </c>
      <c r="G4043" t="s">
        <v>101</v>
      </c>
      <c r="H4043" t="s">
        <v>31</v>
      </c>
      <c r="I4043" t="s">
        <v>46</v>
      </c>
      <c r="J4043" t="s">
        <v>57</v>
      </c>
      <c r="K4043">
        <v>1</v>
      </c>
      <c r="L4043" t="s">
        <v>23</v>
      </c>
      <c r="M4043" t="s">
        <v>24</v>
      </c>
      <c r="N4043" t="s">
        <v>23</v>
      </c>
      <c r="O4043">
        <v>28</v>
      </c>
      <c r="P4043" t="s">
        <v>36</v>
      </c>
      <c r="Q4043" t="s">
        <v>42</v>
      </c>
      <c r="R4043" s="1">
        <v>0.1</v>
      </c>
      <c r="S4043">
        <f t="shared" si="252"/>
        <v>1161.45</v>
      </c>
      <c r="T4043">
        <f>IFERROR(VLOOKUP(A4043,Table1[[Customer ID]:[Discount Amount]], 6, FALSE),"Not Found")</f>
        <v>1290.5</v>
      </c>
      <c r="U4043" t="str">
        <f t="shared" si="253"/>
        <v>Debit Card</v>
      </c>
      <c r="V4043" s="4" t="str">
        <f t="shared" si="254"/>
        <v>Normal</v>
      </c>
      <c r="W4043" s="4" t="str">
        <f t="shared" si="255"/>
        <v>Poor</v>
      </c>
      <c r="X4043" s="4">
        <f>AVERAGE(Table1[Purchase Amount])</f>
        <v>129.48419400000012</v>
      </c>
    </row>
    <row r="4044" spans="1:24" ht="15" customHeight="1" x14ac:dyDescent="0.25">
      <c r="A4044">
        <v>4142</v>
      </c>
      <c r="B4044">
        <v>22</v>
      </c>
      <c r="C4044" t="s">
        <v>71</v>
      </c>
      <c r="D4044" t="s">
        <v>72</v>
      </c>
      <c r="E4044" t="s">
        <v>29</v>
      </c>
      <c r="F4044" s="2">
        <v>0</v>
      </c>
      <c r="G4044" t="s">
        <v>82</v>
      </c>
      <c r="H4044" t="s">
        <v>55</v>
      </c>
      <c r="I4044" t="s">
        <v>93</v>
      </c>
      <c r="J4044" t="s">
        <v>75</v>
      </c>
      <c r="K4044">
        <v>1</v>
      </c>
      <c r="L4044" t="s">
        <v>34</v>
      </c>
      <c r="M4044" t="s">
        <v>61</v>
      </c>
      <c r="N4044" t="s">
        <v>23</v>
      </c>
      <c r="O4044">
        <v>0</v>
      </c>
      <c r="P4044" t="s">
        <v>53</v>
      </c>
      <c r="Q4044" t="s">
        <v>42</v>
      </c>
      <c r="R4044" s="1">
        <v>0.1</v>
      </c>
      <c r="S4044">
        <f t="shared" si="252"/>
        <v>0</v>
      </c>
      <c r="T4044">
        <f>IFERROR(VLOOKUP(A4044,Table1[[Customer ID]:[Discount Amount]], 6, FALSE),"Not Found")</f>
        <v>0</v>
      </c>
      <c r="U4044" t="str">
        <f t="shared" si="253"/>
        <v>Credit Card</v>
      </c>
      <c r="V4044" s="4" t="str">
        <f t="shared" si="254"/>
        <v>Normal</v>
      </c>
      <c r="W4044" s="4" t="str">
        <f t="shared" si="255"/>
        <v>Poor</v>
      </c>
      <c r="X4044" s="4">
        <f>AVERAGE(Table1[Purchase Amount])</f>
        <v>129.48419400000012</v>
      </c>
    </row>
    <row r="4045" spans="1:24" ht="15" customHeight="1" x14ac:dyDescent="0.25">
      <c r="A4045">
        <v>4143</v>
      </c>
      <c r="B4045">
        <v>18</v>
      </c>
      <c r="C4045" t="s">
        <v>71</v>
      </c>
      <c r="D4045" t="s">
        <v>112</v>
      </c>
      <c r="E4045" t="s">
        <v>81</v>
      </c>
      <c r="F4045" s="2">
        <v>0</v>
      </c>
      <c r="G4045" t="s">
        <v>126</v>
      </c>
      <c r="H4045" t="s">
        <v>31</v>
      </c>
      <c r="I4045" t="s">
        <v>46</v>
      </c>
      <c r="J4045" t="s">
        <v>33</v>
      </c>
      <c r="K4045">
        <v>1</v>
      </c>
      <c r="L4045" t="s">
        <v>34</v>
      </c>
      <c r="M4045" t="s">
        <v>24</v>
      </c>
      <c r="N4045" t="s">
        <v>23</v>
      </c>
      <c r="O4045">
        <v>6</v>
      </c>
      <c r="P4045" t="s">
        <v>36</v>
      </c>
      <c r="Q4045" t="s">
        <v>26</v>
      </c>
      <c r="R4045" s="1">
        <v>0.1</v>
      </c>
      <c r="S4045">
        <f t="shared" si="252"/>
        <v>0</v>
      </c>
      <c r="T4045">
        <f>IFERROR(VLOOKUP(A4045,Table1[[Customer ID]:[Discount Amount]], 6, FALSE),"Not Found")</f>
        <v>0</v>
      </c>
      <c r="U4045" t="str">
        <f t="shared" si="253"/>
        <v>Debit Card</v>
      </c>
      <c r="V4045" s="4" t="str">
        <f t="shared" si="254"/>
        <v>Normal</v>
      </c>
      <c r="W4045" s="4" t="str">
        <f t="shared" si="255"/>
        <v>Poor</v>
      </c>
      <c r="X4045" s="4">
        <f>AVERAGE(Table1[Purchase Amount])</f>
        <v>129.48419400000012</v>
      </c>
    </row>
    <row r="4046" spans="1:24" ht="15" customHeight="1" x14ac:dyDescent="0.25">
      <c r="A4046">
        <v>4144</v>
      </c>
      <c r="B4046">
        <v>22</v>
      </c>
      <c r="C4046" t="s">
        <v>16</v>
      </c>
      <c r="D4046" t="s">
        <v>116</v>
      </c>
      <c r="E4046" t="s">
        <v>81</v>
      </c>
      <c r="F4046" s="2">
        <v>0</v>
      </c>
      <c r="G4046" t="s">
        <v>139</v>
      </c>
      <c r="H4046" t="s">
        <v>31</v>
      </c>
      <c r="I4046" t="s">
        <v>32</v>
      </c>
      <c r="J4046" t="s">
        <v>75</v>
      </c>
      <c r="K4046">
        <v>1</v>
      </c>
      <c r="L4046" t="s">
        <v>34</v>
      </c>
      <c r="M4046" t="s">
        <v>61</v>
      </c>
      <c r="N4046" t="s">
        <v>34</v>
      </c>
      <c r="O4046">
        <v>14</v>
      </c>
      <c r="P4046" t="s">
        <v>58</v>
      </c>
      <c r="Q4046" t="s">
        <v>37</v>
      </c>
      <c r="R4046" s="1">
        <v>0.1</v>
      </c>
      <c r="S4046">
        <f t="shared" si="252"/>
        <v>0</v>
      </c>
      <c r="T4046">
        <f>IFERROR(VLOOKUP(A4046,Table1[[Customer ID]:[Discount Amount]], 6, FALSE),"Not Found")</f>
        <v>0</v>
      </c>
      <c r="U4046" t="str">
        <f t="shared" si="253"/>
        <v>PayPal</v>
      </c>
      <c r="V4046" s="4" t="str">
        <f t="shared" si="254"/>
        <v>Normal</v>
      </c>
      <c r="W4046" s="4" t="str">
        <f t="shared" si="255"/>
        <v>Poor</v>
      </c>
      <c r="X4046" s="4">
        <f>AVERAGE(Table1[Purchase Amount])</f>
        <v>129.48419400000012</v>
      </c>
    </row>
    <row r="4047" spans="1:24" ht="15" customHeight="1" x14ac:dyDescent="0.25">
      <c r="A4047">
        <v>4145</v>
      </c>
      <c r="B4047">
        <v>19</v>
      </c>
      <c r="C4047" t="s">
        <v>71</v>
      </c>
      <c r="D4047" t="s">
        <v>95</v>
      </c>
      <c r="E4047" t="s">
        <v>29</v>
      </c>
      <c r="F4047" s="2">
        <v>83.82</v>
      </c>
      <c r="G4047" t="s">
        <v>101</v>
      </c>
      <c r="H4047" t="s">
        <v>55</v>
      </c>
      <c r="I4047" t="s">
        <v>46</v>
      </c>
      <c r="J4047" t="s">
        <v>33</v>
      </c>
      <c r="K4047">
        <v>1</v>
      </c>
      <c r="L4047" t="s">
        <v>34</v>
      </c>
      <c r="M4047" t="s">
        <v>24</v>
      </c>
      <c r="N4047" t="s">
        <v>34</v>
      </c>
      <c r="O4047">
        <v>7</v>
      </c>
      <c r="P4047" t="s">
        <v>25</v>
      </c>
      <c r="Q4047" t="s">
        <v>42</v>
      </c>
      <c r="R4047" s="1">
        <v>0.1</v>
      </c>
      <c r="S4047">
        <f t="shared" si="252"/>
        <v>75.437999999999988</v>
      </c>
      <c r="T4047">
        <f>IFERROR(VLOOKUP(A4047,Table1[[Customer ID]:[Discount Amount]], 6, FALSE),"Not Found")</f>
        <v>83.82</v>
      </c>
      <c r="U4047" t="str">
        <f t="shared" si="253"/>
        <v>Cash</v>
      </c>
      <c r="V4047" s="4" t="str">
        <f t="shared" si="254"/>
        <v>Normal</v>
      </c>
      <c r="W4047" s="4" t="str">
        <f t="shared" si="255"/>
        <v>Poor</v>
      </c>
      <c r="X4047" s="4">
        <f>AVERAGE(Table1[Purchase Amount])</f>
        <v>129.48419400000012</v>
      </c>
    </row>
    <row r="4048" spans="1:24" ht="15" customHeight="1" x14ac:dyDescent="0.25">
      <c r="A4048">
        <v>4146</v>
      </c>
      <c r="B4048">
        <v>33</v>
      </c>
      <c r="C4048" t="s">
        <v>27</v>
      </c>
      <c r="D4048" t="s">
        <v>80</v>
      </c>
      <c r="E4048" t="s">
        <v>18</v>
      </c>
      <c r="F4048" s="2">
        <v>0</v>
      </c>
      <c r="G4048" t="s">
        <v>126</v>
      </c>
      <c r="H4048" t="s">
        <v>55</v>
      </c>
      <c r="I4048" t="s">
        <v>74</v>
      </c>
      <c r="J4048" t="s">
        <v>57</v>
      </c>
      <c r="K4048">
        <v>3</v>
      </c>
      <c r="L4048" t="s">
        <v>23</v>
      </c>
      <c r="M4048" t="s">
        <v>61</v>
      </c>
      <c r="N4048" t="s">
        <v>34</v>
      </c>
      <c r="O4048">
        <v>32</v>
      </c>
      <c r="P4048" t="s">
        <v>36</v>
      </c>
      <c r="Q4048" t="s">
        <v>37</v>
      </c>
      <c r="R4048" s="1">
        <v>0.1</v>
      </c>
      <c r="S4048">
        <f t="shared" si="252"/>
        <v>0</v>
      </c>
      <c r="T4048">
        <f>IFERROR(VLOOKUP(A4048,Table1[[Customer ID]:[Discount Amount]], 6, FALSE),"Not Found")</f>
        <v>0</v>
      </c>
      <c r="U4048" t="str">
        <f t="shared" si="253"/>
        <v>Debit Card</v>
      </c>
      <c r="V4048" s="4" t="str">
        <f t="shared" si="254"/>
        <v>Normal</v>
      </c>
      <c r="W4048" s="4" t="str">
        <f t="shared" si="255"/>
        <v>Good</v>
      </c>
      <c r="X4048" s="4">
        <f>AVERAGE(Table1[Purchase Amount])</f>
        <v>129.48419400000012</v>
      </c>
    </row>
    <row r="4049" spans="1:24" ht="15" customHeight="1" x14ac:dyDescent="0.25">
      <c r="A4049">
        <v>4147</v>
      </c>
      <c r="B4049">
        <v>56</v>
      </c>
      <c r="C4049" t="s">
        <v>71</v>
      </c>
      <c r="D4049" t="s">
        <v>112</v>
      </c>
      <c r="E4049" t="s">
        <v>81</v>
      </c>
      <c r="F4049" s="2">
        <v>752.44</v>
      </c>
      <c r="G4049" t="s">
        <v>73</v>
      </c>
      <c r="H4049" t="s">
        <v>31</v>
      </c>
      <c r="I4049" t="s">
        <v>40</v>
      </c>
      <c r="J4049" t="s">
        <v>57</v>
      </c>
      <c r="K4049">
        <v>1</v>
      </c>
      <c r="L4049" t="s">
        <v>23</v>
      </c>
      <c r="M4049" t="s">
        <v>61</v>
      </c>
      <c r="N4049" t="s">
        <v>34</v>
      </c>
      <c r="O4049">
        <v>14</v>
      </c>
      <c r="P4049" t="s">
        <v>25</v>
      </c>
      <c r="Q4049" t="s">
        <v>37</v>
      </c>
      <c r="R4049" s="1">
        <v>0.1</v>
      </c>
      <c r="S4049">
        <f t="shared" si="252"/>
        <v>677.19600000000003</v>
      </c>
      <c r="T4049">
        <f>IFERROR(VLOOKUP(A4049,Table1[[Customer ID]:[Discount Amount]], 6, FALSE),"Not Found")</f>
        <v>752.44</v>
      </c>
      <c r="U4049" t="str">
        <f t="shared" si="253"/>
        <v>Cash</v>
      </c>
      <c r="V4049" s="4" t="str">
        <f t="shared" si="254"/>
        <v>Normal</v>
      </c>
      <c r="W4049" s="4" t="str">
        <f t="shared" si="255"/>
        <v>Poor</v>
      </c>
      <c r="X4049" s="4">
        <f>AVERAGE(Table1[Purchase Amount])</f>
        <v>129.48419400000012</v>
      </c>
    </row>
    <row r="4050" spans="1:24" ht="15" customHeight="1" x14ac:dyDescent="0.25">
      <c r="A4050">
        <v>4148</v>
      </c>
      <c r="B4050">
        <v>65</v>
      </c>
      <c r="C4050" t="s">
        <v>16</v>
      </c>
      <c r="D4050" t="s">
        <v>117</v>
      </c>
      <c r="E4050" t="s">
        <v>18</v>
      </c>
      <c r="F4050" s="2">
        <v>371.47</v>
      </c>
      <c r="G4050" t="s">
        <v>139</v>
      </c>
      <c r="H4050" t="s">
        <v>20</v>
      </c>
      <c r="I4050" t="s">
        <v>46</v>
      </c>
      <c r="J4050" t="s">
        <v>33</v>
      </c>
      <c r="K4050">
        <v>4</v>
      </c>
      <c r="L4050" t="s">
        <v>34</v>
      </c>
      <c r="M4050" t="s">
        <v>24</v>
      </c>
      <c r="N4050" t="s">
        <v>23</v>
      </c>
      <c r="O4050">
        <v>23</v>
      </c>
      <c r="P4050" t="s">
        <v>53</v>
      </c>
      <c r="Q4050" t="s">
        <v>42</v>
      </c>
      <c r="R4050" s="1">
        <v>0.1</v>
      </c>
      <c r="S4050">
        <f t="shared" si="252"/>
        <v>334.32300000000004</v>
      </c>
      <c r="T4050">
        <f>IFERROR(VLOOKUP(A4050,Table1[[Customer ID]:[Discount Amount]], 6, FALSE),"Not Found")</f>
        <v>371.47</v>
      </c>
      <c r="U4050" t="str">
        <f t="shared" si="253"/>
        <v>Credit Card</v>
      </c>
      <c r="V4050" s="4" t="str">
        <f t="shared" si="254"/>
        <v>Normal</v>
      </c>
      <c r="W4050" s="4" t="str">
        <f t="shared" si="255"/>
        <v>Good</v>
      </c>
      <c r="X4050" s="4">
        <f>AVERAGE(Table1[Purchase Amount])</f>
        <v>129.48419400000012</v>
      </c>
    </row>
    <row r="4051" spans="1:24" ht="15" customHeight="1" x14ac:dyDescent="0.25">
      <c r="A4051">
        <v>4149</v>
      </c>
      <c r="B4051">
        <v>55</v>
      </c>
      <c r="C4051" t="s">
        <v>16</v>
      </c>
      <c r="D4051" t="s">
        <v>80</v>
      </c>
      <c r="E4051" t="s">
        <v>18</v>
      </c>
      <c r="F4051" s="2">
        <v>0</v>
      </c>
      <c r="G4051" t="s">
        <v>82</v>
      </c>
      <c r="H4051" t="s">
        <v>55</v>
      </c>
      <c r="I4051" t="s">
        <v>74</v>
      </c>
      <c r="J4051" t="s">
        <v>33</v>
      </c>
      <c r="K4051">
        <v>1</v>
      </c>
      <c r="L4051" t="s">
        <v>34</v>
      </c>
      <c r="M4051" t="s">
        <v>24</v>
      </c>
      <c r="N4051" t="s">
        <v>23</v>
      </c>
      <c r="O4051">
        <v>0</v>
      </c>
      <c r="P4051" t="s">
        <v>58</v>
      </c>
      <c r="Q4051" t="s">
        <v>26</v>
      </c>
      <c r="R4051" s="1">
        <v>0.1</v>
      </c>
      <c r="S4051">
        <f t="shared" si="252"/>
        <v>0</v>
      </c>
      <c r="T4051">
        <f>IFERROR(VLOOKUP(A4051,Table1[[Customer ID]:[Discount Amount]], 6, FALSE),"Not Found")</f>
        <v>0</v>
      </c>
      <c r="U4051" t="str">
        <f t="shared" si="253"/>
        <v>PayPal</v>
      </c>
      <c r="V4051" s="4" t="str">
        <f t="shared" si="254"/>
        <v>Normal</v>
      </c>
      <c r="W4051" s="4" t="str">
        <f t="shared" si="255"/>
        <v>Poor</v>
      </c>
      <c r="X4051" s="4">
        <f>AVERAGE(Table1[Purchase Amount])</f>
        <v>129.48419400000012</v>
      </c>
    </row>
    <row r="4052" spans="1:24" ht="15" customHeight="1" x14ac:dyDescent="0.25">
      <c r="A4052">
        <v>4150</v>
      </c>
      <c r="B4052">
        <v>40</v>
      </c>
      <c r="C4052" t="s">
        <v>71</v>
      </c>
      <c r="D4052" t="s">
        <v>117</v>
      </c>
      <c r="E4052" t="s">
        <v>18</v>
      </c>
      <c r="F4052" s="2">
        <v>988.27</v>
      </c>
      <c r="G4052" t="s">
        <v>101</v>
      </c>
      <c r="H4052" t="s">
        <v>45</v>
      </c>
      <c r="I4052" t="s">
        <v>32</v>
      </c>
      <c r="J4052" t="s">
        <v>22</v>
      </c>
      <c r="K4052">
        <v>1</v>
      </c>
      <c r="L4052" t="s">
        <v>23</v>
      </c>
      <c r="M4052" t="s">
        <v>61</v>
      </c>
      <c r="N4052" t="s">
        <v>23</v>
      </c>
      <c r="O4052">
        <v>0</v>
      </c>
      <c r="P4052" t="s">
        <v>25</v>
      </c>
      <c r="Q4052" t="s">
        <v>26</v>
      </c>
      <c r="R4052" s="1">
        <v>0.1</v>
      </c>
      <c r="S4052">
        <f t="shared" si="252"/>
        <v>889.44299999999998</v>
      </c>
      <c r="T4052">
        <f>IFERROR(VLOOKUP(A4052,Table1[[Customer ID]:[Discount Amount]], 6, FALSE),"Not Found")</f>
        <v>988.27</v>
      </c>
      <c r="U4052" t="str">
        <f t="shared" si="253"/>
        <v>Cash</v>
      </c>
      <c r="V4052" s="4" t="str">
        <f t="shared" si="254"/>
        <v>Normal</v>
      </c>
      <c r="W4052" s="4" t="str">
        <f t="shared" si="255"/>
        <v>Poor</v>
      </c>
      <c r="X4052" s="4">
        <f>AVERAGE(Table1[Purchase Amount])</f>
        <v>129.48419400000012</v>
      </c>
    </row>
    <row r="4053" spans="1:24" ht="15" customHeight="1" x14ac:dyDescent="0.25">
      <c r="A4053">
        <v>4151</v>
      </c>
      <c r="B4053">
        <v>64</v>
      </c>
      <c r="C4053" t="s">
        <v>27</v>
      </c>
      <c r="D4053" t="s">
        <v>95</v>
      </c>
      <c r="E4053" t="s">
        <v>29</v>
      </c>
      <c r="F4053" s="2">
        <v>1384.25</v>
      </c>
      <c r="G4053" t="s">
        <v>101</v>
      </c>
      <c r="H4053" t="s">
        <v>31</v>
      </c>
      <c r="I4053" t="s">
        <v>46</v>
      </c>
      <c r="J4053" t="s">
        <v>75</v>
      </c>
      <c r="K4053">
        <v>1</v>
      </c>
      <c r="L4053" t="s">
        <v>23</v>
      </c>
      <c r="M4053" t="s">
        <v>24</v>
      </c>
      <c r="N4053" t="s">
        <v>34</v>
      </c>
      <c r="O4053">
        <v>0</v>
      </c>
      <c r="P4053" t="s">
        <v>53</v>
      </c>
      <c r="Q4053" t="s">
        <v>26</v>
      </c>
      <c r="R4053" s="1">
        <v>0.1</v>
      </c>
      <c r="S4053">
        <f t="shared" si="252"/>
        <v>1245.825</v>
      </c>
      <c r="T4053">
        <f>IFERROR(VLOOKUP(A4053,Table1[[Customer ID]:[Discount Amount]], 6, FALSE),"Not Found")</f>
        <v>1384.25</v>
      </c>
      <c r="U4053" t="str">
        <f t="shared" si="253"/>
        <v>Credit Card</v>
      </c>
      <c r="V4053" s="4" t="str">
        <f t="shared" si="254"/>
        <v>Normal</v>
      </c>
      <c r="W4053" s="4" t="str">
        <f t="shared" si="255"/>
        <v>Poor</v>
      </c>
      <c r="X4053" s="4">
        <f>AVERAGE(Table1[Purchase Amount])</f>
        <v>129.48419400000012</v>
      </c>
    </row>
    <row r="4054" spans="1:24" ht="15" customHeight="1" x14ac:dyDescent="0.25">
      <c r="A4054">
        <v>4152</v>
      </c>
      <c r="B4054">
        <v>32</v>
      </c>
      <c r="C4054" t="s">
        <v>27</v>
      </c>
      <c r="D4054" t="s">
        <v>80</v>
      </c>
      <c r="E4054" t="s">
        <v>18</v>
      </c>
      <c r="F4054" s="2">
        <v>0</v>
      </c>
      <c r="G4054" t="s">
        <v>126</v>
      </c>
      <c r="H4054" t="s">
        <v>55</v>
      </c>
      <c r="I4054" t="s">
        <v>93</v>
      </c>
      <c r="J4054" t="s">
        <v>75</v>
      </c>
      <c r="K4054">
        <v>1</v>
      </c>
      <c r="L4054" t="s">
        <v>23</v>
      </c>
      <c r="M4054" t="s">
        <v>61</v>
      </c>
      <c r="N4054" t="s">
        <v>23</v>
      </c>
      <c r="O4054">
        <v>21</v>
      </c>
      <c r="P4054" t="s">
        <v>36</v>
      </c>
      <c r="Q4054" t="s">
        <v>37</v>
      </c>
      <c r="R4054" s="1">
        <v>0.1</v>
      </c>
      <c r="S4054">
        <f t="shared" si="252"/>
        <v>0</v>
      </c>
      <c r="T4054">
        <f>IFERROR(VLOOKUP(A4054,Table1[[Customer ID]:[Discount Amount]], 6, FALSE),"Not Found")</f>
        <v>0</v>
      </c>
      <c r="U4054" t="str">
        <f t="shared" si="253"/>
        <v>Debit Card</v>
      </c>
      <c r="V4054" s="4" t="str">
        <f t="shared" si="254"/>
        <v>Normal</v>
      </c>
      <c r="W4054" s="4" t="str">
        <f t="shared" si="255"/>
        <v>Poor</v>
      </c>
      <c r="X4054" s="4">
        <f>AVERAGE(Table1[Purchase Amount])</f>
        <v>129.48419400000012</v>
      </c>
    </row>
    <row r="4055" spans="1:24" ht="15" customHeight="1" x14ac:dyDescent="0.25">
      <c r="A4055">
        <v>4153</v>
      </c>
      <c r="B4055">
        <v>67</v>
      </c>
      <c r="C4055" t="s">
        <v>71</v>
      </c>
      <c r="D4055" t="s">
        <v>72</v>
      </c>
      <c r="E4055" t="s">
        <v>29</v>
      </c>
      <c r="F4055" s="2">
        <v>0</v>
      </c>
      <c r="G4055" t="s">
        <v>82</v>
      </c>
      <c r="H4055" t="s">
        <v>31</v>
      </c>
      <c r="I4055" t="s">
        <v>46</v>
      </c>
      <c r="J4055" t="s">
        <v>33</v>
      </c>
      <c r="K4055">
        <v>1</v>
      </c>
      <c r="L4055" t="s">
        <v>23</v>
      </c>
      <c r="M4055" t="s">
        <v>61</v>
      </c>
      <c r="N4055" t="s">
        <v>23</v>
      </c>
      <c r="O4055">
        <v>31</v>
      </c>
      <c r="P4055" t="s">
        <v>53</v>
      </c>
      <c r="Q4055" t="s">
        <v>42</v>
      </c>
      <c r="R4055" s="1">
        <v>0.1</v>
      </c>
      <c r="S4055">
        <f t="shared" si="252"/>
        <v>0</v>
      </c>
      <c r="T4055">
        <f>IFERROR(VLOOKUP(A4055,Table1[[Customer ID]:[Discount Amount]], 6, FALSE),"Not Found")</f>
        <v>0</v>
      </c>
      <c r="U4055" t="str">
        <f t="shared" si="253"/>
        <v>Credit Card</v>
      </c>
      <c r="V4055" s="4" t="str">
        <f t="shared" si="254"/>
        <v>Normal</v>
      </c>
      <c r="W4055" s="4" t="str">
        <f t="shared" si="255"/>
        <v>Poor</v>
      </c>
      <c r="X4055" s="4">
        <f>AVERAGE(Table1[Purchase Amount])</f>
        <v>129.48419400000012</v>
      </c>
    </row>
    <row r="4056" spans="1:24" ht="15" customHeight="1" x14ac:dyDescent="0.25">
      <c r="A4056">
        <v>4154</v>
      </c>
      <c r="B4056">
        <v>54</v>
      </c>
      <c r="C4056" t="s">
        <v>27</v>
      </c>
      <c r="D4056" t="s">
        <v>38</v>
      </c>
      <c r="E4056" t="s">
        <v>81</v>
      </c>
      <c r="F4056" s="2">
        <v>956.35</v>
      </c>
      <c r="G4056" t="s">
        <v>82</v>
      </c>
      <c r="H4056" t="s">
        <v>31</v>
      </c>
      <c r="I4056" t="s">
        <v>46</v>
      </c>
      <c r="J4056" t="s">
        <v>33</v>
      </c>
      <c r="K4056">
        <v>1</v>
      </c>
      <c r="L4056" t="s">
        <v>34</v>
      </c>
      <c r="M4056" t="s">
        <v>61</v>
      </c>
      <c r="N4056" t="s">
        <v>34</v>
      </c>
      <c r="O4056">
        <v>0</v>
      </c>
      <c r="P4056" t="s">
        <v>53</v>
      </c>
      <c r="Q4056" t="s">
        <v>42</v>
      </c>
      <c r="R4056" s="1">
        <v>0.1</v>
      </c>
      <c r="S4056">
        <f t="shared" si="252"/>
        <v>860.71500000000003</v>
      </c>
      <c r="T4056">
        <f>IFERROR(VLOOKUP(A4056,Table1[[Customer ID]:[Discount Amount]], 6, FALSE),"Not Found")</f>
        <v>956.35</v>
      </c>
      <c r="U4056" t="str">
        <f t="shared" si="253"/>
        <v>Credit Card</v>
      </c>
      <c r="V4056" s="4" t="str">
        <f t="shared" si="254"/>
        <v>Normal</v>
      </c>
      <c r="W4056" s="4" t="str">
        <f t="shared" si="255"/>
        <v>Poor</v>
      </c>
      <c r="X4056" s="4">
        <f>AVERAGE(Table1[Purchase Amount])</f>
        <v>129.48419400000012</v>
      </c>
    </row>
    <row r="4057" spans="1:24" ht="15" customHeight="1" x14ac:dyDescent="0.25">
      <c r="A4057">
        <v>4155</v>
      </c>
      <c r="B4057">
        <v>22</v>
      </c>
      <c r="C4057" t="s">
        <v>27</v>
      </c>
      <c r="D4057" t="s">
        <v>95</v>
      </c>
      <c r="E4057" t="s">
        <v>18</v>
      </c>
      <c r="F4057" s="2">
        <v>0</v>
      </c>
      <c r="G4057" t="s">
        <v>139</v>
      </c>
      <c r="H4057" t="s">
        <v>20</v>
      </c>
      <c r="I4057" t="s">
        <v>74</v>
      </c>
      <c r="J4057" t="s">
        <v>57</v>
      </c>
      <c r="K4057">
        <v>3</v>
      </c>
      <c r="L4057" t="s">
        <v>23</v>
      </c>
      <c r="M4057" t="s">
        <v>24</v>
      </c>
      <c r="N4057" t="s">
        <v>34</v>
      </c>
      <c r="O4057">
        <v>0</v>
      </c>
      <c r="P4057" t="s">
        <v>53</v>
      </c>
      <c r="Q4057" t="s">
        <v>26</v>
      </c>
      <c r="R4057" s="1">
        <v>0.1</v>
      </c>
      <c r="S4057">
        <f t="shared" si="252"/>
        <v>0</v>
      </c>
      <c r="T4057">
        <f>IFERROR(VLOOKUP(A4057,Table1[[Customer ID]:[Discount Amount]], 6, FALSE),"Not Found")</f>
        <v>0</v>
      </c>
      <c r="U4057" t="str">
        <f t="shared" si="253"/>
        <v>Credit Card</v>
      </c>
      <c r="V4057" s="4" t="str">
        <f t="shared" si="254"/>
        <v>Normal</v>
      </c>
      <c r="W4057" s="4" t="str">
        <f t="shared" si="255"/>
        <v>Good</v>
      </c>
      <c r="X4057" s="4">
        <f>AVERAGE(Table1[Purchase Amount])</f>
        <v>129.48419400000012</v>
      </c>
    </row>
    <row r="4058" spans="1:24" ht="15" customHeight="1" x14ac:dyDescent="0.25">
      <c r="A4058">
        <v>4156</v>
      </c>
      <c r="B4058">
        <v>51</v>
      </c>
      <c r="C4058" t="s">
        <v>71</v>
      </c>
      <c r="D4058" t="s">
        <v>38</v>
      </c>
      <c r="E4058" t="s">
        <v>18</v>
      </c>
      <c r="F4058" s="2">
        <v>1398.9</v>
      </c>
      <c r="G4058" t="s">
        <v>139</v>
      </c>
      <c r="H4058" t="s">
        <v>20</v>
      </c>
      <c r="I4058" t="s">
        <v>46</v>
      </c>
      <c r="J4058" t="s">
        <v>57</v>
      </c>
      <c r="K4058">
        <v>2</v>
      </c>
      <c r="L4058" t="s">
        <v>34</v>
      </c>
      <c r="M4058" t="s">
        <v>61</v>
      </c>
      <c r="N4058" t="s">
        <v>23</v>
      </c>
      <c r="O4058">
        <v>7</v>
      </c>
      <c r="P4058" t="s">
        <v>58</v>
      </c>
      <c r="Q4058" t="s">
        <v>42</v>
      </c>
      <c r="R4058" s="1">
        <v>0.1</v>
      </c>
      <c r="S4058">
        <f t="shared" si="252"/>
        <v>1259.01</v>
      </c>
      <c r="T4058">
        <f>IFERROR(VLOOKUP(A4058,Table1[[Customer ID]:[Discount Amount]], 6, FALSE),"Not Found")</f>
        <v>1398.9</v>
      </c>
      <c r="U4058" t="str">
        <f t="shared" si="253"/>
        <v>PayPal</v>
      </c>
      <c r="V4058" s="4" t="str">
        <f t="shared" si="254"/>
        <v>Normal</v>
      </c>
      <c r="W4058" s="4" t="str">
        <f t="shared" si="255"/>
        <v>Poor</v>
      </c>
      <c r="X4058" s="4">
        <f>AVERAGE(Table1[Purchase Amount])</f>
        <v>129.48419400000012</v>
      </c>
    </row>
    <row r="4059" spans="1:24" ht="15" customHeight="1" x14ac:dyDescent="0.25">
      <c r="A4059">
        <v>4157</v>
      </c>
      <c r="B4059">
        <v>40</v>
      </c>
      <c r="C4059" t="s">
        <v>27</v>
      </c>
      <c r="D4059" t="s">
        <v>117</v>
      </c>
      <c r="E4059" t="s">
        <v>81</v>
      </c>
      <c r="F4059" s="2">
        <v>20.190000000000001</v>
      </c>
      <c r="G4059" t="s">
        <v>73</v>
      </c>
      <c r="H4059" t="s">
        <v>31</v>
      </c>
      <c r="I4059" t="s">
        <v>93</v>
      </c>
      <c r="J4059" t="s">
        <v>75</v>
      </c>
      <c r="K4059">
        <v>1</v>
      </c>
      <c r="L4059" t="s">
        <v>34</v>
      </c>
      <c r="M4059" t="s">
        <v>61</v>
      </c>
      <c r="N4059" t="s">
        <v>34</v>
      </c>
      <c r="O4059">
        <v>0</v>
      </c>
      <c r="P4059" t="s">
        <v>36</v>
      </c>
      <c r="Q4059" t="s">
        <v>37</v>
      </c>
      <c r="R4059" s="1">
        <v>0.1</v>
      </c>
      <c r="S4059">
        <f t="shared" si="252"/>
        <v>18.170999999999999</v>
      </c>
      <c r="T4059">
        <f>IFERROR(VLOOKUP(A4059,Table1[[Customer ID]:[Discount Amount]], 6, FALSE),"Not Found")</f>
        <v>20.190000000000001</v>
      </c>
      <c r="U4059" t="str">
        <f t="shared" si="253"/>
        <v>Debit Card</v>
      </c>
      <c r="V4059" s="4" t="str">
        <f t="shared" si="254"/>
        <v>Normal</v>
      </c>
      <c r="W4059" s="4" t="str">
        <f t="shared" si="255"/>
        <v>Poor</v>
      </c>
      <c r="X4059" s="4">
        <f>AVERAGE(Table1[Purchase Amount])</f>
        <v>129.48419400000012</v>
      </c>
    </row>
    <row r="4060" spans="1:24" ht="15" customHeight="1" x14ac:dyDescent="0.25">
      <c r="A4060">
        <v>4158</v>
      </c>
      <c r="B4060">
        <v>24</v>
      </c>
      <c r="C4060" t="s">
        <v>16</v>
      </c>
      <c r="D4060" t="s">
        <v>38</v>
      </c>
      <c r="E4060" t="s">
        <v>18</v>
      </c>
      <c r="F4060" s="2">
        <v>0</v>
      </c>
      <c r="G4060" t="s">
        <v>139</v>
      </c>
      <c r="H4060" t="s">
        <v>45</v>
      </c>
      <c r="I4060" t="s">
        <v>46</v>
      </c>
      <c r="J4060" t="s">
        <v>75</v>
      </c>
      <c r="K4060">
        <v>1</v>
      </c>
      <c r="L4060" t="s">
        <v>23</v>
      </c>
      <c r="M4060" t="s">
        <v>24</v>
      </c>
      <c r="N4060" t="s">
        <v>34</v>
      </c>
      <c r="O4060">
        <v>0</v>
      </c>
      <c r="P4060" t="s">
        <v>36</v>
      </c>
      <c r="Q4060" t="s">
        <v>42</v>
      </c>
      <c r="R4060" s="1">
        <v>0.1</v>
      </c>
      <c r="S4060">
        <f t="shared" si="252"/>
        <v>0</v>
      </c>
      <c r="T4060">
        <f>IFERROR(VLOOKUP(A4060,Table1[[Customer ID]:[Discount Amount]], 6, FALSE),"Not Found")</f>
        <v>0</v>
      </c>
      <c r="U4060" t="str">
        <f t="shared" si="253"/>
        <v>Debit Card</v>
      </c>
      <c r="V4060" s="4" t="str">
        <f t="shared" si="254"/>
        <v>Normal</v>
      </c>
      <c r="W4060" s="4" t="str">
        <f t="shared" si="255"/>
        <v>Poor</v>
      </c>
      <c r="X4060" s="4">
        <f>AVERAGE(Table1[Purchase Amount])</f>
        <v>129.48419400000012</v>
      </c>
    </row>
    <row r="4061" spans="1:24" ht="15" customHeight="1" x14ac:dyDescent="0.25">
      <c r="A4061">
        <v>4159</v>
      </c>
      <c r="B4061">
        <v>59</v>
      </c>
      <c r="C4061" t="s">
        <v>27</v>
      </c>
      <c r="D4061" t="s">
        <v>112</v>
      </c>
      <c r="E4061" t="s">
        <v>18</v>
      </c>
      <c r="F4061" s="2">
        <v>0</v>
      </c>
      <c r="G4061" t="s">
        <v>82</v>
      </c>
      <c r="H4061" t="s">
        <v>20</v>
      </c>
      <c r="I4061" t="s">
        <v>32</v>
      </c>
      <c r="J4061" t="s">
        <v>75</v>
      </c>
      <c r="K4061">
        <v>1</v>
      </c>
      <c r="L4061" t="s">
        <v>34</v>
      </c>
      <c r="M4061" t="s">
        <v>24</v>
      </c>
      <c r="N4061" t="s">
        <v>23</v>
      </c>
      <c r="O4061">
        <v>0</v>
      </c>
      <c r="P4061" t="s">
        <v>25</v>
      </c>
      <c r="Q4061" t="s">
        <v>42</v>
      </c>
      <c r="R4061" s="1">
        <v>0.1</v>
      </c>
      <c r="S4061">
        <f t="shared" si="252"/>
        <v>0</v>
      </c>
      <c r="T4061">
        <f>IFERROR(VLOOKUP(A4061,Table1[[Customer ID]:[Discount Amount]], 6, FALSE),"Not Found")</f>
        <v>0</v>
      </c>
      <c r="U4061" t="str">
        <f t="shared" si="253"/>
        <v>Cash</v>
      </c>
      <c r="V4061" s="4" t="str">
        <f t="shared" si="254"/>
        <v>Normal</v>
      </c>
      <c r="W4061" s="4" t="str">
        <f t="shared" si="255"/>
        <v>Poor</v>
      </c>
      <c r="X4061" s="4">
        <f>AVERAGE(Table1[Purchase Amount])</f>
        <v>129.48419400000012</v>
      </c>
    </row>
    <row r="4062" spans="1:24" ht="15" customHeight="1" x14ac:dyDescent="0.25">
      <c r="A4062">
        <v>4160</v>
      </c>
      <c r="B4062">
        <v>63</v>
      </c>
      <c r="C4062" t="s">
        <v>16</v>
      </c>
      <c r="D4062" t="s">
        <v>72</v>
      </c>
      <c r="E4062" t="s">
        <v>18</v>
      </c>
      <c r="F4062" s="2">
        <v>1264.31</v>
      </c>
      <c r="G4062" t="s">
        <v>101</v>
      </c>
      <c r="H4062" t="s">
        <v>20</v>
      </c>
      <c r="I4062" t="s">
        <v>40</v>
      </c>
      <c r="J4062" t="s">
        <v>22</v>
      </c>
      <c r="K4062">
        <v>2</v>
      </c>
      <c r="L4062" t="s">
        <v>23</v>
      </c>
      <c r="M4062" t="s">
        <v>61</v>
      </c>
      <c r="N4062" t="s">
        <v>23</v>
      </c>
      <c r="O4062">
        <v>31</v>
      </c>
      <c r="P4062" t="s">
        <v>25</v>
      </c>
      <c r="Q4062" t="s">
        <v>26</v>
      </c>
      <c r="R4062" s="1">
        <v>0.1</v>
      </c>
      <c r="S4062">
        <f t="shared" si="252"/>
        <v>1137.8789999999999</v>
      </c>
      <c r="T4062">
        <f>IFERROR(VLOOKUP(A4062,Table1[[Customer ID]:[Discount Amount]], 6, FALSE),"Not Found")</f>
        <v>1264.31</v>
      </c>
      <c r="U4062" t="str">
        <f t="shared" si="253"/>
        <v>Cash</v>
      </c>
      <c r="V4062" s="4" t="str">
        <f t="shared" si="254"/>
        <v>Normal</v>
      </c>
      <c r="W4062" s="4" t="str">
        <f t="shared" si="255"/>
        <v>Poor</v>
      </c>
      <c r="X4062" s="4">
        <f>AVERAGE(Table1[Purchase Amount])</f>
        <v>129.48419400000012</v>
      </c>
    </row>
    <row r="4063" spans="1:24" ht="15" customHeight="1" x14ac:dyDescent="0.25">
      <c r="A4063">
        <v>4161</v>
      </c>
      <c r="B4063">
        <v>54</v>
      </c>
      <c r="C4063" t="s">
        <v>71</v>
      </c>
      <c r="D4063" t="s">
        <v>117</v>
      </c>
      <c r="E4063" t="s">
        <v>18</v>
      </c>
      <c r="F4063" s="2">
        <v>0</v>
      </c>
      <c r="G4063" t="s">
        <v>101</v>
      </c>
      <c r="H4063" t="s">
        <v>20</v>
      </c>
      <c r="I4063" t="s">
        <v>74</v>
      </c>
      <c r="J4063" t="s">
        <v>33</v>
      </c>
      <c r="K4063">
        <v>1</v>
      </c>
      <c r="L4063" t="s">
        <v>23</v>
      </c>
      <c r="M4063" t="s">
        <v>24</v>
      </c>
      <c r="N4063" t="s">
        <v>23</v>
      </c>
      <c r="O4063">
        <v>0</v>
      </c>
      <c r="P4063" t="s">
        <v>36</v>
      </c>
      <c r="Q4063" t="s">
        <v>26</v>
      </c>
      <c r="R4063" s="1">
        <v>0.1</v>
      </c>
      <c r="S4063">
        <f t="shared" si="252"/>
        <v>0</v>
      </c>
      <c r="T4063">
        <f>IFERROR(VLOOKUP(A4063,Table1[[Customer ID]:[Discount Amount]], 6, FALSE),"Not Found")</f>
        <v>0</v>
      </c>
      <c r="U4063" t="str">
        <f t="shared" si="253"/>
        <v>Debit Card</v>
      </c>
      <c r="V4063" s="4" t="str">
        <f t="shared" si="254"/>
        <v>Normal</v>
      </c>
      <c r="W4063" s="4" t="str">
        <f t="shared" si="255"/>
        <v>Poor</v>
      </c>
      <c r="X4063" s="4">
        <f>AVERAGE(Table1[Purchase Amount])</f>
        <v>129.48419400000012</v>
      </c>
    </row>
    <row r="4064" spans="1:24" ht="15" customHeight="1" x14ac:dyDescent="0.25">
      <c r="A4064">
        <v>4162</v>
      </c>
      <c r="B4064">
        <v>54</v>
      </c>
      <c r="C4064" t="s">
        <v>71</v>
      </c>
      <c r="D4064" t="s">
        <v>117</v>
      </c>
      <c r="E4064" t="s">
        <v>18</v>
      </c>
      <c r="F4064" s="2">
        <v>0</v>
      </c>
      <c r="G4064" t="s">
        <v>73</v>
      </c>
      <c r="H4064" t="s">
        <v>55</v>
      </c>
      <c r="I4064" t="s">
        <v>93</v>
      </c>
      <c r="J4064" t="s">
        <v>22</v>
      </c>
      <c r="K4064">
        <v>1</v>
      </c>
      <c r="L4064" t="s">
        <v>23</v>
      </c>
      <c r="M4064" t="s">
        <v>61</v>
      </c>
      <c r="N4064" t="s">
        <v>34</v>
      </c>
      <c r="O4064">
        <v>0</v>
      </c>
      <c r="P4064" t="s">
        <v>36</v>
      </c>
      <c r="Q4064" t="s">
        <v>26</v>
      </c>
      <c r="R4064" s="1">
        <v>0.1</v>
      </c>
      <c r="S4064">
        <f t="shared" si="252"/>
        <v>0</v>
      </c>
      <c r="T4064">
        <f>IFERROR(VLOOKUP(A4064,Table1[[Customer ID]:[Discount Amount]], 6, FALSE),"Not Found")</f>
        <v>0</v>
      </c>
      <c r="U4064" t="str">
        <f t="shared" si="253"/>
        <v>Debit Card</v>
      </c>
      <c r="V4064" s="4" t="str">
        <f t="shared" si="254"/>
        <v>Normal</v>
      </c>
      <c r="W4064" s="4" t="str">
        <f t="shared" si="255"/>
        <v>Poor</v>
      </c>
      <c r="X4064" s="4">
        <f>AVERAGE(Table1[Purchase Amount])</f>
        <v>129.48419400000012</v>
      </c>
    </row>
    <row r="4065" spans="1:24" ht="15" customHeight="1" x14ac:dyDescent="0.25">
      <c r="A4065">
        <v>4163</v>
      </c>
      <c r="B4065">
        <v>28</v>
      </c>
      <c r="C4065" t="s">
        <v>71</v>
      </c>
      <c r="D4065" t="s">
        <v>117</v>
      </c>
      <c r="E4065" t="s">
        <v>29</v>
      </c>
      <c r="F4065" s="2">
        <v>789.72</v>
      </c>
      <c r="G4065" t="s">
        <v>82</v>
      </c>
      <c r="H4065" t="s">
        <v>55</v>
      </c>
      <c r="I4065" t="s">
        <v>32</v>
      </c>
      <c r="J4065" t="s">
        <v>75</v>
      </c>
      <c r="K4065">
        <v>4</v>
      </c>
      <c r="L4065" t="s">
        <v>34</v>
      </c>
      <c r="M4065" t="s">
        <v>61</v>
      </c>
      <c r="N4065" t="s">
        <v>34</v>
      </c>
      <c r="O4065">
        <v>33</v>
      </c>
      <c r="P4065" t="s">
        <v>53</v>
      </c>
      <c r="Q4065" t="s">
        <v>37</v>
      </c>
      <c r="R4065" s="1">
        <v>0.1</v>
      </c>
      <c r="S4065">
        <f t="shared" si="252"/>
        <v>710.74800000000005</v>
      </c>
      <c r="T4065">
        <f>IFERROR(VLOOKUP(A4065,Table1[[Customer ID]:[Discount Amount]], 6, FALSE),"Not Found")</f>
        <v>789.72</v>
      </c>
      <c r="U4065" t="str">
        <f t="shared" si="253"/>
        <v>Credit Card</v>
      </c>
      <c r="V4065" s="4" t="str">
        <f t="shared" si="254"/>
        <v>Normal</v>
      </c>
      <c r="W4065" s="4" t="str">
        <f t="shared" si="255"/>
        <v>Good</v>
      </c>
      <c r="X4065" s="4">
        <f>AVERAGE(Table1[Purchase Amount])</f>
        <v>129.48419400000012</v>
      </c>
    </row>
    <row r="4066" spans="1:24" ht="15" customHeight="1" x14ac:dyDescent="0.25">
      <c r="A4066">
        <v>4164</v>
      </c>
      <c r="B4066">
        <v>41</v>
      </c>
      <c r="C4066" t="s">
        <v>16</v>
      </c>
      <c r="D4066" t="s">
        <v>95</v>
      </c>
      <c r="E4066" t="s">
        <v>81</v>
      </c>
      <c r="F4066" s="2">
        <v>0</v>
      </c>
      <c r="G4066" t="s">
        <v>101</v>
      </c>
      <c r="H4066" t="s">
        <v>31</v>
      </c>
      <c r="I4066" t="s">
        <v>46</v>
      </c>
      <c r="J4066" t="s">
        <v>33</v>
      </c>
      <c r="K4066">
        <v>1</v>
      </c>
      <c r="L4066" t="s">
        <v>23</v>
      </c>
      <c r="M4066" t="s">
        <v>24</v>
      </c>
      <c r="N4066" t="s">
        <v>23</v>
      </c>
      <c r="O4066">
        <v>0</v>
      </c>
      <c r="P4066" t="s">
        <v>58</v>
      </c>
      <c r="Q4066" t="s">
        <v>42</v>
      </c>
      <c r="R4066" s="1">
        <v>0.1</v>
      </c>
      <c r="S4066">
        <f t="shared" si="252"/>
        <v>0</v>
      </c>
      <c r="T4066">
        <f>IFERROR(VLOOKUP(A4066,Table1[[Customer ID]:[Discount Amount]], 6, FALSE),"Not Found")</f>
        <v>0</v>
      </c>
      <c r="U4066" t="str">
        <f t="shared" si="253"/>
        <v>PayPal</v>
      </c>
      <c r="V4066" s="4" t="str">
        <f t="shared" si="254"/>
        <v>Normal</v>
      </c>
      <c r="W4066" s="4" t="str">
        <f t="shared" si="255"/>
        <v>Poor</v>
      </c>
      <c r="X4066" s="4">
        <f>AVERAGE(Table1[Purchase Amount])</f>
        <v>129.48419400000012</v>
      </c>
    </row>
    <row r="4067" spans="1:24" ht="15" customHeight="1" x14ac:dyDescent="0.25">
      <c r="A4067">
        <v>4165</v>
      </c>
      <c r="B4067">
        <v>53</v>
      </c>
      <c r="C4067" t="s">
        <v>71</v>
      </c>
      <c r="D4067" t="s">
        <v>80</v>
      </c>
      <c r="E4067" t="s">
        <v>18</v>
      </c>
      <c r="F4067" s="2">
        <v>684.07</v>
      </c>
      <c r="G4067" t="s">
        <v>139</v>
      </c>
      <c r="H4067" t="s">
        <v>45</v>
      </c>
      <c r="I4067" t="s">
        <v>74</v>
      </c>
      <c r="J4067" t="s">
        <v>33</v>
      </c>
      <c r="K4067">
        <v>5</v>
      </c>
      <c r="L4067" t="s">
        <v>34</v>
      </c>
      <c r="M4067" t="s">
        <v>24</v>
      </c>
      <c r="N4067" t="s">
        <v>34</v>
      </c>
      <c r="O4067">
        <v>0</v>
      </c>
      <c r="P4067" t="s">
        <v>25</v>
      </c>
      <c r="Q4067" t="s">
        <v>37</v>
      </c>
      <c r="R4067" s="1">
        <v>0.1</v>
      </c>
      <c r="S4067">
        <f t="shared" si="252"/>
        <v>615.66300000000001</v>
      </c>
      <c r="T4067">
        <f>IFERROR(VLOOKUP(A4067,Table1[[Customer ID]:[Discount Amount]], 6, FALSE),"Not Found")</f>
        <v>684.07</v>
      </c>
      <c r="U4067" t="str">
        <f t="shared" si="253"/>
        <v>Cash</v>
      </c>
      <c r="V4067" s="4" t="str">
        <f t="shared" si="254"/>
        <v>Normal</v>
      </c>
      <c r="W4067" s="4" t="str">
        <f t="shared" si="255"/>
        <v>Good</v>
      </c>
      <c r="X4067" s="4">
        <f>AVERAGE(Table1[Purchase Amount])</f>
        <v>129.48419400000012</v>
      </c>
    </row>
    <row r="4068" spans="1:24" ht="15" customHeight="1" x14ac:dyDescent="0.25">
      <c r="A4068">
        <v>4166</v>
      </c>
      <c r="B4068">
        <v>35</v>
      </c>
      <c r="C4068" t="s">
        <v>27</v>
      </c>
      <c r="D4068" t="s">
        <v>116</v>
      </c>
      <c r="E4068" t="s">
        <v>29</v>
      </c>
      <c r="F4068" s="2">
        <v>251.11</v>
      </c>
      <c r="G4068" t="s">
        <v>139</v>
      </c>
      <c r="H4068" t="s">
        <v>55</v>
      </c>
      <c r="I4068" t="s">
        <v>40</v>
      </c>
      <c r="J4068" t="s">
        <v>22</v>
      </c>
      <c r="K4068">
        <v>1</v>
      </c>
      <c r="L4068" t="s">
        <v>34</v>
      </c>
      <c r="M4068" t="s">
        <v>61</v>
      </c>
      <c r="N4068" t="s">
        <v>23</v>
      </c>
      <c r="O4068">
        <v>0</v>
      </c>
      <c r="P4068" t="s">
        <v>58</v>
      </c>
      <c r="Q4068" t="s">
        <v>26</v>
      </c>
      <c r="R4068" s="1">
        <v>0.1</v>
      </c>
      <c r="S4068">
        <f t="shared" si="252"/>
        <v>225.99900000000002</v>
      </c>
      <c r="T4068">
        <f>IFERROR(VLOOKUP(A4068,Table1[[Customer ID]:[Discount Amount]], 6, FALSE),"Not Found")</f>
        <v>251.11</v>
      </c>
      <c r="U4068" t="str">
        <f t="shared" si="253"/>
        <v>PayPal</v>
      </c>
      <c r="V4068" s="4" t="str">
        <f t="shared" si="254"/>
        <v>Normal</v>
      </c>
      <c r="W4068" s="4" t="str">
        <f t="shared" si="255"/>
        <v>Poor</v>
      </c>
      <c r="X4068" s="4">
        <f>AVERAGE(Table1[Purchase Amount])</f>
        <v>129.48419400000012</v>
      </c>
    </row>
    <row r="4069" spans="1:24" ht="15" customHeight="1" x14ac:dyDescent="0.25">
      <c r="A4069">
        <v>4167</v>
      </c>
      <c r="B4069">
        <v>67</v>
      </c>
      <c r="C4069" t="s">
        <v>27</v>
      </c>
      <c r="D4069" t="s">
        <v>117</v>
      </c>
      <c r="E4069" t="s">
        <v>29</v>
      </c>
      <c r="F4069" s="2">
        <v>1300.1500000000001</v>
      </c>
      <c r="G4069" t="s">
        <v>139</v>
      </c>
      <c r="H4069" t="s">
        <v>45</v>
      </c>
      <c r="I4069" t="s">
        <v>74</v>
      </c>
      <c r="J4069" t="s">
        <v>75</v>
      </c>
      <c r="K4069">
        <v>1</v>
      </c>
      <c r="L4069" t="s">
        <v>34</v>
      </c>
      <c r="M4069" t="s">
        <v>61</v>
      </c>
      <c r="N4069" t="s">
        <v>34</v>
      </c>
      <c r="O4069">
        <v>29</v>
      </c>
      <c r="P4069" t="s">
        <v>25</v>
      </c>
      <c r="Q4069" t="s">
        <v>37</v>
      </c>
      <c r="R4069" s="1">
        <v>0.1</v>
      </c>
      <c r="S4069">
        <f t="shared" si="252"/>
        <v>1170.135</v>
      </c>
      <c r="T4069">
        <f>IFERROR(VLOOKUP(A4069,Table1[[Customer ID]:[Discount Amount]], 6, FALSE),"Not Found")</f>
        <v>1300.1500000000001</v>
      </c>
      <c r="U4069" t="str">
        <f t="shared" si="253"/>
        <v>Cash</v>
      </c>
      <c r="V4069" s="4" t="str">
        <f t="shared" si="254"/>
        <v>Normal</v>
      </c>
      <c r="W4069" s="4" t="str">
        <f t="shared" si="255"/>
        <v>Poor</v>
      </c>
      <c r="X4069" s="4">
        <f>AVERAGE(Table1[Purchase Amount])</f>
        <v>129.48419400000012</v>
      </c>
    </row>
    <row r="4070" spans="1:24" ht="15" customHeight="1" x14ac:dyDescent="0.25">
      <c r="A4070">
        <v>4168</v>
      </c>
      <c r="B4070">
        <v>35</v>
      </c>
      <c r="C4070" t="s">
        <v>16</v>
      </c>
      <c r="D4070" t="s">
        <v>80</v>
      </c>
      <c r="E4070" t="s">
        <v>29</v>
      </c>
      <c r="F4070" s="2">
        <v>0</v>
      </c>
      <c r="G4070" t="s">
        <v>126</v>
      </c>
      <c r="H4070" t="s">
        <v>55</v>
      </c>
      <c r="I4070" t="s">
        <v>46</v>
      </c>
      <c r="J4070" t="s">
        <v>22</v>
      </c>
      <c r="K4070">
        <v>1</v>
      </c>
      <c r="L4070" t="s">
        <v>23</v>
      </c>
      <c r="M4070" t="s">
        <v>24</v>
      </c>
      <c r="N4070" t="s">
        <v>23</v>
      </c>
      <c r="O4070">
        <v>0</v>
      </c>
      <c r="P4070" t="s">
        <v>53</v>
      </c>
      <c r="Q4070" t="s">
        <v>26</v>
      </c>
      <c r="R4070" s="1">
        <v>0.1</v>
      </c>
      <c r="S4070">
        <f t="shared" si="252"/>
        <v>0</v>
      </c>
      <c r="T4070">
        <f>IFERROR(VLOOKUP(A4070,Table1[[Customer ID]:[Discount Amount]], 6, FALSE),"Not Found")</f>
        <v>0</v>
      </c>
      <c r="U4070" t="str">
        <f t="shared" si="253"/>
        <v>Credit Card</v>
      </c>
      <c r="V4070" s="4" t="str">
        <f t="shared" si="254"/>
        <v>Normal</v>
      </c>
      <c r="W4070" s="4" t="str">
        <f t="shared" si="255"/>
        <v>Poor</v>
      </c>
      <c r="X4070" s="4">
        <f>AVERAGE(Table1[Purchase Amount])</f>
        <v>129.48419400000012</v>
      </c>
    </row>
    <row r="4071" spans="1:24" ht="15" customHeight="1" x14ac:dyDescent="0.25">
      <c r="A4071">
        <v>4169</v>
      </c>
      <c r="B4071">
        <v>20</v>
      </c>
      <c r="C4071" t="s">
        <v>16</v>
      </c>
      <c r="D4071" t="s">
        <v>80</v>
      </c>
      <c r="E4071" t="s">
        <v>18</v>
      </c>
      <c r="F4071" s="2">
        <v>459.33</v>
      </c>
      <c r="G4071" t="s">
        <v>126</v>
      </c>
      <c r="H4071" t="s">
        <v>45</v>
      </c>
      <c r="I4071" t="s">
        <v>40</v>
      </c>
      <c r="J4071" t="s">
        <v>33</v>
      </c>
      <c r="K4071">
        <v>2</v>
      </c>
      <c r="L4071" t="s">
        <v>34</v>
      </c>
      <c r="M4071" t="s">
        <v>24</v>
      </c>
      <c r="N4071" t="s">
        <v>23</v>
      </c>
      <c r="O4071">
        <v>0</v>
      </c>
      <c r="P4071" t="s">
        <v>58</v>
      </c>
      <c r="Q4071" t="s">
        <v>37</v>
      </c>
      <c r="R4071" s="1">
        <v>0.1</v>
      </c>
      <c r="S4071">
        <f t="shared" si="252"/>
        <v>413.39699999999999</v>
      </c>
      <c r="T4071">
        <f>IFERROR(VLOOKUP(A4071,Table1[[Customer ID]:[Discount Amount]], 6, FALSE),"Not Found")</f>
        <v>459.33</v>
      </c>
      <c r="U4071" t="str">
        <f t="shared" si="253"/>
        <v>PayPal</v>
      </c>
      <c r="V4071" s="4" t="str">
        <f t="shared" si="254"/>
        <v>Normal</v>
      </c>
      <c r="W4071" s="4" t="str">
        <f t="shared" si="255"/>
        <v>Poor</v>
      </c>
      <c r="X4071" s="4">
        <f>AVERAGE(Table1[Purchase Amount])</f>
        <v>129.48419400000012</v>
      </c>
    </row>
    <row r="4072" spans="1:24" ht="15" customHeight="1" x14ac:dyDescent="0.25">
      <c r="A4072">
        <v>4170</v>
      </c>
      <c r="B4072">
        <v>55</v>
      </c>
      <c r="C4072" t="s">
        <v>27</v>
      </c>
      <c r="D4072" t="s">
        <v>117</v>
      </c>
      <c r="E4072" t="s">
        <v>81</v>
      </c>
      <c r="F4072" s="2">
        <v>902.86</v>
      </c>
      <c r="G4072" t="s">
        <v>139</v>
      </c>
      <c r="H4072" t="s">
        <v>31</v>
      </c>
      <c r="I4072" t="s">
        <v>74</v>
      </c>
      <c r="J4072" t="s">
        <v>33</v>
      </c>
      <c r="K4072">
        <v>1</v>
      </c>
      <c r="L4072" t="s">
        <v>23</v>
      </c>
      <c r="M4072" t="s">
        <v>24</v>
      </c>
      <c r="N4072" t="s">
        <v>23</v>
      </c>
      <c r="O4072">
        <v>0</v>
      </c>
      <c r="P4072" t="s">
        <v>36</v>
      </c>
      <c r="Q4072" t="s">
        <v>37</v>
      </c>
      <c r="R4072" s="1">
        <v>0.1</v>
      </c>
      <c r="S4072">
        <f t="shared" si="252"/>
        <v>812.57400000000007</v>
      </c>
      <c r="T4072">
        <f>IFERROR(VLOOKUP(A4072,Table1[[Customer ID]:[Discount Amount]], 6, FALSE),"Not Found")</f>
        <v>902.86</v>
      </c>
      <c r="U4072" t="str">
        <f t="shared" si="253"/>
        <v>Debit Card</v>
      </c>
      <c r="V4072" s="4" t="str">
        <f t="shared" si="254"/>
        <v>Normal</v>
      </c>
      <c r="W4072" s="4" t="str">
        <f t="shared" si="255"/>
        <v>Poor</v>
      </c>
      <c r="X4072" s="4">
        <f>AVERAGE(Table1[Purchase Amount])</f>
        <v>129.48419400000012</v>
      </c>
    </row>
    <row r="4073" spans="1:24" ht="15" customHeight="1" x14ac:dyDescent="0.25">
      <c r="A4073">
        <v>4171</v>
      </c>
      <c r="B4073">
        <v>23</v>
      </c>
      <c r="C4073" t="s">
        <v>27</v>
      </c>
      <c r="D4073" t="s">
        <v>95</v>
      </c>
      <c r="E4073" t="s">
        <v>18</v>
      </c>
      <c r="F4073" s="2">
        <v>495.98</v>
      </c>
      <c r="G4073" t="s">
        <v>73</v>
      </c>
      <c r="H4073" t="s">
        <v>31</v>
      </c>
      <c r="I4073" t="s">
        <v>93</v>
      </c>
      <c r="J4073" t="s">
        <v>75</v>
      </c>
      <c r="K4073">
        <v>1</v>
      </c>
      <c r="L4073" t="s">
        <v>34</v>
      </c>
      <c r="M4073" t="s">
        <v>24</v>
      </c>
      <c r="N4073" t="s">
        <v>23</v>
      </c>
      <c r="O4073">
        <v>0</v>
      </c>
      <c r="P4073" t="s">
        <v>36</v>
      </c>
      <c r="Q4073" t="s">
        <v>26</v>
      </c>
      <c r="R4073" s="1">
        <v>0.1</v>
      </c>
      <c r="S4073">
        <f t="shared" si="252"/>
        <v>446.38200000000001</v>
      </c>
      <c r="T4073">
        <f>IFERROR(VLOOKUP(A4073,Table1[[Customer ID]:[Discount Amount]], 6, FALSE),"Not Found")</f>
        <v>495.98</v>
      </c>
      <c r="U4073" t="str">
        <f t="shared" si="253"/>
        <v>Debit Card</v>
      </c>
      <c r="V4073" s="4" t="str">
        <f t="shared" si="254"/>
        <v>Normal</v>
      </c>
      <c r="W4073" s="4" t="str">
        <f t="shared" si="255"/>
        <v>Poor</v>
      </c>
      <c r="X4073" s="4">
        <f>AVERAGE(Table1[Purchase Amount])</f>
        <v>129.48419400000012</v>
      </c>
    </row>
    <row r="4074" spans="1:24" ht="15" customHeight="1" x14ac:dyDescent="0.25">
      <c r="A4074">
        <v>4172</v>
      </c>
      <c r="B4074">
        <v>55</v>
      </c>
      <c r="C4074" t="s">
        <v>27</v>
      </c>
      <c r="D4074" t="s">
        <v>116</v>
      </c>
      <c r="E4074" t="s">
        <v>18</v>
      </c>
      <c r="F4074" s="2">
        <v>187.11</v>
      </c>
      <c r="G4074" t="s">
        <v>73</v>
      </c>
      <c r="H4074" t="s">
        <v>31</v>
      </c>
      <c r="I4074" t="s">
        <v>46</v>
      </c>
      <c r="J4074" t="s">
        <v>57</v>
      </c>
      <c r="K4074">
        <v>1</v>
      </c>
      <c r="L4074" t="s">
        <v>23</v>
      </c>
      <c r="M4074" t="s">
        <v>61</v>
      </c>
      <c r="N4074" t="s">
        <v>34</v>
      </c>
      <c r="O4074">
        <v>0</v>
      </c>
      <c r="P4074" t="s">
        <v>53</v>
      </c>
      <c r="Q4074" t="s">
        <v>42</v>
      </c>
      <c r="R4074" s="1">
        <v>0.1</v>
      </c>
      <c r="S4074">
        <f t="shared" si="252"/>
        <v>168.399</v>
      </c>
      <c r="T4074">
        <f>IFERROR(VLOOKUP(A4074,Table1[[Customer ID]:[Discount Amount]], 6, FALSE),"Not Found")</f>
        <v>187.11</v>
      </c>
      <c r="U4074" t="str">
        <f t="shared" si="253"/>
        <v>Credit Card</v>
      </c>
      <c r="V4074" s="4" t="str">
        <f t="shared" si="254"/>
        <v>Normal</v>
      </c>
      <c r="W4074" s="4" t="str">
        <f t="shared" si="255"/>
        <v>Poor</v>
      </c>
      <c r="X4074" s="4">
        <f>AVERAGE(Table1[Purchase Amount])</f>
        <v>129.48419400000012</v>
      </c>
    </row>
    <row r="4075" spans="1:24" ht="15" customHeight="1" x14ac:dyDescent="0.25">
      <c r="A4075">
        <v>4173</v>
      </c>
      <c r="B4075">
        <v>53</v>
      </c>
      <c r="C4075" t="s">
        <v>71</v>
      </c>
      <c r="D4075" t="s">
        <v>117</v>
      </c>
      <c r="E4075" t="s">
        <v>18</v>
      </c>
      <c r="F4075" s="2">
        <v>257.44</v>
      </c>
      <c r="G4075" t="s">
        <v>139</v>
      </c>
      <c r="H4075" t="s">
        <v>45</v>
      </c>
      <c r="I4075" t="s">
        <v>93</v>
      </c>
      <c r="J4075" t="s">
        <v>57</v>
      </c>
      <c r="K4075">
        <v>5</v>
      </c>
      <c r="L4075" t="s">
        <v>23</v>
      </c>
      <c r="M4075" t="s">
        <v>61</v>
      </c>
      <c r="N4075" t="s">
        <v>23</v>
      </c>
      <c r="O4075">
        <v>0</v>
      </c>
      <c r="P4075" t="s">
        <v>25</v>
      </c>
      <c r="Q4075" t="s">
        <v>37</v>
      </c>
      <c r="R4075" s="1">
        <v>0.1</v>
      </c>
      <c r="S4075">
        <f t="shared" si="252"/>
        <v>231.696</v>
      </c>
      <c r="T4075">
        <f>IFERROR(VLOOKUP(A4075,Table1[[Customer ID]:[Discount Amount]], 6, FALSE),"Not Found")</f>
        <v>257.44</v>
      </c>
      <c r="U4075" t="str">
        <f t="shared" si="253"/>
        <v>Cash</v>
      </c>
      <c r="V4075" s="4" t="str">
        <f t="shared" si="254"/>
        <v>Normal</v>
      </c>
      <c r="W4075" s="4" t="str">
        <f t="shared" si="255"/>
        <v>Good</v>
      </c>
      <c r="X4075" s="4">
        <f>AVERAGE(Table1[Purchase Amount])</f>
        <v>129.48419400000012</v>
      </c>
    </row>
    <row r="4076" spans="1:24" ht="15" customHeight="1" x14ac:dyDescent="0.25">
      <c r="A4076">
        <v>4174</v>
      </c>
      <c r="B4076">
        <v>50</v>
      </c>
      <c r="C4076" t="s">
        <v>27</v>
      </c>
      <c r="D4076" t="s">
        <v>112</v>
      </c>
      <c r="E4076" t="s">
        <v>18</v>
      </c>
      <c r="F4076" s="2">
        <v>0</v>
      </c>
      <c r="G4076" t="s">
        <v>101</v>
      </c>
      <c r="H4076" t="s">
        <v>45</v>
      </c>
      <c r="I4076" t="s">
        <v>40</v>
      </c>
      <c r="J4076" t="s">
        <v>22</v>
      </c>
      <c r="K4076">
        <v>5</v>
      </c>
      <c r="L4076" t="s">
        <v>23</v>
      </c>
      <c r="M4076" t="s">
        <v>24</v>
      </c>
      <c r="N4076" t="s">
        <v>23</v>
      </c>
      <c r="O4076">
        <v>13</v>
      </c>
      <c r="P4076" t="s">
        <v>25</v>
      </c>
      <c r="Q4076" t="s">
        <v>42</v>
      </c>
      <c r="R4076" s="1">
        <v>0.1</v>
      </c>
      <c r="S4076">
        <f t="shared" si="252"/>
        <v>0</v>
      </c>
      <c r="T4076">
        <f>IFERROR(VLOOKUP(A4076,Table1[[Customer ID]:[Discount Amount]], 6, FALSE),"Not Found")</f>
        <v>0</v>
      </c>
      <c r="U4076" t="str">
        <f t="shared" si="253"/>
        <v>Cash</v>
      </c>
      <c r="V4076" s="4" t="str">
        <f t="shared" si="254"/>
        <v>Normal</v>
      </c>
      <c r="W4076" s="4" t="str">
        <f t="shared" si="255"/>
        <v>Good</v>
      </c>
      <c r="X4076" s="4">
        <f>AVERAGE(Table1[Purchase Amount])</f>
        <v>129.48419400000012</v>
      </c>
    </row>
    <row r="4077" spans="1:24" ht="15" customHeight="1" x14ac:dyDescent="0.25">
      <c r="A4077">
        <v>4175</v>
      </c>
      <c r="B4077">
        <v>46</v>
      </c>
      <c r="C4077" t="s">
        <v>71</v>
      </c>
      <c r="D4077" t="s">
        <v>112</v>
      </c>
      <c r="E4077" t="s">
        <v>29</v>
      </c>
      <c r="F4077" s="2">
        <v>1233.29</v>
      </c>
      <c r="G4077" t="s">
        <v>126</v>
      </c>
      <c r="H4077" t="s">
        <v>55</v>
      </c>
      <c r="I4077" t="s">
        <v>74</v>
      </c>
      <c r="J4077" t="s">
        <v>33</v>
      </c>
      <c r="K4077">
        <v>1</v>
      </c>
      <c r="L4077" t="s">
        <v>23</v>
      </c>
      <c r="M4077" t="s">
        <v>61</v>
      </c>
      <c r="N4077" t="s">
        <v>34</v>
      </c>
      <c r="O4077">
        <v>8</v>
      </c>
      <c r="P4077" t="s">
        <v>53</v>
      </c>
      <c r="Q4077" t="s">
        <v>42</v>
      </c>
      <c r="R4077" s="1">
        <v>0.1</v>
      </c>
      <c r="S4077">
        <f t="shared" si="252"/>
        <v>1109.961</v>
      </c>
      <c r="T4077">
        <f>IFERROR(VLOOKUP(A4077,Table1[[Customer ID]:[Discount Amount]], 6, FALSE),"Not Found")</f>
        <v>1233.29</v>
      </c>
      <c r="U4077" t="str">
        <f t="shared" si="253"/>
        <v>Credit Card</v>
      </c>
      <c r="V4077" s="4" t="str">
        <f t="shared" si="254"/>
        <v>Normal</v>
      </c>
      <c r="W4077" s="4" t="str">
        <f t="shared" si="255"/>
        <v>Poor</v>
      </c>
      <c r="X4077" s="4">
        <f>AVERAGE(Table1[Purchase Amount])</f>
        <v>129.48419400000012</v>
      </c>
    </row>
    <row r="4078" spans="1:24" ht="15" customHeight="1" x14ac:dyDescent="0.25">
      <c r="A4078">
        <v>4176</v>
      </c>
      <c r="B4078">
        <v>23</v>
      </c>
      <c r="C4078" t="s">
        <v>27</v>
      </c>
      <c r="D4078" t="s">
        <v>72</v>
      </c>
      <c r="E4078" t="s">
        <v>18</v>
      </c>
      <c r="F4078" s="2">
        <v>390.25</v>
      </c>
      <c r="G4078" t="s">
        <v>139</v>
      </c>
      <c r="H4078" t="s">
        <v>20</v>
      </c>
      <c r="I4078" t="s">
        <v>40</v>
      </c>
      <c r="J4078" t="s">
        <v>75</v>
      </c>
      <c r="K4078">
        <v>1</v>
      </c>
      <c r="L4078" t="s">
        <v>23</v>
      </c>
      <c r="M4078" t="s">
        <v>24</v>
      </c>
      <c r="N4078" t="s">
        <v>23</v>
      </c>
      <c r="O4078">
        <v>0</v>
      </c>
      <c r="P4078" t="s">
        <v>53</v>
      </c>
      <c r="Q4078" t="s">
        <v>26</v>
      </c>
      <c r="R4078" s="1">
        <v>0.1</v>
      </c>
      <c r="S4078">
        <f t="shared" si="252"/>
        <v>351.22500000000002</v>
      </c>
      <c r="T4078">
        <f>IFERROR(VLOOKUP(A4078,Table1[[Customer ID]:[Discount Amount]], 6, FALSE),"Not Found")</f>
        <v>390.25</v>
      </c>
      <c r="U4078" t="str">
        <f t="shared" si="253"/>
        <v>Credit Card</v>
      </c>
      <c r="V4078" s="4" t="str">
        <f t="shared" si="254"/>
        <v>Normal</v>
      </c>
      <c r="W4078" s="4" t="str">
        <f t="shared" si="255"/>
        <v>Poor</v>
      </c>
      <c r="X4078" s="4">
        <f>AVERAGE(Table1[Purchase Amount])</f>
        <v>129.48419400000012</v>
      </c>
    </row>
    <row r="4079" spans="1:24" ht="15" customHeight="1" x14ac:dyDescent="0.25">
      <c r="A4079">
        <v>4177</v>
      </c>
      <c r="B4079">
        <v>51</v>
      </c>
      <c r="C4079" t="s">
        <v>71</v>
      </c>
      <c r="D4079" t="s">
        <v>117</v>
      </c>
      <c r="E4079" t="s">
        <v>18</v>
      </c>
      <c r="F4079" s="2">
        <v>0</v>
      </c>
      <c r="G4079" t="s">
        <v>82</v>
      </c>
      <c r="H4079" t="s">
        <v>55</v>
      </c>
      <c r="I4079" t="s">
        <v>40</v>
      </c>
      <c r="J4079" t="s">
        <v>75</v>
      </c>
      <c r="K4079">
        <v>1</v>
      </c>
      <c r="L4079" t="s">
        <v>23</v>
      </c>
      <c r="M4079" t="s">
        <v>24</v>
      </c>
      <c r="N4079" t="s">
        <v>23</v>
      </c>
      <c r="O4079">
        <v>0</v>
      </c>
      <c r="P4079" t="s">
        <v>25</v>
      </c>
      <c r="Q4079" t="s">
        <v>42</v>
      </c>
      <c r="R4079" s="1">
        <v>0.1</v>
      </c>
      <c r="S4079">
        <f t="shared" si="252"/>
        <v>0</v>
      </c>
      <c r="T4079">
        <f>IFERROR(VLOOKUP(A4079,Table1[[Customer ID]:[Discount Amount]], 6, FALSE),"Not Found")</f>
        <v>0</v>
      </c>
      <c r="U4079" t="str">
        <f t="shared" si="253"/>
        <v>Cash</v>
      </c>
      <c r="V4079" s="4" t="str">
        <f t="shared" si="254"/>
        <v>Normal</v>
      </c>
      <c r="W4079" s="4" t="str">
        <f t="shared" si="255"/>
        <v>Poor</v>
      </c>
      <c r="X4079" s="4">
        <f>AVERAGE(Table1[Purchase Amount])</f>
        <v>129.48419400000012</v>
      </c>
    </row>
    <row r="4080" spans="1:24" ht="15" customHeight="1" x14ac:dyDescent="0.25">
      <c r="A4080">
        <v>4178</v>
      </c>
      <c r="B4080">
        <v>63</v>
      </c>
      <c r="C4080" t="s">
        <v>71</v>
      </c>
      <c r="D4080" t="s">
        <v>95</v>
      </c>
      <c r="E4080" t="s">
        <v>81</v>
      </c>
      <c r="F4080" s="2">
        <v>0</v>
      </c>
      <c r="G4080" t="s">
        <v>126</v>
      </c>
      <c r="H4080" t="s">
        <v>31</v>
      </c>
      <c r="I4080" t="s">
        <v>74</v>
      </c>
      <c r="J4080" t="s">
        <v>57</v>
      </c>
      <c r="K4080">
        <v>1</v>
      </c>
      <c r="L4080" t="s">
        <v>34</v>
      </c>
      <c r="M4080" t="s">
        <v>61</v>
      </c>
      <c r="N4080" t="s">
        <v>23</v>
      </c>
      <c r="O4080">
        <v>15</v>
      </c>
      <c r="P4080" t="s">
        <v>58</v>
      </c>
      <c r="Q4080" t="s">
        <v>37</v>
      </c>
      <c r="R4080" s="1">
        <v>0.1</v>
      </c>
      <c r="S4080">
        <f t="shared" si="252"/>
        <v>0</v>
      </c>
      <c r="T4080">
        <f>IFERROR(VLOOKUP(A4080,Table1[[Customer ID]:[Discount Amount]], 6, FALSE),"Not Found")</f>
        <v>0</v>
      </c>
      <c r="U4080" t="str">
        <f t="shared" si="253"/>
        <v>PayPal</v>
      </c>
      <c r="V4080" s="4" t="str">
        <f t="shared" si="254"/>
        <v>Normal</v>
      </c>
      <c r="W4080" s="4" t="str">
        <f t="shared" si="255"/>
        <v>Poor</v>
      </c>
      <c r="X4080" s="4">
        <f>AVERAGE(Table1[Purchase Amount])</f>
        <v>129.48419400000012</v>
      </c>
    </row>
    <row r="4081" spans="1:24" ht="15" customHeight="1" x14ac:dyDescent="0.25">
      <c r="A4081">
        <v>4179</v>
      </c>
      <c r="B4081">
        <v>46</v>
      </c>
      <c r="C4081" t="s">
        <v>71</v>
      </c>
      <c r="D4081" t="s">
        <v>95</v>
      </c>
      <c r="E4081" t="s">
        <v>81</v>
      </c>
      <c r="F4081" s="2">
        <v>794.92</v>
      </c>
      <c r="G4081" t="s">
        <v>73</v>
      </c>
      <c r="H4081" t="s">
        <v>31</v>
      </c>
      <c r="I4081" t="s">
        <v>74</v>
      </c>
      <c r="J4081" t="s">
        <v>57</v>
      </c>
      <c r="K4081">
        <v>3</v>
      </c>
      <c r="L4081" t="s">
        <v>23</v>
      </c>
      <c r="M4081" t="s">
        <v>24</v>
      </c>
      <c r="N4081" t="s">
        <v>34</v>
      </c>
      <c r="O4081">
        <v>14</v>
      </c>
      <c r="P4081" t="s">
        <v>53</v>
      </c>
      <c r="Q4081" t="s">
        <v>42</v>
      </c>
      <c r="R4081" s="1">
        <v>0.1</v>
      </c>
      <c r="S4081">
        <f t="shared" si="252"/>
        <v>715.428</v>
      </c>
      <c r="T4081">
        <f>IFERROR(VLOOKUP(A4081,Table1[[Customer ID]:[Discount Amount]], 6, FALSE),"Not Found")</f>
        <v>794.92</v>
      </c>
      <c r="U4081" t="str">
        <f t="shared" si="253"/>
        <v>Credit Card</v>
      </c>
      <c r="V4081" s="4" t="str">
        <f t="shared" si="254"/>
        <v>Normal</v>
      </c>
      <c r="W4081" s="4" t="str">
        <f t="shared" si="255"/>
        <v>Good</v>
      </c>
      <c r="X4081" s="4">
        <f>AVERAGE(Table1[Purchase Amount])</f>
        <v>129.48419400000012</v>
      </c>
    </row>
    <row r="4082" spans="1:24" ht="15" customHeight="1" x14ac:dyDescent="0.25">
      <c r="A4082">
        <v>4180</v>
      </c>
      <c r="B4082">
        <v>50</v>
      </c>
      <c r="C4082" t="s">
        <v>27</v>
      </c>
      <c r="D4082" t="s">
        <v>116</v>
      </c>
      <c r="E4082" t="s">
        <v>81</v>
      </c>
      <c r="F4082" s="2">
        <v>0</v>
      </c>
      <c r="G4082" t="s">
        <v>101</v>
      </c>
      <c r="H4082" t="s">
        <v>31</v>
      </c>
      <c r="I4082" t="s">
        <v>93</v>
      </c>
      <c r="J4082" t="s">
        <v>22</v>
      </c>
      <c r="K4082">
        <v>1</v>
      </c>
      <c r="L4082" t="s">
        <v>23</v>
      </c>
      <c r="M4082" t="s">
        <v>61</v>
      </c>
      <c r="N4082" t="s">
        <v>23</v>
      </c>
      <c r="O4082">
        <v>42</v>
      </c>
      <c r="P4082" t="s">
        <v>58</v>
      </c>
      <c r="Q4082" t="s">
        <v>37</v>
      </c>
      <c r="R4082" s="1">
        <v>0.1</v>
      </c>
      <c r="S4082">
        <f t="shared" si="252"/>
        <v>0</v>
      </c>
      <c r="T4082">
        <f>IFERROR(VLOOKUP(A4082,Table1[[Customer ID]:[Discount Amount]], 6, FALSE),"Not Found")</f>
        <v>0</v>
      </c>
      <c r="U4082" t="str">
        <f t="shared" si="253"/>
        <v>PayPal</v>
      </c>
      <c r="V4082" s="4" t="str">
        <f t="shared" si="254"/>
        <v>Normal</v>
      </c>
      <c r="W4082" s="4" t="str">
        <f t="shared" si="255"/>
        <v>Poor</v>
      </c>
      <c r="X4082" s="4">
        <f>AVERAGE(Table1[Purchase Amount])</f>
        <v>129.48419400000012</v>
      </c>
    </row>
    <row r="4083" spans="1:24" ht="15" customHeight="1" x14ac:dyDescent="0.25">
      <c r="A4083">
        <v>4181</v>
      </c>
      <c r="B4083">
        <v>34</v>
      </c>
      <c r="C4083" t="s">
        <v>16</v>
      </c>
      <c r="D4083" t="s">
        <v>95</v>
      </c>
      <c r="E4083" t="s">
        <v>81</v>
      </c>
      <c r="F4083" s="2">
        <v>10.119999999999999</v>
      </c>
      <c r="G4083" t="s">
        <v>82</v>
      </c>
      <c r="H4083" t="s">
        <v>31</v>
      </c>
      <c r="I4083" t="s">
        <v>74</v>
      </c>
      <c r="J4083" t="s">
        <v>33</v>
      </c>
      <c r="K4083">
        <v>1</v>
      </c>
      <c r="L4083" t="s">
        <v>23</v>
      </c>
      <c r="M4083" t="s">
        <v>24</v>
      </c>
      <c r="N4083" t="s">
        <v>34</v>
      </c>
      <c r="O4083">
        <v>7</v>
      </c>
      <c r="P4083" t="s">
        <v>53</v>
      </c>
      <c r="Q4083" t="s">
        <v>42</v>
      </c>
      <c r="R4083" s="1">
        <v>0.1</v>
      </c>
      <c r="S4083">
        <f t="shared" si="252"/>
        <v>9.1079999999999988</v>
      </c>
      <c r="T4083">
        <f>IFERROR(VLOOKUP(A4083,Table1[[Customer ID]:[Discount Amount]], 6, FALSE),"Not Found")</f>
        <v>10.119999999999999</v>
      </c>
      <c r="U4083" t="str">
        <f t="shared" si="253"/>
        <v>Credit Card</v>
      </c>
      <c r="V4083" s="4" t="str">
        <f t="shared" si="254"/>
        <v>Normal</v>
      </c>
      <c r="W4083" s="4" t="str">
        <f t="shared" si="255"/>
        <v>Poor</v>
      </c>
      <c r="X4083" s="4">
        <f>AVERAGE(Table1[Purchase Amount])</f>
        <v>129.48419400000012</v>
      </c>
    </row>
    <row r="4084" spans="1:24" ht="15" customHeight="1" x14ac:dyDescent="0.25">
      <c r="A4084">
        <v>4182</v>
      </c>
      <c r="B4084">
        <v>20</v>
      </c>
      <c r="C4084" t="s">
        <v>71</v>
      </c>
      <c r="D4084" t="s">
        <v>116</v>
      </c>
      <c r="E4084" t="s">
        <v>29</v>
      </c>
      <c r="F4084" s="2">
        <v>0</v>
      </c>
      <c r="G4084" t="s">
        <v>101</v>
      </c>
      <c r="H4084" t="s">
        <v>55</v>
      </c>
      <c r="I4084" t="s">
        <v>93</v>
      </c>
      <c r="J4084" t="s">
        <v>22</v>
      </c>
      <c r="K4084">
        <v>2</v>
      </c>
      <c r="L4084" t="s">
        <v>34</v>
      </c>
      <c r="M4084" t="s">
        <v>24</v>
      </c>
      <c r="N4084" t="s">
        <v>34</v>
      </c>
      <c r="O4084">
        <v>21</v>
      </c>
      <c r="P4084" t="s">
        <v>53</v>
      </c>
      <c r="Q4084" t="s">
        <v>42</v>
      </c>
      <c r="R4084" s="1">
        <v>0.1</v>
      </c>
      <c r="S4084">
        <f t="shared" si="252"/>
        <v>0</v>
      </c>
      <c r="T4084">
        <f>IFERROR(VLOOKUP(A4084,Table1[[Customer ID]:[Discount Amount]], 6, FALSE),"Not Found")</f>
        <v>0</v>
      </c>
      <c r="U4084" t="str">
        <f t="shared" si="253"/>
        <v>Credit Card</v>
      </c>
      <c r="V4084" s="4" t="str">
        <f t="shared" si="254"/>
        <v>Normal</v>
      </c>
      <c r="W4084" s="4" t="str">
        <f t="shared" si="255"/>
        <v>Poor</v>
      </c>
      <c r="X4084" s="4">
        <f>AVERAGE(Table1[Purchase Amount])</f>
        <v>129.48419400000012</v>
      </c>
    </row>
    <row r="4085" spans="1:24" ht="15" customHeight="1" x14ac:dyDescent="0.25">
      <c r="A4085">
        <v>4183</v>
      </c>
      <c r="B4085">
        <v>69</v>
      </c>
      <c r="C4085" t="s">
        <v>16</v>
      </c>
      <c r="D4085" t="s">
        <v>95</v>
      </c>
      <c r="E4085" t="s">
        <v>29</v>
      </c>
      <c r="F4085" s="2">
        <v>0</v>
      </c>
      <c r="G4085" t="s">
        <v>73</v>
      </c>
      <c r="H4085" t="s">
        <v>55</v>
      </c>
      <c r="I4085" t="s">
        <v>40</v>
      </c>
      <c r="J4085" t="s">
        <v>75</v>
      </c>
      <c r="K4085">
        <v>4</v>
      </c>
      <c r="L4085" t="s">
        <v>23</v>
      </c>
      <c r="M4085" t="s">
        <v>24</v>
      </c>
      <c r="N4085" t="s">
        <v>23</v>
      </c>
      <c r="O4085">
        <v>0</v>
      </c>
      <c r="P4085" t="s">
        <v>58</v>
      </c>
      <c r="Q4085" t="s">
        <v>26</v>
      </c>
      <c r="R4085" s="1">
        <v>0.1</v>
      </c>
      <c r="S4085">
        <f t="shared" si="252"/>
        <v>0</v>
      </c>
      <c r="T4085">
        <f>IFERROR(VLOOKUP(A4085,Table1[[Customer ID]:[Discount Amount]], 6, FALSE),"Not Found")</f>
        <v>0</v>
      </c>
      <c r="U4085" t="str">
        <f t="shared" si="253"/>
        <v>PayPal</v>
      </c>
      <c r="V4085" s="4" t="str">
        <f t="shared" si="254"/>
        <v>Normal</v>
      </c>
      <c r="W4085" s="4" t="str">
        <f t="shared" si="255"/>
        <v>Good</v>
      </c>
      <c r="X4085" s="4">
        <f>AVERAGE(Table1[Purchase Amount])</f>
        <v>129.48419400000012</v>
      </c>
    </row>
    <row r="4086" spans="1:24" ht="15" customHeight="1" x14ac:dyDescent="0.25">
      <c r="A4086">
        <v>4184</v>
      </c>
      <c r="B4086">
        <v>55</v>
      </c>
      <c r="C4086" t="s">
        <v>27</v>
      </c>
      <c r="D4086" t="s">
        <v>116</v>
      </c>
      <c r="E4086" t="s">
        <v>81</v>
      </c>
      <c r="F4086" s="2">
        <v>1016.09</v>
      </c>
      <c r="G4086" t="s">
        <v>101</v>
      </c>
      <c r="H4086" t="s">
        <v>31</v>
      </c>
      <c r="I4086" t="s">
        <v>93</v>
      </c>
      <c r="J4086" t="s">
        <v>33</v>
      </c>
      <c r="K4086">
        <v>4</v>
      </c>
      <c r="L4086" t="s">
        <v>23</v>
      </c>
      <c r="M4086" t="s">
        <v>61</v>
      </c>
      <c r="N4086" t="s">
        <v>23</v>
      </c>
      <c r="O4086">
        <v>0</v>
      </c>
      <c r="P4086" t="s">
        <v>58</v>
      </c>
      <c r="Q4086" t="s">
        <v>26</v>
      </c>
      <c r="R4086" s="1">
        <v>0.1</v>
      </c>
      <c r="S4086">
        <f t="shared" si="252"/>
        <v>914.48099999999999</v>
      </c>
      <c r="T4086">
        <f>IFERROR(VLOOKUP(A4086,Table1[[Customer ID]:[Discount Amount]], 6, FALSE),"Not Found")</f>
        <v>1016.09</v>
      </c>
      <c r="U4086" t="str">
        <f t="shared" si="253"/>
        <v>PayPal</v>
      </c>
      <c r="V4086" s="4" t="str">
        <f t="shared" si="254"/>
        <v>Best Customer</v>
      </c>
      <c r="W4086" s="4" t="str">
        <f t="shared" si="255"/>
        <v>Good</v>
      </c>
      <c r="X4086" s="4">
        <f>AVERAGE(Table1[Purchase Amount])</f>
        <v>129.48419400000012</v>
      </c>
    </row>
    <row r="4087" spans="1:24" ht="15" customHeight="1" x14ac:dyDescent="0.25">
      <c r="A4087">
        <v>4185</v>
      </c>
      <c r="B4087">
        <v>29</v>
      </c>
      <c r="C4087" t="s">
        <v>16</v>
      </c>
      <c r="D4087" t="s">
        <v>80</v>
      </c>
      <c r="E4087" t="s">
        <v>18</v>
      </c>
      <c r="F4087" s="2">
        <v>1025.93</v>
      </c>
      <c r="G4087" t="s">
        <v>126</v>
      </c>
      <c r="H4087" t="s">
        <v>45</v>
      </c>
      <c r="I4087" t="s">
        <v>74</v>
      </c>
      <c r="J4087" t="s">
        <v>57</v>
      </c>
      <c r="K4087">
        <v>1</v>
      </c>
      <c r="L4087" t="s">
        <v>34</v>
      </c>
      <c r="M4087" t="s">
        <v>61</v>
      </c>
      <c r="N4087" t="s">
        <v>23</v>
      </c>
      <c r="O4087">
        <v>20</v>
      </c>
      <c r="P4087" t="s">
        <v>25</v>
      </c>
      <c r="Q4087" t="s">
        <v>42</v>
      </c>
      <c r="R4087" s="1">
        <v>0.1</v>
      </c>
      <c r="S4087">
        <f t="shared" si="252"/>
        <v>923.33699999999999</v>
      </c>
      <c r="T4087">
        <f>IFERROR(VLOOKUP(A4087,Table1[[Customer ID]:[Discount Amount]], 6, FALSE),"Not Found")</f>
        <v>1025.93</v>
      </c>
      <c r="U4087" t="str">
        <f t="shared" si="253"/>
        <v>Cash</v>
      </c>
      <c r="V4087" s="4" t="str">
        <f t="shared" si="254"/>
        <v>Normal</v>
      </c>
      <c r="W4087" s="4" t="str">
        <f t="shared" si="255"/>
        <v>Poor</v>
      </c>
      <c r="X4087" s="4">
        <f>AVERAGE(Table1[Purchase Amount])</f>
        <v>129.48419400000012</v>
      </c>
    </row>
    <row r="4088" spans="1:24" ht="15" customHeight="1" x14ac:dyDescent="0.25">
      <c r="A4088">
        <v>4186</v>
      </c>
      <c r="B4088">
        <v>54</v>
      </c>
      <c r="C4088" t="s">
        <v>71</v>
      </c>
      <c r="D4088" t="s">
        <v>38</v>
      </c>
      <c r="E4088" t="s">
        <v>81</v>
      </c>
      <c r="F4088" s="2">
        <v>0</v>
      </c>
      <c r="G4088" t="s">
        <v>101</v>
      </c>
      <c r="H4088" t="s">
        <v>31</v>
      </c>
      <c r="I4088" t="s">
        <v>40</v>
      </c>
      <c r="J4088" t="s">
        <v>75</v>
      </c>
      <c r="K4088">
        <v>5</v>
      </c>
      <c r="L4088" t="s">
        <v>23</v>
      </c>
      <c r="M4088" t="s">
        <v>61</v>
      </c>
      <c r="N4088" t="s">
        <v>34</v>
      </c>
      <c r="O4088">
        <v>23</v>
      </c>
      <c r="P4088" t="s">
        <v>58</v>
      </c>
      <c r="Q4088" t="s">
        <v>42</v>
      </c>
      <c r="R4088" s="1">
        <v>0.1</v>
      </c>
      <c r="S4088">
        <f t="shared" si="252"/>
        <v>0</v>
      </c>
      <c r="T4088">
        <f>IFERROR(VLOOKUP(A4088,Table1[[Customer ID]:[Discount Amount]], 6, FALSE),"Not Found")</f>
        <v>0</v>
      </c>
      <c r="U4088" t="str">
        <f t="shared" si="253"/>
        <v>PayPal</v>
      </c>
      <c r="V4088" s="4" t="str">
        <f t="shared" si="254"/>
        <v>Normal</v>
      </c>
      <c r="W4088" s="4" t="str">
        <f t="shared" si="255"/>
        <v>Good</v>
      </c>
      <c r="X4088" s="4">
        <f>AVERAGE(Table1[Purchase Amount])</f>
        <v>129.48419400000012</v>
      </c>
    </row>
    <row r="4089" spans="1:24" ht="15" customHeight="1" x14ac:dyDescent="0.25">
      <c r="A4089">
        <v>4187</v>
      </c>
      <c r="B4089">
        <v>44</v>
      </c>
      <c r="C4089" t="s">
        <v>27</v>
      </c>
      <c r="D4089" t="s">
        <v>95</v>
      </c>
      <c r="E4089" t="s">
        <v>18</v>
      </c>
      <c r="F4089" s="2">
        <v>0</v>
      </c>
      <c r="G4089" t="s">
        <v>82</v>
      </c>
      <c r="H4089" t="s">
        <v>20</v>
      </c>
      <c r="I4089" t="s">
        <v>93</v>
      </c>
      <c r="J4089" t="s">
        <v>57</v>
      </c>
      <c r="K4089">
        <v>1</v>
      </c>
      <c r="L4089" t="s">
        <v>34</v>
      </c>
      <c r="M4089" t="s">
        <v>61</v>
      </c>
      <c r="N4089" t="s">
        <v>34</v>
      </c>
      <c r="O4089">
        <v>16</v>
      </c>
      <c r="P4089" t="s">
        <v>53</v>
      </c>
      <c r="Q4089" t="s">
        <v>42</v>
      </c>
      <c r="R4089" s="1">
        <v>0.1</v>
      </c>
      <c r="S4089">
        <f t="shared" si="252"/>
        <v>0</v>
      </c>
      <c r="T4089">
        <f>IFERROR(VLOOKUP(A4089,Table1[[Customer ID]:[Discount Amount]], 6, FALSE),"Not Found")</f>
        <v>0</v>
      </c>
      <c r="U4089" t="str">
        <f t="shared" si="253"/>
        <v>Credit Card</v>
      </c>
      <c r="V4089" s="4" t="str">
        <f t="shared" si="254"/>
        <v>Normal</v>
      </c>
      <c r="W4089" s="4" t="str">
        <f t="shared" si="255"/>
        <v>Poor</v>
      </c>
      <c r="X4089" s="4">
        <f>AVERAGE(Table1[Purchase Amount])</f>
        <v>129.48419400000012</v>
      </c>
    </row>
    <row r="4090" spans="1:24" ht="15" customHeight="1" x14ac:dyDescent="0.25">
      <c r="A4090">
        <v>4188</v>
      </c>
      <c r="B4090">
        <v>18</v>
      </c>
      <c r="C4090" t="s">
        <v>71</v>
      </c>
      <c r="D4090" t="s">
        <v>117</v>
      </c>
      <c r="E4090" t="s">
        <v>29</v>
      </c>
      <c r="F4090" s="2">
        <v>0</v>
      </c>
      <c r="G4090" t="s">
        <v>139</v>
      </c>
      <c r="H4090" t="s">
        <v>31</v>
      </c>
      <c r="I4090" t="s">
        <v>40</v>
      </c>
      <c r="J4090" t="s">
        <v>22</v>
      </c>
      <c r="K4090">
        <v>1</v>
      </c>
      <c r="L4090" t="s">
        <v>23</v>
      </c>
      <c r="M4090" t="s">
        <v>61</v>
      </c>
      <c r="N4090" t="s">
        <v>23</v>
      </c>
      <c r="O4090">
        <v>2</v>
      </c>
      <c r="P4090" t="s">
        <v>58</v>
      </c>
      <c r="Q4090" t="s">
        <v>37</v>
      </c>
      <c r="R4090" s="1">
        <v>0.1</v>
      </c>
      <c r="S4090">
        <f t="shared" si="252"/>
        <v>0</v>
      </c>
      <c r="T4090">
        <f>IFERROR(VLOOKUP(A4090,Table1[[Customer ID]:[Discount Amount]], 6, FALSE),"Not Found")</f>
        <v>0</v>
      </c>
      <c r="U4090" t="str">
        <f t="shared" si="253"/>
        <v>PayPal</v>
      </c>
      <c r="V4090" s="4" t="str">
        <f t="shared" si="254"/>
        <v>Normal</v>
      </c>
      <c r="W4090" s="4" t="str">
        <f t="shared" si="255"/>
        <v>Poor</v>
      </c>
      <c r="X4090" s="4">
        <f>AVERAGE(Table1[Purchase Amount])</f>
        <v>129.48419400000012</v>
      </c>
    </row>
    <row r="4091" spans="1:24" ht="15" customHeight="1" x14ac:dyDescent="0.25">
      <c r="A4091">
        <v>4189</v>
      </c>
      <c r="B4091">
        <v>38</v>
      </c>
      <c r="C4091" t="s">
        <v>27</v>
      </c>
      <c r="D4091" t="s">
        <v>72</v>
      </c>
      <c r="E4091" t="s">
        <v>29</v>
      </c>
      <c r="F4091" s="2">
        <v>1312.35</v>
      </c>
      <c r="G4091" t="s">
        <v>82</v>
      </c>
      <c r="H4091" t="s">
        <v>31</v>
      </c>
      <c r="I4091" t="s">
        <v>40</v>
      </c>
      <c r="J4091" t="s">
        <v>75</v>
      </c>
      <c r="K4091">
        <v>4</v>
      </c>
      <c r="L4091" t="s">
        <v>34</v>
      </c>
      <c r="M4091" t="s">
        <v>24</v>
      </c>
      <c r="N4091" t="s">
        <v>34</v>
      </c>
      <c r="O4091">
        <v>0</v>
      </c>
      <c r="P4091" t="s">
        <v>25</v>
      </c>
      <c r="Q4091" t="s">
        <v>26</v>
      </c>
      <c r="R4091" s="1">
        <v>0.1</v>
      </c>
      <c r="S4091">
        <f t="shared" si="252"/>
        <v>1181.115</v>
      </c>
      <c r="T4091">
        <f>IFERROR(VLOOKUP(A4091,Table1[[Customer ID]:[Discount Amount]], 6, FALSE),"Not Found")</f>
        <v>1312.35</v>
      </c>
      <c r="U4091" t="str">
        <f t="shared" si="253"/>
        <v>Cash</v>
      </c>
      <c r="V4091" s="4" t="str">
        <f t="shared" si="254"/>
        <v>Best Customer</v>
      </c>
      <c r="W4091" s="4" t="str">
        <f t="shared" si="255"/>
        <v>Good</v>
      </c>
      <c r="X4091" s="4">
        <f>AVERAGE(Table1[Purchase Amount])</f>
        <v>129.48419400000012</v>
      </c>
    </row>
    <row r="4092" spans="1:24" ht="15" customHeight="1" x14ac:dyDescent="0.25">
      <c r="A4092">
        <v>4190</v>
      </c>
      <c r="B4092">
        <v>46</v>
      </c>
      <c r="C4092" t="s">
        <v>71</v>
      </c>
      <c r="D4092" t="s">
        <v>117</v>
      </c>
      <c r="E4092" t="s">
        <v>29</v>
      </c>
      <c r="F4092" s="2">
        <v>1224.96</v>
      </c>
      <c r="G4092" t="s">
        <v>101</v>
      </c>
      <c r="H4092" t="s">
        <v>45</v>
      </c>
      <c r="I4092" t="s">
        <v>40</v>
      </c>
      <c r="J4092" t="s">
        <v>57</v>
      </c>
      <c r="K4092">
        <v>1</v>
      </c>
      <c r="L4092" t="s">
        <v>34</v>
      </c>
      <c r="M4092" t="s">
        <v>61</v>
      </c>
      <c r="N4092" t="s">
        <v>34</v>
      </c>
      <c r="O4092">
        <v>0</v>
      </c>
      <c r="P4092" t="s">
        <v>58</v>
      </c>
      <c r="Q4092" t="s">
        <v>37</v>
      </c>
      <c r="R4092" s="1">
        <v>0.1</v>
      </c>
      <c r="S4092">
        <f t="shared" si="252"/>
        <v>1102.4639999999999</v>
      </c>
      <c r="T4092">
        <f>IFERROR(VLOOKUP(A4092,Table1[[Customer ID]:[Discount Amount]], 6, FALSE),"Not Found")</f>
        <v>1224.96</v>
      </c>
      <c r="U4092" t="str">
        <f t="shared" si="253"/>
        <v>PayPal</v>
      </c>
      <c r="V4092" s="4" t="str">
        <f t="shared" si="254"/>
        <v>Normal</v>
      </c>
      <c r="W4092" s="4" t="str">
        <f t="shared" si="255"/>
        <v>Poor</v>
      </c>
      <c r="X4092" s="4">
        <f>AVERAGE(Table1[Purchase Amount])</f>
        <v>129.48419400000012</v>
      </c>
    </row>
    <row r="4093" spans="1:24" ht="15" customHeight="1" x14ac:dyDescent="0.25">
      <c r="A4093">
        <v>4191</v>
      </c>
      <c r="B4093">
        <v>62</v>
      </c>
      <c r="C4093" t="s">
        <v>27</v>
      </c>
      <c r="D4093" t="s">
        <v>117</v>
      </c>
      <c r="E4093" t="s">
        <v>29</v>
      </c>
      <c r="F4093" s="2">
        <v>0</v>
      </c>
      <c r="G4093" t="s">
        <v>101</v>
      </c>
      <c r="H4093" t="s">
        <v>31</v>
      </c>
      <c r="I4093" t="s">
        <v>40</v>
      </c>
      <c r="J4093" t="s">
        <v>57</v>
      </c>
      <c r="K4093">
        <v>1</v>
      </c>
      <c r="L4093" t="s">
        <v>23</v>
      </c>
      <c r="M4093" t="s">
        <v>24</v>
      </c>
      <c r="N4093" t="s">
        <v>34</v>
      </c>
      <c r="O4093">
        <v>0</v>
      </c>
      <c r="P4093" t="s">
        <v>53</v>
      </c>
      <c r="Q4093" t="s">
        <v>42</v>
      </c>
      <c r="R4093" s="1">
        <v>0.1</v>
      </c>
      <c r="S4093">
        <f t="shared" si="252"/>
        <v>0</v>
      </c>
      <c r="T4093">
        <f>IFERROR(VLOOKUP(A4093,Table1[[Customer ID]:[Discount Amount]], 6, FALSE),"Not Found")</f>
        <v>0</v>
      </c>
      <c r="U4093" t="str">
        <f t="shared" si="253"/>
        <v>Credit Card</v>
      </c>
      <c r="V4093" s="4" t="str">
        <f t="shared" si="254"/>
        <v>Normal</v>
      </c>
      <c r="W4093" s="4" t="str">
        <f t="shared" si="255"/>
        <v>Poor</v>
      </c>
      <c r="X4093" s="4">
        <f>AVERAGE(Table1[Purchase Amount])</f>
        <v>129.48419400000012</v>
      </c>
    </row>
    <row r="4094" spans="1:24" ht="15" customHeight="1" x14ac:dyDescent="0.25">
      <c r="A4094">
        <v>4192</v>
      </c>
      <c r="B4094">
        <v>46</v>
      </c>
      <c r="C4094" t="s">
        <v>71</v>
      </c>
      <c r="D4094" t="s">
        <v>116</v>
      </c>
      <c r="E4094" t="s">
        <v>81</v>
      </c>
      <c r="F4094" s="2">
        <v>105.21</v>
      </c>
      <c r="G4094" t="s">
        <v>126</v>
      </c>
      <c r="H4094" t="s">
        <v>31</v>
      </c>
      <c r="I4094" t="s">
        <v>93</v>
      </c>
      <c r="J4094" t="s">
        <v>22</v>
      </c>
      <c r="K4094">
        <v>1</v>
      </c>
      <c r="L4094" t="s">
        <v>34</v>
      </c>
      <c r="M4094" t="s">
        <v>24</v>
      </c>
      <c r="N4094" t="s">
        <v>34</v>
      </c>
      <c r="O4094">
        <v>0</v>
      </c>
      <c r="P4094" t="s">
        <v>58</v>
      </c>
      <c r="Q4094" t="s">
        <v>42</v>
      </c>
      <c r="R4094" s="1">
        <v>0.1</v>
      </c>
      <c r="S4094">
        <f t="shared" si="252"/>
        <v>94.688999999999993</v>
      </c>
      <c r="T4094">
        <f>IFERROR(VLOOKUP(A4094,Table1[[Customer ID]:[Discount Amount]], 6, FALSE),"Not Found")</f>
        <v>105.21</v>
      </c>
      <c r="U4094" t="str">
        <f t="shared" si="253"/>
        <v>PayPal</v>
      </c>
      <c r="V4094" s="4" t="str">
        <f t="shared" si="254"/>
        <v>Normal</v>
      </c>
      <c r="W4094" s="4" t="str">
        <f t="shared" si="255"/>
        <v>Poor</v>
      </c>
      <c r="X4094" s="4">
        <f>AVERAGE(Table1[Purchase Amount])</f>
        <v>129.48419400000012</v>
      </c>
    </row>
    <row r="4095" spans="1:24" ht="15" customHeight="1" x14ac:dyDescent="0.25">
      <c r="A4095">
        <v>4193</v>
      </c>
      <c r="B4095">
        <v>46</v>
      </c>
      <c r="C4095" t="s">
        <v>27</v>
      </c>
      <c r="D4095" t="s">
        <v>72</v>
      </c>
      <c r="E4095" t="s">
        <v>18</v>
      </c>
      <c r="F4095" s="2">
        <v>991.93</v>
      </c>
      <c r="G4095" t="s">
        <v>101</v>
      </c>
      <c r="H4095" t="s">
        <v>55</v>
      </c>
      <c r="I4095" t="s">
        <v>46</v>
      </c>
      <c r="J4095" t="s">
        <v>22</v>
      </c>
      <c r="K4095">
        <v>1</v>
      </c>
      <c r="L4095" t="s">
        <v>23</v>
      </c>
      <c r="M4095" t="s">
        <v>24</v>
      </c>
      <c r="N4095" t="s">
        <v>34</v>
      </c>
      <c r="O4095">
        <v>8</v>
      </c>
      <c r="P4095" t="s">
        <v>36</v>
      </c>
      <c r="Q4095" t="s">
        <v>42</v>
      </c>
      <c r="R4095" s="1">
        <v>0.1</v>
      </c>
      <c r="S4095">
        <f t="shared" si="252"/>
        <v>892.73699999999997</v>
      </c>
      <c r="T4095">
        <f>IFERROR(VLOOKUP(A4095,Table1[[Customer ID]:[Discount Amount]], 6, FALSE),"Not Found")</f>
        <v>991.93</v>
      </c>
      <c r="U4095" t="str">
        <f t="shared" si="253"/>
        <v>Debit Card</v>
      </c>
      <c r="V4095" s="4" t="str">
        <f t="shared" si="254"/>
        <v>Normal</v>
      </c>
      <c r="W4095" s="4" t="str">
        <f t="shared" si="255"/>
        <v>Poor</v>
      </c>
      <c r="X4095" s="4">
        <f>AVERAGE(Table1[Purchase Amount])</f>
        <v>129.48419400000012</v>
      </c>
    </row>
    <row r="4096" spans="1:24" ht="15" customHeight="1" x14ac:dyDescent="0.25">
      <c r="A4096">
        <v>4194</v>
      </c>
      <c r="B4096">
        <v>46</v>
      </c>
      <c r="C4096" t="s">
        <v>16</v>
      </c>
      <c r="D4096" t="s">
        <v>72</v>
      </c>
      <c r="E4096" t="s">
        <v>18</v>
      </c>
      <c r="F4096" s="2">
        <v>707.33</v>
      </c>
      <c r="G4096" t="s">
        <v>126</v>
      </c>
      <c r="H4096" t="s">
        <v>45</v>
      </c>
      <c r="I4096" t="s">
        <v>74</v>
      </c>
      <c r="J4096" t="s">
        <v>33</v>
      </c>
      <c r="K4096">
        <v>5</v>
      </c>
      <c r="L4096" t="s">
        <v>23</v>
      </c>
      <c r="M4096" t="s">
        <v>61</v>
      </c>
      <c r="N4096" t="s">
        <v>23</v>
      </c>
      <c r="O4096">
        <v>49</v>
      </c>
      <c r="P4096" t="s">
        <v>36</v>
      </c>
      <c r="Q4096" t="s">
        <v>26</v>
      </c>
      <c r="R4096" s="1">
        <v>0.1</v>
      </c>
      <c r="S4096">
        <f t="shared" si="252"/>
        <v>636.59699999999998</v>
      </c>
      <c r="T4096">
        <f>IFERROR(VLOOKUP(A4096,Table1[[Customer ID]:[Discount Amount]], 6, FALSE),"Not Found")</f>
        <v>707.33</v>
      </c>
      <c r="U4096" t="str">
        <f t="shared" si="253"/>
        <v>Debit Card</v>
      </c>
      <c r="V4096" s="4" t="str">
        <f t="shared" si="254"/>
        <v>Normal</v>
      </c>
      <c r="W4096" s="4" t="str">
        <f t="shared" si="255"/>
        <v>Good</v>
      </c>
      <c r="X4096" s="4">
        <f>AVERAGE(Table1[Purchase Amount])</f>
        <v>129.48419400000012</v>
      </c>
    </row>
    <row r="4097" spans="1:24" ht="15" customHeight="1" x14ac:dyDescent="0.25">
      <c r="A4097">
        <v>4195</v>
      </c>
      <c r="B4097">
        <v>53</v>
      </c>
      <c r="C4097" t="s">
        <v>27</v>
      </c>
      <c r="D4097" t="s">
        <v>116</v>
      </c>
      <c r="E4097" t="s">
        <v>81</v>
      </c>
      <c r="F4097" s="2">
        <v>877.02</v>
      </c>
      <c r="G4097" t="s">
        <v>126</v>
      </c>
      <c r="H4097" t="s">
        <v>31</v>
      </c>
      <c r="I4097" t="s">
        <v>93</v>
      </c>
      <c r="J4097" t="s">
        <v>33</v>
      </c>
      <c r="K4097">
        <v>1</v>
      </c>
      <c r="L4097" t="s">
        <v>23</v>
      </c>
      <c r="M4097" t="s">
        <v>24</v>
      </c>
      <c r="N4097" t="s">
        <v>34</v>
      </c>
      <c r="O4097">
        <v>0</v>
      </c>
      <c r="P4097" t="s">
        <v>36</v>
      </c>
      <c r="Q4097" t="s">
        <v>42</v>
      </c>
      <c r="R4097" s="1">
        <v>0.1</v>
      </c>
      <c r="S4097">
        <f t="shared" si="252"/>
        <v>789.31799999999998</v>
      </c>
      <c r="T4097">
        <f>IFERROR(VLOOKUP(A4097,Table1[[Customer ID]:[Discount Amount]], 6, FALSE),"Not Found")</f>
        <v>877.02</v>
      </c>
      <c r="U4097" t="str">
        <f t="shared" si="253"/>
        <v>Debit Card</v>
      </c>
      <c r="V4097" s="4" t="str">
        <f t="shared" si="254"/>
        <v>Normal</v>
      </c>
      <c r="W4097" s="4" t="str">
        <f t="shared" si="255"/>
        <v>Poor</v>
      </c>
      <c r="X4097" s="4">
        <f>AVERAGE(Table1[Purchase Amount])</f>
        <v>129.48419400000012</v>
      </c>
    </row>
    <row r="4098" spans="1:24" ht="15" customHeight="1" x14ac:dyDescent="0.25">
      <c r="A4098">
        <v>4196</v>
      </c>
      <c r="B4098">
        <v>19</v>
      </c>
      <c r="C4098" t="s">
        <v>16</v>
      </c>
      <c r="D4098" t="s">
        <v>80</v>
      </c>
      <c r="E4098" t="s">
        <v>18</v>
      </c>
      <c r="F4098" s="2">
        <v>0</v>
      </c>
      <c r="G4098" t="s">
        <v>82</v>
      </c>
      <c r="H4098" t="s">
        <v>55</v>
      </c>
      <c r="I4098" t="s">
        <v>32</v>
      </c>
      <c r="J4098" t="s">
        <v>75</v>
      </c>
      <c r="K4098">
        <v>1</v>
      </c>
      <c r="L4098" t="s">
        <v>34</v>
      </c>
      <c r="M4098" t="s">
        <v>61</v>
      </c>
      <c r="N4098" t="s">
        <v>23</v>
      </c>
      <c r="O4098">
        <v>0</v>
      </c>
      <c r="P4098" t="s">
        <v>53</v>
      </c>
      <c r="Q4098" t="s">
        <v>37</v>
      </c>
      <c r="R4098" s="1">
        <v>0.1</v>
      </c>
      <c r="S4098">
        <f t="shared" ref="S4098:S4161" si="256">F4098-(F4098*R4098)</f>
        <v>0</v>
      </c>
      <c r="T4098">
        <f>IFERROR(VLOOKUP(A4098,Table1[[Customer ID]:[Discount Amount]], 6, FALSE),"Not Found")</f>
        <v>0</v>
      </c>
      <c r="U4098" t="str">
        <f t="shared" ref="U4098:U4161" si="257">INDEX(P:P, MATCH(A4098, A:A, 0))</f>
        <v>Credit Card</v>
      </c>
      <c r="V4098" s="4" t="str">
        <f t="shared" ref="V4098:V4161" si="258">IF(AND(F4098&gt;1000,K4098&gt;=4),"Best Customer","Normal")</f>
        <v>Normal</v>
      </c>
      <c r="W4098" s="4" t="str">
        <f t="shared" ref="W4098:W4161" si="259">IF(K4098&gt;=3,"Good","Poor")</f>
        <v>Poor</v>
      </c>
      <c r="X4098" s="4">
        <f>AVERAGE(Table1[Purchase Amount])</f>
        <v>129.48419400000012</v>
      </c>
    </row>
    <row r="4099" spans="1:24" ht="15" customHeight="1" x14ac:dyDescent="0.25">
      <c r="A4099">
        <v>4197</v>
      </c>
      <c r="B4099">
        <v>30</v>
      </c>
      <c r="C4099" t="s">
        <v>16</v>
      </c>
      <c r="D4099" t="s">
        <v>117</v>
      </c>
      <c r="E4099" t="s">
        <v>29</v>
      </c>
      <c r="F4099" s="2">
        <v>243.4</v>
      </c>
      <c r="G4099" t="s">
        <v>139</v>
      </c>
      <c r="H4099" t="s">
        <v>55</v>
      </c>
      <c r="I4099" t="s">
        <v>46</v>
      </c>
      <c r="J4099" t="s">
        <v>22</v>
      </c>
      <c r="K4099">
        <v>1</v>
      </c>
      <c r="L4099" t="s">
        <v>23</v>
      </c>
      <c r="M4099" t="s">
        <v>24</v>
      </c>
      <c r="N4099" t="s">
        <v>34</v>
      </c>
      <c r="O4099">
        <v>26</v>
      </c>
      <c r="P4099" t="s">
        <v>25</v>
      </c>
      <c r="Q4099" t="s">
        <v>26</v>
      </c>
      <c r="R4099" s="1">
        <v>0.1</v>
      </c>
      <c r="S4099">
        <f t="shared" si="256"/>
        <v>219.06</v>
      </c>
      <c r="T4099">
        <f>IFERROR(VLOOKUP(A4099,Table1[[Customer ID]:[Discount Amount]], 6, FALSE),"Not Found")</f>
        <v>243.4</v>
      </c>
      <c r="U4099" t="str">
        <f t="shared" si="257"/>
        <v>Cash</v>
      </c>
      <c r="V4099" s="4" t="str">
        <f t="shared" si="258"/>
        <v>Normal</v>
      </c>
      <c r="W4099" s="4" t="str">
        <f t="shared" si="259"/>
        <v>Poor</v>
      </c>
      <c r="X4099" s="4">
        <f>AVERAGE(Table1[Purchase Amount])</f>
        <v>129.48419400000012</v>
      </c>
    </row>
    <row r="4100" spans="1:24" ht="15" customHeight="1" x14ac:dyDescent="0.25">
      <c r="A4100">
        <v>4198</v>
      </c>
      <c r="B4100">
        <v>42</v>
      </c>
      <c r="C4100" t="s">
        <v>16</v>
      </c>
      <c r="D4100" t="s">
        <v>95</v>
      </c>
      <c r="E4100" t="s">
        <v>29</v>
      </c>
      <c r="F4100" s="2">
        <v>0</v>
      </c>
      <c r="G4100" t="s">
        <v>73</v>
      </c>
      <c r="H4100" t="s">
        <v>31</v>
      </c>
      <c r="I4100" t="s">
        <v>46</v>
      </c>
      <c r="J4100" t="s">
        <v>57</v>
      </c>
      <c r="K4100">
        <v>1</v>
      </c>
      <c r="L4100" t="s">
        <v>34</v>
      </c>
      <c r="M4100" t="s">
        <v>61</v>
      </c>
      <c r="N4100" t="s">
        <v>34</v>
      </c>
      <c r="O4100">
        <v>31</v>
      </c>
      <c r="P4100" t="s">
        <v>25</v>
      </c>
      <c r="Q4100" t="s">
        <v>26</v>
      </c>
      <c r="R4100" s="1">
        <v>0.1</v>
      </c>
      <c r="S4100">
        <f t="shared" si="256"/>
        <v>0</v>
      </c>
      <c r="T4100">
        <f>IFERROR(VLOOKUP(A4100,Table1[[Customer ID]:[Discount Amount]], 6, FALSE),"Not Found")</f>
        <v>0</v>
      </c>
      <c r="U4100" t="str">
        <f t="shared" si="257"/>
        <v>Cash</v>
      </c>
      <c r="V4100" s="4" t="str">
        <f t="shared" si="258"/>
        <v>Normal</v>
      </c>
      <c r="W4100" s="4" t="str">
        <f t="shared" si="259"/>
        <v>Poor</v>
      </c>
      <c r="X4100" s="4">
        <f>AVERAGE(Table1[Purchase Amount])</f>
        <v>129.48419400000012</v>
      </c>
    </row>
    <row r="4101" spans="1:24" ht="15" customHeight="1" x14ac:dyDescent="0.25">
      <c r="A4101">
        <v>4199</v>
      </c>
      <c r="B4101">
        <v>44</v>
      </c>
      <c r="C4101" t="s">
        <v>71</v>
      </c>
      <c r="D4101" t="s">
        <v>112</v>
      </c>
      <c r="E4101" t="s">
        <v>29</v>
      </c>
      <c r="F4101" s="2">
        <v>0</v>
      </c>
      <c r="G4101" t="s">
        <v>126</v>
      </c>
      <c r="H4101" t="s">
        <v>31</v>
      </c>
      <c r="I4101" t="s">
        <v>40</v>
      </c>
      <c r="J4101" t="s">
        <v>75</v>
      </c>
      <c r="K4101">
        <v>1</v>
      </c>
      <c r="L4101" t="s">
        <v>34</v>
      </c>
      <c r="M4101" t="s">
        <v>24</v>
      </c>
      <c r="N4101" t="s">
        <v>34</v>
      </c>
      <c r="O4101">
        <v>25</v>
      </c>
      <c r="P4101" t="s">
        <v>25</v>
      </c>
      <c r="Q4101" t="s">
        <v>42</v>
      </c>
      <c r="R4101" s="1">
        <v>0.1</v>
      </c>
      <c r="S4101">
        <f t="shared" si="256"/>
        <v>0</v>
      </c>
      <c r="T4101">
        <f>IFERROR(VLOOKUP(A4101,Table1[[Customer ID]:[Discount Amount]], 6, FALSE),"Not Found")</f>
        <v>0</v>
      </c>
      <c r="U4101" t="str">
        <f t="shared" si="257"/>
        <v>Cash</v>
      </c>
      <c r="V4101" s="4" t="str">
        <f t="shared" si="258"/>
        <v>Normal</v>
      </c>
      <c r="W4101" s="4" t="str">
        <f t="shared" si="259"/>
        <v>Poor</v>
      </c>
      <c r="X4101" s="4">
        <f>AVERAGE(Table1[Purchase Amount])</f>
        <v>129.48419400000012</v>
      </c>
    </row>
    <row r="4102" spans="1:24" ht="15" customHeight="1" x14ac:dyDescent="0.25">
      <c r="A4102">
        <v>4200</v>
      </c>
      <c r="B4102">
        <v>68</v>
      </c>
      <c r="C4102" t="s">
        <v>71</v>
      </c>
      <c r="D4102" t="s">
        <v>117</v>
      </c>
      <c r="E4102" t="s">
        <v>18</v>
      </c>
      <c r="F4102" s="2">
        <v>1138.6199999999999</v>
      </c>
      <c r="G4102" t="s">
        <v>139</v>
      </c>
      <c r="H4102" t="s">
        <v>20</v>
      </c>
      <c r="I4102" t="s">
        <v>32</v>
      </c>
      <c r="J4102" t="s">
        <v>22</v>
      </c>
      <c r="K4102">
        <v>5</v>
      </c>
      <c r="L4102" t="s">
        <v>34</v>
      </c>
      <c r="M4102" t="s">
        <v>24</v>
      </c>
      <c r="N4102" t="s">
        <v>34</v>
      </c>
      <c r="O4102">
        <v>0</v>
      </c>
      <c r="P4102" t="s">
        <v>36</v>
      </c>
      <c r="Q4102" t="s">
        <v>26</v>
      </c>
      <c r="R4102" s="1">
        <v>0.1</v>
      </c>
      <c r="S4102">
        <f t="shared" si="256"/>
        <v>1024.7579999999998</v>
      </c>
      <c r="T4102">
        <f>IFERROR(VLOOKUP(A4102,Table1[[Customer ID]:[Discount Amount]], 6, FALSE),"Not Found")</f>
        <v>1138.6199999999999</v>
      </c>
      <c r="U4102" t="str">
        <f t="shared" si="257"/>
        <v>Debit Card</v>
      </c>
      <c r="V4102" s="4" t="str">
        <f t="shared" si="258"/>
        <v>Best Customer</v>
      </c>
      <c r="W4102" s="4" t="str">
        <f t="shared" si="259"/>
        <v>Good</v>
      </c>
      <c r="X4102" s="4">
        <f>AVERAGE(Table1[Purchase Amount])</f>
        <v>129.48419400000012</v>
      </c>
    </row>
    <row r="4103" spans="1:24" ht="15" customHeight="1" x14ac:dyDescent="0.25">
      <c r="A4103">
        <v>4201</v>
      </c>
      <c r="B4103">
        <v>18</v>
      </c>
      <c r="C4103" t="s">
        <v>16</v>
      </c>
      <c r="D4103" t="s">
        <v>117</v>
      </c>
      <c r="E4103" t="s">
        <v>81</v>
      </c>
      <c r="F4103" s="2">
        <v>628.28</v>
      </c>
      <c r="G4103" t="s">
        <v>73</v>
      </c>
      <c r="H4103" t="s">
        <v>31</v>
      </c>
      <c r="I4103" t="s">
        <v>40</v>
      </c>
      <c r="J4103" t="s">
        <v>33</v>
      </c>
      <c r="K4103">
        <v>4</v>
      </c>
      <c r="L4103" t="s">
        <v>34</v>
      </c>
      <c r="M4103" t="s">
        <v>24</v>
      </c>
      <c r="N4103" t="s">
        <v>23</v>
      </c>
      <c r="O4103">
        <v>15</v>
      </c>
      <c r="P4103" t="s">
        <v>25</v>
      </c>
      <c r="Q4103" t="s">
        <v>37</v>
      </c>
      <c r="R4103" s="1">
        <v>0.1</v>
      </c>
      <c r="S4103">
        <f t="shared" si="256"/>
        <v>565.452</v>
      </c>
      <c r="T4103">
        <f>IFERROR(VLOOKUP(A4103,Table1[[Customer ID]:[Discount Amount]], 6, FALSE),"Not Found")</f>
        <v>628.28</v>
      </c>
      <c r="U4103" t="str">
        <f t="shared" si="257"/>
        <v>Cash</v>
      </c>
      <c r="V4103" s="4" t="str">
        <f t="shared" si="258"/>
        <v>Normal</v>
      </c>
      <c r="W4103" s="4" t="str">
        <f t="shared" si="259"/>
        <v>Good</v>
      </c>
      <c r="X4103" s="4">
        <f>AVERAGE(Table1[Purchase Amount])</f>
        <v>129.48419400000012</v>
      </c>
    </row>
    <row r="4104" spans="1:24" ht="15" customHeight="1" x14ac:dyDescent="0.25">
      <c r="A4104">
        <v>4202</v>
      </c>
      <c r="B4104">
        <v>65</v>
      </c>
      <c r="C4104" t="s">
        <v>27</v>
      </c>
      <c r="D4104" t="s">
        <v>38</v>
      </c>
      <c r="E4104" t="s">
        <v>81</v>
      </c>
      <c r="F4104" s="2">
        <v>0</v>
      </c>
      <c r="G4104" t="s">
        <v>82</v>
      </c>
      <c r="H4104" t="s">
        <v>31</v>
      </c>
      <c r="I4104" t="s">
        <v>32</v>
      </c>
      <c r="J4104" t="s">
        <v>22</v>
      </c>
      <c r="K4104">
        <v>1</v>
      </c>
      <c r="L4104" t="s">
        <v>23</v>
      </c>
      <c r="M4104" t="s">
        <v>61</v>
      </c>
      <c r="N4104" t="s">
        <v>34</v>
      </c>
      <c r="O4104">
        <v>42</v>
      </c>
      <c r="P4104" t="s">
        <v>25</v>
      </c>
      <c r="Q4104" t="s">
        <v>42</v>
      </c>
      <c r="R4104" s="1">
        <v>0.1</v>
      </c>
      <c r="S4104">
        <f t="shared" si="256"/>
        <v>0</v>
      </c>
      <c r="T4104">
        <f>IFERROR(VLOOKUP(A4104,Table1[[Customer ID]:[Discount Amount]], 6, FALSE),"Not Found")</f>
        <v>0</v>
      </c>
      <c r="U4104" t="str">
        <f t="shared" si="257"/>
        <v>Cash</v>
      </c>
      <c r="V4104" s="4" t="str">
        <f t="shared" si="258"/>
        <v>Normal</v>
      </c>
      <c r="W4104" s="4" t="str">
        <f t="shared" si="259"/>
        <v>Poor</v>
      </c>
      <c r="X4104" s="4">
        <f>AVERAGE(Table1[Purchase Amount])</f>
        <v>129.48419400000012</v>
      </c>
    </row>
    <row r="4105" spans="1:24" ht="15" customHeight="1" x14ac:dyDescent="0.25">
      <c r="A4105">
        <v>4203</v>
      </c>
      <c r="B4105">
        <v>35</v>
      </c>
      <c r="C4105" t="s">
        <v>27</v>
      </c>
      <c r="D4105" t="s">
        <v>72</v>
      </c>
      <c r="E4105" t="s">
        <v>29</v>
      </c>
      <c r="F4105" s="2">
        <v>0</v>
      </c>
      <c r="G4105" t="s">
        <v>82</v>
      </c>
      <c r="H4105" t="s">
        <v>45</v>
      </c>
      <c r="I4105" t="s">
        <v>93</v>
      </c>
      <c r="J4105" t="s">
        <v>57</v>
      </c>
      <c r="K4105">
        <v>3</v>
      </c>
      <c r="L4105" t="s">
        <v>34</v>
      </c>
      <c r="M4105" t="s">
        <v>24</v>
      </c>
      <c r="N4105" t="s">
        <v>23</v>
      </c>
      <c r="O4105">
        <v>0</v>
      </c>
      <c r="P4105" t="s">
        <v>36</v>
      </c>
      <c r="Q4105" t="s">
        <v>37</v>
      </c>
      <c r="R4105" s="1">
        <v>0.1</v>
      </c>
      <c r="S4105">
        <f t="shared" si="256"/>
        <v>0</v>
      </c>
      <c r="T4105">
        <f>IFERROR(VLOOKUP(A4105,Table1[[Customer ID]:[Discount Amount]], 6, FALSE),"Not Found")</f>
        <v>0</v>
      </c>
      <c r="U4105" t="str">
        <f t="shared" si="257"/>
        <v>Debit Card</v>
      </c>
      <c r="V4105" s="4" t="str">
        <f t="shared" si="258"/>
        <v>Normal</v>
      </c>
      <c r="W4105" s="4" t="str">
        <f t="shared" si="259"/>
        <v>Good</v>
      </c>
      <c r="X4105" s="4">
        <f>AVERAGE(Table1[Purchase Amount])</f>
        <v>129.48419400000012</v>
      </c>
    </row>
    <row r="4106" spans="1:24" ht="15" customHeight="1" x14ac:dyDescent="0.25">
      <c r="A4106">
        <v>4204</v>
      </c>
      <c r="B4106">
        <v>33</v>
      </c>
      <c r="C4106" t="s">
        <v>16</v>
      </c>
      <c r="D4106" t="s">
        <v>117</v>
      </c>
      <c r="E4106" t="s">
        <v>18</v>
      </c>
      <c r="F4106" s="2">
        <v>1388.46</v>
      </c>
      <c r="G4106" t="s">
        <v>139</v>
      </c>
      <c r="H4106" t="s">
        <v>31</v>
      </c>
      <c r="I4106" t="s">
        <v>32</v>
      </c>
      <c r="J4106" t="s">
        <v>57</v>
      </c>
      <c r="K4106">
        <v>5</v>
      </c>
      <c r="L4106" t="s">
        <v>23</v>
      </c>
      <c r="M4106" t="s">
        <v>61</v>
      </c>
      <c r="N4106" t="s">
        <v>23</v>
      </c>
      <c r="O4106">
        <v>16</v>
      </c>
      <c r="P4106" t="s">
        <v>58</v>
      </c>
      <c r="Q4106" t="s">
        <v>42</v>
      </c>
      <c r="R4106" s="1">
        <v>0.1</v>
      </c>
      <c r="S4106">
        <f t="shared" si="256"/>
        <v>1249.614</v>
      </c>
      <c r="T4106">
        <f>IFERROR(VLOOKUP(A4106,Table1[[Customer ID]:[Discount Amount]], 6, FALSE),"Not Found")</f>
        <v>1388.46</v>
      </c>
      <c r="U4106" t="str">
        <f t="shared" si="257"/>
        <v>PayPal</v>
      </c>
      <c r="V4106" s="4" t="str">
        <f t="shared" si="258"/>
        <v>Best Customer</v>
      </c>
      <c r="W4106" s="4" t="str">
        <f t="shared" si="259"/>
        <v>Good</v>
      </c>
      <c r="X4106" s="4">
        <f>AVERAGE(Table1[Purchase Amount])</f>
        <v>129.48419400000012</v>
      </c>
    </row>
    <row r="4107" spans="1:24" ht="15" customHeight="1" x14ac:dyDescent="0.25">
      <c r="A4107">
        <v>4205</v>
      </c>
      <c r="B4107">
        <v>45</v>
      </c>
      <c r="C4107" t="s">
        <v>71</v>
      </c>
      <c r="D4107" t="s">
        <v>117</v>
      </c>
      <c r="E4107" t="s">
        <v>18</v>
      </c>
      <c r="F4107" s="2">
        <v>0</v>
      </c>
      <c r="G4107" t="s">
        <v>82</v>
      </c>
      <c r="H4107" t="s">
        <v>45</v>
      </c>
      <c r="I4107" t="s">
        <v>46</v>
      </c>
      <c r="J4107" t="s">
        <v>57</v>
      </c>
      <c r="K4107">
        <v>5</v>
      </c>
      <c r="L4107" t="s">
        <v>23</v>
      </c>
      <c r="M4107" t="s">
        <v>24</v>
      </c>
      <c r="N4107" t="s">
        <v>23</v>
      </c>
      <c r="O4107">
        <v>26</v>
      </c>
      <c r="P4107" t="s">
        <v>36</v>
      </c>
      <c r="Q4107" t="s">
        <v>37</v>
      </c>
      <c r="R4107" s="1">
        <v>0.1</v>
      </c>
      <c r="S4107">
        <f t="shared" si="256"/>
        <v>0</v>
      </c>
      <c r="T4107">
        <f>IFERROR(VLOOKUP(A4107,Table1[[Customer ID]:[Discount Amount]], 6, FALSE),"Not Found")</f>
        <v>0</v>
      </c>
      <c r="U4107" t="str">
        <f t="shared" si="257"/>
        <v>Debit Card</v>
      </c>
      <c r="V4107" s="4" t="str">
        <f t="shared" si="258"/>
        <v>Normal</v>
      </c>
      <c r="W4107" s="4" t="str">
        <f t="shared" si="259"/>
        <v>Good</v>
      </c>
      <c r="X4107" s="4">
        <f>AVERAGE(Table1[Purchase Amount])</f>
        <v>129.48419400000012</v>
      </c>
    </row>
    <row r="4108" spans="1:24" ht="15" customHeight="1" x14ac:dyDescent="0.25">
      <c r="A4108">
        <v>4206</v>
      </c>
      <c r="B4108">
        <v>57</v>
      </c>
      <c r="C4108" t="s">
        <v>16</v>
      </c>
      <c r="D4108" t="s">
        <v>38</v>
      </c>
      <c r="E4108" t="s">
        <v>81</v>
      </c>
      <c r="F4108" s="2">
        <v>0</v>
      </c>
      <c r="G4108" t="s">
        <v>126</v>
      </c>
      <c r="H4108" t="s">
        <v>31</v>
      </c>
      <c r="I4108" t="s">
        <v>74</v>
      </c>
      <c r="J4108" t="s">
        <v>33</v>
      </c>
      <c r="K4108">
        <v>1</v>
      </c>
      <c r="L4108" t="s">
        <v>23</v>
      </c>
      <c r="M4108" t="s">
        <v>61</v>
      </c>
      <c r="N4108" t="s">
        <v>23</v>
      </c>
      <c r="O4108">
        <v>0</v>
      </c>
      <c r="P4108" t="s">
        <v>25</v>
      </c>
      <c r="Q4108" t="s">
        <v>37</v>
      </c>
      <c r="R4108" s="1">
        <v>0.1</v>
      </c>
      <c r="S4108">
        <f t="shared" si="256"/>
        <v>0</v>
      </c>
      <c r="T4108">
        <f>IFERROR(VLOOKUP(A4108,Table1[[Customer ID]:[Discount Amount]], 6, FALSE),"Not Found")</f>
        <v>0</v>
      </c>
      <c r="U4108" t="str">
        <f t="shared" si="257"/>
        <v>Cash</v>
      </c>
      <c r="V4108" s="4" t="str">
        <f t="shared" si="258"/>
        <v>Normal</v>
      </c>
      <c r="W4108" s="4" t="str">
        <f t="shared" si="259"/>
        <v>Poor</v>
      </c>
      <c r="X4108" s="4">
        <f>AVERAGE(Table1[Purchase Amount])</f>
        <v>129.48419400000012</v>
      </c>
    </row>
    <row r="4109" spans="1:24" ht="15" customHeight="1" x14ac:dyDescent="0.25">
      <c r="A4109">
        <v>4207</v>
      </c>
      <c r="B4109">
        <v>44</v>
      </c>
      <c r="C4109" t="s">
        <v>71</v>
      </c>
      <c r="D4109" t="s">
        <v>112</v>
      </c>
      <c r="E4109" t="s">
        <v>81</v>
      </c>
      <c r="F4109" s="2">
        <v>896.53</v>
      </c>
      <c r="G4109" t="s">
        <v>101</v>
      </c>
      <c r="H4109" t="s">
        <v>31</v>
      </c>
      <c r="I4109" t="s">
        <v>74</v>
      </c>
      <c r="J4109" t="s">
        <v>22</v>
      </c>
      <c r="K4109">
        <v>4</v>
      </c>
      <c r="L4109" t="s">
        <v>34</v>
      </c>
      <c r="M4109" t="s">
        <v>61</v>
      </c>
      <c r="N4109" t="s">
        <v>23</v>
      </c>
      <c r="O4109">
        <v>0</v>
      </c>
      <c r="P4109" t="s">
        <v>36</v>
      </c>
      <c r="Q4109" t="s">
        <v>42</v>
      </c>
      <c r="R4109" s="1">
        <v>0.1</v>
      </c>
      <c r="S4109">
        <f t="shared" si="256"/>
        <v>806.87699999999995</v>
      </c>
      <c r="T4109">
        <f>IFERROR(VLOOKUP(A4109,Table1[[Customer ID]:[Discount Amount]], 6, FALSE),"Not Found")</f>
        <v>896.53</v>
      </c>
      <c r="U4109" t="str">
        <f t="shared" si="257"/>
        <v>Debit Card</v>
      </c>
      <c r="V4109" s="4" t="str">
        <f t="shared" si="258"/>
        <v>Normal</v>
      </c>
      <c r="W4109" s="4" t="str">
        <f t="shared" si="259"/>
        <v>Good</v>
      </c>
      <c r="X4109" s="4">
        <f>AVERAGE(Table1[Purchase Amount])</f>
        <v>129.48419400000012</v>
      </c>
    </row>
    <row r="4110" spans="1:24" ht="15" customHeight="1" x14ac:dyDescent="0.25">
      <c r="A4110">
        <v>4208</v>
      </c>
      <c r="B4110">
        <v>36</v>
      </c>
      <c r="C4110" t="s">
        <v>16</v>
      </c>
      <c r="D4110" t="s">
        <v>112</v>
      </c>
      <c r="E4110" t="s">
        <v>81</v>
      </c>
      <c r="F4110" s="2">
        <v>178.86</v>
      </c>
      <c r="G4110" t="s">
        <v>126</v>
      </c>
      <c r="H4110" t="s">
        <v>31</v>
      </c>
      <c r="I4110" t="s">
        <v>32</v>
      </c>
      <c r="J4110" t="s">
        <v>22</v>
      </c>
      <c r="K4110">
        <v>3</v>
      </c>
      <c r="L4110" t="s">
        <v>34</v>
      </c>
      <c r="M4110" t="s">
        <v>61</v>
      </c>
      <c r="N4110" t="s">
        <v>23</v>
      </c>
      <c r="O4110">
        <v>0</v>
      </c>
      <c r="P4110" t="s">
        <v>53</v>
      </c>
      <c r="Q4110" t="s">
        <v>42</v>
      </c>
      <c r="R4110" s="1">
        <v>0.1</v>
      </c>
      <c r="S4110">
        <f t="shared" si="256"/>
        <v>160.97400000000002</v>
      </c>
      <c r="T4110">
        <f>IFERROR(VLOOKUP(A4110,Table1[[Customer ID]:[Discount Amount]], 6, FALSE),"Not Found")</f>
        <v>178.86</v>
      </c>
      <c r="U4110" t="str">
        <f t="shared" si="257"/>
        <v>Credit Card</v>
      </c>
      <c r="V4110" s="4" t="str">
        <f t="shared" si="258"/>
        <v>Normal</v>
      </c>
      <c r="W4110" s="4" t="str">
        <f t="shared" si="259"/>
        <v>Good</v>
      </c>
      <c r="X4110" s="4">
        <f>AVERAGE(Table1[Purchase Amount])</f>
        <v>129.48419400000012</v>
      </c>
    </row>
    <row r="4111" spans="1:24" ht="15" customHeight="1" x14ac:dyDescent="0.25">
      <c r="A4111">
        <v>4209</v>
      </c>
      <c r="B4111">
        <v>49</v>
      </c>
      <c r="C4111" t="s">
        <v>16</v>
      </c>
      <c r="D4111" t="s">
        <v>72</v>
      </c>
      <c r="E4111" t="s">
        <v>18</v>
      </c>
      <c r="F4111" s="2">
        <v>890.97</v>
      </c>
      <c r="G4111" t="s">
        <v>139</v>
      </c>
      <c r="H4111" t="s">
        <v>31</v>
      </c>
      <c r="I4111" t="s">
        <v>32</v>
      </c>
      <c r="J4111" t="s">
        <v>75</v>
      </c>
      <c r="K4111">
        <v>2</v>
      </c>
      <c r="L4111" t="s">
        <v>23</v>
      </c>
      <c r="M4111" t="s">
        <v>61</v>
      </c>
      <c r="N4111" t="s">
        <v>23</v>
      </c>
      <c r="O4111">
        <v>20</v>
      </c>
      <c r="P4111" t="s">
        <v>58</v>
      </c>
      <c r="Q4111" t="s">
        <v>37</v>
      </c>
      <c r="R4111" s="1">
        <v>0.1</v>
      </c>
      <c r="S4111">
        <f t="shared" si="256"/>
        <v>801.87300000000005</v>
      </c>
      <c r="T4111">
        <f>IFERROR(VLOOKUP(A4111,Table1[[Customer ID]:[Discount Amount]], 6, FALSE),"Not Found")</f>
        <v>890.97</v>
      </c>
      <c r="U4111" t="str">
        <f t="shared" si="257"/>
        <v>PayPal</v>
      </c>
      <c r="V4111" s="4" t="str">
        <f t="shared" si="258"/>
        <v>Normal</v>
      </c>
      <c r="W4111" s="4" t="str">
        <f t="shared" si="259"/>
        <v>Poor</v>
      </c>
      <c r="X4111" s="4">
        <f>AVERAGE(Table1[Purchase Amount])</f>
        <v>129.48419400000012</v>
      </c>
    </row>
    <row r="4112" spans="1:24" ht="15" customHeight="1" x14ac:dyDescent="0.25">
      <c r="A4112">
        <v>4210</v>
      </c>
      <c r="B4112">
        <v>44</v>
      </c>
      <c r="C4112" t="s">
        <v>27</v>
      </c>
      <c r="D4112" t="s">
        <v>38</v>
      </c>
      <c r="E4112" t="s">
        <v>18</v>
      </c>
      <c r="F4112" s="2">
        <v>797.32</v>
      </c>
      <c r="G4112" t="s">
        <v>73</v>
      </c>
      <c r="H4112" t="s">
        <v>55</v>
      </c>
      <c r="I4112" t="s">
        <v>40</v>
      </c>
      <c r="J4112" t="s">
        <v>33</v>
      </c>
      <c r="K4112">
        <v>1</v>
      </c>
      <c r="L4112" t="s">
        <v>34</v>
      </c>
      <c r="M4112" t="s">
        <v>24</v>
      </c>
      <c r="N4112" t="s">
        <v>34</v>
      </c>
      <c r="O4112">
        <v>0</v>
      </c>
      <c r="P4112" t="s">
        <v>58</v>
      </c>
      <c r="Q4112" t="s">
        <v>26</v>
      </c>
      <c r="R4112" s="1">
        <v>0.1</v>
      </c>
      <c r="S4112">
        <f t="shared" si="256"/>
        <v>717.58800000000008</v>
      </c>
      <c r="T4112">
        <f>IFERROR(VLOOKUP(A4112,Table1[[Customer ID]:[Discount Amount]], 6, FALSE),"Not Found")</f>
        <v>797.32</v>
      </c>
      <c r="U4112" t="str">
        <f t="shared" si="257"/>
        <v>PayPal</v>
      </c>
      <c r="V4112" s="4" t="str">
        <f t="shared" si="258"/>
        <v>Normal</v>
      </c>
      <c r="W4112" s="4" t="str">
        <f t="shared" si="259"/>
        <v>Poor</v>
      </c>
      <c r="X4112" s="4">
        <f>AVERAGE(Table1[Purchase Amount])</f>
        <v>129.48419400000012</v>
      </c>
    </row>
    <row r="4113" spans="1:24" ht="15" customHeight="1" x14ac:dyDescent="0.25">
      <c r="A4113">
        <v>4211</v>
      </c>
      <c r="B4113">
        <v>58</v>
      </c>
      <c r="C4113" t="s">
        <v>71</v>
      </c>
      <c r="D4113" t="s">
        <v>80</v>
      </c>
      <c r="E4113" t="s">
        <v>29</v>
      </c>
      <c r="F4113" s="2">
        <v>39.28</v>
      </c>
      <c r="G4113" t="s">
        <v>139</v>
      </c>
      <c r="H4113" t="s">
        <v>45</v>
      </c>
      <c r="I4113" t="s">
        <v>93</v>
      </c>
      <c r="J4113" t="s">
        <v>57</v>
      </c>
      <c r="K4113">
        <v>1</v>
      </c>
      <c r="L4113" t="s">
        <v>34</v>
      </c>
      <c r="M4113" t="s">
        <v>24</v>
      </c>
      <c r="N4113" t="s">
        <v>23</v>
      </c>
      <c r="O4113">
        <v>0</v>
      </c>
      <c r="P4113" t="s">
        <v>53</v>
      </c>
      <c r="Q4113" t="s">
        <v>26</v>
      </c>
      <c r="R4113" s="1">
        <v>0.1</v>
      </c>
      <c r="S4113">
        <f t="shared" si="256"/>
        <v>35.352000000000004</v>
      </c>
      <c r="T4113">
        <f>IFERROR(VLOOKUP(A4113,Table1[[Customer ID]:[Discount Amount]], 6, FALSE),"Not Found")</f>
        <v>39.28</v>
      </c>
      <c r="U4113" t="str">
        <f t="shared" si="257"/>
        <v>Credit Card</v>
      </c>
      <c r="V4113" s="4" t="str">
        <f t="shared" si="258"/>
        <v>Normal</v>
      </c>
      <c r="W4113" s="4" t="str">
        <f t="shared" si="259"/>
        <v>Poor</v>
      </c>
      <c r="X4113" s="4">
        <f>AVERAGE(Table1[Purchase Amount])</f>
        <v>129.48419400000012</v>
      </c>
    </row>
    <row r="4114" spans="1:24" ht="15" customHeight="1" x14ac:dyDescent="0.25">
      <c r="A4114">
        <v>4212</v>
      </c>
      <c r="B4114">
        <v>45</v>
      </c>
      <c r="C4114" t="s">
        <v>71</v>
      </c>
      <c r="D4114" t="s">
        <v>112</v>
      </c>
      <c r="E4114" t="s">
        <v>29</v>
      </c>
      <c r="F4114" s="2">
        <v>0</v>
      </c>
      <c r="G4114" t="s">
        <v>139</v>
      </c>
      <c r="H4114" t="s">
        <v>45</v>
      </c>
      <c r="I4114" t="s">
        <v>40</v>
      </c>
      <c r="J4114" t="s">
        <v>22</v>
      </c>
      <c r="K4114">
        <v>1</v>
      </c>
      <c r="L4114" t="s">
        <v>34</v>
      </c>
      <c r="M4114" t="s">
        <v>24</v>
      </c>
      <c r="N4114" t="s">
        <v>23</v>
      </c>
      <c r="O4114">
        <v>30</v>
      </c>
      <c r="P4114" t="s">
        <v>58</v>
      </c>
      <c r="Q4114" t="s">
        <v>26</v>
      </c>
      <c r="R4114" s="1">
        <v>0.1</v>
      </c>
      <c r="S4114">
        <f t="shared" si="256"/>
        <v>0</v>
      </c>
      <c r="T4114">
        <f>IFERROR(VLOOKUP(A4114,Table1[[Customer ID]:[Discount Amount]], 6, FALSE),"Not Found")</f>
        <v>0</v>
      </c>
      <c r="U4114" t="str">
        <f t="shared" si="257"/>
        <v>PayPal</v>
      </c>
      <c r="V4114" s="4" t="str">
        <f t="shared" si="258"/>
        <v>Normal</v>
      </c>
      <c r="W4114" s="4" t="str">
        <f t="shared" si="259"/>
        <v>Poor</v>
      </c>
      <c r="X4114" s="4">
        <f>AVERAGE(Table1[Purchase Amount])</f>
        <v>129.48419400000012</v>
      </c>
    </row>
    <row r="4115" spans="1:24" ht="15" customHeight="1" x14ac:dyDescent="0.25">
      <c r="A4115">
        <v>4213</v>
      </c>
      <c r="B4115">
        <v>67</v>
      </c>
      <c r="C4115" t="s">
        <v>27</v>
      </c>
      <c r="D4115" t="s">
        <v>117</v>
      </c>
      <c r="E4115" t="s">
        <v>81</v>
      </c>
      <c r="F4115" s="2">
        <v>444.17</v>
      </c>
      <c r="G4115" t="s">
        <v>101</v>
      </c>
      <c r="H4115" t="s">
        <v>31</v>
      </c>
      <c r="I4115" t="s">
        <v>74</v>
      </c>
      <c r="J4115" t="s">
        <v>22</v>
      </c>
      <c r="K4115">
        <v>1</v>
      </c>
      <c r="L4115" t="s">
        <v>34</v>
      </c>
      <c r="M4115" t="s">
        <v>61</v>
      </c>
      <c r="N4115" t="s">
        <v>34</v>
      </c>
      <c r="O4115">
        <v>7</v>
      </c>
      <c r="P4115" t="s">
        <v>58</v>
      </c>
      <c r="Q4115" t="s">
        <v>37</v>
      </c>
      <c r="R4115" s="1">
        <v>0.1</v>
      </c>
      <c r="S4115">
        <f t="shared" si="256"/>
        <v>399.75300000000004</v>
      </c>
      <c r="T4115">
        <f>IFERROR(VLOOKUP(A4115,Table1[[Customer ID]:[Discount Amount]], 6, FALSE),"Not Found")</f>
        <v>444.17</v>
      </c>
      <c r="U4115" t="str">
        <f t="shared" si="257"/>
        <v>PayPal</v>
      </c>
      <c r="V4115" s="4" t="str">
        <f t="shared" si="258"/>
        <v>Normal</v>
      </c>
      <c r="W4115" s="4" t="str">
        <f t="shared" si="259"/>
        <v>Poor</v>
      </c>
      <c r="X4115" s="4">
        <f>AVERAGE(Table1[Purchase Amount])</f>
        <v>129.48419400000012</v>
      </c>
    </row>
    <row r="4116" spans="1:24" ht="15" customHeight="1" x14ac:dyDescent="0.25">
      <c r="A4116">
        <v>4214</v>
      </c>
      <c r="B4116">
        <v>34</v>
      </c>
      <c r="C4116" t="s">
        <v>71</v>
      </c>
      <c r="D4116" t="s">
        <v>112</v>
      </c>
      <c r="E4116" t="s">
        <v>29</v>
      </c>
      <c r="F4116" s="2">
        <v>0</v>
      </c>
      <c r="G4116" t="s">
        <v>73</v>
      </c>
      <c r="H4116" t="s">
        <v>55</v>
      </c>
      <c r="I4116" t="s">
        <v>46</v>
      </c>
      <c r="J4116" t="s">
        <v>75</v>
      </c>
      <c r="K4116">
        <v>1</v>
      </c>
      <c r="L4116" t="s">
        <v>34</v>
      </c>
      <c r="M4116" t="s">
        <v>61</v>
      </c>
      <c r="N4116" t="s">
        <v>23</v>
      </c>
      <c r="O4116">
        <v>15</v>
      </c>
      <c r="P4116" t="s">
        <v>58</v>
      </c>
      <c r="Q4116" t="s">
        <v>42</v>
      </c>
      <c r="R4116" s="1">
        <v>0.1</v>
      </c>
      <c r="S4116">
        <f t="shared" si="256"/>
        <v>0</v>
      </c>
      <c r="T4116">
        <f>IFERROR(VLOOKUP(A4116,Table1[[Customer ID]:[Discount Amount]], 6, FALSE),"Not Found")</f>
        <v>0</v>
      </c>
      <c r="U4116" t="str">
        <f t="shared" si="257"/>
        <v>PayPal</v>
      </c>
      <c r="V4116" s="4" t="str">
        <f t="shared" si="258"/>
        <v>Normal</v>
      </c>
      <c r="W4116" s="4" t="str">
        <f t="shared" si="259"/>
        <v>Poor</v>
      </c>
      <c r="X4116" s="4">
        <f>AVERAGE(Table1[Purchase Amount])</f>
        <v>129.48419400000012</v>
      </c>
    </row>
    <row r="4117" spans="1:24" ht="15" customHeight="1" x14ac:dyDescent="0.25">
      <c r="A4117">
        <v>4215</v>
      </c>
      <c r="B4117">
        <v>70</v>
      </c>
      <c r="C4117" t="s">
        <v>27</v>
      </c>
      <c r="D4117" t="s">
        <v>95</v>
      </c>
      <c r="E4117" t="s">
        <v>81</v>
      </c>
      <c r="F4117" s="2">
        <v>0</v>
      </c>
      <c r="G4117" t="s">
        <v>101</v>
      </c>
      <c r="H4117" t="s">
        <v>31</v>
      </c>
      <c r="I4117" t="s">
        <v>46</v>
      </c>
      <c r="J4117" t="s">
        <v>57</v>
      </c>
      <c r="K4117">
        <v>1</v>
      </c>
      <c r="L4117" t="s">
        <v>23</v>
      </c>
      <c r="M4117" t="s">
        <v>24</v>
      </c>
      <c r="N4117" t="s">
        <v>34</v>
      </c>
      <c r="O4117">
        <v>25</v>
      </c>
      <c r="P4117" t="s">
        <v>58</v>
      </c>
      <c r="Q4117" t="s">
        <v>37</v>
      </c>
      <c r="R4117" s="1">
        <v>0.1</v>
      </c>
      <c r="S4117">
        <f t="shared" si="256"/>
        <v>0</v>
      </c>
      <c r="T4117">
        <f>IFERROR(VLOOKUP(A4117,Table1[[Customer ID]:[Discount Amount]], 6, FALSE),"Not Found")</f>
        <v>0</v>
      </c>
      <c r="U4117" t="str">
        <f t="shared" si="257"/>
        <v>PayPal</v>
      </c>
      <c r="V4117" s="4" t="str">
        <f t="shared" si="258"/>
        <v>Normal</v>
      </c>
      <c r="W4117" s="4" t="str">
        <f t="shared" si="259"/>
        <v>Poor</v>
      </c>
      <c r="X4117" s="4">
        <f>AVERAGE(Table1[Purchase Amount])</f>
        <v>129.48419400000012</v>
      </c>
    </row>
    <row r="4118" spans="1:24" ht="15" customHeight="1" x14ac:dyDescent="0.25">
      <c r="A4118">
        <v>4216</v>
      </c>
      <c r="B4118">
        <v>56</v>
      </c>
      <c r="C4118" t="s">
        <v>16</v>
      </c>
      <c r="D4118" t="s">
        <v>112</v>
      </c>
      <c r="E4118" t="s">
        <v>29</v>
      </c>
      <c r="F4118" s="2">
        <v>713.42</v>
      </c>
      <c r="G4118" t="s">
        <v>82</v>
      </c>
      <c r="H4118" t="s">
        <v>31</v>
      </c>
      <c r="I4118" t="s">
        <v>46</v>
      </c>
      <c r="J4118" t="s">
        <v>57</v>
      </c>
      <c r="K4118">
        <v>1</v>
      </c>
      <c r="L4118" t="s">
        <v>34</v>
      </c>
      <c r="M4118" t="s">
        <v>24</v>
      </c>
      <c r="N4118" t="s">
        <v>23</v>
      </c>
      <c r="O4118">
        <v>8</v>
      </c>
      <c r="P4118" t="s">
        <v>58</v>
      </c>
      <c r="Q4118" t="s">
        <v>42</v>
      </c>
      <c r="R4118" s="1">
        <v>0.1</v>
      </c>
      <c r="S4118">
        <f t="shared" si="256"/>
        <v>642.07799999999997</v>
      </c>
      <c r="T4118">
        <f>IFERROR(VLOOKUP(A4118,Table1[[Customer ID]:[Discount Amount]], 6, FALSE),"Not Found")</f>
        <v>713.42</v>
      </c>
      <c r="U4118" t="str">
        <f t="shared" si="257"/>
        <v>PayPal</v>
      </c>
      <c r="V4118" s="4" t="str">
        <f t="shared" si="258"/>
        <v>Normal</v>
      </c>
      <c r="W4118" s="4" t="str">
        <f t="shared" si="259"/>
        <v>Poor</v>
      </c>
      <c r="X4118" s="4">
        <f>AVERAGE(Table1[Purchase Amount])</f>
        <v>129.48419400000012</v>
      </c>
    </row>
    <row r="4119" spans="1:24" ht="15" customHeight="1" x14ac:dyDescent="0.25">
      <c r="A4119">
        <v>4217</v>
      </c>
      <c r="B4119">
        <v>53</v>
      </c>
      <c r="C4119" t="s">
        <v>16</v>
      </c>
      <c r="D4119" t="s">
        <v>38</v>
      </c>
      <c r="E4119" t="s">
        <v>29</v>
      </c>
      <c r="F4119" s="2">
        <v>1163.93</v>
      </c>
      <c r="G4119" t="s">
        <v>101</v>
      </c>
      <c r="H4119" t="s">
        <v>31</v>
      </c>
      <c r="I4119" t="s">
        <v>93</v>
      </c>
      <c r="J4119" t="s">
        <v>75</v>
      </c>
      <c r="K4119">
        <v>1</v>
      </c>
      <c r="L4119" t="s">
        <v>34</v>
      </c>
      <c r="M4119" t="s">
        <v>61</v>
      </c>
      <c r="N4119" t="s">
        <v>34</v>
      </c>
      <c r="O4119">
        <v>0</v>
      </c>
      <c r="P4119" t="s">
        <v>36</v>
      </c>
      <c r="Q4119" t="s">
        <v>26</v>
      </c>
      <c r="R4119" s="1">
        <v>0.1</v>
      </c>
      <c r="S4119">
        <f t="shared" si="256"/>
        <v>1047.537</v>
      </c>
      <c r="T4119">
        <f>IFERROR(VLOOKUP(A4119,Table1[[Customer ID]:[Discount Amount]], 6, FALSE),"Not Found")</f>
        <v>1163.93</v>
      </c>
      <c r="U4119" t="str">
        <f t="shared" si="257"/>
        <v>Debit Card</v>
      </c>
      <c r="V4119" s="4" t="str">
        <f t="shared" si="258"/>
        <v>Normal</v>
      </c>
      <c r="W4119" s="4" t="str">
        <f t="shared" si="259"/>
        <v>Poor</v>
      </c>
      <c r="X4119" s="4">
        <f>AVERAGE(Table1[Purchase Amount])</f>
        <v>129.48419400000012</v>
      </c>
    </row>
    <row r="4120" spans="1:24" ht="15" customHeight="1" x14ac:dyDescent="0.25">
      <c r="A4120">
        <v>4218</v>
      </c>
      <c r="B4120">
        <v>40</v>
      </c>
      <c r="C4120" t="s">
        <v>27</v>
      </c>
      <c r="D4120" t="s">
        <v>117</v>
      </c>
      <c r="E4120" t="s">
        <v>29</v>
      </c>
      <c r="F4120" s="2">
        <v>544.47</v>
      </c>
      <c r="G4120" t="s">
        <v>101</v>
      </c>
      <c r="H4120" t="s">
        <v>45</v>
      </c>
      <c r="I4120" t="s">
        <v>46</v>
      </c>
      <c r="J4120" t="s">
        <v>33</v>
      </c>
      <c r="K4120">
        <v>2</v>
      </c>
      <c r="L4120" t="s">
        <v>23</v>
      </c>
      <c r="M4120" t="s">
        <v>24</v>
      </c>
      <c r="N4120" t="s">
        <v>34</v>
      </c>
      <c r="O4120">
        <v>47</v>
      </c>
      <c r="P4120" t="s">
        <v>53</v>
      </c>
      <c r="Q4120" t="s">
        <v>26</v>
      </c>
      <c r="R4120" s="1">
        <v>0.1</v>
      </c>
      <c r="S4120">
        <f t="shared" si="256"/>
        <v>490.02300000000002</v>
      </c>
      <c r="T4120">
        <f>IFERROR(VLOOKUP(A4120,Table1[[Customer ID]:[Discount Amount]], 6, FALSE),"Not Found")</f>
        <v>544.47</v>
      </c>
      <c r="U4120" t="str">
        <f t="shared" si="257"/>
        <v>Credit Card</v>
      </c>
      <c r="V4120" s="4" t="str">
        <f t="shared" si="258"/>
        <v>Normal</v>
      </c>
      <c r="W4120" s="4" t="str">
        <f t="shared" si="259"/>
        <v>Poor</v>
      </c>
      <c r="X4120" s="4">
        <f>AVERAGE(Table1[Purchase Amount])</f>
        <v>129.48419400000012</v>
      </c>
    </row>
    <row r="4121" spans="1:24" ht="15" customHeight="1" x14ac:dyDescent="0.25">
      <c r="A4121">
        <v>4219</v>
      </c>
      <c r="B4121">
        <v>44</v>
      </c>
      <c r="C4121" t="s">
        <v>27</v>
      </c>
      <c r="D4121" t="s">
        <v>80</v>
      </c>
      <c r="E4121" t="s">
        <v>29</v>
      </c>
      <c r="F4121" s="2">
        <v>1495.94</v>
      </c>
      <c r="G4121" t="s">
        <v>126</v>
      </c>
      <c r="H4121" t="s">
        <v>45</v>
      </c>
      <c r="I4121" t="s">
        <v>93</v>
      </c>
      <c r="J4121" t="s">
        <v>33</v>
      </c>
      <c r="K4121">
        <v>5</v>
      </c>
      <c r="L4121" t="s">
        <v>23</v>
      </c>
      <c r="M4121" t="s">
        <v>61</v>
      </c>
      <c r="N4121" t="s">
        <v>23</v>
      </c>
      <c r="O4121">
        <v>0</v>
      </c>
      <c r="P4121" t="s">
        <v>53</v>
      </c>
      <c r="Q4121" t="s">
        <v>26</v>
      </c>
      <c r="R4121" s="1">
        <v>0.1</v>
      </c>
      <c r="S4121">
        <f t="shared" si="256"/>
        <v>1346.346</v>
      </c>
      <c r="T4121">
        <f>IFERROR(VLOOKUP(A4121,Table1[[Customer ID]:[Discount Amount]], 6, FALSE),"Not Found")</f>
        <v>1495.94</v>
      </c>
      <c r="U4121" t="str">
        <f t="shared" si="257"/>
        <v>Credit Card</v>
      </c>
      <c r="V4121" s="4" t="str">
        <f t="shared" si="258"/>
        <v>Best Customer</v>
      </c>
      <c r="W4121" s="4" t="str">
        <f t="shared" si="259"/>
        <v>Good</v>
      </c>
      <c r="X4121" s="4">
        <f>AVERAGE(Table1[Purchase Amount])</f>
        <v>129.48419400000012</v>
      </c>
    </row>
    <row r="4122" spans="1:24" ht="15" customHeight="1" x14ac:dyDescent="0.25">
      <c r="A4122">
        <v>4220</v>
      </c>
      <c r="B4122">
        <v>54</v>
      </c>
      <c r="C4122" t="s">
        <v>27</v>
      </c>
      <c r="D4122" t="s">
        <v>117</v>
      </c>
      <c r="E4122" t="s">
        <v>18</v>
      </c>
      <c r="F4122" s="2">
        <v>0</v>
      </c>
      <c r="G4122" t="s">
        <v>73</v>
      </c>
      <c r="H4122" t="s">
        <v>55</v>
      </c>
      <c r="I4122" t="s">
        <v>74</v>
      </c>
      <c r="J4122" t="s">
        <v>75</v>
      </c>
      <c r="K4122">
        <v>1</v>
      </c>
      <c r="L4122" t="s">
        <v>23</v>
      </c>
      <c r="M4122" t="s">
        <v>61</v>
      </c>
      <c r="N4122" t="s">
        <v>23</v>
      </c>
      <c r="O4122">
        <v>5</v>
      </c>
      <c r="P4122" t="s">
        <v>36</v>
      </c>
      <c r="Q4122" t="s">
        <v>37</v>
      </c>
      <c r="R4122" s="1">
        <v>0.1</v>
      </c>
      <c r="S4122">
        <f t="shared" si="256"/>
        <v>0</v>
      </c>
      <c r="T4122">
        <f>IFERROR(VLOOKUP(A4122,Table1[[Customer ID]:[Discount Amount]], 6, FALSE),"Not Found")</f>
        <v>0</v>
      </c>
      <c r="U4122" t="str">
        <f t="shared" si="257"/>
        <v>Debit Card</v>
      </c>
      <c r="V4122" s="4" t="str">
        <f t="shared" si="258"/>
        <v>Normal</v>
      </c>
      <c r="W4122" s="4" t="str">
        <f t="shared" si="259"/>
        <v>Poor</v>
      </c>
      <c r="X4122" s="4">
        <f>AVERAGE(Table1[Purchase Amount])</f>
        <v>129.48419400000012</v>
      </c>
    </row>
    <row r="4123" spans="1:24" ht="15" customHeight="1" x14ac:dyDescent="0.25">
      <c r="A4123">
        <v>4221</v>
      </c>
      <c r="B4123">
        <v>49</v>
      </c>
      <c r="C4123" t="s">
        <v>71</v>
      </c>
      <c r="D4123" t="s">
        <v>95</v>
      </c>
      <c r="E4123" t="s">
        <v>81</v>
      </c>
      <c r="F4123" s="2">
        <v>1372.93</v>
      </c>
      <c r="G4123" t="s">
        <v>82</v>
      </c>
      <c r="H4123" t="s">
        <v>31</v>
      </c>
      <c r="I4123" t="s">
        <v>93</v>
      </c>
      <c r="J4123" t="s">
        <v>75</v>
      </c>
      <c r="K4123">
        <v>1</v>
      </c>
      <c r="L4123" t="s">
        <v>34</v>
      </c>
      <c r="M4123" t="s">
        <v>61</v>
      </c>
      <c r="N4123" t="s">
        <v>34</v>
      </c>
      <c r="O4123">
        <v>0</v>
      </c>
      <c r="P4123" t="s">
        <v>53</v>
      </c>
      <c r="Q4123" t="s">
        <v>42</v>
      </c>
      <c r="R4123" s="1">
        <v>0.1</v>
      </c>
      <c r="S4123">
        <f t="shared" si="256"/>
        <v>1235.6370000000002</v>
      </c>
      <c r="T4123">
        <f>IFERROR(VLOOKUP(A4123,Table1[[Customer ID]:[Discount Amount]], 6, FALSE),"Not Found")</f>
        <v>1372.93</v>
      </c>
      <c r="U4123" t="str">
        <f t="shared" si="257"/>
        <v>Credit Card</v>
      </c>
      <c r="V4123" s="4" t="str">
        <f t="shared" si="258"/>
        <v>Normal</v>
      </c>
      <c r="W4123" s="4" t="str">
        <f t="shared" si="259"/>
        <v>Poor</v>
      </c>
      <c r="X4123" s="4">
        <f>AVERAGE(Table1[Purchase Amount])</f>
        <v>129.48419400000012</v>
      </c>
    </row>
    <row r="4124" spans="1:24" ht="15" customHeight="1" x14ac:dyDescent="0.25">
      <c r="A4124">
        <v>4222</v>
      </c>
      <c r="B4124">
        <v>53</v>
      </c>
      <c r="C4124" t="s">
        <v>71</v>
      </c>
      <c r="D4124" t="s">
        <v>112</v>
      </c>
      <c r="E4124" t="s">
        <v>81</v>
      </c>
      <c r="F4124" s="2">
        <v>0</v>
      </c>
      <c r="G4124" t="s">
        <v>82</v>
      </c>
      <c r="H4124" t="s">
        <v>31</v>
      </c>
      <c r="I4124" t="s">
        <v>93</v>
      </c>
      <c r="J4124" t="s">
        <v>57</v>
      </c>
      <c r="K4124">
        <v>1</v>
      </c>
      <c r="L4124" t="s">
        <v>34</v>
      </c>
      <c r="M4124" t="s">
        <v>61</v>
      </c>
      <c r="N4124" t="s">
        <v>34</v>
      </c>
      <c r="O4124">
        <v>19</v>
      </c>
      <c r="P4124" t="s">
        <v>25</v>
      </c>
      <c r="Q4124" t="s">
        <v>26</v>
      </c>
      <c r="R4124" s="1">
        <v>0.1</v>
      </c>
      <c r="S4124">
        <f t="shared" si="256"/>
        <v>0</v>
      </c>
      <c r="T4124">
        <f>IFERROR(VLOOKUP(A4124,Table1[[Customer ID]:[Discount Amount]], 6, FALSE),"Not Found")</f>
        <v>0</v>
      </c>
      <c r="U4124" t="str">
        <f t="shared" si="257"/>
        <v>Cash</v>
      </c>
      <c r="V4124" s="4" t="str">
        <f t="shared" si="258"/>
        <v>Normal</v>
      </c>
      <c r="W4124" s="4" t="str">
        <f t="shared" si="259"/>
        <v>Poor</v>
      </c>
      <c r="X4124" s="4">
        <f>AVERAGE(Table1[Purchase Amount])</f>
        <v>129.48419400000012</v>
      </c>
    </row>
    <row r="4125" spans="1:24" ht="15" customHeight="1" x14ac:dyDescent="0.25">
      <c r="A4125">
        <v>4223</v>
      </c>
      <c r="B4125">
        <v>59</v>
      </c>
      <c r="C4125" t="s">
        <v>27</v>
      </c>
      <c r="D4125" t="s">
        <v>95</v>
      </c>
      <c r="E4125" t="s">
        <v>29</v>
      </c>
      <c r="F4125" s="2">
        <v>227</v>
      </c>
      <c r="G4125" t="s">
        <v>101</v>
      </c>
      <c r="H4125" t="s">
        <v>31</v>
      </c>
      <c r="I4125" t="s">
        <v>93</v>
      </c>
      <c r="J4125" t="s">
        <v>22</v>
      </c>
      <c r="K4125">
        <v>4</v>
      </c>
      <c r="L4125" t="s">
        <v>23</v>
      </c>
      <c r="M4125" t="s">
        <v>61</v>
      </c>
      <c r="N4125" t="s">
        <v>23</v>
      </c>
      <c r="O4125">
        <v>0</v>
      </c>
      <c r="P4125" t="s">
        <v>58</v>
      </c>
      <c r="Q4125" t="s">
        <v>37</v>
      </c>
      <c r="R4125" s="1">
        <v>0.1</v>
      </c>
      <c r="S4125">
        <f t="shared" si="256"/>
        <v>204.3</v>
      </c>
      <c r="T4125">
        <f>IFERROR(VLOOKUP(A4125,Table1[[Customer ID]:[Discount Amount]], 6, FALSE),"Not Found")</f>
        <v>227</v>
      </c>
      <c r="U4125" t="str">
        <f t="shared" si="257"/>
        <v>PayPal</v>
      </c>
      <c r="V4125" s="4" t="str">
        <f t="shared" si="258"/>
        <v>Normal</v>
      </c>
      <c r="W4125" s="4" t="str">
        <f t="shared" si="259"/>
        <v>Good</v>
      </c>
      <c r="X4125" s="4">
        <f>AVERAGE(Table1[Purchase Amount])</f>
        <v>129.48419400000012</v>
      </c>
    </row>
    <row r="4126" spans="1:24" ht="15" customHeight="1" x14ac:dyDescent="0.25">
      <c r="A4126">
        <v>4224</v>
      </c>
      <c r="B4126">
        <v>46</v>
      </c>
      <c r="C4126" t="s">
        <v>27</v>
      </c>
      <c r="D4126" t="s">
        <v>80</v>
      </c>
      <c r="E4126" t="s">
        <v>18</v>
      </c>
      <c r="F4126" s="2">
        <v>356.1</v>
      </c>
      <c r="G4126" t="s">
        <v>101</v>
      </c>
      <c r="H4126" t="s">
        <v>31</v>
      </c>
      <c r="I4126" t="s">
        <v>40</v>
      </c>
      <c r="J4126" t="s">
        <v>75</v>
      </c>
      <c r="K4126">
        <v>1</v>
      </c>
      <c r="L4126" t="s">
        <v>23</v>
      </c>
      <c r="M4126" t="s">
        <v>61</v>
      </c>
      <c r="N4126" t="s">
        <v>34</v>
      </c>
      <c r="O4126">
        <v>32</v>
      </c>
      <c r="P4126" t="s">
        <v>36</v>
      </c>
      <c r="Q4126" t="s">
        <v>42</v>
      </c>
      <c r="R4126" s="1">
        <v>0.1</v>
      </c>
      <c r="S4126">
        <f t="shared" si="256"/>
        <v>320.49</v>
      </c>
      <c r="T4126">
        <f>IFERROR(VLOOKUP(A4126,Table1[[Customer ID]:[Discount Amount]], 6, FALSE),"Not Found")</f>
        <v>356.1</v>
      </c>
      <c r="U4126" t="str">
        <f t="shared" si="257"/>
        <v>Debit Card</v>
      </c>
      <c r="V4126" s="4" t="str">
        <f t="shared" si="258"/>
        <v>Normal</v>
      </c>
      <c r="W4126" s="4" t="str">
        <f t="shared" si="259"/>
        <v>Poor</v>
      </c>
      <c r="X4126" s="4">
        <f>AVERAGE(Table1[Purchase Amount])</f>
        <v>129.48419400000012</v>
      </c>
    </row>
    <row r="4127" spans="1:24" ht="15" customHeight="1" x14ac:dyDescent="0.25">
      <c r="A4127">
        <v>4225</v>
      </c>
      <c r="B4127">
        <v>26</v>
      </c>
      <c r="C4127" t="s">
        <v>71</v>
      </c>
      <c r="D4127" t="s">
        <v>117</v>
      </c>
      <c r="E4127" t="s">
        <v>29</v>
      </c>
      <c r="F4127" s="2">
        <v>19.690000000000001</v>
      </c>
      <c r="G4127" t="s">
        <v>126</v>
      </c>
      <c r="H4127" t="s">
        <v>55</v>
      </c>
      <c r="I4127" t="s">
        <v>32</v>
      </c>
      <c r="J4127" t="s">
        <v>33</v>
      </c>
      <c r="K4127">
        <v>1</v>
      </c>
      <c r="L4127" t="s">
        <v>34</v>
      </c>
      <c r="M4127" t="s">
        <v>24</v>
      </c>
      <c r="N4127" t="s">
        <v>34</v>
      </c>
      <c r="O4127">
        <v>26</v>
      </c>
      <c r="P4127" t="s">
        <v>25</v>
      </c>
      <c r="Q4127" t="s">
        <v>26</v>
      </c>
      <c r="R4127" s="1">
        <v>0.1</v>
      </c>
      <c r="S4127">
        <f t="shared" si="256"/>
        <v>17.721</v>
      </c>
      <c r="T4127">
        <f>IFERROR(VLOOKUP(A4127,Table1[[Customer ID]:[Discount Amount]], 6, FALSE),"Not Found")</f>
        <v>19.690000000000001</v>
      </c>
      <c r="U4127" t="str">
        <f t="shared" si="257"/>
        <v>Cash</v>
      </c>
      <c r="V4127" s="4" t="str">
        <f t="shared" si="258"/>
        <v>Normal</v>
      </c>
      <c r="W4127" s="4" t="str">
        <f t="shared" si="259"/>
        <v>Poor</v>
      </c>
      <c r="X4127" s="4">
        <f>AVERAGE(Table1[Purchase Amount])</f>
        <v>129.48419400000012</v>
      </c>
    </row>
    <row r="4128" spans="1:24" ht="15" customHeight="1" x14ac:dyDescent="0.25">
      <c r="A4128">
        <v>4226</v>
      </c>
      <c r="B4128">
        <v>41</v>
      </c>
      <c r="C4128" t="s">
        <v>16</v>
      </c>
      <c r="D4128" t="s">
        <v>112</v>
      </c>
      <c r="E4128" t="s">
        <v>18</v>
      </c>
      <c r="F4128" s="2">
        <v>1472.22</v>
      </c>
      <c r="G4128" t="s">
        <v>139</v>
      </c>
      <c r="H4128" t="s">
        <v>45</v>
      </c>
      <c r="I4128" t="s">
        <v>93</v>
      </c>
      <c r="J4128" t="s">
        <v>33</v>
      </c>
      <c r="K4128">
        <v>1</v>
      </c>
      <c r="L4128" t="s">
        <v>23</v>
      </c>
      <c r="M4128" t="s">
        <v>61</v>
      </c>
      <c r="N4128" t="s">
        <v>34</v>
      </c>
      <c r="O4128">
        <v>0</v>
      </c>
      <c r="P4128" t="s">
        <v>36</v>
      </c>
      <c r="Q4128" t="s">
        <v>42</v>
      </c>
      <c r="R4128" s="1">
        <v>0.1</v>
      </c>
      <c r="S4128">
        <f t="shared" si="256"/>
        <v>1324.998</v>
      </c>
      <c r="T4128">
        <f>IFERROR(VLOOKUP(A4128,Table1[[Customer ID]:[Discount Amount]], 6, FALSE),"Not Found")</f>
        <v>1472.22</v>
      </c>
      <c r="U4128" t="str">
        <f t="shared" si="257"/>
        <v>Debit Card</v>
      </c>
      <c r="V4128" s="4" t="str">
        <f t="shared" si="258"/>
        <v>Normal</v>
      </c>
      <c r="W4128" s="4" t="str">
        <f t="shared" si="259"/>
        <v>Poor</v>
      </c>
      <c r="X4128" s="4">
        <f>AVERAGE(Table1[Purchase Amount])</f>
        <v>129.48419400000012</v>
      </c>
    </row>
    <row r="4129" spans="1:24" ht="15" customHeight="1" x14ac:dyDescent="0.25">
      <c r="A4129">
        <v>4227</v>
      </c>
      <c r="B4129">
        <v>29</v>
      </c>
      <c r="C4129" t="s">
        <v>16</v>
      </c>
      <c r="D4129" t="s">
        <v>117</v>
      </c>
      <c r="E4129" t="s">
        <v>29</v>
      </c>
      <c r="F4129" s="2">
        <v>0</v>
      </c>
      <c r="G4129" t="s">
        <v>101</v>
      </c>
      <c r="H4129" t="s">
        <v>55</v>
      </c>
      <c r="I4129" t="s">
        <v>40</v>
      </c>
      <c r="J4129" t="s">
        <v>57</v>
      </c>
      <c r="K4129">
        <v>2</v>
      </c>
      <c r="L4129" t="s">
        <v>23</v>
      </c>
      <c r="M4129" t="s">
        <v>61</v>
      </c>
      <c r="N4129" t="s">
        <v>23</v>
      </c>
      <c r="O4129">
        <v>0</v>
      </c>
      <c r="P4129" t="s">
        <v>53</v>
      </c>
      <c r="Q4129" t="s">
        <v>42</v>
      </c>
      <c r="R4129" s="1">
        <v>0.1</v>
      </c>
      <c r="S4129">
        <f t="shared" si="256"/>
        <v>0</v>
      </c>
      <c r="T4129">
        <f>IFERROR(VLOOKUP(A4129,Table1[[Customer ID]:[Discount Amount]], 6, FALSE),"Not Found")</f>
        <v>0</v>
      </c>
      <c r="U4129" t="str">
        <f t="shared" si="257"/>
        <v>Credit Card</v>
      </c>
      <c r="V4129" s="4" t="str">
        <f t="shared" si="258"/>
        <v>Normal</v>
      </c>
      <c r="W4129" s="4" t="str">
        <f t="shared" si="259"/>
        <v>Poor</v>
      </c>
      <c r="X4129" s="4">
        <f>AVERAGE(Table1[Purchase Amount])</f>
        <v>129.48419400000012</v>
      </c>
    </row>
    <row r="4130" spans="1:24" ht="15" customHeight="1" x14ac:dyDescent="0.25">
      <c r="A4130">
        <v>4228</v>
      </c>
      <c r="B4130">
        <v>21</v>
      </c>
      <c r="C4130" t="s">
        <v>27</v>
      </c>
      <c r="D4130" t="s">
        <v>72</v>
      </c>
      <c r="E4130" t="s">
        <v>18</v>
      </c>
      <c r="F4130" s="2">
        <v>1302.82</v>
      </c>
      <c r="G4130" t="s">
        <v>139</v>
      </c>
      <c r="H4130" t="s">
        <v>20</v>
      </c>
      <c r="I4130" t="s">
        <v>93</v>
      </c>
      <c r="J4130" t="s">
        <v>75</v>
      </c>
      <c r="K4130">
        <v>1</v>
      </c>
      <c r="L4130" t="s">
        <v>34</v>
      </c>
      <c r="M4130" t="s">
        <v>24</v>
      </c>
      <c r="N4130" t="s">
        <v>23</v>
      </c>
      <c r="O4130">
        <v>0</v>
      </c>
      <c r="P4130" t="s">
        <v>25</v>
      </c>
      <c r="Q4130" t="s">
        <v>37</v>
      </c>
      <c r="R4130" s="1">
        <v>0.1</v>
      </c>
      <c r="S4130">
        <f t="shared" si="256"/>
        <v>1172.538</v>
      </c>
      <c r="T4130">
        <f>IFERROR(VLOOKUP(A4130,Table1[[Customer ID]:[Discount Amount]], 6, FALSE),"Not Found")</f>
        <v>1302.82</v>
      </c>
      <c r="U4130" t="str">
        <f t="shared" si="257"/>
        <v>Cash</v>
      </c>
      <c r="V4130" s="4" t="str">
        <f t="shared" si="258"/>
        <v>Normal</v>
      </c>
      <c r="W4130" s="4" t="str">
        <f t="shared" si="259"/>
        <v>Poor</v>
      </c>
      <c r="X4130" s="4">
        <f>AVERAGE(Table1[Purchase Amount])</f>
        <v>129.48419400000012</v>
      </c>
    </row>
    <row r="4131" spans="1:24" ht="15" customHeight="1" x14ac:dyDescent="0.25">
      <c r="A4131">
        <v>4229</v>
      </c>
      <c r="B4131">
        <v>68</v>
      </c>
      <c r="C4131" t="s">
        <v>71</v>
      </c>
      <c r="D4131" t="s">
        <v>112</v>
      </c>
      <c r="E4131" t="s">
        <v>81</v>
      </c>
      <c r="F4131" s="2">
        <v>882.19</v>
      </c>
      <c r="G4131" t="s">
        <v>101</v>
      </c>
      <c r="H4131" t="s">
        <v>31</v>
      </c>
      <c r="I4131" t="s">
        <v>93</v>
      </c>
      <c r="J4131" t="s">
        <v>22</v>
      </c>
      <c r="K4131">
        <v>1</v>
      </c>
      <c r="L4131" t="s">
        <v>23</v>
      </c>
      <c r="M4131" t="s">
        <v>24</v>
      </c>
      <c r="N4131" t="s">
        <v>34</v>
      </c>
      <c r="O4131">
        <v>0</v>
      </c>
      <c r="P4131" t="s">
        <v>36</v>
      </c>
      <c r="Q4131" t="s">
        <v>26</v>
      </c>
      <c r="R4131" s="1">
        <v>0.1</v>
      </c>
      <c r="S4131">
        <f t="shared" si="256"/>
        <v>793.971</v>
      </c>
      <c r="T4131">
        <f>IFERROR(VLOOKUP(A4131,Table1[[Customer ID]:[Discount Amount]], 6, FALSE),"Not Found")</f>
        <v>882.19</v>
      </c>
      <c r="U4131" t="str">
        <f t="shared" si="257"/>
        <v>Debit Card</v>
      </c>
      <c r="V4131" s="4" t="str">
        <f t="shared" si="258"/>
        <v>Normal</v>
      </c>
      <c r="W4131" s="4" t="str">
        <f t="shared" si="259"/>
        <v>Poor</v>
      </c>
      <c r="X4131" s="4">
        <f>AVERAGE(Table1[Purchase Amount])</f>
        <v>129.48419400000012</v>
      </c>
    </row>
    <row r="4132" spans="1:24" ht="15" customHeight="1" x14ac:dyDescent="0.25">
      <c r="A4132">
        <v>4230</v>
      </c>
      <c r="B4132">
        <v>61</v>
      </c>
      <c r="C4132" t="s">
        <v>71</v>
      </c>
      <c r="D4132" t="s">
        <v>112</v>
      </c>
      <c r="E4132" t="s">
        <v>81</v>
      </c>
      <c r="F4132" s="2">
        <v>123.39</v>
      </c>
      <c r="G4132" t="s">
        <v>101</v>
      </c>
      <c r="H4132" t="s">
        <v>31</v>
      </c>
      <c r="I4132" t="s">
        <v>74</v>
      </c>
      <c r="J4132" t="s">
        <v>33</v>
      </c>
      <c r="K4132">
        <v>2</v>
      </c>
      <c r="L4132" t="s">
        <v>23</v>
      </c>
      <c r="M4132" t="s">
        <v>61</v>
      </c>
      <c r="N4132" t="s">
        <v>34</v>
      </c>
      <c r="O4132">
        <v>5</v>
      </c>
      <c r="P4132" t="s">
        <v>36</v>
      </c>
      <c r="Q4132" t="s">
        <v>26</v>
      </c>
      <c r="R4132" s="1">
        <v>0.1</v>
      </c>
      <c r="S4132">
        <f t="shared" si="256"/>
        <v>111.051</v>
      </c>
      <c r="T4132">
        <f>IFERROR(VLOOKUP(A4132,Table1[[Customer ID]:[Discount Amount]], 6, FALSE),"Not Found")</f>
        <v>123.39</v>
      </c>
      <c r="U4132" t="str">
        <f t="shared" si="257"/>
        <v>Debit Card</v>
      </c>
      <c r="V4132" s="4" t="str">
        <f t="shared" si="258"/>
        <v>Normal</v>
      </c>
      <c r="W4132" s="4" t="str">
        <f t="shared" si="259"/>
        <v>Poor</v>
      </c>
      <c r="X4132" s="4">
        <f>AVERAGE(Table1[Purchase Amount])</f>
        <v>129.48419400000012</v>
      </c>
    </row>
    <row r="4133" spans="1:24" ht="15" customHeight="1" x14ac:dyDescent="0.25">
      <c r="A4133">
        <v>4231</v>
      </c>
      <c r="B4133">
        <v>23</v>
      </c>
      <c r="C4133" t="s">
        <v>71</v>
      </c>
      <c r="D4133" t="s">
        <v>80</v>
      </c>
      <c r="E4133" t="s">
        <v>81</v>
      </c>
      <c r="F4133" s="2">
        <v>1379.95</v>
      </c>
      <c r="G4133" t="s">
        <v>82</v>
      </c>
      <c r="H4133" t="s">
        <v>31</v>
      </c>
      <c r="I4133" t="s">
        <v>46</v>
      </c>
      <c r="J4133" t="s">
        <v>57</v>
      </c>
      <c r="K4133">
        <v>4</v>
      </c>
      <c r="L4133" t="s">
        <v>23</v>
      </c>
      <c r="M4133" t="s">
        <v>61</v>
      </c>
      <c r="N4133" t="s">
        <v>34</v>
      </c>
      <c r="O4133">
        <v>11</v>
      </c>
      <c r="P4133" t="s">
        <v>36</v>
      </c>
      <c r="Q4133" t="s">
        <v>42</v>
      </c>
      <c r="R4133" s="1">
        <v>0.1</v>
      </c>
      <c r="S4133">
        <f t="shared" si="256"/>
        <v>1241.9549999999999</v>
      </c>
      <c r="T4133">
        <f>IFERROR(VLOOKUP(A4133,Table1[[Customer ID]:[Discount Amount]], 6, FALSE),"Not Found")</f>
        <v>1379.95</v>
      </c>
      <c r="U4133" t="str">
        <f t="shared" si="257"/>
        <v>Debit Card</v>
      </c>
      <c r="V4133" s="4" t="str">
        <f t="shared" si="258"/>
        <v>Best Customer</v>
      </c>
      <c r="W4133" s="4" t="str">
        <f t="shared" si="259"/>
        <v>Good</v>
      </c>
      <c r="X4133" s="4">
        <f>AVERAGE(Table1[Purchase Amount])</f>
        <v>129.48419400000012</v>
      </c>
    </row>
    <row r="4134" spans="1:24" ht="15" customHeight="1" x14ac:dyDescent="0.25">
      <c r="A4134">
        <v>4232</v>
      </c>
      <c r="B4134">
        <v>57</v>
      </c>
      <c r="C4134" t="s">
        <v>16</v>
      </c>
      <c r="D4134" t="s">
        <v>38</v>
      </c>
      <c r="E4134" t="s">
        <v>29</v>
      </c>
      <c r="F4134" s="2">
        <v>1268.73</v>
      </c>
      <c r="G4134" t="s">
        <v>101</v>
      </c>
      <c r="H4134" t="s">
        <v>55</v>
      </c>
      <c r="I4134" t="s">
        <v>40</v>
      </c>
      <c r="J4134" t="s">
        <v>75</v>
      </c>
      <c r="K4134">
        <v>1</v>
      </c>
      <c r="L4134" t="s">
        <v>23</v>
      </c>
      <c r="M4134" t="s">
        <v>24</v>
      </c>
      <c r="N4134" t="s">
        <v>34</v>
      </c>
      <c r="O4134">
        <v>33</v>
      </c>
      <c r="P4134" t="s">
        <v>58</v>
      </c>
      <c r="Q4134" t="s">
        <v>42</v>
      </c>
      <c r="R4134" s="1">
        <v>0.1</v>
      </c>
      <c r="S4134">
        <f t="shared" si="256"/>
        <v>1141.857</v>
      </c>
      <c r="T4134">
        <f>IFERROR(VLOOKUP(A4134,Table1[[Customer ID]:[Discount Amount]], 6, FALSE),"Not Found")</f>
        <v>1268.73</v>
      </c>
      <c r="U4134" t="str">
        <f t="shared" si="257"/>
        <v>PayPal</v>
      </c>
      <c r="V4134" s="4" t="str">
        <f t="shared" si="258"/>
        <v>Normal</v>
      </c>
      <c r="W4134" s="4" t="str">
        <f t="shared" si="259"/>
        <v>Poor</v>
      </c>
      <c r="X4134" s="4">
        <f>AVERAGE(Table1[Purchase Amount])</f>
        <v>129.48419400000012</v>
      </c>
    </row>
    <row r="4135" spans="1:24" ht="15" customHeight="1" x14ac:dyDescent="0.25">
      <c r="A4135">
        <v>4233</v>
      </c>
      <c r="B4135">
        <v>27</v>
      </c>
      <c r="C4135" t="s">
        <v>16</v>
      </c>
      <c r="D4135" t="s">
        <v>112</v>
      </c>
      <c r="E4135" t="s">
        <v>29</v>
      </c>
      <c r="F4135" s="2">
        <v>47.79</v>
      </c>
      <c r="G4135" t="s">
        <v>126</v>
      </c>
      <c r="H4135" t="s">
        <v>45</v>
      </c>
      <c r="I4135" t="s">
        <v>46</v>
      </c>
      <c r="J4135" t="s">
        <v>22</v>
      </c>
      <c r="K4135">
        <v>3</v>
      </c>
      <c r="L4135" t="s">
        <v>23</v>
      </c>
      <c r="M4135" t="s">
        <v>61</v>
      </c>
      <c r="N4135" t="s">
        <v>23</v>
      </c>
      <c r="O4135">
        <v>0</v>
      </c>
      <c r="P4135" t="s">
        <v>58</v>
      </c>
      <c r="Q4135" t="s">
        <v>42</v>
      </c>
      <c r="R4135" s="1">
        <v>0.1</v>
      </c>
      <c r="S4135">
        <f t="shared" si="256"/>
        <v>43.010999999999996</v>
      </c>
      <c r="T4135">
        <f>IFERROR(VLOOKUP(A4135,Table1[[Customer ID]:[Discount Amount]], 6, FALSE),"Not Found")</f>
        <v>47.79</v>
      </c>
      <c r="U4135" t="str">
        <f t="shared" si="257"/>
        <v>PayPal</v>
      </c>
      <c r="V4135" s="4" t="str">
        <f t="shared" si="258"/>
        <v>Normal</v>
      </c>
      <c r="W4135" s="4" t="str">
        <f t="shared" si="259"/>
        <v>Good</v>
      </c>
      <c r="X4135" s="4">
        <f>AVERAGE(Table1[Purchase Amount])</f>
        <v>129.48419400000012</v>
      </c>
    </row>
    <row r="4136" spans="1:24" ht="15" customHeight="1" x14ac:dyDescent="0.25">
      <c r="A4136">
        <v>4234</v>
      </c>
      <c r="B4136">
        <v>27</v>
      </c>
      <c r="C4136" t="s">
        <v>27</v>
      </c>
      <c r="D4136" t="s">
        <v>80</v>
      </c>
      <c r="E4136" t="s">
        <v>81</v>
      </c>
      <c r="F4136" s="2">
        <v>1388.53</v>
      </c>
      <c r="G4136" t="s">
        <v>139</v>
      </c>
      <c r="H4136" t="s">
        <v>31</v>
      </c>
      <c r="I4136" t="s">
        <v>74</v>
      </c>
      <c r="J4136" t="s">
        <v>57</v>
      </c>
      <c r="K4136">
        <v>1</v>
      </c>
      <c r="L4136" t="s">
        <v>34</v>
      </c>
      <c r="M4136" t="s">
        <v>61</v>
      </c>
      <c r="N4136" t="s">
        <v>23</v>
      </c>
      <c r="O4136">
        <v>45</v>
      </c>
      <c r="P4136" t="s">
        <v>58</v>
      </c>
      <c r="Q4136" t="s">
        <v>37</v>
      </c>
      <c r="R4136" s="1">
        <v>0.1</v>
      </c>
      <c r="S4136">
        <f t="shared" si="256"/>
        <v>1249.6769999999999</v>
      </c>
      <c r="T4136">
        <f>IFERROR(VLOOKUP(A4136,Table1[[Customer ID]:[Discount Amount]], 6, FALSE),"Not Found")</f>
        <v>1388.53</v>
      </c>
      <c r="U4136" t="str">
        <f t="shared" si="257"/>
        <v>PayPal</v>
      </c>
      <c r="V4136" s="4" t="str">
        <f t="shared" si="258"/>
        <v>Normal</v>
      </c>
      <c r="W4136" s="4" t="str">
        <f t="shared" si="259"/>
        <v>Poor</v>
      </c>
      <c r="X4136" s="4">
        <f>AVERAGE(Table1[Purchase Amount])</f>
        <v>129.48419400000012</v>
      </c>
    </row>
    <row r="4137" spans="1:24" ht="15" customHeight="1" x14ac:dyDescent="0.25">
      <c r="A4137">
        <v>4235</v>
      </c>
      <c r="B4137">
        <v>56</v>
      </c>
      <c r="C4137" t="s">
        <v>71</v>
      </c>
      <c r="D4137" t="s">
        <v>117</v>
      </c>
      <c r="E4137" t="s">
        <v>18</v>
      </c>
      <c r="F4137" s="2">
        <v>0</v>
      </c>
      <c r="G4137" t="s">
        <v>101</v>
      </c>
      <c r="H4137" t="s">
        <v>55</v>
      </c>
      <c r="I4137" t="s">
        <v>46</v>
      </c>
      <c r="J4137" t="s">
        <v>33</v>
      </c>
      <c r="K4137">
        <v>1</v>
      </c>
      <c r="L4137" t="s">
        <v>34</v>
      </c>
      <c r="M4137" t="s">
        <v>61</v>
      </c>
      <c r="N4137" t="s">
        <v>34</v>
      </c>
      <c r="O4137">
        <v>0</v>
      </c>
      <c r="P4137" t="s">
        <v>36</v>
      </c>
      <c r="Q4137" t="s">
        <v>37</v>
      </c>
      <c r="R4137" s="1">
        <v>0.1</v>
      </c>
      <c r="S4137">
        <f t="shared" si="256"/>
        <v>0</v>
      </c>
      <c r="T4137">
        <f>IFERROR(VLOOKUP(A4137,Table1[[Customer ID]:[Discount Amount]], 6, FALSE),"Not Found")</f>
        <v>0</v>
      </c>
      <c r="U4137" t="str">
        <f t="shared" si="257"/>
        <v>Debit Card</v>
      </c>
      <c r="V4137" s="4" t="str">
        <f t="shared" si="258"/>
        <v>Normal</v>
      </c>
      <c r="W4137" s="4" t="str">
        <f t="shared" si="259"/>
        <v>Poor</v>
      </c>
      <c r="X4137" s="4">
        <f>AVERAGE(Table1[Purchase Amount])</f>
        <v>129.48419400000012</v>
      </c>
    </row>
    <row r="4138" spans="1:24" ht="15" customHeight="1" x14ac:dyDescent="0.25">
      <c r="A4138">
        <v>4236</v>
      </c>
      <c r="B4138">
        <v>65</v>
      </c>
      <c r="C4138" t="s">
        <v>27</v>
      </c>
      <c r="D4138" t="s">
        <v>38</v>
      </c>
      <c r="E4138" t="s">
        <v>29</v>
      </c>
      <c r="F4138" s="2">
        <v>0</v>
      </c>
      <c r="G4138" t="s">
        <v>139</v>
      </c>
      <c r="H4138" t="s">
        <v>45</v>
      </c>
      <c r="I4138" t="s">
        <v>32</v>
      </c>
      <c r="J4138" t="s">
        <v>57</v>
      </c>
      <c r="K4138">
        <v>2</v>
      </c>
      <c r="L4138" t="s">
        <v>23</v>
      </c>
      <c r="M4138" t="s">
        <v>24</v>
      </c>
      <c r="N4138" t="s">
        <v>34</v>
      </c>
      <c r="O4138">
        <v>49</v>
      </c>
      <c r="P4138" t="s">
        <v>36</v>
      </c>
      <c r="Q4138" t="s">
        <v>37</v>
      </c>
      <c r="R4138" s="1">
        <v>0.1</v>
      </c>
      <c r="S4138">
        <f t="shared" si="256"/>
        <v>0</v>
      </c>
      <c r="T4138">
        <f>IFERROR(VLOOKUP(A4138,Table1[[Customer ID]:[Discount Amount]], 6, FALSE),"Not Found")</f>
        <v>0</v>
      </c>
      <c r="U4138" t="str">
        <f t="shared" si="257"/>
        <v>Debit Card</v>
      </c>
      <c r="V4138" s="4" t="str">
        <f t="shared" si="258"/>
        <v>Normal</v>
      </c>
      <c r="W4138" s="4" t="str">
        <f t="shared" si="259"/>
        <v>Poor</v>
      </c>
      <c r="X4138" s="4">
        <f>AVERAGE(Table1[Purchase Amount])</f>
        <v>129.48419400000012</v>
      </c>
    </row>
    <row r="4139" spans="1:24" ht="15" customHeight="1" x14ac:dyDescent="0.25">
      <c r="A4139">
        <v>4237</v>
      </c>
      <c r="B4139">
        <v>27</v>
      </c>
      <c r="C4139" t="s">
        <v>27</v>
      </c>
      <c r="D4139" t="s">
        <v>117</v>
      </c>
      <c r="E4139" t="s">
        <v>18</v>
      </c>
      <c r="F4139" s="2">
        <v>297.77999999999997</v>
      </c>
      <c r="G4139" t="s">
        <v>82</v>
      </c>
      <c r="H4139" t="s">
        <v>55</v>
      </c>
      <c r="I4139" t="s">
        <v>93</v>
      </c>
      <c r="J4139" t="s">
        <v>22</v>
      </c>
      <c r="K4139">
        <v>5</v>
      </c>
      <c r="L4139" t="s">
        <v>34</v>
      </c>
      <c r="M4139" t="s">
        <v>61</v>
      </c>
      <c r="N4139" t="s">
        <v>34</v>
      </c>
      <c r="O4139">
        <v>44</v>
      </c>
      <c r="P4139" t="s">
        <v>25</v>
      </c>
      <c r="Q4139" t="s">
        <v>37</v>
      </c>
      <c r="R4139" s="1">
        <v>0.1</v>
      </c>
      <c r="S4139">
        <f t="shared" si="256"/>
        <v>268.00199999999995</v>
      </c>
      <c r="T4139">
        <f>IFERROR(VLOOKUP(A4139,Table1[[Customer ID]:[Discount Amount]], 6, FALSE),"Not Found")</f>
        <v>297.77999999999997</v>
      </c>
      <c r="U4139" t="str">
        <f t="shared" si="257"/>
        <v>Cash</v>
      </c>
      <c r="V4139" s="4" t="str">
        <f t="shared" si="258"/>
        <v>Normal</v>
      </c>
      <c r="W4139" s="4" t="str">
        <f t="shared" si="259"/>
        <v>Good</v>
      </c>
      <c r="X4139" s="4">
        <f>AVERAGE(Table1[Purchase Amount])</f>
        <v>129.48419400000012</v>
      </c>
    </row>
    <row r="4140" spans="1:24" ht="15" customHeight="1" x14ac:dyDescent="0.25">
      <c r="A4140">
        <v>4238</v>
      </c>
      <c r="B4140">
        <v>55</v>
      </c>
      <c r="C4140" t="s">
        <v>16</v>
      </c>
      <c r="D4140" t="s">
        <v>116</v>
      </c>
      <c r="E4140" t="s">
        <v>81</v>
      </c>
      <c r="F4140" s="2">
        <v>0</v>
      </c>
      <c r="G4140" t="s">
        <v>139</v>
      </c>
      <c r="H4140" t="s">
        <v>31</v>
      </c>
      <c r="I4140" t="s">
        <v>93</v>
      </c>
      <c r="J4140" t="s">
        <v>75</v>
      </c>
      <c r="K4140">
        <v>1</v>
      </c>
      <c r="L4140" t="s">
        <v>23</v>
      </c>
      <c r="M4140" t="s">
        <v>61</v>
      </c>
      <c r="N4140" t="s">
        <v>34</v>
      </c>
      <c r="O4140">
        <v>0</v>
      </c>
      <c r="P4140" t="s">
        <v>58</v>
      </c>
      <c r="Q4140" t="s">
        <v>37</v>
      </c>
      <c r="R4140" s="1">
        <v>0.1</v>
      </c>
      <c r="S4140">
        <f t="shared" si="256"/>
        <v>0</v>
      </c>
      <c r="T4140">
        <f>IFERROR(VLOOKUP(A4140,Table1[[Customer ID]:[Discount Amount]], 6, FALSE),"Not Found")</f>
        <v>0</v>
      </c>
      <c r="U4140" t="str">
        <f t="shared" si="257"/>
        <v>PayPal</v>
      </c>
      <c r="V4140" s="4" t="str">
        <f t="shared" si="258"/>
        <v>Normal</v>
      </c>
      <c r="W4140" s="4" t="str">
        <f t="shared" si="259"/>
        <v>Poor</v>
      </c>
      <c r="X4140" s="4">
        <f>AVERAGE(Table1[Purchase Amount])</f>
        <v>129.48419400000012</v>
      </c>
    </row>
    <row r="4141" spans="1:24" ht="15" customHeight="1" x14ac:dyDescent="0.25">
      <c r="A4141">
        <v>4239</v>
      </c>
      <c r="B4141">
        <v>59</v>
      </c>
      <c r="C4141" t="s">
        <v>16</v>
      </c>
      <c r="D4141" t="s">
        <v>80</v>
      </c>
      <c r="E4141" t="s">
        <v>18</v>
      </c>
      <c r="F4141" s="2">
        <v>0</v>
      </c>
      <c r="G4141" t="s">
        <v>139</v>
      </c>
      <c r="H4141" t="s">
        <v>31</v>
      </c>
      <c r="I4141" t="s">
        <v>40</v>
      </c>
      <c r="J4141" t="s">
        <v>22</v>
      </c>
      <c r="K4141">
        <v>3</v>
      </c>
      <c r="L4141" t="s">
        <v>34</v>
      </c>
      <c r="M4141" t="s">
        <v>61</v>
      </c>
      <c r="N4141" t="s">
        <v>34</v>
      </c>
      <c r="O4141">
        <v>14</v>
      </c>
      <c r="P4141" t="s">
        <v>53</v>
      </c>
      <c r="Q4141" t="s">
        <v>42</v>
      </c>
      <c r="R4141" s="1">
        <v>0.1</v>
      </c>
      <c r="S4141">
        <f t="shared" si="256"/>
        <v>0</v>
      </c>
      <c r="T4141">
        <f>IFERROR(VLOOKUP(A4141,Table1[[Customer ID]:[Discount Amount]], 6, FALSE),"Not Found")</f>
        <v>0</v>
      </c>
      <c r="U4141" t="str">
        <f t="shared" si="257"/>
        <v>Credit Card</v>
      </c>
      <c r="V4141" s="4" t="str">
        <f t="shared" si="258"/>
        <v>Normal</v>
      </c>
      <c r="W4141" s="4" t="str">
        <f t="shared" si="259"/>
        <v>Good</v>
      </c>
      <c r="X4141" s="4">
        <f>AVERAGE(Table1[Purchase Amount])</f>
        <v>129.48419400000012</v>
      </c>
    </row>
    <row r="4142" spans="1:24" ht="15" customHeight="1" x14ac:dyDescent="0.25">
      <c r="A4142">
        <v>4240</v>
      </c>
      <c r="B4142">
        <v>39</v>
      </c>
      <c r="C4142" t="s">
        <v>27</v>
      </c>
      <c r="D4142" t="s">
        <v>80</v>
      </c>
      <c r="E4142" t="s">
        <v>29</v>
      </c>
      <c r="F4142" s="2">
        <v>0</v>
      </c>
      <c r="G4142" t="s">
        <v>73</v>
      </c>
      <c r="H4142" t="s">
        <v>31</v>
      </c>
      <c r="I4142" t="s">
        <v>93</v>
      </c>
      <c r="J4142" t="s">
        <v>22</v>
      </c>
      <c r="K4142">
        <v>1</v>
      </c>
      <c r="L4142" t="s">
        <v>34</v>
      </c>
      <c r="M4142" t="s">
        <v>24</v>
      </c>
      <c r="N4142" t="s">
        <v>34</v>
      </c>
      <c r="O4142">
        <v>20</v>
      </c>
      <c r="P4142" t="s">
        <v>53</v>
      </c>
      <c r="Q4142" t="s">
        <v>26</v>
      </c>
      <c r="R4142" s="1">
        <v>0.1</v>
      </c>
      <c r="S4142">
        <f t="shared" si="256"/>
        <v>0</v>
      </c>
      <c r="T4142">
        <f>IFERROR(VLOOKUP(A4142,Table1[[Customer ID]:[Discount Amount]], 6, FALSE),"Not Found")</f>
        <v>0</v>
      </c>
      <c r="U4142" t="str">
        <f t="shared" si="257"/>
        <v>Credit Card</v>
      </c>
      <c r="V4142" s="4" t="str">
        <f t="shared" si="258"/>
        <v>Normal</v>
      </c>
      <c r="W4142" s="4" t="str">
        <f t="shared" si="259"/>
        <v>Poor</v>
      </c>
      <c r="X4142" s="4">
        <f>AVERAGE(Table1[Purchase Amount])</f>
        <v>129.48419400000012</v>
      </c>
    </row>
    <row r="4143" spans="1:24" ht="15" customHeight="1" x14ac:dyDescent="0.25">
      <c r="A4143">
        <v>4241</v>
      </c>
      <c r="B4143">
        <v>29</v>
      </c>
      <c r="C4143" t="s">
        <v>27</v>
      </c>
      <c r="D4143" t="s">
        <v>95</v>
      </c>
      <c r="E4143" t="s">
        <v>81</v>
      </c>
      <c r="F4143" s="2">
        <v>0</v>
      </c>
      <c r="G4143" t="s">
        <v>101</v>
      </c>
      <c r="H4143" t="s">
        <v>31</v>
      </c>
      <c r="I4143" t="s">
        <v>93</v>
      </c>
      <c r="J4143" t="s">
        <v>22</v>
      </c>
      <c r="K4143">
        <v>1</v>
      </c>
      <c r="L4143" t="s">
        <v>34</v>
      </c>
      <c r="M4143" t="s">
        <v>24</v>
      </c>
      <c r="N4143" t="s">
        <v>34</v>
      </c>
      <c r="O4143">
        <v>17</v>
      </c>
      <c r="P4143" t="s">
        <v>36</v>
      </c>
      <c r="Q4143" t="s">
        <v>37</v>
      </c>
      <c r="R4143" s="1">
        <v>0.1</v>
      </c>
      <c r="S4143">
        <f t="shared" si="256"/>
        <v>0</v>
      </c>
      <c r="T4143">
        <f>IFERROR(VLOOKUP(A4143,Table1[[Customer ID]:[Discount Amount]], 6, FALSE),"Not Found")</f>
        <v>0</v>
      </c>
      <c r="U4143" t="str">
        <f t="shared" si="257"/>
        <v>Debit Card</v>
      </c>
      <c r="V4143" s="4" t="str">
        <f t="shared" si="258"/>
        <v>Normal</v>
      </c>
      <c r="W4143" s="4" t="str">
        <f t="shared" si="259"/>
        <v>Poor</v>
      </c>
      <c r="X4143" s="4">
        <f>AVERAGE(Table1[Purchase Amount])</f>
        <v>129.48419400000012</v>
      </c>
    </row>
    <row r="4144" spans="1:24" ht="15" customHeight="1" x14ac:dyDescent="0.25">
      <c r="A4144">
        <v>4242</v>
      </c>
      <c r="B4144">
        <v>61</v>
      </c>
      <c r="C4144" t="s">
        <v>16</v>
      </c>
      <c r="D4144" t="s">
        <v>72</v>
      </c>
      <c r="E4144" t="s">
        <v>81</v>
      </c>
      <c r="F4144" s="2">
        <v>60.79</v>
      </c>
      <c r="G4144" t="s">
        <v>73</v>
      </c>
      <c r="H4144" t="s">
        <v>31</v>
      </c>
      <c r="I4144" t="s">
        <v>32</v>
      </c>
      <c r="J4144" t="s">
        <v>57</v>
      </c>
      <c r="K4144">
        <v>1</v>
      </c>
      <c r="L4144" t="s">
        <v>34</v>
      </c>
      <c r="M4144" t="s">
        <v>24</v>
      </c>
      <c r="N4144" t="s">
        <v>23</v>
      </c>
      <c r="O4144">
        <v>0</v>
      </c>
      <c r="P4144" t="s">
        <v>25</v>
      </c>
      <c r="Q4144" t="s">
        <v>42</v>
      </c>
      <c r="R4144" s="1">
        <v>0.1</v>
      </c>
      <c r="S4144">
        <f t="shared" si="256"/>
        <v>54.710999999999999</v>
      </c>
      <c r="T4144">
        <f>IFERROR(VLOOKUP(A4144,Table1[[Customer ID]:[Discount Amount]], 6, FALSE),"Not Found")</f>
        <v>60.79</v>
      </c>
      <c r="U4144" t="str">
        <f t="shared" si="257"/>
        <v>Cash</v>
      </c>
      <c r="V4144" s="4" t="str">
        <f t="shared" si="258"/>
        <v>Normal</v>
      </c>
      <c r="W4144" s="4" t="str">
        <f t="shared" si="259"/>
        <v>Poor</v>
      </c>
      <c r="X4144" s="4">
        <f>AVERAGE(Table1[Purchase Amount])</f>
        <v>129.48419400000012</v>
      </c>
    </row>
    <row r="4145" spans="1:24" ht="15" customHeight="1" x14ac:dyDescent="0.25">
      <c r="A4145">
        <v>4243</v>
      </c>
      <c r="B4145">
        <v>18</v>
      </c>
      <c r="C4145" t="s">
        <v>27</v>
      </c>
      <c r="D4145" t="s">
        <v>112</v>
      </c>
      <c r="E4145" t="s">
        <v>18</v>
      </c>
      <c r="F4145" s="2">
        <v>0</v>
      </c>
      <c r="G4145" t="s">
        <v>82</v>
      </c>
      <c r="H4145" t="s">
        <v>20</v>
      </c>
      <c r="I4145" t="s">
        <v>46</v>
      </c>
      <c r="J4145" t="s">
        <v>22</v>
      </c>
      <c r="K4145">
        <v>1</v>
      </c>
      <c r="L4145" t="s">
        <v>23</v>
      </c>
      <c r="M4145" t="s">
        <v>61</v>
      </c>
      <c r="N4145" t="s">
        <v>23</v>
      </c>
      <c r="O4145">
        <v>0</v>
      </c>
      <c r="P4145" t="s">
        <v>25</v>
      </c>
      <c r="Q4145" t="s">
        <v>37</v>
      </c>
      <c r="R4145" s="1">
        <v>0.1</v>
      </c>
      <c r="S4145">
        <f t="shared" si="256"/>
        <v>0</v>
      </c>
      <c r="T4145">
        <f>IFERROR(VLOOKUP(A4145,Table1[[Customer ID]:[Discount Amount]], 6, FALSE),"Not Found")</f>
        <v>0</v>
      </c>
      <c r="U4145" t="str">
        <f t="shared" si="257"/>
        <v>Cash</v>
      </c>
      <c r="V4145" s="4" t="str">
        <f t="shared" si="258"/>
        <v>Normal</v>
      </c>
      <c r="W4145" s="4" t="str">
        <f t="shared" si="259"/>
        <v>Poor</v>
      </c>
      <c r="X4145" s="4">
        <f>AVERAGE(Table1[Purchase Amount])</f>
        <v>129.48419400000012</v>
      </c>
    </row>
    <row r="4146" spans="1:24" ht="15" customHeight="1" x14ac:dyDescent="0.25">
      <c r="A4146">
        <v>4244</v>
      </c>
      <c r="B4146">
        <v>44</v>
      </c>
      <c r="C4146" t="s">
        <v>71</v>
      </c>
      <c r="D4146" t="s">
        <v>117</v>
      </c>
      <c r="E4146" t="s">
        <v>81</v>
      </c>
      <c r="F4146" s="2">
        <v>191.27</v>
      </c>
      <c r="G4146" t="s">
        <v>139</v>
      </c>
      <c r="H4146" t="s">
        <v>31</v>
      </c>
      <c r="I4146" t="s">
        <v>32</v>
      </c>
      <c r="J4146" t="s">
        <v>33</v>
      </c>
      <c r="K4146">
        <v>1</v>
      </c>
      <c r="L4146" t="s">
        <v>34</v>
      </c>
      <c r="M4146" t="s">
        <v>24</v>
      </c>
      <c r="N4146" t="s">
        <v>34</v>
      </c>
      <c r="O4146">
        <v>0</v>
      </c>
      <c r="P4146" t="s">
        <v>58</v>
      </c>
      <c r="Q4146" t="s">
        <v>26</v>
      </c>
      <c r="R4146" s="1">
        <v>0.1</v>
      </c>
      <c r="S4146">
        <f t="shared" si="256"/>
        <v>172.143</v>
      </c>
      <c r="T4146">
        <f>IFERROR(VLOOKUP(A4146,Table1[[Customer ID]:[Discount Amount]], 6, FALSE),"Not Found")</f>
        <v>191.27</v>
      </c>
      <c r="U4146" t="str">
        <f t="shared" si="257"/>
        <v>PayPal</v>
      </c>
      <c r="V4146" s="4" t="str">
        <f t="shared" si="258"/>
        <v>Normal</v>
      </c>
      <c r="W4146" s="4" t="str">
        <f t="shared" si="259"/>
        <v>Poor</v>
      </c>
      <c r="X4146" s="4">
        <f>AVERAGE(Table1[Purchase Amount])</f>
        <v>129.48419400000012</v>
      </c>
    </row>
    <row r="4147" spans="1:24" ht="15" customHeight="1" x14ac:dyDescent="0.25">
      <c r="A4147">
        <v>4245</v>
      </c>
      <c r="B4147">
        <v>42</v>
      </c>
      <c r="C4147" t="s">
        <v>16</v>
      </c>
      <c r="D4147" t="s">
        <v>72</v>
      </c>
      <c r="E4147" t="s">
        <v>29</v>
      </c>
      <c r="F4147" s="2">
        <v>454</v>
      </c>
      <c r="G4147" t="s">
        <v>101</v>
      </c>
      <c r="H4147" t="s">
        <v>45</v>
      </c>
      <c r="I4147" t="s">
        <v>46</v>
      </c>
      <c r="J4147" t="s">
        <v>75</v>
      </c>
      <c r="K4147">
        <v>5</v>
      </c>
      <c r="L4147" t="s">
        <v>23</v>
      </c>
      <c r="M4147" t="s">
        <v>61</v>
      </c>
      <c r="N4147" t="s">
        <v>23</v>
      </c>
      <c r="O4147">
        <v>40</v>
      </c>
      <c r="P4147" t="s">
        <v>36</v>
      </c>
      <c r="Q4147" t="s">
        <v>42</v>
      </c>
      <c r="R4147" s="1">
        <v>0.1</v>
      </c>
      <c r="S4147">
        <f t="shared" si="256"/>
        <v>408.6</v>
      </c>
      <c r="T4147">
        <f>IFERROR(VLOOKUP(A4147,Table1[[Customer ID]:[Discount Amount]], 6, FALSE),"Not Found")</f>
        <v>454</v>
      </c>
      <c r="U4147" t="str">
        <f t="shared" si="257"/>
        <v>Debit Card</v>
      </c>
      <c r="V4147" s="4" t="str">
        <f t="shared" si="258"/>
        <v>Normal</v>
      </c>
      <c r="W4147" s="4" t="str">
        <f t="shared" si="259"/>
        <v>Good</v>
      </c>
      <c r="X4147" s="4">
        <f>AVERAGE(Table1[Purchase Amount])</f>
        <v>129.48419400000012</v>
      </c>
    </row>
    <row r="4148" spans="1:24" ht="15" customHeight="1" x14ac:dyDescent="0.25">
      <c r="A4148">
        <v>4246</v>
      </c>
      <c r="B4148">
        <v>57</v>
      </c>
      <c r="C4148" t="s">
        <v>27</v>
      </c>
      <c r="D4148" t="s">
        <v>112</v>
      </c>
      <c r="E4148" t="s">
        <v>81</v>
      </c>
      <c r="F4148" s="2">
        <v>0</v>
      </c>
      <c r="G4148" t="s">
        <v>126</v>
      </c>
      <c r="H4148" t="s">
        <v>31</v>
      </c>
      <c r="I4148" t="s">
        <v>74</v>
      </c>
      <c r="J4148" t="s">
        <v>22</v>
      </c>
      <c r="K4148">
        <v>5</v>
      </c>
      <c r="L4148" t="s">
        <v>23</v>
      </c>
      <c r="M4148" t="s">
        <v>61</v>
      </c>
      <c r="N4148" t="s">
        <v>34</v>
      </c>
      <c r="O4148">
        <v>0</v>
      </c>
      <c r="P4148" t="s">
        <v>36</v>
      </c>
      <c r="Q4148" t="s">
        <v>37</v>
      </c>
      <c r="R4148" s="1">
        <v>0.1</v>
      </c>
      <c r="S4148">
        <f t="shared" si="256"/>
        <v>0</v>
      </c>
      <c r="T4148">
        <f>IFERROR(VLOOKUP(A4148,Table1[[Customer ID]:[Discount Amount]], 6, FALSE),"Not Found")</f>
        <v>0</v>
      </c>
      <c r="U4148" t="str">
        <f t="shared" si="257"/>
        <v>Debit Card</v>
      </c>
      <c r="V4148" s="4" t="str">
        <f t="shared" si="258"/>
        <v>Normal</v>
      </c>
      <c r="W4148" s="4" t="str">
        <f t="shared" si="259"/>
        <v>Good</v>
      </c>
      <c r="X4148" s="4">
        <f>AVERAGE(Table1[Purchase Amount])</f>
        <v>129.48419400000012</v>
      </c>
    </row>
    <row r="4149" spans="1:24" ht="15" customHeight="1" x14ac:dyDescent="0.25">
      <c r="A4149">
        <v>4247</v>
      </c>
      <c r="B4149">
        <v>28</v>
      </c>
      <c r="C4149" t="s">
        <v>16</v>
      </c>
      <c r="D4149" t="s">
        <v>80</v>
      </c>
      <c r="E4149" t="s">
        <v>29</v>
      </c>
      <c r="F4149" s="2">
        <v>0</v>
      </c>
      <c r="G4149" t="s">
        <v>139</v>
      </c>
      <c r="H4149" t="s">
        <v>31</v>
      </c>
      <c r="I4149" t="s">
        <v>32</v>
      </c>
      <c r="J4149" t="s">
        <v>22</v>
      </c>
      <c r="K4149">
        <v>1</v>
      </c>
      <c r="L4149" t="s">
        <v>23</v>
      </c>
      <c r="M4149" t="s">
        <v>24</v>
      </c>
      <c r="N4149" t="s">
        <v>34</v>
      </c>
      <c r="O4149">
        <v>2</v>
      </c>
      <c r="P4149" t="s">
        <v>53</v>
      </c>
      <c r="Q4149" t="s">
        <v>37</v>
      </c>
      <c r="R4149" s="1">
        <v>0.1</v>
      </c>
      <c r="S4149">
        <f t="shared" si="256"/>
        <v>0</v>
      </c>
      <c r="T4149">
        <f>IFERROR(VLOOKUP(A4149,Table1[[Customer ID]:[Discount Amount]], 6, FALSE),"Not Found")</f>
        <v>0</v>
      </c>
      <c r="U4149" t="str">
        <f t="shared" si="257"/>
        <v>Credit Card</v>
      </c>
      <c r="V4149" s="4" t="str">
        <f t="shared" si="258"/>
        <v>Normal</v>
      </c>
      <c r="W4149" s="4" t="str">
        <f t="shared" si="259"/>
        <v>Poor</v>
      </c>
      <c r="X4149" s="4">
        <f>AVERAGE(Table1[Purchase Amount])</f>
        <v>129.48419400000012</v>
      </c>
    </row>
    <row r="4150" spans="1:24" ht="15" customHeight="1" x14ac:dyDescent="0.25">
      <c r="A4150">
        <v>4248</v>
      </c>
      <c r="B4150">
        <v>38</v>
      </c>
      <c r="C4150" t="s">
        <v>71</v>
      </c>
      <c r="D4150" t="s">
        <v>80</v>
      </c>
      <c r="E4150" t="s">
        <v>18</v>
      </c>
      <c r="F4150" s="2">
        <v>1117.69</v>
      </c>
      <c r="G4150" t="s">
        <v>101</v>
      </c>
      <c r="H4150" t="s">
        <v>45</v>
      </c>
      <c r="I4150" t="s">
        <v>74</v>
      </c>
      <c r="J4150" t="s">
        <v>75</v>
      </c>
      <c r="K4150">
        <v>3</v>
      </c>
      <c r="L4150" t="s">
        <v>34</v>
      </c>
      <c r="M4150" t="s">
        <v>61</v>
      </c>
      <c r="N4150" t="s">
        <v>34</v>
      </c>
      <c r="O4150">
        <v>0</v>
      </c>
      <c r="P4150" t="s">
        <v>58</v>
      </c>
      <c r="Q4150" t="s">
        <v>37</v>
      </c>
      <c r="R4150" s="1">
        <v>0.1</v>
      </c>
      <c r="S4150">
        <f t="shared" si="256"/>
        <v>1005.921</v>
      </c>
      <c r="T4150">
        <f>IFERROR(VLOOKUP(A4150,Table1[[Customer ID]:[Discount Amount]], 6, FALSE),"Not Found")</f>
        <v>1117.69</v>
      </c>
      <c r="U4150" t="str">
        <f t="shared" si="257"/>
        <v>PayPal</v>
      </c>
      <c r="V4150" s="4" t="str">
        <f t="shared" si="258"/>
        <v>Normal</v>
      </c>
      <c r="W4150" s="4" t="str">
        <f t="shared" si="259"/>
        <v>Good</v>
      </c>
      <c r="X4150" s="4">
        <f>AVERAGE(Table1[Purchase Amount])</f>
        <v>129.48419400000012</v>
      </c>
    </row>
    <row r="4151" spans="1:24" ht="15" customHeight="1" x14ac:dyDescent="0.25">
      <c r="A4151">
        <v>4249</v>
      </c>
      <c r="B4151">
        <v>19</v>
      </c>
      <c r="C4151" t="s">
        <v>71</v>
      </c>
      <c r="D4151" t="s">
        <v>116</v>
      </c>
      <c r="E4151" t="s">
        <v>29</v>
      </c>
      <c r="F4151" s="2">
        <v>0</v>
      </c>
      <c r="G4151" t="s">
        <v>126</v>
      </c>
      <c r="H4151" t="s">
        <v>45</v>
      </c>
      <c r="I4151" t="s">
        <v>46</v>
      </c>
      <c r="J4151" t="s">
        <v>33</v>
      </c>
      <c r="K4151">
        <v>1</v>
      </c>
      <c r="L4151" t="s">
        <v>34</v>
      </c>
      <c r="M4151" t="s">
        <v>24</v>
      </c>
      <c r="N4151" t="s">
        <v>34</v>
      </c>
      <c r="O4151">
        <v>0</v>
      </c>
      <c r="P4151" t="s">
        <v>25</v>
      </c>
      <c r="Q4151" t="s">
        <v>37</v>
      </c>
      <c r="R4151" s="1">
        <v>0.1</v>
      </c>
      <c r="S4151">
        <f t="shared" si="256"/>
        <v>0</v>
      </c>
      <c r="T4151">
        <f>IFERROR(VLOOKUP(A4151,Table1[[Customer ID]:[Discount Amount]], 6, FALSE),"Not Found")</f>
        <v>0</v>
      </c>
      <c r="U4151" t="str">
        <f t="shared" si="257"/>
        <v>Cash</v>
      </c>
      <c r="V4151" s="4" t="str">
        <f t="shared" si="258"/>
        <v>Normal</v>
      </c>
      <c r="W4151" s="4" t="str">
        <f t="shared" si="259"/>
        <v>Poor</v>
      </c>
      <c r="X4151" s="4">
        <f>AVERAGE(Table1[Purchase Amount])</f>
        <v>129.48419400000012</v>
      </c>
    </row>
    <row r="4152" spans="1:24" ht="15" customHeight="1" x14ac:dyDescent="0.25">
      <c r="A4152">
        <v>4250</v>
      </c>
      <c r="B4152">
        <v>24</v>
      </c>
      <c r="C4152" t="s">
        <v>71</v>
      </c>
      <c r="D4152" t="s">
        <v>38</v>
      </c>
      <c r="E4152" t="s">
        <v>29</v>
      </c>
      <c r="F4152" s="2">
        <v>0</v>
      </c>
      <c r="G4152" t="s">
        <v>126</v>
      </c>
      <c r="H4152" t="s">
        <v>31</v>
      </c>
      <c r="I4152" t="s">
        <v>46</v>
      </c>
      <c r="J4152" t="s">
        <v>57</v>
      </c>
      <c r="K4152">
        <v>4</v>
      </c>
      <c r="L4152" t="s">
        <v>23</v>
      </c>
      <c r="M4152" t="s">
        <v>24</v>
      </c>
      <c r="N4152" t="s">
        <v>34</v>
      </c>
      <c r="O4152">
        <v>0</v>
      </c>
      <c r="P4152" t="s">
        <v>25</v>
      </c>
      <c r="Q4152" t="s">
        <v>42</v>
      </c>
      <c r="R4152" s="1">
        <v>0.1</v>
      </c>
      <c r="S4152">
        <f t="shared" si="256"/>
        <v>0</v>
      </c>
      <c r="T4152">
        <f>IFERROR(VLOOKUP(A4152,Table1[[Customer ID]:[Discount Amount]], 6, FALSE),"Not Found")</f>
        <v>0</v>
      </c>
      <c r="U4152" t="str">
        <f t="shared" si="257"/>
        <v>Cash</v>
      </c>
      <c r="V4152" s="4" t="str">
        <f t="shared" si="258"/>
        <v>Normal</v>
      </c>
      <c r="W4152" s="4" t="str">
        <f t="shared" si="259"/>
        <v>Good</v>
      </c>
      <c r="X4152" s="4">
        <f>AVERAGE(Table1[Purchase Amount])</f>
        <v>129.48419400000012</v>
      </c>
    </row>
    <row r="4153" spans="1:24" ht="15" customHeight="1" x14ac:dyDescent="0.25">
      <c r="A4153">
        <v>4251</v>
      </c>
      <c r="B4153">
        <v>20</v>
      </c>
      <c r="C4153" t="s">
        <v>27</v>
      </c>
      <c r="D4153" t="s">
        <v>112</v>
      </c>
      <c r="E4153" t="s">
        <v>18</v>
      </c>
      <c r="F4153" s="2">
        <v>956.02</v>
      </c>
      <c r="G4153" t="s">
        <v>139</v>
      </c>
      <c r="H4153" t="s">
        <v>20</v>
      </c>
      <c r="I4153" t="s">
        <v>32</v>
      </c>
      <c r="J4153" t="s">
        <v>33</v>
      </c>
      <c r="K4153">
        <v>1</v>
      </c>
      <c r="L4153" t="s">
        <v>34</v>
      </c>
      <c r="M4153" t="s">
        <v>24</v>
      </c>
      <c r="N4153" t="s">
        <v>34</v>
      </c>
      <c r="O4153">
        <v>6</v>
      </c>
      <c r="P4153" t="s">
        <v>25</v>
      </c>
      <c r="Q4153" t="s">
        <v>42</v>
      </c>
      <c r="R4153" s="1">
        <v>0.1</v>
      </c>
      <c r="S4153">
        <f t="shared" si="256"/>
        <v>860.41800000000001</v>
      </c>
      <c r="T4153">
        <f>IFERROR(VLOOKUP(A4153,Table1[[Customer ID]:[Discount Amount]], 6, FALSE),"Not Found")</f>
        <v>956.02</v>
      </c>
      <c r="U4153" t="str">
        <f t="shared" si="257"/>
        <v>Cash</v>
      </c>
      <c r="V4153" s="4" t="str">
        <f t="shared" si="258"/>
        <v>Normal</v>
      </c>
      <c r="W4153" s="4" t="str">
        <f t="shared" si="259"/>
        <v>Poor</v>
      </c>
      <c r="X4153" s="4">
        <f>AVERAGE(Table1[Purchase Amount])</f>
        <v>129.48419400000012</v>
      </c>
    </row>
    <row r="4154" spans="1:24" ht="15" customHeight="1" x14ac:dyDescent="0.25">
      <c r="A4154">
        <v>4252</v>
      </c>
      <c r="B4154">
        <v>67</v>
      </c>
      <c r="C4154" t="s">
        <v>16</v>
      </c>
      <c r="D4154" t="s">
        <v>95</v>
      </c>
      <c r="E4154" t="s">
        <v>29</v>
      </c>
      <c r="F4154" s="2">
        <v>1009.61</v>
      </c>
      <c r="G4154" t="s">
        <v>82</v>
      </c>
      <c r="H4154" t="s">
        <v>55</v>
      </c>
      <c r="I4154" t="s">
        <v>93</v>
      </c>
      <c r="J4154" t="s">
        <v>22</v>
      </c>
      <c r="K4154">
        <v>3</v>
      </c>
      <c r="L4154" t="s">
        <v>34</v>
      </c>
      <c r="M4154" t="s">
        <v>24</v>
      </c>
      <c r="N4154" t="s">
        <v>23</v>
      </c>
      <c r="O4154">
        <v>1</v>
      </c>
      <c r="P4154" t="s">
        <v>58</v>
      </c>
      <c r="Q4154" t="s">
        <v>37</v>
      </c>
      <c r="R4154" s="1">
        <v>0.1</v>
      </c>
      <c r="S4154">
        <f t="shared" si="256"/>
        <v>908.649</v>
      </c>
      <c r="T4154">
        <f>IFERROR(VLOOKUP(A4154,Table1[[Customer ID]:[Discount Amount]], 6, FALSE),"Not Found")</f>
        <v>1009.61</v>
      </c>
      <c r="U4154" t="str">
        <f t="shared" si="257"/>
        <v>PayPal</v>
      </c>
      <c r="V4154" s="4" t="str">
        <f t="shared" si="258"/>
        <v>Normal</v>
      </c>
      <c r="W4154" s="4" t="str">
        <f t="shared" si="259"/>
        <v>Good</v>
      </c>
      <c r="X4154" s="4">
        <f>AVERAGE(Table1[Purchase Amount])</f>
        <v>129.48419400000012</v>
      </c>
    </row>
    <row r="4155" spans="1:24" ht="15" customHeight="1" x14ac:dyDescent="0.25">
      <c r="A4155">
        <v>4253</v>
      </c>
      <c r="B4155">
        <v>59</v>
      </c>
      <c r="C4155" t="s">
        <v>16</v>
      </c>
      <c r="D4155" t="s">
        <v>117</v>
      </c>
      <c r="E4155" t="s">
        <v>29</v>
      </c>
      <c r="F4155" s="2">
        <v>0</v>
      </c>
      <c r="G4155" t="s">
        <v>139</v>
      </c>
      <c r="H4155" t="s">
        <v>31</v>
      </c>
      <c r="I4155" t="s">
        <v>93</v>
      </c>
      <c r="J4155" t="s">
        <v>75</v>
      </c>
      <c r="K4155">
        <v>1</v>
      </c>
      <c r="L4155" t="s">
        <v>34</v>
      </c>
      <c r="M4155" t="s">
        <v>61</v>
      </c>
      <c r="N4155" t="s">
        <v>34</v>
      </c>
      <c r="O4155">
        <v>49</v>
      </c>
      <c r="P4155" t="s">
        <v>25</v>
      </c>
      <c r="Q4155" t="s">
        <v>26</v>
      </c>
      <c r="R4155" s="1">
        <v>0.1</v>
      </c>
      <c r="S4155">
        <f t="shared" si="256"/>
        <v>0</v>
      </c>
      <c r="T4155">
        <f>IFERROR(VLOOKUP(A4155,Table1[[Customer ID]:[Discount Amount]], 6, FALSE),"Not Found")</f>
        <v>0</v>
      </c>
      <c r="U4155" t="str">
        <f t="shared" si="257"/>
        <v>Cash</v>
      </c>
      <c r="V4155" s="4" t="str">
        <f t="shared" si="258"/>
        <v>Normal</v>
      </c>
      <c r="W4155" s="4" t="str">
        <f t="shared" si="259"/>
        <v>Poor</v>
      </c>
      <c r="X4155" s="4">
        <f>AVERAGE(Table1[Purchase Amount])</f>
        <v>129.48419400000012</v>
      </c>
    </row>
    <row r="4156" spans="1:24" ht="15" customHeight="1" x14ac:dyDescent="0.25">
      <c r="A4156">
        <v>4254</v>
      </c>
      <c r="B4156">
        <v>59</v>
      </c>
      <c r="C4156" t="s">
        <v>71</v>
      </c>
      <c r="D4156" t="s">
        <v>80</v>
      </c>
      <c r="E4156" t="s">
        <v>18</v>
      </c>
      <c r="F4156" s="2">
        <v>888.11</v>
      </c>
      <c r="G4156" t="s">
        <v>101</v>
      </c>
      <c r="H4156" t="s">
        <v>20</v>
      </c>
      <c r="I4156" t="s">
        <v>32</v>
      </c>
      <c r="J4156" t="s">
        <v>22</v>
      </c>
      <c r="K4156">
        <v>3</v>
      </c>
      <c r="L4156" t="s">
        <v>34</v>
      </c>
      <c r="M4156" t="s">
        <v>24</v>
      </c>
      <c r="N4156" t="s">
        <v>23</v>
      </c>
      <c r="O4156">
        <v>13</v>
      </c>
      <c r="P4156" t="s">
        <v>53</v>
      </c>
      <c r="Q4156" t="s">
        <v>37</v>
      </c>
      <c r="R4156" s="1">
        <v>0.1</v>
      </c>
      <c r="S4156">
        <f t="shared" si="256"/>
        <v>799.29899999999998</v>
      </c>
      <c r="T4156">
        <f>IFERROR(VLOOKUP(A4156,Table1[[Customer ID]:[Discount Amount]], 6, FALSE),"Not Found")</f>
        <v>888.11</v>
      </c>
      <c r="U4156" t="str">
        <f t="shared" si="257"/>
        <v>Credit Card</v>
      </c>
      <c r="V4156" s="4" t="str">
        <f t="shared" si="258"/>
        <v>Normal</v>
      </c>
      <c r="W4156" s="4" t="str">
        <f t="shared" si="259"/>
        <v>Good</v>
      </c>
      <c r="X4156" s="4">
        <f>AVERAGE(Table1[Purchase Amount])</f>
        <v>129.48419400000012</v>
      </c>
    </row>
    <row r="4157" spans="1:24" ht="15" customHeight="1" x14ac:dyDescent="0.25">
      <c r="A4157">
        <v>4255</v>
      </c>
      <c r="B4157">
        <v>68</v>
      </c>
      <c r="C4157" t="s">
        <v>27</v>
      </c>
      <c r="D4157" t="s">
        <v>38</v>
      </c>
      <c r="E4157" t="s">
        <v>29</v>
      </c>
      <c r="F4157" s="2">
        <v>0</v>
      </c>
      <c r="G4157" t="s">
        <v>73</v>
      </c>
      <c r="H4157" t="s">
        <v>55</v>
      </c>
      <c r="I4157" t="s">
        <v>74</v>
      </c>
      <c r="J4157" t="s">
        <v>57</v>
      </c>
      <c r="K4157">
        <v>1</v>
      </c>
      <c r="L4157" t="s">
        <v>34</v>
      </c>
      <c r="M4157" t="s">
        <v>24</v>
      </c>
      <c r="N4157" t="s">
        <v>23</v>
      </c>
      <c r="O4157">
        <v>49</v>
      </c>
      <c r="P4157" t="s">
        <v>58</v>
      </c>
      <c r="Q4157" t="s">
        <v>37</v>
      </c>
      <c r="R4157" s="1">
        <v>0.1</v>
      </c>
      <c r="S4157">
        <f t="shared" si="256"/>
        <v>0</v>
      </c>
      <c r="T4157">
        <f>IFERROR(VLOOKUP(A4157,Table1[[Customer ID]:[Discount Amount]], 6, FALSE),"Not Found")</f>
        <v>0</v>
      </c>
      <c r="U4157" t="str">
        <f t="shared" si="257"/>
        <v>PayPal</v>
      </c>
      <c r="V4157" s="4" t="str">
        <f t="shared" si="258"/>
        <v>Normal</v>
      </c>
      <c r="W4157" s="4" t="str">
        <f t="shared" si="259"/>
        <v>Poor</v>
      </c>
      <c r="X4157" s="4">
        <f>AVERAGE(Table1[Purchase Amount])</f>
        <v>129.48419400000012</v>
      </c>
    </row>
    <row r="4158" spans="1:24" ht="15" customHeight="1" x14ac:dyDescent="0.25">
      <c r="A4158">
        <v>4256</v>
      </c>
      <c r="B4158">
        <v>70</v>
      </c>
      <c r="C4158" t="s">
        <v>27</v>
      </c>
      <c r="D4158" t="s">
        <v>95</v>
      </c>
      <c r="E4158" t="s">
        <v>81</v>
      </c>
      <c r="F4158" s="2">
        <v>0</v>
      </c>
      <c r="G4158" t="s">
        <v>82</v>
      </c>
      <c r="H4158" t="s">
        <v>31</v>
      </c>
      <c r="I4158" t="s">
        <v>93</v>
      </c>
      <c r="J4158" t="s">
        <v>75</v>
      </c>
      <c r="K4158">
        <v>1</v>
      </c>
      <c r="L4158" t="s">
        <v>34</v>
      </c>
      <c r="M4158" t="s">
        <v>24</v>
      </c>
      <c r="N4158" t="s">
        <v>34</v>
      </c>
      <c r="O4158">
        <v>25</v>
      </c>
      <c r="P4158" t="s">
        <v>25</v>
      </c>
      <c r="Q4158" t="s">
        <v>26</v>
      </c>
      <c r="R4158" s="1">
        <v>0.1</v>
      </c>
      <c r="S4158">
        <f t="shared" si="256"/>
        <v>0</v>
      </c>
      <c r="T4158">
        <f>IFERROR(VLOOKUP(A4158,Table1[[Customer ID]:[Discount Amount]], 6, FALSE),"Not Found")</f>
        <v>0</v>
      </c>
      <c r="U4158" t="str">
        <f t="shared" si="257"/>
        <v>Cash</v>
      </c>
      <c r="V4158" s="4" t="str">
        <f t="shared" si="258"/>
        <v>Normal</v>
      </c>
      <c r="W4158" s="4" t="str">
        <f t="shared" si="259"/>
        <v>Poor</v>
      </c>
      <c r="X4158" s="4">
        <f>AVERAGE(Table1[Purchase Amount])</f>
        <v>129.48419400000012</v>
      </c>
    </row>
    <row r="4159" spans="1:24" ht="15" customHeight="1" x14ac:dyDescent="0.25">
      <c r="A4159">
        <v>4257</v>
      </c>
      <c r="B4159">
        <v>60</v>
      </c>
      <c r="C4159" t="s">
        <v>71</v>
      </c>
      <c r="D4159" t="s">
        <v>112</v>
      </c>
      <c r="E4159" t="s">
        <v>18</v>
      </c>
      <c r="F4159" s="2">
        <v>0</v>
      </c>
      <c r="G4159" t="s">
        <v>126</v>
      </c>
      <c r="H4159" t="s">
        <v>20</v>
      </c>
      <c r="I4159" t="s">
        <v>93</v>
      </c>
      <c r="J4159" t="s">
        <v>22</v>
      </c>
      <c r="K4159">
        <v>1</v>
      </c>
      <c r="L4159" t="s">
        <v>34</v>
      </c>
      <c r="M4159" t="s">
        <v>61</v>
      </c>
      <c r="N4159" t="s">
        <v>23</v>
      </c>
      <c r="O4159">
        <v>11</v>
      </c>
      <c r="P4159" t="s">
        <v>25</v>
      </c>
      <c r="Q4159" t="s">
        <v>37</v>
      </c>
      <c r="R4159" s="1">
        <v>0.1</v>
      </c>
      <c r="S4159">
        <f t="shared" si="256"/>
        <v>0</v>
      </c>
      <c r="T4159">
        <f>IFERROR(VLOOKUP(A4159,Table1[[Customer ID]:[Discount Amount]], 6, FALSE),"Not Found")</f>
        <v>0</v>
      </c>
      <c r="U4159" t="str">
        <f t="shared" si="257"/>
        <v>Cash</v>
      </c>
      <c r="V4159" s="4" t="str">
        <f t="shared" si="258"/>
        <v>Normal</v>
      </c>
      <c r="W4159" s="4" t="str">
        <f t="shared" si="259"/>
        <v>Poor</v>
      </c>
      <c r="X4159" s="4">
        <f>AVERAGE(Table1[Purchase Amount])</f>
        <v>129.48419400000012</v>
      </c>
    </row>
    <row r="4160" spans="1:24" ht="15" customHeight="1" x14ac:dyDescent="0.25">
      <c r="A4160">
        <v>4258</v>
      </c>
      <c r="B4160">
        <v>27</v>
      </c>
      <c r="C4160" t="s">
        <v>71</v>
      </c>
      <c r="D4160" t="s">
        <v>117</v>
      </c>
      <c r="E4160" t="s">
        <v>29</v>
      </c>
      <c r="F4160" s="2">
        <v>321.95999999999998</v>
      </c>
      <c r="G4160" t="s">
        <v>126</v>
      </c>
      <c r="H4160" t="s">
        <v>31</v>
      </c>
      <c r="I4160" t="s">
        <v>74</v>
      </c>
      <c r="J4160" t="s">
        <v>57</v>
      </c>
      <c r="K4160">
        <v>3</v>
      </c>
      <c r="L4160" t="s">
        <v>34</v>
      </c>
      <c r="M4160" t="s">
        <v>24</v>
      </c>
      <c r="N4160" t="s">
        <v>23</v>
      </c>
      <c r="O4160">
        <v>21</v>
      </c>
      <c r="P4160" t="s">
        <v>36</v>
      </c>
      <c r="Q4160" t="s">
        <v>42</v>
      </c>
      <c r="R4160" s="1">
        <v>0.1</v>
      </c>
      <c r="S4160">
        <f t="shared" si="256"/>
        <v>289.76400000000001</v>
      </c>
      <c r="T4160">
        <f>IFERROR(VLOOKUP(A4160,Table1[[Customer ID]:[Discount Amount]], 6, FALSE),"Not Found")</f>
        <v>321.95999999999998</v>
      </c>
      <c r="U4160" t="str">
        <f t="shared" si="257"/>
        <v>Debit Card</v>
      </c>
      <c r="V4160" s="4" t="str">
        <f t="shared" si="258"/>
        <v>Normal</v>
      </c>
      <c r="W4160" s="4" t="str">
        <f t="shared" si="259"/>
        <v>Good</v>
      </c>
      <c r="X4160" s="4">
        <f>AVERAGE(Table1[Purchase Amount])</f>
        <v>129.48419400000012</v>
      </c>
    </row>
    <row r="4161" spans="1:24" ht="15" customHeight="1" x14ac:dyDescent="0.25">
      <c r="A4161">
        <v>4259</v>
      </c>
      <c r="B4161">
        <v>69</v>
      </c>
      <c r="C4161" t="s">
        <v>27</v>
      </c>
      <c r="D4161" t="s">
        <v>95</v>
      </c>
      <c r="E4161" t="s">
        <v>18</v>
      </c>
      <c r="F4161" s="2">
        <v>0</v>
      </c>
      <c r="G4161" t="s">
        <v>101</v>
      </c>
      <c r="H4161" t="s">
        <v>31</v>
      </c>
      <c r="I4161" t="s">
        <v>40</v>
      </c>
      <c r="J4161" t="s">
        <v>33</v>
      </c>
      <c r="K4161">
        <v>1</v>
      </c>
      <c r="L4161" t="s">
        <v>34</v>
      </c>
      <c r="M4161" t="s">
        <v>61</v>
      </c>
      <c r="N4161" t="s">
        <v>23</v>
      </c>
      <c r="O4161">
        <v>0</v>
      </c>
      <c r="P4161" t="s">
        <v>58</v>
      </c>
      <c r="Q4161" t="s">
        <v>26</v>
      </c>
      <c r="R4161" s="1">
        <v>0.1</v>
      </c>
      <c r="S4161">
        <f t="shared" si="256"/>
        <v>0</v>
      </c>
      <c r="T4161">
        <f>IFERROR(VLOOKUP(A4161,Table1[[Customer ID]:[Discount Amount]], 6, FALSE),"Not Found")</f>
        <v>0</v>
      </c>
      <c r="U4161" t="str">
        <f t="shared" si="257"/>
        <v>PayPal</v>
      </c>
      <c r="V4161" s="4" t="str">
        <f t="shared" si="258"/>
        <v>Normal</v>
      </c>
      <c r="W4161" s="4" t="str">
        <f t="shared" si="259"/>
        <v>Poor</v>
      </c>
      <c r="X4161" s="4">
        <f>AVERAGE(Table1[Purchase Amount])</f>
        <v>129.48419400000012</v>
      </c>
    </row>
    <row r="4162" spans="1:24" ht="15" customHeight="1" x14ac:dyDescent="0.25">
      <c r="A4162">
        <v>4260</v>
      </c>
      <c r="B4162">
        <v>42</v>
      </c>
      <c r="C4162" t="s">
        <v>27</v>
      </c>
      <c r="D4162" t="s">
        <v>116</v>
      </c>
      <c r="E4162" t="s">
        <v>81</v>
      </c>
      <c r="F4162" s="2">
        <v>520.35</v>
      </c>
      <c r="G4162" t="s">
        <v>82</v>
      </c>
      <c r="H4162" t="s">
        <v>31</v>
      </c>
      <c r="I4162" t="s">
        <v>74</v>
      </c>
      <c r="J4162" t="s">
        <v>75</v>
      </c>
      <c r="K4162">
        <v>5</v>
      </c>
      <c r="L4162" t="s">
        <v>34</v>
      </c>
      <c r="M4162" t="s">
        <v>24</v>
      </c>
      <c r="N4162" t="s">
        <v>34</v>
      </c>
      <c r="O4162">
        <v>34</v>
      </c>
      <c r="P4162" t="s">
        <v>58</v>
      </c>
      <c r="Q4162" t="s">
        <v>26</v>
      </c>
      <c r="R4162" s="1">
        <v>0.1</v>
      </c>
      <c r="S4162">
        <f t="shared" ref="S4162:S4225" si="260">F4162-(F4162*R4162)</f>
        <v>468.315</v>
      </c>
      <c r="T4162">
        <f>IFERROR(VLOOKUP(A4162,Table1[[Customer ID]:[Discount Amount]], 6, FALSE),"Not Found")</f>
        <v>520.35</v>
      </c>
      <c r="U4162" t="str">
        <f t="shared" ref="U4162:U4225" si="261">INDEX(P:P, MATCH(A4162, A:A, 0))</f>
        <v>PayPal</v>
      </c>
      <c r="V4162" s="4" t="str">
        <f t="shared" ref="V4162:V4225" si="262">IF(AND(F4162&gt;1000,K4162&gt;=4),"Best Customer","Normal")</f>
        <v>Normal</v>
      </c>
      <c r="W4162" s="4" t="str">
        <f t="shared" ref="W4162:W4225" si="263">IF(K4162&gt;=3,"Good","Poor")</f>
        <v>Good</v>
      </c>
      <c r="X4162" s="4">
        <f>AVERAGE(Table1[Purchase Amount])</f>
        <v>129.48419400000012</v>
      </c>
    </row>
    <row r="4163" spans="1:24" ht="15" customHeight="1" x14ac:dyDescent="0.25">
      <c r="A4163">
        <v>4261</v>
      </c>
      <c r="B4163">
        <v>54</v>
      </c>
      <c r="C4163" t="s">
        <v>71</v>
      </c>
      <c r="D4163" t="s">
        <v>80</v>
      </c>
      <c r="E4163" t="s">
        <v>29</v>
      </c>
      <c r="F4163" s="2">
        <v>0</v>
      </c>
      <c r="G4163" t="s">
        <v>82</v>
      </c>
      <c r="H4163" t="s">
        <v>45</v>
      </c>
      <c r="I4163" t="s">
        <v>74</v>
      </c>
      <c r="J4163" t="s">
        <v>33</v>
      </c>
      <c r="K4163">
        <v>1</v>
      </c>
      <c r="L4163" t="s">
        <v>34</v>
      </c>
      <c r="M4163" t="s">
        <v>24</v>
      </c>
      <c r="N4163" t="s">
        <v>34</v>
      </c>
      <c r="O4163">
        <v>24</v>
      </c>
      <c r="P4163" t="s">
        <v>53</v>
      </c>
      <c r="Q4163" t="s">
        <v>26</v>
      </c>
      <c r="R4163" s="1">
        <v>0.1</v>
      </c>
      <c r="S4163">
        <f t="shared" si="260"/>
        <v>0</v>
      </c>
      <c r="T4163">
        <f>IFERROR(VLOOKUP(A4163,Table1[[Customer ID]:[Discount Amount]], 6, FALSE),"Not Found")</f>
        <v>0</v>
      </c>
      <c r="U4163" t="str">
        <f t="shared" si="261"/>
        <v>Credit Card</v>
      </c>
      <c r="V4163" s="4" t="str">
        <f t="shared" si="262"/>
        <v>Normal</v>
      </c>
      <c r="W4163" s="4" t="str">
        <f t="shared" si="263"/>
        <v>Poor</v>
      </c>
      <c r="X4163" s="4">
        <f>AVERAGE(Table1[Purchase Amount])</f>
        <v>129.48419400000012</v>
      </c>
    </row>
    <row r="4164" spans="1:24" ht="15" customHeight="1" x14ac:dyDescent="0.25">
      <c r="A4164">
        <v>4262</v>
      </c>
      <c r="B4164">
        <v>23</v>
      </c>
      <c r="C4164" t="s">
        <v>27</v>
      </c>
      <c r="D4164" t="s">
        <v>80</v>
      </c>
      <c r="E4164" t="s">
        <v>29</v>
      </c>
      <c r="F4164" s="2">
        <v>0</v>
      </c>
      <c r="G4164" t="s">
        <v>101</v>
      </c>
      <c r="H4164" t="s">
        <v>45</v>
      </c>
      <c r="I4164" t="s">
        <v>93</v>
      </c>
      <c r="J4164" t="s">
        <v>75</v>
      </c>
      <c r="K4164">
        <v>4</v>
      </c>
      <c r="L4164" t="s">
        <v>34</v>
      </c>
      <c r="M4164" t="s">
        <v>24</v>
      </c>
      <c r="N4164" t="s">
        <v>34</v>
      </c>
      <c r="O4164">
        <v>29</v>
      </c>
      <c r="P4164" t="s">
        <v>36</v>
      </c>
      <c r="Q4164" t="s">
        <v>42</v>
      </c>
      <c r="R4164" s="1">
        <v>0.1</v>
      </c>
      <c r="S4164">
        <f t="shared" si="260"/>
        <v>0</v>
      </c>
      <c r="T4164">
        <f>IFERROR(VLOOKUP(A4164,Table1[[Customer ID]:[Discount Amount]], 6, FALSE),"Not Found")</f>
        <v>0</v>
      </c>
      <c r="U4164" t="str">
        <f t="shared" si="261"/>
        <v>Debit Card</v>
      </c>
      <c r="V4164" s="4" t="str">
        <f t="shared" si="262"/>
        <v>Normal</v>
      </c>
      <c r="W4164" s="4" t="str">
        <f t="shared" si="263"/>
        <v>Good</v>
      </c>
      <c r="X4164" s="4">
        <f>AVERAGE(Table1[Purchase Amount])</f>
        <v>129.48419400000012</v>
      </c>
    </row>
    <row r="4165" spans="1:24" ht="15" customHeight="1" x14ac:dyDescent="0.25">
      <c r="A4165">
        <v>4263</v>
      </c>
      <c r="B4165">
        <v>51</v>
      </c>
      <c r="C4165" t="s">
        <v>16</v>
      </c>
      <c r="D4165" t="s">
        <v>112</v>
      </c>
      <c r="E4165" t="s">
        <v>18</v>
      </c>
      <c r="F4165" s="2">
        <v>0</v>
      </c>
      <c r="G4165" t="s">
        <v>126</v>
      </c>
      <c r="H4165" t="s">
        <v>55</v>
      </c>
      <c r="I4165" t="s">
        <v>46</v>
      </c>
      <c r="J4165" t="s">
        <v>33</v>
      </c>
      <c r="K4165">
        <v>4</v>
      </c>
      <c r="L4165" t="s">
        <v>23</v>
      </c>
      <c r="M4165" t="s">
        <v>61</v>
      </c>
      <c r="N4165" t="s">
        <v>23</v>
      </c>
      <c r="O4165">
        <v>17</v>
      </c>
      <c r="P4165" t="s">
        <v>36</v>
      </c>
      <c r="Q4165" t="s">
        <v>37</v>
      </c>
      <c r="R4165" s="1">
        <v>0.1</v>
      </c>
      <c r="S4165">
        <f t="shared" si="260"/>
        <v>0</v>
      </c>
      <c r="T4165">
        <f>IFERROR(VLOOKUP(A4165,Table1[[Customer ID]:[Discount Amount]], 6, FALSE),"Not Found")</f>
        <v>0</v>
      </c>
      <c r="U4165" t="str">
        <f t="shared" si="261"/>
        <v>Debit Card</v>
      </c>
      <c r="V4165" s="4" t="str">
        <f t="shared" si="262"/>
        <v>Normal</v>
      </c>
      <c r="W4165" s="4" t="str">
        <f t="shared" si="263"/>
        <v>Good</v>
      </c>
      <c r="X4165" s="4">
        <f>AVERAGE(Table1[Purchase Amount])</f>
        <v>129.48419400000012</v>
      </c>
    </row>
    <row r="4166" spans="1:24" ht="15" customHeight="1" x14ac:dyDescent="0.25">
      <c r="A4166">
        <v>4264</v>
      </c>
      <c r="B4166">
        <v>60</v>
      </c>
      <c r="C4166" t="s">
        <v>27</v>
      </c>
      <c r="D4166" t="s">
        <v>116</v>
      </c>
      <c r="E4166" t="s">
        <v>81</v>
      </c>
      <c r="F4166" s="2">
        <v>0</v>
      </c>
      <c r="G4166" t="s">
        <v>126</v>
      </c>
      <c r="H4166" t="s">
        <v>31</v>
      </c>
      <c r="I4166" t="s">
        <v>40</v>
      </c>
      <c r="J4166" t="s">
        <v>57</v>
      </c>
      <c r="K4166">
        <v>2</v>
      </c>
      <c r="L4166" t="s">
        <v>34</v>
      </c>
      <c r="M4166" t="s">
        <v>61</v>
      </c>
      <c r="N4166" t="s">
        <v>34</v>
      </c>
      <c r="O4166">
        <v>0</v>
      </c>
      <c r="P4166" t="s">
        <v>25</v>
      </c>
      <c r="Q4166" t="s">
        <v>37</v>
      </c>
      <c r="R4166" s="1">
        <v>0.1</v>
      </c>
      <c r="S4166">
        <f t="shared" si="260"/>
        <v>0</v>
      </c>
      <c r="T4166">
        <f>IFERROR(VLOOKUP(A4166,Table1[[Customer ID]:[Discount Amount]], 6, FALSE),"Not Found")</f>
        <v>0</v>
      </c>
      <c r="U4166" t="str">
        <f t="shared" si="261"/>
        <v>Cash</v>
      </c>
      <c r="V4166" s="4" t="str">
        <f t="shared" si="262"/>
        <v>Normal</v>
      </c>
      <c r="W4166" s="4" t="str">
        <f t="shared" si="263"/>
        <v>Poor</v>
      </c>
      <c r="X4166" s="4">
        <f>AVERAGE(Table1[Purchase Amount])</f>
        <v>129.48419400000012</v>
      </c>
    </row>
    <row r="4167" spans="1:24" ht="15" customHeight="1" x14ac:dyDescent="0.25">
      <c r="A4167">
        <v>4265</v>
      </c>
      <c r="B4167">
        <v>63</v>
      </c>
      <c r="C4167" t="s">
        <v>71</v>
      </c>
      <c r="D4167" t="s">
        <v>112</v>
      </c>
      <c r="E4167" t="s">
        <v>29</v>
      </c>
      <c r="F4167" s="2">
        <v>708.58</v>
      </c>
      <c r="G4167" t="s">
        <v>126</v>
      </c>
      <c r="H4167" t="s">
        <v>55</v>
      </c>
      <c r="I4167" t="s">
        <v>93</v>
      </c>
      <c r="J4167" t="s">
        <v>33</v>
      </c>
      <c r="K4167">
        <v>2</v>
      </c>
      <c r="L4167" t="s">
        <v>34</v>
      </c>
      <c r="M4167" t="s">
        <v>24</v>
      </c>
      <c r="N4167" t="s">
        <v>34</v>
      </c>
      <c r="O4167">
        <v>0</v>
      </c>
      <c r="P4167" t="s">
        <v>36</v>
      </c>
      <c r="Q4167" t="s">
        <v>42</v>
      </c>
      <c r="R4167" s="1">
        <v>0.1</v>
      </c>
      <c r="S4167">
        <f t="shared" si="260"/>
        <v>637.72199999999998</v>
      </c>
      <c r="T4167">
        <f>IFERROR(VLOOKUP(A4167,Table1[[Customer ID]:[Discount Amount]], 6, FALSE),"Not Found")</f>
        <v>708.58</v>
      </c>
      <c r="U4167" t="str">
        <f t="shared" si="261"/>
        <v>Debit Card</v>
      </c>
      <c r="V4167" s="4" t="str">
        <f t="shared" si="262"/>
        <v>Normal</v>
      </c>
      <c r="W4167" s="4" t="str">
        <f t="shared" si="263"/>
        <v>Poor</v>
      </c>
      <c r="X4167" s="4">
        <f>AVERAGE(Table1[Purchase Amount])</f>
        <v>129.48419400000012</v>
      </c>
    </row>
    <row r="4168" spans="1:24" ht="15" customHeight="1" x14ac:dyDescent="0.25">
      <c r="A4168">
        <v>4266</v>
      </c>
      <c r="B4168">
        <v>23</v>
      </c>
      <c r="C4168" t="s">
        <v>16</v>
      </c>
      <c r="D4168" t="s">
        <v>117</v>
      </c>
      <c r="E4168" t="s">
        <v>81</v>
      </c>
      <c r="F4168" s="2">
        <v>0</v>
      </c>
      <c r="G4168" t="s">
        <v>73</v>
      </c>
      <c r="H4168" t="s">
        <v>31</v>
      </c>
      <c r="I4168" t="s">
        <v>46</v>
      </c>
      <c r="J4168" t="s">
        <v>33</v>
      </c>
      <c r="K4168">
        <v>1</v>
      </c>
      <c r="L4168" t="s">
        <v>34</v>
      </c>
      <c r="M4168" t="s">
        <v>24</v>
      </c>
      <c r="N4168" t="s">
        <v>34</v>
      </c>
      <c r="O4168">
        <v>22</v>
      </c>
      <c r="P4168" t="s">
        <v>25</v>
      </c>
      <c r="Q4168" t="s">
        <v>26</v>
      </c>
      <c r="R4168" s="1">
        <v>0.1</v>
      </c>
      <c r="S4168">
        <f t="shared" si="260"/>
        <v>0</v>
      </c>
      <c r="T4168">
        <f>IFERROR(VLOOKUP(A4168,Table1[[Customer ID]:[Discount Amount]], 6, FALSE),"Not Found")</f>
        <v>0</v>
      </c>
      <c r="U4168" t="str">
        <f t="shared" si="261"/>
        <v>Cash</v>
      </c>
      <c r="V4168" s="4" t="str">
        <f t="shared" si="262"/>
        <v>Normal</v>
      </c>
      <c r="W4168" s="4" t="str">
        <f t="shared" si="263"/>
        <v>Poor</v>
      </c>
      <c r="X4168" s="4">
        <f>AVERAGE(Table1[Purchase Amount])</f>
        <v>129.48419400000012</v>
      </c>
    </row>
    <row r="4169" spans="1:24" ht="15" customHeight="1" x14ac:dyDescent="0.25">
      <c r="A4169">
        <v>4267</v>
      </c>
      <c r="B4169">
        <v>25</v>
      </c>
      <c r="C4169" t="s">
        <v>27</v>
      </c>
      <c r="D4169" t="s">
        <v>72</v>
      </c>
      <c r="E4169" t="s">
        <v>18</v>
      </c>
      <c r="F4169" s="2">
        <v>221.06</v>
      </c>
      <c r="G4169" t="s">
        <v>126</v>
      </c>
      <c r="H4169" t="s">
        <v>31</v>
      </c>
      <c r="I4169" t="s">
        <v>40</v>
      </c>
      <c r="J4169" t="s">
        <v>75</v>
      </c>
      <c r="K4169">
        <v>1</v>
      </c>
      <c r="L4169" t="s">
        <v>34</v>
      </c>
      <c r="M4169" t="s">
        <v>61</v>
      </c>
      <c r="N4169" t="s">
        <v>23</v>
      </c>
      <c r="O4169">
        <v>0</v>
      </c>
      <c r="P4169" t="s">
        <v>25</v>
      </c>
      <c r="Q4169" t="s">
        <v>26</v>
      </c>
      <c r="R4169" s="1">
        <v>0.1</v>
      </c>
      <c r="S4169">
        <f t="shared" si="260"/>
        <v>198.95400000000001</v>
      </c>
      <c r="T4169">
        <f>IFERROR(VLOOKUP(A4169,Table1[[Customer ID]:[Discount Amount]], 6, FALSE),"Not Found")</f>
        <v>221.06</v>
      </c>
      <c r="U4169" t="str">
        <f t="shared" si="261"/>
        <v>Cash</v>
      </c>
      <c r="V4169" s="4" t="str">
        <f t="shared" si="262"/>
        <v>Normal</v>
      </c>
      <c r="W4169" s="4" t="str">
        <f t="shared" si="263"/>
        <v>Poor</v>
      </c>
      <c r="X4169" s="4">
        <f>AVERAGE(Table1[Purchase Amount])</f>
        <v>129.48419400000012</v>
      </c>
    </row>
    <row r="4170" spans="1:24" ht="15" customHeight="1" x14ac:dyDescent="0.25">
      <c r="A4170">
        <v>4268</v>
      </c>
      <c r="B4170">
        <v>62</v>
      </c>
      <c r="C4170" t="s">
        <v>71</v>
      </c>
      <c r="D4170" t="s">
        <v>95</v>
      </c>
      <c r="E4170" t="s">
        <v>29</v>
      </c>
      <c r="F4170" s="2">
        <v>0</v>
      </c>
      <c r="G4170" t="s">
        <v>101</v>
      </c>
      <c r="H4170" t="s">
        <v>45</v>
      </c>
      <c r="I4170" t="s">
        <v>74</v>
      </c>
      <c r="J4170" t="s">
        <v>33</v>
      </c>
      <c r="K4170">
        <v>1</v>
      </c>
      <c r="L4170" t="s">
        <v>34</v>
      </c>
      <c r="M4170" t="s">
        <v>61</v>
      </c>
      <c r="N4170" t="s">
        <v>34</v>
      </c>
      <c r="O4170">
        <v>12</v>
      </c>
      <c r="P4170" t="s">
        <v>58</v>
      </c>
      <c r="Q4170" t="s">
        <v>37</v>
      </c>
      <c r="R4170" s="1">
        <v>0.1</v>
      </c>
      <c r="S4170">
        <f t="shared" si="260"/>
        <v>0</v>
      </c>
      <c r="T4170">
        <f>IFERROR(VLOOKUP(A4170,Table1[[Customer ID]:[Discount Amount]], 6, FALSE),"Not Found")</f>
        <v>0</v>
      </c>
      <c r="U4170" t="str">
        <f t="shared" si="261"/>
        <v>PayPal</v>
      </c>
      <c r="V4170" s="4" t="str">
        <f t="shared" si="262"/>
        <v>Normal</v>
      </c>
      <c r="W4170" s="4" t="str">
        <f t="shared" si="263"/>
        <v>Poor</v>
      </c>
      <c r="X4170" s="4">
        <f>AVERAGE(Table1[Purchase Amount])</f>
        <v>129.48419400000012</v>
      </c>
    </row>
    <row r="4171" spans="1:24" ht="15" customHeight="1" x14ac:dyDescent="0.25">
      <c r="A4171">
        <v>4269</v>
      </c>
      <c r="B4171">
        <v>56</v>
      </c>
      <c r="C4171" t="s">
        <v>16</v>
      </c>
      <c r="D4171" t="s">
        <v>80</v>
      </c>
      <c r="E4171" t="s">
        <v>81</v>
      </c>
      <c r="F4171" s="2">
        <v>118.61</v>
      </c>
      <c r="G4171" t="s">
        <v>82</v>
      </c>
      <c r="H4171" t="s">
        <v>31</v>
      </c>
      <c r="I4171" t="s">
        <v>93</v>
      </c>
      <c r="J4171" t="s">
        <v>75</v>
      </c>
      <c r="K4171">
        <v>1</v>
      </c>
      <c r="L4171" t="s">
        <v>34</v>
      </c>
      <c r="M4171" t="s">
        <v>24</v>
      </c>
      <c r="N4171" t="s">
        <v>34</v>
      </c>
      <c r="O4171">
        <v>0</v>
      </c>
      <c r="P4171" t="s">
        <v>58</v>
      </c>
      <c r="Q4171" t="s">
        <v>37</v>
      </c>
      <c r="R4171" s="1">
        <v>0.1</v>
      </c>
      <c r="S4171">
        <f t="shared" si="260"/>
        <v>106.749</v>
      </c>
      <c r="T4171">
        <f>IFERROR(VLOOKUP(A4171,Table1[[Customer ID]:[Discount Amount]], 6, FALSE),"Not Found")</f>
        <v>118.61</v>
      </c>
      <c r="U4171" t="str">
        <f t="shared" si="261"/>
        <v>PayPal</v>
      </c>
      <c r="V4171" s="4" t="str">
        <f t="shared" si="262"/>
        <v>Normal</v>
      </c>
      <c r="W4171" s="4" t="str">
        <f t="shared" si="263"/>
        <v>Poor</v>
      </c>
      <c r="X4171" s="4">
        <f>AVERAGE(Table1[Purchase Amount])</f>
        <v>129.48419400000012</v>
      </c>
    </row>
    <row r="4172" spans="1:24" ht="15" customHeight="1" x14ac:dyDescent="0.25">
      <c r="A4172">
        <v>4270</v>
      </c>
      <c r="B4172">
        <v>55</v>
      </c>
      <c r="C4172" t="s">
        <v>16</v>
      </c>
      <c r="D4172" t="s">
        <v>95</v>
      </c>
      <c r="E4172" t="s">
        <v>81</v>
      </c>
      <c r="F4172" s="2">
        <v>387.35</v>
      </c>
      <c r="G4172" t="s">
        <v>82</v>
      </c>
      <c r="H4172" t="s">
        <v>31</v>
      </c>
      <c r="I4172" t="s">
        <v>32</v>
      </c>
      <c r="J4172" t="s">
        <v>22</v>
      </c>
      <c r="K4172">
        <v>1</v>
      </c>
      <c r="L4172" t="s">
        <v>23</v>
      </c>
      <c r="M4172" t="s">
        <v>24</v>
      </c>
      <c r="N4172" t="s">
        <v>23</v>
      </c>
      <c r="O4172">
        <v>9</v>
      </c>
      <c r="P4172" t="s">
        <v>53</v>
      </c>
      <c r="Q4172" t="s">
        <v>37</v>
      </c>
      <c r="R4172" s="1">
        <v>0.1</v>
      </c>
      <c r="S4172">
        <f t="shared" si="260"/>
        <v>348.61500000000001</v>
      </c>
      <c r="T4172">
        <f>IFERROR(VLOOKUP(A4172,Table1[[Customer ID]:[Discount Amount]], 6, FALSE),"Not Found")</f>
        <v>387.35</v>
      </c>
      <c r="U4172" t="str">
        <f t="shared" si="261"/>
        <v>Credit Card</v>
      </c>
      <c r="V4172" s="4" t="str">
        <f t="shared" si="262"/>
        <v>Normal</v>
      </c>
      <c r="W4172" s="4" t="str">
        <f t="shared" si="263"/>
        <v>Poor</v>
      </c>
      <c r="X4172" s="4">
        <f>AVERAGE(Table1[Purchase Amount])</f>
        <v>129.48419400000012</v>
      </c>
    </row>
    <row r="4173" spans="1:24" ht="15" customHeight="1" x14ac:dyDescent="0.25">
      <c r="A4173">
        <v>4271</v>
      </c>
      <c r="B4173">
        <v>58</v>
      </c>
      <c r="C4173" t="s">
        <v>16</v>
      </c>
      <c r="D4173" t="s">
        <v>72</v>
      </c>
      <c r="E4173" t="s">
        <v>81</v>
      </c>
      <c r="F4173" s="2">
        <v>0</v>
      </c>
      <c r="G4173" t="s">
        <v>101</v>
      </c>
      <c r="H4173" t="s">
        <v>31</v>
      </c>
      <c r="I4173" t="s">
        <v>74</v>
      </c>
      <c r="J4173" t="s">
        <v>33</v>
      </c>
      <c r="K4173">
        <v>1</v>
      </c>
      <c r="L4173" t="s">
        <v>23</v>
      </c>
      <c r="M4173" t="s">
        <v>24</v>
      </c>
      <c r="N4173" t="s">
        <v>34</v>
      </c>
      <c r="O4173">
        <v>15</v>
      </c>
      <c r="P4173" t="s">
        <v>53</v>
      </c>
      <c r="Q4173" t="s">
        <v>42</v>
      </c>
      <c r="R4173" s="1">
        <v>0.1</v>
      </c>
      <c r="S4173">
        <f t="shared" si="260"/>
        <v>0</v>
      </c>
      <c r="T4173">
        <f>IFERROR(VLOOKUP(A4173,Table1[[Customer ID]:[Discount Amount]], 6, FALSE),"Not Found")</f>
        <v>0</v>
      </c>
      <c r="U4173" t="str">
        <f t="shared" si="261"/>
        <v>Credit Card</v>
      </c>
      <c r="V4173" s="4" t="str">
        <f t="shared" si="262"/>
        <v>Normal</v>
      </c>
      <c r="W4173" s="4" t="str">
        <f t="shared" si="263"/>
        <v>Poor</v>
      </c>
      <c r="X4173" s="4">
        <f>AVERAGE(Table1[Purchase Amount])</f>
        <v>129.48419400000012</v>
      </c>
    </row>
    <row r="4174" spans="1:24" ht="15" customHeight="1" x14ac:dyDescent="0.25">
      <c r="A4174">
        <v>4272</v>
      </c>
      <c r="B4174">
        <v>67</v>
      </c>
      <c r="C4174" t="s">
        <v>16</v>
      </c>
      <c r="D4174" t="s">
        <v>80</v>
      </c>
      <c r="E4174" t="s">
        <v>18</v>
      </c>
      <c r="F4174" s="2">
        <v>0</v>
      </c>
      <c r="G4174" t="s">
        <v>139</v>
      </c>
      <c r="H4174" t="s">
        <v>20</v>
      </c>
      <c r="I4174" t="s">
        <v>93</v>
      </c>
      <c r="J4174" t="s">
        <v>75</v>
      </c>
      <c r="K4174">
        <v>2</v>
      </c>
      <c r="L4174" t="s">
        <v>23</v>
      </c>
      <c r="M4174" t="s">
        <v>61</v>
      </c>
      <c r="N4174" t="s">
        <v>34</v>
      </c>
      <c r="O4174">
        <v>0</v>
      </c>
      <c r="P4174" t="s">
        <v>53</v>
      </c>
      <c r="Q4174" t="s">
        <v>37</v>
      </c>
      <c r="R4174" s="1">
        <v>0.1</v>
      </c>
      <c r="S4174">
        <f t="shared" si="260"/>
        <v>0</v>
      </c>
      <c r="T4174">
        <f>IFERROR(VLOOKUP(A4174,Table1[[Customer ID]:[Discount Amount]], 6, FALSE),"Not Found")</f>
        <v>0</v>
      </c>
      <c r="U4174" t="str">
        <f t="shared" si="261"/>
        <v>Credit Card</v>
      </c>
      <c r="V4174" s="4" t="str">
        <f t="shared" si="262"/>
        <v>Normal</v>
      </c>
      <c r="W4174" s="4" t="str">
        <f t="shared" si="263"/>
        <v>Poor</v>
      </c>
      <c r="X4174" s="4">
        <f>AVERAGE(Table1[Purchase Amount])</f>
        <v>129.48419400000012</v>
      </c>
    </row>
    <row r="4175" spans="1:24" ht="15" customHeight="1" x14ac:dyDescent="0.25">
      <c r="A4175">
        <v>4273</v>
      </c>
      <c r="B4175">
        <v>64</v>
      </c>
      <c r="C4175" t="s">
        <v>16</v>
      </c>
      <c r="D4175" t="s">
        <v>38</v>
      </c>
      <c r="E4175" t="s">
        <v>18</v>
      </c>
      <c r="F4175" s="2">
        <v>938.96</v>
      </c>
      <c r="G4175" t="s">
        <v>101</v>
      </c>
      <c r="H4175" t="s">
        <v>20</v>
      </c>
      <c r="I4175" t="s">
        <v>46</v>
      </c>
      <c r="J4175" t="s">
        <v>57</v>
      </c>
      <c r="K4175">
        <v>5</v>
      </c>
      <c r="L4175" t="s">
        <v>23</v>
      </c>
      <c r="M4175" t="s">
        <v>24</v>
      </c>
      <c r="N4175" t="s">
        <v>23</v>
      </c>
      <c r="O4175">
        <v>42</v>
      </c>
      <c r="P4175" t="s">
        <v>25</v>
      </c>
      <c r="Q4175" t="s">
        <v>42</v>
      </c>
      <c r="R4175" s="1">
        <v>0.1</v>
      </c>
      <c r="S4175">
        <f t="shared" si="260"/>
        <v>845.06400000000008</v>
      </c>
      <c r="T4175">
        <f>IFERROR(VLOOKUP(A4175,Table1[[Customer ID]:[Discount Amount]], 6, FALSE),"Not Found")</f>
        <v>938.96</v>
      </c>
      <c r="U4175" t="str">
        <f t="shared" si="261"/>
        <v>Cash</v>
      </c>
      <c r="V4175" s="4" t="str">
        <f t="shared" si="262"/>
        <v>Normal</v>
      </c>
      <c r="W4175" s="4" t="str">
        <f t="shared" si="263"/>
        <v>Good</v>
      </c>
      <c r="X4175" s="4">
        <f>AVERAGE(Table1[Purchase Amount])</f>
        <v>129.48419400000012</v>
      </c>
    </row>
    <row r="4176" spans="1:24" ht="15" customHeight="1" x14ac:dyDescent="0.25">
      <c r="A4176">
        <v>4274</v>
      </c>
      <c r="B4176">
        <v>34</v>
      </c>
      <c r="C4176" t="s">
        <v>16</v>
      </c>
      <c r="D4176" t="s">
        <v>80</v>
      </c>
      <c r="E4176" t="s">
        <v>81</v>
      </c>
      <c r="F4176" s="2">
        <v>996.93</v>
      </c>
      <c r="G4176" t="s">
        <v>101</v>
      </c>
      <c r="H4176" t="s">
        <v>31</v>
      </c>
      <c r="I4176" t="s">
        <v>32</v>
      </c>
      <c r="J4176" t="s">
        <v>22</v>
      </c>
      <c r="K4176">
        <v>1</v>
      </c>
      <c r="L4176" t="s">
        <v>23</v>
      </c>
      <c r="M4176" t="s">
        <v>61</v>
      </c>
      <c r="N4176" t="s">
        <v>23</v>
      </c>
      <c r="O4176">
        <v>42</v>
      </c>
      <c r="P4176" t="s">
        <v>36</v>
      </c>
      <c r="Q4176" t="s">
        <v>26</v>
      </c>
      <c r="R4176" s="1">
        <v>0.1</v>
      </c>
      <c r="S4176">
        <f t="shared" si="260"/>
        <v>897.23699999999997</v>
      </c>
      <c r="T4176">
        <f>IFERROR(VLOOKUP(A4176,Table1[[Customer ID]:[Discount Amount]], 6, FALSE),"Not Found")</f>
        <v>996.93</v>
      </c>
      <c r="U4176" t="str">
        <f t="shared" si="261"/>
        <v>Debit Card</v>
      </c>
      <c r="V4176" s="4" t="str">
        <f t="shared" si="262"/>
        <v>Normal</v>
      </c>
      <c r="W4176" s="4" t="str">
        <f t="shared" si="263"/>
        <v>Poor</v>
      </c>
      <c r="X4176" s="4">
        <f>AVERAGE(Table1[Purchase Amount])</f>
        <v>129.48419400000012</v>
      </c>
    </row>
    <row r="4177" spans="1:24" ht="15" customHeight="1" x14ac:dyDescent="0.25">
      <c r="A4177">
        <v>4275</v>
      </c>
      <c r="B4177">
        <v>47</v>
      </c>
      <c r="C4177" t="s">
        <v>16</v>
      </c>
      <c r="D4177" t="s">
        <v>80</v>
      </c>
      <c r="E4177" t="s">
        <v>29</v>
      </c>
      <c r="F4177" s="2">
        <v>1207.32</v>
      </c>
      <c r="G4177" t="s">
        <v>126</v>
      </c>
      <c r="H4177" t="s">
        <v>45</v>
      </c>
      <c r="I4177" t="s">
        <v>32</v>
      </c>
      <c r="J4177" t="s">
        <v>57</v>
      </c>
      <c r="K4177">
        <v>1</v>
      </c>
      <c r="L4177" t="s">
        <v>34</v>
      </c>
      <c r="M4177" t="s">
        <v>61</v>
      </c>
      <c r="N4177" t="s">
        <v>23</v>
      </c>
      <c r="O4177">
        <v>29</v>
      </c>
      <c r="P4177" t="s">
        <v>36</v>
      </c>
      <c r="Q4177" t="s">
        <v>26</v>
      </c>
      <c r="R4177" s="1">
        <v>0.1</v>
      </c>
      <c r="S4177">
        <f t="shared" si="260"/>
        <v>1086.588</v>
      </c>
      <c r="T4177">
        <f>IFERROR(VLOOKUP(A4177,Table1[[Customer ID]:[Discount Amount]], 6, FALSE),"Not Found")</f>
        <v>1207.32</v>
      </c>
      <c r="U4177" t="str">
        <f t="shared" si="261"/>
        <v>Debit Card</v>
      </c>
      <c r="V4177" s="4" t="str">
        <f t="shared" si="262"/>
        <v>Normal</v>
      </c>
      <c r="W4177" s="4" t="str">
        <f t="shared" si="263"/>
        <v>Poor</v>
      </c>
      <c r="X4177" s="4">
        <f>AVERAGE(Table1[Purchase Amount])</f>
        <v>129.48419400000012</v>
      </c>
    </row>
    <row r="4178" spans="1:24" ht="15" customHeight="1" x14ac:dyDescent="0.25">
      <c r="A4178">
        <v>4276</v>
      </c>
      <c r="B4178">
        <v>53</v>
      </c>
      <c r="C4178" t="s">
        <v>71</v>
      </c>
      <c r="D4178" t="s">
        <v>116</v>
      </c>
      <c r="E4178" t="s">
        <v>29</v>
      </c>
      <c r="F4178" s="2">
        <v>0</v>
      </c>
      <c r="G4178" t="s">
        <v>126</v>
      </c>
      <c r="H4178" t="s">
        <v>31</v>
      </c>
      <c r="I4178" t="s">
        <v>46</v>
      </c>
      <c r="J4178" t="s">
        <v>33</v>
      </c>
      <c r="K4178">
        <v>1</v>
      </c>
      <c r="L4178" t="s">
        <v>34</v>
      </c>
      <c r="M4178" t="s">
        <v>24</v>
      </c>
      <c r="N4178" t="s">
        <v>23</v>
      </c>
      <c r="O4178">
        <v>28</v>
      </c>
      <c r="P4178" t="s">
        <v>53</v>
      </c>
      <c r="Q4178" t="s">
        <v>42</v>
      </c>
      <c r="R4178" s="1">
        <v>0.1</v>
      </c>
      <c r="S4178">
        <f t="shared" si="260"/>
        <v>0</v>
      </c>
      <c r="T4178">
        <f>IFERROR(VLOOKUP(A4178,Table1[[Customer ID]:[Discount Amount]], 6, FALSE),"Not Found")</f>
        <v>0</v>
      </c>
      <c r="U4178" t="str">
        <f t="shared" si="261"/>
        <v>Credit Card</v>
      </c>
      <c r="V4178" s="4" t="str">
        <f t="shared" si="262"/>
        <v>Normal</v>
      </c>
      <c r="W4178" s="4" t="str">
        <f t="shared" si="263"/>
        <v>Poor</v>
      </c>
      <c r="X4178" s="4">
        <f>AVERAGE(Table1[Purchase Amount])</f>
        <v>129.48419400000012</v>
      </c>
    </row>
    <row r="4179" spans="1:24" ht="15" customHeight="1" x14ac:dyDescent="0.25">
      <c r="A4179">
        <v>4277</v>
      </c>
      <c r="B4179">
        <v>38</v>
      </c>
      <c r="C4179" t="s">
        <v>16</v>
      </c>
      <c r="D4179" t="s">
        <v>112</v>
      </c>
      <c r="E4179" t="s">
        <v>18</v>
      </c>
      <c r="F4179" s="2">
        <v>0</v>
      </c>
      <c r="G4179" t="s">
        <v>73</v>
      </c>
      <c r="H4179" t="s">
        <v>20</v>
      </c>
      <c r="I4179" t="s">
        <v>46</v>
      </c>
      <c r="J4179" t="s">
        <v>33</v>
      </c>
      <c r="K4179">
        <v>1</v>
      </c>
      <c r="L4179" t="s">
        <v>23</v>
      </c>
      <c r="M4179" t="s">
        <v>24</v>
      </c>
      <c r="N4179" t="s">
        <v>23</v>
      </c>
      <c r="O4179">
        <v>0</v>
      </c>
      <c r="P4179" t="s">
        <v>53</v>
      </c>
      <c r="Q4179" t="s">
        <v>26</v>
      </c>
      <c r="R4179" s="1">
        <v>0.1</v>
      </c>
      <c r="S4179">
        <f t="shared" si="260"/>
        <v>0</v>
      </c>
      <c r="T4179">
        <f>IFERROR(VLOOKUP(A4179,Table1[[Customer ID]:[Discount Amount]], 6, FALSE),"Not Found")</f>
        <v>0</v>
      </c>
      <c r="U4179" t="str">
        <f t="shared" si="261"/>
        <v>Credit Card</v>
      </c>
      <c r="V4179" s="4" t="str">
        <f t="shared" si="262"/>
        <v>Normal</v>
      </c>
      <c r="W4179" s="4" t="str">
        <f t="shared" si="263"/>
        <v>Poor</v>
      </c>
      <c r="X4179" s="4">
        <f>AVERAGE(Table1[Purchase Amount])</f>
        <v>129.48419400000012</v>
      </c>
    </row>
    <row r="4180" spans="1:24" ht="15" customHeight="1" x14ac:dyDescent="0.25">
      <c r="A4180">
        <v>4278</v>
      </c>
      <c r="B4180">
        <v>57</v>
      </c>
      <c r="C4180" t="s">
        <v>27</v>
      </c>
      <c r="D4180" t="s">
        <v>116</v>
      </c>
      <c r="E4180" t="s">
        <v>81</v>
      </c>
      <c r="F4180" s="2">
        <v>0</v>
      </c>
      <c r="G4180" t="s">
        <v>126</v>
      </c>
      <c r="H4180" t="s">
        <v>31</v>
      </c>
      <c r="I4180" t="s">
        <v>32</v>
      </c>
      <c r="J4180" t="s">
        <v>57</v>
      </c>
      <c r="K4180">
        <v>4</v>
      </c>
      <c r="L4180" t="s">
        <v>34</v>
      </c>
      <c r="M4180" t="s">
        <v>61</v>
      </c>
      <c r="N4180" t="s">
        <v>34</v>
      </c>
      <c r="O4180">
        <v>5</v>
      </c>
      <c r="P4180" t="s">
        <v>36</v>
      </c>
      <c r="Q4180" t="s">
        <v>26</v>
      </c>
      <c r="R4180" s="1">
        <v>0.1</v>
      </c>
      <c r="S4180">
        <f t="shared" si="260"/>
        <v>0</v>
      </c>
      <c r="T4180">
        <f>IFERROR(VLOOKUP(A4180,Table1[[Customer ID]:[Discount Amount]], 6, FALSE),"Not Found")</f>
        <v>0</v>
      </c>
      <c r="U4180" t="str">
        <f t="shared" si="261"/>
        <v>Debit Card</v>
      </c>
      <c r="V4180" s="4" t="str">
        <f t="shared" si="262"/>
        <v>Normal</v>
      </c>
      <c r="W4180" s="4" t="str">
        <f t="shared" si="263"/>
        <v>Good</v>
      </c>
      <c r="X4180" s="4">
        <f>AVERAGE(Table1[Purchase Amount])</f>
        <v>129.48419400000012</v>
      </c>
    </row>
    <row r="4181" spans="1:24" ht="15" customHeight="1" x14ac:dyDescent="0.25">
      <c r="A4181">
        <v>4279</v>
      </c>
      <c r="B4181">
        <v>42</v>
      </c>
      <c r="C4181" t="s">
        <v>71</v>
      </c>
      <c r="D4181" t="s">
        <v>112</v>
      </c>
      <c r="E4181" t="s">
        <v>18</v>
      </c>
      <c r="F4181" s="2">
        <v>0</v>
      </c>
      <c r="G4181" t="s">
        <v>126</v>
      </c>
      <c r="H4181" t="s">
        <v>20</v>
      </c>
      <c r="I4181" t="s">
        <v>46</v>
      </c>
      <c r="J4181" t="s">
        <v>33</v>
      </c>
      <c r="K4181">
        <v>1</v>
      </c>
      <c r="L4181" t="s">
        <v>23</v>
      </c>
      <c r="M4181" t="s">
        <v>61</v>
      </c>
      <c r="N4181" t="s">
        <v>23</v>
      </c>
      <c r="O4181">
        <v>5</v>
      </c>
      <c r="P4181" t="s">
        <v>53</v>
      </c>
      <c r="Q4181" t="s">
        <v>26</v>
      </c>
      <c r="R4181" s="1">
        <v>0.1</v>
      </c>
      <c r="S4181">
        <f t="shared" si="260"/>
        <v>0</v>
      </c>
      <c r="T4181">
        <f>IFERROR(VLOOKUP(A4181,Table1[[Customer ID]:[Discount Amount]], 6, FALSE),"Not Found")</f>
        <v>0</v>
      </c>
      <c r="U4181" t="str">
        <f t="shared" si="261"/>
        <v>Credit Card</v>
      </c>
      <c r="V4181" s="4" t="str">
        <f t="shared" si="262"/>
        <v>Normal</v>
      </c>
      <c r="W4181" s="4" t="str">
        <f t="shared" si="263"/>
        <v>Poor</v>
      </c>
      <c r="X4181" s="4">
        <f>AVERAGE(Table1[Purchase Amount])</f>
        <v>129.48419400000012</v>
      </c>
    </row>
    <row r="4182" spans="1:24" ht="15" customHeight="1" x14ac:dyDescent="0.25">
      <c r="A4182">
        <v>4280</v>
      </c>
      <c r="B4182">
        <v>54</v>
      </c>
      <c r="C4182" t="s">
        <v>27</v>
      </c>
      <c r="D4182" t="s">
        <v>117</v>
      </c>
      <c r="E4182" t="s">
        <v>81</v>
      </c>
      <c r="F4182" s="2">
        <v>0</v>
      </c>
      <c r="G4182" t="s">
        <v>126</v>
      </c>
      <c r="H4182" t="s">
        <v>31</v>
      </c>
      <c r="I4182" t="s">
        <v>40</v>
      </c>
      <c r="J4182" t="s">
        <v>22</v>
      </c>
      <c r="K4182">
        <v>4</v>
      </c>
      <c r="L4182" t="s">
        <v>23</v>
      </c>
      <c r="M4182" t="s">
        <v>24</v>
      </c>
      <c r="N4182" t="s">
        <v>23</v>
      </c>
      <c r="O4182">
        <v>2</v>
      </c>
      <c r="P4182" t="s">
        <v>58</v>
      </c>
      <c r="Q4182" t="s">
        <v>26</v>
      </c>
      <c r="R4182" s="1">
        <v>0.1</v>
      </c>
      <c r="S4182">
        <f t="shared" si="260"/>
        <v>0</v>
      </c>
      <c r="T4182">
        <f>IFERROR(VLOOKUP(A4182,Table1[[Customer ID]:[Discount Amount]], 6, FALSE),"Not Found")</f>
        <v>0</v>
      </c>
      <c r="U4182" t="str">
        <f t="shared" si="261"/>
        <v>PayPal</v>
      </c>
      <c r="V4182" s="4" t="str">
        <f t="shared" si="262"/>
        <v>Normal</v>
      </c>
      <c r="W4182" s="4" t="str">
        <f t="shared" si="263"/>
        <v>Good</v>
      </c>
      <c r="X4182" s="4">
        <f>AVERAGE(Table1[Purchase Amount])</f>
        <v>129.48419400000012</v>
      </c>
    </row>
    <row r="4183" spans="1:24" ht="15" customHeight="1" x14ac:dyDescent="0.25">
      <c r="A4183">
        <v>4281</v>
      </c>
      <c r="B4183">
        <v>48</v>
      </c>
      <c r="C4183" t="s">
        <v>27</v>
      </c>
      <c r="D4183" t="s">
        <v>117</v>
      </c>
      <c r="E4183" t="s">
        <v>18</v>
      </c>
      <c r="F4183" s="2">
        <v>0</v>
      </c>
      <c r="G4183" t="s">
        <v>82</v>
      </c>
      <c r="H4183" t="s">
        <v>55</v>
      </c>
      <c r="I4183" t="s">
        <v>93</v>
      </c>
      <c r="J4183" t="s">
        <v>75</v>
      </c>
      <c r="K4183">
        <v>1</v>
      </c>
      <c r="L4183" t="s">
        <v>23</v>
      </c>
      <c r="M4183" t="s">
        <v>61</v>
      </c>
      <c r="N4183" t="s">
        <v>34</v>
      </c>
      <c r="O4183">
        <v>0</v>
      </c>
      <c r="P4183" t="s">
        <v>53</v>
      </c>
      <c r="Q4183" t="s">
        <v>37</v>
      </c>
      <c r="R4183" s="1">
        <v>0.1</v>
      </c>
      <c r="S4183">
        <f t="shared" si="260"/>
        <v>0</v>
      </c>
      <c r="T4183">
        <f>IFERROR(VLOOKUP(A4183,Table1[[Customer ID]:[Discount Amount]], 6, FALSE),"Not Found")</f>
        <v>0</v>
      </c>
      <c r="U4183" t="str">
        <f t="shared" si="261"/>
        <v>Credit Card</v>
      </c>
      <c r="V4183" s="4" t="str">
        <f t="shared" si="262"/>
        <v>Normal</v>
      </c>
      <c r="W4183" s="4" t="str">
        <f t="shared" si="263"/>
        <v>Poor</v>
      </c>
      <c r="X4183" s="4">
        <f>AVERAGE(Table1[Purchase Amount])</f>
        <v>129.48419400000012</v>
      </c>
    </row>
    <row r="4184" spans="1:24" ht="15" customHeight="1" x14ac:dyDescent="0.25">
      <c r="A4184">
        <v>4282</v>
      </c>
      <c r="B4184">
        <v>40</v>
      </c>
      <c r="C4184" t="s">
        <v>27</v>
      </c>
      <c r="D4184" t="s">
        <v>117</v>
      </c>
      <c r="E4184" t="s">
        <v>29</v>
      </c>
      <c r="F4184" s="2">
        <v>0</v>
      </c>
      <c r="G4184" t="s">
        <v>126</v>
      </c>
      <c r="H4184" t="s">
        <v>45</v>
      </c>
      <c r="I4184" t="s">
        <v>93</v>
      </c>
      <c r="J4184" t="s">
        <v>57</v>
      </c>
      <c r="K4184">
        <v>4</v>
      </c>
      <c r="L4184" t="s">
        <v>34</v>
      </c>
      <c r="M4184" t="s">
        <v>24</v>
      </c>
      <c r="N4184" t="s">
        <v>23</v>
      </c>
      <c r="O4184">
        <v>0</v>
      </c>
      <c r="P4184" t="s">
        <v>53</v>
      </c>
      <c r="Q4184" t="s">
        <v>37</v>
      </c>
      <c r="R4184" s="1">
        <v>0.1</v>
      </c>
      <c r="S4184">
        <f t="shared" si="260"/>
        <v>0</v>
      </c>
      <c r="T4184">
        <f>IFERROR(VLOOKUP(A4184,Table1[[Customer ID]:[Discount Amount]], 6, FALSE),"Not Found")</f>
        <v>0</v>
      </c>
      <c r="U4184" t="str">
        <f t="shared" si="261"/>
        <v>Credit Card</v>
      </c>
      <c r="V4184" s="4" t="str">
        <f t="shared" si="262"/>
        <v>Normal</v>
      </c>
      <c r="W4184" s="4" t="str">
        <f t="shared" si="263"/>
        <v>Good</v>
      </c>
      <c r="X4184" s="4">
        <f>AVERAGE(Table1[Purchase Amount])</f>
        <v>129.48419400000012</v>
      </c>
    </row>
    <row r="4185" spans="1:24" ht="15" customHeight="1" x14ac:dyDescent="0.25">
      <c r="A4185">
        <v>4283</v>
      </c>
      <c r="B4185">
        <v>66</v>
      </c>
      <c r="C4185" t="s">
        <v>27</v>
      </c>
      <c r="D4185" t="s">
        <v>117</v>
      </c>
      <c r="E4185" t="s">
        <v>29</v>
      </c>
      <c r="F4185" s="2">
        <v>0</v>
      </c>
      <c r="G4185" t="s">
        <v>101</v>
      </c>
      <c r="H4185" t="s">
        <v>45</v>
      </c>
      <c r="I4185" t="s">
        <v>93</v>
      </c>
      <c r="J4185" t="s">
        <v>75</v>
      </c>
      <c r="K4185">
        <v>3</v>
      </c>
      <c r="L4185" t="s">
        <v>34</v>
      </c>
      <c r="M4185" t="s">
        <v>61</v>
      </c>
      <c r="N4185" t="s">
        <v>34</v>
      </c>
      <c r="O4185">
        <v>0</v>
      </c>
      <c r="P4185" t="s">
        <v>58</v>
      </c>
      <c r="Q4185" t="s">
        <v>42</v>
      </c>
      <c r="R4185" s="1">
        <v>0.1</v>
      </c>
      <c r="S4185">
        <f t="shared" si="260"/>
        <v>0</v>
      </c>
      <c r="T4185">
        <f>IFERROR(VLOOKUP(A4185,Table1[[Customer ID]:[Discount Amount]], 6, FALSE),"Not Found")</f>
        <v>0</v>
      </c>
      <c r="U4185" t="str">
        <f t="shared" si="261"/>
        <v>PayPal</v>
      </c>
      <c r="V4185" s="4" t="str">
        <f t="shared" si="262"/>
        <v>Normal</v>
      </c>
      <c r="W4185" s="4" t="str">
        <f t="shared" si="263"/>
        <v>Good</v>
      </c>
      <c r="X4185" s="4">
        <f>AVERAGE(Table1[Purchase Amount])</f>
        <v>129.48419400000012</v>
      </c>
    </row>
    <row r="4186" spans="1:24" ht="15" customHeight="1" x14ac:dyDescent="0.25">
      <c r="A4186">
        <v>4284</v>
      </c>
      <c r="B4186">
        <v>70</v>
      </c>
      <c r="C4186" t="s">
        <v>27</v>
      </c>
      <c r="D4186" t="s">
        <v>117</v>
      </c>
      <c r="E4186" t="s">
        <v>18</v>
      </c>
      <c r="F4186" s="2">
        <v>964.07</v>
      </c>
      <c r="G4186" t="s">
        <v>73</v>
      </c>
      <c r="H4186" t="s">
        <v>31</v>
      </c>
      <c r="I4186" t="s">
        <v>93</v>
      </c>
      <c r="J4186" t="s">
        <v>57</v>
      </c>
      <c r="K4186">
        <v>1</v>
      </c>
      <c r="L4186" t="s">
        <v>34</v>
      </c>
      <c r="M4186" t="s">
        <v>24</v>
      </c>
      <c r="N4186" t="s">
        <v>34</v>
      </c>
      <c r="O4186">
        <v>49</v>
      </c>
      <c r="P4186" t="s">
        <v>36</v>
      </c>
      <c r="Q4186" t="s">
        <v>37</v>
      </c>
      <c r="R4186" s="1">
        <v>0.1</v>
      </c>
      <c r="S4186">
        <f t="shared" si="260"/>
        <v>867.66300000000001</v>
      </c>
      <c r="T4186">
        <f>IFERROR(VLOOKUP(A4186,Table1[[Customer ID]:[Discount Amount]], 6, FALSE),"Not Found")</f>
        <v>964.07</v>
      </c>
      <c r="U4186" t="str">
        <f t="shared" si="261"/>
        <v>Debit Card</v>
      </c>
      <c r="V4186" s="4" t="str">
        <f t="shared" si="262"/>
        <v>Normal</v>
      </c>
      <c r="W4186" s="4" t="str">
        <f t="shared" si="263"/>
        <v>Poor</v>
      </c>
      <c r="X4186" s="4">
        <f>AVERAGE(Table1[Purchase Amount])</f>
        <v>129.48419400000012</v>
      </c>
    </row>
    <row r="4187" spans="1:24" ht="15" customHeight="1" x14ac:dyDescent="0.25">
      <c r="A4187">
        <v>4285</v>
      </c>
      <c r="B4187">
        <v>18</v>
      </c>
      <c r="C4187" t="s">
        <v>16</v>
      </c>
      <c r="D4187" t="s">
        <v>116</v>
      </c>
      <c r="E4187" t="s">
        <v>18</v>
      </c>
      <c r="F4187" s="2">
        <v>0</v>
      </c>
      <c r="G4187" t="s">
        <v>126</v>
      </c>
      <c r="H4187" t="s">
        <v>31</v>
      </c>
      <c r="I4187" t="s">
        <v>46</v>
      </c>
      <c r="J4187" t="s">
        <v>22</v>
      </c>
      <c r="K4187">
        <v>4</v>
      </c>
      <c r="L4187" t="s">
        <v>34</v>
      </c>
      <c r="M4187" t="s">
        <v>61</v>
      </c>
      <c r="N4187" t="s">
        <v>23</v>
      </c>
      <c r="O4187">
        <v>6</v>
      </c>
      <c r="P4187" t="s">
        <v>58</v>
      </c>
      <c r="Q4187" t="s">
        <v>42</v>
      </c>
      <c r="R4187" s="1">
        <v>0.1</v>
      </c>
      <c r="S4187">
        <f t="shared" si="260"/>
        <v>0</v>
      </c>
      <c r="T4187">
        <f>IFERROR(VLOOKUP(A4187,Table1[[Customer ID]:[Discount Amount]], 6, FALSE),"Not Found")</f>
        <v>0</v>
      </c>
      <c r="U4187" t="str">
        <f t="shared" si="261"/>
        <v>PayPal</v>
      </c>
      <c r="V4187" s="4" t="str">
        <f t="shared" si="262"/>
        <v>Normal</v>
      </c>
      <c r="W4187" s="4" t="str">
        <f t="shared" si="263"/>
        <v>Good</v>
      </c>
      <c r="X4187" s="4">
        <f>AVERAGE(Table1[Purchase Amount])</f>
        <v>129.48419400000012</v>
      </c>
    </row>
    <row r="4188" spans="1:24" ht="15" customHeight="1" x14ac:dyDescent="0.25">
      <c r="A4188">
        <v>4286</v>
      </c>
      <c r="B4188">
        <v>54</v>
      </c>
      <c r="C4188" t="s">
        <v>71</v>
      </c>
      <c r="D4188" t="s">
        <v>112</v>
      </c>
      <c r="E4188" t="s">
        <v>18</v>
      </c>
      <c r="F4188" s="2">
        <v>0</v>
      </c>
      <c r="G4188" t="s">
        <v>126</v>
      </c>
      <c r="H4188" t="s">
        <v>31</v>
      </c>
      <c r="I4188" t="s">
        <v>32</v>
      </c>
      <c r="J4188" t="s">
        <v>33</v>
      </c>
      <c r="K4188">
        <v>5</v>
      </c>
      <c r="L4188" t="s">
        <v>23</v>
      </c>
      <c r="M4188" t="s">
        <v>61</v>
      </c>
      <c r="N4188" t="s">
        <v>34</v>
      </c>
      <c r="O4188">
        <v>0</v>
      </c>
      <c r="P4188" t="s">
        <v>58</v>
      </c>
      <c r="Q4188" t="s">
        <v>42</v>
      </c>
      <c r="R4188" s="1">
        <v>0.1</v>
      </c>
      <c r="S4188">
        <f t="shared" si="260"/>
        <v>0</v>
      </c>
      <c r="T4188">
        <f>IFERROR(VLOOKUP(A4188,Table1[[Customer ID]:[Discount Amount]], 6, FALSE),"Not Found")</f>
        <v>0</v>
      </c>
      <c r="U4188" t="str">
        <f t="shared" si="261"/>
        <v>PayPal</v>
      </c>
      <c r="V4188" s="4" t="str">
        <f t="shared" si="262"/>
        <v>Normal</v>
      </c>
      <c r="W4188" s="4" t="str">
        <f t="shared" si="263"/>
        <v>Good</v>
      </c>
      <c r="X4188" s="4">
        <f>AVERAGE(Table1[Purchase Amount])</f>
        <v>129.48419400000012</v>
      </c>
    </row>
    <row r="4189" spans="1:24" ht="15" customHeight="1" x14ac:dyDescent="0.25">
      <c r="A4189">
        <v>4287</v>
      </c>
      <c r="B4189">
        <v>29</v>
      </c>
      <c r="C4189" t="s">
        <v>27</v>
      </c>
      <c r="D4189" t="s">
        <v>95</v>
      </c>
      <c r="E4189" t="s">
        <v>18</v>
      </c>
      <c r="F4189" s="2">
        <v>0</v>
      </c>
      <c r="G4189" t="s">
        <v>101</v>
      </c>
      <c r="H4189" t="s">
        <v>20</v>
      </c>
      <c r="I4189" t="s">
        <v>93</v>
      </c>
      <c r="J4189" t="s">
        <v>75</v>
      </c>
      <c r="K4189">
        <v>1</v>
      </c>
      <c r="L4189" t="s">
        <v>34</v>
      </c>
      <c r="M4189" t="s">
        <v>24</v>
      </c>
      <c r="N4189" t="s">
        <v>23</v>
      </c>
      <c r="O4189">
        <v>1</v>
      </c>
      <c r="P4189" t="s">
        <v>25</v>
      </c>
      <c r="Q4189" t="s">
        <v>42</v>
      </c>
      <c r="R4189" s="1">
        <v>0.1</v>
      </c>
      <c r="S4189">
        <f t="shared" si="260"/>
        <v>0</v>
      </c>
      <c r="T4189">
        <f>IFERROR(VLOOKUP(A4189,Table1[[Customer ID]:[Discount Amount]], 6, FALSE),"Not Found")</f>
        <v>0</v>
      </c>
      <c r="U4189" t="str">
        <f t="shared" si="261"/>
        <v>Cash</v>
      </c>
      <c r="V4189" s="4" t="str">
        <f t="shared" si="262"/>
        <v>Normal</v>
      </c>
      <c r="W4189" s="4" t="str">
        <f t="shared" si="263"/>
        <v>Poor</v>
      </c>
      <c r="X4189" s="4">
        <f>AVERAGE(Table1[Purchase Amount])</f>
        <v>129.48419400000012</v>
      </c>
    </row>
    <row r="4190" spans="1:24" ht="15" customHeight="1" x14ac:dyDescent="0.25">
      <c r="A4190">
        <v>4288</v>
      </c>
      <c r="B4190">
        <v>39</v>
      </c>
      <c r="C4190" t="s">
        <v>71</v>
      </c>
      <c r="D4190" t="s">
        <v>80</v>
      </c>
      <c r="E4190" t="s">
        <v>18</v>
      </c>
      <c r="F4190" s="2">
        <v>993.53</v>
      </c>
      <c r="G4190" t="s">
        <v>139</v>
      </c>
      <c r="H4190" t="s">
        <v>31</v>
      </c>
      <c r="I4190" t="s">
        <v>40</v>
      </c>
      <c r="J4190" t="s">
        <v>57</v>
      </c>
      <c r="K4190">
        <v>4</v>
      </c>
      <c r="L4190" t="s">
        <v>34</v>
      </c>
      <c r="M4190" t="s">
        <v>61</v>
      </c>
      <c r="N4190" t="s">
        <v>23</v>
      </c>
      <c r="O4190">
        <v>19</v>
      </c>
      <c r="P4190" t="s">
        <v>53</v>
      </c>
      <c r="Q4190" t="s">
        <v>42</v>
      </c>
      <c r="R4190" s="1">
        <v>0.1</v>
      </c>
      <c r="S4190">
        <f t="shared" si="260"/>
        <v>894.17699999999991</v>
      </c>
      <c r="T4190">
        <f>IFERROR(VLOOKUP(A4190,Table1[[Customer ID]:[Discount Amount]], 6, FALSE),"Not Found")</f>
        <v>993.53</v>
      </c>
      <c r="U4190" t="str">
        <f t="shared" si="261"/>
        <v>Credit Card</v>
      </c>
      <c r="V4190" s="4" t="str">
        <f t="shared" si="262"/>
        <v>Normal</v>
      </c>
      <c r="W4190" s="4" t="str">
        <f t="shared" si="263"/>
        <v>Good</v>
      </c>
      <c r="X4190" s="4">
        <f>AVERAGE(Table1[Purchase Amount])</f>
        <v>129.48419400000012</v>
      </c>
    </row>
    <row r="4191" spans="1:24" ht="15" customHeight="1" x14ac:dyDescent="0.25">
      <c r="A4191">
        <v>4289</v>
      </c>
      <c r="B4191">
        <v>34</v>
      </c>
      <c r="C4191" t="s">
        <v>16</v>
      </c>
      <c r="D4191" t="s">
        <v>95</v>
      </c>
      <c r="E4191" t="s">
        <v>29</v>
      </c>
      <c r="F4191" s="2">
        <v>1282.44</v>
      </c>
      <c r="G4191" t="s">
        <v>101</v>
      </c>
      <c r="H4191" t="s">
        <v>55</v>
      </c>
      <c r="I4191" t="s">
        <v>46</v>
      </c>
      <c r="J4191" t="s">
        <v>75</v>
      </c>
      <c r="K4191">
        <v>1</v>
      </c>
      <c r="L4191" t="s">
        <v>23</v>
      </c>
      <c r="M4191" t="s">
        <v>61</v>
      </c>
      <c r="N4191" t="s">
        <v>34</v>
      </c>
      <c r="O4191">
        <v>36</v>
      </c>
      <c r="P4191" t="s">
        <v>58</v>
      </c>
      <c r="Q4191" t="s">
        <v>26</v>
      </c>
      <c r="R4191" s="1">
        <v>0.1</v>
      </c>
      <c r="S4191">
        <f t="shared" si="260"/>
        <v>1154.1960000000001</v>
      </c>
      <c r="T4191">
        <f>IFERROR(VLOOKUP(A4191,Table1[[Customer ID]:[Discount Amount]], 6, FALSE),"Not Found")</f>
        <v>1282.44</v>
      </c>
      <c r="U4191" t="str">
        <f t="shared" si="261"/>
        <v>PayPal</v>
      </c>
      <c r="V4191" s="4" t="str">
        <f t="shared" si="262"/>
        <v>Normal</v>
      </c>
      <c r="W4191" s="4" t="str">
        <f t="shared" si="263"/>
        <v>Poor</v>
      </c>
      <c r="X4191" s="4">
        <f>AVERAGE(Table1[Purchase Amount])</f>
        <v>129.48419400000012</v>
      </c>
    </row>
    <row r="4192" spans="1:24" ht="15" customHeight="1" x14ac:dyDescent="0.25">
      <c r="A4192">
        <v>4290</v>
      </c>
      <c r="B4192">
        <v>37</v>
      </c>
      <c r="C4192" t="s">
        <v>27</v>
      </c>
      <c r="D4192" t="s">
        <v>80</v>
      </c>
      <c r="E4192" t="s">
        <v>18</v>
      </c>
      <c r="F4192" s="2">
        <v>0</v>
      </c>
      <c r="G4192" t="s">
        <v>139</v>
      </c>
      <c r="H4192" t="s">
        <v>55</v>
      </c>
      <c r="I4192" t="s">
        <v>74</v>
      </c>
      <c r="J4192" t="s">
        <v>57</v>
      </c>
      <c r="K4192">
        <v>1</v>
      </c>
      <c r="L4192" t="s">
        <v>34</v>
      </c>
      <c r="M4192" t="s">
        <v>24</v>
      </c>
      <c r="N4192" t="s">
        <v>23</v>
      </c>
      <c r="O4192">
        <v>0</v>
      </c>
      <c r="P4192" t="s">
        <v>58</v>
      </c>
      <c r="Q4192" t="s">
        <v>37</v>
      </c>
      <c r="R4192" s="1">
        <v>0.1</v>
      </c>
      <c r="S4192">
        <f t="shared" si="260"/>
        <v>0</v>
      </c>
      <c r="T4192">
        <f>IFERROR(VLOOKUP(A4192,Table1[[Customer ID]:[Discount Amount]], 6, FALSE),"Not Found")</f>
        <v>0</v>
      </c>
      <c r="U4192" t="str">
        <f t="shared" si="261"/>
        <v>PayPal</v>
      </c>
      <c r="V4192" s="4" t="str">
        <f t="shared" si="262"/>
        <v>Normal</v>
      </c>
      <c r="W4192" s="4" t="str">
        <f t="shared" si="263"/>
        <v>Poor</v>
      </c>
      <c r="X4192" s="4">
        <f>AVERAGE(Table1[Purchase Amount])</f>
        <v>129.48419400000012</v>
      </c>
    </row>
    <row r="4193" spans="1:24" ht="15" customHeight="1" x14ac:dyDescent="0.25">
      <c r="A4193">
        <v>4291</v>
      </c>
      <c r="B4193">
        <v>21</v>
      </c>
      <c r="C4193" t="s">
        <v>16</v>
      </c>
      <c r="D4193" t="s">
        <v>95</v>
      </c>
      <c r="E4193" t="s">
        <v>81</v>
      </c>
      <c r="F4193" s="2">
        <v>351.36</v>
      </c>
      <c r="G4193" t="s">
        <v>126</v>
      </c>
      <c r="H4193" t="s">
        <v>31</v>
      </c>
      <c r="I4193" t="s">
        <v>32</v>
      </c>
      <c r="J4193" t="s">
        <v>22</v>
      </c>
      <c r="K4193">
        <v>4</v>
      </c>
      <c r="L4193" t="s">
        <v>34</v>
      </c>
      <c r="M4193" t="s">
        <v>24</v>
      </c>
      <c r="N4193" t="s">
        <v>23</v>
      </c>
      <c r="O4193">
        <v>43</v>
      </c>
      <c r="P4193" t="s">
        <v>53</v>
      </c>
      <c r="Q4193" t="s">
        <v>37</v>
      </c>
      <c r="R4193" s="1">
        <v>0.1</v>
      </c>
      <c r="S4193">
        <f t="shared" si="260"/>
        <v>316.22399999999999</v>
      </c>
      <c r="T4193">
        <f>IFERROR(VLOOKUP(A4193,Table1[[Customer ID]:[Discount Amount]], 6, FALSE),"Not Found")</f>
        <v>351.36</v>
      </c>
      <c r="U4193" t="str">
        <f t="shared" si="261"/>
        <v>Credit Card</v>
      </c>
      <c r="V4193" s="4" t="str">
        <f t="shared" si="262"/>
        <v>Normal</v>
      </c>
      <c r="W4193" s="4" t="str">
        <f t="shared" si="263"/>
        <v>Good</v>
      </c>
      <c r="X4193" s="4">
        <f>AVERAGE(Table1[Purchase Amount])</f>
        <v>129.48419400000012</v>
      </c>
    </row>
    <row r="4194" spans="1:24" ht="15" customHeight="1" x14ac:dyDescent="0.25">
      <c r="A4194">
        <v>4292</v>
      </c>
      <c r="B4194">
        <v>27</v>
      </c>
      <c r="C4194" t="s">
        <v>71</v>
      </c>
      <c r="D4194" t="s">
        <v>80</v>
      </c>
      <c r="E4194" t="s">
        <v>81</v>
      </c>
      <c r="F4194" s="2">
        <v>0</v>
      </c>
      <c r="G4194" t="s">
        <v>126</v>
      </c>
      <c r="H4194" t="s">
        <v>31</v>
      </c>
      <c r="I4194" t="s">
        <v>74</v>
      </c>
      <c r="J4194" t="s">
        <v>57</v>
      </c>
      <c r="K4194">
        <v>1</v>
      </c>
      <c r="L4194" t="s">
        <v>34</v>
      </c>
      <c r="M4194" t="s">
        <v>61</v>
      </c>
      <c r="N4194" t="s">
        <v>34</v>
      </c>
      <c r="O4194">
        <v>0</v>
      </c>
      <c r="P4194" t="s">
        <v>53</v>
      </c>
      <c r="Q4194" t="s">
        <v>26</v>
      </c>
      <c r="R4194" s="1">
        <v>0.1</v>
      </c>
      <c r="S4194">
        <f t="shared" si="260"/>
        <v>0</v>
      </c>
      <c r="T4194">
        <f>IFERROR(VLOOKUP(A4194,Table1[[Customer ID]:[Discount Amount]], 6, FALSE),"Not Found")</f>
        <v>0</v>
      </c>
      <c r="U4194" t="str">
        <f t="shared" si="261"/>
        <v>Credit Card</v>
      </c>
      <c r="V4194" s="4" t="str">
        <f t="shared" si="262"/>
        <v>Normal</v>
      </c>
      <c r="W4194" s="4" t="str">
        <f t="shared" si="263"/>
        <v>Poor</v>
      </c>
      <c r="X4194" s="4">
        <f>AVERAGE(Table1[Purchase Amount])</f>
        <v>129.48419400000012</v>
      </c>
    </row>
    <row r="4195" spans="1:24" ht="15" customHeight="1" x14ac:dyDescent="0.25">
      <c r="A4195">
        <v>4293</v>
      </c>
      <c r="B4195">
        <v>27</v>
      </c>
      <c r="C4195" t="s">
        <v>71</v>
      </c>
      <c r="D4195" t="s">
        <v>72</v>
      </c>
      <c r="E4195" t="s">
        <v>29</v>
      </c>
      <c r="F4195" s="2">
        <v>0</v>
      </c>
      <c r="G4195" t="s">
        <v>126</v>
      </c>
      <c r="H4195" t="s">
        <v>31</v>
      </c>
      <c r="I4195" t="s">
        <v>32</v>
      </c>
      <c r="J4195" t="s">
        <v>57</v>
      </c>
      <c r="K4195">
        <v>4</v>
      </c>
      <c r="L4195" t="s">
        <v>34</v>
      </c>
      <c r="M4195" t="s">
        <v>61</v>
      </c>
      <c r="N4195" t="s">
        <v>34</v>
      </c>
      <c r="O4195">
        <v>0</v>
      </c>
      <c r="P4195" t="s">
        <v>58</v>
      </c>
      <c r="Q4195" t="s">
        <v>37</v>
      </c>
      <c r="R4195" s="1">
        <v>0.1</v>
      </c>
      <c r="S4195">
        <f t="shared" si="260"/>
        <v>0</v>
      </c>
      <c r="T4195">
        <f>IFERROR(VLOOKUP(A4195,Table1[[Customer ID]:[Discount Amount]], 6, FALSE),"Not Found")</f>
        <v>0</v>
      </c>
      <c r="U4195" t="str">
        <f t="shared" si="261"/>
        <v>PayPal</v>
      </c>
      <c r="V4195" s="4" t="str">
        <f t="shared" si="262"/>
        <v>Normal</v>
      </c>
      <c r="W4195" s="4" t="str">
        <f t="shared" si="263"/>
        <v>Good</v>
      </c>
      <c r="X4195" s="4">
        <f>AVERAGE(Table1[Purchase Amount])</f>
        <v>129.48419400000012</v>
      </c>
    </row>
    <row r="4196" spans="1:24" ht="15" customHeight="1" x14ac:dyDescent="0.25">
      <c r="A4196">
        <v>4294</v>
      </c>
      <c r="B4196">
        <v>25</v>
      </c>
      <c r="C4196" t="s">
        <v>71</v>
      </c>
      <c r="D4196" t="s">
        <v>116</v>
      </c>
      <c r="E4196" t="s">
        <v>81</v>
      </c>
      <c r="F4196" s="2">
        <v>0</v>
      </c>
      <c r="G4196" t="s">
        <v>126</v>
      </c>
      <c r="H4196" t="s">
        <v>31</v>
      </c>
      <c r="I4196" t="s">
        <v>46</v>
      </c>
      <c r="J4196" t="s">
        <v>33</v>
      </c>
      <c r="K4196">
        <v>1</v>
      </c>
      <c r="L4196" t="s">
        <v>23</v>
      </c>
      <c r="M4196" t="s">
        <v>24</v>
      </c>
      <c r="N4196" t="s">
        <v>34</v>
      </c>
      <c r="O4196">
        <v>20</v>
      </c>
      <c r="P4196" t="s">
        <v>25</v>
      </c>
      <c r="Q4196" t="s">
        <v>37</v>
      </c>
      <c r="R4196" s="1">
        <v>0.1</v>
      </c>
      <c r="S4196">
        <f t="shared" si="260"/>
        <v>0</v>
      </c>
      <c r="T4196">
        <f>IFERROR(VLOOKUP(A4196,Table1[[Customer ID]:[Discount Amount]], 6, FALSE),"Not Found")</f>
        <v>0</v>
      </c>
      <c r="U4196" t="str">
        <f t="shared" si="261"/>
        <v>Cash</v>
      </c>
      <c r="V4196" s="4" t="str">
        <f t="shared" si="262"/>
        <v>Normal</v>
      </c>
      <c r="W4196" s="4" t="str">
        <f t="shared" si="263"/>
        <v>Poor</v>
      </c>
      <c r="X4196" s="4">
        <f>AVERAGE(Table1[Purchase Amount])</f>
        <v>129.48419400000012</v>
      </c>
    </row>
    <row r="4197" spans="1:24" ht="15" customHeight="1" x14ac:dyDescent="0.25">
      <c r="A4197">
        <v>4295</v>
      </c>
      <c r="B4197">
        <v>31</v>
      </c>
      <c r="C4197" t="s">
        <v>71</v>
      </c>
      <c r="D4197" t="s">
        <v>38</v>
      </c>
      <c r="E4197" t="s">
        <v>18</v>
      </c>
      <c r="F4197" s="2">
        <v>0</v>
      </c>
      <c r="G4197" t="s">
        <v>73</v>
      </c>
      <c r="H4197" t="s">
        <v>55</v>
      </c>
      <c r="I4197" t="s">
        <v>32</v>
      </c>
      <c r="J4197" t="s">
        <v>75</v>
      </c>
      <c r="K4197">
        <v>1</v>
      </c>
      <c r="L4197" t="s">
        <v>34</v>
      </c>
      <c r="M4197" t="s">
        <v>61</v>
      </c>
      <c r="N4197" t="s">
        <v>34</v>
      </c>
      <c r="O4197">
        <v>50</v>
      </c>
      <c r="P4197" t="s">
        <v>53</v>
      </c>
      <c r="Q4197" t="s">
        <v>26</v>
      </c>
      <c r="R4197" s="1">
        <v>0.1</v>
      </c>
      <c r="S4197">
        <f t="shared" si="260"/>
        <v>0</v>
      </c>
      <c r="T4197">
        <f>IFERROR(VLOOKUP(A4197,Table1[[Customer ID]:[Discount Amount]], 6, FALSE),"Not Found")</f>
        <v>0</v>
      </c>
      <c r="U4197" t="str">
        <f t="shared" si="261"/>
        <v>Credit Card</v>
      </c>
      <c r="V4197" s="4" t="str">
        <f t="shared" si="262"/>
        <v>Normal</v>
      </c>
      <c r="W4197" s="4" t="str">
        <f t="shared" si="263"/>
        <v>Poor</v>
      </c>
      <c r="X4197" s="4">
        <f>AVERAGE(Table1[Purchase Amount])</f>
        <v>129.48419400000012</v>
      </c>
    </row>
    <row r="4198" spans="1:24" ht="15" customHeight="1" x14ac:dyDescent="0.25">
      <c r="A4198">
        <v>4296</v>
      </c>
      <c r="B4198">
        <v>59</v>
      </c>
      <c r="C4198" t="s">
        <v>16</v>
      </c>
      <c r="D4198" t="s">
        <v>38</v>
      </c>
      <c r="E4198" t="s">
        <v>81</v>
      </c>
      <c r="F4198" s="2">
        <v>591.76</v>
      </c>
      <c r="G4198" t="s">
        <v>101</v>
      </c>
      <c r="H4198" t="s">
        <v>31</v>
      </c>
      <c r="I4198" t="s">
        <v>32</v>
      </c>
      <c r="J4198" t="s">
        <v>22</v>
      </c>
      <c r="K4198">
        <v>3</v>
      </c>
      <c r="L4198" t="s">
        <v>23</v>
      </c>
      <c r="M4198" t="s">
        <v>24</v>
      </c>
      <c r="N4198" t="s">
        <v>23</v>
      </c>
      <c r="O4198">
        <v>4</v>
      </c>
      <c r="P4198" t="s">
        <v>53</v>
      </c>
      <c r="Q4198" t="s">
        <v>37</v>
      </c>
      <c r="R4198" s="1">
        <v>0.1</v>
      </c>
      <c r="S4198">
        <f t="shared" si="260"/>
        <v>532.58399999999995</v>
      </c>
      <c r="T4198">
        <f>IFERROR(VLOOKUP(A4198,Table1[[Customer ID]:[Discount Amount]], 6, FALSE),"Not Found")</f>
        <v>591.76</v>
      </c>
      <c r="U4198" t="str">
        <f t="shared" si="261"/>
        <v>Credit Card</v>
      </c>
      <c r="V4198" s="4" t="str">
        <f t="shared" si="262"/>
        <v>Normal</v>
      </c>
      <c r="W4198" s="4" t="str">
        <f t="shared" si="263"/>
        <v>Good</v>
      </c>
      <c r="X4198" s="4">
        <f>AVERAGE(Table1[Purchase Amount])</f>
        <v>129.48419400000012</v>
      </c>
    </row>
    <row r="4199" spans="1:24" ht="15" customHeight="1" x14ac:dyDescent="0.25">
      <c r="A4199">
        <v>4297</v>
      </c>
      <c r="B4199">
        <v>60</v>
      </c>
      <c r="C4199" t="s">
        <v>71</v>
      </c>
      <c r="D4199" t="s">
        <v>38</v>
      </c>
      <c r="E4199" t="s">
        <v>29</v>
      </c>
      <c r="F4199" s="2">
        <v>379.18</v>
      </c>
      <c r="G4199" t="s">
        <v>101</v>
      </c>
      <c r="H4199" t="s">
        <v>31</v>
      </c>
      <c r="I4199" t="s">
        <v>32</v>
      </c>
      <c r="J4199" t="s">
        <v>33</v>
      </c>
      <c r="K4199">
        <v>5</v>
      </c>
      <c r="L4199" t="s">
        <v>23</v>
      </c>
      <c r="M4199" t="s">
        <v>61</v>
      </c>
      <c r="N4199" t="s">
        <v>34</v>
      </c>
      <c r="O4199">
        <v>12</v>
      </c>
      <c r="P4199" t="s">
        <v>25</v>
      </c>
      <c r="Q4199" t="s">
        <v>37</v>
      </c>
      <c r="R4199" s="1">
        <v>0.1</v>
      </c>
      <c r="S4199">
        <f t="shared" si="260"/>
        <v>341.262</v>
      </c>
      <c r="T4199">
        <f>IFERROR(VLOOKUP(A4199,Table1[[Customer ID]:[Discount Amount]], 6, FALSE),"Not Found")</f>
        <v>379.18</v>
      </c>
      <c r="U4199" t="str">
        <f t="shared" si="261"/>
        <v>Cash</v>
      </c>
      <c r="V4199" s="4" t="str">
        <f t="shared" si="262"/>
        <v>Normal</v>
      </c>
      <c r="W4199" s="4" t="str">
        <f t="shared" si="263"/>
        <v>Good</v>
      </c>
      <c r="X4199" s="4">
        <f>AVERAGE(Table1[Purchase Amount])</f>
        <v>129.48419400000012</v>
      </c>
    </row>
    <row r="4200" spans="1:24" ht="15" customHeight="1" x14ac:dyDescent="0.25">
      <c r="A4200">
        <v>4298</v>
      </c>
      <c r="B4200">
        <v>58</v>
      </c>
      <c r="C4200" t="s">
        <v>16</v>
      </c>
      <c r="D4200" t="s">
        <v>117</v>
      </c>
      <c r="E4200" t="s">
        <v>29</v>
      </c>
      <c r="F4200" s="2">
        <v>943.94</v>
      </c>
      <c r="G4200" t="s">
        <v>126</v>
      </c>
      <c r="H4200" t="s">
        <v>45</v>
      </c>
      <c r="I4200" t="s">
        <v>93</v>
      </c>
      <c r="J4200" t="s">
        <v>22</v>
      </c>
      <c r="K4200">
        <v>1</v>
      </c>
      <c r="L4200" t="s">
        <v>34</v>
      </c>
      <c r="M4200" t="s">
        <v>61</v>
      </c>
      <c r="N4200" t="s">
        <v>23</v>
      </c>
      <c r="O4200">
        <v>38</v>
      </c>
      <c r="P4200" t="s">
        <v>53</v>
      </c>
      <c r="Q4200" t="s">
        <v>42</v>
      </c>
      <c r="R4200" s="1">
        <v>0.1</v>
      </c>
      <c r="S4200">
        <f t="shared" si="260"/>
        <v>849.54600000000005</v>
      </c>
      <c r="T4200">
        <f>IFERROR(VLOOKUP(A4200,Table1[[Customer ID]:[Discount Amount]], 6, FALSE),"Not Found")</f>
        <v>943.94</v>
      </c>
      <c r="U4200" t="str">
        <f t="shared" si="261"/>
        <v>Credit Card</v>
      </c>
      <c r="V4200" s="4" t="str">
        <f t="shared" si="262"/>
        <v>Normal</v>
      </c>
      <c r="W4200" s="4" t="str">
        <f t="shared" si="263"/>
        <v>Poor</v>
      </c>
      <c r="X4200" s="4">
        <f>AVERAGE(Table1[Purchase Amount])</f>
        <v>129.48419400000012</v>
      </c>
    </row>
    <row r="4201" spans="1:24" ht="15" customHeight="1" x14ac:dyDescent="0.25">
      <c r="A4201">
        <v>4299</v>
      </c>
      <c r="B4201">
        <v>61</v>
      </c>
      <c r="C4201" t="s">
        <v>16</v>
      </c>
      <c r="D4201" t="s">
        <v>116</v>
      </c>
      <c r="E4201" t="s">
        <v>81</v>
      </c>
      <c r="F4201" s="2">
        <v>0</v>
      </c>
      <c r="G4201" t="s">
        <v>73</v>
      </c>
      <c r="H4201" t="s">
        <v>31</v>
      </c>
      <c r="I4201" t="s">
        <v>40</v>
      </c>
      <c r="J4201" t="s">
        <v>33</v>
      </c>
      <c r="K4201">
        <v>4</v>
      </c>
      <c r="L4201" t="s">
        <v>23</v>
      </c>
      <c r="M4201" t="s">
        <v>24</v>
      </c>
      <c r="N4201" t="s">
        <v>23</v>
      </c>
      <c r="O4201">
        <v>0</v>
      </c>
      <c r="P4201" t="s">
        <v>36</v>
      </c>
      <c r="Q4201" t="s">
        <v>37</v>
      </c>
      <c r="R4201" s="1">
        <v>0.1</v>
      </c>
      <c r="S4201">
        <f t="shared" si="260"/>
        <v>0</v>
      </c>
      <c r="T4201">
        <f>IFERROR(VLOOKUP(A4201,Table1[[Customer ID]:[Discount Amount]], 6, FALSE),"Not Found")</f>
        <v>0</v>
      </c>
      <c r="U4201" t="str">
        <f t="shared" si="261"/>
        <v>Debit Card</v>
      </c>
      <c r="V4201" s="4" t="str">
        <f t="shared" si="262"/>
        <v>Normal</v>
      </c>
      <c r="W4201" s="4" t="str">
        <f t="shared" si="263"/>
        <v>Good</v>
      </c>
      <c r="X4201" s="4">
        <f>AVERAGE(Table1[Purchase Amount])</f>
        <v>129.48419400000012</v>
      </c>
    </row>
    <row r="4202" spans="1:24" ht="15" customHeight="1" x14ac:dyDescent="0.25">
      <c r="A4202">
        <v>4300</v>
      </c>
      <c r="B4202">
        <v>40</v>
      </c>
      <c r="C4202" t="s">
        <v>16</v>
      </c>
      <c r="D4202" t="s">
        <v>112</v>
      </c>
      <c r="E4202" t="s">
        <v>18</v>
      </c>
      <c r="F4202" s="2">
        <v>1400.99</v>
      </c>
      <c r="G4202" t="s">
        <v>139</v>
      </c>
      <c r="H4202" t="s">
        <v>55</v>
      </c>
      <c r="I4202" t="s">
        <v>32</v>
      </c>
      <c r="J4202" t="s">
        <v>33</v>
      </c>
      <c r="K4202">
        <v>1</v>
      </c>
      <c r="L4202" t="s">
        <v>23</v>
      </c>
      <c r="M4202" t="s">
        <v>61</v>
      </c>
      <c r="N4202" t="s">
        <v>34</v>
      </c>
      <c r="O4202">
        <v>0</v>
      </c>
      <c r="P4202" t="s">
        <v>36</v>
      </c>
      <c r="Q4202" t="s">
        <v>42</v>
      </c>
      <c r="R4202" s="1">
        <v>0.1</v>
      </c>
      <c r="S4202">
        <f t="shared" si="260"/>
        <v>1260.8910000000001</v>
      </c>
      <c r="T4202">
        <f>IFERROR(VLOOKUP(A4202,Table1[[Customer ID]:[Discount Amount]], 6, FALSE),"Not Found")</f>
        <v>1400.99</v>
      </c>
      <c r="U4202" t="str">
        <f t="shared" si="261"/>
        <v>Debit Card</v>
      </c>
      <c r="V4202" s="4" t="str">
        <f t="shared" si="262"/>
        <v>Normal</v>
      </c>
      <c r="W4202" s="4" t="str">
        <f t="shared" si="263"/>
        <v>Poor</v>
      </c>
      <c r="X4202" s="4">
        <f>AVERAGE(Table1[Purchase Amount])</f>
        <v>129.48419400000012</v>
      </c>
    </row>
    <row r="4203" spans="1:24" ht="15" customHeight="1" x14ac:dyDescent="0.25">
      <c r="A4203">
        <v>4301</v>
      </c>
      <c r="B4203">
        <v>59</v>
      </c>
      <c r="C4203" t="s">
        <v>27</v>
      </c>
      <c r="D4203" t="s">
        <v>112</v>
      </c>
      <c r="E4203" t="s">
        <v>29</v>
      </c>
      <c r="F4203" s="2">
        <v>862.98</v>
      </c>
      <c r="G4203" t="s">
        <v>73</v>
      </c>
      <c r="H4203" t="s">
        <v>55</v>
      </c>
      <c r="I4203" t="s">
        <v>74</v>
      </c>
      <c r="J4203" t="s">
        <v>75</v>
      </c>
      <c r="K4203">
        <v>1</v>
      </c>
      <c r="L4203" t="s">
        <v>23</v>
      </c>
      <c r="M4203" t="s">
        <v>24</v>
      </c>
      <c r="N4203" t="s">
        <v>34</v>
      </c>
      <c r="O4203">
        <v>12</v>
      </c>
      <c r="P4203" t="s">
        <v>25</v>
      </c>
      <c r="Q4203" t="s">
        <v>42</v>
      </c>
      <c r="R4203" s="1">
        <v>0.1</v>
      </c>
      <c r="S4203">
        <f t="shared" si="260"/>
        <v>776.68200000000002</v>
      </c>
      <c r="T4203">
        <f>IFERROR(VLOOKUP(A4203,Table1[[Customer ID]:[Discount Amount]], 6, FALSE),"Not Found")</f>
        <v>862.98</v>
      </c>
      <c r="U4203" t="str">
        <f t="shared" si="261"/>
        <v>Cash</v>
      </c>
      <c r="V4203" s="4" t="str">
        <f t="shared" si="262"/>
        <v>Normal</v>
      </c>
      <c r="W4203" s="4" t="str">
        <f t="shared" si="263"/>
        <v>Poor</v>
      </c>
      <c r="X4203" s="4">
        <f>AVERAGE(Table1[Purchase Amount])</f>
        <v>129.48419400000012</v>
      </c>
    </row>
    <row r="4204" spans="1:24" ht="15" customHeight="1" x14ac:dyDescent="0.25">
      <c r="A4204">
        <v>4302</v>
      </c>
      <c r="B4204">
        <v>36</v>
      </c>
      <c r="C4204" t="s">
        <v>27</v>
      </c>
      <c r="D4204" t="s">
        <v>38</v>
      </c>
      <c r="E4204" t="s">
        <v>18</v>
      </c>
      <c r="F4204" s="2">
        <v>0</v>
      </c>
      <c r="G4204" t="s">
        <v>82</v>
      </c>
      <c r="H4204" t="s">
        <v>31</v>
      </c>
      <c r="I4204" t="s">
        <v>32</v>
      </c>
      <c r="J4204" t="s">
        <v>75</v>
      </c>
      <c r="K4204">
        <v>5</v>
      </c>
      <c r="L4204" t="s">
        <v>23</v>
      </c>
      <c r="M4204" t="s">
        <v>24</v>
      </c>
      <c r="N4204" t="s">
        <v>34</v>
      </c>
      <c r="O4204">
        <v>0</v>
      </c>
      <c r="P4204" t="s">
        <v>53</v>
      </c>
      <c r="Q4204" t="s">
        <v>37</v>
      </c>
      <c r="R4204" s="1">
        <v>0.1</v>
      </c>
      <c r="S4204">
        <f t="shared" si="260"/>
        <v>0</v>
      </c>
      <c r="T4204">
        <f>IFERROR(VLOOKUP(A4204,Table1[[Customer ID]:[Discount Amount]], 6, FALSE),"Not Found")</f>
        <v>0</v>
      </c>
      <c r="U4204" t="str">
        <f t="shared" si="261"/>
        <v>Credit Card</v>
      </c>
      <c r="V4204" s="4" t="str">
        <f t="shared" si="262"/>
        <v>Normal</v>
      </c>
      <c r="W4204" s="4" t="str">
        <f t="shared" si="263"/>
        <v>Good</v>
      </c>
      <c r="X4204" s="4">
        <f>AVERAGE(Table1[Purchase Amount])</f>
        <v>129.48419400000012</v>
      </c>
    </row>
    <row r="4205" spans="1:24" ht="15" customHeight="1" x14ac:dyDescent="0.25">
      <c r="A4205">
        <v>4303</v>
      </c>
      <c r="B4205">
        <v>23</v>
      </c>
      <c r="C4205" t="s">
        <v>27</v>
      </c>
      <c r="D4205" t="s">
        <v>80</v>
      </c>
      <c r="E4205" t="s">
        <v>29</v>
      </c>
      <c r="F4205" s="2">
        <v>443.37</v>
      </c>
      <c r="G4205" t="s">
        <v>139</v>
      </c>
      <c r="H4205" t="s">
        <v>45</v>
      </c>
      <c r="I4205" t="s">
        <v>46</v>
      </c>
      <c r="J4205" t="s">
        <v>33</v>
      </c>
      <c r="K4205">
        <v>3</v>
      </c>
      <c r="L4205" t="s">
        <v>23</v>
      </c>
      <c r="M4205" t="s">
        <v>24</v>
      </c>
      <c r="N4205" t="s">
        <v>23</v>
      </c>
      <c r="O4205">
        <v>28</v>
      </c>
      <c r="P4205" t="s">
        <v>58</v>
      </c>
      <c r="Q4205" t="s">
        <v>37</v>
      </c>
      <c r="R4205" s="1">
        <v>0.1</v>
      </c>
      <c r="S4205">
        <f t="shared" si="260"/>
        <v>399.03300000000002</v>
      </c>
      <c r="T4205">
        <f>IFERROR(VLOOKUP(A4205,Table1[[Customer ID]:[Discount Amount]], 6, FALSE),"Not Found")</f>
        <v>443.37</v>
      </c>
      <c r="U4205" t="str">
        <f t="shared" si="261"/>
        <v>PayPal</v>
      </c>
      <c r="V4205" s="4" t="str">
        <f t="shared" si="262"/>
        <v>Normal</v>
      </c>
      <c r="W4205" s="4" t="str">
        <f t="shared" si="263"/>
        <v>Good</v>
      </c>
      <c r="X4205" s="4">
        <f>AVERAGE(Table1[Purchase Amount])</f>
        <v>129.48419400000012</v>
      </c>
    </row>
    <row r="4206" spans="1:24" ht="15" customHeight="1" x14ac:dyDescent="0.25">
      <c r="A4206">
        <v>4304</v>
      </c>
      <c r="B4206">
        <v>35</v>
      </c>
      <c r="C4206" t="s">
        <v>16</v>
      </c>
      <c r="D4206" t="s">
        <v>117</v>
      </c>
      <c r="E4206" t="s">
        <v>81</v>
      </c>
      <c r="F4206" s="2">
        <v>469.48</v>
      </c>
      <c r="G4206" t="s">
        <v>126</v>
      </c>
      <c r="H4206" t="s">
        <v>31</v>
      </c>
      <c r="I4206" t="s">
        <v>46</v>
      </c>
      <c r="J4206" t="s">
        <v>22</v>
      </c>
      <c r="K4206">
        <v>1</v>
      </c>
      <c r="L4206" t="s">
        <v>34</v>
      </c>
      <c r="M4206" t="s">
        <v>24</v>
      </c>
      <c r="N4206" t="s">
        <v>34</v>
      </c>
      <c r="O4206">
        <v>0</v>
      </c>
      <c r="P4206" t="s">
        <v>25</v>
      </c>
      <c r="Q4206" t="s">
        <v>42</v>
      </c>
      <c r="R4206" s="1">
        <v>0.1</v>
      </c>
      <c r="S4206">
        <f t="shared" si="260"/>
        <v>422.53200000000004</v>
      </c>
      <c r="T4206">
        <f>IFERROR(VLOOKUP(A4206,Table1[[Customer ID]:[Discount Amount]], 6, FALSE),"Not Found")</f>
        <v>469.48</v>
      </c>
      <c r="U4206" t="str">
        <f t="shared" si="261"/>
        <v>Cash</v>
      </c>
      <c r="V4206" s="4" t="str">
        <f t="shared" si="262"/>
        <v>Normal</v>
      </c>
      <c r="W4206" s="4" t="str">
        <f t="shared" si="263"/>
        <v>Poor</v>
      </c>
      <c r="X4206" s="4">
        <f>AVERAGE(Table1[Purchase Amount])</f>
        <v>129.48419400000012</v>
      </c>
    </row>
    <row r="4207" spans="1:24" ht="15" customHeight="1" x14ac:dyDescent="0.25">
      <c r="A4207">
        <v>4305</v>
      </c>
      <c r="B4207">
        <v>45</v>
      </c>
      <c r="C4207" t="s">
        <v>71</v>
      </c>
      <c r="D4207" t="s">
        <v>72</v>
      </c>
      <c r="E4207" t="s">
        <v>81</v>
      </c>
      <c r="F4207" s="2">
        <v>0</v>
      </c>
      <c r="G4207" t="s">
        <v>126</v>
      </c>
      <c r="H4207" t="s">
        <v>31</v>
      </c>
      <c r="I4207" t="s">
        <v>74</v>
      </c>
      <c r="J4207" t="s">
        <v>33</v>
      </c>
      <c r="K4207">
        <v>1</v>
      </c>
      <c r="L4207" t="s">
        <v>34</v>
      </c>
      <c r="M4207" t="s">
        <v>61</v>
      </c>
      <c r="N4207" t="s">
        <v>34</v>
      </c>
      <c r="O4207">
        <v>0</v>
      </c>
      <c r="P4207" t="s">
        <v>25</v>
      </c>
      <c r="Q4207" t="s">
        <v>42</v>
      </c>
      <c r="R4207" s="1">
        <v>0.1</v>
      </c>
      <c r="S4207">
        <f t="shared" si="260"/>
        <v>0</v>
      </c>
      <c r="T4207">
        <f>IFERROR(VLOOKUP(A4207,Table1[[Customer ID]:[Discount Amount]], 6, FALSE),"Not Found")</f>
        <v>0</v>
      </c>
      <c r="U4207" t="str">
        <f t="shared" si="261"/>
        <v>Cash</v>
      </c>
      <c r="V4207" s="4" t="str">
        <f t="shared" si="262"/>
        <v>Normal</v>
      </c>
      <c r="W4207" s="4" t="str">
        <f t="shared" si="263"/>
        <v>Poor</v>
      </c>
      <c r="X4207" s="4">
        <f>AVERAGE(Table1[Purchase Amount])</f>
        <v>129.48419400000012</v>
      </c>
    </row>
    <row r="4208" spans="1:24" ht="15" customHeight="1" x14ac:dyDescent="0.25">
      <c r="A4208">
        <v>4306</v>
      </c>
      <c r="B4208">
        <v>41</v>
      </c>
      <c r="C4208" t="s">
        <v>27</v>
      </c>
      <c r="D4208" t="s">
        <v>116</v>
      </c>
      <c r="E4208" t="s">
        <v>18</v>
      </c>
      <c r="F4208" s="2">
        <v>0</v>
      </c>
      <c r="G4208" t="s">
        <v>82</v>
      </c>
      <c r="H4208" t="s">
        <v>20</v>
      </c>
      <c r="I4208" t="s">
        <v>74</v>
      </c>
      <c r="J4208" t="s">
        <v>75</v>
      </c>
      <c r="K4208">
        <v>1</v>
      </c>
      <c r="L4208" t="s">
        <v>23</v>
      </c>
      <c r="M4208" t="s">
        <v>24</v>
      </c>
      <c r="N4208" t="s">
        <v>34</v>
      </c>
      <c r="O4208">
        <v>11</v>
      </c>
      <c r="P4208" t="s">
        <v>58</v>
      </c>
      <c r="Q4208" t="s">
        <v>42</v>
      </c>
      <c r="R4208" s="1">
        <v>0.1</v>
      </c>
      <c r="S4208">
        <f t="shared" si="260"/>
        <v>0</v>
      </c>
      <c r="T4208">
        <f>IFERROR(VLOOKUP(A4208,Table1[[Customer ID]:[Discount Amount]], 6, FALSE),"Not Found")</f>
        <v>0</v>
      </c>
      <c r="U4208" t="str">
        <f t="shared" si="261"/>
        <v>PayPal</v>
      </c>
      <c r="V4208" s="4" t="str">
        <f t="shared" si="262"/>
        <v>Normal</v>
      </c>
      <c r="W4208" s="4" t="str">
        <f t="shared" si="263"/>
        <v>Poor</v>
      </c>
      <c r="X4208" s="4">
        <f>AVERAGE(Table1[Purchase Amount])</f>
        <v>129.48419400000012</v>
      </c>
    </row>
    <row r="4209" spans="1:24" ht="15" customHeight="1" x14ac:dyDescent="0.25">
      <c r="A4209">
        <v>4307</v>
      </c>
      <c r="B4209">
        <v>57</v>
      </c>
      <c r="C4209" t="s">
        <v>27</v>
      </c>
      <c r="D4209" t="s">
        <v>38</v>
      </c>
      <c r="E4209" t="s">
        <v>18</v>
      </c>
      <c r="F4209" s="2">
        <v>0</v>
      </c>
      <c r="G4209" t="s">
        <v>82</v>
      </c>
      <c r="H4209" t="s">
        <v>31</v>
      </c>
      <c r="I4209" t="s">
        <v>46</v>
      </c>
      <c r="J4209" t="s">
        <v>57</v>
      </c>
      <c r="K4209">
        <v>1</v>
      </c>
      <c r="L4209" t="s">
        <v>34</v>
      </c>
      <c r="M4209" t="s">
        <v>24</v>
      </c>
      <c r="N4209" t="s">
        <v>23</v>
      </c>
      <c r="O4209">
        <v>36</v>
      </c>
      <c r="P4209" t="s">
        <v>58</v>
      </c>
      <c r="Q4209" t="s">
        <v>26</v>
      </c>
      <c r="R4209" s="1">
        <v>0.1</v>
      </c>
      <c r="S4209">
        <f t="shared" si="260"/>
        <v>0</v>
      </c>
      <c r="T4209">
        <f>IFERROR(VLOOKUP(A4209,Table1[[Customer ID]:[Discount Amount]], 6, FALSE),"Not Found")</f>
        <v>0</v>
      </c>
      <c r="U4209" t="str">
        <f t="shared" si="261"/>
        <v>PayPal</v>
      </c>
      <c r="V4209" s="4" t="str">
        <f t="shared" si="262"/>
        <v>Normal</v>
      </c>
      <c r="W4209" s="4" t="str">
        <f t="shared" si="263"/>
        <v>Poor</v>
      </c>
      <c r="X4209" s="4">
        <f>AVERAGE(Table1[Purchase Amount])</f>
        <v>129.48419400000012</v>
      </c>
    </row>
    <row r="4210" spans="1:24" ht="15" customHeight="1" x14ac:dyDescent="0.25">
      <c r="A4210">
        <v>4308</v>
      </c>
      <c r="B4210">
        <v>69</v>
      </c>
      <c r="C4210" t="s">
        <v>16</v>
      </c>
      <c r="D4210" t="s">
        <v>117</v>
      </c>
      <c r="E4210" t="s">
        <v>81</v>
      </c>
      <c r="F4210" s="2">
        <v>0</v>
      </c>
      <c r="G4210" t="s">
        <v>126</v>
      </c>
      <c r="H4210" t="s">
        <v>31</v>
      </c>
      <c r="I4210" t="s">
        <v>32</v>
      </c>
      <c r="J4210" t="s">
        <v>22</v>
      </c>
      <c r="K4210">
        <v>1</v>
      </c>
      <c r="L4210" t="s">
        <v>23</v>
      </c>
      <c r="M4210" t="s">
        <v>61</v>
      </c>
      <c r="N4210" t="s">
        <v>34</v>
      </c>
      <c r="O4210">
        <v>0</v>
      </c>
      <c r="P4210" t="s">
        <v>58</v>
      </c>
      <c r="Q4210" t="s">
        <v>26</v>
      </c>
      <c r="R4210" s="1">
        <v>0.1</v>
      </c>
      <c r="S4210">
        <f t="shared" si="260"/>
        <v>0</v>
      </c>
      <c r="T4210">
        <f>IFERROR(VLOOKUP(A4210,Table1[[Customer ID]:[Discount Amount]], 6, FALSE),"Not Found")</f>
        <v>0</v>
      </c>
      <c r="U4210" t="str">
        <f t="shared" si="261"/>
        <v>PayPal</v>
      </c>
      <c r="V4210" s="4" t="str">
        <f t="shared" si="262"/>
        <v>Normal</v>
      </c>
      <c r="W4210" s="4" t="str">
        <f t="shared" si="263"/>
        <v>Poor</v>
      </c>
      <c r="X4210" s="4">
        <f>AVERAGE(Table1[Purchase Amount])</f>
        <v>129.48419400000012</v>
      </c>
    </row>
    <row r="4211" spans="1:24" ht="15" customHeight="1" x14ac:dyDescent="0.25">
      <c r="A4211">
        <v>4309</v>
      </c>
      <c r="B4211">
        <v>24</v>
      </c>
      <c r="C4211" t="s">
        <v>16</v>
      </c>
      <c r="D4211" t="s">
        <v>112</v>
      </c>
      <c r="E4211" t="s">
        <v>29</v>
      </c>
      <c r="F4211" s="2">
        <v>0</v>
      </c>
      <c r="G4211" t="s">
        <v>139</v>
      </c>
      <c r="H4211" t="s">
        <v>55</v>
      </c>
      <c r="I4211" t="s">
        <v>46</v>
      </c>
      <c r="J4211" t="s">
        <v>22</v>
      </c>
      <c r="K4211">
        <v>1</v>
      </c>
      <c r="L4211" t="s">
        <v>23</v>
      </c>
      <c r="M4211" t="s">
        <v>61</v>
      </c>
      <c r="N4211" t="s">
        <v>34</v>
      </c>
      <c r="O4211">
        <v>0</v>
      </c>
      <c r="P4211" t="s">
        <v>25</v>
      </c>
      <c r="Q4211" t="s">
        <v>42</v>
      </c>
      <c r="R4211" s="1">
        <v>0.1</v>
      </c>
      <c r="S4211">
        <f t="shared" si="260"/>
        <v>0</v>
      </c>
      <c r="T4211">
        <f>IFERROR(VLOOKUP(A4211,Table1[[Customer ID]:[Discount Amount]], 6, FALSE),"Not Found")</f>
        <v>0</v>
      </c>
      <c r="U4211" t="str">
        <f t="shared" si="261"/>
        <v>Cash</v>
      </c>
      <c r="V4211" s="4" t="str">
        <f t="shared" si="262"/>
        <v>Normal</v>
      </c>
      <c r="W4211" s="4" t="str">
        <f t="shared" si="263"/>
        <v>Poor</v>
      </c>
      <c r="X4211" s="4">
        <f>AVERAGE(Table1[Purchase Amount])</f>
        <v>129.48419400000012</v>
      </c>
    </row>
    <row r="4212" spans="1:24" ht="15" customHeight="1" x14ac:dyDescent="0.25">
      <c r="A4212">
        <v>4310</v>
      </c>
      <c r="B4212">
        <v>53</v>
      </c>
      <c r="C4212" t="s">
        <v>16</v>
      </c>
      <c r="D4212" t="s">
        <v>72</v>
      </c>
      <c r="E4212" t="s">
        <v>29</v>
      </c>
      <c r="F4212" s="2">
        <v>0</v>
      </c>
      <c r="G4212" t="s">
        <v>82</v>
      </c>
      <c r="H4212" t="s">
        <v>45</v>
      </c>
      <c r="I4212" t="s">
        <v>32</v>
      </c>
      <c r="J4212" t="s">
        <v>22</v>
      </c>
      <c r="K4212">
        <v>5</v>
      </c>
      <c r="L4212" t="s">
        <v>34</v>
      </c>
      <c r="M4212" t="s">
        <v>61</v>
      </c>
      <c r="N4212" t="s">
        <v>23</v>
      </c>
      <c r="O4212">
        <v>0</v>
      </c>
      <c r="P4212" t="s">
        <v>25</v>
      </c>
      <c r="Q4212" t="s">
        <v>42</v>
      </c>
      <c r="R4212" s="1">
        <v>0.1</v>
      </c>
      <c r="S4212">
        <f t="shared" si="260"/>
        <v>0</v>
      </c>
      <c r="T4212">
        <f>IFERROR(VLOOKUP(A4212,Table1[[Customer ID]:[Discount Amount]], 6, FALSE),"Not Found")</f>
        <v>0</v>
      </c>
      <c r="U4212" t="str">
        <f t="shared" si="261"/>
        <v>Cash</v>
      </c>
      <c r="V4212" s="4" t="str">
        <f t="shared" si="262"/>
        <v>Normal</v>
      </c>
      <c r="W4212" s="4" t="str">
        <f t="shared" si="263"/>
        <v>Good</v>
      </c>
      <c r="X4212" s="4">
        <f>AVERAGE(Table1[Purchase Amount])</f>
        <v>129.48419400000012</v>
      </c>
    </row>
    <row r="4213" spans="1:24" ht="15" customHeight="1" x14ac:dyDescent="0.25">
      <c r="A4213">
        <v>4311</v>
      </c>
      <c r="B4213">
        <v>19</v>
      </c>
      <c r="C4213" t="s">
        <v>16</v>
      </c>
      <c r="D4213" t="s">
        <v>112</v>
      </c>
      <c r="E4213" t="s">
        <v>18</v>
      </c>
      <c r="F4213" s="2">
        <v>873.21</v>
      </c>
      <c r="G4213" t="s">
        <v>139</v>
      </c>
      <c r="H4213" t="s">
        <v>55</v>
      </c>
      <c r="I4213" t="s">
        <v>46</v>
      </c>
      <c r="J4213" t="s">
        <v>22</v>
      </c>
      <c r="K4213">
        <v>5</v>
      </c>
      <c r="L4213" t="s">
        <v>34</v>
      </c>
      <c r="M4213" t="s">
        <v>61</v>
      </c>
      <c r="N4213" t="s">
        <v>23</v>
      </c>
      <c r="O4213">
        <v>33</v>
      </c>
      <c r="P4213" t="s">
        <v>53</v>
      </c>
      <c r="Q4213" t="s">
        <v>42</v>
      </c>
      <c r="R4213" s="1">
        <v>0.1</v>
      </c>
      <c r="S4213">
        <f t="shared" si="260"/>
        <v>785.88900000000001</v>
      </c>
      <c r="T4213">
        <f>IFERROR(VLOOKUP(A4213,Table1[[Customer ID]:[Discount Amount]], 6, FALSE),"Not Found")</f>
        <v>873.21</v>
      </c>
      <c r="U4213" t="str">
        <f t="shared" si="261"/>
        <v>Credit Card</v>
      </c>
      <c r="V4213" s="4" t="str">
        <f t="shared" si="262"/>
        <v>Normal</v>
      </c>
      <c r="W4213" s="4" t="str">
        <f t="shared" si="263"/>
        <v>Good</v>
      </c>
      <c r="X4213" s="4">
        <f>AVERAGE(Table1[Purchase Amount])</f>
        <v>129.48419400000012</v>
      </c>
    </row>
    <row r="4214" spans="1:24" ht="15" customHeight="1" x14ac:dyDescent="0.25">
      <c r="A4214">
        <v>4312</v>
      </c>
      <c r="B4214">
        <v>35</v>
      </c>
      <c r="C4214" t="s">
        <v>71</v>
      </c>
      <c r="D4214" t="s">
        <v>38</v>
      </c>
      <c r="E4214" t="s">
        <v>81</v>
      </c>
      <c r="F4214" s="2">
        <v>436.94</v>
      </c>
      <c r="G4214" t="s">
        <v>82</v>
      </c>
      <c r="H4214" t="s">
        <v>31</v>
      </c>
      <c r="I4214" t="s">
        <v>46</v>
      </c>
      <c r="J4214" t="s">
        <v>57</v>
      </c>
      <c r="K4214">
        <v>1</v>
      </c>
      <c r="L4214" t="s">
        <v>34</v>
      </c>
      <c r="M4214" t="s">
        <v>24</v>
      </c>
      <c r="N4214" t="s">
        <v>23</v>
      </c>
      <c r="O4214">
        <v>9</v>
      </c>
      <c r="P4214" t="s">
        <v>25</v>
      </c>
      <c r="Q4214" t="s">
        <v>26</v>
      </c>
      <c r="R4214" s="1">
        <v>0.1</v>
      </c>
      <c r="S4214">
        <f t="shared" si="260"/>
        <v>393.24599999999998</v>
      </c>
      <c r="T4214">
        <f>IFERROR(VLOOKUP(A4214,Table1[[Customer ID]:[Discount Amount]], 6, FALSE),"Not Found")</f>
        <v>436.94</v>
      </c>
      <c r="U4214" t="str">
        <f t="shared" si="261"/>
        <v>Cash</v>
      </c>
      <c r="V4214" s="4" t="str">
        <f t="shared" si="262"/>
        <v>Normal</v>
      </c>
      <c r="W4214" s="4" t="str">
        <f t="shared" si="263"/>
        <v>Poor</v>
      </c>
      <c r="X4214" s="4">
        <f>AVERAGE(Table1[Purchase Amount])</f>
        <v>129.48419400000012</v>
      </c>
    </row>
    <row r="4215" spans="1:24" ht="15" customHeight="1" x14ac:dyDescent="0.25">
      <c r="A4215">
        <v>4313</v>
      </c>
      <c r="B4215">
        <v>18</v>
      </c>
      <c r="C4215" t="s">
        <v>16</v>
      </c>
      <c r="D4215" t="s">
        <v>38</v>
      </c>
      <c r="E4215" t="s">
        <v>81</v>
      </c>
      <c r="F4215" s="2">
        <v>0</v>
      </c>
      <c r="G4215" t="s">
        <v>73</v>
      </c>
      <c r="H4215" t="s">
        <v>31</v>
      </c>
      <c r="I4215" t="s">
        <v>93</v>
      </c>
      <c r="J4215" t="s">
        <v>57</v>
      </c>
      <c r="K4215">
        <v>1</v>
      </c>
      <c r="L4215" t="s">
        <v>23</v>
      </c>
      <c r="M4215" t="s">
        <v>61</v>
      </c>
      <c r="N4215" t="s">
        <v>23</v>
      </c>
      <c r="O4215">
        <v>0</v>
      </c>
      <c r="P4215" t="s">
        <v>58</v>
      </c>
      <c r="Q4215" t="s">
        <v>26</v>
      </c>
      <c r="R4215" s="1">
        <v>0.1</v>
      </c>
      <c r="S4215">
        <f t="shared" si="260"/>
        <v>0</v>
      </c>
      <c r="T4215">
        <f>IFERROR(VLOOKUP(A4215,Table1[[Customer ID]:[Discount Amount]], 6, FALSE),"Not Found")</f>
        <v>0</v>
      </c>
      <c r="U4215" t="str">
        <f t="shared" si="261"/>
        <v>PayPal</v>
      </c>
      <c r="V4215" s="4" t="str">
        <f t="shared" si="262"/>
        <v>Normal</v>
      </c>
      <c r="W4215" s="4" t="str">
        <f t="shared" si="263"/>
        <v>Poor</v>
      </c>
      <c r="X4215" s="4">
        <f>AVERAGE(Table1[Purchase Amount])</f>
        <v>129.48419400000012</v>
      </c>
    </row>
    <row r="4216" spans="1:24" ht="15" customHeight="1" x14ac:dyDescent="0.25">
      <c r="A4216">
        <v>4314</v>
      </c>
      <c r="B4216">
        <v>42</v>
      </c>
      <c r="C4216" t="s">
        <v>16</v>
      </c>
      <c r="D4216" t="s">
        <v>116</v>
      </c>
      <c r="E4216" t="s">
        <v>81</v>
      </c>
      <c r="F4216" s="2">
        <v>866.03</v>
      </c>
      <c r="G4216" t="s">
        <v>82</v>
      </c>
      <c r="H4216" t="s">
        <v>31</v>
      </c>
      <c r="I4216" t="s">
        <v>40</v>
      </c>
      <c r="J4216" t="s">
        <v>75</v>
      </c>
      <c r="K4216">
        <v>3</v>
      </c>
      <c r="L4216" t="s">
        <v>34</v>
      </c>
      <c r="M4216" t="s">
        <v>61</v>
      </c>
      <c r="N4216" t="s">
        <v>23</v>
      </c>
      <c r="O4216">
        <v>0</v>
      </c>
      <c r="P4216" t="s">
        <v>36</v>
      </c>
      <c r="Q4216" t="s">
        <v>26</v>
      </c>
      <c r="R4216" s="1">
        <v>0.1</v>
      </c>
      <c r="S4216">
        <f t="shared" si="260"/>
        <v>779.42699999999991</v>
      </c>
      <c r="T4216">
        <f>IFERROR(VLOOKUP(A4216,Table1[[Customer ID]:[Discount Amount]], 6, FALSE),"Not Found")</f>
        <v>866.03</v>
      </c>
      <c r="U4216" t="str">
        <f t="shared" si="261"/>
        <v>Debit Card</v>
      </c>
      <c r="V4216" s="4" t="str">
        <f t="shared" si="262"/>
        <v>Normal</v>
      </c>
      <c r="W4216" s="4" t="str">
        <f t="shared" si="263"/>
        <v>Good</v>
      </c>
      <c r="X4216" s="4">
        <f>AVERAGE(Table1[Purchase Amount])</f>
        <v>129.48419400000012</v>
      </c>
    </row>
    <row r="4217" spans="1:24" ht="15" customHeight="1" x14ac:dyDescent="0.25">
      <c r="A4217">
        <v>4315</v>
      </c>
      <c r="B4217">
        <v>32</v>
      </c>
      <c r="C4217" t="s">
        <v>16</v>
      </c>
      <c r="D4217" t="s">
        <v>72</v>
      </c>
      <c r="E4217" t="s">
        <v>29</v>
      </c>
      <c r="F4217" s="2">
        <v>1310.1300000000001</v>
      </c>
      <c r="G4217" t="s">
        <v>139</v>
      </c>
      <c r="H4217" t="s">
        <v>45</v>
      </c>
      <c r="I4217" t="s">
        <v>46</v>
      </c>
      <c r="J4217" t="s">
        <v>57</v>
      </c>
      <c r="K4217">
        <v>1</v>
      </c>
      <c r="L4217" t="s">
        <v>34</v>
      </c>
      <c r="M4217" t="s">
        <v>61</v>
      </c>
      <c r="N4217" t="s">
        <v>34</v>
      </c>
      <c r="O4217">
        <v>37</v>
      </c>
      <c r="P4217" t="s">
        <v>53</v>
      </c>
      <c r="Q4217" t="s">
        <v>37</v>
      </c>
      <c r="R4217" s="1">
        <v>0.1</v>
      </c>
      <c r="S4217">
        <f t="shared" si="260"/>
        <v>1179.1170000000002</v>
      </c>
      <c r="T4217">
        <f>IFERROR(VLOOKUP(A4217,Table1[[Customer ID]:[Discount Amount]], 6, FALSE),"Not Found")</f>
        <v>1310.1300000000001</v>
      </c>
      <c r="U4217" t="str">
        <f t="shared" si="261"/>
        <v>Credit Card</v>
      </c>
      <c r="V4217" s="4" t="str">
        <f t="shared" si="262"/>
        <v>Normal</v>
      </c>
      <c r="W4217" s="4" t="str">
        <f t="shared" si="263"/>
        <v>Poor</v>
      </c>
      <c r="X4217" s="4">
        <f>AVERAGE(Table1[Purchase Amount])</f>
        <v>129.48419400000012</v>
      </c>
    </row>
    <row r="4218" spans="1:24" ht="15" customHeight="1" x14ac:dyDescent="0.25">
      <c r="A4218">
        <v>4316</v>
      </c>
      <c r="B4218">
        <v>23</v>
      </c>
      <c r="C4218" t="s">
        <v>16</v>
      </c>
      <c r="D4218" t="s">
        <v>117</v>
      </c>
      <c r="E4218" t="s">
        <v>81</v>
      </c>
      <c r="F4218" s="2">
        <v>0</v>
      </c>
      <c r="G4218" t="s">
        <v>101</v>
      </c>
      <c r="H4218" t="s">
        <v>31</v>
      </c>
      <c r="I4218" t="s">
        <v>93</v>
      </c>
      <c r="J4218" t="s">
        <v>75</v>
      </c>
      <c r="K4218">
        <v>1</v>
      </c>
      <c r="L4218" t="s">
        <v>23</v>
      </c>
      <c r="M4218" t="s">
        <v>24</v>
      </c>
      <c r="N4218" t="s">
        <v>23</v>
      </c>
      <c r="O4218">
        <v>0</v>
      </c>
      <c r="P4218" t="s">
        <v>53</v>
      </c>
      <c r="Q4218" t="s">
        <v>26</v>
      </c>
      <c r="R4218" s="1">
        <v>0.1</v>
      </c>
      <c r="S4218">
        <f t="shared" si="260"/>
        <v>0</v>
      </c>
      <c r="T4218">
        <f>IFERROR(VLOOKUP(A4218,Table1[[Customer ID]:[Discount Amount]], 6, FALSE),"Not Found")</f>
        <v>0</v>
      </c>
      <c r="U4218" t="str">
        <f t="shared" si="261"/>
        <v>Credit Card</v>
      </c>
      <c r="V4218" s="4" t="str">
        <f t="shared" si="262"/>
        <v>Normal</v>
      </c>
      <c r="W4218" s="4" t="str">
        <f t="shared" si="263"/>
        <v>Poor</v>
      </c>
      <c r="X4218" s="4">
        <f>AVERAGE(Table1[Purchase Amount])</f>
        <v>129.48419400000012</v>
      </c>
    </row>
    <row r="4219" spans="1:24" ht="15" customHeight="1" x14ac:dyDescent="0.25">
      <c r="A4219">
        <v>4317</v>
      </c>
      <c r="B4219">
        <v>57</v>
      </c>
      <c r="C4219" t="s">
        <v>16</v>
      </c>
      <c r="D4219" t="s">
        <v>72</v>
      </c>
      <c r="E4219" t="s">
        <v>18</v>
      </c>
      <c r="F4219" s="2">
        <v>0</v>
      </c>
      <c r="G4219" t="s">
        <v>126</v>
      </c>
      <c r="H4219" t="s">
        <v>45</v>
      </c>
      <c r="I4219" t="s">
        <v>74</v>
      </c>
      <c r="J4219" t="s">
        <v>22</v>
      </c>
      <c r="K4219">
        <v>1</v>
      </c>
      <c r="L4219" t="s">
        <v>23</v>
      </c>
      <c r="M4219" t="s">
        <v>24</v>
      </c>
      <c r="N4219" t="s">
        <v>34</v>
      </c>
      <c r="O4219">
        <v>13</v>
      </c>
      <c r="P4219" t="s">
        <v>36</v>
      </c>
      <c r="Q4219" t="s">
        <v>42</v>
      </c>
      <c r="R4219" s="1">
        <v>0.1</v>
      </c>
      <c r="S4219">
        <f t="shared" si="260"/>
        <v>0</v>
      </c>
      <c r="T4219">
        <f>IFERROR(VLOOKUP(A4219,Table1[[Customer ID]:[Discount Amount]], 6, FALSE),"Not Found")</f>
        <v>0</v>
      </c>
      <c r="U4219" t="str">
        <f t="shared" si="261"/>
        <v>Debit Card</v>
      </c>
      <c r="V4219" s="4" t="str">
        <f t="shared" si="262"/>
        <v>Normal</v>
      </c>
      <c r="W4219" s="4" t="str">
        <f t="shared" si="263"/>
        <v>Poor</v>
      </c>
      <c r="X4219" s="4">
        <f>AVERAGE(Table1[Purchase Amount])</f>
        <v>129.48419400000012</v>
      </c>
    </row>
    <row r="4220" spans="1:24" ht="15" customHeight="1" x14ac:dyDescent="0.25">
      <c r="A4220">
        <v>4318</v>
      </c>
      <c r="B4220">
        <v>45</v>
      </c>
      <c r="C4220" t="s">
        <v>16</v>
      </c>
      <c r="D4220" t="s">
        <v>116</v>
      </c>
      <c r="E4220" t="s">
        <v>81</v>
      </c>
      <c r="F4220" s="2">
        <v>335.78</v>
      </c>
      <c r="G4220" t="s">
        <v>101</v>
      </c>
      <c r="H4220" t="s">
        <v>31</v>
      </c>
      <c r="I4220" t="s">
        <v>32</v>
      </c>
      <c r="J4220" t="s">
        <v>33</v>
      </c>
      <c r="K4220">
        <v>2</v>
      </c>
      <c r="L4220" t="s">
        <v>23</v>
      </c>
      <c r="M4220" t="s">
        <v>24</v>
      </c>
      <c r="N4220" t="s">
        <v>34</v>
      </c>
      <c r="O4220">
        <v>6</v>
      </c>
      <c r="P4220" t="s">
        <v>36</v>
      </c>
      <c r="Q4220" t="s">
        <v>42</v>
      </c>
      <c r="R4220" s="1">
        <v>0.1</v>
      </c>
      <c r="S4220">
        <f t="shared" si="260"/>
        <v>302.202</v>
      </c>
      <c r="T4220">
        <f>IFERROR(VLOOKUP(A4220,Table1[[Customer ID]:[Discount Amount]], 6, FALSE),"Not Found")</f>
        <v>335.78</v>
      </c>
      <c r="U4220" t="str">
        <f t="shared" si="261"/>
        <v>Debit Card</v>
      </c>
      <c r="V4220" s="4" t="str">
        <f t="shared" si="262"/>
        <v>Normal</v>
      </c>
      <c r="W4220" s="4" t="str">
        <f t="shared" si="263"/>
        <v>Poor</v>
      </c>
      <c r="X4220" s="4">
        <f>AVERAGE(Table1[Purchase Amount])</f>
        <v>129.48419400000012</v>
      </c>
    </row>
    <row r="4221" spans="1:24" ht="15" customHeight="1" x14ac:dyDescent="0.25">
      <c r="A4221">
        <v>4319</v>
      </c>
      <c r="B4221">
        <v>47</v>
      </c>
      <c r="C4221" t="s">
        <v>71</v>
      </c>
      <c r="D4221" t="s">
        <v>116</v>
      </c>
      <c r="E4221" t="s">
        <v>81</v>
      </c>
      <c r="F4221" s="2">
        <v>0</v>
      </c>
      <c r="G4221" t="s">
        <v>126</v>
      </c>
      <c r="H4221" t="s">
        <v>31</v>
      </c>
      <c r="I4221" t="s">
        <v>93</v>
      </c>
      <c r="J4221" t="s">
        <v>57</v>
      </c>
      <c r="K4221">
        <v>1</v>
      </c>
      <c r="L4221" t="s">
        <v>34</v>
      </c>
      <c r="M4221" t="s">
        <v>61</v>
      </c>
      <c r="N4221" t="s">
        <v>34</v>
      </c>
      <c r="O4221">
        <v>28</v>
      </c>
      <c r="P4221" t="s">
        <v>58</v>
      </c>
      <c r="Q4221" t="s">
        <v>42</v>
      </c>
      <c r="R4221" s="1">
        <v>0.1</v>
      </c>
      <c r="S4221">
        <f t="shared" si="260"/>
        <v>0</v>
      </c>
      <c r="T4221">
        <f>IFERROR(VLOOKUP(A4221,Table1[[Customer ID]:[Discount Amount]], 6, FALSE),"Not Found")</f>
        <v>0</v>
      </c>
      <c r="U4221" t="str">
        <f t="shared" si="261"/>
        <v>PayPal</v>
      </c>
      <c r="V4221" s="4" t="str">
        <f t="shared" si="262"/>
        <v>Normal</v>
      </c>
      <c r="W4221" s="4" t="str">
        <f t="shared" si="263"/>
        <v>Poor</v>
      </c>
      <c r="X4221" s="4">
        <f>AVERAGE(Table1[Purchase Amount])</f>
        <v>129.48419400000012</v>
      </c>
    </row>
    <row r="4222" spans="1:24" ht="15" customHeight="1" x14ac:dyDescent="0.25">
      <c r="A4222">
        <v>4320</v>
      </c>
      <c r="B4222">
        <v>35</v>
      </c>
      <c r="C4222" t="s">
        <v>27</v>
      </c>
      <c r="D4222" t="s">
        <v>72</v>
      </c>
      <c r="E4222" t="s">
        <v>29</v>
      </c>
      <c r="F4222" s="2">
        <v>0</v>
      </c>
      <c r="G4222" t="s">
        <v>139</v>
      </c>
      <c r="H4222" t="s">
        <v>31</v>
      </c>
      <c r="I4222" t="s">
        <v>93</v>
      </c>
      <c r="J4222" t="s">
        <v>33</v>
      </c>
      <c r="K4222">
        <v>1</v>
      </c>
      <c r="L4222" t="s">
        <v>23</v>
      </c>
      <c r="M4222" t="s">
        <v>24</v>
      </c>
      <c r="N4222" t="s">
        <v>34</v>
      </c>
      <c r="O4222">
        <v>0</v>
      </c>
      <c r="P4222" t="s">
        <v>58</v>
      </c>
      <c r="Q4222" t="s">
        <v>37</v>
      </c>
      <c r="R4222" s="1">
        <v>0.1</v>
      </c>
      <c r="S4222">
        <f t="shared" si="260"/>
        <v>0</v>
      </c>
      <c r="T4222">
        <f>IFERROR(VLOOKUP(A4222,Table1[[Customer ID]:[Discount Amount]], 6, FALSE),"Not Found")</f>
        <v>0</v>
      </c>
      <c r="U4222" t="str">
        <f t="shared" si="261"/>
        <v>PayPal</v>
      </c>
      <c r="V4222" s="4" t="str">
        <f t="shared" si="262"/>
        <v>Normal</v>
      </c>
      <c r="W4222" s="4" t="str">
        <f t="shared" si="263"/>
        <v>Poor</v>
      </c>
      <c r="X4222" s="4">
        <f>AVERAGE(Table1[Purchase Amount])</f>
        <v>129.48419400000012</v>
      </c>
    </row>
    <row r="4223" spans="1:24" ht="15" customHeight="1" x14ac:dyDescent="0.25">
      <c r="A4223">
        <v>4321</v>
      </c>
      <c r="B4223">
        <v>70</v>
      </c>
      <c r="C4223" t="s">
        <v>16</v>
      </c>
      <c r="D4223" t="s">
        <v>116</v>
      </c>
      <c r="E4223" t="s">
        <v>81</v>
      </c>
      <c r="F4223" s="2">
        <v>384.3</v>
      </c>
      <c r="G4223" t="s">
        <v>139</v>
      </c>
      <c r="H4223" t="s">
        <v>31</v>
      </c>
      <c r="I4223" t="s">
        <v>74</v>
      </c>
      <c r="J4223" t="s">
        <v>22</v>
      </c>
      <c r="K4223">
        <v>5</v>
      </c>
      <c r="L4223" t="s">
        <v>34</v>
      </c>
      <c r="M4223" t="s">
        <v>24</v>
      </c>
      <c r="N4223" t="s">
        <v>34</v>
      </c>
      <c r="O4223">
        <v>8</v>
      </c>
      <c r="P4223" t="s">
        <v>36</v>
      </c>
      <c r="Q4223" t="s">
        <v>42</v>
      </c>
      <c r="R4223" s="1">
        <v>0.1</v>
      </c>
      <c r="S4223">
        <f t="shared" si="260"/>
        <v>345.87</v>
      </c>
      <c r="T4223">
        <f>IFERROR(VLOOKUP(A4223,Table1[[Customer ID]:[Discount Amount]], 6, FALSE),"Not Found")</f>
        <v>384.3</v>
      </c>
      <c r="U4223" t="str">
        <f t="shared" si="261"/>
        <v>Debit Card</v>
      </c>
      <c r="V4223" s="4" t="str">
        <f t="shared" si="262"/>
        <v>Normal</v>
      </c>
      <c r="W4223" s="4" t="str">
        <f t="shared" si="263"/>
        <v>Good</v>
      </c>
      <c r="X4223" s="4">
        <f>AVERAGE(Table1[Purchase Amount])</f>
        <v>129.48419400000012</v>
      </c>
    </row>
    <row r="4224" spans="1:24" ht="15" customHeight="1" x14ac:dyDescent="0.25">
      <c r="A4224">
        <v>4322</v>
      </c>
      <c r="B4224">
        <v>54</v>
      </c>
      <c r="C4224" t="s">
        <v>71</v>
      </c>
      <c r="D4224" t="s">
        <v>38</v>
      </c>
      <c r="E4224" t="s">
        <v>81</v>
      </c>
      <c r="F4224" s="2">
        <v>0</v>
      </c>
      <c r="G4224" t="s">
        <v>82</v>
      </c>
      <c r="H4224" t="s">
        <v>31</v>
      </c>
      <c r="I4224" t="s">
        <v>93</v>
      </c>
      <c r="J4224" t="s">
        <v>33</v>
      </c>
      <c r="K4224">
        <v>5</v>
      </c>
      <c r="L4224" t="s">
        <v>23</v>
      </c>
      <c r="M4224" t="s">
        <v>24</v>
      </c>
      <c r="N4224" t="s">
        <v>34</v>
      </c>
      <c r="O4224">
        <v>43</v>
      </c>
      <c r="P4224" t="s">
        <v>36</v>
      </c>
      <c r="Q4224" t="s">
        <v>26</v>
      </c>
      <c r="R4224" s="1">
        <v>0.1</v>
      </c>
      <c r="S4224">
        <f t="shared" si="260"/>
        <v>0</v>
      </c>
      <c r="T4224">
        <f>IFERROR(VLOOKUP(A4224,Table1[[Customer ID]:[Discount Amount]], 6, FALSE),"Not Found")</f>
        <v>0</v>
      </c>
      <c r="U4224" t="str">
        <f t="shared" si="261"/>
        <v>Debit Card</v>
      </c>
      <c r="V4224" s="4" t="str">
        <f t="shared" si="262"/>
        <v>Normal</v>
      </c>
      <c r="W4224" s="4" t="str">
        <f t="shared" si="263"/>
        <v>Good</v>
      </c>
      <c r="X4224" s="4">
        <f>AVERAGE(Table1[Purchase Amount])</f>
        <v>129.48419400000012</v>
      </c>
    </row>
    <row r="4225" spans="1:24" ht="15" customHeight="1" x14ac:dyDescent="0.25">
      <c r="A4225">
        <v>4323</v>
      </c>
      <c r="B4225">
        <v>31</v>
      </c>
      <c r="C4225" t="s">
        <v>27</v>
      </c>
      <c r="D4225" t="s">
        <v>95</v>
      </c>
      <c r="E4225" t="s">
        <v>18</v>
      </c>
      <c r="F4225" s="2">
        <v>0</v>
      </c>
      <c r="G4225" t="s">
        <v>73</v>
      </c>
      <c r="H4225" t="s">
        <v>45</v>
      </c>
      <c r="I4225" t="s">
        <v>32</v>
      </c>
      <c r="J4225" t="s">
        <v>22</v>
      </c>
      <c r="K4225">
        <v>4</v>
      </c>
      <c r="L4225" t="s">
        <v>23</v>
      </c>
      <c r="M4225" t="s">
        <v>61</v>
      </c>
      <c r="N4225" t="s">
        <v>23</v>
      </c>
      <c r="O4225">
        <v>0</v>
      </c>
      <c r="P4225" t="s">
        <v>36</v>
      </c>
      <c r="Q4225" t="s">
        <v>26</v>
      </c>
      <c r="R4225" s="1">
        <v>0.1</v>
      </c>
      <c r="S4225">
        <f t="shared" si="260"/>
        <v>0</v>
      </c>
      <c r="T4225">
        <f>IFERROR(VLOOKUP(A4225,Table1[[Customer ID]:[Discount Amount]], 6, FALSE),"Not Found")</f>
        <v>0</v>
      </c>
      <c r="U4225" t="str">
        <f t="shared" si="261"/>
        <v>Debit Card</v>
      </c>
      <c r="V4225" s="4" t="str">
        <f t="shared" si="262"/>
        <v>Normal</v>
      </c>
      <c r="W4225" s="4" t="str">
        <f t="shared" si="263"/>
        <v>Good</v>
      </c>
      <c r="X4225" s="4">
        <f>AVERAGE(Table1[Purchase Amount])</f>
        <v>129.48419400000012</v>
      </c>
    </row>
    <row r="4226" spans="1:24" ht="15" customHeight="1" x14ac:dyDescent="0.25">
      <c r="A4226">
        <v>4324</v>
      </c>
      <c r="B4226">
        <v>28</v>
      </c>
      <c r="C4226" t="s">
        <v>27</v>
      </c>
      <c r="D4226" t="s">
        <v>38</v>
      </c>
      <c r="E4226" t="s">
        <v>18</v>
      </c>
      <c r="F4226" s="2">
        <v>0</v>
      </c>
      <c r="G4226" t="s">
        <v>139</v>
      </c>
      <c r="H4226" t="s">
        <v>55</v>
      </c>
      <c r="I4226" t="s">
        <v>46</v>
      </c>
      <c r="J4226" t="s">
        <v>33</v>
      </c>
      <c r="K4226">
        <v>1</v>
      </c>
      <c r="L4226" t="s">
        <v>23</v>
      </c>
      <c r="M4226" t="s">
        <v>61</v>
      </c>
      <c r="N4226" t="s">
        <v>34</v>
      </c>
      <c r="O4226">
        <v>32</v>
      </c>
      <c r="P4226" t="s">
        <v>25</v>
      </c>
      <c r="Q4226" t="s">
        <v>26</v>
      </c>
      <c r="R4226" s="1">
        <v>0.1</v>
      </c>
      <c r="S4226">
        <f t="shared" ref="S4226:S4289" si="264">F4226-(F4226*R4226)</f>
        <v>0</v>
      </c>
      <c r="T4226">
        <f>IFERROR(VLOOKUP(A4226,Table1[[Customer ID]:[Discount Amount]], 6, FALSE),"Not Found")</f>
        <v>0</v>
      </c>
      <c r="U4226" t="str">
        <f t="shared" ref="U4226:U4289" si="265">INDEX(P:P, MATCH(A4226, A:A, 0))</f>
        <v>Cash</v>
      </c>
      <c r="V4226" s="4" t="str">
        <f t="shared" ref="V4226:V4289" si="266">IF(AND(F4226&gt;1000,K4226&gt;=4),"Best Customer","Normal")</f>
        <v>Normal</v>
      </c>
      <c r="W4226" s="4" t="str">
        <f t="shared" ref="W4226:W4289" si="267">IF(K4226&gt;=3,"Good","Poor")</f>
        <v>Poor</v>
      </c>
      <c r="X4226" s="4">
        <f>AVERAGE(Table1[Purchase Amount])</f>
        <v>129.48419400000012</v>
      </c>
    </row>
    <row r="4227" spans="1:24" ht="15" customHeight="1" x14ac:dyDescent="0.25">
      <c r="A4227">
        <v>4325</v>
      </c>
      <c r="B4227">
        <v>56</v>
      </c>
      <c r="C4227" t="s">
        <v>27</v>
      </c>
      <c r="D4227" t="s">
        <v>112</v>
      </c>
      <c r="E4227" t="s">
        <v>29</v>
      </c>
      <c r="F4227" s="2">
        <v>1396.89</v>
      </c>
      <c r="G4227" t="s">
        <v>101</v>
      </c>
      <c r="H4227" t="s">
        <v>31</v>
      </c>
      <c r="I4227" t="s">
        <v>32</v>
      </c>
      <c r="J4227" t="s">
        <v>57</v>
      </c>
      <c r="K4227">
        <v>1</v>
      </c>
      <c r="L4227" t="s">
        <v>34</v>
      </c>
      <c r="M4227" t="s">
        <v>61</v>
      </c>
      <c r="N4227" t="s">
        <v>34</v>
      </c>
      <c r="O4227">
        <v>0</v>
      </c>
      <c r="P4227" t="s">
        <v>53</v>
      </c>
      <c r="Q4227" t="s">
        <v>26</v>
      </c>
      <c r="R4227" s="1">
        <v>0.1</v>
      </c>
      <c r="S4227">
        <f t="shared" si="264"/>
        <v>1257.201</v>
      </c>
      <c r="T4227">
        <f>IFERROR(VLOOKUP(A4227,Table1[[Customer ID]:[Discount Amount]], 6, FALSE),"Not Found")</f>
        <v>1396.89</v>
      </c>
      <c r="U4227" t="str">
        <f t="shared" si="265"/>
        <v>Credit Card</v>
      </c>
      <c r="V4227" s="4" t="str">
        <f t="shared" si="266"/>
        <v>Normal</v>
      </c>
      <c r="W4227" s="4" t="str">
        <f t="shared" si="267"/>
        <v>Poor</v>
      </c>
      <c r="X4227" s="4">
        <f>AVERAGE(Table1[Purchase Amount])</f>
        <v>129.48419400000012</v>
      </c>
    </row>
    <row r="4228" spans="1:24" ht="15" customHeight="1" x14ac:dyDescent="0.25">
      <c r="A4228">
        <v>4326</v>
      </c>
      <c r="B4228">
        <v>44</v>
      </c>
      <c r="C4228" t="s">
        <v>71</v>
      </c>
      <c r="D4228" t="s">
        <v>95</v>
      </c>
      <c r="E4228" t="s">
        <v>81</v>
      </c>
      <c r="F4228" s="2">
        <v>0</v>
      </c>
      <c r="G4228" t="s">
        <v>126</v>
      </c>
      <c r="H4228" t="s">
        <v>31</v>
      </c>
      <c r="I4228" t="s">
        <v>93</v>
      </c>
      <c r="J4228" t="s">
        <v>57</v>
      </c>
      <c r="K4228">
        <v>1</v>
      </c>
      <c r="L4228" t="s">
        <v>23</v>
      </c>
      <c r="M4228" t="s">
        <v>24</v>
      </c>
      <c r="N4228" t="s">
        <v>34</v>
      </c>
      <c r="O4228">
        <v>31</v>
      </c>
      <c r="P4228" t="s">
        <v>53</v>
      </c>
      <c r="Q4228" t="s">
        <v>26</v>
      </c>
      <c r="R4228" s="1">
        <v>0.1</v>
      </c>
      <c r="S4228">
        <f t="shared" si="264"/>
        <v>0</v>
      </c>
      <c r="T4228">
        <f>IFERROR(VLOOKUP(A4228,Table1[[Customer ID]:[Discount Amount]], 6, FALSE),"Not Found")</f>
        <v>0</v>
      </c>
      <c r="U4228" t="str">
        <f t="shared" si="265"/>
        <v>Credit Card</v>
      </c>
      <c r="V4228" s="4" t="str">
        <f t="shared" si="266"/>
        <v>Normal</v>
      </c>
      <c r="W4228" s="4" t="str">
        <f t="shared" si="267"/>
        <v>Poor</v>
      </c>
      <c r="X4228" s="4">
        <f>AVERAGE(Table1[Purchase Amount])</f>
        <v>129.48419400000012</v>
      </c>
    </row>
    <row r="4229" spans="1:24" ht="15" customHeight="1" x14ac:dyDescent="0.25">
      <c r="A4229">
        <v>4327</v>
      </c>
      <c r="B4229">
        <v>68</v>
      </c>
      <c r="C4229" t="s">
        <v>71</v>
      </c>
      <c r="D4229" t="s">
        <v>112</v>
      </c>
      <c r="E4229" t="s">
        <v>29</v>
      </c>
      <c r="F4229" s="2">
        <v>0</v>
      </c>
      <c r="G4229" t="s">
        <v>73</v>
      </c>
      <c r="H4229" t="s">
        <v>45</v>
      </c>
      <c r="I4229" t="s">
        <v>93</v>
      </c>
      <c r="J4229" t="s">
        <v>75</v>
      </c>
      <c r="K4229">
        <v>5</v>
      </c>
      <c r="L4229" t="s">
        <v>23</v>
      </c>
      <c r="M4229" t="s">
        <v>61</v>
      </c>
      <c r="N4229" t="s">
        <v>34</v>
      </c>
      <c r="O4229">
        <v>0</v>
      </c>
      <c r="P4229" t="s">
        <v>58</v>
      </c>
      <c r="Q4229" t="s">
        <v>37</v>
      </c>
      <c r="R4229" s="1">
        <v>0.1</v>
      </c>
      <c r="S4229">
        <f t="shared" si="264"/>
        <v>0</v>
      </c>
      <c r="T4229">
        <f>IFERROR(VLOOKUP(A4229,Table1[[Customer ID]:[Discount Amount]], 6, FALSE),"Not Found")</f>
        <v>0</v>
      </c>
      <c r="U4229" t="str">
        <f t="shared" si="265"/>
        <v>PayPal</v>
      </c>
      <c r="V4229" s="4" t="str">
        <f t="shared" si="266"/>
        <v>Normal</v>
      </c>
      <c r="W4229" s="4" t="str">
        <f t="shared" si="267"/>
        <v>Good</v>
      </c>
      <c r="X4229" s="4">
        <f>AVERAGE(Table1[Purchase Amount])</f>
        <v>129.48419400000012</v>
      </c>
    </row>
    <row r="4230" spans="1:24" ht="15" customHeight="1" x14ac:dyDescent="0.25">
      <c r="A4230">
        <v>4328</v>
      </c>
      <c r="B4230">
        <v>29</v>
      </c>
      <c r="C4230" t="s">
        <v>16</v>
      </c>
      <c r="D4230" t="s">
        <v>116</v>
      </c>
      <c r="E4230" t="s">
        <v>18</v>
      </c>
      <c r="F4230" s="2">
        <v>0</v>
      </c>
      <c r="G4230" t="s">
        <v>101</v>
      </c>
      <c r="H4230" t="s">
        <v>31</v>
      </c>
      <c r="I4230" t="s">
        <v>93</v>
      </c>
      <c r="J4230" t="s">
        <v>33</v>
      </c>
      <c r="K4230">
        <v>4</v>
      </c>
      <c r="L4230" t="s">
        <v>23</v>
      </c>
      <c r="M4230" t="s">
        <v>61</v>
      </c>
      <c r="N4230" t="s">
        <v>23</v>
      </c>
      <c r="O4230">
        <v>3</v>
      </c>
      <c r="P4230" t="s">
        <v>25</v>
      </c>
      <c r="Q4230" t="s">
        <v>42</v>
      </c>
      <c r="R4230" s="1">
        <v>0.1</v>
      </c>
      <c r="S4230">
        <f t="shared" si="264"/>
        <v>0</v>
      </c>
      <c r="T4230">
        <f>IFERROR(VLOOKUP(A4230,Table1[[Customer ID]:[Discount Amount]], 6, FALSE),"Not Found")</f>
        <v>0</v>
      </c>
      <c r="U4230" t="str">
        <f t="shared" si="265"/>
        <v>Cash</v>
      </c>
      <c r="V4230" s="4" t="str">
        <f t="shared" si="266"/>
        <v>Normal</v>
      </c>
      <c r="W4230" s="4" t="str">
        <f t="shared" si="267"/>
        <v>Good</v>
      </c>
      <c r="X4230" s="4">
        <f>AVERAGE(Table1[Purchase Amount])</f>
        <v>129.48419400000012</v>
      </c>
    </row>
    <row r="4231" spans="1:24" ht="15" customHeight="1" x14ac:dyDescent="0.25">
      <c r="A4231">
        <v>4329</v>
      </c>
      <c r="B4231">
        <v>31</v>
      </c>
      <c r="C4231" t="s">
        <v>71</v>
      </c>
      <c r="D4231" t="s">
        <v>112</v>
      </c>
      <c r="E4231" t="s">
        <v>81</v>
      </c>
      <c r="F4231" s="2">
        <v>1380.81</v>
      </c>
      <c r="G4231" t="s">
        <v>73</v>
      </c>
      <c r="H4231" t="s">
        <v>31</v>
      </c>
      <c r="I4231" t="s">
        <v>32</v>
      </c>
      <c r="J4231" t="s">
        <v>75</v>
      </c>
      <c r="K4231">
        <v>1</v>
      </c>
      <c r="L4231" t="s">
        <v>23</v>
      </c>
      <c r="M4231" t="s">
        <v>61</v>
      </c>
      <c r="N4231" t="s">
        <v>34</v>
      </c>
      <c r="O4231">
        <v>37</v>
      </c>
      <c r="P4231" t="s">
        <v>53</v>
      </c>
      <c r="Q4231" t="s">
        <v>42</v>
      </c>
      <c r="R4231" s="1">
        <v>0.1</v>
      </c>
      <c r="S4231">
        <f t="shared" si="264"/>
        <v>1242.729</v>
      </c>
      <c r="T4231">
        <f>IFERROR(VLOOKUP(A4231,Table1[[Customer ID]:[Discount Amount]], 6, FALSE),"Not Found")</f>
        <v>1380.81</v>
      </c>
      <c r="U4231" t="str">
        <f t="shared" si="265"/>
        <v>Credit Card</v>
      </c>
      <c r="V4231" s="4" t="str">
        <f t="shared" si="266"/>
        <v>Normal</v>
      </c>
      <c r="W4231" s="4" t="str">
        <f t="shared" si="267"/>
        <v>Poor</v>
      </c>
      <c r="X4231" s="4">
        <f>AVERAGE(Table1[Purchase Amount])</f>
        <v>129.48419400000012</v>
      </c>
    </row>
    <row r="4232" spans="1:24" ht="15" customHeight="1" x14ac:dyDescent="0.25">
      <c r="A4232">
        <v>4330</v>
      </c>
      <c r="B4232">
        <v>64</v>
      </c>
      <c r="C4232" t="s">
        <v>71</v>
      </c>
      <c r="D4232" t="s">
        <v>95</v>
      </c>
      <c r="E4232" t="s">
        <v>29</v>
      </c>
      <c r="F4232" s="2">
        <v>0</v>
      </c>
      <c r="G4232" t="s">
        <v>101</v>
      </c>
      <c r="H4232" t="s">
        <v>31</v>
      </c>
      <c r="I4232" t="s">
        <v>32</v>
      </c>
      <c r="J4232" t="s">
        <v>57</v>
      </c>
      <c r="K4232">
        <v>1</v>
      </c>
      <c r="L4232" t="s">
        <v>23</v>
      </c>
      <c r="M4232" t="s">
        <v>61</v>
      </c>
      <c r="N4232" t="s">
        <v>23</v>
      </c>
      <c r="O4232">
        <v>14</v>
      </c>
      <c r="P4232" t="s">
        <v>58</v>
      </c>
      <c r="Q4232" t="s">
        <v>42</v>
      </c>
      <c r="R4232" s="1">
        <v>0.1</v>
      </c>
      <c r="S4232">
        <f t="shared" si="264"/>
        <v>0</v>
      </c>
      <c r="T4232">
        <f>IFERROR(VLOOKUP(A4232,Table1[[Customer ID]:[Discount Amount]], 6, FALSE),"Not Found")</f>
        <v>0</v>
      </c>
      <c r="U4232" t="str">
        <f t="shared" si="265"/>
        <v>PayPal</v>
      </c>
      <c r="V4232" s="4" t="str">
        <f t="shared" si="266"/>
        <v>Normal</v>
      </c>
      <c r="W4232" s="4" t="str">
        <f t="shared" si="267"/>
        <v>Poor</v>
      </c>
      <c r="X4232" s="4">
        <f>AVERAGE(Table1[Purchase Amount])</f>
        <v>129.48419400000012</v>
      </c>
    </row>
    <row r="4233" spans="1:24" ht="15" customHeight="1" x14ac:dyDescent="0.25">
      <c r="A4233">
        <v>4331</v>
      </c>
      <c r="B4233">
        <v>66</v>
      </c>
      <c r="C4233" t="s">
        <v>16</v>
      </c>
      <c r="D4233" t="s">
        <v>112</v>
      </c>
      <c r="E4233" t="s">
        <v>29</v>
      </c>
      <c r="F4233" s="2">
        <v>0</v>
      </c>
      <c r="G4233" t="s">
        <v>73</v>
      </c>
      <c r="H4233" t="s">
        <v>45</v>
      </c>
      <c r="I4233" t="s">
        <v>40</v>
      </c>
      <c r="J4233" t="s">
        <v>75</v>
      </c>
      <c r="K4233">
        <v>3</v>
      </c>
      <c r="L4233" t="s">
        <v>34</v>
      </c>
      <c r="M4233" t="s">
        <v>61</v>
      </c>
      <c r="N4233" t="s">
        <v>23</v>
      </c>
      <c r="O4233">
        <v>0</v>
      </c>
      <c r="P4233" t="s">
        <v>25</v>
      </c>
      <c r="Q4233" t="s">
        <v>26</v>
      </c>
      <c r="R4233" s="1">
        <v>0.1</v>
      </c>
      <c r="S4233">
        <f t="shared" si="264"/>
        <v>0</v>
      </c>
      <c r="T4233">
        <f>IFERROR(VLOOKUP(A4233,Table1[[Customer ID]:[Discount Amount]], 6, FALSE),"Not Found")</f>
        <v>0</v>
      </c>
      <c r="U4233" t="str">
        <f t="shared" si="265"/>
        <v>Cash</v>
      </c>
      <c r="V4233" s="4" t="str">
        <f t="shared" si="266"/>
        <v>Normal</v>
      </c>
      <c r="W4233" s="4" t="str">
        <f t="shared" si="267"/>
        <v>Good</v>
      </c>
      <c r="X4233" s="4">
        <f>AVERAGE(Table1[Purchase Amount])</f>
        <v>129.48419400000012</v>
      </c>
    </row>
    <row r="4234" spans="1:24" ht="15" customHeight="1" x14ac:dyDescent="0.25">
      <c r="A4234">
        <v>4332</v>
      </c>
      <c r="B4234">
        <v>31</v>
      </c>
      <c r="C4234" t="s">
        <v>16</v>
      </c>
      <c r="D4234" t="s">
        <v>112</v>
      </c>
      <c r="E4234" t="s">
        <v>18</v>
      </c>
      <c r="F4234" s="2">
        <v>0</v>
      </c>
      <c r="G4234" t="s">
        <v>82</v>
      </c>
      <c r="H4234" t="s">
        <v>31</v>
      </c>
      <c r="I4234" t="s">
        <v>32</v>
      </c>
      <c r="J4234" t="s">
        <v>75</v>
      </c>
      <c r="K4234">
        <v>4</v>
      </c>
      <c r="L4234" t="s">
        <v>34</v>
      </c>
      <c r="M4234" t="s">
        <v>24</v>
      </c>
      <c r="N4234" t="s">
        <v>23</v>
      </c>
      <c r="O4234">
        <v>0</v>
      </c>
      <c r="P4234" t="s">
        <v>53</v>
      </c>
      <c r="Q4234" t="s">
        <v>37</v>
      </c>
      <c r="R4234" s="1">
        <v>0.1</v>
      </c>
      <c r="S4234">
        <f t="shared" si="264"/>
        <v>0</v>
      </c>
      <c r="T4234">
        <f>IFERROR(VLOOKUP(A4234,Table1[[Customer ID]:[Discount Amount]], 6, FALSE),"Not Found")</f>
        <v>0</v>
      </c>
      <c r="U4234" t="str">
        <f t="shared" si="265"/>
        <v>Credit Card</v>
      </c>
      <c r="V4234" s="4" t="str">
        <f t="shared" si="266"/>
        <v>Normal</v>
      </c>
      <c r="W4234" s="4" t="str">
        <f t="shared" si="267"/>
        <v>Good</v>
      </c>
      <c r="X4234" s="4">
        <f>AVERAGE(Table1[Purchase Amount])</f>
        <v>129.48419400000012</v>
      </c>
    </row>
    <row r="4235" spans="1:24" ht="15" customHeight="1" x14ac:dyDescent="0.25">
      <c r="A4235">
        <v>4333</v>
      </c>
      <c r="B4235">
        <v>32</v>
      </c>
      <c r="C4235" t="s">
        <v>16</v>
      </c>
      <c r="D4235" t="s">
        <v>38</v>
      </c>
      <c r="E4235" t="s">
        <v>81</v>
      </c>
      <c r="F4235" s="2">
        <v>0</v>
      </c>
      <c r="G4235" t="s">
        <v>82</v>
      </c>
      <c r="H4235" t="s">
        <v>31</v>
      </c>
      <c r="I4235" t="s">
        <v>74</v>
      </c>
      <c r="J4235" t="s">
        <v>22</v>
      </c>
      <c r="K4235">
        <v>1</v>
      </c>
      <c r="L4235" t="s">
        <v>23</v>
      </c>
      <c r="M4235" t="s">
        <v>61</v>
      </c>
      <c r="N4235" t="s">
        <v>34</v>
      </c>
      <c r="O4235">
        <v>0</v>
      </c>
      <c r="P4235" t="s">
        <v>53</v>
      </c>
      <c r="Q4235" t="s">
        <v>37</v>
      </c>
      <c r="R4235" s="1">
        <v>0.1</v>
      </c>
      <c r="S4235">
        <f t="shared" si="264"/>
        <v>0</v>
      </c>
      <c r="T4235">
        <f>IFERROR(VLOOKUP(A4235,Table1[[Customer ID]:[Discount Amount]], 6, FALSE),"Not Found")</f>
        <v>0</v>
      </c>
      <c r="U4235" t="str">
        <f t="shared" si="265"/>
        <v>Credit Card</v>
      </c>
      <c r="V4235" s="4" t="str">
        <f t="shared" si="266"/>
        <v>Normal</v>
      </c>
      <c r="W4235" s="4" t="str">
        <f t="shared" si="267"/>
        <v>Poor</v>
      </c>
      <c r="X4235" s="4">
        <f>AVERAGE(Table1[Purchase Amount])</f>
        <v>129.48419400000012</v>
      </c>
    </row>
    <row r="4236" spans="1:24" ht="15" customHeight="1" x14ac:dyDescent="0.25">
      <c r="A4236">
        <v>4334</v>
      </c>
      <c r="B4236">
        <v>29</v>
      </c>
      <c r="C4236" t="s">
        <v>16</v>
      </c>
      <c r="D4236" t="s">
        <v>112</v>
      </c>
      <c r="E4236" t="s">
        <v>18</v>
      </c>
      <c r="F4236" s="2">
        <v>837.03</v>
      </c>
      <c r="G4236" t="s">
        <v>126</v>
      </c>
      <c r="H4236" t="s">
        <v>31</v>
      </c>
      <c r="I4236" t="s">
        <v>40</v>
      </c>
      <c r="J4236" t="s">
        <v>22</v>
      </c>
      <c r="K4236">
        <v>1</v>
      </c>
      <c r="L4236" t="s">
        <v>23</v>
      </c>
      <c r="M4236" t="s">
        <v>24</v>
      </c>
      <c r="N4236" t="s">
        <v>34</v>
      </c>
      <c r="O4236">
        <v>0</v>
      </c>
      <c r="P4236" t="s">
        <v>36</v>
      </c>
      <c r="Q4236" t="s">
        <v>26</v>
      </c>
      <c r="R4236" s="1">
        <v>0.1</v>
      </c>
      <c r="S4236">
        <f t="shared" si="264"/>
        <v>753.327</v>
      </c>
      <c r="T4236">
        <f>IFERROR(VLOOKUP(A4236,Table1[[Customer ID]:[Discount Amount]], 6, FALSE),"Not Found")</f>
        <v>837.03</v>
      </c>
      <c r="U4236" t="str">
        <f t="shared" si="265"/>
        <v>Debit Card</v>
      </c>
      <c r="V4236" s="4" t="str">
        <f t="shared" si="266"/>
        <v>Normal</v>
      </c>
      <c r="W4236" s="4" t="str">
        <f t="shared" si="267"/>
        <v>Poor</v>
      </c>
      <c r="X4236" s="4">
        <f>AVERAGE(Table1[Purchase Amount])</f>
        <v>129.48419400000012</v>
      </c>
    </row>
    <row r="4237" spans="1:24" ht="15" customHeight="1" x14ac:dyDescent="0.25">
      <c r="A4237">
        <v>4335</v>
      </c>
      <c r="B4237">
        <v>22</v>
      </c>
      <c r="C4237" t="s">
        <v>71</v>
      </c>
      <c r="D4237" t="s">
        <v>112</v>
      </c>
      <c r="E4237" t="s">
        <v>29</v>
      </c>
      <c r="F4237" s="2">
        <v>0</v>
      </c>
      <c r="G4237" t="s">
        <v>82</v>
      </c>
      <c r="H4237" t="s">
        <v>31</v>
      </c>
      <c r="I4237" t="s">
        <v>74</v>
      </c>
      <c r="J4237" t="s">
        <v>33</v>
      </c>
      <c r="K4237">
        <v>5</v>
      </c>
      <c r="L4237" t="s">
        <v>23</v>
      </c>
      <c r="M4237" t="s">
        <v>24</v>
      </c>
      <c r="N4237" t="s">
        <v>23</v>
      </c>
      <c r="O4237">
        <v>1</v>
      </c>
      <c r="P4237" t="s">
        <v>36</v>
      </c>
      <c r="Q4237" t="s">
        <v>26</v>
      </c>
      <c r="R4237" s="1">
        <v>0.1</v>
      </c>
      <c r="S4237">
        <f t="shared" si="264"/>
        <v>0</v>
      </c>
      <c r="T4237">
        <f>IFERROR(VLOOKUP(A4237,Table1[[Customer ID]:[Discount Amount]], 6, FALSE),"Not Found")</f>
        <v>0</v>
      </c>
      <c r="U4237" t="str">
        <f t="shared" si="265"/>
        <v>Debit Card</v>
      </c>
      <c r="V4237" s="4" t="str">
        <f t="shared" si="266"/>
        <v>Normal</v>
      </c>
      <c r="W4237" s="4" t="str">
        <f t="shared" si="267"/>
        <v>Good</v>
      </c>
      <c r="X4237" s="4">
        <f>AVERAGE(Table1[Purchase Amount])</f>
        <v>129.48419400000012</v>
      </c>
    </row>
    <row r="4238" spans="1:24" ht="15" customHeight="1" x14ac:dyDescent="0.25">
      <c r="A4238">
        <v>4336</v>
      </c>
      <c r="B4238">
        <v>36</v>
      </c>
      <c r="C4238" t="s">
        <v>16</v>
      </c>
      <c r="D4238" t="s">
        <v>116</v>
      </c>
      <c r="E4238" t="s">
        <v>18</v>
      </c>
      <c r="F4238" s="2">
        <v>0</v>
      </c>
      <c r="G4238" t="s">
        <v>82</v>
      </c>
      <c r="H4238" t="s">
        <v>20</v>
      </c>
      <c r="I4238" t="s">
        <v>40</v>
      </c>
      <c r="J4238" t="s">
        <v>33</v>
      </c>
      <c r="K4238">
        <v>1</v>
      </c>
      <c r="L4238" t="s">
        <v>23</v>
      </c>
      <c r="M4238" t="s">
        <v>61</v>
      </c>
      <c r="N4238" t="s">
        <v>23</v>
      </c>
      <c r="O4238">
        <v>29</v>
      </c>
      <c r="P4238" t="s">
        <v>25</v>
      </c>
      <c r="Q4238" t="s">
        <v>26</v>
      </c>
      <c r="R4238" s="1">
        <v>0.1</v>
      </c>
      <c r="S4238">
        <f t="shared" si="264"/>
        <v>0</v>
      </c>
      <c r="T4238">
        <f>IFERROR(VLOOKUP(A4238,Table1[[Customer ID]:[Discount Amount]], 6, FALSE),"Not Found")</f>
        <v>0</v>
      </c>
      <c r="U4238" t="str">
        <f t="shared" si="265"/>
        <v>Cash</v>
      </c>
      <c r="V4238" s="4" t="str">
        <f t="shared" si="266"/>
        <v>Normal</v>
      </c>
      <c r="W4238" s="4" t="str">
        <f t="shared" si="267"/>
        <v>Poor</v>
      </c>
      <c r="X4238" s="4">
        <f>AVERAGE(Table1[Purchase Amount])</f>
        <v>129.48419400000012</v>
      </c>
    </row>
    <row r="4239" spans="1:24" ht="15" customHeight="1" x14ac:dyDescent="0.25">
      <c r="A4239">
        <v>4337</v>
      </c>
      <c r="B4239">
        <v>31</v>
      </c>
      <c r="C4239" t="s">
        <v>71</v>
      </c>
      <c r="D4239" t="s">
        <v>116</v>
      </c>
      <c r="E4239" t="s">
        <v>29</v>
      </c>
      <c r="F4239" s="2">
        <v>183.76</v>
      </c>
      <c r="G4239" t="s">
        <v>101</v>
      </c>
      <c r="H4239" t="s">
        <v>31</v>
      </c>
      <c r="I4239" t="s">
        <v>46</v>
      </c>
      <c r="J4239" t="s">
        <v>75</v>
      </c>
      <c r="K4239">
        <v>2</v>
      </c>
      <c r="L4239" t="s">
        <v>23</v>
      </c>
      <c r="M4239" t="s">
        <v>61</v>
      </c>
      <c r="N4239" t="s">
        <v>23</v>
      </c>
      <c r="O4239">
        <v>26</v>
      </c>
      <c r="P4239" t="s">
        <v>53</v>
      </c>
      <c r="Q4239" t="s">
        <v>26</v>
      </c>
      <c r="R4239" s="1">
        <v>0.1</v>
      </c>
      <c r="S4239">
        <f t="shared" si="264"/>
        <v>165.38399999999999</v>
      </c>
      <c r="T4239">
        <f>IFERROR(VLOOKUP(A4239,Table1[[Customer ID]:[Discount Amount]], 6, FALSE),"Not Found")</f>
        <v>183.76</v>
      </c>
      <c r="U4239" t="str">
        <f t="shared" si="265"/>
        <v>Credit Card</v>
      </c>
      <c r="V4239" s="4" t="str">
        <f t="shared" si="266"/>
        <v>Normal</v>
      </c>
      <c r="W4239" s="4" t="str">
        <f t="shared" si="267"/>
        <v>Poor</v>
      </c>
      <c r="X4239" s="4">
        <f>AVERAGE(Table1[Purchase Amount])</f>
        <v>129.48419400000012</v>
      </c>
    </row>
    <row r="4240" spans="1:24" ht="15" customHeight="1" x14ac:dyDescent="0.25">
      <c r="A4240">
        <v>4338</v>
      </c>
      <c r="B4240">
        <v>29</v>
      </c>
      <c r="C4240" t="s">
        <v>71</v>
      </c>
      <c r="D4240" t="s">
        <v>117</v>
      </c>
      <c r="E4240" t="s">
        <v>18</v>
      </c>
      <c r="F4240" s="2">
        <v>157.83000000000001</v>
      </c>
      <c r="G4240" t="s">
        <v>139</v>
      </c>
      <c r="H4240" t="s">
        <v>45</v>
      </c>
      <c r="I4240" t="s">
        <v>74</v>
      </c>
      <c r="J4240" t="s">
        <v>33</v>
      </c>
      <c r="K4240">
        <v>4</v>
      </c>
      <c r="L4240" t="s">
        <v>23</v>
      </c>
      <c r="M4240" t="s">
        <v>24</v>
      </c>
      <c r="N4240" t="s">
        <v>23</v>
      </c>
      <c r="O4240">
        <v>19</v>
      </c>
      <c r="P4240" t="s">
        <v>25</v>
      </c>
      <c r="Q4240" t="s">
        <v>42</v>
      </c>
      <c r="R4240" s="1">
        <v>0.1</v>
      </c>
      <c r="S4240">
        <f t="shared" si="264"/>
        <v>142.04700000000003</v>
      </c>
      <c r="T4240">
        <f>IFERROR(VLOOKUP(A4240,Table1[[Customer ID]:[Discount Amount]], 6, FALSE),"Not Found")</f>
        <v>157.83000000000001</v>
      </c>
      <c r="U4240" t="str">
        <f t="shared" si="265"/>
        <v>Cash</v>
      </c>
      <c r="V4240" s="4" t="str">
        <f t="shared" si="266"/>
        <v>Normal</v>
      </c>
      <c r="W4240" s="4" t="str">
        <f t="shared" si="267"/>
        <v>Good</v>
      </c>
      <c r="X4240" s="4">
        <f>AVERAGE(Table1[Purchase Amount])</f>
        <v>129.48419400000012</v>
      </c>
    </row>
    <row r="4241" spans="1:24" ht="15" customHeight="1" x14ac:dyDescent="0.25">
      <c r="A4241">
        <v>4339</v>
      </c>
      <c r="B4241">
        <v>31</v>
      </c>
      <c r="C4241" t="s">
        <v>16</v>
      </c>
      <c r="D4241" t="s">
        <v>116</v>
      </c>
      <c r="E4241" t="s">
        <v>29</v>
      </c>
      <c r="F4241" s="2">
        <v>843.84</v>
      </c>
      <c r="G4241" t="s">
        <v>73</v>
      </c>
      <c r="H4241" t="s">
        <v>31</v>
      </c>
      <c r="I4241" t="s">
        <v>93</v>
      </c>
      <c r="J4241" t="s">
        <v>33</v>
      </c>
      <c r="K4241">
        <v>5</v>
      </c>
      <c r="L4241" t="s">
        <v>23</v>
      </c>
      <c r="M4241" t="s">
        <v>61</v>
      </c>
      <c r="N4241" t="s">
        <v>34</v>
      </c>
      <c r="O4241">
        <v>0</v>
      </c>
      <c r="P4241" t="s">
        <v>36</v>
      </c>
      <c r="Q4241" t="s">
        <v>37</v>
      </c>
      <c r="R4241" s="1">
        <v>0.1</v>
      </c>
      <c r="S4241">
        <f t="shared" si="264"/>
        <v>759.45600000000002</v>
      </c>
      <c r="T4241">
        <f>IFERROR(VLOOKUP(A4241,Table1[[Customer ID]:[Discount Amount]], 6, FALSE),"Not Found")</f>
        <v>843.84</v>
      </c>
      <c r="U4241" t="str">
        <f t="shared" si="265"/>
        <v>Debit Card</v>
      </c>
      <c r="V4241" s="4" t="str">
        <f t="shared" si="266"/>
        <v>Normal</v>
      </c>
      <c r="W4241" s="4" t="str">
        <f t="shared" si="267"/>
        <v>Good</v>
      </c>
      <c r="X4241" s="4">
        <f>AVERAGE(Table1[Purchase Amount])</f>
        <v>129.48419400000012</v>
      </c>
    </row>
    <row r="4242" spans="1:24" ht="15" customHeight="1" x14ac:dyDescent="0.25">
      <c r="A4242">
        <v>4340</v>
      </c>
      <c r="B4242">
        <v>40</v>
      </c>
      <c r="C4242" t="s">
        <v>16</v>
      </c>
      <c r="D4242" t="s">
        <v>38</v>
      </c>
      <c r="E4242" t="s">
        <v>18</v>
      </c>
      <c r="F4242" s="2">
        <v>0</v>
      </c>
      <c r="G4242" t="s">
        <v>139</v>
      </c>
      <c r="H4242" t="s">
        <v>20</v>
      </c>
      <c r="I4242" t="s">
        <v>46</v>
      </c>
      <c r="J4242" t="s">
        <v>33</v>
      </c>
      <c r="K4242">
        <v>1</v>
      </c>
      <c r="L4242" t="s">
        <v>34</v>
      </c>
      <c r="M4242" t="s">
        <v>24</v>
      </c>
      <c r="N4242" t="s">
        <v>34</v>
      </c>
      <c r="O4242">
        <v>0</v>
      </c>
      <c r="P4242" t="s">
        <v>53</v>
      </c>
      <c r="Q4242" t="s">
        <v>26</v>
      </c>
      <c r="R4242" s="1">
        <v>0.1</v>
      </c>
      <c r="S4242">
        <f t="shared" si="264"/>
        <v>0</v>
      </c>
      <c r="T4242">
        <f>IFERROR(VLOOKUP(A4242,Table1[[Customer ID]:[Discount Amount]], 6, FALSE),"Not Found")</f>
        <v>0</v>
      </c>
      <c r="U4242" t="str">
        <f t="shared" si="265"/>
        <v>Credit Card</v>
      </c>
      <c r="V4242" s="4" t="str">
        <f t="shared" si="266"/>
        <v>Normal</v>
      </c>
      <c r="W4242" s="4" t="str">
        <f t="shared" si="267"/>
        <v>Poor</v>
      </c>
      <c r="X4242" s="4">
        <f>AVERAGE(Table1[Purchase Amount])</f>
        <v>129.48419400000012</v>
      </c>
    </row>
    <row r="4243" spans="1:24" ht="15" customHeight="1" x14ac:dyDescent="0.25">
      <c r="A4243">
        <v>4341</v>
      </c>
      <c r="B4243">
        <v>57</v>
      </c>
      <c r="C4243" t="s">
        <v>71</v>
      </c>
      <c r="D4243" t="s">
        <v>112</v>
      </c>
      <c r="E4243" t="s">
        <v>81</v>
      </c>
      <c r="F4243" s="2">
        <v>0</v>
      </c>
      <c r="G4243" t="s">
        <v>73</v>
      </c>
      <c r="H4243" t="s">
        <v>31</v>
      </c>
      <c r="I4243" t="s">
        <v>40</v>
      </c>
      <c r="J4243" t="s">
        <v>57</v>
      </c>
      <c r="K4243">
        <v>1</v>
      </c>
      <c r="L4243" t="s">
        <v>34</v>
      </c>
      <c r="M4243" t="s">
        <v>24</v>
      </c>
      <c r="N4243" t="s">
        <v>34</v>
      </c>
      <c r="O4243">
        <v>0</v>
      </c>
      <c r="P4243" t="s">
        <v>53</v>
      </c>
      <c r="Q4243" t="s">
        <v>26</v>
      </c>
      <c r="R4243" s="1">
        <v>0.1</v>
      </c>
      <c r="S4243">
        <f t="shared" si="264"/>
        <v>0</v>
      </c>
      <c r="T4243">
        <f>IFERROR(VLOOKUP(A4243,Table1[[Customer ID]:[Discount Amount]], 6, FALSE),"Not Found")</f>
        <v>0</v>
      </c>
      <c r="U4243" t="str">
        <f t="shared" si="265"/>
        <v>Credit Card</v>
      </c>
      <c r="V4243" s="4" t="str">
        <f t="shared" si="266"/>
        <v>Normal</v>
      </c>
      <c r="W4243" s="4" t="str">
        <f t="shared" si="267"/>
        <v>Poor</v>
      </c>
      <c r="X4243" s="4">
        <f>AVERAGE(Table1[Purchase Amount])</f>
        <v>129.48419400000012</v>
      </c>
    </row>
    <row r="4244" spans="1:24" ht="15" customHeight="1" x14ac:dyDescent="0.25">
      <c r="A4244">
        <v>4342</v>
      </c>
      <c r="B4244">
        <v>31</v>
      </c>
      <c r="C4244" t="s">
        <v>16</v>
      </c>
      <c r="D4244" t="s">
        <v>80</v>
      </c>
      <c r="E4244" t="s">
        <v>81</v>
      </c>
      <c r="F4244" s="2">
        <v>1351.65</v>
      </c>
      <c r="G4244" t="s">
        <v>82</v>
      </c>
      <c r="H4244" t="s">
        <v>31</v>
      </c>
      <c r="I4244" t="s">
        <v>74</v>
      </c>
      <c r="J4244" t="s">
        <v>33</v>
      </c>
      <c r="K4244">
        <v>2</v>
      </c>
      <c r="L4244" t="s">
        <v>34</v>
      </c>
      <c r="M4244" t="s">
        <v>24</v>
      </c>
      <c r="N4244" t="s">
        <v>34</v>
      </c>
      <c r="O4244">
        <v>0</v>
      </c>
      <c r="P4244" t="s">
        <v>36</v>
      </c>
      <c r="Q4244" t="s">
        <v>37</v>
      </c>
      <c r="R4244" s="1">
        <v>0.1</v>
      </c>
      <c r="S4244">
        <f t="shared" si="264"/>
        <v>1216.4850000000001</v>
      </c>
      <c r="T4244">
        <f>IFERROR(VLOOKUP(A4244,Table1[[Customer ID]:[Discount Amount]], 6, FALSE),"Not Found")</f>
        <v>1351.65</v>
      </c>
      <c r="U4244" t="str">
        <f t="shared" si="265"/>
        <v>Debit Card</v>
      </c>
      <c r="V4244" s="4" t="str">
        <f t="shared" si="266"/>
        <v>Normal</v>
      </c>
      <c r="W4244" s="4" t="str">
        <f t="shared" si="267"/>
        <v>Poor</v>
      </c>
      <c r="X4244" s="4">
        <f>AVERAGE(Table1[Purchase Amount])</f>
        <v>129.48419400000012</v>
      </c>
    </row>
    <row r="4245" spans="1:24" ht="15" customHeight="1" x14ac:dyDescent="0.25">
      <c r="A4245">
        <v>4343</v>
      </c>
      <c r="B4245">
        <v>48</v>
      </c>
      <c r="C4245" t="s">
        <v>71</v>
      </c>
      <c r="D4245" t="s">
        <v>112</v>
      </c>
      <c r="E4245" t="s">
        <v>81</v>
      </c>
      <c r="F4245" s="2">
        <v>0</v>
      </c>
      <c r="G4245" t="s">
        <v>82</v>
      </c>
      <c r="H4245" t="s">
        <v>31</v>
      </c>
      <c r="I4245" t="s">
        <v>74</v>
      </c>
      <c r="J4245" t="s">
        <v>57</v>
      </c>
      <c r="K4245">
        <v>1</v>
      </c>
      <c r="L4245" t="s">
        <v>23</v>
      </c>
      <c r="M4245" t="s">
        <v>24</v>
      </c>
      <c r="N4245" t="s">
        <v>34</v>
      </c>
      <c r="O4245">
        <v>26</v>
      </c>
      <c r="P4245" t="s">
        <v>36</v>
      </c>
      <c r="Q4245" t="s">
        <v>26</v>
      </c>
      <c r="R4245" s="1">
        <v>0.1</v>
      </c>
      <c r="S4245">
        <f t="shared" si="264"/>
        <v>0</v>
      </c>
      <c r="T4245">
        <f>IFERROR(VLOOKUP(A4245,Table1[[Customer ID]:[Discount Amount]], 6, FALSE),"Not Found")</f>
        <v>0</v>
      </c>
      <c r="U4245" t="str">
        <f t="shared" si="265"/>
        <v>Debit Card</v>
      </c>
      <c r="V4245" s="4" t="str">
        <f t="shared" si="266"/>
        <v>Normal</v>
      </c>
      <c r="W4245" s="4" t="str">
        <f t="shared" si="267"/>
        <v>Poor</v>
      </c>
      <c r="X4245" s="4">
        <f>AVERAGE(Table1[Purchase Amount])</f>
        <v>129.48419400000012</v>
      </c>
    </row>
    <row r="4246" spans="1:24" ht="15" customHeight="1" x14ac:dyDescent="0.25">
      <c r="A4246">
        <v>4344</v>
      </c>
      <c r="B4246">
        <v>31</v>
      </c>
      <c r="C4246" t="s">
        <v>16</v>
      </c>
      <c r="D4246" t="s">
        <v>117</v>
      </c>
      <c r="E4246" t="s">
        <v>81</v>
      </c>
      <c r="F4246" s="2">
        <v>23.3</v>
      </c>
      <c r="G4246" t="s">
        <v>82</v>
      </c>
      <c r="H4246" t="s">
        <v>31</v>
      </c>
      <c r="I4246" t="s">
        <v>46</v>
      </c>
      <c r="J4246" t="s">
        <v>33</v>
      </c>
      <c r="K4246">
        <v>1</v>
      </c>
      <c r="L4246" t="s">
        <v>34</v>
      </c>
      <c r="M4246" t="s">
        <v>24</v>
      </c>
      <c r="N4246" t="s">
        <v>23</v>
      </c>
      <c r="O4246">
        <v>39</v>
      </c>
      <c r="P4246" t="s">
        <v>58</v>
      </c>
      <c r="Q4246" t="s">
        <v>37</v>
      </c>
      <c r="R4246" s="1">
        <v>0.1</v>
      </c>
      <c r="S4246">
        <f t="shared" si="264"/>
        <v>20.97</v>
      </c>
      <c r="T4246">
        <f>IFERROR(VLOOKUP(A4246,Table1[[Customer ID]:[Discount Amount]], 6, FALSE),"Not Found")</f>
        <v>23.3</v>
      </c>
      <c r="U4246" t="str">
        <f t="shared" si="265"/>
        <v>PayPal</v>
      </c>
      <c r="V4246" s="4" t="str">
        <f t="shared" si="266"/>
        <v>Normal</v>
      </c>
      <c r="W4246" s="4" t="str">
        <f t="shared" si="267"/>
        <v>Poor</v>
      </c>
      <c r="X4246" s="4">
        <f>AVERAGE(Table1[Purchase Amount])</f>
        <v>129.48419400000012</v>
      </c>
    </row>
    <row r="4247" spans="1:24" ht="15" customHeight="1" x14ac:dyDescent="0.25">
      <c r="A4247">
        <v>4345</v>
      </c>
      <c r="B4247">
        <v>43</v>
      </c>
      <c r="C4247" t="s">
        <v>27</v>
      </c>
      <c r="D4247" t="s">
        <v>112</v>
      </c>
      <c r="E4247" t="s">
        <v>18</v>
      </c>
      <c r="F4247" s="2">
        <v>95.29</v>
      </c>
      <c r="G4247" t="s">
        <v>101</v>
      </c>
      <c r="H4247" t="s">
        <v>31</v>
      </c>
      <c r="I4247" t="s">
        <v>74</v>
      </c>
      <c r="J4247" t="s">
        <v>57</v>
      </c>
      <c r="K4247">
        <v>1</v>
      </c>
      <c r="L4247" t="s">
        <v>34</v>
      </c>
      <c r="M4247" t="s">
        <v>24</v>
      </c>
      <c r="N4247" t="s">
        <v>34</v>
      </c>
      <c r="O4247">
        <v>50</v>
      </c>
      <c r="P4247" t="s">
        <v>53</v>
      </c>
      <c r="Q4247" t="s">
        <v>42</v>
      </c>
      <c r="R4247" s="1">
        <v>0.1</v>
      </c>
      <c r="S4247">
        <f t="shared" si="264"/>
        <v>85.76100000000001</v>
      </c>
      <c r="T4247">
        <f>IFERROR(VLOOKUP(A4247,Table1[[Customer ID]:[Discount Amount]], 6, FALSE),"Not Found")</f>
        <v>95.29</v>
      </c>
      <c r="U4247" t="str">
        <f t="shared" si="265"/>
        <v>Credit Card</v>
      </c>
      <c r="V4247" s="4" t="str">
        <f t="shared" si="266"/>
        <v>Normal</v>
      </c>
      <c r="W4247" s="4" t="str">
        <f t="shared" si="267"/>
        <v>Poor</v>
      </c>
      <c r="X4247" s="4">
        <f>AVERAGE(Table1[Purchase Amount])</f>
        <v>129.48419400000012</v>
      </c>
    </row>
    <row r="4248" spans="1:24" ht="15" customHeight="1" x14ac:dyDescent="0.25">
      <c r="A4248">
        <v>4346</v>
      </c>
      <c r="B4248">
        <v>21</v>
      </c>
      <c r="C4248" t="s">
        <v>16</v>
      </c>
      <c r="D4248" t="s">
        <v>112</v>
      </c>
      <c r="E4248" t="s">
        <v>18</v>
      </c>
      <c r="F4248" s="2">
        <v>0</v>
      </c>
      <c r="G4248" t="s">
        <v>139</v>
      </c>
      <c r="H4248" t="s">
        <v>20</v>
      </c>
      <c r="I4248" t="s">
        <v>74</v>
      </c>
      <c r="J4248" t="s">
        <v>75</v>
      </c>
      <c r="K4248">
        <v>1</v>
      </c>
      <c r="L4248" t="s">
        <v>34</v>
      </c>
      <c r="M4248" t="s">
        <v>24</v>
      </c>
      <c r="N4248" t="s">
        <v>34</v>
      </c>
      <c r="O4248">
        <v>28</v>
      </c>
      <c r="P4248" t="s">
        <v>25</v>
      </c>
      <c r="Q4248" t="s">
        <v>42</v>
      </c>
      <c r="R4248" s="1">
        <v>0.1</v>
      </c>
      <c r="S4248">
        <f t="shared" si="264"/>
        <v>0</v>
      </c>
      <c r="T4248">
        <f>IFERROR(VLOOKUP(A4248,Table1[[Customer ID]:[Discount Amount]], 6, FALSE),"Not Found")</f>
        <v>0</v>
      </c>
      <c r="U4248" t="str">
        <f t="shared" si="265"/>
        <v>Cash</v>
      </c>
      <c r="V4248" s="4" t="str">
        <f t="shared" si="266"/>
        <v>Normal</v>
      </c>
      <c r="W4248" s="4" t="str">
        <f t="shared" si="267"/>
        <v>Poor</v>
      </c>
      <c r="X4248" s="4">
        <f>AVERAGE(Table1[Purchase Amount])</f>
        <v>129.48419400000012</v>
      </c>
    </row>
    <row r="4249" spans="1:24" ht="15" customHeight="1" x14ac:dyDescent="0.25">
      <c r="A4249">
        <v>4347</v>
      </c>
      <c r="B4249">
        <v>65</v>
      </c>
      <c r="C4249" t="s">
        <v>27</v>
      </c>
      <c r="D4249" t="s">
        <v>117</v>
      </c>
      <c r="E4249" t="s">
        <v>18</v>
      </c>
      <c r="F4249" s="2">
        <v>0</v>
      </c>
      <c r="G4249" t="s">
        <v>139</v>
      </c>
      <c r="H4249" t="s">
        <v>55</v>
      </c>
      <c r="I4249" t="s">
        <v>40</v>
      </c>
      <c r="J4249" t="s">
        <v>57</v>
      </c>
      <c r="K4249">
        <v>4</v>
      </c>
      <c r="L4249" t="s">
        <v>34</v>
      </c>
      <c r="M4249" t="s">
        <v>24</v>
      </c>
      <c r="N4249" t="s">
        <v>34</v>
      </c>
      <c r="O4249">
        <v>0</v>
      </c>
      <c r="P4249" t="s">
        <v>58</v>
      </c>
      <c r="Q4249" t="s">
        <v>26</v>
      </c>
      <c r="R4249" s="1">
        <v>0.1</v>
      </c>
      <c r="S4249">
        <f t="shared" si="264"/>
        <v>0</v>
      </c>
      <c r="T4249">
        <f>IFERROR(VLOOKUP(A4249,Table1[[Customer ID]:[Discount Amount]], 6, FALSE),"Not Found")</f>
        <v>0</v>
      </c>
      <c r="U4249" t="str">
        <f t="shared" si="265"/>
        <v>PayPal</v>
      </c>
      <c r="V4249" s="4" t="str">
        <f t="shared" si="266"/>
        <v>Normal</v>
      </c>
      <c r="W4249" s="4" t="str">
        <f t="shared" si="267"/>
        <v>Good</v>
      </c>
      <c r="X4249" s="4">
        <f>AVERAGE(Table1[Purchase Amount])</f>
        <v>129.48419400000012</v>
      </c>
    </row>
    <row r="4250" spans="1:24" ht="15" customHeight="1" x14ac:dyDescent="0.25">
      <c r="A4250">
        <v>4348</v>
      </c>
      <c r="B4250">
        <v>42</v>
      </c>
      <c r="C4250" t="s">
        <v>27</v>
      </c>
      <c r="D4250" t="s">
        <v>95</v>
      </c>
      <c r="E4250" t="s">
        <v>18</v>
      </c>
      <c r="F4250" s="2">
        <v>1033.69</v>
      </c>
      <c r="G4250" t="s">
        <v>101</v>
      </c>
      <c r="H4250" t="s">
        <v>45</v>
      </c>
      <c r="I4250" t="s">
        <v>74</v>
      </c>
      <c r="J4250" t="s">
        <v>22</v>
      </c>
      <c r="K4250">
        <v>1</v>
      </c>
      <c r="L4250" t="s">
        <v>23</v>
      </c>
      <c r="M4250" t="s">
        <v>61</v>
      </c>
      <c r="N4250" t="s">
        <v>23</v>
      </c>
      <c r="O4250">
        <v>23</v>
      </c>
      <c r="P4250" t="s">
        <v>36</v>
      </c>
      <c r="Q4250" t="s">
        <v>42</v>
      </c>
      <c r="R4250" s="1">
        <v>0.1</v>
      </c>
      <c r="S4250">
        <f t="shared" si="264"/>
        <v>930.32100000000003</v>
      </c>
      <c r="T4250">
        <f>IFERROR(VLOOKUP(A4250,Table1[[Customer ID]:[Discount Amount]], 6, FALSE),"Not Found")</f>
        <v>1033.69</v>
      </c>
      <c r="U4250" t="str">
        <f t="shared" si="265"/>
        <v>Debit Card</v>
      </c>
      <c r="V4250" s="4" t="str">
        <f t="shared" si="266"/>
        <v>Normal</v>
      </c>
      <c r="W4250" s="4" t="str">
        <f t="shared" si="267"/>
        <v>Poor</v>
      </c>
      <c r="X4250" s="4">
        <f>AVERAGE(Table1[Purchase Amount])</f>
        <v>129.48419400000012</v>
      </c>
    </row>
    <row r="4251" spans="1:24" ht="15" customHeight="1" x14ac:dyDescent="0.25">
      <c r="A4251">
        <v>4349</v>
      </c>
      <c r="B4251">
        <v>18</v>
      </c>
      <c r="C4251" t="s">
        <v>27</v>
      </c>
      <c r="D4251" t="s">
        <v>38</v>
      </c>
      <c r="E4251" t="s">
        <v>29</v>
      </c>
      <c r="F4251" s="2">
        <v>0</v>
      </c>
      <c r="G4251" t="s">
        <v>101</v>
      </c>
      <c r="H4251" t="s">
        <v>31</v>
      </c>
      <c r="I4251" t="s">
        <v>46</v>
      </c>
      <c r="J4251" t="s">
        <v>33</v>
      </c>
      <c r="K4251">
        <v>1</v>
      </c>
      <c r="L4251" t="s">
        <v>23</v>
      </c>
      <c r="M4251" t="s">
        <v>24</v>
      </c>
      <c r="N4251" t="s">
        <v>34</v>
      </c>
      <c r="O4251">
        <v>0</v>
      </c>
      <c r="P4251" t="s">
        <v>25</v>
      </c>
      <c r="Q4251" t="s">
        <v>37</v>
      </c>
      <c r="R4251" s="1">
        <v>0.1</v>
      </c>
      <c r="S4251">
        <f t="shared" si="264"/>
        <v>0</v>
      </c>
      <c r="T4251">
        <f>IFERROR(VLOOKUP(A4251,Table1[[Customer ID]:[Discount Amount]], 6, FALSE),"Not Found")</f>
        <v>0</v>
      </c>
      <c r="U4251" t="str">
        <f t="shared" si="265"/>
        <v>Cash</v>
      </c>
      <c r="V4251" s="4" t="str">
        <f t="shared" si="266"/>
        <v>Normal</v>
      </c>
      <c r="W4251" s="4" t="str">
        <f t="shared" si="267"/>
        <v>Poor</v>
      </c>
      <c r="X4251" s="4">
        <f>AVERAGE(Table1[Purchase Amount])</f>
        <v>129.48419400000012</v>
      </c>
    </row>
    <row r="4252" spans="1:24" ht="15" customHeight="1" x14ac:dyDescent="0.25">
      <c r="A4252">
        <v>4350</v>
      </c>
      <c r="B4252">
        <v>64</v>
      </c>
      <c r="C4252" t="s">
        <v>71</v>
      </c>
      <c r="D4252" t="s">
        <v>80</v>
      </c>
      <c r="E4252" t="s">
        <v>18</v>
      </c>
      <c r="F4252" s="2">
        <v>247.51</v>
      </c>
      <c r="G4252" t="s">
        <v>139</v>
      </c>
      <c r="H4252" t="s">
        <v>55</v>
      </c>
      <c r="I4252" t="s">
        <v>93</v>
      </c>
      <c r="J4252" t="s">
        <v>22</v>
      </c>
      <c r="K4252">
        <v>4</v>
      </c>
      <c r="L4252" t="s">
        <v>23</v>
      </c>
      <c r="M4252" t="s">
        <v>61</v>
      </c>
      <c r="N4252" t="s">
        <v>23</v>
      </c>
      <c r="O4252">
        <v>14</v>
      </c>
      <c r="P4252" t="s">
        <v>36</v>
      </c>
      <c r="Q4252" t="s">
        <v>26</v>
      </c>
      <c r="R4252" s="1">
        <v>0.1</v>
      </c>
      <c r="S4252">
        <f t="shared" si="264"/>
        <v>222.75899999999999</v>
      </c>
      <c r="T4252">
        <f>IFERROR(VLOOKUP(A4252,Table1[[Customer ID]:[Discount Amount]], 6, FALSE),"Not Found")</f>
        <v>247.51</v>
      </c>
      <c r="U4252" t="str">
        <f t="shared" si="265"/>
        <v>Debit Card</v>
      </c>
      <c r="V4252" s="4" t="str">
        <f t="shared" si="266"/>
        <v>Normal</v>
      </c>
      <c r="W4252" s="4" t="str">
        <f t="shared" si="267"/>
        <v>Good</v>
      </c>
      <c r="X4252" s="4">
        <f>AVERAGE(Table1[Purchase Amount])</f>
        <v>129.48419400000012</v>
      </c>
    </row>
    <row r="4253" spans="1:24" ht="15" customHeight="1" x14ac:dyDescent="0.25">
      <c r="A4253">
        <v>4351</v>
      </c>
      <c r="B4253">
        <v>26</v>
      </c>
      <c r="C4253" t="s">
        <v>71</v>
      </c>
      <c r="D4253" t="s">
        <v>116</v>
      </c>
      <c r="E4253" t="s">
        <v>81</v>
      </c>
      <c r="F4253" s="2">
        <v>1147.0999999999999</v>
      </c>
      <c r="G4253" t="s">
        <v>139</v>
      </c>
      <c r="H4253" t="s">
        <v>31</v>
      </c>
      <c r="I4253" t="s">
        <v>32</v>
      </c>
      <c r="J4253" t="s">
        <v>22</v>
      </c>
      <c r="K4253">
        <v>2</v>
      </c>
      <c r="L4253" t="s">
        <v>23</v>
      </c>
      <c r="M4253" t="s">
        <v>24</v>
      </c>
      <c r="N4253" t="s">
        <v>34</v>
      </c>
      <c r="O4253">
        <v>0</v>
      </c>
      <c r="P4253" t="s">
        <v>53</v>
      </c>
      <c r="Q4253" t="s">
        <v>26</v>
      </c>
      <c r="R4253" s="1">
        <v>0.1</v>
      </c>
      <c r="S4253">
        <f t="shared" si="264"/>
        <v>1032.3899999999999</v>
      </c>
      <c r="T4253">
        <f>IFERROR(VLOOKUP(A4253,Table1[[Customer ID]:[Discount Amount]], 6, FALSE),"Not Found")</f>
        <v>1147.0999999999999</v>
      </c>
      <c r="U4253" t="str">
        <f t="shared" si="265"/>
        <v>Credit Card</v>
      </c>
      <c r="V4253" s="4" t="str">
        <f t="shared" si="266"/>
        <v>Normal</v>
      </c>
      <c r="W4253" s="4" t="str">
        <f t="shared" si="267"/>
        <v>Poor</v>
      </c>
      <c r="X4253" s="4">
        <f>AVERAGE(Table1[Purchase Amount])</f>
        <v>129.48419400000012</v>
      </c>
    </row>
    <row r="4254" spans="1:24" ht="15" customHeight="1" x14ac:dyDescent="0.25">
      <c r="A4254">
        <v>4352</v>
      </c>
      <c r="B4254">
        <v>25</v>
      </c>
      <c r="C4254" t="s">
        <v>16</v>
      </c>
      <c r="D4254" t="s">
        <v>95</v>
      </c>
      <c r="E4254" t="s">
        <v>81</v>
      </c>
      <c r="F4254" s="2">
        <v>0</v>
      </c>
      <c r="G4254" t="s">
        <v>126</v>
      </c>
      <c r="H4254" t="s">
        <v>31</v>
      </c>
      <c r="I4254" t="s">
        <v>46</v>
      </c>
      <c r="J4254" t="s">
        <v>57</v>
      </c>
      <c r="K4254">
        <v>1</v>
      </c>
      <c r="L4254" t="s">
        <v>23</v>
      </c>
      <c r="M4254" t="s">
        <v>24</v>
      </c>
      <c r="N4254" t="s">
        <v>34</v>
      </c>
      <c r="O4254">
        <v>50</v>
      </c>
      <c r="P4254" t="s">
        <v>25</v>
      </c>
      <c r="Q4254" t="s">
        <v>26</v>
      </c>
      <c r="R4254" s="1">
        <v>0.1</v>
      </c>
      <c r="S4254">
        <f t="shared" si="264"/>
        <v>0</v>
      </c>
      <c r="T4254">
        <f>IFERROR(VLOOKUP(A4254,Table1[[Customer ID]:[Discount Amount]], 6, FALSE),"Not Found")</f>
        <v>0</v>
      </c>
      <c r="U4254" t="str">
        <f t="shared" si="265"/>
        <v>Cash</v>
      </c>
      <c r="V4254" s="4" t="str">
        <f t="shared" si="266"/>
        <v>Normal</v>
      </c>
      <c r="W4254" s="4" t="str">
        <f t="shared" si="267"/>
        <v>Poor</v>
      </c>
      <c r="X4254" s="4">
        <f>AVERAGE(Table1[Purchase Amount])</f>
        <v>129.48419400000012</v>
      </c>
    </row>
    <row r="4255" spans="1:24" ht="15" customHeight="1" x14ac:dyDescent="0.25">
      <c r="A4255">
        <v>4353</v>
      </c>
      <c r="B4255">
        <v>60</v>
      </c>
      <c r="C4255" t="s">
        <v>27</v>
      </c>
      <c r="D4255" t="s">
        <v>95</v>
      </c>
      <c r="E4255" t="s">
        <v>29</v>
      </c>
      <c r="F4255" s="2">
        <v>0</v>
      </c>
      <c r="G4255" t="s">
        <v>82</v>
      </c>
      <c r="H4255" t="s">
        <v>45</v>
      </c>
      <c r="I4255" t="s">
        <v>40</v>
      </c>
      <c r="J4255" t="s">
        <v>75</v>
      </c>
      <c r="K4255">
        <v>1</v>
      </c>
      <c r="L4255" t="s">
        <v>34</v>
      </c>
      <c r="M4255" t="s">
        <v>61</v>
      </c>
      <c r="N4255" t="s">
        <v>34</v>
      </c>
      <c r="O4255">
        <v>0</v>
      </c>
      <c r="P4255" t="s">
        <v>58</v>
      </c>
      <c r="Q4255" t="s">
        <v>37</v>
      </c>
      <c r="R4255" s="1">
        <v>0.1</v>
      </c>
      <c r="S4255">
        <f t="shared" si="264"/>
        <v>0</v>
      </c>
      <c r="T4255">
        <f>IFERROR(VLOOKUP(A4255,Table1[[Customer ID]:[Discount Amount]], 6, FALSE),"Not Found")</f>
        <v>0</v>
      </c>
      <c r="U4255" t="str">
        <f t="shared" si="265"/>
        <v>PayPal</v>
      </c>
      <c r="V4255" s="4" t="str">
        <f t="shared" si="266"/>
        <v>Normal</v>
      </c>
      <c r="W4255" s="4" t="str">
        <f t="shared" si="267"/>
        <v>Poor</v>
      </c>
      <c r="X4255" s="4">
        <f>AVERAGE(Table1[Purchase Amount])</f>
        <v>129.48419400000012</v>
      </c>
    </row>
    <row r="4256" spans="1:24" ht="15" customHeight="1" x14ac:dyDescent="0.25">
      <c r="A4256">
        <v>4354</v>
      </c>
      <c r="B4256">
        <v>53</v>
      </c>
      <c r="C4256" t="s">
        <v>71</v>
      </c>
      <c r="D4256" t="s">
        <v>80</v>
      </c>
      <c r="E4256" t="s">
        <v>81</v>
      </c>
      <c r="F4256" s="2">
        <v>0</v>
      </c>
      <c r="G4256" t="s">
        <v>82</v>
      </c>
      <c r="H4256" t="s">
        <v>31</v>
      </c>
      <c r="I4256" t="s">
        <v>40</v>
      </c>
      <c r="J4256" t="s">
        <v>75</v>
      </c>
      <c r="K4256">
        <v>1</v>
      </c>
      <c r="L4256" t="s">
        <v>23</v>
      </c>
      <c r="M4256" t="s">
        <v>61</v>
      </c>
      <c r="N4256" t="s">
        <v>34</v>
      </c>
      <c r="O4256">
        <v>0</v>
      </c>
      <c r="P4256" t="s">
        <v>58</v>
      </c>
      <c r="Q4256" t="s">
        <v>42</v>
      </c>
      <c r="R4256" s="1">
        <v>0.1</v>
      </c>
      <c r="S4256">
        <f t="shared" si="264"/>
        <v>0</v>
      </c>
      <c r="T4256">
        <f>IFERROR(VLOOKUP(A4256,Table1[[Customer ID]:[Discount Amount]], 6, FALSE),"Not Found")</f>
        <v>0</v>
      </c>
      <c r="U4256" t="str">
        <f t="shared" si="265"/>
        <v>PayPal</v>
      </c>
      <c r="V4256" s="4" t="str">
        <f t="shared" si="266"/>
        <v>Normal</v>
      </c>
      <c r="W4256" s="4" t="str">
        <f t="shared" si="267"/>
        <v>Poor</v>
      </c>
      <c r="X4256" s="4">
        <f>AVERAGE(Table1[Purchase Amount])</f>
        <v>129.48419400000012</v>
      </c>
    </row>
    <row r="4257" spans="1:24" ht="15" customHeight="1" x14ac:dyDescent="0.25">
      <c r="A4257">
        <v>4355</v>
      </c>
      <c r="B4257">
        <v>46</v>
      </c>
      <c r="C4257" t="s">
        <v>16</v>
      </c>
      <c r="D4257" t="s">
        <v>72</v>
      </c>
      <c r="E4257" t="s">
        <v>29</v>
      </c>
      <c r="F4257" s="2">
        <v>585.85</v>
      </c>
      <c r="G4257" t="s">
        <v>101</v>
      </c>
      <c r="H4257" t="s">
        <v>31</v>
      </c>
      <c r="I4257" t="s">
        <v>93</v>
      </c>
      <c r="J4257" t="s">
        <v>33</v>
      </c>
      <c r="K4257">
        <v>4</v>
      </c>
      <c r="L4257" t="s">
        <v>23</v>
      </c>
      <c r="M4257" t="s">
        <v>61</v>
      </c>
      <c r="N4257" t="s">
        <v>23</v>
      </c>
      <c r="O4257">
        <v>41</v>
      </c>
      <c r="P4257" t="s">
        <v>58</v>
      </c>
      <c r="Q4257" t="s">
        <v>37</v>
      </c>
      <c r="R4257" s="1">
        <v>0.1</v>
      </c>
      <c r="S4257">
        <f t="shared" si="264"/>
        <v>527.26499999999999</v>
      </c>
      <c r="T4257">
        <f>IFERROR(VLOOKUP(A4257,Table1[[Customer ID]:[Discount Amount]], 6, FALSE),"Not Found")</f>
        <v>585.85</v>
      </c>
      <c r="U4257" t="str">
        <f t="shared" si="265"/>
        <v>PayPal</v>
      </c>
      <c r="V4257" s="4" t="str">
        <f t="shared" si="266"/>
        <v>Normal</v>
      </c>
      <c r="W4257" s="4" t="str">
        <f t="shared" si="267"/>
        <v>Good</v>
      </c>
      <c r="X4257" s="4">
        <f>AVERAGE(Table1[Purchase Amount])</f>
        <v>129.48419400000012</v>
      </c>
    </row>
    <row r="4258" spans="1:24" ht="15" customHeight="1" x14ac:dyDescent="0.25">
      <c r="A4258">
        <v>4356</v>
      </c>
      <c r="B4258">
        <v>33</v>
      </c>
      <c r="C4258" t="s">
        <v>16</v>
      </c>
      <c r="D4258" t="s">
        <v>95</v>
      </c>
      <c r="E4258" t="s">
        <v>18</v>
      </c>
      <c r="F4258" s="2">
        <v>0</v>
      </c>
      <c r="G4258" t="s">
        <v>126</v>
      </c>
      <c r="H4258" t="s">
        <v>20</v>
      </c>
      <c r="I4258" t="s">
        <v>74</v>
      </c>
      <c r="J4258" t="s">
        <v>75</v>
      </c>
      <c r="K4258">
        <v>5</v>
      </c>
      <c r="L4258" t="s">
        <v>34</v>
      </c>
      <c r="M4258" t="s">
        <v>24</v>
      </c>
      <c r="N4258" t="s">
        <v>23</v>
      </c>
      <c r="O4258">
        <v>2</v>
      </c>
      <c r="P4258" t="s">
        <v>58</v>
      </c>
      <c r="Q4258" t="s">
        <v>26</v>
      </c>
      <c r="R4258" s="1">
        <v>0.1</v>
      </c>
      <c r="S4258">
        <f t="shared" si="264"/>
        <v>0</v>
      </c>
      <c r="T4258">
        <f>IFERROR(VLOOKUP(A4258,Table1[[Customer ID]:[Discount Amount]], 6, FALSE),"Not Found")</f>
        <v>0</v>
      </c>
      <c r="U4258" t="str">
        <f t="shared" si="265"/>
        <v>PayPal</v>
      </c>
      <c r="V4258" s="4" t="str">
        <f t="shared" si="266"/>
        <v>Normal</v>
      </c>
      <c r="W4258" s="4" t="str">
        <f t="shared" si="267"/>
        <v>Good</v>
      </c>
      <c r="X4258" s="4">
        <f>AVERAGE(Table1[Purchase Amount])</f>
        <v>129.48419400000012</v>
      </c>
    </row>
    <row r="4259" spans="1:24" ht="15" customHeight="1" x14ac:dyDescent="0.25">
      <c r="A4259">
        <v>4357</v>
      </c>
      <c r="B4259">
        <v>21</v>
      </c>
      <c r="C4259" t="s">
        <v>71</v>
      </c>
      <c r="D4259" t="s">
        <v>116</v>
      </c>
      <c r="E4259" t="s">
        <v>18</v>
      </c>
      <c r="F4259" s="2">
        <v>0</v>
      </c>
      <c r="G4259" t="s">
        <v>82</v>
      </c>
      <c r="H4259" t="s">
        <v>31</v>
      </c>
      <c r="I4259" t="s">
        <v>40</v>
      </c>
      <c r="J4259" t="s">
        <v>57</v>
      </c>
      <c r="K4259">
        <v>1</v>
      </c>
      <c r="L4259" t="s">
        <v>23</v>
      </c>
      <c r="M4259" t="s">
        <v>61</v>
      </c>
      <c r="N4259" t="s">
        <v>23</v>
      </c>
      <c r="O4259">
        <v>0</v>
      </c>
      <c r="P4259" t="s">
        <v>36</v>
      </c>
      <c r="Q4259" t="s">
        <v>42</v>
      </c>
      <c r="R4259" s="1">
        <v>0.1</v>
      </c>
      <c r="S4259">
        <f t="shared" si="264"/>
        <v>0</v>
      </c>
      <c r="T4259">
        <f>IFERROR(VLOOKUP(A4259,Table1[[Customer ID]:[Discount Amount]], 6, FALSE),"Not Found")</f>
        <v>0</v>
      </c>
      <c r="U4259" t="str">
        <f t="shared" si="265"/>
        <v>Debit Card</v>
      </c>
      <c r="V4259" s="4" t="str">
        <f t="shared" si="266"/>
        <v>Normal</v>
      </c>
      <c r="W4259" s="4" t="str">
        <f t="shared" si="267"/>
        <v>Poor</v>
      </c>
      <c r="X4259" s="4">
        <f>AVERAGE(Table1[Purchase Amount])</f>
        <v>129.48419400000012</v>
      </c>
    </row>
    <row r="4260" spans="1:24" ht="15" customHeight="1" x14ac:dyDescent="0.25">
      <c r="A4260">
        <v>4358</v>
      </c>
      <c r="B4260">
        <v>25</v>
      </c>
      <c r="C4260" t="s">
        <v>16</v>
      </c>
      <c r="D4260" t="s">
        <v>80</v>
      </c>
      <c r="E4260" t="s">
        <v>29</v>
      </c>
      <c r="F4260" s="2">
        <v>0</v>
      </c>
      <c r="G4260" t="s">
        <v>73</v>
      </c>
      <c r="H4260" t="s">
        <v>45</v>
      </c>
      <c r="I4260" t="s">
        <v>74</v>
      </c>
      <c r="J4260" t="s">
        <v>75</v>
      </c>
      <c r="K4260">
        <v>1</v>
      </c>
      <c r="L4260" t="s">
        <v>34</v>
      </c>
      <c r="M4260" t="s">
        <v>61</v>
      </c>
      <c r="N4260" t="s">
        <v>23</v>
      </c>
      <c r="O4260">
        <v>12</v>
      </c>
      <c r="P4260" t="s">
        <v>53</v>
      </c>
      <c r="Q4260" t="s">
        <v>37</v>
      </c>
      <c r="R4260" s="1">
        <v>0.1</v>
      </c>
      <c r="S4260">
        <f t="shared" si="264"/>
        <v>0</v>
      </c>
      <c r="T4260">
        <f>IFERROR(VLOOKUP(A4260,Table1[[Customer ID]:[Discount Amount]], 6, FALSE),"Not Found")</f>
        <v>0</v>
      </c>
      <c r="U4260" t="str">
        <f t="shared" si="265"/>
        <v>Credit Card</v>
      </c>
      <c r="V4260" s="4" t="str">
        <f t="shared" si="266"/>
        <v>Normal</v>
      </c>
      <c r="W4260" s="4" t="str">
        <f t="shared" si="267"/>
        <v>Poor</v>
      </c>
      <c r="X4260" s="4">
        <f>AVERAGE(Table1[Purchase Amount])</f>
        <v>129.48419400000012</v>
      </c>
    </row>
    <row r="4261" spans="1:24" ht="15" customHeight="1" x14ac:dyDescent="0.25">
      <c r="A4261">
        <v>4359</v>
      </c>
      <c r="B4261">
        <v>32</v>
      </c>
      <c r="C4261" t="s">
        <v>16</v>
      </c>
      <c r="D4261" t="s">
        <v>112</v>
      </c>
      <c r="E4261" t="s">
        <v>29</v>
      </c>
      <c r="F4261" s="2">
        <v>0</v>
      </c>
      <c r="G4261" t="s">
        <v>126</v>
      </c>
      <c r="H4261" t="s">
        <v>55</v>
      </c>
      <c r="I4261" t="s">
        <v>93</v>
      </c>
      <c r="J4261" t="s">
        <v>33</v>
      </c>
      <c r="K4261">
        <v>5</v>
      </c>
      <c r="L4261" t="s">
        <v>34</v>
      </c>
      <c r="M4261" t="s">
        <v>24</v>
      </c>
      <c r="N4261" t="s">
        <v>23</v>
      </c>
      <c r="O4261">
        <v>29</v>
      </c>
      <c r="P4261" t="s">
        <v>58</v>
      </c>
      <c r="Q4261" t="s">
        <v>42</v>
      </c>
      <c r="R4261" s="1">
        <v>0.1</v>
      </c>
      <c r="S4261">
        <f t="shared" si="264"/>
        <v>0</v>
      </c>
      <c r="T4261">
        <f>IFERROR(VLOOKUP(A4261,Table1[[Customer ID]:[Discount Amount]], 6, FALSE),"Not Found")</f>
        <v>0</v>
      </c>
      <c r="U4261" t="str">
        <f t="shared" si="265"/>
        <v>PayPal</v>
      </c>
      <c r="V4261" s="4" t="str">
        <f t="shared" si="266"/>
        <v>Normal</v>
      </c>
      <c r="W4261" s="4" t="str">
        <f t="shared" si="267"/>
        <v>Good</v>
      </c>
      <c r="X4261" s="4">
        <f>AVERAGE(Table1[Purchase Amount])</f>
        <v>129.48419400000012</v>
      </c>
    </row>
    <row r="4262" spans="1:24" ht="15" customHeight="1" x14ac:dyDescent="0.25">
      <c r="A4262">
        <v>4360</v>
      </c>
      <c r="B4262">
        <v>50</v>
      </c>
      <c r="C4262" t="s">
        <v>27</v>
      </c>
      <c r="D4262" t="s">
        <v>72</v>
      </c>
      <c r="E4262" t="s">
        <v>18</v>
      </c>
      <c r="F4262" s="2">
        <v>309.93</v>
      </c>
      <c r="G4262" t="s">
        <v>139</v>
      </c>
      <c r="H4262" t="s">
        <v>55</v>
      </c>
      <c r="I4262" t="s">
        <v>40</v>
      </c>
      <c r="J4262" t="s">
        <v>57</v>
      </c>
      <c r="K4262">
        <v>1</v>
      </c>
      <c r="L4262" t="s">
        <v>34</v>
      </c>
      <c r="M4262" t="s">
        <v>24</v>
      </c>
      <c r="N4262" t="s">
        <v>34</v>
      </c>
      <c r="O4262">
        <v>33</v>
      </c>
      <c r="P4262" t="s">
        <v>25</v>
      </c>
      <c r="Q4262" t="s">
        <v>42</v>
      </c>
      <c r="R4262" s="1">
        <v>0.1</v>
      </c>
      <c r="S4262">
        <f t="shared" si="264"/>
        <v>278.93700000000001</v>
      </c>
      <c r="T4262">
        <f>IFERROR(VLOOKUP(A4262,Table1[[Customer ID]:[Discount Amount]], 6, FALSE),"Not Found")</f>
        <v>309.93</v>
      </c>
      <c r="U4262" t="str">
        <f t="shared" si="265"/>
        <v>Cash</v>
      </c>
      <c r="V4262" s="4" t="str">
        <f t="shared" si="266"/>
        <v>Normal</v>
      </c>
      <c r="W4262" s="4" t="str">
        <f t="shared" si="267"/>
        <v>Poor</v>
      </c>
      <c r="X4262" s="4">
        <f>AVERAGE(Table1[Purchase Amount])</f>
        <v>129.48419400000012</v>
      </c>
    </row>
    <row r="4263" spans="1:24" ht="15" customHeight="1" x14ac:dyDescent="0.25">
      <c r="A4263">
        <v>4361</v>
      </c>
      <c r="B4263">
        <v>20</v>
      </c>
      <c r="C4263" t="s">
        <v>71</v>
      </c>
      <c r="D4263" t="s">
        <v>38</v>
      </c>
      <c r="E4263" t="s">
        <v>29</v>
      </c>
      <c r="F4263" s="2">
        <v>238.88</v>
      </c>
      <c r="G4263" t="s">
        <v>126</v>
      </c>
      <c r="H4263" t="s">
        <v>45</v>
      </c>
      <c r="I4263" t="s">
        <v>32</v>
      </c>
      <c r="J4263" t="s">
        <v>57</v>
      </c>
      <c r="K4263">
        <v>2</v>
      </c>
      <c r="L4263" t="s">
        <v>34</v>
      </c>
      <c r="M4263" t="s">
        <v>24</v>
      </c>
      <c r="N4263" t="s">
        <v>34</v>
      </c>
      <c r="O4263">
        <v>29</v>
      </c>
      <c r="P4263" t="s">
        <v>25</v>
      </c>
      <c r="Q4263" t="s">
        <v>37</v>
      </c>
      <c r="R4263" s="1">
        <v>0.1</v>
      </c>
      <c r="S4263">
        <f t="shared" si="264"/>
        <v>214.99199999999999</v>
      </c>
      <c r="T4263">
        <f>IFERROR(VLOOKUP(A4263,Table1[[Customer ID]:[Discount Amount]], 6, FALSE),"Not Found")</f>
        <v>238.88</v>
      </c>
      <c r="U4263" t="str">
        <f t="shared" si="265"/>
        <v>Cash</v>
      </c>
      <c r="V4263" s="4" t="str">
        <f t="shared" si="266"/>
        <v>Normal</v>
      </c>
      <c r="W4263" s="4" t="str">
        <f t="shared" si="267"/>
        <v>Poor</v>
      </c>
      <c r="X4263" s="4">
        <f>AVERAGE(Table1[Purchase Amount])</f>
        <v>129.48419400000012</v>
      </c>
    </row>
    <row r="4264" spans="1:24" ht="15" customHeight="1" x14ac:dyDescent="0.25">
      <c r="A4264">
        <v>4362</v>
      </c>
      <c r="B4264">
        <v>64</v>
      </c>
      <c r="C4264" t="s">
        <v>27</v>
      </c>
      <c r="D4264" t="s">
        <v>112</v>
      </c>
      <c r="E4264" t="s">
        <v>81</v>
      </c>
      <c r="F4264" s="2">
        <v>0</v>
      </c>
      <c r="G4264" t="s">
        <v>139</v>
      </c>
      <c r="H4264" t="s">
        <v>31</v>
      </c>
      <c r="I4264" t="s">
        <v>46</v>
      </c>
      <c r="J4264" t="s">
        <v>22</v>
      </c>
      <c r="K4264">
        <v>1</v>
      </c>
      <c r="L4264" t="s">
        <v>34</v>
      </c>
      <c r="M4264" t="s">
        <v>61</v>
      </c>
      <c r="N4264" t="s">
        <v>34</v>
      </c>
      <c r="O4264">
        <v>0</v>
      </c>
      <c r="P4264" t="s">
        <v>25</v>
      </c>
      <c r="Q4264" t="s">
        <v>37</v>
      </c>
      <c r="R4264" s="1">
        <v>0.1</v>
      </c>
      <c r="S4264">
        <f t="shared" si="264"/>
        <v>0</v>
      </c>
      <c r="T4264">
        <f>IFERROR(VLOOKUP(A4264,Table1[[Customer ID]:[Discount Amount]], 6, FALSE),"Not Found")</f>
        <v>0</v>
      </c>
      <c r="U4264" t="str">
        <f t="shared" si="265"/>
        <v>Cash</v>
      </c>
      <c r="V4264" s="4" t="str">
        <f t="shared" si="266"/>
        <v>Normal</v>
      </c>
      <c r="W4264" s="4" t="str">
        <f t="shared" si="267"/>
        <v>Poor</v>
      </c>
      <c r="X4264" s="4">
        <f>AVERAGE(Table1[Purchase Amount])</f>
        <v>129.48419400000012</v>
      </c>
    </row>
    <row r="4265" spans="1:24" ht="15" customHeight="1" x14ac:dyDescent="0.25">
      <c r="A4265">
        <v>4363</v>
      </c>
      <c r="B4265">
        <v>25</v>
      </c>
      <c r="C4265" t="s">
        <v>16</v>
      </c>
      <c r="D4265" t="s">
        <v>117</v>
      </c>
      <c r="E4265" t="s">
        <v>81</v>
      </c>
      <c r="F4265" s="2">
        <v>0</v>
      </c>
      <c r="G4265" t="s">
        <v>126</v>
      </c>
      <c r="H4265" t="s">
        <v>31</v>
      </c>
      <c r="I4265" t="s">
        <v>46</v>
      </c>
      <c r="J4265" t="s">
        <v>75</v>
      </c>
      <c r="K4265">
        <v>1</v>
      </c>
      <c r="L4265" t="s">
        <v>23</v>
      </c>
      <c r="M4265" t="s">
        <v>61</v>
      </c>
      <c r="N4265" t="s">
        <v>34</v>
      </c>
      <c r="O4265">
        <v>0</v>
      </c>
      <c r="P4265" t="s">
        <v>58</v>
      </c>
      <c r="Q4265" t="s">
        <v>26</v>
      </c>
      <c r="R4265" s="1">
        <v>0.1</v>
      </c>
      <c r="S4265">
        <f t="shared" si="264"/>
        <v>0</v>
      </c>
      <c r="T4265">
        <f>IFERROR(VLOOKUP(A4265,Table1[[Customer ID]:[Discount Amount]], 6, FALSE),"Not Found")</f>
        <v>0</v>
      </c>
      <c r="U4265" t="str">
        <f t="shared" si="265"/>
        <v>PayPal</v>
      </c>
      <c r="V4265" s="4" t="str">
        <f t="shared" si="266"/>
        <v>Normal</v>
      </c>
      <c r="W4265" s="4" t="str">
        <f t="shared" si="267"/>
        <v>Poor</v>
      </c>
      <c r="X4265" s="4">
        <f>AVERAGE(Table1[Purchase Amount])</f>
        <v>129.48419400000012</v>
      </c>
    </row>
    <row r="4266" spans="1:24" ht="15" customHeight="1" x14ac:dyDescent="0.25">
      <c r="A4266">
        <v>4364</v>
      </c>
      <c r="B4266">
        <v>35</v>
      </c>
      <c r="C4266" t="s">
        <v>71</v>
      </c>
      <c r="D4266" t="s">
        <v>38</v>
      </c>
      <c r="E4266" t="s">
        <v>18</v>
      </c>
      <c r="F4266" s="2">
        <v>1319.13</v>
      </c>
      <c r="G4266" t="s">
        <v>101</v>
      </c>
      <c r="H4266" t="s">
        <v>20</v>
      </c>
      <c r="I4266" t="s">
        <v>32</v>
      </c>
      <c r="J4266" t="s">
        <v>57</v>
      </c>
      <c r="K4266">
        <v>4</v>
      </c>
      <c r="L4266" t="s">
        <v>23</v>
      </c>
      <c r="M4266" t="s">
        <v>24</v>
      </c>
      <c r="N4266" t="s">
        <v>23</v>
      </c>
      <c r="O4266">
        <v>0</v>
      </c>
      <c r="P4266" t="s">
        <v>36</v>
      </c>
      <c r="Q4266" t="s">
        <v>42</v>
      </c>
      <c r="R4266" s="1">
        <v>0.1</v>
      </c>
      <c r="S4266">
        <f t="shared" si="264"/>
        <v>1187.2170000000001</v>
      </c>
      <c r="T4266">
        <f>IFERROR(VLOOKUP(A4266,Table1[[Customer ID]:[Discount Amount]], 6, FALSE),"Not Found")</f>
        <v>1319.13</v>
      </c>
      <c r="U4266" t="str">
        <f t="shared" si="265"/>
        <v>Debit Card</v>
      </c>
      <c r="V4266" s="4" t="str">
        <f t="shared" si="266"/>
        <v>Best Customer</v>
      </c>
      <c r="W4266" s="4" t="str">
        <f t="shared" si="267"/>
        <v>Good</v>
      </c>
      <c r="X4266" s="4">
        <f>AVERAGE(Table1[Purchase Amount])</f>
        <v>129.48419400000012</v>
      </c>
    </row>
    <row r="4267" spans="1:24" ht="15" customHeight="1" x14ac:dyDescent="0.25">
      <c r="A4267">
        <v>4365</v>
      </c>
      <c r="B4267">
        <v>29</v>
      </c>
      <c r="C4267" t="s">
        <v>71</v>
      </c>
      <c r="D4267" t="s">
        <v>117</v>
      </c>
      <c r="E4267" t="s">
        <v>18</v>
      </c>
      <c r="F4267" s="2">
        <v>1069.81</v>
      </c>
      <c r="G4267" t="s">
        <v>82</v>
      </c>
      <c r="H4267" t="s">
        <v>55</v>
      </c>
      <c r="I4267" t="s">
        <v>46</v>
      </c>
      <c r="J4267" t="s">
        <v>22</v>
      </c>
      <c r="K4267">
        <v>1</v>
      </c>
      <c r="L4267" t="s">
        <v>34</v>
      </c>
      <c r="M4267" t="s">
        <v>24</v>
      </c>
      <c r="N4267" t="s">
        <v>23</v>
      </c>
      <c r="O4267">
        <v>0</v>
      </c>
      <c r="P4267" t="s">
        <v>53</v>
      </c>
      <c r="Q4267" t="s">
        <v>37</v>
      </c>
      <c r="R4267" s="1">
        <v>0.1</v>
      </c>
      <c r="S4267">
        <f t="shared" si="264"/>
        <v>962.82899999999995</v>
      </c>
      <c r="T4267">
        <f>IFERROR(VLOOKUP(A4267,Table1[[Customer ID]:[Discount Amount]], 6, FALSE),"Not Found")</f>
        <v>1069.81</v>
      </c>
      <c r="U4267" t="str">
        <f t="shared" si="265"/>
        <v>Credit Card</v>
      </c>
      <c r="V4267" s="4" t="str">
        <f t="shared" si="266"/>
        <v>Normal</v>
      </c>
      <c r="W4267" s="4" t="str">
        <f t="shared" si="267"/>
        <v>Poor</v>
      </c>
      <c r="X4267" s="4">
        <f>AVERAGE(Table1[Purchase Amount])</f>
        <v>129.48419400000012</v>
      </c>
    </row>
    <row r="4268" spans="1:24" ht="15" customHeight="1" x14ac:dyDescent="0.25">
      <c r="A4268">
        <v>4366</v>
      </c>
      <c r="B4268">
        <v>66</v>
      </c>
      <c r="C4268" t="s">
        <v>16</v>
      </c>
      <c r="D4268" t="s">
        <v>95</v>
      </c>
      <c r="E4268" t="s">
        <v>81</v>
      </c>
      <c r="F4268" s="2">
        <v>0</v>
      </c>
      <c r="G4268" t="s">
        <v>101</v>
      </c>
      <c r="H4268" t="s">
        <v>31</v>
      </c>
      <c r="I4268" t="s">
        <v>74</v>
      </c>
      <c r="J4268" t="s">
        <v>33</v>
      </c>
      <c r="K4268">
        <v>1</v>
      </c>
      <c r="L4268" t="s">
        <v>23</v>
      </c>
      <c r="M4268" t="s">
        <v>61</v>
      </c>
      <c r="N4268" t="s">
        <v>23</v>
      </c>
      <c r="O4268">
        <v>6</v>
      </c>
      <c r="P4268" t="s">
        <v>53</v>
      </c>
      <c r="Q4268" t="s">
        <v>37</v>
      </c>
      <c r="R4268" s="1">
        <v>0.1</v>
      </c>
      <c r="S4268">
        <f t="shared" si="264"/>
        <v>0</v>
      </c>
      <c r="T4268">
        <f>IFERROR(VLOOKUP(A4268,Table1[[Customer ID]:[Discount Amount]], 6, FALSE),"Not Found")</f>
        <v>0</v>
      </c>
      <c r="U4268" t="str">
        <f t="shared" si="265"/>
        <v>Credit Card</v>
      </c>
      <c r="V4268" s="4" t="str">
        <f t="shared" si="266"/>
        <v>Normal</v>
      </c>
      <c r="W4268" s="4" t="str">
        <f t="shared" si="267"/>
        <v>Poor</v>
      </c>
      <c r="X4268" s="4">
        <f>AVERAGE(Table1[Purchase Amount])</f>
        <v>129.48419400000012</v>
      </c>
    </row>
    <row r="4269" spans="1:24" ht="15" customHeight="1" x14ac:dyDescent="0.25">
      <c r="A4269">
        <v>4367</v>
      </c>
      <c r="B4269">
        <v>23</v>
      </c>
      <c r="C4269" t="s">
        <v>71</v>
      </c>
      <c r="D4269" t="s">
        <v>38</v>
      </c>
      <c r="E4269" t="s">
        <v>81</v>
      </c>
      <c r="F4269" s="2">
        <v>235.67</v>
      </c>
      <c r="G4269" t="s">
        <v>73</v>
      </c>
      <c r="H4269" t="s">
        <v>31</v>
      </c>
      <c r="I4269" t="s">
        <v>93</v>
      </c>
      <c r="J4269" t="s">
        <v>75</v>
      </c>
      <c r="K4269">
        <v>1</v>
      </c>
      <c r="L4269" t="s">
        <v>23</v>
      </c>
      <c r="M4269" t="s">
        <v>24</v>
      </c>
      <c r="N4269" t="s">
        <v>23</v>
      </c>
      <c r="O4269">
        <v>0</v>
      </c>
      <c r="P4269" t="s">
        <v>58</v>
      </c>
      <c r="Q4269" t="s">
        <v>37</v>
      </c>
      <c r="R4269" s="1">
        <v>0.1</v>
      </c>
      <c r="S4269">
        <f t="shared" si="264"/>
        <v>212.10299999999998</v>
      </c>
      <c r="T4269">
        <f>IFERROR(VLOOKUP(A4269,Table1[[Customer ID]:[Discount Amount]], 6, FALSE),"Not Found")</f>
        <v>235.67</v>
      </c>
      <c r="U4269" t="str">
        <f t="shared" si="265"/>
        <v>PayPal</v>
      </c>
      <c r="V4269" s="4" t="str">
        <f t="shared" si="266"/>
        <v>Normal</v>
      </c>
      <c r="W4269" s="4" t="str">
        <f t="shared" si="267"/>
        <v>Poor</v>
      </c>
      <c r="X4269" s="4">
        <f>AVERAGE(Table1[Purchase Amount])</f>
        <v>129.48419400000012</v>
      </c>
    </row>
    <row r="4270" spans="1:24" ht="15" customHeight="1" x14ac:dyDescent="0.25">
      <c r="A4270">
        <v>4368</v>
      </c>
      <c r="B4270">
        <v>37</v>
      </c>
      <c r="C4270" t="s">
        <v>71</v>
      </c>
      <c r="D4270" t="s">
        <v>117</v>
      </c>
      <c r="E4270" t="s">
        <v>18</v>
      </c>
      <c r="F4270" s="2">
        <v>0</v>
      </c>
      <c r="G4270" t="s">
        <v>73</v>
      </c>
      <c r="H4270" t="s">
        <v>31</v>
      </c>
      <c r="I4270" t="s">
        <v>46</v>
      </c>
      <c r="J4270" t="s">
        <v>33</v>
      </c>
      <c r="K4270">
        <v>1</v>
      </c>
      <c r="L4270" t="s">
        <v>34</v>
      </c>
      <c r="M4270" t="s">
        <v>24</v>
      </c>
      <c r="N4270" t="s">
        <v>34</v>
      </c>
      <c r="O4270">
        <v>0</v>
      </c>
      <c r="P4270" t="s">
        <v>58</v>
      </c>
      <c r="Q4270" t="s">
        <v>26</v>
      </c>
      <c r="R4270" s="1">
        <v>0.1</v>
      </c>
      <c r="S4270">
        <f t="shared" si="264"/>
        <v>0</v>
      </c>
      <c r="T4270">
        <f>IFERROR(VLOOKUP(A4270,Table1[[Customer ID]:[Discount Amount]], 6, FALSE),"Not Found")</f>
        <v>0</v>
      </c>
      <c r="U4270" t="str">
        <f t="shared" si="265"/>
        <v>PayPal</v>
      </c>
      <c r="V4270" s="4" t="str">
        <f t="shared" si="266"/>
        <v>Normal</v>
      </c>
      <c r="W4270" s="4" t="str">
        <f t="shared" si="267"/>
        <v>Poor</v>
      </c>
      <c r="X4270" s="4">
        <f>AVERAGE(Table1[Purchase Amount])</f>
        <v>129.48419400000012</v>
      </c>
    </row>
    <row r="4271" spans="1:24" ht="15" customHeight="1" x14ac:dyDescent="0.25">
      <c r="A4271">
        <v>4369</v>
      </c>
      <c r="B4271">
        <v>45</v>
      </c>
      <c r="C4271" t="s">
        <v>71</v>
      </c>
      <c r="D4271" t="s">
        <v>80</v>
      </c>
      <c r="E4271" t="s">
        <v>18</v>
      </c>
      <c r="F4271" s="2">
        <v>0</v>
      </c>
      <c r="G4271" t="s">
        <v>139</v>
      </c>
      <c r="H4271" t="s">
        <v>20</v>
      </c>
      <c r="I4271" t="s">
        <v>74</v>
      </c>
      <c r="J4271" t="s">
        <v>75</v>
      </c>
      <c r="K4271">
        <v>1</v>
      </c>
      <c r="L4271" t="s">
        <v>23</v>
      </c>
      <c r="M4271" t="s">
        <v>24</v>
      </c>
      <c r="N4271" t="s">
        <v>34</v>
      </c>
      <c r="O4271">
        <v>2</v>
      </c>
      <c r="P4271" t="s">
        <v>36</v>
      </c>
      <c r="Q4271" t="s">
        <v>42</v>
      </c>
      <c r="R4271" s="1">
        <v>0.1</v>
      </c>
      <c r="S4271">
        <f t="shared" si="264"/>
        <v>0</v>
      </c>
      <c r="T4271">
        <f>IFERROR(VLOOKUP(A4271,Table1[[Customer ID]:[Discount Amount]], 6, FALSE),"Not Found")</f>
        <v>0</v>
      </c>
      <c r="U4271" t="str">
        <f t="shared" si="265"/>
        <v>Debit Card</v>
      </c>
      <c r="V4271" s="4" t="str">
        <f t="shared" si="266"/>
        <v>Normal</v>
      </c>
      <c r="W4271" s="4" t="str">
        <f t="shared" si="267"/>
        <v>Poor</v>
      </c>
      <c r="X4271" s="4">
        <f>AVERAGE(Table1[Purchase Amount])</f>
        <v>129.48419400000012</v>
      </c>
    </row>
    <row r="4272" spans="1:24" ht="15" customHeight="1" x14ac:dyDescent="0.25">
      <c r="A4272">
        <v>4370</v>
      </c>
      <c r="B4272">
        <v>46</v>
      </c>
      <c r="C4272" t="s">
        <v>71</v>
      </c>
      <c r="D4272" t="s">
        <v>117</v>
      </c>
      <c r="E4272" t="s">
        <v>81</v>
      </c>
      <c r="F4272" s="2">
        <v>1407.1</v>
      </c>
      <c r="G4272" t="s">
        <v>101</v>
      </c>
      <c r="H4272" t="s">
        <v>31</v>
      </c>
      <c r="I4272" t="s">
        <v>32</v>
      </c>
      <c r="J4272" t="s">
        <v>22</v>
      </c>
      <c r="K4272">
        <v>1</v>
      </c>
      <c r="L4272" t="s">
        <v>34</v>
      </c>
      <c r="M4272" t="s">
        <v>61</v>
      </c>
      <c r="N4272" t="s">
        <v>23</v>
      </c>
      <c r="O4272">
        <v>12</v>
      </c>
      <c r="P4272" t="s">
        <v>25</v>
      </c>
      <c r="Q4272" t="s">
        <v>42</v>
      </c>
      <c r="R4272" s="1">
        <v>0.1</v>
      </c>
      <c r="S4272">
        <f t="shared" si="264"/>
        <v>1266.3899999999999</v>
      </c>
      <c r="T4272">
        <f>IFERROR(VLOOKUP(A4272,Table1[[Customer ID]:[Discount Amount]], 6, FALSE),"Not Found")</f>
        <v>1407.1</v>
      </c>
      <c r="U4272" t="str">
        <f t="shared" si="265"/>
        <v>Cash</v>
      </c>
      <c r="V4272" s="4" t="str">
        <f t="shared" si="266"/>
        <v>Normal</v>
      </c>
      <c r="W4272" s="4" t="str">
        <f t="shared" si="267"/>
        <v>Poor</v>
      </c>
      <c r="X4272" s="4">
        <f>AVERAGE(Table1[Purchase Amount])</f>
        <v>129.48419400000012</v>
      </c>
    </row>
    <row r="4273" spans="1:24" ht="15" customHeight="1" x14ac:dyDescent="0.25">
      <c r="A4273">
        <v>4371</v>
      </c>
      <c r="B4273">
        <v>67</v>
      </c>
      <c r="C4273" t="s">
        <v>71</v>
      </c>
      <c r="D4273" t="s">
        <v>72</v>
      </c>
      <c r="E4273" t="s">
        <v>18</v>
      </c>
      <c r="F4273" s="2">
        <v>617.37</v>
      </c>
      <c r="G4273" t="s">
        <v>126</v>
      </c>
      <c r="H4273" t="s">
        <v>45</v>
      </c>
      <c r="I4273" t="s">
        <v>40</v>
      </c>
      <c r="J4273" t="s">
        <v>22</v>
      </c>
      <c r="K4273">
        <v>3</v>
      </c>
      <c r="L4273" t="s">
        <v>23</v>
      </c>
      <c r="M4273" t="s">
        <v>61</v>
      </c>
      <c r="N4273" t="s">
        <v>34</v>
      </c>
      <c r="O4273">
        <v>0</v>
      </c>
      <c r="P4273" t="s">
        <v>36</v>
      </c>
      <c r="Q4273" t="s">
        <v>37</v>
      </c>
      <c r="R4273" s="1">
        <v>0.1</v>
      </c>
      <c r="S4273">
        <f t="shared" si="264"/>
        <v>555.63300000000004</v>
      </c>
      <c r="T4273">
        <f>IFERROR(VLOOKUP(A4273,Table1[[Customer ID]:[Discount Amount]], 6, FALSE),"Not Found")</f>
        <v>617.37</v>
      </c>
      <c r="U4273" t="str">
        <f t="shared" si="265"/>
        <v>Debit Card</v>
      </c>
      <c r="V4273" s="4" t="str">
        <f t="shared" si="266"/>
        <v>Normal</v>
      </c>
      <c r="W4273" s="4" t="str">
        <f t="shared" si="267"/>
        <v>Good</v>
      </c>
      <c r="X4273" s="4">
        <f>AVERAGE(Table1[Purchase Amount])</f>
        <v>129.48419400000012</v>
      </c>
    </row>
    <row r="4274" spans="1:24" ht="15" customHeight="1" x14ac:dyDescent="0.25">
      <c r="A4274">
        <v>4372</v>
      </c>
      <c r="B4274">
        <v>56</v>
      </c>
      <c r="C4274" t="s">
        <v>27</v>
      </c>
      <c r="D4274" t="s">
        <v>38</v>
      </c>
      <c r="E4274" t="s">
        <v>18</v>
      </c>
      <c r="F4274" s="2">
        <v>75.12</v>
      </c>
      <c r="G4274" t="s">
        <v>139</v>
      </c>
      <c r="H4274" t="s">
        <v>55</v>
      </c>
      <c r="I4274" t="s">
        <v>74</v>
      </c>
      <c r="J4274" t="s">
        <v>22</v>
      </c>
      <c r="K4274">
        <v>1</v>
      </c>
      <c r="L4274" t="s">
        <v>34</v>
      </c>
      <c r="M4274" t="s">
        <v>61</v>
      </c>
      <c r="N4274" t="s">
        <v>23</v>
      </c>
      <c r="O4274">
        <v>34</v>
      </c>
      <c r="P4274" t="s">
        <v>25</v>
      </c>
      <c r="Q4274" t="s">
        <v>42</v>
      </c>
      <c r="R4274" s="1">
        <v>0.1</v>
      </c>
      <c r="S4274">
        <f t="shared" si="264"/>
        <v>67.608000000000004</v>
      </c>
      <c r="T4274">
        <f>IFERROR(VLOOKUP(A4274,Table1[[Customer ID]:[Discount Amount]], 6, FALSE),"Not Found")</f>
        <v>75.12</v>
      </c>
      <c r="U4274" t="str">
        <f t="shared" si="265"/>
        <v>Cash</v>
      </c>
      <c r="V4274" s="4" t="str">
        <f t="shared" si="266"/>
        <v>Normal</v>
      </c>
      <c r="W4274" s="4" t="str">
        <f t="shared" si="267"/>
        <v>Poor</v>
      </c>
      <c r="X4274" s="4">
        <f>AVERAGE(Table1[Purchase Amount])</f>
        <v>129.48419400000012</v>
      </c>
    </row>
    <row r="4275" spans="1:24" ht="15" customHeight="1" x14ac:dyDescent="0.25">
      <c r="A4275">
        <v>4373</v>
      </c>
      <c r="B4275">
        <v>40</v>
      </c>
      <c r="C4275" t="s">
        <v>16</v>
      </c>
      <c r="D4275" t="s">
        <v>117</v>
      </c>
      <c r="E4275" t="s">
        <v>81</v>
      </c>
      <c r="F4275" s="2">
        <v>767.36</v>
      </c>
      <c r="G4275" t="s">
        <v>139</v>
      </c>
      <c r="H4275" t="s">
        <v>31</v>
      </c>
      <c r="I4275" t="s">
        <v>40</v>
      </c>
      <c r="J4275" t="s">
        <v>33</v>
      </c>
      <c r="K4275">
        <v>1</v>
      </c>
      <c r="L4275" t="s">
        <v>23</v>
      </c>
      <c r="M4275" t="s">
        <v>61</v>
      </c>
      <c r="N4275" t="s">
        <v>34</v>
      </c>
      <c r="O4275">
        <v>0</v>
      </c>
      <c r="P4275" t="s">
        <v>58</v>
      </c>
      <c r="Q4275" t="s">
        <v>37</v>
      </c>
      <c r="R4275" s="1">
        <v>0.1</v>
      </c>
      <c r="S4275">
        <f t="shared" si="264"/>
        <v>690.62400000000002</v>
      </c>
      <c r="T4275">
        <f>IFERROR(VLOOKUP(A4275,Table1[[Customer ID]:[Discount Amount]], 6, FALSE),"Not Found")</f>
        <v>767.36</v>
      </c>
      <c r="U4275" t="str">
        <f t="shared" si="265"/>
        <v>PayPal</v>
      </c>
      <c r="V4275" s="4" t="str">
        <f t="shared" si="266"/>
        <v>Normal</v>
      </c>
      <c r="W4275" s="4" t="str">
        <f t="shared" si="267"/>
        <v>Poor</v>
      </c>
      <c r="X4275" s="4">
        <f>AVERAGE(Table1[Purchase Amount])</f>
        <v>129.48419400000012</v>
      </c>
    </row>
    <row r="4276" spans="1:24" ht="15" customHeight="1" x14ac:dyDescent="0.25">
      <c r="A4276">
        <v>4374</v>
      </c>
      <c r="B4276">
        <v>37</v>
      </c>
      <c r="C4276" t="s">
        <v>16</v>
      </c>
      <c r="D4276" t="s">
        <v>95</v>
      </c>
      <c r="E4276" t="s">
        <v>81</v>
      </c>
      <c r="F4276" s="2">
        <v>144.61000000000001</v>
      </c>
      <c r="G4276" t="s">
        <v>139</v>
      </c>
      <c r="H4276" t="s">
        <v>31</v>
      </c>
      <c r="I4276" t="s">
        <v>74</v>
      </c>
      <c r="J4276" t="s">
        <v>57</v>
      </c>
      <c r="K4276">
        <v>3</v>
      </c>
      <c r="L4276" t="s">
        <v>34</v>
      </c>
      <c r="M4276" t="s">
        <v>61</v>
      </c>
      <c r="N4276" t="s">
        <v>34</v>
      </c>
      <c r="O4276">
        <v>0</v>
      </c>
      <c r="P4276" t="s">
        <v>25</v>
      </c>
      <c r="Q4276" t="s">
        <v>26</v>
      </c>
      <c r="R4276" s="1">
        <v>0.1</v>
      </c>
      <c r="S4276">
        <f t="shared" si="264"/>
        <v>130.149</v>
      </c>
      <c r="T4276">
        <f>IFERROR(VLOOKUP(A4276,Table1[[Customer ID]:[Discount Amount]], 6, FALSE),"Not Found")</f>
        <v>144.61000000000001</v>
      </c>
      <c r="U4276" t="str">
        <f t="shared" si="265"/>
        <v>Cash</v>
      </c>
      <c r="V4276" s="4" t="str">
        <f t="shared" si="266"/>
        <v>Normal</v>
      </c>
      <c r="W4276" s="4" t="str">
        <f t="shared" si="267"/>
        <v>Good</v>
      </c>
      <c r="X4276" s="4">
        <f>AVERAGE(Table1[Purchase Amount])</f>
        <v>129.48419400000012</v>
      </c>
    </row>
    <row r="4277" spans="1:24" ht="15" customHeight="1" x14ac:dyDescent="0.25">
      <c r="A4277">
        <v>4375</v>
      </c>
      <c r="B4277">
        <v>22</v>
      </c>
      <c r="C4277" t="s">
        <v>16</v>
      </c>
      <c r="D4277" t="s">
        <v>72</v>
      </c>
      <c r="E4277" t="s">
        <v>29</v>
      </c>
      <c r="F4277" s="2">
        <v>1224.49</v>
      </c>
      <c r="G4277" t="s">
        <v>139</v>
      </c>
      <c r="H4277" t="s">
        <v>31</v>
      </c>
      <c r="I4277" t="s">
        <v>32</v>
      </c>
      <c r="J4277" t="s">
        <v>33</v>
      </c>
      <c r="K4277">
        <v>1</v>
      </c>
      <c r="L4277" t="s">
        <v>23</v>
      </c>
      <c r="M4277" t="s">
        <v>61</v>
      </c>
      <c r="N4277" t="s">
        <v>34</v>
      </c>
      <c r="O4277">
        <v>0</v>
      </c>
      <c r="P4277" t="s">
        <v>58</v>
      </c>
      <c r="Q4277" t="s">
        <v>26</v>
      </c>
      <c r="R4277" s="1">
        <v>0.1</v>
      </c>
      <c r="S4277">
        <f t="shared" si="264"/>
        <v>1102.0409999999999</v>
      </c>
      <c r="T4277">
        <f>IFERROR(VLOOKUP(A4277,Table1[[Customer ID]:[Discount Amount]], 6, FALSE),"Not Found")</f>
        <v>1224.49</v>
      </c>
      <c r="U4277" t="str">
        <f t="shared" si="265"/>
        <v>PayPal</v>
      </c>
      <c r="V4277" s="4" t="str">
        <f t="shared" si="266"/>
        <v>Normal</v>
      </c>
      <c r="W4277" s="4" t="str">
        <f t="shared" si="267"/>
        <v>Poor</v>
      </c>
      <c r="X4277" s="4">
        <f>AVERAGE(Table1[Purchase Amount])</f>
        <v>129.48419400000012</v>
      </c>
    </row>
    <row r="4278" spans="1:24" ht="15" customHeight="1" x14ac:dyDescent="0.25">
      <c r="A4278">
        <v>4376</v>
      </c>
      <c r="B4278">
        <v>64</v>
      </c>
      <c r="C4278" t="s">
        <v>16</v>
      </c>
      <c r="D4278" t="s">
        <v>38</v>
      </c>
      <c r="E4278" t="s">
        <v>29</v>
      </c>
      <c r="F4278" s="2">
        <v>875.62</v>
      </c>
      <c r="G4278" t="s">
        <v>73</v>
      </c>
      <c r="H4278" t="s">
        <v>31</v>
      </c>
      <c r="I4278" t="s">
        <v>46</v>
      </c>
      <c r="J4278" t="s">
        <v>75</v>
      </c>
      <c r="K4278">
        <v>1</v>
      </c>
      <c r="L4278" t="s">
        <v>23</v>
      </c>
      <c r="M4278" t="s">
        <v>61</v>
      </c>
      <c r="N4278" t="s">
        <v>23</v>
      </c>
      <c r="O4278">
        <v>0</v>
      </c>
      <c r="P4278" t="s">
        <v>53</v>
      </c>
      <c r="Q4278" t="s">
        <v>42</v>
      </c>
      <c r="R4278" s="1">
        <v>0.1</v>
      </c>
      <c r="S4278">
        <f t="shared" si="264"/>
        <v>788.05799999999999</v>
      </c>
      <c r="T4278">
        <f>IFERROR(VLOOKUP(A4278,Table1[[Customer ID]:[Discount Amount]], 6, FALSE),"Not Found")</f>
        <v>875.62</v>
      </c>
      <c r="U4278" t="str">
        <f t="shared" si="265"/>
        <v>Credit Card</v>
      </c>
      <c r="V4278" s="4" t="str">
        <f t="shared" si="266"/>
        <v>Normal</v>
      </c>
      <c r="W4278" s="4" t="str">
        <f t="shared" si="267"/>
        <v>Poor</v>
      </c>
      <c r="X4278" s="4">
        <f>AVERAGE(Table1[Purchase Amount])</f>
        <v>129.48419400000012</v>
      </c>
    </row>
    <row r="4279" spans="1:24" ht="15" customHeight="1" x14ac:dyDescent="0.25">
      <c r="A4279">
        <v>4377</v>
      </c>
      <c r="B4279">
        <v>34</v>
      </c>
      <c r="C4279" t="s">
        <v>16</v>
      </c>
      <c r="D4279" t="s">
        <v>72</v>
      </c>
      <c r="E4279" t="s">
        <v>81</v>
      </c>
      <c r="F4279" s="2">
        <v>0</v>
      </c>
      <c r="G4279" t="s">
        <v>139</v>
      </c>
      <c r="H4279" t="s">
        <v>31</v>
      </c>
      <c r="I4279" t="s">
        <v>93</v>
      </c>
      <c r="J4279" t="s">
        <v>75</v>
      </c>
      <c r="K4279">
        <v>1</v>
      </c>
      <c r="L4279" t="s">
        <v>23</v>
      </c>
      <c r="M4279" t="s">
        <v>61</v>
      </c>
      <c r="N4279" t="s">
        <v>23</v>
      </c>
      <c r="O4279">
        <v>3</v>
      </c>
      <c r="P4279" t="s">
        <v>36</v>
      </c>
      <c r="Q4279" t="s">
        <v>26</v>
      </c>
      <c r="R4279" s="1">
        <v>0.1</v>
      </c>
      <c r="S4279">
        <f t="shared" si="264"/>
        <v>0</v>
      </c>
      <c r="T4279">
        <f>IFERROR(VLOOKUP(A4279,Table1[[Customer ID]:[Discount Amount]], 6, FALSE),"Not Found")</f>
        <v>0</v>
      </c>
      <c r="U4279" t="str">
        <f t="shared" si="265"/>
        <v>Debit Card</v>
      </c>
      <c r="V4279" s="4" t="str">
        <f t="shared" si="266"/>
        <v>Normal</v>
      </c>
      <c r="W4279" s="4" t="str">
        <f t="shared" si="267"/>
        <v>Poor</v>
      </c>
      <c r="X4279" s="4">
        <f>AVERAGE(Table1[Purchase Amount])</f>
        <v>129.48419400000012</v>
      </c>
    </row>
    <row r="4280" spans="1:24" ht="15" customHeight="1" x14ac:dyDescent="0.25">
      <c r="A4280">
        <v>4378</v>
      </c>
      <c r="B4280">
        <v>22</v>
      </c>
      <c r="C4280" t="s">
        <v>71</v>
      </c>
      <c r="D4280" t="s">
        <v>72</v>
      </c>
      <c r="E4280" t="s">
        <v>29</v>
      </c>
      <c r="F4280" s="2">
        <v>0</v>
      </c>
      <c r="G4280" t="s">
        <v>139</v>
      </c>
      <c r="H4280" t="s">
        <v>45</v>
      </c>
      <c r="I4280" t="s">
        <v>93</v>
      </c>
      <c r="J4280" t="s">
        <v>33</v>
      </c>
      <c r="K4280">
        <v>1</v>
      </c>
      <c r="L4280" t="s">
        <v>23</v>
      </c>
      <c r="M4280" t="s">
        <v>24</v>
      </c>
      <c r="N4280" t="s">
        <v>34</v>
      </c>
      <c r="O4280">
        <v>7</v>
      </c>
      <c r="P4280" t="s">
        <v>25</v>
      </c>
      <c r="Q4280" t="s">
        <v>42</v>
      </c>
      <c r="R4280" s="1">
        <v>0.1</v>
      </c>
      <c r="S4280">
        <f t="shared" si="264"/>
        <v>0</v>
      </c>
      <c r="T4280">
        <f>IFERROR(VLOOKUP(A4280,Table1[[Customer ID]:[Discount Amount]], 6, FALSE),"Not Found")</f>
        <v>0</v>
      </c>
      <c r="U4280" t="str">
        <f t="shared" si="265"/>
        <v>Cash</v>
      </c>
      <c r="V4280" s="4" t="str">
        <f t="shared" si="266"/>
        <v>Normal</v>
      </c>
      <c r="W4280" s="4" t="str">
        <f t="shared" si="267"/>
        <v>Poor</v>
      </c>
      <c r="X4280" s="4">
        <f>AVERAGE(Table1[Purchase Amount])</f>
        <v>129.48419400000012</v>
      </c>
    </row>
    <row r="4281" spans="1:24" ht="15" customHeight="1" x14ac:dyDescent="0.25">
      <c r="A4281">
        <v>4379</v>
      </c>
      <c r="B4281">
        <v>70</v>
      </c>
      <c r="C4281" t="s">
        <v>16</v>
      </c>
      <c r="D4281" t="s">
        <v>72</v>
      </c>
      <c r="E4281" t="s">
        <v>81</v>
      </c>
      <c r="F4281" s="2">
        <v>0</v>
      </c>
      <c r="G4281" t="s">
        <v>82</v>
      </c>
      <c r="H4281" t="s">
        <v>31</v>
      </c>
      <c r="I4281" t="s">
        <v>93</v>
      </c>
      <c r="J4281" t="s">
        <v>57</v>
      </c>
      <c r="K4281">
        <v>4</v>
      </c>
      <c r="L4281" t="s">
        <v>34</v>
      </c>
      <c r="M4281" t="s">
        <v>61</v>
      </c>
      <c r="N4281" t="s">
        <v>34</v>
      </c>
      <c r="O4281">
        <v>38</v>
      </c>
      <c r="P4281" t="s">
        <v>58</v>
      </c>
      <c r="Q4281" t="s">
        <v>42</v>
      </c>
      <c r="R4281" s="1">
        <v>0.1</v>
      </c>
      <c r="S4281">
        <f t="shared" si="264"/>
        <v>0</v>
      </c>
      <c r="T4281">
        <f>IFERROR(VLOOKUP(A4281,Table1[[Customer ID]:[Discount Amount]], 6, FALSE),"Not Found")</f>
        <v>0</v>
      </c>
      <c r="U4281" t="str">
        <f t="shared" si="265"/>
        <v>PayPal</v>
      </c>
      <c r="V4281" s="4" t="str">
        <f t="shared" si="266"/>
        <v>Normal</v>
      </c>
      <c r="W4281" s="4" t="str">
        <f t="shared" si="267"/>
        <v>Good</v>
      </c>
      <c r="X4281" s="4">
        <f>AVERAGE(Table1[Purchase Amount])</f>
        <v>129.48419400000012</v>
      </c>
    </row>
    <row r="4282" spans="1:24" ht="15" customHeight="1" x14ac:dyDescent="0.25">
      <c r="A4282">
        <v>4380</v>
      </c>
      <c r="B4282">
        <v>61</v>
      </c>
      <c r="C4282" t="s">
        <v>71</v>
      </c>
      <c r="D4282" t="s">
        <v>112</v>
      </c>
      <c r="E4282" t="s">
        <v>81</v>
      </c>
      <c r="F4282" s="2">
        <v>1487</v>
      </c>
      <c r="G4282" t="s">
        <v>139</v>
      </c>
      <c r="H4282" t="s">
        <v>31</v>
      </c>
      <c r="I4282" t="s">
        <v>46</v>
      </c>
      <c r="J4282" t="s">
        <v>33</v>
      </c>
      <c r="K4282">
        <v>2</v>
      </c>
      <c r="L4282" t="s">
        <v>23</v>
      </c>
      <c r="M4282" t="s">
        <v>24</v>
      </c>
      <c r="N4282" t="s">
        <v>23</v>
      </c>
      <c r="O4282">
        <v>9</v>
      </c>
      <c r="P4282" t="s">
        <v>36</v>
      </c>
      <c r="Q4282" t="s">
        <v>37</v>
      </c>
      <c r="R4282" s="1">
        <v>0.1</v>
      </c>
      <c r="S4282">
        <f t="shared" si="264"/>
        <v>1338.3</v>
      </c>
      <c r="T4282">
        <f>IFERROR(VLOOKUP(A4282,Table1[[Customer ID]:[Discount Amount]], 6, FALSE),"Not Found")</f>
        <v>1487</v>
      </c>
      <c r="U4282" t="str">
        <f t="shared" si="265"/>
        <v>Debit Card</v>
      </c>
      <c r="V4282" s="4" t="str">
        <f t="shared" si="266"/>
        <v>Normal</v>
      </c>
      <c r="W4282" s="4" t="str">
        <f t="shared" si="267"/>
        <v>Poor</v>
      </c>
      <c r="X4282" s="4">
        <f>AVERAGE(Table1[Purchase Amount])</f>
        <v>129.48419400000012</v>
      </c>
    </row>
    <row r="4283" spans="1:24" ht="15" customHeight="1" x14ac:dyDescent="0.25">
      <c r="A4283">
        <v>4381</v>
      </c>
      <c r="B4283">
        <v>53</v>
      </c>
      <c r="C4283" t="s">
        <v>16</v>
      </c>
      <c r="D4283" t="s">
        <v>116</v>
      </c>
      <c r="E4283" t="s">
        <v>18</v>
      </c>
      <c r="F4283" s="2">
        <v>0</v>
      </c>
      <c r="G4283" t="s">
        <v>139</v>
      </c>
      <c r="H4283" t="s">
        <v>31</v>
      </c>
      <c r="I4283" t="s">
        <v>74</v>
      </c>
      <c r="J4283" t="s">
        <v>57</v>
      </c>
      <c r="K4283">
        <v>3</v>
      </c>
      <c r="L4283" t="s">
        <v>23</v>
      </c>
      <c r="M4283" t="s">
        <v>61</v>
      </c>
      <c r="N4283" t="s">
        <v>34</v>
      </c>
      <c r="O4283">
        <v>0</v>
      </c>
      <c r="P4283" t="s">
        <v>58</v>
      </c>
      <c r="Q4283" t="s">
        <v>42</v>
      </c>
      <c r="R4283" s="1">
        <v>0.1</v>
      </c>
      <c r="S4283">
        <f t="shared" si="264"/>
        <v>0</v>
      </c>
      <c r="T4283">
        <f>IFERROR(VLOOKUP(A4283,Table1[[Customer ID]:[Discount Amount]], 6, FALSE),"Not Found")</f>
        <v>0</v>
      </c>
      <c r="U4283" t="str">
        <f t="shared" si="265"/>
        <v>PayPal</v>
      </c>
      <c r="V4283" s="4" t="str">
        <f t="shared" si="266"/>
        <v>Normal</v>
      </c>
      <c r="W4283" s="4" t="str">
        <f t="shared" si="267"/>
        <v>Good</v>
      </c>
      <c r="X4283" s="4">
        <f>AVERAGE(Table1[Purchase Amount])</f>
        <v>129.48419400000012</v>
      </c>
    </row>
    <row r="4284" spans="1:24" ht="15" customHeight="1" x14ac:dyDescent="0.25">
      <c r="A4284">
        <v>4382</v>
      </c>
      <c r="B4284">
        <v>34</v>
      </c>
      <c r="C4284" t="s">
        <v>16</v>
      </c>
      <c r="D4284" t="s">
        <v>95</v>
      </c>
      <c r="E4284" t="s">
        <v>81</v>
      </c>
      <c r="F4284" s="2">
        <v>549.5</v>
      </c>
      <c r="G4284" t="s">
        <v>73</v>
      </c>
      <c r="H4284" t="s">
        <v>31</v>
      </c>
      <c r="I4284" t="s">
        <v>40</v>
      </c>
      <c r="J4284" t="s">
        <v>75</v>
      </c>
      <c r="K4284">
        <v>1</v>
      </c>
      <c r="L4284" t="s">
        <v>34</v>
      </c>
      <c r="M4284" t="s">
        <v>61</v>
      </c>
      <c r="N4284" t="s">
        <v>34</v>
      </c>
      <c r="O4284">
        <v>0</v>
      </c>
      <c r="P4284" t="s">
        <v>58</v>
      </c>
      <c r="Q4284" t="s">
        <v>37</v>
      </c>
      <c r="R4284" s="1">
        <v>0.1</v>
      </c>
      <c r="S4284">
        <f t="shared" si="264"/>
        <v>494.55</v>
      </c>
      <c r="T4284">
        <f>IFERROR(VLOOKUP(A4284,Table1[[Customer ID]:[Discount Amount]], 6, FALSE),"Not Found")</f>
        <v>549.5</v>
      </c>
      <c r="U4284" t="str">
        <f t="shared" si="265"/>
        <v>PayPal</v>
      </c>
      <c r="V4284" s="4" t="str">
        <f t="shared" si="266"/>
        <v>Normal</v>
      </c>
      <c r="W4284" s="4" t="str">
        <f t="shared" si="267"/>
        <v>Poor</v>
      </c>
      <c r="X4284" s="4">
        <f>AVERAGE(Table1[Purchase Amount])</f>
        <v>129.48419400000012</v>
      </c>
    </row>
    <row r="4285" spans="1:24" ht="15" customHeight="1" x14ac:dyDescent="0.25">
      <c r="A4285">
        <v>4383</v>
      </c>
      <c r="B4285">
        <v>47</v>
      </c>
      <c r="C4285" t="s">
        <v>71</v>
      </c>
      <c r="D4285" t="s">
        <v>72</v>
      </c>
      <c r="E4285" t="s">
        <v>81</v>
      </c>
      <c r="F4285" s="2">
        <v>0</v>
      </c>
      <c r="G4285" t="s">
        <v>101</v>
      </c>
      <c r="H4285" t="s">
        <v>31</v>
      </c>
      <c r="I4285" t="s">
        <v>32</v>
      </c>
      <c r="J4285" t="s">
        <v>75</v>
      </c>
      <c r="K4285">
        <v>1</v>
      </c>
      <c r="L4285" t="s">
        <v>23</v>
      </c>
      <c r="M4285" t="s">
        <v>61</v>
      </c>
      <c r="N4285" t="s">
        <v>23</v>
      </c>
      <c r="O4285">
        <v>0</v>
      </c>
      <c r="P4285" t="s">
        <v>58</v>
      </c>
      <c r="Q4285" t="s">
        <v>26</v>
      </c>
      <c r="R4285" s="1">
        <v>0.1</v>
      </c>
      <c r="S4285">
        <f t="shared" si="264"/>
        <v>0</v>
      </c>
      <c r="T4285">
        <f>IFERROR(VLOOKUP(A4285,Table1[[Customer ID]:[Discount Amount]], 6, FALSE),"Not Found")</f>
        <v>0</v>
      </c>
      <c r="U4285" t="str">
        <f t="shared" si="265"/>
        <v>PayPal</v>
      </c>
      <c r="V4285" s="4" t="str">
        <f t="shared" si="266"/>
        <v>Normal</v>
      </c>
      <c r="W4285" s="4" t="str">
        <f t="shared" si="267"/>
        <v>Poor</v>
      </c>
      <c r="X4285" s="4">
        <f>AVERAGE(Table1[Purchase Amount])</f>
        <v>129.48419400000012</v>
      </c>
    </row>
    <row r="4286" spans="1:24" ht="15" customHeight="1" x14ac:dyDescent="0.25">
      <c r="A4286">
        <v>4384</v>
      </c>
      <c r="B4286">
        <v>22</v>
      </c>
      <c r="C4286" t="s">
        <v>16</v>
      </c>
      <c r="D4286" t="s">
        <v>72</v>
      </c>
      <c r="E4286" t="s">
        <v>18</v>
      </c>
      <c r="F4286" s="2">
        <v>632.95000000000005</v>
      </c>
      <c r="G4286" t="s">
        <v>126</v>
      </c>
      <c r="H4286" t="s">
        <v>31</v>
      </c>
      <c r="I4286" t="s">
        <v>32</v>
      </c>
      <c r="J4286" t="s">
        <v>57</v>
      </c>
      <c r="K4286">
        <v>4</v>
      </c>
      <c r="L4286" t="s">
        <v>23</v>
      </c>
      <c r="M4286" t="s">
        <v>24</v>
      </c>
      <c r="N4286" t="s">
        <v>34</v>
      </c>
      <c r="O4286">
        <v>35</v>
      </c>
      <c r="P4286" t="s">
        <v>25</v>
      </c>
      <c r="Q4286" t="s">
        <v>37</v>
      </c>
      <c r="R4286" s="1">
        <v>0.1</v>
      </c>
      <c r="S4286">
        <f t="shared" si="264"/>
        <v>569.65500000000009</v>
      </c>
      <c r="T4286">
        <f>IFERROR(VLOOKUP(A4286,Table1[[Customer ID]:[Discount Amount]], 6, FALSE),"Not Found")</f>
        <v>632.95000000000005</v>
      </c>
      <c r="U4286" t="str">
        <f t="shared" si="265"/>
        <v>Cash</v>
      </c>
      <c r="V4286" s="4" t="str">
        <f t="shared" si="266"/>
        <v>Normal</v>
      </c>
      <c r="W4286" s="4" t="str">
        <f t="shared" si="267"/>
        <v>Good</v>
      </c>
      <c r="X4286" s="4">
        <f>AVERAGE(Table1[Purchase Amount])</f>
        <v>129.48419400000012</v>
      </c>
    </row>
    <row r="4287" spans="1:24" ht="15" customHeight="1" x14ac:dyDescent="0.25">
      <c r="A4287">
        <v>4385</v>
      </c>
      <c r="B4287">
        <v>59</v>
      </c>
      <c r="C4287" t="s">
        <v>16</v>
      </c>
      <c r="D4287" t="s">
        <v>116</v>
      </c>
      <c r="E4287" t="s">
        <v>18</v>
      </c>
      <c r="F4287" s="2">
        <v>0</v>
      </c>
      <c r="G4287" t="s">
        <v>126</v>
      </c>
      <c r="H4287" t="s">
        <v>45</v>
      </c>
      <c r="I4287" t="s">
        <v>32</v>
      </c>
      <c r="J4287" t="s">
        <v>33</v>
      </c>
      <c r="K4287">
        <v>1</v>
      </c>
      <c r="L4287" t="s">
        <v>34</v>
      </c>
      <c r="M4287" t="s">
        <v>61</v>
      </c>
      <c r="N4287" t="s">
        <v>34</v>
      </c>
      <c r="O4287">
        <v>18</v>
      </c>
      <c r="P4287" t="s">
        <v>25</v>
      </c>
      <c r="Q4287" t="s">
        <v>37</v>
      </c>
      <c r="R4287" s="1">
        <v>0.1</v>
      </c>
      <c r="S4287">
        <f t="shared" si="264"/>
        <v>0</v>
      </c>
      <c r="T4287">
        <f>IFERROR(VLOOKUP(A4287,Table1[[Customer ID]:[Discount Amount]], 6, FALSE),"Not Found")</f>
        <v>0</v>
      </c>
      <c r="U4287" t="str">
        <f t="shared" si="265"/>
        <v>Cash</v>
      </c>
      <c r="V4287" s="4" t="str">
        <f t="shared" si="266"/>
        <v>Normal</v>
      </c>
      <c r="W4287" s="4" t="str">
        <f t="shared" si="267"/>
        <v>Poor</v>
      </c>
      <c r="X4287" s="4">
        <f>AVERAGE(Table1[Purchase Amount])</f>
        <v>129.48419400000012</v>
      </c>
    </row>
    <row r="4288" spans="1:24" ht="15" customHeight="1" x14ac:dyDescent="0.25">
      <c r="A4288">
        <v>4386</v>
      </c>
      <c r="B4288">
        <v>39</v>
      </c>
      <c r="C4288" t="s">
        <v>71</v>
      </c>
      <c r="D4288" t="s">
        <v>112</v>
      </c>
      <c r="E4288" t="s">
        <v>29</v>
      </c>
      <c r="F4288" s="2">
        <v>0</v>
      </c>
      <c r="G4288" t="s">
        <v>73</v>
      </c>
      <c r="H4288" t="s">
        <v>55</v>
      </c>
      <c r="I4288" t="s">
        <v>40</v>
      </c>
      <c r="J4288" t="s">
        <v>33</v>
      </c>
      <c r="K4288">
        <v>1</v>
      </c>
      <c r="L4288" t="s">
        <v>23</v>
      </c>
      <c r="M4288" t="s">
        <v>61</v>
      </c>
      <c r="N4288" t="s">
        <v>23</v>
      </c>
      <c r="O4288">
        <v>21</v>
      </c>
      <c r="P4288" t="s">
        <v>53</v>
      </c>
      <c r="Q4288" t="s">
        <v>37</v>
      </c>
      <c r="R4288" s="1">
        <v>0.1</v>
      </c>
      <c r="S4288">
        <f t="shared" si="264"/>
        <v>0</v>
      </c>
      <c r="T4288">
        <f>IFERROR(VLOOKUP(A4288,Table1[[Customer ID]:[Discount Amount]], 6, FALSE),"Not Found")</f>
        <v>0</v>
      </c>
      <c r="U4288" t="str">
        <f t="shared" si="265"/>
        <v>Credit Card</v>
      </c>
      <c r="V4288" s="4" t="str">
        <f t="shared" si="266"/>
        <v>Normal</v>
      </c>
      <c r="W4288" s="4" t="str">
        <f t="shared" si="267"/>
        <v>Poor</v>
      </c>
      <c r="X4288" s="4">
        <f>AVERAGE(Table1[Purchase Amount])</f>
        <v>129.48419400000012</v>
      </c>
    </row>
    <row r="4289" spans="1:24" ht="15" customHeight="1" x14ac:dyDescent="0.25">
      <c r="A4289">
        <v>4387</v>
      </c>
      <c r="B4289">
        <v>61</v>
      </c>
      <c r="C4289" t="s">
        <v>71</v>
      </c>
      <c r="D4289" t="s">
        <v>116</v>
      </c>
      <c r="E4289" t="s">
        <v>18</v>
      </c>
      <c r="F4289" s="2">
        <v>58.31</v>
      </c>
      <c r="G4289" t="s">
        <v>139</v>
      </c>
      <c r="H4289" t="s">
        <v>45</v>
      </c>
      <c r="I4289" t="s">
        <v>93</v>
      </c>
      <c r="J4289" t="s">
        <v>33</v>
      </c>
      <c r="K4289">
        <v>4</v>
      </c>
      <c r="L4289" t="s">
        <v>34</v>
      </c>
      <c r="M4289" t="s">
        <v>24</v>
      </c>
      <c r="N4289" t="s">
        <v>23</v>
      </c>
      <c r="O4289">
        <v>0</v>
      </c>
      <c r="P4289" t="s">
        <v>53</v>
      </c>
      <c r="Q4289" t="s">
        <v>37</v>
      </c>
      <c r="R4289" s="1">
        <v>0.1</v>
      </c>
      <c r="S4289">
        <f t="shared" si="264"/>
        <v>52.478999999999999</v>
      </c>
      <c r="T4289">
        <f>IFERROR(VLOOKUP(A4289,Table1[[Customer ID]:[Discount Amount]], 6, FALSE),"Not Found")</f>
        <v>58.31</v>
      </c>
      <c r="U4289" t="str">
        <f t="shared" si="265"/>
        <v>Credit Card</v>
      </c>
      <c r="V4289" s="4" t="str">
        <f t="shared" si="266"/>
        <v>Normal</v>
      </c>
      <c r="W4289" s="4" t="str">
        <f t="shared" si="267"/>
        <v>Good</v>
      </c>
      <c r="X4289" s="4">
        <f>AVERAGE(Table1[Purchase Amount])</f>
        <v>129.48419400000012</v>
      </c>
    </row>
    <row r="4290" spans="1:24" ht="15" customHeight="1" x14ac:dyDescent="0.25">
      <c r="A4290">
        <v>4388</v>
      </c>
      <c r="B4290">
        <v>62</v>
      </c>
      <c r="C4290" t="s">
        <v>71</v>
      </c>
      <c r="D4290" t="s">
        <v>116</v>
      </c>
      <c r="E4290" t="s">
        <v>29</v>
      </c>
      <c r="F4290" s="2">
        <v>0</v>
      </c>
      <c r="G4290" t="s">
        <v>101</v>
      </c>
      <c r="H4290" t="s">
        <v>45</v>
      </c>
      <c r="I4290" t="s">
        <v>93</v>
      </c>
      <c r="J4290" t="s">
        <v>57</v>
      </c>
      <c r="K4290">
        <v>3</v>
      </c>
      <c r="L4290" t="s">
        <v>23</v>
      </c>
      <c r="M4290" t="s">
        <v>24</v>
      </c>
      <c r="N4290" t="s">
        <v>34</v>
      </c>
      <c r="O4290">
        <v>0</v>
      </c>
      <c r="P4290" t="s">
        <v>36</v>
      </c>
      <c r="Q4290" t="s">
        <v>26</v>
      </c>
      <c r="R4290" s="1">
        <v>0.1</v>
      </c>
      <c r="S4290">
        <f t="shared" ref="S4290:S4353" si="268">F4290-(F4290*R4290)</f>
        <v>0</v>
      </c>
      <c r="T4290">
        <f>IFERROR(VLOOKUP(A4290,Table1[[Customer ID]:[Discount Amount]], 6, FALSE),"Not Found")</f>
        <v>0</v>
      </c>
      <c r="U4290" t="str">
        <f t="shared" ref="U4290:U4353" si="269">INDEX(P:P, MATCH(A4290, A:A, 0))</f>
        <v>Debit Card</v>
      </c>
      <c r="V4290" s="4" t="str">
        <f t="shared" ref="V4290:V4353" si="270">IF(AND(F4290&gt;1000,K4290&gt;=4),"Best Customer","Normal")</f>
        <v>Normal</v>
      </c>
      <c r="W4290" s="4" t="str">
        <f t="shared" ref="W4290:W4353" si="271">IF(K4290&gt;=3,"Good","Poor")</f>
        <v>Good</v>
      </c>
      <c r="X4290" s="4">
        <f>AVERAGE(Table1[Purchase Amount])</f>
        <v>129.48419400000012</v>
      </c>
    </row>
    <row r="4291" spans="1:24" ht="15" customHeight="1" x14ac:dyDescent="0.25">
      <c r="A4291">
        <v>4389</v>
      </c>
      <c r="B4291">
        <v>52</v>
      </c>
      <c r="C4291" t="s">
        <v>71</v>
      </c>
      <c r="D4291" t="s">
        <v>72</v>
      </c>
      <c r="E4291" t="s">
        <v>81</v>
      </c>
      <c r="F4291" s="2">
        <v>0</v>
      </c>
      <c r="G4291" t="s">
        <v>101</v>
      </c>
      <c r="H4291" t="s">
        <v>31</v>
      </c>
      <c r="I4291" t="s">
        <v>93</v>
      </c>
      <c r="J4291" t="s">
        <v>22</v>
      </c>
      <c r="K4291">
        <v>1</v>
      </c>
      <c r="L4291" t="s">
        <v>23</v>
      </c>
      <c r="M4291" t="s">
        <v>24</v>
      </c>
      <c r="N4291" t="s">
        <v>34</v>
      </c>
      <c r="O4291">
        <v>49</v>
      </c>
      <c r="P4291" t="s">
        <v>53</v>
      </c>
      <c r="Q4291" t="s">
        <v>26</v>
      </c>
      <c r="R4291" s="1">
        <v>0.1</v>
      </c>
      <c r="S4291">
        <f t="shared" si="268"/>
        <v>0</v>
      </c>
      <c r="T4291">
        <f>IFERROR(VLOOKUP(A4291,Table1[[Customer ID]:[Discount Amount]], 6, FALSE),"Not Found")</f>
        <v>0</v>
      </c>
      <c r="U4291" t="str">
        <f t="shared" si="269"/>
        <v>Credit Card</v>
      </c>
      <c r="V4291" s="4" t="str">
        <f t="shared" si="270"/>
        <v>Normal</v>
      </c>
      <c r="W4291" s="4" t="str">
        <f t="shared" si="271"/>
        <v>Poor</v>
      </c>
      <c r="X4291" s="4">
        <f>AVERAGE(Table1[Purchase Amount])</f>
        <v>129.48419400000012</v>
      </c>
    </row>
    <row r="4292" spans="1:24" ht="15" customHeight="1" x14ac:dyDescent="0.25">
      <c r="A4292">
        <v>4390</v>
      </c>
      <c r="B4292">
        <v>59</v>
      </c>
      <c r="C4292" t="s">
        <v>16</v>
      </c>
      <c r="D4292" t="s">
        <v>38</v>
      </c>
      <c r="E4292" t="s">
        <v>18</v>
      </c>
      <c r="F4292" s="2">
        <v>0</v>
      </c>
      <c r="G4292" t="s">
        <v>82</v>
      </c>
      <c r="H4292" t="s">
        <v>55</v>
      </c>
      <c r="I4292" t="s">
        <v>32</v>
      </c>
      <c r="J4292" t="s">
        <v>22</v>
      </c>
      <c r="K4292">
        <v>1</v>
      </c>
      <c r="L4292" t="s">
        <v>34</v>
      </c>
      <c r="M4292" t="s">
        <v>24</v>
      </c>
      <c r="N4292" t="s">
        <v>23</v>
      </c>
      <c r="O4292">
        <v>0</v>
      </c>
      <c r="P4292" t="s">
        <v>53</v>
      </c>
      <c r="Q4292" t="s">
        <v>37</v>
      </c>
      <c r="R4292" s="1">
        <v>0.1</v>
      </c>
      <c r="S4292">
        <f t="shared" si="268"/>
        <v>0</v>
      </c>
      <c r="T4292">
        <f>IFERROR(VLOOKUP(A4292,Table1[[Customer ID]:[Discount Amount]], 6, FALSE),"Not Found")</f>
        <v>0</v>
      </c>
      <c r="U4292" t="str">
        <f t="shared" si="269"/>
        <v>Credit Card</v>
      </c>
      <c r="V4292" s="4" t="str">
        <f t="shared" si="270"/>
        <v>Normal</v>
      </c>
      <c r="W4292" s="4" t="str">
        <f t="shared" si="271"/>
        <v>Poor</v>
      </c>
      <c r="X4292" s="4">
        <f>AVERAGE(Table1[Purchase Amount])</f>
        <v>129.48419400000012</v>
      </c>
    </row>
    <row r="4293" spans="1:24" ht="15" customHeight="1" x14ac:dyDescent="0.25">
      <c r="A4293">
        <v>4391</v>
      </c>
      <c r="B4293">
        <v>20</v>
      </c>
      <c r="C4293" t="s">
        <v>27</v>
      </c>
      <c r="D4293" t="s">
        <v>117</v>
      </c>
      <c r="E4293" t="s">
        <v>29</v>
      </c>
      <c r="F4293" s="2">
        <v>732.58</v>
      </c>
      <c r="G4293" t="s">
        <v>101</v>
      </c>
      <c r="H4293" t="s">
        <v>31</v>
      </c>
      <c r="I4293" t="s">
        <v>46</v>
      </c>
      <c r="J4293" t="s">
        <v>75</v>
      </c>
      <c r="K4293">
        <v>1</v>
      </c>
      <c r="L4293" t="s">
        <v>34</v>
      </c>
      <c r="M4293" t="s">
        <v>24</v>
      </c>
      <c r="N4293" t="s">
        <v>34</v>
      </c>
      <c r="O4293">
        <v>0</v>
      </c>
      <c r="P4293" t="s">
        <v>25</v>
      </c>
      <c r="Q4293" t="s">
        <v>42</v>
      </c>
      <c r="R4293" s="1">
        <v>0.1</v>
      </c>
      <c r="S4293">
        <f t="shared" si="268"/>
        <v>659.322</v>
      </c>
      <c r="T4293">
        <f>IFERROR(VLOOKUP(A4293,Table1[[Customer ID]:[Discount Amount]], 6, FALSE),"Not Found")</f>
        <v>732.58</v>
      </c>
      <c r="U4293" t="str">
        <f t="shared" si="269"/>
        <v>Cash</v>
      </c>
      <c r="V4293" s="4" t="str">
        <f t="shared" si="270"/>
        <v>Normal</v>
      </c>
      <c r="W4293" s="4" t="str">
        <f t="shared" si="271"/>
        <v>Poor</v>
      </c>
      <c r="X4293" s="4">
        <f>AVERAGE(Table1[Purchase Amount])</f>
        <v>129.48419400000012</v>
      </c>
    </row>
    <row r="4294" spans="1:24" ht="15" customHeight="1" x14ac:dyDescent="0.25">
      <c r="A4294">
        <v>4392</v>
      </c>
      <c r="B4294">
        <v>54</v>
      </c>
      <c r="C4294" t="s">
        <v>16</v>
      </c>
      <c r="D4294" t="s">
        <v>80</v>
      </c>
      <c r="E4294" t="s">
        <v>29</v>
      </c>
      <c r="F4294" s="2">
        <v>546.55999999999995</v>
      </c>
      <c r="G4294" t="s">
        <v>126</v>
      </c>
      <c r="H4294" t="s">
        <v>55</v>
      </c>
      <c r="I4294" t="s">
        <v>74</v>
      </c>
      <c r="J4294" t="s">
        <v>57</v>
      </c>
      <c r="K4294">
        <v>1</v>
      </c>
      <c r="L4294" t="s">
        <v>23</v>
      </c>
      <c r="M4294" t="s">
        <v>61</v>
      </c>
      <c r="N4294" t="s">
        <v>23</v>
      </c>
      <c r="O4294">
        <v>46</v>
      </c>
      <c r="P4294" t="s">
        <v>58</v>
      </c>
      <c r="Q4294" t="s">
        <v>26</v>
      </c>
      <c r="R4294" s="1">
        <v>0.1</v>
      </c>
      <c r="S4294">
        <f t="shared" si="268"/>
        <v>491.90399999999994</v>
      </c>
      <c r="T4294">
        <f>IFERROR(VLOOKUP(A4294,Table1[[Customer ID]:[Discount Amount]], 6, FALSE),"Not Found")</f>
        <v>546.55999999999995</v>
      </c>
      <c r="U4294" t="str">
        <f t="shared" si="269"/>
        <v>PayPal</v>
      </c>
      <c r="V4294" s="4" t="str">
        <f t="shared" si="270"/>
        <v>Normal</v>
      </c>
      <c r="W4294" s="4" t="str">
        <f t="shared" si="271"/>
        <v>Poor</v>
      </c>
      <c r="X4294" s="4">
        <f>AVERAGE(Table1[Purchase Amount])</f>
        <v>129.48419400000012</v>
      </c>
    </row>
    <row r="4295" spans="1:24" ht="15" customHeight="1" x14ac:dyDescent="0.25">
      <c r="A4295">
        <v>4393</v>
      </c>
      <c r="B4295">
        <v>48</v>
      </c>
      <c r="C4295" t="s">
        <v>27</v>
      </c>
      <c r="D4295" t="s">
        <v>72</v>
      </c>
      <c r="E4295" t="s">
        <v>81</v>
      </c>
      <c r="F4295" s="2">
        <v>0</v>
      </c>
      <c r="G4295" t="s">
        <v>126</v>
      </c>
      <c r="H4295" t="s">
        <v>31</v>
      </c>
      <c r="I4295" t="s">
        <v>32</v>
      </c>
      <c r="J4295" t="s">
        <v>75</v>
      </c>
      <c r="K4295">
        <v>1</v>
      </c>
      <c r="L4295" t="s">
        <v>23</v>
      </c>
      <c r="M4295" t="s">
        <v>61</v>
      </c>
      <c r="N4295" t="s">
        <v>34</v>
      </c>
      <c r="O4295">
        <v>43</v>
      </c>
      <c r="P4295" t="s">
        <v>36</v>
      </c>
      <c r="Q4295" t="s">
        <v>26</v>
      </c>
      <c r="R4295" s="1">
        <v>0.1</v>
      </c>
      <c r="S4295">
        <f t="shared" si="268"/>
        <v>0</v>
      </c>
      <c r="T4295">
        <f>IFERROR(VLOOKUP(A4295,Table1[[Customer ID]:[Discount Amount]], 6, FALSE),"Not Found")</f>
        <v>0</v>
      </c>
      <c r="U4295" t="str">
        <f t="shared" si="269"/>
        <v>Debit Card</v>
      </c>
      <c r="V4295" s="4" t="str">
        <f t="shared" si="270"/>
        <v>Normal</v>
      </c>
      <c r="W4295" s="4" t="str">
        <f t="shared" si="271"/>
        <v>Poor</v>
      </c>
      <c r="X4295" s="4">
        <f>AVERAGE(Table1[Purchase Amount])</f>
        <v>129.48419400000012</v>
      </c>
    </row>
    <row r="4296" spans="1:24" ht="15" customHeight="1" x14ac:dyDescent="0.25">
      <c r="A4296">
        <v>4394</v>
      </c>
      <c r="B4296">
        <v>21</v>
      </c>
      <c r="C4296" t="s">
        <v>71</v>
      </c>
      <c r="D4296" t="s">
        <v>80</v>
      </c>
      <c r="E4296" t="s">
        <v>81</v>
      </c>
      <c r="F4296" s="2">
        <v>1425.9</v>
      </c>
      <c r="G4296" t="s">
        <v>73</v>
      </c>
      <c r="H4296" t="s">
        <v>31</v>
      </c>
      <c r="I4296" t="s">
        <v>74</v>
      </c>
      <c r="J4296" t="s">
        <v>57</v>
      </c>
      <c r="K4296">
        <v>1</v>
      </c>
      <c r="L4296" t="s">
        <v>34</v>
      </c>
      <c r="M4296" t="s">
        <v>24</v>
      </c>
      <c r="N4296" t="s">
        <v>23</v>
      </c>
      <c r="O4296">
        <v>0</v>
      </c>
      <c r="P4296" t="s">
        <v>25</v>
      </c>
      <c r="Q4296" t="s">
        <v>26</v>
      </c>
      <c r="R4296" s="1">
        <v>0.1</v>
      </c>
      <c r="S4296">
        <f t="shared" si="268"/>
        <v>1283.3100000000002</v>
      </c>
      <c r="T4296">
        <f>IFERROR(VLOOKUP(A4296,Table1[[Customer ID]:[Discount Amount]], 6, FALSE),"Not Found")</f>
        <v>1425.9</v>
      </c>
      <c r="U4296" t="str">
        <f t="shared" si="269"/>
        <v>Cash</v>
      </c>
      <c r="V4296" s="4" t="str">
        <f t="shared" si="270"/>
        <v>Normal</v>
      </c>
      <c r="W4296" s="4" t="str">
        <f t="shared" si="271"/>
        <v>Poor</v>
      </c>
      <c r="X4296" s="4">
        <f>AVERAGE(Table1[Purchase Amount])</f>
        <v>129.48419400000012</v>
      </c>
    </row>
    <row r="4297" spans="1:24" ht="15" customHeight="1" x14ac:dyDescent="0.25">
      <c r="A4297">
        <v>4395</v>
      </c>
      <c r="B4297">
        <v>40</v>
      </c>
      <c r="C4297" t="s">
        <v>27</v>
      </c>
      <c r="D4297" t="s">
        <v>116</v>
      </c>
      <c r="E4297" t="s">
        <v>81</v>
      </c>
      <c r="F4297" s="2">
        <v>104.65</v>
      </c>
      <c r="G4297" t="s">
        <v>139</v>
      </c>
      <c r="H4297" t="s">
        <v>31</v>
      </c>
      <c r="I4297" t="s">
        <v>93</v>
      </c>
      <c r="J4297" t="s">
        <v>33</v>
      </c>
      <c r="K4297">
        <v>1</v>
      </c>
      <c r="L4297" t="s">
        <v>23</v>
      </c>
      <c r="M4297" t="s">
        <v>24</v>
      </c>
      <c r="N4297" t="s">
        <v>23</v>
      </c>
      <c r="O4297">
        <v>36</v>
      </c>
      <c r="P4297" t="s">
        <v>53</v>
      </c>
      <c r="Q4297" t="s">
        <v>37</v>
      </c>
      <c r="R4297" s="1">
        <v>0.1</v>
      </c>
      <c r="S4297">
        <f t="shared" si="268"/>
        <v>94.185000000000002</v>
      </c>
      <c r="T4297">
        <f>IFERROR(VLOOKUP(A4297,Table1[[Customer ID]:[Discount Amount]], 6, FALSE),"Not Found")</f>
        <v>104.65</v>
      </c>
      <c r="U4297" t="str">
        <f t="shared" si="269"/>
        <v>Credit Card</v>
      </c>
      <c r="V4297" s="4" t="str">
        <f t="shared" si="270"/>
        <v>Normal</v>
      </c>
      <c r="W4297" s="4" t="str">
        <f t="shared" si="271"/>
        <v>Poor</v>
      </c>
      <c r="X4297" s="4">
        <f>AVERAGE(Table1[Purchase Amount])</f>
        <v>129.48419400000012</v>
      </c>
    </row>
    <row r="4298" spans="1:24" ht="15" customHeight="1" x14ac:dyDescent="0.25">
      <c r="A4298">
        <v>4396</v>
      </c>
      <c r="B4298">
        <v>65</v>
      </c>
      <c r="C4298" t="s">
        <v>71</v>
      </c>
      <c r="D4298" t="s">
        <v>38</v>
      </c>
      <c r="E4298" t="s">
        <v>18</v>
      </c>
      <c r="F4298" s="2">
        <v>0</v>
      </c>
      <c r="G4298" t="s">
        <v>73</v>
      </c>
      <c r="H4298" t="s">
        <v>55</v>
      </c>
      <c r="I4298" t="s">
        <v>74</v>
      </c>
      <c r="J4298" t="s">
        <v>57</v>
      </c>
      <c r="K4298">
        <v>1</v>
      </c>
      <c r="L4298" t="s">
        <v>34</v>
      </c>
      <c r="M4298" t="s">
        <v>61</v>
      </c>
      <c r="N4298" t="s">
        <v>34</v>
      </c>
      <c r="O4298">
        <v>0</v>
      </c>
      <c r="P4298" t="s">
        <v>25</v>
      </c>
      <c r="Q4298" t="s">
        <v>37</v>
      </c>
      <c r="R4298" s="1">
        <v>0.1</v>
      </c>
      <c r="S4298">
        <f t="shared" si="268"/>
        <v>0</v>
      </c>
      <c r="T4298">
        <f>IFERROR(VLOOKUP(A4298,Table1[[Customer ID]:[Discount Amount]], 6, FALSE),"Not Found")</f>
        <v>0</v>
      </c>
      <c r="U4298" t="str">
        <f t="shared" si="269"/>
        <v>Cash</v>
      </c>
      <c r="V4298" s="4" t="str">
        <f t="shared" si="270"/>
        <v>Normal</v>
      </c>
      <c r="W4298" s="4" t="str">
        <f t="shared" si="271"/>
        <v>Poor</v>
      </c>
      <c r="X4298" s="4">
        <f>AVERAGE(Table1[Purchase Amount])</f>
        <v>129.48419400000012</v>
      </c>
    </row>
    <row r="4299" spans="1:24" ht="15" customHeight="1" x14ac:dyDescent="0.25">
      <c r="A4299">
        <v>4397</v>
      </c>
      <c r="B4299">
        <v>47</v>
      </c>
      <c r="C4299" t="s">
        <v>71</v>
      </c>
      <c r="D4299" t="s">
        <v>117</v>
      </c>
      <c r="E4299" t="s">
        <v>29</v>
      </c>
      <c r="F4299" s="2">
        <v>0</v>
      </c>
      <c r="G4299" t="s">
        <v>139</v>
      </c>
      <c r="H4299" t="s">
        <v>45</v>
      </c>
      <c r="I4299" t="s">
        <v>32</v>
      </c>
      <c r="J4299" t="s">
        <v>33</v>
      </c>
      <c r="K4299">
        <v>1</v>
      </c>
      <c r="L4299" t="s">
        <v>34</v>
      </c>
      <c r="M4299" t="s">
        <v>61</v>
      </c>
      <c r="N4299" t="s">
        <v>23</v>
      </c>
      <c r="O4299">
        <v>0</v>
      </c>
      <c r="P4299" t="s">
        <v>53</v>
      </c>
      <c r="Q4299" t="s">
        <v>26</v>
      </c>
      <c r="R4299" s="1">
        <v>0.1</v>
      </c>
      <c r="S4299">
        <f t="shared" si="268"/>
        <v>0</v>
      </c>
      <c r="T4299">
        <f>IFERROR(VLOOKUP(A4299,Table1[[Customer ID]:[Discount Amount]], 6, FALSE),"Not Found")</f>
        <v>0</v>
      </c>
      <c r="U4299" t="str">
        <f t="shared" si="269"/>
        <v>Credit Card</v>
      </c>
      <c r="V4299" s="4" t="str">
        <f t="shared" si="270"/>
        <v>Normal</v>
      </c>
      <c r="W4299" s="4" t="str">
        <f t="shared" si="271"/>
        <v>Poor</v>
      </c>
      <c r="X4299" s="4">
        <f>AVERAGE(Table1[Purchase Amount])</f>
        <v>129.48419400000012</v>
      </c>
    </row>
    <row r="4300" spans="1:24" ht="15" customHeight="1" x14ac:dyDescent="0.25">
      <c r="A4300">
        <v>4398</v>
      </c>
      <c r="B4300">
        <v>62</v>
      </c>
      <c r="C4300" t="s">
        <v>71</v>
      </c>
      <c r="D4300" t="s">
        <v>38</v>
      </c>
      <c r="E4300" t="s">
        <v>29</v>
      </c>
      <c r="F4300" s="2">
        <v>722.19</v>
      </c>
      <c r="G4300" t="s">
        <v>139</v>
      </c>
      <c r="H4300" t="s">
        <v>31</v>
      </c>
      <c r="I4300" t="s">
        <v>40</v>
      </c>
      <c r="J4300" t="s">
        <v>22</v>
      </c>
      <c r="K4300">
        <v>2</v>
      </c>
      <c r="L4300" t="s">
        <v>34</v>
      </c>
      <c r="M4300" t="s">
        <v>61</v>
      </c>
      <c r="N4300" t="s">
        <v>23</v>
      </c>
      <c r="O4300">
        <v>0</v>
      </c>
      <c r="P4300" t="s">
        <v>53</v>
      </c>
      <c r="Q4300" t="s">
        <v>42</v>
      </c>
      <c r="R4300" s="1">
        <v>0.1</v>
      </c>
      <c r="S4300">
        <f t="shared" si="268"/>
        <v>649.971</v>
      </c>
      <c r="T4300">
        <f>IFERROR(VLOOKUP(A4300,Table1[[Customer ID]:[Discount Amount]], 6, FALSE),"Not Found")</f>
        <v>722.19</v>
      </c>
      <c r="U4300" t="str">
        <f t="shared" si="269"/>
        <v>Credit Card</v>
      </c>
      <c r="V4300" s="4" t="str">
        <f t="shared" si="270"/>
        <v>Normal</v>
      </c>
      <c r="W4300" s="4" t="str">
        <f t="shared" si="271"/>
        <v>Poor</v>
      </c>
      <c r="X4300" s="4">
        <f>AVERAGE(Table1[Purchase Amount])</f>
        <v>129.48419400000012</v>
      </c>
    </row>
    <row r="4301" spans="1:24" ht="15" customHeight="1" x14ac:dyDescent="0.25">
      <c r="A4301">
        <v>4399</v>
      </c>
      <c r="B4301">
        <v>40</v>
      </c>
      <c r="C4301" t="s">
        <v>16</v>
      </c>
      <c r="D4301" t="s">
        <v>38</v>
      </c>
      <c r="E4301" t="s">
        <v>18</v>
      </c>
      <c r="F4301" s="2">
        <v>0</v>
      </c>
      <c r="G4301" t="s">
        <v>82</v>
      </c>
      <c r="H4301" t="s">
        <v>45</v>
      </c>
      <c r="I4301" t="s">
        <v>32</v>
      </c>
      <c r="J4301" t="s">
        <v>22</v>
      </c>
      <c r="K4301">
        <v>3</v>
      </c>
      <c r="L4301" t="s">
        <v>34</v>
      </c>
      <c r="M4301" t="s">
        <v>61</v>
      </c>
      <c r="N4301" t="s">
        <v>23</v>
      </c>
      <c r="O4301">
        <v>0</v>
      </c>
      <c r="P4301" t="s">
        <v>25</v>
      </c>
      <c r="Q4301" t="s">
        <v>37</v>
      </c>
      <c r="R4301" s="1">
        <v>0.1</v>
      </c>
      <c r="S4301">
        <f t="shared" si="268"/>
        <v>0</v>
      </c>
      <c r="T4301">
        <f>IFERROR(VLOOKUP(A4301,Table1[[Customer ID]:[Discount Amount]], 6, FALSE),"Not Found")</f>
        <v>0</v>
      </c>
      <c r="U4301" t="str">
        <f t="shared" si="269"/>
        <v>Cash</v>
      </c>
      <c r="V4301" s="4" t="str">
        <f t="shared" si="270"/>
        <v>Normal</v>
      </c>
      <c r="W4301" s="4" t="str">
        <f t="shared" si="271"/>
        <v>Good</v>
      </c>
      <c r="X4301" s="4">
        <f>AVERAGE(Table1[Purchase Amount])</f>
        <v>129.48419400000012</v>
      </c>
    </row>
    <row r="4302" spans="1:24" ht="15" customHeight="1" x14ac:dyDescent="0.25">
      <c r="A4302">
        <v>4400</v>
      </c>
      <c r="B4302">
        <v>58</v>
      </c>
      <c r="C4302" t="s">
        <v>71</v>
      </c>
      <c r="D4302" t="s">
        <v>116</v>
      </c>
      <c r="E4302" t="s">
        <v>18</v>
      </c>
      <c r="F4302" s="2">
        <v>418.38</v>
      </c>
      <c r="G4302" t="s">
        <v>126</v>
      </c>
      <c r="H4302" t="s">
        <v>55</v>
      </c>
      <c r="I4302" t="s">
        <v>74</v>
      </c>
      <c r="J4302" t="s">
        <v>22</v>
      </c>
      <c r="K4302">
        <v>1</v>
      </c>
      <c r="L4302" t="s">
        <v>34</v>
      </c>
      <c r="M4302" t="s">
        <v>24</v>
      </c>
      <c r="N4302" t="s">
        <v>34</v>
      </c>
      <c r="O4302">
        <v>25</v>
      </c>
      <c r="P4302" t="s">
        <v>36</v>
      </c>
      <c r="Q4302" t="s">
        <v>26</v>
      </c>
      <c r="R4302" s="1">
        <v>0.1</v>
      </c>
      <c r="S4302">
        <f t="shared" si="268"/>
        <v>376.54199999999997</v>
      </c>
      <c r="T4302">
        <f>IFERROR(VLOOKUP(A4302,Table1[[Customer ID]:[Discount Amount]], 6, FALSE),"Not Found")</f>
        <v>418.38</v>
      </c>
      <c r="U4302" t="str">
        <f t="shared" si="269"/>
        <v>Debit Card</v>
      </c>
      <c r="V4302" s="4" t="str">
        <f t="shared" si="270"/>
        <v>Normal</v>
      </c>
      <c r="W4302" s="4" t="str">
        <f t="shared" si="271"/>
        <v>Poor</v>
      </c>
      <c r="X4302" s="4">
        <f>AVERAGE(Table1[Purchase Amount])</f>
        <v>129.48419400000012</v>
      </c>
    </row>
    <row r="4303" spans="1:24" ht="15" customHeight="1" x14ac:dyDescent="0.25">
      <c r="A4303">
        <v>4401</v>
      </c>
      <c r="B4303">
        <v>49</v>
      </c>
      <c r="C4303" t="s">
        <v>71</v>
      </c>
      <c r="D4303" t="s">
        <v>112</v>
      </c>
      <c r="E4303" t="s">
        <v>29</v>
      </c>
      <c r="F4303" s="2">
        <v>0</v>
      </c>
      <c r="G4303" t="s">
        <v>73</v>
      </c>
      <c r="H4303" t="s">
        <v>45</v>
      </c>
      <c r="I4303" t="s">
        <v>93</v>
      </c>
      <c r="J4303" t="s">
        <v>22</v>
      </c>
      <c r="K4303">
        <v>4</v>
      </c>
      <c r="L4303" t="s">
        <v>23</v>
      </c>
      <c r="M4303" t="s">
        <v>61</v>
      </c>
      <c r="N4303" t="s">
        <v>34</v>
      </c>
      <c r="O4303">
        <v>32</v>
      </c>
      <c r="P4303" t="s">
        <v>25</v>
      </c>
      <c r="Q4303" t="s">
        <v>37</v>
      </c>
      <c r="R4303" s="1">
        <v>0.1</v>
      </c>
      <c r="S4303">
        <f t="shared" si="268"/>
        <v>0</v>
      </c>
      <c r="T4303">
        <f>IFERROR(VLOOKUP(A4303,Table1[[Customer ID]:[Discount Amount]], 6, FALSE),"Not Found")</f>
        <v>0</v>
      </c>
      <c r="U4303" t="str">
        <f t="shared" si="269"/>
        <v>Cash</v>
      </c>
      <c r="V4303" s="4" t="str">
        <f t="shared" si="270"/>
        <v>Normal</v>
      </c>
      <c r="W4303" s="4" t="str">
        <f t="shared" si="271"/>
        <v>Good</v>
      </c>
      <c r="X4303" s="4">
        <f>AVERAGE(Table1[Purchase Amount])</f>
        <v>129.48419400000012</v>
      </c>
    </row>
    <row r="4304" spans="1:24" ht="15" customHeight="1" x14ac:dyDescent="0.25">
      <c r="A4304">
        <v>4402</v>
      </c>
      <c r="B4304">
        <v>48</v>
      </c>
      <c r="C4304" t="s">
        <v>16</v>
      </c>
      <c r="D4304" t="s">
        <v>72</v>
      </c>
      <c r="E4304" t="s">
        <v>29</v>
      </c>
      <c r="F4304" s="2">
        <v>0</v>
      </c>
      <c r="G4304" t="s">
        <v>126</v>
      </c>
      <c r="H4304" t="s">
        <v>31</v>
      </c>
      <c r="I4304" t="s">
        <v>93</v>
      </c>
      <c r="J4304" t="s">
        <v>33</v>
      </c>
      <c r="K4304">
        <v>4</v>
      </c>
      <c r="L4304" t="s">
        <v>34</v>
      </c>
      <c r="M4304" t="s">
        <v>24</v>
      </c>
      <c r="N4304" t="s">
        <v>34</v>
      </c>
      <c r="O4304">
        <v>0</v>
      </c>
      <c r="P4304" t="s">
        <v>25</v>
      </c>
      <c r="Q4304" t="s">
        <v>42</v>
      </c>
      <c r="R4304" s="1">
        <v>0.1</v>
      </c>
      <c r="S4304">
        <f t="shared" si="268"/>
        <v>0</v>
      </c>
      <c r="T4304">
        <f>IFERROR(VLOOKUP(A4304,Table1[[Customer ID]:[Discount Amount]], 6, FALSE),"Not Found")</f>
        <v>0</v>
      </c>
      <c r="U4304" t="str">
        <f t="shared" si="269"/>
        <v>Cash</v>
      </c>
      <c r="V4304" s="4" t="str">
        <f t="shared" si="270"/>
        <v>Normal</v>
      </c>
      <c r="W4304" s="4" t="str">
        <f t="shared" si="271"/>
        <v>Good</v>
      </c>
      <c r="X4304" s="4">
        <f>AVERAGE(Table1[Purchase Amount])</f>
        <v>129.48419400000012</v>
      </c>
    </row>
    <row r="4305" spans="1:24" ht="15" customHeight="1" x14ac:dyDescent="0.25">
      <c r="A4305">
        <v>4403</v>
      </c>
      <c r="B4305">
        <v>70</v>
      </c>
      <c r="C4305" t="s">
        <v>71</v>
      </c>
      <c r="D4305" t="s">
        <v>112</v>
      </c>
      <c r="E4305" t="s">
        <v>18</v>
      </c>
      <c r="F4305" s="2">
        <v>583.34</v>
      </c>
      <c r="G4305" t="s">
        <v>101</v>
      </c>
      <c r="H4305" t="s">
        <v>45</v>
      </c>
      <c r="I4305" t="s">
        <v>93</v>
      </c>
      <c r="J4305" t="s">
        <v>22</v>
      </c>
      <c r="K4305">
        <v>1</v>
      </c>
      <c r="L4305" t="s">
        <v>34</v>
      </c>
      <c r="M4305" t="s">
        <v>61</v>
      </c>
      <c r="N4305" t="s">
        <v>23</v>
      </c>
      <c r="O4305">
        <v>20</v>
      </c>
      <c r="P4305" t="s">
        <v>58</v>
      </c>
      <c r="Q4305" t="s">
        <v>26</v>
      </c>
      <c r="R4305" s="1">
        <v>0.1</v>
      </c>
      <c r="S4305">
        <f t="shared" si="268"/>
        <v>525.00600000000009</v>
      </c>
      <c r="T4305">
        <f>IFERROR(VLOOKUP(A4305,Table1[[Customer ID]:[Discount Amount]], 6, FALSE),"Not Found")</f>
        <v>583.34</v>
      </c>
      <c r="U4305" t="str">
        <f t="shared" si="269"/>
        <v>PayPal</v>
      </c>
      <c r="V4305" s="4" t="str">
        <f t="shared" si="270"/>
        <v>Normal</v>
      </c>
      <c r="W4305" s="4" t="str">
        <f t="shared" si="271"/>
        <v>Poor</v>
      </c>
      <c r="X4305" s="4">
        <f>AVERAGE(Table1[Purchase Amount])</f>
        <v>129.48419400000012</v>
      </c>
    </row>
    <row r="4306" spans="1:24" ht="15" customHeight="1" x14ac:dyDescent="0.25">
      <c r="A4306">
        <v>4404</v>
      </c>
      <c r="B4306">
        <v>67</v>
      </c>
      <c r="C4306" t="s">
        <v>27</v>
      </c>
      <c r="D4306" t="s">
        <v>116</v>
      </c>
      <c r="E4306" t="s">
        <v>18</v>
      </c>
      <c r="F4306" s="2">
        <v>498.03</v>
      </c>
      <c r="G4306" t="s">
        <v>101</v>
      </c>
      <c r="H4306" t="s">
        <v>20</v>
      </c>
      <c r="I4306" t="s">
        <v>74</v>
      </c>
      <c r="J4306" t="s">
        <v>22</v>
      </c>
      <c r="K4306">
        <v>1</v>
      </c>
      <c r="L4306" t="s">
        <v>34</v>
      </c>
      <c r="M4306" t="s">
        <v>24</v>
      </c>
      <c r="N4306" t="s">
        <v>34</v>
      </c>
      <c r="O4306">
        <v>20</v>
      </c>
      <c r="P4306" t="s">
        <v>36</v>
      </c>
      <c r="Q4306" t="s">
        <v>42</v>
      </c>
      <c r="R4306" s="1">
        <v>0.1</v>
      </c>
      <c r="S4306">
        <f t="shared" si="268"/>
        <v>448.22699999999998</v>
      </c>
      <c r="T4306">
        <f>IFERROR(VLOOKUP(A4306,Table1[[Customer ID]:[Discount Amount]], 6, FALSE),"Not Found")</f>
        <v>498.03</v>
      </c>
      <c r="U4306" t="str">
        <f t="shared" si="269"/>
        <v>Debit Card</v>
      </c>
      <c r="V4306" s="4" t="str">
        <f t="shared" si="270"/>
        <v>Normal</v>
      </c>
      <c r="W4306" s="4" t="str">
        <f t="shared" si="271"/>
        <v>Poor</v>
      </c>
      <c r="X4306" s="4">
        <f>AVERAGE(Table1[Purchase Amount])</f>
        <v>129.48419400000012</v>
      </c>
    </row>
    <row r="4307" spans="1:24" ht="15" customHeight="1" x14ac:dyDescent="0.25">
      <c r="A4307">
        <v>4405</v>
      </c>
      <c r="B4307">
        <v>36</v>
      </c>
      <c r="C4307" t="s">
        <v>71</v>
      </c>
      <c r="D4307" t="s">
        <v>117</v>
      </c>
      <c r="E4307" t="s">
        <v>81</v>
      </c>
      <c r="F4307" s="2">
        <v>0</v>
      </c>
      <c r="G4307" t="s">
        <v>126</v>
      </c>
      <c r="H4307" t="s">
        <v>31</v>
      </c>
      <c r="I4307" t="s">
        <v>32</v>
      </c>
      <c r="J4307" t="s">
        <v>33</v>
      </c>
      <c r="K4307">
        <v>1</v>
      </c>
      <c r="L4307" t="s">
        <v>23</v>
      </c>
      <c r="M4307" t="s">
        <v>61</v>
      </c>
      <c r="N4307" t="s">
        <v>34</v>
      </c>
      <c r="O4307">
        <v>12</v>
      </c>
      <c r="P4307" t="s">
        <v>25</v>
      </c>
      <c r="Q4307" t="s">
        <v>37</v>
      </c>
      <c r="R4307" s="1">
        <v>0.1</v>
      </c>
      <c r="S4307">
        <f t="shared" si="268"/>
        <v>0</v>
      </c>
      <c r="T4307">
        <f>IFERROR(VLOOKUP(A4307,Table1[[Customer ID]:[Discount Amount]], 6, FALSE),"Not Found")</f>
        <v>0</v>
      </c>
      <c r="U4307" t="str">
        <f t="shared" si="269"/>
        <v>Cash</v>
      </c>
      <c r="V4307" s="4" t="str">
        <f t="shared" si="270"/>
        <v>Normal</v>
      </c>
      <c r="W4307" s="4" t="str">
        <f t="shared" si="271"/>
        <v>Poor</v>
      </c>
      <c r="X4307" s="4">
        <f>AVERAGE(Table1[Purchase Amount])</f>
        <v>129.48419400000012</v>
      </c>
    </row>
    <row r="4308" spans="1:24" ht="15" customHeight="1" x14ac:dyDescent="0.25">
      <c r="A4308">
        <v>4406</v>
      </c>
      <c r="B4308">
        <v>19</v>
      </c>
      <c r="C4308" t="s">
        <v>71</v>
      </c>
      <c r="D4308" t="s">
        <v>95</v>
      </c>
      <c r="E4308" t="s">
        <v>81</v>
      </c>
      <c r="F4308" s="2">
        <v>0</v>
      </c>
      <c r="G4308" t="s">
        <v>101</v>
      </c>
      <c r="H4308" t="s">
        <v>31</v>
      </c>
      <c r="I4308" t="s">
        <v>74</v>
      </c>
      <c r="J4308" t="s">
        <v>57</v>
      </c>
      <c r="K4308">
        <v>1</v>
      </c>
      <c r="L4308" t="s">
        <v>34</v>
      </c>
      <c r="M4308" t="s">
        <v>61</v>
      </c>
      <c r="N4308" t="s">
        <v>23</v>
      </c>
      <c r="O4308">
        <v>0</v>
      </c>
      <c r="P4308" t="s">
        <v>25</v>
      </c>
      <c r="Q4308" t="s">
        <v>42</v>
      </c>
      <c r="R4308" s="1">
        <v>0.1</v>
      </c>
      <c r="S4308">
        <f t="shared" si="268"/>
        <v>0</v>
      </c>
      <c r="T4308">
        <f>IFERROR(VLOOKUP(A4308,Table1[[Customer ID]:[Discount Amount]], 6, FALSE),"Not Found")</f>
        <v>0</v>
      </c>
      <c r="U4308" t="str">
        <f t="shared" si="269"/>
        <v>Cash</v>
      </c>
      <c r="V4308" s="4" t="str">
        <f t="shared" si="270"/>
        <v>Normal</v>
      </c>
      <c r="W4308" s="4" t="str">
        <f t="shared" si="271"/>
        <v>Poor</v>
      </c>
      <c r="X4308" s="4">
        <f>AVERAGE(Table1[Purchase Amount])</f>
        <v>129.48419400000012</v>
      </c>
    </row>
    <row r="4309" spans="1:24" ht="15" customHeight="1" x14ac:dyDescent="0.25">
      <c r="A4309">
        <v>4407</v>
      </c>
      <c r="B4309">
        <v>33</v>
      </c>
      <c r="C4309" t="s">
        <v>27</v>
      </c>
      <c r="D4309" t="s">
        <v>112</v>
      </c>
      <c r="E4309" t="s">
        <v>29</v>
      </c>
      <c r="F4309" s="2">
        <v>0</v>
      </c>
      <c r="G4309" t="s">
        <v>101</v>
      </c>
      <c r="H4309" t="s">
        <v>45</v>
      </c>
      <c r="I4309" t="s">
        <v>32</v>
      </c>
      <c r="J4309" t="s">
        <v>75</v>
      </c>
      <c r="K4309">
        <v>1</v>
      </c>
      <c r="L4309" t="s">
        <v>34</v>
      </c>
      <c r="M4309" t="s">
        <v>24</v>
      </c>
      <c r="N4309" t="s">
        <v>34</v>
      </c>
      <c r="O4309">
        <v>0</v>
      </c>
      <c r="P4309" t="s">
        <v>53</v>
      </c>
      <c r="Q4309" t="s">
        <v>42</v>
      </c>
      <c r="R4309" s="1">
        <v>0.1</v>
      </c>
      <c r="S4309">
        <f t="shared" si="268"/>
        <v>0</v>
      </c>
      <c r="T4309">
        <f>IFERROR(VLOOKUP(A4309,Table1[[Customer ID]:[Discount Amount]], 6, FALSE),"Not Found")</f>
        <v>0</v>
      </c>
      <c r="U4309" t="str">
        <f t="shared" si="269"/>
        <v>Credit Card</v>
      </c>
      <c r="V4309" s="4" t="str">
        <f t="shared" si="270"/>
        <v>Normal</v>
      </c>
      <c r="W4309" s="4" t="str">
        <f t="shared" si="271"/>
        <v>Poor</v>
      </c>
      <c r="X4309" s="4">
        <f>AVERAGE(Table1[Purchase Amount])</f>
        <v>129.48419400000012</v>
      </c>
    </row>
    <row r="4310" spans="1:24" ht="15" customHeight="1" x14ac:dyDescent="0.25">
      <c r="A4310">
        <v>4408</v>
      </c>
      <c r="B4310">
        <v>19</v>
      </c>
      <c r="C4310" t="s">
        <v>27</v>
      </c>
      <c r="D4310" t="s">
        <v>117</v>
      </c>
      <c r="E4310" t="s">
        <v>81</v>
      </c>
      <c r="F4310" s="2">
        <v>1456.31</v>
      </c>
      <c r="G4310" t="s">
        <v>82</v>
      </c>
      <c r="H4310" t="s">
        <v>31</v>
      </c>
      <c r="I4310" t="s">
        <v>93</v>
      </c>
      <c r="J4310" t="s">
        <v>57</v>
      </c>
      <c r="K4310">
        <v>5</v>
      </c>
      <c r="L4310" t="s">
        <v>34</v>
      </c>
      <c r="M4310" t="s">
        <v>61</v>
      </c>
      <c r="N4310" t="s">
        <v>34</v>
      </c>
      <c r="O4310">
        <v>0</v>
      </c>
      <c r="P4310" t="s">
        <v>25</v>
      </c>
      <c r="Q4310" t="s">
        <v>26</v>
      </c>
      <c r="R4310" s="1">
        <v>0.1</v>
      </c>
      <c r="S4310">
        <f t="shared" si="268"/>
        <v>1310.6789999999999</v>
      </c>
      <c r="T4310">
        <f>IFERROR(VLOOKUP(A4310,Table1[[Customer ID]:[Discount Amount]], 6, FALSE),"Not Found")</f>
        <v>1456.31</v>
      </c>
      <c r="U4310" t="str">
        <f t="shared" si="269"/>
        <v>Cash</v>
      </c>
      <c r="V4310" s="4" t="str">
        <f t="shared" si="270"/>
        <v>Best Customer</v>
      </c>
      <c r="W4310" s="4" t="str">
        <f t="shared" si="271"/>
        <v>Good</v>
      </c>
      <c r="X4310" s="4">
        <f>AVERAGE(Table1[Purchase Amount])</f>
        <v>129.48419400000012</v>
      </c>
    </row>
    <row r="4311" spans="1:24" ht="15" customHeight="1" x14ac:dyDescent="0.25">
      <c r="A4311">
        <v>4409</v>
      </c>
      <c r="B4311">
        <v>31</v>
      </c>
      <c r="C4311" t="s">
        <v>27</v>
      </c>
      <c r="D4311" t="s">
        <v>117</v>
      </c>
      <c r="E4311" t="s">
        <v>18</v>
      </c>
      <c r="F4311" s="2">
        <v>0</v>
      </c>
      <c r="G4311" t="s">
        <v>73</v>
      </c>
      <c r="H4311" t="s">
        <v>55</v>
      </c>
      <c r="I4311" t="s">
        <v>32</v>
      </c>
      <c r="J4311" t="s">
        <v>22</v>
      </c>
      <c r="K4311">
        <v>1</v>
      </c>
      <c r="L4311" t="s">
        <v>34</v>
      </c>
      <c r="M4311" t="s">
        <v>24</v>
      </c>
      <c r="N4311" t="s">
        <v>23</v>
      </c>
      <c r="O4311">
        <v>0</v>
      </c>
      <c r="P4311" t="s">
        <v>25</v>
      </c>
      <c r="Q4311" t="s">
        <v>37</v>
      </c>
      <c r="R4311" s="1">
        <v>0.1</v>
      </c>
      <c r="S4311">
        <f t="shared" si="268"/>
        <v>0</v>
      </c>
      <c r="T4311">
        <f>IFERROR(VLOOKUP(A4311,Table1[[Customer ID]:[Discount Amount]], 6, FALSE),"Not Found")</f>
        <v>0</v>
      </c>
      <c r="U4311" t="str">
        <f t="shared" si="269"/>
        <v>Cash</v>
      </c>
      <c r="V4311" s="4" t="str">
        <f t="shared" si="270"/>
        <v>Normal</v>
      </c>
      <c r="W4311" s="4" t="str">
        <f t="shared" si="271"/>
        <v>Poor</v>
      </c>
      <c r="X4311" s="4">
        <f>AVERAGE(Table1[Purchase Amount])</f>
        <v>129.48419400000012</v>
      </c>
    </row>
    <row r="4312" spans="1:24" ht="15" customHeight="1" x14ac:dyDescent="0.25">
      <c r="A4312">
        <v>4410</v>
      </c>
      <c r="B4312">
        <v>31</v>
      </c>
      <c r="C4312" t="s">
        <v>71</v>
      </c>
      <c r="D4312" t="s">
        <v>72</v>
      </c>
      <c r="E4312" t="s">
        <v>29</v>
      </c>
      <c r="F4312" s="2">
        <v>0</v>
      </c>
      <c r="G4312" t="s">
        <v>82</v>
      </c>
      <c r="H4312" t="s">
        <v>45</v>
      </c>
      <c r="I4312" t="s">
        <v>46</v>
      </c>
      <c r="J4312" t="s">
        <v>57</v>
      </c>
      <c r="K4312">
        <v>5</v>
      </c>
      <c r="L4312" t="s">
        <v>23</v>
      </c>
      <c r="M4312" t="s">
        <v>61</v>
      </c>
      <c r="N4312" t="s">
        <v>34</v>
      </c>
      <c r="O4312">
        <v>19</v>
      </c>
      <c r="P4312" t="s">
        <v>25</v>
      </c>
      <c r="Q4312" t="s">
        <v>42</v>
      </c>
      <c r="R4312" s="1">
        <v>0.1</v>
      </c>
      <c r="S4312">
        <f t="shared" si="268"/>
        <v>0</v>
      </c>
      <c r="T4312">
        <f>IFERROR(VLOOKUP(A4312,Table1[[Customer ID]:[Discount Amount]], 6, FALSE),"Not Found")</f>
        <v>0</v>
      </c>
      <c r="U4312" t="str">
        <f t="shared" si="269"/>
        <v>Cash</v>
      </c>
      <c r="V4312" s="4" t="str">
        <f t="shared" si="270"/>
        <v>Normal</v>
      </c>
      <c r="W4312" s="4" t="str">
        <f t="shared" si="271"/>
        <v>Good</v>
      </c>
      <c r="X4312" s="4">
        <f>AVERAGE(Table1[Purchase Amount])</f>
        <v>129.48419400000012</v>
      </c>
    </row>
    <row r="4313" spans="1:24" ht="15" customHeight="1" x14ac:dyDescent="0.25">
      <c r="A4313">
        <v>4411</v>
      </c>
      <c r="B4313">
        <v>70</v>
      </c>
      <c r="C4313" t="s">
        <v>71</v>
      </c>
      <c r="D4313" t="s">
        <v>72</v>
      </c>
      <c r="E4313" t="s">
        <v>18</v>
      </c>
      <c r="F4313" s="2">
        <v>347.55</v>
      </c>
      <c r="G4313" t="s">
        <v>82</v>
      </c>
      <c r="H4313" t="s">
        <v>20</v>
      </c>
      <c r="I4313" t="s">
        <v>74</v>
      </c>
      <c r="J4313" t="s">
        <v>75</v>
      </c>
      <c r="K4313">
        <v>1</v>
      </c>
      <c r="L4313" t="s">
        <v>23</v>
      </c>
      <c r="M4313" t="s">
        <v>24</v>
      </c>
      <c r="N4313" t="s">
        <v>23</v>
      </c>
      <c r="O4313">
        <v>0</v>
      </c>
      <c r="P4313" t="s">
        <v>53</v>
      </c>
      <c r="Q4313" t="s">
        <v>26</v>
      </c>
      <c r="R4313" s="1">
        <v>0.1</v>
      </c>
      <c r="S4313">
        <f t="shared" si="268"/>
        <v>312.79500000000002</v>
      </c>
      <c r="T4313">
        <f>IFERROR(VLOOKUP(A4313,Table1[[Customer ID]:[Discount Amount]], 6, FALSE),"Not Found")</f>
        <v>347.55</v>
      </c>
      <c r="U4313" t="str">
        <f t="shared" si="269"/>
        <v>Credit Card</v>
      </c>
      <c r="V4313" s="4" t="str">
        <f t="shared" si="270"/>
        <v>Normal</v>
      </c>
      <c r="W4313" s="4" t="str">
        <f t="shared" si="271"/>
        <v>Poor</v>
      </c>
      <c r="X4313" s="4">
        <f>AVERAGE(Table1[Purchase Amount])</f>
        <v>129.48419400000012</v>
      </c>
    </row>
    <row r="4314" spans="1:24" ht="15" customHeight="1" x14ac:dyDescent="0.25">
      <c r="A4314">
        <v>4412</v>
      </c>
      <c r="B4314">
        <v>41</v>
      </c>
      <c r="C4314" t="s">
        <v>27</v>
      </c>
      <c r="D4314" t="s">
        <v>112</v>
      </c>
      <c r="E4314" t="s">
        <v>18</v>
      </c>
      <c r="F4314" s="2">
        <v>1214.49</v>
      </c>
      <c r="G4314" t="s">
        <v>101</v>
      </c>
      <c r="H4314" t="s">
        <v>31</v>
      </c>
      <c r="I4314" t="s">
        <v>74</v>
      </c>
      <c r="J4314" t="s">
        <v>33</v>
      </c>
      <c r="K4314">
        <v>2</v>
      </c>
      <c r="L4314" t="s">
        <v>23</v>
      </c>
      <c r="M4314" t="s">
        <v>24</v>
      </c>
      <c r="N4314" t="s">
        <v>34</v>
      </c>
      <c r="O4314">
        <v>1</v>
      </c>
      <c r="P4314" t="s">
        <v>58</v>
      </c>
      <c r="Q4314" t="s">
        <v>37</v>
      </c>
      <c r="R4314" s="1">
        <v>0.1</v>
      </c>
      <c r="S4314">
        <f t="shared" si="268"/>
        <v>1093.0409999999999</v>
      </c>
      <c r="T4314">
        <f>IFERROR(VLOOKUP(A4314,Table1[[Customer ID]:[Discount Amount]], 6, FALSE),"Not Found")</f>
        <v>1214.49</v>
      </c>
      <c r="U4314" t="str">
        <f t="shared" si="269"/>
        <v>PayPal</v>
      </c>
      <c r="V4314" s="4" t="str">
        <f t="shared" si="270"/>
        <v>Normal</v>
      </c>
      <c r="W4314" s="4" t="str">
        <f t="shared" si="271"/>
        <v>Poor</v>
      </c>
      <c r="X4314" s="4">
        <f>AVERAGE(Table1[Purchase Amount])</f>
        <v>129.48419400000012</v>
      </c>
    </row>
    <row r="4315" spans="1:24" ht="15" customHeight="1" x14ac:dyDescent="0.25">
      <c r="A4315">
        <v>4413</v>
      </c>
      <c r="B4315">
        <v>26</v>
      </c>
      <c r="C4315" t="s">
        <v>71</v>
      </c>
      <c r="D4315" t="s">
        <v>95</v>
      </c>
      <c r="E4315" t="s">
        <v>29</v>
      </c>
      <c r="F4315" s="2">
        <v>0</v>
      </c>
      <c r="G4315" t="s">
        <v>73</v>
      </c>
      <c r="H4315" t="s">
        <v>31</v>
      </c>
      <c r="I4315" t="s">
        <v>40</v>
      </c>
      <c r="J4315" t="s">
        <v>33</v>
      </c>
      <c r="K4315">
        <v>1</v>
      </c>
      <c r="L4315" t="s">
        <v>34</v>
      </c>
      <c r="M4315" t="s">
        <v>24</v>
      </c>
      <c r="N4315" t="s">
        <v>23</v>
      </c>
      <c r="O4315">
        <v>24</v>
      </c>
      <c r="P4315" t="s">
        <v>36</v>
      </c>
      <c r="Q4315" t="s">
        <v>26</v>
      </c>
      <c r="R4315" s="1">
        <v>0.1</v>
      </c>
      <c r="S4315">
        <f t="shared" si="268"/>
        <v>0</v>
      </c>
      <c r="T4315">
        <f>IFERROR(VLOOKUP(A4315,Table1[[Customer ID]:[Discount Amount]], 6, FALSE),"Not Found")</f>
        <v>0</v>
      </c>
      <c r="U4315" t="str">
        <f t="shared" si="269"/>
        <v>Debit Card</v>
      </c>
      <c r="V4315" s="4" t="str">
        <f t="shared" si="270"/>
        <v>Normal</v>
      </c>
      <c r="W4315" s="4" t="str">
        <f t="shared" si="271"/>
        <v>Poor</v>
      </c>
      <c r="X4315" s="4">
        <f>AVERAGE(Table1[Purchase Amount])</f>
        <v>129.48419400000012</v>
      </c>
    </row>
    <row r="4316" spans="1:24" ht="15" customHeight="1" x14ac:dyDescent="0.25">
      <c r="A4316">
        <v>4414</v>
      </c>
      <c r="B4316">
        <v>65</v>
      </c>
      <c r="C4316" t="s">
        <v>27</v>
      </c>
      <c r="D4316" t="s">
        <v>117</v>
      </c>
      <c r="E4316" t="s">
        <v>18</v>
      </c>
      <c r="F4316" s="2">
        <v>0</v>
      </c>
      <c r="G4316" t="s">
        <v>101</v>
      </c>
      <c r="H4316" t="s">
        <v>31</v>
      </c>
      <c r="I4316" t="s">
        <v>74</v>
      </c>
      <c r="J4316" t="s">
        <v>57</v>
      </c>
      <c r="K4316">
        <v>1</v>
      </c>
      <c r="L4316" t="s">
        <v>23</v>
      </c>
      <c r="M4316" t="s">
        <v>61</v>
      </c>
      <c r="N4316" t="s">
        <v>23</v>
      </c>
      <c r="O4316">
        <v>0</v>
      </c>
      <c r="P4316" t="s">
        <v>25</v>
      </c>
      <c r="Q4316" t="s">
        <v>37</v>
      </c>
      <c r="R4316" s="1">
        <v>0.1</v>
      </c>
      <c r="S4316">
        <f t="shared" si="268"/>
        <v>0</v>
      </c>
      <c r="T4316">
        <f>IFERROR(VLOOKUP(A4316,Table1[[Customer ID]:[Discount Amount]], 6, FALSE),"Not Found")</f>
        <v>0</v>
      </c>
      <c r="U4316" t="str">
        <f t="shared" si="269"/>
        <v>Cash</v>
      </c>
      <c r="V4316" s="4" t="str">
        <f t="shared" si="270"/>
        <v>Normal</v>
      </c>
      <c r="W4316" s="4" t="str">
        <f t="shared" si="271"/>
        <v>Poor</v>
      </c>
      <c r="X4316" s="4">
        <f>AVERAGE(Table1[Purchase Amount])</f>
        <v>129.48419400000012</v>
      </c>
    </row>
    <row r="4317" spans="1:24" ht="15" customHeight="1" x14ac:dyDescent="0.25">
      <c r="A4317">
        <v>4415</v>
      </c>
      <c r="B4317">
        <v>20</v>
      </c>
      <c r="C4317" t="s">
        <v>16</v>
      </c>
      <c r="D4317" t="s">
        <v>116</v>
      </c>
      <c r="E4317" t="s">
        <v>81</v>
      </c>
      <c r="F4317" s="2">
        <v>347.82</v>
      </c>
      <c r="G4317" t="s">
        <v>73</v>
      </c>
      <c r="H4317" t="s">
        <v>31</v>
      </c>
      <c r="I4317" t="s">
        <v>40</v>
      </c>
      <c r="J4317" t="s">
        <v>22</v>
      </c>
      <c r="K4317">
        <v>1</v>
      </c>
      <c r="L4317" t="s">
        <v>34</v>
      </c>
      <c r="M4317" t="s">
        <v>24</v>
      </c>
      <c r="N4317" t="s">
        <v>34</v>
      </c>
      <c r="O4317">
        <v>39</v>
      </c>
      <c r="P4317" t="s">
        <v>36</v>
      </c>
      <c r="Q4317" t="s">
        <v>42</v>
      </c>
      <c r="R4317" s="1">
        <v>0.1</v>
      </c>
      <c r="S4317">
        <f t="shared" si="268"/>
        <v>313.03800000000001</v>
      </c>
      <c r="T4317">
        <f>IFERROR(VLOOKUP(A4317,Table1[[Customer ID]:[Discount Amount]], 6, FALSE),"Not Found")</f>
        <v>347.82</v>
      </c>
      <c r="U4317" t="str">
        <f t="shared" si="269"/>
        <v>Debit Card</v>
      </c>
      <c r="V4317" s="4" t="str">
        <f t="shared" si="270"/>
        <v>Normal</v>
      </c>
      <c r="W4317" s="4" t="str">
        <f t="shared" si="271"/>
        <v>Poor</v>
      </c>
      <c r="X4317" s="4">
        <f>AVERAGE(Table1[Purchase Amount])</f>
        <v>129.48419400000012</v>
      </c>
    </row>
    <row r="4318" spans="1:24" ht="15" customHeight="1" x14ac:dyDescent="0.25">
      <c r="A4318">
        <v>4416</v>
      </c>
      <c r="B4318">
        <v>32</v>
      </c>
      <c r="C4318" t="s">
        <v>27</v>
      </c>
      <c r="D4318" t="s">
        <v>38</v>
      </c>
      <c r="E4318" t="s">
        <v>81</v>
      </c>
      <c r="F4318" s="2">
        <v>540.78</v>
      </c>
      <c r="G4318" t="s">
        <v>101</v>
      </c>
      <c r="H4318" t="s">
        <v>31</v>
      </c>
      <c r="I4318" t="s">
        <v>40</v>
      </c>
      <c r="J4318" t="s">
        <v>33</v>
      </c>
      <c r="K4318">
        <v>1</v>
      </c>
      <c r="L4318" t="s">
        <v>23</v>
      </c>
      <c r="M4318" t="s">
        <v>61</v>
      </c>
      <c r="N4318" t="s">
        <v>23</v>
      </c>
      <c r="O4318">
        <v>0</v>
      </c>
      <c r="P4318" t="s">
        <v>53</v>
      </c>
      <c r="Q4318" t="s">
        <v>42</v>
      </c>
      <c r="R4318" s="1">
        <v>0.1</v>
      </c>
      <c r="S4318">
        <f t="shared" si="268"/>
        <v>486.702</v>
      </c>
      <c r="T4318">
        <f>IFERROR(VLOOKUP(A4318,Table1[[Customer ID]:[Discount Amount]], 6, FALSE),"Not Found")</f>
        <v>540.78</v>
      </c>
      <c r="U4318" t="str">
        <f t="shared" si="269"/>
        <v>Credit Card</v>
      </c>
      <c r="V4318" s="4" t="str">
        <f t="shared" si="270"/>
        <v>Normal</v>
      </c>
      <c r="W4318" s="4" t="str">
        <f t="shared" si="271"/>
        <v>Poor</v>
      </c>
      <c r="X4318" s="4">
        <f>AVERAGE(Table1[Purchase Amount])</f>
        <v>129.48419400000012</v>
      </c>
    </row>
    <row r="4319" spans="1:24" ht="15" customHeight="1" x14ac:dyDescent="0.25">
      <c r="A4319">
        <v>4417</v>
      </c>
      <c r="B4319">
        <v>18</v>
      </c>
      <c r="C4319" t="s">
        <v>71</v>
      </c>
      <c r="D4319" t="s">
        <v>116</v>
      </c>
      <c r="E4319" t="s">
        <v>29</v>
      </c>
      <c r="F4319" s="2">
        <v>575.59</v>
      </c>
      <c r="G4319" t="s">
        <v>101</v>
      </c>
      <c r="H4319" t="s">
        <v>55</v>
      </c>
      <c r="I4319" t="s">
        <v>32</v>
      </c>
      <c r="J4319" t="s">
        <v>57</v>
      </c>
      <c r="K4319">
        <v>1</v>
      </c>
      <c r="L4319" t="s">
        <v>23</v>
      </c>
      <c r="M4319" t="s">
        <v>61</v>
      </c>
      <c r="N4319" t="s">
        <v>34</v>
      </c>
      <c r="O4319">
        <v>29</v>
      </c>
      <c r="P4319" t="s">
        <v>25</v>
      </c>
      <c r="Q4319" t="s">
        <v>37</v>
      </c>
      <c r="R4319" s="1">
        <v>0.1</v>
      </c>
      <c r="S4319">
        <f t="shared" si="268"/>
        <v>518.03100000000006</v>
      </c>
      <c r="T4319">
        <f>IFERROR(VLOOKUP(A4319,Table1[[Customer ID]:[Discount Amount]], 6, FALSE),"Not Found")</f>
        <v>575.59</v>
      </c>
      <c r="U4319" t="str">
        <f t="shared" si="269"/>
        <v>Cash</v>
      </c>
      <c r="V4319" s="4" t="str">
        <f t="shared" si="270"/>
        <v>Normal</v>
      </c>
      <c r="W4319" s="4" t="str">
        <f t="shared" si="271"/>
        <v>Poor</v>
      </c>
      <c r="X4319" s="4">
        <f>AVERAGE(Table1[Purchase Amount])</f>
        <v>129.48419400000012</v>
      </c>
    </row>
    <row r="4320" spans="1:24" ht="15" customHeight="1" x14ac:dyDescent="0.25">
      <c r="A4320">
        <v>4418</v>
      </c>
      <c r="B4320">
        <v>67</v>
      </c>
      <c r="C4320" t="s">
        <v>16</v>
      </c>
      <c r="D4320" t="s">
        <v>116</v>
      </c>
      <c r="E4320" t="s">
        <v>81</v>
      </c>
      <c r="F4320" s="2">
        <v>0</v>
      </c>
      <c r="G4320" t="s">
        <v>82</v>
      </c>
      <c r="H4320" t="s">
        <v>31</v>
      </c>
      <c r="I4320" t="s">
        <v>46</v>
      </c>
      <c r="J4320" t="s">
        <v>75</v>
      </c>
      <c r="K4320">
        <v>1</v>
      </c>
      <c r="L4320" t="s">
        <v>23</v>
      </c>
      <c r="M4320" t="s">
        <v>61</v>
      </c>
      <c r="N4320" t="s">
        <v>23</v>
      </c>
      <c r="O4320">
        <v>47</v>
      </c>
      <c r="P4320" t="s">
        <v>58</v>
      </c>
      <c r="Q4320" t="s">
        <v>37</v>
      </c>
      <c r="R4320" s="1">
        <v>0.1</v>
      </c>
      <c r="S4320">
        <f t="shared" si="268"/>
        <v>0</v>
      </c>
      <c r="T4320">
        <f>IFERROR(VLOOKUP(A4320,Table1[[Customer ID]:[Discount Amount]], 6, FALSE),"Not Found")</f>
        <v>0</v>
      </c>
      <c r="U4320" t="str">
        <f t="shared" si="269"/>
        <v>PayPal</v>
      </c>
      <c r="V4320" s="4" t="str">
        <f t="shared" si="270"/>
        <v>Normal</v>
      </c>
      <c r="W4320" s="4" t="str">
        <f t="shared" si="271"/>
        <v>Poor</v>
      </c>
      <c r="X4320" s="4">
        <f>AVERAGE(Table1[Purchase Amount])</f>
        <v>129.48419400000012</v>
      </c>
    </row>
    <row r="4321" spans="1:24" ht="15" customHeight="1" x14ac:dyDescent="0.25">
      <c r="A4321">
        <v>4419</v>
      </c>
      <c r="B4321">
        <v>36</v>
      </c>
      <c r="C4321" t="s">
        <v>16</v>
      </c>
      <c r="D4321" t="s">
        <v>80</v>
      </c>
      <c r="E4321" t="s">
        <v>29</v>
      </c>
      <c r="F4321" s="2">
        <v>0</v>
      </c>
      <c r="G4321" t="s">
        <v>101</v>
      </c>
      <c r="H4321" t="s">
        <v>31</v>
      </c>
      <c r="I4321" t="s">
        <v>32</v>
      </c>
      <c r="J4321" t="s">
        <v>22</v>
      </c>
      <c r="K4321">
        <v>3</v>
      </c>
      <c r="L4321" t="s">
        <v>34</v>
      </c>
      <c r="M4321" t="s">
        <v>61</v>
      </c>
      <c r="N4321" t="s">
        <v>34</v>
      </c>
      <c r="O4321">
        <v>0</v>
      </c>
      <c r="P4321" t="s">
        <v>53</v>
      </c>
      <c r="Q4321" t="s">
        <v>37</v>
      </c>
      <c r="R4321" s="1">
        <v>0.1</v>
      </c>
      <c r="S4321">
        <f t="shared" si="268"/>
        <v>0</v>
      </c>
      <c r="T4321">
        <f>IFERROR(VLOOKUP(A4321,Table1[[Customer ID]:[Discount Amount]], 6, FALSE),"Not Found")</f>
        <v>0</v>
      </c>
      <c r="U4321" t="str">
        <f t="shared" si="269"/>
        <v>Credit Card</v>
      </c>
      <c r="V4321" s="4" t="str">
        <f t="shared" si="270"/>
        <v>Normal</v>
      </c>
      <c r="W4321" s="4" t="str">
        <f t="shared" si="271"/>
        <v>Good</v>
      </c>
      <c r="X4321" s="4">
        <f>AVERAGE(Table1[Purchase Amount])</f>
        <v>129.48419400000012</v>
      </c>
    </row>
    <row r="4322" spans="1:24" ht="15" customHeight="1" x14ac:dyDescent="0.25">
      <c r="A4322">
        <v>4420</v>
      </c>
      <c r="B4322">
        <v>43</v>
      </c>
      <c r="C4322" t="s">
        <v>27</v>
      </c>
      <c r="D4322" t="s">
        <v>117</v>
      </c>
      <c r="E4322" t="s">
        <v>18</v>
      </c>
      <c r="F4322" s="2">
        <v>0</v>
      </c>
      <c r="G4322" t="s">
        <v>139</v>
      </c>
      <c r="H4322" t="s">
        <v>55</v>
      </c>
      <c r="I4322" t="s">
        <v>74</v>
      </c>
      <c r="J4322" t="s">
        <v>75</v>
      </c>
      <c r="K4322">
        <v>3</v>
      </c>
      <c r="L4322" t="s">
        <v>34</v>
      </c>
      <c r="M4322" t="s">
        <v>24</v>
      </c>
      <c r="N4322" t="s">
        <v>23</v>
      </c>
      <c r="O4322">
        <v>19</v>
      </c>
      <c r="P4322" t="s">
        <v>53</v>
      </c>
      <c r="Q4322" t="s">
        <v>37</v>
      </c>
      <c r="R4322" s="1">
        <v>0.1</v>
      </c>
      <c r="S4322">
        <f t="shared" si="268"/>
        <v>0</v>
      </c>
      <c r="T4322">
        <f>IFERROR(VLOOKUP(A4322,Table1[[Customer ID]:[Discount Amount]], 6, FALSE),"Not Found")</f>
        <v>0</v>
      </c>
      <c r="U4322" t="str">
        <f t="shared" si="269"/>
        <v>Credit Card</v>
      </c>
      <c r="V4322" s="4" t="str">
        <f t="shared" si="270"/>
        <v>Normal</v>
      </c>
      <c r="W4322" s="4" t="str">
        <f t="shared" si="271"/>
        <v>Good</v>
      </c>
      <c r="X4322" s="4">
        <f>AVERAGE(Table1[Purchase Amount])</f>
        <v>129.48419400000012</v>
      </c>
    </row>
    <row r="4323" spans="1:24" ht="15" customHeight="1" x14ac:dyDescent="0.25">
      <c r="A4323">
        <v>4421</v>
      </c>
      <c r="B4323">
        <v>57</v>
      </c>
      <c r="C4323" t="s">
        <v>16</v>
      </c>
      <c r="D4323" t="s">
        <v>116</v>
      </c>
      <c r="E4323" t="s">
        <v>18</v>
      </c>
      <c r="F4323" s="2">
        <v>0</v>
      </c>
      <c r="G4323" t="s">
        <v>73</v>
      </c>
      <c r="H4323" t="s">
        <v>20</v>
      </c>
      <c r="I4323" t="s">
        <v>32</v>
      </c>
      <c r="J4323" t="s">
        <v>33</v>
      </c>
      <c r="K4323">
        <v>1</v>
      </c>
      <c r="L4323" t="s">
        <v>23</v>
      </c>
      <c r="M4323" t="s">
        <v>61</v>
      </c>
      <c r="N4323" t="s">
        <v>34</v>
      </c>
      <c r="O4323">
        <v>0</v>
      </c>
      <c r="P4323" t="s">
        <v>58</v>
      </c>
      <c r="Q4323" t="s">
        <v>26</v>
      </c>
      <c r="R4323" s="1">
        <v>0.1</v>
      </c>
      <c r="S4323">
        <f t="shared" si="268"/>
        <v>0</v>
      </c>
      <c r="T4323">
        <f>IFERROR(VLOOKUP(A4323,Table1[[Customer ID]:[Discount Amount]], 6, FALSE),"Not Found")</f>
        <v>0</v>
      </c>
      <c r="U4323" t="str">
        <f t="shared" si="269"/>
        <v>PayPal</v>
      </c>
      <c r="V4323" s="4" t="str">
        <f t="shared" si="270"/>
        <v>Normal</v>
      </c>
      <c r="W4323" s="4" t="str">
        <f t="shared" si="271"/>
        <v>Poor</v>
      </c>
      <c r="X4323" s="4">
        <f>AVERAGE(Table1[Purchase Amount])</f>
        <v>129.48419400000012</v>
      </c>
    </row>
    <row r="4324" spans="1:24" ht="15" customHeight="1" x14ac:dyDescent="0.25">
      <c r="A4324">
        <v>4422</v>
      </c>
      <c r="B4324">
        <v>24</v>
      </c>
      <c r="C4324" t="s">
        <v>27</v>
      </c>
      <c r="D4324" t="s">
        <v>80</v>
      </c>
      <c r="E4324" t="s">
        <v>29</v>
      </c>
      <c r="F4324" s="2">
        <v>680.04</v>
      </c>
      <c r="G4324" t="s">
        <v>139</v>
      </c>
      <c r="H4324" t="s">
        <v>31</v>
      </c>
      <c r="I4324" t="s">
        <v>32</v>
      </c>
      <c r="J4324" t="s">
        <v>22</v>
      </c>
      <c r="K4324">
        <v>1</v>
      </c>
      <c r="L4324" t="s">
        <v>34</v>
      </c>
      <c r="M4324" t="s">
        <v>61</v>
      </c>
      <c r="N4324" t="s">
        <v>34</v>
      </c>
      <c r="O4324">
        <v>12</v>
      </c>
      <c r="P4324" t="s">
        <v>36</v>
      </c>
      <c r="Q4324" t="s">
        <v>37</v>
      </c>
      <c r="R4324" s="1">
        <v>0.1</v>
      </c>
      <c r="S4324">
        <f t="shared" si="268"/>
        <v>612.03599999999994</v>
      </c>
      <c r="T4324">
        <f>IFERROR(VLOOKUP(A4324,Table1[[Customer ID]:[Discount Amount]], 6, FALSE),"Not Found")</f>
        <v>680.04</v>
      </c>
      <c r="U4324" t="str">
        <f t="shared" si="269"/>
        <v>Debit Card</v>
      </c>
      <c r="V4324" s="4" t="str">
        <f t="shared" si="270"/>
        <v>Normal</v>
      </c>
      <c r="W4324" s="4" t="str">
        <f t="shared" si="271"/>
        <v>Poor</v>
      </c>
      <c r="X4324" s="4">
        <f>AVERAGE(Table1[Purchase Amount])</f>
        <v>129.48419400000012</v>
      </c>
    </row>
    <row r="4325" spans="1:24" ht="15" customHeight="1" x14ac:dyDescent="0.25">
      <c r="A4325">
        <v>4423</v>
      </c>
      <c r="B4325">
        <v>66</v>
      </c>
      <c r="C4325" t="s">
        <v>16</v>
      </c>
      <c r="D4325" t="s">
        <v>95</v>
      </c>
      <c r="E4325" t="s">
        <v>18</v>
      </c>
      <c r="F4325" s="2">
        <v>0</v>
      </c>
      <c r="G4325" t="s">
        <v>82</v>
      </c>
      <c r="H4325" t="s">
        <v>20</v>
      </c>
      <c r="I4325" t="s">
        <v>74</v>
      </c>
      <c r="J4325" t="s">
        <v>33</v>
      </c>
      <c r="K4325">
        <v>2</v>
      </c>
      <c r="L4325" t="s">
        <v>34</v>
      </c>
      <c r="M4325" t="s">
        <v>24</v>
      </c>
      <c r="N4325" t="s">
        <v>23</v>
      </c>
      <c r="O4325">
        <v>6</v>
      </c>
      <c r="P4325" t="s">
        <v>58</v>
      </c>
      <c r="Q4325" t="s">
        <v>42</v>
      </c>
      <c r="R4325" s="1">
        <v>0.1</v>
      </c>
      <c r="S4325">
        <f t="shared" si="268"/>
        <v>0</v>
      </c>
      <c r="T4325">
        <f>IFERROR(VLOOKUP(A4325,Table1[[Customer ID]:[Discount Amount]], 6, FALSE),"Not Found")</f>
        <v>0</v>
      </c>
      <c r="U4325" t="str">
        <f t="shared" si="269"/>
        <v>PayPal</v>
      </c>
      <c r="V4325" s="4" t="str">
        <f t="shared" si="270"/>
        <v>Normal</v>
      </c>
      <c r="W4325" s="4" t="str">
        <f t="shared" si="271"/>
        <v>Poor</v>
      </c>
      <c r="X4325" s="4">
        <f>AVERAGE(Table1[Purchase Amount])</f>
        <v>129.48419400000012</v>
      </c>
    </row>
    <row r="4326" spans="1:24" ht="15" customHeight="1" x14ac:dyDescent="0.25">
      <c r="A4326">
        <v>4424</v>
      </c>
      <c r="B4326">
        <v>69</v>
      </c>
      <c r="C4326" t="s">
        <v>71</v>
      </c>
      <c r="D4326" t="s">
        <v>117</v>
      </c>
      <c r="E4326" t="s">
        <v>18</v>
      </c>
      <c r="F4326" s="2">
        <v>1223.83</v>
      </c>
      <c r="G4326" t="s">
        <v>139</v>
      </c>
      <c r="H4326" t="s">
        <v>31</v>
      </c>
      <c r="I4326" t="s">
        <v>74</v>
      </c>
      <c r="J4326" t="s">
        <v>75</v>
      </c>
      <c r="K4326">
        <v>1</v>
      </c>
      <c r="L4326" t="s">
        <v>23</v>
      </c>
      <c r="M4326" t="s">
        <v>24</v>
      </c>
      <c r="N4326" t="s">
        <v>34</v>
      </c>
      <c r="O4326">
        <v>2</v>
      </c>
      <c r="P4326" t="s">
        <v>36</v>
      </c>
      <c r="Q4326" t="s">
        <v>37</v>
      </c>
      <c r="R4326" s="1">
        <v>0.1</v>
      </c>
      <c r="S4326">
        <f t="shared" si="268"/>
        <v>1101.4469999999999</v>
      </c>
      <c r="T4326">
        <f>IFERROR(VLOOKUP(A4326,Table1[[Customer ID]:[Discount Amount]], 6, FALSE),"Not Found")</f>
        <v>1223.83</v>
      </c>
      <c r="U4326" t="str">
        <f t="shared" si="269"/>
        <v>Debit Card</v>
      </c>
      <c r="V4326" s="4" t="str">
        <f t="shared" si="270"/>
        <v>Normal</v>
      </c>
      <c r="W4326" s="4" t="str">
        <f t="shared" si="271"/>
        <v>Poor</v>
      </c>
      <c r="X4326" s="4">
        <f>AVERAGE(Table1[Purchase Amount])</f>
        <v>129.48419400000012</v>
      </c>
    </row>
    <row r="4327" spans="1:24" ht="15" customHeight="1" x14ac:dyDescent="0.25">
      <c r="A4327">
        <v>4425</v>
      </c>
      <c r="B4327">
        <v>24</v>
      </c>
      <c r="C4327" t="s">
        <v>27</v>
      </c>
      <c r="D4327" t="s">
        <v>95</v>
      </c>
      <c r="E4327" t="s">
        <v>29</v>
      </c>
      <c r="F4327" s="2">
        <v>1318.69</v>
      </c>
      <c r="G4327" t="s">
        <v>139</v>
      </c>
      <c r="H4327" t="s">
        <v>55</v>
      </c>
      <c r="I4327" t="s">
        <v>40</v>
      </c>
      <c r="J4327" t="s">
        <v>33</v>
      </c>
      <c r="K4327">
        <v>4</v>
      </c>
      <c r="L4327" t="s">
        <v>34</v>
      </c>
      <c r="M4327" t="s">
        <v>24</v>
      </c>
      <c r="N4327" t="s">
        <v>34</v>
      </c>
      <c r="O4327">
        <v>0</v>
      </c>
      <c r="P4327" t="s">
        <v>25</v>
      </c>
      <c r="Q4327" t="s">
        <v>37</v>
      </c>
      <c r="R4327" s="1">
        <v>0.1</v>
      </c>
      <c r="S4327">
        <f t="shared" si="268"/>
        <v>1186.8210000000001</v>
      </c>
      <c r="T4327">
        <f>IFERROR(VLOOKUP(A4327,Table1[[Customer ID]:[Discount Amount]], 6, FALSE),"Not Found")</f>
        <v>1318.69</v>
      </c>
      <c r="U4327" t="str">
        <f t="shared" si="269"/>
        <v>Cash</v>
      </c>
      <c r="V4327" s="4" t="str">
        <f t="shared" si="270"/>
        <v>Best Customer</v>
      </c>
      <c r="W4327" s="4" t="str">
        <f t="shared" si="271"/>
        <v>Good</v>
      </c>
      <c r="X4327" s="4">
        <f>AVERAGE(Table1[Purchase Amount])</f>
        <v>129.48419400000012</v>
      </c>
    </row>
    <row r="4328" spans="1:24" ht="15" customHeight="1" x14ac:dyDescent="0.25">
      <c r="A4328">
        <v>4426</v>
      </c>
      <c r="B4328">
        <v>66</v>
      </c>
      <c r="C4328" t="s">
        <v>27</v>
      </c>
      <c r="D4328" t="s">
        <v>112</v>
      </c>
      <c r="E4328" t="s">
        <v>18</v>
      </c>
      <c r="F4328" s="2">
        <v>0</v>
      </c>
      <c r="G4328" t="s">
        <v>139</v>
      </c>
      <c r="H4328" t="s">
        <v>31</v>
      </c>
      <c r="I4328" t="s">
        <v>74</v>
      </c>
      <c r="J4328" t="s">
        <v>57</v>
      </c>
      <c r="K4328">
        <v>4</v>
      </c>
      <c r="L4328" t="s">
        <v>34</v>
      </c>
      <c r="M4328" t="s">
        <v>24</v>
      </c>
      <c r="N4328" t="s">
        <v>34</v>
      </c>
      <c r="O4328">
        <v>0</v>
      </c>
      <c r="P4328" t="s">
        <v>25</v>
      </c>
      <c r="Q4328" t="s">
        <v>37</v>
      </c>
      <c r="R4328" s="1">
        <v>0.1</v>
      </c>
      <c r="S4328">
        <f t="shared" si="268"/>
        <v>0</v>
      </c>
      <c r="T4328">
        <f>IFERROR(VLOOKUP(A4328,Table1[[Customer ID]:[Discount Amount]], 6, FALSE),"Not Found")</f>
        <v>0</v>
      </c>
      <c r="U4328" t="str">
        <f t="shared" si="269"/>
        <v>Cash</v>
      </c>
      <c r="V4328" s="4" t="str">
        <f t="shared" si="270"/>
        <v>Normal</v>
      </c>
      <c r="W4328" s="4" t="str">
        <f t="shared" si="271"/>
        <v>Good</v>
      </c>
      <c r="X4328" s="4">
        <f>AVERAGE(Table1[Purchase Amount])</f>
        <v>129.48419400000012</v>
      </c>
    </row>
    <row r="4329" spans="1:24" ht="15" customHeight="1" x14ac:dyDescent="0.25">
      <c r="A4329">
        <v>4427</v>
      </c>
      <c r="B4329">
        <v>23</v>
      </c>
      <c r="C4329" t="s">
        <v>16</v>
      </c>
      <c r="D4329" t="s">
        <v>72</v>
      </c>
      <c r="E4329" t="s">
        <v>81</v>
      </c>
      <c r="F4329" s="2">
        <v>638.80999999999995</v>
      </c>
      <c r="G4329" t="s">
        <v>126</v>
      </c>
      <c r="H4329" t="s">
        <v>31</v>
      </c>
      <c r="I4329" t="s">
        <v>32</v>
      </c>
      <c r="J4329" t="s">
        <v>75</v>
      </c>
      <c r="K4329">
        <v>1</v>
      </c>
      <c r="L4329" t="s">
        <v>34</v>
      </c>
      <c r="M4329" t="s">
        <v>61</v>
      </c>
      <c r="N4329" t="s">
        <v>23</v>
      </c>
      <c r="O4329">
        <v>1</v>
      </c>
      <c r="P4329" t="s">
        <v>58</v>
      </c>
      <c r="Q4329" t="s">
        <v>26</v>
      </c>
      <c r="R4329" s="1">
        <v>0.1</v>
      </c>
      <c r="S4329">
        <f t="shared" si="268"/>
        <v>574.92899999999997</v>
      </c>
      <c r="T4329">
        <f>IFERROR(VLOOKUP(A4329,Table1[[Customer ID]:[Discount Amount]], 6, FALSE),"Not Found")</f>
        <v>638.80999999999995</v>
      </c>
      <c r="U4329" t="str">
        <f t="shared" si="269"/>
        <v>PayPal</v>
      </c>
      <c r="V4329" s="4" t="str">
        <f t="shared" si="270"/>
        <v>Normal</v>
      </c>
      <c r="W4329" s="4" t="str">
        <f t="shared" si="271"/>
        <v>Poor</v>
      </c>
      <c r="X4329" s="4">
        <f>AVERAGE(Table1[Purchase Amount])</f>
        <v>129.48419400000012</v>
      </c>
    </row>
    <row r="4330" spans="1:24" ht="15" customHeight="1" x14ac:dyDescent="0.25">
      <c r="A4330">
        <v>4428</v>
      </c>
      <c r="B4330">
        <v>37</v>
      </c>
      <c r="C4330" t="s">
        <v>27</v>
      </c>
      <c r="D4330" t="s">
        <v>72</v>
      </c>
      <c r="E4330" t="s">
        <v>18</v>
      </c>
      <c r="F4330" s="2">
        <v>0</v>
      </c>
      <c r="G4330" t="s">
        <v>82</v>
      </c>
      <c r="H4330" t="s">
        <v>31</v>
      </c>
      <c r="I4330" t="s">
        <v>93</v>
      </c>
      <c r="J4330" t="s">
        <v>22</v>
      </c>
      <c r="K4330">
        <v>1</v>
      </c>
      <c r="L4330" t="s">
        <v>34</v>
      </c>
      <c r="M4330" t="s">
        <v>24</v>
      </c>
      <c r="N4330" t="s">
        <v>34</v>
      </c>
      <c r="O4330">
        <v>0</v>
      </c>
      <c r="P4330" t="s">
        <v>53</v>
      </c>
      <c r="Q4330" t="s">
        <v>37</v>
      </c>
      <c r="R4330" s="1">
        <v>0.1</v>
      </c>
      <c r="S4330">
        <f t="shared" si="268"/>
        <v>0</v>
      </c>
      <c r="T4330">
        <f>IFERROR(VLOOKUP(A4330,Table1[[Customer ID]:[Discount Amount]], 6, FALSE),"Not Found")</f>
        <v>0</v>
      </c>
      <c r="U4330" t="str">
        <f t="shared" si="269"/>
        <v>Credit Card</v>
      </c>
      <c r="V4330" s="4" t="str">
        <f t="shared" si="270"/>
        <v>Normal</v>
      </c>
      <c r="W4330" s="4" t="str">
        <f t="shared" si="271"/>
        <v>Poor</v>
      </c>
      <c r="X4330" s="4">
        <f>AVERAGE(Table1[Purchase Amount])</f>
        <v>129.48419400000012</v>
      </c>
    </row>
    <row r="4331" spans="1:24" ht="15" customHeight="1" x14ac:dyDescent="0.25">
      <c r="A4331">
        <v>4429</v>
      </c>
      <c r="B4331">
        <v>42</v>
      </c>
      <c r="C4331" t="s">
        <v>71</v>
      </c>
      <c r="D4331" t="s">
        <v>80</v>
      </c>
      <c r="E4331" t="s">
        <v>81</v>
      </c>
      <c r="F4331" s="2">
        <v>0</v>
      </c>
      <c r="G4331" t="s">
        <v>73</v>
      </c>
      <c r="H4331" t="s">
        <v>31</v>
      </c>
      <c r="I4331" t="s">
        <v>74</v>
      </c>
      <c r="J4331" t="s">
        <v>33</v>
      </c>
      <c r="K4331">
        <v>1</v>
      </c>
      <c r="L4331" t="s">
        <v>34</v>
      </c>
      <c r="M4331" t="s">
        <v>24</v>
      </c>
      <c r="N4331" t="s">
        <v>34</v>
      </c>
      <c r="O4331">
        <v>0</v>
      </c>
      <c r="P4331" t="s">
        <v>36</v>
      </c>
      <c r="Q4331" t="s">
        <v>26</v>
      </c>
      <c r="R4331" s="1">
        <v>0.1</v>
      </c>
      <c r="S4331">
        <f t="shared" si="268"/>
        <v>0</v>
      </c>
      <c r="T4331">
        <f>IFERROR(VLOOKUP(A4331,Table1[[Customer ID]:[Discount Amount]], 6, FALSE),"Not Found")</f>
        <v>0</v>
      </c>
      <c r="U4331" t="str">
        <f t="shared" si="269"/>
        <v>Debit Card</v>
      </c>
      <c r="V4331" s="4" t="str">
        <f t="shared" si="270"/>
        <v>Normal</v>
      </c>
      <c r="W4331" s="4" t="str">
        <f t="shared" si="271"/>
        <v>Poor</v>
      </c>
      <c r="X4331" s="4">
        <f>AVERAGE(Table1[Purchase Amount])</f>
        <v>129.48419400000012</v>
      </c>
    </row>
    <row r="4332" spans="1:24" ht="15" customHeight="1" x14ac:dyDescent="0.25">
      <c r="A4332">
        <v>4430</v>
      </c>
      <c r="B4332">
        <v>52</v>
      </c>
      <c r="C4332" t="s">
        <v>16</v>
      </c>
      <c r="D4332" t="s">
        <v>38</v>
      </c>
      <c r="E4332" t="s">
        <v>18</v>
      </c>
      <c r="F4332" s="2">
        <v>1115.05</v>
      </c>
      <c r="G4332" t="s">
        <v>82</v>
      </c>
      <c r="H4332" t="s">
        <v>55</v>
      </c>
      <c r="I4332" t="s">
        <v>74</v>
      </c>
      <c r="J4332" t="s">
        <v>75</v>
      </c>
      <c r="K4332">
        <v>4</v>
      </c>
      <c r="L4332" t="s">
        <v>23</v>
      </c>
      <c r="M4332" t="s">
        <v>61</v>
      </c>
      <c r="N4332" t="s">
        <v>23</v>
      </c>
      <c r="O4332">
        <v>35</v>
      </c>
      <c r="P4332" t="s">
        <v>53</v>
      </c>
      <c r="Q4332" t="s">
        <v>42</v>
      </c>
      <c r="R4332" s="1">
        <v>0.1</v>
      </c>
      <c r="S4332">
        <f t="shared" si="268"/>
        <v>1003.545</v>
      </c>
      <c r="T4332">
        <f>IFERROR(VLOOKUP(A4332,Table1[[Customer ID]:[Discount Amount]], 6, FALSE),"Not Found")</f>
        <v>1115.05</v>
      </c>
      <c r="U4332" t="str">
        <f t="shared" si="269"/>
        <v>Credit Card</v>
      </c>
      <c r="V4332" s="4" t="str">
        <f t="shared" si="270"/>
        <v>Best Customer</v>
      </c>
      <c r="W4332" s="4" t="str">
        <f t="shared" si="271"/>
        <v>Good</v>
      </c>
      <c r="X4332" s="4">
        <f>AVERAGE(Table1[Purchase Amount])</f>
        <v>129.48419400000012</v>
      </c>
    </row>
    <row r="4333" spans="1:24" ht="15" customHeight="1" x14ac:dyDescent="0.25">
      <c r="A4333">
        <v>4431</v>
      </c>
      <c r="B4333">
        <v>25</v>
      </c>
      <c r="C4333" t="s">
        <v>27</v>
      </c>
      <c r="D4333" t="s">
        <v>95</v>
      </c>
      <c r="E4333" t="s">
        <v>81</v>
      </c>
      <c r="F4333" s="2">
        <v>716.34</v>
      </c>
      <c r="G4333" t="s">
        <v>101</v>
      </c>
      <c r="H4333" t="s">
        <v>31</v>
      </c>
      <c r="I4333" t="s">
        <v>74</v>
      </c>
      <c r="J4333" t="s">
        <v>57</v>
      </c>
      <c r="K4333">
        <v>5</v>
      </c>
      <c r="L4333" t="s">
        <v>23</v>
      </c>
      <c r="M4333" t="s">
        <v>24</v>
      </c>
      <c r="N4333" t="s">
        <v>34</v>
      </c>
      <c r="O4333">
        <v>33</v>
      </c>
      <c r="P4333" t="s">
        <v>58</v>
      </c>
      <c r="Q4333" t="s">
        <v>26</v>
      </c>
      <c r="R4333" s="1">
        <v>0.1</v>
      </c>
      <c r="S4333">
        <f t="shared" si="268"/>
        <v>644.70600000000002</v>
      </c>
      <c r="T4333">
        <f>IFERROR(VLOOKUP(A4333,Table1[[Customer ID]:[Discount Amount]], 6, FALSE),"Not Found")</f>
        <v>716.34</v>
      </c>
      <c r="U4333" t="str">
        <f t="shared" si="269"/>
        <v>PayPal</v>
      </c>
      <c r="V4333" s="4" t="str">
        <f t="shared" si="270"/>
        <v>Normal</v>
      </c>
      <c r="W4333" s="4" t="str">
        <f t="shared" si="271"/>
        <v>Good</v>
      </c>
      <c r="X4333" s="4">
        <f>AVERAGE(Table1[Purchase Amount])</f>
        <v>129.48419400000012</v>
      </c>
    </row>
    <row r="4334" spans="1:24" ht="15" customHeight="1" x14ac:dyDescent="0.25">
      <c r="A4334">
        <v>4432</v>
      </c>
      <c r="B4334">
        <v>29</v>
      </c>
      <c r="C4334" t="s">
        <v>71</v>
      </c>
      <c r="D4334" t="s">
        <v>112</v>
      </c>
      <c r="E4334" t="s">
        <v>29</v>
      </c>
      <c r="F4334" s="2">
        <v>1311.75</v>
      </c>
      <c r="G4334" t="s">
        <v>101</v>
      </c>
      <c r="H4334" t="s">
        <v>45</v>
      </c>
      <c r="I4334" t="s">
        <v>74</v>
      </c>
      <c r="J4334" t="s">
        <v>57</v>
      </c>
      <c r="K4334">
        <v>1</v>
      </c>
      <c r="L4334" t="s">
        <v>23</v>
      </c>
      <c r="M4334" t="s">
        <v>24</v>
      </c>
      <c r="N4334" t="s">
        <v>23</v>
      </c>
      <c r="O4334">
        <v>47</v>
      </c>
      <c r="P4334" t="s">
        <v>36</v>
      </c>
      <c r="Q4334" t="s">
        <v>26</v>
      </c>
      <c r="R4334" s="1">
        <v>0.1</v>
      </c>
      <c r="S4334">
        <f t="shared" si="268"/>
        <v>1180.575</v>
      </c>
      <c r="T4334">
        <f>IFERROR(VLOOKUP(A4334,Table1[[Customer ID]:[Discount Amount]], 6, FALSE),"Not Found")</f>
        <v>1311.75</v>
      </c>
      <c r="U4334" t="str">
        <f t="shared" si="269"/>
        <v>Debit Card</v>
      </c>
      <c r="V4334" s="4" t="str">
        <f t="shared" si="270"/>
        <v>Normal</v>
      </c>
      <c r="W4334" s="4" t="str">
        <f t="shared" si="271"/>
        <v>Poor</v>
      </c>
      <c r="X4334" s="4">
        <f>AVERAGE(Table1[Purchase Amount])</f>
        <v>129.48419400000012</v>
      </c>
    </row>
    <row r="4335" spans="1:24" ht="15" customHeight="1" x14ac:dyDescent="0.25">
      <c r="A4335">
        <v>4433</v>
      </c>
      <c r="B4335">
        <v>32</v>
      </c>
      <c r="C4335" t="s">
        <v>27</v>
      </c>
      <c r="D4335" t="s">
        <v>117</v>
      </c>
      <c r="E4335" t="s">
        <v>29</v>
      </c>
      <c r="F4335" s="2">
        <v>0</v>
      </c>
      <c r="G4335" t="s">
        <v>126</v>
      </c>
      <c r="H4335" t="s">
        <v>55</v>
      </c>
      <c r="I4335" t="s">
        <v>46</v>
      </c>
      <c r="J4335" t="s">
        <v>22</v>
      </c>
      <c r="K4335">
        <v>1</v>
      </c>
      <c r="L4335" t="s">
        <v>34</v>
      </c>
      <c r="M4335" t="s">
        <v>61</v>
      </c>
      <c r="N4335" t="s">
        <v>23</v>
      </c>
      <c r="O4335">
        <v>0</v>
      </c>
      <c r="P4335" t="s">
        <v>25</v>
      </c>
      <c r="Q4335" t="s">
        <v>37</v>
      </c>
      <c r="R4335" s="1">
        <v>0.1</v>
      </c>
      <c r="S4335">
        <f t="shared" si="268"/>
        <v>0</v>
      </c>
      <c r="T4335">
        <f>IFERROR(VLOOKUP(A4335,Table1[[Customer ID]:[Discount Amount]], 6, FALSE),"Not Found")</f>
        <v>0</v>
      </c>
      <c r="U4335" t="str">
        <f t="shared" si="269"/>
        <v>Cash</v>
      </c>
      <c r="V4335" s="4" t="str">
        <f t="shared" si="270"/>
        <v>Normal</v>
      </c>
      <c r="W4335" s="4" t="str">
        <f t="shared" si="271"/>
        <v>Poor</v>
      </c>
      <c r="X4335" s="4">
        <f>AVERAGE(Table1[Purchase Amount])</f>
        <v>129.48419400000012</v>
      </c>
    </row>
    <row r="4336" spans="1:24" ht="15" customHeight="1" x14ac:dyDescent="0.25">
      <c r="A4336">
        <v>4434</v>
      </c>
      <c r="B4336">
        <v>47</v>
      </c>
      <c r="C4336" t="s">
        <v>27</v>
      </c>
      <c r="D4336" t="s">
        <v>117</v>
      </c>
      <c r="E4336" t="s">
        <v>29</v>
      </c>
      <c r="F4336" s="2">
        <v>599.51</v>
      </c>
      <c r="G4336" t="s">
        <v>126</v>
      </c>
      <c r="H4336" t="s">
        <v>45</v>
      </c>
      <c r="I4336" t="s">
        <v>74</v>
      </c>
      <c r="J4336" t="s">
        <v>57</v>
      </c>
      <c r="K4336">
        <v>5</v>
      </c>
      <c r="L4336" t="s">
        <v>23</v>
      </c>
      <c r="M4336" t="s">
        <v>61</v>
      </c>
      <c r="N4336" t="s">
        <v>34</v>
      </c>
      <c r="O4336">
        <v>10</v>
      </c>
      <c r="P4336" t="s">
        <v>25</v>
      </c>
      <c r="Q4336" t="s">
        <v>26</v>
      </c>
      <c r="R4336" s="1">
        <v>0.1</v>
      </c>
      <c r="S4336">
        <f t="shared" si="268"/>
        <v>539.55899999999997</v>
      </c>
      <c r="T4336">
        <f>IFERROR(VLOOKUP(A4336,Table1[[Customer ID]:[Discount Amount]], 6, FALSE),"Not Found")</f>
        <v>599.51</v>
      </c>
      <c r="U4336" t="str">
        <f t="shared" si="269"/>
        <v>Cash</v>
      </c>
      <c r="V4336" s="4" t="str">
        <f t="shared" si="270"/>
        <v>Normal</v>
      </c>
      <c r="W4336" s="4" t="str">
        <f t="shared" si="271"/>
        <v>Good</v>
      </c>
      <c r="X4336" s="4">
        <f>AVERAGE(Table1[Purchase Amount])</f>
        <v>129.48419400000012</v>
      </c>
    </row>
    <row r="4337" spans="1:24" ht="15" customHeight="1" x14ac:dyDescent="0.25">
      <c r="A4337">
        <v>4435</v>
      </c>
      <c r="B4337">
        <v>18</v>
      </c>
      <c r="C4337" t="s">
        <v>27</v>
      </c>
      <c r="D4337" t="s">
        <v>38</v>
      </c>
      <c r="E4337" t="s">
        <v>18</v>
      </c>
      <c r="F4337" s="2">
        <v>1092.28</v>
      </c>
      <c r="G4337" t="s">
        <v>82</v>
      </c>
      <c r="H4337" t="s">
        <v>45</v>
      </c>
      <c r="I4337" t="s">
        <v>46</v>
      </c>
      <c r="J4337" t="s">
        <v>22</v>
      </c>
      <c r="K4337">
        <v>1</v>
      </c>
      <c r="L4337" t="s">
        <v>34</v>
      </c>
      <c r="M4337" t="s">
        <v>24</v>
      </c>
      <c r="N4337" t="s">
        <v>34</v>
      </c>
      <c r="O4337">
        <v>11</v>
      </c>
      <c r="P4337" t="s">
        <v>25</v>
      </c>
      <c r="Q4337" t="s">
        <v>26</v>
      </c>
      <c r="R4337" s="1">
        <v>0.1</v>
      </c>
      <c r="S4337">
        <f t="shared" si="268"/>
        <v>983.05199999999991</v>
      </c>
      <c r="T4337">
        <f>IFERROR(VLOOKUP(A4337,Table1[[Customer ID]:[Discount Amount]], 6, FALSE),"Not Found")</f>
        <v>1092.28</v>
      </c>
      <c r="U4337" t="str">
        <f t="shared" si="269"/>
        <v>Cash</v>
      </c>
      <c r="V4337" s="4" t="str">
        <f t="shared" si="270"/>
        <v>Normal</v>
      </c>
      <c r="W4337" s="4" t="str">
        <f t="shared" si="271"/>
        <v>Poor</v>
      </c>
      <c r="X4337" s="4">
        <f>AVERAGE(Table1[Purchase Amount])</f>
        <v>129.48419400000012</v>
      </c>
    </row>
    <row r="4338" spans="1:24" ht="15" customHeight="1" x14ac:dyDescent="0.25">
      <c r="A4338">
        <v>4436</v>
      </c>
      <c r="B4338">
        <v>59</v>
      </c>
      <c r="C4338" t="s">
        <v>16</v>
      </c>
      <c r="D4338" t="s">
        <v>38</v>
      </c>
      <c r="E4338" t="s">
        <v>81</v>
      </c>
      <c r="F4338" s="2">
        <v>0</v>
      </c>
      <c r="G4338" t="s">
        <v>82</v>
      </c>
      <c r="H4338" t="s">
        <v>31</v>
      </c>
      <c r="I4338" t="s">
        <v>46</v>
      </c>
      <c r="J4338" t="s">
        <v>57</v>
      </c>
      <c r="K4338">
        <v>1</v>
      </c>
      <c r="L4338" t="s">
        <v>34</v>
      </c>
      <c r="M4338" t="s">
        <v>61</v>
      </c>
      <c r="N4338" t="s">
        <v>34</v>
      </c>
      <c r="O4338">
        <v>39</v>
      </c>
      <c r="P4338" t="s">
        <v>58</v>
      </c>
      <c r="Q4338" t="s">
        <v>42</v>
      </c>
      <c r="R4338" s="1">
        <v>0.1</v>
      </c>
      <c r="S4338">
        <f t="shared" si="268"/>
        <v>0</v>
      </c>
      <c r="T4338">
        <f>IFERROR(VLOOKUP(A4338,Table1[[Customer ID]:[Discount Amount]], 6, FALSE),"Not Found")</f>
        <v>0</v>
      </c>
      <c r="U4338" t="str">
        <f t="shared" si="269"/>
        <v>PayPal</v>
      </c>
      <c r="V4338" s="4" t="str">
        <f t="shared" si="270"/>
        <v>Normal</v>
      </c>
      <c r="W4338" s="4" t="str">
        <f t="shared" si="271"/>
        <v>Poor</v>
      </c>
      <c r="X4338" s="4">
        <f>AVERAGE(Table1[Purchase Amount])</f>
        <v>129.48419400000012</v>
      </c>
    </row>
    <row r="4339" spans="1:24" ht="15" customHeight="1" x14ac:dyDescent="0.25">
      <c r="A4339">
        <v>4437</v>
      </c>
      <c r="B4339">
        <v>28</v>
      </c>
      <c r="C4339" t="s">
        <v>27</v>
      </c>
      <c r="D4339" t="s">
        <v>72</v>
      </c>
      <c r="E4339" t="s">
        <v>81</v>
      </c>
      <c r="F4339" s="2">
        <v>412.8</v>
      </c>
      <c r="G4339" t="s">
        <v>73</v>
      </c>
      <c r="H4339" t="s">
        <v>31</v>
      </c>
      <c r="I4339" t="s">
        <v>93</v>
      </c>
      <c r="J4339" t="s">
        <v>75</v>
      </c>
      <c r="K4339">
        <v>1</v>
      </c>
      <c r="L4339" t="s">
        <v>34</v>
      </c>
      <c r="M4339" t="s">
        <v>24</v>
      </c>
      <c r="N4339" t="s">
        <v>34</v>
      </c>
      <c r="O4339">
        <v>0</v>
      </c>
      <c r="P4339" t="s">
        <v>53</v>
      </c>
      <c r="Q4339" t="s">
        <v>37</v>
      </c>
      <c r="R4339" s="1">
        <v>0.1</v>
      </c>
      <c r="S4339">
        <f t="shared" si="268"/>
        <v>371.52</v>
      </c>
      <c r="T4339">
        <f>IFERROR(VLOOKUP(A4339,Table1[[Customer ID]:[Discount Amount]], 6, FALSE),"Not Found")</f>
        <v>412.8</v>
      </c>
      <c r="U4339" t="str">
        <f t="shared" si="269"/>
        <v>Credit Card</v>
      </c>
      <c r="V4339" s="4" t="str">
        <f t="shared" si="270"/>
        <v>Normal</v>
      </c>
      <c r="W4339" s="4" t="str">
        <f t="shared" si="271"/>
        <v>Poor</v>
      </c>
      <c r="X4339" s="4">
        <f>AVERAGE(Table1[Purchase Amount])</f>
        <v>129.48419400000012</v>
      </c>
    </row>
    <row r="4340" spans="1:24" ht="15" customHeight="1" x14ac:dyDescent="0.25">
      <c r="A4340">
        <v>4438</v>
      </c>
      <c r="B4340">
        <v>37</v>
      </c>
      <c r="C4340" t="s">
        <v>71</v>
      </c>
      <c r="D4340" t="s">
        <v>117</v>
      </c>
      <c r="E4340" t="s">
        <v>18</v>
      </c>
      <c r="F4340" s="2">
        <v>1025.56</v>
      </c>
      <c r="G4340" t="s">
        <v>73</v>
      </c>
      <c r="H4340" t="s">
        <v>55</v>
      </c>
      <c r="I4340" t="s">
        <v>40</v>
      </c>
      <c r="J4340" t="s">
        <v>33</v>
      </c>
      <c r="K4340">
        <v>5</v>
      </c>
      <c r="L4340" t="s">
        <v>23</v>
      </c>
      <c r="M4340" t="s">
        <v>61</v>
      </c>
      <c r="N4340" t="s">
        <v>23</v>
      </c>
      <c r="O4340">
        <v>0</v>
      </c>
      <c r="P4340" t="s">
        <v>25</v>
      </c>
      <c r="Q4340" t="s">
        <v>26</v>
      </c>
      <c r="R4340" s="1">
        <v>0.1</v>
      </c>
      <c r="S4340">
        <f t="shared" si="268"/>
        <v>923.00399999999991</v>
      </c>
      <c r="T4340">
        <f>IFERROR(VLOOKUP(A4340,Table1[[Customer ID]:[Discount Amount]], 6, FALSE),"Not Found")</f>
        <v>1025.56</v>
      </c>
      <c r="U4340" t="str">
        <f t="shared" si="269"/>
        <v>Cash</v>
      </c>
      <c r="V4340" s="4" t="str">
        <f t="shared" si="270"/>
        <v>Best Customer</v>
      </c>
      <c r="W4340" s="4" t="str">
        <f t="shared" si="271"/>
        <v>Good</v>
      </c>
      <c r="X4340" s="4">
        <f>AVERAGE(Table1[Purchase Amount])</f>
        <v>129.48419400000012</v>
      </c>
    </row>
    <row r="4341" spans="1:24" ht="15" customHeight="1" x14ac:dyDescent="0.25">
      <c r="A4341">
        <v>4439</v>
      </c>
      <c r="B4341">
        <v>55</v>
      </c>
      <c r="C4341" t="s">
        <v>71</v>
      </c>
      <c r="D4341" t="s">
        <v>112</v>
      </c>
      <c r="E4341" t="s">
        <v>81</v>
      </c>
      <c r="F4341" s="2">
        <v>294.04000000000002</v>
      </c>
      <c r="G4341" t="s">
        <v>101</v>
      </c>
      <c r="H4341" t="s">
        <v>31</v>
      </c>
      <c r="I4341" t="s">
        <v>46</v>
      </c>
      <c r="J4341" t="s">
        <v>75</v>
      </c>
      <c r="K4341">
        <v>1</v>
      </c>
      <c r="L4341" t="s">
        <v>34</v>
      </c>
      <c r="M4341" t="s">
        <v>61</v>
      </c>
      <c r="N4341" t="s">
        <v>23</v>
      </c>
      <c r="O4341">
        <v>0</v>
      </c>
      <c r="P4341" t="s">
        <v>58</v>
      </c>
      <c r="Q4341" t="s">
        <v>26</v>
      </c>
      <c r="R4341" s="1">
        <v>0.1</v>
      </c>
      <c r="S4341">
        <f t="shared" si="268"/>
        <v>264.63600000000002</v>
      </c>
      <c r="T4341">
        <f>IFERROR(VLOOKUP(A4341,Table1[[Customer ID]:[Discount Amount]], 6, FALSE),"Not Found")</f>
        <v>294.04000000000002</v>
      </c>
      <c r="U4341" t="str">
        <f t="shared" si="269"/>
        <v>PayPal</v>
      </c>
      <c r="V4341" s="4" t="str">
        <f t="shared" si="270"/>
        <v>Normal</v>
      </c>
      <c r="W4341" s="4" t="str">
        <f t="shared" si="271"/>
        <v>Poor</v>
      </c>
      <c r="X4341" s="4">
        <f>AVERAGE(Table1[Purchase Amount])</f>
        <v>129.48419400000012</v>
      </c>
    </row>
    <row r="4342" spans="1:24" ht="15" customHeight="1" x14ac:dyDescent="0.25">
      <c r="A4342">
        <v>4440</v>
      </c>
      <c r="B4342">
        <v>44</v>
      </c>
      <c r="C4342" t="s">
        <v>27</v>
      </c>
      <c r="D4342" t="s">
        <v>38</v>
      </c>
      <c r="E4342" t="s">
        <v>18</v>
      </c>
      <c r="F4342" s="2">
        <v>0</v>
      </c>
      <c r="G4342" t="s">
        <v>139</v>
      </c>
      <c r="H4342" t="s">
        <v>31</v>
      </c>
      <c r="I4342" t="s">
        <v>46</v>
      </c>
      <c r="J4342" t="s">
        <v>22</v>
      </c>
      <c r="K4342">
        <v>1</v>
      </c>
      <c r="L4342" t="s">
        <v>23</v>
      </c>
      <c r="M4342" t="s">
        <v>24</v>
      </c>
      <c r="N4342" t="s">
        <v>34</v>
      </c>
      <c r="O4342">
        <v>36</v>
      </c>
      <c r="P4342" t="s">
        <v>25</v>
      </c>
      <c r="Q4342" t="s">
        <v>26</v>
      </c>
      <c r="R4342" s="1">
        <v>0.1</v>
      </c>
      <c r="S4342">
        <f t="shared" si="268"/>
        <v>0</v>
      </c>
      <c r="T4342">
        <f>IFERROR(VLOOKUP(A4342,Table1[[Customer ID]:[Discount Amount]], 6, FALSE),"Not Found")</f>
        <v>0</v>
      </c>
      <c r="U4342" t="str">
        <f t="shared" si="269"/>
        <v>Cash</v>
      </c>
      <c r="V4342" s="4" t="str">
        <f t="shared" si="270"/>
        <v>Normal</v>
      </c>
      <c r="W4342" s="4" t="str">
        <f t="shared" si="271"/>
        <v>Poor</v>
      </c>
      <c r="X4342" s="4">
        <f>AVERAGE(Table1[Purchase Amount])</f>
        <v>129.48419400000012</v>
      </c>
    </row>
    <row r="4343" spans="1:24" ht="15" customHeight="1" x14ac:dyDescent="0.25">
      <c r="A4343">
        <v>4441</v>
      </c>
      <c r="B4343">
        <v>65</v>
      </c>
      <c r="C4343" t="s">
        <v>16</v>
      </c>
      <c r="D4343" t="s">
        <v>95</v>
      </c>
      <c r="E4343" t="s">
        <v>18</v>
      </c>
      <c r="F4343" s="2">
        <v>707.83</v>
      </c>
      <c r="G4343" t="s">
        <v>82</v>
      </c>
      <c r="H4343" t="s">
        <v>55</v>
      </c>
      <c r="I4343" t="s">
        <v>46</v>
      </c>
      <c r="J4343" t="s">
        <v>57</v>
      </c>
      <c r="K4343">
        <v>3</v>
      </c>
      <c r="L4343" t="s">
        <v>23</v>
      </c>
      <c r="M4343" t="s">
        <v>61</v>
      </c>
      <c r="N4343" t="s">
        <v>34</v>
      </c>
      <c r="O4343">
        <v>30</v>
      </c>
      <c r="P4343" t="s">
        <v>36</v>
      </c>
      <c r="Q4343" t="s">
        <v>26</v>
      </c>
      <c r="R4343" s="1">
        <v>0.1</v>
      </c>
      <c r="S4343">
        <f t="shared" si="268"/>
        <v>637.04700000000003</v>
      </c>
      <c r="T4343">
        <f>IFERROR(VLOOKUP(A4343,Table1[[Customer ID]:[Discount Amount]], 6, FALSE),"Not Found")</f>
        <v>707.83</v>
      </c>
      <c r="U4343" t="str">
        <f t="shared" si="269"/>
        <v>Debit Card</v>
      </c>
      <c r="V4343" s="4" t="str">
        <f t="shared" si="270"/>
        <v>Normal</v>
      </c>
      <c r="W4343" s="4" t="str">
        <f t="shared" si="271"/>
        <v>Good</v>
      </c>
      <c r="X4343" s="4">
        <f>AVERAGE(Table1[Purchase Amount])</f>
        <v>129.48419400000012</v>
      </c>
    </row>
    <row r="4344" spans="1:24" ht="15" customHeight="1" x14ac:dyDescent="0.25">
      <c r="A4344">
        <v>4442</v>
      </c>
      <c r="B4344">
        <v>37</v>
      </c>
      <c r="C4344" t="s">
        <v>27</v>
      </c>
      <c r="D4344" t="s">
        <v>72</v>
      </c>
      <c r="E4344" t="s">
        <v>18</v>
      </c>
      <c r="F4344" s="2">
        <v>201.93</v>
      </c>
      <c r="G4344" t="s">
        <v>126</v>
      </c>
      <c r="H4344" t="s">
        <v>55</v>
      </c>
      <c r="I4344" t="s">
        <v>40</v>
      </c>
      <c r="J4344" t="s">
        <v>33</v>
      </c>
      <c r="K4344">
        <v>1</v>
      </c>
      <c r="L4344" t="s">
        <v>23</v>
      </c>
      <c r="M4344" t="s">
        <v>61</v>
      </c>
      <c r="N4344" t="s">
        <v>34</v>
      </c>
      <c r="O4344">
        <v>0</v>
      </c>
      <c r="P4344" t="s">
        <v>53</v>
      </c>
      <c r="Q4344" t="s">
        <v>26</v>
      </c>
      <c r="R4344" s="1">
        <v>0.1</v>
      </c>
      <c r="S4344">
        <f t="shared" si="268"/>
        <v>181.73699999999999</v>
      </c>
      <c r="T4344">
        <f>IFERROR(VLOOKUP(A4344,Table1[[Customer ID]:[Discount Amount]], 6, FALSE),"Not Found")</f>
        <v>201.93</v>
      </c>
      <c r="U4344" t="str">
        <f t="shared" si="269"/>
        <v>Credit Card</v>
      </c>
      <c r="V4344" s="4" t="str">
        <f t="shared" si="270"/>
        <v>Normal</v>
      </c>
      <c r="W4344" s="4" t="str">
        <f t="shared" si="271"/>
        <v>Poor</v>
      </c>
      <c r="X4344" s="4">
        <f>AVERAGE(Table1[Purchase Amount])</f>
        <v>129.48419400000012</v>
      </c>
    </row>
    <row r="4345" spans="1:24" ht="15" customHeight="1" x14ac:dyDescent="0.25">
      <c r="A4345">
        <v>4443</v>
      </c>
      <c r="B4345">
        <v>55</v>
      </c>
      <c r="C4345" t="s">
        <v>16</v>
      </c>
      <c r="D4345" t="s">
        <v>116</v>
      </c>
      <c r="E4345" t="s">
        <v>81</v>
      </c>
      <c r="F4345" s="2">
        <v>0</v>
      </c>
      <c r="G4345" t="s">
        <v>82</v>
      </c>
      <c r="H4345" t="s">
        <v>31</v>
      </c>
      <c r="I4345" t="s">
        <v>93</v>
      </c>
      <c r="J4345" t="s">
        <v>75</v>
      </c>
      <c r="K4345">
        <v>1</v>
      </c>
      <c r="L4345" t="s">
        <v>23</v>
      </c>
      <c r="M4345" t="s">
        <v>24</v>
      </c>
      <c r="N4345" t="s">
        <v>34</v>
      </c>
      <c r="O4345">
        <v>0</v>
      </c>
      <c r="P4345" t="s">
        <v>53</v>
      </c>
      <c r="Q4345" t="s">
        <v>37</v>
      </c>
      <c r="R4345" s="1">
        <v>0.1</v>
      </c>
      <c r="S4345">
        <f t="shared" si="268"/>
        <v>0</v>
      </c>
      <c r="T4345">
        <f>IFERROR(VLOOKUP(A4345,Table1[[Customer ID]:[Discount Amount]], 6, FALSE),"Not Found")</f>
        <v>0</v>
      </c>
      <c r="U4345" t="str">
        <f t="shared" si="269"/>
        <v>Credit Card</v>
      </c>
      <c r="V4345" s="4" t="str">
        <f t="shared" si="270"/>
        <v>Normal</v>
      </c>
      <c r="W4345" s="4" t="str">
        <f t="shared" si="271"/>
        <v>Poor</v>
      </c>
      <c r="X4345" s="4">
        <f>AVERAGE(Table1[Purchase Amount])</f>
        <v>129.48419400000012</v>
      </c>
    </row>
    <row r="4346" spans="1:24" ht="15" customHeight="1" x14ac:dyDescent="0.25">
      <c r="A4346">
        <v>4444</v>
      </c>
      <c r="B4346">
        <v>23</v>
      </c>
      <c r="C4346" t="s">
        <v>16</v>
      </c>
      <c r="D4346" t="s">
        <v>116</v>
      </c>
      <c r="E4346" t="s">
        <v>29</v>
      </c>
      <c r="F4346" s="2">
        <v>0</v>
      </c>
      <c r="G4346" t="s">
        <v>101</v>
      </c>
      <c r="H4346" t="s">
        <v>45</v>
      </c>
      <c r="I4346" t="s">
        <v>46</v>
      </c>
      <c r="J4346" t="s">
        <v>75</v>
      </c>
      <c r="K4346">
        <v>2</v>
      </c>
      <c r="L4346" t="s">
        <v>23</v>
      </c>
      <c r="M4346" t="s">
        <v>61</v>
      </c>
      <c r="N4346" t="s">
        <v>23</v>
      </c>
      <c r="O4346">
        <v>0</v>
      </c>
      <c r="P4346" t="s">
        <v>25</v>
      </c>
      <c r="Q4346" t="s">
        <v>26</v>
      </c>
      <c r="R4346" s="1">
        <v>0.1</v>
      </c>
      <c r="S4346">
        <f t="shared" si="268"/>
        <v>0</v>
      </c>
      <c r="T4346">
        <f>IFERROR(VLOOKUP(A4346,Table1[[Customer ID]:[Discount Amount]], 6, FALSE),"Not Found")</f>
        <v>0</v>
      </c>
      <c r="U4346" t="str">
        <f t="shared" si="269"/>
        <v>Cash</v>
      </c>
      <c r="V4346" s="4" t="str">
        <f t="shared" si="270"/>
        <v>Normal</v>
      </c>
      <c r="W4346" s="4" t="str">
        <f t="shared" si="271"/>
        <v>Poor</v>
      </c>
      <c r="X4346" s="4">
        <f>AVERAGE(Table1[Purchase Amount])</f>
        <v>129.48419400000012</v>
      </c>
    </row>
    <row r="4347" spans="1:24" ht="15" customHeight="1" x14ac:dyDescent="0.25">
      <c r="A4347">
        <v>4445</v>
      </c>
      <c r="B4347">
        <v>59</v>
      </c>
      <c r="C4347" t="s">
        <v>27</v>
      </c>
      <c r="D4347" t="s">
        <v>80</v>
      </c>
      <c r="E4347" t="s">
        <v>81</v>
      </c>
      <c r="F4347" s="2">
        <v>0</v>
      </c>
      <c r="G4347" t="s">
        <v>126</v>
      </c>
      <c r="H4347" t="s">
        <v>31</v>
      </c>
      <c r="I4347" t="s">
        <v>46</v>
      </c>
      <c r="J4347" t="s">
        <v>57</v>
      </c>
      <c r="K4347">
        <v>1</v>
      </c>
      <c r="L4347" t="s">
        <v>34</v>
      </c>
      <c r="M4347" t="s">
        <v>24</v>
      </c>
      <c r="N4347" t="s">
        <v>23</v>
      </c>
      <c r="O4347">
        <v>46</v>
      </c>
      <c r="P4347" t="s">
        <v>53</v>
      </c>
      <c r="Q4347" t="s">
        <v>42</v>
      </c>
      <c r="R4347" s="1">
        <v>0.1</v>
      </c>
      <c r="S4347">
        <f t="shared" si="268"/>
        <v>0</v>
      </c>
      <c r="T4347">
        <f>IFERROR(VLOOKUP(A4347,Table1[[Customer ID]:[Discount Amount]], 6, FALSE),"Not Found")</f>
        <v>0</v>
      </c>
      <c r="U4347" t="str">
        <f t="shared" si="269"/>
        <v>Credit Card</v>
      </c>
      <c r="V4347" s="4" t="str">
        <f t="shared" si="270"/>
        <v>Normal</v>
      </c>
      <c r="W4347" s="4" t="str">
        <f t="shared" si="271"/>
        <v>Poor</v>
      </c>
      <c r="X4347" s="4">
        <f>AVERAGE(Table1[Purchase Amount])</f>
        <v>129.48419400000012</v>
      </c>
    </row>
    <row r="4348" spans="1:24" ht="15" customHeight="1" x14ac:dyDescent="0.25">
      <c r="A4348">
        <v>4446</v>
      </c>
      <c r="B4348">
        <v>50</v>
      </c>
      <c r="C4348" t="s">
        <v>71</v>
      </c>
      <c r="D4348" t="s">
        <v>95</v>
      </c>
      <c r="E4348" t="s">
        <v>18</v>
      </c>
      <c r="F4348" s="2">
        <v>0</v>
      </c>
      <c r="G4348" t="s">
        <v>82</v>
      </c>
      <c r="H4348" t="s">
        <v>55</v>
      </c>
      <c r="I4348" t="s">
        <v>40</v>
      </c>
      <c r="J4348" t="s">
        <v>22</v>
      </c>
      <c r="K4348">
        <v>1</v>
      </c>
      <c r="L4348" t="s">
        <v>34</v>
      </c>
      <c r="M4348" t="s">
        <v>24</v>
      </c>
      <c r="N4348" t="s">
        <v>23</v>
      </c>
      <c r="O4348">
        <v>30</v>
      </c>
      <c r="P4348" t="s">
        <v>58</v>
      </c>
      <c r="Q4348" t="s">
        <v>26</v>
      </c>
      <c r="R4348" s="1">
        <v>0.1</v>
      </c>
      <c r="S4348">
        <f t="shared" si="268"/>
        <v>0</v>
      </c>
      <c r="T4348">
        <f>IFERROR(VLOOKUP(A4348,Table1[[Customer ID]:[Discount Amount]], 6, FALSE),"Not Found")</f>
        <v>0</v>
      </c>
      <c r="U4348" t="str">
        <f t="shared" si="269"/>
        <v>PayPal</v>
      </c>
      <c r="V4348" s="4" t="str">
        <f t="shared" si="270"/>
        <v>Normal</v>
      </c>
      <c r="W4348" s="4" t="str">
        <f t="shared" si="271"/>
        <v>Poor</v>
      </c>
      <c r="X4348" s="4">
        <f>AVERAGE(Table1[Purchase Amount])</f>
        <v>129.48419400000012</v>
      </c>
    </row>
    <row r="4349" spans="1:24" ht="15" customHeight="1" x14ac:dyDescent="0.25">
      <c r="A4349">
        <v>4447</v>
      </c>
      <c r="B4349">
        <v>36</v>
      </c>
      <c r="C4349" t="s">
        <v>16</v>
      </c>
      <c r="D4349" t="s">
        <v>116</v>
      </c>
      <c r="E4349" t="s">
        <v>29</v>
      </c>
      <c r="F4349" s="2">
        <v>0</v>
      </c>
      <c r="G4349" t="s">
        <v>126</v>
      </c>
      <c r="H4349" t="s">
        <v>55</v>
      </c>
      <c r="I4349" t="s">
        <v>93</v>
      </c>
      <c r="J4349" t="s">
        <v>22</v>
      </c>
      <c r="K4349">
        <v>1</v>
      </c>
      <c r="L4349" t="s">
        <v>34</v>
      </c>
      <c r="M4349" t="s">
        <v>24</v>
      </c>
      <c r="N4349" t="s">
        <v>34</v>
      </c>
      <c r="O4349">
        <v>0</v>
      </c>
      <c r="P4349" t="s">
        <v>25</v>
      </c>
      <c r="Q4349" t="s">
        <v>37</v>
      </c>
      <c r="R4349" s="1">
        <v>0.1</v>
      </c>
      <c r="S4349">
        <f t="shared" si="268"/>
        <v>0</v>
      </c>
      <c r="T4349">
        <f>IFERROR(VLOOKUP(A4349,Table1[[Customer ID]:[Discount Amount]], 6, FALSE),"Not Found")</f>
        <v>0</v>
      </c>
      <c r="U4349" t="str">
        <f t="shared" si="269"/>
        <v>Cash</v>
      </c>
      <c r="V4349" s="4" t="str">
        <f t="shared" si="270"/>
        <v>Normal</v>
      </c>
      <c r="W4349" s="4" t="str">
        <f t="shared" si="271"/>
        <v>Poor</v>
      </c>
      <c r="X4349" s="4">
        <f>AVERAGE(Table1[Purchase Amount])</f>
        <v>129.48419400000012</v>
      </c>
    </row>
    <row r="4350" spans="1:24" ht="15" customHeight="1" x14ac:dyDescent="0.25">
      <c r="A4350">
        <v>4448</v>
      </c>
      <c r="B4350">
        <v>67</v>
      </c>
      <c r="C4350" t="s">
        <v>16</v>
      </c>
      <c r="D4350" t="s">
        <v>117</v>
      </c>
      <c r="E4350" t="s">
        <v>29</v>
      </c>
      <c r="F4350" s="2">
        <v>800.47</v>
      </c>
      <c r="G4350" t="s">
        <v>82</v>
      </c>
      <c r="H4350" t="s">
        <v>31</v>
      </c>
      <c r="I4350" t="s">
        <v>46</v>
      </c>
      <c r="J4350" t="s">
        <v>75</v>
      </c>
      <c r="K4350">
        <v>4</v>
      </c>
      <c r="L4350" t="s">
        <v>34</v>
      </c>
      <c r="M4350" t="s">
        <v>61</v>
      </c>
      <c r="N4350" t="s">
        <v>23</v>
      </c>
      <c r="O4350">
        <v>16</v>
      </c>
      <c r="P4350" t="s">
        <v>36</v>
      </c>
      <c r="Q4350" t="s">
        <v>37</v>
      </c>
      <c r="R4350" s="1">
        <v>0.1</v>
      </c>
      <c r="S4350">
        <f t="shared" si="268"/>
        <v>720.423</v>
      </c>
      <c r="T4350">
        <f>IFERROR(VLOOKUP(A4350,Table1[[Customer ID]:[Discount Amount]], 6, FALSE),"Not Found")</f>
        <v>800.47</v>
      </c>
      <c r="U4350" t="str">
        <f t="shared" si="269"/>
        <v>Debit Card</v>
      </c>
      <c r="V4350" s="4" t="str">
        <f t="shared" si="270"/>
        <v>Normal</v>
      </c>
      <c r="W4350" s="4" t="str">
        <f t="shared" si="271"/>
        <v>Good</v>
      </c>
      <c r="X4350" s="4">
        <f>AVERAGE(Table1[Purchase Amount])</f>
        <v>129.48419400000012</v>
      </c>
    </row>
    <row r="4351" spans="1:24" ht="15" customHeight="1" x14ac:dyDescent="0.25">
      <c r="A4351">
        <v>4449</v>
      </c>
      <c r="B4351">
        <v>49</v>
      </c>
      <c r="C4351" t="s">
        <v>71</v>
      </c>
      <c r="D4351" t="s">
        <v>116</v>
      </c>
      <c r="E4351" t="s">
        <v>18</v>
      </c>
      <c r="F4351" s="2">
        <v>0</v>
      </c>
      <c r="G4351" t="s">
        <v>126</v>
      </c>
      <c r="H4351" t="s">
        <v>20</v>
      </c>
      <c r="I4351" t="s">
        <v>46</v>
      </c>
      <c r="J4351" t="s">
        <v>33</v>
      </c>
      <c r="K4351">
        <v>4</v>
      </c>
      <c r="L4351" t="s">
        <v>34</v>
      </c>
      <c r="M4351" t="s">
        <v>61</v>
      </c>
      <c r="N4351" t="s">
        <v>23</v>
      </c>
      <c r="O4351">
        <v>0</v>
      </c>
      <c r="P4351" t="s">
        <v>25</v>
      </c>
      <c r="Q4351" t="s">
        <v>37</v>
      </c>
      <c r="R4351" s="1">
        <v>0.1</v>
      </c>
      <c r="S4351">
        <f t="shared" si="268"/>
        <v>0</v>
      </c>
      <c r="T4351">
        <f>IFERROR(VLOOKUP(A4351,Table1[[Customer ID]:[Discount Amount]], 6, FALSE),"Not Found")</f>
        <v>0</v>
      </c>
      <c r="U4351" t="str">
        <f t="shared" si="269"/>
        <v>Cash</v>
      </c>
      <c r="V4351" s="4" t="str">
        <f t="shared" si="270"/>
        <v>Normal</v>
      </c>
      <c r="W4351" s="4" t="str">
        <f t="shared" si="271"/>
        <v>Good</v>
      </c>
      <c r="X4351" s="4">
        <f>AVERAGE(Table1[Purchase Amount])</f>
        <v>129.48419400000012</v>
      </c>
    </row>
    <row r="4352" spans="1:24" ht="15" customHeight="1" x14ac:dyDescent="0.25">
      <c r="A4352">
        <v>4450</v>
      </c>
      <c r="B4352">
        <v>20</v>
      </c>
      <c r="C4352" t="s">
        <v>27</v>
      </c>
      <c r="D4352" t="s">
        <v>72</v>
      </c>
      <c r="E4352" t="s">
        <v>81</v>
      </c>
      <c r="F4352" s="2">
        <v>0</v>
      </c>
      <c r="G4352" t="s">
        <v>82</v>
      </c>
      <c r="H4352" t="s">
        <v>31</v>
      </c>
      <c r="I4352" t="s">
        <v>40</v>
      </c>
      <c r="J4352" t="s">
        <v>75</v>
      </c>
      <c r="K4352">
        <v>1</v>
      </c>
      <c r="L4352" t="s">
        <v>23</v>
      </c>
      <c r="M4352" t="s">
        <v>61</v>
      </c>
      <c r="N4352" t="s">
        <v>23</v>
      </c>
      <c r="O4352">
        <v>0</v>
      </c>
      <c r="P4352" t="s">
        <v>53</v>
      </c>
      <c r="Q4352" t="s">
        <v>42</v>
      </c>
      <c r="R4352" s="1">
        <v>0.1</v>
      </c>
      <c r="S4352">
        <f t="shared" si="268"/>
        <v>0</v>
      </c>
      <c r="T4352">
        <f>IFERROR(VLOOKUP(A4352,Table1[[Customer ID]:[Discount Amount]], 6, FALSE),"Not Found")</f>
        <v>0</v>
      </c>
      <c r="U4352" t="str">
        <f t="shared" si="269"/>
        <v>Credit Card</v>
      </c>
      <c r="V4352" s="4" t="str">
        <f t="shared" si="270"/>
        <v>Normal</v>
      </c>
      <c r="W4352" s="4" t="str">
        <f t="shared" si="271"/>
        <v>Poor</v>
      </c>
      <c r="X4352" s="4">
        <f>AVERAGE(Table1[Purchase Amount])</f>
        <v>129.48419400000012</v>
      </c>
    </row>
    <row r="4353" spans="1:24" ht="15" customHeight="1" x14ac:dyDescent="0.25">
      <c r="A4353">
        <v>4451</v>
      </c>
      <c r="B4353">
        <v>20</v>
      </c>
      <c r="C4353" t="s">
        <v>16</v>
      </c>
      <c r="D4353" t="s">
        <v>95</v>
      </c>
      <c r="E4353" t="s">
        <v>18</v>
      </c>
      <c r="F4353" s="2">
        <v>0</v>
      </c>
      <c r="G4353" t="s">
        <v>139</v>
      </c>
      <c r="H4353" t="s">
        <v>45</v>
      </c>
      <c r="I4353" t="s">
        <v>46</v>
      </c>
      <c r="J4353" t="s">
        <v>57</v>
      </c>
      <c r="K4353">
        <v>3</v>
      </c>
      <c r="L4353" t="s">
        <v>23</v>
      </c>
      <c r="M4353" t="s">
        <v>61</v>
      </c>
      <c r="N4353" t="s">
        <v>23</v>
      </c>
      <c r="O4353">
        <v>0</v>
      </c>
      <c r="P4353" t="s">
        <v>36</v>
      </c>
      <c r="Q4353" t="s">
        <v>42</v>
      </c>
      <c r="R4353" s="1">
        <v>0.1</v>
      </c>
      <c r="S4353">
        <f t="shared" si="268"/>
        <v>0</v>
      </c>
      <c r="T4353">
        <f>IFERROR(VLOOKUP(A4353,Table1[[Customer ID]:[Discount Amount]], 6, FALSE),"Not Found")</f>
        <v>0</v>
      </c>
      <c r="U4353" t="str">
        <f t="shared" si="269"/>
        <v>Debit Card</v>
      </c>
      <c r="V4353" s="4" t="str">
        <f t="shared" si="270"/>
        <v>Normal</v>
      </c>
      <c r="W4353" s="4" t="str">
        <f t="shared" si="271"/>
        <v>Good</v>
      </c>
      <c r="X4353" s="4">
        <f>AVERAGE(Table1[Purchase Amount])</f>
        <v>129.48419400000012</v>
      </c>
    </row>
    <row r="4354" spans="1:24" ht="15" customHeight="1" x14ac:dyDescent="0.25">
      <c r="A4354">
        <v>4452</v>
      </c>
      <c r="B4354">
        <v>28</v>
      </c>
      <c r="C4354" t="s">
        <v>16</v>
      </c>
      <c r="D4354" t="s">
        <v>116</v>
      </c>
      <c r="E4354" t="s">
        <v>81</v>
      </c>
      <c r="F4354" s="2">
        <v>765.68</v>
      </c>
      <c r="G4354" t="s">
        <v>82</v>
      </c>
      <c r="H4354" t="s">
        <v>31</v>
      </c>
      <c r="I4354" t="s">
        <v>46</v>
      </c>
      <c r="J4354" t="s">
        <v>75</v>
      </c>
      <c r="K4354">
        <v>1</v>
      </c>
      <c r="L4354" t="s">
        <v>34</v>
      </c>
      <c r="M4354" t="s">
        <v>61</v>
      </c>
      <c r="N4354" t="s">
        <v>34</v>
      </c>
      <c r="O4354">
        <v>0</v>
      </c>
      <c r="P4354" t="s">
        <v>53</v>
      </c>
      <c r="Q4354" t="s">
        <v>42</v>
      </c>
      <c r="R4354" s="1">
        <v>0.1</v>
      </c>
      <c r="S4354">
        <f t="shared" ref="S4354:S4417" si="272">F4354-(F4354*R4354)</f>
        <v>689.11199999999997</v>
      </c>
      <c r="T4354">
        <f>IFERROR(VLOOKUP(A4354,Table1[[Customer ID]:[Discount Amount]], 6, FALSE),"Not Found")</f>
        <v>765.68</v>
      </c>
      <c r="U4354" t="str">
        <f t="shared" ref="U4354:U4417" si="273">INDEX(P:P, MATCH(A4354, A:A, 0))</f>
        <v>Credit Card</v>
      </c>
      <c r="V4354" s="4" t="str">
        <f t="shared" ref="V4354:V4417" si="274">IF(AND(F4354&gt;1000,K4354&gt;=4),"Best Customer","Normal")</f>
        <v>Normal</v>
      </c>
      <c r="W4354" s="4" t="str">
        <f t="shared" ref="W4354:W4417" si="275">IF(K4354&gt;=3,"Good","Poor")</f>
        <v>Poor</v>
      </c>
      <c r="X4354" s="4">
        <f>AVERAGE(Table1[Purchase Amount])</f>
        <v>129.48419400000012</v>
      </c>
    </row>
    <row r="4355" spans="1:24" ht="15" customHeight="1" x14ac:dyDescent="0.25">
      <c r="A4355">
        <v>4453</v>
      </c>
      <c r="B4355">
        <v>24</v>
      </c>
      <c r="C4355" t="s">
        <v>16</v>
      </c>
      <c r="D4355" t="s">
        <v>72</v>
      </c>
      <c r="E4355" t="s">
        <v>18</v>
      </c>
      <c r="F4355" s="2">
        <v>0</v>
      </c>
      <c r="G4355" t="s">
        <v>126</v>
      </c>
      <c r="H4355" t="s">
        <v>31</v>
      </c>
      <c r="I4355" t="s">
        <v>93</v>
      </c>
      <c r="J4355" t="s">
        <v>57</v>
      </c>
      <c r="K4355">
        <v>1</v>
      </c>
      <c r="L4355" t="s">
        <v>34</v>
      </c>
      <c r="M4355" t="s">
        <v>61</v>
      </c>
      <c r="N4355" t="s">
        <v>34</v>
      </c>
      <c r="O4355">
        <v>47</v>
      </c>
      <c r="P4355" t="s">
        <v>25</v>
      </c>
      <c r="Q4355" t="s">
        <v>42</v>
      </c>
      <c r="R4355" s="1">
        <v>0.1</v>
      </c>
      <c r="S4355">
        <f t="shared" si="272"/>
        <v>0</v>
      </c>
      <c r="T4355">
        <f>IFERROR(VLOOKUP(A4355,Table1[[Customer ID]:[Discount Amount]], 6, FALSE),"Not Found")</f>
        <v>0</v>
      </c>
      <c r="U4355" t="str">
        <f t="shared" si="273"/>
        <v>Cash</v>
      </c>
      <c r="V4355" s="4" t="str">
        <f t="shared" si="274"/>
        <v>Normal</v>
      </c>
      <c r="W4355" s="4" t="str">
        <f t="shared" si="275"/>
        <v>Poor</v>
      </c>
      <c r="X4355" s="4">
        <f>AVERAGE(Table1[Purchase Amount])</f>
        <v>129.48419400000012</v>
      </c>
    </row>
    <row r="4356" spans="1:24" ht="15" customHeight="1" x14ac:dyDescent="0.25">
      <c r="A4356">
        <v>4454</v>
      </c>
      <c r="B4356">
        <v>65</v>
      </c>
      <c r="C4356" t="s">
        <v>16</v>
      </c>
      <c r="D4356" t="s">
        <v>112</v>
      </c>
      <c r="E4356" t="s">
        <v>18</v>
      </c>
      <c r="F4356" s="2">
        <v>0</v>
      </c>
      <c r="G4356" t="s">
        <v>73</v>
      </c>
      <c r="H4356" t="s">
        <v>20</v>
      </c>
      <c r="I4356" t="s">
        <v>74</v>
      </c>
      <c r="J4356" t="s">
        <v>22</v>
      </c>
      <c r="K4356">
        <v>1</v>
      </c>
      <c r="L4356" t="s">
        <v>34</v>
      </c>
      <c r="M4356" t="s">
        <v>24</v>
      </c>
      <c r="N4356" t="s">
        <v>34</v>
      </c>
      <c r="O4356">
        <v>17</v>
      </c>
      <c r="P4356" t="s">
        <v>25</v>
      </c>
      <c r="Q4356" t="s">
        <v>26</v>
      </c>
      <c r="R4356" s="1">
        <v>0.1</v>
      </c>
      <c r="S4356">
        <f t="shared" si="272"/>
        <v>0</v>
      </c>
      <c r="T4356">
        <f>IFERROR(VLOOKUP(A4356,Table1[[Customer ID]:[Discount Amount]], 6, FALSE),"Not Found")</f>
        <v>0</v>
      </c>
      <c r="U4356" t="str">
        <f t="shared" si="273"/>
        <v>Cash</v>
      </c>
      <c r="V4356" s="4" t="str">
        <f t="shared" si="274"/>
        <v>Normal</v>
      </c>
      <c r="W4356" s="4" t="str">
        <f t="shared" si="275"/>
        <v>Poor</v>
      </c>
      <c r="X4356" s="4">
        <f>AVERAGE(Table1[Purchase Amount])</f>
        <v>129.48419400000012</v>
      </c>
    </row>
    <row r="4357" spans="1:24" ht="15" customHeight="1" x14ac:dyDescent="0.25">
      <c r="A4357">
        <v>4455</v>
      </c>
      <c r="B4357">
        <v>46</v>
      </c>
      <c r="C4357" t="s">
        <v>16</v>
      </c>
      <c r="D4357" t="s">
        <v>116</v>
      </c>
      <c r="E4357" t="s">
        <v>81</v>
      </c>
      <c r="F4357" s="2">
        <v>0</v>
      </c>
      <c r="G4357" t="s">
        <v>101</v>
      </c>
      <c r="H4357" t="s">
        <v>31</v>
      </c>
      <c r="I4357" t="s">
        <v>74</v>
      </c>
      <c r="J4357" t="s">
        <v>33</v>
      </c>
      <c r="K4357">
        <v>1</v>
      </c>
      <c r="L4357" t="s">
        <v>23</v>
      </c>
      <c r="M4357" t="s">
        <v>24</v>
      </c>
      <c r="N4357" t="s">
        <v>23</v>
      </c>
      <c r="O4357">
        <v>23</v>
      </c>
      <c r="P4357" t="s">
        <v>36</v>
      </c>
      <c r="Q4357" t="s">
        <v>37</v>
      </c>
      <c r="R4357" s="1">
        <v>0.1</v>
      </c>
      <c r="S4357">
        <f t="shared" si="272"/>
        <v>0</v>
      </c>
      <c r="T4357">
        <f>IFERROR(VLOOKUP(A4357,Table1[[Customer ID]:[Discount Amount]], 6, FALSE),"Not Found")</f>
        <v>0</v>
      </c>
      <c r="U4357" t="str">
        <f t="shared" si="273"/>
        <v>Debit Card</v>
      </c>
      <c r="V4357" s="4" t="str">
        <f t="shared" si="274"/>
        <v>Normal</v>
      </c>
      <c r="W4357" s="4" t="str">
        <f t="shared" si="275"/>
        <v>Poor</v>
      </c>
      <c r="X4357" s="4">
        <f>AVERAGE(Table1[Purchase Amount])</f>
        <v>129.48419400000012</v>
      </c>
    </row>
    <row r="4358" spans="1:24" ht="15" customHeight="1" x14ac:dyDescent="0.25">
      <c r="A4358">
        <v>4456</v>
      </c>
      <c r="B4358">
        <v>66</v>
      </c>
      <c r="C4358" t="s">
        <v>27</v>
      </c>
      <c r="D4358" t="s">
        <v>116</v>
      </c>
      <c r="E4358" t="s">
        <v>18</v>
      </c>
      <c r="F4358" s="2">
        <v>0</v>
      </c>
      <c r="G4358" t="s">
        <v>101</v>
      </c>
      <c r="H4358" t="s">
        <v>31</v>
      </c>
      <c r="I4358" t="s">
        <v>46</v>
      </c>
      <c r="J4358" t="s">
        <v>22</v>
      </c>
      <c r="K4358">
        <v>4</v>
      </c>
      <c r="L4358" t="s">
        <v>34</v>
      </c>
      <c r="M4358" t="s">
        <v>61</v>
      </c>
      <c r="N4358" t="s">
        <v>23</v>
      </c>
      <c r="O4358">
        <v>6</v>
      </c>
      <c r="P4358" t="s">
        <v>36</v>
      </c>
      <c r="Q4358" t="s">
        <v>42</v>
      </c>
      <c r="R4358" s="1">
        <v>0.1</v>
      </c>
      <c r="S4358">
        <f t="shared" si="272"/>
        <v>0</v>
      </c>
      <c r="T4358">
        <f>IFERROR(VLOOKUP(A4358,Table1[[Customer ID]:[Discount Amount]], 6, FALSE),"Not Found")</f>
        <v>0</v>
      </c>
      <c r="U4358" t="str">
        <f t="shared" si="273"/>
        <v>Debit Card</v>
      </c>
      <c r="V4358" s="4" t="str">
        <f t="shared" si="274"/>
        <v>Normal</v>
      </c>
      <c r="W4358" s="4" t="str">
        <f t="shared" si="275"/>
        <v>Good</v>
      </c>
      <c r="X4358" s="4">
        <f>AVERAGE(Table1[Purchase Amount])</f>
        <v>129.48419400000012</v>
      </c>
    </row>
    <row r="4359" spans="1:24" ht="15" customHeight="1" x14ac:dyDescent="0.25">
      <c r="A4359">
        <v>4457</v>
      </c>
      <c r="B4359">
        <v>68</v>
      </c>
      <c r="C4359" t="s">
        <v>27</v>
      </c>
      <c r="D4359" t="s">
        <v>38</v>
      </c>
      <c r="E4359" t="s">
        <v>29</v>
      </c>
      <c r="F4359" s="2">
        <v>0</v>
      </c>
      <c r="G4359" t="s">
        <v>101</v>
      </c>
      <c r="H4359" t="s">
        <v>55</v>
      </c>
      <c r="I4359" t="s">
        <v>40</v>
      </c>
      <c r="J4359" t="s">
        <v>75</v>
      </c>
      <c r="K4359">
        <v>1</v>
      </c>
      <c r="L4359" t="s">
        <v>34</v>
      </c>
      <c r="M4359" t="s">
        <v>24</v>
      </c>
      <c r="N4359" t="s">
        <v>34</v>
      </c>
      <c r="O4359">
        <v>42</v>
      </c>
      <c r="P4359" t="s">
        <v>53</v>
      </c>
      <c r="Q4359" t="s">
        <v>42</v>
      </c>
      <c r="R4359" s="1">
        <v>0.1</v>
      </c>
      <c r="S4359">
        <f t="shared" si="272"/>
        <v>0</v>
      </c>
      <c r="T4359">
        <f>IFERROR(VLOOKUP(A4359,Table1[[Customer ID]:[Discount Amount]], 6, FALSE),"Not Found")</f>
        <v>0</v>
      </c>
      <c r="U4359" t="str">
        <f t="shared" si="273"/>
        <v>Credit Card</v>
      </c>
      <c r="V4359" s="4" t="str">
        <f t="shared" si="274"/>
        <v>Normal</v>
      </c>
      <c r="W4359" s="4" t="str">
        <f t="shared" si="275"/>
        <v>Poor</v>
      </c>
      <c r="X4359" s="4">
        <f>AVERAGE(Table1[Purchase Amount])</f>
        <v>129.48419400000012</v>
      </c>
    </row>
    <row r="4360" spans="1:24" ht="15" customHeight="1" x14ac:dyDescent="0.25">
      <c r="A4360">
        <v>4458</v>
      </c>
      <c r="B4360">
        <v>66</v>
      </c>
      <c r="C4360" t="s">
        <v>16</v>
      </c>
      <c r="D4360" t="s">
        <v>80</v>
      </c>
      <c r="E4360" t="s">
        <v>18</v>
      </c>
      <c r="F4360" s="2">
        <v>0</v>
      </c>
      <c r="G4360" t="s">
        <v>73</v>
      </c>
      <c r="H4360" t="s">
        <v>31</v>
      </c>
      <c r="I4360" t="s">
        <v>46</v>
      </c>
      <c r="J4360" t="s">
        <v>33</v>
      </c>
      <c r="K4360">
        <v>1</v>
      </c>
      <c r="L4360" t="s">
        <v>34</v>
      </c>
      <c r="M4360" t="s">
        <v>61</v>
      </c>
      <c r="N4360" t="s">
        <v>34</v>
      </c>
      <c r="O4360">
        <v>0</v>
      </c>
      <c r="P4360" t="s">
        <v>58</v>
      </c>
      <c r="Q4360" t="s">
        <v>42</v>
      </c>
      <c r="R4360" s="1">
        <v>0.1</v>
      </c>
      <c r="S4360">
        <f t="shared" si="272"/>
        <v>0</v>
      </c>
      <c r="T4360">
        <f>IFERROR(VLOOKUP(A4360,Table1[[Customer ID]:[Discount Amount]], 6, FALSE),"Not Found")</f>
        <v>0</v>
      </c>
      <c r="U4360" t="str">
        <f t="shared" si="273"/>
        <v>PayPal</v>
      </c>
      <c r="V4360" s="4" t="str">
        <f t="shared" si="274"/>
        <v>Normal</v>
      </c>
      <c r="W4360" s="4" t="str">
        <f t="shared" si="275"/>
        <v>Poor</v>
      </c>
      <c r="X4360" s="4">
        <f>AVERAGE(Table1[Purchase Amount])</f>
        <v>129.48419400000012</v>
      </c>
    </row>
    <row r="4361" spans="1:24" ht="15" customHeight="1" x14ac:dyDescent="0.25">
      <c r="A4361">
        <v>4459</v>
      </c>
      <c r="B4361">
        <v>64</v>
      </c>
      <c r="C4361" t="s">
        <v>16</v>
      </c>
      <c r="D4361" t="s">
        <v>112</v>
      </c>
      <c r="E4361" t="s">
        <v>18</v>
      </c>
      <c r="F4361" s="2">
        <v>1010.82</v>
      </c>
      <c r="G4361" t="s">
        <v>82</v>
      </c>
      <c r="H4361" t="s">
        <v>31</v>
      </c>
      <c r="I4361" t="s">
        <v>93</v>
      </c>
      <c r="J4361" t="s">
        <v>57</v>
      </c>
      <c r="K4361">
        <v>1</v>
      </c>
      <c r="L4361" t="s">
        <v>23</v>
      </c>
      <c r="M4361" t="s">
        <v>61</v>
      </c>
      <c r="N4361" t="s">
        <v>23</v>
      </c>
      <c r="O4361">
        <v>0</v>
      </c>
      <c r="P4361" t="s">
        <v>36</v>
      </c>
      <c r="Q4361" t="s">
        <v>42</v>
      </c>
      <c r="R4361" s="1">
        <v>0.1</v>
      </c>
      <c r="S4361">
        <f t="shared" si="272"/>
        <v>909.73800000000006</v>
      </c>
      <c r="T4361">
        <f>IFERROR(VLOOKUP(A4361,Table1[[Customer ID]:[Discount Amount]], 6, FALSE),"Not Found")</f>
        <v>1010.82</v>
      </c>
      <c r="U4361" t="str">
        <f t="shared" si="273"/>
        <v>Debit Card</v>
      </c>
      <c r="V4361" s="4" t="str">
        <f t="shared" si="274"/>
        <v>Normal</v>
      </c>
      <c r="W4361" s="4" t="str">
        <f t="shared" si="275"/>
        <v>Poor</v>
      </c>
      <c r="X4361" s="4">
        <f>AVERAGE(Table1[Purchase Amount])</f>
        <v>129.48419400000012</v>
      </c>
    </row>
    <row r="4362" spans="1:24" ht="15" customHeight="1" x14ac:dyDescent="0.25">
      <c r="A4362">
        <v>4460</v>
      </c>
      <c r="B4362">
        <v>65</v>
      </c>
      <c r="C4362" t="s">
        <v>71</v>
      </c>
      <c r="D4362" t="s">
        <v>38</v>
      </c>
      <c r="E4362" t="s">
        <v>18</v>
      </c>
      <c r="F4362" s="2">
        <v>0</v>
      </c>
      <c r="G4362" t="s">
        <v>101</v>
      </c>
      <c r="H4362" t="s">
        <v>55</v>
      </c>
      <c r="I4362" t="s">
        <v>93</v>
      </c>
      <c r="J4362" t="s">
        <v>75</v>
      </c>
      <c r="K4362">
        <v>5</v>
      </c>
      <c r="L4362" t="s">
        <v>23</v>
      </c>
      <c r="M4362" t="s">
        <v>61</v>
      </c>
      <c r="N4362" t="s">
        <v>23</v>
      </c>
      <c r="O4362">
        <v>0</v>
      </c>
      <c r="P4362" t="s">
        <v>58</v>
      </c>
      <c r="Q4362" t="s">
        <v>42</v>
      </c>
      <c r="R4362" s="1">
        <v>0.1</v>
      </c>
      <c r="S4362">
        <f t="shared" si="272"/>
        <v>0</v>
      </c>
      <c r="T4362">
        <f>IFERROR(VLOOKUP(A4362,Table1[[Customer ID]:[Discount Amount]], 6, FALSE),"Not Found")</f>
        <v>0</v>
      </c>
      <c r="U4362" t="str">
        <f t="shared" si="273"/>
        <v>PayPal</v>
      </c>
      <c r="V4362" s="4" t="str">
        <f t="shared" si="274"/>
        <v>Normal</v>
      </c>
      <c r="W4362" s="4" t="str">
        <f t="shared" si="275"/>
        <v>Good</v>
      </c>
      <c r="X4362" s="4">
        <f>AVERAGE(Table1[Purchase Amount])</f>
        <v>129.48419400000012</v>
      </c>
    </row>
    <row r="4363" spans="1:24" ht="15" customHeight="1" x14ac:dyDescent="0.25">
      <c r="A4363">
        <v>4461</v>
      </c>
      <c r="B4363">
        <v>57</v>
      </c>
      <c r="C4363" t="s">
        <v>16</v>
      </c>
      <c r="D4363" t="s">
        <v>38</v>
      </c>
      <c r="E4363" t="s">
        <v>81</v>
      </c>
      <c r="F4363" s="2">
        <v>681.68</v>
      </c>
      <c r="G4363" t="s">
        <v>139</v>
      </c>
      <c r="H4363" t="s">
        <v>31</v>
      </c>
      <c r="I4363" t="s">
        <v>40</v>
      </c>
      <c r="J4363" t="s">
        <v>22</v>
      </c>
      <c r="K4363">
        <v>4</v>
      </c>
      <c r="L4363" t="s">
        <v>34</v>
      </c>
      <c r="M4363" t="s">
        <v>24</v>
      </c>
      <c r="N4363" t="s">
        <v>34</v>
      </c>
      <c r="O4363">
        <v>21</v>
      </c>
      <c r="P4363" t="s">
        <v>36</v>
      </c>
      <c r="Q4363" t="s">
        <v>42</v>
      </c>
      <c r="R4363" s="1">
        <v>0.1</v>
      </c>
      <c r="S4363">
        <f t="shared" si="272"/>
        <v>613.51199999999994</v>
      </c>
      <c r="T4363">
        <f>IFERROR(VLOOKUP(A4363,Table1[[Customer ID]:[Discount Amount]], 6, FALSE),"Not Found")</f>
        <v>681.68</v>
      </c>
      <c r="U4363" t="str">
        <f t="shared" si="273"/>
        <v>Debit Card</v>
      </c>
      <c r="V4363" s="4" t="str">
        <f t="shared" si="274"/>
        <v>Normal</v>
      </c>
      <c r="W4363" s="4" t="str">
        <f t="shared" si="275"/>
        <v>Good</v>
      </c>
      <c r="X4363" s="4">
        <f>AVERAGE(Table1[Purchase Amount])</f>
        <v>129.48419400000012</v>
      </c>
    </row>
    <row r="4364" spans="1:24" ht="15" customHeight="1" x14ac:dyDescent="0.25">
      <c r="A4364">
        <v>4462</v>
      </c>
      <c r="B4364">
        <v>40</v>
      </c>
      <c r="C4364" t="s">
        <v>71</v>
      </c>
      <c r="D4364" t="s">
        <v>95</v>
      </c>
      <c r="E4364" t="s">
        <v>29</v>
      </c>
      <c r="F4364" s="2">
        <v>0</v>
      </c>
      <c r="G4364" t="s">
        <v>139</v>
      </c>
      <c r="H4364" t="s">
        <v>31</v>
      </c>
      <c r="I4364" t="s">
        <v>74</v>
      </c>
      <c r="J4364" t="s">
        <v>33</v>
      </c>
      <c r="K4364">
        <v>3</v>
      </c>
      <c r="L4364" t="s">
        <v>23</v>
      </c>
      <c r="M4364" t="s">
        <v>61</v>
      </c>
      <c r="N4364" t="s">
        <v>23</v>
      </c>
      <c r="O4364">
        <v>0</v>
      </c>
      <c r="P4364" t="s">
        <v>36</v>
      </c>
      <c r="Q4364" t="s">
        <v>26</v>
      </c>
      <c r="R4364" s="1">
        <v>0.1</v>
      </c>
      <c r="S4364">
        <f t="shared" si="272"/>
        <v>0</v>
      </c>
      <c r="T4364">
        <f>IFERROR(VLOOKUP(A4364,Table1[[Customer ID]:[Discount Amount]], 6, FALSE),"Not Found")</f>
        <v>0</v>
      </c>
      <c r="U4364" t="str">
        <f t="shared" si="273"/>
        <v>Debit Card</v>
      </c>
      <c r="V4364" s="4" t="str">
        <f t="shared" si="274"/>
        <v>Normal</v>
      </c>
      <c r="W4364" s="4" t="str">
        <f t="shared" si="275"/>
        <v>Good</v>
      </c>
      <c r="X4364" s="4">
        <f>AVERAGE(Table1[Purchase Amount])</f>
        <v>129.48419400000012</v>
      </c>
    </row>
    <row r="4365" spans="1:24" ht="15" customHeight="1" x14ac:dyDescent="0.25">
      <c r="A4365">
        <v>4463</v>
      </c>
      <c r="B4365">
        <v>38</v>
      </c>
      <c r="C4365" t="s">
        <v>16</v>
      </c>
      <c r="D4365" t="s">
        <v>72</v>
      </c>
      <c r="E4365" t="s">
        <v>29</v>
      </c>
      <c r="F4365" s="2">
        <v>0</v>
      </c>
      <c r="G4365" t="s">
        <v>101</v>
      </c>
      <c r="H4365" t="s">
        <v>31</v>
      </c>
      <c r="I4365" t="s">
        <v>40</v>
      </c>
      <c r="J4365" t="s">
        <v>75</v>
      </c>
      <c r="K4365">
        <v>3</v>
      </c>
      <c r="L4365" t="s">
        <v>23</v>
      </c>
      <c r="M4365" t="s">
        <v>24</v>
      </c>
      <c r="N4365" t="s">
        <v>23</v>
      </c>
      <c r="O4365">
        <v>2</v>
      </c>
      <c r="P4365" t="s">
        <v>25</v>
      </c>
      <c r="Q4365" t="s">
        <v>26</v>
      </c>
      <c r="R4365" s="1">
        <v>0.1</v>
      </c>
      <c r="S4365">
        <f t="shared" si="272"/>
        <v>0</v>
      </c>
      <c r="T4365">
        <f>IFERROR(VLOOKUP(A4365,Table1[[Customer ID]:[Discount Amount]], 6, FALSE),"Not Found")</f>
        <v>0</v>
      </c>
      <c r="U4365" t="str">
        <f t="shared" si="273"/>
        <v>Cash</v>
      </c>
      <c r="V4365" s="4" t="str">
        <f t="shared" si="274"/>
        <v>Normal</v>
      </c>
      <c r="W4365" s="4" t="str">
        <f t="shared" si="275"/>
        <v>Good</v>
      </c>
      <c r="X4365" s="4">
        <f>AVERAGE(Table1[Purchase Amount])</f>
        <v>129.48419400000012</v>
      </c>
    </row>
    <row r="4366" spans="1:24" ht="15" customHeight="1" x14ac:dyDescent="0.25">
      <c r="A4366">
        <v>4464</v>
      </c>
      <c r="B4366">
        <v>52</v>
      </c>
      <c r="C4366" t="s">
        <v>16</v>
      </c>
      <c r="D4366" t="s">
        <v>95</v>
      </c>
      <c r="E4366" t="s">
        <v>81</v>
      </c>
      <c r="F4366" s="2">
        <v>0</v>
      </c>
      <c r="G4366" t="s">
        <v>139</v>
      </c>
      <c r="H4366" t="s">
        <v>31</v>
      </c>
      <c r="I4366" t="s">
        <v>74</v>
      </c>
      <c r="J4366" t="s">
        <v>57</v>
      </c>
      <c r="K4366">
        <v>1</v>
      </c>
      <c r="L4366" t="s">
        <v>23</v>
      </c>
      <c r="M4366" t="s">
        <v>24</v>
      </c>
      <c r="N4366" t="s">
        <v>34</v>
      </c>
      <c r="O4366">
        <v>1</v>
      </c>
      <c r="P4366" t="s">
        <v>36</v>
      </c>
      <c r="Q4366" t="s">
        <v>26</v>
      </c>
      <c r="R4366" s="1">
        <v>0.1</v>
      </c>
      <c r="S4366">
        <f t="shared" si="272"/>
        <v>0</v>
      </c>
      <c r="T4366">
        <f>IFERROR(VLOOKUP(A4366,Table1[[Customer ID]:[Discount Amount]], 6, FALSE),"Not Found")</f>
        <v>0</v>
      </c>
      <c r="U4366" t="str">
        <f t="shared" si="273"/>
        <v>Debit Card</v>
      </c>
      <c r="V4366" s="4" t="str">
        <f t="shared" si="274"/>
        <v>Normal</v>
      </c>
      <c r="W4366" s="4" t="str">
        <f t="shared" si="275"/>
        <v>Poor</v>
      </c>
      <c r="X4366" s="4">
        <f>AVERAGE(Table1[Purchase Amount])</f>
        <v>129.48419400000012</v>
      </c>
    </row>
    <row r="4367" spans="1:24" ht="15" customHeight="1" x14ac:dyDescent="0.25">
      <c r="A4367">
        <v>4465</v>
      </c>
      <c r="B4367">
        <v>60</v>
      </c>
      <c r="C4367" t="s">
        <v>16</v>
      </c>
      <c r="D4367" t="s">
        <v>72</v>
      </c>
      <c r="E4367" t="s">
        <v>81</v>
      </c>
      <c r="F4367" s="2">
        <v>39.78</v>
      </c>
      <c r="G4367" t="s">
        <v>126</v>
      </c>
      <c r="H4367" t="s">
        <v>31</v>
      </c>
      <c r="I4367" t="s">
        <v>93</v>
      </c>
      <c r="J4367" t="s">
        <v>57</v>
      </c>
      <c r="K4367">
        <v>1</v>
      </c>
      <c r="L4367" t="s">
        <v>23</v>
      </c>
      <c r="M4367" t="s">
        <v>24</v>
      </c>
      <c r="N4367" t="s">
        <v>23</v>
      </c>
      <c r="O4367">
        <v>0</v>
      </c>
      <c r="P4367" t="s">
        <v>58</v>
      </c>
      <c r="Q4367" t="s">
        <v>37</v>
      </c>
      <c r="R4367" s="1">
        <v>0.1</v>
      </c>
      <c r="S4367">
        <f t="shared" si="272"/>
        <v>35.802</v>
      </c>
      <c r="T4367">
        <f>IFERROR(VLOOKUP(A4367,Table1[[Customer ID]:[Discount Amount]], 6, FALSE),"Not Found")</f>
        <v>39.78</v>
      </c>
      <c r="U4367" t="str">
        <f t="shared" si="273"/>
        <v>PayPal</v>
      </c>
      <c r="V4367" s="4" t="str">
        <f t="shared" si="274"/>
        <v>Normal</v>
      </c>
      <c r="W4367" s="4" t="str">
        <f t="shared" si="275"/>
        <v>Poor</v>
      </c>
      <c r="X4367" s="4">
        <f>AVERAGE(Table1[Purchase Amount])</f>
        <v>129.48419400000012</v>
      </c>
    </row>
    <row r="4368" spans="1:24" ht="15" customHeight="1" x14ac:dyDescent="0.25">
      <c r="A4368">
        <v>4466</v>
      </c>
      <c r="B4368">
        <v>33</v>
      </c>
      <c r="C4368" t="s">
        <v>16</v>
      </c>
      <c r="D4368" t="s">
        <v>116</v>
      </c>
      <c r="E4368" t="s">
        <v>29</v>
      </c>
      <c r="F4368" s="2">
        <v>0</v>
      </c>
      <c r="G4368" t="s">
        <v>73</v>
      </c>
      <c r="H4368" t="s">
        <v>55</v>
      </c>
      <c r="I4368" t="s">
        <v>93</v>
      </c>
      <c r="J4368" t="s">
        <v>22</v>
      </c>
      <c r="K4368">
        <v>1</v>
      </c>
      <c r="L4368" t="s">
        <v>34</v>
      </c>
      <c r="M4368" t="s">
        <v>61</v>
      </c>
      <c r="N4368" t="s">
        <v>34</v>
      </c>
      <c r="O4368">
        <v>0</v>
      </c>
      <c r="P4368" t="s">
        <v>58</v>
      </c>
      <c r="Q4368" t="s">
        <v>26</v>
      </c>
      <c r="R4368" s="1">
        <v>0.1</v>
      </c>
      <c r="S4368">
        <f t="shared" si="272"/>
        <v>0</v>
      </c>
      <c r="T4368">
        <f>IFERROR(VLOOKUP(A4368,Table1[[Customer ID]:[Discount Amount]], 6, FALSE),"Not Found")</f>
        <v>0</v>
      </c>
      <c r="U4368" t="str">
        <f t="shared" si="273"/>
        <v>PayPal</v>
      </c>
      <c r="V4368" s="4" t="str">
        <f t="shared" si="274"/>
        <v>Normal</v>
      </c>
      <c r="W4368" s="4" t="str">
        <f t="shared" si="275"/>
        <v>Poor</v>
      </c>
      <c r="X4368" s="4">
        <f>AVERAGE(Table1[Purchase Amount])</f>
        <v>129.48419400000012</v>
      </c>
    </row>
    <row r="4369" spans="1:24" ht="15" customHeight="1" x14ac:dyDescent="0.25">
      <c r="A4369">
        <v>4467</v>
      </c>
      <c r="B4369">
        <v>25</v>
      </c>
      <c r="C4369" t="s">
        <v>16</v>
      </c>
      <c r="D4369" t="s">
        <v>95</v>
      </c>
      <c r="E4369" t="s">
        <v>29</v>
      </c>
      <c r="F4369" s="2">
        <v>130.80000000000001</v>
      </c>
      <c r="G4369" t="s">
        <v>126</v>
      </c>
      <c r="H4369" t="s">
        <v>55</v>
      </c>
      <c r="I4369" t="s">
        <v>93</v>
      </c>
      <c r="J4369" t="s">
        <v>22</v>
      </c>
      <c r="K4369">
        <v>5</v>
      </c>
      <c r="L4369" t="s">
        <v>34</v>
      </c>
      <c r="M4369" t="s">
        <v>61</v>
      </c>
      <c r="N4369" t="s">
        <v>34</v>
      </c>
      <c r="O4369">
        <v>0</v>
      </c>
      <c r="P4369" t="s">
        <v>53</v>
      </c>
      <c r="Q4369" t="s">
        <v>42</v>
      </c>
      <c r="R4369" s="1">
        <v>0.1</v>
      </c>
      <c r="S4369">
        <f t="shared" si="272"/>
        <v>117.72000000000001</v>
      </c>
      <c r="T4369">
        <f>IFERROR(VLOOKUP(A4369,Table1[[Customer ID]:[Discount Amount]], 6, FALSE),"Not Found")</f>
        <v>130.80000000000001</v>
      </c>
      <c r="U4369" t="str">
        <f t="shared" si="273"/>
        <v>Credit Card</v>
      </c>
      <c r="V4369" s="4" t="str">
        <f t="shared" si="274"/>
        <v>Normal</v>
      </c>
      <c r="W4369" s="4" t="str">
        <f t="shared" si="275"/>
        <v>Good</v>
      </c>
      <c r="X4369" s="4">
        <f>AVERAGE(Table1[Purchase Amount])</f>
        <v>129.48419400000012</v>
      </c>
    </row>
    <row r="4370" spans="1:24" ht="15" customHeight="1" x14ac:dyDescent="0.25">
      <c r="A4370">
        <v>4468</v>
      </c>
      <c r="B4370">
        <v>64</v>
      </c>
      <c r="C4370" t="s">
        <v>27</v>
      </c>
      <c r="D4370" t="s">
        <v>117</v>
      </c>
      <c r="E4370" t="s">
        <v>81</v>
      </c>
      <c r="F4370" s="2">
        <v>663.87</v>
      </c>
      <c r="G4370" t="s">
        <v>101</v>
      </c>
      <c r="H4370" t="s">
        <v>31</v>
      </c>
      <c r="I4370" t="s">
        <v>74</v>
      </c>
      <c r="J4370" t="s">
        <v>57</v>
      </c>
      <c r="K4370">
        <v>1</v>
      </c>
      <c r="L4370" t="s">
        <v>23</v>
      </c>
      <c r="M4370" t="s">
        <v>61</v>
      </c>
      <c r="N4370" t="s">
        <v>34</v>
      </c>
      <c r="O4370">
        <v>19</v>
      </c>
      <c r="P4370" t="s">
        <v>36</v>
      </c>
      <c r="Q4370" t="s">
        <v>26</v>
      </c>
      <c r="R4370" s="1">
        <v>0.1</v>
      </c>
      <c r="S4370">
        <f t="shared" si="272"/>
        <v>597.48299999999995</v>
      </c>
      <c r="T4370">
        <f>IFERROR(VLOOKUP(A4370,Table1[[Customer ID]:[Discount Amount]], 6, FALSE),"Not Found")</f>
        <v>663.87</v>
      </c>
      <c r="U4370" t="str">
        <f t="shared" si="273"/>
        <v>Debit Card</v>
      </c>
      <c r="V4370" s="4" t="str">
        <f t="shared" si="274"/>
        <v>Normal</v>
      </c>
      <c r="W4370" s="4" t="str">
        <f t="shared" si="275"/>
        <v>Poor</v>
      </c>
      <c r="X4370" s="4">
        <f>AVERAGE(Table1[Purchase Amount])</f>
        <v>129.48419400000012</v>
      </c>
    </row>
    <row r="4371" spans="1:24" ht="15" customHeight="1" x14ac:dyDescent="0.25">
      <c r="A4371">
        <v>4469</v>
      </c>
      <c r="B4371">
        <v>22</v>
      </c>
      <c r="C4371" t="s">
        <v>16</v>
      </c>
      <c r="D4371" t="s">
        <v>116</v>
      </c>
      <c r="E4371" t="s">
        <v>81</v>
      </c>
      <c r="F4371" s="2">
        <v>639.97</v>
      </c>
      <c r="G4371" t="s">
        <v>139</v>
      </c>
      <c r="H4371" t="s">
        <v>31</v>
      </c>
      <c r="I4371" t="s">
        <v>74</v>
      </c>
      <c r="J4371" t="s">
        <v>33</v>
      </c>
      <c r="K4371">
        <v>1</v>
      </c>
      <c r="L4371" t="s">
        <v>23</v>
      </c>
      <c r="M4371" t="s">
        <v>61</v>
      </c>
      <c r="N4371" t="s">
        <v>34</v>
      </c>
      <c r="O4371">
        <v>0</v>
      </c>
      <c r="P4371" t="s">
        <v>25</v>
      </c>
      <c r="Q4371" t="s">
        <v>42</v>
      </c>
      <c r="R4371" s="1">
        <v>0.1</v>
      </c>
      <c r="S4371">
        <f t="shared" si="272"/>
        <v>575.97300000000007</v>
      </c>
      <c r="T4371">
        <f>IFERROR(VLOOKUP(A4371,Table1[[Customer ID]:[Discount Amount]], 6, FALSE),"Not Found")</f>
        <v>639.97</v>
      </c>
      <c r="U4371" t="str">
        <f t="shared" si="273"/>
        <v>Cash</v>
      </c>
      <c r="V4371" s="4" t="str">
        <f t="shared" si="274"/>
        <v>Normal</v>
      </c>
      <c r="W4371" s="4" t="str">
        <f t="shared" si="275"/>
        <v>Poor</v>
      </c>
      <c r="X4371" s="4">
        <f>AVERAGE(Table1[Purchase Amount])</f>
        <v>129.48419400000012</v>
      </c>
    </row>
    <row r="4372" spans="1:24" ht="15" customHeight="1" x14ac:dyDescent="0.25">
      <c r="A4372">
        <v>4470</v>
      </c>
      <c r="B4372">
        <v>60</v>
      </c>
      <c r="C4372" t="s">
        <v>16</v>
      </c>
      <c r="D4372" t="s">
        <v>72</v>
      </c>
      <c r="E4372" t="s">
        <v>81</v>
      </c>
      <c r="F4372" s="2">
        <v>0</v>
      </c>
      <c r="G4372" t="s">
        <v>73</v>
      </c>
      <c r="H4372" t="s">
        <v>31</v>
      </c>
      <c r="I4372" t="s">
        <v>46</v>
      </c>
      <c r="J4372" t="s">
        <v>75</v>
      </c>
      <c r="K4372">
        <v>3</v>
      </c>
      <c r="L4372" t="s">
        <v>23</v>
      </c>
      <c r="M4372" t="s">
        <v>61</v>
      </c>
      <c r="N4372" t="s">
        <v>34</v>
      </c>
      <c r="O4372">
        <v>0</v>
      </c>
      <c r="P4372" t="s">
        <v>25</v>
      </c>
      <c r="Q4372" t="s">
        <v>26</v>
      </c>
      <c r="R4372" s="1">
        <v>0.1</v>
      </c>
      <c r="S4372">
        <f t="shared" si="272"/>
        <v>0</v>
      </c>
      <c r="T4372">
        <f>IFERROR(VLOOKUP(A4372,Table1[[Customer ID]:[Discount Amount]], 6, FALSE),"Not Found")</f>
        <v>0</v>
      </c>
      <c r="U4372" t="str">
        <f t="shared" si="273"/>
        <v>Cash</v>
      </c>
      <c r="V4372" s="4" t="str">
        <f t="shared" si="274"/>
        <v>Normal</v>
      </c>
      <c r="W4372" s="4" t="str">
        <f t="shared" si="275"/>
        <v>Good</v>
      </c>
      <c r="X4372" s="4">
        <f>AVERAGE(Table1[Purchase Amount])</f>
        <v>129.48419400000012</v>
      </c>
    </row>
    <row r="4373" spans="1:24" ht="15" customHeight="1" x14ac:dyDescent="0.25">
      <c r="A4373">
        <v>4471</v>
      </c>
      <c r="B4373">
        <v>35</v>
      </c>
      <c r="C4373" t="s">
        <v>71</v>
      </c>
      <c r="D4373" t="s">
        <v>80</v>
      </c>
      <c r="E4373" t="s">
        <v>81</v>
      </c>
      <c r="F4373" s="2">
        <v>0</v>
      </c>
      <c r="G4373" t="s">
        <v>82</v>
      </c>
      <c r="H4373" t="s">
        <v>31</v>
      </c>
      <c r="I4373" t="s">
        <v>74</v>
      </c>
      <c r="J4373" t="s">
        <v>75</v>
      </c>
      <c r="K4373">
        <v>3</v>
      </c>
      <c r="L4373" t="s">
        <v>23</v>
      </c>
      <c r="M4373" t="s">
        <v>24</v>
      </c>
      <c r="N4373" t="s">
        <v>34</v>
      </c>
      <c r="O4373">
        <v>0</v>
      </c>
      <c r="P4373" t="s">
        <v>25</v>
      </c>
      <c r="Q4373" t="s">
        <v>37</v>
      </c>
      <c r="R4373" s="1">
        <v>0.1</v>
      </c>
      <c r="S4373">
        <f t="shared" si="272"/>
        <v>0</v>
      </c>
      <c r="T4373">
        <f>IFERROR(VLOOKUP(A4373,Table1[[Customer ID]:[Discount Amount]], 6, FALSE),"Not Found")</f>
        <v>0</v>
      </c>
      <c r="U4373" t="str">
        <f t="shared" si="273"/>
        <v>Cash</v>
      </c>
      <c r="V4373" s="4" t="str">
        <f t="shared" si="274"/>
        <v>Normal</v>
      </c>
      <c r="W4373" s="4" t="str">
        <f t="shared" si="275"/>
        <v>Good</v>
      </c>
      <c r="X4373" s="4">
        <f>AVERAGE(Table1[Purchase Amount])</f>
        <v>129.48419400000012</v>
      </c>
    </row>
    <row r="4374" spans="1:24" ht="15" customHeight="1" x14ac:dyDescent="0.25">
      <c r="A4374">
        <v>4472</v>
      </c>
      <c r="B4374">
        <v>63</v>
      </c>
      <c r="C4374" t="s">
        <v>16</v>
      </c>
      <c r="D4374" t="s">
        <v>95</v>
      </c>
      <c r="E4374" t="s">
        <v>18</v>
      </c>
      <c r="F4374" s="2">
        <v>0</v>
      </c>
      <c r="G4374" t="s">
        <v>82</v>
      </c>
      <c r="H4374" t="s">
        <v>55</v>
      </c>
      <c r="I4374" t="s">
        <v>46</v>
      </c>
      <c r="J4374" t="s">
        <v>33</v>
      </c>
      <c r="K4374">
        <v>1</v>
      </c>
      <c r="L4374" t="s">
        <v>34</v>
      </c>
      <c r="M4374" t="s">
        <v>24</v>
      </c>
      <c r="N4374" t="s">
        <v>23</v>
      </c>
      <c r="O4374">
        <v>0</v>
      </c>
      <c r="P4374" t="s">
        <v>25</v>
      </c>
      <c r="Q4374" t="s">
        <v>42</v>
      </c>
      <c r="R4374" s="1">
        <v>0.1</v>
      </c>
      <c r="S4374">
        <f t="shared" si="272"/>
        <v>0</v>
      </c>
      <c r="T4374">
        <f>IFERROR(VLOOKUP(A4374,Table1[[Customer ID]:[Discount Amount]], 6, FALSE),"Not Found")</f>
        <v>0</v>
      </c>
      <c r="U4374" t="str">
        <f t="shared" si="273"/>
        <v>Cash</v>
      </c>
      <c r="V4374" s="4" t="str">
        <f t="shared" si="274"/>
        <v>Normal</v>
      </c>
      <c r="W4374" s="4" t="str">
        <f t="shared" si="275"/>
        <v>Poor</v>
      </c>
      <c r="X4374" s="4">
        <f>AVERAGE(Table1[Purchase Amount])</f>
        <v>129.48419400000012</v>
      </c>
    </row>
    <row r="4375" spans="1:24" ht="15" customHeight="1" x14ac:dyDescent="0.25">
      <c r="A4375">
        <v>4473</v>
      </c>
      <c r="B4375">
        <v>49</v>
      </c>
      <c r="C4375" t="s">
        <v>71</v>
      </c>
      <c r="D4375" t="s">
        <v>80</v>
      </c>
      <c r="E4375" t="s">
        <v>29</v>
      </c>
      <c r="F4375" s="2">
        <v>0</v>
      </c>
      <c r="G4375" t="s">
        <v>126</v>
      </c>
      <c r="H4375" t="s">
        <v>45</v>
      </c>
      <c r="I4375" t="s">
        <v>74</v>
      </c>
      <c r="J4375" t="s">
        <v>57</v>
      </c>
      <c r="K4375">
        <v>1</v>
      </c>
      <c r="L4375" t="s">
        <v>34</v>
      </c>
      <c r="M4375" t="s">
        <v>61</v>
      </c>
      <c r="N4375" t="s">
        <v>23</v>
      </c>
      <c r="O4375">
        <v>0</v>
      </c>
      <c r="P4375" t="s">
        <v>25</v>
      </c>
      <c r="Q4375" t="s">
        <v>26</v>
      </c>
      <c r="R4375" s="1">
        <v>0.1</v>
      </c>
      <c r="S4375">
        <f t="shared" si="272"/>
        <v>0</v>
      </c>
      <c r="T4375">
        <f>IFERROR(VLOOKUP(A4375,Table1[[Customer ID]:[Discount Amount]], 6, FALSE),"Not Found")</f>
        <v>0</v>
      </c>
      <c r="U4375" t="str">
        <f t="shared" si="273"/>
        <v>Cash</v>
      </c>
      <c r="V4375" s="4" t="str">
        <f t="shared" si="274"/>
        <v>Normal</v>
      </c>
      <c r="W4375" s="4" t="str">
        <f t="shared" si="275"/>
        <v>Poor</v>
      </c>
      <c r="X4375" s="4">
        <f>AVERAGE(Table1[Purchase Amount])</f>
        <v>129.48419400000012</v>
      </c>
    </row>
    <row r="4376" spans="1:24" ht="15" customHeight="1" x14ac:dyDescent="0.25">
      <c r="A4376">
        <v>4474</v>
      </c>
      <c r="B4376">
        <v>28</v>
      </c>
      <c r="C4376" t="s">
        <v>27</v>
      </c>
      <c r="D4376" t="s">
        <v>38</v>
      </c>
      <c r="E4376" t="s">
        <v>81</v>
      </c>
      <c r="F4376" s="2">
        <v>666.88</v>
      </c>
      <c r="G4376" t="s">
        <v>82</v>
      </c>
      <c r="H4376" t="s">
        <v>31</v>
      </c>
      <c r="I4376" t="s">
        <v>32</v>
      </c>
      <c r="J4376" t="s">
        <v>22</v>
      </c>
      <c r="K4376">
        <v>1</v>
      </c>
      <c r="L4376" t="s">
        <v>23</v>
      </c>
      <c r="M4376" t="s">
        <v>24</v>
      </c>
      <c r="N4376" t="s">
        <v>23</v>
      </c>
      <c r="O4376">
        <v>10</v>
      </c>
      <c r="P4376" t="s">
        <v>58</v>
      </c>
      <c r="Q4376" t="s">
        <v>42</v>
      </c>
      <c r="R4376" s="1">
        <v>0.1</v>
      </c>
      <c r="S4376">
        <f t="shared" si="272"/>
        <v>600.19200000000001</v>
      </c>
      <c r="T4376">
        <f>IFERROR(VLOOKUP(A4376,Table1[[Customer ID]:[Discount Amount]], 6, FALSE),"Not Found")</f>
        <v>666.88</v>
      </c>
      <c r="U4376" t="str">
        <f t="shared" si="273"/>
        <v>PayPal</v>
      </c>
      <c r="V4376" s="4" t="str">
        <f t="shared" si="274"/>
        <v>Normal</v>
      </c>
      <c r="W4376" s="4" t="str">
        <f t="shared" si="275"/>
        <v>Poor</v>
      </c>
      <c r="X4376" s="4">
        <f>AVERAGE(Table1[Purchase Amount])</f>
        <v>129.48419400000012</v>
      </c>
    </row>
    <row r="4377" spans="1:24" ht="15" customHeight="1" x14ac:dyDescent="0.25">
      <c r="A4377">
        <v>4475</v>
      </c>
      <c r="B4377">
        <v>31</v>
      </c>
      <c r="C4377" t="s">
        <v>71</v>
      </c>
      <c r="D4377" t="s">
        <v>95</v>
      </c>
      <c r="E4377" t="s">
        <v>81</v>
      </c>
      <c r="F4377" s="2">
        <v>849.62</v>
      </c>
      <c r="G4377" t="s">
        <v>82</v>
      </c>
      <c r="H4377" t="s">
        <v>31</v>
      </c>
      <c r="I4377" t="s">
        <v>40</v>
      </c>
      <c r="J4377" t="s">
        <v>22</v>
      </c>
      <c r="K4377">
        <v>5</v>
      </c>
      <c r="L4377" t="s">
        <v>34</v>
      </c>
      <c r="M4377" t="s">
        <v>24</v>
      </c>
      <c r="N4377" t="s">
        <v>34</v>
      </c>
      <c r="O4377">
        <v>0</v>
      </c>
      <c r="P4377" t="s">
        <v>25</v>
      </c>
      <c r="Q4377" t="s">
        <v>42</v>
      </c>
      <c r="R4377" s="1">
        <v>0.1</v>
      </c>
      <c r="S4377">
        <f t="shared" si="272"/>
        <v>764.65800000000002</v>
      </c>
      <c r="T4377">
        <f>IFERROR(VLOOKUP(A4377,Table1[[Customer ID]:[Discount Amount]], 6, FALSE),"Not Found")</f>
        <v>849.62</v>
      </c>
      <c r="U4377" t="str">
        <f t="shared" si="273"/>
        <v>Cash</v>
      </c>
      <c r="V4377" s="4" t="str">
        <f t="shared" si="274"/>
        <v>Normal</v>
      </c>
      <c r="W4377" s="4" t="str">
        <f t="shared" si="275"/>
        <v>Good</v>
      </c>
      <c r="X4377" s="4">
        <f>AVERAGE(Table1[Purchase Amount])</f>
        <v>129.48419400000012</v>
      </c>
    </row>
    <row r="4378" spans="1:24" ht="15" customHeight="1" x14ac:dyDescent="0.25">
      <c r="A4378">
        <v>4476</v>
      </c>
      <c r="B4378">
        <v>56</v>
      </c>
      <c r="C4378" t="s">
        <v>27</v>
      </c>
      <c r="D4378" t="s">
        <v>38</v>
      </c>
      <c r="E4378" t="s">
        <v>81</v>
      </c>
      <c r="F4378" s="2">
        <v>0</v>
      </c>
      <c r="G4378" t="s">
        <v>73</v>
      </c>
      <c r="H4378" t="s">
        <v>31</v>
      </c>
      <c r="I4378" t="s">
        <v>32</v>
      </c>
      <c r="J4378" t="s">
        <v>75</v>
      </c>
      <c r="K4378">
        <v>1</v>
      </c>
      <c r="L4378" t="s">
        <v>23</v>
      </c>
      <c r="M4378" t="s">
        <v>61</v>
      </c>
      <c r="N4378" t="s">
        <v>34</v>
      </c>
      <c r="O4378">
        <v>0</v>
      </c>
      <c r="P4378" t="s">
        <v>36</v>
      </c>
      <c r="Q4378" t="s">
        <v>42</v>
      </c>
      <c r="R4378" s="1">
        <v>0.1</v>
      </c>
      <c r="S4378">
        <f t="shared" si="272"/>
        <v>0</v>
      </c>
      <c r="T4378">
        <f>IFERROR(VLOOKUP(A4378,Table1[[Customer ID]:[Discount Amount]], 6, FALSE),"Not Found")</f>
        <v>0</v>
      </c>
      <c r="U4378" t="str">
        <f t="shared" si="273"/>
        <v>Debit Card</v>
      </c>
      <c r="V4378" s="4" t="str">
        <f t="shared" si="274"/>
        <v>Normal</v>
      </c>
      <c r="W4378" s="4" t="str">
        <f t="shared" si="275"/>
        <v>Poor</v>
      </c>
      <c r="X4378" s="4">
        <f>AVERAGE(Table1[Purchase Amount])</f>
        <v>129.48419400000012</v>
      </c>
    </row>
    <row r="4379" spans="1:24" ht="15" customHeight="1" x14ac:dyDescent="0.25">
      <c r="A4379">
        <v>4477</v>
      </c>
      <c r="B4379">
        <v>40</v>
      </c>
      <c r="C4379" t="s">
        <v>27</v>
      </c>
      <c r="D4379" t="s">
        <v>38</v>
      </c>
      <c r="E4379" t="s">
        <v>18</v>
      </c>
      <c r="F4379" s="2">
        <v>0</v>
      </c>
      <c r="G4379" t="s">
        <v>73</v>
      </c>
      <c r="H4379" t="s">
        <v>55</v>
      </c>
      <c r="I4379" t="s">
        <v>74</v>
      </c>
      <c r="J4379" t="s">
        <v>75</v>
      </c>
      <c r="K4379">
        <v>3</v>
      </c>
      <c r="L4379" t="s">
        <v>34</v>
      </c>
      <c r="M4379" t="s">
        <v>61</v>
      </c>
      <c r="N4379" t="s">
        <v>34</v>
      </c>
      <c r="O4379">
        <v>7</v>
      </c>
      <c r="P4379" t="s">
        <v>58</v>
      </c>
      <c r="Q4379" t="s">
        <v>42</v>
      </c>
      <c r="R4379" s="1">
        <v>0.1</v>
      </c>
      <c r="S4379">
        <f t="shared" si="272"/>
        <v>0</v>
      </c>
      <c r="T4379">
        <f>IFERROR(VLOOKUP(A4379,Table1[[Customer ID]:[Discount Amount]], 6, FALSE),"Not Found")</f>
        <v>0</v>
      </c>
      <c r="U4379" t="str">
        <f t="shared" si="273"/>
        <v>PayPal</v>
      </c>
      <c r="V4379" s="4" t="str">
        <f t="shared" si="274"/>
        <v>Normal</v>
      </c>
      <c r="W4379" s="4" t="str">
        <f t="shared" si="275"/>
        <v>Good</v>
      </c>
      <c r="X4379" s="4">
        <f>AVERAGE(Table1[Purchase Amount])</f>
        <v>129.48419400000012</v>
      </c>
    </row>
    <row r="4380" spans="1:24" ht="15" customHeight="1" x14ac:dyDescent="0.25">
      <c r="A4380">
        <v>4478</v>
      </c>
      <c r="B4380">
        <v>42</v>
      </c>
      <c r="C4380" t="s">
        <v>16</v>
      </c>
      <c r="D4380" t="s">
        <v>112</v>
      </c>
      <c r="E4380" t="s">
        <v>29</v>
      </c>
      <c r="F4380" s="2">
        <v>1216.92</v>
      </c>
      <c r="G4380" t="s">
        <v>126</v>
      </c>
      <c r="H4380" t="s">
        <v>45</v>
      </c>
      <c r="I4380" t="s">
        <v>93</v>
      </c>
      <c r="J4380" t="s">
        <v>33</v>
      </c>
      <c r="K4380">
        <v>3</v>
      </c>
      <c r="L4380" t="s">
        <v>23</v>
      </c>
      <c r="M4380" t="s">
        <v>24</v>
      </c>
      <c r="N4380" t="s">
        <v>34</v>
      </c>
      <c r="O4380">
        <v>0</v>
      </c>
      <c r="P4380" t="s">
        <v>25</v>
      </c>
      <c r="Q4380" t="s">
        <v>26</v>
      </c>
      <c r="R4380" s="1">
        <v>0.1</v>
      </c>
      <c r="S4380">
        <f t="shared" si="272"/>
        <v>1095.2280000000001</v>
      </c>
      <c r="T4380">
        <f>IFERROR(VLOOKUP(A4380,Table1[[Customer ID]:[Discount Amount]], 6, FALSE),"Not Found")</f>
        <v>1216.92</v>
      </c>
      <c r="U4380" t="str">
        <f t="shared" si="273"/>
        <v>Cash</v>
      </c>
      <c r="V4380" s="4" t="str">
        <f t="shared" si="274"/>
        <v>Normal</v>
      </c>
      <c r="W4380" s="4" t="str">
        <f t="shared" si="275"/>
        <v>Good</v>
      </c>
      <c r="X4380" s="4">
        <f>AVERAGE(Table1[Purchase Amount])</f>
        <v>129.48419400000012</v>
      </c>
    </row>
    <row r="4381" spans="1:24" ht="15" customHeight="1" x14ac:dyDescent="0.25">
      <c r="A4381">
        <v>4479</v>
      </c>
      <c r="B4381">
        <v>43</v>
      </c>
      <c r="C4381" t="s">
        <v>27</v>
      </c>
      <c r="D4381" t="s">
        <v>80</v>
      </c>
      <c r="E4381" t="s">
        <v>18</v>
      </c>
      <c r="F4381" s="2">
        <v>790.48</v>
      </c>
      <c r="G4381" t="s">
        <v>73</v>
      </c>
      <c r="H4381" t="s">
        <v>31</v>
      </c>
      <c r="I4381" t="s">
        <v>74</v>
      </c>
      <c r="J4381" t="s">
        <v>57</v>
      </c>
      <c r="K4381">
        <v>1</v>
      </c>
      <c r="L4381" t="s">
        <v>23</v>
      </c>
      <c r="M4381" t="s">
        <v>24</v>
      </c>
      <c r="N4381" t="s">
        <v>23</v>
      </c>
      <c r="O4381">
        <v>12</v>
      </c>
      <c r="P4381" t="s">
        <v>53</v>
      </c>
      <c r="Q4381" t="s">
        <v>37</v>
      </c>
      <c r="R4381" s="1">
        <v>0.1</v>
      </c>
      <c r="S4381">
        <f t="shared" si="272"/>
        <v>711.43200000000002</v>
      </c>
      <c r="T4381">
        <f>IFERROR(VLOOKUP(A4381,Table1[[Customer ID]:[Discount Amount]], 6, FALSE),"Not Found")</f>
        <v>790.48</v>
      </c>
      <c r="U4381" t="str">
        <f t="shared" si="273"/>
        <v>Credit Card</v>
      </c>
      <c r="V4381" s="4" t="str">
        <f t="shared" si="274"/>
        <v>Normal</v>
      </c>
      <c r="W4381" s="4" t="str">
        <f t="shared" si="275"/>
        <v>Poor</v>
      </c>
      <c r="X4381" s="4">
        <f>AVERAGE(Table1[Purchase Amount])</f>
        <v>129.48419400000012</v>
      </c>
    </row>
    <row r="4382" spans="1:24" ht="15" customHeight="1" x14ac:dyDescent="0.25">
      <c r="A4382">
        <v>4480</v>
      </c>
      <c r="B4382">
        <v>59</v>
      </c>
      <c r="C4382" t="s">
        <v>16</v>
      </c>
      <c r="D4382" t="s">
        <v>80</v>
      </c>
      <c r="E4382" t="s">
        <v>29</v>
      </c>
      <c r="F4382" s="2">
        <v>464.46</v>
      </c>
      <c r="G4382" t="s">
        <v>126</v>
      </c>
      <c r="H4382" t="s">
        <v>55</v>
      </c>
      <c r="I4382" t="s">
        <v>46</v>
      </c>
      <c r="J4382" t="s">
        <v>33</v>
      </c>
      <c r="K4382">
        <v>5</v>
      </c>
      <c r="L4382" t="s">
        <v>23</v>
      </c>
      <c r="M4382" t="s">
        <v>61</v>
      </c>
      <c r="N4382" t="s">
        <v>23</v>
      </c>
      <c r="O4382">
        <v>0</v>
      </c>
      <c r="P4382" t="s">
        <v>58</v>
      </c>
      <c r="Q4382" t="s">
        <v>42</v>
      </c>
      <c r="R4382" s="1">
        <v>0.1</v>
      </c>
      <c r="S4382">
        <f t="shared" si="272"/>
        <v>418.01400000000001</v>
      </c>
      <c r="T4382">
        <f>IFERROR(VLOOKUP(A4382,Table1[[Customer ID]:[Discount Amount]], 6, FALSE),"Not Found")</f>
        <v>464.46</v>
      </c>
      <c r="U4382" t="str">
        <f t="shared" si="273"/>
        <v>PayPal</v>
      </c>
      <c r="V4382" s="4" t="str">
        <f t="shared" si="274"/>
        <v>Normal</v>
      </c>
      <c r="W4382" s="4" t="str">
        <f t="shared" si="275"/>
        <v>Good</v>
      </c>
      <c r="X4382" s="4">
        <f>AVERAGE(Table1[Purchase Amount])</f>
        <v>129.48419400000012</v>
      </c>
    </row>
    <row r="4383" spans="1:24" ht="15" customHeight="1" x14ac:dyDescent="0.25">
      <c r="A4383">
        <v>4481</v>
      </c>
      <c r="B4383">
        <v>44</v>
      </c>
      <c r="C4383" t="s">
        <v>16</v>
      </c>
      <c r="D4383" t="s">
        <v>38</v>
      </c>
      <c r="E4383" t="s">
        <v>81</v>
      </c>
      <c r="F4383" s="2">
        <v>0</v>
      </c>
      <c r="G4383" t="s">
        <v>73</v>
      </c>
      <c r="H4383" t="s">
        <v>31</v>
      </c>
      <c r="I4383" t="s">
        <v>32</v>
      </c>
      <c r="J4383" t="s">
        <v>22</v>
      </c>
      <c r="K4383">
        <v>1</v>
      </c>
      <c r="L4383" t="s">
        <v>34</v>
      </c>
      <c r="M4383" t="s">
        <v>24</v>
      </c>
      <c r="N4383" t="s">
        <v>23</v>
      </c>
      <c r="O4383">
        <v>0</v>
      </c>
      <c r="P4383" t="s">
        <v>53</v>
      </c>
      <c r="Q4383" t="s">
        <v>37</v>
      </c>
      <c r="R4383" s="1">
        <v>0.1</v>
      </c>
      <c r="S4383">
        <f t="shared" si="272"/>
        <v>0</v>
      </c>
      <c r="T4383">
        <f>IFERROR(VLOOKUP(A4383,Table1[[Customer ID]:[Discount Amount]], 6, FALSE),"Not Found")</f>
        <v>0</v>
      </c>
      <c r="U4383" t="str">
        <f t="shared" si="273"/>
        <v>Credit Card</v>
      </c>
      <c r="V4383" s="4" t="str">
        <f t="shared" si="274"/>
        <v>Normal</v>
      </c>
      <c r="W4383" s="4" t="str">
        <f t="shared" si="275"/>
        <v>Poor</v>
      </c>
      <c r="X4383" s="4">
        <f>AVERAGE(Table1[Purchase Amount])</f>
        <v>129.48419400000012</v>
      </c>
    </row>
    <row r="4384" spans="1:24" ht="15" customHeight="1" x14ac:dyDescent="0.25">
      <c r="A4384">
        <v>4482</v>
      </c>
      <c r="B4384">
        <v>67</v>
      </c>
      <c r="C4384" t="s">
        <v>16</v>
      </c>
      <c r="D4384" t="s">
        <v>38</v>
      </c>
      <c r="E4384" t="s">
        <v>18</v>
      </c>
      <c r="F4384" s="2">
        <v>1322.78</v>
      </c>
      <c r="G4384" t="s">
        <v>82</v>
      </c>
      <c r="H4384" t="s">
        <v>45</v>
      </c>
      <c r="I4384" t="s">
        <v>46</v>
      </c>
      <c r="J4384" t="s">
        <v>75</v>
      </c>
      <c r="K4384">
        <v>1</v>
      </c>
      <c r="L4384" t="s">
        <v>23</v>
      </c>
      <c r="M4384" t="s">
        <v>61</v>
      </c>
      <c r="N4384" t="s">
        <v>34</v>
      </c>
      <c r="O4384">
        <v>0</v>
      </c>
      <c r="P4384" t="s">
        <v>58</v>
      </c>
      <c r="Q4384" t="s">
        <v>26</v>
      </c>
      <c r="R4384" s="1">
        <v>0.1</v>
      </c>
      <c r="S4384">
        <f t="shared" si="272"/>
        <v>1190.502</v>
      </c>
      <c r="T4384">
        <f>IFERROR(VLOOKUP(A4384,Table1[[Customer ID]:[Discount Amount]], 6, FALSE),"Not Found")</f>
        <v>1322.78</v>
      </c>
      <c r="U4384" t="str">
        <f t="shared" si="273"/>
        <v>PayPal</v>
      </c>
      <c r="V4384" s="4" t="str">
        <f t="shared" si="274"/>
        <v>Normal</v>
      </c>
      <c r="W4384" s="4" t="str">
        <f t="shared" si="275"/>
        <v>Poor</v>
      </c>
      <c r="X4384" s="4">
        <f>AVERAGE(Table1[Purchase Amount])</f>
        <v>129.48419400000012</v>
      </c>
    </row>
    <row r="4385" spans="1:24" ht="15" customHeight="1" x14ac:dyDescent="0.25">
      <c r="A4385">
        <v>4483</v>
      </c>
      <c r="B4385">
        <v>57</v>
      </c>
      <c r="C4385" t="s">
        <v>71</v>
      </c>
      <c r="D4385" t="s">
        <v>38</v>
      </c>
      <c r="E4385" t="s">
        <v>81</v>
      </c>
      <c r="F4385" s="2">
        <v>0</v>
      </c>
      <c r="G4385" t="s">
        <v>73</v>
      </c>
      <c r="H4385" t="s">
        <v>31</v>
      </c>
      <c r="I4385" t="s">
        <v>93</v>
      </c>
      <c r="J4385" t="s">
        <v>57</v>
      </c>
      <c r="K4385">
        <v>5</v>
      </c>
      <c r="L4385" t="s">
        <v>34</v>
      </c>
      <c r="M4385" t="s">
        <v>24</v>
      </c>
      <c r="N4385" t="s">
        <v>23</v>
      </c>
      <c r="O4385">
        <v>0</v>
      </c>
      <c r="P4385" t="s">
        <v>58</v>
      </c>
      <c r="Q4385" t="s">
        <v>26</v>
      </c>
      <c r="R4385" s="1">
        <v>0.1</v>
      </c>
      <c r="S4385">
        <f t="shared" si="272"/>
        <v>0</v>
      </c>
      <c r="T4385">
        <f>IFERROR(VLOOKUP(A4385,Table1[[Customer ID]:[Discount Amount]], 6, FALSE),"Not Found")</f>
        <v>0</v>
      </c>
      <c r="U4385" t="str">
        <f t="shared" si="273"/>
        <v>PayPal</v>
      </c>
      <c r="V4385" s="4" t="str">
        <f t="shared" si="274"/>
        <v>Normal</v>
      </c>
      <c r="W4385" s="4" t="str">
        <f t="shared" si="275"/>
        <v>Good</v>
      </c>
      <c r="X4385" s="4">
        <f>AVERAGE(Table1[Purchase Amount])</f>
        <v>129.48419400000012</v>
      </c>
    </row>
    <row r="4386" spans="1:24" ht="15" customHeight="1" x14ac:dyDescent="0.25">
      <c r="A4386">
        <v>4484</v>
      </c>
      <c r="B4386">
        <v>70</v>
      </c>
      <c r="C4386" t="s">
        <v>71</v>
      </c>
      <c r="D4386" t="s">
        <v>95</v>
      </c>
      <c r="E4386" t="s">
        <v>29</v>
      </c>
      <c r="F4386" s="2">
        <v>1104.47</v>
      </c>
      <c r="G4386" t="s">
        <v>73</v>
      </c>
      <c r="H4386" t="s">
        <v>45</v>
      </c>
      <c r="I4386" t="s">
        <v>93</v>
      </c>
      <c r="J4386" t="s">
        <v>33</v>
      </c>
      <c r="K4386">
        <v>1</v>
      </c>
      <c r="L4386" t="s">
        <v>23</v>
      </c>
      <c r="M4386" t="s">
        <v>61</v>
      </c>
      <c r="N4386" t="s">
        <v>34</v>
      </c>
      <c r="O4386">
        <v>10</v>
      </c>
      <c r="P4386" t="s">
        <v>58</v>
      </c>
      <c r="Q4386" t="s">
        <v>42</v>
      </c>
      <c r="R4386" s="1">
        <v>0.1</v>
      </c>
      <c r="S4386">
        <f t="shared" si="272"/>
        <v>994.02300000000002</v>
      </c>
      <c r="T4386">
        <f>IFERROR(VLOOKUP(A4386,Table1[[Customer ID]:[Discount Amount]], 6, FALSE),"Not Found")</f>
        <v>1104.47</v>
      </c>
      <c r="U4386" t="str">
        <f t="shared" si="273"/>
        <v>PayPal</v>
      </c>
      <c r="V4386" s="4" t="str">
        <f t="shared" si="274"/>
        <v>Normal</v>
      </c>
      <c r="W4386" s="4" t="str">
        <f t="shared" si="275"/>
        <v>Poor</v>
      </c>
      <c r="X4386" s="4">
        <f>AVERAGE(Table1[Purchase Amount])</f>
        <v>129.48419400000012</v>
      </c>
    </row>
    <row r="4387" spans="1:24" ht="15" customHeight="1" x14ac:dyDescent="0.25">
      <c r="A4387">
        <v>4485</v>
      </c>
      <c r="B4387">
        <v>37</v>
      </c>
      <c r="C4387" t="s">
        <v>16</v>
      </c>
      <c r="D4387" t="s">
        <v>116</v>
      </c>
      <c r="E4387" t="s">
        <v>18</v>
      </c>
      <c r="F4387" s="2">
        <v>282.95</v>
      </c>
      <c r="G4387" t="s">
        <v>126</v>
      </c>
      <c r="H4387" t="s">
        <v>20</v>
      </c>
      <c r="I4387" t="s">
        <v>74</v>
      </c>
      <c r="J4387" t="s">
        <v>22</v>
      </c>
      <c r="K4387">
        <v>2</v>
      </c>
      <c r="L4387" t="s">
        <v>23</v>
      </c>
      <c r="M4387" t="s">
        <v>24</v>
      </c>
      <c r="N4387" t="s">
        <v>23</v>
      </c>
      <c r="O4387">
        <v>0</v>
      </c>
      <c r="P4387" t="s">
        <v>53</v>
      </c>
      <c r="Q4387" t="s">
        <v>42</v>
      </c>
      <c r="R4387" s="1">
        <v>0.1</v>
      </c>
      <c r="S4387">
        <f t="shared" si="272"/>
        <v>254.65499999999997</v>
      </c>
      <c r="T4387">
        <f>IFERROR(VLOOKUP(A4387,Table1[[Customer ID]:[Discount Amount]], 6, FALSE),"Not Found")</f>
        <v>282.95</v>
      </c>
      <c r="U4387" t="str">
        <f t="shared" si="273"/>
        <v>Credit Card</v>
      </c>
      <c r="V4387" s="4" t="str">
        <f t="shared" si="274"/>
        <v>Normal</v>
      </c>
      <c r="W4387" s="4" t="str">
        <f t="shared" si="275"/>
        <v>Poor</v>
      </c>
      <c r="X4387" s="4">
        <f>AVERAGE(Table1[Purchase Amount])</f>
        <v>129.48419400000012</v>
      </c>
    </row>
    <row r="4388" spans="1:24" ht="15" customHeight="1" x14ac:dyDescent="0.25">
      <c r="A4388">
        <v>4486</v>
      </c>
      <c r="B4388">
        <v>50</v>
      </c>
      <c r="C4388" t="s">
        <v>16</v>
      </c>
      <c r="D4388" t="s">
        <v>116</v>
      </c>
      <c r="E4388" t="s">
        <v>29</v>
      </c>
      <c r="F4388" s="2">
        <v>0</v>
      </c>
      <c r="G4388" t="s">
        <v>126</v>
      </c>
      <c r="H4388" t="s">
        <v>31</v>
      </c>
      <c r="I4388" t="s">
        <v>74</v>
      </c>
      <c r="J4388" t="s">
        <v>22</v>
      </c>
      <c r="K4388">
        <v>1</v>
      </c>
      <c r="L4388" t="s">
        <v>23</v>
      </c>
      <c r="M4388" t="s">
        <v>24</v>
      </c>
      <c r="N4388" t="s">
        <v>23</v>
      </c>
      <c r="O4388">
        <v>21</v>
      </c>
      <c r="P4388" t="s">
        <v>53</v>
      </c>
      <c r="Q4388" t="s">
        <v>42</v>
      </c>
      <c r="R4388" s="1">
        <v>0.1</v>
      </c>
      <c r="S4388">
        <f t="shared" si="272"/>
        <v>0</v>
      </c>
      <c r="T4388">
        <f>IFERROR(VLOOKUP(A4388,Table1[[Customer ID]:[Discount Amount]], 6, FALSE),"Not Found")</f>
        <v>0</v>
      </c>
      <c r="U4388" t="str">
        <f t="shared" si="273"/>
        <v>Credit Card</v>
      </c>
      <c r="V4388" s="4" t="str">
        <f t="shared" si="274"/>
        <v>Normal</v>
      </c>
      <c r="W4388" s="4" t="str">
        <f t="shared" si="275"/>
        <v>Poor</v>
      </c>
      <c r="X4388" s="4">
        <f>AVERAGE(Table1[Purchase Amount])</f>
        <v>129.48419400000012</v>
      </c>
    </row>
    <row r="4389" spans="1:24" ht="15" customHeight="1" x14ac:dyDescent="0.25">
      <c r="A4389">
        <v>4487</v>
      </c>
      <c r="B4389">
        <v>23</v>
      </c>
      <c r="C4389" t="s">
        <v>16</v>
      </c>
      <c r="D4389" t="s">
        <v>80</v>
      </c>
      <c r="E4389" t="s">
        <v>29</v>
      </c>
      <c r="F4389" s="2">
        <v>0</v>
      </c>
      <c r="G4389" t="s">
        <v>73</v>
      </c>
      <c r="H4389" t="s">
        <v>55</v>
      </c>
      <c r="I4389" t="s">
        <v>93</v>
      </c>
      <c r="J4389" t="s">
        <v>57</v>
      </c>
      <c r="K4389">
        <v>5</v>
      </c>
      <c r="L4389" t="s">
        <v>23</v>
      </c>
      <c r="M4389" t="s">
        <v>61</v>
      </c>
      <c r="N4389" t="s">
        <v>34</v>
      </c>
      <c r="O4389">
        <v>0</v>
      </c>
      <c r="P4389" t="s">
        <v>53</v>
      </c>
      <c r="Q4389" t="s">
        <v>37</v>
      </c>
      <c r="R4389" s="1">
        <v>0.1</v>
      </c>
      <c r="S4389">
        <f t="shared" si="272"/>
        <v>0</v>
      </c>
      <c r="T4389">
        <f>IFERROR(VLOOKUP(A4389,Table1[[Customer ID]:[Discount Amount]], 6, FALSE),"Not Found")</f>
        <v>0</v>
      </c>
      <c r="U4389" t="str">
        <f t="shared" si="273"/>
        <v>Credit Card</v>
      </c>
      <c r="V4389" s="4" t="str">
        <f t="shared" si="274"/>
        <v>Normal</v>
      </c>
      <c r="W4389" s="4" t="str">
        <f t="shared" si="275"/>
        <v>Good</v>
      </c>
      <c r="X4389" s="4">
        <f>AVERAGE(Table1[Purchase Amount])</f>
        <v>129.48419400000012</v>
      </c>
    </row>
    <row r="4390" spans="1:24" ht="15" customHeight="1" x14ac:dyDescent="0.25">
      <c r="A4390">
        <v>4488</v>
      </c>
      <c r="B4390">
        <v>48</v>
      </c>
      <c r="C4390" t="s">
        <v>71</v>
      </c>
      <c r="D4390" t="s">
        <v>116</v>
      </c>
      <c r="E4390" t="s">
        <v>18</v>
      </c>
      <c r="F4390" s="2">
        <v>1375.93</v>
      </c>
      <c r="G4390" t="s">
        <v>139</v>
      </c>
      <c r="H4390" t="s">
        <v>45</v>
      </c>
      <c r="I4390" t="s">
        <v>93</v>
      </c>
      <c r="J4390" t="s">
        <v>33</v>
      </c>
      <c r="K4390">
        <v>1</v>
      </c>
      <c r="L4390" t="s">
        <v>34</v>
      </c>
      <c r="M4390" t="s">
        <v>24</v>
      </c>
      <c r="N4390" t="s">
        <v>23</v>
      </c>
      <c r="O4390">
        <v>0</v>
      </c>
      <c r="P4390" t="s">
        <v>25</v>
      </c>
      <c r="Q4390" t="s">
        <v>42</v>
      </c>
      <c r="R4390" s="1">
        <v>0.1</v>
      </c>
      <c r="S4390">
        <f t="shared" si="272"/>
        <v>1238.337</v>
      </c>
      <c r="T4390">
        <f>IFERROR(VLOOKUP(A4390,Table1[[Customer ID]:[Discount Amount]], 6, FALSE),"Not Found")</f>
        <v>1375.93</v>
      </c>
      <c r="U4390" t="str">
        <f t="shared" si="273"/>
        <v>Cash</v>
      </c>
      <c r="V4390" s="4" t="str">
        <f t="shared" si="274"/>
        <v>Normal</v>
      </c>
      <c r="W4390" s="4" t="str">
        <f t="shared" si="275"/>
        <v>Poor</v>
      </c>
      <c r="X4390" s="4">
        <f>AVERAGE(Table1[Purchase Amount])</f>
        <v>129.48419400000012</v>
      </c>
    </row>
    <row r="4391" spans="1:24" ht="15" customHeight="1" x14ac:dyDescent="0.25">
      <c r="A4391">
        <v>4489</v>
      </c>
      <c r="B4391">
        <v>36</v>
      </c>
      <c r="C4391" t="s">
        <v>16</v>
      </c>
      <c r="D4391" t="s">
        <v>95</v>
      </c>
      <c r="E4391" t="s">
        <v>29</v>
      </c>
      <c r="F4391" s="2">
        <v>748.61</v>
      </c>
      <c r="G4391" t="s">
        <v>82</v>
      </c>
      <c r="H4391" t="s">
        <v>45</v>
      </c>
      <c r="I4391" t="s">
        <v>46</v>
      </c>
      <c r="J4391" t="s">
        <v>57</v>
      </c>
      <c r="K4391">
        <v>1</v>
      </c>
      <c r="L4391" t="s">
        <v>23</v>
      </c>
      <c r="M4391" t="s">
        <v>61</v>
      </c>
      <c r="N4391" t="s">
        <v>23</v>
      </c>
      <c r="O4391">
        <v>0</v>
      </c>
      <c r="P4391" t="s">
        <v>58</v>
      </c>
      <c r="Q4391" t="s">
        <v>42</v>
      </c>
      <c r="R4391" s="1">
        <v>0.1</v>
      </c>
      <c r="S4391">
        <f t="shared" si="272"/>
        <v>673.74900000000002</v>
      </c>
      <c r="T4391">
        <f>IFERROR(VLOOKUP(A4391,Table1[[Customer ID]:[Discount Amount]], 6, FALSE),"Not Found")</f>
        <v>748.61</v>
      </c>
      <c r="U4391" t="str">
        <f t="shared" si="273"/>
        <v>PayPal</v>
      </c>
      <c r="V4391" s="4" t="str">
        <f t="shared" si="274"/>
        <v>Normal</v>
      </c>
      <c r="W4391" s="4" t="str">
        <f t="shared" si="275"/>
        <v>Poor</v>
      </c>
      <c r="X4391" s="4">
        <f>AVERAGE(Table1[Purchase Amount])</f>
        <v>129.48419400000012</v>
      </c>
    </row>
    <row r="4392" spans="1:24" ht="15" customHeight="1" x14ac:dyDescent="0.25">
      <c r="A4392">
        <v>4490</v>
      </c>
      <c r="B4392">
        <v>34</v>
      </c>
      <c r="C4392" t="s">
        <v>16</v>
      </c>
      <c r="D4392" t="s">
        <v>72</v>
      </c>
      <c r="E4392" t="s">
        <v>81</v>
      </c>
      <c r="F4392" s="2">
        <v>0</v>
      </c>
      <c r="G4392" t="s">
        <v>101</v>
      </c>
      <c r="H4392" t="s">
        <v>31</v>
      </c>
      <c r="I4392" t="s">
        <v>32</v>
      </c>
      <c r="J4392" t="s">
        <v>57</v>
      </c>
      <c r="K4392">
        <v>5</v>
      </c>
      <c r="L4392" t="s">
        <v>34</v>
      </c>
      <c r="M4392" t="s">
        <v>61</v>
      </c>
      <c r="N4392" t="s">
        <v>23</v>
      </c>
      <c r="O4392">
        <v>10</v>
      </c>
      <c r="P4392" t="s">
        <v>58</v>
      </c>
      <c r="Q4392" t="s">
        <v>42</v>
      </c>
      <c r="R4392" s="1">
        <v>0.1</v>
      </c>
      <c r="S4392">
        <f t="shared" si="272"/>
        <v>0</v>
      </c>
      <c r="T4392">
        <f>IFERROR(VLOOKUP(A4392,Table1[[Customer ID]:[Discount Amount]], 6, FALSE),"Not Found")</f>
        <v>0</v>
      </c>
      <c r="U4392" t="str">
        <f t="shared" si="273"/>
        <v>PayPal</v>
      </c>
      <c r="V4392" s="4" t="str">
        <f t="shared" si="274"/>
        <v>Normal</v>
      </c>
      <c r="W4392" s="4" t="str">
        <f t="shared" si="275"/>
        <v>Good</v>
      </c>
      <c r="X4392" s="4">
        <f>AVERAGE(Table1[Purchase Amount])</f>
        <v>129.48419400000012</v>
      </c>
    </row>
    <row r="4393" spans="1:24" ht="15" customHeight="1" x14ac:dyDescent="0.25">
      <c r="A4393">
        <v>4491</v>
      </c>
      <c r="B4393">
        <v>38</v>
      </c>
      <c r="C4393" t="s">
        <v>71</v>
      </c>
      <c r="D4393" t="s">
        <v>72</v>
      </c>
      <c r="E4393" t="s">
        <v>29</v>
      </c>
      <c r="F4393" s="2">
        <v>0</v>
      </c>
      <c r="G4393" t="s">
        <v>126</v>
      </c>
      <c r="H4393" t="s">
        <v>55</v>
      </c>
      <c r="I4393" t="s">
        <v>46</v>
      </c>
      <c r="J4393" t="s">
        <v>75</v>
      </c>
      <c r="K4393">
        <v>2</v>
      </c>
      <c r="L4393" t="s">
        <v>34</v>
      </c>
      <c r="M4393" t="s">
        <v>24</v>
      </c>
      <c r="N4393" t="s">
        <v>34</v>
      </c>
      <c r="O4393">
        <v>11</v>
      </c>
      <c r="P4393" t="s">
        <v>58</v>
      </c>
      <c r="Q4393" t="s">
        <v>26</v>
      </c>
      <c r="R4393" s="1">
        <v>0.1</v>
      </c>
      <c r="S4393">
        <f t="shared" si="272"/>
        <v>0</v>
      </c>
      <c r="T4393">
        <f>IFERROR(VLOOKUP(A4393,Table1[[Customer ID]:[Discount Amount]], 6, FALSE),"Not Found")</f>
        <v>0</v>
      </c>
      <c r="U4393" t="str">
        <f t="shared" si="273"/>
        <v>PayPal</v>
      </c>
      <c r="V4393" s="4" t="str">
        <f t="shared" si="274"/>
        <v>Normal</v>
      </c>
      <c r="W4393" s="4" t="str">
        <f t="shared" si="275"/>
        <v>Poor</v>
      </c>
      <c r="X4393" s="4">
        <f>AVERAGE(Table1[Purchase Amount])</f>
        <v>129.48419400000012</v>
      </c>
    </row>
    <row r="4394" spans="1:24" ht="15" customHeight="1" x14ac:dyDescent="0.25">
      <c r="A4394">
        <v>4492</v>
      </c>
      <c r="B4394">
        <v>59</v>
      </c>
      <c r="C4394" t="s">
        <v>16</v>
      </c>
      <c r="D4394" t="s">
        <v>80</v>
      </c>
      <c r="E4394" t="s">
        <v>18</v>
      </c>
      <c r="F4394" s="2">
        <v>0</v>
      </c>
      <c r="G4394" t="s">
        <v>73</v>
      </c>
      <c r="H4394" t="s">
        <v>31</v>
      </c>
      <c r="I4394" t="s">
        <v>93</v>
      </c>
      <c r="J4394" t="s">
        <v>33</v>
      </c>
      <c r="K4394">
        <v>1</v>
      </c>
      <c r="L4394" t="s">
        <v>34</v>
      </c>
      <c r="M4394" t="s">
        <v>24</v>
      </c>
      <c r="N4394" t="s">
        <v>34</v>
      </c>
      <c r="O4394">
        <v>38</v>
      </c>
      <c r="P4394" t="s">
        <v>36</v>
      </c>
      <c r="Q4394" t="s">
        <v>26</v>
      </c>
      <c r="R4394" s="1">
        <v>0.1</v>
      </c>
      <c r="S4394">
        <f t="shared" si="272"/>
        <v>0</v>
      </c>
      <c r="T4394">
        <f>IFERROR(VLOOKUP(A4394,Table1[[Customer ID]:[Discount Amount]], 6, FALSE),"Not Found")</f>
        <v>0</v>
      </c>
      <c r="U4394" t="str">
        <f t="shared" si="273"/>
        <v>Debit Card</v>
      </c>
      <c r="V4394" s="4" t="str">
        <f t="shared" si="274"/>
        <v>Normal</v>
      </c>
      <c r="W4394" s="4" t="str">
        <f t="shared" si="275"/>
        <v>Poor</v>
      </c>
      <c r="X4394" s="4">
        <f>AVERAGE(Table1[Purchase Amount])</f>
        <v>129.48419400000012</v>
      </c>
    </row>
    <row r="4395" spans="1:24" ht="15" customHeight="1" x14ac:dyDescent="0.25">
      <c r="A4395">
        <v>4493</v>
      </c>
      <c r="B4395">
        <v>20</v>
      </c>
      <c r="C4395" t="s">
        <v>27</v>
      </c>
      <c r="D4395" t="s">
        <v>80</v>
      </c>
      <c r="E4395" t="s">
        <v>81</v>
      </c>
      <c r="F4395" s="2">
        <v>764.9</v>
      </c>
      <c r="G4395" t="s">
        <v>139</v>
      </c>
      <c r="H4395" t="s">
        <v>31</v>
      </c>
      <c r="I4395" t="s">
        <v>93</v>
      </c>
      <c r="J4395" t="s">
        <v>75</v>
      </c>
      <c r="K4395">
        <v>1</v>
      </c>
      <c r="L4395" t="s">
        <v>23</v>
      </c>
      <c r="M4395" t="s">
        <v>24</v>
      </c>
      <c r="N4395" t="s">
        <v>23</v>
      </c>
      <c r="O4395">
        <v>30</v>
      </c>
      <c r="P4395" t="s">
        <v>25</v>
      </c>
      <c r="Q4395" t="s">
        <v>37</v>
      </c>
      <c r="R4395" s="1">
        <v>0.1</v>
      </c>
      <c r="S4395">
        <f t="shared" si="272"/>
        <v>688.41</v>
      </c>
      <c r="T4395">
        <f>IFERROR(VLOOKUP(A4395,Table1[[Customer ID]:[Discount Amount]], 6, FALSE),"Not Found")</f>
        <v>764.9</v>
      </c>
      <c r="U4395" t="str">
        <f t="shared" si="273"/>
        <v>Cash</v>
      </c>
      <c r="V4395" s="4" t="str">
        <f t="shared" si="274"/>
        <v>Normal</v>
      </c>
      <c r="W4395" s="4" t="str">
        <f t="shared" si="275"/>
        <v>Poor</v>
      </c>
      <c r="X4395" s="4">
        <f>AVERAGE(Table1[Purchase Amount])</f>
        <v>129.48419400000012</v>
      </c>
    </row>
    <row r="4396" spans="1:24" ht="15" customHeight="1" x14ac:dyDescent="0.25">
      <c r="A4396">
        <v>4494</v>
      </c>
      <c r="B4396">
        <v>35</v>
      </c>
      <c r="C4396" t="s">
        <v>16</v>
      </c>
      <c r="D4396" t="s">
        <v>80</v>
      </c>
      <c r="E4396" t="s">
        <v>29</v>
      </c>
      <c r="F4396" s="2">
        <v>372.79</v>
      </c>
      <c r="G4396" t="s">
        <v>126</v>
      </c>
      <c r="H4396" t="s">
        <v>45</v>
      </c>
      <c r="I4396" t="s">
        <v>74</v>
      </c>
      <c r="J4396" t="s">
        <v>57</v>
      </c>
      <c r="K4396">
        <v>1</v>
      </c>
      <c r="L4396" t="s">
        <v>23</v>
      </c>
      <c r="M4396" t="s">
        <v>24</v>
      </c>
      <c r="N4396" t="s">
        <v>34</v>
      </c>
      <c r="O4396">
        <v>49</v>
      </c>
      <c r="P4396" t="s">
        <v>58</v>
      </c>
      <c r="Q4396" t="s">
        <v>42</v>
      </c>
      <c r="R4396" s="1">
        <v>0.1</v>
      </c>
      <c r="S4396">
        <f t="shared" si="272"/>
        <v>335.51100000000002</v>
      </c>
      <c r="T4396">
        <f>IFERROR(VLOOKUP(A4396,Table1[[Customer ID]:[Discount Amount]], 6, FALSE),"Not Found")</f>
        <v>372.79</v>
      </c>
      <c r="U4396" t="str">
        <f t="shared" si="273"/>
        <v>PayPal</v>
      </c>
      <c r="V4396" s="4" t="str">
        <f t="shared" si="274"/>
        <v>Normal</v>
      </c>
      <c r="W4396" s="4" t="str">
        <f t="shared" si="275"/>
        <v>Poor</v>
      </c>
      <c r="X4396" s="4">
        <f>AVERAGE(Table1[Purchase Amount])</f>
        <v>129.48419400000012</v>
      </c>
    </row>
    <row r="4397" spans="1:24" ht="15" customHeight="1" x14ac:dyDescent="0.25">
      <c r="A4397">
        <v>4495</v>
      </c>
      <c r="B4397">
        <v>21</v>
      </c>
      <c r="C4397" t="s">
        <v>16</v>
      </c>
      <c r="D4397" t="s">
        <v>80</v>
      </c>
      <c r="E4397" t="s">
        <v>81</v>
      </c>
      <c r="F4397" s="2">
        <v>711.4</v>
      </c>
      <c r="G4397" t="s">
        <v>82</v>
      </c>
      <c r="H4397" t="s">
        <v>31</v>
      </c>
      <c r="I4397" t="s">
        <v>40</v>
      </c>
      <c r="J4397" t="s">
        <v>75</v>
      </c>
      <c r="K4397">
        <v>1</v>
      </c>
      <c r="L4397" t="s">
        <v>23</v>
      </c>
      <c r="M4397" t="s">
        <v>24</v>
      </c>
      <c r="N4397" t="s">
        <v>23</v>
      </c>
      <c r="O4397">
        <v>35</v>
      </c>
      <c r="P4397" t="s">
        <v>58</v>
      </c>
      <c r="Q4397" t="s">
        <v>42</v>
      </c>
      <c r="R4397" s="1">
        <v>0.1</v>
      </c>
      <c r="S4397">
        <f t="shared" si="272"/>
        <v>640.26</v>
      </c>
      <c r="T4397">
        <f>IFERROR(VLOOKUP(A4397,Table1[[Customer ID]:[Discount Amount]], 6, FALSE),"Not Found")</f>
        <v>711.4</v>
      </c>
      <c r="U4397" t="str">
        <f t="shared" si="273"/>
        <v>PayPal</v>
      </c>
      <c r="V4397" s="4" t="str">
        <f t="shared" si="274"/>
        <v>Normal</v>
      </c>
      <c r="W4397" s="4" t="str">
        <f t="shared" si="275"/>
        <v>Poor</v>
      </c>
      <c r="X4397" s="4">
        <f>AVERAGE(Table1[Purchase Amount])</f>
        <v>129.48419400000012</v>
      </c>
    </row>
    <row r="4398" spans="1:24" ht="15" customHeight="1" x14ac:dyDescent="0.25">
      <c r="A4398">
        <v>4496</v>
      </c>
      <c r="B4398">
        <v>22</v>
      </c>
      <c r="C4398" t="s">
        <v>27</v>
      </c>
      <c r="D4398" t="s">
        <v>112</v>
      </c>
      <c r="E4398" t="s">
        <v>29</v>
      </c>
      <c r="F4398" s="2">
        <v>1246.93</v>
      </c>
      <c r="G4398" t="s">
        <v>139</v>
      </c>
      <c r="H4398" t="s">
        <v>55</v>
      </c>
      <c r="I4398" t="s">
        <v>46</v>
      </c>
      <c r="J4398" t="s">
        <v>33</v>
      </c>
      <c r="K4398">
        <v>1</v>
      </c>
      <c r="L4398" t="s">
        <v>34</v>
      </c>
      <c r="M4398" t="s">
        <v>24</v>
      </c>
      <c r="N4398" t="s">
        <v>23</v>
      </c>
      <c r="O4398">
        <v>45</v>
      </c>
      <c r="P4398" t="s">
        <v>53</v>
      </c>
      <c r="Q4398" t="s">
        <v>42</v>
      </c>
      <c r="R4398" s="1">
        <v>0.1</v>
      </c>
      <c r="S4398">
        <f t="shared" si="272"/>
        <v>1122.2370000000001</v>
      </c>
      <c r="T4398">
        <f>IFERROR(VLOOKUP(A4398,Table1[[Customer ID]:[Discount Amount]], 6, FALSE),"Not Found")</f>
        <v>1246.93</v>
      </c>
      <c r="U4398" t="str">
        <f t="shared" si="273"/>
        <v>Credit Card</v>
      </c>
      <c r="V4398" s="4" t="str">
        <f t="shared" si="274"/>
        <v>Normal</v>
      </c>
      <c r="W4398" s="4" t="str">
        <f t="shared" si="275"/>
        <v>Poor</v>
      </c>
      <c r="X4398" s="4">
        <f>AVERAGE(Table1[Purchase Amount])</f>
        <v>129.48419400000012</v>
      </c>
    </row>
    <row r="4399" spans="1:24" ht="15" customHeight="1" x14ac:dyDescent="0.25">
      <c r="A4399">
        <v>4497</v>
      </c>
      <c r="B4399">
        <v>63</v>
      </c>
      <c r="C4399" t="s">
        <v>16</v>
      </c>
      <c r="D4399" t="s">
        <v>117</v>
      </c>
      <c r="E4399" t="s">
        <v>18</v>
      </c>
      <c r="F4399" s="2">
        <v>1127.02</v>
      </c>
      <c r="G4399" t="s">
        <v>101</v>
      </c>
      <c r="H4399" t="s">
        <v>45</v>
      </c>
      <c r="I4399" t="s">
        <v>40</v>
      </c>
      <c r="J4399" t="s">
        <v>22</v>
      </c>
      <c r="K4399">
        <v>4</v>
      </c>
      <c r="L4399" t="s">
        <v>23</v>
      </c>
      <c r="M4399" t="s">
        <v>24</v>
      </c>
      <c r="N4399" t="s">
        <v>34</v>
      </c>
      <c r="O4399">
        <v>0</v>
      </c>
      <c r="P4399" t="s">
        <v>53</v>
      </c>
      <c r="Q4399" t="s">
        <v>37</v>
      </c>
      <c r="R4399" s="1">
        <v>0.1</v>
      </c>
      <c r="S4399">
        <f t="shared" si="272"/>
        <v>1014.318</v>
      </c>
      <c r="T4399">
        <f>IFERROR(VLOOKUP(A4399,Table1[[Customer ID]:[Discount Amount]], 6, FALSE),"Not Found")</f>
        <v>1127.02</v>
      </c>
      <c r="U4399" t="str">
        <f t="shared" si="273"/>
        <v>Credit Card</v>
      </c>
      <c r="V4399" s="4" t="str">
        <f t="shared" si="274"/>
        <v>Best Customer</v>
      </c>
      <c r="W4399" s="4" t="str">
        <f t="shared" si="275"/>
        <v>Good</v>
      </c>
      <c r="X4399" s="4">
        <f>AVERAGE(Table1[Purchase Amount])</f>
        <v>129.48419400000012</v>
      </c>
    </row>
    <row r="4400" spans="1:24" ht="15" customHeight="1" x14ac:dyDescent="0.25">
      <c r="A4400">
        <v>4498</v>
      </c>
      <c r="B4400">
        <v>18</v>
      </c>
      <c r="C4400" t="s">
        <v>16</v>
      </c>
      <c r="D4400" t="s">
        <v>116</v>
      </c>
      <c r="E4400" t="s">
        <v>81</v>
      </c>
      <c r="F4400" s="2">
        <v>0</v>
      </c>
      <c r="G4400" t="s">
        <v>73</v>
      </c>
      <c r="H4400" t="s">
        <v>31</v>
      </c>
      <c r="I4400" t="s">
        <v>32</v>
      </c>
      <c r="J4400" t="s">
        <v>75</v>
      </c>
      <c r="K4400">
        <v>5</v>
      </c>
      <c r="L4400" t="s">
        <v>23</v>
      </c>
      <c r="M4400" t="s">
        <v>24</v>
      </c>
      <c r="N4400" t="s">
        <v>23</v>
      </c>
      <c r="O4400">
        <v>15</v>
      </c>
      <c r="P4400" t="s">
        <v>53</v>
      </c>
      <c r="Q4400" t="s">
        <v>26</v>
      </c>
      <c r="R4400" s="1">
        <v>0.1</v>
      </c>
      <c r="S4400">
        <f t="shared" si="272"/>
        <v>0</v>
      </c>
      <c r="T4400">
        <f>IFERROR(VLOOKUP(A4400,Table1[[Customer ID]:[Discount Amount]], 6, FALSE),"Not Found")</f>
        <v>0</v>
      </c>
      <c r="U4400" t="str">
        <f t="shared" si="273"/>
        <v>Credit Card</v>
      </c>
      <c r="V4400" s="4" t="str">
        <f t="shared" si="274"/>
        <v>Normal</v>
      </c>
      <c r="W4400" s="4" t="str">
        <f t="shared" si="275"/>
        <v>Good</v>
      </c>
      <c r="X4400" s="4">
        <f>AVERAGE(Table1[Purchase Amount])</f>
        <v>129.48419400000012</v>
      </c>
    </row>
    <row r="4401" spans="1:24" ht="15" customHeight="1" x14ac:dyDescent="0.25">
      <c r="A4401">
        <v>4499</v>
      </c>
      <c r="B4401">
        <v>49</v>
      </c>
      <c r="C4401" t="s">
        <v>16</v>
      </c>
      <c r="D4401" t="s">
        <v>95</v>
      </c>
      <c r="E4401" t="s">
        <v>29</v>
      </c>
      <c r="F4401" s="2">
        <v>0</v>
      </c>
      <c r="G4401" t="s">
        <v>82</v>
      </c>
      <c r="H4401" t="s">
        <v>55</v>
      </c>
      <c r="I4401" t="s">
        <v>40</v>
      </c>
      <c r="J4401" t="s">
        <v>57</v>
      </c>
      <c r="K4401">
        <v>1</v>
      </c>
      <c r="L4401" t="s">
        <v>23</v>
      </c>
      <c r="M4401" t="s">
        <v>61</v>
      </c>
      <c r="N4401" t="s">
        <v>34</v>
      </c>
      <c r="O4401">
        <v>36</v>
      </c>
      <c r="P4401" t="s">
        <v>25</v>
      </c>
      <c r="Q4401" t="s">
        <v>42</v>
      </c>
      <c r="R4401" s="1">
        <v>0.1</v>
      </c>
      <c r="S4401">
        <f t="shared" si="272"/>
        <v>0</v>
      </c>
      <c r="T4401">
        <f>IFERROR(VLOOKUP(A4401,Table1[[Customer ID]:[Discount Amount]], 6, FALSE),"Not Found")</f>
        <v>0</v>
      </c>
      <c r="U4401" t="str">
        <f t="shared" si="273"/>
        <v>Cash</v>
      </c>
      <c r="V4401" s="4" t="str">
        <f t="shared" si="274"/>
        <v>Normal</v>
      </c>
      <c r="W4401" s="4" t="str">
        <f t="shared" si="275"/>
        <v>Poor</v>
      </c>
      <c r="X4401" s="4">
        <f>AVERAGE(Table1[Purchase Amount])</f>
        <v>129.48419400000012</v>
      </c>
    </row>
    <row r="4402" spans="1:24" ht="15" customHeight="1" x14ac:dyDescent="0.25">
      <c r="A4402">
        <v>4500</v>
      </c>
      <c r="B4402">
        <v>22</v>
      </c>
      <c r="C4402" t="s">
        <v>16</v>
      </c>
      <c r="D4402" t="s">
        <v>112</v>
      </c>
      <c r="E4402" t="s">
        <v>81</v>
      </c>
      <c r="F4402" s="2">
        <v>0</v>
      </c>
      <c r="G4402" t="s">
        <v>73</v>
      </c>
      <c r="H4402" t="s">
        <v>31</v>
      </c>
      <c r="I4402" t="s">
        <v>40</v>
      </c>
      <c r="J4402" t="s">
        <v>22</v>
      </c>
      <c r="K4402">
        <v>1</v>
      </c>
      <c r="L4402" t="s">
        <v>23</v>
      </c>
      <c r="M4402" t="s">
        <v>24</v>
      </c>
      <c r="N4402" t="s">
        <v>34</v>
      </c>
      <c r="O4402">
        <v>39</v>
      </c>
      <c r="P4402" t="s">
        <v>53</v>
      </c>
      <c r="Q4402" t="s">
        <v>26</v>
      </c>
      <c r="R4402" s="1">
        <v>0.1</v>
      </c>
      <c r="S4402">
        <f t="shared" si="272"/>
        <v>0</v>
      </c>
      <c r="T4402">
        <f>IFERROR(VLOOKUP(A4402,Table1[[Customer ID]:[Discount Amount]], 6, FALSE),"Not Found")</f>
        <v>0</v>
      </c>
      <c r="U4402" t="str">
        <f t="shared" si="273"/>
        <v>Credit Card</v>
      </c>
      <c r="V4402" s="4" t="str">
        <f t="shared" si="274"/>
        <v>Normal</v>
      </c>
      <c r="W4402" s="4" t="str">
        <f t="shared" si="275"/>
        <v>Poor</v>
      </c>
      <c r="X4402" s="4">
        <f>AVERAGE(Table1[Purchase Amount])</f>
        <v>129.48419400000012</v>
      </c>
    </row>
    <row r="4403" spans="1:24" ht="15" customHeight="1" x14ac:dyDescent="0.25">
      <c r="A4403">
        <v>4501</v>
      </c>
      <c r="B4403">
        <v>69</v>
      </c>
      <c r="C4403" t="s">
        <v>71</v>
      </c>
      <c r="D4403" t="s">
        <v>95</v>
      </c>
      <c r="E4403" t="s">
        <v>29</v>
      </c>
      <c r="F4403" s="2">
        <v>0</v>
      </c>
      <c r="G4403" t="s">
        <v>101</v>
      </c>
      <c r="H4403" t="s">
        <v>31</v>
      </c>
      <c r="I4403" t="s">
        <v>40</v>
      </c>
      <c r="J4403" t="s">
        <v>75</v>
      </c>
      <c r="K4403">
        <v>4</v>
      </c>
      <c r="L4403" t="s">
        <v>34</v>
      </c>
      <c r="M4403" t="s">
        <v>61</v>
      </c>
      <c r="N4403" t="s">
        <v>23</v>
      </c>
      <c r="O4403">
        <v>25</v>
      </c>
      <c r="P4403" t="s">
        <v>25</v>
      </c>
      <c r="Q4403" t="s">
        <v>37</v>
      </c>
      <c r="R4403" s="1">
        <v>0.1</v>
      </c>
      <c r="S4403">
        <f t="shared" si="272"/>
        <v>0</v>
      </c>
      <c r="T4403">
        <f>IFERROR(VLOOKUP(A4403,Table1[[Customer ID]:[Discount Amount]], 6, FALSE),"Not Found")</f>
        <v>0</v>
      </c>
      <c r="U4403" t="str">
        <f t="shared" si="273"/>
        <v>Cash</v>
      </c>
      <c r="V4403" s="4" t="str">
        <f t="shared" si="274"/>
        <v>Normal</v>
      </c>
      <c r="W4403" s="4" t="str">
        <f t="shared" si="275"/>
        <v>Good</v>
      </c>
      <c r="X4403" s="4">
        <f>AVERAGE(Table1[Purchase Amount])</f>
        <v>129.48419400000012</v>
      </c>
    </row>
    <row r="4404" spans="1:24" ht="15" customHeight="1" x14ac:dyDescent="0.25">
      <c r="A4404">
        <v>4502</v>
      </c>
      <c r="B4404">
        <v>38</v>
      </c>
      <c r="C4404" t="s">
        <v>16</v>
      </c>
      <c r="D4404" t="s">
        <v>95</v>
      </c>
      <c r="E4404" t="s">
        <v>18</v>
      </c>
      <c r="F4404" s="2">
        <v>69.72</v>
      </c>
      <c r="G4404" t="s">
        <v>126</v>
      </c>
      <c r="H4404" t="s">
        <v>20</v>
      </c>
      <c r="I4404" t="s">
        <v>46</v>
      </c>
      <c r="J4404" t="s">
        <v>33</v>
      </c>
      <c r="K4404">
        <v>1</v>
      </c>
      <c r="L4404" t="s">
        <v>23</v>
      </c>
      <c r="M4404" t="s">
        <v>61</v>
      </c>
      <c r="N4404" t="s">
        <v>23</v>
      </c>
      <c r="O4404">
        <v>0</v>
      </c>
      <c r="P4404" t="s">
        <v>53</v>
      </c>
      <c r="Q4404" t="s">
        <v>37</v>
      </c>
      <c r="R4404" s="1">
        <v>0.1</v>
      </c>
      <c r="S4404">
        <f t="shared" si="272"/>
        <v>62.747999999999998</v>
      </c>
      <c r="T4404">
        <f>IFERROR(VLOOKUP(A4404,Table1[[Customer ID]:[Discount Amount]], 6, FALSE),"Not Found")</f>
        <v>69.72</v>
      </c>
      <c r="U4404" t="str">
        <f t="shared" si="273"/>
        <v>Credit Card</v>
      </c>
      <c r="V4404" s="4" t="str">
        <f t="shared" si="274"/>
        <v>Normal</v>
      </c>
      <c r="W4404" s="4" t="str">
        <f t="shared" si="275"/>
        <v>Poor</v>
      </c>
      <c r="X4404" s="4">
        <f>AVERAGE(Table1[Purchase Amount])</f>
        <v>129.48419400000012</v>
      </c>
    </row>
    <row r="4405" spans="1:24" ht="15" customHeight="1" x14ac:dyDescent="0.25">
      <c r="A4405">
        <v>4503</v>
      </c>
      <c r="B4405">
        <v>32</v>
      </c>
      <c r="C4405" t="s">
        <v>27</v>
      </c>
      <c r="D4405" t="s">
        <v>95</v>
      </c>
      <c r="E4405" t="s">
        <v>29</v>
      </c>
      <c r="F4405" s="2">
        <v>0</v>
      </c>
      <c r="G4405" t="s">
        <v>139</v>
      </c>
      <c r="H4405" t="s">
        <v>55</v>
      </c>
      <c r="I4405" t="s">
        <v>46</v>
      </c>
      <c r="J4405" t="s">
        <v>22</v>
      </c>
      <c r="K4405">
        <v>1</v>
      </c>
      <c r="L4405" t="s">
        <v>23</v>
      </c>
      <c r="M4405" t="s">
        <v>24</v>
      </c>
      <c r="N4405" t="s">
        <v>23</v>
      </c>
      <c r="O4405">
        <v>0</v>
      </c>
      <c r="P4405" t="s">
        <v>25</v>
      </c>
      <c r="Q4405" t="s">
        <v>37</v>
      </c>
      <c r="R4405" s="1">
        <v>0.1</v>
      </c>
      <c r="S4405">
        <f t="shared" si="272"/>
        <v>0</v>
      </c>
      <c r="T4405">
        <f>IFERROR(VLOOKUP(A4405,Table1[[Customer ID]:[Discount Amount]], 6, FALSE),"Not Found")</f>
        <v>0</v>
      </c>
      <c r="U4405" t="str">
        <f t="shared" si="273"/>
        <v>Cash</v>
      </c>
      <c r="V4405" s="4" t="str">
        <f t="shared" si="274"/>
        <v>Normal</v>
      </c>
      <c r="W4405" s="4" t="str">
        <f t="shared" si="275"/>
        <v>Poor</v>
      </c>
      <c r="X4405" s="4">
        <f>AVERAGE(Table1[Purchase Amount])</f>
        <v>129.48419400000012</v>
      </c>
    </row>
    <row r="4406" spans="1:24" ht="15" customHeight="1" x14ac:dyDescent="0.25">
      <c r="A4406">
        <v>4504</v>
      </c>
      <c r="B4406">
        <v>29</v>
      </c>
      <c r="C4406" t="s">
        <v>27</v>
      </c>
      <c r="D4406" t="s">
        <v>112</v>
      </c>
      <c r="E4406" t="s">
        <v>81</v>
      </c>
      <c r="F4406" s="2">
        <v>0</v>
      </c>
      <c r="G4406" t="s">
        <v>82</v>
      </c>
      <c r="H4406" t="s">
        <v>31</v>
      </c>
      <c r="I4406" t="s">
        <v>40</v>
      </c>
      <c r="J4406" t="s">
        <v>57</v>
      </c>
      <c r="K4406">
        <v>2</v>
      </c>
      <c r="L4406" t="s">
        <v>23</v>
      </c>
      <c r="M4406" t="s">
        <v>24</v>
      </c>
      <c r="N4406" t="s">
        <v>34</v>
      </c>
      <c r="O4406">
        <v>0</v>
      </c>
      <c r="P4406" t="s">
        <v>58</v>
      </c>
      <c r="Q4406" t="s">
        <v>42</v>
      </c>
      <c r="R4406" s="1">
        <v>0.1</v>
      </c>
      <c r="S4406">
        <f t="shared" si="272"/>
        <v>0</v>
      </c>
      <c r="T4406">
        <f>IFERROR(VLOOKUP(A4406,Table1[[Customer ID]:[Discount Amount]], 6, FALSE),"Not Found")</f>
        <v>0</v>
      </c>
      <c r="U4406" t="str">
        <f t="shared" si="273"/>
        <v>PayPal</v>
      </c>
      <c r="V4406" s="4" t="str">
        <f t="shared" si="274"/>
        <v>Normal</v>
      </c>
      <c r="W4406" s="4" t="str">
        <f t="shared" si="275"/>
        <v>Poor</v>
      </c>
      <c r="X4406" s="4">
        <f>AVERAGE(Table1[Purchase Amount])</f>
        <v>129.48419400000012</v>
      </c>
    </row>
    <row r="4407" spans="1:24" ht="15" customHeight="1" x14ac:dyDescent="0.25">
      <c r="A4407">
        <v>4505</v>
      </c>
      <c r="B4407">
        <v>67</v>
      </c>
      <c r="C4407" t="s">
        <v>16</v>
      </c>
      <c r="D4407" t="s">
        <v>117</v>
      </c>
      <c r="E4407" t="s">
        <v>29</v>
      </c>
      <c r="F4407" s="2">
        <v>0</v>
      </c>
      <c r="G4407" t="s">
        <v>139</v>
      </c>
      <c r="H4407" t="s">
        <v>31</v>
      </c>
      <c r="I4407" t="s">
        <v>93</v>
      </c>
      <c r="J4407" t="s">
        <v>57</v>
      </c>
      <c r="K4407">
        <v>3</v>
      </c>
      <c r="L4407" t="s">
        <v>23</v>
      </c>
      <c r="M4407" t="s">
        <v>61</v>
      </c>
      <c r="N4407" t="s">
        <v>23</v>
      </c>
      <c r="O4407">
        <v>24</v>
      </c>
      <c r="P4407" t="s">
        <v>36</v>
      </c>
      <c r="Q4407" t="s">
        <v>26</v>
      </c>
      <c r="R4407" s="1">
        <v>0.1</v>
      </c>
      <c r="S4407">
        <f t="shared" si="272"/>
        <v>0</v>
      </c>
      <c r="T4407">
        <f>IFERROR(VLOOKUP(A4407,Table1[[Customer ID]:[Discount Amount]], 6, FALSE),"Not Found")</f>
        <v>0</v>
      </c>
      <c r="U4407" t="str">
        <f t="shared" si="273"/>
        <v>Debit Card</v>
      </c>
      <c r="V4407" s="4" t="str">
        <f t="shared" si="274"/>
        <v>Normal</v>
      </c>
      <c r="W4407" s="4" t="str">
        <f t="shared" si="275"/>
        <v>Good</v>
      </c>
      <c r="X4407" s="4">
        <f>AVERAGE(Table1[Purchase Amount])</f>
        <v>129.48419400000012</v>
      </c>
    </row>
    <row r="4408" spans="1:24" ht="15" customHeight="1" x14ac:dyDescent="0.25">
      <c r="A4408">
        <v>4506</v>
      </c>
      <c r="B4408">
        <v>19</v>
      </c>
      <c r="C4408" t="s">
        <v>27</v>
      </c>
      <c r="D4408" t="s">
        <v>80</v>
      </c>
      <c r="E4408" t="s">
        <v>18</v>
      </c>
      <c r="F4408" s="2">
        <v>48.78</v>
      </c>
      <c r="G4408" t="s">
        <v>82</v>
      </c>
      <c r="H4408" t="s">
        <v>55</v>
      </c>
      <c r="I4408" t="s">
        <v>32</v>
      </c>
      <c r="J4408" t="s">
        <v>75</v>
      </c>
      <c r="K4408">
        <v>1</v>
      </c>
      <c r="L4408" t="s">
        <v>34</v>
      </c>
      <c r="M4408" t="s">
        <v>24</v>
      </c>
      <c r="N4408" t="s">
        <v>34</v>
      </c>
      <c r="O4408">
        <v>0</v>
      </c>
      <c r="P4408" t="s">
        <v>53</v>
      </c>
      <c r="Q4408" t="s">
        <v>37</v>
      </c>
      <c r="R4408" s="1">
        <v>0.1</v>
      </c>
      <c r="S4408">
        <f t="shared" si="272"/>
        <v>43.902000000000001</v>
      </c>
      <c r="T4408">
        <f>IFERROR(VLOOKUP(A4408,Table1[[Customer ID]:[Discount Amount]], 6, FALSE),"Not Found")</f>
        <v>48.78</v>
      </c>
      <c r="U4408" t="str">
        <f t="shared" si="273"/>
        <v>Credit Card</v>
      </c>
      <c r="V4408" s="4" t="str">
        <f t="shared" si="274"/>
        <v>Normal</v>
      </c>
      <c r="W4408" s="4" t="str">
        <f t="shared" si="275"/>
        <v>Poor</v>
      </c>
      <c r="X4408" s="4">
        <f>AVERAGE(Table1[Purchase Amount])</f>
        <v>129.48419400000012</v>
      </c>
    </row>
    <row r="4409" spans="1:24" ht="15" customHeight="1" x14ac:dyDescent="0.25">
      <c r="A4409">
        <v>4507</v>
      </c>
      <c r="B4409">
        <v>20</v>
      </c>
      <c r="C4409" t="s">
        <v>27</v>
      </c>
      <c r="D4409" t="s">
        <v>72</v>
      </c>
      <c r="E4409" t="s">
        <v>81</v>
      </c>
      <c r="F4409" s="2">
        <v>0</v>
      </c>
      <c r="G4409" t="s">
        <v>139</v>
      </c>
      <c r="H4409" t="s">
        <v>31</v>
      </c>
      <c r="I4409" t="s">
        <v>46</v>
      </c>
      <c r="J4409" t="s">
        <v>57</v>
      </c>
      <c r="K4409">
        <v>1</v>
      </c>
      <c r="L4409" t="s">
        <v>34</v>
      </c>
      <c r="M4409" t="s">
        <v>61</v>
      </c>
      <c r="N4409" t="s">
        <v>34</v>
      </c>
      <c r="O4409">
        <v>9</v>
      </c>
      <c r="P4409" t="s">
        <v>36</v>
      </c>
      <c r="Q4409" t="s">
        <v>37</v>
      </c>
      <c r="R4409" s="1">
        <v>0.1</v>
      </c>
      <c r="S4409">
        <f t="shared" si="272"/>
        <v>0</v>
      </c>
      <c r="T4409">
        <f>IFERROR(VLOOKUP(A4409,Table1[[Customer ID]:[Discount Amount]], 6, FALSE),"Not Found")</f>
        <v>0</v>
      </c>
      <c r="U4409" t="str">
        <f t="shared" si="273"/>
        <v>Debit Card</v>
      </c>
      <c r="V4409" s="4" t="str">
        <f t="shared" si="274"/>
        <v>Normal</v>
      </c>
      <c r="W4409" s="4" t="str">
        <f t="shared" si="275"/>
        <v>Poor</v>
      </c>
      <c r="X4409" s="4">
        <f>AVERAGE(Table1[Purchase Amount])</f>
        <v>129.48419400000012</v>
      </c>
    </row>
    <row r="4410" spans="1:24" ht="15" customHeight="1" x14ac:dyDescent="0.25">
      <c r="A4410">
        <v>4508</v>
      </c>
      <c r="B4410">
        <v>50</v>
      </c>
      <c r="C4410" t="s">
        <v>27</v>
      </c>
      <c r="D4410" t="s">
        <v>72</v>
      </c>
      <c r="E4410" t="s">
        <v>81</v>
      </c>
      <c r="F4410" s="2">
        <v>0</v>
      </c>
      <c r="G4410" t="s">
        <v>82</v>
      </c>
      <c r="H4410" t="s">
        <v>31</v>
      </c>
      <c r="I4410" t="s">
        <v>32</v>
      </c>
      <c r="J4410" t="s">
        <v>22</v>
      </c>
      <c r="K4410">
        <v>1</v>
      </c>
      <c r="L4410" t="s">
        <v>23</v>
      </c>
      <c r="M4410" t="s">
        <v>24</v>
      </c>
      <c r="N4410" t="s">
        <v>23</v>
      </c>
      <c r="O4410">
        <v>21</v>
      </c>
      <c r="P4410" t="s">
        <v>36</v>
      </c>
      <c r="Q4410" t="s">
        <v>42</v>
      </c>
      <c r="R4410" s="1">
        <v>0.1</v>
      </c>
      <c r="S4410">
        <f t="shared" si="272"/>
        <v>0</v>
      </c>
      <c r="T4410">
        <f>IFERROR(VLOOKUP(A4410,Table1[[Customer ID]:[Discount Amount]], 6, FALSE),"Not Found")</f>
        <v>0</v>
      </c>
      <c r="U4410" t="str">
        <f t="shared" si="273"/>
        <v>Debit Card</v>
      </c>
      <c r="V4410" s="4" t="str">
        <f t="shared" si="274"/>
        <v>Normal</v>
      </c>
      <c r="W4410" s="4" t="str">
        <f t="shared" si="275"/>
        <v>Poor</v>
      </c>
      <c r="X4410" s="4">
        <f>AVERAGE(Table1[Purchase Amount])</f>
        <v>129.48419400000012</v>
      </c>
    </row>
    <row r="4411" spans="1:24" ht="15" customHeight="1" x14ac:dyDescent="0.25">
      <c r="A4411">
        <v>4509</v>
      </c>
      <c r="B4411">
        <v>59</v>
      </c>
      <c r="C4411" t="s">
        <v>16</v>
      </c>
      <c r="D4411" t="s">
        <v>117</v>
      </c>
      <c r="E4411" t="s">
        <v>29</v>
      </c>
      <c r="F4411" s="2">
        <v>949.9</v>
      </c>
      <c r="G4411" t="s">
        <v>73</v>
      </c>
      <c r="H4411" t="s">
        <v>55</v>
      </c>
      <c r="I4411" t="s">
        <v>46</v>
      </c>
      <c r="J4411" t="s">
        <v>75</v>
      </c>
      <c r="K4411">
        <v>1</v>
      </c>
      <c r="L4411" t="s">
        <v>23</v>
      </c>
      <c r="M4411" t="s">
        <v>24</v>
      </c>
      <c r="N4411" t="s">
        <v>23</v>
      </c>
      <c r="O4411">
        <v>36</v>
      </c>
      <c r="P4411" t="s">
        <v>53</v>
      </c>
      <c r="Q4411" t="s">
        <v>37</v>
      </c>
      <c r="R4411" s="1">
        <v>0.1</v>
      </c>
      <c r="S4411">
        <f t="shared" si="272"/>
        <v>854.91</v>
      </c>
      <c r="T4411">
        <f>IFERROR(VLOOKUP(A4411,Table1[[Customer ID]:[Discount Amount]], 6, FALSE),"Not Found")</f>
        <v>949.9</v>
      </c>
      <c r="U4411" t="str">
        <f t="shared" si="273"/>
        <v>Credit Card</v>
      </c>
      <c r="V4411" s="4" t="str">
        <f t="shared" si="274"/>
        <v>Normal</v>
      </c>
      <c r="W4411" s="4" t="str">
        <f t="shared" si="275"/>
        <v>Poor</v>
      </c>
      <c r="X4411" s="4">
        <f>AVERAGE(Table1[Purchase Amount])</f>
        <v>129.48419400000012</v>
      </c>
    </row>
    <row r="4412" spans="1:24" ht="15" customHeight="1" x14ac:dyDescent="0.25">
      <c r="A4412">
        <v>4510</v>
      </c>
      <c r="B4412">
        <v>56</v>
      </c>
      <c r="C4412" t="s">
        <v>71</v>
      </c>
      <c r="D4412" t="s">
        <v>116</v>
      </c>
      <c r="E4412" t="s">
        <v>18</v>
      </c>
      <c r="F4412" s="2">
        <v>1403.73</v>
      </c>
      <c r="G4412" t="s">
        <v>73</v>
      </c>
      <c r="H4412" t="s">
        <v>31</v>
      </c>
      <c r="I4412" t="s">
        <v>40</v>
      </c>
      <c r="J4412" t="s">
        <v>33</v>
      </c>
      <c r="K4412">
        <v>1</v>
      </c>
      <c r="L4412" t="s">
        <v>23</v>
      </c>
      <c r="M4412" t="s">
        <v>61</v>
      </c>
      <c r="N4412" t="s">
        <v>34</v>
      </c>
      <c r="O4412">
        <v>0</v>
      </c>
      <c r="P4412" t="s">
        <v>58</v>
      </c>
      <c r="Q4412" t="s">
        <v>37</v>
      </c>
      <c r="R4412" s="1">
        <v>0.1</v>
      </c>
      <c r="S4412">
        <f t="shared" si="272"/>
        <v>1263.357</v>
      </c>
      <c r="T4412">
        <f>IFERROR(VLOOKUP(A4412,Table1[[Customer ID]:[Discount Amount]], 6, FALSE),"Not Found")</f>
        <v>1403.73</v>
      </c>
      <c r="U4412" t="str">
        <f t="shared" si="273"/>
        <v>PayPal</v>
      </c>
      <c r="V4412" s="4" t="str">
        <f t="shared" si="274"/>
        <v>Normal</v>
      </c>
      <c r="W4412" s="4" t="str">
        <f t="shared" si="275"/>
        <v>Poor</v>
      </c>
      <c r="X4412" s="4">
        <f>AVERAGE(Table1[Purchase Amount])</f>
        <v>129.48419400000012</v>
      </c>
    </row>
    <row r="4413" spans="1:24" ht="15" customHeight="1" x14ac:dyDescent="0.25">
      <c r="A4413">
        <v>4511</v>
      </c>
      <c r="B4413">
        <v>44</v>
      </c>
      <c r="C4413" t="s">
        <v>16</v>
      </c>
      <c r="D4413" t="s">
        <v>72</v>
      </c>
      <c r="E4413" t="s">
        <v>29</v>
      </c>
      <c r="F4413" s="2">
        <v>0</v>
      </c>
      <c r="G4413" t="s">
        <v>126</v>
      </c>
      <c r="H4413" t="s">
        <v>45</v>
      </c>
      <c r="I4413" t="s">
        <v>32</v>
      </c>
      <c r="J4413" t="s">
        <v>22</v>
      </c>
      <c r="K4413">
        <v>5</v>
      </c>
      <c r="L4413" t="s">
        <v>34</v>
      </c>
      <c r="M4413" t="s">
        <v>61</v>
      </c>
      <c r="N4413" t="s">
        <v>23</v>
      </c>
      <c r="O4413">
        <v>6</v>
      </c>
      <c r="P4413" t="s">
        <v>36</v>
      </c>
      <c r="Q4413" t="s">
        <v>26</v>
      </c>
      <c r="R4413" s="1">
        <v>0.1</v>
      </c>
      <c r="S4413">
        <f t="shared" si="272"/>
        <v>0</v>
      </c>
      <c r="T4413">
        <f>IFERROR(VLOOKUP(A4413,Table1[[Customer ID]:[Discount Amount]], 6, FALSE),"Not Found")</f>
        <v>0</v>
      </c>
      <c r="U4413" t="str">
        <f t="shared" si="273"/>
        <v>Debit Card</v>
      </c>
      <c r="V4413" s="4" t="str">
        <f t="shared" si="274"/>
        <v>Normal</v>
      </c>
      <c r="W4413" s="4" t="str">
        <f t="shared" si="275"/>
        <v>Good</v>
      </c>
      <c r="X4413" s="4">
        <f>AVERAGE(Table1[Purchase Amount])</f>
        <v>129.48419400000012</v>
      </c>
    </row>
    <row r="4414" spans="1:24" ht="15" customHeight="1" x14ac:dyDescent="0.25">
      <c r="A4414">
        <v>4512</v>
      </c>
      <c r="B4414">
        <v>42</v>
      </c>
      <c r="C4414" t="s">
        <v>27</v>
      </c>
      <c r="D4414" t="s">
        <v>95</v>
      </c>
      <c r="E4414" t="s">
        <v>29</v>
      </c>
      <c r="F4414" s="2">
        <v>0</v>
      </c>
      <c r="G4414" t="s">
        <v>82</v>
      </c>
      <c r="H4414" t="s">
        <v>31</v>
      </c>
      <c r="I4414" t="s">
        <v>46</v>
      </c>
      <c r="J4414" t="s">
        <v>22</v>
      </c>
      <c r="K4414">
        <v>1</v>
      </c>
      <c r="L4414" t="s">
        <v>23</v>
      </c>
      <c r="M4414" t="s">
        <v>24</v>
      </c>
      <c r="N4414" t="s">
        <v>34</v>
      </c>
      <c r="O4414">
        <v>5</v>
      </c>
      <c r="P4414" t="s">
        <v>58</v>
      </c>
      <c r="Q4414" t="s">
        <v>42</v>
      </c>
      <c r="R4414" s="1">
        <v>0.1</v>
      </c>
      <c r="S4414">
        <f t="shared" si="272"/>
        <v>0</v>
      </c>
      <c r="T4414">
        <f>IFERROR(VLOOKUP(A4414,Table1[[Customer ID]:[Discount Amount]], 6, FALSE),"Not Found")</f>
        <v>0</v>
      </c>
      <c r="U4414" t="str">
        <f t="shared" si="273"/>
        <v>PayPal</v>
      </c>
      <c r="V4414" s="4" t="str">
        <f t="shared" si="274"/>
        <v>Normal</v>
      </c>
      <c r="W4414" s="4" t="str">
        <f t="shared" si="275"/>
        <v>Poor</v>
      </c>
      <c r="X4414" s="4">
        <f>AVERAGE(Table1[Purchase Amount])</f>
        <v>129.48419400000012</v>
      </c>
    </row>
    <row r="4415" spans="1:24" ht="15" customHeight="1" x14ac:dyDescent="0.25">
      <c r="A4415">
        <v>4513</v>
      </c>
      <c r="B4415">
        <v>69</v>
      </c>
      <c r="C4415" t="s">
        <v>16</v>
      </c>
      <c r="D4415" t="s">
        <v>95</v>
      </c>
      <c r="E4415" t="s">
        <v>18</v>
      </c>
      <c r="F4415" s="2">
        <v>0</v>
      </c>
      <c r="G4415" t="s">
        <v>73</v>
      </c>
      <c r="H4415" t="s">
        <v>55</v>
      </c>
      <c r="I4415" t="s">
        <v>32</v>
      </c>
      <c r="J4415" t="s">
        <v>33</v>
      </c>
      <c r="K4415">
        <v>4</v>
      </c>
      <c r="L4415" t="s">
        <v>23</v>
      </c>
      <c r="M4415" t="s">
        <v>24</v>
      </c>
      <c r="N4415" t="s">
        <v>34</v>
      </c>
      <c r="O4415">
        <v>42</v>
      </c>
      <c r="P4415" t="s">
        <v>53</v>
      </c>
      <c r="Q4415" t="s">
        <v>42</v>
      </c>
      <c r="R4415" s="1">
        <v>0.1</v>
      </c>
      <c r="S4415">
        <f t="shared" si="272"/>
        <v>0</v>
      </c>
      <c r="T4415">
        <f>IFERROR(VLOOKUP(A4415,Table1[[Customer ID]:[Discount Amount]], 6, FALSE),"Not Found")</f>
        <v>0</v>
      </c>
      <c r="U4415" t="str">
        <f t="shared" si="273"/>
        <v>Credit Card</v>
      </c>
      <c r="V4415" s="4" t="str">
        <f t="shared" si="274"/>
        <v>Normal</v>
      </c>
      <c r="W4415" s="4" t="str">
        <f t="shared" si="275"/>
        <v>Good</v>
      </c>
      <c r="X4415" s="4">
        <f>AVERAGE(Table1[Purchase Amount])</f>
        <v>129.48419400000012</v>
      </c>
    </row>
    <row r="4416" spans="1:24" ht="15" customHeight="1" x14ac:dyDescent="0.25">
      <c r="A4416">
        <v>4514</v>
      </c>
      <c r="B4416">
        <v>61</v>
      </c>
      <c r="C4416" t="s">
        <v>16</v>
      </c>
      <c r="D4416" t="s">
        <v>112</v>
      </c>
      <c r="E4416" t="s">
        <v>81</v>
      </c>
      <c r="F4416" s="2">
        <v>1161.52</v>
      </c>
      <c r="G4416" t="s">
        <v>126</v>
      </c>
      <c r="H4416" t="s">
        <v>31</v>
      </c>
      <c r="I4416" t="s">
        <v>46</v>
      </c>
      <c r="J4416" t="s">
        <v>75</v>
      </c>
      <c r="K4416">
        <v>1</v>
      </c>
      <c r="L4416" t="s">
        <v>23</v>
      </c>
      <c r="M4416" t="s">
        <v>61</v>
      </c>
      <c r="N4416" t="s">
        <v>34</v>
      </c>
      <c r="O4416">
        <v>0</v>
      </c>
      <c r="P4416" t="s">
        <v>25</v>
      </c>
      <c r="Q4416" t="s">
        <v>42</v>
      </c>
      <c r="R4416" s="1">
        <v>0.1</v>
      </c>
      <c r="S4416">
        <f t="shared" si="272"/>
        <v>1045.3679999999999</v>
      </c>
      <c r="T4416">
        <f>IFERROR(VLOOKUP(A4416,Table1[[Customer ID]:[Discount Amount]], 6, FALSE),"Not Found")</f>
        <v>1161.52</v>
      </c>
      <c r="U4416" t="str">
        <f t="shared" si="273"/>
        <v>Cash</v>
      </c>
      <c r="V4416" s="4" t="str">
        <f t="shared" si="274"/>
        <v>Normal</v>
      </c>
      <c r="W4416" s="4" t="str">
        <f t="shared" si="275"/>
        <v>Poor</v>
      </c>
      <c r="X4416" s="4">
        <f>AVERAGE(Table1[Purchase Amount])</f>
        <v>129.48419400000012</v>
      </c>
    </row>
    <row r="4417" spans="1:24" ht="15" customHeight="1" x14ac:dyDescent="0.25">
      <c r="A4417">
        <v>4515</v>
      </c>
      <c r="B4417">
        <v>60</v>
      </c>
      <c r="C4417" t="s">
        <v>27</v>
      </c>
      <c r="D4417" t="s">
        <v>116</v>
      </c>
      <c r="E4417" t="s">
        <v>81</v>
      </c>
      <c r="F4417" s="2">
        <v>0</v>
      </c>
      <c r="G4417" t="s">
        <v>126</v>
      </c>
      <c r="H4417" t="s">
        <v>31</v>
      </c>
      <c r="I4417" t="s">
        <v>74</v>
      </c>
      <c r="J4417" t="s">
        <v>57</v>
      </c>
      <c r="K4417">
        <v>1</v>
      </c>
      <c r="L4417" t="s">
        <v>34</v>
      </c>
      <c r="M4417" t="s">
        <v>61</v>
      </c>
      <c r="N4417" t="s">
        <v>23</v>
      </c>
      <c r="O4417">
        <v>22</v>
      </c>
      <c r="P4417" t="s">
        <v>36</v>
      </c>
      <c r="Q4417" t="s">
        <v>37</v>
      </c>
      <c r="R4417" s="1">
        <v>0.1</v>
      </c>
      <c r="S4417">
        <f t="shared" si="272"/>
        <v>0</v>
      </c>
      <c r="T4417">
        <f>IFERROR(VLOOKUP(A4417,Table1[[Customer ID]:[Discount Amount]], 6, FALSE),"Not Found")</f>
        <v>0</v>
      </c>
      <c r="U4417" t="str">
        <f t="shared" si="273"/>
        <v>Debit Card</v>
      </c>
      <c r="V4417" s="4" t="str">
        <f t="shared" si="274"/>
        <v>Normal</v>
      </c>
      <c r="W4417" s="4" t="str">
        <f t="shared" si="275"/>
        <v>Poor</v>
      </c>
      <c r="X4417" s="4">
        <f>AVERAGE(Table1[Purchase Amount])</f>
        <v>129.48419400000012</v>
      </c>
    </row>
    <row r="4418" spans="1:24" ht="15" customHeight="1" x14ac:dyDescent="0.25">
      <c r="A4418">
        <v>4516</v>
      </c>
      <c r="B4418">
        <v>18</v>
      </c>
      <c r="C4418" t="s">
        <v>16</v>
      </c>
      <c r="D4418" t="s">
        <v>80</v>
      </c>
      <c r="E4418" t="s">
        <v>81</v>
      </c>
      <c r="F4418" s="2">
        <v>0</v>
      </c>
      <c r="G4418" t="s">
        <v>101</v>
      </c>
      <c r="H4418" t="s">
        <v>31</v>
      </c>
      <c r="I4418" t="s">
        <v>32</v>
      </c>
      <c r="J4418" t="s">
        <v>57</v>
      </c>
      <c r="K4418">
        <v>1</v>
      </c>
      <c r="L4418" t="s">
        <v>23</v>
      </c>
      <c r="M4418" t="s">
        <v>24</v>
      </c>
      <c r="N4418" t="s">
        <v>23</v>
      </c>
      <c r="O4418">
        <v>0</v>
      </c>
      <c r="P4418" t="s">
        <v>36</v>
      </c>
      <c r="Q4418" t="s">
        <v>37</v>
      </c>
      <c r="R4418" s="1">
        <v>0.1</v>
      </c>
      <c r="S4418">
        <f t="shared" ref="S4418:S4481" si="276">F4418-(F4418*R4418)</f>
        <v>0</v>
      </c>
      <c r="T4418">
        <f>IFERROR(VLOOKUP(A4418,Table1[[Customer ID]:[Discount Amount]], 6, FALSE),"Not Found")</f>
        <v>0</v>
      </c>
      <c r="U4418" t="str">
        <f t="shared" ref="U4418:U4481" si="277">INDEX(P:P, MATCH(A4418, A:A, 0))</f>
        <v>Debit Card</v>
      </c>
      <c r="V4418" s="4" t="str">
        <f t="shared" ref="V4418:V4481" si="278">IF(AND(F4418&gt;1000,K4418&gt;=4),"Best Customer","Normal")</f>
        <v>Normal</v>
      </c>
      <c r="W4418" s="4" t="str">
        <f t="shared" ref="W4418:W4481" si="279">IF(K4418&gt;=3,"Good","Poor")</f>
        <v>Poor</v>
      </c>
      <c r="X4418" s="4">
        <f>AVERAGE(Table1[Purchase Amount])</f>
        <v>129.48419400000012</v>
      </c>
    </row>
    <row r="4419" spans="1:24" ht="15" customHeight="1" x14ac:dyDescent="0.25">
      <c r="A4419">
        <v>4517</v>
      </c>
      <c r="B4419">
        <v>40</v>
      </c>
      <c r="C4419" t="s">
        <v>71</v>
      </c>
      <c r="D4419" t="s">
        <v>80</v>
      </c>
      <c r="E4419" t="s">
        <v>29</v>
      </c>
      <c r="F4419" s="2">
        <v>0</v>
      </c>
      <c r="G4419" t="s">
        <v>126</v>
      </c>
      <c r="H4419" t="s">
        <v>45</v>
      </c>
      <c r="I4419" t="s">
        <v>32</v>
      </c>
      <c r="J4419" t="s">
        <v>75</v>
      </c>
      <c r="K4419">
        <v>1</v>
      </c>
      <c r="L4419" t="s">
        <v>34</v>
      </c>
      <c r="M4419" t="s">
        <v>61</v>
      </c>
      <c r="N4419" t="s">
        <v>23</v>
      </c>
      <c r="O4419">
        <v>45</v>
      </c>
      <c r="P4419" t="s">
        <v>36</v>
      </c>
      <c r="Q4419" t="s">
        <v>42</v>
      </c>
      <c r="R4419" s="1">
        <v>0.1</v>
      </c>
      <c r="S4419">
        <f t="shared" si="276"/>
        <v>0</v>
      </c>
      <c r="T4419">
        <f>IFERROR(VLOOKUP(A4419,Table1[[Customer ID]:[Discount Amount]], 6, FALSE),"Not Found")</f>
        <v>0</v>
      </c>
      <c r="U4419" t="str">
        <f t="shared" si="277"/>
        <v>Debit Card</v>
      </c>
      <c r="V4419" s="4" t="str">
        <f t="shared" si="278"/>
        <v>Normal</v>
      </c>
      <c r="W4419" s="4" t="str">
        <f t="shared" si="279"/>
        <v>Poor</v>
      </c>
      <c r="X4419" s="4">
        <f>AVERAGE(Table1[Purchase Amount])</f>
        <v>129.48419400000012</v>
      </c>
    </row>
    <row r="4420" spans="1:24" ht="15" customHeight="1" x14ac:dyDescent="0.25">
      <c r="A4420">
        <v>4518</v>
      </c>
      <c r="B4420">
        <v>23</v>
      </c>
      <c r="C4420" t="s">
        <v>71</v>
      </c>
      <c r="D4420" t="s">
        <v>38</v>
      </c>
      <c r="E4420" t="s">
        <v>29</v>
      </c>
      <c r="F4420" s="2">
        <v>100.13</v>
      </c>
      <c r="G4420" t="s">
        <v>101</v>
      </c>
      <c r="H4420" t="s">
        <v>55</v>
      </c>
      <c r="I4420" t="s">
        <v>32</v>
      </c>
      <c r="J4420" t="s">
        <v>75</v>
      </c>
      <c r="K4420">
        <v>1</v>
      </c>
      <c r="L4420" t="s">
        <v>34</v>
      </c>
      <c r="M4420" t="s">
        <v>61</v>
      </c>
      <c r="N4420" t="s">
        <v>23</v>
      </c>
      <c r="O4420">
        <v>0</v>
      </c>
      <c r="P4420" t="s">
        <v>36</v>
      </c>
      <c r="Q4420" t="s">
        <v>37</v>
      </c>
      <c r="R4420" s="1">
        <v>0.1</v>
      </c>
      <c r="S4420">
        <f t="shared" si="276"/>
        <v>90.11699999999999</v>
      </c>
      <c r="T4420">
        <f>IFERROR(VLOOKUP(A4420,Table1[[Customer ID]:[Discount Amount]], 6, FALSE),"Not Found")</f>
        <v>100.13</v>
      </c>
      <c r="U4420" t="str">
        <f t="shared" si="277"/>
        <v>Debit Card</v>
      </c>
      <c r="V4420" s="4" t="str">
        <f t="shared" si="278"/>
        <v>Normal</v>
      </c>
      <c r="W4420" s="4" t="str">
        <f t="shared" si="279"/>
        <v>Poor</v>
      </c>
      <c r="X4420" s="4">
        <f>AVERAGE(Table1[Purchase Amount])</f>
        <v>129.48419400000012</v>
      </c>
    </row>
    <row r="4421" spans="1:24" ht="15" customHeight="1" x14ac:dyDescent="0.25">
      <c r="A4421">
        <v>4519</v>
      </c>
      <c r="B4421">
        <v>39</v>
      </c>
      <c r="C4421" t="s">
        <v>16</v>
      </c>
      <c r="D4421" t="s">
        <v>116</v>
      </c>
      <c r="E4421" t="s">
        <v>29</v>
      </c>
      <c r="F4421" s="2">
        <v>294.87</v>
      </c>
      <c r="G4421" t="s">
        <v>101</v>
      </c>
      <c r="H4421" t="s">
        <v>45</v>
      </c>
      <c r="I4421" t="s">
        <v>40</v>
      </c>
      <c r="J4421" t="s">
        <v>57</v>
      </c>
      <c r="K4421">
        <v>1</v>
      </c>
      <c r="L4421" t="s">
        <v>23</v>
      </c>
      <c r="M4421" t="s">
        <v>61</v>
      </c>
      <c r="N4421" t="s">
        <v>34</v>
      </c>
      <c r="O4421">
        <v>0</v>
      </c>
      <c r="P4421" t="s">
        <v>53</v>
      </c>
      <c r="Q4421" t="s">
        <v>37</v>
      </c>
      <c r="R4421" s="1">
        <v>0.1</v>
      </c>
      <c r="S4421">
        <f t="shared" si="276"/>
        <v>265.38299999999998</v>
      </c>
      <c r="T4421">
        <f>IFERROR(VLOOKUP(A4421,Table1[[Customer ID]:[Discount Amount]], 6, FALSE),"Not Found")</f>
        <v>294.87</v>
      </c>
      <c r="U4421" t="str">
        <f t="shared" si="277"/>
        <v>Credit Card</v>
      </c>
      <c r="V4421" s="4" t="str">
        <f t="shared" si="278"/>
        <v>Normal</v>
      </c>
      <c r="W4421" s="4" t="str">
        <f t="shared" si="279"/>
        <v>Poor</v>
      </c>
      <c r="X4421" s="4">
        <f>AVERAGE(Table1[Purchase Amount])</f>
        <v>129.48419400000012</v>
      </c>
    </row>
    <row r="4422" spans="1:24" ht="15" customHeight="1" x14ac:dyDescent="0.25">
      <c r="A4422">
        <v>4520</v>
      </c>
      <c r="B4422">
        <v>60</v>
      </c>
      <c r="C4422" t="s">
        <v>27</v>
      </c>
      <c r="D4422" t="s">
        <v>116</v>
      </c>
      <c r="E4422" t="s">
        <v>81</v>
      </c>
      <c r="F4422" s="2">
        <v>921.94</v>
      </c>
      <c r="G4422" t="s">
        <v>139</v>
      </c>
      <c r="H4422" t="s">
        <v>31</v>
      </c>
      <c r="I4422" t="s">
        <v>74</v>
      </c>
      <c r="J4422" t="s">
        <v>75</v>
      </c>
      <c r="K4422">
        <v>1</v>
      </c>
      <c r="L4422" t="s">
        <v>34</v>
      </c>
      <c r="M4422" t="s">
        <v>24</v>
      </c>
      <c r="N4422" t="s">
        <v>34</v>
      </c>
      <c r="O4422">
        <v>0</v>
      </c>
      <c r="P4422" t="s">
        <v>53</v>
      </c>
      <c r="Q4422" t="s">
        <v>42</v>
      </c>
      <c r="R4422" s="1">
        <v>0.1</v>
      </c>
      <c r="S4422">
        <f t="shared" si="276"/>
        <v>829.74600000000009</v>
      </c>
      <c r="T4422">
        <f>IFERROR(VLOOKUP(A4422,Table1[[Customer ID]:[Discount Amount]], 6, FALSE),"Not Found")</f>
        <v>921.94</v>
      </c>
      <c r="U4422" t="str">
        <f t="shared" si="277"/>
        <v>Credit Card</v>
      </c>
      <c r="V4422" s="4" t="str">
        <f t="shared" si="278"/>
        <v>Normal</v>
      </c>
      <c r="W4422" s="4" t="str">
        <f t="shared" si="279"/>
        <v>Poor</v>
      </c>
      <c r="X4422" s="4">
        <f>AVERAGE(Table1[Purchase Amount])</f>
        <v>129.48419400000012</v>
      </c>
    </row>
    <row r="4423" spans="1:24" ht="15" customHeight="1" x14ac:dyDescent="0.25">
      <c r="A4423">
        <v>4521</v>
      </c>
      <c r="B4423">
        <v>31</v>
      </c>
      <c r="C4423" t="s">
        <v>71</v>
      </c>
      <c r="D4423" t="s">
        <v>112</v>
      </c>
      <c r="E4423" t="s">
        <v>81</v>
      </c>
      <c r="F4423" s="2">
        <v>0</v>
      </c>
      <c r="G4423" t="s">
        <v>126</v>
      </c>
      <c r="H4423" t="s">
        <v>31</v>
      </c>
      <c r="I4423" t="s">
        <v>40</v>
      </c>
      <c r="J4423" t="s">
        <v>33</v>
      </c>
      <c r="K4423">
        <v>5</v>
      </c>
      <c r="L4423" t="s">
        <v>23</v>
      </c>
      <c r="M4423" t="s">
        <v>61</v>
      </c>
      <c r="N4423" t="s">
        <v>23</v>
      </c>
      <c r="O4423">
        <v>7</v>
      </c>
      <c r="P4423" t="s">
        <v>58</v>
      </c>
      <c r="Q4423" t="s">
        <v>26</v>
      </c>
      <c r="R4423" s="1">
        <v>0.1</v>
      </c>
      <c r="S4423">
        <f t="shared" si="276"/>
        <v>0</v>
      </c>
      <c r="T4423">
        <f>IFERROR(VLOOKUP(A4423,Table1[[Customer ID]:[Discount Amount]], 6, FALSE),"Not Found")</f>
        <v>0</v>
      </c>
      <c r="U4423" t="str">
        <f t="shared" si="277"/>
        <v>PayPal</v>
      </c>
      <c r="V4423" s="4" t="str">
        <f t="shared" si="278"/>
        <v>Normal</v>
      </c>
      <c r="W4423" s="4" t="str">
        <f t="shared" si="279"/>
        <v>Good</v>
      </c>
      <c r="X4423" s="4">
        <f>AVERAGE(Table1[Purchase Amount])</f>
        <v>129.48419400000012</v>
      </c>
    </row>
    <row r="4424" spans="1:24" ht="15" customHeight="1" x14ac:dyDescent="0.25">
      <c r="A4424">
        <v>4522</v>
      </c>
      <c r="B4424">
        <v>51</v>
      </c>
      <c r="C4424" t="s">
        <v>27</v>
      </c>
      <c r="D4424" t="s">
        <v>95</v>
      </c>
      <c r="E4424" t="s">
        <v>81</v>
      </c>
      <c r="F4424" s="2">
        <v>750.93</v>
      </c>
      <c r="G4424" t="s">
        <v>126</v>
      </c>
      <c r="H4424" t="s">
        <v>31</v>
      </c>
      <c r="I4424" t="s">
        <v>46</v>
      </c>
      <c r="J4424" t="s">
        <v>75</v>
      </c>
      <c r="K4424">
        <v>1</v>
      </c>
      <c r="L4424" t="s">
        <v>23</v>
      </c>
      <c r="M4424" t="s">
        <v>61</v>
      </c>
      <c r="N4424" t="s">
        <v>23</v>
      </c>
      <c r="O4424">
        <v>35</v>
      </c>
      <c r="P4424" t="s">
        <v>36</v>
      </c>
      <c r="Q4424" t="s">
        <v>42</v>
      </c>
      <c r="R4424" s="1">
        <v>0.1</v>
      </c>
      <c r="S4424">
        <f t="shared" si="276"/>
        <v>675.83699999999999</v>
      </c>
      <c r="T4424">
        <f>IFERROR(VLOOKUP(A4424,Table1[[Customer ID]:[Discount Amount]], 6, FALSE),"Not Found")</f>
        <v>750.93</v>
      </c>
      <c r="U4424" t="str">
        <f t="shared" si="277"/>
        <v>Debit Card</v>
      </c>
      <c r="V4424" s="4" t="str">
        <f t="shared" si="278"/>
        <v>Normal</v>
      </c>
      <c r="W4424" s="4" t="str">
        <f t="shared" si="279"/>
        <v>Poor</v>
      </c>
      <c r="X4424" s="4">
        <f>AVERAGE(Table1[Purchase Amount])</f>
        <v>129.48419400000012</v>
      </c>
    </row>
    <row r="4425" spans="1:24" ht="15" customHeight="1" x14ac:dyDescent="0.25">
      <c r="A4425">
        <v>4523</v>
      </c>
      <c r="B4425">
        <v>51</v>
      </c>
      <c r="C4425" t="s">
        <v>71</v>
      </c>
      <c r="D4425" t="s">
        <v>116</v>
      </c>
      <c r="E4425" t="s">
        <v>18</v>
      </c>
      <c r="F4425" s="2">
        <v>0</v>
      </c>
      <c r="G4425" t="s">
        <v>73</v>
      </c>
      <c r="H4425" t="s">
        <v>45</v>
      </c>
      <c r="I4425" t="s">
        <v>32</v>
      </c>
      <c r="J4425" t="s">
        <v>75</v>
      </c>
      <c r="K4425">
        <v>1</v>
      </c>
      <c r="L4425" t="s">
        <v>34</v>
      </c>
      <c r="M4425" t="s">
        <v>61</v>
      </c>
      <c r="N4425" t="s">
        <v>23</v>
      </c>
      <c r="O4425">
        <v>0</v>
      </c>
      <c r="P4425" t="s">
        <v>25</v>
      </c>
      <c r="Q4425" t="s">
        <v>37</v>
      </c>
      <c r="R4425" s="1">
        <v>0.1</v>
      </c>
      <c r="S4425">
        <f t="shared" si="276"/>
        <v>0</v>
      </c>
      <c r="T4425">
        <f>IFERROR(VLOOKUP(A4425,Table1[[Customer ID]:[Discount Amount]], 6, FALSE),"Not Found")</f>
        <v>0</v>
      </c>
      <c r="U4425" t="str">
        <f t="shared" si="277"/>
        <v>Cash</v>
      </c>
      <c r="V4425" s="4" t="str">
        <f t="shared" si="278"/>
        <v>Normal</v>
      </c>
      <c r="W4425" s="4" t="str">
        <f t="shared" si="279"/>
        <v>Poor</v>
      </c>
      <c r="X4425" s="4">
        <f>AVERAGE(Table1[Purchase Amount])</f>
        <v>129.48419400000012</v>
      </c>
    </row>
    <row r="4426" spans="1:24" ht="15" customHeight="1" x14ac:dyDescent="0.25">
      <c r="A4426">
        <v>4524</v>
      </c>
      <c r="B4426">
        <v>20</v>
      </c>
      <c r="C4426" t="s">
        <v>27</v>
      </c>
      <c r="D4426" t="s">
        <v>38</v>
      </c>
      <c r="E4426" t="s">
        <v>29</v>
      </c>
      <c r="F4426" s="2">
        <v>800.37</v>
      </c>
      <c r="G4426" t="s">
        <v>73</v>
      </c>
      <c r="H4426" t="s">
        <v>55</v>
      </c>
      <c r="I4426" t="s">
        <v>40</v>
      </c>
      <c r="J4426" t="s">
        <v>75</v>
      </c>
      <c r="K4426">
        <v>3</v>
      </c>
      <c r="L4426" t="s">
        <v>23</v>
      </c>
      <c r="M4426" t="s">
        <v>24</v>
      </c>
      <c r="N4426" t="s">
        <v>23</v>
      </c>
      <c r="O4426">
        <v>0</v>
      </c>
      <c r="P4426" t="s">
        <v>36</v>
      </c>
      <c r="Q4426" t="s">
        <v>26</v>
      </c>
      <c r="R4426" s="1">
        <v>0.1</v>
      </c>
      <c r="S4426">
        <f t="shared" si="276"/>
        <v>720.33299999999997</v>
      </c>
      <c r="T4426">
        <f>IFERROR(VLOOKUP(A4426,Table1[[Customer ID]:[Discount Amount]], 6, FALSE),"Not Found")</f>
        <v>800.37</v>
      </c>
      <c r="U4426" t="str">
        <f t="shared" si="277"/>
        <v>Debit Card</v>
      </c>
      <c r="V4426" s="4" t="str">
        <f t="shared" si="278"/>
        <v>Normal</v>
      </c>
      <c r="W4426" s="4" t="str">
        <f t="shared" si="279"/>
        <v>Good</v>
      </c>
      <c r="X4426" s="4">
        <f>AVERAGE(Table1[Purchase Amount])</f>
        <v>129.48419400000012</v>
      </c>
    </row>
    <row r="4427" spans="1:24" ht="15" customHeight="1" x14ac:dyDescent="0.25">
      <c r="A4427">
        <v>4525</v>
      </c>
      <c r="B4427">
        <v>60</v>
      </c>
      <c r="C4427" t="s">
        <v>16</v>
      </c>
      <c r="D4427" t="s">
        <v>116</v>
      </c>
      <c r="E4427" t="s">
        <v>18</v>
      </c>
      <c r="F4427" s="2">
        <v>967.77</v>
      </c>
      <c r="G4427" t="s">
        <v>73</v>
      </c>
      <c r="H4427" t="s">
        <v>31</v>
      </c>
      <c r="I4427" t="s">
        <v>32</v>
      </c>
      <c r="J4427" t="s">
        <v>75</v>
      </c>
      <c r="K4427">
        <v>1</v>
      </c>
      <c r="L4427" t="s">
        <v>34</v>
      </c>
      <c r="M4427" t="s">
        <v>61</v>
      </c>
      <c r="N4427" t="s">
        <v>23</v>
      </c>
      <c r="O4427">
        <v>3</v>
      </c>
      <c r="P4427" t="s">
        <v>36</v>
      </c>
      <c r="Q4427" t="s">
        <v>37</v>
      </c>
      <c r="R4427" s="1">
        <v>0.1</v>
      </c>
      <c r="S4427">
        <f t="shared" si="276"/>
        <v>870.99299999999994</v>
      </c>
      <c r="T4427">
        <f>IFERROR(VLOOKUP(A4427,Table1[[Customer ID]:[Discount Amount]], 6, FALSE),"Not Found")</f>
        <v>967.77</v>
      </c>
      <c r="U4427" t="str">
        <f t="shared" si="277"/>
        <v>Debit Card</v>
      </c>
      <c r="V4427" s="4" t="str">
        <f t="shared" si="278"/>
        <v>Normal</v>
      </c>
      <c r="W4427" s="4" t="str">
        <f t="shared" si="279"/>
        <v>Poor</v>
      </c>
      <c r="X4427" s="4">
        <f>AVERAGE(Table1[Purchase Amount])</f>
        <v>129.48419400000012</v>
      </c>
    </row>
    <row r="4428" spans="1:24" ht="15" customHeight="1" x14ac:dyDescent="0.25">
      <c r="A4428">
        <v>4526</v>
      </c>
      <c r="B4428">
        <v>53</v>
      </c>
      <c r="C4428" t="s">
        <v>27</v>
      </c>
      <c r="D4428" t="s">
        <v>95</v>
      </c>
      <c r="E4428" t="s">
        <v>29</v>
      </c>
      <c r="F4428" s="2">
        <v>852.39</v>
      </c>
      <c r="G4428" t="s">
        <v>101</v>
      </c>
      <c r="H4428" t="s">
        <v>45</v>
      </c>
      <c r="I4428" t="s">
        <v>74</v>
      </c>
      <c r="J4428" t="s">
        <v>33</v>
      </c>
      <c r="K4428">
        <v>1</v>
      </c>
      <c r="L4428" t="s">
        <v>23</v>
      </c>
      <c r="M4428" t="s">
        <v>24</v>
      </c>
      <c r="N4428" t="s">
        <v>23</v>
      </c>
      <c r="O4428">
        <v>6</v>
      </c>
      <c r="P4428" t="s">
        <v>53</v>
      </c>
      <c r="Q4428" t="s">
        <v>37</v>
      </c>
      <c r="R4428" s="1">
        <v>0.1</v>
      </c>
      <c r="S4428">
        <f t="shared" si="276"/>
        <v>767.15099999999995</v>
      </c>
      <c r="T4428">
        <f>IFERROR(VLOOKUP(A4428,Table1[[Customer ID]:[Discount Amount]], 6, FALSE),"Not Found")</f>
        <v>852.39</v>
      </c>
      <c r="U4428" t="str">
        <f t="shared" si="277"/>
        <v>Credit Card</v>
      </c>
      <c r="V4428" s="4" t="str">
        <f t="shared" si="278"/>
        <v>Normal</v>
      </c>
      <c r="W4428" s="4" t="str">
        <f t="shared" si="279"/>
        <v>Poor</v>
      </c>
      <c r="X4428" s="4">
        <f>AVERAGE(Table1[Purchase Amount])</f>
        <v>129.48419400000012</v>
      </c>
    </row>
    <row r="4429" spans="1:24" ht="15" customHeight="1" x14ac:dyDescent="0.25">
      <c r="A4429">
        <v>4527</v>
      </c>
      <c r="B4429">
        <v>66</v>
      </c>
      <c r="C4429" t="s">
        <v>27</v>
      </c>
      <c r="D4429" t="s">
        <v>95</v>
      </c>
      <c r="E4429" t="s">
        <v>81</v>
      </c>
      <c r="F4429" s="2">
        <v>1074.6300000000001</v>
      </c>
      <c r="G4429" t="s">
        <v>139</v>
      </c>
      <c r="H4429" t="s">
        <v>31</v>
      </c>
      <c r="I4429" t="s">
        <v>32</v>
      </c>
      <c r="J4429" t="s">
        <v>22</v>
      </c>
      <c r="K4429">
        <v>3</v>
      </c>
      <c r="L4429" t="s">
        <v>34</v>
      </c>
      <c r="M4429" t="s">
        <v>24</v>
      </c>
      <c r="N4429" t="s">
        <v>23</v>
      </c>
      <c r="O4429">
        <v>0</v>
      </c>
      <c r="P4429" t="s">
        <v>25</v>
      </c>
      <c r="Q4429" t="s">
        <v>42</v>
      </c>
      <c r="R4429" s="1">
        <v>0.1</v>
      </c>
      <c r="S4429">
        <f t="shared" si="276"/>
        <v>967.16700000000014</v>
      </c>
      <c r="T4429">
        <f>IFERROR(VLOOKUP(A4429,Table1[[Customer ID]:[Discount Amount]], 6, FALSE),"Not Found")</f>
        <v>1074.6300000000001</v>
      </c>
      <c r="U4429" t="str">
        <f t="shared" si="277"/>
        <v>Cash</v>
      </c>
      <c r="V4429" s="4" t="str">
        <f t="shared" si="278"/>
        <v>Normal</v>
      </c>
      <c r="W4429" s="4" t="str">
        <f t="shared" si="279"/>
        <v>Good</v>
      </c>
      <c r="X4429" s="4">
        <f>AVERAGE(Table1[Purchase Amount])</f>
        <v>129.48419400000012</v>
      </c>
    </row>
    <row r="4430" spans="1:24" ht="15" customHeight="1" x14ac:dyDescent="0.25">
      <c r="A4430">
        <v>4528</v>
      </c>
      <c r="B4430">
        <v>18</v>
      </c>
      <c r="C4430" t="s">
        <v>71</v>
      </c>
      <c r="D4430" t="s">
        <v>95</v>
      </c>
      <c r="E4430" t="s">
        <v>29</v>
      </c>
      <c r="F4430" s="2">
        <v>50.7</v>
      </c>
      <c r="G4430" t="s">
        <v>82</v>
      </c>
      <c r="H4430" t="s">
        <v>55</v>
      </c>
      <c r="I4430" t="s">
        <v>32</v>
      </c>
      <c r="J4430" t="s">
        <v>75</v>
      </c>
      <c r="K4430">
        <v>1</v>
      </c>
      <c r="L4430" t="s">
        <v>23</v>
      </c>
      <c r="M4430" t="s">
        <v>24</v>
      </c>
      <c r="N4430" t="s">
        <v>34</v>
      </c>
      <c r="O4430">
        <v>0</v>
      </c>
      <c r="P4430" t="s">
        <v>58</v>
      </c>
      <c r="Q4430" t="s">
        <v>42</v>
      </c>
      <c r="R4430" s="1">
        <v>0.1</v>
      </c>
      <c r="S4430">
        <f t="shared" si="276"/>
        <v>45.63</v>
      </c>
      <c r="T4430">
        <f>IFERROR(VLOOKUP(A4430,Table1[[Customer ID]:[Discount Amount]], 6, FALSE),"Not Found")</f>
        <v>50.7</v>
      </c>
      <c r="U4430" t="str">
        <f t="shared" si="277"/>
        <v>PayPal</v>
      </c>
      <c r="V4430" s="4" t="str">
        <f t="shared" si="278"/>
        <v>Normal</v>
      </c>
      <c r="W4430" s="4" t="str">
        <f t="shared" si="279"/>
        <v>Poor</v>
      </c>
      <c r="X4430" s="4">
        <f>AVERAGE(Table1[Purchase Amount])</f>
        <v>129.48419400000012</v>
      </c>
    </row>
    <row r="4431" spans="1:24" ht="15" customHeight="1" x14ac:dyDescent="0.25">
      <c r="A4431">
        <v>4529</v>
      </c>
      <c r="B4431">
        <v>69</v>
      </c>
      <c r="C4431" t="s">
        <v>16</v>
      </c>
      <c r="D4431" t="s">
        <v>117</v>
      </c>
      <c r="E4431" t="s">
        <v>81</v>
      </c>
      <c r="F4431" s="2">
        <v>0</v>
      </c>
      <c r="G4431" t="s">
        <v>101</v>
      </c>
      <c r="H4431" t="s">
        <v>31</v>
      </c>
      <c r="I4431" t="s">
        <v>46</v>
      </c>
      <c r="J4431" t="s">
        <v>75</v>
      </c>
      <c r="K4431">
        <v>3</v>
      </c>
      <c r="L4431" t="s">
        <v>34</v>
      </c>
      <c r="M4431" t="s">
        <v>61</v>
      </c>
      <c r="N4431" t="s">
        <v>34</v>
      </c>
      <c r="O4431">
        <v>0</v>
      </c>
      <c r="P4431" t="s">
        <v>25</v>
      </c>
      <c r="Q4431" t="s">
        <v>37</v>
      </c>
      <c r="R4431" s="1">
        <v>0.1</v>
      </c>
      <c r="S4431">
        <f t="shared" si="276"/>
        <v>0</v>
      </c>
      <c r="T4431">
        <f>IFERROR(VLOOKUP(A4431,Table1[[Customer ID]:[Discount Amount]], 6, FALSE),"Not Found")</f>
        <v>0</v>
      </c>
      <c r="U4431" t="str">
        <f t="shared" si="277"/>
        <v>Cash</v>
      </c>
      <c r="V4431" s="4" t="str">
        <f t="shared" si="278"/>
        <v>Normal</v>
      </c>
      <c r="W4431" s="4" t="str">
        <f t="shared" si="279"/>
        <v>Good</v>
      </c>
      <c r="X4431" s="4">
        <f>AVERAGE(Table1[Purchase Amount])</f>
        <v>129.48419400000012</v>
      </c>
    </row>
    <row r="4432" spans="1:24" ht="15" customHeight="1" x14ac:dyDescent="0.25">
      <c r="A4432">
        <v>4530</v>
      </c>
      <c r="B4432">
        <v>20</v>
      </c>
      <c r="C4432" t="s">
        <v>27</v>
      </c>
      <c r="D4432" t="s">
        <v>116</v>
      </c>
      <c r="E4432" t="s">
        <v>81</v>
      </c>
      <c r="F4432" s="2">
        <v>532.49</v>
      </c>
      <c r="G4432" t="s">
        <v>101</v>
      </c>
      <c r="H4432" t="s">
        <v>31</v>
      </c>
      <c r="I4432" t="s">
        <v>40</v>
      </c>
      <c r="J4432" t="s">
        <v>75</v>
      </c>
      <c r="K4432">
        <v>1</v>
      </c>
      <c r="L4432" t="s">
        <v>34</v>
      </c>
      <c r="M4432" t="s">
        <v>24</v>
      </c>
      <c r="N4432" t="s">
        <v>34</v>
      </c>
      <c r="O4432">
        <v>0</v>
      </c>
      <c r="P4432" t="s">
        <v>36</v>
      </c>
      <c r="Q4432" t="s">
        <v>42</v>
      </c>
      <c r="R4432" s="1">
        <v>0.1</v>
      </c>
      <c r="S4432">
        <f t="shared" si="276"/>
        <v>479.24099999999999</v>
      </c>
      <c r="T4432">
        <f>IFERROR(VLOOKUP(A4432,Table1[[Customer ID]:[Discount Amount]], 6, FALSE),"Not Found")</f>
        <v>532.49</v>
      </c>
      <c r="U4432" t="str">
        <f t="shared" si="277"/>
        <v>Debit Card</v>
      </c>
      <c r="V4432" s="4" t="str">
        <f t="shared" si="278"/>
        <v>Normal</v>
      </c>
      <c r="W4432" s="4" t="str">
        <f t="shared" si="279"/>
        <v>Poor</v>
      </c>
      <c r="X4432" s="4">
        <f>AVERAGE(Table1[Purchase Amount])</f>
        <v>129.48419400000012</v>
      </c>
    </row>
    <row r="4433" spans="1:24" ht="15" customHeight="1" x14ac:dyDescent="0.25">
      <c r="A4433">
        <v>4531</v>
      </c>
      <c r="B4433">
        <v>41</v>
      </c>
      <c r="C4433" t="s">
        <v>16</v>
      </c>
      <c r="D4433" t="s">
        <v>95</v>
      </c>
      <c r="E4433" t="s">
        <v>18</v>
      </c>
      <c r="F4433" s="2">
        <v>0</v>
      </c>
      <c r="G4433" t="s">
        <v>126</v>
      </c>
      <c r="H4433" t="s">
        <v>31</v>
      </c>
      <c r="I4433" t="s">
        <v>46</v>
      </c>
      <c r="J4433" t="s">
        <v>22</v>
      </c>
      <c r="K4433">
        <v>2</v>
      </c>
      <c r="L4433" t="s">
        <v>34</v>
      </c>
      <c r="M4433" t="s">
        <v>24</v>
      </c>
      <c r="N4433" t="s">
        <v>34</v>
      </c>
      <c r="O4433">
        <v>22</v>
      </c>
      <c r="P4433" t="s">
        <v>53</v>
      </c>
      <c r="Q4433" t="s">
        <v>37</v>
      </c>
      <c r="R4433" s="1">
        <v>0.1</v>
      </c>
      <c r="S4433">
        <f t="shared" si="276"/>
        <v>0</v>
      </c>
      <c r="T4433">
        <f>IFERROR(VLOOKUP(A4433,Table1[[Customer ID]:[Discount Amount]], 6, FALSE),"Not Found")</f>
        <v>0</v>
      </c>
      <c r="U4433" t="str">
        <f t="shared" si="277"/>
        <v>Credit Card</v>
      </c>
      <c r="V4433" s="4" t="str">
        <f t="shared" si="278"/>
        <v>Normal</v>
      </c>
      <c r="W4433" s="4" t="str">
        <f t="shared" si="279"/>
        <v>Poor</v>
      </c>
      <c r="X4433" s="4">
        <f>AVERAGE(Table1[Purchase Amount])</f>
        <v>129.48419400000012</v>
      </c>
    </row>
    <row r="4434" spans="1:24" ht="15" customHeight="1" x14ac:dyDescent="0.25">
      <c r="A4434">
        <v>4532</v>
      </c>
      <c r="B4434">
        <v>25</v>
      </c>
      <c r="C4434" t="s">
        <v>27</v>
      </c>
      <c r="D4434" t="s">
        <v>38</v>
      </c>
      <c r="E4434" t="s">
        <v>29</v>
      </c>
      <c r="F4434" s="2">
        <v>720.43</v>
      </c>
      <c r="G4434" t="s">
        <v>82</v>
      </c>
      <c r="H4434" t="s">
        <v>55</v>
      </c>
      <c r="I4434" t="s">
        <v>46</v>
      </c>
      <c r="J4434" t="s">
        <v>33</v>
      </c>
      <c r="K4434">
        <v>1</v>
      </c>
      <c r="L4434" t="s">
        <v>23</v>
      </c>
      <c r="M4434" t="s">
        <v>61</v>
      </c>
      <c r="N4434" t="s">
        <v>34</v>
      </c>
      <c r="O4434">
        <v>0</v>
      </c>
      <c r="P4434" t="s">
        <v>53</v>
      </c>
      <c r="Q4434" t="s">
        <v>37</v>
      </c>
      <c r="R4434" s="1">
        <v>0.1</v>
      </c>
      <c r="S4434">
        <f t="shared" si="276"/>
        <v>648.38699999999994</v>
      </c>
      <c r="T4434">
        <f>IFERROR(VLOOKUP(A4434,Table1[[Customer ID]:[Discount Amount]], 6, FALSE),"Not Found")</f>
        <v>720.43</v>
      </c>
      <c r="U4434" t="str">
        <f t="shared" si="277"/>
        <v>Credit Card</v>
      </c>
      <c r="V4434" s="4" t="str">
        <f t="shared" si="278"/>
        <v>Normal</v>
      </c>
      <c r="W4434" s="4" t="str">
        <f t="shared" si="279"/>
        <v>Poor</v>
      </c>
      <c r="X4434" s="4">
        <f>AVERAGE(Table1[Purchase Amount])</f>
        <v>129.48419400000012</v>
      </c>
    </row>
    <row r="4435" spans="1:24" ht="15" customHeight="1" x14ac:dyDescent="0.25">
      <c r="A4435">
        <v>4533</v>
      </c>
      <c r="B4435">
        <v>43</v>
      </c>
      <c r="C4435" t="s">
        <v>16</v>
      </c>
      <c r="D4435" t="s">
        <v>72</v>
      </c>
      <c r="E4435" t="s">
        <v>81</v>
      </c>
      <c r="F4435" s="2">
        <v>0</v>
      </c>
      <c r="G4435" t="s">
        <v>126</v>
      </c>
      <c r="H4435" t="s">
        <v>31</v>
      </c>
      <c r="I4435" t="s">
        <v>40</v>
      </c>
      <c r="J4435" t="s">
        <v>57</v>
      </c>
      <c r="K4435">
        <v>1</v>
      </c>
      <c r="L4435" t="s">
        <v>23</v>
      </c>
      <c r="M4435" t="s">
        <v>61</v>
      </c>
      <c r="N4435" t="s">
        <v>23</v>
      </c>
      <c r="O4435">
        <v>3</v>
      </c>
      <c r="P4435" t="s">
        <v>36</v>
      </c>
      <c r="Q4435" t="s">
        <v>42</v>
      </c>
      <c r="R4435" s="1">
        <v>0.1</v>
      </c>
      <c r="S4435">
        <f t="shared" si="276"/>
        <v>0</v>
      </c>
      <c r="T4435">
        <f>IFERROR(VLOOKUP(A4435,Table1[[Customer ID]:[Discount Amount]], 6, FALSE),"Not Found")</f>
        <v>0</v>
      </c>
      <c r="U4435" t="str">
        <f t="shared" si="277"/>
        <v>Debit Card</v>
      </c>
      <c r="V4435" s="4" t="str">
        <f t="shared" si="278"/>
        <v>Normal</v>
      </c>
      <c r="W4435" s="4" t="str">
        <f t="shared" si="279"/>
        <v>Poor</v>
      </c>
      <c r="X4435" s="4">
        <f>AVERAGE(Table1[Purchase Amount])</f>
        <v>129.48419400000012</v>
      </c>
    </row>
    <row r="4436" spans="1:24" ht="15" customHeight="1" x14ac:dyDescent="0.25">
      <c r="A4436">
        <v>4534</v>
      </c>
      <c r="B4436">
        <v>42</v>
      </c>
      <c r="C4436" t="s">
        <v>27</v>
      </c>
      <c r="D4436" t="s">
        <v>72</v>
      </c>
      <c r="E4436" t="s">
        <v>18</v>
      </c>
      <c r="F4436" s="2">
        <v>0</v>
      </c>
      <c r="G4436" t="s">
        <v>73</v>
      </c>
      <c r="H4436" t="s">
        <v>45</v>
      </c>
      <c r="I4436" t="s">
        <v>40</v>
      </c>
      <c r="J4436" t="s">
        <v>33</v>
      </c>
      <c r="K4436">
        <v>1</v>
      </c>
      <c r="L4436" t="s">
        <v>23</v>
      </c>
      <c r="M4436" t="s">
        <v>24</v>
      </c>
      <c r="N4436" t="s">
        <v>23</v>
      </c>
      <c r="O4436">
        <v>0</v>
      </c>
      <c r="P4436" t="s">
        <v>25</v>
      </c>
      <c r="Q4436" t="s">
        <v>26</v>
      </c>
      <c r="R4436" s="1">
        <v>0.1</v>
      </c>
      <c r="S4436">
        <f t="shared" si="276"/>
        <v>0</v>
      </c>
      <c r="T4436">
        <f>IFERROR(VLOOKUP(A4436,Table1[[Customer ID]:[Discount Amount]], 6, FALSE),"Not Found")</f>
        <v>0</v>
      </c>
      <c r="U4436" t="str">
        <f t="shared" si="277"/>
        <v>Cash</v>
      </c>
      <c r="V4436" s="4" t="str">
        <f t="shared" si="278"/>
        <v>Normal</v>
      </c>
      <c r="W4436" s="4" t="str">
        <f t="shared" si="279"/>
        <v>Poor</v>
      </c>
      <c r="X4436" s="4">
        <f>AVERAGE(Table1[Purchase Amount])</f>
        <v>129.48419400000012</v>
      </c>
    </row>
    <row r="4437" spans="1:24" ht="15" customHeight="1" x14ac:dyDescent="0.25">
      <c r="A4437">
        <v>4535</v>
      </c>
      <c r="B4437">
        <v>26</v>
      </c>
      <c r="C4437" t="s">
        <v>27</v>
      </c>
      <c r="D4437" t="s">
        <v>95</v>
      </c>
      <c r="E4437" t="s">
        <v>18</v>
      </c>
      <c r="F4437" s="2">
        <v>0</v>
      </c>
      <c r="G4437" t="s">
        <v>139</v>
      </c>
      <c r="H4437" t="s">
        <v>55</v>
      </c>
      <c r="I4437" t="s">
        <v>74</v>
      </c>
      <c r="J4437" t="s">
        <v>22</v>
      </c>
      <c r="K4437">
        <v>1</v>
      </c>
      <c r="L4437" t="s">
        <v>34</v>
      </c>
      <c r="M4437" t="s">
        <v>24</v>
      </c>
      <c r="N4437" t="s">
        <v>23</v>
      </c>
      <c r="O4437">
        <v>0</v>
      </c>
      <c r="P4437" t="s">
        <v>25</v>
      </c>
      <c r="Q4437" t="s">
        <v>26</v>
      </c>
      <c r="R4437" s="1">
        <v>0.1</v>
      </c>
      <c r="S4437">
        <f t="shared" si="276"/>
        <v>0</v>
      </c>
      <c r="T4437">
        <f>IFERROR(VLOOKUP(A4437,Table1[[Customer ID]:[Discount Amount]], 6, FALSE),"Not Found")</f>
        <v>0</v>
      </c>
      <c r="U4437" t="str">
        <f t="shared" si="277"/>
        <v>Cash</v>
      </c>
      <c r="V4437" s="4" t="str">
        <f t="shared" si="278"/>
        <v>Normal</v>
      </c>
      <c r="W4437" s="4" t="str">
        <f t="shared" si="279"/>
        <v>Poor</v>
      </c>
      <c r="X4437" s="4">
        <f>AVERAGE(Table1[Purchase Amount])</f>
        <v>129.48419400000012</v>
      </c>
    </row>
    <row r="4438" spans="1:24" ht="15" customHeight="1" x14ac:dyDescent="0.25">
      <c r="A4438">
        <v>4536</v>
      </c>
      <c r="B4438">
        <v>41</v>
      </c>
      <c r="C4438" t="s">
        <v>27</v>
      </c>
      <c r="D4438" t="s">
        <v>116</v>
      </c>
      <c r="E4438" t="s">
        <v>29</v>
      </c>
      <c r="F4438" s="2">
        <v>202.12</v>
      </c>
      <c r="G4438" t="s">
        <v>101</v>
      </c>
      <c r="H4438" t="s">
        <v>45</v>
      </c>
      <c r="I4438" t="s">
        <v>74</v>
      </c>
      <c r="J4438" t="s">
        <v>57</v>
      </c>
      <c r="K4438">
        <v>2</v>
      </c>
      <c r="L4438" t="s">
        <v>23</v>
      </c>
      <c r="M4438" t="s">
        <v>24</v>
      </c>
      <c r="N4438" t="s">
        <v>23</v>
      </c>
      <c r="O4438">
        <v>0</v>
      </c>
      <c r="P4438" t="s">
        <v>25</v>
      </c>
      <c r="Q4438" t="s">
        <v>26</v>
      </c>
      <c r="R4438" s="1">
        <v>0.1</v>
      </c>
      <c r="S4438">
        <f t="shared" si="276"/>
        <v>181.90800000000002</v>
      </c>
      <c r="T4438">
        <f>IFERROR(VLOOKUP(A4438,Table1[[Customer ID]:[Discount Amount]], 6, FALSE),"Not Found")</f>
        <v>202.12</v>
      </c>
      <c r="U4438" t="str">
        <f t="shared" si="277"/>
        <v>Cash</v>
      </c>
      <c r="V4438" s="4" t="str">
        <f t="shared" si="278"/>
        <v>Normal</v>
      </c>
      <c r="W4438" s="4" t="str">
        <f t="shared" si="279"/>
        <v>Poor</v>
      </c>
      <c r="X4438" s="4">
        <f>AVERAGE(Table1[Purchase Amount])</f>
        <v>129.48419400000012</v>
      </c>
    </row>
    <row r="4439" spans="1:24" ht="15" customHeight="1" x14ac:dyDescent="0.25">
      <c r="A4439">
        <v>4537</v>
      </c>
      <c r="B4439">
        <v>47</v>
      </c>
      <c r="C4439" t="s">
        <v>16</v>
      </c>
      <c r="D4439" t="s">
        <v>95</v>
      </c>
      <c r="E4439" t="s">
        <v>18</v>
      </c>
      <c r="F4439" s="2">
        <v>0</v>
      </c>
      <c r="G4439" t="s">
        <v>126</v>
      </c>
      <c r="H4439" t="s">
        <v>45</v>
      </c>
      <c r="I4439" t="s">
        <v>93</v>
      </c>
      <c r="J4439" t="s">
        <v>33</v>
      </c>
      <c r="K4439">
        <v>1</v>
      </c>
      <c r="L4439" t="s">
        <v>23</v>
      </c>
      <c r="M4439" t="s">
        <v>24</v>
      </c>
      <c r="N4439" t="s">
        <v>23</v>
      </c>
      <c r="O4439">
        <v>35</v>
      </c>
      <c r="P4439" t="s">
        <v>36</v>
      </c>
      <c r="Q4439" t="s">
        <v>42</v>
      </c>
      <c r="R4439" s="1">
        <v>0.1</v>
      </c>
      <c r="S4439">
        <f t="shared" si="276"/>
        <v>0</v>
      </c>
      <c r="T4439">
        <f>IFERROR(VLOOKUP(A4439,Table1[[Customer ID]:[Discount Amount]], 6, FALSE),"Not Found")</f>
        <v>0</v>
      </c>
      <c r="U4439" t="str">
        <f t="shared" si="277"/>
        <v>Debit Card</v>
      </c>
      <c r="V4439" s="4" t="str">
        <f t="shared" si="278"/>
        <v>Normal</v>
      </c>
      <c r="W4439" s="4" t="str">
        <f t="shared" si="279"/>
        <v>Poor</v>
      </c>
      <c r="X4439" s="4">
        <f>AVERAGE(Table1[Purchase Amount])</f>
        <v>129.48419400000012</v>
      </c>
    </row>
    <row r="4440" spans="1:24" ht="15" customHeight="1" x14ac:dyDescent="0.25">
      <c r="A4440">
        <v>4538</v>
      </c>
      <c r="B4440">
        <v>42</v>
      </c>
      <c r="C4440" t="s">
        <v>16</v>
      </c>
      <c r="D4440" t="s">
        <v>38</v>
      </c>
      <c r="E4440" t="s">
        <v>18</v>
      </c>
      <c r="F4440" s="2">
        <v>763</v>
      </c>
      <c r="G4440" t="s">
        <v>73</v>
      </c>
      <c r="H4440" t="s">
        <v>45</v>
      </c>
      <c r="I4440" t="s">
        <v>40</v>
      </c>
      <c r="J4440" t="s">
        <v>75</v>
      </c>
      <c r="K4440">
        <v>1</v>
      </c>
      <c r="L4440" t="s">
        <v>23</v>
      </c>
      <c r="M4440" t="s">
        <v>24</v>
      </c>
      <c r="N4440" t="s">
        <v>23</v>
      </c>
      <c r="O4440">
        <v>0</v>
      </c>
      <c r="P4440" t="s">
        <v>53</v>
      </c>
      <c r="Q4440" t="s">
        <v>42</v>
      </c>
      <c r="R4440" s="1">
        <v>0.1</v>
      </c>
      <c r="S4440">
        <f t="shared" si="276"/>
        <v>686.7</v>
      </c>
      <c r="T4440">
        <f>IFERROR(VLOOKUP(A4440,Table1[[Customer ID]:[Discount Amount]], 6, FALSE),"Not Found")</f>
        <v>763</v>
      </c>
      <c r="U4440" t="str">
        <f t="shared" si="277"/>
        <v>Credit Card</v>
      </c>
      <c r="V4440" s="4" t="str">
        <f t="shared" si="278"/>
        <v>Normal</v>
      </c>
      <c r="W4440" s="4" t="str">
        <f t="shared" si="279"/>
        <v>Poor</v>
      </c>
      <c r="X4440" s="4">
        <f>AVERAGE(Table1[Purchase Amount])</f>
        <v>129.48419400000012</v>
      </c>
    </row>
    <row r="4441" spans="1:24" ht="15" customHeight="1" x14ac:dyDescent="0.25">
      <c r="A4441">
        <v>4539</v>
      </c>
      <c r="B4441">
        <v>23</v>
      </c>
      <c r="C4441" t="s">
        <v>71</v>
      </c>
      <c r="D4441" t="s">
        <v>38</v>
      </c>
      <c r="E4441" t="s">
        <v>29</v>
      </c>
      <c r="F4441" s="2">
        <v>0</v>
      </c>
      <c r="G4441" t="s">
        <v>82</v>
      </c>
      <c r="H4441" t="s">
        <v>55</v>
      </c>
      <c r="I4441" t="s">
        <v>46</v>
      </c>
      <c r="J4441" t="s">
        <v>22</v>
      </c>
      <c r="K4441">
        <v>1</v>
      </c>
      <c r="L4441" t="s">
        <v>34</v>
      </c>
      <c r="M4441" t="s">
        <v>24</v>
      </c>
      <c r="N4441" t="s">
        <v>23</v>
      </c>
      <c r="O4441">
        <v>46</v>
      </c>
      <c r="P4441" t="s">
        <v>36</v>
      </c>
      <c r="Q4441" t="s">
        <v>42</v>
      </c>
      <c r="R4441" s="1">
        <v>0.1</v>
      </c>
      <c r="S4441">
        <f t="shared" si="276"/>
        <v>0</v>
      </c>
      <c r="T4441">
        <f>IFERROR(VLOOKUP(A4441,Table1[[Customer ID]:[Discount Amount]], 6, FALSE),"Not Found")</f>
        <v>0</v>
      </c>
      <c r="U4441" t="str">
        <f t="shared" si="277"/>
        <v>Debit Card</v>
      </c>
      <c r="V4441" s="4" t="str">
        <f t="shared" si="278"/>
        <v>Normal</v>
      </c>
      <c r="W4441" s="4" t="str">
        <f t="shared" si="279"/>
        <v>Poor</v>
      </c>
      <c r="X4441" s="4">
        <f>AVERAGE(Table1[Purchase Amount])</f>
        <v>129.48419400000012</v>
      </c>
    </row>
    <row r="4442" spans="1:24" ht="15" customHeight="1" x14ac:dyDescent="0.25">
      <c r="A4442">
        <v>4540</v>
      </c>
      <c r="B4442">
        <v>49</v>
      </c>
      <c r="C4442" t="s">
        <v>16</v>
      </c>
      <c r="D4442" t="s">
        <v>80</v>
      </c>
      <c r="E4442" t="s">
        <v>29</v>
      </c>
      <c r="F4442" s="2">
        <v>446.02</v>
      </c>
      <c r="G4442" t="s">
        <v>126</v>
      </c>
      <c r="H4442" t="s">
        <v>31</v>
      </c>
      <c r="I4442" t="s">
        <v>93</v>
      </c>
      <c r="J4442" t="s">
        <v>33</v>
      </c>
      <c r="K4442">
        <v>1</v>
      </c>
      <c r="L4442" t="s">
        <v>23</v>
      </c>
      <c r="M4442" t="s">
        <v>24</v>
      </c>
      <c r="N4442" t="s">
        <v>34</v>
      </c>
      <c r="O4442">
        <v>15</v>
      </c>
      <c r="P4442" t="s">
        <v>36</v>
      </c>
      <c r="Q4442" t="s">
        <v>37</v>
      </c>
      <c r="R4442" s="1">
        <v>0.1</v>
      </c>
      <c r="S4442">
        <f t="shared" si="276"/>
        <v>401.41800000000001</v>
      </c>
      <c r="T4442">
        <f>IFERROR(VLOOKUP(A4442,Table1[[Customer ID]:[Discount Amount]], 6, FALSE),"Not Found")</f>
        <v>446.02</v>
      </c>
      <c r="U4442" t="str">
        <f t="shared" si="277"/>
        <v>Debit Card</v>
      </c>
      <c r="V4442" s="4" t="str">
        <f t="shared" si="278"/>
        <v>Normal</v>
      </c>
      <c r="W4442" s="4" t="str">
        <f t="shared" si="279"/>
        <v>Poor</v>
      </c>
      <c r="X4442" s="4">
        <f>AVERAGE(Table1[Purchase Amount])</f>
        <v>129.48419400000012</v>
      </c>
    </row>
    <row r="4443" spans="1:24" ht="15" customHeight="1" x14ac:dyDescent="0.25">
      <c r="A4443">
        <v>4541</v>
      </c>
      <c r="B4443">
        <v>60</v>
      </c>
      <c r="C4443" t="s">
        <v>27</v>
      </c>
      <c r="D4443" t="s">
        <v>38</v>
      </c>
      <c r="E4443" t="s">
        <v>81</v>
      </c>
      <c r="F4443" s="2">
        <v>0</v>
      </c>
      <c r="G4443" t="s">
        <v>73</v>
      </c>
      <c r="H4443" t="s">
        <v>31</v>
      </c>
      <c r="I4443" t="s">
        <v>46</v>
      </c>
      <c r="J4443" t="s">
        <v>57</v>
      </c>
      <c r="K4443">
        <v>1</v>
      </c>
      <c r="L4443" t="s">
        <v>23</v>
      </c>
      <c r="M4443" t="s">
        <v>61</v>
      </c>
      <c r="N4443" t="s">
        <v>34</v>
      </c>
      <c r="O4443">
        <v>45</v>
      </c>
      <c r="P4443" t="s">
        <v>53</v>
      </c>
      <c r="Q4443" t="s">
        <v>26</v>
      </c>
      <c r="R4443" s="1">
        <v>0.1</v>
      </c>
      <c r="S4443">
        <f t="shared" si="276"/>
        <v>0</v>
      </c>
      <c r="T4443">
        <f>IFERROR(VLOOKUP(A4443,Table1[[Customer ID]:[Discount Amount]], 6, FALSE),"Not Found")</f>
        <v>0</v>
      </c>
      <c r="U4443" t="str">
        <f t="shared" si="277"/>
        <v>Credit Card</v>
      </c>
      <c r="V4443" s="4" t="str">
        <f t="shared" si="278"/>
        <v>Normal</v>
      </c>
      <c r="W4443" s="4" t="str">
        <f t="shared" si="279"/>
        <v>Poor</v>
      </c>
      <c r="X4443" s="4">
        <f>AVERAGE(Table1[Purchase Amount])</f>
        <v>129.48419400000012</v>
      </c>
    </row>
    <row r="4444" spans="1:24" ht="15" customHeight="1" x14ac:dyDescent="0.25">
      <c r="A4444">
        <v>4542</v>
      </c>
      <c r="B4444">
        <v>28</v>
      </c>
      <c r="C4444" t="s">
        <v>71</v>
      </c>
      <c r="D4444" t="s">
        <v>72</v>
      </c>
      <c r="E4444" t="s">
        <v>81</v>
      </c>
      <c r="F4444" s="2">
        <v>0</v>
      </c>
      <c r="G4444" t="s">
        <v>126</v>
      </c>
      <c r="H4444" t="s">
        <v>31</v>
      </c>
      <c r="I4444" t="s">
        <v>46</v>
      </c>
      <c r="J4444" t="s">
        <v>57</v>
      </c>
      <c r="K4444">
        <v>1</v>
      </c>
      <c r="L4444" t="s">
        <v>34</v>
      </c>
      <c r="M4444" t="s">
        <v>61</v>
      </c>
      <c r="N4444" t="s">
        <v>23</v>
      </c>
      <c r="O4444">
        <v>0</v>
      </c>
      <c r="P4444" t="s">
        <v>58</v>
      </c>
      <c r="Q4444" t="s">
        <v>26</v>
      </c>
      <c r="R4444" s="1">
        <v>0.1</v>
      </c>
      <c r="S4444">
        <f t="shared" si="276"/>
        <v>0</v>
      </c>
      <c r="T4444">
        <f>IFERROR(VLOOKUP(A4444,Table1[[Customer ID]:[Discount Amount]], 6, FALSE),"Not Found")</f>
        <v>0</v>
      </c>
      <c r="U4444" t="str">
        <f t="shared" si="277"/>
        <v>PayPal</v>
      </c>
      <c r="V4444" s="4" t="str">
        <f t="shared" si="278"/>
        <v>Normal</v>
      </c>
      <c r="W4444" s="4" t="str">
        <f t="shared" si="279"/>
        <v>Poor</v>
      </c>
      <c r="X4444" s="4">
        <f>AVERAGE(Table1[Purchase Amount])</f>
        <v>129.48419400000012</v>
      </c>
    </row>
    <row r="4445" spans="1:24" ht="15" customHeight="1" x14ac:dyDescent="0.25">
      <c r="A4445">
        <v>4543</v>
      </c>
      <c r="B4445">
        <v>22</v>
      </c>
      <c r="C4445" t="s">
        <v>16</v>
      </c>
      <c r="D4445" t="s">
        <v>95</v>
      </c>
      <c r="E4445" t="s">
        <v>29</v>
      </c>
      <c r="F4445" s="2">
        <v>0</v>
      </c>
      <c r="G4445" t="s">
        <v>73</v>
      </c>
      <c r="H4445" t="s">
        <v>45</v>
      </c>
      <c r="I4445" t="s">
        <v>46</v>
      </c>
      <c r="J4445" t="s">
        <v>22</v>
      </c>
      <c r="K4445">
        <v>5</v>
      </c>
      <c r="L4445" t="s">
        <v>23</v>
      </c>
      <c r="M4445" t="s">
        <v>61</v>
      </c>
      <c r="N4445" t="s">
        <v>34</v>
      </c>
      <c r="O4445">
        <v>0</v>
      </c>
      <c r="P4445" t="s">
        <v>58</v>
      </c>
      <c r="Q4445" t="s">
        <v>26</v>
      </c>
      <c r="R4445" s="1">
        <v>0.1</v>
      </c>
      <c r="S4445">
        <f t="shared" si="276"/>
        <v>0</v>
      </c>
      <c r="T4445">
        <f>IFERROR(VLOOKUP(A4445,Table1[[Customer ID]:[Discount Amount]], 6, FALSE),"Not Found")</f>
        <v>0</v>
      </c>
      <c r="U4445" t="str">
        <f t="shared" si="277"/>
        <v>PayPal</v>
      </c>
      <c r="V4445" s="4" t="str">
        <f t="shared" si="278"/>
        <v>Normal</v>
      </c>
      <c r="W4445" s="4" t="str">
        <f t="shared" si="279"/>
        <v>Good</v>
      </c>
      <c r="X4445" s="4">
        <f>AVERAGE(Table1[Purchase Amount])</f>
        <v>129.48419400000012</v>
      </c>
    </row>
    <row r="4446" spans="1:24" ht="15" customHeight="1" x14ac:dyDescent="0.25">
      <c r="A4446">
        <v>4544</v>
      </c>
      <c r="B4446">
        <v>45</v>
      </c>
      <c r="C4446" t="s">
        <v>71</v>
      </c>
      <c r="D4446" t="s">
        <v>112</v>
      </c>
      <c r="E4446" t="s">
        <v>29</v>
      </c>
      <c r="F4446" s="2">
        <v>253.94</v>
      </c>
      <c r="G4446" t="s">
        <v>139</v>
      </c>
      <c r="H4446" t="s">
        <v>45</v>
      </c>
      <c r="I4446" t="s">
        <v>93</v>
      </c>
      <c r="J4446" t="s">
        <v>22</v>
      </c>
      <c r="K4446">
        <v>2</v>
      </c>
      <c r="L4446" t="s">
        <v>34</v>
      </c>
      <c r="M4446" t="s">
        <v>24</v>
      </c>
      <c r="N4446" t="s">
        <v>34</v>
      </c>
      <c r="O4446">
        <v>28</v>
      </c>
      <c r="P4446" t="s">
        <v>36</v>
      </c>
      <c r="Q4446" t="s">
        <v>37</v>
      </c>
      <c r="R4446" s="1">
        <v>0.1</v>
      </c>
      <c r="S4446">
        <f t="shared" si="276"/>
        <v>228.54599999999999</v>
      </c>
      <c r="T4446">
        <f>IFERROR(VLOOKUP(A4446,Table1[[Customer ID]:[Discount Amount]], 6, FALSE),"Not Found")</f>
        <v>253.94</v>
      </c>
      <c r="U4446" t="str">
        <f t="shared" si="277"/>
        <v>Debit Card</v>
      </c>
      <c r="V4446" s="4" t="str">
        <f t="shared" si="278"/>
        <v>Normal</v>
      </c>
      <c r="W4446" s="4" t="str">
        <f t="shared" si="279"/>
        <v>Poor</v>
      </c>
      <c r="X4446" s="4">
        <f>AVERAGE(Table1[Purchase Amount])</f>
        <v>129.48419400000012</v>
      </c>
    </row>
    <row r="4447" spans="1:24" ht="15" customHeight="1" x14ac:dyDescent="0.25">
      <c r="A4447">
        <v>4545</v>
      </c>
      <c r="B4447">
        <v>39</v>
      </c>
      <c r="C4447" t="s">
        <v>16</v>
      </c>
      <c r="D4447" t="s">
        <v>95</v>
      </c>
      <c r="E4447" t="s">
        <v>18</v>
      </c>
      <c r="F4447" s="2">
        <v>474.11</v>
      </c>
      <c r="G4447" t="s">
        <v>73</v>
      </c>
      <c r="H4447" t="s">
        <v>31</v>
      </c>
      <c r="I4447" t="s">
        <v>74</v>
      </c>
      <c r="J4447" t="s">
        <v>22</v>
      </c>
      <c r="K4447">
        <v>4</v>
      </c>
      <c r="L4447" t="s">
        <v>34</v>
      </c>
      <c r="M4447" t="s">
        <v>61</v>
      </c>
      <c r="N4447" t="s">
        <v>34</v>
      </c>
      <c r="O4447">
        <v>22</v>
      </c>
      <c r="P4447" t="s">
        <v>25</v>
      </c>
      <c r="Q4447" t="s">
        <v>42</v>
      </c>
      <c r="R4447" s="1">
        <v>0.1</v>
      </c>
      <c r="S4447">
        <f t="shared" si="276"/>
        <v>426.69900000000001</v>
      </c>
      <c r="T4447">
        <f>IFERROR(VLOOKUP(A4447,Table1[[Customer ID]:[Discount Amount]], 6, FALSE),"Not Found")</f>
        <v>474.11</v>
      </c>
      <c r="U4447" t="str">
        <f t="shared" si="277"/>
        <v>Cash</v>
      </c>
      <c r="V4447" s="4" t="str">
        <f t="shared" si="278"/>
        <v>Normal</v>
      </c>
      <c r="W4447" s="4" t="str">
        <f t="shared" si="279"/>
        <v>Good</v>
      </c>
      <c r="X4447" s="4">
        <f>AVERAGE(Table1[Purchase Amount])</f>
        <v>129.48419400000012</v>
      </c>
    </row>
    <row r="4448" spans="1:24" ht="15" customHeight="1" x14ac:dyDescent="0.25">
      <c r="A4448">
        <v>4546</v>
      </c>
      <c r="B4448">
        <v>64</v>
      </c>
      <c r="C4448" t="s">
        <v>71</v>
      </c>
      <c r="D4448" t="s">
        <v>112</v>
      </c>
      <c r="E4448" t="s">
        <v>18</v>
      </c>
      <c r="F4448" s="2">
        <v>1200.04</v>
      </c>
      <c r="G4448" t="s">
        <v>82</v>
      </c>
      <c r="H4448" t="s">
        <v>45</v>
      </c>
      <c r="I4448" t="s">
        <v>74</v>
      </c>
      <c r="J4448" t="s">
        <v>22</v>
      </c>
      <c r="K4448">
        <v>3</v>
      </c>
      <c r="L4448" t="s">
        <v>34</v>
      </c>
      <c r="M4448" t="s">
        <v>61</v>
      </c>
      <c r="N4448" t="s">
        <v>34</v>
      </c>
      <c r="O4448">
        <v>0</v>
      </c>
      <c r="P4448" t="s">
        <v>25</v>
      </c>
      <c r="Q4448" t="s">
        <v>37</v>
      </c>
      <c r="R4448" s="1">
        <v>0.1</v>
      </c>
      <c r="S4448">
        <f t="shared" si="276"/>
        <v>1080.0360000000001</v>
      </c>
      <c r="T4448">
        <f>IFERROR(VLOOKUP(A4448,Table1[[Customer ID]:[Discount Amount]], 6, FALSE),"Not Found")</f>
        <v>1200.04</v>
      </c>
      <c r="U4448" t="str">
        <f t="shared" si="277"/>
        <v>Cash</v>
      </c>
      <c r="V4448" s="4" t="str">
        <f t="shared" si="278"/>
        <v>Normal</v>
      </c>
      <c r="W4448" s="4" t="str">
        <f t="shared" si="279"/>
        <v>Good</v>
      </c>
      <c r="X4448" s="4">
        <f>AVERAGE(Table1[Purchase Amount])</f>
        <v>129.48419400000012</v>
      </c>
    </row>
    <row r="4449" spans="1:24" ht="15" customHeight="1" x14ac:dyDescent="0.25">
      <c r="A4449">
        <v>4547</v>
      </c>
      <c r="B4449">
        <v>66</v>
      </c>
      <c r="C4449" t="s">
        <v>16</v>
      </c>
      <c r="D4449" t="s">
        <v>116</v>
      </c>
      <c r="E4449" t="s">
        <v>81</v>
      </c>
      <c r="F4449" s="2">
        <v>0</v>
      </c>
      <c r="G4449" t="s">
        <v>73</v>
      </c>
      <c r="H4449" t="s">
        <v>31</v>
      </c>
      <c r="I4449" t="s">
        <v>93</v>
      </c>
      <c r="J4449" t="s">
        <v>33</v>
      </c>
      <c r="K4449">
        <v>4</v>
      </c>
      <c r="L4449" t="s">
        <v>34</v>
      </c>
      <c r="M4449" t="s">
        <v>24</v>
      </c>
      <c r="N4449" t="s">
        <v>34</v>
      </c>
      <c r="O4449">
        <v>30</v>
      </c>
      <c r="P4449" t="s">
        <v>53</v>
      </c>
      <c r="Q4449" t="s">
        <v>37</v>
      </c>
      <c r="R4449" s="1">
        <v>0.1</v>
      </c>
      <c r="S4449">
        <f t="shared" si="276"/>
        <v>0</v>
      </c>
      <c r="T4449">
        <f>IFERROR(VLOOKUP(A4449,Table1[[Customer ID]:[Discount Amount]], 6, FALSE),"Not Found")</f>
        <v>0</v>
      </c>
      <c r="U4449" t="str">
        <f t="shared" si="277"/>
        <v>Credit Card</v>
      </c>
      <c r="V4449" s="4" t="str">
        <f t="shared" si="278"/>
        <v>Normal</v>
      </c>
      <c r="W4449" s="4" t="str">
        <f t="shared" si="279"/>
        <v>Good</v>
      </c>
      <c r="X4449" s="4">
        <f>AVERAGE(Table1[Purchase Amount])</f>
        <v>129.48419400000012</v>
      </c>
    </row>
    <row r="4450" spans="1:24" ht="15" customHeight="1" x14ac:dyDescent="0.25">
      <c r="A4450">
        <v>4548</v>
      </c>
      <c r="B4450">
        <v>66</v>
      </c>
      <c r="C4450" t="s">
        <v>16</v>
      </c>
      <c r="D4450" t="s">
        <v>117</v>
      </c>
      <c r="E4450" t="s">
        <v>18</v>
      </c>
      <c r="F4450" s="2">
        <v>1342.17</v>
      </c>
      <c r="G4450" t="s">
        <v>101</v>
      </c>
      <c r="H4450" t="s">
        <v>45</v>
      </c>
      <c r="I4450" t="s">
        <v>40</v>
      </c>
      <c r="J4450" t="s">
        <v>57</v>
      </c>
      <c r="K4450">
        <v>1</v>
      </c>
      <c r="L4450" t="s">
        <v>23</v>
      </c>
      <c r="M4450" t="s">
        <v>24</v>
      </c>
      <c r="N4450" t="s">
        <v>34</v>
      </c>
      <c r="O4450">
        <v>11</v>
      </c>
      <c r="P4450" t="s">
        <v>53</v>
      </c>
      <c r="Q4450" t="s">
        <v>42</v>
      </c>
      <c r="R4450" s="1">
        <v>0.1</v>
      </c>
      <c r="S4450">
        <f t="shared" si="276"/>
        <v>1207.953</v>
      </c>
      <c r="T4450">
        <f>IFERROR(VLOOKUP(A4450,Table1[[Customer ID]:[Discount Amount]], 6, FALSE),"Not Found")</f>
        <v>1342.17</v>
      </c>
      <c r="U4450" t="str">
        <f t="shared" si="277"/>
        <v>Credit Card</v>
      </c>
      <c r="V4450" s="4" t="str">
        <f t="shared" si="278"/>
        <v>Normal</v>
      </c>
      <c r="W4450" s="4" t="str">
        <f t="shared" si="279"/>
        <v>Poor</v>
      </c>
      <c r="X4450" s="4">
        <f>AVERAGE(Table1[Purchase Amount])</f>
        <v>129.48419400000012</v>
      </c>
    </row>
    <row r="4451" spans="1:24" ht="15" customHeight="1" x14ac:dyDescent="0.25">
      <c r="A4451">
        <v>4549</v>
      </c>
      <c r="B4451">
        <v>51</v>
      </c>
      <c r="C4451" t="s">
        <v>27</v>
      </c>
      <c r="D4451" t="s">
        <v>116</v>
      </c>
      <c r="E4451" t="s">
        <v>18</v>
      </c>
      <c r="F4451" s="2">
        <v>0</v>
      </c>
      <c r="G4451" t="s">
        <v>82</v>
      </c>
      <c r="H4451" t="s">
        <v>55</v>
      </c>
      <c r="I4451" t="s">
        <v>32</v>
      </c>
      <c r="J4451" t="s">
        <v>22</v>
      </c>
      <c r="K4451">
        <v>1</v>
      </c>
      <c r="L4451" t="s">
        <v>34</v>
      </c>
      <c r="M4451" t="s">
        <v>61</v>
      </c>
      <c r="N4451" t="s">
        <v>34</v>
      </c>
      <c r="O4451">
        <v>0</v>
      </c>
      <c r="P4451" t="s">
        <v>36</v>
      </c>
      <c r="Q4451" t="s">
        <v>26</v>
      </c>
      <c r="R4451" s="1">
        <v>0.1</v>
      </c>
      <c r="S4451">
        <f t="shared" si="276"/>
        <v>0</v>
      </c>
      <c r="T4451">
        <f>IFERROR(VLOOKUP(A4451,Table1[[Customer ID]:[Discount Amount]], 6, FALSE),"Not Found")</f>
        <v>0</v>
      </c>
      <c r="U4451" t="str">
        <f t="shared" si="277"/>
        <v>Debit Card</v>
      </c>
      <c r="V4451" s="4" t="str">
        <f t="shared" si="278"/>
        <v>Normal</v>
      </c>
      <c r="W4451" s="4" t="str">
        <f t="shared" si="279"/>
        <v>Poor</v>
      </c>
      <c r="X4451" s="4">
        <f>AVERAGE(Table1[Purchase Amount])</f>
        <v>129.48419400000012</v>
      </c>
    </row>
    <row r="4452" spans="1:24" ht="15" customHeight="1" x14ac:dyDescent="0.25">
      <c r="A4452">
        <v>4550</v>
      </c>
      <c r="B4452">
        <v>65</v>
      </c>
      <c r="C4452" t="s">
        <v>27</v>
      </c>
      <c r="D4452" t="s">
        <v>112</v>
      </c>
      <c r="E4452" t="s">
        <v>18</v>
      </c>
      <c r="F4452" s="2">
        <v>0</v>
      </c>
      <c r="G4452" t="s">
        <v>139</v>
      </c>
      <c r="H4452" t="s">
        <v>45</v>
      </c>
      <c r="I4452" t="s">
        <v>74</v>
      </c>
      <c r="J4452" t="s">
        <v>22</v>
      </c>
      <c r="K4452">
        <v>5</v>
      </c>
      <c r="L4452" t="s">
        <v>23</v>
      </c>
      <c r="M4452" t="s">
        <v>24</v>
      </c>
      <c r="N4452" t="s">
        <v>23</v>
      </c>
      <c r="O4452">
        <v>17</v>
      </c>
      <c r="P4452" t="s">
        <v>53</v>
      </c>
      <c r="Q4452" t="s">
        <v>37</v>
      </c>
      <c r="R4452" s="1">
        <v>0.1</v>
      </c>
      <c r="S4452">
        <f t="shared" si="276"/>
        <v>0</v>
      </c>
      <c r="T4452">
        <f>IFERROR(VLOOKUP(A4452,Table1[[Customer ID]:[Discount Amount]], 6, FALSE),"Not Found")</f>
        <v>0</v>
      </c>
      <c r="U4452" t="str">
        <f t="shared" si="277"/>
        <v>Credit Card</v>
      </c>
      <c r="V4452" s="4" t="str">
        <f t="shared" si="278"/>
        <v>Normal</v>
      </c>
      <c r="W4452" s="4" t="str">
        <f t="shared" si="279"/>
        <v>Good</v>
      </c>
      <c r="X4452" s="4">
        <f>AVERAGE(Table1[Purchase Amount])</f>
        <v>129.48419400000012</v>
      </c>
    </row>
    <row r="4453" spans="1:24" ht="15" customHeight="1" x14ac:dyDescent="0.25">
      <c r="A4453">
        <v>4551</v>
      </c>
      <c r="B4453">
        <v>64</v>
      </c>
      <c r="C4453" t="s">
        <v>71</v>
      </c>
      <c r="D4453" t="s">
        <v>38</v>
      </c>
      <c r="E4453" t="s">
        <v>81</v>
      </c>
      <c r="F4453" s="2">
        <v>0</v>
      </c>
      <c r="G4453" t="s">
        <v>101</v>
      </c>
      <c r="H4453" t="s">
        <v>31</v>
      </c>
      <c r="I4453" t="s">
        <v>46</v>
      </c>
      <c r="J4453" t="s">
        <v>75</v>
      </c>
      <c r="K4453">
        <v>1</v>
      </c>
      <c r="L4453" t="s">
        <v>34</v>
      </c>
      <c r="M4453" t="s">
        <v>61</v>
      </c>
      <c r="N4453" t="s">
        <v>23</v>
      </c>
      <c r="O4453">
        <v>37</v>
      </c>
      <c r="P4453" t="s">
        <v>36</v>
      </c>
      <c r="Q4453" t="s">
        <v>37</v>
      </c>
      <c r="R4453" s="1">
        <v>0.1</v>
      </c>
      <c r="S4453">
        <f t="shared" si="276"/>
        <v>0</v>
      </c>
      <c r="T4453">
        <f>IFERROR(VLOOKUP(A4453,Table1[[Customer ID]:[Discount Amount]], 6, FALSE),"Not Found")</f>
        <v>0</v>
      </c>
      <c r="U4453" t="str">
        <f t="shared" si="277"/>
        <v>Debit Card</v>
      </c>
      <c r="V4453" s="4" t="str">
        <f t="shared" si="278"/>
        <v>Normal</v>
      </c>
      <c r="W4453" s="4" t="str">
        <f t="shared" si="279"/>
        <v>Poor</v>
      </c>
      <c r="X4453" s="4">
        <f>AVERAGE(Table1[Purchase Amount])</f>
        <v>129.48419400000012</v>
      </c>
    </row>
    <row r="4454" spans="1:24" ht="15" customHeight="1" x14ac:dyDescent="0.25">
      <c r="A4454">
        <v>4552</v>
      </c>
      <c r="B4454">
        <v>57</v>
      </c>
      <c r="C4454" t="s">
        <v>27</v>
      </c>
      <c r="D4454" t="s">
        <v>72</v>
      </c>
      <c r="E4454" t="s">
        <v>18</v>
      </c>
      <c r="F4454" s="2">
        <v>0</v>
      </c>
      <c r="G4454" t="s">
        <v>101</v>
      </c>
      <c r="H4454" t="s">
        <v>55</v>
      </c>
      <c r="I4454" t="s">
        <v>46</v>
      </c>
      <c r="J4454" t="s">
        <v>22</v>
      </c>
      <c r="K4454">
        <v>1</v>
      </c>
      <c r="L4454" t="s">
        <v>23</v>
      </c>
      <c r="M4454" t="s">
        <v>61</v>
      </c>
      <c r="N4454" t="s">
        <v>23</v>
      </c>
      <c r="O4454">
        <v>0</v>
      </c>
      <c r="P4454" t="s">
        <v>58</v>
      </c>
      <c r="Q4454" t="s">
        <v>37</v>
      </c>
      <c r="R4454" s="1">
        <v>0.1</v>
      </c>
      <c r="S4454">
        <f t="shared" si="276"/>
        <v>0</v>
      </c>
      <c r="T4454">
        <f>IFERROR(VLOOKUP(A4454,Table1[[Customer ID]:[Discount Amount]], 6, FALSE),"Not Found")</f>
        <v>0</v>
      </c>
      <c r="U4454" t="str">
        <f t="shared" si="277"/>
        <v>PayPal</v>
      </c>
      <c r="V4454" s="4" t="str">
        <f t="shared" si="278"/>
        <v>Normal</v>
      </c>
      <c r="W4454" s="4" t="str">
        <f t="shared" si="279"/>
        <v>Poor</v>
      </c>
      <c r="X4454" s="4">
        <f>AVERAGE(Table1[Purchase Amount])</f>
        <v>129.48419400000012</v>
      </c>
    </row>
    <row r="4455" spans="1:24" ht="15" customHeight="1" x14ac:dyDescent="0.25">
      <c r="A4455">
        <v>4553</v>
      </c>
      <c r="B4455">
        <v>70</v>
      </c>
      <c r="C4455" t="s">
        <v>16</v>
      </c>
      <c r="D4455" t="s">
        <v>116</v>
      </c>
      <c r="E4455" t="s">
        <v>18</v>
      </c>
      <c r="F4455" s="2">
        <v>0</v>
      </c>
      <c r="G4455" t="s">
        <v>139</v>
      </c>
      <c r="H4455" t="s">
        <v>31</v>
      </c>
      <c r="I4455" t="s">
        <v>46</v>
      </c>
      <c r="J4455" t="s">
        <v>33</v>
      </c>
      <c r="K4455">
        <v>1</v>
      </c>
      <c r="L4455" t="s">
        <v>34</v>
      </c>
      <c r="M4455" t="s">
        <v>24</v>
      </c>
      <c r="N4455" t="s">
        <v>23</v>
      </c>
      <c r="O4455">
        <v>0</v>
      </c>
      <c r="P4455" t="s">
        <v>53</v>
      </c>
      <c r="Q4455" t="s">
        <v>42</v>
      </c>
      <c r="R4455" s="1">
        <v>0.1</v>
      </c>
      <c r="S4455">
        <f t="shared" si="276"/>
        <v>0</v>
      </c>
      <c r="T4455">
        <f>IFERROR(VLOOKUP(A4455,Table1[[Customer ID]:[Discount Amount]], 6, FALSE),"Not Found")</f>
        <v>0</v>
      </c>
      <c r="U4455" t="str">
        <f t="shared" si="277"/>
        <v>Credit Card</v>
      </c>
      <c r="V4455" s="4" t="str">
        <f t="shared" si="278"/>
        <v>Normal</v>
      </c>
      <c r="W4455" s="4" t="str">
        <f t="shared" si="279"/>
        <v>Poor</v>
      </c>
      <c r="X4455" s="4">
        <f>AVERAGE(Table1[Purchase Amount])</f>
        <v>129.48419400000012</v>
      </c>
    </row>
    <row r="4456" spans="1:24" ht="15" customHeight="1" x14ac:dyDescent="0.25">
      <c r="A4456">
        <v>4554</v>
      </c>
      <c r="B4456">
        <v>33</v>
      </c>
      <c r="C4456" t="s">
        <v>16</v>
      </c>
      <c r="D4456" t="s">
        <v>95</v>
      </c>
      <c r="E4456" t="s">
        <v>29</v>
      </c>
      <c r="F4456" s="2">
        <v>0</v>
      </c>
      <c r="G4456" t="s">
        <v>82</v>
      </c>
      <c r="H4456" t="s">
        <v>45</v>
      </c>
      <c r="I4456" t="s">
        <v>40</v>
      </c>
      <c r="J4456" t="s">
        <v>22</v>
      </c>
      <c r="K4456">
        <v>3</v>
      </c>
      <c r="L4456" t="s">
        <v>23</v>
      </c>
      <c r="M4456" t="s">
        <v>61</v>
      </c>
      <c r="N4456" t="s">
        <v>34</v>
      </c>
      <c r="O4456">
        <v>22</v>
      </c>
      <c r="P4456" t="s">
        <v>36</v>
      </c>
      <c r="Q4456" t="s">
        <v>42</v>
      </c>
      <c r="R4456" s="1">
        <v>0.1</v>
      </c>
      <c r="S4456">
        <f t="shared" si="276"/>
        <v>0</v>
      </c>
      <c r="T4456">
        <f>IFERROR(VLOOKUP(A4456,Table1[[Customer ID]:[Discount Amount]], 6, FALSE),"Not Found")</f>
        <v>0</v>
      </c>
      <c r="U4456" t="str">
        <f t="shared" si="277"/>
        <v>Debit Card</v>
      </c>
      <c r="V4456" s="4" t="str">
        <f t="shared" si="278"/>
        <v>Normal</v>
      </c>
      <c r="W4456" s="4" t="str">
        <f t="shared" si="279"/>
        <v>Good</v>
      </c>
      <c r="X4456" s="4">
        <f>AVERAGE(Table1[Purchase Amount])</f>
        <v>129.48419400000012</v>
      </c>
    </row>
    <row r="4457" spans="1:24" ht="15" customHeight="1" x14ac:dyDescent="0.25">
      <c r="A4457">
        <v>4555</v>
      </c>
      <c r="B4457">
        <v>18</v>
      </c>
      <c r="C4457" t="s">
        <v>71</v>
      </c>
      <c r="D4457" t="s">
        <v>117</v>
      </c>
      <c r="E4457" t="s">
        <v>18</v>
      </c>
      <c r="F4457" s="2">
        <v>392.98</v>
      </c>
      <c r="G4457" t="s">
        <v>73</v>
      </c>
      <c r="H4457" t="s">
        <v>31</v>
      </c>
      <c r="I4457" t="s">
        <v>40</v>
      </c>
      <c r="J4457" t="s">
        <v>22</v>
      </c>
      <c r="K4457">
        <v>2</v>
      </c>
      <c r="L4457" t="s">
        <v>23</v>
      </c>
      <c r="M4457" t="s">
        <v>24</v>
      </c>
      <c r="N4457" t="s">
        <v>34</v>
      </c>
      <c r="O4457">
        <v>44</v>
      </c>
      <c r="P4457" t="s">
        <v>25</v>
      </c>
      <c r="Q4457" t="s">
        <v>37</v>
      </c>
      <c r="R4457" s="1">
        <v>0.1</v>
      </c>
      <c r="S4457">
        <f t="shared" si="276"/>
        <v>353.68200000000002</v>
      </c>
      <c r="T4457">
        <f>IFERROR(VLOOKUP(A4457,Table1[[Customer ID]:[Discount Amount]], 6, FALSE),"Not Found")</f>
        <v>392.98</v>
      </c>
      <c r="U4457" t="str">
        <f t="shared" si="277"/>
        <v>Cash</v>
      </c>
      <c r="V4457" s="4" t="str">
        <f t="shared" si="278"/>
        <v>Normal</v>
      </c>
      <c r="W4457" s="4" t="str">
        <f t="shared" si="279"/>
        <v>Poor</v>
      </c>
      <c r="X4457" s="4">
        <f>AVERAGE(Table1[Purchase Amount])</f>
        <v>129.48419400000012</v>
      </c>
    </row>
    <row r="4458" spans="1:24" ht="15" customHeight="1" x14ac:dyDescent="0.25">
      <c r="A4458">
        <v>4556</v>
      </c>
      <c r="B4458">
        <v>20</v>
      </c>
      <c r="C4458" t="s">
        <v>27</v>
      </c>
      <c r="D4458" t="s">
        <v>116</v>
      </c>
      <c r="E4458" t="s">
        <v>81</v>
      </c>
      <c r="F4458" s="2">
        <v>987.8</v>
      </c>
      <c r="G4458" t="s">
        <v>73</v>
      </c>
      <c r="H4458" t="s">
        <v>31</v>
      </c>
      <c r="I4458" t="s">
        <v>32</v>
      </c>
      <c r="J4458" t="s">
        <v>22</v>
      </c>
      <c r="K4458">
        <v>3</v>
      </c>
      <c r="L4458" t="s">
        <v>34</v>
      </c>
      <c r="M4458" t="s">
        <v>61</v>
      </c>
      <c r="N4458" t="s">
        <v>23</v>
      </c>
      <c r="O4458">
        <v>12</v>
      </c>
      <c r="P4458" t="s">
        <v>53</v>
      </c>
      <c r="Q4458" t="s">
        <v>26</v>
      </c>
      <c r="R4458" s="1">
        <v>0.1</v>
      </c>
      <c r="S4458">
        <f t="shared" si="276"/>
        <v>889.02</v>
      </c>
      <c r="T4458">
        <f>IFERROR(VLOOKUP(A4458,Table1[[Customer ID]:[Discount Amount]], 6, FALSE),"Not Found")</f>
        <v>987.8</v>
      </c>
      <c r="U4458" t="str">
        <f t="shared" si="277"/>
        <v>Credit Card</v>
      </c>
      <c r="V4458" s="4" t="str">
        <f t="shared" si="278"/>
        <v>Normal</v>
      </c>
      <c r="W4458" s="4" t="str">
        <f t="shared" si="279"/>
        <v>Good</v>
      </c>
      <c r="X4458" s="4">
        <f>AVERAGE(Table1[Purchase Amount])</f>
        <v>129.48419400000012</v>
      </c>
    </row>
    <row r="4459" spans="1:24" ht="15" customHeight="1" x14ac:dyDescent="0.25">
      <c r="A4459">
        <v>4557</v>
      </c>
      <c r="B4459">
        <v>51</v>
      </c>
      <c r="C4459" t="s">
        <v>71</v>
      </c>
      <c r="D4459" t="s">
        <v>112</v>
      </c>
      <c r="E4459" t="s">
        <v>29</v>
      </c>
      <c r="F4459" s="2">
        <v>187.34</v>
      </c>
      <c r="G4459" t="s">
        <v>82</v>
      </c>
      <c r="H4459" t="s">
        <v>55</v>
      </c>
      <c r="I4459" t="s">
        <v>74</v>
      </c>
      <c r="J4459" t="s">
        <v>33</v>
      </c>
      <c r="K4459">
        <v>1</v>
      </c>
      <c r="L4459" t="s">
        <v>34</v>
      </c>
      <c r="M4459" t="s">
        <v>61</v>
      </c>
      <c r="N4459" t="s">
        <v>34</v>
      </c>
      <c r="O4459">
        <v>0</v>
      </c>
      <c r="P4459" t="s">
        <v>58</v>
      </c>
      <c r="Q4459" t="s">
        <v>26</v>
      </c>
      <c r="R4459" s="1">
        <v>0.1</v>
      </c>
      <c r="S4459">
        <f t="shared" si="276"/>
        <v>168.60599999999999</v>
      </c>
      <c r="T4459">
        <f>IFERROR(VLOOKUP(A4459,Table1[[Customer ID]:[Discount Amount]], 6, FALSE),"Not Found")</f>
        <v>187.34</v>
      </c>
      <c r="U4459" t="str">
        <f t="shared" si="277"/>
        <v>PayPal</v>
      </c>
      <c r="V4459" s="4" t="str">
        <f t="shared" si="278"/>
        <v>Normal</v>
      </c>
      <c r="W4459" s="4" t="str">
        <f t="shared" si="279"/>
        <v>Poor</v>
      </c>
      <c r="X4459" s="4">
        <f>AVERAGE(Table1[Purchase Amount])</f>
        <v>129.48419400000012</v>
      </c>
    </row>
    <row r="4460" spans="1:24" ht="15" customHeight="1" x14ac:dyDescent="0.25">
      <c r="A4460">
        <v>4558</v>
      </c>
      <c r="B4460">
        <v>41</v>
      </c>
      <c r="C4460" t="s">
        <v>71</v>
      </c>
      <c r="D4460" t="s">
        <v>112</v>
      </c>
      <c r="E4460" t="s">
        <v>29</v>
      </c>
      <c r="F4460" s="2">
        <v>208.02</v>
      </c>
      <c r="G4460" t="s">
        <v>82</v>
      </c>
      <c r="H4460" t="s">
        <v>31</v>
      </c>
      <c r="I4460" t="s">
        <v>32</v>
      </c>
      <c r="J4460" t="s">
        <v>75</v>
      </c>
      <c r="K4460">
        <v>1</v>
      </c>
      <c r="L4460" t="s">
        <v>23</v>
      </c>
      <c r="M4460" t="s">
        <v>24</v>
      </c>
      <c r="N4460" t="s">
        <v>34</v>
      </c>
      <c r="O4460">
        <v>0</v>
      </c>
      <c r="P4460" t="s">
        <v>58</v>
      </c>
      <c r="Q4460" t="s">
        <v>42</v>
      </c>
      <c r="R4460" s="1">
        <v>0.1</v>
      </c>
      <c r="S4460">
        <f t="shared" si="276"/>
        <v>187.21800000000002</v>
      </c>
      <c r="T4460">
        <f>IFERROR(VLOOKUP(A4460,Table1[[Customer ID]:[Discount Amount]], 6, FALSE),"Not Found")</f>
        <v>208.02</v>
      </c>
      <c r="U4460" t="str">
        <f t="shared" si="277"/>
        <v>PayPal</v>
      </c>
      <c r="V4460" s="4" t="str">
        <f t="shared" si="278"/>
        <v>Normal</v>
      </c>
      <c r="W4460" s="4" t="str">
        <f t="shared" si="279"/>
        <v>Poor</v>
      </c>
      <c r="X4460" s="4">
        <f>AVERAGE(Table1[Purchase Amount])</f>
        <v>129.48419400000012</v>
      </c>
    </row>
    <row r="4461" spans="1:24" ht="15" customHeight="1" x14ac:dyDescent="0.25">
      <c r="A4461">
        <v>4559</v>
      </c>
      <c r="B4461">
        <v>69</v>
      </c>
      <c r="C4461" t="s">
        <v>16</v>
      </c>
      <c r="D4461" t="s">
        <v>72</v>
      </c>
      <c r="E4461" t="s">
        <v>29</v>
      </c>
      <c r="F4461" s="2">
        <v>1004.05</v>
      </c>
      <c r="G4461" t="s">
        <v>139</v>
      </c>
      <c r="H4461" t="s">
        <v>31</v>
      </c>
      <c r="I4461" t="s">
        <v>46</v>
      </c>
      <c r="J4461" t="s">
        <v>57</v>
      </c>
      <c r="K4461">
        <v>1</v>
      </c>
      <c r="L4461" t="s">
        <v>34</v>
      </c>
      <c r="M4461" t="s">
        <v>61</v>
      </c>
      <c r="N4461" t="s">
        <v>34</v>
      </c>
      <c r="O4461">
        <v>44</v>
      </c>
      <c r="P4461" t="s">
        <v>53</v>
      </c>
      <c r="Q4461" t="s">
        <v>37</v>
      </c>
      <c r="R4461" s="1">
        <v>0.1</v>
      </c>
      <c r="S4461">
        <f t="shared" si="276"/>
        <v>903.64499999999998</v>
      </c>
      <c r="T4461">
        <f>IFERROR(VLOOKUP(A4461,Table1[[Customer ID]:[Discount Amount]], 6, FALSE),"Not Found")</f>
        <v>1004.05</v>
      </c>
      <c r="U4461" t="str">
        <f t="shared" si="277"/>
        <v>Credit Card</v>
      </c>
      <c r="V4461" s="4" t="str">
        <f t="shared" si="278"/>
        <v>Normal</v>
      </c>
      <c r="W4461" s="4" t="str">
        <f t="shared" si="279"/>
        <v>Poor</v>
      </c>
      <c r="X4461" s="4">
        <f>AVERAGE(Table1[Purchase Amount])</f>
        <v>129.48419400000012</v>
      </c>
    </row>
    <row r="4462" spans="1:24" ht="15" customHeight="1" x14ac:dyDescent="0.25">
      <c r="A4462">
        <v>4560</v>
      </c>
      <c r="B4462">
        <v>42</v>
      </c>
      <c r="C4462" t="s">
        <v>16</v>
      </c>
      <c r="D4462" t="s">
        <v>80</v>
      </c>
      <c r="E4462" t="s">
        <v>29</v>
      </c>
      <c r="F4462" s="2">
        <v>0</v>
      </c>
      <c r="G4462" t="s">
        <v>126</v>
      </c>
      <c r="H4462" t="s">
        <v>31</v>
      </c>
      <c r="I4462" t="s">
        <v>74</v>
      </c>
      <c r="J4462" t="s">
        <v>33</v>
      </c>
      <c r="K4462">
        <v>1</v>
      </c>
      <c r="L4462" t="s">
        <v>34</v>
      </c>
      <c r="M4462" t="s">
        <v>61</v>
      </c>
      <c r="N4462" t="s">
        <v>34</v>
      </c>
      <c r="O4462">
        <v>0</v>
      </c>
      <c r="P4462" t="s">
        <v>36</v>
      </c>
      <c r="Q4462" t="s">
        <v>26</v>
      </c>
      <c r="R4462" s="1">
        <v>0.1</v>
      </c>
      <c r="S4462">
        <f t="shared" si="276"/>
        <v>0</v>
      </c>
      <c r="T4462">
        <f>IFERROR(VLOOKUP(A4462,Table1[[Customer ID]:[Discount Amount]], 6, FALSE),"Not Found")</f>
        <v>0</v>
      </c>
      <c r="U4462" t="str">
        <f t="shared" si="277"/>
        <v>Debit Card</v>
      </c>
      <c r="V4462" s="4" t="str">
        <f t="shared" si="278"/>
        <v>Normal</v>
      </c>
      <c r="W4462" s="4" t="str">
        <f t="shared" si="279"/>
        <v>Poor</v>
      </c>
      <c r="X4462" s="4">
        <f>AVERAGE(Table1[Purchase Amount])</f>
        <v>129.48419400000012</v>
      </c>
    </row>
    <row r="4463" spans="1:24" ht="15" customHeight="1" x14ac:dyDescent="0.25">
      <c r="A4463">
        <v>4561</v>
      </c>
      <c r="B4463">
        <v>53</v>
      </c>
      <c r="C4463" t="s">
        <v>27</v>
      </c>
      <c r="D4463" t="s">
        <v>112</v>
      </c>
      <c r="E4463" t="s">
        <v>81</v>
      </c>
      <c r="F4463" s="2">
        <v>82.06</v>
      </c>
      <c r="G4463" t="s">
        <v>82</v>
      </c>
      <c r="H4463" t="s">
        <v>31</v>
      </c>
      <c r="I4463" t="s">
        <v>93</v>
      </c>
      <c r="J4463" t="s">
        <v>57</v>
      </c>
      <c r="K4463">
        <v>5</v>
      </c>
      <c r="L4463" t="s">
        <v>23</v>
      </c>
      <c r="M4463" t="s">
        <v>24</v>
      </c>
      <c r="N4463" t="s">
        <v>34</v>
      </c>
      <c r="O4463">
        <v>8</v>
      </c>
      <c r="P4463" t="s">
        <v>25</v>
      </c>
      <c r="Q4463" t="s">
        <v>26</v>
      </c>
      <c r="R4463" s="1">
        <v>0.1</v>
      </c>
      <c r="S4463">
        <f t="shared" si="276"/>
        <v>73.853999999999999</v>
      </c>
      <c r="T4463">
        <f>IFERROR(VLOOKUP(A4463,Table1[[Customer ID]:[Discount Amount]], 6, FALSE),"Not Found")</f>
        <v>82.06</v>
      </c>
      <c r="U4463" t="str">
        <f t="shared" si="277"/>
        <v>Cash</v>
      </c>
      <c r="V4463" s="4" t="str">
        <f t="shared" si="278"/>
        <v>Normal</v>
      </c>
      <c r="W4463" s="4" t="str">
        <f t="shared" si="279"/>
        <v>Good</v>
      </c>
      <c r="X4463" s="4">
        <f>AVERAGE(Table1[Purchase Amount])</f>
        <v>129.48419400000012</v>
      </c>
    </row>
    <row r="4464" spans="1:24" ht="15" customHeight="1" x14ac:dyDescent="0.25">
      <c r="A4464">
        <v>4562</v>
      </c>
      <c r="B4464">
        <v>29</v>
      </c>
      <c r="C4464" t="s">
        <v>27</v>
      </c>
      <c r="D4464" t="s">
        <v>72</v>
      </c>
      <c r="E4464" t="s">
        <v>81</v>
      </c>
      <c r="F4464" s="2">
        <v>0</v>
      </c>
      <c r="G4464" t="s">
        <v>73</v>
      </c>
      <c r="H4464" t="s">
        <v>31</v>
      </c>
      <c r="I4464" t="s">
        <v>46</v>
      </c>
      <c r="J4464" t="s">
        <v>22</v>
      </c>
      <c r="K4464">
        <v>4</v>
      </c>
      <c r="L4464" t="s">
        <v>23</v>
      </c>
      <c r="M4464" t="s">
        <v>61</v>
      </c>
      <c r="N4464" t="s">
        <v>34</v>
      </c>
      <c r="O4464">
        <v>1</v>
      </c>
      <c r="P4464" t="s">
        <v>36</v>
      </c>
      <c r="Q4464" t="s">
        <v>37</v>
      </c>
      <c r="R4464" s="1">
        <v>0.1</v>
      </c>
      <c r="S4464">
        <f t="shared" si="276"/>
        <v>0</v>
      </c>
      <c r="T4464">
        <f>IFERROR(VLOOKUP(A4464,Table1[[Customer ID]:[Discount Amount]], 6, FALSE),"Not Found")</f>
        <v>0</v>
      </c>
      <c r="U4464" t="str">
        <f t="shared" si="277"/>
        <v>Debit Card</v>
      </c>
      <c r="V4464" s="4" t="str">
        <f t="shared" si="278"/>
        <v>Normal</v>
      </c>
      <c r="W4464" s="4" t="str">
        <f t="shared" si="279"/>
        <v>Good</v>
      </c>
      <c r="X4464" s="4">
        <f>AVERAGE(Table1[Purchase Amount])</f>
        <v>129.48419400000012</v>
      </c>
    </row>
    <row r="4465" spans="1:24" ht="15" customHeight="1" x14ac:dyDescent="0.25">
      <c r="A4465">
        <v>4563</v>
      </c>
      <c r="B4465">
        <v>31</v>
      </c>
      <c r="C4465" t="s">
        <v>16</v>
      </c>
      <c r="D4465" t="s">
        <v>95</v>
      </c>
      <c r="E4465" t="s">
        <v>81</v>
      </c>
      <c r="F4465" s="2">
        <v>0</v>
      </c>
      <c r="G4465" t="s">
        <v>73</v>
      </c>
      <c r="H4465" t="s">
        <v>31</v>
      </c>
      <c r="I4465" t="s">
        <v>46</v>
      </c>
      <c r="J4465" t="s">
        <v>33</v>
      </c>
      <c r="K4465">
        <v>2</v>
      </c>
      <c r="L4465" t="s">
        <v>23</v>
      </c>
      <c r="M4465" t="s">
        <v>61</v>
      </c>
      <c r="N4465" t="s">
        <v>23</v>
      </c>
      <c r="O4465">
        <v>0</v>
      </c>
      <c r="P4465" t="s">
        <v>53</v>
      </c>
      <c r="Q4465" t="s">
        <v>26</v>
      </c>
      <c r="R4465" s="1">
        <v>0.1</v>
      </c>
      <c r="S4465">
        <f t="shared" si="276"/>
        <v>0</v>
      </c>
      <c r="T4465">
        <f>IFERROR(VLOOKUP(A4465,Table1[[Customer ID]:[Discount Amount]], 6, FALSE),"Not Found")</f>
        <v>0</v>
      </c>
      <c r="U4465" t="str">
        <f t="shared" si="277"/>
        <v>Credit Card</v>
      </c>
      <c r="V4465" s="4" t="str">
        <f t="shared" si="278"/>
        <v>Normal</v>
      </c>
      <c r="W4465" s="4" t="str">
        <f t="shared" si="279"/>
        <v>Poor</v>
      </c>
      <c r="X4465" s="4">
        <f>AVERAGE(Table1[Purchase Amount])</f>
        <v>129.48419400000012</v>
      </c>
    </row>
    <row r="4466" spans="1:24" ht="15" customHeight="1" x14ac:dyDescent="0.25">
      <c r="A4466">
        <v>4564</v>
      </c>
      <c r="B4466">
        <v>38</v>
      </c>
      <c r="C4466" t="s">
        <v>71</v>
      </c>
      <c r="D4466" t="s">
        <v>117</v>
      </c>
      <c r="E4466" t="s">
        <v>18</v>
      </c>
      <c r="F4466" s="2">
        <v>812.81</v>
      </c>
      <c r="G4466" t="s">
        <v>101</v>
      </c>
      <c r="H4466" t="s">
        <v>31</v>
      </c>
      <c r="I4466" t="s">
        <v>93</v>
      </c>
      <c r="J4466" t="s">
        <v>33</v>
      </c>
      <c r="K4466">
        <v>1</v>
      </c>
      <c r="L4466" t="s">
        <v>34</v>
      </c>
      <c r="M4466" t="s">
        <v>24</v>
      </c>
      <c r="N4466" t="s">
        <v>23</v>
      </c>
      <c r="O4466">
        <v>20</v>
      </c>
      <c r="P4466" t="s">
        <v>36</v>
      </c>
      <c r="Q4466" t="s">
        <v>37</v>
      </c>
      <c r="R4466" s="1">
        <v>0.1</v>
      </c>
      <c r="S4466">
        <f t="shared" si="276"/>
        <v>731.529</v>
      </c>
      <c r="T4466">
        <f>IFERROR(VLOOKUP(A4466,Table1[[Customer ID]:[Discount Amount]], 6, FALSE),"Not Found")</f>
        <v>812.81</v>
      </c>
      <c r="U4466" t="str">
        <f t="shared" si="277"/>
        <v>Debit Card</v>
      </c>
      <c r="V4466" s="4" t="str">
        <f t="shared" si="278"/>
        <v>Normal</v>
      </c>
      <c r="W4466" s="4" t="str">
        <f t="shared" si="279"/>
        <v>Poor</v>
      </c>
      <c r="X4466" s="4">
        <f>AVERAGE(Table1[Purchase Amount])</f>
        <v>129.48419400000012</v>
      </c>
    </row>
    <row r="4467" spans="1:24" ht="15" customHeight="1" x14ac:dyDescent="0.25">
      <c r="A4467">
        <v>4565</v>
      </c>
      <c r="B4467">
        <v>26</v>
      </c>
      <c r="C4467" t="s">
        <v>27</v>
      </c>
      <c r="D4467" t="s">
        <v>80</v>
      </c>
      <c r="E4467" t="s">
        <v>18</v>
      </c>
      <c r="F4467" s="2">
        <v>0</v>
      </c>
      <c r="G4467" t="s">
        <v>126</v>
      </c>
      <c r="H4467" t="s">
        <v>31</v>
      </c>
      <c r="I4467" t="s">
        <v>74</v>
      </c>
      <c r="J4467" t="s">
        <v>75</v>
      </c>
      <c r="K4467">
        <v>1</v>
      </c>
      <c r="L4467" t="s">
        <v>23</v>
      </c>
      <c r="M4467" t="s">
        <v>24</v>
      </c>
      <c r="N4467" t="s">
        <v>34</v>
      </c>
      <c r="O4467">
        <v>43</v>
      </c>
      <c r="P4467" t="s">
        <v>36</v>
      </c>
      <c r="Q4467" t="s">
        <v>42</v>
      </c>
      <c r="R4467" s="1">
        <v>0.1</v>
      </c>
      <c r="S4467">
        <f t="shared" si="276"/>
        <v>0</v>
      </c>
      <c r="T4467">
        <f>IFERROR(VLOOKUP(A4467,Table1[[Customer ID]:[Discount Amount]], 6, FALSE),"Not Found")</f>
        <v>0</v>
      </c>
      <c r="U4467" t="str">
        <f t="shared" si="277"/>
        <v>Debit Card</v>
      </c>
      <c r="V4467" s="4" t="str">
        <f t="shared" si="278"/>
        <v>Normal</v>
      </c>
      <c r="W4467" s="4" t="str">
        <f t="shared" si="279"/>
        <v>Poor</v>
      </c>
      <c r="X4467" s="4">
        <f>AVERAGE(Table1[Purchase Amount])</f>
        <v>129.48419400000012</v>
      </c>
    </row>
    <row r="4468" spans="1:24" ht="15" customHeight="1" x14ac:dyDescent="0.25">
      <c r="A4468">
        <v>4566</v>
      </c>
      <c r="B4468">
        <v>41</v>
      </c>
      <c r="C4468" t="s">
        <v>71</v>
      </c>
      <c r="D4468" t="s">
        <v>117</v>
      </c>
      <c r="E4468" t="s">
        <v>18</v>
      </c>
      <c r="F4468" s="2">
        <v>0</v>
      </c>
      <c r="G4468" t="s">
        <v>82</v>
      </c>
      <c r="H4468" t="s">
        <v>20</v>
      </c>
      <c r="I4468" t="s">
        <v>32</v>
      </c>
      <c r="J4468" t="s">
        <v>22</v>
      </c>
      <c r="K4468">
        <v>1</v>
      </c>
      <c r="L4468" t="s">
        <v>23</v>
      </c>
      <c r="M4468" t="s">
        <v>61</v>
      </c>
      <c r="N4468" t="s">
        <v>23</v>
      </c>
      <c r="O4468">
        <v>0</v>
      </c>
      <c r="P4468" t="s">
        <v>53</v>
      </c>
      <c r="Q4468" t="s">
        <v>26</v>
      </c>
      <c r="R4468" s="1">
        <v>0.1</v>
      </c>
      <c r="S4468">
        <f t="shared" si="276"/>
        <v>0</v>
      </c>
      <c r="T4468">
        <f>IFERROR(VLOOKUP(A4468,Table1[[Customer ID]:[Discount Amount]], 6, FALSE),"Not Found")</f>
        <v>0</v>
      </c>
      <c r="U4468" t="str">
        <f t="shared" si="277"/>
        <v>Credit Card</v>
      </c>
      <c r="V4468" s="4" t="str">
        <f t="shared" si="278"/>
        <v>Normal</v>
      </c>
      <c r="W4468" s="4" t="str">
        <f t="shared" si="279"/>
        <v>Poor</v>
      </c>
      <c r="X4468" s="4">
        <f>AVERAGE(Table1[Purchase Amount])</f>
        <v>129.48419400000012</v>
      </c>
    </row>
    <row r="4469" spans="1:24" ht="15" customHeight="1" x14ac:dyDescent="0.25">
      <c r="A4469">
        <v>4567</v>
      </c>
      <c r="B4469">
        <v>54</v>
      </c>
      <c r="C4469" t="s">
        <v>16</v>
      </c>
      <c r="D4469" t="s">
        <v>72</v>
      </c>
      <c r="E4469" t="s">
        <v>81</v>
      </c>
      <c r="F4469" s="2">
        <v>0</v>
      </c>
      <c r="G4469" t="s">
        <v>139</v>
      </c>
      <c r="H4469" t="s">
        <v>31</v>
      </c>
      <c r="I4469" t="s">
        <v>40</v>
      </c>
      <c r="J4469" t="s">
        <v>57</v>
      </c>
      <c r="K4469">
        <v>3</v>
      </c>
      <c r="L4469" t="s">
        <v>23</v>
      </c>
      <c r="M4469" t="s">
        <v>24</v>
      </c>
      <c r="N4469" t="s">
        <v>23</v>
      </c>
      <c r="O4469">
        <v>31</v>
      </c>
      <c r="P4469" t="s">
        <v>53</v>
      </c>
      <c r="Q4469" t="s">
        <v>42</v>
      </c>
      <c r="R4469" s="1">
        <v>0.1</v>
      </c>
      <c r="S4469">
        <f t="shared" si="276"/>
        <v>0</v>
      </c>
      <c r="T4469">
        <f>IFERROR(VLOOKUP(A4469,Table1[[Customer ID]:[Discount Amount]], 6, FALSE),"Not Found")</f>
        <v>0</v>
      </c>
      <c r="U4469" t="str">
        <f t="shared" si="277"/>
        <v>Credit Card</v>
      </c>
      <c r="V4469" s="4" t="str">
        <f t="shared" si="278"/>
        <v>Normal</v>
      </c>
      <c r="W4469" s="4" t="str">
        <f t="shared" si="279"/>
        <v>Good</v>
      </c>
      <c r="X4469" s="4">
        <f>AVERAGE(Table1[Purchase Amount])</f>
        <v>129.48419400000012</v>
      </c>
    </row>
    <row r="4470" spans="1:24" ht="15" customHeight="1" x14ac:dyDescent="0.25">
      <c r="A4470">
        <v>4568</v>
      </c>
      <c r="B4470">
        <v>35</v>
      </c>
      <c r="C4470" t="s">
        <v>71</v>
      </c>
      <c r="D4470" t="s">
        <v>72</v>
      </c>
      <c r="E4470" t="s">
        <v>18</v>
      </c>
      <c r="F4470" s="2">
        <v>0</v>
      </c>
      <c r="G4470" t="s">
        <v>73</v>
      </c>
      <c r="H4470" t="s">
        <v>31</v>
      </c>
      <c r="I4470" t="s">
        <v>74</v>
      </c>
      <c r="J4470" t="s">
        <v>75</v>
      </c>
      <c r="K4470">
        <v>1</v>
      </c>
      <c r="L4470" t="s">
        <v>23</v>
      </c>
      <c r="M4470" t="s">
        <v>61</v>
      </c>
      <c r="N4470" t="s">
        <v>34</v>
      </c>
      <c r="O4470">
        <v>41</v>
      </c>
      <c r="P4470" t="s">
        <v>53</v>
      </c>
      <c r="Q4470" t="s">
        <v>42</v>
      </c>
      <c r="R4470" s="1">
        <v>0.1</v>
      </c>
      <c r="S4470">
        <f t="shared" si="276"/>
        <v>0</v>
      </c>
      <c r="T4470">
        <f>IFERROR(VLOOKUP(A4470,Table1[[Customer ID]:[Discount Amount]], 6, FALSE),"Not Found")</f>
        <v>0</v>
      </c>
      <c r="U4470" t="str">
        <f t="shared" si="277"/>
        <v>Credit Card</v>
      </c>
      <c r="V4470" s="4" t="str">
        <f t="shared" si="278"/>
        <v>Normal</v>
      </c>
      <c r="W4470" s="4" t="str">
        <f t="shared" si="279"/>
        <v>Poor</v>
      </c>
      <c r="X4470" s="4">
        <f>AVERAGE(Table1[Purchase Amount])</f>
        <v>129.48419400000012</v>
      </c>
    </row>
    <row r="4471" spans="1:24" ht="15" customHeight="1" x14ac:dyDescent="0.25">
      <c r="A4471">
        <v>4569</v>
      </c>
      <c r="B4471">
        <v>61</v>
      </c>
      <c r="C4471" t="s">
        <v>71</v>
      </c>
      <c r="D4471" t="s">
        <v>116</v>
      </c>
      <c r="E4471" t="s">
        <v>81</v>
      </c>
      <c r="F4471" s="2">
        <v>0</v>
      </c>
      <c r="G4471" t="s">
        <v>139</v>
      </c>
      <c r="H4471" t="s">
        <v>31</v>
      </c>
      <c r="I4471" t="s">
        <v>46</v>
      </c>
      <c r="J4471" t="s">
        <v>33</v>
      </c>
      <c r="K4471">
        <v>2</v>
      </c>
      <c r="L4471" t="s">
        <v>23</v>
      </c>
      <c r="M4471" t="s">
        <v>61</v>
      </c>
      <c r="N4471" t="s">
        <v>34</v>
      </c>
      <c r="O4471">
        <v>0</v>
      </c>
      <c r="P4471" t="s">
        <v>58</v>
      </c>
      <c r="Q4471" t="s">
        <v>37</v>
      </c>
      <c r="R4471" s="1">
        <v>0.1</v>
      </c>
      <c r="S4471">
        <f t="shared" si="276"/>
        <v>0</v>
      </c>
      <c r="T4471">
        <f>IFERROR(VLOOKUP(A4471,Table1[[Customer ID]:[Discount Amount]], 6, FALSE),"Not Found")</f>
        <v>0</v>
      </c>
      <c r="U4471" t="str">
        <f t="shared" si="277"/>
        <v>PayPal</v>
      </c>
      <c r="V4471" s="4" t="str">
        <f t="shared" si="278"/>
        <v>Normal</v>
      </c>
      <c r="W4471" s="4" t="str">
        <f t="shared" si="279"/>
        <v>Poor</v>
      </c>
      <c r="X4471" s="4">
        <f>AVERAGE(Table1[Purchase Amount])</f>
        <v>129.48419400000012</v>
      </c>
    </row>
    <row r="4472" spans="1:24" ht="15" customHeight="1" x14ac:dyDescent="0.25">
      <c r="A4472">
        <v>4570</v>
      </c>
      <c r="B4472">
        <v>56</v>
      </c>
      <c r="C4472" t="s">
        <v>71</v>
      </c>
      <c r="D4472" t="s">
        <v>116</v>
      </c>
      <c r="E4472" t="s">
        <v>81</v>
      </c>
      <c r="F4472" s="2">
        <v>1075.74</v>
      </c>
      <c r="G4472" t="s">
        <v>101</v>
      </c>
      <c r="H4472" t="s">
        <v>31</v>
      </c>
      <c r="I4472" t="s">
        <v>46</v>
      </c>
      <c r="J4472" t="s">
        <v>33</v>
      </c>
      <c r="K4472">
        <v>1</v>
      </c>
      <c r="L4472" t="s">
        <v>23</v>
      </c>
      <c r="M4472" t="s">
        <v>61</v>
      </c>
      <c r="N4472" t="s">
        <v>23</v>
      </c>
      <c r="O4472">
        <v>10</v>
      </c>
      <c r="P4472" t="s">
        <v>25</v>
      </c>
      <c r="Q4472" t="s">
        <v>42</v>
      </c>
      <c r="R4472" s="1">
        <v>0.1</v>
      </c>
      <c r="S4472">
        <f t="shared" si="276"/>
        <v>968.16599999999994</v>
      </c>
      <c r="T4472">
        <f>IFERROR(VLOOKUP(A4472,Table1[[Customer ID]:[Discount Amount]], 6, FALSE),"Not Found")</f>
        <v>1075.74</v>
      </c>
      <c r="U4472" t="str">
        <f t="shared" si="277"/>
        <v>Cash</v>
      </c>
      <c r="V4472" s="4" t="str">
        <f t="shared" si="278"/>
        <v>Normal</v>
      </c>
      <c r="W4472" s="4" t="str">
        <f t="shared" si="279"/>
        <v>Poor</v>
      </c>
      <c r="X4472" s="4">
        <f>AVERAGE(Table1[Purchase Amount])</f>
        <v>129.48419400000012</v>
      </c>
    </row>
    <row r="4473" spans="1:24" ht="15" customHeight="1" x14ac:dyDescent="0.25">
      <c r="A4473">
        <v>4571</v>
      </c>
      <c r="B4473">
        <v>40</v>
      </c>
      <c r="C4473" t="s">
        <v>71</v>
      </c>
      <c r="D4473" t="s">
        <v>38</v>
      </c>
      <c r="E4473" t="s">
        <v>81</v>
      </c>
      <c r="F4473" s="2">
        <v>450.41</v>
      </c>
      <c r="G4473" t="s">
        <v>101</v>
      </c>
      <c r="H4473" t="s">
        <v>31</v>
      </c>
      <c r="I4473" t="s">
        <v>40</v>
      </c>
      <c r="J4473" t="s">
        <v>75</v>
      </c>
      <c r="K4473">
        <v>5</v>
      </c>
      <c r="L4473" t="s">
        <v>34</v>
      </c>
      <c r="M4473" t="s">
        <v>24</v>
      </c>
      <c r="N4473" t="s">
        <v>34</v>
      </c>
      <c r="O4473">
        <v>0</v>
      </c>
      <c r="P4473" t="s">
        <v>25</v>
      </c>
      <c r="Q4473" t="s">
        <v>37</v>
      </c>
      <c r="R4473" s="1">
        <v>0.1</v>
      </c>
      <c r="S4473">
        <f t="shared" si="276"/>
        <v>405.36900000000003</v>
      </c>
      <c r="T4473">
        <f>IFERROR(VLOOKUP(A4473,Table1[[Customer ID]:[Discount Amount]], 6, FALSE),"Not Found")</f>
        <v>450.41</v>
      </c>
      <c r="U4473" t="str">
        <f t="shared" si="277"/>
        <v>Cash</v>
      </c>
      <c r="V4473" s="4" t="str">
        <f t="shared" si="278"/>
        <v>Normal</v>
      </c>
      <c r="W4473" s="4" t="str">
        <f t="shared" si="279"/>
        <v>Good</v>
      </c>
      <c r="X4473" s="4">
        <f>AVERAGE(Table1[Purchase Amount])</f>
        <v>129.48419400000012</v>
      </c>
    </row>
    <row r="4474" spans="1:24" ht="15" customHeight="1" x14ac:dyDescent="0.25">
      <c r="A4474">
        <v>4572</v>
      </c>
      <c r="B4474">
        <v>45</v>
      </c>
      <c r="C4474" t="s">
        <v>27</v>
      </c>
      <c r="D4474" t="s">
        <v>112</v>
      </c>
      <c r="E4474" t="s">
        <v>81</v>
      </c>
      <c r="F4474" s="2">
        <v>1270.1300000000001</v>
      </c>
      <c r="G4474" t="s">
        <v>101</v>
      </c>
      <c r="H4474" t="s">
        <v>31</v>
      </c>
      <c r="I4474" t="s">
        <v>46</v>
      </c>
      <c r="J4474" t="s">
        <v>75</v>
      </c>
      <c r="K4474">
        <v>1</v>
      </c>
      <c r="L4474" t="s">
        <v>23</v>
      </c>
      <c r="M4474" t="s">
        <v>24</v>
      </c>
      <c r="N4474" t="s">
        <v>23</v>
      </c>
      <c r="O4474">
        <v>3</v>
      </c>
      <c r="P4474" t="s">
        <v>36</v>
      </c>
      <c r="Q4474" t="s">
        <v>26</v>
      </c>
      <c r="R4474" s="1">
        <v>0.1</v>
      </c>
      <c r="S4474">
        <f t="shared" si="276"/>
        <v>1143.1170000000002</v>
      </c>
      <c r="T4474">
        <f>IFERROR(VLOOKUP(A4474,Table1[[Customer ID]:[Discount Amount]], 6, FALSE),"Not Found")</f>
        <v>1270.1300000000001</v>
      </c>
      <c r="U4474" t="str">
        <f t="shared" si="277"/>
        <v>Debit Card</v>
      </c>
      <c r="V4474" s="4" t="str">
        <f t="shared" si="278"/>
        <v>Normal</v>
      </c>
      <c r="W4474" s="4" t="str">
        <f t="shared" si="279"/>
        <v>Poor</v>
      </c>
      <c r="X4474" s="4">
        <f>AVERAGE(Table1[Purchase Amount])</f>
        <v>129.48419400000012</v>
      </c>
    </row>
    <row r="4475" spans="1:24" ht="15" customHeight="1" x14ac:dyDescent="0.25">
      <c r="A4475">
        <v>4573</v>
      </c>
      <c r="B4475">
        <v>23</v>
      </c>
      <c r="C4475" t="s">
        <v>27</v>
      </c>
      <c r="D4475" t="s">
        <v>112</v>
      </c>
      <c r="E4475" t="s">
        <v>29</v>
      </c>
      <c r="F4475" s="2">
        <v>1441.51</v>
      </c>
      <c r="G4475" t="s">
        <v>73</v>
      </c>
      <c r="H4475" t="s">
        <v>45</v>
      </c>
      <c r="I4475" t="s">
        <v>40</v>
      </c>
      <c r="J4475" t="s">
        <v>22</v>
      </c>
      <c r="K4475">
        <v>1</v>
      </c>
      <c r="L4475" t="s">
        <v>23</v>
      </c>
      <c r="M4475" t="s">
        <v>61</v>
      </c>
      <c r="N4475" t="s">
        <v>34</v>
      </c>
      <c r="O4475">
        <v>3</v>
      </c>
      <c r="P4475" t="s">
        <v>53</v>
      </c>
      <c r="Q4475" t="s">
        <v>37</v>
      </c>
      <c r="R4475" s="1">
        <v>0.1</v>
      </c>
      <c r="S4475">
        <f t="shared" si="276"/>
        <v>1297.3589999999999</v>
      </c>
      <c r="T4475">
        <f>IFERROR(VLOOKUP(A4475,Table1[[Customer ID]:[Discount Amount]], 6, FALSE),"Not Found")</f>
        <v>1441.51</v>
      </c>
      <c r="U4475" t="str">
        <f t="shared" si="277"/>
        <v>Credit Card</v>
      </c>
      <c r="V4475" s="4" t="str">
        <f t="shared" si="278"/>
        <v>Normal</v>
      </c>
      <c r="W4475" s="4" t="str">
        <f t="shared" si="279"/>
        <v>Poor</v>
      </c>
      <c r="X4475" s="4">
        <f>AVERAGE(Table1[Purchase Amount])</f>
        <v>129.48419400000012</v>
      </c>
    </row>
    <row r="4476" spans="1:24" ht="15" customHeight="1" x14ac:dyDescent="0.25">
      <c r="A4476">
        <v>4574</v>
      </c>
      <c r="B4476">
        <v>39</v>
      </c>
      <c r="C4476" t="s">
        <v>71</v>
      </c>
      <c r="D4476" t="s">
        <v>117</v>
      </c>
      <c r="E4476" t="s">
        <v>29</v>
      </c>
      <c r="F4476" s="2">
        <v>1109.96</v>
      </c>
      <c r="G4476" t="s">
        <v>139</v>
      </c>
      <c r="H4476" t="s">
        <v>45</v>
      </c>
      <c r="I4476" t="s">
        <v>46</v>
      </c>
      <c r="J4476" t="s">
        <v>75</v>
      </c>
      <c r="K4476">
        <v>1</v>
      </c>
      <c r="L4476" t="s">
        <v>34</v>
      </c>
      <c r="M4476" t="s">
        <v>61</v>
      </c>
      <c r="N4476" t="s">
        <v>23</v>
      </c>
      <c r="O4476">
        <v>0</v>
      </c>
      <c r="P4476" t="s">
        <v>36</v>
      </c>
      <c r="Q4476" t="s">
        <v>37</v>
      </c>
      <c r="R4476" s="1">
        <v>0.1</v>
      </c>
      <c r="S4476">
        <f t="shared" si="276"/>
        <v>998.96400000000006</v>
      </c>
      <c r="T4476">
        <f>IFERROR(VLOOKUP(A4476,Table1[[Customer ID]:[Discount Amount]], 6, FALSE),"Not Found")</f>
        <v>1109.96</v>
      </c>
      <c r="U4476" t="str">
        <f t="shared" si="277"/>
        <v>Debit Card</v>
      </c>
      <c r="V4476" s="4" t="str">
        <f t="shared" si="278"/>
        <v>Normal</v>
      </c>
      <c r="W4476" s="4" t="str">
        <f t="shared" si="279"/>
        <v>Poor</v>
      </c>
      <c r="X4476" s="4">
        <f>AVERAGE(Table1[Purchase Amount])</f>
        <v>129.48419400000012</v>
      </c>
    </row>
    <row r="4477" spans="1:24" ht="15" customHeight="1" x14ac:dyDescent="0.25">
      <c r="A4477">
        <v>4575</v>
      </c>
      <c r="B4477">
        <v>46</v>
      </c>
      <c r="C4477" t="s">
        <v>16</v>
      </c>
      <c r="D4477" t="s">
        <v>116</v>
      </c>
      <c r="E4477" t="s">
        <v>81</v>
      </c>
      <c r="F4477" s="2">
        <v>0</v>
      </c>
      <c r="G4477" t="s">
        <v>101</v>
      </c>
      <c r="H4477" t="s">
        <v>31</v>
      </c>
      <c r="I4477" t="s">
        <v>32</v>
      </c>
      <c r="J4477" t="s">
        <v>33</v>
      </c>
      <c r="K4477">
        <v>1</v>
      </c>
      <c r="L4477" t="s">
        <v>23</v>
      </c>
      <c r="M4477" t="s">
        <v>61</v>
      </c>
      <c r="N4477" t="s">
        <v>23</v>
      </c>
      <c r="O4477">
        <v>0</v>
      </c>
      <c r="P4477" t="s">
        <v>53</v>
      </c>
      <c r="Q4477" t="s">
        <v>37</v>
      </c>
      <c r="R4477" s="1">
        <v>0.1</v>
      </c>
      <c r="S4477">
        <f t="shared" si="276"/>
        <v>0</v>
      </c>
      <c r="T4477">
        <f>IFERROR(VLOOKUP(A4477,Table1[[Customer ID]:[Discount Amount]], 6, FALSE),"Not Found")</f>
        <v>0</v>
      </c>
      <c r="U4477" t="str">
        <f t="shared" si="277"/>
        <v>Credit Card</v>
      </c>
      <c r="V4477" s="4" t="str">
        <f t="shared" si="278"/>
        <v>Normal</v>
      </c>
      <c r="W4477" s="4" t="str">
        <f t="shared" si="279"/>
        <v>Poor</v>
      </c>
      <c r="X4477" s="4">
        <f>AVERAGE(Table1[Purchase Amount])</f>
        <v>129.48419400000012</v>
      </c>
    </row>
    <row r="4478" spans="1:24" ht="15" customHeight="1" x14ac:dyDescent="0.25">
      <c r="A4478">
        <v>4576</v>
      </c>
      <c r="B4478">
        <v>65</v>
      </c>
      <c r="C4478" t="s">
        <v>27</v>
      </c>
      <c r="D4478" t="s">
        <v>117</v>
      </c>
      <c r="E4478" t="s">
        <v>29</v>
      </c>
      <c r="F4478" s="2">
        <v>0</v>
      </c>
      <c r="G4478" t="s">
        <v>101</v>
      </c>
      <c r="H4478" t="s">
        <v>55</v>
      </c>
      <c r="I4478" t="s">
        <v>40</v>
      </c>
      <c r="J4478" t="s">
        <v>57</v>
      </c>
      <c r="K4478">
        <v>1</v>
      </c>
      <c r="L4478" t="s">
        <v>23</v>
      </c>
      <c r="M4478" t="s">
        <v>24</v>
      </c>
      <c r="N4478" t="s">
        <v>34</v>
      </c>
      <c r="O4478">
        <v>47</v>
      </c>
      <c r="P4478" t="s">
        <v>25</v>
      </c>
      <c r="Q4478" t="s">
        <v>26</v>
      </c>
      <c r="R4478" s="1">
        <v>0.1</v>
      </c>
      <c r="S4478">
        <f t="shared" si="276"/>
        <v>0</v>
      </c>
      <c r="T4478">
        <f>IFERROR(VLOOKUP(A4478,Table1[[Customer ID]:[Discount Amount]], 6, FALSE),"Not Found")</f>
        <v>0</v>
      </c>
      <c r="U4478" t="str">
        <f t="shared" si="277"/>
        <v>Cash</v>
      </c>
      <c r="V4478" s="4" t="str">
        <f t="shared" si="278"/>
        <v>Normal</v>
      </c>
      <c r="W4478" s="4" t="str">
        <f t="shared" si="279"/>
        <v>Poor</v>
      </c>
      <c r="X4478" s="4">
        <f>AVERAGE(Table1[Purchase Amount])</f>
        <v>129.48419400000012</v>
      </c>
    </row>
    <row r="4479" spans="1:24" ht="15" customHeight="1" x14ac:dyDescent="0.25">
      <c r="A4479">
        <v>4577</v>
      </c>
      <c r="B4479">
        <v>20</v>
      </c>
      <c r="C4479" t="s">
        <v>16</v>
      </c>
      <c r="D4479" t="s">
        <v>72</v>
      </c>
      <c r="E4479" t="s">
        <v>81</v>
      </c>
      <c r="F4479" s="2">
        <v>0</v>
      </c>
      <c r="G4479" t="s">
        <v>139</v>
      </c>
      <c r="H4479" t="s">
        <v>31</v>
      </c>
      <c r="I4479" t="s">
        <v>40</v>
      </c>
      <c r="J4479" t="s">
        <v>33</v>
      </c>
      <c r="K4479">
        <v>3</v>
      </c>
      <c r="L4479" t="s">
        <v>34</v>
      </c>
      <c r="M4479" t="s">
        <v>24</v>
      </c>
      <c r="N4479" t="s">
        <v>34</v>
      </c>
      <c r="O4479">
        <v>28</v>
      </c>
      <c r="P4479" t="s">
        <v>25</v>
      </c>
      <c r="Q4479" t="s">
        <v>37</v>
      </c>
      <c r="R4479" s="1">
        <v>0.1</v>
      </c>
      <c r="S4479">
        <f t="shared" si="276"/>
        <v>0</v>
      </c>
      <c r="T4479">
        <f>IFERROR(VLOOKUP(A4479,Table1[[Customer ID]:[Discount Amount]], 6, FALSE),"Not Found")</f>
        <v>0</v>
      </c>
      <c r="U4479" t="str">
        <f t="shared" si="277"/>
        <v>Cash</v>
      </c>
      <c r="V4479" s="4" t="str">
        <f t="shared" si="278"/>
        <v>Normal</v>
      </c>
      <c r="W4479" s="4" t="str">
        <f t="shared" si="279"/>
        <v>Good</v>
      </c>
      <c r="X4479" s="4">
        <f>AVERAGE(Table1[Purchase Amount])</f>
        <v>129.48419400000012</v>
      </c>
    </row>
    <row r="4480" spans="1:24" ht="15" customHeight="1" x14ac:dyDescent="0.25">
      <c r="A4480">
        <v>4578</v>
      </c>
      <c r="B4480">
        <v>44</v>
      </c>
      <c r="C4480" t="s">
        <v>71</v>
      </c>
      <c r="D4480" t="s">
        <v>95</v>
      </c>
      <c r="E4480" t="s">
        <v>29</v>
      </c>
      <c r="F4480" s="2">
        <v>0</v>
      </c>
      <c r="G4480" t="s">
        <v>139</v>
      </c>
      <c r="H4480" t="s">
        <v>45</v>
      </c>
      <c r="I4480" t="s">
        <v>40</v>
      </c>
      <c r="J4480" t="s">
        <v>22</v>
      </c>
      <c r="K4480">
        <v>1</v>
      </c>
      <c r="L4480" t="s">
        <v>34</v>
      </c>
      <c r="M4480" t="s">
        <v>61</v>
      </c>
      <c r="N4480" t="s">
        <v>34</v>
      </c>
      <c r="O4480">
        <v>26</v>
      </c>
      <c r="P4480" t="s">
        <v>25</v>
      </c>
      <c r="Q4480" t="s">
        <v>26</v>
      </c>
      <c r="R4480" s="1">
        <v>0.1</v>
      </c>
      <c r="S4480">
        <f t="shared" si="276"/>
        <v>0</v>
      </c>
      <c r="T4480">
        <f>IFERROR(VLOOKUP(A4480,Table1[[Customer ID]:[Discount Amount]], 6, FALSE),"Not Found")</f>
        <v>0</v>
      </c>
      <c r="U4480" t="str">
        <f t="shared" si="277"/>
        <v>Cash</v>
      </c>
      <c r="V4480" s="4" t="str">
        <f t="shared" si="278"/>
        <v>Normal</v>
      </c>
      <c r="W4480" s="4" t="str">
        <f t="shared" si="279"/>
        <v>Poor</v>
      </c>
      <c r="X4480" s="4">
        <f>AVERAGE(Table1[Purchase Amount])</f>
        <v>129.48419400000012</v>
      </c>
    </row>
    <row r="4481" spans="1:24" ht="15" customHeight="1" x14ac:dyDescent="0.25">
      <c r="A4481">
        <v>4579</v>
      </c>
      <c r="B4481">
        <v>18</v>
      </c>
      <c r="C4481" t="s">
        <v>16</v>
      </c>
      <c r="D4481" t="s">
        <v>95</v>
      </c>
      <c r="E4481" t="s">
        <v>29</v>
      </c>
      <c r="F4481" s="2">
        <v>0</v>
      </c>
      <c r="G4481" t="s">
        <v>101</v>
      </c>
      <c r="H4481" t="s">
        <v>31</v>
      </c>
      <c r="I4481" t="s">
        <v>46</v>
      </c>
      <c r="J4481" t="s">
        <v>33</v>
      </c>
      <c r="K4481">
        <v>1</v>
      </c>
      <c r="L4481" t="s">
        <v>23</v>
      </c>
      <c r="M4481" t="s">
        <v>61</v>
      </c>
      <c r="N4481" t="s">
        <v>23</v>
      </c>
      <c r="O4481">
        <v>0</v>
      </c>
      <c r="P4481" t="s">
        <v>53</v>
      </c>
      <c r="Q4481" t="s">
        <v>37</v>
      </c>
      <c r="R4481" s="1">
        <v>0.1</v>
      </c>
      <c r="S4481">
        <f t="shared" si="276"/>
        <v>0</v>
      </c>
      <c r="T4481">
        <f>IFERROR(VLOOKUP(A4481,Table1[[Customer ID]:[Discount Amount]], 6, FALSE),"Not Found")</f>
        <v>0</v>
      </c>
      <c r="U4481" t="str">
        <f t="shared" si="277"/>
        <v>Credit Card</v>
      </c>
      <c r="V4481" s="4" t="str">
        <f t="shared" si="278"/>
        <v>Normal</v>
      </c>
      <c r="W4481" s="4" t="str">
        <f t="shared" si="279"/>
        <v>Poor</v>
      </c>
      <c r="X4481" s="4">
        <f>AVERAGE(Table1[Purchase Amount])</f>
        <v>129.48419400000012</v>
      </c>
    </row>
    <row r="4482" spans="1:24" ht="15" customHeight="1" x14ac:dyDescent="0.25">
      <c r="A4482">
        <v>4580</v>
      </c>
      <c r="B4482">
        <v>53</v>
      </c>
      <c r="C4482" t="s">
        <v>71</v>
      </c>
      <c r="D4482" t="s">
        <v>117</v>
      </c>
      <c r="E4482" t="s">
        <v>18</v>
      </c>
      <c r="F4482" s="2">
        <v>492.76</v>
      </c>
      <c r="G4482" t="s">
        <v>126</v>
      </c>
      <c r="H4482" t="s">
        <v>45</v>
      </c>
      <c r="I4482" t="s">
        <v>93</v>
      </c>
      <c r="J4482" t="s">
        <v>57</v>
      </c>
      <c r="K4482">
        <v>3</v>
      </c>
      <c r="L4482" t="s">
        <v>23</v>
      </c>
      <c r="M4482" t="s">
        <v>61</v>
      </c>
      <c r="N4482" t="s">
        <v>23</v>
      </c>
      <c r="O4482">
        <v>22</v>
      </c>
      <c r="P4482" t="s">
        <v>53</v>
      </c>
      <c r="Q4482" t="s">
        <v>37</v>
      </c>
      <c r="R4482" s="1">
        <v>0.1</v>
      </c>
      <c r="S4482">
        <f t="shared" ref="S4482:S4545" si="280">F4482-(F4482*R4482)</f>
        <v>443.48399999999998</v>
      </c>
      <c r="T4482">
        <f>IFERROR(VLOOKUP(A4482,Table1[[Customer ID]:[Discount Amount]], 6, FALSE),"Not Found")</f>
        <v>492.76</v>
      </c>
      <c r="U4482" t="str">
        <f t="shared" ref="U4482:U4545" si="281">INDEX(P:P, MATCH(A4482, A:A, 0))</f>
        <v>Credit Card</v>
      </c>
      <c r="V4482" s="4" t="str">
        <f t="shared" ref="V4482:V4545" si="282">IF(AND(F4482&gt;1000,K4482&gt;=4),"Best Customer","Normal")</f>
        <v>Normal</v>
      </c>
      <c r="W4482" s="4" t="str">
        <f t="shared" ref="W4482:W4545" si="283">IF(K4482&gt;=3,"Good","Poor")</f>
        <v>Good</v>
      </c>
      <c r="X4482" s="4">
        <f>AVERAGE(Table1[Purchase Amount])</f>
        <v>129.48419400000012</v>
      </c>
    </row>
    <row r="4483" spans="1:24" ht="15" customHeight="1" x14ac:dyDescent="0.25">
      <c r="A4483">
        <v>4581</v>
      </c>
      <c r="B4483">
        <v>32</v>
      </c>
      <c r="C4483" t="s">
        <v>27</v>
      </c>
      <c r="D4483" t="s">
        <v>38</v>
      </c>
      <c r="E4483" t="s">
        <v>18</v>
      </c>
      <c r="F4483" s="2">
        <v>230.19</v>
      </c>
      <c r="G4483" t="s">
        <v>101</v>
      </c>
      <c r="H4483" t="s">
        <v>31</v>
      </c>
      <c r="I4483" t="s">
        <v>40</v>
      </c>
      <c r="J4483" t="s">
        <v>22</v>
      </c>
      <c r="K4483">
        <v>1</v>
      </c>
      <c r="L4483" t="s">
        <v>23</v>
      </c>
      <c r="M4483" t="s">
        <v>24</v>
      </c>
      <c r="N4483" t="s">
        <v>34</v>
      </c>
      <c r="O4483">
        <v>0</v>
      </c>
      <c r="P4483" t="s">
        <v>25</v>
      </c>
      <c r="Q4483" t="s">
        <v>26</v>
      </c>
      <c r="R4483" s="1">
        <v>0.1</v>
      </c>
      <c r="S4483">
        <f t="shared" si="280"/>
        <v>207.17099999999999</v>
      </c>
      <c r="T4483">
        <f>IFERROR(VLOOKUP(A4483,Table1[[Customer ID]:[Discount Amount]], 6, FALSE),"Not Found")</f>
        <v>230.19</v>
      </c>
      <c r="U4483" t="str">
        <f t="shared" si="281"/>
        <v>Cash</v>
      </c>
      <c r="V4483" s="4" t="str">
        <f t="shared" si="282"/>
        <v>Normal</v>
      </c>
      <c r="W4483" s="4" t="str">
        <f t="shared" si="283"/>
        <v>Poor</v>
      </c>
      <c r="X4483" s="4">
        <f>AVERAGE(Table1[Purchase Amount])</f>
        <v>129.48419400000012</v>
      </c>
    </row>
    <row r="4484" spans="1:24" ht="15" customHeight="1" x14ac:dyDescent="0.25">
      <c r="A4484">
        <v>4582</v>
      </c>
      <c r="B4484">
        <v>68</v>
      </c>
      <c r="C4484" t="s">
        <v>16</v>
      </c>
      <c r="D4484" t="s">
        <v>95</v>
      </c>
      <c r="E4484" t="s">
        <v>18</v>
      </c>
      <c r="F4484" s="2">
        <v>784.97</v>
      </c>
      <c r="G4484" t="s">
        <v>82</v>
      </c>
      <c r="H4484" t="s">
        <v>31</v>
      </c>
      <c r="I4484" t="s">
        <v>32</v>
      </c>
      <c r="J4484" t="s">
        <v>57</v>
      </c>
      <c r="K4484">
        <v>1</v>
      </c>
      <c r="L4484" t="s">
        <v>34</v>
      </c>
      <c r="M4484" t="s">
        <v>24</v>
      </c>
      <c r="N4484" t="s">
        <v>23</v>
      </c>
      <c r="O4484">
        <v>7</v>
      </c>
      <c r="P4484" t="s">
        <v>58</v>
      </c>
      <c r="Q4484" t="s">
        <v>26</v>
      </c>
      <c r="R4484" s="1">
        <v>0.1</v>
      </c>
      <c r="S4484">
        <f t="shared" si="280"/>
        <v>706.47299999999996</v>
      </c>
      <c r="T4484">
        <f>IFERROR(VLOOKUP(A4484,Table1[[Customer ID]:[Discount Amount]], 6, FALSE),"Not Found")</f>
        <v>784.97</v>
      </c>
      <c r="U4484" t="str">
        <f t="shared" si="281"/>
        <v>PayPal</v>
      </c>
      <c r="V4484" s="4" t="str">
        <f t="shared" si="282"/>
        <v>Normal</v>
      </c>
      <c r="W4484" s="4" t="str">
        <f t="shared" si="283"/>
        <v>Poor</v>
      </c>
      <c r="X4484" s="4">
        <f>AVERAGE(Table1[Purchase Amount])</f>
        <v>129.48419400000012</v>
      </c>
    </row>
    <row r="4485" spans="1:24" ht="15" customHeight="1" x14ac:dyDescent="0.25">
      <c r="A4485">
        <v>4583</v>
      </c>
      <c r="B4485">
        <v>20</v>
      </c>
      <c r="C4485" t="s">
        <v>71</v>
      </c>
      <c r="D4485" t="s">
        <v>95</v>
      </c>
      <c r="E4485" t="s">
        <v>18</v>
      </c>
      <c r="F4485" s="2">
        <v>0</v>
      </c>
      <c r="G4485" t="s">
        <v>101</v>
      </c>
      <c r="H4485" t="s">
        <v>31</v>
      </c>
      <c r="I4485" t="s">
        <v>74</v>
      </c>
      <c r="J4485" t="s">
        <v>57</v>
      </c>
      <c r="K4485">
        <v>1</v>
      </c>
      <c r="L4485" t="s">
        <v>34</v>
      </c>
      <c r="M4485" t="s">
        <v>61</v>
      </c>
      <c r="N4485" t="s">
        <v>34</v>
      </c>
      <c r="O4485">
        <v>32</v>
      </c>
      <c r="P4485" t="s">
        <v>58</v>
      </c>
      <c r="Q4485" t="s">
        <v>37</v>
      </c>
      <c r="R4485" s="1">
        <v>0.1</v>
      </c>
      <c r="S4485">
        <f t="shared" si="280"/>
        <v>0</v>
      </c>
      <c r="T4485">
        <f>IFERROR(VLOOKUP(A4485,Table1[[Customer ID]:[Discount Amount]], 6, FALSE),"Not Found")</f>
        <v>0</v>
      </c>
      <c r="U4485" t="str">
        <f t="shared" si="281"/>
        <v>PayPal</v>
      </c>
      <c r="V4485" s="4" t="str">
        <f t="shared" si="282"/>
        <v>Normal</v>
      </c>
      <c r="W4485" s="4" t="str">
        <f t="shared" si="283"/>
        <v>Poor</v>
      </c>
      <c r="X4485" s="4">
        <f>AVERAGE(Table1[Purchase Amount])</f>
        <v>129.48419400000012</v>
      </c>
    </row>
    <row r="4486" spans="1:24" ht="15" customHeight="1" x14ac:dyDescent="0.25">
      <c r="A4486">
        <v>4584</v>
      </c>
      <c r="B4486">
        <v>55</v>
      </c>
      <c r="C4486" t="s">
        <v>16</v>
      </c>
      <c r="D4486" t="s">
        <v>116</v>
      </c>
      <c r="E4486" t="s">
        <v>18</v>
      </c>
      <c r="F4486" s="2">
        <v>0</v>
      </c>
      <c r="G4486" t="s">
        <v>101</v>
      </c>
      <c r="H4486" t="s">
        <v>31</v>
      </c>
      <c r="I4486" t="s">
        <v>40</v>
      </c>
      <c r="J4486" t="s">
        <v>75</v>
      </c>
      <c r="K4486">
        <v>5</v>
      </c>
      <c r="L4486" t="s">
        <v>23</v>
      </c>
      <c r="M4486" t="s">
        <v>61</v>
      </c>
      <c r="N4486" t="s">
        <v>34</v>
      </c>
      <c r="O4486">
        <v>0</v>
      </c>
      <c r="P4486" t="s">
        <v>36</v>
      </c>
      <c r="Q4486" t="s">
        <v>37</v>
      </c>
      <c r="R4486" s="1">
        <v>0.1</v>
      </c>
      <c r="S4486">
        <f t="shared" si="280"/>
        <v>0</v>
      </c>
      <c r="T4486">
        <f>IFERROR(VLOOKUP(A4486,Table1[[Customer ID]:[Discount Amount]], 6, FALSE),"Not Found")</f>
        <v>0</v>
      </c>
      <c r="U4486" t="str">
        <f t="shared" si="281"/>
        <v>Debit Card</v>
      </c>
      <c r="V4486" s="4" t="str">
        <f t="shared" si="282"/>
        <v>Normal</v>
      </c>
      <c r="W4486" s="4" t="str">
        <f t="shared" si="283"/>
        <v>Good</v>
      </c>
      <c r="X4486" s="4">
        <f>AVERAGE(Table1[Purchase Amount])</f>
        <v>129.48419400000012</v>
      </c>
    </row>
    <row r="4487" spans="1:24" ht="15" customHeight="1" x14ac:dyDescent="0.25">
      <c r="A4487">
        <v>4585</v>
      </c>
      <c r="B4487">
        <v>45</v>
      </c>
      <c r="C4487" t="s">
        <v>16</v>
      </c>
      <c r="D4487" t="s">
        <v>117</v>
      </c>
      <c r="E4487" t="s">
        <v>29</v>
      </c>
      <c r="F4487" s="2">
        <v>0</v>
      </c>
      <c r="G4487" t="s">
        <v>82</v>
      </c>
      <c r="H4487" t="s">
        <v>31</v>
      </c>
      <c r="I4487" t="s">
        <v>40</v>
      </c>
      <c r="J4487" t="s">
        <v>75</v>
      </c>
      <c r="K4487">
        <v>5</v>
      </c>
      <c r="L4487" t="s">
        <v>34</v>
      </c>
      <c r="M4487" t="s">
        <v>61</v>
      </c>
      <c r="N4487" t="s">
        <v>23</v>
      </c>
      <c r="O4487">
        <v>27</v>
      </c>
      <c r="P4487" t="s">
        <v>36</v>
      </c>
      <c r="Q4487" t="s">
        <v>37</v>
      </c>
      <c r="R4487" s="1">
        <v>0.1</v>
      </c>
      <c r="S4487">
        <f t="shared" si="280"/>
        <v>0</v>
      </c>
      <c r="T4487">
        <f>IFERROR(VLOOKUP(A4487,Table1[[Customer ID]:[Discount Amount]], 6, FALSE),"Not Found")</f>
        <v>0</v>
      </c>
      <c r="U4487" t="str">
        <f t="shared" si="281"/>
        <v>Debit Card</v>
      </c>
      <c r="V4487" s="4" t="str">
        <f t="shared" si="282"/>
        <v>Normal</v>
      </c>
      <c r="W4487" s="4" t="str">
        <f t="shared" si="283"/>
        <v>Good</v>
      </c>
      <c r="X4487" s="4">
        <f>AVERAGE(Table1[Purchase Amount])</f>
        <v>129.48419400000012</v>
      </c>
    </row>
    <row r="4488" spans="1:24" ht="15" customHeight="1" x14ac:dyDescent="0.25">
      <c r="A4488">
        <v>4586</v>
      </c>
      <c r="B4488">
        <v>23</v>
      </c>
      <c r="C4488" t="s">
        <v>16</v>
      </c>
      <c r="D4488" t="s">
        <v>117</v>
      </c>
      <c r="E4488" t="s">
        <v>29</v>
      </c>
      <c r="F4488" s="2">
        <v>0</v>
      </c>
      <c r="G4488" t="s">
        <v>82</v>
      </c>
      <c r="H4488" t="s">
        <v>45</v>
      </c>
      <c r="I4488" t="s">
        <v>46</v>
      </c>
      <c r="J4488" t="s">
        <v>75</v>
      </c>
      <c r="K4488">
        <v>1</v>
      </c>
      <c r="L4488" t="s">
        <v>23</v>
      </c>
      <c r="M4488" t="s">
        <v>61</v>
      </c>
      <c r="N4488" t="s">
        <v>23</v>
      </c>
      <c r="O4488">
        <v>0</v>
      </c>
      <c r="P4488" t="s">
        <v>53</v>
      </c>
      <c r="Q4488" t="s">
        <v>42</v>
      </c>
      <c r="R4488" s="1">
        <v>0.1</v>
      </c>
      <c r="S4488">
        <f t="shared" si="280"/>
        <v>0</v>
      </c>
      <c r="T4488">
        <f>IFERROR(VLOOKUP(A4488,Table1[[Customer ID]:[Discount Amount]], 6, FALSE),"Not Found")</f>
        <v>0</v>
      </c>
      <c r="U4488" t="str">
        <f t="shared" si="281"/>
        <v>Credit Card</v>
      </c>
      <c r="V4488" s="4" t="str">
        <f t="shared" si="282"/>
        <v>Normal</v>
      </c>
      <c r="W4488" s="4" t="str">
        <f t="shared" si="283"/>
        <v>Poor</v>
      </c>
      <c r="X4488" s="4">
        <f>AVERAGE(Table1[Purchase Amount])</f>
        <v>129.48419400000012</v>
      </c>
    </row>
    <row r="4489" spans="1:24" ht="15" customHeight="1" x14ac:dyDescent="0.25">
      <c r="A4489">
        <v>4587</v>
      </c>
      <c r="B4489">
        <v>52</v>
      </c>
      <c r="C4489" t="s">
        <v>27</v>
      </c>
      <c r="D4489" t="s">
        <v>80</v>
      </c>
      <c r="E4489" t="s">
        <v>81</v>
      </c>
      <c r="F4489" s="2">
        <v>1392.02</v>
      </c>
      <c r="G4489" t="s">
        <v>73</v>
      </c>
      <c r="H4489" t="s">
        <v>31</v>
      </c>
      <c r="I4489" t="s">
        <v>32</v>
      </c>
      <c r="J4489" t="s">
        <v>22</v>
      </c>
      <c r="K4489">
        <v>2</v>
      </c>
      <c r="L4489" t="s">
        <v>34</v>
      </c>
      <c r="M4489" t="s">
        <v>24</v>
      </c>
      <c r="N4489" t="s">
        <v>34</v>
      </c>
      <c r="O4489">
        <v>0</v>
      </c>
      <c r="P4489" t="s">
        <v>25</v>
      </c>
      <c r="Q4489" t="s">
        <v>37</v>
      </c>
      <c r="R4489" s="1">
        <v>0.1</v>
      </c>
      <c r="S4489">
        <f t="shared" si="280"/>
        <v>1252.818</v>
      </c>
      <c r="T4489">
        <f>IFERROR(VLOOKUP(A4489,Table1[[Customer ID]:[Discount Amount]], 6, FALSE),"Not Found")</f>
        <v>1392.02</v>
      </c>
      <c r="U4489" t="str">
        <f t="shared" si="281"/>
        <v>Cash</v>
      </c>
      <c r="V4489" s="4" t="str">
        <f t="shared" si="282"/>
        <v>Normal</v>
      </c>
      <c r="W4489" s="4" t="str">
        <f t="shared" si="283"/>
        <v>Poor</v>
      </c>
      <c r="X4489" s="4">
        <f>AVERAGE(Table1[Purchase Amount])</f>
        <v>129.48419400000012</v>
      </c>
    </row>
    <row r="4490" spans="1:24" ht="15" customHeight="1" x14ac:dyDescent="0.25">
      <c r="A4490">
        <v>4588</v>
      </c>
      <c r="B4490">
        <v>18</v>
      </c>
      <c r="C4490" t="s">
        <v>27</v>
      </c>
      <c r="D4490" t="s">
        <v>80</v>
      </c>
      <c r="E4490" t="s">
        <v>29</v>
      </c>
      <c r="F4490" s="2">
        <v>0</v>
      </c>
      <c r="G4490" t="s">
        <v>139</v>
      </c>
      <c r="H4490" t="s">
        <v>55</v>
      </c>
      <c r="I4490" t="s">
        <v>40</v>
      </c>
      <c r="J4490" t="s">
        <v>33</v>
      </c>
      <c r="K4490">
        <v>4</v>
      </c>
      <c r="L4490" t="s">
        <v>34</v>
      </c>
      <c r="M4490" t="s">
        <v>24</v>
      </c>
      <c r="N4490" t="s">
        <v>34</v>
      </c>
      <c r="O4490">
        <v>0</v>
      </c>
      <c r="P4490" t="s">
        <v>53</v>
      </c>
      <c r="Q4490" t="s">
        <v>26</v>
      </c>
      <c r="R4490" s="1">
        <v>0.1</v>
      </c>
      <c r="S4490">
        <f t="shared" si="280"/>
        <v>0</v>
      </c>
      <c r="T4490">
        <f>IFERROR(VLOOKUP(A4490,Table1[[Customer ID]:[Discount Amount]], 6, FALSE),"Not Found")</f>
        <v>0</v>
      </c>
      <c r="U4490" t="str">
        <f t="shared" si="281"/>
        <v>Credit Card</v>
      </c>
      <c r="V4490" s="4" t="str">
        <f t="shared" si="282"/>
        <v>Normal</v>
      </c>
      <c r="W4490" s="4" t="str">
        <f t="shared" si="283"/>
        <v>Good</v>
      </c>
      <c r="X4490" s="4">
        <f>AVERAGE(Table1[Purchase Amount])</f>
        <v>129.48419400000012</v>
      </c>
    </row>
    <row r="4491" spans="1:24" ht="15" customHeight="1" x14ac:dyDescent="0.25">
      <c r="A4491">
        <v>4589</v>
      </c>
      <c r="B4491">
        <v>33</v>
      </c>
      <c r="C4491" t="s">
        <v>16</v>
      </c>
      <c r="D4491" t="s">
        <v>117</v>
      </c>
      <c r="E4491" t="s">
        <v>29</v>
      </c>
      <c r="F4491" s="2">
        <v>0</v>
      </c>
      <c r="G4491" t="s">
        <v>101</v>
      </c>
      <c r="H4491" t="s">
        <v>45</v>
      </c>
      <c r="I4491" t="s">
        <v>46</v>
      </c>
      <c r="J4491" t="s">
        <v>57</v>
      </c>
      <c r="K4491">
        <v>2</v>
      </c>
      <c r="L4491" t="s">
        <v>23</v>
      </c>
      <c r="M4491" t="s">
        <v>61</v>
      </c>
      <c r="N4491" t="s">
        <v>23</v>
      </c>
      <c r="O4491">
        <v>0</v>
      </c>
      <c r="P4491" t="s">
        <v>36</v>
      </c>
      <c r="Q4491" t="s">
        <v>26</v>
      </c>
      <c r="R4491" s="1">
        <v>0.1</v>
      </c>
      <c r="S4491">
        <f t="shared" si="280"/>
        <v>0</v>
      </c>
      <c r="T4491">
        <f>IFERROR(VLOOKUP(A4491,Table1[[Customer ID]:[Discount Amount]], 6, FALSE),"Not Found")</f>
        <v>0</v>
      </c>
      <c r="U4491" t="str">
        <f t="shared" si="281"/>
        <v>Debit Card</v>
      </c>
      <c r="V4491" s="4" t="str">
        <f t="shared" si="282"/>
        <v>Normal</v>
      </c>
      <c r="W4491" s="4" t="str">
        <f t="shared" si="283"/>
        <v>Poor</v>
      </c>
      <c r="X4491" s="4">
        <f>AVERAGE(Table1[Purchase Amount])</f>
        <v>129.48419400000012</v>
      </c>
    </row>
    <row r="4492" spans="1:24" ht="15" customHeight="1" x14ac:dyDescent="0.25">
      <c r="A4492">
        <v>4590</v>
      </c>
      <c r="B4492">
        <v>60</v>
      </c>
      <c r="C4492" t="s">
        <v>27</v>
      </c>
      <c r="D4492" t="s">
        <v>117</v>
      </c>
      <c r="E4492" t="s">
        <v>18</v>
      </c>
      <c r="F4492" s="2">
        <v>0</v>
      </c>
      <c r="G4492" t="s">
        <v>82</v>
      </c>
      <c r="H4492" t="s">
        <v>20</v>
      </c>
      <c r="I4492" t="s">
        <v>46</v>
      </c>
      <c r="J4492" t="s">
        <v>33</v>
      </c>
      <c r="K4492">
        <v>1</v>
      </c>
      <c r="L4492" t="s">
        <v>34</v>
      </c>
      <c r="M4492" t="s">
        <v>24</v>
      </c>
      <c r="N4492" t="s">
        <v>34</v>
      </c>
      <c r="O4492">
        <v>0</v>
      </c>
      <c r="P4492" t="s">
        <v>58</v>
      </c>
      <c r="Q4492" t="s">
        <v>37</v>
      </c>
      <c r="R4492" s="1">
        <v>0.1</v>
      </c>
      <c r="S4492">
        <f t="shared" si="280"/>
        <v>0</v>
      </c>
      <c r="T4492">
        <f>IFERROR(VLOOKUP(A4492,Table1[[Customer ID]:[Discount Amount]], 6, FALSE),"Not Found")</f>
        <v>0</v>
      </c>
      <c r="U4492" t="str">
        <f t="shared" si="281"/>
        <v>PayPal</v>
      </c>
      <c r="V4492" s="4" t="str">
        <f t="shared" si="282"/>
        <v>Normal</v>
      </c>
      <c r="W4492" s="4" t="str">
        <f t="shared" si="283"/>
        <v>Poor</v>
      </c>
      <c r="X4492" s="4">
        <f>AVERAGE(Table1[Purchase Amount])</f>
        <v>129.48419400000012</v>
      </c>
    </row>
    <row r="4493" spans="1:24" ht="15" customHeight="1" x14ac:dyDescent="0.25">
      <c r="A4493">
        <v>4591</v>
      </c>
      <c r="B4493">
        <v>58</v>
      </c>
      <c r="C4493" t="s">
        <v>71</v>
      </c>
      <c r="D4493" t="s">
        <v>38</v>
      </c>
      <c r="E4493" t="s">
        <v>29</v>
      </c>
      <c r="F4493" s="2">
        <v>0</v>
      </c>
      <c r="G4493" t="s">
        <v>101</v>
      </c>
      <c r="H4493" t="s">
        <v>45</v>
      </c>
      <c r="I4493" t="s">
        <v>40</v>
      </c>
      <c r="J4493" t="s">
        <v>57</v>
      </c>
      <c r="K4493">
        <v>1</v>
      </c>
      <c r="L4493" t="s">
        <v>23</v>
      </c>
      <c r="M4493" t="s">
        <v>61</v>
      </c>
      <c r="N4493" t="s">
        <v>34</v>
      </c>
      <c r="O4493">
        <v>0</v>
      </c>
      <c r="P4493" t="s">
        <v>53</v>
      </c>
      <c r="Q4493" t="s">
        <v>37</v>
      </c>
      <c r="R4493" s="1">
        <v>0.1</v>
      </c>
      <c r="S4493">
        <f t="shared" si="280"/>
        <v>0</v>
      </c>
      <c r="T4493">
        <f>IFERROR(VLOOKUP(A4493,Table1[[Customer ID]:[Discount Amount]], 6, FALSE),"Not Found")</f>
        <v>0</v>
      </c>
      <c r="U4493" t="str">
        <f t="shared" si="281"/>
        <v>Credit Card</v>
      </c>
      <c r="V4493" s="4" t="str">
        <f t="shared" si="282"/>
        <v>Normal</v>
      </c>
      <c r="W4493" s="4" t="str">
        <f t="shared" si="283"/>
        <v>Poor</v>
      </c>
      <c r="X4493" s="4">
        <f>AVERAGE(Table1[Purchase Amount])</f>
        <v>129.48419400000012</v>
      </c>
    </row>
    <row r="4494" spans="1:24" ht="15" customHeight="1" x14ac:dyDescent="0.25">
      <c r="A4494">
        <v>4592</v>
      </c>
      <c r="B4494">
        <v>57</v>
      </c>
      <c r="C4494" t="s">
        <v>16</v>
      </c>
      <c r="D4494" t="s">
        <v>80</v>
      </c>
      <c r="E4494" t="s">
        <v>29</v>
      </c>
      <c r="F4494" s="2">
        <v>584.16</v>
      </c>
      <c r="G4494" t="s">
        <v>101</v>
      </c>
      <c r="H4494" t="s">
        <v>31</v>
      </c>
      <c r="I4494" t="s">
        <v>74</v>
      </c>
      <c r="J4494" t="s">
        <v>75</v>
      </c>
      <c r="K4494">
        <v>5</v>
      </c>
      <c r="L4494" t="s">
        <v>23</v>
      </c>
      <c r="M4494" t="s">
        <v>24</v>
      </c>
      <c r="N4494" t="s">
        <v>34</v>
      </c>
      <c r="O4494">
        <v>49</v>
      </c>
      <c r="P4494" t="s">
        <v>36</v>
      </c>
      <c r="Q4494" t="s">
        <v>37</v>
      </c>
      <c r="R4494" s="1">
        <v>0.1</v>
      </c>
      <c r="S4494">
        <f t="shared" si="280"/>
        <v>525.74399999999991</v>
      </c>
      <c r="T4494">
        <f>IFERROR(VLOOKUP(A4494,Table1[[Customer ID]:[Discount Amount]], 6, FALSE),"Not Found")</f>
        <v>584.16</v>
      </c>
      <c r="U4494" t="str">
        <f t="shared" si="281"/>
        <v>Debit Card</v>
      </c>
      <c r="V4494" s="4" t="str">
        <f t="shared" si="282"/>
        <v>Normal</v>
      </c>
      <c r="W4494" s="4" t="str">
        <f t="shared" si="283"/>
        <v>Good</v>
      </c>
      <c r="X4494" s="4">
        <f>AVERAGE(Table1[Purchase Amount])</f>
        <v>129.48419400000012</v>
      </c>
    </row>
    <row r="4495" spans="1:24" ht="15" customHeight="1" x14ac:dyDescent="0.25">
      <c r="A4495">
        <v>4593</v>
      </c>
      <c r="B4495">
        <v>56</v>
      </c>
      <c r="C4495" t="s">
        <v>71</v>
      </c>
      <c r="D4495" t="s">
        <v>72</v>
      </c>
      <c r="E4495" t="s">
        <v>81</v>
      </c>
      <c r="F4495" s="2">
        <v>0</v>
      </c>
      <c r="G4495" t="s">
        <v>101</v>
      </c>
      <c r="H4495" t="s">
        <v>31</v>
      </c>
      <c r="I4495" t="s">
        <v>74</v>
      </c>
      <c r="J4495" t="s">
        <v>22</v>
      </c>
      <c r="K4495">
        <v>1</v>
      </c>
      <c r="L4495" t="s">
        <v>23</v>
      </c>
      <c r="M4495" t="s">
        <v>61</v>
      </c>
      <c r="N4495" t="s">
        <v>34</v>
      </c>
      <c r="O4495">
        <v>11</v>
      </c>
      <c r="P4495" t="s">
        <v>36</v>
      </c>
      <c r="Q4495" t="s">
        <v>42</v>
      </c>
      <c r="R4495" s="1">
        <v>0.1</v>
      </c>
      <c r="S4495">
        <f t="shared" si="280"/>
        <v>0</v>
      </c>
      <c r="T4495">
        <f>IFERROR(VLOOKUP(A4495,Table1[[Customer ID]:[Discount Amount]], 6, FALSE),"Not Found")</f>
        <v>0</v>
      </c>
      <c r="U4495" t="str">
        <f t="shared" si="281"/>
        <v>Debit Card</v>
      </c>
      <c r="V4495" s="4" t="str">
        <f t="shared" si="282"/>
        <v>Normal</v>
      </c>
      <c r="W4495" s="4" t="str">
        <f t="shared" si="283"/>
        <v>Poor</v>
      </c>
      <c r="X4495" s="4">
        <f>AVERAGE(Table1[Purchase Amount])</f>
        <v>129.48419400000012</v>
      </c>
    </row>
    <row r="4496" spans="1:24" ht="15" customHeight="1" x14ac:dyDescent="0.25">
      <c r="A4496">
        <v>4594</v>
      </c>
      <c r="B4496">
        <v>46</v>
      </c>
      <c r="C4496" t="s">
        <v>27</v>
      </c>
      <c r="D4496" t="s">
        <v>95</v>
      </c>
      <c r="E4496" t="s">
        <v>29</v>
      </c>
      <c r="F4496" s="2">
        <v>0</v>
      </c>
      <c r="G4496" t="s">
        <v>73</v>
      </c>
      <c r="H4496" t="s">
        <v>45</v>
      </c>
      <c r="I4496" t="s">
        <v>32</v>
      </c>
      <c r="J4496" t="s">
        <v>57</v>
      </c>
      <c r="K4496">
        <v>1</v>
      </c>
      <c r="L4496" t="s">
        <v>34</v>
      </c>
      <c r="M4496" t="s">
        <v>61</v>
      </c>
      <c r="N4496" t="s">
        <v>23</v>
      </c>
      <c r="O4496">
        <v>0</v>
      </c>
      <c r="P4496" t="s">
        <v>25</v>
      </c>
      <c r="Q4496" t="s">
        <v>42</v>
      </c>
      <c r="R4496" s="1">
        <v>0.1</v>
      </c>
      <c r="S4496">
        <f t="shared" si="280"/>
        <v>0</v>
      </c>
      <c r="T4496">
        <f>IFERROR(VLOOKUP(A4496,Table1[[Customer ID]:[Discount Amount]], 6, FALSE),"Not Found")</f>
        <v>0</v>
      </c>
      <c r="U4496" t="str">
        <f t="shared" si="281"/>
        <v>Cash</v>
      </c>
      <c r="V4496" s="4" t="str">
        <f t="shared" si="282"/>
        <v>Normal</v>
      </c>
      <c r="W4496" s="4" t="str">
        <f t="shared" si="283"/>
        <v>Poor</v>
      </c>
      <c r="X4496" s="4">
        <f>AVERAGE(Table1[Purchase Amount])</f>
        <v>129.48419400000012</v>
      </c>
    </row>
    <row r="4497" spans="1:24" ht="15" customHeight="1" x14ac:dyDescent="0.25">
      <c r="A4497">
        <v>4595</v>
      </c>
      <c r="B4497">
        <v>47</v>
      </c>
      <c r="C4497" t="s">
        <v>27</v>
      </c>
      <c r="D4497" t="s">
        <v>117</v>
      </c>
      <c r="E4497" t="s">
        <v>29</v>
      </c>
      <c r="F4497" s="2">
        <v>0</v>
      </c>
      <c r="G4497" t="s">
        <v>126</v>
      </c>
      <c r="H4497" t="s">
        <v>55</v>
      </c>
      <c r="I4497" t="s">
        <v>32</v>
      </c>
      <c r="J4497" t="s">
        <v>57</v>
      </c>
      <c r="K4497">
        <v>1</v>
      </c>
      <c r="L4497" t="s">
        <v>23</v>
      </c>
      <c r="M4497" t="s">
        <v>61</v>
      </c>
      <c r="N4497" t="s">
        <v>34</v>
      </c>
      <c r="O4497">
        <v>32</v>
      </c>
      <c r="P4497" t="s">
        <v>25</v>
      </c>
      <c r="Q4497" t="s">
        <v>37</v>
      </c>
      <c r="R4497" s="1">
        <v>0.1</v>
      </c>
      <c r="S4497">
        <f t="shared" si="280"/>
        <v>0</v>
      </c>
      <c r="T4497">
        <f>IFERROR(VLOOKUP(A4497,Table1[[Customer ID]:[Discount Amount]], 6, FALSE),"Not Found")</f>
        <v>0</v>
      </c>
      <c r="U4497" t="str">
        <f t="shared" si="281"/>
        <v>Cash</v>
      </c>
      <c r="V4497" s="4" t="str">
        <f t="shared" si="282"/>
        <v>Normal</v>
      </c>
      <c r="W4497" s="4" t="str">
        <f t="shared" si="283"/>
        <v>Poor</v>
      </c>
      <c r="X4497" s="4">
        <f>AVERAGE(Table1[Purchase Amount])</f>
        <v>129.48419400000012</v>
      </c>
    </row>
    <row r="4498" spans="1:24" ht="15" customHeight="1" x14ac:dyDescent="0.25">
      <c r="A4498">
        <v>4596</v>
      </c>
      <c r="B4498">
        <v>42</v>
      </c>
      <c r="C4498" t="s">
        <v>71</v>
      </c>
      <c r="D4498" t="s">
        <v>116</v>
      </c>
      <c r="E4498" t="s">
        <v>29</v>
      </c>
      <c r="F4498" s="2">
        <v>1085.96</v>
      </c>
      <c r="G4498" t="s">
        <v>73</v>
      </c>
      <c r="H4498" t="s">
        <v>45</v>
      </c>
      <c r="I4498" t="s">
        <v>32</v>
      </c>
      <c r="J4498" t="s">
        <v>22</v>
      </c>
      <c r="K4498">
        <v>4</v>
      </c>
      <c r="L4498" t="s">
        <v>34</v>
      </c>
      <c r="M4498" t="s">
        <v>61</v>
      </c>
      <c r="N4498" t="s">
        <v>23</v>
      </c>
      <c r="O4498">
        <v>0</v>
      </c>
      <c r="P4498" t="s">
        <v>36</v>
      </c>
      <c r="Q4498" t="s">
        <v>26</v>
      </c>
      <c r="R4498" s="1">
        <v>0.1</v>
      </c>
      <c r="S4498">
        <f t="shared" si="280"/>
        <v>977.36400000000003</v>
      </c>
      <c r="T4498">
        <f>IFERROR(VLOOKUP(A4498,Table1[[Customer ID]:[Discount Amount]], 6, FALSE),"Not Found")</f>
        <v>1085.96</v>
      </c>
      <c r="U4498" t="str">
        <f t="shared" si="281"/>
        <v>Debit Card</v>
      </c>
      <c r="V4498" s="4" t="str">
        <f t="shared" si="282"/>
        <v>Best Customer</v>
      </c>
      <c r="W4498" s="4" t="str">
        <f t="shared" si="283"/>
        <v>Good</v>
      </c>
      <c r="X4498" s="4">
        <f>AVERAGE(Table1[Purchase Amount])</f>
        <v>129.48419400000012</v>
      </c>
    </row>
    <row r="4499" spans="1:24" ht="15" customHeight="1" x14ac:dyDescent="0.25">
      <c r="A4499">
        <v>4597</v>
      </c>
      <c r="B4499">
        <v>50</v>
      </c>
      <c r="C4499" t="s">
        <v>16</v>
      </c>
      <c r="D4499" t="s">
        <v>72</v>
      </c>
      <c r="E4499" t="s">
        <v>18</v>
      </c>
      <c r="F4499" s="2">
        <v>0</v>
      </c>
      <c r="G4499" t="s">
        <v>101</v>
      </c>
      <c r="H4499" t="s">
        <v>31</v>
      </c>
      <c r="I4499" t="s">
        <v>32</v>
      </c>
      <c r="J4499" t="s">
        <v>22</v>
      </c>
      <c r="K4499">
        <v>1</v>
      </c>
      <c r="L4499" t="s">
        <v>34</v>
      </c>
      <c r="M4499" t="s">
        <v>24</v>
      </c>
      <c r="N4499" t="s">
        <v>34</v>
      </c>
      <c r="O4499">
        <v>0</v>
      </c>
      <c r="P4499" t="s">
        <v>36</v>
      </c>
      <c r="Q4499" t="s">
        <v>37</v>
      </c>
      <c r="R4499" s="1">
        <v>0.1</v>
      </c>
      <c r="S4499">
        <f t="shared" si="280"/>
        <v>0</v>
      </c>
      <c r="T4499">
        <f>IFERROR(VLOOKUP(A4499,Table1[[Customer ID]:[Discount Amount]], 6, FALSE),"Not Found")</f>
        <v>0</v>
      </c>
      <c r="U4499" t="str">
        <f t="shared" si="281"/>
        <v>Debit Card</v>
      </c>
      <c r="V4499" s="4" t="str">
        <f t="shared" si="282"/>
        <v>Normal</v>
      </c>
      <c r="W4499" s="4" t="str">
        <f t="shared" si="283"/>
        <v>Poor</v>
      </c>
      <c r="X4499" s="4">
        <f>AVERAGE(Table1[Purchase Amount])</f>
        <v>129.48419400000012</v>
      </c>
    </row>
    <row r="4500" spans="1:24" ht="15" customHeight="1" x14ac:dyDescent="0.25">
      <c r="A4500">
        <v>4598</v>
      </c>
      <c r="B4500">
        <v>37</v>
      </c>
      <c r="C4500" t="s">
        <v>16</v>
      </c>
      <c r="D4500" t="s">
        <v>80</v>
      </c>
      <c r="E4500" t="s">
        <v>81</v>
      </c>
      <c r="F4500" s="2">
        <v>187.51</v>
      </c>
      <c r="G4500" t="s">
        <v>73</v>
      </c>
      <c r="H4500" t="s">
        <v>31</v>
      </c>
      <c r="I4500" t="s">
        <v>74</v>
      </c>
      <c r="J4500" t="s">
        <v>57</v>
      </c>
      <c r="K4500">
        <v>1</v>
      </c>
      <c r="L4500" t="s">
        <v>34</v>
      </c>
      <c r="M4500" t="s">
        <v>24</v>
      </c>
      <c r="N4500" t="s">
        <v>34</v>
      </c>
      <c r="O4500">
        <v>20</v>
      </c>
      <c r="P4500" t="s">
        <v>53</v>
      </c>
      <c r="Q4500" t="s">
        <v>26</v>
      </c>
      <c r="R4500" s="1">
        <v>0.1</v>
      </c>
      <c r="S4500">
        <f t="shared" si="280"/>
        <v>168.75899999999999</v>
      </c>
      <c r="T4500">
        <f>IFERROR(VLOOKUP(A4500,Table1[[Customer ID]:[Discount Amount]], 6, FALSE),"Not Found")</f>
        <v>187.51</v>
      </c>
      <c r="U4500" t="str">
        <f t="shared" si="281"/>
        <v>Credit Card</v>
      </c>
      <c r="V4500" s="4" t="str">
        <f t="shared" si="282"/>
        <v>Normal</v>
      </c>
      <c r="W4500" s="4" t="str">
        <f t="shared" si="283"/>
        <v>Poor</v>
      </c>
      <c r="X4500" s="4">
        <f>AVERAGE(Table1[Purchase Amount])</f>
        <v>129.48419400000012</v>
      </c>
    </row>
    <row r="4501" spans="1:24" ht="15" customHeight="1" x14ac:dyDescent="0.25">
      <c r="A4501">
        <v>4599</v>
      </c>
      <c r="B4501">
        <v>31</v>
      </c>
      <c r="C4501" t="s">
        <v>27</v>
      </c>
      <c r="D4501" t="s">
        <v>116</v>
      </c>
      <c r="E4501" t="s">
        <v>81</v>
      </c>
      <c r="F4501" s="2">
        <v>0</v>
      </c>
      <c r="G4501" t="s">
        <v>101</v>
      </c>
      <c r="H4501" t="s">
        <v>31</v>
      </c>
      <c r="I4501" t="s">
        <v>40</v>
      </c>
      <c r="J4501" t="s">
        <v>22</v>
      </c>
      <c r="K4501">
        <v>1</v>
      </c>
      <c r="L4501" t="s">
        <v>34</v>
      </c>
      <c r="M4501" t="s">
        <v>24</v>
      </c>
      <c r="N4501" t="s">
        <v>23</v>
      </c>
      <c r="O4501">
        <v>0</v>
      </c>
      <c r="P4501" t="s">
        <v>36</v>
      </c>
      <c r="Q4501" t="s">
        <v>37</v>
      </c>
      <c r="R4501" s="1">
        <v>0.1</v>
      </c>
      <c r="S4501">
        <f t="shared" si="280"/>
        <v>0</v>
      </c>
      <c r="T4501">
        <f>IFERROR(VLOOKUP(A4501,Table1[[Customer ID]:[Discount Amount]], 6, FALSE),"Not Found")</f>
        <v>0</v>
      </c>
      <c r="U4501" t="str">
        <f t="shared" si="281"/>
        <v>Debit Card</v>
      </c>
      <c r="V4501" s="4" t="str">
        <f t="shared" si="282"/>
        <v>Normal</v>
      </c>
      <c r="W4501" s="4" t="str">
        <f t="shared" si="283"/>
        <v>Poor</v>
      </c>
      <c r="X4501" s="4">
        <f>AVERAGE(Table1[Purchase Amount])</f>
        <v>129.48419400000012</v>
      </c>
    </row>
    <row r="4502" spans="1:24" ht="15" customHeight="1" x14ac:dyDescent="0.25">
      <c r="A4502">
        <v>4600</v>
      </c>
      <c r="B4502">
        <v>60</v>
      </c>
      <c r="C4502" t="s">
        <v>71</v>
      </c>
      <c r="D4502" t="s">
        <v>95</v>
      </c>
      <c r="E4502" t="s">
        <v>81</v>
      </c>
      <c r="F4502" s="2">
        <v>1460.51</v>
      </c>
      <c r="G4502" t="s">
        <v>139</v>
      </c>
      <c r="H4502" t="s">
        <v>31</v>
      </c>
      <c r="I4502" t="s">
        <v>32</v>
      </c>
      <c r="J4502" t="s">
        <v>57</v>
      </c>
      <c r="K4502">
        <v>2</v>
      </c>
      <c r="L4502" t="s">
        <v>23</v>
      </c>
      <c r="M4502" t="s">
        <v>24</v>
      </c>
      <c r="N4502" t="s">
        <v>34</v>
      </c>
      <c r="O4502">
        <v>20</v>
      </c>
      <c r="P4502" t="s">
        <v>25</v>
      </c>
      <c r="Q4502" t="s">
        <v>37</v>
      </c>
      <c r="R4502" s="1">
        <v>0.1</v>
      </c>
      <c r="S4502">
        <f t="shared" si="280"/>
        <v>1314.4590000000001</v>
      </c>
      <c r="T4502">
        <f>IFERROR(VLOOKUP(A4502,Table1[[Customer ID]:[Discount Amount]], 6, FALSE),"Not Found")</f>
        <v>1460.51</v>
      </c>
      <c r="U4502" t="str">
        <f t="shared" si="281"/>
        <v>Cash</v>
      </c>
      <c r="V4502" s="4" t="str">
        <f t="shared" si="282"/>
        <v>Normal</v>
      </c>
      <c r="W4502" s="4" t="str">
        <f t="shared" si="283"/>
        <v>Poor</v>
      </c>
      <c r="X4502" s="4">
        <f>AVERAGE(Table1[Purchase Amount])</f>
        <v>129.48419400000012</v>
      </c>
    </row>
    <row r="4503" spans="1:24" ht="15" customHeight="1" x14ac:dyDescent="0.25">
      <c r="A4503">
        <v>4601</v>
      </c>
      <c r="B4503">
        <v>65</v>
      </c>
      <c r="C4503" t="s">
        <v>71</v>
      </c>
      <c r="D4503" t="s">
        <v>95</v>
      </c>
      <c r="E4503" t="s">
        <v>81</v>
      </c>
      <c r="F4503" s="2">
        <v>405.11</v>
      </c>
      <c r="G4503" t="s">
        <v>73</v>
      </c>
      <c r="H4503" t="s">
        <v>31</v>
      </c>
      <c r="I4503" t="s">
        <v>74</v>
      </c>
      <c r="J4503" t="s">
        <v>57</v>
      </c>
      <c r="K4503">
        <v>5</v>
      </c>
      <c r="L4503" t="s">
        <v>34</v>
      </c>
      <c r="M4503" t="s">
        <v>24</v>
      </c>
      <c r="N4503" t="s">
        <v>23</v>
      </c>
      <c r="O4503">
        <v>0</v>
      </c>
      <c r="P4503" t="s">
        <v>58</v>
      </c>
      <c r="Q4503" t="s">
        <v>37</v>
      </c>
      <c r="R4503" s="1">
        <v>0.1</v>
      </c>
      <c r="S4503">
        <f t="shared" si="280"/>
        <v>364.59899999999999</v>
      </c>
      <c r="T4503">
        <f>IFERROR(VLOOKUP(A4503,Table1[[Customer ID]:[Discount Amount]], 6, FALSE),"Not Found")</f>
        <v>405.11</v>
      </c>
      <c r="U4503" t="str">
        <f t="shared" si="281"/>
        <v>PayPal</v>
      </c>
      <c r="V4503" s="4" t="str">
        <f t="shared" si="282"/>
        <v>Normal</v>
      </c>
      <c r="W4503" s="4" t="str">
        <f t="shared" si="283"/>
        <v>Good</v>
      </c>
      <c r="X4503" s="4">
        <f>AVERAGE(Table1[Purchase Amount])</f>
        <v>129.48419400000012</v>
      </c>
    </row>
    <row r="4504" spans="1:24" ht="15" customHeight="1" x14ac:dyDescent="0.25">
      <c r="A4504">
        <v>4602</v>
      </c>
      <c r="B4504">
        <v>34</v>
      </c>
      <c r="C4504" t="s">
        <v>71</v>
      </c>
      <c r="D4504" t="s">
        <v>95</v>
      </c>
      <c r="E4504" t="s">
        <v>29</v>
      </c>
      <c r="F4504" s="2">
        <v>0</v>
      </c>
      <c r="G4504" t="s">
        <v>82</v>
      </c>
      <c r="H4504" t="s">
        <v>45</v>
      </c>
      <c r="I4504" t="s">
        <v>32</v>
      </c>
      <c r="J4504" t="s">
        <v>75</v>
      </c>
      <c r="K4504">
        <v>1</v>
      </c>
      <c r="L4504" t="s">
        <v>34</v>
      </c>
      <c r="M4504" t="s">
        <v>61</v>
      </c>
      <c r="N4504" t="s">
        <v>23</v>
      </c>
      <c r="O4504">
        <v>35</v>
      </c>
      <c r="P4504" t="s">
        <v>36</v>
      </c>
      <c r="Q4504" t="s">
        <v>26</v>
      </c>
      <c r="R4504" s="1">
        <v>0.1</v>
      </c>
      <c r="S4504">
        <f t="shared" si="280"/>
        <v>0</v>
      </c>
      <c r="T4504">
        <f>IFERROR(VLOOKUP(A4504,Table1[[Customer ID]:[Discount Amount]], 6, FALSE),"Not Found")</f>
        <v>0</v>
      </c>
      <c r="U4504" t="str">
        <f t="shared" si="281"/>
        <v>Debit Card</v>
      </c>
      <c r="V4504" s="4" t="str">
        <f t="shared" si="282"/>
        <v>Normal</v>
      </c>
      <c r="W4504" s="4" t="str">
        <f t="shared" si="283"/>
        <v>Poor</v>
      </c>
      <c r="X4504" s="4">
        <f>AVERAGE(Table1[Purchase Amount])</f>
        <v>129.48419400000012</v>
      </c>
    </row>
    <row r="4505" spans="1:24" ht="15" customHeight="1" x14ac:dyDescent="0.25">
      <c r="A4505">
        <v>4603</v>
      </c>
      <c r="B4505">
        <v>38</v>
      </c>
      <c r="C4505" t="s">
        <v>71</v>
      </c>
      <c r="D4505" t="s">
        <v>38</v>
      </c>
      <c r="E4505" t="s">
        <v>18</v>
      </c>
      <c r="F4505" s="2">
        <v>1068.26</v>
      </c>
      <c r="G4505" t="s">
        <v>82</v>
      </c>
      <c r="H4505" t="s">
        <v>31</v>
      </c>
      <c r="I4505" t="s">
        <v>74</v>
      </c>
      <c r="J4505" t="s">
        <v>57</v>
      </c>
      <c r="K4505">
        <v>1</v>
      </c>
      <c r="L4505" t="s">
        <v>34</v>
      </c>
      <c r="M4505" t="s">
        <v>61</v>
      </c>
      <c r="N4505" t="s">
        <v>34</v>
      </c>
      <c r="O4505">
        <v>23</v>
      </c>
      <c r="P4505" t="s">
        <v>25</v>
      </c>
      <c r="Q4505" t="s">
        <v>26</v>
      </c>
      <c r="R4505" s="1">
        <v>0.1</v>
      </c>
      <c r="S4505">
        <f t="shared" si="280"/>
        <v>961.43399999999997</v>
      </c>
      <c r="T4505">
        <f>IFERROR(VLOOKUP(A4505,Table1[[Customer ID]:[Discount Amount]], 6, FALSE),"Not Found")</f>
        <v>1068.26</v>
      </c>
      <c r="U4505" t="str">
        <f t="shared" si="281"/>
        <v>Cash</v>
      </c>
      <c r="V4505" s="4" t="str">
        <f t="shared" si="282"/>
        <v>Normal</v>
      </c>
      <c r="W4505" s="4" t="str">
        <f t="shared" si="283"/>
        <v>Poor</v>
      </c>
      <c r="X4505" s="4">
        <f>AVERAGE(Table1[Purchase Amount])</f>
        <v>129.48419400000012</v>
      </c>
    </row>
    <row r="4506" spans="1:24" ht="15" customHeight="1" x14ac:dyDescent="0.25">
      <c r="A4506">
        <v>4604</v>
      </c>
      <c r="B4506">
        <v>66</v>
      </c>
      <c r="C4506" t="s">
        <v>16</v>
      </c>
      <c r="D4506" t="s">
        <v>38</v>
      </c>
      <c r="E4506" t="s">
        <v>81</v>
      </c>
      <c r="F4506" s="2">
        <v>561.28</v>
      </c>
      <c r="G4506" t="s">
        <v>101</v>
      </c>
      <c r="H4506" t="s">
        <v>31</v>
      </c>
      <c r="I4506" t="s">
        <v>46</v>
      </c>
      <c r="J4506" t="s">
        <v>22</v>
      </c>
      <c r="K4506">
        <v>5</v>
      </c>
      <c r="L4506" t="s">
        <v>23</v>
      </c>
      <c r="M4506" t="s">
        <v>24</v>
      </c>
      <c r="N4506" t="s">
        <v>23</v>
      </c>
      <c r="O4506">
        <v>0</v>
      </c>
      <c r="P4506" t="s">
        <v>53</v>
      </c>
      <c r="Q4506" t="s">
        <v>26</v>
      </c>
      <c r="R4506" s="1">
        <v>0.1</v>
      </c>
      <c r="S4506">
        <f t="shared" si="280"/>
        <v>505.15199999999999</v>
      </c>
      <c r="T4506">
        <f>IFERROR(VLOOKUP(A4506,Table1[[Customer ID]:[Discount Amount]], 6, FALSE),"Not Found")</f>
        <v>561.28</v>
      </c>
      <c r="U4506" t="str">
        <f t="shared" si="281"/>
        <v>Credit Card</v>
      </c>
      <c r="V4506" s="4" t="str">
        <f t="shared" si="282"/>
        <v>Normal</v>
      </c>
      <c r="W4506" s="4" t="str">
        <f t="shared" si="283"/>
        <v>Good</v>
      </c>
      <c r="X4506" s="4">
        <f>AVERAGE(Table1[Purchase Amount])</f>
        <v>129.48419400000012</v>
      </c>
    </row>
    <row r="4507" spans="1:24" ht="15" customHeight="1" x14ac:dyDescent="0.25">
      <c r="A4507">
        <v>4605</v>
      </c>
      <c r="B4507">
        <v>20</v>
      </c>
      <c r="C4507" t="s">
        <v>27</v>
      </c>
      <c r="D4507" t="s">
        <v>116</v>
      </c>
      <c r="E4507" t="s">
        <v>29</v>
      </c>
      <c r="F4507" s="2">
        <v>0</v>
      </c>
      <c r="G4507" t="s">
        <v>101</v>
      </c>
      <c r="H4507" t="s">
        <v>31</v>
      </c>
      <c r="I4507" t="s">
        <v>46</v>
      </c>
      <c r="J4507" t="s">
        <v>22</v>
      </c>
      <c r="K4507">
        <v>3</v>
      </c>
      <c r="L4507" t="s">
        <v>23</v>
      </c>
      <c r="M4507" t="s">
        <v>61</v>
      </c>
      <c r="N4507" t="s">
        <v>23</v>
      </c>
      <c r="O4507">
        <v>36</v>
      </c>
      <c r="P4507" t="s">
        <v>36</v>
      </c>
      <c r="Q4507" t="s">
        <v>37</v>
      </c>
      <c r="R4507" s="1">
        <v>0.1</v>
      </c>
      <c r="S4507">
        <f t="shared" si="280"/>
        <v>0</v>
      </c>
      <c r="T4507">
        <f>IFERROR(VLOOKUP(A4507,Table1[[Customer ID]:[Discount Amount]], 6, FALSE),"Not Found")</f>
        <v>0</v>
      </c>
      <c r="U4507" t="str">
        <f t="shared" si="281"/>
        <v>Debit Card</v>
      </c>
      <c r="V4507" s="4" t="str">
        <f t="shared" si="282"/>
        <v>Normal</v>
      </c>
      <c r="W4507" s="4" t="str">
        <f t="shared" si="283"/>
        <v>Good</v>
      </c>
      <c r="X4507" s="4">
        <f>AVERAGE(Table1[Purchase Amount])</f>
        <v>129.48419400000012</v>
      </c>
    </row>
    <row r="4508" spans="1:24" ht="15" customHeight="1" x14ac:dyDescent="0.25">
      <c r="A4508">
        <v>4606</v>
      </c>
      <c r="B4508">
        <v>33</v>
      </c>
      <c r="C4508" t="s">
        <v>16</v>
      </c>
      <c r="D4508" t="s">
        <v>117</v>
      </c>
      <c r="E4508" t="s">
        <v>18</v>
      </c>
      <c r="F4508" s="2">
        <v>0</v>
      </c>
      <c r="G4508" t="s">
        <v>73</v>
      </c>
      <c r="H4508" t="s">
        <v>45</v>
      </c>
      <c r="I4508" t="s">
        <v>32</v>
      </c>
      <c r="J4508" t="s">
        <v>75</v>
      </c>
      <c r="K4508">
        <v>1</v>
      </c>
      <c r="L4508" t="s">
        <v>34</v>
      </c>
      <c r="M4508" t="s">
        <v>61</v>
      </c>
      <c r="N4508" t="s">
        <v>23</v>
      </c>
      <c r="O4508">
        <v>0</v>
      </c>
      <c r="P4508" t="s">
        <v>36</v>
      </c>
      <c r="Q4508" t="s">
        <v>26</v>
      </c>
      <c r="R4508" s="1">
        <v>0.1</v>
      </c>
      <c r="S4508">
        <f t="shared" si="280"/>
        <v>0</v>
      </c>
      <c r="T4508">
        <f>IFERROR(VLOOKUP(A4508,Table1[[Customer ID]:[Discount Amount]], 6, FALSE),"Not Found")</f>
        <v>0</v>
      </c>
      <c r="U4508" t="str">
        <f t="shared" si="281"/>
        <v>Debit Card</v>
      </c>
      <c r="V4508" s="4" t="str">
        <f t="shared" si="282"/>
        <v>Normal</v>
      </c>
      <c r="W4508" s="4" t="str">
        <f t="shared" si="283"/>
        <v>Poor</v>
      </c>
      <c r="X4508" s="4">
        <f>AVERAGE(Table1[Purchase Amount])</f>
        <v>129.48419400000012</v>
      </c>
    </row>
    <row r="4509" spans="1:24" ht="15" customHeight="1" x14ac:dyDescent="0.25">
      <c r="A4509">
        <v>4607</v>
      </c>
      <c r="B4509">
        <v>47</v>
      </c>
      <c r="C4509" t="s">
        <v>71</v>
      </c>
      <c r="D4509" t="s">
        <v>38</v>
      </c>
      <c r="E4509" t="s">
        <v>18</v>
      </c>
      <c r="F4509" s="2">
        <v>557.24</v>
      </c>
      <c r="G4509" t="s">
        <v>82</v>
      </c>
      <c r="H4509" t="s">
        <v>45</v>
      </c>
      <c r="I4509" t="s">
        <v>32</v>
      </c>
      <c r="J4509" t="s">
        <v>75</v>
      </c>
      <c r="K4509">
        <v>1</v>
      </c>
      <c r="L4509" t="s">
        <v>23</v>
      </c>
      <c r="M4509" t="s">
        <v>61</v>
      </c>
      <c r="N4509" t="s">
        <v>34</v>
      </c>
      <c r="O4509">
        <v>27</v>
      </c>
      <c r="P4509" t="s">
        <v>58</v>
      </c>
      <c r="Q4509" t="s">
        <v>26</v>
      </c>
      <c r="R4509" s="1">
        <v>0.1</v>
      </c>
      <c r="S4509">
        <f t="shared" si="280"/>
        <v>501.51600000000002</v>
      </c>
      <c r="T4509">
        <f>IFERROR(VLOOKUP(A4509,Table1[[Customer ID]:[Discount Amount]], 6, FALSE),"Not Found")</f>
        <v>557.24</v>
      </c>
      <c r="U4509" t="str">
        <f t="shared" si="281"/>
        <v>PayPal</v>
      </c>
      <c r="V4509" s="4" t="str">
        <f t="shared" si="282"/>
        <v>Normal</v>
      </c>
      <c r="W4509" s="4" t="str">
        <f t="shared" si="283"/>
        <v>Poor</v>
      </c>
      <c r="X4509" s="4">
        <f>AVERAGE(Table1[Purchase Amount])</f>
        <v>129.48419400000012</v>
      </c>
    </row>
    <row r="4510" spans="1:24" ht="15" customHeight="1" x14ac:dyDescent="0.25">
      <c r="A4510">
        <v>4608</v>
      </c>
      <c r="B4510">
        <v>67</v>
      </c>
      <c r="C4510" t="s">
        <v>16</v>
      </c>
      <c r="D4510" t="s">
        <v>80</v>
      </c>
      <c r="E4510" t="s">
        <v>18</v>
      </c>
      <c r="F4510" s="2">
        <v>0</v>
      </c>
      <c r="G4510" t="s">
        <v>101</v>
      </c>
      <c r="H4510" t="s">
        <v>45</v>
      </c>
      <c r="I4510" t="s">
        <v>46</v>
      </c>
      <c r="J4510" t="s">
        <v>75</v>
      </c>
      <c r="K4510">
        <v>1</v>
      </c>
      <c r="L4510" t="s">
        <v>34</v>
      </c>
      <c r="M4510" t="s">
        <v>61</v>
      </c>
      <c r="N4510" t="s">
        <v>34</v>
      </c>
      <c r="O4510">
        <v>32</v>
      </c>
      <c r="P4510" t="s">
        <v>36</v>
      </c>
      <c r="Q4510" t="s">
        <v>42</v>
      </c>
      <c r="R4510" s="1">
        <v>0.1</v>
      </c>
      <c r="S4510">
        <f t="shared" si="280"/>
        <v>0</v>
      </c>
      <c r="T4510">
        <f>IFERROR(VLOOKUP(A4510,Table1[[Customer ID]:[Discount Amount]], 6, FALSE),"Not Found")</f>
        <v>0</v>
      </c>
      <c r="U4510" t="str">
        <f t="shared" si="281"/>
        <v>Debit Card</v>
      </c>
      <c r="V4510" s="4" t="str">
        <f t="shared" si="282"/>
        <v>Normal</v>
      </c>
      <c r="W4510" s="4" t="str">
        <f t="shared" si="283"/>
        <v>Poor</v>
      </c>
      <c r="X4510" s="4">
        <f>AVERAGE(Table1[Purchase Amount])</f>
        <v>129.48419400000012</v>
      </c>
    </row>
    <row r="4511" spans="1:24" ht="15" customHeight="1" x14ac:dyDescent="0.25">
      <c r="A4511">
        <v>4609</v>
      </c>
      <c r="B4511">
        <v>29</v>
      </c>
      <c r="C4511" t="s">
        <v>71</v>
      </c>
      <c r="D4511" t="s">
        <v>95</v>
      </c>
      <c r="E4511" t="s">
        <v>81</v>
      </c>
      <c r="F4511" s="2">
        <v>124.45</v>
      </c>
      <c r="G4511" t="s">
        <v>82</v>
      </c>
      <c r="H4511" t="s">
        <v>31</v>
      </c>
      <c r="I4511" t="s">
        <v>93</v>
      </c>
      <c r="J4511" t="s">
        <v>75</v>
      </c>
      <c r="K4511">
        <v>4</v>
      </c>
      <c r="L4511" t="s">
        <v>23</v>
      </c>
      <c r="M4511" t="s">
        <v>24</v>
      </c>
      <c r="N4511" t="s">
        <v>34</v>
      </c>
      <c r="O4511">
        <v>44</v>
      </c>
      <c r="P4511" t="s">
        <v>25</v>
      </c>
      <c r="Q4511" t="s">
        <v>26</v>
      </c>
      <c r="R4511" s="1">
        <v>0.1</v>
      </c>
      <c r="S4511">
        <f t="shared" si="280"/>
        <v>112.005</v>
      </c>
      <c r="T4511">
        <f>IFERROR(VLOOKUP(A4511,Table1[[Customer ID]:[Discount Amount]], 6, FALSE),"Not Found")</f>
        <v>124.45</v>
      </c>
      <c r="U4511" t="str">
        <f t="shared" si="281"/>
        <v>Cash</v>
      </c>
      <c r="V4511" s="4" t="str">
        <f t="shared" si="282"/>
        <v>Normal</v>
      </c>
      <c r="W4511" s="4" t="str">
        <f t="shared" si="283"/>
        <v>Good</v>
      </c>
      <c r="X4511" s="4">
        <f>AVERAGE(Table1[Purchase Amount])</f>
        <v>129.48419400000012</v>
      </c>
    </row>
    <row r="4512" spans="1:24" ht="15" customHeight="1" x14ac:dyDescent="0.25">
      <c r="A4512">
        <v>4610</v>
      </c>
      <c r="B4512">
        <v>44</v>
      </c>
      <c r="C4512" t="s">
        <v>16</v>
      </c>
      <c r="D4512" t="s">
        <v>80</v>
      </c>
      <c r="E4512" t="s">
        <v>18</v>
      </c>
      <c r="F4512" s="2">
        <v>0</v>
      </c>
      <c r="G4512" t="s">
        <v>139</v>
      </c>
      <c r="H4512" t="s">
        <v>55</v>
      </c>
      <c r="I4512" t="s">
        <v>74</v>
      </c>
      <c r="J4512" t="s">
        <v>75</v>
      </c>
      <c r="K4512">
        <v>1</v>
      </c>
      <c r="L4512" t="s">
        <v>34</v>
      </c>
      <c r="M4512" t="s">
        <v>24</v>
      </c>
      <c r="N4512" t="s">
        <v>23</v>
      </c>
      <c r="O4512">
        <v>0</v>
      </c>
      <c r="P4512" t="s">
        <v>58</v>
      </c>
      <c r="Q4512" t="s">
        <v>37</v>
      </c>
      <c r="R4512" s="1">
        <v>0.1</v>
      </c>
      <c r="S4512">
        <f t="shared" si="280"/>
        <v>0</v>
      </c>
      <c r="T4512">
        <f>IFERROR(VLOOKUP(A4512,Table1[[Customer ID]:[Discount Amount]], 6, FALSE),"Not Found")</f>
        <v>0</v>
      </c>
      <c r="U4512" t="str">
        <f t="shared" si="281"/>
        <v>PayPal</v>
      </c>
      <c r="V4512" s="4" t="str">
        <f t="shared" si="282"/>
        <v>Normal</v>
      </c>
      <c r="W4512" s="4" t="str">
        <f t="shared" si="283"/>
        <v>Poor</v>
      </c>
      <c r="X4512" s="4">
        <f>AVERAGE(Table1[Purchase Amount])</f>
        <v>129.48419400000012</v>
      </c>
    </row>
    <row r="4513" spans="1:24" ht="15" customHeight="1" x14ac:dyDescent="0.25">
      <c r="A4513">
        <v>4611</v>
      </c>
      <c r="B4513">
        <v>66</v>
      </c>
      <c r="C4513" t="s">
        <v>71</v>
      </c>
      <c r="D4513" t="s">
        <v>72</v>
      </c>
      <c r="E4513" t="s">
        <v>81</v>
      </c>
      <c r="F4513" s="2">
        <v>0</v>
      </c>
      <c r="G4513" t="s">
        <v>126</v>
      </c>
      <c r="H4513" t="s">
        <v>31</v>
      </c>
      <c r="I4513" t="s">
        <v>46</v>
      </c>
      <c r="J4513" t="s">
        <v>57</v>
      </c>
      <c r="K4513">
        <v>1</v>
      </c>
      <c r="L4513" t="s">
        <v>23</v>
      </c>
      <c r="M4513" t="s">
        <v>61</v>
      </c>
      <c r="N4513" t="s">
        <v>34</v>
      </c>
      <c r="O4513">
        <v>34</v>
      </c>
      <c r="P4513" t="s">
        <v>53</v>
      </c>
      <c r="Q4513" t="s">
        <v>37</v>
      </c>
      <c r="R4513" s="1">
        <v>0.1</v>
      </c>
      <c r="S4513">
        <f t="shared" si="280"/>
        <v>0</v>
      </c>
      <c r="T4513">
        <f>IFERROR(VLOOKUP(A4513,Table1[[Customer ID]:[Discount Amount]], 6, FALSE),"Not Found")</f>
        <v>0</v>
      </c>
      <c r="U4513" t="str">
        <f t="shared" si="281"/>
        <v>Credit Card</v>
      </c>
      <c r="V4513" s="4" t="str">
        <f t="shared" si="282"/>
        <v>Normal</v>
      </c>
      <c r="W4513" s="4" t="str">
        <f t="shared" si="283"/>
        <v>Poor</v>
      </c>
      <c r="X4513" s="4">
        <f>AVERAGE(Table1[Purchase Amount])</f>
        <v>129.48419400000012</v>
      </c>
    </row>
    <row r="4514" spans="1:24" ht="15" customHeight="1" x14ac:dyDescent="0.25">
      <c r="A4514">
        <v>4612</v>
      </c>
      <c r="B4514">
        <v>62</v>
      </c>
      <c r="C4514" t="s">
        <v>71</v>
      </c>
      <c r="D4514" t="s">
        <v>117</v>
      </c>
      <c r="E4514" t="s">
        <v>18</v>
      </c>
      <c r="F4514" s="2">
        <v>1294.07</v>
      </c>
      <c r="G4514" t="s">
        <v>126</v>
      </c>
      <c r="H4514" t="s">
        <v>20</v>
      </c>
      <c r="I4514" t="s">
        <v>32</v>
      </c>
      <c r="J4514" t="s">
        <v>33</v>
      </c>
      <c r="K4514">
        <v>1</v>
      </c>
      <c r="L4514" t="s">
        <v>23</v>
      </c>
      <c r="M4514" t="s">
        <v>61</v>
      </c>
      <c r="N4514" t="s">
        <v>34</v>
      </c>
      <c r="O4514">
        <v>39</v>
      </c>
      <c r="P4514" t="s">
        <v>36</v>
      </c>
      <c r="Q4514" t="s">
        <v>26</v>
      </c>
      <c r="R4514" s="1">
        <v>0.1</v>
      </c>
      <c r="S4514">
        <f t="shared" si="280"/>
        <v>1164.663</v>
      </c>
      <c r="T4514">
        <f>IFERROR(VLOOKUP(A4514,Table1[[Customer ID]:[Discount Amount]], 6, FALSE),"Not Found")</f>
        <v>1294.07</v>
      </c>
      <c r="U4514" t="str">
        <f t="shared" si="281"/>
        <v>Debit Card</v>
      </c>
      <c r="V4514" s="4" t="str">
        <f t="shared" si="282"/>
        <v>Normal</v>
      </c>
      <c r="W4514" s="4" t="str">
        <f t="shared" si="283"/>
        <v>Poor</v>
      </c>
      <c r="X4514" s="4">
        <f>AVERAGE(Table1[Purchase Amount])</f>
        <v>129.48419400000012</v>
      </c>
    </row>
    <row r="4515" spans="1:24" ht="15" customHeight="1" x14ac:dyDescent="0.25">
      <c r="A4515">
        <v>4613</v>
      </c>
      <c r="B4515">
        <v>36</v>
      </c>
      <c r="C4515" t="s">
        <v>27</v>
      </c>
      <c r="D4515" t="s">
        <v>112</v>
      </c>
      <c r="E4515" t="s">
        <v>29</v>
      </c>
      <c r="F4515" s="2">
        <v>1186.54</v>
      </c>
      <c r="G4515" t="s">
        <v>82</v>
      </c>
      <c r="H4515" t="s">
        <v>55</v>
      </c>
      <c r="I4515" t="s">
        <v>74</v>
      </c>
      <c r="J4515" t="s">
        <v>57</v>
      </c>
      <c r="K4515">
        <v>1</v>
      </c>
      <c r="L4515" t="s">
        <v>23</v>
      </c>
      <c r="M4515" t="s">
        <v>24</v>
      </c>
      <c r="N4515" t="s">
        <v>23</v>
      </c>
      <c r="O4515">
        <v>39</v>
      </c>
      <c r="P4515" t="s">
        <v>36</v>
      </c>
      <c r="Q4515" t="s">
        <v>37</v>
      </c>
      <c r="R4515" s="1">
        <v>0.1</v>
      </c>
      <c r="S4515">
        <f t="shared" si="280"/>
        <v>1067.886</v>
      </c>
      <c r="T4515">
        <f>IFERROR(VLOOKUP(A4515,Table1[[Customer ID]:[Discount Amount]], 6, FALSE),"Not Found")</f>
        <v>1186.54</v>
      </c>
      <c r="U4515" t="str">
        <f t="shared" si="281"/>
        <v>Debit Card</v>
      </c>
      <c r="V4515" s="4" t="str">
        <f t="shared" si="282"/>
        <v>Normal</v>
      </c>
      <c r="W4515" s="4" t="str">
        <f t="shared" si="283"/>
        <v>Poor</v>
      </c>
      <c r="X4515" s="4">
        <f>AVERAGE(Table1[Purchase Amount])</f>
        <v>129.48419400000012</v>
      </c>
    </row>
    <row r="4516" spans="1:24" ht="15" customHeight="1" x14ac:dyDescent="0.25">
      <c r="A4516">
        <v>4614</v>
      </c>
      <c r="B4516">
        <v>56</v>
      </c>
      <c r="C4516" t="s">
        <v>16</v>
      </c>
      <c r="D4516" t="s">
        <v>72</v>
      </c>
      <c r="E4516" t="s">
        <v>81</v>
      </c>
      <c r="F4516" s="2">
        <v>0</v>
      </c>
      <c r="G4516" t="s">
        <v>139</v>
      </c>
      <c r="H4516" t="s">
        <v>31</v>
      </c>
      <c r="I4516" t="s">
        <v>46</v>
      </c>
      <c r="J4516" t="s">
        <v>33</v>
      </c>
      <c r="K4516">
        <v>1</v>
      </c>
      <c r="L4516" t="s">
        <v>23</v>
      </c>
      <c r="M4516" t="s">
        <v>24</v>
      </c>
      <c r="N4516" t="s">
        <v>34</v>
      </c>
      <c r="O4516">
        <v>0</v>
      </c>
      <c r="P4516" t="s">
        <v>36</v>
      </c>
      <c r="Q4516" t="s">
        <v>37</v>
      </c>
      <c r="R4516" s="1">
        <v>0.1</v>
      </c>
      <c r="S4516">
        <f t="shared" si="280"/>
        <v>0</v>
      </c>
      <c r="T4516">
        <f>IFERROR(VLOOKUP(A4516,Table1[[Customer ID]:[Discount Amount]], 6, FALSE),"Not Found")</f>
        <v>0</v>
      </c>
      <c r="U4516" t="str">
        <f t="shared" si="281"/>
        <v>Debit Card</v>
      </c>
      <c r="V4516" s="4" t="str">
        <f t="shared" si="282"/>
        <v>Normal</v>
      </c>
      <c r="W4516" s="4" t="str">
        <f t="shared" si="283"/>
        <v>Poor</v>
      </c>
      <c r="X4516" s="4">
        <f>AVERAGE(Table1[Purchase Amount])</f>
        <v>129.48419400000012</v>
      </c>
    </row>
    <row r="4517" spans="1:24" ht="15" customHeight="1" x14ac:dyDescent="0.25">
      <c r="A4517">
        <v>4615</v>
      </c>
      <c r="B4517">
        <v>29</v>
      </c>
      <c r="C4517" t="s">
        <v>16</v>
      </c>
      <c r="D4517" t="s">
        <v>116</v>
      </c>
      <c r="E4517" t="s">
        <v>81</v>
      </c>
      <c r="F4517" s="2">
        <v>0</v>
      </c>
      <c r="G4517" t="s">
        <v>82</v>
      </c>
      <c r="H4517" t="s">
        <v>31</v>
      </c>
      <c r="I4517" t="s">
        <v>40</v>
      </c>
      <c r="J4517" t="s">
        <v>33</v>
      </c>
      <c r="K4517">
        <v>4</v>
      </c>
      <c r="L4517" t="s">
        <v>23</v>
      </c>
      <c r="M4517" t="s">
        <v>24</v>
      </c>
      <c r="N4517" t="s">
        <v>23</v>
      </c>
      <c r="O4517">
        <v>0</v>
      </c>
      <c r="P4517" t="s">
        <v>36</v>
      </c>
      <c r="Q4517" t="s">
        <v>26</v>
      </c>
      <c r="R4517" s="1">
        <v>0.1</v>
      </c>
      <c r="S4517">
        <f t="shared" si="280"/>
        <v>0</v>
      </c>
      <c r="T4517">
        <f>IFERROR(VLOOKUP(A4517,Table1[[Customer ID]:[Discount Amount]], 6, FALSE),"Not Found")</f>
        <v>0</v>
      </c>
      <c r="U4517" t="str">
        <f t="shared" si="281"/>
        <v>Debit Card</v>
      </c>
      <c r="V4517" s="4" t="str">
        <f t="shared" si="282"/>
        <v>Normal</v>
      </c>
      <c r="W4517" s="4" t="str">
        <f t="shared" si="283"/>
        <v>Good</v>
      </c>
      <c r="X4517" s="4">
        <f>AVERAGE(Table1[Purchase Amount])</f>
        <v>129.48419400000012</v>
      </c>
    </row>
    <row r="4518" spans="1:24" ht="15" customHeight="1" x14ac:dyDescent="0.25">
      <c r="A4518">
        <v>4616</v>
      </c>
      <c r="B4518">
        <v>51</v>
      </c>
      <c r="C4518" t="s">
        <v>16</v>
      </c>
      <c r="D4518" t="s">
        <v>38</v>
      </c>
      <c r="E4518" t="s">
        <v>81</v>
      </c>
      <c r="F4518" s="2">
        <v>336.09</v>
      </c>
      <c r="G4518" t="s">
        <v>101</v>
      </c>
      <c r="H4518" t="s">
        <v>31</v>
      </c>
      <c r="I4518" t="s">
        <v>32</v>
      </c>
      <c r="J4518" t="s">
        <v>75</v>
      </c>
      <c r="K4518">
        <v>1</v>
      </c>
      <c r="L4518" t="s">
        <v>23</v>
      </c>
      <c r="M4518" t="s">
        <v>61</v>
      </c>
      <c r="N4518" t="s">
        <v>34</v>
      </c>
      <c r="O4518">
        <v>0</v>
      </c>
      <c r="P4518" t="s">
        <v>58</v>
      </c>
      <c r="Q4518" t="s">
        <v>42</v>
      </c>
      <c r="R4518" s="1">
        <v>0.1</v>
      </c>
      <c r="S4518">
        <f t="shared" si="280"/>
        <v>302.48099999999999</v>
      </c>
      <c r="T4518">
        <f>IFERROR(VLOOKUP(A4518,Table1[[Customer ID]:[Discount Amount]], 6, FALSE),"Not Found")</f>
        <v>336.09</v>
      </c>
      <c r="U4518" t="str">
        <f t="shared" si="281"/>
        <v>PayPal</v>
      </c>
      <c r="V4518" s="4" t="str">
        <f t="shared" si="282"/>
        <v>Normal</v>
      </c>
      <c r="W4518" s="4" t="str">
        <f t="shared" si="283"/>
        <v>Poor</v>
      </c>
      <c r="X4518" s="4">
        <f>AVERAGE(Table1[Purchase Amount])</f>
        <v>129.48419400000012</v>
      </c>
    </row>
    <row r="4519" spans="1:24" ht="15" customHeight="1" x14ac:dyDescent="0.25">
      <c r="A4519">
        <v>4617</v>
      </c>
      <c r="B4519">
        <v>45</v>
      </c>
      <c r="C4519" t="s">
        <v>27</v>
      </c>
      <c r="D4519" t="s">
        <v>112</v>
      </c>
      <c r="E4519" t="s">
        <v>18</v>
      </c>
      <c r="F4519" s="2">
        <v>0</v>
      </c>
      <c r="G4519" t="s">
        <v>82</v>
      </c>
      <c r="H4519" t="s">
        <v>20</v>
      </c>
      <c r="I4519" t="s">
        <v>46</v>
      </c>
      <c r="J4519" t="s">
        <v>57</v>
      </c>
      <c r="K4519">
        <v>1</v>
      </c>
      <c r="L4519" t="s">
        <v>34</v>
      </c>
      <c r="M4519" t="s">
        <v>24</v>
      </c>
      <c r="N4519" t="s">
        <v>23</v>
      </c>
      <c r="O4519">
        <v>18</v>
      </c>
      <c r="P4519" t="s">
        <v>36</v>
      </c>
      <c r="Q4519" t="s">
        <v>42</v>
      </c>
      <c r="R4519" s="1">
        <v>0.1</v>
      </c>
      <c r="S4519">
        <f t="shared" si="280"/>
        <v>0</v>
      </c>
      <c r="T4519">
        <f>IFERROR(VLOOKUP(A4519,Table1[[Customer ID]:[Discount Amount]], 6, FALSE),"Not Found")</f>
        <v>0</v>
      </c>
      <c r="U4519" t="str">
        <f t="shared" si="281"/>
        <v>Debit Card</v>
      </c>
      <c r="V4519" s="4" t="str">
        <f t="shared" si="282"/>
        <v>Normal</v>
      </c>
      <c r="W4519" s="4" t="str">
        <f t="shared" si="283"/>
        <v>Poor</v>
      </c>
      <c r="X4519" s="4">
        <f>AVERAGE(Table1[Purchase Amount])</f>
        <v>129.48419400000012</v>
      </c>
    </row>
    <row r="4520" spans="1:24" ht="15" customHeight="1" x14ac:dyDescent="0.25">
      <c r="A4520">
        <v>4618</v>
      </c>
      <c r="B4520">
        <v>19</v>
      </c>
      <c r="C4520" t="s">
        <v>16</v>
      </c>
      <c r="D4520" t="s">
        <v>80</v>
      </c>
      <c r="E4520" t="s">
        <v>29</v>
      </c>
      <c r="F4520" s="2">
        <v>0</v>
      </c>
      <c r="G4520" t="s">
        <v>101</v>
      </c>
      <c r="H4520" t="s">
        <v>45</v>
      </c>
      <c r="I4520" t="s">
        <v>93</v>
      </c>
      <c r="J4520" t="s">
        <v>57</v>
      </c>
      <c r="K4520">
        <v>1</v>
      </c>
      <c r="L4520" t="s">
        <v>34</v>
      </c>
      <c r="M4520" t="s">
        <v>24</v>
      </c>
      <c r="N4520" t="s">
        <v>34</v>
      </c>
      <c r="O4520">
        <v>30</v>
      </c>
      <c r="P4520" t="s">
        <v>58</v>
      </c>
      <c r="Q4520" t="s">
        <v>37</v>
      </c>
      <c r="R4520" s="1">
        <v>0.1</v>
      </c>
      <c r="S4520">
        <f t="shared" si="280"/>
        <v>0</v>
      </c>
      <c r="T4520">
        <f>IFERROR(VLOOKUP(A4520,Table1[[Customer ID]:[Discount Amount]], 6, FALSE),"Not Found")</f>
        <v>0</v>
      </c>
      <c r="U4520" t="str">
        <f t="shared" si="281"/>
        <v>PayPal</v>
      </c>
      <c r="V4520" s="4" t="str">
        <f t="shared" si="282"/>
        <v>Normal</v>
      </c>
      <c r="W4520" s="4" t="str">
        <f t="shared" si="283"/>
        <v>Poor</v>
      </c>
      <c r="X4520" s="4">
        <f>AVERAGE(Table1[Purchase Amount])</f>
        <v>129.48419400000012</v>
      </c>
    </row>
    <row r="4521" spans="1:24" ht="15" customHeight="1" x14ac:dyDescent="0.25">
      <c r="A4521">
        <v>4619</v>
      </c>
      <c r="B4521">
        <v>28</v>
      </c>
      <c r="C4521" t="s">
        <v>71</v>
      </c>
      <c r="D4521" t="s">
        <v>95</v>
      </c>
      <c r="E4521" t="s">
        <v>81</v>
      </c>
      <c r="F4521" s="2">
        <v>0</v>
      </c>
      <c r="G4521" t="s">
        <v>82</v>
      </c>
      <c r="H4521" t="s">
        <v>31</v>
      </c>
      <c r="I4521" t="s">
        <v>40</v>
      </c>
      <c r="J4521" t="s">
        <v>75</v>
      </c>
      <c r="K4521">
        <v>1</v>
      </c>
      <c r="L4521" t="s">
        <v>23</v>
      </c>
      <c r="M4521" t="s">
        <v>24</v>
      </c>
      <c r="N4521" t="s">
        <v>23</v>
      </c>
      <c r="O4521">
        <v>0</v>
      </c>
      <c r="P4521" t="s">
        <v>36</v>
      </c>
      <c r="Q4521" t="s">
        <v>42</v>
      </c>
      <c r="R4521" s="1">
        <v>0.1</v>
      </c>
      <c r="S4521">
        <f t="shared" si="280"/>
        <v>0</v>
      </c>
      <c r="T4521">
        <f>IFERROR(VLOOKUP(A4521,Table1[[Customer ID]:[Discount Amount]], 6, FALSE),"Not Found")</f>
        <v>0</v>
      </c>
      <c r="U4521" t="str">
        <f t="shared" si="281"/>
        <v>Debit Card</v>
      </c>
      <c r="V4521" s="4" t="str">
        <f t="shared" si="282"/>
        <v>Normal</v>
      </c>
      <c r="W4521" s="4" t="str">
        <f t="shared" si="283"/>
        <v>Poor</v>
      </c>
      <c r="X4521" s="4">
        <f>AVERAGE(Table1[Purchase Amount])</f>
        <v>129.48419400000012</v>
      </c>
    </row>
    <row r="4522" spans="1:24" ht="15" customHeight="1" x14ac:dyDescent="0.25">
      <c r="A4522">
        <v>4620</v>
      </c>
      <c r="B4522">
        <v>53</v>
      </c>
      <c r="C4522" t="s">
        <v>16</v>
      </c>
      <c r="D4522" t="s">
        <v>116</v>
      </c>
      <c r="E4522" t="s">
        <v>81</v>
      </c>
      <c r="F4522" s="2">
        <v>0</v>
      </c>
      <c r="G4522" t="s">
        <v>101</v>
      </c>
      <c r="H4522" t="s">
        <v>31</v>
      </c>
      <c r="I4522" t="s">
        <v>32</v>
      </c>
      <c r="J4522" t="s">
        <v>57</v>
      </c>
      <c r="K4522">
        <v>1</v>
      </c>
      <c r="L4522" t="s">
        <v>23</v>
      </c>
      <c r="M4522" t="s">
        <v>61</v>
      </c>
      <c r="N4522" t="s">
        <v>23</v>
      </c>
      <c r="O4522">
        <v>0</v>
      </c>
      <c r="P4522" t="s">
        <v>58</v>
      </c>
      <c r="Q4522" t="s">
        <v>26</v>
      </c>
      <c r="R4522" s="1">
        <v>0.1</v>
      </c>
      <c r="S4522">
        <f t="shared" si="280"/>
        <v>0</v>
      </c>
      <c r="T4522">
        <f>IFERROR(VLOOKUP(A4522,Table1[[Customer ID]:[Discount Amount]], 6, FALSE),"Not Found")</f>
        <v>0</v>
      </c>
      <c r="U4522" t="str">
        <f t="shared" si="281"/>
        <v>PayPal</v>
      </c>
      <c r="V4522" s="4" t="str">
        <f t="shared" si="282"/>
        <v>Normal</v>
      </c>
      <c r="W4522" s="4" t="str">
        <f t="shared" si="283"/>
        <v>Poor</v>
      </c>
      <c r="X4522" s="4">
        <f>AVERAGE(Table1[Purchase Amount])</f>
        <v>129.48419400000012</v>
      </c>
    </row>
    <row r="4523" spans="1:24" ht="15" customHeight="1" x14ac:dyDescent="0.25">
      <c r="A4523">
        <v>4621</v>
      </c>
      <c r="B4523">
        <v>46</v>
      </c>
      <c r="C4523" t="s">
        <v>71</v>
      </c>
      <c r="D4523" t="s">
        <v>117</v>
      </c>
      <c r="E4523" t="s">
        <v>18</v>
      </c>
      <c r="F4523" s="2">
        <v>1257.7</v>
      </c>
      <c r="G4523" t="s">
        <v>73</v>
      </c>
      <c r="H4523" t="s">
        <v>20</v>
      </c>
      <c r="I4523" t="s">
        <v>32</v>
      </c>
      <c r="J4523" t="s">
        <v>57</v>
      </c>
      <c r="K4523">
        <v>1</v>
      </c>
      <c r="L4523" t="s">
        <v>34</v>
      </c>
      <c r="M4523" t="s">
        <v>61</v>
      </c>
      <c r="N4523" t="s">
        <v>34</v>
      </c>
      <c r="O4523">
        <v>0</v>
      </c>
      <c r="P4523" t="s">
        <v>25</v>
      </c>
      <c r="Q4523" t="s">
        <v>37</v>
      </c>
      <c r="R4523" s="1">
        <v>0.1</v>
      </c>
      <c r="S4523">
        <f t="shared" si="280"/>
        <v>1131.93</v>
      </c>
      <c r="T4523">
        <f>IFERROR(VLOOKUP(A4523,Table1[[Customer ID]:[Discount Amount]], 6, FALSE),"Not Found")</f>
        <v>1257.7</v>
      </c>
      <c r="U4523" t="str">
        <f t="shared" si="281"/>
        <v>Cash</v>
      </c>
      <c r="V4523" s="4" t="str">
        <f t="shared" si="282"/>
        <v>Normal</v>
      </c>
      <c r="W4523" s="4" t="str">
        <f t="shared" si="283"/>
        <v>Poor</v>
      </c>
      <c r="X4523" s="4">
        <f>AVERAGE(Table1[Purchase Amount])</f>
        <v>129.48419400000012</v>
      </c>
    </row>
    <row r="4524" spans="1:24" ht="15" customHeight="1" x14ac:dyDescent="0.25">
      <c r="A4524">
        <v>4622</v>
      </c>
      <c r="B4524">
        <v>30</v>
      </c>
      <c r="C4524" t="s">
        <v>71</v>
      </c>
      <c r="D4524" t="s">
        <v>117</v>
      </c>
      <c r="E4524" t="s">
        <v>18</v>
      </c>
      <c r="F4524" s="2">
        <v>1238.25</v>
      </c>
      <c r="G4524" t="s">
        <v>82</v>
      </c>
      <c r="H4524" t="s">
        <v>20</v>
      </c>
      <c r="I4524" t="s">
        <v>40</v>
      </c>
      <c r="J4524" t="s">
        <v>57</v>
      </c>
      <c r="K4524">
        <v>1</v>
      </c>
      <c r="L4524" t="s">
        <v>34</v>
      </c>
      <c r="M4524" t="s">
        <v>61</v>
      </c>
      <c r="N4524" t="s">
        <v>34</v>
      </c>
      <c r="O4524">
        <v>0</v>
      </c>
      <c r="P4524" t="s">
        <v>36</v>
      </c>
      <c r="Q4524" t="s">
        <v>42</v>
      </c>
      <c r="R4524" s="1">
        <v>0.1</v>
      </c>
      <c r="S4524">
        <f t="shared" si="280"/>
        <v>1114.425</v>
      </c>
      <c r="T4524">
        <f>IFERROR(VLOOKUP(A4524,Table1[[Customer ID]:[Discount Amount]], 6, FALSE),"Not Found")</f>
        <v>1238.25</v>
      </c>
      <c r="U4524" t="str">
        <f t="shared" si="281"/>
        <v>Debit Card</v>
      </c>
      <c r="V4524" s="4" t="str">
        <f t="shared" si="282"/>
        <v>Normal</v>
      </c>
      <c r="W4524" s="4" t="str">
        <f t="shared" si="283"/>
        <v>Poor</v>
      </c>
      <c r="X4524" s="4">
        <f>AVERAGE(Table1[Purchase Amount])</f>
        <v>129.48419400000012</v>
      </c>
    </row>
    <row r="4525" spans="1:24" ht="15" customHeight="1" x14ac:dyDescent="0.25">
      <c r="A4525">
        <v>4623</v>
      </c>
      <c r="B4525">
        <v>47</v>
      </c>
      <c r="C4525" t="s">
        <v>27</v>
      </c>
      <c r="D4525" t="s">
        <v>117</v>
      </c>
      <c r="E4525" t="s">
        <v>81</v>
      </c>
      <c r="F4525" s="2">
        <v>0</v>
      </c>
      <c r="G4525" t="s">
        <v>139</v>
      </c>
      <c r="H4525" t="s">
        <v>31</v>
      </c>
      <c r="I4525" t="s">
        <v>93</v>
      </c>
      <c r="J4525" t="s">
        <v>57</v>
      </c>
      <c r="K4525">
        <v>1</v>
      </c>
      <c r="L4525" t="s">
        <v>34</v>
      </c>
      <c r="M4525" t="s">
        <v>24</v>
      </c>
      <c r="N4525" t="s">
        <v>23</v>
      </c>
      <c r="O4525">
        <v>35</v>
      </c>
      <c r="P4525" t="s">
        <v>58</v>
      </c>
      <c r="Q4525" t="s">
        <v>42</v>
      </c>
      <c r="R4525" s="1">
        <v>0.1</v>
      </c>
      <c r="S4525">
        <f t="shared" si="280"/>
        <v>0</v>
      </c>
      <c r="T4525">
        <f>IFERROR(VLOOKUP(A4525,Table1[[Customer ID]:[Discount Amount]], 6, FALSE),"Not Found")</f>
        <v>0</v>
      </c>
      <c r="U4525" t="str">
        <f t="shared" si="281"/>
        <v>PayPal</v>
      </c>
      <c r="V4525" s="4" t="str">
        <f t="shared" si="282"/>
        <v>Normal</v>
      </c>
      <c r="W4525" s="4" t="str">
        <f t="shared" si="283"/>
        <v>Poor</v>
      </c>
      <c r="X4525" s="4">
        <f>AVERAGE(Table1[Purchase Amount])</f>
        <v>129.48419400000012</v>
      </c>
    </row>
    <row r="4526" spans="1:24" ht="15" customHeight="1" x14ac:dyDescent="0.25">
      <c r="A4526">
        <v>4624</v>
      </c>
      <c r="B4526">
        <v>23</v>
      </c>
      <c r="C4526" t="s">
        <v>71</v>
      </c>
      <c r="D4526" t="s">
        <v>112</v>
      </c>
      <c r="E4526" t="s">
        <v>18</v>
      </c>
      <c r="F4526" s="2">
        <v>1204.42</v>
      </c>
      <c r="G4526" t="s">
        <v>126</v>
      </c>
      <c r="H4526" t="s">
        <v>45</v>
      </c>
      <c r="I4526" t="s">
        <v>93</v>
      </c>
      <c r="J4526" t="s">
        <v>75</v>
      </c>
      <c r="K4526">
        <v>5</v>
      </c>
      <c r="L4526" t="s">
        <v>23</v>
      </c>
      <c r="M4526" t="s">
        <v>61</v>
      </c>
      <c r="N4526" t="s">
        <v>23</v>
      </c>
      <c r="O4526">
        <v>26</v>
      </c>
      <c r="P4526" t="s">
        <v>53</v>
      </c>
      <c r="Q4526" t="s">
        <v>26</v>
      </c>
      <c r="R4526" s="1">
        <v>0.1</v>
      </c>
      <c r="S4526">
        <f t="shared" si="280"/>
        <v>1083.9780000000001</v>
      </c>
      <c r="T4526">
        <f>IFERROR(VLOOKUP(A4526,Table1[[Customer ID]:[Discount Amount]], 6, FALSE),"Not Found")</f>
        <v>1204.42</v>
      </c>
      <c r="U4526" t="str">
        <f t="shared" si="281"/>
        <v>Credit Card</v>
      </c>
      <c r="V4526" s="4" t="str">
        <f t="shared" si="282"/>
        <v>Best Customer</v>
      </c>
      <c r="W4526" s="4" t="str">
        <f t="shared" si="283"/>
        <v>Good</v>
      </c>
      <c r="X4526" s="4">
        <f>AVERAGE(Table1[Purchase Amount])</f>
        <v>129.48419400000012</v>
      </c>
    </row>
    <row r="4527" spans="1:24" ht="15" customHeight="1" x14ac:dyDescent="0.25">
      <c r="A4527">
        <v>4625</v>
      </c>
      <c r="B4527">
        <v>49</v>
      </c>
      <c r="C4527" t="s">
        <v>27</v>
      </c>
      <c r="D4527" t="s">
        <v>112</v>
      </c>
      <c r="E4527" t="s">
        <v>29</v>
      </c>
      <c r="F4527" s="2">
        <v>1002.35</v>
      </c>
      <c r="G4527" t="s">
        <v>101</v>
      </c>
      <c r="H4527" t="s">
        <v>55</v>
      </c>
      <c r="I4527" t="s">
        <v>74</v>
      </c>
      <c r="J4527" t="s">
        <v>57</v>
      </c>
      <c r="K4527">
        <v>3</v>
      </c>
      <c r="L4527" t="s">
        <v>34</v>
      </c>
      <c r="M4527" t="s">
        <v>61</v>
      </c>
      <c r="N4527" t="s">
        <v>23</v>
      </c>
      <c r="O4527">
        <v>0</v>
      </c>
      <c r="P4527" t="s">
        <v>25</v>
      </c>
      <c r="Q4527" t="s">
        <v>26</v>
      </c>
      <c r="R4527" s="1">
        <v>0.1</v>
      </c>
      <c r="S4527">
        <f t="shared" si="280"/>
        <v>902.11500000000001</v>
      </c>
      <c r="T4527">
        <f>IFERROR(VLOOKUP(A4527,Table1[[Customer ID]:[Discount Amount]], 6, FALSE),"Not Found")</f>
        <v>1002.35</v>
      </c>
      <c r="U4527" t="str">
        <f t="shared" si="281"/>
        <v>Cash</v>
      </c>
      <c r="V4527" s="4" t="str">
        <f t="shared" si="282"/>
        <v>Normal</v>
      </c>
      <c r="W4527" s="4" t="str">
        <f t="shared" si="283"/>
        <v>Good</v>
      </c>
      <c r="X4527" s="4">
        <f>AVERAGE(Table1[Purchase Amount])</f>
        <v>129.48419400000012</v>
      </c>
    </row>
    <row r="4528" spans="1:24" ht="15" customHeight="1" x14ac:dyDescent="0.25">
      <c r="A4528">
        <v>4626</v>
      </c>
      <c r="B4528">
        <v>43</v>
      </c>
      <c r="C4528" t="s">
        <v>27</v>
      </c>
      <c r="D4528" t="s">
        <v>72</v>
      </c>
      <c r="E4528" t="s">
        <v>29</v>
      </c>
      <c r="F4528" s="2">
        <v>0</v>
      </c>
      <c r="G4528" t="s">
        <v>82</v>
      </c>
      <c r="H4528" t="s">
        <v>31</v>
      </c>
      <c r="I4528" t="s">
        <v>93</v>
      </c>
      <c r="J4528" t="s">
        <v>75</v>
      </c>
      <c r="K4528">
        <v>1</v>
      </c>
      <c r="L4528" t="s">
        <v>23</v>
      </c>
      <c r="M4528" t="s">
        <v>61</v>
      </c>
      <c r="N4528" t="s">
        <v>34</v>
      </c>
      <c r="O4528">
        <v>0</v>
      </c>
      <c r="P4528" t="s">
        <v>58</v>
      </c>
      <c r="Q4528" t="s">
        <v>37</v>
      </c>
      <c r="R4528" s="1">
        <v>0.1</v>
      </c>
      <c r="S4528">
        <f t="shared" si="280"/>
        <v>0</v>
      </c>
      <c r="T4528">
        <f>IFERROR(VLOOKUP(A4528,Table1[[Customer ID]:[Discount Amount]], 6, FALSE),"Not Found")</f>
        <v>0</v>
      </c>
      <c r="U4528" t="str">
        <f t="shared" si="281"/>
        <v>PayPal</v>
      </c>
      <c r="V4528" s="4" t="str">
        <f t="shared" si="282"/>
        <v>Normal</v>
      </c>
      <c r="W4528" s="4" t="str">
        <f t="shared" si="283"/>
        <v>Poor</v>
      </c>
      <c r="X4528" s="4">
        <f>AVERAGE(Table1[Purchase Amount])</f>
        <v>129.48419400000012</v>
      </c>
    </row>
    <row r="4529" spans="1:24" ht="15" customHeight="1" x14ac:dyDescent="0.25">
      <c r="A4529">
        <v>4627</v>
      </c>
      <c r="B4529">
        <v>54</v>
      </c>
      <c r="C4529" t="s">
        <v>16</v>
      </c>
      <c r="D4529" t="s">
        <v>80</v>
      </c>
      <c r="E4529" t="s">
        <v>81</v>
      </c>
      <c r="F4529" s="2">
        <v>860.91</v>
      </c>
      <c r="G4529" t="s">
        <v>126</v>
      </c>
      <c r="H4529" t="s">
        <v>31</v>
      </c>
      <c r="I4529" t="s">
        <v>40</v>
      </c>
      <c r="J4529" t="s">
        <v>57</v>
      </c>
      <c r="K4529">
        <v>1</v>
      </c>
      <c r="L4529" t="s">
        <v>23</v>
      </c>
      <c r="M4529" t="s">
        <v>61</v>
      </c>
      <c r="N4529" t="s">
        <v>34</v>
      </c>
      <c r="O4529">
        <v>16</v>
      </c>
      <c r="P4529" t="s">
        <v>25</v>
      </c>
      <c r="Q4529" t="s">
        <v>37</v>
      </c>
      <c r="R4529" s="1">
        <v>0.1</v>
      </c>
      <c r="S4529">
        <f t="shared" si="280"/>
        <v>774.81899999999996</v>
      </c>
      <c r="T4529">
        <f>IFERROR(VLOOKUP(A4529,Table1[[Customer ID]:[Discount Amount]], 6, FALSE),"Not Found")</f>
        <v>860.91</v>
      </c>
      <c r="U4529" t="str">
        <f t="shared" si="281"/>
        <v>Cash</v>
      </c>
      <c r="V4529" s="4" t="str">
        <f t="shared" si="282"/>
        <v>Normal</v>
      </c>
      <c r="W4529" s="4" t="str">
        <f t="shared" si="283"/>
        <v>Poor</v>
      </c>
      <c r="X4529" s="4">
        <f>AVERAGE(Table1[Purchase Amount])</f>
        <v>129.48419400000012</v>
      </c>
    </row>
    <row r="4530" spans="1:24" ht="15" customHeight="1" x14ac:dyDescent="0.25">
      <c r="A4530">
        <v>4628</v>
      </c>
      <c r="B4530">
        <v>46</v>
      </c>
      <c r="C4530" t="s">
        <v>16</v>
      </c>
      <c r="D4530" t="s">
        <v>112</v>
      </c>
      <c r="E4530" t="s">
        <v>29</v>
      </c>
      <c r="F4530" s="2">
        <v>31.37</v>
      </c>
      <c r="G4530" t="s">
        <v>73</v>
      </c>
      <c r="H4530" t="s">
        <v>31</v>
      </c>
      <c r="I4530" t="s">
        <v>40</v>
      </c>
      <c r="J4530" t="s">
        <v>75</v>
      </c>
      <c r="K4530">
        <v>1</v>
      </c>
      <c r="L4530" t="s">
        <v>34</v>
      </c>
      <c r="M4530" t="s">
        <v>61</v>
      </c>
      <c r="N4530" t="s">
        <v>23</v>
      </c>
      <c r="O4530">
        <v>32</v>
      </c>
      <c r="P4530" t="s">
        <v>53</v>
      </c>
      <c r="Q4530" t="s">
        <v>42</v>
      </c>
      <c r="R4530" s="1">
        <v>0.1</v>
      </c>
      <c r="S4530">
        <f t="shared" si="280"/>
        <v>28.233000000000001</v>
      </c>
      <c r="T4530">
        <f>IFERROR(VLOOKUP(A4530,Table1[[Customer ID]:[Discount Amount]], 6, FALSE),"Not Found")</f>
        <v>31.37</v>
      </c>
      <c r="U4530" t="str">
        <f t="shared" si="281"/>
        <v>Credit Card</v>
      </c>
      <c r="V4530" s="4" t="str">
        <f t="shared" si="282"/>
        <v>Normal</v>
      </c>
      <c r="W4530" s="4" t="str">
        <f t="shared" si="283"/>
        <v>Poor</v>
      </c>
      <c r="X4530" s="4">
        <f>AVERAGE(Table1[Purchase Amount])</f>
        <v>129.48419400000012</v>
      </c>
    </row>
    <row r="4531" spans="1:24" ht="15" customHeight="1" x14ac:dyDescent="0.25">
      <c r="A4531">
        <v>4629</v>
      </c>
      <c r="B4531">
        <v>57</v>
      </c>
      <c r="C4531" t="s">
        <v>27</v>
      </c>
      <c r="D4531" t="s">
        <v>95</v>
      </c>
      <c r="E4531" t="s">
        <v>81</v>
      </c>
      <c r="F4531" s="2">
        <v>1370.64</v>
      </c>
      <c r="G4531" t="s">
        <v>139</v>
      </c>
      <c r="H4531" t="s">
        <v>31</v>
      </c>
      <c r="I4531" t="s">
        <v>93</v>
      </c>
      <c r="J4531" t="s">
        <v>75</v>
      </c>
      <c r="K4531">
        <v>1</v>
      </c>
      <c r="L4531" t="s">
        <v>34</v>
      </c>
      <c r="M4531" t="s">
        <v>61</v>
      </c>
      <c r="N4531" t="s">
        <v>34</v>
      </c>
      <c r="O4531">
        <v>0</v>
      </c>
      <c r="P4531" t="s">
        <v>25</v>
      </c>
      <c r="Q4531" t="s">
        <v>26</v>
      </c>
      <c r="R4531" s="1">
        <v>0.1</v>
      </c>
      <c r="S4531">
        <f t="shared" si="280"/>
        <v>1233.576</v>
      </c>
      <c r="T4531">
        <f>IFERROR(VLOOKUP(A4531,Table1[[Customer ID]:[Discount Amount]], 6, FALSE),"Not Found")</f>
        <v>1370.64</v>
      </c>
      <c r="U4531" t="str">
        <f t="shared" si="281"/>
        <v>Cash</v>
      </c>
      <c r="V4531" s="4" t="str">
        <f t="shared" si="282"/>
        <v>Normal</v>
      </c>
      <c r="W4531" s="4" t="str">
        <f t="shared" si="283"/>
        <v>Poor</v>
      </c>
      <c r="X4531" s="4">
        <f>AVERAGE(Table1[Purchase Amount])</f>
        <v>129.48419400000012</v>
      </c>
    </row>
    <row r="4532" spans="1:24" ht="15" customHeight="1" x14ac:dyDescent="0.25">
      <c r="A4532">
        <v>4630</v>
      </c>
      <c r="B4532">
        <v>25</v>
      </c>
      <c r="C4532" t="s">
        <v>16</v>
      </c>
      <c r="D4532" t="s">
        <v>112</v>
      </c>
      <c r="E4532" t="s">
        <v>81</v>
      </c>
      <c r="F4532" s="2">
        <v>468.46</v>
      </c>
      <c r="G4532" t="s">
        <v>139</v>
      </c>
      <c r="H4532" t="s">
        <v>31</v>
      </c>
      <c r="I4532" t="s">
        <v>46</v>
      </c>
      <c r="J4532" t="s">
        <v>22</v>
      </c>
      <c r="K4532">
        <v>1</v>
      </c>
      <c r="L4532" t="s">
        <v>23</v>
      </c>
      <c r="M4532" t="s">
        <v>24</v>
      </c>
      <c r="N4532" t="s">
        <v>23</v>
      </c>
      <c r="O4532">
        <v>50</v>
      </c>
      <c r="P4532" t="s">
        <v>53</v>
      </c>
      <c r="Q4532" t="s">
        <v>37</v>
      </c>
      <c r="R4532" s="1">
        <v>0.1</v>
      </c>
      <c r="S4532">
        <f t="shared" si="280"/>
        <v>421.61399999999998</v>
      </c>
      <c r="T4532">
        <f>IFERROR(VLOOKUP(A4532,Table1[[Customer ID]:[Discount Amount]], 6, FALSE),"Not Found")</f>
        <v>468.46</v>
      </c>
      <c r="U4532" t="str">
        <f t="shared" si="281"/>
        <v>Credit Card</v>
      </c>
      <c r="V4532" s="4" t="str">
        <f t="shared" si="282"/>
        <v>Normal</v>
      </c>
      <c r="W4532" s="4" t="str">
        <f t="shared" si="283"/>
        <v>Poor</v>
      </c>
      <c r="X4532" s="4">
        <f>AVERAGE(Table1[Purchase Amount])</f>
        <v>129.48419400000012</v>
      </c>
    </row>
    <row r="4533" spans="1:24" ht="15" customHeight="1" x14ac:dyDescent="0.25">
      <c r="A4533">
        <v>4631</v>
      </c>
      <c r="B4533">
        <v>44</v>
      </c>
      <c r="C4533" t="s">
        <v>16</v>
      </c>
      <c r="D4533" t="s">
        <v>116</v>
      </c>
      <c r="E4533" t="s">
        <v>29</v>
      </c>
      <c r="F4533" s="2">
        <v>749.08</v>
      </c>
      <c r="G4533" t="s">
        <v>101</v>
      </c>
      <c r="H4533" t="s">
        <v>45</v>
      </c>
      <c r="I4533" t="s">
        <v>93</v>
      </c>
      <c r="J4533" t="s">
        <v>33</v>
      </c>
      <c r="K4533">
        <v>1</v>
      </c>
      <c r="L4533" t="s">
        <v>23</v>
      </c>
      <c r="M4533" t="s">
        <v>61</v>
      </c>
      <c r="N4533" t="s">
        <v>34</v>
      </c>
      <c r="O4533">
        <v>25</v>
      </c>
      <c r="P4533" t="s">
        <v>58</v>
      </c>
      <c r="Q4533" t="s">
        <v>42</v>
      </c>
      <c r="R4533" s="1">
        <v>0.1</v>
      </c>
      <c r="S4533">
        <f t="shared" si="280"/>
        <v>674.17200000000003</v>
      </c>
      <c r="T4533">
        <f>IFERROR(VLOOKUP(A4533,Table1[[Customer ID]:[Discount Amount]], 6, FALSE),"Not Found")</f>
        <v>749.08</v>
      </c>
      <c r="U4533" t="str">
        <f t="shared" si="281"/>
        <v>PayPal</v>
      </c>
      <c r="V4533" s="4" t="str">
        <f t="shared" si="282"/>
        <v>Normal</v>
      </c>
      <c r="W4533" s="4" t="str">
        <f t="shared" si="283"/>
        <v>Poor</v>
      </c>
      <c r="X4533" s="4">
        <f>AVERAGE(Table1[Purchase Amount])</f>
        <v>129.48419400000012</v>
      </c>
    </row>
    <row r="4534" spans="1:24" ht="15" customHeight="1" x14ac:dyDescent="0.25">
      <c r="A4534">
        <v>4632</v>
      </c>
      <c r="B4534">
        <v>39</v>
      </c>
      <c r="C4534" t="s">
        <v>27</v>
      </c>
      <c r="D4534" t="s">
        <v>95</v>
      </c>
      <c r="E4534" t="s">
        <v>81</v>
      </c>
      <c r="F4534" s="2">
        <v>71.87</v>
      </c>
      <c r="G4534" t="s">
        <v>139</v>
      </c>
      <c r="H4534" t="s">
        <v>31</v>
      </c>
      <c r="I4534" t="s">
        <v>32</v>
      </c>
      <c r="J4534" t="s">
        <v>33</v>
      </c>
      <c r="K4534">
        <v>4</v>
      </c>
      <c r="L4534" t="s">
        <v>34</v>
      </c>
      <c r="M4534" t="s">
        <v>24</v>
      </c>
      <c r="N4534" t="s">
        <v>23</v>
      </c>
      <c r="O4534">
        <v>10</v>
      </c>
      <c r="P4534" t="s">
        <v>25</v>
      </c>
      <c r="Q4534" t="s">
        <v>37</v>
      </c>
      <c r="R4534" s="1">
        <v>0.1</v>
      </c>
      <c r="S4534">
        <f t="shared" si="280"/>
        <v>64.683000000000007</v>
      </c>
      <c r="T4534">
        <f>IFERROR(VLOOKUP(A4534,Table1[[Customer ID]:[Discount Amount]], 6, FALSE),"Not Found")</f>
        <v>71.87</v>
      </c>
      <c r="U4534" t="str">
        <f t="shared" si="281"/>
        <v>Cash</v>
      </c>
      <c r="V4534" s="4" t="str">
        <f t="shared" si="282"/>
        <v>Normal</v>
      </c>
      <c r="W4534" s="4" t="str">
        <f t="shared" si="283"/>
        <v>Good</v>
      </c>
      <c r="X4534" s="4">
        <f>AVERAGE(Table1[Purchase Amount])</f>
        <v>129.48419400000012</v>
      </c>
    </row>
    <row r="4535" spans="1:24" ht="15" customHeight="1" x14ac:dyDescent="0.25">
      <c r="A4535">
        <v>4633</v>
      </c>
      <c r="B4535">
        <v>48</v>
      </c>
      <c r="C4535" t="s">
        <v>16</v>
      </c>
      <c r="D4535" t="s">
        <v>116</v>
      </c>
      <c r="E4535" t="s">
        <v>18</v>
      </c>
      <c r="F4535" s="2">
        <v>1020.16</v>
      </c>
      <c r="G4535" t="s">
        <v>101</v>
      </c>
      <c r="H4535" t="s">
        <v>55</v>
      </c>
      <c r="I4535" t="s">
        <v>74</v>
      </c>
      <c r="J4535" t="s">
        <v>57</v>
      </c>
      <c r="K4535">
        <v>4</v>
      </c>
      <c r="L4535" t="s">
        <v>23</v>
      </c>
      <c r="M4535" t="s">
        <v>61</v>
      </c>
      <c r="N4535" t="s">
        <v>23</v>
      </c>
      <c r="O4535">
        <v>16</v>
      </c>
      <c r="P4535" t="s">
        <v>36</v>
      </c>
      <c r="Q4535" t="s">
        <v>42</v>
      </c>
      <c r="R4535" s="1">
        <v>0.1</v>
      </c>
      <c r="S4535">
        <f t="shared" si="280"/>
        <v>918.14400000000001</v>
      </c>
      <c r="T4535">
        <f>IFERROR(VLOOKUP(A4535,Table1[[Customer ID]:[Discount Amount]], 6, FALSE),"Not Found")</f>
        <v>1020.16</v>
      </c>
      <c r="U4535" t="str">
        <f t="shared" si="281"/>
        <v>Debit Card</v>
      </c>
      <c r="V4535" s="4" t="str">
        <f t="shared" si="282"/>
        <v>Best Customer</v>
      </c>
      <c r="W4535" s="4" t="str">
        <f t="shared" si="283"/>
        <v>Good</v>
      </c>
      <c r="X4535" s="4">
        <f>AVERAGE(Table1[Purchase Amount])</f>
        <v>129.48419400000012</v>
      </c>
    </row>
    <row r="4536" spans="1:24" ht="15" customHeight="1" x14ac:dyDescent="0.25">
      <c r="A4536">
        <v>4634</v>
      </c>
      <c r="B4536">
        <v>49</v>
      </c>
      <c r="C4536" t="s">
        <v>16</v>
      </c>
      <c r="D4536" t="s">
        <v>95</v>
      </c>
      <c r="E4536" t="s">
        <v>81</v>
      </c>
      <c r="F4536" s="2">
        <v>0</v>
      </c>
      <c r="G4536" t="s">
        <v>139</v>
      </c>
      <c r="H4536" t="s">
        <v>31</v>
      </c>
      <c r="I4536" t="s">
        <v>46</v>
      </c>
      <c r="J4536" t="s">
        <v>57</v>
      </c>
      <c r="K4536">
        <v>1</v>
      </c>
      <c r="L4536" t="s">
        <v>23</v>
      </c>
      <c r="M4536" t="s">
        <v>24</v>
      </c>
      <c r="N4536" t="s">
        <v>34</v>
      </c>
      <c r="O4536">
        <v>0</v>
      </c>
      <c r="P4536" t="s">
        <v>25</v>
      </c>
      <c r="Q4536" t="s">
        <v>37</v>
      </c>
      <c r="R4536" s="1">
        <v>0.1</v>
      </c>
      <c r="S4536">
        <f t="shared" si="280"/>
        <v>0</v>
      </c>
      <c r="T4536">
        <f>IFERROR(VLOOKUP(A4536,Table1[[Customer ID]:[Discount Amount]], 6, FALSE),"Not Found")</f>
        <v>0</v>
      </c>
      <c r="U4536" t="str">
        <f t="shared" si="281"/>
        <v>Cash</v>
      </c>
      <c r="V4536" s="4" t="str">
        <f t="shared" si="282"/>
        <v>Normal</v>
      </c>
      <c r="W4536" s="4" t="str">
        <f t="shared" si="283"/>
        <v>Poor</v>
      </c>
      <c r="X4536" s="4">
        <f>AVERAGE(Table1[Purchase Amount])</f>
        <v>129.48419400000012</v>
      </c>
    </row>
    <row r="4537" spans="1:24" ht="15" customHeight="1" x14ac:dyDescent="0.25">
      <c r="A4537">
        <v>4635</v>
      </c>
      <c r="B4537">
        <v>56</v>
      </c>
      <c r="C4537" t="s">
        <v>27</v>
      </c>
      <c r="D4537" t="s">
        <v>95</v>
      </c>
      <c r="E4537" t="s">
        <v>18</v>
      </c>
      <c r="F4537" s="2">
        <v>1096.71</v>
      </c>
      <c r="G4537" t="s">
        <v>73</v>
      </c>
      <c r="H4537" t="s">
        <v>31</v>
      </c>
      <c r="I4537" t="s">
        <v>74</v>
      </c>
      <c r="J4537" t="s">
        <v>33</v>
      </c>
      <c r="K4537">
        <v>4</v>
      </c>
      <c r="L4537" t="s">
        <v>23</v>
      </c>
      <c r="M4537" t="s">
        <v>24</v>
      </c>
      <c r="N4537" t="s">
        <v>34</v>
      </c>
      <c r="O4537">
        <v>0</v>
      </c>
      <c r="P4537" t="s">
        <v>53</v>
      </c>
      <c r="Q4537" t="s">
        <v>42</v>
      </c>
      <c r="R4537" s="1">
        <v>0.1</v>
      </c>
      <c r="S4537">
        <f t="shared" si="280"/>
        <v>987.03899999999999</v>
      </c>
      <c r="T4537">
        <f>IFERROR(VLOOKUP(A4537,Table1[[Customer ID]:[Discount Amount]], 6, FALSE),"Not Found")</f>
        <v>1096.71</v>
      </c>
      <c r="U4537" t="str">
        <f t="shared" si="281"/>
        <v>Credit Card</v>
      </c>
      <c r="V4537" s="4" t="str">
        <f t="shared" si="282"/>
        <v>Best Customer</v>
      </c>
      <c r="W4537" s="4" t="str">
        <f t="shared" si="283"/>
        <v>Good</v>
      </c>
      <c r="X4537" s="4">
        <f>AVERAGE(Table1[Purchase Amount])</f>
        <v>129.48419400000012</v>
      </c>
    </row>
    <row r="4538" spans="1:24" ht="15" customHeight="1" x14ac:dyDescent="0.25">
      <c r="A4538">
        <v>4636</v>
      </c>
      <c r="B4538">
        <v>59</v>
      </c>
      <c r="C4538" t="s">
        <v>71</v>
      </c>
      <c r="D4538" t="s">
        <v>95</v>
      </c>
      <c r="E4538" t="s">
        <v>29</v>
      </c>
      <c r="F4538" s="2">
        <v>16.88</v>
      </c>
      <c r="G4538" t="s">
        <v>139</v>
      </c>
      <c r="H4538" t="s">
        <v>55</v>
      </c>
      <c r="I4538" t="s">
        <v>32</v>
      </c>
      <c r="J4538" t="s">
        <v>57</v>
      </c>
      <c r="K4538">
        <v>1</v>
      </c>
      <c r="L4538" t="s">
        <v>34</v>
      </c>
      <c r="M4538" t="s">
        <v>24</v>
      </c>
      <c r="N4538" t="s">
        <v>23</v>
      </c>
      <c r="O4538">
        <v>0</v>
      </c>
      <c r="P4538" t="s">
        <v>36</v>
      </c>
      <c r="Q4538" t="s">
        <v>26</v>
      </c>
      <c r="R4538" s="1">
        <v>0.1</v>
      </c>
      <c r="S4538">
        <f t="shared" si="280"/>
        <v>15.191999999999998</v>
      </c>
      <c r="T4538">
        <f>IFERROR(VLOOKUP(A4538,Table1[[Customer ID]:[Discount Amount]], 6, FALSE),"Not Found")</f>
        <v>16.88</v>
      </c>
      <c r="U4538" t="str">
        <f t="shared" si="281"/>
        <v>Debit Card</v>
      </c>
      <c r="V4538" s="4" t="str">
        <f t="shared" si="282"/>
        <v>Normal</v>
      </c>
      <c r="W4538" s="4" t="str">
        <f t="shared" si="283"/>
        <v>Poor</v>
      </c>
      <c r="X4538" s="4">
        <f>AVERAGE(Table1[Purchase Amount])</f>
        <v>129.48419400000012</v>
      </c>
    </row>
    <row r="4539" spans="1:24" ht="15" customHeight="1" x14ac:dyDescent="0.25">
      <c r="A4539">
        <v>4637</v>
      </c>
      <c r="B4539">
        <v>56</v>
      </c>
      <c r="C4539" t="s">
        <v>71</v>
      </c>
      <c r="D4539" t="s">
        <v>38</v>
      </c>
      <c r="E4539" t="s">
        <v>29</v>
      </c>
      <c r="F4539" s="2">
        <v>0</v>
      </c>
      <c r="G4539" t="s">
        <v>82</v>
      </c>
      <c r="H4539" t="s">
        <v>55</v>
      </c>
      <c r="I4539" t="s">
        <v>74</v>
      </c>
      <c r="J4539" t="s">
        <v>33</v>
      </c>
      <c r="K4539">
        <v>2</v>
      </c>
      <c r="L4539" t="s">
        <v>34</v>
      </c>
      <c r="M4539" t="s">
        <v>61</v>
      </c>
      <c r="N4539" t="s">
        <v>23</v>
      </c>
      <c r="O4539">
        <v>50</v>
      </c>
      <c r="P4539" t="s">
        <v>58</v>
      </c>
      <c r="Q4539" t="s">
        <v>37</v>
      </c>
      <c r="R4539" s="1">
        <v>0.1</v>
      </c>
      <c r="S4539">
        <f t="shared" si="280"/>
        <v>0</v>
      </c>
      <c r="T4539">
        <f>IFERROR(VLOOKUP(A4539,Table1[[Customer ID]:[Discount Amount]], 6, FALSE),"Not Found")</f>
        <v>0</v>
      </c>
      <c r="U4539" t="str">
        <f t="shared" si="281"/>
        <v>PayPal</v>
      </c>
      <c r="V4539" s="4" t="str">
        <f t="shared" si="282"/>
        <v>Normal</v>
      </c>
      <c r="W4539" s="4" t="str">
        <f t="shared" si="283"/>
        <v>Poor</v>
      </c>
      <c r="X4539" s="4">
        <f>AVERAGE(Table1[Purchase Amount])</f>
        <v>129.48419400000012</v>
      </c>
    </row>
    <row r="4540" spans="1:24" ht="15" customHeight="1" x14ac:dyDescent="0.25">
      <c r="A4540">
        <v>4638</v>
      </c>
      <c r="B4540">
        <v>33</v>
      </c>
      <c r="C4540" t="s">
        <v>71</v>
      </c>
      <c r="D4540" t="s">
        <v>112</v>
      </c>
      <c r="E4540" t="s">
        <v>29</v>
      </c>
      <c r="F4540" s="2">
        <v>597.05999999999995</v>
      </c>
      <c r="G4540" t="s">
        <v>82</v>
      </c>
      <c r="H4540" t="s">
        <v>45</v>
      </c>
      <c r="I4540" t="s">
        <v>74</v>
      </c>
      <c r="J4540" t="s">
        <v>57</v>
      </c>
      <c r="K4540">
        <v>4</v>
      </c>
      <c r="L4540" t="s">
        <v>34</v>
      </c>
      <c r="M4540" t="s">
        <v>61</v>
      </c>
      <c r="N4540" t="s">
        <v>23</v>
      </c>
      <c r="O4540">
        <v>40</v>
      </c>
      <c r="P4540" t="s">
        <v>53</v>
      </c>
      <c r="Q4540" t="s">
        <v>26</v>
      </c>
      <c r="R4540" s="1">
        <v>0.1</v>
      </c>
      <c r="S4540">
        <f t="shared" si="280"/>
        <v>537.35399999999993</v>
      </c>
      <c r="T4540">
        <f>IFERROR(VLOOKUP(A4540,Table1[[Customer ID]:[Discount Amount]], 6, FALSE),"Not Found")</f>
        <v>597.05999999999995</v>
      </c>
      <c r="U4540" t="str">
        <f t="shared" si="281"/>
        <v>Credit Card</v>
      </c>
      <c r="V4540" s="4" t="str">
        <f t="shared" si="282"/>
        <v>Normal</v>
      </c>
      <c r="W4540" s="4" t="str">
        <f t="shared" si="283"/>
        <v>Good</v>
      </c>
      <c r="X4540" s="4">
        <f>AVERAGE(Table1[Purchase Amount])</f>
        <v>129.48419400000012</v>
      </c>
    </row>
    <row r="4541" spans="1:24" ht="15" customHeight="1" x14ac:dyDescent="0.25">
      <c r="A4541">
        <v>4639</v>
      </c>
      <c r="B4541">
        <v>63</v>
      </c>
      <c r="C4541" t="s">
        <v>71</v>
      </c>
      <c r="D4541" t="s">
        <v>38</v>
      </c>
      <c r="E4541" t="s">
        <v>18</v>
      </c>
      <c r="F4541" s="2">
        <v>242.07</v>
      </c>
      <c r="G4541" t="s">
        <v>101</v>
      </c>
      <c r="H4541" t="s">
        <v>31</v>
      </c>
      <c r="I4541" t="s">
        <v>74</v>
      </c>
      <c r="J4541" t="s">
        <v>57</v>
      </c>
      <c r="K4541">
        <v>1</v>
      </c>
      <c r="L4541" t="s">
        <v>23</v>
      </c>
      <c r="M4541" t="s">
        <v>24</v>
      </c>
      <c r="N4541" t="s">
        <v>34</v>
      </c>
      <c r="O4541">
        <v>0</v>
      </c>
      <c r="P4541" t="s">
        <v>25</v>
      </c>
      <c r="Q4541" t="s">
        <v>37</v>
      </c>
      <c r="R4541" s="1">
        <v>0.1</v>
      </c>
      <c r="S4541">
        <f t="shared" si="280"/>
        <v>217.863</v>
      </c>
      <c r="T4541">
        <f>IFERROR(VLOOKUP(A4541,Table1[[Customer ID]:[Discount Amount]], 6, FALSE),"Not Found")</f>
        <v>242.07</v>
      </c>
      <c r="U4541" t="str">
        <f t="shared" si="281"/>
        <v>Cash</v>
      </c>
      <c r="V4541" s="4" t="str">
        <f t="shared" si="282"/>
        <v>Normal</v>
      </c>
      <c r="W4541" s="4" t="str">
        <f t="shared" si="283"/>
        <v>Poor</v>
      </c>
      <c r="X4541" s="4">
        <f>AVERAGE(Table1[Purchase Amount])</f>
        <v>129.48419400000012</v>
      </c>
    </row>
    <row r="4542" spans="1:24" ht="15" customHeight="1" x14ac:dyDescent="0.25">
      <c r="A4542">
        <v>4640</v>
      </c>
      <c r="B4542">
        <v>62</v>
      </c>
      <c r="C4542" t="s">
        <v>27</v>
      </c>
      <c r="D4542" t="s">
        <v>112</v>
      </c>
      <c r="E4542" t="s">
        <v>29</v>
      </c>
      <c r="F4542" s="2">
        <v>0</v>
      </c>
      <c r="G4542" t="s">
        <v>101</v>
      </c>
      <c r="H4542" t="s">
        <v>31</v>
      </c>
      <c r="I4542" t="s">
        <v>40</v>
      </c>
      <c r="J4542" t="s">
        <v>57</v>
      </c>
      <c r="K4542">
        <v>1</v>
      </c>
      <c r="L4542" t="s">
        <v>23</v>
      </c>
      <c r="M4542" t="s">
        <v>61</v>
      </c>
      <c r="N4542" t="s">
        <v>34</v>
      </c>
      <c r="O4542">
        <v>9</v>
      </c>
      <c r="P4542" t="s">
        <v>36</v>
      </c>
      <c r="Q4542" t="s">
        <v>42</v>
      </c>
      <c r="R4542" s="1">
        <v>0.1</v>
      </c>
      <c r="S4542">
        <f t="shared" si="280"/>
        <v>0</v>
      </c>
      <c r="T4542">
        <f>IFERROR(VLOOKUP(A4542,Table1[[Customer ID]:[Discount Amount]], 6, FALSE),"Not Found")</f>
        <v>0</v>
      </c>
      <c r="U4542" t="str">
        <f t="shared" si="281"/>
        <v>Debit Card</v>
      </c>
      <c r="V4542" s="4" t="str">
        <f t="shared" si="282"/>
        <v>Normal</v>
      </c>
      <c r="W4542" s="4" t="str">
        <f t="shared" si="283"/>
        <v>Poor</v>
      </c>
      <c r="X4542" s="4">
        <f>AVERAGE(Table1[Purchase Amount])</f>
        <v>129.48419400000012</v>
      </c>
    </row>
    <row r="4543" spans="1:24" ht="15" customHeight="1" x14ac:dyDescent="0.25">
      <c r="A4543">
        <v>4641</v>
      </c>
      <c r="B4543">
        <v>30</v>
      </c>
      <c r="C4543" t="s">
        <v>16</v>
      </c>
      <c r="D4543" t="s">
        <v>80</v>
      </c>
      <c r="E4543" t="s">
        <v>81</v>
      </c>
      <c r="F4543" s="2">
        <v>822.03</v>
      </c>
      <c r="G4543" t="s">
        <v>82</v>
      </c>
      <c r="H4543" t="s">
        <v>31</v>
      </c>
      <c r="I4543" t="s">
        <v>46</v>
      </c>
      <c r="J4543" t="s">
        <v>57</v>
      </c>
      <c r="K4543">
        <v>1</v>
      </c>
      <c r="L4543" t="s">
        <v>23</v>
      </c>
      <c r="M4543" t="s">
        <v>61</v>
      </c>
      <c r="N4543" t="s">
        <v>34</v>
      </c>
      <c r="O4543">
        <v>0</v>
      </c>
      <c r="P4543" t="s">
        <v>36</v>
      </c>
      <c r="Q4543" t="s">
        <v>26</v>
      </c>
      <c r="R4543" s="1">
        <v>0.1</v>
      </c>
      <c r="S4543">
        <f t="shared" si="280"/>
        <v>739.827</v>
      </c>
      <c r="T4543">
        <f>IFERROR(VLOOKUP(A4543,Table1[[Customer ID]:[Discount Amount]], 6, FALSE),"Not Found")</f>
        <v>822.03</v>
      </c>
      <c r="U4543" t="str">
        <f t="shared" si="281"/>
        <v>Debit Card</v>
      </c>
      <c r="V4543" s="4" t="str">
        <f t="shared" si="282"/>
        <v>Normal</v>
      </c>
      <c r="W4543" s="4" t="str">
        <f t="shared" si="283"/>
        <v>Poor</v>
      </c>
      <c r="X4543" s="4">
        <f>AVERAGE(Table1[Purchase Amount])</f>
        <v>129.48419400000012</v>
      </c>
    </row>
    <row r="4544" spans="1:24" ht="15" customHeight="1" x14ac:dyDescent="0.25">
      <c r="A4544">
        <v>4642</v>
      </c>
      <c r="B4544">
        <v>27</v>
      </c>
      <c r="C4544" t="s">
        <v>16</v>
      </c>
      <c r="D4544" t="s">
        <v>112</v>
      </c>
      <c r="E4544" t="s">
        <v>81</v>
      </c>
      <c r="F4544" s="2">
        <v>799.62</v>
      </c>
      <c r="G4544" t="s">
        <v>82</v>
      </c>
      <c r="H4544" t="s">
        <v>31</v>
      </c>
      <c r="I4544" t="s">
        <v>46</v>
      </c>
      <c r="J4544" t="s">
        <v>22</v>
      </c>
      <c r="K4544">
        <v>1</v>
      </c>
      <c r="L4544" t="s">
        <v>34</v>
      </c>
      <c r="M4544" t="s">
        <v>24</v>
      </c>
      <c r="N4544" t="s">
        <v>23</v>
      </c>
      <c r="O4544">
        <v>39</v>
      </c>
      <c r="P4544" t="s">
        <v>53</v>
      </c>
      <c r="Q4544" t="s">
        <v>42</v>
      </c>
      <c r="R4544" s="1">
        <v>0.1</v>
      </c>
      <c r="S4544">
        <f t="shared" si="280"/>
        <v>719.65800000000002</v>
      </c>
      <c r="T4544">
        <f>IFERROR(VLOOKUP(A4544,Table1[[Customer ID]:[Discount Amount]], 6, FALSE),"Not Found")</f>
        <v>799.62</v>
      </c>
      <c r="U4544" t="str">
        <f t="shared" si="281"/>
        <v>Credit Card</v>
      </c>
      <c r="V4544" s="4" t="str">
        <f t="shared" si="282"/>
        <v>Normal</v>
      </c>
      <c r="W4544" s="4" t="str">
        <f t="shared" si="283"/>
        <v>Poor</v>
      </c>
      <c r="X4544" s="4">
        <f>AVERAGE(Table1[Purchase Amount])</f>
        <v>129.48419400000012</v>
      </c>
    </row>
    <row r="4545" spans="1:24" ht="15" customHeight="1" x14ac:dyDescent="0.25">
      <c r="A4545">
        <v>4643</v>
      </c>
      <c r="B4545">
        <v>50</v>
      </c>
      <c r="C4545" t="s">
        <v>27</v>
      </c>
      <c r="D4545" t="s">
        <v>95</v>
      </c>
      <c r="E4545" t="s">
        <v>81</v>
      </c>
      <c r="F4545" s="2">
        <v>0</v>
      </c>
      <c r="G4545" t="s">
        <v>73</v>
      </c>
      <c r="H4545" t="s">
        <v>31</v>
      </c>
      <c r="I4545" t="s">
        <v>74</v>
      </c>
      <c r="J4545" t="s">
        <v>22</v>
      </c>
      <c r="K4545">
        <v>2</v>
      </c>
      <c r="L4545" t="s">
        <v>34</v>
      </c>
      <c r="M4545" t="s">
        <v>61</v>
      </c>
      <c r="N4545" t="s">
        <v>23</v>
      </c>
      <c r="O4545">
        <v>44</v>
      </c>
      <c r="P4545" t="s">
        <v>36</v>
      </c>
      <c r="Q4545" t="s">
        <v>42</v>
      </c>
      <c r="R4545" s="1">
        <v>0.1</v>
      </c>
      <c r="S4545">
        <f t="shared" si="280"/>
        <v>0</v>
      </c>
      <c r="T4545">
        <f>IFERROR(VLOOKUP(A4545,Table1[[Customer ID]:[Discount Amount]], 6, FALSE),"Not Found")</f>
        <v>0</v>
      </c>
      <c r="U4545" t="str">
        <f t="shared" si="281"/>
        <v>Debit Card</v>
      </c>
      <c r="V4545" s="4" t="str">
        <f t="shared" si="282"/>
        <v>Normal</v>
      </c>
      <c r="W4545" s="4" t="str">
        <f t="shared" si="283"/>
        <v>Poor</v>
      </c>
      <c r="X4545" s="4">
        <f>AVERAGE(Table1[Purchase Amount])</f>
        <v>129.48419400000012</v>
      </c>
    </row>
    <row r="4546" spans="1:24" ht="15" customHeight="1" x14ac:dyDescent="0.25">
      <c r="A4546">
        <v>4644</v>
      </c>
      <c r="B4546">
        <v>38</v>
      </c>
      <c r="C4546" t="s">
        <v>16</v>
      </c>
      <c r="D4546" t="s">
        <v>117</v>
      </c>
      <c r="E4546" t="s">
        <v>29</v>
      </c>
      <c r="F4546" s="2">
        <v>0</v>
      </c>
      <c r="G4546" t="s">
        <v>82</v>
      </c>
      <c r="H4546" t="s">
        <v>45</v>
      </c>
      <c r="I4546" t="s">
        <v>46</v>
      </c>
      <c r="J4546" t="s">
        <v>22</v>
      </c>
      <c r="K4546">
        <v>1</v>
      </c>
      <c r="L4546" t="s">
        <v>34</v>
      </c>
      <c r="M4546" t="s">
        <v>61</v>
      </c>
      <c r="N4546" t="s">
        <v>34</v>
      </c>
      <c r="O4546">
        <v>25</v>
      </c>
      <c r="P4546" t="s">
        <v>36</v>
      </c>
      <c r="Q4546" t="s">
        <v>26</v>
      </c>
      <c r="R4546" s="1">
        <v>0.1</v>
      </c>
      <c r="S4546">
        <f t="shared" ref="S4546:S4609" si="284">F4546-(F4546*R4546)</f>
        <v>0</v>
      </c>
      <c r="T4546">
        <f>IFERROR(VLOOKUP(A4546,Table1[[Customer ID]:[Discount Amount]], 6, FALSE),"Not Found")</f>
        <v>0</v>
      </c>
      <c r="U4546" t="str">
        <f t="shared" ref="U4546:U4609" si="285">INDEX(P:P, MATCH(A4546, A:A, 0))</f>
        <v>Debit Card</v>
      </c>
      <c r="V4546" s="4" t="str">
        <f t="shared" ref="V4546:V4609" si="286">IF(AND(F4546&gt;1000,K4546&gt;=4),"Best Customer","Normal")</f>
        <v>Normal</v>
      </c>
      <c r="W4546" s="4" t="str">
        <f t="shared" ref="W4546:W4609" si="287">IF(K4546&gt;=3,"Good","Poor")</f>
        <v>Poor</v>
      </c>
      <c r="X4546" s="4">
        <f>AVERAGE(Table1[Purchase Amount])</f>
        <v>129.48419400000012</v>
      </c>
    </row>
    <row r="4547" spans="1:24" ht="15" customHeight="1" x14ac:dyDescent="0.25">
      <c r="A4547">
        <v>4645</v>
      </c>
      <c r="B4547">
        <v>19</v>
      </c>
      <c r="C4547" t="s">
        <v>27</v>
      </c>
      <c r="D4547" t="s">
        <v>95</v>
      </c>
      <c r="E4547" t="s">
        <v>81</v>
      </c>
      <c r="F4547" s="2">
        <v>1371.19</v>
      </c>
      <c r="G4547" t="s">
        <v>82</v>
      </c>
      <c r="H4547" t="s">
        <v>31</v>
      </c>
      <c r="I4547" t="s">
        <v>93</v>
      </c>
      <c r="J4547" t="s">
        <v>75</v>
      </c>
      <c r="K4547">
        <v>1</v>
      </c>
      <c r="L4547" t="s">
        <v>23</v>
      </c>
      <c r="M4547" t="s">
        <v>24</v>
      </c>
      <c r="N4547" t="s">
        <v>23</v>
      </c>
      <c r="O4547">
        <v>0</v>
      </c>
      <c r="P4547" t="s">
        <v>36</v>
      </c>
      <c r="Q4547" t="s">
        <v>26</v>
      </c>
      <c r="R4547" s="1">
        <v>0.1</v>
      </c>
      <c r="S4547">
        <f t="shared" si="284"/>
        <v>1234.0710000000001</v>
      </c>
      <c r="T4547">
        <f>IFERROR(VLOOKUP(A4547,Table1[[Customer ID]:[Discount Amount]], 6, FALSE),"Not Found")</f>
        <v>1371.19</v>
      </c>
      <c r="U4547" t="str">
        <f t="shared" si="285"/>
        <v>Debit Card</v>
      </c>
      <c r="V4547" s="4" t="str">
        <f t="shared" si="286"/>
        <v>Normal</v>
      </c>
      <c r="W4547" s="4" t="str">
        <f t="shared" si="287"/>
        <v>Poor</v>
      </c>
      <c r="X4547" s="4">
        <f>AVERAGE(Table1[Purchase Amount])</f>
        <v>129.48419400000012</v>
      </c>
    </row>
    <row r="4548" spans="1:24" ht="15" customHeight="1" x14ac:dyDescent="0.25">
      <c r="A4548">
        <v>4646</v>
      </c>
      <c r="B4548">
        <v>34</v>
      </c>
      <c r="C4548" t="s">
        <v>16</v>
      </c>
      <c r="D4548" t="s">
        <v>80</v>
      </c>
      <c r="E4548" t="s">
        <v>81</v>
      </c>
      <c r="F4548" s="2">
        <v>1404.43</v>
      </c>
      <c r="G4548" t="s">
        <v>101</v>
      </c>
      <c r="H4548" t="s">
        <v>31</v>
      </c>
      <c r="I4548" t="s">
        <v>32</v>
      </c>
      <c r="J4548" t="s">
        <v>33</v>
      </c>
      <c r="K4548">
        <v>1</v>
      </c>
      <c r="L4548" t="s">
        <v>23</v>
      </c>
      <c r="M4548" t="s">
        <v>61</v>
      </c>
      <c r="N4548" t="s">
        <v>34</v>
      </c>
      <c r="O4548">
        <v>0</v>
      </c>
      <c r="P4548" t="s">
        <v>53</v>
      </c>
      <c r="Q4548" t="s">
        <v>26</v>
      </c>
      <c r="R4548" s="1">
        <v>0.1</v>
      </c>
      <c r="S4548">
        <f t="shared" si="284"/>
        <v>1263.9870000000001</v>
      </c>
      <c r="T4548">
        <f>IFERROR(VLOOKUP(A4548,Table1[[Customer ID]:[Discount Amount]], 6, FALSE),"Not Found")</f>
        <v>1404.43</v>
      </c>
      <c r="U4548" t="str">
        <f t="shared" si="285"/>
        <v>Credit Card</v>
      </c>
      <c r="V4548" s="4" t="str">
        <f t="shared" si="286"/>
        <v>Normal</v>
      </c>
      <c r="W4548" s="4" t="str">
        <f t="shared" si="287"/>
        <v>Poor</v>
      </c>
      <c r="X4548" s="4">
        <f>AVERAGE(Table1[Purchase Amount])</f>
        <v>129.48419400000012</v>
      </c>
    </row>
    <row r="4549" spans="1:24" ht="15" customHeight="1" x14ac:dyDescent="0.25">
      <c r="A4549">
        <v>4647</v>
      </c>
      <c r="B4549">
        <v>60</v>
      </c>
      <c r="C4549" t="s">
        <v>27</v>
      </c>
      <c r="D4549" t="s">
        <v>117</v>
      </c>
      <c r="E4549" t="s">
        <v>18</v>
      </c>
      <c r="F4549" s="2">
        <v>267.25</v>
      </c>
      <c r="G4549" t="s">
        <v>139</v>
      </c>
      <c r="H4549" t="s">
        <v>20</v>
      </c>
      <c r="I4549" t="s">
        <v>40</v>
      </c>
      <c r="J4549" t="s">
        <v>75</v>
      </c>
      <c r="K4549">
        <v>5</v>
      </c>
      <c r="L4549" t="s">
        <v>34</v>
      </c>
      <c r="M4549" t="s">
        <v>24</v>
      </c>
      <c r="N4549" t="s">
        <v>23</v>
      </c>
      <c r="O4549">
        <v>0</v>
      </c>
      <c r="P4549" t="s">
        <v>53</v>
      </c>
      <c r="Q4549" t="s">
        <v>42</v>
      </c>
      <c r="R4549" s="1">
        <v>0.1</v>
      </c>
      <c r="S4549">
        <f t="shared" si="284"/>
        <v>240.52500000000001</v>
      </c>
      <c r="T4549">
        <f>IFERROR(VLOOKUP(A4549,Table1[[Customer ID]:[Discount Amount]], 6, FALSE),"Not Found")</f>
        <v>267.25</v>
      </c>
      <c r="U4549" t="str">
        <f t="shared" si="285"/>
        <v>Credit Card</v>
      </c>
      <c r="V4549" s="4" t="str">
        <f t="shared" si="286"/>
        <v>Normal</v>
      </c>
      <c r="W4549" s="4" t="str">
        <f t="shared" si="287"/>
        <v>Good</v>
      </c>
      <c r="X4549" s="4">
        <f>AVERAGE(Table1[Purchase Amount])</f>
        <v>129.48419400000012</v>
      </c>
    </row>
    <row r="4550" spans="1:24" ht="15" customHeight="1" x14ac:dyDescent="0.25">
      <c r="A4550">
        <v>4648</v>
      </c>
      <c r="B4550">
        <v>46</v>
      </c>
      <c r="C4550" t="s">
        <v>27</v>
      </c>
      <c r="D4550" t="s">
        <v>72</v>
      </c>
      <c r="E4550" t="s">
        <v>81</v>
      </c>
      <c r="F4550" s="2">
        <v>90.6</v>
      </c>
      <c r="G4550" t="s">
        <v>73</v>
      </c>
      <c r="H4550" t="s">
        <v>31</v>
      </c>
      <c r="I4550" t="s">
        <v>32</v>
      </c>
      <c r="J4550" t="s">
        <v>33</v>
      </c>
      <c r="K4550">
        <v>2</v>
      </c>
      <c r="L4550" t="s">
        <v>23</v>
      </c>
      <c r="M4550" t="s">
        <v>61</v>
      </c>
      <c r="N4550" t="s">
        <v>34</v>
      </c>
      <c r="O4550">
        <v>25</v>
      </c>
      <c r="P4550" t="s">
        <v>58</v>
      </c>
      <c r="Q4550" t="s">
        <v>42</v>
      </c>
      <c r="R4550" s="1">
        <v>0.1</v>
      </c>
      <c r="S4550">
        <f t="shared" si="284"/>
        <v>81.539999999999992</v>
      </c>
      <c r="T4550">
        <f>IFERROR(VLOOKUP(A4550,Table1[[Customer ID]:[Discount Amount]], 6, FALSE),"Not Found")</f>
        <v>90.6</v>
      </c>
      <c r="U4550" t="str">
        <f t="shared" si="285"/>
        <v>PayPal</v>
      </c>
      <c r="V4550" s="4" t="str">
        <f t="shared" si="286"/>
        <v>Normal</v>
      </c>
      <c r="W4550" s="4" t="str">
        <f t="shared" si="287"/>
        <v>Poor</v>
      </c>
      <c r="X4550" s="4">
        <f>AVERAGE(Table1[Purchase Amount])</f>
        <v>129.48419400000012</v>
      </c>
    </row>
    <row r="4551" spans="1:24" ht="15" customHeight="1" x14ac:dyDescent="0.25">
      <c r="A4551">
        <v>4649</v>
      </c>
      <c r="B4551">
        <v>55</v>
      </c>
      <c r="C4551" t="s">
        <v>16</v>
      </c>
      <c r="D4551" t="s">
        <v>117</v>
      </c>
      <c r="E4551" t="s">
        <v>81</v>
      </c>
      <c r="F4551" s="2">
        <v>751.82</v>
      </c>
      <c r="G4551" t="s">
        <v>101</v>
      </c>
      <c r="H4551" t="s">
        <v>31</v>
      </c>
      <c r="I4551" t="s">
        <v>74</v>
      </c>
      <c r="J4551" t="s">
        <v>75</v>
      </c>
      <c r="K4551">
        <v>1</v>
      </c>
      <c r="L4551" t="s">
        <v>23</v>
      </c>
      <c r="M4551" t="s">
        <v>61</v>
      </c>
      <c r="N4551" t="s">
        <v>34</v>
      </c>
      <c r="O4551">
        <v>0</v>
      </c>
      <c r="P4551" t="s">
        <v>53</v>
      </c>
      <c r="Q4551" t="s">
        <v>42</v>
      </c>
      <c r="R4551" s="1">
        <v>0.1</v>
      </c>
      <c r="S4551">
        <f t="shared" si="284"/>
        <v>676.63800000000003</v>
      </c>
      <c r="T4551">
        <f>IFERROR(VLOOKUP(A4551,Table1[[Customer ID]:[Discount Amount]], 6, FALSE),"Not Found")</f>
        <v>751.82</v>
      </c>
      <c r="U4551" t="str">
        <f t="shared" si="285"/>
        <v>Credit Card</v>
      </c>
      <c r="V4551" s="4" t="str">
        <f t="shared" si="286"/>
        <v>Normal</v>
      </c>
      <c r="W4551" s="4" t="str">
        <f t="shared" si="287"/>
        <v>Poor</v>
      </c>
      <c r="X4551" s="4">
        <f>AVERAGE(Table1[Purchase Amount])</f>
        <v>129.48419400000012</v>
      </c>
    </row>
    <row r="4552" spans="1:24" ht="15" customHeight="1" x14ac:dyDescent="0.25">
      <c r="A4552">
        <v>4650</v>
      </c>
      <c r="B4552">
        <v>28</v>
      </c>
      <c r="C4552" t="s">
        <v>71</v>
      </c>
      <c r="D4552" t="s">
        <v>38</v>
      </c>
      <c r="E4552" t="s">
        <v>18</v>
      </c>
      <c r="F4552" s="2">
        <v>175.64</v>
      </c>
      <c r="G4552" t="s">
        <v>126</v>
      </c>
      <c r="H4552" t="s">
        <v>31</v>
      </c>
      <c r="I4552" t="s">
        <v>32</v>
      </c>
      <c r="J4552" t="s">
        <v>57</v>
      </c>
      <c r="K4552">
        <v>5</v>
      </c>
      <c r="L4552" t="s">
        <v>23</v>
      </c>
      <c r="M4552" t="s">
        <v>24</v>
      </c>
      <c r="N4552" t="s">
        <v>23</v>
      </c>
      <c r="O4552">
        <v>12</v>
      </c>
      <c r="P4552" t="s">
        <v>53</v>
      </c>
      <c r="Q4552" t="s">
        <v>26</v>
      </c>
      <c r="R4552" s="1">
        <v>0.1</v>
      </c>
      <c r="S4552">
        <f t="shared" si="284"/>
        <v>158.07599999999999</v>
      </c>
      <c r="T4552">
        <f>IFERROR(VLOOKUP(A4552,Table1[[Customer ID]:[Discount Amount]], 6, FALSE),"Not Found")</f>
        <v>175.64</v>
      </c>
      <c r="U4552" t="str">
        <f t="shared" si="285"/>
        <v>Credit Card</v>
      </c>
      <c r="V4552" s="4" t="str">
        <f t="shared" si="286"/>
        <v>Normal</v>
      </c>
      <c r="W4552" s="4" t="str">
        <f t="shared" si="287"/>
        <v>Good</v>
      </c>
      <c r="X4552" s="4">
        <f>AVERAGE(Table1[Purchase Amount])</f>
        <v>129.48419400000012</v>
      </c>
    </row>
    <row r="4553" spans="1:24" ht="15" customHeight="1" x14ac:dyDescent="0.25">
      <c r="A4553">
        <v>4651</v>
      </c>
      <c r="B4553">
        <v>47</v>
      </c>
      <c r="C4553" t="s">
        <v>27</v>
      </c>
      <c r="D4553" t="s">
        <v>112</v>
      </c>
      <c r="E4553" t="s">
        <v>18</v>
      </c>
      <c r="F4553" s="2">
        <v>0</v>
      </c>
      <c r="G4553" t="s">
        <v>101</v>
      </c>
      <c r="H4553" t="s">
        <v>20</v>
      </c>
      <c r="I4553" t="s">
        <v>74</v>
      </c>
      <c r="J4553" t="s">
        <v>22</v>
      </c>
      <c r="K4553">
        <v>3</v>
      </c>
      <c r="L4553" t="s">
        <v>23</v>
      </c>
      <c r="M4553" t="s">
        <v>24</v>
      </c>
      <c r="N4553" t="s">
        <v>34</v>
      </c>
      <c r="O4553">
        <v>0</v>
      </c>
      <c r="P4553" t="s">
        <v>25</v>
      </c>
      <c r="Q4553" t="s">
        <v>37</v>
      </c>
      <c r="R4553" s="1">
        <v>0.1</v>
      </c>
      <c r="S4553">
        <f t="shared" si="284"/>
        <v>0</v>
      </c>
      <c r="T4553">
        <f>IFERROR(VLOOKUP(A4553,Table1[[Customer ID]:[Discount Amount]], 6, FALSE),"Not Found")</f>
        <v>0</v>
      </c>
      <c r="U4553" t="str">
        <f t="shared" si="285"/>
        <v>Cash</v>
      </c>
      <c r="V4553" s="4" t="str">
        <f t="shared" si="286"/>
        <v>Normal</v>
      </c>
      <c r="W4553" s="4" t="str">
        <f t="shared" si="287"/>
        <v>Good</v>
      </c>
      <c r="X4553" s="4">
        <f>AVERAGE(Table1[Purchase Amount])</f>
        <v>129.48419400000012</v>
      </c>
    </row>
    <row r="4554" spans="1:24" ht="15" customHeight="1" x14ac:dyDescent="0.25">
      <c r="A4554">
        <v>4652</v>
      </c>
      <c r="B4554">
        <v>70</v>
      </c>
      <c r="C4554" t="s">
        <v>16</v>
      </c>
      <c r="D4554" t="s">
        <v>95</v>
      </c>
      <c r="E4554" t="s">
        <v>81</v>
      </c>
      <c r="F4554" s="2">
        <v>0</v>
      </c>
      <c r="G4554" t="s">
        <v>82</v>
      </c>
      <c r="H4554" t="s">
        <v>31</v>
      </c>
      <c r="I4554" t="s">
        <v>93</v>
      </c>
      <c r="J4554" t="s">
        <v>22</v>
      </c>
      <c r="K4554">
        <v>2</v>
      </c>
      <c r="L4554" t="s">
        <v>34</v>
      </c>
      <c r="M4554" t="s">
        <v>61</v>
      </c>
      <c r="N4554" t="s">
        <v>23</v>
      </c>
      <c r="O4554">
        <v>0</v>
      </c>
      <c r="P4554" t="s">
        <v>53</v>
      </c>
      <c r="Q4554" t="s">
        <v>26</v>
      </c>
      <c r="R4554" s="1">
        <v>0.1</v>
      </c>
      <c r="S4554">
        <f t="shared" si="284"/>
        <v>0</v>
      </c>
      <c r="T4554">
        <f>IFERROR(VLOOKUP(A4554,Table1[[Customer ID]:[Discount Amount]], 6, FALSE),"Not Found")</f>
        <v>0</v>
      </c>
      <c r="U4554" t="str">
        <f t="shared" si="285"/>
        <v>Credit Card</v>
      </c>
      <c r="V4554" s="4" t="str">
        <f t="shared" si="286"/>
        <v>Normal</v>
      </c>
      <c r="W4554" s="4" t="str">
        <f t="shared" si="287"/>
        <v>Poor</v>
      </c>
      <c r="X4554" s="4">
        <f>AVERAGE(Table1[Purchase Amount])</f>
        <v>129.48419400000012</v>
      </c>
    </row>
    <row r="4555" spans="1:24" ht="15" customHeight="1" x14ac:dyDescent="0.25">
      <c r="A4555">
        <v>4653</v>
      </c>
      <c r="B4555">
        <v>50</v>
      </c>
      <c r="C4555" t="s">
        <v>16</v>
      </c>
      <c r="D4555" t="s">
        <v>117</v>
      </c>
      <c r="E4555" t="s">
        <v>81</v>
      </c>
      <c r="F4555" s="2">
        <v>876.13</v>
      </c>
      <c r="G4555" t="s">
        <v>82</v>
      </c>
      <c r="H4555" t="s">
        <v>31</v>
      </c>
      <c r="I4555" t="s">
        <v>74</v>
      </c>
      <c r="J4555" t="s">
        <v>75</v>
      </c>
      <c r="K4555">
        <v>1</v>
      </c>
      <c r="L4555" t="s">
        <v>34</v>
      </c>
      <c r="M4555" t="s">
        <v>24</v>
      </c>
      <c r="N4555" t="s">
        <v>34</v>
      </c>
      <c r="O4555">
        <v>3</v>
      </c>
      <c r="P4555" t="s">
        <v>58</v>
      </c>
      <c r="Q4555" t="s">
        <v>37</v>
      </c>
      <c r="R4555" s="1">
        <v>0.1</v>
      </c>
      <c r="S4555">
        <f t="shared" si="284"/>
        <v>788.51700000000005</v>
      </c>
      <c r="T4555">
        <f>IFERROR(VLOOKUP(A4555,Table1[[Customer ID]:[Discount Amount]], 6, FALSE),"Not Found")</f>
        <v>876.13</v>
      </c>
      <c r="U4555" t="str">
        <f t="shared" si="285"/>
        <v>PayPal</v>
      </c>
      <c r="V4555" s="4" t="str">
        <f t="shared" si="286"/>
        <v>Normal</v>
      </c>
      <c r="W4555" s="4" t="str">
        <f t="shared" si="287"/>
        <v>Poor</v>
      </c>
      <c r="X4555" s="4">
        <f>AVERAGE(Table1[Purchase Amount])</f>
        <v>129.48419400000012</v>
      </c>
    </row>
    <row r="4556" spans="1:24" ht="15" customHeight="1" x14ac:dyDescent="0.25">
      <c r="A4556">
        <v>4654</v>
      </c>
      <c r="B4556">
        <v>22</v>
      </c>
      <c r="C4556" t="s">
        <v>71</v>
      </c>
      <c r="D4556" t="s">
        <v>38</v>
      </c>
      <c r="E4556" t="s">
        <v>18</v>
      </c>
      <c r="F4556" s="2">
        <v>520.91999999999996</v>
      </c>
      <c r="G4556" t="s">
        <v>126</v>
      </c>
      <c r="H4556" t="s">
        <v>45</v>
      </c>
      <c r="I4556" t="s">
        <v>32</v>
      </c>
      <c r="J4556" t="s">
        <v>33</v>
      </c>
      <c r="K4556">
        <v>1</v>
      </c>
      <c r="L4556" t="s">
        <v>23</v>
      </c>
      <c r="M4556" t="s">
        <v>24</v>
      </c>
      <c r="N4556" t="s">
        <v>23</v>
      </c>
      <c r="O4556">
        <v>17</v>
      </c>
      <c r="P4556" t="s">
        <v>25</v>
      </c>
      <c r="Q4556" t="s">
        <v>37</v>
      </c>
      <c r="R4556" s="1">
        <v>0.1</v>
      </c>
      <c r="S4556">
        <f t="shared" si="284"/>
        <v>468.82799999999997</v>
      </c>
      <c r="T4556">
        <f>IFERROR(VLOOKUP(A4556,Table1[[Customer ID]:[Discount Amount]], 6, FALSE),"Not Found")</f>
        <v>520.91999999999996</v>
      </c>
      <c r="U4556" t="str">
        <f t="shared" si="285"/>
        <v>Cash</v>
      </c>
      <c r="V4556" s="4" t="str">
        <f t="shared" si="286"/>
        <v>Normal</v>
      </c>
      <c r="W4556" s="4" t="str">
        <f t="shared" si="287"/>
        <v>Poor</v>
      </c>
      <c r="X4556" s="4">
        <f>AVERAGE(Table1[Purchase Amount])</f>
        <v>129.48419400000012</v>
      </c>
    </row>
    <row r="4557" spans="1:24" ht="15" customHeight="1" x14ac:dyDescent="0.25">
      <c r="A4557">
        <v>4655</v>
      </c>
      <c r="B4557">
        <v>43</v>
      </c>
      <c r="C4557" t="s">
        <v>27</v>
      </c>
      <c r="D4557" t="s">
        <v>112</v>
      </c>
      <c r="E4557" t="s">
        <v>18</v>
      </c>
      <c r="F4557" s="2">
        <v>0</v>
      </c>
      <c r="G4557" t="s">
        <v>73</v>
      </c>
      <c r="H4557" t="s">
        <v>45</v>
      </c>
      <c r="I4557" t="s">
        <v>46</v>
      </c>
      <c r="J4557" t="s">
        <v>33</v>
      </c>
      <c r="K4557">
        <v>1</v>
      </c>
      <c r="L4557" t="s">
        <v>34</v>
      </c>
      <c r="M4557" t="s">
        <v>24</v>
      </c>
      <c r="N4557" t="s">
        <v>23</v>
      </c>
      <c r="O4557">
        <v>0</v>
      </c>
      <c r="P4557" t="s">
        <v>36</v>
      </c>
      <c r="Q4557" t="s">
        <v>26</v>
      </c>
      <c r="R4557" s="1">
        <v>0.1</v>
      </c>
      <c r="S4557">
        <f t="shared" si="284"/>
        <v>0</v>
      </c>
      <c r="T4557">
        <f>IFERROR(VLOOKUP(A4557,Table1[[Customer ID]:[Discount Amount]], 6, FALSE),"Not Found")</f>
        <v>0</v>
      </c>
      <c r="U4557" t="str">
        <f t="shared" si="285"/>
        <v>Debit Card</v>
      </c>
      <c r="V4557" s="4" t="str">
        <f t="shared" si="286"/>
        <v>Normal</v>
      </c>
      <c r="W4557" s="4" t="str">
        <f t="shared" si="287"/>
        <v>Poor</v>
      </c>
      <c r="X4557" s="4">
        <f>AVERAGE(Table1[Purchase Amount])</f>
        <v>129.48419400000012</v>
      </c>
    </row>
    <row r="4558" spans="1:24" ht="15" customHeight="1" x14ac:dyDescent="0.25">
      <c r="A4558">
        <v>4656</v>
      </c>
      <c r="B4558">
        <v>25</v>
      </c>
      <c r="C4558" t="s">
        <v>27</v>
      </c>
      <c r="D4558" t="s">
        <v>116</v>
      </c>
      <c r="E4558" t="s">
        <v>81</v>
      </c>
      <c r="F4558" s="2">
        <v>0</v>
      </c>
      <c r="G4558" t="s">
        <v>82</v>
      </c>
      <c r="H4558" t="s">
        <v>31</v>
      </c>
      <c r="I4558" t="s">
        <v>32</v>
      </c>
      <c r="J4558" t="s">
        <v>22</v>
      </c>
      <c r="K4558">
        <v>1</v>
      </c>
      <c r="L4558" t="s">
        <v>23</v>
      </c>
      <c r="M4558" t="s">
        <v>61</v>
      </c>
      <c r="N4558" t="s">
        <v>34</v>
      </c>
      <c r="O4558">
        <v>0</v>
      </c>
      <c r="P4558" t="s">
        <v>25</v>
      </c>
      <c r="Q4558" t="s">
        <v>37</v>
      </c>
      <c r="R4558" s="1">
        <v>0.1</v>
      </c>
      <c r="S4558">
        <f t="shared" si="284"/>
        <v>0</v>
      </c>
      <c r="T4558">
        <f>IFERROR(VLOOKUP(A4558,Table1[[Customer ID]:[Discount Amount]], 6, FALSE),"Not Found")</f>
        <v>0</v>
      </c>
      <c r="U4558" t="str">
        <f t="shared" si="285"/>
        <v>Cash</v>
      </c>
      <c r="V4558" s="4" t="str">
        <f t="shared" si="286"/>
        <v>Normal</v>
      </c>
      <c r="W4558" s="4" t="str">
        <f t="shared" si="287"/>
        <v>Poor</v>
      </c>
      <c r="X4558" s="4">
        <f>AVERAGE(Table1[Purchase Amount])</f>
        <v>129.48419400000012</v>
      </c>
    </row>
    <row r="4559" spans="1:24" ht="15" customHeight="1" x14ac:dyDescent="0.25">
      <c r="A4559">
        <v>4657</v>
      </c>
      <c r="B4559">
        <v>27</v>
      </c>
      <c r="C4559" t="s">
        <v>16</v>
      </c>
      <c r="D4559" t="s">
        <v>95</v>
      </c>
      <c r="E4559" t="s">
        <v>29</v>
      </c>
      <c r="F4559" s="2">
        <v>0</v>
      </c>
      <c r="G4559" t="s">
        <v>101</v>
      </c>
      <c r="H4559" t="s">
        <v>55</v>
      </c>
      <c r="I4559" t="s">
        <v>32</v>
      </c>
      <c r="J4559" t="s">
        <v>57</v>
      </c>
      <c r="K4559">
        <v>3</v>
      </c>
      <c r="L4559" t="s">
        <v>23</v>
      </c>
      <c r="M4559" t="s">
        <v>24</v>
      </c>
      <c r="N4559" t="s">
        <v>23</v>
      </c>
      <c r="O4559">
        <v>0</v>
      </c>
      <c r="P4559" t="s">
        <v>58</v>
      </c>
      <c r="Q4559" t="s">
        <v>26</v>
      </c>
      <c r="R4559" s="1">
        <v>0.1</v>
      </c>
      <c r="S4559">
        <f t="shared" si="284"/>
        <v>0</v>
      </c>
      <c r="T4559">
        <f>IFERROR(VLOOKUP(A4559,Table1[[Customer ID]:[Discount Amount]], 6, FALSE),"Not Found")</f>
        <v>0</v>
      </c>
      <c r="U4559" t="str">
        <f t="shared" si="285"/>
        <v>PayPal</v>
      </c>
      <c r="V4559" s="4" t="str">
        <f t="shared" si="286"/>
        <v>Normal</v>
      </c>
      <c r="W4559" s="4" t="str">
        <f t="shared" si="287"/>
        <v>Good</v>
      </c>
      <c r="X4559" s="4">
        <f>AVERAGE(Table1[Purchase Amount])</f>
        <v>129.48419400000012</v>
      </c>
    </row>
    <row r="4560" spans="1:24" ht="15" customHeight="1" x14ac:dyDescent="0.25">
      <c r="A4560">
        <v>4658</v>
      </c>
      <c r="B4560">
        <v>49</v>
      </c>
      <c r="C4560" t="s">
        <v>71</v>
      </c>
      <c r="D4560" t="s">
        <v>112</v>
      </c>
      <c r="E4560" t="s">
        <v>18</v>
      </c>
      <c r="F4560" s="2">
        <v>0</v>
      </c>
      <c r="G4560" t="s">
        <v>139</v>
      </c>
      <c r="H4560" t="s">
        <v>31</v>
      </c>
      <c r="I4560" t="s">
        <v>74</v>
      </c>
      <c r="J4560" t="s">
        <v>22</v>
      </c>
      <c r="K4560">
        <v>4</v>
      </c>
      <c r="L4560" t="s">
        <v>23</v>
      </c>
      <c r="M4560" t="s">
        <v>61</v>
      </c>
      <c r="N4560" t="s">
        <v>23</v>
      </c>
      <c r="O4560">
        <v>0</v>
      </c>
      <c r="P4560" t="s">
        <v>58</v>
      </c>
      <c r="Q4560" t="s">
        <v>42</v>
      </c>
      <c r="R4560" s="1">
        <v>0.1</v>
      </c>
      <c r="S4560">
        <f t="shared" si="284"/>
        <v>0</v>
      </c>
      <c r="T4560">
        <f>IFERROR(VLOOKUP(A4560,Table1[[Customer ID]:[Discount Amount]], 6, FALSE),"Not Found")</f>
        <v>0</v>
      </c>
      <c r="U4560" t="str">
        <f t="shared" si="285"/>
        <v>PayPal</v>
      </c>
      <c r="V4560" s="4" t="str">
        <f t="shared" si="286"/>
        <v>Normal</v>
      </c>
      <c r="W4560" s="4" t="str">
        <f t="shared" si="287"/>
        <v>Good</v>
      </c>
      <c r="X4560" s="4">
        <f>AVERAGE(Table1[Purchase Amount])</f>
        <v>129.48419400000012</v>
      </c>
    </row>
    <row r="4561" spans="1:24" ht="15" customHeight="1" x14ac:dyDescent="0.25">
      <c r="A4561">
        <v>4659</v>
      </c>
      <c r="B4561">
        <v>20</v>
      </c>
      <c r="C4561" t="s">
        <v>16</v>
      </c>
      <c r="D4561" t="s">
        <v>117</v>
      </c>
      <c r="E4561" t="s">
        <v>81</v>
      </c>
      <c r="F4561" s="2">
        <v>0</v>
      </c>
      <c r="G4561" t="s">
        <v>101</v>
      </c>
      <c r="H4561" t="s">
        <v>31</v>
      </c>
      <c r="I4561" t="s">
        <v>74</v>
      </c>
      <c r="J4561" t="s">
        <v>75</v>
      </c>
      <c r="K4561">
        <v>1</v>
      </c>
      <c r="L4561" t="s">
        <v>34</v>
      </c>
      <c r="M4561" t="s">
        <v>24</v>
      </c>
      <c r="N4561" t="s">
        <v>34</v>
      </c>
      <c r="O4561">
        <v>0</v>
      </c>
      <c r="P4561" t="s">
        <v>25</v>
      </c>
      <c r="Q4561" t="s">
        <v>26</v>
      </c>
      <c r="R4561" s="1">
        <v>0.1</v>
      </c>
      <c r="S4561">
        <f t="shared" si="284"/>
        <v>0</v>
      </c>
      <c r="T4561">
        <f>IFERROR(VLOOKUP(A4561,Table1[[Customer ID]:[Discount Amount]], 6, FALSE),"Not Found")</f>
        <v>0</v>
      </c>
      <c r="U4561" t="str">
        <f t="shared" si="285"/>
        <v>Cash</v>
      </c>
      <c r="V4561" s="4" t="str">
        <f t="shared" si="286"/>
        <v>Normal</v>
      </c>
      <c r="W4561" s="4" t="str">
        <f t="shared" si="287"/>
        <v>Poor</v>
      </c>
      <c r="X4561" s="4">
        <f>AVERAGE(Table1[Purchase Amount])</f>
        <v>129.48419400000012</v>
      </c>
    </row>
    <row r="4562" spans="1:24" ht="15" customHeight="1" x14ac:dyDescent="0.25">
      <c r="A4562">
        <v>4660</v>
      </c>
      <c r="B4562">
        <v>44</v>
      </c>
      <c r="C4562" t="s">
        <v>71</v>
      </c>
      <c r="D4562" t="s">
        <v>38</v>
      </c>
      <c r="E4562" t="s">
        <v>18</v>
      </c>
      <c r="F4562" s="2">
        <v>471.28</v>
      </c>
      <c r="G4562" t="s">
        <v>73</v>
      </c>
      <c r="H4562" t="s">
        <v>20</v>
      </c>
      <c r="I4562" t="s">
        <v>46</v>
      </c>
      <c r="J4562" t="s">
        <v>57</v>
      </c>
      <c r="K4562">
        <v>1</v>
      </c>
      <c r="L4562" t="s">
        <v>23</v>
      </c>
      <c r="M4562" t="s">
        <v>61</v>
      </c>
      <c r="N4562" t="s">
        <v>23</v>
      </c>
      <c r="O4562">
        <v>0</v>
      </c>
      <c r="P4562" t="s">
        <v>58</v>
      </c>
      <c r="Q4562" t="s">
        <v>42</v>
      </c>
      <c r="R4562" s="1">
        <v>0.1</v>
      </c>
      <c r="S4562">
        <f t="shared" si="284"/>
        <v>424.15199999999999</v>
      </c>
      <c r="T4562">
        <f>IFERROR(VLOOKUP(A4562,Table1[[Customer ID]:[Discount Amount]], 6, FALSE),"Not Found")</f>
        <v>471.28</v>
      </c>
      <c r="U4562" t="str">
        <f t="shared" si="285"/>
        <v>PayPal</v>
      </c>
      <c r="V4562" s="4" t="str">
        <f t="shared" si="286"/>
        <v>Normal</v>
      </c>
      <c r="W4562" s="4" t="str">
        <f t="shared" si="287"/>
        <v>Poor</v>
      </c>
      <c r="X4562" s="4">
        <f>AVERAGE(Table1[Purchase Amount])</f>
        <v>129.48419400000012</v>
      </c>
    </row>
    <row r="4563" spans="1:24" ht="15" customHeight="1" x14ac:dyDescent="0.25">
      <c r="A4563">
        <v>4661</v>
      </c>
      <c r="B4563">
        <v>63</v>
      </c>
      <c r="C4563" t="s">
        <v>16</v>
      </c>
      <c r="D4563" t="s">
        <v>117</v>
      </c>
      <c r="E4563" t="s">
        <v>29</v>
      </c>
      <c r="F4563" s="2">
        <v>0</v>
      </c>
      <c r="G4563" t="s">
        <v>101</v>
      </c>
      <c r="H4563" t="s">
        <v>45</v>
      </c>
      <c r="I4563" t="s">
        <v>46</v>
      </c>
      <c r="J4563" t="s">
        <v>22</v>
      </c>
      <c r="K4563">
        <v>1</v>
      </c>
      <c r="L4563" t="s">
        <v>23</v>
      </c>
      <c r="M4563" t="s">
        <v>24</v>
      </c>
      <c r="N4563" t="s">
        <v>34</v>
      </c>
      <c r="O4563">
        <v>0</v>
      </c>
      <c r="P4563" t="s">
        <v>53</v>
      </c>
      <c r="Q4563" t="s">
        <v>26</v>
      </c>
      <c r="R4563" s="1">
        <v>0.1</v>
      </c>
      <c r="S4563">
        <f t="shared" si="284"/>
        <v>0</v>
      </c>
      <c r="T4563">
        <f>IFERROR(VLOOKUP(A4563,Table1[[Customer ID]:[Discount Amount]], 6, FALSE),"Not Found")</f>
        <v>0</v>
      </c>
      <c r="U4563" t="str">
        <f t="shared" si="285"/>
        <v>Credit Card</v>
      </c>
      <c r="V4563" s="4" t="str">
        <f t="shared" si="286"/>
        <v>Normal</v>
      </c>
      <c r="W4563" s="4" t="str">
        <f t="shared" si="287"/>
        <v>Poor</v>
      </c>
      <c r="X4563" s="4">
        <f>AVERAGE(Table1[Purchase Amount])</f>
        <v>129.48419400000012</v>
      </c>
    </row>
    <row r="4564" spans="1:24" ht="15" customHeight="1" x14ac:dyDescent="0.25">
      <c r="A4564">
        <v>4662</v>
      </c>
      <c r="B4564">
        <v>25</v>
      </c>
      <c r="C4564" t="s">
        <v>71</v>
      </c>
      <c r="D4564" t="s">
        <v>117</v>
      </c>
      <c r="E4564" t="s">
        <v>29</v>
      </c>
      <c r="F4564" s="2">
        <v>1459.59</v>
      </c>
      <c r="G4564" t="s">
        <v>126</v>
      </c>
      <c r="H4564" t="s">
        <v>45</v>
      </c>
      <c r="I4564" t="s">
        <v>40</v>
      </c>
      <c r="J4564" t="s">
        <v>33</v>
      </c>
      <c r="K4564">
        <v>1</v>
      </c>
      <c r="L4564" t="s">
        <v>34</v>
      </c>
      <c r="M4564" t="s">
        <v>61</v>
      </c>
      <c r="N4564" t="s">
        <v>34</v>
      </c>
      <c r="O4564">
        <v>0</v>
      </c>
      <c r="P4564" t="s">
        <v>36</v>
      </c>
      <c r="Q4564" t="s">
        <v>42</v>
      </c>
      <c r="R4564" s="1">
        <v>0.1</v>
      </c>
      <c r="S4564">
        <f t="shared" si="284"/>
        <v>1313.6309999999999</v>
      </c>
      <c r="T4564">
        <f>IFERROR(VLOOKUP(A4564,Table1[[Customer ID]:[Discount Amount]], 6, FALSE),"Not Found")</f>
        <v>1459.59</v>
      </c>
      <c r="U4564" t="str">
        <f t="shared" si="285"/>
        <v>Debit Card</v>
      </c>
      <c r="V4564" s="4" t="str">
        <f t="shared" si="286"/>
        <v>Normal</v>
      </c>
      <c r="W4564" s="4" t="str">
        <f t="shared" si="287"/>
        <v>Poor</v>
      </c>
      <c r="X4564" s="4">
        <f>AVERAGE(Table1[Purchase Amount])</f>
        <v>129.48419400000012</v>
      </c>
    </row>
    <row r="4565" spans="1:24" ht="15" customHeight="1" x14ac:dyDescent="0.25">
      <c r="A4565">
        <v>4663</v>
      </c>
      <c r="B4565">
        <v>29</v>
      </c>
      <c r="C4565" t="s">
        <v>27</v>
      </c>
      <c r="D4565" t="s">
        <v>95</v>
      </c>
      <c r="E4565" t="s">
        <v>18</v>
      </c>
      <c r="F4565" s="2">
        <v>627.73</v>
      </c>
      <c r="G4565" t="s">
        <v>126</v>
      </c>
      <c r="H4565" t="s">
        <v>20</v>
      </c>
      <c r="I4565" t="s">
        <v>46</v>
      </c>
      <c r="J4565" t="s">
        <v>57</v>
      </c>
      <c r="K4565">
        <v>1</v>
      </c>
      <c r="L4565" t="s">
        <v>34</v>
      </c>
      <c r="M4565" t="s">
        <v>24</v>
      </c>
      <c r="N4565" t="s">
        <v>23</v>
      </c>
      <c r="O4565">
        <v>0</v>
      </c>
      <c r="P4565" t="s">
        <v>25</v>
      </c>
      <c r="Q4565" t="s">
        <v>37</v>
      </c>
      <c r="R4565" s="1">
        <v>0.1</v>
      </c>
      <c r="S4565">
        <f t="shared" si="284"/>
        <v>564.95699999999999</v>
      </c>
      <c r="T4565">
        <f>IFERROR(VLOOKUP(A4565,Table1[[Customer ID]:[Discount Amount]], 6, FALSE),"Not Found")</f>
        <v>627.73</v>
      </c>
      <c r="U4565" t="str">
        <f t="shared" si="285"/>
        <v>Cash</v>
      </c>
      <c r="V4565" s="4" t="str">
        <f t="shared" si="286"/>
        <v>Normal</v>
      </c>
      <c r="W4565" s="4" t="str">
        <f t="shared" si="287"/>
        <v>Poor</v>
      </c>
      <c r="X4565" s="4">
        <f>AVERAGE(Table1[Purchase Amount])</f>
        <v>129.48419400000012</v>
      </c>
    </row>
    <row r="4566" spans="1:24" ht="15" customHeight="1" x14ac:dyDescent="0.25">
      <c r="A4566">
        <v>4664</v>
      </c>
      <c r="B4566">
        <v>38</v>
      </c>
      <c r="C4566" t="s">
        <v>16</v>
      </c>
      <c r="D4566" t="s">
        <v>80</v>
      </c>
      <c r="E4566" t="s">
        <v>29</v>
      </c>
      <c r="F4566" s="2">
        <v>864.33</v>
      </c>
      <c r="G4566" t="s">
        <v>82</v>
      </c>
      <c r="H4566" t="s">
        <v>55</v>
      </c>
      <c r="I4566" t="s">
        <v>46</v>
      </c>
      <c r="J4566" t="s">
        <v>75</v>
      </c>
      <c r="K4566">
        <v>1</v>
      </c>
      <c r="L4566" t="s">
        <v>34</v>
      </c>
      <c r="M4566" t="s">
        <v>24</v>
      </c>
      <c r="N4566" t="s">
        <v>23</v>
      </c>
      <c r="O4566">
        <v>0</v>
      </c>
      <c r="P4566" t="s">
        <v>58</v>
      </c>
      <c r="Q4566" t="s">
        <v>37</v>
      </c>
      <c r="R4566" s="1">
        <v>0.1</v>
      </c>
      <c r="S4566">
        <f t="shared" si="284"/>
        <v>777.89700000000005</v>
      </c>
      <c r="T4566">
        <f>IFERROR(VLOOKUP(A4566,Table1[[Customer ID]:[Discount Amount]], 6, FALSE),"Not Found")</f>
        <v>864.33</v>
      </c>
      <c r="U4566" t="str">
        <f t="shared" si="285"/>
        <v>PayPal</v>
      </c>
      <c r="V4566" s="4" t="str">
        <f t="shared" si="286"/>
        <v>Normal</v>
      </c>
      <c r="W4566" s="4" t="str">
        <f t="shared" si="287"/>
        <v>Poor</v>
      </c>
      <c r="X4566" s="4">
        <f>AVERAGE(Table1[Purchase Amount])</f>
        <v>129.48419400000012</v>
      </c>
    </row>
    <row r="4567" spans="1:24" ht="15" customHeight="1" x14ac:dyDescent="0.25">
      <c r="A4567">
        <v>4665</v>
      </c>
      <c r="B4567">
        <v>66</v>
      </c>
      <c r="C4567" t="s">
        <v>16</v>
      </c>
      <c r="D4567" t="s">
        <v>95</v>
      </c>
      <c r="E4567" t="s">
        <v>81</v>
      </c>
      <c r="F4567" s="2">
        <v>0</v>
      </c>
      <c r="G4567" t="s">
        <v>82</v>
      </c>
      <c r="H4567" t="s">
        <v>31</v>
      </c>
      <c r="I4567" t="s">
        <v>32</v>
      </c>
      <c r="J4567" t="s">
        <v>22</v>
      </c>
      <c r="K4567">
        <v>1</v>
      </c>
      <c r="L4567" t="s">
        <v>34</v>
      </c>
      <c r="M4567" t="s">
        <v>61</v>
      </c>
      <c r="N4567" t="s">
        <v>34</v>
      </c>
      <c r="O4567">
        <v>0</v>
      </c>
      <c r="P4567" t="s">
        <v>53</v>
      </c>
      <c r="Q4567" t="s">
        <v>42</v>
      </c>
      <c r="R4567" s="1">
        <v>0.1</v>
      </c>
      <c r="S4567">
        <f t="shared" si="284"/>
        <v>0</v>
      </c>
      <c r="T4567">
        <f>IFERROR(VLOOKUP(A4567,Table1[[Customer ID]:[Discount Amount]], 6, FALSE),"Not Found")</f>
        <v>0</v>
      </c>
      <c r="U4567" t="str">
        <f t="shared" si="285"/>
        <v>Credit Card</v>
      </c>
      <c r="V4567" s="4" t="str">
        <f t="shared" si="286"/>
        <v>Normal</v>
      </c>
      <c r="W4567" s="4" t="str">
        <f t="shared" si="287"/>
        <v>Poor</v>
      </c>
      <c r="X4567" s="4">
        <f>AVERAGE(Table1[Purchase Amount])</f>
        <v>129.48419400000012</v>
      </c>
    </row>
    <row r="4568" spans="1:24" ht="15" customHeight="1" x14ac:dyDescent="0.25">
      <c r="A4568">
        <v>4666</v>
      </c>
      <c r="B4568">
        <v>35</v>
      </c>
      <c r="C4568" t="s">
        <v>16</v>
      </c>
      <c r="D4568" t="s">
        <v>80</v>
      </c>
      <c r="E4568" t="s">
        <v>29</v>
      </c>
      <c r="F4568" s="2">
        <v>0</v>
      </c>
      <c r="G4568" t="s">
        <v>139</v>
      </c>
      <c r="H4568" t="s">
        <v>31</v>
      </c>
      <c r="I4568" t="s">
        <v>46</v>
      </c>
      <c r="J4568" t="s">
        <v>75</v>
      </c>
      <c r="K4568">
        <v>5</v>
      </c>
      <c r="L4568" t="s">
        <v>23</v>
      </c>
      <c r="M4568" t="s">
        <v>61</v>
      </c>
      <c r="N4568" t="s">
        <v>23</v>
      </c>
      <c r="O4568">
        <v>41</v>
      </c>
      <c r="P4568" t="s">
        <v>36</v>
      </c>
      <c r="Q4568" t="s">
        <v>42</v>
      </c>
      <c r="R4568" s="1">
        <v>0.1</v>
      </c>
      <c r="S4568">
        <f t="shared" si="284"/>
        <v>0</v>
      </c>
      <c r="T4568">
        <f>IFERROR(VLOOKUP(A4568,Table1[[Customer ID]:[Discount Amount]], 6, FALSE),"Not Found")</f>
        <v>0</v>
      </c>
      <c r="U4568" t="str">
        <f t="shared" si="285"/>
        <v>Debit Card</v>
      </c>
      <c r="V4568" s="4" t="str">
        <f t="shared" si="286"/>
        <v>Normal</v>
      </c>
      <c r="W4568" s="4" t="str">
        <f t="shared" si="287"/>
        <v>Good</v>
      </c>
      <c r="X4568" s="4">
        <f>AVERAGE(Table1[Purchase Amount])</f>
        <v>129.48419400000012</v>
      </c>
    </row>
    <row r="4569" spans="1:24" ht="15" customHeight="1" x14ac:dyDescent="0.25">
      <c r="A4569">
        <v>4667</v>
      </c>
      <c r="B4569">
        <v>53</v>
      </c>
      <c r="C4569" t="s">
        <v>16</v>
      </c>
      <c r="D4569" t="s">
        <v>72</v>
      </c>
      <c r="E4569" t="s">
        <v>18</v>
      </c>
      <c r="F4569" s="2">
        <v>537.53</v>
      </c>
      <c r="G4569" t="s">
        <v>82</v>
      </c>
      <c r="H4569" t="s">
        <v>45</v>
      </c>
      <c r="I4569" t="s">
        <v>40</v>
      </c>
      <c r="J4569" t="s">
        <v>22</v>
      </c>
      <c r="K4569">
        <v>1</v>
      </c>
      <c r="L4569" t="s">
        <v>23</v>
      </c>
      <c r="M4569" t="s">
        <v>24</v>
      </c>
      <c r="N4569" t="s">
        <v>34</v>
      </c>
      <c r="O4569">
        <v>0</v>
      </c>
      <c r="P4569" t="s">
        <v>25</v>
      </c>
      <c r="Q4569" t="s">
        <v>42</v>
      </c>
      <c r="R4569" s="1">
        <v>0.1</v>
      </c>
      <c r="S4569">
        <f t="shared" si="284"/>
        <v>483.77699999999999</v>
      </c>
      <c r="T4569">
        <f>IFERROR(VLOOKUP(A4569,Table1[[Customer ID]:[Discount Amount]], 6, FALSE),"Not Found")</f>
        <v>537.53</v>
      </c>
      <c r="U4569" t="str">
        <f t="shared" si="285"/>
        <v>Cash</v>
      </c>
      <c r="V4569" s="4" t="str">
        <f t="shared" si="286"/>
        <v>Normal</v>
      </c>
      <c r="W4569" s="4" t="str">
        <f t="shared" si="287"/>
        <v>Poor</v>
      </c>
      <c r="X4569" s="4">
        <f>AVERAGE(Table1[Purchase Amount])</f>
        <v>129.48419400000012</v>
      </c>
    </row>
    <row r="4570" spans="1:24" ht="15" customHeight="1" x14ac:dyDescent="0.25">
      <c r="A4570">
        <v>4668</v>
      </c>
      <c r="B4570">
        <v>21</v>
      </c>
      <c r="C4570" t="s">
        <v>71</v>
      </c>
      <c r="D4570" t="s">
        <v>38</v>
      </c>
      <c r="E4570" t="s">
        <v>29</v>
      </c>
      <c r="F4570" s="2">
        <v>671.54</v>
      </c>
      <c r="G4570" t="s">
        <v>101</v>
      </c>
      <c r="H4570" t="s">
        <v>31</v>
      </c>
      <c r="I4570" t="s">
        <v>46</v>
      </c>
      <c r="J4570" t="s">
        <v>33</v>
      </c>
      <c r="K4570">
        <v>2</v>
      </c>
      <c r="L4570" t="s">
        <v>34</v>
      </c>
      <c r="M4570" t="s">
        <v>61</v>
      </c>
      <c r="N4570" t="s">
        <v>34</v>
      </c>
      <c r="O4570">
        <v>34</v>
      </c>
      <c r="P4570" t="s">
        <v>25</v>
      </c>
      <c r="Q4570" t="s">
        <v>26</v>
      </c>
      <c r="R4570" s="1">
        <v>0.1</v>
      </c>
      <c r="S4570">
        <f t="shared" si="284"/>
        <v>604.38599999999997</v>
      </c>
      <c r="T4570">
        <f>IFERROR(VLOOKUP(A4570,Table1[[Customer ID]:[Discount Amount]], 6, FALSE),"Not Found")</f>
        <v>671.54</v>
      </c>
      <c r="U4570" t="str">
        <f t="shared" si="285"/>
        <v>Cash</v>
      </c>
      <c r="V4570" s="4" t="str">
        <f t="shared" si="286"/>
        <v>Normal</v>
      </c>
      <c r="W4570" s="4" t="str">
        <f t="shared" si="287"/>
        <v>Poor</v>
      </c>
      <c r="X4570" s="4">
        <f>AVERAGE(Table1[Purchase Amount])</f>
        <v>129.48419400000012</v>
      </c>
    </row>
    <row r="4571" spans="1:24" ht="15" customHeight="1" x14ac:dyDescent="0.25">
      <c r="A4571">
        <v>4669</v>
      </c>
      <c r="B4571">
        <v>69</v>
      </c>
      <c r="C4571" t="s">
        <v>71</v>
      </c>
      <c r="D4571" t="s">
        <v>117</v>
      </c>
      <c r="E4571" t="s">
        <v>81</v>
      </c>
      <c r="F4571" s="2">
        <v>1384.7</v>
      </c>
      <c r="G4571" t="s">
        <v>101</v>
      </c>
      <c r="H4571" t="s">
        <v>31</v>
      </c>
      <c r="I4571" t="s">
        <v>93</v>
      </c>
      <c r="J4571" t="s">
        <v>75</v>
      </c>
      <c r="K4571">
        <v>1</v>
      </c>
      <c r="L4571" t="s">
        <v>34</v>
      </c>
      <c r="M4571" t="s">
        <v>24</v>
      </c>
      <c r="N4571" t="s">
        <v>23</v>
      </c>
      <c r="O4571">
        <v>47</v>
      </c>
      <c r="P4571" t="s">
        <v>58</v>
      </c>
      <c r="Q4571" t="s">
        <v>42</v>
      </c>
      <c r="R4571" s="1">
        <v>0.1</v>
      </c>
      <c r="S4571">
        <f t="shared" si="284"/>
        <v>1246.23</v>
      </c>
      <c r="T4571">
        <f>IFERROR(VLOOKUP(A4571,Table1[[Customer ID]:[Discount Amount]], 6, FALSE),"Not Found")</f>
        <v>1384.7</v>
      </c>
      <c r="U4571" t="str">
        <f t="shared" si="285"/>
        <v>PayPal</v>
      </c>
      <c r="V4571" s="4" t="str">
        <f t="shared" si="286"/>
        <v>Normal</v>
      </c>
      <c r="W4571" s="4" t="str">
        <f t="shared" si="287"/>
        <v>Poor</v>
      </c>
      <c r="X4571" s="4">
        <f>AVERAGE(Table1[Purchase Amount])</f>
        <v>129.48419400000012</v>
      </c>
    </row>
    <row r="4572" spans="1:24" ht="15" customHeight="1" x14ac:dyDescent="0.25">
      <c r="A4572">
        <v>4670</v>
      </c>
      <c r="B4572">
        <v>41</v>
      </c>
      <c r="C4572" t="s">
        <v>27</v>
      </c>
      <c r="D4572" t="s">
        <v>38</v>
      </c>
      <c r="E4572" t="s">
        <v>81</v>
      </c>
      <c r="F4572" s="2">
        <v>0</v>
      </c>
      <c r="G4572" t="s">
        <v>139</v>
      </c>
      <c r="H4572" t="s">
        <v>31</v>
      </c>
      <c r="I4572" t="s">
        <v>74</v>
      </c>
      <c r="J4572" t="s">
        <v>75</v>
      </c>
      <c r="K4572">
        <v>1</v>
      </c>
      <c r="L4572" t="s">
        <v>23</v>
      </c>
      <c r="M4572" t="s">
        <v>61</v>
      </c>
      <c r="N4572" t="s">
        <v>34</v>
      </c>
      <c r="O4572">
        <v>0</v>
      </c>
      <c r="P4572" t="s">
        <v>58</v>
      </c>
      <c r="Q4572" t="s">
        <v>37</v>
      </c>
      <c r="R4572" s="1">
        <v>0.1</v>
      </c>
      <c r="S4572">
        <f t="shared" si="284"/>
        <v>0</v>
      </c>
      <c r="T4572">
        <f>IFERROR(VLOOKUP(A4572,Table1[[Customer ID]:[Discount Amount]], 6, FALSE),"Not Found")</f>
        <v>0</v>
      </c>
      <c r="U4572" t="str">
        <f t="shared" si="285"/>
        <v>PayPal</v>
      </c>
      <c r="V4572" s="4" t="str">
        <f t="shared" si="286"/>
        <v>Normal</v>
      </c>
      <c r="W4572" s="4" t="str">
        <f t="shared" si="287"/>
        <v>Poor</v>
      </c>
      <c r="X4572" s="4">
        <f>AVERAGE(Table1[Purchase Amount])</f>
        <v>129.48419400000012</v>
      </c>
    </row>
    <row r="4573" spans="1:24" ht="15" customHeight="1" x14ac:dyDescent="0.25">
      <c r="A4573">
        <v>4671</v>
      </c>
      <c r="B4573">
        <v>43</v>
      </c>
      <c r="C4573" t="s">
        <v>71</v>
      </c>
      <c r="D4573" t="s">
        <v>116</v>
      </c>
      <c r="E4573" t="s">
        <v>29</v>
      </c>
      <c r="F4573" s="2">
        <v>183.48</v>
      </c>
      <c r="G4573" t="s">
        <v>73</v>
      </c>
      <c r="H4573" t="s">
        <v>55</v>
      </c>
      <c r="I4573" t="s">
        <v>40</v>
      </c>
      <c r="J4573" t="s">
        <v>57</v>
      </c>
      <c r="K4573">
        <v>1</v>
      </c>
      <c r="L4573" t="s">
        <v>34</v>
      </c>
      <c r="M4573" t="s">
        <v>24</v>
      </c>
      <c r="N4573" t="s">
        <v>34</v>
      </c>
      <c r="O4573">
        <v>0</v>
      </c>
      <c r="P4573" t="s">
        <v>36</v>
      </c>
      <c r="Q4573" t="s">
        <v>42</v>
      </c>
      <c r="R4573" s="1">
        <v>0.1</v>
      </c>
      <c r="S4573">
        <f t="shared" si="284"/>
        <v>165.13200000000001</v>
      </c>
      <c r="T4573">
        <f>IFERROR(VLOOKUP(A4573,Table1[[Customer ID]:[Discount Amount]], 6, FALSE),"Not Found")</f>
        <v>183.48</v>
      </c>
      <c r="U4573" t="str">
        <f t="shared" si="285"/>
        <v>Debit Card</v>
      </c>
      <c r="V4573" s="4" t="str">
        <f t="shared" si="286"/>
        <v>Normal</v>
      </c>
      <c r="W4573" s="4" t="str">
        <f t="shared" si="287"/>
        <v>Poor</v>
      </c>
      <c r="X4573" s="4">
        <f>AVERAGE(Table1[Purchase Amount])</f>
        <v>129.48419400000012</v>
      </c>
    </row>
    <row r="4574" spans="1:24" ht="15" customHeight="1" x14ac:dyDescent="0.25">
      <c r="A4574">
        <v>4672</v>
      </c>
      <c r="B4574">
        <v>53</v>
      </c>
      <c r="C4574" t="s">
        <v>71</v>
      </c>
      <c r="D4574" t="s">
        <v>95</v>
      </c>
      <c r="E4574" t="s">
        <v>18</v>
      </c>
      <c r="F4574" s="2">
        <v>620</v>
      </c>
      <c r="G4574" t="s">
        <v>139</v>
      </c>
      <c r="H4574" t="s">
        <v>20</v>
      </c>
      <c r="I4574" t="s">
        <v>93</v>
      </c>
      <c r="J4574" t="s">
        <v>75</v>
      </c>
      <c r="K4574">
        <v>1</v>
      </c>
      <c r="L4574" t="s">
        <v>34</v>
      </c>
      <c r="M4574" t="s">
        <v>24</v>
      </c>
      <c r="N4574" t="s">
        <v>34</v>
      </c>
      <c r="O4574">
        <v>11</v>
      </c>
      <c r="P4574" t="s">
        <v>25</v>
      </c>
      <c r="Q4574" t="s">
        <v>42</v>
      </c>
      <c r="R4574" s="1">
        <v>0.1</v>
      </c>
      <c r="S4574">
        <f t="shared" si="284"/>
        <v>558</v>
      </c>
      <c r="T4574">
        <f>IFERROR(VLOOKUP(A4574,Table1[[Customer ID]:[Discount Amount]], 6, FALSE),"Not Found")</f>
        <v>620</v>
      </c>
      <c r="U4574" t="str">
        <f t="shared" si="285"/>
        <v>Cash</v>
      </c>
      <c r="V4574" s="4" t="str">
        <f t="shared" si="286"/>
        <v>Normal</v>
      </c>
      <c r="W4574" s="4" t="str">
        <f t="shared" si="287"/>
        <v>Poor</v>
      </c>
      <c r="X4574" s="4">
        <f>AVERAGE(Table1[Purchase Amount])</f>
        <v>129.48419400000012</v>
      </c>
    </row>
    <row r="4575" spans="1:24" ht="15" customHeight="1" x14ac:dyDescent="0.25">
      <c r="A4575">
        <v>4673</v>
      </c>
      <c r="B4575">
        <v>19</v>
      </c>
      <c r="C4575" t="s">
        <v>71</v>
      </c>
      <c r="D4575" t="s">
        <v>112</v>
      </c>
      <c r="E4575" t="s">
        <v>81</v>
      </c>
      <c r="F4575" s="2">
        <v>0</v>
      </c>
      <c r="G4575" t="s">
        <v>126</v>
      </c>
      <c r="H4575" t="s">
        <v>31</v>
      </c>
      <c r="I4575" t="s">
        <v>32</v>
      </c>
      <c r="J4575" t="s">
        <v>22</v>
      </c>
      <c r="K4575">
        <v>1</v>
      </c>
      <c r="L4575" t="s">
        <v>34</v>
      </c>
      <c r="M4575" t="s">
        <v>61</v>
      </c>
      <c r="N4575" t="s">
        <v>23</v>
      </c>
      <c r="O4575">
        <v>38</v>
      </c>
      <c r="P4575" t="s">
        <v>25</v>
      </c>
      <c r="Q4575" t="s">
        <v>37</v>
      </c>
      <c r="R4575" s="1">
        <v>0.1</v>
      </c>
      <c r="S4575">
        <f t="shared" si="284"/>
        <v>0</v>
      </c>
      <c r="T4575">
        <f>IFERROR(VLOOKUP(A4575,Table1[[Customer ID]:[Discount Amount]], 6, FALSE),"Not Found")</f>
        <v>0</v>
      </c>
      <c r="U4575" t="str">
        <f t="shared" si="285"/>
        <v>Cash</v>
      </c>
      <c r="V4575" s="4" t="str">
        <f t="shared" si="286"/>
        <v>Normal</v>
      </c>
      <c r="W4575" s="4" t="str">
        <f t="shared" si="287"/>
        <v>Poor</v>
      </c>
      <c r="X4575" s="4">
        <f>AVERAGE(Table1[Purchase Amount])</f>
        <v>129.48419400000012</v>
      </c>
    </row>
    <row r="4576" spans="1:24" ht="15" customHeight="1" x14ac:dyDescent="0.25">
      <c r="A4576">
        <v>4674</v>
      </c>
      <c r="B4576">
        <v>21</v>
      </c>
      <c r="C4576" t="s">
        <v>16</v>
      </c>
      <c r="D4576" t="s">
        <v>95</v>
      </c>
      <c r="E4576" t="s">
        <v>81</v>
      </c>
      <c r="F4576" s="2">
        <v>310.29000000000002</v>
      </c>
      <c r="G4576" t="s">
        <v>139</v>
      </c>
      <c r="H4576" t="s">
        <v>31</v>
      </c>
      <c r="I4576" t="s">
        <v>32</v>
      </c>
      <c r="J4576" t="s">
        <v>33</v>
      </c>
      <c r="K4576">
        <v>1</v>
      </c>
      <c r="L4576" t="s">
        <v>23</v>
      </c>
      <c r="M4576" t="s">
        <v>61</v>
      </c>
      <c r="N4576" t="s">
        <v>34</v>
      </c>
      <c r="O4576">
        <v>4</v>
      </c>
      <c r="P4576" t="s">
        <v>36</v>
      </c>
      <c r="Q4576" t="s">
        <v>26</v>
      </c>
      <c r="R4576" s="1">
        <v>0.1</v>
      </c>
      <c r="S4576">
        <f t="shared" si="284"/>
        <v>279.26100000000002</v>
      </c>
      <c r="T4576">
        <f>IFERROR(VLOOKUP(A4576,Table1[[Customer ID]:[Discount Amount]], 6, FALSE),"Not Found")</f>
        <v>310.29000000000002</v>
      </c>
      <c r="U4576" t="str">
        <f t="shared" si="285"/>
        <v>Debit Card</v>
      </c>
      <c r="V4576" s="4" t="str">
        <f t="shared" si="286"/>
        <v>Normal</v>
      </c>
      <c r="W4576" s="4" t="str">
        <f t="shared" si="287"/>
        <v>Poor</v>
      </c>
      <c r="X4576" s="4">
        <f>AVERAGE(Table1[Purchase Amount])</f>
        <v>129.48419400000012</v>
      </c>
    </row>
    <row r="4577" spans="1:24" ht="15" customHeight="1" x14ac:dyDescent="0.25">
      <c r="A4577">
        <v>4675</v>
      </c>
      <c r="B4577">
        <v>70</v>
      </c>
      <c r="C4577" t="s">
        <v>16</v>
      </c>
      <c r="D4577" t="s">
        <v>117</v>
      </c>
      <c r="E4577" t="s">
        <v>18</v>
      </c>
      <c r="F4577" s="2">
        <v>0</v>
      </c>
      <c r="G4577" t="s">
        <v>101</v>
      </c>
      <c r="H4577" t="s">
        <v>20</v>
      </c>
      <c r="I4577" t="s">
        <v>40</v>
      </c>
      <c r="J4577" t="s">
        <v>33</v>
      </c>
      <c r="K4577">
        <v>1</v>
      </c>
      <c r="L4577" t="s">
        <v>23</v>
      </c>
      <c r="M4577" t="s">
        <v>61</v>
      </c>
      <c r="N4577" t="s">
        <v>23</v>
      </c>
      <c r="O4577">
        <v>0</v>
      </c>
      <c r="P4577" t="s">
        <v>36</v>
      </c>
      <c r="Q4577" t="s">
        <v>42</v>
      </c>
      <c r="R4577" s="1">
        <v>0.1</v>
      </c>
      <c r="S4577">
        <f t="shared" si="284"/>
        <v>0</v>
      </c>
      <c r="T4577">
        <f>IFERROR(VLOOKUP(A4577,Table1[[Customer ID]:[Discount Amount]], 6, FALSE),"Not Found")</f>
        <v>0</v>
      </c>
      <c r="U4577" t="str">
        <f t="shared" si="285"/>
        <v>Debit Card</v>
      </c>
      <c r="V4577" s="4" t="str">
        <f t="shared" si="286"/>
        <v>Normal</v>
      </c>
      <c r="W4577" s="4" t="str">
        <f t="shared" si="287"/>
        <v>Poor</v>
      </c>
      <c r="X4577" s="4">
        <f>AVERAGE(Table1[Purchase Amount])</f>
        <v>129.48419400000012</v>
      </c>
    </row>
    <row r="4578" spans="1:24" ht="15" customHeight="1" x14ac:dyDescent="0.25">
      <c r="A4578">
        <v>4676</v>
      </c>
      <c r="B4578">
        <v>55</v>
      </c>
      <c r="C4578" t="s">
        <v>71</v>
      </c>
      <c r="D4578" t="s">
        <v>112</v>
      </c>
      <c r="E4578" t="s">
        <v>29</v>
      </c>
      <c r="F4578" s="2">
        <v>544.69000000000005</v>
      </c>
      <c r="G4578" t="s">
        <v>73</v>
      </c>
      <c r="H4578" t="s">
        <v>55</v>
      </c>
      <c r="I4578" t="s">
        <v>40</v>
      </c>
      <c r="J4578" t="s">
        <v>75</v>
      </c>
      <c r="K4578">
        <v>2</v>
      </c>
      <c r="L4578" t="s">
        <v>34</v>
      </c>
      <c r="M4578" t="s">
        <v>24</v>
      </c>
      <c r="N4578" t="s">
        <v>34</v>
      </c>
      <c r="O4578">
        <v>0</v>
      </c>
      <c r="P4578" t="s">
        <v>25</v>
      </c>
      <c r="Q4578" t="s">
        <v>42</v>
      </c>
      <c r="R4578" s="1">
        <v>0.1</v>
      </c>
      <c r="S4578">
        <f t="shared" si="284"/>
        <v>490.22100000000006</v>
      </c>
      <c r="T4578">
        <f>IFERROR(VLOOKUP(A4578,Table1[[Customer ID]:[Discount Amount]], 6, FALSE),"Not Found")</f>
        <v>544.69000000000005</v>
      </c>
      <c r="U4578" t="str">
        <f t="shared" si="285"/>
        <v>Cash</v>
      </c>
      <c r="V4578" s="4" t="str">
        <f t="shared" si="286"/>
        <v>Normal</v>
      </c>
      <c r="W4578" s="4" t="str">
        <f t="shared" si="287"/>
        <v>Poor</v>
      </c>
      <c r="X4578" s="4">
        <f>AVERAGE(Table1[Purchase Amount])</f>
        <v>129.48419400000012</v>
      </c>
    </row>
    <row r="4579" spans="1:24" ht="15" customHeight="1" x14ac:dyDescent="0.25">
      <c r="A4579">
        <v>4677</v>
      </c>
      <c r="B4579">
        <v>41</v>
      </c>
      <c r="C4579" t="s">
        <v>16</v>
      </c>
      <c r="D4579" t="s">
        <v>95</v>
      </c>
      <c r="E4579" t="s">
        <v>29</v>
      </c>
      <c r="F4579" s="2">
        <v>0</v>
      </c>
      <c r="G4579" t="s">
        <v>82</v>
      </c>
      <c r="H4579" t="s">
        <v>45</v>
      </c>
      <c r="I4579" t="s">
        <v>32</v>
      </c>
      <c r="J4579" t="s">
        <v>75</v>
      </c>
      <c r="K4579">
        <v>1</v>
      </c>
      <c r="L4579" t="s">
        <v>23</v>
      </c>
      <c r="M4579" t="s">
        <v>24</v>
      </c>
      <c r="N4579" t="s">
        <v>23</v>
      </c>
      <c r="O4579">
        <v>9</v>
      </c>
      <c r="P4579" t="s">
        <v>53</v>
      </c>
      <c r="Q4579" t="s">
        <v>42</v>
      </c>
      <c r="R4579" s="1">
        <v>0.1</v>
      </c>
      <c r="S4579">
        <f t="shared" si="284"/>
        <v>0</v>
      </c>
      <c r="T4579">
        <f>IFERROR(VLOOKUP(A4579,Table1[[Customer ID]:[Discount Amount]], 6, FALSE),"Not Found")</f>
        <v>0</v>
      </c>
      <c r="U4579" t="str">
        <f t="shared" si="285"/>
        <v>Credit Card</v>
      </c>
      <c r="V4579" s="4" t="str">
        <f t="shared" si="286"/>
        <v>Normal</v>
      </c>
      <c r="W4579" s="4" t="str">
        <f t="shared" si="287"/>
        <v>Poor</v>
      </c>
      <c r="X4579" s="4">
        <f>AVERAGE(Table1[Purchase Amount])</f>
        <v>129.48419400000012</v>
      </c>
    </row>
    <row r="4580" spans="1:24" ht="15" customHeight="1" x14ac:dyDescent="0.25">
      <c r="A4580">
        <v>4678</v>
      </c>
      <c r="B4580">
        <v>70</v>
      </c>
      <c r="C4580" t="s">
        <v>16</v>
      </c>
      <c r="D4580" t="s">
        <v>117</v>
      </c>
      <c r="E4580" t="s">
        <v>18</v>
      </c>
      <c r="F4580" s="2">
        <v>1250.57</v>
      </c>
      <c r="G4580" t="s">
        <v>126</v>
      </c>
      <c r="H4580" t="s">
        <v>45</v>
      </c>
      <c r="I4580" t="s">
        <v>46</v>
      </c>
      <c r="J4580" t="s">
        <v>57</v>
      </c>
      <c r="K4580">
        <v>1</v>
      </c>
      <c r="L4580" t="s">
        <v>23</v>
      </c>
      <c r="M4580" t="s">
        <v>61</v>
      </c>
      <c r="N4580" t="s">
        <v>34</v>
      </c>
      <c r="O4580">
        <v>0</v>
      </c>
      <c r="P4580" t="s">
        <v>25</v>
      </c>
      <c r="Q4580" t="s">
        <v>26</v>
      </c>
      <c r="R4580" s="1">
        <v>0.1</v>
      </c>
      <c r="S4580">
        <f t="shared" si="284"/>
        <v>1125.5129999999999</v>
      </c>
      <c r="T4580">
        <f>IFERROR(VLOOKUP(A4580,Table1[[Customer ID]:[Discount Amount]], 6, FALSE),"Not Found")</f>
        <v>1250.57</v>
      </c>
      <c r="U4580" t="str">
        <f t="shared" si="285"/>
        <v>Cash</v>
      </c>
      <c r="V4580" s="4" t="str">
        <f t="shared" si="286"/>
        <v>Normal</v>
      </c>
      <c r="W4580" s="4" t="str">
        <f t="shared" si="287"/>
        <v>Poor</v>
      </c>
      <c r="X4580" s="4">
        <f>AVERAGE(Table1[Purchase Amount])</f>
        <v>129.48419400000012</v>
      </c>
    </row>
    <row r="4581" spans="1:24" ht="15" customHeight="1" x14ac:dyDescent="0.25">
      <c r="A4581">
        <v>4679</v>
      </c>
      <c r="B4581">
        <v>31</v>
      </c>
      <c r="C4581" t="s">
        <v>27</v>
      </c>
      <c r="D4581" t="s">
        <v>80</v>
      </c>
      <c r="E4581" t="s">
        <v>81</v>
      </c>
      <c r="F4581" s="2">
        <v>0</v>
      </c>
      <c r="G4581" t="s">
        <v>82</v>
      </c>
      <c r="H4581" t="s">
        <v>31</v>
      </c>
      <c r="I4581" t="s">
        <v>93</v>
      </c>
      <c r="J4581" t="s">
        <v>33</v>
      </c>
      <c r="K4581">
        <v>1</v>
      </c>
      <c r="L4581" t="s">
        <v>34</v>
      </c>
      <c r="M4581" t="s">
        <v>24</v>
      </c>
      <c r="N4581" t="s">
        <v>34</v>
      </c>
      <c r="O4581">
        <v>0</v>
      </c>
      <c r="P4581" t="s">
        <v>58</v>
      </c>
      <c r="Q4581" t="s">
        <v>42</v>
      </c>
      <c r="R4581" s="1">
        <v>0.1</v>
      </c>
      <c r="S4581">
        <f t="shared" si="284"/>
        <v>0</v>
      </c>
      <c r="T4581">
        <f>IFERROR(VLOOKUP(A4581,Table1[[Customer ID]:[Discount Amount]], 6, FALSE),"Not Found")</f>
        <v>0</v>
      </c>
      <c r="U4581" t="str">
        <f t="shared" si="285"/>
        <v>PayPal</v>
      </c>
      <c r="V4581" s="4" t="str">
        <f t="shared" si="286"/>
        <v>Normal</v>
      </c>
      <c r="W4581" s="4" t="str">
        <f t="shared" si="287"/>
        <v>Poor</v>
      </c>
      <c r="X4581" s="4">
        <f>AVERAGE(Table1[Purchase Amount])</f>
        <v>129.48419400000012</v>
      </c>
    </row>
    <row r="4582" spans="1:24" ht="15" customHeight="1" x14ac:dyDescent="0.25">
      <c r="A4582">
        <v>4680</v>
      </c>
      <c r="B4582">
        <v>25</v>
      </c>
      <c r="C4582" t="s">
        <v>16</v>
      </c>
      <c r="D4582" t="s">
        <v>38</v>
      </c>
      <c r="E4582" t="s">
        <v>18</v>
      </c>
      <c r="F4582" s="2">
        <v>560.62</v>
      </c>
      <c r="G4582" t="s">
        <v>73</v>
      </c>
      <c r="H4582" t="s">
        <v>20</v>
      </c>
      <c r="I4582" t="s">
        <v>74</v>
      </c>
      <c r="J4582" t="s">
        <v>22</v>
      </c>
      <c r="K4582">
        <v>1</v>
      </c>
      <c r="L4582" t="s">
        <v>23</v>
      </c>
      <c r="M4582" t="s">
        <v>61</v>
      </c>
      <c r="N4582" t="s">
        <v>23</v>
      </c>
      <c r="O4582">
        <v>0</v>
      </c>
      <c r="P4582" t="s">
        <v>25</v>
      </c>
      <c r="Q4582" t="s">
        <v>42</v>
      </c>
      <c r="R4582" s="1">
        <v>0.1</v>
      </c>
      <c r="S4582">
        <f t="shared" si="284"/>
        <v>504.55799999999999</v>
      </c>
      <c r="T4582">
        <f>IFERROR(VLOOKUP(A4582,Table1[[Customer ID]:[Discount Amount]], 6, FALSE),"Not Found")</f>
        <v>560.62</v>
      </c>
      <c r="U4582" t="str">
        <f t="shared" si="285"/>
        <v>Cash</v>
      </c>
      <c r="V4582" s="4" t="str">
        <f t="shared" si="286"/>
        <v>Normal</v>
      </c>
      <c r="W4582" s="4" t="str">
        <f t="shared" si="287"/>
        <v>Poor</v>
      </c>
      <c r="X4582" s="4">
        <f>AVERAGE(Table1[Purchase Amount])</f>
        <v>129.48419400000012</v>
      </c>
    </row>
    <row r="4583" spans="1:24" ht="15" customHeight="1" x14ac:dyDescent="0.25">
      <c r="A4583">
        <v>4681</v>
      </c>
      <c r="B4583">
        <v>53</v>
      </c>
      <c r="C4583" t="s">
        <v>16</v>
      </c>
      <c r="D4583" t="s">
        <v>72</v>
      </c>
      <c r="E4583" t="s">
        <v>18</v>
      </c>
      <c r="F4583" s="2">
        <v>1283.6600000000001</v>
      </c>
      <c r="G4583" t="s">
        <v>82</v>
      </c>
      <c r="H4583" t="s">
        <v>45</v>
      </c>
      <c r="I4583" t="s">
        <v>74</v>
      </c>
      <c r="J4583" t="s">
        <v>22</v>
      </c>
      <c r="K4583">
        <v>2</v>
      </c>
      <c r="L4583" t="s">
        <v>34</v>
      </c>
      <c r="M4583" t="s">
        <v>61</v>
      </c>
      <c r="N4583" t="s">
        <v>23</v>
      </c>
      <c r="O4583">
        <v>0</v>
      </c>
      <c r="P4583" t="s">
        <v>36</v>
      </c>
      <c r="Q4583" t="s">
        <v>37</v>
      </c>
      <c r="R4583" s="1">
        <v>0.1</v>
      </c>
      <c r="S4583">
        <f t="shared" si="284"/>
        <v>1155.2940000000001</v>
      </c>
      <c r="T4583">
        <f>IFERROR(VLOOKUP(A4583,Table1[[Customer ID]:[Discount Amount]], 6, FALSE),"Not Found")</f>
        <v>1283.6600000000001</v>
      </c>
      <c r="U4583" t="str">
        <f t="shared" si="285"/>
        <v>Debit Card</v>
      </c>
      <c r="V4583" s="4" t="str">
        <f t="shared" si="286"/>
        <v>Normal</v>
      </c>
      <c r="W4583" s="4" t="str">
        <f t="shared" si="287"/>
        <v>Poor</v>
      </c>
      <c r="X4583" s="4">
        <f>AVERAGE(Table1[Purchase Amount])</f>
        <v>129.48419400000012</v>
      </c>
    </row>
    <row r="4584" spans="1:24" ht="15" customHeight="1" x14ac:dyDescent="0.25">
      <c r="A4584">
        <v>4682</v>
      </c>
      <c r="B4584">
        <v>56</v>
      </c>
      <c r="C4584" t="s">
        <v>27</v>
      </c>
      <c r="D4584" t="s">
        <v>117</v>
      </c>
      <c r="E4584" t="s">
        <v>29</v>
      </c>
      <c r="F4584" s="2">
        <v>320.91000000000003</v>
      </c>
      <c r="G4584" t="s">
        <v>73</v>
      </c>
      <c r="H4584" t="s">
        <v>31</v>
      </c>
      <c r="I4584" t="s">
        <v>74</v>
      </c>
      <c r="J4584" t="s">
        <v>75</v>
      </c>
      <c r="K4584">
        <v>1</v>
      </c>
      <c r="L4584" t="s">
        <v>34</v>
      </c>
      <c r="M4584" t="s">
        <v>24</v>
      </c>
      <c r="N4584" t="s">
        <v>34</v>
      </c>
      <c r="O4584">
        <v>0</v>
      </c>
      <c r="P4584" t="s">
        <v>58</v>
      </c>
      <c r="Q4584" t="s">
        <v>42</v>
      </c>
      <c r="R4584" s="1">
        <v>0.1</v>
      </c>
      <c r="S4584">
        <f t="shared" si="284"/>
        <v>288.81900000000002</v>
      </c>
      <c r="T4584">
        <f>IFERROR(VLOOKUP(A4584,Table1[[Customer ID]:[Discount Amount]], 6, FALSE),"Not Found")</f>
        <v>320.91000000000003</v>
      </c>
      <c r="U4584" t="str">
        <f t="shared" si="285"/>
        <v>PayPal</v>
      </c>
      <c r="V4584" s="4" t="str">
        <f t="shared" si="286"/>
        <v>Normal</v>
      </c>
      <c r="W4584" s="4" t="str">
        <f t="shared" si="287"/>
        <v>Poor</v>
      </c>
      <c r="X4584" s="4">
        <f>AVERAGE(Table1[Purchase Amount])</f>
        <v>129.48419400000012</v>
      </c>
    </row>
    <row r="4585" spans="1:24" ht="15" customHeight="1" x14ac:dyDescent="0.25">
      <c r="A4585">
        <v>4683</v>
      </c>
      <c r="B4585">
        <v>46</v>
      </c>
      <c r="C4585" t="s">
        <v>16</v>
      </c>
      <c r="D4585" t="s">
        <v>80</v>
      </c>
      <c r="E4585" t="s">
        <v>18</v>
      </c>
      <c r="F4585" s="2">
        <v>0</v>
      </c>
      <c r="G4585" t="s">
        <v>82</v>
      </c>
      <c r="H4585" t="s">
        <v>31</v>
      </c>
      <c r="I4585" t="s">
        <v>93</v>
      </c>
      <c r="J4585" t="s">
        <v>33</v>
      </c>
      <c r="K4585">
        <v>1</v>
      </c>
      <c r="L4585" t="s">
        <v>23</v>
      </c>
      <c r="M4585" t="s">
        <v>24</v>
      </c>
      <c r="N4585" t="s">
        <v>34</v>
      </c>
      <c r="O4585">
        <v>0</v>
      </c>
      <c r="P4585" t="s">
        <v>36</v>
      </c>
      <c r="Q4585" t="s">
        <v>26</v>
      </c>
      <c r="R4585" s="1">
        <v>0.1</v>
      </c>
      <c r="S4585">
        <f t="shared" si="284"/>
        <v>0</v>
      </c>
      <c r="T4585">
        <f>IFERROR(VLOOKUP(A4585,Table1[[Customer ID]:[Discount Amount]], 6, FALSE),"Not Found")</f>
        <v>0</v>
      </c>
      <c r="U4585" t="str">
        <f t="shared" si="285"/>
        <v>Debit Card</v>
      </c>
      <c r="V4585" s="4" t="str">
        <f t="shared" si="286"/>
        <v>Normal</v>
      </c>
      <c r="W4585" s="4" t="str">
        <f t="shared" si="287"/>
        <v>Poor</v>
      </c>
      <c r="X4585" s="4">
        <f>AVERAGE(Table1[Purchase Amount])</f>
        <v>129.48419400000012</v>
      </c>
    </row>
    <row r="4586" spans="1:24" ht="15" customHeight="1" x14ac:dyDescent="0.25">
      <c r="A4586">
        <v>4684</v>
      </c>
      <c r="B4586">
        <v>59</v>
      </c>
      <c r="C4586" t="s">
        <v>27</v>
      </c>
      <c r="D4586" t="s">
        <v>80</v>
      </c>
      <c r="E4586" t="s">
        <v>29</v>
      </c>
      <c r="F4586" s="2">
        <v>0</v>
      </c>
      <c r="G4586" t="s">
        <v>101</v>
      </c>
      <c r="H4586" t="s">
        <v>55</v>
      </c>
      <c r="I4586" t="s">
        <v>93</v>
      </c>
      <c r="J4586" t="s">
        <v>75</v>
      </c>
      <c r="K4586">
        <v>3</v>
      </c>
      <c r="L4586" t="s">
        <v>34</v>
      </c>
      <c r="M4586" t="s">
        <v>61</v>
      </c>
      <c r="N4586" t="s">
        <v>23</v>
      </c>
      <c r="O4586">
        <v>28</v>
      </c>
      <c r="P4586" t="s">
        <v>58</v>
      </c>
      <c r="Q4586" t="s">
        <v>42</v>
      </c>
      <c r="R4586" s="1">
        <v>0.1</v>
      </c>
      <c r="S4586">
        <f t="shared" si="284"/>
        <v>0</v>
      </c>
      <c r="T4586">
        <f>IFERROR(VLOOKUP(A4586,Table1[[Customer ID]:[Discount Amount]], 6, FALSE),"Not Found")</f>
        <v>0</v>
      </c>
      <c r="U4586" t="str">
        <f t="shared" si="285"/>
        <v>PayPal</v>
      </c>
      <c r="V4586" s="4" t="str">
        <f t="shared" si="286"/>
        <v>Normal</v>
      </c>
      <c r="W4586" s="4" t="str">
        <f t="shared" si="287"/>
        <v>Good</v>
      </c>
      <c r="X4586" s="4">
        <f>AVERAGE(Table1[Purchase Amount])</f>
        <v>129.48419400000012</v>
      </c>
    </row>
    <row r="4587" spans="1:24" ht="15" customHeight="1" x14ac:dyDescent="0.25">
      <c r="A4587">
        <v>4685</v>
      </c>
      <c r="B4587">
        <v>68</v>
      </c>
      <c r="C4587" t="s">
        <v>71</v>
      </c>
      <c r="D4587" t="s">
        <v>95</v>
      </c>
      <c r="E4587" t="s">
        <v>18</v>
      </c>
      <c r="F4587" s="2">
        <v>1032.0899999999999</v>
      </c>
      <c r="G4587" t="s">
        <v>73</v>
      </c>
      <c r="H4587" t="s">
        <v>45</v>
      </c>
      <c r="I4587" t="s">
        <v>40</v>
      </c>
      <c r="J4587" t="s">
        <v>57</v>
      </c>
      <c r="K4587">
        <v>1</v>
      </c>
      <c r="L4587" t="s">
        <v>23</v>
      </c>
      <c r="M4587" t="s">
        <v>61</v>
      </c>
      <c r="N4587" t="s">
        <v>23</v>
      </c>
      <c r="O4587">
        <v>0</v>
      </c>
      <c r="P4587" t="s">
        <v>58</v>
      </c>
      <c r="Q4587" t="s">
        <v>42</v>
      </c>
      <c r="R4587" s="1">
        <v>0.1</v>
      </c>
      <c r="S4587">
        <f t="shared" si="284"/>
        <v>928.88099999999986</v>
      </c>
      <c r="T4587">
        <f>IFERROR(VLOOKUP(A4587,Table1[[Customer ID]:[Discount Amount]], 6, FALSE),"Not Found")</f>
        <v>1032.0899999999999</v>
      </c>
      <c r="U4587" t="str">
        <f t="shared" si="285"/>
        <v>PayPal</v>
      </c>
      <c r="V4587" s="4" t="str">
        <f t="shared" si="286"/>
        <v>Normal</v>
      </c>
      <c r="W4587" s="4" t="str">
        <f t="shared" si="287"/>
        <v>Poor</v>
      </c>
      <c r="X4587" s="4">
        <f>AVERAGE(Table1[Purchase Amount])</f>
        <v>129.48419400000012</v>
      </c>
    </row>
    <row r="4588" spans="1:24" ht="15" customHeight="1" x14ac:dyDescent="0.25">
      <c r="A4588">
        <v>4686</v>
      </c>
      <c r="B4588">
        <v>53</v>
      </c>
      <c r="C4588" t="s">
        <v>71</v>
      </c>
      <c r="D4588" t="s">
        <v>95</v>
      </c>
      <c r="E4588" t="s">
        <v>18</v>
      </c>
      <c r="F4588" s="2">
        <v>379.38</v>
      </c>
      <c r="G4588" t="s">
        <v>126</v>
      </c>
      <c r="H4588" t="s">
        <v>31</v>
      </c>
      <c r="I4588" t="s">
        <v>32</v>
      </c>
      <c r="J4588" t="s">
        <v>22</v>
      </c>
      <c r="K4588">
        <v>3</v>
      </c>
      <c r="L4588" t="s">
        <v>34</v>
      </c>
      <c r="M4588" t="s">
        <v>24</v>
      </c>
      <c r="N4588" t="s">
        <v>34</v>
      </c>
      <c r="O4588">
        <v>0</v>
      </c>
      <c r="P4588" t="s">
        <v>36</v>
      </c>
      <c r="Q4588" t="s">
        <v>42</v>
      </c>
      <c r="R4588" s="1">
        <v>0.1</v>
      </c>
      <c r="S4588">
        <f t="shared" si="284"/>
        <v>341.44200000000001</v>
      </c>
      <c r="T4588">
        <f>IFERROR(VLOOKUP(A4588,Table1[[Customer ID]:[Discount Amount]], 6, FALSE),"Not Found")</f>
        <v>379.38</v>
      </c>
      <c r="U4588" t="str">
        <f t="shared" si="285"/>
        <v>Debit Card</v>
      </c>
      <c r="V4588" s="4" t="str">
        <f t="shared" si="286"/>
        <v>Normal</v>
      </c>
      <c r="W4588" s="4" t="str">
        <f t="shared" si="287"/>
        <v>Good</v>
      </c>
      <c r="X4588" s="4">
        <f>AVERAGE(Table1[Purchase Amount])</f>
        <v>129.48419400000012</v>
      </c>
    </row>
    <row r="4589" spans="1:24" ht="15" customHeight="1" x14ac:dyDescent="0.25">
      <c r="A4589">
        <v>4687</v>
      </c>
      <c r="B4589">
        <v>44</v>
      </c>
      <c r="C4589" t="s">
        <v>71</v>
      </c>
      <c r="D4589" t="s">
        <v>72</v>
      </c>
      <c r="E4589" t="s">
        <v>81</v>
      </c>
      <c r="F4589" s="2">
        <v>0</v>
      </c>
      <c r="G4589" t="s">
        <v>139</v>
      </c>
      <c r="H4589" t="s">
        <v>31</v>
      </c>
      <c r="I4589" t="s">
        <v>74</v>
      </c>
      <c r="J4589" t="s">
        <v>75</v>
      </c>
      <c r="K4589">
        <v>1</v>
      </c>
      <c r="L4589" t="s">
        <v>34</v>
      </c>
      <c r="M4589" t="s">
        <v>61</v>
      </c>
      <c r="N4589" t="s">
        <v>23</v>
      </c>
      <c r="O4589">
        <v>9</v>
      </c>
      <c r="P4589" t="s">
        <v>36</v>
      </c>
      <c r="Q4589" t="s">
        <v>42</v>
      </c>
      <c r="R4589" s="1">
        <v>0.1</v>
      </c>
      <c r="S4589">
        <f t="shared" si="284"/>
        <v>0</v>
      </c>
      <c r="T4589">
        <f>IFERROR(VLOOKUP(A4589,Table1[[Customer ID]:[Discount Amount]], 6, FALSE),"Not Found")</f>
        <v>0</v>
      </c>
      <c r="U4589" t="str">
        <f t="shared" si="285"/>
        <v>Debit Card</v>
      </c>
      <c r="V4589" s="4" t="str">
        <f t="shared" si="286"/>
        <v>Normal</v>
      </c>
      <c r="W4589" s="4" t="str">
        <f t="shared" si="287"/>
        <v>Poor</v>
      </c>
      <c r="X4589" s="4">
        <f>AVERAGE(Table1[Purchase Amount])</f>
        <v>129.48419400000012</v>
      </c>
    </row>
    <row r="4590" spans="1:24" ht="15" customHeight="1" x14ac:dyDescent="0.25">
      <c r="A4590">
        <v>4688</v>
      </c>
      <c r="B4590">
        <v>61</v>
      </c>
      <c r="C4590" t="s">
        <v>16</v>
      </c>
      <c r="D4590" t="s">
        <v>117</v>
      </c>
      <c r="E4590" t="s">
        <v>81</v>
      </c>
      <c r="F4590" s="2">
        <v>0</v>
      </c>
      <c r="G4590" t="s">
        <v>126</v>
      </c>
      <c r="H4590" t="s">
        <v>31</v>
      </c>
      <c r="I4590" t="s">
        <v>40</v>
      </c>
      <c r="J4590" t="s">
        <v>22</v>
      </c>
      <c r="K4590">
        <v>4</v>
      </c>
      <c r="L4590" t="s">
        <v>23</v>
      </c>
      <c r="M4590" t="s">
        <v>24</v>
      </c>
      <c r="N4590" t="s">
        <v>23</v>
      </c>
      <c r="O4590">
        <v>40</v>
      </c>
      <c r="P4590" t="s">
        <v>53</v>
      </c>
      <c r="Q4590" t="s">
        <v>42</v>
      </c>
      <c r="R4590" s="1">
        <v>0.1</v>
      </c>
      <c r="S4590">
        <f t="shared" si="284"/>
        <v>0</v>
      </c>
      <c r="T4590">
        <f>IFERROR(VLOOKUP(A4590,Table1[[Customer ID]:[Discount Amount]], 6, FALSE),"Not Found")</f>
        <v>0</v>
      </c>
      <c r="U4590" t="str">
        <f t="shared" si="285"/>
        <v>Credit Card</v>
      </c>
      <c r="V4590" s="4" t="str">
        <f t="shared" si="286"/>
        <v>Normal</v>
      </c>
      <c r="W4590" s="4" t="str">
        <f t="shared" si="287"/>
        <v>Good</v>
      </c>
      <c r="X4590" s="4">
        <f>AVERAGE(Table1[Purchase Amount])</f>
        <v>129.48419400000012</v>
      </c>
    </row>
    <row r="4591" spans="1:24" ht="15" customHeight="1" x14ac:dyDescent="0.25">
      <c r="A4591">
        <v>4689</v>
      </c>
      <c r="B4591">
        <v>69</v>
      </c>
      <c r="C4591" t="s">
        <v>27</v>
      </c>
      <c r="D4591" t="s">
        <v>112</v>
      </c>
      <c r="E4591" t="s">
        <v>18</v>
      </c>
      <c r="F4591" s="2">
        <v>982.87</v>
      </c>
      <c r="G4591" t="s">
        <v>126</v>
      </c>
      <c r="H4591" t="s">
        <v>20</v>
      </c>
      <c r="I4591" t="s">
        <v>46</v>
      </c>
      <c r="J4591" t="s">
        <v>33</v>
      </c>
      <c r="K4591">
        <v>4</v>
      </c>
      <c r="L4591" t="s">
        <v>23</v>
      </c>
      <c r="M4591" t="s">
        <v>24</v>
      </c>
      <c r="N4591" t="s">
        <v>23</v>
      </c>
      <c r="O4591">
        <v>24</v>
      </c>
      <c r="P4591" t="s">
        <v>58</v>
      </c>
      <c r="Q4591" t="s">
        <v>42</v>
      </c>
      <c r="R4591" s="1">
        <v>0.1</v>
      </c>
      <c r="S4591">
        <f t="shared" si="284"/>
        <v>884.58299999999997</v>
      </c>
      <c r="T4591">
        <f>IFERROR(VLOOKUP(A4591,Table1[[Customer ID]:[Discount Amount]], 6, FALSE),"Not Found")</f>
        <v>982.87</v>
      </c>
      <c r="U4591" t="str">
        <f t="shared" si="285"/>
        <v>PayPal</v>
      </c>
      <c r="V4591" s="4" t="str">
        <f t="shared" si="286"/>
        <v>Normal</v>
      </c>
      <c r="W4591" s="4" t="str">
        <f t="shared" si="287"/>
        <v>Good</v>
      </c>
      <c r="X4591" s="4">
        <f>AVERAGE(Table1[Purchase Amount])</f>
        <v>129.48419400000012</v>
      </c>
    </row>
    <row r="4592" spans="1:24" ht="15" customHeight="1" x14ac:dyDescent="0.25">
      <c r="A4592">
        <v>4690</v>
      </c>
      <c r="B4592">
        <v>22</v>
      </c>
      <c r="C4592" t="s">
        <v>16</v>
      </c>
      <c r="D4592" t="s">
        <v>116</v>
      </c>
      <c r="E4592" t="s">
        <v>29</v>
      </c>
      <c r="F4592" s="2">
        <v>1122.0999999999999</v>
      </c>
      <c r="G4592" t="s">
        <v>126</v>
      </c>
      <c r="H4592" t="s">
        <v>45</v>
      </c>
      <c r="I4592" t="s">
        <v>40</v>
      </c>
      <c r="J4592" t="s">
        <v>57</v>
      </c>
      <c r="K4592">
        <v>1</v>
      </c>
      <c r="L4592" t="s">
        <v>23</v>
      </c>
      <c r="M4592" t="s">
        <v>24</v>
      </c>
      <c r="N4592" t="s">
        <v>23</v>
      </c>
      <c r="O4592">
        <v>1</v>
      </c>
      <c r="P4592" t="s">
        <v>36</v>
      </c>
      <c r="Q4592" t="s">
        <v>37</v>
      </c>
      <c r="R4592" s="1">
        <v>0.1</v>
      </c>
      <c r="S4592">
        <f t="shared" si="284"/>
        <v>1009.8899999999999</v>
      </c>
      <c r="T4592">
        <f>IFERROR(VLOOKUP(A4592,Table1[[Customer ID]:[Discount Amount]], 6, FALSE),"Not Found")</f>
        <v>1122.0999999999999</v>
      </c>
      <c r="U4592" t="str">
        <f t="shared" si="285"/>
        <v>Debit Card</v>
      </c>
      <c r="V4592" s="4" t="str">
        <f t="shared" si="286"/>
        <v>Normal</v>
      </c>
      <c r="W4592" s="4" t="str">
        <f t="shared" si="287"/>
        <v>Poor</v>
      </c>
      <c r="X4592" s="4">
        <f>AVERAGE(Table1[Purchase Amount])</f>
        <v>129.48419400000012</v>
      </c>
    </row>
    <row r="4593" spans="1:24" ht="15" customHeight="1" x14ac:dyDescent="0.25">
      <c r="A4593">
        <v>4691</v>
      </c>
      <c r="B4593">
        <v>69</v>
      </c>
      <c r="C4593" t="s">
        <v>16</v>
      </c>
      <c r="D4593" t="s">
        <v>72</v>
      </c>
      <c r="E4593" t="s">
        <v>29</v>
      </c>
      <c r="F4593" s="2">
        <v>757.7</v>
      </c>
      <c r="G4593" t="s">
        <v>73</v>
      </c>
      <c r="H4593" t="s">
        <v>55</v>
      </c>
      <c r="I4593" t="s">
        <v>40</v>
      </c>
      <c r="J4593" t="s">
        <v>22</v>
      </c>
      <c r="K4593">
        <v>4</v>
      </c>
      <c r="L4593" t="s">
        <v>23</v>
      </c>
      <c r="M4593" t="s">
        <v>24</v>
      </c>
      <c r="N4593" t="s">
        <v>23</v>
      </c>
      <c r="O4593">
        <v>35</v>
      </c>
      <c r="P4593" t="s">
        <v>25</v>
      </c>
      <c r="Q4593" t="s">
        <v>37</v>
      </c>
      <c r="R4593" s="1">
        <v>0.1</v>
      </c>
      <c r="S4593">
        <f t="shared" si="284"/>
        <v>681.93000000000006</v>
      </c>
      <c r="T4593">
        <f>IFERROR(VLOOKUP(A4593,Table1[[Customer ID]:[Discount Amount]], 6, FALSE),"Not Found")</f>
        <v>757.7</v>
      </c>
      <c r="U4593" t="str">
        <f t="shared" si="285"/>
        <v>Cash</v>
      </c>
      <c r="V4593" s="4" t="str">
        <f t="shared" si="286"/>
        <v>Normal</v>
      </c>
      <c r="W4593" s="4" t="str">
        <f t="shared" si="287"/>
        <v>Good</v>
      </c>
      <c r="X4593" s="4">
        <f>AVERAGE(Table1[Purchase Amount])</f>
        <v>129.48419400000012</v>
      </c>
    </row>
    <row r="4594" spans="1:24" ht="15" customHeight="1" x14ac:dyDescent="0.25">
      <c r="A4594">
        <v>4692</v>
      </c>
      <c r="B4594">
        <v>57</v>
      </c>
      <c r="C4594" t="s">
        <v>71</v>
      </c>
      <c r="D4594" t="s">
        <v>80</v>
      </c>
      <c r="E4594" t="s">
        <v>81</v>
      </c>
      <c r="F4594" s="2">
        <v>0</v>
      </c>
      <c r="G4594" t="s">
        <v>126</v>
      </c>
      <c r="H4594" t="s">
        <v>31</v>
      </c>
      <c r="I4594" t="s">
        <v>32</v>
      </c>
      <c r="J4594" t="s">
        <v>57</v>
      </c>
      <c r="K4594">
        <v>5</v>
      </c>
      <c r="L4594" t="s">
        <v>34</v>
      </c>
      <c r="M4594" t="s">
        <v>61</v>
      </c>
      <c r="N4594" t="s">
        <v>23</v>
      </c>
      <c r="O4594">
        <v>18</v>
      </c>
      <c r="P4594" t="s">
        <v>36</v>
      </c>
      <c r="Q4594" t="s">
        <v>26</v>
      </c>
      <c r="R4594" s="1">
        <v>0.1</v>
      </c>
      <c r="S4594">
        <f t="shared" si="284"/>
        <v>0</v>
      </c>
      <c r="T4594">
        <f>IFERROR(VLOOKUP(A4594,Table1[[Customer ID]:[Discount Amount]], 6, FALSE),"Not Found")</f>
        <v>0</v>
      </c>
      <c r="U4594" t="str">
        <f t="shared" si="285"/>
        <v>Debit Card</v>
      </c>
      <c r="V4594" s="4" t="str">
        <f t="shared" si="286"/>
        <v>Normal</v>
      </c>
      <c r="W4594" s="4" t="str">
        <f t="shared" si="287"/>
        <v>Good</v>
      </c>
      <c r="X4594" s="4">
        <f>AVERAGE(Table1[Purchase Amount])</f>
        <v>129.48419400000012</v>
      </c>
    </row>
    <row r="4595" spans="1:24" ht="15" customHeight="1" x14ac:dyDescent="0.25">
      <c r="A4595">
        <v>4693</v>
      </c>
      <c r="B4595">
        <v>60</v>
      </c>
      <c r="C4595" t="s">
        <v>27</v>
      </c>
      <c r="D4595" t="s">
        <v>95</v>
      </c>
      <c r="E4595" t="s">
        <v>81</v>
      </c>
      <c r="F4595" s="2">
        <v>915.2</v>
      </c>
      <c r="G4595" t="s">
        <v>139</v>
      </c>
      <c r="H4595" t="s">
        <v>31</v>
      </c>
      <c r="I4595" t="s">
        <v>93</v>
      </c>
      <c r="J4595" t="s">
        <v>22</v>
      </c>
      <c r="K4595">
        <v>1</v>
      </c>
      <c r="L4595" t="s">
        <v>34</v>
      </c>
      <c r="M4595" t="s">
        <v>24</v>
      </c>
      <c r="N4595" t="s">
        <v>23</v>
      </c>
      <c r="O4595">
        <v>0</v>
      </c>
      <c r="P4595" t="s">
        <v>58</v>
      </c>
      <c r="Q4595" t="s">
        <v>42</v>
      </c>
      <c r="R4595" s="1">
        <v>0.1</v>
      </c>
      <c r="S4595">
        <f t="shared" si="284"/>
        <v>823.68000000000006</v>
      </c>
      <c r="T4595">
        <f>IFERROR(VLOOKUP(A4595,Table1[[Customer ID]:[Discount Amount]], 6, FALSE),"Not Found")</f>
        <v>915.2</v>
      </c>
      <c r="U4595" t="str">
        <f t="shared" si="285"/>
        <v>PayPal</v>
      </c>
      <c r="V4595" s="4" t="str">
        <f t="shared" si="286"/>
        <v>Normal</v>
      </c>
      <c r="W4595" s="4" t="str">
        <f t="shared" si="287"/>
        <v>Poor</v>
      </c>
      <c r="X4595" s="4">
        <f>AVERAGE(Table1[Purchase Amount])</f>
        <v>129.48419400000012</v>
      </c>
    </row>
    <row r="4596" spans="1:24" ht="15" customHeight="1" x14ac:dyDescent="0.25">
      <c r="A4596">
        <v>4694</v>
      </c>
      <c r="B4596">
        <v>38</v>
      </c>
      <c r="C4596" t="s">
        <v>27</v>
      </c>
      <c r="D4596" t="s">
        <v>72</v>
      </c>
      <c r="E4596" t="s">
        <v>81</v>
      </c>
      <c r="F4596" s="2">
        <v>0</v>
      </c>
      <c r="G4596" t="s">
        <v>139</v>
      </c>
      <c r="H4596" t="s">
        <v>31</v>
      </c>
      <c r="I4596" t="s">
        <v>74</v>
      </c>
      <c r="J4596" t="s">
        <v>33</v>
      </c>
      <c r="K4596">
        <v>1</v>
      </c>
      <c r="L4596" t="s">
        <v>23</v>
      </c>
      <c r="M4596" t="s">
        <v>24</v>
      </c>
      <c r="N4596" t="s">
        <v>34</v>
      </c>
      <c r="O4596">
        <v>35</v>
      </c>
      <c r="P4596" t="s">
        <v>36</v>
      </c>
      <c r="Q4596" t="s">
        <v>26</v>
      </c>
      <c r="R4596" s="1">
        <v>0.1</v>
      </c>
      <c r="S4596">
        <f t="shared" si="284"/>
        <v>0</v>
      </c>
      <c r="T4596">
        <f>IFERROR(VLOOKUP(A4596,Table1[[Customer ID]:[Discount Amount]], 6, FALSE),"Not Found")</f>
        <v>0</v>
      </c>
      <c r="U4596" t="str">
        <f t="shared" si="285"/>
        <v>Debit Card</v>
      </c>
      <c r="V4596" s="4" t="str">
        <f t="shared" si="286"/>
        <v>Normal</v>
      </c>
      <c r="W4596" s="4" t="str">
        <f t="shared" si="287"/>
        <v>Poor</v>
      </c>
      <c r="X4596" s="4">
        <f>AVERAGE(Table1[Purchase Amount])</f>
        <v>129.48419400000012</v>
      </c>
    </row>
    <row r="4597" spans="1:24" ht="15" customHeight="1" x14ac:dyDescent="0.25">
      <c r="A4597">
        <v>4695</v>
      </c>
      <c r="B4597">
        <v>61</v>
      </c>
      <c r="C4597" t="s">
        <v>71</v>
      </c>
      <c r="D4597" t="s">
        <v>72</v>
      </c>
      <c r="E4597" t="s">
        <v>29</v>
      </c>
      <c r="F4597" s="2">
        <v>0</v>
      </c>
      <c r="G4597" t="s">
        <v>101</v>
      </c>
      <c r="H4597" t="s">
        <v>55</v>
      </c>
      <c r="I4597" t="s">
        <v>46</v>
      </c>
      <c r="J4597" t="s">
        <v>57</v>
      </c>
      <c r="K4597">
        <v>1</v>
      </c>
      <c r="L4597" t="s">
        <v>23</v>
      </c>
      <c r="M4597" t="s">
        <v>61</v>
      </c>
      <c r="N4597" t="s">
        <v>34</v>
      </c>
      <c r="O4597">
        <v>45</v>
      </c>
      <c r="P4597" t="s">
        <v>58</v>
      </c>
      <c r="Q4597" t="s">
        <v>26</v>
      </c>
      <c r="R4597" s="1">
        <v>0.1</v>
      </c>
      <c r="S4597">
        <f t="shared" si="284"/>
        <v>0</v>
      </c>
      <c r="T4597">
        <f>IFERROR(VLOOKUP(A4597,Table1[[Customer ID]:[Discount Amount]], 6, FALSE),"Not Found")</f>
        <v>0</v>
      </c>
      <c r="U4597" t="str">
        <f t="shared" si="285"/>
        <v>PayPal</v>
      </c>
      <c r="V4597" s="4" t="str">
        <f t="shared" si="286"/>
        <v>Normal</v>
      </c>
      <c r="W4597" s="4" t="str">
        <f t="shared" si="287"/>
        <v>Poor</v>
      </c>
      <c r="X4597" s="4">
        <f>AVERAGE(Table1[Purchase Amount])</f>
        <v>129.48419400000012</v>
      </c>
    </row>
    <row r="4598" spans="1:24" ht="15" customHeight="1" x14ac:dyDescent="0.25">
      <c r="A4598">
        <v>4696</v>
      </c>
      <c r="B4598">
        <v>60</v>
      </c>
      <c r="C4598" t="s">
        <v>16</v>
      </c>
      <c r="D4598" t="s">
        <v>38</v>
      </c>
      <c r="E4598" t="s">
        <v>29</v>
      </c>
      <c r="F4598" s="2">
        <v>0</v>
      </c>
      <c r="G4598" t="s">
        <v>101</v>
      </c>
      <c r="H4598" t="s">
        <v>31</v>
      </c>
      <c r="I4598" t="s">
        <v>74</v>
      </c>
      <c r="J4598" t="s">
        <v>57</v>
      </c>
      <c r="K4598">
        <v>1</v>
      </c>
      <c r="L4598" t="s">
        <v>23</v>
      </c>
      <c r="M4598" t="s">
        <v>61</v>
      </c>
      <c r="N4598" t="s">
        <v>23</v>
      </c>
      <c r="O4598">
        <v>0</v>
      </c>
      <c r="P4598" t="s">
        <v>58</v>
      </c>
      <c r="Q4598" t="s">
        <v>42</v>
      </c>
      <c r="R4598" s="1">
        <v>0.1</v>
      </c>
      <c r="S4598">
        <f t="shared" si="284"/>
        <v>0</v>
      </c>
      <c r="T4598">
        <f>IFERROR(VLOOKUP(A4598,Table1[[Customer ID]:[Discount Amount]], 6, FALSE),"Not Found")</f>
        <v>0</v>
      </c>
      <c r="U4598" t="str">
        <f t="shared" si="285"/>
        <v>PayPal</v>
      </c>
      <c r="V4598" s="4" t="str">
        <f t="shared" si="286"/>
        <v>Normal</v>
      </c>
      <c r="W4598" s="4" t="str">
        <f t="shared" si="287"/>
        <v>Poor</v>
      </c>
      <c r="X4598" s="4">
        <f>AVERAGE(Table1[Purchase Amount])</f>
        <v>129.48419400000012</v>
      </c>
    </row>
    <row r="4599" spans="1:24" ht="15" customHeight="1" x14ac:dyDescent="0.25">
      <c r="A4599">
        <v>4697</v>
      </c>
      <c r="B4599">
        <v>46</v>
      </c>
      <c r="C4599" t="s">
        <v>16</v>
      </c>
      <c r="D4599" t="s">
        <v>116</v>
      </c>
      <c r="E4599" t="s">
        <v>81</v>
      </c>
      <c r="F4599" s="2">
        <v>0</v>
      </c>
      <c r="G4599" t="s">
        <v>73</v>
      </c>
      <c r="H4599" t="s">
        <v>31</v>
      </c>
      <c r="I4599" t="s">
        <v>32</v>
      </c>
      <c r="J4599" t="s">
        <v>22</v>
      </c>
      <c r="K4599">
        <v>1</v>
      </c>
      <c r="L4599" t="s">
        <v>23</v>
      </c>
      <c r="M4599" t="s">
        <v>24</v>
      </c>
      <c r="N4599" t="s">
        <v>23</v>
      </c>
      <c r="O4599">
        <v>0</v>
      </c>
      <c r="P4599" t="s">
        <v>53</v>
      </c>
      <c r="Q4599" t="s">
        <v>26</v>
      </c>
      <c r="R4599" s="1">
        <v>0.1</v>
      </c>
      <c r="S4599">
        <f t="shared" si="284"/>
        <v>0</v>
      </c>
      <c r="T4599">
        <f>IFERROR(VLOOKUP(A4599,Table1[[Customer ID]:[Discount Amount]], 6, FALSE),"Not Found")</f>
        <v>0</v>
      </c>
      <c r="U4599" t="str">
        <f t="shared" si="285"/>
        <v>Credit Card</v>
      </c>
      <c r="V4599" s="4" t="str">
        <f t="shared" si="286"/>
        <v>Normal</v>
      </c>
      <c r="W4599" s="4" t="str">
        <f t="shared" si="287"/>
        <v>Poor</v>
      </c>
      <c r="X4599" s="4">
        <f>AVERAGE(Table1[Purchase Amount])</f>
        <v>129.48419400000012</v>
      </c>
    </row>
    <row r="4600" spans="1:24" ht="15" customHeight="1" x14ac:dyDescent="0.25">
      <c r="A4600">
        <v>4698</v>
      </c>
      <c r="B4600">
        <v>42</v>
      </c>
      <c r="C4600" t="s">
        <v>71</v>
      </c>
      <c r="D4600" t="s">
        <v>116</v>
      </c>
      <c r="E4600" t="s">
        <v>81</v>
      </c>
      <c r="F4600" s="2">
        <v>643</v>
      </c>
      <c r="G4600" t="s">
        <v>101</v>
      </c>
      <c r="H4600" t="s">
        <v>31</v>
      </c>
      <c r="I4600" t="s">
        <v>32</v>
      </c>
      <c r="J4600" t="s">
        <v>75</v>
      </c>
      <c r="K4600">
        <v>2</v>
      </c>
      <c r="L4600" t="s">
        <v>34</v>
      </c>
      <c r="M4600" t="s">
        <v>61</v>
      </c>
      <c r="N4600" t="s">
        <v>34</v>
      </c>
      <c r="O4600">
        <v>0</v>
      </c>
      <c r="P4600" t="s">
        <v>58</v>
      </c>
      <c r="Q4600" t="s">
        <v>26</v>
      </c>
      <c r="R4600" s="1">
        <v>0.1</v>
      </c>
      <c r="S4600">
        <f t="shared" si="284"/>
        <v>578.70000000000005</v>
      </c>
      <c r="T4600">
        <f>IFERROR(VLOOKUP(A4600,Table1[[Customer ID]:[Discount Amount]], 6, FALSE),"Not Found")</f>
        <v>643</v>
      </c>
      <c r="U4600" t="str">
        <f t="shared" si="285"/>
        <v>PayPal</v>
      </c>
      <c r="V4600" s="4" t="str">
        <f t="shared" si="286"/>
        <v>Normal</v>
      </c>
      <c r="W4600" s="4" t="str">
        <f t="shared" si="287"/>
        <v>Poor</v>
      </c>
      <c r="X4600" s="4">
        <f>AVERAGE(Table1[Purchase Amount])</f>
        <v>129.48419400000012</v>
      </c>
    </row>
    <row r="4601" spans="1:24" ht="15" customHeight="1" x14ac:dyDescent="0.25">
      <c r="A4601">
        <v>4699</v>
      </c>
      <c r="B4601">
        <v>45</v>
      </c>
      <c r="C4601" t="s">
        <v>16</v>
      </c>
      <c r="D4601" t="s">
        <v>72</v>
      </c>
      <c r="E4601" t="s">
        <v>18</v>
      </c>
      <c r="F4601" s="2">
        <v>0</v>
      </c>
      <c r="G4601" t="s">
        <v>139</v>
      </c>
      <c r="H4601" t="s">
        <v>45</v>
      </c>
      <c r="I4601" t="s">
        <v>74</v>
      </c>
      <c r="J4601" t="s">
        <v>33</v>
      </c>
      <c r="K4601">
        <v>1</v>
      </c>
      <c r="L4601" t="s">
        <v>23</v>
      </c>
      <c r="M4601" t="s">
        <v>24</v>
      </c>
      <c r="N4601" t="s">
        <v>23</v>
      </c>
      <c r="O4601">
        <v>0</v>
      </c>
      <c r="P4601" t="s">
        <v>36</v>
      </c>
      <c r="Q4601" t="s">
        <v>26</v>
      </c>
      <c r="R4601" s="1">
        <v>0.1</v>
      </c>
      <c r="S4601">
        <f t="shared" si="284"/>
        <v>0</v>
      </c>
      <c r="T4601">
        <f>IFERROR(VLOOKUP(A4601,Table1[[Customer ID]:[Discount Amount]], 6, FALSE),"Not Found")</f>
        <v>0</v>
      </c>
      <c r="U4601" t="str">
        <f t="shared" si="285"/>
        <v>Debit Card</v>
      </c>
      <c r="V4601" s="4" t="str">
        <f t="shared" si="286"/>
        <v>Normal</v>
      </c>
      <c r="W4601" s="4" t="str">
        <f t="shared" si="287"/>
        <v>Poor</v>
      </c>
      <c r="X4601" s="4">
        <f>AVERAGE(Table1[Purchase Amount])</f>
        <v>129.48419400000012</v>
      </c>
    </row>
    <row r="4602" spans="1:24" ht="15" customHeight="1" x14ac:dyDescent="0.25">
      <c r="A4602">
        <v>4700</v>
      </c>
      <c r="B4602">
        <v>61</v>
      </c>
      <c r="C4602" t="s">
        <v>71</v>
      </c>
      <c r="D4602" t="s">
        <v>72</v>
      </c>
      <c r="E4602" t="s">
        <v>18</v>
      </c>
      <c r="F4602" s="2">
        <v>1282.1199999999999</v>
      </c>
      <c r="G4602" t="s">
        <v>139</v>
      </c>
      <c r="H4602" t="s">
        <v>31</v>
      </c>
      <c r="I4602" t="s">
        <v>40</v>
      </c>
      <c r="J4602" t="s">
        <v>75</v>
      </c>
      <c r="K4602">
        <v>1</v>
      </c>
      <c r="L4602" t="s">
        <v>23</v>
      </c>
      <c r="M4602" t="s">
        <v>24</v>
      </c>
      <c r="N4602" t="s">
        <v>34</v>
      </c>
      <c r="O4602">
        <v>0</v>
      </c>
      <c r="P4602" t="s">
        <v>36</v>
      </c>
      <c r="Q4602" t="s">
        <v>37</v>
      </c>
      <c r="R4602" s="1">
        <v>0.1</v>
      </c>
      <c r="S4602">
        <f t="shared" si="284"/>
        <v>1153.9079999999999</v>
      </c>
      <c r="T4602">
        <f>IFERROR(VLOOKUP(A4602,Table1[[Customer ID]:[Discount Amount]], 6, FALSE),"Not Found")</f>
        <v>1282.1199999999999</v>
      </c>
      <c r="U4602" t="str">
        <f t="shared" si="285"/>
        <v>Debit Card</v>
      </c>
      <c r="V4602" s="4" t="str">
        <f t="shared" si="286"/>
        <v>Normal</v>
      </c>
      <c r="W4602" s="4" t="str">
        <f t="shared" si="287"/>
        <v>Poor</v>
      </c>
      <c r="X4602" s="4">
        <f>AVERAGE(Table1[Purchase Amount])</f>
        <v>129.48419400000012</v>
      </c>
    </row>
    <row r="4603" spans="1:24" ht="15" customHeight="1" x14ac:dyDescent="0.25">
      <c r="A4603">
        <v>4701</v>
      </c>
      <c r="B4603">
        <v>55</v>
      </c>
      <c r="C4603" t="s">
        <v>27</v>
      </c>
      <c r="D4603" t="s">
        <v>72</v>
      </c>
      <c r="E4603" t="s">
        <v>18</v>
      </c>
      <c r="F4603" s="2">
        <v>0</v>
      </c>
      <c r="G4603" t="s">
        <v>126</v>
      </c>
      <c r="H4603" t="s">
        <v>20</v>
      </c>
      <c r="I4603" t="s">
        <v>93</v>
      </c>
      <c r="J4603" t="s">
        <v>75</v>
      </c>
      <c r="K4603">
        <v>1</v>
      </c>
      <c r="L4603" t="s">
        <v>34</v>
      </c>
      <c r="M4603" t="s">
        <v>24</v>
      </c>
      <c r="N4603" t="s">
        <v>23</v>
      </c>
      <c r="O4603">
        <v>45</v>
      </c>
      <c r="P4603" t="s">
        <v>53</v>
      </c>
      <c r="Q4603" t="s">
        <v>42</v>
      </c>
      <c r="R4603" s="1">
        <v>0.1</v>
      </c>
      <c r="S4603">
        <f t="shared" si="284"/>
        <v>0</v>
      </c>
      <c r="T4603">
        <f>IFERROR(VLOOKUP(A4603,Table1[[Customer ID]:[Discount Amount]], 6, FALSE),"Not Found")</f>
        <v>0</v>
      </c>
      <c r="U4603" t="str">
        <f t="shared" si="285"/>
        <v>Credit Card</v>
      </c>
      <c r="V4603" s="4" t="str">
        <f t="shared" si="286"/>
        <v>Normal</v>
      </c>
      <c r="W4603" s="4" t="str">
        <f t="shared" si="287"/>
        <v>Poor</v>
      </c>
      <c r="X4603" s="4">
        <f>AVERAGE(Table1[Purchase Amount])</f>
        <v>129.48419400000012</v>
      </c>
    </row>
    <row r="4604" spans="1:24" ht="15" customHeight="1" x14ac:dyDescent="0.25">
      <c r="A4604">
        <v>4702</v>
      </c>
      <c r="B4604">
        <v>26</v>
      </c>
      <c r="C4604" t="s">
        <v>16</v>
      </c>
      <c r="D4604" t="s">
        <v>72</v>
      </c>
      <c r="E4604" t="s">
        <v>18</v>
      </c>
      <c r="F4604" s="2">
        <v>0</v>
      </c>
      <c r="G4604" t="s">
        <v>126</v>
      </c>
      <c r="H4604" t="s">
        <v>45</v>
      </c>
      <c r="I4604" t="s">
        <v>40</v>
      </c>
      <c r="J4604" t="s">
        <v>33</v>
      </c>
      <c r="K4604">
        <v>5</v>
      </c>
      <c r="L4604" t="s">
        <v>34</v>
      </c>
      <c r="M4604" t="s">
        <v>61</v>
      </c>
      <c r="N4604" t="s">
        <v>23</v>
      </c>
      <c r="O4604">
        <v>30</v>
      </c>
      <c r="P4604" t="s">
        <v>58</v>
      </c>
      <c r="Q4604" t="s">
        <v>42</v>
      </c>
      <c r="R4604" s="1">
        <v>0.1</v>
      </c>
      <c r="S4604">
        <f t="shared" si="284"/>
        <v>0</v>
      </c>
      <c r="T4604">
        <f>IFERROR(VLOOKUP(A4604,Table1[[Customer ID]:[Discount Amount]], 6, FALSE),"Not Found")</f>
        <v>0</v>
      </c>
      <c r="U4604" t="str">
        <f t="shared" si="285"/>
        <v>PayPal</v>
      </c>
      <c r="V4604" s="4" t="str">
        <f t="shared" si="286"/>
        <v>Normal</v>
      </c>
      <c r="W4604" s="4" t="str">
        <f t="shared" si="287"/>
        <v>Good</v>
      </c>
      <c r="X4604" s="4">
        <f>AVERAGE(Table1[Purchase Amount])</f>
        <v>129.48419400000012</v>
      </c>
    </row>
    <row r="4605" spans="1:24" ht="15" customHeight="1" x14ac:dyDescent="0.25">
      <c r="A4605">
        <v>4703</v>
      </c>
      <c r="B4605">
        <v>21</v>
      </c>
      <c r="C4605" t="s">
        <v>71</v>
      </c>
      <c r="D4605" t="s">
        <v>117</v>
      </c>
      <c r="E4605" t="s">
        <v>81</v>
      </c>
      <c r="F4605" s="2">
        <v>784.8</v>
      </c>
      <c r="G4605" t="s">
        <v>82</v>
      </c>
      <c r="H4605" t="s">
        <v>31</v>
      </c>
      <c r="I4605" t="s">
        <v>32</v>
      </c>
      <c r="J4605" t="s">
        <v>22</v>
      </c>
      <c r="K4605">
        <v>1</v>
      </c>
      <c r="L4605" t="s">
        <v>23</v>
      </c>
      <c r="M4605" t="s">
        <v>24</v>
      </c>
      <c r="N4605" t="s">
        <v>34</v>
      </c>
      <c r="O4605">
        <v>0</v>
      </c>
      <c r="P4605" t="s">
        <v>36</v>
      </c>
      <c r="Q4605" t="s">
        <v>37</v>
      </c>
      <c r="R4605" s="1">
        <v>0.1</v>
      </c>
      <c r="S4605">
        <f t="shared" si="284"/>
        <v>706.31999999999994</v>
      </c>
      <c r="T4605">
        <f>IFERROR(VLOOKUP(A4605,Table1[[Customer ID]:[Discount Amount]], 6, FALSE),"Not Found")</f>
        <v>784.8</v>
      </c>
      <c r="U4605" t="str">
        <f t="shared" si="285"/>
        <v>Debit Card</v>
      </c>
      <c r="V4605" s="4" t="str">
        <f t="shared" si="286"/>
        <v>Normal</v>
      </c>
      <c r="W4605" s="4" t="str">
        <f t="shared" si="287"/>
        <v>Poor</v>
      </c>
      <c r="X4605" s="4">
        <f>AVERAGE(Table1[Purchase Amount])</f>
        <v>129.48419400000012</v>
      </c>
    </row>
    <row r="4606" spans="1:24" ht="15" customHeight="1" x14ac:dyDescent="0.25">
      <c r="A4606">
        <v>4704</v>
      </c>
      <c r="B4606">
        <v>39</v>
      </c>
      <c r="C4606" t="s">
        <v>16</v>
      </c>
      <c r="D4606" t="s">
        <v>72</v>
      </c>
      <c r="E4606" t="s">
        <v>18</v>
      </c>
      <c r="F4606" s="2">
        <v>0</v>
      </c>
      <c r="G4606" t="s">
        <v>73</v>
      </c>
      <c r="H4606" t="s">
        <v>55</v>
      </c>
      <c r="I4606" t="s">
        <v>40</v>
      </c>
      <c r="J4606" t="s">
        <v>57</v>
      </c>
      <c r="K4606">
        <v>1</v>
      </c>
      <c r="L4606" t="s">
        <v>34</v>
      </c>
      <c r="M4606" t="s">
        <v>24</v>
      </c>
      <c r="N4606" t="s">
        <v>34</v>
      </c>
      <c r="O4606">
        <v>0</v>
      </c>
      <c r="P4606" t="s">
        <v>25</v>
      </c>
      <c r="Q4606" t="s">
        <v>42</v>
      </c>
      <c r="R4606" s="1">
        <v>0.1</v>
      </c>
      <c r="S4606">
        <f t="shared" si="284"/>
        <v>0</v>
      </c>
      <c r="T4606">
        <f>IFERROR(VLOOKUP(A4606,Table1[[Customer ID]:[Discount Amount]], 6, FALSE),"Not Found")</f>
        <v>0</v>
      </c>
      <c r="U4606" t="str">
        <f t="shared" si="285"/>
        <v>Cash</v>
      </c>
      <c r="V4606" s="4" t="str">
        <f t="shared" si="286"/>
        <v>Normal</v>
      </c>
      <c r="W4606" s="4" t="str">
        <f t="shared" si="287"/>
        <v>Poor</v>
      </c>
      <c r="X4606" s="4">
        <f>AVERAGE(Table1[Purchase Amount])</f>
        <v>129.48419400000012</v>
      </c>
    </row>
    <row r="4607" spans="1:24" ht="15" customHeight="1" x14ac:dyDescent="0.25">
      <c r="A4607">
        <v>4705</v>
      </c>
      <c r="B4607">
        <v>28</v>
      </c>
      <c r="C4607" t="s">
        <v>71</v>
      </c>
      <c r="D4607" t="s">
        <v>80</v>
      </c>
      <c r="E4607" t="s">
        <v>18</v>
      </c>
      <c r="F4607" s="2">
        <v>629.99</v>
      </c>
      <c r="G4607" t="s">
        <v>82</v>
      </c>
      <c r="H4607" t="s">
        <v>55</v>
      </c>
      <c r="I4607" t="s">
        <v>32</v>
      </c>
      <c r="J4607" t="s">
        <v>22</v>
      </c>
      <c r="K4607">
        <v>1</v>
      </c>
      <c r="L4607" t="s">
        <v>23</v>
      </c>
      <c r="M4607" t="s">
        <v>61</v>
      </c>
      <c r="N4607" t="s">
        <v>34</v>
      </c>
      <c r="O4607">
        <v>5</v>
      </c>
      <c r="P4607" t="s">
        <v>53</v>
      </c>
      <c r="Q4607" t="s">
        <v>42</v>
      </c>
      <c r="R4607" s="1">
        <v>0.1</v>
      </c>
      <c r="S4607">
        <f t="shared" si="284"/>
        <v>566.99099999999999</v>
      </c>
      <c r="T4607">
        <f>IFERROR(VLOOKUP(A4607,Table1[[Customer ID]:[Discount Amount]], 6, FALSE),"Not Found")</f>
        <v>629.99</v>
      </c>
      <c r="U4607" t="str">
        <f t="shared" si="285"/>
        <v>Credit Card</v>
      </c>
      <c r="V4607" s="4" t="str">
        <f t="shared" si="286"/>
        <v>Normal</v>
      </c>
      <c r="W4607" s="4" t="str">
        <f t="shared" si="287"/>
        <v>Poor</v>
      </c>
      <c r="X4607" s="4">
        <f>AVERAGE(Table1[Purchase Amount])</f>
        <v>129.48419400000012</v>
      </c>
    </row>
    <row r="4608" spans="1:24" ht="15" customHeight="1" x14ac:dyDescent="0.25">
      <c r="A4608">
        <v>4706</v>
      </c>
      <c r="B4608">
        <v>52</v>
      </c>
      <c r="C4608" t="s">
        <v>27</v>
      </c>
      <c r="D4608" t="s">
        <v>116</v>
      </c>
      <c r="E4608" t="s">
        <v>29</v>
      </c>
      <c r="F4608" s="2">
        <v>0</v>
      </c>
      <c r="G4608" t="s">
        <v>126</v>
      </c>
      <c r="H4608" t="s">
        <v>45</v>
      </c>
      <c r="I4608" t="s">
        <v>32</v>
      </c>
      <c r="J4608" t="s">
        <v>75</v>
      </c>
      <c r="K4608">
        <v>4</v>
      </c>
      <c r="L4608" t="s">
        <v>23</v>
      </c>
      <c r="M4608" t="s">
        <v>61</v>
      </c>
      <c r="N4608" t="s">
        <v>34</v>
      </c>
      <c r="O4608">
        <v>0</v>
      </c>
      <c r="P4608" t="s">
        <v>36</v>
      </c>
      <c r="Q4608" t="s">
        <v>42</v>
      </c>
      <c r="R4608" s="1">
        <v>0.1</v>
      </c>
      <c r="S4608">
        <f t="shared" si="284"/>
        <v>0</v>
      </c>
      <c r="T4608">
        <f>IFERROR(VLOOKUP(A4608,Table1[[Customer ID]:[Discount Amount]], 6, FALSE),"Not Found")</f>
        <v>0</v>
      </c>
      <c r="U4608" t="str">
        <f t="shared" si="285"/>
        <v>Debit Card</v>
      </c>
      <c r="V4608" s="4" t="str">
        <f t="shared" si="286"/>
        <v>Normal</v>
      </c>
      <c r="W4608" s="4" t="str">
        <f t="shared" si="287"/>
        <v>Good</v>
      </c>
      <c r="X4608" s="4">
        <f>AVERAGE(Table1[Purchase Amount])</f>
        <v>129.48419400000012</v>
      </c>
    </row>
    <row r="4609" spans="1:24" ht="15" customHeight="1" x14ac:dyDescent="0.25">
      <c r="A4609">
        <v>4707</v>
      </c>
      <c r="B4609">
        <v>65</v>
      </c>
      <c r="C4609" t="s">
        <v>71</v>
      </c>
      <c r="D4609" t="s">
        <v>117</v>
      </c>
      <c r="E4609" t="s">
        <v>18</v>
      </c>
      <c r="F4609" s="2">
        <v>0</v>
      </c>
      <c r="G4609" t="s">
        <v>139</v>
      </c>
      <c r="H4609" t="s">
        <v>55</v>
      </c>
      <c r="I4609" t="s">
        <v>40</v>
      </c>
      <c r="J4609" t="s">
        <v>57</v>
      </c>
      <c r="K4609">
        <v>2</v>
      </c>
      <c r="L4609" t="s">
        <v>34</v>
      </c>
      <c r="M4609" t="s">
        <v>61</v>
      </c>
      <c r="N4609" t="s">
        <v>23</v>
      </c>
      <c r="O4609">
        <v>0</v>
      </c>
      <c r="P4609" t="s">
        <v>25</v>
      </c>
      <c r="Q4609" t="s">
        <v>26</v>
      </c>
      <c r="R4609" s="1">
        <v>0.1</v>
      </c>
      <c r="S4609">
        <f t="shared" si="284"/>
        <v>0</v>
      </c>
      <c r="T4609">
        <f>IFERROR(VLOOKUP(A4609,Table1[[Customer ID]:[Discount Amount]], 6, FALSE),"Not Found")</f>
        <v>0</v>
      </c>
      <c r="U4609" t="str">
        <f t="shared" si="285"/>
        <v>Cash</v>
      </c>
      <c r="V4609" s="4" t="str">
        <f t="shared" si="286"/>
        <v>Normal</v>
      </c>
      <c r="W4609" s="4" t="str">
        <f t="shared" si="287"/>
        <v>Poor</v>
      </c>
      <c r="X4609" s="4">
        <f>AVERAGE(Table1[Purchase Amount])</f>
        <v>129.48419400000012</v>
      </c>
    </row>
    <row r="4610" spans="1:24" ht="15" customHeight="1" x14ac:dyDescent="0.25">
      <c r="A4610">
        <v>4708</v>
      </c>
      <c r="B4610">
        <v>33</v>
      </c>
      <c r="C4610" t="s">
        <v>16</v>
      </c>
      <c r="D4610" t="s">
        <v>112</v>
      </c>
      <c r="E4610" t="s">
        <v>81</v>
      </c>
      <c r="F4610" s="2">
        <v>0</v>
      </c>
      <c r="G4610" t="s">
        <v>101</v>
      </c>
      <c r="H4610" t="s">
        <v>31</v>
      </c>
      <c r="I4610" t="s">
        <v>93</v>
      </c>
      <c r="J4610" t="s">
        <v>22</v>
      </c>
      <c r="K4610">
        <v>4</v>
      </c>
      <c r="L4610" t="s">
        <v>34</v>
      </c>
      <c r="M4610" t="s">
        <v>24</v>
      </c>
      <c r="N4610" t="s">
        <v>34</v>
      </c>
      <c r="O4610">
        <v>31</v>
      </c>
      <c r="P4610" t="s">
        <v>36</v>
      </c>
      <c r="Q4610" t="s">
        <v>37</v>
      </c>
      <c r="R4610" s="1">
        <v>0.1</v>
      </c>
      <c r="S4610">
        <f t="shared" ref="S4610:S4673" si="288">F4610-(F4610*R4610)</f>
        <v>0</v>
      </c>
      <c r="T4610">
        <f>IFERROR(VLOOKUP(A4610,Table1[[Customer ID]:[Discount Amount]], 6, FALSE),"Not Found")</f>
        <v>0</v>
      </c>
      <c r="U4610" t="str">
        <f t="shared" ref="U4610:U4673" si="289">INDEX(P:P, MATCH(A4610, A:A, 0))</f>
        <v>Debit Card</v>
      </c>
      <c r="V4610" s="4" t="str">
        <f t="shared" ref="V4610:V4673" si="290">IF(AND(F4610&gt;1000,K4610&gt;=4),"Best Customer","Normal")</f>
        <v>Normal</v>
      </c>
      <c r="W4610" s="4" t="str">
        <f t="shared" ref="W4610:W4673" si="291">IF(K4610&gt;=3,"Good","Poor")</f>
        <v>Good</v>
      </c>
      <c r="X4610" s="4">
        <f>AVERAGE(Table1[Purchase Amount])</f>
        <v>129.48419400000012</v>
      </c>
    </row>
    <row r="4611" spans="1:24" ht="15" customHeight="1" x14ac:dyDescent="0.25">
      <c r="A4611">
        <v>4709</v>
      </c>
      <c r="B4611">
        <v>63</v>
      </c>
      <c r="C4611" t="s">
        <v>16</v>
      </c>
      <c r="D4611" t="s">
        <v>38</v>
      </c>
      <c r="E4611" t="s">
        <v>18</v>
      </c>
      <c r="F4611" s="2">
        <v>0</v>
      </c>
      <c r="G4611" t="s">
        <v>73</v>
      </c>
      <c r="H4611" t="s">
        <v>20</v>
      </c>
      <c r="I4611" t="s">
        <v>93</v>
      </c>
      <c r="J4611" t="s">
        <v>57</v>
      </c>
      <c r="K4611">
        <v>2</v>
      </c>
      <c r="L4611" t="s">
        <v>34</v>
      </c>
      <c r="M4611" t="s">
        <v>24</v>
      </c>
      <c r="N4611" t="s">
        <v>34</v>
      </c>
      <c r="O4611">
        <v>0</v>
      </c>
      <c r="P4611" t="s">
        <v>53</v>
      </c>
      <c r="Q4611" t="s">
        <v>42</v>
      </c>
      <c r="R4611" s="1">
        <v>0.1</v>
      </c>
      <c r="S4611">
        <f t="shared" si="288"/>
        <v>0</v>
      </c>
      <c r="T4611">
        <f>IFERROR(VLOOKUP(A4611,Table1[[Customer ID]:[Discount Amount]], 6, FALSE),"Not Found")</f>
        <v>0</v>
      </c>
      <c r="U4611" t="str">
        <f t="shared" si="289"/>
        <v>Credit Card</v>
      </c>
      <c r="V4611" s="4" t="str">
        <f t="shared" si="290"/>
        <v>Normal</v>
      </c>
      <c r="W4611" s="4" t="str">
        <f t="shared" si="291"/>
        <v>Poor</v>
      </c>
      <c r="X4611" s="4">
        <f>AVERAGE(Table1[Purchase Amount])</f>
        <v>129.48419400000012</v>
      </c>
    </row>
    <row r="4612" spans="1:24" ht="15" customHeight="1" x14ac:dyDescent="0.25">
      <c r="A4612">
        <v>4710</v>
      </c>
      <c r="B4612">
        <v>39</v>
      </c>
      <c r="C4612" t="s">
        <v>71</v>
      </c>
      <c r="D4612" t="s">
        <v>80</v>
      </c>
      <c r="E4612" t="s">
        <v>29</v>
      </c>
      <c r="F4612" s="2">
        <v>1298.6600000000001</v>
      </c>
      <c r="G4612" t="s">
        <v>73</v>
      </c>
      <c r="H4612" t="s">
        <v>45</v>
      </c>
      <c r="I4612" t="s">
        <v>40</v>
      </c>
      <c r="J4612" t="s">
        <v>75</v>
      </c>
      <c r="K4612">
        <v>4</v>
      </c>
      <c r="L4612" t="s">
        <v>34</v>
      </c>
      <c r="M4612" t="s">
        <v>24</v>
      </c>
      <c r="N4612" t="s">
        <v>23</v>
      </c>
      <c r="O4612">
        <v>19</v>
      </c>
      <c r="P4612" t="s">
        <v>36</v>
      </c>
      <c r="Q4612" t="s">
        <v>42</v>
      </c>
      <c r="R4612" s="1">
        <v>0.1</v>
      </c>
      <c r="S4612">
        <f t="shared" si="288"/>
        <v>1168.7940000000001</v>
      </c>
      <c r="T4612">
        <f>IFERROR(VLOOKUP(A4612,Table1[[Customer ID]:[Discount Amount]], 6, FALSE),"Not Found")</f>
        <v>1298.6600000000001</v>
      </c>
      <c r="U4612" t="str">
        <f t="shared" si="289"/>
        <v>Debit Card</v>
      </c>
      <c r="V4612" s="4" t="str">
        <f t="shared" si="290"/>
        <v>Best Customer</v>
      </c>
      <c r="W4612" s="4" t="str">
        <f t="shared" si="291"/>
        <v>Good</v>
      </c>
      <c r="X4612" s="4">
        <f>AVERAGE(Table1[Purchase Amount])</f>
        <v>129.48419400000012</v>
      </c>
    </row>
    <row r="4613" spans="1:24" ht="15" customHeight="1" x14ac:dyDescent="0.25">
      <c r="A4613">
        <v>4711</v>
      </c>
      <c r="B4613">
        <v>63</v>
      </c>
      <c r="C4613" t="s">
        <v>27</v>
      </c>
      <c r="D4613" t="s">
        <v>117</v>
      </c>
      <c r="E4613" t="s">
        <v>18</v>
      </c>
      <c r="F4613" s="2">
        <v>722.83</v>
      </c>
      <c r="G4613" t="s">
        <v>126</v>
      </c>
      <c r="H4613" t="s">
        <v>31</v>
      </c>
      <c r="I4613" t="s">
        <v>40</v>
      </c>
      <c r="J4613" t="s">
        <v>22</v>
      </c>
      <c r="K4613">
        <v>1</v>
      </c>
      <c r="L4613" t="s">
        <v>23</v>
      </c>
      <c r="M4613" t="s">
        <v>24</v>
      </c>
      <c r="N4613" t="s">
        <v>34</v>
      </c>
      <c r="O4613">
        <v>0</v>
      </c>
      <c r="P4613" t="s">
        <v>58</v>
      </c>
      <c r="Q4613" t="s">
        <v>37</v>
      </c>
      <c r="R4613" s="1">
        <v>0.1</v>
      </c>
      <c r="S4613">
        <f t="shared" si="288"/>
        <v>650.54700000000003</v>
      </c>
      <c r="T4613">
        <f>IFERROR(VLOOKUP(A4613,Table1[[Customer ID]:[Discount Amount]], 6, FALSE),"Not Found")</f>
        <v>722.83</v>
      </c>
      <c r="U4613" t="str">
        <f t="shared" si="289"/>
        <v>PayPal</v>
      </c>
      <c r="V4613" s="4" t="str">
        <f t="shared" si="290"/>
        <v>Normal</v>
      </c>
      <c r="W4613" s="4" t="str">
        <f t="shared" si="291"/>
        <v>Poor</v>
      </c>
      <c r="X4613" s="4">
        <f>AVERAGE(Table1[Purchase Amount])</f>
        <v>129.48419400000012</v>
      </c>
    </row>
    <row r="4614" spans="1:24" ht="15" customHeight="1" x14ac:dyDescent="0.25">
      <c r="A4614">
        <v>4712</v>
      </c>
      <c r="B4614">
        <v>60</v>
      </c>
      <c r="C4614" t="s">
        <v>27</v>
      </c>
      <c r="D4614" t="s">
        <v>80</v>
      </c>
      <c r="E4614" t="s">
        <v>18</v>
      </c>
      <c r="F4614" s="2">
        <v>95.15</v>
      </c>
      <c r="G4614" t="s">
        <v>139</v>
      </c>
      <c r="H4614" t="s">
        <v>55</v>
      </c>
      <c r="I4614" t="s">
        <v>46</v>
      </c>
      <c r="J4614" t="s">
        <v>57</v>
      </c>
      <c r="K4614">
        <v>1</v>
      </c>
      <c r="L4614" t="s">
        <v>23</v>
      </c>
      <c r="M4614" t="s">
        <v>24</v>
      </c>
      <c r="N4614" t="s">
        <v>23</v>
      </c>
      <c r="O4614">
        <v>16</v>
      </c>
      <c r="P4614" t="s">
        <v>25</v>
      </c>
      <c r="Q4614" t="s">
        <v>42</v>
      </c>
      <c r="R4614" s="1">
        <v>0.1</v>
      </c>
      <c r="S4614">
        <f t="shared" si="288"/>
        <v>85.635000000000005</v>
      </c>
      <c r="T4614">
        <f>IFERROR(VLOOKUP(A4614,Table1[[Customer ID]:[Discount Amount]], 6, FALSE),"Not Found")</f>
        <v>95.15</v>
      </c>
      <c r="U4614" t="str">
        <f t="shared" si="289"/>
        <v>Cash</v>
      </c>
      <c r="V4614" s="4" t="str">
        <f t="shared" si="290"/>
        <v>Normal</v>
      </c>
      <c r="W4614" s="4" t="str">
        <f t="shared" si="291"/>
        <v>Poor</v>
      </c>
      <c r="X4614" s="4">
        <f>AVERAGE(Table1[Purchase Amount])</f>
        <v>129.48419400000012</v>
      </c>
    </row>
    <row r="4615" spans="1:24" ht="15" customHeight="1" x14ac:dyDescent="0.25">
      <c r="A4615">
        <v>4713</v>
      </c>
      <c r="B4615">
        <v>23</v>
      </c>
      <c r="C4615" t="s">
        <v>27</v>
      </c>
      <c r="D4615" t="s">
        <v>116</v>
      </c>
      <c r="E4615" t="s">
        <v>18</v>
      </c>
      <c r="F4615" s="2">
        <v>0</v>
      </c>
      <c r="G4615" t="s">
        <v>82</v>
      </c>
      <c r="H4615" t="s">
        <v>20</v>
      </c>
      <c r="I4615" t="s">
        <v>93</v>
      </c>
      <c r="J4615" t="s">
        <v>22</v>
      </c>
      <c r="K4615">
        <v>1</v>
      </c>
      <c r="L4615" t="s">
        <v>23</v>
      </c>
      <c r="M4615" t="s">
        <v>24</v>
      </c>
      <c r="N4615" t="s">
        <v>34</v>
      </c>
      <c r="O4615">
        <v>24</v>
      </c>
      <c r="P4615" t="s">
        <v>36</v>
      </c>
      <c r="Q4615" t="s">
        <v>26</v>
      </c>
      <c r="R4615" s="1">
        <v>0.1</v>
      </c>
      <c r="S4615">
        <f t="shared" si="288"/>
        <v>0</v>
      </c>
      <c r="T4615">
        <f>IFERROR(VLOOKUP(A4615,Table1[[Customer ID]:[Discount Amount]], 6, FALSE),"Not Found")</f>
        <v>0</v>
      </c>
      <c r="U4615" t="str">
        <f t="shared" si="289"/>
        <v>Debit Card</v>
      </c>
      <c r="V4615" s="4" t="str">
        <f t="shared" si="290"/>
        <v>Normal</v>
      </c>
      <c r="W4615" s="4" t="str">
        <f t="shared" si="291"/>
        <v>Poor</v>
      </c>
      <c r="X4615" s="4">
        <f>AVERAGE(Table1[Purchase Amount])</f>
        <v>129.48419400000012</v>
      </c>
    </row>
    <row r="4616" spans="1:24" ht="15" customHeight="1" x14ac:dyDescent="0.25">
      <c r="A4616">
        <v>4714</v>
      </c>
      <c r="B4616">
        <v>55</v>
      </c>
      <c r="C4616" t="s">
        <v>16</v>
      </c>
      <c r="D4616" t="s">
        <v>95</v>
      </c>
      <c r="E4616" t="s">
        <v>81</v>
      </c>
      <c r="F4616" s="2">
        <v>0</v>
      </c>
      <c r="G4616" t="s">
        <v>126</v>
      </c>
      <c r="H4616" t="s">
        <v>31</v>
      </c>
      <c r="I4616" t="s">
        <v>40</v>
      </c>
      <c r="J4616" t="s">
        <v>75</v>
      </c>
      <c r="K4616">
        <v>1</v>
      </c>
      <c r="L4616" t="s">
        <v>23</v>
      </c>
      <c r="M4616" t="s">
        <v>61</v>
      </c>
      <c r="N4616" t="s">
        <v>23</v>
      </c>
      <c r="O4616">
        <v>0</v>
      </c>
      <c r="P4616" t="s">
        <v>53</v>
      </c>
      <c r="Q4616" t="s">
        <v>42</v>
      </c>
      <c r="R4616" s="1">
        <v>0.1</v>
      </c>
      <c r="S4616">
        <f t="shared" si="288"/>
        <v>0</v>
      </c>
      <c r="T4616">
        <f>IFERROR(VLOOKUP(A4616,Table1[[Customer ID]:[Discount Amount]], 6, FALSE),"Not Found")</f>
        <v>0</v>
      </c>
      <c r="U4616" t="str">
        <f t="shared" si="289"/>
        <v>Credit Card</v>
      </c>
      <c r="V4616" s="4" t="str">
        <f t="shared" si="290"/>
        <v>Normal</v>
      </c>
      <c r="W4616" s="4" t="str">
        <f t="shared" si="291"/>
        <v>Poor</v>
      </c>
      <c r="X4616" s="4">
        <f>AVERAGE(Table1[Purchase Amount])</f>
        <v>129.48419400000012</v>
      </c>
    </row>
    <row r="4617" spans="1:24" ht="15" customHeight="1" x14ac:dyDescent="0.25">
      <c r="A4617">
        <v>4715</v>
      </c>
      <c r="B4617">
        <v>53</v>
      </c>
      <c r="C4617" t="s">
        <v>16</v>
      </c>
      <c r="D4617" t="s">
        <v>95</v>
      </c>
      <c r="E4617" t="s">
        <v>29</v>
      </c>
      <c r="F4617" s="2">
        <v>0</v>
      </c>
      <c r="G4617" t="s">
        <v>73</v>
      </c>
      <c r="H4617" t="s">
        <v>55</v>
      </c>
      <c r="I4617" t="s">
        <v>32</v>
      </c>
      <c r="J4617" t="s">
        <v>22</v>
      </c>
      <c r="K4617">
        <v>3</v>
      </c>
      <c r="L4617" t="s">
        <v>34</v>
      </c>
      <c r="M4617" t="s">
        <v>61</v>
      </c>
      <c r="N4617" t="s">
        <v>34</v>
      </c>
      <c r="O4617">
        <v>0</v>
      </c>
      <c r="P4617" t="s">
        <v>36</v>
      </c>
      <c r="Q4617" t="s">
        <v>37</v>
      </c>
      <c r="R4617" s="1">
        <v>0.1</v>
      </c>
      <c r="S4617">
        <f t="shared" si="288"/>
        <v>0</v>
      </c>
      <c r="T4617">
        <f>IFERROR(VLOOKUP(A4617,Table1[[Customer ID]:[Discount Amount]], 6, FALSE),"Not Found")</f>
        <v>0</v>
      </c>
      <c r="U4617" t="str">
        <f t="shared" si="289"/>
        <v>Debit Card</v>
      </c>
      <c r="V4617" s="4" t="str">
        <f t="shared" si="290"/>
        <v>Normal</v>
      </c>
      <c r="W4617" s="4" t="str">
        <f t="shared" si="291"/>
        <v>Good</v>
      </c>
      <c r="X4617" s="4">
        <f>AVERAGE(Table1[Purchase Amount])</f>
        <v>129.48419400000012</v>
      </c>
    </row>
    <row r="4618" spans="1:24" ht="15" customHeight="1" x14ac:dyDescent="0.25">
      <c r="A4618">
        <v>4716</v>
      </c>
      <c r="B4618">
        <v>70</v>
      </c>
      <c r="C4618" t="s">
        <v>71</v>
      </c>
      <c r="D4618" t="s">
        <v>38</v>
      </c>
      <c r="E4618" t="s">
        <v>18</v>
      </c>
      <c r="F4618" s="2">
        <v>1352.6</v>
      </c>
      <c r="G4618" t="s">
        <v>101</v>
      </c>
      <c r="H4618" t="s">
        <v>31</v>
      </c>
      <c r="I4618" t="s">
        <v>40</v>
      </c>
      <c r="J4618" t="s">
        <v>75</v>
      </c>
      <c r="K4618">
        <v>4</v>
      </c>
      <c r="L4618" t="s">
        <v>23</v>
      </c>
      <c r="M4618" t="s">
        <v>61</v>
      </c>
      <c r="N4618" t="s">
        <v>34</v>
      </c>
      <c r="O4618">
        <v>0</v>
      </c>
      <c r="P4618" t="s">
        <v>36</v>
      </c>
      <c r="Q4618" t="s">
        <v>26</v>
      </c>
      <c r="R4618" s="1">
        <v>0.1</v>
      </c>
      <c r="S4618">
        <f t="shared" si="288"/>
        <v>1217.3399999999999</v>
      </c>
      <c r="T4618">
        <f>IFERROR(VLOOKUP(A4618,Table1[[Customer ID]:[Discount Amount]], 6, FALSE),"Not Found")</f>
        <v>1352.6</v>
      </c>
      <c r="U4618" t="str">
        <f t="shared" si="289"/>
        <v>Debit Card</v>
      </c>
      <c r="V4618" s="4" t="str">
        <f t="shared" si="290"/>
        <v>Best Customer</v>
      </c>
      <c r="W4618" s="4" t="str">
        <f t="shared" si="291"/>
        <v>Good</v>
      </c>
      <c r="X4618" s="4">
        <f>AVERAGE(Table1[Purchase Amount])</f>
        <v>129.48419400000012</v>
      </c>
    </row>
    <row r="4619" spans="1:24" ht="15" customHeight="1" x14ac:dyDescent="0.25">
      <c r="A4619">
        <v>4717</v>
      </c>
      <c r="B4619">
        <v>38</v>
      </c>
      <c r="C4619" t="s">
        <v>16</v>
      </c>
      <c r="D4619" t="s">
        <v>38</v>
      </c>
      <c r="E4619" t="s">
        <v>81</v>
      </c>
      <c r="F4619" s="2">
        <v>0</v>
      </c>
      <c r="G4619" t="s">
        <v>101</v>
      </c>
      <c r="H4619" t="s">
        <v>31</v>
      </c>
      <c r="I4619" t="s">
        <v>40</v>
      </c>
      <c r="J4619" t="s">
        <v>75</v>
      </c>
      <c r="K4619">
        <v>4</v>
      </c>
      <c r="L4619" t="s">
        <v>34</v>
      </c>
      <c r="M4619" t="s">
        <v>24</v>
      </c>
      <c r="N4619" t="s">
        <v>34</v>
      </c>
      <c r="O4619">
        <v>0</v>
      </c>
      <c r="P4619" t="s">
        <v>25</v>
      </c>
      <c r="Q4619" t="s">
        <v>37</v>
      </c>
      <c r="R4619" s="1">
        <v>0.1</v>
      </c>
      <c r="S4619">
        <f t="shared" si="288"/>
        <v>0</v>
      </c>
      <c r="T4619">
        <f>IFERROR(VLOOKUP(A4619,Table1[[Customer ID]:[Discount Amount]], 6, FALSE),"Not Found")</f>
        <v>0</v>
      </c>
      <c r="U4619" t="str">
        <f t="shared" si="289"/>
        <v>Cash</v>
      </c>
      <c r="V4619" s="4" t="str">
        <f t="shared" si="290"/>
        <v>Normal</v>
      </c>
      <c r="W4619" s="4" t="str">
        <f t="shared" si="291"/>
        <v>Good</v>
      </c>
      <c r="X4619" s="4">
        <f>AVERAGE(Table1[Purchase Amount])</f>
        <v>129.48419400000012</v>
      </c>
    </row>
    <row r="4620" spans="1:24" ht="15" customHeight="1" x14ac:dyDescent="0.25">
      <c r="A4620">
        <v>4718</v>
      </c>
      <c r="B4620">
        <v>30</v>
      </c>
      <c r="C4620" t="s">
        <v>71</v>
      </c>
      <c r="D4620" t="s">
        <v>95</v>
      </c>
      <c r="E4620" t="s">
        <v>18</v>
      </c>
      <c r="F4620" s="2">
        <v>0</v>
      </c>
      <c r="G4620" t="s">
        <v>82</v>
      </c>
      <c r="H4620" t="s">
        <v>55</v>
      </c>
      <c r="I4620" t="s">
        <v>74</v>
      </c>
      <c r="J4620" t="s">
        <v>22</v>
      </c>
      <c r="K4620">
        <v>1</v>
      </c>
      <c r="L4620" t="s">
        <v>23</v>
      </c>
      <c r="M4620" t="s">
        <v>61</v>
      </c>
      <c r="N4620" t="s">
        <v>23</v>
      </c>
      <c r="O4620">
        <v>0</v>
      </c>
      <c r="P4620" t="s">
        <v>25</v>
      </c>
      <c r="Q4620" t="s">
        <v>26</v>
      </c>
      <c r="R4620" s="1">
        <v>0.1</v>
      </c>
      <c r="S4620">
        <f t="shared" si="288"/>
        <v>0</v>
      </c>
      <c r="T4620">
        <f>IFERROR(VLOOKUP(A4620,Table1[[Customer ID]:[Discount Amount]], 6, FALSE),"Not Found")</f>
        <v>0</v>
      </c>
      <c r="U4620" t="str">
        <f t="shared" si="289"/>
        <v>Cash</v>
      </c>
      <c r="V4620" s="4" t="str">
        <f t="shared" si="290"/>
        <v>Normal</v>
      </c>
      <c r="W4620" s="4" t="str">
        <f t="shared" si="291"/>
        <v>Poor</v>
      </c>
      <c r="X4620" s="4">
        <f>AVERAGE(Table1[Purchase Amount])</f>
        <v>129.48419400000012</v>
      </c>
    </row>
    <row r="4621" spans="1:24" ht="15" customHeight="1" x14ac:dyDescent="0.25">
      <c r="A4621">
        <v>4719</v>
      </c>
      <c r="B4621">
        <v>54</v>
      </c>
      <c r="C4621" t="s">
        <v>16</v>
      </c>
      <c r="D4621" t="s">
        <v>112</v>
      </c>
      <c r="E4621" t="s">
        <v>81</v>
      </c>
      <c r="F4621" s="2">
        <v>1144.77</v>
      </c>
      <c r="G4621" t="s">
        <v>101</v>
      </c>
      <c r="H4621" t="s">
        <v>31</v>
      </c>
      <c r="I4621" t="s">
        <v>93</v>
      </c>
      <c r="J4621" t="s">
        <v>57</v>
      </c>
      <c r="K4621">
        <v>1</v>
      </c>
      <c r="L4621" t="s">
        <v>34</v>
      </c>
      <c r="M4621" t="s">
        <v>61</v>
      </c>
      <c r="N4621" t="s">
        <v>23</v>
      </c>
      <c r="O4621">
        <v>9</v>
      </c>
      <c r="P4621" t="s">
        <v>53</v>
      </c>
      <c r="Q4621" t="s">
        <v>26</v>
      </c>
      <c r="R4621" s="1">
        <v>0.1</v>
      </c>
      <c r="S4621">
        <f t="shared" si="288"/>
        <v>1030.2929999999999</v>
      </c>
      <c r="T4621">
        <f>IFERROR(VLOOKUP(A4621,Table1[[Customer ID]:[Discount Amount]], 6, FALSE),"Not Found")</f>
        <v>1144.77</v>
      </c>
      <c r="U4621" t="str">
        <f t="shared" si="289"/>
        <v>Credit Card</v>
      </c>
      <c r="V4621" s="4" t="str">
        <f t="shared" si="290"/>
        <v>Normal</v>
      </c>
      <c r="W4621" s="4" t="str">
        <f t="shared" si="291"/>
        <v>Poor</v>
      </c>
      <c r="X4621" s="4">
        <f>AVERAGE(Table1[Purchase Amount])</f>
        <v>129.48419400000012</v>
      </c>
    </row>
    <row r="4622" spans="1:24" ht="15" customHeight="1" x14ac:dyDescent="0.25">
      <c r="A4622">
        <v>4720</v>
      </c>
      <c r="B4622">
        <v>69</v>
      </c>
      <c r="C4622" t="s">
        <v>27</v>
      </c>
      <c r="D4622" t="s">
        <v>112</v>
      </c>
      <c r="E4622" t="s">
        <v>18</v>
      </c>
      <c r="F4622" s="2">
        <v>611.08000000000004</v>
      </c>
      <c r="G4622" t="s">
        <v>101</v>
      </c>
      <c r="H4622" t="s">
        <v>20</v>
      </c>
      <c r="I4622" t="s">
        <v>40</v>
      </c>
      <c r="J4622" t="s">
        <v>57</v>
      </c>
      <c r="K4622">
        <v>1</v>
      </c>
      <c r="L4622" t="s">
        <v>23</v>
      </c>
      <c r="M4622" t="s">
        <v>24</v>
      </c>
      <c r="N4622" t="s">
        <v>23</v>
      </c>
      <c r="O4622">
        <v>46</v>
      </c>
      <c r="P4622" t="s">
        <v>58</v>
      </c>
      <c r="Q4622" t="s">
        <v>26</v>
      </c>
      <c r="R4622" s="1">
        <v>0.1</v>
      </c>
      <c r="S4622">
        <f t="shared" si="288"/>
        <v>549.97199999999998</v>
      </c>
      <c r="T4622">
        <f>IFERROR(VLOOKUP(A4622,Table1[[Customer ID]:[Discount Amount]], 6, FALSE),"Not Found")</f>
        <v>611.08000000000004</v>
      </c>
      <c r="U4622" t="str">
        <f t="shared" si="289"/>
        <v>PayPal</v>
      </c>
      <c r="V4622" s="4" t="str">
        <f t="shared" si="290"/>
        <v>Normal</v>
      </c>
      <c r="W4622" s="4" t="str">
        <f t="shared" si="291"/>
        <v>Poor</v>
      </c>
      <c r="X4622" s="4">
        <f>AVERAGE(Table1[Purchase Amount])</f>
        <v>129.48419400000012</v>
      </c>
    </row>
    <row r="4623" spans="1:24" ht="15" customHeight="1" x14ac:dyDescent="0.25">
      <c r="A4623">
        <v>4721</v>
      </c>
      <c r="B4623">
        <v>54</v>
      </c>
      <c r="C4623" t="s">
        <v>27</v>
      </c>
      <c r="D4623" t="s">
        <v>95</v>
      </c>
      <c r="E4623" t="s">
        <v>81</v>
      </c>
      <c r="F4623" s="2">
        <v>726.15</v>
      </c>
      <c r="G4623" t="s">
        <v>139</v>
      </c>
      <c r="H4623" t="s">
        <v>31</v>
      </c>
      <c r="I4623" t="s">
        <v>93</v>
      </c>
      <c r="J4623" t="s">
        <v>57</v>
      </c>
      <c r="K4623">
        <v>1</v>
      </c>
      <c r="L4623" t="s">
        <v>34</v>
      </c>
      <c r="M4623" t="s">
        <v>61</v>
      </c>
      <c r="N4623" t="s">
        <v>34</v>
      </c>
      <c r="O4623">
        <v>0</v>
      </c>
      <c r="P4623" t="s">
        <v>25</v>
      </c>
      <c r="Q4623" t="s">
        <v>37</v>
      </c>
      <c r="R4623" s="1">
        <v>0.1</v>
      </c>
      <c r="S4623">
        <f t="shared" si="288"/>
        <v>653.53499999999997</v>
      </c>
      <c r="T4623">
        <f>IFERROR(VLOOKUP(A4623,Table1[[Customer ID]:[Discount Amount]], 6, FALSE),"Not Found")</f>
        <v>726.15</v>
      </c>
      <c r="U4623" t="str">
        <f t="shared" si="289"/>
        <v>Cash</v>
      </c>
      <c r="V4623" s="4" t="str">
        <f t="shared" si="290"/>
        <v>Normal</v>
      </c>
      <c r="W4623" s="4" t="str">
        <f t="shared" si="291"/>
        <v>Poor</v>
      </c>
      <c r="X4623" s="4">
        <f>AVERAGE(Table1[Purchase Amount])</f>
        <v>129.48419400000012</v>
      </c>
    </row>
    <row r="4624" spans="1:24" ht="15" customHeight="1" x14ac:dyDescent="0.25">
      <c r="A4624">
        <v>4722</v>
      </c>
      <c r="B4624">
        <v>47</v>
      </c>
      <c r="C4624" t="s">
        <v>16</v>
      </c>
      <c r="D4624" t="s">
        <v>72</v>
      </c>
      <c r="E4624" t="s">
        <v>18</v>
      </c>
      <c r="F4624" s="2">
        <v>1151.72</v>
      </c>
      <c r="G4624" t="s">
        <v>82</v>
      </c>
      <c r="H4624" t="s">
        <v>20</v>
      </c>
      <c r="I4624" t="s">
        <v>74</v>
      </c>
      <c r="J4624" t="s">
        <v>75</v>
      </c>
      <c r="K4624">
        <v>2</v>
      </c>
      <c r="L4624" t="s">
        <v>23</v>
      </c>
      <c r="M4624" t="s">
        <v>61</v>
      </c>
      <c r="N4624" t="s">
        <v>34</v>
      </c>
      <c r="O4624">
        <v>0</v>
      </c>
      <c r="P4624" t="s">
        <v>53</v>
      </c>
      <c r="Q4624" t="s">
        <v>42</v>
      </c>
      <c r="R4624" s="1">
        <v>0.1</v>
      </c>
      <c r="S4624">
        <f t="shared" si="288"/>
        <v>1036.548</v>
      </c>
      <c r="T4624">
        <f>IFERROR(VLOOKUP(A4624,Table1[[Customer ID]:[Discount Amount]], 6, FALSE),"Not Found")</f>
        <v>1151.72</v>
      </c>
      <c r="U4624" t="str">
        <f t="shared" si="289"/>
        <v>Credit Card</v>
      </c>
      <c r="V4624" s="4" t="str">
        <f t="shared" si="290"/>
        <v>Normal</v>
      </c>
      <c r="W4624" s="4" t="str">
        <f t="shared" si="291"/>
        <v>Poor</v>
      </c>
      <c r="X4624" s="4">
        <f>AVERAGE(Table1[Purchase Amount])</f>
        <v>129.48419400000012</v>
      </c>
    </row>
    <row r="4625" spans="1:24" ht="15" customHeight="1" x14ac:dyDescent="0.25">
      <c r="A4625">
        <v>4723</v>
      </c>
      <c r="B4625">
        <v>70</v>
      </c>
      <c r="C4625" t="s">
        <v>16</v>
      </c>
      <c r="D4625" t="s">
        <v>80</v>
      </c>
      <c r="E4625" t="s">
        <v>29</v>
      </c>
      <c r="F4625" s="2">
        <v>1135.07</v>
      </c>
      <c r="G4625" t="s">
        <v>73</v>
      </c>
      <c r="H4625" t="s">
        <v>31</v>
      </c>
      <c r="I4625" t="s">
        <v>40</v>
      </c>
      <c r="J4625" t="s">
        <v>33</v>
      </c>
      <c r="K4625">
        <v>1</v>
      </c>
      <c r="L4625" t="s">
        <v>34</v>
      </c>
      <c r="M4625" t="s">
        <v>61</v>
      </c>
      <c r="N4625" t="s">
        <v>34</v>
      </c>
      <c r="O4625">
        <v>45</v>
      </c>
      <c r="P4625" t="s">
        <v>58</v>
      </c>
      <c r="Q4625" t="s">
        <v>42</v>
      </c>
      <c r="R4625" s="1">
        <v>0.1</v>
      </c>
      <c r="S4625">
        <f t="shared" si="288"/>
        <v>1021.5629999999999</v>
      </c>
      <c r="T4625">
        <f>IFERROR(VLOOKUP(A4625,Table1[[Customer ID]:[Discount Amount]], 6, FALSE),"Not Found")</f>
        <v>1135.07</v>
      </c>
      <c r="U4625" t="str">
        <f t="shared" si="289"/>
        <v>PayPal</v>
      </c>
      <c r="V4625" s="4" t="str">
        <f t="shared" si="290"/>
        <v>Normal</v>
      </c>
      <c r="W4625" s="4" t="str">
        <f t="shared" si="291"/>
        <v>Poor</v>
      </c>
      <c r="X4625" s="4">
        <f>AVERAGE(Table1[Purchase Amount])</f>
        <v>129.48419400000012</v>
      </c>
    </row>
    <row r="4626" spans="1:24" ht="15" customHeight="1" x14ac:dyDescent="0.25">
      <c r="A4626">
        <v>4724</v>
      </c>
      <c r="B4626">
        <v>59</v>
      </c>
      <c r="C4626" t="s">
        <v>16</v>
      </c>
      <c r="D4626" t="s">
        <v>95</v>
      </c>
      <c r="E4626" t="s">
        <v>18</v>
      </c>
      <c r="F4626" s="2">
        <v>640.27</v>
      </c>
      <c r="G4626" t="s">
        <v>73</v>
      </c>
      <c r="H4626" t="s">
        <v>55</v>
      </c>
      <c r="I4626" t="s">
        <v>74</v>
      </c>
      <c r="J4626" t="s">
        <v>22</v>
      </c>
      <c r="K4626">
        <v>1</v>
      </c>
      <c r="L4626" t="s">
        <v>34</v>
      </c>
      <c r="M4626" t="s">
        <v>24</v>
      </c>
      <c r="N4626" t="s">
        <v>23</v>
      </c>
      <c r="O4626">
        <v>0</v>
      </c>
      <c r="P4626" t="s">
        <v>58</v>
      </c>
      <c r="Q4626" t="s">
        <v>26</v>
      </c>
      <c r="R4626" s="1">
        <v>0.1</v>
      </c>
      <c r="S4626">
        <f t="shared" si="288"/>
        <v>576.24299999999994</v>
      </c>
      <c r="T4626">
        <f>IFERROR(VLOOKUP(A4626,Table1[[Customer ID]:[Discount Amount]], 6, FALSE),"Not Found")</f>
        <v>640.27</v>
      </c>
      <c r="U4626" t="str">
        <f t="shared" si="289"/>
        <v>PayPal</v>
      </c>
      <c r="V4626" s="4" t="str">
        <f t="shared" si="290"/>
        <v>Normal</v>
      </c>
      <c r="W4626" s="4" t="str">
        <f t="shared" si="291"/>
        <v>Poor</v>
      </c>
      <c r="X4626" s="4">
        <f>AVERAGE(Table1[Purchase Amount])</f>
        <v>129.48419400000012</v>
      </c>
    </row>
    <row r="4627" spans="1:24" ht="15" customHeight="1" x14ac:dyDescent="0.25">
      <c r="A4627">
        <v>4725</v>
      </c>
      <c r="B4627">
        <v>59</v>
      </c>
      <c r="C4627" t="s">
        <v>71</v>
      </c>
      <c r="D4627" t="s">
        <v>38</v>
      </c>
      <c r="E4627" t="s">
        <v>81</v>
      </c>
      <c r="F4627" s="2">
        <v>175.4</v>
      </c>
      <c r="G4627" t="s">
        <v>73</v>
      </c>
      <c r="H4627" t="s">
        <v>31</v>
      </c>
      <c r="I4627" t="s">
        <v>32</v>
      </c>
      <c r="J4627" t="s">
        <v>33</v>
      </c>
      <c r="K4627">
        <v>1</v>
      </c>
      <c r="L4627" t="s">
        <v>34</v>
      </c>
      <c r="M4627" t="s">
        <v>24</v>
      </c>
      <c r="N4627" t="s">
        <v>34</v>
      </c>
      <c r="O4627">
        <v>47</v>
      </c>
      <c r="P4627" t="s">
        <v>25</v>
      </c>
      <c r="Q4627" t="s">
        <v>37</v>
      </c>
      <c r="R4627" s="1">
        <v>0.1</v>
      </c>
      <c r="S4627">
        <f t="shared" si="288"/>
        <v>157.86000000000001</v>
      </c>
      <c r="T4627">
        <f>IFERROR(VLOOKUP(A4627,Table1[[Customer ID]:[Discount Amount]], 6, FALSE),"Not Found")</f>
        <v>175.4</v>
      </c>
      <c r="U4627" t="str">
        <f t="shared" si="289"/>
        <v>Cash</v>
      </c>
      <c r="V4627" s="4" t="str">
        <f t="shared" si="290"/>
        <v>Normal</v>
      </c>
      <c r="W4627" s="4" t="str">
        <f t="shared" si="291"/>
        <v>Poor</v>
      </c>
      <c r="X4627" s="4">
        <f>AVERAGE(Table1[Purchase Amount])</f>
        <v>129.48419400000012</v>
      </c>
    </row>
    <row r="4628" spans="1:24" ht="15" customHeight="1" x14ac:dyDescent="0.25">
      <c r="A4628">
        <v>4726</v>
      </c>
      <c r="B4628">
        <v>65</v>
      </c>
      <c r="C4628" t="s">
        <v>71</v>
      </c>
      <c r="D4628" t="s">
        <v>80</v>
      </c>
      <c r="E4628" t="s">
        <v>81</v>
      </c>
      <c r="F4628" s="2">
        <v>0</v>
      </c>
      <c r="G4628" t="s">
        <v>82</v>
      </c>
      <c r="H4628" t="s">
        <v>31</v>
      </c>
      <c r="I4628" t="s">
        <v>32</v>
      </c>
      <c r="J4628" t="s">
        <v>75</v>
      </c>
      <c r="K4628">
        <v>1</v>
      </c>
      <c r="L4628" t="s">
        <v>34</v>
      </c>
      <c r="M4628" t="s">
        <v>61</v>
      </c>
      <c r="N4628" t="s">
        <v>34</v>
      </c>
      <c r="O4628">
        <v>35</v>
      </c>
      <c r="P4628" t="s">
        <v>53</v>
      </c>
      <c r="Q4628" t="s">
        <v>26</v>
      </c>
      <c r="R4628" s="1">
        <v>0.1</v>
      </c>
      <c r="S4628">
        <f t="shared" si="288"/>
        <v>0</v>
      </c>
      <c r="T4628">
        <f>IFERROR(VLOOKUP(A4628,Table1[[Customer ID]:[Discount Amount]], 6, FALSE),"Not Found")</f>
        <v>0</v>
      </c>
      <c r="U4628" t="str">
        <f t="shared" si="289"/>
        <v>Credit Card</v>
      </c>
      <c r="V4628" s="4" t="str">
        <f t="shared" si="290"/>
        <v>Normal</v>
      </c>
      <c r="W4628" s="4" t="str">
        <f t="shared" si="291"/>
        <v>Poor</v>
      </c>
      <c r="X4628" s="4">
        <f>AVERAGE(Table1[Purchase Amount])</f>
        <v>129.48419400000012</v>
      </c>
    </row>
    <row r="4629" spans="1:24" ht="15" customHeight="1" x14ac:dyDescent="0.25">
      <c r="A4629">
        <v>4727</v>
      </c>
      <c r="B4629">
        <v>28</v>
      </c>
      <c r="C4629" t="s">
        <v>71</v>
      </c>
      <c r="D4629" t="s">
        <v>38</v>
      </c>
      <c r="E4629" t="s">
        <v>81</v>
      </c>
      <c r="F4629" s="2">
        <v>1108.8800000000001</v>
      </c>
      <c r="G4629" t="s">
        <v>101</v>
      </c>
      <c r="H4629" t="s">
        <v>31</v>
      </c>
      <c r="I4629" t="s">
        <v>32</v>
      </c>
      <c r="J4629" t="s">
        <v>22</v>
      </c>
      <c r="K4629">
        <v>4</v>
      </c>
      <c r="L4629" t="s">
        <v>34</v>
      </c>
      <c r="M4629" t="s">
        <v>24</v>
      </c>
      <c r="N4629" t="s">
        <v>23</v>
      </c>
      <c r="O4629">
        <v>9</v>
      </c>
      <c r="P4629" t="s">
        <v>53</v>
      </c>
      <c r="Q4629" t="s">
        <v>26</v>
      </c>
      <c r="R4629" s="1">
        <v>0.1</v>
      </c>
      <c r="S4629">
        <f t="shared" si="288"/>
        <v>997.99200000000008</v>
      </c>
      <c r="T4629">
        <f>IFERROR(VLOOKUP(A4629,Table1[[Customer ID]:[Discount Amount]], 6, FALSE),"Not Found")</f>
        <v>1108.8800000000001</v>
      </c>
      <c r="U4629" t="str">
        <f t="shared" si="289"/>
        <v>Credit Card</v>
      </c>
      <c r="V4629" s="4" t="str">
        <f t="shared" si="290"/>
        <v>Best Customer</v>
      </c>
      <c r="W4629" s="4" t="str">
        <f t="shared" si="291"/>
        <v>Good</v>
      </c>
      <c r="X4629" s="4">
        <f>AVERAGE(Table1[Purchase Amount])</f>
        <v>129.48419400000012</v>
      </c>
    </row>
    <row r="4630" spans="1:24" ht="15" customHeight="1" x14ac:dyDescent="0.25">
      <c r="A4630">
        <v>4728</v>
      </c>
      <c r="B4630">
        <v>27</v>
      </c>
      <c r="C4630" t="s">
        <v>71</v>
      </c>
      <c r="D4630" t="s">
        <v>95</v>
      </c>
      <c r="E4630" t="s">
        <v>81</v>
      </c>
      <c r="F4630" s="2">
        <v>0</v>
      </c>
      <c r="G4630" t="s">
        <v>73</v>
      </c>
      <c r="H4630" t="s">
        <v>31</v>
      </c>
      <c r="I4630" t="s">
        <v>40</v>
      </c>
      <c r="J4630" t="s">
        <v>75</v>
      </c>
      <c r="K4630">
        <v>4</v>
      </c>
      <c r="L4630" t="s">
        <v>23</v>
      </c>
      <c r="M4630" t="s">
        <v>61</v>
      </c>
      <c r="N4630" t="s">
        <v>34</v>
      </c>
      <c r="O4630">
        <v>0</v>
      </c>
      <c r="P4630" t="s">
        <v>58</v>
      </c>
      <c r="Q4630" t="s">
        <v>42</v>
      </c>
      <c r="R4630" s="1">
        <v>0.1</v>
      </c>
      <c r="S4630">
        <f t="shared" si="288"/>
        <v>0</v>
      </c>
      <c r="T4630">
        <f>IFERROR(VLOOKUP(A4630,Table1[[Customer ID]:[Discount Amount]], 6, FALSE),"Not Found")</f>
        <v>0</v>
      </c>
      <c r="U4630" t="str">
        <f t="shared" si="289"/>
        <v>PayPal</v>
      </c>
      <c r="V4630" s="4" t="str">
        <f t="shared" si="290"/>
        <v>Normal</v>
      </c>
      <c r="W4630" s="4" t="str">
        <f t="shared" si="291"/>
        <v>Good</v>
      </c>
      <c r="X4630" s="4">
        <f>AVERAGE(Table1[Purchase Amount])</f>
        <v>129.48419400000012</v>
      </c>
    </row>
    <row r="4631" spans="1:24" ht="15" customHeight="1" x14ac:dyDescent="0.25">
      <c r="A4631">
        <v>4729</v>
      </c>
      <c r="B4631">
        <v>53</v>
      </c>
      <c r="C4631" t="s">
        <v>71</v>
      </c>
      <c r="D4631" t="s">
        <v>80</v>
      </c>
      <c r="E4631" t="s">
        <v>18</v>
      </c>
      <c r="F4631" s="2">
        <v>0</v>
      </c>
      <c r="G4631" t="s">
        <v>126</v>
      </c>
      <c r="H4631" t="s">
        <v>31</v>
      </c>
      <c r="I4631" t="s">
        <v>74</v>
      </c>
      <c r="J4631" t="s">
        <v>33</v>
      </c>
      <c r="K4631">
        <v>4</v>
      </c>
      <c r="L4631" t="s">
        <v>23</v>
      </c>
      <c r="M4631" t="s">
        <v>24</v>
      </c>
      <c r="N4631" t="s">
        <v>23</v>
      </c>
      <c r="O4631">
        <v>0</v>
      </c>
      <c r="P4631" t="s">
        <v>25</v>
      </c>
      <c r="Q4631" t="s">
        <v>42</v>
      </c>
      <c r="R4631" s="1">
        <v>0.1</v>
      </c>
      <c r="S4631">
        <f t="shared" si="288"/>
        <v>0</v>
      </c>
      <c r="T4631">
        <f>IFERROR(VLOOKUP(A4631,Table1[[Customer ID]:[Discount Amount]], 6, FALSE),"Not Found")</f>
        <v>0</v>
      </c>
      <c r="U4631" t="str">
        <f t="shared" si="289"/>
        <v>Cash</v>
      </c>
      <c r="V4631" s="4" t="str">
        <f t="shared" si="290"/>
        <v>Normal</v>
      </c>
      <c r="W4631" s="4" t="str">
        <f t="shared" si="291"/>
        <v>Good</v>
      </c>
      <c r="X4631" s="4">
        <f>AVERAGE(Table1[Purchase Amount])</f>
        <v>129.48419400000012</v>
      </c>
    </row>
    <row r="4632" spans="1:24" ht="15" customHeight="1" x14ac:dyDescent="0.25">
      <c r="A4632">
        <v>4730</v>
      </c>
      <c r="B4632">
        <v>70</v>
      </c>
      <c r="C4632" t="s">
        <v>27</v>
      </c>
      <c r="D4632" t="s">
        <v>116</v>
      </c>
      <c r="E4632" t="s">
        <v>81</v>
      </c>
      <c r="F4632" s="2">
        <v>0</v>
      </c>
      <c r="G4632" t="s">
        <v>139</v>
      </c>
      <c r="H4632" t="s">
        <v>31</v>
      </c>
      <c r="I4632" t="s">
        <v>93</v>
      </c>
      <c r="J4632" t="s">
        <v>22</v>
      </c>
      <c r="K4632">
        <v>1</v>
      </c>
      <c r="L4632" t="s">
        <v>34</v>
      </c>
      <c r="M4632" t="s">
        <v>61</v>
      </c>
      <c r="N4632" t="s">
        <v>23</v>
      </c>
      <c r="O4632">
        <v>0</v>
      </c>
      <c r="P4632" t="s">
        <v>25</v>
      </c>
      <c r="Q4632" t="s">
        <v>37</v>
      </c>
      <c r="R4632" s="1">
        <v>0.1</v>
      </c>
      <c r="S4632">
        <f t="shared" si="288"/>
        <v>0</v>
      </c>
      <c r="T4632">
        <f>IFERROR(VLOOKUP(A4632,Table1[[Customer ID]:[Discount Amount]], 6, FALSE),"Not Found")</f>
        <v>0</v>
      </c>
      <c r="U4632" t="str">
        <f t="shared" si="289"/>
        <v>Cash</v>
      </c>
      <c r="V4632" s="4" t="str">
        <f t="shared" si="290"/>
        <v>Normal</v>
      </c>
      <c r="W4632" s="4" t="str">
        <f t="shared" si="291"/>
        <v>Poor</v>
      </c>
      <c r="X4632" s="4">
        <f>AVERAGE(Table1[Purchase Amount])</f>
        <v>129.48419400000012</v>
      </c>
    </row>
    <row r="4633" spans="1:24" ht="15" customHeight="1" x14ac:dyDescent="0.25">
      <c r="A4633">
        <v>4731</v>
      </c>
      <c r="B4633">
        <v>35</v>
      </c>
      <c r="C4633" t="s">
        <v>27</v>
      </c>
      <c r="D4633" t="s">
        <v>116</v>
      </c>
      <c r="E4633" t="s">
        <v>18</v>
      </c>
      <c r="F4633" s="2">
        <v>0</v>
      </c>
      <c r="G4633" t="s">
        <v>101</v>
      </c>
      <c r="H4633" t="s">
        <v>20</v>
      </c>
      <c r="I4633" t="s">
        <v>32</v>
      </c>
      <c r="J4633" t="s">
        <v>22</v>
      </c>
      <c r="K4633">
        <v>4</v>
      </c>
      <c r="L4633" t="s">
        <v>23</v>
      </c>
      <c r="M4633" t="s">
        <v>24</v>
      </c>
      <c r="N4633" t="s">
        <v>23</v>
      </c>
      <c r="O4633">
        <v>47</v>
      </c>
      <c r="P4633" t="s">
        <v>58</v>
      </c>
      <c r="Q4633" t="s">
        <v>26</v>
      </c>
      <c r="R4633" s="1">
        <v>0.1</v>
      </c>
      <c r="S4633">
        <f t="shared" si="288"/>
        <v>0</v>
      </c>
      <c r="T4633">
        <f>IFERROR(VLOOKUP(A4633,Table1[[Customer ID]:[Discount Amount]], 6, FALSE),"Not Found")</f>
        <v>0</v>
      </c>
      <c r="U4633" t="str">
        <f t="shared" si="289"/>
        <v>PayPal</v>
      </c>
      <c r="V4633" s="4" t="str">
        <f t="shared" si="290"/>
        <v>Normal</v>
      </c>
      <c r="W4633" s="4" t="str">
        <f t="shared" si="291"/>
        <v>Good</v>
      </c>
      <c r="X4633" s="4">
        <f>AVERAGE(Table1[Purchase Amount])</f>
        <v>129.48419400000012</v>
      </c>
    </row>
    <row r="4634" spans="1:24" ht="15" customHeight="1" x14ac:dyDescent="0.25">
      <c r="A4634">
        <v>4732</v>
      </c>
      <c r="B4634">
        <v>29</v>
      </c>
      <c r="C4634" t="s">
        <v>71</v>
      </c>
      <c r="D4634" t="s">
        <v>72</v>
      </c>
      <c r="E4634" t="s">
        <v>29</v>
      </c>
      <c r="F4634" s="2">
        <v>952.63</v>
      </c>
      <c r="G4634" t="s">
        <v>73</v>
      </c>
      <c r="H4634" t="s">
        <v>55</v>
      </c>
      <c r="I4634" t="s">
        <v>74</v>
      </c>
      <c r="J4634" t="s">
        <v>22</v>
      </c>
      <c r="K4634">
        <v>4</v>
      </c>
      <c r="L4634" t="s">
        <v>34</v>
      </c>
      <c r="M4634" t="s">
        <v>61</v>
      </c>
      <c r="N4634" t="s">
        <v>34</v>
      </c>
      <c r="O4634">
        <v>12</v>
      </c>
      <c r="P4634" t="s">
        <v>58</v>
      </c>
      <c r="Q4634" t="s">
        <v>26</v>
      </c>
      <c r="R4634" s="1">
        <v>0.1</v>
      </c>
      <c r="S4634">
        <f t="shared" si="288"/>
        <v>857.36699999999996</v>
      </c>
      <c r="T4634">
        <f>IFERROR(VLOOKUP(A4634,Table1[[Customer ID]:[Discount Amount]], 6, FALSE),"Not Found")</f>
        <v>952.63</v>
      </c>
      <c r="U4634" t="str">
        <f t="shared" si="289"/>
        <v>PayPal</v>
      </c>
      <c r="V4634" s="4" t="str">
        <f t="shared" si="290"/>
        <v>Normal</v>
      </c>
      <c r="W4634" s="4" t="str">
        <f t="shared" si="291"/>
        <v>Good</v>
      </c>
      <c r="X4634" s="4">
        <f>AVERAGE(Table1[Purchase Amount])</f>
        <v>129.48419400000012</v>
      </c>
    </row>
    <row r="4635" spans="1:24" ht="15" customHeight="1" x14ac:dyDescent="0.25">
      <c r="A4635">
        <v>4733</v>
      </c>
      <c r="B4635">
        <v>26</v>
      </c>
      <c r="C4635" t="s">
        <v>16</v>
      </c>
      <c r="D4635" t="s">
        <v>72</v>
      </c>
      <c r="E4635" t="s">
        <v>18</v>
      </c>
      <c r="F4635" s="2">
        <v>0</v>
      </c>
      <c r="G4635" t="s">
        <v>101</v>
      </c>
      <c r="H4635" t="s">
        <v>20</v>
      </c>
      <c r="I4635" t="s">
        <v>46</v>
      </c>
      <c r="J4635" t="s">
        <v>33</v>
      </c>
      <c r="K4635">
        <v>1</v>
      </c>
      <c r="L4635" t="s">
        <v>23</v>
      </c>
      <c r="M4635" t="s">
        <v>24</v>
      </c>
      <c r="N4635" t="s">
        <v>23</v>
      </c>
      <c r="O4635">
        <v>29</v>
      </c>
      <c r="P4635" t="s">
        <v>53</v>
      </c>
      <c r="Q4635" t="s">
        <v>42</v>
      </c>
      <c r="R4635" s="1">
        <v>0.1</v>
      </c>
      <c r="S4635">
        <f t="shared" si="288"/>
        <v>0</v>
      </c>
      <c r="T4635">
        <f>IFERROR(VLOOKUP(A4635,Table1[[Customer ID]:[Discount Amount]], 6, FALSE),"Not Found")</f>
        <v>0</v>
      </c>
      <c r="U4635" t="str">
        <f t="shared" si="289"/>
        <v>Credit Card</v>
      </c>
      <c r="V4635" s="4" t="str">
        <f t="shared" si="290"/>
        <v>Normal</v>
      </c>
      <c r="W4635" s="4" t="str">
        <f t="shared" si="291"/>
        <v>Poor</v>
      </c>
      <c r="X4635" s="4">
        <f>AVERAGE(Table1[Purchase Amount])</f>
        <v>129.48419400000012</v>
      </c>
    </row>
    <row r="4636" spans="1:24" ht="15" customHeight="1" x14ac:dyDescent="0.25">
      <c r="A4636">
        <v>4734</v>
      </c>
      <c r="B4636">
        <v>52</v>
      </c>
      <c r="C4636" t="s">
        <v>16</v>
      </c>
      <c r="D4636" t="s">
        <v>117</v>
      </c>
      <c r="E4636" t="s">
        <v>81</v>
      </c>
      <c r="F4636" s="2">
        <v>582.79</v>
      </c>
      <c r="G4636" t="s">
        <v>73</v>
      </c>
      <c r="H4636" t="s">
        <v>31</v>
      </c>
      <c r="I4636" t="s">
        <v>40</v>
      </c>
      <c r="J4636" t="s">
        <v>75</v>
      </c>
      <c r="K4636">
        <v>1</v>
      </c>
      <c r="L4636" t="s">
        <v>34</v>
      </c>
      <c r="M4636" t="s">
        <v>61</v>
      </c>
      <c r="N4636" t="s">
        <v>23</v>
      </c>
      <c r="O4636">
        <v>0</v>
      </c>
      <c r="P4636" t="s">
        <v>25</v>
      </c>
      <c r="Q4636" t="s">
        <v>26</v>
      </c>
      <c r="R4636" s="1">
        <v>0.1</v>
      </c>
      <c r="S4636">
        <f t="shared" si="288"/>
        <v>524.51099999999997</v>
      </c>
      <c r="T4636">
        <f>IFERROR(VLOOKUP(A4636,Table1[[Customer ID]:[Discount Amount]], 6, FALSE),"Not Found")</f>
        <v>582.79</v>
      </c>
      <c r="U4636" t="str">
        <f t="shared" si="289"/>
        <v>Cash</v>
      </c>
      <c r="V4636" s="4" t="str">
        <f t="shared" si="290"/>
        <v>Normal</v>
      </c>
      <c r="W4636" s="4" t="str">
        <f t="shared" si="291"/>
        <v>Poor</v>
      </c>
      <c r="X4636" s="4">
        <f>AVERAGE(Table1[Purchase Amount])</f>
        <v>129.48419400000012</v>
      </c>
    </row>
    <row r="4637" spans="1:24" ht="15" customHeight="1" x14ac:dyDescent="0.25">
      <c r="A4637">
        <v>4735</v>
      </c>
      <c r="B4637">
        <v>56</v>
      </c>
      <c r="C4637" t="s">
        <v>71</v>
      </c>
      <c r="D4637" t="s">
        <v>95</v>
      </c>
      <c r="E4637" t="s">
        <v>29</v>
      </c>
      <c r="F4637" s="2">
        <v>0</v>
      </c>
      <c r="G4637" t="s">
        <v>126</v>
      </c>
      <c r="H4637" t="s">
        <v>31</v>
      </c>
      <c r="I4637" t="s">
        <v>74</v>
      </c>
      <c r="J4637" t="s">
        <v>57</v>
      </c>
      <c r="K4637">
        <v>4</v>
      </c>
      <c r="L4637" t="s">
        <v>34</v>
      </c>
      <c r="M4637" t="s">
        <v>24</v>
      </c>
      <c r="N4637" t="s">
        <v>23</v>
      </c>
      <c r="O4637">
        <v>31</v>
      </c>
      <c r="P4637" t="s">
        <v>36</v>
      </c>
      <c r="Q4637" t="s">
        <v>26</v>
      </c>
      <c r="R4637" s="1">
        <v>0.1</v>
      </c>
      <c r="S4637">
        <f t="shared" si="288"/>
        <v>0</v>
      </c>
      <c r="T4637">
        <f>IFERROR(VLOOKUP(A4637,Table1[[Customer ID]:[Discount Amount]], 6, FALSE),"Not Found")</f>
        <v>0</v>
      </c>
      <c r="U4637" t="str">
        <f t="shared" si="289"/>
        <v>Debit Card</v>
      </c>
      <c r="V4637" s="4" t="str">
        <f t="shared" si="290"/>
        <v>Normal</v>
      </c>
      <c r="W4637" s="4" t="str">
        <f t="shared" si="291"/>
        <v>Good</v>
      </c>
      <c r="X4637" s="4">
        <f>AVERAGE(Table1[Purchase Amount])</f>
        <v>129.48419400000012</v>
      </c>
    </row>
    <row r="4638" spans="1:24" ht="15" customHeight="1" x14ac:dyDescent="0.25">
      <c r="A4638">
        <v>4736</v>
      </c>
      <c r="B4638">
        <v>46</v>
      </c>
      <c r="C4638" t="s">
        <v>71</v>
      </c>
      <c r="D4638" t="s">
        <v>38</v>
      </c>
      <c r="E4638" t="s">
        <v>81</v>
      </c>
      <c r="F4638" s="2">
        <v>1163.75</v>
      </c>
      <c r="G4638" t="s">
        <v>73</v>
      </c>
      <c r="H4638" t="s">
        <v>31</v>
      </c>
      <c r="I4638" t="s">
        <v>46</v>
      </c>
      <c r="J4638" t="s">
        <v>75</v>
      </c>
      <c r="K4638">
        <v>1</v>
      </c>
      <c r="L4638" t="s">
        <v>34</v>
      </c>
      <c r="M4638" t="s">
        <v>61</v>
      </c>
      <c r="N4638" t="s">
        <v>34</v>
      </c>
      <c r="O4638">
        <v>0</v>
      </c>
      <c r="P4638" t="s">
        <v>53</v>
      </c>
      <c r="Q4638" t="s">
        <v>42</v>
      </c>
      <c r="R4638" s="1">
        <v>0.1</v>
      </c>
      <c r="S4638">
        <f t="shared" si="288"/>
        <v>1047.375</v>
      </c>
      <c r="T4638">
        <f>IFERROR(VLOOKUP(A4638,Table1[[Customer ID]:[Discount Amount]], 6, FALSE),"Not Found")</f>
        <v>1163.75</v>
      </c>
      <c r="U4638" t="str">
        <f t="shared" si="289"/>
        <v>Credit Card</v>
      </c>
      <c r="V4638" s="4" t="str">
        <f t="shared" si="290"/>
        <v>Normal</v>
      </c>
      <c r="W4638" s="4" t="str">
        <f t="shared" si="291"/>
        <v>Poor</v>
      </c>
      <c r="X4638" s="4">
        <f>AVERAGE(Table1[Purchase Amount])</f>
        <v>129.48419400000012</v>
      </c>
    </row>
    <row r="4639" spans="1:24" ht="15" customHeight="1" x14ac:dyDescent="0.25">
      <c r="A4639">
        <v>4737</v>
      </c>
      <c r="B4639">
        <v>61</v>
      </c>
      <c r="C4639" t="s">
        <v>71</v>
      </c>
      <c r="D4639" t="s">
        <v>112</v>
      </c>
      <c r="E4639" t="s">
        <v>18</v>
      </c>
      <c r="F4639" s="2">
        <v>0</v>
      </c>
      <c r="G4639" t="s">
        <v>101</v>
      </c>
      <c r="H4639" t="s">
        <v>20</v>
      </c>
      <c r="I4639" t="s">
        <v>46</v>
      </c>
      <c r="J4639" t="s">
        <v>22</v>
      </c>
      <c r="K4639">
        <v>5</v>
      </c>
      <c r="L4639" t="s">
        <v>34</v>
      </c>
      <c r="M4639" t="s">
        <v>24</v>
      </c>
      <c r="N4639" t="s">
        <v>34</v>
      </c>
      <c r="O4639">
        <v>33</v>
      </c>
      <c r="P4639" t="s">
        <v>36</v>
      </c>
      <c r="Q4639" t="s">
        <v>37</v>
      </c>
      <c r="R4639" s="1">
        <v>0.1</v>
      </c>
      <c r="S4639">
        <f t="shared" si="288"/>
        <v>0</v>
      </c>
      <c r="T4639">
        <f>IFERROR(VLOOKUP(A4639,Table1[[Customer ID]:[Discount Amount]], 6, FALSE),"Not Found")</f>
        <v>0</v>
      </c>
      <c r="U4639" t="str">
        <f t="shared" si="289"/>
        <v>Debit Card</v>
      </c>
      <c r="V4639" s="4" t="str">
        <f t="shared" si="290"/>
        <v>Normal</v>
      </c>
      <c r="W4639" s="4" t="str">
        <f t="shared" si="291"/>
        <v>Good</v>
      </c>
      <c r="X4639" s="4">
        <f>AVERAGE(Table1[Purchase Amount])</f>
        <v>129.48419400000012</v>
      </c>
    </row>
    <row r="4640" spans="1:24" ht="15" customHeight="1" x14ac:dyDescent="0.25">
      <c r="A4640">
        <v>4738</v>
      </c>
      <c r="B4640">
        <v>57</v>
      </c>
      <c r="C4640" t="s">
        <v>27</v>
      </c>
      <c r="D4640" t="s">
        <v>80</v>
      </c>
      <c r="E4640" t="s">
        <v>18</v>
      </c>
      <c r="F4640" s="2">
        <v>0</v>
      </c>
      <c r="G4640" t="s">
        <v>101</v>
      </c>
      <c r="H4640" t="s">
        <v>20</v>
      </c>
      <c r="I4640" t="s">
        <v>40</v>
      </c>
      <c r="J4640" t="s">
        <v>33</v>
      </c>
      <c r="K4640">
        <v>1</v>
      </c>
      <c r="L4640" t="s">
        <v>23</v>
      </c>
      <c r="M4640" t="s">
        <v>24</v>
      </c>
      <c r="N4640" t="s">
        <v>23</v>
      </c>
      <c r="O4640">
        <v>0</v>
      </c>
      <c r="P4640" t="s">
        <v>25</v>
      </c>
      <c r="Q4640" t="s">
        <v>37</v>
      </c>
      <c r="R4640" s="1">
        <v>0.1</v>
      </c>
      <c r="S4640">
        <f t="shared" si="288"/>
        <v>0</v>
      </c>
      <c r="T4640">
        <f>IFERROR(VLOOKUP(A4640,Table1[[Customer ID]:[Discount Amount]], 6, FALSE),"Not Found")</f>
        <v>0</v>
      </c>
      <c r="U4640" t="str">
        <f t="shared" si="289"/>
        <v>Cash</v>
      </c>
      <c r="V4640" s="4" t="str">
        <f t="shared" si="290"/>
        <v>Normal</v>
      </c>
      <c r="W4640" s="4" t="str">
        <f t="shared" si="291"/>
        <v>Poor</v>
      </c>
      <c r="X4640" s="4">
        <f>AVERAGE(Table1[Purchase Amount])</f>
        <v>129.48419400000012</v>
      </c>
    </row>
    <row r="4641" spans="1:24" ht="15" customHeight="1" x14ac:dyDescent="0.25">
      <c r="A4641">
        <v>4739</v>
      </c>
      <c r="B4641">
        <v>29</v>
      </c>
      <c r="C4641" t="s">
        <v>27</v>
      </c>
      <c r="D4641" t="s">
        <v>72</v>
      </c>
      <c r="E4641" t="s">
        <v>29</v>
      </c>
      <c r="F4641" s="2">
        <v>0</v>
      </c>
      <c r="G4641" t="s">
        <v>101</v>
      </c>
      <c r="H4641" t="s">
        <v>55</v>
      </c>
      <c r="I4641" t="s">
        <v>93</v>
      </c>
      <c r="J4641" t="s">
        <v>75</v>
      </c>
      <c r="K4641">
        <v>1</v>
      </c>
      <c r="L4641" t="s">
        <v>34</v>
      </c>
      <c r="M4641" t="s">
        <v>24</v>
      </c>
      <c r="N4641" t="s">
        <v>23</v>
      </c>
      <c r="O4641">
        <v>9</v>
      </c>
      <c r="P4641" t="s">
        <v>25</v>
      </c>
      <c r="Q4641" t="s">
        <v>26</v>
      </c>
      <c r="R4641" s="1">
        <v>0.1</v>
      </c>
      <c r="S4641">
        <f t="shared" si="288"/>
        <v>0</v>
      </c>
      <c r="T4641">
        <f>IFERROR(VLOOKUP(A4641,Table1[[Customer ID]:[Discount Amount]], 6, FALSE),"Not Found")</f>
        <v>0</v>
      </c>
      <c r="U4641" t="str">
        <f t="shared" si="289"/>
        <v>Cash</v>
      </c>
      <c r="V4641" s="4" t="str">
        <f t="shared" si="290"/>
        <v>Normal</v>
      </c>
      <c r="W4641" s="4" t="str">
        <f t="shared" si="291"/>
        <v>Poor</v>
      </c>
      <c r="X4641" s="4">
        <f>AVERAGE(Table1[Purchase Amount])</f>
        <v>129.48419400000012</v>
      </c>
    </row>
    <row r="4642" spans="1:24" ht="15" customHeight="1" x14ac:dyDescent="0.25">
      <c r="A4642">
        <v>4740</v>
      </c>
      <c r="B4642">
        <v>31</v>
      </c>
      <c r="C4642" t="s">
        <v>16</v>
      </c>
      <c r="D4642" t="s">
        <v>116</v>
      </c>
      <c r="E4642" t="s">
        <v>81</v>
      </c>
      <c r="F4642" s="2">
        <v>944.84</v>
      </c>
      <c r="G4642" t="s">
        <v>73</v>
      </c>
      <c r="H4642" t="s">
        <v>31</v>
      </c>
      <c r="I4642" t="s">
        <v>74</v>
      </c>
      <c r="J4642" t="s">
        <v>22</v>
      </c>
      <c r="K4642">
        <v>1</v>
      </c>
      <c r="L4642" t="s">
        <v>34</v>
      </c>
      <c r="M4642" t="s">
        <v>24</v>
      </c>
      <c r="N4642" t="s">
        <v>34</v>
      </c>
      <c r="O4642">
        <v>0</v>
      </c>
      <c r="P4642" t="s">
        <v>36</v>
      </c>
      <c r="Q4642" t="s">
        <v>42</v>
      </c>
      <c r="R4642" s="1">
        <v>0.1</v>
      </c>
      <c r="S4642">
        <f t="shared" si="288"/>
        <v>850.35599999999999</v>
      </c>
      <c r="T4642">
        <f>IFERROR(VLOOKUP(A4642,Table1[[Customer ID]:[Discount Amount]], 6, FALSE),"Not Found")</f>
        <v>944.84</v>
      </c>
      <c r="U4642" t="str">
        <f t="shared" si="289"/>
        <v>Debit Card</v>
      </c>
      <c r="V4642" s="4" t="str">
        <f t="shared" si="290"/>
        <v>Normal</v>
      </c>
      <c r="W4642" s="4" t="str">
        <f t="shared" si="291"/>
        <v>Poor</v>
      </c>
      <c r="X4642" s="4">
        <f>AVERAGE(Table1[Purchase Amount])</f>
        <v>129.48419400000012</v>
      </c>
    </row>
    <row r="4643" spans="1:24" ht="15" customHeight="1" x14ac:dyDescent="0.25">
      <c r="A4643">
        <v>4741</v>
      </c>
      <c r="B4643">
        <v>23</v>
      </c>
      <c r="C4643" t="s">
        <v>27</v>
      </c>
      <c r="D4643" t="s">
        <v>95</v>
      </c>
      <c r="E4643" t="s">
        <v>18</v>
      </c>
      <c r="F4643" s="2">
        <v>0</v>
      </c>
      <c r="G4643" t="s">
        <v>126</v>
      </c>
      <c r="H4643" t="s">
        <v>31</v>
      </c>
      <c r="I4643" t="s">
        <v>32</v>
      </c>
      <c r="J4643" t="s">
        <v>33</v>
      </c>
      <c r="K4643">
        <v>1</v>
      </c>
      <c r="L4643" t="s">
        <v>23</v>
      </c>
      <c r="M4643" t="s">
        <v>24</v>
      </c>
      <c r="N4643" t="s">
        <v>34</v>
      </c>
      <c r="O4643">
        <v>0</v>
      </c>
      <c r="P4643" t="s">
        <v>53</v>
      </c>
      <c r="Q4643" t="s">
        <v>37</v>
      </c>
      <c r="R4643" s="1">
        <v>0.1</v>
      </c>
      <c r="S4643">
        <f t="shared" si="288"/>
        <v>0</v>
      </c>
      <c r="T4643">
        <f>IFERROR(VLOOKUP(A4643,Table1[[Customer ID]:[Discount Amount]], 6, FALSE),"Not Found")</f>
        <v>0</v>
      </c>
      <c r="U4643" t="str">
        <f t="shared" si="289"/>
        <v>Credit Card</v>
      </c>
      <c r="V4643" s="4" t="str">
        <f t="shared" si="290"/>
        <v>Normal</v>
      </c>
      <c r="W4643" s="4" t="str">
        <f t="shared" si="291"/>
        <v>Poor</v>
      </c>
      <c r="X4643" s="4">
        <f>AVERAGE(Table1[Purchase Amount])</f>
        <v>129.48419400000012</v>
      </c>
    </row>
    <row r="4644" spans="1:24" ht="15" customHeight="1" x14ac:dyDescent="0.25">
      <c r="A4644">
        <v>4742</v>
      </c>
      <c r="B4644">
        <v>23</v>
      </c>
      <c r="C4644" t="s">
        <v>71</v>
      </c>
      <c r="D4644" t="s">
        <v>38</v>
      </c>
      <c r="E4644" t="s">
        <v>29</v>
      </c>
      <c r="F4644" s="2">
        <v>0</v>
      </c>
      <c r="G4644" t="s">
        <v>82</v>
      </c>
      <c r="H4644" t="s">
        <v>45</v>
      </c>
      <c r="I4644" t="s">
        <v>46</v>
      </c>
      <c r="J4644" t="s">
        <v>22</v>
      </c>
      <c r="K4644">
        <v>5</v>
      </c>
      <c r="L4644" t="s">
        <v>34</v>
      </c>
      <c r="M4644" t="s">
        <v>61</v>
      </c>
      <c r="N4644" t="s">
        <v>34</v>
      </c>
      <c r="O4644">
        <v>45</v>
      </c>
      <c r="P4644" t="s">
        <v>53</v>
      </c>
      <c r="Q4644" t="s">
        <v>37</v>
      </c>
      <c r="R4644" s="1">
        <v>0.1</v>
      </c>
      <c r="S4644">
        <f t="shared" si="288"/>
        <v>0</v>
      </c>
      <c r="T4644">
        <f>IFERROR(VLOOKUP(A4644,Table1[[Customer ID]:[Discount Amount]], 6, FALSE),"Not Found")</f>
        <v>0</v>
      </c>
      <c r="U4644" t="str">
        <f t="shared" si="289"/>
        <v>Credit Card</v>
      </c>
      <c r="V4644" s="4" t="str">
        <f t="shared" si="290"/>
        <v>Normal</v>
      </c>
      <c r="W4644" s="4" t="str">
        <f t="shared" si="291"/>
        <v>Good</v>
      </c>
      <c r="X4644" s="4">
        <f>AVERAGE(Table1[Purchase Amount])</f>
        <v>129.48419400000012</v>
      </c>
    </row>
    <row r="4645" spans="1:24" ht="15" customHeight="1" x14ac:dyDescent="0.25">
      <c r="A4645">
        <v>4743</v>
      </c>
      <c r="B4645">
        <v>65</v>
      </c>
      <c r="C4645" t="s">
        <v>16</v>
      </c>
      <c r="D4645" t="s">
        <v>80</v>
      </c>
      <c r="E4645" t="s">
        <v>18</v>
      </c>
      <c r="F4645" s="2">
        <v>772.94</v>
      </c>
      <c r="G4645" t="s">
        <v>101</v>
      </c>
      <c r="H4645" t="s">
        <v>20</v>
      </c>
      <c r="I4645" t="s">
        <v>46</v>
      </c>
      <c r="J4645" t="s">
        <v>57</v>
      </c>
      <c r="K4645">
        <v>1</v>
      </c>
      <c r="L4645" t="s">
        <v>34</v>
      </c>
      <c r="M4645" t="s">
        <v>24</v>
      </c>
      <c r="N4645" t="s">
        <v>34</v>
      </c>
      <c r="O4645">
        <v>50</v>
      </c>
      <c r="P4645" t="s">
        <v>25</v>
      </c>
      <c r="Q4645" t="s">
        <v>42</v>
      </c>
      <c r="R4645" s="1">
        <v>0.1</v>
      </c>
      <c r="S4645">
        <f t="shared" si="288"/>
        <v>695.64600000000007</v>
      </c>
      <c r="T4645">
        <f>IFERROR(VLOOKUP(A4645,Table1[[Customer ID]:[Discount Amount]], 6, FALSE),"Not Found")</f>
        <v>772.94</v>
      </c>
      <c r="U4645" t="str">
        <f t="shared" si="289"/>
        <v>Cash</v>
      </c>
      <c r="V4645" s="4" t="str">
        <f t="shared" si="290"/>
        <v>Normal</v>
      </c>
      <c r="W4645" s="4" t="str">
        <f t="shared" si="291"/>
        <v>Poor</v>
      </c>
      <c r="X4645" s="4">
        <f>AVERAGE(Table1[Purchase Amount])</f>
        <v>129.48419400000012</v>
      </c>
    </row>
    <row r="4646" spans="1:24" ht="15" customHeight="1" x14ac:dyDescent="0.25">
      <c r="A4646">
        <v>4744</v>
      </c>
      <c r="B4646">
        <v>69</v>
      </c>
      <c r="C4646" t="s">
        <v>71</v>
      </c>
      <c r="D4646" t="s">
        <v>80</v>
      </c>
      <c r="E4646" t="s">
        <v>29</v>
      </c>
      <c r="F4646" s="2">
        <v>884.69</v>
      </c>
      <c r="G4646" t="s">
        <v>82</v>
      </c>
      <c r="H4646" t="s">
        <v>45</v>
      </c>
      <c r="I4646" t="s">
        <v>46</v>
      </c>
      <c r="J4646" t="s">
        <v>57</v>
      </c>
      <c r="K4646">
        <v>1</v>
      </c>
      <c r="L4646" t="s">
        <v>23</v>
      </c>
      <c r="M4646" t="s">
        <v>24</v>
      </c>
      <c r="N4646" t="s">
        <v>23</v>
      </c>
      <c r="O4646">
        <v>24</v>
      </c>
      <c r="P4646" t="s">
        <v>58</v>
      </c>
      <c r="Q4646" t="s">
        <v>42</v>
      </c>
      <c r="R4646" s="1">
        <v>0.1</v>
      </c>
      <c r="S4646">
        <f t="shared" si="288"/>
        <v>796.221</v>
      </c>
      <c r="T4646">
        <f>IFERROR(VLOOKUP(A4646,Table1[[Customer ID]:[Discount Amount]], 6, FALSE),"Not Found")</f>
        <v>884.69</v>
      </c>
      <c r="U4646" t="str">
        <f t="shared" si="289"/>
        <v>PayPal</v>
      </c>
      <c r="V4646" s="4" t="str">
        <f t="shared" si="290"/>
        <v>Normal</v>
      </c>
      <c r="W4646" s="4" t="str">
        <f t="shared" si="291"/>
        <v>Poor</v>
      </c>
      <c r="X4646" s="4">
        <f>AVERAGE(Table1[Purchase Amount])</f>
        <v>129.48419400000012</v>
      </c>
    </row>
    <row r="4647" spans="1:24" ht="15" customHeight="1" x14ac:dyDescent="0.25">
      <c r="A4647">
        <v>4745</v>
      </c>
      <c r="B4647">
        <v>66</v>
      </c>
      <c r="C4647" t="s">
        <v>27</v>
      </c>
      <c r="D4647" t="s">
        <v>95</v>
      </c>
      <c r="E4647" t="s">
        <v>81</v>
      </c>
      <c r="F4647" s="2">
        <v>367.18</v>
      </c>
      <c r="G4647" t="s">
        <v>126</v>
      </c>
      <c r="H4647" t="s">
        <v>31</v>
      </c>
      <c r="I4647" t="s">
        <v>74</v>
      </c>
      <c r="J4647" t="s">
        <v>75</v>
      </c>
      <c r="K4647">
        <v>1</v>
      </c>
      <c r="L4647" t="s">
        <v>34</v>
      </c>
      <c r="M4647" t="s">
        <v>61</v>
      </c>
      <c r="N4647" t="s">
        <v>34</v>
      </c>
      <c r="O4647">
        <v>0</v>
      </c>
      <c r="P4647" t="s">
        <v>25</v>
      </c>
      <c r="Q4647" t="s">
        <v>26</v>
      </c>
      <c r="R4647" s="1">
        <v>0.1</v>
      </c>
      <c r="S4647">
        <f t="shared" si="288"/>
        <v>330.46199999999999</v>
      </c>
      <c r="T4647">
        <f>IFERROR(VLOOKUP(A4647,Table1[[Customer ID]:[Discount Amount]], 6, FALSE),"Not Found")</f>
        <v>367.18</v>
      </c>
      <c r="U4647" t="str">
        <f t="shared" si="289"/>
        <v>Cash</v>
      </c>
      <c r="V4647" s="4" t="str">
        <f t="shared" si="290"/>
        <v>Normal</v>
      </c>
      <c r="W4647" s="4" t="str">
        <f t="shared" si="291"/>
        <v>Poor</v>
      </c>
      <c r="X4647" s="4">
        <f>AVERAGE(Table1[Purchase Amount])</f>
        <v>129.48419400000012</v>
      </c>
    </row>
    <row r="4648" spans="1:24" ht="15" customHeight="1" x14ac:dyDescent="0.25">
      <c r="A4648">
        <v>4746</v>
      </c>
      <c r="B4648">
        <v>60</v>
      </c>
      <c r="C4648" t="s">
        <v>71</v>
      </c>
      <c r="D4648" t="s">
        <v>95</v>
      </c>
      <c r="E4648" t="s">
        <v>18</v>
      </c>
      <c r="F4648" s="2">
        <v>1223.07</v>
      </c>
      <c r="G4648" t="s">
        <v>101</v>
      </c>
      <c r="H4648" t="s">
        <v>20</v>
      </c>
      <c r="I4648" t="s">
        <v>32</v>
      </c>
      <c r="J4648" t="s">
        <v>33</v>
      </c>
      <c r="K4648">
        <v>5</v>
      </c>
      <c r="L4648" t="s">
        <v>23</v>
      </c>
      <c r="M4648" t="s">
        <v>61</v>
      </c>
      <c r="N4648" t="s">
        <v>34</v>
      </c>
      <c r="O4648">
        <v>0</v>
      </c>
      <c r="P4648" t="s">
        <v>53</v>
      </c>
      <c r="Q4648" t="s">
        <v>26</v>
      </c>
      <c r="R4648" s="1">
        <v>0.1</v>
      </c>
      <c r="S4648">
        <f t="shared" si="288"/>
        <v>1100.7629999999999</v>
      </c>
      <c r="T4648">
        <f>IFERROR(VLOOKUP(A4648,Table1[[Customer ID]:[Discount Amount]], 6, FALSE),"Not Found")</f>
        <v>1223.07</v>
      </c>
      <c r="U4648" t="str">
        <f t="shared" si="289"/>
        <v>Credit Card</v>
      </c>
      <c r="V4648" s="4" t="str">
        <f t="shared" si="290"/>
        <v>Best Customer</v>
      </c>
      <c r="W4648" s="4" t="str">
        <f t="shared" si="291"/>
        <v>Good</v>
      </c>
      <c r="X4648" s="4">
        <f>AVERAGE(Table1[Purchase Amount])</f>
        <v>129.48419400000012</v>
      </c>
    </row>
    <row r="4649" spans="1:24" ht="15" customHeight="1" x14ac:dyDescent="0.25">
      <c r="A4649">
        <v>4747</v>
      </c>
      <c r="B4649">
        <v>44</v>
      </c>
      <c r="C4649" t="s">
        <v>27</v>
      </c>
      <c r="D4649" t="s">
        <v>95</v>
      </c>
      <c r="E4649" t="s">
        <v>29</v>
      </c>
      <c r="F4649" s="2">
        <v>0</v>
      </c>
      <c r="G4649" t="s">
        <v>101</v>
      </c>
      <c r="H4649" t="s">
        <v>55</v>
      </c>
      <c r="I4649" t="s">
        <v>93</v>
      </c>
      <c r="J4649" t="s">
        <v>22</v>
      </c>
      <c r="K4649">
        <v>1</v>
      </c>
      <c r="L4649" t="s">
        <v>23</v>
      </c>
      <c r="M4649" t="s">
        <v>61</v>
      </c>
      <c r="N4649" t="s">
        <v>23</v>
      </c>
      <c r="O4649">
        <v>0</v>
      </c>
      <c r="P4649" t="s">
        <v>25</v>
      </c>
      <c r="Q4649" t="s">
        <v>42</v>
      </c>
      <c r="R4649" s="1">
        <v>0.1</v>
      </c>
      <c r="S4649">
        <f t="shared" si="288"/>
        <v>0</v>
      </c>
      <c r="T4649">
        <f>IFERROR(VLOOKUP(A4649,Table1[[Customer ID]:[Discount Amount]], 6, FALSE),"Not Found")</f>
        <v>0</v>
      </c>
      <c r="U4649" t="str">
        <f t="shared" si="289"/>
        <v>Cash</v>
      </c>
      <c r="V4649" s="4" t="str">
        <f t="shared" si="290"/>
        <v>Normal</v>
      </c>
      <c r="W4649" s="4" t="str">
        <f t="shared" si="291"/>
        <v>Poor</v>
      </c>
      <c r="X4649" s="4">
        <f>AVERAGE(Table1[Purchase Amount])</f>
        <v>129.48419400000012</v>
      </c>
    </row>
    <row r="4650" spans="1:24" ht="15" customHeight="1" x14ac:dyDescent="0.25">
      <c r="A4650">
        <v>4748</v>
      </c>
      <c r="B4650">
        <v>26</v>
      </c>
      <c r="C4650" t="s">
        <v>27</v>
      </c>
      <c r="D4650" t="s">
        <v>95</v>
      </c>
      <c r="E4650" t="s">
        <v>81</v>
      </c>
      <c r="F4650" s="2">
        <v>571.08000000000004</v>
      </c>
      <c r="G4650" t="s">
        <v>126</v>
      </c>
      <c r="H4650" t="s">
        <v>31</v>
      </c>
      <c r="I4650" t="s">
        <v>93</v>
      </c>
      <c r="J4650" t="s">
        <v>75</v>
      </c>
      <c r="K4650">
        <v>5</v>
      </c>
      <c r="L4650" t="s">
        <v>23</v>
      </c>
      <c r="M4650" t="s">
        <v>24</v>
      </c>
      <c r="N4650" t="s">
        <v>23</v>
      </c>
      <c r="O4650">
        <v>0</v>
      </c>
      <c r="P4650" t="s">
        <v>36</v>
      </c>
      <c r="Q4650" t="s">
        <v>37</v>
      </c>
      <c r="R4650" s="1">
        <v>0.1</v>
      </c>
      <c r="S4650">
        <f t="shared" si="288"/>
        <v>513.97199999999998</v>
      </c>
      <c r="T4650">
        <f>IFERROR(VLOOKUP(A4650,Table1[[Customer ID]:[Discount Amount]], 6, FALSE),"Not Found")</f>
        <v>571.08000000000004</v>
      </c>
      <c r="U4650" t="str">
        <f t="shared" si="289"/>
        <v>Debit Card</v>
      </c>
      <c r="V4650" s="4" t="str">
        <f t="shared" si="290"/>
        <v>Normal</v>
      </c>
      <c r="W4650" s="4" t="str">
        <f t="shared" si="291"/>
        <v>Good</v>
      </c>
      <c r="X4650" s="4">
        <f>AVERAGE(Table1[Purchase Amount])</f>
        <v>129.48419400000012</v>
      </c>
    </row>
    <row r="4651" spans="1:24" ht="15" customHeight="1" x14ac:dyDescent="0.25">
      <c r="A4651">
        <v>4749</v>
      </c>
      <c r="B4651">
        <v>59</v>
      </c>
      <c r="C4651" t="s">
        <v>16</v>
      </c>
      <c r="D4651" t="s">
        <v>116</v>
      </c>
      <c r="E4651" t="s">
        <v>18</v>
      </c>
      <c r="F4651" s="2">
        <v>576.66</v>
      </c>
      <c r="G4651" t="s">
        <v>82</v>
      </c>
      <c r="H4651" t="s">
        <v>20</v>
      </c>
      <c r="I4651" t="s">
        <v>32</v>
      </c>
      <c r="J4651" t="s">
        <v>57</v>
      </c>
      <c r="K4651">
        <v>1</v>
      </c>
      <c r="L4651" t="s">
        <v>34</v>
      </c>
      <c r="M4651" t="s">
        <v>61</v>
      </c>
      <c r="N4651" t="s">
        <v>23</v>
      </c>
      <c r="O4651">
        <v>14</v>
      </c>
      <c r="P4651" t="s">
        <v>53</v>
      </c>
      <c r="Q4651" t="s">
        <v>26</v>
      </c>
      <c r="R4651" s="1">
        <v>0.1</v>
      </c>
      <c r="S4651">
        <f t="shared" si="288"/>
        <v>518.99399999999991</v>
      </c>
      <c r="T4651">
        <f>IFERROR(VLOOKUP(A4651,Table1[[Customer ID]:[Discount Amount]], 6, FALSE),"Not Found")</f>
        <v>576.66</v>
      </c>
      <c r="U4651" t="str">
        <f t="shared" si="289"/>
        <v>Credit Card</v>
      </c>
      <c r="V4651" s="4" t="str">
        <f t="shared" si="290"/>
        <v>Normal</v>
      </c>
      <c r="W4651" s="4" t="str">
        <f t="shared" si="291"/>
        <v>Poor</v>
      </c>
      <c r="X4651" s="4">
        <f>AVERAGE(Table1[Purchase Amount])</f>
        <v>129.48419400000012</v>
      </c>
    </row>
    <row r="4652" spans="1:24" ht="15" customHeight="1" x14ac:dyDescent="0.25">
      <c r="A4652">
        <v>4750</v>
      </c>
      <c r="B4652">
        <v>38</v>
      </c>
      <c r="C4652" t="s">
        <v>71</v>
      </c>
      <c r="D4652" t="s">
        <v>95</v>
      </c>
      <c r="E4652" t="s">
        <v>81</v>
      </c>
      <c r="F4652" s="2">
        <v>34.72</v>
      </c>
      <c r="G4652" t="s">
        <v>82</v>
      </c>
      <c r="H4652" t="s">
        <v>31</v>
      </c>
      <c r="I4652" t="s">
        <v>93</v>
      </c>
      <c r="J4652" t="s">
        <v>57</v>
      </c>
      <c r="K4652">
        <v>2</v>
      </c>
      <c r="L4652" t="s">
        <v>34</v>
      </c>
      <c r="M4652" t="s">
        <v>61</v>
      </c>
      <c r="N4652" t="s">
        <v>34</v>
      </c>
      <c r="O4652">
        <v>41</v>
      </c>
      <c r="P4652" t="s">
        <v>53</v>
      </c>
      <c r="Q4652" t="s">
        <v>26</v>
      </c>
      <c r="R4652" s="1">
        <v>0.1</v>
      </c>
      <c r="S4652">
        <f t="shared" si="288"/>
        <v>31.247999999999998</v>
      </c>
      <c r="T4652">
        <f>IFERROR(VLOOKUP(A4652,Table1[[Customer ID]:[Discount Amount]], 6, FALSE),"Not Found")</f>
        <v>34.72</v>
      </c>
      <c r="U4652" t="str">
        <f t="shared" si="289"/>
        <v>Credit Card</v>
      </c>
      <c r="V4652" s="4" t="str">
        <f t="shared" si="290"/>
        <v>Normal</v>
      </c>
      <c r="W4652" s="4" t="str">
        <f t="shared" si="291"/>
        <v>Poor</v>
      </c>
      <c r="X4652" s="4">
        <f>AVERAGE(Table1[Purchase Amount])</f>
        <v>129.48419400000012</v>
      </c>
    </row>
    <row r="4653" spans="1:24" ht="15" customHeight="1" x14ac:dyDescent="0.25">
      <c r="A4653">
        <v>4751</v>
      </c>
      <c r="B4653">
        <v>26</v>
      </c>
      <c r="C4653" t="s">
        <v>16</v>
      </c>
      <c r="D4653" t="s">
        <v>116</v>
      </c>
      <c r="E4653" t="s">
        <v>29</v>
      </c>
      <c r="F4653" s="2">
        <v>0</v>
      </c>
      <c r="G4653" t="s">
        <v>126</v>
      </c>
      <c r="H4653" t="s">
        <v>45</v>
      </c>
      <c r="I4653" t="s">
        <v>40</v>
      </c>
      <c r="J4653" t="s">
        <v>33</v>
      </c>
      <c r="K4653">
        <v>4</v>
      </c>
      <c r="L4653" t="s">
        <v>34</v>
      </c>
      <c r="M4653" t="s">
        <v>61</v>
      </c>
      <c r="N4653" t="s">
        <v>34</v>
      </c>
      <c r="O4653">
        <v>14</v>
      </c>
      <c r="P4653" t="s">
        <v>25</v>
      </c>
      <c r="Q4653" t="s">
        <v>42</v>
      </c>
      <c r="R4653" s="1">
        <v>0.1</v>
      </c>
      <c r="S4653">
        <f t="shared" si="288"/>
        <v>0</v>
      </c>
      <c r="T4653">
        <f>IFERROR(VLOOKUP(A4653,Table1[[Customer ID]:[Discount Amount]], 6, FALSE),"Not Found")</f>
        <v>0</v>
      </c>
      <c r="U4653" t="str">
        <f t="shared" si="289"/>
        <v>Cash</v>
      </c>
      <c r="V4653" s="4" t="str">
        <f t="shared" si="290"/>
        <v>Normal</v>
      </c>
      <c r="W4653" s="4" t="str">
        <f t="shared" si="291"/>
        <v>Good</v>
      </c>
      <c r="X4653" s="4">
        <f>AVERAGE(Table1[Purchase Amount])</f>
        <v>129.48419400000012</v>
      </c>
    </row>
    <row r="4654" spans="1:24" ht="15" customHeight="1" x14ac:dyDescent="0.25">
      <c r="A4654">
        <v>4752</v>
      </c>
      <c r="B4654">
        <v>47</v>
      </c>
      <c r="C4654" t="s">
        <v>27</v>
      </c>
      <c r="D4654" t="s">
        <v>116</v>
      </c>
      <c r="E4654" t="s">
        <v>81</v>
      </c>
      <c r="F4654" s="2">
        <v>1365.82</v>
      </c>
      <c r="G4654" t="s">
        <v>139</v>
      </c>
      <c r="H4654" t="s">
        <v>31</v>
      </c>
      <c r="I4654" t="s">
        <v>46</v>
      </c>
      <c r="J4654" t="s">
        <v>22</v>
      </c>
      <c r="K4654">
        <v>2</v>
      </c>
      <c r="L4654" t="s">
        <v>34</v>
      </c>
      <c r="M4654" t="s">
        <v>24</v>
      </c>
      <c r="N4654" t="s">
        <v>23</v>
      </c>
      <c r="O4654">
        <v>0</v>
      </c>
      <c r="P4654" t="s">
        <v>36</v>
      </c>
      <c r="Q4654" t="s">
        <v>26</v>
      </c>
      <c r="R4654" s="1">
        <v>0.1</v>
      </c>
      <c r="S4654">
        <f t="shared" si="288"/>
        <v>1229.2379999999998</v>
      </c>
      <c r="T4654">
        <f>IFERROR(VLOOKUP(A4654,Table1[[Customer ID]:[Discount Amount]], 6, FALSE),"Not Found")</f>
        <v>1365.82</v>
      </c>
      <c r="U4654" t="str">
        <f t="shared" si="289"/>
        <v>Debit Card</v>
      </c>
      <c r="V4654" s="4" t="str">
        <f t="shared" si="290"/>
        <v>Normal</v>
      </c>
      <c r="W4654" s="4" t="str">
        <f t="shared" si="291"/>
        <v>Poor</v>
      </c>
      <c r="X4654" s="4">
        <f>AVERAGE(Table1[Purchase Amount])</f>
        <v>129.48419400000012</v>
      </c>
    </row>
    <row r="4655" spans="1:24" ht="15" customHeight="1" x14ac:dyDescent="0.25">
      <c r="A4655">
        <v>4753</v>
      </c>
      <c r="B4655">
        <v>48</v>
      </c>
      <c r="C4655" t="s">
        <v>71</v>
      </c>
      <c r="D4655" t="s">
        <v>116</v>
      </c>
      <c r="E4655" t="s">
        <v>81</v>
      </c>
      <c r="F4655" s="2">
        <v>136.29</v>
      </c>
      <c r="G4655" t="s">
        <v>101</v>
      </c>
      <c r="H4655" t="s">
        <v>31</v>
      </c>
      <c r="I4655" t="s">
        <v>32</v>
      </c>
      <c r="J4655" t="s">
        <v>75</v>
      </c>
      <c r="K4655">
        <v>1</v>
      </c>
      <c r="L4655" t="s">
        <v>34</v>
      </c>
      <c r="M4655" t="s">
        <v>24</v>
      </c>
      <c r="N4655" t="s">
        <v>23</v>
      </c>
      <c r="O4655">
        <v>0</v>
      </c>
      <c r="P4655" t="s">
        <v>53</v>
      </c>
      <c r="Q4655" t="s">
        <v>37</v>
      </c>
      <c r="R4655" s="1">
        <v>0.1</v>
      </c>
      <c r="S4655">
        <f t="shared" si="288"/>
        <v>122.66099999999999</v>
      </c>
      <c r="T4655">
        <f>IFERROR(VLOOKUP(A4655,Table1[[Customer ID]:[Discount Amount]], 6, FALSE),"Not Found")</f>
        <v>136.29</v>
      </c>
      <c r="U4655" t="str">
        <f t="shared" si="289"/>
        <v>Credit Card</v>
      </c>
      <c r="V4655" s="4" t="str">
        <f t="shared" si="290"/>
        <v>Normal</v>
      </c>
      <c r="W4655" s="4" t="str">
        <f t="shared" si="291"/>
        <v>Poor</v>
      </c>
      <c r="X4655" s="4">
        <f>AVERAGE(Table1[Purchase Amount])</f>
        <v>129.48419400000012</v>
      </c>
    </row>
    <row r="4656" spans="1:24" ht="15" customHeight="1" x14ac:dyDescent="0.25">
      <c r="A4656">
        <v>4754</v>
      </c>
      <c r="B4656">
        <v>37</v>
      </c>
      <c r="C4656" t="s">
        <v>27</v>
      </c>
      <c r="D4656" t="s">
        <v>95</v>
      </c>
      <c r="E4656" t="s">
        <v>81</v>
      </c>
      <c r="F4656" s="2">
        <v>0</v>
      </c>
      <c r="G4656" t="s">
        <v>139</v>
      </c>
      <c r="H4656" t="s">
        <v>31</v>
      </c>
      <c r="I4656" t="s">
        <v>40</v>
      </c>
      <c r="J4656" t="s">
        <v>22</v>
      </c>
      <c r="K4656">
        <v>1</v>
      </c>
      <c r="L4656" t="s">
        <v>23</v>
      </c>
      <c r="M4656" t="s">
        <v>61</v>
      </c>
      <c r="N4656" t="s">
        <v>34</v>
      </c>
      <c r="O4656">
        <v>0</v>
      </c>
      <c r="P4656" t="s">
        <v>25</v>
      </c>
      <c r="Q4656" t="s">
        <v>37</v>
      </c>
      <c r="R4656" s="1">
        <v>0.1</v>
      </c>
      <c r="S4656">
        <f t="shared" si="288"/>
        <v>0</v>
      </c>
      <c r="T4656">
        <f>IFERROR(VLOOKUP(A4656,Table1[[Customer ID]:[Discount Amount]], 6, FALSE),"Not Found")</f>
        <v>0</v>
      </c>
      <c r="U4656" t="str">
        <f t="shared" si="289"/>
        <v>Cash</v>
      </c>
      <c r="V4656" s="4" t="str">
        <f t="shared" si="290"/>
        <v>Normal</v>
      </c>
      <c r="W4656" s="4" t="str">
        <f t="shared" si="291"/>
        <v>Poor</v>
      </c>
      <c r="X4656" s="4">
        <f>AVERAGE(Table1[Purchase Amount])</f>
        <v>129.48419400000012</v>
      </c>
    </row>
    <row r="4657" spans="1:24" ht="15" customHeight="1" x14ac:dyDescent="0.25">
      <c r="A4657">
        <v>4755</v>
      </c>
      <c r="B4657">
        <v>36</v>
      </c>
      <c r="C4657" t="s">
        <v>16</v>
      </c>
      <c r="D4657" t="s">
        <v>117</v>
      </c>
      <c r="E4657" t="s">
        <v>29</v>
      </c>
      <c r="F4657" s="2">
        <v>0</v>
      </c>
      <c r="G4657" t="s">
        <v>101</v>
      </c>
      <c r="H4657" t="s">
        <v>31</v>
      </c>
      <c r="I4657" t="s">
        <v>93</v>
      </c>
      <c r="J4657" t="s">
        <v>33</v>
      </c>
      <c r="K4657">
        <v>1</v>
      </c>
      <c r="L4657" t="s">
        <v>34</v>
      </c>
      <c r="M4657" t="s">
        <v>61</v>
      </c>
      <c r="N4657" t="s">
        <v>23</v>
      </c>
      <c r="O4657">
        <v>50</v>
      </c>
      <c r="P4657" t="s">
        <v>53</v>
      </c>
      <c r="Q4657" t="s">
        <v>37</v>
      </c>
      <c r="R4657" s="1">
        <v>0.1</v>
      </c>
      <c r="S4657">
        <f t="shared" si="288"/>
        <v>0</v>
      </c>
      <c r="T4657">
        <f>IFERROR(VLOOKUP(A4657,Table1[[Customer ID]:[Discount Amount]], 6, FALSE),"Not Found")</f>
        <v>0</v>
      </c>
      <c r="U4657" t="str">
        <f t="shared" si="289"/>
        <v>Credit Card</v>
      </c>
      <c r="V4657" s="4" t="str">
        <f t="shared" si="290"/>
        <v>Normal</v>
      </c>
      <c r="W4657" s="4" t="str">
        <f t="shared" si="291"/>
        <v>Poor</v>
      </c>
      <c r="X4657" s="4">
        <f>AVERAGE(Table1[Purchase Amount])</f>
        <v>129.48419400000012</v>
      </c>
    </row>
    <row r="4658" spans="1:24" ht="15" customHeight="1" x14ac:dyDescent="0.25">
      <c r="A4658">
        <v>4756</v>
      </c>
      <c r="B4658">
        <v>29</v>
      </c>
      <c r="C4658" t="s">
        <v>71</v>
      </c>
      <c r="D4658" t="s">
        <v>80</v>
      </c>
      <c r="E4658" t="s">
        <v>18</v>
      </c>
      <c r="F4658" s="2">
        <v>326.75</v>
      </c>
      <c r="G4658" t="s">
        <v>101</v>
      </c>
      <c r="H4658" t="s">
        <v>31</v>
      </c>
      <c r="I4658" t="s">
        <v>74</v>
      </c>
      <c r="J4658" t="s">
        <v>33</v>
      </c>
      <c r="K4658">
        <v>5</v>
      </c>
      <c r="L4658" t="s">
        <v>23</v>
      </c>
      <c r="M4658" t="s">
        <v>24</v>
      </c>
      <c r="N4658" t="s">
        <v>23</v>
      </c>
      <c r="O4658">
        <v>0</v>
      </c>
      <c r="P4658" t="s">
        <v>36</v>
      </c>
      <c r="Q4658" t="s">
        <v>26</v>
      </c>
      <c r="R4658" s="1">
        <v>0.1</v>
      </c>
      <c r="S4658">
        <f t="shared" si="288"/>
        <v>294.07499999999999</v>
      </c>
      <c r="T4658">
        <f>IFERROR(VLOOKUP(A4658,Table1[[Customer ID]:[Discount Amount]], 6, FALSE),"Not Found")</f>
        <v>326.75</v>
      </c>
      <c r="U4658" t="str">
        <f t="shared" si="289"/>
        <v>Debit Card</v>
      </c>
      <c r="V4658" s="4" t="str">
        <f t="shared" si="290"/>
        <v>Normal</v>
      </c>
      <c r="W4658" s="4" t="str">
        <f t="shared" si="291"/>
        <v>Good</v>
      </c>
      <c r="X4658" s="4">
        <f>AVERAGE(Table1[Purchase Amount])</f>
        <v>129.48419400000012</v>
      </c>
    </row>
    <row r="4659" spans="1:24" ht="15" customHeight="1" x14ac:dyDescent="0.25">
      <c r="A4659">
        <v>4757</v>
      </c>
      <c r="B4659">
        <v>51</v>
      </c>
      <c r="C4659" t="s">
        <v>71</v>
      </c>
      <c r="D4659" t="s">
        <v>117</v>
      </c>
      <c r="E4659" t="s">
        <v>29</v>
      </c>
      <c r="F4659" s="2">
        <v>337.04</v>
      </c>
      <c r="G4659" t="s">
        <v>139</v>
      </c>
      <c r="H4659" t="s">
        <v>45</v>
      </c>
      <c r="I4659" t="s">
        <v>74</v>
      </c>
      <c r="J4659" t="s">
        <v>57</v>
      </c>
      <c r="K4659">
        <v>1</v>
      </c>
      <c r="L4659" t="s">
        <v>34</v>
      </c>
      <c r="M4659" t="s">
        <v>61</v>
      </c>
      <c r="N4659" t="s">
        <v>34</v>
      </c>
      <c r="O4659">
        <v>0</v>
      </c>
      <c r="P4659" t="s">
        <v>53</v>
      </c>
      <c r="Q4659" t="s">
        <v>37</v>
      </c>
      <c r="R4659" s="1">
        <v>0.1</v>
      </c>
      <c r="S4659">
        <f t="shared" si="288"/>
        <v>303.33600000000001</v>
      </c>
      <c r="T4659">
        <f>IFERROR(VLOOKUP(A4659,Table1[[Customer ID]:[Discount Amount]], 6, FALSE),"Not Found")</f>
        <v>337.04</v>
      </c>
      <c r="U4659" t="str">
        <f t="shared" si="289"/>
        <v>Credit Card</v>
      </c>
      <c r="V4659" s="4" t="str">
        <f t="shared" si="290"/>
        <v>Normal</v>
      </c>
      <c r="W4659" s="4" t="str">
        <f t="shared" si="291"/>
        <v>Poor</v>
      </c>
      <c r="X4659" s="4">
        <f>AVERAGE(Table1[Purchase Amount])</f>
        <v>129.48419400000012</v>
      </c>
    </row>
    <row r="4660" spans="1:24" ht="15" customHeight="1" x14ac:dyDescent="0.25">
      <c r="A4660">
        <v>4758</v>
      </c>
      <c r="B4660">
        <v>45</v>
      </c>
      <c r="C4660" t="s">
        <v>16</v>
      </c>
      <c r="D4660" t="s">
        <v>112</v>
      </c>
      <c r="E4660" t="s">
        <v>18</v>
      </c>
      <c r="F4660" s="2">
        <v>0</v>
      </c>
      <c r="G4660" t="s">
        <v>126</v>
      </c>
      <c r="H4660" t="s">
        <v>31</v>
      </c>
      <c r="I4660" t="s">
        <v>93</v>
      </c>
      <c r="J4660" t="s">
        <v>57</v>
      </c>
      <c r="K4660">
        <v>3</v>
      </c>
      <c r="L4660" t="s">
        <v>23</v>
      </c>
      <c r="M4660" t="s">
        <v>24</v>
      </c>
      <c r="N4660" t="s">
        <v>23</v>
      </c>
      <c r="O4660">
        <v>0</v>
      </c>
      <c r="P4660" t="s">
        <v>25</v>
      </c>
      <c r="Q4660" t="s">
        <v>26</v>
      </c>
      <c r="R4660" s="1">
        <v>0.1</v>
      </c>
      <c r="S4660">
        <f t="shared" si="288"/>
        <v>0</v>
      </c>
      <c r="T4660">
        <f>IFERROR(VLOOKUP(A4660,Table1[[Customer ID]:[Discount Amount]], 6, FALSE),"Not Found")</f>
        <v>0</v>
      </c>
      <c r="U4660" t="str">
        <f t="shared" si="289"/>
        <v>Cash</v>
      </c>
      <c r="V4660" s="4" t="str">
        <f t="shared" si="290"/>
        <v>Normal</v>
      </c>
      <c r="W4660" s="4" t="str">
        <f t="shared" si="291"/>
        <v>Good</v>
      </c>
      <c r="X4660" s="4">
        <f>AVERAGE(Table1[Purchase Amount])</f>
        <v>129.48419400000012</v>
      </c>
    </row>
    <row r="4661" spans="1:24" ht="15" customHeight="1" x14ac:dyDescent="0.25">
      <c r="A4661">
        <v>4759</v>
      </c>
      <c r="B4661">
        <v>19</v>
      </c>
      <c r="C4661" t="s">
        <v>16</v>
      </c>
      <c r="D4661" t="s">
        <v>80</v>
      </c>
      <c r="E4661" t="s">
        <v>18</v>
      </c>
      <c r="F4661" s="2">
        <v>478.29</v>
      </c>
      <c r="G4661" t="s">
        <v>101</v>
      </c>
      <c r="H4661" t="s">
        <v>55</v>
      </c>
      <c r="I4661" t="s">
        <v>40</v>
      </c>
      <c r="J4661" t="s">
        <v>33</v>
      </c>
      <c r="K4661">
        <v>1</v>
      </c>
      <c r="L4661" t="s">
        <v>34</v>
      </c>
      <c r="M4661" t="s">
        <v>24</v>
      </c>
      <c r="N4661" t="s">
        <v>34</v>
      </c>
      <c r="O4661">
        <v>0</v>
      </c>
      <c r="P4661" t="s">
        <v>53</v>
      </c>
      <c r="Q4661" t="s">
        <v>42</v>
      </c>
      <c r="R4661" s="1">
        <v>0.1</v>
      </c>
      <c r="S4661">
        <f t="shared" si="288"/>
        <v>430.46100000000001</v>
      </c>
      <c r="T4661">
        <f>IFERROR(VLOOKUP(A4661,Table1[[Customer ID]:[Discount Amount]], 6, FALSE),"Not Found")</f>
        <v>478.29</v>
      </c>
      <c r="U4661" t="str">
        <f t="shared" si="289"/>
        <v>Credit Card</v>
      </c>
      <c r="V4661" s="4" t="str">
        <f t="shared" si="290"/>
        <v>Normal</v>
      </c>
      <c r="W4661" s="4" t="str">
        <f t="shared" si="291"/>
        <v>Poor</v>
      </c>
      <c r="X4661" s="4">
        <f>AVERAGE(Table1[Purchase Amount])</f>
        <v>129.48419400000012</v>
      </c>
    </row>
    <row r="4662" spans="1:24" ht="15" customHeight="1" x14ac:dyDescent="0.25">
      <c r="A4662">
        <v>4760</v>
      </c>
      <c r="B4662">
        <v>41</v>
      </c>
      <c r="C4662" t="s">
        <v>71</v>
      </c>
      <c r="D4662" t="s">
        <v>80</v>
      </c>
      <c r="E4662" t="s">
        <v>81</v>
      </c>
      <c r="F4662" s="2">
        <v>0</v>
      </c>
      <c r="G4662" t="s">
        <v>139</v>
      </c>
      <c r="H4662" t="s">
        <v>31</v>
      </c>
      <c r="I4662" t="s">
        <v>32</v>
      </c>
      <c r="J4662" t="s">
        <v>57</v>
      </c>
      <c r="K4662">
        <v>5</v>
      </c>
      <c r="L4662" t="s">
        <v>34</v>
      </c>
      <c r="M4662" t="s">
        <v>61</v>
      </c>
      <c r="N4662" t="s">
        <v>34</v>
      </c>
      <c r="O4662">
        <v>0</v>
      </c>
      <c r="P4662" t="s">
        <v>36</v>
      </c>
      <c r="Q4662" t="s">
        <v>26</v>
      </c>
      <c r="R4662" s="1">
        <v>0.1</v>
      </c>
      <c r="S4662">
        <f t="shared" si="288"/>
        <v>0</v>
      </c>
      <c r="T4662">
        <f>IFERROR(VLOOKUP(A4662,Table1[[Customer ID]:[Discount Amount]], 6, FALSE),"Not Found")</f>
        <v>0</v>
      </c>
      <c r="U4662" t="str">
        <f t="shared" si="289"/>
        <v>Debit Card</v>
      </c>
      <c r="V4662" s="4" t="str">
        <f t="shared" si="290"/>
        <v>Normal</v>
      </c>
      <c r="W4662" s="4" t="str">
        <f t="shared" si="291"/>
        <v>Good</v>
      </c>
      <c r="X4662" s="4">
        <f>AVERAGE(Table1[Purchase Amount])</f>
        <v>129.48419400000012</v>
      </c>
    </row>
    <row r="4663" spans="1:24" ht="15" customHeight="1" x14ac:dyDescent="0.25">
      <c r="A4663">
        <v>4761</v>
      </c>
      <c r="B4663">
        <v>63</v>
      </c>
      <c r="C4663" t="s">
        <v>16</v>
      </c>
      <c r="D4663" t="s">
        <v>95</v>
      </c>
      <c r="E4663" t="s">
        <v>18</v>
      </c>
      <c r="F4663" s="2">
        <v>0</v>
      </c>
      <c r="G4663" t="s">
        <v>101</v>
      </c>
      <c r="H4663" t="s">
        <v>55</v>
      </c>
      <c r="I4663" t="s">
        <v>40</v>
      </c>
      <c r="J4663" t="s">
        <v>33</v>
      </c>
      <c r="K4663">
        <v>1</v>
      </c>
      <c r="L4663" t="s">
        <v>23</v>
      </c>
      <c r="M4663" t="s">
        <v>61</v>
      </c>
      <c r="N4663" t="s">
        <v>23</v>
      </c>
      <c r="O4663">
        <v>0</v>
      </c>
      <c r="P4663" t="s">
        <v>25</v>
      </c>
      <c r="Q4663" t="s">
        <v>37</v>
      </c>
      <c r="R4663" s="1">
        <v>0.1</v>
      </c>
      <c r="S4663">
        <f t="shared" si="288"/>
        <v>0</v>
      </c>
      <c r="T4663">
        <f>IFERROR(VLOOKUP(A4663,Table1[[Customer ID]:[Discount Amount]], 6, FALSE),"Not Found")</f>
        <v>0</v>
      </c>
      <c r="U4663" t="str">
        <f t="shared" si="289"/>
        <v>Cash</v>
      </c>
      <c r="V4663" s="4" t="str">
        <f t="shared" si="290"/>
        <v>Normal</v>
      </c>
      <c r="W4663" s="4" t="str">
        <f t="shared" si="291"/>
        <v>Poor</v>
      </c>
      <c r="X4663" s="4">
        <f>AVERAGE(Table1[Purchase Amount])</f>
        <v>129.48419400000012</v>
      </c>
    </row>
    <row r="4664" spans="1:24" ht="15" customHeight="1" x14ac:dyDescent="0.25">
      <c r="A4664">
        <v>4762</v>
      </c>
      <c r="B4664">
        <v>39</v>
      </c>
      <c r="C4664" t="s">
        <v>71</v>
      </c>
      <c r="D4664" t="s">
        <v>80</v>
      </c>
      <c r="E4664" t="s">
        <v>18</v>
      </c>
      <c r="F4664" s="2">
        <v>0</v>
      </c>
      <c r="G4664" t="s">
        <v>126</v>
      </c>
      <c r="H4664" t="s">
        <v>31</v>
      </c>
      <c r="I4664" t="s">
        <v>32</v>
      </c>
      <c r="J4664" t="s">
        <v>57</v>
      </c>
      <c r="K4664">
        <v>1</v>
      </c>
      <c r="L4664" t="s">
        <v>34</v>
      </c>
      <c r="M4664" t="s">
        <v>61</v>
      </c>
      <c r="N4664" t="s">
        <v>23</v>
      </c>
      <c r="O4664">
        <v>0</v>
      </c>
      <c r="P4664" t="s">
        <v>36</v>
      </c>
      <c r="Q4664" t="s">
        <v>37</v>
      </c>
      <c r="R4664" s="1">
        <v>0.1</v>
      </c>
      <c r="S4664">
        <f t="shared" si="288"/>
        <v>0</v>
      </c>
      <c r="T4664">
        <f>IFERROR(VLOOKUP(A4664,Table1[[Customer ID]:[Discount Amount]], 6, FALSE),"Not Found")</f>
        <v>0</v>
      </c>
      <c r="U4664" t="str">
        <f t="shared" si="289"/>
        <v>Debit Card</v>
      </c>
      <c r="V4664" s="4" t="str">
        <f t="shared" si="290"/>
        <v>Normal</v>
      </c>
      <c r="W4664" s="4" t="str">
        <f t="shared" si="291"/>
        <v>Poor</v>
      </c>
      <c r="X4664" s="4">
        <f>AVERAGE(Table1[Purchase Amount])</f>
        <v>129.48419400000012</v>
      </c>
    </row>
    <row r="4665" spans="1:24" ht="15" customHeight="1" x14ac:dyDescent="0.25">
      <c r="A4665">
        <v>4763</v>
      </c>
      <c r="B4665">
        <v>69</v>
      </c>
      <c r="C4665" t="s">
        <v>71</v>
      </c>
      <c r="D4665" t="s">
        <v>80</v>
      </c>
      <c r="E4665" t="s">
        <v>81</v>
      </c>
      <c r="F4665" s="2">
        <v>426.12</v>
      </c>
      <c r="G4665" t="s">
        <v>101</v>
      </c>
      <c r="H4665" t="s">
        <v>31</v>
      </c>
      <c r="I4665" t="s">
        <v>46</v>
      </c>
      <c r="J4665" t="s">
        <v>33</v>
      </c>
      <c r="K4665">
        <v>4</v>
      </c>
      <c r="L4665" t="s">
        <v>23</v>
      </c>
      <c r="M4665" t="s">
        <v>24</v>
      </c>
      <c r="N4665" t="s">
        <v>34</v>
      </c>
      <c r="O4665">
        <v>50</v>
      </c>
      <c r="P4665" t="s">
        <v>58</v>
      </c>
      <c r="Q4665" t="s">
        <v>37</v>
      </c>
      <c r="R4665" s="1">
        <v>0.1</v>
      </c>
      <c r="S4665">
        <f t="shared" si="288"/>
        <v>383.50799999999998</v>
      </c>
      <c r="T4665">
        <f>IFERROR(VLOOKUP(A4665,Table1[[Customer ID]:[Discount Amount]], 6, FALSE),"Not Found")</f>
        <v>426.12</v>
      </c>
      <c r="U4665" t="str">
        <f t="shared" si="289"/>
        <v>PayPal</v>
      </c>
      <c r="V4665" s="4" t="str">
        <f t="shared" si="290"/>
        <v>Normal</v>
      </c>
      <c r="W4665" s="4" t="str">
        <f t="shared" si="291"/>
        <v>Good</v>
      </c>
      <c r="X4665" s="4">
        <f>AVERAGE(Table1[Purchase Amount])</f>
        <v>129.48419400000012</v>
      </c>
    </row>
    <row r="4666" spans="1:24" ht="15" customHeight="1" x14ac:dyDescent="0.25">
      <c r="A4666">
        <v>4764</v>
      </c>
      <c r="B4666">
        <v>32</v>
      </c>
      <c r="C4666" t="s">
        <v>71</v>
      </c>
      <c r="D4666" t="s">
        <v>95</v>
      </c>
      <c r="E4666" t="s">
        <v>29</v>
      </c>
      <c r="F4666" s="2">
        <v>1192.93</v>
      </c>
      <c r="G4666" t="s">
        <v>126</v>
      </c>
      <c r="H4666" t="s">
        <v>55</v>
      </c>
      <c r="I4666" t="s">
        <v>74</v>
      </c>
      <c r="J4666" t="s">
        <v>75</v>
      </c>
      <c r="K4666">
        <v>2</v>
      </c>
      <c r="L4666" t="s">
        <v>34</v>
      </c>
      <c r="M4666" t="s">
        <v>24</v>
      </c>
      <c r="N4666" t="s">
        <v>23</v>
      </c>
      <c r="O4666">
        <v>41</v>
      </c>
      <c r="P4666" t="s">
        <v>36</v>
      </c>
      <c r="Q4666" t="s">
        <v>42</v>
      </c>
      <c r="R4666" s="1">
        <v>0.1</v>
      </c>
      <c r="S4666">
        <f t="shared" si="288"/>
        <v>1073.6370000000002</v>
      </c>
      <c r="T4666">
        <f>IFERROR(VLOOKUP(A4666,Table1[[Customer ID]:[Discount Amount]], 6, FALSE),"Not Found")</f>
        <v>1192.93</v>
      </c>
      <c r="U4666" t="str">
        <f t="shared" si="289"/>
        <v>Debit Card</v>
      </c>
      <c r="V4666" s="4" t="str">
        <f t="shared" si="290"/>
        <v>Normal</v>
      </c>
      <c r="W4666" s="4" t="str">
        <f t="shared" si="291"/>
        <v>Poor</v>
      </c>
      <c r="X4666" s="4">
        <f>AVERAGE(Table1[Purchase Amount])</f>
        <v>129.48419400000012</v>
      </c>
    </row>
    <row r="4667" spans="1:24" ht="15" customHeight="1" x14ac:dyDescent="0.25">
      <c r="A4667">
        <v>4765</v>
      </c>
      <c r="B4667">
        <v>67</v>
      </c>
      <c r="C4667" t="s">
        <v>27</v>
      </c>
      <c r="D4667" t="s">
        <v>116</v>
      </c>
      <c r="E4667" t="s">
        <v>18</v>
      </c>
      <c r="F4667" s="2">
        <v>0</v>
      </c>
      <c r="G4667" t="s">
        <v>126</v>
      </c>
      <c r="H4667" t="s">
        <v>20</v>
      </c>
      <c r="I4667" t="s">
        <v>74</v>
      </c>
      <c r="J4667" t="s">
        <v>75</v>
      </c>
      <c r="K4667">
        <v>1</v>
      </c>
      <c r="L4667" t="s">
        <v>23</v>
      </c>
      <c r="M4667" t="s">
        <v>61</v>
      </c>
      <c r="N4667" t="s">
        <v>23</v>
      </c>
      <c r="O4667">
        <v>50</v>
      </c>
      <c r="P4667" t="s">
        <v>25</v>
      </c>
      <c r="Q4667" t="s">
        <v>42</v>
      </c>
      <c r="R4667" s="1">
        <v>0.1</v>
      </c>
      <c r="S4667">
        <f t="shared" si="288"/>
        <v>0</v>
      </c>
      <c r="T4667">
        <f>IFERROR(VLOOKUP(A4667,Table1[[Customer ID]:[Discount Amount]], 6, FALSE),"Not Found")</f>
        <v>0</v>
      </c>
      <c r="U4667" t="str">
        <f t="shared" si="289"/>
        <v>Cash</v>
      </c>
      <c r="V4667" s="4" t="str">
        <f t="shared" si="290"/>
        <v>Normal</v>
      </c>
      <c r="W4667" s="4" t="str">
        <f t="shared" si="291"/>
        <v>Poor</v>
      </c>
      <c r="X4667" s="4">
        <f>AVERAGE(Table1[Purchase Amount])</f>
        <v>129.48419400000012</v>
      </c>
    </row>
    <row r="4668" spans="1:24" ht="15" customHeight="1" x14ac:dyDescent="0.25">
      <c r="A4668">
        <v>4766</v>
      </c>
      <c r="B4668">
        <v>44</v>
      </c>
      <c r="C4668" t="s">
        <v>16</v>
      </c>
      <c r="D4668" t="s">
        <v>117</v>
      </c>
      <c r="E4668" t="s">
        <v>29</v>
      </c>
      <c r="F4668" s="2">
        <v>742.32</v>
      </c>
      <c r="G4668" t="s">
        <v>139</v>
      </c>
      <c r="H4668" t="s">
        <v>45</v>
      </c>
      <c r="I4668" t="s">
        <v>40</v>
      </c>
      <c r="J4668" t="s">
        <v>75</v>
      </c>
      <c r="K4668">
        <v>1</v>
      </c>
      <c r="L4668" t="s">
        <v>23</v>
      </c>
      <c r="M4668" t="s">
        <v>24</v>
      </c>
      <c r="N4668" t="s">
        <v>23</v>
      </c>
      <c r="O4668">
        <v>0</v>
      </c>
      <c r="P4668" t="s">
        <v>25</v>
      </c>
      <c r="Q4668" t="s">
        <v>42</v>
      </c>
      <c r="R4668" s="1">
        <v>0.1</v>
      </c>
      <c r="S4668">
        <f t="shared" si="288"/>
        <v>668.08800000000008</v>
      </c>
      <c r="T4668">
        <f>IFERROR(VLOOKUP(A4668,Table1[[Customer ID]:[Discount Amount]], 6, FALSE),"Not Found")</f>
        <v>742.32</v>
      </c>
      <c r="U4668" t="str">
        <f t="shared" si="289"/>
        <v>Cash</v>
      </c>
      <c r="V4668" s="4" t="str">
        <f t="shared" si="290"/>
        <v>Normal</v>
      </c>
      <c r="W4668" s="4" t="str">
        <f t="shared" si="291"/>
        <v>Poor</v>
      </c>
      <c r="X4668" s="4">
        <f>AVERAGE(Table1[Purchase Amount])</f>
        <v>129.48419400000012</v>
      </c>
    </row>
    <row r="4669" spans="1:24" ht="15" customHeight="1" x14ac:dyDescent="0.25">
      <c r="A4669">
        <v>4767</v>
      </c>
      <c r="B4669">
        <v>34</v>
      </c>
      <c r="C4669" t="s">
        <v>27</v>
      </c>
      <c r="D4669" t="s">
        <v>112</v>
      </c>
      <c r="E4669" t="s">
        <v>29</v>
      </c>
      <c r="F4669" s="2">
        <v>0</v>
      </c>
      <c r="G4669" t="s">
        <v>82</v>
      </c>
      <c r="H4669" t="s">
        <v>31</v>
      </c>
      <c r="I4669" t="s">
        <v>32</v>
      </c>
      <c r="J4669" t="s">
        <v>75</v>
      </c>
      <c r="K4669">
        <v>5</v>
      </c>
      <c r="L4669" t="s">
        <v>34</v>
      </c>
      <c r="M4669" t="s">
        <v>61</v>
      </c>
      <c r="N4669" t="s">
        <v>34</v>
      </c>
      <c r="O4669">
        <v>0</v>
      </c>
      <c r="P4669" t="s">
        <v>53</v>
      </c>
      <c r="Q4669" t="s">
        <v>42</v>
      </c>
      <c r="R4669" s="1">
        <v>0.1</v>
      </c>
      <c r="S4669">
        <f t="shared" si="288"/>
        <v>0</v>
      </c>
      <c r="T4669">
        <f>IFERROR(VLOOKUP(A4669,Table1[[Customer ID]:[Discount Amount]], 6, FALSE),"Not Found")</f>
        <v>0</v>
      </c>
      <c r="U4669" t="str">
        <f t="shared" si="289"/>
        <v>Credit Card</v>
      </c>
      <c r="V4669" s="4" t="str">
        <f t="shared" si="290"/>
        <v>Normal</v>
      </c>
      <c r="W4669" s="4" t="str">
        <f t="shared" si="291"/>
        <v>Good</v>
      </c>
      <c r="X4669" s="4">
        <f>AVERAGE(Table1[Purchase Amount])</f>
        <v>129.48419400000012</v>
      </c>
    </row>
    <row r="4670" spans="1:24" ht="15" customHeight="1" x14ac:dyDescent="0.25">
      <c r="A4670">
        <v>4768</v>
      </c>
      <c r="B4670">
        <v>68</v>
      </c>
      <c r="C4670" t="s">
        <v>27</v>
      </c>
      <c r="D4670" t="s">
        <v>117</v>
      </c>
      <c r="E4670" t="s">
        <v>81</v>
      </c>
      <c r="F4670" s="2">
        <v>0</v>
      </c>
      <c r="G4670" t="s">
        <v>73</v>
      </c>
      <c r="H4670" t="s">
        <v>31</v>
      </c>
      <c r="I4670" t="s">
        <v>40</v>
      </c>
      <c r="J4670" t="s">
        <v>33</v>
      </c>
      <c r="K4670">
        <v>2</v>
      </c>
      <c r="L4670" t="s">
        <v>34</v>
      </c>
      <c r="M4670" t="s">
        <v>24</v>
      </c>
      <c r="N4670" t="s">
        <v>23</v>
      </c>
      <c r="O4670">
        <v>44</v>
      </c>
      <c r="P4670" t="s">
        <v>25</v>
      </c>
      <c r="Q4670" t="s">
        <v>26</v>
      </c>
      <c r="R4670" s="1">
        <v>0.1</v>
      </c>
      <c r="S4670">
        <f t="shared" si="288"/>
        <v>0</v>
      </c>
      <c r="T4670">
        <f>IFERROR(VLOOKUP(A4670,Table1[[Customer ID]:[Discount Amount]], 6, FALSE),"Not Found")</f>
        <v>0</v>
      </c>
      <c r="U4670" t="str">
        <f t="shared" si="289"/>
        <v>Cash</v>
      </c>
      <c r="V4670" s="4" t="str">
        <f t="shared" si="290"/>
        <v>Normal</v>
      </c>
      <c r="W4670" s="4" t="str">
        <f t="shared" si="291"/>
        <v>Poor</v>
      </c>
      <c r="X4670" s="4">
        <f>AVERAGE(Table1[Purchase Amount])</f>
        <v>129.48419400000012</v>
      </c>
    </row>
    <row r="4671" spans="1:24" ht="15" customHeight="1" x14ac:dyDescent="0.25">
      <c r="A4671">
        <v>4769</v>
      </c>
      <c r="B4671">
        <v>28</v>
      </c>
      <c r="C4671" t="s">
        <v>27</v>
      </c>
      <c r="D4671" t="s">
        <v>112</v>
      </c>
      <c r="E4671" t="s">
        <v>29</v>
      </c>
      <c r="F4671" s="2">
        <v>0</v>
      </c>
      <c r="G4671" t="s">
        <v>126</v>
      </c>
      <c r="H4671" t="s">
        <v>45</v>
      </c>
      <c r="I4671" t="s">
        <v>40</v>
      </c>
      <c r="J4671" t="s">
        <v>57</v>
      </c>
      <c r="K4671">
        <v>1</v>
      </c>
      <c r="L4671" t="s">
        <v>23</v>
      </c>
      <c r="M4671" t="s">
        <v>61</v>
      </c>
      <c r="N4671" t="s">
        <v>23</v>
      </c>
      <c r="O4671">
        <v>0</v>
      </c>
      <c r="P4671" t="s">
        <v>25</v>
      </c>
      <c r="Q4671" t="s">
        <v>37</v>
      </c>
      <c r="R4671" s="1">
        <v>0.1</v>
      </c>
      <c r="S4671">
        <f t="shared" si="288"/>
        <v>0</v>
      </c>
      <c r="T4671">
        <f>IFERROR(VLOOKUP(A4671,Table1[[Customer ID]:[Discount Amount]], 6, FALSE),"Not Found")</f>
        <v>0</v>
      </c>
      <c r="U4671" t="str">
        <f t="shared" si="289"/>
        <v>Cash</v>
      </c>
      <c r="V4671" s="4" t="str">
        <f t="shared" si="290"/>
        <v>Normal</v>
      </c>
      <c r="W4671" s="4" t="str">
        <f t="shared" si="291"/>
        <v>Poor</v>
      </c>
      <c r="X4671" s="4">
        <f>AVERAGE(Table1[Purchase Amount])</f>
        <v>129.48419400000012</v>
      </c>
    </row>
    <row r="4672" spans="1:24" ht="15" customHeight="1" x14ac:dyDescent="0.25">
      <c r="A4672">
        <v>4770</v>
      </c>
      <c r="B4672">
        <v>65</v>
      </c>
      <c r="C4672" t="s">
        <v>27</v>
      </c>
      <c r="D4672" t="s">
        <v>38</v>
      </c>
      <c r="E4672" t="s">
        <v>29</v>
      </c>
      <c r="F4672" s="2">
        <v>1273.3499999999999</v>
      </c>
      <c r="G4672" t="s">
        <v>139</v>
      </c>
      <c r="H4672" t="s">
        <v>45</v>
      </c>
      <c r="I4672" t="s">
        <v>32</v>
      </c>
      <c r="J4672" t="s">
        <v>33</v>
      </c>
      <c r="K4672">
        <v>1</v>
      </c>
      <c r="L4672" t="s">
        <v>23</v>
      </c>
      <c r="M4672" t="s">
        <v>61</v>
      </c>
      <c r="N4672" t="s">
        <v>34</v>
      </c>
      <c r="O4672">
        <v>0</v>
      </c>
      <c r="P4672" t="s">
        <v>36</v>
      </c>
      <c r="Q4672" t="s">
        <v>42</v>
      </c>
      <c r="R4672" s="1">
        <v>0.1</v>
      </c>
      <c r="S4672">
        <f t="shared" si="288"/>
        <v>1146.0149999999999</v>
      </c>
      <c r="T4672">
        <f>IFERROR(VLOOKUP(A4672,Table1[[Customer ID]:[Discount Amount]], 6, FALSE),"Not Found")</f>
        <v>1273.3499999999999</v>
      </c>
      <c r="U4672" t="str">
        <f t="shared" si="289"/>
        <v>Debit Card</v>
      </c>
      <c r="V4672" s="4" t="str">
        <f t="shared" si="290"/>
        <v>Normal</v>
      </c>
      <c r="W4672" s="4" t="str">
        <f t="shared" si="291"/>
        <v>Poor</v>
      </c>
      <c r="X4672" s="4">
        <f>AVERAGE(Table1[Purchase Amount])</f>
        <v>129.48419400000012</v>
      </c>
    </row>
    <row r="4673" spans="1:24" ht="15" customHeight="1" x14ac:dyDescent="0.25">
      <c r="A4673">
        <v>4771</v>
      </c>
      <c r="B4673">
        <v>51</v>
      </c>
      <c r="C4673" t="s">
        <v>16</v>
      </c>
      <c r="D4673" t="s">
        <v>112</v>
      </c>
      <c r="E4673" t="s">
        <v>81</v>
      </c>
      <c r="F4673" s="2">
        <v>124.66</v>
      </c>
      <c r="G4673" t="s">
        <v>101</v>
      </c>
      <c r="H4673" t="s">
        <v>31</v>
      </c>
      <c r="I4673" t="s">
        <v>32</v>
      </c>
      <c r="J4673" t="s">
        <v>75</v>
      </c>
      <c r="K4673">
        <v>1</v>
      </c>
      <c r="L4673" t="s">
        <v>23</v>
      </c>
      <c r="M4673" t="s">
        <v>61</v>
      </c>
      <c r="N4673" t="s">
        <v>23</v>
      </c>
      <c r="O4673">
        <v>3</v>
      </c>
      <c r="P4673" t="s">
        <v>25</v>
      </c>
      <c r="Q4673" t="s">
        <v>26</v>
      </c>
      <c r="R4673" s="1">
        <v>0.1</v>
      </c>
      <c r="S4673">
        <f t="shared" si="288"/>
        <v>112.19399999999999</v>
      </c>
      <c r="T4673">
        <f>IFERROR(VLOOKUP(A4673,Table1[[Customer ID]:[Discount Amount]], 6, FALSE),"Not Found")</f>
        <v>124.66</v>
      </c>
      <c r="U4673" t="str">
        <f t="shared" si="289"/>
        <v>Cash</v>
      </c>
      <c r="V4673" s="4" t="str">
        <f t="shared" si="290"/>
        <v>Normal</v>
      </c>
      <c r="W4673" s="4" t="str">
        <f t="shared" si="291"/>
        <v>Poor</v>
      </c>
      <c r="X4673" s="4">
        <f>AVERAGE(Table1[Purchase Amount])</f>
        <v>129.48419400000012</v>
      </c>
    </row>
    <row r="4674" spans="1:24" ht="15" customHeight="1" x14ac:dyDescent="0.25">
      <c r="A4674">
        <v>4772</v>
      </c>
      <c r="B4674">
        <v>50</v>
      </c>
      <c r="C4674" t="s">
        <v>16</v>
      </c>
      <c r="D4674" t="s">
        <v>72</v>
      </c>
      <c r="E4674" t="s">
        <v>18</v>
      </c>
      <c r="F4674" s="2">
        <v>0</v>
      </c>
      <c r="G4674" t="s">
        <v>82</v>
      </c>
      <c r="H4674" t="s">
        <v>45</v>
      </c>
      <c r="I4674" t="s">
        <v>40</v>
      </c>
      <c r="J4674" t="s">
        <v>33</v>
      </c>
      <c r="K4674">
        <v>1</v>
      </c>
      <c r="L4674" t="s">
        <v>34</v>
      </c>
      <c r="M4674" t="s">
        <v>24</v>
      </c>
      <c r="N4674" t="s">
        <v>23</v>
      </c>
      <c r="O4674">
        <v>18</v>
      </c>
      <c r="P4674" t="s">
        <v>53</v>
      </c>
      <c r="Q4674" t="s">
        <v>26</v>
      </c>
      <c r="R4674" s="1">
        <v>0.1</v>
      </c>
      <c r="S4674">
        <f t="shared" ref="S4674:S4737" si="292">F4674-(F4674*R4674)</f>
        <v>0</v>
      </c>
      <c r="T4674">
        <f>IFERROR(VLOOKUP(A4674,Table1[[Customer ID]:[Discount Amount]], 6, FALSE),"Not Found")</f>
        <v>0</v>
      </c>
      <c r="U4674" t="str">
        <f t="shared" ref="U4674:U4737" si="293">INDEX(P:P, MATCH(A4674, A:A, 0))</f>
        <v>Credit Card</v>
      </c>
      <c r="V4674" s="4" t="str">
        <f t="shared" ref="V4674:V4737" si="294">IF(AND(F4674&gt;1000,K4674&gt;=4),"Best Customer","Normal")</f>
        <v>Normal</v>
      </c>
      <c r="W4674" s="4" t="str">
        <f t="shared" ref="W4674:W4737" si="295">IF(K4674&gt;=3,"Good","Poor")</f>
        <v>Poor</v>
      </c>
      <c r="X4674" s="4">
        <f>AVERAGE(Table1[Purchase Amount])</f>
        <v>129.48419400000012</v>
      </c>
    </row>
    <row r="4675" spans="1:24" ht="15" customHeight="1" x14ac:dyDescent="0.25">
      <c r="A4675">
        <v>4773</v>
      </c>
      <c r="B4675">
        <v>68</v>
      </c>
      <c r="C4675" t="s">
        <v>71</v>
      </c>
      <c r="D4675" t="s">
        <v>116</v>
      </c>
      <c r="E4675" t="s">
        <v>81</v>
      </c>
      <c r="F4675" s="2">
        <v>0</v>
      </c>
      <c r="G4675" t="s">
        <v>73</v>
      </c>
      <c r="H4675" t="s">
        <v>31</v>
      </c>
      <c r="I4675" t="s">
        <v>32</v>
      </c>
      <c r="J4675" t="s">
        <v>75</v>
      </c>
      <c r="K4675">
        <v>1</v>
      </c>
      <c r="L4675" t="s">
        <v>34</v>
      </c>
      <c r="M4675" t="s">
        <v>24</v>
      </c>
      <c r="N4675" t="s">
        <v>23</v>
      </c>
      <c r="O4675">
        <v>28</v>
      </c>
      <c r="P4675" t="s">
        <v>36</v>
      </c>
      <c r="Q4675" t="s">
        <v>26</v>
      </c>
      <c r="R4675" s="1">
        <v>0.1</v>
      </c>
      <c r="S4675">
        <f t="shared" si="292"/>
        <v>0</v>
      </c>
      <c r="T4675">
        <f>IFERROR(VLOOKUP(A4675,Table1[[Customer ID]:[Discount Amount]], 6, FALSE),"Not Found")</f>
        <v>0</v>
      </c>
      <c r="U4675" t="str">
        <f t="shared" si="293"/>
        <v>Debit Card</v>
      </c>
      <c r="V4675" s="4" t="str">
        <f t="shared" si="294"/>
        <v>Normal</v>
      </c>
      <c r="W4675" s="4" t="str">
        <f t="shared" si="295"/>
        <v>Poor</v>
      </c>
      <c r="X4675" s="4">
        <f>AVERAGE(Table1[Purchase Amount])</f>
        <v>129.48419400000012</v>
      </c>
    </row>
    <row r="4676" spans="1:24" ht="15" customHeight="1" x14ac:dyDescent="0.25">
      <c r="A4676">
        <v>4774</v>
      </c>
      <c r="B4676">
        <v>53</v>
      </c>
      <c r="C4676" t="s">
        <v>71</v>
      </c>
      <c r="D4676" t="s">
        <v>117</v>
      </c>
      <c r="E4676" t="s">
        <v>18</v>
      </c>
      <c r="F4676" s="2">
        <v>0</v>
      </c>
      <c r="G4676" t="s">
        <v>126</v>
      </c>
      <c r="H4676" t="s">
        <v>20</v>
      </c>
      <c r="I4676" t="s">
        <v>74</v>
      </c>
      <c r="J4676" t="s">
        <v>33</v>
      </c>
      <c r="K4676">
        <v>3</v>
      </c>
      <c r="L4676" t="s">
        <v>34</v>
      </c>
      <c r="M4676" t="s">
        <v>24</v>
      </c>
      <c r="N4676" t="s">
        <v>34</v>
      </c>
      <c r="O4676">
        <v>0</v>
      </c>
      <c r="P4676" t="s">
        <v>58</v>
      </c>
      <c r="Q4676" t="s">
        <v>37</v>
      </c>
      <c r="R4676" s="1">
        <v>0.1</v>
      </c>
      <c r="S4676">
        <f t="shared" si="292"/>
        <v>0</v>
      </c>
      <c r="T4676">
        <f>IFERROR(VLOOKUP(A4676,Table1[[Customer ID]:[Discount Amount]], 6, FALSE),"Not Found")</f>
        <v>0</v>
      </c>
      <c r="U4676" t="str">
        <f t="shared" si="293"/>
        <v>PayPal</v>
      </c>
      <c r="V4676" s="4" t="str">
        <f t="shared" si="294"/>
        <v>Normal</v>
      </c>
      <c r="W4676" s="4" t="str">
        <f t="shared" si="295"/>
        <v>Good</v>
      </c>
      <c r="X4676" s="4">
        <f>AVERAGE(Table1[Purchase Amount])</f>
        <v>129.48419400000012</v>
      </c>
    </row>
    <row r="4677" spans="1:24" ht="15" customHeight="1" x14ac:dyDescent="0.25">
      <c r="A4677">
        <v>4775</v>
      </c>
      <c r="B4677">
        <v>57</v>
      </c>
      <c r="C4677" t="s">
        <v>16</v>
      </c>
      <c r="D4677" t="s">
        <v>38</v>
      </c>
      <c r="E4677" t="s">
        <v>81</v>
      </c>
      <c r="F4677" s="2">
        <v>0</v>
      </c>
      <c r="G4677" t="s">
        <v>101</v>
      </c>
      <c r="H4677" t="s">
        <v>31</v>
      </c>
      <c r="I4677" t="s">
        <v>40</v>
      </c>
      <c r="J4677" t="s">
        <v>33</v>
      </c>
      <c r="K4677">
        <v>1</v>
      </c>
      <c r="L4677" t="s">
        <v>34</v>
      </c>
      <c r="M4677" t="s">
        <v>24</v>
      </c>
      <c r="N4677" t="s">
        <v>34</v>
      </c>
      <c r="O4677">
        <v>0</v>
      </c>
      <c r="P4677" t="s">
        <v>58</v>
      </c>
      <c r="Q4677" t="s">
        <v>26</v>
      </c>
      <c r="R4677" s="1">
        <v>0.1</v>
      </c>
      <c r="S4677">
        <f t="shared" si="292"/>
        <v>0</v>
      </c>
      <c r="T4677">
        <f>IFERROR(VLOOKUP(A4677,Table1[[Customer ID]:[Discount Amount]], 6, FALSE),"Not Found")</f>
        <v>0</v>
      </c>
      <c r="U4677" t="str">
        <f t="shared" si="293"/>
        <v>PayPal</v>
      </c>
      <c r="V4677" s="4" t="str">
        <f t="shared" si="294"/>
        <v>Normal</v>
      </c>
      <c r="W4677" s="4" t="str">
        <f t="shared" si="295"/>
        <v>Poor</v>
      </c>
      <c r="X4677" s="4">
        <f>AVERAGE(Table1[Purchase Amount])</f>
        <v>129.48419400000012</v>
      </c>
    </row>
    <row r="4678" spans="1:24" ht="15" customHeight="1" x14ac:dyDescent="0.25">
      <c r="A4678">
        <v>4776</v>
      </c>
      <c r="B4678">
        <v>64</v>
      </c>
      <c r="C4678" t="s">
        <v>71</v>
      </c>
      <c r="D4678" t="s">
        <v>80</v>
      </c>
      <c r="E4678" t="s">
        <v>81</v>
      </c>
      <c r="F4678" s="2">
        <v>884.04</v>
      </c>
      <c r="G4678" t="s">
        <v>82</v>
      </c>
      <c r="H4678" t="s">
        <v>31</v>
      </c>
      <c r="I4678" t="s">
        <v>40</v>
      </c>
      <c r="J4678" t="s">
        <v>33</v>
      </c>
      <c r="K4678">
        <v>1</v>
      </c>
      <c r="L4678" t="s">
        <v>23</v>
      </c>
      <c r="M4678" t="s">
        <v>61</v>
      </c>
      <c r="N4678" t="s">
        <v>23</v>
      </c>
      <c r="O4678">
        <v>0</v>
      </c>
      <c r="P4678" t="s">
        <v>53</v>
      </c>
      <c r="Q4678" t="s">
        <v>37</v>
      </c>
      <c r="R4678" s="1">
        <v>0.1</v>
      </c>
      <c r="S4678">
        <f t="shared" si="292"/>
        <v>795.63599999999997</v>
      </c>
      <c r="T4678">
        <f>IFERROR(VLOOKUP(A4678,Table1[[Customer ID]:[Discount Amount]], 6, FALSE),"Not Found")</f>
        <v>884.04</v>
      </c>
      <c r="U4678" t="str">
        <f t="shared" si="293"/>
        <v>Credit Card</v>
      </c>
      <c r="V4678" s="4" t="str">
        <f t="shared" si="294"/>
        <v>Normal</v>
      </c>
      <c r="W4678" s="4" t="str">
        <f t="shared" si="295"/>
        <v>Poor</v>
      </c>
      <c r="X4678" s="4">
        <f>AVERAGE(Table1[Purchase Amount])</f>
        <v>129.48419400000012</v>
      </c>
    </row>
    <row r="4679" spans="1:24" ht="15" customHeight="1" x14ac:dyDescent="0.25">
      <c r="A4679">
        <v>4777</v>
      </c>
      <c r="B4679">
        <v>41</v>
      </c>
      <c r="C4679" t="s">
        <v>27</v>
      </c>
      <c r="D4679" t="s">
        <v>95</v>
      </c>
      <c r="E4679" t="s">
        <v>81</v>
      </c>
      <c r="F4679" s="2">
        <v>0</v>
      </c>
      <c r="G4679" t="s">
        <v>139</v>
      </c>
      <c r="H4679" t="s">
        <v>31</v>
      </c>
      <c r="I4679" t="s">
        <v>32</v>
      </c>
      <c r="J4679" t="s">
        <v>22</v>
      </c>
      <c r="K4679">
        <v>1</v>
      </c>
      <c r="L4679" t="s">
        <v>34</v>
      </c>
      <c r="M4679" t="s">
        <v>61</v>
      </c>
      <c r="N4679" t="s">
        <v>34</v>
      </c>
      <c r="O4679">
        <v>0</v>
      </c>
      <c r="P4679" t="s">
        <v>53</v>
      </c>
      <c r="Q4679" t="s">
        <v>42</v>
      </c>
      <c r="R4679" s="1">
        <v>0.1</v>
      </c>
      <c r="S4679">
        <f t="shared" si="292"/>
        <v>0</v>
      </c>
      <c r="T4679">
        <f>IFERROR(VLOOKUP(A4679,Table1[[Customer ID]:[Discount Amount]], 6, FALSE),"Not Found")</f>
        <v>0</v>
      </c>
      <c r="U4679" t="str">
        <f t="shared" si="293"/>
        <v>Credit Card</v>
      </c>
      <c r="V4679" s="4" t="str">
        <f t="shared" si="294"/>
        <v>Normal</v>
      </c>
      <c r="W4679" s="4" t="str">
        <f t="shared" si="295"/>
        <v>Poor</v>
      </c>
      <c r="X4679" s="4">
        <f>AVERAGE(Table1[Purchase Amount])</f>
        <v>129.48419400000012</v>
      </c>
    </row>
    <row r="4680" spans="1:24" ht="15" customHeight="1" x14ac:dyDescent="0.25">
      <c r="A4680">
        <v>4778</v>
      </c>
      <c r="B4680">
        <v>24</v>
      </c>
      <c r="C4680" t="s">
        <v>16</v>
      </c>
      <c r="D4680" t="s">
        <v>116</v>
      </c>
      <c r="E4680" t="s">
        <v>29</v>
      </c>
      <c r="F4680" s="2">
        <v>0</v>
      </c>
      <c r="G4680" t="s">
        <v>73</v>
      </c>
      <c r="H4680" t="s">
        <v>45</v>
      </c>
      <c r="I4680" t="s">
        <v>74</v>
      </c>
      <c r="J4680" t="s">
        <v>33</v>
      </c>
      <c r="K4680">
        <v>1</v>
      </c>
      <c r="L4680" t="s">
        <v>23</v>
      </c>
      <c r="M4680" t="s">
        <v>61</v>
      </c>
      <c r="N4680" t="s">
        <v>34</v>
      </c>
      <c r="O4680">
        <v>0</v>
      </c>
      <c r="P4680" t="s">
        <v>58</v>
      </c>
      <c r="Q4680" t="s">
        <v>42</v>
      </c>
      <c r="R4680" s="1">
        <v>0.1</v>
      </c>
      <c r="S4680">
        <f t="shared" si="292"/>
        <v>0</v>
      </c>
      <c r="T4680">
        <f>IFERROR(VLOOKUP(A4680,Table1[[Customer ID]:[Discount Amount]], 6, FALSE),"Not Found")</f>
        <v>0</v>
      </c>
      <c r="U4680" t="str">
        <f t="shared" si="293"/>
        <v>PayPal</v>
      </c>
      <c r="V4680" s="4" t="str">
        <f t="shared" si="294"/>
        <v>Normal</v>
      </c>
      <c r="W4680" s="4" t="str">
        <f t="shared" si="295"/>
        <v>Poor</v>
      </c>
      <c r="X4680" s="4">
        <f>AVERAGE(Table1[Purchase Amount])</f>
        <v>129.48419400000012</v>
      </c>
    </row>
    <row r="4681" spans="1:24" ht="15" customHeight="1" x14ac:dyDescent="0.25">
      <c r="A4681">
        <v>4779</v>
      </c>
      <c r="B4681">
        <v>36</v>
      </c>
      <c r="C4681" t="s">
        <v>71</v>
      </c>
      <c r="D4681" t="s">
        <v>117</v>
      </c>
      <c r="E4681" t="s">
        <v>81</v>
      </c>
      <c r="F4681" s="2">
        <v>1340.78</v>
      </c>
      <c r="G4681" t="s">
        <v>101</v>
      </c>
      <c r="H4681" t="s">
        <v>31</v>
      </c>
      <c r="I4681" t="s">
        <v>40</v>
      </c>
      <c r="J4681" t="s">
        <v>22</v>
      </c>
      <c r="K4681">
        <v>1</v>
      </c>
      <c r="L4681" t="s">
        <v>34</v>
      </c>
      <c r="M4681" t="s">
        <v>61</v>
      </c>
      <c r="N4681" t="s">
        <v>23</v>
      </c>
      <c r="O4681">
        <v>50</v>
      </c>
      <c r="P4681" t="s">
        <v>25</v>
      </c>
      <c r="Q4681" t="s">
        <v>37</v>
      </c>
      <c r="R4681" s="1">
        <v>0.1</v>
      </c>
      <c r="S4681">
        <f t="shared" si="292"/>
        <v>1206.702</v>
      </c>
      <c r="T4681">
        <f>IFERROR(VLOOKUP(A4681,Table1[[Customer ID]:[Discount Amount]], 6, FALSE),"Not Found")</f>
        <v>1340.78</v>
      </c>
      <c r="U4681" t="str">
        <f t="shared" si="293"/>
        <v>Cash</v>
      </c>
      <c r="V4681" s="4" t="str">
        <f t="shared" si="294"/>
        <v>Normal</v>
      </c>
      <c r="W4681" s="4" t="str">
        <f t="shared" si="295"/>
        <v>Poor</v>
      </c>
      <c r="X4681" s="4">
        <f>AVERAGE(Table1[Purchase Amount])</f>
        <v>129.48419400000012</v>
      </c>
    </row>
    <row r="4682" spans="1:24" ht="15" customHeight="1" x14ac:dyDescent="0.25">
      <c r="A4682">
        <v>4780</v>
      </c>
      <c r="B4682">
        <v>41</v>
      </c>
      <c r="C4682" t="s">
        <v>16</v>
      </c>
      <c r="D4682" t="s">
        <v>38</v>
      </c>
      <c r="E4682" t="s">
        <v>29</v>
      </c>
      <c r="F4682" s="2">
        <v>864.54</v>
      </c>
      <c r="G4682" t="s">
        <v>139</v>
      </c>
      <c r="H4682" t="s">
        <v>31</v>
      </c>
      <c r="I4682" t="s">
        <v>74</v>
      </c>
      <c r="J4682" t="s">
        <v>75</v>
      </c>
      <c r="K4682">
        <v>1</v>
      </c>
      <c r="L4682" t="s">
        <v>34</v>
      </c>
      <c r="M4682" t="s">
        <v>61</v>
      </c>
      <c r="N4682" t="s">
        <v>34</v>
      </c>
      <c r="O4682">
        <v>33</v>
      </c>
      <c r="P4682" t="s">
        <v>25</v>
      </c>
      <c r="Q4682" t="s">
        <v>42</v>
      </c>
      <c r="R4682" s="1">
        <v>0.1</v>
      </c>
      <c r="S4682">
        <f t="shared" si="292"/>
        <v>778.08600000000001</v>
      </c>
      <c r="T4682">
        <f>IFERROR(VLOOKUP(A4682,Table1[[Customer ID]:[Discount Amount]], 6, FALSE),"Not Found")</f>
        <v>864.54</v>
      </c>
      <c r="U4682" t="str">
        <f t="shared" si="293"/>
        <v>Cash</v>
      </c>
      <c r="V4682" s="4" t="str">
        <f t="shared" si="294"/>
        <v>Normal</v>
      </c>
      <c r="W4682" s="4" t="str">
        <f t="shared" si="295"/>
        <v>Poor</v>
      </c>
      <c r="X4682" s="4">
        <f>AVERAGE(Table1[Purchase Amount])</f>
        <v>129.48419400000012</v>
      </c>
    </row>
    <row r="4683" spans="1:24" ht="15" customHeight="1" x14ac:dyDescent="0.25">
      <c r="A4683">
        <v>4781</v>
      </c>
      <c r="B4683">
        <v>62</v>
      </c>
      <c r="C4683" t="s">
        <v>27</v>
      </c>
      <c r="D4683" t="s">
        <v>95</v>
      </c>
      <c r="E4683" t="s">
        <v>29</v>
      </c>
      <c r="F4683" s="2">
        <v>0</v>
      </c>
      <c r="G4683" t="s">
        <v>101</v>
      </c>
      <c r="H4683" t="s">
        <v>55</v>
      </c>
      <c r="I4683" t="s">
        <v>40</v>
      </c>
      <c r="J4683" t="s">
        <v>22</v>
      </c>
      <c r="K4683">
        <v>5</v>
      </c>
      <c r="L4683" t="s">
        <v>23</v>
      </c>
      <c r="M4683" t="s">
        <v>61</v>
      </c>
      <c r="N4683" t="s">
        <v>34</v>
      </c>
      <c r="O4683">
        <v>0</v>
      </c>
      <c r="P4683" t="s">
        <v>25</v>
      </c>
      <c r="Q4683" t="s">
        <v>37</v>
      </c>
      <c r="R4683" s="1">
        <v>0.1</v>
      </c>
      <c r="S4683">
        <f t="shared" si="292"/>
        <v>0</v>
      </c>
      <c r="T4683">
        <f>IFERROR(VLOOKUP(A4683,Table1[[Customer ID]:[Discount Amount]], 6, FALSE),"Not Found")</f>
        <v>0</v>
      </c>
      <c r="U4683" t="str">
        <f t="shared" si="293"/>
        <v>Cash</v>
      </c>
      <c r="V4683" s="4" t="str">
        <f t="shared" si="294"/>
        <v>Normal</v>
      </c>
      <c r="W4683" s="4" t="str">
        <f t="shared" si="295"/>
        <v>Good</v>
      </c>
      <c r="X4683" s="4">
        <f>AVERAGE(Table1[Purchase Amount])</f>
        <v>129.48419400000012</v>
      </c>
    </row>
    <row r="4684" spans="1:24" ht="15" customHeight="1" x14ac:dyDescent="0.25">
      <c r="A4684">
        <v>4782</v>
      </c>
      <c r="B4684">
        <v>61</v>
      </c>
      <c r="C4684" t="s">
        <v>16</v>
      </c>
      <c r="D4684" t="s">
        <v>116</v>
      </c>
      <c r="E4684" t="s">
        <v>18</v>
      </c>
      <c r="F4684" s="2">
        <v>651.6</v>
      </c>
      <c r="G4684" t="s">
        <v>139</v>
      </c>
      <c r="H4684" t="s">
        <v>20</v>
      </c>
      <c r="I4684" t="s">
        <v>40</v>
      </c>
      <c r="J4684" t="s">
        <v>33</v>
      </c>
      <c r="K4684">
        <v>1</v>
      </c>
      <c r="L4684" t="s">
        <v>23</v>
      </c>
      <c r="M4684" t="s">
        <v>24</v>
      </c>
      <c r="N4684" t="s">
        <v>34</v>
      </c>
      <c r="O4684">
        <v>50</v>
      </c>
      <c r="P4684" t="s">
        <v>25</v>
      </c>
      <c r="Q4684" t="s">
        <v>37</v>
      </c>
      <c r="R4684" s="1">
        <v>0.1</v>
      </c>
      <c r="S4684">
        <f t="shared" si="292"/>
        <v>586.44000000000005</v>
      </c>
      <c r="T4684">
        <f>IFERROR(VLOOKUP(A4684,Table1[[Customer ID]:[Discount Amount]], 6, FALSE),"Not Found")</f>
        <v>651.6</v>
      </c>
      <c r="U4684" t="str">
        <f t="shared" si="293"/>
        <v>Cash</v>
      </c>
      <c r="V4684" s="4" t="str">
        <f t="shared" si="294"/>
        <v>Normal</v>
      </c>
      <c r="W4684" s="4" t="str">
        <f t="shared" si="295"/>
        <v>Poor</v>
      </c>
      <c r="X4684" s="4">
        <f>AVERAGE(Table1[Purchase Amount])</f>
        <v>129.48419400000012</v>
      </c>
    </row>
    <row r="4685" spans="1:24" ht="15" customHeight="1" x14ac:dyDescent="0.25">
      <c r="A4685">
        <v>4783</v>
      </c>
      <c r="B4685">
        <v>50</v>
      </c>
      <c r="C4685" t="s">
        <v>16</v>
      </c>
      <c r="D4685" t="s">
        <v>38</v>
      </c>
      <c r="E4685" t="s">
        <v>29</v>
      </c>
      <c r="F4685" s="2">
        <v>0</v>
      </c>
      <c r="G4685" t="s">
        <v>126</v>
      </c>
      <c r="H4685" t="s">
        <v>55</v>
      </c>
      <c r="I4685" t="s">
        <v>32</v>
      </c>
      <c r="J4685" t="s">
        <v>75</v>
      </c>
      <c r="K4685">
        <v>2</v>
      </c>
      <c r="L4685" t="s">
        <v>34</v>
      </c>
      <c r="M4685" t="s">
        <v>61</v>
      </c>
      <c r="N4685" t="s">
        <v>34</v>
      </c>
      <c r="O4685">
        <v>0</v>
      </c>
      <c r="P4685" t="s">
        <v>58</v>
      </c>
      <c r="Q4685" t="s">
        <v>26</v>
      </c>
      <c r="R4685" s="1">
        <v>0.1</v>
      </c>
      <c r="S4685">
        <f t="shared" si="292"/>
        <v>0</v>
      </c>
      <c r="T4685">
        <f>IFERROR(VLOOKUP(A4685,Table1[[Customer ID]:[Discount Amount]], 6, FALSE),"Not Found")</f>
        <v>0</v>
      </c>
      <c r="U4685" t="str">
        <f t="shared" si="293"/>
        <v>PayPal</v>
      </c>
      <c r="V4685" s="4" t="str">
        <f t="shared" si="294"/>
        <v>Normal</v>
      </c>
      <c r="W4685" s="4" t="str">
        <f t="shared" si="295"/>
        <v>Poor</v>
      </c>
      <c r="X4685" s="4">
        <f>AVERAGE(Table1[Purchase Amount])</f>
        <v>129.48419400000012</v>
      </c>
    </row>
    <row r="4686" spans="1:24" ht="15" customHeight="1" x14ac:dyDescent="0.25">
      <c r="A4686">
        <v>4784</v>
      </c>
      <c r="B4686">
        <v>57</v>
      </c>
      <c r="C4686" t="s">
        <v>27</v>
      </c>
      <c r="D4686" t="s">
        <v>38</v>
      </c>
      <c r="E4686" t="s">
        <v>29</v>
      </c>
      <c r="F4686" s="2">
        <v>1360.55</v>
      </c>
      <c r="G4686" t="s">
        <v>101</v>
      </c>
      <c r="H4686" t="s">
        <v>45</v>
      </c>
      <c r="I4686" t="s">
        <v>74</v>
      </c>
      <c r="J4686" t="s">
        <v>57</v>
      </c>
      <c r="K4686">
        <v>1</v>
      </c>
      <c r="L4686" t="s">
        <v>34</v>
      </c>
      <c r="M4686" t="s">
        <v>24</v>
      </c>
      <c r="N4686" t="s">
        <v>34</v>
      </c>
      <c r="O4686">
        <v>0</v>
      </c>
      <c r="P4686" t="s">
        <v>53</v>
      </c>
      <c r="Q4686" t="s">
        <v>42</v>
      </c>
      <c r="R4686" s="1">
        <v>0.1</v>
      </c>
      <c r="S4686">
        <f t="shared" si="292"/>
        <v>1224.4949999999999</v>
      </c>
      <c r="T4686">
        <f>IFERROR(VLOOKUP(A4686,Table1[[Customer ID]:[Discount Amount]], 6, FALSE),"Not Found")</f>
        <v>1360.55</v>
      </c>
      <c r="U4686" t="str">
        <f t="shared" si="293"/>
        <v>Credit Card</v>
      </c>
      <c r="V4686" s="4" t="str">
        <f t="shared" si="294"/>
        <v>Normal</v>
      </c>
      <c r="W4686" s="4" t="str">
        <f t="shared" si="295"/>
        <v>Poor</v>
      </c>
      <c r="X4686" s="4">
        <f>AVERAGE(Table1[Purchase Amount])</f>
        <v>129.48419400000012</v>
      </c>
    </row>
    <row r="4687" spans="1:24" ht="15" customHeight="1" x14ac:dyDescent="0.25">
      <c r="A4687">
        <v>4785</v>
      </c>
      <c r="B4687">
        <v>53</v>
      </c>
      <c r="C4687" t="s">
        <v>16</v>
      </c>
      <c r="D4687" t="s">
        <v>112</v>
      </c>
      <c r="E4687" t="s">
        <v>81</v>
      </c>
      <c r="F4687" s="2">
        <v>0</v>
      </c>
      <c r="G4687" t="s">
        <v>73</v>
      </c>
      <c r="H4687" t="s">
        <v>31</v>
      </c>
      <c r="I4687" t="s">
        <v>93</v>
      </c>
      <c r="J4687" t="s">
        <v>75</v>
      </c>
      <c r="K4687">
        <v>1</v>
      </c>
      <c r="L4687" t="s">
        <v>23</v>
      </c>
      <c r="M4687" t="s">
        <v>24</v>
      </c>
      <c r="N4687" t="s">
        <v>23</v>
      </c>
      <c r="O4687">
        <v>0</v>
      </c>
      <c r="P4687" t="s">
        <v>25</v>
      </c>
      <c r="Q4687" t="s">
        <v>26</v>
      </c>
      <c r="R4687" s="1">
        <v>0.1</v>
      </c>
      <c r="S4687">
        <f t="shared" si="292"/>
        <v>0</v>
      </c>
      <c r="T4687">
        <f>IFERROR(VLOOKUP(A4687,Table1[[Customer ID]:[Discount Amount]], 6, FALSE),"Not Found")</f>
        <v>0</v>
      </c>
      <c r="U4687" t="str">
        <f t="shared" si="293"/>
        <v>Cash</v>
      </c>
      <c r="V4687" s="4" t="str">
        <f t="shared" si="294"/>
        <v>Normal</v>
      </c>
      <c r="W4687" s="4" t="str">
        <f t="shared" si="295"/>
        <v>Poor</v>
      </c>
      <c r="X4687" s="4">
        <f>AVERAGE(Table1[Purchase Amount])</f>
        <v>129.48419400000012</v>
      </c>
    </row>
    <row r="4688" spans="1:24" ht="15" customHeight="1" x14ac:dyDescent="0.25">
      <c r="A4688">
        <v>4786</v>
      </c>
      <c r="B4688">
        <v>47</v>
      </c>
      <c r="C4688" t="s">
        <v>16</v>
      </c>
      <c r="D4688" t="s">
        <v>112</v>
      </c>
      <c r="E4688" t="s">
        <v>81</v>
      </c>
      <c r="F4688" s="2">
        <v>532.19000000000005</v>
      </c>
      <c r="G4688" t="s">
        <v>82</v>
      </c>
      <c r="H4688" t="s">
        <v>31</v>
      </c>
      <c r="I4688" t="s">
        <v>32</v>
      </c>
      <c r="J4688" t="s">
        <v>33</v>
      </c>
      <c r="K4688">
        <v>5</v>
      </c>
      <c r="L4688" t="s">
        <v>23</v>
      </c>
      <c r="M4688" t="s">
        <v>24</v>
      </c>
      <c r="N4688" t="s">
        <v>34</v>
      </c>
      <c r="O4688">
        <v>0</v>
      </c>
      <c r="P4688" t="s">
        <v>36</v>
      </c>
      <c r="Q4688" t="s">
        <v>37</v>
      </c>
      <c r="R4688" s="1">
        <v>0.1</v>
      </c>
      <c r="S4688">
        <f t="shared" si="292"/>
        <v>478.97100000000006</v>
      </c>
      <c r="T4688">
        <f>IFERROR(VLOOKUP(A4688,Table1[[Customer ID]:[Discount Amount]], 6, FALSE),"Not Found")</f>
        <v>532.19000000000005</v>
      </c>
      <c r="U4688" t="str">
        <f t="shared" si="293"/>
        <v>Debit Card</v>
      </c>
      <c r="V4688" s="4" t="str">
        <f t="shared" si="294"/>
        <v>Normal</v>
      </c>
      <c r="W4688" s="4" t="str">
        <f t="shared" si="295"/>
        <v>Good</v>
      </c>
      <c r="X4688" s="4">
        <f>AVERAGE(Table1[Purchase Amount])</f>
        <v>129.48419400000012</v>
      </c>
    </row>
    <row r="4689" spans="1:24" ht="15" customHeight="1" x14ac:dyDescent="0.25">
      <c r="A4689">
        <v>4787</v>
      </c>
      <c r="B4689">
        <v>23</v>
      </c>
      <c r="C4689" t="s">
        <v>71</v>
      </c>
      <c r="D4689" t="s">
        <v>112</v>
      </c>
      <c r="E4689" t="s">
        <v>18</v>
      </c>
      <c r="F4689" s="2">
        <v>1380.02</v>
      </c>
      <c r="G4689" t="s">
        <v>126</v>
      </c>
      <c r="H4689" t="s">
        <v>31</v>
      </c>
      <c r="I4689" t="s">
        <v>93</v>
      </c>
      <c r="J4689" t="s">
        <v>33</v>
      </c>
      <c r="K4689">
        <v>1</v>
      </c>
      <c r="L4689" t="s">
        <v>34</v>
      </c>
      <c r="M4689" t="s">
        <v>24</v>
      </c>
      <c r="N4689" t="s">
        <v>23</v>
      </c>
      <c r="O4689">
        <v>0</v>
      </c>
      <c r="P4689" t="s">
        <v>58</v>
      </c>
      <c r="Q4689" t="s">
        <v>37</v>
      </c>
      <c r="R4689" s="1">
        <v>0.1</v>
      </c>
      <c r="S4689">
        <f t="shared" si="292"/>
        <v>1242.018</v>
      </c>
      <c r="T4689">
        <f>IFERROR(VLOOKUP(A4689,Table1[[Customer ID]:[Discount Amount]], 6, FALSE),"Not Found")</f>
        <v>1380.02</v>
      </c>
      <c r="U4689" t="str">
        <f t="shared" si="293"/>
        <v>PayPal</v>
      </c>
      <c r="V4689" s="4" t="str">
        <f t="shared" si="294"/>
        <v>Normal</v>
      </c>
      <c r="W4689" s="4" t="str">
        <f t="shared" si="295"/>
        <v>Poor</v>
      </c>
      <c r="X4689" s="4">
        <f>AVERAGE(Table1[Purchase Amount])</f>
        <v>129.48419400000012</v>
      </c>
    </row>
    <row r="4690" spans="1:24" ht="15" customHeight="1" x14ac:dyDescent="0.25">
      <c r="A4690">
        <v>4788</v>
      </c>
      <c r="B4690">
        <v>28</v>
      </c>
      <c r="C4690" t="s">
        <v>27</v>
      </c>
      <c r="D4690" t="s">
        <v>80</v>
      </c>
      <c r="E4690" t="s">
        <v>29</v>
      </c>
      <c r="F4690" s="2">
        <v>243.43</v>
      </c>
      <c r="G4690" t="s">
        <v>73</v>
      </c>
      <c r="H4690" t="s">
        <v>55</v>
      </c>
      <c r="I4690" t="s">
        <v>32</v>
      </c>
      <c r="J4690" t="s">
        <v>75</v>
      </c>
      <c r="K4690">
        <v>1</v>
      </c>
      <c r="L4690" t="s">
        <v>23</v>
      </c>
      <c r="M4690" t="s">
        <v>61</v>
      </c>
      <c r="N4690" t="s">
        <v>23</v>
      </c>
      <c r="O4690">
        <v>0</v>
      </c>
      <c r="P4690" t="s">
        <v>58</v>
      </c>
      <c r="Q4690" t="s">
        <v>37</v>
      </c>
      <c r="R4690" s="1">
        <v>0.1</v>
      </c>
      <c r="S4690">
        <f t="shared" si="292"/>
        <v>219.08699999999999</v>
      </c>
      <c r="T4690">
        <f>IFERROR(VLOOKUP(A4690,Table1[[Customer ID]:[Discount Amount]], 6, FALSE),"Not Found")</f>
        <v>243.43</v>
      </c>
      <c r="U4690" t="str">
        <f t="shared" si="293"/>
        <v>PayPal</v>
      </c>
      <c r="V4690" s="4" t="str">
        <f t="shared" si="294"/>
        <v>Normal</v>
      </c>
      <c r="W4690" s="4" t="str">
        <f t="shared" si="295"/>
        <v>Poor</v>
      </c>
      <c r="X4690" s="4">
        <f>AVERAGE(Table1[Purchase Amount])</f>
        <v>129.48419400000012</v>
      </c>
    </row>
    <row r="4691" spans="1:24" ht="15" customHeight="1" x14ac:dyDescent="0.25">
      <c r="A4691">
        <v>4789</v>
      </c>
      <c r="B4691">
        <v>20</v>
      </c>
      <c r="C4691" t="s">
        <v>16</v>
      </c>
      <c r="D4691" t="s">
        <v>95</v>
      </c>
      <c r="E4691" t="s">
        <v>18</v>
      </c>
      <c r="F4691" s="2">
        <v>0</v>
      </c>
      <c r="G4691" t="s">
        <v>139</v>
      </c>
      <c r="H4691" t="s">
        <v>20</v>
      </c>
      <c r="I4691" t="s">
        <v>32</v>
      </c>
      <c r="J4691" t="s">
        <v>22</v>
      </c>
      <c r="K4691">
        <v>2</v>
      </c>
      <c r="L4691" t="s">
        <v>23</v>
      </c>
      <c r="M4691" t="s">
        <v>61</v>
      </c>
      <c r="N4691" t="s">
        <v>34</v>
      </c>
      <c r="O4691">
        <v>0</v>
      </c>
      <c r="P4691" t="s">
        <v>58</v>
      </c>
      <c r="Q4691" t="s">
        <v>26</v>
      </c>
      <c r="R4691" s="1">
        <v>0.1</v>
      </c>
      <c r="S4691">
        <f t="shared" si="292"/>
        <v>0</v>
      </c>
      <c r="T4691">
        <f>IFERROR(VLOOKUP(A4691,Table1[[Customer ID]:[Discount Amount]], 6, FALSE),"Not Found")</f>
        <v>0</v>
      </c>
      <c r="U4691" t="str">
        <f t="shared" si="293"/>
        <v>PayPal</v>
      </c>
      <c r="V4691" s="4" t="str">
        <f t="shared" si="294"/>
        <v>Normal</v>
      </c>
      <c r="W4691" s="4" t="str">
        <f t="shared" si="295"/>
        <v>Poor</v>
      </c>
      <c r="X4691" s="4">
        <f>AVERAGE(Table1[Purchase Amount])</f>
        <v>129.48419400000012</v>
      </c>
    </row>
    <row r="4692" spans="1:24" ht="15" customHeight="1" x14ac:dyDescent="0.25">
      <c r="A4692">
        <v>4790</v>
      </c>
      <c r="B4692">
        <v>56</v>
      </c>
      <c r="C4692" t="s">
        <v>71</v>
      </c>
      <c r="D4692" t="s">
        <v>117</v>
      </c>
      <c r="E4692" t="s">
        <v>81</v>
      </c>
      <c r="F4692" s="2">
        <v>685.22</v>
      </c>
      <c r="G4692" t="s">
        <v>73</v>
      </c>
      <c r="H4692" t="s">
        <v>31</v>
      </c>
      <c r="I4692" t="s">
        <v>74</v>
      </c>
      <c r="J4692" t="s">
        <v>57</v>
      </c>
      <c r="K4692">
        <v>4</v>
      </c>
      <c r="L4692" t="s">
        <v>23</v>
      </c>
      <c r="M4692" t="s">
        <v>61</v>
      </c>
      <c r="N4692" t="s">
        <v>34</v>
      </c>
      <c r="O4692">
        <v>0</v>
      </c>
      <c r="P4692" t="s">
        <v>25</v>
      </c>
      <c r="Q4692" t="s">
        <v>26</v>
      </c>
      <c r="R4692" s="1">
        <v>0.1</v>
      </c>
      <c r="S4692">
        <f t="shared" si="292"/>
        <v>616.69799999999998</v>
      </c>
      <c r="T4692">
        <f>IFERROR(VLOOKUP(A4692,Table1[[Customer ID]:[Discount Amount]], 6, FALSE),"Not Found")</f>
        <v>685.22</v>
      </c>
      <c r="U4692" t="str">
        <f t="shared" si="293"/>
        <v>Cash</v>
      </c>
      <c r="V4692" s="4" t="str">
        <f t="shared" si="294"/>
        <v>Normal</v>
      </c>
      <c r="W4692" s="4" t="str">
        <f t="shared" si="295"/>
        <v>Good</v>
      </c>
      <c r="X4692" s="4">
        <f>AVERAGE(Table1[Purchase Amount])</f>
        <v>129.48419400000012</v>
      </c>
    </row>
    <row r="4693" spans="1:24" ht="15" customHeight="1" x14ac:dyDescent="0.25">
      <c r="A4693">
        <v>4791</v>
      </c>
      <c r="B4693">
        <v>30</v>
      </c>
      <c r="C4693" t="s">
        <v>71</v>
      </c>
      <c r="D4693" t="s">
        <v>112</v>
      </c>
      <c r="E4693" t="s">
        <v>81</v>
      </c>
      <c r="F4693" s="2">
        <v>0</v>
      </c>
      <c r="G4693" t="s">
        <v>126</v>
      </c>
      <c r="H4693" t="s">
        <v>31</v>
      </c>
      <c r="I4693" t="s">
        <v>32</v>
      </c>
      <c r="J4693" t="s">
        <v>75</v>
      </c>
      <c r="K4693">
        <v>1</v>
      </c>
      <c r="L4693" t="s">
        <v>34</v>
      </c>
      <c r="M4693" t="s">
        <v>24</v>
      </c>
      <c r="N4693" t="s">
        <v>34</v>
      </c>
      <c r="O4693">
        <v>0</v>
      </c>
      <c r="P4693" t="s">
        <v>53</v>
      </c>
      <c r="Q4693" t="s">
        <v>42</v>
      </c>
      <c r="R4693" s="1">
        <v>0.1</v>
      </c>
      <c r="S4693">
        <f t="shared" si="292"/>
        <v>0</v>
      </c>
      <c r="T4693">
        <f>IFERROR(VLOOKUP(A4693,Table1[[Customer ID]:[Discount Amount]], 6, FALSE),"Not Found")</f>
        <v>0</v>
      </c>
      <c r="U4693" t="str">
        <f t="shared" si="293"/>
        <v>Credit Card</v>
      </c>
      <c r="V4693" s="4" t="str">
        <f t="shared" si="294"/>
        <v>Normal</v>
      </c>
      <c r="W4693" s="4" t="str">
        <f t="shared" si="295"/>
        <v>Poor</v>
      </c>
      <c r="X4693" s="4">
        <f>AVERAGE(Table1[Purchase Amount])</f>
        <v>129.48419400000012</v>
      </c>
    </row>
    <row r="4694" spans="1:24" ht="15" customHeight="1" x14ac:dyDescent="0.25">
      <c r="A4694">
        <v>4792</v>
      </c>
      <c r="B4694">
        <v>50</v>
      </c>
      <c r="C4694" t="s">
        <v>16</v>
      </c>
      <c r="D4694" t="s">
        <v>117</v>
      </c>
      <c r="E4694" t="s">
        <v>81</v>
      </c>
      <c r="F4694" s="2">
        <v>832.98</v>
      </c>
      <c r="G4694" t="s">
        <v>73</v>
      </c>
      <c r="H4694" t="s">
        <v>31</v>
      </c>
      <c r="I4694" t="s">
        <v>74</v>
      </c>
      <c r="J4694" t="s">
        <v>22</v>
      </c>
      <c r="K4694">
        <v>3</v>
      </c>
      <c r="L4694" t="s">
        <v>34</v>
      </c>
      <c r="M4694" t="s">
        <v>24</v>
      </c>
      <c r="N4694" t="s">
        <v>34</v>
      </c>
      <c r="O4694">
        <v>33</v>
      </c>
      <c r="P4694" t="s">
        <v>53</v>
      </c>
      <c r="Q4694" t="s">
        <v>42</v>
      </c>
      <c r="R4694" s="1">
        <v>0.1</v>
      </c>
      <c r="S4694">
        <f t="shared" si="292"/>
        <v>749.68200000000002</v>
      </c>
      <c r="T4694">
        <f>IFERROR(VLOOKUP(A4694,Table1[[Customer ID]:[Discount Amount]], 6, FALSE),"Not Found")</f>
        <v>832.98</v>
      </c>
      <c r="U4694" t="str">
        <f t="shared" si="293"/>
        <v>Credit Card</v>
      </c>
      <c r="V4694" s="4" t="str">
        <f t="shared" si="294"/>
        <v>Normal</v>
      </c>
      <c r="W4694" s="4" t="str">
        <f t="shared" si="295"/>
        <v>Good</v>
      </c>
      <c r="X4694" s="4">
        <f>AVERAGE(Table1[Purchase Amount])</f>
        <v>129.48419400000012</v>
      </c>
    </row>
    <row r="4695" spans="1:24" ht="15" customHeight="1" x14ac:dyDescent="0.25">
      <c r="A4695">
        <v>4793</v>
      </c>
      <c r="B4695">
        <v>33</v>
      </c>
      <c r="C4695" t="s">
        <v>71</v>
      </c>
      <c r="D4695" t="s">
        <v>72</v>
      </c>
      <c r="E4695" t="s">
        <v>29</v>
      </c>
      <c r="F4695" s="2">
        <v>0</v>
      </c>
      <c r="G4695" t="s">
        <v>101</v>
      </c>
      <c r="H4695" t="s">
        <v>31</v>
      </c>
      <c r="I4695" t="s">
        <v>93</v>
      </c>
      <c r="J4695" t="s">
        <v>33</v>
      </c>
      <c r="K4695">
        <v>1</v>
      </c>
      <c r="L4695" t="s">
        <v>23</v>
      </c>
      <c r="M4695" t="s">
        <v>24</v>
      </c>
      <c r="N4695" t="s">
        <v>34</v>
      </c>
      <c r="O4695">
        <v>28</v>
      </c>
      <c r="P4695" t="s">
        <v>53</v>
      </c>
      <c r="Q4695" t="s">
        <v>26</v>
      </c>
      <c r="R4695" s="1">
        <v>0.1</v>
      </c>
      <c r="S4695">
        <f t="shared" si="292"/>
        <v>0</v>
      </c>
      <c r="T4695">
        <f>IFERROR(VLOOKUP(A4695,Table1[[Customer ID]:[Discount Amount]], 6, FALSE),"Not Found")</f>
        <v>0</v>
      </c>
      <c r="U4695" t="str">
        <f t="shared" si="293"/>
        <v>Credit Card</v>
      </c>
      <c r="V4695" s="4" t="str">
        <f t="shared" si="294"/>
        <v>Normal</v>
      </c>
      <c r="W4695" s="4" t="str">
        <f t="shared" si="295"/>
        <v>Poor</v>
      </c>
      <c r="X4695" s="4">
        <f>AVERAGE(Table1[Purchase Amount])</f>
        <v>129.48419400000012</v>
      </c>
    </row>
    <row r="4696" spans="1:24" ht="15" customHeight="1" x14ac:dyDescent="0.25">
      <c r="A4696">
        <v>4794</v>
      </c>
      <c r="B4696">
        <v>52</v>
      </c>
      <c r="C4696" t="s">
        <v>16</v>
      </c>
      <c r="D4696" t="s">
        <v>95</v>
      </c>
      <c r="E4696" t="s">
        <v>81</v>
      </c>
      <c r="F4696" s="2">
        <v>0</v>
      </c>
      <c r="G4696" t="s">
        <v>73</v>
      </c>
      <c r="H4696" t="s">
        <v>31</v>
      </c>
      <c r="I4696" t="s">
        <v>32</v>
      </c>
      <c r="J4696" t="s">
        <v>33</v>
      </c>
      <c r="K4696">
        <v>1</v>
      </c>
      <c r="L4696" t="s">
        <v>23</v>
      </c>
      <c r="M4696" t="s">
        <v>61</v>
      </c>
      <c r="N4696" t="s">
        <v>34</v>
      </c>
      <c r="O4696">
        <v>41</v>
      </c>
      <c r="P4696" t="s">
        <v>53</v>
      </c>
      <c r="Q4696" t="s">
        <v>26</v>
      </c>
      <c r="R4696" s="1">
        <v>0.1</v>
      </c>
      <c r="S4696">
        <f t="shared" si="292"/>
        <v>0</v>
      </c>
      <c r="T4696">
        <f>IFERROR(VLOOKUP(A4696,Table1[[Customer ID]:[Discount Amount]], 6, FALSE),"Not Found")</f>
        <v>0</v>
      </c>
      <c r="U4696" t="str">
        <f t="shared" si="293"/>
        <v>Credit Card</v>
      </c>
      <c r="V4696" s="4" t="str">
        <f t="shared" si="294"/>
        <v>Normal</v>
      </c>
      <c r="W4696" s="4" t="str">
        <f t="shared" si="295"/>
        <v>Poor</v>
      </c>
      <c r="X4696" s="4">
        <f>AVERAGE(Table1[Purchase Amount])</f>
        <v>129.48419400000012</v>
      </c>
    </row>
    <row r="4697" spans="1:24" ht="15" customHeight="1" x14ac:dyDescent="0.25">
      <c r="A4697">
        <v>4795</v>
      </c>
      <c r="B4697">
        <v>24</v>
      </c>
      <c r="C4697" t="s">
        <v>16</v>
      </c>
      <c r="D4697" t="s">
        <v>117</v>
      </c>
      <c r="E4697" t="s">
        <v>29</v>
      </c>
      <c r="F4697" s="2">
        <v>0</v>
      </c>
      <c r="G4697" t="s">
        <v>126</v>
      </c>
      <c r="H4697" t="s">
        <v>31</v>
      </c>
      <c r="I4697" t="s">
        <v>40</v>
      </c>
      <c r="J4697" t="s">
        <v>57</v>
      </c>
      <c r="K4697">
        <v>5</v>
      </c>
      <c r="L4697" t="s">
        <v>34</v>
      </c>
      <c r="M4697" t="s">
        <v>24</v>
      </c>
      <c r="N4697" t="s">
        <v>34</v>
      </c>
      <c r="O4697">
        <v>31</v>
      </c>
      <c r="P4697" t="s">
        <v>36</v>
      </c>
      <c r="Q4697" t="s">
        <v>26</v>
      </c>
      <c r="R4697" s="1">
        <v>0.1</v>
      </c>
      <c r="S4697">
        <f t="shared" si="292"/>
        <v>0</v>
      </c>
      <c r="T4697">
        <f>IFERROR(VLOOKUP(A4697,Table1[[Customer ID]:[Discount Amount]], 6, FALSE),"Not Found")</f>
        <v>0</v>
      </c>
      <c r="U4697" t="str">
        <f t="shared" si="293"/>
        <v>Debit Card</v>
      </c>
      <c r="V4697" s="4" t="str">
        <f t="shared" si="294"/>
        <v>Normal</v>
      </c>
      <c r="W4697" s="4" t="str">
        <f t="shared" si="295"/>
        <v>Good</v>
      </c>
      <c r="X4697" s="4">
        <f>AVERAGE(Table1[Purchase Amount])</f>
        <v>129.48419400000012</v>
      </c>
    </row>
    <row r="4698" spans="1:24" ht="15" customHeight="1" x14ac:dyDescent="0.25">
      <c r="A4698">
        <v>4796</v>
      </c>
      <c r="B4698">
        <v>34</v>
      </c>
      <c r="C4698" t="s">
        <v>16</v>
      </c>
      <c r="D4698" t="s">
        <v>80</v>
      </c>
      <c r="E4698" t="s">
        <v>18</v>
      </c>
      <c r="F4698" s="2">
        <v>0</v>
      </c>
      <c r="G4698" t="s">
        <v>126</v>
      </c>
      <c r="H4698" t="s">
        <v>55</v>
      </c>
      <c r="I4698" t="s">
        <v>46</v>
      </c>
      <c r="J4698" t="s">
        <v>57</v>
      </c>
      <c r="K4698">
        <v>1</v>
      </c>
      <c r="L4698" t="s">
        <v>23</v>
      </c>
      <c r="M4698" t="s">
        <v>24</v>
      </c>
      <c r="N4698" t="s">
        <v>34</v>
      </c>
      <c r="O4698">
        <v>0</v>
      </c>
      <c r="P4698" t="s">
        <v>58</v>
      </c>
      <c r="Q4698" t="s">
        <v>26</v>
      </c>
      <c r="R4698" s="1">
        <v>0.1</v>
      </c>
      <c r="S4698">
        <f t="shared" si="292"/>
        <v>0</v>
      </c>
      <c r="T4698">
        <f>IFERROR(VLOOKUP(A4698,Table1[[Customer ID]:[Discount Amount]], 6, FALSE),"Not Found")</f>
        <v>0</v>
      </c>
      <c r="U4698" t="str">
        <f t="shared" si="293"/>
        <v>PayPal</v>
      </c>
      <c r="V4698" s="4" t="str">
        <f t="shared" si="294"/>
        <v>Normal</v>
      </c>
      <c r="W4698" s="4" t="str">
        <f t="shared" si="295"/>
        <v>Poor</v>
      </c>
      <c r="X4698" s="4">
        <f>AVERAGE(Table1[Purchase Amount])</f>
        <v>129.48419400000012</v>
      </c>
    </row>
    <row r="4699" spans="1:24" ht="15" customHeight="1" x14ac:dyDescent="0.25">
      <c r="A4699">
        <v>4797</v>
      </c>
      <c r="B4699">
        <v>38</v>
      </c>
      <c r="C4699" t="s">
        <v>27</v>
      </c>
      <c r="D4699" t="s">
        <v>95</v>
      </c>
      <c r="E4699" t="s">
        <v>18</v>
      </c>
      <c r="F4699" s="2">
        <v>0</v>
      </c>
      <c r="G4699" t="s">
        <v>126</v>
      </c>
      <c r="H4699" t="s">
        <v>55</v>
      </c>
      <c r="I4699" t="s">
        <v>32</v>
      </c>
      <c r="J4699" t="s">
        <v>33</v>
      </c>
      <c r="K4699">
        <v>1</v>
      </c>
      <c r="L4699" t="s">
        <v>23</v>
      </c>
      <c r="M4699" t="s">
        <v>24</v>
      </c>
      <c r="N4699" t="s">
        <v>34</v>
      </c>
      <c r="O4699">
        <v>15</v>
      </c>
      <c r="P4699" t="s">
        <v>36</v>
      </c>
      <c r="Q4699" t="s">
        <v>42</v>
      </c>
      <c r="R4699" s="1">
        <v>0.1</v>
      </c>
      <c r="S4699">
        <f t="shared" si="292"/>
        <v>0</v>
      </c>
      <c r="T4699">
        <f>IFERROR(VLOOKUP(A4699,Table1[[Customer ID]:[Discount Amount]], 6, FALSE),"Not Found")</f>
        <v>0</v>
      </c>
      <c r="U4699" t="str">
        <f t="shared" si="293"/>
        <v>Debit Card</v>
      </c>
      <c r="V4699" s="4" t="str">
        <f t="shared" si="294"/>
        <v>Normal</v>
      </c>
      <c r="W4699" s="4" t="str">
        <f t="shared" si="295"/>
        <v>Poor</v>
      </c>
      <c r="X4699" s="4">
        <f>AVERAGE(Table1[Purchase Amount])</f>
        <v>129.48419400000012</v>
      </c>
    </row>
    <row r="4700" spans="1:24" ht="15" customHeight="1" x14ac:dyDescent="0.25">
      <c r="A4700">
        <v>4798</v>
      </c>
      <c r="B4700">
        <v>36</v>
      </c>
      <c r="C4700" t="s">
        <v>16</v>
      </c>
      <c r="D4700" t="s">
        <v>38</v>
      </c>
      <c r="E4700" t="s">
        <v>81</v>
      </c>
      <c r="F4700" s="2">
        <v>697.58</v>
      </c>
      <c r="G4700" t="s">
        <v>126</v>
      </c>
      <c r="H4700" t="s">
        <v>31</v>
      </c>
      <c r="I4700" t="s">
        <v>32</v>
      </c>
      <c r="J4700" t="s">
        <v>33</v>
      </c>
      <c r="K4700">
        <v>1</v>
      </c>
      <c r="L4700" t="s">
        <v>34</v>
      </c>
      <c r="M4700" t="s">
        <v>24</v>
      </c>
      <c r="N4700" t="s">
        <v>23</v>
      </c>
      <c r="O4700">
        <v>0</v>
      </c>
      <c r="P4700" t="s">
        <v>53</v>
      </c>
      <c r="Q4700" t="s">
        <v>26</v>
      </c>
      <c r="R4700" s="1">
        <v>0.1</v>
      </c>
      <c r="S4700">
        <f t="shared" si="292"/>
        <v>627.822</v>
      </c>
      <c r="T4700">
        <f>IFERROR(VLOOKUP(A4700,Table1[[Customer ID]:[Discount Amount]], 6, FALSE),"Not Found")</f>
        <v>697.58</v>
      </c>
      <c r="U4700" t="str">
        <f t="shared" si="293"/>
        <v>Credit Card</v>
      </c>
      <c r="V4700" s="4" t="str">
        <f t="shared" si="294"/>
        <v>Normal</v>
      </c>
      <c r="W4700" s="4" t="str">
        <f t="shared" si="295"/>
        <v>Poor</v>
      </c>
      <c r="X4700" s="4">
        <f>AVERAGE(Table1[Purchase Amount])</f>
        <v>129.48419400000012</v>
      </c>
    </row>
    <row r="4701" spans="1:24" ht="15" customHeight="1" x14ac:dyDescent="0.25">
      <c r="A4701">
        <v>4799</v>
      </c>
      <c r="B4701">
        <v>48</v>
      </c>
      <c r="C4701" t="s">
        <v>27</v>
      </c>
      <c r="D4701" t="s">
        <v>112</v>
      </c>
      <c r="E4701" t="s">
        <v>18</v>
      </c>
      <c r="F4701" s="2">
        <v>1170.25</v>
      </c>
      <c r="G4701" t="s">
        <v>73</v>
      </c>
      <c r="H4701" t="s">
        <v>31</v>
      </c>
      <c r="I4701" t="s">
        <v>74</v>
      </c>
      <c r="J4701" t="s">
        <v>22</v>
      </c>
      <c r="K4701">
        <v>3</v>
      </c>
      <c r="L4701" t="s">
        <v>23</v>
      </c>
      <c r="M4701" t="s">
        <v>61</v>
      </c>
      <c r="N4701" t="s">
        <v>34</v>
      </c>
      <c r="O4701">
        <v>0</v>
      </c>
      <c r="P4701" t="s">
        <v>36</v>
      </c>
      <c r="Q4701" t="s">
        <v>26</v>
      </c>
      <c r="R4701" s="1">
        <v>0.1</v>
      </c>
      <c r="S4701">
        <f t="shared" si="292"/>
        <v>1053.2249999999999</v>
      </c>
      <c r="T4701">
        <f>IFERROR(VLOOKUP(A4701,Table1[[Customer ID]:[Discount Amount]], 6, FALSE),"Not Found")</f>
        <v>1170.25</v>
      </c>
      <c r="U4701" t="str">
        <f t="shared" si="293"/>
        <v>Debit Card</v>
      </c>
      <c r="V4701" s="4" t="str">
        <f t="shared" si="294"/>
        <v>Normal</v>
      </c>
      <c r="W4701" s="4" t="str">
        <f t="shared" si="295"/>
        <v>Good</v>
      </c>
      <c r="X4701" s="4">
        <f>AVERAGE(Table1[Purchase Amount])</f>
        <v>129.48419400000012</v>
      </c>
    </row>
    <row r="4702" spans="1:24" ht="15" customHeight="1" x14ac:dyDescent="0.25">
      <c r="A4702">
        <v>4800</v>
      </c>
      <c r="B4702">
        <v>30</v>
      </c>
      <c r="C4702" t="s">
        <v>27</v>
      </c>
      <c r="D4702" t="s">
        <v>38</v>
      </c>
      <c r="E4702" t="s">
        <v>81</v>
      </c>
      <c r="F4702" s="2">
        <v>1404.42</v>
      </c>
      <c r="G4702" t="s">
        <v>101</v>
      </c>
      <c r="H4702" t="s">
        <v>31</v>
      </c>
      <c r="I4702" t="s">
        <v>46</v>
      </c>
      <c r="J4702" t="s">
        <v>22</v>
      </c>
      <c r="K4702">
        <v>1</v>
      </c>
      <c r="L4702" t="s">
        <v>23</v>
      </c>
      <c r="M4702" t="s">
        <v>24</v>
      </c>
      <c r="N4702" t="s">
        <v>23</v>
      </c>
      <c r="O4702">
        <v>0</v>
      </c>
      <c r="P4702" t="s">
        <v>36</v>
      </c>
      <c r="Q4702" t="s">
        <v>42</v>
      </c>
      <c r="R4702" s="1">
        <v>0.1</v>
      </c>
      <c r="S4702">
        <f t="shared" si="292"/>
        <v>1263.9780000000001</v>
      </c>
      <c r="T4702">
        <f>IFERROR(VLOOKUP(A4702,Table1[[Customer ID]:[Discount Amount]], 6, FALSE),"Not Found")</f>
        <v>1404.42</v>
      </c>
      <c r="U4702" t="str">
        <f t="shared" si="293"/>
        <v>Debit Card</v>
      </c>
      <c r="V4702" s="4" t="str">
        <f t="shared" si="294"/>
        <v>Normal</v>
      </c>
      <c r="W4702" s="4" t="str">
        <f t="shared" si="295"/>
        <v>Poor</v>
      </c>
      <c r="X4702" s="4">
        <f>AVERAGE(Table1[Purchase Amount])</f>
        <v>129.48419400000012</v>
      </c>
    </row>
    <row r="4703" spans="1:24" ht="15" customHeight="1" x14ac:dyDescent="0.25">
      <c r="A4703">
        <v>4801</v>
      </c>
      <c r="B4703">
        <v>62</v>
      </c>
      <c r="C4703" t="s">
        <v>71</v>
      </c>
      <c r="D4703" t="s">
        <v>72</v>
      </c>
      <c r="E4703" t="s">
        <v>18</v>
      </c>
      <c r="F4703" s="2">
        <v>907.87</v>
      </c>
      <c r="G4703" t="s">
        <v>126</v>
      </c>
      <c r="H4703" t="s">
        <v>55</v>
      </c>
      <c r="I4703" t="s">
        <v>32</v>
      </c>
      <c r="J4703" t="s">
        <v>22</v>
      </c>
      <c r="K4703">
        <v>2</v>
      </c>
      <c r="L4703" t="s">
        <v>23</v>
      </c>
      <c r="M4703" t="s">
        <v>24</v>
      </c>
      <c r="N4703" t="s">
        <v>23</v>
      </c>
      <c r="O4703">
        <v>0</v>
      </c>
      <c r="P4703" t="s">
        <v>36</v>
      </c>
      <c r="Q4703" t="s">
        <v>26</v>
      </c>
      <c r="R4703" s="1">
        <v>0.1</v>
      </c>
      <c r="S4703">
        <f t="shared" si="292"/>
        <v>817.08299999999997</v>
      </c>
      <c r="T4703">
        <f>IFERROR(VLOOKUP(A4703,Table1[[Customer ID]:[Discount Amount]], 6, FALSE),"Not Found")</f>
        <v>907.87</v>
      </c>
      <c r="U4703" t="str">
        <f t="shared" si="293"/>
        <v>Debit Card</v>
      </c>
      <c r="V4703" s="4" t="str">
        <f t="shared" si="294"/>
        <v>Normal</v>
      </c>
      <c r="W4703" s="4" t="str">
        <f t="shared" si="295"/>
        <v>Poor</v>
      </c>
      <c r="X4703" s="4">
        <f>AVERAGE(Table1[Purchase Amount])</f>
        <v>129.48419400000012</v>
      </c>
    </row>
    <row r="4704" spans="1:24" ht="15" customHeight="1" x14ac:dyDescent="0.25">
      <c r="A4704">
        <v>4802</v>
      </c>
      <c r="B4704">
        <v>58</v>
      </c>
      <c r="C4704" t="s">
        <v>16</v>
      </c>
      <c r="D4704" t="s">
        <v>116</v>
      </c>
      <c r="E4704" t="s">
        <v>29</v>
      </c>
      <c r="F4704" s="2">
        <v>178.72</v>
      </c>
      <c r="G4704" t="s">
        <v>73</v>
      </c>
      <c r="H4704" t="s">
        <v>55</v>
      </c>
      <c r="I4704" t="s">
        <v>32</v>
      </c>
      <c r="J4704" t="s">
        <v>57</v>
      </c>
      <c r="K4704">
        <v>3</v>
      </c>
      <c r="L4704" t="s">
        <v>23</v>
      </c>
      <c r="M4704" t="s">
        <v>24</v>
      </c>
      <c r="N4704" t="s">
        <v>23</v>
      </c>
      <c r="O4704">
        <v>0</v>
      </c>
      <c r="P4704" t="s">
        <v>58</v>
      </c>
      <c r="Q4704" t="s">
        <v>37</v>
      </c>
      <c r="R4704" s="1">
        <v>0.1</v>
      </c>
      <c r="S4704">
        <f t="shared" si="292"/>
        <v>160.84800000000001</v>
      </c>
      <c r="T4704">
        <f>IFERROR(VLOOKUP(A4704,Table1[[Customer ID]:[Discount Amount]], 6, FALSE),"Not Found")</f>
        <v>178.72</v>
      </c>
      <c r="U4704" t="str">
        <f t="shared" si="293"/>
        <v>PayPal</v>
      </c>
      <c r="V4704" s="4" t="str">
        <f t="shared" si="294"/>
        <v>Normal</v>
      </c>
      <c r="W4704" s="4" t="str">
        <f t="shared" si="295"/>
        <v>Good</v>
      </c>
      <c r="X4704" s="4">
        <f>AVERAGE(Table1[Purchase Amount])</f>
        <v>129.48419400000012</v>
      </c>
    </row>
    <row r="4705" spans="1:24" ht="15" customHeight="1" x14ac:dyDescent="0.25">
      <c r="A4705">
        <v>4803</v>
      </c>
      <c r="B4705">
        <v>70</v>
      </c>
      <c r="C4705" t="s">
        <v>71</v>
      </c>
      <c r="D4705" t="s">
        <v>38</v>
      </c>
      <c r="E4705" t="s">
        <v>29</v>
      </c>
      <c r="F4705" s="2">
        <v>0</v>
      </c>
      <c r="G4705" t="s">
        <v>73</v>
      </c>
      <c r="H4705" t="s">
        <v>45</v>
      </c>
      <c r="I4705" t="s">
        <v>40</v>
      </c>
      <c r="J4705" t="s">
        <v>57</v>
      </c>
      <c r="K4705">
        <v>5</v>
      </c>
      <c r="L4705" t="s">
        <v>34</v>
      </c>
      <c r="M4705" t="s">
        <v>24</v>
      </c>
      <c r="N4705" t="s">
        <v>34</v>
      </c>
      <c r="O4705">
        <v>0</v>
      </c>
      <c r="P4705" t="s">
        <v>36</v>
      </c>
      <c r="Q4705" t="s">
        <v>42</v>
      </c>
      <c r="R4705" s="1">
        <v>0.1</v>
      </c>
      <c r="S4705">
        <f t="shared" si="292"/>
        <v>0</v>
      </c>
      <c r="T4705">
        <f>IFERROR(VLOOKUP(A4705,Table1[[Customer ID]:[Discount Amount]], 6, FALSE),"Not Found")</f>
        <v>0</v>
      </c>
      <c r="U4705" t="str">
        <f t="shared" si="293"/>
        <v>Debit Card</v>
      </c>
      <c r="V4705" s="4" t="str">
        <f t="shared" si="294"/>
        <v>Normal</v>
      </c>
      <c r="W4705" s="4" t="str">
        <f t="shared" si="295"/>
        <v>Good</v>
      </c>
      <c r="X4705" s="4">
        <f>AVERAGE(Table1[Purchase Amount])</f>
        <v>129.48419400000012</v>
      </c>
    </row>
    <row r="4706" spans="1:24" ht="15" customHeight="1" x14ac:dyDescent="0.25">
      <c r="A4706">
        <v>4804</v>
      </c>
      <c r="B4706">
        <v>62</v>
      </c>
      <c r="C4706" t="s">
        <v>16</v>
      </c>
      <c r="D4706" t="s">
        <v>72</v>
      </c>
      <c r="E4706" t="s">
        <v>18</v>
      </c>
      <c r="F4706" s="2">
        <v>1277.1600000000001</v>
      </c>
      <c r="G4706" t="s">
        <v>139</v>
      </c>
      <c r="H4706" t="s">
        <v>31</v>
      </c>
      <c r="I4706" t="s">
        <v>46</v>
      </c>
      <c r="J4706" t="s">
        <v>75</v>
      </c>
      <c r="K4706">
        <v>4</v>
      </c>
      <c r="L4706" t="s">
        <v>34</v>
      </c>
      <c r="M4706" t="s">
        <v>61</v>
      </c>
      <c r="N4706" t="s">
        <v>34</v>
      </c>
      <c r="O4706">
        <v>15</v>
      </c>
      <c r="P4706" t="s">
        <v>36</v>
      </c>
      <c r="Q4706" t="s">
        <v>37</v>
      </c>
      <c r="R4706" s="1">
        <v>0.1</v>
      </c>
      <c r="S4706">
        <f t="shared" si="292"/>
        <v>1149.444</v>
      </c>
      <c r="T4706">
        <f>IFERROR(VLOOKUP(A4706,Table1[[Customer ID]:[Discount Amount]], 6, FALSE),"Not Found")</f>
        <v>1277.1600000000001</v>
      </c>
      <c r="U4706" t="str">
        <f t="shared" si="293"/>
        <v>Debit Card</v>
      </c>
      <c r="V4706" s="4" t="str">
        <f t="shared" si="294"/>
        <v>Best Customer</v>
      </c>
      <c r="W4706" s="4" t="str">
        <f t="shared" si="295"/>
        <v>Good</v>
      </c>
      <c r="X4706" s="4">
        <f>AVERAGE(Table1[Purchase Amount])</f>
        <v>129.48419400000012</v>
      </c>
    </row>
    <row r="4707" spans="1:24" ht="15" customHeight="1" x14ac:dyDescent="0.25">
      <c r="A4707">
        <v>4805</v>
      </c>
      <c r="B4707">
        <v>40</v>
      </c>
      <c r="C4707" t="s">
        <v>27</v>
      </c>
      <c r="D4707" t="s">
        <v>72</v>
      </c>
      <c r="E4707" t="s">
        <v>29</v>
      </c>
      <c r="F4707" s="2">
        <v>0</v>
      </c>
      <c r="G4707" t="s">
        <v>73</v>
      </c>
      <c r="H4707" t="s">
        <v>45</v>
      </c>
      <c r="I4707" t="s">
        <v>74</v>
      </c>
      <c r="J4707" t="s">
        <v>22</v>
      </c>
      <c r="K4707">
        <v>3</v>
      </c>
      <c r="L4707" t="s">
        <v>23</v>
      </c>
      <c r="M4707" t="s">
        <v>61</v>
      </c>
      <c r="N4707" t="s">
        <v>34</v>
      </c>
      <c r="O4707">
        <v>6</v>
      </c>
      <c r="P4707" t="s">
        <v>25</v>
      </c>
      <c r="Q4707" t="s">
        <v>42</v>
      </c>
      <c r="R4707" s="1">
        <v>0.1</v>
      </c>
      <c r="S4707">
        <f t="shared" si="292"/>
        <v>0</v>
      </c>
      <c r="T4707">
        <f>IFERROR(VLOOKUP(A4707,Table1[[Customer ID]:[Discount Amount]], 6, FALSE),"Not Found")</f>
        <v>0</v>
      </c>
      <c r="U4707" t="str">
        <f t="shared" si="293"/>
        <v>Cash</v>
      </c>
      <c r="V4707" s="4" t="str">
        <f t="shared" si="294"/>
        <v>Normal</v>
      </c>
      <c r="W4707" s="4" t="str">
        <f t="shared" si="295"/>
        <v>Good</v>
      </c>
      <c r="X4707" s="4">
        <f>AVERAGE(Table1[Purchase Amount])</f>
        <v>129.48419400000012</v>
      </c>
    </row>
    <row r="4708" spans="1:24" ht="15" customHeight="1" x14ac:dyDescent="0.25">
      <c r="A4708">
        <v>4806</v>
      </c>
      <c r="B4708">
        <v>70</v>
      </c>
      <c r="C4708" t="s">
        <v>27</v>
      </c>
      <c r="D4708" t="s">
        <v>80</v>
      </c>
      <c r="E4708" t="s">
        <v>29</v>
      </c>
      <c r="F4708" s="2">
        <v>830.82</v>
      </c>
      <c r="G4708" t="s">
        <v>126</v>
      </c>
      <c r="H4708" t="s">
        <v>31</v>
      </c>
      <c r="I4708" t="s">
        <v>93</v>
      </c>
      <c r="J4708" t="s">
        <v>57</v>
      </c>
      <c r="K4708">
        <v>5</v>
      </c>
      <c r="L4708" t="s">
        <v>34</v>
      </c>
      <c r="M4708" t="s">
        <v>61</v>
      </c>
      <c r="N4708" t="s">
        <v>34</v>
      </c>
      <c r="O4708">
        <v>43</v>
      </c>
      <c r="P4708" t="s">
        <v>25</v>
      </c>
      <c r="Q4708" t="s">
        <v>26</v>
      </c>
      <c r="R4708" s="1">
        <v>0.1</v>
      </c>
      <c r="S4708">
        <f t="shared" si="292"/>
        <v>747.73800000000006</v>
      </c>
      <c r="T4708">
        <f>IFERROR(VLOOKUP(A4708,Table1[[Customer ID]:[Discount Amount]], 6, FALSE),"Not Found")</f>
        <v>830.82</v>
      </c>
      <c r="U4708" t="str">
        <f t="shared" si="293"/>
        <v>Cash</v>
      </c>
      <c r="V4708" s="4" t="str">
        <f t="shared" si="294"/>
        <v>Normal</v>
      </c>
      <c r="W4708" s="4" t="str">
        <f t="shared" si="295"/>
        <v>Good</v>
      </c>
      <c r="X4708" s="4">
        <f>AVERAGE(Table1[Purchase Amount])</f>
        <v>129.48419400000012</v>
      </c>
    </row>
    <row r="4709" spans="1:24" ht="15" customHeight="1" x14ac:dyDescent="0.25">
      <c r="A4709">
        <v>4807</v>
      </c>
      <c r="B4709">
        <v>39</v>
      </c>
      <c r="C4709" t="s">
        <v>16</v>
      </c>
      <c r="D4709" t="s">
        <v>116</v>
      </c>
      <c r="E4709" t="s">
        <v>18</v>
      </c>
      <c r="F4709" s="2">
        <v>614.55999999999995</v>
      </c>
      <c r="G4709" t="s">
        <v>82</v>
      </c>
      <c r="H4709" t="s">
        <v>31</v>
      </c>
      <c r="I4709" t="s">
        <v>40</v>
      </c>
      <c r="J4709" t="s">
        <v>75</v>
      </c>
      <c r="K4709">
        <v>1</v>
      </c>
      <c r="L4709" t="s">
        <v>34</v>
      </c>
      <c r="M4709" t="s">
        <v>61</v>
      </c>
      <c r="N4709" t="s">
        <v>34</v>
      </c>
      <c r="O4709">
        <v>0</v>
      </c>
      <c r="P4709" t="s">
        <v>36</v>
      </c>
      <c r="Q4709" t="s">
        <v>37</v>
      </c>
      <c r="R4709" s="1">
        <v>0.1</v>
      </c>
      <c r="S4709">
        <f t="shared" si="292"/>
        <v>553.10399999999993</v>
      </c>
      <c r="T4709">
        <f>IFERROR(VLOOKUP(A4709,Table1[[Customer ID]:[Discount Amount]], 6, FALSE),"Not Found")</f>
        <v>614.55999999999995</v>
      </c>
      <c r="U4709" t="str">
        <f t="shared" si="293"/>
        <v>Debit Card</v>
      </c>
      <c r="V4709" s="4" t="str">
        <f t="shared" si="294"/>
        <v>Normal</v>
      </c>
      <c r="W4709" s="4" t="str">
        <f t="shared" si="295"/>
        <v>Poor</v>
      </c>
      <c r="X4709" s="4">
        <f>AVERAGE(Table1[Purchase Amount])</f>
        <v>129.48419400000012</v>
      </c>
    </row>
    <row r="4710" spans="1:24" ht="15" customHeight="1" x14ac:dyDescent="0.25">
      <c r="A4710">
        <v>4808</v>
      </c>
      <c r="B4710">
        <v>30</v>
      </c>
      <c r="C4710" t="s">
        <v>27</v>
      </c>
      <c r="D4710" t="s">
        <v>72</v>
      </c>
      <c r="E4710" t="s">
        <v>29</v>
      </c>
      <c r="F4710" s="2">
        <v>478.64</v>
      </c>
      <c r="G4710" t="s">
        <v>126</v>
      </c>
      <c r="H4710" t="s">
        <v>45</v>
      </c>
      <c r="I4710" t="s">
        <v>32</v>
      </c>
      <c r="J4710" t="s">
        <v>57</v>
      </c>
      <c r="K4710">
        <v>1</v>
      </c>
      <c r="L4710" t="s">
        <v>23</v>
      </c>
      <c r="M4710" t="s">
        <v>61</v>
      </c>
      <c r="N4710" t="s">
        <v>34</v>
      </c>
      <c r="O4710">
        <v>0</v>
      </c>
      <c r="P4710" t="s">
        <v>25</v>
      </c>
      <c r="Q4710" t="s">
        <v>26</v>
      </c>
      <c r="R4710" s="1">
        <v>0.1</v>
      </c>
      <c r="S4710">
        <f t="shared" si="292"/>
        <v>430.77599999999995</v>
      </c>
      <c r="T4710">
        <f>IFERROR(VLOOKUP(A4710,Table1[[Customer ID]:[Discount Amount]], 6, FALSE),"Not Found")</f>
        <v>478.64</v>
      </c>
      <c r="U4710" t="str">
        <f t="shared" si="293"/>
        <v>Cash</v>
      </c>
      <c r="V4710" s="4" t="str">
        <f t="shared" si="294"/>
        <v>Normal</v>
      </c>
      <c r="W4710" s="4" t="str">
        <f t="shared" si="295"/>
        <v>Poor</v>
      </c>
      <c r="X4710" s="4">
        <f>AVERAGE(Table1[Purchase Amount])</f>
        <v>129.48419400000012</v>
      </c>
    </row>
    <row r="4711" spans="1:24" ht="15" customHeight="1" x14ac:dyDescent="0.25">
      <c r="A4711">
        <v>4809</v>
      </c>
      <c r="B4711">
        <v>52</v>
      </c>
      <c r="C4711" t="s">
        <v>27</v>
      </c>
      <c r="D4711" t="s">
        <v>117</v>
      </c>
      <c r="E4711" t="s">
        <v>18</v>
      </c>
      <c r="F4711" s="2">
        <v>0</v>
      </c>
      <c r="G4711" t="s">
        <v>82</v>
      </c>
      <c r="H4711" t="s">
        <v>31</v>
      </c>
      <c r="I4711" t="s">
        <v>32</v>
      </c>
      <c r="J4711" t="s">
        <v>33</v>
      </c>
      <c r="K4711">
        <v>1</v>
      </c>
      <c r="L4711" t="s">
        <v>23</v>
      </c>
      <c r="M4711" t="s">
        <v>61</v>
      </c>
      <c r="N4711" t="s">
        <v>23</v>
      </c>
      <c r="O4711">
        <v>29</v>
      </c>
      <c r="P4711" t="s">
        <v>53</v>
      </c>
      <c r="Q4711" t="s">
        <v>42</v>
      </c>
      <c r="R4711" s="1">
        <v>0.1</v>
      </c>
      <c r="S4711">
        <f t="shared" si="292"/>
        <v>0</v>
      </c>
      <c r="T4711">
        <f>IFERROR(VLOOKUP(A4711,Table1[[Customer ID]:[Discount Amount]], 6, FALSE),"Not Found")</f>
        <v>0</v>
      </c>
      <c r="U4711" t="str">
        <f t="shared" si="293"/>
        <v>Credit Card</v>
      </c>
      <c r="V4711" s="4" t="str">
        <f t="shared" si="294"/>
        <v>Normal</v>
      </c>
      <c r="W4711" s="4" t="str">
        <f t="shared" si="295"/>
        <v>Poor</v>
      </c>
      <c r="X4711" s="4">
        <f>AVERAGE(Table1[Purchase Amount])</f>
        <v>129.48419400000012</v>
      </c>
    </row>
    <row r="4712" spans="1:24" ht="15" customHeight="1" x14ac:dyDescent="0.25">
      <c r="A4712">
        <v>4810</v>
      </c>
      <c r="B4712">
        <v>53</v>
      </c>
      <c r="C4712" t="s">
        <v>27</v>
      </c>
      <c r="D4712" t="s">
        <v>72</v>
      </c>
      <c r="E4712" t="s">
        <v>81</v>
      </c>
      <c r="F4712" s="2">
        <v>372.33</v>
      </c>
      <c r="G4712" t="s">
        <v>82</v>
      </c>
      <c r="H4712" t="s">
        <v>31</v>
      </c>
      <c r="I4712" t="s">
        <v>46</v>
      </c>
      <c r="J4712" t="s">
        <v>75</v>
      </c>
      <c r="K4712">
        <v>1</v>
      </c>
      <c r="L4712" t="s">
        <v>34</v>
      </c>
      <c r="M4712" t="s">
        <v>61</v>
      </c>
      <c r="N4712" t="s">
        <v>23</v>
      </c>
      <c r="O4712">
        <v>0</v>
      </c>
      <c r="P4712" t="s">
        <v>25</v>
      </c>
      <c r="Q4712" t="s">
        <v>37</v>
      </c>
      <c r="R4712" s="1">
        <v>0.1</v>
      </c>
      <c r="S4712">
        <f t="shared" si="292"/>
        <v>335.09699999999998</v>
      </c>
      <c r="T4712">
        <f>IFERROR(VLOOKUP(A4712,Table1[[Customer ID]:[Discount Amount]], 6, FALSE),"Not Found")</f>
        <v>372.33</v>
      </c>
      <c r="U4712" t="str">
        <f t="shared" si="293"/>
        <v>Cash</v>
      </c>
      <c r="V4712" s="4" t="str">
        <f t="shared" si="294"/>
        <v>Normal</v>
      </c>
      <c r="W4712" s="4" t="str">
        <f t="shared" si="295"/>
        <v>Poor</v>
      </c>
      <c r="X4712" s="4">
        <f>AVERAGE(Table1[Purchase Amount])</f>
        <v>129.48419400000012</v>
      </c>
    </row>
    <row r="4713" spans="1:24" ht="15" customHeight="1" x14ac:dyDescent="0.25">
      <c r="A4713">
        <v>4811</v>
      </c>
      <c r="B4713">
        <v>22</v>
      </c>
      <c r="C4713" t="s">
        <v>16</v>
      </c>
      <c r="D4713" t="s">
        <v>80</v>
      </c>
      <c r="E4713" t="s">
        <v>29</v>
      </c>
      <c r="F4713" s="2">
        <v>0</v>
      </c>
      <c r="G4713" t="s">
        <v>126</v>
      </c>
      <c r="H4713" t="s">
        <v>31</v>
      </c>
      <c r="I4713" t="s">
        <v>32</v>
      </c>
      <c r="J4713" t="s">
        <v>75</v>
      </c>
      <c r="K4713">
        <v>1</v>
      </c>
      <c r="L4713" t="s">
        <v>34</v>
      </c>
      <c r="M4713" t="s">
        <v>61</v>
      </c>
      <c r="N4713" t="s">
        <v>34</v>
      </c>
      <c r="O4713">
        <v>0</v>
      </c>
      <c r="P4713" t="s">
        <v>58</v>
      </c>
      <c r="Q4713" t="s">
        <v>37</v>
      </c>
      <c r="R4713" s="1">
        <v>0.1</v>
      </c>
      <c r="S4713">
        <f t="shared" si="292"/>
        <v>0</v>
      </c>
      <c r="T4713">
        <f>IFERROR(VLOOKUP(A4713,Table1[[Customer ID]:[Discount Amount]], 6, FALSE),"Not Found")</f>
        <v>0</v>
      </c>
      <c r="U4713" t="str">
        <f t="shared" si="293"/>
        <v>PayPal</v>
      </c>
      <c r="V4713" s="4" t="str">
        <f t="shared" si="294"/>
        <v>Normal</v>
      </c>
      <c r="W4713" s="4" t="str">
        <f t="shared" si="295"/>
        <v>Poor</v>
      </c>
      <c r="X4713" s="4">
        <f>AVERAGE(Table1[Purchase Amount])</f>
        <v>129.48419400000012</v>
      </c>
    </row>
    <row r="4714" spans="1:24" ht="15" customHeight="1" x14ac:dyDescent="0.25">
      <c r="A4714">
        <v>4812</v>
      </c>
      <c r="B4714">
        <v>70</v>
      </c>
      <c r="C4714" t="s">
        <v>27</v>
      </c>
      <c r="D4714" t="s">
        <v>38</v>
      </c>
      <c r="E4714" t="s">
        <v>81</v>
      </c>
      <c r="F4714" s="2">
        <v>0</v>
      </c>
      <c r="G4714" t="s">
        <v>82</v>
      </c>
      <c r="H4714" t="s">
        <v>31</v>
      </c>
      <c r="I4714" t="s">
        <v>93</v>
      </c>
      <c r="J4714" t="s">
        <v>75</v>
      </c>
      <c r="K4714">
        <v>5</v>
      </c>
      <c r="L4714" t="s">
        <v>34</v>
      </c>
      <c r="M4714" t="s">
        <v>61</v>
      </c>
      <c r="N4714" t="s">
        <v>34</v>
      </c>
      <c r="O4714">
        <v>6</v>
      </c>
      <c r="P4714" t="s">
        <v>53</v>
      </c>
      <c r="Q4714" t="s">
        <v>37</v>
      </c>
      <c r="R4714" s="1">
        <v>0.1</v>
      </c>
      <c r="S4714">
        <f t="shared" si="292"/>
        <v>0</v>
      </c>
      <c r="T4714">
        <f>IFERROR(VLOOKUP(A4714,Table1[[Customer ID]:[Discount Amount]], 6, FALSE),"Not Found")</f>
        <v>0</v>
      </c>
      <c r="U4714" t="str">
        <f t="shared" si="293"/>
        <v>Credit Card</v>
      </c>
      <c r="V4714" s="4" t="str">
        <f t="shared" si="294"/>
        <v>Normal</v>
      </c>
      <c r="W4714" s="4" t="str">
        <f t="shared" si="295"/>
        <v>Good</v>
      </c>
      <c r="X4714" s="4">
        <f>AVERAGE(Table1[Purchase Amount])</f>
        <v>129.48419400000012</v>
      </c>
    </row>
    <row r="4715" spans="1:24" ht="15" customHeight="1" x14ac:dyDescent="0.25">
      <c r="A4715">
        <v>4813</v>
      </c>
      <c r="B4715">
        <v>66</v>
      </c>
      <c r="C4715" t="s">
        <v>71</v>
      </c>
      <c r="D4715" t="s">
        <v>116</v>
      </c>
      <c r="E4715" t="s">
        <v>81</v>
      </c>
      <c r="F4715" s="2">
        <v>0</v>
      </c>
      <c r="G4715" t="s">
        <v>101</v>
      </c>
      <c r="H4715" t="s">
        <v>31</v>
      </c>
      <c r="I4715" t="s">
        <v>32</v>
      </c>
      <c r="J4715" t="s">
        <v>75</v>
      </c>
      <c r="K4715">
        <v>1</v>
      </c>
      <c r="L4715" t="s">
        <v>23</v>
      </c>
      <c r="M4715" t="s">
        <v>24</v>
      </c>
      <c r="N4715" t="s">
        <v>34</v>
      </c>
      <c r="O4715">
        <v>47</v>
      </c>
      <c r="P4715" t="s">
        <v>36</v>
      </c>
      <c r="Q4715" t="s">
        <v>37</v>
      </c>
      <c r="R4715" s="1">
        <v>0.1</v>
      </c>
      <c r="S4715">
        <f t="shared" si="292"/>
        <v>0</v>
      </c>
      <c r="T4715">
        <f>IFERROR(VLOOKUP(A4715,Table1[[Customer ID]:[Discount Amount]], 6, FALSE),"Not Found")</f>
        <v>0</v>
      </c>
      <c r="U4715" t="str">
        <f t="shared" si="293"/>
        <v>Debit Card</v>
      </c>
      <c r="V4715" s="4" t="str">
        <f t="shared" si="294"/>
        <v>Normal</v>
      </c>
      <c r="W4715" s="4" t="str">
        <f t="shared" si="295"/>
        <v>Poor</v>
      </c>
      <c r="X4715" s="4">
        <f>AVERAGE(Table1[Purchase Amount])</f>
        <v>129.48419400000012</v>
      </c>
    </row>
    <row r="4716" spans="1:24" ht="15" customHeight="1" x14ac:dyDescent="0.25">
      <c r="A4716">
        <v>4814</v>
      </c>
      <c r="B4716">
        <v>49</v>
      </c>
      <c r="C4716" t="s">
        <v>16</v>
      </c>
      <c r="D4716" t="s">
        <v>117</v>
      </c>
      <c r="E4716" t="s">
        <v>18</v>
      </c>
      <c r="F4716" s="2">
        <v>1208.8499999999999</v>
      </c>
      <c r="G4716" t="s">
        <v>82</v>
      </c>
      <c r="H4716" t="s">
        <v>45</v>
      </c>
      <c r="I4716" t="s">
        <v>46</v>
      </c>
      <c r="J4716" t="s">
        <v>22</v>
      </c>
      <c r="K4716">
        <v>1</v>
      </c>
      <c r="L4716" t="s">
        <v>23</v>
      </c>
      <c r="M4716" t="s">
        <v>24</v>
      </c>
      <c r="N4716" t="s">
        <v>34</v>
      </c>
      <c r="O4716">
        <v>0</v>
      </c>
      <c r="P4716" t="s">
        <v>25</v>
      </c>
      <c r="Q4716" t="s">
        <v>37</v>
      </c>
      <c r="R4716" s="1">
        <v>0.1</v>
      </c>
      <c r="S4716">
        <f t="shared" si="292"/>
        <v>1087.9649999999999</v>
      </c>
      <c r="T4716">
        <f>IFERROR(VLOOKUP(A4716,Table1[[Customer ID]:[Discount Amount]], 6, FALSE),"Not Found")</f>
        <v>1208.8499999999999</v>
      </c>
      <c r="U4716" t="str">
        <f t="shared" si="293"/>
        <v>Cash</v>
      </c>
      <c r="V4716" s="4" t="str">
        <f t="shared" si="294"/>
        <v>Normal</v>
      </c>
      <c r="W4716" s="4" t="str">
        <f t="shared" si="295"/>
        <v>Poor</v>
      </c>
      <c r="X4716" s="4">
        <f>AVERAGE(Table1[Purchase Amount])</f>
        <v>129.48419400000012</v>
      </c>
    </row>
    <row r="4717" spans="1:24" ht="15" customHeight="1" x14ac:dyDescent="0.25">
      <c r="A4717">
        <v>4815</v>
      </c>
      <c r="B4717">
        <v>48</v>
      </c>
      <c r="C4717" t="s">
        <v>27</v>
      </c>
      <c r="D4717" t="s">
        <v>72</v>
      </c>
      <c r="E4717" t="s">
        <v>29</v>
      </c>
      <c r="F4717" s="2">
        <v>339.37</v>
      </c>
      <c r="G4717" t="s">
        <v>82</v>
      </c>
      <c r="H4717" t="s">
        <v>31</v>
      </c>
      <c r="I4717" t="s">
        <v>32</v>
      </c>
      <c r="J4717" t="s">
        <v>22</v>
      </c>
      <c r="K4717">
        <v>3</v>
      </c>
      <c r="L4717" t="s">
        <v>34</v>
      </c>
      <c r="M4717" t="s">
        <v>61</v>
      </c>
      <c r="N4717" t="s">
        <v>23</v>
      </c>
      <c r="O4717">
        <v>1</v>
      </c>
      <c r="P4717" t="s">
        <v>58</v>
      </c>
      <c r="Q4717" t="s">
        <v>42</v>
      </c>
      <c r="R4717" s="1">
        <v>0.1</v>
      </c>
      <c r="S4717">
        <f t="shared" si="292"/>
        <v>305.43299999999999</v>
      </c>
      <c r="T4717">
        <f>IFERROR(VLOOKUP(A4717,Table1[[Customer ID]:[Discount Amount]], 6, FALSE),"Not Found")</f>
        <v>339.37</v>
      </c>
      <c r="U4717" t="str">
        <f t="shared" si="293"/>
        <v>PayPal</v>
      </c>
      <c r="V4717" s="4" t="str">
        <f t="shared" si="294"/>
        <v>Normal</v>
      </c>
      <c r="W4717" s="4" t="str">
        <f t="shared" si="295"/>
        <v>Good</v>
      </c>
      <c r="X4717" s="4">
        <f>AVERAGE(Table1[Purchase Amount])</f>
        <v>129.48419400000012</v>
      </c>
    </row>
    <row r="4718" spans="1:24" ht="15" customHeight="1" x14ac:dyDescent="0.25">
      <c r="A4718">
        <v>4816</v>
      </c>
      <c r="B4718">
        <v>70</v>
      </c>
      <c r="C4718" t="s">
        <v>71</v>
      </c>
      <c r="D4718" t="s">
        <v>112</v>
      </c>
      <c r="E4718" t="s">
        <v>29</v>
      </c>
      <c r="F4718" s="2">
        <v>0</v>
      </c>
      <c r="G4718" t="s">
        <v>82</v>
      </c>
      <c r="H4718" t="s">
        <v>55</v>
      </c>
      <c r="I4718" t="s">
        <v>40</v>
      </c>
      <c r="J4718" t="s">
        <v>22</v>
      </c>
      <c r="K4718">
        <v>3</v>
      </c>
      <c r="L4718" t="s">
        <v>34</v>
      </c>
      <c r="M4718" t="s">
        <v>24</v>
      </c>
      <c r="N4718" t="s">
        <v>23</v>
      </c>
      <c r="O4718">
        <v>10</v>
      </c>
      <c r="P4718" t="s">
        <v>53</v>
      </c>
      <c r="Q4718" t="s">
        <v>37</v>
      </c>
      <c r="R4718" s="1">
        <v>0.1</v>
      </c>
      <c r="S4718">
        <f t="shared" si="292"/>
        <v>0</v>
      </c>
      <c r="T4718">
        <f>IFERROR(VLOOKUP(A4718,Table1[[Customer ID]:[Discount Amount]], 6, FALSE),"Not Found")</f>
        <v>0</v>
      </c>
      <c r="U4718" t="str">
        <f t="shared" si="293"/>
        <v>Credit Card</v>
      </c>
      <c r="V4718" s="4" t="str">
        <f t="shared" si="294"/>
        <v>Normal</v>
      </c>
      <c r="W4718" s="4" t="str">
        <f t="shared" si="295"/>
        <v>Good</v>
      </c>
      <c r="X4718" s="4">
        <f>AVERAGE(Table1[Purchase Amount])</f>
        <v>129.48419400000012</v>
      </c>
    </row>
    <row r="4719" spans="1:24" ht="15" customHeight="1" x14ac:dyDescent="0.25">
      <c r="A4719">
        <v>4817</v>
      </c>
      <c r="B4719">
        <v>65</v>
      </c>
      <c r="C4719" t="s">
        <v>27</v>
      </c>
      <c r="D4719" t="s">
        <v>72</v>
      </c>
      <c r="E4719" t="s">
        <v>29</v>
      </c>
      <c r="F4719" s="2">
        <v>598.48</v>
      </c>
      <c r="G4719" t="s">
        <v>139</v>
      </c>
      <c r="H4719" t="s">
        <v>55</v>
      </c>
      <c r="I4719" t="s">
        <v>40</v>
      </c>
      <c r="J4719" t="s">
        <v>75</v>
      </c>
      <c r="K4719">
        <v>1</v>
      </c>
      <c r="L4719" t="s">
        <v>23</v>
      </c>
      <c r="M4719" t="s">
        <v>24</v>
      </c>
      <c r="N4719" t="s">
        <v>23</v>
      </c>
      <c r="O4719">
        <v>38</v>
      </c>
      <c r="P4719" t="s">
        <v>25</v>
      </c>
      <c r="Q4719" t="s">
        <v>42</v>
      </c>
      <c r="R4719" s="1">
        <v>0.1</v>
      </c>
      <c r="S4719">
        <f t="shared" si="292"/>
        <v>538.63200000000006</v>
      </c>
      <c r="T4719">
        <f>IFERROR(VLOOKUP(A4719,Table1[[Customer ID]:[Discount Amount]], 6, FALSE),"Not Found")</f>
        <v>598.48</v>
      </c>
      <c r="U4719" t="str">
        <f t="shared" si="293"/>
        <v>Cash</v>
      </c>
      <c r="V4719" s="4" t="str">
        <f t="shared" si="294"/>
        <v>Normal</v>
      </c>
      <c r="W4719" s="4" t="str">
        <f t="shared" si="295"/>
        <v>Poor</v>
      </c>
      <c r="X4719" s="4">
        <f>AVERAGE(Table1[Purchase Amount])</f>
        <v>129.48419400000012</v>
      </c>
    </row>
    <row r="4720" spans="1:24" ht="15" customHeight="1" x14ac:dyDescent="0.25">
      <c r="A4720">
        <v>4818</v>
      </c>
      <c r="B4720">
        <v>23</v>
      </c>
      <c r="C4720" t="s">
        <v>27</v>
      </c>
      <c r="D4720" t="s">
        <v>112</v>
      </c>
      <c r="E4720" t="s">
        <v>81</v>
      </c>
      <c r="F4720" s="2">
        <v>0</v>
      </c>
      <c r="G4720" t="s">
        <v>139</v>
      </c>
      <c r="H4720" t="s">
        <v>31</v>
      </c>
      <c r="I4720" t="s">
        <v>32</v>
      </c>
      <c r="J4720" t="s">
        <v>33</v>
      </c>
      <c r="K4720">
        <v>1</v>
      </c>
      <c r="L4720" t="s">
        <v>34</v>
      </c>
      <c r="M4720" t="s">
        <v>61</v>
      </c>
      <c r="N4720" t="s">
        <v>23</v>
      </c>
      <c r="O4720">
        <v>0</v>
      </c>
      <c r="P4720" t="s">
        <v>36</v>
      </c>
      <c r="Q4720" t="s">
        <v>26</v>
      </c>
      <c r="R4720" s="1">
        <v>0.1</v>
      </c>
      <c r="S4720">
        <f t="shared" si="292"/>
        <v>0</v>
      </c>
      <c r="T4720">
        <f>IFERROR(VLOOKUP(A4720,Table1[[Customer ID]:[Discount Amount]], 6, FALSE),"Not Found")</f>
        <v>0</v>
      </c>
      <c r="U4720" t="str">
        <f t="shared" si="293"/>
        <v>Debit Card</v>
      </c>
      <c r="V4720" s="4" t="str">
        <f t="shared" si="294"/>
        <v>Normal</v>
      </c>
      <c r="W4720" s="4" t="str">
        <f t="shared" si="295"/>
        <v>Poor</v>
      </c>
      <c r="X4720" s="4">
        <f>AVERAGE(Table1[Purchase Amount])</f>
        <v>129.48419400000012</v>
      </c>
    </row>
    <row r="4721" spans="1:24" ht="15" customHeight="1" x14ac:dyDescent="0.25">
      <c r="A4721">
        <v>4819</v>
      </c>
      <c r="B4721">
        <v>41</v>
      </c>
      <c r="C4721" t="s">
        <v>27</v>
      </c>
      <c r="D4721" t="s">
        <v>112</v>
      </c>
      <c r="E4721" t="s">
        <v>81</v>
      </c>
      <c r="F4721" s="2">
        <v>0</v>
      </c>
      <c r="G4721" t="s">
        <v>139</v>
      </c>
      <c r="H4721" t="s">
        <v>31</v>
      </c>
      <c r="I4721" t="s">
        <v>46</v>
      </c>
      <c r="J4721" t="s">
        <v>75</v>
      </c>
      <c r="K4721">
        <v>4</v>
      </c>
      <c r="L4721" t="s">
        <v>23</v>
      </c>
      <c r="M4721" t="s">
        <v>61</v>
      </c>
      <c r="N4721" t="s">
        <v>34</v>
      </c>
      <c r="O4721">
        <v>0</v>
      </c>
      <c r="P4721" t="s">
        <v>36</v>
      </c>
      <c r="Q4721" t="s">
        <v>42</v>
      </c>
      <c r="R4721" s="1">
        <v>0.1</v>
      </c>
      <c r="S4721">
        <f t="shared" si="292"/>
        <v>0</v>
      </c>
      <c r="T4721">
        <f>IFERROR(VLOOKUP(A4721,Table1[[Customer ID]:[Discount Amount]], 6, FALSE),"Not Found")</f>
        <v>0</v>
      </c>
      <c r="U4721" t="str">
        <f t="shared" si="293"/>
        <v>Debit Card</v>
      </c>
      <c r="V4721" s="4" t="str">
        <f t="shared" si="294"/>
        <v>Normal</v>
      </c>
      <c r="W4721" s="4" t="str">
        <f t="shared" si="295"/>
        <v>Good</v>
      </c>
      <c r="X4721" s="4">
        <f>AVERAGE(Table1[Purchase Amount])</f>
        <v>129.48419400000012</v>
      </c>
    </row>
    <row r="4722" spans="1:24" ht="15" customHeight="1" x14ac:dyDescent="0.25">
      <c r="A4722">
        <v>4820</v>
      </c>
      <c r="B4722">
        <v>25</v>
      </c>
      <c r="C4722" t="s">
        <v>71</v>
      </c>
      <c r="D4722" t="s">
        <v>38</v>
      </c>
      <c r="E4722" t="s">
        <v>29</v>
      </c>
      <c r="F4722" s="2">
        <v>0</v>
      </c>
      <c r="G4722" t="s">
        <v>101</v>
      </c>
      <c r="H4722" t="s">
        <v>31</v>
      </c>
      <c r="I4722" t="s">
        <v>40</v>
      </c>
      <c r="J4722" t="s">
        <v>22</v>
      </c>
      <c r="K4722">
        <v>1</v>
      </c>
      <c r="L4722" t="s">
        <v>34</v>
      </c>
      <c r="M4722" t="s">
        <v>24</v>
      </c>
      <c r="N4722" t="s">
        <v>34</v>
      </c>
      <c r="O4722">
        <v>0</v>
      </c>
      <c r="P4722" t="s">
        <v>25</v>
      </c>
      <c r="Q4722" t="s">
        <v>42</v>
      </c>
      <c r="R4722" s="1">
        <v>0.1</v>
      </c>
      <c r="S4722">
        <f t="shared" si="292"/>
        <v>0</v>
      </c>
      <c r="T4722">
        <f>IFERROR(VLOOKUP(A4722,Table1[[Customer ID]:[Discount Amount]], 6, FALSE),"Not Found")</f>
        <v>0</v>
      </c>
      <c r="U4722" t="str">
        <f t="shared" si="293"/>
        <v>Cash</v>
      </c>
      <c r="V4722" s="4" t="str">
        <f t="shared" si="294"/>
        <v>Normal</v>
      </c>
      <c r="W4722" s="4" t="str">
        <f t="shared" si="295"/>
        <v>Poor</v>
      </c>
      <c r="X4722" s="4">
        <f>AVERAGE(Table1[Purchase Amount])</f>
        <v>129.48419400000012</v>
      </c>
    </row>
    <row r="4723" spans="1:24" ht="15" customHeight="1" x14ac:dyDescent="0.25">
      <c r="A4723">
        <v>4821</v>
      </c>
      <c r="B4723">
        <v>54</v>
      </c>
      <c r="C4723" t="s">
        <v>71</v>
      </c>
      <c r="D4723" t="s">
        <v>117</v>
      </c>
      <c r="E4723" t="s">
        <v>81</v>
      </c>
      <c r="F4723" s="2">
        <v>0</v>
      </c>
      <c r="G4723" t="s">
        <v>101</v>
      </c>
      <c r="H4723" t="s">
        <v>31</v>
      </c>
      <c r="I4723" t="s">
        <v>32</v>
      </c>
      <c r="J4723" t="s">
        <v>75</v>
      </c>
      <c r="K4723">
        <v>1</v>
      </c>
      <c r="L4723" t="s">
        <v>34</v>
      </c>
      <c r="M4723" t="s">
        <v>61</v>
      </c>
      <c r="N4723" t="s">
        <v>34</v>
      </c>
      <c r="O4723">
        <v>0</v>
      </c>
      <c r="P4723" t="s">
        <v>25</v>
      </c>
      <c r="Q4723" t="s">
        <v>37</v>
      </c>
      <c r="R4723" s="1">
        <v>0.1</v>
      </c>
      <c r="S4723">
        <f t="shared" si="292"/>
        <v>0</v>
      </c>
      <c r="T4723">
        <f>IFERROR(VLOOKUP(A4723,Table1[[Customer ID]:[Discount Amount]], 6, FALSE),"Not Found")</f>
        <v>0</v>
      </c>
      <c r="U4723" t="str">
        <f t="shared" si="293"/>
        <v>Cash</v>
      </c>
      <c r="V4723" s="4" t="str">
        <f t="shared" si="294"/>
        <v>Normal</v>
      </c>
      <c r="W4723" s="4" t="str">
        <f t="shared" si="295"/>
        <v>Poor</v>
      </c>
      <c r="X4723" s="4">
        <f>AVERAGE(Table1[Purchase Amount])</f>
        <v>129.48419400000012</v>
      </c>
    </row>
    <row r="4724" spans="1:24" ht="15" customHeight="1" x14ac:dyDescent="0.25">
      <c r="A4724">
        <v>4822</v>
      </c>
      <c r="B4724">
        <v>23</v>
      </c>
      <c r="C4724" t="s">
        <v>71</v>
      </c>
      <c r="D4724" t="s">
        <v>72</v>
      </c>
      <c r="E4724" t="s">
        <v>29</v>
      </c>
      <c r="F4724" s="2">
        <v>0</v>
      </c>
      <c r="G4724" t="s">
        <v>82</v>
      </c>
      <c r="H4724" t="s">
        <v>55</v>
      </c>
      <c r="I4724" t="s">
        <v>74</v>
      </c>
      <c r="J4724" t="s">
        <v>57</v>
      </c>
      <c r="K4724">
        <v>1</v>
      </c>
      <c r="L4724" t="s">
        <v>34</v>
      </c>
      <c r="M4724" t="s">
        <v>61</v>
      </c>
      <c r="N4724" t="s">
        <v>23</v>
      </c>
      <c r="O4724">
        <v>40</v>
      </c>
      <c r="P4724" t="s">
        <v>58</v>
      </c>
      <c r="Q4724" t="s">
        <v>37</v>
      </c>
      <c r="R4724" s="1">
        <v>0.1</v>
      </c>
      <c r="S4724">
        <f t="shared" si="292"/>
        <v>0</v>
      </c>
      <c r="T4724">
        <f>IFERROR(VLOOKUP(A4724,Table1[[Customer ID]:[Discount Amount]], 6, FALSE),"Not Found")</f>
        <v>0</v>
      </c>
      <c r="U4724" t="str">
        <f t="shared" si="293"/>
        <v>PayPal</v>
      </c>
      <c r="V4724" s="4" t="str">
        <f t="shared" si="294"/>
        <v>Normal</v>
      </c>
      <c r="W4724" s="4" t="str">
        <f t="shared" si="295"/>
        <v>Poor</v>
      </c>
      <c r="X4724" s="4">
        <f>AVERAGE(Table1[Purchase Amount])</f>
        <v>129.48419400000012</v>
      </c>
    </row>
    <row r="4725" spans="1:24" ht="15" customHeight="1" x14ac:dyDescent="0.25">
      <c r="A4725">
        <v>4823</v>
      </c>
      <c r="B4725">
        <v>40</v>
      </c>
      <c r="C4725" t="s">
        <v>27</v>
      </c>
      <c r="D4725" t="s">
        <v>38</v>
      </c>
      <c r="E4725" t="s">
        <v>29</v>
      </c>
      <c r="F4725" s="2">
        <v>147.41</v>
      </c>
      <c r="G4725" t="s">
        <v>126</v>
      </c>
      <c r="H4725" t="s">
        <v>45</v>
      </c>
      <c r="I4725" t="s">
        <v>32</v>
      </c>
      <c r="J4725" t="s">
        <v>33</v>
      </c>
      <c r="K4725">
        <v>3</v>
      </c>
      <c r="L4725" t="s">
        <v>23</v>
      </c>
      <c r="M4725" t="s">
        <v>24</v>
      </c>
      <c r="N4725" t="s">
        <v>23</v>
      </c>
      <c r="O4725">
        <v>0</v>
      </c>
      <c r="P4725" t="s">
        <v>58</v>
      </c>
      <c r="Q4725" t="s">
        <v>26</v>
      </c>
      <c r="R4725" s="1">
        <v>0.1</v>
      </c>
      <c r="S4725">
        <f t="shared" si="292"/>
        <v>132.66899999999998</v>
      </c>
      <c r="T4725">
        <f>IFERROR(VLOOKUP(A4725,Table1[[Customer ID]:[Discount Amount]], 6, FALSE),"Not Found")</f>
        <v>147.41</v>
      </c>
      <c r="U4725" t="str">
        <f t="shared" si="293"/>
        <v>PayPal</v>
      </c>
      <c r="V4725" s="4" t="str">
        <f t="shared" si="294"/>
        <v>Normal</v>
      </c>
      <c r="W4725" s="4" t="str">
        <f t="shared" si="295"/>
        <v>Good</v>
      </c>
      <c r="X4725" s="4">
        <f>AVERAGE(Table1[Purchase Amount])</f>
        <v>129.48419400000012</v>
      </c>
    </row>
    <row r="4726" spans="1:24" ht="15" customHeight="1" x14ac:dyDescent="0.25">
      <c r="A4726">
        <v>4824</v>
      </c>
      <c r="B4726">
        <v>46</v>
      </c>
      <c r="C4726" t="s">
        <v>27</v>
      </c>
      <c r="D4726" t="s">
        <v>38</v>
      </c>
      <c r="E4726" t="s">
        <v>18</v>
      </c>
      <c r="F4726" s="2">
        <v>555.57000000000005</v>
      </c>
      <c r="G4726" t="s">
        <v>126</v>
      </c>
      <c r="H4726" t="s">
        <v>31</v>
      </c>
      <c r="I4726" t="s">
        <v>40</v>
      </c>
      <c r="J4726" t="s">
        <v>75</v>
      </c>
      <c r="K4726">
        <v>1</v>
      </c>
      <c r="L4726" t="s">
        <v>23</v>
      </c>
      <c r="M4726" t="s">
        <v>24</v>
      </c>
      <c r="N4726" t="s">
        <v>23</v>
      </c>
      <c r="O4726">
        <v>0</v>
      </c>
      <c r="P4726" t="s">
        <v>36</v>
      </c>
      <c r="Q4726" t="s">
        <v>26</v>
      </c>
      <c r="R4726" s="1">
        <v>0.1</v>
      </c>
      <c r="S4726">
        <f t="shared" si="292"/>
        <v>500.01300000000003</v>
      </c>
      <c r="T4726">
        <f>IFERROR(VLOOKUP(A4726,Table1[[Customer ID]:[Discount Amount]], 6, FALSE),"Not Found")</f>
        <v>555.57000000000005</v>
      </c>
      <c r="U4726" t="str">
        <f t="shared" si="293"/>
        <v>Debit Card</v>
      </c>
      <c r="V4726" s="4" t="str">
        <f t="shared" si="294"/>
        <v>Normal</v>
      </c>
      <c r="W4726" s="4" t="str">
        <f t="shared" si="295"/>
        <v>Poor</v>
      </c>
      <c r="X4726" s="4">
        <f>AVERAGE(Table1[Purchase Amount])</f>
        <v>129.48419400000012</v>
      </c>
    </row>
    <row r="4727" spans="1:24" ht="15" customHeight="1" x14ac:dyDescent="0.25">
      <c r="A4727">
        <v>4825</v>
      </c>
      <c r="B4727">
        <v>66</v>
      </c>
      <c r="C4727" t="s">
        <v>71</v>
      </c>
      <c r="D4727" t="s">
        <v>117</v>
      </c>
      <c r="E4727" t="s">
        <v>29</v>
      </c>
      <c r="F4727" s="2">
        <v>526.52</v>
      </c>
      <c r="G4727" t="s">
        <v>126</v>
      </c>
      <c r="H4727" t="s">
        <v>45</v>
      </c>
      <c r="I4727" t="s">
        <v>40</v>
      </c>
      <c r="J4727" t="s">
        <v>57</v>
      </c>
      <c r="K4727">
        <v>1</v>
      </c>
      <c r="L4727" t="s">
        <v>23</v>
      </c>
      <c r="M4727" t="s">
        <v>24</v>
      </c>
      <c r="N4727" t="s">
        <v>23</v>
      </c>
      <c r="O4727">
        <v>0</v>
      </c>
      <c r="P4727" t="s">
        <v>36</v>
      </c>
      <c r="Q4727" t="s">
        <v>26</v>
      </c>
      <c r="R4727" s="1">
        <v>0.1</v>
      </c>
      <c r="S4727">
        <f t="shared" si="292"/>
        <v>473.86799999999999</v>
      </c>
      <c r="T4727">
        <f>IFERROR(VLOOKUP(A4727,Table1[[Customer ID]:[Discount Amount]], 6, FALSE),"Not Found")</f>
        <v>526.52</v>
      </c>
      <c r="U4727" t="str">
        <f t="shared" si="293"/>
        <v>Debit Card</v>
      </c>
      <c r="V4727" s="4" t="str">
        <f t="shared" si="294"/>
        <v>Normal</v>
      </c>
      <c r="W4727" s="4" t="str">
        <f t="shared" si="295"/>
        <v>Poor</v>
      </c>
      <c r="X4727" s="4">
        <f>AVERAGE(Table1[Purchase Amount])</f>
        <v>129.48419400000012</v>
      </c>
    </row>
    <row r="4728" spans="1:24" ht="15" customHeight="1" x14ac:dyDescent="0.25">
      <c r="A4728">
        <v>4826</v>
      </c>
      <c r="B4728">
        <v>66</v>
      </c>
      <c r="C4728" t="s">
        <v>71</v>
      </c>
      <c r="D4728" t="s">
        <v>117</v>
      </c>
      <c r="E4728" t="s">
        <v>29</v>
      </c>
      <c r="F4728" s="2">
        <v>525.17999999999995</v>
      </c>
      <c r="G4728" t="s">
        <v>126</v>
      </c>
      <c r="H4728" t="s">
        <v>31</v>
      </c>
      <c r="I4728" t="s">
        <v>32</v>
      </c>
      <c r="J4728" t="s">
        <v>75</v>
      </c>
      <c r="K4728">
        <v>5</v>
      </c>
      <c r="L4728" t="s">
        <v>23</v>
      </c>
      <c r="M4728" t="s">
        <v>61</v>
      </c>
      <c r="N4728" t="s">
        <v>34</v>
      </c>
      <c r="O4728">
        <v>50</v>
      </c>
      <c r="P4728" t="s">
        <v>58</v>
      </c>
      <c r="Q4728" t="s">
        <v>37</v>
      </c>
      <c r="R4728" s="1">
        <v>0.1</v>
      </c>
      <c r="S4728">
        <f t="shared" si="292"/>
        <v>472.66199999999992</v>
      </c>
      <c r="T4728">
        <f>IFERROR(VLOOKUP(A4728,Table1[[Customer ID]:[Discount Amount]], 6, FALSE),"Not Found")</f>
        <v>525.17999999999995</v>
      </c>
      <c r="U4728" t="str">
        <f t="shared" si="293"/>
        <v>PayPal</v>
      </c>
      <c r="V4728" s="4" t="str">
        <f t="shared" si="294"/>
        <v>Normal</v>
      </c>
      <c r="W4728" s="4" t="str">
        <f t="shared" si="295"/>
        <v>Good</v>
      </c>
      <c r="X4728" s="4">
        <f>AVERAGE(Table1[Purchase Amount])</f>
        <v>129.48419400000012</v>
      </c>
    </row>
    <row r="4729" spans="1:24" ht="15" customHeight="1" x14ac:dyDescent="0.25">
      <c r="A4729">
        <v>4827</v>
      </c>
      <c r="B4729">
        <v>20</v>
      </c>
      <c r="C4729" t="s">
        <v>16</v>
      </c>
      <c r="D4729" t="s">
        <v>80</v>
      </c>
      <c r="E4729" t="s">
        <v>81</v>
      </c>
      <c r="F4729" s="2">
        <v>0</v>
      </c>
      <c r="G4729" t="s">
        <v>126</v>
      </c>
      <c r="H4729" t="s">
        <v>31</v>
      </c>
      <c r="I4729" t="s">
        <v>93</v>
      </c>
      <c r="J4729" t="s">
        <v>57</v>
      </c>
      <c r="K4729">
        <v>1</v>
      </c>
      <c r="L4729" t="s">
        <v>23</v>
      </c>
      <c r="M4729" t="s">
        <v>61</v>
      </c>
      <c r="N4729" t="s">
        <v>23</v>
      </c>
      <c r="O4729">
        <v>17</v>
      </c>
      <c r="P4729" t="s">
        <v>36</v>
      </c>
      <c r="Q4729" t="s">
        <v>42</v>
      </c>
      <c r="R4729" s="1">
        <v>0.1</v>
      </c>
      <c r="S4729">
        <f t="shared" si="292"/>
        <v>0</v>
      </c>
      <c r="T4729">
        <f>IFERROR(VLOOKUP(A4729,Table1[[Customer ID]:[Discount Amount]], 6, FALSE),"Not Found")</f>
        <v>0</v>
      </c>
      <c r="U4729" t="str">
        <f t="shared" si="293"/>
        <v>Debit Card</v>
      </c>
      <c r="V4729" s="4" t="str">
        <f t="shared" si="294"/>
        <v>Normal</v>
      </c>
      <c r="W4729" s="4" t="str">
        <f t="shared" si="295"/>
        <v>Poor</v>
      </c>
      <c r="X4729" s="4">
        <f>AVERAGE(Table1[Purchase Amount])</f>
        <v>129.48419400000012</v>
      </c>
    </row>
    <row r="4730" spans="1:24" ht="15" customHeight="1" x14ac:dyDescent="0.25">
      <c r="A4730">
        <v>4828</v>
      </c>
      <c r="B4730">
        <v>61</v>
      </c>
      <c r="C4730" t="s">
        <v>16</v>
      </c>
      <c r="D4730" t="s">
        <v>80</v>
      </c>
      <c r="E4730" t="s">
        <v>18</v>
      </c>
      <c r="F4730" s="2">
        <v>1186.3800000000001</v>
      </c>
      <c r="G4730" t="s">
        <v>101</v>
      </c>
      <c r="H4730" t="s">
        <v>20</v>
      </c>
      <c r="I4730" t="s">
        <v>32</v>
      </c>
      <c r="J4730" t="s">
        <v>33</v>
      </c>
      <c r="K4730">
        <v>5</v>
      </c>
      <c r="L4730" t="s">
        <v>23</v>
      </c>
      <c r="M4730" t="s">
        <v>61</v>
      </c>
      <c r="N4730" t="s">
        <v>23</v>
      </c>
      <c r="O4730">
        <v>27</v>
      </c>
      <c r="P4730" t="s">
        <v>25</v>
      </c>
      <c r="Q4730" t="s">
        <v>37</v>
      </c>
      <c r="R4730" s="1">
        <v>0.1</v>
      </c>
      <c r="S4730">
        <f t="shared" si="292"/>
        <v>1067.7420000000002</v>
      </c>
      <c r="T4730">
        <f>IFERROR(VLOOKUP(A4730,Table1[[Customer ID]:[Discount Amount]], 6, FALSE),"Not Found")</f>
        <v>1186.3800000000001</v>
      </c>
      <c r="U4730" t="str">
        <f t="shared" si="293"/>
        <v>Cash</v>
      </c>
      <c r="V4730" s="4" t="str">
        <f t="shared" si="294"/>
        <v>Best Customer</v>
      </c>
      <c r="W4730" s="4" t="str">
        <f t="shared" si="295"/>
        <v>Good</v>
      </c>
      <c r="X4730" s="4">
        <f>AVERAGE(Table1[Purchase Amount])</f>
        <v>129.48419400000012</v>
      </c>
    </row>
    <row r="4731" spans="1:24" ht="15" customHeight="1" x14ac:dyDescent="0.25">
      <c r="A4731">
        <v>4829</v>
      </c>
      <c r="B4731">
        <v>66</v>
      </c>
      <c r="C4731" t="s">
        <v>27</v>
      </c>
      <c r="D4731" t="s">
        <v>72</v>
      </c>
      <c r="E4731" t="s">
        <v>18</v>
      </c>
      <c r="F4731" s="2">
        <v>1311.96</v>
      </c>
      <c r="G4731" t="s">
        <v>101</v>
      </c>
      <c r="H4731" t="s">
        <v>20</v>
      </c>
      <c r="I4731" t="s">
        <v>40</v>
      </c>
      <c r="J4731" t="s">
        <v>75</v>
      </c>
      <c r="K4731">
        <v>2</v>
      </c>
      <c r="L4731" t="s">
        <v>34</v>
      </c>
      <c r="M4731" t="s">
        <v>61</v>
      </c>
      <c r="N4731" t="s">
        <v>34</v>
      </c>
      <c r="O4731">
        <v>0</v>
      </c>
      <c r="P4731" t="s">
        <v>36</v>
      </c>
      <c r="Q4731" t="s">
        <v>42</v>
      </c>
      <c r="R4731" s="1">
        <v>0.1</v>
      </c>
      <c r="S4731">
        <f t="shared" si="292"/>
        <v>1180.7640000000001</v>
      </c>
      <c r="T4731">
        <f>IFERROR(VLOOKUP(A4731,Table1[[Customer ID]:[Discount Amount]], 6, FALSE),"Not Found")</f>
        <v>1311.96</v>
      </c>
      <c r="U4731" t="str">
        <f t="shared" si="293"/>
        <v>Debit Card</v>
      </c>
      <c r="V4731" s="4" t="str">
        <f t="shared" si="294"/>
        <v>Normal</v>
      </c>
      <c r="W4731" s="4" t="str">
        <f t="shared" si="295"/>
        <v>Poor</v>
      </c>
      <c r="X4731" s="4">
        <f>AVERAGE(Table1[Purchase Amount])</f>
        <v>129.48419400000012</v>
      </c>
    </row>
    <row r="4732" spans="1:24" ht="15" customHeight="1" x14ac:dyDescent="0.25">
      <c r="A4732">
        <v>4830</v>
      </c>
      <c r="B4732">
        <v>34</v>
      </c>
      <c r="C4732" t="s">
        <v>71</v>
      </c>
      <c r="D4732" t="s">
        <v>72</v>
      </c>
      <c r="E4732" t="s">
        <v>81</v>
      </c>
      <c r="F4732" s="2">
        <v>61.63</v>
      </c>
      <c r="G4732" t="s">
        <v>126</v>
      </c>
      <c r="H4732" t="s">
        <v>31</v>
      </c>
      <c r="I4732" t="s">
        <v>93</v>
      </c>
      <c r="J4732" t="s">
        <v>22</v>
      </c>
      <c r="K4732">
        <v>2</v>
      </c>
      <c r="L4732" t="s">
        <v>34</v>
      </c>
      <c r="M4732" t="s">
        <v>24</v>
      </c>
      <c r="N4732" t="s">
        <v>23</v>
      </c>
      <c r="O4732">
        <v>22</v>
      </c>
      <c r="P4732" t="s">
        <v>25</v>
      </c>
      <c r="Q4732" t="s">
        <v>37</v>
      </c>
      <c r="R4732" s="1">
        <v>0.1</v>
      </c>
      <c r="S4732">
        <f t="shared" si="292"/>
        <v>55.466999999999999</v>
      </c>
      <c r="T4732">
        <f>IFERROR(VLOOKUP(A4732,Table1[[Customer ID]:[Discount Amount]], 6, FALSE),"Not Found")</f>
        <v>61.63</v>
      </c>
      <c r="U4732" t="str">
        <f t="shared" si="293"/>
        <v>Cash</v>
      </c>
      <c r="V4732" s="4" t="str">
        <f t="shared" si="294"/>
        <v>Normal</v>
      </c>
      <c r="W4732" s="4" t="str">
        <f t="shared" si="295"/>
        <v>Poor</v>
      </c>
      <c r="X4732" s="4">
        <f>AVERAGE(Table1[Purchase Amount])</f>
        <v>129.48419400000012</v>
      </c>
    </row>
    <row r="4733" spans="1:24" ht="15" customHeight="1" x14ac:dyDescent="0.25">
      <c r="A4733">
        <v>4831</v>
      </c>
      <c r="B4733">
        <v>66</v>
      </c>
      <c r="C4733" t="s">
        <v>16</v>
      </c>
      <c r="D4733" t="s">
        <v>95</v>
      </c>
      <c r="E4733" t="s">
        <v>18</v>
      </c>
      <c r="F4733" s="2">
        <v>0</v>
      </c>
      <c r="G4733" t="s">
        <v>73</v>
      </c>
      <c r="H4733" t="s">
        <v>45</v>
      </c>
      <c r="I4733" t="s">
        <v>40</v>
      </c>
      <c r="J4733" t="s">
        <v>33</v>
      </c>
      <c r="K4733">
        <v>1</v>
      </c>
      <c r="L4733" t="s">
        <v>23</v>
      </c>
      <c r="M4733" t="s">
        <v>61</v>
      </c>
      <c r="N4733" t="s">
        <v>34</v>
      </c>
      <c r="O4733">
        <v>0</v>
      </c>
      <c r="P4733" t="s">
        <v>53</v>
      </c>
      <c r="Q4733" t="s">
        <v>42</v>
      </c>
      <c r="R4733" s="1">
        <v>0.1</v>
      </c>
      <c r="S4733">
        <f t="shared" si="292"/>
        <v>0</v>
      </c>
      <c r="T4733">
        <f>IFERROR(VLOOKUP(A4733,Table1[[Customer ID]:[Discount Amount]], 6, FALSE),"Not Found")</f>
        <v>0</v>
      </c>
      <c r="U4733" t="str">
        <f t="shared" si="293"/>
        <v>Credit Card</v>
      </c>
      <c r="V4733" s="4" t="str">
        <f t="shared" si="294"/>
        <v>Normal</v>
      </c>
      <c r="W4733" s="4" t="str">
        <f t="shared" si="295"/>
        <v>Poor</v>
      </c>
      <c r="X4733" s="4">
        <f>AVERAGE(Table1[Purchase Amount])</f>
        <v>129.48419400000012</v>
      </c>
    </row>
    <row r="4734" spans="1:24" ht="15" customHeight="1" x14ac:dyDescent="0.25">
      <c r="A4734">
        <v>4832</v>
      </c>
      <c r="B4734">
        <v>19</v>
      </c>
      <c r="C4734" t="s">
        <v>16</v>
      </c>
      <c r="D4734" t="s">
        <v>112</v>
      </c>
      <c r="E4734" t="s">
        <v>81</v>
      </c>
      <c r="F4734" s="2">
        <v>322.81</v>
      </c>
      <c r="G4734" t="s">
        <v>126</v>
      </c>
      <c r="H4734" t="s">
        <v>31</v>
      </c>
      <c r="I4734" t="s">
        <v>93</v>
      </c>
      <c r="J4734" t="s">
        <v>22</v>
      </c>
      <c r="K4734">
        <v>1</v>
      </c>
      <c r="L4734" t="s">
        <v>34</v>
      </c>
      <c r="M4734" t="s">
        <v>61</v>
      </c>
      <c r="N4734" t="s">
        <v>23</v>
      </c>
      <c r="O4734">
        <v>11</v>
      </c>
      <c r="P4734" t="s">
        <v>58</v>
      </c>
      <c r="Q4734" t="s">
        <v>37</v>
      </c>
      <c r="R4734" s="1">
        <v>0.1</v>
      </c>
      <c r="S4734">
        <f t="shared" si="292"/>
        <v>290.529</v>
      </c>
      <c r="T4734">
        <f>IFERROR(VLOOKUP(A4734,Table1[[Customer ID]:[Discount Amount]], 6, FALSE),"Not Found")</f>
        <v>322.81</v>
      </c>
      <c r="U4734" t="str">
        <f t="shared" si="293"/>
        <v>PayPal</v>
      </c>
      <c r="V4734" s="4" t="str">
        <f t="shared" si="294"/>
        <v>Normal</v>
      </c>
      <c r="W4734" s="4" t="str">
        <f t="shared" si="295"/>
        <v>Poor</v>
      </c>
      <c r="X4734" s="4">
        <f>AVERAGE(Table1[Purchase Amount])</f>
        <v>129.48419400000012</v>
      </c>
    </row>
    <row r="4735" spans="1:24" ht="15" customHeight="1" x14ac:dyDescent="0.25">
      <c r="A4735">
        <v>4833</v>
      </c>
      <c r="B4735">
        <v>46</v>
      </c>
      <c r="C4735" t="s">
        <v>16</v>
      </c>
      <c r="D4735" t="s">
        <v>117</v>
      </c>
      <c r="E4735" t="s">
        <v>81</v>
      </c>
      <c r="F4735" s="2">
        <v>0</v>
      </c>
      <c r="G4735" t="s">
        <v>139</v>
      </c>
      <c r="H4735" t="s">
        <v>31</v>
      </c>
      <c r="I4735" t="s">
        <v>40</v>
      </c>
      <c r="J4735" t="s">
        <v>33</v>
      </c>
      <c r="K4735">
        <v>1</v>
      </c>
      <c r="L4735" t="s">
        <v>34</v>
      </c>
      <c r="M4735" t="s">
        <v>24</v>
      </c>
      <c r="N4735" t="s">
        <v>23</v>
      </c>
      <c r="O4735">
        <v>31</v>
      </c>
      <c r="P4735" t="s">
        <v>36</v>
      </c>
      <c r="Q4735" t="s">
        <v>26</v>
      </c>
      <c r="R4735" s="1">
        <v>0.1</v>
      </c>
      <c r="S4735">
        <f t="shared" si="292"/>
        <v>0</v>
      </c>
      <c r="T4735">
        <f>IFERROR(VLOOKUP(A4735,Table1[[Customer ID]:[Discount Amount]], 6, FALSE),"Not Found")</f>
        <v>0</v>
      </c>
      <c r="U4735" t="str">
        <f t="shared" si="293"/>
        <v>Debit Card</v>
      </c>
      <c r="V4735" s="4" t="str">
        <f t="shared" si="294"/>
        <v>Normal</v>
      </c>
      <c r="W4735" s="4" t="str">
        <f t="shared" si="295"/>
        <v>Poor</v>
      </c>
      <c r="X4735" s="4">
        <f>AVERAGE(Table1[Purchase Amount])</f>
        <v>129.48419400000012</v>
      </c>
    </row>
    <row r="4736" spans="1:24" ht="15" customHeight="1" x14ac:dyDescent="0.25">
      <c r="A4736">
        <v>4834</v>
      </c>
      <c r="B4736">
        <v>31</v>
      </c>
      <c r="C4736" t="s">
        <v>27</v>
      </c>
      <c r="D4736" t="s">
        <v>72</v>
      </c>
      <c r="E4736" t="s">
        <v>81</v>
      </c>
      <c r="F4736" s="2">
        <v>0</v>
      </c>
      <c r="G4736" t="s">
        <v>101</v>
      </c>
      <c r="H4736" t="s">
        <v>31</v>
      </c>
      <c r="I4736" t="s">
        <v>32</v>
      </c>
      <c r="J4736" t="s">
        <v>22</v>
      </c>
      <c r="K4736">
        <v>1</v>
      </c>
      <c r="L4736" t="s">
        <v>34</v>
      </c>
      <c r="M4736" t="s">
        <v>61</v>
      </c>
      <c r="N4736" t="s">
        <v>23</v>
      </c>
      <c r="O4736">
        <v>5</v>
      </c>
      <c r="P4736" t="s">
        <v>36</v>
      </c>
      <c r="Q4736" t="s">
        <v>42</v>
      </c>
      <c r="R4736" s="1">
        <v>0.1</v>
      </c>
      <c r="S4736">
        <f t="shared" si="292"/>
        <v>0</v>
      </c>
      <c r="T4736">
        <f>IFERROR(VLOOKUP(A4736,Table1[[Customer ID]:[Discount Amount]], 6, FALSE),"Not Found")</f>
        <v>0</v>
      </c>
      <c r="U4736" t="str">
        <f t="shared" si="293"/>
        <v>Debit Card</v>
      </c>
      <c r="V4736" s="4" t="str">
        <f t="shared" si="294"/>
        <v>Normal</v>
      </c>
      <c r="W4736" s="4" t="str">
        <f t="shared" si="295"/>
        <v>Poor</v>
      </c>
      <c r="X4736" s="4">
        <f>AVERAGE(Table1[Purchase Amount])</f>
        <v>129.48419400000012</v>
      </c>
    </row>
    <row r="4737" spans="1:24" ht="15" customHeight="1" x14ac:dyDescent="0.25">
      <c r="A4737">
        <v>4835</v>
      </c>
      <c r="B4737">
        <v>49</v>
      </c>
      <c r="C4737" t="s">
        <v>16</v>
      </c>
      <c r="D4737" t="s">
        <v>72</v>
      </c>
      <c r="E4737" t="s">
        <v>18</v>
      </c>
      <c r="F4737" s="2">
        <v>813.93</v>
      </c>
      <c r="G4737" t="s">
        <v>126</v>
      </c>
      <c r="H4737" t="s">
        <v>55</v>
      </c>
      <c r="I4737" t="s">
        <v>32</v>
      </c>
      <c r="J4737" t="s">
        <v>75</v>
      </c>
      <c r="K4737">
        <v>5</v>
      </c>
      <c r="L4737" t="s">
        <v>23</v>
      </c>
      <c r="M4737" t="s">
        <v>61</v>
      </c>
      <c r="N4737" t="s">
        <v>23</v>
      </c>
      <c r="O4737">
        <v>49</v>
      </c>
      <c r="P4737" t="s">
        <v>53</v>
      </c>
      <c r="Q4737" t="s">
        <v>42</v>
      </c>
      <c r="R4737" s="1">
        <v>0.1</v>
      </c>
      <c r="S4737">
        <f t="shared" si="292"/>
        <v>732.53699999999992</v>
      </c>
      <c r="T4737">
        <f>IFERROR(VLOOKUP(A4737,Table1[[Customer ID]:[Discount Amount]], 6, FALSE),"Not Found")</f>
        <v>813.93</v>
      </c>
      <c r="U4737" t="str">
        <f t="shared" si="293"/>
        <v>Credit Card</v>
      </c>
      <c r="V4737" s="4" t="str">
        <f t="shared" si="294"/>
        <v>Normal</v>
      </c>
      <c r="W4737" s="4" t="str">
        <f t="shared" si="295"/>
        <v>Good</v>
      </c>
      <c r="X4737" s="4">
        <f>AVERAGE(Table1[Purchase Amount])</f>
        <v>129.48419400000012</v>
      </c>
    </row>
    <row r="4738" spans="1:24" ht="15" customHeight="1" x14ac:dyDescent="0.25">
      <c r="A4738">
        <v>4836</v>
      </c>
      <c r="B4738">
        <v>66</v>
      </c>
      <c r="C4738" t="s">
        <v>27</v>
      </c>
      <c r="D4738" t="s">
        <v>72</v>
      </c>
      <c r="E4738" t="s">
        <v>29</v>
      </c>
      <c r="F4738" s="2">
        <v>0</v>
      </c>
      <c r="G4738" t="s">
        <v>126</v>
      </c>
      <c r="H4738" t="s">
        <v>45</v>
      </c>
      <c r="I4738" t="s">
        <v>46</v>
      </c>
      <c r="J4738" t="s">
        <v>22</v>
      </c>
      <c r="K4738">
        <v>5</v>
      </c>
      <c r="L4738" t="s">
        <v>34</v>
      </c>
      <c r="M4738" t="s">
        <v>24</v>
      </c>
      <c r="N4738" t="s">
        <v>34</v>
      </c>
      <c r="O4738">
        <v>0</v>
      </c>
      <c r="P4738" t="s">
        <v>53</v>
      </c>
      <c r="Q4738" t="s">
        <v>42</v>
      </c>
      <c r="R4738" s="1">
        <v>0.1</v>
      </c>
      <c r="S4738">
        <f t="shared" ref="S4738:S4801" si="296">F4738-(F4738*R4738)</f>
        <v>0</v>
      </c>
      <c r="T4738">
        <f>IFERROR(VLOOKUP(A4738,Table1[[Customer ID]:[Discount Amount]], 6, FALSE),"Not Found")</f>
        <v>0</v>
      </c>
      <c r="U4738" t="str">
        <f t="shared" ref="U4738:U4801" si="297">INDEX(P:P, MATCH(A4738, A:A, 0))</f>
        <v>Credit Card</v>
      </c>
      <c r="V4738" s="4" t="str">
        <f t="shared" ref="V4738:V4801" si="298">IF(AND(F4738&gt;1000,K4738&gt;=4),"Best Customer","Normal")</f>
        <v>Normal</v>
      </c>
      <c r="W4738" s="4" t="str">
        <f t="shared" ref="W4738:W4801" si="299">IF(K4738&gt;=3,"Good","Poor")</f>
        <v>Good</v>
      </c>
      <c r="X4738" s="4">
        <f>AVERAGE(Table1[Purchase Amount])</f>
        <v>129.48419400000012</v>
      </c>
    </row>
    <row r="4739" spans="1:24" ht="15" customHeight="1" x14ac:dyDescent="0.25">
      <c r="A4739">
        <v>4837</v>
      </c>
      <c r="B4739">
        <v>41</v>
      </c>
      <c r="C4739" t="s">
        <v>16</v>
      </c>
      <c r="D4739" t="s">
        <v>116</v>
      </c>
      <c r="E4739" t="s">
        <v>81</v>
      </c>
      <c r="F4739" s="2">
        <v>131.56</v>
      </c>
      <c r="G4739" t="s">
        <v>82</v>
      </c>
      <c r="H4739" t="s">
        <v>31</v>
      </c>
      <c r="I4739" t="s">
        <v>74</v>
      </c>
      <c r="J4739" t="s">
        <v>33</v>
      </c>
      <c r="K4739">
        <v>1</v>
      </c>
      <c r="L4739" t="s">
        <v>23</v>
      </c>
      <c r="M4739" t="s">
        <v>61</v>
      </c>
      <c r="N4739" t="s">
        <v>23</v>
      </c>
      <c r="O4739">
        <v>36</v>
      </c>
      <c r="P4739" t="s">
        <v>36</v>
      </c>
      <c r="Q4739" t="s">
        <v>42</v>
      </c>
      <c r="R4739" s="1">
        <v>0.1</v>
      </c>
      <c r="S4739">
        <f t="shared" si="296"/>
        <v>118.404</v>
      </c>
      <c r="T4739">
        <f>IFERROR(VLOOKUP(A4739,Table1[[Customer ID]:[Discount Amount]], 6, FALSE),"Not Found")</f>
        <v>131.56</v>
      </c>
      <c r="U4739" t="str">
        <f t="shared" si="297"/>
        <v>Debit Card</v>
      </c>
      <c r="V4739" s="4" t="str">
        <f t="shared" si="298"/>
        <v>Normal</v>
      </c>
      <c r="W4739" s="4" t="str">
        <f t="shared" si="299"/>
        <v>Poor</v>
      </c>
      <c r="X4739" s="4">
        <f>AVERAGE(Table1[Purchase Amount])</f>
        <v>129.48419400000012</v>
      </c>
    </row>
    <row r="4740" spans="1:24" ht="15" customHeight="1" x14ac:dyDescent="0.25">
      <c r="A4740">
        <v>4838</v>
      </c>
      <c r="B4740">
        <v>54</v>
      </c>
      <c r="C4740" t="s">
        <v>27</v>
      </c>
      <c r="D4740" t="s">
        <v>116</v>
      </c>
      <c r="E4740" t="s">
        <v>18</v>
      </c>
      <c r="F4740" s="2">
        <v>0</v>
      </c>
      <c r="G4740" t="s">
        <v>73</v>
      </c>
      <c r="H4740" t="s">
        <v>20</v>
      </c>
      <c r="I4740" t="s">
        <v>40</v>
      </c>
      <c r="J4740" t="s">
        <v>33</v>
      </c>
      <c r="K4740">
        <v>5</v>
      </c>
      <c r="L4740" t="s">
        <v>23</v>
      </c>
      <c r="M4740" t="s">
        <v>61</v>
      </c>
      <c r="N4740" t="s">
        <v>23</v>
      </c>
      <c r="O4740">
        <v>0</v>
      </c>
      <c r="P4740" t="s">
        <v>25</v>
      </c>
      <c r="Q4740" t="s">
        <v>37</v>
      </c>
      <c r="R4740" s="1">
        <v>0.1</v>
      </c>
      <c r="S4740">
        <f t="shared" si="296"/>
        <v>0</v>
      </c>
      <c r="T4740">
        <f>IFERROR(VLOOKUP(A4740,Table1[[Customer ID]:[Discount Amount]], 6, FALSE),"Not Found")</f>
        <v>0</v>
      </c>
      <c r="U4740" t="str">
        <f t="shared" si="297"/>
        <v>Cash</v>
      </c>
      <c r="V4740" s="4" t="str">
        <f t="shared" si="298"/>
        <v>Normal</v>
      </c>
      <c r="W4740" s="4" t="str">
        <f t="shared" si="299"/>
        <v>Good</v>
      </c>
      <c r="X4740" s="4">
        <f>AVERAGE(Table1[Purchase Amount])</f>
        <v>129.48419400000012</v>
      </c>
    </row>
    <row r="4741" spans="1:24" ht="15" customHeight="1" x14ac:dyDescent="0.25">
      <c r="A4741">
        <v>4839</v>
      </c>
      <c r="B4741">
        <v>43</v>
      </c>
      <c r="C4741" t="s">
        <v>27</v>
      </c>
      <c r="D4741" t="s">
        <v>112</v>
      </c>
      <c r="E4741" t="s">
        <v>81</v>
      </c>
      <c r="F4741" s="2">
        <v>1063.29</v>
      </c>
      <c r="G4741" t="s">
        <v>126</v>
      </c>
      <c r="H4741" t="s">
        <v>31</v>
      </c>
      <c r="I4741" t="s">
        <v>32</v>
      </c>
      <c r="J4741" t="s">
        <v>75</v>
      </c>
      <c r="K4741">
        <v>3</v>
      </c>
      <c r="L4741" t="s">
        <v>34</v>
      </c>
      <c r="M4741" t="s">
        <v>24</v>
      </c>
      <c r="N4741" t="s">
        <v>34</v>
      </c>
      <c r="O4741">
        <v>30</v>
      </c>
      <c r="P4741" t="s">
        <v>58</v>
      </c>
      <c r="Q4741" t="s">
        <v>37</v>
      </c>
      <c r="R4741" s="1">
        <v>0.1</v>
      </c>
      <c r="S4741">
        <f t="shared" si="296"/>
        <v>956.96100000000001</v>
      </c>
      <c r="T4741">
        <f>IFERROR(VLOOKUP(A4741,Table1[[Customer ID]:[Discount Amount]], 6, FALSE),"Not Found")</f>
        <v>1063.29</v>
      </c>
      <c r="U4741" t="str">
        <f t="shared" si="297"/>
        <v>PayPal</v>
      </c>
      <c r="V4741" s="4" t="str">
        <f t="shared" si="298"/>
        <v>Normal</v>
      </c>
      <c r="W4741" s="4" t="str">
        <f t="shared" si="299"/>
        <v>Good</v>
      </c>
      <c r="X4741" s="4">
        <f>AVERAGE(Table1[Purchase Amount])</f>
        <v>129.48419400000012</v>
      </c>
    </row>
    <row r="4742" spans="1:24" ht="15" customHeight="1" x14ac:dyDescent="0.25">
      <c r="A4742">
        <v>4840</v>
      </c>
      <c r="B4742">
        <v>35</v>
      </c>
      <c r="C4742" t="s">
        <v>27</v>
      </c>
      <c r="D4742" t="s">
        <v>95</v>
      </c>
      <c r="E4742" t="s">
        <v>81</v>
      </c>
      <c r="F4742" s="2">
        <v>1364.38</v>
      </c>
      <c r="G4742" t="s">
        <v>101</v>
      </c>
      <c r="H4742" t="s">
        <v>31</v>
      </c>
      <c r="I4742" t="s">
        <v>46</v>
      </c>
      <c r="J4742" t="s">
        <v>75</v>
      </c>
      <c r="K4742">
        <v>1</v>
      </c>
      <c r="L4742" t="s">
        <v>34</v>
      </c>
      <c r="M4742" t="s">
        <v>24</v>
      </c>
      <c r="N4742" t="s">
        <v>23</v>
      </c>
      <c r="O4742">
        <v>0</v>
      </c>
      <c r="P4742" t="s">
        <v>53</v>
      </c>
      <c r="Q4742" t="s">
        <v>42</v>
      </c>
      <c r="R4742" s="1">
        <v>0.1</v>
      </c>
      <c r="S4742">
        <f t="shared" si="296"/>
        <v>1227.942</v>
      </c>
      <c r="T4742">
        <f>IFERROR(VLOOKUP(A4742,Table1[[Customer ID]:[Discount Amount]], 6, FALSE),"Not Found")</f>
        <v>1364.38</v>
      </c>
      <c r="U4742" t="str">
        <f t="shared" si="297"/>
        <v>Credit Card</v>
      </c>
      <c r="V4742" s="4" t="str">
        <f t="shared" si="298"/>
        <v>Normal</v>
      </c>
      <c r="W4742" s="4" t="str">
        <f t="shared" si="299"/>
        <v>Poor</v>
      </c>
      <c r="X4742" s="4">
        <f>AVERAGE(Table1[Purchase Amount])</f>
        <v>129.48419400000012</v>
      </c>
    </row>
    <row r="4743" spans="1:24" ht="15" customHeight="1" x14ac:dyDescent="0.25">
      <c r="A4743">
        <v>4841</v>
      </c>
      <c r="B4743">
        <v>51</v>
      </c>
      <c r="C4743" t="s">
        <v>71</v>
      </c>
      <c r="D4743" t="s">
        <v>80</v>
      </c>
      <c r="E4743" t="s">
        <v>29</v>
      </c>
      <c r="F4743" s="2">
        <v>0</v>
      </c>
      <c r="G4743" t="s">
        <v>73</v>
      </c>
      <c r="H4743" t="s">
        <v>45</v>
      </c>
      <c r="I4743" t="s">
        <v>74</v>
      </c>
      <c r="J4743" t="s">
        <v>75</v>
      </c>
      <c r="K4743">
        <v>1</v>
      </c>
      <c r="L4743" t="s">
        <v>23</v>
      </c>
      <c r="M4743" t="s">
        <v>61</v>
      </c>
      <c r="N4743" t="s">
        <v>23</v>
      </c>
      <c r="O4743">
        <v>14</v>
      </c>
      <c r="P4743" t="s">
        <v>58</v>
      </c>
      <c r="Q4743" t="s">
        <v>26</v>
      </c>
      <c r="R4743" s="1">
        <v>0.1</v>
      </c>
      <c r="S4743">
        <f t="shared" si="296"/>
        <v>0</v>
      </c>
      <c r="T4743">
        <f>IFERROR(VLOOKUP(A4743,Table1[[Customer ID]:[Discount Amount]], 6, FALSE),"Not Found")</f>
        <v>0</v>
      </c>
      <c r="U4743" t="str">
        <f t="shared" si="297"/>
        <v>PayPal</v>
      </c>
      <c r="V4743" s="4" t="str">
        <f t="shared" si="298"/>
        <v>Normal</v>
      </c>
      <c r="W4743" s="4" t="str">
        <f t="shared" si="299"/>
        <v>Poor</v>
      </c>
      <c r="X4743" s="4">
        <f>AVERAGE(Table1[Purchase Amount])</f>
        <v>129.48419400000012</v>
      </c>
    </row>
    <row r="4744" spans="1:24" ht="15" customHeight="1" x14ac:dyDescent="0.25">
      <c r="A4744">
        <v>4842</v>
      </c>
      <c r="B4744">
        <v>30</v>
      </c>
      <c r="C4744" t="s">
        <v>16</v>
      </c>
      <c r="D4744" t="s">
        <v>72</v>
      </c>
      <c r="E4744" t="s">
        <v>29</v>
      </c>
      <c r="F4744" s="2">
        <v>0</v>
      </c>
      <c r="G4744" t="s">
        <v>73</v>
      </c>
      <c r="H4744" t="s">
        <v>45</v>
      </c>
      <c r="I4744" t="s">
        <v>32</v>
      </c>
      <c r="J4744" t="s">
        <v>57</v>
      </c>
      <c r="K4744">
        <v>4</v>
      </c>
      <c r="L4744" t="s">
        <v>34</v>
      </c>
      <c r="M4744" t="s">
        <v>24</v>
      </c>
      <c r="N4744" t="s">
        <v>23</v>
      </c>
      <c r="O4744">
        <v>0</v>
      </c>
      <c r="P4744" t="s">
        <v>36</v>
      </c>
      <c r="Q4744" t="s">
        <v>42</v>
      </c>
      <c r="R4744" s="1">
        <v>0.1</v>
      </c>
      <c r="S4744">
        <f t="shared" si="296"/>
        <v>0</v>
      </c>
      <c r="T4744">
        <f>IFERROR(VLOOKUP(A4744,Table1[[Customer ID]:[Discount Amount]], 6, FALSE),"Not Found")</f>
        <v>0</v>
      </c>
      <c r="U4744" t="str">
        <f t="shared" si="297"/>
        <v>Debit Card</v>
      </c>
      <c r="V4744" s="4" t="str">
        <f t="shared" si="298"/>
        <v>Normal</v>
      </c>
      <c r="W4744" s="4" t="str">
        <f t="shared" si="299"/>
        <v>Good</v>
      </c>
      <c r="X4744" s="4">
        <f>AVERAGE(Table1[Purchase Amount])</f>
        <v>129.48419400000012</v>
      </c>
    </row>
    <row r="4745" spans="1:24" ht="15" customHeight="1" x14ac:dyDescent="0.25">
      <c r="A4745">
        <v>4843</v>
      </c>
      <c r="B4745">
        <v>22</v>
      </c>
      <c r="C4745" t="s">
        <v>16</v>
      </c>
      <c r="D4745" t="s">
        <v>95</v>
      </c>
      <c r="E4745" t="s">
        <v>81</v>
      </c>
      <c r="F4745" s="2">
        <v>854.96</v>
      </c>
      <c r="G4745" t="s">
        <v>82</v>
      </c>
      <c r="H4745" t="s">
        <v>31</v>
      </c>
      <c r="I4745" t="s">
        <v>46</v>
      </c>
      <c r="J4745" t="s">
        <v>22</v>
      </c>
      <c r="K4745">
        <v>1</v>
      </c>
      <c r="L4745" t="s">
        <v>23</v>
      </c>
      <c r="M4745" t="s">
        <v>24</v>
      </c>
      <c r="N4745" t="s">
        <v>34</v>
      </c>
      <c r="O4745">
        <v>32</v>
      </c>
      <c r="P4745" t="s">
        <v>58</v>
      </c>
      <c r="Q4745" t="s">
        <v>37</v>
      </c>
      <c r="R4745" s="1">
        <v>0.1</v>
      </c>
      <c r="S4745">
        <f t="shared" si="296"/>
        <v>769.46400000000006</v>
      </c>
      <c r="T4745">
        <f>IFERROR(VLOOKUP(A4745,Table1[[Customer ID]:[Discount Amount]], 6, FALSE),"Not Found")</f>
        <v>854.96</v>
      </c>
      <c r="U4745" t="str">
        <f t="shared" si="297"/>
        <v>PayPal</v>
      </c>
      <c r="V4745" s="4" t="str">
        <f t="shared" si="298"/>
        <v>Normal</v>
      </c>
      <c r="W4745" s="4" t="str">
        <f t="shared" si="299"/>
        <v>Poor</v>
      </c>
      <c r="X4745" s="4">
        <f>AVERAGE(Table1[Purchase Amount])</f>
        <v>129.48419400000012</v>
      </c>
    </row>
    <row r="4746" spans="1:24" ht="15" customHeight="1" x14ac:dyDescent="0.25">
      <c r="A4746">
        <v>4844</v>
      </c>
      <c r="B4746">
        <v>63</v>
      </c>
      <c r="C4746" t="s">
        <v>27</v>
      </c>
      <c r="D4746" t="s">
        <v>117</v>
      </c>
      <c r="E4746" t="s">
        <v>29</v>
      </c>
      <c r="F4746" s="2">
        <v>321.56</v>
      </c>
      <c r="G4746" t="s">
        <v>73</v>
      </c>
      <c r="H4746" t="s">
        <v>55</v>
      </c>
      <c r="I4746" t="s">
        <v>46</v>
      </c>
      <c r="J4746" t="s">
        <v>57</v>
      </c>
      <c r="K4746">
        <v>1</v>
      </c>
      <c r="L4746" t="s">
        <v>23</v>
      </c>
      <c r="M4746" t="s">
        <v>24</v>
      </c>
      <c r="N4746" t="s">
        <v>23</v>
      </c>
      <c r="O4746">
        <v>47</v>
      </c>
      <c r="P4746" t="s">
        <v>58</v>
      </c>
      <c r="Q4746" t="s">
        <v>26</v>
      </c>
      <c r="R4746" s="1">
        <v>0.1</v>
      </c>
      <c r="S4746">
        <f t="shared" si="296"/>
        <v>289.404</v>
      </c>
      <c r="T4746">
        <f>IFERROR(VLOOKUP(A4746,Table1[[Customer ID]:[Discount Amount]], 6, FALSE),"Not Found")</f>
        <v>321.56</v>
      </c>
      <c r="U4746" t="str">
        <f t="shared" si="297"/>
        <v>PayPal</v>
      </c>
      <c r="V4746" s="4" t="str">
        <f t="shared" si="298"/>
        <v>Normal</v>
      </c>
      <c r="W4746" s="4" t="str">
        <f t="shared" si="299"/>
        <v>Poor</v>
      </c>
      <c r="X4746" s="4">
        <f>AVERAGE(Table1[Purchase Amount])</f>
        <v>129.48419400000012</v>
      </c>
    </row>
    <row r="4747" spans="1:24" ht="15" customHeight="1" x14ac:dyDescent="0.25">
      <c r="A4747">
        <v>4845</v>
      </c>
      <c r="B4747">
        <v>19</v>
      </c>
      <c r="C4747" t="s">
        <v>16</v>
      </c>
      <c r="D4747" t="s">
        <v>38</v>
      </c>
      <c r="E4747" t="s">
        <v>29</v>
      </c>
      <c r="F4747" s="2">
        <v>692.11</v>
      </c>
      <c r="G4747" t="s">
        <v>101</v>
      </c>
      <c r="H4747" t="s">
        <v>31</v>
      </c>
      <c r="I4747" t="s">
        <v>46</v>
      </c>
      <c r="J4747" t="s">
        <v>57</v>
      </c>
      <c r="K4747">
        <v>1</v>
      </c>
      <c r="L4747" t="s">
        <v>23</v>
      </c>
      <c r="M4747" t="s">
        <v>61</v>
      </c>
      <c r="N4747" t="s">
        <v>34</v>
      </c>
      <c r="O4747">
        <v>41</v>
      </c>
      <c r="P4747" t="s">
        <v>36</v>
      </c>
      <c r="Q4747" t="s">
        <v>26</v>
      </c>
      <c r="R4747" s="1">
        <v>0.1</v>
      </c>
      <c r="S4747">
        <f t="shared" si="296"/>
        <v>622.899</v>
      </c>
      <c r="T4747">
        <f>IFERROR(VLOOKUP(A4747,Table1[[Customer ID]:[Discount Amount]], 6, FALSE),"Not Found")</f>
        <v>692.11</v>
      </c>
      <c r="U4747" t="str">
        <f t="shared" si="297"/>
        <v>Debit Card</v>
      </c>
      <c r="V4747" s="4" t="str">
        <f t="shared" si="298"/>
        <v>Normal</v>
      </c>
      <c r="W4747" s="4" t="str">
        <f t="shared" si="299"/>
        <v>Poor</v>
      </c>
      <c r="X4747" s="4">
        <f>AVERAGE(Table1[Purchase Amount])</f>
        <v>129.48419400000012</v>
      </c>
    </row>
    <row r="4748" spans="1:24" ht="15" customHeight="1" x14ac:dyDescent="0.25">
      <c r="A4748">
        <v>4846</v>
      </c>
      <c r="B4748">
        <v>34</v>
      </c>
      <c r="C4748" t="s">
        <v>16</v>
      </c>
      <c r="D4748" t="s">
        <v>95</v>
      </c>
      <c r="E4748" t="s">
        <v>81</v>
      </c>
      <c r="F4748" s="2">
        <v>719.91</v>
      </c>
      <c r="G4748" t="s">
        <v>82</v>
      </c>
      <c r="H4748" t="s">
        <v>31</v>
      </c>
      <c r="I4748" t="s">
        <v>74</v>
      </c>
      <c r="J4748" t="s">
        <v>33</v>
      </c>
      <c r="K4748">
        <v>1</v>
      </c>
      <c r="L4748" t="s">
        <v>23</v>
      </c>
      <c r="M4748" t="s">
        <v>24</v>
      </c>
      <c r="N4748" t="s">
        <v>34</v>
      </c>
      <c r="O4748">
        <v>0</v>
      </c>
      <c r="P4748" t="s">
        <v>36</v>
      </c>
      <c r="Q4748" t="s">
        <v>42</v>
      </c>
      <c r="R4748" s="1">
        <v>0.1</v>
      </c>
      <c r="S4748">
        <f t="shared" si="296"/>
        <v>647.91899999999998</v>
      </c>
      <c r="T4748">
        <f>IFERROR(VLOOKUP(A4748,Table1[[Customer ID]:[Discount Amount]], 6, FALSE),"Not Found")</f>
        <v>719.91</v>
      </c>
      <c r="U4748" t="str">
        <f t="shared" si="297"/>
        <v>Debit Card</v>
      </c>
      <c r="V4748" s="4" t="str">
        <f t="shared" si="298"/>
        <v>Normal</v>
      </c>
      <c r="W4748" s="4" t="str">
        <f t="shared" si="299"/>
        <v>Poor</v>
      </c>
      <c r="X4748" s="4">
        <f>AVERAGE(Table1[Purchase Amount])</f>
        <v>129.48419400000012</v>
      </c>
    </row>
    <row r="4749" spans="1:24" ht="15" customHeight="1" x14ac:dyDescent="0.25">
      <c r="A4749">
        <v>4847</v>
      </c>
      <c r="B4749">
        <v>48</v>
      </c>
      <c r="C4749" t="s">
        <v>16</v>
      </c>
      <c r="D4749" t="s">
        <v>38</v>
      </c>
      <c r="E4749" t="s">
        <v>29</v>
      </c>
      <c r="F4749" s="2">
        <v>1249.23</v>
      </c>
      <c r="G4749" t="s">
        <v>126</v>
      </c>
      <c r="H4749" t="s">
        <v>31</v>
      </c>
      <c r="I4749" t="s">
        <v>74</v>
      </c>
      <c r="J4749" t="s">
        <v>75</v>
      </c>
      <c r="K4749">
        <v>1</v>
      </c>
      <c r="L4749" t="s">
        <v>23</v>
      </c>
      <c r="M4749" t="s">
        <v>61</v>
      </c>
      <c r="N4749" t="s">
        <v>34</v>
      </c>
      <c r="O4749">
        <v>44</v>
      </c>
      <c r="P4749" t="s">
        <v>36</v>
      </c>
      <c r="Q4749" t="s">
        <v>42</v>
      </c>
      <c r="R4749" s="1">
        <v>0.1</v>
      </c>
      <c r="S4749">
        <f t="shared" si="296"/>
        <v>1124.307</v>
      </c>
      <c r="T4749">
        <f>IFERROR(VLOOKUP(A4749,Table1[[Customer ID]:[Discount Amount]], 6, FALSE),"Not Found")</f>
        <v>1249.23</v>
      </c>
      <c r="U4749" t="str">
        <f t="shared" si="297"/>
        <v>Debit Card</v>
      </c>
      <c r="V4749" s="4" t="str">
        <f t="shared" si="298"/>
        <v>Normal</v>
      </c>
      <c r="W4749" s="4" t="str">
        <f t="shared" si="299"/>
        <v>Poor</v>
      </c>
      <c r="X4749" s="4">
        <f>AVERAGE(Table1[Purchase Amount])</f>
        <v>129.48419400000012</v>
      </c>
    </row>
    <row r="4750" spans="1:24" ht="15" customHeight="1" x14ac:dyDescent="0.25">
      <c r="A4750">
        <v>4848</v>
      </c>
      <c r="B4750">
        <v>48</v>
      </c>
      <c r="C4750" t="s">
        <v>27</v>
      </c>
      <c r="D4750" t="s">
        <v>117</v>
      </c>
      <c r="E4750" t="s">
        <v>81</v>
      </c>
      <c r="F4750" s="2">
        <v>1238.3</v>
      </c>
      <c r="G4750" t="s">
        <v>139</v>
      </c>
      <c r="H4750" t="s">
        <v>31</v>
      </c>
      <c r="I4750" t="s">
        <v>46</v>
      </c>
      <c r="J4750" t="s">
        <v>57</v>
      </c>
      <c r="K4750">
        <v>1</v>
      </c>
      <c r="L4750" t="s">
        <v>34</v>
      </c>
      <c r="M4750" t="s">
        <v>61</v>
      </c>
      <c r="N4750" t="s">
        <v>34</v>
      </c>
      <c r="O4750">
        <v>0</v>
      </c>
      <c r="P4750" t="s">
        <v>53</v>
      </c>
      <c r="Q4750" t="s">
        <v>26</v>
      </c>
      <c r="R4750" s="1">
        <v>0.1</v>
      </c>
      <c r="S4750">
        <f t="shared" si="296"/>
        <v>1114.47</v>
      </c>
      <c r="T4750">
        <f>IFERROR(VLOOKUP(A4750,Table1[[Customer ID]:[Discount Amount]], 6, FALSE),"Not Found")</f>
        <v>1238.3</v>
      </c>
      <c r="U4750" t="str">
        <f t="shared" si="297"/>
        <v>Credit Card</v>
      </c>
      <c r="V4750" s="4" t="str">
        <f t="shared" si="298"/>
        <v>Normal</v>
      </c>
      <c r="W4750" s="4" t="str">
        <f t="shared" si="299"/>
        <v>Poor</v>
      </c>
      <c r="X4750" s="4">
        <f>AVERAGE(Table1[Purchase Amount])</f>
        <v>129.48419400000012</v>
      </c>
    </row>
    <row r="4751" spans="1:24" ht="15" customHeight="1" x14ac:dyDescent="0.25">
      <c r="A4751">
        <v>4849</v>
      </c>
      <c r="B4751">
        <v>61</v>
      </c>
      <c r="C4751" t="s">
        <v>16</v>
      </c>
      <c r="D4751" t="s">
        <v>117</v>
      </c>
      <c r="E4751" t="s">
        <v>29</v>
      </c>
      <c r="F4751" s="2">
        <v>0</v>
      </c>
      <c r="G4751" t="s">
        <v>73</v>
      </c>
      <c r="H4751" t="s">
        <v>31</v>
      </c>
      <c r="I4751" t="s">
        <v>74</v>
      </c>
      <c r="J4751" t="s">
        <v>75</v>
      </c>
      <c r="K4751">
        <v>5</v>
      </c>
      <c r="L4751" t="s">
        <v>23</v>
      </c>
      <c r="M4751" t="s">
        <v>61</v>
      </c>
      <c r="N4751" t="s">
        <v>34</v>
      </c>
      <c r="O4751">
        <v>3</v>
      </c>
      <c r="P4751" t="s">
        <v>25</v>
      </c>
      <c r="Q4751" t="s">
        <v>37</v>
      </c>
      <c r="R4751" s="1">
        <v>0.1</v>
      </c>
      <c r="S4751">
        <f t="shared" si="296"/>
        <v>0</v>
      </c>
      <c r="T4751">
        <f>IFERROR(VLOOKUP(A4751,Table1[[Customer ID]:[Discount Amount]], 6, FALSE),"Not Found")</f>
        <v>0</v>
      </c>
      <c r="U4751" t="str">
        <f t="shared" si="297"/>
        <v>Cash</v>
      </c>
      <c r="V4751" s="4" t="str">
        <f t="shared" si="298"/>
        <v>Normal</v>
      </c>
      <c r="W4751" s="4" t="str">
        <f t="shared" si="299"/>
        <v>Good</v>
      </c>
      <c r="X4751" s="4">
        <f>AVERAGE(Table1[Purchase Amount])</f>
        <v>129.48419400000012</v>
      </c>
    </row>
    <row r="4752" spans="1:24" ht="15" customHeight="1" x14ac:dyDescent="0.25">
      <c r="A4752">
        <v>4850</v>
      </c>
      <c r="B4752">
        <v>18</v>
      </c>
      <c r="C4752" t="s">
        <v>16</v>
      </c>
      <c r="D4752" t="s">
        <v>72</v>
      </c>
      <c r="E4752" t="s">
        <v>18</v>
      </c>
      <c r="F4752" s="2">
        <v>1078.8499999999999</v>
      </c>
      <c r="G4752" t="s">
        <v>101</v>
      </c>
      <c r="H4752" t="s">
        <v>20</v>
      </c>
      <c r="I4752" t="s">
        <v>93</v>
      </c>
      <c r="J4752" t="s">
        <v>57</v>
      </c>
      <c r="K4752">
        <v>2</v>
      </c>
      <c r="L4752" t="s">
        <v>34</v>
      </c>
      <c r="M4752" t="s">
        <v>61</v>
      </c>
      <c r="N4752" t="s">
        <v>23</v>
      </c>
      <c r="O4752">
        <v>0</v>
      </c>
      <c r="P4752" t="s">
        <v>53</v>
      </c>
      <c r="Q4752" t="s">
        <v>26</v>
      </c>
      <c r="R4752" s="1">
        <v>0.1</v>
      </c>
      <c r="S4752">
        <f t="shared" si="296"/>
        <v>970.96499999999992</v>
      </c>
      <c r="T4752">
        <f>IFERROR(VLOOKUP(A4752,Table1[[Customer ID]:[Discount Amount]], 6, FALSE),"Not Found")</f>
        <v>1078.8499999999999</v>
      </c>
      <c r="U4752" t="str">
        <f t="shared" si="297"/>
        <v>Credit Card</v>
      </c>
      <c r="V4752" s="4" t="str">
        <f t="shared" si="298"/>
        <v>Normal</v>
      </c>
      <c r="W4752" s="4" t="str">
        <f t="shared" si="299"/>
        <v>Poor</v>
      </c>
      <c r="X4752" s="4">
        <f>AVERAGE(Table1[Purchase Amount])</f>
        <v>129.48419400000012</v>
      </c>
    </row>
    <row r="4753" spans="1:24" ht="15" customHeight="1" x14ac:dyDescent="0.25">
      <c r="A4753">
        <v>4851</v>
      </c>
      <c r="B4753">
        <v>42</v>
      </c>
      <c r="C4753" t="s">
        <v>16</v>
      </c>
      <c r="D4753" t="s">
        <v>116</v>
      </c>
      <c r="E4753" t="s">
        <v>29</v>
      </c>
      <c r="F4753" s="2">
        <v>0</v>
      </c>
      <c r="G4753" t="s">
        <v>139</v>
      </c>
      <c r="H4753" t="s">
        <v>45</v>
      </c>
      <c r="I4753" t="s">
        <v>74</v>
      </c>
      <c r="J4753" t="s">
        <v>75</v>
      </c>
      <c r="K4753">
        <v>1</v>
      </c>
      <c r="L4753" t="s">
        <v>23</v>
      </c>
      <c r="M4753" t="s">
        <v>24</v>
      </c>
      <c r="N4753" t="s">
        <v>34</v>
      </c>
      <c r="O4753">
        <v>0</v>
      </c>
      <c r="P4753" t="s">
        <v>25</v>
      </c>
      <c r="Q4753" t="s">
        <v>26</v>
      </c>
      <c r="R4753" s="1">
        <v>0.1</v>
      </c>
      <c r="S4753">
        <f t="shared" si="296"/>
        <v>0</v>
      </c>
      <c r="T4753">
        <f>IFERROR(VLOOKUP(A4753,Table1[[Customer ID]:[Discount Amount]], 6, FALSE),"Not Found")</f>
        <v>0</v>
      </c>
      <c r="U4753" t="str">
        <f t="shared" si="297"/>
        <v>Cash</v>
      </c>
      <c r="V4753" s="4" t="str">
        <f t="shared" si="298"/>
        <v>Normal</v>
      </c>
      <c r="W4753" s="4" t="str">
        <f t="shared" si="299"/>
        <v>Poor</v>
      </c>
      <c r="X4753" s="4">
        <f>AVERAGE(Table1[Purchase Amount])</f>
        <v>129.48419400000012</v>
      </c>
    </row>
    <row r="4754" spans="1:24" ht="15" customHeight="1" x14ac:dyDescent="0.25">
      <c r="A4754">
        <v>4852</v>
      </c>
      <c r="B4754">
        <v>33</v>
      </c>
      <c r="C4754" t="s">
        <v>16</v>
      </c>
      <c r="D4754" t="s">
        <v>117</v>
      </c>
      <c r="E4754" t="s">
        <v>29</v>
      </c>
      <c r="F4754" s="2">
        <v>464.15</v>
      </c>
      <c r="G4754" t="s">
        <v>82</v>
      </c>
      <c r="H4754" t="s">
        <v>45</v>
      </c>
      <c r="I4754" t="s">
        <v>74</v>
      </c>
      <c r="J4754" t="s">
        <v>75</v>
      </c>
      <c r="K4754">
        <v>2</v>
      </c>
      <c r="L4754" t="s">
        <v>23</v>
      </c>
      <c r="M4754" t="s">
        <v>61</v>
      </c>
      <c r="N4754" t="s">
        <v>34</v>
      </c>
      <c r="O4754">
        <v>34</v>
      </c>
      <c r="P4754" t="s">
        <v>53</v>
      </c>
      <c r="Q4754" t="s">
        <v>42</v>
      </c>
      <c r="R4754" s="1">
        <v>0.1</v>
      </c>
      <c r="S4754">
        <f t="shared" si="296"/>
        <v>417.73499999999996</v>
      </c>
      <c r="T4754">
        <f>IFERROR(VLOOKUP(A4754,Table1[[Customer ID]:[Discount Amount]], 6, FALSE),"Not Found")</f>
        <v>464.15</v>
      </c>
      <c r="U4754" t="str">
        <f t="shared" si="297"/>
        <v>Credit Card</v>
      </c>
      <c r="V4754" s="4" t="str">
        <f t="shared" si="298"/>
        <v>Normal</v>
      </c>
      <c r="W4754" s="4" t="str">
        <f t="shared" si="299"/>
        <v>Poor</v>
      </c>
      <c r="X4754" s="4">
        <f>AVERAGE(Table1[Purchase Amount])</f>
        <v>129.48419400000012</v>
      </c>
    </row>
    <row r="4755" spans="1:24" ht="15" customHeight="1" x14ac:dyDescent="0.25">
      <c r="A4755">
        <v>4853</v>
      </c>
      <c r="B4755">
        <v>70</v>
      </c>
      <c r="C4755" t="s">
        <v>71</v>
      </c>
      <c r="D4755" t="s">
        <v>80</v>
      </c>
      <c r="E4755" t="s">
        <v>18</v>
      </c>
      <c r="F4755" s="2">
        <v>1481.42</v>
      </c>
      <c r="G4755" t="s">
        <v>139</v>
      </c>
      <c r="H4755" t="s">
        <v>45</v>
      </c>
      <c r="I4755" t="s">
        <v>40</v>
      </c>
      <c r="J4755" t="s">
        <v>22</v>
      </c>
      <c r="K4755">
        <v>1</v>
      </c>
      <c r="L4755" t="s">
        <v>23</v>
      </c>
      <c r="M4755" t="s">
        <v>61</v>
      </c>
      <c r="N4755" t="s">
        <v>23</v>
      </c>
      <c r="O4755">
        <v>1</v>
      </c>
      <c r="P4755" t="s">
        <v>25</v>
      </c>
      <c r="Q4755" t="s">
        <v>26</v>
      </c>
      <c r="R4755" s="1">
        <v>0.1</v>
      </c>
      <c r="S4755">
        <f t="shared" si="296"/>
        <v>1333.278</v>
      </c>
      <c r="T4755">
        <f>IFERROR(VLOOKUP(A4755,Table1[[Customer ID]:[Discount Amount]], 6, FALSE),"Not Found")</f>
        <v>1481.42</v>
      </c>
      <c r="U4755" t="str">
        <f t="shared" si="297"/>
        <v>Cash</v>
      </c>
      <c r="V4755" s="4" t="str">
        <f t="shared" si="298"/>
        <v>Normal</v>
      </c>
      <c r="W4755" s="4" t="str">
        <f t="shared" si="299"/>
        <v>Poor</v>
      </c>
      <c r="X4755" s="4">
        <f>AVERAGE(Table1[Purchase Amount])</f>
        <v>129.48419400000012</v>
      </c>
    </row>
    <row r="4756" spans="1:24" ht="15" customHeight="1" x14ac:dyDescent="0.25">
      <c r="A4756">
        <v>4854</v>
      </c>
      <c r="B4756">
        <v>65</v>
      </c>
      <c r="C4756" t="s">
        <v>16</v>
      </c>
      <c r="D4756" t="s">
        <v>116</v>
      </c>
      <c r="E4756" t="s">
        <v>81</v>
      </c>
      <c r="F4756" s="2">
        <v>1249.73</v>
      </c>
      <c r="G4756" t="s">
        <v>73</v>
      </c>
      <c r="H4756" t="s">
        <v>31</v>
      </c>
      <c r="I4756" t="s">
        <v>74</v>
      </c>
      <c r="J4756" t="s">
        <v>33</v>
      </c>
      <c r="K4756">
        <v>1</v>
      </c>
      <c r="L4756" t="s">
        <v>34</v>
      </c>
      <c r="M4756" t="s">
        <v>61</v>
      </c>
      <c r="N4756" t="s">
        <v>23</v>
      </c>
      <c r="O4756">
        <v>0</v>
      </c>
      <c r="P4756" t="s">
        <v>53</v>
      </c>
      <c r="Q4756" t="s">
        <v>26</v>
      </c>
      <c r="R4756" s="1">
        <v>0.1</v>
      </c>
      <c r="S4756">
        <f t="shared" si="296"/>
        <v>1124.7570000000001</v>
      </c>
      <c r="T4756">
        <f>IFERROR(VLOOKUP(A4756,Table1[[Customer ID]:[Discount Amount]], 6, FALSE),"Not Found")</f>
        <v>1249.73</v>
      </c>
      <c r="U4756" t="str">
        <f t="shared" si="297"/>
        <v>Credit Card</v>
      </c>
      <c r="V4756" s="4" t="str">
        <f t="shared" si="298"/>
        <v>Normal</v>
      </c>
      <c r="W4756" s="4" t="str">
        <f t="shared" si="299"/>
        <v>Poor</v>
      </c>
      <c r="X4756" s="4">
        <f>AVERAGE(Table1[Purchase Amount])</f>
        <v>129.48419400000012</v>
      </c>
    </row>
    <row r="4757" spans="1:24" ht="15" customHeight="1" x14ac:dyDescent="0.25">
      <c r="A4757">
        <v>4855</v>
      </c>
      <c r="B4757">
        <v>60</v>
      </c>
      <c r="C4757" t="s">
        <v>27</v>
      </c>
      <c r="D4757" t="s">
        <v>112</v>
      </c>
      <c r="E4757" t="s">
        <v>29</v>
      </c>
      <c r="F4757" s="2">
        <v>1318.84</v>
      </c>
      <c r="G4757" t="s">
        <v>73</v>
      </c>
      <c r="H4757" t="s">
        <v>45</v>
      </c>
      <c r="I4757" t="s">
        <v>74</v>
      </c>
      <c r="J4757" t="s">
        <v>22</v>
      </c>
      <c r="K4757">
        <v>1</v>
      </c>
      <c r="L4757" t="s">
        <v>34</v>
      </c>
      <c r="M4757" t="s">
        <v>24</v>
      </c>
      <c r="N4757" t="s">
        <v>23</v>
      </c>
      <c r="O4757">
        <v>0</v>
      </c>
      <c r="P4757" t="s">
        <v>58</v>
      </c>
      <c r="Q4757" t="s">
        <v>26</v>
      </c>
      <c r="R4757" s="1">
        <v>0.1</v>
      </c>
      <c r="S4757">
        <f t="shared" si="296"/>
        <v>1186.9559999999999</v>
      </c>
      <c r="T4757">
        <f>IFERROR(VLOOKUP(A4757,Table1[[Customer ID]:[Discount Amount]], 6, FALSE),"Not Found")</f>
        <v>1318.84</v>
      </c>
      <c r="U4757" t="str">
        <f t="shared" si="297"/>
        <v>PayPal</v>
      </c>
      <c r="V4757" s="4" t="str">
        <f t="shared" si="298"/>
        <v>Normal</v>
      </c>
      <c r="W4757" s="4" t="str">
        <f t="shared" si="299"/>
        <v>Poor</v>
      </c>
      <c r="X4757" s="4">
        <f>AVERAGE(Table1[Purchase Amount])</f>
        <v>129.48419400000012</v>
      </c>
    </row>
    <row r="4758" spans="1:24" ht="15" customHeight="1" x14ac:dyDescent="0.25">
      <c r="A4758">
        <v>4856</v>
      </c>
      <c r="B4758">
        <v>65</v>
      </c>
      <c r="C4758" t="s">
        <v>16</v>
      </c>
      <c r="D4758" t="s">
        <v>38</v>
      </c>
      <c r="E4758" t="s">
        <v>29</v>
      </c>
      <c r="F4758" s="2">
        <v>0</v>
      </c>
      <c r="G4758" t="s">
        <v>82</v>
      </c>
      <c r="H4758" t="s">
        <v>31</v>
      </c>
      <c r="I4758" t="s">
        <v>74</v>
      </c>
      <c r="J4758" t="s">
        <v>33</v>
      </c>
      <c r="K4758">
        <v>1</v>
      </c>
      <c r="L4758" t="s">
        <v>34</v>
      </c>
      <c r="M4758" t="s">
        <v>24</v>
      </c>
      <c r="N4758" t="s">
        <v>34</v>
      </c>
      <c r="O4758">
        <v>46</v>
      </c>
      <c r="P4758" t="s">
        <v>36</v>
      </c>
      <c r="Q4758" t="s">
        <v>26</v>
      </c>
      <c r="R4758" s="1">
        <v>0.1</v>
      </c>
      <c r="S4758">
        <f t="shared" si="296"/>
        <v>0</v>
      </c>
      <c r="T4758">
        <f>IFERROR(VLOOKUP(A4758,Table1[[Customer ID]:[Discount Amount]], 6, FALSE),"Not Found")</f>
        <v>0</v>
      </c>
      <c r="U4758" t="str">
        <f t="shared" si="297"/>
        <v>Debit Card</v>
      </c>
      <c r="V4758" s="4" t="str">
        <f t="shared" si="298"/>
        <v>Normal</v>
      </c>
      <c r="W4758" s="4" t="str">
        <f t="shared" si="299"/>
        <v>Poor</v>
      </c>
      <c r="X4758" s="4">
        <f>AVERAGE(Table1[Purchase Amount])</f>
        <v>129.48419400000012</v>
      </c>
    </row>
    <row r="4759" spans="1:24" ht="15" customHeight="1" x14ac:dyDescent="0.25">
      <c r="A4759">
        <v>4857</v>
      </c>
      <c r="B4759">
        <v>19</v>
      </c>
      <c r="C4759" t="s">
        <v>27</v>
      </c>
      <c r="D4759" t="s">
        <v>72</v>
      </c>
      <c r="E4759" t="s">
        <v>29</v>
      </c>
      <c r="F4759" s="2">
        <v>643.57000000000005</v>
      </c>
      <c r="G4759" t="s">
        <v>139</v>
      </c>
      <c r="H4759" t="s">
        <v>45</v>
      </c>
      <c r="I4759" t="s">
        <v>46</v>
      </c>
      <c r="J4759" t="s">
        <v>75</v>
      </c>
      <c r="K4759">
        <v>1</v>
      </c>
      <c r="L4759" t="s">
        <v>23</v>
      </c>
      <c r="M4759" t="s">
        <v>24</v>
      </c>
      <c r="N4759" t="s">
        <v>23</v>
      </c>
      <c r="O4759">
        <v>0</v>
      </c>
      <c r="P4759" t="s">
        <v>58</v>
      </c>
      <c r="Q4759" t="s">
        <v>42</v>
      </c>
      <c r="R4759" s="1">
        <v>0.1</v>
      </c>
      <c r="S4759">
        <f t="shared" si="296"/>
        <v>579.21300000000008</v>
      </c>
      <c r="T4759">
        <f>IFERROR(VLOOKUP(A4759,Table1[[Customer ID]:[Discount Amount]], 6, FALSE),"Not Found")</f>
        <v>643.57000000000005</v>
      </c>
      <c r="U4759" t="str">
        <f t="shared" si="297"/>
        <v>PayPal</v>
      </c>
      <c r="V4759" s="4" t="str">
        <f t="shared" si="298"/>
        <v>Normal</v>
      </c>
      <c r="W4759" s="4" t="str">
        <f t="shared" si="299"/>
        <v>Poor</v>
      </c>
      <c r="X4759" s="4">
        <f>AVERAGE(Table1[Purchase Amount])</f>
        <v>129.48419400000012</v>
      </c>
    </row>
    <row r="4760" spans="1:24" ht="15" customHeight="1" x14ac:dyDescent="0.25">
      <c r="A4760">
        <v>4858</v>
      </c>
      <c r="B4760">
        <v>20</v>
      </c>
      <c r="C4760" t="s">
        <v>71</v>
      </c>
      <c r="D4760" t="s">
        <v>116</v>
      </c>
      <c r="E4760" t="s">
        <v>81</v>
      </c>
      <c r="F4760" s="2">
        <v>808.22</v>
      </c>
      <c r="G4760" t="s">
        <v>139</v>
      </c>
      <c r="H4760" t="s">
        <v>31</v>
      </c>
      <c r="I4760" t="s">
        <v>40</v>
      </c>
      <c r="J4760" t="s">
        <v>22</v>
      </c>
      <c r="K4760">
        <v>5</v>
      </c>
      <c r="L4760" t="s">
        <v>23</v>
      </c>
      <c r="M4760" t="s">
        <v>61</v>
      </c>
      <c r="N4760" t="s">
        <v>34</v>
      </c>
      <c r="O4760">
        <v>40</v>
      </c>
      <c r="P4760" t="s">
        <v>25</v>
      </c>
      <c r="Q4760" t="s">
        <v>26</v>
      </c>
      <c r="R4760" s="1">
        <v>0.1</v>
      </c>
      <c r="S4760">
        <f t="shared" si="296"/>
        <v>727.39800000000002</v>
      </c>
      <c r="T4760">
        <f>IFERROR(VLOOKUP(A4760,Table1[[Customer ID]:[Discount Amount]], 6, FALSE),"Not Found")</f>
        <v>808.22</v>
      </c>
      <c r="U4760" t="str">
        <f t="shared" si="297"/>
        <v>Cash</v>
      </c>
      <c r="V4760" s="4" t="str">
        <f t="shared" si="298"/>
        <v>Normal</v>
      </c>
      <c r="W4760" s="4" t="str">
        <f t="shared" si="299"/>
        <v>Good</v>
      </c>
      <c r="X4760" s="4">
        <f>AVERAGE(Table1[Purchase Amount])</f>
        <v>129.48419400000012</v>
      </c>
    </row>
    <row r="4761" spans="1:24" ht="15" customHeight="1" x14ac:dyDescent="0.25">
      <c r="A4761">
        <v>4859</v>
      </c>
      <c r="B4761">
        <v>28</v>
      </c>
      <c r="C4761" t="s">
        <v>71</v>
      </c>
      <c r="D4761" t="s">
        <v>38</v>
      </c>
      <c r="E4761" t="s">
        <v>81</v>
      </c>
      <c r="F4761" s="2">
        <v>1419.5</v>
      </c>
      <c r="G4761" t="s">
        <v>126</v>
      </c>
      <c r="H4761" t="s">
        <v>31</v>
      </c>
      <c r="I4761" t="s">
        <v>40</v>
      </c>
      <c r="J4761" t="s">
        <v>33</v>
      </c>
      <c r="K4761">
        <v>3</v>
      </c>
      <c r="L4761" t="s">
        <v>23</v>
      </c>
      <c r="M4761" t="s">
        <v>61</v>
      </c>
      <c r="N4761" t="s">
        <v>34</v>
      </c>
      <c r="O4761">
        <v>0</v>
      </c>
      <c r="P4761" t="s">
        <v>53</v>
      </c>
      <c r="Q4761" t="s">
        <v>37</v>
      </c>
      <c r="R4761" s="1">
        <v>0.1</v>
      </c>
      <c r="S4761">
        <f t="shared" si="296"/>
        <v>1277.55</v>
      </c>
      <c r="T4761">
        <f>IFERROR(VLOOKUP(A4761,Table1[[Customer ID]:[Discount Amount]], 6, FALSE),"Not Found")</f>
        <v>1419.5</v>
      </c>
      <c r="U4761" t="str">
        <f t="shared" si="297"/>
        <v>Credit Card</v>
      </c>
      <c r="V4761" s="4" t="str">
        <f t="shared" si="298"/>
        <v>Normal</v>
      </c>
      <c r="W4761" s="4" t="str">
        <f t="shared" si="299"/>
        <v>Good</v>
      </c>
      <c r="X4761" s="4">
        <f>AVERAGE(Table1[Purchase Amount])</f>
        <v>129.48419400000012</v>
      </c>
    </row>
    <row r="4762" spans="1:24" ht="15" customHeight="1" x14ac:dyDescent="0.25">
      <c r="A4762">
        <v>4860</v>
      </c>
      <c r="B4762">
        <v>69</v>
      </c>
      <c r="C4762" t="s">
        <v>71</v>
      </c>
      <c r="D4762" t="s">
        <v>112</v>
      </c>
      <c r="E4762" t="s">
        <v>29</v>
      </c>
      <c r="F4762" s="2">
        <v>0</v>
      </c>
      <c r="G4762" t="s">
        <v>73</v>
      </c>
      <c r="H4762" t="s">
        <v>45</v>
      </c>
      <c r="I4762" t="s">
        <v>93</v>
      </c>
      <c r="J4762" t="s">
        <v>57</v>
      </c>
      <c r="K4762">
        <v>5</v>
      </c>
      <c r="L4762" t="s">
        <v>23</v>
      </c>
      <c r="M4762" t="s">
        <v>24</v>
      </c>
      <c r="N4762" t="s">
        <v>23</v>
      </c>
      <c r="O4762">
        <v>23</v>
      </c>
      <c r="P4762" t="s">
        <v>25</v>
      </c>
      <c r="Q4762" t="s">
        <v>42</v>
      </c>
      <c r="R4762" s="1">
        <v>0.1</v>
      </c>
      <c r="S4762">
        <f t="shared" si="296"/>
        <v>0</v>
      </c>
      <c r="T4762">
        <f>IFERROR(VLOOKUP(A4762,Table1[[Customer ID]:[Discount Amount]], 6, FALSE),"Not Found")</f>
        <v>0</v>
      </c>
      <c r="U4762" t="str">
        <f t="shared" si="297"/>
        <v>Cash</v>
      </c>
      <c r="V4762" s="4" t="str">
        <f t="shared" si="298"/>
        <v>Normal</v>
      </c>
      <c r="W4762" s="4" t="str">
        <f t="shared" si="299"/>
        <v>Good</v>
      </c>
      <c r="X4762" s="4">
        <f>AVERAGE(Table1[Purchase Amount])</f>
        <v>129.48419400000012</v>
      </c>
    </row>
    <row r="4763" spans="1:24" ht="15" customHeight="1" x14ac:dyDescent="0.25">
      <c r="A4763">
        <v>4861</v>
      </c>
      <c r="B4763">
        <v>30</v>
      </c>
      <c r="C4763" t="s">
        <v>71</v>
      </c>
      <c r="D4763" t="s">
        <v>80</v>
      </c>
      <c r="E4763" t="s">
        <v>18</v>
      </c>
      <c r="F4763" s="2">
        <v>1095.05</v>
      </c>
      <c r="G4763" t="s">
        <v>73</v>
      </c>
      <c r="H4763" t="s">
        <v>20</v>
      </c>
      <c r="I4763" t="s">
        <v>40</v>
      </c>
      <c r="J4763" t="s">
        <v>75</v>
      </c>
      <c r="K4763">
        <v>1</v>
      </c>
      <c r="L4763" t="s">
        <v>34</v>
      </c>
      <c r="M4763" t="s">
        <v>61</v>
      </c>
      <c r="N4763" t="s">
        <v>34</v>
      </c>
      <c r="O4763">
        <v>16</v>
      </c>
      <c r="P4763" t="s">
        <v>25</v>
      </c>
      <c r="Q4763" t="s">
        <v>37</v>
      </c>
      <c r="R4763" s="1">
        <v>0.1</v>
      </c>
      <c r="S4763">
        <f t="shared" si="296"/>
        <v>985.54499999999996</v>
      </c>
      <c r="T4763">
        <f>IFERROR(VLOOKUP(A4763,Table1[[Customer ID]:[Discount Amount]], 6, FALSE),"Not Found")</f>
        <v>1095.05</v>
      </c>
      <c r="U4763" t="str">
        <f t="shared" si="297"/>
        <v>Cash</v>
      </c>
      <c r="V4763" s="4" t="str">
        <f t="shared" si="298"/>
        <v>Normal</v>
      </c>
      <c r="W4763" s="4" t="str">
        <f t="shared" si="299"/>
        <v>Poor</v>
      </c>
      <c r="X4763" s="4">
        <f>AVERAGE(Table1[Purchase Amount])</f>
        <v>129.48419400000012</v>
      </c>
    </row>
    <row r="4764" spans="1:24" ht="15" customHeight="1" x14ac:dyDescent="0.25">
      <c r="A4764">
        <v>4862</v>
      </c>
      <c r="B4764">
        <v>37</v>
      </c>
      <c r="C4764" t="s">
        <v>71</v>
      </c>
      <c r="D4764" t="s">
        <v>112</v>
      </c>
      <c r="E4764" t="s">
        <v>29</v>
      </c>
      <c r="F4764" s="2">
        <v>0</v>
      </c>
      <c r="G4764" t="s">
        <v>101</v>
      </c>
      <c r="H4764" t="s">
        <v>31</v>
      </c>
      <c r="I4764" t="s">
        <v>40</v>
      </c>
      <c r="J4764" t="s">
        <v>57</v>
      </c>
      <c r="K4764">
        <v>3</v>
      </c>
      <c r="L4764" t="s">
        <v>34</v>
      </c>
      <c r="M4764" t="s">
        <v>24</v>
      </c>
      <c r="N4764" t="s">
        <v>34</v>
      </c>
      <c r="O4764">
        <v>0</v>
      </c>
      <c r="P4764" t="s">
        <v>53</v>
      </c>
      <c r="Q4764" t="s">
        <v>42</v>
      </c>
      <c r="R4764" s="1">
        <v>0.1</v>
      </c>
      <c r="S4764">
        <f t="shared" si="296"/>
        <v>0</v>
      </c>
      <c r="T4764">
        <f>IFERROR(VLOOKUP(A4764,Table1[[Customer ID]:[Discount Amount]], 6, FALSE),"Not Found")</f>
        <v>0</v>
      </c>
      <c r="U4764" t="str">
        <f t="shared" si="297"/>
        <v>Credit Card</v>
      </c>
      <c r="V4764" s="4" t="str">
        <f t="shared" si="298"/>
        <v>Normal</v>
      </c>
      <c r="W4764" s="4" t="str">
        <f t="shared" si="299"/>
        <v>Good</v>
      </c>
      <c r="X4764" s="4">
        <f>AVERAGE(Table1[Purchase Amount])</f>
        <v>129.48419400000012</v>
      </c>
    </row>
    <row r="4765" spans="1:24" ht="15" customHeight="1" x14ac:dyDescent="0.25">
      <c r="A4765">
        <v>4863</v>
      </c>
      <c r="B4765">
        <v>24</v>
      </c>
      <c r="C4765" t="s">
        <v>16</v>
      </c>
      <c r="D4765" t="s">
        <v>116</v>
      </c>
      <c r="E4765" t="s">
        <v>81</v>
      </c>
      <c r="F4765" s="2">
        <v>0</v>
      </c>
      <c r="G4765" t="s">
        <v>101</v>
      </c>
      <c r="H4765" t="s">
        <v>31</v>
      </c>
      <c r="I4765" t="s">
        <v>93</v>
      </c>
      <c r="J4765" t="s">
        <v>75</v>
      </c>
      <c r="K4765">
        <v>1</v>
      </c>
      <c r="L4765" t="s">
        <v>34</v>
      </c>
      <c r="M4765" t="s">
        <v>61</v>
      </c>
      <c r="N4765" t="s">
        <v>34</v>
      </c>
      <c r="O4765">
        <v>0</v>
      </c>
      <c r="P4765" t="s">
        <v>25</v>
      </c>
      <c r="Q4765" t="s">
        <v>42</v>
      </c>
      <c r="R4765" s="1">
        <v>0.1</v>
      </c>
      <c r="S4765">
        <f t="shared" si="296"/>
        <v>0</v>
      </c>
      <c r="T4765">
        <f>IFERROR(VLOOKUP(A4765,Table1[[Customer ID]:[Discount Amount]], 6, FALSE),"Not Found")</f>
        <v>0</v>
      </c>
      <c r="U4765" t="str">
        <f t="shared" si="297"/>
        <v>Cash</v>
      </c>
      <c r="V4765" s="4" t="str">
        <f t="shared" si="298"/>
        <v>Normal</v>
      </c>
      <c r="W4765" s="4" t="str">
        <f t="shared" si="299"/>
        <v>Poor</v>
      </c>
      <c r="X4765" s="4">
        <f>AVERAGE(Table1[Purchase Amount])</f>
        <v>129.48419400000012</v>
      </c>
    </row>
    <row r="4766" spans="1:24" ht="15" customHeight="1" x14ac:dyDescent="0.25">
      <c r="A4766">
        <v>4864</v>
      </c>
      <c r="B4766">
        <v>25</v>
      </c>
      <c r="C4766" t="s">
        <v>16</v>
      </c>
      <c r="D4766" t="s">
        <v>72</v>
      </c>
      <c r="E4766" t="s">
        <v>81</v>
      </c>
      <c r="F4766" s="2">
        <v>0</v>
      </c>
      <c r="G4766" t="s">
        <v>126</v>
      </c>
      <c r="H4766" t="s">
        <v>31</v>
      </c>
      <c r="I4766" t="s">
        <v>46</v>
      </c>
      <c r="J4766" t="s">
        <v>75</v>
      </c>
      <c r="K4766">
        <v>1</v>
      </c>
      <c r="L4766" t="s">
        <v>34</v>
      </c>
      <c r="M4766" t="s">
        <v>61</v>
      </c>
      <c r="N4766" t="s">
        <v>34</v>
      </c>
      <c r="O4766">
        <v>37</v>
      </c>
      <c r="P4766" t="s">
        <v>36</v>
      </c>
      <c r="Q4766" t="s">
        <v>37</v>
      </c>
      <c r="R4766" s="1">
        <v>0.1</v>
      </c>
      <c r="S4766">
        <f t="shared" si="296"/>
        <v>0</v>
      </c>
      <c r="T4766">
        <f>IFERROR(VLOOKUP(A4766,Table1[[Customer ID]:[Discount Amount]], 6, FALSE),"Not Found")</f>
        <v>0</v>
      </c>
      <c r="U4766" t="str">
        <f t="shared" si="297"/>
        <v>Debit Card</v>
      </c>
      <c r="V4766" s="4" t="str">
        <f t="shared" si="298"/>
        <v>Normal</v>
      </c>
      <c r="W4766" s="4" t="str">
        <f t="shared" si="299"/>
        <v>Poor</v>
      </c>
      <c r="X4766" s="4">
        <f>AVERAGE(Table1[Purchase Amount])</f>
        <v>129.48419400000012</v>
      </c>
    </row>
    <row r="4767" spans="1:24" ht="15" customHeight="1" x14ac:dyDescent="0.25">
      <c r="A4767">
        <v>4865</v>
      </c>
      <c r="B4767">
        <v>59</v>
      </c>
      <c r="C4767" t="s">
        <v>27</v>
      </c>
      <c r="D4767" t="s">
        <v>38</v>
      </c>
      <c r="E4767" t="s">
        <v>81</v>
      </c>
      <c r="F4767" s="2">
        <v>0</v>
      </c>
      <c r="G4767" t="s">
        <v>101</v>
      </c>
      <c r="H4767" t="s">
        <v>31</v>
      </c>
      <c r="I4767" t="s">
        <v>46</v>
      </c>
      <c r="J4767" t="s">
        <v>33</v>
      </c>
      <c r="K4767">
        <v>1</v>
      </c>
      <c r="L4767" t="s">
        <v>34</v>
      </c>
      <c r="M4767" t="s">
        <v>61</v>
      </c>
      <c r="N4767" t="s">
        <v>34</v>
      </c>
      <c r="O4767">
        <v>0</v>
      </c>
      <c r="P4767" t="s">
        <v>36</v>
      </c>
      <c r="Q4767" t="s">
        <v>26</v>
      </c>
      <c r="R4767" s="1">
        <v>0.1</v>
      </c>
      <c r="S4767">
        <f t="shared" si="296"/>
        <v>0</v>
      </c>
      <c r="T4767">
        <f>IFERROR(VLOOKUP(A4767,Table1[[Customer ID]:[Discount Amount]], 6, FALSE),"Not Found")</f>
        <v>0</v>
      </c>
      <c r="U4767" t="str">
        <f t="shared" si="297"/>
        <v>Debit Card</v>
      </c>
      <c r="V4767" s="4" t="str">
        <f t="shared" si="298"/>
        <v>Normal</v>
      </c>
      <c r="W4767" s="4" t="str">
        <f t="shared" si="299"/>
        <v>Poor</v>
      </c>
      <c r="X4767" s="4">
        <f>AVERAGE(Table1[Purchase Amount])</f>
        <v>129.48419400000012</v>
      </c>
    </row>
    <row r="4768" spans="1:24" ht="15" customHeight="1" x14ac:dyDescent="0.25">
      <c r="A4768">
        <v>4866</v>
      </c>
      <c r="B4768">
        <v>23</v>
      </c>
      <c r="C4768" t="s">
        <v>71</v>
      </c>
      <c r="D4768" t="s">
        <v>80</v>
      </c>
      <c r="E4768" t="s">
        <v>29</v>
      </c>
      <c r="F4768" s="2">
        <v>0</v>
      </c>
      <c r="G4768" t="s">
        <v>126</v>
      </c>
      <c r="H4768" t="s">
        <v>55</v>
      </c>
      <c r="I4768" t="s">
        <v>40</v>
      </c>
      <c r="J4768" t="s">
        <v>22</v>
      </c>
      <c r="K4768">
        <v>3</v>
      </c>
      <c r="L4768" t="s">
        <v>23</v>
      </c>
      <c r="M4768" t="s">
        <v>24</v>
      </c>
      <c r="N4768" t="s">
        <v>34</v>
      </c>
      <c r="O4768">
        <v>0</v>
      </c>
      <c r="P4768" t="s">
        <v>25</v>
      </c>
      <c r="Q4768" t="s">
        <v>37</v>
      </c>
      <c r="R4768" s="1">
        <v>0.1</v>
      </c>
      <c r="S4768">
        <f t="shared" si="296"/>
        <v>0</v>
      </c>
      <c r="T4768">
        <f>IFERROR(VLOOKUP(A4768,Table1[[Customer ID]:[Discount Amount]], 6, FALSE),"Not Found")</f>
        <v>0</v>
      </c>
      <c r="U4768" t="str">
        <f t="shared" si="297"/>
        <v>Cash</v>
      </c>
      <c r="V4768" s="4" t="str">
        <f t="shared" si="298"/>
        <v>Normal</v>
      </c>
      <c r="W4768" s="4" t="str">
        <f t="shared" si="299"/>
        <v>Good</v>
      </c>
      <c r="X4768" s="4">
        <f>AVERAGE(Table1[Purchase Amount])</f>
        <v>129.48419400000012</v>
      </c>
    </row>
    <row r="4769" spans="1:24" ht="15" customHeight="1" x14ac:dyDescent="0.25">
      <c r="A4769">
        <v>4867</v>
      </c>
      <c r="B4769">
        <v>23</v>
      </c>
      <c r="C4769" t="s">
        <v>16</v>
      </c>
      <c r="D4769" t="s">
        <v>72</v>
      </c>
      <c r="E4769" t="s">
        <v>81</v>
      </c>
      <c r="F4769" s="2">
        <v>1391.62</v>
      </c>
      <c r="G4769" t="s">
        <v>101</v>
      </c>
      <c r="H4769" t="s">
        <v>31</v>
      </c>
      <c r="I4769" t="s">
        <v>46</v>
      </c>
      <c r="J4769" t="s">
        <v>22</v>
      </c>
      <c r="K4769">
        <v>1</v>
      </c>
      <c r="L4769" t="s">
        <v>34</v>
      </c>
      <c r="M4769" t="s">
        <v>24</v>
      </c>
      <c r="N4769" t="s">
        <v>23</v>
      </c>
      <c r="O4769">
        <v>4</v>
      </c>
      <c r="P4769" t="s">
        <v>53</v>
      </c>
      <c r="Q4769" t="s">
        <v>37</v>
      </c>
      <c r="R4769" s="1">
        <v>0.1</v>
      </c>
      <c r="S4769">
        <f t="shared" si="296"/>
        <v>1252.4579999999999</v>
      </c>
      <c r="T4769">
        <f>IFERROR(VLOOKUP(A4769,Table1[[Customer ID]:[Discount Amount]], 6, FALSE),"Not Found")</f>
        <v>1391.62</v>
      </c>
      <c r="U4769" t="str">
        <f t="shared" si="297"/>
        <v>Credit Card</v>
      </c>
      <c r="V4769" s="4" t="str">
        <f t="shared" si="298"/>
        <v>Normal</v>
      </c>
      <c r="W4769" s="4" t="str">
        <f t="shared" si="299"/>
        <v>Poor</v>
      </c>
      <c r="X4769" s="4">
        <f>AVERAGE(Table1[Purchase Amount])</f>
        <v>129.48419400000012</v>
      </c>
    </row>
    <row r="4770" spans="1:24" ht="15" customHeight="1" x14ac:dyDescent="0.25">
      <c r="A4770">
        <v>4868</v>
      </c>
      <c r="B4770">
        <v>61</v>
      </c>
      <c r="C4770" t="s">
        <v>16</v>
      </c>
      <c r="D4770" t="s">
        <v>38</v>
      </c>
      <c r="E4770" t="s">
        <v>81</v>
      </c>
      <c r="F4770" s="2">
        <v>996.72</v>
      </c>
      <c r="G4770" t="s">
        <v>139</v>
      </c>
      <c r="H4770" t="s">
        <v>31</v>
      </c>
      <c r="I4770" t="s">
        <v>40</v>
      </c>
      <c r="J4770" t="s">
        <v>22</v>
      </c>
      <c r="K4770">
        <v>1</v>
      </c>
      <c r="L4770" t="s">
        <v>34</v>
      </c>
      <c r="M4770" t="s">
        <v>61</v>
      </c>
      <c r="N4770" t="s">
        <v>34</v>
      </c>
      <c r="O4770">
        <v>0</v>
      </c>
      <c r="P4770" t="s">
        <v>58</v>
      </c>
      <c r="Q4770" t="s">
        <v>42</v>
      </c>
      <c r="R4770" s="1">
        <v>0.1</v>
      </c>
      <c r="S4770">
        <f t="shared" si="296"/>
        <v>897.048</v>
      </c>
      <c r="T4770">
        <f>IFERROR(VLOOKUP(A4770,Table1[[Customer ID]:[Discount Amount]], 6, FALSE),"Not Found")</f>
        <v>996.72</v>
      </c>
      <c r="U4770" t="str">
        <f t="shared" si="297"/>
        <v>PayPal</v>
      </c>
      <c r="V4770" s="4" t="str">
        <f t="shared" si="298"/>
        <v>Normal</v>
      </c>
      <c r="W4770" s="4" t="str">
        <f t="shared" si="299"/>
        <v>Poor</v>
      </c>
      <c r="X4770" s="4">
        <f>AVERAGE(Table1[Purchase Amount])</f>
        <v>129.48419400000012</v>
      </c>
    </row>
    <row r="4771" spans="1:24" ht="15" customHeight="1" x14ac:dyDescent="0.25">
      <c r="A4771">
        <v>4869</v>
      </c>
      <c r="B4771">
        <v>26</v>
      </c>
      <c r="C4771" t="s">
        <v>16</v>
      </c>
      <c r="D4771" t="s">
        <v>117</v>
      </c>
      <c r="E4771" t="s">
        <v>29</v>
      </c>
      <c r="F4771" s="2">
        <v>500.3</v>
      </c>
      <c r="G4771" t="s">
        <v>73</v>
      </c>
      <c r="H4771" t="s">
        <v>31</v>
      </c>
      <c r="I4771" t="s">
        <v>46</v>
      </c>
      <c r="J4771" t="s">
        <v>22</v>
      </c>
      <c r="K4771">
        <v>3</v>
      </c>
      <c r="L4771" t="s">
        <v>23</v>
      </c>
      <c r="M4771" t="s">
        <v>61</v>
      </c>
      <c r="N4771" t="s">
        <v>23</v>
      </c>
      <c r="O4771">
        <v>0</v>
      </c>
      <c r="P4771" t="s">
        <v>58</v>
      </c>
      <c r="Q4771" t="s">
        <v>42</v>
      </c>
      <c r="R4771" s="1">
        <v>0.1</v>
      </c>
      <c r="S4771">
        <f t="shared" si="296"/>
        <v>450.27</v>
      </c>
      <c r="T4771">
        <f>IFERROR(VLOOKUP(A4771,Table1[[Customer ID]:[Discount Amount]], 6, FALSE),"Not Found")</f>
        <v>500.3</v>
      </c>
      <c r="U4771" t="str">
        <f t="shared" si="297"/>
        <v>PayPal</v>
      </c>
      <c r="V4771" s="4" t="str">
        <f t="shared" si="298"/>
        <v>Normal</v>
      </c>
      <c r="W4771" s="4" t="str">
        <f t="shared" si="299"/>
        <v>Good</v>
      </c>
      <c r="X4771" s="4">
        <f>AVERAGE(Table1[Purchase Amount])</f>
        <v>129.48419400000012</v>
      </c>
    </row>
    <row r="4772" spans="1:24" ht="15" customHeight="1" x14ac:dyDescent="0.25">
      <c r="A4772">
        <v>4870</v>
      </c>
      <c r="B4772">
        <v>47</v>
      </c>
      <c r="C4772" t="s">
        <v>27</v>
      </c>
      <c r="D4772" t="s">
        <v>116</v>
      </c>
      <c r="E4772" t="s">
        <v>29</v>
      </c>
      <c r="F4772" s="2">
        <v>0</v>
      </c>
      <c r="G4772" t="s">
        <v>73</v>
      </c>
      <c r="H4772" t="s">
        <v>45</v>
      </c>
      <c r="I4772" t="s">
        <v>40</v>
      </c>
      <c r="J4772" t="s">
        <v>57</v>
      </c>
      <c r="K4772">
        <v>1</v>
      </c>
      <c r="L4772" t="s">
        <v>34</v>
      </c>
      <c r="M4772" t="s">
        <v>24</v>
      </c>
      <c r="N4772" t="s">
        <v>23</v>
      </c>
      <c r="O4772">
        <v>33</v>
      </c>
      <c r="P4772" t="s">
        <v>36</v>
      </c>
      <c r="Q4772" t="s">
        <v>42</v>
      </c>
      <c r="R4772" s="1">
        <v>0.1</v>
      </c>
      <c r="S4772">
        <f t="shared" si="296"/>
        <v>0</v>
      </c>
      <c r="T4772">
        <f>IFERROR(VLOOKUP(A4772,Table1[[Customer ID]:[Discount Amount]], 6, FALSE),"Not Found")</f>
        <v>0</v>
      </c>
      <c r="U4772" t="str">
        <f t="shared" si="297"/>
        <v>Debit Card</v>
      </c>
      <c r="V4772" s="4" t="str">
        <f t="shared" si="298"/>
        <v>Normal</v>
      </c>
      <c r="W4772" s="4" t="str">
        <f t="shared" si="299"/>
        <v>Poor</v>
      </c>
      <c r="X4772" s="4">
        <f>AVERAGE(Table1[Purchase Amount])</f>
        <v>129.48419400000012</v>
      </c>
    </row>
    <row r="4773" spans="1:24" ht="15" customHeight="1" x14ac:dyDescent="0.25">
      <c r="A4773">
        <v>4871</v>
      </c>
      <c r="B4773">
        <v>37</v>
      </c>
      <c r="C4773" t="s">
        <v>27</v>
      </c>
      <c r="D4773" t="s">
        <v>72</v>
      </c>
      <c r="E4773" t="s">
        <v>81</v>
      </c>
      <c r="F4773" s="2">
        <v>0</v>
      </c>
      <c r="G4773" t="s">
        <v>73</v>
      </c>
      <c r="H4773" t="s">
        <v>31</v>
      </c>
      <c r="I4773" t="s">
        <v>93</v>
      </c>
      <c r="J4773" t="s">
        <v>75</v>
      </c>
      <c r="K4773">
        <v>5</v>
      </c>
      <c r="L4773" t="s">
        <v>34</v>
      </c>
      <c r="M4773" t="s">
        <v>61</v>
      </c>
      <c r="N4773" t="s">
        <v>34</v>
      </c>
      <c r="O4773">
        <v>0</v>
      </c>
      <c r="P4773" t="s">
        <v>58</v>
      </c>
      <c r="Q4773" t="s">
        <v>37</v>
      </c>
      <c r="R4773" s="1">
        <v>0.1</v>
      </c>
      <c r="S4773">
        <f t="shared" si="296"/>
        <v>0</v>
      </c>
      <c r="T4773">
        <f>IFERROR(VLOOKUP(A4773,Table1[[Customer ID]:[Discount Amount]], 6, FALSE),"Not Found")</f>
        <v>0</v>
      </c>
      <c r="U4773" t="str">
        <f t="shared" si="297"/>
        <v>PayPal</v>
      </c>
      <c r="V4773" s="4" t="str">
        <f t="shared" si="298"/>
        <v>Normal</v>
      </c>
      <c r="W4773" s="4" t="str">
        <f t="shared" si="299"/>
        <v>Good</v>
      </c>
      <c r="X4773" s="4">
        <f>AVERAGE(Table1[Purchase Amount])</f>
        <v>129.48419400000012</v>
      </c>
    </row>
    <row r="4774" spans="1:24" ht="15" customHeight="1" x14ac:dyDescent="0.25">
      <c r="A4774">
        <v>4872</v>
      </c>
      <c r="B4774">
        <v>56</v>
      </c>
      <c r="C4774" t="s">
        <v>16</v>
      </c>
      <c r="D4774" t="s">
        <v>80</v>
      </c>
      <c r="E4774" t="s">
        <v>81</v>
      </c>
      <c r="F4774" s="2">
        <v>0</v>
      </c>
      <c r="G4774" t="s">
        <v>139</v>
      </c>
      <c r="H4774" t="s">
        <v>31</v>
      </c>
      <c r="I4774" t="s">
        <v>46</v>
      </c>
      <c r="J4774" t="s">
        <v>75</v>
      </c>
      <c r="K4774">
        <v>3</v>
      </c>
      <c r="L4774" t="s">
        <v>23</v>
      </c>
      <c r="M4774" t="s">
        <v>61</v>
      </c>
      <c r="N4774" t="s">
        <v>23</v>
      </c>
      <c r="O4774">
        <v>46</v>
      </c>
      <c r="P4774" t="s">
        <v>53</v>
      </c>
      <c r="Q4774" t="s">
        <v>42</v>
      </c>
      <c r="R4774" s="1">
        <v>0.1</v>
      </c>
      <c r="S4774">
        <f t="shared" si="296"/>
        <v>0</v>
      </c>
      <c r="T4774">
        <f>IFERROR(VLOOKUP(A4774,Table1[[Customer ID]:[Discount Amount]], 6, FALSE),"Not Found")</f>
        <v>0</v>
      </c>
      <c r="U4774" t="str">
        <f t="shared" si="297"/>
        <v>Credit Card</v>
      </c>
      <c r="V4774" s="4" t="str">
        <f t="shared" si="298"/>
        <v>Normal</v>
      </c>
      <c r="W4774" s="4" t="str">
        <f t="shared" si="299"/>
        <v>Good</v>
      </c>
      <c r="X4774" s="4">
        <f>AVERAGE(Table1[Purchase Amount])</f>
        <v>129.48419400000012</v>
      </c>
    </row>
    <row r="4775" spans="1:24" ht="15" customHeight="1" x14ac:dyDescent="0.25">
      <c r="A4775">
        <v>4873</v>
      </c>
      <c r="B4775">
        <v>32</v>
      </c>
      <c r="C4775" t="s">
        <v>71</v>
      </c>
      <c r="D4775" t="s">
        <v>116</v>
      </c>
      <c r="E4775" t="s">
        <v>29</v>
      </c>
      <c r="F4775" s="2">
        <v>0</v>
      </c>
      <c r="G4775" t="s">
        <v>101</v>
      </c>
      <c r="H4775" t="s">
        <v>31</v>
      </c>
      <c r="I4775" t="s">
        <v>74</v>
      </c>
      <c r="J4775" t="s">
        <v>75</v>
      </c>
      <c r="K4775">
        <v>1</v>
      </c>
      <c r="L4775" t="s">
        <v>34</v>
      </c>
      <c r="M4775" t="s">
        <v>24</v>
      </c>
      <c r="N4775" t="s">
        <v>34</v>
      </c>
      <c r="O4775">
        <v>0</v>
      </c>
      <c r="P4775" t="s">
        <v>58</v>
      </c>
      <c r="Q4775" t="s">
        <v>42</v>
      </c>
      <c r="R4775" s="1">
        <v>0.1</v>
      </c>
      <c r="S4775">
        <f t="shared" si="296"/>
        <v>0</v>
      </c>
      <c r="T4775">
        <f>IFERROR(VLOOKUP(A4775,Table1[[Customer ID]:[Discount Amount]], 6, FALSE),"Not Found")</f>
        <v>0</v>
      </c>
      <c r="U4775" t="str">
        <f t="shared" si="297"/>
        <v>PayPal</v>
      </c>
      <c r="V4775" s="4" t="str">
        <f t="shared" si="298"/>
        <v>Normal</v>
      </c>
      <c r="W4775" s="4" t="str">
        <f t="shared" si="299"/>
        <v>Poor</v>
      </c>
      <c r="X4775" s="4">
        <f>AVERAGE(Table1[Purchase Amount])</f>
        <v>129.48419400000012</v>
      </c>
    </row>
    <row r="4776" spans="1:24" ht="15" customHeight="1" x14ac:dyDescent="0.25">
      <c r="A4776">
        <v>4874</v>
      </c>
      <c r="B4776">
        <v>43</v>
      </c>
      <c r="C4776" t="s">
        <v>16</v>
      </c>
      <c r="D4776" t="s">
        <v>112</v>
      </c>
      <c r="E4776" t="s">
        <v>18</v>
      </c>
      <c r="F4776" s="2">
        <v>615.29</v>
      </c>
      <c r="G4776" t="s">
        <v>101</v>
      </c>
      <c r="H4776" t="s">
        <v>20</v>
      </c>
      <c r="I4776" t="s">
        <v>46</v>
      </c>
      <c r="J4776" t="s">
        <v>75</v>
      </c>
      <c r="K4776">
        <v>3</v>
      </c>
      <c r="L4776" t="s">
        <v>34</v>
      </c>
      <c r="M4776" t="s">
        <v>61</v>
      </c>
      <c r="N4776" t="s">
        <v>23</v>
      </c>
      <c r="O4776">
        <v>0</v>
      </c>
      <c r="P4776" t="s">
        <v>36</v>
      </c>
      <c r="Q4776" t="s">
        <v>37</v>
      </c>
      <c r="R4776" s="1">
        <v>0.1</v>
      </c>
      <c r="S4776">
        <f t="shared" si="296"/>
        <v>553.76099999999997</v>
      </c>
      <c r="T4776">
        <f>IFERROR(VLOOKUP(A4776,Table1[[Customer ID]:[Discount Amount]], 6, FALSE),"Not Found")</f>
        <v>615.29</v>
      </c>
      <c r="U4776" t="str">
        <f t="shared" si="297"/>
        <v>Debit Card</v>
      </c>
      <c r="V4776" s="4" t="str">
        <f t="shared" si="298"/>
        <v>Normal</v>
      </c>
      <c r="W4776" s="4" t="str">
        <f t="shared" si="299"/>
        <v>Good</v>
      </c>
      <c r="X4776" s="4">
        <f>AVERAGE(Table1[Purchase Amount])</f>
        <v>129.48419400000012</v>
      </c>
    </row>
    <row r="4777" spans="1:24" ht="15" customHeight="1" x14ac:dyDescent="0.25">
      <c r="A4777">
        <v>4875</v>
      </c>
      <c r="B4777">
        <v>37</v>
      </c>
      <c r="C4777" t="s">
        <v>27</v>
      </c>
      <c r="D4777" t="s">
        <v>116</v>
      </c>
      <c r="E4777" t="s">
        <v>18</v>
      </c>
      <c r="F4777" s="2">
        <v>0</v>
      </c>
      <c r="G4777" t="s">
        <v>82</v>
      </c>
      <c r="H4777" t="s">
        <v>20</v>
      </c>
      <c r="I4777" t="s">
        <v>74</v>
      </c>
      <c r="J4777" t="s">
        <v>33</v>
      </c>
      <c r="K4777">
        <v>4</v>
      </c>
      <c r="L4777" t="s">
        <v>23</v>
      </c>
      <c r="M4777" t="s">
        <v>24</v>
      </c>
      <c r="N4777" t="s">
        <v>23</v>
      </c>
      <c r="O4777">
        <v>21</v>
      </c>
      <c r="P4777" t="s">
        <v>53</v>
      </c>
      <c r="Q4777" t="s">
        <v>26</v>
      </c>
      <c r="R4777" s="1">
        <v>0.1</v>
      </c>
      <c r="S4777">
        <f t="shared" si="296"/>
        <v>0</v>
      </c>
      <c r="T4777">
        <f>IFERROR(VLOOKUP(A4777,Table1[[Customer ID]:[Discount Amount]], 6, FALSE),"Not Found")</f>
        <v>0</v>
      </c>
      <c r="U4777" t="str">
        <f t="shared" si="297"/>
        <v>Credit Card</v>
      </c>
      <c r="V4777" s="4" t="str">
        <f t="shared" si="298"/>
        <v>Normal</v>
      </c>
      <c r="W4777" s="4" t="str">
        <f t="shared" si="299"/>
        <v>Good</v>
      </c>
      <c r="X4777" s="4">
        <f>AVERAGE(Table1[Purchase Amount])</f>
        <v>129.48419400000012</v>
      </c>
    </row>
    <row r="4778" spans="1:24" ht="15" customHeight="1" x14ac:dyDescent="0.25">
      <c r="A4778">
        <v>4876</v>
      </c>
      <c r="B4778">
        <v>67</v>
      </c>
      <c r="C4778" t="s">
        <v>71</v>
      </c>
      <c r="D4778" t="s">
        <v>95</v>
      </c>
      <c r="E4778" t="s">
        <v>81</v>
      </c>
      <c r="F4778" s="2">
        <v>0</v>
      </c>
      <c r="G4778" t="s">
        <v>82</v>
      </c>
      <c r="H4778" t="s">
        <v>31</v>
      </c>
      <c r="I4778" t="s">
        <v>32</v>
      </c>
      <c r="J4778" t="s">
        <v>33</v>
      </c>
      <c r="K4778">
        <v>1</v>
      </c>
      <c r="L4778" t="s">
        <v>23</v>
      </c>
      <c r="M4778" t="s">
        <v>24</v>
      </c>
      <c r="N4778" t="s">
        <v>23</v>
      </c>
      <c r="O4778">
        <v>18</v>
      </c>
      <c r="P4778" t="s">
        <v>25</v>
      </c>
      <c r="Q4778" t="s">
        <v>26</v>
      </c>
      <c r="R4778" s="1">
        <v>0.1</v>
      </c>
      <c r="S4778">
        <f t="shared" si="296"/>
        <v>0</v>
      </c>
      <c r="T4778">
        <f>IFERROR(VLOOKUP(A4778,Table1[[Customer ID]:[Discount Amount]], 6, FALSE),"Not Found")</f>
        <v>0</v>
      </c>
      <c r="U4778" t="str">
        <f t="shared" si="297"/>
        <v>Cash</v>
      </c>
      <c r="V4778" s="4" t="str">
        <f t="shared" si="298"/>
        <v>Normal</v>
      </c>
      <c r="W4778" s="4" t="str">
        <f t="shared" si="299"/>
        <v>Poor</v>
      </c>
      <c r="X4778" s="4">
        <f>AVERAGE(Table1[Purchase Amount])</f>
        <v>129.48419400000012</v>
      </c>
    </row>
    <row r="4779" spans="1:24" ht="15" customHeight="1" x14ac:dyDescent="0.25">
      <c r="A4779">
        <v>4877</v>
      </c>
      <c r="B4779">
        <v>31</v>
      </c>
      <c r="C4779" t="s">
        <v>16</v>
      </c>
      <c r="D4779" t="s">
        <v>95</v>
      </c>
      <c r="E4779" t="s">
        <v>18</v>
      </c>
      <c r="F4779" s="2">
        <v>0</v>
      </c>
      <c r="G4779" t="s">
        <v>73</v>
      </c>
      <c r="H4779" t="s">
        <v>45</v>
      </c>
      <c r="I4779" t="s">
        <v>40</v>
      </c>
      <c r="J4779" t="s">
        <v>75</v>
      </c>
      <c r="K4779">
        <v>1</v>
      </c>
      <c r="L4779" t="s">
        <v>23</v>
      </c>
      <c r="M4779" t="s">
        <v>61</v>
      </c>
      <c r="N4779" t="s">
        <v>34</v>
      </c>
      <c r="O4779">
        <v>13</v>
      </c>
      <c r="P4779" t="s">
        <v>53</v>
      </c>
      <c r="Q4779" t="s">
        <v>37</v>
      </c>
      <c r="R4779" s="1">
        <v>0.1</v>
      </c>
      <c r="S4779">
        <f t="shared" si="296"/>
        <v>0</v>
      </c>
      <c r="T4779">
        <f>IFERROR(VLOOKUP(A4779,Table1[[Customer ID]:[Discount Amount]], 6, FALSE),"Not Found")</f>
        <v>0</v>
      </c>
      <c r="U4779" t="str">
        <f t="shared" si="297"/>
        <v>Credit Card</v>
      </c>
      <c r="V4779" s="4" t="str">
        <f t="shared" si="298"/>
        <v>Normal</v>
      </c>
      <c r="W4779" s="4" t="str">
        <f t="shared" si="299"/>
        <v>Poor</v>
      </c>
      <c r="X4779" s="4">
        <f>AVERAGE(Table1[Purchase Amount])</f>
        <v>129.48419400000012</v>
      </c>
    </row>
    <row r="4780" spans="1:24" ht="15" customHeight="1" x14ac:dyDescent="0.25">
      <c r="A4780">
        <v>4878</v>
      </c>
      <c r="B4780">
        <v>54</v>
      </c>
      <c r="C4780" t="s">
        <v>27</v>
      </c>
      <c r="D4780" t="s">
        <v>72</v>
      </c>
      <c r="E4780" t="s">
        <v>81</v>
      </c>
      <c r="F4780" s="2">
        <v>666.08</v>
      </c>
      <c r="G4780" t="s">
        <v>101</v>
      </c>
      <c r="H4780" t="s">
        <v>31</v>
      </c>
      <c r="I4780" t="s">
        <v>32</v>
      </c>
      <c r="J4780" t="s">
        <v>33</v>
      </c>
      <c r="K4780">
        <v>2</v>
      </c>
      <c r="L4780" t="s">
        <v>34</v>
      </c>
      <c r="M4780" t="s">
        <v>61</v>
      </c>
      <c r="N4780" t="s">
        <v>23</v>
      </c>
      <c r="O4780">
        <v>36</v>
      </c>
      <c r="P4780" t="s">
        <v>36</v>
      </c>
      <c r="Q4780" t="s">
        <v>26</v>
      </c>
      <c r="R4780" s="1">
        <v>0.1</v>
      </c>
      <c r="S4780">
        <f t="shared" si="296"/>
        <v>599.47199999999998</v>
      </c>
      <c r="T4780">
        <f>IFERROR(VLOOKUP(A4780,Table1[[Customer ID]:[Discount Amount]], 6, FALSE),"Not Found")</f>
        <v>666.08</v>
      </c>
      <c r="U4780" t="str">
        <f t="shared" si="297"/>
        <v>Debit Card</v>
      </c>
      <c r="V4780" s="4" t="str">
        <f t="shared" si="298"/>
        <v>Normal</v>
      </c>
      <c r="W4780" s="4" t="str">
        <f t="shared" si="299"/>
        <v>Poor</v>
      </c>
      <c r="X4780" s="4">
        <f>AVERAGE(Table1[Purchase Amount])</f>
        <v>129.48419400000012</v>
      </c>
    </row>
    <row r="4781" spans="1:24" ht="15" customHeight="1" x14ac:dyDescent="0.25">
      <c r="A4781">
        <v>4879</v>
      </c>
      <c r="B4781">
        <v>59</v>
      </c>
      <c r="C4781" t="s">
        <v>71</v>
      </c>
      <c r="D4781" t="s">
        <v>38</v>
      </c>
      <c r="E4781" t="s">
        <v>81</v>
      </c>
      <c r="F4781" s="2">
        <v>0</v>
      </c>
      <c r="G4781" t="s">
        <v>139</v>
      </c>
      <c r="H4781" t="s">
        <v>31</v>
      </c>
      <c r="I4781" t="s">
        <v>74</v>
      </c>
      <c r="J4781" t="s">
        <v>75</v>
      </c>
      <c r="K4781">
        <v>1</v>
      </c>
      <c r="L4781" t="s">
        <v>34</v>
      </c>
      <c r="M4781" t="s">
        <v>24</v>
      </c>
      <c r="N4781" t="s">
        <v>23</v>
      </c>
      <c r="O4781">
        <v>24</v>
      </c>
      <c r="P4781" t="s">
        <v>58</v>
      </c>
      <c r="Q4781" t="s">
        <v>42</v>
      </c>
      <c r="R4781" s="1">
        <v>0.1</v>
      </c>
      <c r="S4781">
        <f t="shared" si="296"/>
        <v>0</v>
      </c>
      <c r="T4781">
        <f>IFERROR(VLOOKUP(A4781,Table1[[Customer ID]:[Discount Amount]], 6, FALSE),"Not Found")</f>
        <v>0</v>
      </c>
      <c r="U4781" t="str">
        <f t="shared" si="297"/>
        <v>PayPal</v>
      </c>
      <c r="V4781" s="4" t="str">
        <f t="shared" si="298"/>
        <v>Normal</v>
      </c>
      <c r="W4781" s="4" t="str">
        <f t="shared" si="299"/>
        <v>Poor</v>
      </c>
      <c r="X4781" s="4">
        <f>AVERAGE(Table1[Purchase Amount])</f>
        <v>129.48419400000012</v>
      </c>
    </row>
    <row r="4782" spans="1:24" ht="15" customHeight="1" x14ac:dyDescent="0.25">
      <c r="A4782">
        <v>4880</v>
      </c>
      <c r="B4782">
        <v>47</v>
      </c>
      <c r="C4782" t="s">
        <v>16</v>
      </c>
      <c r="D4782" t="s">
        <v>38</v>
      </c>
      <c r="E4782" t="s">
        <v>18</v>
      </c>
      <c r="F4782" s="2">
        <v>990.54</v>
      </c>
      <c r="G4782" t="s">
        <v>101</v>
      </c>
      <c r="H4782" t="s">
        <v>55</v>
      </c>
      <c r="I4782" t="s">
        <v>32</v>
      </c>
      <c r="J4782" t="s">
        <v>75</v>
      </c>
      <c r="K4782">
        <v>1</v>
      </c>
      <c r="L4782" t="s">
        <v>34</v>
      </c>
      <c r="M4782" t="s">
        <v>24</v>
      </c>
      <c r="N4782" t="s">
        <v>34</v>
      </c>
      <c r="O4782">
        <v>0</v>
      </c>
      <c r="P4782" t="s">
        <v>36</v>
      </c>
      <c r="Q4782" t="s">
        <v>42</v>
      </c>
      <c r="R4782" s="1">
        <v>0.1</v>
      </c>
      <c r="S4782">
        <f t="shared" si="296"/>
        <v>891.48599999999999</v>
      </c>
      <c r="T4782">
        <f>IFERROR(VLOOKUP(A4782,Table1[[Customer ID]:[Discount Amount]], 6, FALSE),"Not Found")</f>
        <v>990.54</v>
      </c>
      <c r="U4782" t="str">
        <f t="shared" si="297"/>
        <v>Debit Card</v>
      </c>
      <c r="V4782" s="4" t="str">
        <f t="shared" si="298"/>
        <v>Normal</v>
      </c>
      <c r="W4782" s="4" t="str">
        <f t="shared" si="299"/>
        <v>Poor</v>
      </c>
      <c r="X4782" s="4">
        <f>AVERAGE(Table1[Purchase Amount])</f>
        <v>129.48419400000012</v>
      </c>
    </row>
    <row r="4783" spans="1:24" ht="15" customHeight="1" x14ac:dyDescent="0.25">
      <c r="A4783">
        <v>4881</v>
      </c>
      <c r="B4783">
        <v>41</v>
      </c>
      <c r="C4783" t="s">
        <v>16</v>
      </c>
      <c r="D4783" t="s">
        <v>38</v>
      </c>
      <c r="E4783" t="s">
        <v>18</v>
      </c>
      <c r="F4783" s="2">
        <v>0</v>
      </c>
      <c r="G4783" t="s">
        <v>139</v>
      </c>
      <c r="H4783" t="s">
        <v>45</v>
      </c>
      <c r="I4783" t="s">
        <v>46</v>
      </c>
      <c r="J4783" t="s">
        <v>57</v>
      </c>
      <c r="K4783">
        <v>1</v>
      </c>
      <c r="L4783" t="s">
        <v>23</v>
      </c>
      <c r="M4783" t="s">
        <v>61</v>
      </c>
      <c r="N4783" t="s">
        <v>34</v>
      </c>
      <c r="O4783">
        <v>9</v>
      </c>
      <c r="P4783" t="s">
        <v>53</v>
      </c>
      <c r="Q4783" t="s">
        <v>26</v>
      </c>
      <c r="R4783" s="1">
        <v>0.1</v>
      </c>
      <c r="S4783">
        <f t="shared" si="296"/>
        <v>0</v>
      </c>
      <c r="T4783">
        <f>IFERROR(VLOOKUP(A4783,Table1[[Customer ID]:[Discount Amount]], 6, FALSE),"Not Found")</f>
        <v>0</v>
      </c>
      <c r="U4783" t="str">
        <f t="shared" si="297"/>
        <v>Credit Card</v>
      </c>
      <c r="V4783" s="4" t="str">
        <f t="shared" si="298"/>
        <v>Normal</v>
      </c>
      <c r="W4783" s="4" t="str">
        <f t="shared" si="299"/>
        <v>Poor</v>
      </c>
      <c r="X4783" s="4">
        <f>AVERAGE(Table1[Purchase Amount])</f>
        <v>129.48419400000012</v>
      </c>
    </row>
    <row r="4784" spans="1:24" ht="15" customHeight="1" x14ac:dyDescent="0.25">
      <c r="A4784">
        <v>4882</v>
      </c>
      <c r="B4784">
        <v>35</v>
      </c>
      <c r="C4784" t="s">
        <v>71</v>
      </c>
      <c r="D4784" t="s">
        <v>112</v>
      </c>
      <c r="E4784" t="s">
        <v>81</v>
      </c>
      <c r="F4784" s="2">
        <v>1183.94</v>
      </c>
      <c r="G4784" t="s">
        <v>101</v>
      </c>
      <c r="H4784" t="s">
        <v>31</v>
      </c>
      <c r="I4784" t="s">
        <v>74</v>
      </c>
      <c r="J4784" t="s">
        <v>75</v>
      </c>
      <c r="K4784">
        <v>1</v>
      </c>
      <c r="L4784" t="s">
        <v>34</v>
      </c>
      <c r="M4784" t="s">
        <v>61</v>
      </c>
      <c r="N4784" t="s">
        <v>34</v>
      </c>
      <c r="O4784">
        <v>13</v>
      </c>
      <c r="P4784" t="s">
        <v>53</v>
      </c>
      <c r="Q4784" t="s">
        <v>37</v>
      </c>
      <c r="R4784" s="1">
        <v>0.1</v>
      </c>
      <c r="S4784">
        <f t="shared" si="296"/>
        <v>1065.546</v>
      </c>
      <c r="T4784">
        <f>IFERROR(VLOOKUP(A4784,Table1[[Customer ID]:[Discount Amount]], 6, FALSE),"Not Found")</f>
        <v>1183.94</v>
      </c>
      <c r="U4784" t="str">
        <f t="shared" si="297"/>
        <v>Credit Card</v>
      </c>
      <c r="V4784" s="4" t="str">
        <f t="shared" si="298"/>
        <v>Normal</v>
      </c>
      <c r="W4784" s="4" t="str">
        <f t="shared" si="299"/>
        <v>Poor</v>
      </c>
      <c r="X4784" s="4">
        <f>AVERAGE(Table1[Purchase Amount])</f>
        <v>129.48419400000012</v>
      </c>
    </row>
    <row r="4785" spans="1:24" ht="15" customHeight="1" x14ac:dyDescent="0.25">
      <c r="A4785">
        <v>4883</v>
      </c>
      <c r="B4785">
        <v>44</v>
      </c>
      <c r="C4785" t="s">
        <v>27</v>
      </c>
      <c r="D4785" t="s">
        <v>80</v>
      </c>
      <c r="E4785" t="s">
        <v>29</v>
      </c>
      <c r="F4785" s="2">
        <v>1459.62</v>
      </c>
      <c r="G4785" t="s">
        <v>82</v>
      </c>
      <c r="H4785" t="s">
        <v>31</v>
      </c>
      <c r="I4785" t="s">
        <v>32</v>
      </c>
      <c r="J4785" t="s">
        <v>75</v>
      </c>
      <c r="K4785">
        <v>1</v>
      </c>
      <c r="L4785" t="s">
        <v>34</v>
      </c>
      <c r="M4785" t="s">
        <v>24</v>
      </c>
      <c r="N4785" t="s">
        <v>23</v>
      </c>
      <c r="O4785">
        <v>15</v>
      </c>
      <c r="P4785" t="s">
        <v>58</v>
      </c>
      <c r="Q4785" t="s">
        <v>42</v>
      </c>
      <c r="R4785" s="1">
        <v>0.1</v>
      </c>
      <c r="S4785">
        <f t="shared" si="296"/>
        <v>1313.6579999999999</v>
      </c>
      <c r="T4785">
        <f>IFERROR(VLOOKUP(A4785,Table1[[Customer ID]:[Discount Amount]], 6, FALSE),"Not Found")</f>
        <v>1459.62</v>
      </c>
      <c r="U4785" t="str">
        <f t="shared" si="297"/>
        <v>PayPal</v>
      </c>
      <c r="V4785" s="4" t="str">
        <f t="shared" si="298"/>
        <v>Normal</v>
      </c>
      <c r="W4785" s="4" t="str">
        <f t="shared" si="299"/>
        <v>Poor</v>
      </c>
      <c r="X4785" s="4">
        <f>AVERAGE(Table1[Purchase Amount])</f>
        <v>129.48419400000012</v>
      </c>
    </row>
    <row r="4786" spans="1:24" ht="15" customHeight="1" x14ac:dyDescent="0.25">
      <c r="A4786">
        <v>4884</v>
      </c>
      <c r="B4786">
        <v>43</v>
      </c>
      <c r="C4786" t="s">
        <v>71</v>
      </c>
      <c r="D4786" t="s">
        <v>112</v>
      </c>
      <c r="E4786" t="s">
        <v>18</v>
      </c>
      <c r="F4786" s="2">
        <v>489.56</v>
      </c>
      <c r="G4786" t="s">
        <v>139</v>
      </c>
      <c r="H4786" t="s">
        <v>31</v>
      </c>
      <c r="I4786" t="s">
        <v>46</v>
      </c>
      <c r="J4786" t="s">
        <v>33</v>
      </c>
      <c r="K4786">
        <v>2</v>
      </c>
      <c r="L4786" t="s">
        <v>23</v>
      </c>
      <c r="M4786" t="s">
        <v>24</v>
      </c>
      <c r="N4786" t="s">
        <v>34</v>
      </c>
      <c r="O4786">
        <v>32</v>
      </c>
      <c r="P4786" t="s">
        <v>36</v>
      </c>
      <c r="Q4786" t="s">
        <v>26</v>
      </c>
      <c r="R4786" s="1">
        <v>0.1</v>
      </c>
      <c r="S4786">
        <f t="shared" si="296"/>
        <v>440.60399999999998</v>
      </c>
      <c r="T4786">
        <f>IFERROR(VLOOKUP(A4786,Table1[[Customer ID]:[Discount Amount]], 6, FALSE),"Not Found")</f>
        <v>489.56</v>
      </c>
      <c r="U4786" t="str">
        <f t="shared" si="297"/>
        <v>Debit Card</v>
      </c>
      <c r="V4786" s="4" t="str">
        <f t="shared" si="298"/>
        <v>Normal</v>
      </c>
      <c r="W4786" s="4" t="str">
        <f t="shared" si="299"/>
        <v>Poor</v>
      </c>
      <c r="X4786" s="4">
        <f>AVERAGE(Table1[Purchase Amount])</f>
        <v>129.48419400000012</v>
      </c>
    </row>
    <row r="4787" spans="1:24" ht="15" customHeight="1" x14ac:dyDescent="0.25">
      <c r="A4787">
        <v>4885</v>
      </c>
      <c r="B4787">
        <v>51</v>
      </c>
      <c r="C4787" t="s">
        <v>27</v>
      </c>
      <c r="D4787" t="s">
        <v>116</v>
      </c>
      <c r="E4787" t="s">
        <v>81</v>
      </c>
      <c r="F4787" s="2">
        <v>1459.71</v>
      </c>
      <c r="G4787" t="s">
        <v>101</v>
      </c>
      <c r="H4787" t="s">
        <v>31</v>
      </c>
      <c r="I4787" t="s">
        <v>74</v>
      </c>
      <c r="J4787" t="s">
        <v>57</v>
      </c>
      <c r="K4787">
        <v>5</v>
      </c>
      <c r="L4787" t="s">
        <v>34</v>
      </c>
      <c r="M4787" t="s">
        <v>61</v>
      </c>
      <c r="N4787" t="s">
        <v>23</v>
      </c>
      <c r="O4787">
        <v>0</v>
      </c>
      <c r="P4787" t="s">
        <v>58</v>
      </c>
      <c r="Q4787" t="s">
        <v>37</v>
      </c>
      <c r="R4787" s="1">
        <v>0.1</v>
      </c>
      <c r="S4787">
        <f t="shared" si="296"/>
        <v>1313.739</v>
      </c>
      <c r="T4787">
        <f>IFERROR(VLOOKUP(A4787,Table1[[Customer ID]:[Discount Amount]], 6, FALSE),"Not Found")</f>
        <v>1459.71</v>
      </c>
      <c r="U4787" t="str">
        <f t="shared" si="297"/>
        <v>PayPal</v>
      </c>
      <c r="V4787" s="4" t="str">
        <f t="shared" si="298"/>
        <v>Best Customer</v>
      </c>
      <c r="W4787" s="4" t="str">
        <f t="shared" si="299"/>
        <v>Good</v>
      </c>
      <c r="X4787" s="4">
        <f>AVERAGE(Table1[Purchase Amount])</f>
        <v>129.48419400000012</v>
      </c>
    </row>
    <row r="4788" spans="1:24" ht="15" customHeight="1" x14ac:dyDescent="0.25">
      <c r="A4788">
        <v>4886</v>
      </c>
      <c r="B4788">
        <v>23</v>
      </c>
      <c r="C4788" t="s">
        <v>27</v>
      </c>
      <c r="D4788" t="s">
        <v>95</v>
      </c>
      <c r="E4788" t="s">
        <v>18</v>
      </c>
      <c r="F4788" s="2">
        <v>1067.74</v>
      </c>
      <c r="G4788" t="s">
        <v>82</v>
      </c>
      <c r="H4788" t="s">
        <v>31</v>
      </c>
      <c r="I4788" t="s">
        <v>46</v>
      </c>
      <c r="J4788" t="s">
        <v>57</v>
      </c>
      <c r="K4788">
        <v>2</v>
      </c>
      <c r="L4788" t="s">
        <v>34</v>
      </c>
      <c r="M4788" t="s">
        <v>24</v>
      </c>
      <c r="N4788" t="s">
        <v>23</v>
      </c>
      <c r="O4788">
        <v>0</v>
      </c>
      <c r="P4788" t="s">
        <v>53</v>
      </c>
      <c r="Q4788" t="s">
        <v>42</v>
      </c>
      <c r="R4788" s="1">
        <v>0.1</v>
      </c>
      <c r="S4788">
        <f t="shared" si="296"/>
        <v>960.96600000000001</v>
      </c>
      <c r="T4788">
        <f>IFERROR(VLOOKUP(A4788,Table1[[Customer ID]:[Discount Amount]], 6, FALSE),"Not Found")</f>
        <v>1067.74</v>
      </c>
      <c r="U4788" t="str">
        <f t="shared" si="297"/>
        <v>Credit Card</v>
      </c>
      <c r="V4788" s="4" t="str">
        <f t="shared" si="298"/>
        <v>Normal</v>
      </c>
      <c r="W4788" s="4" t="str">
        <f t="shared" si="299"/>
        <v>Poor</v>
      </c>
      <c r="X4788" s="4">
        <f>AVERAGE(Table1[Purchase Amount])</f>
        <v>129.48419400000012</v>
      </c>
    </row>
    <row r="4789" spans="1:24" ht="15" customHeight="1" x14ac:dyDescent="0.25">
      <c r="A4789">
        <v>4887</v>
      </c>
      <c r="B4789">
        <v>64</v>
      </c>
      <c r="C4789" t="s">
        <v>71</v>
      </c>
      <c r="D4789" t="s">
        <v>116</v>
      </c>
      <c r="E4789" t="s">
        <v>29</v>
      </c>
      <c r="F4789" s="2">
        <v>169.1</v>
      </c>
      <c r="G4789" t="s">
        <v>139</v>
      </c>
      <c r="H4789" t="s">
        <v>31</v>
      </c>
      <c r="I4789" t="s">
        <v>40</v>
      </c>
      <c r="J4789" t="s">
        <v>75</v>
      </c>
      <c r="K4789">
        <v>5</v>
      </c>
      <c r="L4789" t="s">
        <v>34</v>
      </c>
      <c r="M4789" t="s">
        <v>61</v>
      </c>
      <c r="N4789" t="s">
        <v>34</v>
      </c>
      <c r="O4789">
        <v>0</v>
      </c>
      <c r="P4789" t="s">
        <v>53</v>
      </c>
      <c r="Q4789" t="s">
        <v>26</v>
      </c>
      <c r="R4789" s="1">
        <v>0.1</v>
      </c>
      <c r="S4789">
        <f t="shared" si="296"/>
        <v>152.19</v>
      </c>
      <c r="T4789">
        <f>IFERROR(VLOOKUP(A4789,Table1[[Customer ID]:[Discount Amount]], 6, FALSE),"Not Found")</f>
        <v>169.1</v>
      </c>
      <c r="U4789" t="str">
        <f t="shared" si="297"/>
        <v>Credit Card</v>
      </c>
      <c r="V4789" s="4" t="str">
        <f t="shared" si="298"/>
        <v>Normal</v>
      </c>
      <c r="W4789" s="4" t="str">
        <f t="shared" si="299"/>
        <v>Good</v>
      </c>
      <c r="X4789" s="4">
        <f>AVERAGE(Table1[Purchase Amount])</f>
        <v>129.48419400000012</v>
      </c>
    </row>
    <row r="4790" spans="1:24" ht="15" customHeight="1" x14ac:dyDescent="0.25">
      <c r="A4790">
        <v>4888</v>
      </c>
      <c r="B4790">
        <v>65</v>
      </c>
      <c r="C4790" t="s">
        <v>27</v>
      </c>
      <c r="D4790" t="s">
        <v>38</v>
      </c>
      <c r="E4790" t="s">
        <v>81</v>
      </c>
      <c r="F4790" s="2">
        <v>501.36</v>
      </c>
      <c r="G4790" t="s">
        <v>101</v>
      </c>
      <c r="H4790" t="s">
        <v>31</v>
      </c>
      <c r="I4790" t="s">
        <v>93</v>
      </c>
      <c r="J4790" t="s">
        <v>33</v>
      </c>
      <c r="K4790">
        <v>1</v>
      </c>
      <c r="L4790" t="s">
        <v>23</v>
      </c>
      <c r="M4790" t="s">
        <v>61</v>
      </c>
      <c r="N4790" t="s">
        <v>34</v>
      </c>
      <c r="O4790">
        <v>49</v>
      </c>
      <c r="P4790" t="s">
        <v>53</v>
      </c>
      <c r="Q4790" t="s">
        <v>42</v>
      </c>
      <c r="R4790" s="1">
        <v>0.1</v>
      </c>
      <c r="S4790">
        <f t="shared" si="296"/>
        <v>451.22399999999999</v>
      </c>
      <c r="T4790">
        <f>IFERROR(VLOOKUP(A4790,Table1[[Customer ID]:[Discount Amount]], 6, FALSE),"Not Found")</f>
        <v>501.36</v>
      </c>
      <c r="U4790" t="str">
        <f t="shared" si="297"/>
        <v>Credit Card</v>
      </c>
      <c r="V4790" s="4" t="str">
        <f t="shared" si="298"/>
        <v>Normal</v>
      </c>
      <c r="W4790" s="4" t="str">
        <f t="shared" si="299"/>
        <v>Poor</v>
      </c>
      <c r="X4790" s="4">
        <f>AVERAGE(Table1[Purchase Amount])</f>
        <v>129.48419400000012</v>
      </c>
    </row>
    <row r="4791" spans="1:24" ht="15" customHeight="1" x14ac:dyDescent="0.25">
      <c r="A4791">
        <v>4889</v>
      </c>
      <c r="B4791">
        <v>60</v>
      </c>
      <c r="C4791" t="s">
        <v>27</v>
      </c>
      <c r="D4791" t="s">
        <v>80</v>
      </c>
      <c r="E4791" t="s">
        <v>29</v>
      </c>
      <c r="F4791" s="2">
        <v>0</v>
      </c>
      <c r="G4791" t="s">
        <v>73</v>
      </c>
      <c r="H4791" t="s">
        <v>31</v>
      </c>
      <c r="I4791" t="s">
        <v>74</v>
      </c>
      <c r="J4791" t="s">
        <v>57</v>
      </c>
      <c r="K4791">
        <v>1</v>
      </c>
      <c r="L4791" t="s">
        <v>23</v>
      </c>
      <c r="M4791" t="s">
        <v>61</v>
      </c>
      <c r="N4791" t="s">
        <v>23</v>
      </c>
      <c r="O4791">
        <v>3</v>
      </c>
      <c r="P4791" t="s">
        <v>36</v>
      </c>
      <c r="Q4791" t="s">
        <v>42</v>
      </c>
      <c r="R4791" s="1">
        <v>0.1</v>
      </c>
      <c r="S4791">
        <f t="shared" si="296"/>
        <v>0</v>
      </c>
      <c r="T4791">
        <f>IFERROR(VLOOKUP(A4791,Table1[[Customer ID]:[Discount Amount]], 6, FALSE),"Not Found")</f>
        <v>0</v>
      </c>
      <c r="U4791" t="str">
        <f t="shared" si="297"/>
        <v>Debit Card</v>
      </c>
      <c r="V4791" s="4" t="str">
        <f t="shared" si="298"/>
        <v>Normal</v>
      </c>
      <c r="W4791" s="4" t="str">
        <f t="shared" si="299"/>
        <v>Poor</v>
      </c>
      <c r="X4791" s="4">
        <f>AVERAGE(Table1[Purchase Amount])</f>
        <v>129.48419400000012</v>
      </c>
    </row>
    <row r="4792" spans="1:24" ht="15" customHeight="1" x14ac:dyDescent="0.25">
      <c r="A4792">
        <v>4890</v>
      </c>
      <c r="B4792">
        <v>36</v>
      </c>
      <c r="C4792" t="s">
        <v>16</v>
      </c>
      <c r="D4792" t="s">
        <v>116</v>
      </c>
      <c r="E4792" t="s">
        <v>29</v>
      </c>
      <c r="F4792" s="2">
        <v>0</v>
      </c>
      <c r="G4792" t="s">
        <v>73</v>
      </c>
      <c r="H4792" t="s">
        <v>55</v>
      </c>
      <c r="I4792" t="s">
        <v>74</v>
      </c>
      <c r="J4792" t="s">
        <v>75</v>
      </c>
      <c r="K4792">
        <v>5</v>
      </c>
      <c r="L4792" t="s">
        <v>34</v>
      </c>
      <c r="M4792" t="s">
        <v>24</v>
      </c>
      <c r="N4792" t="s">
        <v>23</v>
      </c>
      <c r="O4792">
        <v>0</v>
      </c>
      <c r="P4792" t="s">
        <v>53</v>
      </c>
      <c r="Q4792" t="s">
        <v>26</v>
      </c>
      <c r="R4792" s="1">
        <v>0.1</v>
      </c>
      <c r="S4792">
        <f t="shared" si="296"/>
        <v>0</v>
      </c>
      <c r="T4792">
        <f>IFERROR(VLOOKUP(A4792,Table1[[Customer ID]:[Discount Amount]], 6, FALSE),"Not Found")</f>
        <v>0</v>
      </c>
      <c r="U4792" t="str">
        <f t="shared" si="297"/>
        <v>Credit Card</v>
      </c>
      <c r="V4792" s="4" t="str">
        <f t="shared" si="298"/>
        <v>Normal</v>
      </c>
      <c r="W4792" s="4" t="str">
        <f t="shared" si="299"/>
        <v>Good</v>
      </c>
      <c r="X4792" s="4">
        <f>AVERAGE(Table1[Purchase Amount])</f>
        <v>129.48419400000012</v>
      </c>
    </row>
    <row r="4793" spans="1:24" ht="15" customHeight="1" x14ac:dyDescent="0.25">
      <c r="A4793">
        <v>4891</v>
      </c>
      <c r="B4793">
        <v>41</v>
      </c>
      <c r="C4793" t="s">
        <v>27</v>
      </c>
      <c r="D4793" t="s">
        <v>117</v>
      </c>
      <c r="E4793" t="s">
        <v>18</v>
      </c>
      <c r="F4793" s="2">
        <v>0</v>
      </c>
      <c r="G4793" t="s">
        <v>73</v>
      </c>
      <c r="H4793" t="s">
        <v>45</v>
      </c>
      <c r="I4793" t="s">
        <v>40</v>
      </c>
      <c r="J4793" t="s">
        <v>22</v>
      </c>
      <c r="K4793">
        <v>2</v>
      </c>
      <c r="L4793" t="s">
        <v>23</v>
      </c>
      <c r="M4793" t="s">
        <v>61</v>
      </c>
      <c r="N4793" t="s">
        <v>23</v>
      </c>
      <c r="O4793">
        <v>33</v>
      </c>
      <c r="P4793" t="s">
        <v>58</v>
      </c>
      <c r="Q4793" t="s">
        <v>37</v>
      </c>
      <c r="R4793" s="1">
        <v>0.1</v>
      </c>
      <c r="S4793">
        <f t="shared" si="296"/>
        <v>0</v>
      </c>
      <c r="T4793">
        <f>IFERROR(VLOOKUP(A4793,Table1[[Customer ID]:[Discount Amount]], 6, FALSE),"Not Found")</f>
        <v>0</v>
      </c>
      <c r="U4793" t="str">
        <f t="shared" si="297"/>
        <v>PayPal</v>
      </c>
      <c r="V4793" s="4" t="str">
        <f t="shared" si="298"/>
        <v>Normal</v>
      </c>
      <c r="W4793" s="4" t="str">
        <f t="shared" si="299"/>
        <v>Poor</v>
      </c>
      <c r="X4793" s="4">
        <f>AVERAGE(Table1[Purchase Amount])</f>
        <v>129.48419400000012</v>
      </c>
    </row>
    <row r="4794" spans="1:24" ht="15" customHeight="1" x14ac:dyDescent="0.25">
      <c r="A4794">
        <v>4892</v>
      </c>
      <c r="B4794">
        <v>44</v>
      </c>
      <c r="C4794" t="s">
        <v>27</v>
      </c>
      <c r="D4794" t="s">
        <v>72</v>
      </c>
      <c r="E4794" t="s">
        <v>18</v>
      </c>
      <c r="F4794" s="2">
        <v>1090.49</v>
      </c>
      <c r="G4794" t="s">
        <v>139</v>
      </c>
      <c r="H4794" t="s">
        <v>45</v>
      </c>
      <c r="I4794" t="s">
        <v>40</v>
      </c>
      <c r="J4794" t="s">
        <v>75</v>
      </c>
      <c r="K4794">
        <v>1</v>
      </c>
      <c r="L4794" t="s">
        <v>34</v>
      </c>
      <c r="M4794" t="s">
        <v>61</v>
      </c>
      <c r="N4794" t="s">
        <v>34</v>
      </c>
      <c r="O4794">
        <v>32</v>
      </c>
      <c r="P4794" t="s">
        <v>36</v>
      </c>
      <c r="Q4794" t="s">
        <v>26</v>
      </c>
      <c r="R4794" s="1">
        <v>0.1</v>
      </c>
      <c r="S4794">
        <f t="shared" si="296"/>
        <v>981.44100000000003</v>
      </c>
      <c r="T4794">
        <f>IFERROR(VLOOKUP(A4794,Table1[[Customer ID]:[Discount Amount]], 6, FALSE),"Not Found")</f>
        <v>1090.49</v>
      </c>
      <c r="U4794" t="str">
        <f t="shared" si="297"/>
        <v>Debit Card</v>
      </c>
      <c r="V4794" s="4" t="str">
        <f t="shared" si="298"/>
        <v>Normal</v>
      </c>
      <c r="W4794" s="4" t="str">
        <f t="shared" si="299"/>
        <v>Poor</v>
      </c>
      <c r="X4794" s="4">
        <f>AVERAGE(Table1[Purchase Amount])</f>
        <v>129.48419400000012</v>
      </c>
    </row>
    <row r="4795" spans="1:24" ht="15" customHeight="1" x14ac:dyDescent="0.25">
      <c r="A4795">
        <v>4893</v>
      </c>
      <c r="B4795">
        <v>58</v>
      </c>
      <c r="C4795" t="s">
        <v>16</v>
      </c>
      <c r="D4795" t="s">
        <v>80</v>
      </c>
      <c r="E4795" t="s">
        <v>29</v>
      </c>
      <c r="F4795" s="2">
        <v>0</v>
      </c>
      <c r="G4795" t="s">
        <v>82</v>
      </c>
      <c r="H4795" t="s">
        <v>31</v>
      </c>
      <c r="I4795" t="s">
        <v>40</v>
      </c>
      <c r="J4795" t="s">
        <v>33</v>
      </c>
      <c r="K4795">
        <v>1</v>
      </c>
      <c r="L4795" t="s">
        <v>23</v>
      </c>
      <c r="M4795" t="s">
        <v>24</v>
      </c>
      <c r="N4795" t="s">
        <v>34</v>
      </c>
      <c r="O4795">
        <v>0</v>
      </c>
      <c r="P4795" t="s">
        <v>58</v>
      </c>
      <c r="Q4795" t="s">
        <v>37</v>
      </c>
      <c r="R4795" s="1">
        <v>0.1</v>
      </c>
      <c r="S4795">
        <f t="shared" si="296"/>
        <v>0</v>
      </c>
      <c r="T4795">
        <f>IFERROR(VLOOKUP(A4795,Table1[[Customer ID]:[Discount Amount]], 6, FALSE),"Not Found")</f>
        <v>0</v>
      </c>
      <c r="U4795" t="str">
        <f t="shared" si="297"/>
        <v>PayPal</v>
      </c>
      <c r="V4795" s="4" t="str">
        <f t="shared" si="298"/>
        <v>Normal</v>
      </c>
      <c r="W4795" s="4" t="str">
        <f t="shared" si="299"/>
        <v>Poor</v>
      </c>
      <c r="X4795" s="4">
        <f>AVERAGE(Table1[Purchase Amount])</f>
        <v>129.48419400000012</v>
      </c>
    </row>
    <row r="4796" spans="1:24" ht="15" customHeight="1" x14ac:dyDescent="0.25">
      <c r="A4796">
        <v>4894</v>
      </c>
      <c r="B4796">
        <v>24</v>
      </c>
      <c r="C4796" t="s">
        <v>71</v>
      </c>
      <c r="D4796" t="s">
        <v>112</v>
      </c>
      <c r="E4796" t="s">
        <v>29</v>
      </c>
      <c r="F4796" s="2">
        <v>0</v>
      </c>
      <c r="G4796" t="s">
        <v>82</v>
      </c>
      <c r="H4796" t="s">
        <v>45</v>
      </c>
      <c r="I4796" t="s">
        <v>46</v>
      </c>
      <c r="J4796" t="s">
        <v>33</v>
      </c>
      <c r="K4796">
        <v>1</v>
      </c>
      <c r="L4796" t="s">
        <v>23</v>
      </c>
      <c r="M4796" t="s">
        <v>24</v>
      </c>
      <c r="N4796" t="s">
        <v>23</v>
      </c>
      <c r="O4796">
        <v>4</v>
      </c>
      <c r="P4796" t="s">
        <v>58</v>
      </c>
      <c r="Q4796" t="s">
        <v>37</v>
      </c>
      <c r="R4796" s="1">
        <v>0.1</v>
      </c>
      <c r="S4796">
        <f t="shared" si="296"/>
        <v>0</v>
      </c>
      <c r="T4796">
        <f>IFERROR(VLOOKUP(A4796,Table1[[Customer ID]:[Discount Amount]], 6, FALSE),"Not Found")</f>
        <v>0</v>
      </c>
      <c r="U4796" t="str">
        <f t="shared" si="297"/>
        <v>PayPal</v>
      </c>
      <c r="V4796" s="4" t="str">
        <f t="shared" si="298"/>
        <v>Normal</v>
      </c>
      <c r="W4796" s="4" t="str">
        <f t="shared" si="299"/>
        <v>Poor</v>
      </c>
      <c r="X4796" s="4">
        <f>AVERAGE(Table1[Purchase Amount])</f>
        <v>129.48419400000012</v>
      </c>
    </row>
    <row r="4797" spans="1:24" ht="15" customHeight="1" x14ac:dyDescent="0.25">
      <c r="A4797">
        <v>4895</v>
      </c>
      <c r="B4797">
        <v>26</v>
      </c>
      <c r="C4797" t="s">
        <v>16</v>
      </c>
      <c r="D4797" t="s">
        <v>80</v>
      </c>
      <c r="E4797" t="s">
        <v>29</v>
      </c>
      <c r="F4797" s="2">
        <v>1090.76</v>
      </c>
      <c r="G4797" t="s">
        <v>101</v>
      </c>
      <c r="H4797" t="s">
        <v>45</v>
      </c>
      <c r="I4797" t="s">
        <v>40</v>
      </c>
      <c r="J4797" t="s">
        <v>33</v>
      </c>
      <c r="K4797">
        <v>4</v>
      </c>
      <c r="L4797" t="s">
        <v>23</v>
      </c>
      <c r="M4797" t="s">
        <v>61</v>
      </c>
      <c r="N4797" t="s">
        <v>34</v>
      </c>
      <c r="O4797">
        <v>0</v>
      </c>
      <c r="P4797" t="s">
        <v>58</v>
      </c>
      <c r="Q4797" t="s">
        <v>26</v>
      </c>
      <c r="R4797" s="1">
        <v>0.1</v>
      </c>
      <c r="S4797">
        <f t="shared" si="296"/>
        <v>981.68399999999997</v>
      </c>
      <c r="T4797">
        <f>IFERROR(VLOOKUP(A4797,Table1[[Customer ID]:[Discount Amount]], 6, FALSE),"Not Found")</f>
        <v>1090.76</v>
      </c>
      <c r="U4797" t="str">
        <f t="shared" si="297"/>
        <v>PayPal</v>
      </c>
      <c r="V4797" s="4" t="str">
        <f t="shared" si="298"/>
        <v>Best Customer</v>
      </c>
      <c r="W4797" s="4" t="str">
        <f t="shared" si="299"/>
        <v>Good</v>
      </c>
      <c r="X4797" s="4">
        <f>AVERAGE(Table1[Purchase Amount])</f>
        <v>129.48419400000012</v>
      </c>
    </row>
    <row r="4798" spans="1:24" ht="15" customHeight="1" x14ac:dyDescent="0.25">
      <c r="A4798">
        <v>4896</v>
      </c>
      <c r="B4798">
        <v>24</v>
      </c>
      <c r="C4798" t="s">
        <v>16</v>
      </c>
      <c r="D4798" t="s">
        <v>116</v>
      </c>
      <c r="E4798" t="s">
        <v>18</v>
      </c>
      <c r="F4798" s="2">
        <v>0</v>
      </c>
      <c r="G4798" t="s">
        <v>101</v>
      </c>
      <c r="H4798" t="s">
        <v>45</v>
      </c>
      <c r="I4798" t="s">
        <v>32</v>
      </c>
      <c r="J4798" t="s">
        <v>22</v>
      </c>
      <c r="K4798">
        <v>3</v>
      </c>
      <c r="L4798" t="s">
        <v>23</v>
      </c>
      <c r="M4798" t="s">
        <v>24</v>
      </c>
      <c r="N4798" t="s">
        <v>34</v>
      </c>
      <c r="O4798">
        <v>0</v>
      </c>
      <c r="P4798" t="s">
        <v>36</v>
      </c>
      <c r="Q4798" t="s">
        <v>37</v>
      </c>
      <c r="R4798" s="1">
        <v>0.1</v>
      </c>
      <c r="S4798">
        <f t="shared" si="296"/>
        <v>0</v>
      </c>
      <c r="T4798">
        <f>IFERROR(VLOOKUP(A4798,Table1[[Customer ID]:[Discount Amount]], 6, FALSE),"Not Found")</f>
        <v>0</v>
      </c>
      <c r="U4798" t="str">
        <f t="shared" si="297"/>
        <v>Debit Card</v>
      </c>
      <c r="V4798" s="4" t="str">
        <f t="shared" si="298"/>
        <v>Normal</v>
      </c>
      <c r="W4798" s="4" t="str">
        <f t="shared" si="299"/>
        <v>Good</v>
      </c>
      <c r="X4798" s="4">
        <f>AVERAGE(Table1[Purchase Amount])</f>
        <v>129.48419400000012</v>
      </c>
    </row>
    <row r="4799" spans="1:24" ht="15" customHeight="1" x14ac:dyDescent="0.25">
      <c r="A4799">
        <v>4897</v>
      </c>
      <c r="B4799">
        <v>51</v>
      </c>
      <c r="C4799" t="s">
        <v>27</v>
      </c>
      <c r="D4799" t="s">
        <v>117</v>
      </c>
      <c r="E4799" t="s">
        <v>29</v>
      </c>
      <c r="F4799" s="2">
        <v>0</v>
      </c>
      <c r="G4799" t="s">
        <v>126</v>
      </c>
      <c r="H4799" t="s">
        <v>55</v>
      </c>
      <c r="I4799" t="s">
        <v>32</v>
      </c>
      <c r="J4799" t="s">
        <v>33</v>
      </c>
      <c r="K4799">
        <v>1</v>
      </c>
      <c r="L4799" t="s">
        <v>34</v>
      </c>
      <c r="M4799" t="s">
        <v>24</v>
      </c>
      <c r="N4799" t="s">
        <v>23</v>
      </c>
      <c r="O4799">
        <v>0</v>
      </c>
      <c r="P4799" t="s">
        <v>25</v>
      </c>
      <c r="Q4799" t="s">
        <v>42</v>
      </c>
      <c r="R4799" s="1">
        <v>0.1</v>
      </c>
      <c r="S4799">
        <f t="shared" si="296"/>
        <v>0</v>
      </c>
      <c r="T4799">
        <f>IFERROR(VLOOKUP(A4799,Table1[[Customer ID]:[Discount Amount]], 6, FALSE),"Not Found")</f>
        <v>0</v>
      </c>
      <c r="U4799" t="str">
        <f t="shared" si="297"/>
        <v>Cash</v>
      </c>
      <c r="V4799" s="4" t="str">
        <f t="shared" si="298"/>
        <v>Normal</v>
      </c>
      <c r="W4799" s="4" t="str">
        <f t="shared" si="299"/>
        <v>Poor</v>
      </c>
      <c r="X4799" s="4">
        <f>AVERAGE(Table1[Purchase Amount])</f>
        <v>129.48419400000012</v>
      </c>
    </row>
    <row r="4800" spans="1:24" ht="15" customHeight="1" x14ac:dyDescent="0.25">
      <c r="A4800">
        <v>4898</v>
      </c>
      <c r="B4800">
        <v>61</v>
      </c>
      <c r="C4800" t="s">
        <v>16</v>
      </c>
      <c r="D4800" t="s">
        <v>38</v>
      </c>
      <c r="E4800" t="s">
        <v>18</v>
      </c>
      <c r="F4800" s="2">
        <v>0</v>
      </c>
      <c r="G4800" t="s">
        <v>139</v>
      </c>
      <c r="H4800" t="s">
        <v>55</v>
      </c>
      <c r="I4800" t="s">
        <v>46</v>
      </c>
      <c r="J4800" t="s">
        <v>33</v>
      </c>
      <c r="K4800">
        <v>1</v>
      </c>
      <c r="L4800" t="s">
        <v>23</v>
      </c>
      <c r="M4800" t="s">
        <v>61</v>
      </c>
      <c r="N4800" t="s">
        <v>23</v>
      </c>
      <c r="O4800">
        <v>0</v>
      </c>
      <c r="P4800" t="s">
        <v>25</v>
      </c>
      <c r="Q4800" t="s">
        <v>37</v>
      </c>
      <c r="R4800" s="1">
        <v>0.1</v>
      </c>
      <c r="S4800">
        <f t="shared" si="296"/>
        <v>0</v>
      </c>
      <c r="T4800">
        <f>IFERROR(VLOOKUP(A4800,Table1[[Customer ID]:[Discount Amount]], 6, FALSE),"Not Found")</f>
        <v>0</v>
      </c>
      <c r="U4800" t="str">
        <f t="shared" si="297"/>
        <v>Cash</v>
      </c>
      <c r="V4800" s="4" t="str">
        <f t="shared" si="298"/>
        <v>Normal</v>
      </c>
      <c r="W4800" s="4" t="str">
        <f t="shared" si="299"/>
        <v>Poor</v>
      </c>
      <c r="X4800" s="4">
        <f>AVERAGE(Table1[Purchase Amount])</f>
        <v>129.48419400000012</v>
      </c>
    </row>
    <row r="4801" spans="1:24" ht="15" customHeight="1" x14ac:dyDescent="0.25">
      <c r="A4801">
        <v>4899</v>
      </c>
      <c r="B4801">
        <v>60</v>
      </c>
      <c r="C4801" t="s">
        <v>16</v>
      </c>
      <c r="D4801" t="s">
        <v>117</v>
      </c>
      <c r="E4801" t="s">
        <v>29</v>
      </c>
      <c r="F4801" s="2">
        <v>0</v>
      </c>
      <c r="G4801" t="s">
        <v>73</v>
      </c>
      <c r="H4801" t="s">
        <v>55</v>
      </c>
      <c r="I4801" t="s">
        <v>46</v>
      </c>
      <c r="J4801" t="s">
        <v>75</v>
      </c>
      <c r="K4801">
        <v>2</v>
      </c>
      <c r="L4801" t="s">
        <v>23</v>
      </c>
      <c r="M4801" t="s">
        <v>61</v>
      </c>
      <c r="N4801" t="s">
        <v>23</v>
      </c>
      <c r="O4801">
        <v>0</v>
      </c>
      <c r="P4801" t="s">
        <v>53</v>
      </c>
      <c r="Q4801" t="s">
        <v>26</v>
      </c>
      <c r="R4801" s="1">
        <v>0.1</v>
      </c>
      <c r="S4801">
        <f t="shared" si="296"/>
        <v>0</v>
      </c>
      <c r="T4801">
        <f>IFERROR(VLOOKUP(A4801,Table1[[Customer ID]:[Discount Amount]], 6, FALSE),"Not Found")</f>
        <v>0</v>
      </c>
      <c r="U4801" t="str">
        <f t="shared" si="297"/>
        <v>Credit Card</v>
      </c>
      <c r="V4801" s="4" t="str">
        <f t="shared" si="298"/>
        <v>Normal</v>
      </c>
      <c r="W4801" s="4" t="str">
        <f t="shared" si="299"/>
        <v>Poor</v>
      </c>
      <c r="X4801" s="4">
        <f>AVERAGE(Table1[Purchase Amount])</f>
        <v>129.48419400000012</v>
      </c>
    </row>
    <row r="4802" spans="1:24" ht="15" customHeight="1" x14ac:dyDescent="0.25">
      <c r="A4802">
        <v>4900</v>
      </c>
      <c r="B4802">
        <v>41</v>
      </c>
      <c r="C4802" t="s">
        <v>27</v>
      </c>
      <c r="D4802" t="s">
        <v>95</v>
      </c>
      <c r="E4802" t="s">
        <v>18</v>
      </c>
      <c r="F4802" s="2">
        <v>510.59</v>
      </c>
      <c r="G4802" t="s">
        <v>101</v>
      </c>
      <c r="H4802" t="s">
        <v>45</v>
      </c>
      <c r="I4802" t="s">
        <v>32</v>
      </c>
      <c r="J4802" t="s">
        <v>75</v>
      </c>
      <c r="K4802">
        <v>1</v>
      </c>
      <c r="L4802" t="s">
        <v>23</v>
      </c>
      <c r="M4802" t="s">
        <v>24</v>
      </c>
      <c r="N4802" t="s">
        <v>23</v>
      </c>
      <c r="O4802">
        <v>36</v>
      </c>
      <c r="P4802" t="s">
        <v>53</v>
      </c>
      <c r="Q4802" t="s">
        <v>42</v>
      </c>
      <c r="R4802" s="1">
        <v>0.1</v>
      </c>
      <c r="S4802">
        <f t="shared" ref="S4802:S4865" si="300">F4802-(F4802*R4802)</f>
        <v>459.53099999999995</v>
      </c>
      <c r="T4802">
        <f>IFERROR(VLOOKUP(A4802,Table1[[Customer ID]:[Discount Amount]], 6, FALSE),"Not Found")</f>
        <v>510.59</v>
      </c>
      <c r="U4802" t="str">
        <f t="shared" ref="U4802:U4865" si="301">INDEX(P:P, MATCH(A4802, A:A, 0))</f>
        <v>Credit Card</v>
      </c>
      <c r="V4802" s="4" t="str">
        <f t="shared" ref="V4802:V4865" si="302">IF(AND(F4802&gt;1000,K4802&gt;=4),"Best Customer","Normal")</f>
        <v>Normal</v>
      </c>
      <c r="W4802" s="4" t="str">
        <f t="shared" ref="W4802:W4865" si="303">IF(K4802&gt;=3,"Good","Poor")</f>
        <v>Poor</v>
      </c>
      <c r="X4802" s="4">
        <f>AVERAGE(Table1[Purchase Amount])</f>
        <v>129.48419400000012</v>
      </c>
    </row>
    <row r="4803" spans="1:24" ht="15" customHeight="1" x14ac:dyDescent="0.25">
      <c r="A4803">
        <v>4901</v>
      </c>
      <c r="B4803">
        <v>61</v>
      </c>
      <c r="C4803" t="s">
        <v>27</v>
      </c>
      <c r="D4803" t="s">
        <v>38</v>
      </c>
      <c r="E4803" t="s">
        <v>29</v>
      </c>
      <c r="F4803" s="2">
        <v>0</v>
      </c>
      <c r="G4803" t="s">
        <v>126</v>
      </c>
      <c r="H4803" t="s">
        <v>31</v>
      </c>
      <c r="I4803" t="s">
        <v>32</v>
      </c>
      <c r="J4803" t="s">
        <v>75</v>
      </c>
      <c r="K4803">
        <v>4</v>
      </c>
      <c r="L4803" t="s">
        <v>23</v>
      </c>
      <c r="M4803" t="s">
        <v>24</v>
      </c>
      <c r="N4803" t="s">
        <v>34</v>
      </c>
      <c r="O4803">
        <v>2</v>
      </c>
      <c r="P4803" t="s">
        <v>58</v>
      </c>
      <c r="Q4803" t="s">
        <v>26</v>
      </c>
      <c r="R4803" s="1">
        <v>0.1</v>
      </c>
      <c r="S4803">
        <f t="shared" si="300"/>
        <v>0</v>
      </c>
      <c r="T4803">
        <f>IFERROR(VLOOKUP(A4803,Table1[[Customer ID]:[Discount Amount]], 6, FALSE),"Not Found")</f>
        <v>0</v>
      </c>
      <c r="U4803" t="str">
        <f t="shared" si="301"/>
        <v>PayPal</v>
      </c>
      <c r="V4803" s="4" t="str">
        <f t="shared" si="302"/>
        <v>Normal</v>
      </c>
      <c r="W4803" s="4" t="str">
        <f t="shared" si="303"/>
        <v>Good</v>
      </c>
      <c r="X4803" s="4">
        <f>AVERAGE(Table1[Purchase Amount])</f>
        <v>129.48419400000012</v>
      </c>
    </row>
    <row r="4804" spans="1:24" ht="15" customHeight="1" x14ac:dyDescent="0.25">
      <c r="A4804">
        <v>4902</v>
      </c>
      <c r="B4804">
        <v>29</v>
      </c>
      <c r="C4804" t="s">
        <v>71</v>
      </c>
      <c r="D4804" t="s">
        <v>112</v>
      </c>
      <c r="E4804" t="s">
        <v>18</v>
      </c>
      <c r="F4804" s="2">
        <v>398.16</v>
      </c>
      <c r="G4804" t="s">
        <v>101</v>
      </c>
      <c r="H4804" t="s">
        <v>20</v>
      </c>
      <c r="I4804" t="s">
        <v>46</v>
      </c>
      <c r="J4804" t="s">
        <v>33</v>
      </c>
      <c r="K4804">
        <v>1</v>
      </c>
      <c r="L4804" t="s">
        <v>34</v>
      </c>
      <c r="M4804" t="s">
        <v>24</v>
      </c>
      <c r="N4804" t="s">
        <v>34</v>
      </c>
      <c r="O4804">
        <v>0</v>
      </c>
      <c r="P4804" t="s">
        <v>53</v>
      </c>
      <c r="Q4804" t="s">
        <v>37</v>
      </c>
      <c r="R4804" s="1">
        <v>0.1</v>
      </c>
      <c r="S4804">
        <f t="shared" si="300"/>
        <v>358.34400000000005</v>
      </c>
      <c r="T4804">
        <f>IFERROR(VLOOKUP(A4804,Table1[[Customer ID]:[Discount Amount]], 6, FALSE),"Not Found")</f>
        <v>398.16</v>
      </c>
      <c r="U4804" t="str">
        <f t="shared" si="301"/>
        <v>Credit Card</v>
      </c>
      <c r="V4804" s="4" t="str">
        <f t="shared" si="302"/>
        <v>Normal</v>
      </c>
      <c r="W4804" s="4" t="str">
        <f t="shared" si="303"/>
        <v>Poor</v>
      </c>
      <c r="X4804" s="4">
        <f>AVERAGE(Table1[Purchase Amount])</f>
        <v>129.48419400000012</v>
      </c>
    </row>
    <row r="4805" spans="1:24" ht="15" customHeight="1" x14ac:dyDescent="0.25">
      <c r="A4805">
        <v>4903</v>
      </c>
      <c r="B4805">
        <v>59</v>
      </c>
      <c r="C4805" t="s">
        <v>27</v>
      </c>
      <c r="D4805" t="s">
        <v>95</v>
      </c>
      <c r="E4805" t="s">
        <v>81</v>
      </c>
      <c r="F4805" s="2">
        <v>624.48</v>
      </c>
      <c r="G4805" t="s">
        <v>126</v>
      </c>
      <c r="H4805" t="s">
        <v>31</v>
      </c>
      <c r="I4805" t="s">
        <v>93</v>
      </c>
      <c r="J4805" t="s">
        <v>57</v>
      </c>
      <c r="K4805">
        <v>5</v>
      </c>
      <c r="L4805" t="s">
        <v>34</v>
      </c>
      <c r="M4805" t="s">
        <v>24</v>
      </c>
      <c r="N4805" t="s">
        <v>23</v>
      </c>
      <c r="O4805">
        <v>26</v>
      </c>
      <c r="P4805" t="s">
        <v>36</v>
      </c>
      <c r="Q4805" t="s">
        <v>37</v>
      </c>
      <c r="R4805" s="1">
        <v>0.1</v>
      </c>
      <c r="S4805">
        <f t="shared" si="300"/>
        <v>562.03200000000004</v>
      </c>
      <c r="T4805">
        <f>IFERROR(VLOOKUP(A4805,Table1[[Customer ID]:[Discount Amount]], 6, FALSE),"Not Found")</f>
        <v>624.48</v>
      </c>
      <c r="U4805" t="str">
        <f t="shared" si="301"/>
        <v>Debit Card</v>
      </c>
      <c r="V4805" s="4" t="str">
        <f t="shared" si="302"/>
        <v>Normal</v>
      </c>
      <c r="W4805" s="4" t="str">
        <f t="shared" si="303"/>
        <v>Good</v>
      </c>
      <c r="X4805" s="4">
        <f>AVERAGE(Table1[Purchase Amount])</f>
        <v>129.48419400000012</v>
      </c>
    </row>
    <row r="4806" spans="1:24" ht="15" customHeight="1" x14ac:dyDescent="0.25">
      <c r="A4806">
        <v>4904</v>
      </c>
      <c r="B4806">
        <v>20</v>
      </c>
      <c r="C4806" t="s">
        <v>16</v>
      </c>
      <c r="D4806" t="s">
        <v>116</v>
      </c>
      <c r="E4806" t="s">
        <v>18</v>
      </c>
      <c r="F4806" s="2">
        <v>0</v>
      </c>
      <c r="G4806" t="s">
        <v>101</v>
      </c>
      <c r="H4806" t="s">
        <v>20</v>
      </c>
      <c r="I4806" t="s">
        <v>40</v>
      </c>
      <c r="J4806" t="s">
        <v>57</v>
      </c>
      <c r="K4806">
        <v>3</v>
      </c>
      <c r="L4806" t="s">
        <v>23</v>
      </c>
      <c r="M4806" t="s">
        <v>24</v>
      </c>
      <c r="N4806" t="s">
        <v>23</v>
      </c>
      <c r="O4806">
        <v>29</v>
      </c>
      <c r="P4806" t="s">
        <v>58</v>
      </c>
      <c r="Q4806" t="s">
        <v>26</v>
      </c>
      <c r="R4806" s="1">
        <v>0.1</v>
      </c>
      <c r="S4806">
        <f t="shared" si="300"/>
        <v>0</v>
      </c>
      <c r="T4806">
        <f>IFERROR(VLOOKUP(A4806,Table1[[Customer ID]:[Discount Amount]], 6, FALSE),"Not Found")</f>
        <v>0</v>
      </c>
      <c r="U4806" t="str">
        <f t="shared" si="301"/>
        <v>PayPal</v>
      </c>
      <c r="V4806" s="4" t="str">
        <f t="shared" si="302"/>
        <v>Normal</v>
      </c>
      <c r="W4806" s="4" t="str">
        <f t="shared" si="303"/>
        <v>Good</v>
      </c>
      <c r="X4806" s="4">
        <f>AVERAGE(Table1[Purchase Amount])</f>
        <v>129.48419400000012</v>
      </c>
    </row>
    <row r="4807" spans="1:24" ht="15" customHeight="1" x14ac:dyDescent="0.25">
      <c r="A4807">
        <v>4905</v>
      </c>
      <c r="B4807">
        <v>41</v>
      </c>
      <c r="C4807" t="s">
        <v>16</v>
      </c>
      <c r="D4807" t="s">
        <v>112</v>
      </c>
      <c r="E4807" t="s">
        <v>29</v>
      </c>
      <c r="F4807" s="2">
        <v>0</v>
      </c>
      <c r="G4807" t="s">
        <v>82</v>
      </c>
      <c r="H4807" t="s">
        <v>31</v>
      </c>
      <c r="I4807" t="s">
        <v>32</v>
      </c>
      <c r="J4807" t="s">
        <v>33</v>
      </c>
      <c r="K4807">
        <v>1</v>
      </c>
      <c r="L4807" t="s">
        <v>23</v>
      </c>
      <c r="M4807" t="s">
        <v>24</v>
      </c>
      <c r="N4807" t="s">
        <v>34</v>
      </c>
      <c r="O4807">
        <v>0</v>
      </c>
      <c r="P4807" t="s">
        <v>58</v>
      </c>
      <c r="Q4807" t="s">
        <v>37</v>
      </c>
      <c r="R4807" s="1">
        <v>0.1</v>
      </c>
      <c r="S4807">
        <f t="shared" si="300"/>
        <v>0</v>
      </c>
      <c r="T4807">
        <f>IFERROR(VLOOKUP(A4807,Table1[[Customer ID]:[Discount Amount]], 6, FALSE),"Not Found")</f>
        <v>0</v>
      </c>
      <c r="U4807" t="str">
        <f t="shared" si="301"/>
        <v>PayPal</v>
      </c>
      <c r="V4807" s="4" t="str">
        <f t="shared" si="302"/>
        <v>Normal</v>
      </c>
      <c r="W4807" s="4" t="str">
        <f t="shared" si="303"/>
        <v>Poor</v>
      </c>
      <c r="X4807" s="4">
        <f>AVERAGE(Table1[Purchase Amount])</f>
        <v>129.48419400000012</v>
      </c>
    </row>
    <row r="4808" spans="1:24" ht="15" customHeight="1" x14ac:dyDescent="0.25">
      <c r="A4808">
        <v>4906</v>
      </c>
      <c r="B4808">
        <v>27</v>
      </c>
      <c r="C4808" t="s">
        <v>27</v>
      </c>
      <c r="D4808" t="s">
        <v>80</v>
      </c>
      <c r="E4808" t="s">
        <v>18</v>
      </c>
      <c r="F4808" s="2">
        <v>1428.07</v>
      </c>
      <c r="G4808" t="s">
        <v>126</v>
      </c>
      <c r="H4808" t="s">
        <v>45</v>
      </c>
      <c r="I4808" t="s">
        <v>32</v>
      </c>
      <c r="J4808" t="s">
        <v>22</v>
      </c>
      <c r="K4808">
        <v>1</v>
      </c>
      <c r="L4808" t="s">
        <v>23</v>
      </c>
      <c r="M4808" t="s">
        <v>24</v>
      </c>
      <c r="N4808" t="s">
        <v>34</v>
      </c>
      <c r="O4808">
        <v>0</v>
      </c>
      <c r="P4808" t="s">
        <v>25</v>
      </c>
      <c r="Q4808" t="s">
        <v>42</v>
      </c>
      <c r="R4808" s="1">
        <v>0.1</v>
      </c>
      <c r="S4808">
        <f t="shared" si="300"/>
        <v>1285.2629999999999</v>
      </c>
      <c r="T4808">
        <f>IFERROR(VLOOKUP(A4808,Table1[[Customer ID]:[Discount Amount]], 6, FALSE),"Not Found")</f>
        <v>1428.07</v>
      </c>
      <c r="U4808" t="str">
        <f t="shared" si="301"/>
        <v>Cash</v>
      </c>
      <c r="V4808" s="4" t="str">
        <f t="shared" si="302"/>
        <v>Normal</v>
      </c>
      <c r="W4808" s="4" t="str">
        <f t="shared" si="303"/>
        <v>Poor</v>
      </c>
      <c r="X4808" s="4">
        <f>AVERAGE(Table1[Purchase Amount])</f>
        <v>129.48419400000012</v>
      </c>
    </row>
    <row r="4809" spans="1:24" ht="15" customHeight="1" x14ac:dyDescent="0.25">
      <c r="A4809">
        <v>4907</v>
      </c>
      <c r="B4809">
        <v>67</v>
      </c>
      <c r="C4809" t="s">
        <v>16</v>
      </c>
      <c r="D4809" t="s">
        <v>80</v>
      </c>
      <c r="E4809" t="s">
        <v>29</v>
      </c>
      <c r="F4809" s="2">
        <v>1258.57</v>
      </c>
      <c r="G4809" t="s">
        <v>139</v>
      </c>
      <c r="H4809" t="s">
        <v>45</v>
      </c>
      <c r="I4809" t="s">
        <v>32</v>
      </c>
      <c r="J4809" t="s">
        <v>22</v>
      </c>
      <c r="K4809">
        <v>4</v>
      </c>
      <c r="L4809" t="s">
        <v>23</v>
      </c>
      <c r="M4809" t="s">
        <v>61</v>
      </c>
      <c r="N4809" t="s">
        <v>23</v>
      </c>
      <c r="O4809">
        <v>0</v>
      </c>
      <c r="P4809" t="s">
        <v>53</v>
      </c>
      <c r="Q4809" t="s">
        <v>37</v>
      </c>
      <c r="R4809" s="1">
        <v>0.1</v>
      </c>
      <c r="S4809">
        <f t="shared" si="300"/>
        <v>1132.713</v>
      </c>
      <c r="T4809">
        <f>IFERROR(VLOOKUP(A4809,Table1[[Customer ID]:[Discount Amount]], 6, FALSE),"Not Found")</f>
        <v>1258.57</v>
      </c>
      <c r="U4809" t="str">
        <f t="shared" si="301"/>
        <v>Credit Card</v>
      </c>
      <c r="V4809" s="4" t="str">
        <f t="shared" si="302"/>
        <v>Best Customer</v>
      </c>
      <c r="W4809" s="4" t="str">
        <f t="shared" si="303"/>
        <v>Good</v>
      </c>
      <c r="X4809" s="4">
        <f>AVERAGE(Table1[Purchase Amount])</f>
        <v>129.48419400000012</v>
      </c>
    </row>
    <row r="4810" spans="1:24" ht="15" customHeight="1" x14ac:dyDescent="0.25">
      <c r="A4810">
        <v>4908</v>
      </c>
      <c r="B4810">
        <v>21</v>
      </c>
      <c r="C4810" t="s">
        <v>71</v>
      </c>
      <c r="D4810" t="s">
        <v>38</v>
      </c>
      <c r="E4810" t="s">
        <v>18</v>
      </c>
      <c r="F4810" s="2">
        <v>954.21</v>
      </c>
      <c r="G4810" t="s">
        <v>101</v>
      </c>
      <c r="H4810" t="s">
        <v>55</v>
      </c>
      <c r="I4810" t="s">
        <v>93</v>
      </c>
      <c r="J4810" t="s">
        <v>22</v>
      </c>
      <c r="K4810">
        <v>1</v>
      </c>
      <c r="L4810" t="s">
        <v>23</v>
      </c>
      <c r="M4810" t="s">
        <v>24</v>
      </c>
      <c r="N4810" t="s">
        <v>34</v>
      </c>
      <c r="O4810">
        <v>0</v>
      </c>
      <c r="P4810" t="s">
        <v>53</v>
      </c>
      <c r="Q4810" t="s">
        <v>26</v>
      </c>
      <c r="R4810" s="1">
        <v>0.1</v>
      </c>
      <c r="S4810">
        <f t="shared" si="300"/>
        <v>858.78899999999999</v>
      </c>
      <c r="T4810">
        <f>IFERROR(VLOOKUP(A4810,Table1[[Customer ID]:[Discount Amount]], 6, FALSE),"Not Found")</f>
        <v>954.21</v>
      </c>
      <c r="U4810" t="str">
        <f t="shared" si="301"/>
        <v>Credit Card</v>
      </c>
      <c r="V4810" s="4" t="str">
        <f t="shared" si="302"/>
        <v>Normal</v>
      </c>
      <c r="W4810" s="4" t="str">
        <f t="shared" si="303"/>
        <v>Poor</v>
      </c>
      <c r="X4810" s="4">
        <f>AVERAGE(Table1[Purchase Amount])</f>
        <v>129.48419400000012</v>
      </c>
    </row>
    <row r="4811" spans="1:24" ht="15" customHeight="1" x14ac:dyDescent="0.25">
      <c r="A4811">
        <v>4909</v>
      </c>
      <c r="B4811">
        <v>59</v>
      </c>
      <c r="C4811" t="s">
        <v>16</v>
      </c>
      <c r="D4811" t="s">
        <v>112</v>
      </c>
      <c r="E4811" t="s">
        <v>81</v>
      </c>
      <c r="F4811" s="2">
        <v>0</v>
      </c>
      <c r="G4811" t="s">
        <v>101</v>
      </c>
      <c r="H4811" t="s">
        <v>31</v>
      </c>
      <c r="I4811" t="s">
        <v>46</v>
      </c>
      <c r="J4811" t="s">
        <v>33</v>
      </c>
      <c r="K4811">
        <v>2</v>
      </c>
      <c r="L4811" t="s">
        <v>34</v>
      </c>
      <c r="M4811" t="s">
        <v>24</v>
      </c>
      <c r="N4811" t="s">
        <v>34</v>
      </c>
      <c r="O4811">
        <v>40</v>
      </c>
      <c r="P4811" t="s">
        <v>25</v>
      </c>
      <c r="Q4811" t="s">
        <v>42</v>
      </c>
      <c r="R4811" s="1">
        <v>0.1</v>
      </c>
      <c r="S4811">
        <f t="shared" si="300"/>
        <v>0</v>
      </c>
      <c r="T4811">
        <f>IFERROR(VLOOKUP(A4811,Table1[[Customer ID]:[Discount Amount]], 6, FALSE),"Not Found")</f>
        <v>0</v>
      </c>
      <c r="U4811" t="str">
        <f t="shared" si="301"/>
        <v>Cash</v>
      </c>
      <c r="V4811" s="4" t="str">
        <f t="shared" si="302"/>
        <v>Normal</v>
      </c>
      <c r="W4811" s="4" t="str">
        <f t="shared" si="303"/>
        <v>Poor</v>
      </c>
      <c r="X4811" s="4">
        <f>AVERAGE(Table1[Purchase Amount])</f>
        <v>129.48419400000012</v>
      </c>
    </row>
    <row r="4812" spans="1:24" ht="15" customHeight="1" x14ac:dyDescent="0.25">
      <c r="A4812">
        <v>4910</v>
      </c>
      <c r="B4812">
        <v>59</v>
      </c>
      <c r="C4812" t="s">
        <v>71</v>
      </c>
      <c r="D4812" t="s">
        <v>80</v>
      </c>
      <c r="E4812" t="s">
        <v>29</v>
      </c>
      <c r="F4812" s="2">
        <v>0</v>
      </c>
      <c r="G4812" t="s">
        <v>126</v>
      </c>
      <c r="H4812" t="s">
        <v>31</v>
      </c>
      <c r="I4812" t="s">
        <v>74</v>
      </c>
      <c r="J4812" t="s">
        <v>22</v>
      </c>
      <c r="K4812">
        <v>1</v>
      </c>
      <c r="L4812" t="s">
        <v>23</v>
      </c>
      <c r="M4812" t="s">
        <v>24</v>
      </c>
      <c r="N4812" t="s">
        <v>23</v>
      </c>
      <c r="O4812">
        <v>0</v>
      </c>
      <c r="P4812" t="s">
        <v>53</v>
      </c>
      <c r="Q4812" t="s">
        <v>42</v>
      </c>
      <c r="R4812" s="1">
        <v>0.1</v>
      </c>
      <c r="S4812">
        <f t="shared" si="300"/>
        <v>0</v>
      </c>
      <c r="T4812">
        <f>IFERROR(VLOOKUP(A4812,Table1[[Customer ID]:[Discount Amount]], 6, FALSE),"Not Found")</f>
        <v>0</v>
      </c>
      <c r="U4812" t="str">
        <f t="shared" si="301"/>
        <v>Credit Card</v>
      </c>
      <c r="V4812" s="4" t="str">
        <f t="shared" si="302"/>
        <v>Normal</v>
      </c>
      <c r="W4812" s="4" t="str">
        <f t="shared" si="303"/>
        <v>Poor</v>
      </c>
      <c r="X4812" s="4">
        <f>AVERAGE(Table1[Purchase Amount])</f>
        <v>129.48419400000012</v>
      </c>
    </row>
    <row r="4813" spans="1:24" ht="15" customHeight="1" x14ac:dyDescent="0.25">
      <c r="A4813">
        <v>4911</v>
      </c>
      <c r="B4813">
        <v>48</v>
      </c>
      <c r="C4813" t="s">
        <v>16</v>
      </c>
      <c r="D4813" t="s">
        <v>95</v>
      </c>
      <c r="E4813" t="s">
        <v>18</v>
      </c>
      <c r="F4813" s="2">
        <v>1171.81</v>
      </c>
      <c r="G4813" t="s">
        <v>126</v>
      </c>
      <c r="H4813" t="s">
        <v>55</v>
      </c>
      <c r="I4813" t="s">
        <v>32</v>
      </c>
      <c r="J4813" t="s">
        <v>33</v>
      </c>
      <c r="K4813">
        <v>1</v>
      </c>
      <c r="L4813" t="s">
        <v>34</v>
      </c>
      <c r="M4813" t="s">
        <v>61</v>
      </c>
      <c r="N4813" t="s">
        <v>34</v>
      </c>
      <c r="O4813">
        <v>12</v>
      </c>
      <c r="P4813" t="s">
        <v>25</v>
      </c>
      <c r="Q4813" t="s">
        <v>37</v>
      </c>
      <c r="R4813" s="1">
        <v>0.1</v>
      </c>
      <c r="S4813">
        <f t="shared" si="300"/>
        <v>1054.6289999999999</v>
      </c>
      <c r="T4813">
        <f>IFERROR(VLOOKUP(A4813,Table1[[Customer ID]:[Discount Amount]], 6, FALSE),"Not Found")</f>
        <v>1171.81</v>
      </c>
      <c r="U4813" t="str">
        <f t="shared" si="301"/>
        <v>Cash</v>
      </c>
      <c r="V4813" s="4" t="str">
        <f t="shared" si="302"/>
        <v>Normal</v>
      </c>
      <c r="W4813" s="4" t="str">
        <f t="shared" si="303"/>
        <v>Poor</v>
      </c>
      <c r="X4813" s="4">
        <f>AVERAGE(Table1[Purchase Amount])</f>
        <v>129.48419400000012</v>
      </c>
    </row>
    <row r="4814" spans="1:24" ht="15" customHeight="1" x14ac:dyDescent="0.25">
      <c r="A4814">
        <v>4912</v>
      </c>
      <c r="B4814">
        <v>60</v>
      </c>
      <c r="C4814" t="s">
        <v>27</v>
      </c>
      <c r="D4814" t="s">
        <v>95</v>
      </c>
      <c r="E4814" t="s">
        <v>18</v>
      </c>
      <c r="F4814" s="2">
        <v>948.69</v>
      </c>
      <c r="G4814" t="s">
        <v>73</v>
      </c>
      <c r="H4814" t="s">
        <v>55</v>
      </c>
      <c r="I4814" t="s">
        <v>40</v>
      </c>
      <c r="J4814" t="s">
        <v>75</v>
      </c>
      <c r="K4814">
        <v>1</v>
      </c>
      <c r="L4814" t="s">
        <v>34</v>
      </c>
      <c r="M4814" t="s">
        <v>61</v>
      </c>
      <c r="N4814" t="s">
        <v>23</v>
      </c>
      <c r="O4814">
        <v>23</v>
      </c>
      <c r="P4814" t="s">
        <v>36</v>
      </c>
      <c r="Q4814" t="s">
        <v>26</v>
      </c>
      <c r="R4814" s="1">
        <v>0.1</v>
      </c>
      <c r="S4814">
        <f t="shared" si="300"/>
        <v>853.82100000000003</v>
      </c>
      <c r="T4814">
        <f>IFERROR(VLOOKUP(A4814,Table1[[Customer ID]:[Discount Amount]], 6, FALSE),"Not Found")</f>
        <v>948.69</v>
      </c>
      <c r="U4814" t="str">
        <f t="shared" si="301"/>
        <v>Debit Card</v>
      </c>
      <c r="V4814" s="4" t="str">
        <f t="shared" si="302"/>
        <v>Normal</v>
      </c>
      <c r="W4814" s="4" t="str">
        <f t="shared" si="303"/>
        <v>Poor</v>
      </c>
      <c r="X4814" s="4">
        <f>AVERAGE(Table1[Purchase Amount])</f>
        <v>129.48419400000012</v>
      </c>
    </row>
    <row r="4815" spans="1:24" ht="15" customHeight="1" x14ac:dyDescent="0.25">
      <c r="A4815">
        <v>4913</v>
      </c>
      <c r="B4815">
        <v>67</v>
      </c>
      <c r="C4815" t="s">
        <v>71</v>
      </c>
      <c r="D4815" t="s">
        <v>116</v>
      </c>
      <c r="E4815" t="s">
        <v>81</v>
      </c>
      <c r="F4815" s="2">
        <v>0</v>
      </c>
      <c r="G4815" t="s">
        <v>73</v>
      </c>
      <c r="H4815" t="s">
        <v>31</v>
      </c>
      <c r="I4815" t="s">
        <v>40</v>
      </c>
      <c r="J4815" t="s">
        <v>33</v>
      </c>
      <c r="K4815">
        <v>1</v>
      </c>
      <c r="L4815" t="s">
        <v>34</v>
      </c>
      <c r="M4815" t="s">
        <v>24</v>
      </c>
      <c r="N4815" t="s">
        <v>23</v>
      </c>
      <c r="O4815">
        <v>35</v>
      </c>
      <c r="P4815" t="s">
        <v>58</v>
      </c>
      <c r="Q4815" t="s">
        <v>42</v>
      </c>
      <c r="R4815" s="1">
        <v>0.1</v>
      </c>
      <c r="S4815">
        <f t="shared" si="300"/>
        <v>0</v>
      </c>
      <c r="T4815">
        <f>IFERROR(VLOOKUP(A4815,Table1[[Customer ID]:[Discount Amount]], 6, FALSE),"Not Found")</f>
        <v>0</v>
      </c>
      <c r="U4815" t="str">
        <f t="shared" si="301"/>
        <v>PayPal</v>
      </c>
      <c r="V4815" s="4" t="str">
        <f t="shared" si="302"/>
        <v>Normal</v>
      </c>
      <c r="W4815" s="4" t="str">
        <f t="shared" si="303"/>
        <v>Poor</v>
      </c>
      <c r="X4815" s="4">
        <f>AVERAGE(Table1[Purchase Amount])</f>
        <v>129.48419400000012</v>
      </c>
    </row>
    <row r="4816" spans="1:24" ht="15" customHeight="1" x14ac:dyDescent="0.25">
      <c r="A4816">
        <v>4914</v>
      </c>
      <c r="B4816">
        <v>44</v>
      </c>
      <c r="C4816" t="s">
        <v>16</v>
      </c>
      <c r="D4816" t="s">
        <v>117</v>
      </c>
      <c r="E4816" t="s">
        <v>81</v>
      </c>
      <c r="F4816" s="2">
        <v>0</v>
      </c>
      <c r="G4816" t="s">
        <v>126</v>
      </c>
      <c r="H4816" t="s">
        <v>31</v>
      </c>
      <c r="I4816" t="s">
        <v>32</v>
      </c>
      <c r="J4816" t="s">
        <v>75</v>
      </c>
      <c r="K4816">
        <v>3</v>
      </c>
      <c r="L4816" t="s">
        <v>23</v>
      </c>
      <c r="M4816" t="s">
        <v>24</v>
      </c>
      <c r="N4816" t="s">
        <v>34</v>
      </c>
      <c r="O4816">
        <v>0</v>
      </c>
      <c r="P4816" t="s">
        <v>36</v>
      </c>
      <c r="Q4816" t="s">
        <v>26</v>
      </c>
      <c r="R4816" s="1">
        <v>0.1</v>
      </c>
      <c r="S4816">
        <f t="shared" si="300"/>
        <v>0</v>
      </c>
      <c r="T4816">
        <f>IFERROR(VLOOKUP(A4816,Table1[[Customer ID]:[Discount Amount]], 6, FALSE),"Not Found")</f>
        <v>0</v>
      </c>
      <c r="U4816" t="str">
        <f t="shared" si="301"/>
        <v>Debit Card</v>
      </c>
      <c r="V4816" s="4" t="str">
        <f t="shared" si="302"/>
        <v>Normal</v>
      </c>
      <c r="W4816" s="4" t="str">
        <f t="shared" si="303"/>
        <v>Good</v>
      </c>
      <c r="X4816" s="4">
        <f>AVERAGE(Table1[Purchase Amount])</f>
        <v>129.48419400000012</v>
      </c>
    </row>
    <row r="4817" spans="1:24" ht="15" customHeight="1" x14ac:dyDescent="0.25">
      <c r="A4817">
        <v>4915</v>
      </c>
      <c r="B4817">
        <v>50</v>
      </c>
      <c r="C4817" t="s">
        <v>71</v>
      </c>
      <c r="D4817" t="s">
        <v>38</v>
      </c>
      <c r="E4817" t="s">
        <v>29</v>
      </c>
      <c r="F4817" s="2">
        <v>395.93</v>
      </c>
      <c r="G4817" t="s">
        <v>73</v>
      </c>
      <c r="H4817" t="s">
        <v>55</v>
      </c>
      <c r="I4817" t="s">
        <v>74</v>
      </c>
      <c r="J4817" t="s">
        <v>33</v>
      </c>
      <c r="K4817">
        <v>1</v>
      </c>
      <c r="L4817" t="s">
        <v>23</v>
      </c>
      <c r="M4817" t="s">
        <v>61</v>
      </c>
      <c r="N4817" t="s">
        <v>23</v>
      </c>
      <c r="O4817">
        <v>37</v>
      </c>
      <c r="P4817" t="s">
        <v>53</v>
      </c>
      <c r="Q4817" t="s">
        <v>37</v>
      </c>
      <c r="R4817" s="1">
        <v>0.1</v>
      </c>
      <c r="S4817">
        <f t="shared" si="300"/>
        <v>356.33699999999999</v>
      </c>
      <c r="T4817">
        <f>IFERROR(VLOOKUP(A4817,Table1[[Customer ID]:[Discount Amount]], 6, FALSE),"Not Found")</f>
        <v>395.93</v>
      </c>
      <c r="U4817" t="str">
        <f t="shared" si="301"/>
        <v>Credit Card</v>
      </c>
      <c r="V4817" s="4" t="str">
        <f t="shared" si="302"/>
        <v>Normal</v>
      </c>
      <c r="W4817" s="4" t="str">
        <f t="shared" si="303"/>
        <v>Poor</v>
      </c>
      <c r="X4817" s="4">
        <f>AVERAGE(Table1[Purchase Amount])</f>
        <v>129.48419400000012</v>
      </c>
    </row>
    <row r="4818" spans="1:24" ht="15" customHeight="1" x14ac:dyDescent="0.25">
      <c r="A4818">
        <v>4916</v>
      </c>
      <c r="B4818">
        <v>33</v>
      </c>
      <c r="C4818" t="s">
        <v>71</v>
      </c>
      <c r="D4818" t="s">
        <v>38</v>
      </c>
      <c r="E4818" t="s">
        <v>81</v>
      </c>
      <c r="F4818" s="2">
        <v>1185.76</v>
      </c>
      <c r="G4818" t="s">
        <v>73</v>
      </c>
      <c r="H4818" t="s">
        <v>31</v>
      </c>
      <c r="I4818" t="s">
        <v>74</v>
      </c>
      <c r="J4818" t="s">
        <v>75</v>
      </c>
      <c r="K4818">
        <v>2</v>
      </c>
      <c r="L4818" t="s">
        <v>23</v>
      </c>
      <c r="M4818" t="s">
        <v>61</v>
      </c>
      <c r="N4818" t="s">
        <v>23</v>
      </c>
      <c r="O4818">
        <v>18</v>
      </c>
      <c r="P4818" t="s">
        <v>58</v>
      </c>
      <c r="Q4818" t="s">
        <v>26</v>
      </c>
      <c r="R4818" s="1">
        <v>0.1</v>
      </c>
      <c r="S4818">
        <f t="shared" si="300"/>
        <v>1067.184</v>
      </c>
      <c r="T4818">
        <f>IFERROR(VLOOKUP(A4818,Table1[[Customer ID]:[Discount Amount]], 6, FALSE),"Not Found")</f>
        <v>1185.76</v>
      </c>
      <c r="U4818" t="str">
        <f t="shared" si="301"/>
        <v>PayPal</v>
      </c>
      <c r="V4818" s="4" t="str">
        <f t="shared" si="302"/>
        <v>Normal</v>
      </c>
      <c r="W4818" s="4" t="str">
        <f t="shared" si="303"/>
        <v>Poor</v>
      </c>
      <c r="X4818" s="4">
        <f>AVERAGE(Table1[Purchase Amount])</f>
        <v>129.48419400000012</v>
      </c>
    </row>
    <row r="4819" spans="1:24" ht="15" customHeight="1" x14ac:dyDescent="0.25">
      <c r="A4819">
        <v>4917</v>
      </c>
      <c r="B4819">
        <v>58</v>
      </c>
      <c r="C4819" t="s">
        <v>16</v>
      </c>
      <c r="D4819" t="s">
        <v>112</v>
      </c>
      <c r="E4819" t="s">
        <v>18</v>
      </c>
      <c r="F4819" s="2">
        <v>120.83</v>
      </c>
      <c r="G4819" t="s">
        <v>126</v>
      </c>
      <c r="H4819" t="s">
        <v>45</v>
      </c>
      <c r="I4819" t="s">
        <v>40</v>
      </c>
      <c r="J4819" t="s">
        <v>75</v>
      </c>
      <c r="K4819">
        <v>3</v>
      </c>
      <c r="L4819" t="s">
        <v>34</v>
      </c>
      <c r="M4819" t="s">
        <v>61</v>
      </c>
      <c r="N4819" t="s">
        <v>23</v>
      </c>
      <c r="O4819">
        <v>3</v>
      </c>
      <c r="P4819" t="s">
        <v>36</v>
      </c>
      <c r="Q4819" t="s">
        <v>26</v>
      </c>
      <c r="R4819" s="1">
        <v>0.1</v>
      </c>
      <c r="S4819">
        <f t="shared" si="300"/>
        <v>108.747</v>
      </c>
      <c r="T4819">
        <f>IFERROR(VLOOKUP(A4819,Table1[[Customer ID]:[Discount Amount]], 6, FALSE),"Not Found")</f>
        <v>120.83</v>
      </c>
      <c r="U4819" t="str">
        <f t="shared" si="301"/>
        <v>Debit Card</v>
      </c>
      <c r="V4819" s="4" t="str">
        <f t="shared" si="302"/>
        <v>Normal</v>
      </c>
      <c r="W4819" s="4" t="str">
        <f t="shared" si="303"/>
        <v>Good</v>
      </c>
      <c r="X4819" s="4">
        <f>AVERAGE(Table1[Purchase Amount])</f>
        <v>129.48419400000012</v>
      </c>
    </row>
    <row r="4820" spans="1:24" ht="15" customHeight="1" x14ac:dyDescent="0.25">
      <c r="A4820">
        <v>4918</v>
      </c>
      <c r="B4820">
        <v>42</v>
      </c>
      <c r="C4820" t="s">
        <v>16</v>
      </c>
      <c r="D4820" t="s">
        <v>95</v>
      </c>
      <c r="E4820" t="s">
        <v>29</v>
      </c>
      <c r="F4820" s="2">
        <v>1326.78</v>
      </c>
      <c r="G4820" t="s">
        <v>101</v>
      </c>
      <c r="H4820" t="s">
        <v>55</v>
      </c>
      <c r="I4820" t="s">
        <v>40</v>
      </c>
      <c r="J4820" t="s">
        <v>75</v>
      </c>
      <c r="K4820">
        <v>5</v>
      </c>
      <c r="L4820" t="s">
        <v>34</v>
      </c>
      <c r="M4820" t="s">
        <v>61</v>
      </c>
      <c r="N4820" t="s">
        <v>23</v>
      </c>
      <c r="O4820">
        <v>38</v>
      </c>
      <c r="P4820" t="s">
        <v>25</v>
      </c>
      <c r="Q4820" t="s">
        <v>42</v>
      </c>
      <c r="R4820" s="1">
        <v>0.1</v>
      </c>
      <c r="S4820">
        <f t="shared" si="300"/>
        <v>1194.1019999999999</v>
      </c>
      <c r="T4820">
        <f>IFERROR(VLOOKUP(A4820,Table1[[Customer ID]:[Discount Amount]], 6, FALSE),"Not Found")</f>
        <v>1326.78</v>
      </c>
      <c r="U4820" t="str">
        <f t="shared" si="301"/>
        <v>Cash</v>
      </c>
      <c r="V4820" s="4" t="str">
        <f t="shared" si="302"/>
        <v>Best Customer</v>
      </c>
      <c r="W4820" s="4" t="str">
        <f t="shared" si="303"/>
        <v>Good</v>
      </c>
      <c r="X4820" s="4">
        <f>AVERAGE(Table1[Purchase Amount])</f>
        <v>129.48419400000012</v>
      </c>
    </row>
    <row r="4821" spans="1:24" ht="15" customHeight="1" x14ac:dyDescent="0.25">
      <c r="A4821">
        <v>4919</v>
      </c>
      <c r="B4821">
        <v>25</v>
      </c>
      <c r="C4821" t="s">
        <v>71</v>
      </c>
      <c r="D4821" t="s">
        <v>112</v>
      </c>
      <c r="E4821" t="s">
        <v>18</v>
      </c>
      <c r="F4821" s="2">
        <v>143.21</v>
      </c>
      <c r="G4821" t="s">
        <v>82</v>
      </c>
      <c r="H4821" t="s">
        <v>55</v>
      </c>
      <c r="I4821" t="s">
        <v>40</v>
      </c>
      <c r="J4821" t="s">
        <v>57</v>
      </c>
      <c r="K4821">
        <v>1</v>
      </c>
      <c r="L4821" t="s">
        <v>23</v>
      </c>
      <c r="M4821" t="s">
        <v>61</v>
      </c>
      <c r="N4821" t="s">
        <v>23</v>
      </c>
      <c r="O4821">
        <v>0</v>
      </c>
      <c r="P4821" t="s">
        <v>53</v>
      </c>
      <c r="Q4821" t="s">
        <v>42</v>
      </c>
      <c r="R4821" s="1">
        <v>0.1</v>
      </c>
      <c r="S4821">
        <f t="shared" si="300"/>
        <v>128.88900000000001</v>
      </c>
      <c r="T4821">
        <f>IFERROR(VLOOKUP(A4821,Table1[[Customer ID]:[Discount Amount]], 6, FALSE),"Not Found")</f>
        <v>143.21</v>
      </c>
      <c r="U4821" t="str">
        <f t="shared" si="301"/>
        <v>Credit Card</v>
      </c>
      <c r="V4821" s="4" t="str">
        <f t="shared" si="302"/>
        <v>Normal</v>
      </c>
      <c r="W4821" s="4" t="str">
        <f t="shared" si="303"/>
        <v>Poor</v>
      </c>
      <c r="X4821" s="4">
        <f>AVERAGE(Table1[Purchase Amount])</f>
        <v>129.48419400000012</v>
      </c>
    </row>
    <row r="4822" spans="1:24" ht="15" customHeight="1" x14ac:dyDescent="0.25">
      <c r="A4822">
        <v>4920</v>
      </c>
      <c r="B4822">
        <v>32</v>
      </c>
      <c r="C4822" t="s">
        <v>27</v>
      </c>
      <c r="D4822" t="s">
        <v>80</v>
      </c>
      <c r="E4822" t="s">
        <v>18</v>
      </c>
      <c r="F4822" s="2">
        <v>0</v>
      </c>
      <c r="G4822" t="s">
        <v>126</v>
      </c>
      <c r="H4822" t="s">
        <v>20</v>
      </c>
      <c r="I4822" t="s">
        <v>40</v>
      </c>
      <c r="J4822" t="s">
        <v>75</v>
      </c>
      <c r="K4822">
        <v>5</v>
      </c>
      <c r="L4822" t="s">
        <v>34</v>
      </c>
      <c r="M4822" t="s">
        <v>61</v>
      </c>
      <c r="N4822" t="s">
        <v>34</v>
      </c>
      <c r="O4822">
        <v>41</v>
      </c>
      <c r="P4822" t="s">
        <v>58</v>
      </c>
      <c r="Q4822" t="s">
        <v>26</v>
      </c>
      <c r="R4822" s="1">
        <v>0.1</v>
      </c>
      <c r="S4822">
        <f t="shared" si="300"/>
        <v>0</v>
      </c>
      <c r="T4822">
        <f>IFERROR(VLOOKUP(A4822,Table1[[Customer ID]:[Discount Amount]], 6, FALSE),"Not Found")</f>
        <v>0</v>
      </c>
      <c r="U4822" t="str">
        <f t="shared" si="301"/>
        <v>PayPal</v>
      </c>
      <c r="V4822" s="4" t="str">
        <f t="shared" si="302"/>
        <v>Normal</v>
      </c>
      <c r="W4822" s="4" t="str">
        <f t="shared" si="303"/>
        <v>Good</v>
      </c>
      <c r="X4822" s="4">
        <f>AVERAGE(Table1[Purchase Amount])</f>
        <v>129.48419400000012</v>
      </c>
    </row>
    <row r="4823" spans="1:24" ht="15" customHeight="1" x14ac:dyDescent="0.25">
      <c r="A4823">
        <v>4921</v>
      </c>
      <c r="B4823">
        <v>26</v>
      </c>
      <c r="C4823" t="s">
        <v>27</v>
      </c>
      <c r="D4823" t="s">
        <v>112</v>
      </c>
      <c r="E4823" t="s">
        <v>18</v>
      </c>
      <c r="F4823" s="2">
        <v>1072.05</v>
      </c>
      <c r="G4823" t="s">
        <v>82</v>
      </c>
      <c r="H4823" t="s">
        <v>31</v>
      </c>
      <c r="I4823" t="s">
        <v>32</v>
      </c>
      <c r="J4823" t="s">
        <v>22</v>
      </c>
      <c r="K4823">
        <v>1</v>
      </c>
      <c r="L4823" t="s">
        <v>34</v>
      </c>
      <c r="M4823" t="s">
        <v>24</v>
      </c>
      <c r="N4823" t="s">
        <v>23</v>
      </c>
      <c r="O4823">
        <v>0</v>
      </c>
      <c r="P4823" t="s">
        <v>58</v>
      </c>
      <c r="Q4823" t="s">
        <v>42</v>
      </c>
      <c r="R4823" s="1">
        <v>0.1</v>
      </c>
      <c r="S4823">
        <f t="shared" si="300"/>
        <v>964.84499999999991</v>
      </c>
      <c r="T4823">
        <f>IFERROR(VLOOKUP(A4823,Table1[[Customer ID]:[Discount Amount]], 6, FALSE),"Not Found")</f>
        <v>1072.05</v>
      </c>
      <c r="U4823" t="str">
        <f t="shared" si="301"/>
        <v>PayPal</v>
      </c>
      <c r="V4823" s="4" t="str">
        <f t="shared" si="302"/>
        <v>Normal</v>
      </c>
      <c r="W4823" s="4" t="str">
        <f t="shared" si="303"/>
        <v>Poor</v>
      </c>
      <c r="X4823" s="4">
        <f>AVERAGE(Table1[Purchase Amount])</f>
        <v>129.48419400000012</v>
      </c>
    </row>
    <row r="4824" spans="1:24" ht="15" customHeight="1" x14ac:dyDescent="0.25">
      <c r="A4824">
        <v>4922</v>
      </c>
      <c r="B4824">
        <v>27</v>
      </c>
      <c r="C4824" t="s">
        <v>27</v>
      </c>
      <c r="D4824" t="s">
        <v>38</v>
      </c>
      <c r="E4824" t="s">
        <v>81</v>
      </c>
      <c r="F4824" s="2">
        <v>0</v>
      </c>
      <c r="G4824" t="s">
        <v>126</v>
      </c>
      <c r="H4824" t="s">
        <v>31</v>
      </c>
      <c r="I4824" t="s">
        <v>40</v>
      </c>
      <c r="J4824" t="s">
        <v>22</v>
      </c>
      <c r="K4824">
        <v>1</v>
      </c>
      <c r="L4824" t="s">
        <v>34</v>
      </c>
      <c r="M4824" t="s">
        <v>24</v>
      </c>
      <c r="N4824" t="s">
        <v>34</v>
      </c>
      <c r="O4824">
        <v>0</v>
      </c>
      <c r="P4824" t="s">
        <v>53</v>
      </c>
      <c r="Q4824" t="s">
        <v>42</v>
      </c>
      <c r="R4824" s="1">
        <v>0.1</v>
      </c>
      <c r="S4824">
        <f t="shared" si="300"/>
        <v>0</v>
      </c>
      <c r="T4824">
        <f>IFERROR(VLOOKUP(A4824,Table1[[Customer ID]:[Discount Amount]], 6, FALSE),"Not Found")</f>
        <v>0</v>
      </c>
      <c r="U4824" t="str">
        <f t="shared" si="301"/>
        <v>Credit Card</v>
      </c>
      <c r="V4824" s="4" t="str">
        <f t="shared" si="302"/>
        <v>Normal</v>
      </c>
      <c r="W4824" s="4" t="str">
        <f t="shared" si="303"/>
        <v>Poor</v>
      </c>
      <c r="X4824" s="4">
        <f>AVERAGE(Table1[Purchase Amount])</f>
        <v>129.48419400000012</v>
      </c>
    </row>
    <row r="4825" spans="1:24" ht="15" customHeight="1" x14ac:dyDescent="0.25">
      <c r="A4825">
        <v>4923</v>
      </c>
      <c r="B4825">
        <v>67</v>
      </c>
      <c r="C4825" t="s">
        <v>27</v>
      </c>
      <c r="D4825" t="s">
        <v>72</v>
      </c>
      <c r="E4825" t="s">
        <v>81</v>
      </c>
      <c r="F4825" s="2">
        <v>0</v>
      </c>
      <c r="G4825" t="s">
        <v>73</v>
      </c>
      <c r="H4825" t="s">
        <v>31</v>
      </c>
      <c r="I4825" t="s">
        <v>74</v>
      </c>
      <c r="J4825" t="s">
        <v>57</v>
      </c>
      <c r="K4825">
        <v>1</v>
      </c>
      <c r="L4825" t="s">
        <v>34</v>
      </c>
      <c r="M4825" t="s">
        <v>24</v>
      </c>
      <c r="N4825" t="s">
        <v>23</v>
      </c>
      <c r="O4825">
        <v>0</v>
      </c>
      <c r="P4825" t="s">
        <v>25</v>
      </c>
      <c r="Q4825" t="s">
        <v>26</v>
      </c>
      <c r="R4825" s="1">
        <v>0.1</v>
      </c>
      <c r="S4825">
        <f t="shared" si="300"/>
        <v>0</v>
      </c>
      <c r="T4825">
        <f>IFERROR(VLOOKUP(A4825,Table1[[Customer ID]:[Discount Amount]], 6, FALSE),"Not Found")</f>
        <v>0</v>
      </c>
      <c r="U4825" t="str">
        <f t="shared" si="301"/>
        <v>Cash</v>
      </c>
      <c r="V4825" s="4" t="str">
        <f t="shared" si="302"/>
        <v>Normal</v>
      </c>
      <c r="W4825" s="4" t="str">
        <f t="shared" si="303"/>
        <v>Poor</v>
      </c>
      <c r="X4825" s="4">
        <f>AVERAGE(Table1[Purchase Amount])</f>
        <v>129.48419400000012</v>
      </c>
    </row>
    <row r="4826" spans="1:24" ht="15" customHeight="1" x14ac:dyDescent="0.25">
      <c r="A4826">
        <v>4924</v>
      </c>
      <c r="B4826">
        <v>55</v>
      </c>
      <c r="C4826" t="s">
        <v>27</v>
      </c>
      <c r="D4826" t="s">
        <v>95</v>
      </c>
      <c r="E4826" t="s">
        <v>29</v>
      </c>
      <c r="F4826" s="2">
        <v>1485.92</v>
      </c>
      <c r="G4826" t="s">
        <v>82</v>
      </c>
      <c r="H4826" t="s">
        <v>55</v>
      </c>
      <c r="I4826" t="s">
        <v>74</v>
      </c>
      <c r="J4826" t="s">
        <v>57</v>
      </c>
      <c r="K4826">
        <v>5</v>
      </c>
      <c r="L4826" t="s">
        <v>23</v>
      </c>
      <c r="M4826" t="s">
        <v>24</v>
      </c>
      <c r="N4826" t="s">
        <v>23</v>
      </c>
      <c r="O4826">
        <v>0</v>
      </c>
      <c r="P4826" t="s">
        <v>36</v>
      </c>
      <c r="Q4826" t="s">
        <v>42</v>
      </c>
      <c r="R4826" s="1">
        <v>0.1</v>
      </c>
      <c r="S4826">
        <f t="shared" si="300"/>
        <v>1337.328</v>
      </c>
      <c r="T4826">
        <f>IFERROR(VLOOKUP(A4826,Table1[[Customer ID]:[Discount Amount]], 6, FALSE),"Not Found")</f>
        <v>1485.92</v>
      </c>
      <c r="U4826" t="str">
        <f t="shared" si="301"/>
        <v>Debit Card</v>
      </c>
      <c r="V4826" s="4" t="str">
        <f t="shared" si="302"/>
        <v>Best Customer</v>
      </c>
      <c r="W4826" s="4" t="str">
        <f t="shared" si="303"/>
        <v>Good</v>
      </c>
      <c r="X4826" s="4">
        <f>AVERAGE(Table1[Purchase Amount])</f>
        <v>129.48419400000012</v>
      </c>
    </row>
    <row r="4827" spans="1:24" ht="15" customHeight="1" x14ac:dyDescent="0.25">
      <c r="A4827">
        <v>4925</v>
      </c>
      <c r="B4827">
        <v>18</v>
      </c>
      <c r="C4827" t="s">
        <v>71</v>
      </c>
      <c r="D4827" t="s">
        <v>117</v>
      </c>
      <c r="E4827" t="s">
        <v>81</v>
      </c>
      <c r="F4827" s="2">
        <v>577.19000000000005</v>
      </c>
      <c r="G4827" t="s">
        <v>82</v>
      </c>
      <c r="H4827" t="s">
        <v>31</v>
      </c>
      <c r="I4827" t="s">
        <v>40</v>
      </c>
      <c r="J4827" t="s">
        <v>33</v>
      </c>
      <c r="K4827">
        <v>2</v>
      </c>
      <c r="L4827" t="s">
        <v>34</v>
      </c>
      <c r="M4827" t="s">
        <v>61</v>
      </c>
      <c r="N4827" t="s">
        <v>34</v>
      </c>
      <c r="O4827">
        <v>0</v>
      </c>
      <c r="P4827" t="s">
        <v>53</v>
      </c>
      <c r="Q4827" t="s">
        <v>42</v>
      </c>
      <c r="R4827" s="1">
        <v>0.1</v>
      </c>
      <c r="S4827">
        <f t="shared" si="300"/>
        <v>519.471</v>
      </c>
      <c r="T4827">
        <f>IFERROR(VLOOKUP(A4827,Table1[[Customer ID]:[Discount Amount]], 6, FALSE),"Not Found")</f>
        <v>577.19000000000005</v>
      </c>
      <c r="U4827" t="str">
        <f t="shared" si="301"/>
        <v>Credit Card</v>
      </c>
      <c r="V4827" s="4" t="str">
        <f t="shared" si="302"/>
        <v>Normal</v>
      </c>
      <c r="W4827" s="4" t="str">
        <f t="shared" si="303"/>
        <v>Poor</v>
      </c>
      <c r="X4827" s="4">
        <f>AVERAGE(Table1[Purchase Amount])</f>
        <v>129.48419400000012</v>
      </c>
    </row>
    <row r="4828" spans="1:24" ht="15" customHeight="1" x14ac:dyDescent="0.25">
      <c r="A4828">
        <v>4926</v>
      </c>
      <c r="B4828">
        <v>46</v>
      </c>
      <c r="C4828" t="s">
        <v>27</v>
      </c>
      <c r="D4828" t="s">
        <v>72</v>
      </c>
      <c r="E4828" t="s">
        <v>18</v>
      </c>
      <c r="F4828" s="2">
        <v>0</v>
      </c>
      <c r="G4828" t="s">
        <v>139</v>
      </c>
      <c r="H4828" t="s">
        <v>20</v>
      </c>
      <c r="I4828" t="s">
        <v>74</v>
      </c>
      <c r="J4828" t="s">
        <v>57</v>
      </c>
      <c r="K4828">
        <v>3</v>
      </c>
      <c r="L4828" t="s">
        <v>34</v>
      </c>
      <c r="M4828" t="s">
        <v>24</v>
      </c>
      <c r="N4828" t="s">
        <v>23</v>
      </c>
      <c r="O4828">
        <v>0</v>
      </c>
      <c r="P4828" t="s">
        <v>58</v>
      </c>
      <c r="Q4828" t="s">
        <v>26</v>
      </c>
      <c r="R4828" s="1">
        <v>0.1</v>
      </c>
      <c r="S4828">
        <f t="shared" si="300"/>
        <v>0</v>
      </c>
      <c r="T4828">
        <f>IFERROR(VLOOKUP(A4828,Table1[[Customer ID]:[Discount Amount]], 6, FALSE),"Not Found")</f>
        <v>0</v>
      </c>
      <c r="U4828" t="str">
        <f t="shared" si="301"/>
        <v>PayPal</v>
      </c>
      <c r="V4828" s="4" t="str">
        <f t="shared" si="302"/>
        <v>Normal</v>
      </c>
      <c r="W4828" s="4" t="str">
        <f t="shared" si="303"/>
        <v>Good</v>
      </c>
      <c r="X4828" s="4">
        <f>AVERAGE(Table1[Purchase Amount])</f>
        <v>129.48419400000012</v>
      </c>
    </row>
    <row r="4829" spans="1:24" ht="15" customHeight="1" x14ac:dyDescent="0.25">
      <c r="A4829">
        <v>4927</v>
      </c>
      <c r="B4829">
        <v>34</v>
      </c>
      <c r="C4829" t="s">
        <v>71</v>
      </c>
      <c r="D4829" t="s">
        <v>112</v>
      </c>
      <c r="E4829" t="s">
        <v>18</v>
      </c>
      <c r="F4829" s="2">
        <v>0</v>
      </c>
      <c r="G4829" t="s">
        <v>73</v>
      </c>
      <c r="H4829" t="s">
        <v>45</v>
      </c>
      <c r="I4829" t="s">
        <v>40</v>
      </c>
      <c r="J4829" t="s">
        <v>75</v>
      </c>
      <c r="K4829">
        <v>3</v>
      </c>
      <c r="L4829" t="s">
        <v>23</v>
      </c>
      <c r="M4829" t="s">
        <v>24</v>
      </c>
      <c r="N4829" t="s">
        <v>23</v>
      </c>
      <c r="O4829">
        <v>0</v>
      </c>
      <c r="P4829" t="s">
        <v>36</v>
      </c>
      <c r="Q4829" t="s">
        <v>37</v>
      </c>
      <c r="R4829" s="1">
        <v>0.1</v>
      </c>
      <c r="S4829">
        <f t="shared" si="300"/>
        <v>0</v>
      </c>
      <c r="T4829">
        <f>IFERROR(VLOOKUP(A4829,Table1[[Customer ID]:[Discount Amount]], 6, FALSE),"Not Found")</f>
        <v>0</v>
      </c>
      <c r="U4829" t="str">
        <f t="shared" si="301"/>
        <v>Debit Card</v>
      </c>
      <c r="V4829" s="4" t="str">
        <f t="shared" si="302"/>
        <v>Normal</v>
      </c>
      <c r="W4829" s="4" t="str">
        <f t="shared" si="303"/>
        <v>Good</v>
      </c>
      <c r="X4829" s="4">
        <f>AVERAGE(Table1[Purchase Amount])</f>
        <v>129.48419400000012</v>
      </c>
    </row>
    <row r="4830" spans="1:24" ht="15" customHeight="1" x14ac:dyDescent="0.25">
      <c r="A4830">
        <v>4928</v>
      </c>
      <c r="B4830">
        <v>62</v>
      </c>
      <c r="C4830" t="s">
        <v>71</v>
      </c>
      <c r="D4830" t="s">
        <v>116</v>
      </c>
      <c r="E4830" t="s">
        <v>18</v>
      </c>
      <c r="F4830" s="2">
        <v>0</v>
      </c>
      <c r="G4830" t="s">
        <v>126</v>
      </c>
      <c r="H4830" t="s">
        <v>31</v>
      </c>
      <c r="I4830" t="s">
        <v>32</v>
      </c>
      <c r="J4830" t="s">
        <v>57</v>
      </c>
      <c r="K4830">
        <v>1</v>
      </c>
      <c r="L4830" t="s">
        <v>34</v>
      </c>
      <c r="M4830" t="s">
        <v>24</v>
      </c>
      <c r="N4830" t="s">
        <v>23</v>
      </c>
      <c r="O4830">
        <v>4</v>
      </c>
      <c r="P4830" t="s">
        <v>53</v>
      </c>
      <c r="Q4830" t="s">
        <v>26</v>
      </c>
      <c r="R4830" s="1">
        <v>0.1</v>
      </c>
      <c r="S4830">
        <f t="shared" si="300"/>
        <v>0</v>
      </c>
      <c r="T4830">
        <f>IFERROR(VLOOKUP(A4830,Table1[[Customer ID]:[Discount Amount]], 6, FALSE),"Not Found")</f>
        <v>0</v>
      </c>
      <c r="U4830" t="str">
        <f t="shared" si="301"/>
        <v>Credit Card</v>
      </c>
      <c r="V4830" s="4" t="str">
        <f t="shared" si="302"/>
        <v>Normal</v>
      </c>
      <c r="W4830" s="4" t="str">
        <f t="shared" si="303"/>
        <v>Poor</v>
      </c>
      <c r="X4830" s="4">
        <f>AVERAGE(Table1[Purchase Amount])</f>
        <v>129.48419400000012</v>
      </c>
    </row>
    <row r="4831" spans="1:24" ht="15" customHeight="1" x14ac:dyDescent="0.25">
      <c r="A4831">
        <v>4929</v>
      </c>
      <c r="B4831">
        <v>58</v>
      </c>
      <c r="C4831" t="s">
        <v>16</v>
      </c>
      <c r="D4831" t="s">
        <v>112</v>
      </c>
      <c r="E4831" t="s">
        <v>81</v>
      </c>
      <c r="F4831" s="2">
        <v>607.15</v>
      </c>
      <c r="G4831" t="s">
        <v>126</v>
      </c>
      <c r="H4831" t="s">
        <v>31</v>
      </c>
      <c r="I4831" t="s">
        <v>74</v>
      </c>
      <c r="J4831" t="s">
        <v>75</v>
      </c>
      <c r="K4831">
        <v>1</v>
      </c>
      <c r="L4831" t="s">
        <v>34</v>
      </c>
      <c r="M4831" t="s">
        <v>24</v>
      </c>
      <c r="N4831" t="s">
        <v>23</v>
      </c>
      <c r="O4831">
        <v>38</v>
      </c>
      <c r="P4831" t="s">
        <v>36</v>
      </c>
      <c r="Q4831" t="s">
        <v>37</v>
      </c>
      <c r="R4831" s="1">
        <v>0.1</v>
      </c>
      <c r="S4831">
        <f t="shared" si="300"/>
        <v>546.43499999999995</v>
      </c>
      <c r="T4831">
        <f>IFERROR(VLOOKUP(A4831,Table1[[Customer ID]:[Discount Amount]], 6, FALSE),"Not Found")</f>
        <v>607.15</v>
      </c>
      <c r="U4831" t="str">
        <f t="shared" si="301"/>
        <v>Debit Card</v>
      </c>
      <c r="V4831" s="4" t="str">
        <f t="shared" si="302"/>
        <v>Normal</v>
      </c>
      <c r="W4831" s="4" t="str">
        <f t="shared" si="303"/>
        <v>Poor</v>
      </c>
      <c r="X4831" s="4">
        <f>AVERAGE(Table1[Purchase Amount])</f>
        <v>129.48419400000012</v>
      </c>
    </row>
    <row r="4832" spans="1:24" ht="15" customHeight="1" x14ac:dyDescent="0.25">
      <c r="A4832">
        <v>4930</v>
      </c>
      <c r="B4832">
        <v>25</v>
      </c>
      <c r="C4832" t="s">
        <v>71</v>
      </c>
      <c r="D4832" t="s">
        <v>72</v>
      </c>
      <c r="E4832" t="s">
        <v>29</v>
      </c>
      <c r="F4832" s="2">
        <v>283.64999999999998</v>
      </c>
      <c r="G4832" t="s">
        <v>82</v>
      </c>
      <c r="H4832" t="s">
        <v>31</v>
      </c>
      <c r="I4832" t="s">
        <v>40</v>
      </c>
      <c r="J4832" t="s">
        <v>75</v>
      </c>
      <c r="K4832">
        <v>5</v>
      </c>
      <c r="L4832" t="s">
        <v>23</v>
      </c>
      <c r="M4832" t="s">
        <v>24</v>
      </c>
      <c r="N4832" t="s">
        <v>34</v>
      </c>
      <c r="O4832">
        <v>0</v>
      </c>
      <c r="P4832" t="s">
        <v>53</v>
      </c>
      <c r="Q4832" t="s">
        <v>37</v>
      </c>
      <c r="R4832" s="1">
        <v>0.1</v>
      </c>
      <c r="S4832">
        <f t="shared" si="300"/>
        <v>255.28499999999997</v>
      </c>
      <c r="T4832">
        <f>IFERROR(VLOOKUP(A4832,Table1[[Customer ID]:[Discount Amount]], 6, FALSE),"Not Found")</f>
        <v>283.64999999999998</v>
      </c>
      <c r="U4832" t="str">
        <f t="shared" si="301"/>
        <v>Credit Card</v>
      </c>
      <c r="V4832" s="4" t="str">
        <f t="shared" si="302"/>
        <v>Normal</v>
      </c>
      <c r="W4832" s="4" t="str">
        <f t="shared" si="303"/>
        <v>Good</v>
      </c>
      <c r="X4832" s="4">
        <f>AVERAGE(Table1[Purchase Amount])</f>
        <v>129.48419400000012</v>
      </c>
    </row>
    <row r="4833" spans="1:24" ht="15" customHeight="1" x14ac:dyDescent="0.25">
      <c r="A4833">
        <v>4931</v>
      </c>
      <c r="B4833">
        <v>59</v>
      </c>
      <c r="C4833" t="s">
        <v>71</v>
      </c>
      <c r="D4833" t="s">
        <v>116</v>
      </c>
      <c r="E4833" t="s">
        <v>29</v>
      </c>
      <c r="F4833" s="2">
        <v>0</v>
      </c>
      <c r="G4833" t="s">
        <v>73</v>
      </c>
      <c r="H4833" t="s">
        <v>45</v>
      </c>
      <c r="I4833" t="s">
        <v>46</v>
      </c>
      <c r="J4833" t="s">
        <v>33</v>
      </c>
      <c r="K4833">
        <v>1</v>
      </c>
      <c r="L4833" t="s">
        <v>34</v>
      </c>
      <c r="M4833" t="s">
        <v>61</v>
      </c>
      <c r="N4833" t="s">
        <v>23</v>
      </c>
      <c r="O4833">
        <v>0</v>
      </c>
      <c r="P4833" t="s">
        <v>58</v>
      </c>
      <c r="Q4833" t="s">
        <v>37</v>
      </c>
      <c r="R4833" s="1">
        <v>0.1</v>
      </c>
      <c r="S4833">
        <f t="shared" si="300"/>
        <v>0</v>
      </c>
      <c r="T4833">
        <f>IFERROR(VLOOKUP(A4833,Table1[[Customer ID]:[Discount Amount]], 6, FALSE),"Not Found")</f>
        <v>0</v>
      </c>
      <c r="U4833" t="str">
        <f t="shared" si="301"/>
        <v>PayPal</v>
      </c>
      <c r="V4833" s="4" t="str">
        <f t="shared" si="302"/>
        <v>Normal</v>
      </c>
      <c r="W4833" s="4" t="str">
        <f t="shared" si="303"/>
        <v>Poor</v>
      </c>
      <c r="X4833" s="4">
        <f>AVERAGE(Table1[Purchase Amount])</f>
        <v>129.48419400000012</v>
      </c>
    </row>
    <row r="4834" spans="1:24" ht="15" customHeight="1" x14ac:dyDescent="0.25">
      <c r="A4834">
        <v>4932</v>
      </c>
      <c r="B4834">
        <v>57</v>
      </c>
      <c r="C4834" t="s">
        <v>71</v>
      </c>
      <c r="D4834" t="s">
        <v>116</v>
      </c>
      <c r="E4834" t="s">
        <v>18</v>
      </c>
      <c r="F4834" s="2">
        <v>0</v>
      </c>
      <c r="G4834" t="s">
        <v>73</v>
      </c>
      <c r="H4834" t="s">
        <v>55</v>
      </c>
      <c r="I4834" t="s">
        <v>93</v>
      </c>
      <c r="J4834" t="s">
        <v>75</v>
      </c>
      <c r="K4834">
        <v>1</v>
      </c>
      <c r="L4834" t="s">
        <v>34</v>
      </c>
      <c r="M4834" t="s">
        <v>61</v>
      </c>
      <c r="N4834" t="s">
        <v>34</v>
      </c>
      <c r="O4834">
        <v>0</v>
      </c>
      <c r="P4834" t="s">
        <v>36</v>
      </c>
      <c r="Q4834" t="s">
        <v>37</v>
      </c>
      <c r="R4834" s="1">
        <v>0.1</v>
      </c>
      <c r="S4834">
        <f t="shared" si="300"/>
        <v>0</v>
      </c>
      <c r="T4834">
        <f>IFERROR(VLOOKUP(A4834,Table1[[Customer ID]:[Discount Amount]], 6, FALSE),"Not Found")</f>
        <v>0</v>
      </c>
      <c r="U4834" t="str">
        <f t="shared" si="301"/>
        <v>Debit Card</v>
      </c>
      <c r="V4834" s="4" t="str">
        <f t="shared" si="302"/>
        <v>Normal</v>
      </c>
      <c r="W4834" s="4" t="str">
        <f t="shared" si="303"/>
        <v>Poor</v>
      </c>
      <c r="X4834" s="4">
        <f>AVERAGE(Table1[Purchase Amount])</f>
        <v>129.48419400000012</v>
      </c>
    </row>
    <row r="4835" spans="1:24" ht="15" customHeight="1" x14ac:dyDescent="0.25">
      <c r="A4835">
        <v>4933</v>
      </c>
      <c r="B4835">
        <v>44</v>
      </c>
      <c r="C4835" t="s">
        <v>71</v>
      </c>
      <c r="D4835" t="s">
        <v>80</v>
      </c>
      <c r="E4835" t="s">
        <v>29</v>
      </c>
      <c r="F4835" s="2">
        <v>0</v>
      </c>
      <c r="G4835" t="s">
        <v>139</v>
      </c>
      <c r="H4835" t="s">
        <v>55</v>
      </c>
      <c r="I4835" t="s">
        <v>93</v>
      </c>
      <c r="J4835" t="s">
        <v>57</v>
      </c>
      <c r="K4835">
        <v>3</v>
      </c>
      <c r="L4835" t="s">
        <v>34</v>
      </c>
      <c r="M4835" t="s">
        <v>24</v>
      </c>
      <c r="N4835" t="s">
        <v>34</v>
      </c>
      <c r="O4835">
        <v>0</v>
      </c>
      <c r="P4835" t="s">
        <v>25</v>
      </c>
      <c r="Q4835" t="s">
        <v>42</v>
      </c>
      <c r="R4835" s="1">
        <v>0.1</v>
      </c>
      <c r="S4835">
        <f t="shared" si="300"/>
        <v>0</v>
      </c>
      <c r="T4835">
        <f>IFERROR(VLOOKUP(A4835,Table1[[Customer ID]:[Discount Amount]], 6, FALSE),"Not Found")</f>
        <v>0</v>
      </c>
      <c r="U4835" t="str">
        <f t="shared" si="301"/>
        <v>Cash</v>
      </c>
      <c r="V4835" s="4" t="str">
        <f t="shared" si="302"/>
        <v>Normal</v>
      </c>
      <c r="W4835" s="4" t="str">
        <f t="shared" si="303"/>
        <v>Good</v>
      </c>
      <c r="X4835" s="4">
        <f>AVERAGE(Table1[Purchase Amount])</f>
        <v>129.48419400000012</v>
      </c>
    </row>
    <row r="4836" spans="1:24" ht="15" customHeight="1" x14ac:dyDescent="0.25">
      <c r="A4836">
        <v>4934</v>
      </c>
      <c r="B4836">
        <v>52</v>
      </c>
      <c r="C4836" t="s">
        <v>16</v>
      </c>
      <c r="D4836" t="s">
        <v>117</v>
      </c>
      <c r="E4836" t="s">
        <v>18</v>
      </c>
      <c r="F4836" s="2">
        <v>0</v>
      </c>
      <c r="G4836" t="s">
        <v>101</v>
      </c>
      <c r="H4836" t="s">
        <v>20</v>
      </c>
      <c r="I4836" t="s">
        <v>40</v>
      </c>
      <c r="J4836" t="s">
        <v>22</v>
      </c>
      <c r="K4836">
        <v>1</v>
      </c>
      <c r="L4836" t="s">
        <v>34</v>
      </c>
      <c r="M4836" t="s">
        <v>61</v>
      </c>
      <c r="N4836" t="s">
        <v>23</v>
      </c>
      <c r="O4836">
        <v>40</v>
      </c>
      <c r="P4836" t="s">
        <v>53</v>
      </c>
      <c r="Q4836" t="s">
        <v>37</v>
      </c>
      <c r="R4836" s="1">
        <v>0.1</v>
      </c>
      <c r="S4836">
        <f t="shared" si="300"/>
        <v>0</v>
      </c>
      <c r="T4836">
        <f>IFERROR(VLOOKUP(A4836,Table1[[Customer ID]:[Discount Amount]], 6, FALSE),"Not Found")</f>
        <v>0</v>
      </c>
      <c r="U4836" t="str">
        <f t="shared" si="301"/>
        <v>Credit Card</v>
      </c>
      <c r="V4836" s="4" t="str">
        <f t="shared" si="302"/>
        <v>Normal</v>
      </c>
      <c r="W4836" s="4" t="str">
        <f t="shared" si="303"/>
        <v>Poor</v>
      </c>
      <c r="X4836" s="4">
        <f>AVERAGE(Table1[Purchase Amount])</f>
        <v>129.48419400000012</v>
      </c>
    </row>
    <row r="4837" spans="1:24" ht="15" customHeight="1" x14ac:dyDescent="0.25">
      <c r="A4837">
        <v>4935</v>
      </c>
      <c r="B4837">
        <v>62</v>
      </c>
      <c r="C4837" t="s">
        <v>27</v>
      </c>
      <c r="D4837" t="s">
        <v>72</v>
      </c>
      <c r="E4837" t="s">
        <v>18</v>
      </c>
      <c r="F4837" s="2">
        <v>0</v>
      </c>
      <c r="G4837" t="s">
        <v>101</v>
      </c>
      <c r="H4837" t="s">
        <v>20</v>
      </c>
      <c r="I4837" t="s">
        <v>40</v>
      </c>
      <c r="J4837" t="s">
        <v>22</v>
      </c>
      <c r="K4837">
        <v>4</v>
      </c>
      <c r="L4837" t="s">
        <v>34</v>
      </c>
      <c r="M4837" t="s">
        <v>61</v>
      </c>
      <c r="N4837" t="s">
        <v>34</v>
      </c>
      <c r="O4837">
        <v>20</v>
      </c>
      <c r="P4837" t="s">
        <v>53</v>
      </c>
      <c r="Q4837" t="s">
        <v>37</v>
      </c>
      <c r="R4837" s="1">
        <v>0.1</v>
      </c>
      <c r="S4837">
        <f t="shared" si="300"/>
        <v>0</v>
      </c>
      <c r="T4837">
        <f>IFERROR(VLOOKUP(A4837,Table1[[Customer ID]:[Discount Amount]], 6, FALSE),"Not Found")</f>
        <v>0</v>
      </c>
      <c r="U4837" t="str">
        <f t="shared" si="301"/>
        <v>Credit Card</v>
      </c>
      <c r="V4837" s="4" t="str">
        <f t="shared" si="302"/>
        <v>Normal</v>
      </c>
      <c r="W4837" s="4" t="str">
        <f t="shared" si="303"/>
        <v>Good</v>
      </c>
      <c r="X4837" s="4">
        <f>AVERAGE(Table1[Purchase Amount])</f>
        <v>129.48419400000012</v>
      </c>
    </row>
    <row r="4838" spans="1:24" ht="15" customHeight="1" x14ac:dyDescent="0.25">
      <c r="A4838">
        <v>4936</v>
      </c>
      <c r="B4838">
        <v>58</v>
      </c>
      <c r="C4838" t="s">
        <v>16</v>
      </c>
      <c r="D4838" t="s">
        <v>95</v>
      </c>
      <c r="E4838" t="s">
        <v>18</v>
      </c>
      <c r="F4838" s="2">
        <v>0</v>
      </c>
      <c r="G4838" t="s">
        <v>126</v>
      </c>
      <c r="H4838" t="s">
        <v>20</v>
      </c>
      <c r="I4838" t="s">
        <v>40</v>
      </c>
      <c r="J4838" t="s">
        <v>75</v>
      </c>
      <c r="K4838">
        <v>2</v>
      </c>
      <c r="L4838" t="s">
        <v>23</v>
      </c>
      <c r="M4838" t="s">
        <v>61</v>
      </c>
      <c r="N4838" t="s">
        <v>23</v>
      </c>
      <c r="O4838">
        <v>0</v>
      </c>
      <c r="P4838" t="s">
        <v>58</v>
      </c>
      <c r="Q4838" t="s">
        <v>26</v>
      </c>
      <c r="R4838" s="1">
        <v>0.1</v>
      </c>
      <c r="S4838">
        <f t="shared" si="300"/>
        <v>0</v>
      </c>
      <c r="T4838">
        <f>IFERROR(VLOOKUP(A4838,Table1[[Customer ID]:[Discount Amount]], 6, FALSE),"Not Found")</f>
        <v>0</v>
      </c>
      <c r="U4838" t="str">
        <f t="shared" si="301"/>
        <v>PayPal</v>
      </c>
      <c r="V4838" s="4" t="str">
        <f t="shared" si="302"/>
        <v>Normal</v>
      </c>
      <c r="W4838" s="4" t="str">
        <f t="shared" si="303"/>
        <v>Poor</v>
      </c>
      <c r="X4838" s="4">
        <f>AVERAGE(Table1[Purchase Amount])</f>
        <v>129.48419400000012</v>
      </c>
    </row>
    <row r="4839" spans="1:24" ht="15" customHeight="1" x14ac:dyDescent="0.25">
      <c r="A4839">
        <v>4937</v>
      </c>
      <c r="B4839">
        <v>52</v>
      </c>
      <c r="C4839" t="s">
        <v>71</v>
      </c>
      <c r="D4839" t="s">
        <v>80</v>
      </c>
      <c r="E4839" t="s">
        <v>81</v>
      </c>
      <c r="F4839" s="2">
        <v>850.69</v>
      </c>
      <c r="G4839" t="s">
        <v>82</v>
      </c>
      <c r="H4839" t="s">
        <v>31</v>
      </c>
      <c r="I4839" t="s">
        <v>46</v>
      </c>
      <c r="J4839" t="s">
        <v>22</v>
      </c>
      <c r="K4839">
        <v>3</v>
      </c>
      <c r="L4839" t="s">
        <v>23</v>
      </c>
      <c r="M4839" t="s">
        <v>61</v>
      </c>
      <c r="N4839" t="s">
        <v>34</v>
      </c>
      <c r="O4839">
        <v>0</v>
      </c>
      <c r="P4839" t="s">
        <v>58</v>
      </c>
      <c r="Q4839" t="s">
        <v>26</v>
      </c>
      <c r="R4839" s="1">
        <v>0.1</v>
      </c>
      <c r="S4839">
        <f t="shared" si="300"/>
        <v>765.62100000000009</v>
      </c>
      <c r="T4839">
        <f>IFERROR(VLOOKUP(A4839,Table1[[Customer ID]:[Discount Amount]], 6, FALSE),"Not Found")</f>
        <v>850.69</v>
      </c>
      <c r="U4839" t="str">
        <f t="shared" si="301"/>
        <v>PayPal</v>
      </c>
      <c r="V4839" s="4" t="str">
        <f t="shared" si="302"/>
        <v>Normal</v>
      </c>
      <c r="W4839" s="4" t="str">
        <f t="shared" si="303"/>
        <v>Good</v>
      </c>
      <c r="X4839" s="4">
        <f>AVERAGE(Table1[Purchase Amount])</f>
        <v>129.48419400000012</v>
      </c>
    </row>
    <row r="4840" spans="1:24" ht="15" customHeight="1" x14ac:dyDescent="0.25">
      <c r="A4840">
        <v>4938</v>
      </c>
      <c r="B4840">
        <v>47</v>
      </c>
      <c r="C4840" t="s">
        <v>16</v>
      </c>
      <c r="D4840" t="s">
        <v>38</v>
      </c>
      <c r="E4840" t="s">
        <v>18</v>
      </c>
      <c r="F4840" s="2">
        <v>914.23</v>
      </c>
      <c r="G4840" t="s">
        <v>139</v>
      </c>
      <c r="H4840" t="s">
        <v>31</v>
      </c>
      <c r="I4840" t="s">
        <v>93</v>
      </c>
      <c r="J4840" t="s">
        <v>57</v>
      </c>
      <c r="K4840">
        <v>1</v>
      </c>
      <c r="L4840" t="s">
        <v>23</v>
      </c>
      <c r="M4840" t="s">
        <v>24</v>
      </c>
      <c r="N4840" t="s">
        <v>23</v>
      </c>
      <c r="O4840">
        <v>0</v>
      </c>
      <c r="P4840" t="s">
        <v>36</v>
      </c>
      <c r="Q4840" t="s">
        <v>26</v>
      </c>
      <c r="R4840" s="1">
        <v>0.1</v>
      </c>
      <c r="S4840">
        <f t="shared" si="300"/>
        <v>822.80700000000002</v>
      </c>
      <c r="T4840">
        <f>IFERROR(VLOOKUP(A4840,Table1[[Customer ID]:[Discount Amount]], 6, FALSE),"Not Found")</f>
        <v>914.23</v>
      </c>
      <c r="U4840" t="str">
        <f t="shared" si="301"/>
        <v>Debit Card</v>
      </c>
      <c r="V4840" s="4" t="str">
        <f t="shared" si="302"/>
        <v>Normal</v>
      </c>
      <c r="W4840" s="4" t="str">
        <f t="shared" si="303"/>
        <v>Poor</v>
      </c>
      <c r="X4840" s="4">
        <f>AVERAGE(Table1[Purchase Amount])</f>
        <v>129.48419400000012</v>
      </c>
    </row>
    <row r="4841" spans="1:24" ht="15" customHeight="1" x14ac:dyDescent="0.25">
      <c r="A4841">
        <v>4939</v>
      </c>
      <c r="B4841">
        <v>65</v>
      </c>
      <c r="C4841" t="s">
        <v>71</v>
      </c>
      <c r="D4841" t="s">
        <v>117</v>
      </c>
      <c r="E4841" t="s">
        <v>18</v>
      </c>
      <c r="F4841" s="2">
        <v>585.59</v>
      </c>
      <c r="G4841" t="s">
        <v>139</v>
      </c>
      <c r="H4841" t="s">
        <v>45</v>
      </c>
      <c r="I4841" t="s">
        <v>32</v>
      </c>
      <c r="J4841" t="s">
        <v>33</v>
      </c>
      <c r="K4841">
        <v>3</v>
      </c>
      <c r="L4841" t="s">
        <v>23</v>
      </c>
      <c r="M4841" t="s">
        <v>61</v>
      </c>
      <c r="N4841" t="s">
        <v>34</v>
      </c>
      <c r="O4841">
        <v>5</v>
      </c>
      <c r="P4841" t="s">
        <v>36</v>
      </c>
      <c r="Q4841" t="s">
        <v>42</v>
      </c>
      <c r="R4841" s="1">
        <v>0.1</v>
      </c>
      <c r="S4841">
        <f t="shared" si="300"/>
        <v>527.03100000000006</v>
      </c>
      <c r="T4841">
        <f>IFERROR(VLOOKUP(A4841,Table1[[Customer ID]:[Discount Amount]], 6, FALSE),"Not Found")</f>
        <v>585.59</v>
      </c>
      <c r="U4841" t="str">
        <f t="shared" si="301"/>
        <v>Debit Card</v>
      </c>
      <c r="V4841" s="4" t="str">
        <f t="shared" si="302"/>
        <v>Normal</v>
      </c>
      <c r="W4841" s="4" t="str">
        <f t="shared" si="303"/>
        <v>Good</v>
      </c>
      <c r="X4841" s="4">
        <f>AVERAGE(Table1[Purchase Amount])</f>
        <v>129.48419400000012</v>
      </c>
    </row>
    <row r="4842" spans="1:24" ht="15" customHeight="1" x14ac:dyDescent="0.25">
      <c r="A4842">
        <v>4940</v>
      </c>
      <c r="B4842">
        <v>27</v>
      </c>
      <c r="C4842" t="s">
        <v>71</v>
      </c>
      <c r="D4842" t="s">
        <v>80</v>
      </c>
      <c r="E4842" t="s">
        <v>18</v>
      </c>
      <c r="F4842" s="2">
        <v>1439.75</v>
      </c>
      <c r="G4842" t="s">
        <v>73</v>
      </c>
      <c r="H4842" t="s">
        <v>45</v>
      </c>
      <c r="I4842" t="s">
        <v>46</v>
      </c>
      <c r="J4842" t="s">
        <v>75</v>
      </c>
      <c r="K4842">
        <v>4</v>
      </c>
      <c r="L4842" t="s">
        <v>34</v>
      </c>
      <c r="M4842" t="s">
        <v>61</v>
      </c>
      <c r="N4842" t="s">
        <v>34</v>
      </c>
      <c r="O4842">
        <v>38</v>
      </c>
      <c r="P4842" t="s">
        <v>58</v>
      </c>
      <c r="Q4842" t="s">
        <v>26</v>
      </c>
      <c r="R4842" s="1">
        <v>0.1</v>
      </c>
      <c r="S4842">
        <f t="shared" si="300"/>
        <v>1295.7750000000001</v>
      </c>
      <c r="T4842">
        <f>IFERROR(VLOOKUP(A4842,Table1[[Customer ID]:[Discount Amount]], 6, FALSE),"Not Found")</f>
        <v>1439.75</v>
      </c>
      <c r="U4842" t="str">
        <f t="shared" si="301"/>
        <v>PayPal</v>
      </c>
      <c r="V4842" s="4" t="str">
        <f t="shared" si="302"/>
        <v>Best Customer</v>
      </c>
      <c r="W4842" s="4" t="str">
        <f t="shared" si="303"/>
        <v>Good</v>
      </c>
      <c r="X4842" s="4">
        <f>AVERAGE(Table1[Purchase Amount])</f>
        <v>129.48419400000012</v>
      </c>
    </row>
    <row r="4843" spans="1:24" ht="15" customHeight="1" x14ac:dyDescent="0.25">
      <c r="A4843">
        <v>4941</v>
      </c>
      <c r="B4843">
        <v>31</v>
      </c>
      <c r="C4843" t="s">
        <v>27</v>
      </c>
      <c r="D4843" t="s">
        <v>38</v>
      </c>
      <c r="E4843" t="s">
        <v>18</v>
      </c>
      <c r="F4843" s="2">
        <v>61.25</v>
      </c>
      <c r="G4843" t="s">
        <v>82</v>
      </c>
      <c r="H4843" t="s">
        <v>55</v>
      </c>
      <c r="I4843" t="s">
        <v>32</v>
      </c>
      <c r="J4843" t="s">
        <v>22</v>
      </c>
      <c r="K4843">
        <v>1</v>
      </c>
      <c r="L4843" t="s">
        <v>34</v>
      </c>
      <c r="M4843" t="s">
        <v>24</v>
      </c>
      <c r="N4843" t="s">
        <v>23</v>
      </c>
      <c r="O4843">
        <v>8</v>
      </c>
      <c r="P4843" t="s">
        <v>58</v>
      </c>
      <c r="Q4843" t="s">
        <v>42</v>
      </c>
      <c r="R4843" s="1">
        <v>0.1</v>
      </c>
      <c r="S4843">
        <f t="shared" si="300"/>
        <v>55.125</v>
      </c>
      <c r="T4843">
        <f>IFERROR(VLOOKUP(A4843,Table1[[Customer ID]:[Discount Amount]], 6, FALSE),"Not Found")</f>
        <v>61.25</v>
      </c>
      <c r="U4843" t="str">
        <f t="shared" si="301"/>
        <v>PayPal</v>
      </c>
      <c r="V4843" s="4" t="str">
        <f t="shared" si="302"/>
        <v>Normal</v>
      </c>
      <c r="W4843" s="4" t="str">
        <f t="shared" si="303"/>
        <v>Poor</v>
      </c>
      <c r="X4843" s="4">
        <f>AVERAGE(Table1[Purchase Amount])</f>
        <v>129.48419400000012</v>
      </c>
    </row>
    <row r="4844" spans="1:24" ht="15" customHeight="1" x14ac:dyDescent="0.25">
      <c r="A4844">
        <v>4942</v>
      </c>
      <c r="B4844">
        <v>62</v>
      </c>
      <c r="C4844" t="s">
        <v>16</v>
      </c>
      <c r="D4844" t="s">
        <v>38</v>
      </c>
      <c r="E4844" t="s">
        <v>18</v>
      </c>
      <c r="F4844" s="2">
        <v>1177.3599999999999</v>
      </c>
      <c r="G4844" t="s">
        <v>82</v>
      </c>
      <c r="H4844" t="s">
        <v>55</v>
      </c>
      <c r="I4844" t="s">
        <v>40</v>
      </c>
      <c r="J4844" t="s">
        <v>75</v>
      </c>
      <c r="K4844">
        <v>4</v>
      </c>
      <c r="L4844" t="s">
        <v>23</v>
      </c>
      <c r="M4844" t="s">
        <v>24</v>
      </c>
      <c r="N4844" t="s">
        <v>23</v>
      </c>
      <c r="O4844">
        <v>0</v>
      </c>
      <c r="P4844" t="s">
        <v>25</v>
      </c>
      <c r="Q4844" t="s">
        <v>42</v>
      </c>
      <c r="R4844" s="1">
        <v>0.1</v>
      </c>
      <c r="S4844">
        <f t="shared" si="300"/>
        <v>1059.6239999999998</v>
      </c>
      <c r="T4844">
        <f>IFERROR(VLOOKUP(A4844,Table1[[Customer ID]:[Discount Amount]], 6, FALSE),"Not Found")</f>
        <v>1177.3599999999999</v>
      </c>
      <c r="U4844" t="str">
        <f t="shared" si="301"/>
        <v>Cash</v>
      </c>
      <c r="V4844" s="4" t="str">
        <f t="shared" si="302"/>
        <v>Best Customer</v>
      </c>
      <c r="W4844" s="4" t="str">
        <f t="shared" si="303"/>
        <v>Good</v>
      </c>
      <c r="X4844" s="4">
        <f>AVERAGE(Table1[Purchase Amount])</f>
        <v>129.48419400000012</v>
      </c>
    </row>
    <row r="4845" spans="1:24" ht="15" customHeight="1" x14ac:dyDescent="0.25">
      <c r="A4845">
        <v>4943</v>
      </c>
      <c r="B4845">
        <v>20</v>
      </c>
      <c r="C4845" t="s">
        <v>27</v>
      </c>
      <c r="D4845" t="s">
        <v>116</v>
      </c>
      <c r="E4845" t="s">
        <v>18</v>
      </c>
      <c r="F4845" s="2">
        <v>1050.6099999999999</v>
      </c>
      <c r="G4845" t="s">
        <v>139</v>
      </c>
      <c r="H4845" t="s">
        <v>20</v>
      </c>
      <c r="I4845" t="s">
        <v>40</v>
      </c>
      <c r="J4845" t="s">
        <v>22</v>
      </c>
      <c r="K4845">
        <v>1</v>
      </c>
      <c r="L4845" t="s">
        <v>23</v>
      </c>
      <c r="M4845" t="s">
        <v>61</v>
      </c>
      <c r="N4845" t="s">
        <v>34</v>
      </c>
      <c r="O4845">
        <v>0</v>
      </c>
      <c r="P4845" t="s">
        <v>53</v>
      </c>
      <c r="Q4845" t="s">
        <v>37</v>
      </c>
      <c r="R4845" s="1">
        <v>0.1</v>
      </c>
      <c r="S4845">
        <f t="shared" si="300"/>
        <v>945.54899999999986</v>
      </c>
      <c r="T4845">
        <f>IFERROR(VLOOKUP(A4845,Table1[[Customer ID]:[Discount Amount]], 6, FALSE),"Not Found")</f>
        <v>1050.6099999999999</v>
      </c>
      <c r="U4845" t="str">
        <f t="shared" si="301"/>
        <v>Credit Card</v>
      </c>
      <c r="V4845" s="4" t="str">
        <f t="shared" si="302"/>
        <v>Normal</v>
      </c>
      <c r="W4845" s="4" t="str">
        <f t="shared" si="303"/>
        <v>Poor</v>
      </c>
      <c r="X4845" s="4">
        <f>AVERAGE(Table1[Purchase Amount])</f>
        <v>129.48419400000012</v>
      </c>
    </row>
    <row r="4846" spans="1:24" ht="15" customHeight="1" x14ac:dyDescent="0.25">
      <c r="A4846">
        <v>4944</v>
      </c>
      <c r="B4846">
        <v>52</v>
      </c>
      <c r="C4846" t="s">
        <v>16</v>
      </c>
      <c r="D4846" t="s">
        <v>116</v>
      </c>
      <c r="E4846" t="s">
        <v>29</v>
      </c>
      <c r="F4846" s="2">
        <v>1124.29</v>
      </c>
      <c r="G4846" t="s">
        <v>126</v>
      </c>
      <c r="H4846" t="s">
        <v>31</v>
      </c>
      <c r="I4846" t="s">
        <v>46</v>
      </c>
      <c r="J4846" t="s">
        <v>57</v>
      </c>
      <c r="K4846">
        <v>2</v>
      </c>
      <c r="L4846" t="s">
        <v>34</v>
      </c>
      <c r="M4846" t="s">
        <v>61</v>
      </c>
      <c r="N4846" t="s">
        <v>34</v>
      </c>
      <c r="O4846">
        <v>0</v>
      </c>
      <c r="P4846" t="s">
        <v>58</v>
      </c>
      <c r="Q4846" t="s">
        <v>42</v>
      </c>
      <c r="R4846" s="1">
        <v>0.1</v>
      </c>
      <c r="S4846">
        <f t="shared" si="300"/>
        <v>1011.861</v>
      </c>
      <c r="T4846">
        <f>IFERROR(VLOOKUP(A4846,Table1[[Customer ID]:[Discount Amount]], 6, FALSE),"Not Found")</f>
        <v>1124.29</v>
      </c>
      <c r="U4846" t="str">
        <f t="shared" si="301"/>
        <v>PayPal</v>
      </c>
      <c r="V4846" s="4" t="str">
        <f t="shared" si="302"/>
        <v>Normal</v>
      </c>
      <c r="W4846" s="4" t="str">
        <f t="shared" si="303"/>
        <v>Poor</v>
      </c>
      <c r="X4846" s="4">
        <f>AVERAGE(Table1[Purchase Amount])</f>
        <v>129.48419400000012</v>
      </c>
    </row>
    <row r="4847" spans="1:24" ht="15" customHeight="1" x14ac:dyDescent="0.25">
      <c r="A4847">
        <v>4945</v>
      </c>
      <c r="B4847">
        <v>59</v>
      </c>
      <c r="C4847" t="s">
        <v>16</v>
      </c>
      <c r="D4847" t="s">
        <v>38</v>
      </c>
      <c r="E4847" t="s">
        <v>81</v>
      </c>
      <c r="F4847" s="2">
        <v>1343.37</v>
      </c>
      <c r="G4847" t="s">
        <v>73</v>
      </c>
      <c r="H4847" t="s">
        <v>31</v>
      </c>
      <c r="I4847" t="s">
        <v>46</v>
      </c>
      <c r="J4847" t="s">
        <v>57</v>
      </c>
      <c r="K4847">
        <v>2</v>
      </c>
      <c r="L4847" t="s">
        <v>23</v>
      </c>
      <c r="M4847" t="s">
        <v>24</v>
      </c>
      <c r="N4847" t="s">
        <v>34</v>
      </c>
      <c r="O4847">
        <v>0</v>
      </c>
      <c r="P4847" t="s">
        <v>53</v>
      </c>
      <c r="Q4847" t="s">
        <v>26</v>
      </c>
      <c r="R4847" s="1">
        <v>0.1</v>
      </c>
      <c r="S4847">
        <f t="shared" si="300"/>
        <v>1209.0329999999999</v>
      </c>
      <c r="T4847">
        <f>IFERROR(VLOOKUP(A4847,Table1[[Customer ID]:[Discount Amount]], 6, FALSE),"Not Found")</f>
        <v>1343.37</v>
      </c>
      <c r="U4847" t="str">
        <f t="shared" si="301"/>
        <v>Credit Card</v>
      </c>
      <c r="V4847" s="4" t="str">
        <f t="shared" si="302"/>
        <v>Normal</v>
      </c>
      <c r="W4847" s="4" t="str">
        <f t="shared" si="303"/>
        <v>Poor</v>
      </c>
      <c r="X4847" s="4">
        <f>AVERAGE(Table1[Purchase Amount])</f>
        <v>129.48419400000012</v>
      </c>
    </row>
    <row r="4848" spans="1:24" ht="15" customHeight="1" x14ac:dyDescent="0.25">
      <c r="A4848">
        <v>4946</v>
      </c>
      <c r="B4848">
        <v>66</v>
      </c>
      <c r="C4848" t="s">
        <v>71</v>
      </c>
      <c r="D4848" t="s">
        <v>38</v>
      </c>
      <c r="E4848" t="s">
        <v>81</v>
      </c>
      <c r="F4848" s="2">
        <v>0</v>
      </c>
      <c r="G4848" t="s">
        <v>139</v>
      </c>
      <c r="H4848" t="s">
        <v>31</v>
      </c>
      <c r="I4848" t="s">
        <v>46</v>
      </c>
      <c r="J4848" t="s">
        <v>75</v>
      </c>
      <c r="K4848">
        <v>1</v>
      </c>
      <c r="L4848" t="s">
        <v>34</v>
      </c>
      <c r="M4848" t="s">
        <v>61</v>
      </c>
      <c r="N4848" t="s">
        <v>23</v>
      </c>
      <c r="O4848">
        <v>4</v>
      </c>
      <c r="P4848" t="s">
        <v>36</v>
      </c>
      <c r="Q4848" t="s">
        <v>26</v>
      </c>
      <c r="R4848" s="1">
        <v>0.1</v>
      </c>
      <c r="S4848">
        <f t="shared" si="300"/>
        <v>0</v>
      </c>
      <c r="T4848">
        <f>IFERROR(VLOOKUP(A4848,Table1[[Customer ID]:[Discount Amount]], 6, FALSE),"Not Found")</f>
        <v>0</v>
      </c>
      <c r="U4848" t="str">
        <f t="shared" si="301"/>
        <v>Debit Card</v>
      </c>
      <c r="V4848" s="4" t="str">
        <f t="shared" si="302"/>
        <v>Normal</v>
      </c>
      <c r="W4848" s="4" t="str">
        <f t="shared" si="303"/>
        <v>Poor</v>
      </c>
      <c r="X4848" s="4">
        <f>AVERAGE(Table1[Purchase Amount])</f>
        <v>129.48419400000012</v>
      </c>
    </row>
    <row r="4849" spans="1:24" ht="15" customHeight="1" x14ac:dyDescent="0.25">
      <c r="A4849">
        <v>4947</v>
      </c>
      <c r="B4849">
        <v>50</v>
      </c>
      <c r="C4849" t="s">
        <v>27</v>
      </c>
      <c r="D4849" t="s">
        <v>72</v>
      </c>
      <c r="E4849" t="s">
        <v>29</v>
      </c>
      <c r="F4849" s="2">
        <v>0</v>
      </c>
      <c r="G4849" t="s">
        <v>126</v>
      </c>
      <c r="H4849" t="s">
        <v>45</v>
      </c>
      <c r="I4849" t="s">
        <v>74</v>
      </c>
      <c r="J4849" t="s">
        <v>33</v>
      </c>
      <c r="K4849">
        <v>1</v>
      </c>
      <c r="L4849" t="s">
        <v>23</v>
      </c>
      <c r="M4849" t="s">
        <v>24</v>
      </c>
      <c r="N4849" t="s">
        <v>34</v>
      </c>
      <c r="O4849">
        <v>3</v>
      </c>
      <c r="P4849" t="s">
        <v>25</v>
      </c>
      <c r="Q4849" t="s">
        <v>26</v>
      </c>
      <c r="R4849" s="1">
        <v>0.1</v>
      </c>
      <c r="S4849">
        <f t="shared" si="300"/>
        <v>0</v>
      </c>
      <c r="T4849">
        <f>IFERROR(VLOOKUP(A4849,Table1[[Customer ID]:[Discount Amount]], 6, FALSE),"Not Found")</f>
        <v>0</v>
      </c>
      <c r="U4849" t="str">
        <f t="shared" si="301"/>
        <v>Cash</v>
      </c>
      <c r="V4849" s="4" t="str">
        <f t="shared" si="302"/>
        <v>Normal</v>
      </c>
      <c r="W4849" s="4" t="str">
        <f t="shared" si="303"/>
        <v>Poor</v>
      </c>
      <c r="X4849" s="4">
        <f>AVERAGE(Table1[Purchase Amount])</f>
        <v>129.48419400000012</v>
      </c>
    </row>
    <row r="4850" spans="1:24" ht="15" customHeight="1" x14ac:dyDescent="0.25">
      <c r="A4850">
        <v>4948</v>
      </c>
      <c r="B4850">
        <v>26</v>
      </c>
      <c r="C4850" t="s">
        <v>16</v>
      </c>
      <c r="D4850" t="s">
        <v>117</v>
      </c>
      <c r="E4850" t="s">
        <v>18</v>
      </c>
      <c r="F4850" s="2">
        <v>1293.17</v>
      </c>
      <c r="G4850" t="s">
        <v>82</v>
      </c>
      <c r="H4850" t="s">
        <v>31</v>
      </c>
      <c r="I4850" t="s">
        <v>93</v>
      </c>
      <c r="J4850" t="s">
        <v>57</v>
      </c>
      <c r="K4850">
        <v>5</v>
      </c>
      <c r="L4850" t="s">
        <v>34</v>
      </c>
      <c r="M4850" t="s">
        <v>61</v>
      </c>
      <c r="N4850" t="s">
        <v>23</v>
      </c>
      <c r="O4850">
        <v>0</v>
      </c>
      <c r="P4850" t="s">
        <v>25</v>
      </c>
      <c r="Q4850" t="s">
        <v>37</v>
      </c>
      <c r="R4850" s="1">
        <v>0.1</v>
      </c>
      <c r="S4850">
        <f t="shared" si="300"/>
        <v>1163.8530000000001</v>
      </c>
      <c r="T4850">
        <f>IFERROR(VLOOKUP(A4850,Table1[[Customer ID]:[Discount Amount]], 6, FALSE),"Not Found")</f>
        <v>1293.17</v>
      </c>
      <c r="U4850" t="str">
        <f t="shared" si="301"/>
        <v>Cash</v>
      </c>
      <c r="V4850" s="4" t="str">
        <f t="shared" si="302"/>
        <v>Best Customer</v>
      </c>
      <c r="W4850" s="4" t="str">
        <f t="shared" si="303"/>
        <v>Good</v>
      </c>
      <c r="X4850" s="4">
        <f>AVERAGE(Table1[Purchase Amount])</f>
        <v>129.48419400000012</v>
      </c>
    </row>
    <row r="4851" spans="1:24" ht="15" customHeight="1" x14ac:dyDescent="0.25">
      <c r="A4851">
        <v>4949</v>
      </c>
      <c r="B4851">
        <v>39</v>
      </c>
      <c r="C4851" t="s">
        <v>71</v>
      </c>
      <c r="D4851" t="s">
        <v>116</v>
      </c>
      <c r="E4851" t="s">
        <v>81</v>
      </c>
      <c r="F4851" s="2">
        <v>119.25</v>
      </c>
      <c r="G4851" t="s">
        <v>101</v>
      </c>
      <c r="H4851" t="s">
        <v>31</v>
      </c>
      <c r="I4851" t="s">
        <v>32</v>
      </c>
      <c r="J4851" t="s">
        <v>57</v>
      </c>
      <c r="K4851">
        <v>1</v>
      </c>
      <c r="L4851" t="s">
        <v>34</v>
      </c>
      <c r="M4851" t="s">
        <v>61</v>
      </c>
      <c r="N4851" t="s">
        <v>23</v>
      </c>
      <c r="O4851">
        <v>28</v>
      </c>
      <c r="P4851" t="s">
        <v>25</v>
      </c>
      <c r="Q4851" t="s">
        <v>42</v>
      </c>
      <c r="R4851" s="1">
        <v>0.1</v>
      </c>
      <c r="S4851">
        <f t="shared" si="300"/>
        <v>107.325</v>
      </c>
      <c r="T4851">
        <f>IFERROR(VLOOKUP(A4851,Table1[[Customer ID]:[Discount Amount]], 6, FALSE),"Not Found")</f>
        <v>119.25</v>
      </c>
      <c r="U4851" t="str">
        <f t="shared" si="301"/>
        <v>Cash</v>
      </c>
      <c r="V4851" s="4" t="str">
        <f t="shared" si="302"/>
        <v>Normal</v>
      </c>
      <c r="W4851" s="4" t="str">
        <f t="shared" si="303"/>
        <v>Poor</v>
      </c>
      <c r="X4851" s="4">
        <f>AVERAGE(Table1[Purchase Amount])</f>
        <v>129.48419400000012</v>
      </c>
    </row>
    <row r="4852" spans="1:24" ht="15" customHeight="1" x14ac:dyDescent="0.25">
      <c r="A4852">
        <v>4950</v>
      </c>
      <c r="B4852">
        <v>19</v>
      </c>
      <c r="C4852" t="s">
        <v>71</v>
      </c>
      <c r="D4852" t="s">
        <v>38</v>
      </c>
      <c r="E4852" t="s">
        <v>18</v>
      </c>
      <c r="F4852" s="2">
        <v>0</v>
      </c>
      <c r="G4852" t="s">
        <v>82</v>
      </c>
      <c r="H4852" t="s">
        <v>45</v>
      </c>
      <c r="I4852" t="s">
        <v>46</v>
      </c>
      <c r="J4852" t="s">
        <v>22</v>
      </c>
      <c r="K4852">
        <v>1</v>
      </c>
      <c r="L4852" t="s">
        <v>23</v>
      </c>
      <c r="M4852" t="s">
        <v>61</v>
      </c>
      <c r="N4852" t="s">
        <v>34</v>
      </c>
      <c r="O4852">
        <v>37</v>
      </c>
      <c r="P4852" t="s">
        <v>58</v>
      </c>
      <c r="Q4852" t="s">
        <v>37</v>
      </c>
      <c r="R4852" s="1">
        <v>0.1</v>
      </c>
      <c r="S4852">
        <f t="shared" si="300"/>
        <v>0</v>
      </c>
      <c r="T4852">
        <f>IFERROR(VLOOKUP(A4852,Table1[[Customer ID]:[Discount Amount]], 6, FALSE),"Not Found")</f>
        <v>0</v>
      </c>
      <c r="U4852" t="str">
        <f t="shared" si="301"/>
        <v>PayPal</v>
      </c>
      <c r="V4852" s="4" t="str">
        <f t="shared" si="302"/>
        <v>Normal</v>
      </c>
      <c r="W4852" s="4" t="str">
        <f t="shared" si="303"/>
        <v>Poor</v>
      </c>
      <c r="X4852" s="4">
        <f>AVERAGE(Table1[Purchase Amount])</f>
        <v>129.48419400000012</v>
      </c>
    </row>
    <row r="4853" spans="1:24" ht="15" customHeight="1" x14ac:dyDescent="0.25">
      <c r="A4853">
        <v>4951</v>
      </c>
      <c r="B4853">
        <v>34</v>
      </c>
      <c r="C4853" t="s">
        <v>27</v>
      </c>
      <c r="D4853" t="s">
        <v>95</v>
      </c>
      <c r="E4853" t="s">
        <v>81</v>
      </c>
      <c r="F4853" s="2">
        <v>0</v>
      </c>
      <c r="G4853" t="s">
        <v>73</v>
      </c>
      <c r="H4853" t="s">
        <v>31</v>
      </c>
      <c r="I4853" t="s">
        <v>40</v>
      </c>
      <c r="J4853" t="s">
        <v>33</v>
      </c>
      <c r="K4853">
        <v>1</v>
      </c>
      <c r="L4853" t="s">
        <v>23</v>
      </c>
      <c r="M4853" t="s">
        <v>61</v>
      </c>
      <c r="N4853" t="s">
        <v>23</v>
      </c>
      <c r="O4853">
        <v>0</v>
      </c>
      <c r="P4853" t="s">
        <v>25</v>
      </c>
      <c r="Q4853" t="s">
        <v>42</v>
      </c>
      <c r="R4853" s="1">
        <v>0.1</v>
      </c>
      <c r="S4853">
        <f t="shared" si="300"/>
        <v>0</v>
      </c>
      <c r="T4853">
        <f>IFERROR(VLOOKUP(A4853,Table1[[Customer ID]:[Discount Amount]], 6, FALSE),"Not Found")</f>
        <v>0</v>
      </c>
      <c r="U4853" t="str">
        <f t="shared" si="301"/>
        <v>Cash</v>
      </c>
      <c r="V4853" s="4" t="str">
        <f t="shared" si="302"/>
        <v>Normal</v>
      </c>
      <c r="W4853" s="4" t="str">
        <f t="shared" si="303"/>
        <v>Poor</v>
      </c>
      <c r="X4853" s="4">
        <f>AVERAGE(Table1[Purchase Amount])</f>
        <v>129.48419400000012</v>
      </c>
    </row>
    <row r="4854" spans="1:24" ht="15" customHeight="1" x14ac:dyDescent="0.25">
      <c r="A4854">
        <v>4952</v>
      </c>
      <c r="B4854">
        <v>27</v>
      </c>
      <c r="C4854" t="s">
        <v>27</v>
      </c>
      <c r="D4854" t="s">
        <v>117</v>
      </c>
      <c r="E4854" t="s">
        <v>29</v>
      </c>
      <c r="F4854" s="2">
        <v>139.43</v>
      </c>
      <c r="G4854" t="s">
        <v>73</v>
      </c>
      <c r="H4854" t="s">
        <v>45</v>
      </c>
      <c r="I4854" t="s">
        <v>40</v>
      </c>
      <c r="J4854" t="s">
        <v>75</v>
      </c>
      <c r="K4854">
        <v>1</v>
      </c>
      <c r="L4854" t="s">
        <v>34</v>
      </c>
      <c r="M4854" t="s">
        <v>24</v>
      </c>
      <c r="N4854" t="s">
        <v>23</v>
      </c>
      <c r="O4854">
        <v>4</v>
      </c>
      <c r="P4854" t="s">
        <v>58</v>
      </c>
      <c r="Q4854" t="s">
        <v>26</v>
      </c>
      <c r="R4854" s="1">
        <v>0.1</v>
      </c>
      <c r="S4854">
        <f t="shared" si="300"/>
        <v>125.48700000000001</v>
      </c>
      <c r="T4854">
        <f>IFERROR(VLOOKUP(A4854,Table1[[Customer ID]:[Discount Amount]], 6, FALSE),"Not Found")</f>
        <v>139.43</v>
      </c>
      <c r="U4854" t="str">
        <f t="shared" si="301"/>
        <v>PayPal</v>
      </c>
      <c r="V4854" s="4" t="str">
        <f t="shared" si="302"/>
        <v>Normal</v>
      </c>
      <c r="W4854" s="4" t="str">
        <f t="shared" si="303"/>
        <v>Poor</v>
      </c>
      <c r="X4854" s="4">
        <f>AVERAGE(Table1[Purchase Amount])</f>
        <v>129.48419400000012</v>
      </c>
    </row>
    <row r="4855" spans="1:24" ht="15" customHeight="1" x14ac:dyDescent="0.25">
      <c r="A4855">
        <v>4953</v>
      </c>
      <c r="B4855">
        <v>30</v>
      </c>
      <c r="C4855" t="s">
        <v>27</v>
      </c>
      <c r="D4855" t="s">
        <v>112</v>
      </c>
      <c r="E4855" t="s">
        <v>18</v>
      </c>
      <c r="F4855" s="2">
        <v>207.05</v>
      </c>
      <c r="G4855" t="s">
        <v>73</v>
      </c>
      <c r="H4855" t="s">
        <v>20</v>
      </c>
      <c r="I4855" t="s">
        <v>32</v>
      </c>
      <c r="J4855" t="s">
        <v>33</v>
      </c>
      <c r="K4855">
        <v>3</v>
      </c>
      <c r="L4855" t="s">
        <v>23</v>
      </c>
      <c r="M4855" t="s">
        <v>24</v>
      </c>
      <c r="N4855" t="s">
        <v>23</v>
      </c>
      <c r="O4855">
        <v>0</v>
      </c>
      <c r="P4855" t="s">
        <v>53</v>
      </c>
      <c r="Q4855" t="s">
        <v>42</v>
      </c>
      <c r="R4855" s="1">
        <v>0.1</v>
      </c>
      <c r="S4855">
        <f t="shared" si="300"/>
        <v>186.345</v>
      </c>
      <c r="T4855">
        <f>IFERROR(VLOOKUP(A4855,Table1[[Customer ID]:[Discount Amount]], 6, FALSE),"Not Found")</f>
        <v>207.05</v>
      </c>
      <c r="U4855" t="str">
        <f t="shared" si="301"/>
        <v>Credit Card</v>
      </c>
      <c r="V4855" s="4" t="str">
        <f t="shared" si="302"/>
        <v>Normal</v>
      </c>
      <c r="W4855" s="4" t="str">
        <f t="shared" si="303"/>
        <v>Good</v>
      </c>
      <c r="X4855" s="4">
        <f>AVERAGE(Table1[Purchase Amount])</f>
        <v>129.48419400000012</v>
      </c>
    </row>
    <row r="4856" spans="1:24" ht="15" customHeight="1" x14ac:dyDescent="0.25">
      <c r="A4856">
        <v>4954</v>
      </c>
      <c r="B4856">
        <v>18</v>
      </c>
      <c r="C4856" t="s">
        <v>27</v>
      </c>
      <c r="D4856" t="s">
        <v>80</v>
      </c>
      <c r="E4856" t="s">
        <v>81</v>
      </c>
      <c r="F4856" s="2">
        <v>1445.84</v>
      </c>
      <c r="G4856" t="s">
        <v>126</v>
      </c>
      <c r="H4856" t="s">
        <v>31</v>
      </c>
      <c r="I4856" t="s">
        <v>93</v>
      </c>
      <c r="J4856" t="s">
        <v>75</v>
      </c>
      <c r="K4856">
        <v>1</v>
      </c>
      <c r="L4856" t="s">
        <v>23</v>
      </c>
      <c r="M4856" t="s">
        <v>61</v>
      </c>
      <c r="N4856" t="s">
        <v>23</v>
      </c>
      <c r="O4856">
        <v>41</v>
      </c>
      <c r="P4856" t="s">
        <v>53</v>
      </c>
      <c r="Q4856" t="s">
        <v>42</v>
      </c>
      <c r="R4856" s="1">
        <v>0.1</v>
      </c>
      <c r="S4856">
        <f t="shared" si="300"/>
        <v>1301.2559999999999</v>
      </c>
      <c r="T4856">
        <f>IFERROR(VLOOKUP(A4856,Table1[[Customer ID]:[Discount Amount]], 6, FALSE),"Not Found")</f>
        <v>1445.84</v>
      </c>
      <c r="U4856" t="str">
        <f t="shared" si="301"/>
        <v>Credit Card</v>
      </c>
      <c r="V4856" s="4" t="str">
        <f t="shared" si="302"/>
        <v>Normal</v>
      </c>
      <c r="W4856" s="4" t="str">
        <f t="shared" si="303"/>
        <v>Poor</v>
      </c>
      <c r="X4856" s="4">
        <f>AVERAGE(Table1[Purchase Amount])</f>
        <v>129.48419400000012</v>
      </c>
    </row>
    <row r="4857" spans="1:24" ht="15" customHeight="1" x14ac:dyDescent="0.25">
      <c r="A4857">
        <v>4955</v>
      </c>
      <c r="B4857">
        <v>20</v>
      </c>
      <c r="C4857" t="s">
        <v>71</v>
      </c>
      <c r="D4857" t="s">
        <v>116</v>
      </c>
      <c r="E4857" t="s">
        <v>81</v>
      </c>
      <c r="F4857" s="2">
        <v>0</v>
      </c>
      <c r="G4857" t="s">
        <v>82</v>
      </c>
      <c r="H4857" t="s">
        <v>31</v>
      </c>
      <c r="I4857" t="s">
        <v>46</v>
      </c>
      <c r="J4857" t="s">
        <v>22</v>
      </c>
      <c r="K4857">
        <v>1</v>
      </c>
      <c r="L4857" t="s">
        <v>23</v>
      </c>
      <c r="M4857" t="s">
        <v>61</v>
      </c>
      <c r="N4857" t="s">
        <v>23</v>
      </c>
      <c r="O4857">
        <v>3</v>
      </c>
      <c r="P4857" t="s">
        <v>25</v>
      </c>
      <c r="Q4857" t="s">
        <v>37</v>
      </c>
      <c r="R4857" s="1">
        <v>0.1</v>
      </c>
      <c r="S4857">
        <f t="shared" si="300"/>
        <v>0</v>
      </c>
      <c r="T4857">
        <f>IFERROR(VLOOKUP(A4857,Table1[[Customer ID]:[Discount Amount]], 6, FALSE),"Not Found")</f>
        <v>0</v>
      </c>
      <c r="U4857" t="str">
        <f t="shared" si="301"/>
        <v>Cash</v>
      </c>
      <c r="V4857" s="4" t="str">
        <f t="shared" si="302"/>
        <v>Normal</v>
      </c>
      <c r="W4857" s="4" t="str">
        <f t="shared" si="303"/>
        <v>Poor</v>
      </c>
      <c r="X4857" s="4">
        <f>AVERAGE(Table1[Purchase Amount])</f>
        <v>129.48419400000012</v>
      </c>
    </row>
    <row r="4858" spans="1:24" ht="15" customHeight="1" x14ac:dyDescent="0.25">
      <c r="A4858">
        <v>4956</v>
      </c>
      <c r="B4858">
        <v>69</v>
      </c>
      <c r="C4858" t="s">
        <v>71</v>
      </c>
      <c r="D4858" t="s">
        <v>112</v>
      </c>
      <c r="E4858" t="s">
        <v>18</v>
      </c>
      <c r="F4858" s="2">
        <v>843.8</v>
      </c>
      <c r="G4858" t="s">
        <v>126</v>
      </c>
      <c r="H4858" t="s">
        <v>20</v>
      </c>
      <c r="I4858" t="s">
        <v>74</v>
      </c>
      <c r="J4858" t="s">
        <v>75</v>
      </c>
      <c r="K4858">
        <v>4</v>
      </c>
      <c r="L4858" t="s">
        <v>34</v>
      </c>
      <c r="M4858" t="s">
        <v>24</v>
      </c>
      <c r="N4858" t="s">
        <v>23</v>
      </c>
      <c r="O4858">
        <v>0</v>
      </c>
      <c r="P4858" t="s">
        <v>36</v>
      </c>
      <c r="Q4858" t="s">
        <v>42</v>
      </c>
      <c r="R4858" s="1">
        <v>0.1</v>
      </c>
      <c r="S4858">
        <f t="shared" si="300"/>
        <v>759.42</v>
      </c>
      <c r="T4858">
        <f>IFERROR(VLOOKUP(A4858,Table1[[Customer ID]:[Discount Amount]], 6, FALSE),"Not Found")</f>
        <v>843.8</v>
      </c>
      <c r="U4858" t="str">
        <f t="shared" si="301"/>
        <v>Debit Card</v>
      </c>
      <c r="V4858" s="4" t="str">
        <f t="shared" si="302"/>
        <v>Normal</v>
      </c>
      <c r="W4858" s="4" t="str">
        <f t="shared" si="303"/>
        <v>Good</v>
      </c>
      <c r="X4858" s="4">
        <f>AVERAGE(Table1[Purchase Amount])</f>
        <v>129.48419400000012</v>
      </c>
    </row>
    <row r="4859" spans="1:24" ht="15" customHeight="1" x14ac:dyDescent="0.25">
      <c r="A4859">
        <v>4957</v>
      </c>
      <c r="B4859">
        <v>54</v>
      </c>
      <c r="C4859" t="s">
        <v>71</v>
      </c>
      <c r="D4859" t="s">
        <v>117</v>
      </c>
      <c r="E4859" t="s">
        <v>29</v>
      </c>
      <c r="F4859" s="2">
        <v>0</v>
      </c>
      <c r="G4859" t="s">
        <v>101</v>
      </c>
      <c r="H4859" t="s">
        <v>55</v>
      </c>
      <c r="I4859" t="s">
        <v>93</v>
      </c>
      <c r="J4859" t="s">
        <v>75</v>
      </c>
      <c r="K4859">
        <v>5</v>
      </c>
      <c r="L4859" t="s">
        <v>34</v>
      </c>
      <c r="M4859" t="s">
        <v>61</v>
      </c>
      <c r="N4859" t="s">
        <v>23</v>
      </c>
      <c r="O4859">
        <v>21</v>
      </c>
      <c r="P4859" t="s">
        <v>58</v>
      </c>
      <c r="Q4859" t="s">
        <v>26</v>
      </c>
      <c r="R4859" s="1">
        <v>0.1</v>
      </c>
      <c r="S4859">
        <f t="shared" si="300"/>
        <v>0</v>
      </c>
      <c r="T4859">
        <f>IFERROR(VLOOKUP(A4859,Table1[[Customer ID]:[Discount Amount]], 6, FALSE),"Not Found")</f>
        <v>0</v>
      </c>
      <c r="U4859" t="str">
        <f t="shared" si="301"/>
        <v>PayPal</v>
      </c>
      <c r="V4859" s="4" t="str">
        <f t="shared" si="302"/>
        <v>Normal</v>
      </c>
      <c r="W4859" s="4" t="str">
        <f t="shared" si="303"/>
        <v>Good</v>
      </c>
      <c r="X4859" s="4">
        <f>AVERAGE(Table1[Purchase Amount])</f>
        <v>129.48419400000012</v>
      </c>
    </row>
    <row r="4860" spans="1:24" ht="15" customHeight="1" x14ac:dyDescent="0.25">
      <c r="A4860">
        <v>4958</v>
      </c>
      <c r="B4860">
        <v>28</v>
      </c>
      <c r="C4860" t="s">
        <v>16</v>
      </c>
      <c r="D4860" t="s">
        <v>72</v>
      </c>
      <c r="E4860" t="s">
        <v>29</v>
      </c>
      <c r="F4860" s="2">
        <v>0</v>
      </c>
      <c r="G4860" t="s">
        <v>101</v>
      </c>
      <c r="H4860" t="s">
        <v>45</v>
      </c>
      <c r="I4860" t="s">
        <v>46</v>
      </c>
      <c r="J4860" t="s">
        <v>22</v>
      </c>
      <c r="K4860">
        <v>2</v>
      </c>
      <c r="L4860" t="s">
        <v>23</v>
      </c>
      <c r="M4860" t="s">
        <v>61</v>
      </c>
      <c r="N4860" t="s">
        <v>34</v>
      </c>
      <c r="O4860">
        <v>0</v>
      </c>
      <c r="P4860" t="s">
        <v>58</v>
      </c>
      <c r="Q4860" t="s">
        <v>42</v>
      </c>
      <c r="R4860" s="1">
        <v>0.1</v>
      </c>
      <c r="S4860">
        <f t="shared" si="300"/>
        <v>0</v>
      </c>
      <c r="T4860">
        <f>IFERROR(VLOOKUP(A4860,Table1[[Customer ID]:[Discount Amount]], 6, FALSE),"Not Found")</f>
        <v>0</v>
      </c>
      <c r="U4860" t="str">
        <f t="shared" si="301"/>
        <v>PayPal</v>
      </c>
      <c r="V4860" s="4" t="str">
        <f t="shared" si="302"/>
        <v>Normal</v>
      </c>
      <c r="W4860" s="4" t="str">
        <f t="shared" si="303"/>
        <v>Poor</v>
      </c>
      <c r="X4860" s="4">
        <f>AVERAGE(Table1[Purchase Amount])</f>
        <v>129.48419400000012</v>
      </c>
    </row>
    <row r="4861" spans="1:24" ht="15" customHeight="1" x14ac:dyDescent="0.25">
      <c r="A4861">
        <v>4959</v>
      </c>
      <c r="B4861">
        <v>27</v>
      </c>
      <c r="C4861" t="s">
        <v>27</v>
      </c>
      <c r="D4861" t="s">
        <v>116</v>
      </c>
      <c r="E4861" t="s">
        <v>18</v>
      </c>
      <c r="F4861" s="2">
        <v>180.8</v>
      </c>
      <c r="G4861" t="s">
        <v>101</v>
      </c>
      <c r="H4861" t="s">
        <v>55</v>
      </c>
      <c r="I4861" t="s">
        <v>74</v>
      </c>
      <c r="J4861" t="s">
        <v>33</v>
      </c>
      <c r="K4861">
        <v>5</v>
      </c>
      <c r="L4861" t="s">
        <v>23</v>
      </c>
      <c r="M4861" t="s">
        <v>61</v>
      </c>
      <c r="N4861" t="s">
        <v>34</v>
      </c>
      <c r="O4861">
        <v>26</v>
      </c>
      <c r="P4861" t="s">
        <v>53</v>
      </c>
      <c r="Q4861" t="s">
        <v>26</v>
      </c>
      <c r="R4861" s="1">
        <v>0.1</v>
      </c>
      <c r="S4861">
        <f t="shared" si="300"/>
        <v>162.72</v>
      </c>
      <c r="T4861">
        <f>IFERROR(VLOOKUP(A4861,Table1[[Customer ID]:[Discount Amount]], 6, FALSE),"Not Found")</f>
        <v>180.8</v>
      </c>
      <c r="U4861" t="str">
        <f t="shared" si="301"/>
        <v>Credit Card</v>
      </c>
      <c r="V4861" s="4" t="str">
        <f t="shared" si="302"/>
        <v>Normal</v>
      </c>
      <c r="W4861" s="4" t="str">
        <f t="shared" si="303"/>
        <v>Good</v>
      </c>
      <c r="X4861" s="4">
        <f>AVERAGE(Table1[Purchase Amount])</f>
        <v>129.48419400000012</v>
      </c>
    </row>
    <row r="4862" spans="1:24" ht="15" customHeight="1" x14ac:dyDescent="0.25">
      <c r="A4862">
        <v>4960</v>
      </c>
      <c r="B4862">
        <v>52</v>
      </c>
      <c r="C4862" t="s">
        <v>27</v>
      </c>
      <c r="D4862" t="s">
        <v>38</v>
      </c>
      <c r="E4862" t="s">
        <v>18</v>
      </c>
      <c r="F4862" s="2">
        <v>286.38</v>
      </c>
      <c r="G4862" t="s">
        <v>139</v>
      </c>
      <c r="H4862" t="s">
        <v>45</v>
      </c>
      <c r="I4862" t="s">
        <v>40</v>
      </c>
      <c r="J4862" t="s">
        <v>75</v>
      </c>
      <c r="K4862">
        <v>1</v>
      </c>
      <c r="L4862" t="s">
        <v>34</v>
      </c>
      <c r="M4862" t="s">
        <v>61</v>
      </c>
      <c r="N4862" t="s">
        <v>34</v>
      </c>
      <c r="O4862">
        <v>0</v>
      </c>
      <c r="P4862" t="s">
        <v>58</v>
      </c>
      <c r="Q4862" t="s">
        <v>37</v>
      </c>
      <c r="R4862" s="1">
        <v>0.1</v>
      </c>
      <c r="S4862">
        <f t="shared" si="300"/>
        <v>257.74200000000002</v>
      </c>
      <c r="T4862">
        <f>IFERROR(VLOOKUP(A4862,Table1[[Customer ID]:[Discount Amount]], 6, FALSE),"Not Found")</f>
        <v>286.38</v>
      </c>
      <c r="U4862" t="str">
        <f t="shared" si="301"/>
        <v>PayPal</v>
      </c>
      <c r="V4862" s="4" t="str">
        <f t="shared" si="302"/>
        <v>Normal</v>
      </c>
      <c r="W4862" s="4" t="str">
        <f t="shared" si="303"/>
        <v>Poor</v>
      </c>
      <c r="X4862" s="4">
        <f>AVERAGE(Table1[Purchase Amount])</f>
        <v>129.48419400000012</v>
      </c>
    </row>
    <row r="4863" spans="1:24" ht="15" customHeight="1" x14ac:dyDescent="0.25">
      <c r="A4863">
        <v>4961</v>
      </c>
      <c r="B4863">
        <v>24</v>
      </c>
      <c r="C4863" t="s">
        <v>71</v>
      </c>
      <c r="D4863" t="s">
        <v>72</v>
      </c>
      <c r="E4863" t="s">
        <v>29</v>
      </c>
      <c r="F4863" s="2">
        <v>0</v>
      </c>
      <c r="G4863" t="s">
        <v>126</v>
      </c>
      <c r="H4863" t="s">
        <v>45</v>
      </c>
      <c r="I4863" t="s">
        <v>46</v>
      </c>
      <c r="J4863" t="s">
        <v>22</v>
      </c>
      <c r="K4863">
        <v>1</v>
      </c>
      <c r="L4863" t="s">
        <v>23</v>
      </c>
      <c r="M4863" t="s">
        <v>24</v>
      </c>
      <c r="N4863" t="s">
        <v>23</v>
      </c>
      <c r="O4863">
        <v>45</v>
      </c>
      <c r="P4863" t="s">
        <v>25</v>
      </c>
      <c r="Q4863" t="s">
        <v>37</v>
      </c>
      <c r="R4863" s="1">
        <v>0.1</v>
      </c>
      <c r="S4863">
        <f t="shared" si="300"/>
        <v>0</v>
      </c>
      <c r="T4863">
        <f>IFERROR(VLOOKUP(A4863,Table1[[Customer ID]:[Discount Amount]], 6, FALSE),"Not Found")</f>
        <v>0</v>
      </c>
      <c r="U4863" t="str">
        <f t="shared" si="301"/>
        <v>Cash</v>
      </c>
      <c r="V4863" s="4" t="str">
        <f t="shared" si="302"/>
        <v>Normal</v>
      </c>
      <c r="W4863" s="4" t="str">
        <f t="shared" si="303"/>
        <v>Poor</v>
      </c>
      <c r="X4863" s="4">
        <f>AVERAGE(Table1[Purchase Amount])</f>
        <v>129.48419400000012</v>
      </c>
    </row>
    <row r="4864" spans="1:24" ht="15" customHeight="1" x14ac:dyDescent="0.25">
      <c r="A4864">
        <v>4962</v>
      </c>
      <c r="B4864">
        <v>44</v>
      </c>
      <c r="C4864" t="s">
        <v>71</v>
      </c>
      <c r="D4864" t="s">
        <v>95</v>
      </c>
      <c r="E4864" t="s">
        <v>29</v>
      </c>
      <c r="F4864" s="2">
        <v>0</v>
      </c>
      <c r="G4864" t="s">
        <v>82</v>
      </c>
      <c r="H4864" t="s">
        <v>45</v>
      </c>
      <c r="I4864" t="s">
        <v>40</v>
      </c>
      <c r="J4864" t="s">
        <v>22</v>
      </c>
      <c r="K4864">
        <v>1</v>
      </c>
      <c r="L4864" t="s">
        <v>23</v>
      </c>
      <c r="M4864" t="s">
        <v>24</v>
      </c>
      <c r="N4864" t="s">
        <v>34</v>
      </c>
      <c r="O4864">
        <v>28</v>
      </c>
      <c r="P4864" t="s">
        <v>58</v>
      </c>
      <c r="Q4864" t="s">
        <v>37</v>
      </c>
      <c r="R4864" s="1">
        <v>0.1</v>
      </c>
      <c r="S4864">
        <f t="shared" si="300"/>
        <v>0</v>
      </c>
      <c r="T4864">
        <f>IFERROR(VLOOKUP(A4864,Table1[[Customer ID]:[Discount Amount]], 6, FALSE),"Not Found")</f>
        <v>0</v>
      </c>
      <c r="U4864" t="str">
        <f t="shared" si="301"/>
        <v>PayPal</v>
      </c>
      <c r="V4864" s="4" t="str">
        <f t="shared" si="302"/>
        <v>Normal</v>
      </c>
      <c r="W4864" s="4" t="str">
        <f t="shared" si="303"/>
        <v>Poor</v>
      </c>
      <c r="X4864" s="4">
        <f>AVERAGE(Table1[Purchase Amount])</f>
        <v>129.48419400000012</v>
      </c>
    </row>
    <row r="4865" spans="1:24" ht="15" customHeight="1" x14ac:dyDescent="0.25">
      <c r="A4865">
        <v>4963</v>
      </c>
      <c r="B4865">
        <v>27</v>
      </c>
      <c r="C4865" t="s">
        <v>16</v>
      </c>
      <c r="D4865" t="s">
        <v>112</v>
      </c>
      <c r="E4865" t="s">
        <v>18</v>
      </c>
      <c r="F4865" s="2">
        <v>0</v>
      </c>
      <c r="G4865" t="s">
        <v>73</v>
      </c>
      <c r="H4865" t="s">
        <v>31</v>
      </c>
      <c r="I4865" t="s">
        <v>46</v>
      </c>
      <c r="J4865" t="s">
        <v>75</v>
      </c>
      <c r="K4865">
        <v>1</v>
      </c>
      <c r="L4865" t="s">
        <v>23</v>
      </c>
      <c r="M4865" t="s">
        <v>24</v>
      </c>
      <c r="N4865" t="s">
        <v>34</v>
      </c>
      <c r="O4865">
        <v>0</v>
      </c>
      <c r="P4865" t="s">
        <v>53</v>
      </c>
      <c r="Q4865" t="s">
        <v>37</v>
      </c>
      <c r="R4865" s="1">
        <v>0.1</v>
      </c>
      <c r="S4865">
        <f t="shared" si="300"/>
        <v>0</v>
      </c>
      <c r="T4865">
        <f>IFERROR(VLOOKUP(A4865,Table1[[Customer ID]:[Discount Amount]], 6, FALSE),"Not Found")</f>
        <v>0</v>
      </c>
      <c r="U4865" t="str">
        <f t="shared" si="301"/>
        <v>Credit Card</v>
      </c>
      <c r="V4865" s="4" t="str">
        <f t="shared" si="302"/>
        <v>Normal</v>
      </c>
      <c r="W4865" s="4" t="str">
        <f t="shared" si="303"/>
        <v>Poor</v>
      </c>
      <c r="X4865" s="4">
        <f>AVERAGE(Table1[Purchase Amount])</f>
        <v>129.48419400000012</v>
      </c>
    </row>
    <row r="4866" spans="1:24" ht="15" customHeight="1" x14ac:dyDescent="0.25">
      <c r="A4866">
        <v>4964</v>
      </c>
      <c r="B4866">
        <v>43</v>
      </c>
      <c r="C4866" t="s">
        <v>71</v>
      </c>
      <c r="D4866" t="s">
        <v>72</v>
      </c>
      <c r="E4866" t="s">
        <v>18</v>
      </c>
      <c r="F4866" s="2">
        <v>0</v>
      </c>
      <c r="G4866" t="s">
        <v>73</v>
      </c>
      <c r="H4866" t="s">
        <v>20</v>
      </c>
      <c r="I4866" t="s">
        <v>74</v>
      </c>
      <c r="J4866" t="s">
        <v>22</v>
      </c>
      <c r="K4866">
        <v>1</v>
      </c>
      <c r="L4866" t="s">
        <v>23</v>
      </c>
      <c r="M4866" t="s">
        <v>61</v>
      </c>
      <c r="N4866" t="s">
        <v>34</v>
      </c>
      <c r="O4866">
        <v>0</v>
      </c>
      <c r="P4866" t="s">
        <v>36</v>
      </c>
      <c r="Q4866" t="s">
        <v>26</v>
      </c>
      <c r="R4866" s="1">
        <v>0.1</v>
      </c>
      <c r="S4866">
        <f t="shared" ref="S4866:S4929" si="304">F4866-(F4866*R4866)</f>
        <v>0</v>
      </c>
      <c r="T4866">
        <f>IFERROR(VLOOKUP(A4866,Table1[[Customer ID]:[Discount Amount]], 6, FALSE),"Not Found")</f>
        <v>0</v>
      </c>
      <c r="U4866" t="str">
        <f t="shared" ref="U4866:U4929" si="305">INDEX(P:P, MATCH(A4866, A:A, 0))</f>
        <v>Debit Card</v>
      </c>
      <c r="V4866" s="4" t="str">
        <f t="shared" ref="V4866:V4929" si="306">IF(AND(F4866&gt;1000,K4866&gt;=4),"Best Customer","Normal")</f>
        <v>Normal</v>
      </c>
      <c r="W4866" s="4" t="str">
        <f t="shared" ref="W4866:W4929" si="307">IF(K4866&gt;=3,"Good","Poor")</f>
        <v>Poor</v>
      </c>
      <c r="X4866" s="4">
        <f>AVERAGE(Table1[Purchase Amount])</f>
        <v>129.48419400000012</v>
      </c>
    </row>
    <row r="4867" spans="1:24" ht="15" customHeight="1" x14ac:dyDescent="0.25">
      <c r="A4867">
        <v>4965</v>
      </c>
      <c r="B4867">
        <v>41</v>
      </c>
      <c r="C4867" t="s">
        <v>16</v>
      </c>
      <c r="D4867" t="s">
        <v>38</v>
      </c>
      <c r="E4867" t="s">
        <v>18</v>
      </c>
      <c r="F4867" s="2">
        <v>0</v>
      </c>
      <c r="G4867" t="s">
        <v>82</v>
      </c>
      <c r="H4867" t="s">
        <v>55</v>
      </c>
      <c r="I4867" t="s">
        <v>93</v>
      </c>
      <c r="J4867" t="s">
        <v>75</v>
      </c>
      <c r="K4867">
        <v>4</v>
      </c>
      <c r="L4867" t="s">
        <v>34</v>
      </c>
      <c r="M4867" t="s">
        <v>61</v>
      </c>
      <c r="N4867" t="s">
        <v>34</v>
      </c>
      <c r="O4867">
        <v>0</v>
      </c>
      <c r="P4867" t="s">
        <v>53</v>
      </c>
      <c r="Q4867" t="s">
        <v>42</v>
      </c>
      <c r="R4867" s="1">
        <v>0.1</v>
      </c>
      <c r="S4867">
        <f t="shared" si="304"/>
        <v>0</v>
      </c>
      <c r="T4867">
        <f>IFERROR(VLOOKUP(A4867,Table1[[Customer ID]:[Discount Amount]], 6, FALSE),"Not Found")</f>
        <v>0</v>
      </c>
      <c r="U4867" t="str">
        <f t="shared" si="305"/>
        <v>Credit Card</v>
      </c>
      <c r="V4867" s="4" t="str">
        <f t="shared" si="306"/>
        <v>Normal</v>
      </c>
      <c r="W4867" s="4" t="str">
        <f t="shared" si="307"/>
        <v>Good</v>
      </c>
      <c r="X4867" s="4">
        <f>AVERAGE(Table1[Purchase Amount])</f>
        <v>129.48419400000012</v>
      </c>
    </row>
    <row r="4868" spans="1:24" ht="15" customHeight="1" x14ac:dyDescent="0.25">
      <c r="A4868">
        <v>4966</v>
      </c>
      <c r="B4868">
        <v>48</v>
      </c>
      <c r="C4868" t="s">
        <v>27</v>
      </c>
      <c r="D4868" t="s">
        <v>116</v>
      </c>
      <c r="E4868" t="s">
        <v>29</v>
      </c>
      <c r="F4868" s="2">
        <v>287.01</v>
      </c>
      <c r="G4868" t="s">
        <v>73</v>
      </c>
      <c r="H4868" t="s">
        <v>31</v>
      </c>
      <c r="I4868" t="s">
        <v>74</v>
      </c>
      <c r="J4868" t="s">
        <v>22</v>
      </c>
      <c r="K4868">
        <v>3</v>
      </c>
      <c r="L4868" t="s">
        <v>34</v>
      </c>
      <c r="M4868" t="s">
        <v>61</v>
      </c>
      <c r="N4868" t="s">
        <v>34</v>
      </c>
      <c r="O4868">
        <v>45</v>
      </c>
      <c r="P4868" t="s">
        <v>53</v>
      </c>
      <c r="Q4868" t="s">
        <v>37</v>
      </c>
      <c r="R4868" s="1">
        <v>0.1</v>
      </c>
      <c r="S4868">
        <f t="shared" si="304"/>
        <v>258.30899999999997</v>
      </c>
      <c r="T4868">
        <f>IFERROR(VLOOKUP(A4868,Table1[[Customer ID]:[Discount Amount]], 6, FALSE),"Not Found")</f>
        <v>287.01</v>
      </c>
      <c r="U4868" t="str">
        <f t="shared" si="305"/>
        <v>Credit Card</v>
      </c>
      <c r="V4868" s="4" t="str">
        <f t="shared" si="306"/>
        <v>Normal</v>
      </c>
      <c r="W4868" s="4" t="str">
        <f t="shared" si="307"/>
        <v>Good</v>
      </c>
      <c r="X4868" s="4">
        <f>AVERAGE(Table1[Purchase Amount])</f>
        <v>129.48419400000012</v>
      </c>
    </row>
    <row r="4869" spans="1:24" ht="15" customHeight="1" x14ac:dyDescent="0.25">
      <c r="A4869">
        <v>4967</v>
      </c>
      <c r="B4869">
        <v>20</v>
      </c>
      <c r="C4869" t="s">
        <v>71</v>
      </c>
      <c r="D4869" t="s">
        <v>80</v>
      </c>
      <c r="E4869" t="s">
        <v>18</v>
      </c>
      <c r="F4869" s="2">
        <v>0</v>
      </c>
      <c r="G4869" t="s">
        <v>73</v>
      </c>
      <c r="H4869" t="s">
        <v>55</v>
      </c>
      <c r="I4869" t="s">
        <v>32</v>
      </c>
      <c r="J4869" t="s">
        <v>22</v>
      </c>
      <c r="K4869">
        <v>4</v>
      </c>
      <c r="L4869" t="s">
        <v>23</v>
      </c>
      <c r="M4869" t="s">
        <v>24</v>
      </c>
      <c r="N4869" t="s">
        <v>34</v>
      </c>
      <c r="O4869">
        <v>0</v>
      </c>
      <c r="P4869" t="s">
        <v>36</v>
      </c>
      <c r="Q4869" t="s">
        <v>42</v>
      </c>
      <c r="R4869" s="1">
        <v>0.1</v>
      </c>
      <c r="S4869">
        <f t="shared" si="304"/>
        <v>0</v>
      </c>
      <c r="T4869">
        <f>IFERROR(VLOOKUP(A4869,Table1[[Customer ID]:[Discount Amount]], 6, FALSE),"Not Found")</f>
        <v>0</v>
      </c>
      <c r="U4869" t="str">
        <f t="shared" si="305"/>
        <v>Debit Card</v>
      </c>
      <c r="V4869" s="4" t="str">
        <f t="shared" si="306"/>
        <v>Normal</v>
      </c>
      <c r="W4869" s="4" t="str">
        <f t="shared" si="307"/>
        <v>Good</v>
      </c>
      <c r="X4869" s="4">
        <f>AVERAGE(Table1[Purchase Amount])</f>
        <v>129.48419400000012</v>
      </c>
    </row>
    <row r="4870" spans="1:24" ht="15" customHeight="1" x14ac:dyDescent="0.25">
      <c r="A4870">
        <v>4968</v>
      </c>
      <c r="B4870">
        <v>27</v>
      </c>
      <c r="C4870" t="s">
        <v>27</v>
      </c>
      <c r="D4870" t="s">
        <v>116</v>
      </c>
      <c r="E4870" t="s">
        <v>81</v>
      </c>
      <c r="F4870" s="2">
        <v>897.39</v>
      </c>
      <c r="G4870" t="s">
        <v>101</v>
      </c>
      <c r="H4870" t="s">
        <v>31</v>
      </c>
      <c r="I4870" t="s">
        <v>40</v>
      </c>
      <c r="J4870" t="s">
        <v>57</v>
      </c>
      <c r="K4870">
        <v>1</v>
      </c>
      <c r="L4870" t="s">
        <v>23</v>
      </c>
      <c r="M4870" t="s">
        <v>24</v>
      </c>
      <c r="N4870" t="s">
        <v>23</v>
      </c>
      <c r="O4870">
        <v>0</v>
      </c>
      <c r="P4870" t="s">
        <v>58</v>
      </c>
      <c r="Q4870" t="s">
        <v>42</v>
      </c>
      <c r="R4870" s="1">
        <v>0.1</v>
      </c>
      <c r="S4870">
        <f t="shared" si="304"/>
        <v>807.65099999999995</v>
      </c>
      <c r="T4870">
        <f>IFERROR(VLOOKUP(A4870,Table1[[Customer ID]:[Discount Amount]], 6, FALSE),"Not Found")</f>
        <v>897.39</v>
      </c>
      <c r="U4870" t="str">
        <f t="shared" si="305"/>
        <v>PayPal</v>
      </c>
      <c r="V4870" s="4" t="str">
        <f t="shared" si="306"/>
        <v>Normal</v>
      </c>
      <c r="W4870" s="4" t="str">
        <f t="shared" si="307"/>
        <v>Poor</v>
      </c>
      <c r="X4870" s="4">
        <f>AVERAGE(Table1[Purchase Amount])</f>
        <v>129.48419400000012</v>
      </c>
    </row>
    <row r="4871" spans="1:24" ht="15" customHeight="1" x14ac:dyDescent="0.25">
      <c r="A4871">
        <v>4969</v>
      </c>
      <c r="B4871">
        <v>57</v>
      </c>
      <c r="C4871" t="s">
        <v>16</v>
      </c>
      <c r="D4871" t="s">
        <v>117</v>
      </c>
      <c r="E4871" t="s">
        <v>18</v>
      </c>
      <c r="F4871" s="2">
        <v>1384.26</v>
      </c>
      <c r="G4871" t="s">
        <v>73</v>
      </c>
      <c r="H4871" t="s">
        <v>45</v>
      </c>
      <c r="I4871" t="s">
        <v>74</v>
      </c>
      <c r="J4871" t="s">
        <v>22</v>
      </c>
      <c r="K4871">
        <v>1</v>
      </c>
      <c r="L4871" t="s">
        <v>34</v>
      </c>
      <c r="M4871" t="s">
        <v>24</v>
      </c>
      <c r="N4871" t="s">
        <v>23</v>
      </c>
      <c r="O4871">
        <v>42</v>
      </c>
      <c r="P4871" t="s">
        <v>53</v>
      </c>
      <c r="Q4871" t="s">
        <v>26</v>
      </c>
      <c r="R4871" s="1">
        <v>0.1</v>
      </c>
      <c r="S4871">
        <f t="shared" si="304"/>
        <v>1245.8340000000001</v>
      </c>
      <c r="T4871">
        <f>IFERROR(VLOOKUP(A4871,Table1[[Customer ID]:[Discount Amount]], 6, FALSE),"Not Found")</f>
        <v>1384.26</v>
      </c>
      <c r="U4871" t="str">
        <f t="shared" si="305"/>
        <v>Credit Card</v>
      </c>
      <c r="V4871" s="4" t="str">
        <f t="shared" si="306"/>
        <v>Normal</v>
      </c>
      <c r="W4871" s="4" t="str">
        <f t="shared" si="307"/>
        <v>Poor</v>
      </c>
      <c r="X4871" s="4">
        <f>AVERAGE(Table1[Purchase Amount])</f>
        <v>129.48419400000012</v>
      </c>
    </row>
    <row r="4872" spans="1:24" ht="15" customHeight="1" x14ac:dyDescent="0.25">
      <c r="A4872">
        <v>4970</v>
      </c>
      <c r="B4872">
        <v>66</v>
      </c>
      <c r="C4872" t="s">
        <v>27</v>
      </c>
      <c r="D4872" t="s">
        <v>117</v>
      </c>
      <c r="E4872" t="s">
        <v>29</v>
      </c>
      <c r="F4872" s="2">
        <v>0</v>
      </c>
      <c r="G4872" t="s">
        <v>139</v>
      </c>
      <c r="H4872" t="s">
        <v>55</v>
      </c>
      <c r="I4872" t="s">
        <v>93</v>
      </c>
      <c r="J4872" t="s">
        <v>57</v>
      </c>
      <c r="K4872">
        <v>1</v>
      </c>
      <c r="L4872" t="s">
        <v>34</v>
      </c>
      <c r="M4872" t="s">
        <v>24</v>
      </c>
      <c r="N4872" t="s">
        <v>23</v>
      </c>
      <c r="O4872">
        <v>42</v>
      </c>
      <c r="P4872" t="s">
        <v>53</v>
      </c>
      <c r="Q4872" t="s">
        <v>26</v>
      </c>
      <c r="R4872" s="1">
        <v>0.1</v>
      </c>
      <c r="S4872">
        <f t="shared" si="304"/>
        <v>0</v>
      </c>
      <c r="T4872">
        <f>IFERROR(VLOOKUP(A4872,Table1[[Customer ID]:[Discount Amount]], 6, FALSE),"Not Found")</f>
        <v>0</v>
      </c>
      <c r="U4872" t="str">
        <f t="shared" si="305"/>
        <v>Credit Card</v>
      </c>
      <c r="V4872" s="4" t="str">
        <f t="shared" si="306"/>
        <v>Normal</v>
      </c>
      <c r="W4872" s="4" t="str">
        <f t="shared" si="307"/>
        <v>Poor</v>
      </c>
      <c r="X4872" s="4">
        <f>AVERAGE(Table1[Purchase Amount])</f>
        <v>129.48419400000012</v>
      </c>
    </row>
    <row r="4873" spans="1:24" ht="15" customHeight="1" x14ac:dyDescent="0.25">
      <c r="A4873">
        <v>4971</v>
      </c>
      <c r="B4873">
        <v>37</v>
      </c>
      <c r="C4873" t="s">
        <v>27</v>
      </c>
      <c r="D4873" t="s">
        <v>116</v>
      </c>
      <c r="E4873" t="s">
        <v>81</v>
      </c>
      <c r="F4873" s="2">
        <v>0</v>
      </c>
      <c r="G4873" t="s">
        <v>73</v>
      </c>
      <c r="H4873" t="s">
        <v>31</v>
      </c>
      <c r="I4873" t="s">
        <v>93</v>
      </c>
      <c r="J4873" t="s">
        <v>57</v>
      </c>
      <c r="K4873">
        <v>1</v>
      </c>
      <c r="L4873" t="s">
        <v>34</v>
      </c>
      <c r="M4873" t="s">
        <v>61</v>
      </c>
      <c r="N4873" t="s">
        <v>34</v>
      </c>
      <c r="O4873">
        <v>22</v>
      </c>
      <c r="P4873" t="s">
        <v>25</v>
      </c>
      <c r="Q4873" t="s">
        <v>42</v>
      </c>
      <c r="R4873" s="1">
        <v>0.1</v>
      </c>
      <c r="S4873">
        <f t="shared" si="304"/>
        <v>0</v>
      </c>
      <c r="T4873">
        <f>IFERROR(VLOOKUP(A4873,Table1[[Customer ID]:[Discount Amount]], 6, FALSE),"Not Found")</f>
        <v>0</v>
      </c>
      <c r="U4873" t="str">
        <f t="shared" si="305"/>
        <v>Cash</v>
      </c>
      <c r="V4873" s="4" t="str">
        <f t="shared" si="306"/>
        <v>Normal</v>
      </c>
      <c r="W4873" s="4" t="str">
        <f t="shared" si="307"/>
        <v>Poor</v>
      </c>
      <c r="X4873" s="4">
        <f>AVERAGE(Table1[Purchase Amount])</f>
        <v>129.48419400000012</v>
      </c>
    </row>
    <row r="4874" spans="1:24" ht="15" customHeight="1" x14ac:dyDescent="0.25">
      <c r="A4874">
        <v>4972</v>
      </c>
      <c r="B4874">
        <v>46</v>
      </c>
      <c r="C4874" t="s">
        <v>71</v>
      </c>
      <c r="D4874" t="s">
        <v>112</v>
      </c>
      <c r="E4874" t="s">
        <v>29</v>
      </c>
      <c r="F4874" s="2">
        <v>34.65</v>
      </c>
      <c r="G4874" t="s">
        <v>101</v>
      </c>
      <c r="H4874" t="s">
        <v>31</v>
      </c>
      <c r="I4874" t="s">
        <v>32</v>
      </c>
      <c r="J4874" t="s">
        <v>75</v>
      </c>
      <c r="K4874">
        <v>4</v>
      </c>
      <c r="L4874" t="s">
        <v>23</v>
      </c>
      <c r="M4874" t="s">
        <v>61</v>
      </c>
      <c r="N4874" t="s">
        <v>34</v>
      </c>
      <c r="O4874">
        <v>3</v>
      </c>
      <c r="P4874" t="s">
        <v>36</v>
      </c>
      <c r="Q4874" t="s">
        <v>42</v>
      </c>
      <c r="R4874" s="1">
        <v>0.1</v>
      </c>
      <c r="S4874">
        <f t="shared" si="304"/>
        <v>31.184999999999999</v>
      </c>
      <c r="T4874">
        <f>IFERROR(VLOOKUP(A4874,Table1[[Customer ID]:[Discount Amount]], 6, FALSE),"Not Found")</f>
        <v>34.65</v>
      </c>
      <c r="U4874" t="str">
        <f t="shared" si="305"/>
        <v>Debit Card</v>
      </c>
      <c r="V4874" s="4" t="str">
        <f t="shared" si="306"/>
        <v>Normal</v>
      </c>
      <c r="W4874" s="4" t="str">
        <f t="shared" si="307"/>
        <v>Good</v>
      </c>
      <c r="X4874" s="4">
        <f>AVERAGE(Table1[Purchase Amount])</f>
        <v>129.48419400000012</v>
      </c>
    </row>
    <row r="4875" spans="1:24" ht="15" customHeight="1" x14ac:dyDescent="0.25">
      <c r="A4875">
        <v>4973</v>
      </c>
      <c r="B4875">
        <v>61</v>
      </c>
      <c r="C4875" t="s">
        <v>16</v>
      </c>
      <c r="D4875" t="s">
        <v>112</v>
      </c>
      <c r="E4875" t="s">
        <v>18</v>
      </c>
      <c r="F4875" s="2">
        <v>0</v>
      </c>
      <c r="G4875" t="s">
        <v>73</v>
      </c>
      <c r="H4875" t="s">
        <v>55</v>
      </c>
      <c r="I4875" t="s">
        <v>40</v>
      </c>
      <c r="J4875" t="s">
        <v>57</v>
      </c>
      <c r="K4875">
        <v>4</v>
      </c>
      <c r="L4875" t="s">
        <v>23</v>
      </c>
      <c r="M4875" t="s">
        <v>61</v>
      </c>
      <c r="N4875" t="s">
        <v>23</v>
      </c>
      <c r="O4875">
        <v>42</v>
      </c>
      <c r="P4875" t="s">
        <v>58</v>
      </c>
      <c r="Q4875" t="s">
        <v>26</v>
      </c>
      <c r="R4875" s="1">
        <v>0.1</v>
      </c>
      <c r="S4875">
        <f t="shared" si="304"/>
        <v>0</v>
      </c>
      <c r="T4875">
        <f>IFERROR(VLOOKUP(A4875,Table1[[Customer ID]:[Discount Amount]], 6, FALSE),"Not Found")</f>
        <v>0</v>
      </c>
      <c r="U4875" t="str">
        <f t="shared" si="305"/>
        <v>PayPal</v>
      </c>
      <c r="V4875" s="4" t="str">
        <f t="shared" si="306"/>
        <v>Normal</v>
      </c>
      <c r="W4875" s="4" t="str">
        <f t="shared" si="307"/>
        <v>Good</v>
      </c>
      <c r="X4875" s="4">
        <f>AVERAGE(Table1[Purchase Amount])</f>
        <v>129.48419400000012</v>
      </c>
    </row>
    <row r="4876" spans="1:24" ht="15" customHeight="1" x14ac:dyDescent="0.25">
      <c r="A4876">
        <v>4974</v>
      </c>
      <c r="B4876">
        <v>49</v>
      </c>
      <c r="C4876" t="s">
        <v>71</v>
      </c>
      <c r="D4876" t="s">
        <v>116</v>
      </c>
      <c r="E4876" t="s">
        <v>18</v>
      </c>
      <c r="F4876" s="2">
        <v>1080.3900000000001</v>
      </c>
      <c r="G4876" t="s">
        <v>101</v>
      </c>
      <c r="H4876" t="s">
        <v>45</v>
      </c>
      <c r="I4876" t="s">
        <v>74</v>
      </c>
      <c r="J4876" t="s">
        <v>75</v>
      </c>
      <c r="K4876">
        <v>2</v>
      </c>
      <c r="L4876" t="s">
        <v>34</v>
      </c>
      <c r="M4876" t="s">
        <v>24</v>
      </c>
      <c r="N4876" t="s">
        <v>23</v>
      </c>
      <c r="O4876">
        <v>0</v>
      </c>
      <c r="P4876" t="s">
        <v>53</v>
      </c>
      <c r="Q4876" t="s">
        <v>42</v>
      </c>
      <c r="R4876" s="1">
        <v>0.1</v>
      </c>
      <c r="S4876">
        <f t="shared" si="304"/>
        <v>972.35100000000011</v>
      </c>
      <c r="T4876">
        <f>IFERROR(VLOOKUP(A4876,Table1[[Customer ID]:[Discount Amount]], 6, FALSE),"Not Found")</f>
        <v>1080.3900000000001</v>
      </c>
      <c r="U4876" t="str">
        <f t="shared" si="305"/>
        <v>Credit Card</v>
      </c>
      <c r="V4876" s="4" t="str">
        <f t="shared" si="306"/>
        <v>Normal</v>
      </c>
      <c r="W4876" s="4" t="str">
        <f t="shared" si="307"/>
        <v>Poor</v>
      </c>
      <c r="X4876" s="4">
        <f>AVERAGE(Table1[Purchase Amount])</f>
        <v>129.48419400000012</v>
      </c>
    </row>
    <row r="4877" spans="1:24" ht="15" customHeight="1" x14ac:dyDescent="0.25">
      <c r="A4877">
        <v>4975</v>
      </c>
      <c r="B4877">
        <v>61</v>
      </c>
      <c r="C4877" t="s">
        <v>27</v>
      </c>
      <c r="D4877" t="s">
        <v>112</v>
      </c>
      <c r="E4877" t="s">
        <v>29</v>
      </c>
      <c r="F4877" s="2">
        <v>0</v>
      </c>
      <c r="G4877" t="s">
        <v>126</v>
      </c>
      <c r="H4877" t="s">
        <v>45</v>
      </c>
      <c r="I4877" t="s">
        <v>46</v>
      </c>
      <c r="J4877" t="s">
        <v>33</v>
      </c>
      <c r="K4877">
        <v>5</v>
      </c>
      <c r="L4877" t="s">
        <v>23</v>
      </c>
      <c r="M4877" t="s">
        <v>24</v>
      </c>
      <c r="N4877" t="s">
        <v>34</v>
      </c>
      <c r="O4877">
        <v>3</v>
      </c>
      <c r="P4877" t="s">
        <v>58</v>
      </c>
      <c r="Q4877" t="s">
        <v>26</v>
      </c>
      <c r="R4877" s="1">
        <v>0.1</v>
      </c>
      <c r="S4877">
        <f t="shared" si="304"/>
        <v>0</v>
      </c>
      <c r="T4877">
        <f>IFERROR(VLOOKUP(A4877,Table1[[Customer ID]:[Discount Amount]], 6, FALSE),"Not Found")</f>
        <v>0</v>
      </c>
      <c r="U4877" t="str">
        <f t="shared" si="305"/>
        <v>PayPal</v>
      </c>
      <c r="V4877" s="4" t="str">
        <f t="shared" si="306"/>
        <v>Normal</v>
      </c>
      <c r="W4877" s="4" t="str">
        <f t="shared" si="307"/>
        <v>Good</v>
      </c>
      <c r="X4877" s="4">
        <f>AVERAGE(Table1[Purchase Amount])</f>
        <v>129.48419400000012</v>
      </c>
    </row>
    <row r="4878" spans="1:24" ht="15" customHeight="1" x14ac:dyDescent="0.25">
      <c r="A4878">
        <v>4976</v>
      </c>
      <c r="B4878">
        <v>32</v>
      </c>
      <c r="C4878" t="s">
        <v>16</v>
      </c>
      <c r="D4878" t="s">
        <v>80</v>
      </c>
      <c r="E4878" t="s">
        <v>29</v>
      </c>
      <c r="F4878" s="2">
        <v>1171.49</v>
      </c>
      <c r="G4878" t="s">
        <v>101</v>
      </c>
      <c r="H4878" t="s">
        <v>45</v>
      </c>
      <c r="I4878" t="s">
        <v>40</v>
      </c>
      <c r="J4878" t="s">
        <v>75</v>
      </c>
      <c r="K4878">
        <v>1</v>
      </c>
      <c r="L4878" t="s">
        <v>23</v>
      </c>
      <c r="M4878" t="s">
        <v>24</v>
      </c>
      <c r="N4878" t="s">
        <v>34</v>
      </c>
      <c r="O4878">
        <v>49</v>
      </c>
      <c r="P4878" t="s">
        <v>36</v>
      </c>
      <c r="Q4878" t="s">
        <v>26</v>
      </c>
      <c r="R4878" s="1">
        <v>0.1</v>
      </c>
      <c r="S4878">
        <f t="shared" si="304"/>
        <v>1054.3409999999999</v>
      </c>
      <c r="T4878">
        <f>IFERROR(VLOOKUP(A4878,Table1[[Customer ID]:[Discount Amount]], 6, FALSE),"Not Found")</f>
        <v>1171.49</v>
      </c>
      <c r="U4878" t="str">
        <f t="shared" si="305"/>
        <v>Debit Card</v>
      </c>
      <c r="V4878" s="4" t="str">
        <f t="shared" si="306"/>
        <v>Normal</v>
      </c>
      <c r="W4878" s="4" t="str">
        <f t="shared" si="307"/>
        <v>Poor</v>
      </c>
      <c r="X4878" s="4">
        <f>AVERAGE(Table1[Purchase Amount])</f>
        <v>129.48419400000012</v>
      </c>
    </row>
    <row r="4879" spans="1:24" ht="15" customHeight="1" x14ac:dyDescent="0.25">
      <c r="A4879">
        <v>4977</v>
      </c>
      <c r="B4879">
        <v>56</v>
      </c>
      <c r="C4879" t="s">
        <v>16</v>
      </c>
      <c r="D4879" t="s">
        <v>95</v>
      </c>
      <c r="E4879" t="s">
        <v>18</v>
      </c>
      <c r="F4879" s="2">
        <v>1499.76</v>
      </c>
      <c r="G4879" t="s">
        <v>101</v>
      </c>
      <c r="H4879" t="s">
        <v>20</v>
      </c>
      <c r="I4879" t="s">
        <v>46</v>
      </c>
      <c r="J4879" t="s">
        <v>22</v>
      </c>
      <c r="K4879">
        <v>4</v>
      </c>
      <c r="L4879" t="s">
        <v>34</v>
      </c>
      <c r="M4879" t="s">
        <v>24</v>
      </c>
      <c r="N4879" t="s">
        <v>34</v>
      </c>
      <c r="O4879">
        <v>0</v>
      </c>
      <c r="P4879" t="s">
        <v>36</v>
      </c>
      <c r="Q4879" t="s">
        <v>26</v>
      </c>
      <c r="R4879" s="1">
        <v>0.1</v>
      </c>
      <c r="S4879">
        <f t="shared" si="304"/>
        <v>1349.7840000000001</v>
      </c>
      <c r="T4879">
        <f>IFERROR(VLOOKUP(A4879,Table1[[Customer ID]:[Discount Amount]], 6, FALSE),"Not Found")</f>
        <v>1499.76</v>
      </c>
      <c r="U4879" t="str">
        <f t="shared" si="305"/>
        <v>Debit Card</v>
      </c>
      <c r="V4879" s="4" t="str">
        <f t="shared" si="306"/>
        <v>Best Customer</v>
      </c>
      <c r="W4879" s="4" t="str">
        <f t="shared" si="307"/>
        <v>Good</v>
      </c>
      <c r="X4879" s="4">
        <f>AVERAGE(Table1[Purchase Amount])</f>
        <v>129.48419400000012</v>
      </c>
    </row>
    <row r="4880" spans="1:24" ht="15" customHeight="1" x14ac:dyDescent="0.25">
      <c r="A4880">
        <v>4978</v>
      </c>
      <c r="B4880">
        <v>62</v>
      </c>
      <c r="C4880" t="s">
        <v>71</v>
      </c>
      <c r="D4880" t="s">
        <v>112</v>
      </c>
      <c r="E4880" t="s">
        <v>29</v>
      </c>
      <c r="F4880" s="2">
        <v>0</v>
      </c>
      <c r="G4880" t="s">
        <v>73</v>
      </c>
      <c r="H4880" t="s">
        <v>31</v>
      </c>
      <c r="I4880" t="s">
        <v>32</v>
      </c>
      <c r="J4880" t="s">
        <v>33</v>
      </c>
      <c r="K4880">
        <v>4</v>
      </c>
      <c r="L4880" t="s">
        <v>34</v>
      </c>
      <c r="M4880" t="s">
        <v>24</v>
      </c>
      <c r="N4880" t="s">
        <v>23</v>
      </c>
      <c r="O4880">
        <v>0</v>
      </c>
      <c r="P4880" t="s">
        <v>25</v>
      </c>
      <c r="Q4880" t="s">
        <v>26</v>
      </c>
      <c r="R4880" s="1">
        <v>0.1</v>
      </c>
      <c r="S4880">
        <f t="shared" si="304"/>
        <v>0</v>
      </c>
      <c r="T4880">
        <f>IFERROR(VLOOKUP(A4880,Table1[[Customer ID]:[Discount Amount]], 6, FALSE),"Not Found")</f>
        <v>0</v>
      </c>
      <c r="U4880" t="str">
        <f t="shared" si="305"/>
        <v>Cash</v>
      </c>
      <c r="V4880" s="4" t="str">
        <f t="shared" si="306"/>
        <v>Normal</v>
      </c>
      <c r="W4880" s="4" t="str">
        <f t="shared" si="307"/>
        <v>Good</v>
      </c>
      <c r="X4880" s="4">
        <f>AVERAGE(Table1[Purchase Amount])</f>
        <v>129.48419400000012</v>
      </c>
    </row>
    <row r="4881" spans="1:24" ht="15" customHeight="1" x14ac:dyDescent="0.25">
      <c r="A4881">
        <v>4979</v>
      </c>
      <c r="B4881">
        <v>63</v>
      </c>
      <c r="C4881" t="s">
        <v>16</v>
      </c>
      <c r="D4881" t="s">
        <v>72</v>
      </c>
      <c r="E4881" t="s">
        <v>29</v>
      </c>
      <c r="F4881" s="2">
        <v>0</v>
      </c>
      <c r="G4881" t="s">
        <v>73</v>
      </c>
      <c r="H4881" t="s">
        <v>45</v>
      </c>
      <c r="I4881" t="s">
        <v>32</v>
      </c>
      <c r="J4881" t="s">
        <v>57</v>
      </c>
      <c r="K4881">
        <v>1</v>
      </c>
      <c r="L4881" t="s">
        <v>23</v>
      </c>
      <c r="M4881" t="s">
        <v>61</v>
      </c>
      <c r="N4881" t="s">
        <v>34</v>
      </c>
      <c r="O4881">
        <v>22</v>
      </c>
      <c r="P4881" t="s">
        <v>36</v>
      </c>
      <c r="Q4881" t="s">
        <v>37</v>
      </c>
      <c r="R4881" s="1">
        <v>0.1</v>
      </c>
      <c r="S4881">
        <f t="shared" si="304"/>
        <v>0</v>
      </c>
      <c r="T4881">
        <f>IFERROR(VLOOKUP(A4881,Table1[[Customer ID]:[Discount Amount]], 6, FALSE),"Not Found")</f>
        <v>0</v>
      </c>
      <c r="U4881" t="str">
        <f t="shared" si="305"/>
        <v>Debit Card</v>
      </c>
      <c r="V4881" s="4" t="str">
        <f t="shared" si="306"/>
        <v>Normal</v>
      </c>
      <c r="W4881" s="4" t="str">
        <f t="shared" si="307"/>
        <v>Poor</v>
      </c>
      <c r="X4881" s="4">
        <f>AVERAGE(Table1[Purchase Amount])</f>
        <v>129.48419400000012</v>
      </c>
    </row>
    <row r="4882" spans="1:24" ht="15" customHeight="1" x14ac:dyDescent="0.25">
      <c r="A4882">
        <v>4980</v>
      </c>
      <c r="B4882">
        <v>29</v>
      </c>
      <c r="C4882" t="s">
        <v>16</v>
      </c>
      <c r="D4882" t="s">
        <v>95</v>
      </c>
      <c r="E4882" t="s">
        <v>29</v>
      </c>
      <c r="F4882" s="2">
        <v>0</v>
      </c>
      <c r="G4882" t="s">
        <v>101</v>
      </c>
      <c r="H4882" t="s">
        <v>31</v>
      </c>
      <c r="I4882" t="s">
        <v>46</v>
      </c>
      <c r="J4882" t="s">
        <v>57</v>
      </c>
      <c r="K4882">
        <v>4</v>
      </c>
      <c r="L4882" t="s">
        <v>34</v>
      </c>
      <c r="M4882" t="s">
        <v>24</v>
      </c>
      <c r="N4882" t="s">
        <v>23</v>
      </c>
      <c r="O4882">
        <v>33</v>
      </c>
      <c r="P4882" t="s">
        <v>53</v>
      </c>
      <c r="Q4882" t="s">
        <v>26</v>
      </c>
      <c r="R4882" s="1">
        <v>0.1</v>
      </c>
      <c r="S4882">
        <f t="shared" si="304"/>
        <v>0</v>
      </c>
      <c r="T4882">
        <f>IFERROR(VLOOKUP(A4882,Table1[[Customer ID]:[Discount Amount]], 6, FALSE),"Not Found")</f>
        <v>0</v>
      </c>
      <c r="U4882" t="str">
        <f t="shared" si="305"/>
        <v>Credit Card</v>
      </c>
      <c r="V4882" s="4" t="str">
        <f t="shared" si="306"/>
        <v>Normal</v>
      </c>
      <c r="W4882" s="4" t="str">
        <f t="shared" si="307"/>
        <v>Good</v>
      </c>
      <c r="X4882" s="4">
        <f>AVERAGE(Table1[Purchase Amount])</f>
        <v>129.48419400000012</v>
      </c>
    </row>
    <row r="4883" spans="1:24" ht="15" customHeight="1" x14ac:dyDescent="0.25">
      <c r="A4883">
        <v>4981</v>
      </c>
      <c r="B4883">
        <v>33</v>
      </c>
      <c r="C4883" t="s">
        <v>27</v>
      </c>
      <c r="D4883" t="s">
        <v>95</v>
      </c>
      <c r="E4883" t="s">
        <v>18</v>
      </c>
      <c r="F4883" s="2">
        <v>1216.95</v>
      </c>
      <c r="G4883" t="s">
        <v>101</v>
      </c>
      <c r="H4883" t="s">
        <v>45</v>
      </c>
      <c r="I4883" t="s">
        <v>93</v>
      </c>
      <c r="J4883" t="s">
        <v>75</v>
      </c>
      <c r="K4883">
        <v>2</v>
      </c>
      <c r="L4883" t="s">
        <v>34</v>
      </c>
      <c r="M4883" t="s">
        <v>24</v>
      </c>
      <c r="N4883" t="s">
        <v>23</v>
      </c>
      <c r="O4883">
        <v>35</v>
      </c>
      <c r="P4883" t="s">
        <v>25</v>
      </c>
      <c r="Q4883" t="s">
        <v>37</v>
      </c>
      <c r="R4883" s="1">
        <v>0.1</v>
      </c>
      <c r="S4883">
        <f t="shared" si="304"/>
        <v>1095.2550000000001</v>
      </c>
      <c r="T4883">
        <f>IFERROR(VLOOKUP(A4883,Table1[[Customer ID]:[Discount Amount]], 6, FALSE),"Not Found")</f>
        <v>1216.95</v>
      </c>
      <c r="U4883" t="str">
        <f t="shared" si="305"/>
        <v>Cash</v>
      </c>
      <c r="V4883" s="4" t="str">
        <f t="shared" si="306"/>
        <v>Normal</v>
      </c>
      <c r="W4883" s="4" t="str">
        <f t="shared" si="307"/>
        <v>Poor</v>
      </c>
      <c r="X4883" s="4">
        <f>AVERAGE(Table1[Purchase Amount])</f>
        <v>129.48419400000012</v>
      </c>
    </row>
    <row r="4884" spans="1:24" ht="15" customHeight="1" x14ac:dyDescent="0.25">
      <c r="A4884">
        <v>4982</v>
      </c>
      <c r="B4884">
        <v>66</v>
      </c>
      <c r="C4884" t="s">
        <v>16</v>
      </c>
      <c r="D4884" t="s">
        <v>72</v>
      </c>
      <c r="E4884" t="s">
        <v>29</v>
      </c>
      <c r="F4884" s="2">
        <v>0</v>
      </c>
      <c r="G4884" t="s">
        <v>82</v>
      </c>
      <c r="H4884" t="s">
        <v>31</v>
      </c>
      <c r="I4884" t="s">
        <v>32</v>
      </c>
      <c r="J4884" t="s">
        <v>33</v>
      </c>
      <c r="K4884">
        <v>1</v>
      </c>
      <c r="L4884" t="s">
        <v>34</v>
      </c>
      <c r="M4884" t="s">
        <v>61</v>
      </c>
      <c r="N4884" t="s">
        <v>34</v>
      </c>
      <c r="O4884">
        <v>0</v>
      </c>
      <c r="P4884" t="s">
        <v>53</v>
      </c>
      <c r="Q4884" t="s">
        <v>26</v>
      </c>
      <c r="R4884" s="1">
        <v>0.1</v>
      </c>
      <c r="S4884">
        <f t="shared" si="304"/>
        <v>0</v>
      </c>
      <c r="T4884">
        <f>IFERROR(VLOOKUP(A4884,Table1[[Customer ID]:[Discount Amount]], 6, FALSE),"Not Found")</f>
        <v>0</v>
      </c>
      <c r="U4884" t="str">
        <f t="shared" si="305"/>
        <v>Credit Card</v>
      </c>
      <c r="V4884" s="4" t="str">
        <f t="shared" si="306"/>
        <v>Normal</v>
      </c>
      <c r="W4884" s="4" t="str">
        <f t="shared" si="307"/>
        <v>Poor</v>
      </c>
      <c r="X4884" s="4">
        <f>AVERAGE(Table1[Purchase Amount])</f>
        <v>129.48419400000012</v>
      </c>
    </row>
    <row r="4885" spans="1:24" ht="15" customHeight="1" x14ac:dyDescent="0.25">
      <c r="A4885">
        <v>4983</v>
      </c>
      <c r="B4885">
        <v>31</v>
      </c>
      <c r="C4885" t="s">
        <v>16</v>
      </c>
      <c r="D4885" t="s">
        <v>72</v>
      </c>
      <c r="E4885" t="s">
        <v>18</v>
      </c>
      <c r="F4885" s="2">
        <v>820.5</v>
      </c>
      <c r="G4885" t="s">
        <v>101</v>
      </c>
      <c r="H4885" t="s">
        <v>31</v>
      </c>
      <c r="I4885" t="s">
        <v>93</v>
      </c>
      <c r="J4885" t="s">
        <v>75</v>
      </c>
      <c r="K4885">
        <v>4</v>
      </c>
      <c r="L4885" t="s">
        <v>23</v>
      </c>
      <c r="M4885" t="s">
        <v>61</v>
      </c>
      <c r="N4885" t="s">
        <v>23</v>
      </c>
      <c r="O4885">
        <v>0</v>
      </c>
      <c r="P4885" t="s">
        <v>58</v>
      </c>
      <c r="Q4885" t="s">
        <v>26</v>
      </c>
      <c r="R4885" s="1">
        <v>0.1</v>
      </c>
      <c r="S4885">
        <f t="shared" si="304"/>
        <v>738.45</v>
      </c>
      <c r="T4885">
        <f>IFERROR(VLOOKUP(A4885,Table1[[Customer ID]:[Discount Amount]], 6, FALSE),"Not Found")</f>
        <v>820.5</v>
      </c>
      <c r="U4885" t="str">
        <f t="shared" si="305"/>
        <v>PayPal</v>
      </c>
      <c r="V4885" s="4" t="str">
        <f t="shared" si="306"/>
        <v>Normal</v>
      </c>
      <c r="W4885" s="4" t="str">
        <f t="shared" si="307"/>
        <v>Good</v>
      </c>
      <c r="X4885" s="4">
        <f>AVERAGE(Table1[Purchase Amount])</f>
        <v>129.48419400000012</v>
      </c>
    </row>
    <row r="4886" spans="1:24" ht="15" customHeight="1" x14ac:dyDescent="0.25">
      <c r="A4886">
        <v>4984</v>
      </c>
      <c r="B4886">
        <v>24</v>
      </c>
      <c r="C4886" t="s">
        <v>16</v>
      </c>
      <c r="D4886" t="s">
        <v>112</v>
      </c>
      <c r="E4886" t="s">
        <v>81</v>
      </c>
      <c r="F4886" s="2">
        <v>0</v>
      </c>
      <c r="G4886" t="s">
        <v>101</v>
      </c>
      <c r="H4886" t="s">
        <v>31</v>
      </c>
      <c r="I4886" t="s">
        <v>32</v>
      </c>
      <c r="J4886" t="s">
        <v>75</v>
      </c>
      <c r="K4886">
        <v>1</v>
      </c>
      <c r="L4886" t="s">
        <v>34</v>
      </c>
      <c r="M4886" t="s">
        <v>24</v>
      </c>
      <c r="N4886" t="s">
        <v>23</v>
      </c>
      <c r="O4886">
        <v>1</v>
      </c>
      <c r="P4886" t="s">
        <v>36</v>
      </c>
      <c r="Q4886" t="s">
        <v>42</v>
      </c>
      <c r="R4886" s="1">
        <v>0.1</v>
      </c>
      <c r="S4886">
        <f t="shared" si="304"/>
        <v>0</v>
      </c>
      <c r="T4886">
        <f>IFERROR(VLOOKUP(A4886,Table1[[Customer ID]:[Discount Amount]], 6, FALSE),"Not Found")</f>
        <v>0</v>
      </c>
      <c r="U4886" t="str">
        <f t="shared" si="305"/>
        <v>Debit Card</v>
      </c>
      <c r="V4886" s="4" t="str">
        <f t="shared" si="306"/>
        <v>Normal</v>
      </c>
      <c r="W4886" s="4" t="str">
        <f t="shared" si="307"/>
        <v>Poor</v>
      </c>
      <c r="X4886" s="4">
        <f>AVERAGE(Table1[Purchase Amount])</f>
        <v>129.48419400000012</v>
      </c>
    </row>
    <row r="4887" spans="1:24" ht="15" customHeight="1" x14ac:dyDescent="0.25">
      <c r="A4887">
        <v>4985</v>
      </c>
      <c r="B4887">
        <v>25</v>
      </c>
      <c r="C4887" t="s">
        <v>71</v>
      </c>
      <c r="D4887" t="s">
        <v>72</v>
      </c>
      <c r="E4887" t="s">
        <v>29</v>
      </c>
      <c r="F4887" s="2">
        <v>0</v>
      </c>
      <c r="G4887" t="s">
        <v>126</v>
      </c>
      <c r="H4887" t="s">
        <v>55</v>
      </c>
      <c r="I4887" t="s">
        <v>40</v>
      </c>
      <c r="J4887" t="s">
        <v>22</v>
      </c>
      <c r="K4887">
        <v>1</v>
      </c>
      <c r="L4887" t="s">
        <v>34</v>
      </c>
      <c r="M4887" t="s">
        <v>61</v>
      </c>
      <c r="N4887" t="s">
        <v>23</v>
      </c>
      <c r="O4887">
        <v>0</v>
      </c>
      <c r="P4887" t="s">
        <v>36</v>
      </c>
      <c r="Q4887" t="s">
        <v>42</v>
      </c>
      <c r="R4887" s="1">
        <v>0.1</v>
      </c>
      <c r="S4887">
        <f t="shared" si="304"/>
        <v>0</v>
      </c>
      <c r="T4887">
        <f>IFERROR(VLOOKUP(A4887,Table1[[Customer ID]:[Discount Amount]], 6, FALSE),"Not Found")</f>
        <v>0</v>
      </c>
      <c r="U4887" t="str">
        <f t="shared" si="305"/>
        <v>Debit Card</v>
      </c>
      <c r="V4887" s="4" t="str">
        <f t="shared" si="306"/>
        <v>Normal</v>
      </c>
      <c r="W4887" s="4" t="str">
        <f t="shared" si="307"/>
        <v>Poor</v>
      </c>
      <c r="X4887" s="4">
        <f>AVERAGE(Table1[Purchase Amount])</f>
        <v>129.48419400000012</v>
      </c>
    </row>
    <row r="4888" spans="1:24" ht="15" customHeight="1" x14ac:dyDescent="0.25">
      <c r="A4888">
        <v>4986</v>
      </c>
      <c r="B4888">
        <v>42</v>
      </c>
      <c r="C4888" t="s">
        <v>27</v>
      </c>
      <c r="D4888" t="s">
        <v>112</v>
      </c>
      <c r="E4888" t="s">
        <v>18</v>
      </c>
      <c r="F4888" s="2">
        <v>561.64</v>
      </c>
      <c r="G4888" t="s">
        <v>101</v>
      </c>
      <c r="H4888" t="s">
        <v>55</v>
      </c>
      <c r="I4888" t="s">
        <v>40</v>
      </c>
      <c r="J4888" t="s">
        <v>22</v>
      </c>
      <c r="K4888">
        <v>2</v>
      </c>
      <c r="L4888" t="s">
        <v>23</v>
      </c>
      <c r="M4888" t="s">
        <v>61</v>
      </c>
      <c r="N4888" t="s">
        <v>34</v>
      </c>
      <c r="O4888">
        <v>0</v>
      </c>
      <c r="P4888" t="s">
        <v>58</v>
      </c>
      <c r="Q4888" t="s">
        <v>42</v>
      </c>
      <c r="R4888" s="1">
        <v>0.1</v>
      </c>
      <c r="S4888">
        <f t="shared" si="304"/>
        <v>505.476</v>
      </c>
      <c r="T4888">
        <f>IFERROR(VLOOKUP(A4888,Table1[[Customer ID]:[Discount Amount]], 6, FALSE),"Not Found")</f>
        <v>561.64</v>
      </c>
      <c r="U4888" t="str">
        <f t="shared" si="305"/>
        <v>PayPal</v>
      </c>
      <c r="V4888" s="4" t="str">
        <f t="shared" si="306"/>
        <v>Normal</v>
      </c>
      <c r="W4888" s="4" t="str">
        <f t="shared" si="307"/>
        <v>Poor</v>
      </c>
      <c r="X4888" s="4">
        <f>AVERAGE(Table1[Purchase Amount])</f>
        <v>129.48419400000012</v>
      </c>
    </row>
    <row r="4889" spans="1:24" ht="15" customHeight="1" x14ac:dyDescent="0.25">
      <c r="A4889">
        <v>4987</v>
      </c>
      <c r="B4889">
        <v>67</v>
      </c>
      <c r="C4889" t="s">
        <v>16</v>
      </c>
      <c r="D4889" t="s">
        <v>116</v>
      </c>
      <c r="E4889" t="s">
        <v>18</v>
      </c>
      <c r="F4889" s="2">
        <v>0</v>
      </c>
      <c r="G4889" t="s">
        <v>139</v>
      </c>
      <c r="H4889" t="s">
        <v>55</v>
      </c>
      <c r="I4889" t="s">
        <v>93</v>
      </c>
      <c r="J4889" t="s">
        <v>57</v>
      </c>
      <c r="K4889">
        <v>4</v>
      </c>
      <c r="L4889" t="s">
        <v>23</v>
      </c>
      <c r="M4889" t="s">
        <v>24</v>
      </c>
      <c r="N4889" t="s">
        <v>34</v>
      </c>
      <c r="O4889">
        <v>0</v>
      </c>
      <c r="P4889" t="s">
        <v>25</v>
      </c>
      <c r="Q4889" t="s">
        <v>26</v>
      </c>
      <c r="R4889" s="1">
        <v>0.1</v>
      </c>
      <c r="S4889">
        <f t="shared" si="304"/>
        <v>0</v>
      </c>
      <c r="T4889">
        <f>IFERROR(VLOOKUP(A4889,Table1[[Customer ID]:[Discount Amount]], 6, FALSE),"Not Found")</f>
        <v>0</v>
      </c>
      <c r="U4889" t="str">
        <f t="shared" si="305"/>
        <v>Cash</v>
      </c>
      <c r="V4889" s="4" t="str">
        <f t="shared" si="306"/>
        <v>Normal</v>
      </c>
      <c r="W4889" s="4" t="str">
        <f t="shared" si="307"/>
        <v>Good</v>
      </c>
      <c r="X4889" s="4">
        <f>AVERAGE(Table1[Purchase Amount])</f>
        <v>129.48419400000012</v>
      </c>
    </row>
    <row r="4890" spans="1:24" ht="15" customHeight="1" x14ac:dyDescent="0.25">
      <c r="A4890">
        <v>4988</v>
      </c>
      <c r="B4890">
        <v>46</v>
      </c>
      <c r="C4890" t="s">
        <v>71</v>
      </c>
      <c r="D4890" t="s">
        <v>38</v>
      </c>
      <c r="E4890" t="s">
        <v>29</v>
      </c>
      <c r="F4890" s="2">
        <v>1164.1099999999999</v>
      </c>
      <c r="G4890" t="s">
        <v>82</v>
      </c>
      <c r="H4890" t="s">
        <v>55</v>
      </c>
      <c r="I4890" t="s">
        <v>93</v>
      </c>
      <c r="J4890" t="s">
        <v>75</v>
      </c>
      <c r="K4890">
        <v>1</v>
      </c>
      <c r="L4890" t="s">
        <v>34</v>
      </c>
      <c r="M4890" t="s">
        <v>61</v>
      </c>
      <c r="N4890" t="s">
        <v>23</v>
      </c>
      <c r="O4890">
        <v>0</v>
      </c>
      <c r="P4890" t="s">
        <v>58</v>
      </c>
      <c r="Q4890" t="s">
        <v>42</v>
      </c>
      <c r="R4890" s="1">
        <v>0.1</v>
      </c>
      <c r="S4890">
        <f t="shared" si="304"/>
        <v>1047.6989999999998</v>
      </c>
      <c r="T4890">
        <f>IFERROR(VLOOKUP(A4890,Table1[[Customer ID]:[Discount Amount]], 6, FALSE),"Not Found")</f>
        <v>1164.1099999999999</v>
      </c>
      <c r="U4890" t="str">
        <f t="shared" si="305"/>
        <v>PayPal</v>
      </c>
      <c r="V4890" s="4" t="str">
        <f t="shared" si="306"/>
        <v>Normal</v>
      </c>
      <c r="W4890" s="4" t="str">
        <f t="shared" si="307"/>
        <v>Poor</v>
      </c>
      <c r="X4890" s="4">
        <f>AVERAGE(Table1[Purchase Amount])</f>
        <v>129.48419400000012</v>
      </c>
    </row>
    <row r="4891" spans="1:24" ht="15" customHeight="1" x14ac:dyDescent="0.25">
      <c r="A4891">
        <v>4989</v>
      </c>
      <c r="B4891">
        <v>61</v>
      </c>
      <c r="C4891" t="s">
        <v>27</v>
      </c>
      <c r="D4891" t="s">
        <v>112</v>
      </c>
      <c r="E4891" t="s">
        <v>29</v>
      </c>
      <c r="F4891" s="2">
        <v>0</v>
      </c>
      <c r="G4891" t="s">
        <v>82</v>
      </c>
      <c r="H4891" t="s">
        <v>55</v>
      </c>
      <c r="I4891" t="s">
        <v>46</v>
      </c>
      <c r="J4891" t="s">
        <v>75</v>
      </c>
      <c r="K4891">
        <v>5</v>
      </c>
      <c r="L4891" t="s">
        <v>34</v>
      </c>
      <c r="M4891" t="s">
        <v>24</v>
      </c>
      <c r="N4891" t="s">
        <v>34</v>
      </c>
      <c r="O4891">
        <v>43</v>
      </c>
      <c r="P4891" t="s">
        <v>25</v>
      </c>
      <c r="Q4891" t="s">
        <v>26</v>
      </c>
      <c r="R4891" s="1">
        <v>0.1</v>
      </c>
      <c r="S4891">
        <f t="shared" si="304"/>
        <v>0</v>
      </c>
      <c r="T4891">
        <f>IFERROR(VLOOKUP(A4891,Table1[[Customer ID]:[Discount Amount]], 6, FALSE),"Not Found")</f>
        <v>0</v>
      </c>
      <c r="U4891" t="str">
        <f t="shared" si="305"/>
        <v>Cash</v>
      </c>
      <c r="V4891" s="4" t="str">
        <f t="shared" si="306"/>
        <v>Normal</v>
      </c>
      <c r="W4891" s="4" t="str">
        <f t="shared" si="307"/>
        <v>Good</v>
      </c>
      <c r="X4891" s="4">
        <f>AVERAGE(Table1[Purchase Amount])</f>
        <v>129.48419400000012</v>
      </c>
    </row>
    <row r="4892" spans="1:24" ht="15" customHeight="1" x14ac:dyDescent="0.25">
      <c r="A4892">
        <v>4990</v>
      </c>
      <c r="B4892">
        <v>32</v>
      </c>
      <c r="C4892" t="s">
        <v>16</v>
      </c>
      <c r="D4892" t="s">
        <v>112</v>
      </c>
      <c r="E4892" t="s">
        <v>29</v>
      </c>
      <c r="F4892" s="2">
        <v>76.8</v>
      </c>
      <c r="G4892" t="s">
        <v>73</v>
      </c>
      <c r="H4892" t="s">
        <v>55</v>
      </c>
      <c r="I4892" t="s">
        <v>74</v>
      </c>
      <c r="J4892" t="s">
        <v>75</v>
      </c>
      <c r="K4892">
        <v>5</v>
      </c>
      <c r="L4892" t="s">
        <v>23</v>
      </c>
      <c r="M4892" t="s">
        <v>61</v>
      </c>
      <c r="N4892" t="s">
        <v>23</v>
      </c>
      <c r="O4892">
        <v>44</v>
      </c>
      <c r="P4892" t="s">
        <v>36</v>
      </c>
      <c r="Q4892" t="s">
        <v>42</v>
      </c>
      <c r="R4892" s="1">
        <v>0.1</v>
      </c>
      <c r="S4892">
        <f t="shared" si="304"/>
        <v>69.12</v>
      </c>
      <c r="T4892">
        <f>IFERROR(VLOOKUP(A4892,Table1[[Customer ID]:[Discount Amount]], 6, FALSE),"Not Found")</f>
        <v>76.8</v>
      </c>
      <c r="U4892" t="str">
        <f t="shared" si="305"/>
        <v>Debit Card</v>
      </c>
      <c r="V4892" s="4" t="str">
        <f t="shared" si="306"/>
        <v>Normal</v>
      </c>
      <c r="W4892" s="4" t="str">
        <f t="shared" si="307"/>
        <v>Good</v>
      </c>
      <c r="X4892" s="4">
        <f>AVERAGE(Table1[Purchase Amount])</f>
        <v>129.48419400000012</v>
      </c>
    </row>
    <row r="4893" spans="1:24" ht="15" customHeight="1" x14ac:dyDescent="0.25">
      <c r="A4893">
        <v>4991</v>
      </c>
      <c r="B4893">
        <v>29</v>
      </c>
      <c r="C4893" t="s">
        <v>71</v>
      </c>
      <c r="D4893" t="s">
        <v>80</v>
      </c>
      <c r="E4893" t="s">
        <v>29</v>
      </c>
      <c r="F4893" s="2">
        <v>1366.1</v>
      </c>
      <c r="G4893" t="s">
        <v>82</v>
      </c>
      <c r="H4893" t="s">
        <v>31</v>
      </c>
      <c r="I4893" t="s">
        <v>93</v>
      </c>
      <c r="J4893" t="s">
        <v>33</v>
      </c>
      <c r="K4893">
        <v>2</v>
      </c>
      <c r="L4893" t="s">
        <v>34</v>
      </c>
      <c r="M4893" t="s">
        <v>24</v>
      </c>
      <c r="N4893" t="s">
        <v>34</v>
      </c>
      <c r="O4893">
        <v>0</v>
      </c>
      <c r="P4893" t="s">
        <v>36</v>
      </c>
      <c r="Q4893" t="s">
        <v>26</v>
      </c>
      <c r="R4893" s="1">
        <v>0.1</v>
      </c>
      <c r="S4893">
        <f t="shared" si="304"/>
        <v>1229.49</v>
      </c>
      <c r="T4893">
        <f>IFERROR(VLOOKUP(A4893,Table1[[Customer ID]:[Discount Amount]], 6, FALSE),"Not Found")</f>
        <v>1366.1</v>
      </c>
      <c r="U4893" t="str">
        <f t="shared" si="305"/>
        <v>Debit Card</v>
      </c>
      <c r="V4893" s="4" t="str">
        <f t="shared" si="306"/>
        <v>Normal</v>
      </c>
      <c r="W4893" s="4" t="str">
        <f t="shared" si="307"/>
        <v>Poor</v>
      </c>
      <c r="X4893" s="4">
        <f>AVERAGE(Table1[Purchase Amount])</f>
        <v>129.48419400000012</v>
      </c>
    </row>
    <row r="4894" spans="1:24" ht="15" customHeight="1" x14ac:dyDescent="0.25">
      <c r="A4894">
        <v>4992</v>
      </c>
      <c r="B4894">
        <v>70</v>
      </c>
      <c r="C4894" t="s">
        <v>27</v>
      </c>
      <c r="D4894" t="s">
        <v>72</v>
      </c>
      <c r="E4894" t="s">
        <v>18</v>
      </c>
      <c r="F4894" s="2">
        <v>0</v>
      </c>
      <c r="G4894" t="s">
        <v>101</v>
      </c>
      <c r="H4894" t="s">
        <v>31</v>
      </c>
      <c r="I4894" t="s">
        <v>93</v>
      </c>
      <c r="J4894" t="s">
        <v>57</v>
      </c>
      <c r="K4894">
        <v>1</v>
      </c>
      <c r="L4894" t="s">
        <v>23</v>
      </c>
      <c r="M4894" t="s">
        <v>24</v>
      </c>
      <c r="N4894" t="s">
        <v>23</v>
      </c>
      <c r="O4894">
        <v>0</v>
      </c>
      <c r="P4894" t="s">
        <v>53</v>
      </c>
      <c r="Q4894" t="s">
        <v>37</v>
      </c>
      <c r="R4894" s="1">
        <v>0.1</v>
      </c>
      <c r="S4894">
        <f t="shared" si="304"/>
        <v>0</v>
      </c>
      <c r="T4894">
        <f>IFERROR(VLOOKUP(A4894,Table1[[Customer ID]:[Discount Amount]], 6, FALSE),"Not Found")</f>
        <v>0</v>
      </c>
      <c r="U4894" t="str">
        <f t="shared" si="305"/>
        <v>Credit Card</v>
      </c>
      <c r="V4894" s="4" t="str">
        <f t="shared" si="306"/>
        <v>Normal</v>
      </c>
      <c r="W4894" s="4" t="str">
        <f t="shared" si="307"/>
        <v>Poor</v>
      </c>
      <c r="X4894" s="4">
        <f>AVERAGE(Table1[Purchase Amount])</f>
        <v>129.48419400000012</v>
      </c>
    </row>
    <row r="4895" spans="1:24" ht="15" customHeight="1" x14ac:dyDescent="0.25">
      <c r="A4895">
        <v>4993</v>
      </c>
      <c r="B4895">
        <v>54</v>
      </c>
      <c r="C4895" t="s">
        <v>27</v>
      </c>
      <c r="D4895" t="s">
        <v>95</v>
      </c>
      <c r="E4895" t="s">
        <v>18</v>
      </c>
      <c r="F4895" s="2">
        <v>0</v>
      </c>
      <c r="G4895" t="s">
        <v>82</v>
      </c>
      <c r="H4895" t="s">
        <v>20</v>
      </c>
      <c r="I4895" t="s">
        <v>93</v>
      </c>
      <c r="J4895" t="s">
        <v>75</v>
      </c>
      <c r="K4895">
        <v>5</v>
      </c>
      <c r="L4895" t="s">
        <v>34</v>
      </c>
      <c r="M4895" t="s">
        <v>61</v>
      </c>
      <c r="N4895" t="s">
        <v>34</v>
      </c>
      <c r="O4895">
        <v>0</v>
      </c>
      <c r="P4895" t="s">
        <v>36</v>
      </c>
      <c r="Q4895" t="s">
        <v>26</v>
      </c>
      <c r="R4895" s="1">
        <v>0.1</v>
      </c>
      <c r="S4895">
        <f t="shared" si="304"/>
        <v>0</v>
      </c>
      <c r="T4895">
        <f>IFERROR(VLOOKUP(A4895,Table1[[Customer ID]:[Discount Amount]], 6, FALSE),"Not Found")</f>
        <v>0</v>
      </c>
      <c r="U4895" t="str">
        <f t="shared" si="305"/>
        <v>Debit Card</v>
      </c>
      <c r="V4895" s="4" t="str">
        <f t="shared" si="306"/>
        <v>Normal</v>
      </c>
      <c r="W4895" s="4" t="str">
        <f t="shared" si="307"/>
        <v>Good</v>
      </c>
      <c r="X4895" s="4">
        <f>AVERAGE(Table1[Purchase Amount])</f>
        <v>129.48419400000012</v>
      </c>
    </row>
    <row r="4896" spans="1:24" ht="15" customHeight="1" x14ac:dyDescent="0.25">
      <c r="A4896">
        <v>4994</v>
      </c>
      <c r="B4896">
        <v>45</v>
      </c>
      <c r="C4896" t="s">
        <v>16</v>
      </c>
      <c r="D4896" t="s">
        <v>95</v>
      </c>
      <c r="E4896" t="s">
        <v>18</v>
      </c>
      <c r="F4896" s="2">
        <v>728.44</v>
      </c>
      <c r="G4896" t="s">
        <v>101</v>
      </c>
      <c r="H4896" t="s">
        <v>45</v>
      </c>
      <c r="I4896" t="s">
        <v>74</v>
      </c>
      <c r="J4896" t="s">
        <v>33</v>
      </c>
      <c r="K4896">
        <v>1</v>
      </c>
      <c r="L4896" t="s">
        <v>34</v>
      </c>
      <c r="M4896" t="s">
        <v>61</v>
      </c>
      <c r="N4896" t="s">
        <v>34</v>
      </c>
      <c r="O4896">
        <v>42</v>
      </c>
      <c r="P4896" t="s">
        <v>25</v>
      </c>
      <c r="Q4896" t="s">
        <v>42</v>
      </c>
      <c r="R4896" s="1">
        <v>0.1</v>
      </c>
      <c r="S4896">
        <f t="shared" si="304"/>
        <v>655.596</v>
      </c>
      <c r="T4896">
        <f>IFERROR(VLOOKUP(A4896,Table1[[Customer ID]:[Discount Amount]], 6, FALSE),"Not Found")</f>
        <v>728.44</v>
      </c>
      <c r="U4896" t="str">
        <f t="shared" si="305"/>
        <v>Cash</v>
      </c>
      <c r="V4896" s="4" t="str">
        <f t="shared" si="306"/>
        <v>Normal</v>
      </c>
      <c r="W4896" s="4" t="str">
        <f t="shared" si="307"/>
        <v>Poor</v>
      </c>
      <c r="X4896" s="4">
        <f>AVERAGE(Table1[Purchase Amount])</f>
        <v>129.48419400000012</v>
      </c>
    </row>
    <row r="4897" spans="1:24" ht="15" customHeight="1" x14ac:dyDescent="0.25">
      <c r="A4897">
        <v>4995</v>
      </c>
      <c r="B4897">
        <v>34</v>
      </c>
      <c r="C4897" t="s">
        <v>16</v>
      </c>
      <c r="D4897" t="s">
        <v>80</v>
      </c>
      <c r="E4897" t="s">
        <v>81</v>
      </c>
      <c r="F4897" s="2">
        <v>0</v>
      </c>
      <c r="G4897" t="s">
        <v>82</v>
      </c>
      <c r="H4897" t="s">
        <v>31</v>
      </c>
      <c r="I4897" t="s">
        <v>40</v>
      </c>
      <c r="J4897" t="s">
        <v>75</v>
      </c>
      <c r="K4897">
        <v>1</v>
      </c>
      <c r="L4897" t="s">
        <v>23</v>
      </c>
      <c r="M4897" t="s">
        <v>24</v>
      </c>
      <c r="N4897" t="s">
        <v>23</v>
      </c>
      <c r="O4897">
        <v>6</v>
      </c>
      <c r="P4897" t="s">
        <v>25</v>
      </c>
      <c r="Q4897" t="s">
        <v>37</v>
      </c>
      <c r="R4897" s="1">
        <v>0.1</v>
      </c>
      <c r="S4897">
        <f t="shared" si="304"/>
        <v>0</v>
      </c>
      <c r="T4897">
        <f>IFERROR(VLOOKUP(A4897,Table1[[Customer ID]:[Discount Amount]], 6, FALSE),"Not Found")</f>
        <v>0</v>
      </c>
      <c r="U4897" t="str">
        <f t="shared" si="305"/>
        <v>Cash</v>
      </c>
      <c r="V4897" s="4" t="str">
        <f t="shared" si="306"/>
        <v>Normal</v>
      </c>
      <c r="W4897" s="4" t="str">
        <f t="shared" si="307"/>
        <v>Poor</v>
      </c>
      <c r="X4897" s="4">
        <f>AVERAGE(Table1[Purchase Amount])</f>
        <v>129.48419400000012</v>
      </c>
    </row>
    <row r="4898" spans="1:24" ht="15" customHeight="1" x14ac:dyDescent="0.25">
      <c r="A4898">
        <v>4996</v>
      </c>
      <c r="B4898">
        <v>56</v>
      </c>
      <c r="C4898" t="s">
        <v>71</v>
      </c>
      <c r="D4898" t="s">
        <v>116</v>
      </c>
      <c r="E4898" t="s">
        <v>18</v>
      </c>
      <c r="F4898" s="2">
        <v>116.74</v>
      </c>
      <c r="G4898" t="s">
        <v>101</v>
      </c>
      <c r="H4898" t="s">
        <v>31</v>
      </c>
      <c r="I4898" t="s">
        <v>40</v>
      </c>
      <c r="J4898" t="s">
        <v>75</v>
      </c>
      <c r="K4898">
        <v>1</v>
      </c>
      <c r="L4898" t="s">
        <v>23</v>
      </c>
      <c r="M4898" t="s">
        <v>61</v>
      </c>
      <c r="N4898" t="s">
        <v>23</v>
      </c>
      <c r="O4898">
        <v>27</v>
      </c>
      <c r="P4898" t="s">
        <v>58</v>
      </c>
      <c r="Q4898" t="s">
        <v>42</v>
      </c>
      <c r="R4898" s="1">
        <v>0.1</v>
      </c>
      <c r="S4898">
        <f t="shared" si="304"/>
        <v>105.066</v>
      </c>
      <c r="T4898">
        <f>IFERROR(VLOOKUP(A4898,Table1[[Customer ID]:[Discount Amount]], 6, FALSE),"Not Found")</f>
        <v>116.74</v>
      </c>
      <c r="U4898" t="str">
        <f t="shared" si="305"/>
        <v>PayPal</v>
      </c>
      <c r="V4898" s="4" t="str">
        <f t="shared" si="306"/>
        <v>Normal</v>
      </c>
      <c r="W4898" s="4" t="str">
        <f t="shared" si="307"/>
        <v>Poor</v>
      </c>
      <c r="X4898" s="4">
        <f>AVERAGE(Table1[Purchase Amount])</f>
        <v>129.48419400000012</v>
      </c>
    </row>
    <row r="4899" spans="1:24" ht="15" customHeight="1" x14ac:dyDescent="0.25">
      <c r="A4899">
        <v>4997</v>
      </c>
      <c r="B4899">
        <v>64</v>
      </c>
      <c r="C4899" t="s">
        <v>71</v>
      </c>
      <c r="D4899" t="s">
        <v>72</v>
      </c>
      <c r="E4899" t="s">
        <v>29</v>
      </c>
      <c r="F4899" s="2">
        <v>349.89</v>
      </c>
      <c r="G4899" t="s">
        <v>126</v>
      </c>
      <c r="H4899" t="s">
        <v>55</v>
      </c>
      <c r="I4899" t="s">
        <v>40</v>
      </c>
      <c r="J4899" t="s">
        <v>22</v>
      </c>
      <c r="K4899">
        <v>1</v>
      </c>
      <c r="L4899" t="s">
        <v>23</v>
      </c>
      <c r="M4899" t="s">
        <v>61</v>
      </c>
      <c r="N4899" t="s">
        <v>23</v>
      </c>
      <c r="O4899">
        <v>0</v>
      </c>
      <c r="P4899" t="s">
        <v>36</v>
      </c>
      <c r="Q4899" t="s">
        <v>37</v>
      </c>
      <c r="R4899" s="1">
        <v>0.1</v>
      </c>
      <c r="S4899">
        <f t="shared" si="304"/>
        <v>314.90100000000001</v>
      </c>
      <c r="T4899">
        <f>IFERROR(VLOOKUP(A4899,Table1[[Customer ID]:[Discount Amount]], 6, FALSE),"Not Found")</f>
        <v>349.89</v>
      </c>
      <c r="U4899" t="str">
        <f t="shared" si="305"/>
        <v>Debit Card</v>
      </c>
      <c r="V4899" s="4" t="str">
        <f t="shared" si="306"/>
        <v>Normal</v>
      </c>
      <c r="W4899" s="4" t="str">
        <f t="shared" si="307"/>
        <v>Poor</v>
      </c>
      <c r="X4899" s="4">
        <f>AVERAGE(Table1[Purchase Amount])</f>
        <v>129.48419400000012</v>
      </c>
    </row>
    <row r="4900" spans="1:24" ht="15" customHeight="1" x14ac:dyDescent="0.25">
      <c r="A4900">
        <v>4998</v>
      </c>
      <c r="B4900">
        <v>69</v>
      </c>
      <c r="C4900" t="s">
        <v>71</v>
      </c>
      <c r="D4900" t="s">
        <v>117</v>
      </c>
      <c r="E4900" t="s">
        <v>18</v>
      </c>
      <c r="F4900" s="2">
        <v>0</v>
      </c>
      <c r="G4900" t="s">
        <v>139</v>
      </c>
      <c r="H4900" t="s">
        <v>55</v>
      </c>
      <c r="I4900" t="s">
        <v>46</v>
      </c>
      <c r="J4900" t="s">
        <v>57</v>
      </c>
      <c r="K4900">
        <v>3</v>
      </c>
      <c r="L4900" t="s">
        <v>34</v>
      </c>
      <c r="M4900" t="s">
        <v>24</v>
      </c>
      <c r="N4900" t="s">
        <v>34</v>
      </c>
      <c r="O4900">
        <v>0</v>
      </c>
      <c r="P4900" t="s">
        <v>25</v>
      </c>
      <c r="Q4900" t="s">
        <v>26</v>
      </c>
      <c r="R4900" s="1">
        <v>0.1</v>
      </c>
      <c r="S4900">
        <f t="shared" si="304"/>
        <v>0</v>
      </c>
      <c r="T4900">
        <f>IFERROR(VLOOKUP(A4900,Table1[[Customer ID]:[Discount Amount]], 6, FALSE),"Not Found")</f>
        <v>0</v>
      </c>
      <c r="U4900" t="str">
        <f t="shared" si="305"/>
        <v>Cash</v>
      </c>
      <c r="V4900" s="4" t="str">
        <f t="shared" si="306"/>
        <v>Normal</v>
      </c>
      <c r="W4900" s="4" t="str">
        <f t="shared" si="307"/>
        <v>Good</v>
      </c>
      <c r="X4900" s="4">
        <f>AVERAGE(Table1[Purchase Amount])</f>
        <v>129.48419400000012</v>
      </c>
    </row>
    <row r="4901" spans="1:24" ht="15" customHeight="1" x14ac:dyDescent="0.25">
      <c r="A4901">
        <v>4999</v>
      </c>
      <c r="B4901">
        <v>53</v>
      </c>
      <c r="C4901" t="s">
        <v>71</v>
      </c>
      <c r="D4901" t="s">
        <v>117</v>
      </c>
      <c r="E4901" t="s">
        <v>29</v>
      </c>
      <c r="F4901" s="2">
        <v>1173.99</v>
      </c>
      <c r="G4901" t="s">
        <v>101</v>
      </c>
      <c r="H4901" t="s">
        <v>31</v>
      </c>
      <c r="I4901" t="s">
        <v>93</v>
      </c>
      <c r="J4901" t="s">
        <v>57</v>
      </c>
      <c r="K4901">
        <v>1</v>
      </c>
      <c r="L4901" t="s">
        <v>34</v>
      </c>
      <c r="M4901" t="s">
        <v>24</v>
      </c>
      <c r="N4901" t="s">
        <v>34</v>
      </c>
      <c r="O4901">
        <v>50</v>
      </c>
      <c r="P4901" t="s">
        <v>25</v>
      </c>
      <c r="Q4901" t="s">
        <v>42</v>
      </c>
      <c r="R4901" s="1">
        <v>0.1</v>
      </c>
      <c r="S4901">
        <f t="shared" si="304"/>
        <v>1056.5909999999999</v>
      </c>
      <c r="T4901">
        <f>IFERROR(VLOOKUP(A4901,Table1[[Customer ID]:[Discount Amount]], 6, FALSE),"Not Found")</f>
        <v>1173.99</v>
      </c>
      <c r="U4901" t="str">
        <f t="shared" si="305"/>
        <v>Cash</v>
      </c>
      <c r="V4901" s="4" t="str">
        <f t="shared" si="306"/>
        <v>Normal</v>
      </c>
      <c r="W4901" s="4" t="str">
        <f t="shared" si="307"/>
        <v>Poor</v>
      </c>
      <c r="X4901" s="4">
        <f>AVERAGE(Table1[Purchase Amount])</f>
        <v>129.48419400000012</v>
      </c>
    </row>
    <row r="4902" spans="1:24" ht="15" customHeight="1" x14ac:dyDescent="0.25">
      <c r="A4902">
        <v>5000</v>
      </c>
      <c r="B4902">
        <v>50</v>
      </c>
      <c r="C4902" t="s">
        <v>16</v>
      </c>
      <c r="D4902" t="s">
        <v>116</v>
      </c>
      <c r="E4902" t="s">
        <v>29</v>
      </c>
      <c r="F4902" s="2">
        <v>238.66</v>
      </c>
      <c r="G4902" t="s">
        <v>82</v>
      </c>
      <c r="H4902" t="s">
        <v>45</v>
      </c>
      <c r="I4902" t="s">
        <v>93</v>
      </c>
      <c r="J4902" t="s">
        <v>57</v>
      </c>
      <c r="K4902">
        <v>1</v>
      </c>
      <c r="L4902" t="s">
        <v>23</v>
      </c>
      <c r="M4902" t="s">
        <v>24</v>
      </c>
      <c r="N4902" t="s">
        <v>34</v>
      </c>
      <c r="O4902">
        <v>0</v>
      </c>
      <c r="P4902" t="s">
        <v>58</v>
      </c>
      <c r="Q4902" t="s">
        <v>37</v>
      </c>
      <c r="R4902" s="1">
        <v>0.1</v>
      </c>
      <c r="S4902">
        <f t="shared" si="304"/>
        <v>214.79399999999998</v>
      </c>
      <c r="T4902">
        <f>IFERROR(VLOOKUP(A4902,Table1[[Customer ID]:[Discount Amount]], 6, FALSE),"Not Found")</f>
        <v>238.66</v>
      </c>
      <c r="U4902" t="str">
        <f t="shared" si="305"/>
        <v>PayPal</v>
      </c>
      <c r="V4902" s="4" t="str">
        <f t="shared" si="306"/>
        <v>Normal</v>
      </c>
      <c r="W4902" s="4" t="str">
        <f t="shared" si="307"/>
        <v>Poor</v>
      </c>
      <c r="X4902" s="4">
        <f>AVERAGE(Table1[Purchase Amount])</f>
        <v>129.48419400000012</v>
      </c>
    </row>
    <row r="4903" spans="1:24" ht="15" customHeight="1" x14ac:dyDescent="0.25">
      <c r="A4903">
        <v>5001</v>
      </c>
      <c r="B4903">
        <v>24</v>
      </c>
      <c r="C4903" t="s">
        <v>71</v>
      </c>
      <c r="D4903" t="s">
        <v>112</v>
      </c>
      <c r="E4903" t="s">
        <v>29</v>
      </c>
      <c r="F4903" s="2">
        <v>0</v>
      </c>
      <c r="G4903" t="s">
        <v>139</v>
      </c>
      <c r="H4903" t="s">
        <v>45</v>
      </c>
      <c r="I4903" t="s">
        <v>93</v>
      </c>
      <c r="J4903" t="s">
        <v>75</v>
      </c>
      <c r="K4903">
        <v>3</v>
      </c>
      <c r="L4903" t="s">
        <v>34</v>
      </c>
      <c r="M4903" t="s">
        <v>24</v>
      </c>
      <c r="N4903" t="s">
        <v>23</v>
      </c>
      <c r="O4903">
        <v>45</v>
      </c>
      <c r="P4903" t="s">
        <v>25</v>
      </c>
      <c r="Q4903" t="s">
        <v>26</v>
      </c>
      <c r="R4903" s="1">
        <v>0.1</v>
      </c>
      <c r="S4903">
        <f t="shared" si="304"/>
        <v>0</v>
      </c>
      <c r="T4903">
        <f>IFERROR(VLOOKUP(A4903,Table1[[Customer ID]:[Discount Amount]], 6, FALSE),"Not Found")</f>
        <v>0</v>
      </c>
      <c r="U4903" t="str">
        <f t="shared" si="305"/>
        <v>Cash</v>
      </c>
      <c r="V4903" s="4" t="str">
        <f t="shared" si="306"/>
        <v>Normal</v>
      </c>
      <c r="W4903" s="4" t="str">
        <f t="shared" si="307"/>
        <v>Good</v>
      </c>
      <c r="X4903" s="4">
        <f>AVERAGE(Table1[Purchase Amount])</f>
        <v>129.48419400000012</v>
      </c>
    </row>
    <row r="4904" spans="1:24" ht="15" customHeight="1" x14ac:dyDescent="0.25">
      <c r="A4904">
        <v>5002</v>
      </c>
      <c r="B4904">
        <v>24</v>
      </c>
      <c r="C4904" t="s">
        <v>71</v>
      </c>
      <c r="D4904" t="s">
        <v>112</v>
      </c>
      <c r="E4904" t="s">
        <v>29</v>
      </c>
      <c r="F4904" s="2">
        <v>781.26</v>
      </c>
      <c r="G4904" t="s">
        <v>126</v>
      </c>
      <c r="H4904" t="s">
        <v>45</v>
      </c>
      <c r="I4904" t="s">
        <v>93</v>
      </c>
      <c r="J4904" t="s">
        <v>57</v>
      </c>
      <c r="K4904">
        <v>1</v>
      </c>
      <c r="L4904" t="s">
        <v>34</v>
      </c>
      <c r="M4904" t="s">
        <v>24</v>
      </c>
      <c r="N4904" t="s">
        <v>34</v>
      </c>
      <c r="O4904">
        <v>41</v>
      </c>
      <c r="P4904" t="s">
        <v>25</v>
      </c>
      <c r="Q4904" t="s">
        <v>26</v>
      </c>
      <c r="R4904" s="1">
        <v>0.1</v>
      </c>
      <c r="S4904">
        <f t="shared" si="304"/>
        <v>703.13400000000001</v>
      </c>
      <c r="T4904">
        <f>IFERROR(VLOOKUP(A4904,Table1[[Customer ID]:[Discount Amount]], 6, FALSE),"Not Found")</f>
        <v>781.26</v>
      </c>
      <c r="U4904" t="str">
        <f t="shared" si="305"/>
        <v>Cash</v>
      </c>
      <c r="V4904" s="4" t="str">
        <f t="shared" si="306"/>
        <v>Normal</v>
      </c>
      <c r="W4904" s="4" t="str">
        <f t="shared" si="307"/>
        <v>Poor</v>
      </c>
      <c r="X4904" s="4">
        <f>AVERAGE(Table1[Purchase Amount])</f>
        <v>129.48419400000012</v>
      </c>
    </row>
    <row r="4905" spans="1:24" ht="15" customHeight="1" x14ac:dyDescent="0.25">
      <c r="A4905">
        <v>5003</v>
      </c>
      <c r="B4905">
        <v>47</v>
      </c>
      <c r="C4905" t="s">
        <v>71</v>
      </c>
      <c r="D4905" t="s">
        <v>80</v>
      </c>
      <c r="E4905" t="s">
        <v>29</v>
      </c>
      <c r="F4905" s="2">
        <v>0</v>
      </c>
      <c r="G4905" t="s">
        <v>73</v>
      </c>
      <c r="H4905" t="s">
        <v>31</v>
      </c>
      <c r="I4905" t="s">
        <v>93</v>
      </c>
      <c r="J4905" t="s">
        <v>57</v>
      </c>
      <c r="K4905">
        <v>4</v>
      </c>
      <c r="L4905" t="s">
        <v>23</v>
      </c>
      <c r="M4905" t="s">
        <v>61</v>
      </c>
      <c r="N4905" t="s">
        <v>23</v>
      </c>
      <c r="O4905">
        <v>0</v>
      </c>
      <c r="P4905" t="s">
        <v>53</v>
      </c>
      <c r="Q4905" t="s">
        <v>42</v>
      </c>
      <c r="R4905" s="1">
        <v>0.1</v>
      </c>
      <c r="S4905">
        <f t="shared" si="304"/>
        <v>0</v>
      </c>
      <c r="T4905">
        <f>IFERROR(VLOOKUP(A4905,Table1[[Customer ID]:[Discount Amount]], 6, FALSE),"Not Found")</f>
        <v>0</v>
      </c>
      <c r="U4905" t="str">
        <f t="shared" si="305"/>
        <v>Credit Card</v>
      </c>
      <c r="V4905" s="4" t="str">
        <f t="shared" si="306"/>
        <v>Normal</v>
      </c>
      <c r="W4905" s="4" t="str">
        <f t="shared" si="307"/>
        <v>Good</v>
      </c>
      <c r="X4905" s="4">
        <f>AVERAGE(Table1[Purchase Amount])</f>
        <v>129.48419400000012</v>
      </c>
    </row>
    <row r="4906" spans="1:24" ht="15" customHeight="1" x14ac:dyDescent="0.25">
      <c r="A4906">
        <v>5004</v>
      </c>
      <c r="B4906">
        <v>46</v>
      </c>
      <c r="C4906" t="s">
        <v>71</v>
      </c>
      <c r="D4906" t="s">
        <v>116</v>
      </c>
      <c r="E4906" t="s">
        <v>81</v>
      </c>
      <c r="F4906" s="2">
        <v>0</v>
      </c>
      <c r="G4906" t="s">
        <v>82</v>
      </c>
      <c r="H4906" t="s">
        <v>31</v>
      </c>
      <c r="I4906" t="s">
        <v>32</v>
      </c>
      <c r="J4906" t="s">
        <v>57</v>
      </c>
      <c r="K4906">
        <v>1</v>
      </c>
      <c r="L4906" t="s">
        <v>23</v>
      </c>
      <c r="M4906" t="s">
        <v>61</v>
      </c>
      <c r="N4906" t="s">
        <v>23</v>
      </c>
      <c r="O4906">
        <v>32</v>
      </c>
      <c r="P4906" t="s">
        <v>36</v>
      </c>
      <c r="Q4906" t="s">
        <v>37</v>
      </c>
      <c r="R4906" s="1">
        <v>0.1</v>
      </c>
      <c r="S4906">
        <f t="shared" si="304"/>
        <v>0</v>
      </c>
      <c r="T4906">
        <f>IFERROR(VLOOKUP(A4906,Table1[[Customer ID]:[Discount Amount]], 6, FALSE),"Not Found")</f>
        <v>0</v>
      </c>
      <c r="U4906" t="str">
        <f t="shared" si="305"/>
        <v>Debit Card</v>
      </c>
      <c r="V4906" s="4" t="str">
        <f t="shared" si="306"/>
        <v>Normal</v>
      </c>
      <c r="W4906" s="4" t="str">
        <f t="shared" si="307"/>
        <v>Poor</v>
      </c>
      <c r="X4906" s="4">
        <f>AVERAGE(Table1[Purchase Amount])</f>
        <v>129.48419400000012</v>
      </c>
    </row>
    <row r="4907" spans="1:24" ht="15" customHeight="1" x14ac:dyDescent="0.25">
      <c r="A4907">
        <v>5005</v>
      </c>
      <c r="B4907">
        <v>60</v>
      </c>
      <c r="C4907" t="s">
        <v>27</v>
      </c>
      <c r="D4907" t="s">
        <v>95</v>
      </c>
      <c r="E4907" t="s">
        <v>81</v>
      </c>
      <c r="F4907" s="2">
        <v>0</v>
      </c>
      <c r="G4907" t="s">
        <v>139</v>
      </c>
      <c r="H4907" t="s">
        <v>31</v>
      </c>
      <c r="I4907" t="s">
        <v>40</v>
      </c>
      <c r="J4907" t="s">
        <v>33</v>
      </c>
      <c r="K4907">
        <v>1</v>
      </c>
      <c r="L4907" t="s">
        <v>23</v>
      </c>
      <c r="M4907" t="s">
        <v>61</v>
      </c>
      <c r="N4907" t="s">
        <v>23</v>
      </c>
      <c r="O4907">
        <v>0</v>
      </c>
      <c r="P4907" t="s">
        <v>25</v>
      </c>
      <c r="Q4907" t="s">
        <v>26</v>
      </c>
      <c r="R4907" s="1">
        <v>0.1</v>
      </c>
      <c r="S4907">
        <f t="shared" si="304"/>
        <v>0</v>
      </c>
      <c r="T4907">
        <f>IFERROR(VLOOKUP(A4907,Table1[[Customer ID]:[Discount Amount]], 6, FALSE),"Not Found")</f>
        <v>0</v>
      </c>
      <c r="U4907" t="str">
        <f t="shared" si="305"/>
        <v>Cash</v>
      </c>
      <c r="V4907" s="4" t="str">
        <f t="shared" si="306"/>
        <v>Normal</v>
      </c>
      <c r="W4907" s="4" t="str">
        <f t="shared" si="307"/>
        <v>Poor</v>
      </c>
      <c r="X4907" s="4">
        <f>AVERAGE(Table1[Purchase Amount])</f>
        <v>129.48419400000012</v>
      </c>
    </row>
    <row r="4908" spans="1:24" ht="15" customHeight="1" x14ac:dyDescent="0.25">
      <c r="A4908">
        <v>5006</v>
      </c>
      <c r="B4908">
        <v>52</v>
      </c>
      <c r="C4908" t="s">
        <v>27</v>
      </c>
      <c r="D4908" t="s">
        <v>117</v>
      </c>
      <c r="E4908" t="s">
        <v>29</v>
      </c>
      <c r="F4908" s="2">
        <v>1397.54</v>
      </c>
      <c r="G4908" t="s">
        <v>101</v>
      </c>
      <c r="H4908" t="s">
        <v>45</v>
      </c>
      <c r="I4908" t="s">
        <v>40</v>
      </c>
      <c r="J4908" t="s">
        <v>22</v>
      </c>
      <c r="K4908">
        <v>1</v>
      </c>
      <c r="L4908" t="s">
        <v>23</v>
      </c>
      <c r="M4908" t="s">
        <v>61</v>
      </c>
      <c r="N4908" t="s">
        <v>23</v>
      </c>
      <c r="O4908">
        <v>0</v>
      </c>
      <c r="P4908" t="s">
        <v>53</v>
      </c>
      <c r="Q4908" t="s">
        <v>37</v>
      </c>
      <c r="R4908" s="1">
        <v>0.1</v>
      </c>
      <c r="S4908">
        <f t="shared" si="304"/>
        <v>1257.7860000000001</v>
      </c>
      <c r="T4908">
        <f>IFERROR(VLOOKUP(A4908,Table1[[Customer ID]:[Discount Amount]], 6, FALSE),"Not Found")</f>
        <v>1397.54</v>
      </c>
      <c r="U4908" t="str">
        <f t="shared" si="305"/>
        <v>Credit Card</v>
      </c>
      <c r="V4908" s="4" t="str">
        <f t="shared" si="306"/>
        <v>Normal</v>
      </c>
      <c r="W4908" s="4" t="str">
        <f t="shared" si="307"/>
        <v>Poor</v>
      </c>
      <c r="X4908" s="4">
        <f>AVERAGE(Table1[Purchase Amount])</f>
        <v>129.48419400000012</v>
      </c>
    </row>
    <row r="4909" spans="1:24" ht="15" customHeight="1" x14ac:dyDescent="0.25">
      <c r="A4909">
        <v>5007</v>
      </c>
      <c r="B4909">
        <v>56</v>
      </c>
      <c r="C4909" t="s">
        <v>27</v>
      </c>
      <c r="D4909" t="s">
        <v>38</v>
      </c>
      <c r="E4909" t="s">
        <v>18</v>
      </c>
      <c r="F4909" s="2">
        <v>705.99</v>
      </c>
      <c r="G4909" t="s">
        <v>126</v>
      </c>
      <c r="H4909" t="s">
        <v>45</v>
      </c>
      <c r="I4909" t="s">
        <v>46</v>
      </c>
      <c r="J4909" t="s">
        <v>75</v>
      </c>
      <c r="K4909">
        <v>3</v>
      </c>
      <c r="L4909" t="s">
        <v>34</v>
      </c>
      <c r="M4909" t="s">
        <v>61</v>
      </c>
      <c r="N4909" t="s">
        <v>23</v>
      </c>
      <c r="O4909">
        <v>34</v>
      </c>
      <c r="P4909" t="s">
        <v>36</v>
      </c>
      <c r="Q4909" t="s">
        <v>37</v>
      </c>
      <c r="R4909" s="1">
        <v>0.1</v>
      </c>
      <c r="S4909">
        <f t="shared" si="304"/>
        <v>635.39099999999996</v>
      </c>
      <c r="T4909">
        <f>IFERROR(VLOOKUP(A4909,Table1[[Customer ID]:[Discount Amount]], 6, FALSE),"Not Found")</f>
        <v>705.99</v>
      </c>
      <c r="U4909" t="str">
        <f t="shared" si="305"/>
        <v>Debit Card</v>
      </c>
      <c r="V4909" s="4" t="str">
        <f t="shared" si="306"/>
        <v>Normal</v>
      </c>
      <c r="W4909" s="4" t="str">
        <f t="shared" si="307"/>
        <v>Good</v>
      </c>
      <c r="X4909" s="4">
        <f>AVERAGE(Table1[Purchase Amount])</f>
        <v>129.48419400000012</v>
      </c>
    </row>
    <row r="4910" spans="1:24" ht="15" customHeight="1" x14ac:dyDescent="0.25">
      <c r="A4910">
        <v>5008</v>
      </c>
      <c r="B4910">
        <v>63</v>
      </c>
      <c r="C4910" t="s">
        <v>71</v>
      </c>
      <c r="D4910" t="s">
        <v>72</v>
      </c>
      <c r="E4910" t="s">
        <v>81</v>
      </c>
      <c r="F4910" s="2">
        <v>0</v>
      </c>
      <c r="G4910" t="s">
        <v>82</v>
      </c>
      <c r="H4910" t="s">
        <v>31</v>
      </c>
      <c r="I4910" t="s">
        <v>74</v>
      </c>
      <c r="J4910" t="s">
        <v>75</v>
      </c>
      <c r="K4910">
        <v>2</v>
      </c>
      <c r="L4910" t="s">
        <v>23</v>
      </c>
      <c r="M4910" t="s">
        <v>24</v>
      </c>
      <c r="N4910" t="s">
        <v>34</v>
      </c>
      <c r="O4910">
        <v>0</v>
      </c>
      <c r="P4910" t="s">
        <v>36</v>
      </c>
      <c r="Q4910" t="s">
        <v>42</v>
      </c>
      <c r="R4910" s="1">
        <v>0.1</v>
      </c>
      <c r="S4910">
        <f t="shared" si="304"/>
        <v>0</v>
      </c>
      <c r="T4910">
        <f>IFERROR(VLOOKUP(A4910,Table1[[Customer ID]:[Discount Amount]], 6, FALSE),"Not Found")</f>
        <v>0</v>
      </c>
      <c r="U4910" t="str">
        <f t="shared" si="305"/>
        <v>Debit Card</v>
      </c>
      <c r="V4910" s="4" t="str">
        <f t="shared" si="306"/>
        <v>Normal</v>
      </c>
      <c r="W4910" s="4" t="str">
        <f t="shared" si="307"/>
        <v>Poor</v>
      </c>
      <c r="X4910" s="4">
        <f>AVERAGE(Table1[Purchase Amount])</f>
        <v>129.48419400000012</v>
      </c>
    </row>
    <row r="4911" spans="1:24" ht="15" customHeight="1" x14ac:dyDescent="0.25">
      <c r="A4911">
        <v>5009</v>
      </c>
      <c r="B4911">
        <v>35</v>
      </c>
      <c r="C4911" t="s">
        <v>27</v>
      </c>
      <c r="D4911" t="s">
        <v>116</v>
      </c>
      <c r="E4911" t="s">
        <v>18</v>
      </c>
      <c r="F4911" s="2">
        <v>585.1</v>
      </c>
      <c r="G4911" t="s">
        <v>101</v>
      </c>
      <c r="H4911" t="s">
        <v>31</v>
      </c>
      <c r="I4911" t="s">
        <v>93</v>
      </c>
      <c r="J4911" t="s">
        <v>75</v>
      </c>
      <c r="K4911">
        <v>4</v>
      </c>
      <c r="L4911" t="s">
        <v>34</v>
      </c>
      <c r="M4911" t="s">
        <v>61</v>
      </c>
      <c r="N4911" t="s">
        <v>34</v>
      </c>
      <c r="O4911">
        <v>41</v>
      </c>
      <c r="P4911" t="s">
        <v>53</v>
      </c>
      <c r="Q4911" t="s">
        <v>37</v>
      </c>
      <c r="R4911" s="1">
        <v>0.1</v>
      </c>
      <c r="S4911">
        <f t="shared" si="304"/>
        <v>526.59</v>
      </c>
      <c r="T4911">
        <f>IFERROR(VLOOKUP(A4911,Table1[[Customer ID]:[Discount Amount]], 6, FALSE),"Not Found")</f>
        <v>585.1</v>
      </c>
      <c r="U4911" t="str">
        <f t="shared" si="305"/>
        <v>Credit Card</v>
      </c>
      <c r="V4911" s="4" t="str">
        <f t="shared" si="306"/>
        <v>Normal</v>
      </c>
      <c r="W4911" s="4" t="str">
        <f t="shared" si="307"/>
        <v>Good</v>
      </c>
      <c r="X4911" s="4">
        <f>AVERAGE(Table1[Purchase Amount])</f>
        <v>129.48419400000012</v>
      </c>
    </row>
    <row r="4912" spans="1:24" ht="15" customHeight="1" x14ac:dyDescent="0.25">
      <c r="A4912">
        <v>5010</v>
      </c>
      <c r="B4912">
        <v>68</v>
      </c>
      <c r="C4912" t="s">
        <v>71</v>
      </c>
      <c r="D4912" t="s">
        <v>117</v>
      </c>
      <c r="E4912" t="s">
        <v>81</v>
      </c>
      <c r="F4912" s="2">
        <v>1064.28</v>
      </c>
      <c r="G4912" t="s">
        <v>101</v>
      </c>
      <c r="H4912" t="s">
        <v>31</v>
      </c>
      <c r="I4912" t="s">
        <v>93</v>
      </c>
      <c r="J4912" t="s">
        <v>22</v>
      </c>
      <c r="K4912">
        <v>3</v>
      </c>
      <c r="L4912" t="s">
        <v>23</v>
      </c>
      <c r="M4912" t="s">
        <v>24</v>
      </c>
      <c r="N4912" t="s">
        <v>34</v>
      </c>
      <c r="O4912">
        <v>46</v>
      </c>
      <c r="P4912" t="s">
        <v>25</v>
      </c>
      <c r="Q4912" t="s">
        <v>37</v>
      </c>
      <c r="R4912" s="1">
        <v>0.1</v>
      </c>
      <c r="S4912">
        <f t="shared" si="304"/>
        <v>957.85199999999998</v>
      </c>
      <c r="T4912">
        <f>IFERROR(VLOOKUP(A4912,Table1[[Customer ID]:[Discount Amount]], 6, FALSE),"Not Found")</f>
        <v>1064.28</v>
      </c>
      <c r="U4912" t="str">
        <f t="shared" si="305"/>
        <v>Cash</v>
      </c>
      <c r="V4912" s="4" t="str">
        <f t="shared" si="306"/>
        <v>Normal</v>
      </c>
      <c r="W4912" s="4" t="str">
        <f t="shared" si="307"/>
        <v>Good</v>
      </c>
      <c r="X4912" s="4">
        <f>AVERAGE(Table1[Purchase Amount])</f>
        <v>129.48419400000012</v>
      </c>
    </row>
    <row r="4913" spans="1:24" ht="15" customHeight="1" x14ac:dyDescent="0.25">
      <c r="A4913">
        <v>5011</v>
      </c>
      <c r="B4913">
        <v>63</v>
      </c>
      <c r="C4913" t="s">
        <v>27</v>
      </c>
      <c r="D4913" t="s">
        <v>80</v>
      </c>
      <c r="E4913" t="s">
        <v>29</v>
      </c>
      <c r="F4913" s="2">
        <v>0</v>
      </c>
      <c r="G4913" t="s">
        <v>101</v>
      </c>
      <c r="H4913" t="s">
        <v>31</v>
      </c>
      <c r="I4913" t="s">
        <v>93</v>
      </c>
      <c r="J4913" t="s">
        <v>75</v>
      </c>
      <c r="K4913">
        <v>1</v>
      </c>
      <c r="L4913" t="s">
        <v>34</v>
      </c>
      <c r="M4913" t="s">
        <v>24</v>
      </c>
      <c r="N4913" t="s">
        <v>34</v>
      </c>
      <c r="O4913">
        <v>0</v>
      </c>
      <c r="P4913" t="s">
        <v>58</v>
      </c>
      <c r="Q4913" t="s">
        <v>26</v>
      </c>
      <c r="R4913" s="1">
        <v>0.1</v>
      </c>
      <c r="S4913">
        <f t="shared" si="304"/>
        <v>0</v>
      </c>
      <c r="T4913">
        <f>IFERROR(VLOOKUP(A4913,Table1[[Customer ID]:[Discount Amount]], 6, FALSE),"Not Found")</f>
        <v>0</v>
      </c>
      <c r="U4913" t="str">
        <f t="shared" si="305"/>
        <v>PayPal</v>
      </c>
      <c r="V4913" s="4" t="str">
        <f t="shared" si="306"/>
        <v>Normal</v>
      </c>
      <c r="W4913" s="4" t="str">
        <f t="shared" si="307"/>
        <v>Poor</v>
      </c>
      <c r="X4913" s="4">
        <f>AVERAGE(Table1[Purchase Amount])</f>
        <v>129.48419400000012</v>
      </c>
    </row>
    <row r="4914" spans="1:24" ht="15" customHeight="1" x14ac:dyDescent="0.25">
      <c r="A4914">
        <v>5012</v>
      </c>
      <c r="B4914">
        <v>33</v>
      </c>
      <c r="C4914" t="s">
        <v>71</v>
      </c>
      <c r="D4914" t="s">
        <v>80</v>
      </c>
      <c r="E4914" t="s">
        <v>29</v>
      </c>
      <c r="F4914" s="2">
        <v>509.47</v>
      </c>
      <c r="G4914" t="s">
        <v>82</v>
      </c>
      <c r="H4914" t="s">
        <v>31</v>
      </c>
      <c r="I4914" t="s">
        <v>93</v>
      </c>
      <c r="J4914" t="s">
        <v>33</v>
      </c>
      <c r="K4914">
        <v>4</v>
      </c>
      <c r="L4914" t="s">
        <v>23</v>
      </c>
      <c r="M4914" t="s">
        <v>61</v>
      </c>
      <c r="N4914" t="s">
        <v>23</v>
      </c>
      <c r="O4914">
        <v>11</v>
      </c>
      <c r="P4914" t="s">
        <v>36</v>
      </c>
      <c r="Q4914" t="s">
        <v>26</v>
      </c>
      <c r="R4914" s="1">
        <v>0.1</v>
      </c>
      <c r="S4914">
        <f t="shared" si="304"/>
        <v>458.52300000000002</v>
      </c>
      <c r="T4914">
        <f>IFERROR(VLOOKUP(A4914,Table1[[Customer ID]:[Discount Amount]], 6, FALSE),"Not Found")</f>
        <v>509.47</v>
      </c>
      <c r="U4914" t="str">
        <f t="shared" si="305"/>
        <v>Debit Card</v>
      </c>
      <c r="V4914" s="4" t="str">
        <f t="shared" si="306"/>
        <v>Normal</v>
      </c>
      <c r="W4914" s="4" t="str">
        <f t="shared" si="307"/>
        <v>Good</v>
      </c>
      <c r="X4914" s="4">
        <f>AVERAGE(Table1[Purchase Amount])</f>
        <v>129.48419400000012</v>
      </c>
    </row>
    <row r="4915" spans="1:24" ht="15" customHeight="1" x14ac:dyDescent="0.25">
      <c r="A4915">
        <v>5013</v>
      </c>
      <c r="B4915">
        <v>54</v>
      </c>
      <c r="C4915" t="s">
        <v>16</v>
      </c>
      <c r="D4915" t="s">
        <v>116</v>
      </c>
      <c r="E4915" t="s">
        <v>29</v>
      </c>
      <c r="F4915" s="2">
        <v>1436.4</v>
      </c>
      <c r="G4915" t="s">
        <v>73</v>
      </c>
      <c r="H4915" t="s">
        <v>31</v>
      </c>
      <c r="I4915" t="s">
        <v>32</v>
      </c>
      <c r="J4915" t="s">
        <v>75</v>
      </c>
      <c r="K4915">
        <v>1</v>
      </c>
      <c r="L4915" t="s">
        <v>23</v>
      </c>
      <c r="M4915" t="s">
        <v>61</v>
      </c>
      <c r="N4915" t="s">
        <v>34</v>
      </c>
      <c r="O4915">
        <v>8</v>
      </c>
      <c r="P4915" t="s">
        <v>58</v>
      </c>
      <c r="Q4915" t="s">
        <v>37</v>
      </c>
      <c r="R4915" s="1">
        <v>0.1</v>
      </c>
      <c r="S4915">
        <f t="shared" si="304"/>
        <v>1292.76</v>
      </c>
      <c r="T4915">
        <f>IFERROR(VLOOKUP(A4915,Table1[[Customer ID]:[Discount Amount]], 6, FALSE),"Not Found")</f>
        <v>1436.4</v>
      </c>
      <c r="U4915" t="str">
        <f t="shared" si="305"/>
        <v>PayPal</v>
      </c>
      <c r="V4915" s="4" t="str">
        <f t="shared" si="306"/>
        <v>Normal</v>
      </c>
      <c r="W4915" s="4" t="str">
        <f t="shared" si="307"/>
        <v>Poor</v>
      </c>
      <c r="X4915" s="4">
        <f>AVERAGE(Table1[Purchase Amount])</f>
        <v>129.48419400000012</v>
      </c>
    </row>
    <row r="4916" spans="1:24" ht="15" customHeight="1" x14ac:dyDescent="0.25">
      <c r="A4916">
        <v>5014</v>
      </c>
      <c r="B4916">
        <v>60</v>
      </c>
      <c r="C4916" t="s">
        <v>16</v>
      </c>
      <c r="D4916" t="s">
        <v>38</v>
      </c>
      <c r="E4916" t="s">
        <v>29</v>
      </c>
      <c r="F4916" s="2">
        <v>0</v>
      </c>
      <c r="G4916" t="s">
        <v>73</v>
      </c>
      <c r="H4916" t="s">
        <v>55</v>
      </c>
      <c r="I4916" t="s">
        <v>93</v>
      </c>
      <c r="J4916" t="s">
        <v>22</v>
      </c>
      <c r="K4916">
        <v>2</v>
      </c>
      <c r="L4916" t="s">
        <v>34</v>
      </c>
      <c r="M4916" t="s">
        <v>24</v>
      </c>
      <c r="N4916" t="s">
        <v>34</v>
      </c>
      <c r="O4916">
        <v>44</v>
      </c>
      <c r="P4916" t="s">
        <v>36</v>
      </c>
      <c r="Q4916" t="s">
        <v>42</v>
      </c>
      <c r="R4916" s="1">
        <v>0.1</v>
      </c>
      <c r="S4916">
        <f t="shared" si="304"/>
        <v>0</v>
      </c>
      <c r="T4916">
        <f>IFERROR(VLOOKUP(A4916,Table1[[Customer ID]:[Discount Amount]], 6, FALSE),"Not Found")</f>
        <v>0</v>
      </c>
      <c r="U4916" t="str">
        <f t="shared" si="305"/>
        <v>Debit Card</v>
      </c>
      <c r="V4916" s="4" t="str">
        <f t="shared" si="306"/>
        <v>Normal</v>
      </c>
      <c r="W4916" s="4" t="str">
        <f t="shared" si="307"/>
        <v>Poor</v>
      </c>
      <c r="X4916" s="4">
        <f>AVERAGE(Table1[Purchase Amount])</f>
        <v>129.48419400000012</v>
      </c>
    </row>
    <row r="4917" spans="1:24" ht="15" customHeight="1" x14ac:dyDescent="0.25">
      <c r="A4917">
        <v>5015</v>
      </c>
      <c r="B4917">
        <v>54</v>
      </c>
      <c r="C4917" t="s">
        <v>27</v>
      </c>
      <c r="D4917" t="s">
        <v>116</v>
      </c>
      <c r="E4917" t="s">
        <v>18</v>
      </c>
      <c r="F4917" s="2">
        <v>1436.38</v>
      </c>
      <c r="G4917" t="s">
        <v>101</v>
      </c>
      <c r="H4917" t="s">
        <v>55</v>
      </c>
      <c r="I4917" t="s">
        <v>93</v>
      </c>
      <c r="J4917" t="s">
        <v>75</v>
      </c>
      <c r="K4917">
        <v>1</v>
      </c>
      <c r="L4917" t="s">
        <v>23</v>
      </c>
      <c r="M4917" t="s">
        <v>61</v>
      </c>
      <c r="N4917" t="s">
        <v>34</v>
      </c>
      <c r="O4917">
        <v>18</v>
      </c>
      <c r="P4917" t="s">
        <v>25</v>
      </c>
      <c r="Q4917" t="s">
        <v>37</v>
      </c>
      <c r="R4917" s="1">
        <v>0.1</v>
      </c>
      <c r="S4917">
        <f t="shared" si="304"/>
        <v>1292.7420000000002</v>
      </c>
      <c r="T4917">
        <f>IFERROR(VLOOKUP(A4917,Table1[[Customer ID]:[Discount Amount]], 6, FALSE),"Not Found")</f>
        <v>1436.38</v>
      </c>
      <c r="U4917" t="str">
        <f t="shared" si="305"/>
        <v>Cash</v>
      </c>
      <c r="V4917" s="4" t="str">
        <f t="shared" si="306"/>
        <v>Normal</v>
      </c>
      <c r="W4917" s="4" t="str">
        <f t="shared" si="307"/>
        <v>Poor</v>
      </c>
      <c r="X4917" s="4">
        <f>AVERAGE(Table1[Purchase Amount])</f>
        <v>129.48419400000012</v>
      </c>
    </row>
    <row r="4918" spans="1:24" ht="15" customHeight="1" x14ac:dyDescent="0.25">
      <c r="A4918">
        <v>5016</v>
      </c>
      <c r="B4918">
        <v>45</v>
      </c>
      <c r="C4918" t="s">
        <v>71</v>
      </c>
      <c r="D4918" t="s">
        <v>95</v>
      </c>
      <c r="E4918" t="s">
        <v>29</v>
      </c>
      <c r="F4918" s="2">
        <v>992.57</v>
      </c>
      <c r="G4918" t="s">
        <v>73</v>
      </c>
      <c r="H4918" t="s">
        <v>45</v>
      </c>
      <c r="I4918" t="s">
        <v>40</v>
      </c>
      <c r="J4918" t="s">
        <v>33</v>
      </c>
      <c r="K4918">
        <v>1</v>
      </c>
      <c r="L4918" t="s">
        <v>23</v>
      </c>
      <c r="M4918" t="s">
        <v>24</v>
      </c>
      <c r="N4918" t="s">
        <v>23</v>
      </c>
      <c r="O4918">
        <v>0</v>
      </c>
      <c r="P4918" t="s">
        <v>58</v>
      </c>
      <c r="Q4918" t="s">
        <v>26</v>
      </c>
      <c r="R4918" s="1">
        <v>0.1</v>
      </c>
      <c r="S4918">
        <f t="shared" si="304"/>
        <v>893.3130000000001</v>
      </c>
      <c r="T4918">
        <f>IFERROR(VLOOKUP(A4918,Table1[[Customer ID]:[Discount Amount]], 6, FALSE),"Not Found")</f>
        <v>992.57</v>
      </c>
      <c r="U4918" t="str">
        <f t="shared" si="305"/>
        <v>PayPal</v>
      </c>
      <c r="V4918" s="4" t="str">
        <f t="shared" si="306"/>
        <v>Normal</v>
      </c>
      <c r="W4918" s="4" t="str">
        <f t="shared" si="307"/>
        <v>Poor</v>
      </c>
      <c r="X4918" s="4">
        <f>AVERAGE(Table1[Purchase Amount])</f>
        <v>129.48419400000012</v>
      </c>
    </row>
    <row r="4919" spans="1:24" ht="15" customHeight="1" x14ac:dyDescent="0.25">
      <c r="A4919">
        <v>5017</v>
      </c>
      <c r="B4919">
        <v>20</v>
      </c>
      <c r="C4919" t="s">
        <v>71</v>
      </c>
      <c r="D4919" t="s">
        <v>117</v>
      </c>
      <c r="E4919" t="s">
        <v>81</v>
      </c>
      <c r="F4919" s="2">
        <v>193.65</v>
      </c>
      <c r="G4919" t="s">
        <v>139</v>
      </c>
      <c r="H4919" t="s">
        <v>31</v>
      </c>
      <c r="I4919" t="s">
        <v>74</v>
      </c>
      <c r="J4919" t="s">
        <v>22</v>
      </c>
      <c r="K4919">
        <v>1</v>
      </c>
      <c r="L4919" t="s">
        <v>23</v>
      </c>
      <c r="M4919" t="s">
        <v>61</v>
      </c>
      <c r="N4919" t="s">
        <v>34</v>
      </c>
      <c r="O4919">
        <v>0</v>
      </c>
      <c r="P4919" t="s">
        <v>53</v>
      </c>
      <c r="Q4919" t="s">
        <v>42</v>
      </c>
      <c r="R4919" s="1">
        <v>0.1</v>
      </c>
      <c r="S4919">
        <f t="shared" si="304"/>
        <v>174.285</v>
      </c>
      <c r="T4919">
        <f>IFERROR(VLOOKUP(A4919,Table1[[Customer ID]:[Discount Amount]], 6, FALSE),"Not Found")</f>
        <v>193.65</v>
      </c>
      <c r="U4919" t="str">
        <f t="shared" si="305"/>
        <v>Credit Card</v>
      </c>
      <c r="V4919" s="4" t="str">
        <f t="shared" si="306"/>
        <v>Normal</v>
      </c>
      <c r="W4919" s="4" t="str">
        <f t="shared" si="307"/>
        <v>Poor</v>
      </c>
      <c r="X4919" s="4">
        <f>AVERAGE(Table1[Purchase Amount])</f>
        <v>129.48419400000012</v>
      </c>
    </row>
    <row r="4920" spans="1:24" ht="15" customHeight="1" x14ac:dyDescent="0.25">
      <c r="A4920">
        <v>5018</v>
      </c>
      <c r="B4920">
        <v>39</v>
      </c>
      <c r="C4920" t="s">
        <v>71</v>
      </c>
      <c r="D4920" t="s">
        <v>80</v>
      </c>
      <c r="E4920" t="s">
        <v>29</v>
      </c>
      <c r="F4920" s="2">
        <v>1384.92</v>
      </c>
      <c r="G4920" t="s">
        <v>101</v>
      </c>
      <c r="H4920" t="s">
        <v>45</v>
      </c>
      <c r="I4920" t="s">
        <v>74</v>
      </c>
      <c r="J4920" t="s">
        <v>22</v>
      </c>
      <c r="K4920">
        <v>1</v>
      </c>
      <c r="L4920" t="s">
        <v>34</v>
      </c>
      <c r="M4920" t="s">
        <v>24</v>
      </c>
      <c r="N4920" t="s">
        <v>34</v>
      </c>
      <c r="O4920">
        <v>0</v>
      </c>
      <c r="P4920" t="s">
        <v>36</v>
      </c>
      <c r="Q4920" t="s">
        <v>42</v>
      </c>
      <c r="R4920" s="1">
        <v>0.1</v>
      </c>
      <c r="S4920">
        <f t="shared" si="304"/>
        <v>1246.4280000000001</v>
      </c>
      <c r="T4920">
        <f>IFERROR(VLOOKUP(A4920,Table1[[Customer ID]:[Discount Amount]], 6, FALSE),"Not Found")</f>
        <v>1384.92</v>
      </c>
      <c r="U4920" t="str">
        <f t="shared" si="305"/>
        <v>Debit Card</v>
      </c>
      <c r="V4920" s="4" t="str">
        <f t="shared" si="306"/>
        <v>Normal</v>
      </c>
      <c r="W4920" s="4" t="str">
        <f t="shared" si="307"/>
        <v>Poor</v>
      </c>
      <c r="X4920" s="4">
        <f>AVERAGE(Table1[Purchase Amount])</f>
        <v>129.48419400000012</v>
      </c>
    </row>
    <row r="4921" spans="1:24" ht="15" customHeight="1" x14ac:dyDescent="0.25">
      <c r="A4921">
        <v>5019</v>
      </c>
      <c r="B4921">
        <v>26</v>
      </c>
      <c r="C4921" t="s">
        <v>16</v>
      </c>
      <c r="D4921" t="s">
        <v>116</v>
      </c>
      <c r="E4921" t="s">
        <v>18</v>
      </c>
      <c r="F4921" s="2">
        <v>0</v>
      </c>
      <c r="G4921" t="s">
        <v>82</v>
      </c>
      <c r="H4921" t="s">
        <v>55</v>
      </c>
      <c r="I4921" t="s">
        <v>74</v>
      </c>
      <c r="J4921" t="s">
        <v>22</v>
      </c>
      <c r="K4921">
        <v>3</v>
      </c>
      <c r="L4921" t="s">
        <v>23</v>
      </c>
      <c r="M4921" t="s">
        <v>24</v>
      </c>
      <c r="N4921" t="s">
        <v>34</v>
      </c>
      <c r="O4921">
        <v>4</v>
      </c>
      <c r="P4921" t="s">
        <v>25</v>
      </c>
      <c r="Q4921" t="s">
        <v>37</v>
      </c>
      <c r="R4921" s="1">
        <v>0.1</v>
      </c>
      <c r="S4921">
        <f t="shared" si="304"/>
        <v>0</v>
      </c>
      <c r="T4921">
        <f>IFERROR(VLOOKUP(A4921,Table1[[Customer ID]:[Discount Amount]], 6, FALSE),"Not Found")</f>
        <v>0</v>
      </c>
      <c r="U4921" t="str">
        <f t="shared" si="305"/>
        <v>Cash</v>
      </c>
      <c r="V4921" s="4" t="str">
        <f t="shared" si="306"/>
        <v>Normal</v>
      </c>
      <c r="W4921" s="4" t="str">
        <f t="shared" si="307"/>
        <v>Good</v>
      </c>
      <c r="X4921" s="4">
        <f>AVERAGE(Table1[Purchase Amount])</f>
        <v>129.48419400000012</v>
      </c>
    </row>
    <row r="4922" spans="1:24" ht="15" customHeight="1" x14ac:dyDescent="0.25">
      <c r="A4922">
        <v>5020</v>
      </c>
      <c r="B4922">
        <v>25</v>
      </c>
      <c r="C4922" t="s">
        <v>27</v>
      </c>
      <c r="D4922" t="s">
        <v>38</v>
      </c>
      <c r="E4922" t="s">
        <v>18</v>
      </c>
      <c r="F4922" s="2">
        <v>0</v>
      </c>
      <c r="G4922" t="s">
        <v>73</v>
      </c>
      <c r="H4922" t="s">
        <v>31</v>
      </c>
      <c r="I4922" t="s">
        <v>74</v>
      </c>
      <c r="J4922" t="s">
        <v>57</v>
      </c>
      <c r="K4922">
        <v>4</v>
      </c>
      <c r="L4922" t="s">
        <v>34</v>
      </c>
      <c r="M4922" t="s">
        <v>24</v>
      </c>
      <c r="N4922" t="s">
        <v>23</v>
      </c>
      <c r="O4922">
        <v>0</v>
      </c>
      <c r="P4922" t="s">
        <v>36</v>
      </c>
      <c r="Q4922" t="s">
        <v>42</v>
      </c>
      <c r="R4922" s="1">
        <v>0.1</v>
      </c>
      <c r="S4922">
        <f t="shared" si="304"/>
        <v>0</v>
      </c>
      <c r="T4922">
        <f>IFERROR(VLOOKUP(A4922,Table1[[Customer ID]:[Discount Amount]], 6, FALSE),"Not Found")</f>
        <v>0</v>
      </c>
      <c r="U4922" t="str">
        <f t="shared" si="305"/>
        <v>Debit Card</v>
      </c>
      <c r="V4922" s="4" t="str">
        <f t="shared" si="306"/>
        <v>Normal</v>
      </c>
      <c r="W4922" s="4" t="str">
        <f t="shared" si="307"/>
        <v>Good</v>
      </c>
      <c r="X4922" s="4">
        <f>AVERAGE(Table1[Purchase Amount])</f>
        <v>129.48419400000012</v>
      </c>
    </row>
    <row r="4923" spans="1:24" ht="15" customHeight="1" x14ac:dyDescent="0.25">
      <c r="A4923">
        <v>5021</v>
      </c>
      <c r="B4923">
        <v>34</v>
      </c>
      <c r="C4923" t="s">
        <v>27</v>
      </c>
      <c r="D4923" t="s">
        <v>117</v>
      </c>
      <c r="E4923" t="s">
        <v>29</v>
      </c>
      <c r="F4923" s="2">
        <v>0</v>
      </c>
      <c r="G4923" t="s">
        <v>73</v>
      </c>
      <c r="H4923" t="s">
        <v>45</v>
      </c>
      <c r="I4923" t="s">
        <v>93</v>
      </c>
      <c r="J4923" t="s">
        <v>75</v>
      </c>
      <c r="K4923">
        <v>3</v>
      </c>
      <c r="L4923" t="s">
        <v>34</v>
      </c>
      <c r="M4923" t="s">
        <v>24</v>
      </c>
      <c r="N4923" t="s">
        <v>23</v>
      </c>
      <c r="O4923">
        <v>0</v>
      </c>
      <c r="P4923" t="s">
        <v>53</v>
      </c>
      <c r="Q4923" t="s">
        <v>26</v>
      </c>
      <c r="R4923" s="1">
        <v>0.1</v>
      </c>
      <c r="S4923">
        <f t="shared" si="304"/>
        <v>0</v>
      </c>
      <c r="T4923">
        <f>IFERROR(VLOOKUP(A4923,Table1[[Customer ID]:[Discount Amount]], 6, FALSE),"Not Found")</f>
        <v>0</v>
      </c>
      <c r="U4923" t="str">
        <f t="shared" si="305"/>
        <v>Credit Card</v>
      </c>
      <c r="V4923" s="4" t="str">
        <f t="shared" si="306"/>
        <v>Normal</v>
      </c>
      <c r="W4923" s="4" t="str">
        <f t="shared" si="307"/>
        <v>Good</v>
      </c>
      <c r="X4923" s="4">
        <f>AVERAGE(Table1[Purchase Amount])</f>
        <v>129.48419400000012</v>
      </c>
    </row>
    <row r="4924" spans="1:24" ht="15" customHeight="1" x14ac:dyDescent="0.25">
      <c r="A4924">
        <v>5022</v>
      </c>
      <c r="B4924">
        <v>68</v>
      </c>
      <c r="C4924" t="s">
        <v>16</v>
      </c>
      <c r="D4924" t="s">
        <v>112</v>
      </c>
      <c r="E4924" t="s">
        <v>29</v>
      </c>
      <c r="F4924" s="2">
        <v>1103.92</v>
      </c>
      <c r="G4924" t="s">
        <v>82</v>
      </c>
      <c r="H4924" t="s">
        <v>45</v>
      </c>
      <c r="I4924" t="s">
        <v>40</v>
      </c>
      <c r="J4924" t="s">
        <v>22</v>
      </c>
      <c r="K4924">
        <v>1</v>
      </c>
      <c r="L4924" t="s">
        <v>34</v>
      </c>
      <c r="M4924" t="s">
        <v>24</v>
      </c>
      <c r="N4924" t="s">
        <v>23</v>
      </c>
      <c r="O4924">
        <v>0</v>
      </c>
      <c r="P4924" t="s">
        <v>25</v>
      </c>
      <c r="Q4924" t="s">
        <v>37</v>
      </c>
      <c r="R4924" s="1">
        <v>0.1</v>
      </c>
      <c r="S4924">
        <f t="shared" si="304"/>
        <v>993.52800000000002</v>
      </c>
      <c r="T4924">
        <f>IFERROR(VLOOKUP(A4924,Table1[[Customer ID]:[Discount Amount]], 6, FALSE),"Not Found")</f>
        <v>1103.92</v>
      </c>
      <c r="U4924" t="str">
        <f t="shared" si="305"/>
        <v>Cash</v>
      </c>
      <c r="V4924" s="4" t="str">
        <f t="shared" si="306"/>
        <v>Normal</v>
      </c>
      <c r="W4924" s="4" t="str">
        <f t="shared" si="307"/>
        <v>Poor</v>
      </c>
      <c r="X4924" s="4">
        <f>AVERAGE(Table1[Purchase Amount])</f>
        <v>129.48419400000012</v>
      </c>
    </row>
    <row r="4925" spans="1:24" ht="15" customHeight="1" x14ac:dyDescent="0.25">
      <c r="A4925">
        <v>5023</v>
      </c>
      <c r="B4925">
        <v>63</v>
      </c>
      <c r="C4925" t="s">
        <v>16</v>
      </c>
      <c r="D4925" t="s">
        <v>116</v>
      </c>
      <c r="E4925" t="s">
        <v>18</v>
      </c>
      <c r="F4925" s="2">
        <v>511.14</v>
      </c>
      <c r="G4925" t="s">
        <v>73</v>
      </c>
      <c r="H4925" t="s">
        <v>31</v>
      </c>
      <c r="I4925" t="s">
        <v>74</v>
      </c>
      <c r="J4925" t="s">
        <v>75</v>
      </c>
      <c r="K4925">
        <v>5</v>
      </c>
      <c r="L4925" t="s">
        <v>23</v>
      </c>
      <c r="M4925" t="s">
        <v>61</v>
      </c>
      <c r="N4925" t="s">
        <v>23</v>
      </c>
      <c r="O4925">
        <v>14</v>
      </c>
      <c r="P4925" t="s">
        <v>36</v>
      </c>
      <c r="Q4925" t="s">
        <v>26</v>
      </c>
      <c r="R4925" s="1">
        <v>0.1</v>
      </c>
      <c r="S4925">
        <f t="shared" si="304"/>
        <v>460.02599999999995</v>
      </c>
      <c r="T4925">
        <f>IFERROR(VLOOKUP(A4925,Table1[[Customer ID]:[Discount Amount]], 6, FALSE),"Not Found")</f>
        <v>511.14</v>
      </c>
      <c r="U4925" t="str">
        <f t="shared" si="305"/>
        <v>Debit Card</v>
      </c>
      <c r="V4925" s="4" t="str">
        <f t="shared" si="306"/>
        <v>Normal</v>
      </c>
      <c r="W4925" s="4" t="str">
        <f t="shared" si="307"/>
        <v>Good</v>
      </c>
      <c r="X4925" s="4">
        <f>AVERAGE(Table1[Purchase Amount])</f>
        <v>129.48419400000012</v>
      </c>
    </row>
    <row r="4926" spans="1:24" ht="15" customHeight="1" x14ac:dyDescent="0.25">
      <c r="A4926">
        <v>5024</v>
      </c>
      <c r="B4926">
        <v>38</v>
      </c>
      <c r="C4926" t="s">
        <v>71</v>
      </c>
      <c r="D4926" t="s">
        <v>112</v>
      </c>
      <c r="E4926" t="s">
        <v>81</v>
      </c>
      <c r="F4926" s="2">
        <v>0</v>
      </c>
      <c r="G4926" t="s">
        <v>82</v>
      </c>
      <c r="H4926" t="s">
        <v>31</v>
      </c>
      <c r="I4926" t="s">
        <v>93</v>
      </c>
      <c r="J4926" t="s">
        <v>57</v>
      </c>
      <c r="K4926">
        <v>1</v>
      </c>
      <c r="L4926" t="s">
        <v>34</v>
      </c>
      <c r="M4926" t="s">
        <v>61</v>
      </c>
      <c r="N4926" t="s">
        <v>34</v>
      </c>
      <c r="O4926">
        <v>0</v>
      </c>
      <c r="P4926" t="s">
        <v>36</v>
      </c>
      <c r="Q4926" t="s">
        <v>37</v>
      </c>
      <c r="R4926" s="1">
        <v>0.1</v>
      </c>
      <c r="S4926">
        <f t="shared" si="304"/>
        <v>0</v>
      </c>
      <c r="T4926">
        <f>IFERROR(VLOOKUP(A4926,Table1[[Customer ID]:[Discount Amount]], 6, FALSE),"Not Found")</f>
        <v>0</v>
      </c>
      <c r="U4926" t="str">
        <f t="shared" si="305"/>
        <v>Debit Card</v>
      </c>
      <c r="V4926" s="4" t="str">
        <f t="shared" si="306"/>
        <v>Normal</v>
      </c>
      <c r="W4926" s="4" t="str">
        <f t="shared" si="307"/>
        <v>Poor</v>
      </c>
      <c r="X4926" s="4">
        <f>AVERAGE(Table1[Purchase Amount])</f>
        <v>129.48419400000012</v>
      </c>
    </row>
    <row r="4927" spans="1:24" ht="15" customHeight="1" x14ac:dyDescent="0.25">
      <c r="A4927">
        <v>5025</v>
      </c>
      <c r="B4927">
        <v>55</v>
      </c>
      <c r="C4927" t="s">
        <v>16</v>
      </c>
      <c r="D4927" t="s">
        <v>95</v>
      </c>
      <c r="E4927" t="s">
        <v>18</v>
      </c>
      <c r="F4927" s="2">
        <v>650.70000000000005</v>
      </c>
      <c r="G4927" t="s">
        <v>101</v>
      </c>
      <c r="H4927" t="s">
        <v>20</v>
      </c>
      <c r="I4927" t="s">
        <v>32</v>
      </c>
      <c r="J4927" t="s">
        <v>75</v>
      </c>
      <c r="K4927">
        <v>3</v>
      </c>
      <c r="L4927" t="s">
        <v>23</v>
      </c>
      <c r="M4927" t="s">
        <v>24</v>
      </c>
      <c r="N4927" t="s">
        <v>34</v>
      </c>
      <c r="O4927">
        <v>28</v>
      </c>
      <c r="P4927" t="s">
        <v>25</v>
      </c>
      <c r="Q4927" t="s">
        <v>42</v>
      </c>
      <c r="R4927" s="1">
        <v>0.1</v>
      </c>
      <c r="S4927">
        <f t="shared" si="304"/>
        <v>585.63</v>
      </c>
      <c r="T4927">
        <f>IFERROR(VLOOKUP(A4927,Table1[[Customer ID]:[Discount Amount]], 6, FALSE),"Not Found")</f>
        <v>650.70000000000005</v>
      </c>
      <c r="U4927" t="str">
        <f t="shared" si="305"/>
        <v>Cash</v>
      </c>
      <c r="V4927" s="4" t="str">
        <f t="shared" si="306"/>
        <v>Normal</v>
      </c>
      <c r="W4927" s="4" t="str">
        <f t="shared" si="307"/>
        <v>Good</v>
      </c>
      <c r="X4927" s="4">
        <f>AVERAGE(Table1[Purchase Amount])</f>
        <v>129.48419400000012</v>
      </c>
    </row>
    <row r="4928" spans="1:24" ht="15" customHeight="1" x14ac:dyDescent="0.25">
      <c r="A4928">
        <v>5026</v>
      </c>
      <c r="B4928">
        <v>66</v>
      </c>
      <c r="C4928" t="s">
        <v>71</v>
      </c>
      <c r="D4928" t="s">
        <v>117</v>
      </c>
      <c r="E4928" t="s">
        <v>29</v>
      </c>
      <c r="F4928" s="2">
        <v>1311.16</v>
      </c>
      <c r="G4928" t="s">
        <v>82</v>
      </c>
      <c r="H4928" t="s">
        <v>55</v>
      </c>
      <c r="I4928" t="s">
        <v>32</v>
      </c>
      <c r="J4928" t="s">
        <v>75</v>
      </c>
      <c r="K4928">
        <v>5</v>
      </c>
      <c r="L4928" t="s">
        <v>23</v>
      </c>
      <c r="M4928" t="s">
        <v>61</v>
      </c>
      <c r="N4928" t="s">
        <v>34</v>
      </c>
      <c r="O4928">
        <v>22</v>
      </c>
      <c r="P4928" t="s">
        <v>36</v>
      </c>
      <c r="Q4928" t="s">
        <v>26</v>
      </c>
      <c r="R4928" s="1">
        <v>0.1</v>
      </c>
      <c r="S4928">
        <f t="shared" si="304"/>
        <v>1180.0440000000001</v>
      </c>
      <c r="T4928">
        <f>IFERROR(VLOOKUP(A4928,Table1[[Customer ID]:[Discount Amount]], 6, FALSE),"Not Found")</f>
        <v>1311.16</v>
      </c>
      <c r="U4928" t="str">
        <f t="shared" si="305"/>
        <v>Debit Card</v>
      </c>
      <c r="V4928" s="4" t="str">
        <f t="shared" si="306"/>
        <v>Best Customer</v>
      </c>
      <c r="W4928" s="4" t="str">
        <f t="shared" si="307"/>
        <v>Good</v>
      </c>
      <c r="X4928" s="4">
        <f>AVERAGE(Table1[Purchase Amount])</f>
        <v>129.48419400000012</v>
      </c>
    </row>
    <row r="4929" spans="1:24" ht="15" customHeight="1" x14ac:dyDescent="0.25">
      <c r="A4929">
        <v>5027</v>
      </c>
      <c r="B4929">
        <v>39</v>
      </c>
      <c r="C4929" t="s">
        <v>27</v>
      </c>
      <c r="D4929" t="s">
        <v>117</v>
      </c>
      <c r="E4929" t="s">
        <v>81</v>
      </c>
      <c r="F4929" s="2">
        <v>1430.07</v>
      </c>
      <c r="G4929" t="s">
        <v>126</v>
      </c>
      <c r="H4929" t="s">
        <v>31</v>
      </c>
      <c r="I4929" t="s">
        <v>74</v>
      </c>
      <c r="J4929" t="s">
        <v>22</v>
      </c>
      <c r="K4929">
        <v>2</v>
      </c>
      <c r="L4929" t="s">
        <v>23</v>
      </c>
      <c r="M4929" t="s">
        <v>24</v>
      </c>
      <c r="N4929" t="s">
        <v>23</v>
      </c>
      <c r="O4929">
        <v>0</v>
      </c>
      <c r="P4929" t="s">
        <v>25</v>
      </c>
      <c r="Q4929" t="s">
        <v>26</v>
      </c>
      <c r="R4929" s="1">
        <v>0.1</v>
      </c>
      <c r="S4929">
        <f t="shared" si="304"/>
        <v>1287.0629999999999</v>
      </c>
      <c r="T4929">
        <f>IFERROR(VLOOKUP(A4929,Table1[[Customer ID]:[Discount Amount]], 6, FALSE),"Not Found")</f>
        <v>1430.07</v>
      </c>
      <c r="U4929" t="str">
        <f t="shared" si="305"/>
        <v>Cash</v>
      </c>
      <c r="V4929" s="4" t="str">
        <f t="shared" si="306"/>
        <v>Normal</v>
      </c>
      <c r="W4929" s="4" t="str">
        <f t="shared" si="307"/>
        <v>Poor</v>
      </c>
      <c r="X4929" s="4">
        <f>AVERAGE(Table1[Purchase Amount])</f>
        <v>129.48419400000012</v>
      </c>
    </row>
    <row r="4930" spans="1:24" ht="15" customHeight="1" x14ac:dyDescent="0.25">
      <c r="A4930">
        <v>5028</v>
      </c>
      <c r="B4930">
        <v>51</v>
      </c>
      <c r="C4930" t="s">
        <v>16</v>
      </c>
      <c r="D4930" t="s">
        <v>80</v>
      </c>
      <c r="E4930" t="s">
        <v>29</v>
      </c>
      <c r="F4930" s="2">
        <v>0</v>
      </c>
      <c r="G4930" t="s">
        <v>139</v>
      </c>
      <c r="H4930" t="s">
        <v>55</v>
      </c>
      <c r="I4930" t="s">
        <v>40</v>
      </c>
      <c r="J4930" t="s">
        <v>57</v>
      </c>
      <c r="K4930">
        <v>1</v>
      </c>
      <c r="L4930" t="s">
        <v>23</v>
      </c>
      <c r="M4930" t="s">
        <v>61</v>
      </c>
      <c r="N4930" t="s">
        <v>34</v>
      </c>
      <c r="O4930">
        <v>11</v>
      </c>
      <c r="P4930" t="s">
        <v>58</v>
      </c>
      <c r="Q4930" t="s">
        <v>42</v>
      </c>
      <c r="R4930" s="1">
        <v>0.1</v>
      </c>
      <c r="S4930">
        <f t="shared" ref="S4930:S4993" si="308">F4930-(F4930*R4930)</f>
        <v>0</v>
      </c>
      <c r="T4930">
        <f>IFERROR(VLOOKUP(A4930,Table1[[Customer ID]:[Discount Amount]], 6, FALSE),"Not Found")</f>
        <v>0</v>
      </c>
      <c r="U4930" t="str">
        <f t="shared" ref="U4930:U4993" si="309">INDEX(P:P, MATCH(A4930, A:A, 0))</f>
        <v>PayPal</v>
      </c>
      <c r="V4930" s="4" t="str">
        <f t="shared" ref="V4930:V4993" si="310">IF(AND(F4930&gt;1000,K4930&gt;=4),"Best Customer","Normal")</f>
        <v>Normal</v>
      </c>
      <c r="W4930" s="4" t="str">
        <f t="shared" ref="W4930:W4993" si="311">IF(K4930&gt;=3,"Good","Poor")</f>
        <v>Poor</v>
      </c>
      <c r="X4930" s="4">
        <f>AVERAGE(Table1[Purchase Amount])</f>
        <v>129.48419400000012</v>
      </c>
    </row>
    <row r="4931" spans="1:24" ht="15" customHeight="1" x14ac:dyDescent="0.25">
      <c r="A4931">
        <v>5029</v>
      </c>
      <c r="B4931">
        <v>40</v>
      </c>
      <c r="C4931" t="s">
        <v>27</v>
      </c>
      <c r="D4931" t="s">
        <v>72</v>
      </c>
      <c r="E4931" t="s">
        <v>81</v>
      </c>
      <c r="F4931" s="2">
        <v>1170.72</v>
      </c>
      <c r="G4931" t="s">
        <v>139</v>
      </c>
      <c r="H4931" t="s">
        <v>31</v>
      </c>
      <c r="I4931" t="s">
        <v>40</v>
      </c>
      <c r="J4931" t="s">
        <v>33</v>
      </c>
      <c r="K4931">
        <v>4</v>
      </c>
      <c r="L4931" t="s">
        <v>34</v>
      </c>
      <c r="M4931" t="s">
        <v>61</v>
      </c>
      <c r="N4931" t="s">
        <v>23</v>
      </c>
      <c r="O4931">
        <v>3</v>
      </c>
      <c r="P4931" t="s">
        <v>53</v>
      </c>
      <c r="Q4931" t="s">
        <v>26</v>
      </c>
      <c r="R4931" s="1">
        <v>0.1</v>
      </c>
      <c r="S4931">
        <f t="shared" si="308"/>
        <v>1053.6480000000001</v>
      </c>
      <c r="T4931">
        <f>IFERROR(VLOOKUP(A4931,Table1[[Customer ID]:[Discount Amount]], 6, FALSE),"Not Found")</f>
        <v>1170.72</v>
      </c>
      <c r="U4931" t="str">
        <f t="shared" si="309"/>
        <v>Credit Card</v>
      </c>
      <c r="V4931" s="4" t="str">
        <f t="shared" si="310"/>
        <v>Best Customer</v>
      </c>
      <c r="W4931" s="4" t="str">
        <f t="shared" si="311"/>
        <v>Good</v>
      </c>
      <c r="X4931" s="4">
        <f>AVERAGE(Table1[Purchase Amount])</f>
        <v>129.48419400000012</v>
      </c>
    </row>
    <row r="4932" spans="1:24" ht="15" customHeight="1" x14ac:dyDescent="0.25">
      <c r="A4932">
        <v>5030</v>
      </c>
      <c r="B4932">
        <v>23</v>
      </c>
      <c r="C4932" t="s">
        <v>71</v>
      </c>
      <c r="D4932" t="s">
        <v>72</v>
      </c>
      <c r="E4932" t="s">
        <v>29</v>
      </c>
      <c r="F4932" s="2">
        <v>1387.77</v>
      </c>
      <c r="G4932" t="s">
        <v>126</v>
      </c>
      <c r="H4932" t="s">
        <v>31</v>
      </c>
      <c r="I4932" t="s">
        <v>74</v>
      </c>
      <c r="J4932" t="s">
        <v>33</v>
      </c>
      <c r="K4932">
        <v>2</v>
      </c>
      <c r="L4932" t="s">
        <v>34</v>
      </c>
      <c r="M4932" t="s">
        <v>61</v>
      </c>
      <c r="N4932" t="s">
        <v>34</v>
      </c>
      <c r="O4932">
        <v>5</v>
      </c>
      <c r="P4932" t="s">
        <v>25</v>
      </c>
      <c r="Q4932" t="s">
        <v>42</v>
      </c>
      <c r="R4932" s="1">
        <v>0.1</v>
      </c>
      <c r="S4932">
        <f t="shared" si="308"/>
        <v>1248.9929999999999</v>
      </c>
      <c r="T4932">
        <f>IFERROR(VLOOKUP(A4932,Table1[[Customer ID]:[Discount Amount]], 6, FALSE),"Not Found")</f>
        <v>1387.77</v>
      </c>
      <c r="U4932" t="str">
        <f t="shared" si="309"/>
        <v>Cash</v>
      </c>
      <c r="V4932" s="4" t="str">
        <f t="shared" si="310"/>
        <v>Normal</v>
      </c>
      <c r="W4932" s="4" t="str">
        <f t="shared" si="311"/>
        <v>Poor</v>
      </c>
      <c r="X4932" s="4">
        <f>AVERAGE(Table1[Purchase Amount])</f>
        <v>129.48419400000012</v>
      </c>
    </row>
    <row r="4933" spans="1:24" ht="15" customHeight="1" x14ac:dyDescent="0.25">
      <c r="A4933">
        <v>5031</v>
      </c>
      <c r="B4933">
        <v>69</v>
      </c>
      <c r="C4933" t="s">
        <v>71</v>
      </c>
      <c r="D4933" t="s">
        <v>38</v>
      </c>
      <c r="E4933" t="s">
        <v>18</v>
      </c>
      <c r="F4933" s="2">
        <v>720.16</v>
      </c>
      <c r="G4933" t="s">
        <v>82</v>
      </c>
      <c r="H4933" t="s">
        <v>55</v>
      </c>
      <c r="I4933" t="s">
        <v>74</v>
      </c>
      <c r="J4933" t="s">
        <v>75</v>
      </c>
      <c r="K4933">
        <v>5</v>
      </c>
      <c r="L4933" t="s">
        <v>23</v>
      </c>
      <c r="M4933" t="s">
        <v>24</v>
      </c>
      <c r="N4933" t="s">
        <v>34</v>
      </c>
      <c r="O4933">
        <v>0</v>
      </c>
      <c r="P4933" t="s">
        <v>25</v>
      </c>
      <c r="Q4933" t="s">
        <v>37</v>
      </c>
      <c r="R4933" s="1">
        <v>0.1</v>
      </c>
      <c r="S4933">
        <f t="shared" si="308"/>
        <v>648.14400000000001</v>
      </c>
      <c r="T4933">
        <f>IFERROR(VLOOKUP(A4933,Table1[[Customer ID]:[Discount Amount]], 6, FALSE),"Not Found")</f>
        <v>720.16</v>
      </c>
      <c r="U4933" t="str">
        <f t="shared" si="309"/>
        <v>Cash</v>
      </c>
      <c r="V4933" s="4" t="str">
        <f t="shared" si="310"/>
        <v>Normal</v>
      </c>
      <c r="W4933" s="4" t="str">
        <f t="shared" si="311"/>
        <v>Good</v>
      </c>
      <c r="X4933" s="4">
        <f>AVERAGE(Table1[Purchase Amount])</f>
        <v>129.48419400000012</v>
      </c>
    </row>
    <row r="4934" spans="1:24" ht="15" customHeight="1" x14ac:dyDescent="0.25">
      <c r="A4934">
        <v>5032</v>
      </c>
      <c r="B4934">
        <v>24</v>
      </c>
      <c r="C4934" t="s">
        <v>27</v>
      </c>
      <c r="D4934" t="s">
        <v>112</v>
      </c>
      <c r="E4934" t="s">
        <v>18</v>
      </c>
      <c r="F4934" s="2">
        <v>0</v>
      </c>
      <c r="G4934" t="s">
        <v>82</v>
      </c>
      <c r="H4934" t="s">
        <v>20</v>
      </c>
      <c r="I4934" t="s">
        <v>40</v>
      </c>
      <c r="J4934" t="s">
        <v>75</v>
      </c>
      <c r="K4934">
        <v>2</v>
      </c>
      <c r="L4934" t="s">
        <v>23</v>
      </c>
      <c r="M4934" t="s">
        <v>61</v>
      </c>
      <c r="N4934" t="s">
        <v>23</v>
      </c>
      <c r="O4934">
        <v>31</v>
      </c>
      <c r="P4934" t="s">
        <v>25</v>
      </c>
      <c r="Q4934" t="s">
        <v>42</v>
      </c>
      <c r="R4934" s="1">
        <v>0.1</v>
      </c>
      <c r="S4934">
        <f t="shared" si="308"/>
        <v>0</v>
      </c>
      <c r="T4934">
        <f>IFERROR(VLOOKUP(A4934,Table1[[Customer ID]:[Discount Amount]], 6, FALSE),"Not Found")</f>
        <v>0</v>
      </c>
      <c r="U4934" t="str">
        <f t="shared" si="309"/>
        <v>Cash</v>
      </c>
      <c r="V4934" s="4" t="str">
        <f t="shared" si="310"/>
        <v>Normal</v>
      </c>
      <c r="W4934" s="4" t="str">
        <f t="shared" si="311"/>
        <v>Poor</v>
      </c>
      <c r="X4934" s="4">
        <f>AVERAGE(Table1[Purchase Amount])</f>
        <v>129.48419400000012</v>
      </c>
    </row>
    <row r="4935" spans="1:24" ht="15" customHeight="1" x14ac:dyDescent="0.25">
      <c r="A4935">
        <v>5033</v>
      </c>
      <c r="B4935">
        <v>46</v>
      </c>
      <c r="C4935" t="s">
        <v>16</v>
      </c>
      <c r="D4935" t="s">
        <v>95</v>
      </c>
      <c r="E4935" t="s">
        <v>81</v>
      </c>
      <c r="F4935" s="2">
        <v>0</v>
      </c>
      <c r="G4935" t="s">
        <v>101</v>
      </c>
      <c r="H4935" t="s">
        <v>31</v>
      </c>
      <c r="I4935" t="s">
        <v>46</v>
      </c>
      <c r="J4935" t="s">
        <v>22</v>
      </c>
      <c r="K4935">
        <v>5</v>
      </c>
      <c r="L4935" t="s">
        <v>34</v>
      </c>
      <c r="M4935" t="s">
        <v>24</v>
      </c>
      <c r="N4935" t="s">
        <v>34</v>
      </c>
      <c r="O4935">
        <v>48</v>
      </c>
      <c r="P4935" t="s">
        <v>53</v>
      </c>
      <c r="Q4935" t="s">
        <v>42</v>
      </c>
      <c r="R4935" s="1">
        <v>0.1</v>
      </c>
      <c r="S4935">
        <f t="shared" si="308"/>
        <v>0</v>
      </c>
      <c r="T4935">
        <f>IFERROR(VLOOKUP(A4935,Table1[[Customer ID]:[Discount Amount]], 6, FALSE),"Not Found")</f>
        <v>0</v>
      </c>
      <c r="U4935" t="str">
        <f t="shared" si="309"/>
        <v>Credit Card</v>
      </c>
      <c r="V4935" s="4" t="str">
        <f t="shared" si="310"/>
        <v>Normal</v>
      </c>
      <c r="W4935" s="4" t="str">
        <f t="shared" si="311"/>
        <v>Good</v>
      </c>
      <c r="X4935" s="4">
        <f>AVERAGE(Table1[Purchase Amount])</f>
        <v>129.48419400000012</v>
      </c>
    </row>
    <row r="4936" spans="1:24" ht="15" customHeight="1" x14ac:dyDescent="0.25">
      <c r="A4936">
        <v>5034</v>
      </c>
      <c r="B4936">
        <v>48</v>
      </c>
      <c r="C4936" t="s">
        <v>71</v>
      </c>
      <c r="D4936" t="s">
        <v>80</v>
      </c>
      <c r="E4936" t="s">
        <v>18</v>
      </c>
      <c r="F4936" s="2">
        <v>390.76</v>
      </c>
      <c r="G4936" t="s">
        <v>126</v>
      </c>
      <c r="H4936" t="s">
        <v>45</v>
      </c>
      <c r="I4936" t="s">
        <v>32</v>
      </c>
      <c r="J4936" t="s">
        <v>33</v>
      </c>
      <c r="K4936">
        <v>4</v>
      </c>
      <c r="L4936" t="s">
        <v>23</v>
      </c>
      <c r="M4936" t="s">
        <v>61</v>
      </c>
      <c r="N4936" t="s">
        <v>34</v>
      </c>
      <c r="O4936">
        <v>0</v>
      </c>
      <c r="P4936" t="s">
        <v>36</v>
      </c>
      <c r="Q4936" t="s">
        <v>42</v>
      </c>
      <c r="R4936" s="1">
        <v>0.1</v>
      </c>
      <c r="S4936">
        <f t="shared" si="308"/>
        <v>351.68399999999997</v>
      </c>
      <c r="T4936">
        <f>IFERROR(VLOOKUP(A4936,Table1[[Customer ID]:[Discount Amount]], 6, FALSE),"Not Found")</f>
        <v>390.76</v>
      </c>
      <c r="U4936" t="str">
        <f t="shared" si="309"/>
        <v>Debit Card</v>
      </c>
      <c r="V4936" s="4" t="str">
        <f t="shared" si="310"/>
        <v>Normal</v>
      </c>
      <c r="W4936" s="4" t="str">
        <f t="shared" si="311"/>
        <v>Good</v>
      </c>
      <c r="X4936" s="4">
        <f>AVERAGE(Table1[Purchase Amount])</f>
        <v>129.48419400000012</v>
      </c>
    </row>
    <row r="4937" spans="1:24" ht="15" customHeight="1" x14ac:dyDescent="0.25">
      <c r="A4937">
        <v>5035</v>
      </c>
      <c r="B4937">
        <v>69</v>
      </c>
      <c r="C4937" t="s">
        <v>16</v>
      </c>
      <c r="D4937" t="s">
        <v>95</v>
      </c>
      <c r="E4937" t="s">
        <v>18</v>
      </c>
      <c r="F4937" s="2">
        <v>966.98</v>
      </c>
      <c r="G4937" t="s">
        <v>126</v>
      </c>
      <c r="H4937" t="s">
        <v>31</v>
      </c>
      <c r="I4937" t="s">
        <v>40</v>
      </c>
      <c r="J4937" t="s">
        <v>22</v>
      </c>
      <c r="K4937">
        <v>1</v>
      </c>
      <c r="L4937" t="s">
        <v>34</v>
      </c>
      <c r="M4937" t="s">
        <v>61</v>
      </c>
      <c r="N4937" t="s">
        <v>23</v>
      </c>
      <c r="O4937">
        <v>0</v>
      </c>
      <c r="P4937" t="s">
        <v>36</v>
      </c>
      <c r="Q4937" t="s">
        <v>42</v>
      </c>
      <c r="R4937" s="1">
        <v>0.1</v>
      </c>
      <c r="S4937">
        <f t="shared" si="308"/>
        <v>870.28200000000004</v>
      </c>
      <c r="T4937">
        <f>IFERROR(VLOOKUP(A4937,Table1[[Customer ID]:[Discount Amount]], 6, FALSE),"Not Found")</f>
        <v>966.98</v>
      </c>
      <c r="U4937" t="str">
        <f t="shared" si="309"/>
        <v>Debit Card</v>
      </c>
      <c r="V4937" s="4" t="str">
        <f t="shared" si="310"/>
        <v>Normal</v>
      </c>
      <c r="W4937" s="4" t="str">
        <f t="shared" si="311"/>
        <v>Poor</v>
      </c>
      <c r="X4937" s="4">
        <f>AVERAGE(Table1[Purchase Amount])</f>
        <v>129.48419400000012</v>
      </c>
    </row>
    <row r="4938" spans="1:24" ht="15" customHeight="1" x14ac:dyDescent="0.25">
      <c r="A4938">
        <v>5036</v>
      </c>
      <c r="B4938">
        <v>30</v>
      </c>
      <c r="C4938" t="s">
        <v>16</v>
      </c>
      <c r="D4938" t="s">
        <v>72</v>
      </c>
      <c r="E4938" t="s">
        <v>29</v>
      </c>
      <c r="F4938" s="2">
        <v>0</v>
      </c>
      <c r="G4938" t="s">
        <v>82</v>
      </c>
      <c r="H4938" t="s">
        <v>31</v>
      </c>
      <c r="I4938" t="s">
        <v>74</v>
      </c>
      <c r="J4938" t="s">
        <v>57</v>
      </c>
      <c r="K4938">
        <v>4</v>
      </c>
      <c r="L4938" t="s">
        <v>23</v>
      </c>
      <c r="M4938" t="s">
        <v>61</v>
      </c>
      <c r="N4938" t="s">
        <v>34</v>
      </c>
      <c r="O4938">
        <v>30</v>
      </c>
      <c r="P4938" t="s">
        <v>36</v>
      </c>
      <c r="Q4938" t="s">
        <v>26</v>
      </c>
      <c r="R4938" s="1">
        <v>0.1</v>
      </c>
      <c r="S4938">
        <f t="shared" si="308"/>
        <v>0</v>
      </c>
      <c r="T4938">
        <f>IFERROR(VLOOKUP(A4938,Table1[[Customer ID]:[Discount Amount]], 6, FALSE),"Not Found")</f>
        <v>0</v>
      </c>
      <c r="U4938" t="str">
        <f t="shared" si="309"/>
        <v>Debit Card</v>
      </c>
      <c r="V4938" s="4" t="str">
        <f t="shared" si="310"/>
        <v>Normal</v>
      </c>
      <c r="W4938" s="4" t="str">
        <f t="shared" si="311"/>
        <v>Good</v>
      </c>
      <c r="X4938" s="4">
        <f>AVERAGE(Table1[Purchase Amount])</f>
        <v>129.48419400000012</v>
      </c>
    </row>
    <row r="4939" spans="1:24" ht="15" customHeight="1" x14ac:dyDescent="0.25">
      <c r="A4939">
        <v>5037</v>
      </c>
      <c r="B4939">
        <v>41</v>
      </c>
      <c r="C4939" t="s">
        <v>16</v>
      </c>
      <c r="D4939" t="s">
        <v>116</v>
      </c>
      <c r="E4939" t="s">
        <v>29</v>
      </c>
      <c r="F4939" s="2">
        <v>0</v>
      </c>
      <c r="G4939" t="s">
        <v>101</v>
      </c>
      <c r="H4939" t="s">
        <v>55</v>
      </c>
      <c r="I4939" t="s">
        <v>93</v>
      </c>
      <c r="J4939" t="s">
        <v>57</v>
      </c>
      <c r="K4939">
        <v>2</v>
      </c>
      <c r="L4939" t="s">
        <v>34</v>
      </c>
      <c r="M4939" t="s">
        <v>24</v>
      </c>
      <c r="N4939" t="s">
        <v>34</v>
      </c>
      <c r="O4939">
        <v>0</v>
      </c>
      <c r="P4939" t="s">
        <v>53</v>
      </c>
      <c r="Q4939" t="s">
        <v>42</v>
      </c>
      <c r="R4939" s="1">
        <v>0.1</v>
      </c>
      <c r="S4939">
        <f t="shared" si="308"/>
        <v>0</v>
      </c>
      <c r="T4939">
        <f>IFERROR(VLOOKUP(A4939,Table1[[Customer ID]:[Discount Amount]], 6, FALSE),"Not Found")</f>
        <v>0</v>
      </c>
      <c r="U4939" t="str">
        <f t="shared" si="309"/>
        <v>Credit Card</v>
      </c>
      <c r="V4939" s="4" t="str">
        <f t="shared" si="310"/>
        <v>Normal</v>
      </c>
      <c r="W4939" s="4" t="str">
        <f t="shared" si="311"/>
        <v>Poor</v>
      </c>
      <c r="X4939" s="4">
        <f>AVERAGE(Table1[Purchase Amount])</f>
        <v>129.48419400000012</v>
      </c>
    </row>
    <row r="4940" spans="1:24" ht="15" customHeight="1" x14ac:dyDescent="0.25">
      <c r="A4940">
        <v>5038</v>
      </c>
      <c r="B4940">
        <v>43</v>
      </c>
      <c r="C4940" t="s">
        <v>71</v>
      </c>
      <c r="D4940" t="s">
        <v>95</v>
      </c>
      <c r="E4940" t="s">
        <v>81</v>
      </c>
      <c r="F4940" s="2">
        <v>851.29</v>
      </c>
      <c r="G4940" t="s">
        <v>82</v>
      </c>
      <c r="H4940" t="s">
        <v>31</v>
      </c>
      <c r="I4940" t="s">
        <v>93</v>
      </c>
      <c r="J4940" t="s">
        <v>22</v>
      </c>
      <c r="K4940">
        <v>1</v>
      </c>
      <c r="L4940" t="s">
        <v>23</v>
      </c>
      <c r="M4940" t="s">
        <v>24</v>
      </c>
      <c r="N4940" t="s">
        <v>23</v>
      </c>
      <c r="O4940">
        <v>0</v>
      </c>
      <c r="P4940" t="s">
        <v>58</v>
      </c>
      <c r="Q4940" t="s">
        <v>26</v>
      </c>
      <c r="R4940" s="1">
        <v>0.1</v>
      </c>
      <c r="S4940">
        <f t="shared" si="308"/>
        <v>766.16099999999994</v>
      </c>
      <c r="T4940">
        <f>IFERROR(VLOOKUP(A4940,Table1[[Customer ID]:[Discount Amount]], 6, FALSE),"Not Found")</f>
        <v>851.29</v>
      </c>
      <c r="U4940" t="str">
        <f t="shared" si="309"/>
        <v>PayPal</v>
      </c>
      <c r="V4940" s="4" t="str">
        <f t="shared" si="310"/>
        <v>Normal</v>
      </c>
      <c r="W4940" s="4" t="str">
        <f t="shared" si="311"/>
        <v>Poor</v>
      </c>
      <c r="X4940" s="4">
        <f>AVERAGE(Table1[Purchase Amount])</f>
        <v>129.48419400000012</v>
      </c>
    </row>
    <row r="4941" spans="1:24" ht="15" customHeight="1" x14ac:dyDescent="0.25">
      <c r="A4941">
        <v>5039</v>
      </c>
      <c r="B4941">
        <v>61</v>
      </c>
      <c r="C4941" t="s">
        <v>27</v>
      </c>
      <c r="D4941" t="s">
        <v>72</v>
      </c>
      <c r="E4941" t="s">
        <v>81</v>
      </c>
      <c r="F4941" s="2">
        <v>835.52</v>
      </c>
      <c r="G4941" t="s">
        <v>82</v>
      </c>
      <c r="H4941" t="s">
        <v>31</v>
      </c>
      <c r="I4941" t="s">
        <v>74</v>
      </c>
      <c r="J4941" t="s">
        <v>75</v>
      </c>
      <c r="K4941">
        <v>5</v>
      </c>
      <c r="L4941" t="s">
        <v>23</v>
      </c>
      <c r="M4941" t="s">
        <v>24</v>
      </c>
      <c r="N4941" t="s">
        <v>23</v>
      </c>
      <c r="O4941">
        <v>5</v>
      </c>
      <c r="P4941" t="s">
        <v>36</v>
      </c>
      <c r="Q4941" t="s">
        <v>42</v>
      </c>
      <c r="R4941" s="1">
        <v>0.1</v>
      </c>
      <c r="S4941">
        <f t="shared" si="308"/>
        <v>751.96799999999996</v>
      </c>
      <c r="T4941">
        <f>IFERROR(VLOOKUP(A4941,Table1[[Customer ID]:[Discount Amount]], 6, FALSE),"Not Found")</f>
        <v>835.52</v>
      </c>
      <c r="U4941" t="str">
        <f t="shared" si="309"/>
        <v>Debit Card</v>
      </c>
      <c r="V4941" s="4" t="str">
        <f t="shared" si="310"/>
        <v>Normal</v>
      </c>
      <c r="W4941" s="4" t="str">
        <f t="shared" si="311"/>
        <v>Good</v>
      </c>
      <c r="X4941" s="4">
        <f>AVERAGE(Table1[Purchase Amount])</f>
        <v>129.48419400000012</v>
      </c>
    </row>
    <row r="4942" spans="1:24" ht="15" customHeight="1" x14ac:dyDescent="0.25">
      <c r="A4942">
        <v>5040</v>
      </c>
      <c r="B4942">
        <v>27</v>
      </c>
      <c r="C4942" t="s">
        <v>27</v>
      </c>
      <c r="D4942" t="s">
        <v>116</v>
      </c>
      <c r="E4942" t="s">
        <v>81</v>
      </c>
      <c r="F4942" s="2">
        <v>0</v>
      </c>
      <c r="G4942" t="s">
        <v>139</v>
      </c>
      <c r="H4942" t="s">
        <v>31</v>
      </c>
      <c r="I4942" t="s">
        <v>93</v>
      </c>
      <c r="J4942" t="s">
        <v>22</v>
      </c>
      <c r="K4942">
        <v>1</v>
      </c>
      <c r="L4942" t="s">
        <v>23</v>
      </c>
      <c r="M4942" t="s">
        <v>61</v>
      </c>
      <c r="N4942" t="s">
        <v>23</v>
      </c>
      <c r="O4942">
        <v>36</v>
      </c>
      <c r="P4942" t="s">
        <v>53</v>
      </c>
      <c r="Q4942" t="s">
        <v>37</v>
      </c>
      <c r="R4942" s="1">
        <v>0.1</v>
      </c>
      <c r="S4942">
        <f t="shared" si="308"/>
        <v>0</v>
      </c>
      <c r="T4942">
        <f>IFERROR(VLOOKUP(A4942,Table1[[Customer ID]:[Discount Amount]], 6, FALSE),"Not Found")</f>
        <v>0</v>
      </c>
      <c r="U4942" t="str">
        <f t="shared" si="309"/>
        <v>Credit Card</v>
      </c>
      <c r="V4942" s="4" t="str">
        <f t="shared" si="310"/>
        <v>Normal</v>
      </c>
      <c r="W4942" s="4" t="str">
        <f t="shared" si="311"/>
        <v>Poor</v>
      </c>
      <c r="X4942" s="4">
        <f>AVERAGE(Table1[Purchase Amount])</f>
        <v>129.48419400000012</v>
      </c>
    </row>
    <row r="4943" spans="1:24" ht="15" customHeight="1" x14ac:dyDescent="0.25">
      <c r="A4943">
        <v>5041</v>
      </c>
      <c r="B4943">
        <v>23</v>
      </c>
      <c r="C4943" t="s">
        <v>71</v>
      </c>
      <c r="D4943" t="s">
        <v>116</v>
      </c>
      <c r="E4943" t="s">
        <v>18</v>
      </c>
      <c r="F4943" s="2">
        <v>0</v>
      </c>
      <c r="G4943" t="s">
        <v>139</v>
      </c>
      <c r="H4943" t="s">
        <v>20</v>
      </c>
      <c r="I4943" t="s">
        <v>40</v>
      </c>
      <c r="J4943" t="s">
        <v>75</v>
      </c>
      <c r="K4943">
        <v>5</v>
      </c>
      <c r="L4943" t="s">
        <v>34</v>
      </c>
      <c r="M4943" t="s">
        <v>24</v>
      </c>
      <c r="N4943" t="s">
        <v>23</v>
      </c>
      <c r="O4943">
        <v>0</v>
      </c>
      <c r="P4943" t="s">
        <v>53</v>
      </c>
      <c r="Q4943" t="s">
        <v>37</v>
      </c>
      <c r="R4943" s="1">
        <v>0.1</v>
      </c>
      <c r="S4943">
        <f t="shared" si="308"/>
        <v>0</v>
      </c>
      <c r="T4943">
        <f>IFERROR(VLOOKUP(A4943,Table1[[Customer ID]:[Discount Amount]], 6, FALSE),"Not Found")</f>
        <v>0</v>
      </c>
      <c r="U4943" t="str">
        <f t="shared" si="309"/>
        <v>Credit Card</v>
      </c>
      <c r="V4943" s="4" t="str">
        <f t="shared" si="310"/>
        <v>Normal</v>
      </c>
      <c r="W4943" s="4" t="str">
        <f t="shared" si="311"/>
        <v>Good</v>
      </c>
      <c r="X4943" s="4">
        <f>AVERAGE(Table1[Purchase Amount])</f>
        <v>129.48419400000012</v>
      </c>
    </row>
    <row r="4944" spans="1:24" ht="15" customHeight="1" x14ac:dyDescent="0.25">
      <c r="A4944">
        <v>5042</v>
      </c>
      <c r="B4944">
        <v>46</v>
      </c>
      <c r="C4944" t="s">
        <v>71</v>
      </c>
      <c r="D4944" t="s">
        <v>112</v>
      </c>
      <c r="E4944" t="s">
        <v>18</v>
      </c>
      <c r="F4944" s="2">
        <v>0</v>
      </c>
      <c r="G4944" t="s">
        <v>82</v>
      </c>
      <c r="H4944" t="s">
        <v>31</v>
      </c>
      <c r="I4944" t="s">
        <v>32</v>
      </c>
      <c r="J4944" t="s">
        <v>57</v>
      </c>
      <c r="K4944">
        <v>1</v>
      </c>
      <c r="L4944" t="s">
        <v>34</v>
      </c>
      <c r="M4944" t="s">
        <v>61</v>
      </c>
      <c r="N4944" t="s">
        <v>23</v>
      </c>
      <c r="O4944">
        <v>31</v>
      </c>
      <c r="P4944" t="s">
        <v>58</v>
      </c>
      <c r="Q4944" t="s">
        <v>42</v>
      </c>
      <c r="R4944" s="1">
        <v>0.1</v>
      </c>
      <c r="S4944">
        <f t="shared" si="308"/>
        <v>0</v>
      </c>
      <c r="T4944">
        <f>IFERROR(VLOOKUP(A4944,Table1[[Customer ID]:[Discount Amount]], 6, FALSE),"Not Found")</f>
        <v>0</v>
      </c>
      <c r="U4944" t="str">
        <f t="shared" si="309"/>
        <v>PayPal</v>
      </c>
      <c r="V4944" s="4" t="str">
        <f t="shared" si="310"/>
        <v>Normal</v>
      </c>
      <c r="W4944" s="4" t="str">
        <f t="shared" si="311"/>
        <v>Poor</v>
      </c>
      <c r="X4944" s="4">
        <f>AVERAGE(Table1[Purchase Amount])</f>
        <v>129.48419400000012</v>
      </c>
    </row>
    <row r="4945" spans="1:24" ht="15" customHeight="1" x14ac:dyDescent="0.25">
      <c r="A4945">
        <v>5043</v>
      </c>
      <c r="B4945">
        <v>38</v>
      </c>
      <c r="C4945" t="s">
        <v>71</v>
      </c>
      <c r="D4945" t="s">
        <v>112</v>
      </c>
      <c r="E4945" t="s">
        <v>18</v>
      </c>
      <c r="F4945" s="2">
        <v>0</v>
      </c>
      <c r="G4945" t="s">
        <v>126</v>
      </c>
      <c r="H4945" t="s">
        <v>20</v>
      </c>
      <c r="I4945" t="s">
        <v>40</v>
      </c>
      <c r="J4945" t="s">
        <v>22</v>
      </c>
      <c r="K4945">
        <v>1</v>
      </c>
      <c r="L4945" t="s">
        <v>23</v>
      </c>
      <c r="M4945" t="s">
        <v>24</v>
      </c>
      <c r="N4945" t="s">
        <v>23</v>
      </c>
      <c r="O4945">
        <v>0</v>
      </c>
      <c r="P4945" t="s">
        <v>36</v>
      </c>
      <c r="Q4945" t="s">
        <v>37</v>
      </c>
      <c r="R4945" s="1">
        <v>0.1</v>
      </c>
      <c r="S4945">
        <f t="shared" si="308"/>
        <v>0</v>
      </c>
      <c r="T4945">
        <f>IFERROR(VLOOKUP(A4945,Table1[[Customer ID]:[Discount Amount]], 6, FALSE),"Not Found")</f>
        <v>0</v>
      </c>
      <c r="U4945" t="str">
        <f t="shared" si="309"/>
        <v>Debit Card</v>
      </c>
      <c r="V4945" s="4" t="str">
        <f t="shared" si="310"/>
        <v>Normal</v>
      </c>
      <c r="W4945" s="4" t="str">
        <f t="shared" si="311"/>
        <v>Poor</v>
      </c>
      <c r="X4945" s="4">
        <f>AVERAGE(Table1[Purchase Amount])</f>
        <v>129.48419400000012</v>
      </c>
    </row>
    <row r="4946" spans="1:24" ht="15" customHeight="1" x14ac:dyDescent="0.25">
      <c r="A4946">
        <v>5044</v>
      </c>
      <c r="B4946">
        <v>65</v>
      </c>
      <c r="C4946" t="s">
        <v>16</v>
      </c>
      <c r="D4946" t="s">
        <v>112</v>
      </c>
      <c r="E4946" t="s">
        <v>29</v>
      </c>
      <c r="F4946" s="2">
        <v>0</v>
      </c>
      <c r="G4946" t="s">
        <v>82</v>
      </c>
      <c r="H4946" t="s">
        <v>45</v>
      </c>
      <c r="I4946" t="s">
        <v>40</v>
      </c>
      <c r="J4946" t="s">
        <v>75</v>
      </c>
      <c r="K4946">
        <v>4</v>
      </c>
      <c r="L4946" t="s">
        <v>34</v>
      </c>
      <c r="M4946" t="s">
        <v>61</v>
      </c>
      <c r="N4946" t="s">
        <v>23</v>
      </c>
      <c r="O4946">
        <v>42</v>
      </c>
      <c r="P4946" t="s">
        <v>36</v>
      </c>
      <c r="Q4946" t="s">
        <v>26</v>
      </c>
      <c r="R4946" s="1">
        <v>0.1</v>
      </c>
      <c r="S4946">
        <f t="shared" si="308"/>
        <v>0</v>
      </c>
      <c r="T4946">
        <f>IFERROR(VLOOKUP(A4946,Table1[[Customer ID]:[Discount Amount]], 6, FALSE),"Not Found")</f>
        <v>0</v>
      </c>
      <c r="U4946" t="str">
        <f t="shared" si="309"/>
        <v>Debit Card</v>
      </c>
      <c r="V4946" s="4" t="str">
        <f t="shared" si="310"/>
        <v>Normal</v>
      </c>
      <c r="W4946" s="4" t="str">
        <f t="shared" si="311"/>
        <v>Good</v>
      </c>
      <c r="X4946" s="4">
        <f>AVERAGE(Table1[Purchase Amount])</f>
        <v>129.48419400000012</v>
      </c>
    </row>
    <row r="4947" spans="1:24" ht="15" customHeight="1" x14ac:dyDescent="0.25">
      <c r="A4947">
        <v>5045</v>
      </c>
      <c r="B4947">
        <v>60</v>
      </c>
      <c r="C4947" t="s">
        <v>27</v>
      </c>
      <c r="D4947" t="s">
        <v>112</v>
      </c>
      <c r="E4947" t="s">
        <v>18</v>
      </c>
      <c r="F4947" s="2">
        <v>476.36</v>
      </c>
      <c r="G4947" t="s">
        <v>126</v>
      </c>
      <c r="H4947" t="s">
        <v>31</v>
      </c>
      <c r="I4947" t="s">
        <v>40</v>
      </c>
      <c r="J4947" t="s">
        <v>33</v>
      </c>
      <c r="K4947">
        <v>4</v>
      </c>
      <c r="L4947" t="s">
        <v>23</v>
      </c>
      <c r="M4947" t="s">
        <v>24</v>
      </c>
      <c r="N4947" t="s">
        <v>23</v>
      </c>
      <c r="O4947">
        <v>2</v>
      </c>
      <c r="P4947" t="s">
        <v>25</v>
      </c>
      <c r="Q4947" t="s">
        <v>42</v>
      </c>
      <c r="R4947" s="1">
        <v>0.1</v>
      </c>
      <c r="S4947">
        <f t="shared" si="308"/>
        <v>428.72399999999999</v>
      </c>
      <c r="T4947">
        <f>IFERROR(VLOOKUP(A4947,Table1[[Customer ID]:[Discount Amount]], 6, FALSE),"Not Found")</f>
        <v>476.36</v>
      </c>
      <c r="U4947" t="str">
        <f t="shared" si="309"/>
        <v>Cash</v>
      </c>
      <c r="V4947" s="4" t="str">
        <f t="shared" si="310"/>
        <v>Normal</v>
      </c>
      <c r="W4947" s="4" t="str">
        <f t="shared" si="311"/>
        <v>Good</v>
      </c>
      <c r="X4947" s="4">
        <f>AVERAGE(Table1[Purchase Amount])</f>
        <v>129.48419400000012</v>
      </c>
    </row>
    <row r="4948" spans="1:24" ht="15" customHeight="1" x14ac:dyDescent="0.25">
      <c r="A4948">
        <v>5046</v>
      </c>
      <c r="B4948">
        <v>70</v>
      </c>
      <c r="C4948" t="s">
        <v>16</v>
      </c>
      <c r="D4948" t="s">
        <v>117</v>
      </c>
      <c r="E4948" t="s">
        <v>29</v>
      </c>
      <c r="F4948" s="2">
        <v>0</v>
      </c>
      <c r="G4948" t="s">
        <v>101</v>
      </c>
      <c r="H4948" t="s">
        <v>31</v>
      </c>
      <c r="I4948" t="s">
        <v>32</v>
      </c>
      <c r="J4948" t="s">
        <v>75</v>
      </c>
      <c r="K4948">
        <v>1</v>
      </c>
      <c r="L4948" t="s">
        <v>34</v>
      </c>
      <c r="M4948" t="s">
        <v>61</v>
      </c>
      <c r="N4948" t="s">
        <v>23</v>
      </c>
      <c r="O4948">
        <v>0</v>
      </c>
      <c r="P4948" t="s">
        <v>58</v>
      </c>
      <c r="Q4948" t="s">
        <v>37</v>
      </c>
      <c r="R4948" s="1">
        <v>0.1</v>
      </c>
      <c r="S4948">
        <f t="shared" si="308"/>
        <v>0</v>
      </c>
      <c r="T4948">
        <f>IFERROR(VLOOKUP(A4948,Table1[[Customer ID]:[Discount Amount]], 6, FALSE),"Not Found")</f>
        <v>0</v>
      </c>
      <c r="U4948" t="str">
        <f t="shared" si="309"/>
        <v>PayPal</v>
      </c>
      <c r="V4948" s="4" t="str">
        <f t="shared" si="310"/>
        <v>Normal</v>
      </c>
      <c r="W4948" s="4" t="str">
        <f t="shared" si="311"/>
        <v>Poor</v>
      </c>
      <c r="X4948" s="4">
        <f>AVERAGE(Table1[Purchase Amount])</f>
        <v>129.48419400000012</v>
      </c>
    </row>
    <row r="4949" spans="1:24" ht="15" customHeight="1" x14ac:dyDescent="0.25">
      <c r="A4949">
        <v>5047</v>
      </c>
      <c r="B4949">
        <v>67</v>
      </c>
      <c r="C4949" t="s">
        <v>71</v>
      </c>
      <c r="D4949" t="s">
        <v>95</v>
      </c>
      <c r="E4949" t="s">
        <v>18</v>
      </c>
      <c r="F4949" s="2">
        <v>0</v>
      </c>
      <c r="G4949" t="s">
        <v>101</v>
      </c>
      <c r="H4949" t="s">
        <v>20</v>
      </c>
      <c r="I4949" t="s">
        <v>32</v>
      </c>
      <c r="J4949" t="s">
        <v>57</v>
      </c>
      <c r="K4949">
        <v>1</v>
      </c>
      <c r="L4949" t="s">
        <v>23</v>
      </c>
      <c r="M4949" t="s">
        <v>61</v>
      </c>
      <c r="N4949" t="s">
        <v>34</v>
      </c>
      <c r="O4949">
        <v>0</v>
      </c>
      <c r="P4949" t="s">
        <v>25</v>
      </c>
      <c r="Q4949" t="s">
        <v>42</v>
      </c>
      <c r="R4949" s="1">
        <v>0.1</v>
      </c>
      <c r="S4949">
        <f t="shared" si="308"/>
        <v>0</v>
      </c>
      <c r="T4949">
        <f>IFERROR(VLOOKUP(A4949,Table1[[Customer ID]:[Discount Amount]], 6, FALSE),"Not Found")</f>
        <v>0</v>
      </c>
      <c r="U4949" t="str">
        <f t="shared" si="309"/>
        <v>Cash</v>
      </c>
      <c r="V4949" s="4" t="str">
        <f t="shared" si="310"/>
        <v>Normal</v>
      </c>
      <c r="W4949" s="4" t="str">
        <f t="shared" si="311"/>
        <v>Poor</v>
      </c>
      <c r="X4949" s="4">
        <f>AVERAGE(Table1[Purchase Amount])</f>
        <v>129.48419400000012</v>
      </c>
    </row>
    <row r="4950" spans="1:24" ht="15" customHeight="1" x14ac:dyDescent="0.25">
      <c r="A4950">
        <v>5048</v>
      </c>
      <c r="B4950">
        <v>23</v>
      </c>
      <c r="C4950" t="s">
        <v>16</v>
      </c>
      <c r="D4950" t="s">
        <v>117</v>
      </c>
      <c r="E4950" t="s">
        <v>29</v>
      </c>
      <c r="F4950" s="2">
        <v>1200.24</v>
      </c>
      <c r="G4950" t="s">
        <v>139</v>
      </c>
      <c r="H4950" t="s">
        <v>55</v>
      </c>
      <c r="I4950" t="s">
        <v>32</v>
      </c>
      <c r="J4950" t="s">
        <v>33</v>
      </c>
      <c r="K4950">
        <v>1</v>
      </c>
      <c r="L4950" t="s">
        <v>23</v>
      </c>
      <c r="M4950" t="s">
        <v>61</v>
      </c>
      <c r="N4950" t="s">
        <v>34</v>
      </c>
      <c r="O4950">
        <v>16</v>
      </c>
      <c r="P4950" t="s">
        <v>36</v>
      </c>
      <c r="Q4950" t="s">
        <v>37</v>
      </c>
      <c r="R4950" s="1">
        <v>0.1</v>
      </c>
      <c r="S4950">
        <f t="shared" si="308"/>
        <v>1080.2159999999999</v>
      </c>
      <c r="T4950">
        <f>IFERROR(VLOOKUP(A4950,Table1[[Customer ID]:[Discount Amount]], 6, FALSE),"Not Found")</f>
        <v>1200.24</v>
      </c>
      <c r="U4950" t="str">
        <f t="shared" si="309"/>
        <v>Debit Card</v>
      </c>
      <c r="V4950" s="4" t="str">
        <f t="shared" si="310"/>
        <v>Normal</v>
      </c>
      <c r="W4950" s="4" t="str">
        <f t="shared" si="311"/>
        <v>Poor</v>
      </c>
      <c r="X4950" s="4">
        <f>AVERAGE(Table1[Purchase Amount])</f>
        <v>129.48419400000012</v>
      </c>
    </row>
    <row r="4951" spans="1:24" ht="15" customHeight="1" x14ac:dyDescent="0.25">
      <c r="A4951">
        <v>5049</v>
      </c>
      <c r="B4951">
        <v>43</v>
      </c>
      <c r="C4951" t="s">
        <v>27</v>
      </c>
      <c r="D4951" t="s">
        <v>38</v>
      </c>
      <c r="E4951" t="s">
        <v>18</v>
      </c>
      <c r="F4951" s="2">
        <v>0</v>
      </c>
      <c r="G4951" t="s">
        <v>139</v>
      </c>
      <c r="H4951" t="s">
        <v>55</v>
      </c>
      <c r="I4951" t="s">
        <v>32</v>
      </c>
      <c r="J4951" t="s">
        <v>57</v>
      </c>
      <c r="K4951">
        <v>1</v>
      </c>
      <c r="L4951" t="s">
        <v>23</v>
      </c>
      <c r="M4951" t="s">
        <v>61</v>
      </c>
      <c r="N4951" t="s">
        <v>23</v>
      </c>
      <c r="O4951">
        <v>13</v>
      </c>
      <c r="P4951" t="s">
        <v>25</v>
      </c>
      <c r="Q4951" t="s">
        <v>42</v>
      </c>
      <c r="R4951" s="1">
        <v>0.1</v>
      </c>
      <c r="S4951">
        <f t="shared" si="308"/>
        <v>0</v>
      </c>
      <c r="T4951">
        <f>IFERROR(VLOOKUP(A4951,Table1[[Customer ID]:[Discount Amount]], 6, FALSE),"Not Found")</f>
        <v>0</v>
      </c>
      <c r="U4951" t="str">
        <f t="shared" si="309"/>
        <v>Cash</v>
      </c>
      <c r="V4951" s="4" t="str">
        <f t="shared" si="310"/>
        <v>Normal</v>
      </c>
      <c r="W4951" s="4" t="str">
        <f t="shared" si="311"/>
        <v>Poor</v>
      </c>
      <c r="X4951" s="4">
        <f>AVERAGE(Table1[Purchase Amount])</f>
        <v>129.48419400000012</v>
      </c>
    </row>
    <row r="4952" spans="1:24" ht="15" customHeight="1" x14ac:dyDescent="0.25">
      <c r="A4952">
        <v>5050</v>
      </c>
      <c r="B4952">
        <v>44</v>
      </c>
      <c r="C4952" t="s">
        <v>27</v>
      </c>
      <c r="D4952" t="s">
        <v>95</v>
      </c>
      <c r="E4952" t="s">
        <v>81</v>
      </c>
      <c r="F4952" s="2">
        <v>1337.8</v>
      </c>
      <c r="G4952" t="s">
        <v>82</v>
      </c>
      <c r="H4952" t="s">
        <v>31</v>
      </c>
      <c r="I4952" t="s">
        <v>74</v>
      </c>
      <c r="J4952" t="s">
        <v>57</v>
      </c>
      <c r="K4952">
        <v>1</v>
      </c>
      <c r="L4952" t="s">
        <v>34</v>
      </c>
      <c r="M4952" t="s">
        <v>24</v>
      </c>
      <c r="N4952" t="s">
        <v>23</v>
      </c>
      <c r="O4952">
        <v>28</v>
      </c>
      <c r="P4952" t="s">
        <v>53</v>
      </c>
      <c r="Q4952" t="s">
        <v>26</v>
      </c>
      <c r="R4952" s="1">
        <v>0.1</v>
      </c>
      <c r="S4952">
        <f t="shared" si="308"/>
        <v>1204.02</v>
      </c>
      <c r="T4952">
        <f>IFERROR(VLOOKUP(A4952,Table1[[Customer ID]:[Discount Amount]], 6, FALSE),"Not Found")</f>
        <v>1337.8</v>
      </c>
      <c r="U4952" t="str">
        <f t="shared" si="309"/>
        <v>Credit Card</v>
      </c>
      <c r="V4952" s="4" t="str">
        <f t="shared" si="310"/>
        <v>Normal</v>
      </c>
      <c r="W4952" s="4" t="str">
        <f t="shared" si="311"/>
        <v>Poor</v>
      </c>
      <c r="X4952" s="4">
        <f>AVERAGE(Table1[Purchase Amount])</f>
        <v>129.48419400000012</v>
      </c>
    </row>
    <row r="4953" spans="1:24" ht="15" customHeight="1" x14ac:dyDescent="0.25">
      <c r="A4953">
        <v>5051</v>
      </c>
      <c r="B4953">
        <v>34</v>
      </c>
      <c r="C4953" t="s">
        <v>16</v>
      </c>
      <c r="D4953" t="s">
        <v>95</v>
      </c>
      <c r="E4953" t="s">
        <v>29</v>
      </c>
      <c r="F4953" s="2">
        <v>0</v>
      </c>
      <c r="G4953" t="s">
        <v>126</v>
      </c>
      <c r="H4953" t="s">
        <v>45</v>
      </c>
      <c r="I4953" t="s">
        <v>74</v>
      </c>
      <c r="J4953" t="s">
        <v>22</v>
      </c>
      <c r="K4953">
        <v>3</v>
      </c>
      <c r="L4953" t="s">
        <v>34</v>
      </c>
      <c r="M4953" t="s">
        <v>24</v>
      </c>
      <c r="N4953" t="s">
        <v>23</v>
      </c>
      <c r="O4953">
        <v>11</v>
      </c>
      <c r="P4953" t="s">
        <v>25</v>
      </c>
      <c r="Q4953" t="s">
        <v>37</v>
      </c>
      <c r="R4953" s="1">
        <v>0.1</v>
      </c>
      <c r="S4953">
        <f t="shared" si="308"/>
        <v>0</v>
      </c>
      <c r="T4953">
        <f>IFERROR(VLOOKUP(A4953,Table1[[Customer ID]:[Discount Amount]], 6, FALSE),"Not Found")</f>
        <v>0</v>
      </c>
      <c r="U4953" t="str">
        <f t="shared" si="309"/>
        <v>Cash</v>
      </c>
      <c r="V4953" s="4" t="str">
        <f t="shared" si="310"/>
        <v>Normal</v>
      </c>
      <c r="W4953" s="4" t="str">
        <f t="shared" si="311"/>
        <v>Good</v>
      </c>
      <c r="X4953" s="4">
        <f>AVERAGE(Table1[Purchase Amount])</f>
        <v>129.48419400000012</v>
      </c>
    </row>
    <row r="4954" spans="1:24" ht="15" customHeight="1" x14ac:dyDescent="0.25">
      <c r="A4954">
        <v>5052</v>
      </c>
      <c r="B4954">
        <v>24</v>
      </c>
      <c r="C4954" t="s">
        <v>16</v>
      </c>
      <c r="D4954" t="s">
        <v>117</v>
      </c>
      <c r="E4954" t="s">
        <v>18</v>
      </c>
      <c r="F4954" s="2">
        <v>220.25</v>
      </c>
      <c r="G4954" t="s">
        <v>101</v>
      </c>
      <c r="H4954" t="s">
        <v>55</v>
      </c>
      <c r="I4954" t="s">
        <v>46</v>
      </c>
      <c r="J4954" t="s">
        <v>75</v>
      </c>
      <c r="K4954">
        <v>1</v>
      </c>
      <c r="L4954" t="s">
        <v>34</v>
      </c>
      <c r="M4954" t="s">
        <v>61</v>
      </c>
      <c r="N4954" t="s">
        <v>23</v>
      </c>
      <c r="O4954">
        <v>0</v>
      </c>
      <c r="P4954" t="s">
        <v>25</v>
      </c>
      <c r="Q4954" t="s">
        <v>37</v>
      </c>
      <c r="R4954" s="1">
        <v>0.1</v>
      </c>
      <c r="S4954">
        <f t="shared" si="308"/>
        <v>198.22499999999999</v>
      </c>
      <c r="T4954">
        <f>IFERROR(VLOOKUP(A4954,Table1[[Customer ID]:[Discount Amount]], 6, FALSE),"Not Found")</f>
        <v>220.25</v>
      </c>
      <c r="U4954" t="str">
        <f t="shared" si="309"/>
        <v>Cash</v>
      </c>
      <c r="V4954" s="4" t="str">
        <f t="shared" si="310"/>
        <v>Normal</v>
      </c>
      <c r="W4954" s="4" t="str">
        <f t="shared" si="311"/>
        <v>Poor</v>
      </c>
      <c r="X4954" s="4">
        <f>AVERAGE(Table1[Purchase Amount])</f>
        <v>129.48419400000012</v>
      </c>
    </row>
    <row r="4955" spans="1:24" ht="15" customHeight="1" x14ac:dyDescent="0.25">
      <c r="A4955">
        <v>5053</v>
      </c>
      <c r="B4955">
        <v>36</v>
      </c>
      <c r="C4955" t="s">
        <v>27</v>
      </c>
      <c r="D4955" t="s">
        <v>38</v>
      </c>
      <c r="E4955" t="s">
        <v>18</v>
      </c>
      <c r="F4955" s="2">
        <v>949.74</v>
      </c>
      <c r="G4955" t="s">
        <v>126</v>
      </c>
      <c r="H4955" t="s">
        <v>45</v>
      </c>
      <c r="I4955" t="s">
        <v>32</v>
      </c>
      <c r="J4955" t="s">
        <v>33</v>
      </c>
      <c r="K4955">
        <v>4</v>
      </c>
      <c r="L4955" t="s">
        <v>34</v>
      </c>
      <c r="M4955" t="s">
        <v>61</v>
      </c>
      <c r="N4955" t="s">
        <v>23</v>
      </c>
      <c r="O4955">
        <v>0</v>
      </c>
      <c r="P4955" t="s">
        <v>25</v>
      </c>
      <c r="Q4955" t="s">
        <v>37</v>
      </c>
      <c r="R4955" s="1">
        <v>0.1</v>
      </c>
      <c r="S4955">
        <f t="shared" si="308"/>
        <v>854.76599999999996</v>
      </c>
      <c r="T4955">
        <f>IFERROR(VLOOKUP(A4955,Table1[[Customer ID]:[Discount Amount]], 6, FALSE),"Not Found")</f>
        <v>949.74</v>
      </c>
      <c r="U4955" t="str">
        <f t="shared" si="309"/>
        <v>Cash</v>
      </c>
      <c r="V4955" s="4" t="str">
        <f t="shared" si="310"/>
        <v>Normal</v>
      </c>
      <c r="W4955" s="4" t="str">
        <f t="shared" si="311"/>
        <v>Good</v>
      </c>
      <c r="X4955" s="4">
        <f>AVERAGE(Table1[Purchase Amount])</f>
        <v>129.48419400000012</v>
      </c>
    </row>
    <row r="4956" spans="1:24" ht="15" customHeight="1" x14ac:dyDescent="0.25">
      <c r="A4956">
        <v>5054</v>
      </c>
      <c r="B4956">
        <v>42</v>
      </c>
      <c r="C4956" t="s">
        <v>27</v>
      </c>
      <c r="D4956" t="s">
        <v>116</v>
      </c>
      <c r="E4956" t="s">
        <v>29</v>
      </c>
      <c r="F4956" s="2">
        <v>1106.69</v>
      </c>
      <c r="G4956" t="s">
        <v>82</v>
      </c>
      <c r="H4956" t="s">
        <v>55</v>
      </c>
      <c r="I4956" t="s">
        <v>93</v>
      </c>
      <c r="J4956" t="s">
        <v>33</v>
      </c>
      <c r="K4956">
        <v>3</v>
      </c>
      <c r="L4956" t="s">
        <v>23</v>
      </c>
      <c r="M4956" t="s">
        <v>61</v>
      </c>
      <c r="N4956" t="s">
        <v>34</v>
      </c>
      <c r="O4956">
        <v>0</v>
      </c>
      <c r="P4956" t="s">
        <v>25</v>
      </c>
      <c r="Q4956" t="s">
        <v>26</v>
      </c>
      <c r="R4956" s="1">
        <v>0.1</v>
      </c>
      <c r="S4956">
        <f t="shared" si="308"/>
        <v>996.02100000000007</v>
      </c>
      <c r="T4956">
        <f>IFERROR(VLOOKUP(A4956,Table1[[Customer ID]:[Discount Amount]], 6, FALSE),"Not Found")</f>
        <v>1106.69</v>
      </c>
      <c r="U4956" t="str">
        <f t="shared" si="309"/>
        <v>Cash</v>
      </c>
      <c r="V4956" s="4" t="str">
        <f t="shared" si="310"/>
        <v>Normal</v>
      </c>
      <c r="W4956" s="4" t="str">
        <f t="shared" si="311"/>
        <v>Good</v>
      </c>
      <c r="X4956" s="4">
        <f>AVERAGE(Table1[Purchase Amount])</f>
        <v>129.48419400000012</v>
      </c>
    </row>
    <row r="4957" spans="1:24" ht="15" customHeight="1" x14ac:dyDescent="0.25">
      <c r="A4957">
        <v>5055</v>
      </c>
      <c r="B4957">
        <v>66</v>
      </c>
      <c r="C4957" t="s">
        <v>27</v>
      </c>
      <c r="D4957" t="s">
        <v>95</v>
      </c>
      <c r="E4957" t="s">
        <v>29</v>
      </c>
      <c r="F4957" s="2">
        <v>0</v>
      </c>
      <c r="G4957" t="s">
        <v>101</v>
      </c>
      <c r="H4957" t="s">
        <v>55</v>
      </c>
      <c r="I4957" t="s">
        <v>32</v>
      </c>
      <c r="J4957" t="s">
        <v>33</v>
      </c>
      <c r="K4957">
        <v>1</v>
      </c>
      <c r="L4957" t="s">
        <v>23</v>
      </c>
      <c r="M4957" t="s">
        <v>24</v>
      </c>
      <c r="N4957" t="s">
        <v>34</v>
      </c>
      <c r="O4957">
        <v>36</v>
      </c>
      <c r="P4957" t="s">
        <v>25</v>
      </c>
      <c r="Q4957" t="s">
        <v>42</v>
      </c>
      <c r="R4957" s="1">
        <v>0.1</v>
      </c>
      <c r="S4957">
        <f t="shared" si="308"/>
        <v>0</v>
      </c>
      <c r="T4957">
        <f>IFERROR(VLOOKUP(A4957,Table1[[Customer ID]:[Discount Amount]], 6, FALSE),"Not Found")</f>
        <v>0</v>
      </c>
      <c r="U4957" t="str">
        <f t="shared" si="309"/>
        <v>Cash</v>
      </c>
      <c r="V4957" s="4" t="str">
        <f t="shared" si="310"/>
        <v>Normal</v>
      </c>
      <c r="W4957" s="4" t="str">
        <f t="shared" si="311"/>
        <v>Poor</v>
      </c>
      <c r="X4957" s="4">
        <f>AVERAGE(Table1[Purchase Amount])</f>
        <v>129.48419400000012</v>
      </c>
    </row>
    <row r="4958" spans="1:24" ht="15" customHeight="1" x14ac:dyDescent="0.25">
      <c r="A4958">
        <v>5056</v>
      </c>
      <c r="B4958">
        <v>38</v>
      </c>
      <c r="C4958" t="s">
        <v>16</v>
      </c>
      <c r="D4958" t="s">
        <v>38</v>
      </c>
      <c r="E4958" t="s">
        <v>81</v>
      </c>
      <c r="F4958" s="2">
        <v>210.55</v>
      </c>
      <c r="G4958" t="s">
        <v>73</v>
      </c>
      <c r="H4958" t="s">
        <v>31</v>
      </c>
      <c r="I4958" t="s">
        <v>32</v>
      </c>
      <c r="J4958" t="s">
        <v>75</v>
      </c>
      <c r="K4958">
        <v>3</v>
      </c>
      <c r="L4958" t="s">
        <v>23</v>
      </c>
      <c r="M4958" t="s">
        <v>24</v>
      </c>
      <c r="N4958" t="s">
        <v>23</v>
      </c>
      <c r="O4958">
        <v>0</v>
      </c>
      <c r="P4958" t="s">
        <v>58</v>
      </c>
      <c r="Q4958" t="s">
        <v>37</v>
      </c>
      <c r="R4958" s="1">
        <v>0.1</v>
      </c>
      <c r="S4958">
        <f t="shared" si="308"/>
        <v>189.495</v>
      </c>
      <c r="T4958">
        <f>IFERROR(VLOOKUP(A4958,Table1[[Customer ID]:[Discount Amount]], 6, FALSE),"Not Found")</f>
        <v>210.55</v>
      </c>
      <c r="U4958" t="str">
        <f t="shared" si="309"/>
        <v>PayPal</v>
      </c>
      <c r="V4958" s="4" t="str">
        <f t="shared" si="310"/>
        <v>Normal</v>
      </c>
      <c r="W4958" s="4" t="str">
        <f t="shared" si="311"/>
        <v>Good</v>
      </c>
      <c r="X4958" s="4">
        <f>AVERAGE(Table1[Purchase Amount])</f>
        <v>129.48419400000012</v>
      </c>
    </row>
    <row r="4959" spans="1:24" ht="15" customHeight="1" x14ac:dyDescent="0.25">
      <c r="A4959">
        <v>5057</v>
      </c>
      <c r="B4959">
        <v>33</v>
      </c>
      <c r="C4959" t="s">
        <v>27</v>
      </c>
      <c r="D4959" t="s">
        <v>38</v>
      </c>
      <c r="E4959" t="s">
        <v>81</v>
      </c>
      <c r="F4959" s="2">
        <v>1103.3599999999999</v>
      </c>
      <c r="G4959" t="s">
        <v>82</v>
      </c>
      <c r="H4959" t="s">
        <v>31</v>
      </c>
      <c r="I4959" t="s">
        <v>40</v>
      </c>
      <c r="J4959" t="s">
        <v>57</v>
      </c>
      <c r="K4959">
        <v>1</v>
      </c>
      <c r="L4959" t="s">
        <v>23</v>
      </c>
      <c r="M4959" t="s">
        <v>24</v>
      </c>
      <c r="N4959" t="s">
        <v>34</v>
      </c>
      <c r="O4959">
        <v>6</v>
      </c>
      <c r="P4959" t="s">
        <v>53</v>
      </c>
      <c r="Q4959" t="s">
        <v>42</v>
      </c>
      <c r="R4959" s="1">
        <v>0.1</v>
      </c>
      <c r="S4959">
        <f t="shared" si="308"/>
        <v>993.02399999999989</v>
      </c>
      <c r="T4959">
        <f>IFERROR(VLOOKUP(A4959,Table1[[Customer ID]:[Discount Amount]], 6, FALSE),"Not Found")</f>
        <v>1103.3599999999999</v>
      </c>
      <c r="U4959" t="str">
        <f t="shared" si="309"/>
        <v>Credit Card</v>
      </c>
      <c r="V4959" s="4" t="str">
        <f t="shared" si="310"/>
        <v>Normal</v>
      </c>
      <c r="W4959" s="4" t="str">
        <f t="shared" si="311"/>
        <v>Poor</v>
      </c>
      <c r="X4959" s="4">
        <f>AVERAGE(Table1[Purchase Amount])</f>
        <v>129.48419400000012</v>
      </c>
    </row>
    <row r="4960" spans="1:24" ht="15" customHeight="1" x14ac:dyDescent="0.25">
      <c r="A4960">
        <v>5058</v>
      </c>
      <c r="B4960">
        <v>63</v>
      </c>
      <c r="C4960" t="s">
        <v>71</v>
      </c>
      <c r="D4960" t="s">
        <v>38</v>
      </c>
      <c r="E4960" t="s">
        <v>81</v>
      </c>
      <c r="F4960" s="2">
        <v>1342.62</v>
      </c>
      <c r="G4960" t="s">
        <v>82</v>
      </c>
      <c r="H4960" t="s">
        <v>31</v>
      </c>
      <c r="I4960" t="s">
        <v>74</v>
      </c>
      <c r="J4960" t="s">
        <v>33</v>
      </c>
      <c r="K4960">
        <v>4</v>
      </c>
      <c r="L4960" t="s">
        <v>34</v>
      </c>
      <c r="M4960" t="s">
        <v>24</v>
      </c>
      <c r="N4960" t="s">
        <v>34</v>
      </c>
      <c r="O4960">
        <v>0</v>
      </c>
      <c r="P4960" t="s">
        <v>58</v>
      </c>
      <c r="Q4960" t="s">
        <v>37</v>
      </c>
      <c r="R4960" s="1">
        <v>0.1</v>
      </c>
      <c r="S4960">
        <f t="shared" si="308"/>
        <v>1208.3579999999999</v>
      </c>
      <c r="T4960">
        <f>IFERROR(VLOOKUP(A4960,Table1[[Customer ID]:[Discount Amount]], 6, FALSE),"Not Found")</f>
        <v>1342.62</v>
      </c>
      <c r="U4960" t="str">
        <f t="shared" si="309"/>
        <v>PayPal</v>
      </c>
      <c r="V4960" s="4" t="str">
        <f t="shared" si="310"/>
        <v>Best Customer</v>
      </c>
      <c r="W4960" s="4" t="str">
        <f t="shared" si="311"/>
        <v>Good</v>
      </c>
      <c r="X4960" s="4">
        <f>AVERAGE(Table1[Purchase Amount])</f>
        <v>129.48419400000012</v>
      </c>
    </row>
    <row r="4961" spans="1:24" ht="15" customHeight="1" x14ac:dyDescent="0.25">
      <c r="A4961">
        <v>5059</v>
      </c>
      <c r="B4961">
        <v>62</v>
      </c>
      <c r="C4961" t="s">
        <v>71</v>
      </c>
      <c r="D4961" t="s">
        <v>112</v>
      </c>
      <c r="E4961" t="s">
        <v>81</v>
      </c>
      <c r="F4961" s="2">
        <v>142.24</v>
      </c>
      <c r="G4961" t="s">
        <v>73</v>
      </c>
      <c r="H4961" t="s">
        <v>31</v>
      </c>
      <c r="I4961" t="s">
        <v>74</v>
      </c>
      <c r="J4961" t="s">
        <v>75</v>
      </c>
      <c r="K4961">
        <v>1</v>
      </c>
      <c r="L4961" t="s">
        <v>34</v>
      </c>
      <c r="M4961" t="s">
        <v>24</v>
      </c>
      <c r="N4961" t="s">
        <v>34</v>
      </c>
      <c r="O4961">
        <v>28</v>
      </c>
      <c r="P4961" t="s">
        <v>36</v>
      </c>
      <c r="Q4961" t="s">
        <v>37</v>
      </c>
      <c r="R4961" s="1">
        <v>0.1</v>
      </c>
      <c r="S4961">
        <f t="shared" si="308"/>
        <v>128.01600000000002</v>
      </c>
      <c r="T4961">
        <f>IFERROR(VLOOKUP(A4961,Table1[[Customer ID]:[Discount Amount]], 6, FALSE),"Not Found")</f>
        <v>142.24</v>
      </c>
      <c r="U4961" t="str">
        <f t="shared" si="309"/>
        <v>Debit Card</v>
      </c>
      <c r="V4961" s="4" t="str">
        <f t="shared" si="310"/>
        <v>Normal</v>
      </c>
      <c r="W4961" s="4" t="str">
        <f t="shared" si="311"/>
        <v>Poor</v>
      </c>
      <c r="X4961" s="4">
        <f>AVERAGE(Table1[Purchase Amount])</f>
        <v>129.48419400000012</v>
      </c>
    </row>
    <row r="4962" spans="1:24" ht="15" customHeight="1" x14ac:dyDescent="0.25">
      <c r="A4962">
        <v>5060</v>
      </c>
      <c r="B4962">
        <v>52</v>
      </c>
      <c r="C4962" t="s">
        <v>71</v>
      </c>
      <c r="D4962" t="s">
        <v>80</v>
      </c>
      <c r="E4962" t="s">
        <v>81</v>
      </c>
      <c r="F4962" s="2">
        <v>63.86</v>
      </c>
      <c r="G4962" t="s">
        <v>139</v>
      </c>
      <c r="H4962" t="s">
        <v>31</v>
      </c>
      <c r="I4962" t="s">
        <v>40</v>
      </c>
      <c r="J4962" t="s">
        <v>57</v>
      </c>
      <c r="K4962">
        <v>5</v>
      </c>
      <c r="L4962" t="s">
        <v>34</v>
      </c>
      <c r="M4962" t="s">
        <v>24</v>
      </c>
      <c r="N4962" t="s">
        <v>23</v>
      </c>
      <c r="O4962">
        <v>35</v>
      </c>
      <c r="P4962" t="s">
        <v>53</v>
      </c>
      <c r="Q4962" t="s">
        <v>37</v>
      </c>
      <c r="R4962" s="1">
        <v>0.1</v>
      </c>
      <c r="S4962">
        <f t="shared" si="308"/>
        <v>57.473999999999997</v>
      </c>
      <c r="T4962">
        <f>IFERROR(VLOOKUP(A4962,Table1[[Customer ID]:[Discount Amount]], 6, FALSE),"Not Found")</f>
        <v>63.86</v>
      </c>
      <c r="U4962" t="str">
        <f t="shared" si="309"/>
        <v>Credit Card</v>
      </c>
      <c r="V4962" s="4" t="str">
        <f t="shared" si="310"/>
        <v>Normal</v>
      </c>
      <c r="W4962" s="4" t="str">
        <f t="shared" si="311"/>
        <v>Good</v>
      </c>
      <c r="X4962" s="4">
        <f>AVERAGE(Table1[Purchase Amount])</f>
        <v>129.48419400000012</v>
      </c>
    </row>
    <row r="4963" spans="1:24" ht="15" customHeight="1" x14ac:dyDescent="0.25">
      <c r="A4963">
        <v>5061</v>
      </c>
      <c r="B4963">
        <v>49</v>
      </c>
      <c r="C4963" t="s">
        <v>16</v>
      </c>
      <c r="D4963" t="s">
        <v>95</v>
      </c>
      <c r="E4963" t="s">
        <v>29</v>
      </c>
      <c r="F4963" s="2">
        <v>1138.19</v>
      </c>
      <c r="G4963" t="s">
        <v>82</v>
      </c>
      <c r="H4963" t="s">
        <v>45</v>
      </c>
      <c r="I4963" t="s">
        <v>74</v>
      </c>
      <c r="J4963" t="s">
        <v>33</v>
      </c>
      <c r="K4963">
        <v>1</v>
      </c>
      <c r="L4963" t="s">
        <v>23</v>
      </c>
      <c r="M4963" t="s">
        <v>24</v>
      </c>
      <c r="N4963" t="s">
        <v>34</v>
      </c>
      <c r="O4963">
        <v>16</v>
      </c>
      <c r="P4963" t="s">
        <v>36</v>
      </c>
      <c r="Q4963" t="s">
        <v>26</v>
      </c>
      <c r="R4963" s="1">
        <v>0.1</v>
      </c>
      <c r="S4963">
        <f t="shared" si="308"/>
        <v>1024.3710000000001</v>
      </c>
      <c r="T4963">
        <f>IFERROR(VLOOKUP(A4963,Table1[[Customer ID]:[Discount Amount]], 6, FALSE),"Not Found")</f>
        <v>1138.19</v>
      </c>
      <c r="U4963" t="str">
        <f t="shared" si="309"/>
        <v>Debit Card</v>
      </c>
      <c r="V4963" s="4" t="str">
        <f t="shared" si="310"/>
        <v>Normal</v>
      </c>
      <c r="W4963" s="4" t="str">
        <f t="shared" si="311"/>
        <v>Poor</v>
      </c>
      <c r="X4963" s="4">
        <f>AVERAGE(Table1[Purchase Amount])</f>
        <v>129.48419400000012</v>
      </c>
    </row>
    <row r="4964" spans="1:24" ht="15" customHeight="1" x14ac:dyDescent="0.25">
      <c r="A4964">
        <v>5062</v>
      </c>
      <c r="B4964">
        <v>68</v>
      </c>
      <c r="C4964" t="s">
        <v>71</v>
      </c>
      <c r="D4964" t="s">
        <v>95</v>
      </c>
      <c r="E4964" t="s">
        <v>29</v>
      </c>
      <c r="F4964" s="2">
        <v>302.16000000000003</v>
      </c>
      <c r="G4964" t="s">
        <v>82</v>
      </c>
      <c r="H4964" t="s">
        <v>31</v>
      </c>
      <c r="I4964" t="s">
        <v>93</v>
      </c>
      <c r="J4964" t="s">
        <v>33</v>
      </c>
      <c r="K4964">
        <v>1</v>
      </c>
      <c r="L4964" t="s">
        <v>34</v>
      </c>
      <c r="M4964" t="s">
        <v>24</v>
      </c>
      <c r="N4964" t="s">
        <v>34</v>
      </c>
      <c r="O4964">
        <v>37</v>
      </c>
      <c r="P4964" t="s">
        <v>25</v>
      </c>
      <c r="Q4964" t="s">
        <v>37</v>
      </c>
      <c r="R4964" s="1">
        <v>0.1</v>
      </c>
      <c r="S4964">
        <f t="shared" si="308"/>
        <v>271.94400000000002</v>
      </c>
      <c r="T4964">
        <f>IFERROR(VLOOKUP(A4964,Table1[[Customer ID]:[Discount Amount]], 6, FALSE),"Not Found")</f>
        <v>302.16000000000003</v>
      </c>
      <c r="U4964" t="str">
        <f t="shared" si="309"/>
        <v>Cash</v>
      </c>
      <c r="V4964" s="4" t="str">
        <f t="shared" si="310"/>
        <v>Normal</v>
      </c>
      <c r="W4964" s="4" t="str">
        <f t="shared" si="311"/>
        <v>Poor</v>
      </c>
      <c r="X4964" s="4">
        <f>AVERAGE(Table1[Purchase Amount])</f>
        <v>129.48419400000012</v>
      </c>
    </row>
    <row r="4965" spans="1:24" ht="15" customHeight="1" x14ac:dyDescent="0.25">
      <c r="A4965">
        <v>5063</v>
      </c>
      <c r="B4965">
        <v>31</v>
      </c>
      <c r="C4965" t="s">
        <v>27</v>
      </c>
      <c r="D4965" t="s">
        <v>112</v>
      </c>
      <c r="E4965" t="s">
        <v>81</v>
      </c>
      <c r="F4965" s="2">
        <v>0</v>
      </c>
      <c r="G4965" t="s">
        <v>126</v>
      </c>
      <c r="H4965" t="s">
        <v>31</v>
      </c>
      <c r="I4965" t="s">
        <v>74</v>
      </c>
      <c r="J4965" t="s">
        <v>22</v>
      </c>
      <c r="K4965">
        <v>1</v>
      </c>
      <c r="L4965" t="s">
        <v>34</v>
      </c>
      <c r="M4965" t="s">
        <v>24</v>
      </c>
      <c r="N4965" t="s">
        <v>34</v>
      </c>
      <c r="O4965">
        <v>1</v>
      </c>
      <c r="P4965" t="s">
        <v>36</v>
      </c>
      <c r="Q4965" t="s">
        <v>42</v>
      </c>
      <c r="R4965" s="1">
        <v>0.1</v>
      </c>
      <c r="S4965">
        <f t="shared" si="308"/>
        <v>0</v>
      </c>
      <c r="T4965">
        <f>IFERROR(VLOOKUP(A4965,Table1[[Customer ID]:[Discount Amount]], 6, FALSE),"Not Found")</f>
        <v>0</v>
      </c>
      <c r="U4965" t="str">
        <f t="shared" si="309"/>
        <v>Debit Card</v>
      </c>
      <c r="V4965" s="4" t="str">
        <f t="shared" si="310"/>
        <v>Normal</v>
      </c>
      <c r="W4965" s="4" t="str">
        <f t="shared" si="311"/>
        <v>Poor</v>
      </c>
      <c r="X4965" s="4">
        <f>AVERAGE(Table1[Purchase Amount])</f>
        <v>129.48419400000012</v>
      </c>
    </row>
    <row r="4966" spans="1:24" ht="15" customHeight="1" x14ac:dyDescent="0.25">
      <c r="A4966">
        <v>5064</v>
      </c>
      <c r="B4966">
        <v>20</v>
      </c>
      <c r="C4966" t="s">
        <v>71</v>
      </c>
      <c r="D4966" t="s">
        <v>72</v>
      </c>
      <c r="E4966" t="s">
        <v>18</v>
      </c>
      <c r="F4966" s="2">
        <v>133.72</v>
      </c>
      <c r="G4966" t="s">
        <v>82</v>
      </c>
      <c r="H4966" t="s">
        <v>55</v>
      </c>
      <c r="I4966" t="s">
        <v>74</v>
      </c>
      <c r="J4966" t="s">
        <v>33</v>
      </c>
      <c r="K4966">
        <v>1</v>
      </c>
      <c r="L4966" t="s">
        <v>23</v>
      </c>
      <c r="M4966" t="s">
        <v>61</v>
      </c>
      <c r="N4966" t="s">
        <v>34</v>
      </c>
      <c r="O4966">
        <v>0</v>
      </c>
      <c r="P4966" t="s">
        <v>25</v>
      </c>
      <c r="Q4966" t="s">
        <v>37</v>
      </c>
      <c r="R4966" s="1">
        <v>0.1</v>
      </c>
      <c r="S4966">
        <f t="shared" si="308"/>
        <v>120.348</v>
      </c>
      <c r="T4966">
        <f>IFERROR(VLOOKUP(A4966,Table1[[Customer ID]:[Discount Amount]], 6, FALSE),"Not Found")</f>
        <v>133.72</v>
      </c>
      <c r="U4966" t="str">
        <f t="shared" si="309"/>
        <v>Cash</v>
      </c>
      <c r="V4966" s="4" t="str">
        <f t="shared" si="310"/>
        <v>Normal</v>
      </c>
      <c r="W4966" s="4" t="str">
        <f t="shared" si="311"/>
        <v>Poor</v>
      </c>
      <c r="X4966" s="4">
        <f>AVERAGE(Table1[Purchase Amount])</f>
        <v>129.48419400000012</v>
      </c>
    </row>
    <row r="4967" spans="1:24" ht="15" customHeight="1" x14ac:dyDescent="0.25">
      <c r="A4967">
        <v>5065</v>
      </c>
      <c r="B4967">
        <v>48</v>
      </c>
      <c r="C4967" t="s">
        <v>71</v>
      </c>
      <c r="D4967" t="s">
        <v>116</v>
      </c>
      <c r="E4967" t="s">
        <v>81</v>
      </c>
      <c r="F4967" s="2">
        <v>0</v>
      </c>
      <c r="G4967" t="s">
        <v>139</v>
      </c>
      <c r="H4967" t="s">
        <v>31</v>
      </c>
      <c r="I4967" t="s">
        <v>46</v>
      </c>
      <c r="J4967" t="s">
        <v>33</v>
      </c>
      <c r="K4967">
        <v>4</v>
      </c>
      <c r="L4967" t="s">
        <v>23</v>
      </c>
      <c r="M4967" t="s">
        <v>61</v>
      </c>
      <c r="N4967" t="s">
        <v>34</v>
      </c>
      <c r="O4967">
        <v>0</v>
      </c>
      <c r="P4967" t="s">
        <v>36</v>
      </c>
      <c r="Q4967" t="s">
        <v>42</v>
      </c>
      <c r="R4967" s="1">
        <v>0.1</v>
      </c>
      <c r="S4967">
        <f t="shared" si="308"/>
        <v>0</v>
      </c>
      <c r="T4967">
        <f>IFERROR(VLOOKUP(A4967,Table1[[Customer ID]:[Discount Amount]], 6, FALSE),"Not Found")</f>
        <v>0</v>
      </c>
      <c r="U4967" t="str">
        <f t="shared" si="309"/>
        <v>Debit Card</v>
      </c>
      <c r="V4967" s="4" t="str">
        <f t="shared" si="310"/>
        <v>Normal</v>
      </c>
      <c r="W4967" s="4" t="str">
        <f t="shared" si="311"/>
        <v>Good</v>
      </c>
      <c r="X4967" s="4">
        <f>AVERAGE(Table1[Purchase Amount])</f>
        <v>129.48419400000012</v>
      </c>
    </row>
    <row r="4968" spans="1:24" ht="15" customHeight="1" x14ac:dyDescent="0.25">
      <c r="A4968">
        <v>5066</v>
      </c>
      <c r="B4968">
        <v>59</v>
      </c>
      <c r="C4968" t="s">
        <v>71</v>
      </c>
      <c r="D4968" t="s">
        <v>38</v>
      </c>
      <c r="E4968" t="s">
        <v>18</v>
      </c>
      <c r="F4968" s="2">
        <v>876.68</v>
      </c>
      <c r="G4968" t="s">
        <v>139</v>
      </c>
      <c r="H4968" t="s">
        <v>45</v>
      </c>
      <c r="I4968" t="s">
        <v>74</v>
      </c>
      <c r="J4968" t="s">
        <v>75</v>
      </c>
      <c r="K4968">
        <v>1</v>
      </c>
      <c r="L4968" t="s">
        <v>34</v>
      </c>
      <c r="M4968" t="s">
        <v>61</v>
      </c>
      <c r="N4968" t="s">
        <v>34</v>
      </c>
      <c r="O4968">
        <v>0</v>
      </c>
      <c r="P4968" t="s">
        <v>58</v>
      </c>
      <c r="Q4968" t="s">
        <v>42</v>
      </c>
      <c r="R4968" s="1">
        <v>0.1</v>
      </c>
      <c r="S4968">
        <f t="shared" si="308"/>
        <v>789.01199999999994</v>
      </c>
      <c r="T4968">
        <f>IFERROR(VLOOKUP(A4968,Table1[[Customer ID]:[Discount Amount]], 6, FALSE),"Not Found")</f>
        <v>876.68</v>
      </c>
      <c r="U4968" t="str">
        <f t="shared" si="309"/>
        <v>PayPal</v>
      </c>
      <c r="V4968" s="4" t="str">
        <f t="shared" si="310"/>
        <v>Normal</v>
      </c>
      <c r="W4968" s="4" t="str">
        <f t="shared" si="311"/>
        <v>Poor</v>
      </c>
      <c r="X4968" s="4">
        <f>AVERAGE(Table1[Purchase Amount])</f>
        <v>129.48419400000012</v>
      </c>
    </row>
    <row r="4969" spans="1:24" ht="15" customHeight="1" x14ac:dyDescent="0.25">
      <c r="A4969">
        <v>5067</v>
      </c>
      <c r="B4969">
        <v>18</v>
      </c>
      <c r="C4969" t="s">
        <v>27</v>
      </c>
      <c r="D4969" t="s">
        <v>80</v>
      </c>
      <c r="E4969" t="s">
        <v>18</v>
      </c>
      <c r="F4969" s="2">
        <v>1310.4000000000001</v>
      </c>
      <c r="G4969" t="s">
        <v>73</v>
      </c>
      <c r="H4969" t="s">
        <v>55</v>
      </c>
      <c r="I4969" t="s">
        <v>40</v>
      </c>
      <c r="J4969" t="s">
        <v>33</v>
      </c>
      <c r="K4969">
        <v>1</v>
      </c>
      <c r="L4969" t="s">
        <v>34</v>
      </c>
      <c r="M4969" t="s">
        <v>61</v>
      </c>
      <c r="N4969" t="s">
        <v>23</v>
      </c>
      <c r="O4969">
        <v>41</v>
      </c>
      <c r="P4969" t="s">
        <v>25</v>
      </c>
      <c r="Q4969" t="s">
        <v>42</v>
      </c>
      <c r="R4969" s="1">
        <v>0.1</v>
      </c>
      <c r="S4969">
        <f t="shared" si="308"/>
        <v>1179.3600000000001</v>
      </c>
      <c r="T4969">
        <f>IFERROR(VLOOKUP(A4969,Table1[[Customer ID]:[Discount Amount]], 6, FALSE),"Not Found")</f>
        <v>1310.4000000000001</v>
      </c>
      <c r="U4969" t="str">
        <f t="shared" si="309"/>
        <v>Cash</v>
      </c>
      <c r="V4969" s="4" t="str">
        <f t="shared" si="310"/>
        <v>Normal</v>
      </c>
      <c r="W4969" s="4" t="str">
        <f t="shared" si="311"/>
        <v>Poor</v>
      </c>
      <c r="X4969" s="4">
        <f>AVERAGE(Table1[Purchase Amount])</f>
        <v>129.48419400000012</v>
      </c>
    </row>
    <row r="4970" spans="1:24" ht="15" customHeight="1" x14ac:dyDescent="0.25">
      <c r="A4970">
        <v>5068</v>
      </c>
      <c r="B4970">
        <v>68</v>
      </c>
      <c r="C4970" t="s">
        <v>16</v>
      </c>
      <c r="D4970" t="s">
        <v>72</v>
      </c>
      <c r="E4970" t="s">
        <v>81</v>
      </c>
      <c r="F4970" s="2">
        <v>0</v>
      </c>
      <c r="G4970" t="s">
        <v>82</v>
      </c>
      <c r="H4970" t="s">
        <v>31</v>
      </c>
      <c r="I4970" t="s">
        <v>40</v>
      </c>
      <c r="J4970" t="s">
        <v>22</v>
      </c>
      <c r="K4970">
        <v>1</v>
      </c>
      <c r="L4970" t="s">
        <v>34</v>
      </c>
      <c r="M4970" t="s">
        <v>24</v>
      </c>
      <c r="N4970" t="s">
        <v>34</v>
      </c>
      <c r="O4970">
        <v>0</v>
      </c>
      <c r="P4970" t="s">
        <v>36</v>
      </c>
      <c r="Q4970" t="s">
        <v>37</v>
      </c>
      <c r="R4970" s="1">
        <v>0.1</v>
      </c>
      <c r="S4970">
        <f t="shared" si="308"/>
        <v>0</v>
      </c>
      <c r="T4970">
        <f>IFERROR(VLOOKUP(A4970,Table1[[Customer ID]:[Discount Amount]], 6, FALSE),"Not Found")</f>
        <v>0</v>
      </c>
      <c r="U4970" t="str">
        <f t="shared" si="309"/>
        <v>Debit Card</v>
      </c>
      <c r="V4970" s="4" t="str">
        <f t="shared" si="310"/>
        <v>Normal</v>
      </c>
      <c r="W4970" s="4" t="str">
        <f t="shared" si="311"/>
        <v>Poor</v>
      </c>
      <c r="X4970" s="4">
        <f>AVERAGE(Table1[Purchase Amount])</f>
        <v>129.48419400000012</v>
      </c>
    </row>
    <row r="4971" spans="1:24" ht="15" customHeight="1" x14ac:dyDescent="0.25">
      <c r="A4971">
        <v>5069</v>
      </c>
      <c r="B4971">
        <v>25</v>
      </c>
      <c r="C4971" t="s">
        <v>27</v>
      </c>
      <c r="D4971" t="s">
        <v>72</v>
      </c>
      <c r="E4971" t="s">
        <v>81</v>
      </c>
      <c r="F4971" s="2">
        <v>0</v>
      </c>
      <c r="G4971" t="s">
        <v>101</v>
      </c>
      <c r="H4971" t="s">
        <v>31</v>
      </c>
      <c r="I4971" t="s">
        <v>74</v>
      </c>
      <c r="J4971" t="s">
        <v>22</v>
      </c>
      <c r="K4971">
        <v>4</v>
      </c>
      <c r="L4971" t="s">
        <v>23</v>
      </c>
      <c r="M4971" t="s">
        <v>24</v>
      </c>
      <c r="N4971" t="s">
        <v>23</v>
      </c>
      <c r="O4971">
        <v>0</v>
      </c>
      <c r="P4971" t="s">
        <v>53</v>
      </c>
      <c r="Q4971" t="s">
        <v>26</v>
      </c>
      <c r="R4971" s="1">
        <v>0.1</v>
      </c>
      <c r="S4971">
        <f t="shared" si="308"/>
        <v>0</v>
      </c>
      <c r="T4971">
        <f>IFERROR(VLOOKUP(A4971,Table1[[Customer ID]:[Discount Amount]], 6, FALSE),"Not Found")</f>
        <v>0</v>
      </c>
      <c r="U4971" t="str">
        <f t="shared" si="309"/>
        <v>Credit Card</v>
      </c>
      <c r="V4971" s="4" t="str">
        <f t="shared" si="310"/>
        <v>Normal</v>
      </c>
      <c r="W4971" s="4" t="str">
        <f t="shared" si="311"/>
        <v>Good</v>
      </c>
      <c r="X4971" s="4">
        <f>AVERAGE(Table1[Purchase Amount])</f>
        <v>129.48419400000012</v>
      </c>
    </row>
    <row r="4972" spans="1:24" ht="15" customHeight="1" x14ac:dyDescent="0.25">
      <c r="A4972">
        <v>5070</v>
      </c>
      <c r="B4972">
        <v>37</v>
      </c>
      <c r="C4972" t="s">
        <v>71</v>
      </c>
      <c r="D4972" t="s">
        <v>95</v>
      </c>
      <c r="E4972" t="s">
        <v>81</v>
      </c>
      <c r="F4972" s="2">
        <v>0</v>
      </c>
      <c r="G4972" t="s">
        <v>82</v>
      </c>
      <c r="H4972" t="s">
        <v>31</v>
      </c>
      <c r="I4972" t="s">
        <v>40</v>
      </c>
      <c r="J4972" t="s">
        <v>75</v>
      </c>
      <c r="K4972">
        <v>2</v>
      </c>
      <c r="L4972" t="s">
        <v>23</v>
      </c>
      <c r="M4972" t="s">
        <v>24</v>
      </c>
      <c r="N4972" t="s">
        <v>23</v>
      </c>
      <c r="O4972">
        <v>5</v>
      </c>
      <c r="P4972" t="s">
        <v>36</v>
      </c>
      <c r="Q4972" t="s">
        <v>37</v>
      </c>
      <c r="R4972" s="1">
        <v>0.1</v>
      </c>
      <c r="S4972">
        <f t="shared" si="308"/>
        <v>0</v>
      </c>
      <c r="T4972">
        <f>IFERROR(VLOOKUP(A4972,Table1[[Customer ID]:[Discount Amount]], 6, FALSE),"Not Found")</f>
        <v>0</v>
      </c>
      <c r="U4972" t="str">
        <f t="shared" si="309"/>
        <v>Debit Card</v>
      </c>
      <c r="V4972" s="4" t="str">
        <f t="shared" si="310"/>
        <v>Normal</v>
      </c>
      <c r="W4972" s="4" t="str">
        <f t="shared" si="311"/>
        <v>Poor</v>
      </c>
      <c r="X4972" s="4">
        <f>AVERAGE(Table1[Purchase Amount])</f>
        <v>129.48419400000012</v>
      </c>
    </row>
    <row r="4973" spans="1:24" ht="15" customHeight="1" x14ac:dyDescent="0.25">
      <c r="A4973">
        <v>5071</v>
      </c>
      <c r="B4973">
        <v>66</v>
      </c>
      <c r="C4973" t="s">
        <v>71</v>
      </c>
      <c r="D4973" t="s">
        <v>80</v>
      </c>
      <c r="E4973" t="s">
        <v>18</v>
      </c>
      <c r="F4973" s="2">
        <v>0</v>
      </c>
      <c r="G4973" t="s">
        <v>139</v>
      </c>
      <c r="H4973" t="s">
        <v>55</v>
      </c>
      <c r="I4973" t="s">
        <v>46</v>
      </c>
      <c r="J4973" t="s">
        <v>22</v>
      </c>
      <c r="K4973">
        <v>3</v>
      </c>
      <c r="L4973" t="s">
        <v>34</v>
      </c>
      <c r="M4973" t="s">
        <v>24</v>
      </c>
      <c r="N4973" t="s">
        <v>34</v>
      </c>
      <c r="O4973">
        <v>29</v>
      </c>
      <c r="P4973" t="s">
        <v>36</v>
      </c>
      <c r="Q4973" t="s">
        <v>42</v>
      </c>
      <c r="R4973" s="1">
        <v>0.1</v>
      </c>
      <c r="S4973">
        <f t="shared" si="308"/>
        <v>0</v>
      </c>
      <c r="T4973">
        <f>IFERROR(VLOOKUP(A4973,Table1[[Customer ID]:[Discount Amount]], 6, FALSE),"Not Found")</f>
        <v>0</v>
      </c>
      <c r="U4973" t="str">
        <f t="shared" si="309"/>
        <v>Debit Card</v>
      </c>
      <c r="V4973" s="4" t="str">
        <f t="shared" si="310"/>
        <v>Normal</v>
      </c>
      <c r="W4973" s="4" t="str">
        <f t="shared" si="311"/>
        <v>Good</v>
      </c>
      <c r="X4973" s="4">
        <f>AVERAGE(Table1[Purchase Amount])</f>
        <v>129.48419400000012</v>
      </c>
    </row>
    <row r="4974" spans="1:24" ht="15" customHeight="1" x14ac:dyDescent="0.25">
      <c r="A4974">
        <v>5072</v>
      </c>
      <c r="B4974">
        <v>28</v>
      </c>
      <c r="C4974" t="s">
        <v>16</v>
      </c>
      <c r="D4974" t="s">
        <v>38</v>
      </c>
      <c r="E4974" t="s">
        <v>29</v>
      </c>
      <c r="F4974" s="2">
        <v>0</v>
      </c>
      <c r="G4974" t="s">
        <v>126</v>
      </c>
      <c r="H4974" t="s">
        <v>45</v>
      </c>
      <c r="I4974" t="s">
        <v>46</v>
      </c>
      <c r="J4974" t="s">
        <v>22</v>
      </c>
      <c r="K4974">
        <v>4</v>
      </c>
      <c r="L4974" t="s">
        <v>23</v>
      </c>
      <c r="M4974" t="s">
        <v>24</v>
      </c>
      <c r="N4974" t="s">
        <v>23</v>
      </c>
      <c r="O4974">
        <v>29</v>
      </c>
      <c r="P4974" t="s">
        <v>25</v>
      </c>
      <c r="Q4974" t="s">
        <v>37</v>
      </c>
      <c r="R4974" s="1">
        <v>0.1</v>
      </c>
      <c r="S4974">
        <f t="shared" si="308"/>
        <v>0</v>
      </c>
      <c r="T4974">
        <f>IFERROR(VLOOKUP(A4974,Table1[[Customer ID]:[Discount Amount]], 6, FALSE),"Not Found")</f>
        <v>0</v>
      </c>
      <c r="U4974" t="str">
        <f t="shared" si="309"/>
        <v>Cash</v>
      </c>
      <c r="V4974" s="4" t="str">
        <f t="shared" si="310"/>
        <v>Normal</v>
      </c>
      <c r="W4974" s="4" t="str">
        <f t="shared" si="311"/>
        <v>Good</v>
      </c>
      <c r="X4974" s="4">
        <f>AVERAGE(Table1[Purchase Amount])</f>
        <v>129.48419400000012</v>
      </c>
    </row>
    <row r="4975" spans="1:24" ht="15" customHeight="1" x14ac:dyDescent="0.25">
      <c r="A4975">
        <v>5073</v>
      </c>
      <c r="B4975">
        <v>34</v>
      </c>
      <c r="C4975" t="s">
        <v>16</v>
      </c>
      <c r="D4975" t="s">
        <v>112</v>
      </c>
      <c r="E4975" t="s">
        <v>81</v>
      </c>
      <c r="F4975" s="2">
        <v>0</v>
      </c>
      <c r="G4975" t="s">
        <v>101</v>
      </c>
      <c r="H4975" t="s">
        <v>31</v>
      </c>
      <c r="I4975" t="s">
        <v>74</v>
      </c>
      <c r="J4975" t="s">
        <v>75</v>
      </c>
      <c r="K4975">
        <v>1</v>
      </c>
      <c r="L4975" t="s">
        <v>34</v>
      </c>
      <c r="M4975" t="s">
        <v>24</v>
      </c>
      <c r="N4975" t="s">
        <v>23</v>
      </c>
      <c r="O4975">
        <v>0</v>
      </c>
      <c r="P4975" t="s">
        <v>58</v>
      </c>
      <c r="Q4975" t="s">
        <v>42</v>
      </c>
      <c r="R4975" s="1">
        <v>0.1</v>
      </c>
      <c r="S4975">
        <f t="shared" si="308"/>
        <v>0</v>
      </c>
      <c r="T4975">
        <f>IFERROR(VLOOKUP(A4975,Table1[[Customer ID]:[Discount Amount]], 6, FALSE),"Not Found")</f>
        <v>0</v>
      </c>
      <c r="U4975" t="str">
        <f t="shared" si="309"/>
        <v>PayPal</v>
      </c>
      <c r="V4975" s="4" t="str">
        <f t="shared" si="310"/>
        <v>Normal</v>
      </c>
      <c r="W4975" s="4" t="str">
        <f t="shared" si="311"/>
        <v>Poor</v>
      </c>
      <c r="X4975" s="4">
        <f>AVERAGE(Table1[Purchase Amount])</f>
        <v>129.48419400000012</v>
      </c>
    </row>
    <row r="4976" spans="1:24" ht="15" customHeight="1" x14ac:dyDescent="0.25">
      <c r="A4976">
        <v>5074</v>
      </c>
      <c r="B4976">
        <v>24</v>
      </c>
      <c r="C4976" t="s">
        <v>71</v>
      </c>
      <c r="D4976" t="s">
        <v>80</v>
      </c>
      <c r="E4976" t="s">
        <v>29</v>
      </c>
      <c r="F4976" s="2">
        <v>275.67</v>
      </c>
      <c r="G4976" t="s">
        <v>139</v>
      </c>
      <c r="H4976" t="s">
        <v>45</v>
      </c>
      <c r="I4976" t="s">
        <v>32</v>
      </c>
      <c r="J4976" t="s">
        <v>22</v>
      </c>
      <c r="K4976">
        <v>1</v>
      </c>
      <c r="L4976" t="s">
        <v>34</v>
      </c>
      <c r="M4976" t="s">
        <v>24</v>
      </c>
      <c r="N4976" t="s">
        <v>23</v>
      </c>
      <c r="O4976">
        <v>0</v>
      </c>
      <c r="P4976" t="s">
        <v>25</v>
      </c>
      <c r="Q4976" t="s">
        <v>26</v>
      </c>
      <c r="R4976" s="1">
        <v>0.1</v>
      </c>
      <c r="S4976">
        <f t="shared" si="308"/>
        <v>248.10300000000001</v>
      </c>
      <c r="T4976">
        <f>IFERROR(VLOOKUP(A4976,Table1[[Customer ID]:[Discount Amount]], 6, FALSE),"Not Found")</f>
        <v>275.67</v>
      </c>
      <c r="U4976" t="str">
        <f t="shared" si="309"/>
        <v>Cash</v>
      </c>
      <c r="V4976" s="4" t="str">
        <f t="shared" si="310"/>
        <v>Normal</v>
      </c>
      <c r="W4976" s="4" t="str">
        <f t="shared" si="311"/>
        <v>Poor</v>
      </c>
      <c r="X4976" s="4">
        <f>AVERAGE(Table1[Purchase Amount])</f>
        <v>129.48419400000012</v>
      </c>
    </row>
    <row r="4977" spans="1:24" ht="15" customHeight="1" x14ac:dyDescent="0.25">
      <c r="A4977">
        <v>5075</v>
      </c>
      <c r="B4977">
        <v>69</v>
      </c>
      <c r="C4977" t="s">
        <v>27</v>
      </c>
      <c r="D4977" t="s">
        <v>117</v>
      </c>
      <c r="E4977" t="s">
        <v>29</v>
      </c>
      <c r="F4977" s="2">
        <v>377.18</v>
      </c>
      <c r="G4977" t="s">
        <v>101</v>
      </c>
      <c r="H4977" t="s">
        <v>31</v>
      </c>
      <c r="I4977" t="s">
        <v>40</v>
      </c>
      <c r="J4977" t="s">
        <v>33</v>
      </c>
      <c r="K4977">
        <v>3</v>
      </c>
      <c r="L4977" t="s">
        <v>23</v>
      </c>
      <c r="M4977" t="s">
        <v>24</v>
      </c>
      <c r="N4977" t="s">
        <v>23</v>
      </c>
      <c r="O4977">
        <v>35</v>
      </c>
      <c r="P4977" t="s">
        <v>53</v>
      </c>
      <c r="Q4977" t="s">
        <v>42</v>
      </c>
      <c r="R4977" s="1">
        <v>0.1</v>
      </c>
      <c r="S4977">
        <f t="shared" si="308"/>
        <v>339.46199999999999</v>
      </c>
      <c r="T4977">
        <f>IFERROR(VLOOKUP(A4977,Table1[[Customer ID]:[Discount Amount]], 6, FALSE),"Not Found")</f>
        <v>377.18</v>
      </c>
      <c r="U4977" t="str">
        <f t="shared" si="309"/>
        <v>Credit Card</v>
      </c>
      <c r="V4977" s="4" t="str">
        <f t="shared" si="310"/>
        <v>Normal</v>
      </c>
      <c r="W4977" s="4" t="str">
        <f t="shared" si="311"/>
        <v>Good</v>
      </c>
      <c r="X4977" s="4">
        <f>AVERAGE(Table1[Purchase Amount])</f>
        <v>129.48419400000012</v>
      </c>
    </row>
    <row r="4978" spans="1:24" ht="15" customHeight="1" x14ac:dyDescent="0.25">
      <c r="A4978">
        <v>5076</v>
      </c>
      <c r="B4978">
        <v>53</v>
      </c>
      <c r="C4978" t="s">
        <v>27</v>
      </c>
      <c r="D4978" t="s">
        <v>112</v>
      </c>
      <c r="E4978" t="s">
        <v>18</v>
      </c>
      <c r="F4978" s="2">
        <v>12.41</v>
      </c>
      <c r="G4978" t="s">
        <v>82</v>
      </c>
      <c r="H4978" t="s">
        <v>31</v>
      </c>
      <c r="I4978" t="s">
        <v>32</v>
      </c>
      <c r="J4978" t="s">
        <v>57</v>
      </c>
      <c r="K4978">
        <v>5</v>
      </c>
      <c r="L4978" t="s">
        <v>23</v>
      </c>
      <c r="M4978" t="s">
        <v>24</v>
      </c>
      <c r="N4978" t="s">
        <v>34</v>
      </c>
      <c r="O4978">
        <v>50</v>
      </c>
      <c r="P4978" t="s">
        <v>53</v>
      </c>
      <c r="Q4978" t="s">
        <v>42</v>
      </c>
      <c r="R4978" s="1">
        <v>0.1</v>
      </c>
      <c r="S4978">
        <f t="shared" si="308"/>
        <v>11.169</v>
      </c>
      <c r="T4978">
        <f>IFERROR(VLOOKUP(A4978,Table1[[Customer ID]:[Discount Amount]], 6, FALSE),"Not Found")</f>
        <v>12.41</v>
      </c>
      <c r="U4978" t="str">
        <f t="shared" si="309"/>
        <v>Credit Card</v>
      </c>
      <c r="V4978" s="4" t="str">
        <f t="shared" si="310"/>
        <v>Normal</v>
      </c>
      <c r="W4978" s="4" t="str">
        <f t="shared" si="311"/>
        <v>Good</v>
      </c>
      <c r="X4978" s="4">
        <f>AVERAGE(Table1[Purchase Amount])</f>
        <v>129.48419400000012</v>
      </c>
    </row>
    <row r="4979" spans="1:24" ht="15" customHeight="1" x14ac:dyDescent="0.25">
      <c r="A4979">
        <v>5077</v>
      </c>
      <c r="B4979">
        <v>34</v>
      </c>
      <c r="C4979" t="s">
        <v>71</v>
      </c>
      <c r="D4979" t="s">
        <v>95</v>
      </c>
      <c r="E4979" t="s">
        <v>29</v>
      </c>
      <c r="F4979" s="2">
        <v>1352.9</v>
      </c>
      <c r="G4979" t="s">
        <v>126</v>
      </c>
      <c r="H4979" t="s">
        <v>45</v>
      </c>
      <c r="I4979" t="s">
        <v>93</v>
      </c>
      <c r="J4979" t="s">
        <v>75</v>
      </c>
      <c r="K4979">
        <v>1</v>
      </c>
      <c r="L4979" t="s">
        <v>34</v>
      </c>
      <c r="M4979" t="s">
        <v>61</v>
      </c>
      <c r="N4979" t="s">
        <v>34</v>
      </c>
      <c r="O4979">
        <v>39</v>
      </c>
      <c r="P4979" t="s">
        <v>36</v>
      </c>
      <c r="Q4979" t="s">
        <v>37</v>
      </c>
      <c r="R4979" s="1">
        <v>0.1</v>
      </c>
      <c r="S4979">
        <f t="shared" si="308"/>
        <v>1217.6100000000001</v>
      </c>
      <c r="T4979">
        <f>IFERROR(VLOOKUP(A4979,Table1[[Customer ID]:[Discount Amount]], 6, FALSE),"Not Found")</f>
        <v>1352.9</v>
      </c>
      <c r="U4979" t="str">
        <f t="shared" si="309"/>
        <v>Debit Card</v>
      </c>
      <c r="V4979" s="4" t="str">
        <f t="shared" si="310"/>
        <v>Normal</v>
      </c>
      <c r="W4979" s="4" t="str">
        <f t="shared" si="311"/>
        <v>Poor</v>
      </c>
      <c r="X4979" s="4">
        <f>AVERAGE(Table1[Purchase Amount])</f>
        <v>129.48419400000012</v>
      </c>
    </row>
    <row r="4980" spans="1:24" ht="15" customHeight="1" x14ac:dyDescent="0.25">
      <c r="A4980">
        <v>5078</v>
      </c>
      <c r="B4980">
        <v>62</v>
      </c>
      <c r="C4980" t="s">
        <v>27</v>
      </c>
      <c r="D4980" t="s">
        <v>116</v>
      </c>
      <c r="E4980" t="s">
        <v>18</v>
      </c>
      <c r="F4980" s="2">
        <v>0</v>
      </c>
      <c r="G4980" t="s">
        <v>139</v>
      </c>
      <c r="H4980" t="s">
        <v>55</v>
      </c>
      <c r="I4980" t="s">
        <v>40</v>
      </c>
      <c r="J4980" t="s">
        <v>57</v>
      </c>
      <c r="K4980">
        <v>1</v>
      </c>
      <c r="L4980" t="s">
        <v>23</v>
      </c>
      <c r="M4980" t="s">
        <v>24</v>
      </c>
      <c r="N4980" t="s">
        <v>23</v>
      </c>
      <c r="O4980">
        <v>0</v>
      </c>
      <c r="P4980" t="s">
        <v>53</v>
      </c>
      <c r="Q4980" t="s">
        <v>37</v>
      </c>
      <c r="R4980" s="1">
        <v>0.1</v>
      </c>
      <c r="S4980">
        <f t="shared" si="308"/>
        <v>0</v>
      </c>
      <c r="T4980">
        <f>IFERROR(VLOOKUP(A4980,Table1[[Customer ID]:[Discount Amount]], 6, FALSE),"Not Found")</f>
        <v>0</v>
      </c>
      <c r="U4980" t="str">
        <f t="shared" si="309"/>
        <v>Credit Card</v>
      </c>
      <c r="V4980" s="4" t="str">
        <f t="shared" si="310"/>
        <v>Normal</v>
      </c>
      <c r="W4980" s="4" t="str">
        <f t="shared" si="311"/>
        <v>Poor</v>
      </c>
      <c r="X4980" s="4">
        <f>AVERAGE(Table1[Purchase Amount])</f>
        <v>129.48419400000012</v>
      </c>
    </row>
    <row r="4981" spans="1:24" ht="15" customHeight="1" x14ac:dyDescent="0.25">
      <c r="A4981">
        <v>5079</v>
      </c>
      <c r="B4981">
        <v>60</v>
      </c>
      <c r="C4981" t="s">
        <v>16</v>
      </c>
      <c r="D4981" t="s">
        <v>72</v>
      </c>
      <c r="E4981" t="s">
        <v>29</v>
      </c>
      <c r="F4981" s="2">
        <v>0</v>
      </c>
      <c r="G4981" t="s">
        <v>101</v>
      </c>
      <c r="H4981" t="s">
        <v>31</v>
      </c>
      <c r="I4981" t="s">
        <v>40</v>
      </c>
      <c r="J4981" t="s">
        <v>33</v>
      </c>
      <c r="K4981">
        <v>1</v>
      </c>
      <c r="L4981" t="s">
        <v>34</v>
      </c>
      <c r="M4981" t="s">
        <v>61</v>
      </c>
      <c r="N4981" t="s">
        <v>23</v>
      </c>
      <c r="O4981">
        <v>0</v>
      </c>
      <c r="P4981" t="s">
        <v>53</v>
      </c>
      <c r="Q4981" t="s">
        <v>37</v>
      </c>
      <c r="R4981" s="1">
        <v>0.1</v>
      </c>
      <c r="S4981">
        <f t="shared" si="308"/>
        <v>0</v>
      </c>
      <c r="T4981">
        <f>IFERROR(VLOOKUP(A4981,Table1[[Customer ID]:[Discount Amount]], 6, FALSE),"Not Found")</f>
        <v>0</v>
      </c>
      <c r="U4981" t="str">
        <f t="shared" si="309"/>
        <v>Credit Card</v>
      </c>
      <c r="V4981" s="4" t="str">
        <f t="shared" si="310"/>
        <v>Normal</v>
      </c>
      <c r="W4981" s="4" t="str">
        <f t="shared" si="311"/>
        <v>Poor</v>
      </c>
      <c r="X4981" s="4">
        <f>AVERAGE(Table1[Purchase Amount])</f>
        <v>129.48419400000012</v>
      </c>
    </row>
    <row r="4982" spans="1:24" ht="15" customHeight="1" x14ac:dyDescent="0.25">
      <c r="A4982">
        <v>5080</v>
      </c>
      <c r="B4982">
        <v>63</v>
      </c>
      <c r="C4982" t="s">
        <v>27</v>
      </c>
      <c r="D4982" t="s">
        <v>38</v>
      </c>
      <c r="E4982" t="s">
        <v>81</v>
      </c>
      <c r="F4982" s="2">
        <v>0</v>
      </c>
      <c r="G4982" t="s">
        <v>139</v>
      </c>
      <c r="H4982" t="s">
        <v>31</v>
      </c>
      <c r="I4982" t="s">
        <v>40</v>
      </c>
      <c r="J4982" t="s">
        <v>57</v>
      </c>
      <c r="K4982">
        <v>1</v>
      </c>
      <c r="L4982" t="s">
        <v>34</v>
      </c>
      <c r="M4982" t="s">
        <v>61</v>
      </c>
      <c r="N4982" t="s">
        <v>23</v>
      </c>
      <c r="O4982">
        <v>0</v>
      </c>
      <c r="P4982" t="s">
        <v>36</v>
      </c>
      <c r="Q4982" t="s">
        <v>42</v>
      </c>
      <c r="R4982" s="1">
        <v>0.1</v>
      </c>
      <c r="S4982">
        <f t="shared" si="308"/>
        <v>0</v>
      </c>
      <c r="T4982">
        <f>IFERROR(VLOOKUP(A4982,Table1[[Customer ID]:[Discount Amount]], 6, FALSE),"Not Found")</f>
        <v>0</v>
      </c>
      <c r="U4982" t="str">
        <f t="shared" si="309"/>
        <v>Debit Card</v>
      </c>
      <c r="V4982" s="4" t="str">
        <f t="shared" si="310"/>
        <v>Normal</v>
      </c>
      <c r="W4982" s="4" t="str">
        <f t="shared" si="311"/>
        <v>Poor</v>
      </c>
      <c r="X4982" s="4">
        <f>AVERAGE(Table1[Purchase Amount])</f>
        <v>129.48419400000012</v>
      </c>
    </row>
    <row r="4983" spans="1:24" ht="15" customHeight="1" x14ac:dyDescent="0.25">
      <c r="A4983">
        <v>5081</v>
      </c>
      <c r="B4983">
        <v>37</v>
      </c>
      <c r="C4983" t="s">
        <v>71</v>
      </c>
      <c r="D4983" t="s">
        <v>112</v>
      </c>
      <c r="E4983" t="s">
        <v>81</v>
      </c>
      <c r="F4983" s="2">
        <v>1103.56</v>
      </c>
      <c r="G4983" t="s">
        <v>73</v>
      </c>
      <c r="H4983" t="s">
        <v>31</v>
      </c>
      <c r="I4983" t="s">
        <v>93</v>
      </c>
      <c r="J4983" t="s">
        <v>75</v>
      </c>
      <c r="K4983">
        <v>3</v>
      </c>
      <c r="L4983" t="s">
        <v>23</v>
      </c>
      <c r="M4983" t="s">
        <v>24</v>
      </c>
      <c r="N4983" t="s">
        <v>23</v>
      </c>
      <c r="O4983">
        <v>17</v>
      </c>
      <c r="P4983" t="s">
        <v>36</v>
      </c>
      <c r="Q4983" t="s">
        <v>26</v>
      </c>
      <c r="R4983" s="1">
        <v>0.1</v>
      </c>
      <c r="S4983">
        <f t="shared" si="308"/>
        <v>993.20399999999995</v>
      </c>
      <c r="T4983">
        <f>IFERROR(VLOOKUP(A4983,Table1[[Customer ID]:[Discount Amount]], 6, FALSE),"Not Found")</f>
        <v>1103.56</v>
      </c>
      <c r="U4983" t="str">
        <f t="shared" si="309"/>
        <v>Debit Card</v>
      </c>
      <c r="V4983" s="4" t="str">
        <f t="shared" si="310"/>
        <v>Normal</v>
      </c>
      <c r="W4983" s="4" t="str">
        <f t="shared" si="311"/>
        <v>Good</v>
      </c>
      <c r="X4983" s="4">
        <f>AVERAGE(Table1[Purchase Amount])</f>
        <v>129.48419400000012</v>
      </c>
    </row>
    <row r="4984" spans="1:24" ht="15" customHeight="1" x14ac:dyDescent="0.25">
      <c r="A4984">
        <v>5082</v>
      </c>
      <c r="B4984">
        <v>56</v>
      </c>
      <c r="C4984" t="s">
        <v>16</v>
      </c>
      <c r="D4984" t="s">
        <v>116</v>
      </c>
      <c r="E4984" t="s">
        <v>29</v>
      </c>
      <c r="F4984" s="2">
        <v>1186.98</v>
      </c>
      <c r="G4984" t="s">
        <v>139</v>
      </c>
      <c r="H4984" t="s">
        <v>31</v>
      </c>
      <c r="I4984" t="s">
        <v>40</v>
      </c>
      <c r="J4984" t="s">
        <v>75</v>
      </c>
      <c r="K4984">
        <v>1</v>
      </c>
      <c r="L4984" t="s">
        <v>34</v>
      </c>
      <c r="M4984" t="s">
        <v>24</v>
      </c>
      <c r="N4984" t="s">
        <v>23</v>
      </c>
      <c r="O4984">
        <v>0</v>
      </c>
      <c r="P4984" t="s">
        <v>53</v>
      </c>
      <c r="Q4984" t="s">
        <v>26</v>
      </c>
      <c r="R4984" s="1">
        <v>0.1</v>
      </c>
      <c r="S4984">
        <f t="shared" si="308"/>
        <v>1068.2819999999999</v>
      </c>
      <c r="T4984">
        <f>IFERROR(VLOOKUP(A4984,Table1[[Customer ID]:[Discount Amount]], 6, FALSE),"Not Found")</f>
        <v>1186.98</v>
      </c>
      <c r="U4984" t="str">
        <f t="shared" si="309"/>
        <v>Credit Card</v>
      </c>
      <c r="V4984" s="4" t="str">
        <f t="shared" si="310"/>
        <v>Normal</v>
      </c>
      <c r="W4984" s="4" t="str">
        <f t="shared" si="311"/>
        <v>Poor</v>
      </c>
      <c r="X4984" s="4">
        <f>AVERAGE(Table1[Purchase Amount])</f>
        <v>129.48419400000012</v>
      </c>
    </row>
    <row r="4985" spans="1:24" ht="15" customHeight="1" x14ac:dyDescent="0.25">
      <c r="A4985">
        <v>5083</v>
      </c>
      <c r="B4985">
        <v>42</v>
      </c>
      <c r="C4985" t="s">
        <v>71</v>
      </c>
      <c r="D4985" t="s">
        <v>72</v>
      </c>
      <c r="E4985" t="s">
        <v>81</v>
      </c>
      <c r="F4985" s="2">
        <v>758.1</v>
      </c>
      <c r="G4985" t="s">
        <v>126</v>
      </c>
      <c r="H4985" t="s">
        <v>31</v>
      </c>
      <c r="I4985" t="s">
        <v>32</v>
      </c>
      <c r="J4985" t="s">
        <v>75</v>
      </c>
      <c r="K4985">
        <v>1</v>
      </c>
      <c r="L4985" t="s">
        <v>23</v>
      </c>
      <c r="M4985" t="s">
        <v>24</v>
      </c>
      <c r="N4985" t="s">
        <v>23</v>
      </c>
      <c r="O4985">
        <v>48</v>
      </c>
      <c r="P4985" t="s">
        <v>58</v>
      </c>
      <c r="Q4985" t="s">
        <v>37</v>
      </c>
      <c r="R4985" s="1">
        <v>0.1</v>
      </c>
      <c r="S4985">
        <f t="shared" si="308"/>
        <v>682.29</v>
      </c>
      <c r="T4985">
        <f>IFERROR(VLOOKUP(A4985,Table1[[Customer ID]:[Discount Amount]], 6, FALSE),"Not Found")</f>
        <v>758.1</v>
      </c>
      <c r="U4985" t="str">
        <f t="shared" si="309"/>
        <v>PayPal</v>
      </c>
      <c r="V4985" s="4" t="str">
        <f t="shared" si="310"/>
        <v>Normal</v>
      </c>
      <c r="W4985" s="4" t="str">
        <f t="shared" si="311"/>
        <v>Poor</v>
      </c>
      <c r="X4985" s="4">
        <f>AVERAGE(Table1[Purchase Amount])</f>
        <v>129.48419400000012</v>
      </c>
    </row>
    <row r="4986" spans="1:24" ht="15" customHeight="1" x14ac:dyDescent="0.25">
      <c r="A4986">
        <v>5084</v>
      </c>
      <c r="B4986">
        <v>53</v>
      </c>
      <c r="C4986" t="s">
        <v>27</v>
      </c>
      <c r="D4986" t="s">
        <v>95</v>
      </c>
      <c r="E4986" t="s">
        <v>81</v>
      </c>
      <c r="F4986" s="2">
        <v>0</v>
      </c>
      <c r="G4986" t="s">
        <v>126</v>
      </c>
      <c r="H4986" t="s">
        <v>31</v>
      </c>
      <c r="I4986" t="s">
        <v>74</v>
      </c>
      <c r="J4986" t="s">
        <v>33</v>
      </c>
      <c r="K4986">
        <v>1</v>
      </c>
      <c r="L4986" t="s">
        <v>23</v>
      </c>
      <c r="M4986" t="s">
        <v>61</v>
      </c>
      <c r="N4986" t="s">
        <v>23</v>
      </c>
      <c r="O4986">
        <v>0</v>
      </c>
      <c r="P4986" t="s">
        <v>36</v>
      </c>
      <c r="Q4986" t="s">
        <v>37</v>
      </c>
      <c r="R4986" s="1">
        <v>0.1</v>
      </c>
      <c r="S4986">
        <f t="shared" si="308"/>
        <v>0</v>
      </c>
      <c r="T4986">
        <f>IFERROR(VLOOKUP(A4986,Table1[[Customer ID]:[Discount Amount]], 6, FALSE),"Not Found")</f>
        <v>0</v>
      </c>
      <c r="U4986" t="str">
        <f t="shared" si="309"/>
        <v>Debit Card</v>
      </c>
      <c r="V4986" s="4" t="str">
        <f t="shared" si="310"/>
        <v>Normal</v>
      </c>
      <c r="W4986" s="4" t="str">
        <f t="shared" si="311"/>
        <v>Poor</v>
      </c>
      <c r="X4986" s="4">
        <f>AVERAGE(Table1[Purchase Amount])</f>
        <v>129.48419400000012</v>
      </c>
    </row>
    <row r="4987" spans="1:24" ht="15" customHeight="1" x14ac:dyDescent="0.25">
      <c r="A4987">
        <v>5085</v>
      </c>
      <c r="B4987">
        <v>36</v>
      </c>
      <c r="C4987" t="s">
        <v>71</v>
      </c>
      <c r="D4987" t="s">
        <v>112</v>
      </c>
      <c r="E4987" t="s">
        <v>29</v>
      </c>
      <c r="F4987" s="2">
        <v>0</v>
      </c>
      <c r="G4987" t="s">
        <v>101</v>
      </c>
      <c r="H4987" t="s">
        <v>55</v>
      </c>
      <c r="I4987" t="s">
        <v>74</v>
      </c>
      <c r="J4987" t="s">
        <v>57</v>
      </c>
      <c r="K4987">
        <v>1</v>
      </c>
      <c r="L4987" t="s">
        <v>34</v>
      </c>
      <c r="M4987" t="s">
        <v>24</v>
      </c>
      <c r="N4987" t="s">
        <v>34</v>
      </c>
      <c r="O4987">
        <v>0</v>
      </c>
      <c r="P4987" t="s">
        <v>58</v>
      </c>
      <c r="Q4987" t="s">
        <v>42</v>
      </c>
      <c r="R4987" s="1">
        <v>0.1</v>
      </c>
      <c r="S4987">
        <f t="shared" si="308"/>
        <v>0</v>
      </c>
      <c r="T4987">
        <f>IFERROR(VLOOKUP(A4987,Table1[[Customer ID]:[Discount Amount]], 6, FALSE),"Not Found")</f>
        <v>0</v>
      </c>
      <c r="U4987" t="str">
        <f t="shared" si="309"/>
        <v>PayPal</v>
      </c>
      <c r="V4987" s="4" t="str">
        <f t="shared" si="310"/>
        <v>Normal</v>
      </c>
      <c r="W4987" s="4" t="str">
        <f t="shared" si="311"/>
        <v>Poor</v>
      </c>
      <c r="X4987" s="4">
        <f>AVERAGE(Table1[Purchase Amount])</f>
        <v>129.48419400000012</v>
      </c>
    </row>
    <row r="4988" spans="1:24" ht="15" customHeight="1" x14ac:dyDescent="0.25">
      <c r="A4988">
        <v>5086</v>
      </c>
      <c r="B4988">
        <v>22</v>
      </c>
      <c r="C4988" t="s">
        <v>27</v>
      </c>
      <c r="D4988" t="s">
        <v>112</v>
      </c>
      <c r="E4988" t="s">
        <v>29</v>
      </c>
      <c r="F4988" s="2">
        <v>1156.06</v>
      </c>
      <c r="G4988" t="s">
        <v>101</v>
      </c>
      <c r="H4988" t="s">
        <v>45</v>
      </c>
      <c r="I4988" t="s">
        <v>74</v>
      </c>
      <c r="J4988" t="s">
        <v>22</v>
      </c>
      <c r="K4988">
        <v>3</v>
      </c>
      <c r="L4988" t="s">
        <v>23</v>
      </c>
      <c r="M4988" t="s">
        <v>24</v>
      </c>
      <c r="N4988" t="s">
        <v>23</v>
      </c>
      <c r="O4988">
        <v>18</v>
      </c>
      <c r="P4988" t="s">
        <v>25</v>
      </c>
      <c r="Q4988" t="s">
        <v>26</v>
      </c>
      <c r="R4988" s="1">
        <v>0.1</v>
      </c>
      <c r="S4988">
        <f t="shared" si="308"/>
        <v>1040.454</v>
      </c>
      <c r="T4988">
        <f>IFERROR(VLOOKUP(A4988,Table1[[Customer ID]:[Discount Amount]], 6, FALSE),"Not Found")</f>
        <v>1156.06</v>
      </c>
      <c r="U4988" t="str">
        <f t="shared" si="309"/>
        <v>Cash</v>
      </c>
      <c r="V4988" s="4" t="str">
        <f t="shared" si="310"/>
        <v>Normal</v>
      </c>
      <c r="W4988" s="4" t="str">
        <f t="shared" si="311"/>
        <v>Good</v>
      </c>
      <c r="X4988" s="4">
        <f>AVERAGE(Table1[Purchase Amount])</f>
        <v>129.48419400000012</v>
      </c>
    </row>
    <row r="4989" spans="1:24" ht="15" customHeight="1" x14ac:dyDescent="0.25">
      <c r="A4989">
        <v>5087</v>
      </c>
      <c r="B4989">
        <v>41</v>
      </c>
      <c r="C4989" t="s">
        <v>71</v>
      </c>
      <c r="D4989" t="s">
        <v>117</v>
      </c>
      <c r="E4989" t="s">
        <v>29</v>
      </c>
      <c r="F4989" s="2">
        <v>889.78</v>
      </c>
      <c r="G4989" t="s">
        <v>101</v>
      </c>
      <c r="H4989" t="s">
        <v>55</v>
      </c>
      <c r="I4989" t="s">
        <v>93</v>
      </c>
      <c r="J4989" t="s">
        <v>57</v>
      </c>
      <c r="K4989">
        <v>3</v>
      </c>
      <c r="L4989" t="s">
        <v>23</v>
      </c>
      <c r="M4989" t="s">
        <v>24</v>
      </c>
      <c r="N4989" t="s">
        <v>34</v>
      </c>
      <c r="O4989">
        <v>4</v>
      </c>
      <c r="P4989" t="s">
        <v>36</v>
      </c>
      <c r="Q4989" t="s">
        <v>42</v>
      </c>
      <c r="R4989" s="1">
        <v>0.1</v>
      </c>
      <c r="S4989">
        <f t="shared" si="308"/>
        <v>800.80199999999991</v>
      </c>
      <c r="T4989">
        <f>IFERROR(VLOOKUP(A4989,Table1[[Customer ID]:[Discount Amount]], 6, FALSE),"Not Found")</f>
        <v>889.78</v>
      </c>
      <c r="U4989" t="str">
        <f t="shared" si="309"/>
        <v>Debit Card</v>
      </c>
      <c r="V4989" s="4" t="str">
        <f t="shared" si="310"/>
        <v>Normal</v>
      </c>
      <c r="W4989" s="4" t="str">
        <f t="shared" si="311"/>
        <v>Good</v>
      </c>
      <c r="X4989" s="4">
        <f>AVERAGE(Table1[Purchase Amount])</f>
        <v>129.48419400000012</v>
      </c>
    </row>
    <row r="4990" spans="1:24" ht="15" customHeight="1" x14ac:dyDescent="0.25">
      <c r="A4990">
        <v>5088</v>
      </c>
      <c r="B4990">
        <v>57</v>
      </c>
      <c r="C4990" t="s">
        <v>71</v>
      </c>
      <c r="D4990" t="s">
        <v>117</v>
      </c>
      <c r="E4990" t="s">
        <v>29</v>
      </c>
      <c r="F4990" s="2">
        <v>0</v>
      </c>
      <c r="G4990" t="s">
        <v>82</v>
      </c>
      <c r="H4990" t="s">
        <v>45</v>
      </c>
      <c r="I4990" t="s">
        <v>46</v>
      </c>
      <c r="J4990" t="s">
        <v>57</v>
      </c>
      <c r="K4990">
        <v>1</v>
      </c>
      <c r="L4990" t="s">
        <v>23</v>
      </c>
      <c r="M4990" t="s">
        <v>61</v>
      </c>
      <c r="N4990" t="s">
        <v>34</v>
      </c>
      <c r="O4990">
        <v>11</v>
      </c>
      <c r="P4990" t="s">
        <v>58</v>
      </c>
      <c r="Q4990" t="s">
        <v>42</v>
      </c>
      <c r="R4990" s="1">
        <v>0.1</v>
      </c>
      <c r="S4990">
        <f t="shared" si="308"/>
        <v>0</v>
      </c>
      <c r="T4990">
        <f>IFERROR(VLOOKUP(A4990,Table1[[Customer ID]:[Discount Amount]], 6, FALSE),"Not Found")</f>
        <v>0</v>
      </c>
      <c r="U4990" t="str">
        <f t="shared" si="309"/>
        <v>PayPal</v>
      </c>
      <c r="V4990" s="4" t="str">
        <f t="shared" si="310"/>
        <v>Normal</v>
      </c>
      <c r="W4990" s="4" t="str">
        <f t="shared" si="311"/>
        <v>Poor</v>
      </c>
      <c r="X4990" s="4">
        <f>AVERAGE(Table1[Purchase Amount])</f>
        <v>129.48419400000012</v>
      </c>
    </row>
    <row r="4991" spans="1:24" ht="15" customHeight="1" x14ac:dyDescent="0.25">
      <c r="A4991">
        <v>5089</v>
      </c>
      <c r="B4991">
        <v>68</v>
      </c>
      <c r="C4991" t="s">
        <v>71</v>
      </c>
      <c r="D4991" t="s">
        <v>72</v>
      </c>
      <c r="E4991" t="s">
        <v>18</v>
      </c>
      <c r="F4991" s="2">
        <v>859.84</v>
      </c>
      <c r="G4991" t="s">
        <v>139</v>
      </c>
      <c r="H4991" t="s">
        <v>31</v>
      </c>
      <c r="I4991" t="s">
        <v>32</v>
      </c>
      <c r="J4991" t="s">
        <v>57</v>
      </c>
      <c r="K4991">
        <v>1</v>
      </c>
      <c r="L4991" t="s">
        <v>34</v>
      </c>
      <c r="M4991" t="s">
        <v>61</v>
      </c>
      <c r="N4991" t="s">
        <v>23</v>
      </c>
      <c r="O4991">
        <v>46</v>
      </c>
      <c r="P4991" t="s">
        <v>58</v>
      </c>
      <c r="Q4991" t="s">
        <v>42</v>
      </c>
      <c r="R4991" s="1">
        <v>0.1</v>
      </c>
      <c r="S4991">
        <f t="shared" si="308"/>
        <v>773.85599999999999</v>
      </c>
      <c r="T4991">
        <f>IFERROR(VLOOKUP(A4991,Table1[[Customer ID]:[Discount Amount]], 6, FALSE),"Not Found")</f>
        <v>859.84</v>
      </c>
      <c r="U4991" t="str">
        <f t="shared" si="309"/>
        <v>PayPal</v>
      </c>
      <c r="V4991" s="4" t="str">
        <f t="shared" si="310"/>
        <v>Normal</v>
      </c>
      <c r="W4991" s="4" t="str">
        <f t="shared" si="311"/>
        <v>Poor</v>
      </c>
      <c r="X4991" s="4">
        <f>AVERAGE(Table1[Purchase Amount])</f>
        <v>129.48419400000012</v>
      </c>
    </row>
    <row r="4992" spans="1:24" ht="15" customHeight="1" x14ac:dyDescent="0.25">
      <c r="A4992">
        <v>5090</v>
      </c>
      <c r="B4992">
        <v>65</v>
      </c>
      <c r="C4992" t="s">
        <v>71</v>
      </c>
      <c r="D4992" t="s">
        <v>38</v>
      </c>
      <c r="E4992" t="s">
        <v>81</v>
      </c>
      <c r="F4992" s="2">
        <v>0</v>
      </c>
      <c r="G4992" t="s">
        <v>82</v>
      </c>
      <c r="H4992" t="s">
        <v>31</v>
      </c>
      <c r="I4992" t="s">
        <v>74</v>
      </c>
      <c r="J4992" t="s">
        <v>22</v>
      </c>
      <c r="K4992">
        <v>2</v>
      </c>
      <c r="L4992" t="s">
        <v>23</v>
      </c>
      <c r="M4992" t="s">
        <v>61</v>
      </c>
      <c r="N4992" t="s">
        <v>34</v>
      </c>
      <c r="O4992">
        <v>21</v>
      </c>
      <c r="P4992" t="s">
        <v>53</v>
      </c>
      <c r="Q4992" t="s">
        <v>26</v>
      </c>
      <c r="R4992" s="1">
        <v>0.1</v>
      </c>
      <c r="S4992">
        <f t="shared" si="308"/>
        <v>0</v>
      </c>
      <c r="T4992">
        <f>IFERROR(VLOOKUP(A4992,Table1[[Customer ID]:[Discount Amount]], 6, FALSE),"Not Found")</f>
        <v>0</v>
      </c>
      <c r="U4992" t="str">
        <f t="shared" si="309"/>
        <v>Credit Card</v>
      </c>
      <c r="V4992" s="4" t="str">
        <f t="shared" si="310"/>
        <v>Normal</v>
      </c>
      <c r="W4992" s="4" t="str">
        <f t="shared" si="311"/>
        <v>Poor</v>
      </c>
      <c r="X4992" s="4">
        <f>AVERAGE(Table1[Purchase Amount])</f>
        <v>129.48419400000012</v>
      </c>
    </row>
    <row r="4993" spans="1:24" ht="15" customHeight="1" x14ac:dyDescent="0.25">
      <c r="A4993">
        <v>5091</v>
      </c>
      <c r="B4993">
        <v>33</v>
      </c>
      <c r="C4993" t="s">
        <v>27</v>
      </c>
      <c r="D4993" t="s">
        <v>80</v>
      </c>
      <c r="E4993" t="s">
        <v>29</v>
      </c>
      <c r="F4993" s="2">
        <v>1451.07</v>
      </c>
      <c r="G4993" t="s">
        <v>82</v>
      </c>
      <c r="H4993" t="s">
        <v>45</v>
      </c>
      <c r="I4993" t="s">
        <v>74</v>
      </c>
      <c r="J4993" t="s">
        <v>33</v>
      </c>
      <c r="K4993">
        <v>1</v>
      </c>
      <c r="L4993" t="s">
        <v>34</v>
      </c>
      <c r="M4993" t="s">
        <v>24</v>
      </c>
      <c r="N4993" t="s">
        <v>34</v>
      </c>
      <c r="O4993">
        <v>0</v>
      </c>
      <c r="P4993" t="s">
        <v>58</v>
      </c>
      <c r="Q4993" t="s">
        <v>26</v>
      </c>
      <c r="R4993" s="1">
        <v>0.1</v>
      </c>
      <c r="S4993">
        <f t="shared" si="308"/>
        <v>1305.963</v>
      </c>
      <c r="T4993">
        <f>IFERROR(VLOOKUP(A4993,Table1[[Customer ID]:[Discount Amount]], 6, FALSE),"Not Found")</f>
        <v>1451.07</v>
      </c>
      <c r="U4993" t="str">
        <f t="shared" si="309"/>
        <v>PayPal</v>
      </c>
      <c r="V4993" s="4" t="str">
        <f t="shared" si="310"/>
        <v>Normal</v>
      </c>
      <c r="W4993" s="4" t="str">
        <f t="shared" si="311"/>
        <v>Poor</v>
      </c>
      <c r="X4993" s="4">
        <f>AVERAGE(Table1[Purchase Amount])</f>
        <v>129.48419400000012</v>
      </c>
    </row>
    <row r="4994" spans="1:24" ht="15" customHeight="1" x14ac:dyDescent="0.25">
      <c r="A4994">
        <v>5092</v>
      </c>
      <c r="B4994">
        <v>38</v>
      </c>
      <c r="C4994" t="s">
        <v>27</v>
      </c>
      <c r="D4994" t="s">
        <v>117</v>
      </c>
      <c r="E4994" t="s">
        <v>81</v>
      </c>
      <c r="F4994" s="2">
        <v>0</v>
      </c>
      <c r="G4994" t="s">
        <v>73</v>
      </c>
      <c r="H4994" t="s">
        <v>31</v>
      </c>
      <c r="I4994" t="s">
        <v>74</v>
      </c>
      <c r="J4994" t="s">
        <v>22</v>
      </c>
      <c r="K4994">
        <v>1</v>
      </c>
      <c r="L4994" t="s">
        <v>34</v>
      </c>
      <c r="M4994" t="s">
        <v>61</v>
      </c>
      <c r="N4994" t="s">
        <v>23</v>
      </c>
      <c r="O4994">
        <v>0</v>
      </c>
      <c r="P4994" t="s">
        <v>36</v>
      </c>
      <c r="Q4994" t="s">
        <v>37</v>
      </c>
      <c r="R4994" s="1">
        <v>0.1</v>
      </c>
      <c r="S4994">
        <f t="shared" ref="S4994:S5001" si="312">F4994-(F4994*R4994)</f>
        <v>0</v>
      </c>
      <c r="T4994">
        <f>IFERROR(VLOOKUP(A4994,Table1[[Customer ID]:[Discount Amount]], 6, FALSE),"Not Found")</f>
        <v>0</v>
      </c>
      <c r="U4994" t="str">
        <f t="shared" ref="U4994:U5001" si="313">INDEX(P:P, MATCH(A4994, A:A, 0))</f>
        <v>Debit Card</v>
      </c>
      <c r="V4994" s="4" t="str">
        <f t="shared" ref="V4994:V5001" si="314">IF(AND(F4994&gt;1000,K4994&gt;=4),"Best Customer","Normal")</f>
        <v>Normal</v>
      </c>
      <c r="W4994" s="4" t="str">
        <f t="shared" ref="W4994:W5001" si="315">IF(K4994&gt;=3,"Good","Poor")</f>
        <v>Poor</v>
      </c>
      <c r="X4994" s="4">
        <f>AVERAGE(Table1[Purchase Amount])</f>
        <v>129.48419400000012</v>
      </c>
    </row>
    <row r="4995" spans="1:24" ht="15" customHeight="1" x14ac:dyDescent="0.25">
      <c r="A4995">
        <v>5093</v>
      </c>
      <c r="B4995">
        <v>28</v>
      </c>
      <c r="C4995" t="s">
        <v>71</v>
      </c>
      <c r="D4995" t="s">
        <v>95</v>
      </c>
      <c r="E4995" t="s">
        <v>81</v>
      </c>
      <c r="F4995" s="2">
        <v>0</v>
      </c>
      <c r="G4995" t="s">
        <v>82</v>
      </c>
      <c r="H4995" t="s">
        <v>31</v>
      </c>
      <c r="I4995" t="s">
        <v>40</v>
      </c>
      <c r="J4995" t="s">
        <v>33</v>
      </c>
      <c r="K4995">
        <v>1</v>
      </c>
      <c r="L4995" t="s">
        <v>23</v>
      </c>
      <c r="M4995" t="s">
        <v>61</v>
      </c>
      <c r="N4995" t="s">
        <v>34</v>
      </c>
      <c r="O4995">
        <v>0</v>
      </c>
      <c r="P4995" t="s">
        <v>53</v>
      </c>
      <c r="Q4995" t="s">
        <v>42</v>
      </c>
      <c r="R4995" s="1">
        <v>0.1</v>
      </c>
      <c r="S4995">
        <f t="shared" si="312"/>
        <v>0</v>
      </c>
      <c r="T4995">
        <f>IFERROR(VLOOKUP(A4995,Table1[[Customer ID]:[Discount Amount]], 6, FALSE),"Not Found")</f>
        <v>0</v>
      </c>
      <c r="U4995" t="str">
        <f t="shared" si="313"/>
        <v>Credit Card</v>
      </c>
      <c r="V4995" s="4" t="str">
        <f t="shared" si="314"/>
        <v>Normal</v>
      </c>
      <c r="W4995" s="4" t="str">
        <f t="shared" si="315"/>
        <v>Poor</v>
      </c>
      <c r="X4995" s="4">
        <f>AVERAGE(Table1[Purchase Amount])</f>
        <v>129.48419400000012</v>
      </c>
    </row>
    <row r="4996" spans="1:24" ht="15" customHeight="1" x14ac:dyDescent="0.25">
      <c r="A4996">
        <v>5094</v>
      </c>
      <c r="B4996">
        <v>19</v>
      </c>
      <c r="C4996" t="s">
        <v>27</v>
      </c>
      <c r="D4996" t="s">
        <v>38</v>
      </c>
      <c r="E4996" t="s">
        <v>81</v>
      </c>
      <c r="F4996" s="2">
        <v>1009.06</v>
      </c>
      <c r="G4996" t="s">
        <v>82</v>
      </c>
      <c r="H4996" t="s">
        <v>31</v>
      </c>
      <c r="I4996" t="s">
        <v>32</v>
      </c>
      <c r="J4996" t="s">
        <v>22</v>
      </c>
      <c r="K4996">
        <v>1</v>
      </c>
      <c r="L4996" t="s">
        <v>23</v>
      </c>
      <c r="M4996" t="s">
        <v>61</v>
      </c>
      <c r="N4996" t="s">
        <v>23</v>
      </c>
      <c r="O4996">
        <v>0</v>
      </c>
      <c r="P4996" t="s">
        <v>25</v>
      </c>
      <c r="Q4996" t="s">
        <v>26</v>
      </c>
      <c r="R4996" s="1">
        <v>0.1</v>
      </c>
      <c r="S4996">
        <f t="shared" si="312"/>
        <v>908.154</v>
      </c>
      <c r="T4996">
        <f>IFERROR(VLOOKUP(A4996,Table1[[Customer ID]:[Discount Amount]], 6, FALSE),"Not Found")</f>
        <v>1009.06</v>
      </c>
      <c r="U4996" t="str">
        <f t="shared" si="313"/>
        <v>Cash</v>
      </c>
      <c r="V4996" s="4" t="str">
        <f t="shared" si="314"/>
        <v>Normal</v>
      </c>
      <c r="W4996" s="4" t="str">
        <f t="shared" si="315"/>
        <v>Poor</v>
      </c>
      <c r="X4996" s="4">
        <f>AVERAGE(Table1[Purchase Amount])</f>
        <v>129.48419400000012</v>
      </c>
    </row>
    <row r="4997" spans="1:24" ht="15" customHeight="1" x14ac:dyDescent="0.25">
      <c r="A4997">
        <v>5095</v>
      </c>
      <c r="B4997">
        <v>57</v>
      </c>
      <c r="C4997" t="s">
        <v>16</v>
      </c>
      <c r="D4997" t="s">
        <v>38</v>
      </c>
      <c r="E4997" t="s">
        <v>29</v>
      </c>
      <c r="F4997" s="2">
        <v>0</v>
      </c>
      <c r="G4997" t="s">
        <v>101</v>
      </c>
      <c r="H4997" t="s">
        <v>55</v>
      </c>
      <c r="I4997" t="s">
        <v>46</v>
      </c>
      <c r="J4997" t="s">
        <v>33</v>
      </c>
      <c r="K4997">
        <v>2</v>
      </c>
      <c r="L4997" t="s">
        <v>23</v>
      </c>
      <c r="M4997" t="s">
        <v>61</v>
      </c>
      <c r="N4997" t="s">
        <v>23</v>
      </c>
      <c r="O4997">
        <v>24</v>
      </c>
      <c r="P4997" t="s">
        <v>36</v>
      </c>
      <c r="Q4997" t="s">
        <v>26</v>
      </c>
      <c r="R4997" s="1">
        <v>0.1</v>
      </c>
      <c r="S4997">
        <f t="shared" si="312"/>
        <v>0</v>
      </c>
      <c r="T4997">
        <f>IFERROR(VLOOKUP(A4997,Table1[[Customer ID]:[Discount Amount]], 6, FALSE),"Not Found")</f>
        <v>0</v>
      </c>
      <c r="U4997" t="str">
        <f t="shared" si="313"/>
        <v>Debit Card</v>
      </c>
      <c r="V4997" s="4" t="str">
        <f t="shared" si="314"/>
        <v>Normal</v>
      </c>
      <c r="W4997" s="4" t="str">
        <f t="shared" si="315"/>
        <v>Poor</v>
      </c>
      <c r="X4997" s="4">
        <f>AVERAGE(Table1[Purchase Amount])</f>
        <v>129.48419400000012</v>
      </c>
    </row>
    <row r="4998" spans="1:24" ht="15" customHeight="1" x14ac:dyDescent="0.25">
      <c r="A4998">
        <v>5096</v>
      </c>
      <c r="B4998">
        <v>56</v>
      </c>
      <c r="C4998" t="s">
        <v>16</v>
      </c>
      <c r="D4998" t="s">
        <v>116</v>
      </c>
      <c r="E4998" t="s">
        <v>81</v>
      </c>
      <c r="F4998" s="2">
        <v>0</v>
      </c>
      <c r="G4998" t="s">
        <v>139</v>
      </c>
      <c r="H4998" t="s">
        <v>31</v>
      </c>
      <c r="I4998" t="s">
        <v>74</v>
      </c>
      <c r="J4998" t="s">
        <v>57</v>
      </c>
      <c r="K4998">
        <v>5</v>
      </c>
      <c r="L4998" t="s">
        <v>34</v>
      </c>
      <c r="M4998" t="s">
        <v>61</v>
      </c>
      <c r="N4998" t="s">
        <v>34</v>
      </c>
      <c r="O4998">
        <v>0</v>
      </c>
      <c r="P4998" t="s">
        <v>36</v>
      </c>
      <c r="Q4998" t="s">
        <v>26</v>
      </c>
      <c r="R4998" s="1">
        <v>0.1</v>
      </c>
      <c r="S4998">
        <f t="shared" si="312"/>
        <v>0</v>
      </c>
      <c r="T4998">
        <f>IFERROR(VLOOKUP(A4998,Table1[[Customer ID]:[Discount Amount]], 6, FALSE),"Not Found")</f>
        <v>0</v>
      </c>
      <c r="U4998" t="str">
        <f t="shared" si="313"/>
        <v>Debit Card</v>
      </c>
      <c r="V4998" s="4" t="str">
        <f t="shared" si="314"/>
        <v>Normal</v>
      </c>
      <c r="W4998" s="4" t="str">
        <f t="shared" si="315"/>
        <v>Good</v>
      </c>
      <c r="X4998" s="4">
        <f>AVERAGE(Table1[Purchase Amount])</f>
        <v>129.48419400000012</v>
      </c>
    </row>
    <row r="4999" spans="1:24" ht="15" customHeight="1" x14ac:dyDescent="0.25">
      <c r="A4999">
        <v>5097</v>
      </c>
      <c r="B4999">
        <v>37</v>
      </c>
      <c r="C4999" t="s">
        <v>27</v>
      </c>
      <c r="D4999" t="s">
        <v>95</v>
      </c>
      <c r="E4999" t="s">
        <v>81</v>
      </c>
      <c r="F4999" s="2">
        <v>150.47</v>
      </c>
      <c r="G4999" t="s">
        <v>126</v>
      </c>
      <c r="H4999" t="s">
        <v>31</v>
      </c>
      <c r="I4999" t="s">
        <v>93</v>
      </c>
      <c r="J4999" t="s">
        <v>57</v>
      </c>
      <c r="K4999">
        <v>1</v>
      </c>
      <c r="L4999" t="s">
        <v>34</v>
      </c>
      <c r="M4999" t="s">
        <v>24</v>
      </c>
      <c r="N4999" t="s">
        <v>23</v>
      </c>
      <c r="O4999">
        <v>10</v>
      </c>
      <c r="P4999" t="s">
        <v>36</v>
      </c>
      <c r="Q4999" t="s">
        <v>42</v>
      </c>
      <c r="R4999" s="1">
        <v>0.1</v>
      </c>
      <c r="S4999">
        <f t="shared" si="312"/>
        <v>135.423</v>
      </c>
      <c r="T4999">
        <f>IFERROR(VLOOKUP(A4999,Table1[[Customer ID]:[Discount Amount]], 6, FALSE),"Not Found")</f>
        <v>150.47</v>
      </c>
      <c r="U4999" t="str">
        <f t="shared" si="313"/>
        <v>Debit Card</v>
      </c>
      <c r="V4999" s="4" t="str">
        <f t="shared" si="314"/>
        <v>Normal</v>
      </c>
      <c r="W4999" s="4" t="str">
        <f t="shared" si="315"/>
        <v>Poor</v>
      </c>
      <c r="X4999" s="4">
        <f>AVERAGE(Table1[Purchase Amount])</f>
        <v>129.48419400000012</v>
      </c>
    </row>
    <row r="5000" spans="1:24" ht="15" customHeight="1" x14ac:dyDescent="0.25">
      <c r="A5000">
        <v>5098</v>
      </c>
      <c r="B5000">
        <v>35</v>
      </c>
      <c r="C5000" t="s">
        <v>16</v>
      </c>
      <c r="D5000" t="s">
        <v>117</v>
      </c>
      <c r="E5000" t="s">
        <v>18</v>
      </c>
      <c r="F5000" s="2">
        <v>0</v>
      </c>
      <c r="G5000" t="s">
        <v>101</v>
      </c>
      <c r="H5000" t="s">
        <v>31</v>
      </c>
      <c r="I5000" t="s">
        <v>32</v>
      </c>
      <c r="J5000" t="s">
        <v>22</v>
      </c>
      <c r="K5000">
        <v>1</v>
      </c>
      <c r="L5000" t="s">
        <v>34</v>
      </c>
      <c r="M5000" t="s">
        <v>24</v>
      </c>
      <c r="N5000" t="s">
        <v>23</v>
      </c>
      <c r="O5000">
        <v>48</v>
      </c>
      <c r="P5000" t="s">
        <v>53</v>
      </c>
      <c r="Q5000" t="s">
        <v>26</v>
      </c>
      <c r="R5000" s="1">
        <v>0.1</v>
      </c>
      <c r="S5000">
        <f t="shared" si="312"/>
        <v>0</v>
      </c>
      <c r="T5000">
        <f>IFERROR(VLOOKUP(A5000,Table1[[Customer ID]:[Discount Amount]], 6, FALSE),"Not Found")</f>
        <v>0</v>
      </c>
      <c r="U5000" t="str">
        <f t="shared" si="313"/>
        <v>Credit Card</v>
      </c>
      <c r="V5000" s="4" t="str">
        <f t="shared" si="314"/>
        <v>Normal</v>
      </c>
      <c r="W5000" s="4" t="str">
        <f t="shared" si="315"/>
        <v>Poor</v>
      </c>
      <c r="X5000" s="4">
        <f>AVERAGE(Table1[Purchase Amount])</f>
        <v>129.48419400000012</v>
      </c>
    </row>
    <row r="5001" spans="1:24" ht="15" customHeight="1" x14ac:dyDescent="0.25">
      <c r="A5001">
        <v>5099</v>
      </c>
      <c r="B5001">
        <v>59</v>
      </c>
      <c r="C5001" t="s">
        <v>16</v>
      </c>
      <c r="D5001" t="s">
        <v>95</v>
      </c>
      <c r="E5001" t="s">
        <v>81</v>
      </c>
      <c r="F5001" s="2">
        <v>736.01</v>
      </c>
      <c r="G5001" t="s">
        <v>139</v>
      </c>
      <c r="H5001" t="s">
        <v>31</v>
      </c>
      <c r="I5001" t="s">
        <v>32</v>
      </c>
      <c r="J5001" t="s">
        <v>33</v>
      </c>
      <c r="K5001">
        <v>1</v>
      </c>
      <c r="L5001" t="s">
        <v>23</v>
      </c>
      <c r="M5001" t="s">
        <v>61</v>
      </c>
      <c r="N5001" t="s">
        <v>34</v>
      </c>
      <c r="O5001">
        <v>0</v>
      </c>
      <c r="P5001" t="s">
        <v>25</v>
      </c>
      <c r="Q5001" t="s">
        <v>26</v>
      </c>
      <c r="R5001" s="1">
        <v>0.1</v>
      </c>
      <c r="S5001">
        <f t="shared" si="312"/>
        <v>662.40899999999999</v>
      </c>
      <c r="T5001">
        <f>IFERROR(VLOOKUP(A5001,Table1[[Customer ID]:[Discount Amount]], 6, FALSE),"Not Found")</f>
        <v>736.01</v>
      </c>
      <c r="U5001" t="str">
        <f t="shared" si="313"/>
        <v>Cash</v>
      </c>
      <c r="V5001" s="4" t="str">
        <f t="shared" si="314"/>
        <v>Normal</v>
      </c>
      <c r="W5001" s="4" t="str">
        <f t="shared" si="315"/>
        <v>Poor</v>
      </c>
      <c r="X5001" s="4">
        <f>AVERAGE(Table1[Purchase Amount])</f>
        <v>129.48419400000012</v>
      </c>
    </row>
    <row r="5002" spans="1:24" x14ac:dyDescent="0.25">
      <c r="F5002" s="2">
        <f>SUM(Table1[[Purchase Amount ]])</f>
        <v>647420.97000000055</v>
      </c>
      <c r="R5002" s="1"/>
      <c r="S5002" s="4"/>
      <c r="T5002" s="4"/>
      <c r="U5002" s="4"/>
      <c r="V5002" s="4"/>
      <c r="W5002" s="4"/>
    </row>
  </sheetData>
  <sheetProtection formatCells="0" formatColumns="0" formatRows="0" insertColumns="0" insertRows="0" insertHyperlinks="0" deleteColumns="0" deleteRows="0" sort="0" autoFilter="0" pivotTables="0"/>
  <conditionalFormatting sqref="F2:F5001">
    <cfRule type="top10" dxfId="16" priority="3" rank="10"/>
    <cfRule type="top10" dxfId="15" priority="2" percent="1" rank="10"/>
    <cfRule type="dataBar" priority="1">
      <dataBar>
        <cfvo type="min"/>
        <cfvo type="max"/>
        <color rgb="FFFFB628"/>
      </dataBar>
      <extLst>
        <ext xmlns:x14="http://schemas.microsoft.com/office/spreadsheetml/2009/9/main" uri="{B025F937-C7B1-47D3-B67F-A62EFF666E3E}">
          <x14:id>{70FE0EC4-0E4B-47F5-9A85-C3154446B259}</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0FE0EC4-0E4B-47F5-9A85-C3154446B259}">
            <x14:dataBar minLength="0" maxLength="100" border="1" negativeBarBorderColorSameAsPositive="0">
              <x14:cfvo type="autoMin"/>
              <x14:cfvo type="autoMax"/>
              <x14:borderColor rgb="FFFFB628"/>
              <x14:negativeFillColor rgb="FFFF0000"/>
              <x14:negativeBorderColor rgb="FFFF0000"/>
              <x14:axisColor rgb="FF000000"/>
            </x14:dataBar>
          </x14:cfRule>
          <xm:sqref>F2:F5001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Q6" sqref="Q6"/>
    </sheetView>
  </sheetViews>
  <sheetFormatPr defaultRowHeight="15" x14ac:dyDescent="0.25"/>
  <cols>
    <col min="1" max="1" width="13.140625" bestFit="1" customWidth="1"/>
    <col min="2" max="2" width="24" bestFit="1" customWidth="1"/>
  </cols>
  <sheetData>
    <row r="1" spans="1:2" x14ac:dyDescent="0.25">
      <c r="A1" s="5" t="s">
        <v>171</v>
      </c>
      <c r="B1" s="6" t="s">
        <v>173</v>
      </c>
    </row>
    <row r="2" spans="1:2" x14ac:dyDescent="0.25">
      <c r="A2" s="7" t="s">
        <v>45</v>
      </c>
      <c r="B2" s="8">
        <v>154932.74000000008</v>
      </c>
    </row>
    <row r="3" spans="1:2" x14ac:dyDescent="0.25">
      <c r="A3" s="9" t="s">
        <v>31</v>
      </c>
      <c r="B3" s="10">
        <v>316898.72999999963</v>
      </c>
    </row>
    <row r="4" spans="1:2" x14ac:dyDescent="0.25">
      <c r="A4" s="9" t="s">
        <v>55</v>
      </c>
      <c r="B4" s="10">
        <v>110187.37999999998</v>
      </c>
    </row>
    <row r="5" spans="1:2" x14ac:dyDescent="0.25">
      <c r="A5" s="9" t="s">
        <v>20</v>
      </c>
      <c r="B5" s="10">
        <v>65402.12000000001</v>
      </c>
    </row>
    <row r="6" spans="1:2" x14ac:dyDescent="0.25">
      <c r="A6" s="11" t="s">
        <v>172</v>
      </c>
      <c r="B6" s="12">
        <v>647420.96999999974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8"/>
  <sheetViews>
    <sheetView workbookViewId="0">
      <selection activeCell="L38" sqref="L38"/>
    </sheetView>
  </sheetViews>
  <sheetFormatPr defaultRowHeight="15" x14ac:dyDescent="0.25"/>
  <cols>
    <col min="2" max="2" width="13.140625" bestFit="1" customWidth="1"/>
    <col min="3" max="3" width="24" bestFit="1" customWidth="1"/>
  </cols>
  <sheetData>
    <row r="2" spans="2:3" x14ac:dyDescent="0.25">
      <c r="B2" s="5" t="s">
        <v>171</v>
      </c>
      <c r="C2" s="6" t="s">
        <v>173</v>
      </c>
    </row>
    <row r="3" spans="2:3" x14ac:dyDescent="0.25">
      <c r="B3" s="7" t="s">
        <v>29</v>
      </c>
      <c r="C3" s="8">
        <v>201059.33000000002</v>
      </c>
    </row>
    <row r="4" spans="2:3" x14ac:dyDescent="0.25">
      <c r="B4" s="9" t="s">
        <v>18</v>
      </c>
      <c r="C4" s="10">
        <v>254933.82999999996</v>
      </c>
    </row>
    <row r="5" spans="2:3" x14ac:dyDescent="0.25">
      <c r="B5" s="9" t="s">
        <v>81</v>
      </c>
      <c r="C5" s="10">
        <v>136810.80999999994</v>
      </c>
    </row>
    <row r="6" spans="2:3" x14ac:dyDescent="0.25">
      <c r="B6" s="9" t="s">
        <v>98</v>
      </c>
      <c r="C6" s="10">
        <v>36093</v>
      </c>
    </row>
    <row r="7" spans="2:3" x14ac:dyDescent="0.25">
      <c r="B7" s="9" t="s">
        <v>77</v>
      </c>
      <c r="C7" s="10">
        <v>18524</v>
      </c>
    </row>
    <row r="8" spans="2:3" x14ac:dyDescent="0.25">
      <c r="B8" s="11" t="s">
        <v>172</v>
      </c>
      <c r="C8" s="12">
        <v>647420.97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Views>
    <sheetView workbookViewId="0">
      <selection activeCell="K8" sqref="K8"/>
    </sheetView>
  </sheetViews>
  <sheetFormatPr defaultRowHeight="15" x14ac:dyDescent="0.25"/>
  <cols>
    <col min="1" max="1" width="15.28515625" bestFit="1" customWidth="1"/>
    <col min="2" max="2" width="24" bestFit="1" customWidth="1"/>
  </cols>
  <sheetData>
    <row r="1" spans="1:2" x14ac:dyDescent="0.25">
      <c r="A1" s="5" t="s">
        <v>171</v>
      </c>
      <c r="B1" s="6" t="s">
        <v>173</v>
      </c>
    </row>
    <row r="2" spans="1:2" x14ac:dyDescent="0.25">
      <c r="A2" s="7" t="s">
        <v>51</v>
      </c>
      <c r="B2" s="8">
        <v>959</v>
      </c>
    </row>
    <row r="3" spans="1:2" x14ac:dyDescent="0.25">
      <c r="A3" s="9" t="s">
        <v>148</v>
      </c>
      <c r="B3" s="10">
        <v>904</v>
      </c>
    </row>
    <row r="4" spans="1:2" x14ac:dyDescent="0.25">
      <c r="A4" s="9" t="s">
        <v>150</v>
      </c>
      <c r="B4" s="10">
        <v>609</v>
      </c>
    </row>
    <row r="5" spans="1:2" x14ac:dyDescent="0.25">
      <c r="A5" s="9" t="s">
        <v>100</v>
      </c>
      <c r="B5" s="10">
        <v>750</v>
      </c>
    </row>
    <row r="6" spans="1:2" x14ac:dyDescent="0.25">
      <c r="A6" s="9" t="s">
        <v>19</v>
      </c>
      <c r="B6" s="10">
        <v>743</v>
      </c>
    </row>
    <row r="7" spans="1:2" x14ac:dyDescent="0.25">
      <c r="A7" s="9" t="s">
        <v>92</v>
      </c>
      <c r="B7" s="10">
        <v>688</v>
      </c>
    </row>
    <row r="8" spans="1:2" x14ac:dyDescent="0.25">
      <c r="A8" s="9" t="s">
        <v>115</v>
      </c>
      <c r="B8" s="10">
        <v>869</v>
      </c>
    </row>
    <row r="9" spans="1:2" x14ac:dyDescent="0.25">
      <c r="A9" s="9" t="s">
        <v>143</v>
      </c>
      <c r="B9" s="10">
        <v>724</v>
      </c>
    </row>
    <row r="10" spans="1:2" x14ac:dyDescent="0.25">
      <c r="A10" s="9" t="s">
        <v>67</v>
      </c>
      <c r="B10" s="10">
        <v>689</v>
      </c>
    </row>
    <row r="11" spans="1:2" x14ac:dyDescent="0.25">
      <c r="A11" s="9" t="s">
        <v>160</v>
      </c>
      <c r="B11" s="10">
        <v>715</v>
      </c>
    </row>
    <row r="12" spans="1:2" x14ac:dyDescent="0.25">
      <c r="A12" s="9" t="s">
        <v>135</v>
      </c>
      <c r="B12" s="10">
        <v>400</v>
      </c>
    </row>
    <row r="13" spans="1:2" x14ac:dyDescent="0.25">
      <c r="A13" s="9" t="s">
        <v>161</v>
      </c>
      <c r="B13" s="10">
        <v>928</v>
      </c>
    </row>
    <row r="14" spans="1:2" x14ac:dyDescent="0.25">
      <c r="A14" s="9" t="s">
        <v>44</v>
      </c>
      <c r="B14" s="10">
        <v>781</v>
      </c>
    </row>
    <row r="15" spans="1:2" x14ac:dyDescent="0.25">
      <c r="A15" s="9" t="s">
        <v>102</v>
      </c>
      <c r="B15" s="10">
        <v>712</v>
      </c>
    </row>
    <row r="16" spans="1:2" x14ac:dyDescent="0.25">
      <c r="A16" s="9" t="s">
        <v>141</v>
      </c>
      <c r="B16" s="10">
        <v>475</v>
      </c>
    </row>
    <row r="17" spans="1:2" x14ac:dyDescent="0.25">
      <c r="A17" s="9" t="s">
        <v>124</v>
      </c>
      <c r="B17" s="10">
        <v>453</v>
      </c>
    </row>
    <row r="18" spans="1:2" x14ac:dyDescent="0.25">
      <c r="A18" s="9" t="s">
        <v>70</v>
      </c>
      <c r="B18" s="10">
        <v>607</v>
      </c>
    </row>
    <row r="19" spans="1:2" x14ac:dyDescent="0.25">
      <c r="A19" s="9" t="s">
        <v>119</v>
      </c>
      <c r="B19" s="10">
        <v>632</v>
      </c>
    </row>
    <row r="20" spans="1:2" x14ac:dyDescent="0.25">
      <c r="A20" s="9" t="s">
        <v>94</v>
      </c>
      <c r="B20" s="10">
        <v>506</v>
      </c>
    </row>
    <row r="21" spans="1:2" x14ac:dyDescent="0.25">
      <c r="A21" s="9" t="s">
        <v>106</v>
      </c>
      <c r="B21" s="10">
        <v>1060</v>
      </c>
    </row>
    <row r="22" spans="1:2" x14ac:dyDescent="0.25">
      <c r="A22" s="9" t="s">
        <v>97</v>
      </c>
      <c r="B22" s="10">
        <v>853</v>
      </c>
    </row>
    <row r="23" spans="1:2" x14ac:dyDescent="0.25">
      <c r="A23" s="9" t="s">
        <v>113</v>
      </c>
      <c r="B23" s="10">
        <v>833</v>
      </c>
    </row>
    <row r="24" spans="1:2" x14ac:dyDescent="0.25">
      <c r="A24" s="9" t="s">
        <v>120</v>
      </c>
      <c r="B24" s="10">
        <v>997</v>
      </c>
    </row>
    <row r="25" spans="1:2" x14ac:dyDescent="0.25">
      <c r="A25" s="9" t="s">
        <v>149</v>
      </c>
      <c r="B25" s="10">
        <v>1136</v>
      </c>
    </row>
    <row r="26" spans="1:2" x14ac:dyDescent="0.25">
      <c r="A26" s="9" t="s">
        <v>146</v>
      </c>
      <c r="B26" s="10">
        <v>466</v>
      </c>
    </row>
    <row r="27" spans="1:2" x14ac:dyDescent="0.25">
      <c r="A27" s="9" t="s">
        <v>39</v>
      </c>
      <c r="B27" s="10">
        <v>1183</v>
      </c>
    </row>
    <row r="28" spans="1:2" x14ac:dyDescent="0.25">
      <c r="A28" s="9" t="s">
        <v>137</v>
      </c>
      <c r="B28" s="10">
        <v>794</v>
      </c>
    </row>
    <row r="29" spans="1:2" x14ac:dyDescent="0.25">
      <c r="A29" s="9" t="s">
        <v>158</v>
      </c>
      <c r="B29" s="10">
        <v>909</v>
      </c>
    </row>
    <row r="30" spans="1:2" x14ac:dyDescent="0.25">
      <c r="A30" s="9" t="s">
        <v>132</v>
      </c>
      <c r="B30" s="10">
        <v>725</v>
      </c>
    </row>
    <row r="31" spans="1:2" x14ac:dyDescent="0.25">
      <c r="A31" s="9" t="s">
        <v>131</v>
      </c>
      <c r="B31" s="10">
        <v>730</v>
      </c>
    </row>
    <row r="32" spans="1:2" x14ac:dyDescent="0.25">
      <c r="A32" s="9" t="s">
        <v>110</v>
      </c>
      <c r="B32" s="10">
        <v>787</v>
      </c>
    </row>
    <row r="33" spans="1:2" x14ac:dyDescent="0.25">
      <c r="A33" s="9" t="s">
        <v>101</v>
      </c>
      <c r="B33" s="10">
        <v>994</v>
      </c>
    </row>
    <row r="34" spans="1:2" x14ac:dyDescent="0.25">
      <c r="A34" s="9" t="s">
        <v>134</v>
      </c>
      <c r="B34" s="10">
        <v>869</v>
      </c>
    </row>
    <row r="35" spans="1:2" x14ac:dyDescent="0.25">
      <c r="A35" s="9" t="s">
        <v>86</v>
      </c>
      <c r="B35" s="10">
        <v>1026</v>
      </c>
    </row>
    <row r="36" spans="1:2" x14ac:dyDescent="0.25">
      <c r="A36" s="9" t="s">
        <v>90</v>
      </c>
      <c r="B36" s="10">
        <v>1004</v>
      </c>
    </row>
    <row r="37" spans="1:2" x14ac:dyDescent="0.25">
      <c r="A37" s="9" t="s">
        <v>142</v>
      </c>
      <c r="B37" s="10">
        <v>322</v>
      </c>
    </row>
    <row r="38" spans="1:2" x14ac:dyDescent="0.25">
      <c r="A38" s="9" t="s">
        <v>123</v>
      </c>
      <c r="B38" s="10">
        <v>1047</v>
      </c>
    </row>
    <row r="39" spans="1:2" x14ac:dyDescent="0.25">
      <c r="A39" s="9" t="s">
        <v>78</v>
      </c>
      <c r="B39" s="10">
        <v>1024</v>
      </c>
    </row>
    <row r="40" spans="1:2" x14ac:dyDescent="0.25">
      <c r="A40" s="9" t="s">
        <v>159</v>
      </c>
      <c r="B40" s="10">
        <v>390</v>
      </c>
    </row>
    <row r="41" spans="1:2" x14ac:dyDescent="0.25">
      <c r="A41" s="9" t="s">
        <v>30</v>
      </c>
      <c r="B41" s="10">
        <v>667</v>
      </c>
    </row>
    <row r="42" spans="1:2" x14ac:dyDescent="0.25">
      <c r="A42" s="9" t="s">
        <v>130</v>
      </c>
      <c r="B42" s="10">
        <v>893</v>
      </c>
    </row>
    <row r="43" spans="1:2" x14ac:dyDescent="0.25">
      <c r="A43" s="9" t="s">
        <v>65</v>
      </c>
      <c r="B43" s="10">
        <v>964</v>
      </c>
    </row>
    <row r="44" spans="1:2" x14ac:dyDescent="0.25">
      <c r="A44" s="9" t="s">
        <v>152</v>
      </c>
      <c r="B44" s="10">
        <v>397</v>
      </c>
    </row>
    <row r="45" spans="1:2" x14ac:dyDescent="0.25">
      <c r="A45" s="9" t="s">
        <v>144</v>
      </c>
      <c r="B45" s="10">
        <v>486</v>
      </c>
    </row>
    <row r="46" spans="1:2" x14ac:dyDescent="0.25">
      <c r="A46" s="9" t="s">
        <v>84</v>
      </c>
      <c r="B46" s="10">
        <v>1031</v>
      </c>
    </row>
    <row r="47" spans="1:2" x14ac:dyDescent="0.25">
      <c r="A47" s="9" t="s">
        <v>138</v>
      </c>
      <c r="B47" s="10">
        <v>502</v>
      </c>
    </row>
    <row r="48" spans="1:2" x14ac:dyDescent="0.25">
      <c r="A48" s="9" t="s">
        <v>155</v>
      </c>
      <c r="B48" s="10">
        <v>822</v>
      </c>
    </row>
    <row r="49" spans="1:2" x14ac:dyDescent="0.25">
      <c r="A49" s="9" t="s">
        <v>154</v>
      </c>
      <c r="B49" s="10">
        <v>847</v>
      </c>
    </row>
    <row r="50" spans="1:2" x14ac:dyDescent="0.25">
      <c r="A50" s="9" t="s">
        <v>59</v>
      </c>
      <c r="B50" s="10">
        <v>644</v>
      </c>
    </row>
    <row r="51" spans="1:2" x14ac:dyDescent="0.25">
      <c r="A51" s="9" t="s">
        <v>162</v>
      </c>
      <c r="B51" s="10">
        <v>534</v>
      </c>
    </row>
    <row r="52" spans="1:2" x14ac:dyDescent="0.25">
      <c r="A52" s="11" t="s">
        <v>172</v>
      </c>
      <c r="B52" s="12">
        <v>38080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U7" sqref="U7"/>
    </sheetView>
  </sheetViews>
  <sheetFormatPr defaultRowHeight="15" x14ac:dyDescent="0.25"/>
  <cols>
    <col min="1" max="1" width="13.140625" bestFit="1" customWidth="1"/>
    <col min="2" max="2" width="24" bestFit="1" customWidth="1"/>
  </cols>
  <sheetData>
    <row r="1" spans="1:2" x14ac:dyDescent="0.25">
      <c r="A1" s="5" t="s">
        <v>171</v>
      </c>
      <c r="B1" s="6" t="s">
        <v>173</v>
      </c>
    </row>
    <row r="2" spans="1:2" x14ac:dyDescent="0.25">
      <c r="A2" s="7" t="s">
        <v>88</v>
      </c>
      <c r="B2" s="8">
        <v>10606</v>
      </c>
    </row>
    <row r="3" spans="1:2" x14ac:dyDescent="0.25">
      <c r="A3" s="9" t="s">
        <v>25</v>
      </c>
      <c r="B3" s="10">
        <v>41043.869999999995</v>
      </c>
    </row>
    <row r="4" spans="1:2" x14ac:dyDescent="0.25">
      <c r="A4" s="9" t="s">
        <v>53</v>
      </c>
      <c r="B4" s="10">
        <v>43610.5</v>
      </c>
    </row>
    <row r="5" spans="1:2" x14ac:dyDescent="0.25">
      <c r="A5" s="9" t="s">
        <v>36</v>
      </c>
      <c r="B5" s="10">
        <v>47901.58</v>
      </c>
    </row>
    <row r="6" spans="1:2" x14ac:dyDescent="0.25">
      <c r="A6" s="9" t="s">
        <v>58</v>
      </c>
      <c r="B6" s="10">
        <v>46425.380000000005</v>
      </c>
    </row>
    <row r="7" spans="1:2" x14ac:dyDescent="0.25">
      <c r="A7" s="9" t="s">
        <v>62</v>
      </c>
      <c r="B7" s="10">
        <v>11472</v>
      </c>
    </row>
    <row r="8" spans="1:2" x14ac:dyDescent="0.25">
      <c r="A8" s="11" t="s">
        <v>172</v>
      </c>
      <c r="B8" s="12">
        <v>201059.33000000002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
  <sheetViews>
    <sheetView workbookViewId="0">
      <selection activeCell="W10" sqref="W10"/>
    </sheetView>
  </sheetViews>
  <sheetFormatPr defaultRowHeight="15" x14ac:dyDescent="0.25"/>
  <cols>
    <col min="1" max="1" width="13.140625" bestFit="1" customWidth="1"/>
    <col min="2" max="2" width="24" bestFit="1" customWidth="1"/>
  </cols>
  <sheetData>
    <row r="2" spans="1:2" x14ac:dyDescent="0.25">
      <c r="A2" s="5" t="s">
        <v>171</v>
      </c>
      <c r="B2" s="6" t="s">
        <v>173</v>
      </c>
    </row>
    <row r="3" spans="1:2" x14ac:dyDescent="0.25">
      <c r="A3" s="7" t="s">
        <v>47</v>
      </c>
      <c r="B3" s="8">
        <v>1992</v>
      </c>
    </row>
    <row r="4" spans="1:2" x14ac:dyDescent="0.25">
      <c r="A4" s="9" t="s">
        <v>33</v>
      </c>
      <c r="B4" s="10">
        <v>1881</v>
      </c>
    </row>
    <row r="5" spans="1:2" x14ac:dyDescent="0.25">
      <c r="A5" s="9" t="s">
        <v>57</v>
      </c>
      <c r="B5" s="10">
        <v>1842</v>
      </c>
    </row>
    <row r="6" spans="1:2" x14ac:dyDescent="0.25">
      <c r="A6" s="9" t="s">
        <v>22</v>
      </c>
      <c r="B6" s="10">
        <v>1833</v>
      </c>
    </row>
    <row r="7" spans="1:2" x14ac:dyDescent="0.25">
      <c r="A7" s="11" t="s">
        <v>172</v>
      </c>
      <c r="B7" s="12">
        <v>7548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L30" sqref="L30"/>
    </sheetView>
  </sheetViews>
  <sheetFormatPr defaultRowHeight="15" x14ac:dyDescent="0.25"/>
  <cols>
    <col min="1" max="1" width="13.140625" bestFit="1" customWidth="1"/>
    <col min="2" max="2" width="24" bestFit="1" customWidth="1"/>
  </cols>
  <sheetData>
    <row r="3" spans="1:2" x14ac:dyDescent="0.25">
      <c r="A3" s="5" t="s">
        <v>171</v>
      </c>
      <c r="B3" s="6" t="s">
        <v>173</v>
      </c>
    </row>
    <row r="4" spans="1:2" x14ac:dyDescent="0.25">
      <c r="A4" s="7" t="s">
        <v>16</v>
      </c>
      <c r="B4" s="8">
        <v>12174</v>
      </c>
    </row>
    <row r="5" spans="1:2" x14ac:dyDescent="0.25">
      <c r="A5" s="9" t="s">
        <v>27</v>
      </c>
      <c r="B5" s="10">
        <v>24370</v>
      </c>
    </row>
    <row r="6" spans="1:2" x14ac:dyDescent="0.25">
      <c r="A6" s="11" t="s">
        <v>172</v>
      </c>
      <c r="B6" s="12">
        <v>36544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U88"/>
  <sheetViews>
    <sheetView showGridLines="0" showRowColHeaders="0" tabSelected="1" zoomScale="115" zoomScaleNormal="115" workbookViewId="0">
      <selection activeCell="Y16" sqref="Y16"/>
    </sheetView>
  </sheetViews>
  <sheetFormatPr defaultRowHeight="15" x14ac:dyDescent="0.25"/>
  <sheetData>
    <row r="88" spans="21:21" x14ac:dyDescent="0.25">
      <c r="U88" t="s">
        <v>175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Worksheet</vt:lpstr>
      <vt:lpstr>Size by sales</vt:lpstr>
      <vt:lpstr>Category-wise Sales</vt:lpstr>
      <vt:lpstr>Location-wise Sales</vt:lpstr>
      <vt:lpstr>Payment Method Analysis</vt:lpstr>
      <vt:lpstr>Season-wise Sales</vt:lpstr>
      <vt:lpstr>Gender-wise Spending</vt:lpstr>
      <vt:lpstr>Dashboard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RWR2</cp:lastModifiedBy>
  <dcterms:created xsi:type="dcterms:W3CDTF">2026-05-05T10:39:20Z</dcterms:created>
  <dcterms:modified xsi:type="dcterms:W3CDTF">2026-05-05T13:41:02Z</dcterms:modified>
  <cp:category/>
</cp:coreProperties>
</file>